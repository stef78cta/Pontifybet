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00f124943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Meci" sheetId="1" r:id="Rc0d3b4ded06e488d"/>
    <x:sheet xmlns:r="http://schemas.openxmlformats.org/officeDocument/2006/relationships" name="Model" sheetId="2" r:id="R9b5a875c0b474765"/>
    <x:sheet xmlns:r="http://schemas.openxmlformats.org/officeDocument/2006/relationships" name="Scoruri_Poisson" sheetId="3" r:id="R9487442821ee40c4"/>
    <x:sheet xmlns:r="http://schemas.openxmlformats.org/officeDocument/2006/relationships" name="Handicap_Toate" sheetId="4" r:id="R543b84a3cec7479b"/>
    <x:sheet xmlns:r="http://schemas.openxmlformats.org/officeDocument/2006/relationships" name="Analiza_Selectata" sheetId="5" r:id="R486dd4f93b914e74"/>
    <x:sheet xmlns:r="http://schemas.openxmlformats.org/officeDocument/2006/relationships" name="Parametri_v2" sheetId="6" r:id="Rf941d0692c7549c9"/>
    <x:sheet xmlns:r="http://schemas.openxmlformats.org/officeDocument/2006/relationships" name="Selector_Linii_v2" sheetId="7" r:id="R5d3de8a81d0e4b70"/>
    <x:sheet xmlns:r="http://schemas.openxmlformats.org/officeDocument/2006/relationships" name="Rezultate &amp; Comparatie" sheetId="8" r:id="Rdb1aa8c40d76462f"/>
    <x:sheet xmlns:r="http://schemas.openxmlformats.org/officeDocument/2006/relationships" name="Statistici Backtest" sheetId="9" r:id="Rcbadae087a7e4e04"/>
    <x:sheet xmlns:r="http://schemas.openxmlformats.org/officeDocument/2006/relationships" name="Risk_Classification" sheetId="10" r:id="R0e3358a3391e420e"/>
    <x:sheet xmlns:r="http://schemas.openxmlformats.org/officeDocument/2006/relationships" name="ExactMargin_Gate_v4" sheetId="11" r:id="R9da73b0c72354f25"/>
    <x:sheet xmlns:r="http://schemas.openxmlformats.org/officeDocument/2006/relationships" name="Frozen_Predictions" sheetId="12" r:id="R8932f4ddf7454763"/>
    <x:sheet xmlns:r="http://schemas.openxmlformats.org/officeDocument/2006/relationships" name="Settlement" sheetId="13" r:id="R8fa47b5000af41db"/>
    <x:sheet xmlns:r="http://schemas.openxmlformats.org/officeDocument/2006/relationships" name="Backtest_Summary" sheetId="14" r:id="Reef37723006a4f31"/>
    <x:sheet xmlns:r="http://schemas.openxmlformats.org/officeDocument/2006/relationships" name="Risk_Level_Summary" sheetId="15" r:id="Ra512ccec9af94239"/>
    <x:sheet xmlns:r="http://schemas.openxmlformats.org/officeDocument/2006/relationships" name="Calibration" sheetId="16" r:id="R51ecb85cace74bec"/>
    <x:sheet xmlns:r="http://schemas.openxmlformats.org/officeDocument/2006/relationships" name="Fail_Distribution" sheetId="17" r:id="Re767f45ac06a49ae"/>
    <x:sheet xmlns:r="http://schemas.openxmlformats.org/officeDocument/2006/relationships" name="League_Summary" sheetId="18" r:id="R95df087efd2c4afd"/>
    <x:sheet xmlns:r="http://schemas.openxmlformats.org/officeDocument/2006/relationships" name="Monthly_Summary" sheetId="19" r:id="R544fc1e44c9e4ab1"/>
    <x:sheet xmlns:r="http://schemas.openxmlformats.org/officeDocument/2006/relationships" name="Builder_Marginal_Fails" sheetId="20" r:id="R298806fc0aa64a71"/>
    <x:sheet xmlns:r="http://schemas.openxmlformats.org/officeDocument/2006/relationships" name="ExactMargin_Gate_v5" sheetId="21" r:id="R2e2c703744c64f99"/>
    <x:sheet xmlns:r="http://schemas.openxmlformats.org/officeDocument/2006/relationships" name="Risk_Floor_v7" sheetId="22" r:id="R4297bb7678734af8"/>
    <x:sheet xmlns:r="http://schemas.openxmlformats.org/officeDocument/2006/relationships" name="CHANGELOG_VERSIUNI" sheetId="23" r:id="R642fbf00f8b54932"/>
    <x:sheet xmlns:r="http://schemas.openxmlformats.org/officeDocument/2006/relationships" name="DOCUMENTATIE_MODEL" sheetId="24" r:id="R8ff85885d50b4673"/>
  </x:sheets>
</x:workbook>
</file>

<file path=xl/sharedStrings.xml><?xml version="1.0" encoding="utf-8"?>
<x:sst xmlns:x="http://schemas.openxmlformats.org/spreadsheetml/2006/main">
  <x:si>
    <x:t xml:space="preserve">DATE DE INTRARE – HANDICAP EUROPEAN | WORKBOOK OPTIMIZAT V2</x:t>
  </x:si>
  <x:si>
    <x:t xml:space="preserve">Categorie</x:t>
  </x:si>
  <x:si>
    <x:t xml:space="preserve">Indicator</x:t>
  </x:si>
  <x:si>
    <x:t xml:space="preserve">Gazde</x:t>
  </x:si>
  <x:si>
    <x:t xml:space="preserve">Oaspeți</x:t>
  </x:si>
  <x:si>
    <x:t xml:space="preserve">Unitate</x:t>
  </x:si>
  <x:si>
    <x:t xml:space="preserve">Instrucțiune</x:t>
  </x:si>
  <x:si>
    <x:t xml:space="preserve">Meci</x:t>
  </x:si>
  <x:si>
    <x:t xml:space="preserve">Echipă</x:t>
  </x:si>
  <x:si>
    <x:t xml:space="preserve">GAZDE</x:t>
  </x:si>
  <x:si>
    <x:t xml:space="preserve">OASPEȚI</x:t>
  </x:si>
  <x:si>
    <x:t xml:space="preserve">text</x:t>
  </x:si>
  <x:si>
    <x:t xml:space="preserve">Competiție</x:t>
  </x:si>
  <x:si>
    <x:t xml:space="preserve">Data</x:t>
  </x:si>
  <x:si>
    <x:t xml:space="preserve">data</x:t>
  </x:si>
  <x:si>
    <x:t xml:space="preserve">Piață</x:t>
  </x:si>
  <x:si>
    <x:t xml:space="preserve">Handicap aplicat GAZDELOR</x:t>
  </x:si>
  <x:si>
    <x:t xml:space="preserve">întreg</x:t>
  </x:si>
  <x:si>
    <x:t xml:space="preserve">-4…+4</x:t>
  </x:si>
  <x:si>
    <x:t xml:space="preserve">Cotă Gazde handicap</x:t>
  </x:si>
  <x:si>
    <x:t xml:space="preserve">decimal</x:t>
  </x:si>
  <x:si>
    <x:t xml:space="preserve">Cotă Egal handicap</x:t>
  </x:si>
  <x:si>
    <x:t xml:space="preserve">Cotă Oaspeți handicap</x:t>
  </x:si>
  <x:si>
    <x:t xml:space="preserve">Cotă 1X2 Gazde</x:t>
  </x:si>
  <x:si>
    <x:t xml:space="preserve">Cotă 1X2 Egal</x:t>
  </x:si>
  <x:si>
    <x:t xml:space="preserve">Cotă 1X2 Oaspeți</x:t>
  </x:si>
  <x:si>
    <x:t xml:space="preserve">Performanță</x:t>
  </x:si>
  <x:si>
    <x:t xml:space="preserve">xG home / away sezon</x:t>
  </x:si>
  <x:si>
    <x:t xml:space="preserve">xG/meci</x:t>
  </x:si>
  <x:si>
    <x:t xml:space="preserve">Gazde acasă / oaspeți deplasare</x:t>
  </x:si>
  <x:si>
    <x:t xml:space="preserve">xGA home / away sezon</x:t>
  </x:si>
  <x:si>
    <x:t xml:space="preserve">xG ultimele 5-10</x:t>
  </x:si>
  <x:si>
    <x:t xml:space="preserve">xGA ultimele 5-10</x:t>
  </x:si>
  <x:si>
    <x:t xml:space="preserve">Goluri marcate home / away</x:t>
  </x:si>
  <x:si>
    <x:t xml:space="preserve">goluri/meci</x:t>
  </x:si>
  <x:si>
    <x:t xml:space="preserve">Goluri primite home / away</x:t>
  </x:si>
  <x:si>
    <x:t xml:space="preserve">Forță</x:t>
  </x:si>
  <x:si>
    <x:t xml:space="preserve">Rating echipă</x:t>
  </x:si>
  <x:si>
    <x:t xml:space="preserve">0-100</x:t>
  </x:si>
  <x:si>
    <x:t xml:space="preserve">Elo / power rating</x:t>
  </x:si>
  <x:si>
    <x:t xml:space="preserve">Context</x:t>
  </x:si>
  <x:si>
    <x:t xml:space="preserve">Absențe atac impact</x:t>
  </x:si>
  <x:si>
    <x:t xml:space="preserve">-0.30…+0.10</x:t>
  </x:si>
  <x:si>
    <x:t xml:space="preserve">negativ = slăbește atacul</x:t>
  </x:si>
  <x:si>
    <x:t xml:space="preserve">Absențe apărare/portar impact</x:t>
  </x:si>
  <x:si>
    <x:t xml:space="preserve">-0.10…+0.30</x:t>
  </x:si>
  <x:si>
    <x:t xml:space="preserve">pozitiv = crește λ adversarului</x:t>
  </x:si>
  <x:si>
    <x:t xml:space="preserve">Odihnă/program impact</x:t>
  </x:si>
  <x:si>
    <x:t xml:space="preserve">-0.10…+0.10</x:t>
  </x:si>
  <x:si>
    <x:t xml:space="preserve">Motivație impact</x:t>
  </x:si>
  <x:si>
    <x:t xml:space="preserve">-0.10…+0.15</x:t>
  </x:si>
  <x:si>
    <x:t xml:space="preserve">Stil/matchup impact</x:t>
  </x:si>
  <x:si>
    <x:t xml:space="preserve">-0.15…+0.15</x:t>
  </x:si>
  <x:si>
    <x:t xml:space="preserve">Teren/vreme impact</x:t>
  </x:si>
  <x:si>
    <x:t xml:space="preserve">-0.15…+0.10</x:t>
  </x:si>
  <x:si>
    <x:t xml:space="preserve">Avantaj teren suplimentar</x:t>
  </x:si>
  <x:si>
    <x:t xml:space="preserve">0…+0.12</x:t>
  </x:si>
  <x:si>
    <x:t xml:space="preserve">evită dublarea cu home splits</x:t>
  </x:si>
  <x:si>
    <x:t xml:space="preserve">Tur-retur / agregat impact</x:t>
  </x:si>
  <x:si>
    <x:t xml:space="preserve">Rotație / menajare impact</x:t>
  </x:si>
  <x:si>
    <x:t xml:space="preserve">-0.15…0</x:t>
  </x:si>
  <x:si>
    <x:t xml:space="preserve">CONTROL PRE-MECI – CADRU v5 / MATRICE v4</x:t>
  </x:si>
  <x:si>
    <x:t xml:space="preserve">Gazde / General</x:t>
  </x:si>
  <x:si>
    <x:t xml:space="preserve">Control</x:t>
  </x:si>
  <x:si>
    <x:t xml:space="preserve">Status fixture confirmat</x:t>
  </x:si>
  <x:si>
    <x:t xml:space="preserve">CONFIRMAT</x:t>
  </x:si>
  <x:si>
    <x:t xml:space="preserve">listă</x:t>
  </x:si>
  <x:si>
    <x:t xml:space="preserve">HARD GATE; folosește CONFIRMAT / NECONFIRMAT / INCERT</x:t>
  </x:si>
  <x:si>
    <x:t xml:space="preserve">Control v2</x:t>
  </x:si>
  <x:si>
    <x:t xml:space="preserve">Sursa fixture 1</x:t>
  </x:si>
  <x:si>
    <x:t xml:space="preserve">URL/text</x:t>
  </x:si>
  <x:si>
    <x:t xml:space="preserve">ideal sursă oficială</x:t>
  </x:si>
  <x:si>
    <x:t xml:space="preserve">Sursa fixture 2</x:t>
  </x:si>
  <x:si>
    <x:t xml:space="preserve">obligatorie dacă există conflict de dată/status</x:t>
  </x:si>
  <x:si>
    <x:t xml:space="preserve">Piață – informativ</x:t>
  </x:si>
  <x:si>
    <x:t xml:space="preserve">Bookmaker handicap</x:t>
  </x:si>
  <x:si>
    <x:t xml:space="preserve">numele bookmakerului / exchange</x:t>
  </x:si>
  <x:si>
    <x:t xml:space="preserve">Timestamp cotă</x:t>
  </x:si>
  <x:si>
    <x:t xml:space="preserve">data+ora</x:t>
  </x:si>
  <x:si>
    <x:t xml:space="preserve">momentul exact al cotei folosite</x:t>
  </x:si>
  <x:si>
    <x:t xml:space="preserve">Cotă opening selecție</x:t>
  </x:si>
  <x:si>
    <x:t xml:space="preserve">pentru CLV / market movement</x:t>
  </x:si>
  <x:si>
    <x:t xml:space="preserve">Cotă closing selecție</x:t>
  </x:si>
  <x:si>
    <x:t xml:space="preserve">completează după închiderea pieței</x:t>
  </x:si>
  <x:si>
    <x:t xml:space="preserve">Sezon</x:t>
  </x:si>
  <x:si>
    <x:t xml:space="preserve">Etapa / rundă</x:t>
  </x:si>
  <x:si>
    <x:t xml:space="preserve">primele 5 etape = incertitudine mai mare</x:t>
  </x:si>
  <x:si>
    <x:t xml:space="preserve">Calitate date</x:t>
  </x:si>
  <x:si>
    <x:t xml:space="preserve">Completitudine date</x:t>
  </x:si>
  <x:si>
    <x:t xml:space="preserve">0–100%</x:t>
  </x:si>
  <x:si>
    <x:t xml:space="preserve">proporția factorilor obligatorii disponibili</x:t>
  </x:si>
  <x:si>
    <x:t xml:space="preserve">Mărime eșantion</x:t>
  </x:si>
  <x:si>
    <x:t xml:space="preserve">meciuri</x:t>
  </x:si>
  <x:si>
    <x:t xml:space="preserve">minimum 5; ideal 10+ per echipă/split</x:t>
  </x:si>
  <x:si>
    <x:t xml:space="preserve">Consistență semnale</x:t>
  </x:si>
  <x:si>
    <x:t xml:space="preserve">xG, formă, rating și context în aceeași direcție; fără cote</x:t>
  </x:si>
  <x:si>
    <x:t xml:space="preserve">Stabilitate λ</x:t>
  </x:si>
  <x:si>
    <x:t xml:space="preserve">cât de stabilă este estimarea la variația inputurilor</x:t>
  </x:si>
  <x:si>
    <x:t xml:space="preserve">Context obligatoriu complet</x:t>
  </x:si>
  <x:si>
    <x:t xml:space="preserve">lot, portar, odihnă, miză, teren, tur-retur</x:t>
  </x:si>
  <x:si>
    <x:t xml:space="preserve">Context G1</x:t>
  </x:si>
  <x:si>
    <x:t xml:space="preserve">Line-up confirmat</x:t>
  </x:si>
  <x:si>
    <x:t xml:space="preserve">DA</x:t>
  </x:si>
  <x:si>
    <x:t xml:space="preserve">DA/NU</x:t>
  </x:si>
  <x:si>
    <x:t xml:space="preserve">Lineup-ul poate reduce Confidence, dar nu produce singur Nivel 5</x:t>
  </x:si>
  <x:si>
    <x:t xml:space="preserve">Piață G3 – informativ</x:t>
  </x:si>
  <x:si>
    <x:t xml:space="preserve">Conflict model–piață</x:t>
  </x:si>
  <x:si>
    <x:t xml:space="preserve">NU</x:t>
  </x:si>
  <x:si>
    <x:t xml:space="preserve">Conflictul model–piață este informativ; nu intră în Risk Score sau verdict</x:t>
  </x:si>
  <x:si>
    <x:t xml:space="preserve">Piață v2</x:t>
  </x:si>
  <x:si>
    <x:t xml:space="preserve">Sursa cote</x:t>
  </x:si>
  <x:si>
    <x:t xml:space="preserve">Sursa cotei este informativă; lipsa ei nu blochează verdictul tehnic</x:t>
  </x:si>
  <x:si>
    <x:t xml:space="preserve">ESTIMAREA GOLURILOR AȘTEPTATE λ – HANDICAP EUROPEAN v7</x:t>
  </x:si>
  <x:si>
    <x:t xml:space="preserve">Componentă</x:t>
  </x:si>
  <x:si>
    <x:t xml:space="preserve">Logică</x:t>
  </x:si>
  <x:si>
    <x:t xml:space="preserve">Pondere</x:t>
  </x:si>
  <x:si>
    <x:t xml:space="preserve">Notă</x:t>
  </x:si>
  <x:si>
    <x:t xml:space="preserve">xG sezon home/away</x:t>
  </x:si>
  <x:si>
    <x:t xml:space="preserve">atac de bază</x:t>
  </x:si>
  <x:si>
    <x:t xml:space="preserve">xG recent</x:t>
  </x:si>
  <x:si>
    <x:t xml:space="preserve">formă atac</x:t>
  </x:si>
  <x:si>
    <x:t xml:space="preserve">xGA adversar sezon</x:t>
  </x:si>
  <x:si>
    <x:t xml:space="preserve">slăbiciune adversar</x:t>
  </x:si>
  <x:si>
    <x:t xml:space="preserve">xGA adversar recent</x:t>
  </x:si>
  <x:si>
    <x:t xml:space="preserve">formă defensivă</x:t>
  </x:si>
  <x:si>
    <x:t xml:space="preserve">Goluri marcate</x:t>
  </x:si>
  <x:si>
    <x:t xml:space="preserve">confirmare output</x:t>
  </x:si>
  <x:si>
    <x:t xml:space="preserve">Goluri primite adversar</x:t>
  </x:si>
  <x:si>
    <x:t xml:space="preserve">Calcul</x:t>
  </x:si>
  <x:si>
    <x:t xml:space="preserve">λ bază</x:t>
  </x:si>
  <x:si>
    <x:t xml:space="preserve">Valoare</x:t>
  </x:si>
  <x:si>
    <x:t xml:space="preserve">Interpretare</x:t>
  </x:si>
  <x:si>
    <x:t xml:space="preserve">Forță relativă</x:t>
  </x:si>
  <x:si>
    <x:t xml:space="preserve">λ total</x:t>
  </x:si>
  <x:si>
    <x:t xml:space="preserve">ritm</x:t>
  </x:si>
  <x:si>
    <x:t xml:space="preserve">Absențe atac</x:t>
  </x:si>
  <x:si>
    <x:t xml:space="preserve">λ gap</x:t>
  </x:si>
  <x:si>
    <x:t xml:space="preserve">dominantă</x:t>
  </x:si>
  <x:si>
    <x:t xml:space="preserve">Apărare/portar advers</x:t>
  </x:si>
  <x:si>
    <x:t xml:space="preserve">1X2 implied 1</x:t>
  </x:si>
  <x:si>
    <x:t xml:space="preserve">brut</x:t>
  </x:si>
  <x:si>
    <x:t xml:space="preserve">Odihnă</x:t>
  </x:si>
  <x:si>
    <x:t xml:space="preserve">1X2 implied X</x:t>
  </x:si>
  <x:si>
    <x:t xml:space="preserve">Motivație</x:t>
  </x:si>
  <x:si>
    <x:t xml:space="preserve">1X2 implied 2</x:t>
  </x:si>
  <x:si>
    <x:t xml:space="preserve">Stil</x:t>
  </x:si>
  <x:si>
    <x:t xml:space="preserve">Overround</x:t>
  </x:si>
  <x:si>
    <x:t xml:space="preserve">marjă</x:t>
  </x:si>
  <x:si>
    <x:t xml:space="preserve">Vreme/teren</x:t>
  </x:si>
  <x:si>
    <x:t xml:space="preserve">1 fair</x:t>
  </x:si>
  <x:si>
    <x:t xml:space="preserve">normalizat</x:t>
  </x:si>
  <x:si>
    <x:t xml:space="preserve">Home adv.</x:t>
  </x:si>
  <x:si>
    <x:t xml:space="preserve">X fair</x:t>
  </x:si>
  <x:si>
    <x:t xml:space="preserve">Tur-retur</x:t>
  </x:si>
  <x:si>
    <x:t xml:space="preserve">2 fair</x:t>
  </x:si>
  <x:si>
    <x:t xml:space="preserve">Rotație</x:t>
  </x:si>
  <x:si>
    <x:t xml:space="preserve">Confidence tehnic</x:t>
  </x:si>
  <x:si>
    <x:t xml:space="preserve">0–100; lineup-ul poate reduce scorul, fără hard fail</x:t>
  </x:si>
  <x:si>
    <x:t xml:space="preserve">λ final</x:t>
  </x:si>
  <x:si>
    <x:t xml:space="preserve">Incertitudine informativă</x:t>
  </x:si>
  <x:si>
    <x:t xml:space="preserve">nu intră în EV sau verdict</x:t>
  </x:si>
  <x:si>
    <x:t xml:space="preserve">Fixture gate</x:t>
  </x:si>
  <x:si>
    <x:t xml:space="preserve">singurul control operațional direct din această zonă</x:t>
  </x:si>
  <x:si>
    <x:t xml:space="preserve">Line-up G1</x:t>
  </x:si>
  <x:si>
    <x:t xml:space="preserve">context G1; nu produce singur Nivel 5</x:t>
  </x:si>
  <x:si>
    <x:t xml:space="preserve">Conflict piață G3</x:t>
  </x:si>
  <x:si>
    <x:t xml:space="preserve">informativ; nu intră în Confidence/Risk/verdict</x:t>
  </x:si>
  <x:si>
    <x:t xml:space="preserve">Etapa</x:t>
  </x:si>
  <x:si>
    <x:t xml:space="preserve">context</x:t>
  </x:si>
  <x:si>
    <x:t xml:space="preserve">Versiune</x:t>
  </x:si>
  <x:si>
    <x:t xml:space="preserve">Cadru v5 / Matrice v4</x:t>
  </x:si>
  <x:si>
    <x:t xml:space="preserve">DISTRIBUȚIA SCORULUI – POISSON 0–10</x:t>
  </x:si>
  <x:si>
    <x:t xml:space="preserve">Gazde\Oaspeți</x:t>
  </x:si>
  <x:si>
    <x:t xml:space="preserve">P gazde</x:t>
  </x:si>
  <x:si>
    <x:t xml:space="preserve">P oaspeți</x:t>
  </x:si>
  <x:si>
    <x:t xml:space="preserve">PROBABILITĂȚI – TOATE HANDICAPURILE | EXACT-MARGIN ACTUALIZAT</x:t>
  </x:si>
  <x:si>
    <x:t xml:space="preserve">Handicap GAZDE</x:t>
  </x:si>
  <x:si>
    <x:t xml:space="preserve">P1</x:t>
  </x:si>
  <x:si>
    <x:t xml:space="preserve">PX</x:t>
  </x:si>
  <x:si>
    <x:t xml:space="preserve">P2</x:t>
  </x:si>
  <x:si>
    <x:t xml:space="preserve">Cotă fair 1</x:t>
  </x:si>
  <x:si>
    <x:t xml:space="preserve">Cotă fair X</x:t>
  </x:si>
  <x:si>
    <x:t xml:space="preserve">Cotă fair 2</x:t>
  </x:si>
  <x:si>
    <x:t xml:space="preserve">Marjă pt 1</x:t>
  </x:si>
  <x:si>
    <x:t xml:space="preserve">ExactMarginGate</x:t>
  </x:si>
  <x:si>
    <x:t xml:space="preserve">Exces peste PASS</x:t>
  </x:si>
  <x:si>
    <x:t xml:space="preserve">Regulă exact-margin</x:t>
  </x:si>
  <x:si>
    <x:t xml:space="preserve">Gazde -4: 1 cere victorie la 5+; exact 4 = X.</x:t>
  </x:si>
  <x:si>
    <x:t xml:space="preserve">Gazde -3: 1 cere victorie la 4+; exact 3 = X.</x:t>
  </x:si>
  <x:si>
    <x:t xml:space="preserve">Gazde -2: 1 cere victorie la 3+; exact 2 = X.</x:t>
  </x:si>
  <x:si>
    <x:t xml:space="preserve">Gazde -1: 1 cere victorie la 2+; exact 1 = X.</x:t>
  </x:si>
  <x:si>
    <x:t xml:space="preserve">1X2 fără handicap</x:t>
  </x:si>
  <x:si>
    <x:t xml:space="preserve">Gazde +1: protecție pentru gazde.</x:t>
  </x:si>
  <x:si>
    <x:t xml:space="preserve">Gazde +2: protecție pentru gazde.</x:t>
  </x:si>
  <x:si>
    <x:t xml:space="preserve">Gazde +3: protecție pentru gazde.</x:t>
  </x:si>
  <x:si>
    <x:t xml:space="preserve">Gazde +4: protecție pentru gazde.</x:t>
  </x:si>
  <x:si>
    <x:t xml:space="preserve">Handicap OASPEȚI</x:t>
  </x:si>
  <x:si>
    <x:t xml:space="preserve">Marjă pt 2</x:t>
  </x:si>
  <x:si>
    <x:t xml:space="preserve">Oaspeți -4: 2 cere victorie la 5+; exact 4 = X.</x:t>
  </x:si>
  <x:si>
    <x:t xml:space="preserve">Oaspeți -3: 2 cere victorie la 4+; exact 3 = X.</x:t>
  </x:si>
  <x:si>
    <x:t xml:space="preserve">Oaspeți -2: 2 cere victorie la 3+; exact 2 = X.</x:t>
  </x:si>
  <x:si>
    <x:t xml:space="preserve">Oaspeți -1: 2 cere victorie la 2+; exact 1 = X.</x:t>
  </x:si>
  <x:si>
    <x:t xml:space="preserve">Oaspeți +1: protecție pentru oaspeți.</x:t>
  </x:si>
  <x:si>
    <x:t xml:space="preserve">Oaspeți +2: protecție pentru oaspeți.</x:t>
  </x:si>
  <x:si>
    <x:t xml:space="preserve">Oaspeți +3: protecție pentru oaspeți.</x:t>
  </x:si>
  <x:si>
    <x:t xml:space="preserve">Oaspeți +4: protecție pentru oaspeți.</x:t>
  </x:si>
  <x:si>
    <x:t xml:space="preserve">Valoare 1</x:t>
  </x:si>
  <x:si>
    <x:t xml:space="preserve">Valoare X</x:t>
  </x:si>
  <x:si>
    <x:t xml:space="preserve">Valoare 2</x:t>
  </x:si>
  <x:si>
    <x:t xml:space="preserve">Prag / regulă</x:t>
  </x:si>
  <x:si>
    <x:t xml:space="preserve">Rol</x:t>
  </x:si>
  <x:si>
    <x:t xml:space="preserve">Sursă</x:t>
  </x:si>
  <x:si>
    <x:t xml:space="preserve">Status</x:t>
  </x:si>
  <x:si>
    <x:t xml:space="preserve">Handicap gazde</x:t>
  </x:si>
  <x:si>
    <x:t xml:space="preserve">Input</x:t>
  </x:si>
  <x:si>
    <x:t xml:space="preserve">Input_Meci</x:t>
  </x:si>
  <x:si>
    <x:t xml:space="preserve">Probabilitate model</x:t>
  </x:si>
  <x:si>
    <x:t xml:space="preserve">P1 / PX / P2</x:t>
  </x:si>
  <x:si>
    <x:t xml:space="preserve">Model</x:t>
  </x:si>
  <x:si>
    <x:t xml:space="preserve">Handicap_Toate</x:t>
  </x:si>
  <x:si>
    <x:t xml:space="preserve">Cotă oferită – INFO</x:t>
  </x:si>
  <x:si>
    <x:t xml:space="preserve">informativ</x:t>
  </x:si>
  <x:si>
    <x:t xml:space="preserve">INFO</x:t>
  </x:si>
  <x:si>
    <x:t xml:space="preserve">Cota nu intră în Risk Score, ranking sau verdict</x:t>
  </x:si>
  <x:si>
    <x:t xml:space="preserve">EV – INFO</x:t>
  </x:si>
  <x:si>
    <x:t xml:space="preserve">EV nu intră în Risk Score, ranking sau verdict</x:t>
  </x:si>
  <x:si>
    <x:t xml:space="preserve">calcul informativ</x:t>
  </x:si>
  <x:si>
    <x:t xml:space="preserve">Best outcome</x:t>
  </x:si>
  <x:si>
    <x:t xml:space="preserve">max P tehnic</x:t>
  </x:si>
  <x:si>
    <x:t xml:space="preserve">Selector</x:t>
  </x:si>
  <x:si>
    <x:t xml:space="preserve">Selector_Linii_v2</x:t>
  </x:si>
  <x:si>
    <x:t xml:space="preserve">Best P tehnic</x:t>
  </x:si>
  <x:si>
    <x:t xml:space="preserve">—</x:t>
  </x:si>
  <x:si>
    <x:t xml:space="preserve">P ajustată</x:t>
  </x:si>
  <x:si>
    <x:t xml:space="preserve">după gate</x:t>
  </x:si>
  <x:si>
    <x:t xml:space="preserve">P exact handicap (X)</x:t>
  </x:si>
  <x:si>
    <x:t xml:space="preserve">±2/±3: 4%/6%; ±4: 3%</x:t>
  </x:si>
  <x:si>
    <x:t xml:space="preserve">G0/G2</x:t>
  </x:si>
  <x:si>
    <x:t xml:space="preserve">Concentration234</x:t>
  </x:si>
  <x:si>
    <x:t xml:space="preserve">20%/27%</x:t>
  </x:si>
  <x:si>
    <x:t xml:space="preserve">G2</x:t>
  </x:si>
  <x:si>
    <x:t xml:space="preserve">CombinedGate</x:t>
  </x:si>
  <x:si>
    <x:t xml:space="preserve">FAIL prevalează</x:t>
  </x:si>
  <x:si>
    <x:t xml:space="preserve">G0</x:t>
  </x:si>
  <x:si>
    <x:t xml:space="preserve">CombinedGate folosit de selector</x:t>
  </x:si>
  <x:si>
    <x:t xml:space="preserve">Confidence</x:t>
  </x:si>
  <x:si>
    <x:t xml:space="preserve">0–100</x:t>
  </x:si>
  <x:si>
    <x:t xml:space="preserve">G1/calitate</x:t>
  </x:si>
  <x:si>
    <x:t xml:space="preserve">Lineup-ul poate reduce Confidence, fără hard fail automat</x:t>
  </x:si>
  <x:si>
    <x:t xml:space="preserve">Line-up</x:t>
  </x:si>
  <x:si>
    <x:t xml:space="preserve">G1</x:t>
  </x:si>
  <x:si>
    <x:t xml:space="preserve">Lineup neconfirmat nu produce singur Nivel 5</x:t>
  </x:si>
  <x:si>
    <x:t xml:space="preserve">Risk Score</x:t>
  </x:si>
  <x:si>
    <x:t xml:space="preserve">Risk</x:t>
  </x:si>
  <x:si>
    <x:t xml:space="preserve">Risk_Classification</x:t>
  </x:si>
  <x:si>
    <x:t xml:space="preserve">Raw Risk Level</x:t>
  </x:si>
  <x:si>
    <x:t xml:space="preserve">1–5</x:t>
  </x:si>
  <x:si>
    <x:t xml:space="preserve">Structural floor</x:t>
  </x:si>
  <x:si>
    <x:t xml:space="preserve">1–4</x:t>
  </x:si>
  <x:si>
    <x:t xml:space="preserve">Floor</x:t>
  </x:si>
  <x:si>
    <x:t xml:space="preserve">Final Risk Level</x:t>
  </x:si>
  <x:si>
    <x:t xml:space="preserve">G4</x:t>
  </x:si>
  <x:si>
    <x:t xml:space="preserve">MAX(raw Risk Level, structural floor); hard fail = 5</x:t>
  </x:si>
  <x:si>
    <x:t xml:space="preserve">Verdict final unic</x:t>
  </x:si>
  <x:si>
    <x:t xml:space="preserve">DEFENSIV…WATCH</x:t>
  </x:si>
  <x:si>
    <x:t xml:space="preserve">Singurul verdict final pentru linia selectată</x:t>
  </x:si>
  <x:si>
    <x:t xml:space="preserve">Filtru calitativ</x:t>
  </x:si>
  <x:si>
    <x:t xml:space="preserve">Răspuns</x:t>
  </x:si>
  <x:si>
    <x:t xml:space="preserve">Greutate</x:t>
  </x:si>
  <x:si>
    <x:t xml:space="preserve">Regulă</x:t>
  </x:si>
  <x:si>
    <x:t xml:space="preserve">Verificare</x:t>
  </x:si>
  <x:si>
    <x:t xml:space="preserve">Minim</x:t>
  </x:si>
  <x:si>
    <x:t xml:space="preserve">Ideal</x:t>
  </x:si>
  <x:si>
    <x:t xml:space="preserve">Neutru</x:t>
  </x:si>
  <x:si>
    <x:t xml:space="preserve">Scor calitativ total</x:t>
  </x:si>
  <x:si>
    <x:t xml:space="preserve">Regulă finală</x:t>
  </x:si>
  <x:si>
    <x:t xml:space="preserve">Date → distribuție marjă → ExactMarginGate + ConcentrationGate → CombinedGate → Risk Score → structural floor → P ajustată → Confidence → ranking.</x:t>
  </x:si>
  <x:si>
    <x:t xml:space="preserve">Cota / EV</x:t>
  </x:si>
  <x:si>
    <x:t xml:space="preserve">Rămân informative și nu pot schimba Risk Level, CombinedGate, ranking-ul tehnic sau verdictul final. Factorul «Piață / cote» din filtrul calitativ are pondere zero.</x:t>
  </x:si>
  <x:si>
    <x:t xml:space="preserve">PARAMETRI ACTIVI – HANDICAP EUROPEAN v7 | WORKBOOK OPTIMIZAT V2</x:t>
  </x:si>
  <x:si>
    <x:t xml:space="preserve">Parametru</x:t>
  </x:si>
  <x:si>
    <x:t xml:space="preserve">Observație</x:t>
  </x:si>
  <x:si>
    <x:t xml:space="preserve">P selecție ±4 minim</x:t>
  </x:si>
  <x:si>
    <x:t xml:space="preserve">probabilitatea minimă pentru linia ±4</x:t>
  </x:si>
  <x:si>
    <x:t xml:space="preserve">control tehnic activ</x:t>
  </x:si>
  <x:si>
    <x:t xml:space="preserve">P exact-margin ±4 maxim</x:t>
  </x:si>
  <x:si>
    <x:t xml:space="preserve">exact marja 4</x:t>
  </x:si>
  <x:si>
    <x:t xml:space="preserve">peste 3% = FAIL</x:t>
  </x:si>
  <x:si>
    <x:t xml:space="preserve">Confidence de referință</x:t>
  </x:si>
  <x:si>
    <x:t xml:space="preserve">calitatea analizei</x:t>
  </x:si>
  <x:si>
    <x:t xml:space="preserve">nu este hard gate</x:t>
  </x:si>
  <x:si>
    <x:t xml:space="preserve">Prag EV ajustat</x:t>
  </x:si>
  <x:si>
    <x:t xml:space="preserve">numai informativ / audit economic</x:t>
  </x:si>
  <x:si>
    <x:t xml:space="preserve">NU intră în selector sau verdict</x:t>
  </x:si>
  <x:si>
    <x:t xml:space="preserve">Tail advers ±4 maxim</x:t>
  </x:si>
  <x:si>
    <x:t xml:space="preserve">coada severă împotriva selecției</x:t>
  </x:si>
  <x:si>
    <x:t xml:space="preserve">Buffer normal</x:t>
  </x:si>
  <x:si>
    <x:t xml:space="preserve">incertitudine informativă</x:t>
  </x:si>
  <x:si>
    <x:t xml:space="preserve">nu decide verdictul</x:t>
  </x:si>
  <x:si>
    <x:t xml:space="preserve">Buffer început sezon</x:t>
  </x:si>
  <x:si>
    <x:t xml:space="preserve">Buffer maxim</x:t>
  </x:si>
  <x:si>
    <x:t xml:space="preserve">limită informativă</x:t>
  </x:si>
  <x:si>
    <x:t xml:space="preserve">Primele etape – prag</x:t>
  </x:si>
  <x:si>
    <x:t xml:space="preserve">etapa până la care se raportează incertitudine mai mare</x:t>
  </x:si>
  <x:si>
    <x:t xml:space="preserve">Edge probabilitate</x:t>
  </x:si>
  <x:si>
    <x:t xml:space="preserve">Sample ideal</x:t>
  </x:si>
  <x:si>
    <x:t xml:space="preserve">meciuri per echipă/split</x:t>
  </x:si>
  <x:si>
    <x:t xml:space="preserve">folosit în Data Quality și Model Uncertainty</x:t>
  </x:si>
  <x:si>
    <x:t xml:space="preserve">Sample minim</x:t>
  </x:si>
  <x:si>
    <x:t xml:space="preserve">sub acest nivel se folosește prior/shrinkage</x:t>
  </x:si>
  <x:si>
    <x:t xml:space="preserve">nu produce singur hard fail</x:t>
  </x:si>
  <x:si>
    <x:t xml:space="preserve">Cotă reală obligatorie pentru verdict</x:t>
  </x:si>
  <x:si>
    <x:t xml:space="preserve">cota este informativă</x:t>
  </x:si>
  <x:si>
    <x:t xml:space="preserve">lipsa cotei nu produce WATCH</x:t>
  </x:si>
  <x:si>
    <x:t xml:space="preserve">Fixture confirmat obligatoriu</x:t>
  </x:si>
  <x:si>
    <x:t xml:space="preserve">control G0</x:t>
  </x:si>
  <x:si>
    <x:t xml:space="preserve">neconfirmat = hard fail</x:t>
  </x:si>
  <x:si>
    <x:t xml:space="preserve">Exact-margin PASS maxim ±2/±3</x:t>
  </x:si>
  <x:si>
    <x:t xml:space="preserve">≤4% = PASS</x:t>
  </x:si>
  <x:si>
    <x:t xml:space="preserve">Cadrul v5 / Matricea v4</x:t>
  </x:si>
  <x:si>
    <x:t xml:space="preserve">Exact-margin FAIL peste ±2/±3</x:t>
  </x:si>
  <x:si>
    <x:t xml:space="preserve">4–6% = PENALTY; &gt;6% = FAIL</x:t>
  </x:si>
  <x:si>
    <x:t xml:space="preserve">Coeficient istoric penalizare</x:t>
  </x:si>
  <x:si>
    <x:t xml:space="preserve">păstrat numai pentru compatibilitatea registrului vechi</x:t>
  </x:si>
  <x:si>
    <x:t xml:space="preserve">nu intră în selectorul curent</x:t>
  </x:si>
  <x:si>
    <x:t xml:space="preserve">Versiune metodologie</x:t>
  </x:si>
  <x:si>
    <x:t xml:space="preserve">v7</x:t>
  </x:si>
  <x:si>
    <x:t xml:space="preserve">Handicap European</x:t>
  </x:si>
  <x:si>
    <x:t xml:space="preserve">Concentration234 PASS maxim</x:t>
  </x:si>
  <x:si>
    <x:t xml:space="preserve">≤20% = PASS</x:t>
  </x:si>
  <x:si>
    <x:t xml:space="preserve">control separat</x:t>
  </x:si>
  <x:si>
    <x:t xml:space="preserve">Concentration234 FAIL peste</x:t>
  </x:si>
  <x:si>
    <x:t xml:space="preserve">20–27% = PENALTY; &gt;27% = FAIL</x:t>
  </x:si>
  <x:si>
    <x:t xml:space="preserve">Regulă CombinedGate</x:t>
  </x:si>
  <x:si>
    <x:t xml:space="preserve">PASS numai cu inputuri complete</x:t>
  </x:si>
  <x:si>
    <x:t xml:space="preserve">PENALTY = minimum PRUDENT</x:t>
  </x:si>
  <x:si>
    <x:t xml:space="preserve">Ordine selecție</x:t>
  </x:si>
  <x:si>
    <x:t xml:space="preserve">Risk → P ajustată → Confidence</x:t>
  </x:si>
  <x:si>
    <x:t xml:space="preserve">fără cotă și EV</x:t>
  </x:si>
  <x:si>
    <x:t xml:space="preserve">structural floor înainte de ranking</x:t>
  </x:si>
  <x:si>
    <x:t xml:space="preserve">SELECTOR MULTI-LINIE – HANDICAP EUROPEAN v7 | WORKBOOK OPTIMIZAT V2</x:t>
  </x:si>
  <x:si>
    <x:t xml:space="preserve">Cotă 1 – INFO</x:t>
  </x:si>
  <x:si>
    <x:t xml:space="preserve">Cotă X – INFO</x:t>
  </x:si>
  <x:si>
    <x:t xml:space="preserve">Cotă 2 – INFO</x:t>
  </x:si>
  <x:si>
    <x:t xml:space="preserve">EV 1 – INFO</x:t>
  </x:si>
  <x:si>
    <x:t xml:space="preserve">EV X – INFO</x:t>
  </x:si>
  <x:si>
    <x:t xml:space="preserve">EV 2 – INFO</x:t>
  </x:si>
  <x:si>
    <x:t xml:space="preserve">P(M=2)</x:t>
  </x:si>
  <x:si>
    <x:t xml:space="preserve">P(M=3)</x:t>
  </x:si>
  <x:si>
    <x:t xml:space="preserve">P(M=4)</x:t>
  </x:si>
  <x:si>
    <x:t xml:space="preserve">P exact X</x:t>
  </x:si>
  <x:si>
    <x:t xml:space="preserve">P tail/oponent</x:t>
  </x:si>
  <x:si>
    <x:t xml:space="preserve">Verdict tehnic</x:t>
  </x:si>
  <x:si>
    <x:t xml:space="preserve">Ranking tehnic</x:t>
  </x:si>
  <x:si>
    <x:t xml:space="preserve">Rank</x:t>
  </x:si>
  <x:si>
    <x:t xml:space="preserve">Risk Verdict</x:t>
  </x:si>
  <x:si>
    <x:t xml:space="preserve">Pentru analize noi, salvează în Frozen_Predictions probabilitățile, exact-margin, Concentration234, CombinedGate, Risk Level și verdictul înainte de meci.</x:t>
  </x:si>
  <x:si>
    <x:t xml:space="preserve">ID</x:t>
  </x:si>
  <x:si>
    <x:t xml:space="preserve">Data meci</x:t>
  </x:si>
  <x:si>
    <x:t xml:space="preserve">Țară</x:t>
  </x:si>
  <x:si>
    <x:t xml:space="preserve">Tip meci</x:t>
  </x:si>
  <x:si>
    <x:t xml:space="preserve">Status fixture pre-meci</x:t>
  </x:si>
  <x:si>
    <x:t xml:space="preserve">λ gazde</x:t>
  </x:si>
  <x:si>
    <x:t xml:space="preserve">λ oaspeți</x:t>
  </x:si>
  <x:si>
    <x:t xml:space="preserve">P1 model</x:t>
  </x:si>
  <x:si>
    <x:t xml:space="preserve">PX model</x:t>
  </x:si>
  <x:si>
    <x:t xml:space="preserve">P2 model</x:t>
  </x:si>
  <x:si>
    <x:t xml:space="preserve">Pred. 1X2 model</x:t>
  </x:si>
  <x:si>
    <x:t xml:space="preserve">Favorită model</x:t>
  </x:si>
  <x:si>
    <x:t xml:space="preserve">Outsider</x:t>
  </x:si>
  <x:si>
    <x:t xml:space="preserve">Selecție EH (1/X/2)</x:t>
  </x:si>
  <x:si>
    <x:t xml:space="preserve">Descriere selecție</x:t>
  </x:si>
  <x:si>
    <x:t xml:space="preserve">P selecție EH</x:t>
  </x:si>
  <x:si>
    <x:t xml:space="preserve">P(X handicap)</x:t>
  </x:si>
  <x:si>
    <x:t xml:space="preserve">P pierdere tail/oponent</x:t>
  </x:si>
  <x:si>
    <x:t xml:space="preserve">Verdict model v1</x:t>
  </x:si>
  <x:si>
    <x:t xml:space="preserve">Cotă fair selecție</x:t>
  </x:si>
  <x:si>
    <x:t xml:space="preserve">Cotă minimă v2</x:t>
  </x:si>
  <x:si>
    <x:t xml:space="preserve">Cotă oferită</x:t>
  </x:si>
  <x:si>
    <x:t xml:space="preserve">Bookmaker</x:t>
  </x:si>
  <x:si>
    <x:t xml:space="preserve">Cotă closing</x:t>
  </x:si>
  <x:si>
    <x:t xml:space="preserve">EV model</x:t>
  </x:si>
  <x:si>
    <x:t xml:space="preserve">Buffer incertitudine</x:t>
  </x:si>
  <x:si>
    <x:t xml:space="preserve">EV ajustat</x:t>
  </x:si>
  <x:si>
    <x:t xml:space="preserve">Verdict legacy v2 – AUDIT ONLY</x:t>
  </x:si>
  <x:si>
    <x:t xml:space="preserve">Selecție strictă v1?</x:t>
  </x:si>
  <x:si>
    <x:t xml:space="preserve">Goluri gazde</x:t>
  </x:si>
  <x:si>
    <x:t xml:space="preserve">Goluri oaspeți</x:t>
  </x:si>
  <x:si>
    <x:t xml:space="preserve">Scor final</x:t>
  </x:si>
  <x:si>
    <x:t xml:space="preserve">1X2 final</x:t>
  </x:si>
  <x:si>
    <x:t xml:space="preserve">Pred. 1X2 corectă?</x:t>
  </x:si>
  <x:si>
    <x:t xml:space="preserve">Rezultat EH 3-way</x:t>
  </x:si>
  <x:si>
    <x:t xml:space="preserve">Rezultat pariu EH</x:t>
  </x:si>
  <x:si>
    <x:t xml:space="preserve">Profit unități</x:t>
  </x:si>
  <x:si>
    <x:t xml:space="preserve">CLV</x:t>
  </x:si>
  <x:si>
    <x:t xml:space="preserve">Diagnostic post-meci</x:t>
  </x:si>
  <x:si>
    <x:t xml:space="preserve">Lecție / acțiune</x:t>
  </x:si>
  <x:si>
    <x:t xml:space="preserve">Sursa rezultat</x:t>
  </x:si>
  <x:si>
    <x:t xml:space="preserve">Status verificare</x:t>
  </x:si>
  <x:si>
    <x:t xml:space="preserve">Versiune model</x:t>
  </x:si>
  <x:si>
    <x:t xml:space="preserve">Prag P(X)</x:t>
  </x:si>
  <x:si>
    <x:t xml:space="preserve">Penalizare P(X)</x:t>
  </x:si>
  <x:si>
    <x:t xml:space="preserve">EV ajustat după P(X)</x:t>
  </x:si>
  <x:si>
    <x:t xml:space="preserve">Gate exact-margin</x:t>
  </x:si>
  <x:si>
    <x:t xml:space="preserve">Fail exact-margin?</x:t>
  </x:si>
  <x:si>
    <x:t xml:space="preserve">Anglia</x:t>
  </x:si>
  <x:si>
    <x:t xml:space="preserve">Premier League</x:t>
  </x:si>
  <x:si>
    <x:t xml:space="preserve">Liverpool</x:t>
  </x:si>
  <x:si>
    <x:t xml:space="preserve">Nottingham Forest</x:t>
  </x:si>
  <x:si>
    <x:t xml:space="preserve">Campionat / ligă</x:t>
  </x:si>
  <x:si>
    <x:t xml:space="preserve">Confirmat</x:t>
  </x:si>
  <x:si>
    <x:t xml:space="preserve">https://www.premierleague.com/en/news/4678381/fixture-amendments-for-premier-league-matches-in-august-and-september</x:t>
  </x:si>
  <x:si>
    <x:t xml:space="preserve">2</x:t>
  </x:si>
  <x:si>
    <x:t xml:space="preserve">Nottingham Forest +4</x:t>
  </x:si>
  <x:si>
    <x:t xml:space="preserve">DOAR LA COTĂ MINIMĂ</x:t>
  </x:si>
  <x:si>
    <x:t xml:space="preserve">DE EVITAT – RISC +4</x:t>
  </x:si>
  <x:si>
    <x:t xml:space="preserve">2–2</x:t>
  </x:si>
  <x:si>
    <x:t xml:space="preserve">X</x:t>
  </x:si>
  <x:si>
    <x:t xml:space="preserve">WIN</x:t>
  </x:si>
  <x:si>
    <x:t xml:space="preserve">Modelul a supraestimat separarea dintre echipe; meciul a rămas echilibrat și s-a terminat egal. Totuși, linia +4 a absorbit eroarea direcțională.</x:t>
  </x:si>
  <x:si>
    <x:t xml:space="preserve">Liverpool favorită clară în piață; Forest vine după două înfrângeri fără gol.</x:t>
  </x:si>
  <x:si>
    <x:t xml:space="preserve">https://www.skysports.com/football-scores-fixtures/2026-08-29</x:t>
  </x:si>
  <x:si>
    <x:t xml:space="preserve">FINAL</x:t>
  </x:si>
  <x:si>
    <x:t xml:space="preserve">v1 / backtest 29.08.2026</x:t>
  </x:si>
  <x:si>
    <x:t xml:space="preserve">Bournemouth</x:t>
  </x:si>
  <x:si>
    <x:t xml:space="preserve">Everton</x:t>
  </x:si>
  <x:si>
    <x:t xml:space="preserve">DE EVITAT</x:t>
  </x:si>
  <x:si>
    <x:t xml:space="preserve">FĂRĂ SELECȚIE v1</x:t>
  </x:si>
  <x:si>
    <x:t xml:space="preserve">1–1</x:t>
  </x:si>
  <x:si>
    <x:t xml:space="preserve">Modelul a supraestimat separarea dintre echipe; meciul a rămas echilibrat și s-a terminat egal.</x:t>
  </x:si>
  <x:si>
    <x:t xml:space="preserve">Modelul și piața nu indică aceeași favorită; meci apropiat.</x:t>
  </x:si>
  <x:si>
    <x:t xml:space="preserve">Coventry</x:t>
  </x:si>
  <x:si>
    <x:t xml:space="preserve">Hull</x:t>
  </x:si>
  <x:si>
    <x:t xml:space="preserve">0–1</x:t>
  </x:si>
  <x:si>
    <x:t xml:space="preserve">Direcția 1X2 a fost corectă; modelul a evitat totuși handicapul din motive de claritate/value.</x:t>
  </x:si>
  <x:si>
    <x:t xml:space="preserve">Contradicție puternică între model și piață; totalul modelat este neobișnuit de mic.</x:t>
  </x:si>
  <x:si>
    <x:t xml:space="preserve">Tottenham</x:t>
  </x:si>
  <x:si>
    <x:t xml:space="preserve">Newcastle</x:t>
  </x:si>
  <x:si>
    <x:t xml:space="preserve">0–2</x:t>
  </x:si>
  <x:si>
    <x:t xml:space="preserve">Modelul a fost prea orientat spre egal și a subestimat diferența efectivă de forță/execuție.</x:t>
  </x:si>
  <x:si>
    <x:t xml:space="preserve">Meci echilibrat; Tottenham are serie slabă în campionat, iar ambele loturi au absențe.</x:t>
  </x:si>
  <x:si>
    <x:t xml:space="preserve">Championship</x:t>
  </x:si>
  <x:si>
    <x:t xml:space="preserve">Wolves</x:t>
  </x:si>
  <x:si>
    <x:t xml:space="preserve">Stoke</x:t>
  </x:si>
  <x:si>
    <x:t xml:space="preserve">Stoke +4</x:t>
  </x:si>
  <x:si>
    <x:t xml:space="preserve">4–1</x:t>
  </x:si>
  <x:si>
    <x:t xml:space="preserve">1</x:t>
  </x:si>
  <x:si>
    <x:t xml:space="preserve">Direcția 1X2 a fost corectă; handicapul +4 a oferit suplimentar protecție față de marja de scor.</x:t>
  </x:si>
  <x:si>
    <x:t xml:space="preserve">Wolves favorită acasă; scorul proiectat rămâne strâns.</x:t>
  </x:si>
  <x:si>
    <x:t xml:space="preserve">Derby</x:t>
  </x:si>
  <x:si>
    <x:t xml:space="preserve">Swansea</x:t>
  </x:si>
  <x:si>
    <x:t xml:space="preserve">0–3</x:t>
  </x:si>
  <x:si>
    <x:t xml:space="preserve">Diferență redusă de nivel și probabilitate mare de egal.</x:t>
  </x:si>
  <x:si>
    <x:t xml:space="preserve">Middlesbrough</x:t>
  </x:si>
  <x:si>
    <x:t xml:space="preserve">West Brom</x:t>
  </x:si>
  <x:si>
    <x:t xml:space="preserve">3–1</x:t>
  </x:si>
  <x:si>
    <x:t xml:space="preserve">Direcția 1X2 s-a inversat față de model; semnal de eroare în identificarea favoritei sau de volatilitate/context insuficient modelat.</x:t>
  </x:si>
  <x:si>
    <x:t xml:space="preserve">Modelul favorizează West Brom, piața favorizează Middlesbrough; ambele au început bine.</x:t>
  </x:si>
  <x:si>
    <x:t xml:space="preserve">Blackburn</x:t>
  </x:si>
  <x:si>
    <x:t xml:space="preserve">QPR</x:t>
  </x:si>
  <x:si>
    <x:t xml:space="preserve">1–2</x:t>
  </x:si>
  <x:si>
    <x:t xml:space="preserve">Meci foarte echilibrat; egalul are cea mai mare probabilitate în model.</x:t>
  </x:si>
  <x:si>
    <x:t xml:space="preserve">Bolton</x:t>
  </x:si>
  <x:si>
    <x:t xml:space="preserve">Lincoln</x:t>
  </x:si>
  <x:si>
    <x:t xml:space="preserve">Lincoln +4</x:t>
  </x:si>
  <x:si>
    <x:t xml:space="preserve">JUCABIL</x:t>
  </x:si>
  <x:si>
    <x:t xml:space="preserve">ANALIZĂ TEHNICĂ – FĂRĂ PARIU</x:t>
  </x:si>
  <x:si>
    <x:t xml:space="preserve">Direcția 1X2 s-a inversat față de model; semnal de eroare în identificarea favoritei sau de volatilitate/context insuficient modelat. Totuși, linia +4 a absorbit eroarea direcțională.</x:t>
  </x:si>
  <x:si>
    <x:t xml:space="preserve">Diferență mare în model, dar media de goluri este foarte mică; +4 protejează puternic outsiderul.</x:t>
  </x:si>
  <x:si>
    <x:t xml:space="preserve">Bristol City</x:t>
  </x:si>
  <x:si>
    <x:t xml:space="preserve">Portsmouth</x:t>
  </x:si>
  <x:si>
    <x:t xml:space="preserve">2–1</x:t>
  </x:si>
  <x:si>
    <x:t xml:space="preserve">Probabilități aproape egale; outsider neclar.</x:t>
  </x:si>
  <x:si>
    <x:t xml:space="preserve">Cardiff</x:t>
  </x:si>
  <x:si>
    <x:t xml:space="preserve">Sheffield United</x:t>
  </x:si>
  <x:si>
    <x:t xml:space="preserve">Egal dominant în model; fără outsider clar.</x:t>
  </x:si>
  <x:si>
    <x:t xml:space="preserve">Charlton</x:t>
  </x:si>
  <x:si>
    <x:t xml:space="preserve">Preston</x:t>
  </x:si>
  <x:si>
    <x:t xml:space="preserve">1–0</x:t>
  </x:si>
  <x:si>
    <x:t xml:space="preserve">Charlton în start bun, dar avantajul nu este suficient pentru outsider clar.</x:t>
  </x:si>
  <x:si>
    <x:t xml:space="preserve">Norwich</x:t>
  </x:si>
  <x:si>
    <x:t xml:space="preserve">Burnley</x:t>
  </x:si>
  <x:si>
    <x:t xml:space="preserve">Confruntare foarte echilibrată; Burnley are avantaj H2H, dar nu outsider clar.</x:t>
  </x:si>
  <x:si>
    <x:t xml:space="preserve">Southampton</x:t>
  </x:si>
  <x:si>
    <x:t xml:space="preserve">Millwall</x:t>
  </x:si>
  <x:si>
    <x:t xml:space="preserve">5–1</x:t>
  </x:si>
  <x:si>
    <x:t xml:space="preserve">Direcția 1X2 s-a inversat față de model; semnal de eroare în identificarea favoritei sau de volatilitate/context insuficient modelat. Atenție: diferența exactă de 4 mută rezultatul pe X în EH 3-way.</x:t>
  </x:si>
  <x:si>
    <x:t xml:space="preserve">Modelul favorizează Millwall, piața Southampton; semnal contradictoriu.</x:t>
  </x:si>
  <x:si>
    <x:t xml:space="preserve">Watford</x:t>
  </x:si>
  <x:si>
    <x:t xml:space="preserve">West Ham</x:t>
  </x:si>
  <x:si>
    <x:t xml:space="preserve">Echipe apropiate; West Ham este retrogradată, dar Watford are avantajul terenului.</x:t>
  </x:si>
  <x:si>
    <x:t xml:space="preserve">Elveția</x:t>
  </x:si>
  <x:si>
    <x:t xml:space="preserve">Super League</x:t>
  </x:si>
  <x:si>
    <x:t xml:space="preserve">Lausanne</x:t>
  </x:si>
  <x:si>
    <x:t xml:space="preserve">FC Zürich</x:t>
  </x:si>
  <x:si>
    <x:t xml:space="preserve">https://zurich.nau.ch/sport/matchcenter/leagues/super-league/matches</x:t>
  </x:si>
  <x:si>
    <x:t xml:space="preserve">2–3</x:t>
  </x:si>
  <x:si>
    <x:t xml:space="preserve">Lausanne ușor favorită; total ridicat, dar outsiderul nu este clar.</x:t>
  </x:si>
  <x:si>
    <x:t xml:space="preserve">https://www.telefootball.net/RO/day/29.08.2026</x:t>
  </x:si>
  <x:si>
    <x:t xml:space="preserve">Servette</x:t>
  </x:si>
  <x:si>
    <x:t xml:space="preserve">Luzern</x:t>
  </x:si>
  <x:si>
    <x:t xml:space="preserve">Servette are avantaj de piață, însă modelul vede egal; diferență insuficientă.</x:t>
  </x:si>
  <x:si>
    <x:t xml:space="preserve">Young Boys</x:t>
  </x:si>
  <x:si>
    <x:t xml:space="preserve">Basel</x:t>
  </x:si>
  <x:si>
    <x:t xml:space="preserve">3–3</x:t>
  </x:si>
  <x:si>
    <x:t xml:space="preserve">Modelul și piața indică favorite opuse; Young Boys este neînvinsă, meci cu goluri multe.</x:t>
  </x:si>
  <x:si>
    <x:t xml:space="preserve">Franța</x:t>
  </x:si>
  <x:si>
    <x:t xml:space="preserve">Ligue 1</x:t>
  </x:si>
  <x:si>
    <x:t xml:space="preserve">Strasbourg</x:t>
  </x:si>
  <x:si>
    <x:t xml:space="preserve">Lens</x:t>
  </x:si>
  <x:si>
    <x:t xml:space="preserve">https://www.forebet.com/fr/previsions-de-football-pour-france/league1/fixtures</x:t>
  </x:si>
  <x:si>
    <x:t xml:space="preserve">Lens favorită, dar linia +4 produce mai ales siguranță, nu automat valoare.</x:t>
  </x:si>
  <x:si>
    <x:t xml:space="preserve">Auxerre</x:t>
  </x:si>
  <x:si>
    <x:t xml:space="preserve">Angers</x:t>
  </x:si>
  <x:si>
    <x:t xml:space="preserve">1–3</x:t>
  </x:si>
  <x:si>
    <x:t xml:space="preserve">Auxerre favorită moderată; nu există outsider suficient de clar.</x:t>
  </x:si>
  <x:si>
    <x:t xml:space="preserve">Brest</x:t>
  </x:si>
  <x:si>
    <x:t xml:space="preserve">Toulouse</x:t>
  </x:si>
  <x:si>
    <x:t xml:space="preserve">Piața este perfect echilibrată, în pofida avantajului modelului pentru Brest.</x:t>
  </x:si>
  <x:si>
    <x:t xml:space="preserve">Lorient</x:t>
  </x:si>
  <x:si>
    <x:t xml:space="preserve">Troyes</x:t>
  </x:si>
  <x:si>
    <x:t xml:space="preserve">Egalul domină modelul; piața favorizează Lorient, dar nu suficient pentru +4 de valoare.</x:t>
  </x:si>
  <x:si>
    <x:t xml:space="preserve">Lyon</x:t>
  </x:si>
  <x:si>
    <x:t xml:space="preserve">Le Havre</x:t>
  </x:si>
  <x:si>
    <x:t xml:space="preserve">Le Havre +4</x:t>
  </x:si>
  <x:si>
    <x:t xml:space="preserve">Lyon are avantaj clar de lot, teren și formă; marja de 5+ rămâne scenariul critic pentru +4.</x:t>
  </x:si>
  <x:si>
    <x:t xml:space="preserve">Ligue 2</x:t>
  </x:si>
  <x:si>
    <x:t xml:space="preserve">Annecy</x:t>
  </x:si>
  <x:si>
    <x:t xml:space="preserve">Metz</x:t>
  </x:si>
  <x:si>
    <x:t xml:space="preserve">https://www.forebet.com/en/football-tips-and-predictions-for-france</x:t>
  </x:si>
  <x:si>
    <x:t xml:space="preserve">Egal foarte probabil; meci fără outsider clar.</x:t>
  </x:si>
  <x:si>
    <x:t xml:space="preserve">Red Star</x:t>
  </x:si>
  <x:si>
    <x:t xml:space="preserve">Reims</x:t>
  </x:si>
  <x:si>
    <x:t xml:space="preserve">Cotele sunt simetrice, iar modelul indică egal; de evitat la handicap.</x:t>
  </x:si>
  <x:si>
    <x:t xml:space="preserve">Guingamp</x:t>
  </x:si>
  <x:si>
    <x:t xml:space="preserve">Nantes</x:t>
  </x:si>
  <x:si>
    <x:t xml:space="preserve">Modelul și piața indică favorite opuse; volatilitate mare a evaluării.</x:t>
  </x:si>
  <x:si>
    <x:t xml:space="preserve">Austria</x:t>
  </x:si>
  <x:si>
    <x:t xml:space="preserve">Bundesliga</x:t>
  </x:si>
  <x:si>
    <x:t xml:space="preserve">Grazer AK</x:t>
  </x:si>
  <x:si>
    <x:t xml:space="preserve">Wolfsberger AC</x:t>
  </x:si>
  <x:si>
    <x:t xml:space="preserve">https://www.forebet.com/en/football-tips-and-predictions-for-austria</x:t>
  </x:si>
  <x:si>
    <x:t xml:space="preserve">0–0</x:t>
  </x:si>
  <x:si>
    <x:t xml:space="preserve">Wolfsberger favorită moderată într-un meci cu total ridicat; outsider neclar pentru criteriul strict.</x:t>
  </x:si>
  <x:si>
    <x:t xml:space="preserve">LASK</x:t>
  </x:si>
  <x:si>
    <x:t xml:space="preserve">Altach</x:t>
  </x:si>
  <x:si>
    <x:t xml:space="preserve">Altach +4</x:t>
  </x:si>
  <x:si>
    <x:t xml:space="preserve">3–0</x:t>
  </x:si>
  <x:si>
    <x:t xml:space="preserve">LASK favorită clară; +4 Altach are protecție mare, condiționată de cotă.</x:t>
  </x:si>
  <x:si>
    <x:t xml:space="preserve">Belgia</x:t>
  </x:si>
  <x:si>
    <x:t xml:space="preserve">Pro League</x:t>
  </x:si>
  <x:si>
    <x:t xml:space="preserve">RAAL La Louvière</x:t>
  </x:si>
  <x:si>
    <x:t xml:space="preserve">Mechelen</x:t>
  </x:si>
  <x:si>
    <x:t xml:space="preserve">https://www.forebet.com/en/football-tips-and-predictions-for-belgium/jupiler-pro-league/fixtures</x:t>
  </x:si>
  <x:si>
    <x:t xml:space="preserve">Meci apropiat; forma de deplasare a lui Mechelen este slabă.</x:t>
  </x:si>
  <x:si>
    <x:t xml:space="preserve">Kortrijk</x:t>
  </x:si>
  <x:si>
    <x:t xml:space="preserve">Charleroi</x:t>
  </x:si>
  <x:si>
    <x:t xml:space="preserve">Charleroi are serie puternică și este favorită clară; +4 Kortrijk minimizează riscul de marjă extremă.</x:t>
  </x:si>
  <x:si>
    <x:t xml:space="preserve">Cercle Brugge</x:t>
  </x:si>
  <x:si>
    <x:t xml:space="preserve">Lommel</x:t>
  </x:si>
  <x:si>
    <x:t xml:space="preserve">Piața favorizează puternic Cercle, modelul Lommel; contradicție majoră.</x:t>
  </x:si>
  <x:si>
    <x:t xml:space="preserve">OH Leuven</x:t>
  </x:si>
  <x:si>
    <x:t xml:space="preserve">Standard Liège</x:t>
  </x:si>
  <x:si>
    <x:t xml:space="preserve">Standard favorită moderată; total ridicat și diferență insuficientă pentru criteriul strict.</x:t>
  </x:si>
  <x:si>
    <x:t xml:space="preserve">Germania</x:t>
  </x:si>
  <x:si>
    <x:t xml:space="preserve">Elversberg</x:t>
  </x:si>
  <x:si>
    <x:t xml:space="preserve">Bayer Leverkusen</x:t>
  </x:si>
  <x:si>
    <x:t xml:space="preserve">https://www.vfb.de/de/1893/profis/saison/2026-2027/bundesliga/spieltage/</x:t>
  </x:si>
  <x:si>
    <x:t xml:space="preserve">3–2</x:t>
  </x:si>
  <x:si>
    <x:t xml:space="preserve">Leverkusen favorită clară, dar totalul foarte ridicat mărește coada marjelor extreme.</x:t>
  </x:si>
  <x:si>
    <x:t xml:space="preserve">https://datencenter.dfb.de/competitions/12/seasons/current</x:t>
  </x:si>
  <x:si>
    <x:t xml:space="preserve">Köln</x:t>
  </x:si>
  <x:si>
    <x:t xml:space="preserve">Hoffenheim</x:t>
  </x:si>
  <x:si>
    <x:t xml:space="preserve">Hoffenheim favorită moderată; linia +4 este sigură, dar probabil prea scumpă.</x:t>
  </x:si>
  <x:si>
    <x:t xml:space="preserve">Mainz</x:t>
  </x:si>
  <x:si>
    <x:t xml:space="preserve">Paderborn</x:t>
  </x:si>
  <x:si>
    <x:t xml:space="preserve">Mainz favorită de piață; avantajul nu trece confortabil pragul strict.</x:t>
  </x:si>
  <x:si>
    <x:t xml:space="preserve">RB Leipzig</x:t>
  </x:si>
  <x:si>
    <x:t xml:space="preserve">M'gladbach</x:t>
  </x:si>
  <x:si>
    <x:t xml:space="preserve">NECONFIRMAT / REPROGRAMAT</x:t>
  </x:si>
  <x:si>
    <x:t xml:space="preserve">M'gladbach +4</x:t>
  </x:si>
  <x:si>
    <x:t xml:space="preserve">DE EVITAT – CONFIDENCE</x:t>
  </x:si>
  <x:si>
    <x:t xml:space="preserve">Leipzig favorită clară; +4 Gladbach are probabilitate ridicată și risc de cotă foarte mică.</x:t>
  </x:si>
  <x:si>
    <x:t xml:space="preserve">Union Berlin</x:t>
  </x:si>
  <x:si>
    <x:t xml:space="preserve">Eintracht Frankfurt</x:t>
  </x:si>
  <x:si>
    <x:t xml:space="preserve">Piața este echilibrată; outsider neclar.</x:t>
  </x:si>
  <x:si>
    <x:t xml:space="preserve">Borussia Dortmund</x:t>
  </x:si>
  <x:si>
    <x:t xml:space="preserve">Hamburg</x:t>
  </x:si>
  <x:si>
    <x:t xml:space="preserve">Hamburg +4</x:t>
  </x:si>
  <x:si>
    <x:t xml:space="preserve">2–0</x:t>
  </x:si>
  <x:si>
    <x:t xml:space="preserve">Dortmund favorită foarte clară; +4 Hamburg este orientată spre siguranță, nu spre randament mare.</x:t>
  </x:si>
  <x:si>
    <x:t xml:space="preserve">Italia</x:t>
  </x:si>
  <x:si>
    <x:t xml:space="preserve">Serie A</x:t>
  </x:si>
  <x:si>
    <x:t xml:space="preserve">Fiorentina</x:t>
  </x:si>
  <x:si>
    <x:t xml:space="preserve">Frosinone</x:t>
  </x:si>
  <x:si>
    <x:t xml:space="preserve">Piața favorizează Fiorentina, modelul vede egal; diferență moderată.</x:t>
  </x:si>
  <x:si>
    <x:t xml:space="preserve">Monza</x:t>
  </x:si>
  <x:si>
    <x:t xml:space="preserve">Udinese</x:t>
  </x:si>
  <x:si>
    <x:t xml:space="preserve">Udinese favorită moderată; nu există diferență suficientă pentru outsider clar.</x:t>
  </x:si>
  <x:si>
    <x:t xml:space="preserve">Sassuolo</x:t>
  </x:si>
  <x:si>
    <x:t xml:space="preserve">Torino</x:t>
  </x:si>
  <x:si>
    <x:t xml:space="preserve">Meci aproape simetric; handicapul +4 nu oferă valoare.</x:t>
  </x:si>
  <x:si>
    <x:t xml:space="preserve">Juventus</x:t>
  </x:si>
  <x:si>
    <x:t xml:space="preserve">Parma</x:t>
  </x:si>
  <x:si>
    <x:t xml:space="preserve">Parma +4</x:t>
  </x:si>
  <x:si>
    <x:t xml:space="preserve">Piața vede Juventus favorită masivă, mai puternic decât modelul; +4 Parma trebuie evaluat strict la preț.</x:t>
  </x:si>
  <x:si>
    <x:t xml:space="preserve">Serie B</x:t>
  </x:si>
  <x:si>
    <x:t xml:space="preserve">Sampdoria</x:t>
  </x:si>
  <x:si>
    <x:t xml:space="preserve">Juve Stabia</x:t>
  </x:si>
  <x:si>
    <x:t xml:space="preserve">https://www.legab.it/seriebkt/calendario/2026-2027/stagione-regolare/2</x:t>
  </x:si>
  <x:si>
    <x:t xml:space="preserve">Sampdoria favorită, însă nu suficient de dominantă pentru pragul cel mai strict.</x:t>
  </x:si>
  <x:si>
    <x:t xml:space="preserve">Virtus Entella</x:t>
  </x:si>
  <x:si>
    <x:t xml:space="preserve">Cesena</x:t>
  </x:si>
  <x:si>
    <x:t xml:space="preserve">Probabilitate mare de egal; outsider neclar.</x:t>
  </x:si>
  <x:si>
    <x:t xml:space="preserve">Ascoli</x:t>
  </x:si>
  <x:si>
    <x:t xml:space="preserve">Carrarese</x:t>
  </x:si>
  <x:si>
    <x:t xml:space="preserve">Modelul indică diferență mare, piața doar moderată; păstrează prudența.</x:t>
  </x:si>
  <x:si>
    <x:t xml:space="preserve">Avellino</x:t>
  </x:si>
  <x:si>
    <x:t xml:space="preserve">L.R. Vicenza</x:t>
  </x:si>
  <x:si>
    <x:t xml:space="preserve">Modelul favorizează Vicenza, piața ușor Avellino; neconcordanță.</x:t>
  </x:si>
  <x:si>
    <x:t xml:space="preserve">Padova</x:t>
  </x:si>
  <x:si>
    <x:t xml:space="preserve">Hellas Verona</x:t>
  </x:si>
  <x:si>
    <x:t xml:space="preserve">Egal dominant; Verona favorită foarte ușoară în piață.</x:t>
  </x:si>
  <x:si>
    <x:t xml:space="preserve">Polonia</x:t>
  </x:si>
  <x:si>
    <x:t xml:space="preserve">Ekstraklasa</x:t>
  </x:si>
  <x:si>
    <x:t xml:space="preserve">Radomiak</x:t>
  </x:si>
  <x:si>
    <x:t xml:space="preserve">Cracovia</x:t>
  </x:si>
  <x:si>
    <x:t xml:space="preserve">https://ekstraklasa.org/kalendarz/?day=2026-08-29&amp;month=8&amp;year=2026</x:t>
  </x:si>
  <x:si>
    <x:t xml:space="preserve">Cracovia favorită moderată într-un meci cu total mic.</x:t>
  </x:si>
  <x:si>
    <x:t xml:space="preserve">https://tylkoradomiak.pl/druzyna/terminarzwyniki%2C11.htm</x:t>
  </x:si>
  <x:si>
    <x:t xml:space="preserve">Motor Lublin</x:t>
  </x:si>
  <x:si>
    <x:t xml:space="preserve">Piast</x:t>
  </x:si>
  <x:si>
    <x:t xml:space="preserve">Motor are avantaj, dar diferența de piață este modestă.</x:t>
  </x:si>
  <x:si>
    <x:t xml:space="preserve">Wisła Kraków</x:t>
  </x:si>
  <x:si>
    <x:t xml:space="preserve">Wieczysta Kraków</x:t>
  </x:si>
  <x:si>
    <x:t xml:space="preserve">Derby local; favorită moderată, cu incertitudine suplimentară.</x:t>
  </x:si>
  <x:si>
    <x:t xml:space="preserve">Zagłębie Lubin</x:t>
  </x:si>
  <x:si>
    <x:t xml:space="preserve">Pogoń Szczecin</x:t>
  </x:si>
  <x:si>
    <x:t xml:space="preserve">Echilibru aproape perfect; de evitat pentru handicap.</x:t>
  </x:si>
  <x:si>
    <x:t xml:space="preserve">Scoția</x:t>
  </x:si>
  <x:si>
    <x:t xml:space="preserve">Premiership</x:t>
  </x:si>
  <x:si>
    <x:t xml:space="preserve">Celtic</x:t>
  </x:si>
  <x:si>
    <x:t xml:space="preserve">Falkirk</x:t>
  </x:si>
  <x:si>
    <x:t xml:space="preserve">https://www.rte.ie/sport/results/soccer/premiership/36832/fixtures/</x:t>
  </x:si>
  <x:si>
    <x:t xml:space="preserve">Falkirk +4</x:t>
  </x:si>
  <x:si>
    <x:t xml:space="preserve">Celtic favorită masivă, dar vine după efort european și are absențe defensive; +4 Falkirk oferă tampon mare.</x:t>
  </x:si>
  <x:si>
    <x:t xml:space="preserve">Hearts</x:t>
  </x:si>
  <x:si>
    <x:t xml:space="preserve">St Johnstone</x:t>
  </x:si>
  <x:si>
    <x:t xml:space="preserve">Hearts favorită, dar nu la nivel suficient pentru outsider foarte clar.</x:t>
  </x:si>
  <x:si>
    <x:t xml:space="preserve">Kilmarnock</x:t>
  </x:si>
  <x:si>
    <x:t xml:space="preserve">Dundee United</x:t>
  </x:si>
  <x:si>
    <x:t xml:space="preserve">0–4</x:t>
  </x:si>
  <x:si>
    <x:t xml:space="preserve">Total foarte ridicat și avantaj mic; de evitat.</x:t>
  </x:si>
  <x:si>
    <x:t xml:space="preserve">Cehia</x:t>
  </x:si>
  <x:si>
    <x:t xml:space="preserve">1. Liga</x:t>
  </x:si>
  <x:si>
    <x:t xml:space="preserve">Pardubice</x:t>
  </x:si>
  <x:si>
    <x:t xml:space="preserve">SK Artis Brno</x:t>
  </x:si>
  <x:si>
    <x:t xml:space="preserve">https://www.fkpardubice.cz/</x:t>
  </x:si>
  <x:si>
    <x:t xml:space="preserve">Partida este confirmată oficial ca Pardubice – SK Artis Brno; unele baze statistice afișează încă denumirea istorică SK Líšeň.</x:t>
  </x:si>
  <x:si>
    <x:t xml:space="preserve">Zbrojovka Brno</x:t>
  </x:si>
  <x:si>
    <x:t xml:space="preserve">Zlín</x:t>
  </x:si>
  <x:si>
    <x:t xml:space="preserve">Zlín +4</x:t>
  </x:si>
  <x:si>
    <x:t xml:space="preserve">Zbrojovka favorită clară; +4 Zlín este linia de siguranță.</x:t>
  </x:si>
  <x:si>
    <x:t xml:space="preserve">Baník Ostrava</x:t>
  </x:si>
  <x:si>
    <x:t xml:space="preserve">Sigma Olomouc</x:t>
  </x:si>
  <x:si>
    <x:t xml:space="preserve">Modelul favorizează Sigma, piața este aproape echilibrată; semnal slab.</x:t>
  </x:si>
  <x:si>
    <x:t xml:space="preserve">România</x:t>
  </x:si>
  <x:si>
    <x:t xml:space="preserve">SuperLiga</x:t>
  </x:si>
  <x:si>
    <x:t xml:space="preserve">Csikszereda</x:t>
  </x:si>
  <x:si>
    <x:t xml:space="preserve">CFR Cluj</x:t>
  </x:si>
  <x:si>
    <x:t xml:space="preserve">https://lpf.ro/noutati/superliga-programul-etapelor-a-7-a-si-a-8-a/6707</x:t>
  </x:si>
  <x:si>
    <x:t xml:space="preserve">CFR este favorită în piață, dar modelul indică diferență moderată; +4 are cotă probabil foarte mică.</x:t>
  </x:si>
  <x:si>
    <x:t xml:space="preserve">FC Argeș</x:t>
  </x:si>
  <x:si>
    <x:t xml:space="preserve">Sepsi</x:t>
  </x:si>
  <x:si>
    <x:t xml:space="preserve">Egal dominant și total redus; outsider neclar.</x:t>
  </x:si>
  <x:si>
    <x:t xml:space="preserve">Corvinul</x:t>
  </x:si>
  <x:si>
    <x:t xml:space="preserve">Dinamo București</x:t>
  </x:si>
  <x:si>
    <x:t xml:space="preserve">Dinamo favorită moderată; modelul are total extrem de mic.</x:t>
  </x:si>
  <x:si>
    <x:t xml:space="preserve">Ungaria</x:t>
  </x:si>
  <x:si>
    <x:t xml:space="preserve">NB I</x:t>
  </x:si>
  <x:si>
    <x:t xml:space="preserve">Nyíregyháza</x:t>
  </x:si>
  <x:si>
    <x:t xml:space="preserve">Paks</x:t>
  </x:si>
  <x:si>
    <x:t xml:space="preserve">https://www.forebet.com/en/football-tips-and-predictions-for-hungary/nb-1/fixtures</x:t>
  </x:si>
  <x:si>
    <x:t xml:space="preserve">Total foarte mare și favorit neclar; de evitat.</x:t>
  </x:si>
  <x:si>
    <x:t xml:space="preserve">Honvéd</x:t>
  </x:si>
  <x:si>
    <x:t xml:space="preserve">Zalaegerszeg</x:t>
  </x:si>
  <x:si>
    <x:t xml:space="preserve">Honvéd favorită moderată, dar nu suficient pentru criteriul strict.</x:t>
  </x:si>
  <x:si>
    <x:t xml:space="preserve">Újpest</x:t>
  </x:si>
  <x:si>
    <x:t xml:space="preserve">Vasas</x:t>
  </x:si>
  <x:si>
    <x:t xml:space="preserve">Modelul indică egal, piața ușor Újpest; de evitat.</x:t>
  </x:si>
  <x:si>
    <x:t xml:space="preserve">Norvegia</x:t>
  </x:si>
  <x:si>
    <x:t xml:space="preserve">Eliteserien</x:t>
  </x:si>
  <x:si>
    <x:t xml:space="preserve">Vålerenga</x:t>
  </x:si>
  <x:si>
    <x:t xml:space="preserve">Molde</x:t>
  </x:si>
  <x:si>
    <x:t xml:space="preserve">https://www.forebet.com/en/football-tips-and-predictions-for-norway/eliteserien/fixtures</x:t>
  </x:si>
  <x:si>
    <x:t xml:space="preserve">Meci neîncheiat la momentul verificării; nu intră în statisticile de backtest.</x:t>
  </x:si>
  <x:si>
    <x:t xml:space="preserve">Molde favorită moderată într-o ligă cu variație mare de scor.</x:t>
  </x:si>
  <x:si>
    <x:t xml:space="preserve">https://www.eliteserien.no/</x:t>
  </x:si>
  <x:si>
    <x:t xml:space="preserve">REPROGRAMAT</x:t>
  </x:si>
  <x:si>
    <x:t xml:space="preserve">Viking</x:t>
  </x:si>
  <x:si>
    <x:t xml:space="preserve">Aalesund</x:t>
  </x:si>
  <x:si>
    <x:t xml:space="preserve">Aalesund +4</x:t>
  </x:si>
  <x:si>
    <x:t xml:space="preserve">DE EVITAT – FIXTURE</x:t>
  </x:si>
  <x:si>
    <x:t xml:space="preserve">Viking favorită foarte clară; +4 Aalesund este selecție defensivă, atentă la cota minimă.</x:t>
  </x:si>
  <x:si>
    <x:t xml:space="preserve">https://www.vikingfotball.no/terminliste</x:t>
  </x:si>
  <x:si>
    <x:t xml:space="preserve">Grecia</x:t>
  </x:si>
  <x:si>
    <x:t xml:space="preserve">Volos</x:t>
  </x:si>
  <x:si>
    <x:t xml:space="preserve">Iraklis</x:t>
  </x:si>
  <x:si>
    <x:t xml:space="preserve">https://www.forebet.com/en/football-tips-and-predictions-for-greece/stages/regularseason</x:t>
  </x:si>
  <x:si>
    <x:t xml:space="preserve">Volos favorită ușoară; diferență insuficientă pentru outsider clar.</x:t>
  </x:si>
  <x:si>
    <x:t xml:space="preserve">Panetolikos</x:t>
  </x:si>
  <x:si>
    <x:t xml:space="preserve">Kalamata</x:t>
  </x:si>
  <x:si>
    <x:t xml:space="preserve">Meci echilibrat; modelul și piața nu converg asupra favoritei.</x:t>
  </x:si>
  <x:si>
    <x:t xml:space="preserve">https://www.forebet.com/ro/football/matches/panetolikos-kalamata-2520220</x:t>
  </x:si>
  <x:si>
    <x:t xml:space="preserve">Turcia</x:t>
  </x:si>
  <x:si>
    <x:t xml:space="preserve">Süper Lig</x:t>
  </x:si>
  <x:si>
    <x:t xml:space="preserve">Konyaspor</x:t>
  </x:si>
  <x:si>
    <x:t xml:space="preserve">Kocaelispor</x:t>
  </x:si>
  <x:si>
    <x:t xml:space="preserve">Confirmat; probabilități completate conservator</x:t>
  </x:si>
  <x:si>
    <x:t xml:space="preserve">https://www.forebet.com/en/football-tips-and-predictions-for-turkey/super-lig/fixtures</x:t>
  </x:si>
  <x:si>
    <x:t xml:space="preserve">Konyaspor are serie slabă, Kocaelispor câștigă rar; fără avantaj robust.</x:t>
  </x:si>
  <x:si>
    <x:t xml:space="preserve">Galatasaray</x:t>
  </x:si>
  <x:si>
    <x:t xml:space="preserve">Göztepe</x:t>
  </x:si>
  <x:si>
    <x:t xml:space="preserve">Confirmat; cote orientative</x:t>
  </x:si>
  <x:si>
    <x:t xml:space="preserve">Göztepe +4</x:t>
  </x:si>
  <x:si>
    <x:t xml:space="preserve">Galatasaray favorită clară, dar Göztepe +4 trebuie cumpărat numai peste cota minimă.</x:t>
  </x:si>
  <x:si>
    <x:t xml:space="preserve">Gaziantep</x:t>
  </x:si>
  <x:si>
    <x:t xml:space="preserve">Rizespor</x:t>
  </x:si>
  <x:si>
    <x:t xml:space="preserve">Echipe apropiate în startul sezonului; outsider neclar.</x:t>
  </x:si>
  <x:si>
    <x:t xml:space="preserve">Olanda</x:t>
  </x:si>
  <x:si>
    <x:t xml:space="preserve">Eredivisie</x:t>
  </x:si>
  <x:si>
    <x:t xml:space="preserve">Excelsior</x:t>
  </x:si>
  <x:si>
    <x:t xml:space="preserve">Sparta Rotterdam</x:t>
  </x:si>
  <x:si>
    <x:t xml:space="preserve">https://www.forebet.com/en/football-tips-and-predictions-for-netherlands/eredivisie/fixtures</x:t>
  </x:si>
  <x:si>
    <x:t xml:space="preserve">Derby echilibrat și total ridicat; de evitat la handicap.</x:t>
  </x:si>
  <x:si>
    <x:t xml:space="preserve">AZ Alkmaar</x:t>
  </x:si>
  <x:si>
    <x:t xml:space="preserve">Go Ahead Eagles</x:t>
  </x:si>
  <x:si>
    <x:t xml:space="preserve">5–2</x:t>
  </x:si>
  <x:si>
    <x:t xml:space="preserve">Piața favorizează puternic AZ, modelul indică egal; neconcordanță relevantă.</x:t>
  </x:si>
  <x:si>
    <x:t xml:space="preserve">PEC Zwolle</x:t>
  </x:si>
  <x:si>
    <x:t xml:space="preserve">NEC</x:t>
  </x:si>
  <x:si>
    <x:t xml:space="preserve">NEC favorită clară în piață, dar modelul este mult mai prudent.</x:t>
  </x:si>
  <x:si>
    <x:t xml:space="preserve">Spania</x:t>
  </x:si>
  <x:si>
    <x:t xml:space="preserve">La Liga</x:t>
  </x:si>
  <x:si>
    <x:t xml:space="preserve">Levante</x:t>
  </x:si>
  <x:si>
    <x:t xml:space="preserve">Real Betis</x:t>
  </x:si>
  <x:si>
    <x:t xml:space="preserve">https://www.forebet.com/en/football-tips-and-predictions-for-spain/primera-division/fixtures</x:t>
  </x:si>
  <x:si>
    <x:t xml:space="preserve">Betis favorită, dar nu suficient de puternică în piață pentru criteriul strict.</x:t>
  </x:si>
  <x:si>
    <x:t xml:space="preserve">Real Sociedad</x:t>
  </x:si>
  <x:si>
    <x:t xml:space="preserve">Espanyol</x:t>
  </x:si>
  <x:si>
    <x:t xml:space="preserve">Modelul favorizează Espanyol, piața Sociedad; contradicție.</x:t>
  </x:si>
  <x:si>
    <x:t xml:space="preserve">Sevilla</x:t>
  </x:si>
  <x:si>
    <x:t xml:space="preserve">Atlético Madrid</x:t>
  </x:si>
  <x:si>
    <x:t xml:space="preserve">Atlético favorită moderată, dar egalul are cea mai mare probabilitate în model.</x:t>
  </x:si>
  <x:si>
    <x:t xml:space="preserve">LaLiga 2</x:t>
  </x:si>
  <x:si>
    <x:t xml:space="preserve">Sabadell</x:t>
  </x:si>
  <x:si>
    <x:t xml:space="preserve">Almería</x:t>
  </x:si>
  <x:si>
    <x:t xml:space="preserve">https://www.forebet.com/en/football-tips-and-predictions-for-spain/segunda-division/fixtures</x:t>
  </x:si>
  <x:si>
    <x:t xml:space="preserve">Almería favorită ușoară; diferență insuficientă.</x:t>
  </x:si>
  <x:si>
    <x:t xml:space="preserve">Albacete</x:t>
  </x:si>
  <x:si>
    <x:t xml:space="preserve">Real Oviedo</x:t>
  </x:si>
  <x:si>
    <x:t xml:space="preserve">Egal dominant; outsider neclar.</x:t>
  </x:si>
  <x:si>
    <x:t xml:space="preserve">Leganés</x:t>
  </x:si>
  <x:si>
    <x:t xml:space="preserve">Eldense</x:t>
  </x:si>
  <x:si>
    <x:t xml:space="preserve">Leganés favorită moderată; +4 nu are suficientă valoare estimată.</x:t>
  </x:si>
  <x:si>
    <x:t xml:space="preserve">Girona</x:t>
  </x:si>
  <x:si>
    <x:t xml:space="preserve">Las Palmas</x:t>
  </x:si>
  <x:si>
    <x:t xml:space="preserve">Las Palmas favorită clară; +4 Girona are probabilitate ridicată.</x:t>
  </x:si>
  <x:si>
    <x:t xml:space="preserve">Portugalia</x:t>
  </x:si>
  <x:si>
    <x:t xml:space="preserve">Primeira Liga</x:t>
  </x:si>
  <x:si>
    <x:t xml:space="preserve">Arouca</x:t>
  </x:si>
  <x:si>
    <x:t xml:space="preserve">Marítimo</x:t>
  </x:si>
  <x:si>
    <x:t xml:space="preserve">https://www.forebet.com/en/football-tips-and-predictions-for-portugal/liga-portugal/fixtures</x:t>
  </x:si>
  <x:si>
    <x:t xml:space="preserve">Meci echilibrat; piața ușor Arouca, modelul ușor Marítimo.</x:t>
  </x:si>
  <x:si>
    <x:t xml:space="preserve">Alverca</x:t>
  </x:si>
  <x:si>
    <x:t xml:space="preserve">Santa Clara</x:t>
  </x:si>
  <x:si>
    <x:t xml:space="preserve">Cote aproape egale; outsider neclar.</x:t>
  </x:si>
  <x:si>
    <x:t xml:space="preserve">Académico Viseu</x:t>
  </x:si>
  <x:si>
    <x:t xml:space="preserve">FC Porto</x:t>
  </x:si>
  <x:si>
    <x:t xml:space="preserve">Académico Viseu +4</x:t>
  </x:si>
  <x:si>
    <x:t xml:space="preserve">Porto favorită masivă; +4 Académico Viseu oferă tampon, însă exact marja de 4 pierde selecția prin rezultatul X al pieței EH.</x:t>
  </x:si>
  <x:si>
    <x:t xml:space="preserve">STATISTICI – PREDICȚII ÎNGHEȚATE CU METODOLOGIA CURENTĂ</x:t>
  </x:si>
  <x:si>
    <x:t xml:space="preserve">Statisticile curente citesc Frozen_Predictions. Registrul legacy bazat pe cote/EV nu intră în aceste rezultate.</x:t>
  </x:si>
  <x:si>
    <x:t xml:space="preserve">Predicții înghețate</x:t>
  </x:si>
  <x:si>
    <x:t xml:space="preserve">snapshot-uri înainte de meci</x:t>
  </x:si>
  <x:si>
    <x:t xml:space="preserve">CombinedGate PASS</x:t>
  </x:si>
  <x:si>
    <x:t xml:space="preserve">eligibile structural</x:t>
  </x:si>
  <x:si>
    <x:t xml:space="preserve">Nivel 1 – DEFENSIV</x:t>
  </x:si>
  <x:si>
    <x:t xml:space="preserve">nucleu defensiv</x:t>
  </x:si>
  <x:si>
    <x:t xml:space="preserve">Nivel 2 – PRUDENT</x:t>
  </x:si>
  <x:si>
    <x:t xml:space="preserve">eligibil selectiv</x:t>
  </x:si>
  <x:si>
    <x:t xml:space="preserve">Nivel 3 – MODERAT</x:t>
  </x:si>
  <x:si>
    <x:t xml:space="preserve">analiză separată</x:t>
  </x:si>
  <x:si>
    <x:t xml:space="preserve">Nivel 4 – RIDICAT</x:t>
  </x:si>
  <x:si>
    <x:t xml:space="preserve">în general exclus</x:t>
  </x:si>
  <x:si>
    <x:t xml:space="preserve">Nivel 5 – WATCH / NO BET</x:t>
  </x:si>
  <x:si>
    <x:t xml:space="preserve">hard fail / risc foarte ridicat</x:t>
  </x:si>
  <x:si>
    <x:t xml:space="preserve">Cota / EV în clasificare</x:t>
  </x:si>
  <x:si>
    <x:t xml:space="preserve">informații economice separate</x:t>
  </x:si>
  <x:si>
    <x:t xml:space="preserve">Control de consistență</x:t>
  </x:si>
  <x:si>
    <x:t xml:space="preserve">Cota/EV alimentează selectorul</x:t>
  </x:si>
  <x:si>
    <x:t xml:space="preserve">informativ numai</x:t>
  </x:si>
  <x:si>
    <x:t xml:space="preserve">Lineup neconfirmat produce singur Nivel 5</x:t>
  </x:si>
  <x:si>
    <x:t xml:space="preserve">factor G1</x:t>
  </x:si>
  <x:si>
    <x:t xml:space="preserve">CombinedGate alimentează verdictul</x:t>
  </x:si>
  <x:si>
    <x:t xml:space="preserve">Verdict unic selectat</x:t>
  </x:si>
  <x:si>
    <x:t xml:space="preserve">Analiza_Selectata!B20</x:t>
  </x:si>
  <x:si>
    <x:t xml:space="preserve">Scor 0–100</x:t>
  </x:si>
  <x:si>
    <x:t xml:space="preserve">Definiție operațională</x:t>
  </x:si>
  <x:si>
    <x:t xml:space="preserve">Trigger</x:t>
  </x:si>
  <x:si>
    <x:t xml:space="preserve">Data Quality Risk</x:t>
  </x:si>
  <x:si>
    <x:t xml:space="preserve">Completitudine, sample, consistență, stabilitate și context</x:t>
  </x:si>
  <x:si>
    <x:t xml:space="preserve">datele meciului; fără cotă/EV</x:t>
  </x:si>
  <x:si>
    <x:t xml:space="preserve">Distribution / Tail Risk</x:t>
  </x:si>
  <x:si>
    <x:t xml:space="preserve">Market Structure Risk</x:t>
  </x:si>
  <x:si>
    <x:t xml:space="preserve">Fragilitatea 3-way a marjelor 2/3/4</x:t>
  </x:si>
  <x:si>
    <x:t xml:space="preserve">Context / Game-State Risk</x:t>
  </x:si>
  <x:si>
    <x:t xml:space="preserve">Contextul tehnic introdus în filtrul calitativ</x:t>
  </x:si>
  <x:si>
    <x:t xml:space="preserve">include lotul ca factor G1, nu hard fail</x:t>
  </x:si>
  <x:si>
    <x:t xml:space="preserve">Model Uncertainty</x:t>
  </x:si>
  <x:si>
    <x:t xml:space="preserve">Sample și stabilitatea modelului</x:t>
  </x:si>
  <x:si>
    <x:t xml:space="preserve">small sample / λ instabil</x:t>
  </x:si>
  <x:si>
    <x:t xml:space="preserve">Market / Price Risk</x:t>
  </x:si>
  <x:si>
    <x:t xml:space="preserve">Cota și EV sunt informative</x:t>
  </x:si>
  <x:si>
    <x:t xml:space="preserve">pondere zero în verdict</x:t>
  </x:si>
  <x:si>
    <x:t xml:space="preserve">Correlation / Compound Risk</x:t>
  </x:si>
  <x:si>
    <x:t xml:space="preserve">Interacțiunea dintre distribuție și structură</x:t>
  </x:si>
  <x:si>
    <x:t xml:space="preserve">calcul derivat; fără cotă/EV</x:t>
  </x:si>
  <x:si>
    <x:t xml:space="preserve">Nivel</x:t>
  </x:si>
  <x:si>
    <x:t xml:space="preserve">Etichetă</x:t>
  </x:si>
  <x:si>
    <x:t xml:space="preserve">0–20</x:t>
  </x:si>
  <x:si>
    <x:t xml:space="preserve">DEFENSIV</x:t>
  </x:si>
  <x:si>
    <x:t xml:space="preserve">eligibil dacă G0 PASS</x:t>
  </x:si>
  <x:si>
    <x:t xml:space="preserve">&gt;20–40</x:t>
  </x:si>
  <x:si>
    <x:t xml:space="preserve">PRUDENT</x:t>
  </x:si>
  <x:si>
    <x:t xml:space="preserve">&gt;40–60</x:t>
  </x:si>
  <x:si>
    <x:t xml:space="preserve">MODERAT</x:t>
  </x:si>
  <x:si>
    <x:t xml:space="preserve">selectiv</x:t>
  </x:si>
  <x:si>
    <x:t xml:space="preserve">&gt;60–80</x:t>
  </x:si>
  <x:si>
    <x:t xml:space="preserve">RIDICAT</x:t>
  </x:si>
  <x:si>
    <x:t xml:space="preserve">în general exclus defensiv</x:t>
  </x:si>
  <x:si>
    <x:t xml:space="preserve">&gt;80 sau hard fail</x:t>
  </x:si>
  <x:si>
    <x:t xml:space="preserve">WATCH / NO BET</x:t>
  </x:si>
  <x:si>
    <x:t xml:space="preserve">hard gate override</x:t>
  </x:si>
  <x:si>
    <x:t xml:space="preserve">Regulă comună</x:t>
  </x:si>
  <x:si>
    <x:t xml:space="preserve">Exact-margin ±2/±3</x:t>
  </x:si>
  <x:si>
    <x:t xml:space="preserve">≤4 PASS; 4–6 PENALTY; &gt;6 FAIL</x:t>
  </x:si>
  <x:si>
    <x:t xml:space="preserve">FAIL produce Nivel 5</x:t>
  </x:si>
  <x:si>
    <x:t xml:space="preserve">Exact-margin ±4</x:t>
  </x:si>
  <x:si>
    <x:t xml:space="preserve">≤3 PASS; &gt;3 FAIL</x:t>
  </x:si>
  <x:si>
    <x:t xml:space="preserve">gate strict</x:t>
  </x:si>
  <x:si>
    <x:t xml:space="preserve">≤20 PASS; 20–27 PENALTY; &gt;27 FAIL</x:t>
  </x:si>
  <x:si>
    <x:t xml:space="preserve">PASS numai cu date populate</x:t>
  </x:si>
  <x:si>
    <x:t xml:space="preserve">INFORMATIV</x:t>
  </x:si>
  <x:si>
    <x:t xml:space="preserve">G3</x:t>
  </x:si>
  <x:si>
    <x:t xml:space="preserve">nu intră în Risk Score/ranking/verdict</x:t>
  </x:si>
  <x:si>
    <x:t xml:space="preserve">Lineup</x:t>
  </x:si>
  <x:si>
    <x:t xml:space="preserve">Context / Confidence</x:t>
  </x:si>
  <x:si>
    <x:t xml:space="preserve">nu produce singur Nivel 5</x:t>
  </x:si>
  <x:si>
    <x:t xml:space="preserve">Componente pentru linia selectată</x:t>
  </x:si>
  <x:si>
    <x:t xml:space="preserve">Scor automat</x:t>
  </x:si>
  <x:si>
    <x:t xml:space="preserve">Data Quality</x:t>
  </x:si>
  <x:si>
    <x:t xml:space="preserve">Tail / Distribution</x:t>
  </x:si>
  <x:si>
    <x:t xml:space="preserve">Market Structure</x:t>
  </x:si>
  <x:si>
    <x:t xml:space="preserve">Context / Game-State</x:t>
  </x:si>
  <x:si>
    <x:t xml:space="preserve">Market / Price</x:t>
  </x:si>
  <x:si>
    <x:t xml:space="preserve">Correlation / Compound</x:t>
  </x:si>
  <x:si>
    <x:t xml:space="preserve">Risk Score calculat</x:t>
  </x:si>
  <x:si>
    <x:t xml:space="preserve">Final Risk Verdict</x:t>
  </x:si>
  <x:si>
    <x:t xml:space="preserve">Handicap</x:t>
  </x:si>
  <x:si>
    <x:t xml:space="preserve">Distribution/Tail</x:t>
  </x:si>
  <x:si>
    <x:t xml:space="preserve">Market/Price</x:t>
  </x:si>
  <x:si>
    <x:t xml:space="preserve">Compound</x:t>
  </x:si>
  <x:si>
    <x:t xml:space="preserve">Raw Level</x:t>
  </x:si>
  <x:si>
    <x:t xml:space="preserve">REFERINȚĂ PRAGURI – EXACT-MARGIN ȘI CONCENTRATION234</x:t>
  </x:si>
  <x:si>
    <x:t xml:space="preserve">Controlul activ și valorile curente sunt în ExactMargin_Gate_v5 și Selector_Linii_v2.</x:t>
  </x:si>
  <x:si>
    <x:t xml:space="preserve">PASS</x:t>
  </x:si>
  <x:si>
    <x:t xml:space="preserve">PENALTY</x:t>
  </x:si>
  <x:si>
    <x:t xml:space="preserve">FAIL</x:t>
  </x:si>
  <x:si>
    <x:t xml:space="preserve">≤4%</x:t>
  </x:si>
  <x:si>
    <x:t xml:space="preserve">&gt;4–6%</x:t>
  </x:si>
  <x:si>
    <x:t xml:space="preserve">&gt;6%</x:t>
  </x:si>
  <x:si>
    <x:t xml:space="preserve">≤3%</x:t>
  </x:si>
  <x:si>
    <x:t xml:space="preserve">&gt;3%</x:t>
  </x:si>
  <x:si>
    <x:t xml:space="preserve">≤20%</x:t>
  </x:si>
  <x:si>
    <x:t xml:space="preserve">&gt;20–27%</x:t>
  </x:si>
  <x:si>
    <x:t xml:space="preserve">&gt;27%</x:t>
  </x:si>
  <x:si>
    <x:t xml:space="preserve">toate controalele PASS</x:t>
  </x:si>
  <x:si>
    <x:t xml:space="preserve">oricare PENALTY</x:t>
  </x:si>
  <x:si>
    <x:t xml:space="preserve">oricare FAIL</x:t>
  </x:si>
  <x:si>
    <x:t xml:space="preserve">FROZEN PREDICTIONS – HANDICAP EUROPEAN v7</x:t>
  </x:si>
  <x:si>
    <x:t xml:space="preserve">Snapshot_ID</x:t>
  </x:si>
  <x:si>
    <x:t xml:space="preserve">Snapshot_TS</x:t>
  </x:si>
  <x:si>
    <x:t xml:space="preserve">Match_Date</x:t>
  </x:si>
  <x:si>
    <x:t xml:space="preserve">Country</x:t>
  </x:si>
  <x:si>
    <x:t xml:space="preserve">League</x:t>
  </x:si>
  <x:si>
    <x:t xml:space="preserve">Home</x:t>
  </x:si>
  <x:si>
    <x:t xml:space="preserve">Away</x:t>
  </x:si>
  <x:si>
    <x:t xml:space="preserve">EH_Line</x:t>
  </x:si>
  <x:si>
    <x:t xml:space="preserve">Selection</x:t>
  </x:si>
  <x:si>
    <x:t xml:space="preserve">Model_Version</x:t>
  </x:si>
  <x:si>
    <x:t xml:space="preserve">P_Final</x:t>
  </x:si>
  <x:si>
    <x:t xml:space="preserve">Verdict</x:t>
  </x:si>
  <x:si>
    <x:t xml:space="preserve">Risk_Level</x:t>
  </x:si>
  <x:si>
    <x:t xml:space="preserve">Hard_Gates</x:t>
  </x:si>
  <x:si>
    <x:t xml:space="preserve">P_M2</x:t>
  </x:si>
  <x:si>
    <x:t xml:space="preserve">P_M3</x:t>
  </x:si>
  <x:si>
    <x:t xml:space="preserve">P_M4</x:t>
  </x:si>
  <x:si>
    <x:t xml:space="preserve">P_M5Plus</x:t>
  </x:si>
  <x:si>
    <x:t xml:space="preserve">ExactMarginSelected</x:t>
  </x:si>
  <x:si>
    <x:t xml:space="preserve">ExactMarginZone</x:t>
  </x:si>
  <x:si>
    <x:t xml:space="preserve">ConcentrationGate</x:t>
  </x:si>
  <x:si>
    <x:t xml:space="preserve">BuilderEligible</x:t>
  </x:si>
  <x:si>
    <x:t xml:space="preserve">PreMatch_Frozen</x:t>
  </x:si>
  <x:si>
    <x:t xml:space="preserve">Notes</x:t>
  </x:si>
  <x:si>
    <x:t xml:space="preserve">P_Final_Frozen</x:t>
  </x:si>
  <x:si>
    <x:t xml:space="preserve">Outcome_1_0</x:t>
  </x:si>
  <x:si>
    <x:t xml:space="preserve">Score_H</x:t>
  </x:si>
  <x:si>
    <x:t xml:space="preserve">Score_A</x:t>
  </x:si>
  <x:si>
    <x:t xml:space="preserve">Realized_Margin</x:t>
  </x:si>
  <x:si>
    <x:t xml:space="preserve">ExactMarginRealized</x:t>
  </x:si>
  <x:si>
    <x:t xml:space="preserve">Fail_Mode</x:t>
  </x:si>
  <x:si>
    <x:t xml:space="preserve">Settlement_Source</x:t>
  </x:si>
  <x:si>
    <x:t xml:space="preserve">Settled_TS</x:t>
  </x:si>
  <x:si>
    <x:t xml:space="preserve">Brier</x:t>
  </x:si>
  <x:si>
    <x:t xml:space="preserve">LogLoss</x:t>
  </x:si>
  <x:si>
    <x:t xml:space="preserve">CombinedGate_Frozen</x:t>
  </x:si>
  <x:si>
    <x:t xml:space="preserve">BuilderEligible_Frozen</x:t>
  </x:si>
  <x:si>
    <x:t xml:space="preserve">Reference: 12 of 21 EH failures were exact-margin (57.1%; Wilson 95% 36.5%–75.5%). Evidence is not split OOS by M=2/M=3/M=4, so current thresholds remain.</x:t>
  </x:si>
  <x:si>
    <x:t xml:space="preserve">Metric</x:t>
  </x:si>
  <x:si>
    <x:t xml:space="preserve">Walk-forward</x:t>
  </x:si>
  <x:si>
    <x:t xml:space="preserve">Meaning</x:t>
  </x:si>
  <x:si>
    <x:t xml:space="preserve">Decision role</x:t>
  </x:si>
  <x:si>
    <x:t xml:space="preserve">Reference</x:t>
  </x:si>
  <x:si>
    <x:t xml:space="preserve">Reference value</x:t>
  </x:si>
  <x:si>
    <x:t xml:space="preserve">Wilson/metric</x:t>
  </x:si>
  <x:si>
    <x:t xml:space="preserve">Settled N</x:t>
  </x:si>
  <x:si>
    <x:t xml:space="preserve">Frozen settled EH</x:t>
  </x:si>
  <x:si>
    <x:t xml:space="preserve">OOS volume</x:t>
  </x:si>
  <x:si>
    <x:t xml:space="preserve">30.08 fail audit</x:t>
  </x:si>
  <x:si>
    <x:t xml:space="preserve">36.5%–75.5%</x:t>
  </x:si>
  <x:si>
    <x:t xml:space="preserve">REFERENCE</x:t>
  </x:si>
  <x:si>
    <x:t xml:space="preserve">Wins</x:t>
  </x:si>
  <x:si>
    <x:t xml:space="preserve">Diagnostic</x:t>
  </x:si>
  <x:si>
    <x:t xml:space="preserve">Exact-margin fails</x:t>
  </x:si>
  <x:si>
    <x:t xml:space="preserve">57.1% of fails</x:t>
  </x:si>
  <x:si>
    <x:t xml:space="preserve">HitRate</x:t>
  </x:si>
  <x:si>
    <x:t xml:space="preserve">Observed</x:t>
  </x:si>
  <x:si>
    <x:t xml:space="preserve">Diagnostic only</x:t>
  </x:si>
  <x:si>
    <x:t xml:space="preserve">Lower better</x:t>
  </x:si>
  <x:si>
    <x:t xml:space="preserve">Required</x:t>
  </x:si>
  <x:si>
    <x:t xml:space="preserve">N/A</x:t>
  </x:si>
  <x:si>
    <x:t xml:space="preserve">Stable leagues</x:t>
  </x:si>
  <x:si>
    <x:t xml:space="preserve">Multi-league</x:t>
  </x:si>
  <x:si>
    <x:t xml:space="preserve">M2/M3/M4 calibration</x:t>
  </x:si>
  <x:si>
    <x:t xml:space="preserve">SEE Calibration</x:t>
  </x:si>
  <x:si>
    <x:t xml:space="preserve">Line-specific</x:t>
  </x:si>
  <x:si>
    <x:t xml:space="preserve">Threshold decision</x:t>
  </x:si>
  <x:si>
    <x:t xml:space="preserve">KEEP CURRENT</x:t>
  </x:si>
  <x:si>
    <x:t xml:space="preserve">Manual governance</x:t>
  </x:si>
  <x:si>
    <x:t xml:space="preserve">MANUAL</x:t>
  </x:si>
  <x:si>
    <x:t xml:space="preserve">Builder rule</x:t>
  </x:si>
  <x:si>
    <x:t xml:space="preserve">CombinedGate PASS only</x:t>
  </x:si>
  <x:si>
    <x:t xml:space="preserve">No PENALTY/WATCH</x:t>
  </x:si>
  <x:si>
    <x:t xml:space="preserve">Hard</x:t>
  </x:si>
  <x:si>
    <x:t xml:space="preserve">HARD</x:t>
  </x:si>
  <x:si>
    <x:t xml:space="preserve">RISK LEVEL SUMMARY</x:t>
  </x:si>
  <x:si>
    <x:t xml:space="preserve">EH risk remains decomposed into direction, exact margin, concentration and tail.</x:t>
  </x:si>
  <x:si>
    <x:t xml:space="preserve">Risk Level</x:t>
  </x:si>
  <x:si>
    <x:t xml:space="preserve">N</x:t>
  </x:si>
  <x:si>
    <x:t xml:space="preserve">FailRate</x:t>
  </x:si>
  <x:si>
    <x:t xml:space="preserve">CALIBRATION – EXACT MARGIN BY LINE</x:t>
  </x:si>
  <x:si>
    <x:t xml:space="preserve">Model-vs-observed calibration must be evaluated separately for M=2, M=3 and M=4 on frozen OOS snapshots.</x:t>
  </x:si>
  <x:si>
    <x:t xml:space="preserve">Margin</x:t>
  </x:si>
  <x:si>
    <x:t xml:space="preserve">Frozen N</x:t>
  </x:si>
  <x:si>
    <x:t xml:space="preserve">Mean P(M=k)</x:t>
  </x:si>
  <x:si>
    <x:t xml:space="preserve">Observed exact rate</x:t>
  </x:si>
  <x:si>
    <x:t xml:space="preserve">Calibration Gap</x:t>
  </x:si>
  <x:si>
    <x:t xml:space="preserve">Wilson low</x:t>
  </x:si>
  <x:si>
    <x:t xml:space="preserve">Wilson high</x:t>
  </x:si>
  <x:si>
    <x:t xml:space="preserve">Decision</x:t>
  </x:si>
  <x:si>
    <x:t xml:space="preserve">FAIL DISTRIBUTION</x:t>
  </x:si>
  <x:si>
    <x:t xml:space="preserve">The 30.08 audit found 12/21 EH failures at exact margin; v5 now attributes these by margin line.</x:t>
  </x:si>
  <x:si>
    <x:t xml:space="preserve">Fail Mode</x:t>
  </x:si>
  <x:si>
    <x:t xml:space="preserve">Fails</x:t>
  </x:si>
  <x:si>
    <x:t xml:space="preserve">Share</x:t>
  </x:si>
  <x:si>
    <x:t xml:space="preserve">Use</x:t>
  </x:si>
  <x:si>
    <x:t xml:space="preserve">Exact margin M=2</x:t>
  </x:si>
  <x:si>
    <x:t xml:space="preserve">Exact margin M=3</x:t>
  </x:si>
  <x:si>
    <x:t xml:space="preserve">Exact margin M=4</x:t>
  </x:si>
  <x:si>
    <x:t xml:space="preserve">Margin &gt;=5 / tail</x:t>
  </x:si>
  <x:si>
    <x:t xml:space="preserve">Direction error</x:t>
  </x:si>
  <x:si>
    <x:t xml:space="preserve">Concentration 2-4</x:t>
  </x:si>
  <x:si>
    <x:t xml:space="preserve">Other</x:t>
  </x:si>
  <x:si>
    <x:t xml:space="preserve">LEAGUE SUMMARY</x:t>
  </x:si>
  <x:si>
    <x:t xml:space="preserve">No line threshold is changed until calibration impact is stable across multiple leagues.</x:t>
  </x:si>
  <x:si>
    <x:t xml:space="preserve">MeanP</x:t>
  </x:si>
  <x:si>
    <x:t xml:space="preserve">CalGap</x:t>
  </x:si>
  <x:si>
    <x:t xml:space="preserve">Stability</x:t>
  </x:si>
  <x:si>
    <x:t xml:space="preserve">MONTHLY SUMMARY</x:t>
  </x:si>
  <x:si>
    <x:t xml:space="preserve">Temporal stability is required in addition to league stability.</x:t>
  </x:si>
  <x:si>
    <x:t xml:space="preserve">Month Start</x:t>
  </x:si>
  <x:si>
    <x:t xml:space="preserve">BUILDER MARGINAL FAILS</x:t>
  </x:si>
  <x:si>
    <x:t xml:space="preserve">EH can enter a Builder only if the v5 Combined Gate is PASS.</x:t>
  </x:si>
  <x:si>
    <x:t xml:space="preserve">Builder_ID</x:t>
  </x:si>
  <x:si>
    <x:t xml:space="preserve">Builder_Type</x:t>
  </x:si>
  <x:si>
    <x:t xml:space="preserve">Match</x:t>
  </x:si>
  <x:si>
    <x:t xml:space="preserve">P_Exact</x:t>
  </x:si>
  <x:si>
    <x:t xml:space="preserve">EH_Failed</x:t>
  </x:si>
  <x:si>
    <x:t xml:space="preserve">MarginalFailContribution</x:t>
  </x:si>
  <x:si>
    <x:t xml:space="preserve">Source_Gates</x:t>
  </x:si>
  <x:si>
    <x:t xml:space="preserve">Builder_Result</x:t>
  </x:si>
  <x:si>
    <x:t xml:space="preserve">Valorile sunt preluate din distribuția curentă și din selectorul final.</x:t>
  </x:si>
  <x:si>
    <x:t xml:space="preserve">Valoare curentă</x:t>
  </x:si>
  <x:si>
    <x:t xml:space="preserve">Prag activ</x:t>
  </x:si>
  <x:si>
    <x:t xml:space="preserve">Efect</x:t>
  </x:si>
  <x:si>
    <x:t xml:space="preserve">Linie EH absolută</x:t>
  </x:si>
  <x:si>
    <x:t xml:space="preserve">2 / 3 / 4</x:t>
  </x:si>
  <x:si>
    <x:t xml:space="preserve">calculat</x:t>
  </x:si>
  <x:si>
    <x:t xml:space="preserve">Tail/oponent</x:t>
  </x:si>
  <x:si>
    <x:t xml:space="preserve">±4: max 2%</x:t>
  </x:si>
  <x:si>
    <x:t xml:space="preserve">≤20 / 20–27 / &gt;27</x:t>
  </x:si>
  <x:si>
    <x:t xml:space="preserve">PASS / PENALTY / FAIL</x:t>
  </x:si>
  <x:si>
    <x:t xml:space="preserve">control exact-margin</x:t>
  </x:si>
  <x:si>
    <x:t xml:space="preserve">intră direct în selector</x:t>
  </x:si>
  <x:si>
    <x:t xml:space="preserve">Builder eligible</x:t>
  </x:si>
  <x:si>
    <x:t xml:space="preserve">PENALTY/FAIL nu sunt eligibile</x:t>
  </x:si>
  <x:si>
    <x:t xml:space="preserve">HANDICAP EUROPEAN v7 – METODOLOGIE STRUCTURAL FLOOR</x:t>
  </x:si>
  <x:si>
    <x:t xml:space="preserve">Stare linie</x:t>
  </x:si>
  <x:si>
    <x:t xml:space="preserve">Criteriu existent folosit</x:t>
  </x:si>
  <x:si>
    <x:t xml:space="preserve">Final risk</x:t>
  </x:si>
  <x:si>
    <x:t xml:space="preserve">Gate PASS / ELIGIBIL TEHNIC</x:t>
  </x:si>
  <x:si>
    <x:t xml:space="preserve">Exact-margin/concentration aplicabil și fără penalizare</x:t>
  </x:si>
  <x:si>
    <x:t xml:space="preserve">MAX(raw,1)</x:t>
  </x:si>
  <x:si>
    <x:t xml:space="preserve">Poate ajunge DEFENSIV numai dacă raw risk=1</x:t>
  </x:si>
  <x:si>
    <x:t xml:space="preserve">PENALIZARE / PRUDENT TEHNIC</x:t>
  </x:si>
  <x:si>
    <x:t xml:space="preserve">Gate existent în zona PENALTY</x:t>
  </x:si>
  <x:si>
    <x:t xml:space="preserve">MAX(raw,2)</x:t>
  </x:si>
  <x:si>
    <x:t xml:space="preserve">Minimum PRUDENT</x:t>
  </x:si>
  <x:si>
    <x:t xml:space="preserve">Gate N/A pe 0/±1</x:t>
  </x:si>
  <x:si>
    <x:t xml:space="preserve">Nu există control exact-margin line-specific în modelul curent</x:t>
  </x:si>
  <x:si>
    <x:t xml:space="preserve">MAX(raw,3)</x:t>
  </x:si>
  <x:si>
    <x:t xml:space="preserve">Minimum MODERAT până la OOS dedicat</x:t>
  </x:si>
  <x:si>
    <x:t xml:space="preserve">Pre-fail / DE EVITAT</x:t>
  </x:si>
  <x:si>
    <x:t xml:space="preserve">Stare structurală fragilă înainte de override</x:t>
  </x:si>
  <x:si>
    <x:t xml:space="preserve">5 la hard fail</x:t>
  </x:si>
  <x:si>
    <x:t xml:space="preserve">Nu este eligibil pentru profil defensiv</x:t>
  </x:si>
  <x:si>
    <x:t xml:space="preserve">Hard gate FAIL</x:t>
  </x:si>
  <x:si>
    <x:t xml:space="preserve">5</x:t>
  </x:si>
  <x:si>
    <x:t xml:space="preserve">Override absolut; nu este floor, este hard fail</x:t>
  </x:si>
  <x:si>
    <x:t xml:space="preserve">CHANGELOG VERSIUNI – consolidare foi Update / WF_Update</x:t>
  </x:si>
  <x:si>
    <x:t xml:space="preserve">SURSĂ CONSOLIDATĂ: Update_v4</x:t>
  </x:si>
  <x:si>
    <x:t xml:space="preserve">UPDATE METODOLOGIE – v4</x:t>
  </x:si>
  <x:si>
    <x:t xml:space="preserve">Prioritate</x:t>
  </x:si>
  <x:si>
    <x:t xml:space="preserve">Update</x:t>
  </x:si>
  <x:si>
    <x:t xml:space="preserve">Problemă / motiv</x:t>
  </x:si>
  <x:si>
    <x:t xml:space="preserve">Regulă operațională</x:t>
  </x:si>
  <x:si>
    <x:t xml:space="preserve">Implementare</x:t>
  </x:si>
  <x:si>
    <x:t xml:space="preserve">Impact risc</x:t>
  </x:si>
  <x:si>
    <x:t xml:space="preserve">P0</x:t>
  </x:si>
  <x:si>
    <x:t xml:space="preserve">Exact-Margin Gate severizat +2/+3</x:t>
  </x:si>
  <x:si>
    <x:t xml:space="preserve">P(X)=4,75% nu mai este automat safe</x:t>
  </x:si>
  <x:si>
    <x:t xml:space="preserve">≤4% preferat; 4–6% penalizat; &gt;6% NO BET pentru ±2/±3, configurabil.</x:t>
  </x:si>
  <x:si>
    <x:t xml:space="preserve">ExactMargin_Gate_v4</x:t>
  </x:si>
  <x:si>
    <x:t xml:space="preserve">Reduce masa centrală</x:t>
  </x:si>
  <x:si>
    <x:t xml:space="preserve">P0/P1</x:t>
  </x:si>
  <x:si>
    <x:t xml:space="preserve">Distribution Concentration</x:t>
  </x:si>
  <x:si>
    <x:t xml:space="preserve">PX izolat nu surprinde clusterul 2/3/4</x:t>
  </x:si>
  <x:si>
    <x:t xml:space="preserve">Concentration234=P(M2)+P(M3)+P(M4); &gt;20% penalizare; &gt;27% WATCH/NO BET.</x:t>
  </x:si>
  <x:si>
    <x:t xml:space="preserve">Controlează densitatea în jurul handicapului</x:t>
  </x:si>
  <x:si>
    <x:t xml:space="preserve">Tail separat</x:t>
  </x:si>
  <x:si>
    <x:t xml:space="preserve">Concentrația și blowout sunt riscuri diferite</x:t>
  </x:si>
  <x:si>
    <x:t xml:space="preserve">Raportează exact-margin, concentration și 5+ tail separat.</x:t>
  </x:si>
  <x:si>
    <x:t xml:space="preserve">Transparență</x:t>
  </x:si>
  <x:si>
    <x:t xml:space="preserve">SURSĂ CONSOLIDATĂ: WF_Update_v5</x:t>
  </x:si>
  <x:si>
    <x:t xml:space="preserve">UPDATE EH v5 – WALK-FORWARD</x:t>
  </x:si>
  <x:si>
    <x:t xml:space="preserve">12/21 exact-margin failures justify decomposition, not retrospective line-threshold tuning.</x:t>
  </x:si>
  <x:si>
    <x:t xml:space="preserve">Priority</x:t>
  </x:si>
  <x:si>
    <x:t xml:space="preserve">Change</x:t>
  </x:si>
  <x:si>
    <x:t xml:space="preserve">Evidence</x:t>
  </x:si>
  <x:si>
    <x:t xml:space="preserve">Operational rule</x:t>
  </x:si>
  <x:si>
    <x:t xml:space="preserve">Threshold action</x:t>
  </x:si>
  <x:si>
    <x:t xml:space="preserve">Builder</x:t>
  </x:si>
  <x:si>
    <x:t xml:space="preserve">Audit</x:t>
  </x:si>
  <x:si>
    <x:t xml:space="preserve">M2/M3/M4/M&gt;=5 split</x:t>
  </x:si>
  <x:si>
    <x:t xml:space="preserve">Exact-margin dominates fail mix, but no line-separated OOS</x:t>
  </x:si>
  <x:si>
    <x:t xml:space="preserve">Track/calibrate each line separately</x:t>
  </x:si>
  <x:si>
    <x:t xml:space="preserve">KEEP v4 zones</x:t>
  </x:si>
  <x:si>
    <x:t xml:space="preserve">Wilson/Brier/LogLoss by line/league</x:t>
  </x:si>
  <x:si>
    <x:t xml:space="preserve">ExactMarginCalibrationGap</x:t>
  </x:si>
  <x:si>
    <x:t xml:space="preserve">Needs frozen model P and observed exact-margin rate</x:t>
  </x:si>
  <x:si>
    <x:t xml:space="preserve">Gap per M=2/3/4</x:t>
  </x:si>
  <x:si>
    <x:t xml:space="preserve">NO threshold change yet</x:t>
  </x:si>
  <x:si>
    <x:t xml:space="preserve">Future gate input</x:t>
  </x:si>
  <x:si>
    <x:t xml:space="preserve">Promote only with multi-league stability</x:t>
  </x:si>
  <x:si>
    <x:t xml:space="preserve">SURSĂ CONSOLIDATĂ: Update_v6</x:t>
  </x:si>
  <x:si>
    <x:t xml:space="preserve">UPDATE v6 – Handicap European</x:t>
  </x:si>
  <x:si>
    <x:t xml:space="preserve">Modificare</x:t>
  </x:si>
  <x:si>
    <x:t xml:space="preserve">Impact</x:t>
  </x:si>
  <x:si>
    <x:t xml:space="preserve">Praguri vechi</x:t>
  </x:si>
  <x:si>
    <x:t xml:space="preserve">EV removed</x:t>
  </x:si>
  <x:si>
    <x:t xml:space="preserve">EV blocks and multi-line EV ranking disabled</x:t>
  </x:si>
  <x:si>
    <x:t xml:space="preserve">technical selection based on probabilities/gates</x:t>
  </x:si>
  <x:si>
    <x:t xml:space="preserve">ExactMargin thresholds unchanged</x:t>
  </x:si>
  <x:si>
    <x:t xml:space="preserve">Price optional</x:t>
  </x:si>
  <x:si>
    <x:t xml:space="preserve">missing exact EH price no longer creates WATCH</x:t>
  </x:si>
  <x:si>
    <x:t xml:space="preserve">technical verdict independent of odds</x:t>
  </x:si>
  <x:si>
    <x:t xml:space="preserve">unchanged</x:t>
  </x:si>
  <x:si>
    <x:t xml:space="preserve">P3</x:t>
  </x:si>
  <x:si>
    <x:t xml:space="preserve">Exact-margin retained</x:t>
  </x:si>
  <x:si>
    <x:t xml:space="preserve">P(X) and +4 strict gate unchanged</x:t>
  </x:si>
  <x:si>
    <x:t xml:space="preserve">core defensive logic preserved</x:t>
  </x:si>
  <x:si>
    <x:t xml:space="preserve">v5 thresholds unchanged</x:t>
  </x:si>
  <x:si>
    <x:t xml:space="preserve">P4</x:t>
  </x:si>
  <x:si>
    <x:t xml:space="preserve">Concentration retained</x:t>
  </x:si>
  <x:si>
    <x:t xml:space="preserve">distribution concentration remains technical risk</x:t>
  </x:si>
  <x:si>
    <x:t xml:space="preserve">no price dependency</x:t>
  </x:si>
  <x:si>
    <x:t xml:space="preserve">P5</x:t>
  </x:si>
  <x:si>
    <x:t xml:space="preserve">Settlement removed</x:t>
  </x:si>
  <x:si>
    <x:t xml:space="preserve">historical sheet deprecated</x:t>
  </x:si>
  <x:si>
    <x:t xml:space="preserve">no active impact</x:t>
  </x:si>
  <x:si>
    <x:t xml:space="preserve">SURSĂ CONSOLIDATĂ: Update_Risk_v7</x:t>
  </x:si>
  <x:si>
    <x:t xml:space="preserve">UPDATE v7 – STRUCTURAL FLOOR / VERDICT CONTROL</x:t>
  </x:si>
  <x:si>
    <x:t xml:space="preserve">Înainte</x:t>
  </x:si>
  <x:si>
    <x:t xml:space="preserve">După</x:t>
  </x:si>
  <x:si>
    <x:t xml:space="preserve">universal 2 în Risk_Classification</x:t>
  </x:si>
  <x:si>
    <x:t xml:space="preserve">mapare line-specific 1–4 pe starea gate-urilor existente</x:t>
  </x:si>
  <x:si>
    <x:t xml:space="preserve">selectorul calculează Y/Z/AA</x:t>
  </x:si>
  <x:si>
    <x:t xml:space="preserve">elimină contradicția cu Cadru v4</x:t>
  </x:si>
  <x:si>
    <x:t xml:space="preserve">Hard fail</x:t>
  </x:si>
  <x:si>
    <x:t xml:space="preserve">generic nelegat de floor</x:t>
  </x:si>
  <x:si>
    <x:t xml:space="preserve">Z=5 la DE EVITAT/hard fail</x:t>
  </x:si>
  <x:si>
    <x:t xml:space="preserve">override absolut</x:t>
  </x:si>
  <x:si>
    <x:t xml:space="preserve">probabilitatea nu poate compensa</x:t>
  </x:si>
  <x:si>
    <x:t xml:space="preserve">tehnic fără control Risk Level</x:t>
  </x:si>
  <x:si>
    <x:t xml:space="preserve">AA mapează exact 1/2/3/4/5</x:t>
  </x:si>
  <x:si>
    <x:t xml:space="preserve">nu poate fi mai bun decât Risk Level</x:t>
  </x:si>
  <x:si>
    <x:t xml:space="preserve">nomenclatură unică</x:t>
  </x:si>
  <x:si>
    <x:t xml:space="preserve">Ranking</x:t>
  </x:si>
  <x:si>
    <x:t xml:space="preserve">preponderent P tehnic</x:t>
  </x:si>
  <x:si>
    <x:t xml:space="preserve">Risk Level înainte de P</x:t>
  </x:si>
  <x:si>
    <x:t xml:space="preserve">W=(6-Risk)*100+P</x:t>
  </x:si>
  <x:si>
    <x:t xml:space="preserve">respectă ordinea cadrului</x:t>
  </x:si>
  <x:si>
    <x:t xml:space="preserve">UPDATE WORKBOOK OPTIMIZAT V2</x:t>
  </x:si>
  <x:si>
    <x:t xml:space="preserve">Problemă rezolvată</x:t>
  </x:si>
  <x:si>
    <x:t xml:space="preserve">Cadru</x:t>
  </x:si>
  <x:si>
    <x:t xml:space="preserve">influență directă/indirectă</x:t>
  </x:si>
  <x:si>
    <x:t xml:space="preserve">Market/Price=0; selector fără price/EV; backtest curent pe Frozen_Predictions</x:t>
  </x:si>
  <x:si>
    <x:t xml:space="preserve">v5</x:t>
  </x:si>
  <x:si>
    <x:t xml:space="preserve">Confidence putea produce hard fail</x:t>
  </x:si>
  <x:si>
    <x:t xml:space="preserve">G1; eliminat hard gate-ul de Confidence din selector</x:t>
  </x:si>
  <x:si>
    <x:t xml:space="preserve">Matrice v4</x:t>
  </x:si>
  <x:si>
    <x:t xml:space="preserve">Exact-margin</x:t>
  </x:si>
  <x:si>
    <x:t xml:space="preserve">praguri 6/8</x:t>
  </x:si>
  <x:si>
    <x:t xml:space="preserve">4/6 pentru ±2/±3; 3% pentru ±4</x:t>
  </x:si>
  <x:si>
    <x:t xml:space="preserve">gate corect</x:t>
  </x:si>
  <x:si>
    <x:t xml:space="preserve">foaie separată neconectată</x:t>
  </x:si>
  <x:si>
    <x:t xml:space="preserve">calcul live + ConcentrationGate + CombinedGate</x:t>
  </x:si>
  <x:si>
    <x:t xml:space="preserve">intră în verdict</x:t>
  </x:si>
  <x:si>
    <x:t xml:space="preserve">manual și zero</x:t>
  </x:si>
  <x:si>
    <x:t xml:space="preserve">componente automate, ponderi unice 25/30/15/15/10/0/5</x:t>
  </x:si>
  <x:si>
    <x:t xml:space="preserve">nivel real pe fiecare linie</x:t>
  </x:si>
  <x:si>
    <x:t xml:space="preserve">Verdict unic</x:t>
  </x:si>
  <x:si>
    <x:t xml:space="preserve">foi cu rezultate diferite</x:t>
  </x:si>
  <x:si>
    <x:t xml:space="preserve">Analiza_Selectata citește Z/AA pentru linia selectată</x:t>
  </x:si>
  <x:si>
    <x:t xml:space="preserve">un singur verdict final</x:t>
  </x:si>
  <x:si>
    <x:t xml:space="preserve">Pas</x:t>
  </x:si>
  <x:si>
    <x:t xml:space="preserve">Date critice</x:t>
  </x:si>
  <x:si>
    <x:t xml:space="preserve">distribuție score-margin + exact-margin + Concentration234</x:t>
  </x:si>
  <x:si>
    <x:t xml:space="preserve">lipsă critică = WATCH / NO BET</x:t>
  </x:si>
  <x:si>
    <x:t xml:space="preserve">Probabilități</x:t>
  </x:si>
  <x:si>
    <x:t xml:space="preserve">P1 / PX / P2 pentru fiecare linie -4…+4</x:t>
  </x:si>
  <x:si>
    <x:t xml:space="preserve">alegerea outcome-ului tehnic</x:t>
  </x:si>
  <x:si>
    <x:t xml:space="preserve">≤4% PASS; 4–6% PENALTY; &gt;6% FAIL</x:t>
  </x:si>
  <x:si>
    <x:t xml:space="preserve">PENALTY min PRUDENT; FAIL Nivel 5</x:t>
  </x:si>
  <x:si>
    <x:t xml:space="preserve">≤3% PASS; &gt;3% FAIL</x:t>
  </x:si>
  <x:si>
    <x:t xml:space="preserve">≤20% PASS; 20–27% PENALTY; &gt;27% FAIL</x:t>
  </x:si>
  <x:si>
    <x:t xml:space="preserve">FAIL prevalează; PASS numai cu inputuri populate</x:t>
  </x:si>
  <x:si>
    <x:t xml:space="preserve">hard control final</x:t>
  </x:si>
  <x:si>
    <x:t xml:space="preserve">Control ±4</x:t>
  </x:si>
  <x:si>
    <x:t xml:space="preserve">P selecție ≥95%; tail advers ≤2%</x:t>
  </x:si>
  <x:si>
    <x:t xml:space="preserve">FAIL = Nivel 5</x:t>
  </x:si>
  <x:si>
    <x:t xml:space="preserve">0–20 / 20–40 / 40–60 / 60–80 / &gt;80</x:t>
  </x:si>
  <x:si>
    <x:t xml:space="preserve">Nivel 1 / 2 / 3 / 4 / 5</x:t>
  </x:si>
  <x:si>
    <x:t xml:space="preserve">0/±1 minimum Nivel 3; PASS 1; PENALTY 2</x:t>
  </x:si>
  <x:si>
    <x:t xml:space="preserve">Final=max(raw risk,floor)</x:t>
  </x:si>
  <x:si>
    <x:t xml:space="preserve">factor G1 / Confidence</x:t>
  </x:si>
  <x:si>
    <x:t xml:space="preserve">Cota și EV</x:t>
  </x:si>
  <x:si>
    <x:t xml:space="preserve">informative, pondere zero</x:t>
  </x:si>
  <x:si>
    <x:t xml:space="preserve">Risk Level → P ajustată → Confidence</x:t>
  </x:si>
  <x:si>
    <x:t xml:space="preserve">numai selecții eligibile</x:t>
  </x:si>
  <x:si>
    <x:t xml:space="preserve">Semnificație</x:t>
  </x:si>
  <x:si>
    <x:t xml:space="preserve">Utilizare</x:t>
  </x:si>
  <x:si>
    <x:t xml:space="preserve">risc 0–20 și fără floor/gate mai sever</x:t>
  </x:si>
  <x:si>
    <x:t xml:space="preserve">prioritar</x:t>
  </x:si>
  <x:si>
    <x:t xml:space="preserve">risc &gt;20–40 sau PENALTY</x:t>
  </x:si>
  <x:si>
    <x:t xml:space="preserve">risc &gt;40–60 sau linie 0/±1</x:t>
  </x:si>
  <x:si>
    <x:t xml:space="preserve">separat</x:t>
  </x:si>
  <x:si>
    <x:t xml:space="preserve">risc &gt;60–80</x:t>
  </x:si>
  <x:si>
    <x:t xml:space="preserve">risc &gt;80 sau hard fail</x:t>
  </x:si>
  <x:si>
    <x:t xml:space="preserve">nu se recomandă</x:t>
  </x:si>
  <x:si>
    <x:t xml:space="preserve">Data status</x:t>
  </x:si>
  <x:si>
    <x:t xml:space="preserve">Tratament</x:t>
  </x:si>
  <x:si>
    <x:t xml:space="preserve">Hard fail?</x:t>
  </x:si>
  <x:si>
    <x:t xml:space="preserve">SMALL SAMPLE</x:t>
  </x:si>
  <x:si>
    <x:t xml:space="preserve">date existente, N mic</x:t>
  </x:si>
  <x:si>
    <x:t xml:space="preserve">PENDING OFFICIAL / lineup</x:t>
  </x:si>
  <x:si>
    <x:t xml:space="preserve">refresh / Confidence</x:t>
  </x:si>
  <x:si>
    <x:t xml:space="preserve">NU automat</x:t>
  </x:si>
  <x:si>
    <x:t xml:space="preserve">NOT AVAILABLE critic</x:t>
  </x:si>
  <x:si>
    <x:t xml:space="preserve">nu se poate calcula distribuția/gate-ul</x:t>
  </x:si>
</x:sst>
</file>

<file path=xl/styles.xml><?xml version="1.0" encoding="utf-8"?>
<x:styleSheet xmlns:x="http://schemas.openxmlformats.org/spreadsheetml/2006/main">
  <x:numFmts count="13">
    <x:numFmt numFmtId="164" formatCode="General"/>
    <x:numFmt numFmtId="165" formatCode="yyyy\-mm\-dd\ hh:mm"/>
    <x:numFmt numFmtId="166" formatCode="0.00"/>
    <x:numFmt numFmtId="167" formatCode="0%"/>
    <x:numFmt numFmtId="168" formatCode="0.000"/>
    <x:numFmt numFmtId="169" formatCode="0.0%"/>
    <x:numFmt numFmtId="170" formatCode="0.0"/>
    <x:numFmt numFmtId="171" formatCode="0.000%"/>
    <x:numFmt numFmtId="172" formatCode="0.00%"/>
    <x:numFmt numFmtId="173" formatCode="0"/>
    <x:numFmt numFmtId="174" formatCode="@"/>
    <x:numFmt numFmtId="175" formatCode="yyyy\-mm\-dd"/>
    <x:numFmt numFmtId="200" formatCode="0.0000"/>
  </x:numFmts>
  <x:fonts count="2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0"/>
      <x:name val="Calibri"/>
    </x:font>
    <x:font>
      <x:sz val="1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color rgb="FF16324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10"/>
      <x:color rgb="FF1F4E78"/>
      <x:name val="Calibri"/>
    </x:font>
    <x:font>
      <x:b/>
      <x:sz val="12"/>
      <x:color rgb="FF1F4E78"/>
      <x:name val="Calibri"/>
    </x:font>
    <x:font>
      <x:b/>
      <x:sz val="12"/>
      <x:color rgb="FFFFFFFF"/>
      <x:name val="Calibri"/>
    </x:font>
    <x:font>
      <x:i/>
      <x:sz val="11"/>
      <x:color rgb="FF1F1F1F"/>
      <x:name val="Calibri"/>
    </x:font>
    <x:font>
      <x:b/>
      <x:sz val="11"/>
      <x:name val="Calibri"/>
    </x:font>
    <x:font>
      <x:i/>
      <x:sz val="11"/>
      <x:color rgb="FF7F6000"/>
      <x:name val="Calibri"/>
    </x:font>
    <x:font>
      <x:b/>
      <x:sz val="14"/>
      <x:color rgb="FF7F6000"/>
      <x:name val="Calibri"/>
    </x:font>
    <x:font>
      <x:b/>
      <x:sz val="13"/>
      <x:color rgb="FFFFFFFF"/>
      <x:name val="Calibri"/>
    </x:font>
    <x:font>
      <x:i/>
      <x:sz val="11"/>
      <x:color rgb="FF666666"/>
      <x:name val="Calibri"/>
    </x:font>
    <x:font>
      <x:b/>
      <x:sz val="11"/>
      <x:color rgb="FF17365D"/>
      <x:name val="Calibri"/>
    </x:font>
    <x:font>
      <x:b/>
      <x:sz val="11"/>
      <x:color rgb="FF222222"/>
      <x:name val="Calibri"/>
    </x:font>
    <x:font>
      <x:sz val="11"/>
      <x:color rgb="FF222222"/>
      <x:name val="Calibri"/>
    </x:font>
    <x:font>
      <x:b/>
      <x:sz val="11"/>
      <x:color rgb="FF1F4E78"/>
      <x:name val="Calibri"/>
    </x:font>
    <x:font>
      <x:b/>
      <x:sz val="10"/>
      <x:color rgb="FF1F4E78"/>
      <x:name val="Arial"/>
    </x:font>
    <x:font>
      <x:i/>
      <x:sz val="11"/>
      <x:color rgb="FF222222"/>
      <x:name val="Calibri"/>
    </x:font>
    <x:font>
      <x:b/>
      <x:sz val="10"/>
      <x:color rgb="FFFFFFF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6324F"/>
      </x:patternFill>
    </x:fill>
    <x:fill>
      <x:patternFill patternType="solid">
        <x:fgColor rgb="FF0F243E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8">
    <x:border diagonalUp="0" diagonalDown="0"/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 diagonalUp="0" diagonalDown="0">
      <x:left style="thin">
        <x:color rgb="FFD9E2F3"/>
      </x:left>
      <x:top style="thin">
        <x:color rgb="FFD9E2F3"/>
      </x:top>
    </x:border>
    <x:border diagonalUp="0" diagonalDown="0">
      <x:right style="thin">
        <x:color rgb="FFD9E2F3"/>
      </x:right>
      <x:top style="thin">
        <x:color rgb="FFD9E2F3"/>
      </x:top>
    </x:border>
    <x:border diagonalUp="0" diagonalDown="0">
      <x:left style="thin">
        <x:color rgb="FFD9E2F3"/>
      </x:left>
    </x:border>
    <x:border diagonalUp="0" diagonalDown="0">
      <x:right style="thin">
        <x:color rgb="FFD9E2F3"/>
      </x:right>
    </x:border>
    <x:border diagonalUp="0" diagonalDown="0">
      <x:left style="thin">
        <x:color rgb="FFD9E2F3"/>
      </x:left>
      <x:bottom style="thin">
        <x:color rgb="FFD9E2F3"/>
      </x:bottom>
    </x:border>
    <x:border diagonalUp="0" diagonalDown="0">
      <x:right style="thin">
        <x:color rgb="FFD9E2F3"/>
      </x:right>
      <x:bottom style="thin">
        <x:color rgb="FFD9E2F3"/>
      </x:bottom>
    </x:border>
  </x:borders>
  <x:cellStyleXfs count="2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52">
    <x:xf numFmtId="164" fontId="0" fillId="0" borderId="0" xfId="0" applyFont="0" applyBorder="0" applyAlignment="0">
      <x:alignment horizontal="general" vertical="bottom" wrapText="0"/>
    </x:xf>
    <x:xf numFmtId="164" fontId="6" fillId="2" borderId="0" xfId="21" applyFont="1" applyBorder="1" applyAlignment="1">
      <x:alignment horizontal="center" vertical="center" wrapText="0"/>
    </x:xf>
    <x:xf numFmtId="164" fontId="7" fillId="3" borderId="0" xfId="21" applyFont="1" applyBorder="0" applyAlignment="1">
      <x:alignment horizontal="center" vertical="center" wrapText="1"/>
    </x:xf>
    <x:xf numFmtId="164" fontId="5" fillId="0" borderId="0" xfId="21" applyFont="1" applyBorder="0" applyAlignment="1">
      <x:alignment horizontal="general" vertical="bottom" wrapText="1"/>
    </x:xf>
    <x:xf numFmtId="164" fontId="5" fillId="4" borderId="0" xfId="21" applyFont="1" applyBorder="0" applyAlignment="1">
      <x:alignment horizontal="general" vertical="bottom" wrapText="1"/>
    </x:xf>
    <x:xf numFmtId="164" fontId="7" fillId="2" borderId="0" xfId="21" applyFont="1" applyBorder="1" applyAlignment="1">
      <x:alignment horizontal="center" vertical="center" wrapText="1"/>
    </x:xf>
    <x:xf numFmtId="165" fontId="5" fillId="4" borderId="0" xfId="21" applyFont="0" applyBorder="0" applyAlignment="1">
      <x:alignment horizontal="general" vertical="bottom" wrapText="1"/>
    </x:xf>
    <x:xf numFmtId="166" fontId="5" fillId="4" borderId="0" xfId="21" applyFont="0" applyBorder="0" applyAlignment="1">
      <x:alignment horizontal="general" vertical="bottom" wrapText="1"/>
    </x:xf>
    <x:xf numFmtId="167" fontId="5" fillId="4" borderId="0" xfId="21" applyFont="0" applyBorder="0" applyAlignment="1">
      <x:alignment horizontal="general" vertical="bottom" wrapText="1"/>
    </x:xf>
    <x:xf numFmtId="164" fontId="8" fillId="5" borderId="0" xfId="21" applyFont="1" applyBorder="0" applyAlignment="1">
      <x:alignment horizontal="general" vertical="bottom" wrapText="1"/>
    </x:xf>
    <x:xf numFmtId="168" fontId="5" fillId="6" borderId="0" xfId="21" applyFont="0" applyBorder="0" applyAlignment="0">
      <x:alignment horizontal="general" vertical="bottom" wrapText="0"/>
    </x:xf>
    <x:xf numFmtId="169" fontId="5" fillId="0" borderId="0" xfId="21" applyFont="0" applyBorder="0" applyAlignment="0">
      <x:alignment horizontal="general" vertical="bottom" wrapText="0"/>
    </x:xf>
    <x:xf numFmtId="169" fontId="5" fillId="0" borderId="0" xfId="21" applyFont="0" applyBorder="0" applyAlignment="1">
      <x:alignment horizontal="general" vertical="bottom" wrapText="1"/>
    </x:xf>
    <x:xf numFmtId="170" fontId="5" fillId="0" borderId="0" xfId="21" applyFont="0" applyBorder="0" applyAlignment="1">
      <x:alignment horizontal="general" vertical="bottom" wrapText="1"/>
    </x:xf>
    <x:xf numFmtId="164" fontId="9" fillId="7" borderId="0" xfId="21" applyFont="1" applyBorder="1" applyAlignment="1">
      <x:alignment horizontal="center" vertical="center" wrapText="0"/>
    </x:xf>
    <x:xf numFmtId="171" fontId="5" fillId="0" borderId="0" xfId="21" applyFont="0" applyBorder="0" applyAlignment="0">
      <x:alignment horizontal="general" vertical="bottom" wrapText="0"/>
    </x:xf>
    <x:xf numFmtId="171" fontId="8" fillId="5" borderId="0" xfId="21" applyFont="1" applyBorder="0" applyAlignment="1">
      <x:alignment horizontal="general" vertical="bottom" wrapText="1"/>
    </x:xf>
    <x:xf numFmtId="164" fontId="10" fillId="3" borderId="1" xfId="21" applyFont="1" applyBorder="1" applyAlignment="1">
      <x:alignment horizontal="center" vertical="center" wrapText="1"/>
    </x:xf>
    <x:xf numFmtId="169" fontId="5" fillId="0" borderId="0" xfId="21" applyFont="1" applyBorder="1" applyAlignment="0">
      <x:alignment horizontal="general" vertical="bottom" wrapText="0"/>
    </x:xf>
    <x:xf numFmtId="164" fontId="5" fillId="0" borderId="0" xfId="21" applyFont="0" applyBorder="0" applyAlignment="1">
      <x:alignment horizontal="general" vertical="bottom" wrapText="1"/>
    </x:xf>
    <x:xf numFmtId="169" fontId="5" fillId="0" borderId="0" xfId="21" applyFont="1" applyBorder="1" applyAlignment="1">
      <x:alignment horizontal="general" vertical="bottom" wrapText="1"/>
    </x:xf>
    <x:xf numFmtId="166" fontId="5" fillId="0" borderId="0" xfId="21" applyFont="0" applyBorder="0" applyAlignment="0">
      <x:alignment horizontal="general" vertical="bottom" wrapText="0"/>
    </x:xf>
    <x:xf numFmtId="164" fontId="6" fillId="2" borderId="0" xfId="21" applyFont="1" applyBorder="1" applyAlignment="1">
      <x:alignment horizontal="center" vertical="center" wrapText="1"/>
    </x:xf>
    <x:xf numFmtId="164" fontId="5" fillId="0" borderId="0" xfId="21" applyFont="1" applyBorder="1" applyAlignment="1">
      <x:alignment horizontal="general" vertical="center" wrapText="1"/>
    </x:xf>
    <x:xf numFmtId="169" fontId="5" fillId="0" borderId="0" xfId="21" applyFont="1" applyBorder="1" applyAlignment="1">
      <x:alignment horizontal="general" vertical="center" wrapText="1"/>
    </x:xf>
    <x:xf numFmtId="166" fontId="5" fillId="4" borderId="0" xfId="21" applyFont="1" applyBorder="1" applyAlignment="1">
      <x:alignment horizontal="general" vertical="center" wrapText="1"/>
    </x:xf>
    <x:xf numFmtId="169" fontId="5" fillId="4" borderId="0" xfId="21" applyFont="1" applyBorder="1" applyAlignment="1">
      <x:alignment horizontal="general" vertical="center" wrapText="1"/>
    </x:xf>
    <x:xf numFmtId="164" fontId="7" fillId="3" borderId="0" xfId="21" applyFont="1" applyBorder="1" applyAlignment="1">
      <x:alignment horizontal="center" vertical="center" wrapText="1"/>
    </x:xf>
    <x:xf numFmtId="166" fontId="7" fillId="3" borderId="0" xfId="21" applyFont="1" applyBorder="1" applyAlignment="1">
      <x:alignment horizontal="center" vertical="center" wrapText="1"/>
    </x:xf>
    <x:xf numFmtId="164" fontId="11" fillId="5" borderId="2" xfId="21" applyFont="1" applyBorder="1" applyAlignment="1">
      <x:alignment horizontal="general" vertical="center" wrapText="1"/>
    </x:xf>
    <x:xf numFmtId="170" fontId="11" fillId="5" borderId="3" xfId="21" applyFont="1" applyBorder="1" applyAlignment="1">
      <x:alignment horizontal="general" vertical="center" wrapText="1"/>
    </x:xf>
    <x:xf numFmtId="170" fontId="5" fillId="0" borderId="0" xfId="21" applyFont="1" applyBorder="1" applyAlignment="1">
      <x:alignment horizontal="general" vertical="center" wrapText="1"/>
    </x:xf>
    <x:xf numFmtId="164" fontId="11" fillId="5" borderId="4" xfId="21" applyFont="1" applyBorder="1" applyAlignment="1">
      <x:alignment horizontal="general" vertical="center" wrapText="1"/>
    </x:xf>
    <x:xf numFmtId="164" fontId="11" fillId="5" borderId="5" xfId="21" applyFont="1" applyBorder="1" applyAlignment="1">
      <x:alignment horizontal="general" vertical="center" wrapText="1"/>
    </x:xf>
    <x:xf numFmtId="169" fontId="11" fillId="5" borderId="5" xfId="21" applyFont="1" applyBorder="1" applyAlignment="1">
      <x:alignment horizontal="general" vertical="center" wrapText="1"/>
    </x:xf>
    <x:xf numFmtId="164" fontId="11" fillId="5" borderId="6" xfId="21" applyFont="1" applyBorder="1" applyAlignment="1">
      <x:alignment horizontal="general" vertical="center" wrapText="1"/>
    </x:xf>
    <x:xf numFmtId="169" fontId="12" fillId="5" borderId="7" xfId="21" applyFont="1" applyBorder="1" applyAlignment="1">
      <x:alignment horizontal="general" vertical="center" wrapText="1"/>
    </x:xf>
    <x:xf numFmtId="167" fontId="5" fillId="0" borderId="0" xfId="21" applyFont="1" applyBorder="1" applyAlignment="1">
      <x:alignment horizontal="general" vertical="center" wrapText="1"/>
    </x:xf>
    <x:xf numFmtId="166" fontId="5" fillId="0" borderId="0" xfId="21" applyFont="1" applyBorder="1" applyAlignment="1">
      <x:alignment horizontal="general" vertical="center" wrapText="1"/>
    </x:xf>
    <x:xf numFmtId="164" fontId="8" fillId="5" borderId="0" xfId="21" applyFont="1" applyBorder="1" applyAlignment="1">
      <x:alignment horizontal="general" vertical="center" wrapText="1"/>
    </x:xf>
    <x:xf numFmtId="167" fontId="8" fillId="5" borderId="0" xfId="21" applyFont="1" applyBorder="1" applyAlignment="1">
      <x:alignment horizontal="general" vertical="center" wrapText="1"/>
    </x:xf>
    <x:xf numFmtId="172" fontId="5" fillId="4" borderId="0" xfId="21" applyFont="1" applyBorder="1" applyAlignment="1">
      <x:alignment horizontal="general" vertical="center" wrapText="1"/>
    </x:xf>
    <x:xf numFmtId="173" fontId="5" fillId="4" borderId="0" xfId="21" applyFont="1" applyBorder="1" applyAlignment="1">
      <x:alignment horizontal="general" vertical="center" wrapText="1"/>
    </x:xf>
    <x:xf numFmtId="174" fontId="5" fillId="4" borderId="0" xfId="21" applyFont="1" applyBorder="1" applyAlignment="1">
      <x:alignment horizontal="general" vertical="center" wrapText="1"/>
    </x:xf>
    <x:xf numFmtId="172" fontId="5" fillId="0" borderId="0" xfId="21" applyFont="1" applyBorder="1" applyAlignment="1">
      <x:alignment horizontal="general" vertical="center" wrapText="1"/>
    </x:xf>
    <x:xf numFmtId="174" fontId="5" fillId="0" borderId="0" xfId="21" applyFont="1" applyBorder="1" applyAlignment="1">
      <x:alignment horizontal="general" vertical="center" wrapText="1"/>
    </x:xf>
    <x:xf numFmtId="164" fontId="13" fillId="2" borderId="0" xfId="21" applyFont="1" applyBorder="1" applyAlignment="1">
      <x:alignment horizontal="center" vertical="center" wrapText="0"/>
    </x:xf>
    <x:xf numFmtId="169" fontId="5" fillId="5" borderId="0" xfId="21" applyFont="1" applyBorder="1" applyAlignment="1">
      <x:alignment horizontal="general" vertical="center" wrapText="1"/>
    </x:xf>
    <x:xf numFmtId="164" fontId="5" fillId="6" borderId="0" xfId="21" applyFont="1" applyBorder="1" applyAlignment="1">
      <x:alignment horizontal="general" vertical="center" wrapText="1"/>
    </x:xf>
    <x:xf numFmtId="168" fontId="5" fillId="0" borderId="0" xfId="21" applyFont="1" applyBorder="1" applyAlignment="1">
      <x:alignment horizontal="general" vertical="center" wrapText="1"/>
    </x:xf>
    <x:xf numFmtId="164" fontId="5" fillId="5" borderId="0" xfId="21" applyFont="1" applyBorder="1" applyAlignment="1">
      <x:alignment horizontal="general" vertical="center" wrapText="1"/>
    </x:xf>
    <x:xf numFmtId="164" fontId="5" fillId="0" borderId="0" xfId="21" applyFont="1" applyBorder="1" applyAlignment="1">
      <x:alignment horizontal="general" vertical="bottom" wrapText="1"/>
    </x:xf>
    <x:xf numFmtId="164" fontId="14" fillId="5" borderId="0" xfId="21" applyFont="1" applyBorder="1" applyAlignment="1">
      <x:alignment horizontal="general" vertical="bottom" wrapText="1"/>
    </x:xf>
    <x:xf numFmtId="175" fontId="5" fillId="0" borderId="0" xfId="21" applyFont="0" applyBorder="0" applyAlignment="1">
      <x:alignment horizontal="general" vertical="bottom" wrapText="1"/>
    </x:xf>
    <x:xf numFmtId="166" fontId="5" fillId="0" borderId="0" xfId="21" applyFont="0" applyBorder="0" applyAlignment="1">
      <x:alignment horizontal="general" vertical="bottom" wrapText="1"/>
    </x:xf>
    <x:xf numFmtId="175" fontId="5" fillId="4" borderId="0" xfId="21" applyFont="0" applyBorder="0" applyAlignment="1">
      <x:alignment horizontal="general" vertical="bottom" wrapText="1"/>
    </x:xf>
    <x:xf numFmtId="164" fontId="5" fillId="4" borderId="0" xfId="21" applyFont="0" applyBorder="0" applyAlignment="1">
      <x:alignment horizontal="general" vertical="bottom" wrapText="1"/>
    </x:xf>
    <x:xf numFmtId="169" fontId="5" fillId="4" borderId="0" xfId="21" applyFont="0" applyBorder="0" applyAlignment="1">
      <x:alignment horizontal="general" vertical="bottom" wrapText="1"/>
    </x:xf>
    <x:xf numFmtId="170" fontId="5" fillId="4" borderId="0" xfId="21" applyFont="0" applyBorder="0" applyAlignment="1">
      <x:alignment horizontal="general" vertical="bottom" wrapText="1"/>
    </x:xf>
    <x:xf numFmtId="164" fontId="5" fillId="0" borderId="0" xfId="21" applyFont="1" applyBorder="1" applyAlignment="1">
      <x:alignment horizontal="general" vertical="bottom" wrapText="1"/>
    </x:xf>
    <x:xf numFmtId="164" fontId="6" fillId="2" borderId="0" xfId="21" applyFont="1" applyBorder="1" applyAlignment="1">
      <x:alignment horizontal="center" vertical="center" wrapText="0"/>
    </x:xf>
    <x:xf numFmtId="164" fontId="15" fillId="4" borderId="0" xfId="21" applyFont="1" applyBorder="1" applyAlignment="1">
      <x:alignment horizontal="general" vertical="center" wrapText="1"/>
    </x:xf>
    <x:xf numFmtId="164" fontId="11" fillId="5" borderId="7" xfId="21" applyFont="1" applyBorder="1" applyAlignment="1">
      <x:alignment horizontal="general" vertical="center" wrapText="1"/>
    </x:xf>
    <x:xf numFmtId="164" fontId="5" fillId="0" borderId="0" xfId="21" applyFont="1" applyBorder="1" applyAlignment="1">
      <x:alignment horizontal="general" vertical="top" wrapText="1"/>
    </x:xf>
    <x:xf numFmtId="164" fontId="7" fillId="2" borderId="0" xfId="21" applyFont="1" applyBorder="1" applyAlignment="1">
      <x:alignment horizontal="center" vertical="top" wrapText="1"/>
    </x:xf>
    <x:xf numFmtId="164" fontId="16" fillId="4" borderId="0" xfId="21" applyFont="1" applyBorder="1" applyAlignment="1">
      <x:alignment horizontal="general" vertical="bottom" wrapText="1"/>
    </x:xf>
    <x:xf numFmtId="164" fontId="17" fillId="4" borderId="0" xfId="21" applyFont="1" applyBorder="1" applyAlignment="1">
      <x:alignment horizontal="general" vertical="center" wrapText="1"/>
    </x:xf>
    <x:xf numFmtId="164" fontId="6" fillId="8" borderId="0" xfId="21" applyFont="1" applyBorder="1" applyAlignment="1">
      <x:alignment horizontal="general" vertical="center" wrapText="0"/>
    </x:xf>
    <x:xf numFmtId="164" fontId="18" fillId="2" borderId="0" xfId="21" applyFont="1" applyBorder="1" applyAlignment="1">
      <x:alignment horizontal="center" vertical="bottom" wrapText="0"/>
    </x:xf>
    <x:xf numFmtId="164" fontId="15" fillId="5" borderId="0" xfId="21" applyFont="1" applyBorder="1" applyAlignment="1">
      <x:alignment horizontal="general" vertical="bottom" wrapText="1"/>
    </x:xf>
    <x:xf numFmtId="164" fontId="7" fillId="2" borderId="0" xfId="21" applyFont="1" applyBorder="1" applyAlignment="1">
      <x:alignment horizontal="general" vertical="center" wrapText="0"/>
    </x:xf>
    <x:xf numFmtId="164" fontId="19" fillId="0" borderId="0" xfId="21" applyFont="1" applyBorder="1" applyAlignment="0">
      <x:alignment horizontal="general" vertical="bottom" wrapText="0"/>
    </x:xf>
    <x:xf numFmtId="164" fontId="20" fillId="5" borderId="0" xfId="21" applyFont="1" applyBorder="1" applyAlignment="0">
      <x:alignment horizontal="general" vertical="bottom" wrapText="0"/>
    </x:xf>
    <x:xf numFmtId="164" fontId="19" fillId="0" borderId="0" xfId="21" applyFont="1" applyBorder="1" applyAlignment="1">
      <x:alignment horizontal="general" vertical="bottom" wrapText="1"/>
    </x:xf>
    <x:xf numFmtId="164" fontId="20" fillId="5" borderId="0" xfId="21" applyFont="1" applyBorder="1" applyAlignment="1">
      <x:alignment horizontal="general" vertical="bottom" wrapText="1"/>
    </x:xf>
    <x:xf numFmtId="164" fontId="10" fillId="9" borderId="1" xfId="0" applyNumberFormat="1" applyFont="1" applyFill="1" applyBorder="1" applyAlignment="1">
      <x:alignment horizontal="center" vertical="center" wrapText="1"/>
    </x:xf>
    <x:xf numFmtId="164" fontId="5" fillId="9" borderId="0" xfId="0" applyNumberFormat="1" applyFont="1" applyFill="1" applyBorder="1" applyAlignment="1">
      <x:alignment horizontal="general" vertical="center" wrapText="1"/>
    </x:xf>
    <x:xf numFmtId="169" fontId="5" fillId="9" borderId="0" xfId="0" applyNumberFormat="1" applyFont="1" applyFill="1" applyBorder="1" applyAlignment="1">
      <x:alignment horizontal="general" vertical="center" wrapText="1"/>
    </x:xf>
    <x:xf numFmtId="166" fontId="5" fillId="9" borderId="0" xfId="0" applyNumberFormat="1" applyFont="1" applyFill="1" applyBorder="1" applyAlignment="1">
      <x:alignment horizontal="general" vertical="center" wrapText="1"/>
    </x:xf>
    <x:xf numFmtId="164" fontId="7" fillId="9" borderId="0" xfId="0" applyNumberFormat="1" applyFont="1" applyFill="1" applyBorder="1" applyAlignment="1">
      <x:alignment horizontal="center" vertical="center" wrapText="1"/>
    </x:xf>
    <x:xf numFmtId="166" fontId="7" fillId="9" borderId="0" xfId="0" applyNumberFormat="1" applyFont="1" applyFill="1" applyBorder="1" applyAlignment="1">
      <x:alignment horizontal="center" vertical="center" wrapText="1"/>
    </x:xf>
    <x:xf numFmtId="164" fontId="11" fillId="9" borderId="2" xfId="0" applyNumberFormat="1" applyFont="1" applyFill="1" applyBorder="1" applyAlignment="1">
      <x:alignment horizontal="general" vertical="center" wrapText="1"/>
    </x:xf>
    <x:xf numFmtId="170" fontId="11" fillId="9" borderId="3" xfId="0" applyNumberFormat="1" applyFont="1" applyFill="1" applyBorder="1" applyAlignment="1">
      <x:alignment horizontal="general" vertical="center" wrapText="1"/>
    </x:xf>
    <x:xf numFmtId="170" fontId="5" fillId="9" borderId="0" xfId="0" applyNumberFormat="1" applyFont="1" applyFill="1" applyBorder="1" applyAlignment="1">
      <x:alignment horizontal="general" vertical="center" wrapText="1"/>
    </x:xf>
    <x:xf numFmtId="164" fontId="11" fillId="9" borderId="4" xfId="0" applyNumberFormat="1" applyFont="1" applyFill="1" applyBorder="1" applyAlignment="1">
      <x:alignment horizontal="general" vertical="center" wrapText="1"/>
    </x:xf>
    <x:xf numFmtId="164" fontId="11" fillId="9" borderId="5" xfId="0" applyNumberFormat="1" applyFont="1" applyFill="1" applyBorder="1" applyAlignment="1">
      <x:alignment horizontal="general" vertical="center" wrapText="1"/>
    </x:xf>
    <x:xf numFmtId="169" fontId="11" fillId="9" borderId="5" xfId="0" applyNumberFormat="1" applyFont="1" applyFill="1" applyBorder="1" applyAlignment="1">
      <x:alignment horizontal="general" vertical="center" wrapText="1"/>
    </x:xf>
    <x:xf numFmtId="164" fontId="11" fillId="9" borderId="6" xfId="0" applyNumberFormat="1" applyFont="1" applyFill="1" applyBorder="1" applyAlignment="1">
      <x:alignment horizontal="general" vertical="center" wrapText="1"/>
    </x:xf>
    <x:xf numFmtId="169" fontId="12" fillId="9" borderId="7" xfId="0" applyNumberFormat="1" applyFont="1" applyFill="1" applyBorder="1" applyAlignment="1">
      <x:alignment horizontal="general" vertical="center" wrapText="1"/>
    </x:xf>
    <x:xf numFmtId="167" fontId="5" fillId="9" borderId="0" xfId="0" applyNumberFormat="1" applyFont="1" applyFill="1" applyBorder="1" applyAlignment="1">
      <x:alignment horizontal="general" vertical="center" wrapText="1"/>
    </x:xf>
    <x:xf numFmtId="164" fontId="8" fillId="9" borderId="0" xfId="0" applyNumberFormat="1" applyFont="1" applyFill="1" applyBorder="1" applyAlignment="1">
      <x:alignment horizontal="general" vertical="center" wrapText="1"/>
    </x:xf>
    <x:xf numFmtId="167" fontId="8" fillId="9" borderId="0" xfId="0" applyNumberFormat="1" applyFont="1" applyFill="1" applyBorder="1" applyAlignment="1">
      <x:alignment horizontal="general" vertical="center" wrapText="1"/>
    </x:xf>
    <x:xf numFmtId="164" fontId="21" fillId="9" borderId="1" xfId="0" applyNumberFormat="1" applyFont="1" applyFill="1" applyBorder="1" applyAlignment="1">
      <x:alignment horizontal="center" vertical="center" wrapText="1"/>
    </x:xf>
    <x:xf numFmtId="164" fontId="22" fillId="9" borderId="0" xfId="0" applyNumberFormat="1" applyFont="1" applyFill="1" applyBorder="1" applyAlignment="1">
      <x:alignment horizontal="general" vertical="center" wrapText="1"/>
    </x:xf>
    <x:xf numFmtId="169" fontId="22" fillId="9" borderId="0" xfId="0" applyNumberFormat="1" applyFont="1" applyFill="1" applyBorder="1" applyAlignment="1">
      <x:alignment horizontal="general" vertical="center" wrapText="1"/>
    </x:xf>
    <x:xf numFmtId="166" fontId="22" fillId="9" borderId="0" xfId="0" applyNumberFormat="1" applyFont="1" applyFill="1" applyBorder="1" applyAlignment="1">
      <x:alignment horizontal="general" vertical="center" wrapText="1"/>
    </x:xf>
    <x:xf numFmtId="164" fontId="21" fillId="9" borderId="0" xfId="0" applyNumberFormat="1" applyFont="1" applyFill="1" applyBorder="1" applyAlignment="1">
      <x:alignment horizontal="center" vertical="center" wrapText="1"/>
    </x:xf>
    <x:xf numFmtId="166" fontId="21" fillId="9" borderId="0" xfId="0" applyNumberFormat="1" applyFont="1" applyFill="1" applyBorder="1" applyAlignment="1">
      <x:alignment horizontal="center" vertical="center" wrapText="1"/>
    </x:xf>
    <x:xf numFmtId="164" fontId="21" fillId="9" borderId="2" xfId="0" applyNumberFormat="1" applyFont="1" applyFill="1" applyBorder="1" applyAlignment="1">
      <x:alignment horizontal="general" vertical="center" wrapText="1"/>
    </x:xf>
    <x:xf numFmtId="170" fontId="21" fillId="9" borderId="3" xfId="0" applyNumberFormat="1" applyFont="1" applyFill="1" applyBorder="1" applyAlignment="1">
      <x:alignment horizontal="general" vertical="center" wrapText="1"/>
    </x:xf>
    <x:xf numFmtId="170" fontId="22" fillId="9" borderId="0" xfId="0" applyNumberFormat="1" applyFont="1" applyFill="1" applyBorder="1" applyAlignment="1">
      <x:alignment horizontal="general" vertical="center" wrapText="1"/>
    </x:xf>
    <x:xf numFmtId="164" fontId="21" fillId="9" borderId="4" xfId="0" applyNumberFormat="1" applyFont="1" applyFill="1" applyBorder="1" applyAlignment="1">
      <x:alignment horizontal="general" vertical="center" wrapText="1"/>
    </x:xf>
    <x:xf numFmtId="164" fontId="21" fillId="9" borderId="5" xfId="0" applyNumberFormat="1" applyFont="1" applyFill="1" applyBorder="1" applyAlignment="1">
      <x:alignment horizontal="general" vertical="center" wrapText="1"/>
    </x:xf>
    <x:xf numFmtId="169" fontId="21" fillId="9" borderId="5" xfId="0" applyNumberFormat="1" applyFont="1" applyFill="1" applyBorder="1" applyAlignment="1">
      <x:alignment horizontal="general" vertical="center" wrapText="1"/>
    </x:xf>
    <x:xf numFmtId="164" fontId="21" fillId="9" borderId="6" xfId="0" applyNumberFormat="1" applyFont="1" applyFill="1" applyBorder="1" applyAlignment="1">
      <x:alignment horizontal="general" vertical="center" wrapText="1"/>
    </x:xf>
    <x:xf numFmtId="169" fontId="21" fillId="9" borderId="7" xfId="0" applyNumberFormat="1" applyFont="1" applyFill="1" applyBorder="1" applyAlignment="1">
      <x:alignment horizontal="general" vertical="center" wrapText="1"/>
    </x:xf>
    <x:xf numFmtId="167" fontId="22" fillId="9" borderId="0" xfId="0" applyNumberFormat="1" applyFont="1" applyFill="1" applyBorder="1" applyAlignment="1">
      <x:alignment horizontal="general" vertical="center" wrapText="1"/>
    </x:xf>
    <x:xf numFmtId="164" fontId="21" fillId="9" borderId="0" xfId="0" applyNumberFormat="1" applyFont="1" applyFill="1" applyBorder="1" applyAlignment="1">
      <x:alignment horizontal="general" vertical="center" wrapText="1"/>
    </x:xf>
    <x:xf numFmtId="167" fontId="21" fillId="9" borderId="0" xfId="0" applyNumberFormat="1" applyFont="1" applyFill="1" applyBorder="1" applyAlignment="1">
      <x:alignment horizontal="general" vertical="center" wrapText="1"/>
    </x:xf>
    <x:xf numFmtId="164" fontId="21" fillId="9" borderId="3" xfId="0" applyNumberFormat="1" applyFont="1" applyFill="1" applyBorder="1" applyAlignment="1">
      <x:alignment horizontal="general" vertical="center" wrapText="1"/>
    </x:xf>
    <x:xf numFmtId="164" fontId="21" fillId="9" borderId="7" xfId="0" applyNumberFormat="1" applyFont="1" applyFill="1" applyBorder="1" applyAlignment="1">
      <x:alignment horizontal="general" vertical="center" wrapText="1"/>
    </x:xf>
    <x:xf numFmtId="164" fontId="22" fillId="10" borderId="0" xfId="0" applyNumberFormat="1" applyFont="1" applyFill="1" applyBorder="1" applyAlignment="1">
      <x:alignment horizontal="general" vertical="center" wrapText="1"/>
    </x:xf>
    <x:xf numFmtId="164" fontId="21" fillId="10" borderId="0" xfId="0" applyNumberFormat="1" applyFont="1" applyFill="1" applyBorder="1" applyAlignment="1">
      <x:alignment horizontal="general" vertical="center" wrapText="1"/>
    </x:xf>
    <x:xf numFmtId="173" fontId="22" fillId="9" borderId="0" xfId="0" applyNumberFormat="1" applyFont="1" applyFill="1" applyBorder="1" applyAlignment="1">
      <x:alignment horizontal="general" vertical="center" wrapText="1"/>
    </x:xf>
    <x:xf numFmtId="173" fontId="21" fillId="9" borderId="5" xfId="0" applyNumberFormat="1" applyFont="1" applyFill="1" applyBorder="1" applyAlignment="1">
      <x:alignment horizontal="general" vertical="center" wrapText="1"/>
    </x:xf>
    <x:xf numFmtId="164" fontId="6" fillId="11" borderId="0" xfId="0" applyNumberFormat="1" applyFont="1" applyFill="1" applyBorder="1" applyAlignment="1">
      <x:alignment horizontal="center" vertical="center" wrapText="1"/>
    </x:xf>
    <x:xf numFmtId="164" fontId="6" fillId="11" borderId="0" xfId="0" applyNumberFormat="1" applyFont="1" applyFill="1" applyBorder="1" applyAlignment="1">
      <x:alignment horizontal="left" vertical="center" wrapText="1"/>
    </x:xf>
    <x:xf numFmtId="164" fontId="21" fillId="12" borderId="1" xfId="0" applyNumberFormat="1" applyFont="1" applyFill="1" applyBorder="1" applyAlignment="1">
      <x:alignment horizontal="center" vertical="center" wrapText="1"/>
    </x:xf>
    <x:xf numFmtId="164" fontId="7" fillId="12" borderId="1" xfId="0" applyNumberFormat="1" applyFont="1" applyFill="1" applyBorder="1" applyAlignment="1">
      <x:alignment horizontal="center" vertical="center" wrapText="1"/>
    </x:xf>
    <x:xf numFmtId="164" fontId="21" fillId="13" borderId="2" xfId="0" applyNumberFormat="1" applyFont="1" applyFill="1" applyBorder="1" applyAlignment="1">
      <x:alignment horizontal="general" vertical="center" wrapText="1"/>
    </x:xf>
    <x:xf numFmtId="170" fontId="21" fillId="13" borderId="3" xfId="0" applyNumberFormat="1" applyFont="1" applyFill="1" applyBorder="1" applyAlignment="1">
      <x:alignment horizontal="general" vertical="center" wrapText="1"/>
    </x:xf>
    <x:xf numFmtId="164" fontId="21" fillId="13" borderId="4" xfId="0" applyNumberFormat="1" applyFont="1" applyFill="1" applyBorder="1" applyAlignment="1">
      <x:alignment horizontal="general" vertical="center" wrapText="1"/>
    </x:xf>
    <x:xf numFmtId="173" fontId="21" fillId="13" borderId="5" xfId="0" applyNumberFormat="1" applyFont="1" applyFill="1" applyBorder="1" applyAlignment="1">
      <x:alignment horizontal="general" vertical="center" wrapText="1"/>
    </x:xf>
    <x:xf numFmtId="164" fontId="21" fillId="13" borderId="6" xfId="0" applyNumberFormat="1" applyFont="1" applyFill="1" applyBorder="1" applyAlignment="1">
      <x:alignment horizontal="general" vertical="center" wrapText="1"/>
    </x:xf>
    <x:xf numFmtId="164" fontId="21" fillId="13" borderId="7" xfId="0" applyNumberFormat="1" applyFont="1" applyFill="1" applyBorder="1" applyAlignment="1">
      <x:alignment horizontal="general" vertical="center" wrapText="1"/>
    </x:xf>
    <x:xf numFmtId="164" fontId="23" fillId="13" borderId="2" xfId="0" applyNumberFormat="1" applyFont="1" applyFill="1" applyBorder="1" applyAlignment="1">
      <x:alignment horizontal="general" vertical="center" wrapText="1"/>
    </x:xf>
    <x:xf numFmtId="170" fontId="23" fillId="13" borderId="3" xfId="0" applyNumberFormat="1" applyFont="1" applyFill="1" applyBorder="1" applyAlignment="1">
      <x:alignment horizontal="general" vertical="center" wrapText="1"/>
    </x:xf>
    <x:xf numFmtId="164" fontId="23" fillId="13" borderId="4" xfId="0" applyNumberFormat="1" applyFont="1" applyFill="1" applyBorder="1" applyAlignment="1">
      <x:alignment horizontal="general" vertical="center" wrapText="1"/>
    </x:xf>
    <x:xf numFmtId="173" fontId="23" fillId="13" borderId="5" xfId="0" applyNumberFormat="1" applyFont="1" applyFill="1" applyBorder="1" applyAlignment="1">
      <x:alignment horizontal="general" vertical="center" wrapText="1"/>
    </x:xf>
    <x:xf numFmtId="164" fontId="23" fillId="13" borderId="6" xfId="0" applyNumberFormat="1" applyFont="1" applyFill="1" applyBorder="1" applyAlignment="1">
      <x:alignment horizontal="general" vertical="center" wrapText="1"/>
    </x:xf>
    <x:xf numFmtId="164" fontId="23" fillId="13" borderId="7" xfId="0" applyNumberFormat="1" applyFont="1" applyFill="1" applyBorder="1" applyAlignment="1">
      <x:alignment horizontal="general" vertical="center" wrapText="1"/>
    </x:xf>
    <x:xf numFmtId="164" fontId="5" fillId="0" borderId="0" xfId="0" applyNumberFormat="1" applyFont="1" applyFill="1" applyBorder="1" applyAlignment="1">
      <x:alignment horizontal="general" vertical="center" wrapText="1"/>
    </x:xf>
    <x:xf numFmtId="173" fontId="5" fillId="0" borderId="0" xfId="0" applyNumberFormat="1" applyFont="1" applyFill="1" applyBorder="1" applyAlignment="1">
      <x:alignment horizontal="general" vertical="center" wrapText="1"/>
    </x:xf>
    <x:xf numFmtId="173" fontId="5" fillId="5" borderId="0" xfId="0" applyNumberFormat="1" applyFont="1" applyFill="1" applyBorder="1" applyAlignment="1">
      <x:alignment horizontal="general" vertical="center" wrapText="1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4" fillId="13" borderId="0" xfId="0" applyNumberFormat="1" applyFont="1" applyFill="1" applyBorder="1" applyAlignment="1">
      <x:alignment horizontal="general" vertical="bottom" wrapText="0"/>
    </x:xf>
    <x:xf numFmtId="164" fontId="25" fillId="4" borderId="0" xfId="0" applyNumberFormat="1" applyFont="1" applyFill="1" applyBorder="1" applyAlignment="1">
      <x:alignment horizontal="general" vertical="bottom" wrapText="1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6" fillId="12" borderId="0" xfId="0" applyNumberFormat="1" applyFont="1" applyFill="1" applyBorder="1" applyAlignment="1">
      <x:alignment horizontal="general" vertical="bottom" wrapText="0"/>
    </x:xf>
    <x:xf numFmtId="169" fontId="0" fillId="13" borderId="0" xfId="0" applyNumberFormat="1" applyFont="1" applyFill="1" applyBorder="1" applyAlignment="1">
      <x:alignment horizontal="general" vertical="bottom" wrapText="0"/>
    </x:xf>
    <x:xf numFmtId="172" fontId="0" fillId="13" borderId="0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73" fontId="0" fillId="0" borderId="0" xfId="0" applyNumberFormat="1" applyFont="1" applyFill="1" applyBorder="1" applyAlignment="1">
      <x:alignment horizontal="general" vertical="bottom" wrapText="0"/>
    </x:xf>
    <x:xf numFmtId="173" fontId="0" fillId="10" borderId="0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169" fontId="5" fillId="0" borderId="0" xfId="0" applyNumberFormat="1" applyFont="1" applyFill="1" applyBorder="1" applyAlignment="1">
      <x:alignment horizontal="general" vertical="bottom" wrapText="1"/>
    </x:xf>
    <x:xf numFmtId="164" fontId="26" fillId="12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20" fillId="5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10" fillId="3" borderId="1" xfId="0" applyNumberFormat="1" applyFont="1" applyFill="1" applyBorder="1" applyAlignment="1">
      <x:alignment horizontal="center" vertical="center" wrapText="1"/>
    </x:xf>
    <x:xf numFmtId="173" fontId="5" fillId="0" borderId="0" xfId="0" applyNumberFormat="1" applyFont="1" applyFill="1" applyBorder="1" applyAlignment="1">
      <x:alignment horizontal="general" vertical="bottom" wrapText="1"/>
    </x:xf>
  </x:cellXfs>
  <x:cellStyles count="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Hyperlink 1" xfId="20"/>
    <x:cellStyle name="Normal" xfId="21"/>
  </x:cellStyles>
  <x:dxfs count="41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2F75B5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274E13"/>
      <x:rgbColor rgb="FF000080"/>
      <x:rgbColor rgb="FF7F6000"/>
      <x:rgbColor rgb="FF800080"/>
      <x:rgbColor rgb="FF156082"/>
      <x:rgbColor rgb="FFC0C0C0"/>
      <x:rgbColor rgb="FF808080"/>
      <x:rgbColor rgb="FF9999FF"/>
      <x:rgbColor rgb="FF993366"/>
      <x:rgbColor rgb="FFFFF2CC"/>
      <x:rgbColor rgb="FFD9EAF7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AD3"/>
      <x:rgbColor rgb="FFE2F0D9"/>
      <x:rgbColor rgb="FFFCE4D6"/>
      <x:rgbColor rgb="FF99CCFF"/>
      <x:rgbColor rgb="FFFF99CC"/>
      <x:rgbColor rgb="FFCC99FF"/>
      <x:rgbColor rgb="FFF4CCCC"/>
      <x:rgbColor rgb="FF2F75B5"/>
      <x:rgbColor rgb="FF46B1E1"/>
      <x:rgbColor rgb="FF99CC00"/>
      <x:rgbColor rgb="FFFFCC00"/>
      <x:rgbColor rgb="FFFF9900"/>
      <x:rgbColor rgb="FFFF6600"/>
      <x:rgbColor rgb="FF666666"/>
      <x:rgbColor rgb="FF969696"/>
      <x:rgbColor rgb="FF17365D"/>
      <x:rgbColor rgb="FF467886"/>
      <x:rgbColor rgb="FF0F243E"/>
      <x:rgbColor rgb="FF1F1F1F"/>
      <x:rgbColor rgb="FF993300"/>
      <x:rgbColor rgb="FF993366"/>
      <x:rgbColor rgb="FF1F4E78"/>
      <x:rgbColor rgb="FF16324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a75638eaee4321" /><Relationship Type="http://schemas.openxmlformats.org/officeDocument/2006/relationships/theme" Target="/xl/theme/theme1.xml" Id="R6154621aea0449fe" /><Relationship Type="http://schemas.openxmlformats.org/officeDocument/2006/relationships/sharedStrings" Target="/xl/sharedStrings.xml" Id="R1795b8fa32674c72" /><Relationship Type="http://schemas.openxmlformats.org/officeDocument/2006/relationships/worksheet" Target="/xl/worksheets/sheet1.xml" Id="Rc0d3b4ded06e488d" /><Relationship Type="http://schemas.openxmlformats.org/officeDocument/2006/relationships/worksheet" Target="/xl/worksheets/sheet2.xml" Id="R9b5a875c0b474765" /><Relationship Type="http://schemas.openxmlformats.org/officeDocument/2006/relationships/worksheet" Target="/xl/worksheets/sheet3.xml" Id="R9487442821ee40c4" /><Relationship Type="http://schemas.openxmlformats.org/officeDocument/2006/relationships/worksheet" Target="/xl/worksheets/sheet4.xml" Id="R543b84a3cec7479b" /><Relationship Type="http://schemas.openxmlformats.org/officeDocument/2006/relationships/worksheet" Target="/xl/worksheets/sheet5.xml" Id="R486dd4f93b914e74" /><Relationship Type="http://schemas.openxmlformats.org/officeDocument/2006/relationships/worksheet" Target="/xl/worksheets/sheet6.xml" Id="Rf941d0692c7549c9" /><Relationship Type="http://schemas.openxmlformats.org/officeDocument/2006/relationships/worksheet" Target="/xl/worksheets/sheet7.xml" Id="R5d3de8a81d0e4b70" /><Relationship Type="http://schemas.openxmlformats.org/officeDocument/2006/relationships/worksheet" Target="/xl/worksheets/sheet8.xml" Id="Rdb1aa8c40d76462f" /><Relationship Type="http://schemas.openxmlformats.org/officeDocument/2006/relationships/worksheet" Target="/xl/worksheets/sheet9.xml" Id="Rcbadae087a7e4e04" /><Relationship Type="http://schemas.openxmlformats.org/officeDocument/2006/relationships/worksheet" Target="/xl/worksheets/sheet10.xml" Id="R0e3358a3391e420e" /><Relationship Type="http://schemas.openxmlformats.org/officeDocument/2006/relationships/worksheet" Target="/xl/worksheets/sheet11.xml" Id="R9da73b0c72354f25" /><Relationship Type="http://schemas.openxmlformats.org/officeDocument/2006/relationships/worksheet" Target="/xl/worksheets/sheet12.xml" Id="R8932f4ddf7454763" /><Relationship Type="http://schemas.openxmlformats.org/officeDocument/2006/relationships/worksheet" Target="/xl/worksheets/sheet13.xml" Id="R8fa47b5000af41db" /><Relationship Type="http://schemas.openxmlformats.org/officeDocument/2006/relationships/worksheet" Target="/xl/worksheets/sheet14.xml" Id="Reef37723006a4f31" /><Relationship Type="http://schemas.openxmlformats.org/officeDocument/2006/relationships/worksheet" Target="/xl/worksheets/sheet15.xml" Id="Ra512ccec9af94239" /><Relationship Type="http://schemas.openxmlformats.org/officeDocument/2006/relationships/worksheet" Target="/xl/worksheets/sheet16.xml" Id="R51ecb85cace74bec" /><Relationship Type="http://schemas.openxmlformats.org/officeDocument/2006/relationships/worksheet" Target="/xl/worksheets/sheet17.xml" Id="Re767f45ac06a49ae" /><Relationship Type="http://schemas.openxmlformats.org/officeDocument/2006/relationships/worksheet" Target="/xl/worksheets/sheet18.xml" Id="R95df087efd2c4afd" /><Relationship Type="http://schemas.openxmlformats.org/officeDocument/2006/relationships/worksheet" Target="/xl/worksheets/sheet19.xml" Id="R544fc1e44c9e4ab1" /><Relationship Type="http://schemas.openxmlformats.org/officeDocument/2006/relationships/worksheet" Target="/xl/worksheets/sheet20.xml" Id="R298806fc0aa64a71" /><Relationship Type="http://schemas.openxmlformats.org/officeDocument/2006/relationships/worksheet" Target="/xl/worksheets/sheet21.xml" Id="R2e2c703744c64f99" /><Relationship Type="http://schemas.openxmlformats.org/officeDocument/2006/relationships/worksheet" Target="/xl/worksheets/sheet22.xml" Id="R4297bb7678734af8" /><Relationship Type="http://schemas.openxmlformats.org/officeDocument/2006/relationships/worksheet" Target="/xl/worksheets/sheet23.xml" Id="R642fbf00f8b54932" /><Relationship Type="http://schemas.openxmlformats.org/officeDocument/2006/relationships/worksheet" Target="/xl/worksheets/sheet24.xml" Id="R8ff85885d50b4673" /></Relationships>
</file>

<file path=xl/tables/table1.xml><?xml version="1.0" encoding="utf-8"?>
<x:table xmlns:x="http://schemas.openxmlformats.org/spreadsheetml/2006/main" id="1" name="RegistruHandicapV2" displayName="RegistruHandicapV2" ref="A4:BA304" headerRowCount="1" totalsRowCount="0" totalsRowShown="0">
  <x:tableColumns count="53">
    <x:tableColumn id="1" name="ID"/>
    <x:tableColumn id="2" name="Data meci"/>
    <x:tableColumn id="3" name="Țară"/>
    <x:tableColumn id="4" name="Competiție"/>
    <x:tableColumn id="5" name="Gazde"/>
    <x:tableColumn id="6" name="Oaspeți"/>
    <x:tableColumn id="7" name="Tip meci"/>
    <x:tableColumn id="8" name="Status fixture pre-meci"/>
    <x:tableColumn id="9" name="Sursa fixture 1"/>
    <x:tableColumn id="10" name="Sursa fixture 2"/>
    <x:tableColumn id="11" name="Etapa"/>
    <x:tableColumn id="12" name="λ gazde"/>
    <x:tableColumn id="13" name="λ oaspeți"/>
    <x:tableColumn id="14" name="P1 model"/>
    <x:tableColumn id="15" name="PX model"/>
    <x:tableColumn id="16" name="P2 model"/>
    <x:tableColumn id="17" name="Pred. 1X2 model"/>
    <x:tableColumn id="18" name="Favorită model"/>
    <x:tableColumn id="19" name="Outsider"/>
    <x:tableColumn id="20" name="Handicap gazde"/>
    <x:tableColumn id="21" name="Selecție EH (1/X/2)"/>
    <x:tableColumn id="22" name="Descriere selecție"/>
    <x:tableColumn id="23" name="P selecție EH"/>
    <x:tableColumn id="24" name="P(X handicap)"/>
    <x:tableColumn id="25" name="P pierdere tail/oponent"/>
    <x:tableColumn id="26" name="Confidence"/>
    <x:tableColumn id="27" name="Verdict model v1"/>
    <x:tableColumn id="28" name="Cotă fair selecție"/>
    <x:tableColumn id="29" name="Cotă minimă v2"/>
    <x:tableColumn id="30" name="Cotă oferită"/>
    <x:tableColumn id="31" name="Bookmaker"/>
    <x:tableColumn id="32" name="Timestamp cotă"/>
    <x:tableColumn id="33" name="Cotă closing"/>
    <x:tableColumn id="34" name="EV model"/>
    <x:tableColumn id="35" name="Buffer incertitudine"/>
    <x:tableColumn id="36" name="EV ajustat"/>
    <x:tableColumn id="37" name="Edge probabilitate"/>
    <x:tableColumn id="38" name="Verdict legacy v2 – AUDIT ONLY"/>
    <x:tableColumn id="39" name="Selecție strictă v1?"/>
    <x:tableColumn id="40" name="Goluri gazde"/>
    <x:tableColumn id="41" name="Goluri oaspeți"/>
    <x:tableColumn id="42" name="Scor final"/>
    <x:tableColumn id="43" name="1X2 final"/>
    <x:tableColumn id="44" name="Pred. 1X2 corectă?"/>
    <x:tableColumn id="45" name="Rezultat EH 3-way"/>
    <x:tableColumn id="46" name="Rezultat pariu EH"/>
    <x:tableColumn id="47" name="Profit unități"/>
    <x:tableColumn id="48" name="CLV"/>
    <x:tableColumn id="49" name="Diagnostic post-meci"/>
    <x:tableColumn id="50" name="Lecție / acțiune"/>
    <x:tableColumn id="51" name="Sursa rezultat"/>
    <x:tableColumn id="52" name="Status verificare"/>
    <x:tableColumn id="53" name="Versiune mod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3019268140414a4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4.25"/>
  <x:cols>
    <x:col min="1" max="1" width="34.619998931884766" hidden="0" customWidth="1"/>
    <x:col min="2" max="2" width="35.619998931884766" hidden="0" customWidth="1"/>
    <x:col min="3" max="3" width="12.75" hidden="0" customWidth="1"/>
    <x:col min="4" max="4" width="6.869999885559082" hidden="0" customWidth="1"/>
    <x:col min="5" max="5" width="20" hidden="0" customWidth="1"/>
    <x:col min="6" max="6" width="45.75" hidden="0" customWidth="1"/>
  </x:cols>
  <x:sheetData>
    <x:row r="1" ht="28" hidden="0" customHeight="1">
      <x:c r="A1" s="1" t="s">
        <x:v>0</x:v>
      </x:c>
      <x:c r="B1" s="1"/>
      <x:c r="C1" s="1"/>
      <x:c r="D1" s="1"/>
      <x:c r="E1" s="1"/>
      <x:c r="F1" s="1"/>
    </x:row>
    <x:row r="3" ht="23.850000381469727" hidden="0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ht="48" hidden="0" customHeight="1">
      <x:c r="A4" s="3" t="s">
        <x:v>7</x:v>
      </x:c>
      <x:c r="B4" s="3" t="s">
        <x:v>8</x:v>
      </x:c>
      <x:c r="C4" s="4" t="s">
        <x:v>9</x:v>
      </x:c>
      <x:c r="D4" s="4" t="s">
        <x:v>10</x:v>
      </x:c>
      <x:c r="E4" s="3" t="s">
        <x:v>11</x:v>
      </x:c>
      <x:c r="F4" s="3" t="str">
        <x:v>Datele numerice păstrate sunt un exemplu de utilizare. Înlocuiește echipele și datele pentru meciul analizat.</x:v>
      </x:c>
    </x:row>
    <x:row r="5" ht="14.25" hidden="0">
      <x:c r="A5" s="3" t="s">
        <x:v>7</x:v>
      </x:c>
      <x:c r="B5" s="3" t="s">
        <x:v>12</x:v>
      </x:c>
      <x:c r="C5" s="4"/>
      <x:c r="D5" s="4"/>
      <x:c r="E5" s="3" t="s">
        <x:v>11</x:v>
      </x:c>
      <x:c r="F5" s="3"/>
    </x:row>
    <x:row r="6" ht="14.25" hidden="0">
      <x:c r="A6" s="3" t="s">
        <x:v>7</x:v>
      </x:c>
      <x:c r="B6" s="3" t="s">
        <x:v>13</x:v>
      </x:c>
      <x:c r="C6" s="4"/>
      <x:c r="D6" s="4"/>
      <x:c r="E6" s="3" t="s">
        <x:v>14</x:v>
      </x:c>
      <x:c r="F6" s="3"/>
    </x:row>
    <x:row r="7" ht="14.25" hidden="0">
      <x:c r="A7" s="3" t="s">
        <x:v>15</x:v>
      </x:c>
      <x:c r="B7" s="3" t="s">
        <x:v>16</x:v>
      </x:c>
      <x:c r="C7" s="4" t="n">
        <x:v>-1</x:v>
      </x:c>
      <x:c r="D7" s="4"/>
      <x:c r="E7" s="3" t="s">
        <x:v>17</x:v>
      </x:c>
      <x:c r="F7" s="3" t="s">
        <x:v>18</x:v>
      </x:c>
    </x:row>
    <x:row r="8" ht="14.25" hidden="0">
      <x:c r="A8" s="3" t="s">
        <x:v>15</x:v>
      </x:c>
      <x:c r="B8" s="3" t="s">
        <x:v>19</x:v>
      </x:c>
      <x:c r="C8" s="4" t="n">
        <x:v>2.2</x:v>
      </x:c>
      <x:c r="D8" s="4"/>
      <x:c r="E8" s="3" t="s">
        <x:v>20</x:v>
      </x:c>
      <x:c r="F8" s="3"/>
    </x:row>
    <x:row r="9" ht="14.25" hidden="0">
      <x:c r="A9" s="3" t="s">
        <x:v>15</x:v>
      </x:c>
      <x:c r="B9" s="3" t="s">
        <x:v>21</x:v>
      </x:c>
      <x:c r="C9" s="4" t="n">
        <x:v>3.6</x:v>
      </x:c>
      <x:c r="D9" s="4"/>
      <x:c r="E9" s="3" t="s">
        <x:v>20</x:v>
      </x:c>
      <x:c r="F9" s="3"/>
    </x:row>
    <x:row r="10" ht="14.25" hidden="0">
      <x:c r="A10" s="3" t="s">
        <x:v>15</x:v>
      </x:c>
      <x:c r="B10" s="3" t="s">
        <x:v>22</x:v>
      </x:c>
      <x:c r="C10" s="4" t="n">
        <x:v>2.8</x:v>
      </x:c>
      <x:c r="D10" s="4"/>
      <x:c r="E10" s="3" t="s">
        <x:v>20</x:v>
      </x:c>
      <x:c r="F10" s="3"/>
    </x:row>
    <x:row r="11" ht="14.25" hidden="0">
      <x:c r="A11" s="3" t="s">
        <x:v>15</x:v>
      </x:c>
      <x:c r="B11" s="3" t="s">
        <x:v>23</x:v>
      </x:c>
      <x:c r="C11" s="4" t="n">
        <x:v>1.7</x:v>
      </x:c>
      <x:c r="D11" s="4"/>
      <x:c r="E11" s="3" t="s">
        <x:v>20</x:v>
      </x:c>
      <x:c r="F11" s="3"/>
    </x:row>
    <x:row r="12" ht="14.25" hidden="0">
      <x:c r="A12" s="3" t="s">
        <x:v>15</x:v>
      </x:c>
      <x:c r="B12" s="3" t="s">
        <x:v>24</x:v>
      </x:c>
      <x:c r="C12" s="4" t="n">
        <x:v>3.8</x:v>
      </x:c>
      <x:c r="D12" s="4"/>
      <x:c r="E12" s="3" t="s">
        <x:v>20</x:v>
      </x:c>
      <x:c r="F12" s="3"/>
    </x:row>
    <x:row r="13" ht="14.25" hidden="0">
      <x:c r="A13" s="3" t="s">
        <x:v>15</x:v>
      </x:c>
      <x:c r="B13" s="3" t="s">
        <x:v>25</x:v>
      </x:c>
      <x:c r="C13" s="4" t="n">
        <x:v>5.2</x:v>
      </x:c>
      <x:c r="D13" s="4"/>
      <x:c r="E13" s="3" t="s">
        <x:v>20</x:v>
      </x:c>
      <x:c r="F13" s="3"/>
    </x:row>
    <x:row r="14" ht="14.25" hidden="0">
      <x:c r="A14" s="3" t="s">
        <x:v>26</x:v>
      </x:c>
      <x:c r="B14" s="3" t="s">
        <x:v>27</x:v>
      </x:c>
      <x:c r="C14" s="4" t="n">
        <x:v>1.75</x:v>
      </x:c>
      <x:c r="D14" s="4" t="n">
        <x:v>1.05</x:v>
      </x:c>
      <x:c r="E14" s="3" t="s">
        <x:v>28</x:v>
      </x:c>
      <x:c r="F14" s="3" t="s">
        <x:v>29</x:v>
      </x:c>
    </x:row>
    <x:row r="15" ht="14.25" hidden="0">
      <x:c r="A15" s="3" t="s">
        <x:v>26</x:v>
      </x:c>
      <x:c r="B15" s="3" t="s">
        <x:v>30</x:v>
      </x:c>
      <x:c r="C15" s="4" t="n">
        <x:v>0.95</x:v>
      </x:c>
      <x:c r="D15" s="4" t="n">
        <x:v>1.65</x:v>
      </x:c>
      <x:c r="E15" s="3" t="s">
        <x:v>28</x:v>
      </x:c>
      <x:c r="F15" s="3"/>
    </x:row>
    <x:row r="16" ht="14.25" hidden="0">
      <x:c r="A16" s="3" t="s">
        <x:v>26</x:v>
      </x:c>
      <x:c r="B16" s="3" t="s">
        <x:v>31</x:v>
      </x:c>
      <x:c r="C16" s="4" t="n">
        <x:v>1.85</x:v>
      </x:c>
      <x:c r="D16" s="4" t="n">
        <x:v>1.1</x:v>
      </x:c>
      <x:c r="E16" s="3" t="s">
        <x:v>28</x:v>
      </x:c>
      <x:c r="F16" s="3"/>
    </x:row>
    <x:row r="17" ht="14.25" hidden="0">
      <x:c r="A17" s="3" t="s">
        <x:v>26</x:v>
      </x:c>
      <x:c r="B17" s="3" t="s">
        <x:v>32</x:v>
      </x:c>
      <x:c r="C17" s="4" t="n">
        <x:v>1</x:v>
      </x:c>
      <x:c r="D17" s="4" t="n">
        <x:v>1.55</x:v>
      </x:c>
      <x:c r="E17" s="3" t="s">
        <x:v>28</x:v>
      </x:c>
      <x:c r="F17" s="3"/>
    </x:row>
    <x:row r="18" ht="14.25" hidden="0">
      <x:c r="A18" s="3" t="s">
        <x:v>26</x:v>
      </x:c>
      <x:c r="B18" s="3" t="s">
        <x:v>33</x:v>
      </x:c>
      <x:c r="C18" s="4" t="n">
        <x:v>1.8</x:v>
      </x:c>
      <x:c r="D18" s="4" t="n">
        <x:v>1</x:v>
      </x:c>
      <x:c r="E18" s="3" t="s">
        <x:v>34</x:v>
      </x:c>
      <x:c r="F18" s="3"/>
    </x:row>
    <x:row r="19" ht="14.25" hidden="0">
      <x:c r="A19" s="3" t="s">
        <x:v>26</x:v>
      </x:c>
      <x:c r="B19" s="3" t="s">
        <x:v>35</x:v>
      </x:c>
      <x:c r="C19" s="4" t="n">
        <x:v>0.9</x:v>
      </x:c>
      <x:c r="D19" s="4" t="n">
        <x:v>1.7</x:v>
      </x:c>
      <x:c r="E19" s="3" t="s">
        <x:v>34</x:v>
      </x:c>
      <x:c r="F19" s="3"/>
    </x:row>
    <x:row r="20" ht="14.25" hidden="0">
      <x:c r="A20" s="3" t="s">
        <x:v>36</x:v>
      </x:c>
      <x:c r="B20" s="3" t="s">
        <x:v>37</x:v>
      </x:c>
      <x:c r="C20" s="4" t="n">
        <x:v>72</x:v>
      </x:c>
      <x:c r="D20" s="4" t="n">
        <x:v>55</x:v>
      </x:c>
      <x:c r="E20" s="3" t="s">
        <x:v>38</x:v>
      </x:c>
      <x:c r="F20" s="3" t="s">
        <x:v>39</x:v>
      </x:c>
    </x:row>
    <x:row r="21" ht="14.25" hidden="0">
      <x:c r="A21" s="3" t="s">
        <x:v>40</x:v>
      </x:c>
      <x:c r="B21" s="3" t="s">
        <x:v>41</x:v>
      </x:c>
      <x:c r="C21" s="4" t="n">
        <x:v>-0.05</x:v>
      </x:c>
      <x:c r="D21" s="4" t="n">
        <x:v>-0.1</x:v>
      </x:c>
      <x:c r="E21" s="3" t="s">
        <x:v>42</x:v>
      </x:c>
      <x:c r="F21" s="3" t="s">
        <x:v>43</x:v>
      </x:c>
    </x:row>
    <x:row r="22" ht="14.25" hidden="0">
      <x:c r="A22" s="3" t="s">
        <x:v>40</x:v>
      </x:c>
      <x:c r="B22" s="3" t="s">
        <x:v>44</x:v>
      </x:c>
      <x:c r="C22" s="4" t="n">
        <x:v>0</x:v>
      </x:c>
      <x:c r="D22" s="4" t="n">
        <x:v>0.08</x:v>
      </x:c>
      <x:c r="E22" s="3" t="s">
        <x:v>45</x:v>
      </x:c>
      <x:c r="F22" s="3" t="s">
        <x:v>46</x:v>
      </x:c>
    </x:row>
    <x:row r="23" ht="14.25" hidden="0">
      <x:c r="A23" s="3" t="s">
        <x:v>40</x:v>
      </x:c>
      <x:c r="B23" s="3" t="s">
        <x:v>47</x:v>
      </x:c>
      <x:c r="C23" s="4" t="n">
        <x:v>0.02</x:v>
      </x:c>
      <x:c r="D23" s="4" t="n">
        <x:v>-0.03</x:v>
      </x:c>
      <x:c r="E23" s="3" t="s">
        <x:v>48</x:v>
      </x:c>
      <x:c r="F23" s="3"/>
    </x:row>
    <x:row r="24" ht="14.25" hidden="0">
      <x:c r="A24" s="3" t="s">
        <x:v>40</x:v>
      </x:c>
      <x:c r="B24" s="3" t="s">
        <x:v>49</x:v>
      </x:c>
      <x:c r="C24" s="4" t="n">
        <x:v>0.03</x:v>
      </x:c>
      <x:c r="D24" s="4" t="n">
        <x:v>0</x:v>
      </x:c>
      <x:c r="E24" s="3" t="s">
        <x:v>50</x:v>
      </x:c>
      <x:c r="F24" s="3"/>
    </x:row>
    <x:row r="25" ht="14.25" hidden="0">
      <x:c r="A25" s="3" t="s">
        <x:v>40</x:v>
      </x:c>
      <x:c r="B25" s="3" t="s">
        <x:v>51</x:v>
      </x:c>
      <x:c r="C25" s="4" t="n">
        <x:v>0.04</x:v>
      </x:c>
      <x:c r="D25" s="4" t="n">
        <x:v>-0.02</x:v>
      </x:c>
      <x:c r="E25" s="3" t="s">
        <x:v>52</x:v>
      </x:c>
      <x:c r="F25" s="3"/>
    </x:row>
    <x:row r="26" ht="14.25" hidden="0">
      <x:c r="A26" s="3" t="s">
        <x:v>40</x:v>
      </x:c>
      <x:c r="B26" s="3" t="s">
        <x:v>53</x:v>
      </x:c>
      <x:c r="C26" s="4" t="n">
        <x:v>-0.02</x:v>
      </x:c>
      <x:c r="D26" s="4" t="n">
        <x:v>-0.02</x:v>
      </x:c>
      <x:c r="E26" s="3" t="s">
        <x:v>54</x:v>
      </x:c>
      <x:c r="F26" s="3"/>
    </x:row>
    <x:row r="27" ht="14.25" hidden="0">
      <x:c r="A27" s="3" t="s">
        <x:v>40</x:v>
      </x:c>
      <x:c r="B27" s="3" t="s">
        <x:v>55</x:v>
      </x:c>
      <x:c r="C27" s="4" t="n">
        <x:v>0.05</x:v>
      </x:c>
      <x:c r="D27" s="4" t="n">
        <x:v>0</x:v>
      </x:c>
      <x:c r="E27" s="3" t="s">
        <x:v>56</x:v>
      </x:c>
      <x:c r="F27" s="3" t="s">
        <x:v>57</x:v>
      </x:c>
    </x:row>
    <x:row r="28" ht="14.25" hidden="0">
      <x:c r="A28" s="3" t="s">
        <x:v>40</x:v>
      </x:c>
      <x:c r="B28" s="3" t="s">
        <x:v>58</x:v>
      </x:c>
      <x:c r="C28" s="4" t="n">
        <x:v>0</x:v>
      </x:c>
      <x:c r="D28" s="4" t="n">
        <x:v>0</x:v>
      </x:c>
      <x:c r="E28" s="3" t="s">
        <x:v>52</x:v>
      </x:c>
      <x:c r="F28" s="3"/>
    </x:row>
    <x:row r="29" ht="14.25" hidden="0">
      <x:c r="A29" s="3" t="s">
        <x:v>40</x:v>
      </x:c>
      <x:c r="B29" s="3" t="s">
        <x:v>59</x:v>
      </x:c>
      <x:c r="C29" s="4" t="n">
        <x:v>0</x:v>
      </x:c>
      <x:c r="D29" s="4" t="n">
        <x:v>-0.05</x:v>
      </x:c>
      <x:c r="E29" s="3" t="s">
        <x:v>60</x:v>
      </x:c>
      <x:c r="F29" s="3"/>
    </x:row>
    <x:row r="31" ht="28" hidden="0" customHeight="1">
      <x:c r="A31" s="5" t="s">
        <x:v>61</x:v>
      </x:c>
      <x:c r="B31" s="5"/>
      <x:c r="C31" s="5"/>
      <x:c r="D31" s="5"/>
      <x:c r="E31" s="5"/>
      <x:c r="F31" s="5"/>
    </x:row>
    <x:row r="32" ht="23.850000381469727" hidden="0">
      <x:c r="A32" s="2" t="s">
        <x:v>1</x:v>
      </x:c>
      <x:c r="B32" s="2" t="s">
        <x:v>2</x:v>
      </x:c>
      <x:c r="C32" s="2" t="s">
        <x:v>62</x:v>
      </x:c>
      <x:c r="D32" s="2" t="s">
        <x:v>4</x:v>
      </x:c>
      <x:c r="E32" s="2" t="s">
        <x:v>5</x:v>
      </x:c>
      <x:c r="F32" s="2" t="s">
        <x:v>6</x:v>
      </x:c>
    </x:row>
    <x:row r="33" ht="23.850000381469727" hidden="0">
      <x:c r="A33" s="3" t="s">
        <x:v>63</x:v>
      </x:c>
      <x:c r="B33" s="3" t="s">
        <x:v>64</x:v>
      </x:c>
      <x:c r="C33" s="4" t="s">
        <x:v>65</x:v>
      </x:c>
      <x:c r="D33" s="4"/>
      <x:c r="E33" s="3" t="s">
        <x:v>66</x:v>
      </x:c>
      <x:c r="F33" s="3" t="s">
        <x:v>67</x:v>
      </x:c>
    </x:row>
    <x:row r="34" ht="14.25" hidden="0">
      <x:c r="A34" s="3" t="s">
        <x:v>68</x:v>
      </x:c>
      <x:c r="B34" s="3" t="s">
        <x:v>69</x:v>
      </x:c>
      <x:c r="C34" s="4"/>
      <x:c r="D34" s="4"/>
      <x:c r="E34" s="3" t="s">
        <x:v>70</x:v>
      </x:c>
      <x:c r="F34" s="3" t="s">
        <x:v>71</x:v>
      </x:c>
    </x:row>
    <x:row r="35" ht="14.25" hidden="0">
      <x:c r="A35" s="3" t="s">
        <x:v>68</x:v>
      </x:c>
      <x:c r="B35" s="3" t="s">
        <x:v>72</x:v>
      </x:c>
      <x:c r="C35" s="4"/>
      <x:c r="D35" s="4"/>
      <x:c r="E35" s="3" t="s">
        <x:v>70</x:v>
      </x:c>
      <x:c r="F35" s="3" t="s">
        <x:v>73</x:v>
      </x:c>
    </x:row>
    <x:row r="36" ht="14.25" hidden="0">
      <x:c r="A36" s="3" t="s">
        <x:v>74</x:v>
      </x:c>
      <x:c r="B36" s="3" t="s">
        <x:v>75</x:v>
      </x:c>
      <x:c r="C36" s="6"/>
      <x:c r="D36" s="4"/>
      <x:c r="E36" s="3" t="s">
        <x:v>11</x:v>
      </x:c>
      <x:c r="F36" s="3" t="s">
        <x:v>76</x:v>
      </x:c>
    </x:row>
    <x:row r="37" ht="14.25" hidden="0">
      <x:c r="A37" s="3" t="s">
        <x:v>74</x:v>
      </x:c>
      <x:c r="B37" s="3" t="s">
        <x:v>77</x:v>
      </x:c>
      <x:c r="C37" s="7"/>
      <x:c r="D37" s="4"/>
      <x:c r="E37" s="3" t="s">
        <x:v>78</x:v>
      </x:c>
      <x:c r="F37" s="3" t="s">
        <x:v>79</x:v>
      </x:c>
    </x:row>
    <x:row r="38" ht="14.25" hidden="0">
      <x:c r="A38" s="3" t="s">
        <x:v>74</x:v>
      </x:c>
      <x:c r="B38" s="3" t="s">
        <x:v>80</x:v>
      </x:c>
      <x:c r="C38" s="7"/>
      <x:c r="D38" s="4"/>
      <x:c r="E38" s="3" t="s">
        <x:v>20</x:v>
      </x:c>
      <x:c r="F38" s="3" t="s">
        <x:v>81</x:v>
      </x:c>
    </x:row>
    <x:row r="39" ht="14.25" hidden="0">
      <x:c r="A39" s="3" t="s">
        <x:v>74</x:v>
      </x:c>
      <x:c r="B39" s="3" t="s">
        <x:v>82</x:v>
      </x:c>
      <x:c r="C39" s="7"/>
      <x:c r="D39" s="4"/>
      <x:c r="E39" s="3" t="s">
        <x:v>20</x:v>
      </x:c>
      <x:c r="F39" s="3" t="s">
        <x:v>83</x:v>
      </x:c>
    </x:row>
    <x:row r="40" ht="14.25" hidden="0">
      <x:c r="A40" s="3" t="s">
        <x:v>84</x:v>
      </x:c>
      <x:c r="B40" s="3" t="s">
        <x:v>85</x:v>
      </x:c>
      <x:c r="C40" s="4" t="n">
        <x:v>1</x:v>
      </x:c>
      <x:c r="D40" s="4"/>
      <x:c r="E40" s="3" t="s">
        <x:v>17</x:v>
      </x:c>
      <x:c r="F40" s="3" t="s">
        <x:v>86</x:v>
      </x:c>
    </x:row>
    <x:row r="41" ht="14.25" hidden="0">
      <x:c r="A41" s="3" t="s">
        <x:v>87</x:v>
      </x:c>
      <x:c r="B41" s="3" t="s">
        <x:v>88</x:v>
      </x:c>
      <x:c r="C41" s="8" t="n">
        <x:v>1</x:v>
      </x:c>
      <x:c r="D41" s="4"/>
      <x:c r="E41" s="3" t="s">
        <x:v>89</x:v>
      </x:c>
      <x:c r="F41" s="3" t="s">
        <x:v>90</x:v>
      </x:c>
    </x:row>
    <x:row r="42" ht="14.25" hidden="0">
      <x:c r="A42" s="3" t="s">
        <x:v>87</x:v>
      </x:c>
      <x:c r="B42" s="3" t="s">
        <x:v>91</x:v>
      </x:c>
      <x:c r="C42" s="4" t="n">
        <x:v>10</x:v>
      </x:c>
      <x:c r="D42" s="4" t="n">
        <x:v>10</x:v>
      </x:c>
      <x:c r="E42" s="3" t="s">
        <x:v>92</x:v>
      </x:c>
      <x:c r="F42" s="3" t="s">
        <x:v>93</x:v>
      </x:c>
    </x:row>
    <x:row r="43" ht="23.850000381469727" hidden="0">
      <x:c r="A43" s="3" t="s">
        <x:v>87</x:v>
      </x:c>
      <x:c r="B43" s="3" t="s">
        <x:v>94</x:v>
      </x:c>
      <x:c r="C43" s="8" t="n">
        <x:v>0.8</x:v>
      </x:c>
      <x:c r="D43" s="4"/>
      <x:c r="E43" s="3" t="s">
        <x:v>89</x:v>
      </x:c>
      <x:c r="F43" s="3" t="s">
        <x:v>95</x:v>
      </x:c>
    </x:row>
    <x:row r="44" ht="14.25" hidden="0">
      <x:c r="A44" s="3" t="s">
        <x:v>87</x:v>
      </x:c>
      <x:c r="B44" s="3" t="s">
        <x:v>96</x:v>
      </x:c>
      <x:c r="C44" s="8" t="n">
        <x:v>0.9</x:v>
      </x:c>
      <x:c r="D44" s="4"/>
      <x:c r="E44" s="3" t="s">
        <x:v>89</x:v>
      </x:c>
      <x:c r="F44" s="3" t="s">
        <x:v>97</x:v>
      </x:c>
    </x:row>
    <x:row r="45" ht="14.25" hidden="0">
      <x:c r="A45" s="3" t="s">
        <x:v>87</x:v>
      </x:c>
      <x:c r="B45" s="3" t="s">
        <x:v>98</x:v>
      </x:c>
      <x:c r="C45" s="8" t="n">
        <x:v>1</x:v>
      </x:c>
      <x:c r="D45" s="4"/>
      <x:c r="E45" s="3" t="s">
        <x:v>89</x:v>
      </x:c>
      <x:c r="F45" s="3" t="s">
        <x:v>99</x:v>
      </x:c>
    </x:row>
    <x:row r="46" ht="23.850000381469727" hidden="0">
      <x:c r="A46" s="3" t="s">
        <x:v>100</x:v>
      </x:c>
      <x:c r="B46" s="3" t="s">
        <x:v>101</x:v>
      </x:c>
      <x:c r="C46" s="4" t="s">
        <x:v>102</x:v>
      </x:c>
      <x:c r="D46" s="4"/>
      <x:c r="E46" s="3" t="s">
        <x:v>103</x:v>
      </x:c>
      <x:c r="F46" s="3" t="s">
        <x:v>104</x:v>
      </x:c>
    </x:row>
    <x:row r="47" ht="23.850000381469727" hidden="0">
      <x:c r="A47" s="3" t="s">
        <x:v>105</x:v>
      </x:c>
      <x:c r="B47" s="3" t="s">
        <x:v>106</x:v>
      </x:c>
      <x:c r="C47" s="4" t="s">
        <x:v>107</x:v>
      </x:c>
      <x:c r="D47" s="4"/>
      <x:c r="E47" s="3" t="s">
        <x:v>103</x:v>
      </x:c>
      <x:c r="F47" s="3" t="s">
        <x:v>108</x:v>
      </x:c>
    </x:row>
    <x:row r="48" ht="23.850000381469727" hidden="0">
      <x:c r="A48" s="3" t="s">
        <x:v>109</x:v>
      </x:c>
      <x:c r="B48" s="3" t="s">
        <x:v>110</x:v>
      </x:c>
      <x:c r="C48" s="4"/>
      <x:c r="D48" s="4"/>
      <x:c r="E48" s="3" t="s">
        <x:v>70</x:v>
      </x:c>
      <x:c r="F48" s="3" t="s">
        <x:v>111</x:v>
      </x:c>
    </x:row>
  </x:sheetData>
  <x:mergeCells>
    <x:mergeCell ref="A1:F1"/>
    <x:mergeCell ref="A31:F31"/>
  </x:mergeCells>
  <x:dataValidations count="3">
    <x:dataValidation type="list" errorStyle="stop" operator="between" allowBlank="0" showDropDown="0" showInputMessage="0" showErrorMessage="0" sqref="C33">
      <x:formula1>"CONFIRMAT,NECONFIRMAT,INCERT"</x:formula1>
      <x:formula2>0</x:formula2>
    </x:dataValidation>
    <x:dataValidation type="list" errorStyle="stop" operator="between" allowBlank="0" showDropDown="0" showInputMessage="0" showErrorMessage="0" sqref="C46:C47">
      <x:formula1>"DA,NU"</x:formula1>
      <x:formula2>0</x:formula2>
    </x:dataValidation>
    <x:dataValidation type="whole" errorStyle="stop" operator="between" showErrorMessage="1" error="Introdu un handicap întreg între -4 și +4." sqref="C7">
      <x:formula1>-4</x:formula1>
      <x:formula2>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4.25"/>
  <x:cols>
    <x:col min="1" max="1" width="40.75" hidden="0" customWidth="1"/>
    <x:col min="2" max="2" width="5.25" hidden="0" customWidth="1"/>
    <x:col min="3" max="3" width="6.380000114440918" hidden="0" customWidth="1"/>
    <x:col min="4" max="4" width="14.75" hidden="0" customWidth="1"/>
    <x:col min="5" max="5" width="15.130000114440918" hidden="0" customWidth="1"/>
    <x:col min="6" max="6" width="10.25" hidden="0" customWidth="1"/>
    <x:col min="7" max="7" width="21.3799991607666" hidden="0" customWidth="1"/>
  </x:cols>
  <x:sheetData>
    <x:row r="1" ht="28" hidden="0" customHeight="1">
      <x:c r="A1" s="1" t="s">
        <x:v>112</x:v>
      </x:c>
      <x:c r="B1" s="1"/>
      <x:c r="C1" s="1"/>
      <x:c r="D1" s="1"/>
      <x:c r="E1" s="1"/>
      <x:c r="F1" s="1"/>
      <x:c r="G1" s="1"/>
    </x:row>
    <x:row r="3" ht="23.850000381469727" hidden="0">
      <x:c r="A3" s="2" t="s">
        <x:v>113</x:v>
      </x:c>
      <x:c r="B3" s="2" t="s">
        <x:v>3</x:v>
      </x:c>
      <x:c r="C3" s="2" t="s">
        <x:v>4</x:v>
      </x:c>
      <x:c r="D3" s="2" t="s">
        <x:v>114</x:v>
      </x:c>
      <x:c r="E3" s="2" t="s">
        <x:v>115</x:v>
      </x:c>
      <x:c r="F3" s="2" t="s">
        <x:v>116</x:v>
      </x:c>
      <x:c r="G3" s="2"/>
    </x:row>
    <x:row r="4" ht="14.25" hidden="0">
      <x:c r="A4" t="s">
        <x:v>117</x:v>
      </x:c>
      <x:c r="B4" t="n">
        <x:f aca="0">Input_Meci!C14</x:f>
        <x:v>1.75</x:v>
      </x:c>
      <x:c r="C4" t="n">
        <x:f aca="0">Input_Meci!D14</x:f>
        <x:v>1.05</x:v>
      </x:c>
      <x:c r="D4" t="s">
        <x:v>118</x:v>
      </x:c>
      <x:c r="E4" t="n">
        <x:v>0.3</x:v>
      </x:c>
    </x:row>
    <x:row r="5" ht="14.25" hidden="0">
      <x:c r="A5" t="s">
        <x:v>119</x:v>
      </x:c>
      <x:c r="B5" t="n">
        <x:f aca="0">Input_Meci!C16</x:f>
        <x:v>1.85</x:v>
      </x:c>
      <x:c r="C5" t="n">
        <x:f aca="0">Input_Meci!D16</x:f>
        <x:v>1.1</x:v>
      </x:c>
      <x:c r="D5" t="s">
        <x:v>120</x:v>
      </x:c>
      <x:c r="E5" t="n">
        <x:v>0.2</x:v>
      </x:c>
    </x:row>
    <x:row r="6" ht="14.25" hidden="0">
      <x:c r="A6" t="s">
        <x:v>121</x:v>
      </x:c>
      <x:c r="B6" t="n">
        <x:f aca="0">Input_Meci!D15</x:f>
        <x:v>1.65</x:v>
      </x:c>
      <x:c r="C6" t="n">
        <x:f aca="0">Input_Meci!C15</x:f>
        <x:v>0.95</x:v>
      </x:c>
      <x:c r="D6" t="s">
        <x:v>122</x:v>
      </x:c>
      <x:c r="E6" t="n">
        <x:v>0.25</x:v>
      </x:c>
    </x:row>
    <x:row r="7" ht="14.25" hidden="0">
      <x:c r="A7" t="s">
        <x:v>123</x:v>
      </x:c>
      <x:c r="B7" t="n">
        <x:f aca="0">Input_Meci!D17</x:f>
        <x:v>1.55</x:v>
      </x:c>
      <x:c r="C7" t="n">
        <x:f aca="0">Input_Meci!C17</x:f>
        <x:v>1</x:v>
      </x:c>
      <x:c r="D7" t="s">
        <x:v>124</x:v>
      </x:c>
      <x:c r="E7" t="n">
        <x:v>0.1</x:v>
      </x:c>
    </x:row>
    <x:row r="8" ht="14.25" hidden="0">
      <x:c r="A8" t="s">
        <x:v>125</x:v>
      </x:c>
      <x:c r="B8" t="n">
        <x:f aca="0">Input_Meci!C18</x:f>
        <x:v>1.8</x:v>
      </x:c>
      <x:c r="C8" t="n">
        <x:f aca="0">Input_Meci!D18</x:f>
        <x:v>1</x:v>
      </x:c>
      <x:c r="D8" t="s">
        <x:v>126</x:v>
      </x:c>
      <x:c r="E8" t="n">
        <x:v>0.075</x:v>
      </x:c>
    </x:row>
    <x:row r="9" ht="14.25" hidden="0">
      <x:c r="A9" t="s">
        <x:v>127</x:v>
      </x:c>
      <x:c r="B9" t="n">
        <x:f aca="0">Input_Meci!D19</x:f>
        <x:v>1.7</x:v>
      </x:c>
      <x:c r="C9" t="n">
        <x:f aca="0">Input_Meci!C19</x:f>
        <x:v>0.9</x:v>
      </x:c>
      <x:c r="D9" t="s">
        <x:v>126</x:v>
      </x:c>
      <x:c r="E9" t="n">
        <x:v>0.075</x:v>
      </x:c>
    </x:row>
    <x:row r="11" ht="23.850000381469727" hidden="0">
      <x:c r="A11" s="9" t="s">
        <x:v>128</x:v>
      </x:c>
      <x:c r="B11" s="9" t="s">
        <x:v>3</x:v>
      </x:c>
      <x:c r="C11" s="9" t="s">
        <x:v>4</x:v>
      </x:c>
    </x:row>
    <x:row r="12" ht="14.25" hidden="0">
      <x:c r="A12" t="s">
        <x:v>129</x:v>
      </x:c>
      <x:c r="B12" s="10" t="n">
        <x:f aca="0">IF($F$29="READY",SUMPRODUCT(B4:B9,$E$4:$E$9),"")</x:f>
        <x:v>1.725</x:v>
      </x:c>
      <x:c r="C12" s="10" t="n">
        <x:f aca="0">IF($F$29="READY",SUMPRODUCT(C4:C9,$E$4:$E$9),"")</x:f>
        <x:v>1.015</x:v>
      </x:c>
      <x:c r="E12" s="9" t="s">
        <x:v>63</x:v>
      </x:c>
      <x:c r="F12" s="9" t="s">
        <x:v>130</x:v>
      </x:c>
      <x:c r="G12" s="9" t="s">
        <x:v>131</x:v>
      </x:c>
    </x:row>
    <x:row r="13" ht="14.25" hidden="0">
      <x:c r="A13" t="s">
        <x:v>132</x:v>
      </x:c>
      <x:c r="B13" s="10" t="n">
        <x:f aca="0">MAX(-0.15,MIN(0.15,(Input_Meci!C20-Input_Meci!D20)/200))</x:f>
        <x:v>0.085</x:v>
      </x:c>
      <x:c r="C13" s="10" t="n">
        <x:f aca="0">-B13</x:f>
        <x:v>-0.085</x:v>
      </x:c>
      <x:c r="E13" t="s">
        <x:v>133</x:v>
      </x:c>
      <x:c r="F13" t="n">
        <x:f aca="0">IF(COUNT(B23:C23)=2,B23+C23,"")</x:f>
        <x:v>2.8358000000000003</x:v>
      </x:c>
      <x:c r="G13" t="s">
        <x:v>134</x:v>
      </x:c>
    </x:row>
    <x:row r="14" ht="14.25" hidden="0">
      <x:c r="A14" t="s">
        <x:v>135</x:v>
      </x:c>
      <x:c r="B14" s="10" t="n">
        <x:f aca="0">Input_Meci!C21</x:f>
        <x:v>-0.05</x:v>
      </x:c>
      <x:c r="C14" s="10" t="n">
        <x:f aca="0">Input_Meci!D21</x:f>
        <x:v>-0.1</x:v>
      </x:c>
      <x:c r="E14" t="s">
        <x:v>136</x:v>
      </x:c>
      <x:c r="F14" t="n">
        <x:f aca="0">IF(COUNT(B23:C23)=2,B23-C23,"")</x:f>
        <x:v>1.4249500000000004</x:v>
      </x:c>
      <x:c r="G14" t="s">
        <x:v>137</x:v>
      </x:c>
    </x:row>
    <x:row r="15" ht="14.25" hidden="0">
      <x:c r="A15" t="s">
        <x:v>138</x:v>
      </x:c>
      <x:c r="B15" s="10" t="n">
        <x:f aca="0">Input_Meci!D22</x:f>
        <x:v>0.08</x:v>
      </x:c>
      <x:c r="C15" s="10" t="n">
        <x:f aca="0">Input_Meci!C22</x:f>
        <x:v>0</x:v>
      </x:c>
      <x:c r="E15" t="s">
        <x:v>139</x:v>
      </x:c>
      <x:c r="F15" s="11" t="n">
        <x:f aca="0">IF(AND(ISNUMBER(Input_Meci!C11),Input_Meci!C11&gt;1),1/Input_Meci!C11,"")</x:f>
        <x:v>0.5882352941176471</x:v>
      </x:c>
      <x:c r="G15" t="s">
        <x:v>140</x:v>
      </x:c>
    </x:row>
    <x:row r="16" ht="14.25" hidden="0">
      <x:c r="A16" t="s">
        <x:v>141</x:v>
      </x:c>
      <x:c r="B16" s="10" t="n">
        <x:f aca="0">Input_Meci!C23</x:f>
        <x:v>0.02</x:v>
      </x:c>
      <x:c r="C16" s="10" t="n">
        <x:f aca="0">Input_Meci!D23</x:f>
        <x:v>-0.03</x:v>
      </x:c>
      <x:c r="E16" t="s">
        <x:v>142</x:v>
      </x:c>
      <x:c r="F16" s="11" t="n">
        <x:f aca="0">IF(AND(ISNUMBER(Input_Meci!C12),Input_Meci!C12&gt;1),1/Input_Meci!C12,"")</x:f>
        <x:v>0.2631578947368421</x:v>
      </x:c>
      <x:c r="G16" t="s">
        <x:v>140</x:v>
      </x:c>
    </x:row>
    <x:row r="17" ht="14.25" hidden="0">
      <x:c r="A17" t="s">
        <x:v>143</x:v>
      </x:c>
      <x:c r="B17" s="10" t="n">
        <x:f aca="0">Input_Meci!C24</x:f>
        <x:v>0.03</x:v>
      </x:c>
      <x:c r="C17" s="10" t="n">
        <x:f aca="0">Input_Meci!D24</x:f>
        <x:v>0</x:v>
      </x:c>
      <x:c r="E17" t="s">
        <x:v>144</x:v>
      </x:c>
      <x:c r="F17" s="11" t="n">
        <x:f aca="0">IF(AND(ISNUMBER(Input_Meci!C13),Input_Meci!C13&gt;1),1/Input_Meci!C13,"")</x:f>
        <x:v>0.1923076923076923</x:v>
      </x:c>
      <x:c r="G17" t="s">
        <x:v>140</x:v>
      </x:c>
    </x:row>
    <x:row r="18" ht="14.25" hidden="0">
      <x:c r="A18" t="s">
        <x:v>145</x:v>
      </x:c>
      <x:c r="B18" s="10" t="n">
        <x:f aca="0">Input_Meci!C25</x:f>
        <x:v>0.04</x:v>
      </x:c>
      <x:c r="C18" s="10" t="n">
        <x:f aca="0">Input_Meci!D25</x:f>
        <x:v>-0.02</x:v>
      </x:c>
      <x:c r="E18" t="s">
        <x:v>146</x:v>
      </x:c>
      <x:c r="F18" s="11" t="n">
        <x:f aca="0">IF(COUNT(F15:F17)=3,SUM(F15:F17),"")</x:f>
        <x:v>1.0437008811621815</x:v>
      </x:c>
      <x:c r="G18" t="s">
        <x:v>147</x:v>
      </x:c>
    </x:row>
    <x:row r="19" ht="14.25" hidden="0">
      <x:c r="A19" t="s">
        <x:v>148</x:v>
      </x:c>
      <x:c r="B19" s="10" t="n">
        <x:f aca="0">Input_Meci!C26</x:f>
        <x:v>-0.02</x:v>
      </x:c>
      <x:c r="C19" s="10" t="n">
        <x:f aca="0">Input_Meci!D26</x:f>
        <x:v>-0.02</x:v>
      </x:c>
      <x:c r="E19" t="s">
        <x:v>149</x:v>
      </x:c>
      <x:c r="F19" s="11" t="n">
        <x:f aca="0">IF(AND(ISNUMBER(F18),F18&gt;0),F15/F18,"")</x:f>
        <x:v>0.5636052481460354</x:v>
      </x:c>
      <x:c r="G19" t="s">
        <x:v>150</x:v>
      </x:c>
    </x:row>
    <x:row r="20" ht="14.25" hidden="0">
      <x:c r="A20" t="s">
        <x:v>151</x:v>
      </x:c>
      <x:c r="B20" s="10" t="n">
        <x:f aca="0">Input_Meci!C27</x:f>
        <x:v>0.05</x:v>
      </x:c>
      <x:c r="C20" s="10" t="n">
        <x:f aca="0">Input_Meci!D27</x:f>
        <x:v>0</x:v>
      </x:c>
      <x:c r="E20" s="3" t="s">
        <x:v>152</x:v>
      </x:c>
      <x:c r="F20" s="12" t="n">
        <x:f aca="0">IF(AND(ISNUMBER(F18),F18&gt;0),F16/F18,"")</x:f>
        <x:v>0.25213918996006845</x:v>
      </x:c>
      <x:c r="G20" s="3" t="s">
        <x:v>150</x:v>
      </x:c>
    </x:row>
    <x:row r="21" ht="14.25" hidden="0">
      <x:c r="A21" t="s">
        <x:v>153</x:v>
      </x:c>
      <x:c r="B21" s="10" t="n">
        <x:f aca="0">Input_Meci!C28</x:f>
        <x:v>0</x:v>
      </x:c>
      <x:c r="C21" s="10" t="n">
        <x:f aca="0">Input_Meci!D28</x:f>
        <x:v>0</x:v>
      </x:c>
      <x:c r="E21" s="3" t="s">
        <x:v>154</x:v>
      </x:c>
      <x:c r="F21" s="3" t="n">
        <x:f aca="0">IF(AND(ISNUMBER(F18),F18&gt;0),F17/F18,"")</x:f>
        <x:v>0.18425556189389616</x:v>
      </x:c>
      <x:c r="G21" s="3" t="s">
        <x:v>150</x:v>
      </x:c>
    </x:row>
    <x:row r="22" ht="35.04999923706055" hidden="0">
      <x:c r="A22" t="s">
        <x:v>155</x:v>
      </x:c>
      <x:c r="B22" s="10" t="n">
        <x:f aca="0">Input_Meci!C29</x:f>
        <x:v>0</x:v>
      </x:c>
      <x:c r="C22" s="10" t="n">
        <x:f aca="0">Input_Meci!D29</x:f>
        <x:v>-0.05</x:v>
      </x:c>
      <x:c r="E22" s="3" t="s">
        <x:v>156</x:v>
      </x:c>
      <x:c r="F22" s="13" t="n">
        <x:f aca="0">MAX(0,MIN(100,35*Input_Meci!C41+20*MIN(1,AVERAGE(Input_Meci!C42:D42)/Parametri_v2!$B$14)+25*Input_Meci!C43+10*Input_Meci!C44+10*Input_Meci!C45-IF(Input_Meci!C33&lt;&gt;"CONFIRMAT",20,0)-IF(Input_Meci!C46&lt;&gt;"DA",10,0)))</x:f>
        <x:v>94</x:v>
      </x:c>
      <x:c r="G22" s="3" t="s">
        <x:v>157</x:v>
      </x:c>
    </x:row>
    <x:row r="23" ht="23.850000381469727" hidden="0">
      <x:c r="A23" t="s">
        <x:v>158</x:v>
      </x:c>
      <x:c r="B23" s="10" t="n">
        <x:f aca="0">IF(ISNUMBER(B12),MAX(0.15,B12*(1+SUM(B13:B22))),"")</x:f>
        <x:v>2.1303750000000004</x:v>
      </x:c>
      <x:c r="C23" s="10" t="n">
        <x:f aca="0">IF(ISNUMBER(C12),MAX(0.15,C12*(1+SUM(C13:C22))),"")</x:f>
        <x:v>0.705425</x:v>
      </x:c>
      <x:c r="E23" s="3" t="s">
        <x:v>159</x:v>
      </x:c>
      <x:c r="F23" s="12" t="n">
        <x:f aca="0">MIN(Parametri_v2!$B$11,IF(Input_Meci!C40&lt;=Parametri_v2!$B$12,Parametri_v2!$B$10,Parametri_v2!$B$9)+IF(Input_Meci!C46&lt;&gt;"DA",0.01,0))</x:f>
        <x:v>0.04</x:v>
      </x:c>
      <x:c r="G23" s="3" t="s">
        <x:v>160</x:v>
      </x:c>
    </x:row>
    <x:row r="24" ht="35.04999923706055" hidden="0">
      <x:c r="E24" s="3" t="s">
        <x:v>161</x:v>
      </x:c>
      <x:c r="F24" s="3" t="str">
        <x:f aca="0">IF(Input_Meci!C33="CONFIRMAT","DA","NU")</x:f>
        <x:v>DA</x:v>
      </x:c>
      <x:c r="G24" s="3" t="s">
        <x:v>162</x:v>
      </x:c>
    </x:row>
    <x:row r="25" ht="23.850000381469727" hidden="0">
      <x:c r="E25" s="3" t="s">
        <x:v>163</x:v>
      </x:c>
      <x:c r="F25" s="3" t="str">
        <x:f aca="0">Input_Meci!C46</x:f>
        <x:v>DA</x:v>
      </x:c>
      <x:c r="G25" s="3" t="s">
        <x:v>164</x:v>
      </x:c>
    </x:row>
    <x:row r="26" ht="23.850000381469727" hidden="0">
      <x:c r="E26" s="3" t="s">
        <x:v>165</x:v>
      </x:c>
      <x:c r="F26" s="3" t="str">
        <x:f aca="0">Input_Meci!C47</x:f>
        <x:v>NU</x:v>
      </x:c>
      <x:c r="G26" s="3" t="s">
        <x:v>166</x:v>
      </x:c>
    </x:row>
    <x:row r="27" ht="14.25" hidden="0">
      <x:c r="E27" s="3" t="s">
        <x:v>167</x:v>
      </x:c>
      <x:c r="F27" s="3" t="n">
        <x:f aca="0">Input_Meci!C40</x:f>
        <x:v>1</x:v>
      </x:c>
      <x:c r="G27" s="3" t="s">
        <x:v>168</x:v>
      </x:c>
    </x:row>
    <x:row r="28" ht="46.25" hidden="0">
      <x:c r="E28" s="3" t="s">
        <x:v>169</x:v>
      </x:c>
      <x:c r="F28" s="3" t="str">
        <x:f aca="0">"v7 | workbook optimizat V2"</x:f>
        <x:v>v7 | workbook optimizat V2</x:v>
      </x:c>
      <x:c r="G28" s="3" t="s">
        <x:v>170</x:v>
      </x:c>
    </x:row>
    <x:row r="29">
      <x:c r="E29" t="str">
        <x:v>Date pentru distribuție</x:v>
      </x:c>
      <x:c r="F29" t="str">
        <x:f>IF(AND(COUNT(Input_Meci!C14:D19)=12,MIN(Input_Meci!C14:D19)&gt;=0),"READY","INCOMPLETE")</x:f>
        <x:v>READY</x:v>
      </x:c>
      <x:c r="G29" t="str">
        <x:v>Cele 12 valori xG/xGA și GF/GA utilizate de motor trebuie să fie numerice. Zero este o valoare validă.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4.25"/>
  <x:cols>
    <x:col min="1" max="1" width="16" hidden="0" customWidth="1"/>
    <x:col min="2" max="12" width="9" hidden="0" customWidth="1"/>
    <x:col min="13" max="13" width="14" hidden="0" customWidth="1"/>
  </x:cols>
  <x:sheetData>
    <x:row r="1" ht="18.549999237060547" hidden="0">
      <x:c r="A1" s="14" t="s">
        <x:v>171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3" ht="14.25" hidden="0">
      <x:c r="A3" s="2" t="s">
        <x:v>172</x:v>
      </x:c>
      <x:c r="B3" s="2" t="n">
        <x:v>0</x:v>
      </x:c>
      <x:c r="C3" s="2" t="n">
        <x:v>1</x:v>
      </x:c>
      <x:c r="D3" s="2" t="n">
        <x:v>2</x:v>
      </x:c>
      <x:c r="E3" s="2" t="n">
        <x:v>3</x:v>
      </x:c>
      <x:c r="F3" s="2" t="n">
        <x:v>4</x:v>
      </x:c>
      <x:c r="G3" s="2" t="n">
        <x:v>5</x:v>
      </x:c>
      <x:c r="H3" s="2" t="n">
        <x:v>6</x:v>
      </x:c>
      <x:c r="I3" s="2" t="n">
        <x:v>7</x:v>
      </x:c>
      <x:c r="J3" s="2" t="n">
        <x:v>8</x:v>
      </x:c>
      <x:c r="K3" s="2" t="n">
        <x:v>9</x:v>
      </x:c>
      <x:c r="L3" s="2" t="n">
        <x:v>10</x:v>
      </x:c>
      <x:c r="M3" s="2" t="s">
        <x:v>173</x:v>
      </x:c>
    </x:row>
    <x:row r="4" ht="14.25" hidden="0">
      <x:c r="A4" s="9" t="n">
        <x:v>0</x:v>
      </x:c>
      <x:c r="B4" s="15" t="n">
        <x:f aca="0">IF(Model!$F$29="READY",$M4*B$15,"")</x:f>
        <x:v>0.05867156979812378</x:v>
      </x:c>
      <x:c r="C4" s="15" t="n">
        <x:f aca="0">IF(Model!$F$29="READY",$M4*C$15,"")</x:f>
        <x:v>0.04138839212484147</x:v>
      </x:c>
      <x:c r="D4" s="15" t="n">
        <x:f aca="0">IF(Model!$F$29="READY",$M4*D$15,"")</x:f>
        <x:v>0.014598203257333143</x:v>
      </x:c>
      <x:c r="E4" s="15" t="n">
        <x:f aca="0">IF(Model!$F$29="READY",$M4*E$15,"")</x:f>
        <x:v>0.003432645844268077</x:v>
      </x:c>
      <x:c r="F4" s="15" t="n">
        <x:f aca="0">IF(Model!$F$29="READY",$M4*F$15,"")</x:f>
        <x:v>0.0006053685486732021</x:v>
      </x:c>
      <x:c r="G4" s="15" t="n">
        <x:f aca="0">IF(Model!$F$29="READY",$M4*G$15,"")</x:f>
        <x:v>0.00008540842168955873</x:v>
      </x:c>
      <x:c r="H4" s="15" t="n">
        <x:f aca="0">IF(Model!$F$29="READY",$M4*H$15,"")</x:f>
        <x:v>0.00001004153931172616</x:v>
      </x:c>
      <x:c r="I4" s="15" t="n">
        <x:f aca="0">IF(Model!$F$29="READY",$M4*I$15,"")</x:f>
        <x:v>0.0000010119361241392037</x:v>
      </x:c>
      <x:c r="J4" s="15" t="n">
        <x:f aca="0">IF(Model!$F$29="READY",$M4*J$15,"")</x:f>
        <x:v>8.923063004636221e-8</x:v>
      </x:c>
      <x:c r="K4" s="15" t="n">
        <x:f aca="0">IF(Model!$F$29="READY",$M4*K$15,"")</x:f>
        <x:v>6.993946355606119e-9</x:v>
      </x:c>
      <x:c r="L4" s="15" t="n">
        <x:f aca="0">IF(Model!$F$29="READY",$M4*L$15,"")</x:f>
        <x:v>4.933704607903446e-10</x:v>
      </x:c>
      <x:c r="M4" s="15" t="n">
        <x:f aca="0">IF(Model!$F$29="READY",EXP(-Model!$B$23)*Model!$B$23^0/FACT(0),"")</x:f>
        <x:v>0.1187927382219178</x:v>
      </x:c>
    </x:row>
    <x:row r="5" ht="14.25" hidden="0">
      <x:c r="A5" s="9" t="n">
        <x:v>1</x:v>
      </x:c>
      <x:c r="B5" s="15" t="n">
        <x:f aca="0">IF(Model!$F$29="READY",$M5*B$15,"")</x:f>
        <x:v>0.12499244550867798</x:v>
      </x:c>
      <x:c r="C5" s="15" t="n">
        <x:f aca="0">IF(Model!$F$29="READY",$M5*C$15,"")</x:f>
        <x:v>0.08817279587295916</x:v>
      </x:c>
      <x:c r="D5" s="15" t="n">
        <x:f aca="0">IF(Model!$F$29="READY",$M5*D$15,"")</x:f>
        <x:v>0.031099647264341106</x:v>
      </x:c>
      <x:c r="E5" s="15" t="n">
        <x:f aca="0">IF(Model!$F$29="READY",$M5*E$15,"")</x:f>
        <x:v>0.007312822890482607</x:v>
      </x:c>
      <x:c r="F5" s="15" t="n">
        <x:f aca="0">IF(Model!$F$29="READY",$M5*F$15,"")</x:f>
        <x:v>0.0012896620218796734</x:v>
      </x:c>
      <x:c r="G5" s="15" t="n">
        <x:f aca="0">IF(Model!$F$29="READY",$M5*G$15,"")</x:f>
        <x:v>0.00018195196635689372</x:v>
      </x:c>
      <x:c r="H5" s="15" t="n">
        <x:f aca="0">IF(Model!$F$29="READY",$M5*H$15,"")</x:f>
        <x:v>0.000021392244311218626</x:v>
      </x:c>
      <x:c r="I5" s="15" t="n">
        <x:f aca="0">IF(Model!$F$29="READY",$M5*I$15,"")</x:f>
        <x:v>0.0000021558034204630567</x:v>
      </x:c>
      <x:c r="J5" s="15" t="n">
        <x:f aca="0">IF(Model!$F$29="READY",$M5*J$15,"")</x:f>
        <x:v>1.9009470348501894e-7</x:v>
      </x:c>
      <x:c r="K5" s="15" t="n">
        <x:f aca="0">IF(Model!$F$29="READY",$M5*K$15,"")</x:f>
        <x:v>1.489972846732439e-8</x:v>
      </x:c>
      <x:c r="L5" s="15" t="n">
        <x:f aca="0">IF(Model!$F$29="READY",$M5*L$15,"")</x:f>
        <x:v>1.0510640954062307e-9</x:v>
      </x:c>
      <x:c r="M5" s="15" t="n">
        <x:f aca="0">IF(Model!$F$29="READY",EXP(-Model!$B$23)*Model!$B$23^1/FACT(1),"")</x:f>
        <x:v>0.2530730796895182</x:v>
      </x:c>
    </x:row>
    <x:row r="6" ht="14.25" hidden="0">
      <x:c r="A6" s="9" t="n">
        <x:v>2</x:v>
      </x:c>
      <x:c r="B6" s="15" t="n">
        <x:f aca="0">IF(Model!$F$29="READY",$M6*B$15,"")</x:f>
        <x:v>0.13314039055027493</x:v>
      </x:c>
      <x:c r="C6" s="15" t="n">
        <x:f aca="0">IF(Model!$F$29="READY",$M6*C$15,"")</x:f>
        <x:v>0.09392056000392769</x:v>
      </x:c>
      <x:c r="D6" s="15" t="n">
        <x:f aca="0">IF(Model!$F$29="READY",$M6*D$15,"")</x:f>
        <x:v>0.03312695552038534</x:v>
      </x:c>
      <x:c r="E6" s="15" t="n">
        <x:f aca="0">IF(Model!$F$29="READY",$M6*E$15,"")</x:f>
        <x:v>0.007789527532655942</x:v>
      </x:c>
      <x:c r="F6" s="15" t="n">
        <x:f aca="0">IF(Model!$F$29="READY",$M6*F$15,"")</x:f>
        <x:v>0.0013737318649309545</x:v>
      </x:c>
      <x:c r="G6" s="15" t="n">
        <x:f aca="0">IF(Model!$F$29="READY",$M6*G$15,"")</x:f>
        <x:v>0.00019381296016378373</x:v>
      </x:c>
      <x:c r="H6" s="15" t="n">
        <x:f aca="0">IF(Model!$F$29="READY",$M6*H$15,"")</x:f>
        <x:v>0.000022786751237256188</x:v>
      </x:c>
      <x:c r="I6" s="15" t="n">
        <x:f aca="0">IF(Model!$F$29="READY",$M6*I$15,"")</x:f>
        <x:v>0.000002296334855934492</x:v>
      </x:c>
      <x:c r="J6" s="15" t="n">
        <x:f aca="0">IF(Model!$F$29="READY",$M6*J$15,"")</x:f>
        <x:v>2.0248650196844863e-7</x:v>
      </x:c>
      <x:c r="K6" s="15" t="n">
        <x:f aca="0">IF(Model!$F$29="READY",$M6*K$15,"")</x:f>
        <x:v>1.5871004516788097e-8</x:v>
      </x:c>
      <x:c r="L6" s="15" t="n">
        <x:f aca="0">IF(Model!$F$29="READY",$M6*L$15,"")</x:f>
        <x:v>1.1195803361255243e-9</x:v>
      </x:c>
      <x:c r="M6" s="15" t="n">
        <x:f aca="0">IF(Model!$F$29="READY",EXP(-Model!$B$23)*Model!$B$23^2/FACT(2),"")</x:f>
        <x:v>0.26957028107177866</x:v>
      </x:c>
    </x:row>
    <x:row r="7" ht="14.25" hidden="0">
      <x:c r="A7" s="9" t="n">
        <x:v>3</x:v>
      </x:c>
      <x:c r="B7" s="15" t="n">
        <x:f aca="0">IF(Model!$F$29="READY",$M7*B$15,"")</x:f>
        <x:v>0.09454631983951399</x:v>
      </x:c>
      <x:c r="C7" s="15" t="n">
        <x:f aca="0">IF(Model!$F$29="READY",$M7*C$15,"")</x:f>
        <x:v>0.06669533767278915</x:v>
      </x:c>
      <x:c r="D7" s="15" t="n">
        <x:f aca="0">IF(Model!$F$29="READY",$M7*D$15,"")</x:f>
        <x:v>0.02352427928891364</x:v>
      </x:c>
      <x:c r="E7" s="15" t="n">
        <x:f aca="0">IF(Model!$F$29="READY",$M7*E$15,"")</x:f>
        <x:v>0.005531538239127301</x:v>
      </x:c>
      <x:c r="F7" s="15" t="n">
        <x:f aca="0">IF(Model!$F$29="READY",$M7*F$15,"")</x:f>
        <x:v>0.0009755213405840943</x:v>
      </x:c>
      <x:c r="G7" s="15" t="n">
        <x:f aca="0">IF(Model!$F$29="READY",$M7*G$15,"")</x:f>
        <x:v>0.00013763142833630692</x:v>
      </x:c>
      <x:c r="H7" s="15" t="n">
        <x:f aca="0">IF(Model!$F$29="READY",$M7*H$15,"")</x:f>
        <x:v>0.00001618144172235655</x:v>
      </x:c>
      <x:c r="I7" s="15" t="n">
        <x:f aca="0">IF(Model!$F$29="READY",$M7*I$15,"")</x:f>
        <x:v>0.0000016306847895704815</x:v>
      </x:c>
      <x:c r="J7" s="15" t="n">
        <x:f aca="0">IF(Model!$F$29="READY",$M7*J$15,"")</x:f>
        <x:v>1.437907272103446e-7</x:v>
      </x:c>
      <x:c r="K7" s="15" t="n">
        <x:f aca="0">IF(Model!$F$29="READY",$M7*K$15,"")</x:f>
        <x:v>1.127039708248415e-8</x:v>
      </x:c>
      <x:c r="L7" s="15" t="n">
        <x:f aca="0">IF(Model!$F$29="READY",$M7*L$15,"")</x:f>
        <x:v>7.95041986191138e-10</x:v>
      </x:c>
      <x:c r="M7" s="15" t="n">
        <x:f aca="0">IF(Model!$F$29="READY",EXP(-Model!$B$23)*Model!$B$23^3/FACT(3),"")</x:f>
        <x:v>0.19142859584609684</x:v>
      </x:c>
    </x:row>
    <x:row r="8" ht="14.25" hidden="0">
      <x:c r="A8" s="9" t="n">
        <x:v>4</x:v>
      </x:c>
      <x:c r="B8" s="15" t="n">
        <x:f aca="0">IF(Model!$F$29="READY",$M8*B$15,"")</x:f>
        <x:v>0.050354779032026176</x:v>
      </x:c>
      <x:c r="C8" s="15" t="n">
        <x:f aca="0">IF(Model!$F$29="READY",$M8*C$15,"")</x:f>
        <x:v>0.03552151999866706</x:v>
      </x:c>
      <x:c r="D8" s="15" t="n">
        <x:f aca="0">IF(Model!$F$29="READY",$M8*D$15,"")</x:f>
        <x:v>0.012528884122529855</x:v>
      </x:c>
      <x:c r="E8" s="15" t="n">
        <x:f aca="0">IF(Model!$F$29="READY",$M8*E$15,"")</x:f>
        <x:v>0.0029460626940452073</x:v>
      </x:c>
      <x:c r="F8" s="15" t="n">
        <x:f aca="0">IF(Model!$F$29="READY",$M8*F$15,"")</x:f>
        <x:v>0.0005195565689867102</x:v>
      </x:c>
      <x:c r="G8" s="15" t="n">
        <x:f aca="0">IF(Model!$F$29="READY",$M8*G$15,"")</x:f>
        <x:v>0.00007330163853549</x:v>
      </x:c>
      <x:c r="H8" s="15" t="n">
        <x:f aca="0">IF(Model!$F$29="READY",$M8*H$15,"")</x:f>
        <x:v>0.000008618134727316339</x:v>
      </x:c>
      <x:c r="I8" s="15" t="n">
        <x:f aca="0">IF(Model!$F$29="READY",$M8*I$15,"")</x:f>
        <x:v>8.684925271453039e-7</x:v>
      </x:c>
      <x:c r="J8" s="15" t="n">
        <x:f aca="0">IF(Model!$F$29="READY",$M8*J$15,"")</x:f>
        <x:v>7.65820426201845e-8</x:v>
      </x:c>
      <x:c r="K8" s="15" t="n">
        <x:f aca="0">IF(Model!$F$29="READY",$M8*K$15,"")</x:f>
        <x:v>6.002543046149295e-9</x:v>
      </x:c>
      <x:c r="L8" s="15" t="n">
        <x:f aca="0">IF(Model!$F$29="READY",$M8*L$15,"")</x:f>
        <x:v>4.234343928329866e-10</x:v>
      </x:c>
      <x:c r="M8" s="15" t="n">
        <x:f aca="0">IF(Model!$F$29="READY",EXP(-Model!$B$23)*Model!$B$23^4/FACT(4),"")</x:f>
        <x:v>0.10195367371890718</x:v>
      </x:c>
    </x:row>
    <x:row r="9" ht="14.25" hidden="0">
      <x:c r="A9" s="9" t="n">
        <x:v>5</x:v>
      </x:c>
      <x:c r="B9" s="15" t="n">
        <x:f aca="0">IF(Model!$F$29="READY",$M9*B$15,"")</x:f>
        <x:v>0.02145491247607055</x:v>
      </x:c>
      <x:c r="C9" s="15" t="n">
        <x:f aca="0">IF(Model!$F$29="READY",$M9*C$15,"")</x:f>
        <x:v>0.015134831633432069</x:v>
      </x:c>
      <x:c r="D9" s="15" t="n">
        <x:f aca="0">IF(Model!$F$29="READY",$M9*D$15,"")</x:f>
        <x:v>0.005338244302506907</x:v>
      </x:c>
      <x:c r="E9" s="15" t="n">
        <x:f aca="0">IF(Model!$F$29="READY",$M9*E$15,"")</x:f>
        <x:v>0.0012552436623653115</x:v>
      </x:c>
      <x:c r="F9" s="15" t="n">
        <x:f aca="0">IF(Model!$F$29="READY",$M9*F$15,"")</x:f>
        <x:v>0.0002213700651310125</x:v>
      </x:c>
      <x:c r="G9" s="15" t="n">
        <x:f aca="0">IF(Model!$F$29="READY",$M9*G$15,"")</x:f>
        <x:v>0.0000312319956390089</x:v>
      </x:c>
      <x:c r="H9" s="15" t="n">
        <x:f aca="0">IF(Model!$F$29="READY",$M9*H$15,"")</x:f>
        <x:v>0.0000036719717539413086</x:v>
      </x:c>
      <x:c r="I9" s="15" t="n">
        <x:f aca="0">IF(Model!$F$29="READY",$M9*I$15,"")</x:f>
        <x:v>3.7004295350343537e-7</x:v>
      </x:c>
      <x:c r="J9" s="15" t="n">
        <x:f aca="0">IF(Model!$F$29="READY",$M9*J$15,"")</x:f>
        <x:v>3.262969380939511e-8</x:v>
      </x:c>
      <x:c r="K9" s="15" t="n">
        <x:f aca="0">IF(Model!$F$29="READY",$M9*K$15,"")</x:f>
        <x:v>2.5575335283880605e-9</x:v>
      </x:c>
      <x:c r="L9" s="15" t="n">
        <x:f aca="0">IF(Model!$F$29="READY",$M9*L$15,"")</x:f>
        <x:v>1.8041480892631476e-10</x:v>
      </x:c>
      <x:c r="M9" s="15" t="n">
        <x:f aca="0">IF(Model!$F$29="READY",EXP(-Model!$B$23)*Model!$B$23^5/FACT(5),"")</x:f>
        <x:v>0.043439911529783375</x:v>
      </x:c>
    </x:row>
    <x:row r="10" ht="14.25" hidden="0">
      <x:c r="A10" s="9" t="n">
        <x:v>6</x:v>
      </x:c>
      <x:c r="B10" s="15" t="n">
        <x:f aca="0">IF(Model!$F$29="READY",$M10*B$15,"")</x:f>
        <x:v>0.007617834861034803</x:v>
      </x:c>
      <x:c r="C10" s="15" t="n">
        <x:f aca="0">IF(Model!$F$29="READY",$M10*C$15,"")</x:f>
        <x:v>0.005373811156845476</x:v>
      </x:c>
      <x:c r="D10" s="15" t="n">
        <x:f aca="0">IF(Model!$F$29="READY",$M10*D$15,"")</x:f>
        <x:v>0.0018954103676588595</x:v>
      </x:c>
      <x:c r="E10" s="15" t="n">
        <x:f aca="0">IF(Model!$F$29="READY",$M10*E$15,"")</x:f>
        <x:v>0.0004456899528685836</x:v>
      </x:c>
      <x:c r="F10" s="15" t="n">
        <x:f aca="0">IF(Model!$F$29="READY",$M10*F$15,"")</x:f>
        <x:v>0.00007860020875058016</x:v>
      </x:c>
      <x:c r="G10" s="15" t="n">
        <x:f aca="0">IF(Model!$F$29="READY",$M10*G$15,"")</x:f>
        <x:v>0.000011089310451575602</x:v>
      </x:c>
      <x:c r="H10" s="15" t="n">
        <x:f aca="0">IF(Model!$F$29="READY",$M10*H$15,"")</x:f>
        <x:v>0.0000013037794708837863</x:v>
      </x:c>
      <x:c r="I10" s="15" t="n">
        <x:f aca="0">IF(Model!$F$29="READY",$M10*I$15,"")</x:f>
        <x:v>1.3138837617831356e-7</x:v>
      </x:c>
      <x:c r="J10" s="15" t="n">
        <x:f aca="0">IF(Model!$F$29="READY",$M10*J$15,"")</x:f>
        <x:v>1.1585580658198354e-8</x:v>
      </x:c>
      <x:c r="K10" s="15" t="n">
        <x:f aca="0">IF(Model!$F$29="READY",$M10*K$15,"")</x:f>
        <x:v>9.080842484232861e-10</x:v>
      </x:c>
      <x:c r="L10" s="15" t="n">
        <x:f aca="0">IF(Model!$F$29="READY",$M10*L$15,"")</x:f>
        <x:v>6.405853309439966e-11</x:v>
      </x:c>
      <x:c r="M10" s="15" t="n">
        <x:f aca="0">IF(Model!$F$29="READY",EXP(-Model!$B$23)*Model!$B$23^6/FACT(6),"")</x:f>
        <x:v>0.015423883587543714</x:v>
      </x:c>
    </x:row>
    <x:row r="11" ht="14.25" hidden="0">
      <x:c r="A11" s="9" t="n">
        <x:v>7</x:v>
      </x:c>
      <x:c r="B11" s="15" t="n">
        <x:f aca="0">IF(Model!$F$29="READY",$M11*B$15,"")</x:f>
        <x:v>0.002318406420296717</x:v>
      </x:c>
      <x:c r="C11" s="15" t="n">
        <x:f aca="0">IF(Model!$F$29="READY",$M11*C$15,"")</x:f>
        <x:v>0.0016354618490378116</x:v>
      </x:c>
      <x:c r="D11" s="15" t="n">
        <x:f aca="0">IF(Model!$F$29="READY",$M11*D$15,"")</x:f>
        <x:v>0.0005768478374287491</x:v>
      </x:c>
      <x:c r="E11" s="15" t="n">
        <x:f aca="0">IF(Model!$F$29="READY",$M11*E$15,"")</x:f>
        <x:v>0.0001356409619060584</x:v>
      </x:c>
      <x:c r="F11" s="15" t="n">
        <x:f aca="0">IF(Model!$F$29="READY",$M11*F$15,"")</x:f>
        <x:v>0.000023921131388145318</x:v>
      </x:c>
      <x:c r="G11" s="15" t="n">
        <x:f aca="0">IF(Model!$F$29="READY",$M11*G$15,"")</x:f>
        <x:v>0.0000033749128218964818</x:v>
      </x:c>
      <x:c r="H11" s="15" t="n">
        <x:f aca="0">IF(Model!$F$29="READY",$M11*H$15,"")</x:f>
        <x:v>3.967913128977209e-7</x:v>
      </x:c>
      <x:c r="I11" s="15" t="n">
        <x:f aca="0">IF(Model!$F$29="READY",$M11*I$15,"")</x:f>
        <x:v>3.9986644557267825e-8</x:v>
      </x:c>
      <x:c r="J11" s="15" t="n">
        <x:f aca="0">IF(Model!$F$29="READY",$M11*J$15,"")</x:f>
        <x:v>3.5259473421013315e-9</x:v>
      </x:c>
      <x:c r="K11" s="15" t="n">
        <x:f aca="0">IF(Model!$F$29="READY",$M11*K$15,"")</x:f>
        <x:v>2.763657115335369e-10</x:v>
      </x:c>
      <x:c r="L11" s="15" t="n">
        <x:f aca="0">IF(Model!$F$29="READY",$M11*L$15,"")</x:f>
        <x:v>1.9495528205854523e-11</x:v>
      </x:c>
      <x:c r="M11" s="15" t="n">
        <x:f aca="0">IF(Model!$F$29="READY",EXP(-Model!$B$23)*Model!$B$23^7/FACT(7),"")</x:f>
        <x:v>0.004694093713973349</x:v>
      </x:c>
    </x:row>
    <x:row r="12" ht="14.25" hidden="0">
      <x:c r="A12" s="9" t="n">
        <x:v>8</x:v>
      </x:c>
      <x:c r="B12" s="15" t="n">
        <x:f aca="0">IF(Model!$F$29="READY",$M12*B$15,"")</x:f>
        <x:v>0.0006173843847049525</x:v>
      </x:c>
      <x:c r="C12" s="15" t="n">
        <x:f aca="0">IF(Model!$F$29="READY",$M12*C$15,"")</x:f>
        <x:v>0.0004355183795804911</x:v>
      </x:c>
      <x:c r="D12" s="15" t="n">
        <x:f aca="0">IF(Model!$F$29="READY",$M12*D$15,"")</x:f>
        <x:v>0.00015361277645778394</x:v>
      </x:c>
      <x:c r="E12" s="15" t="n">
        <x:f aca="0">IF(Model!$F$29="READY",$M12*E$15,"")</x:f>
        <x:v>0.00003612076427757741</x:v>
      </x:c>
      <x:c r="F12" s="15" t="n">
        <x:f aca="0">IF(Model!$F$29="READY",$M12*F$15,"")</x:f>
        <x:v>0.000006370122535127511</x:v>
      </x:c>
      <x:c r="G12" s="15" t="n">
        <x:f aca="0">IF(Model!$F$29="READY",$M12*G$15,"")</x:f>
        <x:v>8.987287378684649e-7</x:v>
      </x:c>
      <x:c r="H12" s="15" t="n">
        <x:f aca="0">IF(Model!$F$29="READY",$M12*H$15,"")</x:f>
        <x:v>1.056642866518103e-7</x:v>
      </x:c>
      <x:c r="I12" s="15" t="n">
        <x:f aca="0">IF(Model!$F$29="READY",$M12*I$15,"")</x:f>
        <x:v>1.0648318487336182e-8</x:v>
      </x:c>
      <x:c r="J12" s="15" t="n">
        <x:f aca="0">IF(Model!$F$29="READY",$M12*J$15,"")</x:f>
        <x:v>9.389487586161407e-10</x:v>
      </x:c>
      <x:c r="K12" s="15" t="n">
        <x:f aca="0">IF(Model!$F$29="READY",$M12*K$15,"")</x:f>
        <x:v>7.359532533853234e-11</x:v>
      </x:c>
      <x:c r="L12" s="15" t="n">
        <x:f aca="0">IF(Model!$F$29="READY",$M12*L$15,"")</x:f>
        <x:v>5.191598237693418e-12</x:v>
      </x:c>
      <x:c r="M12" s="15" t="n">
        <x:f aca="0">IF(Model!$F$29="READY",EXP(-Model!$B$23)*Model!$B$23^8/FACT(8),"")</x:f>
        <x:v>0.001250022486988247</x:v>
      </x:c>
    </x:row>
    <x:row r="13" ht="14.25" hidden="0">
      <x:c r="A13" s="9" t="n">
        <x:v>9</x:v>
      </x:c>
      <x:c r="B13" s="15" t="n">
        <x:f aca="0">IF(Model!$F$29="READY",$M13*B$15,"")</x:f>
        <x:v>0.0001461400287295348</x:v>
      </x:c>
      <x:c r="C13" s="15" t="n">
        <x:f aca="0">IF(Model!$F$29="READY",$M13*C$15,"")</x:f>
        <x:v>0.00010309082976653209</x:v>
      </x:c>
      <x:c r="D13" s="15" t="n">
        <x:f aca="0">IF(Model!$F$29="READY",$M13*D$15,"")</x:f>
        <x:v>0.000036361424294027944</x:v>
      </x:c>
      <x:c r="E13" s="15" t="n">
        <x:f aca="0">IF(Model!$F$29="READY",$M13*E$15,"")</x:f>
        <x:v>0.000008550085910871552</x:v>
      </x:c>
      <x:c r="F13" s="15" t="n">
        <x:f aca="0">IF(Model!$F$29="READY",$M13*F$15,"")</x:f>
        <x:v>0.0000015078610884191414</x:v>
      </x:c>
      <x:c r="G13" s="15" t="n">
        <x:f aca="0">IF(Model!$F$29="READY",$M13*G$15,"")</x:f>
        <x:v>2.1273658165961457e-7</x:v>
      </x:c>
      <x:c r="H13" s="15" t="n">
        <x:f aca="0">IF(Model!$F$29="READY",$M13*H$15,"")</x:f>
        <x:v>2.5011617186205598e-8</x:v>
      </x:c>
      <x:c r="I13" s="15" t="n">
        <x:f aca="0">IF(Model!$F$29="READY",$M13*I$15,"")</x:f>
        <x:v>2.520545721939869e-9</x:v>
      </x:c>
      <x:c r="J13" s="15" t="n">
        <x:f aca="0">IF(Model!$F$29="READY",$M13*J$15,"")</x:f>
        <x:v>2.22256995737429e-10</x:v>
      </x:c>
      <x:c r="K13" s="15" t="n">
        <x:f aca="0">IF(Model!$F$29="READY",$M13*K$15,"")</x:f>
        <x:v>1.742062680200843e-11</x:v>
      </x:c>
      <x:c r="L13" s="15" t="n">
        <x:f aca="0">IF(Model!$F$29="READY",$M13*L$15,"")</x:f>
        <x:v>1.2288945661806795e-12</x:v>
      </x:c>
      <x:c r="M13" s="15" t="n">
        <x:f aca="0">IF(Model!$F$29="READY",EXP(-Model!$B$23)*Model!$B$23^9/FACT(9),"")</x:f>
        <x:v>0.0002958907395241763</x:v>
      </x:c>
    </x:row>
    <x:row r="14" ht="14.25" hidden="0">
      <x:c r="A14" s="9" t="n">
        <x:v>10</x:v>
      </x:c>
      <x:c r="B14" s="15" t="n">
        <x:f aca="0">IF(Model!$F$29="READY",$M14*B$15,"")</x:f>
        <x:v>0.000031133306370468276</x:v>
      </x:c>
      <x:c r="C14" s="15" t="n">
        <x:f aca="0">IF(Model!$F$29="READY",$M14*C$15,"")</x:f>
        <x:v>0.00002196221264638758</x:v>
      </x:c>
      <x:c r="D14" s="15" t="n">
        <x:f aca="0">IF(Model!$F$29="READY",$M14*D$15,"")</x:f>
        <x:v>0.000007746346928038979</x:v>
      </x:c>
      <x:c r="E14" s="15" t="n">
        <x:f aca="0">IF(Model!$F$29="READY",$M14*E$15,"")</x:f>
        <x:v>0.0000018214889272372986</x:v>
      </x:c>
      <x:c r="F14" s="15" t="n">
        <x:f aca="0">IF(Model!$F$29="READY",$M14*F$15,"")</x:f>
        <x:v>3.2123095662409287e-7</x:v>
      </x:c>
      <x:c r="G14" s="15" t="n">
        <x:f aca="0">IF(Model!$F$29="READY",$M14*G$15,"")</x:f>
        <x:v>4.532086951531014e-8</x:v>
      </x:c>
      <x:c r="H14" s="15" t="n">
        <x:f aca="0">IF(Model!$F$29="READY",$M14*H$15,"")</x:f>
        <x:v>5.328412396306276e-9</x:v>
      </x:c>
      <x:c r="I14" s="15" t="n">
        <x:f aca="0">IF(Model!$F$29="READY",$M14*I$15,"")</x:f>
        <x:v>5.369707592377649e-10</x:v>
      </x:c>
      <x:c r="J14" s="15" t="n">
        <x:f aca="0">IF(Model!$F$29="READY",$M14*J$15,"")</x:f>
        <x:v>4.7349074729412535e-11</x:v>
      </x:c>
      <x:c r="K14" s="15" t="n">
        <x:f aca="0">IF(Model!$F$29="READY",$M14*K$15,"")</x:f>
        <x:v>3.7112467823328714e-12</x:v>
      </x:c>
      <x:c r="L14" s="15" t="n">
        <x:f aca="0">IF(Model!$F$29="READY",$M14*L$15,"")</x:f>
        <x:v>2.6180062614271656e-13</x:v>
      </x:c>
      <x:c r="M14" s="15" t="n">
        <x:f aca="0">IF(Model!$F$29="READY",EXP(-Model!$B$23)*Model!$B$23^10/FACT(10),"")</x:f>
        <x:v>0.00006303582342138172</x:v>
      </x:c>
    </x:row>
    <x:row r="15" ht="14.25" hidden="0">
      <x:c r="A15" s="9" t="s">
        <x:v>174</x:v>
      </x:c>
      <x:c r="B15" s="16" t="n">
        <x:f aca="0">IF(Model!$F$29="READY",EXP(-Model!$C$23)*Model!$C$23^0/FACT(0),"")</x:f>
        <x:v>0.49389862272994234</x:v>
      </x:c>
      <x:c r="C15" s="16" t="n">
        <x:f aca="0">IF(Model!$F$29="READY",EXP(-Model!$C$23)*Model!$C$23^1/FACT(1),"")</x:f>
        <x:v>0.34840843593926957</x:v>
      </x:c>
      <x:c r="D15" s="16" t="n">
        <x:f aca="0">IF(Model!$F$29="READY",EXP(-Model!$C$23)*Model!$C$23^2/FACT(2),"")</x:f>
        <x:v>0.1228880104612296</x:v>
      </x:c>
      <x:c r="E15" s="16" t="n">
        <x:f aca="0">IF(Model!$F$29="READY",EXP(-Model!$C$23)*Model!$C$23^3/FACT(3),"")</x:f>
        <x:v>0.028896091593204293</x:v>
      </x:c>
      <x:c r="F15" s="16" t="n">
        <x:f aca="0">IF(Model!$F$29="READY",EXP(-Model!$C$23)*Model!$C$23^4/FACT(4),"")</x:f>
        <x:v>0.005096006353034035</x:v>
      </x:c>
      <x:c r="G15" s="16" t="n">
        <x:f aca="0">IF(Model!$F$29="READY",EXP(-Model!$C$23)*Model!$C$23^5/FACT(5),"")</x:f>
        <x:v>0.0007189700563178068</x:v>
      </x:c>
      <x:c r="H15" s="16" t="n">
        <x:f aca="0">IF(Model!$F$29="READY",EXP(-Model!$C$23)*Model!$C$23^6/FACT(6),"")</x:f>
        <x:v>0.00008452990866299815</x:v>
      </x:c>
      <x:c r="I15" s="16" t="n">
        <x:f aca="0">IF(Model!$F$29="READY",EXP(-Model!$C$23)*Model!$C$23^7/FACT(7),"")</x:f>
        <x:v>0.000008518501545513637</x:v>
      </x:c>
      <x:c r="J15" s="16" t="n">
        <x:f aca="0">IF(Model!$F$29="READY",EXP(-Model!$C$23)*Model!$C$23^8/FACT(8),"")</x:f>
        <x:v>7.511454940929946e-7</x:v>
      </x:c>
      <x:c r="K15" s="16" t="n">
        <x:f aca="0">IF(Model!$F$29="READY",EXP(-Model!$C$23)*Model!$C$23^9/FACT(9),"")</x:f>
        <x:v>5.88752011300612e-8</x:v>
      </x:c>
      <x:c r="L15" s="16" t="n">
        <x:f aca="0">IF(Model!$F$29="READY",EXP(-Model!$C$23)*Model!$C$23^10/FACT(10),"")</x:f>
        <x:v>4.153203875717342e-9</x:v>
      </x:c>
      <x:c r="M15" s="15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4.25"/>
  <x:cols>
    <x:col min="1" max="1" width="22" hidden="0" customWidth="1"/>
    <x:col min="2" max="4" width="12" hidden="0" customWidth="1"/>
    <x:col min="5" max="7" width="14" hidden="0" customWidth="1"/>
    <x:col min="8" max="8" width="18" hidden="0" customWidth="1"/>
    <x:col min="9" max="9" width="48" hidden="0" customWidth="1"/>
    <x:col min="10" max="10" width="22" hidden="0" customWidth="1"/>
    <x:col min="11" max="13" width="24" hidden="0" customWidth="1"/>
  </x:cols>
  <x:sheetData>
    <x:row r="1" ht="28" hidden="0" customHeight="1">
      <x:c r="A1" s="1" t="s">
        <x:v>175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3" ht="14.25" hidden="0">
      <x:c r="A3" s="17" t="s">
        <x:v>176</x:v>
      </x:c>
      <x:c r="B3" s="17" t="s">
        <x:v>177</x:v>
      </x:c>
      <x:c r="C3" s="17" t="s">
        <x:v>178</x:v>
      </x:c>
      <x:c r="D3" s="17" t="s">
        <x:v>179</x:v>
      </x:c>
      <x:c r="E3" s="17" t="s">
        <x:v>180</x:v>
      </x:c>
      <x:c r="F3" s="17" t="s">
        <x:v>181</x:v>
      </x:c>
      <x:c r="G3" s="17" t="s">
        <x:v>182</x:v>
      </x:c>
      <x:c r="H3" s="17" t="s">
        <x:v>183</x:v>
      </x:c>
      <x:c r="I3" s="17" t="s">
        <x:v>131</x:v>
      </x:c>
      <x:c r="J3" s="17" t="str">
        <x:v>Verdict final</x:v>
      </x:c>
      <x:c r="K3" s="17" t="s">
        <x:v>184</x:v>
      </x:c>
      <x:c r="L3" s="17" t="s">
        <x:v>185</x:v>
      </x:c>
      <x:c r="M3" s="17" t="s">
        <x:v>186</x:v>
      </x:c>
    </x:row>
    <x:row r="4" ht="14.25" hidden="0">
      <x:c r="A4" t="n">
        <x:v>-4</x:v>
      </x:c>
      <x:c r="B4" s="18" t="n">
        <x:f aca="0">IF(Model!$F$29="READY",Scoruri_Poisson!B9+Scoruri_Poisson!B10+Scoruri_Poisson!C10+Scoruri_Poisson!B11+Scoruri_Poisson!C11+Scoruri_Poisson!D11+Scoruri_Poisson!B12+Scoruri_Poisson!C12+Scoruri_Poisson!D12+Scoruri_Poisson!E12+Scoruri_Poisson!B13+Scoruri_Poisson!C13+Scoruri_Poisson!D13+Scoruri_Poisson!E13+Scoruri_Poisson!F13+Scoruri_Poisson!B14+Scoruri_Poisson!C14+Scoruri_Poisson!D14+Scoruri_Poisson!E14+Scoruri_Poisson!F14+Scoruri_Poisson!G14,"")</x:f>
        <x:v>0.04057859104222257</x:v>
      </x:c>
      <x:c r="C4" s="18" t="n">
        <x:f aca="0">IF(Model!$F$29="READY",Scoruri_Poisson!B8+Scoruri_Poisson!C9+Scoruri_Poisson!D10+Scoruri_Poisson!E11+Scoruri_Poisson!F12+Scoruri_Poisson!G13+Scoruri_Poisson!H14,"")</x:f>
        <x:v>0.06752725018255235</x:v>
      </x:c>
      <x:c r="D4" s="18" t="n">
        <x:f aca="0">IF(Model!$F$29="READY",Scoruri_Poisson!B4+Scoruri_Poisson!C4+Scoruri_Poisson!D4+Scoruri_Poisson!E4+Scoruri_Poisson!F4+Scoruri_Poisson!G4+Scoruri_Poisson!H4+Scoruri_Poisson!I4+Scoruri_Poisson!J4+Scoruri_Poisson!K4+Scoruri_Poisson!L4+Scoruri_Poisson!B5+Scoruri_Poisson!C5+Scoruri_Poisson!D5+Scoruri_Poisson!E5+Scoruri_Poisson!F5+Scoruri_Poisson!G5+Scoruri_Poisson!H5+Scoruri_Poisson!I5+Scoruri_Poisson!J5+Scoruri_Poisson!K5+Scoruri_Poisson!L5+Scoruri_Poisson!B6+Scoruri_Poisson!C6+Scoruri_Poisson!D6+Scoruri_Poisson!E6+Scoruri_Poisson!F6+Scoruri_Poisson!G6+Scoruri_Poisson!H6+Scoruri_Poisson!I6+Scoruri_Poisson!J6+Scoruri_Poisson!K6+Scoruri_Poisson!L6+Scoruri_Poisson!B7+Scoruri_Poisson!C7+Scoruri_Poisson!D7+Scoruri_Poisson!E7+Scoruri_Poisson!F7+Scoruri_Poisson!G7+Scoruri_Poisson!H7+Scoruri_Poisson!I7+Scoruri_Poisson!J7+Scoruri_Poisson!K7+Scoruri_Poisson!L7+Scoruri_Poisson!C8+Scoruri_Poisson!D8+Scoruri_Poisson!E8+Scoruri_Poisson!F8+Scoruri_Poisson!G8+Scoruri_Poisson!H8+Scoruri_Poisson!I8+Scoruri_Poisson!J8+Scoruri_Poisson!K8+Scoruri_Poisson!L8+Scoruri_Poisson!D9+Scoruri_Poisson!E9+Scoruri_Poisson!F9+Scoruri_Poisson!G9+Scoruri_Poisson!H9+Scoruri_Poisson!I9+Scoruri_Poisson!J9+Scoruri_Poisson!K9+Scoruri_Poisson!L9+Scoruri_Poisson!E10+Scoruri_Poisson!F10+Scoruri_Poisson!G10+Scoruri_Poisson!H10+Scoruri_Poisson!I10+Scoruri_Poisson!J10+Scoruri_Poisson!K10+Scoruri_Poisson!L10+Scoruri_Poisson!F11+Scoruri_Poisson!G11+Scoruri_Poisson!H11+Scoruri_Poisson!I11+Scoruri_Poisson!J11+Scoruri_Poisson!K11+Scoruri_Poisson!L11+Scoruri_Poisson!G12+Scoruri_Poisson!H12+Scoruri_Poisson!I12+Scoruri_Poisson!J12+Scoruri_Poisson!K12+Scoruri_Poisson!L12+Scoruri_Poisson!H13+Scoruri_Poisson!I13+Scoruri_Poisson!J13+Scoruri_Poisson!K13+Scoruri_Poisson!L13+Scoruri_Poisson!I14+Scoruri_Poisson!J14+Scoruri_Poisson!K14+Scoruri_Poisson!L14,"")</x:f>
        <x:v>0.8918793649217874</x:v>
      </x:c>
      <x:c r="E4" s="18" t="n">
        <x:f aca="0">IF(Model!$F$29="READY",IF(B4&gt;0,1/B4,""),"")</x:f>
        <x:v>24.643536759555957</x:v>
      </x:c>
      <x:c r="F4" s="18" t="n">
        <x:f aca="0">IF(Model!$F$29="READY",IF(C4&gt;0,1/C4,""),"")</x:f>
        <x:v>14.808836392665365</x:v>
      </x:c>
      <x:c r="G4" s="18" t="n">
        <x:f aca="0">IF(Model!$F$29="READY",IF(D4&gt;0,1/D4,""),"")</x:f>
        <x:v>1.1212278692956352</x:v>
      </x:c>
      <x:c r="H4" t="n">
        <x:v>5</x:v>
      </x:c>
      <x:c r="I4" s="3" t="s">
        <x:v>187</x:v>
      </x:c>
      <x:c r="J4" s="3" t="str">
        <x:f aca="0">Selector_Linii_v2!AA4</x:f>
        <x:v>WATCH / NO BET</x:v>
      </x:c>
      <x:c r="K4" s="19" t="str">
        <x:f aca="0">IF(Model!$F$29="READY",IF(ABS(A4)=4,IF(C4&lt;=Parametri_v2!$B$5,"PASS","FAIL"),IF(OR(ABS(A4)=2,ABS(A4)=3),IF(C4&lt;=Parametri_v2!$B$18,"PASS",IF(C4&lt;=Parametri_v2!$B$19,"PENALTY","FAIL")),"N/A")),"")</x:f>
        <x:v>FAIL</x:v>
      </x:c>
      <x:c r="L4" s="20" t="n">
        <x:f aca="0">IF(Model!$F$29="READY",IF(ABS(A4)=4,MAX(0,C4-Parametri_v2!$B$5),IF(OR(ABS(A4)=2,ABS(A4)=3),MAX(0,C4-Parametri_v2!$B$18),0)),"")</x:f>
        <x:v>0.037527250182552346</x:v>
      </x:c>
      <x:c r="M4" s="3" t="str">
        <x:f aca="0">IF(ABS(A4)=4,"≤3% PASS; &gt;3% FAIL",IF(OR(ABS(A4)=2,ABS(A4)=3),"≤4% PASS; 4–6% PENALTY; &gt;6% FAIL","N/A"))</x:f>
        <x:v>≤3% PASS; &gt;3% FAIL</x:v>
      </x:c>
    </x:row>
    <x:row r="5" ht="23.850000381469727" hidden="0">
      <x:c r="A5" t="n">
        <x:v>-3</x:v>
      </x:c>
      <x:c r="B5" s="18" t="n">
        <x:f aca="0">IF(Model!$F$29="READY",Scoruri_Poisson!B8+Scoruri_Poisson!B9+Scoruri_Poisson!C9+Scoruri_Poisson!B10+Scoruri_Poisson!C10+Scoruri_Poisson!D10+Scoruri_Poisson!B11+Scoruri_Poisson!C11+Scoruri_Poisson!D11+Scoruri_Poisson!E11+Scoruri_Poisson!B12+Scoruri_Poisson!C12+Scoruri_Poisson!D12+Scoruri_Poisson!E12+Scoruri_Poisson!F12+Scoruri_Poisson!B13+Scoruri_Poisson!C13+Scoruri_Poisson!D13+Scoruri_Poisson!E13+Scoruri_Poisson!F13+Scoruri_Poisson!G13+Scoruri_Poisson!B14+Scoruri_Poisson!C14+Scoruri_Poisson!D14+Scoruri_Poisson!E14+Scoruri_Poisson!F14+Scoruri_Poisson!G14+Scoruri_Poisson!H14,"")</x:f>
        <x:v>0.10810584122477492</x:v>
      </x:c>
      <x:c r="C5" s="18" t="n">
        <x:f aca="0">IF(Model!$F$29="READY",Scoruri_Poisson!B7+Scoruri_Poisson!C8+Scoruri_Poisson!D9+Scoruri_Poisson!E10+Scoruri_Poisson!F11+Scoruri_Poisson!G12+Scoruri_Poisson!H13+Scoruri_Poisson!I14,"")</x:f>
        <x:v>0.13587661950227048</x:v>
      </x:c>
      <x:c r="D5" s="18" t="n">
        <x:f aca="0">IF(Model!$F$29="READY",Scoruri_Poisson!B4+Scoruri_Poisson!C4+Scoruri_Poisson!D4+Scoruri_Poisson!E4+Scoruri_Poisson!F4+Scoruri_Poisson!G4+Scoruri_Poisson!H4+Scoruri_Poisson!I4+Scoruri_Poisson!J4+Scoruri_Poisson!K4+Scoruri_Poisson!L4+Scoruri_Poisson!B5+Scoruri_Poisson!C5+Scoruri_Poisson!D5+Scoruri_Poisson!E5+Scoruri_Poisson!F5+Scoruri_Poisson!G5+Scoruri_Poisson!H5+Scoruri_Poisson!I5+Scoruri_Poisson!J5+Scoruri_Poisson!K5+Scoruri_Poisson!L5+Scoruri_Poisson!B6+Scoruri_Poisson!C6+Scoruri_Poisson!D6+Scoruri_Poisson!E6+Scoruri_Poisson!F6+Scoruri_Poisson!G6+Scoruri_Poisson!H6+Scoruri_Poisson!I6+Scoruri_Poisson!J6+Scoruri_Poisson!K6+Scoruri_Poisson!L6+Scoruri_Poisson!C7+Scoruri_Poisson!D7+Scoruri_Poisson!E7+Scoruri_Poisson!F7+Scoruri_Poisson!G7+Scoruri_Poisson!H7+Scoruri_Poisson!I7+Scoruri_Poisson!J7+Scoruri_Poisson!K7+Scoruri_Poisson!L7+Scoruri_Poisson!D8+Scoruri_Poisson!E8+Scoruri_Poisson!F8+Scoruri_Poisson!G8+Scoruri_Poisson!H8+Scoruri_Poisson!I8+Scoruri_Poisson!J8+Scoruri_Poisson!K8+Scoruri_Poisson!L8+Scoruri_Poisson!E9+Scoruri_Poisson!F9+Scoruri_Poisson!G9+Scoruri_Poisson!H9+Scoruri_Poisson!I9+Scoruri_Poisson!J9+Scoruri_Poisson!K9+Scoruri_Poisson!L9+Scoruri_Poisson!F10+Scoruri_Poisson!G10+Scoruri_Poisson!H10+Scoruri_Poisson!I10+Scoruri_Poisson!J10+Scoruri_Poisson!K10+Scoruri_Poisson!L10+Scoruri_Poisson!G11+Scoruri_Poisson!H11+Scoruri_Poisson!I11+Scoruri_Poisson!J11+Scoruri_Poisson!K11+Scoruri_Poisson!L11+Scoruri_Poisson!H12+Scoruri_Poisson!I12+Scoruri_Poisson!J12+Scoruri_Poisson!K12+Scoruri_Poisson!L12+Scoruri_Poisson!I13+Scoruri_Poisson!J13+Scoruri_Poisson!K13+Scoruri_Poisson!L13+Scoruri_Poisson!J14+Scoruri_Poisson!K14+Scoruri_Poisson!L14,"")</x:f>
        <x:v>0.7560027454195168</x:v>
      </x:c>
      <x:c r="E5" s="18" t="n">
        <x:f aca="0">IF(Model!$F$29="READY",IF(B5&gt;0,1/B5,""),"")</x:f>
        <x:v>9.25019396427237</x:v>
      </x:c>
      <x:c r="F5" s="18" t="n">
        <x:f aca="0">IF(Model!$F$29="READY",IF(C5&gt;0,1/C5,""),"")</x:f>
        <x:v>7.359617892048677</x:v>
      </x:c>
      <x:c r="G5" s="18" t="n">
        <x:f aca="0">IF(Model!$F$29="READY",IF(D5&gt;0,1/D5,""),"")</x:f>
        <x:v>1.3227465191876857</x:v>
      </x:c>
      <x:c r="H5" t="n">
        <x:v>4</x:v>
      </x:c>
      <x:c r="I5" s="3" t="s">
        <x:v>188</x:v>
      </x:c>
      <x:c r="J5" s="3" t="str">
        <x:f aca="0">Selector_Linii_v2!AA5</x:f>
        <x:v>WATCH / NO BET</x:v>
      </x:c>
      <x:c r="K5" s="19" t="str">
        <x:f aca="0">IF(Model!$F$29="READY",IF(ABS(A5)=4,IF(C5&lt;=Parametri_v2!$B$5,"PASS","FAIL"),IF(OR(ABS(A5)=2,ABS(A5)=3),IF(C5&lt;=Parametri_v2!$B$18,"PASS",IF(C5&lt;=Parametri_v2!$B$19,"PENALTY","FAIL")),"N/A")),"")</x:f>
        <x:v>FAIL</x:v>
      </x:c>
      <x:c r="L5" s="20" t="n">
        <x:f aca="0">IF(Model!$F$29="READY",IF(ABS(A5)=4,MAX(0,C5-Parametri_v2!$B$5),IF(OR(ABS(A5)=2,ABS(A5)=3),MAX(0,C5-Parametri_v2!$B$18),0)),"")</x:f>
        <x:v>0.09587661950227047</x:v>
      </x:c>
      <x:c r="M5" s="3" t="str">
        <x:f aca="0">IF(ABS(A5)=4,"≤3% PASS; &gt;3% FAIL",IF(OR(ABS(A5)=2,ABS(A5)=3),"≤4% PASS; 4–6% PENALTY; &gt;6% FAIL","N/A"))</x:f>
        <x:v>≤4% PASS; 4–6% PENALTY; &gt;6% FAIL</x:v>
      </x:c>
    </x:row>
    <x:row r="6" ht="23.850000381469727" hidden="0">
      <x:c r="A6" t="n">
        <x:v>-2</x:v>
      </x:c>
      <x:c r="B6" s="18" t="n">
        <x:f aca="0">IF(Model!$F$29="READY",Scoruri_Poisson!B7+Scoruri_Poisson!B8+Scoruri_Poisson!C8+Scoruri_Poisson!B9+Scoruri_Poisson!C9+Scoruri_Poisson!D9+Scoruri_Poisson!B10+Scoruri_Poisson!C10+Scoruri_Poisson!D10+Scoruri_Poisson!E10+Scoruri_Poisson!B11+Scoruri_Poisson!C11+Scoruri_Poisson!D11+Scoruri_Poisson!E11+Scoruri_Poisson!F11+Scoruri_Poisson!B12+Scoruri_Poisson!C12+Scoruri_Poisson!D12+Scoruri_Poisson!E12+Scoruri_Poisson!F12+Scoruri_Poisson!G12+Scoruri_Poisson!B13+Scoruri_Poisson!C13+Scoruri_Poisson!D13+Scoruri_Poisson!E13+Scoruri_Poisson!F13+Scoruri_Poisson!G13+Scoruri_Poisson!H13+Scoruri_Poisson!B14+Scoruri_Poisson!C14+Scoruri_Poisson!D14+Scoruri_Poisson!E14+Scoruri_Poisson!F14+Scoruri_Poisson!G14+Scoruri_Poisson!H14+Scoruri_Poisson!I14,"")</x:f>
        <x:v>0.24398246072704544</x:v>
      </x:c>
      <x:c r="C6" s="18" t="n">
        <x:f aca="0">IF(Model!$F$29="READY",Scoruri_Poisson!B6+Scoruri_Poisson!C7+Scoruri_Poisson!D8+Scoruri_Poisson!E9+Scoruri_Poisson!F10+Scoruri_Poisson!G11+Scoruri_Poisson!H12+Scoruri_Poisson!I13+Scoruri_Poisson!J14,"")</x:f>
        <x:v>0.2137019393617132</x:v>
      </x:c>
      <x:c r="D6" s="18" t="n">
        <x:f aca="0">IF(Model!$F$29="READY",Scoruri_Poisson!B4+Scoruri_Poisson!C4+Scoruri_Poisson!D4+Scoruri_Poisson!E4+Scoruri_Poisson!F4+Scoruri_Poisson!G4+Scoruri_Poisson!H4+Scoruri_Poisson!I4+Scoruri_Poisson!J4+Scoruri_Poisson!K4+Scoruri_Poisson!L4+Scoruri_Poisson!B5+Scoruri_Poisson!C5+Scoruri_Poisson!D5+Scoruri_Poisson!E5+Scoruri_Poisson!F5+Scoruri_Poisson!G5+Scoruri_Poisson!H5+Scoruri_Poisson!I5+Scoruri_Poisson!J5+Scoruri_Poisson!K5+Scoruri_Poisson!L5+Scoruri_Poisson!C6+Scoruri_Poisson!D6+Scoruri_Poisson!E6+Scoruri_Poisson!F6+Scoruri_Poisson!G6+Scoruri_Poisson!H6+Scoruri_Poisson!I6+Scoruri_Poisson!J6+Scoruri_Poisson!K6+Scoruri_Poisson!L6+Scoruri_Poisson!D7+Scoruri_Poisson!E7+Scoruri_Poisson!F7+Scoruri_Poisson!G7+Scoruri_Poisson!H7+Scoruri_Poisson!I7+Scoruri_Poisson!J7+Scoruri_Poisson!K7+Scoruri_Poisson!L7+Scoruri_Poisson!E8+Scoruri_Poisson!F8+Scoruri_Poisson!G8+Scoruri_Poisson!H8+Scoruri_Poisson!I8+Scoruri_Poisson!J8+Scoruri_Poisson!K8+Scoruri_Poisson!L8+Scoruri_Poisson!F9+Scoruri_Poisson!G9+Scoruri_Poisson!H9+Scoruri_Poisson!I9+Scoruri_Poisson!J9+Scoruri_Poisson!K9+Scoruri_Poisson!L9+Scoruri_Poisson!G10+Scoruri_Poisson!H10+Scoruri_Poisson!I10+Scoruri_Poisson!J10+Scoruri_Poisson!K10+Scoruri_Poisson!L10+Scoruri_Poisson!H11+Scoruri_Poisson!I11+Scoruri_Poisson!J11+Scoruri_Poisson!K11+Scoruri_Poisson!L11+Scoruri_Poisson!I12+Scoruri_Poisson!J12+Scoruri_Poisson!K12+Scoruri_Poisson!L12+Scoruri_Poisson!J13+Scoruri_Poisson!K13+Scoruri_Poisson!L13+Scoruri_Poisson!K14+Scoruri_Poisson!L14,"")</x:f>
        <x:v>0.5423008060578036</x:v>
      </x:c>
      <x:c r="E6" s="18" t="n">
        <x:f aca="0">IF(Model!$F$29="READY",IF(B6&gt;0,1/B6,""),"")</x:f>
        <x:v>4.0986552763673725</x:v>
      </x:c>
      <x:c r="F6" s="18" t="n">
        <x:f aca="0">IF(Model!$F$29="READY",IF(C6&gt;0,1/C6,""),"")</x:f>
        <x:v>4.6794147165290525</x:v>
      </x:c>
      <x:c r="G6" s="18" t="n">
        <x:f aca="0">IF(Model!$F$29="READY",IF(D6&gt;0,1/D6,""),"")</x:f>
        <x:v>1.8439950463459396</x:v>
      </x:c>
      <x:c r="H6" t="n">
        <x:v>3</x:v>
      </x:c>
      <x:c r="I6" s="3" t="s">
        <x:v>189</x:v>
      </x:c>
      <x:c r="J6" s="3" t="str">
        <x:f aca="0">Selector_Linii_v2!AA6</x:f>
        <x:v>WATCH / NO BET</x:v>
      </x:c>
      <x:c r="K6" s="19" t="str">
        <x:f aca="0">IF(Model!$F$29="READY",IF(ABS(A6)=4,IF(C6&lt;=Parametri_v2!$B$5,"PASS","FAIL"),IF(OR(ABS(A6)=2,ABS(A6)=3),IF(C6&lt;=Parametri_v2!$B$18,"PASS",IF(C6&lt;=Parametri_v2!$B$19,"PENALTY","FAIL")),"N/A")),"")</x:f>
        <x:v>FAIL</x:v>
      </x:c>
      <x:c r="L6" s="20" t="n">
        <x:f aca="0">IF(Model!$F$29="READY",IF(ABS(A6)=4,MAX(0,C6-Parametri_v2!$B$5),IF(OR(ABS(A6)=2,ABS(A6)=3),MAX(0,C6-Parametri_v2!$B$18),0)),"")</x:f>
        <x:v>0.1737019393617132</x:v>
      </x:c>
      <x:c r="M6" s="3" t="str">
        <x:f aca="0">IF(ABS(A6)=4,"≤3% PASS; &gt;3% FAIL",IF(OR(ABS(A6)=2,ABS(A6)=3),"≤4% PASS; 4–6% PENALTY; &gt;6% FAIL","N/A"))</x:f>
        <x:v>≤4% PASS; 4–6% PENALTY; &gt;6% FAIL</x:v>
      </x:c>
    </x:row>
    <x:row r="7" ht="14.25" hidden="0">
      <x:c r="A7" t="n">
        <x:v>-1</x:v>
      </x:c>
      <x:c r="B7" s="18" t="n">
        <x:f aca="0">IF(Model!$F$29="READY",Scoruri_Poisson!B6+Scoruri_Poisson!B7+Scoruri_Poisson!C7+Scoruri_Poisson!B8+Scoruri_Poisson!C8+Scoruri_Poisson!D8+Scoruri_Poisson!B9+Scoruri_Poisson!C9+Scoruri_Poisson!D9+Scoruri_Poisson!E9+Scoruri_Poisson!B10+Scoruri_Poisson!C10+Scoruri_Poisson!D10+Scoruri_Poisson!E10+Scoruri_Poisson!F10+Scoruri_Poisson!B11+Scoruri_Poisson!C11+Scoruri_Poisson!D11+Scoruri_Poisson!E11+Scoruri_Poisson!F11+Scoruri_Poisson!G11+Scoruri_Poisson!B12+Scoruri_Poisson!C12+Scoruri_Poisson!D12+Scoruri_Poisson!E12+Scoruri_Poisson!F12+Scoruri_Poisson!G12+Scoruri_Poisson!H12+Scoruri_Poisson!B13+Scoruri_Poisson!C13+Scoruri_Poisson!D13+Scoruri_Poisson!E13+Scoruri_Poisson!F13+Scoruri_Poisson!G13+Scoruri_Poisson!H13+Scoruri_Poisson!I13+Scoruri_Poisson!B14+Scoruri_Poisson!C14+Scoruri_Poisson!D14+Scoruri_Poisson!E14+Scoruri_Poisson!F14+Scoruri_Poisson!G14+Scoruri_Poisson!H14+Scoruri_Poisson!I14+Scoruri_Poisson!J14,"")</x:f>
        <x:v>0.45768440008875827</x:v>
      </x:c>
      <x:c r="C7" s="18" t="n">
        <x:f aca="0">IF(Model!$F$29="READY",Scoruri_Poisson!B5+Scoruri_Poisson!C6+Scoruri_Poisson!D7+Scoruri_Poisson!E8+Scoruri_Poisson!F9+Scoruri_Poisson!G10+Scoruri_Poisson!H11+Scoruri_Poisson!I12+Scoruri_Poisson!J13+Scoruri_Poisson!K14,"")</x:f>
        <x:v>0.24561621453674673</x:v>
      </x:c>
      <x:c r="D7" s="18" t="n">
        <x:f aca="0">IF(Model!$F$29="READY",Scoruri_Poisson!B4+Scoruri_Poisson!C4+Scoruri_Poisson!D4+Scoruri_Poisson!E4+Scoruri_Poisson!F4+Scoruri_Poisson!G4+Scoruri_Poisson!H4+Scoruri_Poisson!I4+Scoruri_Poisson!J4+Scoruri_Poisson!K4+Scoruri_Poisson!L4+Scoruri_Poisson!C5+Scoruri_Poisson!D5+Scoruri_Poisson!E5+Scoruri_Poisson!F5+Scoruri_Poisson!G5+Scoruri_Poisson!H5+Scoruri_Poisson!I5+Scoruri_Poisson!J5+Scoruri_Poisson!K5+Scoruri_Poisson!L5+Scoruri_Poisson!D6+Scoruri_Poisson!E6+Scoruri_Poisson!F6+Scoruri_Poisson!G6+Scoruri_Poisson!H6+Scoruri_Poisson!I6+Scoruri_Poisson!J6+Scoruri_Poisson!K6+Scoruri_Poisson!L6+Scoruri_Poisson!E7+Scoruri_Poisson!F7+Scoruri_Poisson!G7+Scoruri_Poisson!H7+Scoruri_Poisson!I7+Scoruri_Poisson!J7+Scoruri_Poisson!K7+Scoruri_Poisson!L7+Scoruri_Poisson!F8+Scoruri_Poisson!G8+Scoruri_Poisson!H8+Scoruri_Poisson!I8+Scoruri_Poisson!J8+Scoruri_Poisson!K8+Scoruri_Poisson!L8+Scoruri_Poisson!G9+Scoruri_Poisson!H9+Scoruri_Poisson!I9+Scoruri_Poisson!J9+Scoruri_Poisson!K9+Scoruri_Poisson!L9+Scoruri_Poisson!H10+Scoruri_Poisson!I10+Scoruri_Poisson!J10+Scoruri_Poisson!K10+Scoruri_Poisson!L10+Scoruri_Poisson!I11+Scoruri_Poisson!J11+Scoruri_Poisson!K11+Scoruri_Poisson!L11+Scoruri_Poisson!J12+Scoruri_Poisson!K12+Scoruri_Poisson!L12+Scoruri_Poisson!K13+Scoruri_Poisson!L13+Scoruri_Poisson!L14,"")</x:f>
        <x:v>0.29668459152105703</x:v>
      </x:c>
      <x:c r="E7" s="18" t="n">
        <x:f aca="0">IF(Model!$F$29="READY",IF(B7&gt;0,1/B7,""),"")</x:f>
        <x:v>2.1849116985548798</x:v>
      </x:c>
      <x:c r="F7" s="18" t="n">
        <x:f aca="0">IF(Model!$F$29="READY",IF(C7&gt;0,1/C7,""),"")</x:f>
        <x:v>4.0713924440456255</x:v>
      </x:c>
      <x:c r="G7" s="18" t="n">
        <x:f aca="0">IF(Model!$F$29="READY",IF(D7&gt;0,1/D7,""),"")</x:f>
        <x:v>3.370582863347069</x:v>
      </x:c>
      <x:c r="H7" t="n">
        <x:v>2</x:v>
      </x:c>
      <x:c r="I7" s="3" t="s">
        <x:v>190</x:v>
      </x:c>
      <x:c r="J7" s="3" t="str">
        <x:f aca="0">Selector_Linii_v2!AA7</x:f>
        <x:v>MODERAT</x:v>
      </x:c>
      <x:c r="K7" s="19" t="str">
        <x:f aca="0">IF(Model!$F$29="READY",IF(ABS(A7)=4,IF(C7&lt;=Parametri_v2!$B$5,"PASS","FAIL"),IF(OR(ABS(A7)=2,ABS(A7)=3),IF(C7&lt;=Parametri_v2!$B$18,"PASS",IF(C7&lt;=Parametri_v2!$B$19,"PENALTY","FAIL")),"N/A")),"")</x:f>
        <x:v>N/A</x:v>
      </x:c>
      <x:c r="L7" s="20" t="n">
        <x:f aca="0">IF(Model!$F$29="READY",IF(ABS(A7)=4,MAX(0,C7-Parametri_v2!$B$5),IF(OR(ABS(A7)=2,ABS(A7)=3),MAX(0,C7-Parametri_v2!$B$18),0)),"")</x:f>
        <x:v>0</x:v>
      </x:c>
      <x:c r="M7" s="3" t="str">
        <x:f aca="0">IF(ABS(A7)=4,"≤3% PASS; &gt;3% FAIL",IF(OR(ABS(A7)=2,ABS(A7)=3),"≤4% PASS; 4–6% PENALTY; &gt;6% FAIL","N/A"))</x:f>
        <x:v>N/A</x:v>
      </x:c>
    </x:row>
    <x:row r="8" ht="14.25" hidden="0">
      <x:c r="A8" t="n">
        <x:v>0</x:v>
      </x:c>
      <x:c r="B8" s="18" t="n">
        <x:f aca="0">IF(Model!$F$29="READY",Scoruri_Poisson!B5+Scoruri_Poisson!B6+Scoruri_Poisson!C6+Scoruri_Poisson!B7+Scoruri_Poisson!C7+Scoruri_Poisson!D7+Scoruri_Poisson!B8+Scoruri_Poisson!C8+Scoruri_Poisson!D8+Scoruri_Poisson!E8+Scoruri_Poisson!B9+Scoruri_Poisson!C9+Scoruri_Poisson!D9+Scoruri_Poisson!E9+Scoruri_Poisson!F9+Scoruri_Poisson!B10+Scoruri_Poisson!C10+Scoruri_Poisson!D10+Scoruri_Poisson!E10+Scoruri_Poisson!F10+Scoruri_Poisson!G10+Scoruri_Poisson!B11+Scoruri_Poisson!C11+Scoruri_Poisson!D11+Scoruri_Poisson!E11+Scoruri_Poisson!F11+Scoruri_Poisson!G11+Scoruri_Poisson!H11+Scoruri_Poisson!B12+Scoruri_Poisson!C12+Scoruri_Poisson!D12+Scoruri_Poisson!E12+Scoruri_Poisson!F12+Scoruri_Poisson!G12+Scoruri_Poisson!H12+Scoruri_Poisson!I12+Scoruri_Poisson!B13+Scoruri_Poisson!C13+Scoruri_Poisson!D13+Scoruri_Poisson!E13+Scoruri_Poisson!F13+Scoruri_Poisson!G13+Scoruri_Poisson!H13+Scoruri_Poisson!I13+Scoruri_Poisson!J13+Scoruri_Poisson!B14+Scoruri_Poisson!C14+Scoruri_Poisson!D14+Scoruri_Poisson!E14+Scoruri_Poisson!F14+Scoruri_Poisson!G14+Scoruri_Poisson!H14+Scoruri_Poisson!I14+Scoruri_Poisson!J14+Scoruri_Poisson!K14,"")</x:f>
        <x:v>0.7033006146255053</x:v>
      </x:c>
      <x:c r="C8" s="18" t="n">
        <x:f aca="0">IF(Model!$F$29="READY",Scoruri_Poisson!B4+Scoruri_Poisson!C5+Scoruri_Poisson!D6+Scoruri_Poisson!E7+Scoruri_Poisson!F8+Scoruri_Poisson!G9+Scoruri_Poisson!H10+Scoruri_Poisson!I11+Scoruri_Poisson!J12+Scoruri_Poisson!K13+Scoruri_Poisson!L14,"")</x:f>
        <x:v>0.1860549927179679</x:v>
      </x:c>
      <x:c r="D8" s="18" t="n">
        <x:f aca="0">IF(Model!$F$29="READY",Scoruri_Poisson!C4+Scoruri_Poisson!D4+Scoruri_Poisson!E4+Scoruri_Poisson!F4+Scoruri_Poisson!G4+Scoruri_Poisson!H4+Scoruri_Poisson!I4+Scoruri_Poisson!J4+Scoruri_Poisson!K4+Scoruri_Poisson!L4+Scoruri_Poisson!D5+Scoruri_Poisson!E5+Scoruri_Poisson!F5+Scoruri_Poisson!G5+Scoruri_Poisson!H5+Scoruri_Poisson!I5+Scoruri_Poisson!J5+Scoruri_Poisson!K5+Scoruri_Poisson!L5+Scoruri_Poisson!E6+Scoruri_Poisson!F6+Scoruri_Poisson!G6+Scoruri_Poisson!H6+Scoruri_Poisson!I6+Scoruri_Poisson!J6+Scoruri_Poisson!K6+Scoruri_Poisson!L6+Scoruri_Poisson!F7+Scoruri_Poisson!G7+Scoruri_Poisson!H7+Scoruri_Poisson!I7+Scoruri_Poisson!J7+Scoruri_Poisson!K7+Scoruri_Poisson!L7+Scoruri_Poisson!G8+Scoruri_Poisson!H8+Scoruri_Poisson!I8+Scoruri_Poisson!J8+Scoruri_Poisson!K8+Scoruri_Poisson!L8+Scoruri_Poisson!H9+Scoruri_Poisson!I9+Scoruri_Poisson!J9+Scoruri_Poisson!K9+Scoruri_Poisson!L9+Scoruri_Poisson!I10+Scoruri_Poisson!J10+Scoruri_Poisson!K10+Scoruri_Poisson!L10+Scoruri_Poisson!J11+Scoruri_Poisson!K11+Scoruri_Poisson!L11+Scoruri_Poisson!K12+Scoruri_Poisson!L12+Scoruri_Poisson!L13,"")</x:f>
        <x:v>0.11062959880308908</x:v>
      </x:c>
      <x:c r="E8" s="18" t="n">
        <x:f aca="0">IF(Model!$F$29="READY",IF(B8&gt;0,1/B8,""),"")</x:f>
        <x:v>1.4218670923990044</x:v>
      </x:c>
      <x:c r="F8" s="18" t="n">
        <x:f aca="0">IF(Model!$F$29="READY",IF(C8&gt;0,1/C8,""),"")</x:f>
        <x:v>5.374754987176578</x:v>
      </x:c>
      <x:c r="G8" s="18" t="n">
        <x:f aca="0">IF(Model!$F$29="READY",IF(D8&gt;0,1/D8,""),"")</x:f>
        <x:v>9.039172254252787</x:v>
      </x:c>
      <x:c r="H8" t="n">
        <x:v>1</x:v>
      </x:c>
      <x:c r="I8" s="3" t="s">
        <x:v>191</x:v>
      </x:c>
      <x:c r="J8" s="3" t="str">
        <x:f aca="0">Selector_Linii_v2!AA8</x:f>
        <x:v>MODERAT</x:v>
      </x:c>
      <x:c r="K8" s="19" t="str">
        <x:f aca="0">IF(Model!$F$29="READY",IF(ABS(A8)=4,IF(C8&lt;=Parametri_v2!$B$5,"PASS","FAIL"),IF(OR(ABS(A8)=2,ABS(A8)=3),IF(C8&lt;=Parametri_v2!$B$18,"PASS",IF(C8&lt;=Parametri_v2!$B$19,"PENALTY","FAIL")),"N/A")),"")</x:f>
        <x:v>N/A</x:v>
      </x:c>
      <x:c r="L8" s="20" t="n">
        <x:f aca="0">IF(Model!$F$29="READY",IF(ABS(A8)=4,MAX(0,C8-Parametri_v2!$B$5),IF(OR(ABS(A8)=2,ABS(A8)=3),MAX(0,C8-Parametri_v2!$B$18),0)),"")</x:f>
        <x:v>0</x:v>
      </x:c>
      <x:c r="M8" s="3" t="str">
        <x:f aca="0">IF(ABS(A8)=4,"≤3% PASS; &gt;3% FAIL",IF(OR(ABS(A8)=2,ABS(A8)=3),"≤4% PASS; 4–6% PENALTY; &gt;6% FAIL","N/A"))</x:f>
        <x:v>N/A</x:v>
      </x:c>
    </x:row>
    <x:row r="9" ht="14.25" hidden="0">
      <x:c r="A9" t="n">
        <x:v>1</x:v>
      </x:c>
      <x:c r="B9" s="18" t="n">
        <x:f aca="0">IF(Model!$F$29="READY",Scoruri_Poisson!B4+Scoruri_Poisson!B5+Scoruri_Poisson!C5+Scoruri_Poisson!B6+Scoruri_Poisson!C6+Scoruri_Poisson!D6+Scoruri_Poisson!B7+Scoruri_Poisson!C7+Scoruri_Poisson!D7+Scoruri_Poisson!E7+Scoruri_Poisson!B8+Scoruri_Poisson!C8+Scoruri_Poisson!D8+Scoruri_Poisson!E8+Scoruri_Poisson!F8+Scoruri_Poisson!B9+Scoruri_Poisson!C9+Scoruri_Poisson!D9+Scoruri_Poisson!E9+Scoruri_Poisson!F9+Scoruri_Poisson!G9+Scoruri_Poisson!B10+Scoruri_Poisson!C10+Scoruri_Poisson!D10+Scoruri_Poisson!E10+Scoruri_Poisson!F10+Scoruri_Poisson!G10+Scoruri_Poisson!H10+Scoruri_Poisson!B11+Scoruri_Poisson!C11+Scoruri_Poisson!D11+Scoruri_Poisson!E11+Scoruri_Poisson!F11+Scoruri_Poisson!G11+Scoruri_Poisson!H11+Scoruri_Poisson!I11+Scoruri_Poisson!B12+Scoruri_Poisson!C12+Scoruri_Poisson!D12+Scoruri_Poisson!E12+Scoruri_Poisson!F12+Scoruri_Poisson!G12+Scoruri_Poisson!H12+Scoruri_Poisson!I12+Scoruri_Poisson!J12+Scoruri_Poisson!B13+Scoruri_Poisson!C13+Scoruri_Poisson!D13+Scoruri_Poisson!E13+Scoruri_Poisson!F13+Scoruri_Poisson!G13+Scoruri_Poisson!H13+Scoruri_Poisson!I13+Scoruri_Poisson!J13+Scoruri_Poisson!K13+Scoruri_Poisson!B14+Scoruri_Poisson!C14+Scoruri_Poisson!D14+Scoruri_Poisson!E14+Scoruri_Poisson!F14+Scoruri_Poisson!G14+Scoruri_Poisson!H14+Scoruri_Poisson!I14+Scoruri_Poisson!J14+Scoruri_Poisson!K14+Scoruri_Poisson!L14,"")</x:f>
        <x:v>0.8893556073434733</x:v>
      </x:c>
      <x:c r="C9" s="18" t="n">
        <x:f aca="0">IF(Model!$F$29="READY",Scoruri_Poisson!C4+Scoruri_Poisson!D5+Scoruri_Poisson!E6+Scoruri_Poisson!F7+Scoruri_Poisson!G8+Scoruri_Poisson!H9+Scoruri_Poisson!I10+Scoruri_Poisson!J11+Scoruri_Poisson!K12+Scoruri_Poisson!L13,"")</x:f>
        <x:v>0.08133019686185977</x:v>
      </x:c>
      <x:c r="D9" s="18" t="n">
        <x:f aca="0">IF(Model!$F$29="READY",Scoruri_Poisson!D4+Scoruri_Poisson!E4+Scoruri_Poisson!F4+Scoruri_Poisson!G4+Scoruri_Poisson!H4+Scoruri_Poisson!I4+Scoruri_Poisson!J4+Scoruri_Poisson!K4+Scoruri_Poisson!L4+Scoruri_Poisson!E5+Scoruri_Poisson!F5+Scoruri_Poisson!G5+Scoruri_Poisson!H5+Scoruri_Poisson!I5+Scoruri_Poisson!J5+Scoruri_Poisson!K5+Scoruri_Poisson!L5+Scoruri_Poisson!F6+Scoruri_Poisson!G6+Scoruri_Poisson!H6+Scoruri_Poisson!I6+Scoruri_Poisson!J6+Scoruri_Poisson!K6+Scoruri_Poisson!L6+Scoruri_Poisson!G7+Scoruri_Poisson!H7+Scoruri_Poisson!I7+Scoruri_Poisson!J7+Scoruri_Poisson!K7+Scoruri_Poisson!L7+Scoruri_Poisson!H8+Scoruri_Poisson!I8+Scoruri_Poisson!J8+Scoruri_Poisson!K8+Scoruri_Poisson!L8+Scoruri_Poisson!I9+Scoruri_Poisson!J9+Scoruri_Poisson!K9+Scoruri_Poisson!L9+Scoruri_Poisson!J10+Scoruri_Poisson!K10+Scoruri_Poisson!L10+Scoruri_Poisson!K11+Scoruri_Poisson!L11+Scoruri_Poisson!L12,"")</x:f>
        <x:v>0.029299401941229326</x:v>
      </x:c>
      <x:c r="E9" s="18" t="n">
        <x:f aca="0">IF(Model!$F$29="READY",IF(B9&gt;0,1/B9,""),"")</x:f>
        <x:v>1.124409619440107</x:v>
      </x:c>
      <x:c r="F9" s="18" t="n">
        <x:f aca="0">IF(Model!$F$29="READY",IF(C9&gt;0,1/C9,""),"")</x:f>
        <x:v>12.295556122881528</x:v>
      </x:c>
      <x:c r="G9" s="18" t="n">
        <x:f aca="0">IF(Model!$F$29="READY",IF(D9&gt;0,1/D9,""),"")</x:f>
        <x:v>34.130389487330355</x:v>
      </x:c>
      <x:c r="H9" t="n">
        <x:v>0</x:v>
      </x:c>
      <x:c r="I9" s="3" t="s">
        <x:v>192</x:v>
      </x:c>
      <x:c r="J9" s="3" t="str">
        <x:f aca="0">Selector_Linii_v2!AA9</x:f>
        <x:v>MODERAT</x:v>
      </x:c>
      <x:c r="K9" s="19" t="str">
        <x:f aca="0">IF(Model!$F$29="READY",IF(ABS(A9)=4,IF(C9&lt;=Parametri_v2!$B$5,"PASS","FAIL"),IF(OR(ABS(A9)=2,ABS(A9)=3),IF(C9&lt;=Parametri_v2!$B$18,"PASS",IF(C9&lt;=Parametri_v2!$B$19,"PENALTY","FAIL")),"N/A")),"")</x:f>
        <x:v>N/A</x:v>
      </x:c>
      <x:c r="L9" s="20" t="n">
        <x:f aca="0">IF(Model!$F$29="READY",IF(ABS(A9)=4,MAX(0,C9-Parametri_v2!$B$5),IF(OR(ABS(A9)=2,ABS(A9)=3),MAX(0,C9-Parametri_v2!$B$18),0)),"")</x:f>
        <x:v>0</x:v>
      </x:c>
      <x:c r="M9" s="3" t="str">
        <x:f aca="0">IF(ABS(A9)=4,"≤3% PASS; &gt;3% FAIL",IF(OR(ABS(A9)=2,ABS(A9)=3),"≤4% PASS; 4–6% PENALTY; &gt;6% FAIL","N/A"))</x:f>
        <x:v>N/A</x:v>
      </x:c>
    </x:row>
    <x:row r="10" ht="23.850000381469727" hidden="0">
      <x:c r="A10" t="n">
        <x:v>2</x:v>
      </x:c>
      <x:c r="B10" s="18" t="n">
        <x:f aca="0">IF(Model!$F$29="READY",Scoruri_Poisson!B4+Scoruri_Poisson!C4+Scoruri_Poisson!B5+Scoruri_Poisson!C5+Scoruri_Poisson!D5+Scoruri_Poisson!B6+Scoruri_Poisson!C6+Scoruri_Poisson!D6+Scoruri_Poisson!E6+Scoruri_Poisson!B7+Scoruri_Poisson!C7+Scoruri_Poisson!D7+Scoruri_Poisson!E7+Scoruri_Poisson!F7+Scoruri_Poisson!B8+Scoruri_Poisson!C8+Scoruri_Poisson!D8+Scoruri_Poisson!E8+Scoruri_Poisson!F8+Scoruri_Poisson!G8+Scoruri_Poisson!B9+Scoruri_Poisson!C9+Scoruri_Poisson!D9+Scoruri_Poisson!E9+Scoruri_Poisson!F9+Scoruri_Poisson!G9+Scoruri_Poisson!H9+Scoruri_Poisson!B10+Scoruri_Poisson!C10+Scoruri_Poisson!D10+Scoruri_Poisson!E10+Scoruri_Poisson!F10+Scoruri_Poisson!G10+Scoruri_Poisson!H10+Scoruri_Poisson!I10+Scoruri_Poisson!B11+Scoruri_Poisson!C11+Scoruri_Poisson!D11+Scoruri_Poisson!E11+Scoruri_Poisson!F11+Scoruri_Poisson!G11+Scoruri_Poisson!H11+Scoruri_Poisson!I11+Scoruri_Poisson!J11+Scoruri_Poisson!B12+Scoruri_Poisson!C12+Scoruri_Poisson!D12+Scoruri_Poisson!E12+Scoruri_Poisson!F12+Scoruri_Poisson!G12+Scoruri_Poisson!H12+Scoruri_Poisson!I12+Scoruri_Poisson!J12+Scoruri_Poisson!K12+Scoruri_Poisson!B13+Scoruri_Poisson!C13+Scoruri_Poisson!D13+Scoruri_Poisson!E13+Scoruri_Poisson!F13+Scoruri_Poisson!G13+Scoruri_Poisson!H13+Scoruri_Poisson!I13+Scoruri_Poisson!J13+Scoruri_Poisson!K13+Scoruri_Poisson!L13+Scoruri_Poisson!B14+Scoruri_Poisson!C14+Scoruri_Poisson!D14+Scoruri_Poisson!E14+Scoruri_Poisson!F14+Scoruri_Poisson!G14+Scoruri_Poisson!H14+Scoruri_Poisson!I14+Scoruri_Poisson!J14+Scoruri_Poisson!K14+Scoruri_Poisson!L14,"")</x:f>
        <x:v>0.9706858042053332</x:v>
      </x:c>
      <x:c r="C10" s="18" t="n">
        <x:f aca="0">IF(Model!$F$29="READY",Scoruri_Poisson!D4+Scoruri_Poisson!E5+Scoruri_Poisson!F6+Scoruri_Poisson!G7+Scoruri_Poisson!H8+Scoruri_Poisson!I9+Scoruri_Poisson!J10+Scoruri_Poisson!K11+Scoruri_Poisson!L12,"")</x:f>
        <x:v>0.0234313894859018</x:v>
      </x:c>
      <x:c r="D10" s="18" t="n">
        <x:f aca="0">IF(Model!$F$29="READY",Scoruri_Poisson!E4+Scoruri_Poisson!F4+Scoruri_Poisson!G4+Scoruri_Poisson!H4+Scoruri_Poisson!I4+Scoruri_Poisson!J4+Scoruri_Poisson!K4+Scoruri_Poisson!L4+Scoruri_Poisson!F5+Scoruri_Poisson!G5+Scoruri_Poisson!H5+Scoruri_Poisson!I5+Scoruri_Poisson!J5+Scoruri_Poisson!K5+Scoruri_Poisson!L5+Scoruri_Poisson!G6+Scoruri_Poisson!H6+Scoruri_Poisson!I6+Scoruri_Poisson!J6+Scoruri_Poisson!K6+Scoruri_Poisson!L6+Scoruri_Poisson!H7+Scoruri_Poisson!I7+Scoruri_Poisson!J7+Scoruri_Poisson!K7+Scoruri_Poisson!L7+Scoruri_Poisson!I8+Scoruri_Poisson!J8+Scoruri_Poisson!K8+Scoruri_Poisson!L8+Scoruri_Poisson!J9+Scoruri_Poisson!K9+Scoruri_Poisson!L9+Scoruri_Poisson!K10+Scoruri_Poisson!L10+Scoruri_Poisson!L11,"")</x:f>
        <x:v>0.005868012455327525</x:v>
      </x:c>
      <x:c r="E10" s="18" t="n">
        <x:f aca="0">IF(Model!$F$29="READY",IF(B10&gt;0,1/B10,""),"")</x:f>
        <x:v>1.0301994689400709</x:v>
      </x:c>
      <x:c r="F10" s="18" t="n">
        <x:f aca="0">IF(Model!$F$29="READY",IF(C10&gt;0,1/C10,""),"")</x:f>
        <x:v>42.677793419023665</x:v>
      </x:c>
      <x:c r="G10" s="18" t="n">
        <x:f aca="0">IF(Model!$F$29="READY",IF(D10&gt;0,1/D10,""),"")</x:f>
        <x:v>170.41545286634613</x:v>
      </x:c>
      <x:c r="H10" t="n">
        <x:v>0</x:v>
      </x:c>
      <x:c r="I10" s="3" t="s">
        <x:v>193</x:v>
      </x:c>
      <x:c r="J10" s="3" t="str">
        <x:f aca="0">Selector_Linii_v2!AA10</x:f>
        <x:v>DEFENSIV</x:v>
      </x:c>
      <x:c r="K10" s="19" t="str">
        <x:f aca="0">IF(Model!$F$29="READY",IF(ABS(A10)=4,IF(C10&lt;=Parametri_v2!$B$5,"PASS","FAIL"),IF(OR(ABS(A10)=2,ABS(A10)=3),IF(C10&lt;=Parametri_v2!$B$18,"PASS",IF(C10&lt;=Parametri_v2!$B$19,"PENALTY","FAIL")),"N/A")),"")</x:f>
        <x:v>PASS</x:v>
      </x:c>
      <x:c r="L10" s="20" t="n">
        <x:f aca="0">IF(Model!$F$29="READY",IF(ABS(A10)=4,MAX(0,C10-Parametri_v2!$B$5),IF(OR(ABS(A10)=2,ABS(A10)=3),MAX(0,C10-Parametri_v2!$B$18),0)),"")</x:f>
        <x:v>0</x:v>
      </x:c>
      <x:c r="M10" s="3" t="str">
        <x:f aca="0">IF(ABS(A10)=4,"≤3% PASS; &gt;3% FAIL",IF(OR(ABS(A10)=2,ABS(A10)=3),"≤4% PASS; 4–6% PENALTY; &gt;6% FAIL","N/A"))</x:f>
        <x:v>≤4% PASS; 4–6% PENALTY; &gt;6% FAIL</x:v>
      </x:c>
    </x:row>
    <x:row r="11" ht="23.850000381469727" hidden="0">
      <x:c r="A11" t="n">
        <x:v>3</x:v>
      </x:c>
      <x:c r="B11" s="18" t="n">
        <x:f aca="0">IF(Model!$F$29="READY",Scoruri_Poisson!B4+Scoruri_Poisson!C4+Scoruri_Poisson!D4+Scoruri_Poisson!B5+Scoruri_Poisson!C5+Scoruri_Poisson!D5+Scoruri_Poisson!E5+Scoruri_Poisson!B6+Scoruri_Poisson!C6+Scoruri_Poisson!D6+Scoruri_Poisson!E6+Scoruri_Poisson!F6+Scoruri_Poisson!B7+Scoruri_Poisson!C7+Scoruri_Poisson!D7+Scoruri_Poisson!E7+Scoruri_Poisson!F7+Scoruri_Poisson!G7+Scoruri_Poisson!B8+Scoruri_Poisson!C8+Scoruri_Poisson!D8+Scoruri_Poisson!E8+Scoruri_Poisson!F8+Scoruri_Poisson!G8+Scoruri_Poisson!H8+Scoruri_Poisson!B9+Scoruri_Poisson!C9+Scoruri_Poisson!D9+Scoruri_Poisson!E9+Scoruri_Poisson!F9+Scoruri_Poisson!G9+Scoruri_Poisson!H9+Scoruri_Poisson!I9+Scoruri_Poisson!B10+Scoruri_Poisson!C10+Scoruri_Poisson!D10+Scoruri_Poisson!E10+Scoruri_Poisson!F10+Scoruri_Poisson!G10+Scoruri_Poisson!H10+Scoruri_Poisson!I10+Scoruri_Poisson!J10+Scoruri_Poisson!B11+Scoruri_Poisson!C11+Scoruri_Poisson!D11+Scoruri_Poisson!E11+Scoruri_Poisson!F11+Scoruri_Poisson!G11+Scoruri_Poisson!H11+Scoruri_Poisson!I11+Scoruri_Poisson!J11+Scoruri_Poisson!K11+Scoruri_Poisson!B12+Scoruri_Poisson!C12+Scoruri_Poisson!D12+Scoruri_Poisson!E12+Scoruri_Poisson!F12+Scoruri_Poisson!G12+Scoruri_Poisson!H12+Scoruri_Poisson!I12+Scoruri_Poisson!J12+Scoruri_Poisson!K12+Scoruri_Poisson!L12+Scoruri_Poisson!B13+Scoruri_Poisson!C13+Scoruri_Poisson!D13+Scoruri_Poisson!E13+Scoruri_Poisson!F13+Scoruri_Poisson!G13+Scoruri_Poisson!H13+Scoruri_Poisson!I13+Scoruri_Poisson!J13+Scoruri_Poisson!K13+Scoruri_Poisson!L13+Scoruri_Poisson!B14+Scoruri_Poisson!C14+Scoruri_Poisson!D14+Scoruri_Poisson!E14+Scoruri_Poisson!F14+Scoruri_Poisson!G14+Scoruri_Poisson!H14+Scoruri_Poisson!I14+Scoruri_Poisson!J14+Scoruri_Poisson!K14+Scoruri_Poisson!L14,"")</x:f>
        <x:v>0.994117193691235</x:v>
      </x:c>
      <x:c r="C11" s="18" t="n">
        <x:f aca="0">IF(Model!$F$29="READY",Scoruri_Poisson!E4+Scoruri_Poisson!F5+Scoruri_Poisson!G6+Scoruri_Poisson!H7+Scoruri_Poisson!I8+Scoruri_Poisson!J9+Scoruri_Poisson!K10+Scoruri_Poisson!L11,"")</x:f>
        <x:v>0.004933204317834622</x:v>
      </x:c>
      <x:c r="D11" s="18" t="n">
        <x:f aca="0">IF(Model!$F$29="READY",Scoruri_Poisson!F4+Scoruri_Poisson!G4+Scoruri_Poisson!H4+Scoruri_Poisson!I4+Scoruri_Poisson!J4+Scoruri_Poisson!K4+Scoruri_Poisson!L4+Scoruri_Poisson!G5+Scoruri_Poisson!H5+Scoruri_Poisson!I5+Scoruri_Poisson!J5+Scoruri_Poisson!K5+Scoruri_Poisson!L5+Scoruri_Poisson!H6+Scoruri_Poisson!I6+Scoruri_Poisson!J6+Scoruri_Poisson!K6+Scoruri_Poisson!L6+Scoruri_Poisson!I7+Scoruri_Poisson!J7+Scoruri_Poisson!K7+Scoruri_Poisson!L7+Scoruri_Poisson!J8+Scoruri_Poisson!K8+Scoruri_Poisson!L8+Scoruri_Poisson!K9+Scoruri_Poisson!L9+Scoruri_Poisson!L10,"")</x:f>
        <x:v>0.0009348081374929035</x:v>
      </x:c>
      <x:c r="E11" s="18" t="n">
        <x:f aca="0">IF(Model!$F$29="READY",IF(B11&gt;0,1/B11,""),"")</x:f>
        <x:v>1.005917618512282</x:v>
      </x:c>
      <x:c r="F11" s="18" t="n">
        <x:f aca="0">IF(Model!$F$29="READY",IF(C11&gt;0,1/C11,""),"")</x:f>
        <x:v>202.7080038799081</x:v>
      </x:c>
      <x:c r="G11" s="18" t="n">
        <x:f aca="0">IF(Model!$F$29="READY",IF(D11&gt;0,1/D11,""),"")</x:f>
        <x:v>1069.7382274419829</x:v>
      </x:c>
      <x:c r="H11" t="n">
        <x:v>0</x:v>
      </x:c>
      <x:c r="I11" s="3" t="s">
        <x:v>194</x:v>
      </x:c>
      <x:c r="J11" s="3" t="str">
        <x:f aca="0">Selector_Linii_v2!AA11</x:f>
        <x:v>DEFENSIV</x:v>
      </x:c>
      <x:c r="K11" s="19" t="str">
        <x:f aca="0">IF(Model!$F$29="READY",IF(ABS(A11)=4,IF(C11&lt;=Parametri_v2!$B$5,"PASS","FAIL"),IF(OR(ABS(A11)=2,ABS(A11)=3),IF(C11&lt;=Parametri_v2!$B$18,"PASS",IF(C11&lt;=Parametri_v2!$B$19,"PENALTY","FAIL")),"N/A")),"")</x:f>
        <x:v>PASS</x:v>
      </x:c>
      <x:c r="L11" s="20" t="n">
        <x:f aca="0">IF(Model!$F$29="READY",IF(ABS(A11)=4,MAX(0,C11-Parametri_v2!$B$5),IF(OR(ABS(A11)=2,ABS(A11)=3),MAX(0,C11-Parametri_v2!$B$18),0)),"")</x:f>
        <x:v>0</x:v>
      </x:c>
      <x:c r="M11" s="3" t="str">
        <x:f aca="0">IF(ABS(A11)=4,"≤3% PASS; &gt;3% FAIL",IF(OR(ABS(A11)=2,ABS(A11)=3),"≤4% PASS; 4–6% PENALTY; &gt;6% FAIL","N/A"))</x:f>
        <x:v>≤4% PASS; 4–6% PENALTY; &gt;6% FAIL</x:v>
      </x:c>
    </x:row>
    <x:row r="12" ht="14.25" hidden="0">
      <x:c r="A12" t="n">
        <x:v>4</x:v>
      </x:c>
      <x:c r="B12" s="18" t="n">
        <x:f aca="0">IF(Model!$F$29="READY",Scoruri_Poisson!B4+Scoruri_Poisson!C4+Scoruri_Poisson!D4+Scoruri_Poisson!E4+Scoruri_Poisson!B5+Scoruri_Poisson!C5+Scoruri_Poisson!D5+Scoruri_Poisson!E5+Scoruri_Poisson!F5+Scoruri_Poisson!B6+Scoruri_Poisson!C6+Scoruri_Poisson!D6+Scoruri_Poisson!E6+Scoruri_Poisson!F6+Scoruri_Poisson!G6+Scoruri_Poisson!B7+Scoruri_Poisson!C7+Scoruri_Poisson!D7+Scoruri_Poisson!E7+Scoruri_Poisson!F7+Scoruri_Poisson!G7+Scoruri_Poisson!H7+Scoruri_Poisson!B8+Scoruri_Poisson!C8+Scoruri_Poisson!D8+Scoruri_Poisson!E8+Scoruri_Poisson!F8+Scoruri_Poisson!G8+Scoruri_Poisson!H8+Scoruri_Poisson!I8+Scoruri_Poisson!B9+Scoruri_Poisson!C9+Scoruri_Poisson!D9+Scoruri_Poisson!E9+Scoruri_Poisson!F9+Scoruri_Poisson!G9+Scoruri_Poisson!H9+Scoruri_Poisson!I9+Scoruri_Poisson!J9+Scoruri_Poisson!B10+Scoruri_Poisson!C10+Scoruri_Poisson!D10+Scoruri_Poisson!E10+Scoruri_Poisson!F10+Scoruri_Poisson!G10+Scoruri_Poisson!H10+Scoruri_Poisson!I10+Scoruri_Poisson!J10+Scoruri_Poisson!K10+Scoruri_Poisson!B11+Scoruri_Poisson!C11+Scoruri_Poisson!D11+Scoruri_Poisson!E11+Scoruri_Poisson!F11+Scoruri_Poisson!G11+Scoruri_Poisson!H11+Scoruri_Poisson!I11+Scoruri_Poisson!J11+Scoruri_Poisson!K11+Scoruri_Poisson!L11+Scoruri_Poisson!B12+Scoruri_Poisson!C12+Scoruri_Poisson!D12+Scoruri_Poisson!E12+Scoruri_Poisson!F12+Scoruri_Poisson!G12+Scoruri_Poisson!H12+Scoruri_Poisson!I12+Scoruri_Poisson!J12+Scoruri_Poisson!K12+Scoruri_Poisson!L12+Scoruri_Poisson!B13+Scoruri_Poisson!C13+Scoruri_Poisson!D13+Scoruri_Poisson!E13+Scoruri_Poisson!F13+Scoruri_Poisson!G13+Scoruri_Poisson!H13+Scoruri_Poisson!I13+Scoruri_Poisson!J13+Scoruri_Poisson!K13+Scoruri_Poisson!L13+Scoruri_Poisson!B14+Scoruri_Poisson!C14+Scoruri_Poisson!D14+Scoruri_Poisson!E14+Scoruri_Poisson!F14+Scoruri_Poisson!G14+Scoruri_Poisson!H14+Scoruri_Poisson!I14+Scoruri_Poisson!J14+Scoruri_Poisson!K14+Scoruri_Poisson!L14,"")</x:f>
        <x:v>0.9990503980090696</x:v>
      </x:c>
      <x:c r="C12" s="18" t="n">
        <x:f aca="0">IF(Model!$F$29="READY",Scoruri_Poisson!F4+Scoruri_Poisson!G5+Scoruri_Poisson!H6+Scoruri_Poisson!I7+Scoruri_Poisson!J8+Scoruri_Poisson!K9+Scoruri_Poisson!L10,"")</x:f>
        <x:v>0.0008118171546916042</x:v>
      </x:c>
      <x:c r="D12" s="18" t="n">
        <x:f aca="0">IF(Model!$F$29="READY",Scoruri_Poisson!G4+Scoruri_Poisson!H4+Scoruri_Poisson!I4+Scoruri_Poisson!J4+Scoruri_Poisson!K4+Scoruri_Poisson!L4+Scoruri_Poisson!H5+Scoruri_Poisson!I5+Scoruri_Poisson!J5+Scoruri_Poisson!K5+Scoruri_Poisson!L5+Scoruri_Poisson!I6+Scoruri_Poisson!J6+Scoruri_Poisson!K6+Scoruri_Poisson!L6+Scoruri_Poisson!J7+Scoruri_Poisson!K7+Scoruri_Poisson!L7+Scoruri_Poisson!K8+Scoruri_Poisson!L8+Scoruri_Poisson!L9,"")</x:f>
        <x:v>0.00012299098280129904</x:v>
      </x:c>
      <x:c r="E12" s="18" t="n">
        <x:f aca="0">IF(Model!$F$29="READY",IF(B12&gt;0,1/B12,""),"")</x:f>
        <x:v>1.0009505045919833</x:v>
      </x:c>
      <x:c r="F12" s="18" t="n">
        <x:f aca="0">IF(Model!$F$29="READY",IF(C12&gt;0,1/C12,""),"")</x:f>
        <x:v>1231.8044700347375</x:v>
      </x:c>
      <x:c r="G12" s="18" t="n">
        <x:f aca="0">IF(Model!$F$29="READY",IF(D12&gt;0,1/D12,""),"")</x:f>
        <x:v>8130.6773653120035</x:v>
      </x:c>
      <x:c r="H12" t="n">
        <x:v>0</x:v>
      </x:c>
      <x:c r="I12" s="3" t="s">
        <x:v>195</x:v>
      </x:c>
      <x:c r="J12" s="3" t="str">
        <x:f aca="0">Selector_Linii_v2!AA12</x:f>
        <x:v>DEFENSIV</x:v>
      </x:c>
      <x:c r="K12" s="19" t="str">
        <x:f aca="0">IF(Model!$F$29="READY",IF(ABS(A12)=4,IF(C12&lt;=Parametri_v2!$B$5,"PASS","FAIL"),IF(OR(ABS(A12)=2,ABS(A12)=3),IF(C12&lt;=Parametri_v2!$B$18,"PASS",IF(C12&lt;=Parametri_v2!$B$19,"PENALTY","FAIL")),"N/A")),"")</x:f>
        <x:v>PASS</x:v>
      </x:c>
      <x:c r="L12" s="20" t="n">
        <x:f aca="0">IF(Model!$F$29="READY",IF(ABS(A12)=4,MAX(0,C12-Parametri_v2!$B$5),IF(OR(ABS(A12)=2,ABS(A12)=3),MAX(0,C12-Parametri_v2!$B$18),0)),"")</x:f>
        <x:v>0</x:v>
      </x:c>
      <x:c r="M12" s="3" t="str">
        <x:f aca="0">IF(ABS(A12)=4,"≤3% PASS; &gt;3% FAIL",IF(OR(ABS(A12)=2,ABS(A12)=3),"≤4% PASS; 4–6% PENALTY; &gt;6% FAIL","N/A"))</x:f>
        <x:v>≤3% PASS; &gt;3% FAIL</x:v>
      </x:c>
    </x:row>
    <x:row r="13" ht="14.25" hidden="0">
      <x:c r="I13" s="3"/>
      <x:c r="J13" s="3"/>
    </x:row>
    <x:row r="14" ht="14.25" hidden="0">
      <x:c r="I14" s="3"/>
      <x:c r="J14" s="3"/>
    </x:row>
    <x:row r="15" ht="14.25" hidden="0">
      <x:c r="A15" s="2" t="s">
        <x:v>196</x:v>
      </x:c>
      <x:c r="B15" s="2" t="s">
        <x:v>177</x:v>
      </x:c>
      <x:c r="C15" s="2" t="s">
        <x:v>178</x:v>
      </x:c>
      <x:c r="D15" s="2" t="s">
        <x:v>179</x:v>
      </x:c>
      <x:c r="E15" s="2" t="s">
        <x:v>180</x:v>
      </x:c>
      <x:c r="F15" s="2" t="s">
        <x:v>181</x:v>
      </x:c>
      <x:c r="G15" s="2" t="s">
        <x:v>182</x:v>
      </x:c>
      <x:c r="H15" s="2" t="s">
        <x:v>197</x:v>
      </x:c>
      <x:c r="I15" s="2" t="s">
        <x:v>131</x:v>
      </x:c>
      <x:c r="J15" s="2" t="str">
        <x:v>Verdict final</x:v>
      </x:c>
    </x:row>
    <x:row r="16" ht="14.25" hidden="0">
      <x:c r="A16" t="n">
        <x:v>-4</x:v>
      </x:c>
      <x:c r="B16" s="11" t="n">
        <x:f aca="0">IF(Model!$F$29="READY",Scoruri_Poisson!B4+Scoruri_Poisson!C4+Scoruri_Poisson!D4+Scoruri_Poisson!E4+Scoruri_Poisson!B5+Scoruri_Poisson!C5+Scoruri_Poisson!D5+Scoruri_Poisson!E5+Scoruri_Poisson!F5+Scoruri_Poisson!B6+Scoruri_Poisson!C6+Scoruri_Poisson!D6+Scoruri_Poisson!E6+Scoruri_Poisson!F6+Scoruri_Poisson!G6+Scoruri_Poisson!B7+Scoruri_Poisson!C7+Scoruri_Poisson!D7+Scoruri_Poisson!E7+Scoruri_Poisson!F7+Scoruri_Poisson!G7+Scoruri_Poisson!H7+Scoruri_Poisson!B8+Scoruri_Poisson!C8+Scoruri_Poisson!D8+Scoruri_Poisson!E8+Scoruri_Poisson!F8+Scoruri_Poisson!G8+Scoruri_Poisson!H8+Scoruri_Poisson!I8+Scoruri_Poisson!B9+Scoruri_Poisson!C9+Scoruri_Poisson!D9+Scoruri_Poisson!E9+Scoruri_Poisson!F9+Scoruri_Poisson!G9+Scoruri_Poisson!H9+Scoruri_Poisson!I9+Scoruri_Poisson!J9+Scoruri_Poisson!B10+Scoruri_Poisson!C10+Scoruri_Poisson!D10+Scoruri_Poisson!E10+Scoruri_Poisson!F10+Scoruri_Poisson!G10+Scoruri_Poisson!H10+Scoruri_Poisson!I10+Scoruri_Poisson!J10+Scoruri_Poisson!K10+Scoruri_Poisson!B11+Scoruri_Poisson!C11+Scoruri_Poisson!D11+Scoruri_Poisson!E11+Scoruri_Poisson!F11+Scoruri_Poisson!G11+Scoruri_Poisson!H11+Scoruri_Poisson!I11+Scoruri_Poisson!J11+Scoruri_Poisson!K11+Scoruri_Poisson!L11+Scoruri_Poisson!B12+Scoruri_Poisson!C12+Scoruri_Poisson!D12+Scoruri_Poisson!E12+Scoruri_Poisson!F12+Scoruri_Poisson!G12+Scoruri_Poisson!H12+Scoruri_Poisson!I12+Scoruri_Poisson!J12+Scoruri_Poisson!K12+Scoruri_Poisson!L12+Scoruri_Poisson!B13+Scoruri_Poisson!C13+Scoruri_Poisson!D13+Scoruri_Poisson!E13+Scoruri_Poisson!F13+Scoruri_Poisson!G13+Scoruri_Poisson!H13+Scoruri_Poisson!I13+Scoruri_Poisson!J13+Scoruri_Poisson!K13+Scoruri_Poisson!L13+Scoruri_Poisson!B14+Scoruri_Poisson!C14+Scoruri_Poisson!D14+Scoruri_Poisson!E14+Scoruri_Poisson!F14+Scoruri_Poisson!G14+Scoruri_Poisson!H14+Scoruri_Poisson!I14+Scoruri_Poisson!J14+Scoruri_Poisson!K14+Scoruri_Poisson!L14,"")</x:f>
        <x:v>0.9990503980090696</x:v>
      </x:c>
      <x:c r="C16" s="11" t="n">
        <x:f aca="0">IF(Model!$F$29="READY",Scoruri_Poisson!F4+Scoruri_Poisson!G5+Scoruri_Poisson!H6+Scoruri_Poisson!I7+Scoruri_Poisson!J8+Scoruri_Poisson!K9+Scoruri_Poisson!L10,"")</x:f>
        <x:v>0.0008118171546916042</x:v>
      </x:c>
      <x:c r="D16" s="11" t="n">
        <x:f aca="0">IF(Model!$F$29="READY",Scoruri_Poisson!G4+Scoruri_Poisson!H4+Scoruri_Poisson!I4+Scoruri_Poisson!J4+Scoruri_Poisson!K4+Scoruri_Poisson!L4+Scoruri_Poisson!H5+Scoruri_Poisson!I5+Scoruri_Poisson!J5+Scoruri_Poisson!K5+Scoruri_Poisson!L5+Scoruri_Poisson!I6+Scoruri_Poisson!J6+Scoruri_Poisson!K6+Scoruri_Poisson!L6+Scoruri_Poisson!J7+Scoruri_Poisson!K7+Scoruri_Poisson!L7+Scoruri_Poisson!K8+Scoruri_Poisson!L8+Scoruri_Poisson!L9,"")</x:f>
        <x:v>0.00012299098280129904</x:v>
      </x:c>
      <x:c r="E16" s="21" t="n">
        <x:f aca="0">IF(Model!$F$29="READY",IF(B16&gt;0,1/B16,""),"")</x:f>
        <x:v>1.0009505045919833</x:v>
      </x:c>
      <x:c r="F16" s="21" t="n">
        <x:f aca="0">IF(Model!$F$29="READY",IF(C16&gt;0,1/C16,""),"")</x:f>
        <x:v>1231.8044700347375</x:v>
      </x:c>
      <x:c r="G16" s="21" t="n">
        <x:f aca="0">IF(Model!$F$29="READY",IF(D16&gt;0,1/D16,""),"")</x:f>
        <x:v>8130.6773653120035</x:v>
      </x:c>
      <x:c r="H16" t="n">
        <x:v>5</x:v>
      </x:c>
      <x:c r="I16" s="3" t="s">
        <x:v>198</x:v>
      </x:c>
      <x:c r="J16" s="3" t="str">
        <x:f aca="0">INDEX(Selector_Linii_v2!$AA$4:$AA$12,MATCH(-A16,Selector_Linii_v2!$A$4:$A$12,0))</x:f>
        <x:v>DEFENSIV</x:v>
      </x:c>
    </x:row>
    <x:row r="17" ht="14.25" hidden="0">
      <x:c r="A17" t="n">
        <x:v>-3</x:v>
      </x:c>
      <x:c r="B17" s="11" t="n">
        <x:f aca="0">IF(Model!$F$29="READY",Scoruri_Poisson!B4+Scoruri_Poisson!C4+Scoruri_Poisson!D4+Scoruri_Poisson!B5+Scoruri_Poisson!C5+Scoruri_Poisson!D5+Scoruri_Poisson!E5+Scoruri_Poisson!B6+Scoruri_Poisson!C6+Scoruri_Poisson!D6+Scoruri_Poisson!E6+Scoruri_Poisson!F6+Scoruri_Poisson!B7+Scoruri_Poisson!C7+Scoruri_Poisson!D7+Scoruri_Poisson!E7+Scoruri_Poisson!F7+Scoruri_Poisson!G7+Scoruri_Poisson!B8+Scoruri_Poisson!C8+Scoruri_Poisson!D8+Scoruri_Poisson!E8+Scoruri_Poisson!F8+Scoruri_Poisson!G8+Scoruri_Poisson!H8+Scoruri_Poisson!B9+Scoruri_Poisson!C9+Scoruri_Poisson!D9+Scoruri_Poisson!E9+Scoruri_Poisson!F9+Scoruri_Poisson!G9+Scoruri_Poisson!H9+Scoruri_Poisson!I9+Scoruri_Poisson!B10+Scoruri_Poisson!C10+Scoruri_Poisson!D10+Scoruri_Poisson!E10+Scoruri_Poisson!F10+Scoruri_Poisson!G10+Scoruri_Poisson!H10+Scoruri_Poisson!I10+Scoruri_Poisson!J10+Scoruri_Poisson!B11+Scoruri_Poisson!C11+Scoruri_Poisson!D11+Scoruri_Poisson!E11+Scoruri_Poisson!F11+Scoruri_Poisson!G11+Scoruri_Poisson!H11+Scoruri_Poisson!I11+Scoruri_Poisson!J11+Scoruri_Poisson!K11+Scoruri_Poisson!B12+Scoruri_Poisson!C12+Scoruri_Poisson!D12+Scoruri_Poisson!E12+Scoruri_Poisson!F12+Scoruri_Poisson!G12+Scoruri_Poisson!H12+Scoruri_Poisson!I12+Scoruri_Poisson!J12+Scoruri_Poisson!K12+Scoruri_Poisson!L12+Scoruri_Poisson!B13+Scoruri_Poisson!C13+Scoruri_Poisson!D13+Scoruri_Poisson!E13+Scoruri_Poisson!F13+Scoruri_Poisson!G13+Scoruri_Poisson!H13+Scoruri_Poisson!I13+Scoruri_Poisson!J13+Scoruri_Poisson!K13+Scoruri_Poisson!L13+Scoruri_Poisson!B14+Scoruri_Poisson!C14+Scoruri_Poisson!D14+Scoruri_Poisson!E14+Scoruri_Poisson!F14+Scoruri_Poisson!G14+Scoruri_Poisson!H14+Scoruri_Poisson!I14+Scoruri_Poisson!J14+Scoruri_Poisson!K14+Scoruri_Poisson!L14,"")</x:f>
        <x:v>0.994117193691235</x:v>
      </x:c>
      <x:c r="C17" s="11" t="n">
        <x:f aca="0">IF(Model!$F$29="READY",Scoruri_Poisson!E4+Scoruri_Poisson!F5+Scoruri_Poisson!G6+Scoruri_Poisson!H7+Scoruri_Poisson!I8+Scoruri_Poisson!J9+Scoruri_Poisson!K10+Scoruri_Poisson!L11,"")</x:f>
        <x:v>0.004933204317834622</x:v>
      </x:c>
      <x:c r="D17" s="11" t="n">
        <x:f aca="0">IF(Model!$F$29="READY",Scoruri_Poisson!F4+Scoruri_Poisson!G4+Scoruri_Poisson!H4+Scoruri_Poisson!I4+Scoruri_Poisson!J4+Scoruri_Poisson!K4+Scoruri_Poisson!L4+Scoruri_Poisson!G5+Scoruri_Poisson!H5+Scoruri_Poisson!I5+Scoruri_Poisson!J5+Scoruri_Poisson!K5+Scoruri_Poisson!L5+Scoruri_Poisson!H6+Scoruri_Poisson!I6+Scoruri_Poisson!J6+Scoruri_Poisson!K6+Scoruri_Poisson!L6+Scoruri_Poisson!I7+Scoruri_Poisson!J7+Scoruri_Poisson!K7+Scoruri_Poisson!L7+Scoruri_Poisson!J8+Scoruri_Poisson!K8+Scoruri_Poisson!L8+Scoruri_Poisson!K9+Scoruri_Poisson!L9+Scoruri_Poisson!L10,"")</x:f>
        <x:v>0.0009348081374929035</x:v>
      </x:c>
      <x:c r="E17" s="21" t="n">
        <x:f aca="0">IF(Model!$F$29="READY",IF(B17&gt;0,1/B17,""),"")</x:f>
        <x:v>1.005917618512282</x:v>
      </x:c>
      <x:c r="F17" s="21" t="n">
        <x:f aca="0">IF(Model!$F$29="READY",IF(C17&gt;0,1/C17,""),"")</x:f>
        <x:v>202.7080038799081</x:v>
      </x:c>
      <x:c r="G17" s="21" t="n">
        <x:f aca="0">IF(Model!$F$29="READY",IF(D17&gt;0,1/D17,""),"")</x:f>
        <x:v>1069.7382274419829</x:v>
      </x:c>
      <x:c r="H17" t="n">
        <x:v>4</x:v>
      </x:c>
      <x:c r="I17" s="3" t="s">
        <x:v>199</x:v>
      </x:c>
      <x:c r="J17" s="3" t="str">
        <x:f aca="0">INDEX(Selector_Linii_v2!$AA$4:$AA$12,MATCH(-A17,Selector_Linii_v2!$A$4:$A$12,0))</x:f>
        <x:v>DEFENSIV</x:v>
      </x:c>
    </x:row>
    <x:row r="18" ht="14.25" hidden="0">
      <x:c r="A18" t="n">
        <x:v>-2</x:v>
      </x:c>
      <x:c r="B18" s="11" t="n">
        <x:f aca="0">IF(Model!$F$29="READY",Scoruri_Poisson!B4+Scoruri_Poisson!C4+Scoruri_Poisson!B5+Scoruri_Poisson!C5+Scoruri_Poisson!D5+Scoruri_Poisson!B6+Scoruri_Poisson!C6+Scoruri_Poisson!D6+Scoruri_Poisson!E6+Scoruri_Poisson!B7+Scoruri_Poisson!C7+Scoruri_Poisson!D7+Scoruri_Poisson!E7+Scoruri_Poisson!F7+Scoruri_Poisson!B8+Scoruri_Poisson!C8+Scoruri_Poisson!D8+Scoruri_Poisson!E8+Scoruri_Poisson!F8+Scoruri_Poisson!G8+Scoruri_Poisson!B9+Scoruri_Poisson!C9+Scoruri_Poisson!D9+Scoruri_Poisson!E9+Scoruri_Poisson!F9+Scoruri_Poisson!G9+Scoruri_Poisson!H9+Scoruri_Poisson!B10+Scoruri_Poisson!C10+Scoruri_Poisson!D10+Scoruri_Poisson!E10+Scoruri_Poisson!F10+Scoruri_Poisson!G10+Scoruri_Poisson!H10+Scoruri_Poisson!I10+Scoruri_Poisson!B11+Scoruri_Poisson!C11+Scoruri_Poisson!D11+Scoruri_Poisson!E11+Scoruri_Poisson!F11+Scoruri_Poisson!G11+Scoruri_Poisson!H11+Scoruri_Poisson!I11+Scoruri_Poisson!J11+Scoruri_Poisson!B12+Scoruri_Poisson!C12+Scoruri_Poisson!D12+Scoruri_Poisson!E12+Scoruri_Poisson!F12+Scoruri_Poisson!G12+Scoruri_Poisson!H12+Scoruri_Poisson!I12+Scoruri_Poisson!J12+Scoruri_Poisson!K12+Scoruri_Poisson!B13+Scoruri_Poisson!C13+Scoruri_Poisson!D13+Scoruri_Poisson!E13+Scoruri_Poisson!F13+Scoruri_Poisson!G13+Scoruri_Poisson!H13+Scoruri_Poisson!I13+Scoruri_Poisson!J13+Scoruri_Poisson!K13+Scoruri_Poisson!L13+Scoruri_Poisson!B14+Scoruri_Poisson!C14+Scoruri_Poisson!D14+Scoruri_Poisson!E14+Scoruri_Poisson!F14+Scoruri_Poisson!G14+Scoruri_Poisson!H14+Scoruri_Poisson!I14+Scoruri_Poisson!J14+Scoruri_Poisson!K14+Scoruri_Poisson!L14,"")</x:f>
        <x:v>0.9706858042053332</x:v>
      </x:c>
      <x:c r="C18" s="11" t="n">
        <x:f aca="0">IF(Model!$F$29="READY",Scoruri_Poisson!D4+Scoruri_Poisson!E5+Scoruri_Poisson!F6+Scoruri_Poisson!G7+Scoruri_Poisson!H8+Scoruri_Poisson!I9+Scoruri_Poisson!J10+Scoruri_Poisson!K11+Scoruri_Poisson!L12,"")</x:f>
        <x:v>0.0234313894859018</x:v>
      </x:c>
      <x:c r="D18" s="11" t="n">
        <x:f aca="0">IF(Model!$F$29="READY",Scoruri_Poisson!E4+Scoruri_Poisson!F4+Scoruri_Poisson!G4+Scoruri_Poisson!H4+Scoruri_Poisson!I4+Scoruri_Poisson!J4+Scoruri_Poisson!K4+Scoruri_Poisson!L4+Scoruri_Poisson!F5+Scoruri_Poisson!G5+Scoruri_Poisson!H5+Scoruri_Poisson!I5+Scoruri_Poisson!J5+Scoruri_Poisson!K5+Scoruri_Poisson!L5+Scoruri_Poisson!G6+Scoruri_Poisson!H6+Scoruri_Poisson!I6+Scoruri_Poisson!J6+Scoruri_Poisson!K6+Scoruri_Poisson!L6+Scoruri_Poisson!H7+Scoruri_Poisson!I7+Scoruri_Poisson!J7+Scoruri_Poisson!K7+Scoruri_Poisson!L7+Scoruri_Poisson!I8+Scoruri_Poisson!J8+Scoruri_Poisson!K8+Scoruri_Poisson!L8+Scoruri_Poisson!J9+Scoruri_Poisson!K9+Scoruri_Poisson!L9+Scoruri_Poisson!K10+Scoruri_Poisson!L10+Scoruri_Poisson!L11,"")</x:f>
        <x:v>0.005868012455327525</x:v>
      </x:c>
      <x:c r="E18" s="21" t="n">
        <x:f aca="0">IF(Model!$F$29="READY",IF(B18&gt;0,1/B18,""),"")</x:f>
        <x:v>1.0301994689400709</x:v>
      </x:c>
      <x:c r="F18" s="21" t="n">
        <x:f aca="0">IF(Model!$F$29="READY",IF(C18&gt;0,1/C18,""),"")</x:f>
        <x:v>42.677793419023665</x:v>
      </x:c>
      <x:c r="G18" s="21" t="n">
        <x:f aca="0">IF(Model!$F$29="READY",IF(D18&gt;0,1/D18,""),"")</x:f>
        <x:v>170.41545286634613</x:v>
      </x:c>
      <x:c r="H18" t="n">
        <x:v>3</x:v>
      </x:c>
      <x:c r="I18" s="3" t="s">
        <x:v>200</x:v>
      </x:c>
      <x:c r="J18" s="3" t="str">
        <x:f aca="0">INDEX(Selector_Linii_v2!$AA$4:$AA$12,MATCH(-A18,Selector_Linii_v2!$A$4:$A$12,0))</x:f>
        <x:v>DEFENSIV</x:v>
      </x:c>
    </x:row>
    <x:row r="19" ht="14.25" hidden="0">
      <x:c r="A19" t="n">
        <x:v>-1</x:v>
      </x:c>
      <x:c r="B19" s="11" t="n">
        <x:f aca="0">IF(Model!$F$29="READY",Scoruri_Poisson!B4+Scoruri_Poisson!B5+Scoruri_Poisson!C5+Scoruri_Poisson!B6+Scoruri_Poisson!C6+Scoruri_Poisson!D6+Scoruri_Poisson!B7+Scoruri_Poisson!C7+Scoruri_Poisson!D7+Scoruri_Poisson!E7+Scoruri_Poisson!B8+Scoruri_Poisson!C8+Scoruri_Poisson!D8+Scoruri_Poisson!E8+Scoruri_Poisson!F8+Scoruri_Poisson!B9+Scoruri_Poisson!C9+Scoruri_Poisson!D9+Scoruri_Poisson!E9+Scoruri_Poisson!F9+Scoruri_Poisson!G9+Scoruri_Poisson!B10+Scoruri_Poisson!C10+Scoruri_Poisson!D10+Scoruri_Poisson!E10+Scoruri_Poisson!F10+Scoruri_Poisson!G10+Scoruri_Poisson!H10+Scoruri_Poisson!B11+Scoruri_Poisson!C11+Scoruri_Poisson!D11+Scoruri_Poisson!E11+Scoruri_Poisson!F11+Scoruri_Poisson!G11+Scoruri_Poisson!H11+Scoruri_Poisson!I11+Scoruri_Poisson!B12+Scoruri_Poisson!C12+Scoruri_Poisson!D12+Scoruri_Poisson!E12+Scoruri_Poisson!F12+Scoruri_Poisson!G12+Scoruri_Poisson!H12+Scoruri_Poisson!I12+Scoruri_Poisson!J12+Scoruri_Poisson!B13+Scoruri_Poisson!C13+Scoruri_Poisson!D13+Scoruri_Poisson!E13+Scoruri_Poisson!F13+Scoruri_Poisson!G13+Scoruri_Poisson!H13+Scoruri_Poisson!I13+Scoruri_Poisson!J13+Scoruri_Poisson!K13+Scoruri_Poisson!B14+Scoruri_Poisson!C14+Scoruri_Poisson!D14+Scoruri_Poisson!E14+Scoruri_Poisson!F14+Scoruri_Poisson!G14+Scoruri_Poisson!H14+Scoruri_Poisson!I14+Scoruri_Poisson!J14+Scoruri_Poisson!K14+Scoruri_Poisson!L14,"")</x:f>
        <x:v>0.8893556073434733</x:v>
      </x:c>
      <x:c r="C19" s="11" t="n">
        <x:f aca="0">IF(Model!$F$29="READY",Scoruri_Poisson!C4+Scoruri_Poisson!D5+Scoruri_Poisson!E6+Scoruri_Poisson!F7+Scoruri_Poisson!G8+Scoruri_Poisson!H9+Scoruri_Poisson!I10+Scoruri_Poisson!J11+Scoruri_Poisson!K12+Scoruri_Poisson!L13,"")</x:f>
        <x:v>0.08133019686185977</x:v>
      </x:c>
      <x:c r="D19" s="11" t="n">
        <x:f aca="0">IF(Model!$F$29="READY",Scoruri_Poisson!D4+Scoruri_Poisson!E4+Scoruri_Poisson!F4+Scoruri_Poisson!G4+Scoruri_Poisson!H4+Scoruri_Poisson!I4+Scoruri_Poisson!J4+Scoruri_Poisson!K4+Scoruri_Poisson!L4+Scoruri_Poisson!E5+Scoruri_Poisson!F5+Scoruri_Poisson!G5+Scoruri_Poisson!H5+Scoruri_Poisson!I5+Scoruri_Poisson!J5+Scoruri_Poisson!K5+Scoruri_Poisson!L5+Scoruri_Poisson!F6+Scoruri_Poisson!G6+Scoruri_Poisson!H6+Scoruri_Poisson!I6+Scoruri_Poisson!J6+Scoruri_Poisson!K6+Scoruri_Poisson!L6+Scoruri_Poisson!G7+Scoruri_Poisson!H7+Scoruri_Poisson!I7+Scoruri_Poisson!J7+Scoruri_Poisson!K7+Scoruri_Poisson!L7+Scoruri_Poisson!H8+Scoruri_Poisson!I8+Scoruri_Poisson!J8+Scoruri_Poisson!K8+Scoruri_Poisson!L8+Scoruri_Poisson!I9+Scoruri_Poisson!J9+Scoruri_Poisson!K9+Scoruri_Poisson!L9+Scoruri_Poisson!J10+Scoruri_Poisson!K10+Scoruri_Poisson!L10+Scoruri_Poisson!K11+Scoruri_Poisson!L11+Scoruri_Poisson!L12,"")</x:f>
        <x:v>0.029299401941229326</x:v>
      </x:c>
      <x:c r="E19" s="21" t="n">
        <x:f aca="0">IF(Model!$F$29="READY",IF(B19&gt;0,1/B19,""),"")</x:f>
        <x:v>1.124409619440107</x:v>
      </x:c>
      <x:c r="F19" s="21" t="n">
        <x:f aca="0">IF(Model!$F$29="READY",IF(C19&gt;0,1/C19,""),"")</x:f>
        <x:v>12.295556122881528</x:v>
      </x:c>
      <x:c r="G19" s="21" t="n">
        <x:f aca="0">IF(Model!$F$29="READY",IF(D19&gt;0,1/D19,""),"")</x:f>
        <x:v>34.130389487330355</x:v>
      </x:c>
      <x:c r="H19" t="n">
        <x:v>2</x:v>
      </x:c>
      <x:c r="I19" s="3" t="s">
        <x:v>201</x:v>
      </x:c>
      <x:c r="J19" s="3" t="str">
        <x:f aca="0">INDEX(Selector_Linii_v2!$AA$4:$AA$12,MATCH(-A19,Selector_Linii_v2!$A$4:$A$12,0))</x:f>
        <x:v>MODERAT</x:v>
      </x:c>
    </x:row>
    <x:row r="20" ht="14.25" hidden="0">
      <x:c r="A20" t="n">
        <x:v>0</x:v>
      </x:c>
      <x:c r="B20" s="11" t="n">
        <x:f aca="0">IF(Model!$F$29="READY",Scoruri_Poisson!B5+Scoruri_Poisson!B6+Scoruri_Poisson!C6+Scoruri_Poisson!B7+Scoruri_Poisson!C7+Scoruri_Poisson!D7+Scoruri_Poisson!B8+Scoruri_Poisson!C8+Scoruri_Poisson!D8+Scoruri_Poisson!E8+Scoruri_Poisson!B9+Scoruri_Poisson!C9+Scoruri_Poisson!D9+Scoruri_Poisson!E9+Scoruri_Poisson!F9+Scoruri_Poisson!B10+Scoruri_Poisson!C10+Scoruri_Poisson!D10+Scoruri_Poisson!E10+Scoruri_Poisson!F10+Scoruri_Poisson!G10+Scoruri_Poisson!B11+Scoruri_Poisson!C11+Scoruri_Poisson!D11+Scoruri_Poisson!E11+Scoruri_Poisson!F11+Scoruri_Poisson!G11+Scoruri_Poisson!H11+Scoruri_Poisson!B12+Scoruri_Poisson!C12+Scoruri_Poisson!D12+Scoruri_Poisson!E12+Scoruri_Poisson!F12+Scoruri_Poisson!G12+Scoruri_Poisson!H12+Scoruri_Poisson!I12+Scoruri_Poisson!B13+Scoruri_Poisson!C13+Scoruri_Poisson!D13+Scoruri_Poisson!E13+Scoruri_Poisson!F13+Scoruri_Poisson!G13+Scoruri_Poisson!H13+Scoruri_Poisson!I13+Scoruri_Poisson!J13+Scoruri_Poisson!B14+Scoruri_Poisson!C14+Scoruri_Poisson!D14+Scoruri_Poisson!E14+Scoruri_Poisson!F14+Scoruri_Poisson!G14+Scoruri_Poisson!H14+Scoruri_Poisson!I14+Scoruri_Poisson!J14+Scoruri_Poisson!K14,"")</x:f>
        <x:v>0.7033006146255053</x:v>
      </x:c>
      <x:c r="C20" s="11" t="n">
        <x:f aca="0">IF(Model!$F$29="READY",Scoruri_Poisson!B4+Scoruri_Poisson!C5+Scoruri_Poisson!D6+Scoruri_Poisson!E7+Scoruri_Poisson!F8+Scoruri_Poisson!G9+Scoruri_Poisson!H10+Scoruri_Poisson!I11+Scoruri_Poisson!J12+Scoruri_Poisson!K13+Scoruri_Poisson!L14,"")</x:f>
        <x:v>0.1860549927179679</x:v>
      </x:c>
      <x:c r="D20" s="11" t="n">
        <x:f aca="0">IF(Model!$F$29="READY",Scoruri_Poisson!C4+Scoruri_Poisson!D4+Scoruri_Poisson!E4+Scoruri_Poisson!F4+Scoruri_Poisson!G4+Scoruri_Poisson!H4+Scoruri_Poisson!I4+Scoruri_Poisson!J4+Scoruri_Poisson!K4+Scoruri_Poisson!L4+Scoruri_Poisson!D5+Scoruri_Poisson!E5+Scoruri_Poisson!F5+Scoruri_Poisson!G5+Scoruri_Poisson!H5+Scoruri_Poisson!I5+Scoruri_Poisson!J5+Scoruri_Poisson!K5+Scoruri_Poisson!L5+Scoruri_Poisson!E6+Scoruri_Poisson!F6+Scoruri_Poisson!G6+Scoruri_Poisson!H6+Scoruri_Poisson!I6+Scoruri_Poisson!J6+Scoruri_Poisson!K6+Scoruri_Poisson!L6+Scoruri_Poisson!F7+Scoruri_Poisson!G7+Scoruri_Poisson!H7+Scoruri_Poisson!I7+Scoruri_Poisson!J7+Scoruri_Poisson!K7+Scoruri_Poisson!L7+Scoruri_Poisson!G8+Scoruri_Poisson!H8+Scoruri_Poisson!I8+Scoruri_Poisson!J8+Scoruri_Poisson!K8+Scoruri_Poisson!L8+Scoruri_Poisson!H9+Scoruri_Poisson!I9+Scoruri_Poisson!J9+Scoruri_Poisson!K9+Scoruri_Poisson!L9+Scoruri_Poisson!I10+Scoruri_Poisson!J10+Scoruri_Poisson!K10+Scoruri_Poisson!L10+Scoruri_Poisson!J11+Scoruri_Poisson!K11+Scoruri_Poisson!L11+Scoruri_Poisson!K12+Scoruri_Poisson!L12+Scoruri_Poisson!L13,"")</x:f>
        <x:v>0.11062959880308908</x:v>
      </x:c>
      <x:c r="E20" s="21" t="n">
        <x:f aca="0">IF(Model!$F$29="READY",IF(B20&gt;0,1/B20,""),"")</x:f>
        <x:v>1.4218670923990044</x:v>
      </x:c>
      <x:c r="F20" s="21" t="n">
        <x:f aca="0">IF(Model!$F$29="READY",IF(C20&gt;0,1/C20,""),"")</x:f>
        <x:v>5.374754987176578</x:v>
      </x:c>
      <x:c r="G20" s="21" t="n">
        <x:f aca="0">IF(Model!$F$29="READY",IF(D20&gt;0,1/D20,""),"")</x:f>
        <x:v>9.039172254252787</x:v>
      </x:c>
      <x:c r="H20" t="n">
        <x:v>1</x:v>
      </x:c>
      <x:c r="I20" s="3" t="s">
        <x:v>191</x:v>
      </x:c>
      <x:c r="J20" s="3" t="str">
        <x:f aca="0">INDEX(Selector_Linii_v2!$AA$4:$AA$12,MATCH(-A20,Selector_Linii_v2!$A$4:$A$12,0))</x:f>
        <x:v>MODERAT</x:v>
      </x:c>
    </x:row>
    <x:row r="21" ht="14.25" hidden="0">
      <x:c r="A21" t="n">
        <x:v>1</x:v>
      </x:c>
      <x:c r="B21" s="11" t="n">
        <x:f aca="0">IF(Model!$F$29="READY",Scoruri_Poisson!B6+Scoruri_Poisson!B7+Scoruri_Poisson!C7+Scoruri_Poisson!B8+Scoruri_Poisson!C8+Scoruri_Poisson!D8+Scoruri_Poisson!B9+Scoruri_Poisson!C9+Scoruri_Poisson!D9+Scoruri_Poisson!E9+Scoruri_Poisson!B10+Scoruri_Poisson!C10+Scoruri_Poisson!D10+Scoruri_Poisson!E10+Scoruri_Poisson!F10+Scoruri_Poisson!B11+Scoruri_Poisson!C11+Scoruri_Poisson!D11+Scoruri_Poisson!E11+Scoruri_Poisson!F11+Scoruri_Poisson!G11+Scoruri_Poisson!B12+Scoruri_Poisson!C12+Scoruri_Poisson!D12+Scoruri_Poisson!E12+Scoruri_Poisson!F12+Scoruri_Poisson!G12+Scoruri_Poisson!H12+Scoruri_Poisson!B13+Scoruri_Poisson!C13+Scoruri_Poisson!D13+Scoruri_Poisson!E13+Scoruri_Poisson!F13+Scoruri_Poisson!G13+Scoruri_Poisson!H13+Scoruri_Poisson!I13+Scoruri_Poisson!B14+Scoruri_Poisson!C14+Scoruri_Poisson!D14+Scoruri_Poisson!E14+Scoruri_Poisson!F14+Scoruri_Poisson!G14+Scoruri_Poisson!H14+Scoruri_Poisson!I14+Scoruri_Poisson!J14,"")</x:f>
        <x:v>0.45768440008875827</x:v>
      </x:c>
      <x:c r="C21" s="11" t="n">
        <x:f aca="0">IF(Model!$F$29="READY",Scoruri_Poisson!B5+Scoruri_Poisson!C6+Scoruri_Poisson!D7+Scoruri_Poisson!E8+Scoruri_Poisson!F9+Scoruri_Poisson!G10+Scoruri_Poisson!H11+Scoruri_Poisson!I12+Scoruri_Poisson!J13+Scoruri_Poisson!K14,"")</x:f>
        <x:v>0.24561621453674673</x:v>
      </x:c>
      <x:c r="D21" s="11" t="n">
        <x:f aca="0">IF(Model!$F$29="READY",Scoruri_Poisson!B4+Scoruri_Poisson!C4+Scoruri_Poisson!D4+Scoruri_Poisson!E4+Scoruri_Poisson!F4+Scoruri_Poisson!G4+Scoruri_Poisson!H4+Scoruri_Poisson!I4+Scoruri_Poisson!J4+Scoruri_Poisson!K4+Scoruri_Poisson!L4+Scoruri_Poisson!C5+Scoruri_Poisson!D5+Scoruri_Poisson!E5+Scoruri_Poisson!F5+Scoruri_Poisson!G5+Scoruri_Poisson!H5+Scoruri_Poisson!I5+Scoruri_Poisson!J5+Scoruri_Poisson!K5+Scoruri_Poisson!L5+Scoruri_Poisson!D6+Scoruri_Poisson!E6+Scoruri_Poisson!F6+Scoruri_Poisson!G6+Scoruri_Poisson!H6+Scoruri_Poisson!I6+Scoruri_Poisson!J6+Scoruri_Poisson!K6+Scoruri_Poisson!L6+Scoruri_Poisson!E7+Scoruri_Poisson!F7+Scoruri_Poisson!G7+Scoruri_Poisson!H7+Scoruri_Poisson!I7+Scoruri_Poisson!J7+Scoruri_Poisson!K7+Scoruri_Poisson!L7+Scoruri_Poisson!F8+Scoruri_Poisson!G8+Scoruri_Poisson!H8+Scoruri_Poisson!I8+Scoruri_Poisson!J8+Scoruri_Poisson!K8+Scoruri_Poisson!L8+Scoruri_Poisson!G9+Scoruri_Poisson!H9+Scoruri_Poisson!I9+Scoruri_Poisson!J9+Scoruri_Poisson!K9+Scoruri_Poisson!L9+Scoruri_Poisson!H10+Scoruri_Poisson!I10+Scoruri_Poisson!J10+Scoruri_Poisson!K10+Scoruri_Poisson!L10+Scoruri_Poisson!I11+Scoruri_Poisson!J11+Scoruri_Poisson!K11+Scoruri_Poisson!L11+Scoruri_Poisson!J12+Scoruri_Poisson!K12+Scoruri_Poisson!L12+Scoruri_Poisson!K13+Scoruri_Poisson!L13+Scoruri_Poisson!L14,"")</x:f>
        <x:v>0.29668459152105703</x:v>
      </x:c>
      <x:c r="E21" s="21" t="n">
        <x:f aca="0">IF(Model!$F$29="READY",IF(B21&gt;0,1/B21,""),"")</x:f>
        <x:v>2.1849116985548798</x:v>
      </x:c>
      <x:c r="F21" s="21" t="n">
        <x:f aca="0">IF(Model!$F$29="READY",IF(C21&gt;0,1/C21,""),"")</x:f>
        <x:v>4.0713924440456255</x:v>
      </x:c>
      <x:c r="G21" s="21" t="n">
        <x:f aca="0">IF(Model!$F$29="READY",IF(D21&gt;0,1/D21,""),"")</x:f>
        <x:v>3.370582863347069</x:v>
      </x:c>
      <x:c r="H21" t="n">
        <x:v>0</x:v>
      </x:c>
      <x:c r="I21" s="3" t="s">
        <x:v>202</x:v>
      </x:c>
      <x:c r="J21" s="3" t="str">
        <x:f aca="0">INDEX(Selector_Linii_v2!$AA$4:$AA$12,MATCH(-A21,Selector_Linii_v2!$A$4:$A$12,0))</x:f>
        <x:v>MODERAT</x:v>
      </x:c>
    </x:row>
    <x:row r="22" ht="14.25" hidden="0">
      <x:c r="A22" t="n">
        <x:v>2</x:v>
      </x:c>
      <x:c r="B22" s="11" t="n">
        <x:f aca="0">IF(Model!$F$29="READY",Scoruri_Poisson!B7+Scoruri_Poisson!B8+Scoruri_Poisson!C8+Scoruri_Poisson!B9+Scoruri_Poisson!C9+Scoruri_Poisson!D9+Scoruri_Poisson!B10+Scoruri_Poisson!C10+Scoruri_Poisson!D10+Scoruri_Poisson!E10+Scoruri_Poisson!B11+Scoruri_Poisson!C11+Scoruri_Poisson!D11+Scoruri_Poisson!E11+Scoruri_Poisson!F11+Scoruri_Poisson!B12+Scoruri_Poisson!C12+Scoruri_Poisson!D12+Scoruri_Poisson!E12+Scoruri_Poisson!F12+Scoruri_Poisson!G12+Scoruri_Poisson!B13+Scoruri_Poisson!C13+Scoruri_Poisson!D13+Scoruri_Poisson!E13+Scoruri_Poisson!F13+Scoruri_Poisson!G13+Scoruri_Poisson!H13+Scoruri_Poisson!B14+Scoruri_Poisson!C14+Scoruri_Poisson!D14+Scoruri_Poisson!E14+Scoruri_Poisson!F14+Scoruri_Poisson!G14+Scoruri_Poisson!H14+Scoruri_Poisson!I14,"")</x:f>
        <x:v>0.24398246072704544</x:v>
      </x:c>
      <x:c r="C22" s="11" t="n">
        <x:f aca="0">IF(Model!$F$29="READY",Scoruri_Poisson!B6+Scoruri_Poisson!C7+Scoruri_Poisson!D8+Scoruri_Poisson!E9+Scoruri_Poisson!F10+Scoruri_Poisson!G11+Scoruri_Poisson!H12+Scoruri_Poisson!I13+Scoruri_Poisson!J14,"")</x:f>
        <x:v>0.2137019393617132</x:v>
      </x:c>
      <x:c r="D22" s="11" t="n">
        <x:f aca="0">IF(Model!$F$29="READY",Scoruri_Poisson!B4+Scoruri_Poisson!C4+Scoruri_Poisson!D4+Scoruri_Poisson!E4+Scoruri_Poisson!F4+Scoruri_Poisson!G4+Scoruri_Poisson!H4+Scoruri_Poisson!I4+Scoruri_Poisson!J4+Scoruri_Poisson!K4+Scoruri_Poisson!L4+Scoruri_Poisson!B5+Scoruri_Poisson!C5+Scoruri_Poisson!D5+Scoruri_Poisson!E5+Scoruri_Poisson!F5+Scoruri_Poisson!G5+Scoruri_Poisson!H5+Scoruri_Poisson!I5+Scoruri_Poisson!J5+Scoruri_Poisson!K5+Scoruri_Poisson!L5+Scoruri_Poisson!C6+Scoruri_Poisson!D6+Scoruri_Poisson!E6+Scoruri_Poisson!F6+Scoruri_Poisson!G6+Scoruri_Poisson!H6+Scoruri_Poisson!I6+Scoruri_Poisson!J6+Scoruri_Poisson!K6+Scoruri_Poisson!L6+Scoruri_Poisson!D7+Scoruri_Poisson!E7+Scoruri_Poisson!F7+Scoruri_Poisson!G7+Scoruri_Poisson!H7+Scoruri_Poisson!I7+Scoruri_Poisson!J7+Scoruri_Poisson!K7+Scoruri_Poisson!L7+Scoruri_Poisson!E8+Scoruri_Poisson!F8+Scoruri_Poisson!G8+Scoruri_Poisson!H8+Scoruri_Poisson!I8+Scoruri_Poisson!J8+Scoruri_Poisson!K8+Scoruri_Poisson!L8+Scoruri_Poisson!F9+Scoruri_Poisson!G9+Scoruri_Poisson!H9+Scoruri_Poisson!I9+Scoruri_Poisson!J9+Scoruri_Poisson!K9+Scoruri_Poisson!L9+Scoruri_Poisson!G10+Scoruri_Poisson!H10+Scoruri_Poisson!I10+Scoruri_Poisson!J10+Scoruri_Poisson!K10+Scoruri_Poisson!L10+Scoruri_Poisson!H11+Scoruri_Poisson!I11+Scoruri_Poisson!J11+Scoruri_Poisson!K11+Scoruri_Poisson!L11+Scoruri_Poisson!I12+Scoruri_Poisson!J12+Scoruri_Poisson!K12+Scoruri_Poisson!L12+Scoruri_Poisson!J13+Scoruri_Poisson!K13+Scoruri_Poisson!L13+Scoruri_Poisson!K14+Scoruri_Poisson!L14,"")</x:f>
        <x:v>0.5423008060578036</x:v>
      </x:c>
      <x:c r="E22" s="21" t="n">
        <x:f aca="0">IF(Model!$F$29="READY",IF(B22&gt;0,1/B22,""),"")</x:f>
        <x:v>4.0986552763673725</x:v>
      </x:c>
      <x:c r="F22" s="21" t="n">
        <x:f aca="0">IF(Model!$F$29="READY",IF(C22&gt;0,1/C22,""),"")</x:f>
        <x:v>4.6794147165290525</x:v>
      </x:c>
      <x:c r="G22" s="21" t="n">
        <x:f aca="0">IF(Model!$F$29="READY",IF(D22&gt;0,1/D22,""),"")</x:f>
        <x:v>1.8439950463459396</x:v>
      </x:c>
      <x:c r="H22" t="n">
        <x:v>0</x:v>
      </x:c>
      <x:c r="I22" s="3" t="s">
        <x:v>203</x:v>
      </x:c>
      <x:c r="J22" s="3" t="str">
        <x:f aca="0">INDEX(Selector_Linii_v2!$AA$4:$AA$12,MATCH(-A22,Selector_Linii_v2!$A$4:$A$12,0))</x:f>
        <x:v>WATCH / NO BET</x:v>
      </x:c>
    </x:row>
    <x:row r="23" ht="14.25" hidden="0">
      <x:c r="A23" t="n">
        <x:v>3</x:v>
      </x:c>
      <x:c r="B23" s="11" t="n">
        <x:f aca="0">IF(Model!$F$29="READY",Scoruri_Poisson!B8+Scoruri_Poisson!B9+Scoruri_Poisson!C9+Scoruri_Poisson!B10+Scoruri_Poisson!C10+Scoruri_Poisson!D10+Scoruri_Poisson!B11+Scoruri_Poisson!C11+Scoruri_Poisson!D11+Scoruri_Poisson!E11+Scoruri_Poisson!B12+Scoruri_Poisson!C12+Scoruri_Poisson!D12+Scoruri_Poisson!E12+Scoruri_Poisson!F12+Scoruri_Poisson!B13+Scoruri_Poisson!C13+Scoruri_Poisson!D13+Scoruri_Poisson!E13+Scoruri_Poisson!F13+Scoruri_Poisson!G13+Scoruri_Poisson!B14+Scoruri_Poisson!C14+Scoruri_Poisson!D14+Scoruri_Poisson!E14+Scoruri_Poisson!F14+Scoruri_Poisson!G14+Scoruri_Poisson!H14,"")</x:f>
        <x:v>0.10810584122477492</x:v>
      </x:c>
      <x:c r="C23" s="11" t="n">
        <x:f aca="0">IF(Model!$F$29="READY",Scoruri_Poisson!B7+Scoruri_Poisson!C8+Scoruri_Poisson!D9+Scoruri_Poisson!E10+Scoruri_Poisson!F11+Scoruri_Poisson!G12+Scoruri_Poisson!H13+Scoruri_Poisson!I14,"")</x:f>
        <x:v>0.13587661950227048</x:v>
      </x:c>
      <x:c r="D23" s="11" t="n">
        <x:f aca="0">IF(Model!$F$29="READY",Scoruri_Poisson!B4+Scoruri_Poisson!C4+Scoruri_Poisson!D4+Scoruri_Poisson!E4+Scoruri_Poisson!F4+Scoruri_Poisson!G4+Scoruri_Poisson!H4+Scoruri_Poisson!I4+Scoruri_Poisson!J4+Scoruri_Poisson!K4+Scoruri_Poisson!L4+Scoruri_Poisson!B5+Scoruri_Poisson!C5+Scoruri_Poisson!D5+Scoruri_Poisson!E5+Scoruri_Poisson!F5+Scoruri_Poisson!G5+Scoruri_Poisson!H5+Scoruri_Poisson!I5+Scoruri_Poisson!J5+Scoruri_Poisson!K5+Scoruri_Poisson!L5+Scoruri_Poisson!B6+Scoruri_Poisson!C6+Scoruri_Poisson!D6+Scoruri_Poisson!E6+Scoruri_Poisson!F6+Scoruri_Poisson!G6+Scoruri_Poisson!H6+Scoruri_Poisson!I6+Scoruri_Poisson!J6+Scoruri_Poisson!K6+Scoruri_Poisson!L6+Scoruri_Poisson!C7+Scoruri_Poisson!D7+Scoruri_Poisson!E7+Scoruri_Poisson!F7+Scoruri_Poisson!G7+Scoruri_Poisson!H7+Scoruri_Poisson!I7+Scoruri_Poisson!J7+Scoruri_Poisson!K7+Scoruri_Poisson!L7+Scoruri_Poisson!D8+Scoruri_Poisson!E8+Scoruri_Poisson!F8+Scoruri_Poisson!G8+Scoruri_Poisson!H8+Scoruri_Poisson!I8+Scoruri_Poisson!J8+Scoruri_Poisson!K8+Scoruri_Poisson!L8+Scoruri_Poisson!E9+Scoruri_Poisson!F9+Scoruri_Poisson!G9+Scoruri_Poisson!H9+Scoruri_Poisson!I9+Scoruri_Poisson!J9+Scoruri_Poisson!K9+Scoruri_Poisson!L9+Scoruri_Poisson!F10+Scoruri_Poisson!G10+Scoruri_Poisson!H10+Scoruri_Poisson!I10+Scoruri_Poisson!J10+Scoruri_Poisson!K10+Scoruri_Poisson!L10+Scoruri_Poisson!G11+Scoruri_Poisson!H11+Scoruri_Poisson!I11+Scoruri_Poisson!J11+Scoruri_Poisson!K11+Scoruri_Poisson!L11+Scoruri_Poisson!H12+Scoruri_Poisson!I12+Scoruri_Poisson!J12+Scoruri_Poisson!K12+Scoruri_Poisson!L12+Scoruri_Poisson!I13+Scoruri_Poisson!J13+Scoruri_Poisson!K13+Scoruri_Poisson!L13+Scoruri_Poisson!J14+Scoruri_Poisson!K14+Scoruri_Poisson!L14,"")</x:f>
        <x:v>0.7560027454195168</x:v>
      </x:c>
      <x:c r="E23" s="21" t="n">
        <x:f aca="0">IF(Model!$F$29="READY",IF(B23&gt;0,1/B23,""),"")</x:f>
        <x:v>9.25019396427237</x:v>
      </x:c>
      <x:c r="F23" s="21" t="n">
        <x:f aca="0">IF(Model!$F$29="READY",IF(C23&gt;0,1/C23,""),"")</x:f>
        <x:v>7.359617892048677</x:v>
      </x:c>
      <x:c r="G23" s="21" t="n">
        <x:f aca="0">IF(Model!$F$29="READY",IF(D23&gt;0,1/D23,""),"")</x:f>
        <x:v>1.3227465191876857</x:v>
      </x:c>
      <x:c r="H23" t="n">
        <x:v>0</x:v>
      </x:c>
      <x:c r="I23" s="3" t="s">
        <x:v>204</x:v>
      </x:c>
      <x:c r="J23" s="3" t="str">
        <x:f aca="0">INDEX(Selector_Linii_v2!$AA$4:$AA$12,MATCH(-A23,Selector_Linii_v2!$A$4:$A$12,0))</x:f>
        <x:v>WATCH / NO BET</x:v>
      </x:c>
    </x:row>
    <x:row r="24" ht="14.25" hidden="0">
      <x:c r="A24" t="n">
        <x:v>4</x:v>
      </x:c>
      <x:c r="B24" s="11" t="n">
        <x:f aca="0">IF(Model!$F$29="READY",Scoruri_Poisson!B9+Scoruri_Poisson!B10+Scoruri_Poisson!C10+Scoruri_Poisson!B11+Scoruri_Poisson!C11+Scoruri_Poisson!D11+Scoruri_Poisson!B12+Scoruri_Poisson!C12+Scoruri_Poisson!D12+Scoruri_Poisson!E12+Scoruri_Poisson!B13+Scoruri_Poisson!C13+Scoruri_Poisson!D13+Scoruri_Poisson!E13+Scoruri_Poisson!F13+Scoruri_Poisson!B14+Scoruri_Poisson!C14+Scoruri_Poisson!D14+Scoruri_Poisson!E14+Scoruri_Poisson!F14+Scoruri_Poisson!G14,"")</x:f>
        <x:v>0.04057859104222257</x:v>
      </x:c>
      <x:c r="C24" s="11" t="n">
        <x:f aca="0">IF(Model!$F$29="READY",Scoruri_Poisson!B8+Scoruri_Poisson!C9+Scoruri_Poisson!D10+Scoruri_Poisson!E11+Scoruri_Poisson!F12+Scoruri_Poisson!G13+Scoruri_Poisson!H14,"")</x:f>
        <x:v>0.06752725018255235</x:v>
      </x:c>
      <x:c r="D24" s="11" t="n">
        <x:f aca="0">IF(Model!$F$29="READY",Scoruri_Poisson!B4+Scoruri_Poisson!C4+Scoruri_Poisson!D4+Scoruri_Poisson!E4+Scoruri_Poisson!F4+Scoruri_Poisson!G4+Scoruri_Poisson!H4+Scoruri_Poisson!I4+Scoruri_Poisson!J4+Scoruri_Poisson!K4+Scoruri_Poisson!L4+Scoruri_Poisson!B5+Scoruri_Poisson!C5+Scoruri_Poisson!D5+Scoruri_Poisson!E5+Scoruri_Poisson!F5+Scoruri_Poisson!G5+Scoruri_Poisson!H5+Scoruri_Poisson!I5+Scoruri_Poisson!J5+Scoruri_Poisson!K5+Scoruri_Poisson!L5+Scoruri_Poisson!B6+Scoruri_Poisson!C6+Scoruri_Poisson!D6+Scoruri_Poisson!E6+Scoruri_Poisson!F6+Scoruri_Poisson!G6+Scoruri_Poisson!H6+Scoruri_Poisson!I6+Scoruri_Poisson!J6+Scoruri_Poisson!K6+Scoruri_Poisson!L6+Scoruri_Poisson!B7+Scoruri_Poisson!C7+Scoruri_Poisson!D7+Scoruri_Poisson!E7+Scoruri_Poisson!F7+Scoruri_Poisson!G7+Scoruri_Poisson!H7+Scoruri_Poisson!I7+Scoruri_Poisson!J7+Scoruri_Poisson!K7+Scoruri_Poisson!L7+Scoruri_Poisson!C8+Scoruri_Poisson!D8+Scoruri_Poisson!E8+Scoruri_Poisson!F8+Scoruri_Poisson!G8+Scoruri_Poisson!H8+Scoruri_Poisson!I8+Scoruri_Poisson!J8+Scoruri_Poisson!K8+Scoruri_Poisson!L8+Scoruri_Poisson!D9+Scoruri_Poisson!E9+Scoruri_Poisson!F9+Scoruri_Poisson!G9+Scoruri_Poisson!H9+Scoruri_Poisson!I9+Scoruri_Poisson!J9+Scoruri_Poisson!K9+Scoruri_Poisson!L9+Scoruri_Poisson!E10+Scoruri_Poisson!F10+Scoruri_Poisson!G10+Scoruri_Poisson!H10+Scoruri_Poisson!I10+Scoruri_Poisson!J10+Scoruri_Poisson!K10+Scoruri_Poisson!L10+Scoruri_Poisson!F11+Scoruri_Poisson!G11+Scoruri_Poisson!H11+Scoruri_Poisson!I11+Scoruri_Poisson!J11+Scoruri_Poisson!K11+Scoruri_Poisson!L11+Scoruri_Poisson!G12+Scoruri_Poisson!H12+Scoruri_Poisson!I12+Scoruri_Poisson!J12+Scoruri_Poisson!K12+Scoruri_Poisson!L12+Scoruri_Poisson!H13+Scoruri_Poisson!I13+Scoruri_Poisson!J13+Scoruri_Poisson!K13+Scoruri_Poisson!L13+Scoruri_Poisson!I14+Scoruri_Poisson!J14+Scoruri_Poisson!K14+Scoruri_Poisson!L14,"")</x:f>
        <x:v>0.8918793649217874</x:v>
      </x:c>
      <x:c r="E24" s="21" t="n">
        <x:f aca="0">IF(Model!$F$29="READY",IF(B24&gt;0,1/B24,""),"")</x:f>
        <x:v>24.643536759555957</x:v>
      </x:c>
      <x:c r="F24" s="21" t="n">
        <x:f aca="0">IF(Model!$F$29="READY",IF(C24&gt;0,1/C24,""),"")</x:f>
        <x:v>14.808836392665365</x:v>
      </x:c>
      <x:c r="G24" s="21" t="n">
        <x:f aca="0">IF(Model!$F$29="READY",IF(D24&gt;0,1/D24,""),"")</x:f>
        <x:v>1.1212278692956352</x:v>
      </x:c>
      <x:c r="H24" t="n">
        <x:v>0</x:v>
      </x:c>
      <x:c r="I24" s="3" t="s">
        <x:v>205</x:v>
      </x:c>
      <x:c r="J24" s="3" t="str">
        <x:f aca="0">INDEX(Selector_Linii_v2!$AA$4:$AA$12,MATCH(-A24,Selector_Linii_v2!$A$4:$A$12,0))</x:f>
        <x:v>WATCH / NO BET</x:v>
      </x:c>
    </x:row>
  </x:sheetData>
  <x:mergeCells>
    <x:mergeCell ref="A1:J1"/>
  </x:mergeCells>
  <x:conditionalFormatting sqref="K4:K12">
    <x:cfRule type="expression" dxfId="0" priority="2" aboveAverage="0" percent="0" bottom="0" rank="0" equalAverage="0">
      <x:formula>LEFT(K4,6)="NO BET"</x:formula>
    </x:cfRule>
    <x:cfRule type="expression" dxfId="1" priority="3" aboveAverage="0" percent="0" bottom="0" rank="0" equalAverage="0">
      <x:formula>K4="PENALIZARE"</x:formula>
    </x:cfRule>
    <x:cfRule type="expression" dxfId="2" priority="4" aboveAverage="0" percent="0" bottom="0" rank="0" equalAverage="0">
      <x:formula>OR(K4="PREFERAT",K4="OK STRICT +4")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4.25"/>
  <x:cols>
    <x:col min="1" max="1" width="28" hidden="0" customWidth="1"/>
    <x:col min="2" max="2" width="16" hidden="0" customWidth="1"/>
    <x:col min="3" max="4" width="18.25" hidden="0" customWidth="1"/>
    <x:col min="5" max="6" width="18" hidden="0" customWidth="1"/>
    <x:col min="7" max="7" width="42" hidden="0" customWidth="1"/>
    <x:col min="8" max="10" width="18" hidden="0" customWidth="1"/>
  </x:cols>
  <x:sheetData>
    <x:row r="1" ht="32" hidden="0" customHeight="1">
      <x:c r="A1" s="116" t="str">
        <x:v>HANDICAP EUROPEAN – ANALIZA LINIEI SELECTATE</x:v>
      </x:c>
      <x:c r="B1" s="116"/>
      <x:c r="C1" s="116"/>
      <x:c r="D1" s="116"/>
      <x:c r="E1" s="116"/>
      <x:c r="F1" s="116"/>
      <x:c r="G1" s="116"/>
      <x:c r="H1" s="116"/>
      <x:c r="I1" s="116"/>
      <x:c r="J1" s="116"/>
    </x:row>
    <x:row r="2" ht="14.25" hidden="0">
      <x:c r="A2" s="23"/>
      <x:c r="B2" s="23"/>
      <x:c r="C2" s="23"/>
      <x:c r="D2" s="23"/>
      <x:c r="E2" s="23"/>
      <x:c r="F2" s="23"/>
      <x:c r="G2" s="23"/>
      <x:c r="H2" s="23"/>
      <x:c r="I2" s="23"/>
      <x:c r="J2" s="23"/>
    </x:row>
    <x:row r="3" ht="24" hidden="0" customHeight="1">
      <x:c r="A3" s="118" t="s">
        <x:v>2</x:v>
      </x:c>
      <x:c r="B3" s="118" t="s">
        <x:v>206</x:v>
      </x:c>
      <x:c r="C3" s="118" t="s">
        <x:v>207</x:v>
      </x:c>
      <x:c r="D3" s="118" t="s">
        <x:v>208</x:v>
      </x:c>
      <x:c r="E3" s="118" t="s">
        <x:v>209</x:v>
      </x:c>
      <x:c r="F3" s="118" t="s">
        <x:v>210</x:v>
      </x:c>
      <x:c r="G3" s="118" t="s">
        <x:v>131</x:v>
      </x:c>
      <x:c r="H3" s="118" t="s">
        <x:v>116</x:v>
      </x:c>
      <x:c r="I3" s="118" t="s">
        <x:v>211</x:v>
      </x:c>
      <x:c r="J3" s="118" t="s">
        <x:v>212</x:v>
      </x:c>
    </x:row>
    <x:row r="4" ht="24" hidden="0" customHeight="1">
      <x:c r="A4" s="93" t="s">
        <x:v>213</x:v>
      </x:c>
      <x:c r="B4" s="93" t="n">
        <x:f aca="0">Input_Meci!C7</x:f>
        <x:v>-1</x:v>
      </x:c>
      <x:c r="C4" s="93"/>
      <x:c r="D4" s="93"/>
      <x:c r="E4" s="93" t="s">
        <x:v>18</x:v>
      </x:c>
      <x:c r="F4" s="93" t="s">
        <x:v>214</x:v>
      </x:c>
      <x:c r="G4" s="93"/>
      <x:c r="H4" s="93"/>
      <x:c r="I4" s="93" t="s">
        <x:v>215</x:v>
      </x:c>
      <x:c r="J4" s="93"/>
    </x:row>
    <x:row r="5" ht="24" hidden="0" customHeight="1">
      <x:c r="A5" s="93" t="s">
        <x:v>216</x:v>
      </x:c>
      <x:c r="B5" s="94" t="n">
        <x:f aca="0">IF(Model!$F$29="READY",INDEX(Handicap_Toate!B4:B12,MATCH($B$4,Handicap_Toate!A4:A12,0)),"")</x:f>
        <x:v>0.45768440008875827</x:v>
      </x:c>
      <x:c r="C5" s="94" t="n">
        <x:f aca="0">IF(Model!$F$29="READY",INDEX(Handicap_Toate!C4:C12,MATCH($B$4,Handicap_Toate!A4:A12,0)),"")</x:f>
        <x:v>0.24561621453674673</x:v>
      </x:c>
      <x:c r="D5" s="94" t="n">
        <x:f aca="0">IF(Model!$F$29="READY",INDEX(Handicap_Toate!D4:D12,MATCH($B$4,Handicap_Toate!A4:A12,0)),"")</x:f>
        <x:v>0.29668459152105703</x:v>
      </x:c>
      <x:c r="E5" s="93" t="s">
        <x:v>217</x:v>
      </x:c>
      <x:c r="F5" s="93" t="s">
        <x:v>218</x:v>
      </x:c>
      <x:c r="G5" s="93"/>
      <x:c r="H5" s="93"/>
      <x:c r="I5" s="93" t="s">
        <x:v>219</x:v>
      </x:c>
      <x:c r="J5" s="93"/>
    </x:row>
    <x:row r="6" ht="24" hidden="0" customHeight="1">
      <x:c r="A6" s="93" t="s">
        <x:v>220</x:v>
      </x:c>
      <x:c r="B6" s="95" t="n">
        <x:f aca="0">IF(AND(ISNUMBER(Input_Meci!C8),Input_Meci!C8&gt;1),Input_Meci!C8,"")</x:f>
        <x:v>2.2</x:v>
      </x:c>
      <x:c r="C6" s="95" t="n">
        <x:f aca="0">IF(AND(ISNUMBER(Input_Meci!C9),Input_Meci!C9&gt;1),Input_Meci!C9,"")</x:f>
        <x:v>3.6</x:v>
      </x:c>
      <x:c r="D6" s="95" t="n">
        <x:f aca="0">IF(AND(ISNUMBER(Input_Meci!C10),Input_Meci!C10&gt;1),Input_Meci!C10,"")</x:f>
        <x:v>2.8</x:v>
      </x:c>
      <x:c r="E6" s="93" t="s">
        <x:v>221</x:v>
      </x:c>
      <x:c r="F6" s="93" t="s">
        <x:v>222</x:v>
      </x:c>
      <x:c r="G6" s="93" t="s">
        <x:v>223</x:v>
      </x:c>
      <x:c r="H6" s="93"/>
      <x:c r="I6" s="93" t="s">
        <x:v>215</x:v>
      </x:c>
      <x:c r="J6" s="93"/>
    </x:row>
    <x:row r="7" ht="24" hidden="0" customHeight="1">
      <x:c r="A7" s="93" t="s">
        <x:v>224</x:v>
      </x:c>
      <x:c r="B7" s="94" t="n">
        <x:f aca="0">IF(AND(ISNUMBER(B5),ISNUMBER(B6)),B5*B6-1,"")</x:f>
        <x:v>0.006905680195268271</x:v>
      </x:c>
      <x:c r="C7" s="94" t="n">
        <x:f aca="0">IF(AND(ISNUMBER(C5),ISNUMBER(C6)),C5*C6-1,"")</x:f>
        <x:v>-0.11578162766771172</x:v>
      </x:c>
      <x:c r="D7" s="94" t="n">
        <x:f aca="0">IF(AND(ISNUMBER(D5),ISNUMBER(D6)),D5*D6-1,"")</x:f>
        <x:v>-0.16928314374104036</x:v>
      </x:c>
      <x:c r="E7" s="93" t="s">
        <x:v>221</x:v>
      </x:c>
      <x:c r="F7" s="93" t="s">
        <x:v>222</x:v>
      </x:c>
      <x:c r="G7" s="93" t="s">
        <x:v>225</x:v>
      </x:c>
      <x:c r="H7" s="93"/>
      <x:c r="I7" s="93" t="s">
        <x:v>226</x:v>
      </x:c>
      <x:c r="J7" s="93"/>
    </x:row>
    <x:row r="8" ht="24" hidden="0" customHeight="1">
      <x:c r="A8" s="93" t="s">
        <x:v>227</x:v>
      </x:c>
      <x:c r="B8" s="113" t="n">
        <x:f aca="0">IFERROR(INDEX(Selector_Linii_v2!$O$4:$O$12,MATCH(Input_Meci!$C$7,Selector_Linii_v2!$A$4:$A$12,0)),"")</x:f>
        <x:v>1</x:v>
      </x:c>
      <x:c r="C8" s="93" t="str">
        <x:f aca="0">""</x:f>
      </x:c>
      <x:c r="D8" s="93" t="str">
        <x:f aca="0">""</x:f>
      </x:c>
      <x:c r="E8" s="93" t="s">
        <x:v>228</x:v>
      </x:c>
      <x:c r="F8" s="93" t="s">
        <x:v>229</x:v>
      </x:c>
      <x:c r="G8" s="93"/>
      <x:c r="H8" s="93"/>
      <x:c r="I8" s="93" t="s">
        <x:v>230</x:v>
      </x:c>
      <x:c r="J8" s="93"/>
    </x:row>
    <x:row r="9" ht="24" hidden="0" customHeight="1">
      <x:c r="A9" s="93" t="s">
        <x:v>231</x:v>
      </x:c>
      <x:c r="B9" s="94" t="n">
        <x:f aca="0">IFERROR(INDEX(Selector_Linii_v2!$P$4:$P$12,MATCH(Input_Meci!$C$7,Selector_Linii_v2!$A$4:$A$12,0)),"")</x:f>
        <x:v>0.45768440008875827</x:v>
      </x:c>
      <x:c r="C9" s="93" t="str">
        <x:f>""</x:f>
      </x:c>
      <x:c r="D9" s="93" t="str">
        <x:f>""</x:f>
      </x:c>
      <x:c r="E9" s="93" t="s">
        <x:v>232</x:v>
      </x:c>
      <x:c r="F9" s="93" t="s">
        <x:v>229</x:v>
      </x:c>
      <x:c r="G9" s="93"/>
      <x:c r="H9" s="93"/>
      <x:c r="I9" s="93" t="s">
        <x:v>230</x:v>
      </x:c>
      <x:c r="J9" s="93"/>
    </x:row>
    <x:row r="10" ht="24" hidden="0" customHeight="1">
      <x:c r="A10" s="93" t="s">
        <x:v>233</x:v>
      </x:c>
      <x:c r="B10" s="94" t="n">
        <x:f aca="0">IFERROR(INDEX(Selector_Linii_v2!$Q$4:$Q$12,MATCH(Input_Meci!$C$7,Selector_Linii_v2!$A$4:$A$12,0)),"")</x:f>
        <x:v>0.45768440008875827</x:v>
      </x:c>
      <x:c r="C10" s="93" t="str">
        <x:f>""</x:f>
      </x:c>
      <x:c r="D10" s="93" t="str">
        <x:f>""</x:f>
      </x:c>
      <x:c r="E10" s="93" t="s">
        <x:v>234</x:v>
      </x:c>
      <x:c r="F10" s="93" t="s">
        <x:v>229</x:v>
      </x:c>
      <x:c r="G10" s="93"/>
      <x:c r="H10" s="93"/>
      <x:c r="I10" s="93" t="s">
        <x:v>230</x:v>
      </x:c>
      <x:c r="J10" s="93"/>
    </x:row>
    <x:row r="11" ht="24" hidden="0" customHeight="1">
      <x:c r="A11" s="93" t="s">
        <x:v>235</x:v>
      </x:c>
      <x:c r="B11" s="94" t="n">
        <x:f aca="0">IFERROR(INDEX(Selector_Linii_v2!$R$4:$R$12,MATCH(Input_Meci!$C$7,Selector_Linii_v2!$A$4:$A$12,0)),"")</x:f>
        <x:v>0.24561621453674673</x:v>
      </x:c>
      <x:c r="C11" s="93" t="str">
        <x:f>""</x:f>
      </x:c>
      <x:c r="D11" s="93" t="str">
        <x:f>""</x:f>
      </x:c>
      <x:c r="E11" s="93" t="s">
        <x:v>236</x:v>
      </x:c>
      <x:c r="F11" s="93" t="s">
        <x:v>237</x:v>
      </x:c>
      <x:c r="G11" s="93"/>
      <x:c r="H11" s="93"/>
      <x:c r="I11" s="93" t="s">
        <x:v>230</x:v>
      </x:c>
      <x:c r="J11" s="93"/>
    </x:row>
    <x:row r="12" ht="24" hidden="0" customHeight="1">
      <x:c r="A12" s="93" t="s">
        <x:v>238</x:v>
      </x:c>
      <x:c r="B12" s="94" t="n">
        <x:f aca="0">IFERROR(INDEX(Selector_Linii_v2!$N$4:$N$12,MATCH(Input_Meci!$C$7,Selector_Linii_v2!$A$4:$A$12,0)),"")</x:f>
        <x:v>0.41710580904653605</x:v>
      </x:c>
      <x:c r="C12" s="93" t="str">
        <x:f>""</x:f>
      </x:c>
      <x:c r="D12" s="93" t="str">
        <x:f>""</x:f>
      </x:c>
      <x:c r="E12" s="93" t="s">
        <x:v>239</x:v>
      </x:c>
      <x:c r="F12" s="93" t="s">
        <x:v>240</x:v>
      </x:c>
      <x:c r="G12" s="93"/>
      <x:c r="H12" s="93"/>
      <x:c r="I12" s="93" t="s">
        <x:v>230</x:v>
      </x:c>
      <x:c r="J12" s="93"/>
    </x:row>
    <x:row r="13" ht="40" hidden="0" customHeight="1">
      <x:c r="A13" s="96" t="s">
        <x:v>241</x:v>
      </x:c>
      <x:c r="B13" s="96" t="str">
        <x:f aca="0">IFERROR(INDEX(Selector_Linii_v2!$T$4:$T$12,MATCH(Input_Meci!$C$7,Selector_Linii_v2!$A$4:$A$12,0)),"")</x:f>
        <x:v>N/A</x:v>
      </x:c>
      <x:c r="C13" s="96" t="str">
        <x:f>""</x:f>
      </x:c>
      <x:c r="D13" s="96" t="str">
        <x:f>""</x:f>
      </x:c>
      <x:c r="E13" s="96" t="s">
        <x:v>242</x:v>
      </x:c>
      <x:c r="F13" s="96" t="s">
        <x:v>243</x:v>
      </x:c>
      <x:c r="G13" s="96" t="s">
        <x:v>244</x:v>
      </x:c>
      <x:c r="H13" s="96"/>
      <x:c r="I13" s="93" t="s">
        <x:v>230</x:v>
      </x:c>
      <x:c r="J13" s="93"/>
    </x:row>
    <x:row r="14" ht="40" hidden="0" customHeight="1">
      <x:c r="A14" s="93" t="s">
        <x:v>245</x:v>
      </x:c>
      <x:c r="B14" s="113" t="n">
        <x:f aca="0">Model!F22</x:f>
        <x:v>94</x:v>
      </x:c>
      <x:c r="C14" s="93" t="str">
        <x:f>""</x:f>
      </x:c>
      <x:c r="D14" s="93" t="str">
        <x:f aca="0">""</x:f>
      </x:c>
      <x:c r="E14" s="93" t="s">
        <x:v>246</x:v>
      </x:c>
      <x:c r="F14" s="94" t="s">
        <x:v>247</x:v>
      </x:c>
      <x:c r="G14" s="93" t="s">
        <x:v>248</x:v>
      </x:c>
      <x:c r="H14" s="93"/>
      <x:c r="I14" s="93" t="s">
        <x:v>218</x:v>
      </x:c>
      <x:c r="J14" s="93"/>
    </x:row>
    <x:row r="15" ht="40" hidden="0" customHeight="1">
      <x:c r="A15" s="93" t="s">
        <x:v>249</x:v>
      </x:c>
      <x:c r="B15" s="93" t="str">
        <x:f aca="0">Input_Meci!C46</x:f>
        <x:v>DA</x:v>
      </x:c>
      <x:c r="C15" s="93" t="str">
        <x:f>""</x:f>
      </x:c>
      <x:c r="D15" s="93" t="str">
        <x:f aca="0">""</x:f>
      </x:c>
      <x:c r="E15" s="93" t="s">
        <x:v>250</x:v>
      </x:c>
      <x:c r="F15" s="93" t="s">
        <x:v>250</x:v>
      </x:c>
      <x:c r="G15" s="93" t="s">
        <x:v>251</x:v>
      </x:c>
      <x:c r="H15" s="93"/>
      <x:c r="I15" s="93" t="s">
        <x:v>215</x:v>
      </x:c>
      <x:c r="J15" s="93"/>
    </x:row>
    <x:row r="16" ht="24" hidden="0" customHeight="1">
      <x:c r="A16" s="125" t="s">
        <x:v>252</x:v>
      </x:c>
      <x:c r="B16" s="126" t="n">
        <x:f aca="0">Risk_Classification!B36</x:f>
        <x:v>33.156595399718796</x:v>
      </x:c>
      <x:c r="C16" s="93" t="str">
        <x:f>""</x:f>
      </x:c>
      <x:c r="D16" s="93" t="str">
        <x:f aca="0">""</x:f>
      </x:c>
      <x:c r="E16" s="93" t="s">
        <x:v>246</x:v>
      </x:c>
      <x:c r="F16" s="93" t="s">
        <x:v>253</x:v>
      </x:c>
      <x:c r="G16" s="93"/>
      <x:c r="H16" s="93"/>
      <x:c r="I16" s="93" t="s">
        <x:v>254</x:v>
      </x:c>
      <x:c r="J16" s="93"/>
    </x:row>
    <x:row r="17" ht="24" hidden="0" customHeight="1">
      <x:c r="A17" s="127" t="s">
        <x:v>255</x:v>
      </x:c>
      <x:c r="B17" s="128" t="n">
        <x:f aca="0">Risk_Classification!B37</x:f>
        <x:v>2</x:v>
      </x:c>
      <x:c r="C17" s="93" t="str">
        <x:f>""</x:f>
      </x:c>
      <x:c r="D17" s="93" t="str">
        <x:f aca="0">""</x:f>
      </x:c>
      <x:c r="E17" s="93" t="s">
        <x:v>256</x:v>
      </x:c>
      <x:c r="F17" s="93" t="s">
        <x:v>253</x:v>
      </x:c>
      <x:c r="G17" s="93"/>
      <x:c r="H17" s="93"/>
      <x:c r="I17" s="93" t="s">
        <x:v>254</x:v>
      </x:c>
      <x:c r="J17" s="93"/>
    </x:row>
    <x:row r="18" ht="24" hidden="0" customHeight="1">
      <x:c r="A18" s="127" t="s">
        <x:v>257</x:v>
      </x:c>
      <x:c r="B18" s="128" t="n">
        <x:f aca="0">IFERROR(INDEX(Selector_Linii_v2!$Y$4:$Y$12,MATCH(Input_Meci!$C$7,Selector_Linii_v2!$A$4:$A$12,0)),"")</x:f>
        <x:v>3</x:v>
      </x:c>
      <x:c r="C18" s="93" t="str">
        <x:f>""</x:f>
      </x:c>
      <x:c r="D18" s="93" t="str">
        <x:f aca="0">""</x:f>
      </x:c>
      <x:c r="E18" s="93" t="s">
        <x:v>258</x:v>
      </x:c>
      <x:c r="F18" s="93" t="s">
        <x:v>259</x:v>
      </x:c>
      <x:c r="G18" s="93"/>
      <x:c r="H18" s="93"/>
      <x:c r="I18" s="93" t="s">
        <x:v>230</x:v>
      </x:c>
      <x:c r="J18" s="93"/>
    </x:row>
    <x:row r="19" ht="44" hidden="0" customHeight="1">
      <x:c r="A19" s="127" t="s">
        <x:v>260</x:v>
      </x:c>
      <x:c r="B19" s="128" t="n">
        <x:f aca="0">IFERROR(INDEX(Selector_Linii_v2!$Z$4:$Z$12,MATCH(Input_Meci!$C$7,Selector_Linii_v2!$A$4:$A$12,0)),"")</x:f>
        <x:v>3</x:v>
      </x:c>
      <x:c r="C19" s="93" t="str">
        <x:f>""</x:f>
      </x:c>
      <x:c r="D19" s="93" t="str">
        <x:f aca="0">""</x:f>
      </x:c>
      <x:c r="E19" s="93" t="s">
        <x:v>256</x:v>
      </x:c>
      <x:c r="F19" s="93" t="s">
        <x:v>261</x:v>
      </x:c>
      <x:c r="G19" s="93" t="s">
        <x:v>262</x:v>
      </x:c>
      <x:c r="H19" s="93"/>
      <x:c r="I19" s="93" t="s">
        <x:v>230</x:v>
      </x:c>
      <x:c r="J19" s="93"/>
    </x:row>
    <x:row r="20" ht="44" hidden="0" customHeight="1">
      <x:c r="A20" s="129" t="s">
        <x:v>263</x:v>
      </x:c>
      <x:c r="B20" s="130" t="str">
        <x:f aca="0">IFERROR(INDEX(Selector_Linii_v2!$AA$4:$AA$12,MATCH(Input_Meci!$C$7,Selector_Linii_v2!$A$4:$A$12,0)),"")</x:f>
        <x:v>MODERAT</x:v>
      </x:c>
      <x:c r="C20" s="93" t="str">
        <x:f>""</x:f>
      </x:c>
      <x:c r="D20" s="93" t="str">
        <x:f aca="0">""</x:f>
      </x:c>
      <x:c r="E20" s="93" t="s">
        <x:v>264</x:v>
      </x:c>
      <x:c r="F20" s="93" t="s">
        <x:v>261</x:v>
      </x:c>
      <x:c r="G20" s="93" t="s">
        <x:v>265</x:v>
      </x:c>
      <x:c r="H20" s="93"/>
      <x:c r="I20" s="93" t="s">
        <x:v>230</x:v>
      </x:c>
      <x:c r="J20" s="93"/>
    </x:row>
    <x:row r="21" ht="24" hidden="0" customHeight="1">
      <x:c r="A21" s="96"/>
      <x:c r="B21" s="96"/>
      <x:c r="C21" s="96"/>
      <x:c r="D21" s="96" t="n">
        <x:f aca="0">$C$5</x:f>
        <x:v>0.24561621453674673</x:v>
      </x:c>
      <x:c r="E21" s="96"/>
      <x:c r="F21" s="96"/>
      <x:c r="G21" s="96"/>
      <x:c r="H21" s="96"/>
      <x:c r="I21" s="96"/>
      <x:c r="J21" s="96"/>
    </x:row>
    <x:row r="22" ht="24" hidden="0" customHeight="1">
      <x:c r="A22" s="118" t="s">
        <x:v>266</x:v>
      </x:c>
      <x:c r="B22" s="118" t="s">
        <x:v>267</x:v>
      </x:c>
      <x:c r="C22" s="118" t="s">
        <x:v>268</x:v>
      </x:c>
      <x:c r="D22" s="118" t="str">
        <x:f aca="0"/>
        <x:v>Scor</x:v>
      </x:c>
      <x:c r="E22" s="118" t="s">
        <x:v>269</x:v>
      </x:c>
      <x:c r="F22" s="118" t="s">
        <x:v>212</x:v>
      </x:c>
      <x:c r="G22" s="118" t="s">
        <x:v>270</x:v>
      </x:c>
      <x:c r="H22" s="118" t="s">
        <x:v>116</x:v>
      </x:c>
      <x:c r="I22" s="118" t="s">
        <x:v>271</x:v>
      </x:c>
      <x:c r="J22" s="118" t="s">
        <x:v>272</x:v>
      </x:c>
    </x:row>
    <x:row r="23" ht="24" hidden="0" customHeight="1">
      <x:c r="A23" s="93" t="str">
        <x:v>Diferență reală de nivel</x:v>
      </x:c>
      <x:c r="B23" s="111" t="s">
        <x:v>273</x:v>
      </x:c>
      <x:c r="C23" s="106" t="n">
        <x:v>0.18</x:v>
      </x:c>
      <x:c r="D23" s="95" t="n">
        <x:f aca="0">C23*IF(B23="Foarte favorabil",2,IF(B23="Favorabil",1,IF(B23="Nefavorabil",-1,IF(B23="Foarte nefavorabil",-2,0))))</x:f>
        <x:v>0</x:v>
      </x:c>
      <x:c r="E23" s="93"/>
      <x:c r="F23" s="93"/>
      <x:c r="G23" s="93"/>
      <x:c r="H23" s="93"/>
      <x:c r="I23" s="93"/>
      <x:c r="J23" s="93"/>
    </x:row>
    <x:row r="24" ht="24" hidden="0" customHeight="1">
      <x:c r="A24" s="107" t="str">
        <x:v>Atac favorit</x:v>
      </x:c>
      <x:c r="B24" s="112" t="s">
        <x:v>273</x:v>
      </x:c>
      <x:c r="C24" s="108" t="n">
        <x:v>0.16</x:v>
      </x:c>
      <x:c r="D24" s="95" t="n">
        <x:f aca="0">C24*IF(B24="Foarte favorabil",2,IF(B24="Favorabil",1,IF(B24="Nefavorabil",-1,IF(B24="Foarte nefavorabil",-2,0))))</x:f>
        <x:v>0</x:v>
      </x:c>
      <x:c r="E24" s="93"/>
      <x:c r="F24" s="93"/>
      <x:c r="G24" s="93"/>
      <x:c r="H24" s="93"/>
      <x:c r="I24" s="93"/>
      <x:c r="J24" s="93"/>
    </x:row>
    <x:row r="25" ht="24" hidden="0" customHeight="1">
      <x:c r="A25" s="93" t="str">
        <x:v>Apărare favorit</x:v>
      </x:c>
      <x:c r="B25" s="111" t="s">
        <x:v>273</x:v>
      </x:c>
      <x:c r="C25" s="106" t="n">
        <x:v>0.12</x:v>
      </x:c>
      <x:c r="D25" s="95" t="n">
        <x:f aca="0">C25*IF(B25="Foarte favorabil",2,IF(B25="Favorabil",1,IF(B25="Nefavorabil",-1,IF(B25="Foarte nefavorabil",-2,0))))</x:f>
        <x:v>0</x:v>
      </x:c>
      <x:c r="E25" s="93"/>
      <x:c r="F25" s="93"/>
      <x:c r="G25" s="93"/>
      <x:c r="H25" s="93"/>
      <x:c r="I25" s="93"/>
      <x:c r="J25" s="93"/>
    </x:row>
    <x:row r="26" ht="24" hidden="0" customHeight="1">
      <x:c r="A26" s="93" t="str">
        <x:v>Rezistență outsider</x:v>
      </x:c>
      <x:c r="B26" s="111" t="s">
        <x:v>273</x:v>
      </x:c>
      <x:c r="C26" s="106" t="n">
        <x:v>0.12</x:v>
      </x:c>
      <x:c r="D26" s="95" t="n">
        <x:f aca="0">C26*IF(B26="Foarte favorabil",2,IF(B26="Favorabil",1,IF(B26="Nefavorabil",-1,IF(B26="Foarte nefavorabil",-2,0))))</x:f>
        <x:v>0</x:v>
      </x:c>
      <x:c r="E26" s="93"/>
      <x:c r="F26" s="93"/>
      <x:c r="G26" s="93"/>
      <x:c r="H26" s="93"/>
      <x:c r="I26" s="93"/>
      <x:c r="J26" s="93"/>
    </x:row>
    <x:row r="27" ht="24" hidden="0" customHeight="1">
      <x:c r="A27" s="93" t="str">
        <x:v>Motivație / game state</x:v>
      </x:c>
      <x:c r="B27" s="111" t="s">
        <x:v>273</x:v>
      </x:c>
      <x:c r="C27" s="106" t="n">
        <x:v>0.12</x:v>
      </x:c>
      <x:c r="D27" s="93" t="n">
        <x:f aca="0">C27*IF(B27="Foarte favorabil",2,IF(B27="Favorabil",1,IF(B27="Nefavorabil",-1,IF(B27="Foarte nefavorabil",-2,0))))</x:f>
        <x:v>0</x:v>
      </x:c>
      <x:c r="E27" s="93"/>
      <x:c r="F27" s="93"/>
      <x:c r="G27" s="93"/>
      <x:c r="H27" s="93"/>
      <x:c r="I27" s="93"/>
      <x:c r="J27" s="93"/>
    </x:row>
    <x:row r="28" ht="24" hidden="0" customHeight="1">
      <x:c r="A28" s="93" t="str">
        <x:v>Lot / rotație</x:v>
      </x:c>
      <x:c r="B28" s="111" t="s">
        <x:v>273</x:v>
      </x:c>
      <x:c r="C28" s="106" t="n">
        <x:v>0.1</x:v>
      </x:c>
      <x:c r="D28" s="93" t="n">
        <x:f aca="0">C28*IF(B28="Foarte favorabil",2,IF(B28="Favorabil",1,IF(B28="Nefavorabil",-1,IF(B28="Foarte nefavorabil",-2,0))))</x:f>
        <x:v>0</x:v>
      </x:c>
      <x:c r="E28" s="93"/>
      <x:c r="F28" s="93"/>
      <x:c r="G28" s="93"/>
      <x:c r="H28" s="93"/>
      <x:c r="I28" s="93"/>
      <x:c r="J28" s="93"/>
    </x:row>
    <x:row r="29" ht="24" hidden="0" customHeight="1">
      <x:c r="A29" s="93" t="str">
        <x:v>Program</x:v>
      </x:c>
      <x:c r="B29" s="111" t="s">
        <x:v>273</x:v>
      </x:c>
      <x:c r="C29" s="106" t="n">
        <x:v>0.07</x:v>
      </x:c>
      <x:c r="D29" s="95" t="n">
        <x:f aca="0">C29*IF(B29="Foarte favorabil",2,IF(B29="Favorabil",1,IF(B29="Nefavorabil",-1,IF(B29="Foarte nefavorabil",-2,0))))</x:f>
        <x:v>0</x:v>
      </x:c>
      <x:c r="E29" s="93"/>
      <x:c r="F29" s="93"/>
      <x:c r="G29" s="93"/>
      <x:c r="H29" s="93"/>
      <x:c r="I29" s="93"/>
      <x:c r="J29" s="93"/>
    </x:row>
    <x:row r="30" ht="24" hidden="0" customHeight="1">
      <x:c r="A30" s="93" t="str">
        <x:v>Teren / deplasare</x:v>
      </x:c>
      <x:c r="B30" s="111" t="s">
        <x:v>273</x:v>
      </x:c>
      <x:c r="C30" s="106" t="n">
        <x:v>0.06</x:v>
      </x:c>
      <x:c r="D30" s="95" t="n">
        <x:f aca="0">C30*IF(B30="Foarte favorabil",2,IF(B30="Favorabil",1,IF(B30="Nefavorabil",-1,IF(B30="Foarte nefavorabil",-2,0))))</x:f>
        <x:v>0</x:v>
      </x:c>
      <x:c r="E30" s="93"/>
      <x:c r="F30" s="93"/>
      <x:c r="G30" s="93"/>
      <x:c r="H30" s="93"/>
      <x:c r="I30" s="93"/>
      <x:c r="J30" s="93"/>
    </x:row>
    <x:row r="31" ht="24" hidden="0" customHeight="1">
      <x:c r="A31" s="93" t="str">
        <x:v>Piață / cote</x:v>
      </x:c>
      <x:c r="B31" s="111" t="s">
        <x:v>273</x:v>
      </x:c>
      <x:c r="C31" s="106" t="n">
        <x:v>0</x:v>
      </x:c>
      <x:c r="D31" s="95" t="n">
        <x:f aca="0">C31*IF(B31="Foarte favorabil",2,IF(B31="Favorabil",1,IF(B31="Nefavorabil",-1,IF(B31="Foarte nefavorabil",-2,0))))</x:f>
        <x:v>0</x:v>
      </x:c>
      <x:c r="E31" s="93"/>
      <x:c r="F31" s="93"/>
      <x:c r="G31" s="93"/>
      <x:c r="H31" s="93"/>
      <x:c r="I31" s="93"/>
      <x:c r="J31" s="93"/>
    </x:row>
    <x:row r="32" ht="24" hidden="0" customHeight="1">
      <x:c r="A32" s="93" t="s">
        <x:v>274</x:v>
      </x:c>
      <x:c r="B32" s="93"/>
      <x:c r="C32" s="93"/>
      <x:c r="D32" s="95" t="n">
        <x:f aca="0">SUM(D23:D31)</x:f>
        <x:v>0</x:v>
      </x:c>
      <x:c r="E32" s="93"/>
      <x:c r="F32" s="93"/>
      <x:c r="G32" s="93"/>
      <x:c r="H32" s="93"/>
      <x:c r="I32" s="93"/>
      <x:c r="J32" s="93"/>
    </x:row>
    <x:row r="33" ht="24" hidden="0" customHeight="1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</x:row>
    <x:row r="34" ht="40" hidden="0" customHeight="1">
      <x:c r="A34" s="93" t="s">
        <x:v>275</x:v>
      </x:c>
      <x:c r="B34" s="93" t="s">
        <x:v>276</x:v>
      </x:c>
      <x:c r="C34" s="93"/>
      <x:c r="D34" s="93"/>
      <x:c r="E34" s="93"/>
      <x:c r="F34" s="93"/>
      <x:c r="G34" s="93"/>
      <x:c r="H34" s="93"/>
      <x:c r="I34" s="93"/>
      <x:c r="J34" s="93"/>
    </x:row>
    <x:row r="35" ht="40" hidden="0" customHeight="1">
      <x:c r="A35" s="93" t="s">
        <x:v>277</x:v>
      </x:c>
      <x:c r="B35" s="93" t="s">
        <x:v>278</x:v>
      </x:c>
      <x:c r="C35" s="93"/>
      <x:c r="D35" s="93"/>
      <x:c r="E35" s="93"/>
      <x:c r="F35" s="93"/>
      <x:c r="G35" s="93"/>
      <x:c r="H35" s="93"/>
      <x:c r="I35" s="93"/>
      <x:c r="J35" s="93"/>
    </x:row>
  </x:sheetData>
  <x:mergeCells>
    <x:mergeCell ref="A1:J1"/>
    <x:mergeCell ref="B34:J34"/>
    <x:mergeCell ref="B35:J35"/>
  </x:mergeCells>
  <x:dataValidations count="4">
    <x:dataValidation type="list" errorStyle="stop" operator="between" allowBlank="0" showDropDown="0" showInputMessage="0" showErrorMessage="0" sqref="B14:B22">
      <x:formula1>"Foarte favorabil,Favorabil,Neutru,Nefavorabil,Foarte nefavorabil"</x:formula1>
      <x:formula2>0</x:formula2>
    </x:dataValidation>
    <x:dataValidation type="list" errorStyle="stop" allowBlank="0" showDropDown="0" showInputMessage="0" showErrorMessage="1" error="Alege un răspuns din listă." sqref="B23:B31">
      <x:formula1>"Foarte favorabil,Favorabil,Neutru,Nefavorabil,Foarte nefavorabil"</x:formula1>
    </x:dataValidation>
    <x:dataValidation type="none" sqref="A1:J35"/>
    <x:dataValidation type="none" showDropDown="1" sqref="B14:B30"/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4.25"/>
  <x:cols>
    <x:col min="1" max="1" width="34" hidden="0" customWidth="1"/>
    <x:col min="2" max="2" width="18" hidden="0" customWidth="1"/>
    <x:col min="3" max="3" width="34" hidden="0" customWidth="1"/>
    <x:col min="4" max="4" width="32" hidden="0" customWidth="1"/>
  </x:cols>
  <x:sheetData>
    <x:row r="1" ht="28" hidden="0" customHeight="1">
      <x:c r="A1" s="1" t="s">
        <x:v>279</x:v>
      </x:c>
      <x:c r="B1" s="1"/>
      <x:c r="C1" s="1"/>
      <x:c r="D1" s="1"/>
    </x:row>
    <x:row r="3" ht="46" hidden="0" customHeight="1">
      <x:c r="A3" s="17" t="s">
        <x:v>280</x:v>
      </x:c>
      <x:c r="B3" s="17" t="s">
        <x:v>130</x:v>
      </x:c>
      <x:c r="C3" s="17" t="s">
        <x:v>131</x:v>
      </x:c>
      <x:c r="D3" s="17" t="s">
        <x:v>281</x:v>
      </x:c>
    </x:row>
    <x:row r="4" ht="46" hidden="0" customHeight="1">
      <x:c r="A4" s="23" t="s">
        <x:v>282</x:v>
      </x:c>
      <x:c r="B4" s="41" t="n">
        <x:v>0.95</x:v>
      </x:c>
      <x:c r="C4" s="23" t="s">
        <x:v>283</x:v>
      </x:c>
      <x:c r="D4" s="23" t="s">
        <x:v>284</x:v>
      </x:c>
    </x:row>
    <x:row r="5" ht="46" hidden="0" customHeight="1">
      <x:c r="A5" s="23" t="s">
        <x:v>285</x:v>
      </x:c>
      <x:c r="B5" s="41" t="n">
        <x:v>0.03</x:v>
      </x:c>
      <x:c r="C5" s="23" t="s">
        <x:v>286</x:v>
      </x:c>
      <x:c r="D5" s="23" t="s">
        <x:v>287</x:v>
      </x:c>
    </x:row>
    <x:row r="6" ht="46" hidden="0" customHeight="1">
      <x:c r="A6" s="23" t="s">
        <x:v>288</x:v>
      </x:c>
      <x:c r="B6" s="42" t="n">
        <x:v>85</x:v>
      </x:c>
      <x:c r="C6" s="23" t="s">
        <x:v>289</x:v>
      </x:c>
      <x:c r="D6" s="23" t="s">
        <x:v>290</x:v>
      </x:c>
    </x:row>
    <x:row r="7" ht="46" hidden="0" customHeight="1">
      <x:c r="A7" s="23" t="s">
        <x:v>291</x:v>
      </x:c>
      <x:c r="B7" s="41" t="n">
        <x:v>0.04</x:v>
      </x:c>
      <x:c r="C7" s="23" t="s">
        <x:v>292</x:v>
      </x:c>
      <x:c r="D7" s="23" t="s">
        <x:v>293</x:v>
      </x:c>
    </x:row>
    <x:row r="8" ht="46" hidden="0" customHeight="1">
      <x:c r="A8" s="23" t="s">
        <x:v>294</x:v>
      </x:c>
      <x:c r="B8" s="41" t="n">
        <x:v>0.02</x:v>
      </x:c>
      <x:c r="C8" s="23" t="s">
        <x:v>295</x:v>
      </x:c>
      <x:c r="D8" s="23" t="s">
        <x:v>284</x:v>
      </x:c>
    </x:row>
    <x:row r="9" ht="46" hidden="0" customHeight="1">
      <x:c r="A9" s="23" t="s">
        <x:v>296</x:v>
      </x:c>
      <x:c r="B9" s="41" t="n">
        <x:v>0.02</x:v>
      </x:c>
      <x:c r="C9" s="23" t="s">
        <x:v>297</x:v>
      </x:c>
      <x:c r="D9" s="23" t="s">
        <x:v>298</x:v>
      </x:c>
    </x:row>
    <x:row r="10" ht="46" hidden="0" customHeight="1">
      <x:c r="A10" s="23" t="s">
        <x:v>299</x:v>
      </x:c>
      <x:c r="B10" s="41" t="n">
        <x:v>0.04</x:v>
      </x:c>
      <x:c r="C10" s="23" t="s">
        <x:v>297</x:v>
      </x:c>
      <x:c r="D10" s="23" t="s">
        <x:v>298</x:v>
      </x:c>
    </x:row>
    <x:row r="11" ht="46" hidden="0" customHeight="1">
      <x:c r="A11" s="23" t="s">
        <x:v>300</x:v>
      </x:c>
      <x:c r="B11" s="41" t="n">
        <x:v>0.06</x:v>
      </x:c>
      <x:c r="C11" s="23" t="s">
        <x:v>301</x:v>
      </x:c>
      <x:c r="D11" s="23" t="s">
        <x:v>298</x:v>
      </x:c>
    </x:row>
    <x:row r="12" ht="46" hidden="0" customHeight="1">
      <x:c r="A12" s="23" t="s">
        <x:v>302</x:v>
      </x:c>
      <x:c r="B12" s="42" t="n">
        <x:v>5</x:v>
      </x:c>
      <x:c r="C12" s="23" t="s">
        <x:v>303</x:v>
      </x:c>
      <x:c r="D12" s="23" t="s">
        <x:v>168</x:v>
      </x:c>
    </x:row>
    <x:row r="13" ht="46" hidden="0" customHeight="1">
      <x:c r="A13" s="23" t="s">
        <x:v>304</x:v>
      </x:c>
      <x:c r="B13" s="41" t="n">
        <x:v>0.03</x:v>
      </x:c>
      <x:c r="C13" s="23" t="s">
        <x:v>292</x:v>
      </x:c>
      <x:c r="D13" s="23" t="s">
        <x:v>293</x:v>
      </x:c>
    </x:row>
    <x:row r="14" ht="46" hidden="0" customHeight="1">
      <x:c r="A14" s="23" t="s">
        <x:v>305</x:v>
      </x:c>
      <x:c r="B14" s="42" t="n">
        <x:v>10</x:v>
      </x:c>
      <x:c r="C14" s="23" t="s">
        <x:v>306</x:v>
      </x:c>
      <x:c r="D14" s="23" t="s">
        <x:v>307</x:v>
      </x:c>
    </x:row>
    <x:row r="15" ht="46" hidden="0" customHeight="1">
      <x:c r="A15" s="23" t="s">
        <x:v>308</x:v>
      </x:c>
      <x:c r="B15" s="42" t="n">
        <x:v>5</x:v>
      </x:c>
      <x:c r="C15" s="23" t="s">
        <x:v>309</x:v>
      </x:c>
      <x:c r="D15" s="23" t="s">
        <x:v>310</x:v>
      </x:c>
    </x:row>
    <x:row r="16" ht="46" hidden="0" customHeight="1">
      <x:c r="A16" s="23" t="s">
        <x:v>311</x:v>
      </x:c>
      <x:c r="B16" s="43" t="s">
        <x:v>107</x:v>
      </x:c>
      <x:c r="C16" s="23" t="s">
        <x:v>312</x:v>
      </x:c>
      <x:c r="D16" s="23" t="s">
        <x:v>313</x:v>
      </x:c>
    </x:row>
    <x:row r="17" ht="46" hidden="0" customHeight="1">
      <x:c r="A17" s="23" t="s">
        <x:v>314</x:v>
      </x:c>
      <x:c r="B17" s="43" t="s">
        <x:v>102</x:v>
      </x:c>
      <x:c r="C17" s="23" t="s">
        <x:v>315</x:v>
      </x:c>
      <x:c r="D17" s="23" t="s">
        <x:v>316</x:v>
      </x:c>
    </x:row>
    <x:row r="18" ht="46" hidden="0" customHeight="1">
      <x:c r="A18" s="23" t="s">
        <x:v>317</x:v>
      </x:c>
      <x:c r="B18" s="41" t="n">
        <x:v>0.04</x:v>
      </x:c>
      <x:c r="C18" s="23" t="s">
        <x:v>318</x:v>
      </x:c>
      <x:c r="D18" s="23" t="s">
        <x:v>319</x:v>
      </x:c>
    </x:row>
    <x:row r="19" ht="46" hidden="0" customHeight="1">
      <x:c r="A19" s="23" t="s">
        <x:v>320</x:v>
      </x:c>
      <x:c r="B19" s="44" t="n">
        <x:v>0.06</x:v>
      </x:c>
      <x:c r="C19" s="23" t="s">
        <x:v>321</x:v>
      </x:c>
      <x:c r="D19" s="23" t="s">
        <x:v>319</x:v>
      </x:c>
    </x:row>
    <x:row r="20" ht="46" hidden="0" customHeight="1">
      <x:c r="A20" s="23" t="s">
        <x:v>322</x:v>
      </x:c>
      <x:c r="B20" s="38" t="n">
        <x:v>1</x:v>
      </x:c>
      <x:c r="C20" s="23" t="s">
        <x:v>323</x:v>
      </x:c>
      <x:c r="D20" s="23" t="s">
        <x:v>324</x:v>
      </x:c>
    </x:row>
    <x:row r="21" ht="46" hidden="0" customHeight="1">
      <x:c r="A21" s="23" t="s">
        <x:v>325</x:v>
      </x:c>
      <x:c r="B21" s="45" t="s">
        <x:v>326</x:v>
      </x:c>
      <x:c r="C21" s="23" t="s">
        <x:v>327</x:v>
      </x:c>
      <x:c r="D21" s="23" t="s">
        <x:v>170</x:v>
      </x:c>
    </x:row>
    <x:row r="22" ht="46" hidden="0" customHeight="1">
      <x:c r="A22" s="23" t="s">
        <x:v>328</x:v>
      </x:c>
      <x:c r="B22" s="44" t="n">
        <x:v>0.2</x:v>
      </x:c>
      <x:c r="C22" s="23" t="s">
        <x:v>329</x:v>
      </x:c>
      <x:c r="D22" s="23" t="s">
        <x:v>330</x:v>
      </x:c>
    </x:row>
    <x:row r="23" ht="46" hidden="0" customHeight="1">
      <x:c r="A23" s="23" t="s">
        <x:v>331</x:v>
      </x:c>
      <x:c r="B23" s="44" t="n">
        <x:v>0.27</x:v>
      </x:c>
      <x:c r="C23" s="23" t="s">
        <x:v>332</x:v>
      </x:c>
      <x:c r="D23" s="23" t="s">
        <x:v>330</x:v>
      </x:c>
    </x:row>
    <x:row r="24" ht="46" hidden="0" customHeight="1">
      <x:c r="A24" s="23" t="s">
        <x:v>333</x:v>
      </x:c>
      <x:c r="B24" s="45" t="s">
        <x:v>242</x:v>
      </x:c>
      <x:c r="C24" s="23" t="s">
        <x:v>334</x:v>
      </x:c>
      <x:c r="D24" s="23" t="s">
        <x:v>335</x:v>
      </x:c>
    </x:row>
    <x:row r="25" ht="46" hidden="0" customHeight="1">
      <x:c r="A25" s="23" t="s">
        <x:v>336</x:v>
      </x:c>
      <x:c r="B25" s="45" t="s">
        <x:v>337</x:v>
      </x:c>
      <x:c r="C25" s="23" t="s">
        <x:v>338</x:v>
      </x:c>
      <x:c r="D25" s="23" t="s">
        <x:v>339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4.25"/>
  <x:cols>
    <x:col min="1" max="1" width="11" hidden="0" customWidth="1"/>
    <x:col min="2" max="4" width="9" hidden="0" customWidth="1"/>
    <x:col min="5" max="7" width="10" hidden="0" customWidth="1"/>
    <x:col min="8" max="10" width="11" hidden="0" customWidth="1"/>
    <x:col min="11" max="11" width="12" hidden="0" customWidth="1"/>
    <x:col min="12" max="14" width="11" hidden="0" customWidth="1"/>
    <x:col min="15" max="21" width="13" hidden="0" customWidth="1"/>
    <x:col min="22" max="22" width="30" hidden="0" customWidth="1"/>
    <x:col min="23" max="27" width="14" hidden="0" customWidth="1"/>
    <x:col min="28" max="28" width="25" hidden="0" customWidth="1"/>
    <x:col min="14" max="14" width="16" hidden="0" customWidth="1"/>
  </x:cols>
  <x:sheetData>
    <x:row r="1" ht="28" hidden="0" customHeight="1">
      <x:c r="A1" s="46" t="s">
        <x:v>340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</x:row>
    <x:row r="3" ht="42" hidden="0" customHeight="1">
      <x:c r="A3" s="17" t="s">
        <x:v>213</x:v>
      </x:c>
      <x:c r="B3" s="17" t="s">
        <x:v>177</x:v>
      </x:c>
      <x:c r="C3" s="17" t="s">
        <x:v>178</x:v>
      </x:c>
      <x:c r="D3" s="17" t="s">
        <x:v>179</x:v>
      </x:c>
      <x:c r="E3" s="17" t="s">
        <x:v>341</x:v>
      </x:c>
      <x:c r="F3" s="17" t="s">
        <x:v>342</x:v>
      </x:c>
      <x:c r="G3" s="17" t="s">
        <x:v>343</x:v>
      </x:c>
      <x:c r="H3" s="17" t="s">
        <x:v>344</x:v>
      </x:c>
      <x:c r="I3" s="17" t="s">
        <x:v>345</x:v>
      </x:c>
      <x:c r="J3" s="17" t="s">
        <x:v>346</x:v>
      </x:c>
      <x:c r="K3" s="17" t="s">
        <x:v>347</x:v>
      </x:c>
      <x:c r="L3" s="17" t="s">
        <x:v>348</x:v>
      </x:c>
      <x:c r="M3" s="17" t="s">
        <x:v>349</x:v>
      </x:c>
      <x:c r="N3" s="17" t="str">
        <x:v>Concentration 234</x:v>
      </x:c>
      <x:c r="O3" s="17" t="s">
        <x:v>227</x:v>
      </x:c>
      <x:c r="P3" s="17" t="s">
        <x:v>231</x:v>
      </x:c>
      <x:c r="Q3" s="17" t="s">
        <x:v>233</x:v>
      </x:c>
      <x:c r="R3" s="17" t="s">
        <x:v>350</x:v>
      </x:c>
      <x:c r="S3" s="17" t="s">
        <x:v>351</x:v>
      </x:c>
      <x:c r="T3" s="17" t="s">
        <x:v>241</x:v>
      </x:c>
      <x:c r="U3" s="17" t="s">
        <x:v>352</x:v>
      </x:c>
      <x:c r="V3" s="17" t="s">
        <x:v>116</x:v>
      </x:c>
      <x:c r="W3" s="17" t="s">
        <x:v>353</x:v>
      </x:c>
      <x:c r="X3" s="17" t="s">
        <x:v>354</x:v>
      </x:c>
      <x:c r="Y3" s="17" t="s">
        <x:v>257</x:v>
      </x:c>
      <x:c r="Z3" s="17" t="s">
        <x:v>260</x:v>
      </x:c>
      <x:c r="AA3" s="17" t="s">
        <x:v>355</x:v>
      </x:c>
      <x:c r="AB3" s="17" t="s">
        <x:v>63</x:v>
      </x:c>
    </x:row>
    <x:row r="4" ht="44" hidden="0" customHeight="1">
      <x:c r="A4" s="23" t="n">
        <x:v>-4</x:v>
      </x:c>
      <x:c r="B4" s="24" t="n">
        <x:f aca="0">IF(Model!$F$29="READY",INDEX(Handicap_Toate!B$4:B$12,MATCH(A4,Handicap_Toate!A$4:A$12,0)),"")</x:f>
        <x:v>0.04057859104222257</x:v>
      </x:c>
      <x:c r="C4" s="24" t="n">
        <x:f aca="0">IF(Model!$F$29="READY",INDEX(Handicap_Toate!C$4:C$12,MATCH(A4,Handicap_Toate!A$4:A$12,0)),"")</x:f>
        <x:v>0.06752725018255235</x:v>
      </x:c>
      <x:c r="D4" s="24" t="n">
        <x:f aca="0">IF(Model!$F$29="READY",INDEX(Handicap_Toate!D$4:D$12,MATCH(A4,Handicap_Toate!A$4:A$12,0)),"")</x:f>
        <x:v>0.8918793649217874</x:v>
      </x:c>
      <x:c r="E4" s="25" t="str">
        <x:f aca="0">IF(AND(A4=Input_Meci!$C$7,ISNUMBER(Input_Meci!$C$8),Input_Meci!$C$8&gt;1),Input_Meci!$C$8,"")</x:f>
      </x:c>
      <x:c r="F4" s="25" t="str">
        <x:f aca="0">IF(AND(A4=Input_Meci!$C$7,ISNUMBER(Input_Meci!$C$9),Input_Meci!$C$9&gt;1),Input_Meci!$C$9,"")</x:f>
      </x:c>
      <x:c r="G4" s="25" t="str">
        <x:f aca="0">IF(AND(A4=Input_Meci!$C$7,ISNUMBER(Input_Meci!$C$10),Input_Meci!$C$10&gt;1),Input_Meci!$C$10,"")</x:f>
      </x:c>
      <x:c r="H4" s="26" t="str">
        <x:f aca="0">IF(AND(ISNUMBER(E4),E4&gt;1,ISNUMBER(B4)),B4*E4-1,"")</x:f>
      </x:c>
      <x:c r="I4" s="26" t="str">
        <x:f aca="0">IF(AND(ISNUMBER(F4),F4&gt;1,ISNUMBER(C4)),C4*F4-1,"")</x:f>
      </x:c>
      <x:c r="J4" s="26" t="str">
        <x:f aca="0">IF(AND(ISNUMBER(G4),G4&gt;1,ISNUMBER(D4)),D4*G4-1,"")</x:f>
      </x:c>
      <x:c r="K4" s="47" t="n">
        <x:f aca="0">IF(Model!$F$29="READY",IF(A4=0,MAX(INDEX(Handicap_Toate!$C$4:$C$12,MATCH(-2,Handicap_Toate!$A$4:$A$12,0)),INDEX(Handicap_Toate!$C$4:$C$12,MATCH(2,Handicap_Toate!$A$4:$A$12,0))),INDEX(Handicap_Toate!$C$4:$C$12,MATCH(IF(A4&lt;0,-2,2),Handicap_Toate!$A$4:$A$12,0))),"")</x:f>
        <x:v>0.2137019393617132</x:v>
      </x:c>
      <x:c r="L4" s="47" t="n">
        <x:f aca="0">IF(Model!$F$29="READY",IF(A4=0,MAX(INDEX(Handicap_Toate!$C$4:$C$12,MATCH(-3,Handicap_Toate!$A$4:$A$12,0)),INDEX(Handicap_Toate!$C$4:$C$12,MATCH(3,Handicap_Toate!$A$4:$A$12,0))),INDEX(Handicap_Toate!$C$4:$C$12,MATCH(IF(A4&lt;0,-3,3),Handicap_Toate!$A$4:$A$12,0))),"")</x:f>
        <x:v>0.13587661950227048</x:v>
      </x:c>
      <x:c r="M4" s="47" t="n">
        <x:f aca="0">IF(Model!$F$29="READY",IF(A4=0,MAX(INDEX(Handicap_Toate!$C$4:$C$12,MATCH(-4,Handicap_Toate!$A$4:$A$12,0)),INDEX(Handicap_Toate!$C$4:$C$12,MATCH(4,Handicap_Toate!$A$4:$A$12,0))),INDEX(Handicap_Toate!$C$4:$C$12,MATCH(IF(A4&lt;0,-4,4),Handicap_Toate!$A$4:$A$12,0))),"")</x:f>
        <x:v>0.06752725018255235</x:v>
      </x:c>
      <x:c r="N4" s="47" t="n">
        <x:f aca="0">IF(COUNT(K4:M4)=3,SUM(K4:M4),"")</x:f>
        <x:v>0.41710580904653605</x:v>
      </x:c>
      <x:c r="O4" s="131" t="str">
        <x:f aca="0">IF(COUNT(B4:D4)&lt;3,"",IF(MAX(B4:D4)=B4,"1",IF(MAX(B4:D4)=C4,"X","2")))</x:f>
        <x:v>2</x:v>
      </x:c>
      <x:c r="P4" s="24" t="n">
        <x:f aca="0">IF(COUNT(B4:D4)=3,MAX(B4:D4),"")</x:f>
        <x:v>0.8918793649217874</x:v>
      </x:c>
      <x:c r="Q4" s="24" t="str">
        <x:f aca="0">IF(OR(T4="FAIL",T4="MISSING"),"",P4)</x:f>
      </x:c>
      <x:c r="R4" s="24" t="n">
        <x:f aca="0">IF(ISNUMBER(C4),C4,"")</x:f>
        <x:v>0.06752725018255235</x:v>
      </x:c>
      <x:c r="S4" s="24" t="n">
        <x:f aca="0">IF(O4="","",IF(O4="1",D4,IF(O4="2",B4,MAX(B4,D4))))</x:f>
        <x:v>0.04057859104222257</x:v>
      </x:c>
      <x:c r="T4" s="48" t="str">
        <x:f aca="0">IF(OR(COUNT(B4:D4)&lt;3,COUNT(K4:M4)&lt;3,COUNT(R4)&lt;1),"MISSING",IF(ABS(A4)&lt;2,"N/A",IF(OR(IF(ABS(A4)=4,R4&gt;Parametri_v2!$B$5,R4&gt;Parametri_v2!$B$19),N4&gt;Parametri_v2!$B$23),"FAIL",IF(OR(AND(ABS(A4)&lt;4,R4&gt;Parametri_v2!$B$18),N4&gt;Parametri_v2!$B$22),"PENALTY","PASS"))))</x:f>
        <x:v>FAIL</x:v>
      </x:c>
      <x:c r="U4" s="23" t="str">
        <x:f aca="0">IF(Model!$F$24&lt;&gt;"DA","DE EVITAT – FIXTURE",IF(T4="MISSING","DE EVITAT – LIPSA DISTRIBUTIE",IF(T4="FAIL","DE EVITAT – COMBINED GATE",IF(AND(ABS(A4)=4,OR(P4&lt;Parametri_v2!$B$4,S4&gt;Parametri_v2!$B$8)),"DE EVITAT – RISC ±4",IF(T4="PENALTY","PRUDENT TEHNIC","ELIGIBIL TEHNIC")))))</x:f>
        <x:v>DE EVITAT – COMBINED GATE</x:v>
      </x:c>
      <x:c r="V4" s="23" t="str">
        <x:f aca="0">IF(T4="N/A","Linie 0/±1: minimum MODERAT.",IF(T4="PASS","Exact-margin și Concentration234 PASS.",IF(T4="PENALTY","Minimum PRUDENT; neeligibil Builder.","CombinedGate FAIL sau date critice lipsă.")))</x:f>
        <x:v>CombinedGate FAIL sau date critice lipsă.</x:v>
      </x:c>
      <x:c r="W4" s="49" t="str">
        <x:f aca="0">IF(AND(Z4&lt;5,OR(U4="ELIGIBIL TEHNIC",U4="PRUDENT TEHNIC")),(6-Z4)*100+Q4+Model!$F$22/10000,"")</x:f>
      </x:c>
      <x:c r="X4" s="132" t="str">
        <x:f aca="0">IF(W4="","",COUNTIF($W$4:$W$12,"&gt;"&amp;W4)+1)</x:f>
      </x:c>
      <x:c r="Y4" s="132" t="n">
        <x:f aca="0">IF(LEFT(U4,9)="DE EVITAT",4,IF(U4="PRUDENT TEHNIC",2,IF(T4="N/A",3,1)))</x:f>
        <x:v>4</x:v>
      </x:c>
      <x:c r="Z4" s="133" t="n">
        <x:f aca="0">IF(LEFT(U4,9)="DE EVITAT",5,MAX(Y4,INDEX(Risk_Classification!$J$43:$J$51,MATCH(A4,Risk_Classification!$A$43:$A$51,0))))</x:f>
        <x:v>5</x:v>
      </x:c>
      <x:c r="AA4" s="50" t="str">
        <x:f aca="0">IF(Z4=1,"DEFENSIV",IF(Z4=2,"PRUDENT",IF(Z4=3,"MODERAT",IF(Z4=4,"RIDICAT","WATCH / NO BET"))))</x:f>
        <x:v>WATCH / NO BET</x:v>
      </x:c>
      <x:c r="AB4" s="23" t="str">
        <x:f aca="0">IF(LEFT(U4,9)="DE EVITAT",U4,IF(Z4=5,"Risk Score peste 80","MAX(raw risk, structural floor)"))</x:f>
        <x:v>DE EVITAT – COMBINED GATE</x:v>
      </x:c>
    </x:row>
    <x:row r="5" ht="44" hidden="0" customHeight="1">
      <x:c r="A5" s="23" t="n">
        <x:v>-3</x:v>
      </x:c>
      <x:c r="B5" s="24" t="n">
        <x:f aca="0">IF(Model!$F$29="READY",INDEX(Handicap_Toate!B$4:B$12,MATCH(A5,Handicap_Toate!A$4:A$12,0)),"")</x:f>
        <x:v>0.10810584122477492</x:v>
      </x:c>
      <x:c r="C5" s="24" t="n">
        <x:f aca="0">IF(Model!$F$29="READY",INDEX(Handicap_Toate!C$4:C$12,MATCH(A5,Handicap_Toate!A$4:A$12,0)),"")</x:f>
        <x:v>0.13587661950227048</x:v>
      </x:c>
      <x:c r="D5" s="24" t="n">
        <x:f aca="0">IF(Model!$F$29="READY",INDEX(Handicap_Toate!D$4:D$12,MATCH(A5,Handicap_Toate!A$4:A$12,0)),"")</x:f>
        <x:v>0.7560027454195168</x:v>
      </x:c>
      <x:c r="E5" s="25" t="str">
        <x:f aca="0">IF(AND(A5=Input_Meci!$C$7,ISNUMBER(Input_Meci!$C$8),Input_Meci!$C$8&gt;1),Input_Meci!$C$8,"")</x:f>
      </x:c>
      <x:c r="F5" s="25" t="str">
        <x:f aca="0">IF(AND(A5=Input_Meci!$C$7,ISNUMBER(Input_Meci!$C$9),Input_Meci!$C$9&gt;1),Input_Meci!$C$9,"")</x:f>
      </x:c>
      <x:c r="G5" s="25" t="str">
        <x:f aca="0">IF(AND(A5=Input_Meci!$C$7,ISNUMBER(Input_Meci!$C$10),Input_Meci!$C$10&gt;1),Input_Meci!$C$10,"")</x:f>
      </x:c>
      <x:c r="H5" s="26" t="str">
        <x:f aca="0">IF(AND(ISNUMBER(E5),E5&gt;1,ISNUMBER(B5)),B5*E5-1,"")</x:f>
      </x:c>
      <x:c r="I5" s="26" t="str">
        <x:f aca="0">IF(AND(ISNUMBER(F5),F5&gt;1,ISNUMBER(C5)),C5*F5-1,"")</x:f>
      </x:c>
      <x:c r="J5" s="26" t="str">
        <x:f aca="0">IF(AND(ISNUMBER(G5),G5&gt;1,ISNUMBER(D5)),D5*G5-1,"")</x:f>
      </x:c>
      <x:c r="K5" s="47" t="n">
        <x:f aca="0">IF(Model!$F$29="READY",IF(A5=0,MAX(INDEX(Handicap_Toate!$C$4:$C$12,MATCH(-2,Handicap_Toate!$A$4:$A$12,0)),INDEX(Handicap_Toate!$C$4:$C$12,MATCH(2,Handicap_Toate!$A$4:$A$12,0))),INDEX(Handicap_Toate!$C$4:$C$12,MATCH(IF(A5&lt;0,-2,2),Handicap_Toate!$A$4:$A$12,0))),"")</x:f>
        <x:v>0.2137019393617132</x:v>
      </x:c>
      <x:c r="L5" s="47" t="n">
        <x:f aca="0">IF(Model!$F$29="READY",IF(A5=0,MAX(INDEX(Handicap_Toate!$C$4:$C$12,MATCH(-3,Handicap_Toate!$A$4:$A$12,0)),INDEX(Handicap_Toate!$C$4:$C$12,MATCH(3,Handicap_Toate!$A$4:$A$12,0))),INDEX(Handicap_Toate!$C$4:$C$12,MATCH(IF(A5&lt;0,-3,3),Handicap_Toate!$A$4:$A$12,0))),"")</x:f>
        <x:v>0.13587661950227048</x:v>
      </x:c>
      <x:c r="M5" s="47" t="n">
        <x:f aca="0">IF(Model!$F$29="READY",IF(A5=0,MAX(INDEX(Handicap_Toate!$C$4:$C$12,MATCH(-4,Handicap_Toate!$A$4:$A$12,0)),INDEX(Handicap_Toate!$C$4:$C$12,MATCH(4,Handicap_Toate!$A$4:$A$12,0))),INDEX(Handicap_Toate!$C$4:$C$12,MATCH(IF(A5&lt;0,-4,4),Handicap_Toate!$A$4:$A$12,0))),"")</x:f>
        <x:v>0.06752725018255235</x:v>
      </x:c>
      <x:c r="N5" s="47" t="n">
        <x:f aca="0">IF(COUNT(K5:M5)=3,SUM(K5:M5),"")</x:f>
        <x:v>0.41710580904653605</x:v>
      </x:c>
      <x:c r="O5" s="131" t="str">
        <x:f aca="0">IF(COUNT(B5:D5)&lt;3,"",IF(MAX(B5:D5)=B5,"1",IF(MAX(B5:D5)=C5,"X","2")))</x:f>
        <x:v>2</x:v>
      </x:c>
      <x:c r="P5" s="24" t="n">
        <x:f aca="0">IF(COUNT(B5:D5)=3,MAX(B5:D5),"")</x:f>
        <x:v>0.7560027454195168</x:v>
      </x:c>
      <x:c r="Q5" s="24" t="str">
        <x:f aca="0">IF(OR(T5="FAIL",T5="MISSING"),"",P5)</x:f>
      </x:c>
      <x:c r="R5" s="24" t="n">
        <x:f aca="0">IF(ISNUMBER(C5),C5,"")</x:f>
        <x:v>0.13587661950227048</x:v>
      </x:c>
      <x:c r="S5" s="24" t="n">
        <x:f aca="0">IF(O5="","",IF(O5="1",D5,IF(O5="2",B5,MAX(B5,D5))))</x:f>
        <x:v>0.10810584122477492</x:v>
      </x:c>
      <x:c r="T5" s="48" t="str">
        <x:f aca="0">IF(OR(COUNT(B5:D5)&lt;3,COUNT(K5:M5)&lt;3,COUNT(R5)&lt;1),"MISSING",IF(ABS(A5)&lt;2,"N/A",IF(OR(IF(ABS(A5)=4,R5&gt;Parametri_v2!$B$5,R5&gt;Parametri_v2!$B$19),N5&gt;Parametri_v2!$B$23),"FAIL",IF(OR(AND(ABS(A5)&lt;4,R5&gt;Parametri_v2!$B$18),N5&gt;Parametri_v2!$B$22),"PENALTY","PASS"))))</x:f>
        <x:v>FAIL</x:v>
      </x:c>
      <x:c r="U5" s="23" t="str">
        <x:f aca="0">IF(Model!$F$24&lt;&gt;"DA","DE EVITAT – FIXTURE",IF(T5="MISSING","DE EVITAT – LIPSA DISTRIBUTIE",IF(T5="FAIL","DE EVITAT – COMBINED GATE",IF(AND(ABS(A5)=4,OR(P5&lt;Parametri_v2!$B$4,S5&gt;Parametri_v2!$B$8)),"DE EVITAT – RISC ±4",IF(T5="PENALTY","PRUDENT TEHNIC","ELIGIBIL TEHNIC")))))</x:f>
        <x:v>DE EVITAT – COMBINED GATE</x:v>
      </x:c>
      <x:c r="V5" s="23" t="str">
        <x:f aca="0">IF(T5="N/A","Linie 0/±1: minimum MODERAT.",IF(T5="PASS","Exact-margin și Concentration234 PASS.",IF(T5="PENALTY","Minimum PRUDENT; neeligibil Builder.","CombinedGate FAIL sau date critice lipsă.")))</x:f>
        <x:v>CombinedGate FAIL sau date critice lipsă.</x:v>
      </x:c>
      <x:c r="W5" s="49" t="str">
        <x:f aca="0">IF(AND(Z5&lt;5,OR(U5="ELIGIBIL TEHNIC",U5="PRUDENT TEHNIC")),(6-Z5)*100+Q5+Model!$F$22/10000,"")</x:f>
      </x:c>
      <x:c r="X5" s="132" t="str">
        <x:f aca="0">IF(W5="","",COUNTIF($W$4:$W$12,"&gt;"&amp;W5)+1)</x:f>
      </x:c>
      <x:c r="Y5" s="132" t="n">
        <x:f aca="0">IF(LEFT(U5,9)="DE EVITAT",4,IF(U5="PRUDENT TEHNIC",2,IF(T5="N/A",3,1)))</x:f>
        <x:v>4</x:v>
      </x:c>
      <x:c r="Z5" s="133" t="n">
        <x:f aca="0">IF(LEFT(U5,9)="DE EVITAT",5,MAX(Y5,INDEX(Risk_Classification!$J$43:$J$51,MATCH(A5,Risk_Classification!$A$43:$A$51,0))))</x:f>
        <x:v>5</x:v>
      </x:c>
      <x:c r="AA5" s="50" t="str">
        <x:f aca="0">IF(Z5=1,"DEFENSIV",IF(Z5=2,"PRUDENT",IF(Z5=3,"MODERAT",IF(Z5=4,"RIDICAT","WATCH / NO BET"))))</x:f>
        <x:v>WATCH / NO BET</x:v>
      </x:c>
      <x:c r="AB5" s="23" t="str">
        <x:f aca="0">IF(LEFT(U5,9)="DE EVITAT",U5,IF(Z5=5,"Risk Score peste 80","MAX(raw risk, structural floor)"))</x:f>
        <x:v>DE EVITAT – COMBINED GATE</x:v>
      </x:c>
    </x:row>
    <x:row r="6" ht="44" hidden="0" customHeight="1">
      <x:c r="A6" s="23" t="n">
        <x:v>-2</x:v>
      </x:c>
      <x:c r="B6" s="24" t="n">
        <x:f aca="0">IF(Model!$F$29="READY",INDEX(Handicap_Toate!B$4:B$12,MATCH(A6,Handicap_Toate!A$4:A$12,0)),"")</x:f>
        <x:v>0.24398246072704544</x:v>
      </x:c>
      <x:c r="C6" s="24" t="n">
        <x:f aca="0">IF(Model!$F$29="READY",INDEX(Handicap_Toate!C$4:C$12,MATCH(A6,Handicap_Toate!A$4:A$12,0)),"")</x:f>
        <x:v>0.2137019393617132</x:v>
      </x:c>
      <x:c r="D6" s="24" t="n">
        <x:f aca="0">IF(Model!$F$29="READY",INDEX(Handicap_Toate!D$4:D$12,MATCH(A6,Handicap_Toate!A$4:A$12,0)),"")</x:f>
        <x:v>0.5423008060578036</x:v>
      </x:c>
      <x:c r="E6" s="25" t="str">
        <x:f aca="0">IF(AND(A6=Input_Meci!$C$7,ISNUMBER(Input_Meci!$C$8),Input_Meci!$C$8&gt;1),Input_Meci!$C$8,"")</x:f>
      </x:c>
      <x:c r="F6" s="25" t="str">
        <x:f aca="0">IF(AND(A6=Input_Meci!$C$7,ISNUMBER(Input_Meci!$C$9),Input_Meci!$C$9&gt;1),Input_Meci!$C$9,"")</x:f>
      </x:c>
      <x:c r="G6" s="25" t="str">
        <x:f aca="0">IF(AND(A6=Input_Meci!$C$7,ISNUMBER(Input_Meci!$C$10),Input_Meci!$C$10&gt;1),Input_Meci!$C$10,"")</x:f>
      </x:c>
      <x:c r="H6" s="26" t="str">
        <x:f aca="0">IF(AND(ISNUMBER(E6),E6&gt;1,ISNUMBER(B6)),B6*E6-1,"")</x:f>
      </x:c>
      <x:c r="I6" s="26" t="str">
        <x:f aca="0">IF(AND(ISNUMBER(F6),F6&gt;1,ISNUMBER(C6)),C6*F6-1,"")</x:f>
      </x:c>
      <x:c r="J6" s="26" t="str">
        <x:f aca="0">IF(AND(ISNUMBER(G6),G6&gt;1,ISNUMBER(D6)),D6*G6-1,"")</x:f>
      </x:c>
      <x:c r="K6" s="47" t="n">
        <x:f aca="0">IF(Model!$F$29="READY",IF(A6=0,MAX(INDEX(Handicap_Toate!$C$4:$C$12,MATCH(-2,Handicap_Toate!$A$4:$A$12,0)),INDEX(Handicap_Toate!$C$4:$C$12,MATCH(2,Handicap_Toate!$A$4:$A$12,0))),INDEX(Handicap_Toate!$C$4:$C$12,MATCH(IF(A6&lt;0,-2,2),Handicap_Toate!$A$4:$A$12,0))),"")</x:f>
        <x:v>0.2137019393617132</x:v>
      </x:c>
      <x:c r="L6" s="47" t="n">
        <x:f aca="0">IF(Model!$F$29="READY",IF(A6=0,MAX(INDEX(Handicap_Toate!$C$4:$C$12,MATCH(-3,Handicap_Toate!$A$4:$A$12,0)),INDEX(Handicap_Toate!$C$4:$C$12,MATCH(3,Handicap_Toate!$A$4:$A$12,0))),INDEX(Handicap_Toate!$C$4:$C$12,MATCH(IF(A6&lt;0,-3,3),Handicap_Toate!$A$4:$A$12,0))),"")</x:f>
        <x:v>0.13587661950227048</x:v>
      </x:c>
      <x:c r="M6" s="47" t="n">
        <x:f aca="0">IF(Model!$F$29="READY",IF(A6=0,MAX(INDEX(Handicap_Toate!$C$4:$C$12,MATCH(-4,Handicap_Toate!$A$4:$A$12,0)),INDEX(Handicap_Toate!$C$4:$C$12,MATCH(4,Handicap_Toate!$A$4:$A$12,0))),INDEX(Handicap_Toate!$C$4:$C$12,MATCH(IF(A6&lt;0,-4,4),Handicap_Toate!$A$4:$A$12,0))),"")</x:f>
        <x:v>0.06752725018255235</x:v>
      </x:c>
      <x:c r="N6" s="47" t="n">
        <x:f aca="0">IF(COUNT(K6:M6)=3,SUM(K6:M6),"")</x:f>
        <x:v>0.41710580904653605</x:v>
      </x:c>
      <x:c r="O6" s="131" t="str">
        <x:f aca="0">IF(COUNT(B6:D6)&lt;3,"",IF(MAX(B6:D6)=B6,"1",IF(MAX(B6:D6)=C6,"X","2")))</x:f>
        <x:v>2</x:v>
      </x:c>
      <x:c r="P6" s="24" t="n">
        <x:f aca="0">IF(COUNT(B6:D6)=3,MAX(B6:D6),"")</x:f>
        <x:v>0.5423008060578036</x:v>
      </x:c>
      <x:c r="Q6" s="24" t="str">
        <x:f aca="0">IF(OR(T6="FAIL",T6="MISSING"),"",P6)</x:f>
      </x:c>
      <x:c r="R6" s="24" t="n">
        <x:f aca="0">IF(ISNUMBER(C6),C6,"")</x:f>
        <x:v>0.2137019393617132</x:v>
      </x:c>
      <x:c r="S6" s="24" t="n">
        <x:f aca="0">IF(O6="","",IF(O6="1",D6,IF(O6="2",B6,MAX(B6,D6))))</x:f>
        <x:v>0.24398246072704544</x:v>
      </x:c>
      <x:c r="T6" s="48" t="str">
        <x:f aca="0">IF(OR(COUNT(B6:D6)&lt;3,COUNT(K6:M6)&lt;3,COUNT(R6)&lt;1),"MISSING",IF(ABS(A6)&lt;2,"N/A",IF(OR(IF(ABS(A6)=4,R6&gt;Parametri_v2!$B$5,R6&gt;Parametri_v2!$B$19),N6&gt;Parametri_v2!$B$23),"FAIL",IF(OR(AND(ABS(A6)&lt;4,R6&gt;Parametri_v2!$B$18),N6&gt;Parametri_v2!$B$22),"PENALTY","PASS"))))</x:f>
        <x:v>FAIL</x:v>
      </x:c>
      <x:c r="U6" s="23" t="str">
        <x:f aca="0">IF(Model!$F$24&lt;&gt;"DA","DE EVITAT – FIXTURE",IF(T6="MISSING","DE EVITAT – LIPSA DISTRIBUTIE",IF(T6="FAIL","DE EVITAT – COMBINED GATE",IF(AND(ABS(A6)=4,OR(P6&lt;Parametri_v2!$B$4,S6&gt;Parametri_v2!$B$8)),"DE EVITAT – RISC ±4",IF(T6="PENALTY","PRUDENT TEHNIC","ELIGIBIL TEHNIC")))))</x:f>
        <x:v>DE EVITAT – COMBINED GATE</x:v>
      </x:c>
      <x:c r="V6" s="23" t="str">
        <x:f aca="0">IF(T6="N/A","Linie 0/±1: minimum MODERAT.",IF(T6="PASS","Exact-margin și Concentration234 PASS.",IF(T6="PENALTY","Minimum PRUDENT; neeligibil Builder.","CombinedGate FAIL sau date critice lipsă.")))</x:f>
        <x:v>CombinedGate FAIL sau date critice lipsă.</x:v>
      </x:c>
      <x:c r="W6" s="49" t="str">
        <x:f aca="0">IF(AND(Z6&lt;5,OR(U6="ELIGIBIL TEHNIC",U6="PRUDENT TEHNIC")),(6-Z6)*100+Q6+Model!$F$22/10000,"")</x:f>
      </x:c>
      <x:c r="X6" s="132" t="str">
        <x:f aca="0">IF(W6="","",COUNTIF($W$4:$W$12,"&gt;"&amp;W6)+1)</x:f>
      </x:c>
      <x:c r="Y6" s="132" t="n">
        <x:f aca="0">IF(LEFT(U6,9)="DE EVITAT",4,IF(U6="PRUDENT TEHNIC",2,IF(T6="N/A",3,1)))</x:f>
        <x:v>4</x:v>
      </x:c>
      <x:c r="Z6" s="133" t="n">
        <x:f aca="0">IF(LEFT(U6,9)="DE EVITAT",5,MAX(Y6,INDEX(Risk_Classification!$J$43:$J$51,MATCH(A6,Risk_Classification!$A$43:$A$51,0))))</x:f>
        <x:v>5</x:v>
      </x:c>
      <x:c r="AA6" s="50" t="str">
        <x:f aca="0">IF(Z6=1,"DEFENSIV",IF(Z6=2,"PRUDENT",IF(Z6=3,"MODERAT",IF(Z6=4,"RIDICAT","WATCH / NO BET"))))</x:f>
        <x:v>WATCH / NO BET</x:v>
      </x:c>
      <x:c r="AB6" s="23" t="str">
        <x:f aca="0">IF(LEFT(U6,9)="DE EVITAT",U6,IF(Z6=5,"Risk Score peste 80","MAX(raw risk, structural floor)"))</x:f>
        <x:v>DE EVITAT – COMBINED GATE</x:v>
      </x:c>
    </x:row>
    <x:row r="7" ht="44" hidden="0" customHeight="1">
      <x:c r="A7" s="23" t="n">
        <x:v>-1</x:v>
      </x:c>
      <x:c r="B7" s="24" t="n">
        <x:f aca="0">IF(Model!$F$29="READY",INDEX(Handicap_Toate!B$4:B$12,MATCH(A7,Handicap_Toate!A$4:A$12,0)),"")</x:f>
        <x:v>0.45768440008875827</x:v>
      </x:c>
      <x:c r="C7" s="24" t="n">
        <x:f aca="0">IF(Model!$F$29="READY",INDEX(Handicap_Toate!C$4:C$12,MATCH(A7,Handicap_Toate!A$4:A$12,0)),"")</x:f>
        <x:v>0.24561621453674673</x:v>
      </x:c>
      <x:c r="D7" s="24" t="n">
        <x:f aca="0">IF(Model!$F$29="READY",INDEX(Handicap_Toate!D$4:D$12,MATCH(A7,Handicap_Toate!A$4:A$12,0)),"")</x:f>
        <x:v>0.29668459152105703</x:v>
      </x:c>
      <x:c r="E7" s="25" t="n">
        <x:f aca="0">IF(AND(A7=Input_Meci!$C$7,ISNUMBER(Input_Meci!$C$8),Input_Meci!$C$8&gt;1),Input_Meci!$C$8,"")</x:f>
        <x:v>2.2</x:v>
      </x:c>
      <x:c r="F7" s="25" t="n">
        <x:f aca="0">IF(AND(A7=Input_Meci!$C$7,ISNUMBER(Input_Meci!$C$9),Input_Meci!$C$9&gt;1),Input_Meci!$C$9,"")</x:f>
        <x:v>3.6</x:v>
      </x:c>
      <x:c r="G7" s="25" t="n">
        <x:f aca="0">IF(AND(A7=Input_Meci!$C$7,ISNUMBER(Input_Meci!$C$10),Input_Meci!$C$10&gt;1),Input_Meci!$C$10,"")</x:f>
        <x:v>2.8</x:v>
      </x:c>
      <x:c r="H7" s="26" t="n">
        <x:f aca="0">IF(AND(ISNUMBER(E7),E7&gt;1,ISNUMBER(B7)),B7*E7-1,"")</x:f>
        <x:v>0.006905680195268271</x:v>
      </x:c>
      <x:c r="I7" s="26" t="n">
        <x:f aca="0">IF(AND(ISNUMBER(F7),F7&gt;1,ISNUMBER(C7)),C7*F7-1,"")</x:f>
        <x:v>-0.11578162766771172</x:v>
      </x:c>
      <x:c r="J7" s="26" t="n">
        <x:f aca="0">IF(AND(ISNUMBER(G7),G7&gt;1,ISNUMBER(D7)),D7*G7-1,"")</x:f>
        <x:v>-0.16928314374104036</x:v>
      </x:c>
      <x:c r="K7" s="47" t="n">
        <x:f aca="0">IF(Model!$F$29="READY",IF(A7=0,MAX(INDEX(Handicap_Toate!$C$4:$C$12,MATCH(-2,Handicap_Toate!$A$4:$A$12,0)),INDEX(Handicap_Toate!$C$4:$C$12,MATCH(2,Handicap_Toate!$A$4:$A$12,0))),INDEX(Handicap_Toate!$C$4:$C$12,MATCH(IF(A7&lt;0,-2,2),Handicap_Toate!$A$4:$A$12,0))),"")</x:f>
        <x:v>0.2137019393617132</x:v>
      </x:c>
      <x:c r="L7" s="47" t="n">
        <x:f aca="0">IF(Model!$F$29="READY",IF(A7=0,MAX(INDEX(Handicap_Toate!$C$4:$C$12,MATCH(-3,Handicap_Toate!$A$4:$A$12,0)),INDEX(Handicap_Toate!$C$4:$C$12,MATCH(3,Handicap_Toate!$A$4:$A$12,0))),INDEX(Handicap_Toate!$C$4:$C$12,MATCH(IF(A7&lt;0,-3,3),Handicap_Toate!$A$4:$A$12,0))),"")</x:f>
        <x:v>0.13587661950227048</x:v>
      </x:c>
      <x:c r="M7" s="47" t="n">
        <x:f aca="0">IF(Model!$F$29="READY",IF(A7=0,MAX(INDEX(Handicap_Toate!$C$4:$C$12,MATCH(-4,Handicap_Toate!$A$4:$A$12,0)),INDEX(Handicap_Toate!$C$4:$C$12,MATCH(4,Handicap_Toate!$A$4:$A$12,0))),INDEX(Handicap_Toate!$C$4:$C$12,MATCH(IF(A7&lt;0,-4,4),Handicap_Toate!$A$4:$A$12,0))),"")</x:f>
        <x:v>0.06752725018255235</x:v>
      </x:c>
      <x:c r="N7" s="47" t="n">
        <x:f aca="0">IF(COUNT(K7:M7)=3,SUM(K7:M7),"")</x:f>
        <x:v>0.41710580904653605</x:v>
      </x:c>
      <x:c r="O7" s="131" t="str">
        <x:f aca="0">IF(COUNT(B7:D7)&lt;3,"",IF(MAX(B7:D7)=B7,"1",IF(MAX(B7:D7)=C7,"X","2")))</x:f>
        <x:v>1</x:v>
      </x:c>
      <x:c r="P7" s="24" t="n">
        <x:f aca="0">IF(COUNT(B7:D7)=3,MAX(B7:D7),"")</x:f>
        <x:v>0.45768440008875827</x:v>
      </x:c>
      <x:c r="Q7" s="24" t="n">
        <x:f aca="0">IF(OR(T7="FAIL",T7="MISSING"),"",P7)</x:f>
        <x:v>0.45768440008875827</x:v>
      </x:c>
      <x:c r="R7" s="24" t="n">
        <x:f aca="0">IF(ISNUMBER(C7),C7,"")</x:f>
        <x:v>0.24561621453674673</x:v>
      </x:c>
      <x:c r="S7" s="24" t="n">
        <x:f aca="0">IF(O7="","",IF(O7="1",D7,IF(O7="2",B7,MAX(B7,D7))))</x:f>
        <x:v>0.29668459152105703</x:v>
      </x:c>
      <x:c r="T7" s="48" t="str">
        <x:f aca="0">IF(OR(COUNT(B7:D7)&lt;3,COUNT(K7:M7)&lt;3,COUNT(R7)&lt;1),"MISSING",IF(ABS(A7)&lt;2,"N/A",IF(OR(IF(ABS(A7)=4,R7&gt;Parametri_v2!$B$5,R7&gt;Parametri_v2!$B$19),N7&gt;Parametri_v2!$B$23),"FAIL",IF(OR(AND(ABS(A7)&lt;4,R7&gt;Parametri_v2!$B$18),N7&gt;Parametri_v2!$B$22),"PENALTY","PASS"))))</x:f>
        <x:v>N/A</x:v>
      </x:c>
      <x:c r="U7" s="23" t="str">
        <x:f aca="0">IF(Model!$F$24&lt;&gt;"DA","DE EVITAT – FIXTURE",IF(T7="MISSING","DE EVITAT – LIPSA DISTRIBUTIE",IF(T7="FAIL","DE EVITAT – COMBINED GATE",IF(AND(ABS(A7)=4,OR(P7&lt;Parametri_v2!$B$4,S7&gt;Parametri_v2!$B$8)),"DE EVITAT – RISC ±4",IF(T7="PENALTY","PRUDENT TEHNIC","ELIGIBIL TEHNIC")))))</x:f>
        <x:v>ELIGIBIL TEHNIC</x:v>
      </x:c>
      <x:c r="V7" s="23" t="str">
        <x:f aca="0">IF(T7="N/A","Linie 0/±1: minimum MODERAT.",IF(T7="PASS","Exact-margin și Concentration234 PASS.",IF(T7="PENALTY","Minimum PRUDENT; neeligibil Builder.","CombinedGate FAIL sau date critice lipsă.")))</x:f>
        <x:v>Linie 0/±1: minimum MODERAT.</x:v>
      </x:c>
      <x:c r="W7" s="49" t="n">
        <x:f aca="0">IF(AND(Z7&lt;5,OR(U7="ELIGIBIL TEHNIC",U7="PRUDENT TEHNIC")),(6-Z7)*100+Q7+Model!$F$22/10000,"")</x:f>
        <x:v>300.46708440008877</x:v>
      </x:c>
      <x:c r="X7" s="132" t="n">
        <x:f aca="0">IF(W7="","",COUNTIF($W$4:$W$12,"&gt;"&amp;W7)+1)</x:f>
        <x:v>6</x:v>
      </x:c>
      <x:c r="Y7" s="132" t="n">
        <x:f aca="0">IF(LEFT(U7,9)="DE EVITAT",4,IF(U7="PRUDENT TEHNIC",2,IF(T7="N/A",3,1)))</x:f>
        <x:v>3</x:v>
      </x:c>
      <x:c r="Z7" s="133" t="n">
        <x:f aca="0">IF(LEFT(U7,9)="DE EVITAT",5,MAX(Y7,INDEX(Risk_Classification!$J$43:$J$51,MATCH(A7,Risk_Classification!$A$43:$A$51,0))))</x:f>
        <x:v>3</x:v>
      </x:c>
      <x:c r="AA7" s="50" t="str">
        <x:f aca="0">IF(Z7=1,"DEFENSIV",IF(Z7=2,"PRUDENT",IF(Z7=3,"MODERAT",IF(Z7=4,"RIDICAT","WATCH / NO BET"))))</x:f>
        <x:v>MODERAT</x:v>
      </x:c>
      <x:c r="AB7" s="23" t="str">
        <x:f aca="0">IF(LEFT(U7,9)="DE EVITAT",U7,IF(Z7=5,"Risk Score peste 80","MAX(raw risk, structural floor)"))</x:f>
        <x:v>MAX(raw risk, structural floor)</x:v>
      </x:c>
    </x:row>
    <x:row r="8" ht="44" hidden="0" customHeight="1">
      <x:c r="A8" s="23" t="n">
        <x:v>0</x:v>
      </x:c>
      <x:c r="B8" s="24" t="n">
        <x:f aca="0">IF(Model!$F$29="READY",INDEX(Handicap_Toate!B$4:B$12,MATCH(A8,Handicap_Toate!A$4:A$12,0)),"")</x:f>
        <x:v>0.7033006146255053</x:v>
      </x:c>
      <x:c r="C8" s="24" t="n">
        <x:f aca="0">IF(Model!$F$29="READY",INDEX(Handicap_Toate!C$4:C$12,MATCH(A8,Handicap_Toate!A$4:A$12,0)),"")</x:f>
        <x:v>0.1860549927179679</x:v>
      </x:c>
      <x:c r="D8" s="24" t="n">
        <x:f aca="0">IF(Model!$F$29="READY",INDEX(Handicap_Toate!D$4:D$12,MATCH(A8,Handicap_Toate!A$4:A$12,0)),"")</x:f>
        <x:v>0.11062959880308908</x:v>
      </x:c>
      <x:c r="E8" s="25" t="str">
        <x:f aca="0">IF(AND(A8=Input_Meci!$C$7,ISNUMBER(Input_Meci!$C$8),Input_Meci!$C$8&gt;1),Input_Meci!$C$8,"")</x:f>
      </x:c>
      <x:c r="F8" s="25" t="str">
        <x:f aca="0">IF(AND(A8=Input_Meci!$C$7,ISNUMBER(Input_Meci!$C$9),Input_Meci!$C$9&gt;1),Input_Meci!$C$9,"")</x:f>
      </x:c>
      <x:c r="G8" s="25" t="str">
        <x:f aca="0">IF(AND(A8=Input_Meci!$C$7,ISNUMBER(Input_Meci!$C$10),Input_Meci!$C$10&gt;1),Input_Meci!$C$10,"")</x:f>
      </x:c>
      <x:c r="H8" s="26" t="str">
        <x:f aca="0">IF(AND(ISNUMBER(E8),E8&gt;1,ISNUMBER(B8)),B8*E8-1,"")</x:f>
      </x:c>
      <x:c r="I8" s="26" t="str">
        <x:f aca="0">IF(AND(ISNUMBER(F8),F8&gt;1,ISNUMBER(C8)),C8*F8-1,"")</x:f>
      </x:c>
      <x:c r="J8" s="26" t="str">
        <x:f aca="0">IF(AND(ISNUMBER(G8),G8&gt;1,ISNUMBER(D8)),D8*G8-1,"")</x:f>
      </x:c>
      <x:c r="K8" s="47" t="n">
        <x:f aca="0">IF(Model!$F$29="READY",IF(A8=0,MAX(INDEX(Handicap_Toate!$C$4:$C$12,MATCH(-2,Handicap_Toate!$A$4:$A$12,0)),INDEX(Handicap_Toate!$C$4:$C$12,MATCH(2,Handicap_Toate!$A$4:$A$12,0))),INDEX(Handicap_Toate!$C$4:$C$12,MATCH(IF(A8&lt;0,-2,2),Handicap_Toate!$A$4:$A$12,0))),"")</x:f>
        <x:v>0.2137019393617132</x:v>
      </x:c>
      <x:c r="L8" s="47" t="n">
        <x:f aca="0">IF(Model!$F$29="READY",IF(A8=0,MAX(INDEX(Handicap_Toate!$C$4:$C$12,MATCH(-3,Handicap_Toate!$A$4:$A$12,0)),INDEX(Handicap_Toate!$C$4:$C$12,MATCH(3,Handicap_Toate!$A$4:$A$12,0))),INDEX(Handicap_Toate!$C$4:$C$12,MATCH(IF(A8&lt;0,-3,3),Handicap_Toate!$A$4:$A$12,0))),"")</x:f>
        <x:v>0.13587661950227048</x:v>
      </x:c>
      <x:c r="M8" s="47" t="n">
        <x:f aca="0">IF(Model!$F$29="READY",IF(A8=0,MAX(INDEX(Handicap_Toate!$C$4:$C$12,MATCH(-4,Handicap_Toate!$A$4:$A$12,0)),INDEX(Handicap_Toate!$C$4:$C$12,MATCH(4,Handicap_Toate!$A$4:$A$12,0))),INDEX(Handicap_Toate!$C$4:$C$12,MATCH(IF(A8&lt;0,-4,4),Handicap_Toate!$A$4:$A$12,0))),"")</x:f>
        <x:v>0.06752725018255235</x:v>
      </x:c>
      <x:c r="N8" s="47" t="n">
        <x:f aca="0">IF(COUNT(K8:M8)=3,SUM(K8:M8),"")</x:f>
        <x:v>0.41710580904653605</x:v>
      </x:c>
      <x:c r="O8" s="131" t="str">
        <x:f aca="0">IF(COUNT(B8:D8)&lt;3,"",IF(MAX(B8:D8)=B8,"1",IF(MAX(B8:D8)=C8,"X","2")))</x:f>
        <x:v>1</x:v>
      </x:c>
      <x:c r="P8" s="24" t="n">
        <x:f aca="0">IF(COUNT(B8:D8)=3,MAX(B8:D8),"")</x:f>
        <x:v>0.7033006146255053</x:v>
      </x:c>
      <x:c r="Q8" s="24" t="n">
        <x:f aca="0">IF(OR(T8="FAIL",T8="MISSING"),"",P8)</x:f>
        <x:v>0.7033006146255053</x:v>
      </x:c>
      <x:c r="R8" s="24" t="n">
        <x:f aca="0">IF(ISNUMBER(C8),C8,"")</x:f>
        <x:v>0.1860549927179679</x:v>
      </x:c>
      <x:c r="S8" s="24" t="n">
        <x:f aca="0">IF(O8="","",IF(O8="1",D8,IF(O8="2",B8,MAX(B8,D8))))</x:f>
        <x:v>0.11062959880308908</x:v>
      </x:c>
      <x:c r="T8" s="48" t="str">
        <x:f aca="0">IF(OR(COUNT(B8:D8)&lt;3,COUNT(K8:M8)&lt;3,COUNT(R8)&lt;1),"MISSING",IF(ABS(A8)&lt;2,"N/A",IF(OR(IF(ABS(A8)=4,R8&gt;Parametri_v2!$B$5,R8&gt;Parametri_v2!$B$19),N8&gt;Parametri_v2!$B$23),"FAIL",IF(OR(AND(ABS(A8)&lt;4,R8&gt;Parametri_v2!$B$18),N8&gt;Parametri_v2!$B$22),"PENALTY","PASS"))))</x:f>
        <x:v>N/A</x:v>
      </x:c>
      <x:c r="U8" s="23" t="str">
        <x:f aca="0">IF(Model!$F$24&lt;&gt;"DA","DE EVITAT – FIXTURE",IF(T8="MISSING","DE EVITAT – LIPSA DISTRIBUTIE",IF(T8="FAIL","DE EVITAT – COMBINED GATE",IF(AND(ABS(A8)=4,OR(P8&lt;Parametri_v2!$B$4,S8&gt;Parametri_v2!$B$8)),"DE EVITAT – RISC ±4",IF(T8="PENALTY","PRUDENT TEHNIC","ELIGIBIL TEHNIC")))))</x:f>
        <x:v>ELIGIBIL TEHNIC</x:v>
      </x:c>
      <x:c r="V8" s="23" t="str">
        <x:f aca="0">IF(T8="N/A","Linie 0/±1: minimum MODERAT.",IF(T8="PASS","Exact-margin și Concentration234 PASS.",IF(T8="PENALTY","Minimum PRUDENT; neeligibil Builder.","CombinedGate FAIL sau date critice lipsă.")))</x:f>
        <x:v>Linie 0/±1: minimum MODERAT.</x:v>
      </x:c>
      <x:c r="W8" s="49" t="n">
        <x:f aca="0">IF(AND(Z8&lt;5,OR(U8="ELIGIBIL TEHNIC",U8="PRUDENT TEHNIC")),(6-Z8)*100+Q8+Model!$F$22/10000,"")</x:f>
        <x:v>300.71270061462553</x:v>
      </x:c>
      <x:c r="X8" s="132" t="n">
        <x:f aca="0">IF(W8="","",COUNTIF($W$4:$W$12,"&gt;"&amp;W8)+1)</x:f>
        <x:v>5</x:v>
      </x:c>
      <x:c r="Y8" s="132" t="n">
        <x:f aca="0">IF(LEFT(U8,9)="DE EVITAT",4,IF(U8="PRUDENT TEHNIC",2,IF(T8="N/A",3,1)))</x:f>
        <x:v>3</x:v>
      </x:c>
      <x:c r="Z8" s="133" t="n">
        <x:f aca="0">IF(LEFT(U8,9)="DE EVITAT",5,MAX(Y8,INDEX(Risk_Classification!$J$43:$J$51,MATCH(A8,Risk_Classification!$A$43:$A$51,0))))</x:f>
        <x:v>3</x:v>
      </x:c>
      <x:c r="AA8" s="50" t="str">
        <x:f aca="0">IF(Z8=1,"DEFENSIV",IF(Z8=2,"PRUDENT",IF(Z8=3,"MODERAT",IF(Z8=4,"RIDICAT","WATCH / NO BET"))))</x:f>
        <x:v>MODERAT</x:v>
      </x:c>
      <x:c r="AB8" s="23" t="str">
        <x:f aca="0">IF(LEFT(U8,9)="DE EVITAT",U8,IF(Z8=5,"Risk Score peste 80","MAX(raw risk, structural floor)"))</x:f>
        <x:v>MAX(raw risk, structural floor)</x:v>
      </x:c>
    </x:row>
    <x:row r="9" ht="44" hidden="0" customHeight="1">
      <x:c r="A9" s="23" t="n">
        <x:v>1</x:v>
      </x:c>
      <x:c r="B9" s="24" t="n">
        <x:f aca="0">IF(Model!$F$29="READY",INDEX(Handicap_Toate!B$4:B$12,MATCH(A9,Handicap_Toate!A$4:A$12,0)),"")</x:f>
        <x:v>0.8893556073434733</x:v>
      </x:c>
      <x:c r="C9" s="24" t="n">
        <x:f aca="0">IF(Model!$F$29="READY",INDEX(Handicap_Toate!C$4:C$12,MATCH(A9,Handicap_Toate!A$4:A$12,0)),"")</x:f>
        <x:v>0.08133019686185977</x:v>
      </x:c>
      <x:c r="D9" s="24" t="n">
        <x:f aca="0">IF(Model!$F$29="READY",INDEX(Handicap_Toate!D$4:D$12,MATCH(A9,Handicap_Toate!A$4:A$12,0)),"")</x:f>
        <x:v>0.029299401941229326</x:v>
      </x:c>
      <x:c r="E9" s="25" t="str">
        <x:f aca="0">IF(AND(A9=Input_Meci!$C$7,ISNUMBER(Input_Meci!$C$8),Input_Meci!$C$8&gt;1),Input_Meci!$C$8,"")</x:f>
      </x:c>
      <x:c r="F9" s="25" t="str">
        <x:f aca="0">IF(AND(A9=Input_Meci!$C$7,ISNUMBER(Input_Meci!$C$9),Input_Meci!$C$9&gt;1),Input_Meci!$C$9,"")</x:f>
      </x:c>
      <x:c r="G9" s="25" t="str">
        <x:f aca="0">IF(AND(A9=Input_Meci!$C$7,ISNUMBER(Input_Meci!$C$10),Input_Meci!$C$10&gt;1),Input_Meci!$C$10,"")</x:f>
      </x:c>
      <x:c r="H9" s="26" t="str">
        <x:f aca="0">IF(AND(ISNUMBER(E9),E9&gt;1,ISNUMBER(B9)),B9*E9-1,"")</x:f>
      </x:c>
      <x:c r="I9" s="26" t="str">
        <x:f aca="0">IF(AND(ISNUMBER(F9),F9&gt;1,ISNUMBER(C9)),C9*F9-1,"")</x:f>
      </x:c>
      <x:c r="J9" s="26" t="str">
        <x:f aca="0">IF(AND(ISNUMBER(G9),G9&gt;1,ISNUMBER(D9)),D9*G9-1,"")</x:f>
      </x:c>
      <x:c r="K9" s="47" t="n">
        <x:f aca="0">IF(Model!$F$29="READY",IF(A9=0,MAX(INDEX(Handicap_Toate!$C$4:$C$12,MATCH(-2,Handicap_Toate!$A$4:$A$12,0)),INDEX(Handicap_Toate!$C$4:$C$12,MATCH(2,Handicap_Toate!$A$4:$A$12,0))),INDEX(Handicap_Toate!$C$4:$C$12,MATCH(IF(A9&lt;0,-2,2),Handicap_Toate!$A$4:$A$12,0))),"")</x:f>
        <x:v>0.0234313894859018</x:v>
      </x:c>
      <x:c r="L9" s="47" t="n">
        <x:f aca="0">IF(Model!$F$29="READY",IF(A9=0,MAX(INDEX(Handicap_Toate!$C$4:$C$12,MATCH(-3,Handicap_Toate!$A$4:$A$12,0)),INDEX(Handicap_Toate!$C$4:$C$12,MATCH(3,Handicap_Toate!$A$4:$A$12,0))),INDEX(Handicap_Toate!$C$4:$C$12,MATCH(IF(A9&lt;0,-3,3),Handicap_Toate!$A$4:$A$12,0))),"")</x:f>
        <x:v>0.004933204317834622</x:v>
      </x:c>
      <x:c r="M9" s="47" t="n">
        <x:f aca="0">IF(Model!$F$29="READY",IF(A9=0,MAX(INDEX(Handicap_Toate!$C$4:$C$12,MATCH(-4,Handicap_Toate!$A$4:$A$12,0)),INDEX(Handicap_Toate!$C$4:$C$12,MATCH(4,Handicap_Toate!$A$4:$A$12,0))),INDEX(Handicap_Toate!$C$4:$C$12,MATCH(IF(A9&lt;0,-4,4),Handicap_Toate!$A$4:$A$12,0))),"")</x:f>
        <x:v>0.0008118171546916042</x:v>
      </x:c>
      <x:c r="N9" s="47" t="n">
        <x:f aca="0">IF(COUNT(K9:M9)=3,SUM(K9:M9),"")</x:f>
        <x:v>0.029176410958428024</x:v>
      </x:c>
      <x:c r="O9" s="131" t="str">
        <x:f aca="0">IF(COUNT(B9:D9)&lt;3,"",IF(MAX(B9:D9)=B9,"1",IF(MAX(B9:D9)=C9,"X","2")))</x:f>
        <x:v>1</x:v>
      </x:c>
      <x:c r="P9" s="24" t="n">
        <x:f aca="0">IF(COUNT(B9:D9)=3,MAX(B9:D9),"")</x:f>
        <x:v>0.8893556073434733</x:v>
      </x:c>
      <x:c r="Q9" s="24" t="n">
        <x:f aca="0">IF(OR(T9="FAIL",T9="MISSING"),"",P9)</x:f>
        <x:v>0.8893556073434733</x:v>
      </x:c>
      <x:c r="R9" s="24" t="n">
        <x:f aca="0">IF(ISNUMBER(C9),C9,"")</x:f>
        <x:v>0.08133019686185977</x:v>
      </x:c>
      <x:c r="S9" s="24" t="n">
        <x:f aca="0">IF(O9="","",IF(O9="1",D9,IF(O9="2",B9,MAX(B9,D9))))</x:f>
        <x:v>0.029299401941229326</x:v>
      </x:c>
      <x:c r="T9" s="48" t="str">
        <x:f aca="0">IF(OR(COUNT(B9:D9)&lt;3,COUNT(K9:M9)&lt;3,COUNT(R9)&lt;1),"MISSING",IF(ABS(A9)&lt;2,"N/A",IF(OR(IF(ABS(A9)=4,R9&gt;Parametri_v2!$B$5,R9&gt;Parametri_v2!$B$19),N9&gt;Parametri_v2!$B$23),"FAIL",IF(OR(AND(ABS(A9)&lt;4,R9&gt;Parametri_v2!$B$18),N9&gt;Parametri_v2!$B$22),"PENALTY","PASS"))))</x:f>
        <x:v>N/A</x:v>
      </x:c>
      <x:c r="U9" s="23" t="str">
        <x:f aca="0">IF(Model!$F$24&lt;&gt;"DA","DE EVITAT – FIXTURE",IF(T9="MISSING","DE EVITAT – LIPSA DISTRIBUTIE",IF(T9="FAIL","DE EVITAT – COMBINED GATE",IF(AND(ABS(A9)=4,OR(P9&lt;Parametri_v2!$B$4,S9&gt;Parametri_v2!$B$8)),"DE EVITAT – RISC ±4",IF(T9="PENALTY","PRUDENT TEHNIC","ELIGIBIL TEHNIC")))))</x:f>
        <x:v>ELIGIBIL TEHNIC</x:v>
      </x:c>
      <x:c r="V9" s="23" t="str">
        <x:f aca="0">IF(T9="N/A","Linie 0/±1: minimum MODERAT.",IF(T9="PASS","Exact-margin și Concentration234 PASS.",IF(T9="PENALTY","Minimum PRUDENT; neeligibil Builder.","CombinedGate FAIL sau date critice lipsă.")))</x:f>
        <x:v>Linie 0/±1: minimum MODERAT.</x:v>
      </x:c>
      <x:c r="W9" s="49" t="n">
        <x:f aca="0">IF(AND(Z9&lt;5,OR(U9="ELIGIBIL TEHNIC",U9="PRUDENT TEHNIC")),(6-Z9)*100+Q9+Model!$F$22/10000,"")</x:f>
        <x:v>300.8987556073435</x:v>
      </x:c>
      <x:c r="X9" s="132" t="n">
        <x:f aca="0">IF(W9="","",COUNTIF($W$4:$W$12,"&gt;"&amp;W9)+1)</x:f>
        <x:v>4</x:v>
      </x:c>
      <x:c r="Y9" s="132" t="n">
        <x:f aca="0">IF(LEFT(U9,9)="DE EVITAT",4,IF(U9="PRUDENT TEHNIC",2,IF(T9="N/A",3,1)))</x:f>
        <x:v>3</x:v>
      </x:c>
      <x:c r="Z9" s="133" t="n">
        <x:f aca="0">IF(LEFT(U9,9)="DE EVITAT",5,MAX(Y9,INDEX(Risk_Classification!$J$43:$J$51,MATCH(A9,Risk_Classification!$A$43:$A$51,0))))</x:f>
        <x:v>3</x:v>
      </x:c>
      <x:c r="AA9" s="50" t="str">
        <x:f aca="0">IF(Z9=1,"DEFENSIV",IF(Z9=2,"PRUDENT",IF(Z9=3,"MODERAT",IF(Z9=4,"RIDICAT","WATCH / NO BET"))))</x:f>
        <x:v>MODERAT</x:v>
      </x:c>
      <x:c r="AB9" s="23" t="str">
        <x:f aca="0">IF(LEFT(U9,9)="DE EVITAT",U9,IF(Z9=5,"Risk Score peste 80","MAX(raw risk, structural floor)"))</x:f>
        <x:v>MAX(raw risk, structural floor)</x:v>
      </x:c>
    </x:row>
    <x:row r="10" ht="44" hidden="0" customHeight="1">
      <x:c r="A10" s="23" t="n">
        <x:v>2</x:v>
      </x:c>
      <x:c r="B10" s="24" t="n">
        <x:f aca="0">IF(Model!$F$29="READY",INDEX(Handicap_Toate!B$4:B$12,MATCH(A10,Handicap_Toate!A$4:A$12,0)),"")</x:f>
        <x:v>0.9706858042053332</x:v>
      </x:c>
      <x:c r="C10" s="24" t="n">
        <x:f aca="0">IF(Model!$F$29="READY",INDEX(Handicap_Toate!C$4:C$12,MATCH(A10,Handicap_Toate!A$4:A$12,0)),"")</x:f>
        <x:v>0.0234313894859018</x:v>
      </x:c>
      <x:c r="D10" s="24" t="n">
        <x:f aca="0">IF(Model!$F$29="READY",INDEX(Handicap_Toate!D$4:D$12,MATCH(A10,Handicap_Toate!A$4:A$12,0)),"")</x:f>
        <x:v>0.005868012455327525</x:v>
      </x:c>
      <x:c r="E10" s="25" t="str">
        <x:f aca="0">IF(AND(A10=Input_Meci!$C$7,ISNUMBER(Input_Meci!$C$8),Input_Meci!$C$8&gt;1),Input_Meci!$C$8,"")</x:f>
      </x:c>
      <x:c r="F10" s="25" t="str">
        <x:f aca="0">IF(AND(A10=Input_Meci!$C$7,ISNUMBER(Input_Meci!$C$9),Input_Meci!$C$9&gt;1),Input_Meci!$C$9,"")</x:f>
      </x:c>
      <x:c r="G10" s="25" t="str">
        <x:f aca="0">IF(AND(A10=Input_Meci!$C$7,ISNUMBER(Input_Meci!$C$10),Input_Meci!$C$10&gt;1),Input_Meci!$C$10,"")</x:f>
      </x:c>
      <x:c r="H10" s="26" t="str">
        <x:f aca="0">IF(AND(ISNUMBER(E10),E10&gt;1,ISNUMBER(B10)),B10*E10-1,"")</x:f>
      </x:c>
      <x:c r="I10" s="26" t="str">
        <x:f aca="0">IF(AND(ISNUMBER(F10),F10&gt;1,ISNUMBER(C10)),C10*F10-1,"")</x:f>
      </x:c>
      <x:c r="J10" s="26" t="str">
        <x:f aca="0">IF(AND(ISNUMBER(G10),G10&gt;1,ISNUMBER(D10)),D10*G10-1,"")</x:f>
      </x:c>
      <x:c r="K10" s="47" t="n">
        <x:f aca="0">IF(Model!$F$29="READY",IF(A10=0,MAX(INDEX(Handicap_Toate!$C$4:$C$12,MATCH(-2,Handicap_Toate!$A$4:$A$12,0)),INDEX(Handicap_Toate!$C$4:$C$12,MATCH(2,Handicap_Toate!$A$4:$A$12,0))),INDEX(Handicap_Toate!$C$4:$C$12,MATCH(IF(A10&lt;0,-2,2),Handicap_Toate!$A$4:$A$12,0))),"")</x:f>
        <x:v>0.0234313894859018</x:v>
      </x:c>
      <x:c r="L10" s="47" t="n">
        <x:f aca="0">IF(Model!$F$29="READY",IF(A10=0,MAX(INDEX(Handicap_Toate!$C$4:$C$12,MATCH(-3,Handicap_Toate!$A$4:$A$12,0)),INDEX(Handicap_Toate!$C$4:$C$12,MATCH(3,Handicap_Toate!$A$4:$A$12,0))),INDEX(Handicap_Toate!$C$4:$C$12,MATCH(IF(A10&lt;0,-3,3),Handicap_Toate!$A$4:$A$12,0))),"")</x:f>
        <x:v>0.004933204317834622</x:v>
      </x:c>
      <x:c r="M10" s="47" t="n">
        <x:f aca="0">IF(Model!$F$29="READY",IF(A10=0,MAX(INDEX(Handicap_Toate!$C$4:$C$12,MATCH(-4,Handicap_Toate!$A$4:$A$12,0)),INDEX(Handicap_Toate!$C$4:$C$12,MATCH(4,Handicap_Toate!$A$4:$A$12,0))),INDEX(Handicap_Toate!$C$4:$C$12,MATCH(IF(A10&lt;0,-4,4),Handicap_Toate!$A$4:$A$12,0))),"")</x:f>
        <x:v>0.0008118171546916042</x:v>
      </x:c>
      <x:c r="N10" s="47" t="n">
        <x:f aca="0">IF(COUNT(K10:M10)=3,SUM(K10:M10),"")</x:f>
        <x:v>0.029176410958428024</x:v>
      </x:c>
      <x:c r="O10" s="131" t="str">
        <x:f aca="0">IF(COUNT(B10:D10)&lt;3,"",IF(MAX(B10:D10)=B10,"1",IF(MAX(B10:D10)=C10,"X","2")))</x:f>
        <x:v>1</x:v>
      </x:c>
      <x:c r="P10" s="24" t="n">
        <x:f aca="0">IF(COUNT(B10:D10)=3,MAX(B10:D10),"")</x:f>
        <x:v>0.9706858042053332</x:v>
      </x:c>
      <x:c r="Q10" s="24" t="n">
        <x:f aca="0">IF(OR(T10="FAIL",T10="MISSING"),"",P10)</x:f>
        <x:v>0.9706858042053332</x:v>
      </x:c>
      <x:c r="R10" s="24" t="n">
        <x:f aca="0">IF(ISNUMBER(C10),C10,"")</x:f>
        <x:v>0.0234313894859018</x:v>
      </x:c>
      <x:c r="S10" s="24" t="n">
        <x:f aca="0">IF(O10="","",IF(O10="1",D10,IF(O10="2",B10,MAX(B10,D10))))</x:f>
        <x:v>0.005868012455327525</x:v>
      </x:c>
      <x:c r="T10" s="48" t="str">
        <x:f aca="0">IF(OR(COUNT(B10:D10)&lt;3,COUNT(K10:M10)&lt;3,COUNT(R10)&lt;1),"MISSING",IF(ABS(A10)&lt;2,"N/A",IF(OR(IF(ABS(A10)=4,R10&gt;Parametri_v2!$B$5,R10&gt;Parametri_v2!$B$19),N10&gt;Parametri_v2!$B$23),"FAIL",IF(OR(AND(ABS(A10)&lt;4,R10&gt;Parametri_v2!$B$18),N10&gt;Parametri_v2!$B$22),"PENALTY","PASS"))))</x:f>
        <x:v>PASS</x:v>
      </x:c>
      <x:c r="U10" s="23" t="str">
        <x:f aca="0">IF(Model!$F$24&lt;&gt;"DA","DE EVITAT – FIXTURE",IF(T10="MISSING","DE EVITAT – LIPSA DISTRIBUTIE",IF(T10="FAIL","DE EVITAT – COMBINED GATE",IF(AND(ABS(A10)=4,OR(P10&lt;Parametri_v2!$B$4,S10&gt;Parametri_v2!$B$8)),"DE EVITAT – RISC ±4",IF(T10="PENALTY","PRUDENT TEHNIC","ELIGIBIL TEHNIC")))))</x:f>
        <x:v>ELIGIBIL TEHNIC</x:v>
      </x:c>
      <x:c r="V10" s="23" t="str">
        <x:f aca="0">IF(T10="N/A","Linie 0/±1: minimum MODERAT.",IF(T10="PASS","Exact-margin și Concentration234 PASS.",IF(T10="PENALTY","Minimum PRUDENT; neeligibil Builder.","CombinedGate FAIL sau date critice lipsă.")))</x:f>
        <x:v>Exact-margin și Concentration234 PASS.</x:v>
      </x:c>
      <x:c r="W10" s="49" t="n">
        <x:f aca="0">IF(AND(Z10&lt;5,OR(U10="ELIGIBIL TEHNIC",U10="PRUDENT TEHNIC")),(6-Z10)*100+Q10+Model!$F$22/10000,"")</x:f>
        <x:v>500.9800858042054</x:v>
      </x:c>
      <x:c r="X10" s="132" t="n">
        <x:f aca="0">IF(W10="","",COUNTIF($W$4:$W$12,"&gt;"&amp;W10)+1)</x:f>
        <x:v>3</x:v>
      </x:c>
      <x:c r="Y10" s="132" t="n">
        <x:f aca="0">IF(LEFT(U10,9)="DE EVITAT",4,IF(U10="PRUDENT TEHNIC",2,IF(T10="N/A",3,1)))</x:f>
        <x:v>1</x:v>
      </x:c>
      <x:c r="Z10" s="133" t="n">
        <x:f aca="0">IF(LEFT(U10,9)="DE EVITAT",5,MAX(Y10,INDEX(Risk_Classification!$J$43:$J$51,MATCH(A10,Risk_Classification!$A$43:$A$51,0))))</x:f>
        <x:v>1</x:v>
      </x:c>
      <x:c r="AA10" s="50" t="str">
        <x:f aca="0">IF(Z10=1,"DEFENSIV",IF(Z10=2,"PRUDENT",IF(Z10=3,"MODERAT",IF(Z10=4,"RIDICAT","WATCH / NO BET"))))</x:f>
        <x:v>DEFENSIV</x:v>
      </x:c>
      <x:c r="AB10" s="23" t="str">
        <x:f aca="0">IF(LEFT(U10,9)="DE EVITAT",U10,IF(Z10=5,"Risk Score peste 80","MAX(raw risk, structural floor)"))</x:f>
        <x:v>MAX(raw risk, structural floor)</x:v>
      </x:c>
    </x:row>
    <x:row r="11" ht="44" hidden="0" customHeight="1">
      <x:c r="A11" s="23" t="n">
        <x:v>3</x:v>
      </x:c>
      <x:c r="B11" s="24" t="n">
        <x:f aca="0">IF(Model!$F$29="READY",INDEX(Handicap_Toate!B$4:B$12,MATCH(A11,Handicap_Toate!A$4:A$12,0)),"")</x:f>
        <x:v>0.994117193691235</x:v>
      </x:c>
      <x:c r="C11" s="24" t="n">
        <x:f aca="0">IF(Model!$F$29="READY",INDEX(Handicap_Toate!C$4:C$12,MATCH(A11,Handicap_Toate!A$4:A$12,0)),"")</x:f>
        <x:v>0.004933204317834622</x:v>
      </x:c>
      <x:c r="D11" s="24" t="n">
        <x:f aca="0">IF(Model!$F$29="READY",INDEX(Handicap_Toate!D$4:D$12,MATCH(A11,Handicap_Toate!A$4:A$12,0)),"")</x:f>
        <x:v>0.0009348081374929035</x:v>
      </x:c>
      <x:c r="E11" s="25" t="str">
        <x:f aca="0">IF(AND(A11=Input_Meci!$C$7,ISNUMBER(Input_Meci!$C$8),Input_Meci!$C$8&gt;1),Input_Meci!$C$8,"")</x:f>
      </x:c>
      <x:c r="F11" s="25" t="str">
        <x:f aca="0">IF(AND(A11=Input_Meci!$C$7,ISNUMBER(Input_Meci!$C$9),Input_Meci!$C$9&gt;1),Input_Meci!$C$9,"")</x:f>
      </x:c>
      <x:c r="G11" s="25" t="str">
        <x:f aca="0">IF(AND(A11=Input_Meci!$C$7,ISNUMBER(Input_Meci!$C$10),Input_Meci!$C$10&gt;1),Input_Meci!$C$10,"")</x:f>
      </x:c>
      <x:c r="H11" s="26" t="str">
        <x:f aca="0">IF(AND(ISNUMBER(E11),E11&gt;1,ISNUMBER(B11)),B11*E11-1,"")</x:f>
      </x:c>
      <x:c r="I11" s="26" t="str">
        <x:f aca="0">IF(AND(ISNUMBER(F11),F11&gt;1,ISNUMBER(C11)),C11*F11-1,"")</x:f>
      </x:c>
      <x:c r="J11" s="26" t="str">
        <x:f aca="0">IF(AND(ISNUMBER(G11),G11&gt;1,ISNUMBER(D11)),D11*G11-1,"")</x:f>
      </x:c>
      <x:c r="K11" s="47" t="n">
        <x:f aca="0">IF(Model!$F$29="READY",IF(A11=0,MAX(INDEX(Handicap_Toate!$C$4:$C$12,MATCH(-2,Handicap_Toate!$A$4:$A$12,0)),INDEX(Handicap_Toate!$C$4:$C$12,MATCH(2,Handicap_Toate!$A$4:$A$12,0))),INDEX(Handicap_Toate!$C$4:$C$12,MATCH(IF(A11&lt;0,-2,2),Handicap_Toate!$A$4:$A$12,0))),"")</x:f>
        <x:v>0.0234313894859018</x:v>
      </x:c>
      <x:c r="L11" s="47" t="n">
        <x:f aca="0">IF(Model!$F$29="READY",IF(A11=0,MAX(INDEX(Handicap_Toate!$C$4:$C$12,MATCH(-3,Handicap_Toate!$A$4:$A$12,0)),INDEX(Handicap_Toate!$C$4:$C$12,MATCH(3,Handicap_Toate!$A$4:$A$12,0))),INDEX(Handicap_Toate!$C$4:$C$12,MATCH(IF(A11&lt;0,-3,3),Handicap_Toate!$A$4:$A$12,0))),"")</x:f>
        <x:v>0.004933204317834622</x:v>
      </x:c>
      <x:c r="M11" s="47" t="n">
        <x:f aca="0">IF(Model!$F$29="READY",IF(A11=0,MAX(INDEX(Handicap_Toate!$C$4:$C$12,MATCH(-4,Handicap_Toate!$A$4:$A$12,0)),INDEX(Handicap_Toate!$C$4:$C$12,MATCH(4,Handicap_Toate!$A$4:$A$12,0))),INDEX(Handicap_Toate!$C$4:$C$12,MATCH(IF(A11&lt;0,-4,4),Handicap_Toate!$A$4:$A$12,0))),"")</x:f>
        <x:v>0.0008118171546916042</x:v>
      </x:c>
      <x:c r="N11" s="47" t="n">
        <x:f aca="0">IF(COUNT(K11:M11)=3,SUM(K11:M11),"")</x:f>
        <x:v>0.029176410958428024</x:v>
      </x:c>
      <x:c r="O11" s="131" t="str">
        <x:f aca="0">IF(COUNT(B11:D11)&lt;3,"",IF(MAX(B11:D11)=B11,"1",IF(MAX(B11:D11)=C11,"X","2")))</x:f>
        <x:v>1</x:v>
      </x:c>
      <x:c r="P11" s="24" t="n">
        <x:f aca="0">IF(COUNT(B11:D11)=3,MAX(B11:D11),"")</x:f>
        <x:v>0.994117193691235</x:v>
      </x:c>
      <x:c r="Q11" s="24" t="n">
        <x:f aca="0">IF(OR(T11="FAIL",T11="MISSING"),"",P11)</x:f>
        <x:v>0.994117193691235</x:v>
      </x:c>
      <x:c r="R11" s="24" t="n">
        <x:f aca="0">IF(ISNUMBER(C11),C11,"")</x:f>
        <x:v>0.004933204317834622</x:v>
      </x:c>
      <x:c r="S11" s="24" t="n">
        <x:f aca="0">IF(O11="","",IF(O11="1",D11,IF(O11="2",B11,MAX(B11,D11))))</x:f>
        <x:v>0.0009348081374929035</x:v>
      </x:c>
      <x:c r="T11" s="48" t="str">
        <x:f aca="0">IF(OR(COUNT(B11:D11)&lt;3,COUNT(K11:M11)&lt;3,COUNT(R11)&lt;1),"MISSING",IF(ABS(A11)&lt;2,"N/A",IF(OR(IF(ABS(A11)=4,R11&gt;Parametri_v2!$B$5,R11&gt;Parametri_v2!$B$19),N11&gt;Parametri_v2!$B$23),"FAIL",IF(OR(AND(ABS(A11)&lt;4,R11&gt;Parametri_v2!$B$18),N11&gt;Parametri_v2!$B$22),"PENALTY","PASS"))))</x:f>
        <x:v>PASS</x:v>
      </x:c>
      <x:c r="U11" s="23" t="str">
        <x:f aca="0">IF(Model!$F$24&lt;&gt;"DA","DE EVITAT – FIXTURE",IF(T11="MISSING","DE EVITAT – LIPSA DISTRIBUTIE",IF(T11="FAIL","DE EVITAT – COMBINED GATE",IF(AND(ABS(A11)=4,OR(P11&lt;Parametri_v2!$B$4,S11&gt;Parametri_v2!$B$8)),"DE EVITAT – RISC ±4",IF(T11="PENALTY","PRUDENT TEHNIC","ELIGIBIL TEHNIC")))))</x:f>
        <x:v>ELIGIBIL TEHNIC</x:v>
      </x:c>
      <x:c r="V11" s="23" t="str">
        <x:f aca="0">IF(T11="N/A","Linie 0/±1: minimum MODERAT.",IF(T11="PASS","Exact-margin și Concentration234 PASS.",IF(T11="PENALTY","Minimum PRUDENT; neeligibil Builder.","CombinedGate FAIL sau date critice lipsă.")))</x:f>
        <x:v>Exact-margin și Concentration234 PASS.</x:v>
      </x:c>
      <x:c r="W11" s="49" t="n">
        <x:f aca="0">IF(AND(Z11&lt;5,OR(U11="ELIGIBIL TEHNIC",U11="PRUDENT TEHNIC")),(6-Z11)*100+Q11+Model!$F$22/10000,"")</x:f>
        <x:v>501.00351719369127</x:v>
      </x:c>
      <x:c r="X11" s="132" t="n">
        <x:f aca="0">IF(W11="","",COUNTIF($W$4:$W$12,"&gt;"&amp;W11)+1)</x:f>
        <x:v>2</x:v>
      </x:c>
      <x:c r="Y11" s="132" t="n">
        <x:f aca="0">IF(LEFT(U11,9)="DE EVITAT",4,IF(U11="PRUDENT TEHNIC",2,IF(T11="N/A",3,1)))</x:f>
        <x:v>1</x:v>
      </x:c>
      <x:c r="Z11" s="133" t="n">
        <x:f aca="0">IF(LEFT(U11,9)="DE EVITAT",5,MAX(Y11,INDEX(Risk_Classification!$J$43:$J$51,MATCH(A11,Risk_Classification!$A$43:$A$51,0))))</x:f>
        <x:v>1</x:v>
      </x:c>
      <x:c r="AA11" s="50" t="str">
        <x:f aca="0">IF(Z11=1,"DEFENSIV",IF(Z11=2,"PRUDENT",IF(Z11=3,"MODERAT",IF(Z11=4,"RIDICAT","WATCH / NO BET"))))</x:f>
        <x:v>DEFENSIV</x:v>
      </x:c>
      <x:c r="AB11" s="23" t="str">
        <x:f aca="0">IF(LEFT(U11,9)="DE EVITAT",U11,IF(Z11=5,"Risk Score peste 80","MAX(raw risk, structural floor)"))</x:f>
        <x:v>MAX(raw risk, structural floor)</x:v>
      </x:c>
    </x:row>
    <x:row r="12" ht="44" hidden="0" customHeight="1">
      <x:c r="A12" s="23" t="n">
        <x:v>4</x:v>
      </x:c>
      <x:c r="B12" s="24" t="n">
        <x:f aca="0">IF(Model!$F$29="READY",INDEX(Handicap_Toate!B$4:B$12,MATCH(A12,Handicap_Toate!A$4:A$12,0)),"")</x:f>
        <x:v>0.9990503980090696</x:v>
      </x:c>
      <x:c r="C12" s="24" t="n">
        <x:f aca="0">IF(Model!$F$29="READY",INDEX(Handicap_Toate!C$4:C$12,MATCH(A12,Handicap_Toate!A$4:A$12,0)),"")</x:f>
        <x:v>0.0008118171546916042</x:v>
      </x:c>
      <x:c r="D12" s="24" t="n">
        <x:f aca="0">IF(Model!$F$29="READY",INDEX(Handicap_Toate!D$4:D$12,MATCH(A12,Handicap_Toate!A$4:A$12,0)),"")</x:f>
        <x:v>0.00012299098280129904</x:v>
      </x:c>
      <x:c r="E12" s="25" t="str">
        <x:f aca="0">IF(AND(A12=Input_Meci!$C$7,ISNUMBER(Input_Meci!$C$8),Input_Meci!$C$8&gt;1),Input_Meci!$C$8,"")</x:f>
      </x:c>
      <x:c r="F12" s="25" t="str">
        <x:f aca="0">IF(AND(A12=Input_Meci!$C$7,ISNUMBER(Input_Meci!$C$9),Input_Meci!$C$9&gt;1),Input_Meci!$C$9,"")</x:f>
      </x:c>
      <x:c r="G12" s="25" t="str">
        <x:f aca="0">IF(AND(A12=Input_Meci!$C$7,ISNUMBER(Input_Meci!$C$10),Input_Meci!$C$10&gt;1),Input_Meci!$C$10,"")</x:f>
      </x:c>
      <x:c r="H12" s="26" t="str">
        <x:f aca="0">IF(AND(ISNUMBER(E12),E12&gt;1,ISNUMBER(B12)),B12*E12-1,"")</x:f>
      </x:c>
      <x:c r="I12" s="26" t="str">
        <x:f aca="0">IF(AND(ISNUMBER(F12),F12&gt;1,ISNUMBER(C12)),C12*F12-1,"")</x:f>
      </x:c>
      <x:c r="J12" s="26" t="str">
        <x:f aca="0">IF(AND(ISNUMBER(G12),G12&gt;1,ISNUMBER(D12)),D12*G12-1,"")</x:f>
      </x:c>
      <x:c r="K12" s="47" t="n">
        <x:f aca="0">IF(Model!$F$29="READY",IF(A12=0,MAX(INDEX(Handicap_Toate!$C$4:$C$12,MATCH(-2,Handicap_Toate!$A$4:$A$12,0)),INDEX(Handicap_Toate!$C$4:$C$12,MATCH(2,Handicap_Toate!$A$4:$A$12,0))),INDEX(Handicap_Toate!$C$4:$C$12,MATCH(IF(A12&lt;0,-2,2),Handicap_Toate!$A$4:$A$12,0))),"")</x:f>
        <x:v>0.0234313894859018</x:v>
      </x:c>
      <x:c r="L12" s="47" t="n">
        <x:f aca="0">IF(Model!$F$29="READY",IF(A12=0,MAX(INDEX(Handicap_Toate!$C$4:$C$12,MATCH(-3,Handicap_Toate!$A$4:$A$12,0)),INDEX(Handicap_Toate!$C$4:$C$12,MATCH(3,Handicap_Toate!$A$4:$A$12,0))),INDEX(Handicap_Toate!$C$4:$C$12,MATCH(IF(A12&lt;0,-3,3),Handicap_Toate!$A$4:$A$12,0))),"")</x:f>
        <x:v>0.004933204317834622</x:v>
      </x:c>
      <x:c r="M12" s="47" t="n">
        <x:f aca="0">IF(Model!$F$29="READY",IF(A12=0,MAX(INDEX(Handicap_Toate!$C$4:$C$12,MATCH(-4,Handicap_Toate!$A$4:$A$12,0)),INDEX(Handicap_Toate!$C$4:$C$12,MATCH(4,Handicap_Toate!$A$4:$A$12,0))),INDEX(Handicap_Toate!$C$4:$C$12,MATCH(IF(A12&lt;0,-4,4),Handicap_Toate!$A$4:$A$12,0))),"")</x:f>
        <x:v>0.0008118171546916042</x:v>
      </x:c>
      <x:c r="N12" s="47" t="n">
        <x:f aca="0">IF(COUNT(K12:M12)=3,SUM(K12:M12),"")</x:f>
        <x:v>0.029176410958428024</x:v>
      </x:c>
      <x:c r="O12" s="131" t="str">
        <x:f aca="0">IF(COUNT(B12:D12)&lt;3,"",IF(MAX(B12:D12)=B12,"1",IF(MAX(B12:D12)=C12,"X","2")))</x:f>
        <x:v>1</x:v>
      </x:c>
      <x:c r="P12" s="24" t="n">
        <x:f aca="0">IF(COUNT(B12:D12)=3,MAX(B12:D12),"")</x:f>
        <x:v>0.9990503980090696</x:v>
      </x:c>
      <x:c r="Q12" s="24" t="n">
        <x:f aca="0">IF(OR(T12="FAIL",T12="MISSING"),"",P12)</x:f>
        <x:v>0.9990503980090696</x:v>
      </x:c>
      <x:c r="R12" s="24" t="n">
        <x:f aca="0">IF(ISNUMBER(C12),C12,"")</x:f>
        <x:v>0.0008118171546916042</x:v>
      </x:c>
      <x:c r="S12" s="24" t="n">
        <x:f aca="0">IF(O12="","",IF(O12="1",D12,IF(O12="2",B12,MAX(B12,D12))))</x:f>
        <x:v>0.00012299098280129904</x:v>
      </x:c>
      <x:c r="T12" s="48" t="str">
        <x:f aca="0">IF(OR(COUNT(B12:D12)&lt;3,COUNT(K12:M12)&lt;3,COUNT(R12)&lt;1),"MISSING",IF(ABS(A12)&lt;2,"N/A",IF(OR(IF(ABS(A12)=4,R12&gt;Parametri_v2!$B$5,R12&gt;Parametri_v2!$B$19),N12&gt;Parametri_v2!$B$23),"FAIL",IF(OR(AND(ABS(A12)&lt;4,R12&gt;Parametri_v2!$B$18),N12&gt;Parametri_v2!$B$22),"PENALTY","PASS"))))</x:f>
        <x:v>PASS</x:v>
      </x:c>
      <x:c r="U12" s="23" t="str">
        <x:f aca="0">IF(Model!$F$24&lt;&gt;"DA","DE EVITAT – FIXTURE",IF(T12="MISSING","DE EVITAT – LIPSA DISTRIBUTIE",IF(T12="FAIL","DE EVITAT – COMBINED GATE",IF(AND(ABS(A12)=4,OR(P12&lt;Parametri_v2!$B$4,S12&gt;Parametri_v2!$B$8)),"DE EVITAT – RISC ±4",IF(T12="PENALTY","PRUDENT TEHNIC","ELIGIBIL TEHNIC")))))</x:f>
        <x:v>ELIGIBIL TEHNIC</x:v>
      </x:c>
      <x:c r="V12" s="23" t="str">
        <x:f aca="0">IF(T12="N/A","Linie 0/±1: minimum MODERAT.",IF(T12="PASS","Exact-margin și Concentration234 PASS.",IF(T12="PENALTY","Minimum PRUDENT; neeligibil Builder.","CombinedGate FAIL sau date critice lipsă.")))</x:f>
        <x:v>Exact-margin și Concentration234 PASS.</x:v>
      </x:c>
      <x:c r="W12" s="49" t="n">
        <x:f aca="0">IF(AND(Z12&lt;5,OR(U12="ELIGIBIL TEHNIC",U12="PRUDENT TEHNIC")),(6-Z12)*100+Q12+Model!$F$22/10000,"")</x:f>
        <x:v>501.0084503980091</x:v>
      </x:c>
      <x:c r="X12" s="132" t="n">
        <x:f aca="0">IF(W12="","",COUNTIF($W$4:$W$12,"&gt;"&amp;W12)+1)</x:f>
        <x:v>1</x:v>
      </x:c>
      <x:c r="Y12" s="132" t="n">
        <x:f aca="0">IF(LEFT(U12,9)="DE EVITAT",4,IF(U12="PRUDENT TEHNIC",2,IF(T12="N/A",3,1)))</x:f>
        <x:v>1</x:v>
      </x:c>
      <x:c r="Z12" s="133" t="n">
        <x:f aca="0">IF(LEFT(U12,9)="DE EVITAT",5,MAX(Y12,INDEX(Risk_Classification!$J$43:$J$51,MATCH(A12,Risk_Classification!$A$43:$A$51,0))))</x:f>
        <x:v>1</x:v>
      </x:c>
      <x:c r="AA12" s="50" t="str">
        <x:f aca="0">IF(Z12=1,"DEFENSIV",IF(Z12=2,"PRUDENT",IF(Z12=3,"MODERAT",IF(Z12=4,"RIDICAT","WATCH / NO BET"))))</x:f>
        <x:v>DEFENSIV</x:v>
      </x:c>
      <x:c r="AB12" s="23" t="str">
        <x:f aca="0">IF(LEFT(U12,9)="DE EVITAT",U12,IF(Z12=5,"Risk Score peste 80","MAX(raw risk, structural floor)"))</x:f>
        <x:v>MAX(raw risk, structural floor)</x:v>
      </x:c>
    </x:row>
    <x:row r="15">
      <x:c r="A15" s="135" t="str">
        <x:v>Linia recomandată</x:v>
      </x:c>
      <x:c r="B15" s="135" t="n">
        <x:f>IFERROR(INDEX(A4:A12,MATCH(1,X4:X12,0)),"NICIO LINIE ELIGIBILA")</x:f>
        <x:v>4</x:v>
      </x:c>
      <x:c r="C15" s="135"/>
      <x:c r="D15" s="135" t="str">
        <x:v>Selecție</x:v>
      </x:c>
      <x:c r="E15" s="135" t="n">
        <x:f>IFERROR(INDEX(O4:O12,MATCH(1,X4:X12,0)),"")</x:f>
        <x:v>1</x:v>
      </x:c>
      <x:c r="F15" s="135"/>
      <x:c r="G15" s="135" t="str">
        <x:v>Verdict</x:v>
      </x:c>
      <x:c r="H15" s="135" t="str">
        <x:f>IFERROR(INDEX(AA4:AA12,MATCH(1,X4:X12,0)),"WATCH / NO BET")</x:f>
        <x:v>DEFENSIV</x:v>
      </x:c>
      <x:c r="I15" s="135"/>
      <x:c r="J15" s="135"/>
    </x:row>
    <x:row r="16">
      <x:c r="A16" s="135"/>
      <x:c r="B16" s="135"/>
      <x:c r="C16" s="135"/>
      <x:c r="D16" s="135"/>
      <x:c r="E16" s="135"/>
      <x:c r="F16" s="135"/>
      <x:c r="G16" s="135"/>
      <x:c r="H16" s="135"/>
      <x:c r="I16" s="135"/>
      <x:c r="J16" s="135"/>
    </x:row>
  </x:sheetData>
  <x:mergeCells>
    <x:mergeCell ref="A1:X1"/>
    <x:mergeCell ref="A15:A16"/>
    <x:mergeCell ref="B15:C16"/>
    <x:mergeCell ref="D15:D16"/>
    <x:mergeCell ref="E15:F16"/>
    <x:mergeCell ref="G15:G16"/>
    <x:mergeCell ref="H15:J16"/>
  </x:mergeCells>
  <x:conditionalFormatting sqref="T4:T12">
    <x:cfRule type="containsText" dxfId="38" priority="1" operator="containsText" text="FAIL"/>
    <x:cfRule type="containsText" dxfId="39" priority="2" operator="containsText" text="MISSING"/>
    <x:cfRule type="containsText" dxfId="40" priority="3" operator="containsText" text="PENALTY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4.25"/>
  <x:cols>
    <x:col min="1" max="1" width="7" hidden="0" customWidth="1"/>
    <x:col min="2" max="2" width="12" hidden="0" customWidth="1"/>
    <x:col min="3" max="4" width="16" hidden="0" customWidth="1"/>
    <x:col min="5" max="6" width="22" hidden="0" customWidth="1"/>
    <x:col min="8" max="10" width="24" hidden="0" customWidth="1"/>
    <x:col min="22" max="22" width="26" hidden="0" customWidth="1"/>
    <x:col min="49" max="50" width="44" hidden="0" customWidth="1"/>
    <x:col min="51" max="51" width="34" hidden="0" customWidth="1"/>
    <x:col min="53" max="53" width="22" hidden="0" customWidth="1"/>
    <x:col min="54" max="54" width="14" hidden="0" customWidth="1"/>
    <x:col min="55" max="55" width="16" hidden="0" customWidth="1"/>
    <x:col min="56" max="56" width="20" hidden="0" customWidth="1"/>
    <x:col min="57" max="57" width="21" hidden="0" customWidth="1"/>
    <x:col min="58" max="58" width="18" hidden="0" customWidth="1"/>
  </x:cols>
  <x:sheetData>
    <x:row r="1" ht="28" hidden="0" customHeight="1">
      <x:c r="A1" s="46" t="str">
        <x:v>ARHIVĂ ISTORICĂ – VALORI SALVATE ÎN FIȘIERUL SURSĂ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  <x:c r="AP1" s="46"/>
      <x:c r="AQ1" s="46"/>
      <x:c r="AR1" s="46"/>
      <x:c r="AS1" s="46"/>
      <x:c r="AT1" s="46"/>
      <x:c r="AU1" s="46"/>
      <x:c r="AV1" s="46"/>
      <x:c r="AW1" s="46"/>
      <x:c r="AX1" s="46"/>
      <x:c r="AY1" s="46"/>
      <x:c r="AZ1" s="46"/>
      <x:c r="BA1" s="46"/>
      <x:c r="BB1" s="46"/>
      <x:c r="BC1" s="46"/>
      <x:c r="BD1" s="46"/>
      <x:c r="BE1" s="46"/>
      <x:c r="BF1" s="46"/>
    </x:row>
    <x:row r="2" ht="14.25" hidden="0" customHeight="1">
      <x:c r="A2" s="51" t="str">
        <x:v>Predicțiile și rezultatele istorice sunt păstrate ca valori. Cota, EV și verdicturile vechi nu se recalculează cu parametrii curenți și nu intră în selectorul actual.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  <x:c r="AA2" s="51"/>
      <x:c r="AB2" s="51"/>
      <x:c r="AC2" s="51"/>
      <x:c r="AD2" s="51"/>
      <x:c r="AE2" s="51"/>
      <x:c r="AF2" s="51"/>
      <x:c r="AG2" s="51"/>
      <x:c r="AH2" s="51"/>
      <x:c r="AI2" s="51"/>
      <x:c r="AJ2" s="51"/>
      <x:c r="AK2" s="51"/>
      <x:c r="AL2" s="51"/>
      <x:c r="AM2" s="51"/>
      <x:c r="AN2" s="51"/>
      <x:c r="AO2" s="51"/>
      <x:c r="AP2" s="51"/>
      <x:c r="AQ2" s="51"/>
      <x:c r="AR2" s="51"/>
      <x:c r="AS2" s="51"/>
      <x:c r="AT2" s="51"/>
      <x:c r="AU2" s="51"/>
      <x:c r="AV2" s="51"/>
      <x:c r="AW2" s="51"/>
      <x:c r="AX2" s="51"/>
      <x:c r="AY2" s="51"/>
      <x:c r="AZ2" s="51"/>
      <x:c r="BA2" s="51"/>
      <x:c r="BB2" s="51"/>
      <x:c r="BC2" s="51"/>
      <x:c r="BD2" s="51"/>
      <x:c r="BE2" s="51"/>
      <x:c r="BF2" s="51"/>
    </x:row>
    <x:row r="3" ht="14.25" hidden="0" customHeight="1">
      <x:c r="A3" s="52" t="s">
        <x:v>356</x:v>
      </x:c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  <x:c r="AA3" s="52"/>
      <x:c r="AB3" s="52"/>
      <x:c r="AC3" s="52"/>
      <x:c r="AD3" s="52"/>
      <x:c r="AE3" s="52"/>
      <x:c r="AF3" s="52"/>
      <x:c r="AG3" s="52"/>
      <x:c r="AH3" s="52"/>
      <x:c r="AI3" s="52"/>
      <x:c r="AJ3" s="52"/>
      <x:c r="AK3" s="52"/>
      <x:c r="AL3" s="52"/>
      <x:c r="AM3" s="52"/>
      <x:c r="AN3" s="52"/>
      <x:c r="AO3" s="52"/>
      <x:c r="AP3" s="52"/>
      <x:c r="AQ3" s="52"/>
      <x:c r="AR3" s="52"/>
      <x:c r="AS3" s="52"/>
      <x:c r="AT3" s="52"/>
      <x:c r="AU3" s="52"/>
      <x:c r="AV3" s="52"/>
      <x:c r="AW3" s="52"/>
      <x:c r="AX3" s="52"/>
      <x:c r="AY3" s="52"/>
      <x:c r="AZ3" s="52"/>
      <x:c r="BA3" s="52"/>
      <x:c r="BB3" s="52"/>
      <x:c r="BC3" s="52"/>
      <x:c r="BD3" s="52"/>
      <x:c r="BE3" s="52"/>
      <x:c r="BF3" s="52"/>
    </x:row>
    <x:row r="4" ht="46.25" hidden="0">
      <x:c r="A4" s="2" t="s">
        <x:v>357</x:v>
      </x:c>
      <x:c r="B4" s="2" t="s">
        <x:v>358</x:v>
      </x:c>
      <x:c r="C4" s="2" t="s">
        <x:v>359</x:v>
      </x:c>
      <x:c r="D4" s="2" t="s">
        <x:v>12</x:v>
      </x:c>
      <x:c r="E4" s="2" t="s">
        <x:v>3</x:v>
      </x:c>
      <x:c r="F4" s="2" t="s">
        <x:v>4</x:v>
      </x:c>
      <x:c r="G4" s="2" t="s">
        <x:v>360</x:v>
      </x:c>
      <x:c r="H4" s="2" t="s">
        <x:v>361</x:v>
      </x:c>
      <x:c r="I4" s="2" t="s">
        <x:v>69</x:v>
      </x:c>
      <x:c r="J4" s="2" t="s">
        <x:v>72</x:v>
      </x:c>
      <x:c r="K4" s="2" t="s">
        <x:v>167</x:v>
      </x:c>
      <x:c r="L4" s="2" t="s">
        <x:v>362</x:v>
      </x:c>
      <x:c r="M4" s="2" t="s">
        <x:v>363</x:v>
      </x:c>
      <x:c r="N4" s="2" t="s">
        <x:v>364</x:v>
      </x:c>
      <x:c r="O4" s="2" t="s">
        <x:v>365</x:v>
      </x:c>
      <x:c r="P4" s="2" t="s">
        <x:v>366</x:v>
      </x:c>
      <x:c r="Q4" s="2" t="s">
        <x:v>367</x:v>
      </x:c>
      <x:c r="R4" s="2" t="s">
        <x:v>368</x:v>
      </x:c>
      <x:c r="S4" s="2" t="s">
        <x:v>369</x:v>
      </x:c>
      <x:c r="T4" s="2" t="s">
        <x:v>213</x:v>
      </x:c>
      <x:c r="U4" s="2" t="s">
        <x:v>370</x:v>
      </x:c>
      <x:c r="V4" s="2" t="s">
        <x:v>371</x:v>
      </x:c>
      <x:c r="W4" s="2" t="s">
        <x:v>372</x:v>
      </x:c>
      <x:c r="X4" s="2" t="s">
        <x:v>373</x:v>
      </x:c>
      <x:c r="Y4" s="2" t="s">
        <x:v>374</x:v>
      </x:c>
      <x:c r="Z4" s="2" t="s">
        <x:v>245</x:v>
      </x:c>
      <x:c r="AA4" s="2" t="s">
        <x:v>375</x:v>
      </x:c>
      <x:c r="AB4" s="2" t="s">
        <x:v>376</x:v>
      </x:c>
      <x:c r="AC4" s="2" t="s">
        <x:v>377</x:v>
      </x:c>
      <x:c r="AD4" s="2" t="s">
        <x:v>378</x:v>
      </x:c>
      <x:c r="AE4" s="2" t="s">
        <x:v>379</x:v>
      </x:c>
      <x:c r="AF4" s="2" t="s">
        <x:v>77</x:v>
      </x:c>
      <x:c r="AG4" s="2" t="s">
        <x:v>380</x:v>
      </x:c>
      <x:c r="AH4" s="2" t="s">
        <x:v>381</x:v>
      </x:c>
      <x:c r="AI4" s="2" t="s">
        <x:v>382</x:v>
      </x:c>
      <x:c r="AJ4" s="2" t="s">
        <x:v>383</x:v>
      </x:c>
      <x:c r="AK4" s="2" t="s">
        <x:v>304</x:v>
      </x:c>
      <x:c r="AL4" s="2" t="s">
        <x:v>384</x:v>
      </x:c>
      <x:c r="AM4" s="2" t="s">
        <x:v>385</x:v>
      </x:c>
      <x:c r="AN4" s="2" t="s">
        <x:v>386</x:v>
      </x:c>
      <x:c r="AO4" s="2" t="s">
        <x:v>387</x:v>
      </x:c>
      <x:c r="AP4" s="2" t="s">
        <x:v>388</x:v>
      </x:c>
      <x:c r="AQ4" s="2" t="s">
        <x:v>389</x:v>
      </x:c>
      <x:c r="AR4" s="2" t="s">
        <x:v>390</x:v>
      </x:c>
      <x:c r="AS4" s="2" t="s">
        <x:v>391</x:v>
      </x:c>
      <x:c r="AT4" s="2" t="s">
        <x:v>392</x:v>
      </x:c>
      <x:c r="AU4" s="2" t="s">
        <x:v>393</x:v>
      </x:c>
      <x:c r="AV4" s="2" t="s">
        <x:v>394</x:v>
      </x:c>
      <x:c r="AW4" s="2" t="s">
        <x:v>395</x:v>
      </x:c>
      <x:c r="AX4" s="2" t="s">
        <x:v>396</x:v>
      </x:c>
      <x:c r="AY4" s="2" t="s">
        <x:v>397</x:v>
      </x:c>
      <x:c r="AZ4" s="2" t="s">
        <x:v>398</x:v>
      </x:c>
      <x:c r="BA4" s="2" t="s">
        <x:v>399</x:v>
      </x:c>
      <x:c r="BB4" s="2" t="s">
        <x:v>400</x:v>
      </x:c>
      <x:c r="BC4" s="2" t="s">
        <x:v>401</x:v>
      </x:c>
      <x:c r="BD4" s="2" t="s">
        <x:v>402</x:v>
      </x:c>
      <x:c r="BE4" s="2" t="s">
        <x:v>403</x:v>
      </x:c>
      <x:c r="BF4" s="2" t="s">
        <x:v>404</x:v>
      </x:c>
    </x:row>
    <x:row r="5" ht="68.6500015258789" hidden="0">
      <x:c r="A5" s="3" t="n">
        <x:v>1</x:v>
      </x:c>
      <x:c r="B5" s="53" t="n">
        <x:v>46263</x:v>
      </x:c>
      <x:c r="C5" s="3" t="s">
        <x:v>405</x:v>
      </x:c>
      <x:c r="D5" s="3" t="s">
        <x:v>406</x:v>
      </x:c>
      <x:c r="E5" s="3" t="s">
        <x:v>407</x:v>
      </x:c>
      <x:c r="F5" s="3" t="s">
        <x:v>408</x:v>
      </x:c>
      <x:c r="G5" s="3" t="s">
        <x:v>409</x:v>
      </x:c>
      <x:c r="H5" s="3" t="s">
        <x:v>410</x:v>
      </x:c>
      <x:c r="I5" s="3" t="s">
        <x:v>411</x:v>
      </x:c>
      <x:c r="J5" s="3"/>
      <x:c r="K5" s="3"/>
      <x:c r="L5" s="54" t="n">
        <x:v>1.935925</x:v>
      </x:c>
      <x:c r="M5" s="54" t="n">
        <x:v>0.514075</x:v>
      </x:c>
      <x:c r="N5" s="12" t="n">
        <x:v>0.56</x:v>
      </x:c>
      <x:c r="O5" s="12" t="n">
        <x:v>0.25</x:v>
      </x:c>
      <x:c r="P5" s="12" t="n">
        <x:v>0.19</x:v>
      </x:c>
      <x:c r="Q5" s="3" t="str">
        <x:f aca="0">"1"</x:f>
        <x:v>1</x:v>
      </x:c>
      <x:c r="R5" s="3" t="s">
        <x:v>407</x:v>
      </x:c>
      <x:c r="S5" s="3" t="str">
        <x:f aca="0">"Nottingham Forest"</x:f>
        <x:v>Nottingham Forest</x:v>
      </x:c>
      <x:c r="T5" s="3" t="n">
        <x:v>-4</x:v>
      </x:c>
      <x:c r="U5" s="3" t="s">
        <x:v>412</x:v>
      </x:c>
      <x:c r="V5" s="3" t="s">
        <x:v>413</x:v>
      </x:c>
      <x:c r="W5" s="12" t="n">
        <x:v>0.905698494272303</x:v>
      </x:c>
      <x:c r="X5" s="12" t="n">
        <x:v>0.0614302678473857</x:v>
      </x:c>
      <x:c r="Y5" s="12" t="n">
        <x:v>0.0328712378803111</x:v>
      </x:c>
      <x:c r="Z5" s="13" t="n">
        <x:v>86</x:v>
      </x:c>
      <x:c r="AA5" s="3" t="s">
        <x:v>414</x:v>
      </x:c>
      <x:c r="AB5" s="54" t="n">
        <x:v>1.10412019708994</x:v>
      </x:c>
      <x:c r="AC5" s="54" t="n">
        <x:v>1.19244981285714</x:v>
      </x:c>
      <x:c r="AD5" s="54"/>
      <x:c r="AE5" s="3"/>
      <x:c r="AF5" s="3"/>
      <x:c r="AG5" s="54"/>
      <x:c r="AH5" s="12"/>
      <x:c r="AI5" s="12" t="n">
        <x:v>0.04</x:v>
      </x:c>
      <x:c r="AJ5" s="12"/>
      <x:c r="AK5" s="12"/>
      <x:c r="AL5" s="19" t="s">
        <x:v>415</x:v>
      </x:c>
      <x:c r="AM5" s="3" t="s">
        <x:v>102</x:v>
      </x:c>
      <x:c r="AN5" s="3" t="n">
        <x:v>2</x:v>
      </x:c>
      <x:c r="AO5" s="3" t="n">
        <x:v>2</x:v>
      </x:c>
      <x:c r="AP5" s="3" t="s">
        <x:v>416</x:v>
      </x:c>
      <x:c r="AQ5" s="3" t="s">
        <x:v>417</x:v>
      </x:c>
      <x:c r="AR5" s="3" t="s">
        <x:v>107</x:v>
      </x:c>
      <x:c r="AS5" s="3" t="s">
        <x:v>412</x:v>
      </x:c>
      <x:c r="AT5" s="3" t="s">
        <x:v>418</x:v>
      </x:c>
      <x:c r="AU5" s="54"/>
      <x:c r="AV5" s="12"/>
      <x:c r="AW5" s="3" t="s">
        <x:v>419</x:v>
      </x:c>
      <x:c r="AX5" s="3" t="s">
        <x:v>420</x:v>
      </x:c>
      <x:c r="AY5" s="3" t="s">
        <x:v>421</x:v>
      </x:c>
      <x:c r="AZ5" s="3" t="s">
        <x:v>422</x:v>
      </x:c>
      <x:c r="BA5" s="3" t="s">
        <x:v>423</x:v>
      </x:c>
      <x:c r="BB5" s="11" t="n">
        <x:f aca="0">0.03</x:f>
        <x:v>0.03</x:v>
      </x:c>
      <x:c r="BC5" s="11" t="n">
        <x:f aca="0">0.03143026784738573</x:f>
        <x:v>0.03143026784738573</x:v>
      </x:c>
      <x:c r="BD5" s="11" t="str">
        <x:f aca="0">""</x:f>
      </x:c>
      <x:c r="BE5" s="19" t="str">
        <x:f aca="0">"NO BET – +4 STRICT"</x:f>
        <x:v>NO BET – +4 STRICT</x:v>
      </x:c>
      <x:c r="BF5" s="19" t="str">
        <x:f aca="0">""</x:f>
      </x:c>
    </x:row>
    <x:row r="6" ht="68.6500015258789" hidden="0">
      <x:c r="A6" s="3" t="n">
        <x:v>2</x:v>
      </x:c>
      <x:c r="B6" s="53" t="n">
        <x:v>46263</x:v>
      </x:c>
      <x:c r="C6" s="3" t="s">
        <x:v>405</x:v>
      </x:c>
      <x:c r="D6" s="3" t="s">
        <x:v>406</x:v>
      </x:c>
      <x:c r="E6" s="3" t="s">
        <x:v>424</x:v>
      </x:c>
      <x:c r="F6" s="3" t="s">
        <x:v>425</x:v>
      </x:c>
      <x:c r="G6" s="3" t="s">
        <x:v>409</x:v>
      </x:c>
      <x:c r="H6" s="3" t="s">
        <x:v>410</x:v>
      </x:c>
      <x:c r="I6" s="3" t="s">
        <x:v>411</x:v>
      </x:c>
      <x:c r="J6" s="3"/>
      <x:c r="K6" s="3"/>
      <x:c r="L6" s="54" t="n">
        <x:v>1.53342969373351</x:v>
      </x:c>
      <x:c r="M6" s="54" t="n">
        <x:v>1.32657030626649</x:v>
      </x:c>
      <x:c r="N6" s="12" t="n">
        <x:v>0.27</x:v>
      </x:c>
      <x:c r="O6" s="12" t="n">
        <x:v>0.26</x:v>
      </x:c>
      <x:c r="P6" s="12" t="n">
        <x:v>0.46</x:v>
      </x:c>
      <x:c r="Q6" s="3" t="str">
        <x:f aca="0">"2"</x:f>
        <x:v>2</x:v>
      </x:c>
      <x:c r="R6" s="3" t="s">
        <x:v>424</x:v>
      </x:c>
      <x:c r="S6" s="3" t="str">
        <x:f aca="0">"Everton"</x:f>
        <x:v>Everton</x:v>
      </x:c>
      <x:c r="T6" s="3"/>
      <x:c r="U6" s="3"/>
      <x:c r="V6" s="3"/>
      <x:c r="W6" s="12"/>
      <x:c r="X6" s="12"/>
      <x:c r="Y6" s="12"/>
      <x:c r="Z6" s="13" t="n">
        <x:v>45</x:v>
      </x:c>
      <x:c r="AA6" s="3" t="s">
        <x:v>426</x:v>
      </x:c>
      <x:c r="AB6" s="54"/>
      <x:c r="AC6" s="54"/>
      <x:c r="AD6" s="54"/>
      <x:c r="AE6" s="3"/>
      <x:c r="AF6" s="3"/>
      <x:c r="AG6" s="54"/>
      <x:c r="AH6" s="12"/>
      <x:c r="AI6" s="12" t="n">
        <x:v>0.04</x:v>
      </x:c>
      <x:c r="AJ6" s="12"/>
      <x:c r="AK6" s="12"/>
      <x:c r="AL6" s="19" t="s">
        <x:v>427</x:v>
      </x:c>
      <x:c r="AM6" s="3" t="s">
        <x:v>107</x:v>
      </x:c>
      <x:c r="AN6" s="3" t="n">
        <x:v>1</x:v>
      </x:c>
      <x:c r="AO6" s="3" t="n">
        <x:v>1</x:v>
      </x:c>
      <x:c r="AP6" s="3" t="s">
        <x:v>428</x:v>
      </x:c>
      <x:c r="AQ6" s="3" t="s">
        <x:v>417</x:v>
      </x:c>
      <x:c r="AR6" s="3" t="s">
        <x:v>107</x:v>
      </x:c>
      <x:c r="AS6" s="3"/>
      <x:c r="AT6" s="3"/>
      <x:c r="AU6" s="54"/>
      <x:c r="AV6" s="12"/>
      <x:c r="AW6" s="3" t="s">
        <x:v>429</x:v>
      </x:c>
      <x:c r="AX6" s="3" t="s">
        <x:v>430</x:v>
      </x:c>
      <x:c r="AY6" s="3" t="s">
        <x:v>421</x:v>
      </x:c>
      <x:c r="AZ6" s="3" t="s">
        <x:v>422</x:v>
      </x:c>
      <x:c r="BA6" s="3" t="s">
        <x:v>423</x:v>
      </x:c>
      <x:c r="BB6" s="11" t="str">
        <x:f aca="0">""</x:f>
      </x:c>
      <x:c r="BC6" s="11" t="n">
        <x:f aca="0">0</x:f>
        <x:v>0</x:v>
      </x:c>
      <x:c r="BD6" s="11" t="str">
        <x:f aca="0">""</x:f>
      </x:c>
      <x:c r="BE6" s="19" t="str">
        <x:f aca="0">"N/A"</x:f>
        <x:v>N/A</x:v>
      </x:c>
      <x:c r="BF6" s="19" t="str">
        <x:f aca="0">""</x:f>
      </x:c>
    </x:row>
    <x:row r="7" ht="68.6500015258789" hidden="0">
      <x:c r="A7" s="3" t="n">
        <x:v>3</x:v>
      </x:c>
      <x:c r="B7" s="53" t="n">
        <x:v>46263</x:v>
      </x:c>
      <x:c r="C7" s="3" t="s">
        <x:v>405</x:v>
      </x:c>
      <x:c r="D7" s="3" t="s">
        <x:v>406</x:v>
      </x:c>
      <x:c r="E7" s="3" t="s">
        <x:v>431</x:v>
      </x:c>
      <x:c r="F7" s="3" t="s">
        <x:v>432</x:v>
      </x:c>
      <x:c r="G7" s="3" t="s">
        <x:v>409</x:v>
      </x:c>
      <x:c r="H7" s="3" t="s">
        <x:v>410</x:v>
      </x:c>
      <x:c r="I7" s="3" t="s">
        <x:v>411</x:v>
      </x:c>
      <x:c r="J7" s="3"/>
      <x:c r="K7" s="3"/>
      <x:c r="L7" s="54" t="n">
        <x:v>0.539620889594917</x:v>
      </x:c>
      <x:c r="M7" s="54" t="n">
        <x:v>0.390379110405083</x:v>
      </x:c>
      <x:c r="N7" s="12" t="n">
        <x:v>0.14</x:v>
      </x:c>
      <x:c r="O7" s="12" t="n">
        <x:v>0.24</x:v>
      </x:c>
      <x:c r="P7" s="12" t="n">
        <x:v>0.62</x:v>
      </x:c>
      <x:c r="Q7" s="3" t="str">
        <x:f aca="0">"2"</x:f>
        <x:v>2</x:v>
      </x:c>
      <x:c r="R7" s="3" t="s">
        <x:v>431</x:v>
      </x:c>
      <x:c r="S7" s="3" t="str">
        <x:f aca="0">"Hull"</x:f>
        <x:v>Hull</x:v>
      </x:c>
      <x:c r="T7" s="3"/>
      <x:c r="U7" s="3"/>
      <x:c r="V7" s="3"/>
      <x:c r="W7" s="12"/>
      <x:c r="X7" s="12"/>
      <x:c r="Y7" s="12"/>
      <x:c r="Z7" s="13" t="n">
        <x:v>45</x:v>
      </x:c>
      <x:c r="AA7" s="3" t="s">
        <x:v>426</x:v>
      </x:c>
      <x:c r="AB7" s="54"/>
      <x:c r="AC7" s="54"/>
      <x:c r="AD7" s="54"/>
      <x:c r="AE7" s="3"/>
      <x:c r="AF7" s="3"/>
      <x:c r="AG7" s="54"/>
      <x:c r="AH7" s="12"/>
      <x:c r="AI7" s="12" t="n">
        <x:v>0.04</x:v>
      </x:c>
      <x:c r="AJ7" s="12"/>
      <x:c r="AK7" s="12"/>
      <x:c r="AL7" s="19" t="s">
        <x:v>427</x:v>
      </x:c>
      <x:c r="AM7" s="3" t="s">
        <x:v>107</x:v>
      </x:c>
      <x:c r="AN7" s="3" t="n">
        <x:v>0</x:v>
      </x:c>
      <x:c r="AO7" s="3" t="n">
        <x:v>1</x:v>
      </x:c>
      <x:c r="AP7" s="3" t="s">
        <x:v>433</x:v>
      </x:c>
      <x:c r="AQ7" s="3" t="s">
        <x:v>412</x:v>
      </x:c>
      <x:c r="AR7" s="3" t="s">
        <x:v>102</x:v>
      </x:c>
      <x:c r="AS7" s="3"/>
      <x:c r="AT7" s="3"/>
      <x:c r="AU7" s="54"/>
      <x:c r="AV7" s="12"/>
      <x:c r="AW7" s="3" t="s">
        <x:v>434</x:v>
      </x:c>
      <x:c r="AX7" s="3" t="s">
        <x:v>435</x:v>
      </x:c>
      <x:c r="AY7" s="3" t="s">
        <x:v>421</x:v>
      </x:c>
      <x:c r="AZ7" s="3" t="s">
        <x:v>422</x:v>
      </x:c>
      <x:c r="BA7" s="3" t="s">
        <x:v>423</x:v>
      </x:c>
      <x:c r="BB7" s="11" t="str">
        <x:f aca="0">""</x:f>
      </x:c>
      <x:c r="BC7" s="11" t="n">
        <x:f aca="0">0</x:f>
        <x:v>0</x:v>
      </x:c>
      <x:c r="BD7" s="11" t="str">
        <x:f aca="0">""</x:f>
      </x:c>
      <x:c r="BE7" s="19" t="str">
        <x:f aca="0">"N/A"</x:f>
        <x:v>N/A</x:v>
      </x:c>
      <x:c r="BF7" s="19" t="str">
        <x:f aca="0">""</x:f>
      </x:c>
    </x:row>
    <x:row r="8" ht="68.6500015258789" hidden="0">
      <x:c r="A8" s="3" t="n">
        <x:v>4</x:v>
      </x:c>
      <x:c r="B8" s="53" t="n">
        <x:v>46263</x:v>
      </x:c>
      <x:c r="C8" s="3" t="s">
        <x:v>405</x:v>
      </x:c>
      <x:c r="D8" s="3" t="s">
        <x:v>406</x:v>
      </x:c>
      <x:c r="E8" s="3" t="s">
        <x:v>436</x:v>
      </x:c>
      <x:c r="F8" s="3" t="s">
        <x:v>437</x:v>
      </x:c>
      <x:c r="G8" s="3" t="s">
        <x:v>409</x:v>
      </x:c>
      <x:c r="H8" s="3" t="s">
        <x:v>410</x:v>
      </x:c>
      <x:c r="I8" s="3" t="s">
        <x:v>411</x:v>
      </x:c>
      <x:c r="J8" s="3"/>
      <x:c r="K8" s="3"/>
      <x:c r="L8" s="54" t="n">
        <x:v>1.04920424528302</x:v>
      </x:c>
      <x:c r="M8" s="54" t="n">
        <x:v>0.950795754716981</x:v>
      </x:c>
      <x:c r="N8" s="12" t="n">
        <x:v>0.23</x:v>
      </x:c>
      <x:c r="O8" s="12" t="n">
        <x:v>0.45</x:v>
      </x:c>
      <x:c r="P8" s="12" t="n">
        <x:v>0.32</x:v>
      </x:c>
      <x:c r="Q8" s="3" t="str">
        <x:f aca="0">"X"</x:f>
        <x:v>X</x:v>
      </x:c>
      <x:c r="R8" s="3" t="s">
        <x:v>436</x:v>
      </x:c>
      <x:c r="S8" s="3" t="str">
        <x:f aca="0">"Newcastle"</x:f>
        <x:v>Newcastle</x:v>
      </x:c>
      <x:c r="T8" s="3"/>
      <x:c r="U8" s="3"/>
      <x:c r="V8" s="3"/>
      <x:c r="W8" s="12"/>
      <x:c r="X8" s="12"/>
      <x:c r="Y8" s="12"/>
      <x:c r="Z8" s="13" t="n">
        <x:v>62</x:v>
      </x:c>
      <x:c r="AA8" s="3" t="s">
        <x:v>426</x:v>
      </x:c>
      <x:c r="AB8" s="54"/>
      <x:c r="AC8" s="54"/>
      <x:c r="AD8" s="54"/>
      <x:c r="AE8" s="3"/>
      <x:c r="AF8" s="3"/>
      <x:c r="AG8" s="54"/>
      <x:c r="AH8" s="12"/>
      <x:c r="AI8" s="12" t="n">
        <x:v>0.04</x:v>
      </x:c>
      <x:c r="AJ8" s="12"/>
      <x:c r="AK8" s="12"/>
      <x:c r="AL8" s="19" t="s">
        <x:v>427</x:v>
      </x:c>
      <x:c r="AM8" s="3" t="s">
        <x:v>107</x:v>
      </x:c>
      <x:c r="AN8" s="3" t="n">
        <x:v>0</x:v>
      </x:c>
      <x:c r="AO8" s="3" t="n">
        <x:v>2</x:v>
      </x:c>
      <x:c r="AP8" s="3" t="s">
        <x:v>438</x:v>
      </x:c>
      <x:c r="AQ8" s="3" t="s">
        <x:v>412</x:v>
      </x:c>
      <x:c r="AR8" s="3" t="s">
        <x:v>107</x:v>
      </x:c>
      <x:c r="AS8" s="3"/>
      <x:c r="AT8" s="3"/>
      <x:c r="AU8" s="54"/>
      <x:c r="AV8" s="12"/>
      <x:c r="AW8" s="3" t="s">
        <x:v>439</x:v>
      </x:c>
      <x:c r="AX8" s="3" t="s">
        <x:v>440</x:v>
      </x:c>
      <x:c r="AY8" s="3" t="s">
        <x:v>421</x:v>
      </x:c>
      <x:c r="AZ8" s="3" t="s">
        <x:v>422</x:v>
      </x:c>
      <x:c r="BA8" s="3" t="s">
        <x:v>423</x:v>
      </x:c>
      <x:c r="BB8" s="11" t="str">
        <x:f aca="0">""</x:f>
      </x:c>
      <x:c r="BC8" s="11" t="n">
        <x:f aca="0">0</x:f>
        <x:v>0</x:v>
      </x:c>
      <x:c r="BD8" s="11" t="str">
        <x:f aca="0">""</x:f>
      </x:c>
      <x:c r="BE8" s="19" t="str">
        <x:f aca="0">"N/A"</x:f>
        <x:v>N/A</x:v>
      </x:c>
      <x:c r="BF8" s="19" t="str">
        <x:f aca="0">""</x:f>
      </x:c>
    </x:row>
    <x:row r="9" ht="46.25" hidden="0">
      <x:c r="A9" s="3" t="n">
        <x:v>5</x:v>
      </x:c>
      <x:c r="B9" s="53" t="n">
        <x:v>46263</x:v>
      </x:c>
      <x:c r="C9" s="3" t="s">
        <x:v>405</x:v>
      </x:c>
      <x:c r="D9" s="3" t="s">
        <x:v>441</x:v>
      </x:c>
      <x:c r="E9" s="3" t="s">
        <x:v>442</x:v>
      </x:c>
      <x:c r="F9" s="3" t="s">
        <x:v>443</x:v>
      </x:c>
      <x:c r="G9" s="3" t="s">
        <x:v>409</x:v>
      </x:c>
      <x:c r="H9" s="3" t="s">
        <x:v>410</x:v>
      </x:c>
      <x:c r="I9" s="3" t="s">
        <x:v>421</x:v>
      </x:c>
      <x:c r="J9" s="3"/>
      <x:c r="K9" s="3"/>
      <x:c r="L9" s="54" t="n">
        <x:v>1.77574486047716</x:v>
      </x:c>
      <x:c r="M9" s="54" t="n">
        <x:v>0.274255139522835</x:v>
      </x:c>
      <x:c r="N9" s="12" t="n">
        <x:v>0.6</x:v>
      </x:c>
      <x:c r="O9" s="12" t="n">
        <x:v>0.2</x:v>
      </x:c>
      <x:c r="P9" s="12" t="n">
        <x:v>0.21</x:v>
      </x:c>
      <x:c r="Q9" s="3" t="str">
        <x:f aca="0">"1"</x:f>
        <x:v>1</x:v>
      </x:c>
      <x:c r="R9" s="3" t="s">
        <x:v>442</x:v>
      </x:c>
      <x:c r="S9" s="3" t="str">
        <x:f aca="0">"Stoke"</x:f>
        <x:v>Stoke</x:v>
      </x:c>
      <x:c r="T9" s="3" t="n">
        <x:v>-4</x:v>
      </x:c>
      <x:c r="U9" s="3" t="s">
        <x:v>412</x:v>
      </x:c>
      <x:c r="V9" s="3" t="s">
        <x:v>444</x:v>
      </x:c>
      <x:c r="W9" s="12" t="n">
        <x:v>0.912789968905525</x:v>
      </x:c>
      <x:c r="X9" s="12" t="n">
        <x:v>0.0587450313110377</x:v>
      </x:c>
      <x:c r="Y9" s="12" t="n">
        <x:v>0.0284649997834369</x:v>
      </x:c>
      <x:c r="Z9" s="13" t="n">
        <x:v>87</x:v>
      </x:c>
      <x:c r="AA9" s="3" t="s">
        <x:v>414</x:v>
      </x:c>
      <x:c r="AB9" s="54" t="n">
        <x:v>1.095542275951</x:v>
      </x:c>
      <x:c r="AC9" s="54" t="n">
        <x:v>1.18318565802708</x:v>
      </x:c>
      <x:c r="AD9" s="54"/>
      <x:c r="AE9" s="3"/>
      <x:c r="AF9" s="3"/>
      <x:c r="AG9" s="54"/>
      <x:c r="AH9" s="12"/>
      <x:c r="AI9" s="12" t="n">
        <x:v>0.04</x:v>
      </x:c>
      <x:c r="AJ9" s="12"/>
      <x:c r="AK9" s="12"/>
      <x:c r="AL9" s="19" t="s">
        <x:v>415</x:v>
      </x:c>
      <x:c r="AM9" s="3" t="s">
        <x:v>102</x:v>
      </x:c>
      <x:c r="AN9" s="3" t="n">
        <x:v>4</x:v>
      </x:c>
      <x:c r="AO9" s="3" t="n">
        <x:v>1</x:v>
      </x:c>
      <x:c r="AP9" s="3" t="s">
        <x:v>445</x:v>
      </x:c>
      <x:c r="AQ9" s="3" t="s">
        <x:v>446</x:v>
      </x:c>
      <x:c r="AR9" s="3" t="s">
        <x:v>102</x:v>
      </x:c>
      <x:c r="AS9" s="3" t="s">
        <x:v>412</x:v>
      </x:c>
      <x:c r="AT9" s="3" t="s">
        <x:v>418</x:v>
      </x:c>
      <x:c r="AU9" s="54"/>
      <x:c r="AV9" s="12"/>
      <x:c r="AW9" s="3" t="s">
        <x:v>447</x:v>
      </x:c>
      <x:c r="AX9" s="3" t="s">
        <x:v>448</x:v>
      </x:c>
      <x:c r="AY9" s="3" t="s">
        <x:v>421</x:v>
      </x:c>
      <x:c r="AZ9" s="3" t="s">
        <x:v>422</x:v>
      </x:c>
      <x:c r="BA9" s="3" t="s">
        <x:v>423</x:v>
      </x:c>
      <x:c r="BB9" s="11" t="n">
        <x:f aca="0">0.03</x:f>
        <x:v>0.03</x:v>
      </x:c>
      <x:c r="BC9" s="11" t="n">
        <x:f aca="0">0.028745031311037686</x:f>
        <x:v>0.028745031311037686</x:v>
      </x:c>
      <x:c r="BD9" s="11" t="str">
        <x:f aca="0">""</x:f>
      </x:c>
      <x:c r="BE9" s="19" t="str">
        <x:f aca="0">"NO BET – +4 STRICT"</x:f>
        <x:v>NO BET – +4 STRICT</x:v>
      </x:c>
      <x:c r="BF9" s="19" t="str">
        <x:f aca="0">""</x:f>
      </x:c>
    </x:row>
    <x:row r="10" ht="46.25" hidden="0">
      <x:c r="A10" s="3" t="n">
        <x:v>6</x:v>
      </x:c>
      <x:c r="B10" s="53" t="n">
        <x:v>46263</x:v>
      </x:c>
      <x:c r="C10" s="3" t="s">
        <x:v>405</x:v>
      </x:c>
      <x:c r="D10" s="3" t="s">
        <x:v>441</x:v>
      </x:c>
      <x:c r="E10" s="3" t="s">
        <x:v>449</x:v>
      </x:c>
      <x:c r="F10" s="3" t="s">
        <x:v>450</x:v>
      </x:c>
      <x:c r="G10" s="3" t="s">
        <x:v>409</x:v>
      </x:c>
      <x:c r="H10" s="3" t="s">
        <x:v>410</x:v>
      </x:c>
      <x:c r="I10" s="3" t="s">
        <x:v>421</x:v>
      </x:c>
      <x:c r="J10" s="3"/>
      <x:c r="K10" s="3"/>
      <x:c r="L10" s="54" t="n">
        <x:v>1.079</x:v>
      </x:c>
      <x:c r="M10" s="54" t="n">
        <x:v>1.211</x:v>
      </x:c>
      <x:c r="N10" s="12" t="n">
        <x:v>0.3</x:v>
      </x:c>
      <x:c r="O10" s="12" t="n">
        <x:v>0.36</x:v>
      </x:c>
      <x:c r="P10" s="12" t="n">
        <x:v>0.34</x:v>
      </x:c>
      <x:c r="Q10" s="3" t="str">
        <x:f aca="0">"X"</x:f>
        <x:v>X</x:v>
      </x:c>
      <x:c r="R10" s="3" t="s">
        <x:v>450</x:v>
      </x:c>
      <x:c r="S10" s="3" t="str">
        <x:f aca="0">"Derby"</x:f>
        <x:v>Derby</x:v>
      </x:c>
      <x:c r="T10" s="3"/>
      <x:c r="U10" s="3"/>
      <x:c r="V10" s="3"/>
      <x:c r="W10" s="12"/>
      <x:c r="X10" s="12"/>
      <x:c r="Y10" s="12"/>
      <x:c r="Z10" s="13" t="n">
        <x:v>57</x:v>
      </x:c>
      <x:c r="AA10" s="3" t="s">
        <x:v>426</x:v>
      </x:c>
      <x:c r="AB10" s="54"/>
      <x:c r="AC10" s="54"/>
      <x:c r="AD10" s="54"/>
      <x:c r="AE10" s="3"/>
      <x:c r="AF10" s="3"/>
      <x:c r="AG10" s="54"/>
      <x:c r="AH10" s="12"/>
      <x:c r="AI10" s="12" t="n">
        <x:v>0.04</x:v>
      </x:c>
      <x:c r="AJ10" s="12"/>
      <x:c r="AK10" s="12"/>
      <x:c r="AL10" s="19" t="s">
        <x:v>427</x:v>
      </x:c>
      <x:c r="AM10" s="3" t="s">
        <x:v>107</x:v>
      </x:c>
      <x:c r="AN10" s="3" t="n">
        <x:v>0</x:v>
      </x:c>
      <x:c r="AO10" s="3" t="n">
        <x:v>3</x:v>
      </x:c>
      <x:c r="AP10" s="3" t="s">
        <x:v>451</x:v>
      </x:c>
      <x:c r="AQ10" s="3" t="s">
        <x:v>412</x:v>
      </x:c>
      <x:c r="AR10" s="3" t="s">
        <x:v>107</x:v>
      </x:c>
      <x:c r="AS10" s="3"/>
      <x:c r="AT10" s="3"/>
      <x:c r="AU10" s="54"/>
      <x:c r="AV10" s="12"/>
      <x:c r="AW10" s="3" t="s">
        <x:v>439</x:v>
      </x:c>
      <x:c r="AX10" s="3" t="s">
        <x:v>452</x:v>
      </x:c>
      <x:c r="AY10" s="3" t="s">
        <x:v>421</x:v>
      </x:c>
      <x:c r="AZ10" s="3" t="s">
        <x:v>422</x:v>
      </x:c>
      <x:c r="BA10" s="3" t="s">
        <x:v>423</x:v>
      </x:c>
      <x:c r="BB10" s="11" t="str">
        <x:f aca="0">""</x:f>
      </x:c>
      <x:c r="BC10" s="11" t="n">
        <x:f aca="0">0</x:f>
        <x:v>0</x:v>
      </x:c>
      <x:c r="BD10" s="11" t="str">
        <x:f aca="0">""</x:f>
      </x:c>
      <x:c r="BE10" s="19" t="str">
        <x:f aca="0">"N/A"</x:f>
        <x:v>N/A</x:v>
      </x:c>
      <x:c r="BF10" s="19" t="str">
        <x:f aca="0">""</x:f>
      </x:c>
    </x:row>
    <x:row r="11" ht="46.25" hidden="0">
      <x:c r="A11" s="3" t="n">
        <x:v>7</x:v>
      </x:c>
      <x:c r="B11" s="53" t="n">
        <x:v>46263</x:v>
      </x:c>
      <x:c r="C11" s="3" t="s">
        <x:v>405</x:v>
      </x:c>
      <x:c r="D11" s="3" t="s">
        <x:v>441</x:v>
      </x:c>
      <x:c r="E11" s="3" t="s">
        <x:v>453</x:v>
      </x:c>
      <x:c r="F11" s="3" t="s">
        <x:v>454</x:v>
      </x:c>
      <x:c r="G11" s="3" t="s">
        <x:v>409</x:v>
      </x:c>
      <x:c r="H11" s="3" t="s">
        <x:v>410</x:v>
      </x:c>
      <x:c r="I11" s="3" t="s">
        <x:v>421</x:v>
      </x:c>
      <x:c r="J11" s="3"/>
      <x:c r="K11" s="3"/>
      <x:c r="L11" s="54" t="n">
        <x:v>1.46854130434783</x:v>
      </x:c>
      <x:c r="M11" s="54" t="n">
        <x:v>0.921458695652174</x:v>
      </x:c>
      <x:c r="N11" s="12" t="n">
        <x:v>0.3</x:v>
      </x:c>
      <x:c r="O11" s="12" t="n">
        <x:v>0.26</x:v>
      </x:c>
      <x:c r="P11" s="12" t="n">
        <x:v>0.44</x:v>
      </x:c>
      <x:c r="Q11" s="3" t="str">
        <x:f aca="0">"2"</x:f>
        <x:v>2</x:v>
      </x:c>
      <x:c r="R11" s="3" t="s">
        <x:v>453</x:v>
      </x:c>
      <x:c r="S11" s="3" t="str">
        <x:f aca="0">"West Brom"</x:f>
        <x:v>West Brom</x:v>
      </x:c>
      <x:c r="T11" s="3"/>
      <x:c r="U11" s="3"/>
      <x:c r="V11" s="3"/>
      <x:c r="W11" s="12"/>
      <x:c r="X11" s="12"/>
      <x:c r="Y11" s="12"/>
      <x:c r="Z11" s="13" t="n">
        <x:v>47</x:v>
      </x:c>
      <x:c r="AA11" s="3" t="s">
        <x:v>426</x:v>
      </x:c>
      <x:c r="AB11" s="54"/>
      <x:c r="AC11" s="54"/>
      <x:c r="AD11" s="54"/>
      <x:c r="AE11" s="3"/>
      <x:c r="AF11" s="3"/>
      <x:c r="AG11" s="54"/>
      <x:c r="AH11" s="12"/>
      <x:c r="AI11" s="12" t="n">
        <x:v>0.04</x:v>
      </x:c>
      <x:c r="AJ11" s="12"/>
      <x:c r="AK11" s="12"/>
      <x:c r="AL11" s="19" t="s">
        <x:v>427</x:v>
      </x:c>
      <x:c r="AM11" s="3" t="s">
        <x:v>107</x:v>
      </x:c>
      <x:c r="AN11" s="3" t="n">
        <x:v>3</x:v>
      </x:c>
      <x:c r="AO11" s="3" t="n">
        <x:v>1</x:v>
      </x:c>
      <x:c r="AP11" s="3" t="s">
        <x:v>455</x:v>
      </x:c>
      <x:c r="AQ11" s="3" t="s">
        <x:v>446</x:v>
      </x:c>
      <x:c r="AR11" s="3" t="s">
        <x:v>107</x:v>
      </x:c>
      <x:c r="AS11" s="3"/>
      <x:c r="AT11" s="3"/>
      <x:c r="AU11" s="54"/>
      <x:c r="AV11" s="12"/>
      <x:c r="AW11" s="3" t="s">
        <x:v>456</x:v>
      </x:c>
      <x:c r="AX11" s="3" t="s">
        <x:v>457</x:v>
      </x:c>
      <x:c r="AY11" s="3" t="s">
        <x:v>421</x:v>
      </x:c>
      <x:c r="AZ11" s="3" t="s">
        <x:v>422</x:v>
      </x:c>
      <x:c r="BA11" s="3" t="s">
        <x:v>423</x:v>
      </x:c>
      <x:c r="BB11" s="11" t="str">
        <x:f aca="0">""</x:f>
      </x:c>
      <x:c r="BC11" s="11" t="n">
        <x:f aca="0">0</x:f>
        <x:v>0</x:v>
      </x:c>
      <x:c r="BD11" s="11" t="str">
        <x:f aca="0">""</x:f>
      </x:c>
      <x:c r="BE11" s="19" t="str">
        <x:f aca="0">"N/A"</x:f>
        <x:v>N/A</x:v>
      </x:c>
      <x:c r="BF11" s="19" t="str">
        <x:f aca="0">""</x:f>
      </x:c>
    </x:row>
    <x:row r="12" ht="46.25" hidden="0">
      <x:c r="A12" s="3" t="n">
        <x:v>8</x:v>
      </x:c>
      <x:c r="B12" s="53" t="n">
        <x:v>46263</x:v>
      </x:c>
      <x:c r="C12" s="3" t="s">
        <x:v>405</x:v>
      </x:c>
      <x:c r="D12" s="3" t="s">
        <x:v>441</x:v>
      </x:c>
      <x:c r="E12" s="3" t="s">
        <x:v>458</x:v>
      </x:c>
      <x:c r="F12" s="3" t="s">
        <x:v>459</x:v>
      </x:c>
      <x:c r="G12" s="3" t="s">
        <x:v>409</x:v>
      </x:c>
      <x:c r="H12" s="3" t="s">
        <x:v>410</x:v>
      </x:c>
      <x:c r="I12" s="3" t="s">
        <x:v>421</x:v>
      </x:c>
      <x:c r="J12" s="3"/>
      <x:c r="K12" s="3"/>
      <x:c r="L12" s="54" t="n">
        <x:v>1.152</x:v>
      </x:c>
      <x:c r="M12" s="54" t="n">
        <x:v>1.218</x:v>
      </x:c>
      <x:c r="N12" s="12" t="n">
        <x:v>0.26</x:v>
      </x:c>
      <x:c r="O12" s="12" t="n">
        <x:v>0.46</x:v>
      </x:c>
      <x:c r="P12" s="12" t="n">
        <x:v>0.28</x:v>
      </x:c>
      <x:c r="Q12" s="3" t="str">
        <x:f aca="0">"X"</x:f>
        <x:v>X</x:v>
      </x:c>
      <x:c r="R12" s="3" t="s">
        <x:v>459</x:v>
      </x:c>
      <x:c r="S12" s="3" t="str">
        <x:f aca="0">"Blackburn"</x:f>
        <x:v>Blackburn</x:v>
      </x:c>
      <x:c r="T12" s="3"/>
      <x:c r="U12" s="3"/>
      <x:c r="V12" s="3"/>
      <x:c r="W12" s="12"/>
      <x:c r="X12" s="12"/>
      <x:c r="Y12" s="12"/>
      <x:c r="Z12" s="13" t="n">
        <x:v>56</x:v>
      </x:c>
      <x:c r="AA12" s="3" t="s">
        <x:v>426</x:v>
      </x:c>
      <x:c r="AB12" s="54"/>
      <x:c r="AC12" s="54"/>
      <x:c r="AD12" s="54"/>
      <x:c r="AE12" s="3"/>
      <x:c r="AF12" s="3"/>
      <x:c r="AG12" s="54"/>
      <x:c r="AH12" s="12"/>
      <x:c r="AI12" s="12" t="n">
        <x:v>0.04</x:v>
      </x:c>
      <x:c r="AJ12" s="12"/>
      <x:c r="AK12" s="12"/>
      <x:c r="AL12" s="19" t="s">
        <x:v>427</x:v>
      </x:c>
      <x:c r="AM12" s="3" t="s">
        <x:v>107</x:v>
      </x:c>
      <x:c r="AN12" s="3" t="n">
        <x:v>1</x:v>
      </x:c>
      <x:c r="AO12" s="3" t="n">
        <x:v>2</x:v>
      </x:c>
      <x:c r="AP12" s="3" t="s">
        <x:v>460</x:v>
      </x:c>
      <x:c r="AQ12" s="3" t="s">
        <x:v>412</x:v>
      </x:c>
      <x:c r="AR12" s="3" t="s">
        <x:v>107</x:v>
      </x:c>
      <x:c r="AS12" s="3"/>
      <x:c r="AT12" s="3"/>
      <x:c r="AU12" s="54"/>
      <x:c r="AV12" s="12"/>
      <x:c r="AW12" s="3" t="s">
        <x:v>439</x:v>
      </x:c>
      <x:c r="AX12" s="3" t="s">
        <x:v>461</x:v>
      </x:c>
      <x:c r="AY12" s="3" t="s">
        <x:v>421</x:v>
      </x:c>
      <x:c r="AZ12" s="3" t="s">
        <x:v>422</x:v>
      </x:c>
      <x:c r="BA12" s="3" t="s">
        <x:v>423</x:v>
      </x:c>
      <x:c r="BB12" s="11" t="str">
        <x:f aca="0">""</x:f>
      </x:c>
      <x:c r="BC12" s="11" t="n">
        <x:f aca="0">0</x:f>
        <x:v>0</x:v>
      </x:c>
      <x:c r="BD12" s="11" t="str">
        <x:f aca="0">""</x:f>
      </x:c>
      <x:c r="BE12" s="19" t="str">
        <x:f aca="0">"N/A"</x:f>
        <x:v>N/A</x:v>
      </x:c>
      <x:c r="BF12" s="19" t="str">
        <x:f aca="0">""</x:f>
      </x:c>
    </x:row>
    <x:row r="13" ht="46.25" hidden="0">
      <x:c r="A13" s="3" t="n">
        <x:v>9</x:v>
      </x:c>
      <x:c r="B13" s="53" t="n">
        <x:v>46263</x:v>
      </x:c>
      <x:c r="C13" s="3" t="s">
        <x:v>405</x:v>
      </x:c>
      <x:c r="D13" s="3" t="s">
        <x:v>441</x:v>
      </x:c>
      <x:c r="E13" s="3" t="s">
        <x:v>462</x:v>
      </x:c>
      <x:c r="F13" s="3" t="s">
        <x:v>463</x:v>
      </x:c>
      <x:c r="G13" s="3" t="s">
        <x:v>409</x:v>
      </x:c>
      <x:c r="H13" s="3" t="s">
        <x:v>410</x:v>
      </x:c>
      <x:c r="I13" s="3" t="s">
        <x:v>421</x:v>
      </x:c>
      <x:c r="J13" s="3"/>
      <x:c r="K13" s="3"/>
      <x:c r="L13" s="54" t="n">
        <x:v>1.27</x:v>
      </x:c>
      <x:c r="M13" s="54" t="n">
        <x:v>0.15</x:v>
      </x:c>
      <x:c r="N13" s="12" t="n">
        <x:v>0.71</x:v>
      </x:c>
      <x:c r="O13" s="12" t="n">
        <x:v>0.17</x:v>
      </x:c>
      <x:c r="P13" s="12" t="n">
        <x:v>0.12</x:v>
      </x:c>
      <x:c r="Q13" s="3" t="str">
        <x:f aca="0">"1"</x:f>
        <x:v>1</x:v>
      </x:c>
      <x:c r="R13" s="3" t="s">
        <x:v>462</x:v>
      </x:c>
      <x:c r="S13" s="3" t="str">
        <x:f aca="0">"Lincoln"</x:f>
        <x:v>Lincoln</x:v>
      </x:c>
      <x:c r="T13" s="3" t="n">
        <x:v>-4</x:v>
      </x:c>
      <x:c r="U13" s="3" t="s">
        <x:v>412</x:v>
      </x:c>
      <x:c r="V13" s="3" t="s">
        <x:v>464</x:v>
      </x:c>
      <x:c r="W13" s="12" t="n">
        <x:v>0.964159245739511</x:v>
      </x:c>
      <x:c r="X13" s="12" t="n">
        <x:v>0.0272144737240992</x:v>
      </x:c>
      <x:c r="Y13" s="12" t="n">
        <x:v>0.00862628053638984</x:v>
      </x:c>
      <x:c r="Z13" s="13" t="n">
        <x:v>85</x:v>
      </x:c>
      <x:c r="AA13" s="3" t="s">
        <x:v>465</x:v>
      </x:c>
      <x:c r="AB13" s="54" t="n">
        <x:v>1.03717306494634</x:v>
      </x:c>
      <x:c r="AC13" s="54" t="n">
        <x:v>1.12014691014205</x:v>
      </x:c>
      <x:c r="AD13" s="54"/>
      <x:c r="AE13" s="3"/>
      <x:c r="AF13" s="3"/>
      <x:c r="AG13" s="54"/>
      <x:c r="AH13" s="12"/>
      <x:c r="AI13" s="12" t="n">
        <x:v>0.04</x:v>
      </x:c>
      <x:c r="AJ13" s="12"/>
      <x:c r="AK13" s="12"/>
      <x:c r="AL13" s="19" t="s">
        <x:v>466</x:v>
      </x:c>
      <x:c r="AM13" s="3" t="s">
        <x:v>102</x:v>
      </x:c>
      <x:c r="AN13" s="3" t="n">
        <x:v>0</x:v>
      </x:c>
      <x:c r="AO13" s="3" t="n">
        <x:v>1</x:v>
      </x:c>
      <x:c r="AP13" s="3" t="s">
        <x:v>433</x:v>
      </x:c>
      <x:c r="AQ13" s="3" t="s">
        <x:v>412</x:v>
      </x:c>
      <x:c r="AR13" s="3" t="s">
        <x:v>107</x:v>
      </x:c>
      <x:c r="AS13" s="3" t="s">
        <x:v>412</x:v>
      </x:c>
      <x:c r="AT13" s="3" t="s">
        <x:v>418</x:v>
      </x:c>
      <x:c r="AU13" s="54"/>
      <x:c r="AV13" s="12"/>
      <x:c r="AW13" s="3" t="s">
        <x:v>467</x:v>
      </x:c>
      <x:c r="AX13" s="3" t="s">
        <x:v>468</x:v>
      </x:c>
      <x:c r="AY13" s="3" t="s">
        <x:v>421</x:v>
      </x:c>
      <x:c r="AZ13" s="3" t="s">
        <x:v>422</x:v>
      </x:c>
      <x:c r="BA13" s="3" t="s">
        <x:v>423</x:v>
      </x:c>
      <x:c r="BB13" s="11" t="n">
        <x:f aca="0">0.03</x:f>
        <x:v>0.03</x:v>
      </x:c>
      <x:c r="BC13" s="11" t="n">
        <x:f aca="0">0</x:f>
        <x:v>0</x:v>
      </x:c>
      <x:c r="BD13" s="11" t="str">
        <x:f aca="0">""</x:f>
      </x:c>
      <x:c r="BE13" s="19" t="str">
        <x:f aca="0">"OK +4 STRICT"</x:f>
        <x:v>OK +4 STRICT</x:v>
      </x:c>
      <x:c r="BF13" s="19" t="str">
        <x:f aca="0">""</x:f>
      </x:c>
    </x:row>
    <x:row r="14" ht="46.25" hidden="0">
      <x:c r="A14" s="3" t="n">
        <x:v>10</x:v>
      </x:c>
      <x:c r="B14" s="53" t="n">
        <x:v>46263</x:v>
      </x:c>
      <x:c r="C14" s="3" t="s">
        <x:v>405</x:v>
      </x:c>
      <x:c r="D14" s="3" t="s">
        <x:v>441</x:v>
      </x:c>
      <x:c r="E14" s="3" t="s">
        <x:v>469</x:v>
      </x:c>
      <x:c r="F14" s="3" t="s">
        <x:v>470</x:v>
      </x:c>
      <x:c r="G14" s="3" t="s">
        <x:v>409</x:v>
      </x:c>
      <x:c r="H14" s="3" t="s">
        <x:v>410</x:v>
      </x:c>
      <x:c r="I14" s="3" t="s">
        <x:v>421</x:v>
      </x:c>
      <x:c r="J14" s="3"/>
      <x:c r="K14" s="3"/>
      <x:c r="L14" s="54" t="n">
        <x:v>1.2985</x:v>
      </x:c>
      <x:c r="M14" s="54" t="n">
        <x:v>1.3315</x:v>
      </x:c>
      <x:c r="N14" s="12" t="n">
        <x:v>0.37</x:v>
      </x:c>
      <x:c r="O14" s="12" t="n">
        <x:v>0.25</x:v>
      </x:c>
      <x:c r="P14" s="12" t="n">
        <x:v>0.38</x:v>
      </x:c>
      <x:c r="Q14" s="3" t="str">
        <x:f aca="0">"2"</x:f>
        <x:v>2</x:v>
      </x:c>
      <x:c r="R14" s="3" t="s">
        <x:v>470</x:v>
      </x:c>
      <x:c r="S14" s="3" t="str">
        <x:f aca="0">"Bristol City"</x:f>
        <x:v>Bristol City</x:v>
      </x:c>
      <x:c r="T14" s="3"/>
      <x:c r="U14" s="3"/>
      <x:c r="V14" s="3"/>
      <x:c r="W14" s="12"/>
      <x:c r="X14" s="12"/>
      <x:c r="Y14" s="12"/>
      <x:c r="Z14" s="13" t="n">
        <x:v>55</x:v>
      </x:c>
      <x:c r="AA14" s="3" t="s">
        <x:v>426</x:v>
      </x:c>
      <x:c r="AB14" s="54"/>
      <x:c r="AC14" s="54"/>
      <x:c r="AD14" s="54"/>
      <x:c r="AE14" s="3"/>
      <x:c r="AF14" s="3"/>
      <x:c r="AG14" s="54"/>
      <x:c r="AH14" s="12"/>
      <x:c r="AI14" s="12" t="n">
        <x:v>0.04</x:v>
      </x:c>
      <x:c r="AJ14" s="12"/>
      <x:c r="AK14" s="12"/>
      <x:c r="AL14" s="19" t="s">
        <x:v>427</x:v>
      </x:c>
      <x:c r="AM14" s="3" t="s">
        <x:v>107</x:v>
      </x:c>
      <x:c r="AN14" s="3" t="n">
        <x:v>2</x:v>
      </x:c>
      <x:c r="AO14" s="3" t="n">
        <x:v>1</x:v>
      </x:c>
      <x:c r="AP14" s="3" t="s">
        <x:v>471</x:v>
      </x:c>
      <x:c r="AQ14" s="3" t="s">
        <x:v>446</x:v>
      </x:c>
      <x:c r="AR14" s="3" t="s">
        <x:v>107</x:v>
      </x:c>
      <x:c r="AS14" s="3"/>
      <x:c r="AT14" s="3"/>
      <x:c r="AU14" s="54"/>
      <x:c r="AV14" s="12"/>
      <x:c r="AW14" s="3" t="s">
        <x:v>456</x:v>
      </x:c>
      <x:c r="AX14" s="3" t="s">
        <x:v>472</x:v>
      </x:c>
      <x:c r="AY14" s="3" t="s">
        <x:v>421</x:v>
      </x:c>
      <x:c r="AZ14" s="3" t="s">
        <x:v>422</x:v>
      </x:c>
      <x:c r="BA14" s="3" t="s">
        <x:v>423</x:v>
      </x:c>
      <x:c r="BB14" s="11" t="str">
        <x:f aca="0">""</x:f>
      </x:c>
      <x:c r="BC14" s="11" t="n">
        <x:f aca="0">0</x:f>
        <x:v>0</x:v>
      </x:c>
      <x:c r="BD14" s="11" t="str">
        <x:f aca="0">""</x:f>
      </x:c>
      <x:c r="BE14" s="19" t="str">
        <x:f aca="0">"N/A"</x:f>
        <x:v>N/A</x:v>
      </x:c>
      <x:c r="BF14" s="19" t="str">
        <x:f aca="0">""</x:f>
      </x:c>
    </x:row>
    <x:row r="15" ht="46.25" hidden="0">
      <x:c r="A15" s="3" t="n">
        <x:v>11</x:v>
      </x:c>
      <x:c r="B15" s="53" t="n">
        <x:v>46263</x:v>
      </x:c>
      <x:c r="C15" s="3" t="s">
        <x:v>405</x:v>
      </x:c>
      <x:c r="D15" s="3" t="s">
        <x:v>441</x:v>
      </x:c>
      <x:c r="E15" s="3" t="s">
        <x:v>473</x:v>
      </x:c>
      <x:c r="F15" s="3" t="s">
        <x:v>474</x:v>
      </x:c>
      <x:c r="G15" s="3" t="s">
        <x:v>409</x:v>
      </x:c>
      <x:c r="H15" s="3" t="s">
        <x:v>410</x:v>
      </x:c>
      <x:c r="I15" s="3" t="s">
        <x:v>421</x:v>
      </x:c>
      <x:c r="J15" s="3"/>
      <x:c r="K15" s="3"/>
      <x:c r="L15" s="54" t="n">
        <x:v>0.9835</x:v>
      </x:c>
      <x:c r="M15" s="54" t="n">
        <x:v>1.0165</x:v>
      </x:c>
      <x:c r="N15" s="12" t="n">
        <x:v>0.25</x:v>
      </x:c>
      <x:c r="O15" s="12" t="n">
        <x:v>0.49</x:v>
      </x:c>
      <x:c r="P15" s="12" t="n">
        <x:v>0.26</x:v>
      </x:c>
      <x:c r="Q15" s="3" t="str">
        <x:f aca="0">"X"</x:f>
        <x:v>X</x:v>
      </x:c>
      <x:c r="R15" s="3" t="s">
        <x:v>474</x:v>
      </x:c>
      <x:c r="S15" s="3" t="str">
        <x:f aca="0">"Cardiff"</x:f>
        <x:v>Cardiff</x:v>
      </x:c>
      <x:c r="T15" s="3"/>
      <x:c r="U15" s="3"/>
      <x:c r="V15" s="3"/>
      <x:c r="W15" s="12"/>
      <x:c r="X15" s="12"/>
      <x:c r="Y15" s="12"/>
      <x:c r="Z15" s="13" t="n">
        <x:v>55</x:v>
      </x:c>
      <x:c r="AA15" s="3" t="s">
        <x:v>426</x:v>
      </x:c>
      <x:c r="AB15" s="54"/>
      <x:c r="AC15" s="54"/>
      <x:c r="AD15" s="54"/>
      <x:c r="AE15" s="3"/>
      <x:c r="AF15" s="3"/>
      <x:c r="AG15" s="54"/>
      <x:c r="AH15" s="12"/>
      <x:c r="AI15" s="12" t="n">
        <x:v>0.04</x:v>
      </x:c>
      <x:c r="AJ15" s="12"/>
      <x:c r="AK15" s="12"/>
      <x:c r="AL15" s="19" t="s">
        <x:v>427</x:v>
      </x:c>
      <x:c r="AM15" s="3" t="s">
        <x:v>107</x:v>
      </x:c>
      <x:c r="AN15" s="3" t="n">
        <x:v>2</x:v>
      </x:c>
      <x:c r="AO15" s="3" t="n">
        <x:v>2</x:v>
      </x:c>
      <x:c r="AP15" s="3" t="s">
        <x:v>416</x:v>
      </x:c>
      <x:c r="AQ15" s="3" t="s">
        <x:v>417</x:v>
      </x:c>
      <x:c r="AR15" s="3" t="s">
        <x:v>102</x:v>
      </x:c>
      <x:c r="AS15" s="3"/>
      <x:c r="AT15" s="3"/>
      <x:c r="AU15" s="54"/>
      <x:c r="AV15" s="12"/>
      <x:c r="AW15" s="3" t="s">
        <x:v>434</x:v>
      </x:c>
      <x:c r="AX15" s="3" t="s">
        <x:v>475</x:v>
      </x:c>
      <x:c r="AY15" s="3" t="s">
        <x:v>421</x:v>
      </x:c>
      <x:c r="AZ15" s="3" t="s">
        <x:v>422</x:v>
      </x:c>
      <x:c r="BA15" s="3" t="s">
        <x:v>423</x:v>
      </x:c>
      <x:c r="BB15" s="11" t="str">
        <x:f aca="0">""</x:f>
      </x:c>
      <x:c r="BC15" s="11" t="n">
        <x:f aca="0">0</x:f>
        <x:v>0</x:v>
      </x:c>
      <x:c r="BD15" s="11" t="str">
        <x:f aca="0">""</x:f>
      </x:c>
      <x:c r="BE15" s="19" t="str">
        <x:f aca="0">"N/A"</x:f>
        <x:v>N/A</x:v>
      </x:c>
      <x:c r="BF15" s="19" t="str">
        <x:f aca="0">""</x:f>
      </x:c>
    </x:row>
    <x:row r="16" ht="46.25" hidden="0">
      <x:c r="A16" s="3" t="n">
        <x:v>12</x:v>
      </x:c>
      <x:c r="B16" s="53" t="n">
        <x:v>46263</x:v>
      </x:c>
      <x:c r="C16" s="3" t="s">
        <x:v>405</x:v>
      </x:c>
      <x:c r="D16" s="3" t="s">
        <x:v>441</x:v>
      </x:c>
      <x:c r="E16" s="3" t="s">
        <x:v>476</x:v>
      </x:c>
      <x:c r="F16" s="3" t="s">
        <x:v>477</x:v>
      </x:c>
      <x:c r="G16" s="3" t="s">
        <x:v>409</x:v>
      </x:c>
      <x:c r="H16" s="3" t="s">
        <x:v>410</x:v>
      </x:c>
      <x:c r="I16" s="3" t="s">
        <x:v>421</x:v>
      </x:c>
      <x:c r="J16" s="3"/>
      <x:c r="K16" s="3"/>
      <x:c r="L16" s="54" t="n">
        <x:v>1.6595</x:v>
      </x:c>
      <x:c r="M16" s="54" t="n">
        <x:v>0.9005</x:v>
      </x:c>
      <x:c r="N16" s="12" t="n">
        <x:v>0.5</x:v>
      </x:c>
      <x:c r="O16" s="12" t="n">
        <x:v>0.23</x:v>
      </x:c>
      <x:c r="P16" s="12" t="n">
        <x:v>0.27</x:v>
      </x:c>
      <x:c r="Q16" s="3" t="str">
        <x:f aca="0">"1"</x:f>
        <x:v>1</x:v>
      </x:c>
      <x:c r="R16" s="3" t="s">
        <x:v>476</x:v>
      </x:c>
      <x:c r="S16" s="3" t="str">
        <x:f aca="0">"Preston"</x:f>
        <x:v>Preston</x:v>
      </x:c>
      <x:c r="T16" s="3"/>
      <x:c r="U16" s="3"/>
      <x:c r="V16" s="3"/>
      <x:c r="W16" s="12"/>
      <x:c r="X16" s="12"/>
      <x:c r="Y16" s="12"/>
      <x:c r="Z16" s="13" t="n">
        <x:v>68</x:v>
      </x:c>
      <x:c r="AA16" s="3" t="s">
        <x:v>426</x:v>
      </x:c>
      <x:c r="AB16" s="54"/>
      <x:c r="AC16" s="54"/>
      <x:c r="AD16" s="54"/>
      <x:c r="AE16" s="3"/>
      <x:c r="AF16" s="3"/>
      <x:c r="AG16" s="54"/>
      <x:c r="AH16" s="12"/>
      <x:c r="AI16" s="12" t="n">
        <x:v>0.04</x:v>
      </x:c>
      <x:c r="AJ16" s="12"/>
      <x:c r="AK16" s="12"/>
      <x:c r="AL16" s="19" t="s">
        <x:v>427</x:v>
      </x:c>
      <x:c r="AM16" s="3" t="s">
        <x:v>107</x:v>
      </x:c>
      <x:c r="AN16" s="3" t="n">
        <x:v>1</x:v>
      </x:c>
      <x:c r="AO16" s="3" t="n">
        <x:v>0</x:v>
      </x:c>
      <x:c r="AP16" s="3" t="s">
        <x:v>478</x:v>
      </x:c>
      <x:c r="AQ16" s="3" t="s">
        <x:v>446</x:v>
      </x:c>
      <x:c r="AR16" s="3" t="s">
        <x:v>102</x:v>
      </x:c>
      <x:c r="AS16" s="3"/>
      <x:c r="AT16" s="3"/>
      <x:c r="AU16" s="54"/>
      <x:c r="AV16" s="12"/>
      <x:c r="AW16" s="3" t="s">
        <x:v>434</x:v>
      </x:c>
      <x:c r="AX16" s="3" t="s">
        <x:v>479</x:v>
      </x:c>
      <x:c r="AY16" s="3" t="s">
        <x:v>421</x:v>
      </x:c>
      <x:c r="AZ16" s="3" t="s">
        <x:v>422</x:v>
      </x:c>
      <x:c r="BA16" s="3" t="s">
        <x:v>423</x:v>
      </x:c>
      <x:c r="BB16" s="11" t="str">
        <x:f aca="0">""</x:f>
      </x:c>
      <x:c r="BC16" s="11" t="n">
        <x:f aca="0">0</x:f>
        <x:v>0</x:v>
      </x:c>
      <x:c r="BD16" s="11" t="str">
        <x:f aca="0">""</x:f>
      </x:c>
      <x:c r="BE16" s="19" t="str">
        <x:f aca="0">"N/A"</x:f>
        <x:v>N/A</x:v>
      </x:c>
      <x:c r="BF16" s="19" t="str">
        <x:f aca="0">""</x:f>
      </x:c>
    </x:row>
    <x:row r="17" ht="46.25" hidden="0">
      <x:c r="A17" s="3" t="n">
        <x:v>13</x:v>
      </x:c>
      <x:c r="B17" s="53" t="n">
        <x:v>46263</x:v>
      </x:c>
      <x:c r="C17" s="3" t="s">
        <x:v>405</x:v>
      </x:c>
      <x:c r="D17" s="3" t="s">
        <x:v>441</x:v>
      </x:c>
      <x:c r="E17" s="3" t="s">
        <x:v>480</x:v>
      </x:c>
      <x:c r="F17" s="3" t="s">
        <x:v>481</x:v>
      </x:c>
      <x:c r="G17" s="3" t="s">
        <x:v>409</x:v>
      </x:c>
      <x:c r="H17" s="3" t="s">
        <x:v>410</x:v>
      </x:c>
      <x:c r="I17" s="3" t="s">
        <x:v>421</x:v>
      </x:c>
      <x:c r="J17" s="3"/>
      <x:c r="K17" s="3"/>
      <x:c r="L17" s="54" t="n">
        <x:v>1.13033813868613</x:v>
      </x:c>
      <x:c r="M17" s="54" t="n">
        <x:v>0.969661861313869</x:v>
      </x:c>
      <x:c r="N17" s="12" t="n">
        <x:v>0.31</x:v>
      </x:c>
      <x:c r="O17" s="12" t="n">
        <x:v>0.37</x:v>
      </x:c>
      <x:c r="P17" s="12" t="n">
        <x:v>0.32</x:v>
      </x:c>
      <x:c r="Q17" s="3" t="str">
        <x:f aca="0">"X"</x:f>
        <x:v>X</x:v>
      </x:c>
      <x:c r="R17" s="3" t="s">
        <x:v>480</x:v>
      </x:c>
      <x:c r="S17" s="3" t="str">
        <x:f aca="0">"Burnley"</x:f>
        <x:v>Burnley</x:v>
      </x:c>
      <x:c r="T17" s="3"/>
      <x:c r="U17" s="3"/>
      <x:c r="V17" s="3"/>
      <x:c r="W17" s="12"/>
      <x:c r="X17" s="12"/>
      <x:c r="Y17" s="12"/>
      <x:c r="Z17" s="13" t="n">
        <x:v>63</x:v>
      </x:c>
      <x:c r="AA17" s="3" t="s">
        <x:v>426</x:v>
      </x:c>
      <x:c r="AB17" s="54"/>
      <x:c r="AC17" s="54"/>
      <x:c r="AD17" s="54"/>
      <x:c r="AE17" s="3"/>
      <x:c r="AF17" s="3"/>
      <x:c r="AG17" s="54"/>
      <x:c r="AH17" s="12"/>
      <x:c r="AI17" s="12" t="n">
        <x:v>0.04</x:v>
      </x:c>
      <x:c r="AJ17" s="12"/>
      <x:c r="AK17" s="12"/>
      <x:c r="AL17" s="19" t="s">
        <x:v>427</x:v>
      </x:c>
      <x:c r="AM17" s="3" t="s">
        <x:v>107</x:v>
      </x:c>
      <x:c r="AN17" s="3" t="n">
        <x:v>4</x:v>
      </x:c>
      <x:c r="AO17" s="3" t="n">
        <x:v>1</x:v>
      </x:c>
      <x:c r="AP17" s="3" t="s">
        <x:v>445</x:v>
      </x:c>
      <x:c r="AQ17" s="3" t="s">
        <x:v>446</x:v>
      </x:c>
      <x:c r="AR17" s="3" t="s">
        <x:v>107</x:v>
      </x:c>
      <x:c r="AS17" s="3"/>
      <x:c r="AT17" s="3"/>
      <x:c r="AU17" s="54"/>
      <x:c r="AV17" s="12"/>
      <x:c r="AW17" s="3" t="s">
        <x:v>439</x:v>
      </x:c>
      <x:c r="AX17" s="3" t="s">
        <x:v>482</x:v>
      </x:c>
      <x:c r="AY17" s="3" t="s">
        <x:v>421</x:v>
      </x:c>
      <x:c r="AZ17" s="3" t="s">
        <x:v>422</x:v>
      </x:c>
      <x:c r="BA17" s="3" t="s">
        <x:v>423</x:v>
      </x:c>
      <x:c r="BB17" s="11" t="str">
        <x:f aca="0">""</x:f>
      </x:c>
      <x:c r="BC17" s="11" t="n">
        <x:f aca="0">0</x:f>
        <x:v>0</x:v>
      </x:c>
      <x:c r="BD17" s="11" t="str">
        <x:f aca="0">""</x:f>
      </x:c>
      <x:c r="BE17" s="19" t="str">
        <x:f aca="0">"N/A"</x:f>
        <x:v>N/A</x:v>
      </x:c>
      <x:c r="BF17" s="19" t="str">
        <x:f aca="0">""</x:f>
      </x:c>
    </x:row>
    <x:row r="18" ht="57.45000076293945" hidden="0">
      <x:c r="A18" s="3" t="n">
        <x:v>14</x:v>
      </x:c>
      <x:c r="B18" s="53" t="n">
        <x:v>46263</x:v>
      </x:c>
      <x:c r="C18" s="3" t="s">
        <x:v>405</x:v>
      </x:c>
      <x:c r="D18" s="3" t="s">
        <x:v>441</x:v>
      </x:c>
      <x:c r="E18" s="3" t="s">
        <x:v>483</x:v>
      </x:c>
      <x:c r="F18" s="3" t="s">
        <x:v>484</x:v>
      </x:c>
      <x:c r="G18" s="3" t="s">
        <x:v>409</x:v>
      </x:c>
      <x:c r="H18" s="3" t="s">
        <x:v>410</x:v>
      </x:c>
      <x:c r="I18" s="3" t="s">
        <x:v>421</x:v>
      </x:c>
      <x:c r="J18" s="3"/>
      <x:c r="K18" s="3"/>
      <x:c r="L18" s="54" t="n">
        <x:v>1.3852881294964</x:v>
      </x:c>
      <x:c r="M18" s="54" t="n">
        <x:v>1.1147118705036</x:v>
      </x:c>
      <x:c r="N18" s="12" t="n">
        <x:v>0.27</x:v>
      </x:c>
      <x:c r="O18" s="12" t="n">
        <x:v>0.24</x:v>
      </x:c>
      <x:c r="P18" s="12" t="n">
        <x:v>0.49</x:v>
      </x:c>
      <x:c r="Q18" s="3" t="str">
        <x:f aca="0">"2"</x:f>
        <x:v>2</x:v>
      </x:c>
      <x:c r="R18" s="3" t="s">
        <x:v>483</x:v>
      </x:c>
      <x:c r="S18" s="3" t="str">
        <x:f aca="0">"Millwall"</x:f>
        <x:v>Millwall</x:v>
      </x:c>
      <x:c r="T18" s="3"/>
      <x:c r="U18" s="3"/>
      <x:c r="V18" s="3"/>
      <x:c r="W18" s="12"/>
      <x:c r="X18" s="12"/>
      <x:c r="Y18" s="12"/>
      <x:c r="Z18" s="13" t="n">
        <x:v>45</x:v>
      </x:c>
      <x:c r="AA18" s="3" t="s">
        <x:v>426</x:v>
      </x:c>
      <x:c r="AB18" s="54"/>
      <x:c r="AC18" s="54"/>
      <x:c r="AD18" s="54"/>
      <x:c r="AE18" s="3"/>
      <x:c r="AF18" s="3"/>
      <x:c r="AG18" s="54"/>
      <x:c r="AH18" s="12"/>
      <x:c r="AI18" s="12" t="n">
        <x:v>0.04</x:v>
      </x:c>
      <x:c r="AJ18" s="12"/>
      <x:c r="AK18" s="12"/>
      <x:c r="AL18" s="19" t="s">
        <x:v>427</x:v>
      </x:c>
      <x:c r="AM18" s="3" t="s">
        <x:v>107</x:v>
      </x:c>
      <x:c r="AN18" s="3" t="n">
        <x:v>5</x:v>
      </x:c>
      <x:c r="AO18" s="3" t="n">
        <x:v>1</x:v>
      </x:c>
      <x:c r="AP18" s="3" t="s">
        <x:v>485</x:v>
      </x:c>
      <x:c r="AQ18" s="3" t="s">
        <x:v>446</x:v>
      </x:c>
      <x:c r="AR18" s="3" t="s">
        <x:v>107</x:v>
      </x:c>
      <x:c r="AS18" s="3"/>
      <x:c r="AT18" s="3"/>
      <x:c r="AU18" s="54"/>
      <x:c r="AV18" s="12"/>
      <x:c r="AW18" s="3" t="s">
        <x:v>486</x:v>
      </x:c>
      <x:c r="AX18" s="3" t="s">
        <x:v>487</x:v>
      </x:c>
      <x:c r="AY18" s="3" t="s">
        <x:v>421</x:v>
      </x:c>
      <x:c r="AZ18" s="3" t="s">
        <x:v>422</x:v>
      </x:c>
      <x:c r="BA18" s="3" t="s">
        <x:v>423</x:v>
      </x:c>
      <x:c r="BB18" s="11" t="str">
        <x:f aca="0">""</x:f>
      </x:c>
      <x:c r="BC18" s="11" t="n">
        <x:f aca="0">0</x:f>
        <x:v>0</x:v>
      </x:c>
      <x:c r="BD18" s="11" t="str">
        <x:f aca="0">""</x:f>
      </x:c>
      <x:c r="BE18" s="19" t="str">
        <x:f aca="0">"N/A"</x:f>
        <x:v>N/A</x:v>
      </x:c>
      <x:c r="BF18" s="19" t="str">
        <x:f aca="0">""</x:f>
      </x:c>
    </x:row>
    <x:row r="19" ht="46.25" hidden="0">
      <x:c r="A19" s="3" t="n">
        <x:v>15</x:v>
      </x:c>
      <x:c r="B19" s="53" t="n">
        <x:v>46263</x:v>
      </x:c>
      <x:c r="C19" s="3" t="s">
        <x:v>405</x:v>
      </x:c>
      <x:c r="D19" s="3" t="s">
        <x:v>441</x:v>
      </x:c>
      <x:c r="E19" s="3" t="s">
        <x:v>488</x:v>
      </x:c>
      <x:c r="F19" s="3" t="s">
        <x:v>489</x:v>
      </x:c>
      <x:c r="G19" s="3" t="s">
        <x:v>409</x:v>
      </x:c>
      <x:c r="H19" s="3" t="s">
        <x:v>410</x:v>
      </x:c>
      <x:c r="I19" s="3" t="s">
        <x:v>421</x:v>
      </x:c>
      <x:c r="J19" s="3"/>
      <x:c r="K19" s="3"/>
      <x:c r="L19" s="54" t="n">
        <x:v>1.523</x:v>
      </x:c>
      <x:c r="M19" s="54" t="n">
        <x:v>1.127</x:v>
      </x:c>
      <x:c r="N19" s="12" t="n">
        <x:v>0.4</x:v>
      </x:c>
      <x:c r="O19" s="12" t="n">
        <x:v>0.32</x:v>
      </x:c>
      <x:c r="P19" s="12" t="n">
        <x:v>0.28</x:v>
      </x:c>
      <x:c r="Q19" s="3" t="str">
        <x:f aca="0">"1"</x:f>
        <x:v>1</x:v>
      </x:c>
      <x:c r="R19" s="3" t="s">
        <x:v>488</x:v>
      </x:c>
      <x:c r="S19" s="3" t="str">
        <x:f aca="0">"West Ham"</x:f>
        <x:v>West Ham</x:v>
      </x:c>
      <x:c r="T19" s="3"/>
      <x:c r="U19" s="3"/>
      <x:c r="V19" s="3"/>
      <x:c r="W19" s="12"/>
      <x:c r="X19" s="12"/>
      <x:c r="Y19" s="12"/>
      <x:c r="Z19" s="13" t="n">
        <x:v>62</x:v>
      </x:c>
      <x:c r="AA19" s="3" t="s">
        <x:v>426</x:v>
      </x:c>
      <x:c r="AB19" s="54"/>
      <x:c r="AC19" s="54"/>
      <x:c r="AD19" s="54"/>
      <x:c r="AE19" s="3"/>
      <x:c r="AF19" s="3"/>
      <x:c r="AG19" s="54"/>
      <x:c r="AH19" s="12"/>
      <x:c r="AI19" s="12" t="n">
        <x:v>0.04</x:v>
      </x:c>
      <x:c r="AJ19" s="12"/>
      <x:c r="AK19" s="12"/>
      <x:c r="AL19" s="19" t="s">
        <x:v>427</x:v>
      </x:c>
      <x:c r="AM19" s="3" t="s">
        <x:v>107</x:v>
      </x:c>
      <x:c r="AN19" s="3" t="n">
        <x:v>1</x:v>
      </x:c>
      <x:c r="AO19" s="3" t="n">
        <x:v>1</x:v>
      </x:c>
      <x:c r="AP19" s="3" t="s">
        <x:v>428</x:v>
      </x:c>
      <x:c r="AQ19" s="3" t="s">
        <x:v>417</x:v>
      </x:c>
      <x:c r="AR19" s="3" t="s">
        <x:v>107</x:v>
      </x:c>
      <x:c r="AS19" s="3"/>
      <x:c r="AT19" s="3"/>
      <x:c r="AU19" s="54"/>
      <x:c r="AV19" s="12"/>
      <x:c r="AW19" s="3" t="s">
        <x:v>429</x:v>
      </x:c>
      <x:c r="AX19" s="3" t="s">
        <x:v>490</x:v>
      </x:c>
      <x:c r="AY19" s="3" t="s">
        <x:v>421</x:v>
      </x:c>
      <x:c r="AZ19" s="3" t="s">
        <x:v>422</x:v>
      </x:c>
      <x:c r="BA19" s="3" t="s">
        <x:v>423</x:v>
      </x:c>
      <x:c r="BB19" s="11" t="str">
        <x:f aca="0">""</x:f>
      </x:c>
      <x:c r="BC19" s="11" t="n">
        <x:f aca="0">0</x:f>
        <x:v>0</x:v>
      </x:c>
      <x:c r="BD19" s="11" t="str">
        <x:f aca="0">""</x:f>
      </x:c>
      <x:c r="BE19" s="19" t="str">
        <x:f aca="0">"N/A"</x:f>
        <x:v>N/A</x:v>
      </x:c>
      <x:c r="BF19" s="19" t="str">
        <x:f aca="0">""</x:f>
      </x:c>
    </x:row>
    <x:row r="20" ht="46.25" hidden="0">
      <x:c r="A20" s="3" t="n">
        <x:v>16</x:v>
      </x:c>
      <x:c r="B20" s="53" t="n">
        <x:v>46263</x:v>
      </x:c>
      <x:c r="C20" s="3" t="s">
        <x:v>491</x:v>
      </x:c>
      <x:c r="D20" s="3" t="s">
        <x:v>492</x:v>
      </x:c>
      <x:c r="E20" s="3" t="s">
        <x:v>493</x:v>
      </x:c>
      <x:c r="F20" s="3" t="s">
        <x:v>494</x:v>
      </x:c>
      <x:c r="G20" s="3" t="s">
        <x:v>409</x:v>
      </x:c>
      <x:c r="H20" s="3" t="s">
        <x:v>410</x:v>
      </x:c>
      <x:c r="I20" s="3" t="s">
        <x:v>495</x:v>
      </x:c>
      <x:c r="J20" s="3"/>
      <x:c r="K20" s="3"/>
      <x:c r="L20" s="54" t="n">
        <x:v>1.98028767605634</x:v>
      </x:c>
      <x:c r="M20" s="54" t="n">
        <x:v>1.17971232394366</x:v>
      </x:c>
      <x:c r="N20" s="12" t="n">
        <x:v>0.45</x:v>
      </x:c>
      <x:c r="O20" s="12" t="n">
        <x:v>0.27</x:v>
      </x:c>
      <x:c r="P20" s="12" t="n">
        <x:v>0.28</x:v>
      </x:c>
      <x:c r="Q20" s="3" t="str">
        <x:f aca="0">"1"</x:f>
        <x:v>1</x:v>
      </x:c>
      <x:c r="R20" s="3" t="s">
        <x:v>493</x:v>
      </x:c>
      <x:c r="S20" s="3" t="str">
        <x:f aca="0">"FC Zürich"</x:f>
        <x:v>FC Zürich</x:v>
      </x:c>
      <x:c r="T20" s="3"/>
      <x:c r="U20" s="3"/>
      <x:c r="V20" s="3"/>
      <x:c r="W20" s="12"/>
      <x:c r="X20" s="12"/>
      <x:c r="Y20" s="12"/>
      <x:c r="Z20" s="13" t="n">
        <x:v>75</x:v>
      </x:c>
      <x:c r="AA20" s="3" t="s">
        <x:v>426</x:v>
      </x:c>
      <x:c r="AB20" s="54"/>
      <x:c r="AC20" s="54"/>
      <x:c r="AD20" s="54"/>
      <x:c r="AE20" s="3"/>
      <x:c r="AF20" s="3"/>
      <x:c r="AG20" s="54"/>
      <x:c r="AH20" s="12"/>
      <x:c r="AI20" s="12" t="n">
        <x:v>0.04</x:v>
      </x:c>
      <x:c r="AJ20" s="12"/>
      <x:c r="AK20" s="12"/>
      <x:c r="AL20" s="19" t="s">
        <x:v>427</x:v>
      </x:c>
      <x:c r="AM20" s="3" t="s">
        <x:v>107</x:v>
      </x:c>
      <x:c r="AN20" s="3" t="n">
        <x:v>2</x:v>
      </x:c>
      <x:c r="AO20" s="3" t="n">
        <x:v>3</x:v>
      </x:c>
      <x:c r="AP20" s="3" t="s">
        <x:v>496</x:v>
      </x:c>
      <x:c r="AQ20" s="3" t="s">
        <x:v>412</x:v>
      </x:c>
      <x:c r="AR20" s="3" t="s">
        <x:v>107</x:v>
      </x:c>
      <x:c r="AS20" s="3"/>
      <x:c r="AT20" s="3"/>
      <x:c r="AU20" s="54"/>
      <x:c r="AV20" s="12"/>
      <x:c r="AW20" s="3" t="s">
        <x:v>456</x:v>
      </x:c>
      <x:c r="AX20" s="3" t="s">
        <x:v>497</x:v>
      </x:c>
      <x:c r="AY20" s="3" t="s">
        <x:v>498</x:v>
      </x:c>
      <x:c r="AZ20" s="3" t="s">
        <x:v>422</x:v>
      </x:c>
      <x:c r="BA20" s="3" t="s">
        <x:v>423</x:v>
      </x:c>
      <x:c r="BB20" s="11" t="str">
        <x:f aca="0">""</x:f>
      </x:c>
      <x:c r="BC20" s="11" t="n">
        <x:f aca="0">0</x:f>
        <x:v>0</x:v>
      </x:c>
      <x:c r="BD20" s="11" t="str">
        <x:f aca="0">""</x:f>
      </x:c>
      <x:c r="BE20" s="19" t="str">
        <x:f aca="0">"N/A"</x:f>
        <x:v>N/A</x:v>
      </x:c>
      <x:c r="BF20" s="19" t="str">
        <x:f aca="0">""</x:f>
      </x:c>
    </x:row>
    <x:row r="21" ht="46.25" hidden="0">
      <x:c r="A21" s="3" t="n">
        <x:v>17</x:v>
      </x:c>
      <x:c r="B21" s="53" t="n">
        <x:v>46263</x:v>
      </x:c>
      <x:c r="C21" s="3" t="s">
        <x:v>491</x:v>
      </x:c>
      <x:c r="D21" s="3" t="s">
        <x:v>492</x:v>
      </x:c>
      <x:c r="E21" s="3" t="s">
        <x:v>499</x:v>
      </x:c>
      <x:c r="F21" s="3" t="s">
        <x:v>500</x:v>
      </x:c>
      <x:c r="G21" s="3" t="s">
        <x:v>409</x:v>
      </x:c>
      <x:c r="H21" s="3" t="s">
        <x:v>410</x:v>
      </x:c>
      <x:c r="I21" s="3" t="s">
        <x:v>495</x:v>
      </x:c>
      <x:c r="J21" s="3"/>
      <x:c r="K21" s="3"/>
      <x:c r="L21" s="54" t="n">
        <x:v>1.84612634926754</x:v>
      </x:c>
      <x:c r="M21" s="54" t="n">
        <x:v>1.22387365073246</x:v>
      </x:c>
      <x:c r="N21" s="12" t="n">
        <x:v>0.34</x:v>
      </x:c>
      <x:c r="O21" s="12" t="n">
        <x:v>0.37</x:v>
      </x:c>
      <x:c r="P21" s="12" t="n">
        <x:v>0.29</x:v>
      </x:c>
      <x:c r="Q21" s="3" t="str">
        <x:f aca="0">"X"</x:f>
        <x:v>X</x:v>
      </x:c>
      <x:c r="R21" s="3" t="s">
        <x:v>499</x:v>
      </x:c>
      <x:c r="S21" s="3" t="str">
        <x:f aca="0">"Luzern"</x:f>
        <x:v>Luzern</x:v>
      </x:c>
      <x:c r="T21" s="3"/>
      <x:c r="U21" s="3"/>
      <x:c r="V21" s="3"/>
      <x:c r="W21" s="12"/>
      <x:c r="X21" s="12"/>
      <x:c r="Y21" s="12"/>
      <x:c r="Z21" s="13" t="n">
        <x:v>71</x:v>
      </x:c>
      <x:c r="AA21" s="3" t="s">
        <x:v>426</x:v>
      </x:c>
      <x:c r="AB21" s="54"/>
      <x:c r="AC21" s="54"/>
      <x:c r="AD21" s="54"/>
      <x:c r="AE21" s="3"/>
      <x:c r="AF21" s="3"/>
      <x:c r="AG21" s="54"/>
      <x:c r="AH21" s="12"/>
      <x:c r="AI21" s="12" t="n">
        <x:v>0.04</x:v>
      </x:c>
      <x:c r="AJ21" s="12"/>
      <x:c r="AK21" s="12"/>
      <x:c r="AL21" s="19" t="s">
        <x:v>427</x:v>
      </x:c>
      <x:c r="AM21" s="3" t="s">
        <x:v>107</x:v>
      </x:c>
      <x:c r="AN21" s="3" t="n">
        <x:v>1</x:v>
      </x:c>
      <x:c r="AO21" s="3" t="n">
        <x:v>1</x:v>
      </x:c>
      <x:c r="AP21" s="3" t="s">
        <x:v>428</x:v>
      </x:c>
      <x:c r="AQ21" s="3" t="s">
        <x:v>417</x:v>
      </x:c>
      <x:c r="AR21" s="3" t="s">
        <x:v>102</x:v>
      </x:c>
      <x:c r="AS21" s="3"/>
      <x:c r="AT21" s="3"/>
      <x:c r="AU21" s="54"/>
      <x:c r="AV21" s="12"/>
      <x:c r="AW21" s="3" t="s">
        <x:v>434</x:v>
      </x:c>
      <x:c r="AX21" s="3" t="s">
        <x:v>501</x:v>
      </x:c>
      <x:c r="AY21" s="3" t="s">
        <x:v>498</x:v>
      </x:c>
      <x:c r="AZ21" s="3" t="s">
        <x:v>422</x:v>
      </x:c>
      <x:c r="BA21" s="3" t="s">
        <x:v>423</x:v>
      </x:c>
      <x:c r="BB21" s="11" t="str">
        <x:f aca="0">""</x:f>
      </x:c>
      <x:c r="BC21" s="11" t="n">
        <x:f aca="0">0</x:f>
        <x:v>0</x:v>
      </x:c>
      <x:c r="BD21" s="11" t="str">
        <x:f aca="0">""</x:f>
      </x:c>
      <x:c r="BE21" s="19" t="str">
        <x:f aca="0">"N/A"</x:f>
        <x:v>N/A</x:v>
      </x:c>
      <x:c r="BF21" s="19" t="str">
        <x:f aca="0">""</x:f>
      </x:c>
    </x:row>
    <x:row r="22" ht="46.25" hidden="0">
      <x:c r="A22" s="3" t="n">
        <x:v>18</x:v>
      </x:c>
      <x:c r="B22" s="53" t="n">
        <x:v>46263</x:v>
      </x:c>
      <x:c r="C22" s="3" t="s">
        <x:v>491</x:v>
      </x:c>
      <x:c r="D22" s="3" t="s">
        <x:v>492</x:v>
      </x:c>
      <x:c r="E22" s="3" t="s">
        <x:v>502</x:v>
      </x:c>
      <x:c r="F22" s="3" t="s">
        <x:v>503</x:v>
      </x:c>
      <x:c r="G22" s="3" t="s">
        <x:v>409</x:v>
      </x:c>
      <x:c r="H22" s="3" t="s">
        <x:v>410</x:v>
      </x:c>
      <x:c r="I22" s="3" t="s">
        <x:v>495</x:v>
      </x:c>
      <x:c r="J22" s="3"/>
      <x:c r="K22" s="3"/>
      <x:c r="L22" s="54" t="n">
        <x:v>2.16406593794076</x:v>
      </x:c>
      <x:c r="M22" s="54" t="n">
        <x:v>1.44593406205924</x:v>
      </x:c>
      <x:c r="N22" s="12" t="n">
        <x:v>0.31</x:v>
      </x:c>
      <x:c r="O22" s="12" t="n">
        <x:v>0.28</x:v>
      </x:c>
      <x:c r="P22" s="12" t="n">
        <x:v>0.41</x:v>
      </x:c>
      <x:c r="Q22" s="3" t="str">
        <x:f aca="0">"2"</x:f>
        <x:v>2</x:v>
      </x:c>
      <x:c r="R22" s="3" t="s">
        <x:v>502</x:v>
      </x:c>
      <x:c r="S22" s="3" t="str">
        <x:f aca="0">"Basel"</x:f>
        <x:v>Basel</x:v>
      </x:c>
      <x:c r="T22" s="3"/>
      <x:c r="U22" s="3"/>
      <x:c r="V22" s="3"/>
      <x:c r="W22" s="12"/>
      <x:c r="X22" s="12"/>
      <x:c r="Y22" s="12"/>
      <x:c r="Z22" s="13" t="n">
        <x:v>73</x:v>
      </x:c>
      <x:c r="AA22" s="3" t="s">
        <x:v>426</x:v>
      </x:c>
      <x:c r="AB22" s="54"/>
      <x:c r="AC22" s="54"/>
      <x:c r="AD22" s="54"/>
      <x:c r="AE22" s="3"/>
      <x:c r="AF22" s="3"/>
      <x:c r="AG22" s="54"/>
      <x:c r="AH22" s="12"/>
      <x:c r="AI22" s="12" t="n">
        <x:v>0.04</x:v>
      </x:c>
      <x:c r="AJ22" s="12"/>
      <x:c r="AK22" s="12"/>
      <x:c r="AL22" s="19" t="s">
        <x:v>427</x:v>
      </x:c>
      <x:c r="AM22" s="3" t="s">
        <x:v>107</x:v>
      </x:c>
      <x:c r="AN22" s="3" t="n">
        <x:v>3</x:v>
      </x:c>
      <x:c r="AO22" s="3" t="n">
        <x:v>3</x:v>
      </x:c>
      <x:c r="AP22" s="3" t="s">
        <x:v>504</x:v>
      </x:c>
      <x:c r="AQ22" s="3" t="s">
        <x:v>417</x:v>
      </x:c>
      <x:c r="AR22" s="3" t="s">
        <x:v>107</x:v>
      </x:c>
      <x:c r="AS22" s="3"/>
      <x:c r="AT22" s="3"/>
      <x:c r="AU22" s="54"/>
      <x:c r="AV22" s="12"/>
      <x:c r="AW22" s="3" t="s">
        <x:v>429</x:v>
      </x:c>
      <x:c r="AX22" s="3" t="s">
        <x:v>505</x:v>
      </x:c>
      <x:c r="AY22" s="3" t="s">
        <x:v>498</x:v>
      </x:c>
      <x:c r="AZ22" s="3" t="s">
        <x:v>422</x:v>
      </x:c>
      <x:c r="BA22" s="3" t="s">
        <x:v>423</x:v>
      </x:c>
      <x:c r="BB22" s="11" t="str">
        <x:f aca="0">""</x:f>
      </x:c>
      <x:c r="BC22" s="11" t="n">
        <x:f aca="0">0</x:f>
        <x:v>0</x:v>
      </x:c>
      <x:c r="BD22" s="11" t="str">
        <x:f aca="0">""</x:f>
      </x:c>
      <x:c r="BE22" s="19" t="str">
        <x:f aca="0">"N/A"</x:f>
        <x:v>N/A</x:v>
      </x:c>
      <x:c r="BF22" s="19" t="str">
        <x:f aca="0">""</x:f>
      </x:c>
    </x:row>
    <x:row r="23" ht="46.25" hidden="0">
      <x:c r="A23" s="3" t="n">
        <x:v>19</x:v>
      </x:c>
      <x:c r="B23" s="53" t="n">
        <x:v>46263</x:v>
      </x:c>
      <x:c r="C23" s="3" t="s">
        <x:v>506</x:v>
      </x:c>
      <x:c r="D23" s="3" t="s">
        <x:v>507</x:v>
      </x:c>
      <x:c r="E23" s="3" t="s">
        <x:v>508</x:v>
      </x:c>
      <x:c r="F23" s="3" t="s">
        <x:v>509</x:v>
      </x:c>
      <x:c r="G23" s="3" t="s">
        <x:v>409</x:v>
      </x:c>
      <x:c r="H23" s="3" t="s">
        <x:v>410</x:v>
      </x:c>
      <x:c r="I23" s="3" t="s">
        <x:v>510</x:v>
      </x:c>
      <x:c r="J23" s="3"/>
      <x:c r="K23" s="3"/>
      <x:c r="L23" s="54" t="n">
        <x:v>0.939383548149512</x:v>
      </x:c>
      <x:c r="M23" s="54" t="n">
        <x:v>1.79061645185049</x:v>
      </x:c>
      <x:c r="N23" s="12" t="n">
        <x:v>0.22</x:v>
      </x:c>
      <x:c r="O23" s="12" t="n">
        <x:v>0.18</x:v>
      </x:c>
      <x:c r="P23" s="12" t="n">
        <x:v>0.6</x:v>
      </x:c>
      <x:c r="Q23" s="3" t="str">
        <x:f aca="0">"2"</x:f>
        <x:v>2</x:v>
      </x:c>
      <x:c r="R23" s="3" t="s">
        <x:v>509</x:v>
      </x:c>
      <x:c r="S23" s="3" t="str">
        <x:f aca="0">"Strasbourg"</x:f>
        <x:v>Strasbourg</x:v>
      </x:c>
      <x:c r="T23" s="3"/>
      <x:c r="U23" s="3"/>
      <x:c r="V23" s="3"/>
      <x:c r="W23" s="12"/>
      <x:c r="X23" s="12"/>
      <x:c r="Y23" s="12"/>
      <x:c r="Z23" s="13" t="n">
        <x:v>75</x:v>
      </x:c>
      <x:c r="AA23" s="3" t="s">
        <x:v>426</x:v>
      </x:c>
      <x:c r="AB23" s="54"/>
      <x:c r="AC23" s="54"/>
      <x:c r="AD23" s="54"/>
      <x:c r="AE23" s="3"/>
      <x:c r="AF23" s="3"/>
      <x:c r="AG23" s="54"/>
      <x:c r="AH23" s="12"/>
      <x:c r="AI23" s="12" t="n">
        <x:v>0.04</x:v>
      </x:c>
      <x:c r="AJ23" s="12"/>
      <x:c r="AK23" s="12"/>
      <x:c r="AL23" s="19" t="s">
        <x:v>427</x:v>
      </x:c>
      <x:c r="AM23" s="3" t="s">
        <x:v>107</x:v>
      </x:c>
      <x:c r="AN23" s="3" t="n">
        <x:v>2</x:v>
      </x:c>
      <x:c r="AO23" s="3" t="n">
        <x:v>1</x:v>
      </x:c>
      <x:c r="AP23" s="3" t="s">
        <x:v>471</x:v>
      </x:c>
      <x:c r="AQ23" s="3" t="s">
        <x:v>446</x:v>
      </x:c>
      <x:c r="AR23" s="3" t="s">
        <x:v>107</x:v>
      </x:c>
      <x:c r="AS23" s="3"/>
      <x:c r="AT23" s="3"/>
      <x:c r="AU23" s="54"/>
      <x:c r="AV23" s="12"/>
      <x:c r="AW23" s="3" t="s">
        <x:v>456</x:v>
      </x:c>
      <x:c r="AX23" s="3" t="s">
        <x:v>511</x:v>
      </x:c>
      <x:c r="AY23" s="3" t="s">
        <x:v>498</x:v>
      </x:c>
      <x:c r="AZ23" s="3" t="s">
        <x:v>422</x:v>
      </x:c>
      <x:c r="BA23" s="3" t="s">
        <x:v>423</x:v>
      </x:c>
      <x:c r="BB23" s="11" t="str">
        <x:f aca="0">""</x:f>
      </x:c>
      <x:c r="BC23" s="11" t="n">
        <x:f aca="0">0</x:f>
        <x:v>0</x:v>
      </x:c>
      <x:c r="BD23" s="11" t="str">
        <x:f aca="0">""</x:f>
      </x:c>
      <x:c r="BE23" s="19" t="str">
        <x:f aca="0">"N/A"</x:f>
        <x:v>N/A</x:v>
      </x:c>
      <x:c r="BF23" s="19" t="str">
        <x:f aca="0">""</x:f>
      </x:c>
    </x:row>
    <x:row r="24" ht="46.25" hidden="0">
      <x:c r="A24" s="3" t="n">
        <x:v>20</x:v>
      </x:c>
      <x:c r="B24" s="53" t="n">
        <x:v>46263</x:v>
      </x:c>
      <x:c r="C24" s="3" t="s">
        <x:v>506</x:v>
      </x:c>
      <x:c r="D24" s="3" t="s">
        <x:v>507</x:v>
      </x:c>
      <x:c r="E24" s="3" t="s">
        <x:v>512</x:v>
      </x:c>
      <x:c r="F24" s="3" t="s">
        <x:v>513</x:v>
      </x:c>
      <x:c r="G24" s="3" t="s">
        <x:v>409</x:v>
      </x:c>
      <x:c r="H24" s="3" t="s">
        <x:v>410</x:v>
      </x:c>
      <x:c r="I24" s="3" t="s">
        <x:v>510</x:v>
      </x:c>
      <x:c r="J24" s="3"/>
      <x:c r="K24" s="3"/>
      <x:c r="L24" s="54" t="n">
        <x:v>1.536411575179</x:v>
      </x:c>
      <x:c r="M24" s="54" t="n">
        <x:v>0.693588424821003</x:v>
      </x:c>
      <x:c r="N24" s="12" t="n">
        <x:v>0.44</x:v>
      </x:c>
      <x:c r="O24" s="12" t="n">
        <x:v>0.34</x:v>
      </x:c>
      <x:c r="P24" s="12" t="n">
        <x:v>0.22</x:v>
      </x:c>
      <x:c r="Q24" s="3" t="str">
        <x:f aca="0">"1"</x:f>
        <x:v>1</x:v>
      </x:c>
      <x:c r="R24" s="3" t="s">
        <x:v>512</x:v>
      </x:c>
      <x:c r="S24" s="3" t="str">
        <x:f aca="0">"Angers"</x:f>
        <x:v>Angers</x:v>
      </x:c>
      <x:c r="T24" s="3"/>
      <x:c r="U24" s="3"/>
      <x:c r="V24" s="3"/>
      <x:c r="W24" s="12"/>
      <x:c r="X24" s="12"/>
      <x:c r="Y24" s="12"/>
      <x:c r="Z24" s="13" t="n">
        <x:v>75</x:v>
      </x:c>
      <x:c r="AA24" s="3" t="s">
        <x:v>426</x:v>
      </x:c>
      <x:c r="AB24" s="54"/>
      <x:c r="AC24" s="54"/>
      <x:c r="AD24" s="54"/>
      <x:c r="AE24" s="3"/>
      <x:c r="AF24" s="3"/>
      <x:c r="AG24" s="54"/>
      <x:c r="AH24" s="12"/>
      <x:c r="AI24" s="12" t="n">
        <x:v>0.04</x:v>
      </x:c>
      <x:c r="AJ24" s="12"/>
      <x:c r="AK24" s="12"/>
      <x:c r="AL24" s="19" t="s">
        <x:v>427</x:v>
      </x:c>
      <x:c r="AM24" s="3" t="s">
        <x:v>107</x:v>
      </x:c>
      <x:c r="AN24" s="3" t="n">
        <x:v>1</x:v>
      </x:c>
      <x:c r="AO24" s="3" t="n">
        <x:v>3</x:v>
      </x:c>
      <x:c r="AP24" s="3" t="s">
        <x:v>514</x:v>
      </x:c>
      <x:c r="AQ24" s="3" t="s">
        <x:v>412</x:v>
      </x:c>
      <x:c r="AR24" s="3" t="s">
        <x:v>107</x:v>
      </x:c>
      <x:c r="AS24" s="3"/>
      <x:c r="AT24" s="3"/>
      <x:c r="AU24" s="54"/>
      <x:c r="AV24" s="12"/>
      <x:c r="AW24" s="3" t="s">
        <x:v>456</x:v>
      </x:c>
      <x:c r="AX24" s="3" t="s">
        <x:v>515</x:v>
      </x:c>
      <x:c r="AY24" s="3" t="s">
        <x:v>498</x:v>
      </x:c>
      <x:c r="AZ24" s="3" t="s">
        <x:v>422</x:v>
      </x:c>
      <x:c r="BA24" s="3" t="s">
        <x:v>423</x:v>
      </x:c>
      <x:c r="BB24" s="11" t="str">
        <x:f aca="0">""</x:f>
      </x:c>
      <x:c r="BC24" s="11" t="n">
        <x:f aca="0">0</x:f>
        <x:v>0</x:v>
      </x:c>
      <x:c r="BD24" s="11" t="str">
        <x:f aca="0">""</x:f>
      </x:c>
      <x:c r="BE24" s="19" t="str">
        <x:f aca="0">"N/A"</x:f>
        <x:v>N/A</x:v>
      </x:c>
      <x:c r="BF24" s="19" t="str">
        <x:f aca="0">""</x:f>
      </x:c>
    </x:row>
    <x:row r="25" ht="46.25" hidden="0">
      <x:c r="A25" s="3" t="n">
        <x:v>21</x:v>
      </x:c>
      <x:c r="B25" s="53" t="n">
        <x:v>46263</x:v>
      </x:c>
      <x:c r="C25" s="3" t="s">
        <x:v>506</x:v>
      </x:c>
      <x:c r="D25" s="3" t="s">
        <x:v>507</x:v>
      </x:c>
      <x:c r="E25" s="3" t="s">
        <x:v>516</x:v>
      </x:c>
      <x:c r="F25" s="3" t="s">
        <x:v>517</x:v>
      </x:c>
      <x:c r="G25" s="3" t="s">
        <x:v>409</x:v>
      </x:c>
      <x:c r="H25" s="3" t="s">
        <x:v>410</x:v>
      </x:c>
      <x:c r="I25" s="3" t="s">
        <x:v>510</x:v>
      </x:c>
      <x:c r="J25" s="3"/>
      <x:c r="K25" s="3"/>
      <x:c r="L25" s="54" t="n">
        <x:v>1.5217</x:v>
      </x:c>
      <x:c r="M25" s="54" t="n">
        <x:v>1.1983</x:v>
      </x:c>
      <x:c r="N25" s="12" t="n">
        <x:v>0.5</x:v>
      </x:c>
      <x:c r="O25" s="12" t="n">
        <x:v>0.28</x:v>
      </x:c>
      <x:c r="P25" s="12" t="n">
        <x:v>0.22</x:v>
      </x:c>
      <x:c r="Q25" s="3" t="str">
        <x:f aca="0">"1"</x:f>
        <x:v>1</x:v>
      </x:c>
      <x:c r="R25" s="3" t="s">
        <x:v>516</x:v>
      </x:c>
      <x:c r="S25" s="3" t="str">
        <x:f aca="0">"Toulouse"</x:f>
        <x:v>Toulouse</x:v>
      </x:c>
      <x:c r="T25" s="3"/>
      <x:c r="U25" s="3"/>
      <x:c r="V25" s="3"/>
      <x:c r="W25" s="12"/>
      <x:c r="X25" s="12"/>
      <x:c r="Y25" s="12"/>
      <x:c r="Z25" s="13" t="n">
        <x:v>66</x:v>
      </x:c>
      <x:c r="AA25" s="3" t="s">
        <x:v>426</x:v>
      </x:c>
      <x:c r="AB25" s="54"/>
      <x:c r="AC25" s="54"/>
      <x:c r="AD25" s="54"/>
      <x:c r="AE25" s="3"/>
      <x:c r="AF25" s="3"/>
      <x:c r="AG25" s="54"/>
      <x:c r="AH25" s="12"/>
      <x:c r="AI25" s="12" t="n">
        <x:v>0.04</x:v>
      </x:c>
      <x:c r="AJ25" s="12"/>
      <x:c r="AK25" s="12"/>
      <x:c r="AL25" s="19" t="s">
        <x:v>427</x:v>
      </x:c>
      <x:c r="AM25" s="3" t="s">
        <x:v>107</x:v>
      </x:c>
      <x:c r="AN25" s="3" t="n">
        <x:v>2</x:v>
      </x:c>
      <x:c r="AO25" s="3" t="n">
        <x:v>2</x:v>
      </x:c>
      <x:c r="AP25" s="3" t="s">
        <x:v>416</x:v>
      </x:c>
      <x:c r="AQ25" s="3" t="s">
        <x:v>417</x:v>
      </x:c>
      <x:c r="AR25" s="3" t="s">
        <x:v>107</x:v>
      </x:c>
      <x:c r="AS25" s="3"/>
      <x:c r="AT25" s="3"/>
      <x:c r="AU25" s="54"/>
      <x:c r="AV25" s="12"/>
      <x:c r="AW25" s="3" t="s">
        <x:v>429</x:v>
      </x:c>
      <x:c r="AX25" s="3" t="s">
        <x:v>518</x:v>
      </x:c>
      <x:c r="AY25" s="3" t="s">
        <x:v>498</x:v>
      </x:c>
      <x:c r="AZ25" s="3" t="s">
        <x:v>422</x:v>
      </x:c>
      <x:c r="BA25" s="3" t="s">
        <x:v>423</x:v>
      </x:c>
      <x:c r="BB25" s="11" t="str">
        <x:f aca="0">""</x:f>
      </x:c>
      <x:c r="BC25" s="11" t="n">
        <x:f aca="0">0</x:f>
        <x:v>0</x:v>
      </x:c>
      <x:c r="BD25" s="11" t="str">
        <x:f aca="0">""</x:f>
      </x:c>
      <x:c r="BE25" s="19" t="str">
        <x:f aca="0">"N/A"</x:f>
        <x:v>N/A</x:v>
      </x:c>
      <x:c r="BF25" s="19" t="str">
        <x:f aca="0">""</x:f>
      </x:c>
    </x:row>
    <x:row r="26" ht="46.25" hidden="0">
      <x:c r="A26" s="3" t="n">
        <x:v>22</x:v>
      </x:c>
      <x:c r="B26" s="53" t="n">
        <x:v>46263</x:v>
      </x:c>
      <x:c r="C26" s="3" t="s">
        <x:v>506</x:v>
      </x:c>
      <x:c r="D26" s="3" t="s">
        <x:v>507</x:v>
      </x:c>
      <x:c r="E26" s="3" t="s">
        <x:v>519</x:v>
      </x:c>
      <x:c r="F26" s="3" t="s">
        <x:v>520</x:v>
      </x:c>
      <x:c r="G26" s="3" t="s">
        <x:v>409</x:v>
      </x:c>
      <x:c r="H26" s="3" t="s">
        <x:v>410</x:v>
      </x:c>
      <x:c r="I26" s="3" t="s">
        <x:v>510</x:v>
      </x:c>
      <x:c r="J26" s="3"/>
      <x:c r="K26" s="3"/>
      <x:c r="L26" s="54" t="n">
        <x:v>1.41953421052632</x:v>
      </x:c>
      <x:c r="M26" s="54" t="n">
        <x:v>0.580465789473684</x:v>
      </x:c>
      <x:c r="N26" s="12" t="n">
        <x:v>0.3</x:v>
      </x:c>
      <x:c r="O26" s="12" t="n">
        <x:v>0.54</x:v>
      </x:c>
      <x:c r="P26" s="12" t="n">
        <x:v>0.16</x:v>
      </x:c>
      <x:c r="Q26" s="3" t="str">
        <x:f aca="0">"X"</x:f>
        <x:v>X</x:v>
      </x:c>
      <x:c r="R26" s="3" t="s">
        <x:v>519</x:v>
      </x:c>
      <x:c r="S26" s="3" t="str">
        <x:f aca="0">"Troyes"</x:f>
        <x:v>Troyes</x:v>
      </x:c>
      <x:c r="T26" s="3"/>
      <x:c r="U26" s="3"/>
      <x:c r="V26" s="3"/>
      <x:c r="W26" s="12"/>
      <x:c r="X26" s="12"/>
      <x:c r="Y26" s="12"/>
      <x:c r="Z26" s="13" t="n">
        <x:v>75</x:v>
      </x:c>
      <x:c r="AA26" s="3" t="s">
        <x:v>426</x:v>
      </x:c>
      <x:c r="AB26" s="54"/>
      <x:c r="AC26" s="54"/>
      <x:c r="AD26" s="54"/>
      <x:c r="AE26" s="3"/>
      <x:c r="AF26" s="3"/>
      <x:c r="AG26" s="54"/>
      <x:c r="AH26" s="12"/>
      <x:c r="AI26" s="12" t="n">
        <x:v>0.04</x:v>
      </x:c>
      <x:c r="AJ26" s="12"/>
      <x:c r="AK26" s="12"/>
      <x:c r="AL26" s="19" t="s">
        <x:v>427</x:v>
      </x:c>
      <x:c r="AM26" s="3" t="s">
        <x:v>107</x:v>
      </x:c>
      <x:c r="AN26" s="3" t="n">
        <x:v>1</x:v>
      </x:c>
      <x:c r="AO26" s="3" t="n">
        <x:v>2</x:v>
      </x:c>
      <x:c r="AP26" s="3" t="s">
        <x:v>460</x:v>
      </x:c>
      <x:c r="AQ26" s="3" t="s">
        <x:v>412</x:v>
      </x:c>
      <x:c r="AR26" s="3" t="s">
        <x:v>107</x:v>
      </x:c>
      <x:c r="AS26" s="3"/>
      <x:c r="AT26" s="3"/>
      <x:c r="AU26" s="54"/>
      <x:c r="AV26" s="12"/>
      <x:c r="AW26" s="3" t="s">
        <x:v>439</x:v>
      </x:c>
      <x:c r="AX26" s="3" t="s">
        <x:v>521</x:v>
      </x:c>
      <x:c r="AY26" s="3" t="s">
        <x:v>498</x:v>
      </x:c>
      <x:c r="AZ26" s="3" t="s">
        <x:v>422</x:v>
      </x:c>
      <x:c r="BA26" s="3" t="s">
        <x:v>423</x:v>
      </x:c>
      <x:c r="BB26" s="11" t="str">
        <x:f aca="0">""</x:f>
      </x:c>
      <x:c r="BC26" s="11" t="n">
        <x:f aca="0">0</x:f>
        <x:v>0</x:v>
      </x:c>
      <x:c r="BD26" s="11" t="str">
        <x:f aca="0">""</x:f>
      </x:c>
      <x:c r="BE26" s="19" t="str">
        <x:f aca="0">"N/A"</x:f>
        <x:v>N/A</x:v>
      </x:c>
      <x:c r="BF26" s="19" t="str">
        <x:f aca="0">""</x:f>
      </x:c>
    </x:row>
    <x:row r="27" ht="46.25" hidden="0">
      <x:c r="A27" s="3" t="n">
        <x:v>23</x:v>
      </x:c>
      <x:c r="B27" s="53" t="n">
        <x:v>46263</x:v>
      </x:c>
      <x:c r="C27" s="3" t="s">
        <x:v>506</x:v>
      </x:c>
      <x:c r="D27" s="3" t="s">
        <x:v>507</x:v>
      </x:c>
      <x:c r="E27" s="3" t="s">
        <x:v>522</x:v>
      </x:c>
      <x:c r="F27" s="3" t="s">
        <x:v>523</x:v>
      </x:c>
      <x:c r="G27" s="3" t="s">
        <x:v>409</x:v>
      </x:c>
      <x:c r="H27" s="3" t="s">
        <x:v>410</x:v>
      </x:c>
      <x:c r="I27" s="3" t="s">
        <x:v>510</x:v>
      </x:c>
      <x:c r="J27" s="3"/>
      <x:c r="K27" s="3"/>
      <x:c r="L27" s="54" t="n">
        <x:v>2.19406769662921</x:v>
      </x:c>
      <x:c r="M27" s="54" t="n">
        <x:v>0.395932303370786</x:v>
      </x:c>
      <x:c r="N27" s="12" t="n">
        <x:v>0.7</x:v>
      </x:c>
      <x:c r="O27" s="12" t="n">
        <x:v>0.19</x:v>
      </x:c>
      <x:c r="P27" s="12" t="n">
        <x:v>0.11</x:v>
      </x:c>
      <x:c r="Q27" s="3" t="str">
        <x:f aca="0">"1"</x:f>
        <x:v>1</x:v>
      </x:c>
      <x:c r="R27" s="3" t="s">
        <x:v>522</x:v>
      </x:c>
      <x:c r="S27" s="3" t="str">
        <x:f aca="0">"Le Havre"</x:f>
        <x:v>Le Havre</x:v>
      </x:c>
      <x:c r="T27" s="3" t="n">
        <x:v>-4</x:v>
      </x:c>
      <x:c r="U27" s="3" t="s">
        <x:v>412</x:v>
      </x:c>
      <x:c r="V27" s="3" t="s">
        <x:v>524</x:v>
      </x:c>
      <x:c r="W27" s="12" t="n">
        <x:v>0.858699162956451</x:v>
      </x:c>
      <x:c r="X27" s="12" t="n">
        <x:v>0.0859732128891947</x:v>
      </x:c>
      <x:c r="Y27" s="12" t="n">
        <x:v>0.0553276241543543</x:v>
      </x:c>
      <x:c r="Z27" s="13" t="n">
        <x:v>90</x:v>
      </x:c>
      <x:c r="AA27" s="3" t="s">
        <x:v>426</x:v>
      </x:c>
      <x:c r="AB27" s="54" t="n">
        <x:v>1.16455220074637</x:v>
      </x:c>
      <x:c r="AC27" s="54" t="n">
        <x:v>1.25771637680608</x:v>
      </x:c>
      <x:c r="AD27" s="54"/>
      <x:c r="AE27" s="3"/>
      <x:c r="AF27" s="3"/>
      <x:c r="AG27" s="54"/>
      <x:c r="AH27" s="12"/>
      <x:c r="AI27" s="12" t="n">
        <x:v>0.04</x:v>
      </x:c>
      <x:c r="AJ27" s="12"/>
      <x:c r="AK27" s="12"/>
      <x:c r="AL27" s="19" t="s">
        <x:v>415</x:v>
      </x:c>
      <x:c r="AM27" s="3" t="s">
        <x:v>107</x:v>
      </x:c>
      <x:c r="AN27" s="3" t="n">
        <x:v>1</x:v>
      </x:c>
      <x:c r="AO27" s="3" t="n">
        <x:v>1</x:v>
      </x:c>
      <x:c r="AP27" s="3" t="s">
        <x:v>428</x:v>
      </x:c>
      <x:c r="AQ27" s="3" t="s">
        <x:v>417</x:v>
      </x:c>
      <x:c r="AR27" s="3" t="s">
        <x:v>107</x:v>
      </x:c>
      <x:c r="AS27" s="3" t="s">
        <x:v>412</x:v>
      </x:c>
      <x:c r="AT27" s="3" t="s">
        <x:v>418</x:v>
      </x:c>
      <x:c r="AU27" s="54"/>
      <x:c r="AV27" s="12"/>
      <x:c r="AW27" s="3" t="s">
        <x:v>419</x:v>
      </x:c>
      <x:c r="AX27" s="3" t="s">
        <x:v>525</x:v>
      </x:c>
      <x:c r="AY27" s="3" t="s">
        <x:v>498</x:v>
      </x:c>
      <x:c r="AZ27" s="3" t="s">
        <x:v>422</x:v>
      </x:c>
      <x:c r="BA27" s="3" t="s">
        <x:v>423</x:v>
      </x:c>
      <x:c r="BB27" s="11" t="n">
        <x:f aca="0">0.03</x:f>
        <x:v>0.03</x:v>
      </x:c>
      <x:c r="BC27" s="11" t="n">
        <x:f aca="0">0.05597321288919467</x:f>
        <x:v>0.05597321288919467</x:v>
      </x:c>
      <x:c r="BD27" s="11" t="str">
        <x:f aca="0">""</x:f>
      </x:c>
      <x:c r="BE27" s="19" t="str">
        <x:f aca="0">"NO BET – +4 STRICT"</x:f>
        <x:v>NO BET – +4 STRICT</x:v>
      </x:c>
      <x:c r="BF27" s="19" t="str">
        <x:f aca="0">""</x:f>
      </x:c>
    </x:row>
    <x:row r="28" ht="46.25" hidden="0">
      <x:c r="A28" s="3" t="n">
        <x:v>24</x:v>
      </x:c>
      <x:c r="B28" s="53" t="n">
        <x:v>46263</x:v>
      </x:c>
      <x:c r="C28" s="3" t="s">
        <x:v>506</x:v>
      </x:c>
      <x:c r="D28" s="3" t="s">
        <x:v>526</x:v>
      </x:c>
      <x:c r="E28" s="3" t="s">
        <x:v>527</x:v>
      </x:c>
      <x:c r="F28" s="3" t="s">
        <x:v>528</x:v>
      </x:c>
      <x:c r="G28" s="3" t="s">
        <x:v>409</x:v>
      </x:c>
      <x:c r="H28" s="3" t="s">
        <x:v>410</x:v>
      </x:c>
      <x:c r="I28" s="3" t="s">
        <x:v>529</x:v>
      </x:c>
      <x:c r="J28" s="3"/>
      <x:c r="K28" s="3"/>
      <x:c r="L28" s="54" t="n">
        <x:v>0.812434174311927</x:v>
      </x:c>
      <x:c r="M28" s="54" t="n">
        <x:v>0.817565825688073</x:v>
      </x:c>
      <x:c r="N28" s="12" t="n">
        <x:v>0.23</x:v>
      </x:c>
      <x:c r="O28" s="12" t="n">
        <x:v>0.51</x:v>
      </x:c>
      <x:c r="P28" s="12" t="n">
        <x:v>0.26</x:v>
      </x:c>
      <x:c r="Q28" s="3" t="str">
        <x:f aca="0">"X"</x:f>
        <x:v>X</x:v>
      </x:c>
      <x:c r="R28" s="3" t="s">
        <x:v>528</x:v>
      </x:c>
      <x:c r="S28" s="3" t="str">
        <x:f aca="0">"Annecy"</x:f>
        <x:v>Annecy</x:v>
      </x:c>
      <x:c r="T28" s="3"/>
      <x:c r="U28" s="3"/>
      <x:c r="V28" s="3"/>
      <x:c r="W28" s="12"/>
      <x:c r="X28" s="12"/>
      <x:c r="Y28" s="12"/>
      <x:c r="Z28" s="13" t="n">
        <x:v>60</x:v>
      </x:c>
      <x:c r="AA28" s="3" t="s">
        <x:v>426</x:v>
      </x:c>
      <x:c r="AB28" s="54"/>
      <x:c r="AC28" s="54"/>
      <x:c r="AD28" s="54"/>
      <x:c r="AE28" s="3"/>
      <x:c r="AF28" s="3"/>
      <x:c r="AG28" s="54"/>
      <x:c r="AH28" s="12"/>
      <x:c r="AI28" s="12" t="n">
        <x:v>0.04</x:v>
      </x:c>
      <x:c r="AJ28" s="12"/>
      <x:c r="AK28" s="12"/>
      <x:c r="AL28" s="19" t="s">
        <x:v>427</x:v>
      </x:c>
      <x:c r="AM28" s="3" t="s">
        <x:v>107</x:v>
      </x:c>
      <x:c r="AN28" s="3" t="n">
        <x:v>1</x:v>
      </x:c>
      <x:c r="AO28" s="3" t="n">
        <x:v>1</x:v>
      </x:c>
      <x:c r="AP28" s="3" t="s">
        <x:v>428</x:v>
      </x:c>
      <x:c r="AQ28" s="3" t="s">
        <x:v>417</x:v>
      </x:c>
      <x:c r="AR28" s="3" t="s">
        <x:v>102</x:v>
      </x:c>
      <x:c r="AS28" s="3"/>
      <x:c r="AT28" s="3"/>
      <x:c r="AU28" s="54"/>
      <x:c r="AV28" s="12"/>
      <x:c r="AW28" s="3" t="s">
        <x:v>434</x:v>
      </x:c>
      <x:c r="AX28" s="3" t="s">
        <x:v>530</x:v>
      </x:c>
      <x:c r="AY28" s="3" t="s">
        <x:v>498</x:v>
      </x:c>
      <x:c r="AZ28" s="3" t="s">
        <x:v>422</x:v>
      </x:c>
      <x:c r="BA28" s="3" t="s">
        <x:v>423</x:v>
      </x:c>
      <x:c r="BB28" s="11" t="str">
        <x:f aca="0">""</x:f>
      </x:c>
      <x:c r="BC28" s="11" t="n">
        <x:f aca="0">0</x:f>
        <x:v>0</x:v>
      </x:c>
      <x:c r="BD28" s="11" t="str">
        <x:f aca="0">""</x:f>
      </x:c>
      <x:c r="BE28" s="19" t="str">
        <x:f aca="0">"N/A"</x:f>
        <x:v>N/A</x:v>
      </x:c>
      <x:c r="BF28" s="19" t="str">
        <x:f aca="0">""</x:f>
      </x:c>
    </x:row>
    <x:row r="29" ht="46.25" hidden="0">
      <x:c r="A29" s="3" t="n">
        <x:v>25</x:v>
      </x:c>
      <x:c r="B29" s="53" t="n">
        <x:v>46263</x:v>
      </x:c>
      <x:c r="C29" s="3" t="s">
        <x:v>506</x:v>
      </x:c>
      <x:c r="D29" s="3" t="s">
        <x:v>526</x:v>
      </x:c>
      <x:c r="E29" s="3" t="s">
        <x:v>531</x:v>
      </x:c>
      <x:c r="F29" s="3" t="s">
        <x:v>532</x:v>
      </x:c>
      <x:c r="G29" s="3" t="s">
        <x:v>409</x:v>
      </x:c>
      <x:c r="H29" s="3" t="s">
        <x:v>410</x:v>
      </x:c>
      <x:c r="I29" s="3" t="s">
        <x:v>529</x:v>
      </x:c>
      <x:c r="J29" s="3"/>
      <x:c r="K29" s="3"/>
      <x:c r="L29" s="54" t="n">
        <x:v>0.400833333333333</x:v>
      </x:c>
      <x:c r="M29" s="54" t="n">
        <x:v>0.599166666666667</x:v>
      </x:c>
      <x:c r="N29" s="12" t="n">
        <x:v>0.14</x:v>
      </x:c>
      <x:c r="O29" s="12" t="n">
        <x:v>0.54</x:v>
      </x:c>
      <x:c r="P29" s="12" t="n">
        <x:v>0.31</x:v>
      </x:c>
      <x:c r="Q29" s="3" t="str">
        <x:f aca="0">"X"</x:f>
        <x:v>X</x:v>
      </x:c>
      <x:c r="R29" s="3" t="s">
        <x:v>532</x:v>
      </x:c>
      <x:c r="S29" s="3" t="str">
        <x:f aca="0">"Red Star"</x:f>
        <x:v>Red Star</x:v>
      </x:c>
      <x:c r="T29" s="3"/>
      <x:c r="U29" s="3"/>
      <x:c r="V29" s="3"/>
      <x:c r="W29" s="12"/>
      <x:c r="X29" s="12"/>
      <x:c r="Y29" s="12"/>
      <x:c r="Z29" s="13" t="n">
        <x:v>64</x:v>
      </x:c>
      <x:c r="AA29" s="3" t="s">
        <x:v>426</x:v>
      </x:c>
      <x:c r="AB29" s="54"/>
      <x:c r="AC29" s="54"/>
      <x:c r="AD29" s="54"/>
      <x:c r="AE29" s="3"/>
      <x:c r="AF29" s="3"/>
      <x:c r="AG29" s="54"/>
      <x:c r="AH29" s="12"/>
      <x:c r="AI29" s="12" t="n">
        <x:v>0.04</x:v>
      </x:c>
      <x:c r="AJ29" s="12"/>
      <x:c r="AK29" s="12"/>
      <x:c r="AL29" s="19" t="s">
        <x:v>427</x:v>
      </x:c>
      <x:c r="AM29" s="3" t="s">
        <x:v>107</x:v>
      </x:c>
      <x:c r="AN29" s="3" t="n">
        <x:v>1</x:v>
      </x:c>
      <x:c r="AO29" s="3" t="n">
        <x:v>4</x:v>
      </x:c>
      <x:c r="AP29" s="3" t="s">
        <x:v>258</x:v>
      </x:c>
      <x:c r="AQ29" s="3" t="s">
        <x:v>412</x:v>
      </x:c>
      <x:c r="AR29" s="3" t="s">
        <x:v>107</x:v>
      </x:c>
      <x:c r="AS29" s="3"/>
      <x:c r="AT29" s="3"/>
      <x:c r="AU29" s="54"/>
      <x:c r="AV29" s="12"/>
      <x:c r="AW29" s="3" t="s">
        <x:v>439</x:v>
      </x:c>
      <x:c r="AX29" s="3" t="s">
        <x:v>533</x:v>
      </x:c>
      <x:c r="AY29" s="3" t="s">
        <x:v>498</x:v>
      </x:c>
      <x:c r="AZ29" s="3" t="s">
        <x:v>422</x:v>
      </x:c>
      <x:c r="BA29" s="3" t="s">
        <x:v>423</x:v>
      </x:c>
      <x:c r="BB29" s="11" t="str">
        <x:f aca="0">""</x:f>
      </x:c>
      <x:c r="BC29" s="11" t="n">
        <x:f aca="0">0</x:f>
        <x:v>0</x:v>
      </x:c>
      <x:c r="BD29" s="11" t="str">
        <x:f aca="0">""</x:f>
      </x:c>
      <x:c r="BE29" s="19" t="str">
        <x:f aca="0">"N/A"</x:f>
        <x:v>N/A</x:v>
      </x:c>
      <x:c r="BF29" s="19" t="str">
        <x:f aca="0">""</x:f>
      </x:c>
    </x:row>
    <x:row r="30" ht="46.25" hidden="0">
      <x:c r="A30" s="3" t="n">
        <x:v>26</x:v>
      </x:c>
      <x:c r="B30" s="53" t="n">
        <x:v>46263</x:v>
      </x:c>
      <x:c r="C30" s="3" t="s">
        <x:v>506</x:v>
      </x:c>
      <x:c r="D30" s="3" t="s">
        <x:v>526</x:v>
      </x:c>
      <x:c r="E30" s="3" t="s">
        <x:v>534</x:v>
      </x:c>
      <x:c r="F30" s="3" t="s">
        <x:v>535</x:v>
      </x:c>
      <x:c r="G30" s="3" t="s">
        <x:v>409</x:v>
      </x:c>
      <x:c r="H30" s="3" t="s">
        <x:v>410</x:v>
      </x:c>
      <x:c r="I30" s="3" t="s">
        <x:v>529</x:v>
      </x:c>
      <x:c r="J30" s="3"/>
      <x:c r="K30" s="3"/>
      <x:c r="L30" s="54" t="n">
        <x:v>1.05463133802817</x:v>
      </x:c>
      <x:c r="M30" s="54" t="n">
        <x:v>0.965368661971831</x:v>
      </x:c>
      <x:c r="N30" s="12" t="n">
        <x:v>0.51</x:v>
      </x:c>
      <x:c r="O30" s="12" t="n">
        <x:v>0.26</x:v>
      </x:c>
      <x:c r="P30" s="12" t="n">
        <x:v>0.23</x:v>
      </x:c>
      <x:c r="Q30" s="3" t="str">
        <x:f aca="0">"1"</x:f>
        <x:v>1</x:v>
      </x:c>
      <x:c r="R30" s="3" t="s">
        <x:v>534</x:v>
      </x:c>
      <x:c r="S30" s="3" t="str">
        <x:f aca="0">"Nantes"</x:f>
        <x:v>Nantes</x:v>
      </x:c>
      <x:c r="T30" s="3"/>
      <x:c r="U30" s="3"/>
      <x:c r="V30" s="3"/>
      <x:c r="W30" s="12"/>
      <x:c r="X30" s="12"/>
      <x:c r="Y30" s="12"/>
      <x:c r="Z30" s="13" t="n">
        <x:v>62</x:v>
      </x:c>
      <x:c r="AA30" s="3" t="s">
        <x:v>426</x:v>
      </x:c>
      <x:c r="AB30" s="54"/>
      <x:c r="AC30" s="54"/>
      <x:c r="AD30" s="54"/>
      <x:c r="AE30" s="3"/>
      <x:c r="AF30" s="3"/>
      <x:c r="AG30" s="54"/>
      <x:c r="AH30" s="12"/>
      <x:c r="AI30" s="12" t="n">
        <x:v>0.04</x:v>
      </x:c>
      <x:c r="AJ30" s="12"/>
      <x:c r="AK30" s="12"/>
      <x:c r="AL30" s="19" t="s">
        <x:v>427</x:v>
      </x:c>
      <x:c r="AM30" s="3" t="s">
        <x:v>107</x:v>
      </x:c>
      <x:c r="AN30" s="3" t="n">
        <x:v>3</x:v>
      </x:c>
      <x:c r="AO30" s="3" t="n">
        <x:v>3</x:v>
      </x:c>
      <x:c r="AP30" s="3" t="s">
        <x:v>504</x:v>
      </x:c>
      <x:c r="AQ30" s="3" t="s">
        <x:v>417</x:v>
      </x:c>
      <x:c r="AR30" s="3" t="s">
        <x:v>107</x:v>
      </x:c>
      <x:c r="AS30" s="3"/>
      <x:c r="AT30" s="3"/>
      <x:c r="AU30" s="54"/>
      <x:c r="AV30" s="12"/>
      <x:c r="AW30" s="3" t="s">
        <x:v>429</x:v>
      </x:c>
      <x:c r="AX30" s="3" t="s">
        <x:v>536</x:v>
      </x:c>
      <x:c r="AY30" s="3" t="s">
        <x:v>498</x:v>
      </x:c>
      <x:c r="AZ30" s="3" t="s">
        <x:v>422</x:v>
      </x:c>
      <x:c r="BA30" s="3" t="s">
        <x:v>423</x:v>
      </x:c>
      <x:c r="BB30" s="11" t="str">
        <x:f aca="0">""</x:f>
      </x:c>
      <x:c r="BC30" s="11" t="n">
        <x:f aca="0">0</x:f>
        <x:v>0</x:v>
      </x:c>
      <x:c r="BD30" s="11" t="str">
        <x:f aca="0">""</x:f>
      </x:c>
      <x:c r="BE30" s="19" t="str">
        <x:f aca="0">"N/A"</x:f>
        <x:v>N/A</x:v>
      </x:c>
      <x:c r="BF30" s="19" t="str">
        <x:f aca="0">""</x:f>
      </x:c>
    </x:row>
    <x:row r="31" ht="46.25" hidden="0">
      <x:c r="A31" s="3" t="n">
        <x:v>27</x:v>
      </x:c>
      <x:c r="B31" s="53" t="n">
        <x:v>46263</x:v>
      </x:c>
      <x:c r="C31" s="3" t="s">
        <x:v>537</x:v>
      </x:c>
      <x:c r="D31" s="3" t="s">
        <x:v>538</x:v>
      </x:c>
      <x:c r="E31" s="3" t="s">
        <x:v>539</x:v>
      </x:c>
      <x:c r="F31" s="3" t="s">
        <x:v>540</x:v>
      </x:c>
      <x:c r="G31" s="3" t="s">
        <x:v>409</x:v>
      </x:c>
      <x:c r="H31" s="3" t="s">
        <x:v>410</x:v>
      </x:c>
      <x:c r="I31" s="3" t="s">
        <x:v>541</x:v>
      </x:c>
      <x:c r="J31" s="3"/>
      <x:c r="K31" s="3"/>
      <x:c r="L31" s="54" t="n">
        <x:v>1.64858908323281</x:v>
      </x:c>
      <x:c r="M31" s="54" t="n">
        <x:v>1.99141091676719</x:v>
      </x:c>
      <x:c r="N31" s="12" t="n">
        <x:v>0.29</x:v>
      </x:c>
      <x:c r="O31" s="12" t="n">
        <x:v>0.28</x:v>
      </x:c>
      <x:c r="P31" s="12" t="n">
        <x:v>0.43</x:v>
      </x:c>
      <x:c r="Q31" s="3" t="str">
        <x:f aca="0">"2"</x:f>
        <x:v>2</x:v>
      </x:c>
      <x:c r="R31" s="3" t="s">
        <x:v>540</x:v>
      </x:c>
      <x:c r="S31" s="3" t="str">
        <x:f aca="0">"Grazer AK"</x:f>
        <x:v>Grazer AK</x:v>
      </x:c>
      <x:c r="T31" s="3"/>
      <x:c r="U31" s="3"/>
      <x:c r="V31" s="3"/>
      <x:c r="W31" s="12"/>
      <x:c r="X31" s="12"/>
      <x:c r="Y31" s="12"/>
      <x:c r="Z31" s="13" t="n">
        <x:v>66</x:v>
      </x:c>
      <x:c r="AA31" s="3" t="s">
        <x:v>426</x:v>
      </x:c>
      <x:c r="AB31" s="54"/>
      <x:c r="AC31" s="54"/>
      <x:c r="AD31" s="54"/>
      <x:c r="AE31" s="3"/>
      <x:c r="AF31" s="3"/>
      <x:c r="AG31" s="54"/>
      <x:c r="AH31" s="12"/>
      <x:c r="AI31" s="12" t="n">
        <x:v>0.04</x:v>
      </x:c>
      <x:c r="AJ31" s="12"/>
      <x:c r="AK31" s="12"/>
      <x:c r="AL31" s="19" t="s">
        <x:v>427</x:v>
      </x:c>
      <x:c r="AM31" s="3" t="s">
        <x:v>107</x:v>
      </x:c>
      <x:c r="AN31" s="3" t="n">
        <x:v>0</x:v>
      </x:c>
      <x:c r="AO31" s="3" t="n">
        <x:v>0</x:v>
      </x:c>
      <x:c r="AP31" s="3" t="s">
        <x:v>542</x:v>
      </x:c>
      <x:c r="AQ31" s="3" t="s">
        <x:v>417</x:v>
      </x:c>
      <x:c r="AR31" s="3" t="s">
        <x:v>107</x:v>
      </x:c>
      <x:c r="AS31" s="3"/>
      <x:c r="AT31" s="3"/>
      <x:c r="AU31" s="54"/>
      <x:c r="AV31" s="12"/>
      <x:c r="AW31" s="3" t="s">
        <x:v>429</x:v>
      </x:c>
      <x:c r="AX31" s="3" t="s">
        <x:v>543</x:v>
      </x:c>
      <x:c r="AY31" s="3" t="s">
        <x:v>498</x:v>
      </x:c>
      <x:c r="AZ31" s="3" t="s">
        <x:v>422</x:v>
      </x:c>
      <x:c r="BA31" s="3" t="s">
        <x:v>423</x:v>
      </x:c>
      <x:c r="BB31" s="11" t="str">
        <x:f aca="0">""</x:f>
      </x:c>
      <x:c r="BC31" s="11" t="n">
        <x:f aca="0">0</x:f>
        <x:v>0</x:v>
      </x:c>
      <x:c r="BD31" s="11" t="str">
        <x:f aca="0">""</x:f>
      </x:c>
      <x:c r="BE31" s="19" t="str">
        <x:f aca="0">"N/A"</x:f>
        <x:v>N/A</x:v>
      </x:c>
      <x:c r="BF31" s="19" t="str">
        <x:f aca="0">""</x:f>
      </x:c>
    </x:row>
    <x:row r="32" ht="46.25" hidden="0">
      <x:c r="A32" s="3" t="n">
        <x:v>28</x:v>
      </x:c>
      <x:c r="B32" s="53" t="n">
        <x:v>46263</x:v>
      </x:c>
      <x:c r="C32" s="3" t="s">
        <x:v>537</x:v>
      </x:c>
      <x:c r="D32" s="3" t="s">
        <x:v>538</x:v>
      </x:c>
      <x:c r="E32" s="3" t="s">
        <x:v>544</x:v>
      </x:c>
      <x:c r="F32" s="3" t="s">
        <x:v>545</x:v>
      </x:c>
      <x:c r="G32" s="3" t="s">
        <x:v>409</x:v>
      </x:c>
      <x:c r="H32" s="3" t="s">
        <x:v>410</x:v>
      </x:c>
      <x:c r="I32" s="3" t="s">
        <x:v>541</x:v>
      </x:c>
      <x:c r="J32" s="3"/>
      <x:c r="K32" s="3"/>
      <x:c r="L32" s="54" t="n">
        <x:v>2.00480120470191</x:v>
      </x:c>
      <x:c r="M32" s="54" t="n">
        <x:v>0.38519879529809</x:v>
      </x:c>
      <x:c r="N32" s="12" t="n">
        <x:v>0.6</x:v>
      </x:c>
      <x:c r="O32" s="12" t="n">
        <x:v>0.21</x:v>
      </x:c>
      <x:c r="P32" s="12" t="n">
        <x:v>0.19</x:v>
      </x:c>
      <x:c r="Q32" s="3" t="str">
        <x:f aca="0">"1"</x:f>
        <x:v>1</x:v>
      </x:c>
      <x:c r="R32" s="3" t="s">
        <x:v>544</x:v>
      </x:c>
      <x:c r="S32" s="3" t="str">
        <x:f aca="0">"Altach"</x:f>
        <x:v>Altach</x:v>
      </x:c>
      <x:c r="T32" s="3" t="n">
        <x:v>-4</x:v>
      </x:c>
      <x:c r="U32" s="3" t="s">
        <x:v>412</x:v>
      </x:c>
      <x:c r="V32" s="3" t="s">
        <x:v>546</x:v>
      </x:c>
      <x:c r="W32" s="12" t="n">
        <x:v>0.887421871568203</x:v>
      </x:c>
      <x:c r="X32" s="12" t="n">
        <x:v>0.0718369655412495</x:v>
      </x:c>
      <x:c r="Y32" s="12" t="n">
        <x:v>0.0407411628905475</x:v>
      </x:c>
      <x:c r="Z32" s="13" t="n">
        <x:v>89</x:v>
      </x:c>
      <x:c r="AA32" s="3" t="s">
        <x:v>426</x:v>
      </x:c>
      <x:c r="AB32" s="54" t="n">
        <x:v>1.12685976313932</x:v>
      </x:c>
      <x:c r="AC32" s="54" t="n">
        <x:v>1.21700854419047</x:v>
      </x:c>
      <x:c r="AD32" s="54"/>
      <x:c r="AE32" s="3"/>
      <x:c r="AF32" s="3"/>
      <x:c r="AG32" s="54"/>
      <x:c r="AH32" s="12"/>
      <x:c r="AI32" s="12" t="n">
        <x:v>0.04</x:v>
      </x:c>
      <x:c r="AJ32" s="12"/>
      <x:c r="AK32" s="12"/>
      <x:c r="AL32" s="19" t="s">
        <x:v>415</x:v>
      </x:c>
      <x:c r="AM32" s="3" t="s">
        <x:v>107</x:v>
      </x:c>
      <x:c r="AN32" s="3" t="n">
        <x:v>3</x:v>
      </x:c>
      <x:c r="AO32" s="3" t="n">
        <x:v>0</x:v>
      </x:c>
      <x:c r="AP32" s="3" t="s">
        <x:v>547</x:v>
      </x:c>
      <x:c r="AQ32" s="3" t="s">
        <x:v>446</x:v>
      </x:c>
      <x:c r="AR32" s="3" t="s">
        <x:v>102</x:v>
      </x:c>
      <x:c r="AS32" s="3" t="s">
        <x:v>412</x:v>
      </x:c>
      <x:c r="AT32" s="3" t="s">
        <x:v>418</x:v>
      </x:c>
      <x:c r="AU32" s="54"/>
      <x:c r="AV32" s="12"/>
      <x:c r="AW32" s="3" t="s">
        <x:v>447</x:v>
      </x:c>
      <x:c r="AX32" s="3" t="s">
        <x:v>548</x:v>
      </x:c>
      <x:c r="AY32" s="3" t="s">
        <x:v>498</x:v>
      </x:c>
      <x:c r="AZ32" s="3" t="s">
        <x:v>422</x:v>
      </x:c>
      <x:c r="BA32" s="3" t="s">
        <x:v>423</x:v>
      </x:c>
      <x:c r="BB32" s="11" t="n">
        <x:f aca="0">0.03</x:f>
        <x:v>0.03</x:v>
      </x:c>
      <x:c r="BC32" s="11" t="n">
        <x:f aca="0">0.041836965541249466</x:f>
        <x:v>0.041836965541249466</x:v>
      </x:c>
      <x:c r="BD32" s="11" t="str">
        <x:f aca="0">""</x:f>
      </x:c>
      <x:c r="BE32" s="19" t="str">
        <x:f aca="0">"NO BET – +4 STRICT"</x:f>
        <x:v>NO BET – +4 STRICT</x:v>
      </x:c>
      <x:c r="BF32" s="19" t="str">
        <x:f aca="0">""</x:f>
      </x:c>
    </x:row>
    <x:row r="33" ht="57.45000076293945" hidden="0">
      <x:c r="A33" s="3" t="n">
        <x:v>29</x:v>
      </x:c>
      <x:c r="B33" s="53" t="n">
        <x:v>46263</x:v>
      </x:c>
      <x:c r="C33" s="3" t="s">
        <x:v>549</x:v>
      </x:c>
      <x:c r="D33" s="3" t="s">
        <x:v>550</x:v>
      </x:c>
      <x:c r="E33" s="3" t="s">
        <x:v>551</x:v>
      </x:c>
      <x:c r="F33" s="3" t="s">
        <x:v>552</x:v>
      </x:c>
      <x:c r="G33" s="3" t="s">
        <x:v>409</x:v>
      </x:c>
      <x:c r="H33" s="3" t="s">
        <x:v>410</x:v>
      </x:c>
      <x:c r="I33" s="3" t="s">
        <x:v>553</x:v>
      </x:c>
      <x:c r="J33" s="3"/>
      <x:c r="K33" s="3"/>
      <x:c r="L33" s="54" t="n">
        <x:v>1.10785439619788</x:v>
      </x:c>
      <x:c r="M33" s="54" t="n">
        <x:v>0.892145603802117</x:v>
      </x:c>
      <x:c r="N33" s="12" t="n">
        <x:v>0.31</x:v>
      </x:c>
      <x:c r="O33" s="12" t="n">
        <x:v>0.41</x:v>
      </x:c>
      <x:c r="P33" s="12" t="n">
        <x:v>0.27</x:v>
      </x:c>
      <x:c r="Q33" s="3" t="str">
        <x:f aca="0">"X"</x:f>
        <x:v>X</x:v>
      </x:c>
      <x:c r="R33" s="3" t="s">
        <x:v>551</x:v>
      </x:c>
      <x:c r="S33" s="3" t="str">
        <x:f aca="0">"Mechelen"</x:f>
        <x:v>Mechelen</x:v>
      </x:c>
      <x:c r="T33" s="3"/>
      <x:c r="U33" s="3"/>
      <x:c r="V33" s="3"/>
      <x:c r="W33" s="12"/>
      <x:c r="X33" s="12"/>
      <x:c r="Y33" s="12"/>
      <x:c r="Z33" s="13" t="n">
        <x:v>64</x:v>
      </x:c>
      <x:c r="AA33" s="3" t="s">
        <x:v>426</x:v>
      </x:c>
      <x:c r="AB33" s="54"/>
      <x:c r="AC33" s="54"/>
      <x:c r="AD33" s="54"/>
      <x:c r="AE33" s="3"/>
      <x:c r="AF33" s="3"/>
      <x:c r="AG33" s="54"/>
      <x:c r="AH33" s="12"/>
      <x:c r="AI33" s="12" t="n">
        <x:v>0.04</x:v>
      </x:c>
      <x:c r="AJ33" s="12"/>
      <x:c r="AK33" s="12"/>
      <x:c r="AL33" s="19" t="s">
        <x:v>427</x:v>
      </x:c>
      <x:c r="AM33" s="3" t="s">
        <x:v>107</x:v>
      </x:c>
      <x:c r="AN33" s="3" t="n">
        <x:v>2</x:v>
      </x:c>
      <x:c r="AO33" s="3" t="n">
        <x:v>2</x:v>
      </x:c>
      <x:c r="AP33" s="3" t="s">
        <x:v>416</x:v>
      </x:c>
      <x:c r="AQ33" s="3" t="s">
        <x:v>417</x:v>
      </x:c>
      <x:c r="AR33" s="3" t="s">
        <x:v>102</x:v>
      </x:c>
      <x:c r="AS33" s="3"/>
      <x:c r="AT33" s="3"/>
      <x:c r="AU33" s="54"/>
      <x:c r="AV33" s="12"/>
      <x:c r="AW33" s="3" t="s">
        <x:v>434</x:v>
      </x:c>
      <x:c r="AX33" s="3" t="s">
        <x:v>554</x:v>
      </x:c>
      <x:c r="AY33" s="3" t="s">
        <x:v>498</x:v>
      </x:c>
      <x:c r="AZ33" s="3" t="s">
        <x:v>422</x:v>
      </x:c>
      <x:c r="BA33" s="3" t="s">
        <x:v>423</x:v>
      </x:c>
      <x:c r="BB33" s="11" t="str">
        <x:f aca="0">""</x:f>
      </x:c>
      <x:c r="BC33" s="11" t="n">
        <x:f aca="0">0</x:f>
        <x:v>0</x:v>
      </x:c>
      <x:c r="BD33" s="11" t="str">
        <x:f aca="0">""</x:f>
      </x:c>
      <x:c r="BE33" s="19" t="str">
        <x:f aca="0">"N/A"</x:f>
        <x:v>N/A</x:v>
      </x:c>
      <x:c r="BF33" s="19" t="str">
        <x:f aca="0">""</x:f>
      </x:c>
    </x:row>
    <x:row r="34" ht="57.45000076293945" hidden="0">
      <x:c r="A34" s="3" t="n">
        <x:v>30</x:v>
      </x:c>
      <x:c r="B34" s="53" t="n">
        <x:v>46263</x:v>
      </x:c>
      <x:c r="C34" s="3" t="s">
        <x:v>549</x:v>
      </x:c>
      <x:c r="D34" s="3" t="s">
        <x:v>550</x:v>
      </x:c>
      <x:c r="E34" s="3" t="s">
        <x:v>555</x:v>
      </x:c>
      <x:c r="F34" s="3" t="s">
        <x:v>556</x:v>
      </x:c>
      <x:c r="G34" s="3" t="s">
        <x:v>409</x:v>
      </x:c>
      <x:c r="H34" s="3" t="s">
        <x:v>410</x:v>
      </x:c>
      <x:c r="I34" s="3" t="s">
        <x:v>553</x:v>
      </x:c>
      <x:c r="J34" s="3"/>
      <x:c r="K34" s="3"/>
      <x:c r="L34" s="54" t="n">
        <x:v>0.527152848101266</x:v>
      </x:c>
      <x:c r="M34" s="54" t="n">
        <x:v>1.64284715189873</x:v>
      </x:c>
      <x:c r="N34" s="12" t="n">
        <x:v>0.16</x:v>
      </x:c>
      <x:c r="O34" s="12" t="n">
        <x:v>0.15</x:v>
      </x:c>
      <x:c r="P34" s="12" t="n">
        <x:v>0.69</x:v>
      </x:c>
      <x:c r="Q34" s="3" t="str">
        <x:f aca="0">"2"</x:f>
        <x:v>2</x:v>
      </x:c>
      <x:c r="R34" s="3" t="s">
        <x:v>556</x:v>
      </x:c>
      <x:c r="S34" s="3" t="str">
        <x:f aca="0">"Kortrijk"</x:f>
        <x:v>Kortrijk</x:v>
      </x:c>
      <x:c r="T34" s="3"/>
      <x:c r="U34" s="3"/>
      <x:c r="V34" s="3"/>
      <x:c r="W34" s="12"/>
      <x:c r="X34" s="12"/>
      <x:c r="Y34" s="12"/>
      <x:c r="Z34" s="13" t="n">
        <x:v>80</x:v>
      </x:c>
      <x:c r="AA34" s="3" t="s">
        <x:v>426</x:v>
      </x:c>
      <x:c r="AB34" s="54"/>
      <x:c r="AC34" s="54"/>
      <x:c r="AD34" s="54"/>
      <x:c r="AE34" s="3"/>
      <x:c r="AF34" s="3"/>
      <x:c r="AG34" s="54"/>
      <x:c r="AH34" s="12"/>
      <x:c r="AI34" s="12" t="n">
        <x:v>0.04</x:v>
      </x:c>
      <x:c r="AJ34" s="12"/>
      <x:c r="AK34" s="12"/>
      <x:c r="AL34" s="19" t="s">
        <x:v>427</x:v>
      </x:c>
      <x:c r="AM34" s="3" t="s">
        <x:v>107</x:v>
      </x:c>
      <x:c r="AN34" s="3" t="n">
        <x:v>1</x:v>
      </x:c>
      <x:c r="AO34" s="3" t="n">
        <x:v>3</x:v>
      </x:c>
      <x:c r="AP34" s="3" t="s">
        <x:v>514</x:v>
      </x:c>
      <x:c r="AQ34" s="3" t="s">
        <x:v>412</x:v>
      </x:c>
      <x:c r="AR34" s="3" t="s">
        <x:v>102</x:v>
      </x:c>
      <x:c r="AS34" s="3"/>
      <x:c r="AT34" s="3"/>
      <x:c r="AU34" s="54"/>
      <x:c r="AV34" s="12"/>
      <x:c r="AW34" s="3" t="s">
        <x:v>434</x:v>
      </x:c>
      <x:c r="AX34" s="3" t="s">
        <x:v>557</x:v>
      </x:c>
      <x:c r="AY34" s="3" t="s">
        <x:v>498</x:v>
      </x:c>
      <x:c r="AZ34" s="3" t="s">
        <x:v>422</x:v>
      </x:c>
      <x:c r="BA34" s="3" t="s">
        <x:v>423</x:v>
      </x:c>
      <x:c r="BB34" s="11" t="str">
        <x:f aca="0">""</x:f>
      </x:c>
      <x:c r="BC34" s="11" t="n">
        <x:f aca="0">0</x:f>
        <x:v>0</x:v>
      </x:c>
      <x:c r="BD34" s="11" t="str">
        <x:f aca="0">""</x:f>
      </x:c>
      <x:c r="BE34" s="19" t="str">
        <x:f aca="0">"N/A"</x:f>
        <x:v>N/A</x:v>
      </x:c>
      <x:c r="BF34" s="19" t="str">
        <x:f aca="0">""</x:f>
      </x:c>
    </x:row>
    <x:row r="35" ht="57.45000076293945" hidden="0">
      <x:c r="A35" s="3" t="n">
        <x:v>31</x:v>
      </x:c>
      <x:c r="B35" s="53" t="n">
        <x:v>46263</x:v>
      </x:c>
      <x:c r="C35" s="3" t="s">
        <x:v>549</x:v>
      </x:c>
      <x:c r="D35" s="3" t="s">
        <x:v>550</x:v>
      </x:c>
      <x:c r="E35" s="3" t="s">
        <x:v>558</x:v>
      </x:c>
      <x:c r="F35" s="3" t="s">
        <x:v>559</x:v>
      </x:c>
      <x:c r="G35" s="3" t="s">
        <x:v>409</x:v>
      </x:c>
      <x:c r="H35" s="3" t="s">
        <x:v>410</x:v>
      </x:c>
      <x:c r="I35" s="3" t="s">
        <x:v>553</x:v>
      </x:c>
      <x:c r="J35" s="3"/>
      <x:c r="K35" s="3"/>
      <x:c r="L35" s="54" t="n">
        <x:v>1.91522518039948</x:v>
      </x:c>
      <x:c r="M35" s="54" t="n">
        <x:v>1.13477481960052</x:v>
      </x:c>
      <x:c r="N35" s="12" t="n">
        <x:v>0.27</x:v>
      </x:c>
      <x:c r="O35" s="12" t="n">
        <x:v>0.35</x:v>
      </x:c>
      <x:c r="P35" s="12" t="n">
        <x:v>0.37</x:v>
      </x:c>
      <x:c r="Q35" s="3" t="str">
        <x:f aca="0">"2"</x:f>
        <x:v>2</x:v>
      </x:c>
      <x:c r="R35" s="3" t="s">
        <x:v>558</x:v>
      </x:c>
      <x:c r="S35" s="3" t="str">
        <x:f aca="0">"Lommel"</x:f>
        <x:v>Lommel</x:v>
      </x:c>
      <x:c r="T35" s="3"/>
      <x:c r="U35" s="3"/>
      <x:c r="V35" s="3"/>
      <x:c r="W35" s="12"/>
      <x:c r="X35" s="12"/>
      <x:c r="Y35" s="12"/>
      <x:c r="Z35" s="13" t="n">
        <x:v>74</x:v>
      </x:c>
      <x:c r="AA35" s="3" t="s">
        <x:v>426</x:v>
      </x:c>
      <x:c r="AB35" s="54"/>
      <x:c r="AC35" s="54"/>
      <x:c r="AD35" s="54"/>
      <x:c r="AE35" s="3"/>
      <x:c r="AF35" s="3"/>
      <x:c r="AG35" s="54"/>
      <x:c r="AH35" s="12"/>
      <x:c r="AI35" s="12" t="n">
        <x:v>0.04</x:v>
      </x:c>
      <x:c r="AJ35" s="12"/>
      <x:c r="AK35" s="12"/>
      <x:c r="AL35" s="19" t="s">
        <x:v>427</x:v>
      </x:c>
      <x:c r="AM35" s="3" t="s">
        <x:v>107</x:v>
      </x:c>
      <x:c r="AN35" s="3" t="n">
        <x:v>0</x:v>
      </x:c>
      <x:c r="AO35" s="3" t="n">
        <x:v>1</x:v>
      </x:c>
      <x:c r="AP35" s="3" t="s">
        <x:v>433</x:v>
      </x:c>
      <x:c r="AQ35" s="3" t="s">
        <x:v>412</x:v>
      </x:c>
      <x:c r="AR35" s="3" t="s">
        <x:v>102</x:v>
      </x:c>
      <x:c r="AS35" s="3"/>
      <x:c r="AT35" s="3"/>
      <x:c r="AU35" s="54"/>
      <x:c r="AV35" s="12"/>
      <x:c r="AW35" s="3" t="s">
        <x:v>434</x:v>
      </x:c>
      <x:c r="AX35" s="3" t="s">
        <x:v>560</x:v>
      </x:c>
      <x:c r="AY35" s="3" t="s">
        <x:v>498</x:v>
      </x:c>
      <x:c r="AZ35" s="3" t="s">
        <x:v>422</x:v>
      </x:c>
      <x:c r="BA35" s="3" t="s">
        <x:v>423</x:v>
      </x:c>
      <x:c r="BB35" s="11" t="str">
        <x:f aca="0">""</x:f>
      </x:c>
      <x:c r="BC35" s="11" t="n">
        <x:f aca="0">0</x:f>
        <x:v>0</x:v>
      </x:c>
      <x:c r="BD35" s="11" t="str">
        <x:f aca="0">""</x:f>
      </x:c>
      <x:c r="BE35" s="19" t="str">
        <x:f aca="0">"N/A"</x:f>
        <x:v>N/A</x:v>
      </x:c>
      <x:c r="BF35" s="19" t="str">
        <x:f aca="0">""</x:f>
      </x:c>
    </x:row>
    <x:row r="36" ht="57.45000076293945" hidden="0">
      <x:c r="A36" s="3" t="n">
        <x:v>32</x:v>
      </x:c>
      <x:c r="B36" s="53" t="n">
        <x:v>46263</x:v>
      </x:c>
      <x:c r="C36" s="3" t="s">
        <x:v>549</x:v>
      </x:c>
      <x:c r="D36" s="3" t="s">
        <x:v>550</x:v>
      </x:c>
      <x:c r="E36" s="3" t="s">
        <x:v>561</x:v>
      </x:c>
      <x:c r="F36" s="3" t="s">
        <x:v>562</x:v>
      </x:c>
      <x:c r="G36" s="3" t="s">
        <x:v>409</x:v>
      </x:c>
      <x:c r="H36" s="3" t="s">
        <x:v>410</x:v>
      </x:c>
      <x:c r="I36" s="3" t="s">
        <x:v>553</x:v>
      </x:c>
      <x:c r="J36" s="3"/>
      <x:c r="K36" s="3"/>
      <x:c r="L36" s="54" t="n">
        <x:v>1.49377893713545</x:v>
      </x:c>
      <x:c r="M36" s="54" t="n">
        <x:v>1.98622106286455</x:v>
      </x:c>
      <x:c r="N36" s="12" t="n">
        <x:v>0.18</x:v>
      </x:c>
      <x:c r="O36" s="12" t="n">
        <x:v>0.36</x:v>
      </x:c>
      <x:c r="P36" s="12" t="n">
        <x:v>0.46</x:v>
      </x:c>
      <x:c r="Q36" s="3" t="str">
        <x:f aca="0">"2"</x:f>
        <x:v>2</x:v>
      </x:c>
      <x:c r="R36" s="3" t="s">
        <x:v>562</x:v>
      </x:c>
      <x:c r="S36" s="3" t="str">
        <x:f aca="0">"OH Leuven"</x:f>
        <x:v>OH Leuven</x:v>
      </x:c>
      <x:c r="T36" s="3"/>
      <x:c r="U36" s="3"/>
      <x:c r="V36" s="3"/>
      <x:c r="W36" s="12"/>
      <x:c r="X36" s="12"/>
      <x:c r="Y36" s="12"/>
      <x:c r="Z36" s="13" t="n">
        <x:v>69</x:v>
      </x:c>
      <x:c r="AA36" s="3" t="s">
        <x:v>426</x:v>
      </x:c>
      <x:c r="AB36" s="54"/>
      <x:c r="AC36" s="54"/>
      <x:c r="AD36" s="54"/>
      <x:c r="AE36" s="3"/>
      <x:c r="AF36" s="3"/>
      <x:c r="AG36" s="54"/>
      <x:c r="AH36" s="12"/>
      <x:c r="AI36" s="12" t="n">
        <x:v>0.04</x:v>
      </x:c>
      <x:c r="AJ36" s="12"/>
      <x:c r="AK36" s="12"/>
      <x:c r="AL36" s="19" t="s">
        <x:v>427</x:v>
      </x:c>
      <x:c r="AM36" s="3" t="s">
        <x:v>107</x:v>
      </x:c>
      <x:c r="AN36" s="3" t="n">
        <x:v>1</x:v>
      </x:c>
      <x:c r="AO36" s="3" t="n">
        <x:v>2</x:v>
      </x:c>
      <x:c r="AP36" s="3" t="s">
        <x:v>460</x:v>
      </x:c>
      <x:c r="AQ36" s="3" t="s">
        <x:v>412</x:v>
      </x:c>
      <x:c r="AR36" s="3" t="s">
        <x:v>102</x:v>
      </x:c>
      <x:c r="AS36" s="3"/>
      <x:c r="AT36" s="3"/>
      <x:c r="AU36" s="54"/>
      <x:c r="AV36" s="12"/>
      <x:c r="AW36" s="3" t="s">
        <x:v>434</x:v>
      </x:c>
      <x:c r="AX36" s="3" t="s">
        <x:v>563</x:v>
      </x:c>
      <x:c r="AY36" s="3" t="s">
        <x:v>498</x:v>
      </x:c>
      <x:c r="AZ36" s="3" t="s">
        <x:v>422</x:v>
      </x:c>
      <x:c r="BA36" s="3" t="s">
        <x:v>423</x:v>
      </x:c>
      <x:c r="BB36" s="11" t="str">
        <x:f aca="0">""</x:f>
      </x:c>
      <x:c r="BC36" s="11" t="n">
        <x:f aca="0">0</x:f>
        <x:v>0</x:v>
      </x:c>
      <x:c r="BD36" s="11" t="str">
        <x:f aca="0">""</x:f>
      </x:c>
      <x:c r="BE36" s="19" t="str">
        <x:f aca="0">"N/A"</x:f>
        <x:v>N/A</x:v>
      </x:c>
      <x:c r="BF36" s="19" t="str">
        <x:f aca="0">""</x:f>
      </x:c>
    </x:row>
    <x:row r="37" ht="35.04999923706055" hidden="0">
      <x:c r="A37" s="3" t="n">
        <x:v>33</x:v>
      </x:c>
      <x:c r="B37" s="53" t="n">
        <x:v>46263</x:v>
      </x:c>
      <x:c r="C37" s="3" t="s">
        <x:v>564</x:v>
      </x:c>
      <x:c r="D37" s="3" t="s">
        <x:v>538</x:v>
      </x:c>
      <x:c r="E37" s="3" t="s">
        <x:v>565</x:v>
      </x:c>
      <x:c r="F37" s="3" t="s">
        <x:v>566</x:v>
      </x:c>
      <x:c r="G37" s="3" t="s">
        <x:v>409</x:v>
      </x:c>
      <x:c r="H37" s="3" t="s">
        <x:v>410</x:v>
      </x:c>
      <x:c r="I37" s="3" t="s">
        <x:v>567</x:v>
      </x:c>
      <x:c r="J37" s="3"/>
      <x:c r="K37" s="3"/>
      <x:c r="L37" s="54" t="n">
        <x:v>1.5874811272217</x:v>
      </x:c>
      <x:c r="M37" s="54" t="n">
        <x:v>2.6225188727783</x:v>
      </x:c>
      <x:c r="N37" s="12" t="n">
        <x:v>0.35</x:v>
      </x:c>
      <x:c r="O37" s="12" t="n">
        <x:v>0.17</x:v>
      </x:c>
      <x:c r="P37" s="12" t="n">
        <x:v>0.48</x:v>
      </x:c>
      <x:c r="Q37" s="3" t="str">
        <x:f aca="0">"2"</x:f>
        <x:v>2</x:v>
      </x:c>
      <x:c r="R37" s="3" t="s">
        <x:v>566</x:v>
      </x:c>
      <x:c r="S37" s="3" t="str">
        <x:f aca="0">"Elversberg"</x:f>
        <x:v>Elversberg</x:v>
      </x:c>
      <x:c r="T37" s="3"/>
      <x:c r="U37" s="3"/>
      <x:c r="V37" s="3"/>
      <x:c r="W37" s="12"/>
      <x:c r="X37" s="12"/>
      <x:c r="Y37" s="12"/>
      <x:c r="Z37" s="13" t="n">
        <x:v>79</x:v>
      </x:c>
      <x:c r="AA37" s="3" t="s">
        <x:v>426</x:v>
      </x:c>
      <x:c r="AB37" s="54"/>
      <x:c r="AC37" s="54"/>
      <x:c r="AD37" s="54"/>
      <x:c r="AE37" s="3"/>
      <x:c r="AF37" s="3"/>
      <x:c r="AG37" s="54"/>
      <x:c r="AH37" s="12"/>
      <x:c r="AI37" s="12" t="n">
        <x:v>0.04</x:v>
      </x:c>
      <x:c r="AJ37" s="12"/>
      <x:c r="AK37" s="12"/>
      <x:c r="AL37" s="19" t="s">
        <x:v>427</x:v>
      </x:c>
      <x:c r="AM37" s="3" t="s">
        <x:v>107</x:v>
      </x:c>
      <x:c r="AN37" s="3" t="n">
        <x:v>3</x:v>
      </x:c>
      <x:c r="AO37" s="3" t="n">
        <x:v>2</x:v>
      </x:c>
      <x:c r="AP37" s="3" t="s">
        <x:v>568</x:v>
      </x:c>
      <x:c r="AQ37" s="3" t="s">
        <x:v>446</x:v>
      </x:c>
      <x:c r="AR37" s="3" t="s">
        <x:v>107</x:v>
      </x:c>
      <x:c r="AS37" s="3"/>
      <x:c r="AT37" s="3"/>
      <x:c r="AU37" s="54"/>
      <x:c r="AV37" s="12"/>
      <x:c r="AW37" s="3" t="s">
        <x:v>456</x:v>
      </x:c>
      <x:c r="AX37" s="3" t="s">
        <x:v>569</x:v>
      </x:c>
      <x:c r="AY37" s="3" t="s">
        <x:v>570</x:v>
      </x:c>
      <x:c r="AZ37" s="3" t="s">
        <x:v>422</x:v>
      </x:c>
      <x:c r="BA37" s="3" t="s">
        <x:v>423</x:v>
      </x:c>
      <x:c r="BB37" s="11" t="str">
        <x:f aca="0">""</x:f>
      </x:c>
      <x:c r="BC37" s="11" t="n">
        <x:f aca="0">0</x:f>
        <x:v>0</x:v>
      </x:c>
      <x:c r="BD37" s="11" t="str">
        <x:f aca="0">""</x:f>
      </x:c>
      <x:c r="BE37" s="19" t="str">
        <x:f aca="0">"N/A"</x:f>
        <x:v>N/A</x:v>
      </x:c>
      <x:c r="BF37" s="19" t="str">
        <x:f aca="0">""</x:f>
      </x:c>
    </x:row>
    <x:row r="38" ht="35.04999923706055" hidden="0">
      <x:c r="A38" s="3" t="n">
        <x:v>34</x:v>
      </x:c>
      <x:c r="B38" s="53" t="n">
        <x:v>46263</x:v>
      </x:c>
      <x:c r="C38" s="3" t="s">
        <x:v>564</x:v>
      </x:c>
      <x:c r="D38" s="3" t="s">
        <x:v>538</x:v>
      </x:c>
      <x:c r="E38" s="3" t="s">
        <x:v>571</x:v>
      </x:c>
      <x:c r="F38" s="3" t="s">
        <x:v>572</x:v>
      </x:c>
      <x:c r="G38" s="3" t="s">
        <x:v>409</x:v>
      </x:c>
      <x:c r="H38" s="3" t="s">
        <x:v>410</x:v>
      </x:c>
      <x:c r="I38" s="3" t="s">
        <x:v>567</x:v>
      </x:c>
      <x:c r="J38" s="3"/>
      <x:c r="K38" s="3"/>
      <x:c r="L38" s="54" t="n">
        <x:v>1.439521167634</x:v>
      </x:c>
      <x:c r="M38" s="54" t="n">
        <x:v>1.880478832366</x:v>
      </x:c>
      <x:c r="N38" s="12" t="n">
        <x:v>0.29</x:v>
      </x:c>
      <x:c r="O38" s="12" t="n">
        <x:v>0.26</x:v>
      </x:c>
      <x:c r="P38" s="12" t="n">
        <x:v>0.46</x:v>
      </x:c>
      <x:c r="Q38" s="3" t="str">
        <x:f aca="0">"2"</x:f>
        <x:v>2</x:v>
      </x:c>
      <x:c r="R38" s="3" t="s">
        <x:v>572</x:v>
      </x:c>
      <x:c r="S38" s="3" t="str">
        <x:f aca="0">"Köln"</x:f>
        <x:v>Köln</x:v>
      </x:c>
      <x:c r="T38" s="3"/>
      <x:c r="U38" s="3"/>
      <x:c r="V38" s="3"/>
      <x:c r="W38" s="12"/>
      <x:c r="X38" s="12"/>
      <x:c r="Y38" s="12"/>
      <x:c r="Z38" s="13" t="n">
        <x:v>68</x:v>
      </x:c>
      <x:c r="AA38" s="3" t="s">
        <x:v>426</x:v>
      </x:c>
      <x:c r="AB38" s="54"/>
      <x:c r="AC38" s="54"/>
      <x:c r="AD38" s="54"/>
      <x:c r="AE38" s="3"/>
      <x:c r="AF38" s="3"/>
      <x:c r="AG38" s="54"/>
      <x:c r="AH38" s="12"/>
      <x:c r="AI38" s="12" t="n">
        <x:v>0.04</x:v>
      </x:c>
      <x:c r="AJ38" s="12"/>
      <x:c r="AK38" s="12"/>
      <x:c r="AL38" s="19" t="s">
        <x:v>427</x:v>
      </x:c>
      <x:c r="AM38" s="3" t="s">
        <x:v>107</x:v>
      </x:c>
      <x:c r="AN38" s="3" t="n">
        <x:v>3</x:v>
      </x:c>
      <x:c r="AO38" s="3" t="n">
        <x:v>2</x:v>
      </x:c>
      <x:c r="AP38" s="3" t="s">
        <x:v>568</x:v>
      </x:c>
      <x:c r="AQ38" s="3" t="s">
        <x:v>446</x:v>
      </x:c>
      <x:c r="AR38" s="3" t="s">
        <x:v>107</x:v>
      </x:c>
      <x:c r="AS38" s="3"/>
      <x:c r="AT38" s="3"/>
      <x:c r="AU38" s="54"/>
      <x:c r="AV38" s="12"/>
      <x:c r="AW38" s="3" t="s">
        <x:v>456</x:v>
      </x:c>
      <x:c r="AX38" s="3" t="s">
        <x:v>573</x:v>
      </x:c>
      <x:c r="AY38" s="3" t="s">
        <x:v>570</x:v>
      </x:c>
      <x:c r="AZ38" s="3" t="s">
        <x:v>422</x:v>
      </x:c>
      <x:c r="BA38" s="3" t="s">
        <x:v>423</x:v>
      </x:c>
      <x:c r="BB38" s="11" t="str">
        <x:f aca="0">""</x:f>
      </x:c>
      <x:c r="BC38" s="11" t="n">
        <x:f aca="0">0</x:f>
        <x:v>0</x:v>
      </x:c>
      <x:c r="BD38" s="11" t="str">
        <x:f aca="0">""</x:f>
      </x:c>
      <x:c r="BE38" s="19" t="str">
        <x:f aca="0">"N/A"</x:f>
        <x:v>N/A</x:v>
      </x:c>
      <x:c r="BF38" s="19" t="str">
        <x:f aca="0">""</x:f>
      </x:c>
    </x:row>
    <x:row r="39" ht="35.04999923706055" hidden="0">
      <x:c r="A39" s="3" t="n">
        <x:v>35</x:v>
      </x:c>
      <x:c r="B39" s="53" t="n">
        <x:v>46263</x:v>
      </x:c>
      <x:c r="C39" s="3" t="s">
        <x:v>564</x:v>
      </x:c>
      <x:c r="D39" s="3" t="s">
        <x:v>538</x:v>
      </x:c>
      <x:c r="E39" s="3" t="s">
        <x:v>574</x:v>
      </x:c>
      <x:c r="F39" s="3" t="s">
        <x:v>575</x:v>
      </x:c>
      <x:c r="G39" s="3" t="s">
        <x:v>409</x:v>
      </x:c>
      <x:c r="H39" s="3" t="s">
        <x:v>410</x:v>
      </x:c>
      <x:c r="I39" s="3" t="s">
        <x:v>567</x:v>
      </x:c>
      <x:c r="J39" s="3"/>
      <x:c r="K39" s="3"/>
      <x:c r="L39" s="54" t="n">
        <x:v>2.11602024944245</x:v>
      </x:c>
      <x:c r="M39" s="54" t="n">
        <x:v>1.07397975055755</x:v>
      </x:c>
      <x:c r="N39" s="12" t="n">
        <x:v>0.44</x:v>
      </x:c>
      <x:c r="O39" s="12" t="n">
        <x:v>0.32</x:v>
      </x:c>
      <x:c r="P39" s="12" t="n">
        <x:v>0.25</x:v>
      </x:c>
      <x:c r="Q39" s="3" t="str">
        <x:f aca="0">"1"</x:f>
        <x:v>1</x:v>
      </x:c>
      <x:c r="R39" s="3" t="s">
        <x:v>574</x:v>
      </x:c>
      <x:c r="S39" s="3" t="str">
        <x:f aca="0">"Paderborn"</x:f>
        <x:v>Paderborn</x:v>
      </x:c>
      <x:c r="T39" s="3"/>
      <x:c r="U39" s="3"/>
      <x:c r="V39" s="3"/>
      <x:c r="W39" s="12"/>
      <x:c r="X39" s="12"/>
      <x:c r="Y39" s="12"/>
      <x:c r="Z39" s="13" t="n">
        <x:v>79</x:v>
      </x:c>
      <x:c r="AA39" s="3" t="s">
        <x:v>426</x:v>
      </x:c>
      <x:c r="AB39" s="54"/>
      <x:c r="AC39" s="54"/>
      <x:c r="AD39" s="54"/>
      <x:c r="AE39" s="3"/>
      <x:c r="AF39" s="3"/>
      <x:c r="AG39" s="54"/>
      <x:c r="AH39" s="12"/>
      <x:c r="AI39" s="12" t="n">
        <x:v>0.04</x:v>
      </x:c>
      <x:c r="AJ39" s="12"/>
      <x:c r="AK39" s="12"/>
      <x:c r="AL39" s="19" t="s">
        <x:v>427</x:v>
      </x:c>
      <x:c r="AM39" s="3" t="s">
        <x:v>107</x:v>
      </x:c>
      <x:c r="AN39" s="3" t="n">
        <x:v>0</x:v>
      </x:c>
      <x:c r="AO39" s="3" t="n">
        <x:v>0</x:v>
      </x:c>
      <x:c r="AP39" s="3" t="s">
        <x:v>542</x:v>
      </x:c>
      <x:c r="AQ39" s="3" t="s">
        <x:v>417</x:v>
      </x:c>
      <x:c r="AR39" s="3" t="s">
        <x:v>107</x:v>
      </x:c>
      <x:c r="AS39" s="3"/>
      <x:c r="AT39" s="3"/>
      <x:c r="AU39" s="54"/>
      <x:c r="AV39" s="12"/>
      <x:c r="AW39" s="3" t="s">
        <x:v>429</x:v>
      </x:c>
      <x:c r="AX39" s="3" t="s">
        <x:v>576</x:v>
      </x:c>
      <x:c r="AY39" s="3" t="s">
        <x:v>570</x:v>
      </x:c>
      <x:c r="AZ39" s="3" t="s">
        <x:v>422</x:v>
      </x:c>
      <x:c r="BA39" s="3" t="s">
        <x:v>423</x:v>
      </x:c>
      <x:c r="BB39" s="11" t="str">
        <x:f aca="0">""</x:f>
      </x:c>
      <x:c r="BC39" s="11" t="n">
        <x:f aca="0">0</x:f>
        <x:v>0</x:v>
      </x:c>
      <x:c r="BD39" s="11" t="str">
        <x:f aca="0">""</x:f>
      </x:c>
      <x:c r="BE39" s="19" t="str">
        <x:f aca="0">"N/A"</x:f>
        <x:v>N/A</x:v>
      </x:c>
      <x:c r="BF39" s="19" t="str">
        <x:f aca="0">""</x:f>
      </x:c>
    </x:row>
    <x:row r="40" ht="46.25" hidden="0">
      <x:c r="A40" s="3" t="n">
        <x:v>36</x:v>
      </x:c>
      <x:c r="B40" s="53" t="n">
        <x:v>46263</x:v>
      </x:c>
      <x:c r="C40" s="3" t="s">
        <x:v>564</x:v>
      </x:c>
      <x:c r="D40" s="3" t="s">
        <x:v>538</x:v>
      </x:c>
      <x:c r="E40" s="3" t="s">
        <x:v>577</x:v>
      </x:c>
      <x:c r="F40" s="3" t="s">
        <x:v>578</x:v>
      </x:c>
      <x:c r="G40" s="3" t="s">
        <x:v>409</x:v>
      </x:c>
      <x:c r="H40" s="3" t="s">
        <x:v>579</x:v>
      </x:c>
      <x:c r="I40" s="3" t="s">
        <x:v>567</x:v>
      </x:c>
      <x:c r="J40" s="3"/>
      <x:c r="K40" s="3"/>
      <x:c r="L40" s="54" t="n">
        <x:v>2.06181802663025</x:v>
      </x:c>
      <x:c r="M40" s="54" t="n">
        <x:v>0.768181973369751</x:v>
      </x:c>
      <x:c r="N40" s="12" t="n">
        <x:v>0.58</x:v>
      </x:c>
      <x:c r="O40" s="12" t="n">
        <x:v>0.22</x:v>
      </x:c>
      <x:c r="P40" s="12" t="n">
        <x:v>0.21</x:v>
      </x:c>
      <x:c r="Q40" s="3" t="str">
        <x:f aca="0">"1"</x:f>
        <x:v>1</x:v>
      </x:c>
      <x:c r="R40" s="3" t="s">
        <x:v>577</x:v>
      </x:c>
      <x:c r="S40" s="3" t="str">
        <x:f aca="0">"M'gladbach"</x:f>
        <x:v>M'gladbach</x:v>
      </x:c>
      <x:c r="T40" s="3" t="n">
        <x:v>-4</x:v>
      </x:c>
      <x:c r="U40" s="3" t="s">
        <x:v>412</x:v>
      </x:c>
      <x:c r="V40" s="3" t="s">
        <x:v>580</x:v>
      </x:c>
      <x:c r="W40" s="12" t="n">
        <x:v>0.904880772756491</x:v>
      </x:c>
      <x:c r="X40" s="12" t="n">
        <x:v>0.0605174323041746</x:v>
      </x:c>
      <x:c r="Y40" s="12" t="n">
        <x:v>0.0346017949393347</x:v>
      </x:c>
      <x:c r="Z40" s="13" t="n">
        <x:v>84</x:v>
      </x:c>
      <x:c r="AA40" s="3" t="s">
        <x:v>414</x:v>
      </x:c>
      <x:c r="AB40" s="54" t="n">
        <x:v>1.10511796703753</x:v>
      </x:c>
      <x:c r="AC40" s="54" t="n">
        <x:v>1.19352740440053</x:v>
      </x:c>
      <x:c r="AD40" s="54"/>
      <x:c r="AE40" s="3"/>
      <x:c r="AF40" s="3"/>
      <x:c r="AG40" s="54"/>
      <x:c r="AH40" s="12"/>
      <x:c r="AI40" s="12" t="n">
        <x:v>0.04</x:v>
      </x:c>
      <x:c r="AJ40" s="12"/>
      <x:c r="AK40" s="12"/>
      <x:c r="AL40" s="19" t="s">
        <x:v>581</x:v>
      </x:c>
      <x:c r="AM40" s="3" t="s">
        <x:v>102</x:v>
      </x:c>
      <x:c r="AN40" s="3" t="n">
        <x:v>3</x:v>
      </x:c>
      <x:c r="AO40" s="3" t="n">
        <x:v>0</x:v>
      </x:c>
      <x:c r="AP40" s="3" t="s">
        <x:v>547</x:v>
      </x:c>
      <x:c r="AQ40" s="3" t="s">
        <x:v>446</x:v>
      </x:c>
      <x:c r="AR40" s="3" t="s">
        <x:v>102</x:v>
      </x:c>
      <x:c r="AS40" s="3" t="s">
        <x:v>412</x:v>
      </x:c>
      <x:c r="AT40" s="3" t="s">
        <x:v>418</x:v>
      </x:c>
      <x:c r="AU40" s="54"/>
      <x:c r="AV40" s="12"/>
      <x:c r="AW40" s="3" t="s">
        <x:v>447</x:v>
      </x:c>
      <x:c r="AX40" s="3" t="s">
        <x:v>582</x:v>
      </x:c>
      <x:c r="AY40" s="3" t="s">
        <x:v>570</x:v>
      </x:c>
      <x:c r="AZ40" s="3" t="s">
        <x:v>422</x:v>
      </x:c>
      <x:c r="BA40" s="3" t="s">
        <x:v>423</x:v>
      </x:c>
      <x:c r="BB40" s="11" t="n">
        <x:f aca="0">0.03</x:f>
        <x:v>0.03</x:v>
      </x:c>
      <x:c r="BC40" s="11" t="n">
        <x:f aca="0">0.030517432304174592</x:f>
        <x:v>0.030517432304174592</x:v>
      </x:c>
      <x:c r="BD40" s="11" t="str">
        <x:f aca="0">""</x:f>
      </x:c>
      <x:c r="BE40" s="19" t="str">
        <x:f aca="0">"NO BET – +4 STRICT"</x:f>
        <x:v>NO BET – +4 STRICT</x:v>
      </x:c>
      <x:c r="BF40" s="19" t="str">
        <x:f aca="0">""</x:f>
      </x:c>
    </x:row>
    <x:row r="41" ht="35.04999923706055" hidden="0">
      <x:c r="A41" s="3" t="n">
        <x:v>37</x:v>
      </x:c>
      <x:c r="B41" s="53" t="n">
        <x:v>46263</x:v>
      </x:c>
      <x:c r="C41" s="3" t="s">
        <x:v>564</x:v>
      </x:c>
      <x:c r="D41" s="3" t="s">
        <x:v>538</x:v>
      </x:c>
      <x:c r="E41" s="3" t="s">
        <x:v>583</x:v>
      </x:c>
      <x:c r="F41" s="3" t="s">
        <x:v>584</x:v>
      </x:c>
      <x:c r="G41" s="3" t="s">
        <x:v>409</x:v>
      </x:c>
      <x:c r="H41" s="3" t="s">
        <x:v>410</x:v>
      </x:c>
      <x:c r="I41" s="3" t="s">
        <x:v>567</x:v>
      </x:c>
      <x:c r="J41" s="3"/>
      <x:c r="K41" s="3"/>
      <x:c r="L41" s="54" t="n">
        <x:v>1.67069306930693</x:v>
      </x:c>
      <x:c r="M41" s="54" t="n">
        <x:v>1.73930693069307</x:v>
      </x:c>
      <x:c r="N41" s="12" t="n">
        <x:v>0.31</x:v>
      </x:c>
      <x:c r="O41" s="12" t="n">
        <x:v>0.33</x:v>
      </x:c>
      <x:c r="P41" s="12" t="n">
        <x:v>0.37</x:v>
      </x:c>
      <x:c r="Q41" s="3" t="str">
        <x:f aca="0">"2"</x:f>
        <x:v>2</x:v>
      </x:c>
      <x:c r="R41" s="3" t="s">
        <x:v>584</x:v>
      </x:c>
      <x:c r="S41" s="3" t="str">
        <x:f aca="0">"Union Berlin"</x:f>
        <x:v>Union Berlin</x:v>
      </x:c>
      <x:c r="T41" s="3"/>
      <x:c r="U41" s="3"/>
      <x:c r="V41" s="3"/>
      <x:c r="W41" s="12"/>
      <x:c r="X41" s="12"/>
      <x:c r="Y41" s="12"/>
      <x:c r="Z41" s="13" t="n">
        <x:v>61</x:v>
      </x:c>
      <x:c r="AA41" s="3" t="s">
        <x:v>426</x:v>
      </x:c>
      <x:c r="AB41" s="54"/>
      <x:c r="AC41" s="54"/>
      <x:c r="AD41" s="54"/>
      <x:c r="AE41" s="3"/>
      <x:c r="AF41" s="3"/>
      <x:c r="AG41" s="54"/>
      <x:c r="AH41" s="12"/>
      <x:c r="AI41" s="12" t="n">
        <x:v>0.04</x:v>
      </x:c>
      <x:c r="AJ41" s="12"/>
      <x:c r="AK41" s="12"/>
      <x:c r="AL41" s="19" t="s">
        <x:v>427</x:v>
      </x:c>
      <x:c r="AM41" s="3" t="s">
        <x:v>107</x:v>
      </x:c>
      <x:c r="AN41" s="3" t="n">
        <x:v>3</x:v>
      </x:c>
      <x:c r="AO41" s="3" t="n">
        <x:v>3</x:v>
      </x:c>
      <x:c r="AP41" s="3" t="s">
        <x:v>504</x:v>
      </x:c>
      <x:c r="AQ41" s="3" t="s">
        <x:v>417</x:v>
      </x:c>
      <x:c r="AR41" s="3" t="s">
        <x:v>107</x:v>
      </x:c>
      <x:c r="AS41" s="3"/>
      <x:c r="AT41" s="3"/>
      <x:c r="AU41" s="54"/>
      <x:c r="AV41" s="12"/>
      <x:c r="AW41" s="3" t="s">
        <x:v>429</x:v>
      </x:c>
      <x:c r="AX41" s="3" t="s">
        <x:v>585</x:v>
      </x:c>
      <x:c r="AY41" s="3" t="s">
        <x:v>570</x:v>
      </x:c>
      <x:c r="AZ41" s="3" t="s">
        <x:v>422</x:v>
      </x:c>
      <x:c r="BA41" s="3" t="s">
        <x:v>423</x:v>
      </x:c>
      <x:c r="BB41" s="11" t="str">
        <x:f aca="0">""</x:f>
      </x:c>
      <x:c r="BC41" s="11" t="n">
        <x:f aca="0">0</x:f>
        <x:v>0</x:v>
      </x:c>
      <x:c r="BD41" s="11" t="str">
        <x:f aca="0">""</x:f>
      </x:c>
      <x:c r="BE41" s="19" t="str">
        <x:f aca="0">"N/A"</x:f>
        <x:v>N/A</x:v>
      </x:c>
      <x:c r="BF41" s="19" t="str">
        <x:f aca="0">""</x:f>
      </x:c>
    </x:row>
    <x:row r="42" ht="35.04999923706055" hidden="0">
      <x:c r="A42" s="3" t="n">
        <x:v>38</x:v>
      </x:c>
      <x:c r="B42" s="53" t="n">
        <x:v>46263</x:v>
      </x:c>
      <x:c r="C42" s="3" t="s">
        <x:v>564</x:v>
      </x:c>
      <x:c r="D42" s="3" t="s">
        <x:v>538</x:v>
      </x:c>
      <x:c r="E42" s="3" t="s">
        <x:v>586</x:v>
      </x:c>
      <x:c r="F42" s="3" t="s">
        <x:v>587</x:v>
      </x:c>
      <x:c r="G42" s="3" t="s">
        <x:v>409</x:v>
      </x:c>
      <x:c r="H42" s="3" t="s">
        <x:v>410</x:v>
      </x:c>
      <x:c r="I42" s="3" t="s">
        <x:v>567</x:v>
      </x:c>
      <x:c r="J42" s="3"/>
      <x:c r="K42" s="3"/>
      <x:c r="L42" s="54" t="n">
        <x:v>2.4912841646105</x:v>
      </x:c>
      <x:c r="M42" s="54" t="n">
        <x:v>0.678715835389496</x:v>
      </x:c>
      <x:c r="N42" s="12" t="n">
        <x:v>0.61</x:v>
      </x:c>
      <x:c r="O42" s="12" t="n">
        <x:v>0.19</x:v>
      </x:c>
      <x:c r="P42" s="12" t="n">
        <x:v>0.2</x:v>
      </x:c>
      <x:c r="Q42" s="3" t="str">
        <x:f aca="0">"1"</x:f>
        <x:v>1</x:v>
      </x:c>
      <x:c r="R42" s="3" t="s">
        <x:v>586</x:v>
      </x:c>
      <x:c r="S42" s="3" t="str">
        <x:f aca="0">"Hamburg"</x:f>
        <x:v>Hamburg</x:v>
      </x:c>
      <x:c r="T42" s="3" t="n">
        <x:v>-4</x:v>
      </x:c>
      <x:c r="U42" s="3" t="s">
        <x:v>412</x:v>
      </x:c>
      <x:c r="V42" s="3" t="s">
        <x:v>588</x:v>
      </x:c>
      <x:c r="W42" s="12" t="n">
        <x:v>0.835675859107721</x:v>
      </x:c>
      <x:c r="X42" s="12" t="n">
        <x:v>0.093701047841078</x:v>
      </x:c>
      <x:c r="Y42" s="12" t="n">
        <x:v>0.0706230930512015</x:v>
      </x:c>
      <x:c r="Z42" s="13" t="n">
        <x:v>90</x:v>
      </x:c>
      <x:c r="AA42" s="3" t="s">
        <x:v>426</x:v>
      </x:c>
      <x:c r="AB42" s="54" t="n">
        <x:v>1.1966362185785</x:v>
      </x:c>
      <x:c r="AC42" s="54" t="n">
        <x:v>1.29236711606478</x:v>
      </x:c>
      <x:c r="AD42" s="54"/>
      <x:c r="AE42" s="3"/>
      <x:c r="AF42" s="3"/>
      <x:c r="AG42" s="54"/>
      <x:c r="AH42" s="12"/>
      <x:c r="AI42" s="12" t="n">
        <x:v>0.04</x:v>
      </x:c>
      <x:c r="AJ42" s="12"/>
      <x:c r="AK42" s="12"/>
      <x:c r="AL42" s="19" t="s">
        <x:v>415</x:v>
      </x:c>
      <x:c r="AM42" s="3" t="s">
        <x:v>107</x:v>
      </x:c>
      <x:c r="AN42" s="3" t="n">
        <x:v>2</x:v>
      </x:c>
      <x:c r="AO42" s="3" t="n">
        <x:v>0</x:v>
      </x:c>
      <x:c r="AP42" s="3" t="s">
        <x:v>589</x:v>
      </x:c>
      <x:c r="AQ42" s="3" t="s">
        <x:v>446</x:v>
      </x:c>
      <x:c r="AR42" s="3" t="s">
        <x:v>102</x:v>
      </x:c>
      <x:c r="AS42" s="3" t="s">
        <x:v>412</x:v>
      </x:c>
      <x:c r="AT42" s="3" t="s">
        <x:v>418</x:v>
      </x:c>
      <x:c r="AU42" s="54"/>
      <x:c r="AV42" s="12"/>
      <x:c r="AW42" s="3" t="s">
        <x:v>447</x:v>
      </x:c>
      <x:c r="AX42" s="3" t="s">
        <x:v>590</x:v>
      </x:c>
      <x:c r="AY42" s="3" t="s">
        <x:v>570</x:v>
      </x:c>
      <x:c r="AZ42" s="3" t="s">
        <x:v>422</x:v>
      </x:c>
      <x:c r="BA42" s="3" t="s">
        <x:v>423</x:v>
      </x:c>
      <x:c r="BB42" s="11" t="n">
        <x:f aca="0">0.03</x:f>
        <x:v>0.03</x:v>
      </x:c>
      <x:c r="BC42" s="11" t="n">
        <x:f aca="0">0.063701047841078</x:f>
        <x:v>0.063701047841078</x:v>
      </x:c>
      <x:c r="BD42" s="11" t="str">
        <x:f aca="0">""</x:f>
      </x:c>
      <x:c r="BE42" s="19" t="str">
        <x:f aca="0">"NO BET – +4 STRICT"</x:f>
        <x:v>NO BET – +4 STRICT</x:v>
      </x:c>
      <x:c r="BF42" s="19" t="str">
        <x:f aca="0">""</x:f>
      </x:c>
    </x:row>
    <x:row r="43" ht="46.25" hidden="0">
      <x:c r="A43" s="3" t="n">
        <x:v>39</x:v>
      </x:c>
      <x:c r="B43" s="53" t="n">
        <x:v>46263</x:v>
      </x:c>
      <x:c r="C43" s="3" t="s">
        <x:v>591</x:v>
      </x:c>
      <x:c r="D43" s="3" t="s">
        <x:v>592</x:v>
      </x:c>
      <x:c r="E43" s="3" t="s">
        <x:v>593</x:v>
      </x:c>
      <x:c r="F43" s="3" t="s">
        <x:v>594</x:v>
      </x:c>
      <x:c r="G43" s="3" t="s">
        <x:v>409</x:v>
      </x:c>
      <x:c r="H43" s="3" t="s">
        <x:v>410</x:v>
      </x:c>
      <x:c r="I43" s="3" t="s">
        <x:v>421</x:v>
      </x:c>
      <x:c r="J43" s="3"/>
      <x:c r="K43" s="3"/>
      <x:c r="L43" s="54" t="n">
        <x:v>1.67490417902593</x:v>
      </x:c>
      <x:c r="M43" s="54" t="n">
        <x:v>0.76509582097407</x:v>
      </x:c>
      <x:c r="N43" s="12" t="n">
        <x:v>0.31</x:v>
      </x:c>
      <x:c r="O43" s="12" t="n">
        <x:v>0.41</x:v>
      </x:c>
      <x:c r="P43" s="12" t="n">
        <x:v>0.28</x:v>
      </x:c>
      <x:c r="Q43" s="3" t="str">
        <x:f aca="0">"X"</x:f>
        <x:v>X</x:v>
      </x:c>
      <x:c r="R43" s="3" t="s">
        <x:v>593</x:v>
      </x:c>
      <x:c r="S43" s="3" t="str">
        <x:f aca="0">"Frosinone"</x:f>
        <x:v>Frosinone</x:v>
      </x:c>
      <x:c r="T43" s="3"/>
      <x:c r="U43" s="3"/>
      <x:c r="V43" s="3"/>
      <x:c r="W43" s="12"/>
      <x:c r="X43" s="12"/>
      <x:c r="Y43" s="12"/>
      <x:c r="Z43" s="13" t="n">
        <x:v>77</x:v>
      </x:c>
      <x:c r="AA43" s="3" t="s">
        <x:v>426</x:v>
      </x:c>
      <x:c r="AB43" s="54"/>
      <x:c r="AC43" s="54"/>
      <x:c r="AD43" s="54"/>
      <x:c r="AE43" s="3"/>
      <x:c r="AF43" s="3"/>
      <x:c r="AG43" s="54"/>
      <x:c r="AH43" s="12"/>
      <x:c r="AI43" s="12" t="n">
        <x:v>0.04</x:v>
      </x:c>
      <x:c r="AJ43" s="12"/>
      <x:c r="AK43" s="12"/>
      <x:c r="AL43" s="19" t="s">
        <x:v>427</x:v>
      </x:c>
      <x:c r="AM43" s="3" t="s">
        <x:v>107</x:v>
      </x:c>
      <x:c r="AN43" s="3" t="n">
        <x:v>0</x:v>
      </x:c>
      <x:c r="AO43" s="3" t="n">
        <x:v>3</x:v>
      </x:c>
      <x:c r="AP43" s="3" t="s">
        <x:v>451</x:v>
      </x:c>
      <x:c r="AQ43" s="3" t="s">
        <x:v>412</x:v>
      </x:c>
      <x:c r="AR43" s="3" t="s">
        <x:v>107</x:v>
      </x:c>
      <x:c r="AS43" s="3"/>
      <x:c r="AT43" s="3"/>
      <x:c r="AU43" s="54"/>
      <x:c r="AV43" s="12"/>
      <x:c r="AW43" s="3" t="s">
        <x:v>439</x:v>
      </x:c>
      <x:c r="AX43" s="3" t="s">
        <x:v>595</x:v>
      </x:c>
      <x:c r="AY43" s="3" t="s">
        <x:v>498</x:v>
      </x:c>
      <x:c r="AZ43" s="3" t="s">
        <x:v>422</x:v>
      </x:c>
      <x:c r="BA43" s="3" t="s">
        <x:v>423</x:v>
      </x:c>
      <x:c r="BB43" s="11" t="str">
        <x:f aca="0">""</x:f>
      </x:c>
      <x:c r="BC43" s="11" t="n">
        <x:f aca="0">0</x:f>
        <x:v>0</x:v>
      </x:c>
      <x:c r="BD43" s="11" t="str">
        <x:f aca="0">""</x:f>
      </x:c>
      <x:c r="BE43" s="19" t="str">
        <x:f aca="0">"N/A"</x:f>
        <x:v>N/A</x:v>
      </x:c>
      <x:c r="BF43" s="19" t="str">
        <x:f aca="0">""</x:f>
      </x:c>
    </x:row>
    <x:row r="44" ht="46.25" hidden="0">
      <x:c r="A44" s="3" t="n">
        <x:v>40</x:v>
      </x:c>
      <x:c r="B44" s="53" t="n">
        <x:v>46263</x:v>
      </x:c>
      <x:c r="C44" s="3" t="s">
        <x:v>591</x:v>
      </x:c>
      <x:c r="D44" s="3" t="s">
        <x:v>592</x:v>
      </x:c>
      <x:c r="E44" s="3" t="s">
        <x:v>596</x:v>
      </x:c>
      <x:c r="F44" s="3" t="s">
        <x:v>597</x:v>
      </x:c>
      <x:c r="G44" s="3" t="s">
        <x:v>409</x:v>
      </x:c>
      <x:c r="H44" s="3" t="s">
        <x:v>410</x:v>
      </x:c>
      <x:c r="I44" s="3" t="s">
        <x:v>421</x:v>
      </x:c>
      <x:c r="J44" s="3"/>
      <x:c r="K44" s="3"/>
      <x:c r="L44" s="54" t="n">
        <x:v>1.14608952371619</x:v>
      </x:c>
      <x:c r="M44" s="54" t="n">
        <x:v>1.70391047628381</x:v>
      </x:c>
      <x:c r="N44" s="12" t="n">
        <x:v>0.18</x:v>
      </x:c>
      <x:c r="O44" s="12" t="n">
        <x:v>0.39</x:v>
      </x:c>
      <x:c r="P44" s="12" t="n">
        <x:v>0.43</x:v>
      </x:c>
      <x:c r="Q44" s="3" t="str">
        <x:f aca="0">"2"</x:f>
        <x:v>2</x:v>
      </x:c>
      <x:c r="R44" s="3" t="s">
        <x:v>597</x:v>
      </x:c>
      <x:c r="S44" s="3" t="str">
        <x:f aca="0">"Monza"</x:f>
        <x:v>Monza</x:v>
      </x:c>
      <x:c r="T44" s="3"/>
      <x:c r="U44" s="3"/>
      <x:c r="V44" s="3"/>
      <x:c r="W44" s="12"/>
      <x:c r="X44" s="12"/>
      <x:c r="Y44" s="12"/>
      <x:c r="Z44" s="13" t="n">
        <x:v>70</x:v>
      </x:c>
      <x:c r="AA44" s="3" t="s">
        <x:v>426</x:v>
      </x:c>
      <x:c r="AB44" s="54"/>
      <x:c r="AC44" s="54"/>
      <x:c r="AD44" s="54"/>
      <x:c r="AE44" s="3"/>
      <x:c r="AF44" s="3"/>
      <x:c r="AG44" s="54"/>
      <x:c r="AH44" s="12"/>
      <x:c r="AI44" s="12" t="n">
        <x:v>0.04</x:v>
      </x:c>
      <x:c r="AJ44" s="12"/>
      <x:c r="AK44" s="12"/>
      <x:c r="AL44" s="19" t="s">
        <x:v>427</x:v>
      </x:c>
      <x:c r="AM44" s="3" t="s">
        <x:v>107</x:v>
      </x:c>
      <x:c r="AN44" s="3" t="n">
        <x:v>2</x:v>
      </x:c>
      <x:c r="AO44" s="3" t="n">
        <x:v>3</x:v>
      </x:c>
      <x:c r="AP44" s="3" t="s">
        <x:v>496</x:v>
      </x:c>
      <x:c r="AQ44" s="3" t="s">
        <x:v>412</x:v>
      </x:c>
      <x:c r="AR44" s="3" t="s">
        <x:v>102</x:v>
      </x:c>
      <x:c r="AS44" s="3"/>
      <x:c r="AT44" s="3"/>
      <x:c r="AU44" s="54"/>
      <x:c r="AV44" s="12"/>
      <x:c r="AW44" s="3" t="s">
        <x:v>434</x:v>
      </x:c>
      <x:c r="AX44" s="3" t="s">
        <x:v>598</x:v>
      </x:c>
      <x:c r="AY44" s="3" t="s">
        <x:v>498</x:v>
      </x:c>
      <x:c r="AZ44" s="3" t="s">
        <x:v>422</x:v>
      </x:c>
      <x:c r="BA44" s="3" t="s">
        <x:v>423</x:v>
      </x:c>
      <x:c r="BB44" s="11" t="str">
        <x:f aca="0">""</x:f>
      </x:c>
      <x:c r="BC44" s="11" t="n">
        <x:f aca="0">0</x:f>
        <x:v>0</x:v>
      </x:c>
      <x:c r="BD44" s="11" t="str">
        <x:f aca="0">""</x:f>
      </x:c>
      <x:c r="BE44" s="19" t="str">
        <x:f aca="0">"N/A"</x:f>
        <x:v>N/A</x:v>
      </x:c>
      <x:c r="BF44" s="19" t="str">
        <x:f aca="0">""</x:f>
      </x:c>
    </x:row>
    <x:row r="45" ht="46.25" hidden="0">
      <x:c r="A45" s="3" t="n">
        <x:v>41</x:v>
      </x:c>
      <x:c r="B45" s="53" t="n">
        <x:v>46263</x:v>
      </x:c>
      <x:c r="C45" s="3" t="s">
        <x:v>591</x:v>
      </x:c>
      <x:c r="D45" s="3" t="s">
        <x:v>592</x:v>
      </x:c>
      <x:c r="E45" s="3" t="s">
        <x:v>599</x:v>
      </x:c>
      <x:c r="F45" s="3" t="s">
        <x:v>600</x:v>
      </x:c>
      <x:c r="G45" s="3" t="s">
        <x:v>409</x:v>
      </x:c>
      <x:c r="H45" s="3" t="s">
        <x:v>410</x:v>
      </x:c>
      <x:c r="I45" s="3" t="s">
        <x:v>421</x:v>
      </x:c>
      <x:c r="J45" s="3"/>
      <x:c r="K45" s="3"/>
      <x:c r="L45" s="54" t="n">
        <x:v>1.50028711340206</x:v>
      </x:c>
      <x:c r="M45" s="54" t="n">
        <x:v>1.18971288659794</x:v>
      </x:c>
      <x:c r="N45" s="12" t="n">
        <x:v>0.35</x:v>
      </x:c>
      <x:c r="O45" s="12" t="n">
        <x:v>0.32</x:v>
      </x:c>
      <x:c r="P45" s="12" t="n">
        <x:v>0.33</x:v>
      </x:c>
      <x:c r="Q45" s="3" t="str">
        <x:f aca="0">"1"</x:f>
        <x:v>1</x:v>
      </x:c>
      <x:c r="R45" s="3" t="s">
        <x:v>599</x:v>
      </x:c>
      <x:c r="S45" s="3" t="str">
        <x:f aca="0">"Torino"</x:f>
        <x:v>Torino</x:v>
      </x:c>
      <x:c r="T45" s="3"/>
      <x:c r="U45" s="3"/>
      <x:c r="V45" s="3"/>
      <x:c r="W45" s="12"/>
      <x:c r="X45" s="12"/>
      <x:c r="Y45" s="12"/>
      <x:c r="Z45" s="13" t="n">
        <x:v>66</x:v>
      </x:c>
      <x:c r="AA45" s="3" t="s">
        <x:v>426</x:v>
      </x:c>
      <x:c r="AB45" s="54"/>
      <x:c r="AC45" s="54"/>
      <x:c r="AD45" s="54"/>
      <x:c r="AE45" s="3"/>
      <x:c r="AF45" s="3"/>
      <x:c r="AG45" s="54"/>
      <x:c r="AH45" s="12"/>
      <x:c r="AI45" s="12" t="n">
        <x:v>0.04</x:v>
      </x:c>
      <x:c r="AJ45" s="12"/>
      <x:c r="AK45" s="12"/>
      <x:c r="AL45" s="19" t="s">
        <x:v>427</x:v>
      </x:c>
      <x:c r="AM45" s="3" t="s">
        <x:v>107</x:v>
      </x:c>
      <x:c r="AN45" s="3" t="n">
        <x:v>2</x:v>
      </x:c>
      <x:c r="AO45" s="3" t="n">
        <x:v>1</x:v>
      </x:c>
      <x:c r="AP45" s="3" t="s">
        <x:v>471</x:v>
      </x:c>
      <x:c r="AQ45" s="3" t="s">
        <x:v>446</x:v>
      </x:c>
      <x:c r="AR45" s="3" t="s">
        <x:v>102</x:v>
      </x:c>
      <x:c r="AS45" s="3"/>
      <x:c r="AT45" s="3"/>
      <x:c r="AU45" s="54"/>
      <x:c r="AV45" s="12"/>
      <x:c r="AW45" s="3" t="s">
        <x:v>434</x:v>
      </x:c>
      <x:c r="AX45" s="3" t="s">
        <x:v>601</x:v>
      </x:c>
      <x:c r="AY45" s="3" t="s">
        <x:v>498</x:v>
      </x:c>
      <x:c r="AZ45" s="3" t="s">
        <x:v>422</x:v>
      </x:c>
      <x:c r="BA45" s="3" t="s">
        <x:v>423</x:v>
      </x:c>
      <x:c r="BB45" s="11" t="str">
        <x:f aca="0">""</x:f>
      </x:c>
      <x:c r="BC45" s="11" t="n">
        <x:f aca="0">0</x:f>
        <x:v>0</x:v>
      </x:c>
      <x:c r="BD45" s="11" t="str">
        <x:f aca="0">""</x:f>
      </x:c>
      <x:c r="BE45" s="19" t="str">
        <x:f aca="0">"N/A"</x:f>
        <x:v>N/A</x:v>
      </x:c>
      <x:c r="BF45" s="19" t="str">
        <x:f aca="0">""</x:f>
      </x:c>
    </x:row>
    <x:row r="46" ht="46.25" hidden="0">
      <x:c r="A46" s="3" t="n">
        <x:v>42</x:v>
      </x:c>
      <x:c r="B46" s="53" t="n">
        <x:v>46263</x:v>
      </x:c>
      <x:c r="C46" s="3" t="s">
        <x:v>591</x:v>
      </x:c>
      <x:c r="D46" s="3" t="s">
        <x:v>592</x:v>
      </x:c>
      <x:c r="E46" s="3" t="s">
        <x:v>602</x:v>
      </x:c>
      <x:c r="F46" s="3" t="s">
        <x:v>603</x:v>
      </x:c>
      <x:c r="G46" s="3" t="s">
        <x:v>409</x:v>
      </x:c>
      <x:c r="H46" s="3" t="s">
        <x:v>410</x:v>
      </x:c>
      <x:c r="I46" s="3" t="s">
        <x:v>421</x:v>
      </x:c>
      <x:c r="J46" s="3"/>
      <x:c r="K46" s="3"/>
      <x:c r="L46" s="54" t="n">
        <x:v>2.2062597826087</x:v>
      </x:c>
      <x:c r="M46" s="54" t="n">
        <x:v>0.353740217391304</x:v>
      </x:c>
      <x:c r="N46" s="12" t="n">
        <x:v>0.49</x:v>
      </x:c>
      <x:c r="O46" s="12" t="n">
        <x:v>0.29</x:v>
      </x:c>
      <x:c r="P46" s="12" t="n">
        <x:v>0.22</x:v>
      </x:c>
      <x:c r="Q46" s="3" t="str">
        <x:f aca="0">"1"</x:f>
        <x:v>1</x:v>
      </x:c>
      <x:c r="R46" s="3" t="s">
        <x:v>602</x:v>
      </x:c>
      <x:c r="S46" s="3" t="str">
        <x:f aca="0">"Parma"</x:f>
        <x:v>Parma</x:v>
      </x:c>
      <x:c r="T46" s="3" t="n">
        <x:v>-4</x:v>
      </x:c>
      <x:c r="U46" s="3" t="s">
        <x:v>412</x:v>
      </x:c>
      <x:c r="V46" s="3" t="s">
        <x:v>604</x:v>
      </x:c>
      <x:c r="W46" s="12" t="n">
        <x:v>0.852990243700729</x:v>
      </x:c>
      <x:c r="X46" s="12" t="n">
        <x:v>0.0890335441416631</x:v>
      </x:c>
      <x:c r="Y46" s="12" t="n">
        <x:v>0.0579762121576084</x:v>
      </x:c>
      <x:c r="Z46" s="13" t="n">
        <x:v>90</x:v>
      </x:c>
      <x:c r="AA46" s="3" t="s">
        <x:v>426</x:v>
      </x:c>
      <x:c r="AB46" s="54" t="n">
        <x:v>1.1723463514207</x:v>
      </x:c>
      <x:c r="AC46" s="54" t="n">
        <x:v>1.26613405953435</x:v>
      </x:c>
      <x:c r="AD46" s="54"/>
      <x:c r="AE46" s="3"/>
      <x:c r="AF46" s="3"/>
      <x:c r="AG46" s="54"/>
      <x:c r="AH46" s="12"/>
      <x:c r="AI46" s="12" t="n">
        <x:v>0.04</x:v>
      </x:c>
      <x:c r="AJ46" s="12"/>
      <x:c r="AK46" s="12"/>
      <x:c r="AL46" s="19" t="s">
        <x:v>415</x:v>
      </x:c>
      <x:c r="AM46" s="3" t="s">
        <x:v>107</x:v>
      </x:c>
      <x:c r="AN46" s="3" t="n">
        <x:v>2</x:v>
      </x:c>
      <x:c r="AO46" s="3" t="n">
        <x:v>0</x:v>
      </x:c>
      <x:c r="AP46" s="3" t="s">
        <x:v>589</x:v>
      </x:c>
      <x:c r="AQ46" s="3" t="s">
        <x:v>446</x:v>
      </x:c>
      <x:c r="AR46" s="3" t="s">
        <x:v>102</x:v>
      </x:c>
      <x:c r="AS46" s="3" t="s">
        <x:v>412</x:v>
      </x:c>
      <x:c r="AT46" s="3" t="s">
        <x:v>418</x:v>
      </x:c>
      <x:c r="AU46" s="54"/>
      <x:c r="AV46" s="12"/>
      <x:c r="AW46" s="3" t="s">
        <x:v>447</x:v>
      </x:c>
      <x:c r="AX46" s="3" t="s">
        <x:v>605</x:v>
      </x:c>
      <x:c r="AY46" s="3" t="s">
        <x:v>498</x:v>
      </x:c>
      <x:c r="AZ46" s="3" t="s">
        <x:v>422</x:v>
      </x:c>
      <x:c r="BA46" s="3" t="s">
        <x:v>423</x:v>
      </x:c>
      <x:c r="BB46" s="11" t="n">
        <x:f aca="0">0.03</x:f>
        <x:v>0.03</x:v>
      </x:c>
      <x:c r="BC46" s="11" t="n">
        <x:f aca="0">0.05903354414166308</x:f>
        <x:v>0.05903354414166308</x:v>
      </x:c>
      <x:c r="BD46" s="11" t="str">
        <x:f aca="0">""</x:f>
      </x:c>
      <x:c r="BE46" s="19" t="str">
        <x:f aca="0">"NO BET – +4 STRICT"</x:f>
        <x:v>NO BET – +4 STRICT</x:v>
      </x:c>
      <x:c r="BF46" s="19" t="str">
        <x:f aca="0">""</x:f>
      </x:c>
    </x:row>
    <x:row r="47" ht="35.04999923706055" hidden="0">
      <x:c r="A47" s="3" t="n">
        <x:v>43</x:v>
      </x:c>
      <x:c r="B47" s="53" t="n">
        <x:v>46263</x:v>
      </x:c>
      <x:c r="C47" s="3" t="s">
        <x:v>591</x:v>
      </x:c>
      <x:c r="D47" s="3" t="s">
        <x:v>606</x:v>
      </x:c>
      <x:c r="E47" s="3" t="s">
        <x:v>607</x:v>
      </x:c>
      <x:c r="F47" s="3" t="s">
        <x:v>608</x:v>
      </x:c>
      <x:c r="G47" s="3" t="s">
        <x:v>409</x:v>
      </x:c>
      <x:c r="H47" s="3" t="s">
        <x:v>410</x:v>
      </x:c>
      <x:c r="I47" s="3" t="s">
        <x:v>609</x:v>
      </x:c>
      <x:c r="J47" s="3"/>
      <x:c r="K47" s="3"/>
      <x:c r="L47" s="54" t="n">
        <x:v>1.5800498452361</x:v>
      </x:c>
      <x:c r="M47" s="54" t="n">
        <x:v>0.549950154763898</x:v>
      </x:c>
      <x:c r="N47" s="12" t="n">
        <x:v>0.52</x:v>
      </x:c>
      <x:c r="O47" s="12" t="n">
        <x:v>0.34</x:v>
      </x:c>
      <x:c r="P47" s="12" t="n">
        <x:v>0.15</x:v>
      </x:c>
      <x:c r="Q47" s="3" t="str">
        <x:f aca="0">"1"</x:f>
        <x:v>1</x:v>
      </x:c>
      <x:c r="R47" s="3" t="s">
        <x:v>607</x:v>
      </x:c>
      <x:c r="S47" s="3" t="str">
        <x:f aca="0">"Juve Stabia"</x:f>
        <x:v>Juve Stabia</x:v>
      </x:c>
      <x:c r="T47" s="3"/>
      <x:c r="U47" s="3"/>
      <x:c r="V47" s="3"/>
      <x:c r="W47" s="12"/>
      <x:c r="X47" s="12"/>
      <x:c r="Y47" s="12"/>
      <x:c r="Z47" s="13" t="n">
        <x:v>79</x:v>
      </x:c>
      <x:c r="AA47" s="3" t="s">
        <x:v>426</x:v>
      </x:c>
      <x:c r="AB47" s="54"/>
      <x:c r="AC47" s="54"/>
      <x:c r="AD47" s="54"/>
      <x:c r="AE47" s="3"/>
      <x:c r="AF47" s="3"/>
      <x:c r="AG47" s="54"/>
      <x:c r="AH47" s="12"/>
      <x:c r="AI47" s="12" t="n">
        <x:v>0.04</x:v>
      </x:c>
      <x:c r="AJ47" s="12"/>
      <x:c r="AK47" s="12"/>
      <x:c r="AL47" s="19" t="s">
        <x:v>427</x:v>
      </x:c>
      <x:c r="AM47" s="3" t="s">
        <x:v>107</x:v>
      </x:c>
      <x:c r="AN47" s="3" t="n">
        <x:v>1</x:v>
      </x:c>
      <x:c r="AO47" s="3" t="n">
        <x:v>2</x:v>
      </x:c>
      <x:c r="AP47" s="3" t="s">
        <x:v>460</x:v>
      </x:c>
      <x:c r="AQ47" s="3" t="s">
        <x:v>412</x:v>
      </x:c>
      <x:c r="AR47" s="3" t="s">
        <x:v>107</x:v>
      </x:c>
      <x:c r="AS47" s="3"/>
      <x:c r="AT47" s="3"/>
      <x:c r="AU47" s="54"/>
      <x:c r="AV47" s="12"/>
      <x:c r="AW47" s="3" t="s">
        <x:v>456</x:v>
      </x:c>
      <x:c r="AX47" s="3" t="s">
        <x:v>610</x:v>
      </x:c>
      <x:c r="AY47" s="3" t="s">
        <x:v>498</x:v>
      </x:c>
      <x:c r="AZ47" s="3" t="s">
        <x:v>422</x:v>
      </x:c>
      <x:c r="BA47" s="3" t="s">
        <x:v>423</x:v>
      </x:c>
      <x:c r="BB47" s="11" t="str">
        <x:f aca="0">""</x:f>
      </x:c>
      <x:c r="BC47" s="11" t="n">
        <x:f aca="0">0</x:f>
        <x:v>0</x:v>
      </x:c>
      <x:c r="BD47" s="11" t="str">
        <x:f aca="0">""</x:f>
      </x:c>
      <x:c r="BE47" s="19" t="str">
        <x:f aca="0">"N/A"</x:f>
        <x:v>N/A</x:v>
      </x:c>
      <x:c r="BF47" s="19" t="str">
        <x:f aca="0">""</x:f>
      </x:c>
    </x:row>
    <x:row r="48" ht="35.04999923706055" hidden="0">
      <x:c r="A48" s="3" t="n">
        <x:v>44</x:v>
      </x:c>
      <x:c r="B48" s="53" t="n">
        <x:v>46263</x:v>
      </x:c>
      <x:c r="C48" s="3" t="s">
        <x:v>591</x:v>
      </x:c>
      <x:c r="D48" s="3" t="s">
        <x:v>606</x:v>
      </x:c>
      <x:c r="E48" s="3" t="s">
        <x:v>611</x:v>
      </x:c>
      <x:c r="F48" s="3" t="s">
        <x:v>612</x:v>
      </x:c>
      <x:c r="G48" s="3" t="s">
        <x:v>409</x:v>
      </x:c>
      <x:c r="H48" s="3" t="s">
        <x:v>410</x:v>
      </x:c>
      <x:c r="I48" s="3" t="s">
        <x:v>609</x:v>
      </x:c>
      <x:c r="J48" s="3"/>
      <x:c r="K48" s="3"/>
      <x:c r="L48" s="54" t="n">
        <x:v>1.43586617647059</x:v>
      </x:c>
      <x:c r="M48" s="54" t="n">
        <x:v>1.05413382352941</x:v>
      </x:c>
      <x:c r="N48" s="12" t="n">
        <x:v>0.35</x:v>
      </x:c>
      <x:c r="O48" s="12" t="n">
        <x:v>0.37</x:v>
      </x:c>
      <x:c r="P48" s="12" t="n">
        <x:v>0.28</x:v>
      </x:c>
      <x:c r="Q48" s="3" t="str">
        <x:f aca="0">"X"</x:f>
        <x:v>X</x:v>
      </x:c>
      <x:c r="R48" s="3" t="s">
        <x:v>611</x:v>
      </x:c>
      <x:c r="S48" s="3" t="str">
        <x:f aca="0">"Cesena"</x:f>
        <x:v>Cesena</x:v>
      </x:c>
      <x:c r="T48" s="3"/>
      <x:c r="U48" s="3"/>
      <x:c r="V48" s="3"/>
      <x:c r="W48" s="12"/>
      <x:c r="X48" s="12"/>
      <x:c r="Y48" s="12"/>
      <x:c r="Z48" s="13" t="n">
        <x:v>67</x:v>
      </x:c>
      <x:c r="AA48" s="3" t="s">
        <x:v>426</x:v>
      </x:c>
      <x:c r="AB48" s="54"/>
      <x:c r="AC48" s="54"/>
      <x:c r="AD48" s="54"/>
      <x:c r="AE48" s="3"/>
      <x:c r="AF48" s="3"/>
      <x:c r="AG48" s="54"/>
      <x:c r="AH48" s="12"/>
      <x:c r="AI48" s="12" t="n">
        <x:v>0.04</x:v>
      </x:c>
      <x:c r="AJ48" s="12"/>
      <x:c r="AK48" s="12"/>
      <x:c r="AL48" s="19" t="s">
        <x:v>427</x:v>
      </x:c>
      <x:c r="AM48" s="3" t="s">
        <x:v>107</x:v>
      </x:c>
      <x:c r="AN48" s="3" t="n">
        <x:v>1</x:v>
      </x:c>
      <x:c r="AO48" s="3" t="n">
        <x:v>2</x:v>
      </x:c>
      <x:c r="AP48" s="3" t="s">
        <x:v>460</x:v>
      </x:c>
      <x:c r="AQ48" s="3" t="s">
        <x:v>412</x:v>
      </x:c>
      <x:c r="AR48" s="3" t="s">
        <x:v>107</x:v>
      </x:c>
      <x:c r="AS48" s="3"/>
      <x:c r="AT48" s="3"/>
      <x:c r="AU48" s="54"/>
      <x:c r="AV48" s="12"/>
      <x:c r="AW48" s="3" t="s">
        <x:v>439</x:v>
      </x:c>
      <x:c r="AX48" s="3" t="s">
        <x:v>613</x:v>
      </x:c>
      <x:c r="AY48" s="3" t="s">
        <x:v>498</x:v>
      </x:c>
      <x:c r="AZ48" s="3" t="s">
        <x:v>422</x:v>
      </x:c>
      <x:c r="BA48" s="3" t="s">
        <x:v>423</x:v>
      </x:c>
      <x:c r="BB48" s="11" t="str">
        <x:f aca="0">""</x:f>
      </x:c>
      <x:c r="BC48" s="11" t="n">
        <x:f aca="0">0</x:f>
        <x:v>0</x:v>
      </x:c>
      <x:c r="BD48" s="11" t="str">
        <x:f aca="0">""</x:f>
      </x:c>
      <x:c r="BE48" s="19" t="str">
        <x:f aca="0">"N/A"</x:f>
        <x:v>N/A</x:v>
      </x:c>
      <x:c r="BF48" s="19" t="str">
        <x:f aca="0">""</x:f>
      </x:c>
    </x:row>
    <x:row r="49" ht="35.04999923706055" hidden="0">
      <x:c r="A49" s="3" t="n">
        <x:v>45</x:v>
      </x:c>
      <x:c r="B49" s="53" t="n">
        <x:v>46263</x:v>
      </x:c>
      <x:c r="C49" s="3" t="s">
        <x:v>591</x:v>
      </x:c>
      <x:c r="D49" s="3" t="s">
        <x:v>606</x:v>
      </x:c>
      <x:c r="E49" s="3" t="s">
        <x:v>614</x:v>
      </x:c>
      <x:c r="F49" s="3" t="s">
        <x:v>615</x:v>
      </x:c>
      <x:c r="G49" s="3" t="s">
        <x:v>409</x:v>
      </x:c>
      <x:c r="H49" s="3" t="s">
        <x:v>410</x:v>
      </x:c>
      <x:c r="I49" s="3" t="s">
        <x:v>609</x:v>
      </x:c>
      <x:c r="J49" s="3"/>
      <x:c r="K49" s="3"/>
      <x:c r="L49" s="54" t="n">
        <x:v>1.95737305483512</x:v>
      </x:c>
      <x:c r="M49" s="54" t="n">
        <x:v>0.762626945164876</x:v>
      </x:c>
      <x:c r="N49" s="12" t="n">
        <x:v>0.65</x:v>
      </x:c>
      <x:c r="O49" s="12" t="n">
        <x:v>0.25</x:v>
      </x:c>
      <x:c r="P49" s="12" t="n">
        <x:v>0.1</x:v>
      </x:c>
      <x:c r="Q49" s="3" t="str">
        <x:f aca="0">"1"</x:f>
        <x:v>1</x:v>
      </x:c>
      <x:c r="R49" s="3" t="s">
        <x:v>614</x:v>
      </x:c>
      <x:c r="S49" s="3" t="str">
        <x:f aca="0">"Carrarese"</x:f>
        <x:v>Carrarese</x:v>
      </x:c>
      <x:c r="T49" s="3"/>
      <x:c r="U49" s="3"/>
      <x:c r="V49" s="3"/>
      <x:c r="W49" s="12"/>
      <x:c r="X49" s="12"/>
      <x:c r="Y49" s="12"/>
      <x:c r="Z49" s="13" t="n">
        <x:v>82</x:v>
      </x:c>
      <x:c r="AA49" s="3" t="s">
        <x:v>426</x:v>
      </x:c>
      <x:c r="AB49" s="54"/>
      <x:c r="AC49" s="54"/>
      <x:c r="AD49" s="54"/>
      <x:c r="AE49" s="3"/>
      <x:c r="AF49" s="3"/>
      <x:c r="AG49" s="54"/>
      <x:c r="AH49" s="12"/>
      <x:c r="AI49" s="12" t="n">
        <x:v>0.04</x:v>
      </x:c>
      <x:c r="AJ49" s="12"/>
      <x:c r="AK49" s="12"/>
      <x:c r="AL49" s="19" t="s">
        <x:v>427</x:v>
      </x:c>
      <x:c r="AM49" s="3" t="s">
        <x:v>107</x:v>
      </x:c>
      <x:c r="AN49" s="3" t="n">
        <x:v>1</x:v>
      </x:c>
      <x:c r="AO49" s="3" t="n">
        <x:v>1</x:v>
      </x:c>
      <x:c r="AP49" s="3" t="s">
        <x:v>428</x:v>
      </x:c>
      <x:c r="AQ49" s="3" t="s">
        <x:v>417</x:v>
      </x:c>
      <x:c r="AR49" s="3" t="s">
        <x:v>107</x:v>
      </x:c>
      <x:c r="AS49" s="3"/>
      <x:c r="AT49" s="3"/>
      <x:c r="AU49" s="54"/>
      <x:c r="AV49" s="12"/>
      <x:c r="AW49" s="3" t="s">
        <x:v>429</x:v>
      </x:c>
      <x:c r="AX49" s="3" t="s">
        <x:v>616</x:v>
      </x:c>
      <x:c r="AY49" s="3" t="s">
        <x:v>498</x:v>
      </x:c>
      <x:c r="AZ49" s="3" t="s">
        <x:v>422</x:v>
      </x:c>
      <x:c r="BA49" s="3" t="s">
        <x:v>423</x:v>
      </x:c>
      <x:c r="BB49" s="11" t="str">
        <x:f aca="0">""</x:f>
      </x:c>
      <x:c r="BC49" s="11" t="n">
        <x:f aca="0">0</x:f>
        <x:v>0</x:v>
      </x:c>
      <x:c r="BD49" s="11" t="str">
        <x:f aca="0">""</x:f>
      </x:c>
      <x:c r="BE49" s="19" t="str">
        <x:f aca="0">"N/A"</x:f>
        <x:v>N/A</x:v>
      </x:c>
      <x:c r="BF49" s="19" t="str">
        <x:f aca="0">""</x:f>
      </x:c>
    </x:row>
    <x:row r="50" ht="35.04999923706055" hidden="0">
      <x:c r="A50" s="3" t="n">
        <x:v>46</x:v>
      </x:c>
      <x:c r="B50" s="53" t="n">
        <x:v>46263</x:v>
      </x:c>
      <x:c r="C50" s="3" t="s">
        <x:v>591</x:v>
      </x:c>
      <x:c r="D50" s="3" t="s">
        <x:v>606</x:v>
      </x:c>
      <x:c r="E50" s="3" t="s">
        <x:v>617</x:v>
      </x:c>
      <x:c r="F50" s="3" t="s">
        <x:v>618</x:v>
      </x:c>
      <x:c r="G50" s="3" t="s">
        <x:v>409</x:v>
      </x:c>
      <x:c r="H50" s="3" t="s">
        <x:v>410</x:v>
      </x:c>
      <x:c r="I50" s="3" t="s">
        <x:v>609</x:v>
      </x:c>
      <x:c r="J50" s="3"/>
      <x:c r="K50" s="3"/>
      <x:c r="L50" s="54" t="n">
        <x:v>1.24473275299612</x:v>
      </x:c>
      <x:c r="M50" s="54" t="n">
        <x:v>1.15526724700388</x:v>
      </x:c>
      <x:c r="N50" s="12" t="n">
        <x:v>0.24</x:v>
      </x:c>
      <x:c r="O50" s="12" t="n">
        <x:v>0.32</x:v>
      </x:c>
      <x:c r="P50" s="12" t="n">
        <x:v>0.43</x:v>
      </x:c>
      <x:c r="Q50" s="3" t="str">
        <x:f aca="0">"2"</x:f>
        <x:v>2</x:v>
      </x:c>
      <x:c r="R50" s="3" t="s">
        <x:v>617</x:v>
      </x:c>
      <x:c r="S50" s="3" t="str">
        <x:f aca="0">"L.R. Vicenza"</x:f>
        <x:v>L.R. Vicenza</x:v>
      </x:c>
      <x:c r="T50" s="3"/>
      <x:c r="U50" s="3"/>
      <x:c r="V50" s="3"/>
      <x:c r="W50" s="12"/>
      <x:c r="X50" s="12"/>
      <x:c r="Y50" s="12"/>
      <x:c r="Z50" s="13" t="n">
        <x:v>45</x:v>
      </x:c>
      <x:c r="AA50" s="3" t="s">
        <x:v>426</x:v>
      </x:c>
      <x:c r="AB50" s="54"/>
      <x:c r="AC50" s="54"/>
      <x:c r="AD50" s="54"/>
      <x:c r="AE50" s="3"/>
      <x:c r="AF50" s="3"/>
      <x:c r="AG50" s="54"/>
      <x:c r="AH50" s="12"/>
      <x:c r="AI50" s="12" t="n">
        <x:v>0.04</x:v>
      </x:c>
      <x:c r="AJ50" s="12"/>
      <x:c r="AK50" s="12"/>
      <x:c r="AL50" s="19" t="s">
        <x:v>427</x:v>
      </x:c>
      <x:c r="AM50" s="3" t="s">
        <x:v>107</x:v>
      </x:c>
      <x:c r="AN50" s="3" t="n">
        <x:v>3</x:v>
      </x:c>
      <x:c r="AO50" s="3" t="n">
        <x:v>0</x:v>
      </x:c>
      <x:c r="AP50" s="3" t="s">
        <x:v>547</x:v>
      </x:c>
      <x:c r="AQ50" s="3" t="s">
        <x:v>446</x:v>
      </x:c>
      <x:c r="AR50" s="3" t="s">
        <x:v>107</x:v>
      </x:c>
      <x:c r="AS50" s="3"/>
      <x:c r="AT50" s="3"/>
      <x:c r="AU50" s="54"/>
      <x:c r="AV50" s="12"/>
      <x:c r="AW50" s="3" t="s">
        <x:v>456</x:v>
      </x:c>
      <x:c r="AX50" s="3" t="s">
        <x:v>619</x:v>
      </x:c>
      <x:c r="AY50" s="3" t="s">
        <x:v>498</x:v>
      </x:c>
      <x:c r="AZ50" s="3" t="s">
        <x:v>422</x:v>
      </x:c>
      <x:c r="BA50" s="3" t="s">
        <x:v>423</x:v>
      </x:c>
      <x:c r="BB50" s="11" t="str">
        <x:f aca="0">""</x:f>
      </x:c>
      <x:c r="BC50" s="11" t="n">
        <x:f aca="0">0</x:f>
        <x:v>0</x:v>
      </x:c>
      <x:c r="BD50" s="11" t="str">
        <x:f aca="0">""</x:f>
      </x:c>
      <x:c r="BE50" s="19" t="str">
        <x:f aca="0">"N/A"</x:f>
        <x:v>N/A</x:v>
      </x:c>
      <x:c r="BF50" s="19" t="str">
        <x:f aca="0">""</x:f>
      </x:c>
    </x:row>
    <x:row r="51" ht="35.04999923706055" hidden="0">
      <x:c r="A51" s="3" t="n">
        <x:v>47</x:v>
      </x:c>
      <x:c r="B51" s="53" t="n">
        <x:v>46263</x:v>
      </x:c>
      <x:c r="C51" s="3" t="s">
        <x:v>591</x:v>
      </x:c>
      <x:c r="D51" s="3" t="s">
        <x:v>606</x:v>
      </x:c>
      <x:c r="E51" s="3" t="s">
        <x:v>620</x:v>
      </x:c>
      <x:c r="F51" s="3" t="s">
        <x:v>621</x:v>
      </x:c>
      <x:c r="G51" s="3" t="s">
        <x:v>409</x:v>
      </x:c>
      <x:c r="H51" s="3" t="s">
        <x:v>410</x:v>
      </x:c>
      <x:c r="I51" s="3" t="s">
        <x:v>609</x:v>
      </x:c>
      <x:c r="J51" s="3"/>
      <x:c r="K51" s="3"/>
      <x:c r="L51" s="54" t="n">
        <x:v>1.28872393058304</x:v>
      </x:c>
      <x:c r="M51" s="54" t="n">
        <x:v>1.09127606941696</x:v>
      </x:c>
      <x:c r="N51" s="12" t="n">
        <x:v>0.4</x:v>
      </x:c>
      <x:c r="O51" s="12" t="n">
        <x:v>0.46</x:v>
      </x:c>
      <x:c r="P51" s="12" t="n">
        <x:v>0.13</x:v>
      </x:c>
      <x:c r="Q51" s="3" t="str">
        <x:f aca="0">"X"</x:f>
        <x:v>X</x:v>
      </x:c>
      <x:c r="R51" s="3" t="s">
        <x:v>620</x:v>
      </x:c>
      <x:c r="S51" s="3" t="str">
        <x:f aca="0">"Hellas Verona"</x:f>
        <x:v>Hellas Verona</x:v>
      </x:c>
      <x:c r="T51" s="3"/>
      <x:c r="U51" s="3"/>
      <x:c r="V51" s="3"/>
      <x:c r="W51" s="12"/>
      <x:c r="X51" s="12"/>
      <x:c r="Y51" s="12"/>
      <x:c r="Z51" s="13" t="n">
        <x:v>64</x:v>
      </x:c>
      <x:c r="AA51" s="3" t="s">
        <x:v>426</x:v>
      </x:c>
      <x:c r="AB51" s="54"/>
      <x:c r="AC51" s="54"/>
      <x:c r="AD51" s="54"/>
      <x:c r="AE51" s="3"/>
      <x:c r="AF51" s="3"/>
      <x:c r="AG51" s="54"/>
      <x:c r="AH51" s="12"/>
      <x:c r="AI51" s="12" t="n">
        <x:v>0.04</x:v>
      </x:c>
      <x:c r="AJ51" s="12"/>
      <x:c r="AK51" s="12"/>
      <x:c r="AL51" s="19" t="s">
        <x:v>427</x:v>
      </x:c>
      <x:c r="AM51" s="3" t="s">
        <x:v>107</x:v>
      </x:c>
      <x:c r="AN51" s="3" t="n">
        <x:v>1</x:v>
      </x:c>
      <x:c r="AO51" s="3" t="n">
        <x:v>1</x:v>
      </x:c>
      <x:c r="AP51" s="3" t="s">
        <x:v>428</x:v>
      </x:c>
      <x:c r="AQ51" s="3" t="s">
        <x:v>417</x:v>
      </x:c>
      <x:c r="AR51" s="3" t="s">
        <x:v>102</x:v>
      </x:c>
      <x:c r="AS51" s="3"/>
      <x:c r="AT51" s="3"/>
      <x:c r="AU51" s="54"/>
      <x:c r="AV51" s="12"/>
      <x:c r="AW51" s="3" t="s">
        <x:v>434</x:v>
      </x:c>
      <x:c r="AX51" s="3" t="s">
        <x:v>622</x:v>
      </x:c>
      <x:c r="AY51" s="3" t="s">
        <x:v>498</x:v>
      </x:c>
      <x:c r="AZ51" s="3" t="s">
        <x:v>422</x:v>
      </x:c>
      <x:c r="BA51" s="3" t="s">
        <x:v>423</x:v>
      </x:c>
      <x:c r="BB51" s="11" t="str">
        <x:f aca="0">""</x:f>
      </x:c>
      <x:c r="BC51" s="11" t="n">
        <x:f aca="0">0</x:f>
        <x:v>0</x:v>
      </x:c>
      <x:c r="BD51" s="11" t="str">
        <x:f aca="0">""</x:f>
      </x:c>
      <x:c r="BE51" s="19" t="str">
        <x:f aca="0">"N/A"</x:f>
        <x:v>N/A</x:v>
      </x:c>
      <x:c r="BF51" s="19" t="str">
        <x:f aca="0">""</x:f>
      </x:c>
    </x:row>
    <x:row r="52" ht="35.04999923706055" hidden="0">
      <x:c r="A52" s="3" t="n">
        <x:v>48</x:v>
      </x:c>
      <x:c r="B52" s="53" t="n">
        <x:v>46263</x:v>
      </x:c>
      <x:c r="C52" s="3" t="s">
        <x:v>623</x:v>
      </x:c>
      <x:c r="D52" s="3" t="s">
        <x:v>624</x:v>
      </x:c>
      <x:c r="E52" s="3" t="s">
        <x:v>625</x:v>
      </x:c>
      <x:c r="F52" s="3" t="s">
        <x:v>626</x:v>
      </x:c>
      <x:c r="G52" s="3" t="s">
        <x:v>409</x:v>
      </x:c>
      <x:c r="H52" s="3" t="s">
        <x:v>410</x:v>
      </x:c>
      <x:c r="I52" s="3" t="s">
        <x:v>627</x:v>
      </x:c>
      <x:c r="J52" s="3"/>
      <x:c r="K52" s="3"/>
      <x:c r="L52" s="54" t="n">
        <x:v>0.741754776135623</x:v>
      </x:c>
      <x:c r="M52" s="54" t="n">
        <x:v>1.17824522386438</x:v>
      </x:c>
      <x:c r="N52" s="12" t="n">
        <x:v>0.22</x:v>
      </x:c>
      <x:c r="O52" s="12" t="n">
        <x:v>0.35</x:v>
      </x:c>
      <x:c r="P52" s="12" t="n">
        <x:v>0.43</x:v>
      </x:c>
      <x:c r="Q52" s="3" t="str">
        <x:f aca="0">"2"</x:f>
        <x:v>2</x:v>
      </x:c>
      <x:c r="R52" s="3" t="s">
        <x:v>626</x:v>
      </x:c>
      <x:c r="S52" s="3" t="str">
        <x:f aca="0">"Radomiak"</x:f>
        <x:v>Radomiak</x:v>
      </x:c>
      <x:c r="T52" s="3"/>
      <x:c r="U52" s="3"/>
      <x:c r="V52" s="3"/>
      <x:c r="W52" s="12"/>
      <x:c r="X52" s="12"/>
      <x:c r="Y52" s="12"/>
      <x:c r="Z52" s="13" t="n">
        <x:v>68</x:v>
      </x:c>
      <x:c r="AA52" s="3" t="s">
        <x:v>426</x:v>
      </x:c>
      <x:c r="AB52" s="54"/>
      <x:c r="AC52" s="54"/>
      <x:c r="AD52" s="54"/>
      <x:c r="AE52" s="3"/>
      <x:c r="AF52" s="3"/>
      <x:c r="AG52" s="54"/>
      <x:c r="AH52" s="12"/>
      <x:c r="AI52" s="12" t="n">
        <x:v>0.04</x:v>
      </x:c>
      <x:c r="AJ52" s="12"/>
      <x:c r="AK52" s="12"/>
      <x:c r="AL52" s="19" t="s">
        <x:v>427</x:v>
      </x:c>
      <x:c r="AM52" s="3" t="s">
        <x:v>107</x:v>
      </x:c>
      <x:c r="AN52" s="3" t="n">
        <x:v>2</x:v>
      </x:c>
      <x:c r="AO52" s="3" t="n">
        <x:v>1</x:v>
      </x:c>
      <x:c r="AP52" s="3" t="s">
        <x:v>471</x:v>
      </x:c>
      <x:c r="AQ52" s="3" t="s">
        <x:v>446</x:v>
      </x:c>
      <x:c r="AR52" s="3" t="s">
        <x:v>107</x:v>
      </x:c>
      <x:c r="AS52" s="3"/>
      <x:c r="AT52" s="3"/>
      <x:c r="AU52" s="54"/>
      <x:c r="AV52" s="12"/>
      <x:c r="AW52" s="3" t="s">
        <x:v>456</x:v>
      </x:c>
      <x:c r="AX52" s="3" t="s">
        <x:v>628</x:v>
      </x:c>
      <x:c r="AY52" s="3" t="s">
        <x:v>629</x:v>
      </x:c>
      <x:c r="AZ52" s="3" t="s">
        <x:v>422</x:v>
      </x:c>
      <x:c r="BA52" s="3" t="s">
        <x:v>423</x:v>
      </x:c>
      <x:c r="BB52" s="11" t="str">
        <x:f aca="0">""</x:f>
      </x:c>
      <x:c r="BC52" s="11" t="n">
        <x:f aca="0">0</x:f>
        <x:v>0</x:v>
      </x:c>
      <x:c r="BD52" s="11" t="str">
        <x:f aca="0">""</x:f>
      </x:c>
      <x:c r="BE52" s="19" t="str">
        <x:f aca="0">"N/A"</x:f>
        <x:v>N/A</x:v>
      </x:c>
      <x:c r="BF52" s="19" t="str">
        <x:f aca="0">""</x:f>
      </x:c>
    </x:row>
    <x:row r="53" ht="35.04999923706055" hidden="0">
      <x:c r="A53" s="3" t="n">
        <x:v>49</x:v>
      </x:c>
      <x:c r="B53" s="53" t="n">
        <x:v>46263</x:v>
      </x:c>
      <x:c r="C53" s="3" t="s">
        <x:v>623</x:v>
      </x:c>
      <x:c r="D53" s="3" t="s">
        <x:v>624</x:v>
      </x:c>
      <x:c r="E53" s="3" t="s">
        <x:v>630</x:v>
      </x:c>
      <x:c r="F53" s="3" t="s">
        <x:v>631</x:v>
      </x:c>
      <x:c r="G53" s="3" t="s">
        <x:v>409</x:v>
      </x:c>
      <x:c r="H53" s="3" t="s">
        <x:v>410</x:v>
      </x:c>
      <x:c r="I53" s="3" t="s">
        <x:v>627</x:v>
      </x:c>
      <x:c r="J53" s="3"/>
      <x:c r="K53" s="3"/>
      <x:c r="L53" s="54" t="n">
        <x:v>1.64333823941688</x:v>
      </x:c>
      <x:c r="M53" s="54" t="n">
        <x:v>1.18666176058312</x:v>
      </x:c>
      <x:c r="N53" s="12" t="n">
        <x:v>0.46</x:v>
      </x:c>
      <x:c r="O53" s="12" t="n">
        <x:v>0.33</x:v>
      </x:c>
      <x:c r="P53" s="12" t="n">
        <x:v>0.2</x:v>
      </x:c>
      <x:c r="Q53" s="3" t="str">
        <x:f aca="0">"1"</x:f>
        <x:v>1</x:v>
      </x:c>
      <x:c r="R53" s="3" t="s">
        <x:v>630</x:v>
      </x:c>
      <x:c r="S53" s="3" t="str">
        <x:f aca="0">"Piast"</x:f>
        <x:v>Piast</x:v>
      </x:c>
      <x:c r="T53" s="3"/>
      <x:c r="U53" s="3"/>
      <x:c r="V53" s="3"/>
      <x:c r="W53" s="12"/>
      <x:c r="X53" s="12"/>
      <x:c r="Y53" s="12"/>
      <x:c r="Z53" s="13" t="n">
        <x:v>68</x:v>
      </x:c>
      <x:c r="AA53" s="3" t="s">
        <x:v>426</x:v>
      </x:c>
      <x:c r="AB53" s="54"/>
      <x:c r="AC53" s="54"/>
      <x:c r="AD53" s="54"/>
      <x:c r="AE53" s="3"/>
      <x:c r="AF53" s="3"/>
      <x:c r="AG53" s="54"/>
      <x:c r="AH53" s="12"/>
      <x:c r="AI53" s="12" t="n">
        <x:v>0.04</x:v>
      </x:c>
      <x:c r="AJ53" s="12"/>
      <x:c r="AK53" s="12"/>
      <x:c r="AL53" s="19" t="s">
        <x:v>427</x:v>
      </x:c>
      <x:c r="AM53" s="3" t="s">
        <x:v>107</x:v>
      </x:c>
      <x:c r="AN53" s="3" t="n">
        <x:v>0</x:v>
      </x:c>
      <x:c r="AO53" s="3" t="n">
        <x:v>2</x:v>
      </x:c>
      <x:c r="AP53" s="3" t="s">
        <x:v>438</x:v>
      </x:c>
      <x:c r="AQ53" s="3" t="s">
        <x:v>412</x:v>
      </x:c>
      <x:c r="AR53" s="3" t="s">
        <x:v>107</x:v>
      </x:c>
      <x:c r="AS53" s="3"/>
      <x:c r="AT53" s="3"/>
      <x:c r="AU53" s="54"/>
      <x:c r="AV53" s="12"/>
      <x:c r="AW53" s="3" t="s">
        <x:v>456</x:v>
      </x:c>
      <x:c r="AX53" s="3" t="s">
        <x:v>632</x:v>
      </x:c>
      <x:c r="AY53" s="3" t="s">
        <x:v>629</x:v>
      </x:c>
      <x:c r="AZ53" s="3" t="s">
        <x:v>422</x:v>
      </x:c>
      <x:c r="BA53" s="3" t="s">
        <x:v>423</x:v>
      </x:c>
      <x:c r="BB53" s="11" t="str">
        <x:f aca="0">""</x:f>
      </x:c>
      <x:c r="BC53" s="11" t="n">
        <x:f aca="0">0</x:f>
        <x:v>0</x:v>
      </x:c>
      <x:c r="BD53" s="11" t="str">
        <x:f aca="0">""</x:f>
      </x:c>
      <x:c r="BE53" s="19" t="str">
        <x:f aca="0">"N/A"</x:f>
        <x:v>N/A</x:v>
      </x:c>
      <x:c r="BF53" s="19" t="str">
        <x:f aca="0">""</x:f>
      </x:c>
    </x:row>
    <x:row r="54" ht="35.04999923706055" hidden="0">
      <x:c r="A54" s="3" t="n">
        <x:v>50</x:v>
      </x:c>
      <x:c r="B54" s="53" t="n">
        <x:v>46263</x:v>
      </x:c>
      <x:c r="C54" s="3" t="s">
        <x:v>623</x:v>
      </x:c>
      <x:c r="D54" s="3" t="s">
        <x:v>624</x:v>
      </x:c>
      <x:c r="E54" s="3" t="s">
        <x:v>633</x:v>
      </x:c>
      <x:c r="F54" s="3" t="s">
        <x:v>634</x:v>
      </x:c>
      <x:c r="G54" s="3" t="s">
        <x:v>409</x:v>
      </x:c>
      <x:c r="H54" s="3" t="s">
        <x:v>410</x:v>
      </x:c>
      <x:c r="I54" s="3" t="s">
        <x:v>627</x:v>
      </x:c>
      <x:c r="J54" s="3"/>
      <x:c r="K54" s="3"/>
      <x:c r="L54" s="54" t="n">
        <x:v>1.9243703187251</x:v>
      </x:c>
      <x:c r="M54" s="54" t="n">
        <x:v>0.9556296812749</x:v>
      </x:c>
      <x:c r="N54" s="12" t="n">
        <x:v>0.53</x:v>
      </x:c>
      <x:c r="O54" s="12" t="n">
        <x:v>0.32</x:v>
      </x:c>
      <x:c r="P54" s="12" t="n">
        <x:v>0.15</x:v>
      </x:c>
      <x:c r="Q54" s="3" t="str">
        <x:f aca="0">"1"</x:f>
        <x:v>1</x:v>
      </x:c>
      <x:c r="R54" s="3" t="s">
        <x:v>633</x:v>
      </x:c>
      <x:c r="S54" s="3" t="str">
        <x:f aca="0">"Wieczysta Kraków"</x:f>
        <x:v>Wieczysta Kraków</x:v>
      </x:c>
      <x:c r="T54" s="3"/>
      <x:c r="U54" s="3"/>
      <x:c r="V54" s="3"/>
      <x:c r="W54" s="12"/>
      <x:c r="X54" s="12"/>
      <x:c r="Y54" s="12"/>
      <x:c r="Z54" s="13" t="n">
        <x:v>78</x:v>
      </x:c>
      <x:c r="AA54" s="3" t="s">
        <x:v>426</x:v>
      </x:c>
      <x:c r="AB54" s="54"/>
      <x:c r="AC54" s="54"/>
      <x:c r="AD54" s="54"/>
      <x:c r="AE54" s="3"/>
      <x:c r="AF54" s="3"/>
      <x:c r="AG54" s="54"/>
      <x:c r="AH54" s="12"/>
      <x:c r="AI54" s="12" t="n">
        <x:v>0.04</x:v>
      </x:c>
      <x:c r="AJ54" s="12"/>
      <x:c r="AK54" s="12"/>
      <x:c r="AL54" s="19" t="s">
        <x:v>427</x:v>
      </x:c>
      <x:c r="AM54" s="3" t="s">
        <x:v>107</x:v>
      </x:c>
      <x:c r="AN54" s="3" t="n">
        <x:v>2</x:v>
      </x:c>
      <x:c r="AO54" s="3" t="n">
        <x:v>0</x:v>
      </x:c>
      <x:c r="AP54" s="3" t="s">
        <x:v>589</x:v>
      </x:c>
      <x:c r="AQ54" s="3" t="s">
        <x:v>446</x:v>
      </x:c>
      <x:c r="AR54" s="3" t="s">
        <x:v>102</x:v>
      </x:c>
      <x:c r="AS54" s="3"/>
      <x:c r="AT54" s="3"/>
      <x:c r="AU54" s="54"/>
      <x:c r="AV54" s="12"/>
      <x:c r="AW54" s="3" t="s">
        <x:v>434</x:v>
      </x:c>
      <x:c r="AX54" s="3" t="s">
        <x:v>635</x:v>
      </x:c>
      <x:c r="AY54" s="3" t="s">
        <x:v>629</x:v>
      </x:c>
      <x:c r="AZ54" s="3" t="s">
        <x:v>422</x:v>
      </x:c>
      <x:c r="BA54" s="3" t="s">
        <x:v>423</x:v>
      </x:c>
      <x:c r="BB54" s="11" t="str">
        <x:f aca="0">""</x:f>
      </x:c>
      <x:c r="BC54" s="11" t="n">
        <x:f aca="0">0</x:f>
        <x:v>0</x:v>
      </x:c>
      <x:c r="BD54" s="11" t="str">
        <x:f aca="0">""</x:f>
      </x:c>
      <x:c r="BE54" s="19" t="str">
        <x:f aca="0">"N/A"</x:f>
        <x:v>N/A</x:v>
      </x:c>
      <x:c r="BF54" s="19" t="str">
        <x:f aca="0">""</x:f>
      </x:c>
    </x:row>
    <x:row r="55" ht="35.04999923706055" hidden="0">
      <x:c r="A55" s="3" t="n">
        <x:v>51</x:v>
      </x:c>
      <x:c r="B55" s="53" t="n">
        <x:v>46263</x:v>
      </x:c>
      <x:c r="C55" s="3" t="s">
        <x:v>623</x:v>
      </x:c>
      <x:c r="D55" s="3" t="s">
        <x:v>624</x:v>
      </x:c>
      <x:c r="E55" s="3" t="s">
        <x:v>636</x:v>
      </x:c>
      <x:c r="F55" s="3" t="s">
        <x:v>637</x:v>
      </x:c>
      <x:c r="G55" s="3" t="s">
        <x:v>409</x:v>
      </x:c>
      <x:c r="H55" s="3" t="s">
        <x:v>410</x:v>
      </x:c>
      <x:c r="I55" s="3" t="s">
        <x:v>627</x:v>
      </x:c>
      <x:c r="J55" s="3"/>
      <x:c r="K55" s="3"/>
      <x:c r="L55" s="54" t="n">
        <x:v>1.11886100055267</x:v>
      </x:c>
      <x:c r="M55" s="54" t="n">
        <x:v>1.08113899944733</x:v>
      </x:c>
      <x:c r="N55" s="12" t="n">
        <x:v>0.34</x:v>
      </x:c>
      <x:c r="O55" s="12" t="n">
        <x:v>0.35</x:v>
      </x:c>
      <x:c r="P55" s="12" t="n">
        <x:v>0.32</x:v>
      </x:c>
      <x:c r="Q55" s="3" t="str">
        <x:f aca="0">"X"</x:f>
        <x:v>X</x:v>
      </x:c>
      <x:c r="R55" s="3" t="s">
        <x:v>636</x:v>
      </x:c>
      <x:c r="S55" s="3" t="str">
        <x:f aca="0">"Pogoń Szczecin"</x:f>
        <x:v>Pogoń Szczecin</x:v>
      </x:c>
      <x:c r="T55" s="3"/>
      <x:c r="U55" s="3"/>
      <x:c r="V55" s="3"/>
      <x:c r="W55" s="12"/>
      <x:c r="X55" s="12"/>
      <x:c r="Y55" s="12"/>
      <x:c r="Z55" s="13" t="n">
        <x:v>61</x:v>
      </x:c>
      <x:c r="AA55" s="3" t="s">
        <x:v>426</x:v>
      </x:c>
      <x:c r="AB55" s="54"/>
      <x:c r="AC55" s="54"/>
      <x:c r="AD55" s="54"/>
      <x:c r="AE55" s="3"/>
      <x:c r="AF55" s="3"/>
      <x:c r="AG55" s="54"/>
      <x:c r="AH55" s="12"/>
      <x:c r="AI55" s="12" t="n">
        <x:v>0.04</x:v>
      </x:c>
      <x:c r="AJ55" s="12"/>
      <x:c r="AK55" s="12"/>
      <x:c r="AL55" s="19" t="s">
        <x:v>427</x:v>
      </x:c>
      <x:c r="AM55" s="3" t="s">
        <x:v>107</x:v>
      </x:c>
      <x:c r="AN55" s="3" t="n">
        <x:v>0</x:v>
      </x:c>
      <x:c r="AO55" s="3" t="n">
        <x:v>0</x:v>
      </x:c>
      <x:c r="AP55" s="3" t="s">
        <x:v>542</x:v>
      </x:c>
      <x:c r="AQ55" s="3" t="s">
        <x:v>417</x:v>
      </x:c>
      <x:c r="AR55" s="3" t="s">
        <x:v>102</x:v>
      </x:c>
      <x:c r="AS55" s="3"/>
      <x:c r="AT55" s="3"/>
      <x:c r="AU55" s="54"/>
      <x:c r="AV55" s="12"/>
      <x:c r="AW55" s="3" t="s">
        <x:v>434</x:v>
      </x:c>
      <x:c r="AX55" s="3" t="s">
        <x:v>638</x:v>
      </x:c>
      <x:c r="AY55" s="3" t="s">
        <x:v>629</x:v>
      </x:c>
      <x:c r="AZ55" s="3" t="s">
        <x:v>422</x:v>
      </x:c>
      <x:c r="BA55" s="3" t="s">
        <x:v>423</x:v>
      </x:c>
      <x:c r="BB55" s="11" t="str">
        <x:f aca="0">""</x:f>
      </x:c>
      <x:c r="BC55" s="11" t="n">
        <x:f aca="0">0</x:f>
        <x:v>0</x:v>
      </x:c>
      <x:c r="BD55" s="11" t="str">
        <x:f aca="0">""</x:f>
      </x:c>
      <x:c r="BE55" s="19" t="str">
        <x:f aca="0">"N/A"</x:f>
        <x:v>N/A</x:v>
      </x:c>
      <x:c r="BF55" s="19" t="str">
        <x:f aca="0">""</x:f>
      </x:c>
    </x:row>
    <x:row r="56" ht="46.25" hidden="0">
      <x:c r="A56" s="3" t="n">
        <x:v>52</x:v>
      </x:c>
      <x:c r="B56" s="53" t="n">
        <x:v>46263</x:v>
      </x:c>
      <x:c r="C56" s="3" t="s">
        <x:v>639</x:v>
      </x:c>
      <x:c r="D56" s="3" t="s">
        <x:v>640</x:v>
      </x:c>
      <x:c r="E56" s="3" t="s">
        <x:v>641</x:v>
      </x:c>
      <x:c r="F56" s="3" t="s">
        <x:v>642</x:v>
      </x:c>
      <x:c r="G56" s="3" t="s">
        <x:v>409</x:v>
      </x:c>
      <x:c r="H56" s="3" t="s">
        <x:v>410</x:v>
      </x:c>
      <x:c r="I56" s="3" t="s">
        <x:v>643</x:v>
      </x:c>
      <x:c r="J56" s="3"/>
      <x:c r="K56" s="3"/>
      <x:c r="L56" s="54" t="n">
        <x:v>1.68</x:v>
      </x:c>
      <x:c r="M56" s="54" t="n">
        <x:v>0.15</x:v>
      </x:c>
      <x:c r="N56" s="12" t="n">
        <x:v>0.64</x:v>
      </x:c>
      <x:c r="O56" s="12" t="n">
        <x:v>0.2</x:v>
      </x:c>
      <x:c r="P56" s="12" t="n">
        <x:v>0.16</x:v>
      </x:c>
      <x:c r="Q56" s="3" t="str">
        <x:f aca="0">"1"</x:f>
        <x:v>1</x:v>
      </x:c>
      <x:c r="R56" s="3" t="s">
        <x:v>641</x:v>
      </x:c>
      <x:c r="S56" s="3" t="str">
        <x:f aca="0">"Falkirk"</x:f>
        <x:v>Falkirk</x:v>
      </x:c>
      <x:c r="T56" s="3" t="n">
        <x:v>-4</x:v>
      </x:c>
      <x:c r="U56" s="3" t="s">
        <x:v>412</x:v>
      </x:c>
      <x:c r="V56" s="3" t="s">
        <x:v>644</x:v>
      </x:c>
      <x:c r="W56" s="12" t="n">
        <x:v>0.918610666723056</x:v>
      </x:c>
      <x:c r="X56" s="12" t="n">
        <x:v>0.0559840584010589</x:v>
      </x:c>
      <x:c r="Y56" s="12" t="n">
        <x:v>0.0254052748758849</x:v>
      </x:c>
      <x:c r="Z56" s="13" t="n">
        <x:v>90</x:v>
      </x:c>
      <x:c r="AA56" s="3" t="s">
        <x:v>414</x:v>
      </x:c>
      <x:c r="AB56" s="54" t="n">
        <x:v>1.08860046614447</x:v>
      </x:c>
      <x:c r="AC56" s="54" t="n">
        <x:v>1.17568850343603</x:v>
      </x:c>
      <x:c r="AD56" s="54"/>
      <x:c r="AE56" s="3"/>
      <x:c r="AF56" s="3"/>
      <x:c r="AG56" s="54"/>
      <x:c r="AH56" s="12"/>
      <x:c r="AI56" s="12" t="n">
        <x:v>0.04</x:v>
      </x:c>
      <x:c r="AJ56" s="12"/>
      <x:c r="AK56" s="12"/>
      <x:c r="AL56" s="19" t="s">
        <x:v>415</x:v>
      </x:c>
      <x:c r="AM56" s="3" t="s">
        <x:v>102</x:v>
      </x:c>
      <x:c r="AN56" s="3" t="n">
        <x:v>2</x:v>
      </x:c>
      <x:c r="AO56" s="3" t="n">
        <x:v>1</x:v>
      </x:c>
      <x:c r="AP56" s="3" t="s">
        <x:v>471</x:v>
      </x:c>
      <x:c r="AQ56" s="3" t="s">
        <x:v>446</x:v>
      </x:c>
      <x:c r="AR56" s="3" t="s">
        <x:v>102</x:v>
      </x:c>
      <x:c r="AS56" s="3" t="s">
        <x:v>412</x:v>
      </x:c>
      <x:c r="AT56" s="3" t="s">
        <x:v>418</x:v>
      </x:c>
      <x:c r="AU56" s="54"/>
      <x:c r="AV56" s="12"/>
      <x:c r="AW56" s="3" t="s">
        <x:v>447</x:v>
      </x:c>
      <x:c r="AX56" s="3" t="s">
        <x:v>645</x:v>
      </x:c>
      <x:c r="AY56" s="3" t="s">
        <x:v>421</x:v>
      </x:c>
      <x:c r="AZ56" s="3" t="s">
        <x:v>422</x:v>
      </x:c>
      <x:c r="BA56" s="3" t="s">
        <x:v>423</x:v>
      </x:c>
      <x:c r="BB56" s="11" t="n">
        <x:f aca="0">0.03</x:f>
        <x:v>0.03</x:v>
      </x:c>
      <x:c r="BC56" s="11" t="n">
        <x:f aca="0">0.025984058401058878</x:f>
        <x:v>0.025984058401058878</x:v>
      </x:c>
      <x:c r="BD56" s="11" t="str">
        <x:f aca="0">""</x:f>
      </x:c>
      <x:c r="BE56" s="19" t="str">
        <x:f aca="0">"NO BET – +4 STRICT"</x:f>
        <x:v>NO BET – +4 STRICT</x:v>
      </x:c>
      <x:c r="BF56" s="19" t="str">
        <x:f aca="0">""</x:f>
      </x:c>
    </x:row>
    <x:row r="57" ht="46.25" hidden="0">
      <x:c r="A57" s="3" t="n">
        <x:v>53</x:v>
      </x:c>
      <x:c r="B57" s="53" t="n">
        <x:v>46263</x:v>
      </x:c>
      <x:c r="C57" s="3" t="s">
        <x:v>639</x:v>
      </x:c>
      <x:c r="D57" s="3" t="s">
        <x:v>640</x:v>
      </x:c>
      <x:c r="E57" s="3" t="s">
        <x:v>646</x:v>
      </x:c>
      <x:c r="F57" s="3" t="s">
        <x:v>647</x:v>
      </x:c>
      <x:c r="G57" s="3" t="s">
        <x:v>409</x:v>
      </x:c>
      <x:c r="H57" s="3" t="s">
        <x:v>410</x:v>
      </x:c>
      <x:c r="I57" s="3" t="s">
        <x:v>643</x:v>
      </x:c>
      <x:c r="J57" s="3"/>
      <x:c r="K57" s="3"/>
      <x:c r="L57" s="54" t="n">
        <x:v>1.79658337357154</x:v>
      </x:c>
      <x:c r="M57" s="54" t="n">
        <x:v>0.773416626428456</x:v>
      </x:c>
      <x:c r="N57" s="12" t="n">
        <x:v>0.47</x:v>
      </x:c>
      <x:c r="O57" s="12" t="n">
        <x:v>0.31</x:v>
      </x:c>
      <x:c r="P57" s="12" t="n">
        <x:v>0.21</x:v>
      </x:c>
      <x:c r="Q57" s="3" t="str">
        <x:f aca="0">"1"</x:f>
        <x:v>1</x:v>
      </x:c>
      <x:c r="R57" s="3" t="s">
        <x:v>646</x:v>
      </x:c>
      <x:c r="S57" s="3" t="str">
        <x:f aca="0">"St Johnstone"</x:f>
        <x:v>St Johnstone</x:v>
      </x:c>
      <x:c r="T57" s="3"/>
      <x:c r="U57" s="3"/>
      <x:c r="V57" s="3"/>
      <x:c r="W57" s="12"/>
      <x:c r="X57" s="12"/>
      <x:c r="Y57" s="12"/>
      <x:c r="Z57" s="13" t="n">
        <x:v>79</x:v>
      </x:c>
      <x:c r="AA57" s="3" t="s">
        <x:v>426</x:v>
      </x:c>
      <x:c r="AB57" s="54"/>
      <x:c r="AC57" s="54"/>
      <x:c r="AD57" s="54"/>
      <x:c r="AE57" s="3"/>
      <x:c r="AF57" s="3"/>
      <x:c r="AG57" s="54"/>
      <x:c r="AH57" s="12"/>
      <x:c r="AI57" s="12" t="n">
        <x:v>0.04</x:v>
      </x:c>
      <x:c r="AJ57" s="12"/>
      <x:c r="AK57" s="12"/>
      <x:c r="AL57" s="19" t="s">
        <x:v>427</x:v>
      </x:c>
      <x:c r="AM57" s="3" t="s">
        <x:v>107</x:v>
      </x:c>
      <x:c r="AN57" s="3" t="n">
        <x:v>2</x:v>
      </x:c>
      <x:c r="AO57" s="3" t="n">
        <x:v>1</x:v>
      </x:c>
      <x:c r="AP57" s="3" t="s">
        <x:v>471</x:v>
      </x:c>
      <x:c r="AQ57" s="3" t="s">
        <x:v>446</x:v>
      </x:c>
      <x:c r="AR57" s="3" t="s">
        <x:v>102</x:v>
      </x:c>
      <x:c r="AS57" s="3"/>
      <x:c r="AT57" s="3"/>
      <x:c r="AU57" s="54"/>
      <x:c r="AV57" s="12"/>
      <x:c r="AW57" s="3" t="s">
        <x:v>434</x:v>
      </x:c>
      <x:c r="AX57" s="3" t="s">
        <x:v>648</x:v>
      </x:c>
      <x:c r="AY57" s="3" t="s">
        <x:v>421</x:v>
      </x:c>
      <x:c r="AZ57" s="3" t="s">
        <x:v>422</x:v>
      </x:c>
      <x:c r="BA57" s="3" t="s">
        <x:v>423</x:v>
      </x:c>
      <x:c r="BB57" s="11" t="str">
        <x:f aca="0">""</x:f>
      </x:c>
      <x:c r="BC57" s="11" t="n">
        <x:f aca="0">0</x:f>
        <x:v>0</x:v>
      </x:c>
      <x:c r="BD57" s="11" t="str">
        <x:f aca="0">""</x:f>
      </x:c>
      <x:c r="BE57" s="19" t="str">
        <x:f aca="0">"N/A"</x:f>
        <x:v>N/A</x:v>
      </x:c>
      <x:c r="BF57" s="19" t="str">
        <x:f aca="0">""</x:f>
      </x:c>
    </x:row>
    <x:row r="58" ht="46.25" hidden="0">
      <x:c r="A58" s="3" t="n">
        <x:v>54</x:v>
      </x:c>
      <x:c r="B58" s="53" t="n">
        <x:v>46263</x:v>
      </x:c>
      <x:c r="C58" s="3" t="s">
        <x:v>639</x:v>
      </x:c>
      <x:c r="D58" s="3" t="s">
        <x:v>640</x:v>
      </x:c>
      <x:c r="E58" s="3" t="s">
        <x:v>649</x:v>
      </x:c>
      <x:c r="F58" s="3" t="s">
        <x:v>650</x:v>
      </x:c>
      <x:c r="G58" s="3" t="s">
        <x:v>409</x:v>
      </x:c>
      <x:c r="H58" s="3" t="s">
        <x:v>410</x:v>
      </x:c>
      <x:c r="I58" s="3" t="s">
        <x:v>643</x:v>
      </x:c>
      <x:c r="J58" s="3"/>
      <x:c r="K58" s="3"/>
      <x:c r="L58" s="54" t="n">
        <x:v>2.10997779187817</x:v>
      </x:c>
      <x:c r="M58" s="54" t="n">
        <x:v>1.83002220812183</x:v>
      </x:c>
      <x:c r="N58" s="12" t="n">
        <x:v>0.4</x:v>
      </x:c>
      <x:c r="O58" s="12" t="n">
        <x:v>0.35</x:v>
      </x:c>
      <x:c r="P58" s="12" t="n">
        <x:v>0.25</x:v>
      </x:c>
      <x:c r="Q58" s="3" t="str">
        <x:f aca="0">"1"</x:f>
        <x:v>1</x:v>
      </x:c>
      <x:c r="R58" s="3" t="s">
        <x:v>649</x:v>
      </x:c>
      <x:c r="S58" s="3" t="str">
        <x:f aca="0">"Dundee United"</x:f>
        <x:v>Dundee United</x:v>
      </x:c>
      <x:c r="T58" s="3"/>
      <x:c r="U58" s="3"/>
      <x:c r="V58" s="3"/>
      <x:c r="W58" s="12"/>
      <x:c r="X58" s="12"/>
      <x:c r="Y58" s="12"/>
      <x:c r="Z58" s="13" t="n">
        <x:v>65</x:v>
      </x:c>
      <x:c r="AA58" s="3" t="s">
        <x:v>426</x:v>
      </x:c>
      <x:c r="AB58" s="54"/>
      <x:c r="AC58" s="54"/>
      <x:c r="AD58" s="54"/>
      <x:c r="AE58" s="3"/>
      <x:c r="AF58" s="3"/>
      <x:c r="AG58" s="54"/>
      <x:c r="AH58" s="12"/>
      <x:c r="AI58" s="12" t="n">
        <x:v>0.04</x:v>
      </x:c>
      <x:c r="AJ58" s="12"/>
      <x:c r="AK58" s="12"/>
      <x:c r="AL58" s="19" t="s">
        <x:v>427</x:v>
      </x:c>
      <x:c r="AM58" s="3" t="s">
        <x:v>107</x:v>
      </x:c>
      <x:c r="AN58" s="3" t="n">
        <x:v>0</x:v>
      </x:c>
      <x:c r="AO58" s="3" t="n">
        <x:v>4</x:v>
      </x:c>
      <x:c r="AP58" s="3" t="s">
        <x:v>651</x:v>
      </x:c>
      <x:c r="AQ58" s="3" t="s">
        <x:v>412</x:v>
      </x:c>
      <x:c r="AR58" s="3" t="s">
        <x:v>107</x:v>
      </x:c>
      <x:c r="AS58" s="3"/>
      <x:c r="AT58" s="3"/>
      <x:c r="AU58" s="54"/>
      <x:c r="AV58" s="12"/>
      <x:c r="AW58" s="3" t="s">
        <x:v>456</x:v>
      </x:c>
      <x:c r="AX58" s="3" t="s">
        <x:v>652</x:v>
      </x:c>
      <x:c r="AY58" s="3" t="s">
        <x:v>421</x:v>
      </x:c>
      <x:c r="AZ58" s="3" t="s">
        <x:v>422</x:v>
      </x:c>
      <x:c r="BA58" s="3" t="s">
        <x:v>423</x:v>
      </x:c>
      <x:c r="BB58" s="11" t="str">
        <x:f aca="0">""</x:f>
      </x:c>
      <x:c r="BC58" s="11" t="n">
        <x:f aca="0">0</x:f>
        <x:v>0</x:v>
      </x:c>
      <x:c r="BD58" s="11" t="str">
        <x:f aca="0">""</x:f>
      </x:c>
      <x:c r="BE58" s="19" t="str">
        <x:f aca="0">"N/A"</x:f>
        <x:v>N/A</x:v>
      </x:c>
      <x:c r="BF58" s="19" t="str">
        <x:f aca="0">""</x:f>
      </x:c>
    </x:row>
    <x:row r="59" ht="35.04999923706055" hidden="0">
      <x:c r="A59" s="3" t="n">
        <x:v>55</x:v>
      </x:c>
      <x:c r="B59" s="53" t="n">
        <x:v>46263</x:v>
      </x:c>
      <x:c r="C59" s="3" t="s">
        <x:v>653</x:v>
      </x:c>
      <x:c r="D59" s="3" t="s">
        <x:v>654</x:v>
      </x:c>
      <x:c r="E59" s="3" t="s">
        <x:v>655</x:v>
      </x:c>
      <x:c r="F59" s="3" t="s">
        <x:v>656</x:v>
      </x:c>
      <x:c r="G59" s="3" t="s">
        <x:v>409</x:v>
      </x:c>
      <x:c r="H59" s="3" t="s">
        <x:v>579</x:v>
      </x:c>
      <x:c r="I59" s="3" t="s">
        <x:v>657</x:v>
      </x:c>
      <x:c r="J59" s="3"/>
      <x:c r="K59" s="3"/>
      <x:c r="L59" s="54" t="n">
        <x:v>1.66097836773782</x:v>
      </x:c>
      <x:c r="M59" s="54" t="n">
        <x:v>0.219021632262184</x:v>
      </x:c>
      <x:c r="N59" s="12" t="n">
        <x:v>0.4</x:v>
      </x:c>
      <x:c r="O59" s="12" t="n">
        <x:v>0.46</x:v>
      </x:c>
      <x:c r="P59" s="12" t="n">
        <x:v>0.14</x:v>
      </x:c>
      <x:c r="Q59" s="3" t="str">
        <x:f aca="0">"X"</x:f>
        <x:v>X</x:v>
      </x:c>
      <x:c r="R59" s="3" t="s">
        <x:v>655</x:v>
      </x:c>
      <x:c r="S59" s="3" t="str">
        <x:f aca="0">"SK Artis Brno"</x:f>
        <x:v>SK Artis Brno</x:v>
      </x:c>
      <x:c r="T59" s="3"/>
      <x:c r="U59" s="3"/>
      <x:c r="V59" s="3"/>
      <x:c r="W59" s="12"/>
      <x:c r="X59" s="12"/>
      <x:c r="Y59" s="12"/>
      <x:c r="Z59" s="13" t="n">
        <x:v>86</x:v>
      </x:c>
      <x:c r="AA59" s="3" t="s">
        <x:v>426</x:v>
      </x:c>
      <x:c r="AB59" s="54"/>
      <x:c r="AC59" s="54"/>
      <x:c r="AD59" s="54"/>
      <x:c r="AE59" s="3"/>
      <x:c r="AF59" s="3"/>
      <x:c r="AG59" s="54"/>
      <x:c r="AH59" s="12"/>
      <x:c r="AI59" s="12" t="n">
        <x:v>0.04</x:v>
      </x:c>
      <x:c r="AJ59" s="12"/>
      <x:c r="AK59" s="12"/>
      <x:c r="AL59" s="19" t="s">
        <x:v>427</x:v>
      </x:c>
      <x:c r="AM59" s="3" t="s">
        <x:v>107</x:v>
      </x:c>
      <x:c r="AN59" s="3" t="n">
        <x:v>1</x:v>
      </x:c>
      <x:c r="AO59" s="3" t="n">
        <x:v>2</x:v>
      </x:c>
      <x:c r="AP59" s="3" t="s">
        <x:v>460</x:v>
      </x:c>
      <x:c r="AQ59" s="3" t="s">
        <x:v>412</x:v>
      </x:c>
      <x:c r="AR59" s="3" t="s">
        <x:v>107</x:v>
      </x:c>
      <x:c r="AS59" s="3"/>
      <x:c r="AT59" s="3"/>
      <x:c r="AU59" s="54"/>
      <x:c r="AV59" s="12"/>
      <x:c r="AW59" s="3" t="s">
        <x:v>439</x:v>
      </x:c>
      <x:c r="AX59" s="3" t="s">
        <x:v>658</x:v>
      </x:c>
      <x:c r="AY59" s="3" t="s">
        <x:v>498</x:v>
      </x:c>
      <x:c r="AZ59" s="3" t="s">
        <x:v>422</x:v>
      </x:c>
      <x:c r="BA59" s="3" t="s">
        <x:v>423</x:v>
      </x:c>
      <x:c r="BB59" s="11" t="str">
        <x:f aca="0">""</x:f>
      </x:c>
      <x:c r="BC59" s="11" t="n">
        <x:f aca="0">0</x:f>
        <x:v>0</x:v>
      </x:c>
      <x:c r="BD59" s="11" t="str">
        <x:f aca="0">""</x:f>
      </x:c>
      <x:c r="BE59" s="19" t="str">
        <x:f aca="0">"N/A"</x:f>
        <x:v>N/A</x:v>
      </x:c>
      <x:c r="BF59" s="19" t="str">
        <x:f aca="0">""</x:f>
      </x:c>
    </x:row>
    <x:row r="60" ht="35.04999923706055" hidden="0">
      <x:c r="A60" s="3" t="n">
        <x:v>56</x:v>
      </x:c>
      <x:c r="B60" s="53" t="n">
        <x:v>46263</x:v>
      </x:c>
      <x:c r="C60" s="3" t="s">
        <x:v>653</x:v>
      </x:c>
      <x:c r="D60" s="3" t="s">
        <x:v>654</x:v>
      </x:c>
      <x:c r="E60" s="3" t="s">
        <x:v>659</x:v>
      </x:c>
      <x:c r="F60" s="3" t="s">
        <x:v>660</x:v>
      </x:c>
      <x:c r="G60" s="3" t="s">
        <x:v>409</x:v>
      </x:c>
      <x:c r="H60" s="3" t="s">
        <x:v>410</x:v>
      </x:c>
      <x:c r="I60" s="3" t="s">
        <x:v>657</x:v>
      </x:c>
      <x:c r="J60" s="3"/>
      <x:c r="K60" s="3"/>
      <x:c r="L60" s="54" t="n">
        <x:v>2.16257986741317</x:v>
      </x:c>
      <x:c r="M60" s="54" t="n">
        <x:v>0.757420132586828</x:v>
      </x:c>
      <x:c r="N60" s="12" t="n">
        <x:v>0.66</x:v>
      </x:c>
      <x:c r="O60" s="12" t="n">
        <x:v>0.18</x:v>
      </x:c>
      <x:c r="P60" s="12" t="n">
        <x:v>0.16</x:v>
      </x:c>
      <x:c r="Q60" s="3" t="str">
        <x:f aca="0">"1"</x:f>
        <x:v>1</x:v>
      </x:c>
      <x:c r="R60" s="3" t="s">
        <x:v>659</x:v>
      </x:c>
      <x:c r="S60" s="3" t="str">
        <x:f aca="0">"Zlín"</x:f>
        <x:v>Zlín</x:v>
      </x:c>
      <x:c r="T60" s="3" t="n">
        <x:v>-4</x:v>
      </x:c>
      <x:c r="U60" s="3" t="s">
        <x:v>412</x:v>
      </x:c>
      <x:c r="V60" s="3" t="s">
        <x:v>661</x:v>
      </x:c>
      <x:c r="W60" s="12" t="n">
        <x:v>0.891034711521439</x:v>
      </x:c>
      <x:c r="X60" s="12" t="n">
        <x:v>0.067631908586369</x:v>
      </x:c>
      <x:c r="Y60" s="12" t="n">
        <x:v>0.041333379892192</x:v>
      </x:c>
      <x:c r="Z60" s="13" t="n">
        <x:v>86</x:v>
      </x:c>
      <x:c r="AA60" s="3" t="s">
        <x:v>426</x:v>
      </x:c>
      <x:c r="AB60" s="54" t="n">
        <x:v>1.12229073353664</x:v>
      </x:c>
      <x:c r="AC60" s="54" t="n">
        <x:v>1.21207399221957</x:v>
      </x:c>
      <x:c r="AD60" s="54"/>
      <x:c r="AE60" s="3"/>
      <x:c r="AF60" s="3"/>
      <x:c r="AG60" s="54"/>
      <x:c r="AH60" s="12"/>
      <x:c r="AI60" s="12" t="n">
        <x:v>0.04</x:v>
      </x:c>
      <x:c r="AJ60" s="12"/>
      <x:c r="AK60" s="12"/>
      <x:c r="AL60" s="19" t="s">
        <x:v>415</x:v>
      </x:c>
      <x:c r="AM60" s="3" t="s">
        <x:v>107</x:v>
      </x:c>
      <x:c r="AN60" s="3" t="n">
        <x:v>3</x:v>
      </x:c>
      <x:c r="AO60" s="3" t="n">
        <x:v>2</x:v>
      </x:c>
      <x:c r="AP60" s="3" t="s">
        <x:v>568</x:v>
      </x:c>
      <x:c r="AQ60" s="3" t="s">
        <x:v>446</x:v>
      </x:c>
      <x:c r="AR60" s="3" t="s">
        <x:v>102</x:v>
      </x:c>
      <x:c r="AS60" s="3" t="s">
        <x:v>412</x:v>
      </x:c>
      <x:c r="AT60" s="3" t="s">
        <x:v>418</x:v>
      </x:c>
      <x:c r="AU60" s="54"/>
      <x:c r="AV60" s="12"/>
      <x:c r="AW60" s="3" t="s">
        <x:v>447</x:v>
      </x:c>
      <x:c r="AX60" s="3" t="s">
        <x:v>662</x:v>
      </x:c>
      <x:c r="AY60" s="3" t="s">
        <x:v>498</x:v>
      </x:c>
      <x:c r="AZ60" s="3" t="s">
        <x:v>422</x:v>
      </x:c>
      <x:c r="BA60" s="3" t="s">
        <x:v>423</x:v>
      </x:c>
      <x:c r="BB60" s="11" t="n">
        <x:f aca="0">0.03</x:f>
        <x:v>0.03</x:v>
      </x:c>
      <x:c r="BC60" s="11" t="n">
        <x:f aca="0">0.03763190858636897</x:f>
        <x:v>0.03763190858636897</x:v>
      </x:c>
      <x:c r="BD60" s="11" t="str">
        <x:f aca="0">""</x:f>
      </x:c>
      <x:c r="BE60" s="19" t="str">
        <x:f aca="0">"NO BET – +4 STRICT"</x:f>
        <x:v>NO BET – +4 STRICT</x:v>
      </x:c>
      <x:c r="BF60" s="19" t="str">
        <x:f aca="0">""</x:f>
      </x:c>
    </x:row>
    <x:row r="61" ht="35.04999923706055" hidden="0">
      <x:c r="A61" s="3" t="n">
        <x:v>57</x:v>
      </x:c>
      <x:c r="B61" s="53" t="n">
        <x:v>46263</x:v>
      </x:c>
      <x:c r="C61" s="3" t="s">
        <x:v>653</x:v>
      </x:c>
      <x:c r="D61" s="3" t="s">
        <x:v>654</x:v>
      </x:c>
      <x:c r="E61" s="3" t="s">
        <x:v>663</x:v>
      </x:c>
      <x:c r="F61" s="3" t="s">
        <x:v>664</x:v>
      </x:c>
      <x:c r="G61" s="3" t="s">
        <x:v>409</x:v>
      </x:c>
      <x:c r="H61" s="3" t="s">
        <x:v>410</x:v>
      </x:c>
      <x:c r="I61" s="3" t="s">
        <x:v>657</x:v>
      </x:c>
      <x:c r="J61" s="3"/>
      <x:c r="K61" s="3"/>
      <x:c r="L61" s="54" t="n">
        <x:v>1.16159496587031</x:v>
      </x:c>
      <x:c r="M61" s="54" t="n">
        <x:v>1.42840503412969</x:v>
      </x:c>
      <x:c r="N61" s="12" t="n">
        <x:v>0.24</x:v>
      </x:c>
      <x:c r="O61" s="12" t="n">
        <x:v>0.23</x:v>
      </x:c>
      <x:c r="P61" s="12" t="n">
        <x:v>0.53</x:v>
      </x:c>
      <x:c r="Q61" s="3" t="str">
        <x:f aca="0">"2"</x:f>
        <x:v>2</x:v>
      </x:c>
      <x:c r="R61" s="3" t="s">
        <x:v>664</x:v>
      </x:c>
      <x:c r="S61" s="3" t="str">
        <x:f aca="0">"Baník Ostrava"</x:f>
        <x:v>Baník Ostrava</x:v>
      </x:c>
      <x:c r="T61" s="3"/>
      <x:c r="U61" s="3"/>
      <x:c r="V61" s="3"/>
      <x:c r="W61" s="12"/>
      <x:c r="X61" s="12"/>
      <x:c r="Y61" s="12"/>
      <x:c r="Z61" s="13" t="n">
        <x:v>65</x:v>
      </x:c>
      <x:c r="AA61" s="3" t="s">
        <x:v>426</x:v>
      </x:c>
      <x:c r="AB61" s="54"/>
      <x:c r="AC61" s="54"/>
      <x:c r="AD61" s="54"/>
      <x:c r="AE61" s="3"/>
      <x:c r="AF61" s="3"/>
      <x:c r="AG61" s="54"/>
      <x:c r="AH61" s="12"/>
      <x:c r="AI61" s="12" t="n">
        <x:v>0.04</x:v>
      </x:c>
      <x:c r="AJ61" s="12"/>
      <x:c r="AK61" s="12"/>
      <x:c r="AL61" s="19" t="s">
        <x:v>427</x:v>
      </x:c>
      <x:c r="AM61" s="3" t="s">
        <x:v>107</x:v>
      </x:c>
      <x:c r="AN61" s="3" t="n">
        <x:v>1</x:v>
      </x:c>
      <x:c r="AO61" s="3" t="n">
        <x:v>0</x:v>
      </x:c>
      <x:c r="AP61" s="3" t="s">
        <x:v>478</x:v>
      </x:c>
      <x:c r="AQ61" s="3" t="s">
        <x:v>446</x:v>
      </x:c>
      <x:c r="AR61" s="3" t="s">
        <x:v>107</x:v>
      </x:c>
      <x:c r="AS61" s="3"/>
      <x:c r="AT61" s="3"/>
      <x:c r="AU61" s="54"/>
      <x:c r="AV61" s="12"/>
      <x:c r="AW61" s="3" t="s">
        <x:v>456</x:v>
      </x:c>
      <x:c r="AX61" s="3" t="s">
        <x:v>665</x:v>
      </x:c>
      <x:c r="AY61" s="3" t="s">
        <x:v>498</x:v>
      </x:c>
      <x:c r="AZ61" s="3" t="s">
        <x:v>422</x:v>
      </x:c>
      <x:c r="BA61" s="3" t="s">
        <x:v>423</x:v>
      </x:c>
      <x:c r="BB61" s="11" t="str">
        <x:f aca="0">""</x:f>
      </x:c>
      <x:c r="BC61" s="11" t="n">
        <x:f aca="0">0</x:f>
        <x:v>0</x:v>
      </x:c>
      <x:c r="BD61" s="11" t="str">
        <x:f aca="0">""</x:f>
      </x:c>
      <x:c r="BE61" s="19" t="str">
        <x:f aca="0">"N/A"</x:f>
        <x:v>N/A</x:v>
      </x:c>
      <x:c r="BF61" s="19" t="str">
        <x:f aca="0">""</x:f>
      </x:c>
    </x:row>
    <x:row r="62" ht="46.25" hidden="0">
      <x:c r="A62" s="3" t="n">
        <x:v>58</x:v>
      </x:c>
      <x:c r="B62" s="53" t="n">
        <x:v>46263</x:v>
      </x:c>
      <x:c r="C62" s="3" t="s">
        <x:v>666</x:v>
      </x:c>
      <x:c r="D62" s="3" t="s">
        <x:v>667</x:v>
      </x:c>
      <x:c r="E62" s="3" t="s">
        <x:v>668</x:v>
      </x:c>
      <x:c r="F62" s="3" t="s">
        <x:v>669</x:v>
      </x:c>
      <x:c r="G62" s="3" t="s">
        <x:v>409</x:v>
      </x:c>
      <x:c r="H62" s="3" t="s">
        <x:v>410</x:v>
      </x:c>
      <x:c r="I62" s="3" t="s">
        <x:v>670</x:v>
      </x:c>
      <x:c r="J62" s="3"/>
      <x:c r="K62" s="3"/>
      <x:c r="L62" s="54" t="n">
        <x:v>1.27856102941176</x:v>
      </x:c>
      <x:c r="M62" s="54" t="n">
        <x:v>1.89143897058824</x:v>
      </x:c>
      <x:c r="N62" s="12" t="n">
        <x:v>0.3</x:v>
      </x:c>
      <x:c r="O62" s="12" t="n">
        <x:v>0.32</x:v>
      </x:c>
      <x:c r="P62" s="12" t="n">
        <x:v>0.38</x:v>
      </x:c>
      <x:c r="Q62" s="3" t="str">
        <x:f aca="0">"2"</x:f>
        <x:v>2</x:v>
      </x:c>
      <x:c r="R62" s="3" t="s">
        <x:v>669</x:v>
      </x:c>
      <x:c r="S62" s="3" t="str">
        <x:f aca="0">"Csikszereda"</x:f>
        <x:v>Csikszereda</x:v>
      </x:c>
      <x:c r="T62" s="3"/>
      <x:c r="U62" s="3"/>
      <x:c r="V62" s="3"/>
      <x:c r="W62" s="12"/>
      <x:c r="X62" s="12"/>
      <x:c r="Y62" s="12"/>
      <x:c r="Z62" s="13" t="n">
        <x:v>71</x:v>
      </x:c>
      <x:c r="AA62" s="3" t="s">
        <x:v>426</x:v>
      </x:c>
      <x:c r="AB62" s="54"/>
      <x:c r="AC62" s="54"/>
      <x:c r="AD62" s="54"/>
      <x:c r="AE62" s="3"/>
      <x:c r="AF62" s="3"/>
      <x:c r="AG62" s="54"/>
      <x:c r="AH62" s="12"/>
      <x:c r="AI62" s="12" t="n">
        <x:v>0.04</x:v>
      </x:c>
      <x:c r="AJ62" s="12"/>
      <x:c r="AK62" s="12"/>
      <x:c r="AL62" s="19" t="s">
        <x:v>427</x:v>
      </x:c>
      <x:c r="AM62" s="3" t="s">
        <x:v>107</x:v>
      </x:c>
      <x:c r="AN62" s="3" t="n">
        <x:v>2</x:v>
      </x:c>
      <x:c r="AO62" s="3" t="n">
        <x:v>3</x:v>
      </x:c>
      <x:c r="AP62" s="3" t="s">
        <x:v>496</x:v>
      </x:c>
      <x:c r="AQ62" s="3" t="s">
        <x:v>412</x:v>
      </x:c>
      <x:c r="AR62" s="3" t="s">
        <x:v>102</x:v>
      </x:c>
      <x:c r="AS62" s="3"/>
      <x:c r="AT62" s="3"/>
      <x:c r="AU62" s="54"/>
      <x:c r="AV62" s="12"/>
      <x:c r="AW62" s="3" t="s">
        <x:v>434</x:v>
      </x:c>
      <x:c r="AX62" s="3" t="s">
        <x:v>671</x:v>
      </x:c>
      <x:c r="AY62" s="3" t="s">
        <x:v>498</x:v>
      </x:c>
      <x:c r="AZ62" s="3" t="s">
        <x:v>422</x:v>
      </x:c>
      <x:c r="BA62" s="3" t="s">
        <x:v>423</x:v>
      </x:c>
      <x:c r="BB62" s="11" t="str">
        <x:f aca="0">""</x:f>
      </x:c>
      <x:c r="BC62" s="11" t="n">
        <x:f aca="0">0</x:f>
        <x:v>0</x:v>
      </x:c>
      <x:c r="BD62" s="11" t="str">
        <x:f aca="0">""</x:f>
      </x:c>
      <x:c r="BE62" s="19" t="str">
        <x:f aca="0">"N/A"</x:f>
        <x:v>N/A</x:v>
      </x:c>
      <x:c r="BF62" s="19" t="str">
        <x:f aca="0">""</x:f>
      </x:c>
    </x:row>
    <x:row r="63" ht="46.25" hidden="0">
      <x:c r="A63" s="3" t="n">
        <x:v>59</x:v>
      </x:c>
      <x:c r="B63" s="53" t="n">
        <x:v>46263</x:v>
      </x:c>
      <x:c r="C63" s="3" t="s">
        <x:v>666</x:v>
      </x:c>
      <x:c r="D63" s="3" t="s">
        <x:v>667</x:v>
      </x:c>
      <x:c r="E63" s="3" t="s">
        <x:v>672</x:v>
      </x:c>
      <x:c r="F63" s="3" t="s">
        <x:v>673</x:v>
      </x:c>
      <x:c r="G63" s="3" t="s">
        <x:v>409</x:v>
      </x:c>
      <x:c r="H63" s="3" t="s">
        <x:v>410</x:v>
      </x:c>
      <x:c r="I63" s="3" t="s">
        <x:v>670</x:v>
      </x:c>
      <x:c r="J63" s="3"/>
      <x:c r="K63" s="3"/>
      <x:c r="L63" s="54" t="n">
        <x:v>1.22962232824427</x:v>
      </x:c>
      <x:c r="M63" s="54" t="n">
        <x:v>0.730377671755725</x:v>
      </x:c>
      <x:c r="N63" s="12" t="n">
        <x:v>0.32</x:v>
      </x:c>
      <x:c r="O63" s="12" t="n">
        <x:v>0.49</x:v>
      </x:c>
      <x:c r="P63" s="12" t="n">
        <x:v>0.19</x:v>
      </x:c>
      <x:c r="Q63" s="3" t="str">
        <x:f aca="0">"X"</x:f>
        <x:v>X</x:v>
      </x:c>
      <x:c r="R63" s="3" t="s">
        <x:v>672</x:v>
      </x:c>
      <x:c r="S63" s="3" t="str">
        <x:f aca="0">"Sepsi"</x:f>
        <x:v>Sepsi</x:v>
      </x:c>
      <x:c r="T63" s="3"/>
      <x:c r="U63" s="3"/>
      <x:c r="V63" s="3"/>
      <x:c r="W63" s="12"/>
      <x:c r="X63" s="12"/>
      <x:c r="Y63" s="12"/>
      <x:c r="Z63" s="13" t="n">
        <x:v>69</x:v>
      </x:c>
      <x:c r="AA63" s="3" t="s">
        <x:v>426</x:v>
      </x:c>
      <x:c r="AB63" s="54"/>
      <x:c r="AC63" s="54"/>
      <x:c r="AD63" s="54"/>
      <x:c r="AE63" s="3"/>
      <x:c r="AF63" s="3"/>
      <x:c r="AG63" s="54"/>
      <x:c r="AH63" s="12"/>
      <x:c r="AI63" s="12" t="n">
        <x:v>0.04</x:v>
      </x:c>
      <x:c r="AJ63" s="12"/>
      <x:c r="AK63" s="12"/>
      <x:c r="AL63" s="19" t="s">
        <x:v>427</x:v>
      </x:c>
      <x:c r="AM63" s="3" t="s">
        <x:v>107</x:v>
      </x:c>
      <x:c r="AN63" s="3" t="n">
        <x:v>0</x:v>
      </x:c>
      <x:c r="AO63" s="3" t="n">
        <x:v>1</x:v>
      </x:c>
      <x:c r="AP63" s="3" t="s">
        <x:v>433</x:v>
      </x:c>
      <x:c r="AQ63" s="3" t="s">
        <x:v>412</x:v>
      </x:c>
      <x:c r="AR63" s="3" t="s">
        <x:v>107</x:v>
      </x:c>
      <x:c r="AS63" s="3"/>
      <x:c r="AT63" s="3"/>
      <x:c r="AU63" s="54"/>
      <x:c r="AV63" s="12"/>
      <x:c r="AW63" s="3" t="s">
        <x:v>439</x:v>
      </x:c>
      <x:c r="AX63" s="3" t="s">
        <x:v>674</x:v>
      </x:c>
      <x:c r="AY63" s="3" t="s">
        <x:v>498</x:v>
      </x:c>
      <x:c r="AZ63" s="3" t="s">
        <x:v>422</x:v>
      </x:c>
      <x:c r="BA63" s="3" t="s">
        <x:v>423</x:v>
      </x:c>
      <x:c r="BB63" s="11" t="str">
        <x:f aca="0">""</x:f>
      </x:c>
      <x:c r="BC63" s="11" t="n">
        <x:f aca="0">0</x:f>
        <x:v>0</x:v>
      </x:c>
      <x:c r="BD63" s="11" t="str">
        <x:f aca="0">""</x:f>
      </x:c>
      <x:c r="BE63" s="19" t="str">
        <x:f aca="0">"N/A"</x:f>
        <x:v>N/A</x:v>
      </x:c>
      <x:c r="BF63" s="19" t="str">
        <x:f aca="0">""</x:f>
      </x:c>
    </x:row>
    <x:row r="64" ht="46.25" hidden="0">
      <x:c r="A64" s="3" t="n">
        <x:v>60</x:v>
      </x:c>
      <x:c r="B64" s="53" t="n">
        <x:v>46263</x:v>
      </x:c>
      <x:c r="C64" s="3" t="s">
        <x:v>666</x:v>
      </x:c>
      <x:c r="D64" s="3" t="s">
        <x:v>667</x:v>
      </x:c>
      <x:c r="E64" s="3" t="s">
        <x:v>675</x:v>
      </x:c>
      <x:c r="F64" s="3" t="s">
        <x:v>676</x:v>
      </x:c>
      <x:c r="G64" s="3" t="s">
        <x:v>409</x:v>
      </x:c>
      <x:c r="H64" s="3" t="s">
        <x:v>410</x:v>
      </x:c>
      <x:c r="I64" s="3" t="s">
        <x:v>670</x:v>
      </x:c>
      <x:c r="J64" s="3"/>
      <x:c r="K64" s="3"/>
      <x:c r="L64" s="54" t="n">
        <x:v>0.338128020061055</x:v>
      </x:c>
      <x:c r="M64" s="54" t="n">
        <x:v>0.661871979938945</x:v>
      </x:c>
      <x:c r="N64" s="12" t="n">
        <x:v>0.3</x:v>
      </x:c>
      <x:c r="O64" s="12" t="n">
        <x:v>0.34</x:v>
      </x:c>
      <x:c r="P64" s="12" t="n">
        <x:v>0.36</x:v>
      </x:c>
      <x:c r="Q64" s="3" t="str">
        <x:f aca="0">"2"</x:f>
        <x:v>2</x:v>
      </x:c>
      <x:c r="R64" s="3" t="s">
        <x:v>676</x:v>
      </x:c>
      <x:c r="S64" s="3" t="str">
        <x:f aca="0">"Corvinul"</x:f>
        <x:v>Corvinul</x:v>
      </x:c>
      <x:c r="T64" s="3"/>
      <x:c r="U64" s="3"/>
      <x:c r="V64" s="3"/>
      <x:c r="W64" s="12"/>
      <x:c r="X64" s="12"/>
      <x:c r="Y64" s="12"/>
      <x:c r="Z64" s="13" t="n">
        <x:v>66</x:v>
      </x:c>
      <x:c r="AA64" s="3" t="s">
        <x:v>426</x:v>
      </x:c>
      <x:c r="AB64" s="54"/>
      <x:c r="AC64" s="54"/>
      <x:c r="AD64" s="54"/>
      <x:c r="AE64" s="3"/>
      <x:c r="AF64" s="3"/>
      <x:c r="AG64" s="54"/>
      <x:c r="AH64" s="12"/>
      <x:c r="AI64" s="12" t="n">
        <x:v>0.04</x:v>
      </x:c>
      <x:c r="AJ64" s="12"/>
      <x:c r="AK64" s="12"/>
      <x:c r="AL64" s="19" t="s">
        <x:v>427</x:v>
      </x:c>
      <x:c r="AM64" s="3" t="s">
        <x:v>107</x:v>
      </x:c>
      <x:c r="AN64" s="3" t="n">
        <x:v>1</x:v>
      </x:c>
      <x:c r="AO64" s="3" t="n">
        <x:v>1</x:v>
      </x:c>
      <x:c r="AP64" s="3" t="s">
        <x:v>428</x:v>
      </x:c>
      <x:c r="AQ64" s="3" t="s">
        <x:v>417</x:v>
      </x:c>
      <x:c r="AR64" s="3" t="s">
        <x:v>107</x:v>
      </x:c>
      <x:c r="AS64" s="3"/>
      <x:c r="AT64" s="3"/>
      <x:c r="AU64" s="54"/>
      <x:c r="AV64" s="12"/>
      <x:c r="AW64" s="3" t="s">
        <x:v>429</x:v>
      </x:c>
      <x:c r="AX64" s="3" t="s">
        <x:v>677</x:v>
      </x:c>
      <x:c r="AY64" s="3" t="s">
        <x:v>498</x:v>
      </x:c>
      <x:c r="AZ64" s="3" t="s">
        <x:v>422</x:v>
      </x:c>
      <x:c r="BA64" s="3" t="s">
        <x:v>423</x:v>
      </x:c>
      <x:c r="BB64" s="11" t="str">
        <x:f aca="0">""</x:f>
      </x:c>
      <x:c r="BC64" s="11" t="n">
        <x:f aca="0">0</x:f>
        <x:v>0</x:v>
      </x:c>
      <x:c r="BD64" s="11" t="str">
        <x:f aca="0">""</x:f>
      </x:c>
      <x:c r="BE64" s="19" t="str">
        <x:f aca="0">"N/A"</x:f>
        <x:v>N/A</x:v>
      </x:c>
      <x:c r="BF64" s="19" t="str">
        <x:f aca="0">""</x:f>
      </x:c>
    </x:row>
    <x:row r="65" ht="57.45000076293945" hidden="0">
      <x:c r="A65" s="3" t="n">
        <x:v>61</x:v>
      </x:c>
      <x:c r="B65" s="53" t="n">
        <x:v>46263</x:v>
      </x:c>
      <x:c r="C65" s="3" t="s">
        <x:v>678</x:v>
      </x:c>
      <x:c r="D65" s="3" t="s">
        <x:v>679</x:v>
      </x:c>
      <x:c r="E65" s="3" t="s">
        <x:v>680</x:v>
      </x:c>
      <x:c r="F65" s="3" t="s">
        <x:v>681</x:v>
      </x:c>
      <x:c r="G65" s="3" t="s">
        <x:v>409</x:v>
      </x:c>
      <x:c r="H65" s="3" t="s">
        <x:v>410</x:v>
      </x:c>
      <x:c r="I65" s="3" t="s">
        <x:v>682</x:v>
      </x:c>
      <x:c r="J65" s="3"/>
      <x:c r="K65" s="3"/>
      <x:c r="L65" s="54" t="n">
        <x:v>2.07593017802866</x:v>
      </x:c>
      <x:c r="M65" s="54" t="n">
        <x:v>1.82406982197134</x:v>
      </x:c>
      <x:c r="N65" s="12" t="n">
        <x:v>0.43</x:v>
      </x:c>
      <x:c r="O65" s="12" t="n">
        <x:v>0.3</x:v>
      </x:c>
      <x:c r="P65" s="12" t="n">
        <x:v>0.27</x:v>
      </x:c>
      <x:c r="Q65" s="3" t="str">
        <x:f aca="0">"1"</x:f>
        <x:v>1</x:v>
      </x:c>
      <x:c r="R65" s="3" t="s">
        <x:v>680</x:v>
      </x:c>
      <x:c r="S65" s="3" t="str">
        <x:f aca="0">"Paks"</x:f>
        <x:v>Paks</x:v>
      </x:c>
      <x:c r="T65" s="3"/>
      <x:c r="U65" s="3"/>
      <x:c r="V65" s="3"/>
      <x:c r="W65" s="12"/>
      <x:c r="X65" s="12"/>
      <x:c r="Y65" s="12"/>
      <x:c r="Z65" s="13" t="n">
        <x:v>65</x:v>
      </x:c>
      <x:c r="AA65" s="3" t="s">
        <x:v>426</x:v>
      </x:c>
      <x:c r="AB65" s="54"/>
      <x:c r="AC65" s="54"/>
      <x:c r="AD65" s="54"/>
      <x:c r="AE65" s="3"/>
      <x:c r="AF65" s="3"/>
      <x:c r="AG65" s="54"/>
      <x:c r="AH65" s="12"/>
      <x:c r="AI65" s="12" t="n">
        <x:v>0.04</x:v>
      </x:c>
      <x:c r="AJ65" s="12"/>
      <x:c r="AK65" s="12"/>
      <x:c r="AL65" s="19" t="s">
        <x:v>427</x:v>
      </x:c>
      <x:c r="AM65" s="3" t="s">
        <x:v>107</x:v>
      </x:c>
      <x:c r="AN65" s="3" t="n">
        <x:v>1</x:v>
      </x:c>
      <x:c r="AO65" s="3" t="n">
        <x:v>1</x:v>
      </x:c>
      <x:c r="AP65" s="3" t="s">
        <x:v>428</x:v>
      </x:c>
      <x:c r="AQ65" s="3" t="s">
        <x:v>417</x:v>
      </x:c>
      <x:c r="AR65" s="3" t="s">
        <x:v>107</x:v>
      </x:c>
      <x:c r="AS65" s="3"/>
      <x:c r="AT65" s="3"/>
      <x:c r="AU65" s="54"/>
      <x:c r="AV65" s="12"/>
      <x:c r="AW65" s="3" t="s">
        <x:v>429</x:v>
      </x:c>
      <x:c r="AX65" s="3" t="s">
        <x:v>683</x:v>
      </x:c>
      <x:c r="AY65" s="3" t="s">
        <x:v>498</x:v>
      </x:c>
      <x:c r="AZ65" s="3" t="s">
        <x:v>422</x:v>
      </x:c>
      <x:c r="BA65" s="3" t="s">
        <x:v>423</x:v>
      </x:c>
      <x:c r="BB65" s="11" t="str">
        <x:f aca="0">""</x:f>
      </x:c>
      <x:c r="BC65" s="11" t="n">
        <x:f aca="0">0</x:f>
        <x:v>0</x:v>
      </x:c>
      <x:c r="BD65" s="11" t="str">
        <x:f aca="0">""</x:f>
      </x:c>
      <x:c r="BE65" s="19" t="str">
        <x:f aca="0">"N/A"</x:f>
        <x:v>N/A</x:v>
      </x:c>
      <x:c r="BF65" s="19" t="str">
        <x:f aca="0">""</x:f>
      </x:c>
    </x:row>
    <x:row r="66" ht="57.45000076293945" hidden="0">
      <x:c r="A66" s="3" t="n">
        <x:v>62</x:v>
      </x:c>
      <x:c r="B66" s="53" t="n">
        <x:v>46263</x:v>
      </x:c>
      <x:c r="C66" s="3" t="s">
        <x:v>678</x:v>
      </x:c>
      <x:c r="D66" s="3" t="s">
        <x:v>679</x:v>
      </x:c>
      <x:c r="E66" s="3" t="s">
        <x:v>684</x:v>
      </x:c>
      <x:c r="F66" s="3" t="s">
        <x:v>685</x:v>
      </x:c>
      <x:c r="G66" s="3" t="s">
        <x:v>409</x:v>
      </x:c>
      <x:c r="H66" s="3" t="s">
        <x:v>410</x:v>
      </x:c>
      <x:c r="I66" s="3" t="s">
        <x:v>682</x:v>
      </x:c>
      <x:c r="J66" s="3"/>
      <x:c r="K66" s="3"/>
      <x:c r="L66" s="54" t="n">
        <x:v>2.10911540893761</x:v>
      </x:c>
      <x:c r="M66" s="54" t="n">
        <x:v>1.34088459106239</x:v>
      </x:c>
      <x:c r="N66" s="12" t="n">
        <x:v>0.53</x:v>
      </x:c>
      <x:c r="O66" s="12" t="n">
        <x:v>0.29</x:v>
      </x:c>
      <x:c r="P66" s="12" t="n">
        <x:v>0.18</x:v>
      </x:c>
      <x:c r="Q66" s="3" t="str">
        <x:f aca="0">"1"</x:f>
        <x:v>1</x:v>
      </x:c>
      <x:c r="R66" s="3" t="s">
        <x:v>684</x:v>
      </x:c>
      <x:c r="S66" s="3" t="str">
        <x:f aca="0">"Zalaegerszeg"</x:f>
        <x:v>Zalaegerszeg</x:v>
      </x:c>
      <x:c r="T66" s="3"/>
      <x:c r="U66" s="3"/>
      <x:c r="V66" s="3"/>
      <x:c r="W66" s="12"/>
      <x:c r="X66" s="12"/>
      <x:c r="Y66" s="12"/>
      <x:c r="Z66" s="13" t="n">
        <x:v>74</x:v>
      </x:c>
      <x:c r="AA66" s="3" t="s">
        <x:v>426</x:v>
      </x:c>
      <x:c r="AB66" s="54"/>
      <x:c r="AC66" s="54"/>
      <x:c r="AD66" s="54"/>
      <x:c r="AE66" s="3"/>
      <x:c r="AF66" s="3"/>
      <x:c r="AG66" s="54"/>
      <x:c r="AH66" s="12"/>
      <x:c r="AI66" s="12" t="n">
        <x:v>0.04</x:v>
      </x:c>
      <x:c r="AJ66" s="12"/>
      <x:c r="AK66" s="12"/>
      <x:c r="AL66" s="19" t="s">
        <x:v>427</x:v>
      </x:c>
      <x:c r="AM66" s="3" t="s">
        <x:v>107</x:v>
      </x:c>
      <x:c r="AN66" s="3" t="n">
        <x:v>1</x:v>
      </x:c>
      <x:c r="AO66" s="3" t="n">
        <x:v>0</x:v>
      </x:c>
      <x:c r="AP66" s="3" t="s">
        <x:v>478</x:v>
      </x:c>
      <x:c r="AQ66" s="3" t="s">
        <x:v>446</x:v>
      </x:c>
      <x:c r="AR66" s="3" t="s">
        <x:v>102</x:v>
      </x:c>
      <x:c r="AS66" s="3"/>
      <x:c r="AT66" s="3"/>
      <x:c r="AU66" s="54"/>
      <x:c r="AV66" s="12"/>
      <x:c r="AW66" s="3" t="s">
        <x:v>434</x:v>
      </x:c>
      <x:c r="AX66" s="3" t="s">
        <x:v>686</x:v>
      </x:c>
      <x:c r="AY66" s="3" t="s">
        <x:v>498</x:v>
      </x:c>
      <x:c r="AZ66" s="3" t="s">
        <x:v>422</x:v>
      </x:c>
      <x:c r="BA66" s="3" t="s">
        <x:v>423</x:v>
      </x:c>
      <x:c r="BB66" s="11" t="str">
        <x:f aca="0">""</x:f>
      </x:c>
      <x:c r="BC66" s="11" t="n">
        <x:f aca="0">0</x:f>
        <x:v>0</x:v>
      </x:c>
      <x:c r="BD66" s="11" t="str">
        <x:f aca="0">""</x:f>
      </x:c>
      <x:c r="BE66" s="19" t="str">
        <x:f aca="0">"N/A"</x:f>
        <x:v>N/A</x:v>
      </x:c>
      <x:c r="BF66" s="19" t="str">
        <x:f aca="0">""</x:f>
      </x:c>
    </x:row>
    <x:row r="67" ht="57.45000076293945" hidden="0">
      <x:c r="A67" s="3" t="n">
        <x:v>63</x:v>
      </x:c>
      <x:c r="B67" s="53" t="n">
        <x:v>46263</x:v>
      </x:c>
      <x:c r="C67" s="3" t="s">
        <x:v>678</x:v>
      </x:c>
      <x:c r="D67" s="3" t="s">
        <x:v>679</x:v>
      </x:c>
      <x:c r="E67" s="3" t="s">
        <x:v>687</x:v>
      </x:c>
      <x:c r="F67" s="3" t="s">
        <x:v>688</x:v>
      </x:c>
      <x:c r="G67" s="3" t="s">
        <x:v>409</x:v>
      </x:c>
      <x:c r="H67" s="3" t="s">
        <x:v>410</x:v>
      </x:c>
      <x:c r="I67" s="3" t="s">
        <x:v>682</x:v>
      </x:c>
      <x:c r="J67" s="3"/>
      <x:c r="K67" s="3"/>
      <x:c r="L67" s="54" t="n">
        <x:v>1.55987074468085</x:v>
      </x:c>
      <x:c r="M67" s="54" t="n">
        <x:v>1.32012925531915</x:v>
      </x:c>
      <x:c r="N67" s="12" t="n">
        <x:v>0.3</x:v>
      </x:c>
      <x:c r="O67" s="12" t="n">
        <x:v>0.41</x:v>
      </x:c>
      <x:c r="P67" s="12" t="n">
        <x:v>0.29</x:v>
      </x:c>
      <x:c r="Q67" s="3" t="str">
        <x:f aca="0">"X"</x:f>
        <x:v>X</x:v>
      </x:c>
      <x:c r="R67" s="3" t="s">
        <x:v>687</x:v>
      </x:c>
      <x:c r="S67" s="3" t="str">
        <x:f aca="0">"Vasas"</x:f>
        <x:v>Vasas</x:v>
      </x:c>
      <x:c r="T67" s="3"/>
      <x:c r="U67" s="3"/>
      <x:c r="V67" s="3"/>
      <x:c r="W67" s="12"/>
      <x:c r="X67" s="12"/>
      <x:c r="Y67" s="12"/>
      <x:c r="Z67" s="13" t="n">
        <x:v>64</x:v>
      </x:c>
      <x:c r="AA67" s="3" t="s">
        <x:v>426</x:v>
      </x:c>
      <x:c r="AB67" s="54"/>
      <x:c r="AC67" s="54"/>
      <x:c r="AD67" s="54"/>
      <x:c r="AE67" s="3"/>
      <x:c r="AF67" s="3"/>
      <x:c r="AG67" s="54"/>
      <x:c r="AH67" s="12"/>
      <x:c r="AI67" s="12" t="n">
        <x:v>0.04</x:v>
      </x:c>
      <x:c r="AJ67" s="12"/>
      <x:c r="AK67" s="12"/>
      <x:c r="AL67" s="19" t="s">
        <x:v>427</x:v>
      </x:c>
      <x:c r="AM67" s="3" t="s">
        <x:v>107</x:v>
      </x:c>
      <x:c r="AN67" s="3" t="n">
        <x:v>3</x:v>
      </x:c>
      <x:c r="AO67" s="3" t="n">
        <x:v>1</x:v>
      </x:c>
      <x:c r="AP67" s="3" t="s">
        <x:v>455</x:v>
      </x:c>
      <x:c r="AQ67" s="3" t="s">
        <x:v>446</x:v>
      </x:c>
      <x:c r="AR67" s="3" t="s">
        <x:v>107</x:v>
      </x:c>
      <x:c r="AS67" s="3"/>
      <x:c r="AT67" s="3"/>
      <x:c r="AU67" s="54"/>
      <x:c r="AV67" s="12"/>
      <x:c r="AW67" s="3" t="s">
        <x:v>439</x:v>
      </x:c>
      <x:c r="AX67" s="3" t="s">
        <x:v>689</x:v>
      </x:c>
      <x:c r="AY67" s="3" t="s">
        <x:v>498</x:v>
      </x:c>
      <x:c r="AZ67" s="3" t="s">
        <x:v>422</x:v>
      </x:c>
      <x:c r="BA67" s="3" t="s">
        <x:v>423</x:v>
      </x:c>
      <x:c r="BB67" s="11" t="str">
        <x:f aca="0">""</x:f>
      </x:c>
      <x:c r="BC67" s="11" t="n">
        <x:f aca="0">0</x:f>
        <x:v>0</x:v>
      </x:c>
      <x:c r="BD67" s="11" t="str">
        <x:f aca="0">""</x:f>
      </x:c>
      <x:c r="BE67" s="19" t="str">
        <x:f aca="0">"N/A"</x:f>
        <x:v>N/A</x:v>
      </x:c>
      <x:c r="BF67" s="19" t="str">
        <x:f aca="0">""</x:f>
      </x:c>
    </x:row>
    <x:row r="68" ht="57.45000076293945" hidden="0">
      <x:c r="A68" s="3" t="n">
        <x:v>64</x:v>
      </x:c>
      <x:c r="B68" s="53" t="n">
        <x:v>46263</x:v>
      </x:c>
      <x:c r="C68" s="3" t="s">
        <x:v>690</x:v>
      </x:c>
      <x:c r="D68" s="3" t="s">
        <x:v>691</x:v>
      </x:c>
      <x:c r="E68" s="3" t="s">
        <x:v>692</x:v>
      </x:c>
      <x:c r="F68" s="3" t="s">
        <x:v>693</x:v>
      </x:c>
      <x:c r="G68" s="3" t="s">
        <x:v>409</x:v>
      </x:c>
      <x:c r="H68" s="3" t="s">
        <x:v>579</x:v>
      </x:c>
      <x:c r="I68" s="3" t="s">
        <x:v>694</x:v>
      </x:c>
      <x:c r="J68" s="3"/>
      <x:c r="K68" s="3"/>
      <x:c r="L68" s="54" t="n">
        <x:v>1.64949698648977</x:v>
      </x:c>
      <x:c r="M68" s="54" t="n">
        <x:v>1.87050301351023</x:v>
      </x:c>
      <x:c r="N68" s="12" t="n">
        <x:v>0.33</x:v>
      </x:c>
      <x:c r="O68" s="12" t="n">
        <x:v>0.24</x:v>
      </x:c>
      <x:c r="P68" s="12" t="n">
        <x:v>0.43</x:v>
      </x:c>
      <x:c r="Q68" s="3" t="str">
        <x:f aca="0">"2"</x:f>
        <x:v>2</x:v>
      </x:c>
      <x:c r="R68" s="3" t="s">
        <x:v>693</x:v>
      </x:c>
      <x:c r="S68" s="3" t="str">
        <x:f aca="0">"Vålerenga"</x:f>
        <x:v>Vålerenga</x:v>
      </x:c>
      <x:c r="T68" s="3"/>
      <x:c r="U68" s="3"/>
      <x:c r="V68" s="3"/>
      <x:c r="W68" s="12"/>
      <x:c r="X68" s="12"/>
      <x:c r="Y68" s="12"/>
      <x:c r="Z68" s="13" t="n">
        <x:v>64</x:v>
      </x:c>
      <x:c r="AA68" s="3" t="s">
        <x:v>426</x:v>
      </x:c>
      <x:c r="AB68" s="54"/>
      <x:c r="AC68" s="54"/>
      <x:c r="AD68" s="54"/>
      <x:c r="AE68" s="3"/>
      <x:c r="AF68" s="3"/>
      <x:c r="AG68" s="54"/>
      <x:c r="AH68" s="12"/>
      <x:c r="AI68" s="12" t="n">
        <x:v>0.04</x:v>
      </x:c>
      <x:c r="AJ68" s="12"/>
      <x:c r="AK68" s="12"/>
      <x:c r="AL68" s="19" t="s">
        <x:v>427</x:v>
      </x:c>
      <x:c r="AM68" s="3" t="s">
        <x:v>107</x:v>
      </x:c>
      <x:c r="AN68" s="3"/>
      <x:c r="AO68" s="3"/>
      <x:c r="AP68" s="3"/>
      <x:c r="AQ68" s="3"/>
      <x:c r="AR68" s="3"/>
      <x:c r="AS68" s="3"/>
      <x:c r="AT68" s="3"/>
      <x:c r="AU68" s="54"/>
      <x:c r="AV68" s="12"/>
      <x:c r="AW68" s="3" t="s">
        <x:v>695</x:v>
      </x:c>
      <x:c r="AX68" s="3" t="s">
        <x:v>696</x:v>
      </x:c>
      <x:c r="AY68" s="3" t="s">
        <x:v>697</x:v>
      </x:c>
      <x:c r="AZ68" s="3" t="s">
        <x:v>698</x:v>
      </x:c>
      <x:c r="BA68" s="3" t="s">
        <x:v>423</x:v>
      </x:c>
      <x:c r="BB68" s="11" t="str">
        <x:f aca="0">""</x:f>
      </x:c>
      <x:c r="BC68" s="11" t="n">
        <x:f aca="0">0</x:f>
        <x:v>0</x:v>
      </x:c>
      <x:c r="BD68" s="11" t="str">
        <x:f aca="0">""</x:f>
      </x:c>
      <x:c r="BE68" s="19" t="str">
        <x:f aca="0">"N/A"</x:f>
        <x:v>N/A</x:v>
      </x:c>
      <x:c r="BF68" s="19" t="str">
        <x:f aca="0">""</x:f>
      </x:c>
    </x:row>
    <x:row r="69" ht="57.45000076293945" hidden="0">
      <x:c r="A69" s="3" t="n">
        <x:v>65</x:v>
      </x:c>
      <x:c r="B69" s="53" t="n">
        <x:v>46263</x:v>
      </x:c>
      <x:c r="C69" s="3" t="s">
        <x:v>690</x:v>
      </x:c>
      <x:c r="D69" s="3" t="s">
        <x:v>691</x:v>
      </x:c>
      <x:c r="E69" s="3" t="s">
        <x:v>699</x:v>
      </x:c>
      <x:c r="F69" s="3" t="s">
        <x:v>700</x:v>
      </x:c>
      <x:c r="G69" s="3" t="s">
        <x:v>409</x:v>
      </x:c>
      <x:c r="H69" s="3" t="s">
        <x:v>579</x:v>
      </x:c>
      <x:c r="I69" s="3" t="s">
        <x:v>694</x:v>
      </x:c>
      <x:c r="J69" s="3"/>
      <x:c r="K69" s="3"/>
      <x:c r="L69" s="54" t="n">
        <x:v>2.33455502353514</x:v>
      </x:c>
      <x:c r="M69" s="54" t="n">
        <x:v>0.40544497646486</x:v>
      </x:c>
      <x:c r="N69" s="12" t="n">
        <x:v>0.62</x:v>
      </x:c>
      <x:c r="O69" s="12" t="n">
        <x:v>0.27</x:v>
      </x:c>
      <x:c r="P69" s="12" t="n">
        <x:v>0.12</x:v>
      </x:c>
      <x:c r="Q69" s="3" t="str">
        <x:f aca="0">"1"</x:f>
        <x:v>1</x:v>
      </x:c>
      <x:c r="R69" s="3" t="s">
        <x:v>699</x:v>
      </x:c>
      <x:c r="S69" s="3" t="str">
        <x:f aca="0">"Aalesund"</x:f>
        <x:v>Aalesund</x:v>
      </x:c>
      <x:c r="T69" s="3" t="n">
        <x:v>-4</x:v>
      </x:c>
      <x:c r="U69" s="3" t="s">
        <x:v>412</x:v>
      </x:c>
      <x:c r="V69" s="3" t="s">
        <x:v>701</x:v>
      </x:c>
      <x:c r="W69" s="12" t="n">
        <x:v>0.835954628971713</x:v>
      </x:c>
      <x:c r="X69" s="12" t="n">
        <x:v>0.0962944896607808</x:v>
      </x:c>
      <x:c r="Y69" s="12" t="n">
        <x:v>0.0677508813675059</x:v>
      </x:c>
      <x:c r="Z69" s="13" t="n">
        <x:v>90</x:v>
      </x:c>
      <x:c r="AA69" s="3" t="s">
        <x:v>426</x:v>
      </x:c>
      <x:c r="AB69" s="54" t="n">
        <x:v>1.1962371704671</x:v>
      </x:c>
      <x:c r="AC69" s="54" t="n">
        <x:v>1.29193614410447</x:v>
      </x:c>
      <x:c r="AD69" s="54"/>
      <x:c r="AE69" s="3"/>
      <x:c r="AF69" s="3"/>
      <x:c r="AG69" s="54"/>
      <x:c r="AH69" s="12"/>
      <x:c r="AI69" s="12" t="n">
        <x:v>0.04</x:v>
      </x:c>
      <x:c r="AJ69" s="12"/>
      <x:c r="AK69" s="12"/>
      <x:c r="AL69" s="19" t="s">
        <x:v>702</x:v>
      </x:c>
      <x:c r="AM69" s="3" t="s">
        <x:v>107</x:v>
      </x:c>
      <x:c r="AN69" s="3"/>
      <x:c r="AO69" s="3"/>
      <x:c r="AP69" s="3"/>
      <x:c r="AQ69" s="3"/>
      <x:c r="AR69" s="3"/>
      <x:c r="AS69" s="3"/>
      <x:c r="AT69" s="3"/>
      <x:c r="AU69" s="54"/>
      <x:c r="AV69" s="12"/>
      <x:c r="AW69" s="3" t="s">
        <x:v>695</x:v>
      </x:c>
      <x:c r="AX69" s="3" t="s">
        <x:v>703</x:v>
      </x:c>
      <x:c r="AY69" s="3" t="s">
        <x:v>704</x:v>
      </x:c>
      <x:c r="AZ69" s="3" t="s">
        <x:v>698</x:v>
      </x:c>
      <x:c r="BA69" s="3" t="s">
        <x:v>423</x:v>
      </x:c>
      <x:c r="BB69" s="11" t="n">
        <x:f aca="0">0.03</x:f>
        <x:v>0.03</x:v>
      </x:c>
      <x:c r="BC69" s="11" t="n">
        <x:f aca="0">0.06629448966078084</x:f>
        <x:v>0.06629448966078084</x:v>
      </x:c>
      <x:c r="BD69" s="11" t="str">
        <x:f aca="0">""</x:f>
      </x:c>
      <x:c r="BE69" s="19" t="str">
        <x:f aca="0">"NO BET – +4 STRICT"</x:f>
        <x:v>NO BET – +4 STRICT</x:v>
      </x:c>
      <x:c r="BF69" s="19" t="str">
        <x:f aca="0">""</x:f>
      </x:c>
    </x:row>
    <x:row r="70" ht="57.45000076293945" hidden="0">
      <x:c r="A70" s="3" t="n">
        <x:v>66</x:v>
      </x:c>
      <x:c r="B70" s="53" t="n">
        <x:v>46263</x:v>
      </x:c>
      <x:c r="C70" s="3" t="s">
        <x:v>705</x:v>
      </x:c>
      <x:c r="D70" s="3" t="s">
        <x:v>492</x:v>
      </x:c>
      <x:c r="E70" s="3" t="s">
        <x:v>706</x:v>
      </x:c>
      <x:c r="F70" s="3" t="s">
        <x:v>707</x:v>
      </x:c>
      <x:c r="G70" s="3" t="s">
        <x:v>409</x:v>
      </x:c>
      <x:c r="H70" s="3" t="s">
        <x:v>410</x:v>
      </x:c>
      <x:c r="I70" s="3" t="s">
        <x:v>708</x:v>
      </x:c>
      <x:c r="J70" s="3"/>
      <x:c r="K70" s="3"/>
      <x:c r="L70" s="54" t="n">
        <x:v>1.59068089430894</x:v>
      </x:c>
      <x:c r="M70" s="54" t="n">
        <x:v>0.959319105691057</x:v>
      </x:c>
      <x:c r="N70" s="12" t="n">
        <x:v>0.44</x:v>
      </x:c>
      <x:c r="O70" s="12" t="n">
        <x:v>0.27</x:v>
      </x:c>
      <x:c r="P70" s="12" t="n">
        <x:v>0.28</x:v>
      </x:c>
      <x:c r="Q70" s="3" t="str">
        <x:f aca="0">"1"</x:f>
        <x:v>1</x:v>
      </x:c>
      <x:c r="R70" s="3" t="s">
        <x:v>706</x:v>
      </x:c>
      <x:c r="S70" s="3" t="str">
        <x:f aca="0">"Iraklis"</x:f>
        <x:v>Iraklis</x:v>
      </x:c>
      <x:c r="T70" s="3"/>
      <x:c r="U70" s="3"/>
      <x:c r="V70" s="3"/>
      <x:c r="W70" s="12"/>
      <x:c r="X70" s="12"/>
      <x:c r="Y70" s="12"/>
      <x:c r="Z70" s="13" t="n">
        <x:v>71</x:v>
      </x:c>
      <x:c r="AA70" s="3" t="s">
        <x:v>426</x:v>
      </x:c>
      <x:c r="AB70" s="54"/>
      <x:c r="AC70" s="54"/>
      <x:c r="AD70" s="54"/>
      <x:c r="AE70" s="3"/>
      <x:c r="AF70" s="3"/>
      <x:c r="AG70" s="54"/>
      <x:c r="AH70" s="12"/>
      <x:c r="AI70" s="12" t="n">
        <x:v>0.04</x:v>
      </x:c>
      <x:c r="AJ70" s="12"/>
      <x:c r="AK70" s="12"/>
      <x:c r="AL70" s="19" t="s">
        <x:v>427</x:v>
      </x:c>
      <x:c r="AM70" s="3" t="s">
        <x:v>107</x:v>
      </x:c>
      <x:c r="AN70" s="3" t="n">
        <x:v>1</x:v>
      </x:c>
      <x:c r="AO70" s="3" t="n">
        <x:v>1</x:v>
      </x:c>
      <x:c r="AP70" s="3" t="s">
        <x:v>428</x:v>
      </x:c>
      <x:c r="AQ70" s="3" t="s">
        <x:v>417</x:v>
      </x:c>
      <x:c r="AR70" s="3" t="s">
        <x:v>107</x:v>
      </x:c>
      <x:c r="AS70" s="3"/>
      <x:c r="AT70" s="3"/>
      <x:c r="AU70" s="54"/>
      <x:c r="AV70" s="12"/>
      <x:c r="AW70" s="3" t="s">
        <x:v>429</x:v>
      </x:c>
      <x:c r="AX70" s="3" t="s">
        <x:v>709</x:v>
      </x:c>
      <x:c r="AY70" s="3" t="s">
        <x:v>498</x:v>
      </x:c>
      <x:c r="AZ70" s="3" t="s">
        <x:v>422</x:v>
      </x:c>
      <x:c r="BA70" s="3" t="s">
        <x:v>423</x:v>
      </x:c>
      <x:c r="BB70" s="11" t="str">
        <x:f aca="0">""</x:f>
      </x:c>
      <x:c r="BC70" s="11" t="n">
        <x:f aca="0">0</x:f>
        <x:v>0</x:v>
      </x:c>
      <x:c r="BD70" s="11" t="str">
        <x:f aca="0">""</x:f>
      </x:c>
      <x:c r="BE70" s="19" t="str">
        <x:f aca="0">"N/A"</x:f>
        <x:v>N/A</x:v>
      </x:c>
      <x:c r="BF70" s="19" t="str">
        <x:f aca="0">""</x:f>
      </x:c>
    </x:row>
    <x:row r="71" ht="57.45000076293945" hidden="0">
      <x:c r="A71" s="3" t="n">
        <x:v>67</x:v>
      </x:c>
      <x:c r="B71" s="53" t="n">
        <x:v>46263</x:v>
      </x:c>
      <x:c r="C71" s="3" t="s">
        <x:v>705</x:v>
      </x:c>
      <x:c r="D71" s="3" t="s">
        <x:v>492</x:v>
      </x:c>
      <x:c r="E71" s="3" t="s">
        <x:v>710</x:v>
      </x:c>
      <x:c r="F71" s="3" t="s">
        <x:v>711</x:v>
      </x:c>
      <x:c r="G71" s="3" t="s">
        <x:v>409</x:v>
      </x:c>
      <x:c r="H71" s="3" t="s">
        <x:v>410</x:v>
      </x:c>
      <x:c r="I71" s="3" t="s">
        <x:v>708</x:v>
      </x:c>
      <x:c r="J71" s="3"/>
      <x:c r="K71" s="3"/>
      <x:c r="L71" s="54" t="n">
        <x:v>1.64306072422015</x:v>
      </x:c>
      <x:c r="M71" s="54" t="n">
        <x:v>1.39693927577985</x:v>
      </x:c>
      <x:c r="N71" s="12" t="n">
        <x:v>0.33</x:v>
      </x:c>
      <x:c r="O71" s="12" t="n">
        <x:v>0.29</x:v>
      </x:c>
      <x:c r="P71" s="12" t="n">
        <x:v>0.38</x:v>
      </x:c>
      <x:c r="Q71" s="3" t="str">
        <x:f aca="0">"2"</x:f>
        <x:v>2</x:v>
      </x:c>
      <x:c r="R71" s="3" t="s">
        <x:v>710</x:v>
      </x:c>
      <x:c r="S71" s="3" t="str">
        <x:f aca="0">"Kalamata"</x:f>
        <x:v>Kalamata</x:v>
      </x:c>
      <x:c r="T71" s="3"/>
      <x:c r="U71" s="3"/>
      <x:c r="V71" s="3"/>
      <x:c r="W71" s="12"/>
      <x:c r="X71" s="12"/>
      <x:c r="Y71" s="12"/>
      <x:c r="Z71" s="13" t="n">
        <x:v>64</x:v>
      </x:c>
      <x:c r="AA71" s="3" t="s">
        <x:v>426</x:v>
      </x:c>
      <x:c r="AB71" s="54"/>
      <x:c r="AC71" s="54"/>
      <x:c r="AD71" s="54"/>
      <x:c r="AE71" s="3"/>
      <x:c r="AF71" s="3"/>
      <x:c r="AG71" s="54"/>
      <x:c r="AH71" s="12"/>
      <x:c r="AI71" s="12" t="n">
        <x:v>0.04</x:v>
      </x:c>
      <x:c r="AJ71" s="12"/>
      <x:c r="AK71" s="12"/>
      <x:c r="AL71" s="19" t="s">
        <x:v>427</x:v>
      </x:c>
      <x:c r="AM71" s="3" t="s">
        <x:v>107</x:v>
      </x:c>
      <x:c r="AN71" s="3" t="n">
        <x:v>2</x:v>
      </x:c>
      <x:c r="AO71" s="3" t="n">
        <x:v>0</x:v>
      </x:c>
      <x:c r="AP71" s="3" t="s">
        <x:v>589</x:v>
      </x:c>
      <x:c r="AQ71" s="3" t="s">
        <x:v>446</x:v>
      </x:c>
      <x:c r="AR71" s="3" t="s">
        <x:v>107</x:v>
      </x:c>
      <x:c r="AS71" s="3"/>
      <x:c r="AT71" s="3"/>
      <x:c r="AU71" s="54"/>
      <x:c r="AV71" s="12"/>
      <x:c r="AW71" s="3" t="s">
        <x:v>456</x:v>
      </x:c>
      <x:c r="AX71" s="3" t="s">
        <x:v>712</x:v>
      </x:c>
      <x:c r="AY71" s="3" t="s">
        <x:v>713</x:v>
      </x:c>
      <x:c r="AZ71" s="3" t="s">
        <x:v>422</x:v>
      </x:c>
      <x:c r="BA71" s="3" t="s">
        <x:v>423</x:v>
      </x:c>
      <x:c r="BB71" s="11" t="str">
        <x:f aca="0">""</x:f>
      </x:c>
      <x:c r="BC71" s="11" t="n">
        <x:f aca="0">0</x:f>
        <x:v>0</x:v>
      </x:c>
      <x:c r="BD71" s="11" t="str">
        <x:f aca="0">""</x:f>
      </x:c>
      <x:c r="BE71" s="19" t="str">
        <x:f aca="0">"N/A"</x:f>
        <x:v>N/A</x:v>
      </x:c>
      <x:c r="BF71" s="19" t="str">
        <x:f aca="0">""</x:f>
      </x:c>
    </x:row>
    <x:row r="72" ht="57.45000076293945" hidden="0">
      <x:c r="A72" s="3" t="n">
        <x:v>68</x:v>
      </x:c>
      <x:c r="B72" s="53" t="n">
        <x:v>46263</x:v>
      </x:c>
      <x:c r="C72" s="3" t="s">
        <x:v>714</x:v>
      </x:c>
      <x:c r="D72" s="3" t="s">
        <x:v>715</x:v>
      </x:c>
      <x:c r="E72" s="3" t="s">
        <x:v>716</x:v>
      </x:c>
      <x:c r="F72" s="3" t="s">
        <x:v>717</x:v>
      </x:c>
      <x:c r="G72" s="3" t="s">
        <x:v>409</x:v>
      </x:c>
      <x:c r="H72" s="3" t="s">
        <x:v>718</x:v>
      </x:c>
      <x:c r="I72" s="3" t="s">
        <x:v>719</x:v>
      </x:c>
      <x:c r="J72" s="3"/>
      <x:c r="K72" s="3"/>
      <x:c r="L72" s="54" t="n">
        <x:v>1.58193846918489</x:v>
      </x:c>
      <x:c r="M72" s="54" t="n">
        <x:v>0.99806153081511</x:v>
      </x:c>
      <x:c r="N72" s="12" t="n">
        <x:v>0.42</x:v>
      </x:c>
      <x:c r="O72" s="12" t="n">
        <x:v>0.3</x:v>
      </x:c>
      <x:c r="P72" s="12" t="n">
        <x:v>0.28</x:v>
      </x:c>
      <x:c r="Q72" s="3" t="str">
        <x:f aca="0">"1"</x:f>
        <x:v>1</x:v>
      </x:c>
      <x:c r="R72" s="3" t="s">
        <x:v>716</x:v>
      </x:c>
      <x:c r="S72" s="3" t="str">
        <x:f aca="0">"Kocaelispor"</x:f>
        <x:v>Kocaelispor</x:v>
      </x:c>
      <x:c r="T72" s="3"/>
      <x:c r="U72" s="3"/>
      <x:c r="V72" s="3"/>
      <x:c r="W72" s="12"/>
      <x:c r="X72" s="12"/>
      <x:c r="Y72" s="12"/>
      <x:c r="Z72" s="13" t="n">
        <x:v>71</x:v>
      </x:c>
      <x:c r="AA72" s="3" t="s">
        <x:v>426</x:v>
      </x:c>
      <x:c r="AB72" s="54"/>
      <x:c r="AC72" s="54"/>
      <x:c r="AD72" s="54"/>
      <x:c r="AE72" s="3"/>
      <x:c r="AF72" s="3"/>
      <x:c r="AG72" s="54"/>
      <x:c r="AH72" s="12"/>
      <x:c r="AI72" s="12" t="n">
        <x:v>0.04</x:v>
      </x:c>
      <x:c r="AJ72" s="12"/>
      <x:c r="AK72" s="12"/>
      <x:c r="AL72" s="19" t="s">
        <x:v>427</x:v>
      </x:c>
      <x:c r="AM72" s="3" t="s">
        <x:v>107</x:v>
      </x:c>
      <x:c r="AN72" s="3" t="n">
        <x:v>1</x:v>
      </x:c>
      <x:c r="AO72" s="3" t="n">
        <x:v>2</x:v>
      </x:c>
      <x:c r="AP72" s="3" t="s">
        <x:v>460</x:v>
      </x:c>
      <x:c r="AQ72" s="3" t="s">
        <x:v>412</x:v>
      </x:c>
      <x:c r="AR72" s="3" t="s">
        <x:v>107</x:v>
      </x:c>
      <x:c r="AS72" s="3"/>
      <x:c r="AT72" s="3"/>
      <x:c r="AU72" s="54"/>
      <x:c r="AV72" s="12"/>
      <x:c r="AW72" s="3" t="s">
        <x:v>456</x:v>
      </x:c>
      <x:c r="AX72" s="3" t="s">
        <x:v>720</x:v>
      </x:c>
      <x:c r="AY72" s="3" t="s">
        <x:v>498</x:v>
      </x:c>
      <x:c r="AZ72" s="3" t="s">
        <x:v>422</x:v>
      </x:c>
      <x:c r="BA72" s="3" t="s">
        <x:v>423</x:v>
      </x:c>
      <x:c r="BB72" s="11" t="str">
        <x:f aca="0">""</x:f>
      </x:c>
      <x:c r="BC72" s="11" t="n">
        <x:f aca="0">0</x:f>
        <x:v>0</x:v>
      </x:c>
      <x:c r="BD72" s="11" t="str">
        <x:f aca="0">""</x:f>
      </x:c>
      <x:c r="BE72" s="19" t="str">
        <x:f aca="0">"N/A"</x:f>
        <x:v>N/A</x:v>
      </x:c>
      <x:c r="BF72" s="19" t="str">
        <x:f aca="0">""</x:f>
      </x:c>
    </x:row>
    <x:row r="73" ht="57.45000076293945" hidden="0">
      <x:c r="A73" s="3" t="n">
        <x:v>69</x:v>
      </x:c>
      <x:c r="B73" s="53" t="n">
        <x:v>46263</x:v>
      </x:c>
      <x:c r="C73" s="3" t="s">
        <x:v>714</x:v>
      </x:c>
      <x:c r="D73" s="3" t="s">
        <x:v>715</x:v>
      </x:c>
      <x:c r="E73" s="3" t="s">
        <x:v>721</x:v>
      </x:c>
      <x:c r="F73" s="3" t="s">
        <x:v>722</x:v>
      </x:c>
      <x:c r="G73" s="3" t="s">
        <x:v>409</x:v>
      </x:c>
      <x:c r="H73" s="3" t="s">
        <x:v>723</x:v>
      </x:c>
      <x:c r="I73" s="3" t="s">
        <x:v>719</x:v>
      </x:c>
      <x:c r="J73" s="3"/>
      <x:c r="K73" s="3"/>
      <x:c r="L73" s="54" t="n">
        <x:v>2.30451598451327</x:v>
      </x:c>
      <x:c r="M73" s="54" t="n">
        <x:v>0.625484015486725</x:v>
      </x:c>
      <x:c r="N73" s="12" t="n">
        <x:v>0.66</x:v>
      </x:c>
      <x:c r="O73" s="12" t="n">
        <x:v>0.2</x:v>
      </x:c>
      <x:c r="P73" s="12" t="n">
        <x:v>0.14</x:v>
      </x:c>
      <x:c r="Q73" s="3" t="str">
        <x:f aca="0">"1"</x:f>
        <x:v>1</x:v>
      </x:c>
      <x:c r="R73" s="3" t="s">
        <x:v>721</x:v>
      </x:c>
      <x:c r="S73" s="3" t="str">
        <x:f aca="0">"Göztepe"</x:f>
        <x:v>Göztepe</x:v>
      </x:c>
      <x:c r="T73" s="3" t="n">
        <x:v>-4</x:v>
      </x:c>
      <x:c r="U73" s="3" t="s">
        <x:v>412</x:v>
      </x:c>
      <x:c r="V73" s="3" t="s">
        <x:v>724</x:v>
      </x:c>
      <x:c r="W73" s="12" t="n">
        <x:v>0.860578465001045</x:v>
      </x:c>
      <x:c r="X73" s="12" t="n">
        <x:v>0.0831713178025506</x:v>
      </x:c>
      <x:c r="Y73" s="12" t="n">
        <x:v>0.056250217196404</x:v>
      </x:c>
      <x:c r="Z73" s="13" t="n">
        <x:v>90</x:v>
      </x:c>
      <x:c r="AA73" s="3" t="s">
        <x:v>426</x:v>
      </x:c>
      <x:c r="AB73" s="54" t="n">
        <x:v>1.16200909117425</x:v>
      </x:c>
      <x:c r="AC73" s="54" t="n">
        <x:v>1.2549698184682</x:v>
      </x:c>
      <x:c r="AD73" s="54"/>
      <x:c r="AE73" s="3"/>
      <x:c r="AF73" s="3"/>
      <x:c r="AG73" s="54"/>
      <x:c r="AH73" s="12"/>
      <x:c r="AI73" s="12" t="n">
        <x:v>0.04</x:v>
      </x:c>
      <x:c r="AJ73" s="12"/>
      <x:c r="AK73" s="12"/>
      <x:c r="AL73" s="19" t="s">
        <x:v>415</x:v>
      </x:c>
      <x:c r="AM73" s="3" t="s">
        <x:v>107</x:v>
      </x:c>
      <x:c r="AN73" s="3" t="n">
        <x:v>3</x:v>
      </x:c>
      <x:c r="AO73" s="3" t="n">
        <x:v>2</x:v>
      </x:c>
      <x:c r="AP73" s="3" t="s">
        <x:v>568</x:v>
      </x:c>
      <x:c r="AQ73" s="3" t="s">
        <x:v>446</x:v>
      </x:c>
      <x:c r="AR73" s="3" t="s">
        <x:v>102</x:v>
      </x:c>
      <x:c r="AS73" s="3" t="s">
        <x:v>412</x:v>
      </x:c>
      <x:c r="AT73" s="3" t="s">
        <x:v>418</x:v>
      </x:c>
      <x:c r="AU73" s="54"/>
      <x:c r="AV73" s="12"/>
      <x:c r="AW73" s="3" t="s">
        <x:v>447</x:v>
      </x:c>
      <x:c r="AX73" s="3" t="s">
        <x:v>725</x:v>
      </x:c>
      <x:c r="AY73" s="3" t="s">
        <x:v>498</x:v>
      </x:c>
      <x:c r="AZ73" s="3" t="s">
        <x:v>422</x:v>
      </x:c>
      <x:c r="BA73" s="3" t="s">
        <x:v>423</x:v>
      </x:c>
      <x:c r="BB73" s="11" t="n">
        <x:f aca="0">0.03</x:f>
        <x:v>0.03</x:v>
      </x:c>
      <x:c r="BC73" s="11" t="n">
        <x:f aca="0">0.05317131780255062</x:f>
        <x:v>0.05317131780255062</x:v>
      </x:c>
      <x:c r="BD73" s="11" t="str">
        <x:f aca="0">""</x:f>
      </x:c>
      <x:c r="BE73" s="19" t="str">
        <x:f aca="0">"NO BET – +4 STRICT"</x:f>
        <x:v>NO BET – +4 STRICT</x:v>
      </x:c>
      <x:c r="BF73" s="19" t="str">
        <x:f aca="0">""</x:f>
      </x:c>
    </x:row>
    <x:row r="74" ht="57.45000076293945" hidden="0">
      <x:c r="A74" s="3" t="n">
        <x:v>70</x:v>
      </x:c>
      <x:c r="B74" s="53" t="n">
        <x:v>46263</x:v>
      </x:c>
      <x:c r="C74" s="3" t="s">
        <x:v>714</x:v>
      </x:c>
      <x:c r="D74" s="3" t="s">
        <x:v>715</x:v>
      </x:c>
      <x:c r="E74" s="3" t="s">
        <x:v>726</x:v>
      </x:c>
      <x:c r="F74" s="3" t="s">
        <x:v>727</x:v>
      </x:c>
      <x:c r="G74" s="3" t="s">
        <x:v>409</x:v>
      </x:c>
      <x:c r="H74" s="3" t="s">
        <x:v>718</x:v>
      </x:c>
      <x:c r="I74" s="3" t="s">
        <x:v>719</x:v>
      </x:c>
      <x:c r="J74" s="3"/>
      <x:c r="K74" s="3"/>
      <x:c r="L74" s="54" t="n">
        <x:v>1.81819756097561</x:v>
      </x:c>
      <x:c r="M74" s="54" t="n">
        <x:v>1.21180243902439</x:v>
      </x:c>
      <x:c r="N74" s="12" t="n">
        <x:v>0.42</x:v>
      </x:c>
      <x:c r="O74" s="12" t="n">
        <x:v>0.3</x:v>
      </x:c>
      <x:c r="P74" s="12" t="n">
        <x:v>0.28</x:v>
      </x:c>
      <x:c r="Q74" s="3" t="str">
        <x:f aca="0">"1"</x:f>
        <x:v>1</x:v>
      </x:c>
      <x:c r="R74" s="3" t="s">
        <x:v>726</x:v>
      </x:c>
      <x:c r="S74" s="3" t="str">
        <x:f aca="0">"Rizespor"</x:f>
        <x:v>Rizespor</x:v>
      </x:c>
      <x:c r="T74" s="3"/>
      <x:c r="U74" s="3"/>
      <x:c r="V74" s="3"/>
      <x:c r="W74" s="12"/>
      <x:c r="X74" s="12"/>
      <x:c r="Y74" s="12"/>
      <x:c r="Z74" s="13" t="n">
        <x:v>71</x:v>
      </x:c>
      <x:c r="AA74" s="3" t="s">
        <x:v>426</x:v>
      </x:c>
      <x:c r="AB74" s="54"/>
      <x:c r="AC74" s="54"/>
      <x:c r="AD74" s="54"/>
      <x:c r="AE74" s="3"/>
      <x:c r="AF74" s="3"/>
      <x:c r="AG74" s="54"/>
      <x:c r="AH74" s="12"/>
      <x:c r="AI74" s="12" t="n">
        <x:v>0.04</x:v>
      </x:c>
      <x:c r="AJ74" s="12"/>
      <x:c r="AK74" s="12"/>
      <x:c r="AL74" s="19" t="s">
        <x:v>427</x:v>
      </x:c>
      <x:c r="AM74" s="3" t="s">
        <x:v>107</x:v>
      </x:c>
      <x:c r="AN74" s="3" t="n">
        <x:v>1</x:v>
      </x:c>
      <x:c r="AO74" s="3" t="n">
        <x:v>2</x:v>
      </x:c>
      <x:c r="AP74" s="3" t="s">
        <x:v>460</x:v>
      </x:c>
      <x:c r="AQ74" s="3" t="s">
        <x:v>412</x:v>
      </x:c>
      <x:c r="AR74" s="3" t="s">
        <x:v>107</x:v>
      </x:c>
      <x:c r="AS74" s="3"/>
      <x:c r="AT74" s="3"/>
      <x:c r="AU74" s="54"/>
      <x:c r="AV74" s="12"/>
      <x:c r="AW74" s="3" t="s">
        <x:v>456</x:v>
      </x:c>
      <x:c r="AX74" s="3" t="s">
        <x:v>728</x:v>
      </x:c>
      <x:c r="AY74" s="3" t="s">
        <x:v>498</x:v>
      </x:c>
      <x:c r="AZ74" s="3" t="s">
        <x:v>422</x:v>
      </x:c>
      <x:c r="BA74" s="3" t="s">
        <x:v>423</x:v>
      </x:c>
      <x:c r="BB74" s="11" t="str">
        <x:f aca="0">""</x:f>
      </x:c>
      <x:c r="BC74" s="11" t="n">
        <x:f aca="0">0</x:f>
        <x:v>0</x:v>
      </x:c>
      <x:c r="BD74" s="11" t="str">
        <x:f aca="0">""</x:f>
      </x:c>
      <x:c r="BE74" s="19" t="str">
        <x:f aca="0">"N/A"</x:f>
        <x:v>N/A</x:v>
      </x:c>
      <x:c r="BF74" s="19" t="str">
        <x:f aca="0">""</x:f>
      </x:c>
    </x:row>
    <x:row r="75" ht="68.6500015258789" hidden="0">
      <x:c r="A75" s="3" t="n">
        <x:v>71</x:v>
      </x:c>
      <x:c r="B75" s="53" t="n">
        <x:v>46263</x:v>
      </x:c>
      <x:c r="C75" s="3" t="s">
        <x:v>729</x:v>
      </x:c>
      <x:c r="D75" s="3" t="s">
        <x:v>730</x:v>
      </x:c>
      <x:c r="E75" s="3" t="s">
        <x:v>731</x:v>
      </x:c>
      <x:c r="F75" s="3" t="s">
        <x:v>732</x:v>
      </x:c>
      <x:c r="G75" s="3" t="s">
        <x:v>409</x:v>
      </x:c>
      <x:c r="H75" s="3" t="s">
        <x:v>410</x:v>
      </x:c>
      <x:c r="I75" s="3" t="s">
        <x:v>733</x:v>
      </x:c>
      <x:c r="J75" s="3"/>
      <x:c r="K75" s="3"/>
      <x:c r="L75" s="54" t="n">
        <x:v>1.66569970824791</x:v>
      </x:c>
      <x:c r="M75" s="54" t="n">
        <x:v>1.66430029175209</x:v>
      </x:c>
      <x:c r="N75" s="12" t="n">
        <x:v>0.3</x:v>
      </x:c>
      <x:c r="O75" s="12" t="n">
        <x:v>0.34</x:v>
      </x:c>
      <x:c r="P75" s="12" t="n">
        <x:v>0.36</x:v>
      </x:c>
      <x:c r="Q75" s="3" t="str">
        <x:f aca="0">"2"</x:f>
        <x:v>2</x:v>
      </x:c>
      <x:c r="R75" s="3" t="s">
        <x:v>731</x:v>
      </x:c>
      <x:c r="S75" s="3" t="str">
        <x:f aca="0">"Sparta Rotterdam"</x:f>
        <x:v>Sparta Rotterdam</x:v>
      </x:c>
      <x:c r="T75" s="3"/>
      <x:c r="U75" s="3"/>
      <x:c r="V75" s="3"/>
      <x:c r="W75" s="12"/>
      <x:c r="X75" s="12"/>
      <x:c r="Y75" s="12"/>
      <x:c r="Z75" s="13" t="n">
        <x:v>60</x:v>
      </x:c>
      <x:c r="AA75" s="3" t="s">
        <x:v>426</x:v>
      </x:c>
      <x:c r="AB75" s="54"/>
      <x:c r="AC75" s="54"/>
      <x:c r="AD75" s="54"/>
      <x:c r="AE75" s="3"/>
      <x:c r="AF75" s="3"/>
      <x:c r="AG75" s="54"/>
      <x:c r="AH75" s="12"/>
      <x:c r="AI75" s="12" t="n">
        <x:v>0.04</x:v>
      </x:c>
      <x:c r="AJ75" s="12"/>
      <x:c r="AK75" s="12"/>
      <x:c r="AL75" s="19" t="s">
        <x:v>427</x:v>
      </x:c>
      <x:c r="AM75" s="3" t="s">
        <x:v>107</x:v>
      </x:c>
      <x:c r="AN75" s="3" t="n">
        <x:v>2</x:v>
      </x:c>
      <x:c r="AO75" s="3" t="n">
        <x:v>1</x:v>
      </x:c>
      <x:c r="AP75" s="3" t="s">
        <x:v>471</x:v>
      </x:c>
      <x:c r="AQ75" s="3" t="s">
        <x:v>446</x:v>
      </x:c>
      <x:c r="AR75" s="3" t="s">
        <x:v>107</x:v>
      </x:c>
      <x:c r="AS75" s="3"/>
      <x:c r="AT75" s="3"/>
      <x:c r="AU75" s="54"/>
      <x:c r="AV75" s="12"/>
      <x:c r="AW75" s="3" t="s">
        <x:v>456</x:v>
      </x:c>
      <x:c r="AX75" s="3" t="s">
        <x:v>734</x:v>
      </x:c>
      <x:c r="AY75" s="3" t="s">
        <x:v>498</x:v>
      </x:c>
      <x:c r="AZ75" s="3" t="s">
        <x:v>422</x:v>
      </x:c>
      <x:c r="BA75" s="3" t="s">
        <x:v>423</x:v>
      </x:c>
      <x:c r="BB75" s="11" t="str">
        <x:f aca="0">""</x:f>
      </x:c>
      <x:c r="BC75" s="11" t="n">
        <x:f aca="0">0</x:f>
        <x:v>0</x:v>
      </x:c>
      <x:c r="BD75" s="11" t="str">
        <x:f aca="0">""</x:f>
      </x:c>
      <x:c r="BE75" s="19" t="str">
        <x:f aca="0">"N/A"</x:f>
        <x:v>N/A</x:v>
      </x:c>
      <x:c r="BF75" s="19" t="str">
        <x:f aca="0">""</x:f>
      </x:c>
    </x:row>
    <x:row r="76" ht="68.6500015258789" hidden="0">
      <x:c r="A76" s="3" t="n">
        <x:v>72</x:v>
      </x:c>
      <x:c r="B76" s="53" t="n">
        <x:v>46263</x:v>
      </x:c>
      <x:c r="C76" s="3" t="s">
        <x:v>729</x:v>
      </x:c>
      <x:c r="D76" s="3" t="s">
        <x:v>730</x:v>
      </x:c>
      <x:c r="E76" s="3" t="s">
        <x:v>735</x:v>
      </x:c>
      <x:c r="F76" s="3" t="s">
        <x:v>736</x:v>
      </x:c>
      <x:c r="G76" s="3" t="s">
        <x:v>409</x:v>
      </x:c>
      <x:c r="H76" s="3" t="s">
        <x:v>410</x:v>
      </x:c>
      <x:c r="I76" s="3" t="s">
        <x:v>733</x:v>
      </x:c>
      <x:c r="J76" s="3"/>
      <x:c r="K76" s="3"/>
      <x:c r="L76" s="54" t="n">
        <x:v>2.2356</x:v>
      </x:c>
      <x:c r="M76" s="54" t="n">
        <x:v>0.8844</x:v>
      </x:c>
      <x:c r="N76" s="12" t="n">
        <x:v>0.37</x:v>
      </x:c>
      <x:c r="O76" s="12" t="n">
        <x:v>0.4</x:v>
      </x:c>
      <x:c r="P76" s="12" t="n">
        <x:v>0.23</x:v>
      </x:c>
      <x:c r="Q76" s="3" t="str">
        <x:f aca="0">"X"</x:f>
        <x:v>X</x:v>
      </x:c>
      <x:c r="R76" s="3" t="s">
        <x:v>735</x:v>
      </x:c>
      <x:c r="S76" s="3" t="str">
        <x:f aca="0">"Go Ahead Eagles"</x:f>
        <x:v>Go Ahead Eagles</x:v>
      </x:c>
      <x:c r="T76" s="3"/>
      <x:c r="U76" s="3"/>
      <x:c r="V76" s="3"/>
      <x:c r="W76" s="12"/>
      <x:c r="X76" s="12"/>
      <x:c r="Y76" s="12"/>
      <x:c r="Z76" s="13" t="n">
        <x:v>85</x:v>
      </x:c>
      <x:c r="AA76" s="3" t="s">
        <x:v>426</x:v>
      </x:c>
      <x:c r="AB76" s="54"/>
      <x:c r="AC76" s="54"/>
      <x:c r="AD76" s="54"/>
      <x:c r="AE76" s="3"/>
      <x:c r="AF76" s="3"/>
      <x:c r="AG76" s="54"/>
      <x:c r="AH76" s="12"/>
      <x:c r="AI76" s="12" t="n">
        <x:v>0.04</x:v>
      </x:c>
      <x:c r="AJ76" s="12"/>
      <x:c r="AK76" s="12"/>
      <x:c r="AL76" s="19" t="s">
        <x:v>427</x:v>
      </x:c>
      <x:c r="AM76" s="3" t="s">
        <x:v>107</x:v>
      </x:c>
      <x:c r="AN76" s="3" t="n">
        <x:v>5</x:v>
      </x:c>
      <x:c r="AO76" s="3" t="n">
        <x:v>2</x:v>
      </x:c>
      <x:c r="AP76" s="3" t="s">
        <x:v>737</x:v>
      </x:c>
      <x:c r="AQ76" s="3" t="s">
        <x:v>446</x:v>
      </x:c>
      <x:c r="AR76" s="3" t="s">
        <x:v>107</x:v>
      </x:c>
      <x:c r="AS76" s="3"/>
      <x:c r="AT76" s="3"/>
      <x:c r="AU76" s="54"/>
      <x:c r="AV76" s="12"/>
      <x:c r="AW76" s="3" t="s">
        <x:v>439</x:v>
      </x:c>
      <x:c r="AX76" s="3" t="s">
        <x:v>738</x:v>
      </x:c>
      <x:c r="AY76" s="3" t="s">
        <x:v>498</x:v>
      </x:c>
      <x:c r="AZ76" s="3" t="s">
        <x:v>422</x:v>
      </x:c>
      <x:c r="BA76" s="3" t="s">
        <x:v>423</x:v>
      </x:c>
      <x:c r="BB76" s="11" t="str">
        <x:f aca="0">""</x:f>
      </x:c>
      <x:c r="BC76" s="11" t="n">
        <x:f aca="0">0</x:f>
        <x:v>0</x:v>
      </x:c>
      <x:c r="BD76" s="11" t="str">
        <x:f aca="0">""</x:f>
      </x:c>
      <x:c r="BE76" s="19" t="str">
        <x:f aca="0">"N/A"</x:f>
        <x:v>N/A</x:v>
      </x:c>
      <x:c r="BF76" s="19" t="str">
        <x:f aca="0">""</x:f>
      </x:c>
    </x:row>
    <x:row r="77" ht="68.6500015258789" hidden="0">
      <x:c r="A77" s="3" t="n">
        <x:v>73</x:v>
      </x:c>
      <x:c r="B77" s="53" t="n">
        <x:v>46263</x:v>
      </x:c>
      <x:c r="C77" s="3" t="s">
        <x:v>729</x:v>
      </x:c>
      <x:c r="D77" s="3" t="s">
        <x:v>730</x:v>
      </x:c>
      <x:c r="E77" s="3" t="s">
        <x:v>739</x:v>
      </x:c>
      <x:c r="F77" s="3" t="s">
        <x:v>740</x:v>
      </x:c>
      <x:c r="G77" s="3" t="s">
        <x:v>409</x:v>
      </x:c>
      <x:c r="H77" s="3" t="s">
        <x:v>410</x:v>
      </x:c>
      <x:c r="I77" s="3" t="s">
        <x:v>733</x:v>
      </x:c>
      <x:c r="J77" s="3"/>
      <x:c r="K77" s="3"/>
      <x:c r="L77" s="54" t="n">
        <x:v>1.15012895170511</x:v>
      </x:c>
      <x:c r="M77" s="54" t="n">
        <x:v>1.97987104829489</x:v>
      </x:c>
      <x:c r="N77" s="12" t="n">
        <x:v>0.28</x:v>
      </x:c>
      <x:c r="O77" s="12" t="n">
        <x:v>0.4</x:v>
      </x:c>
      <x:c r="P77" s="12" t="n">
        <x:v>0.33</x:v>
      </x:c>
      <x:c r="Q77" s="3" t="str">
        <x:f aca="0">"X"</x:f>
        <x:v>X</x:v>
      </x:c>
      <x:c r="R77" s="3" t="s">
        <x:v>740</x:v>
      </x:c>
      <x:c r="S77" s="3" t="str">
        <x:f aca="0">"PEC Zwolle"</x:f>
        <x:v>PEC Zwolle</x:v>
      </x:c>
      <x:c r="T77" s="3"/>
      <x:c r="U77" s="3"/>
      <x:c r="V77" s="3"/>
      <x:c r="W77" s="12"/>
      <x:c r="X77" s="12"/>
      <x:c r="Y77" s="12"/>
      <x:c r="Z77" s="13" t="n">
        <x:v>75</x:v>
      </x:c>
      <x:c r="AA77" s="3" t="s">
        <x:v>426</x:v>
      </x:c>
      <x:c r="AB77" s="54"/>
      <x:c r="AC77" s="54"/>
      <x:c r="AD77" s="54"/>
      <x:c r="AE77" s="3"/>
      <x:c r="AF77" s="3"/>
      <x:c r="AG77" s="54"/>
      <x:c r="AH77" s="12"/>
      <x:c r="AI77" s="12" t="n">
        <x:v>0.04</x:v>
      </x:c>
      <x:c r="AJ77" s="12"/>
      <x:c r="AK77" s="12"/>
      <x:c r="AL77" s="19" t="s">
        <x:v>427</x:v>
      </x:c>
      <x:c r="AM77" s="3" t="s">
        <x:v>107</x:v>
      </x:c>
      <x:c r="AN77" s="3" t="n">
        <x:v>1</x:v>
      </x:c>
      <x:c r="AO77" s="3" t="n">
        <x:v>3</x:v>
      </x:c>
      <x:c r="AP77" s="3" t="s">
        <x:v>514</x:v>
      </x:c>
      <x:c r="AQ77" s="3" t="s">
        <x:v>412</x:v>
      </x:c>
      <x:c r="AR77" s="3" t="s">
        <x:v>107</x:v>
      </x:c>
      <x:c r="AS77" s="3"/>
      <x:c r="AT77" s="3"/>
      <x:c r="AU77" s="54"/>
      <x:c r="AV77" s="12"/>
      <x:c r="AW77" s="3" t="s">
        <x:v>439</x:v>
      </x:c>
      <x:c r="AX77" s="3" t="s">
        <x:v>741</x:v>
      </x:c>
      <x:c r="AY77" s="3" t="s">
        <x:v>498</x:v>
      </x:c>
      <x:c r="AZ77" s="3" t="s">
        <x:v>422</x:v>
      </x:c>
      <x:c r="BA77" s="3" t="s">
        <x:v>423</x:v>
      </x:c>
      <x:c r="BB77" s="11" t="str">
        <x:f aca="0">""</x:f>
      </x:c>
      <x:c r="BC77" s="11" t="n">
        <x:f aca="0">0</x:f>
        <x:v>0</x:v>
      </x:c>
      <x:c r="BD77" s="11" t="str">
        <x:f aca="0">""</x:f>
      </x:c>
      <x:c r="BE77" s="19" t="str">
        <x:f aca="0">"N/A"</x:f>
        <x:v>N/A</x:v>
      </x:c>
      <x:c r="BF77" s="19" t="str">
        <x:f aca="0">""</x:f>
      </x:c>
    </x:row>
    <x:row r="78" ht="57.45000076293945" hidden="0">
      <x:c r="A78" s="3" t="n">
        <x:v>74</x:v>
      </x:c>
      <x:c r="B78" s="53" t="n">
        <x:v>46263</x:v>
      </x:c>
      <x:c r="C78" s="3" t="s">
        <x:v>742</x:v>
      </x:c>
      <x:c r="D78" s="3" t="s">
        <x:v>743</x:v>
      </x:c>
      <x:c r="E78" s="3" t="s">
        <x:v>744</x:v>
      </x:c>
      <x:c r="F78" s="3" t="s">
        <x:v>745</x:v>
      </x:c>
      <x:c r="G78" s="3" t="s">
        <x:v>409</x:v>
      </x:c>
      <x:c r="H78" s="3" t="s">
        <x:v>410</x:v>
      </x:c>
      <x:c r="I78" s="3" t="s">
        <x:v>746</x:v>
      </x:c>
      <x:c r="J78" s="3"/>
      <x:c r="K78" s="3"/>
      <x:c r="L78" s="54" t="n">
        <x:v>1.1084032555798</x:v>
      </x:c>
      <x:c r="M78" s="54" t="n">
        <x:v>1.8815967444202</x:v>
      </x:c>
      <x:c r="N78" s="12" t="n">
        <x:v>0.21</x:v>
      </x:c>
      <x:c r="O78" s="12" t="n">
        <x:v>0.2</x:v>
      </x:c>
      <x:c r="P78" s="12" t="n">
        <x:v>0.6</x:v>
      </x:c>
      <x:c r="Q78" s="3" t="str">
        <x:f aca="0">"2"</x:f>
        <x:v>2</x:v>
      </x:c>
      <x:c r="R78" s="3" t="s">
        <x:v>745</x:v>
      </x:c>
      <x:c r="S78" s="3" t="str">
        <x:f aca="0">"Levante"</x:f>
        <x:v>Levante</x:v>
      </x:c>
      <x:c r="T78" s="3"/>
      <x:c r="U78" s="3"/>
      <x:c r="V78" s="3"/>
      <x:c r="W78" s="12"/>
      <x:c r="X78" s="12"/>
      <x:c r="Y78" s="12"/>
      <x:c r="Z78" s="13" t="n">
        <x:v>74</x:v>
      </x:c>
      <x:c r="AA78" s="3" t="s">
        <x:v>426</x:v>
      </x:c>
      <x:c r="AB78" s="54"/>
      <x:c r="AC78" s="54"/>
      <x:c r="AD78" s="54"/>
      <x:c r="AE78" s="3"/>
      <x:c r="AF78" s="3"/>
      <x:c r="AG78" s="54"/>
      <x:c r="AH78" s="12"/>
      <x:c r="AI78" s="12" t="n">
        <x:v>0.04</x:v>
      </x:c>
      <x:c r="AJ78" s="12"/>
      <x:c r="AK78" s="12"/>
      <x:c r="AL78" s="19" t="s">
        <x:v>427</x:v>
      </x:c>
      <x:c r="AM78" s="3" t="s">
        <x:v>107</x:v>
      </x:c>
      <x:c r="AN78" s="3" t="n">
        <x:v>5</x:v>
      </x:c>
      <x:c r="AO78" s="3" t="n">
        <x:v>2</x:v>
      </x:c>
      <x:c r="AP78" s="3" t="s">
        <x:v>737</x:v>
      </x:c>
      <x:c r="AQ78" s="3" t="s">
        <x:v>446</x:v>
      </x:c>
      <x:c r="AR78" s="3" t="s">
        <x:v>107</x:v>
      </x:c>
      <x:c r="AS78" s="3"/>
      <x:c r="AT78" s="3"/>
      <x:c r="AU78" s="54"/>
      <x:c r="AV78" s="12"/>
      <x:c r="AW78" s="3" t="s">
        <x:v>456</x:v>
      </x:c>
      <x:c r="AX78" s="3" t="s">
        <x:v>747</x:v>
      </x:c>
      <x:c r="AY78" s="3" t="s">
        <x:v>498</x:v>
      </x:c>
      <x:c r="AZ78" s="3" t="s">
        <x:v>422</x:v>
      </x:c>
      <x:c r="BA78" s="3" t="s">
        <x:v>423</x:v>
      </x:c>
      <x:c r="BB78" s="11" t="str">
        <x:f aca="0">""</x:f>
      </x:c>
      <x:c r="BC78" s="11" t="n">
        <x:f aca="0">0</x:f>
        <x:v>0</x:v>
      </x:c>
      <x:c r="BD78" s="11" t="str">
        <x:f aca="0">""</x:f>
      </x:c>
      <x:c r="BE78" s="19" t="str">
        <x:f aca="0">"N/A"</x:f>
        <x:v>N/A</x:v>
      </x:c>
      <x:c r="BF78" s="19" t="str">
        <x:f aca="0">""</x:f>
      </x:c>
    </x:row>
    <x:row r="79" ht="57.45000076293945" hidden="0">
      <x:c r="A79" s="3" t="n">
        <x:v>75</x:v>
      </x:c>
      <x:c r="B79" s="53" t="n">
        <x:v>46263</x:v>
      </x:c>
      <x:c r="C79" s="3" t="s">
        <x:v>742</x:v>
      </x:c>
      <x:c r="D79" s="3" t="s">
        <x:v>743</x:v>
      </x:c>
      <x:c r="E79" s="3" t="s">
        <x:v>748</x:v>
      </x:c>
      <x:c r="F79" s="3" t="s">
        <x:v>749</x:v>
      </x:c>
      <x:c r="G79" s="3" t="s">
        <x:v>409</x:v>
      </x:c>
      <x:c r="H79" s="3" t="s">
        <x:v>410</x:v>
      </x:c>
      <x:c r="I79" s="3" t="s">
        <x:v>746</x:v>
      </x:c>
      <x:c r="J79" s="3"/>
      <x:c r="K79" s="3"/>
      <x:c r="L79" s="54" t="n">
        <x:v>1.69304077669903</x:v>
      </x:c>
      <x:c r="M79" s="54" t="n">
        <x:v>1.17695922330097</x:v>
      </x:c>
      <x:c r="N79" s="12" t="n">
        <x:v>0.37</x:v>
      </x:c>
      <x:c r="O79" s="12" t="n">
        <x:v>0.22</x:v>
      </x:c>
      <x:c r="P79" s="12" t="n">
        <x:v>0.41</x:v>
      </x:c>
      <x:c r="Q79" s="3" t="str">
        <x:f aca="0">"2"</x:f>
        <x:v>2</x:v>
      </x:c>
      <x:c r="R79" s="3" t="s">
        <x:v>748</x:v>
      </x:c>
      <x:c r="S79" s="3" t="str">
        <x:f aca="0">"Espanyol"</x:f>
        <x:v>Espanyol</x:v>
      </x:c>
      <x:c r="T79" s="3"/>
      <x:c r="U79" s="3"/>
      <x:c r="V79" s="3"/>
      <x:c r="W79" s="12"/>
      <x:c r="X79" s="12"/>
      <x:c r="Y79" s="12"/>
      <x:c r="Z79" s="13" t="n">
        <x:v>69</x:v>
      </x:c>
      <x:c r="AA79" s="3" t="s">
        <x:v>426</x:v>
      </x:c>
      <x:c r="AB79" s="54"/>
      <x:c r="AC79" s="54"/>
      <x:c r="AD79" s="54"/>
      <x:c r="AE79" s="3"/>
      <x:c r="AF79" s="3"/>
      <x:c r="AG79" s="54"/>
      <x:c r="AH79" s="12"/>
      <x:c r="AI79" s="12" t="n">
        <x:v>0.04</x:v>
      </x:c>
      <x:c r="AJ79" s="12"/>
      <x:c r="AK79" s="12"/>
      <x:c r="AL79" s="19" t="s">
        <x:v>427</x:v>
      </x:c>
      <x:c r="AM79" s="3" t="s">
        <x:v>107</x:v>
      </x:c>
      <x:c r="AN79" s="3" t="n">
        <x:v>2</x:v>
      </x:c>
      <x:c r="AO79" s="3" t="n">
        <x:v>1</x:v>
      </x:c>
      <x:c r="AP79" s="3" t="s">
        <x:v>471</x:v>
      </x:c>
      <x:c r="AQ79" s="3" t="s">
        <x:v>446</x:v>
      </x:c>
      <x:c r="AR79" s="3" t="s">
        <x:v>107</x:v>
      </x:c>
      <x:c r="AS79" s="3"/>
      <x:c r="AT79" s="3"/>
      <x:c r="AU79" s="54"/>
      <x:c r="AV79" s="12"/>
      <x:c r="AW79" s="3" t="s">
        <x:v>456</x:v>
      </x:c>
      <x:c r="AX79" s="3" t="s">
        <x:v>750</x:v>
      </x:c>
      <x:c r="AY79" s="3" t="s">
        <x:v>498</x:v>
      </x:c>
      <x:c r="AZ79" s="3" t="s">
        <x:v>422</x:v>
      </x:c>
      <x:c r="BA79" s="3" t="s">
        <x:v>423</x:v>
      </x:c>
      <x:c r="BB79" s="11" t="str">
        <x:f aca="0">""</x:f>
      </x:c>
      <x:c r="BC79" s="11" t="n">
        <x:f aca="0">0</x:f>
        <x:v>0</x:v>
      </x:c>
      <x:c r="BD79" s="11" t="str">
        <x:f aca="0">""</x:f>
      </x:c>
      <x:c r="BE79" s="19" t="str">
        <x:f aca="0">"N/A"</x:f>
        <x:v>N/A</x:v>
      </x:c>
      <x:c r="BF79" s="19" t="str">
        <x:f aca="0">""</x:f>
      </x:c>
    </x:row>
    <x:row r="80" ht="57.45000076293945" hidden="0">
      <x:c r="A80" s="3" t="n">
        <x:v>76</x:v>
      </x:c>
      <x:c r="B80" s="53" t="n">
        <x:v>46263</x:v>
      </x:c>
      <x:c r="C80" s="3" t="s">
        <x:v>742</x:v>
      </x:c>
      <x:c r="D80" s="3" t="s">
        <x:v>743</x:v>
      </x:c>
      <x:c r="E80" s="3" t="s">
        <x:v>751</x:v>
      </x:c>
      <x:c r="F80" s="3" t="s">
        <x:v>752</x:v>
      </x:c>
      <x:c r="G80" s="3" t="s">
        <x:v>409</x:v>
      </x:c>
      <x:c r="H80" s="3" t="s">
        <x:v>410</x:v>
      </x:c>
      <x:c r="I80" s="3" t="s">
        <x:v>746</x:v>
      </x:c>
      <x:c r="J80" s="3"/>
      <x:c r="K80" s="3"/>
      <x:c r="L80" s="54" t="n">
        <x:v>1.08214786402227</x:v>
      </x:c>
      <x:c r="M80" s="54" t="n">
        <x:v>1.56785213597773</x:v>
      </x:c>
      <x:c r="N80" s="12" t="n">
        <x:v>0.28</x:v>
      </x:c>
      <x:c r="O80" s="12" t="n">
        <x:v>0.4</x:v>
      </x:c>
      <x:c r="P80" s="12" t="n">
        <x:v>0.33</x:v>
      </x:c>
      <x:c r="Q80" s="3" t="str">
        <x:f aca="0">"X"</x:f>
        <x:v>X</x:v>
      </x:c>
      <x:c r="R80" s="3" t="s">
        <x:v>752</x:v>
      </x:c>
      <x:c r="S80" s="3" t="str">
        <x:f aca="0">"Sevilla"</x:f>
        <x:v>Sevilla</x:v>
      </x:c>
      <x:c r="T80" s="3"/>
      <x:c r="U80" s="3"/>
      <x:c r="V80" s="3"/>
      <x:c r="W80" s="12"/>
      <x:c r="X80" s="12"/>
      <x:c r="Y80" s="12"/>
      <x:c r="Z80" s="13" t="n">
        <x:v>69</x:v>
      </x:c>
      <x:c r="AA80" s="3" t="s">
        <x:v>426</x:v>
      </x:c>
      <x:c r="AB80" s="54"/>
      <x:c r="AC80" s="54"/>
      <x:c r="AD80" s="54"/>
      <x:c r="AE80" s="3"/>
      <x:c r="AF80" s="3"/>
      <x:c r="AG80" s="54"/>
      <x:c r="AH80" s="12"/>
      <x:c r="AI80" s="12" t="n">
        <x:v>0.04</x:v>
      </x:c>
      <x:c r="AJ80" s="12"/>
      <x:c r="AK80" s="12"/>
      <x:c r="AL80" s="19" t="s">
        <x:v>427</x:v>
      </x:c>
      <x:c r="AM80" s="3" t="s">
        <x:v>107</x:v>
      </x:c>
      <x:c r="AN80" s="3" t="n">
        <x:v>1</x:v>
      </x:c>
      <x:c r="AO80" s="3" t="n">
        <x:v>3</x:v>
      </x:c>
      <x:c r="AP80" s="3" t="s">
        <x:v>514</x:v>
      </x:c>
      <x:c r="AQ80" s="3" t="s">
        <x:v>412</x:v>
      </x:c>
      <x:c r="AR80" s="3" t="s">
        <x:v>107</x:v>
      </x:c>
      <x:c r="AS80" s="3"/>
      <x:c r="AT80" s="3"/>
      <x:c r="AU80" s="54"/>
      <x:c r="AV80" s="12"/>
      <x:c r="AW80" s="3" t="s">
        <x:v>439</x:v>
      </x:c>
      <x:c r="AX80" s="3" t="s">
        <x:v>753</x:v>
      </x:c>
      <x:c r="AY80" s="3" t="s">
        <x:v>498</x:v>
      </x:c>
      <x:c r="AZ80" s="3" t="s">
        <x:v>422</x:v>
      </x:c>
      <x:c r="BA80" s="3" t="s">
        <x:v>423</x:v>
      </x:c>
      <x:c r="BB80" s="11" t="str">
        <x:f aca="0">""</x:f>
      </x:c>
      <x:c r="BC80" s="11" t="n">
        <x:f aca="0">0</x:f>
        <x:v>0</x:v>
      </x:c>
      <x:c r="BD80" s="11" t="str">
        <x:f aca="0">""</x:f>
      </x:c>
      <x:c r="BE80" s="19" t="str">
        <x:f aca="0">"N/A"</x:f>
        <x:v>N/A</x:v>
      </x:c>
      <x:c r="BF80" s="19" t="str">
        <x:f aca="0">""</x:f>
      </x:c>
    </x:row>
    <x:row r="81" ht="57.45000076293945" hidden="0">
      <x:c r="A81" s="3" t="n">
        <x:v>77</x:v>
      </x:c>
      <x:c r="B81" s="53" t="n">
        <x:v>46263</x:v>
      </x:c>
      <x:c r="C81" s="3" t="s">
        <x:v>742</x:v>
      </x:c>
      <x:c r="D81" s="3" t="s">
        <x:v>754</x:v>
      </x:c>
      <x:c r="E81" s="3" t="s">
        <x:v>755</x:v>
      </x:c>
      <x:c r="F81" s="3" t="s">
        <x:v>756</x:v>
      </x:c>
      <x:c r="G81" s="3" t="s">
        <x:v>409</x:v>
      </x:c>
      <x:c r="H81" s="3" t="s">
        <x:v>410</x:v>
      </x:c>
      <x:c r="I81" s="3" t="s">
        <x:v>757</x:v>
      </x:c>
      <x:c r="J81" s="3"/>
      <x:c r="K81" s="3"/>
      <x:c r="L81" s="54" t="n">
        <x:v>1.5289947811897</x:v>
      </x:c>
      <x:c r="M81" s="54" t="n">
        <x:v>1.6910052188103</x:v>
      </x:c>
      <x:c r="N81" s="12" t="n">
        <x:v>0.32</x:v>
      </x:c>
      <x:c r="O81" s="12" t="n">
        <x:v>0.31</x:v>
      </x:c>
      <x:c r="P81" s="12" t="n">
        <x:v>0.37</x:v>
      </x:c>
      <x:c r="Q81" s="3" t="str">
        <x:f aca="0">"2"</x:f>
        <x:v>2</x:v>
      </x:c>
      <x:c r="R81" s="3" t="s">
        <x:v>756</x:v>
      </x:c>
      <x:c r="S81" s="3" t="str">
        <x:f aca="0">"Sabadell"</x:f>
        <x:v>Sabadell</x:v>
      </x:c>
      <x:c r="T81" s="3"/>
      <x:c r="U81" s="3"/>
      <x:c r="V81" s="3"/>
      <x:c r="W81" s="12"/>
      <x:c r="X81" s="12"/>
      <x:c r="Y81" s="12"/>
      <x:c r="Z81" s="13" t="n">
        <x:v>63</x:v>
      </x:c>
      <x:c r="AA81" s="3" t="s">
        <x:v>426</x:v>
      </x:c>
      <x:c r="AB81" s="54"/>
      <x:c r="AC81" s="54"/>
      <x:c r="AD81" s="54"/>
      <x:c r="AE81" s="3"/>
      <x:c r="AF81" s="3"/>
      <x:c r="AG81" s="54"/>
      <x:c r="AH81" s="12"/>
      <x:c r="AI81" s="12" t="n">
        <x:v>0.04</x:v>
      </x:c>
      <x:c r="AJ81" s="12"/>
      <x:c r="AK81" s="12"/>
      <x:c r="AL81" s="19" t="s">
        <x:v>427</x:v>
      </x:c>
      <x:c r="AM81" s="3" t="s">
        <x:v>107</x:v>
      </x:c>
      <x:c r="AN81" s="3" t="n">
        <x:v>1</x:v>
      </x:c>
      <x:c r="AO81" s="3" t="n">
        <x:v>0</x:v>
      </x:c>
      <x:c r="AP81" s="3" t="s">
        <x:v>478</x:v>
      </x:c>
      <x:c r="AQ81" s="3" t="s">
        <x:v>446</x:v>
      </x:c>
      <x:c r="AR81" s="3" t="s">
        <x:v>107</x:v>
      </x:c>
      <x:c r="AS81" s="3"/>
      <x:c r="AT81" s="3"/>
      <x:c r="AU81" s="54"/>
      <x:c r="AV81" s="12"/>
      <x:c r="AW81" s="3" t="s">
        <x:v>456</x:v>
      </x:c>
      <x:c r="AX81" s="3" t="s">
        <x:v>758</x:v>
      </x:c>
      <x:c r="AY81" s="3" t="s">
        <x:v>498</x:v>
      </x:c>
      <x:c r="AZ81" s="3" t="s">
        <x:v>422</x:v>
      </x:c>
      <x:c r="BA81" s="3" t="s">
        <x:v>423</x:v>
      </x:c>
      <x:c r="BB81" s="11" t="str">
        <x:f aca="0">""</x:f>
      </x:c>
      <x:c r="BC81" s="11" t="n">
        <x:f aca="0">0</x:f>
        <x:v>0</x:v>
      </x:c>
      <x:c r="BD81" s="11" t="str">
        <x:f aca="0">""</x:f>
      </x:c>
      <x:c r="BE81" s="19" t="str">
        <x:f aca="0">"N/A"</x:f>
        <x:v>N/A</x:v>
      </x:c>
      <x:c r="BF81" s="19" t="str">
        <x:f aca="0">""</x:f>
      </x:c>
    </x:row>
    <x:row r="82" ht="57.45000076293945" hidden="0">
      <x:c r="A82" s="3" t="n">
        <x:v>78</x:v>
      </x:c>
      <x:c r="B82" s="53" t="n">
        <x:v>46263</x:v>
      </x:c>
      <x:c r="C82" s="3" t="s">
        <x:v>742</x:v>
      </x:c>
      <x:c r="D82" s="3" t="s">
        <x:v>754</x:v>
      </x:c>
      <x:c r="E82" s="3" t="s">
        <x:v>759</x:v>
      </x:c>
      <x:c r="F82" s="3" t="s">
        <x:v>760</x:v>
      </x:c>
      <x:c r="G82" s="3" t="s">
        <x:v>409</x:v>
      </x:c>
      <x:c r="H82" s="3" t="s">
        <x:v>410</x:v>
      </x:c>
      <x:c r="I82" s="3" t="s">
        <x:v>757</x:v>
      </x:c>
      <x:c r="J82" s="3"/>
      <x:c r="K82" s="3"/>
      <x:c r="L82" s="54" t="n">
        <x:v>1.35234360629286</x:v>
      </x:c>
      <x:c r="M82" s="54" t="n">
        <x:v>1.10765639370714</x:v>
      </x:c>
      <x:c r="N82" s="12" t="n">
        <x:v>0.32</x:v>
      </x:c>
      <x:c r="O82" s="12" t="n">
        <x:v>0.44</x:v>
      </x:c>
      <x:c r="P82" s="12" t="n">
        <x:v>0.24</x:v>
      </x:c>
      <x:c r="Q82" s="3" t="str">
        <x:f aca="0">"X"</x:f>
        <x:v>X</x:v>
      </x:c>
      <x:c r="R82" s="3" t="s">
        <x:v>759</x:v>
      </x:c>
      <x:c r="S82" s="3" t="str">
        <x:f aca="0">"Real Oviedo"</x:f>
        <x:v>Real Oviedo</x:v>
      </x:c>
      <x:c r="T82" s="3"/>
      <x:c r="U82" s="3"/>
      <x:c r="V82" s="3"/>
      <x:c r="W82" s="12"/>
      <x:c r="X82" s="12"/>
      <x:c r="Y82" s="12"/>
      <x:c r="Z82" s="13" t="n">
        <x:v>64</x:v>
      </x:c>
      <x:c r="AA82" s="3" t="s">
        <x:v>426</x:v>
      </x:c>
      <x:c r="AB82" s="54"/>
      <x:c r="AC82" s="54"/>
      <x:c r="AD82" s="54"/>
      <x:c r="AE82" s="3"/>
      <x:c r="AF82" s="3"/>
      <x:c r="AG82" s="54"/>
      <x:c r="AH82" s="12"/>
      <x:c r="AI82" s="12" t="n">
        <x:v>0.04</x:v>
      </x:c>
      <x:c r="AJ82" s="12"/>
      <x:c r="AK82" s="12"/>
      <x:c r="AL82" s="19" t="s">
        <x:v>427</x:v>
      </x:c>
      <x:c r="AM82" s="3" t="s">
        <x:v>107</x:v>
      </x:c>
      <x:c r="AN82" s="3" t="n">
        <x:v>0</x:v>
      </x:c>
      <x:c r="AO82" s="3" t="n">
        <x:v>1</x:v>
      </x:c>
      <x:c r="AP82" s="3" t="s">
        <x:v>433</x:v>
      </x:c>
      <x:c r="AQ82" s="3" t="s">
        <x:v>412</x:v>
      </x:c>
      <x:c r="AR82" s="3" t="s">
        <x:v>107</x:v>
      </x:c>
      <x:c r="AS82" s="3"/>
      <x:c r="AT82" s="3"/>
      <x:c r="AU82" s="54"/>
      <x:c r="AV82" s="12"/>
      <x:c r="AW82" s="3" t="s">
        <x:v>439</x:v>
      </x:c>
      <x:c r="AX82" s="3" t="s">
        <x:v>761</x:v>
      </x:c>
      <x:c r="AY82" s="3" t="s">
        <x:v>498</x:v>
      </x:c>
      <x:c r="AZ82" s="3" t="s">
        <x:v>422</x:v>
      </x:c>
      <x:c r="BA82" s="3" t="s">
        <x:v>423</x:v>
      </x:c>
      <x:c r="BB82" s="11" t="str">
        <x:f aca="0">""</x:f>
      </x:c>
      <x:c r="BC82" s="11" t="n">
        <x:f aca="0">0</x:f>
        <x:v>0</x:v>
      </x:c>
      <x:c r="BD82" s="11" t="str">
        <x:f aca="0">""</x:f>
      </x:c>
      <x:c r="BE82" s="19" t="str">
        <x:f aca="0">"N/A"</x:f>
        <x:v>N/A</x:v>
      </x:c>
      <x:c r="BF82" s="19" t="str">
        <x:f aca="0">""</x:f>
      </x:c>
    </x:row>
    <x:row r="83" ht="57.45000076293945" hidden="0">
      <x:c r="A83" s="3" t="n">
        <x:v>79</x:v>
      </x:c>
      <x:c r="B83" s="53" t="n">
        <x:v>46263</x:v>
      </x:c>
      <x:c r="C83" s="3" t="s">
        <x:v>742</x:v>
      </x:c>
      <x:c r="D83" s="3" t="s">
        <x:v>754</x:v>
      </x:c>
      <x:c r="E83" s="3" t="s">
        <x:v>762</x:v>
      </x:c>
      <x:c r="F83" s="3" t="s">
        <x:v>763</x:v>
      </x:c>
      <x:c r="G83" s="3" t="s">
        <x:v>409</x:v>
      </x:c>
      <x:c r="H83" s="3" t="s">
        <x:v>410</x:v>
      </x:c>
      <x:c r="I83" s="3" t="s">
        <x:v>757</x:v>
      </x:c>
      <x:c r="J83" s="3"/>
      <x:c r="K83" s="3"/>
      <x:c r="L83" s="54" t="n">
        <x:v>1.60445648832179</x:v>
      </x:c>
      <x:c r="M83" s="54" t="n">
        <x:v>0.745543511678206</x:v>
      </x:c>
      <x:c r="N83" s="12" t="n">
        <x:v>0.46</x:v>
      </x:c>
      <x:c r="O83" s="12" t="n">
        <x:v>0.4</x:v>
      </x:c>
      <x:c r="P83" s="12" t="n">
        <x:v>0.15</x:v>
      </x:c>
      <x:c r="Q83" s="3" t="str">
        <x:f aca="0">"1"</x:f>
        <x:v>1</x:v>
      </x:c>
      <x:c r="R83" s="3" t="s">
        <x:v>762</x:v>
      </x:c>
      <x:c r="S83" s="3" t="str">
        <x:f aca="0">"Eldense"</x:f>
        <x:v>Eldense</x:v>
      </x:c>
      <x:c r="T83" s="3"/>
      <x:c r="U83" s="3"/>
      <x:c r="V83" s="3"/>
      <x:c r="W83" s="12"/>
      <x:c r="X83" s="12"/>
      <x:c r="Y83" s="12"/>
      <x:c r="Z83" s="13" t="n">
        <x:v>76</x:v>
      </x:c>
      <x:c r="AA83" s="3" t="s">
        <x:v>426</x:v>
      </x:c>
      <x:c r="AB83" s="54"/>
      <x:c r="AC83" s="54"/>
      <x:c r="AD83" s="54"/>
      <x:c r="AE83" s="3"/>
      <x:c r="AF83" s="3"/>
      <x:c r="AG83" s="54"/>
      <x:c r="AH83" s="12"/>
      <x:c r="AI83" s="12" t="n">
        <x:v>0.04</x:v>
      </x:c>
      <x:c r="AJ83" s="12"/>
      <x:c r="AK83" s="12"/>
      <x:c r="AL83" s="19" t="s">
        <x:v>427</x:v>
      </x:c>
      <x:c r="AM83" s="3" t="s">
        <x:v>107</x:v>
      </x:c>
      <x:c r="AN83" s="3" t="n">
        <x:v>1</x:v>
      </x:c>
      <x:c r="AO83" s="3" t="n">
        <x:v>0</x:v>
      </x:c>
      <x:c r="AP83" s="3" t="s">
        <x:v>478</x:v>
      </x:c>
      <x:c r="AQ83" s="3" t="s">
        <x:v>446</x:v>
      </x:c>
      <x:c r="AR83" s="3" t="s">
        <x:v>102</x:v>
      </x:c>
      <x:c r="AS83" s="3"/>
      <x:c r="AT83" s="3"/>
      <x:c r="AU83" s="54"/>
      <x:c r="AV83" s="12"/>
      <x:c r="AW83" s="3" t="s">
        <x:v>434</x:v>
      </x:c>
      <x:c r="AX83" s="3" t="s">
        <x:v>764</x:v>
      </x:c>
      <x:c r="AY83" s="3" t="s">
        <x:v>498</x:v>
      </x:c>
      <x:c r="AZ83" s="3" t="s">
        <x:v>422</x:v>
      </x:c>
      <x:c r="BA83" s="3" t="s">
        <x:v>423</x:v>
      </x:c>
      <x:c r="BB83" s="11" t="str">
        <x:f aca="0">""</x:f>
      </x:c>
      <x:c r="BC83" s="11" t="n">
        <x:f aca="0">0</x:f>
        <x:v>0</x:v>
      </x:c>
      <x:c r="BD83" s="11" t="str">
        <x:f aca="0">""</x:f>
      </x:c>
      <x:c r="BE83" s="19" t="str">
        <x:f aca="0">"N/A"</x:f>
        <x:v>N/A</x:v>
      </x:c>
      <x:c r="BF83" s="19" t="str">
        <x:f aca="0">""</x:f>
      </x:c>
    </x:row>
    <x:row r="84" ht="57.45000076293945" hidden="0">
      <x:c r="A84" s="3" t="n">
        <x:v>80</x:v>
      </x:c>
      <x:c r="B84" s="53" t="n">
        <x:v>46263</x:v>
      </x:c>
      <x:c r="C84" s="3" t="s">
        <x:v>742</x:v>
      </x:c>
      <x:c r="D84" s="3" t="s">
        <x:v>754</x:v>
      </x:c>
      <x:c r="E84" s="3" t="s">
        <x:v>765</x:v>
      </x:c>
      <x:c r="F84" s="3" t="s">
        <x:v>766</x:v>
      </x:c>
      <x:c r="G84" s="3" t="s">
        <x:v>409</x:v>
      </x:c>
      <x:c r="H84" s="3" t="s">
        <x:v>723</x:v>
      </x:c>
      <x:c r="I84" s="3" t="s">
        <x:v>757</x:v>
      </x:c>
      <x:c r="J84" s="3"/>
      <x:c r="K84" s="3"/>
      <x:c r="L84" s="54" t="n">
        <x:v>0.677438496003875</x:v>
      </x:c>
      <x:c r="M84" s="54" t="n">
        <x:v>1.92256150399613</x:v>
      </x:c>
      <x:c r="N84" s="12" t="n">
        <x:v>0.18</x:v>
      </x:c>
      <x:c r="O84" s="12" t="n">
        <x:v>0.22</x:v>
      </x:c>
      <x:c r="P84" s="12" t="n">
        <x:v>0.6</x:v>
      </x:c>
      <x:c r="Q84" s="3" t="str">
        <x:f aca="0">"2"</x:f>
        <x:v>2</x:v>
      </x:c>
      <x:c r="R84" s="3" t="s">
        <x:v>766</x:v>
      </x:c>
      <x:c r="S84" s="3" t="str">
        <x:f aca="0">"Girona"</x:f>
        <x:v>Girona</x:v>
      </x:c>
      <x:c r="T84" s="3"/>
      <x:c r="U84" s="3"/>
      <x:c r="V84" s="3"/>
      <x:c r="W84" s="12"/>
      <x:c r="X84" s="12"/>
      <x:c r="Y84" s="12"/>
      <x:c r="Z84" s="13" t="n">
        <x:v>83</x:v>
      </x:c>
      <x:c r="AA84" s="3" t="s">
        <x:v>426</x:v>
      </x:c>
      <x:c r="AB84" s="54"/>
      <x:c r="AC84" s="54"/>
      <x:c r="AD84" s="54"/>
      <x:c r="AE84" s="3"/>
      <x:c r="AF84" s="3"/>
      <x:c r="AG84" s="54"/>
      <x:c r="AH84" s="12"/>
      <x:c r="AI84" s="12" t="n">
        <x:v>0.04</x:v>
      </x:c>
      <x:c r="AJ84" s="12"/>
      <x:c r="AK84" s="12"/>
      <x:c r="AL84" s="19" t="s">
        <x:v>427</x:v>
      </x:c>
      <x:c r="AM84" s="3" t="s">
        <x:v>107</x:v>
      </x:c>
      <x:c r="AN84" s="3" t="n">
        <x:v>5</x:v>
      </x:c>
      <x:c r="AO84" s="3" t="n">
        <x:v>2</x:v>
      </x:c>
      <x:c r="AP84" s="3" t="s">
        <x:v>737</x:v>
      </x:c>
      <x:c r="AQ84" s="3" t="s">
        <x:v>446</x:v>
      </x:c>
      <x:c r="AR84" s="3" t="s">
        <x:v>107</x:v>
      </x:c>
      <x:c r="AS84" s="3"/>
      <x:c r="AT84" s="3"/>
      <x:c r="AU84" s="54"/>
      <x:c r="AV84" s="12"/>
      <x:c r="AW84" s="3" t="s">
        <x:v>456</x:v>
      </x:c>
      <x:c r="AX84" s="3" t="s">
        <x:v>767</x:v>
      </x:c>
      <x:c r="AY84" s="3" t="s">
        <x:v>498</x:v>
      </x:c>
      <x:c r="AZ84" s="3" t="s">
        <x:v>422</x:v>
      </x:c>
      <x:c r="BA84" s="3" t="s">
        <x:v>423</x:v>
      </x:c>
      <x:c r="BB84" s="11" t="str">
        <x:f aca="0">""</x:f>
      </x:c>
      <x:c r="BC84" s="11" t="n">
        <x:f aca="0">0</x:f>
        <x:v>0</x:v>
      </x:c>
      <x:c r="BD84" s="11" t="str">
        <x:f aca="0">""</x:f>
      </x:c>
      <x:c r="BE84" s="19" t="str">
        <x:f aca="0">"N/A"</x:f>
        <x:v>N/A</x:v>
      </x:c>
      <x:c r="BF84" s="19" t="str">
        <x:f aca="0">""</x:f>
      </x:c>
    </x:row>
    <x:row r="85" ht="57.45000076293945" hidden="0">
      <x:c r="A85" s="3" t="n">
        <x:v>81</x:v>
      </x:c>
      <x:c r="B85" s="53" t="n">
        <x:v>46263</x:v>
      </x:c>
      <x:c r="C85" s="3" t="s">
        <x:v>768</x:v>
      </x:c>
      <x:c r="D85" s="3" t="s">
        <x:v>769</x:v>
      </x:c>
      <x:c r="E85" s="3" t="s">
        <x:v>770</x:v>
      </x:c>
      <x:c r="F85" s="3" t="s">
        <x:v>771</x:v>
      </x:c>
      <x:c r="G85" s="3" t="s">
        <x:v>409</x:v>
      </x:c>
      <x:c r="H85" s="3" t="s">
        <x:v>410</x:v>
      </x:c>
      <x:c r="I85" s="3" t="s">
        <x:v>772</x:v>
      </x:c>
      <x:c r="J85" s="3"/>
      <x:c r="K85" s="3"/>
      <x:c r="L85" s="54" t="n">
        <x:v>1.63146695186902</x:v>
      </x:c>
      <x:c r="M85" s="54" t="n">
        <x:v>1.36853304813098</x:v>
      </x:c>
      <x:c r="N85" s="12" t="n">
        <x:v>0.29</x:v>
      </x:c>
      <x:c r="O85" s="12" t="n">
        <x:v>0.35</x:v>
      </x:c>
      <x:c r="P85" s="12" t="n">
        <x:v>0.36</x:v>
      </x:c>
      <x:c r="Q85" s="3" t="str">
        <x:f aca="0">"2"</x:f>
        <x:v>2</x:v>
      </x:c>
      <x:c r="R85" s="3" t="s">
        <x:v>770</x:v>
      </x:c>
      <x:c r="S85" s="3" t="str">
        <x:f aca="0">"Marítimo"</x:f>
        <x:v>Marítimo</x:v>
      </x:c>
      <x:c r="T85" s="3"/>
      <x:c r="U85" s="3"/>
      <x:c r="V85" s="3"/>
      <x:c r="W85" s="12"/>
      <x:c r="X85" s="12"/>
      <x:c r="Y85" s="12"/>
      <x:c r="Z85" s="13" t="n">
        <x:v>65</x:v>
      </x:c>
      <x:c r="AA85" s="3" t="s">
        <x:v>426</x:v>
      </x:c>
      <x:c r="AB85" s="54"/>
      <x:c r="AC85" s="54"/>
      <x:c r="AD85" s="54"/>
      <x:c r="AE85" s="3"/>
      <x:c r="AF85" s="3"/>
      <x:c r="AG85" s="54"/>
      <x:c r="AH85" s="12"/>
      <x:c r="AI85" s="12" t="n">
        <x:v>0.04</x:v>
      </x:c>
      <x:c r="AJ85" s="12"/>
      <x:c r="AK85" s="12"/>
      <x:c r="AL85" s="19" t="s">
        <x:v>427</x:v>
      </x:c>
      <x:c r="AM85" s="3" t="s">
        <x:v>107</x:v>
      </x:c>
      <x:c r="AN85" s="3" t="n">
        <x:v>2</x:v>
      </x:c>
      <x:c r="AO85" s="3" t="n">
        <x:v>1</x:v>
      </x:c>
      <x:c r="AP85" s="3" t="s">
        <x:v>471</x:v>
      </x:c>
      <x:c r="AQ85" s="3" t="s">
        <x:v>446</x:v>
      </x:c>
      <x:c r="AR85" s="3" t="s">
        <x:v>107</x:v>
      </x:c>
      <x:c r="AS85" s="3"/>
      <x:c r="AT85" s="3"/>
      <x:c r="AU85" s="54"/>
      <x:c r="AV85" s="12"/>
      <x:c r="AW85" s="3" t="s">
        <x:v>456</x:v>
      </x:c>
      <x:c r="AX85" s="3" t="s">
        <x:v>773</x:v>
      </x:c>
      <x:c r="AY85" s="3" t="s">
        <x:v>498</x:v>
      </x:c>
      <x:c r="AZ85" s="3" t="s">
        <x:v>422</x:v>
      </x:c>
      <x:c r="BA85" s="3" t="s">
        <x:v>423</x:v>
      </x:c>
      <x:c r="BB85" s="11" t="str">
        <x:f aca="0">""</x:f>
      </x:c>
      <x:c r="BC85" s="11" t="n">
        <x:f aca="0">0</x:f>
        <x:v>0</x:v>
      </x:c>
      <x:c r="BD85" s="11" t="str">
        <x:f aca="0">""</x:f>
      </x:c>
      <x:c r="BE85" s="19" t="str">
        <x:f aca="0">"N/A"</x:f>
        <x:v>N/A</x:v>
      </x:c>
      <x:c r="BF85" s="19" t="str">
        <x:f aca="0">""</x:f>
      </x:c>
    </x:row>
    <x:row r="86" ht="57.45000076293945" hidden="0">
      <x:c r="A86" s="3" t="n">
        <x:v>82</x:v>
      </x:c>
      <x:c r="B86" s="53" t="n">
        <x:v>46263</x:v>
      </x:c>
      <x:c r="C86" s="3" t="s">
        <x:v>768</x:v>
      </x:c>
      <x:c r="D86" s="3" t="s">
        <x:v>769</x:v>
      </x:c>
      <x:c r="E86" s="3" t="s">
        <x:v>774</x:v>
      </x:c>
      <x:c r="F86" s="3" t="s">
        <x:v>775</x:v>
      </x:c>
      <x:c r="G86" s="3" t="s">
        <x:v>409</x:v>
      </x:c>
      <x:c r="H86" s="3" t="s">
        <x:v>410</x:v>
      </x:c>
      <x:c r="I86" s="3" t="s">
        <x:v>772</x:v>
      </x:c>
      <x:c r="J86" s="3"/>
      <x:c r="K86" s="3"/>
      <x:c r="L86" s="54" t="n">
        <x:v>1.04934347663707</x:v>
      </x:c>
      <x:c r="M86" s="54" t="n">
        <x:v>1.28065652336293</x:v>
      </x:c>
      <x:c r="N86" s="12" t="n">
        <x:v>0.23</x:v>
      </x:c>
      <x:c r="O86" s="12" t="n">
        <x:v>0.32</x:v>
      </x:c>
      <x:c r="P86" s="12" t="n">
        <x:v>0.45</x:v>
      </x:c>
      <x:c r="Q86" s="3" t="str">
        <x:f aca="0">"2"</x:f>
        <x:v>2</x:v>
      </x:c>
      <x:c r="R86" s="3" t="s">
        <x:v>775</x:v>
      </x:c>
      <x:c r="S86" s="3" t="str">
        <x:f aca="0">"Alverca"</x:f>
        <x:v>Alverca</x:v>
      </x:c>
      <x:c r="T86" s="3"/>
      <x:c r="U86" s="3"/>
      <x:c r="V86" s="3"/>
      <x:c r="W86" s="12"/>
      <x:c r="X86" s="12"/>
      <x:c r="Y86" s="12"/>
      <x:c r="Z86" s="13" t="n">
        <x:v>64</x:v>
      </x:c>
      <x:c r="AA86" s="3" t="s">
        <x:v>426</x:v>
      </x:c>
      <x:c r="AB86" s="54"/>
      <x:c r="AC86" s="54"/>
      <x:c r="AD86" s="54"/>
      <x:c r="AE86" s="3"/>
      <x:c r="AF86" s="3"/>
      <x:c r="AG86" s="54"/>
      <x:c r="AH86" s="12"/>
      <x:c r="AI86" s="12" t="n">
        <x:v>0.04</x:v>
      </x:c>
      <x:c r="AJ86" s="12"/>
      <x:c r="AK86" s="12"/>
      <x:c r="AL86" s="19" t="s">
        <x:v>427</x:v>
      </x:c>
      <x:c r="AM86" s="3" t="s">
        <x:v>107</x:v>
      </x:c>
      <x:c r="AN86" s="3" t="n">
        <x:v>1</x:v>
      </x:c>
      <x:c r="AO86" s="3" t="n">
        <x:v>1</x:v>
      </x:c>
      <x:c r="AP86" s="3" t="s">
        <x:v>428</x:v>
      </x:c>
      <x:c r="AQ86" s="3" t="s">
        <x:v>417</x:v>
      </x:c>
      <x:c r="AR86" s="3" t="s">
        <x:v>107</x:v>
      </x:c>
      <x:c r="AS86" s="3"/>
      <x:c r="AT86" s="3"/>
      <x:c r="AU86" s="54"/>
      <x:c r="AV86" s="12"/>
      <x:c r="AW86" s="3" t="s">
        <x:v>429</x:v>
      </x:c>
      <x:c r="AX86" s="3" t="s">
        <x:v>776</x:v>
      </x:c>
      <x:c r="AY86" s="3" t="s">
        <x:v>498</x:v>
      </x:c>
      <x:c r="AZ86" s="3" t="s">
        <x:v>422</x:v>
      </x:c>
      <x:c r="BA86" s="3" t="s">
        <x:v>423</x:v>
      </x:c>
      <x:c r="BB86" s="11" t="str">
        <x:f aca="0">""</x:f>
      </x:c>
      <x:c r="BC86" s="11" t="n">
        <x:f aca="0">0</x:f>
        <x:v>0</x:v>
      </x:c>
      <x:c r="BD86" s="11" t="str">
        <x:f aca="0">""</x:f>
      </x:c>
      <x:c r="BE86" s="19" t="str">
        <x:f aca="0">"N/A"</x:f>
        <x:v>N/A</x:v>
      </x:c>
      <x:c r="BF86" s="19" t="str">
        <x:f aca="0">""</x:f>
      </x:c>
    </x:row>
    <x:row r="87" ht="57.45000076293945" hidden="0">
      <x:c r="A87" s="3" t="n">
        <x:v>83</x:v>
      </x:c>
      <x:c r="B87" s="53" t="n">
        <x:v>46263</x:v>
      </x:c>
      <x:c r="C87" s="3" t="s">
        <x:v>768</x:v>
      </x:c>
      <x:c r="D87" s="3" t="s">
        <x:v>769</x:v>
      </x:c>
      <x:c r="E87" s="3" t="s">
        <x:v>777</x:v>
      </x:c>
      <x:c r="F87" s="3" t="s">
        <x:v>778</x:v>
      </x:c>
      <x:c r="G87" s="3" t="s">
        <x:v>409</x:v>
      </x:c>
      <x:c r="H87" s="3" t="s">
        <x:v>410</x:v>
      </x:c>
      <x:c r="I87" s="3" t="s">
        <x:v>772</x:v>
      </x:c>
      <x:c r="J87" s="3"/>
      <x:c r="K87" s="3"/>
      <x:c r="L87" s="54" t="n">
        <x:v>0.15</x:v>
      </x:c>
      <x:c r="M87" s="54" t="n">
        <x:v>2</x:v>
      </x:c>
      <x:c r="N87" s="12" t="n">
        <x:v>0.06</x:v>
      </x:c>
      <x:c r="O87" s="12" t="n">
        <x:v>0.16</x:v>
      </x:c>
      <x:c r="P87" s="12" t="n">
        <x:v>0.79</x:v>
      </x:c>
      <x:c r="Q87" s="3" t="str">
        <x:f aca="0">"2"</x:f>
        <x:v>2</x:v>
      </x:c>
      <x:c r="R87" s="3" t="s">
        <x:v>778</x:v>
      </x:c>
      <x:c r="S87" s="3" t="str">
        <x:f aca="0">"Académico Viseu"</x:f>
        <x:v>Académico Viseu</x:v>
      </x:c>
      <x:c r="T87" s="3" t="n">
        <x:v>4</x:v>
      </x:c>
      <x:c r="U87" s="3" t="s">
        <x:v>446</x:v>
      </x:c>
      <x:c r="V87" s="3" t="s">
        <x:v>779</x:v>
      </x:c>
      <x:c r="W87" s="12" t="n">
        <x:v>0.870064772498526</x:v>
      </x:c>
      <x:c r="X87" s="12" t="n">
        <x:v>0.0824336525078912</x:v>
      </x:c>
      <x:c r="Y87" s="12" t="n">
        <x:v>0.0475015749935826</x:v>
      </x:c>
      <x:c r="Z87" s="13" t="n">
        <x:v>90</x:v>
      </x:c>
      <x:c r="AA87" s="3" t="s">
        <x:v>426</x:v>
      </x:c>
      <x:c r="AB87" s="54" t="n">
        <x:v>1.14933971769521</x:v>
      </x:c>
      <x:c r="AC87" s="54" t="n">
        <x:v>1.24128689511082</x:v>
      </x:c>
      <x:c r="AD87" s="54"/>
      <x:c r="AE87" s="3"/>
      <x:c r="AF87" s="3"/>
      <x:c r="AG87" s="54"/>
      <x:c r="AH87" s="12"/>
      <x:c r="AI87" s="12" t="n">
        <x:v>0.04</x:v>
      </x:c>
      <x:c r="AJ87" s="12"/>
      <x:c r="AK87" s="12"/>
      <x:c r="AL87" s="19" t="s">
        <x:v>415</x:v>
      </x:c>
      <x:c r="AM87" s="3" t="s">
        <x:v>107</x:v>
      </x:c>
      <x:c r="AN87" s="3" t="n">
        <x:v>0</x:v>
      </x:c>
      <x:c r="AO87" s="3" t="n">
        <x:v>3</x:v>
      </x:c>
      <x:c r="AP87" s="3" t="s">
        <x:v>451</x:v>
      </x:c>
      <x:c r="AQ87" s="3" t="s">
        <x:v>412</x:v>
      </x:c>
      <x:c r="AR87" s="3" t="s">
        <x:v>102</x:v>
      </x:c>
      <x:c r="AS87" s="3" t="s">
        <x:v>446</x:v>
      </x:c>
      <x:c r="AT87" s="3" t="s">
        <x:v>418</x:v>
      </x:c>
      <x:c r="AU87" s="54"/>
      <x:c r="AV87" s="12"/>
      <x:c r="AW87" s="3" t="s">
        <x:v>447</x:v>
      </x:c>
      <x:c r="AX87" s="3" t="s">
        <x:v>780</x:v>
      </x:c>
      <x:c r="AY87" s="3" t="s">
        <x:v>498</x:v>
      </x:c>
      <x:c r="AZ87" s="3" t="s">
        <x:v>422</x:v>
      </x:c>
      <x:c r="BA87" s="3" t="s">
        <x:v>423</x:v>
      </x:c>
      <x:c r="BB87" s="11" t="n">
        <x:f aca="0">0.03</x:f>
        <x:v>0.03</x:v>
      </x:c>
      <x:c r="BC87" s="11" t="n">
        <x:f aca="0">0.05243365250789117</x:f>
        <x:v>0.05243365250789117</x:v>
      </x:c>
      <x:c r="BD87" s="11" t="str">
        <x:f aca="0">""</x:f>
      </x:c>
      <x:c r="BE87" s="19" t="str">
        <x:f aca="0">"NO BET – +4 STRICT"</x:f>
        <x:v>NO BET – +4 STRICT</x:v>
      </x:c>
      <x:c r="BF87" s="19" t="str">
        <x:f aca="0">""</x:f>
      </x:c>
    </x:row>
    <x:row r="88" ht="14.25" hidden="0">
      <x:c r="A88" s="3"/>
      <x:c r="B88" s="55"/>
      <x:c r="C88" s="4"/>
      <x:c r="D88" s="4"/>
      <x:c r="E88" s="4"/>
      <x:c r="F88" s="4"/>
      <x:c r="G88" s="4"/>
      <x:c r="H88" s="56"/>
      <x:c r="I88" s="4"/>
      <x:c r="J88" s="4"/>
      <x:c r="K88" s="4"/>
      <x:c r="L88" s="7"/>
      <x:c r="M88" s="7"/>
      <x:c r="N88" s="57"/>
      <x:c r="O88" s="57"/>
      <x:c r="P88" s="57"/>
      <x:c r="Q88" s="3" t="str">
        <x:f aca="0">""</x:f>
      </x:c>
      <x:c r="R88" s="4"/>
      <x:c r="S88" s="4"/>
      <x:c r="T88" s="4"/>
      <x:c r="U88" s="56"/>
      <x:c r="V88" s="4"/>
      <x:c r="W88" s="57" t="str">
        <x:f aca="0">""</x:f>
      </x:c>
      <x:c r="X88" s="57" t="str">
        <x:f aca="0">""</x:f>
      </x:c>
      <x:c r="Y88" s="57" t="str">
        <x:f aca="0">""</x:f>
      </x:c>
      <x:c r="Z88" s="58"/>
      <x:c r="AA88" s="4"/>
      <x:c r="AB88" s="54" t="str">
        <x:f aca="0">""</x:f>
      </x:c>
      <x:c r="AC88" s="54" t="str">
        <x:f aca="0">""</x:f>
      </x:c>
      <x:c r="AD88" s="7"/>
      <x:c r="AE88" s="4"/>
      <x:c r="AF88" s="4"/>
      <x:c r="AG88" s="7"/>
      <x:c r="AH88" s="12" t="str">
        <x:f aca="0">""</x:f>
      </x:c>
      <x:c r="AI88" s="12" t="str">
        <x:f aca="0">""</x:f>
      </x:c>
      <x:c r="AJ88" s="12" t="str">
        <x:f aca="0">""</x:f>
      </x:c>
      <x:c r="AK88" s="12" t="str">
        <x:f aca="0">""</x:f>
      </x:c>
      <x:c r="AL88" s="19" t="str">
        <x:f aca="0">""</x:f>
      </x:c>
      <x:c r="AM88" s="56"/>
      <x:c r="AN88" s="4"/>
      <x:c r="AO88" s="4"/>
      <x:c r="AP88" s="3" t="str">
        <x:f aca="0">""</x:f>
      </x:c>
      <x:c r="AQ88" s="3" t="str">
        <x:f aca="0">""</x:f>
      </x:c>
      <x:c r="AR88" s="3" t="str">
        <x:f aca="0">""</x:f>
      </x:c>
      <x:c r="AS88" s="3" t="str">
        <x:f aca="0">""</x:f>
      </x:c>
      <x:c r="AT88" s="3" t="str">
        <x:f aca="0">""</x:f>
      </x:c>
      <x:c r="AU88" s="54" t="str">
        <x:f aca="0">""</x:f>
      </x:c>
      <x:c r="AV88" s="12" t="str">
        <x:f aca="0">""</x:f>
      </x:c>
      <x:c r="AW88" s="4"/>
      <x:c r="AX88" s="4"/>
      <x:c r="AY88" s="4"/>
      <x:c r="AZ88" s="56"/>
      <x:c r="BA88" s="4"/>
      <x:c r="BB88" s="11" t="str">
        <x:f aca="0">""</x:f>
      </x:c>
      <x:c r="BC88" s="11" t="str">
        <x:f aca="0">""</x:f>
      </x:c>
      <x:c r="BD88" s="11" t="str">
        <x:f aca="0">""</x:f>
      </x:c>
      <x:c r="BE88" s="19" t="str">
        <x:f aca="0">""</x:f>
      </x:c>
      <x:c r="BF88" s="19" t="str">
        <x:f aca="0">""</x:f>
      </x:c>
    </x:row>
    <x:row r="89" ht="14.25" hidden="0">
      <x:c r="A89" s="3"/>
      <x:c r="B89" s="55"/>
      <x:c r="C89" s="4"/>
      <x:c r="D89" s="4"/>
      <x:c r="E89" s="4"/>
      <x:c r="F89" s="4"/>
      <x:c r="G89" s="4"/>
      <x:c r="H89" s="56"/>
      <x:c r="I89" s="4"/>
      <x:c r="J89" s="4"/>
      <x:c r="K89" s="4"/>
      <x:c r="L89" s="7"/>
      <x:c r="M89" s="7"/>
      <x:c r="N89" s="57"/>
      <x:c r="O89" s="57"/>
      <x:c r="P89" s="57"/>
      <x:c r="Q89" s="3" t="str">
        <x:f aca="0">""</x:f>
      </x:c>
      <x:c r="R89" s="4"/>
      <x:c r="S89" s="4"/>
      <x:c r="T89" s="4"/>
      <x:c r="U89" s="56"/>
      <x:c r="V89" s="4"/>
      <x:c r="W89" s="57" t="str">
        <x:f aca="0">""</x:f>
      </x:c>
      <x:c r="X89" s="57" t="str">
        <x:f aca="0">""</x:f>
      </x:c>
      <x:c r="Y89" s="57" t="str">
        <x:f aca="0">""</x:f>
      </x:c>
      <x:c r="Z89" s="58"/>
      <x:c r="AA89" s="4"/>
      <x:c r="AB89" s="54" t="str">
        <x:f aca="0">""</x:f>
      </x:c>
      <x:c r="AC89" s="54" t="str">
        <x:f aca="0">""</x:f>
      </x:c>
      <x:c r="AD89" s="7"/>
      <x:c r="AE89" s="4"/>
      <x:c r="AF89" s="4"/>
      <x:c r="AG89" s="7"/>
      <x:c r="AH89" s="12" t="str">
        <x:f aca="0">""</x:f>
      </x:c>
      <x:c r="AI89" s="12" t="str">
        <x:f aca="0">""</x:f>
      </x:c>
      <x:c r="AJ89" s="12" t="str">
        <x:f aca="0">""</x:f>
      </x:c>
      <x:c r="AK89" s="12" t="str">
        <x:f aca="0">""</x:f>
      </x:c>
      <x:c r="AL89" s="19" t="str">
        <x:f aca="0">""</x:f>
      </x:c>
      <x:c r="AM89" s="56"/>
      <x:c r="AN89" s="4"/>
      <x:c r="AO89" s="4"/>
      <x:c r="AP89" s="3" t="str">
        <x:f aca="0">""</x:f>
      </x:c>
      <x:c r="AQ89" s="3" t="str">
        <x:f aca="0">""</x:f>
      </x:c>
      <x:c r="AR89" s="3" t="str">
        <x:f aca="0">""</x:f>
      </x:c>
      <x:c r="AS89" s="3" t="str">
        <x:f aca="0">""</x:f>
      </x:c>
      <x:c r="AT89" s="3" t="str">
        <x:f aca="0">""</x:f>
      </x:c>
      <x:c r="AU89" s="54" t="str">
        <x:f aca="0">""</x:f>
      </x:c>
      <x:c r="AV89" s="12" t="str">
        <x:f aca="0">""</x:f>
      </x:c>
      <x:c r="AW89" s="4"/>
      <x:c r="AX89" s="4"/>
      <x:c r="AY89" s="4"/>
      <x:c r="AZ89" s="56"/>
      <x:c r="BA89" s="4"/>
      <x:c r="BB89" s="11" t="str">
        <x:f aca="0">""</x:f>
      </x:c>
      <x:c r="BC89" s="11" t="str">
        <x:f aca="0">""</x:f>
      </x:c>
      <x:c r="BD89" s="11" t="str">
        <x:f aca="0">""</x:f>
      </x:c>
      <x:c r="BE89" s="19" t="str">
        <x:f aca="0">""</x:f>
      </x:c>
      <x:c r="BF89" s="19" t="str">
        <x:f aca="0">""</x:f>
      </x:c>
    </x:row>
    <x:row r="90" ht="14.25" hidden="0">
      <x:c r="A90" s="3"/>
      <x:c r="B90" s="55"/>
      <x:c r="C90" s="4"/>
      <x:c r="D90" s="4"/>
      <x:c r="E90" s="4"/>
      <x:c r="F90" s="4"/>
      <x:c r="G90" s="4"/>
      <x:c r="H90" s="56"/>
      <x:c r="I90" s="4"/>
      <x:c r="J90" s="4"/>
      <x:c r="K90" s="4"/>
      <x:c r="L90" s="7"/>
      <x:c r="M90" s="7"/>
      <x:c r="N90" s="57"/>
      <x:c r="O90" s="57"/>
      <x:c r="P90" s="57"/>
      <x:c r="Q90" s="3" t="str">
        <x:f aca="0">""</x:f>
      </x:c>
      <x:c r="R90" s="4"/>
      <x:c r="S90" s="4"/>
      <x:c r="T90" s="4"/>
      <x:c r="U90" s="56"/>
      <x:c r="V90" s="4"/>
      <x:c r="W90" s="57" t="str">
        <x:f aca="0">""</x:f>
      </x:c>
      <x:c r="X90" s="57" t="str">
        <x:f aca="0">""</x:f>
      </x:c>
      <x:c r="Y90" s="57" t="str">
        <x:f aca="0">""</x:f>
      </x:c>
      <x:c r="Z90" s="58"/>
      <x:c r="AA90" s="4"/>
      <x:c r="AB90" s="54" t="str">
        <x:f aca="0">""</x:f>
      </x:c>
      <x:c r="AC90" s="54" t="str">
        <x:f aca="0">""</x:f>
      </x:c>
      <x:c r="AD90" s="7"/>
      <x:c r="AE90" s="4"/>
      <x:c r="AF90" s="4"/>
      <x:c r="AG90" s="7"/>
      <x:c r="AH90" s="12" t="str">
        <x:f aca="0">""</x:f>
      </x:c>
      <x:c r="AI90" s="12" t="str">
        <x:f aca="0">""</x:f>
      </x:c>
      <x:c r="AJ90" s="12" t="str">
        <x:f aca="0">""</x:f>
      </x:c>
      <x:c r="AK90" s="12" t="str">
        <x:f aca="0">""</x:f>
      </x:c>
      <x:c r="AL90" s="19" t="str">
        <x:f aca="0">""</x:f>
      </x:c>
      <x:c r="AM90" s="56"/>
      <x:c r="AN90" s="4"/>
      <x:c r="AO90" s="4"/>
      <x:c r="AP90" s="3" t="str">
        <x:f aca="0">""</x:f>
      </x:c>
      <x:c r="AQ90" s="3" t="str">
        <x:f aca="0">""</x:f>
      </x:c>
      <x:c r="AR90" s="3" t="str">
        <x:f aca="0">""</x:f>
      </x:c>
      <x:c r="AS90" s="3" t="str">
        <x:f aca="0">""</x:f>
      </x:c>
      <x:c r="AT90" s="3" t="str">
        <x:f aca="0">""</x:f>
      </x:c>
      <x:c r="AU90" s="54" t="str">
        <x:f aca="0">""</x:f>
      </x:c>
      <x:c r="AV90" s="12" t="str">
        <x:f aca="0">""</x:f>
      </x:c>
      <x:c r="AW90" s="4"/>
      <x:c r="AX90" s="4"/>
      <x:c r="AY90" s="4"/>
      <x:c r="AZ90" s="56"/>
      <x:c r="BA90" s="4"/>
      <x:c r="BB90" s="11" t="str">
        <x:f aca="0">""</x:f>
      </x:c>
      <x:c r="BC90" s="11" t="str">
        <x:f aca="0">""</x:f>
      </x:c>
      <x:c r="BD90" s="11" t="str">
        <x:f aca="0">""</x:f>
      </x:c>
      <x:c r="BE90" s="19" t="str">
        <x:f aca="0">""</x:f>
      </x:c>
      <x:c r="BF90" s="19" t="str">
        <x:f aca="0">""</x:f>
      </x:c>
    </x:row>
    <x:row r="91" ht="14.25" hidden="0">
      <x:c r="A91" s="3"/>
      <x:c r="B91" s="55"/>
      <x:c r="C91" s="4"/>
      <x:c r="D91" s="4"/>
      <x:c r="E91" s="4"/>
      <x:c r="F91" s="4"/>
      <x:c r="G91" s="4"/>
      <x:c r="H91" s="56"/>
      <x:c r="I91" s="4"/>
      <x:c r="J91" s="4"/>
      <x:c r="K91" s="4"/>
      <x:c r="L91" s="7"/>
      <x:c r="M91" s="7"/>
      <x:c r="N91" s="57"/>
      <x:c r="O91" s="57"/>
      <x:c r="P91" s="57"/>
      <x:c r="Q91" s="3" t="str">
        <x:f aca="0">""</x:f>
      </x:c>
      <x:c r="R91" s="4"/>
      <x:c r="S91" s="4"/>
      <x:c r="T91" s="4"/>
      <x:c r="U91" s="56"/>
      <x:c r="V91" s="4"/>
      <x:c r="W91" s="57" t="str">
        <x:f aca="0">""</x:f>
      </x:c>
      <x:c r="X91" s="57" t="str">
        <x:f aca="0">""</x:f>
      </x:c>
      <x:c r="Y91" s="57" t="str">
        <x:f aca="0">""</x:f>
      </x:c>
      <x:c r="Z91" s="58"/>
      <x:c r="AA91" s="4"/>
      <x:c r="AB91" s="54" t="str">
        <x:f aca="0">""</x:f>
      </x:c>
      <x:c r="AC91" s="54" t="str">
        <x:f aca="0">""</x:f>
      </x:c>
      <x:c r="AD91" s="7"/>
      <x:c r="AE91" s="4"/>
      <x:c r="AF91" s="4"/>
      <x:c r="AG91" s="7"/>
      <x:c r="AH91" s="12" t="str">
        <x:f aca="0">""</x:f>
      </x:c>
      <x:c r="AI91" s="12" t="str">
        <x:f aca="0">""</x:f>
      </x:c>
      <x:c r="AJ91" s="12" t="str">
        <x:f aca="0">""</x:f>
      </x:c>
      <x:c r="AK91" s="12" t="str">
        <x:f aca="0">""</x:f>
      </x:c>
      <x:c r="AL91" s="19" t="str">
        <x:f aca="0">""</x:f>
      </x:c>
      <x:c r="AM91" s="56"/>
      <x:c r="AN91" s="4"/>
      <x:c r="AO91" s="4"/>
      <x:c r="AP91" s="3" t="str">
        <x:f aca="0">""</x:f>
      </x:c>
      <x:c r="AQ91" s="3" t="str">
        <x:f aca="0">""</x:f>
      </x:c>
      <x:c r="AR91" s="3" t="str">
        <x:f aca="0">""</x:f>
      </x:c>
      <x:c r="AS91" s="3" t="str">
        <x:f aca="0">""</x:f>
      </x:c>
      <x:c r="AT91" s="3" t="str">
        <x:f aca="0">""</x:f>
      </x:c>
      <x:c r="AU91" s="54" t="str">
        <x:f aca="0">""</x:f>
      </x:c>
      <x:c r="AV91" s="12" t="str">
        <x:f aca="0">""</x:f>
      </x:c>
      <x:c r="AW91" s="4"/>
      <x:c r="AX91" s="4"/>
      <x:c r="AY91" s="4"/>
      <x:c r="AZ91" s="56"/>
      <x:c r="BA91" s="4"/>
      <x:c r="BB91" s="11" t="str">
        <x:f aca="0">""</x:f>
      </x:c>
      <x:c r="BC91" s="11" t="str">
        <x:f aca="0">""</x:f>
      </x:c>
      <x:c r="BD91" s="11" t="str">
        <x:f aca="0">""</x:f>
      </x:c>
      <x:c r="BE91" s="19" t="str">
        <x:f aca="0">""</x:f>
      </x:c>
      <x:c r="BF91" s="19" t="str">
        <x:f aca="0">""</x:f>
      </x:c>
    </x:row>
    <x:row r="92" ht="14.25" hidden="0">
      <x:c r="A92" s="3"/>
      <x:c r="B92" s="55"/>
      <x:c r="C92" s="4"/>
      <x:c r="D92" s="4"/>
      <x:c r="E92" s="4"/>
      <x:c r="F92" s="4"/>
      <x:c r="G92" s="4"/>
      <x:c r="H92" s="56"/>
      <x:c r="I92" s="4"/>
      <x:c r="J92" s="4"/>
      <x:c r="K92" s="4"/>
      <x:c r="L92" s="7"/>
      <x:c r="M92" s="7"/>
      <x:c r="N92" s="57"/>
      <x:c r="O92" s="57"/>
      <x:c r="P92" s="57"/>
      <x:c r="Q92" s="3" t="str">
        <x:f aca="0">""</x:f>
      </x:c>
      <x:c r="R92" s="4"/>
      <x:c r="S92" s="4"/>
      <x:c r="T92" s="4"/>
      <x:c r="U92" s="56"/>
      <x:c r="V92" s="4"/>
      <x:c r="W92" s="57" t="str">
        <x:f aca="0">""</x:f>
      </x:c>
      <x:c r="X92" s="57" t="str">
        <x:f aca="0">""</x:f>
      </x:c>
      <x:c r="Y92" s="57" t="str">
        <x:f aca="0">""</x:f>
      </x:c>
      <x:c r="Z92" s="58"/>
      <x:c r="AA92" s="4"/>
      <x:c r="AB92" s="54" t="str">
        <x:f aca="0">""</x:f>
      </x:c>
      <x:c r="AC92" s="54" t="str">
        <x:f aca="0">""</x:f>
      </x:c>
      <x:c r="AD92" s="7"/>
      <x:c r="AE92" s="4"/>
      <x:c r="AF92" s="4"/>
      <x:c r="AG92" s="7"/>
      <x:c r="AH92" s="12" t="str">
        <x:f aca="0">""</x:f>
      </x:c>
      <x:c r="AI92" s="12" t="str">
        <x:f aca="0">""</x:f>
      </x:c>
      <x:c r="AJ92" s="12" t="str">
        <x:f aca="0">""</x:f>
      </x:c>
      <x:c r="AK92" s="12" t="str">
        <x:f aca="0">""</x:f>
      </x:c>
      <x:c r="AL92" s="19" t="str">
        <x:f aca="0">""</x:f>
      </x:c>
      <x:c r="AM92" s="56"/>
      <x:c r="AN92" s="4"/>
      <x:c r="AO92" s="4"/>
      <x:c r="AP92" s="3" t="str">
        <x:f aca="0">""</x:f>
      </x:c>
      <x:c r="AQ92" s="3" t="str">
        <x:f aca="0">""</x:f>
      </x:c>
      <x:c r="AR92" s="3" t="str">
        <x:f aca="0">""</x:f>
      </x:c>
      <x:c r="AS92" s="3" t="str">
        <x:f aca="0">""</x:f>
      </x:c>
      <x:c r="AT92" s="3" t="str">
        <x:f aca="0">""</x:f>
      </x:c>
      <x:c r="AU92" s="54" t="str">
        <x:f aca="0">""</x:f>
      </x:c>
      <x:c r="AV92" s="12" t="str">
        <x:f aca="0">""</x:f>
      </x:c>
      <x:c r="AW92" s="4"/>
      <x:c r="AX92" s="4"/>
      <x:c r="AY92" s="4"/>
      <x:c r="AZ92" s="56"/>
      <x:c r="BA92" s="4"/>
      <x:c r="BB92" s="11" t="str">
        <x:f aca="0">""</x:f>
      </x:c>
      <x:c r="BC92" s="11" t="str">
        <x:f aca="0">""</x:f>
      </x:c>
      <x:c r="BD92" s="11" t="str">
        <x:f aca="0">""</x:f>
      </x:c>
      <x:c r="BE92" s="19" t="str">
        <x:f aca="0">""</x:f>
      </x:c>
      <x:c r="BF92" s="19" t="str">
        <x:f aca="0">""</x:f>
      </x:c>
    </x:row>
    <x:row r="93" ht="14.25" hidden="0">
      <x:c r="A93" s="3"/>
      <x:c r="B93" s="55"/>
      <x:c r="C93" s="4"/>
      <x:c r="D93" s="4"/>
      <x:c r="E93" s="4"/>
      <x:c r="F93" s="4"/>
      <x:c r="G93" s="4"/>
      <x:c r="H93" s="56"/>
      <x:c r="I93" s="4"/>
      <x:c r="J93" s="4"/>
      <x:c r="K93" s="4"/>
      <x:c r="L93" s="7"/>
      <x:c r="M93" s="7"/>
      <x:c r="N93" s="57"/>
      <x:c r="O93" s="57"/>
      <x:c r="P93" s="57"/>
      <x:c r="Q93" s="3" t="str">
        <x:f aca="0">""</x:f>
      </x:c>
      <x:c r="R93" s="4"/>
      <x:c r="S93" s="4"/>
      <x:c r="T93" s="4"/>
      <x:c r="U93" s="56"/>
      <x:c r="V93" s="4"/>
      <x:c r="W93" s="57" t="str">
        <x:f aca="0">""</x:f>
      </x:c>
      <x:c r="X93" s="57" t="str">
        <x:f aca="0">""</x:f>
      </x:c>
      <x:c r="Y93" s="57" t="str">
        <x:f aca="0">""</x:f>
      </x:c>
      <x:c r="Z93" s="58"/>
      <x:c r="AA93" s="4"/>
      <x:c r="AB93" s="54" t="str">
        <x:f aca="0">""</x:f>
      </x:c>
      <x:c r="AC93" s="54" t="str">
        <x:f aca="0">""</x:f>
      </x:c>
      <x:c r="AD93" s="7"/>
      <x:c r="AE93" s="4"/>
      <x:c r="AF93" s="4"/>
      <x:c r="AG93" s="7"/>
      <x:c r="AH93" s="12" t="str">
        <x:f aca="0">""</x:f>
      </x:c>
      <x:c r="AI93" s="12" t="str">
        <x:f aca="0">""</x:f>
      </x:c>
      <x:c r="AJ93" s="12" t="str">
        <x:f aca="0">""</x:f>
      </x:c>
      <x:c r="AK93" s="12" t="str">
        <x:f aca="0">""</x:f>
      </x:c>
      <x:c r="AL93" s="19" t="str">
        <x:f aca="0">""</x:f>
      </x:c>
      <x:c r="AM93" s="56"/>
      <x:c r="AN93" s="4"/>
      <x:c r="AO93" s="4"/>
      <x:c r="AP93" s="3" t="str">
        <x:f aca="0">""</x:f>
      </x:c>
      <x:c r="AQ93" s="3" t="str">
        <x:f aca="0">""</x:f>
      </x:c>
      <x:c r="AR93" s="3" t="str">
        <x:f aca="0">""</x:f>
      </x:c>
      <x:c r="AS93" s="3" t="str">
        <x:f aca="0">""</x:f>
      </x:c>
      <x:c r="AT93" s="3" t="str">
        <x:f aca="0">""</x:f>
      </x:c>
      <x:c r="AU93" s="54" t="str">
        <x:f aca="0">""</x:f>
      </x:c>
      <x:c r="AV93" s="12" t="str">
        <x:f aca="0">""</x:f>
      </x:c>
      <x:c r="AW93" s="4"/>
      <x:c r="AX93" s="4"/>
      <x:c r="AY93" s="4"/>
      <x:c r="AZ93" s="56"/>
      <x:c r="BA93" s="4"/>
      <x:c r="BB93" s="11" t="str">
        <x:f aca="0">""</x:f>
      </x:c>
      <x:c r="BC93" s="11" t="str">
        <x:f aca="0">""</x:f>
      </x:c>
      <x:c r="BD93" s="11" t="str">
        <x:f aca="0">""</x:f>
      </x:c>
      <x:c r="BE93" s="19" t="str">
        <x:f aca="0">""</x:f>
      </x:c>
      <x:c r="BF93" s="19" t="str">
        <x:f aca="0">""</x:f>
      </x:c>
    </x:row>
    <x:row r="94" ht="14.25" hidden="0">
      <x:c r="A94" s="3"/>
      <x:c r="B94" s="55"/>
      <x:c r="C94" s="4"/>
      <x:c r="D94" s="4"/>
      <x:c r="E94" s="4"/>
      <x:c r="F94" s="4"/>
      <x:c r="G94" s="4"/>
      <x:c r="H94" s="56"/>
      <x:c r="I94" s="4"/>
      <x:c r="J94" s="4"/>
      <x:c r="K94" s="4"/>
      <x:c r="L94" s="7"/>
      <x:c r="M94" s="7"/>
      <x:c r="N94" s="57"/>
      <x:c r="O94" s="57"/>
      <x:c r="P94" s="57"/>
      <x:c r="Q94" s="3" t="str">
        <x:f aca="0">""</x:f>
      </x:c>
      <x:c r="R94" s="4"/>
      <x:c r="S94" s="4"/>
      <x:c r="T94" s="4"/>
      <x:c r="U94" s="56"/>
      <x:c r="V94" s="4"/>
      <x:c r="W94" s="57" t="str">
        <x:f aca="0">""</x:f>
      </x:c>
      <x:c r="X94" s="57" t="str">
        <x:f aca="0">""</x:f>
      </x:c>
      <x:c r="Y94" s="57" t="str">
        <x:f aca="0">""</x:f>
      </x:c>
      <x:c r="Z94" s="58"/>
      <x:c r="AA94" s="4"/>
      <x:c r="AB94" s="54" t="str">
        <x:f aca="0">""</x:f>
      </x:c>
      <x:c r="AC94" s="54" t="str">
        <x:f aca="0">""</x:f>
      </x:c>
      <x:c r="AD94" s="7"/>
      <x:c r="AE94" s="4"/>
      <x:c r="AF94" s="4"/>
      <x:c r="AG94" s="7"/>
      <x:c r="AH94" s="12" t="str">
        <x:f aca="0">""</x:f>
      </x:c>
      <x:c r="AI94" s="12" t="str">
        <x:f aca="0">""</x:f>
      </x:c>
      <x:c r="AJ94" s="12" t="str">
        <x:f aca="0">""</x:f>
      </x:c>
      <x:c r="AK94" s="12" t="str">
        <x:f aca="0">""</x:f>
      </x:c>
      <x:c r="AL94" s="19" t="str">
        <x:f aca="0">""</x:f>
      </x:c>
      <x:c r="AM94" s="56"/>
      <x:c r="AN94" s="4"/>
      <x:c r="AO94" s="4"/>
      <x:c r="AP94" s="3" t="str">
        <x:f aca="0">""</x:f>
      </x:c>
      <x:c r="AQ94" s="3" t="str">
        <x:f aca="0">""</x:f>
      </x:c>
      <x:c r="AR94" s="3" t="str">
        <x:f aca="0">""</x:f>
      </x:c>
      <x:c r="AS94" s="3" t="str">
        <x:f aca="0">""</x:f>
      </x:c>
      <x:c r="AT94" s="3" t="str">
        <x:f aca="0">""</x:f>
      </x:c>
      <x:c r="AU94" s="54" t="str">
        <x:f aca="0">""</x:f>
      </x:c>
      <x:c r="AV94" s="12" t="str">
        <x:f aca="0">""</x:f>
      </x:c>
      <x:c r="AW94" s="4"/>
      <x:c r="AX94" s="4"/>
      <x:c r="AY94" s="4"/>
      <x:c r="AZ94" s="56"/>
      <x:c r="BA94" s="4"/>
      <x:c r="BB94" s="11" t="str">
        <x:f aca="0">""</x:f>
      </x:c>
      <x:c r="BC94" s="11" t="str">
        <x:f aca="0">""</x:f>
      </x:c>
      <x:c r="BD94" s="11" t="str">
        <x:f aca="0">""</x:f>
      </x:c>
      <x:c r="BE94" s="19" t="str">
        <x:f aca="0">""</x:f>
      </x:c>
      <x:c r="BF94" s="19" t="str">
        <x:f aca="0">""</x:f>
      </x:c>
    </x:row>
    <x:row r="95" ht="14.25" hidden="0">
      <x:c r="A95" s="3"/>
      <x:c r="B95" s="55"/>
      <x:c r="C95" s="4"/>
      <x:c r="D95" s="4"/>
      <x:c r="E95" s="4"/>
      <x:c r="F95" s="4"/>
      <x:c r="G95" s="4"/>
      <x:c r="H95" s="56"/>
      <x:c r="I95" s="4"/>
      <x:c r="J95" s="4"/>
      <x:c r="K95" s="4"/>
      <x:c r="L95" s="7"/>
      <x:c r="M95" s="7"/>
      <x:c r="N95" s="57"/>
      <x:c r="O95" s="57"/>
      <x:c r="P95" s="57"/>
      <x:c r="Q95" s="3" t="str">
        <x:f aca="0">""</x:f>
      </x:c>
      <x:c r="R95" s="4"/>
      <x:c r="S95" s="4"/>
      <x:c r="T95" s="4"/>
      <x:c r="U95" s="56"/>
      <x:c r="V95" s="4"/>
      <x:c r="W95" s="57" t="str">
        <x:f aca="0">""</x:f>
      </x:c>
      <x:c r="X95" s="57" t="str">
        <x:f aca="0">""</x:f>
      </x:c>
      <x:c r="Y95" s="57" t="str">
        <x:f aca="0">""</x:f>
      </x:c>
      <x:c r="Z95" s="58"/>
      <x:c r="AA95" s="4"/>
      <x:c r="AB95" s="54" t="str">
        <x:f aca="0">""</x:f>
      </x:c>
      <x:c r="AC95" s="54" t="str">
        <x:f aca="0">""</x:f>
      </x:c>
      <x:c r="AD95" s="7"/>
      <x:c r="AE95" s="4"/>
      <x:c r="AF95" s="4"/>
      <x:c r="AG95" s="7"/>
      <x:c r="AH95" s="12" t="str">
        <x:f aca="0">""</x:f>
      </x:c>
      <x:c r="AI95" s="12" t="str">
        <x:f aca="0">""</x:f>
      </x:c>
      <x:c r="AJ95" s="12" t="str">
        <x:f aca="0">""</x:f>
      </x:c>
      <x:c r="AK95" s="12" t="str">
        <x:f aca="0">""</x:f>
      </x:c>
      <x:c r="AL95" s="19" t="str">
        <x:f aca="0">""</x:f>
      </x:c>
      <x:c r="AM95" s="56"/>
      <x:c r="AN95" s="4"/>
      <x:c r="AO95" s="4"/>
      <x:c r="AP95" s="3" t="str">
        <x:f aca="0">""</x:f>
      </x:c>
      <x:c r="AQ95" s="3" t="str">
        <x:f aca="0">""</x:f>
      </x:c>
      <x:c r="AR95" s="3" t="str">
        <x:f aca="0">""</x:f>
      </x:c>
      <x:c r="AS95" s="3" t="str">
        <x:f aca="0">""</x:f>
      </x:c>
      <x:c r="AT95" s="3" t="str">
        <x:f aca="0">""</x:f>
      </x:c>
      <x:c r="AU95" s="54" t="str">
        <x:f aca="0">""</x:f>
      </x:c>
      <x:c r="AV95" s="12" t="str">
        <x:f aca="0">""</x:f>
      </x:c>
      <x:c r="AW95" s="4"/>
      <x:c r="AX95" s="4"/>
      <x:c r="AY95" s="4"/>
      <x:c r="AZ95" s="56"/>
      <x:c r="BA95" s="4"/>
      <x:c r="BB95" s="11" t="str">
        <x:f aca="0">""</x:f>
      </x:c>
      <x:c r="BC95" s="11" t="str">
        <x:f aca="0">""</x:f>
      </x:c>
      <x:c r="BD95" s="11" t="str">
        <x:f aca="0">""</x:f>
      </x:c>
      <x:c r="BE95" s="19" t="str">
        <x:f aca="0">""</x:f>
      </x:c>
      <x:c r="BF95" s="19" t="str">
        <x:f aca="0">""</x:f>
      </x:c>
    </x:row>
    <x:row r="96" ht="14.25" hidden="0">
      <x:c r="A96" s="3"/>
      <x:c r="B96" s="55"/>
      <x:c r="C96" s="4"/>
      <x:c r="D96" s="4"/>
      <x:c r="E96" s="4"/>
      <x:c r="F96" s="4"/>
      <x:c r="G96" s="4"/>
      <x:c r="H96" s="56"/>
      <x:c r="I96" s="4"/>
      <x:c r="J96" s="4"/>
      <x:c r="K96" s="4"/>
      <x:c r="L96" s="7"/>
      <x:c r="M96" s="7"/>
      <x:c r="N96" s="57"/>
      <x:c r="O96" s="57"/>
      <x:c r="P96" s="57"/>
      <x:c r="Q96" s="3" t="str">
        <x:f aca="0">""</x:f>
      </x:c>
      <x:c r="R96" s="4"/>
      <x:c r="S96" s="4"/>
      <x:c r="T96" s="4"/>
      <x:c r="U96" s="56"/>
      <x:c r="V96" s="4"/>
      <x:c r="W96" s="57" t="str">
        <x:f aca="0">""</x:f>
      </x:c>
      <x:c r="X96" s="57" t="str">
        <x:f aca="0">""</x:f>
      </x:c>
      <x:c r="Y96" s="57" t="str">
        <x:f aca="0">""</x:f>
      </x:c>
      <x:c r="Z96" s="58"/>
      <x:c r="AA96" s="4"/>
      <x:c r="AB96" s="54" t="str">
        <x:f aca="0">""</x:f>
      </x:c>
      <x:c r="AC96" s="54" t="str">
        <x:f aca="0">""</x:f>
      </x:c>
      <x:c r="AD96" s="7"/>
      <x:c r="AE96" s="4"/>
      <x:c r="AF96" s="4"/>
      <x:c r="AG96" s="7"/>
      <x:c r="AH96" s="12" t="str">
        <x:f aca="0">""</x:f>
      </x:c>
      <x:c r="AI96" s="12" t="str">
        <x:f aca="0">""</x:f>
      </x:c>
      <x:c r="AJ96" s="12" t="str">
        <x:f aca="0">""</x:f>
      </x:c>
      <x:c r="AK96" s="12" t="str">
        <x:f aca="0">""</x:f>
      </x:c>
      <x:c r="AL96" s="19" t="str">
        <x:f aca="0">""</x:f>
      </x:c>
      <x:c r="AM96" s="56"/>
      <x:c r="AN96" s="4"/>
      <x:c r="AO96" s="4"/>
      <x:c r="AP96" s="3" t="str">
        <x:f aca="0">""</x:f>
      </x:c>
      <x:c r="AQ96" s="3" t="str">
        <x:f aca="0">""</x:f>
      </x:c>
      <x:c r="AR96" s="3" t="str">
        <x:f aca="0">""</x:f>
      </x:c>
      <x:c r="AS96" s="3" t="str">
        <x:f aca="0">""</x:f>
      </x:c>
      <x:c r="AT96" s="3" t="str">
        <x:f aca="0">""</x:f>
      </x:c>
      <x:c r="AU96" s="54" t="str">
        <x:f aca="0">""</x:f>
      </x:c>
      <x:c r="AV96" s="12" t="str">
        <x:f aca="0">""</x:f>
      </x:c>
      <x:c r="AW96" s="4"/>
      <x:c r="AX96" s="4"/>
      <x:c r="AY96" s="4"/>
      <x:c r="AZ96" s="56"/>
      <x:c r="BA96" s="4"/>
      <x:c r="BB96" s="11" t="str">
        <x:f aca="0">""</x:f>
      </x:c>
      <x:c r="BC96" s="11" t="str">
        <x:f aca="0">""</x:f>
      </x:c>
      <x:c r="BD96" s="11" t="str">
        <x:f aca="0">""</x:f>
      </x:c>
      <x:c r="BE96" s="19" t="str">
        <x:f aca="0">""</x:f>
      </x:c>
      <x:c r="BF96" s="19" t="str">
        <x:f aca="0">""</x:f>
      </x:c>
    </x:row>
    <x:row r="97" ht="14.25" hidden="0">
      <x:c r="A97" s="3"/>
      <x:c r="B97" s="55"/>
      <x:c r="C97" s="4"/>
      <x:c r="D97" s="4"/>
      <x:c r="E97" s="4"/>
      <x:c r="F97" s="4"/>
      <x:c r="G97" s="4"/>
      <x:c r="H97" s="56"/>
      <x:c r="I97" s="4"/>
      <x:c r="J97" s="4"/>
      <x:c r="K97" s="4"/>
      <x:c r="L97" s="7"/>
      <x:c r="M97" s="7"/>
      <x:c r="N97" s="57"/>
      <x:c r="O97" s="57"/>
      <x:c r="P97" s="57"/>
      <x:c r="Q97" s="3" t="str">
        <x:f aca="0">""</x:f>
      </x:c>
      <x:c r="R97" s="4"/>
      <x:c r="S97" s="4"/>
      <x:c r="T97" s="4"/>
      <x:c r="U97" s="56"/>
      <x:c r="V97" s="4"/>
      <x:c r="W97" s="57" t="str">
        <x:f aca="0">""</x:f>
      </x:c>
      <x:c r="X97" s="57" t="str">
        <x:f aca="0">""</x:f>
      </x:c>
      <x:c r="Y97" s="57" t="str">
        <x:f aca="0">""</x:f>
      </x:c>
      <x:c r="Z97" s="58"/>
      <x:c r="AA97" s="4"/>
      <x:c r="AB97" s="54" t="str">
        <x:f aca="0">""</x:f>
      </x:c>
      <x:c r="AC97" s="54" t="str">
        <x:f aca="0">""</x:f>
      </x:c>
      <x:c r="AD97" s="7"/>
      <x:c r="AE97" s="4"/>
      <x:c r="AF97" s="4"/>
      <x:c r="AG97" s="7"/>
      <x:c r="AH97" s="12" t="str">
        <x:f aca="0">""</x:f>
      </x:c>
      <x:c r="AI97" s="12" t="str">
        <x:f aca="0">""</x:f>
      </x:c>
      <x:c r="AJ97" s="12" t="str">
        <x:f aca="0">""</x:f>
      </x:c>
      <x:c r="AK97" s="12" t="str">
        <x:f aca="0">""</x:f>
      </x:c>
      <x:c r="AL97" s="19" t="str">
        <x:f aca="0">""</x:f>
      </x:c>
      <x:c r="AM97" s="56"/>
      <x:c r="AN97" s="4"/>
      <x:c r="AO97" s="4"/>
      <x:c r="AP97" s="3" t="str">
        <x:f aca="0">""</x:f>
      </x:c>
      <x:c r="AQ97" s="3" t="str">
        <x:f aca="0">""</x:f>
      </x:c>
      <x:c r="AR97" s="3" t="str">
        <x:f aca="0">""</x:f>
      </x:c>
      <x:c r="AS97" s="3" t="str">
        <x:f aca="0">""</x:f>
      </x:c>
      <x:c r="AT97" s="3" t="str">
        <x:f aca="0">""</x:f>
      </x:c>
      <x:c r="AU97" s="54" t="str">
        <x:f aca="0">""</x:f>
      </x:c>
      <x:c r="AV97" s="12" t="str">
        <x:f aca="0">""</x:f>
      </x:c>
      <x:c r="AW97" s="4"/>
      <x:c r="AX97" s="4"/>
      <x:c r="AY97" s="4"/>
      <x:c r="AZ97" s="56"/>
      <x:c r="BA97" s="4"/>
      <x:c r="BB97" s="11" t="str">
        <x:f aca="0">""</x:f>
      </x:c>
      <x:c r="BC97" s="11" t="str">
        <x:f aca="0">""</x:f>
      </x:c>
      <x:c r="BD97" s="11" t="str">
        <x:f aca="0">""</x:f>
      </x:c>
      <x:c r="BE97" s="19" t="str">
        <x:f aca="0">""</x:f>
      </x:c>
      <x:c r="BF97" s="19" t="str">
        <x:f aca="0">""</x:f>
      </x:c>
    </x:row>
    <x:row r="98" ht="14.25" hidden="0">
      <x:c r="A98" s="3"/>
      <x:c r="B98" s="55"/>
      <x:c r="C98" s="4"/>
      <x:c r="D98" s="4"/>
      <x:c r="E98" s="4"/>
      <x:c r="F98" s="4"/>
      <x:c r="G98" s="4"/>
      <x:c r="H98" s="56"/>
      <x:c r="I98" s="4"/>
      <x:c r="J98" s="4"/>
      <x:c r="K98" s="4"/>
      <x:c r="L98" s="7"/>
      <x:c r="M98" s="7"/>
      <x:c r="N98" s="57"/>
      <x:c r="O98" s="57"/>
      <x:c r="P98" s="57"/>
      <x:c r="Q98" s="3" t="str">
        <x:f aca="0">""</x:f>
      </x:c>
      <x:c r="R98" s="4"/>
      <x:c r="S98" s="4"/>
      <x:c r="T98" s="4"/>
      <x:c r="U98" s="56"/>
      <x:c r="V98" s="4"/>
      <x:c r="W98" s="57" t="str">
        <x:f aca="0">""</x:f>
      </x:c>
      <x:c r="X98" s="57" t="str">
        <x:f aca="0">""</x:f>
      </x:c>
      <x:c r="Y98" s="57" t="str">
        <x:f aca="0">""</x:f>
      </x:c>
      <x:c r="Z98" s="58"/>
      <x:c r="AA98" s="4"/>
      <x:c r="AB98" s="54" t="str">
        <x:f aca="0">""</x:f>
      </x:c>
      <x:c r="AC98" s="54" t="str">
        <x:f aca="0">""</x:f>
      </x:c>
      <x:c r="AD98" s="7"/>
      <x:c r="AE98" s="4"/>
      <x:c r="AF98" s="4"/>
      <x:c r="AG98" s="7"/>
      <x:c r="AH98" s="12" t="str">
        <x:f aca="0">""</x:f>
      </x:c>
      <x:c r="AI98" s="12" t="str">
        <x:f aca="0">""</x:f>
      </x:c>
      <x:c r="AJ98" s="12" t="str">
        <x:f aca="0">""</x:f>
      </x:c>
      <x:c r="AK98" s="12" t="str">
        <x:f aca="0">""</x:f>
      </x:c>
      <x:c r="AL98" s="19" t="str">
        <x:f aca="0">""</x:f>
      </x:c>
      <x:c r="AM98" s="56"/>
      <x:c r="AN98" s="4"/>
      <x:c r="AO98" s="4"/>
      <x:c r="AP98" s="3" t="str">
        <x:f aca="0">""</x:f>
      </x:c>
      <x:c r="AQ98" s="3" t="str">
        <x:f aca="0">""</x:f>
      </x:c>
      <x:c r="AR98" s="3" t="str">
        <x:f aca="0">""</x:f>
      </x:c>
      <x:c r="AS98" s="3" t="str">
        <x:f aca="0">""</x:f>
      </x:c>
      <x:c r="AT98" s="3" t="str">
        <x:f aca="0">""</x:f>
      </x:c>
      <x:c r="AU98" s="54" t="str">
        <x:f aca="0">""</x:f>
      </x:c>
      <x:c r="AV98" s="12" t="str">
        <x:f aca="0">""</x:f>
      </x:c>
      <x:c r="AW98" s="4"/>
      <x:c r="AX98" s="4"/>
      <x:c r="AY98" s="4"/>
      <x:c r="AZ98" s="56"/>
      <x:c r="BA98" s="4"/>
      <x:c r="BB98" s="11" t="str">
        <x:f aca="0">""</x:f>
      </x:c>
      <x:c r="BC98" s="11" t="str">
        <x:f aca="0">""</x:f>
      </x:c>
      <x:c r="BD98" s="11" t="str">
        <x:f aca="0">""</x:f>
      </x:c>
      <x:c r="BE98" s="19" t="str">
        <x:f aca="0">""</x:f>
      </x:c>
      <x:c r="BF98" s="19" t="str">
        <x:f aca="0">""</x:f>
      </x:c>
    </x:row>
    <x:row r="99" ht="14.25" hidden="0">
      <x:c r="A99" s="3"/>
      <x:c r="B99" s="55"/>
      <x:c r="C99" s="4"/>
      <x:c r="D99" s="4"/>
      <x:c r="E99" s="4"/>
      <x:c r="F99" s="4"/>
      <x:c r="G99" s="4"/>
      <x:c r="H99" s="56"/>
      <x:c r="I99" s="4"/>
      <x:c r="J99" s="4"/>
      <x:c r="K99" s="4"/>
      <x:c r="L99" s="7"/>
      <x:c r="M99" s="7"/>
      <x:c r="N99" s="57"/>
      <x:c r="O99" s="57"/>
      <x:c r="P99" s="57"/>
      <x:c r="Q99" s="3" t="str">
        <x:f aca="0">""</x:f>
      </x:c>
      <x:c r="R99" s="4"/>
      <x:c r="S99" s="4"/>
      <x:c r="T99" s="4"/>
      <x:c r="U99" s="56"/>
      <x:c r="V99" s="4"/>
      <x:c r="W99" s="57" t="str">
        <x:f aca="0">""</x:f>
      </x:c>
      <x:c r="X99" s="57" t="str">
        <x:f aca="0">""</x:f>
      </x:c>
      <x:c r="Y99" s="57" t="str">
        <x:f aca="0">""</x:f>
      </x:c>
      <x:c r="Z99" s="58"/>
      <x:c r="AA99" s="4"/>
      <x:c r="AB99" s="54" t="str">
        <x:f aca="0">""</x:f>
      </x:c>
      <x:c r="AC99" s="54" t="str">
        <x:f aca="0">""</x:f>
      </x:c>
      <x:c r="AD99" s="7"/>
      <x:c r="AE99" s="4"/>
      <x:c r="AF99" s="4"/>
      <x:c r="AG99" s="7"/>
      <x:c r="AH99" s="12" t="str">
        <x:f aca="0">""</x:f>
      </x:c>
      <x:c r="AI99" s="12" t="str">
        <x:f aca="0">""</x:f>
      </x:c>
      <x:c r="AJ99" s="12" t="str">
        <x:f aca="0">""</x:f>
      </x:c>
      <x:c r="AK99" s="12" t="str">
        <x:f aca="0">""</x:f>
      </x:c>
      <x:c r="AL99" s="19" t="str">
        <x:f aca="0">""</x:f>
      </x:c>
      <x:c r="AM99" s="56"/>
      <x:c r="AN99" s="4"/>
      <x:c r="AO99" s="4"/>
      <x:c r="AP99" s="3" t="str">
        <x:f aca="0">""</x:f>
      </x:c>
      <x:c r="AQ99" s="3" t="str">
        <x:f aca="0">""</x:f>
      </x:c>
      <x:c r="AR99" s="3" t="str">
        <x:f aca="0">""</x:f>
      </x:c>
      <x:c r="AS99" s="3" t="str">
        <x:f aca="0">""</x:f>
      </x:c>
      <x:c r="AT99" s="3" t="str">
        <x:f aca="0">""</x:f>
      </x:c>
      <x:c r="AU99" s="54" t="str">
        <x:f aca="0">""</x:f>
      </x:c>
      <x:c r="AV99" s="12" t="str">
        <x:f aca="0">""</x:f>
      </x:c>
      <x:c r="AW99" s="4"/>
      <x:c r="AX99" s="4"/>
      <x:c r="AY99" s="4"/>
      <x:c r="AZ99" s="56"/>
      <x:c r="BA99" s="4"/>
      <x:c r="BB99" s="11" t="str">
        <x:f aca="0">""</x:f>
      </x:c>
      <x:c r="BC99" s="11" t="str">
        <x:f aca="0">""</x:f>
      </x:c>
      <x:c r="BD99" s="11" t="str">
        <x:f aca="0">""</x:f>
      </x:c>
      <x:c r="BE99" s="19" t="str">
        <x:f aca="0">""</x:f>
      </x:c>
      <x:c r="BF99" s="19" t="str">
        <x:f aca="0">""</x:f>
      </x:c>
    </x:row>
    <x:row r="100" ht="14.25" hidden="0">
      <x:c r="A100" s="3"/>
      <x:c r="B100" s="55"/>
      <x:c r="C100" s="4"/>
      <x:c r="D100" s="4"/>
      <x:c r="E100" s="4"/>
      <x:c r="F100" s="4"/>
      <x:c r="G100" s="4"/>
      <x:c r="H100" s="56"/>
      <x:c r="I100" s="4"/>
      <x:c r="J100" s="4"/>
      <x:c r="K100" s="4"/>
      <x:c r="L100" s="7"/>
      <x:c r="M100" s="7"/>
      <x:c r="N100" s="57"/>
      <x:c r="O100" s="57"/>
      <x:c r="P100" s="57"/>
      <x:c r="Q100" s="3" t="str">
        <x:f aca="0">""</x:f>
      </x:c>
      <x:c r="R100" s="4"/>
      <x:c r="S100" s="4"/>
      <x:c r="T100" s="4"/>
      <x:c r="U100" s="56"/>
      <x:c r="V100" s="4"/>
      <x:c r="W100" s="57" t="str">
        <x:f aca="0">""</x:f>
      </x:c>
      <x:c r="X100" s="57" t="str">
        <x:f aca="0">""</x:f>
      </x:c>
      <x:c r="Y100" s="57" t="str">
        <x:f aca="0">""</x:f>
      </x:c>
      <x:c r="Z100" s="58"/>
      <x:c r="AA100" s="4"/>
      <x:c r="AB100" s="54" t="str">
        <x:f aca="0">""</x:f>
      </x:c>
      <x:c r="AC100" s="54" t="str">
        <x:f aca="0">""</x:f>
      </x:c>
      <x:c r="AD100" s="7"/>
      <x:c r="AE100" s="4"/>
      <x:c r="AF100" s="4"/>
      <x:c r="AG100" s="7"/>
      <x:c r="AH100" s="12" t="str">
        <x:f aca="0">""</x:f>
      </x:c>
      <x:c r="AI100" s="12" t="str">
        <x:f aca="0">""</x:f>
      </x:c>
      <x:c r="AJ100" s="12" t="str">
        <x:f aca="0">""</x:f>
      </x:c>
      <x:c r="AK100" s="12" t="str">
        <x:f aca="0">""</x:f>
      </x:c>
      <x:c r="AL100" s="19" t="str">
        <x:f aca="0">""</x:f>
      </x:c>
      <x:c r="AM100" s="56"/>
      <x:c r="AN100" s="4"/>
      <x:c r="AO100" s="4"/>
      <x:c r="AP100" s="3" t="str">
        <x:f aca="0">""</x:f>
      </x:c>
      <x:c r="AQ100" s="3" t="str">
        <x:f aca="0">""</x:f>
      </x:c>
      <x:c r="AR100" s="3" t="str">
        <x:f aca="0">""</x:f>
      </x:c>
      <x:c r="AS100" s="3" t="str">
        <x:f aca="0">""</x:f>
      </x:c>
      <x:c r="AT100" s="3" t="str">
        <x:f aca="0">""</x:f>
      </x:c>
      <x:c r="AU100" s="54" t="str">
        <x:f aca="0">""</x:f>
      </x:c>
      <x:c r="AV100" s="12" t="str">
        <x:f aca="0">""</x:f>
      </x:c>
      <x:c r="AW100" s="4"/>
      <x:c r="AX100" s="4"/>
      <x:c r="AY100" s="4"/>
      <x:c r="AZ100" s="56"/>
      <x:c r="BA100" s="4"/>
      <x:c r="BB100" s="11" t="str">
        <x:f aca="0">""</x:f>
      </x:c>
      <x:c r="BC100" s="11" t="str">
        <x:f aca="0">""</x:f>
      </x:c>
      <x:c r="BD100" s="11" t="str">
        <x:f aca="0">""</x:f>
      </x:c>
      <x:c r="BE100" s="19" t="str">
        <x:f aca="0">""</x:f>
      </x:c>
      <x:c r="BF100" s="19" t="str">
        <x:f aca="0">""</x:f>
      </x:c>
    </x:row>
    <x:row r="101" ht="14.25" hidden="0">
      <x:c r="A101" s="3"/>
      <x:c r="B101" s="55"/>
      <x:c r="C101" s="4"/>
      <x:c r="D101" s="4"/>
      <x:c r="E101" s="4"/>
      <x:c r="F101" s="4"/>
      <x:c r="G101" s="4"/>
      <x:c r="H101" s="56"/>
      <x:c r="I101" s="4"/>
      <x:c r="J101" s="4"/>
      <x:c r="K101" s="4"/>
      <x:c r="L101" s="7"/>
      <x:c r="M101" s="7"/>
      <x:c r="N101" s="57"/>
      <x:c r="O101" s="57"/>
      <x:c r="P101" s="57"/>
      <x:c r="Q101" s="3" t="str">
        <x:f aca="0">""</x:f>
      </x:c>
      <x:c r="R101" s="4"/>
      <x:c r="S101" s="4"/>
      <x:c r="T101" s="4"/>
      <x:c r="U101" s="56"/>
      <x:c r="V101" s="4"/>
      <x:c r="W101" s="57" t="str">
        <x:f aca="0">""</x:f>
      </x:c>
      <x:c r="X101" s="57" t="str">
        <x:f aca="0">""</x:f>
      </x:c>
      <x:c r="Y101" s="57" t="str">
        <x:f aca="0">""</x:f>
      </x:c>
      <x:c r="Z101" s="58"/>
      <x:c r="AA101" s="4"/>
      <x:c r="AB101" s="54" t="str">
        <x:f aca="0">""</x:f>
      </x:c>
      <x:c r="AC101" s="54" t="str">
        <x:f aca="0">""</x:f>
      </x:c>
      <x:c r="AD101" s="7"/>
      <x:c r="AE101" s="4"/>
      <x:c r="AF101" s="4"/>
      <x:c r="AG101" s="7"/>
      <x:c r="AH101" s="12" t="str">
        <x:f aca="0">""</x:f>
      </x:c>
      <x:c r="AI101" s="12" t="str">
        <x:f aca="0">""</x:f>
      </x:c>
      <x:c r="AJ101" s="12" t="str">
        <x:f aca="0">""</x:f>
      </x:c>
      <x:c r="AK101" s="12" t="str">
        <x:f aca="0">""</x:f>
      </x:c>
      <x:c r="AL101" s="19" t="str">
        <x:f aca="0">""</x:f>
      </x:c>
      <x:c r="AM101" s="56"/>
      <x:c r="AN101" s="4"/>
      <x:c r="AO101" s="4"/>
      <x:c r="AP101" s="3" t="str">
        <x:f aca="0">""</x:f>
      </x:c>
      <x:c r="AQ101" s="3" t="str">
        <x:f aca="0">""</x:f>
      </x:c>
      <x:c r="AR101" s="3" t="str">
        <x:f aca="0">""</x:f>
      </x:c>
      <x:c r="AS101" s="3" t="str">
        <x:f aca="0">""</x:f>
      </x:c>
      <x:c r="AT101" s="3" t="str">
        <x:f aca="0">""</x:f>
      </x:c>
      <x:c r="AU101" s="54" t="str">
        <x:f aca="0">""</x:f>
      </x:c>
      <x:c r="AV101" s="12" t="str">
        <x:f aca="0">""</x:f>
      </x:c>
      <x:c r="AW101" s="4"/>
      <x:c r="AX101" s="4"/>
      <x:c r="AY101" s="4"/>
      <x:c r="AZ101" s="56"/>
      <x:c r="BA101" s="4"/>
      <x:c r="BB101" s="11" t="str">
        <x:f aca="0">""</x:f>
      </x:c>
      <x:c r="BC101" s="11" t="str">
        <x:f aca="0">""</x:f>
      </x:c>
      <x:c r="BD101" s="11" t="str">
        <x:f aca="0">""</x:f>
      </x:c>
      <x:c r="BE101" s="19" t="str">
        <x:f aca="0">""</x:f>
      </x:c>
      <x:c r="BF101" s="19" t="str">
        <x:f aca="0">""</x:f>
      </x:c>
    </x:row>
    <x:row r="102" ht="14.25" hidden="0">
      <x:c r="A102" s="3"/>
      <x:c r="B102" s="55"/>
      <x:c r="C102" s="4"/>
      <x:c r="D102" s="4"/>
      <x:c r="E102" s="4"/>
      <x:c r="F102" s="4"/>
      <x:c r="G102" s="4"/>
      <x:c r="H102" s="56"/>
      <x:c r="I102" s="4"/>
      <x:c r="J102" s="4"/>
      <x:c r="K102" s="4"/>
      <x:c r="L102" s="7"/>
      <x:c r="M102" s="7"/>
      <x:c r="N102" s="57"/>
      <x:c r="O102" s="57"/>
      <x:c r="P102" s="57"/>
      <x:c r="Q102" s="3" t="str">
        <x:f aca="0">""</x:f>
      </x:c>
      <x:c r="R102" s="4"/>
      <x:c r="S102" s="4"/>
      <x:c r="T102" s="4"/>
      <x:c r="U102" s="56"/>
      <x:c r="V102" s="4"/>
      <x:c r="W102" s="57" t="str">
        <x:f aca="0">""</x:f>
      </x:c>
      <x:c r="X102" s="57" t="str">
        <x:f aca="0">""</x:f>
      </x:c>
      <x:c r="Y102" s="57" t="str">
        <x:f aca="0">""</x:f>
      </x:c>
      <x:c r="Z102" s="58"/>
      <x:c r="AA102" s="4"/>
      <x:c r="AB102" s="54" t="str">
        <x:f aca="0">""</x:f>
      </x:c>
      <x:c r="AC102" s="54" t="str">
        <x:f aca="0">""</x:f>
      </x:c>
      <x:c r="AD102" s="7"/>
      <x:c r="AE102" s="4"/>
      <x:c r="AF102" s="4"/>
      <x:c r="AG102" s="7"/>
      <x:c r="AH102" s="12" t="str">
        <x:f aca="0">""</x:f>
      </x:c>
      <x:c r="AI102" s="12" t="str">
        <x:f aca="0">""</x:f>
      </x:c>
      <x:c r="AJ102" s="12" t="str">
        <x:f aca="0">""</x:f>
      </x:c>
      <x:c r="AK102" s="12" t="str">
        <x:f aca="0">""</x:f>
      </x:c>
      <x:c r="AL102" s="19" t="str">
        <x:f aca="0">""</x:f>
      </x:c>
      <x:c r="AM102" s="56"/>
      <x:c r="AN102" s="4"/>
      <x:c r="AO102" s="4"/>
      <x:c r="AP102" s="3" t="str">
        <x:f aca="0">""</x:f>
      </x:c>
      <x:c r="AQ102" s="3" t="str">
        <x:f aca="0">""</x:f>
      </x:c>
      <x:c r="AR102" s="3" t="str">
        <x:f aca="0">""</x:f>
      </x:c>
      <x:c r="AS102" s="3" t="str">
        <x:f aca="0">""</x:f>
      </x:c>
      <x:c r="AT102" s="3" t="str">
        <x:f aca="0">""</x:f>
      </x:c>
      <x:c r="AU102" s="54" t="str">
        <x:f aca="0">""</x:f>
      </x:c>
      <x:c r="AV102" s="12" t="str">
        <x:f aca="0">""</x:f>
      </x:c>
      <x:c r="AW102" s="4"/>
      <x:c r="AX102" s="4"/>
      <x:c r="AY102" s="4"/>
      <x:c r="AZ102" s="56"/>
      <x:c r="BA102" s="4"/>
      <x:c r="BB102" s="11" t="str">
        <x:f aca="0">""</x:f>
      </x:c>
      <x:c r="BC102" s="11" t="str">
        <x:f aca="0">""</x:f>
      </x:c>
      <x:c r="BD102" s="11" t="str">
        <x:f aca="0">""</x:f>
      </x:c>
      <x:c r="BE102" s="19" t="str">
        <x:f aca="0">""</x:f>
      </x:c>
      <x:c r="BF102" s="19" t="str">
        <x:f aca="0">""</x:f>
      </x:c>
    </x:row>
    <x:row r="103" ht="14.25" hidden="0">
      <x:c r="A103" s="3"/>
      <x:c r="B103" s="55"/>
      <x:c r="C103" s="4"/>
      <x:c r="D103" s="4"/>
      <x:c r="E103" s="4"/>
      <x:c r="F103" s="4"/>
      <x:c r="G103" s="4"/>
      <x:c r="H103" s="56"/>
      <x:c r="I103" s="4"/>
      <x:c r="J103" s="4"/>
      <x:c r="K103" s="4"/>
      <x:c r="L103" s="7"/>
      <x:c r="M103" s="7"/>
      <x:c r="N103" s="57"/>
      <x:c r="O103" s="57"/>
      <x:c r="P103" s="57"/>
      <x:c r="Q103" s="3" t="str">
        <x:f aca="0">""</x:f>
      </x:c>
      <x:c r="R103" s="4"/>
      <x:c r="S103" s="4"/>
      <x:c r="T103" s="4"/>
      <x:c r="U103" s="56"/>
      <x:c r="V103" s="4"/>
      <x:c r="W103" s="57" t="str">
        <x:f aca="0">""</x:f>
      </x:c>
      <x:c r="X103" s="57" t="str">
        <x:f aca="0">""</x:f>
      </x:c>
      <x:c r="Y103" s="57" t="str">
        <x:f aca="0">""</x:f>
      </x:c>
      <x:c r="Z103" s="58"/>
      <x:c r="AA103" s="4"/>
      <x:c r="AB103" s="54" t="str">
        <x:f aca="0">""</x:f>
      </x:c>
      <x:c r="AC103" s="54" t="str">
        <x:f aca="0">""</x:f>
      </x:c>
      <x:c r="AD103" s="7"/>
      <x:c r="AE103" s="4"/>
      <x:c r="AF103" s="4"/>
      <x:c r="AG103" s="7"/>
      <x:c r="AH103" s="12" t="str">
        <x:f aca="0">""</x:f>
      </x:c>
      <x:c r="AI103" s="12" t="str">
        <x:f aca="0">""</x:f>
      </x:c>
      <x:c r="AJ103" s="12" t="str">
        <x:f aca="0">""</x:f>
      </x:c>
      <x:c r="AK103" s="12" t="str">
        <x:f aca="0">""</x:f>
      </x:c>
      <x:c r="AL103" s="19" t="str">
        <x:f aca="0">""</x:f>
      </x:c>
      <x:c r="AM103" s="56"/>
      <x:c r="AN103" s="4"/>
      <x:c r="AO103" s="4"/>
      <x:c r="AP103" s="3" t="str">
        <x:f aca="0">""</x:f>
      </x:c>
      <x:c r="AQ103" s="3" t="str">
        <x:f aca="0">""</x:f>
      </x:c>
      <x:c r="AR103" s="3" t="str">
        <x:f aca="0">""</x:f>
      </x:c>
      <x:c r="AS103" s="3" t="str">
        <x:f aca="0">""</x:f>
      </x:c>
      <x:c r="AT103" s="3" t="str">
        <x:f aca="0">""</x:f>
      </x:c>
      <x:c r="AU103" s="54" t="str">
        <x:f aca="0">""</x:f>
      </x:c>
      <x:c r="AV103" s="12" t="str">
        <x:f aca="0">""</x:f>
      </x:c>
      <x:c r="AW103" s="4"/>
      <x:c r="AX103" s="4"/>
      <x:c r="AY103" s="4"/>
      <x:c r="AZ103" s="56"/>
      <x:c r="BA103" s="4"/>
      <x:c r="BB103" s="11" t="str">
        <x:f aca="0">""</x:f>
      </x:c>
      <x:c r="BC103" s="11" t="str">
        <x:f aca="0">""</x:f>
      </x:c>
      <x:c r="BD103" s="11" t="str">
        <x:f aca="0">""</x:f>
      </x:c>
      <x:c r="BE103" s="19" t="str">
        <x:f aca="0">""</x:f>
      </x:c>
      <x:c r="BF103" s="19" t="str">
        <x:f aca="0">""</x:f>
      </x:c>
    </x:row>
    <x:row r="104" ht="14.25" hidden="0">
      <x:c r="A104" s="3"/>
      <x:c r="B104" s="55"/>
      <x:c r="C104" s="4"/>
      <x:c r="D104" s="4"/>
      <x:c r="E104" s="4"/>
      <x:c r="F104" s="4"/>
      <x:c r="G104" s="4"/>
      <x:c r="H104" s="56"/>
      <x:c r="I104" s="4"/>
      <x:c r="J104" s="4"/>
      <x:c r="K104" s="4"/>
      <x:c r="L104" s="7"/>
      <x:c r="M104" s="7"/>
      <x:c r="N104" s="57"/>
      <x:c r="O104" s="57"/>
      <x:c r="P104" s="57"/>
      <x:c r="Q104" s="3" t="str">
        <x:f aca="0">""</x:f>
      </x:c>
      <x:c r="R104" s="4"/>
      <x:c r="S104" s="4"/>
      <x:c r="T104" s="4"/>
      <x:c r="U104" s="56"/>
      <x:c r="V104" s="4"/>
      <x:c r="W104" s="57" t="str">
        <x:f aca="0">""</x:f>
      </x:c>
      <x:c r="X104" s="57" t="str">
        <x:f aca="0">""</x:f>
      </x:c>
      <x:c r="Y104" s="57" t="str">
        <x:f aca="0">""</x:f>
      </x:c>
      <x:c r="Z104" s="58"/>
      <x:c r="AA104" s="4"/>
      <x:c r="AB104" s="54" t="str">
        <x:f aca="0">""</x:f>
      </x:c>
      <x:c r="AC104" s="54" t="str">
        <x:f aca="0">""</x:f>
      </x:c>
      <x:c r="AD104" s="7"/>
      <x:c r="AE104" s="4"/>
      <x:c r="AF104" s="4"/>
      <x:c r="AG104" s="7"/>
      <x:c r="AH104" s="12" t="str">
        <x:f aca="0">""</x:f>
      </x:c>
      <x:c r="AI104" s="12" t="str">
        <x:f aca="0">""</x:f>
      </x:c>
      <x:c r="AJ104" s="12" t="str">
        <x:f aca="0">""</x:f>
      </x:c>
      <x:c r="AK104" s="12" t="str">
        <x:f aca="0">""</x:f>
      </x:c>
      <x:c r="AL104" s="19" t="str">
        <x:f aca="0">""</x:f>
      </x:c>
      <x:c r="AM104" s="56"/>
      <x:c r="AN104" s="4"/>
      <x:c r="AO104" s="4"/>
      <x:c r="AP104" s="3" t="str">
        <x:f aca="0">""</x:f>
      </x:c>
      <x:c r="AQ104" s="3" t="str">
        <x:f aca="0">""</x:f>
      </x:c>
      <x:c r="AR104" s="3" t="str">
        <x:f aca="0">""</x:f>
      </x:c>
      <x:c r="AS104" s="3" t="str">
        <x:f aca="0">""</x:f>
      </x:c>
      <x:c r="AT104" s="3" t="str">
        <x:f aca="0">""</x:f>
      </x:c>
      <x:c r="AU104" s="54" t="str">
        <x:f aca="0">""</x:f>
      </x:c>
      <x:c r="AV104" s="12" t="str">
        <x:f aca="0">""</x:f>
      </x:c>
      <x:c r="AW104" s="4"/>
      <x:c r="AX104" s="4"/>
      <x:c r="AY104" s="4"/>
      <x:c r="AZ104" s="56"/>
      <x:c r="BA104" s="4"/>
      <x:c r="BB104" s="11" t="str">
        <x:f aca="0">""</x:f>
      </x:c>
      <x:c r="BC104" s="11" t="str">
        <x:f aca="0">""</x:f>
      </x:c>
      <x:c r="BD104" s="11" t="str">
        <x:f aca="0">""</x:f>
      </x:c>
      <x:c r="BE104" s="19" t="str">
        <x:f aca="0">""</x:f>
      </x:c>
      <x:c r="BF104" s="19" t="str">
        <x:f aca="0">""</x:f>
      </x:c>
    </x:row>
    <x:row r="105" ht="14.25" hidden="0">
      <x:c r="A105" s="3"/>
      <x:c r="B105" s="55"/>
      <x:c r="C105" s="4"/>
      <x:c r="D105" s="4"/>
      <x:c r="E105" s="4"/>
      <x:c r="F105" s="4"/>
      <x:c r="G105" s="4"/>
      <x:c r="H105" s="56"/>
      <x:c r="I105" s="4"/>
      <x:c r="J105" s="4"/>
      <x:c r="K105" s="4"/>
      <x:c r="L105" s="7"/>
      <x:c r="M105" s="7"/>
      <x:c r="N105" s="57"/>
      <x:c r="O105" s="57"/>
      <x:c r="P105" s="57"/>
      <x:c r="Q105" s="3" t="str">
        <x:f aca="0">""</x:f>
      </x:c>
      <x:c r="R105" s="4"/>
      <x:c r="S105" s="4"/>
      <x:c r="T105" s="4"/>
      <x:c r="U105" s="56"/>
      <x:c r="V105" s="4"/>
      <x:c r="W105" s="57" t="str">
        <x:f aca="0">""</x:f>
      </x:c>
      <x:c r="X105" s="57" t="str">
        <x:f aca="0">""</x:f>
      </x:c>
      <x:c r="Y105" s="57" t="str">
        <x:f aca="0">""</x:f>
      </x:c>
      <x:c r="Z105" s="58"/>
      <x:c r="AA105" s="4"/>
      <x:c r="AB105" s="54" t="str">
        <x:f aca="0">""</x:f>
      </x:c>
      <x:c r="AC105" s="54" t="str">
        <x:f aca="0">""</x:f>
      </x:c>
      <x:c r="AD105" s="7"/>
      <x:c r="AE105" s="4"/>
      <x:c r="AF105" s="4"/>
      <x:c r="AG105" s="7"/>
      <x:c r="AH105" s="12" t="str">
        <x:f aca="0">""</x:f>
      </x:c>
      <x:c r="AI105" s="12" t="str">
        <x:f aca="0">""</x:f>
      </x:c>
      <x:c r="AJ105" s="12" t="str">
        <x:f aca="0">""</x:f>
      </x:c>
      <x:c r="AK105" s="12" t="str">
        <x:f aca="0">""</x:f>
      </x:c>
      <x:c r="AL105" s="19" t="str">
        <x:f aca="0">""</x:f>
      </x:c>
      <x:c r="AM105" s="56"/>
      <x:c r="AN105" s="4"/>
      <x:c r="AO105" s="4"/>
      <x:c r="AP105" s="3" t="str">
        <x:f aca="0">""</x:f>
      </x:c>
      <x:c r="AQ105" s="3" t="str">
        <x:f aca="0">""</x:f>
      </x:c>
      <x:c r="AR105" s="3" t="str">
        <x:f aca="0">""</x:f>
      </x:c>
      <x:c r="AS105" s="3" t="str">
        <x:f aca="0">""</x:f>
      </x:c>
      <x:c r="AT105" s="3" t="str">
        <x:f aca="0">""</x:f>
      </x:c>
      <x:c r="AU105" s="54" t="str">
        <x:f aca="0">""</x:f>
      </x:c>
      <x:c r="AV105" s="12" t="str">
        <x:f aca="0">""</x:f>
      </x:c>
      <x:c r="AW105" s="4"/>
      <x:c r="AX105" s="4"/>
      <x:c r="AY105" s="4"/>
      <x:c r="AZ105" s="56"/>
      <x:c r="BA105" s="4"/>
      <x:c r="BB105" s="11" t="str">
        <x:f aca="0">""</x:f>
      </x:c>
      <x:c r="BC105" s="11" t="str">
        <x:f aca="0">""</x:f>
      </x:c>
      <x:c r="BD105" s="11" t="str">
        <x:f aca="0">""</x:f>
      </x:c>
      <x:c r="BE105" s="19" t="str">
        <x:f aca="0">""</x:f>
      </x:c>
      <x:c r="BF105" s="19" t="str">
        <x:f aca="0">""</x:f>
      </x:c>
    </x:row>
    <x:row r="106" ht="14.25" hidden="0">
      <x:c r="A106" s="3"/>
      <x:c r="B106" s="55"/>
      <x:c r="C106" s="4"/>
      <x:c r="D106" s="4"/>
      <x:c r="E106" s="4"/>
      <x:c r="F106" s="4"/>
      <x:c r="G106" s="4"/>
      <x:c r="H106" s="56"/>
      <x:c r="I106" s="4"/>
      <x:c r="J106" s="4"/>
      <x:c r="K106" s="4"/>
      <x:c r="L106" s="7"/>
      <x:c r="M106" s="7"/>
      <x:c r="N106" s="57"/>
      <x:c r="O106" s="57"/>
      <x:c r="P106" s="57"/>
      <x:c r="Q106" s="3" t="str">
        <x:f aca="0">""</x:f>
      </x:c>
      <x:c r="R106" s="4"/>
      <x:c r="S106" s="4"/>
      <x:c r="T106" s="4"/>
      <x:c r="U106" s="56"/>
      <x:c r="V106" s="4"/>
      <x:c r="W106" s="57" t="str">
        <x:f aca="0">""</x:f>
      </x:c>
      <x:c r="X106" s="57" t="str">
        <x:f aca="0">""</x:f>
      </x:c>
      <x:c r="Y106" s="57" t="str">
        <x:f aca="0">""</x:f>
      </x:c>
      <x:c r="Z106" s="58"/>
      <x:c r="AA106" s="4"/>
      <x:c r="AB106" s="54" t="str">
        <x:f aca="0">""</x:f>
      </x:c>
      <x:c r="AC106" s="54" t="str">
        <x:f aca="0">""</x:f>
      </x:c>
      <x:c r="AD106" s="7"/>
      <x:c r="AE106" s="4"/>
      <x:c r="AF106" s="4"/>
      <x:c r="AG106" s="7"/>
      <x:c r="AH106" s="12" t="str">
        <x:f aca="0">""</x:f>
      </x:c>
      <x:c r="AI106" s="12" t="str">
        <x:f aca="0">""</x:f>
      </x:c>
      <x:c r="AJ106" s="12" t="str">
        <x:f aca="0">""</x:f>
      </x:c>
      <x:c r="AK106" s="12" t="str">
        <x:f aca="0">""</x:f>
      </x:c>
      <x:c r="AL106" s="19" t="str">
        <x:f aca="0">""</x:f>
      </x:c>
      <x:c r="AM106" s="56"/>
      <x:c r="AN106" s="4"/>
      <x:c r="AO106" s="4"/>
      <x:c r="AP106" s="3" t="str">
        <x:f aca="0">""</x:f>
      </x:c>
      <x:c r="AQ106" s="3" t="str">
        <x:f aca="0">""</x:f>
      </x:c>
      <x:c r="AR106" s="3" t="str">
        <x:f aca="0">""</x:f>
      </x:c>
      <x:c r="AS106" s="3" t="str">
        <x:f aca="0">""</x:f>
      </x:c>
      <x:c r="AT106" s="3" t="str">
        <x:f aca="0">""</x:f>
      </x:c>
      <x:c r="AU106" s="54" t="str">
        <x:f aca="0">""</x:f>
      </x:c>
      <x:c r="AV106" s="12" t="str">
        <x:f aca="0">""</x:f>
      </x:c>
      <x:c r="AW106" s="4"/>
      <x:c r="AX106" s="4"/>
      <x:c r="AY106" s="4"/>
      <x:c r="AZ106" s="56"/>
      <x:c r="BA106" s="4"/>
      <x:c r="BB106" s="11" t="str">
        <x:f aca="0">""</x:f>
      </x:c>
      <x:c r="BC106" s="11" t="str">
        <x:f aca="0">""</x:f>
      </x:c>
      <x:c r="BD106" s="11" t="str">
        <x:f aca="0">""</x:f>
      </x:c>
      <x:c r="BE106" s="19" t="str">
        <x:f aca="0">""</x:f>
      </x:c>
      <x:c r="BF106" s="19" t="str">
        <x:f aca="0">""</x:f>
      </x:c>
    </x:row>
    <x:row r="107" ht="14.25" hidden="0">
      <x:c r="A107" s="3"/>
      <x:c r="B107" s="55"/>
      <x:c r="C107" s="4"/>
      <x:c r="D107" s="4"/>
      <x:c r="E107" s="4"/>
      <x:c r="F107" s="4"/>
      <x:c r="G107" s="4"/>
      <x:c r="H107" s="56"/>
      <x:c r="I107" s="4"/>
      <x:c r="J107" s="4"/>
      <x:c r="K107" s="4"/>
      <x:c r="L107" s="7"/>
      <x:c r="M107" s="7"/>
      <x:c r="N107" s="57"/>
      <x:c r="O107" s="57"/>
      <x:c r="P107" s="57"/>
      <x:c r="Q107" s="3" t="str">
        <x:f aca="0">""</x:f>
      </x:c>
      <x:c r="R107" s="4"/>
      <x:c r="S107" s="4"/>
      <x:c r="T107" s="4"/>
      <x:c r="U107" s="56"/>
      <x:c r="V107" s="4"/>
      <x:c r="W107" s="57" t="str">
        <x:f aca="0">""</x:f>
      </x:c>
      <x:c r="X107" s="57" t="str">
        <x:f aca="0">""</x:f>
      </x:c>
      <x:c r="Y107" s="57" t="str">
        <x:f aca="0">""</x:f>
      </x:c>
      <x:c r="Z107" s="58"/>
      <x:c r="AA107" s="4"/>
      <x:c r="AB107" s="54" t="str">
        <x:f aca="0">""</x:f>
      </x:c>
      <x:c r="AC107" s="54" t="str">
        <x:f aca="0">""</x:f>
      </x:c>
      <x:c r="AD107" s="7"/>
      <x:c r="AE107" s="4"/>
      <x:c r="AF107" s="4"/>
      <x:c r="AG107" s="7"/>
      <x:c r="AH107" s="12" t="str">
        <x:f aca="0">""</x:f>
      </x:c>
      <x:c r="AI107" s="12" t="str">
        <x:f aca="0">""</x:f>
      </x:c>
      <x:c r="AJ107" s="12" t="str">
        <x:f aca="0">""</x:f>
      </x:c>
      <x:c r="AK107" s="12" t="str">
        <x:f aca="0">""</x:f>
      </x:c>
      <x:c r="AL107" s="19" t="str">
        <x:f aca="0">""</x:f>
      </x:c>
      <x:c r="AM107" s="56"/>
      <x:c r="AN107" s="4"/>
      <x:c r="AO107" s="4"/>
      <x:c r="AP107" s="3" t="str">
        <x:f aca="0">""</x:f>
      </x:c>
      <x:c r="AQ107" s="3" t="str">
        <x:f aca="0">""</x:f>
      </x:c>
      <x:c r="AR107" s="3" t="str">
        <x:f aca="0">""</x:f>
      </x:c>
      <x:c r="AS107" s="3" t="str">
        <x:f aca="0">""</x:f>
      </x:c>
      <x:c r="AT107" s="3" t="str">
        <x:f aca="0">""</x:f>
      </x:c>
      <x:c r="AU107" s="54" t="str">
        <x:f aca="0">""</x:f>
      </x:c>
      <x:c r="AV107" s="12" t="str">
        <x:f aca="0">""</x:f>
      </x:c>
      <x:c r="AW107" s="4"/>
      <x:c r="AX107" s="4"/>
      <x:c r="AY107" s="4"/>
      <x:c r="AZ107" s="56"/>
      <x:c r="BA107" s="4"/>
      <x:c r="BB107" s="11" t="str">
        <x:f aca="0">""</x:f>
      </x:c>
      <x:c r="BC107" s="11" t="str">
        <x:f aca="0">""</x:f>
      </x:c>
      <x:c r="BD107" s="11" t="str">
        <x:f aca="0">""</x:f>
      </x:c>
      <x:c r="BE107" s="19" t="str">
        <x:f aca="0">""</x:f>
      </x:c>
      <x:c r="BF107" s="19" t="str">
        <x:f aca="0">""</x:f>
      </x:c>
    </x:row>
    <x:row r="108" ht="14.25" hidden="0">
      <x:c r="A108" s="3"/>
      <x:c r="B108" s="55"/>
      <x:c r="C108" s="4"/>
      <x:c r="D108" s="4"/>
      <x:c r="E108" s="4"/>
      <x:c r="F108" s="4"/>
      <x:c r="G108" s="4"/>
      <x:c r="H108" s="56"/>
      <x:c r="I108" s="4"/>
      <x:c r="J108" s="4"/>
      <x:c r="K108" s="4"/>
      <x:c r="L108" s="7"/>
      <x:c r="M108" s="7"/>
      <x:c r="N108" s="57"/>
      <x:c r="O108" s="57"/>
      <x:c r="P108" s="57"/>
      <x:c r="Q108" s="3" t="str">
        <x:f aca="0">""</x:f>
      </x:c>
      <x:c r="R108" s="4"/>
      <x:c r="S108" s="4"/>
      <x:c r="T108" s="4"/>
      <x:c r="U108" s="56"/>
      <x:c r="V108" s="4"/>
      <x:c r="W108" s="57" t="str">
        <x:f aca="0">""</x:f>
      </x:c>
      <x:c r="X108" s="57" t="str">
        <x:f aca="0">""</x:f>
      </x:c>
      <x:c r="Y108" s="57" t="str">
        <x:f aca="0">""</x:f>
      </x:c>
      <x:c r="Z108" s="58"/>
      <x:c r="AA108" s="4"/>
      <x:c r="AB108" s="54" t="str">
        <x:f aca="0">""</x:f>
      </x:c>
      <x:c r="AC108" s="54" t="str">
        <x:f aca="0">""</x:f>
      </x:c>
      <x:c r="AD108" s="7"/>
      <x:c r="AE108" s="4"/>
      <x:c r="AF108" s="4"/>
      <x:c r="AG108" s="7"/>
      <x:c r="AH108" s="12" t="str">
        <x:f aca="0">""</x:f>
      </x:c>
      <x:c r="AI108" s="12" t="str">
        <x:f aca="0">""</x:f>
      </x:c>
      <x:c r="AJ108" s="12" t="str">
        <x:f aca="0">""</x:f>
      </x:c>
      <x:c r="AK108" s="12" t="str">
        <x:f aca="0">""</x:f>
      </x:c>
      <x:c r="AL108" s="19" t="str">
        <x:f aca="0">""</x:f>
      </x:c>
      <x:c r="AM108" s="56"/>
      <x:c r="AN108" s="4"/>
      <x:c r="AO108" s="4"/>
      <x:c r="AP108" s="3" t="str">
        <x:f aca="0">""</x:f>
      </x:c>
      <x:c r="AQ108" s="3" t="str">
        <x:f aca="0">""</x:f>
      </x:c>
      <x:c r="AR108" s="3" t="str">
        <x:f aca="0">""</x:f>
      </x:c>
      <x:c r="AS108" s="3" t="str">
        <x:f aca="0">""</x:f>
      </x:c>
      <x:c r="AT108" s="3" t="str">
        <x:f aca="0">""</x:f>
      </x:c>
      <x:c r="AU108" s="54" t="str">
        <x:f aca="0">""</x:f>
      </x:c>
      <x:c r="AV108" s="12" t="str">
        <x:f aca="0">""</x:f>
      </x:c>
      <x:c r="AW108" s="4"/>
      <x:c r="AX108" s="4"/>
      <x:c r="AY108" s="4"/>
      <x:c r="AZ108" s="56"/>
      <x:c r="BA108" s="4"/>
      <x:c r="BB108" s="11" t="str">
        <x:f aca="0">""</x:f>
      </x:c>
      <x:c r="BC108" s="11" t="str">
        <x:f aca="0">""</x:f>
      </x:c>
      <x:c r="BD108" s="11" t="str">
        <x:f aca="0">""</x:f>
      </x:c>
      <x:c r="BE108" s="19" t="str">
        <x:f aca="0">""</x:f>
      </x:c>
      <x:c r="BF108" s="19" t="str">
        <x:f aca="0">""</x:f>
      </x:c>
    </x:row>
    <x:row r="109" ht="14.25" hidden="0">
      <x:c r="A109" s="3"/>
      <x:c r="B109" s="55"/>
      <x:c r="C109" s="4"/>
      <x:c r="D109" s="4"/>
      <x:c r="E109" s="4"/>
      <x:c r="F109" s="4"/>
      <x:c r="G109" s="4"/>
      <x:c r="H109" s="56"/>
      <x:c r="I109" s="4"/>
      <x:c r="J109" s="4"/>
      <x:c r="K109" s="4"/>
      <x:c r="L109" s="7"/>
      <x:c r="M109" s="7"/>
      <x:c r="N109" s="57"/>
      <x:c r="O109" s="57"/>
      <x:c r="P109" s="57"/>
      <x:c r="Q109" s="3" t="str">
        <x:f aca="0">""</x:f>
      </x:c>
      <x:c r="R109" s="4"/>
      <x:c r="S109" s="4"/>
      <x:c r="T109" s="4"/>
      <x:c r="U109" s="56"/>
      <x:c r="V109" s="4"/>
      <x:c r="W109" s="57" t="str">
        <x:f aca="0">""</x:f>
      </x:c>
      <x:c r="X109" s="57" t="str">
        <x:f aca="0">""</x:f>
      </x:c>
      <x:c r="Y109" s="57" t="str">
        <x:f aca="0">""</x:f>
      </x:c>
      <x:c r="Z109" s="58"/>
      <x:c r="AA109" s="4"/>
      <x:c r="AB109" s="54" t="str">
        <x:f aca="0">""</x:f>
      </x:c>
      <x:c r="AC109" s="54" t="str">
        <x:f aca="0">""</x:f>
      </x:c>
      <x:c r="AD109" s="7"/>
      <x:c r="AE109" s="4"/>
      <x:c r="AF109" s="4"/>
      <x:c r="AG109" s="7"/>
      <x:c r="AH109" s="12" t="str">
        <x:f aca="0">""</x:f>
      </x:c>
      <x:c r="AI109" s="12" t="str">
        <x:f aca="0">""</x:f>
      </x:c>
      <x:c r="AJ109" s="12" t="str">
        <x:f aca="0">""</x:f>
      </x:c>
      <x:c r="AK109" s="12" t="str">
        <x:f aca="0">""</x:f>
      </x:c>
      <x:c r="AL109" s="19" t="str">
        <x:f aca="0">""</x:f>
      </x:c>
      <x:c r="AM109" s="56"/>
      <x:c r="AN109" s="4"/>
      <x:c r="AO109" s="4"/>
      <x:c r="AP109" s="3" t="str">
        <x:f aca="0">""</x:f>
      </x:c>
      <x:c r="AQ109" s="3" t="str">
        <x:f aca="0">""</x:f>
      </x:c>
      <x:c r="AR109" s="3" t="str">
        <x:f aca="0">""</x:f>
      </x:c>
      <x:c r="AS109" s="3" t="str">
        <x:f aca="0">""</x:f>
      </x:c>
      <x:c r="AT109" s="3" t="str">
        <x:f aca="0">""</x:f>
      </x:c>
      <x:c r="AU109" s="54" t="str">
        <x:f aca="0">""</x:f>
      </x:c>
      <x:c r="AV109" s="12" t="str">
        <x:f aca="0">""</x:f>
      </x:c>
      <x:c r="AW109" s="4"/>
      <x:c r="AX109" s="4"/>
      <x:c r="AY109" s="4"/>
      <x:c r="AZ109" s="56"/>
      <x:c r="BA109" s="4"/>
      <x:c r="BB109" s="11" t="str">
        <x:f aca="0">""</x:f>
      </x:c>
      <x:c r="BC109" s="11" t="str">
        <x:f aca="0">""</x:f>
      </x:c>
      <x:c r="BD109" s="11" t="str">
        <x:f aca="0">""</x:f>
      </x:c>
      <x:c r="BE109" s="19" t="str">
        <x:f aca="0">""</x:f>
      </x:c>
      <x:c r="BF109" s="19" t="str">
        <x:f aca="0">""</x:f>
      </x:c>
    </x:row>
    <x:row r="110" ht="14.25" hidden="0">
      <x:c r="A110" s="3"/>
      <x:c r="B110" s="55"/>
      <x:c r="C110" s="4"/>
      <x:c r="D110" s="4"/>
      <x:c r="E110" s="4"/>
      <x:c r="F110" s="4"/>
      <x:c r="G110" s="4"/>
      <x:c r="H110" s="56"/>
      <x:c r="I110" s="4"/>
      <x:c r="J110" s="4"/>
      <x:c r="K110" s="4"/>
      <x:c r="L110" s="7"/>
      <x:c r="M110" s="7"/>
      <x:c r="N110" s="57"/>
      <x:c r="O110" s="57"/>
      <x:c r="P110" s="57"/>
      <x:c r="Q110" s="3" t="str">
        <x:f aca="0">""</x:f>
      </x:c>
      <x:c r="R110" s="4"/>
      <x:c r="S110" s="4"/>
      <x:c r="T110" s="4"/>
      <x:c r="U110" s="56"/>
      <x:c r="V110" s="4"/>
      <x:c r="W110" s="57" t="str">
        <x:f aca="0">""</x:f>
      </x:c>
      <x:c r="X110" s="57" t="str">
        <x:f aca="0">""</x:f>
      </x:c>
      <x:c r="Y110" s="57" t="str">
        <x:f aca="0">""</x:f>
      </x:c>
      <x:c r="Z110" s="58"/>
      <x:c r="AA110" s="4"/>
      <x:c r="AB110" s="54" t="str">
        <x:f aca="0">""</x:f>
      </x:c>
      <x:c r="AC110" s="54" t="str">
        <x:f aca="0">""</x:f>
      </x:c>
      <x:c r="AD110" s="7"/>
      <x:c r="AE110" s="4"/>
      <x:c r="AF110" s="4"/>
      <x:c r="AG110" s="7"/>
      <x:c r="AH110" s="12" t="str">
        <x:f aca="0">""</x:f>
      </x:c>
      <x:c r="AI110" s="12" t="str">
        <x:f aca="0">""</x:f>
      </x:c>
      <x:c r="AJ110" s="12" t="str">
        <x:f aca="0">""</x:f>
      </x:c>
      <x:c r="AK110" s="12" t="str">
        <x:f aca="0">""</x:f>
      </x:c>
      <x:c r="AL110" s="19" t="str">
        <x:f aca="0">""</x:f>
      </x:c>
      <x:c r="AM110" s="56"/>
      <x:c r="AN110" s="4"/>
      <x:c r="AO110" s="4"/>
      <x:c r="AP110" s="3" t="str">
        <x:f aca="0">""</x:f>
      </x:c>
      <x:c r="AQ110" s="3" t="str">
        <x:f aca="0">""</x:f>
      </x:c>
      <x:c r="AR110" s="3" t="str">
        <x:f aca="0">""</x:f>
      </x:c>
      <x:c r="AS110" s="3" t="str">
        <x:f aca="0">""</x:f>
      </x:c>
      <x:c r="AT110" s="3" t="str">
        <x:f aca="0">""</x:f>
      </x:c>
      <x:c r="AU110" s="54" t="str">
        <x:f aca="0">""</x:f>
      </x:c>
      <x:c r="AV110" s="12" t="str">
        <x:f aca="0">""</x:f>
      </x:c>
      <x:c r="AW110" s="4"/>
      <x:c r="AX110" s="4"/>
      <x:c r="AY110" s="4"/>
      <x:c r="AZ110" s="56"/>
      <x:c r="BA110" s="4"/>
      <x:c r="BB110" s="11" t="str">
        <x:f aca="0">""</x:f>
      </x:c>
      <x:c r="BC110" s="11" t="str">
        <x:f aca="0">""</x:f>
      </x:c>
      <x:c r="BD110" s="11" t="str">
        <x:f aca="0">""</x:f>
      </x:c>
      <x:c r="BE110" s="19" t="str">
        <x:f aca="0">""</x:f>
      </x:c>
      <x:c r="BF110" s="19" t="str">
        <x:f aca="0">""</x:f>
      </x:c>
    </x:row>
    <x:row r="111" ht="14.25" hidden="0">
      <x:c r="A111" s="3"/>
      <x:c r="B111" s="55"/>
      <x:c r="C111" s="4"/>
      <x:c r="D111" s="4"/>
      <x:c r="E111" s="4"/>
      <x:c r="F111" s="4"/>
      <x:c r="G111" s="4"/>
      <x:c r="H111" s="56"/>
      <x:c r="I111" s="4"/>
      <x:c r="J111" s="4"/>
      <x:c r="K111" s="4"/>
      <x:c r="L111" s="7"/>
      <x:c r="M111" s="7"/>
      <x:c r="N111" s="57"/>
      <x:c r="O111" s="57"/>
      <x:c r="P111" s="57"/>
      <x:c r="Q111" s="3" t="str">
        <x:f aca="0">""</x:f>
      </x:c>
      <x:c r="R111" s="4"/>
      <x:c r="S111" s="4"/>
      <x:c r="T111" s="4"/>
      <x:c r="U111" s="56"/>
      <x:c r="V111" s="4"/>
      <x:c r="W111" s="57" t="str">
        <x:f aca="0">""</x:f>
      </x:c>
      <x:c r="X111" s="57" t="str">
        <x:f aca="0">""</x:f>
      </x:c>
      <x:c r="Y111" s="57" t="str">
        <x:f aca="0">""</x:f>
      </x:c>
      <x:c r="Z111" s="58"/>
      <x:c r="AA111" s="4"/>
      <x:c r="AB111" s="54" t="str">
        <x:f aca="0">""</x:f>
      </x:c>
      <x:c r="AC111" s="54" t="str">
        <x:f aca="0">""</x:f>
      </x:c>
      <x:c r="AD111" s="7"/>
      <x:c r="AE111" s="4"/>
      <x:c r="AF111" s="4"/>
      <x:c r="AG111" s="7"/>
      <x:c r="AH111" s="12" t="str">
        <x:f aca="0">""</x:f>
      </x:c>
      <x:c r="AI111" s="12" t="str">
        <x:f aca="0">""</x:f>
      </x:c>
      <x:c r="AJ111" s="12" t="str">
        <x:f aca="0">""</x:f>
      </x:c>
      <x:c r="AK111" s="12" t="str">
        <x:f aca="0">""</x:f>
      </x:c>
      <x:c r="AL111" s="19" t="str">
        <x:f aca="0">""</x:f>
      </x:c>
      <x:c r="AM111" s="56"/>
      <x:c r="AN111" s="4"/>
      <x:c r="AO111" s="4"/>
      <x:c r="AP111" s="3" t="str">
        <x:f aca="0">""</x:f>
      </x:c>
      <x:c r="AQ111" s="3" t="str">
        <x:f aca="0">""</x:f>
      </x:c>
      <x:c r="AR111" s="3" t="str">
        <x:f aca="0">""</x:f>
      </x:c>
      <x:c r="AS111" s="3" t="str">
        <x:f aca="0">""</x:f>
      </x:c>
      <x:c r="AT111" s="3" t="str">
        <x:f aca="0">""</x:f>
      </x:c>
      <x:c r="AU111" s="54" t="str">
        <x:f aca="0">""</x:f>
      </x:c>
      <x:c r="AV111" s="12" t="str">
        <x:f aca="0">""</x:f>
      </x:c>
      <x:c r="AW111" s="4"/>
      <x:c r="AX111" s="4"/>
      <x:c r="AY111" s="4"/>
      <x:c r="AZ111" s="56"/>
      <x:c r="BA111" s="4"/>
      <x:c r="BB111" s="11" t="str">
        <x:f aca="0">""</x:f>
      </x:c>
      <x:c r="BC111" s="11" t="str">
        <x:f aca="0">""</x:f>
      </x:c>
      <x:c r="BD111" s="11" t="str">
        <x:f aca="0">""</x:f>
      </x:c>
      <x:c r="BE111" s="19" t="str">
        <x:f aca="0">""</x:f>
      </x:c>
      <x:c r="BF111" s="19" t="str">
        <x:f aca="0">""</x:f>
      </x:c>
    </x:row>
    <x:row r="112" ht="14.25" hidden="0">
      <x:c r="A112" s="3"/>
      <x:c r="B112" s="55"/>
      <x:c r="C112" s="4"/>
      <x:c r="D112" s="4"/>
      <x:c r="E112" s="4"/>
      <x:c r="F112" s="4"/>
      <x:c r="G112" s="4"/>
      <x:c r="H112" s="56"/>
      <x:c r="I112" s="4"/>
      <x:c r="J112" s="4"/>
      <x:c r="K112" s="4"/>
      <x:c r="L112" s="7"/>
      <x:c r="M112" s="7"/>
      <x:c r="N112" s="57"/>
      <x:c r="O112" s="57"/>
      <x:c r="P112" s="57"/>
      <x:c r="Q112" s="3" t="str">
        <x:f aca="0">""</x:f>
      </x:c>
      <x:c r="R112" s="4"/>
      <x:c r="S112" s="4"/>
      <x:c r="T112" s="4"/>
      <x:c r="U112" s="56"/>
      <x:c r="V112" s="4"/>
      <x:c r="W112" s="57" t="str">
        <x:f aca="0">""</x:f>
      </x:c>
      <x:c r="X112" s="57" t="str">
        <x:f aca="0">""</x:f>
      </x:c>
      <x:c r="Y112" s="57" t="str">
        <x:f aca="0">""</x:f>
      </x:c>
      <x:c r="Z112" s="58"/>
      <x:c r="AA112" s="4"/>
      <x:c r="AB112" s="54" t="str">
        <x:f aca="0">""</x:f>
      </x:c>
      <x:c r="AC112" s="54" t="str">
        <x:f aca="0">""</x:f>
      </x:c>
      <x:c r="AD112" s="7"/>
      <x:c r="AE112" s="4"/>
      <x:c r="AF112" s="4"/>
      <x:c r="AG112" s="7"/>
      <x:c r="AH112" s="12" t="str">
        <x:f aca="0">""</x:f>
      </x:c>
      <x:c r="AI112" s="12" t="str">
        <x:f aca="0">""</x:f>
      </x:c>
      <x:c r="AJ112" s="12" t="str">
        <x:f aca="0">""</x:f>
      </x:c>
      <x:c r="AK112" s="12" t="str">
        <x:f aca="0">""</x:f>
      </x:c>
      <x:c r="AL112" s="19" t="str">
        <x:f aca="0">""</x:f>
      </x:c>
      <x:c r="AM112" s="56"/>
      <x:c r="AN112" s="4"/>
      <x:c r="AO112" s="4"/>
      <x:c r="AP112" s="3" t="str">
        <x:f aca="0">""</x:f>
      </x:c>
      <x:c r="AQ112" s="3" t="str">
        <x:f aca="0">""</x:f>
      </x:c>
      <x:c r="AR112" s="3" t="str">
        <x:f aca="0">""</x:f>
      </x:c>
      <x:c r="AS112" s="3" t="str">
        <x:f aca="0">""</x:f>
      </x:c>
      <x:c r="AT112" s="3" t="str">
        <x:f aca="0">""</x:f>
      </x:c>
      <x:c r="AU112" s="54" t="str">
        <x:f aca="0">""</x:f>
      </x:c>
      <x:c r="AV112" s="12" t="str">
        <x:f aca="0">""</x:f>
      </x:c>
      <x:c r="AW112" s="4"/>
      <x:c r="AX112" s="4"/>
      <x:c r="AY112" s="4"/>
      <x:c r="AZ112" s="56"/>
      <x:c r="BA112" s="4"/>
      <x:c r="BB112" s="11" t="str">
        <x:f aca="0">""</x:f>
      </x:c>
      <x:c r="BC112" s="11" t="str">
        <x:f aca="0">""</x:f>
      </x:c>
      <x:c r="BD112" s="11" t="str">
        <x:f aca="0">""</x:f>
      </x:c>
      <x:c r="BE112" s="19" t="str">
        <x:f aca="0">""</x:f>
      </x:c>
      <x:c r="BF112" s="19" t="str">
        <x:f aca="0">""</x:f>
      </x:c>
    </x:row>
    <x:row r="113" ht="14.25" hidden="0">
      <x:c r="A113" s="3"/>
      <x:c r="B113" s="55"/>
      <x:c r="C113" s="4"/>
      <x:c r="D113" s="4"/>
      <x:c r="E113" s="4"/>
      <x:c r="F113" s="4"/>
      <x:c r="G113" s="4"/>
      <x:c r="H113" s="56"/>
      <x:c r="I113" s="4"/>
      <x:c r="J113" s="4"/>
      <x:c r="K113" s="4"/>
      <x:c r="L113" s="7"/>
      <x:c r="M113" s="7"/>
      <x:c r="N113" s="57"/>
      <x:c r="O113" s="57"/>
      <x:c r="P113" s="57"/>
      <x:c r="Q113" s="3" t="str">
        <x:f aca="0">""</x:f>
      </x:c>
      <x:c r="R113" s="4"/>
      <x:c r="S113" s="4"/>
      <x:c r="T113" s="4"/>
      <x:c r="U113" s="56"/>
      <x:c r="V113" s="4"/>
      <x:c r="W113" s="57" t="str">
        <x:f aca="0">""</x:f>
      </x:c>
      <x:c r="X113" s="57" t="str">
        <x:f aca="0">""</x:f>
      </x:c>
      <x:c r="Y113" s="57" t="str">
        <x:f aca="0">""</x:f>
      </x:c>
      <x:c r="Z113" s="58"/>
      <x:c r="AA113" s="4"/>
      <x:c r="AB113" s="54" t="str">
        <x:f aca="0">""</x:f>
      </x:c>
      <x:c r="AC113" s="54" t="str">
        <x:f aca="0">""</x:f>
      </x:c>
      <x:c r="AD113" s="7"/>
      <x:c r="AE113" s="4"/>
      <x:c r="AF113" s="4"/>
      <x:c r="AG113" s="7"/>
      <x:c r="AH113" s="12" t="str">
        <x:f aca="0">""</x:f>
      </x:c>
      <x:c r="AI113" s="12" t="str">
        <x:f aca="0">""</x:f>
      </x:c>
      <x:c r="AJ113" s="12" t="str">
        <x:f aca="0">""</x:f>
      </x:c>
      <x:c r="AK113" s="12" t="str">
        <x:f aca="0">""</x:f>
      </x:c>
      <x:c r="AL113" s="19" t="str">
        <x:f aca="0">""</x:f>
      </x:c>
      <x:c r="AM113" s="56"/>
      <x:c r="AN113" s="4"/>
      <x:c r="AO113" s="4"/>
      <x:c r="AP113" s="3" t="str">
        <x:f aca="0">""</x:f>
      </x:c>
      <x:c r="AQ113" s="3" t="str">
        <x:f aca="0">""</x:f>
      </x:c>
      <x:c r="AR113" s="3" t="str">
        <x:f aca="0">""</x:f>
      </x:c>
      <x:c r="AS113" s="3" t="str">
        <x:f aca="0">""</x:f>
      </x:c>
      <x:c r="AT113" s="3" t="str">
        <x:f aca="0">""</x:f>
      </x:c>
      <x:c r="AU113" s="54" t="str">
        <x:f aca="0">""</x:f>
      </x:c>
      <x:c r="AV113" s="12" t="str">
        <x:f aca="0">""</x:f>
      </x:c>
      <x:c r="AW113" s="4"/>
      <x:c r="AX113" s="4"/>
      <x:c r="AY113" s="4"/>
      <x:c r="AZ113" s="56"/>
      <x:c r="BA113" s="4"/>
      <x:c r="BB113" s="11" t="str">
        <x:f aca="0">""</x:f>
      </x:c>
      <x:c r="BC113" s="11" t="str">
        <x:f aca="0">""</x:f>
      </x:c>
      <x:c r="BD113" s="11" t="str">
        <x:f aca="0">""</x:f>
      </x:c>
      <x:c r="BE113" s="19" t="str">
        <x:f aca="0">""</x:f>
      </x:c>
      <x:c r="BF113" s="19" t="str">
        <x:f aca="0">""</x:f>
      </x:c>
    </x:row>
    <x:row r="114" ht="14.25" hidden="0">
      <x:c r="A114" s="3"/>
      <x:c r="B114" s="55"/>
      <x:c r="C114" s="4"/>
      <x:c r="D114" s="4"/>
      <x:c r="E114" s="4"/>
      <x:c r="F114" s="4"/>
      <x:c r="G114" s="4"/>
      <x:c r="H114" s="56"/>
      <x:c r="I114" s="4"/>
      <x:c r="J114" s="4"/>
      <x:c r="K114" s="4"/>
      <x:c r="L114" s="7"/>
      <x:c r="M114" s="7"/>
      <x:c r="N114" s="57"/>
      <x:c r="O114" s="57"/>
      <x:c r="P114" s="57"/>
      <x:c r="Q114" s="3" t="str">
        <x:f aca="0">""</x:f>
      </x:c>
      <x:c r="R114" s="4"/>
      <x:c r="S114" s="4"/>
      <x:c r="T114" s="4"/>
      <x:c r="U114" s="56"/>
      <x:c r="V114" s="4"/>
      <x:c r="W114" s="57" t="str">
        <x:f aca="0">""</x:f>
      </x:c>
      <x:c r="X114" s="57" t="str">
        <x:f aca="0">""</x:f>
      </x:c>
      <x:c r="Y114" s="57" t="str">
        <x:f aca="0">""</x:f>
      </x:c>
      <x:c r="Z114" s="58"/>
      <x:c r="AA114" s="4"/>
      <x:c r="AB114" s="54" t="str">
        <x:f aca="0">""</x:f>
      </x:c>
      <x:c r="AC114" s="54" t="str">
        <x:f aca="0">""</x:f>
      </x:c>
      <x:c r="AD114" s="7"/>
      <x:c r="AE114" s="4"/>
      <x:c r="AF114" s="4"/>
      <x:c r="AG114" s="7"/>
      <x:c r="AH114" s="12" t="str">
        <x:f aca="0">""</x:f>
      </x:c>
      <x:c r="AI114" s="12" t="str">
        <x:f aca="0">""</x:f>
      </x:c>
      <x:c r="AJ114" s="12" t="str">
        <x:f aca="0">""</x:f>
      </x:c>
      <x:c r="AK114" s="12" t="str">
        <x:f aca="0">""</x:f>
      </x:c>
      <x:c r="AL114" s="19" t="str">
        <x:f aca="0">""</x:f>
      </x:c>
      <x:c r="AM114" s="56"/>
      <x:c r="AN114" s="4"/>
      <x:c r="AO114" s="4"/>
      <x:c r="AP114" s="3" t="str">
        <x:f aca="0">""</x:f>
      </x:c>
      <x:c r="AQ114" s="3" t="str">
        <x:f aca="0">""</x:f>
      </x:c>
      <x:c r="AR114" s="3" t="str">
        <x:f aca="0">""</x:f>
      </x:c>
      <x:c r="AS114" s="3" t="str">
        <x:f aca="0">""</x:f>
      </x:c>
      <x:c r="AT114" s="3" t="str">
        <x:f aca="0">""</x:f>
      </x:c>
      <x:c r="AU114" s="54" t="str">
        <x:f aca="0">""</x:f>
      </x:c>
      <x:c r="AV114" s="12" t="str">
        <x:f aca="0">""</x:f>
      </x:c>
      <x:c r="AW114" s="4"/>
      <x:c r="AX114" s="4"/>
      <x:c r="AY114" s="4"/>
      <x:c r="AZ114" s="56"/>
      <x:c r="BA114" s="4"/>
      <x:c r="BB114" s="11" t="str">
        <x:f aca="0">""</x:f>
      </x:c>
      <x:c r="BC114" s="11" t="str">
        <x:f aca="0">""</x:f>
      </x:c>
      <x:c r="BD114" s="11" t="str">
        <x:f aca="0">""</x:f>
      </x:c>
      <x:c r="BE114" s="19" t="str">
        <x:f aca="0">""</x:f>
      </x:c>
      <x:c r="BF114" s="19" t="str">
        <x:f aca="0">""</x:f>
      </x:c>
    </x:row>
    <x:row r="115" ht="14.25" hidden="0">
      <x:c r="A115" s="3"/>
      <x:c r="B115" s="55"/>
      <x:c r="C115" s="4"/>
      <x:c r="D115" s="4"/>
      <x:c r="E115" s="4"/>
      <x:c r="F115" s="4"/>
      <x:c r="G115" s="4"/>
      <x:c r="H115" s="56"/>
      <x:c r="I115" s="4"/>
      <x:c r="J115" s="4"/>
      <x:c r="K115" s="4"/>
      <x:c r="L115" s="7"/>
      <x:c r="M115" s="7"/>
      <x:c r="N115" s="57"/>
      <x:c r="O115" s="57"/>
      <x:c r="P115" s="57"/>
      <x:c r="Q115" s="3" t="str">
        <x:f aca="0">""</x:f>
      </x:c>
      <x:c r="R115" s="4"/>
      <x:c r="S115" s="4"/>
      <x:c r="T115" s="4"/>
      <x:c r="U115" s="56"/>
      <x:c r="V115" s="4"/>
      <x:c r="W115" s="57" t="str">
        <x:f aca="0">""</x:f>
      </x:c>
      <x:c r="X115" s="57" t="str">
        <x:f aca="0">""</x:f>
      </x:c>
      <x:c r="Y115" s="57" t="str">
        <x:f aca="0">""</x:f>
      </x:c>
      <x:c r="Z115" s="58"/>
      <x:c r="AA115" s="4"/>
      <x:c r="AB115" s="54" t="str">
        <x:f aca="0">""</x:f>
      </x:c>
      <x:c r="AC115" s="54" t="str">
        <x:f aca="0">""</x:f>
      </x:c>
      <x:c r="AD115" s="7"/>
      <x:c r="AE115" s="4"/>
      <x:c r="AF115" s="4"/>
      <x:c r="AG115" s="7"/>
      <x:c r="AH115" s="12" t="str">
        <x:f aca="0">""</x:f>
      </x:c>
      <x:c r="AI115" s="12" t="str">
        <x:f aca="0">""</x:f>
      </x:c>
      <x:c r="AJ115" s="12" t="str">
        <x:f aca="0">""</x:f>
      </x:c>
      <x:c r="AK115" s="12" t="str">
        <x:f aca="0">""</x:f>
      </x:c>
      <x:c r="AL115" s="19" t="str">
        <x:f aca="0">""</x:f>
      </x:c>
      <x:c r="AM115" s="56"/>
      <x:c r="AN115" s="4"/>
      <x:c r="AO115" s="4"/>
      <x:c r="AP115" s="3" t="str">
        <x:f aca="0">""</x:f>
      </x:c>
      <x:c r="AQ115" s="3" t="str">
        <x:f aca="0">""</x:f>
      </x:c>
      <x:c r="AR115" s="3" t="str">
        <x:f aca="0">""</x:f>
      </x:c>
      <x:c r="AS115" s="3" t="str">
        <x:f aca="0">""</x:f>
      </x:c>
      <x:c r="AT115" s="3" t="str">
        <x:f aca="0">""</x:f>
      </x:c>
      <x:c r="AU115" s="54" t="str">
        <x:f aca="0">""</x:f>
      </x:c>
      <x:c r="AV115" s="12" t="str">
        <x:f aca="0">""</x:f>
      </x:c>
      <x:c r="AW115" s="4"/>
      <x:c r="AX115" s="4"/>
      <x:c r="AY115" s="4"/>
      <x:c r="AZ115" s="56"/>
      <x:c r="BA115" s="4"/>
      <x:c r="BB115" s="11" t="str">
        <x:f aca="0">""</x:f>
      </x:c>
      <x:c r="BC115" s="11" t="str">
        <x:f aca="0">""</x:f>
      </x:c>
      <x:c r="BD115" s="11" t="str">
        <x:f aca="0">""</x:f>
      </x:c>
      <x:c r="BE115" s="19" t="str">
        <x:f aca="0">""</x:f>
      </x:c>
      <x:c r="BF115" s="19" t="str">
        <x:f aca="0">""</x:f>
      </x:c>
    </x:row>
    <x:row r="116" ht="14.25" hidden="0">
      <x:c r="A116" s="3"/>
      <x:c r="B116" s="55"/>
      <x:c r="C116" s="4"/>
      <x:c r="D116" s="4"/>
      <x:c r="E116" s="4"/>
      <x:c r="F116" s="4"/>
      <x:c r="G116" s="4"/>
      <x:c r="H116" s="56"/>
      <x:c r="I116" s="4"/>
      <x:c r="J116" s="4"/>
      <x:c r="K116" s="4"/>
      <x:c r="L116" s="7"/>
      <x:c r="M116" s="7"/>
      <x:c r="N116" s="57"/>
      <x:c r="O116" s="57"/>
      <x:c r="P116" s="57"/>
      <x:c r="Q116" s="3" t="str">
        <x:f aca="0">""</x:f>
      </x:c>
      <x:c r="R116" s="4"/>
      <x:c r="S116" s="4"/>
      <x:c r="T116" s="4"/>
      <x:c r="U116" s="56"/>
      <x:c r="V116" s="4"/>
      <x:c r="W116" s="57" t="str">
        <x:f aca="0">""</x:f>
      </x:c>
      <x:c r="X116" s="57" t="str">
        <x:f aca="0">""</x:f>
      </x:c>
      <x:c r="Y116" s="57" t="str">
        <x:f aca="0">""</x:f>
      </x:c>
      <x:c r="Z116" s="58"/>
      <x:c r="AA116" s="4"/>
      <x:c r="AB116" s="54" t="str">
        <x:f aca="0">""</x:f>
      </x:c>
      <x:c r="AC116" s="54" t="str">
        <x:f aca="0">""</x:f>
      </x:c>
      <x:c r="AD116" s="7"/>
      <x:c r="AE116" s="4"/>
      <x:c r="AF116" s="4"/>
      <x:c r="AG116" s="7"/>
      <x:c r="AH116" s="12" t="str">
        <x:f aca="0">""</x:f>
      </x:c>
      <x:c r="AI116" s="12" t="str">
        <x:f aca="0">""</x:f>
      </x:c>
      <x:c r="AJ116" s="12" t="str">
        <x:f aca="0">""</x:f>
      </x:c>
      <x:c r="AK116" s="12" t="str">
        <x:f aca="0">""</x:f>
      </x:c>
      <x:c r="AL116" s="19" t="str">
        <x:f aca="0">""</x:f>
      </x:c>
      <x:c r="AM116" s="56"/>
      <x:c r="AN116" s="4"/>
      <x:c r="AO116" s="4"/>
      <x:c r="AP116" s="3" t="str">
        <x:f aca="0">""</x:f>
      </x:c>
      <x:c r="AQ116" s="3" t="str">
        <x:f aca="0">""</x:f>
      </x:c>
      <x:c r="AR116" s="3" t="str">
        <x:f aca="0">""</x:f>
      </x:c>
      <x:c r="AS116" s="3" t="str">
        <x:f aca="0">""</x:f>
      </x:c>
      <x:c r="AT116" s="3" t="str">
        <x:f aca="0">""</x:f>
      </x:c>
      <x:c r="AU116" s="54" t="str">
        <x:f aca="0">""</x:f>
      </x:c>
      <x:c r="AV116" s="12" t="str">
        <x:f aca="0">""</x:f>
      </x:c>
      <x:c r="AW116" s="4"/>
      <x:c r="AX116" s="4"/>
      <x:c r="AY116" s="4"/>
      <x:c r="AZ116" s="56"/>
      <x:c r="BA116" s="4"/>
      <x:c r="BB116" s="11" t="str">
        <x:f aca="0">""</x:f>
      </x:c>
      <x:c r="BC116" s="11" t="str">
        <x:f aca="0">""</x:f>
      </x:c>
      <x:c r="BD116" s="11" t="str">
        <x:f aca="0">""</x:f>
      </x:c>
      <x:c r="BE116" s="19" t="str">
        <x:f aca="0">""</x:f>
      </x:c>
      <x:c r="BF116" s="19" t="str">
        <x:f aca="0">""</x:f>
      </x:c>
    </x:row>
    <x:row r="117" ht="14.25" hidden="0">
      <x:c r="A117" s="3"/>
      <x:c r="B117" s="55"/>
      <x:c r="C117" s="4"/>
      <x:c r="D117" s="4"/>
      <x:c r="E117" s="4"/>
      <x:c r="F117" s="4"/>
      <x:c r="G117" s="4"/>
      <x:c r="H117" s="56"/>
      <x:c r="I117" s="4"/>
      <x:c r="J117" s="4"/>
      <x:c r="K117" s="4"/>
      <x:c r="L117" s="7"/>
      <x:c r="M117" s="7"/>
      <x:c r="N117" s="57"/>
      <x:c r="O117" s="57"/>
      <x:c r="P117" s="57"/>
      <x:c r="Q117" s="3" t="str">
        <x:f aca="0">""</x:f>
      </x:c>
      <x:c r="R117" s="4"/>
      <x:c r="S117" s="4"/>
      <x:c r="T117" s="4"/>
      <x:c r="U117" s="56"/>
      <x:c r="V117" s="4"/>
      <x:c r="W117" s="57" t="str">
        <x:f aca="0">""</x:f>
      </x:c>
      <x:c r="X117" s="57" t="str">
        <x:f aca="0">""</x:f>
      </x:c>
      <x:c r="Y117" s="57" t="str">
        <x:f aca="0">""</x:f>
      </x:c>
      <x:c r="Z117" s="58"/>
      <x:c r="AA117" s="4"/>
      <x:c r="AB117" s="54" t="str">
        <x:f aca="0">""</x:f>
      </x:c>
      <x:c r="AC117" s="54" t="str">
        <x:f aca="0">""</x:f>
      </x:c>
      <x:c r="AD117" s="7"/>
      <x:c r="AE117" s="4"/>
      <x:c r="AF117" s="4"/>
      <x:c r="AG117" s="7"/>
      <x:c r="AH117" s="12" t="str">
        <x:f aca="0">""</x:f>
      </x:c>
      <x:c r="AI117" s="12" t="str">
        <x:f aca="0">""</x:f>
      </x:c>
      <x:c r="AJ117" s="12" t="str">
        <x:f aca="0">""</x:f>
      </x:c>
      <x:c r="AK117" s="12" t="str">
        <x:f aca="0">""</x:f>
      </x:c>
      <x:c r="AL117" s="19" t="str">
        <x:f aca="0">""</x:f>
      </x:c>
      <x:c r="AM117" s="56"/>
      <x:c r="AN117" s="4"/>
      <x:c r="AO117" s="4"/>
      <x:c r="AP117" s="3" t="str">
        <x:f aca="0">""</x:f>
      </x:c>
      <x:c r="AQ117" s="3" t="str">
        <x:f aca="0">""</x:f>
      </x:c>
      <x:c r="AR117" s="3" t="str">
        <x:f aca="0">""</x:f>
      </x:c>
      <x:c r="AS117" s="3" t="str">
        <x:f aca="0">""</x:f>
      </x:c>
      <x:c r="AT117" s="3" t="str">
        <x:f aca="0">""</x:f>
      </x:c>
      <x:c r="AU117" s="54" t="str">
        <x:f aca="0">""</x:f>
      </x:c>
      <x:c r="AV117" s="12" t="str">
        <x:f aca="0">""</x:f>
      </x:c>
      <x:c r="AW117" s="4"/>
      <x:c r="AX117" s="4"/>
      <x:c r="AY117" s="4"/>
      <x:c r="AZ117" s="56"/>
      <x:c r="BA117" s="4"/>
      <x:c r="BB117" s="11" t="str">
        <x:f aca="0">""</x:f>
      </x:c>
      <x:c r="BC117" s="11" t="str">
        <x:f aca="0">""</x:f>
      </x:c>
      <x:c r="BD117" s="11" t="str">
        <x:f aca="0">""</x:f>
      </x:c>
      <x:c r="BE117" s="19" t="str">
        <x:f aca="0">""</x:f>
      </x:c>
      <x:c r="BF117" s="19" t="str">
        <x:f aca="0">""</x:f>
      </x:c>
    </x:row>
    <x:row r="118" ht="14.25" hidden="0">
      <x:c r="A118" s="3"/>
      <x:c r="B118" s="55"/>
      <x:c r="C118" s="4"/>
      <x:c r="D118" s="4"/>
      <x:c r="E118" s="4"/>
      <x:c r="F118" s="4"/>
      <x:c r="G118" s="4"/>
      <x:c r="H118" s="56"/>
      <x:c r="I118" s="4"/>
      <x:c r="J118" s="4"/>
      <x:c r="K118" s="4"/>
      <x:c r="L118" s="7"/>
      <x:c r="M118" s="7"/>
      <x:c r="N118" s="57"/>
      <x:c r="O118" s="57"/>
      <x:c r="P118" s="57"/>
      <x:c r="Q118" s="3" t="str">
        <x:f aca="0">""</x:f>
      </x:c>
      <x:c r="R118" s="4"/>
      <x:c r="S118" s="4"/>
      <x:c r="T118" s="4"/>
      <x:c r="U118" s="56"/>
      <x:c r="V118" s="4"/>
      <x:c r="W118" s="57" t="str">
        <x:f aca="0">""</x:f>
      </x:c>
      <x:c r="X118" s="57" t="str">
        <x:f aca="0">""</x:f>
      </x:c>
      <x:c r="Y118" s="57" t="str">
        <x:f aca="0">""</x:f>
      </x:c>
      <x:c r="Z118" s="58"/>
      <x:c r="AA118" s="4"/>
      <x:c r="AB118" s="54" t="str">
        <x:f aca="0">""</x:f>
      </x:c>
      <x:c r="AC118" s="54" t="str">
        <x:f aca="0">""</x:f>
      </x:c>
      <x:c r="AD118" s="7"/>
      <x:c r="AE118" s="4"/>
      <x:c r="AF118" s="4"/>
      <x:c r="AG118" s="7"/>
      <x:c r="AH118" s="12" t="str">
        <x:f aca="0">""</x:f>
      </x:c>
      <x:c r="AI118" s="12" t="str">
        <x:f aca="0">""</x:f>
      </x:c>
      <x:c r="AJ118" s="12" t="str">
        <x:f aca="0">""</x:f>
      </x:c>
      <x:c r="AK118" s="12" t="str">
        <x:f aca="0">""</x:f>
      </x:c>
      <x:c r="AL118" s="19" t="str">
        <x:f aca="0">""</x:f>
      </x:c>
      <x:c r="AM118" s="56"/>
      <x:c r="AN118" s="4"/>
      <x:c r="AO118" s="4"/>
      <x:c r="AP118" s="3" t="str">
        <x:f aca="0">""</x:f>
      </x:c>
      <x:c r="AQ118" s="3" t="str">
        <x:f aca="0">""</x:f>
      </x:c>
      <x:c r="AR118" s="3" t="str">
        <x:f aca="0">""</x:f>
      </x:c>
      <x:c r="AS118" s="3" t="str">
        <x:f aca="0">""</x:f>
      </x:c>
      <x:c r="AT118" s="3" t="str">
        <x:f aca="0">""</x:f>
      </x:c>
      <x:c r="AU118" s="54" t="str">
        <x:f aca="0">""</x:f>
      </x:c>
      <x:c r="AV118" s="12" t="str">
        <x:f aca="0">""</x:f>
      </x:c>
      <x:c r="AW118" s="4"/>
      <x:c r="AX118" s="4"/>
      <x:c r="AY118" s="4"/>
      <x:c r="AZ118" s="56"/>
      <x:c r="BA118" s="4"/>
      <x:c r="BB118" s="11" t="str">
        <x:f aca="0">""</x:f>
      </x:c>
      <x:c r="BC118" s="11" t="str">
        <x:f aca="0">""</x:f>
      </x:c>
      <x:c r="BD118" s="11" t="str">
        <x:f aca="0">""</x:f>
      </x:c>
      <x:c r="BE118" s="19" t="str">
        <x:f aca="0">""</x:f>
      </x:c>
      <x:c r="BF118" s="19" t="str">
        <x:f aca="0">""</x:f>
      </x:c>
    </x:row>
    <x:row r="119" ht="14.25" hidden="0">
      <x:c r="A119" s="3"/>
      <x:c r="B119" s="55"/>
      <x:c r="C119" s="4"/>
      <x:c r="D119" s="4"/>
      <x:c r="E119" s="4"/>
      <x:c r="F119" s="4"/>
      <x:c r="G119" s="4"/>
      <x:c r="H119" s="56"/>
      <x:c r="I119" s="4"/>
      <x:c r="J119" s="4"/>
      <x:c r="K119" s="4"/>
      <x:c r="L119" s="7"/>
      <x:c r="M119" s="7"/>
      <x:c r="N119" s="57"/>
      <x:c r="O119" s="57"/>
      <x:c r="P119" s="57"/>
      <x:c r="Q119" s="3" t="str">
        <x:f aca="0">""</x:f>
      </x:c>
      <x:c r="R119" s="4"/>
      <x:c r="S119" s="4"/>
      <x:c r="T119" s="4"/>
      <x:c r="U119" s="56"/>
      <x:c r="V119" s="4"/>
      <x:c r="W119" s="57" t="str">
        <x:f aca="0">""</x:f>
      </x:c>
      <x:c r="X119" s="57" t="str">
        <x:f aca="0">""</x:f>
      </x:c>
      <x:c r="Y119" s="57" t="str">
        <x:f aca="0">""</x:f>
      </x:c>
      <x:c r="Z119" s="58"/>
      <x:c r="AA119" s="4"/>
      <x:c r="AB119" s="54" t="str">
        <x:f aca="0">""</x:f>
      </x:c>
      <x:c r="AC119" s="54" t="str">
        <x:f aca="0">""</x:f>
      </x:c>
      <x:c r="AD119" s="7"/>
      <x:c r="AE119" s="4"/>
      <x:c r="AF119" s="4"/>
      <x:c r="AG119" s="7"/>
      <x:c r="AH119" s="12" t="str">
        <x:f aca="0">""</x:f>
      </x:c>
      <x:c r="AI119" s="12" t="str">
        <x:f aca="0">""</x:f>
      </x:c>
      <x:c r="AJ119" s="12" t="str">
        <x:f aca="0">""</x:f>
      </x:c>
      <x:c r="AK119" s="12" t="str">
        <x:f aca="0">""</x:f>
      </x:c>
      <x:c r="AL119" s="19" t="str">
        <x:f aca="0">""</x:f>
      </x:c>
      <x:c r="AM119" s="56"/>
      <x:c r="AN119" s="4"/>
      <x:c r="AO119" s="4"/>
      <x:c r="AP119" s="3" t="str">
        <x:f aca="0">""</x:f>
      </x:c>
      <x:c r="AQ119" s="3" t="str">
        <x:f aca="0">""</x:f>
      </x:c>
      <x:c r="AR119" s="3" t="str">
        <x:f aca="0">""</x:f>
      </x:c>
      <x:c r="AS119" s="3" t="str">
        <x:f aca="0">""</x:f>
      </x:c>
      <x:c r="AT119" s="3" t="str">
        <x:f aca="0">""</x:f>
      </x:c>
      <x:c r="AU119" s="54" t="str">
        <x:f aca="0">""</x:f>
      </x:c>
      <x:c r="AV119" s="12" t="str">
        <x:f aca="0">""</x:f>
      </x:c>
      <x:c r="AW119" s="4"/>
      <x:c r="AX119" s="4"/>
      <x:c r="AY119" s="4"/>
      <x:c r="AZ119" s="56"/>
      <x:c r="BA119" s="4"/>
      <x:c r="BB119" s="11" t="str">
        <x:f aca="0">""</x:f>
      </x:c>
      <x:c r="BC119" s="11" t="str">
        <x:f aca="0">""</x:f>
      </x:c>
      <x:c r="BD119" s="11" t="str">
        <x:f aca="0">""</x:f>
      </x:c>
      <x:c r="BE119" s="19" t="str">
        <x:f aca="0">""</x:f>
      </x:c>
      <x:c r="BF119" s="19" t="str">
        <x:f aca="0">""</x:f>
      </x:c>
    </x:row>
    <x:row r="120" ht="14.25" hidden="0">
      <x:c r="A120" s="3"/>
      <x:c r="B120" s="55"/>
      <x:c r="C120" s="4"/>
      <x:c r="D120" s="4"/>
      <x:c r="E120" s="4"/>
      <x:c r="F120" s="4"/>
      <x:c r="G120" s="4"/>
      <x:c r="H120" s="56"/>
      <x:c r="I120" s="4"/>
      <x:c r="J120" s="4"/>
      <x:c r="K120" s="4"/>
      <x:c r="L120" s="7"/>
      <x:c r="M120" s="7"/>
      <x:c r="N120" s="57"/>
      <x:c r="O120" s="57"/>
      <x:c r="P120" s="57"/>
      <x:c r="Q120" s="3" t="str">
        <x:f aca="0">""</x:f>
      </x:c>
      <x:c r="R120" s="4"/>
      <x:c r="S120" s="4"/>
      <x:c r="T120" s="4"/>
      <x:c r="U120" s="56"/>
      <x:c r="V120" s="4"/>
      <x:c r="W120" s="57" t="str">
        <x:f aca="0">""</x:f>
      </x:c>
      <x:c r="X120" s="57" t="str">
        <x:f aca="0">""</x:f>
      </x:c>
      <x:c r="Y120" s="57" t="str">
        <x:f aca="0">""</x:f>
      </x:c>
      <x:c r="Z120" s="58"/>
      <x:c r="AA120" s="4"/>
      <x:c r="AB120" s="54" t="str">
        <x:f aca="0">""</x:f>
      </x:c>
      <x:c r="AC120" s="54" t="str">
        <x:f aca="0">""</x:f>
      </x:c>
      <x:c r="AD120" s="7"/>
      <x:c r="AE120" s="4"/>
      <x:c r="AF120" s="4"/>
      <x:c r="AG120" s="7"/>
      <x:c r="AH120" s="12" t="str">
        <x:f aca="0">""</x:f>
      </x:c>
      <x:c r="AI120" s="12" t="str">
        <x:f aca="0">""</x:f>
      </x:c>
      <x:c r="AJ120" s="12" t="str">
        <x:f aca="0">""</x:f>
      </x:c>
      <x:c r="AK120" s="12" t="str">
        <x:f aca="0">""</x:f>
      </x:c>
      <x:c r="AL120" s="19" t="str">
        <x:f aca="0">""</x:f>
      </x:c>
      <x:c r="AM120" s="56"/>
      <x:c r="AN120" s="4"/>
      <x:c r="AO120" s="4"/>
      <x:c r="AP120" s="3" t="str">
        <x:f aca="0">""</x:f>
      </x:c>
      <x:c r="AQ120" s="3" t="str">
        <x:f aca="0">""</x:f>
      </x:c>
      <x:c r="AR120" s="3" t="str">
        <x:f aca="0">""</x:f>
      </x:c>
      <x:c r="AS120" s="3" t="str">
        <x:f aca="0">""</x:f>
      </x:c>
      <x:c r="AT120" s="3" t="str">
        <x:f aca="0">""</x:f>
      </x:c>
      <x:c r="AU120" s="54" t="str">
        <x:f aca="0">""</x:f>
      </x:c>
      <x:c r="AV120" s="12" t="str">
        <x:f aca="0">""</x:f>
      </x:c>
      <x:c r="AW120" s="4"/>
      <x:c r="AX120" s="4"/>
      <x:c r="AY120" s="4"/>
      <x:c r="AZ120" s="56"/>
      <x:c r="BA120" s="4"/>
      <x:c r="BB120" s="11" t="str">
        <x:f aca="0">""</x:f>
      </x:c>
      <x:c r="BC120" s="11" t="str">
        <x:f aca="0">""</x:f>
      </x:c>
      <x:c r="BD120" s="11" t="str">
        <x:f aca="0">""</x:f>
      </x:c>
      <x:c r="BE120" s="19" t="str">
        <x:f aca="0">""</x:f>
      </x:c>
      <x:c r="BF120" s="19" t="str">
        <x:f aca="0">""</x:f>
      </x:c>
    </x:row>
    <x:row r="121" ht="14.25" hidden="0">
      <x:c r="A121" s="3"/>
      <x:c r="B121" s="55"/>
      <x:c r="C121" s="4"/>
      <x:c r="D121" s="4"/>
      <x:c r="E121" s="4"/>
      <x:c r="F121" s="4"/>
      <x:c r="G121" s="4"/>
      <x:c r="H121" s="56"/>
      <x:c r="I121" s="4"/>
      <x:c r="J121" s="4"/>
      <x:c r="K121" s="4"/>
      <x:c r="L121" s="7"/>
      <x:c r="M121" s="7"/>
      <x:c r="N121" s="57"/>
      <x:c r="O121" s="57"/>
      <x:c r="P121" s="57"/>
      <x:c r="Q121" s="3" t="str">
        <x:f aca="0">""</x:f>
      </x:c>
      <x:c r="R121" s="4"/>
      <x:c r="S121" s="4"/>
      <x:c r="T121" s="4"/>
      <x:c r="U121" s="56"/>
      <x:c r="V121" s="4"/>
      <x:c r="W121" s="57" t="str">
        <x:f aca="0">""</x:f>
      </x:c>
      <x:c r="X121" s="57" t="str">
        <x:f aca="0">""</x:f>
      </x:c>
      <x:c r="Y121" s="57" t="str">
        <x:f aca="0">""</x:f>
      </x:c>
      <x:c r="Z121" s="58"/>
      <x:c r="AA121" s="4"/>
      <x:c r="AB121" s="54" t="str">
        <x:f aca="0">""</x:f>
      </x:c>
      <x:c r="AC121" s="54" t="str">
        <x:f aca="0">""</x:f>
      </x:c>
      <x:c r="AD121" s="7"/>
      <x:c r="AE121" s="4"/>
      <x:c r="AF121" s="4"/>
      <x:c r="AG121" s="7"/>
      <x:c r="AH121" s="12" t="str">
        <x:f aca="0">""</x:f>
      </x:c>
      <x:c r="AI121" s="12" t="str">
        <x:f aca="0">""</x:f>
      </x:c>
      <x:c r="AJ121" s="12" t="str">
        <x:f aca="0">""</x:f>
      </x:c>
      <x:c r="AK121" s="12" t="str">
        <x:f aca="0">""</x:f>
      </x:c>
      <x:c r="AL121" s="19" t="str">
        <x:f aca="0">""</x:f>
      </x:c>
      <x:c r="AM121" s="56"/>
      <x:c r="AN121" s="4"/>
      <x:c r="AO121" s="4"/>
      <x:c r="AP121" s="3" t="str">
        <x:f aca="0">""</x:f>
      </x:c>
      <x:c r="AQ121" s="3" t="str">
        <x:f aca="0">""</x:f>
      </x:c>
      <x:c r="AR121" s="3" t="str">
        <x:f aca="0">""</x:f>
      </x:c>
      <x:c r="AS121" s="3" t="str">
        <x:f aca="0">""</x:f>
      </x:c>
      <x:c r="AT121" s="3" t="str">
        <x:f aca="0">""</x:f>
      </x:c>
      <x:c r="AU121" s="54" t="str">
        <x:f aca="0">""</x:f>
      </x:c>
      <x:c r="AV121" s="12" t="str">
        <x:f aca="0">""</x:f>
      </x:c>
      <x:c r="AW121" s="4"/>
      <x:c r="AX121" s="4"/>
      <x:c r="AY121" s="4"/>
      <x:c r="AZ121" s="56"/>
      <x:c r="BA121" s="4"/>
      <x:c r="BB121" s="11" t="str">
        <x:f aca="0">""</x:f>
      </x:c>
      <x:c r="BC121" s="11" t="str">
        <x:f aca="0">""</x:f>
      </x:c>
      <x:c r="BD121" s="11" t="str">
        <x:f aca="0">""</x:f>
      </x:c>
      <x:c r="BE121" s="19" t="str">
        <x:f aca="0">""</x:f>
      </x:c>
      <x:c r="BF121" s="19" t="str">
        <x:f aca="0">""</x:f>
      </x:c>
    </x:row>
    <x:row r="122" ht="14.25" hidden="0">
      <x:c r="A122" s="3"/>
      <x:c r="B122" s="55"/>
      <x:c r="C122" s="4"/>
      <x:c r="D122" s="4"/>
      <x:c r="E122" s="4"/>
      <x:c r="F122" s="4"/>
      <x:c r="G122" s="4"/>
      <x:c r="H122" s="56"/>
      <x:c r="I122" s="4"/>
      <x:c r="J122" s="4"/>
      <x:c r="K122" s="4"/>
      <x:c r="L122" s="7"/>
      <x:c r="M122" s="7"/>
      <x:c r="N122" s="57"/>
      <x:c r="O122" s="57"/>
      <x:c r="P122" s="57"/>
      <x:c r="Q122" s="3" t="str">
        <x:f aca="0">""</x:f>
      </x:c>
      <x:c r="R122" s="4"/>
      <x:c r="S122" s="4"/>
      <x:c r="T122" s="4"/>
      <x:c r="U122" s="56"/>
      <x:c r="V122" s="4"/>
      <x:c r="W122" s="57" t="str">
        <x:f aca="0">""</x:f>
      </x:c>
      <x:c r="X122" s="57" t="str">
        <x:f aca="0">""</x:f>
      </x:c>
      <x:c r="Y122" s="57" t="str">
        <x:f aca="0">""</x:f>
      </x:c>
      <x:c r="Z122" s="58"/>
      <x:c r="AA122" s="4"/>
      <x:c r="AB122" s="54" t="str">
        <x:f aca="0">""</x:f>
      </x:c>
      <x:c r="AC122" s="54" t="str">
        <x:f aca="0">""</x:f>
      </x:c>
      <x:c r="AD122" s="7"/>
      <x:c r="AE122" s="4"/>
      <x:c r="AF122" s="4"/>
      <x:c r="AG122" s="7"/>
      <x:c r="AH122" s="12" t="str">
        <x:f aca="0">""</x:f>
      </x:c>
      <x:c r="AI122" s="12" t="str">
        <x:f aca="0">""</x:f>
      </x:c>
      <x:c r="AJ122" s="12" t="str">
        <x:f aca="0">""</x:f>
      </x:c>
      <x:c r="AK122" s="12" t="str">
        <x:f aca="0">""</x:f>
      </x:c>
      <x:c r="AL122" s="19" t="str">
        <x:f aca="0">""</x:f>
      </x:c>
      <x:c r="AM122" s="56"/>
      <x:c r="AN122" s="4"/>
      <x:c r="AO122" s="4"/>
      <x:c r="AP122" s="3" t="str">
        <x:f aca="0">""</x:f>
      </x:c>
      <x:c r="AQ122" s="3" t="str">
        <x:f aca="0">""</x:f>
      </x:c>
      <x:c r="AR122" s="3" t="str">
        <x:f aca="0">""</x:f>
      </x:c>
      <x:c r="AS122" s="3" t="str">
        <x:f aca="0">""</x:f>
      </x:c>
      <x:c r="AT122" s="3" t="str">
        <x:f aca="0">""</x:f>
      </x:c>
      <x:c r="AU122" s="54" t="str">
        <x:f aca="0">""</x:f>
      </x:c>
      <x:c r="AV122" s="12" t="str">
        <x:f aca="0">""</x:f>
      </x:c>
      <x:c r="AW122" s="4"/>
      <x:c r="AX122" s="4"/>
      <x:c r="AY122" s="4"/>
      <x:c r="AZ122" s="56"/>
      <x:c r="BA122" s="4"/>
      <x:c r="BB122" s="11" t="str">
        <x:f aca="0">""</x:f>
      </x:c>
      <x:c r="BC122" s="11" t="str">
        <x:f aca="0">""</x:f>
      </x:c>
      <x:c r="BD122" s="11" t="str">
        <x:f aca="0">""</x:f>
      </x:c>
      <x:c r="BE122" s="19" t="str">
        <x:f aca="0">""</x:f>
      </x:c>
      <x:c r="BF122" s="19" t="str">
        <x:f aca="0">""</x:f>
      </x:c>
    </x:row>
    <x:row r="123" ht="14.25" hidden="0">
      <x:c r="A123" s="3"/>
      <x:c r="B123" s="55"/>
      <x:c r="C123" s="4"/>
      <x:c r="D123" s="4"/>
      <x:c r="E123" s="4"/>
      <x:c r="F123" s="4"/>
      <x:c r="G123" s="4"/>
      <x:c r="H123" s="56"/>
      <x:c r="I123" s="4"/>
      <x:c r="J123" s="4"/>
      <x:c r="K123" s="4"/>
      <x:c r="L123" s="7"/>
      <x:c r="M123" s="7"/>
      <x:c r="N123" s="57"/>
      <x:c r="O123" s="57"/>
      <x:c r="P123" s="57"/>
      <x:c r="Q123" s="3" t="str">
        <x:f aca="0">""</x:f>
      </x:c>
      <x:c r="R123" s="4"/>
      <x:c r="S123" s="4"/>
      <x:c r="T123" s="4"/>
      <x:c r="U123" s="56"/>
      <x:c r="V123" s="4"/>
      <x:c r="W123" s="57" t="str">
        <x:f aca="0">""</x:f>
      </x:c>
      <x:c r="X123" s="57" t="str">
        <x:f aca="0">""</x:f>
      </x:c>
      <x:c r="Y123" s="57" t="str">
        <x:f aca="0">""</x:f>
      </x:c>
      <x:c r="Z123" s="58"/>
      <x:c r="AA123" s="4"/>
      <x:c r="AB123" s="54" t="str">
        <x:f aca="0">""</x:f>
      </x:c>
      <x:c r="AC123" s="54" t="str">
        <x:f aca="0">""</x:f>
      </x:c>
      <x:c r="AD123" s="7"/>
      <x:c r="AE123" s="4"/>
      <x:c r="AF123" s="4"/>
      <x:c r="AG123" s="7"/>
      <x:c r="AH123" s="12" t="str">
        <x:f aca="0">""</x:f>
      </x:c>
      <x:c r="AI123" s="12" t="str">
        <x:f aca="0">""</x:f>
      </x:c>
      <x:c r="AJ123" s="12" t="str">
        <x:f aca="0">""</x:f>
      </x:c>
      <x:c r="AK123" s="12" t="str">
        <x:f aca="0">""</x:f>
      </x:c>
      <x:c r="AL123" s="19" t="str">
        <x:f aca="0">""</x:f>
      </x:c>
      <x:c r="AM123" s="56"/>
      <x:c r="AN123" s="4"/>
      <x:c r="AO123" s="4"/>
      <x:c r="AP123" s="3" t="str">
        <x:f aca="0">""</x:f>
      </x:c>
      <x:c r="AQ123" s="3" t="str">
        <x:f aca="0">""</x:f>
      </x:c>
      <x:c r="AR123" s="3" t="str">
        <x:f aca="0">""</x:f>
      </x:c>
      <x:c r="AS123" s="3" t="str">
        <x:f aca="0">""</x:f>
      </x:c>
      <x:c r="AT123" s="3" t="str">
        <x:f aca="0">""</x:f>
      </x:c>
      <x:c r="AU123" s="54" t="str">
        <x:f aca="0">""</x:f>
      </x:c>
      <x:c r="AV123" s="12" t="str">
        <x:f aca="0">""</x:f>
      </x:c>
      <x:c r="AW123" s="4"/>
      <x:c r="AX123" s="4"/>
      <x:c r="AY123" s="4"/>
      <x:c r="AZ123" s="56"/>
      <x:c r="BA123" s="4"/>
      <x:c r="BB123" s="11" t="str">
        <x:f aca="0">""</x:f>
      </x:c>
      <x:c r="BC123" s="11" t="str">
        <x:f aca="0">""</x:f>
      </x:c>
      <x:c r="BD123" s="11" t="str">
        <x:f aca="0">""</x:f>
      </x:c>
      <x:c r="BE123" s="19" t="str">
        <x:f aca="0">""</x:f>
      </x:c>
      <x:c r="BF123" s="19" t="str">
        <x:f aca="0">""</x:f>
      </x:c>
    </x:row>
    <x:row r="124" ht="14.25" hidden="0">
      <x:c r="A124" s="3"/>
      <x:c r="B124" s="55"/>
      <x:c r="C124" s="4"/>
      <x:c r="D124" s="4"/>
      <x:c r="E124" s="4"/>
      <x:c r="F124" s="4"/>
      <x:c r="G124" s="4"/>
      <x:c r="H124" s="56"/>
      <x:c r="I124" s="4"/>
      <x:c r="J124" s="4"/>
      <x:c r="K124" s="4"/>
      <x:c r="L124" s="7"/>
      <x:c r="M124" s="7"/>
      <x:c r="N124" s="57"/>
      <x:c r="O124" s="57"/>
      <x:c r="P124" s="57"/>
      <x:c r="Q124" s="3" t="str">
        <x:f aca="0">""</x:f>
      </x:c>
      <x:c r="R124" s="4"/>
      <x:c r="S124" s="4"/>
      <x:c r="T124" s="4"/>
      <x:c r="U124" s="56"/>
      <x:c r="V124" s="4"/>
      <x:c r="W124" s="57" t="str">
        <x:f aca="0">""</x:f>
      </x:c>
      <x:c r="X124" s="57" t="str">
        <x:f aca="0">""</x:f>
      </x:c>
      <x:c r="Y124" s="57" t="str">
        <x:f aca="0">""</x:f>
      </x:c>
      <x:c r="Z124" s="58"/>
      <x:c r="AA124" s="4"/>
      <x:c r="AB124" s="54" t="str">
        <x:f aca="0">""</x:f>
      </x:c>
      <x:c r="AC124" s="54" t="str">
        <x:f aca="0">""</x:f>
      </x:c>
      <x:c r="AD124" s="7"/>
      <x:c r="AE124" s="4"/>
      <x:c r="AF124" s="4"/>
      <x:c r="AG124" s="7"/>
      <x:c r="AH124" s="12" t="str">
        <x:f aca="0">""</x:f>
      </x:c>
      <x:c r="AI124" s="12" t="str">
        <x:f aca="0">""</x:f>
      </x:c>
      <x:c r="AJ124" s="12" t="str">
        <x:f aca="0">""</x:f>
      </x:c>
      <x:c r="AK124" s="12" t="str">
        <x:f aca="0">""</x:f>
      </x:c>
      <x:c r="AL124" s="19" t="str">
        <x:f aca="0">""</x:f>
      </x:c>
      <x:c r="AM124" s="56"/>
      <x:c r="AN124" s="4"/>
      <x:c r="AO124" s="4"/>
      <x:c r="AP124" s="3" t="str">
        <x:f aca="0">""</x:f>
      </x:c>
      <x:c r="AQ124" s="3" t="str">
        <x:f aca="0">""</x:f>
      </x:c>
      <x:c r="AR124" s="3" t="str">
        <x:f aca="0">""</x:f>
      </x:c>
      <x:c r="AS124" s="3" t="str">
        <x:f aca="0">""</x:f>
      </x:c>
      <x:c r="AT124" s="3" t="str">
        <x:f aca="0">""</x:f>
      </x:c>
      <x:c r="AU124" s="54" t="str">
        <x:f aca="0">""</x:f>
      </x:c>
      <x:c r="AV124" s="12" t="str">
        <x:f aca="0">""</x:f>
      </x:c>
      <x:c r="AW124" s="4"/>
      <x:c r="AX124" s="4"/>
      <x:c r="AY124" s="4"/>
      <x:c r="AZ124" s="56"/>
      <x:c r="BA124" s="4"/>
      <x:c r="BB124" s="11" t="str">
        <x:f aca="0">""</x:f>
      </x:c>
      <x:c r="BC124" s="11" t="str">
        <x:f aca="0">""</x:f>
      </x:c>
      <x:c r="BD124" s="11" t="str">
        <x:f aca="0">""</x:f>
      </x:c>
      <x:c r="BE124" s="19" t="str">
        <x:f aca="0">""</x:f>
      </x:c>
      <x:c r="BF124" s="19" t="str">
        <x:f aca="0">""</x:f>
      </x:c>
    </x:row>
    <x:row r="125" ht="14.25" hidden="0">
      <x:c r="A125" s="3"/>
      <x:c r="B125" s="55"/>
      <x:c r="C125" s="4"/>
      <x:c r="D125" s="4"/>
      <x:c r="E125" s="4"/>
      <x:c r="F125" s="4"/>
      <x:c r="G125" s="4"/>
      <x:c r="H125" s="56"/>
      <x:c r="I125" s="4"/>
      <x:c r="J125" s="4"/>
      <x:c r="K125" s="4"/>
      <x:c r="L125" s="7"/>
      <x:c r="M125" s="7"/>
      <x:c r="N125" s="57"/>
      <x:c r="O125" s="57"/>
      <x:c r="P125" s="57"/>
      <x:c r="Q125" s="3" t="str">
        <x:f aca="0">""</x:f>
      </x:c>
      <x:c r="R125" s="4"/>
      <x:c r="S125" s="4"/>
      <x:c r="T125" s="4"/>
      <x:c r="U125" s="56"/>
      <x:c r="V125" s="4"/>
      <x:c r="W125" s="57" t="str">
        <x:f aca="0">""</x:f>
      </x:c>
      <x:c r="X125" s="57" t="str">
        <x:f aca="0">""</x:f>
      </x:c>
      <x:c r="Y125" s="57" t="str">
        <x:f aca="0">""</x:f>
      </x:c>
      <x:c r="Z125" s="58"/>
      <x:c r="AA125" s="4"/>
      <x:c r="AB125" s="54" t="str">
        <x:f aca="0">""</x:f>
      </x:c>
      <x:c r="AC125" s="54" t="str">
        <x:f aca="0">""</x:f>
      </x:c>
      <x:c r="AD125" s="7"/>
      <x:c r="AE125" s="4"/>
      <x:c r="AF125" s="4"/>
      <x:c r="AG125" s="7"/>
      <x:c r="AH125" s="12" t="str">
        <x:f aca="0">""</x:f>
      </x:c>
      <x:c r="AI125" s="12" t="str">
        <x:f aca="0">""</x:f>
      </x:c>
      <x:c r="AJ125" s="12" t="str">
        <x:f aca="0">""</x:f>
      </x:c>
      <x:c r="AK125" s="12" t="str">
        <x:f aca="0">""</x:f>
      </x:c>
      <x:c r="AL125" s="19" t="str">
        <x:f aca="0">""</x:f>
      </x:c>
      <x:c r="AM125" s="56"/>
      <x:c r="AN125" s="4"/>
      <x:c r="AO125" s="4"/>
      <x:c r="AP125" s="3" t="str">
        <x:f aca="0">""</x:f>
      </x:c>
      <x:c r="AQ125" s="3" t="str">
        <x:f aca="0">""</x:f>
      </x:c>
      <x:c r="AR125" s="3" t="str">
        <x:f aca="0">""</x:f>
      </x:c>
      <x:c r="AS125" s="3" t="str">
        <x:f aca="0">""</x:f>
      </x:c>
      <x:c r="AT125" s="3" t="str">
        <x:f aca="0">""</x:f>
      </x:c>
      <x:c r="AU125" s="54" t="str">
        <x:f aca="0">""</x:f>
      </x:c>
      <x:c r="AV125" s="12" t="str">
        <x:f aca="0">""</x:f>
      </x:c>
      <x:c r="AW125" s="4"/>
      <x:c r="AX125" s="4"/>
      <x:c r="AY125" s="4"/>
      <x:c r="AZ125" s="56"/>
      <x:c r="BA125" s="4"/>
      <x:c r="BB125" s="11" t="str">
        <x:f aca="0">""</x:f>
      </x:c>
      <x:c r="BC125" s="11" t="str">
        <x:f aca="0">""</x:f>
      </x:c>
      <x:c r="BD125" s="11" t="str">
        <x:f aca="0">""</x:f>
      </x:c>
      <x:c r="BE125" s="19" t="str">
        <x:f aca="0">""</x:f>
      </x:c>
      <x:c r="BF125" s="19" t="str">
        <x:f aca="0">""</x:f>
      </x:c>
    </x:row>
    <x:row r="126" ht="14.25" hidden="0">
      <x:c r="A126" s="3"/>
      <x:c r="B126" s="55"/>
      <x:c r="C126" s="4"/>
      <x:c r="D126" s="4"/>
      <x:c r="E126" s="4"/>
      <x:c r="F126" s="4"/>
      <x:c r="G126" s="4"/>
      <x:c r="H126" s="56"/>
      <x:c r="I126" s="4"/>
      <x:c r="J126" s="4"/>
      <x:c r="K126" s="4"/>
      <x:c r="L126" s="7"/>
      <x:c r="M126" s="7"/>
      <x:c r="N126" s="57"/>
      <x:c r="O126" s="57"/>
      <x:c r="P126" s="57"/>
      <x:c r="Q126" s="3" t="str">
        <x:f aca="0">""</x:f>
      </x:c>
      <x:c r="R126" s="4"/>
      <x:c r="S126" s="4"/>
      <x:c r="T126" s="4"/>
      <x:c r="U126" s="56"/>
      <x:c r="V126" s="4"/>
      <x:c r="W126" s="57" t="str">
        <x:f aca="0">""</x:f>
      </x:c>
      <x:c r="X126" s="57" t="str">
        <x:f aca="0">""</x:f>
      </x:c>
      <x:c r="Y126" s="57" t="str">
        <x:f aca="0">""</x:f>
      </x:c>
      <x:c r="Z126" s="58"/>
      <x:c r="AA126" s="4"/>
      <x:c r="AB126" s="54" t="str">
        <x:f aca="0">""</x:f>
      </x:c>
      <x:c r="AC126" s="54" t="str">
        <x:f aca="0">""</x:f>
      </x:c>
      <x:c r="AD126" s="7"/>
      <x:c r="AE126" s="4"/>
      <x:c r="AF126" s="4"/>
      <x:c r="AG126" s="7"/>
      <x:c r="AH126" s="12" t="str">
        <x:f aca="0">""</x:f>
      </x:c>
      <x:c r="AI126" s="12" t="str">
        <x:f aca="0">""</x:f>
      </x:c>
      <x:c r="AJ126" s="12" t="str">
        <x:f aca="0">""</x:f>
      </x:c>
      <x:c r="AK126" s="12" t="str">
        <x:f aca="0">""</x:f>
      </x:c>
      <x:c r="AL126" s="19" t="str">
        <x:f aca="0">""</x:f>
      </x:c>
      <x:c r="AM126" s="56"/>
      <x:c r="AN126" s="4"/>
      <x:c r="AO126" s="4"/>
      <x:c r="AP126" s="3" t="str">
        <x:f aca="0">""</x:f>
      </x:c>
      <x:c r="AQ126" s="3" t="str">
        <x:f aca="0">""</x:f>
      </x:c>
      <x:c r="AR126" s="3" t="str">
        <x:f aca="0">""</x:f>
      </x:c>
      <x:c r="AS126" s="3" t="str">
        <x:f aca="0">""</x:f>
      </x:c>
      <x:c r="AT126" s="3" t="str">
        <x:f aca="0">""</x:f>
      </x:c>
      <x:c r="AU126" s="54" t="str">
        <x:f aca="0">""</x:f>
      </x:c>
      <x:c r="AV126" s="12" t="str">
        <x:f aca="0">""</x:f>
      </x:c>
      <x:c r="AW126" s="4"/>
      <x:c r="AX126" s="4"/>
      <x:c r="AY126" s="4"/>
      <x:c r="AZ126" s="56"/>
      <x:c r="BA126" s="4"/>
      <x:c r="BB126" s="11" t="str">
        <x:f aca="0">""</x:f>
      </x:c>
      <x:c r="BC126" s="11" t="str">
        <x:f aca="0">""</x:f>
      </x:c>
      <x:c r="BD126" s="11" t="str">
        <x:f aca="0">""</x:f>
      </x:c>
      <x:c r="BE126" s="19" t="str">
        <x:f aca="0">""</x:f>
      </x:c>
      <x:c r="BF126" s="19" t="str">
        <x:f aca="0">""</x:f>
      </x:c>
    </x:row>
    <x:row r="127" ht="14.25" hidden="0">
      <x:c r="A127" s="3"/>
      <x:c r="B127" s="55"/>
      <x:c r="C127" s="4"/>
      <x:c r="D127" s="4"/>
      <x:c r="E127" s="4"/>
      <x:c r="F127" s="4"/>
      <x:c r="G127" s="4"/>
      <x:c r="H127" s="56"/>
      <x:c r="I127" s="4"/>
      <x:c r="J127" s="4"/>
      <x:c r="K127" s="4"/>
      <x:c r="L127" s="7"/>
      <x:c r="M127" s="7"/>
      <x:c r="N127" s="57"/>
      <x:c r="O127" s="57"/>
      <x:c r="P127" s="57"/>
      <x:c r="Q127" s="3" t="str">
        <x:f aca="0">""</x:f>
      </x:c>
      <x:c r="R127" s="4"/>
      <x:c r="S127" s="4"/>
      <x:c r="T127" s="4"/>
      <x:c r="U127" s="56"/>
      <x:c r="V127" s="4"/>
      <x:c r="W127" s="57" t="str">
        <x:f aca="0">""</x:f>
      </x:c>
      <x:c r="X127" s="57" t="str">
        <x:f aca="0">""</x:f>
      </x:c>
      <x:c r="Y127" s="57" t="str">
        <x:f aca="0">""</x:f>
      </x:c>
      <x:c r="Z127" s="58"/>
      <x:c r="AA127" s="4"/>
      <x:c r="AB127" s="54" t="str">
        <x:f aca="0">""</x:f>
      </x:c>
      <x:c r="AC127" s="54" t="str">
        <x:f aca="0">""</x:f>
      </x:c>
      <x:c r="AD127" s="7"/>
      <x:c r="AE127" s="4"/>
      <x:c r="AF127" s="4"/>
      <x:c r="AG127" s="7"/>
      <x:c r="AH127" s="12" t="str">
        <x:f aca="0">""</x:f>
      </x:c>
      <x:c r="AI127" s="12" t="str">
        <x:f aca="0">""</x:f>
      </x:c>
      <x:c r="AJ127" s="12" t="str">
        <x:f aca="0">""</x:f>
      </x:c>
      <x:c r="AK127" s="12" t="str">
        <x:f aca="0">""</x:f>
      </x:c>
      <x:c r="AL127" s="19" t="str">
        <x:f aca="0">""</x:f>
      </x:c>
      <x:c r="AM127" s="56"/>
      <x:c r="AN127" s="4"/>
      <x:c r="AO127" s="4"/>
      <x:c r="AP127" s="3" t="str">
        <x:f aca="0">""</x:f>
      </x:c>
      <x:c r="AQ127" s="3" t="str">
        <x:f aca="0">""</x:f>
      </x:c>
      <x:c r="AR127" s="3" t="str">
        <x:f aca="0">""</x:f>
      </x:c>
      <x:c r="AS127" s="3" t="str">
        <x:f aca="0">""</x:f>
      </x:c>
      <x:c r="AT127" s="3" t="str">
        <x:f aca="0">""</x:f>
      </x:c>
      <x:c r="AU127" s="54" t="str">
        <x:f aca="0">""</x:f>
      </x:c>
      <x:c r="AV127" s="12" t="str">
        <x:f aca="0">""</x:f>
      </x:c>
      <x:c r="AW127" s="4"/>
      <x:c r="AX127" s="4"/>
      <x:c r="AY127" s="4"/>
      <x:c r="AZ127" s="56"/>
      <x:c r="BA127" s="4"/>
      <x:c r="BB127" s="11" t="str">
        <x:f aca="0">""</x:f>
      </x:c>
      <x:c r="BC127" s="11" t="str">
        <x:f aca="0">""</x:f>
      </x:c>
      <x:c r="BD127" s="11" t="str">
        <x:f aca="0">""</x:f>
      </x:c>
      <x:c r="BE127" s="19" t="str">
        <x:f aca="0">""</x:f>
      </x:c>
      <x:c r="BF127" s="19" t="str">
        <x:f aca="0">""</x:f>
      </x:c>
    </x:row>
    <x:row r="128" ht="14.25" hidden="0">
      <x:c r="A128" s="3"/>
      <x:c r="B128" s="55"/>
      <x:c r="C128" s="4"/>
      <x:c r="D128" s="4"/>
      <x:c r="E128" s="4"/>
      <x:c r="F128" s="4"/>
      <x:c r="G128" s="4"/>
      <x:c r="H128" s="56"/>
      <x:c r="I128" s="4"/>
      <x:c r="J128" s="4"/>
      <x:c r="K128" s="4"/>
      <x:c r="L128" s="7"/>
      <x:c r="M128" s="7"/>
      <x:c r="N128" s="57"/>
      <x:c r="O128" s="57"/>
      <x:c r="P128" s="57"/>
      <x:c r="Q128" s="3" t="str">
        <x:f aca="0">""</x:f>
      </x:c>
      <x:c r="R128" s="4"/>
      <x:c r="S128" s="4"/>
      <x:c r="T128" s="4"/>
      <x:c r="U128" s="56"/>
      <x:c r="V128" s="4"/>
      <x:c r="W128" s="57" t="str">
        <x:f aca="0">""</x:f>
      </x:c>
      <x:c r="X128" s="57" t="str">
        <x:f aca="0">""</x:f>
      </x:c>
      <x:c r="Y128" s="57" t="str">
        <x:f aca="0">""</x:f>
      </x:c>
      <x:c r="Z128" s="58"/>
      <x:c r="AA128" s="4"/>
      <x:c r="AB128" s="54" t="str">
        <x:f aca="0">""</x:f>
      </x:c>
      <x:c r="AC128" s="54" t="str">
        <x:f aca="0">""</x:f>
      </x:c>
      <x:c r="AD128" s="7"/>
      <x:c r="AE128" s="4"/>
      <x:c r="AF128" s="4"/>
      <x:c r="AG128" s="7"/>
      <x:c r="AH128" s="12" t="str">
        <x:f aca="0">""</x:f>
      </x:c>
      <x:c r="AI128" s="12" t="str">
        <x:f aca="0">""</x:f>
      </x:c>
      <x:c r="AJ128" s="12" t="str">
        <x:f aca="0">""</x:f>
      </x:c>
      <x:c r="AK128" s="12" t="str">
        <x:f aca="0">""</x:f>
      </x:c>
      <x:c r="AL128" s="19" t="str">
        <x:f aca="0">""</x:f>
      </x:c>
      <x:c r="AM128" s="56"/>
      <x:c r="AN128" s="4"/>
      <x:c r="AO128" s="4"/>
      <x:c r="AP128" s="3" t="str">
        <x:f aca="0">""</x:f>
      </x:c>
      <x:c r="AQ128" s="3" t="str">
        <x:f aca="0">""</x:f>
      </x:c>
      <x:c r="AR128" s="3" t="str">
        <x:f aca="0">""</x:f>
      </x:c>
      <x:c r="AS128" s="3" t="str">
        <x:f aca="0">""</x:f>
      </x:c>
      <x:c r="AT128" s="3" t="str">
        <x:f aca="0">""</x:f>
      </x:c>
      <x:c r="AU128" s="54" t="str">
        <x:f aca="0">""</x:f>
      </x:c>
      <x:c r="AV128" s="12" t="str">
        <x:f aca="0">""</x:f>
      </x:c>
      <x:c r="AW128" s="4"/>
      <x:c r="AX128" s="4"/>
      <x:c r="AY128" s="4"/>
      <x:c r="AZ128" s="56"/>
      <x:c r="BA128" s="4"/>
      <x:c r="BB128" s="11" t="str">
        <x:f aca="0">""</x:f>
      </x:c>
      <x:c r="BC128" s="11" t="str">
        <x:f aca="0">""</x:f>
      </x:c>
      <x:c r="BD128" s="11" t="str">
        <x:f aca="0">""</x:f>
      </x:c>
      <x:c r="BE128" s="19" t="str">
        <x:f aca="0">""</x:f>
      </x:c>
      <x:c r="BF128" s="19" t="str">
        <x:f aca="0">""</x:f>
      </x:c>
    </x:row>
    <x:row r="129" ht="14.25" hidden="0">
      <x:c r="A129" s="3"/>
      <x:c r="B129" s="55"/>
      <x:c r="C129" s="4"/>
      <x:c r="D129" s="4"/>
      <x:c r="E129" s="4"/>
      <x:c r="F129" s="4"/>
      <x:c r="G129" s="4"/>
      <x:c r="H129" s="56"/>
      <x:c r="I129" s="4"/>
      <x:c r="J129" s="4"/>
      <x:c r="K129" s="4"/>
      <x:c r="L129" s="7"/>
      <x:c r="M129" s="7"/>
      <x:c r="N129" s="57"/>
      <x:c r="O129" s="57"/>
      <x:c r="P129" s="57"/>
      <x:c r="Q129" s="3" t="str">
        <x:f aca="0">""</x:f>
      </x:c>
      <x:c r="R129" s="4"/>
      <x:c r="S129" s="4"/>
      <x:c r="T129" s="4"/>
      <x:c r="U129" s="56"/>
      <x:c r="V129" s="4"/>
      <x:c r="W129" s="57" t="str">
        <x:f aca="0">""</x:f>
      </x:c>
      <x:c r="X129" s="57" t="str">
        <x:f aca="0">""</x:f>
      </x:c>
      <x:c r="Y129" s="57" t="str">
        <x:f aca="0">""</x:f>
      </x:c>
      <x:c r="Z129" s="58"/>
      <x:c r="AA129" s="4"/>
      <x:c r="AB129" s="54" t="str">
        <x:f aca="0">""</x:f>
      </x:c>
      <x:c r="AC129" s="54" t="str">
        <x:f aca="0">""</x:f>
      </x:c>
      <x:c r="AD129" s="7"/>
      <x:c r="AE129" s="4"/>
      <x:c r="AF129" s="4"/>
      <x:c r="AG129" s="7"/>
      <x:c r="AH129" s="12" t="str">
        <x:f aca="0">""</x:f>
      </x:c>
      <x:c r="AI129" s="12" t="str">
        <x:f aca="0">""</x:f>
      </x:c>
      <x:c r="AJ129" s="12" t="str">
        <x:f aca="0">""</x:f>
      </x:c>
      <x:c r="AK129" s="12" t="str">
        <x:f aca="0">""</x:f>
      </x:c>
      <x:c r="AL129" s="19" t="str">
        <x:f aca="0">""</x:f>
      </x:c>
      <x:c r="AM129" s="56"/>
      <x:c r="AN129" s="4"/>
      <x:c r="AO129" s="4"/>
      <x:c r="AP129" s="3" t="str">
        <x:f aca="0">""</x:f>
      </x:c>
      <x:c r="AQ129" s="3" t="str">
        <x:f aca="0">""</x:f>
      </x:c>
      <x:c r="AR129" s="3" t="str">
        <x:f aca="0">""</x:f>
      </x:c>
      <x:c r="AS129" s="3" t="str">
        <x:f aca="0">""</x:f>
      </x:c>
      <x:c r="AT129" s="3" t="str">
        <x:f aca="0">""</x:f>
      </x:c>
      <x:c r="AU129" s="54" t="str">
        <x:f aca="0">""</x:f>
      </x:c>
      <x:c r="AV129" s="12" t="str">
        <x:f aca="0">""</x:f>
      </x:c>
      <x:c r="AW129" s="4"/>
      <x:c r="AX129" s="4"/>
      <x:c r="AY129" s="4"/>
      <x:c r="AZ129" s="56"/>
      <x:c r="BA129" s="4"/>
      <x:c r="BB129" s="11" t="str">
        <x:f aca="0">""</x:f>
      </x:c>
      <x:c r="BC129" s="11" t="str">
        <x:f aca="0">""</x:f>
      </x:c>
      <x:c r="BD129" s="11" t="str">
        <x:f aca="0">""</x:f>
      </x:c>
      <x:c r="BE129" s="19" t="str">
        <x:f aca="0">""</x:f>
      </x:c>
      <x:c r="BF129" s="19" t="str">
        <x:f aca="0">""</x:f>
      </x:c>
    </x:row>
    <x:row r="130" ht="14.25" hidden="0">
      <x:c r="A130" s="3"/>
      <x:c r="B130" s="55"/>
      <x:c r="C130" s="4"/>
      <x:c r="D130" s="4"/>
      <x:c r="E130" s="4"/>
      <x:c r="F130" s="4"/>
      <x:c r="G130" s="4"/>
      <x:c r="H130" s="56"/>
      <x:c r="I130" s="4"/>
      <x:c r="J130" s="4"/>
      <x:c r="K130" s="4"/>
      <x:c r="L130" s="7"/>
      <x:c r="M130" s="7"/>
      <x:c r="N130" s="57"/>
      <x:c r="O130" s="57"/>
      <x:c r="P130" s="57"/>
      <x:c r="Q130" s="3" t="str">
        <x:f aca="0">""</x:f>
      </x:c>
      <x:c r="R130" s="4"/>
      <x:c r="S130" s="4"/>
      <x:c r="T130" s="4"/>
      <x:c r="U130" s="56"/>
      <x:c r="V130" s="4"/>
      <x:c r="W130" s="57" t="str">
        <x:f aca="0">""</x:f>
      </x:c>
      <x:c r="X130" s="57" t="str">
        <x:f aca="0">""</x:f>
      </x:c>
      <x:c r="Y130" s="57" t="str">
        <x:f aca="0">""</x:f>
      </x:c>
      <x:c r="Z130" s="58"/>
      <x:c r="AA130" s="4"/>
      <x:c r="AB130" s="54" t="str">
        <x:f aca="0">""</x:f>
      </x:c>
      <x:c r="AC130" s="54" t="str">
        <x:f aca="0">""</x:f>
      </x:c>
      <x:c r="AD130" s="7"/>
      <x:c r="AE130" s="4"/>
      <x:c r="AF130" s="4"/>
      <x:c r="AG130" s="7"/>
      <x:c r="AH130" s="12" t="str">
        <x:f aca="0">""</x:f>
      </x:c>
      <x:c r="AI130" s="12" t="str">
        <x:f aca="0">""</x:f>
      </x:c>
      <x:c r="AJ130" s="12" t="str">
        <x:f aca="0">""</x:f>
      </x:c>
      <x:c r="AK130" s="12" t="str">
        <x:f aca="0">""</x:f>
      </x:c>
      <x:c r="AL130" s="19" t="str">
        <x:f aca="0">""</x:f>
      </x:c>
      <x:c r="AM130" s="56"/>
      <x:c r="AN130" s="4"/>
      <x:c r="AO130" s="4"/>
      <x:c r="AP130" s="3" t="str">
        <x:f aca="0">""</x:f>
      </x:c>
      <x:c r="AQ130" s="3" t="str">
        <x:f aca="0">""</x:f>
      </x:c>
      <x:c r="AR130" s="3" t="str">
        <x:f aca="0">""</x:f>
      </x:c>
      <x:c r="AS130" s="3" t="str">
        <x:f aca="0">""</x:f>
      </x:c>
      <x:c r="AT130" s="3" t="str">
        <x:f aca="0">""</x:f>
      </x:c>
      <x:c r="AU130" s="54" t="str">
        <x:f aca="0">""</x:f>
      </x:c>
      <x:c r="AV130" s="12" t="str">
        <x:f aca="0">""</x:f>
      </x:c>
      <x:c r="AW130" s="4"/>
      <x:c r="AX130" s="4"/>
      <x:c r="AY130" s="4"/>
      <x:c r="AZ130" s="56"/>
      <x:c r="BA130" s="4"/>
      <x:c r="BB130" s="11" t="str">
        <x:f aca="0">""</x:f>
      </x:c>
      <x:c r="BC130" s="11" t="str">
        <x:f aca="0">""</x:f>
      </x:c>
      <x:c r="BD130" s="11" t="str">
        <x:f aca="0">""</x:f>
      </x:c>
      <x:c r="BE130" s="19" t="str">
        <x:f aca="0">""</x:f>
      </x:c>
      <x:c r="BF130" s="19" t="str">
        <x:f aca="0">""</x:f>
      </x:c>
    </x:row>
    <x:row r="131" ht="14.25" hidden="0">
      <x:c r="A131" s="3"/>
      <x:c r="B131" s="55"/>
      <x:c r="C131" s="4"/>
      <x:c r="D131" s="4"/>
      <x:c r="E131" s="4"/>
      <x:c r="F131" s="4"/>
      <x:c r="G131" s="4"/>
      <x:c r="H131" s="56"/>
      <x:c r="I131" s="4"/>
      <x:c r="J131" s="4"/>
      <x:c r="K131" s="4"/>
      <x:c r="L131" s="7"/>
      <x:c r="M131" s="7"/>
      <x:c r="N131" s="57"/>
      <x:c r="O131" s="57"/>
      <x:c r="P131" s="57"/>
      <x:c r="Q131" s="3" t="str">
        <x:f aca="0">""</x:f>
      </x:c>
      <x:c r="R131" s="4"/>
      <x:c r="S131" s="4"/>
      <x:c r="T131" s="4"/>
      <x:c r="U131" s="56"/>
      <x:c r="V131" s="4"/>
      <x:c r="W131" s="57" t="str">
        <x:f aca="0">""</x:f>
      </x:c>
      <x:c r="X131" s="57" t="str">
        <x:f aca="0">""</x:f>
      </x:c>
      <x:c r="Y131" s="57" t="str">
        <x:f aca="0">""</x:f>
      </x:c>
      <x:c r="Z131" s="58"/>
      <x:c r="AA131" s="4"/>
      <x:c r="AB131" s="54" t="str">
        <x:f aca="0">""</x:f>
      </x:c>
      <x:c r="AC131" s="54" t="str">
        <x:f aca="0">""</x:f>
      </x:c>
      <x:c r="AD131" s="7"/>
      <x:c r="AE131" s="4"/>
      <x:c r="AF131" s="4"/>
      <x:c r="AG131" s="7"/>
      <x:c r="AH131" s="12" t="str">
        <x:f aca="0">""</x:f>
      </x:c>
      <x:c r="AI131" s="12" t="str">
        <x:f aca="0">""</x:f>
      </x:c>
      <x:c r="AJ131" s="12" t="str">
        <x:f aca="0">""</x:f>
      </x:c>
      <x:c r="AK131" s="12" t="str">
        <x:f aca="0">""</x:f>
      </x:c>
      <x:c r="AL131" s="19" t="str">
        <x:f aca="0">""</x:f>
      </x:c>
      <x:c r="AM131" s="56"/>
      <x:c r="AN131" s="4"/>
      <x:c r="AO131" s="4"/>
      <x:c r="AP131" s="3" t="str">
        <x:f aca="0">""</x:f>
      </x:c>
      <x:c r="AQ131" s="3" t="str">
        <x:f aca="0">""</x:f>
      </x:c>
      <x:c r="AR131" s="3" t="str">
        <x:f aca="0">""</x:f>
      </x:c>
      <x:c r="AS131" s="3" t="str">
        <x:f aca="0">""</x:f>
      </x:c>
      <x:c r="AT131" s="3" t="str">
        <x:f aca="0">""</x:f>
      </x:c>
      <x:c r="AU131" s="54" t="str">
        <x:f aca="0">""</x:f>
      </x:c>
      <x:c r="AV131" s="12" t="str">
        <x:f aca="0">""</x:f>
      </x:c>
      <x:c r="AW131" s="4"/>
      <x:c r="AX131" s="4"/>
      <x:c r="AY131" s="4"/>
      <x:c r="AZ131" s="56"/>
      <x:c r="BA131" s="4"/>
      <x:c r="BB131" s="11" t="str">
        <x:f aca="0">""</x:f>
      </x:c>
      <x:c r="BC131" s="11" t="str">
        <x:f aca="0">""</x:f>
      </x:c>
      <x:c r="BD131" s="11" t="str">
        <x:f aca="0">""</x:f>
      </x:c>
      <x:c r="BE131" s="19" t="str">
        <x:f aca="0">""</x:f>
      </x:c>
      <x:c r="BF131" s="19" t="str">
        <x:f aca="0">""</x:f>
      </x:c>
    </x:row>
    <x:row r="132" ht="14.25" hidden="0">
      <x:c r="A132" s="3"/>
      <x:c r="B132" s="55"/>
      <x:c r="C132" s="4"/>
      <x:c r="D132" s="4"/>
      <x:c r="E132" s="4"/>
      <x:c r="F132" s="4"/>
      <x:c r="G132" s="4"/>
      <x:c r="H132" s="56"/>
      <x:c r="I132" s="4"/>
      <x:c r="J132" s="4"/>
      <x:c r="K132" s="4"/>
      <x:c r="L132" s="7"/>
      <x:c r="M132" s="7"/>
      <x:c r="N132" s="57"/>
      <x:c r="O132" s="57"/>
      <x:c r="P132" s="57"/>
      <x:c r="Q132" s="3" t="str">
        <x:f aca="0">""</x:f>
      </x:c>
      <x:c r="R132" s="4"/>
      <x:c r="S132" s="4"/>
      <x:c r="T132" s="4"/>
      <x:c r="U132" s="56"/>
      <x:c r="V132" s="4"/>
      <x:c r="W132" s="57" t="str">
        <x:f aca="0">""</x:f>
      </x:c>
      <x:c r="X132" s="57" t="str">
        <x:f aca="0">""</x:f>
      </x:c>
      <x:c r="Y132" s="57" t="str">
        <x:f aca="0">""</x:f>
      </x:c>
      <x:c r="Z132" s="58"/>
      <x:c r="AA132" s="4"/>
      <x:c r="AB132" s="54" t="str">
        <x:f aca="0">""</x:f>
      </x:c>
      <x:c r="AC132" s="54" t="str">
        <x:f aca="0">""</x:f>
      </x:c>
      <x:c r="AD132" s="7"/>
      <x:c r="AE132" s="4"/>
      <x:c r="AF132" s="4"/>
      <x:c r="AG132" s="7"/>
      <x:c r="AH132" s="12" t="str">
        <x:f aca="0">""</x:f>
      </x:c>
      <x:c r="AI132" s="12" t="str">
        <x:f aca="0">""</x:f>
      </x:c>
      <x:c r="AJ132" s="12" t="str">
        <x:f aca="0">""</x:f>
      </x:c>
      <x:c r="AK132" s="12" t="str">
        <x:f aca="0">""</x:f>
      </x:c>
      <x:c r="AL132" s="19" t="str">
        <x:f aca="0">""</x:f>
      </x:c>
      <x:c r="AM132" s="56"/>
      <x:c r="AN132" s="4"/>
      <x:c r="AO132" s="4"/>
      <x:c r="AP132" s="3" t="str">
        <x:f aca="0">""</x:f>
      </x:c>
      <x:c r="AQ132" s="3" t="str">
        <x:f aca="0">""</x:f>
      </x:c>
      <x:c r="AR132" s="3" t="str">
        <x:f aca="0">""</x:f>
      </x:c>
      <x:c r="AS132" s="3" t="str">
        <x:f aca="0">""</x:f>
      </x:c>
      <x:c r="AT132" s="3" t="str">
        <x:f aca="0">""</x:f>
      </x:c>
      <x:c r="AU132" s="54" t="str">
        <x:f aca="0">""</x:f>
      </x:c>
      <x:c r="AV132" s="12" t="str">
        <x:f aca="0">""</x:f>
      </x:c>
      <x:c r="AW132" s="4"/>
      <x:c r="AX132" s="4"/>
      <x:c r="AY132" s="4"/>
      <x:c r="AZ132" s="56"/>
      <x:c r="BA132" s="4"/>
      <x:c r="BB132" s="11" t="str">
        <x:f aca="0">""</x:f>
      </x:c>
      <x:c r="BC132" s="11" t="str">
        <x:f aca="0">""</x:f>
      </x:c>
      <x:c r="BD132" s="11" t="str">
        <x:f aca="0">""</x:f>
      </x:c>
      <x:c r="BE132" s="19" t="str">
        <x:f aca="0">""</x:f>
      </x:c>
      <x:c r="BF132" s="19" t="str">
        <x:f aca="0">""</x:f>
      </x:c>
    </x:row>
    <x:row r="133" ht="14.25" hidden="0">
      <x:c r="A133" s="3"/>
      <x:c r="B133" s="55"/>
      <x:c r="C133" s="4"/>
      <x:c r="D133" s="4"/>
      <x:c r="E133" s="4"/>
      <x:c r="F133" s="4"/>
      <x:c r="G133" s="4"/>
      <x:c r="H133" s="56"/>
      <x:c r="I133" s="4"/>
      <x:c r="J133" s="4"/>
      <x:c r="K133" s="4"/>
      <x:c r="L133" s="7"/>
      <x:c r="M133" s="7"/>
      <x:c r="N133" s="57"/>
      <x:c r="O133" s="57"/>
      <x:c r="P133" s="57"/>
      <x:c r="Q133" s="3" t="str">
        <x:f aca="0">""</x:f>
      </x:c>
      <x:c r="R133" s="4"/>
      <x:c r="S133" s="4"/>
      <x:c r="T133" s="4"/>
      <x:c r="U133" s="56"/>
      <x:c r="V133" s="4"/>
      <x:c r="W133" s="57" t="str">
        <x:f aca="0">""</x:f>
      </x:c>
      <x:c r="X133" s="57" t="str">
        <x:f aca="0">""</x:f>
      </x:c>
      <x:c r="Y133" s="57" t="str">
        <x:f aca="0">""</x:f>
      </x:c>
      <x:c r="Z133" s="58"/>
      <x:c r="AA133" s="4"/>
      <x:c r="AB133" s="54" t="str">
        <x:f aca="0">""</x:f>
      </x:c>
      <x:c r="AC133" s="54" t="str">
        <x:f aca="0">""</x:f>
      </x:c>
      <x:c r="AD133" s="7"/>
      <x:c r="AE133" s="4"/>
      <x:c r="AF133" s="4"/>
      <x:c r="AG133" s="7"/>
      <x:c r="AH133" s="12" t="str">
        <x:f aca="0">""</x:f>
      </x:c>
      <x:c r="AI133" s="12" t="str">
        <x:f aca="0">""</x:f>
      </x:c>
      <x:c r="AJ133" s="12" t="str">
        <x:f aca="0">""</x:f>
      </x:c>
      <x:c r="AK133" s="12" t="str">
        <x:f aca="0">""</x:f>
      </x:c>
      <x:c r="AL133" s="19" t="str">
        <x:f aca="0">""</x:f>
      </x:c>
      <x:c r="AM133" s="56"/>
      <x:c r="AN133" s="4"/>
      <x:c r="AO133" s="4"/>
      <x:c r="AP133" s="3" t="str">
        <x:f aca="0">""</x:f>
      </x:c>
      <x:c r="AQ133" s="3" t="str">
        <x:f aca="0">""</x:f>
      </x:c>
      <x:c r="AR133" s="3" t="str">
        <x:f aca="0">""</x:f>
      </x:c>
      <x:c r="AS133" s="3" t="str">
        <x:f aca="0">""</x:f>
      </x:c>
      <x:c r="AT133" s="3" t="str">
        <x:f aca="0">""</x:f>
      </x:c>
      <x:c r="AU133" s="54" t="str">
        <x:f aca="0">""</x:f>
      </x:c>
      <x:c r="AV133" s="12" t="str">
        <x:f aca="0">""</x:f>
      </x:c>
      <x:c r="AW133" s="4"/>
      <x:c r="AX133" s="4"/>
      <x:c r="AY133" s="4"/>
      <x:c r="AZ133" s="56"/>
      <x:c r="BA133" s="4"/>
      <x:c r="BB133" s="11" t="str">
        <x:f aca="0">""</x:f>
      </x:c>
      <x:c r="BC133" s="11" t="str">
        <x:f aca="0">""</x:f>
      </x:c>
      <x:c r="BD133" s="11" t="str">
        <x:f aca="0">""</x:f>
      </x:c>
      <x:c r="BE133" s="19" t="str">
        <x:f aca="0">""</x:f>
      </x:c>
      <x:c r="BF133" s="19" t="str">
        <x:f aca="0">""</x:f>
      </x:c>
    </x:row>
    <x:row r="134" ht="14.25" hidden="0">
      <x:c r="A134" s="3"/>
      <x:c r="B134" s="55"/>
      <x:c r="C134" s="4"/>
      <x:c r="D134" s="4"/>
      <x:c r="E134" s="4"/>
      <x:c r="F134" s="4"/>
      <x:c r="G134" s="4"/>
      <x:c r="H134" s="56"/>
      <x:c r="I134" s="4"/>
      <x:c r="J134" s="4"/>
      <x:c r="K134" s="4"/>
      <x:c r="L134" s="7"/>
      <x:c r="M134" s="7"/>
      <x:c r="N134" s="57"/>
      <x:c r="O134" s="57"/>
      <x:c r="P134" s="57"/>
      <x:c r="Q134" s="3" t="str">
        <x:f aca="0">""</x:f>
      </x:c>
      <x:c r="R134" s="4"/>
      <x:c r="S134" s="4"/>
      <x:c r="T134" s="4"/>
      <x:c r="U134" s="56"/>
      <x:c r="V134" s="4"/>
      <x:c r="W134" s="57" t="str">
        <x:f aca="0">""</x:f>
      </x:c>
      <x:c r="X134" s="57" t="str">
        <x:f aca="0">""</x:f>
      </x:c>
      <x:c r="Y134" s="57" t="str">
        <x:f aca="0">""</x:f>
      </x:c>
      <x:c r="Z134" s="58"/>
      <x:c r="AA134" s="4"/>
      <x:c r="AB134" s="54" t="str">
        <x:f aca="0">""</x:f>
      </x:c>
      <x:c r="AC134" s="54" t="str">
        <x:f aca="0">""</x:f>
      </x:c>
      <x:c r="AD134" s="7"/>
      <x:c r="AE134" s="4"/>
      <x:c r="AF134" s="4"/>
      <x:c r="AG134" s="7"/>
      <x:c r="AH134" s="12" t="str">
        <x:f aca="0">""</x:f>
      </x:c>
      <x:c r="AI134" s="12" t="str">
        <x:f aca="0">""</x:f>
      </x:c>
      <x:c r="AJ134" s="12" t="str">
        <x:f aca="0">""</x:f>
      </x:c>
      <x:c r="AK134" s="12" t="str">
        <x:f aca="0">""</x:f>
      </x:c>
      <x:c r="AL134" s="19" t="str">
        <x:f aca="0">""</x:f>
      </x:c>
      <x:c r="AM134" s="56"/>
      <x:c r="AN134" s="4"/>
      <x:c r="AO134" s="4"/>
      <x:c r="AP134" s="3" t="str">
        <x:f aca="0">""</x:f>
      </x:c>
      <x:c r="AQ134" s="3" t="str">
        <x:f aca="0">""</x:f>
      </x:c>
      <x:c r="AR134" s="3" t="str">
        <x:f aca="0">""</x:f>
      </x:c>
      <x:c r="AS134" s="3" t="str">
        <x:f aca="0">""</x:f>
      </x:c>
      <x:c r="AT134" s="3" t="str">
        <x:f aca="0">""</x:f>
      </x:c>
      <x:c r="AU134" s="54" t="str">
        <x:f aca="0">""</x:f>
      </x:c>
      <x:c r="AV134" s="12" t="str">
        <x:f aca="0">""</x:f>
      </x:c>
      <x:c r="AW134" s="4"/>
      <x:c r="AX134" s="4"/>
      <x:c r="AY134" s="4"/>
      <x:c r="AZ134" s="56"/>
      <x:c r="BA134" s="4"/>
      <x:c r="BB134" s="11" t="str">
        <x:f aca="0">""</x:f>
      </x:c>
      <x:c r="BC134" s="11" t="str">
        <x:f aca="0">""</x:f>
      </x:c>
      <x:c r="BD134" s="11" t="str">
        <x:f aca="0">""</x:f>
      </x:c>
      <x:c r="BE134" s="19" t="str">
        <x:f aca="0">""</x:f>
      </x:c>
      <x:c r="BF134" s="19" t="str">
        <x:f aca="0">""</x:f>
      </x:c>
    </x:row>
    <x:row r="135" ht="14.25" hidden="0">
      <x:c r="A135" s="3"/>
      <x:c r="B135" s="55"/>
      <x:c r="C135" s="4"/>
      <x:c r="D135" s="4"/>
      <x:c r="E135" s="4"/>
      <x:c r="F135" s="4"/>
      <x:c r="G135" s="4"/>
      <x:c r="H135" s="56"/>
      <x:c r="I135" s="4"/>
      <x:c r="J135" s="4"/>
      <x:c r="K135" s="4"/>
      <x:c r="L135" s="7"/>
      <x:c r="M135" s="7"/>
      <x:c r="N135" s="57"/>
      <x:c r="O135" s="57"/>
      <x:c r="P135" s="57"/>
      <x:c r="Q135" s="3" t="str">
        <x:f aca="0">""</x:f>
      </x:c>
      <x:c r="R135" s="4"/>
      <x:c r="S135" s="4"/>
      <x:c r="T135" s="4"/>
      <x:c r="U135" s="56"/>
      <x:c r="V135" s="4"/>
      <x:c r="W135" s="57" t="str">
        <x:f aca="0">""</x:f>
      </x:c>
      <x:c r="X135" s="57" t="str">
        <x:f aca="0">""</x:f>
      </x:c>
      <x:c r="Y135" s="57" t="str">
        <x:f aca="0">""</x:f>
      </x:c>
      <x:c r="Z135" s="58"/>
      <x:c r="AA135" s="4"/>
      <x:c r="AB135" s="54" t="str">
        <x:f aca="0">""</x:f>
      </x:c>
      <x:c r="AC135" s="54" t="str">
        <x:f aca="0">""</x:f>
      </x:c>
      <x:c r="AD135" s="7"/>
      <x:c r="AE135" s="4"/>
      <x:c r="AF135" s="4"/>
      <x:c r="AG135" s="7"/>
      <x:c r="AH135" s="12" t="str">
        <x:f aca="0">""</x:f>
      </x:c>
      <x:c r="AI135" s="12" t="str">
        <x:f aca="0">""</x:f>
      </x:c>
      <x:c r="AJ135" s="12" t="str">
        <x:f aca="0">""</x:f>
      </x:c>
      <x:c r="AK135" s="12" t="str">
        <x:f aca="0">""</x:f>
      </x:c>
      <x:c r="AL135" s="19" t="str">
        <x:f aca="0">""</x:f>
      </x:c>
      <x:c r="AM135" s="56"/>
      <x:c r="AN135" s="4"/>
      <x:c r="AO135" s="4"/>
      <x:c r="AP135" s="3" t="str">
        <x:f aca="0">""</x:f>
      </x:c>
      <x:c r="AQ135" s="3" t="str">
        <x:f aca="0">""</x:f>
      </x:c>
      <x:c r="AR135" s="3" t="str">
        <x:f aca="0">""</x:f>
      </x:c>
      <x:c r="AS135" s="3" t="str">
        <x:f aca="0">""</x:f>
      </x:c>
      <x:c r="AT135" s="3" t="str">
        <x:f aca="0">""</x:f>
      </x:c>
      <x:c r="AU135" s="54" t="str">
        <x:f aca="0">""</x:f>
      </x:c>
      <x:c r="AV135" s="12" t="str">
        <x:f aca="0">""</x:f>
      </x:c>
      <x:c r="AW135" s="4"/>
      <x:c r="AX135" s="4"/>
      <x:c r="AY135" s="4"/>
      <x:c r="AZ135" s="56"/>
      <x:c r="BA135" s="4"/>
      <x:c r="BB135" s="11" t="str">
        <x:f aca="0">""</x:f>
      </x:c>
      <x:c r="BC135" s="11" t="str">
        <x:f aca="0">""</x:f>
      </x:c>
      <x:c r="BD135" s="11" t="str">
        <x:f aca="0">""</x:f>
      </x:c>
      <x:c r="BE135" s="19" t="str">
        <x:f aca="0">""</x:f>
      </x:c>
      <x:c r="BF135" s="19" t="str">
        <x:f aca="0">""</x:f>
      </x:c>
    </x:row>
    <x:row r="136" ht="14.25" hidden="0">
      <x:c r="A136" s="3"/>
      <x:c r="B136" s="55"/>
      <x:c r="C136" s="4"/>
      <x:c r="D136" s="4"/>
      <x:c r="E136" s="4"/>
      <x:c r="F136" s="4"/>
      <x:c r="G136" s="4"/>
      <x:c r="H136" s="56"/>
      <x:c r="I136" s="4"/>
      <x:c r="J136" s="4"/>
      <x:c r="K136" s="4"/>
      <x:c r="L136" s="7"/>
      <x:c r="M136" s="7"/>
      <x:c r="N136" s="57"/>
      <x:c r="O136" s="57"/>
      <x:c r="P136" s="57"/>
      <x:c r="Q136" s="3" t="str">
        <x:f aca="0">""</x:f>
      </x:c>
      <x:c r="R136" s="4"/>
      <x:c r="S136" s="4"/>
      <x:c r="T136" s="4"/>
      <x:c r="U136" s="56"/>
      <x:c r="V136" s="4"/>
      <x:c r="W136" s="57" t="str">
        <x:f aca="0">""</x:f>
      </x:c>
      <x:c r="X136" s="57" t="str">
        <x:f aca="0">""</x:f>
      </x:c>
      <x:c r="Y136" s="57" t="str">
        <x:f aca="0">""</x:f>
      </x:c>
      <x:c r="Z136" s="58"/>
      <x:c r="AA136" s="4"/>
      <x:c r="AB136" s="54" t="str">
        <x:f aca="0">""</x:f>
      </x:c>
      <x:c r="AC136" s="54" t="str">
        <x:f aca="0">""</x:f>
      </x:c>
      <x:c r="AD136" s="7"/>
      <x:c r="AE136" s="4"/>
      <x:c r="AF136" s="4"/>
      <x:c r="AG136" s="7"/>
      <x:c r="AH136" s="12" t="str">
        <x:f aca="0">""</x:f>
      </x:c>
      <x:c r="AI136" s="12" t="str">
        <x:f aca="0">""</x:f>
      </x:c>
      <x:c r="AJ136" s="12" t="str">
        <x:f aca="0">""</x:f>
      </x:c>
      <x:c r="AK136" s="12" t="str">
        <x:f aca="0">""</x:f>
      </x:c>
      <x:c r="AL136" s="19" t="str">
        <x:f aca="0">""</x:f>
      </x:c>
      <x:c r="AM136" s="56"/>
      <x:c r="AN136" s="4"/>
      <x:c r="AO136" s="4"/>
      <x:c r="AP136" s="3" t="str">
        <x:f aca="0">""</x:f>
      </x:c>
      <x:c r="AQ136" s="3" t="str">
        <x:f aca="0">""</x:f>
      </x:c>
      <x:c r="AR136" s="3" t="str">
        <x:f aca="0">""</x:f>
      </x:c>
      <x:c r="AS136" s="3" t="str">
        <x:f aca="0">""</x:f>
      </x:c>
      <x:c r="AT136" s="3" t="str">
        <x:f aca="0">""</x:f>
      </x:c>
      <x:c r="AU136" s="54" t="str">
        <x:f aca="0">""</x:f>
      </x:c>
      <x:c r="AV136" s="12" t="str">
        <x:f aca="0">""</x:f>
      </x:c>
      <x:c r="AW136" s="4"/>
      <x:c r="AX136" s="4"/>
      <x:c r="AY136" s="4"/>
      <x:c r="AZ136" s="56"/>
      <x:c r="BA136" s="4"/>
      <x:c r="BB136" s="11" t="str">
        <x:f aca="0">""</x:f>
      </x:c>
      <x:c r="BC136" s="11" t="str">
        <x:f aca="0">""</x:f>
      </x:c>
      <x:c r="BD136" s="11" t="str">
        <x:f aca="0">""</x:f>
      </x:c>
      <x:c r="BE136" s="19" t="str">
        <x:f aca="0">""</x:f>
      </x:c>
      <x:c r="BF136" s="19" t="str">
        <x:f aca="0">""</x:f>
      </x:c>
    </x:row>
    <x:row r="137" ht="14.25" hidden="0">
      <x:c r="A137" s="3"/>
      <x:c r="B137" s="55"/>
      <x:c r="C137" s="4"/>
      <x:c r="D137" s="4"/>
      <x:c r="E137" s="4"/>
      <x:c r="F137" s="4"/>
      <x:c r="G137" s="4"/>
      <x:c r="H137" s="56"/>
      <x:c r="I137" s="4"/>
      <x:c r="J137" s="4"/>
      <x:c r="K137" s="4"/>
      <x:c r="L137" s="7"/>
      <x:c r="M137" s="7"/>
      <x:c r="N137" s="57"/>
      <x:c r="O137" s="57"/>
      <x:c r="P137" s="57"/>
      <x:c r="Q137" s="3" t="str">
        <x:f aca="0">""</x:f>
      </x:c>
      <x:c r="R137" s="4"/>
      <x:c r="S137" s="4"/>
      <x:c r="T137" s="4"/>
      <x:c r="U137" s="56"/>
      <x:c r="V137" s="4"/>
      <x:c r="W137" s="57" t="str">
        <x:f aca="0">""</x:f>
      </x:c>
      <x:c r="X137" s="57" t="str">
        <x:f aca="0">""</x:f>
      </x:c>
      <x:c r="Y137" s="57" t="str">
        <x:f aca="0">""</x:f>
      </x:c>
      <x:c r="Z137" s="58"/>
      <x:c r="AA137" s="4"/>
      <x:c r="AB137" s="54" t="str">
        <x:f aca="0">""</x:f>
      </x:c>
      <x:c r="AC137" s="54" t="str">
        <x:f aca="0">""</x:f>
      </x:c>
      <x:c r="AD137" s="7"/>
      <x:c r="AE137" s="4"/>
      <x:c r="AF137" s="4"/>
      <x:c r="AG137" s="7"/>
      <x:c r="AH137" s="12" t="str">
        <x:f aca="0">""</x:f>
      </x:c>
      <x:c r="AI137" s="12" t="str">
        <x:f aca="0">""</x:f>
      </x:c>
      <x:c r="AJ137" s="12" t="str">
        <x:f aca="0">""</x:f>
      </x:c>
      <x:c r="AK137" s="12" t="str">
        <x:f aca="0">""</x:f>
      </x:c>
      <x:c r="AL137" s="19" t="str">
        <x:f aca="0">""</x:f>
      </x:c>
      <x:c r="AM137" s="56"/>
      <x:c r="AN137" s="4"/>
      <x:c r="AO137" s="4"/>
      <x:c r="AP137" s="3" t="str">
        <x:f aca="0">""</x:f>
      </x:c>
      <x:c r="AQ137" s="3" t="str">
        <x:f aca="0">""</x:f>
      </x:c>
      <x:c r="AR137" s="3" t="str">
        <x:f aca="0">""</x:f>
      </x:c>
      <x:c r="AS137" s="3" t="str">
        <x:f aca="0">""</x:f>
      </x:c>
      <x:c r="AT137" s="3" t="str">
        <x:f aca="0">""</x:f>
      </x:c>
      <x:c r="AU137" s="54" t="str">
        <x:f aca="0">""</x:f>
      </x:c>
      <x:c r="AV137" s="12" t="str">
        <x:f aca="0">""</x:f>
      </x:c>
      <x:c r="AW137" s="4"/>
      <x:c r="AX137" s="4"/>
      <x:c r="AY137" s="4"/>
      <x:c r="AZ137" s="56"/>
      <x:c r="BA137" s="4"/>
      <x:c r="BB137" s="11" t="str">
        <x:f aca="0">""</x:f>
      </x:c>
      <x:c r="BC137" s="11" t="str">
        <x:f aca="0">""</x:f>
      </x:c>
      <x:c r="BD137" s="11" t="str">
        <x:f aca="0">""</x:f>
      </x:c>
      <x:c r="BE137" s="19" t="str">
        <x:f aca="0">""</x:f>
      </x:c>
      <x:c r="BF137" s="19" t="str">
        <x:f aca="0">""</x:f>
      </x:c>
    </x:row>
    <x:row r="138" ht="14.25" hidden="0">
      <x:c r="A138" s="3"/>
      <x:c r="B138" s="55"/>
      <x:c r="C138" s="4"/>
      <x:c r="D138" s="4"/>
      <x:c r="E138" s="4"/>
      <x:c r="F138" s="4"/>
      <x:c r="G138" s="4"/>
      <x:c r="H138" s="56"/>
      <x:c r="I138" s="4"/>
      <x:c r="J138" s="4"/>
      <x:c r="K138" s="4"/>
      <x:c r="L138" s="7"/>
      <x:c r="M138" s="7"/>
      <x:c r="N138" s="57"/>
      <x:c r="O138" s="57"/>
      <x:c r="P138" s="57"/>
      <x:c r="Q138" s="3" t="str">
        <x:f aca="0">""</x:f>
      </x:c>
      <x:c r="R138" s="4"/>
      <x:c r="S138" s="4"/>
      <x:c r="T138" s="4"/>
      <x:c r="U138" s="56"/>
      <x:c r="V138" s="4"/>
      <x:c r="W138" s="57" t="str">
        <x:f aca="0">""</x:f>
      </x:c>
      <x:c r="X138" s="57" t="str">
        <x:f aca="0">""</x:f>
      </x:c>
      <x:c r="Y138" s="57" t="str">
        <x:f aca="0">""</x:f>
      </x:c>
      <x:c r="Z138" s="58"/>
      <x:c r="AA138" s="4"/>
      <x:c r="AB138" s="54" t="str">
        <x:f aca="0">""</x:f>
      </x:c>
      <x:c r="AC138" s="54" t="str">
        <x:f aca="0">""</x:f>
      </x:c>
      <x:c r="AD138" s="7"/>
      <x:c r="AE138" s="4"/>
      <x:c r="AF138" s="4"/>
      <x:c r="AG138" s="7"/>
      <x:c r="AH138" s="12" t="str">
        <x:f aca="0">""</x:f>
      </x:c>
      <x:c r="AI138" s="12" t="str">
        <x:f aca="0">""</x:f>
      </x:c>
      <x:c r="AJ138" s="12" t="str">
        <x:f aca="0">""</x:f>
      </x:c>
      <x:c r="AK138" s="12" t="str">
        <x:f aca="0">""</x:f>
      </x:c>
      <x:c r="AL138" s="19" t="str">
        <x:f aca="0">""</x:f>
      </x:c>
      <x:c r="AM138" s="56"/>
      <x:c r="AN138" s="4"/>
      <x:c r="AO138" s="4"/>
      <x:c r="AP138" s="3" t="str">
        <x:f aca="0">""</x:f>
      </x:c>
      <x:c r="AQ138" s="3" t="str">
        <x:f aca="0">""</x:f>
      </x:c>
      <x:c r="AR138" s="3" t="str">
        <x:f aca="0">""</x:f>
      </x:c>
      <x:c r="AS138" s="3" t="str">
        <x:f aca="0">""</x:f>
      </x:c>
      <x:c r="AT138" s="3" t="str">
        <x:f aca="0">""</x:f>
      </x:c>
      <x:c r="AU138" s="54" t="str">
        <x:f aca="0">""</x:f>
      </x:c>
      <x:c r="AV138" s="12" t="str">
        <x:f aca="0">""</x:f>
      </x:c>
      <x:c r="AW138" s="4"/>
      <x:c r="AX138" s="4"/>
      <x:c r="AY138" s="4"/>
      <x:c r="AZ138" s="56"/>
      <x:c r="BA138" s="4"/>
      <x:c r="BB138" s="11" t="str">
        <x:f aca="0">""</x:f>
      </x:c>
      <x:c r="BC138" s="11" t="str">
        <x:f aca="0">""</x:f>
      </x:c>
      <x:c r="BD138" s="11" t="str">
        <x:f aca="0">""</x:f>
      </x:c>
      <x:c r="BE138" s="19" t="str">
        <x:f aca="0">""</x:f>
      </x:c>
      <x:c r="BF138" s="19" t="str">
        <x:f aca="0">""</x:f>
      </x:c>
    </x:row>
    <x:row r="139" ht="14.25" hidden="0">
      <x:c r="A139" s="3"/>
      <x:c r="B139" s="55"/>
      <x:c r="C139" s="4"/>
      <x:c r="D139" s="4"/>
      <x:c r="E139" s="4"/>
      <x:c r="F139" s="4"/>
      <x:c r="G139" s="4"/>
      <x:c r="H139" s="56"/>
      <x:c r="I139" s="4"/>
      <x:c r="J139" s="4"/>
      <x:c r="K139" s="4"/>
      <x:c r="L139" s="7"/>
      <x:c r="M139" s="7"/>
      <x:c r="N139" s="57"/>
      <x:c r="O139" s="57"/>
      <x:c r="P139" s="57"/>
      <x:c r="Q139" s="3" t="str">
        <x:f aca="0">""</x:f>
      </x:c>
      <x:c r="R139" s="4"/>
      <x:c r="S139" s="4"/>
      <x:c r="T139" s="4"/>
      <x:c r="U139" s="56"/>
      <x:c r="V139" s="4"/>
      <x:c r="W139" s="57" t="str">
        <x:f aca="0">""</x:f>
      </x:c>
      <x:c r="X139" s="57" t="str">
        <x:f aca="0">""</x:f>
      </x:c>
      <x:c r="Y139" s="57" t="str">
        <x:f aca="0">""</x:f>
      </x:c>
      <x:c r="Z139" s="58"/>
      <x:c r="AA139" s="4"/>
      <x:c r="AB139" s="54" t="str">
        <x:f aca="0">""</x:f>
      </x:c>
      <x:c r="AC139" s="54" t="str">
        <x:f aca="0">""</x:f>
      </x:c>
      <x:c r="AD139" s="7"/>
      <x:c r="AE139" s="4"/>
      <x:c r="AF139" s="4"/>
      <x:c r="AG139" s="7"/>
      <x:c r="AH139" s="12" t="str">
        <x:f aca="0">""</x:f>
      </x:c>
      <x:c r="AI139" s="12" t="str">
        <x:f aca="0">""</x:f>
      </x:c>
      <x:c r="AJ139" s="12" t="str">
        <x:f aca="0">""</x:f>
      </x:c>
      <x:c r="AK139" s="12" t="str">
        <x:f aca="0">""</x:f>
      </x:c>
      <x:c r="AL139" s="19" t="str">
        <x:f aca="0">""</x:f>
      </x:c>
      <x:c r="AM139" s="56"/>
      <x:c r="AN139" s="4"/>
      <x:c r="AO139" s="4"/>
      <x:c r="AP139" s="3" t="str">
        <x:f aca="0">""</x:f>
      </x:c>
      <x:c r="AQ139" s="3" t="str">
        <x:f aca="0">""</x:f>
      </x:c>
      <x:c r="AR139" s="3" t="str">
        <x:f aca="0">""</x:f>
      </x:c>
      <x:c r="AS139" s="3" t="str">
        <x:f aca="0">""</x:f>
      </x:c>
      <x:c r="AT139" s="3" t="str">
        <x:f aca="0">""</x:f>
      </x:c>
      <x:c r="AU139" s="54" t="str">
        <x:f aca="0">""</x:f>
      </x:c>
      <x:c r="AV139" s="12" t="str">
        <x:f aca="0">""</x:f>
      </x:c>
      <x:c r="AW139" s="4"/>
      <x:c r="AX139" s="4"/>
      <x:c r="AY139" s="4"/>
      <x:c r="AZ139" s="56"/>
      <x:c r="BA139" s="4"/>
      <x:c r="BB139" s="11" t="str">
        <x:f aca="0">""</x:f>
      </x:c>
      <x:c r="BC139" s="11" t="str">
        <x:f aca="0">""</x:f>
      </x:c>
      <x:c r="BD139" s="11" t="str">
        <x:f aca="0">""</x:f>
      </x:c>
      <x:c r="BE139" s="19" t="str">
        <x:f aca="0">""</x:f>
      </x:c>
      <x:c r="BF139" s="19" t="str">
        <x:f aca="0">""</x:f>
      </x:c>
    </x:row>
    <x:row r="140" ht="14.25" hidden="0">
      <x:c r="A140" s="3"/>
      <x:c r="B140" s="55"/>
      <x:c r="C140" s="4"/>
      <x:c r="D140" s="4"/>
      <x:c r="E140" s="4"/>
      <x:c r="F140" s="4"/>
      <x:c r="G140" s="4"/>
      <x:c r="H140" s="56"/>
      <x:c r="I140" s="4"/>
      <x:c r="J140" s="4"/>
      <x:c r="K140" s="4"/>
      <x:c r="L140" s="7"/>
      <x:c r="M140" s="7"/>
      <x:c r="N140" s="57"/>
      <x:c r="O140" s="57"/>
      <x:c r="P140" s="57"/>
      <x:c r="Q140" s="3" t="str">
        <x:f aca="0">""</x:f>
      </x:c>
      <x:c r="R140" s="4"/>
      <x:c r="S140" s="4"/>
      <x:c r="T140" s="4"/>
      <x:c r="U140" s="56"/>
      <x:c r="V140" s="4"/>
      <x:c r="W140" s="57" t="str">
        <x:f aca="0">""</x:f>
      </x:c>
      <x:c r="X140" s="57" t="str">
        <x:f aca="0">""</x:f>
      </x:c>
      <x:c r="Y140" s="57" t="str">
        <x:f aca="0">""</x:f>
      </x:c>
      <x:c r="Z140" s="58"/>
      <x:c r="AA140" s="4"/>
      <x:c r="AB140" s="54" t="str">
        <x:f aca="0">""</x:f>
      </x:c>
      <x:c r="AC140" s="54" t="str">
        <x:f aca="0">""</x:f>
      </x:c>
      <x:c r="AD140" s="7"/>
      <x:c r="AE140" s="4"/>
      <x:c r="AF140" s="4"/>
      <x:c r="AG140" s="7"/>
      <x:c r="AH140" s="12" t="str">
        <x:f aca="0">""</x:f>
      </x:c>
      <x:c r="AI140" s="12" t="str">
        <x:f aca="0">""</x:f>
      </x:c>
      <x:c r="AJ140" s="12" t="str">
        <x:f aca="0">""</x:f>
      </x:c>
      <x:c r="AK140" s="12" t="str">
        <x:f aca="0">""</x:f>
      </x:c>
      <x:c r="AL140" s="19" t="str">
        <x:f aca="0">""</x:f>
      </x:c>
      <x:c r="AM140" s="56"/>
      <x:c r="AN140" s="4"/>
      <x:c r="AO140" s="4"/>
      <x:c r="AP140" s="3" t="str">
        <x:f aca="0">""</x:f>
      </x:c>
      <x:c r="AQ140" s="3" t="str">
        <x:f aca="0">""</x:f>
      </x:c>
      <x:c r="AR140" s="3" t="str">
        <x:f aca="0">""</x:f>
      </x:c>
      <x:c r="AS140" s="3" t="str">
        <x:f aca="0">""</x:f>
      </x:c>
      <x:c r="AT140" s="3" t="str">
        <x:f aca="0">""</x:f>
      </x:c>
      <x:c r="AU140" s="54" t="str">
        <x:f aca="0">""</x:f>
      </x:c>
      <x:c r="AV140" s="12" t="str">
        <x:f aca="0">""</x:f>
      </x:c>
      <x:c r="AW140" s="4"/>
      <x:c r="AX140" s="4"/>
      <x:c r="AY140" s="4"/>
      <x:c r="AZ140" s="56"/>
      <x:c r="BA140" s="4"/>
      <x:c r="BB140" s="11" t="str">
        <x:f aca="0">""</x:f>
      </x:c>
      <x:c r="BC140" s="11" t="str">
        <x:f aca="0">""</x:f>
      </x:c>
      <x:c r="BD140" s="11" t="str">
        <x:f aca="0">""</x:f>
      </x:c>
      <x:c r="BE140" s="19" t="str">
        <x:f aca="0">""</x:f>
      </x:c>
      <x:c r="BF140" s="19" t="str">
        <x:f aca="0">""</x:f>
      </x:c>
    </x:row>
    <x:row r="141" ht="14.25" hidden="0">
      <x:c r="A141" s="3"/>
      <x:c r="B141" s="55"/>
      <x:c r="C141" s="4"/>
      <x:c r="D141" s="4"/>
      <x:c r="E141" s="4"/>
      <x:c r="F141" s="4"/>
      <x:c r="G141" s="4"/>
      <x:c r="H141" s="56"/>
      <x:c r="I141" s="4"/>
      <x:c r="J141" s="4"/>
      <x:c r="K141" s="4"/>
      <x:c r="L141" s="7"/>
      <x:c r="M141" s="7"/>
      <x:c r="N141" s="57"/>
      <x:c r="O141" s="57"/>
      <x:c r="P141" s="57"/>
      <x:c r="Q141" s="3" t="str">
        <x:f aca="0">""</x:f>
      </x:c>
      <x:c r="R141" s="4"/>
      <x:c r="S141" s="4"/>
      <x:c r="T141" s="4"/>
      <x:c r="U141" s="56"/>
      <x:c r="V141" s="4"/>
      <x:c r="W141" s="57" t="str">
        <x:f aca="0">""</x:f>
      </x:c>
      <x:c r="X141" s="57" t="str">
        <x:f aca="0">""</x:f>
      </x:c>
      <x:c r="Y141" s="57" t="str">
        <x:f aca="0">""</x:f>
      </x:c>
      <x:c r="Z141" s="58"/>
      <x:c r="AA141" s="4"/>
      <x:c r="AB141" s="54" t="str">
        <x:f aca="0">""</x:f>
      </x:c>
      <x:c r="AC141" s="54" t="str">
        <x:f aca="0">""</x:f>
      </x:c>
      <x:c r="AD141" s="7"/>
      <x:c r="AE141" s="4"/>
      <x:c r="AF141" s="4"/>
      <x:c r="AG141" s="7"/>
      <x:c r="AH141" s="12" t="str">
        <x:f aca="0">""</x:f>
      </x:c>
      <x:c r="AI141" s="12" t="str">
        <x:f aca="0">""</x:f>
      </x:c>
      <x:c r="AJ141" s="12" t="str">
        <x:f aca="0">""</x:f>
      </x:c>
      <x:c r="AK141" s="12" t="str">
        <x:f aca="0">""</x:f>
      </x:c>
      <x:c r="AL141" s="19" t="str">
        <x:f aca="0">""</x:f>
      </x:c>
      <x:c r="AM141" s="56"/>
      <x:c r="AN141" s="4"/>
      <x:c r="AO141" s="4"/>
      <x:c r="AP141" s="3" t="str">
        <x:f aca="0">""</x:f>
      </x:c>
      <x:c r="AQ141" s="3" t="str">
        <x:f aca="0">""</x:f>
      </x:c>
      <x:c r="AR141" s="3" t="str">
        <x:f aca="0">""</x:f>
      </x:c>
      <x:c r="AS141" s="3" t="str">
        <x:f aca="0">""</x:f>
      </x:c>
      <x:c r="AT141" s="3" t="str">
        <x:f aca="0">""</x:f>
      </x:c>
      <x:c r="AU141" s="54" t="str">
        <x:f aca="0">""</x:f>
      </x:c>
      <x:c r="AV141" s="12" t="str">
        <x:f aca="0">""</x:f>
      </x:c>
      <x:c r="AW141" s="4"/>
      <x:c r="AX141" s="4"/>
      <x:c r="AY141" s="4"/>
      <x:c r="AZ141" s="56"/>
      <x:c r="BA141" s="4"/>
      <x:c r="BB141" s="11" t="str">
        <x:f aca="0">""</x:f>
      </x:c>
      <x:c r="BC141" s="11" t="str">
        <x:f aca="0">""</x:f>
      </x:c>
      <x:c r="BD141" s="11" t="str">
        <x:f aca="0">""</x:f>
      </x:c>
      <x:c r="BE141" s="19" t="str">
        <x:f aca="0">""</x:f>
      </x:c>
      <x:c r="BF141" s="19" t="str">
        <x:f aca="0">""</x:f>
      </x:c>
    </x:row>
    <x:row r="142" ht="14.25" hidden="0">
      <x:c r="A142" s="3"/>
      <x:c r="B142" s="55"/>
      <x:c r="C142" s="4"/>
      <x:c r="D142" s="4"/>
      <x:c r="E142" s="4"/>
      <x:c r="F142" s="4"/>
      <x:c r="G142" s="4"/>
      <x:c r="H142" s="56"/>
      <x:c r="I142" s="4"/>
      <x:c r="J142" s="4"/>
      <x:c r="K142" s="4"/>
      <x:c r="L142" s="7"/>
      <x:c r="M142" s="7"/>
      <x:c r="N142" s="57"/>
      <x:c r="O142" s="57"/>
      <x:c r="P142" s="57"/>
      <x:c r="Q142" s="3" t="str">
        <x:f aca="0">""</x:f>
      </x:c>
      <x:c r="R142" s="4"/>
      <x:c r="S142" s="4"/>
      <x:c r="T142" s="4"/>
      <x:c r="U142" s="56"/>
      <x:c r="V142" s="4"/>
      <x:c r="W142" s="57" t="str">
        <x:f aca="0">""</x:f>
      </x:c>
      <x:c r="X142" s="57" t="str">
        <x:f aca="0">""</x:f>
      </x:c>
      <x:c r="Y142" s="57" t="str">
        <x:f aca="0">""</x:f>
      </x:c>
      <x:c r="Z142" s="58"/>
      <x:c r="AA142" s="4"/>
      <x:c r="AB142" s="54" t="str">
        <x:f aca="0">""</x:f>
      </x:c>
      <x:c r="AC142" s="54" t="str">
        <x:f aca="0">""</x:f>
      </x:c>
      <x:c r="AD142" s="7"/>
      <x:c r="AE142" s="4"/>
      <x:c r="AF142" s="4"/>
      <x:c r="AG142" s="7"/>
      <x:c r="AH142" s="12" t="str">
        <x:f aca="0">""</x:f>
      </x:c>
      <x:c r="AI142" s="12" t="str">
        <x:f aca="0">""</x:f>
      </x:c>
      <x:c r="AJ142" s="12" t="str">
        <x:f aca="0">""</x:f>
      </x:c>
      <x:c r="AK142" s="12" t="str">
        <x:f aca="0">""</x:f>
      </x:c>
      <x:c r="AL142" s="19" t="str">
        <x:f aca="0">""</x:f>
      </x:c>
      <x:c r="AM142" s="56"/>
      <x:c r="AN142" s="4"/>
      <x:c r="AO142" s="4"/>
      <x:c r="AP142" s="3" t="str">
        <x:f aca="0">""</x:f>
      </x:c>
      <x:c r="AQ142" s="3" t="str">
        <x:f aca="0">""</x:f>
      </x:c>
      <x:c r="AR142" s="3" t="str">
        <x:f aca="0">""</x:f>
      </x:c>
      <x:c r="AS142" s="3" t="str">
        <x:f aca="0">""</x:f>
      </x:c>
      <x:c r="AT142" s="3" t="str">
        <x:f aca="0">""</x:f>
      </x:c>
      <x:c r="AU142" s="54" t="str">
        <x:f aca="0">""</x:f>
      </x:c>
      <x:c r="AV142" s="12" t="str">
        <x:f aca="0">""</x:f>
      </x:c>
      <x:c r="AW142" s="4"/>
      <x:c r="AX142" s="4"/>
      <x:c r="AY142" s="4"/>
      <x:c r="AZ142" s="56"/>
      <x:c r="BA142" s="4"/>
      <x:c r="BB142" s="11" t="str">
        <x:f aca="0">""</x:f>
      </x:c>
      <x:c r="BC142" s="11" t="str">
        <x:f aca="0">""</x:f>
      </x:c>
      <x:c r="BD142" s="11" t="str">
        <x:f aca="0">""</x:f>
      </x:c>
      <x:c r="BE142" s="19" t="str">
        <x:f aca="0">""</x:f>
      </x:c>
      <x:c r="BF142" s="19" t="str">
        <x:f aca="0">""</x:f>
      </x:c>
    </x:row>
    <x:row r="143" ht="14.25" hidden="0">
      <x:c r="A143" s="3"/>
      <x:c r="B143" s="55"/>
      <x:c r="C143" s="4"/>
      <x:c r="D143" s="4"/>
      <x:c r="E143" s="4"/>
      <x:c r="F143" s="4"/>
      <x:c r="G143" s="4"/>
      <x:c r="H143" s="56"/>
      <x:c r="I143" s="4"/>
      <x:c r="J143" s="4"/>
      <x:c r="K143" s="4"/>
      <x:c r="L143" s="7"/>
      <x:c r="M143" s="7"/>
      <x:c r="N143" s="57"/>
      <x:c r="O143" s="57"/>
      <x:c r="P143" s="57"/>
      <x:c r="Q143" s="3" t="str">
        <x:f aca="0">""</x:f>
      </x:c>
      <x:c r="R143" s="4"/>
      <x:c r="S143" s="4"/>
      <x:c r="T143" s="4"/>
      <x:c r="U143" s="56"/>
      <x:c r="V143" s="4"/>
      <x:c r="W143" s="57" t="str">
        <x:f aca="0">""</x:f>
      </x:c>
      <x:c r="X143" s="57" t="str">
        <x:f aca="0">""</x:f>
      </x:c>
      <x:c r="Y143" s="57" t="str">
        <x:f aca="0">""</x:f>
      </x:c>
      <x:c r="Z143" s="58"/>
      <x:c r="AA143" s="4"/>
      <x:c r="AB143" s="54" t="str">
        <x:f aca="0">""</x:f>
      </x:c>
      <x:c r="AC143" s="54" t="str">
        <x:f aca="0">""</x:f>
      </x:c>
      <x:c r="AD143" s="7"/>
      <x:c r="AE143" s="4"/>
      <x:c r="AF143" s="4"/>
      <x:c r="AG143" s="7"/>
      <x:c r="AH143" s="12" t="str">
        <x:f aca="0">""</x:f>
      </x:c>
      <x:c r="AI143" s="12" t="str">
        <x:f aca="0">""</x:f>
      </x:c>
      <x:c r="AJ143" s="12" t="str">
        <x:f aca="0">""</x:f>
      </x:c>
      <x:c r="AK143" s="12" t="str">
        <x:f aca="0">""</x:f>
      </x:c>
      <x:c r="AL143" s="19" t="str">
        <x:f aca="0">""</x:f>
      </x:c>
      <x:c r="AM143" s="56"/>
      <x:c r="AN143" s="4"/>
      <x:c r="AO143" s="4"/>
      <x:c r="AP143" s="3" t="str">
        <x:f aca="0">""</x:f>
      </x:c>
      <x:c r="AQ143" s="3" t="str">
        <x:f aca="0">""</x:f>
      </x:c>
      <x:c r="AR143" s="3" t="str">
        <x:f aca="0">""</x:f>
      </x:c>
      <x:c r="AS143" s="3" t="str">
        <x:f aca="0">""</x:f>
      </x:c>
      <x:c r="AT143" s="3" t="str">
        <x:f aca="0">""</x:f>
      </x:c>
      <x:c r="AU143" s="54" t="str">
        <x:f aca="0">""</x:f>
      </x:c>
      <x:c r="AV143" s="12" t="str">
        <x:f aca="0">""</x:f>
      </x:c>
      <x:c r="AW143" s="4"/>
      <x:c r="AX143" s="4"/>
      <x:c r="AY143" s="4"/>
      <x:c r="AZ143" s="56"/>
      <x:c r="BA143" s="4"/>
      <x:c r="BB143" s="11" t="str">
        <x:f aca="0">""</x:f>
      </x:c>
      <x:c r="BC143" s="11" t="str">
        <x:f aca="0">""</x:f>
      </x:c>
      <x:c r="BD143" s="11" t="str">
        <x:f aca="0">""</x:f>
      </x:c>
      <x:c r="BE143" s="19" t="str">
        <x:f aca="0">""</x:f>
      </x:c>
      <x:c r="BF143" s="19" t="str">
        <x:f aca="0">""</x:f>
      </x:c>
    </x:row>
    <x:row r="144" ht="14.25" hidden="0">
      <x:c r="A144" s="3"/>
      <x:c r="B144" s="55"/>
      <x:c r="C144" s="4"/>
      <x:c r="D144" s="4"/>
      <x:c r="E144" s="4"/>
      <x:c r="F144" s="4"/>
      <x:c r="G144" s="4"/>
      <x:c r="H144" s="56"/>
      <x:c r="I144" s="4"/>
      <x:c r="J144" s="4"/>
      <x:c r="K144" s="4"/>
      <x:c r="L144" s="7"/>
      <x:c r="M144" s="7"/>
      <x:c r="N144" s="57"/>
      <x:c r="O144" s="57"/>
      <x:c r="P144" s="57"/>
      <x:c r="Q144" s="3" t="str">
        <x:f aca="0">""</x:f>
      </x:c>
      <x:c r="R144" s="4"/>
      <x:c r="S144" s="4"/>
      <x:c r="T144" s="4"/>
      <x:c r="U144" s="56"/>
      <x:c r="V144" s="4"/>
      <x:c r="W144" s="57" t="str">
        <x:f aca="0">""</x:f>
      </x:c>
      <x:c r="X144" s="57" t="str">
        <x:f aca="0">""</x:f>
      </x:c>
      <x:c r="Y144" s="57" t="str">
        <x:f aca="0">""</x:f>
      </x:c>
      <x:c r="Z144" s="58"/>
      <x:c r="AA144" s="4"/>
      <x:c r="AB144" s="54" t="str">
        <x:f aca="0">""</x:f>
      </x:c>
      <x:c r="AC144" s="54" t="str">
        <x:f aca="0">""</x:f>
      </x:c>
      <x:c r="AD144" s="7"/>
      <x:c r="AE144" s="4"/>
      <x:c r="AF144" s="4"/>
      <x:c r="AG144" s="7"/>
      <x:c r="AH144" s="12" t="str">
        <x:f aca="0">""</x:f>
      </x:c>
      <x:c r="AI144" s="12" t="str">
        <x:f aca="0">""</x:f>
      </x:c>
      <x:c r="AJ144" s="12" t="str">
        <x:f aca="0">""</x:f>
      </x:c>
      <x:c r="AK144" s="12" t="str">
        <x:f aca="0">""</x:f>
      </x:c>
      <x:c r="AL144" s="19" t="str">
        <x:f aca="0">""</x:f>
      </x:c>
      <x:c r="AM144" s="56"/>
      <x:c r="AN144" s="4"/>
      <x:c r="AO144" s="4"/>
      <x:c r="AP144" s="3" t="str">
        <x:f aca="0">""</x:f>
      </x:c>
      <x:c r="AQ144" s="3" t="str">
        <x:f aca="0">""</x:f>
      </x:c>
      <x:c r="AR144" s="3" t="str">
        <x:f aca="0">""</x:f>
      </x:c>
      <x:c r="AS144" s="3" t="str">
        <x:f aca="0">""</x:f>
      </x:c>
      <x:c r="AT144" s="3" t="str">
        <x:f aca="0">""</x:f>
      </x:c>
      <x:c r="AU144" s="54" t="str">
        <x:f aca="0">""</x:f>
      </x:c>
      <x:c r="AV144" s="12" t="str">
        <x:f aca="0">""</x:f>
      </x:c>
      <x:c r="AW144" s="4"/>
      <x:c r="AX144" s="4"/>
      <x:c r="AY144" s="4"/>
      <x:c r="AZ144" s="56"/>
      <x:c r="BA144" s="4"/>
      <x:c r="BB144" s="11" t="str">
        <x:f aca="0">""</x:f>
      </x:c>
      <x:c r="BC144" s="11" t="str">
        <x:f aca="0">""</x:f>
      </x:c>
      <x:c r="BD144" s="11" t="str">
        <x:f aca="0">""</x:f>
      </x:c>
      <x:c r="BE144" s="19" t="str">
        <x:f aca="0">""</x:f>
      </x:c>
      <x:c r="BF144" s="19" t="str">
        <x:f aca="0">""</x:f>
      </x:c>
    </x:row>
    <x:row r="145" ht="14.25" hidden="0">
      <x:c r="A145" s="3"/>
      <x:c r="B145" s="55"/>
      <x:c r="C145" s="4"/>
      <x:c r="D145" s="4"/>
      <x:c r="E145" s="4"/>
      <x:c r="F145" s="4"/>
      <x:c r="G145" s="4"/>
      <x:c r="H145" s="56"/>
      <x:c r="I145" s="4"/>
      <x:c r="J145" s="4"/>
      <x:c r="K145" s="4"/>
      <x:c r="L145" s="7"/>
      <x:c r="M145" s="7"/>
      <x:c r="N145" s="57"/>
      <x:c r="O145" s="57"/>
      <x:c r="P145" s="57"/>
      <x:c r="Q145" s="3" t="str">
        <x:f aca="0">""</x:f>
      </x:c>
      <x:c r="R145" s="4"/>
      <x:c r="S145" s="4"/>
      <x:c r="T145" s="4"/>
      <x:c r="U145" s="56"/>
      <x:c r="V145" s="4"/>
      <x:c r="W145" s="57" t="str">
        <x:f aca="0">""</x:f>
      </x:c>
      <x:c r="X145" s="57" t="str">
        <x:f aca="0">""</x:f>
      </x:c>
      <x:c r="Y145" s="57" t="str">
        <x:f aca="0">""</x:f>
      </x:c>
      <x:c r="Z145" s="58"/>
      <x:c r="AA145" s="4"/>
      <x:c r="AB145" s="54" t="str">
        <x:f aca="0">""</x:f>
      </x:c>
      <x:c r="AC145" s="54" t="str">
        <x:f aca="0">""</x:f>
      </x:c>
      <x:c r="AD145" s="7"/>
      <x:c r="AE145" s="4"/>
      <x:c r="AF145" s="4"/>
      <x:c r="AG145" s="7"/>
      <x:c r="AH145" s="12" t="str">
        <x:f aca="0">""</x:f>
      </x:c>
      <x:c r="AI145" s="12" t="str">
        <x:f aca="0">""</x:f>
      </x:c>
      <x:c r="AJ145" s="12" t="str">
        <x:f aca="0">""</x:f>
      </x:c>
      <x:c r="AK145" s="12" t="str">
        <x:f aca="0">""</x:f>
      </x:c>
      <x:c r="AL145" s="19" t="str">
        <x:f aca="0">""</x:f>
      </x:c>
      <x:c r="AM145" s="56"/>
      <x:c r="AN145" s="4"/>
      <x:c r="AO145" s="4"/>
      <x:c r="AP145" s="3" t="str">
        <x:f aca="0">""</x:f>
      </x:c>
      <x:c r="AQ145" s="3" t="str">
        <x:f aca="0">""</x:f>
      </x:c>
      <x:c r="AR145" s="3" t="str">
        <x:f aca="0">""</x:f>
      </x:c>
      <x:c r="AS145" s="3" t="str">
        <x:f aca="0">""</x:f>
      </x:c>
      <x:c r="AT145" s="3" t="str">
        <x:f aca="0">""</x:f>
      </x:c>
      <x:c r="AU145" s="54" t="str">
        <x:f aca="0">""</x:f>
      </x:c>
      <x:c r="AV145" s="12" t="str">
        <x:f aca="0">""</x:f>
      </x:c>
      <x:c r="AW145" s="4"/>
      <x:c r="AX145" s="4"/>
      <x:c r="AY145" s="4"/>
      <x:c r="AZ145" s="56"/>
      <x:c r="BA145" s="4"/>
      <x:c r="BB145" s="11" t="str">
        <x:f aca="0">""</x:f>
      </x:c>
      <x:c r="BC145" s="11" t="str">
        <x:f aca="0">""</x:f>
      </x:c>
      <x:c r="BD145" s="11" t="str">
        <x:f aca="0">""</x:f>
      </x:c>
      <x:c r="BE145" s="19" t="str">
        <x:f aca="0">""</x:f>
      </x:c>
      <x:c r="BF145" s="19" t="str">
        <x:f aca="0">""</x:f>
      </x:c>
    </x:row>
    <x:row r="146" ht="14.25" hidden="0">
      <x:c r="A146" s="3"/>
      <x:c r="B146" s="55"/>
      <x:c r="C146" s="4"/>
      <x:c r="D146" s="4"/>
      <x:c r="E146" s="4"/>
      <x:c r="F146" s="4"/>
      <x:c r="G146" s="4"/>
      <x:c r="H146" s="56"/>
      <x:c r="I146" s="4"/>
      <x:c r="J146" s="4"/>
      <x:c r="K146" s="4"/>
      <x:c r="L146" s="7"/>
      <x:c r="M146" s="7"/>
      <x:c r="N146" s="57"/>
      <x:c r="O146" s="57"/>
      <x:c r="P146" s="57"/>
      <x:c r="Q146" s="3" t="str">
        <x:f aca="0">""</x:f>
      </x:c>
      <x:c r="R146" s="4"/>
      <x:c r="S146" s="4"/>
      <x:c r="T146" s="4"/>
      <x:c r="U146" s="56"/>
      <x:c r="V146" s="4"/>
      <x:c r="W146" s="57" t="str">
        <x:f aca="0">""</x:f>
      </x:c>
      <x:c r="X146" s="57" t="str">
        <x:f aca="0">""</x:f>
      </x:c>
      <x:c r="Y146" s="57" t="str">
        <x:f aca="0">""</x:f>
      </x:c>
      <x:c r="Z146" s="58"/>
      <x:c r="AA146" s="4"/>
      <x:c r="AB146" s="54" t="str">
        <x:f aca="0">""</x:f>
      </x:c>
      <x:c r="AC146" s="54" t="str">
        <x:f aca="0">""</x:f>
      </x:c>
      <x:c r="AD146" s="7"/>
      <x:c r="AE146" s="4"/>
      <x:c r="AF146" s="4"/>
      <x:c r="AG146" s="7"/>
      <x:c r="AH146" s="12" t="str">
        <x:f aca="0">""</x:f>
      </x:c>
      <x:c r="AI146" s="12" t="str">
        <x:f aca="0">""</x:f>
      </x:c>
      <x:c r="AJ146" s="12" t="str">
        <x:f aca="0">""</x:f>
      </x:c>
      <x:c r="AK146" s="12" t="str">
        <x:f aca="0">""</x:f>
      </x:c>
      <x:c r="AL146" s="19" t="str">
        <x:f aca="0">""</x:f>
      </x:c>
      <x:c r="AM146" s="56"/>
      <x:c r="AN146" s="4"/>
      <x:c r="AO146" s="4"/>
      <x:c r="AP146" s="3" t="str">
        <x:f aca="0">""</x:f>
      </x:c>
      <x:c r="AQ146" s="3" t="str">
        <x:f aca="0">""</x:f>
      </x:c>
      <x:c r="AR146" s="3" t="str">
        <x:f aca="0">""</x:f>
      </x:c>
      <x:c r="AS146" s="3" t="str">
        <x:f aca="0">""</x:f>
      </x:c>
      <x:c r="AT146" s="3" t="str">
        <x:f aca="0">""</x:f>
      </x:c>
      <x:c r="AU146" s="54" t="str">
        <x:f aca="0">""</x:f>
      </x:c>
      <x:c r="AV146" s="12" t="str">
        <x:f aca="0">""</x:f>
      </x:c>
      <x:c r="AW146" s="4"/>
      <x:c r="AX146" s="4"/>
      <x:c r="AY146" s="4"/>
      <x:c r="AZ146" s="56"/>
      <x:c r="BA146" s="4"/>
      <x:c r="BB146" s="11" t="str">
        <x:f aca="0">""</x:f>
      </x:c>
      <x:c r="BC146" s="11" t="str">
        <x:f aca="0">""</x:f>
      </x:c>
      <x:c r="BD146" s="11" t="str">
        <x:f aca="0">""</x:f>
      </x:c>
      <x:c r="BE146" s="19" t="str">
        <x:f aca="0">""</x:f>
      </x:c>
      <x:c r="BF146" s="19" t="str">
        <x:f aca="0">""</x:f>
      </x:c>
    </x:row>
    <x:row r="147" ht="14.25" hidden="0">
      <x:c r="A147" s="3"/>
      <x:c r="B147" s="55"/>
      <x:c r="C147" s="4"/>
      <x:c r="D147" s="4"/>
      <x:c r="E147" s="4"/>
      <x:c r="F147" s="4"/>
      <x:c r="G147" s="4"/>
      <x:c r="H147" s="56"/>
      <x:c r="I147" s="4"/>
      <x:c r="J147" s="4"/>
      <x:c r="K147" s="4"/>
      <x:c r="L147" s="7"/>
      <x:c r="M147" s="7"/>
      <x:c r="N147" s="57"/>
      <x:c r="O147" s="57"/>
      <x:c r="P147" s="57"/>
      <x:c r="Q147" s="3" t="str">
        <x:f aca="0">""</x:f>
      </x:c>
      <x:c r="R147" s="4"/>
      <x:c r="S147" s="4"/>
      <x:c r="T147" s="4"/>
      <x:c r="U147" s="56"/>
      <x:c r="V147" s="4"/>
      <x:c r="W147" s="57" t="str">
        <x:f aca="0">""</x:f>
      </x:c>
      <x:c r="X147" s="57" t="str">
        <x:f aca="0">""</x:f>
      </x:c>
      <x:c r="Y147" s="57" t="str">
        <x:f aca="0">""</x:f>
      </x:c>
      <x:c r="Z147" s="58"/>
      <x:c r="AA147" s="4"/>
      <x:c r="AB147" s="54" t="str">
        <x:f aca="0">""</x:f>
      </x:c>
      <x:c r="AC147" s="54" t="str">
        <x:f aca="0">""</x:f>
      </x:c>
      <x:c r="AD147" s="7"/>
      <x:c r="AE147" s="4"/>
      <x:c r="AF147" s="4"/>
      <x:c r="AG147" s="7"/>
      <x:c r="AH147" s="12" t="str">
        <x:f aca="0">""</x:f>
      </x:c>
      <x:c r="AI147" s="12" t="str">
        <x:f aca="0">""</x:f>
      </x:c>
      <x:c r="AJ147" s="12" t="str">
        <x:f aca="0">""</x:f>
      </x:c>
      <x:c r="AK147" s="12" t="str">
        <x:f aca="0">""</x:f>
      </x:c>
      <x:c r="AL147" s="19" t="str">
        <x:f aca="0">""</x:f>
      </x:c>
      <x:c r="AM147" s="56"/>
      <x:c r="AN147" s="4"/>
      <x:c r="AO147" s="4"/>
      <x:c r="AP147" s="3" t="str">
        <x:f aca="0">""</x:f>
      </x:c>
      <x:c r="AQ147" s="3" t="str">
        <x:f aca="0">""</x:f>
      </x:c>
      <x:c r="AR147" s="3" t="str">
        <x:f aca="0">""</x:f>
      </x:c>
      <x:c r="AS147" s="3" t="str">
        <x:f aca="0">""</x:f>
      </x:c>
      <x:c r="AT147" s="3" t="str">
        <x:f aca="0">""</x:f>
      </x:c>
      <x:c r="AU147" s="54" t="str">
        <x:f aca="0">""</x:f>
      </x:c>
      <x:c r="AV147" s="12" t="str">
        <x:f aca="0">""</x:f>
      </x:c>
      <x:c r="AW147" s="4"/>
      <x:c r="AX147" s="4"/>
      <x:c r="AY147" s="4"/>
      <x:c r="AZ147" s="56"/>
      <x:c r="BA147" s="4"/>
      <x:c r="BB147" s="11" t="str">
        <x:f aca="0">""</x:f>
      </x:c>
      <x:c r="BC147" s="11" t="str">
        <x:f aca="0">""</x:f>
      </x:c>
      <x:c r="BD147" s="11" t="str">
        <x:f aca="0">""</x:f>
      </x:c>
      <x:c r="BE147" s="19" t="str">
        <x:f aca="0">""</x:f>
      </x:c>
      <x:c r="BF147" s="19" t="str">
        <x:f aca="0">""</x:f>
      </x:c>
    </x:row>
    <x:row r="148" ht="14.25" hidden="0">
      <x:c r="A148" s="3"/>
      <x:c r="B148" s="55"/>
      <x:c r="C148" s="4"/>
      <x:c r="D148" s="4"/>
      <x:c r="E148" s="4"/>
      <x:c r="F148" s="4"/>
      <x:c r="G148" s="4"/>
      <x:c r="H148" s="56"/>
      <x:c r="I148" s="4"/>
      <x:c r="J148" s="4"/>
      <x:c r="K148" s="4"/>
      <x:c r="L148" s="7"/>
      <x:c r="M148" s="7"/>
      <x:c r="N148" s="57"/>
      <x:c r="O148" s="57"/>
      <x:c r="P148" s="57"/>
      <x:c r="Q148" s="3" t="str">
        <x:f aca="0">""</x:f>
      </x:c>
      <x:c r="R148" s="4"/>
      <x:c r="S148" s="4"/>
      <x:c r="T148" s="4"/>
      <x:c r="U148" s="56"/>
      <x:c r="V148" s="4"/>
      <x:c r="W148" s="57" t="str">
        <x:f aca="0">""</x:f>
      </x:c>
      <x:c r="X148" s="57" t="str">
        <x:f aca="0">""</x:f>
      </x:c>
      <x:c r="Y148" s="57" t="str">
        <x:f aca="0">""</x:f>
      </x:c>
      <x:c r="Z148" s="58"/>
      <x:c r="AA148" s="4"/>
      <x:c r="AB148" s="54" t="str">
        <x:f aca="0">""</x:f>
      </x:c>
      <x:c r="AC148" s="54" t="str">
        <x:f aca="0">""</x:f>
      </x:c>
      <x:c r="AD148" s="7"/>
      <x:c r="AE148" s="4"/>
      <x:c r="AF148" s="4"/>
      <x:c r="AG148" s="7"/>
      <x:c r="AH148" s="12" t="str">
        <x:f aca="0">""</x:f>
      </x:c>
      <x:c r="AI148" s="12" t="str">
        <x:f aca="0">""</x:f>
      </x:c>
      <x:c r="AJ148" s="12" t="str">
        <x:f aca="0">""</x:f>
      </x:c>
      <x:c r="AK148" s="12" t="str">
        <x:f aca="0">""</x:f>
      </x:c>
      <x:c r="AL148" s="19" t="str">
        <x:f aca="0">""</x:f>
      </x:c>
      <x:c r="AM148" s="56"/>
      <x:c r="AN148" s="4"/>
      <x:c r="AO148" s="4"/>
      <x:c r="AP148" s="3" t="str">
        <x:f aca="0">""</x:f>
      </x:c>
      <x:c r="AQ148" s="3" t="str">
        <x:f aca="0">""</x:f>
      </x:c>
      <x:c r="AR148" s="3" t="str">
        <x:f aca="0">""</x:f>
      </x:c>
      <x:c r="AS148" s="3" t="str">
        <x:f aca="0">""</x:f>
      </x:c>
      <x:c r="AT148" s="3" t="str">
        <x:f aca="0">""</x:f>
      </x:c>
      <x:c r="AU148" s="54" t="str">
        <x:f aca="0">""</x:f>
      </x:c>
      <x:c r="AV148" s="12" t="str">
        <x:f aca="0">""</x:f>
      </x:c>
      <x:c r="AW148" s="4"/>
      <x:c r="AX148" s="4"/>
      <x:c r="AY148" s="4"/>
      <x:c r="AZ148" s="56"/>
      <x:c r="BA148" s="4"/>
      <x:c r="BB148" s="11" t="str">
        <x:f aca="0">""</x:f>
      </x:c>
      <x:c r="BC148" s="11" t="str">
        <x:f aca="0">""</x:f>
      </x:c>
      <x:c r="BD148" s="11" t="str">
        <x:f aca="0">""</x:f>
      </x:c>
      <x:c r="BE148" s="19" t="str">
        <x:f aca="0">""</x:f>
      </x:c>
      <x:c r="BF148" s="19" t="str">
        <x:f aca="0">""</x:f>
      </x:c>
    </x:row>
    <x:row r="149" ht="14.25" hidden="0">
      <x:c r="A149" s="3"/>
      <x:c r="B149" s="55"/>
      <x:c r="C149" s="4"/>
      <x:c r="D149" s="4"/>
      <x:c r="E149" s="4"/>
      <x:c r="F149" s="4"/>
      <x:c r="G149" s="4"/>
      <x:c r="H149" s="56"/>
      <x:c r="I149" s="4"/>
      <x:c r="J149" s="4"/>
      <x:c r="K149" s="4"/>
      <x:c r="L149" s="7"/>
      <x:c r="M149" s="7"/>
      <x:c r="N149" s="57"/>
      <x:c r="O149" s="57"/>
      <x:c r="P149" s="57"/>
      <x:c r="Q149" s="3" t="str">
        <x:f aca="0">""</x:f>
      </x:c>
      <x:c r="R149" s="4"/>
      <x:c r="S149" s="4"/>
      <x:c r="T149" s="4"/>
      <x:c r="U149" s="56"/>
      <x:c r="V149" s="4"/>
      <x:c r="W149" s="57" t="str">
        <x:f aca="0">""</x:f>
      </x:c>
      <x:c r="X149" s="57" t="str">
        <x:f aca="0">""</x:f>
      </x:c>
      <x:c r="Y149" s="57" t="str">
        <x:f aca="0">""</x:f>
      </x:c>
      <x:c r="Z149" s="58"/>
      <x:c r="AA149" s="4"/>
      <x:c r="AB149" s="54" t="str">
        <x:f aca="0">""</x:f>
      </x:c>
      <x:c r="AC149" s="54" t="str">
        <x:f aca="0">""</x:f>
      </x:c>
      <x:c r="AD149" s="7"/>
      <x:c r="AE149" s="4"/>
      <x:c r="AF149" s="4"/>
      <x:c r="AG149" s="7"/>
      <x:c r="AH149" s="12" t="str">
        <x:f aca="0">""</x:f>
      </x:c>
      <x:c r="AI149" s="12" t="str">
        <x:f aca="0">""</x:f>
      </x:c>
      <x:c r="AJ149" s="12" t="str">
        <x:f aca="0">""</x:f>
      </x:c>
      <x:c r="AK149" s="12" t="str">
        <x:f aca="0">""</x:f>
      </x:c>
      <x:c r="AL149" s="19" t="str">
        <x:f aca="0">""</x:f>
      </x:c>
      <x:c r="AM149" s="56"/>
      <x:c r="AN149" s="4"/>
      <x:c r="AO149" s="4"/>
      <x:c r="AP149" s="3" t="str">
        <x:f aca="0">""</x:f>
      </x:c>
      <x:c r="AQ149" s="3" t="str">
        <x:f aca="0">""</x:f>
      </x:c>
      <x:c r="AR149" s="3" t="str">
        <x:f aca="0">""</x:f>
      </x:c>
      <x:c r="AS149" s="3" t="str">
        <x:f aca="0">""</x:f>
      </x:c>
      <x:c r="AT149" s="3" t="str">
        <x:f aca="0">""</x:f>
      </x:c>
      <x:c r="AU149" s="54" t="str">
        <x:f aca="0">""</x:f>
      </x:c>
      <x:c r="AV149" s="12" t="str">
        <x:f aca="0">""</x:f>
      </x:c>
      <x:c r="AW149" s="4"/>
      <x:c r="AX149" s="4"/>
      <x:c r="AY149" s="4"/>
      <x:c r="AZ149" s="56"/>
      <x:c r="BA149" s="4"/>
      <x:c r="BB149" s="11" t="str">
        <x:f aca="0">""</x:f>
      </x:c>
      <x:c r="BC149" s="11" t="str">
        <x:f aca="0">""</x:f>
      </x:c>
      <x:c r="BD149" s="11" t="str">
        <x:f aca="0">""</x:f>
      </x:c>
      <x:c r="BE149" s="19" t="str">
        <x:f aca="0">""</x:f>
      </x:c>
      <x:c r="BF149" s="19" t="str">
        <x:f aca="0">""</x:f>
      </x:c>
    </x:row>
    <x:row r="150" ht="14.25" hidden="0">
      <x:c r="A150" s="3"/>
      <x:c r="B150" s="55"/>
      <x:c r="C150" s="4"/>
      <x:c r="D150" s="4"/>
      <x:c r="E150" s="4"/>
      <x:c r="F150" s="4"/>
      <x:c r="G150" s="4"/>
      <x:c r="H150" s="56"/>
      <x:c r="I150" s="4"/>
      <x:c r="J150" s="4"/>
      <x:c r="K150" s="4"/>
      <x:c r="L150" s="7"/>
      <x:c r="M150" s="7"/>
      <x:c r="N150" s="57"/>
      <x:c r="O150" s="57"/>
      <x:c r="P150" s="57"/>
      <x:c r="Q150" s="3" t="str">
        <x:f aca="0">""</x:f>
      </x:c>
      <x:c r="R150" s="4"/>
      <x:c r="S150" s="4"/>
      <x:c r="T150" s="4"/>
      <x:c r="U150" s="56"/>
      <x:c r="V150" s="4"/>
      <x:c r="W150" s="57" t="str">
        <x:f aca="0">""</x:f>
      </x:c>
      <x:c r="X150" s="57" t="str">
        <x:f aca="0">""</x:f>
      </x:c>
      <x:c r="Y150" s="57" t="str">
        <x:f aca="0">""</x:f>
      </x:c>
      <x:c r="Z150" s="58"/>
      <x:c r="AA150" s="4"/>
      <x:c r="AB150" s="54" t="str">
        <x:f aca="0">""</x:f>
      </x:c>
      <x:c r="AC150" s="54" t="str">
        <x:f aca="0">""</x:f>
      </x:c>
      <x:c r="AD150" s="7"/>
      <x:c r="AE150" s="4"/>
      <x:c r="AF150" s="4"/>
      <x:c r="AG150" s="7"/>
      <x:c r="AH150" s="12" t="str">
        <x:f aca="0">""</x:f>
      </x:c>
      <x:c r="AI150" s="12" t="str">
        <x:f aca="0">""</x:f>
      </x:c>
      <x:c r="AJ150" s="12" t="str">
        <x:f aca="0">""</x:f>
      </x:c>
      <x:c r="AK150" s="12" t="str">
        <x:f aca="0">""</x:f>
      </x:c>
      <x:c r="AL150" s="19" t="str">
        <x:f aca="0">""</x:f>
      </x:c>
      <x:c r="AM150" s="56"/>
      <x:c r="AN150" s="4"/>
      <x:c r="AO150" s="4"/>
      <x:c r="AP150" s="3" t="str">
        <x:f aca="0">""</x:f>
      </x:c>
      <x:c r="AQ150" s="3" t="str">
        <x:f aca="0">""</x:f>
      </x:c>
      <x:c r="AR150" s="3" t="str">
        <x:f aca="0">""</x:f>
      </x:c>
      <x:c r="AS150" s="3" t="str">
        <x:f aca="0">""</x:f>
      </x:c>
      <x:c r="AT150" s="3" t="str">
        <x:f aca="0">""</x:f>
      </x:c>
      <x:c r="AU150" s="54" t="str">
        <x:f aca="0">""</x:f>
      </x:c>
      <x:c r="AV150" s="12" t="str">
        <x:f aca="0">""</x:f>
      </x:c>
      <x:c r="AW150" s="4"/>
      <x:c r="AX150" s="4"/>
      <x:c r="AY150" s="4"/>
      <x:c r="AZ150" s="56"/>
      <x:c r="BA150" s="4"/>
      <x:c r="BB150" s="11" t="str">
        <x:f aca="0">""</x:f>
      </x:c>
      <x:c r="BC150" s="11" t="str">
        <x:f aca="0">""</x:f>
      </x:c>
      <x:c r="BD150" s="11" t="str">
        <x:f aca="0">""</x:f>
      </x:c>
      <x:c r="BE150" s="19" t="str">
        <x:f aca="0">""</x:f>
      </x:c>
      <x:c r="BF150" s="19" t="str">
        <x:f aca="0">""</x:f>
      </x:c>
    </x:row>
    <x:row r="151" ht="14.25" hidden="0">
      <x:c r="A151" s="3"/>
      <x:c r="B151" s="55"/>
      <x:c r="C151" s="4"/>
      <x:c r="D151" s="4"/>
      <x:c r="E151" s="4"/>
      <x:c r="F151" s="4"/>
      <x:c r="G151" s="4"/>
      <x:c r="H151" s="56"/>
      <x:c r="I151" s="4"/>
      <x:c r="J151" s="4"/>
      <x:c r="K151" s="4"/>
      <x:c r="L151" s="7"/>
      <x:c r="M151" s="7"/>
      <x:c r="N151" s="57"/>
      <x:c r="O151" s="57"/>
      <x:c r="P151" s="57"/>
      <x:c r="Q151" s="3" t="str">
        <x:f aca="0">""</x:f>
      </x:c>
      <x:c r="R151" s="4"/>
      <x:c r="S151" s="4"/>
      <x:c r="T151" s="4"/>
      <x:c r="U151" s="56"/>
      <x:c r="V151" s="4"/>
      <x:c r="W151" s="57" t="str">
        <x:f aca="0">""</x:f>
      </x:c>
      <x:c r="X151" s="57" t="str">
        <x:f aca="0">""</x:f>
      </x:c>
      <x:c r="Y151" s="57" t="str">
        <x:f aca="0">""</x:f>
      </x:c>
      <x:c r="Z151" s="58"/>
      <x:c r="AA151" s="4"/>
      <x:c r="AB151" s="54" t="str">
        <x:f aca="0">""</x:f>
      </x:c>
      <x:c r="AC151" s="54" t="str">
        <x:f aca="0">""</x:f>
      </x:c>
      <x:c r="AD151" s="7"/>
      <x:c r="AE151" s="4"/>
      <x:c r="AF151" s="4"/>
      <x:c r="AG151" s="7"/>
      <x:c r="AH151" s="12" t="str">
        <x:f aca="0">""</x:f>
      </x:c>
      <x:c r="AI151" s="12" t="str">
        <x:f aca="0">""</x:f>
      </x:c>
      <x:c r="AJ151" s="12" t="str">
        <x:f aca="0">""</x:f>
      </x:c>
      <x:c r="AK151" s="12" t="str">
        <x:f aca="0">""</x:f>
      </x:c>
      <x:c r="AL151" s="19" t="str">
        <x:f aca="0">""</x:f>
      </x:c>
      <x:c r="AM151" s="56"/>
      <x:c r="AN151" s="4"/>
      <x:c r="AO151" s="4"/>
      <x:c r="AP151" s="3" t="str">
        <x:f aca="0">""</x:f>
      </x:c>
      <x:c r="AQ151" s="3" t="str">
        <x:f aca="0">""</x:f>
      </x:c>
      <x:c r="AR151" s="3" t="str">
        <x:f aca="0">""</x:f>
      </x:c>
      <x:c r="AS151" s="3" t="str">
        <x:f aca="0">""</x:f>
      </x:c>
      <x:c r="AT151" s="3" t="str">
        <x:f aca="0">""</x:f>
      </x:c>
      <x:c r="AU151" s="54" t="str">
        <x:f aca="0">""</x:f>
      </x:c>
      <x:c r="AV151" s="12" t="str">
        <x:f aca="0">""</x:f>
      </x:c>
      <x:c r="AW151" s="4"/>
      <x:c r="AX151" s="4"/>
      <x:c r="AY151" s="4"/>
      <x:c r="AZ151" s="56"/>
      <x:c r="BA151" s="4"/>
      <x:c r="BB151" s="11" t="str">
        <x:f aca="0">""</x:f>
      </x:c>
      <x:c r="BC151" s="11" t="str">
        <x:f aca="0">""</x:f>
      </x:c>
      <x:c r="BD151" s="11" t="str">
        <x:f aca="0">""</x:f>
      </x:c>
      <x:c r="BE151" s="19" t="str">
        <x:f aca="0">""</x:f>
      </x:c>
      <x:c r="BF151" s="19" t="str">
        <x:f aca="0">""</x:f>
      </x:c>
    </x:row>
    <x:row r="152" ht="14.25" hidden="0">
      <x:c r="A152" s="3"/>
      <x:c r="B152" s="55"/>
      <x:c r="C152" s="4"/>
      <x:c r="D152" s="4"/>
      <x:c r="E152" s="4"/>
      <x:c r="F152" s="4"/>
      <x:c r="G152" s="4"/>
      <x:c r="H152" s="56"/>
      <x:c r="I152" s="4"/>
      <x:c r="J152" s="4"/>
      <x:c r="K152" s="4"/>
      <x:c r="L152" s="7"/>
      <x:c r="M152" s="7"/>
      <x:c r="N152" s="57"/>
      <x:c r="O152" s="57"/>
      <x:c r="P152" s="57"/>
      <x:c r="Q152" s="3" t="str">
        <x:f aca="0">""</x:f>
      </x:c>
      <x:c r="R152" s="4"/>
      <x:c r="S152" s="4"/>
      <x:c r="T152" s="4"/>
      <x:c r="U152" s="56"/>
      <x:c r="V152" s="4"/>
      <x:c r="W152" s="57" t="str">
        <x:f aca="0">""</x:f>
      </x:c>
      <x:c r="X152" s="57" t="str">
        <x:f aca="0">""</x:f>
      </x:c>
      <x:c r="Y152" s="57" t="str">
        <x:f aca="0">""</x:f>
      </x:c>
      <x:c r="Z152" s="58"/>
      <x:c r="AA152" s="4"/>
      <x:c r="AB152" s="54" t="str">
        <x:f aca="0">""</x:f>
      </x:c>
      <x:c r="AC152" s="54" t="str">
        <x:f aca="0">""</x:f>
      </x:c>
      <x:c r="AD152" s="7"/>
      <x:c r="AE152" s="4"/>
      <x:c r="AF152" s="4"/>
      <x:c r="AG152" s="7"/>
      <x:c r="AH152" s="12" t="str">
        <x:f aca="0">""</x:f>
      </x:c>
      <x:c r="AI152" s="12" t="str">
        <x:f aca="0">""</x:f>
      </x:c>
      <x:c r="AJ152" s="12" t="str">
        <x:f aca="0">""</x:f>
      </x:c>
      <x:c r="AK152" s="12" t="str">
        <x:f aca="0">""</x:f>
      </x:c>
      <x:c r="AL152" s="19" t="str">
        <x:f aca="0">""</x:f>
      </x:c>
      <x:c r="AM152" s="56"/>
      <x:c r="AN152" s="4"/>
      <x:c r="AO152" s="4"/>
      <x:c r="AP152" s="3" t="str">
        <x:f aca="0">""</x:f>
      </x:c>
      <x:c r="AQ152" s="3" t="str">
        <x:f aca="0">""</x:f>
      </x:c>
      <x:c r="AR152" s="3" t="str">
        <x:f aca="0">""</x:f>
      </x:c>
      <x:c r="AS152" s="3" t="str">
        <x:f aca="0">""</x:f>
      </x:c>
      <x:c r="AT152" s="3" t="str">
        <x:f aca="0">""</x:f>
      </x:c>
      <x:c r="AU152" s="54" t="str">
        <x:f aca="0">""</x:f>
      </x:c>
      <x:c r="AV152" s="12" t="str">
        <x:f aca="0">""</x:f>
      </x:c>
      <x:c r="AW152" s="4"/>
      <x:c r="AX152" s="4"/>
      <x:c r="AY152" s="4"/>
      <x:c r="AZ152" s="56"/>
      <x:c r="BA152" s="4"/>
      <x:c r="BB152" s="11" t="str">
        <x:f aca="0">""</x:f>
      </x:c>
      <x:c r="BC152" s="11" t="str">
        <x:f aca="0">""</x:f>
      </x:c>
      <x:c r="BD152" s="11" t="str">
        <x:f aca="0">""</x:f>
      </x:c>
      <x:c r="BE152" s="19" t="str">
        <x:f aca="0">""</x:f>
      </x:c>
      <x:c r="BF152" s="19" t="str">
        <x:f aca="0">""</x:f>
      </x:c>
    </x:row>
    <x:row r="153" ht="14.25" hidden="0">
      <x:c r="A153" s="3"/>
      <x:c r="B153" s="55"/>
      <x:c r="C153" s="4"/>
      <x:c r="D153" s="4"/>
      <x:c r="E153" s="4"/>
      <x:c r="F153" s="4"/>
      <x:c r="G153" s="4"/>
      <x:c r="H153" s="56"/>
      <x:c r="I153" s="4"/>
      <x:c r="J153" s="4"/>
      <x:c r="K153" s="4"/>
      <x:c r="L153" s="7"/>
      <x:c r="M153" s="7"/>
      <x:c r="N153" s="57"/>
      <x:c r="O153" s="57"/>
      <x:c r="P153" s="57"/>
      <x:c r="Q153" s="3" t="str">
        <x:f aca="0">""</x:f>
      </x:c>
      <x:c r="R153" s="4"/>
      <x:c r="S153" s="4"/>
      <x:c r="T153" s="4"/>
      <x:c r="U153" s="56"/>
      <x:c r="V153" s="4"/>
      <x:c r="W153" s="57" t="str">
        <x:f aca="0">""</x:f>
      </x:c>
      <x:c r="X153" s="57" t="str">
        <x:f aca="0">""</x:f>
      </x:c>
      <x:c r="Y153" s="57" t="str">
        <x:f aca="0">""</x:f>
      </x:c>
      <x:c r="Z153" s="58"/>
      <x:c r="AA153" s="4"/>
      <x:c r="AB153" s="54" t="str">
        <x:f aca="0">""</x:f>
      </x:c>
      <x:c r="AC153" s="54" t="str">
        <x:f aca="0">""</x:f>
      </x:c>
      <x:c r="AD153" s="7"/>
      <x:c r="AE153" s="4"/>
      <x:c r="AF153" s="4"/>
      <x:c r="AG153" s="7"/>
      <x:c r="AH153" s="12" t="str">
        <x:f aca="0">""</x:f>
      </x:c>
      <x:c r="AI153" s="12" t="str">
        <x:f aca="0">""</x:f>
      </x:c>
      <x:c r="AJ153" s="12" t="str">
        <x:f aca="0">""</x:f>
      </x:c>
      <x:c r="AK153" s="12" t="str">
        <x:f aca="0">""</x:f>
      </x:c>
      <x:c r="AL153" s="19" t="str">
        <x:f aca="0">""</x:f>
      </x:c>
      <x:c r="AM153" s="56"/>
      <x:c r="AN153" s="4"/>
      <x:c r="AO153" s="4"/>
      <x:c r="AP153" s="3" t="str">
        <x:f aca="0">""</x:f>
      </x:c>
      <x:c r="AQ153" s="3" t="str">
        <x:f aca="0">""</x:f>
      </x:c>
      <x:c r="AR153" s="3" t="str">
        <x:f aca="0">""</x:f>
      </x:c>
      <x:c r="AS153" s="3" t="str">
        <x:f aca="0">""</x:f>
      </x:c>
      <x:c r="AT153" s="3" t="str">
        <x:f aca="0">""</x:f>
      </x:c>
      <x:c r="AU153" s="54" t="str">
        <x:f aca="0">""</x:f>
      </x:c>
      <x:c r="AV153" s="12" t="str">
        <x:f aca="0">""</x:f>
      </x:c>
      <x:c r="AW153" s="4"/>
      <x:c r="AX153" s="4"/>
      <x:c r="AY153" s="4"/>
      <x:c r="AZ153" s="56"/>
      <x:c r="BA153" s="4"/>
      <x:c r="BB153" s="11" t="str">
        <x:f aca="0">""</x:f>
      </x:c>
      <x:c r="BC153" s="11" t="str">
        <x:f aca="0">""</x:f>
      </x:c>
      <x:c r="BD153" s="11" t="str">
        <x:f aca="0">""</x:f>
      </x:c>
      <x:c r="BE153" s="19" t="str">
        <x:f aca="0">""</x:f>
      </x:c>
      <x:c r="BF153" s="19" t="str">
        <x:f aca="0">""</x:f>
      </x:c>
    </x:row>
    <x:row r="154" ht="14.25" hidden="0">
      <x:c r="A154" s="3"/>
      <x:c r="B154" s="55"/>
      <x:c r="C154" s="4"/>
      <x:c r="D154" s="4"/>
      <x:c r="E154" s="4"/>
      <x:c r="F154" s="4"/>
      <x:c r="G154" s="4"/>
      <x:c r="H154" s="56"/>
      <x:c r="I154" s="4"/>
      <x:c r="J154" s="4"/>
      <x:c r="K154" s="4"/>
      <x:c r="L154" s="7"/>
      <x:c r="M154" s="7"/>
      <x:c r="N154" s="57"/>
      <x:c r="O154" s="57"/>
      <x:c r="P154" s="57"/>
      <x:c r="Q154" s="3" t="str">
        <x:f aca="0">""</x:f>
      </x:c>
      <x:c r="R154" s="4"/>
      <x:c r="S154" s="4"/>
      <x:c r="T154" s="4"/>
      <x:c r="U154" s="56"/>
      <x:c r="V154" s="4"/>
      <x:c r="W154" s="57" t="str">
        <x:f aca="0">""</x:f>
      </x:c>
      <x:c r="X154" s="57" t="str">
        <x:f aca="0">""</x:f>
      </x:c>
      <x:c r="Y154" s="57" t="str">
        <x:f aca="0">""</x:f>
      </x:c>
      <x:c r="Z154" s="58"/>
      <x:c r="AA154" s="4"/>
      <x:c r="AB154" s="54" t="str">
        <x:f aca="0">""</x:f>
      </x:c>
      <x:c r="AC154" s="54" t="str">
        <x:f aca="0">""</x:f>
      </x:c>
      <x:c r="AD154" s="7"/>
      <x:c r="AE154" s="4"/>
      <x:c r="AF154" s="4"/>
      <x:c r="AG154" s="7"/>
      <x:c r="AH154" s="12" t="str">
        <x:f aca="0">""</x:f>
      </x:c>
      <x:c r="AI154" s="12" t="str">
        <x:f aca="0">""</x:f>
      </x:c>
      <x:c r="AJ154" s="12" t="str">
        <x:f aca="0">""</x:f>
      </x:c>
      <x:c r="AK154" s="12" t="str">
        <x:f aca="0">""</x:f>
      </x:c>
      <x:c r="AL154" s="19" t="str">
        <x:f aca="0">""</x:f>
      </x:c>
      <x:c r="AM154" s="56"/>
      <x:c r="AN154" s="4"/>
      <x:c r="AO154" s="4"/>
      <x:c r="AP154" s="3" t="str">
        <x:f aca="0">""</x:f>
      </x:c>
      <x:c r="AQ154" s="3" t="str">
        <x:f aca="0">""</x:f>
      </x:c>
      <x:c r="AR154" s="3" t="str">
        <x:f aca="0">""</x:f>
      </x:c>
      <x:c r="AS154" s="3" t="str">
        <x:f aca="0">""</x:f>
      </x:c>
      <x:c r="AT154" s="3" t="str">
        <x:f aca="0">""</x:f>
      </x:c>
      <x:c r="AU154" s="54" t="str">
        <x:f aca="0">""</x:f>
      </x:c>
      <x:c r="AV154" s="12" t="str">
        <x:f aca="0">""</x:f>
      </x:c>
      <x:c r="AW154" s="4"/>
      <x:c r="AX154" s="4"/>
      <x:c r="AY154" s="4"/>
      <x:c r="AZ154" s="56"/>
      <x:c r="BA154" s="4"/>
      <x:c r="BB154" s="11" t="str">
        <x:f aca="0">""</x:f>
      </x:c>
      <x:c r="BC154" s="11" t="str">
        <x:f aca="0">""</x:f>
      </x:c>
      <x:c r="BD154" s="11" t="str">
        <x:f aca="0">""</x:f>
      </x:c>
      <x:c r="BE154" s="19" t="str">
        <x:f aca="0">""</x:f>
      </x:c>
      <x:c r="BF154" s="19" t="str">
        <x:f aca="0">""</x:f>
      </x:c>
    </x:row>
    <x:row r="155" ht="14.25" hidden="0">
      <x:c r="A155" s="3"/>
      <x:c r="B155" s="55"/>
      <x:c r="C155" s="4"/>
      <x:c r="D155" s="4"/>
      <x:c r="E155" s="4"/>
      <x:c r="F155" s="4"/>
      <x:c r="G155" s="4"/>
      <x:c r="H155" s="56"/>
      <x:c r="I155" s="4"/>
      <x:c r="J155" s="4"/>
      <x:c r="K155" s="4"/>
      <x:c r="L155" s="7"/>
      <x:c r="M155" s="7"/>
      <x:c r="N155" s="57"/>
      <x:c r="O155" s="57"/>
      <x:c r="P155" s="57"/>
      <x:c r="Q155" s="3" t="str">
        <x:f aca="0">""</x:f>
      </x:c>
      <x:c r="R155" s="4"/>
      <x:c r="S155" s="4"/>
      <x:c r="T155" s="4"/>
      <x:c r="U155" s="56"/>
      <x:c r="V155" s="4"/>
      <x:c r="W155" s="57" t="str">
        <x:f aca="0">""</x:f>
      </x:c>
      <x:c r="X155" s="57" t="str">
        <x:f aca="0">""</x:f>
      </x:c>
      <x:c r="Y155" s="57" t="str">
        <x:f aca="0">""</x:f>
      </x:c>
      <x:c r="Z155" s="58"/>
      <x:c r="AA155" s="4"/>
      <x:c r="AB155" s="54" t="str">
        <x:f aca="0">""</x:f>
      </x:c>
      <x:c r="AC155" s="54" t="str">
        <x:f aca="0">""</x:f>
      </x:c>
      <x:c r="AD155" s="7"/>
      <x:c r="AE155" s="4"/>
      <x:c r="AF155" s="4"/>
      <x:c r="AG155" s="7"/>
      <x:c r="AH155" s="12" t="str">
        <x:f aca="0">""</x:f>
      </x:c>
      <x:c r="AI155" s="12" t="str">
        <x:f aca="0">""</x:f>
      </x:c>
      <x:c r="AJ155" s="12" t="str">
        <x:f aca="0">""</x:f>
      </x:c>
      <x:c r="AK155" s="12" t="str">
        <x:f aca="0">""</x:f>
      </x:c>
      <x:c r="AL155" s="19" t="str">
        <x:f aca="0">""</x:f>
      </x:c>
      <x:c r="AM155" s="56"/>
      <x:c r="AN155" s="4"/>
      <x:c r="AO155" s="4"/>
      <x:c r="AP155" s="3" t="str">
        <x:f aca="0">""</x:f>
      </x:c>
      <x:c r="AQ155" s="3" t="str">
        <x:f aca="0">""</x:f>
      </x:c>
      <x:c r="AR155" s="3" t="str">
        <x:f aca="0">""</x:f>
      </x:c>
      <x:c r="AS155" s="3" t="str">
        <x:f aca="0">""</x:f>
      </x:c>
      <x:c r="AT155" s="3" t="str">
        <x:f aca="0">""</x:f>
      </x:c>
      <x:c r="AU155" s="54" t="str">
        <x:f aca="0">""</x:f>
      </x:c>
      <x:c r="AV155" s="12" t="str">
        <x:f aca="0">""</x:f>
      </x:c>
      <x:c r="AW155" s="4"/>
      <x:c r="AX155" s="4"/>
      <x:c r="AY155" s="4"/>
      <x:c r="AZ155" s="56"/>
      <x:c r="BA155" s="4"/>
      <x:c r="BB155" s="11" t="str">
        <x:f aca="0">""</x:f>
      </x:c>
      <x:c r="BC155" s="11" t="str">
        <x:f aca="0">""</x:f>
      </x:c>
      <x:c r="BD155" s="11" t="str">
        <x:f aca="0">""</x:f>
      </x:c>
      <x:c r="BE155" s="19" t="str">
        <x:f aca="0">""</x:f>
      </x:c>
      <x:c r="BF155" s="19" t="str">
        <x:f aca="0">""</x:f>
      </x:c>
    </x:row>
    <x:row r="156" ht="14.25" hidden="0">
      <x:c r="A156" s="3"/>
      <x:c r="B156" s="55"/>
      <x:c r="C156" s="4"/>
      <x:c r="D156" s="4"/>
      <x:c r="E156" s="4"/>
      <x:c r="F156" s="4"/>
      <x:c r="G156" s="4"/>
      <x:c r="H156" s="56"/>
      <x:c r="I156" s="4"/>
      <x:c r="J156" s="4"/>
      <x:c r="K156" s="4"/>
      <x:c r="L156" s="7"/>
      <x:c r="M156" s="7"/>
      <x:c r="N156" s="57"/>
      <x:c r="O156" s="57"/>
      <x:c r="P156" s="57"/>
      <x:c r="Q156" s="3" t="str">
        <x:f aca="0">""</x:f>
      </x:c>
      <x:c r="R156" s="4"/>
      <x:c r="S156" s="4"/>
      <x:c r="T156" s="4"/>
      <x:c r="U156" s="56"/>
      <x:c r="V156" s="4"/>
      <x:c r="W156" s="57" t="str">
        <x:f aca="0">""</x:f>
      </x:c>
      <x:c r="X156" s="57" t="str">
        <x:f aca="0">""</x:f>
      </x:c>
      <x:c r="Y156" s="57" t="str">
        <x:f aca="0">""</x:f>
      </x:c>
      <x:c r="Z156" s="58"/>
      <x:c r="AA156" s="4"/>
      <x:c r="AB156" s="54" t="str">
        <x:f aca="0">""</x:f>
      </x:c>
      <x:c r="AC156" s="54" t="str">
        <x:f aca="0">""</x:f>
      </x:c>
      <x:c r="AD156" s="7"/>
      <x:c r="AE156" s="4"/>
      <x:c r="AF156" s="4"/>
      <x:c r="AG156" s="7"/>
      <x:c r="AH156" s="12" t="str">
        <x:f aca="0">""</x:f>
      </x:c>
      <x:c r="AI156" s="12" t="str">
        <x:f aca="0">""</x:f>
      </x:c>
      <x:c r="AJ156" s="12" t="str">
        <x:f aca="0">""</x:f>
      </x:c>
      <x:c r="AK156" s="12" t="str">
        <x:f aca="0">""</x:f>
      </x:c>
      <x:c r="AL156" s="19" t="str">
        <x:f aca="0">""</x:f>
      </x:c>
      <x:c r="AM156" s="56"/>
      <x:c r="AN156" s="4"/>
      <x:c r="AO156" s="4"/>
      <x:c r="AP156" s="3" t="str">
        <x:f aca="0">""</x:f>
      </x:c>
      <x:c r="AQ156" s="3" t="str">
        <x:f aca="0">""</x:f>
      </x:c>
      <x:c r="AR156" s="3" t="str">
        <x:f aca="0">""</x:f>
      </x:c>
      <x:c r="AS156" s="3" t="str">
        <x:f aca="0">""</x:f>
      </x:c>
      <x:c r="AT156" s="3" t="str">
        <x:f aca="0">""</x:f>
      </x:c>
      <x:c r="AU156" s="54" t="str">
        <x:f aca="0">""</x:f>
      </x:c>
      <x:c r="AV156" s="12" t="str">
        <x:f aca="0">""</x:f>
      </x:c>
      <x:c r="AW156" s="4"/>
      <x:c r="AX156" s="4"/>
      <x:c r="AY156" s="4"/>
      <x:c r="AZ156" s="56"/>
      <x:c r="BA156" s="4"/>
      <x:c r="BB156" s="11" t="str">
        <x:f aca="0">""</x:f>
      </x:c>
      <x:c r="BC156" s="11" t="str">
        <x:f aca="0">""</x:f>
      </x:c>
      <x:c r="BD156" s="11" t="str">
        <x:f aca="0">""</x:f>
      </x:c>
      <x:c r="BE156" s="19" t="str">
        <x:f aca="0">""</x:f>
      </x:c>
      <x:c r="BF156" s="19" t="str">
        <x:f aca="0">""</x:f>
      </x:c>
    </x:row>
    <x:row r="157" ht="14.25" hidden="0">
      <x:c r="A157" s="3"/>
      <x:c r="B157" s="55"/>
      <x:c r="C157" s="4"/>
      <x:c r="D157" s="4"/>
      <x:c r="E157" s="4"/>
      <x:c r="F157" s="4"/>
      <x:c r="G157" s="4"/>
      <x:c r="H157" s="56"/>
      <x:c r="I157" s="4"/>
      <x:c r="J157" s="4"/>
      <x:c r="K157" s="4"/>
      <x:c r="L157" s="7"/>
      <x:c r="M157" s="7"/>
      <x:c r="N157" s="57"/>
      <x:c r="O157" s="57"/>
      <x:c r="P157" s="57"/>
      <x:c r="Q157" s="3" t="str">
        <x:f aca="0">""</x:f>
      </x:c>
      <x:c r="R157" s="4"/>
      <x:c r="S157" s="4"/>
      <x:c r="T157" s="4"/>
      <x:c r="U157" s="56"/>
      <x:c r="V157" s="4"/>
      <x:c r="W157" s="57" t="str">
        <x:f aca="0">""</x:f>
      </x:c>
      <x:c r="X157" s="57" t="str">
        <x:f aca="0">""</x:f>
      </x:c>
      <x:c r="Y157" s="57" t="str">
        <x:f aca="0">""</x:f>
      </x:c>
      <x:c r="Z157" s="58"/>
      <x:c r="AA157" s="4"/>
      <x:c r="AB157" s="54" t="str">
        <x:f aca="0">""</x:f>
      </x:c>
      <x:c r="AC157" s="54" t="str">
        <x:f aca="0">""</x:f>
      </x:c>
      <x:c r="AD157" s="7"/>
      <x:c r="AE157" s="4"/>
      <x:c r="AF157" s="4"/>
      <x:c r="AG157" s="7"/>
      <x:c r="AH157" s="12" t="str">
        <x:f aca="0">""</x:f>
      </x:c>
      <x:c r="AI157" s="12" t="str">
        <x:f aca="0">""</x:f>
      </x:c>
      <x:c r="AJ157" s="12" t="str">
        <x:f aca="0">""</x:f>
      </x:c>
      <x:c r="AK157" s="12" t="str">
        <x:f aca="0">""</x:f>
      </x:c>
      <x:c r="AL157" s="19" t="str">
        <x:f aca="0">""</x:f>
      </x:c>
      <x:c r="AM157" s="56"/>
      <x:c r="AN157" s="4"/>
      <x:c r="AO157" s="4"/>
      <x:c r="AP157" s="3" t="str">
        <x:f aca="0">""</x:f>
      </x:c>
      <x:c r="AQ157" s="3" t="str">
        <x:f aca="0">""</x:f>
      </x:c>
      <x:c r="AR157" s="3" t="str">
        <x:f aca="0">""</x:f>
      </x:c>
      <x:c r="AS157" s="3" t="str">
        <x:f aca="0">""</x:f>
      </x:c>
      <x:c r="AT157" s="3" t="str">
        <x:f aca="0">""</x:f>
      </x:c>
      <x:c r="AU157" s="54" t="str">
        <x:f aca="0">""</x:f>
      </x:c>
      <x:c r="AV157" s="12" t="str">
        <x:f aca="0">""</x:f>
      </x:c>
      <x:c r="AW157" s="4"/>
      <x:c r="AX157" s="4"/>
      <x:c r="AY157" s="4"/>
      <x:c r="AZ157" s="56"/>
      <x:c r="BA157" s="4"/>
      <x:c r="BB157" s="11" t="str">
        <x:f aca="0">""</x:f>
      </x:c>
      <x:c r="BC157" s="11" t="str">
        <x:f aca="0">""</x:f>
      </x:c>
      <x:c r="BD157" s="11" t="str">
        <x:f aca="0">""</x:f>
      </x:c>
      <x:c r="BE157" s="19" t="str">
        <x:f aca="0">""</x:f>
      </x:c>
      <x:c r="BF157" s="19" t="str">
        <x:f aca="0">""</x:f>
      </x:c>
    </x:row>
    <x:row r="158" ht="14.25" hidden="0">
      <x:c r="A158" s="3"/>
      <x:c r="B158" s="55"/>
      <x:c r="C158" s="4"/>
      <x:c r="D158" s="4"/>
      <x:c r="E158" s="4"/>
      <x:c r="F158" s="4"/>
      <x:c r="G158" s="4"/>
      <x:c r="H158" s="56"/>
      <x:c r="I158" s="4"/>
      <x:c r="J158" s="4"/>
      <x:c r="K158" s="4"/>
      <x:c r="L158" s="7"/>
      <x:c r="M158" s="7"/>
      <x:c r="N158" s="57"/>
      <x:c r="O158" s="57"/>
      <x:c r="P158" s="57"/>
      <x:c r="Q158" s="3" t="str">
        <x:f aca="0">""</x:f>
      </x:c>
      <x:c r="R158" s="4"/>
      <x:c r="S158" s="4"/>
      <x:c r="T158" s="4"/>
      <x:c r="U158" s="56"/>
      <x:c r="V158" s="4"/>
      <x:c r="W158" s="57" t="str">
        <x:f aca="0">""</x:f>
      </x:c>
      <x:c r="X158" s="57" t="str">
        <x:f aca="0">""</x:f>
      </x:c>
      <x:c r="Y158" s="57" t="str">
        <x:f aca="0">""</x:f>
      </x:c>
      <x:c r="Z158" s="58"/>
      <x:c r="AA158" s="4"/>
      <x:c r="AB158" s="54" t="str">
        <x:f aca="0">""</x:f>
      </x:c>
      <x:c r="AC158" s="54" t="str">
        <x:f aca="0">""</x:f>
      </x:c>
      <x:c r="AD158" s="7"/>
      <x:c r="AE158" s="4"/>
      <x:c r="AF158" s="4"/>
      <x:c r="AG158" s="7"/>
      <x:c r="AH158" s="12" t="str">
        <x:f aca="0">""</x:f>
      </x:c>
      <x:c r="AI158" s="12" t="str">
        <x:f aca="0">""</x:f>
      </x:c>
      <x:c r="AJ158" s="12" t="str">
        <x:f aca="0">""</x:f>
      </x:c>
      <x:c r="AK158" s="12" t="str">
        <x:f aca="0">""</x:f>
      </x:c>
      <x:c r="AL158" s="19" t="str">
        <x:f aca="0">""</x:f>
      </x:c>
      <x:c r="AM158" s="56"/>
      <x:c r="AN158" s="4"/>
      <x:c r="AO158" s="4"/>
      <x:c r="AP158" s="3" t="str">
        <x:f aca="0">""</x:f>
      </x:c>
      <x:c r="AQ158" s="3" t="str">
        <x:f aca="0">""</x:f>
      </x:c>
      <x:c r="AR158" s="3" t="str">
        <x:f aca="0">""</x:f>
      </x:c>
      <x:c r="AS158" s="3" t="str">
        <x:f aca="0">""</x:f>
      </x:c>
      <x:c r="AT158" s="3" t="str">
        <x:f aca="0">""</x:f>
      </x:c>
      <x:c r="AU158" s="54" t="str">
        <x:f aca="0">""</x:f>
      </x:c>
      <x:c r="AV158" s="12" t="str">
        <x:f aca="0">""</x:f>
      </x:c>
      <x:c r="AW158" s="4"/>
      <x:c r="AX158" s="4"/>
      <x:c r="AY158" s="4"/>
      <x:c r="AZ158" s="56"/>
      <x:c r="BA158" s="4"/>
      <x:c r="BB158" s="11" t="str">
        <x:f aca="0">""</x:f>
      </x:c>
      <x:c r="BC158" s="11" t="str">
        <x:f aca="0">""</x:f>
      </x:c>
      <x:c r="BD158" s="11" t="str">
        <x:f aca="0">""</x:f>
      </x:c>
      <x:c r="BE158" s="19" t="str">
        <x:f aca="0">""</x:f>
      </x:c>
      <x:c r="BF158" s="19" t="str">
        <x:f aca="0">""</x:f>
      </x:c>
    </x:row>
    <x:row r="159" ht="14.25" hidden="0">
      <x:c r="A159" s="3"/>
      <x:c r="B159" s="55"/>
      <x:c r="C159" s="4"/>
      <x:c r="D159" s="4"/>
      <x:c r="E159" s="4"/>
      <x:c r="F159" s="4"/>
      <x:c r="G159" s="4"/>
      <x:c r="H159" s="56"/>
      <x:c r="I159" s="4"/>
      <x:c r="J159" s="4"/>
      <x:c r="K159" s="4"/>
      <x:c r="L159" s="7"/>
      <x:c r="M159" s="7"/>
      <x:c r="N159" s="57"/>
      <x:c r="O159" s="57"/>
      <x:c r="P159" s="57"/>
      <x:c r="Q159" s="3" t="str">
        <x:f aca="0">""</x:f>
      </x:c>
      <x:c r="R159" s="4"/>
      <x:c r="S159" s="4"/>
      <x:c r="T159" s="4"/>
      <x:c r="U159" s="56"/>
      <x:c r="V159" s="4"/>
      <x:c r="W159" s="57" t="str">
        <x:f aca="0">""</x:f>
      </x:c>
      <x:c r="X159" s="57" t="str">
        <x:f aca="0">""</x:f>
      </x:c>
      <x:c r="Y159" s="57" t="str">
        <x:f aca="0">""</x:f>
      </x:c>
      <x:c r="Z159" s="58"/>
      <x:c r="AA159" s="4"/>
      <x:c r="AB159" s="54" t="str">
        <x:f aca="0">""</x:f>
      </x:c>
      <x:c r="AC159" s="54" t="str">
        <x:f aca="0">""</x:f>
      </x:c>
      <x:c r="AD159" s="7"/>
      <x:c r="AE159" s="4"/>
      <x:c r="AF159" s="4"/>
      <x:c r="AG159" s="7"/>
      <x:c r="AH159" s="12" t="str">
        <x:f aca="0">""</x:f>
      </x:c>
      <x:c r="AI159" s="12" t="str">
        <x:f aca="0">""</x:f>
      </x:c>
      <x:c r="AJ159" s="12" t="str">
        <x:f aca="0">""</x:f>
      </x:c>
      <x:c r="AK159" s="12" t="str">
        <x:f aca="0">""</x:f>
      </x:c>
      <x:c r="AL159" s="19" t="str">
        <x:f aca="0">""</x:f>
      </x:c>
      <x:c r="AM159" s="56"/>
      <x:c r="AN159" s="4"/>
      <x:c r="AO159" s="4"/>
      <x:c r="AP159" s="3" t="str">
        <x:f aca="0">""</x:f>
      </x:c>
      <x:c r="AQ159" s="3" t="str">
        <x:f aca="0">""</x:f>
      </x:c>
      <x:c r="AR159" s="3" t="str">
        <x:f aca="0">""</x:f>
      </x:c>
      <x:c r="AS159" s="3" t="str">
        <x:f aca="0">""</x:f>
      </x:c>
      <x:c r="AT159" s="3" t="str">
        <x:f aca="0">""</x:f>
      </x:c>
      <x:c r="AU159" s="54" t="str">
        <x:f aca="0">""</x:f>
      </x:c>
      <x:c r="AV159" s="12" t="str">
        <x:f aca="0">""</x:f>
      </x:c>
      <x:c r="AW159" s="4"/>
      <x:c r="AX159" s="4"/>
      <x:c r="AY159" s="4"/>
      <x:c r="AZ159" s="56"/>
      <x:c r="BA159" s="4"/>
      <x:c r="BB159" s="11" t="str">
        <x:f aca="0">""</x:f>
      </x:c>
      <x:c r="BC159" s="11" t="str">
        <x:f aca="0">""</x:f>
      </x:c>
      <x:c r="BD159" s="11" t="str">
        <x:f aca="0">""</x:f>
      </x:c>
      <x:c r="BE159" s="19" t="str">
        <x:f aca="0">""</x:f>
      </x:c>
      <x:c r="BF159" s="19" t="str">
        <x:f aca="0">""</x:f>
      </x:c>
    </x:row>
    <x:row r="160" ht="14.25" hidden="0">
      <x:c r="A160" s="3"/>
      <x:c r="B160" s="55"/>
      <x:c r="C160" s="4"/>
      <x:c r="D160" s="4"/>
      <x:c r="E160" s="4"/>
      <x:c r="F160" s="4"/>
      <x:c r="G160" s="4"/>
      <x:c r="H160" s="56"/>
      <x:c r="I160" s="4"/>
      <x:c r="J160" s="4"/>
      <x:c r="K160" s="4"/>
      <x:c r="L160" s="7"/>
      <x:c r="M160" s="7"/>
      <x:c r="N160" s="57"/>
      <x:c r="O160" s="57"/>
      <x:c r="P160" s="57"/>
      <x:c r="Q160" s="3" t="str">
        <x:f aca="0">""</x:f>
      </x:c>
      <x:c r="R160" s="4"/>
      <x:c r="S160" s="4"/>
      <x:c r="T160" s="4"/>
      <x:c r="U160" s="56"/>
      <x:c r="V160" s="4"/>
      <x:c r="W160" s="57" t="str">
        <x:f aca="0">""</x:f>
      </x:c>
      <x:c r="X160" s="57" t="str">
        <x:f aca="0">""</x:f>
      </x:c>
      <x:c r="Y160" s="57" t="str">
        <x:f aca="0">""</x:f>
      </x:c>
      <x:c r="Z160" s="58"/>
      <x:c r="AA160" s="4"/>
      <x:c r="AB160" s="54" t="str">
        <x:f aca="0">""</x:f>
      </x:c>
      <x:c r="AC160" s="54" t="str">
        <x:f aca="0">""</x:f>
      </x:c>
      <x:c r="AD160" s="7"/>
      <x:c r="AE160" s="4"/>
      <x:c r="AF160" s="4"/>
      <x:c r="AG160" s="7"/>
      <x:c r="AH160" s="12" t="str">
        <x:f aca="0">""</x:f>
      </x:c>
      <x:c r="AI160" s="12" t="str">
        <x:f aca="0">""</x:f>
      </x:c>
      <x:c r="AJ160" s="12" t="str">
        <x:f aca="0">""</x:f>
      </x:c>
      <x:c r="AK160" s="12" t="str">
        <x:f aca="0">""</x:f>
      </x:c>
      <x:c r="AL160" s="19" t="str">
        <x:f aca="0">""</x:f>
      </x:c>
      <x:c r="AM160" s="56"/>
      <x:c r="AN160" s="4"/>
      <x:c r="AO160" s="4"/>
      <x:c r="AP160" s="3" t="str">
        <x:f aca="0">""</x:f>
      </x:c>
      <x:c r="AQ160" s="3" t="str">
        <x:f aca="0">""</x:f>
      </x:c>
      <x:c r="AR160" s="3" t="str">
        <x:f aca="0">""</x:f>
      </x:c>
      <x:c r="AS160" s="3" t="str">
        <x:f aca="0">""</x:f>
      </x:c>
      <x:c r="AT160" s="3" t="str">
        <x:f aca="0">""</x:f>
      </x:c>
      <x:c r="AU160" s="54" t="str">
        <x:f aca="0">""</x:f>
      </x:c>
      <x:c r="AV160" s="12" t="str">
        <x:f aca="0">""</x:f>
      </x:c>
      <x:c r="AW160" s="4"/>
      <x:c r="AX160" s="4"/>
      <x:c r="AY160" s="4"/>
      <x:c r="AZ160" s="56"/>
      <x:c r="BA160" s="4"/>
      <x:c r="BB160" s="11" t="str">
        <x:f aca="0">""</x:f>
      </x:c>
      <x:c r="BC160" s="11" t="str">
        <x:f aca="0">""</x:f>
      </x:c>
      <x:c r="BD160" s="11" t="str">
        <x:f aca="0">""</x:f>
      </x:c>
      <x:c r="BE160" s="19" t="str">
        <x:f aca="0">""</x:f>
      </x:c>
      <x:c r="BF160" s="19" t="str">
        <x:f aca="0">""</x:f>
      </x:c>
    </x:row>
    <x:row r="161" ht="14.25" hidden="0">
      <x:c r="A161" s="3"/>
      <x:c r="B161" s="55"/>
      <x:c r="C161" s="4"/>
      <x:c r="D161" s="4"/>
      <x:c r="E161" s="4"/>
      <x:c r="F161" s="4"/>
      <x:c r="G161" s="4"/>
      <x:c r="H161" s="56"/>
      <x:c r="I161" s="4"/>
      <x:c r="J161" s="4"/>
      <x:c r="K161" s="4"/>
      <x:c r="L161" s="7"/>
      <x:c r="M161" s="7"/>
      <x:c r="N161" s="57"/>
      <x:c r="O161" s="57"/>
      <x:c r="P161" s="57"/>
      <x:c r="Q161" s="3" t="str">
        <x:f aca="0">""</x:f>
      </x:c>
      <x:c r="R161" s="4"/>
      <x:c r="S161" s="4"/>
      <x:c r="T161" s="4"/>
      <x:c r="U161" s="56"/>
      <x:c r="V161" s="4"/>
      <x:c r="W161" s="57" t="str">
        <x:f aca="0">""</x:f>
      </x:c>
      <x:c r="X161" s="57" t="str">
        <x:f aca="0">""</x:f>
      </x:c>
      <x:c r="Y161" s="57" t="str">
        <x:f aca="0">""</x:f>
      </x:c>
      <x:c r="Z161" s="58"/>
      <x:c r="AA161" s="4"/>
      <x:c r="AB161" s="54" t="str">
        <x:f aca="0">""</x:f>
      </x:c>
      <x:c r="AC161" s="54" t="str">
        <x:f aca="0">""</x:f>
      </x:c>
      <x:c r="AD161" s="7"/>
      <x:c r="AE161" s="4"/>
      <x:c r="AF161" s="4"/>
      <x:c r="AG161" s="7"/>
      <x:c r="AH161" s="12" t="str">
        <x:f aca="0">""</x:f>
      </x:c>
      <x:c r="AI161" s="12" t="str">
        <x:f aca="0">""</x:f>
      </x:c>
      <x:c r="AJ161" s="12" t="str">
        <x:f aca="0">""</x:f>
      </x:c>
      <x:c r="AK161" s="12" t="str">
        <x:f aca="0">""</x:f>
      </x:c>
      <x:c r="AL161" s="19" t="str">
        <x:f aca="0">""</x:f>
      </x:c>
      <x:c r="AM161" s="56"/>
      <x:c r="AN161" s="4"/>
      <x:c r="AO161" s="4"/>
      <x:c r="AP161" s="3" t="str">
        <x:f aca="0">""</x:f>
      </x:c>
      <x:c r="AQ161" s="3" t="str">
        <x:f aca="0">""</x:f>
      </x:c>
      <x:c r="AR161" s="3" t="str">
        <x:f aca="0">""</x:f>
      </x:c>
      <x:c r="AS161" s="3" t="str">
        <x:f aca="0">""</x:f>
      </x:c>
      <x:c r="AT161" s="3" t="str">
        <x:f aca="0">""</x:f>
      </x:c>
      <x:c r="AU161" s="54" t="str">
        <x:f aca="0">""</x:f>
      </x:c>
      <x:c r="AV161" s="12" t="str">
        <x:f aca="0">""</x:f>
      </x:c>
      <x:c r="AW161" s="4"/>
      <x:c r="AX161" s="4"/>
      <x:c r="AY161" s="4"/>
      <x:c r="AZ161" s="56"/>
      <x:c r="BA161" s="4"/>
      <x:c r="BB161" s="11" t="str">
        <x:f aca="0">""</x:f>
      </x:c>
      <x:c r="BC161" s="11" t="str">
        <x:f aca="0">""</x:f>
      </x:c>
      <x:c r="BD161" s="11" t="str">
        <x:f aca="0">""</x:f>
      </x:c>
      <x:c r="BE161" s="19" t="str">
        <x:f aca="0">""</x:f>
      </x:c>
      <x:c r="BF161" s="19" t="str">
        <x:f aca="0">""</x:f>
      </x:c>
    </x:row>
    <x:row r="162" ht="14.25" hidden="0">
      <x:c r="A162" s="3"/>
      <x:c r="B162" s="55"/>
      <x:c r="C162" s="4"/>
      <x:c r="D162" s="4"/>
      <x:c r="E162" s="4"/>
      <x:c r="F162" s="4"/>
      <x:c r="G162" s="4"/>
      <x:c r="H162" s="56"/>
      <x:c r="I162" s="4"/>
      <x:c r="J162" s="4"/>
      <x:c r="K162" s="4"/>
      <x:c r="L162" s="7"/>
      <x:c r="M162" s="7"/>
      <x:c r="N162" s="57"/>
      <x:c r="O162" s="57"/>
      <x:c r="P162" s="57"/>
      <x:c r="Q162" s="3" t="str">
        <x:f aca="0">""</x:f>
      </x:c>
      <x:c r="R162" s="4"/>
      <x:c r="S162" s="4"/>
      <x:c r="T162" s="4"/>
      <x:c r="U162" s="56"/>
      <x:c r="V162" s="4"/>
      <x:c r="W162" s="57" t="str">
        <x:f aca="0">""</x:f>
      </x:c>
      <x:c r="X162" s="57" t="str">
        <x:f aca="0">""</x:f>
      </x:c>
      <x:c r="Y162" s="57" t="str">
        <x:f aca="0">""</x:f>
      </x:c>
      <x:c r="Z162" s="58"/>
      <x:c r="AA162" s="4"/>
      <x:c r="AB162" s="54" t="str">
        <x:f aca="0">""</x:f>
      </x:c>
      <x:c r="AC162" s="54" t="str">
        <x:f aca="0">""</x:f>
      </x:c>
      <x:c r="AD162" s="7"/>
      <x:c r="AE162" s="4"/>
      <x:c r="AF162" s="4"/>
      <x:c r="AG162" s="7"/>
      <x:c r="AH162" s="12" t="str">
        <x:f aca="0">""</x:f>
      </x:c>
      <x:c r="AI162" s="12" t="str">
        <x:f aca="0">""</x:f>
      </x:c>
      <x:c r="AJ162" s="12" t="str">
        <x:f aca="0">""</x:f>
      </x:c>
      <x:c r="AK162" s="12" t="str">
        <x:f aca="0">""</x:f>
      </x:c>
      <x:c r="AL162" s="19" t="str">
        <x:f aca="0">""</x:f>
      </x:c>
      <x:c r="AM162" s="56"/>
      <x:c r="AN162" s="4"/>
      <x:c r="AO162" s="4"/>
      <x:c r="AP162" s="3" t="str">
        <x:f aca="0">""</x:f>
      </x:c>
      <x:c r="AQ162" s="3" t="str">
        <x:f aca="0">""</x:f>
      </x:c>
      <x:c r="AR162" s="3" t="str">
        <x:f aca="0">""</x:f>
      </x:c>
      <x:c r="AS162" s="3" t="str">
        <x:f aca="0">""</x:f>
      </x:c>
      <x:c r="AT162" s="3" t="str">
        <x:f aca="0">""</x:f>
      </x:c>
      <x:c r="AU162" s="54" t="str">
        <x:f aca="0">""</x:f>
      </x:c>
      <x:c r="AV162" s="12" t="str">
        <x:f aca="0">""</x:f>
      </x:c>
      <x:c r="AW162" s="4"/>
      <x:c r="AX162" s="4"/>
      <x:c r="AY162" s="4"/>
      <x:c r="AZ162" s="56"/>
      <x:c r="BA162" s="4"/>
      <x:c r="BB162" s="11" t="str">
        <x:f aca="0">""</x:f>
      </x:c>
      <x:c r="BC162" s="11" t="str">
        <x:f aca="0">""</x:f>
      </x:c>
      <x:c r="BD162" s="11" t="str">
        <x:f aca="0">""</x:f>
      </x:c>
      <x:c r="BE162" s="19" t="str">
        <x:f aca="0">""</x:f>
      </x:c>
      <x:c r="BF162" s="19" t="str">
        <x:f aca="0">""</x:f>
      </x:c>
    </x:row>
    <x:row r="163" ht="14.25" hidden="0">
      <x:c r="A163" s="3"/>
      <x:c r="B163" s="55"/>
      <x:c r="C163" s="4"/>
      <x:c r="D163" s="4"/>
      <x:c r="E163" s="4"/>
      <x:c r="F163" s="4"/>
      <x:c r="G163" s="4"/>
      <x:c r="H163" s="56"/>
      <x:c r="I163" s="4"/>
      <x:c r="J163" s="4"/>
      <x:c r="K163" s="4"/>
      <x:c r="L163" s="7"/>
      <x:c r="M163" s="7"/>
      <x:c r="N163" s="57"/>
      <x:c r="O163" s="57"/>
      <x:c r="P163" s="57"/>
      <x:c r="Q163" s="3" t="str">
        <x:f aca="0">""</x:f>
      </x:c>
      <x:c r="R163" s="4"/>
      <x:c r="S163" s="4"/>
      <x:c r="T163" s="4"/>
      <x:c r="U163" s="56"/>
      <x:c r="V163" s="4"/>
      <x:c r="W163" s="57" t="str">
        <x:f aca="0">""</x:f>
      </x:c>
      <x:c r="X163" s="57" t="str">
        <x:f aca="0">""</x:f>
      </x:c>
      <x:c r="Y163" s="57" t="str">
        <x:f aca="0">""</x:f>
      </x:c>
      <x:c r="Z163" s="58"/>
      <x:c r="AA163" s="4"/>
      <x:c r="AB163" s="54" t="str">
        <x:f aca="0">""</x:f>
      </x:c>
      <x:c r="AC163" s="54" t="str">
        <x:f aca="0">""</x:f>
      </x:c>
      <x:c r="AD163" s="7"/>
      <x:c r="AE163" s="4"/>
      <x:c r="AF163" s="4"/>
      <x:c r="AG163" s="7"/>
      <x:c r="AH163" s="12" t="str">
        <x:f aca="0">""</x:f>
      </x:c>
      <x:c r="AI163" s="12" t="str">
        <x:f aca="0">""</x:f>
      </x:c>
      <x:c r="AJ163" s="12" t="str">
        <x:f aca="0">""</x:f>
      </x:c>
      <x:c r="AK163" s="12" t="str">
        <x:f aca="0">""</x:f>
      </x:c>
      <x:c r="AL163" s="19" t="str">
        <x:f aca="0">""</x:f>
      </x:c>
      <x:c r="AM163" s="56"/>
      <x:c r="AN163" s="4"/>
      <x:c r="AO163" s="4"/>
      <x:c r="AP163" s="3" t="str">
        <x:f aca="0">""</x:f>
      </x:c>
      <x:c r="AQ163" s="3" t="str">
        <x:f aca="0">""</x:f>
      </x:c>
      <x:c r="AR163" s="3" t="str">
        <x:f aca="0">""</x:f>
      </x:c>
      <x:c r="AS163" s="3" t="str">
        <x:f aca="0">""</x:f>
      </x:c>
      <x:c r="AT163" s="3" t="str">
        <x:f aca="0">""</x:f>
      </x:c>
      <x:c r="AU163" s="54" t="str">
        <x:f aca="0">""</x:f>
      </x:c>
      <x:c r="AV163" s="12" t="str">
        <x:f aca="0">""</x:f>
      </x:c>
      <x:c r="AW163" s="4"/>
      <x:c r="AX163" s="4"/>
      <x:c r="AY163" s="4"/>
      <x:c r="AZ163" s="56"/>
      <x:c r="BA163" s="4"/>
      <x:c r="BB163" s="11" t="str">
        <x:f aca="0">""</x:f>
      </x:c>
      <x:c r="BC163" s="11" t="str">
        <x:f aca="0">""</x:f>
      </x:c>
      <x:c r="BD163" s="11" t="str">
        <x:f aca="0">""</x:f>
      </x:c>
      <x:c r="BE163" s="19" t="str">
        <x:f aca="0">""</x:f>
      </x:c>
      <x:c r="BF163" s="19" t="str">
        <x:f aca="0">""</x:f>
      </x:c>
    </x:row>
    <x:row r="164" ht="14.25" hidden="0">
      <x:c r="A164" s="3"/>
      <x:c r="B164" s="55"/>
      <x:c r="C164" s="4"/>
      <x:c r="D164" s="4"/>
      <x:c r="E164" s="4"/>
      <x:c r="F164" s="4"/>
      <x:c r="G164" s="4"/>
      <x:c r="H164" s="56"/>
      <x:c r="I164" s="4"/>
      <x:c r="J164" s="4"/>
      <x:c r="K164" s="4"/>
      <x:c r="L164" s="7"/>
      <x:c r="M164" s="7"/>
      <x:c r="N164" s="57"/>
      <x:c r="O164" s="57"/>
      <x:c r="P164" s="57"/>
      <x:c r="Q164" s="3" t="str">
        <x:f aca="0">""</x:f>
      </x:c>
      <x:c r="R164" s="4"/>
      <x:c r="S164" s="4"/>
      <x:c r="T164" s="4"/>
      <x:c r="U164" s="56"/>
      <x:c r="V164" s="4"/>
      <x:c r="W164" s="57" t="str">
        <x:f aca="0">""</x:f>
      </x:c>
      <x:c r="X164" s="57" t="str">
        <x:f aca="0">""</x:f>
      </x:c>
      <x:c r="Y164" s="57" t="str">
        <x:f aca="0">""</x:f>
      </x:c>
      <x:c r="Z164" s="58"/>
      <x:c r="AA164" s="4"/>
      <x:c r="AB164" s="54" t="str">
        <x:f aca="0">""</x:f>
      </x:c>
      <x:c r="AC164" s="54" t="str">
        <x:f aca="0">""</x:f>
      </x:c>
      <x:c r="AD164" s="7"/>
      <x:c r="AE164" s="4"/>
      <x:c r="AF164" s="4"/>
      <x:c r="AG164" s="7"/>
      <x:c r="AH164" s="12" t="str">
        <x:f aca="0">""</x:f>
      </x:c>
      <x:c r="AI164" s="12" t="str">
        <x:f aca="0">""</x:f>
      </x:c>
      <x:c r="AJ164" s="12" t="str">
        <x:f aca="0">""</x:f>
      </x:c>
      <x:c r="AK164" s="12" t="str">
        <x:f aca="0">""</x:f>
      </x:c>
      <x:c r="AL164" s="19" t="str">
        <x:f aca="0">""</x:f>
      </x:c>
      <x:c r="AM164" s="56"/>
      <x:c r="AN164" s="4"/>
      <x:c r="AO164" s="4"/>
      <x:c r="AP164" s="3" t="str">
        <x:f aca="0">""</x:f>
      </x:c>
      <x:c r="AQ164" s="3" t="str">
        <x:f aca="0">""</x:f>
      </x:c>
      <x:c r="AR164" s="3" t="str">
        <x:f aca="0">""</x:f>
      </x:c>
      <x:c r="AS164" s="3" t="str">
        <x:f aca="0">""</x:f>
      </x:c>
      <x:c r="AT164" s="3" t="str">
        <x:f aca="0">""</x:f>
      </x:c>
      <x:c r="AU164" s="54" t="str">
        <x:f aca="0">""</x:f>
      </x:c>
      <x:c r="AV164" s="12" t="str">
        <x:f aca="0">""</x:f>
      </x:c>
      <x:c r="AW164" s="4"/>
      <x:c r="AX164" s="4"/>
      <x:c r="AY164" s="4"/>
      <x:c r="AZ164" s="56"/>
      <x:c r="BA164" s="4"/>
      <x:c r="BB164" s="11" t="str">
        <x:f aca="0">""</x:f>
      </x:c>
      <x:c r="BC164" s="11" t="str">
        <x:f aca="0">""</x:f>
      </x:c>
      <x:c r="BD164" s="11" t="str">
        <x:f aca="0">""</x:f>
      </x:c>
      <x:c r="BE164" s="19" t="str">
        <x:f aca="0">""</x:f>
      </x:c>
      <x:c r="BF164" s="19" t="str">
        <x:f aca="0">""</x:f>
      </x:c>
    </x:row>
    <x:row r="165" ht="14.25" hidden="0">
      <x:c r="A165" s="3"/>
      <x:c r="B165" s="55"/>
      <x:c r="C165" s="4"/>
      <x:c r="D165" s="4"/>
      <x:c r="E165" s="4"/>
      <x:c r="F165" s="4"/>
      <x:c r="G165" s="4"/>
      <x:c r="H165" s="56"/>
      <x:c r="I165" s="4"/>
      <x:c r="J165" s="4"/>
      <x:c r="K165" s="4"/>
      <x:c r="L165" s="7"/>
      <x:c r="M165" s="7"/>
      <x:c r="N165" s="57"/>
      <x:c r="O165" s="57"/>
      <x:c r="P165" s="57"/>
      <x:c r="Q165" s="3" t="str">
        <x:f aca="0">""</x:f>
      </x:c>
      <x:c r="R165" s="4"/>
      <x:c r="S165" s="4"/>
      <x:c r="T165" s="4"/>
      <x:c r="U165" s="56"/>
      <x:c r="V165" s="4"/>
      <x:c r="W165" s="57" t="str">
        <x:f aca="0">""</x:f>
      </x:c>
      <x:c r="X165" s="57" t="str">
        <x:f aca="0">""</x:f>
      </x:c>
      <x:c r="Y165" s="57" t="str">
        <x:f aca="0">""</x:f>
      </x:c>
      <x:c r="Z165" s="58"/>
      <x:c r="AA165" s="4"/>
      <x:c r="AB165" s="54" t="str">
        <x:f aca="0">""</x:f>
      </x:c>
      <x:c r="AC165" s="54" t="str">
        <x:f aca="0">""</x:f>
      </x:c>
      <x:c r="AD165" s="7"/>
      <x:c r="AE165" s="4"/>
      <x:c r="AF165" s="4"/>
      <x:c r="AG165" s="7"/>
      <x:c r="AH165" s="12" t="str">
        <x:f aca="0">""</x:f>
      </x:c>
      <x:c r="AI165" s="12" t="str">
        <x:f aca="0">""</x:f>
      </x:c>
      <x:c r="AJ165" s="12" t="str">
        <x:f aca="0">""</x:f>
      </x:c>
      <x:c r="AK165" s="12" t="str">
        <x:f aca="0">""</x:f>
      </x:c>
      <x:c r="AL165" s="19" t="str">
        <x:f aca="0">""</x:f>
      </x:c>
      <x:c r="AM165" s="56"/>
      <x:c r="AN165" s="4"/>
      <x:c r="AO165" s="4"/>
      <x:c r="AP165" s="3" t="str">
        <x:f aca="0">""</x:f>
      </x:c>
      <x:c r="AQ165" s="3" t="str">
        <x:f aca="0">""</x:f>
      </x:c>
      <x:c r="AR165" s="3" t="str">
        <x:f aca="0">""</x:f>
      </x:c>
      <x:c r="AS165" s="3" t="str">
        <x:f aca="0">""</x:f>
      </x:c>
      <x:c r="AT165" s="3" t="str">
        <x:f aca="0">""</x:f>
      </x:c>
      <x:c r="AU165" s="54" t="str">
        <x:f aca="0">""</x:f>
      </x:c>
      <x:c r="AV165" s="12" t="str">
        <x:f aca="0">""</x:f>
      </x:c>
      <x:c r="AW165" s="4"/>
      <x:c r="AX165" s="4"/>
      <x:c r="AY165" s="4"/>
      <x:c r="AZ165" s="56"/>
      <x:c r="BA165" s="4"/>
      <x:c r="BB165" s="11" t="str">
        <x:f aca="0">""</x:f>
      </x:c>
      <x:c r="BC165" s="11" t="str">
        <x:f aca="0">""</x:f>
      </x:c>
      <x:c r="BD165" s="11" t="str">
        <x:f aca="0">""</x:f>
      </x:c>
      <x:c r="BE165" s="19" t="str">
        <x:f aca="0">""</x:f>
      </x:c>
      <x:c r="BF165" s="19" t="str">
        <x:f aca="0">""</x:f>
      </x:c>
    </x:row>
    <x:row r="166" ht="14.25" hidden="0">
      <x:c r="A166" s="3"/>
      <x:c r="B166" s="55"/>
      <x:c r="C166" s="4"/>
      <x:c r="D166" s="4"/>
      <x:c r="E166" s="4"/>
      <x:c r="F166" s="4"/>
      <x:c r="G166" s="4"/>
      <x:c r="H166" s="56"/>
      <x:c r="I166" s="4"/>
      <x:c r="J166" s="4"/>
      <x:c r="K166" s="4"/>
      <x:c r="L166" s="7"/>
      <x:c r="M166" s="7"/>
      <x:c r="N166" s="57"/>
      <x:c r="O166" s="57"/>
      <x:c r="P166" s="57"/>
      <x:c r="Q166" s="3" t="str">
        <x:f aca="0">""</x:f>
      </x:c>
      <x:c r="R166" s="4"/>
      <x:c r="S166" s="4"/>
      <x:c r="T166" s="4"/>
      <x:c r="U166" s="56"/>
      <x:c r="V166" s="4"/>
      <x:c r="W166" s="57" t="str">
        <x:f aca="0">""</x:f>
      </x:c>
      <x:c r="X166" s="57" t="str">
        <x:f aca="0">""</x:f>
      </x:c>
      <x:c r="Y166" s="57" t="str">
        <x:f aca="0">""</x:f>
      </x:c>
      <x:c r="Z166" s="58"/>
      <x:c r="AA166" s="4"/>
      <x:c r="AB166" s="54" t="str">
        <x:f aca="0">""</x:f>
      </x:c>
      <x:c r="AC166" s="54" t="str">
        <x:f aca="0">""</x:f>
      </x:c>
      <x:c r="AD166" s="7"/>
      <x:c r="AE166" s="4"/>
      <x:c r="AF166" s="4"/>
      <x:c r="AG166" s="7"/>
      <x:c r="AH166" s="12" t="str">
        <x:f aca="0">""</x:f>
      </x:c>
      <x:c r="AI166" s="12" t="str">
        <x:f aca="0">""</x:f>
      </x:c>
      <x:c r="AJ166" s="12" t="str">
        <x:f aca="0">""</x:f>
      </x:c>
      <x:c r="AK166" s="12" t="str">
        <x:f aca="0">""</x:f>
      </x:c>
      <x:c r="AL166" s="19" t="str">
        <x:f aca="0">""</x:f>
      </x:c>
      <x:c r="AM166" s="56"/>
      <x:c r="AN166" s="4"/>
      <x:c r="AO166" s="4"/>
      <x:c r="AP166" s="3" t="str">
        <x:f aca="0">""</x:f>
      </x:c>
      <x:c r="AQ166" s="3" t="str">
        <x:f aca="0">""</x:f>
      </x:c>
      <x:c r="AR166" s="3" t="str">
        <x:f aca="0">""</x:f>
      </x:c>
      <x:c r="AS166" s="3" t="str">
        <x:f aca="0">""</x:f>
      </x:c>
      <x:c r="AT166" s="3" t="str">
        <x:f aca="0">""</x:f>
      </x:c>
      <x:c r="AU166" s="54" t="str">
        <x:f aca="0">""</x:f>
      </x:c>
      <x:c r="AV166" s="12" t="str">
        <x:f aca="0">""</x:f>
      </x:c>
      <x:c r="AW166" s="4"/>
      <x:c r="AX166" s="4"/>
      <x:c r="AY166" s="4"/>
      <x:c r="AZ166" s="56"/>
      <x:c r="BA166" s="4"/>
      <x:c r="BB166" s="11" t="str">
        <x:f aca="0">""</x:f>
      </x:c>
      <x:c r="BC166" s="11" t="str">
        <x:f aca="0">""</x:f>
      </x:c>
      <x:c r="BD166" s="11" t="str">
        <x:f aca="0">""</x:f>
      </x:c>
      <x:c r="BE166" s="19" t="str">
        <x:f aca="0">""</x:f>
      </x:c>
      <x:c r="BF166" s="19" t="str">
        <x:f aca="0">""</x:f>
      </x:c>
    </x:row>
    <x:row r="167" ht="14.25" hidden="0">
      <x:c r="A167" s="3"/>
      <x:c r="B167" s="55"/>
      <x:c r="C167" s="4"/>
      <x:c r="D167" s="4"/>
      <x:c r="E167" s="4"/>
      <x:c r="F167" s="4"/>
      <x:c r="G167" s="4"/>
      <x:c r="H167" s="56"/>
      <x:c r="I167" s="4"/>
      <x:c r="J167" s="4"/>
      <x:c r="K167" s="4"/>
      <x:c r="L167" s="7"/>
      <x:c r="M167" s="7"/>
      <x:c r="N167" s="57"/>
      <x:c r="O167" s="57"/>
      <x:c r="P167" s="57"/>
      <x:c r="Q167" s="3" t="str">
        <x:f aca="0">""</x:f>
      </x:c>
      <x:c r="R167" s="4"/>
      <x:c r="S167" s="4"/>
      <x:c r="T167" s="4"/>
      <x:c r="U167" s="56"/>
      <x:c r="V167" s="4"/>
      <x:c r="W167" s="57" t="str">
        <x:f aca="0">""</x:f>
      </x:c>
      <x:c r="X167" s="57" t="str">
        <x:f aca="0">""</x:f>
      </x:c>
      <x:c r="Y167" s="57" t="str">
        <x:f aca="0">""</x:f>
      </x:c>
      <x:c r="Z167" s="58"/>
      <x:c r="AA167" s="4"/>
      <x:c r="AB167" s="54" t="str">
        <x:f aca="0">""</x:f>
      </x:c>
      <x:c r="AC167" s="54" t="str">
        <x:f aca="0">""</x:f>
      </x:c>
      <x:c r="AD167" s="7"/>
      <x:c r="AE167" s="4"/>
      <x:c r="AF167" s="4"/>
      <x:c r="AG167" s="7"/>
      <x:c r="AH167" s="12" t="str">
        <x:f aca="0">""</x:f>
      </x:c>
      <x:c r="AI167" s="12" t="str">
        <x:f aca="0">""</x:f>
      </x:c>
      <x:c r="AJ167" s="12" t="str">
        <x:f aca="0">""</x:f>
      </x:c>
      <x:c r="AK167" s="12" t="str">
        <x:f aca="0">""</x:f>
      </x:c>
      <x:c r="AL167" s="19" t="str">
        <x:f aca="0">""</x:f>
      </x:c>
      <x:c r="AM167" s="56"/>
      <x:c r="AN167" s="4"/>
      <x:c r="AO167" s="4"/>
      <x:c r="AP167" s="3" t="str">
        <x:f aca="0">""</x:f>
      </x:c>
      <x:c r="AQ167" s="3" t="str">
        <x:f aca="0">""</x:f>
      </x:c>
      <x:c r="AR167" s="3" t="str">
        <x:f aca="0">""</x:f>
      </x:c>
      <x:c r="AS167" s="3" t="str">
        <x:f aca="0">""</x:f>
      </x:c>
      <x:c r="AT167" s="3" t="str">
        <x:f aca="0">""</x:f>
      </x:c>
      <x:c r="AU167" s="54" t="str">
        <x:f aca="0">""</x:f>
      </x:c>
      <x:c r="AV167" s="12" t="str">
        <x:f aca="0">""</x:f>
      </x:c>
      <x:c r="AW167" s="4"/>
      <x:c r="AX167" s="4"/>
      <x:c r="AY167" s="4"/>
      <x:c r="AZ167" s="56"/>
      <x:c r="BA167" s="4"/>
      <x:c r="BB167" s="11" t="str">
        <x:f aca="0">""</x:f>
      </x:c>
      <x:c r="BC167" s="11" t="str">
        <x:f aca="0">""</x:f>
      </x:c>
      <x:c r="BD167" s="11" t="str">
        <x:f aca="0">""</x:f>
      </x:c>
      <x:c r="BE167" s="19" t="str">
        <x:f aca="0">""</x:f>
      </x:c>
      <x:c r="BF167" s="19" t="str">
        <x:f aca="0">""</x:f>
      </x:c>
    </x:row>
    <x:row r="168" ht="14.25" hidden="0">
      <x:c r="A168" s="3"/>
      <x:c r="B168" s="55"/>
      <x:c r="C168" s="4"/>
      <x:c r="D168" s="4"/>
      <x:c r="E168" s="4"/>
      <x:c r="F168" s="4"/>
      <x:c r="G168" s="4"/>
      <x:c r="H168" s="56"/>
      <x:c r="I168" s="4"/>
      <x:c r="J168" s="4"/>
      <x:c r="K168" s="4"/>
      <x:c r="L168" s="7"/>
      <x:c r="M168" s="7"/>
      <x:c r="N168" s="57"/>
      <x:c r="O168" s="57"/>
      <x:c r="P168" s="57"/>
      <x:c r="Q168" s="3" t="str">
        <x:f aca="0">""</x:f>
      </x:c>
      <x:c r="R168" s="4"/>
      <x:c r="S168" s="4"/>
      <x:c r="T168" s="4"/>
      <x:c r="U168" s="56"/>
      <x:c r="V168" s="4"/>
      <x:c r="W168" s="57" t="str">
        <x:f aca="0">""</x:f>
      </x:c>
      <x:c r="X168" s="57" t="str">
        <x:f aca="0">""</x:f>
      </x:c>
      <x:c r="Y168" s="57" t="str">
        <x:f aca="0">""</x:f>
      </x:c>
      <x:c r="Z168" s="58"/>
      <x:c r="AA168" s="4"/>
      <x:c r="AB168" s="54" t="str">
        <x:f aca="0">""</x:f>
      </x:c>
      <x:c r="AC168" s="54" t="str">
        <x:f aca="0">""</x:f>
      </x:c>
      <x:c r="AD168" s="7"/>
      <x:c r="AE168" s="4"/>
      <x:c r="AF168" s="4"/>
      <x:c r="AG168" s="7"/>
      <x:c r="AH168" s="12" t="str">
        <x:f aca="0">""</x:f>
      </x:c>
      <x:c r="AI168" s="12" t="str">
        <x:f aca="0">""</x:f>
      </x:c>
      <x:c r="AJ168" s="12" t="str">
        <x:f aca="0">""</x:f>
      </x:c>
      <x:c r="AK168" s="12" t="str">
        <x:f aca="0">""</x:f>
      </x:c>
      <x:c r="AL168" s="19" t="str">
        <x:f aca="0">""</x:f>
      </x:c>
      <x:c r="AM168" s="56"/>
      <x:c r="AN168" s="4"/>
      <x:c r="AO168" s="4"/>
      <x:c r="AP168" s="3" t="str">
        <x:f aca="0">""</x:f>
      </x:c>
      <x:c r="AQ168" s="3" t="str">
        <x:f aca="0">""</x:f>
      </x:c>
      <x:c r="AR168" s="3" t="str">
        <x:f aca="0">""</x:f>
      </x:c>
      <x:c r="AS168" s="3" t="str">
        <x:f aca="0">""</x:f>
      </x:c>
      <x:c r="AT168" s="3" t="str">
        <x:f aca="0">""</x:f>
      </x:c>
      <x:c r="AU168" s="54" t="str">
        <x:f aca="0">""</x:f>
      </x:c>
      <x:c r="AV168" s="12" t="str">
        <x:f aca="0">""</x:f>
      </x:c>
      <x:c r="AW168" s="4"/>
      <x:c r="AX168" s="4"/>
      <x:c r="AY168" s="4"/>
      <x:c r="AZ168" s="56"/>
      <x:c r="BA168" s="4"/>
      <x:c r="BB168" s="11" t="str">
        <x:f aca="0">""</x:f>
      </x:c>
      <x:c r="BC168" s="11" t="str">
        <x:f aca="0">""</x:f>
      </x:c>
      <x:c r="BD168" s="11" t="str">
        <x:f aca="0">""</x:f>
      </x:c>
      <x:c r="BE168" s="19" t="str">
        <x:f aca="0">""</x:f>
      </x:c>
      <x:c r="BF168" s="19" t="str">
        <x:f aca="0">""</x:f>
      </x:c>
    </x:row>
    <x:row r="169" ht="14.25" hidden="0">
      <x:c r="A169" s="3"/>
      <x:c r="B169" s="55"/>
      <x:c r="C169" s="4"/>
      <x:c r="D169" s="4"/>
      <x:c r="E169" s="4"/>
      <x:c r="F169" s="4"/>
      <x:c r="G169" s="4"/>
      <x:c r="H169" s="56"/>
      <x:c r="I169" s="4"/>
      <x:c r="J169" s="4"/>
      <x:c r="K169" s="4"/>
      <x:c r="L169" s="7"/>
      <x:c r="M169" s="7"/>
      <x:c r="N169" s="57"/>
      <x:c r="O169" s="57"/>
      <x:c r="P169" s="57"/>
      <x:c r="Q169" s="3" t="str">
        <x:f aca="0">""</x:f>
      </x:c>
      <x:c r="R169" s="4"/>
      <x:c r="S169" s="4"/>
      <x:c r="T169" s="4"/>
      <x:c r="U169" s="56"/>
      <x:c r="V169" s="4"/>
      <x:c r="W169" s="57" t="str">
        <x:f aca="0">""</x:f>
      </x:c>
      <x:c r="X169" s="57" t="str">
        <x:f aca="0">""</x:f>
      </x:c>
      <x:c r="Y169" s="57" t="str">
        <x:f aca="0">""</x:f>
      </x:c>
      <x:c r="Z169" s="58"/>
      <x:c r="AA169" s="4"/>
      <x:c r="AB169" s="54" t="str">
        <x:f aca="0">""</x:f>
      </x:c>
      <x:c r="AC169" s="54" t="str">
        <x:f aca="0">""</x:f>
      </x:c>
      <x:c r="AD169" s="7"/>
      <x:c r="AE169" s="4"/>
      <x:c r="AF169" s="4"/>
      <x:c r="AG169" s="7"/>
      <x:c r="AH169" s="12" t="str">
        <x:f aca="0">""</x:f>
      </x:c>
      <x:c r="AI169" s="12" t="str">
        <x:f aca="0">""</x:f>
      </x:c>
      <x:c r="AJ169" s="12" t="str">
        <x:f aca="0">""</x:f>
      </x:c>
      <x:c r="AK169" s="12" t="str">
        <x:f aca="0">""</x:f>
      </x:c>
      <x:c r="AL169" s="19" t="str">
        <x:f aca="0">""</x:f>
      </x:c>
      <x:c r="AM169" s="56"/>
      <x:c r="AN169" s="4"/>
      <x:c r="AO169" s="4"/>
      <x:c r="AP169" s="3" t="str">
        <x:f aca="0">""</x:f>
      </x:c>
      <x:c r="AQ169" s="3" t="str">
        <x:f aca="0">""</x:f>
      </x:c>
      <x:c r="AR169" s="3" t="str">
        <x:f aca="0">""</x:f>
      </x:c>
      <x:c r="AS169" s="3" t="str">
        <x:f aca="0">""</x:f>
      </x:c>
      <x:c r="AT169" s="3" t="str">
        <x:f aca="0">""</x:f>
      </x:c>
      <x:c r="AU169" s="54" t="str">
        <x:f aca="0">""</x:f>
      </x:c>
      <x:c r="AV169" s="12" t="str">
        <x:f aca="0">""</x:f>
      </x:c>
      <x:c r="AW169" s="4"/>
      <x:c r="AX169" s="4"/>
      <x:c r="AY169" s="4"/>
      <x:c r="AZ169" s="56"/>
      <x:c r="BA169" s="4"/>
      <x:c r="BB169" s="11" t="str">
        <x:f aca="0">""</x:f>
      </x:c>
      <x:c r="BC169" s="11" t="str">
        <x:f aca="0">""</x:f>
      </x:c>
      <x:c r="BD169" s="11" t="str">
        <x:f aca="0">""</x:f>
      </x:c>
      <x:c r="BE169" s="19" t="str">
        <x:f aca="0">""</x:f>
      </x:c>
      <x:c r="BF169" s="19" t="str">
        <x:f aca="0">""</x:f>
      </x:c>
    </x:row>
    <x:row r="170" ht="14.25" hidden="0">
      <x:c r="A170" s="3"/>
      <x:c r="B170" s="55"/>
      <x:c r="C170" s="4"/>
      <x:c r="D170" s="4"/>
      <x:c r="E170" s="4"/>
      <x:c r="F170" s="4"/>
      <x:c r="G170" s="4"/>
      <x:c r="H170" s="56"/>
      <x:c r="I170" s="4"/>
      <x:c r="J170" s="4"/>
      <x:c r="K170" s="4"/>
      <x:c r="L170" s="7"/>
      <x:c r="M170" s="7"/>
      <x:c r="N170" s="57"/>
      <x:c r="O170" s="57"/>
      <x:c r="P170" s="57"/>
      <x:c r="Q170" s="3" t="str">
        <x:f aca="0">""</x:f>
      </x:c>
      <x:c r="R170" s="4"/>
      <x:c r="S170" s="4"/>
      <x:c r="T170" s="4"/>
      <x:c r="U170" s="56"/>
      <x:c r="V170" s="4"/>
      <x:c r="W170" s="57" t="str">
        <x:f aca="0">""</x:f>
      </x:c>
      <x:c r="X170" s="57" t="str">
        <x:f aca="0">""</x:f>
      </x:c>
      <x:c r="Y170" s="57" t="str">
        <x:f aca="0">""</x:f>
      </x:c>
      <x:c r="Z170" s="58"/>
      <x:c r="AA170" s="4"/>
      <x:c r="AB170" s="54" t="str">
        <x:f aca="0">""</x:f>
      </x:c>
      <x:c r="AC170" s="54" t="str">
        <x:f aca="0">""</x:f>
      </x:c>
      <x:c r="AD170" s="7"/>
      <x:c r="AE170" s="4"/>
      <x:c r="AF170" s="4"/>
      <x:c r="AG170" s="7"/>
      <x:c r="AH170" s="12" t="str">
        <x:f aca="0">""</x:f>
      </x:c>
      <x:c r="AI170" s="12" t="str">
        <x:f aca="0">""</x:f>
      </x:c>
      <x:c r="AJ170" s="12" t="str">
        <x:f aca="0">""</x:f>
      </x:c>
      <x:c r="AK170" s="12" t="str">
        <x:f aca="0">""</x:f>
      </x:c>
      <x:c r="AL170" s="19" t="str">
        <x:f aca="0">""</x:f>
      </x:c>
      <x:c r="AM170" s="56"/>
      <x:c r="AN170" s="4"/>
      <x:c r="AO170" s="4"/>
      <x:c r="AP170" s="3" t="str">
        <x:f aca="0">""</x:f>
      </x:c>
      <x:c r="AQ170" s="3" t="str">
        <x:f aca="0">""</x:f>
      </x:c>
      <x:c r="AR170" s="3" t="str">
        <x:f aca="0">""</x:f>
      </x:c>
      <x:c r="AS170" s="3" t="str">
        <x:f aca="0">""</x:f>
      </x:c>
      <x:c r="AT170" s="3" t="str">
        <x:f aca="0">""</x:f>
      </x:c>
      <x:c r="AU170" s="54" t="str">
        <x:f aca="0">""</x:f>
      </x:c>
      <x:c r="AV170" s="12" t="str">
        <x:f aca="0">""</x:f>
      </x:c>
      <x:c r="AW170" s="4"/>
      <x:c r="AX170" s="4"/>
      <x:c r="AY170" s="4"/>
      <x:c r="AZ170" s="56"/>
      <x:c r="BA170" s="4"/>
      <x:c r="BB170" s="11" t="str">
        <x:f aca="0">""</x:f>
      </x:c>
      <x:c r="BC170" s="11" t="str">
        <x:f aca="0">""</x:f>
      </x:c>
      <x:c r="BD170" s="11" t="str">
        <x:f aca="0">""</x:f>
      </x:c>
      <x:c r="BE170" s="19" t="str">
        <x:f aca="0">""</x:f>
      </x:c>
      <x:c r="BF170" s="19" t="str">
        <x:f aca="0">""</x:f>
      </x:c>
    </x:row>
    <x:row r="171" ht="14.25" hidden="0">
      <x:c r="A171" s="3"/>
      <x:c r="B171" s="55"/>
      <x:c r="C171" s="4"/>
      <x:c r="D171" s="4"/>
      <x:c r="E171" s="4"/>
      <x:c r="F171" s="4"/>
      <x:c r="G171" s="4"/>
      <x:c r="H171" s="56"/>
      <x:c r="I171" s="4"/>
      <x:c r="J171" s="4"/>
      <x:c r="K171" s="4"/>
      <x:c r="L171" s="7"/>
      <x:c r="M171" s="7"/>
      <x:c r="N171" s="57"/>
      <x:c r="O171" s="57"/>
      <x:c r="P171" s="57"/>
      <x:c r="Q171" s="3" t="str">
        <x:f aca="0">""</x:f>
      </x:c>
      <x:c r="R171" s="4"/>
      <x:c r="S171" s="4"/>
      <x:c r="T171" s="4"/>
      <x:c r="U171" s="56"/>
      <x:c r="V171" s="4"/>
      <x:c r="W171" s="57" t="str">
        <x:f aca="0">""</x:f>
      </x:c>
      <x:c r="X171" s="57" t="str">
        <x:f aca="0">""</x:f>
      </x:c>
      <x:c r="Y171" s="57" t="str">
        <x:f aca="0">""</x:f>
      </x:c>
      <x:c r="Z171" s="58"/>
      <x:c r="AA171" s="4"/>
      <x:c r="AB171" s="54" t="str">
        <x:f aca="0">""</x:f>
      </x:c>
      <x:c r="AC171" s="54" t="str">
        <x:f aca="0">""</x:f>
      </x:c>
      <x:c r="AD171" s="7"/>
      <x:c r="AE171" s="4"/>
      <x:c r="AF171" s="4"/>
      <x:c r="AG171" s="7"/>
      <x:c r="AH171" s="12" t="str">
        <x:f aca="0">""</x:f>
      </x:c>
      <x:c r="AI171" s="12" t="str">
        <x:f aca="0">""</x:f>
      </x:c>
      <x:c r="AJ171" s="12" t="str">
        <x:f aca="0">""</x:f>
      </x:c>
      <x:c r="AK171" s="12" t="str">
        <x:f aca="0">""</x:f>
      </x:c>
      <x:c r="AL171" s="19" t="str">
        <x:f aca="0">""</x:f>
      </x:c>
      <x:c r="AM171" s="56"/>
      <x:c r="AN171" s="4"/>
      <x:c r="AO171" s="4"/>
      <x:c r="AP171" s="3" t="str">
        <x:f aca="0">""</x:f>
      </x:c>
      <x:c r="AQ171" s="3" t="str">
        <x:f aca="0">""</x:f>
      </x:c>
      <x:c r="AR171" s="3" t="str">
        <x:f aca="0">""</x:f>
      </x:c>
      <x:c r="AS171" s="3" t="str">
        <x:f aca="0">""</x:f>
      </x:c>
      <x:c r="AT171" s="3" t="str">
        <x:f aca="0">""</x:f>
      </x:c>
      <x:c r="AU171" s="54" t="str">
        <x:f aca="0">""</x:f>
      </x:c>
      <x:c r="AV171" s="12" t="str">
        <x:f aca="0">""</x:f>
      </x:c>
      <x:c r="AW171" s="4"/>
      <x:c r="AX171" s="4"/>
      <x:c r="AY171" s="4"/>
      <x:c r="AZ171" s="56"/>
      <x:c r="BA171" s="4"/>
      <x:c r="BB171" s="11" t="str">
        <x:f aca="0">""</x:f>
      </x:c>
      <x:c r="BC171" s="11" t="str">
        <x:f aca="0">""</x:f>
      </x:c>
      <x:c r="BD171" s="11" t="str">
        <x:f aca="0">""</x:f>
      </x:c>
      <x:c r="BE171" s="19" t="str">
        <x:f aca="0">""</x:f>
      </x:c>
      <x:c r="BF171" s="19" t="str">
        <x:f aca="0">""</x:f>
      </x:c>
    </x:row>
    <x:row r="172" ht="14.25" hidden="0">
      <x:c r="A172" s="3"/>
      <x:c r="B172" s="55"/>
      <x:c r="C172" s="4"/>
      <x:c r="D172" s="4"/>
      <x:c r="E172" s="4"/>
      <x:c r="F172" s="4"/>
      <x:c r="G172" s="4"/>
      <x:c r="H172" s="56"/>
      <x:c r="I172" s="4"/>
      <x:c r="J172" s="4"/>
      <x:c r="K172" s="4"/>
      <x:c r="L172" s="7"/>
      <x:c r="M172" s="7"/>
      <x:c r="N172" s="57"/>
      <x:c r="O172" s="57"/>
      <x:c r="P172" s="57"/>
      <x:c r="Q172" s="3" t="str">
        <x:f aca="0">""</x:f>
      </x:c>
      <x:c r="R172" s="4"/>
      <x:c r="S172" s="4"/>
      <x:c r="T172" s="4"/>
      <x:c r="U172" s="56"/>
      <x:c r="V172" s="4"/>
      <x:c r="W172" s="57" t="str">
        <x:f aca="0">""</x:f>
      </x:c>
      <x:c r="X172" s="57" t="str">
        <x:f aca="0">""</x:f>
      </x:c>
      <x:c r="Y172" s="57" t="str">
        <x:f aca="0">""</x:f>
      </x:c>
      <x:c r="Z172" s="58"/>
      <x:c r="AA172" s="4"/>
      <x:c r="AB172" s="54" t="str">
        <x:f aca="0">""</x:f>
      </x:c>
      <x:c r="AC172" s="54" t="str">
        <x:f aca="0">""</x:f>
      </x:c>
      <x:c r="AD172" s="7"/>
      <x:c r="AE172" s="4"/>
      <x:c r="AF172" s="4"/>
      <x:c r="AG172" s="7"/>
      <x:c r="AH172" s="12" t="str">
        <x:f aca="0">""</x:f>
      </x:c>
      <x:c r="AI172" s="12" t="str">
        <x:f aca="0">""</x:f>
      </x:c>
      <x:c r="AJ172" s="12" t="str">
        <x:f aca="0">""</x:f>
      </x:c>
      <x:c r="AK172" s="12" t="str">
        <x:f aca="0">""</x:f>
      </x:c>
      <x:c r="AL172" s="19" t="str">
        <x:f aca="0">""</x:f>
      </x:c>
      <x:c r="AM172" s="56"/>
      <x:c r="AN172" s="4"/>
      <x:c r="AO172" s="4"/>
      <x:c r="AP172" s="3" t="str">
        <x:f aca="0">""</x:f>
      </x:c>
      <x:c r="AQ172" s="3" t="str">
        <x:f aca="0">""</x:f>
      </x:c>
      <x:c r="AR172" s="3" t="str">
        <x:f aca="0">""</x:f>
      </x:c>
      <x:c r="AS172" s="3" t="str">
        <x:f aca="0">""</x:f>
      </x:c>
      <x:c r="AT172" s="3" t="str">
        <x:f aca="0">""</x:f>
      </x:c>
      <x:c r="AU172" s="54" t="str">
        <x:f aca="0">""</x:f>
      </x:c>
      <x:c r="AV172" s="12" t="str">
        <x:f aca="0">""</x:f>
      </x:c>
      <x:c r="AW172" s="4"/>
      <x:c r="AX172" s="4"/>
      <x:c r="AY172" s="4"/>
      <x:c r="AZ172" s="56"/>
      <x:c r="BA172" s="4"/>
      <x:c r="BB172" s="11" t="str">
        <x:f aca="0">""</x:f>
      </x:c>
      <x:c r="BC172" s="11" t="str">
        <x:f aca="0">""</x:f>
      </x:c>
      <x:c r="BD172" s="11" t="str">
        <x:f aca="0">""</x:f>
      </x:c>
      <x:c r="BE172" s="19" t="str">
        <x:f aca="0">""</x:f>
      </x:c>
      <x:c r="BF172" s="19" t="str">
        <x:f aca="0">""</x:f>
      </x:c>
    </x:row>
    <x:row r="173" ht="14.25" hidden="0">
      <x:c r="A173" s="3"/>
      <x:c r="B173" s="55"/>
      <x:c r="C173" s="4"/>
      <x:c r="D173" s="4"/>
      <x:c r="E173" s="4"/>
      <x:c r="F173" s="4"/>
      <x:c r="G173" s="4"/>
      <x:c r="H173" s="56"/>
      <x:c r="I173" s="4"/>
      <x:c r="J173" s="4"/>
      <x:c r="K173" s="4"/>
      <x:c r="L173" s="7"/>
      <x:c r="M173" s="7"/>
      <x:c r="N173" s="57"/>
      <x:c r="O173" s="57"/>
      <x:c r="P173" s="57"/>
      <x:c r="Q173" s="3" t="str">
        <x:f aca="0">""</x:f>
      </x:c>
      <x:c r="R173" s="4"/>
      <x:c r="S173" s="4"/>
      <x:c r="T173" s="4"/>
      <x:c r="U173" s="56"/>
      <x:c r="V173" s="4"/>
      <x:c r="W173" s="57" t="str">
        <x:f aca="0">""</x:f>
      </x:c>
      <x:c r="X173" s="57" t="str">
        <x:f aca="0">""</x:f>
      </x:c>
      <x:c r="Y173" s="57" t="str">
        <x:f aca="0">""</x:f>
      </x:c>
      <x:c r="Z173" s="58"/>
      <x:c r="AA173" s="4"/>
      <x:c r="AB173" s="54" t="str">
        <x:f aca="0">""</x:f>
      </x:c>
      <x:c r="AC173" s="54" t="str">
        <x:f aca="0">""</x:f>
      </x:c>
      <x:c r="AD173" s="7"/>
      <x:c r="AE173" s="4"/>
      <x:c r="AF173" s="4"/>
      <x:c r="AG173" s="7"/>
      <x:c r="AH173" s="12" t="str">
        <x:f aca="0">""</x:f>
      </x:c>
      <x:c r="AI173" s="12" t="str">
        <x:f aca="0">""</x:f>
      </x:c>
      <x:c r="AJ173" s="12" t="str">
        <x:f aca="0">""</x:f>
      </x:c>
      <x:c r="AK173" s="12" t="str">
        <x:f aca="0">""</x:f>
      </x:c>
      <x:c r="AL173" s="19" t="str">
        <x:f aca="0">""</x:f>
      </x:c>
      <x:c r="AM173" s="56"/>
      <x:c r="AN173" s="4"/>
      <x:c r="AO173" s="4"/>
      <x:c r="AP173" s="3" t="str">
        <x:f aca="0">""</x:f>
      </x:c>
      <x:c r="AQ173" s="3" t="str">
        <x:f aca="0">""</x:f>
      </x:c>
      <x:c r="AR173" s="3" t="str">
        <x:f aca="0">""</x:f>
      </x:c>
      <x:c r="AS173" s="3" t="str">
        <x:f aca="0">""</x:f>
      </x:c>
      <x:c r="AT173" s="3" t="str">
        <x:f aca="0">""</x:f>
      </x:c>
      <x:c r="AU173" s="54" t="str">
        <x:f aca="0">""</x:f>
      </x:c>
      <x:c r="AV173" s="12" t="str">
        <x:f aca="0">""</x:f>
      </x:c>
      <x:c r="AW173" s="4"/>
      <x:c r="AX173" s="4"/>
      <x:c r="AY173" s="4"/>
      <x:c r="AZ173" s="56"/>
      <x:c r="BA173" s="4"/>
      <x:c r="BB173" s="11" t="str">
        <x:f aca="0">""</x:f>
      </x:c>
      <x:c r="BC173" s="11" t="str">
        <x:f aca="0">""</x:f>
      </x:c>
      <x:c r="BD173" s="11" t="str">
        <x:f aca="0">""</x:f>
      </x:c>
      <x:c r="BE173" s="19" t="str">
        <x:f aca="0">""</x:f>
      </x:c>
      <x:c r="BF173" s="19" t="str">
        <x:f aca="0">""</x:f>
      </x:c>
    </x:row>
    <x:row r="174" ht="14.25" hidden="0">
      <x:c r="A174" s="3"/>
      <x:c r="B174" s="55"/>
      <x:c r="C174" s="4"/>
      <x:c r="D174" s="4"/>
      <x:c r="E174" s="4"/>
      <x:c r="F174" s="4"/>
      <x:c r="G174" s="4"/>
      <x:c r="H174" s="56"/>
      <x:c r="I174" s="4"/>
      <x:c r="J174" s="4"/>
      <x:c r="K174" s="4"/>
      <x:c r="L174" s="7"/>
      <x:c r="M174" s="7"/>
      <x:c r="N174" s="57"/>
      <x:c r="O174" s="57"/>
      <x:c r="P174" s="57"/>
      <x:c r="Q174" s="3" t="str">
        <x:f aca="0">""</x:f>
      </x:c>
      <x:c r="R174" s="4"/>
      <x:c r="S174" s="4"/>
      <x:c r="T174" s="4"/>
      <x:c r="U174" s="56"/>
      <x:c r="V174" s="4"/>
      <x:c r="W174" s="57" t="str">
        <x:f aca="0">""</x:f>
      </x:c>
      <x:c r="X174" s="57" t="str">
        <x:f aca="0">""</x:f>
      </x:c>
      <x:c r="Y174" s="57" t="str">
        <x:f aca="0">""</x:f>
      </x:c>
      <x:c r="Z174" s="58"/>
      <x:c r="AA174" s="4"/>
      <x:c r="AB174" s="54" t="str">
        <x:f aca="0">""</x:f>
      </x:c>
      <x:c r="AC174" s="54" t="str">
        <x:f aca="0">""</x:f>
      </x:c>
      <x:c r="AD174" s="7"/>
      <x:c r="AE174" s="4"/>
      <x:c r="AF174" s="4"/>
      <x:c r="AG174" s="7"/>
      <x:c r="AH174" s="12" t="str">
        <x:f aca="0">""</x:f>
      </x:c>
      <x:c r="AI174" s="12" t="str">
        <x:f aca="0">""</x:f>
      </x:c>
      <x:c r="AJ174" s="12" t="str">
        <x:f aca="0">""</x:f>
      </x:c>
      <x:c r="AK174" s="12" t="str">
        <x:f aca="0">""</x:f>
      </x:c>
      <x:c r="AL174" s="19" t="str">
        <x:f aca="0">""</x:f>
      </x:c>
      <x:c r="AM174" s="56"/>
      <x:c r="AN174" s="4"/>
      <x:c r="AO174" s="4"/>
      <x:c r="AP174" s="3" t="str">
        <x:f aca="0">""</x:f>
      </x:c>
      <x:c r="AQ174" s="3" t="str">
        <x:f aca="0">""</x:f>
      </x:c>
      <x:c r="AR174" s="3" t="str">
        <x:f aca="0">""</x:f>
      </x:c>
      <x:c r="AS174" s="3" t="str">
        <x:f aca="0">""</x:f>
      </x:c>
      <x:c r="AT174" s="3" t="str">
        <x:f aca="0">""</x:f>
      </x:c>
      <x:c r="AU174" s="54" t="str">
        <x:f aca="0">""</x:f>
      </x:c>
      <x:c r="AV174" s="12" t="str">
        <x:f aca="0">""</x:f>
      </x:c>
      <x:c r="AW174" s="4"/>
      <x:c r="AX174" s="4"/>
      <x:c r="AY174" s="4"/>
      <x:c r="AZ174" s="56"/>
      <x:c r="BA174" s="4"/>
      <x:c r="BB174" s="11" t="str">
        <x:f aca="0">""</x:f>
      </x:c>
      <x:c r="BC174" s="11" t="str">
        <x:f aca="0">""</x:f>
      </x:c>
      <x:c r="BD174" s="11" t="str">
        <x:f aca="0">""</x:f>
      </x:c>
      <x:c r="BE174" s="19" t="str">
        <x:f aca="0">""</x:f>
      </x:c>
      <x:c r="BF174" s="19" t="str">
        <x:f aca="0">""</x:f>
      </x:c>
    </x:row>
    <x:row r="175" ht="14.25" hidden="0">
      <x:c r="A175" s="3"/>
      <x:c r="B175" s="55"/>
      <x:c r="C175" s="4"/>
      <x:c r="D175" s="4"/>
      <x:c r="E175" s="4"/>
      <x:c r="F175" s="4"/>
      <x:c r="G175" s="4"/>
      <x:c r="H175" s="56"/>
      <x:c r="I175" s="4"/>
      <x:c r="J175" s="4"/>
      <x:c r="K175" s="4"/>
      <x:c r="L175" s="7"/>
      <x:c r="M175" s="7"/>
      <x:c r="N175" s="57"/>
      <x:c r="O175" s="57"/>
      <x:c r="P175" s="57"/>
      <x:c r="Q175" s="3" t="str">
        <x:f aca="0">""</x:f>
      </x:c>
      <x:c r="R175" s="4"/>
      <x:c r="S175" s="4"/>
      <x:c r="T175" s="4"/>
      <x:c r="U175" s="56"/>
      <x:c r="V175" s="4"/>
      <x:c r="W175" s="57" t="str">
        <x:f aca="0">""</x:f>
      </x:c>
      <x:c r="X175" s="57" t="str">
        <x:f aca="0">""</x:f>
      </x:c>
      <x:c r="Y175" s="57" t="str">
        <x:f aca="0">""</x:f>
      </x:c>
      <x:c r="Z175" s="58"/>
      <x:c r="AA175" s="4"/>
      <x:c r="AB175" s="54" t="str">
        <x:f aca="0">""</x:f>
      </x:c>
      <x:c r="AC175" s="54" t="str">
        <x:f aca="0">""</x:f>
      </x:c>
      <x:c r="AD175" s="7"/>
      <x:c r="AE175" s="4"/>
      <x:c r="AF175" s="4"/>
      <x:c r="AG175" s="7"/>
      <x:c r="AH175" s="12" t="str">
        <x:f aca="0">""</x:f>
      </x:c>
      <x:c r="AI175" s="12" t="str">
        <x:f aca="0">""</x:f>
      </x:c>
      <x:c r="AJ175" s="12" t="str">
        <x:f aca="0">""</x:f>
      </x:c>
      <x:c r="AK175" s="12" t="str">
        <x:f aca="0">""</x:f>
      </x:c>
      <x:c r="AL175" s="19" t="str">
        <x:f aca="0">""</x:f>
      </x:c>
      <x:c r="AM175" s="56"/>
      <x:c r="AN175" s="4"/>
      <x:c r="AO175" s="4"/>
      <x:c r="AP175" s="3" t="str">
        <x:f aca="0">""</x:f>
      </x:c>
      <x:c r="AQ175" s="3" t="str">
        <x:f aca="0">""</x:f>
      </x:c>
      <x:c r="AR175" s="3" t="str">
        <x:f aca="0">""</x:f>
      </x:c>
      <x:c r="AS175" s="3" t="str">
        <x:f aca="0">""</x:f>
      </x:c>
      <x:c r="AT175" s="3" t="str">
        <x:f aca="0">""</x:f>
      </x:c>
      <x:c r="AU175" s="54" t="str">
        <x:f aca="0">""</x:f>
      </x:c>
      <x:c r="AV175" s="12" t="str">
        <x:f aca="0">""</x:f>
      </x:c>
      <x:c r="AW175" s="4"/>
      <x:c r="AX175" s="4"/>
      <x:c r="AY175" s="4"/>
      <x:c r="AZ175" s="56"/>
      <x:c r="BA175" s="4"/>
      <x:c r="BB175" s="11" t="str">
        <x:f aca="0">""</x:f>
      </x:c>
      <x:c r="BC175" s="11" t="str">
        <x:f aca="0">""</x:f>
      </x:c>
      <x:c r="BD175" s="11" t="str">
        <x:f aca="0">""</x:f>
      </x:c>
      <x:c r="BE175" s="19" t="str">
        <x:f aca="0">""</x:f>
      </x:c>
      <x:c r="BF175" s="19" t="str">
        <x:f aca="0">""</x:f>
      </x:c>
    </x:row>
    <x:row r="176" ht="14.25" hidden="0">
      <x:c r="A176" s="3"/>
      <x:c r="B176" s="55"/>
      <x:c r="C176" s="4"/>
      <x:c r="D176" s="4"/>
      <x:c r="E176" s="4"/>
      <x:c r="F176" s="4"/>
      <x:c r="G176" s="4"/>
      <x:c r="H176" s="56"/>
      <x:c r="I176" s="4"/>
      <x:c r="J176" s="4"/>
      <x:c r="K176" s="4"/>
      <x:c r="L176" s="7"/>
      <x:c r="M176" s="7"/>
      <x:c r="N176" s="57"/>
      <x:c r="O176" s="57"/>
      <x:c r="P176" s="57"/>
      <x:c r="Q176" s="3" t="str">
        <x:f aca="0">""</x:f>
      </x:c>
      <x:c r="R176" s="4"/>
      <x:c r="S176" s="4"/>
      <x:c r="T176" s="4"/>
      <x:c r="U176" s="56"/>
      <x:c r="V176" s="4"/>
      <x:c r="W176" s="57" t="str">
        <x:f aca="0">""</x:f>
      </x:c>
      <x:c r="X176" s="57" t="str">
        <x:f aca="0">""</x:f>
      </x:c>
      <x:c r="Y176" s="57" t="str">
        <x:f aca="0">""</x:f>
      </x:c>
      <x:c r="Z176" s="58"/>
      <x:c r="AA176" s="4"/>
      <x:c r="AB176" s="54" t="str">
        <x:f aca="0">""</x:f>
      </x:c>
      <x:c r="AC176" s="54" t="str">
        <x:f aca="0">""</x:f>
      </x:c>
      <x:c r="AD176" s="7"/>
      <x:c r="AE176" s="4"/>
      <x:c r="AF176" s="4"/>
      <x:c r="AG176" s="7"/>
      <x:c r="AH176" s="12" t="str">
        <x:f aca="0">""</x:f>
      </x:c>
      <x:c r="AI176" s="12" t="str">
        <x:f aca="0">""</x:f>
      </x:c>
      <x:c r="AJ176" s="12" t="str">
        <x:f aca="0">""</x:f>
      </x:c>
      <x:c r="AK176" s="12" t="str">
        <x:f aca="0">""</x:f>
      </x:c>
      <x:c r="AL176" s="19" t="str">
        <x:f aca="0">""</x:f>
      </x:c>
      <x:c r="AM176" s="56"/>
      <x:c r="AN176" s="4"/>
      <x:c r="AO176" s="4"/>
      <x:c r="AP176" s="3" t="str">
        <x:f aca="0">""</x:f>
      </x:c>
      <x:c r="AQ176" s="3" t="str">
        <x:f aca="0">""</x:f>
      </x:c>
      <x:c r="AR176" s="3" t="str">
        <x:f aca="0">""</x:f>
      </x:c>
      <x:c r="AS176" s="3" t="str">
        <x:f aca="0">""</x:f>
      </x:c>
      <x:c r="AT176" s="3" t="str">
        <x:f aca="0">""</x:f>
      </x:c>
      <x:c r="AU176" s="54" t="str">
        <x:f aca="0">""</x:f>
      </x:c>
      <x:c r="AV176" s="12" t="str">
        <x:f aca="0">""</x:f>
      </x:c>
      <x:c r="AW176" s="4"/>
      <x:c r="AX176" s="4"/>
      <x:c r="AY176" s="4"/>
      <x:c r="AZ176" s="56"/>
      <x:c r="BA176" s="4"/>
      <x:c r="BB176" s="11" t="str">
        <x:f aca="0">""</x:f>
      </x:c>
      <x:c r="BC176" s="11" t="str">
        <x:f aca="0">""</x:f>
      </x:c>
      <x:c r="BD176" s="11" t="str">
        <x:f aca="0">""</x:f>
      </x:c>
      <x:c r="BE176" s="19" t="str">
        <x:f aca="0">""</x:f>
      </x:c>
      <x:c r="BF176" s="19" t="str">
        <x:f aca="0">""</x:f>
      </x:c>
    </x:row>
    <x:row r="177" ht="14.25" hidden="0">
      <x:c r="A177" s="3"/>
      <x:c r="B177" s="55"/>
      <x:c r="C177" s="4"/>
      <x:c r="D177" s="4"/>
      <x:c r="E177" s="4"/>
      <x:c r="F177" s="4"/>
      <x:c r="G177" s="4"/>
      <x:c r="H177" s="56"/>
      <x:c r="I177" s="4"/>
      <x:c r="J177" s="4"/>
      <x:c r="K177" s="4"/>
      <x:c r="L177" s="7"/>
      <x:c r="M177" s="7"/>
      <x:c r="N177" s="57"/>
      <x:c r="O177" s="57"/>
      <x:c r="P177" s="57"/>
      <x:c r="Q177" s="3" t="str">
        <x:f aca="0">""</x:f>
      </x:c>
      <x:c r="R177" s="4"/>
      <x:c r="S177" s="4"/>
      <x:c r="T177" s="4"/>
      <x:c r="U177" s="56"/>
      <x:c r="V177" s="4"/>
      <x:c r="W177" s="57" t="str">
        <x:f aca="0">""</x:f>
      </x:c>
      <x:c r="X177" s="57" t="str">
        <x:f aca="0">""</x:f>
      </x:c>
      <x:c r="Y177" s="57" t="str">
        <x:f aca="0">""</x:f>
      </x:c>
      <x:c r="Z177" s="58"/>
      <x:c r="AA177" s="4"/>
      <x:c r="AB177" s="54" t="str">
        <x:f aca="0">""</x:f>
      </x:c>
      <x:c r="AC177" s="54" t="str">
        <x:f aca="0">""</x:f>
      </x:c>
      <x:c r="AD177" s="7"/>
      <x:c r="AE177" s="4"/>
      <x:c r="AF177" s="4"/>
      <x:c r="AG177" s="7"/>
      <x:c r="AH177" s="12" t="str">
        <x:f aca="0">""</x:f>
      </x:c>
      <x:c r="AI177" s="12" t="str">
        <x:f aca="0">""</x:f>
      </x:c>
      <x:c r="AJ177" s="12" t="str">
        <x:f aca="0">""</x:f>
      </x:c>
      <x:c r="AK177" s="12" t="str">
        <x:f aca="0">""</x:f>
      </x:c>
      <x:c r="AL177" s="19" t="str">
        <x:f aca="0">""</x:f>
      </x:c>
      <x:c r="AM177" s="56"/>
      <x:c r="AN177" s="4"/>
      <x:c r="AO177" s="4"/>
      <x:c r="AP177" s="3" t="str">
        <x:f aca="0">""</x:f>
      </x:c>
      <x:c r="AQ177" s="3" t="str">
        <x:f aca="0">""</x:f>
      </x:c>
      <x:c r="AR177" s="3" t="str">
        <x:f aca="0">""</x:f>
      </x:c>
      <x:c r="AS177" s="3" t="str">
        <x:f aca="0">""</x:f>
      </x:c>
      <x:c r="AT177" s="3" t="str">
        <x:f aca="0">""</x:f>
      </x:c>
      <x:c r="AU177" s="54" t="str">
        <x:f aca="0">""</x:f>
      </x:c>
      <x:c r="AV177" s="12" t="str">
        <x:f aca="0">""</x:f>
      </x:c>
      <x:c r="AW177" s="4"/>
      <x:c r="AX177" s="4"/>
      <x:c r="AY177" s="4"/>
      <x:c r="AZ177" s="56"/>
      <x:c r="BA177" s="4"/>
      <x:c r="BB177" s="11" t="str">
        <x:f aca="0">""</x:f>
      </x:c>
      <x:c r="BC177" s="11" t="str">
        <x:f aca="0">""</x:f>
      </x:c>
      <x:c r="BD177" s="11" t="str">
        <x:f aca="0">""</x:f>
      </x:c>
      <x:c r="BE177" s="19" t="str">
        <x:f aca="0">""</x:f>
      </x:c>
      <x:c r="BF177" s="19" t="str">
        <x:f aca="0">""</x:f>
      </x:c>
    </x:row>
    <x:row r="178" ht="14.25" hidden="0">
      <x:c r="A178" s="3"/>
      <x:c r="B178" s="55"/>
      <x:c r="C178" s="4"/>
      <x:c r="D178" s="4"/>
      <x:c r="E178" s="4"/>
      <x:c r="F178" s="4"/>
      <x:c r="G178" s="4"/>
      <x:c r="H178" s="56"/>
      <x:c r="I178" s="4"/>
      <x:c r="J178" s="4"/>
      <x:c r="K178" s="4"/>
      <x:c r="L178" s="7"/>
      <x:c r="M178" s="7"/>
      <x:c r="N178" s="57"/>
      <x:c r="O178" s="57"/>
      <x:c r="P178" s="57"/>
      <x:c r="Q178" s="3" t="str">
        <x:f aca="0">""</x:f>
      </x:c>
      <x:c r="R178" s="4"/>
      <x:c r="S178" s="4"/>
      <x:c r="T178" s="4"/>
      <x:c r="U178" s="56"/>
      <x:c r="V178" s="4"/>
      <x:c r="W178" s="57" t="str">
        <x:f aca="0">""</x:f>
      </x:c>
      <x:c r="X178" s="57" t="str">
        <x:f aca="0">""</x:f>
      </x:c>
      <x:c r="Y178" s="57" t="str">
        <x:f aca="0">""</x:f>
      </x:c>
      <x:c r="Z178" s="58"/>
      <x:c r="AA178" s="4"/>
      <x:c r="AB178" s="54" t="str">
        <x:f aca="0">""</x:f>
      </x:c>
      <x:c r="AC178" s="54" t="str">
        <x:f aca="0">""</x:f>
      </x:c>
      <x:c r="AD178" s="7"/>
      <x:c r="AE178" s="4"/>
      <x:c r="AF178" s="4"/>
      <x:c r="AG178" s="7"/>
      <x:c r="AH178" s="12" t="str">
        <x:f aca="0">""</x:f>
      </x:c>
      <x:c r="AI178" s="12" t="str">
        <x:f aca="0">""</x:f>
      </x:c>
      <x:c r="AJ178" s="12" t="str">
        <x:f aca="0">""</x:f>
      </x:c>
      <x:c r="AK178" s="12" t="str">
        <x:f aca="0">""</x:f>
      </x:c>
      <x:c r="AL178" s="19" t="str">
        <x:f aca="0">""</x:f>
      </x:c>
      <x:c r="AM178" s="56"/>
      <x:c r="AN178" s="4"/>
      <x:c r="AO178" s="4"/>
      <x:c r="AP178" s="3" t="str">
        <x:f aca="0">""</x:f>
      </x:c>
      <x:c r="AQ178" s="3" t="str">
        <x:f aca="0">""</x:f>
      </x:c>
      <x:c r="AR178" s="3" t="str">
        <x:f aca="0">""</x:f>
      </x:c>
      <x:c r="AS178" s="3" t="str">
        <x:f aca="0">""</x:f>
      </x:c>
      <x:c r="AT178" s="3" t="str">
        <x:f aca="0">""</x:f>
      </x:c>
      <x:c r="AU178" s="54" t="str">
        <x:f aca="0">""</x:f>
      </x:c>
      <x:c r="AV178" s="12" t="str">
        <x:f aca="0">""</x:f>
      </x:c>
      <x:c r="AW178" s="4"/>
      <x:c r="AX178" s="4"/>
      <x:c r="AY178" s="4"/>
      <x:c r="AZ178" s="56"/>
      <x:c r="BA178" s="4"/>
      <x:c r="BB178" s="11" t="str">
        <x:f aca="0">""</x:f>
      </x:c>
      <x:c r="BC178" s="11" t="str">
        <x:f aca="0">""</x:f>
      </x:c>
      <x:c r="BD178" s="11" t="str">
        <x:f aca="0">""</x:f>
      </x:c>
      <x:c r="BE178" s="19" t="str">
        <x:f aca="0">""</x:f>
      </x:c>
      <x:c r="BF178" s="19" t="str">
        <x:f aca="0">""</x:f>
      </x:c>
    </x:row>
    <x:row r="179" ht="14.25" hidden="0">
      <x:c r="A179" s="3"/>
      <x:c r="B179" s="55"/>
      <x:c r="C179" s="4"/>
      <x:c r="D179" s="4"/>
      <x:c r="E179" s="4"/>
      <x:c r="F179" s="4"/>
      <x:c r="G179" s="4"/>
      <x:c r="H179" s="56"/>
      <x:c r="I179" s="4"/>
      <x:c r="J179" s="4"/>
      <x:c r="K179" s="4"/>
      <x:c r="L179" s="7"/>
      <x:c r="M179" s="7"/>
      <x:c r="N179" s="57"/>
      <x:c r="O179" s="57"/>
      <x:c r="P179" s="57"/>
      <x:c r="Q179" s="3" t="str">
        <x:f aca="0">""</x:f>
      </x:c>
      <x:c r="R179" s="4"/>
      <x:c r="S179" s="4"/>
      <x:c r="T179" s="4"/>
      <x:c r="U179" s="56"/>
      <x:c r="V179" s="4"/>
      <x:c r="W179" s="57" t="str">
        <x:f aca="0">""</x:f>
      </x:c>
      <x:c r="X179" s="57" t="str">
        <x:f aca="0">""</x:f>
      </x:c>
      <x:c r="Y179" s="57" t="str">
        <x:f aca="0">""</x:f>
      </x:c>
      <x:c r="Z179" s="58"/>
      <x:c r="AA179" s="4"/>
      <x:c r="AB179" s="54" t="str">
        <x:f aca="0">""</x:f>
      </x:c>
      <x:c r="AC179" s="54" t="str">
        <x:f aca="0">""</x:f>
      </x:c>
      <x:c r="AD179" s="7"/>
      <x:c r="AE179" s="4"/>
      <x:c r="AF179" s="4"/>
      <x:c r="AG179" s="7"/>
      <x:c r="AH179" s="12" t="str">
        <x:f aca="0">""</x:f>
      </x:c>
      <x:c r="AI179" s="12" t="str">
        <x:f aca="0">""</x:f>
      </x:c>
      <x:c r="AJ179" s="12" t="str">
        <x:f aca="0">""</x:f>
      </x:c>
      <x:c r="AK179" s="12" t="str">
        <x:f aca="0">""</x:f>
      </x:c>
      <x:c r="AL179" s="19" t="str">
        <x:f aca="0">""</x:f>
      </x:c>
      <x:c r="AM179" s="56"/>
      <x:c r="AN179" s="4"/>
      <x:c r="AO179" s="4"/>
      <x:c r="AP179" s="3" t="str">
        <x:f aca="0">""</x:f>
      </x:c>
      <x:c r="AQ179" s="3" t="str">
        <x:f aca="0">""</x:f>
      </x:c>
      <x:c r="AR179" s="3" t="str">
        <x:f aca="0">""</x:f>
      </x:c>
      <x:c r="AS179" s="3" t="str">
        <x:f aca="0">""</x:f>
      </x:c>
      <x:c r="AT179" s="3" t="str">
        <x:f aca="0">""</x:f>
      </x:c>
      <x:c r="AU179" s="54" t="str">
        <x:f aca="0">""</x:f>
      </x:c>
      <x:c r="AV179" s="12" t="str">
        <x:f aca="0">""</x:f>
      </x:c>
      <x:c r="AW179" s="4"/>
      <x:c r="AX179" s="4"/>
      <x:c r="AY179" s="4"/>
      <x:c r="AZ179" s="56"/>
      <x:c r="BA179" s="4"/>
      <x:c r="BB179" s="11" t="str">
        <x:f aca="0">""</x:f>
      </x:c>
      <x:c r="BC179" s="11" t="str">
        <x:f aca="0">""</x:f>
      </x:c>
      <x:c r="BD179" s="11" t="str">
        <x:f aca="0">""</x:f>
      </x:c>
      <x:c r="BE179" s="19" t="str">
        <x:f aca="0">""</x:f>
      </x:c>
      <x:c r="BF179" s="19" t="str">
        <x:f aca="0">""</x:f>
      </x:c>
    </x:row>
    <x:row r="180" ht="14.25" hidden="0">
      <x:c r="A180" s="3"/>
      <x:c r="B180" s="55"/>
      <x:c r="C180" s="4"/>
      <x:c r="D180" s="4"/>
      <x:c r="E180" s="4"/>
      <x:c r="F180" s="4"/>
      <x:c r="G180" s="4"/>
      <x:c r="H180" s="56"/>
      <x:c r="I180" s="4"/>
      <x:c r="J180" s="4"/>
      <x:c r="K180" s="4"/>
      <x:c r="L180" s="7"/>
      <x:c r="M180" s="7"/>
      <x:c r="N180" s="57"/>
      <x:c r="O180" s="57"/>
      <x:c r="P180" s="57"/>
      <x:c r="Q180" s="3" t="str">
        <x:f aca="0">""</x:f>
      </x:c>
      <x:c r="R180" s="4"/>
      <x:c r="S180" s="4"/>
      <x:c r="T180" s="4"/>
      <x:c r="U180" s="56"/>
      <x:c r="V180" s="4"/>
      <x:c r="W180" s="57" t="str">
        <x:f aca="0">""</x:f>
      </x:c>
      <x:c r="X180" s="57" t="str">
        <x:f aca="0">""</x:f>
      </x:c>
      <x:c r="Y180" s="57" t="str">
        <x:f aca="0">""</x:f>
      </x:c>
      <x:c r="Z180" s="58"/>
      <x:c r="AA180" s="4"/>
      <x:c r="AB180" s="54" t="str">
        <x:f aca="0">""</x:f>
      </x:c>
      <x:c r="AC180" s="54" t="str">
        <x:f aca="0">""</x:f>
      </x:c>
      <x:c r="AD180" s="7"/>
      <x:c r="AE180" s="4"/>
      <x:c r="AF180" s="4"/>
      <x:c r="AG180" s="7"/>
      <x:c r="AH180" s="12" t="str">
        <x:f aca="0">""</x:f>
      </x:c>
      <x:c r="AI180" s="12" t="str">
        <x:f aca="0">""</x:f>
      </x:c>
      <x:c r="AJ180" s="12" t="str">
        <x:f aca="0">""</x:f>
      </x:c>
      <x:c r="AK180" s="12" t="str">
        <x:f aca="0">""</x:f>
      </x:c>
      <x:c r="AL180" s="19" t="str">
        <x:f aca="0">""</x:f>
      </x:c>
      <x:c r="AM180" s="56"/>
      <x:c r="AN180" s="4"/>
      <x:c r="AO180" s="4"/>
      <x:c r="AP180" s="3" t="str">
        <x:f aca="0">""</x:f>
      </x:c>
      <x:c r="AQ180" s="3" t="str">
        <x:f aca="0">""</x:f>
      </x:c>
      <x:c r="AR180" s="3" t="str">
        <x:f aca="0">""</x:f>
      </x:c>
      <x:c r="AS180" s="3" t="str">
        <x:f aca="0">""</x:f>
      </x:c>
      <x:c r="AT180" s="3" t="str">
        <x:f aca="0">""</x:f>
      </x:c>
      <x:c r="AU180" s="54" t="str">
        <x:f aca="0">""</x:f>
      </x:c>
      <x:c r="AV180" s="12" t="str">
        <x:f aca="0">""</x:f>
      </x:c>
      <x:c r="AW180" s="4"/>
      <x:c r="AX180" s="4"/>
      <x:c r="AY180" s="4"/>
      <x:c r="AZ180" s="56"/>
      <x:c r="BA180" s="4"/>
      <x:c r="BB180" s="11" t="str">
        <x:f aca="0">""</x:f>
      </x:c>
      <x:c r="BC180" s="11" t="str">
        <x:f aca="0">""</x:f>
      </x:c>
      <x:c r="BD180" s="11" t="str">
        <x:f aca="0">""</x:f>
      </x:c>
      <x:c r="BE180" s="19" t="str">
        <x:f aca="0">""</x:f>
      </x:c>
      <x:c r="BF180" s="19" t="str">
        <x:f aca="0">""</x:f>
      </x:c>
    </x:row>
    <x:row r="181" ht="14.25" hidden="0">
      <x:c r="A181" s="3"/>
      <x:c r="B181" s="55"/>
      <x:c r="C181" s="4"/>
      <x:c r="D181" s="4"/>
      <x:c r="E181" s="4"/>
      <x:c r="F181" s="4"/>
      <x:c r="G181" s="4"/>
      <x:c r="H181" s="56"/>
      <x:c r="I181" s="4"/>
      <x:c r="J181" s="4"/>
      <x:c r="K181" s="4"/>
      <x:c r="L181" s="7"/>
      <x:c r="M181" s="7"/>
      <x:c r="N181" s="57"/>
      <x:c r="O181" s="57"/>
      <x:c r="P181" s="57"/>
      <x:c r="Q181" s="3" t="str">
        <x:f aca="0">""</x:f>
      </x:c>
      <x:c r="R181" s="4"/>
      <x:c r="S181" s="4"/>
      <x:c r="T181" s="4"/>
      <x:c r="U181" s="56"/>
      <x:c r="V181" s="4"/>
      <x:c r="W181" s="57" t="str">
        <x:f aca="0">""</x:f>
      </x:c>
      <x:c r="X181" s="57" t="str">
        <x:f aca="0">""</x:f>
      </x:c>
      <x:c r="Y181" s="57" t="str">
        <x:f aca="0">""</x:f>
      </x:c>
      <x:c r="Z181" s="58"/>
      <x:c r="AA181" s="4"/>
      <x:c r="AB181" s="54" t="str">
        <x:f aca="0">""</x:f>
      </x:c>
      <x:c r="AC181" s="54" t="str">
        <x:f aca="0">""</x:f>
      </x:c>
      <x:c r="AD181" s="7"/>
      <x:c r="AE181" s="4"/>
      <x:c r="AF181" s="4"/>
      <x:c r="AG181" s="7"/>
      <x:c r="AH181" s="12" t="str">
        <x:f aca="0">""</x:f>
      </x:c>
      <x:c r="AI181" s="12" t="str">
        <x:f aca="0">""</x:f>
      </x:c>
      <x:c r="AJ181" s="12" t="str">
        <x:f aca="0">""</x:f>
      </x:c>
      <x:c r="AK181" s="12" t="str">
        <x:f aca="0">""</x:f>
      </x:c>
      <x:c r="AL181" s="19" t="str">
        <x:f aca="0">""</x:f>
      </x:c>
      <x:c r="AM181" s="56"/>
      <x:c r="AN181" s="4"/>
      <x:c r="AO181" s="4"/>
      <x:c r="AP181" s="3" t="str">
        <x:f aca="0">""</x:f>
      </x:c>
      <x:c r="AQ181" s="3" t="str">
        <x:f aca="0">""</x:f>
      </x:c>
      <x:c r="AR181" s="3" t="str">
        <x:f aca="0">""</x:f>
      </x:c>
      <x:c r="AS181" s="3" t="str">
        <x:f aca="0">""</x:f>
      </x:c>
      <x:c r="AT181" s="3" t="str">
        <x:f aca="0">""</x:f>
      </x:c>
      <x:c r="AU181" s="54" t="str">
        <x:f aca="0">""</x:f>
      </x:c>
      <x:c r="AV181" s="12" t="str">
        <x:f aca="0">""</x:f>
      </x:c>
      <x:c r="AW181" s="4"/>
      <x:c r="AX181" s="4"/>
      <x:c r="AY181" s="4"/>
      <x:c r="AZ181" s="56"/>
      <x:c r="BA181" s="4"/>
      <x:c r="BB181" s="11" t="str">
        <x:f aca="0">""</x:f>
      </x:c>
      <x:c r="BC181" s="11" t="str">
        <x:f aca="0">""</x:f>
      </x:c>
      <x:c r="BD181" s="11" t="str">
        <x:f aca="0">""</x:f>
      </x:c>
      <x:c r="BE181" s="19" t="str">
        <x:f aca="0">""</x:f>
      </x:c>
      <x:c r="BF181" s="19" t="str">
        <x:f aca="0">""</x:f>
      </x:c>
    </x:row>
    <x:row r="182" ht="14.25" hidden="0">
      <x:c r="A182" s="3"/>
      <x:c r="B182" s="55"/>
      <x:c r="C182" s="4"/>
      <x:c r="D182" s="4"/>
      <x:c r="E182" s="4"/>
      <x:c r="F182" s="4"/>
      <x:c r="G182" s="4"/>
      <x:c r="H182" s="56"/>
      <x:c r="I182" s="4"/>
      <x:c r="J182" s="4"/>
      <x:c r="K182" s="4"/>
      <x:c r="L182" s="7"/>
      <x:c r="M182" s="7"/>
      <x:c r="N182" s="57"/>
      <x:c r="O182" s="57"/>
      <x:c r="P182" s="57"/>
      <x:c r="Q182" s="3" t="str">
        <x:f aca="0">""</x:f>
      </x:c>
      <x:c r="R182" s="4"/>
      <x:c r="S182" s="4"/>
      <x:c r="T182" s="4"/>
      <x:c r="U182" s="56"/>
      <x:c r="V182" s="4"/>
      <x:c r="W182" s="57" t="str">
        <x:f aca="0">""</x:f>
      </x:c>
      <x:c r="X182" s="57" t="str">
        <x:f aca="0">""</x:f>
      </x:c>
      <x:c r="Y182" s="57" t="str">
        <x:f aca="0">""</x:f>
      </x:c>
      <x:c r="Z182" s="58"/>
      <x:c r="AA182" s="4"/>
      <x:c r="AB182" s="54" t="str">
        <x:f aca="0">""</x:f>
      </x:c>
      <x:c r="AC182" s="54" t="str">
        <x:f aca="0">""</x:f>
      </x:c>
      <x:c r="AD182" s="7"/>
      <x:c r="AE182" s="4"/>
      <x:c r="AF182" s="4"/>
      <x:c r="AG182" s="7"/>
      <x:c r="AH182" s="12" t="str">
        <x:f aca="0">""</x:f>
      </x:c>
      <x:c r="AI182" s="12" t="str">
        <x:f aca="0">""</x:f>
      </x:c>
      <x:c r="AJ182" s="12" t="str">
        <x:f aca="0">""</x:f>
      </x:c>
      <x:c r="AK182" s="12" t="str">
        <x:f aca="0">""</x:f>
      </x:c>
      <x:c r="AL182" s="19" t="str">
        <x:f aca="0">""</x:f>
      </x:c>
      <x:c r="AM182" s="56"/>
      <x:c r="AN182" s="4"/>
      <x:c r="AO182" s="4"/>
      <x:c r="AP182" s="3" t="str">
        <x:f aca="0">""</x:f>
      </x:c>
      <x:c r="AQ182" s="3" t="str">
        <x:f aca="0">""</x:f>
      </x:c>
      <x:c r="AR182" s="3" t="str">
        <x:f aca="0">""</x:f>
      </x:c>
      <x:c r="AS182" s="3" t="str">
        <x:f aca="0">""</x:f>
      </x:c>
      <x:c r="AT182" s="3" t="str">
        <x:f aca="0">""</x:f>
      </x:c>
      <x:c r="AU182" s="54" t="str">
        <x:f aca="0">""</x:f>
      </x:c>
      <x:c r="AV182" s="12" t="str">
        <x:f aca="0">""</x:f>
      </x:c>
      <x:c r="AW182" s="4"/>
      <x:c r="AX182" s="4"/>
      <x:c r="AY182" s="4"/>
      <x:c r="AZ182" s="56"/>
      <x:c r="BA182" s="4"/>
      <x:c r="BB182" s="11" t="str">
        <x:f aca="0">""</x:f>
      </x:c>
      <x:c r="BC182" s="11" t="str">
        <x:f aca="0">""</x:f>
      </x:c>
      <x:c r="BD182" s="11" t="str">
        <x:f aca="0">""</x:f>
      </x:c>
      <x:c r="BE182" s="19" t="str">
        <x:f aca="0">""</x:f>
      </x:c>
      <x:c r="BF182" s="19" t="str">
        <x:f aca="0">""</x:f>
      </x:c>
    </x:row>
    <x:row r="183" ht="14.25" hidden="0">
      <x:c r="A183" s="3"/>
      <x:c r="B183" s="55"/>
      <x:c r="C183" s="4"/>
      <x:c r="D183" s="4"/>
      <x:c r="E183" s="4"/>
      <x:c r="F183" s="4"/>
      <x:c r="G183" s="4"/>
      <x:c r="H183" s="56"/>
      <x:c r="I183" s="4"/>
      <x:c r="J183" s="4"/>
      <x:c r="K183" s="4"/>
      <x:c r="L183" s="7"/>
      <x:c r="M183" s="7"/>
      <x:c r="N183" s="57"/>
      <x:c r="O183" s="57"/>
      <x:c r="P183" s="57"/>
      <x:c r="Q183" s="3" t="str">
        <x:f aca="0">""</x:f>
      </x:c>
      <x:c r="R183" s="4"/>
      <x:c r="S183" s="4"/>
      <x:c r="T183" s="4"/>
      <x:c r="U183" s="56"/>
      <x:c r="V183" s="4"/>
      <x:c r="W183" s="57" t="str">
        <x:f aca="0">""</x:f>
      </x:c>
      <x:c r="X183" s="57" t="str">
        <x:f aca="0">""</x:f>
      </x:c>
      <x:c r="Y183" s="57" t="str">
        <x:f aca="0">""</x:f>
      </x:c>
      <x:c r="Z183" s="58"/>
      <x:c r="AA183" s="4"/>
      <x:c r="AB183" s="54" t="str">
        <x:f aca="0">""</x:f>
      </x:c>
      <x:c r="AC183" s="54" t="str">
        <x:f aca="0">""</x:f>
      </x:c>
      <x:c r="AD183" s="7"/>
      <x:c r="AE183" s="4"/>
      <x:c r="AF183" s="4"/>
      <x:c r="AG183" s="7"/>
      <x:c r="AH183" s="12" t="str">
        <x:f aca="0">""</x:f>
      </x:c>
      <x:c r="AI183" s="12" t="str">
        <x:f aca="0">""</x:f>
      </x:c>
      <x:c r="AJ183" s="12" t="str">
        <x:f aca="0">""</x:f>
      </x:c>
      <x:c r="AK183" s="12" t="str">
        <x:f aca="0">""</x:f>
      </x:c>
      <x:c r="AL183" s="19" t="str">
        <x:f aca="0">""</x:f>
      </x:c>
      <x:c r="AM183" s="56"/>
      <x:c r="AN183" s="4"/>
      <x:c r="AO183" s="4"/>
      <x:c r="AP183" s="3" t="str">
        <x:f aca="0">""</x:f>
      </x:c>
      <x:c r="AQ183" s="3" t="str">
        <x:f aca="0">""</x:f>
      </x:c>
      <x:c r="AR183" s="3" t="str">
        <x:f aca="0">""</x:f>
      </x:c>
      <x:c r="AS183" s="3" t="str">
        <x:f aca="0">""</x:f>
      </x:c>
      <x:c r="AT183" s="3" t="str">
        <x:f aca="0">""</x:f>
      </x:c>
      <x:c r="AU183" s="54" t="str">
        <x:f aca="0">""</x:f>
      </x:c>
      <x:c r="AV183" s="12" t="str">
        <x:f aca="0">""</x:f>
      </x:c>
      <x:c r="AW183" s="4"/>
      <x:c r="AX183" s="4"/>
      <x:c r="AY183" s="4"/>
      <x:c r="AZ183" s="56"/>
      <x:c r="BA183" s="4"/>
      <x:c r="BB183" s="11" t="str">
        <x:f aca="0">""</x:f>
      </x:c>
      <x:c r="BC183" s="11" t="str">
        <x:f aca="0">""</x:f>
      </x:c>
      <x:c r="BD183" s="11" t="str">
        <x:f aca="0">""</x:f>
      </x:c>
      <x:c r="BE183" s="19" t="str">
        <x:f aca="0">""</x:f>
      </x:c>
      <x:c r="BF183" s="19" t="str">
        <x:f aca="0">""</x:f>
      </x:c>
    </x:row>
    <x:row r="184" ht="14.25" hidden="0">
      <x:c r="A184" s="3"/>
      <x:c r="B184" s="55"/>
      <x:c r="C184" s="4"/>
      <x:c r="D184" s="4"/>
      <x:c r="E184" s="4"/>
      <x:c r="F184" s="4"/>
      <x:c r="G184" s="4"/>
      <x:c r="H184" s="56"/>
      <x:c r="I184" s="4"/>
      <x:c r="J184" s="4"/>
      <x:c r="K184" s="4"/>
      <x:c r="L184" s="7"/>
      <x:c r="M184" s="7"/>
      <x:c r="N184" s="57"/>
      <x:c r="O184" s="57"/>
      <x:c r="P184" s="57"/>
      <x:c r="Q184" s="3" t="str">
        <x:f aca="0">""</x:f>
      </x:c>
      <x:c r="R184" s="4"/>
      <x:c r="S184" s="4"/>
      <x:c r="T184" s="4"/>
      <x:c r="U184" s="56"/>
      <x:c r="V184" s="4"/>
      <x:c r="W184" s="57" t="str">
        <x:f aca="0">""</x:f>
      </x:c>
      <x:c r="X184" s="57" t="str">
        <x:f aca="0">""</x:f>
      </x:c>
      <x:c r="Y184" s="57" t="str">
        <x:f aca="0">""</x:f>
      </x:c>
      <x:c r="Z184" s="58"/>
      <x:c r="AA184" s="4"/>
      <x:c r="AB184" s="54" t="str">
        <x:f aca="0">""</x:f>
      </x:c>
      <x:c r="AC184" s="54" t="str">
        <x:f aca="0">""</x:f>
      </x:c>
      <x:c r="AD184" s="7"/>
      <x:c r="AE184" s="4"/>
      <x:c r="AF184" s="4"/>
      <x:c r="AG184" s="7"/>
      <x:c r="AH184" s="12" t="str">
        <x:f aca="0">""</x:f>
      </x:c>
      <x:c r="AI184" s="12" t="str">
        <x:f aca="0">""</x:f>
      </x:c>
      <x:c r="AJ184" s="12" t="str">
        <x:f aca="0">""</x:f>
      </x:c>
      <x:c r="AK184" s="12" t="str">
        <x:f aca="0">""</x:f>
      </x:c>
      <x:c r="AL184" s="19" t="str">
        <x:f aca="0">""</x:f>
      </x:c>
      <x:c r="AM184" s="56"/>
      <x:c r="AN184" s="4"/>
      <x:c r="AO184" s="4"/>
      <x:c r="AP184" s="3" t="str">
        <x:f aca="0">""</x:f>
      </x:c>
      <x:c r="AQ184" s="3" t="str">
        <x:f aca="0">""</x:f>
      </x:c>
      <x:c r="AR184" s="3" t="str">
        <x:f aca="0">""</x:f>
      </x:c>
      <x:c r="AS184" s="3" t="str">
        <x:f aca="0">""</x:f>
      </x:c>
      <x:c r="AT184" s="3" t="str">
        <x:f aca="0">""</x:f>
      </x:c>
      <x:c r="AU184" s="54" t="str">
        <x:f aca="0">""</x:f>
      </x:c>
      <x:c r="AV184" s="12" t="str">
        <x:f aca="0">""</x:f>
      </x:c>
      <x:c r="AW184" s="4"/>
      <x:c r="AX184" s="4"/>
      <x:c r="AY184" s="4"/>
      <x:c r="AZ184" s="56"/>
      <x:c r="BA184" s="4"/>
      <x:c r="BB184" s="11" t="str">
        <x:f aca="0">""</x:f>
      </x:c>
      <x:c r="BC184" s="11" t="str">
        <x:f aca="0">""</x:f>
      </x:c>
      <x:c r="BD184" s="11" t="str">
        <x:f aca="0">""</x:f>
      </x:c>
      <x:c r="BE184" s="19" t="str">
        <x:f aca="0">""</x:f>
      </x:c>
      <x:c r="BF184" s="19" t="str">
        <x:f aca="0">""</x:f>
      </x:c>
    </x:row>
    <x:row r="185" ht="14.25" hidden="0">
      <x:c r="A185" s="3"/>
      <x:c r="B185" s="55"/>
      <x:c r="C185" s="4"/>
      <x:c r="D185" s="4"/>
      <x:c r="E185" s="4"/>
      <x:c r="F185" s="4"/>
      <x:c r="G185" s="4"/>
      <x:c r="H185" s="56"/>
      <x:c r="I185" s="4"/>
      <x:c r="J185" s="4"/>
      <x:c r="K185" s="4"/>
      <x:c r="L185" s="7"/>
      <x:c r="M185" s="7"/>
      <x:c r="N185" s="57"/>
      <x:c r="O185" s="57"/>
      <x:c r="P185" s="57"/>
      <x:c r="Q185" s="3" t="str">
        <x:f aca="0">""</x:f>
      </x:c>
      <x:c r="R185" s="4"/>
      <x:c r="S185" s="4"/>
      <x:c r="T185" s="4"/>
      <x:c r="U185" s="56"/>
      <x:c r="V185" s="4"/>
      <x:c r="W185" s="57" t="str">
        <x:f aca="0">""</x:f>
      </x:c>
      <x:c r="X185" s="57" t="str">
        <x:f aca="0">""</x:f>
      </x:c>
      <x:c r="Y185" s="57" t="str">
        <x:f aca="0">""</x:f>
      </x:c>
      <x:c r="Z185" s="58"/>
      <x:c r="AA185" s="4"/>
      <x:c r="AB185" s="54" t="str">
        <x:f aca="0">""</x:f>
      </x:c>
      <x:c r="AC185" s="54" t="str">
        <x:f aca="0">""</x:f>
      </x:c>
      <x:c r="AD185" s="7"/>
      <x:c r="AE185" s="4"/>
      <x:c r="AF185" s="4"/>
      <x:c r="AG185" s="7"/>
      <x:c r="AH185" s="12" t="str">
        <x:f aca="0">""</x:f>
      </x:c>
      <x:c r="AI185" s="12" t="str">
        <x:f aca="0">""</x:f>
      </x:c>
      <x:c r="AJ185" s="12" t="str">
        <x:f aca="0">""</x:f>
      </x:c>
      <x:c r="AK185" s="12" t="str">
        <x:f aca="0">""</x:f>
      </x:c>
      <x:c r="AL185" s="19" t="str">
        <x:f aca="0">""</x:f>
      </x:c>
      <x:c r="AM185" s="56"/>
      <x:c r="AN185" s="4"/>
      <x:c r="AO185" s="4"/>
      <x:c r="AP185" s="3" t="str">
        <x:f aca="0">""</x:f>
      </x:c>
      <x:c r="AQ185" s="3" t="str">
        <x:f aca="0">""</x:f>
      </x:c>
      <x:c r="AR185" s="3" t="str">
        <x:f aca="0">""</x:f>
      </x:c>
      <x:c r="AS185" s="3" t="str">
        <x:f aca="0">""</x:f>
      </x:c>
      <x:c r="AT185" s="3" t="str">
        <x:f aca="0">""</x:f>
      </x:c>
      <x:c r="AU185" s="54" t="str">
        <x:f aca="0">""</x:f>
      </x:c>
      <x:c r="AV185" s="12" t="str">
        <x:f aca="0">""</x:f>
      </x:c>
      <x:c r="AW185" s="4"/>
      <x:c r="AX185" s="4"/>
      <x:c r="AY185" s="4"/>
      <x:c r="AZ185" s="56"/>
      <x:c r="BA185" s="4"/>
      <x:c r="BB185" s="11" t="str">
        <x:f aca="0">""</x:f>
      </x:c>
      <x:c r="BC185" s="11" t="str">
        <x:f aca="0">""</x:f>
      </x:c>
      <x:c r="BD185" s="11" t="str">
        <x:f aca="0">""</x:f>
      </x:c>
      <x:c r="BE185" s="19" t="str">
        <x:f aca="0">""</x:f>
      </x:c>
      <x:c r="BF185" s="19" t="str">
        <x:f aca="0">""</x:f>
      </x:c>
    </x:row>
    <x:row r="186" ht="14.25" hidden="0">
      <x:c r="A186" s="3"/>
      <x:c r="B186" s="55"/>
      <x:c r="C186" s="4"/>
      <x:c r="D186" s="4"/>
      <x:c r="E186" s="4"/>
      <x:c r="F186" s="4"/>
      <x:c r="G186" s="4"/>
      <x:c r="H186" s="56"/>
      <x:c r="I186" s="4"/>
      <x:c r="J186" s="4"/>
      <x:c r="K186" s="4"/>
      <x:c r="L186" s="7"/>
      <x:c r="M186" s="7"/>
      <x:c r="N186" s="57"/>
      <x:c r="O186" s="57"/>
      <x:c r="P186" s="57"/>
      <x:c r="Q186" s="3" t="str">
        <x:f aca="0">""</x:f>
      </x:c>
      <x:c r="R186" s="4"/>
      <x:c r="S186" s="4"/>
      <x:c r="T186" s="4"/>
      <x:c r="U186" s="56"/>
      <x:c r="V186" s="4"/>
      <x:c r="W186" s="57" t="str">
        <x:f aca="0">""</x:f>
      </x:c>
      <x:c r="X186" s="57" t="str">
        <x:f aca="0">""</x:f>
      </x:c>
      <x:c r="Y186" s="57" t="str">
        <x:f aca="0">""</x:f>
      </x:c>
      <x:c r="Z186" s="58"/>
      <x:c r="AA186" s="4"/>
      <x:c r="AB186" s="54" t="str">
        <x:f aca="0">""</x:f>
      </x:c>
      <x:c r="AC186" s="54" t="str">
        <x:f aca="0">""</x:f>
      </x:c>
      <x:c r="AD186" s="7"/>
      <x:c r="AE186" s="4"/>
      <x:c r="AF186" s="4"/>
      <x:c r="AG186" s="7"/>
      <x:c r="AH186" s="12" t="str">
        <x:f aca="0">""</x:f>
      </x:c>
      <x:c r="AI186" s="12" t="str">
        <x:f aca="0">""</x:f>
      </x:c>
      <x:c r="AJ186" s="12" t="str">
        <x:f aca="0">""</x:f>
      </x:c>
      <x:c r="AK186" s="12" t="str">
        <x:f aca="0">""</x:f>
      </x:c>
      <x:c r="AL186" s="19" t="str">
        <x:f aca="0">""</x:f>
      </x:c>
      <x:c r="AM186" s="56"/>
      <x:c r="AN186" s="4"/>
      <x:c r="AO186" s="4"/>
      <x:c r="AP186" s="3" t="str">
        <x:f aca="0">""</x:f>
      </x:c>
      <x:c r="AQ186" s="3" t="str">
        <x:f aca="0">""</x:f>
      </x:c>
      <x:c r="AR186" s="3" t="str">
        <x:f aca="0">""</x:f>
      </x:c>
      <x:c r="AS186" s="3" t="str">
        <x:f aca="0">""</x:f>
      </x:c>
      <x:c r="AT186" s="3" t="str">
        <x:f aca="0">""</x:f>
      </x:c>
      <x:c r="AU186" s="54" t="str">
        <x:f aca="0">""</x:f>
      </x:c>
      <x:c r="AV186" s="12" t="str">
        <x:f aca="0">""</x:f>
      </x:c>
      <x:c r="AW186" s="4"/>
      <x:c r="AX186" s="4"/>
      <x:c r="AY186" s="4"/>
      <x:c r="AZ186" s="56"/>
      <x:c r="BA186" s="4"/>
      <x:c r="BB186" s="11" t="str">
        <x:f aca="0">""</x:f>
      </x:c>
      <x:c r="BC186" s="11" t="str">
        <x:f aca="0">""</x:f>
      </x:c>
      <x:c r="BD186" s="11" t="str">
        <x:f aca="0">""</x:f>
      </x:c>
      <x:c r="BE186" s="19" t="str">
        <x:f aca="0">""</x:f>
      </x:c>
      <x:c r="BF186" s="19" t="str">
        <x:f aca="0">""</x:f>
      </x:c>
    </x:row>
    <x:row r="187" ht="14.25" hidden="0">
      <x:c r="A187" s="3"/>
      <x:c r="B187" s="55"/>
      <x:c r="C187" s="4"/>
      <x:c r="D187" s="4"/>
      <x:c r="E187" s="4"/>
      <x:c r="F187" s="4"/>
      <x:c r="G187" s="4"/>
      <x:c r="H187" s="56"/>
      <x:c r="I187" s="4"/>
      <x:c r="J187" s="4"/>
      <x:c r="K187" s="4"/>
      <x:c r="L187" s="7"/>
      <x:c r="M187" s="7"/>
      <x:c r="N187" s="57"/>
      <x:c r="O187" s="57"/>
      <x:c r="P187" s="57"/>
      <x:c r="Q187" s="3" t="str">
        <x:f aca="0">""</x:f>
      </x:c>
      <x:c r="R187" s="4"/>
      <x:c r="S187" s="4"/>
      <x:c r="T187" s="4"/>
      <x:c r="U187" s="56"/>
      <x:c r="V187" s="4"/>
      <x:c r="W187" s="57" t="str">
        <x:f aca="0">""</x:f>
      </x:c>
      <x:c r="X187" s="57" t="str">
        <x:f aca="0">""</x:f>
      </x:c>
      <x:c r="Y187" s="57" t="str">
        <x:f aca="0">""</x:f>
      </x:c>
      <x:c r="Z187" s="58"/>
      <x:c r="AA187" s="4"/>
      <x:c r="AB187" s="54" t="str">
        <x:f aca="0">""</x:f>
      </x:c>
      <x:c r="AC187" s="54" t="str">
        <x:f aca="0">""</x:f>
      </x:c>
      <x:c r="AD187" s="7"/>
      <x:c r="AE187" s="4"/>
      <x:c r="AF187" s="4"/>
      <x:c r="AG187" s="7"/>
      <x:c r="AH187" s="12" t="str">
        <x:f aca="0">""</x:f>
      </x:c>
      <x:c r="AI187" s="12" t="str">
        <x:f aca="0">""</x:f>
      </x:c>
      <x:c r="AJ187" s="12" t="str">
        <x:f aca="0">""</x:f>
      </x:c>
      <x:c r="AK187" s="12" t="str">
        <x:f aca="0">""</x:f>
      </x:c>
      <x:c r="AL187" s="19" t="str">
        <x:f aca="0">""</x:f>
      </x:c>
      <x:c r="AM187" s="56"/>
      <x:c r="AN187" s="4"/>
      <x:c r="AO187" s="4"/>
      <x:c r="AP187" s="3" t="str">
        <x:f aca="0">""</x:f>
      </x:c>
      <x:c r="AQ187" s="3" t="str">
        <x:f aca="0">""</x:f>
      </x:c>
      <x:c r="AR187" s="3" t="str">
        <x:f aca="0">""</x:f>
      </x:c>
      <x:c r="AS187" s="3" t="str">
        <x:f aca="0">""</x:f>
      </x:c>
      <x:c r="AT187" s="3" t="str">
        <x:f aca="0">""</x:f>
      </x:c>
      <x:c r="AU187" s="54" t="str">
        <x:f aca="0">""</x:f>
      </x:c>
      <x:c r="AV187" s="12" t="str">
        <x:f aca="0">""</x:f>
      </x:c>
      <x:c r="AW187" s="4"/>
      <x:c r="AX187" s="4"/>
      <x:c r="AY187" s="4"/>
      <x:c r="AZ187" s="56"/>
      <x:c r="BA187" s="4"/>
      <x:c r="BB187" s="11" t="str">
        <x:f aca="0">""</x:f>
      </x:c>
      <x:c r="BC187" s="11" t="str">
        <x:f aca="0">""</x:f>
      </x:c>
      <x:c r="BD187" s="11" t="str">
        <x:f aca="0">""</x:f>
      </x:c>
      <x:c r="BE187" s="19" t="str">
        <x:f aca="0">""</x:f>
      </x:c>
      <x:c r="BF187" s="19" t="str">
        <x:f aca="0">""</x:f>
      </x:c>
    </x:row>
    <x:row r="188" ht="14.25" hidden="0">
      <x:c r="A188" s="3"/>
      <x:c r="B188" s="55"/>
      <x:c r="C188" s="4"/>
      <x:c r="D188" s="4"/>
      <x:c r="E188" s="4"/>
      <x:c r="F188" s="4"/>
      <x:c r="G188" s="4"/>
      <x:c r="H188" s="56"/>
      <x:c r="I188" s="4"/>
      <x:c r="J188" s="4"/>
      <x:c r="K188" s="4"/>
      <x:c r="L188" s="7"/>
      <x:c r="M188" s="7"/>
      <x:c r="N188" s="57"/>
      <x:c r="O188" s="57"/>
      <x:c r="P188" s="57"/>
      <x:c r="Q188" s="3" t="str">
        <x:f aca="0">""</x:f>
      </x:c>
      <x:c r="R188" s="4"/>
      <x:c r="S188" s="4"/>
      <x:c r="T188" s="4"/>
      <x:c r="U188" s="56"/>
      <x:c r="V188" s="4"/>
      <x:c r="W188" s="57" t="str">
        <x:f aca="0">""</x:f>
      </x:c>
      <x:c r="X188" s="57" t="str">
        <x:f aca="0">""</x:f>
      </x:c>
      <x:c r="Y188" s="57" t="str">
        <x:f aca="0">""</x:f>
      </x:c>
      <x:c r="Z188" s="58"/>
      <x:c r="AA188" s="4"/>
      <x:c r="AB188" s="54" t="str">
        <x:f aca="0">""</x:f>
      </x:c>
      <x:c r="AC188" s="54" t="str">
        <x:f aca="0">""</x:f>
      </x:c>
      <x:c r="AD188" s="7"/>
      <x:c r="AE188" s="4"/>
      <x:c r="AF188" s="4"/>
      <x:c r="AG188" s="7"/>
      <x:c r="AH188" s="12" t="str">
        <x:f aca="0">""</x:f>
      </x:c>
      <x:c r="AI188" s="12" t="str">
        <x:f aca="0">""</x:f>
      </x:c>
      <x:c r="AJ188" s="12" t="str">
        <x:f aca="0">""</x:f>
      </x:c>
      <x:c r="AK188" s="12" t="str">
        <x:f aca="0">""</x:f>
      </x:c>
      <x:c r="AL188" s="19" t="str">
        <x:f aca="0">""</x:f>
      </x:c>
      <x:c r="AM188" s="56"/>
      <x:c r="AN188" s="4"/>
      <x:c r="AO188" s="4"/>
      <x:c r="AP188" s="3" t="str">
        <x:f aca="0">""</x:f>
      </x:c>
      <x:c r="AQ188" s="3" t="str">
        <x:f aca="0">""</x:f>
      </x:c>
      <x:c r="AR188" s="3" t="str">
        <x:f aca="0">""</x:f>
      </x:c>
      <x:c r="AS188" s="3" t="str">
        <x:f aca="0">""</x:f>
      </x:c>
      <x:c r="AT188" s="3" t="str">
        <x:f aca="0">""</x:f>
      </x:c>
      <x:c r="AU188" s="54" t="str">
        <x:f aca="0">""</x:f>
      </x:c>
      <x:c r="AV188" s="12" t="str">
        <x:f aca="0">""</x:f>
      </x:c>
      <x:c r="AW188" s="4"/>
      <x:c r="AX188" s="4"/>
      <x:c r="AY188" s="4"/>
      <x:c r="AZ188" s="56"/>
      <x:c r="BA188" s="4"/>
      <x:c r="BB188" s="11" t="str">
        <x:f aca="0">""</x:f>
      </x:c>
      <x:c r="BC188" s="11" t="str">
        <x:f aca="0">""</x:f>
      </x:c>
      <x:c r="BD188" s="11" t="str">
        <x:f aca="0">""</x:f>
      </x:c>
      <x:c r="BE188" s="19" t="str">
        <x:f aca="0">""</x:f>
      </x:c>
      <x:c r="BF188" s="19" t="str">
        <x:f aca="0">""</x:f>
      </x:c>
    </x:row>
    <x:row r="189" ht="14.25" hidden="0">
      <x:c r="A189" s="3"/>
      <x:c r="B189" s="55"/>
      <x:c r="C189" s="4"/>
      <x:c r="D189" s="4"/>
      <x:c r="E189" s="4"/>
      <x:c r="F189" s="4"/>
      <x:c r="G189" s="4"/>
      <x:c r="H189" s="56"/>
      <x:c r="I189" s="4"/>
      <x:c r="J189" s="4"/>
      <x:c r="K189" s="4"/>
      <x:c r="L189" s="7"/>
      <x:c r="M189" s="7"/>
      <x:c r="N189" s="57"/>
      <x:c r="O189" s="57"/>
      <x:c r="P189" s="57"/>
      <x:c r="Q189" s="3" t="str">
        <x:f aca="0">""</x:f>
      </x:c>
      <x:c r="R189" s="4"/>
      <x:c r="S189" s="4"/>
      <x:c r="T189" s="4"/>
      <x:c r="U189" s="56"/>
      <x:c r="V189" s="4"/>
      <x:c r="W189" s="57" t="str">
        <x:f aca="0">""</x:f>
      </x:c>
      <x:c r="X189" s="57" t="str">
        <x:f aca="0">""</x:f>
      </x:c>
      <x:c r="Y189" s="57" t="str">
        <x:f aca="0">""</x:f>
      </x:c>
      <x:c r="Z189" s="58"/>
      <x:c r="AA189" s="4"/>
      <x:c r="AB189" s="54" t="str">
        <x:f aca="0">""</x:f>
      </x:c>
      <x:c r="AC189" s="54" t="str">
        <x:f aca="0">""</x:f>
      </x:c>
      <x:c r="AD189" s="7"/>
      <x:c r="AE189" s="4"/>
      <x:c r="AF189" s="4"/>
      <x:c r="AG189" s="7"/>
      <x:c r="AH189" s="12" t="str">
        <x:f aca="0">""</x:f>
      </x:c>
      <x:c r="AI189" s="12" t="str">
        <x:f aca="0">""</x:f>
      </x:c>
      <x:c r="AJ189" s="12" t="str">
        <x:f aca="0">""</x:f>
      </x:c>
      <x:c r="AK189" s="12" t="str">
        <x:f aca="0">""</x:f>
      </x:c>
      <x:c r="AL189" s="19" t="str">
        <x:f aca="0">""</x:f>
      </x:c>
      <x:c r="AM189" s="56"/>
      <x:c r="AN189" s="4"/>
      <x:c r="AO189" s="4"/>
      <x:c r="AP189" s="3" t="str">
        <x:f aca="0">""</x:f>
      </x:c>
      <x:c r="AQ189" s="3" t="str">
        <x:f aca="0">""</x:f>
      </x:c>
      <x:c r="AR189" s="3" t="str">
        <x:f aca="0">""</x:f>
      </x:c>
      <x:c r="AS189" s="3" t="str">
        <x:f aca="0">""</x:f>
      </x:c>
      <x:c r="AT189" s="3" t="str">
        <x:f aca="0">""</x:f>
      </x:c>
      <x:c r="AU189" s="54" t="str">
        <x:f aca="0">""</x:f>
      </x:c>
      <x:c r="AV189" s="12" t="str">
        <x:f aca="0">""</x:f>
      </x:c>
      <x:c r="AW189" s="4"/>
      <x:c r="AX189" s="4"/>
      <x:c r="AY189" s="4"/>
      <x:c r="AZ189" s="56"/>
      <x:c r="BA189" s="4"/>
      <x:c r="BB189" s="11" t="str">
        <x:f aca="0">""</x:f>
      </x:c>
      <x:c r="BC189" s="11" t="str">
        <x:f aca="0">""</x:f>
      </x:c>
      <x:c r="BD189" s="11" t="str">
        <x:f aca="0">""</x:f>
      </x:c>
      <x:c r="BE189" s="19" t="str">
        <x:f aca="0">""</x:f>
      </x:c>
      <x:c r="BF189" s="19" t="str">
        <x:f aca="0">""</x:f>
      </x:c>
    </x:row>
    <x:row r="190" ht="14.25" hidden="0">
      <x:c r="A190" s="3"/>
      <x:c r="B190" s="55"/>
      <x:c r="C190" s="4"/>
      <x:c r="D190" s="4"/>
      <x:c r="E190" s="4"/>
      <x:c r="F190" s="4"/>
      <x:c r="G190" s="4"/>
      <x:c r="H190" s="56"/>
      <x:c r="I190" s="4"/>
      <x:c r="J190" s="4"/>
      <x:c r="K190" s="4"/>
      <x:c r="L190" s="7"/>
      <x:c r="M190" s="7"/>
      <x:c r="N190" s="57"/>
      <x:c r="O190" s="57"/>
      <x:c r="P190" s="57"/>
      <x:c r="Q190" s="3" t="str">
        <x:f aca="0">""</x:f>
      </x:c>
      <x:c r="R190" s="4"/>
      <x:c r="S190" s="4"/>
      <x:c r="T190" s="4"/>
      <x:c r="U190" s="56"/>
      <x:c r="V190" s="4"/>
      <x:c r="W190" s="57" t="str">
        <x:f aca="0">""</x:f>
      </x:c>
      <x:c r="X190" s="57" t="str">
        <x:f aca="0">""</x:f>
      </x:c>
      <x:c r="Y190" s="57" t="str">
        <x:f aca="0">""</x:f>
      </x:c>
      <x:c r="Z190" s="58"/>
      <x:c r="AA190" s="4"/>
      <x:c r="AB190" s="54" t="str">
        <x:f aca="0">""</x:f>
      </x:c>
      <x:c r="AC190" s="54" t="str">
        <x:f aca="0">""</x:f>
      </x:c>
      <x:c r="AD190" s="7"/>
      <x:c r="AE190" s="4"/>
      <x:c r="AF190" s="4"/>
      <x:c r="AG190" s="7"/>
      <x:c r="AH190" s="12" t="str">
        <x:f aca="0">""</x:f>
      </x:c>
      <x:c r="AI190" s="12" t="str">
        <x:f aca="0">""</x:f>
      </x:c>
      <x:c r="AJ190" s="12" t="str">
        <x:f aca="0">""</x:f>
      </x:c>
      <x:c r="AK190" s="12" t="str">
        <x:f aca="0">""</x:f>
      </x:c>
      <x:c r="AL190" s="19" t="str">
        <x:f aca="0">""</x:f>
      </x:c>
      <x:c r="AM190" s="56"/>
      <x:c r="AN190" s="4"/>
      <x:c r="AO190" s="4"/>
      <x:c r="AP190" s="3" t="str">
        <x:f aca="0">""</x:f>
      </x:c>
      <x:c r="AQ190" s="3" t="str">
        <x:f aca="0">""</x:f>
      </x:c>
      <x:c r="AR190" s="3" t="str">
        <x:f aca="0">""</x:f>
      </x:c>
      <x:c r="AS190" s="3" t="str">
        <x:f aca="0">""</x:f>
      </x:c>
      <x:c r="AT190" s="3" t="str">
        <x:f aca="0">""</x:f>
      </x:c>
      <x:c r="AU190" s="54" t="str">
        <x:f aca="0">""</x:f>
      </x:c>
      <x:c r="AV190" s="12" t="str">
        <x:f aca="0">""</x:f>
      </x:c>
      <x:c r="AW190" s="4"/>
      <x:c r="AX190" s="4"/>
      <x:c r="AY190" s="4"/>
      <x:c r="AZ190" s="56"/>
      <x:c r="BA190" s="4"/>
      <x:c r="BB190" s="11" t="str">
        <x:f aca="0">""</x:f>
      </x:c>
      <x:c r="BC190" s="11" t="str">
        <x:f aca="0">""</x:f>
      </x:c>
      <x:c r="BD190" s="11" t="str">
        <x:f aca="0">""</x:f>
      </x:c>
      <x:c r="BE190" s="19" t="str">
        <x:f aca="0">""</x:f>
      </x:c>
      <x:c r="BF190" s="19" t="str">
        <x:f aca="0">""</x:f>
      </x:c>
    </x:row>
    <x:row r="191" ht="14.25" hidden="0">
      <x:c r="A191" s="3"/>
      <x:c r="B191" s="55"/>
      <x:c r="C191" s="4"/>
      <x:c r="D191" s="4"/>
      <x:c r="E191" s="4"/>
      <x:c r="F191" s="4"/>
      <x:c r="G191" s="4"/>
      <x:c r="H191" s="56"/>
      <x:c r="I191" s="4"/>
      <x:c r="J191" s="4"/>
      <x:c r="K191" s="4"/>
      <x:c r="L191" s="7"/>
      <x:c r="M191" s="7"/>
      <x:c r="N191" s="57"/>
      <x:c r="O191" s="57"/>
      <x:c r="P191" s="57"/>
      <x:c r="Q191" s="3" t="str">
        <x:f aca="0">""</x:f>
      </x:c>
      <x:c r="R191" s="4"/>
      <x:c r="S191" s="4"/>
      <x:c r="T191" s="4"/>
      <x:c r="U191" s="56"/>
      <x:c r="V191" s="4"/>
      <x:c r="W191" s="57" t="str">
        <x:f aca="0">""</x:f>
      </x:c>
      <x:c r="X191" s="57" t="str">
        <x:f aca="0">""</x:f>
      </x:c>
      <x:c r="Y191" s="57" t="str">
        <x:f aca="0">""</x:f>
      </x:c>
      <x:c r="Z191" s="58"/>
      <x:c r="AA191" s="4"/>
      <x:c r="AB191" s="54" t="str">
        <x:f aca="0">""</x:f>
      </x:c>
      <x:c r="AC191" s="54" t="str">
        <x:f aca="0">""</x:f>
      </x:c>
      <x:c r="AD191" s="7"/>
      <x:c r="AE191" s="4"/>
      <x:c r="AF191" s="4"/>
      <x:c r="AG191" s="7"/>
      <x:c r="AH191" s="12" t="str">
        <x:f aca="0">""</x:f>
      </x:c>
      <x:c r="AI191" s="12" t="str">
        <x:f aca="0">""</x:f>
      </x:c>
      <x:c r="AJ191" s="12" t="str">
        <x:f aca="0">""</x:f>
      </x:c>
      <x:c r="AK191" s="12" t="str">
        <x:f aca="0">""</x:f>
      </x:c>
      <x:c r="AL191" s="19" t="str">
        <x:f aca="0">""</x:f>
      </x:c>
      <x:c r="AM191" s="56"/>
      <x:c r="AN191" s="4"/>
      <x:c r="AO191" s="4"/>
      <x:c r="AP191" s="3" t="str">
        <x:f aca="0">""</x:f>
      </x:c>
      <x:c r="AQ191" s="3" t="str">
        <x:f aca="0">""</x:f>
      </x:c>
      <x:c r="AR191" s="3" t="str">
        <x:f aca="0">""</x:f>
      </x:c>
      <x:c r="AS191" s="3" t="str">
        <x:f aca="0">""</x:f>
      </x:c>
      <x:c r="AT191" s="3" t="str">
        <x:f aca="0">""</x:f>
      </x:c>
      <x:c r="AU191" s="54" t="str">
        <x:f aca="0">""</x:f>
      </x:c>
      <x:c r="AV191" s="12" t="str">
        <x:f aca="0">""</x:f>
      </x:c>
      <x:c r="AW191" s="4"/>
      <x:c r="AX191" s="4"/>
      <x:c r="AY191" s="4"/>
      <x:c r="AZ191" s="56"/>
      <x:c r="BA191" s="4"/>
      <x:c r="BB191" s="11" t="str">
        <x:f aca="0">""</x:f>
      </x:c>
      <x:c r="BC191" s="11" t="str">
        <x:f aca="0">""</x:f>
      </x:c>
      <x:c r="BD191" s="11" t="str">
        <x:f aca="0">""</x:f>
      </x:c>
      <x:c r="BE191" s="19" t="str">
        <x:f aca="0">""</x:f>
      </x:c>
      <x:c r="BF191" s="19" t="str">
        <x:f aca="0">""</x:f>
      </x:c>
    </x:row>
    <x:row r="192" ht="14.25" hidden="0">
      <x:c r="A192" s="3"/>
      <x:c r="B192" s="55"/>
      <x:c r="C192" s="4"/>
      <x:c r="D192" s="4"/>
      <x:c r="E192" s="4"/>
      <x:c r="F192" s="4"/>
      <x:c r="G192" s="4"/>
      <x:c r="H192" s="56"/>
      <x:c r="I192" s="4"/>
      <x:c r="J192" s="4"/>
      <x:c r="K192" s="4"/>
      <x:c r="L192" s="7"/>
      <x:c r="M192" s="7"/>
      <x:c r="N192" s="57"/>
      <x:c r="O192" s="57"/>
      <x:c r="P192" s="57"/>
      <x:c r="Q192" s="3" t="str">
        <x:f aca="0">""</x:f>
      </x:c>
      <x:c r="R192" s="4"/>
      <x:c r="S192" s="4"/>
      <x:c r="T192" s="4"/>
      <x:c r="U192" s="56"/>
      <x:c r="V192" s="4"/>
      <x:c r="W192" s="57" t="str">
        <x:f aca="0">""</x:f>
      </x:c>
      <x:c r="X192" s="57" t="str">
        <x:f aca="0">""</x:f>
      </x:c>
      <x:c r="Y192" s="57" t="str">
        <x:f aca="0">""</x:f>
      </x:c>
      <x:c r="Z192" s="58"/>
      <x:c r="AA192" s="4"/>
      <x:c r="AB192" s="54" t="str">
        <x:f aca="0">""</x:f>
      </x:c>
      <x:c r="AC192" s="54" t="str">
        <x:f aca="0">""</x:f>
      </x:c>
      <x:c r="AD192" s="7"/>
      <x:c r="AE192" s="4"/>
      <x:c r="AF192" s="4"/>
      <x:c r="AG192" s="7"/>
      <x:c r="AH192" s="12" t="str">
        <x:f aca="0">""</x:f>
      </x:c>
      <x:c r="AI192" s="12" t="str">
        <x:f aca="0">""</x:f>
      </x:c>
      <x:c r="AJ192" s="12" t="str">
        <x:f aca="0">""</x:f>
      </x:c>
      <x:c r="AK192" s="12" t="str">
        <x:f aca="0">""</x:f>
      </x:c>
      <x:c r="AL192" s="19" t="str">
        <x:f aca="0">""</x:f>
      </x:c>
      <x:c r="AM192" s="56"/>
      <x:c r="AN192" s="4"/>
      <x:c r="AO192" s="4"/>
      <x:c r="AP192" s="3" t="str">
        <x:f aca="0">""</x:f>
      </x:c>
      <x:c r="AQ192" s="3" t="str">
        <x:f aca="0">""</x:f>
      </x:c>
      <x:c r="AR192" s="3" t="str">
        <x:f aca="0">""</x:f>
      </x:c>
      <x:c r="AS192" s="3" t="str">
        <x:f aca="0">""</x:f>
      </x:c>
      <x:c r="AT192" s="3" t="str">
        <x:f aca="0">""</x:f>
      </x:c>
      <x:c r="AU192" s="54" t="str">
        <x:f aca="0">""</x:f>
      </x:c>
      <x:c r="AV192" s="12" t="str">
        <x:f aca="0">""</x:f>
      </x:c>
      <x:c r="AW192" s="4"/>
      <x:c r="AX192" s="4"/>
      <x:c r="AY192" s="4"/>
      <x:c r="AZ192" s="56"/>
      <x:c r="BA192" s="4"/>
      <x:c r="BB192" s="11" t="str">
        <x:f aca="0">""</x:f>
      </x:c>
      <x:c r="BC192" s="11" t="str">
        <x:f aca="0">""</x:f>
      </x:c>
      <x:c r="BD192" s="11" t="str">
        <x:f aca="0">""</x:f>
      </x:c>
      <x:c r="BE192" s="19" t="str">
        <x:f aca="0">""</x:f>
      </x:c>
      <x:c r="BF192" s="19" t="str">
        <x:f aca="0">""</x:f>
      </x:c>
    </x:row>
    <x:row r="193" ht="14.25" hidden="0">
      <x:c r="A193" s="3"/>
      <x:c r="B193" s="55"/>
      <x:c r="C193" s="4"/>
      <x:c r="D193" s="4"/>
      <x:c r="E193" s="4"/>
      <x:c r="F193" s="4"/>
      <x:c r="G193" s="4"/>
      <x:c r="H193" s="56"/>
      <x:c r="I193" s="4"/>
      <x:c r="J193" s="4"/>
      <x:c r="K193" s="4"/>
      <x:c r="L193" s="7"/>
      <x:c r="M193" s="7"/>
      <x:c r="N193" s="57"/>
      <x:c r="O193" s="57"/>
      <x:c r="P193" s="57"/>
      <x:c r="Q193" s="3" t="str">
        <x:f aca="0">""</x:f>
      </x:c>
      <x:c r="R193" s="4"/>
      <x:c r="S193" s="4"/>
      <x:c r="T193" s="4"/>
      <x:c r="U193" s="56"/>
      <x:c r="V193" s="4"/>
      <x:c r="W193" s="57" t="str">
        <x:f aca="0">""</x:f>
      </x:c>
      <x:c r="X193" s="57" t="str">
        <x:f aca="0">""</x:f>
      </x:c>
      <x:c r="Y193" s="57" t="str">
        <x:f aca="0">""</x:f>
      </x:c>
      <x:c r="Z193" s="58"/>
      <x:c r="AA193" s="4"/>
      <x:c r="AB193" s="54" t="str">
        <x:f aca="0">""</x:f>
      </x:c>
      <x:c r="AC193" s="54" t="str">
        <x:f aca="0">""</x:f>
      </x:c>
      <x:c r="AD193" s="7"/>
      <x:c r="AE193" s="4"/>
      <x:c r="AF193" s="4"/>
      <x:c r="AG193" s="7"/>
      <x:c r="AH193" s="12" t="str">
        <x:f aca="0">""</x:f>
      </x:c>
      <x:c r="AI193" s="12" t="str">
        <x:f aca="0">""</x:f>
      </x:c>
      <x:c r="AJ193" s="12" t="str">
        <x:f aca="0">""</x:f>
      </x:c>
      <x:c r="AK193" s="12" t="str">
        <x:f aca="0">""</x:f>
      </x:c>
      <x:c r="AL193" s="19" t="str">
        <x:f aca="0">""</x:f>
      </x:c>
      <x:c r="AM193" s="56"/>
      <x:c r="AN193" s="4"/>
      <x:c r="AO193" s="4"/>
      <x:c r="AP193" s="3" t="str">
        <x:f aca="0">""</x:f>
      </x:c>
      <x:c r="AQ193" s="3" t="str">
        <x:f aca="0">""</x:f>
      </x:c>
      <x:c r="AR193" s="3" t="str">
        <x:f aca="0">""</x:f>
      </x:c>
      <x:c r="AS193" s="3" t="str">
        <x:f aca="0">""</x:f>
      </x:c>
      <x:c r="AT193" s="3" t="str">
        <x:f aca="0">""</x:f>
      </x:c>
      <x:c r="AU193" s="54" t="str">
        <x:f aca="0">""</x:f>
      </x:c>
      <x:c r="AV193" s="12" t="str">
        <x:f aca="0">""</x:f>
      </x:c>
      <x:c r="AW193" s="4"/>
      <x:c r="AX193" s="4"/>
      <x:c r="AY193" s="4"/>
      <x:c r="AZ193" s="56"/>
      <x:c r="BA193" s="4"/>
      <x:c r="BB193" s="11" t="str">
        <x:f aca="0">""</x:f>
      </x:c>
      <x:c r="BC193" s="11" t="str">
        <x:f aca="0">""</x:f>
      </x:c>
      <x:c r="BD193" s="11" t="str">
        <x:f aca="0">""</x:f>
      </x:c>
      <x:c r="BE193" s="19" t="str">
        <x:f aca="0">""</x:f>
      </x:c>
      <x:c r="BF193" s="19" t="str">
        <x:f aca="0">""</x:f>
      </x:c>
    </x:row>
    <x:row r="194" ht="14.25" hidden="0">
      <x:c r="A194" s="3"/>
      <x:c r="B194" s="55"/>
      <x:c r="C194" s="4"/>
      <x:c r="D194" s="4"/>
      <x:c r="E194" s="4"/>
      <x:c r="F194" s="4"/>
      <x:c r="G194" s="4"/>
      <x:c r="H194" s="56"/>
      <x:c r="I194" s="4"/>
      <x:c r="J194" s="4"/>
      <x:c r="K194" s="4"/>
      <x:c r="L194" s="7"/>
      <x:c r="M194" s="7"/>
      <x:c r="N194" s="57"/>
      <x:c r="O194" s="57"/>
      <x:c r="P194" s="57"/>
      <x:c r="Q194" s="3" t="str">
        <x:f aca="0">""</x:f>
      </x:c>
      <x:c r="R194" s="4"/>
      <x:c r="S194" s="4"/>
      <x:c r="T194" s="4"/>
      <x:c r="U194" s="56"/>
      <x:c r="V194" s="4"/>
      <x:c r="W194" s="57" t="str">
        <x:f aca="0">""</x:f>
      </x:c>
      <x:c r="X194" s="57" t="str">
        <x:f aca="0">""</x:f>
      </x:c>
      <x:c r="Y194" s="57" t="str">
        <x:f aca="0">""</x:f>
      </x:c>
      <x:c r="Z194" s="58"/>
      <x:c r="AA194" s="4"/>
      <x:c r="AB194" s="54" t="str">
        <x:f aca="0">""</x:f>
      </x:c>
      <x:c r="AC194" s="54" t="str">
        <x:f aca="0">""</x:f>
      </x:c>
      <x:c r="AD194" s="7"/>
      <x:c r="AE194" s="4"/>
      <x:c r="AF194" s="4"/>
      <x:c r="AG194" s="7"/>
      <x:c r="AH194" s="12" t="str">
        <x:f aca="0">""</x:f>
      </x:c>
      <x:c r="AI194" s="12" t="str">
        <x:f aca="0">""</x:f>
      </x:c>
      <x:c r="AJ194" s="12" t="str">
        <x:f aca="0">""</x:f>
      </x:c>
      <x:c r="AK194" s="12" t="str">
        <x:f aca="0">""</x:f>
      </x:c>
      <x:c r="AL194" s="19" t="str">
        <x:f aca="0">""</x:f>
      </x:c>
      <x:c r="AM194" s="56"/>
      <x:c r="AN194" s="4"/>
      <x:c r="AO194" s="4"/>
      <x:c r="AP194" s="3" t="str">
        <x:f aca="0">""</x:f>
      </x:c>
      <x:c r="AQ194" s="3" t="str">
        <x:f aca="0">""</x:f>
      </x:c>
      <x:c r="AR194" s="3" t="str">
        <x:f aca="0">""</x:f>
      </x:c>
      <x:c r="AS194" s="3" t="str">
        <x:f aca="0">""</x:f>
      </x:c>
      <x:c r="AT194" s="3" t="str">
        <x:f aca="0">""</x:f>
      </x:c>
      <x:c r="AU194" s="54" t="str">
        <x:f aca="0">""</x:f>
      </x:c>
      <x:c r="AV194" s="12" t="str">
        <x:f aca="0">""</x:f>
      </x:c>
      <x:c r="AW194" s="4"/>
      <x:c r="AX194" s="4"/>
      <x:c r="AY194" s="4"/>
      <x:c r="AZ194" s="56"/>
      <x:c r="BA194" s="4"/>
      <x:c r="BB194" s="11" t="str">
        <x:f aca="0">""</x:f>
      </x:c>
      <x:c r="BC194" s="11" t="str">
        <x:f aca="0">""</x:f>
      </x:c>
      <x:c r="BD194" s="11" t="str">
        <x:f aca="0">""</x:f>
      </x:c>
      <x:c r="BE194" s="19" t="str">
        <x:f aca="0">""</x:f>
      </x:c>
      <x:c r="BF194" s="19" t="str">
        <x:f aca="0">""</x:f>
      </x:c>
    </x:row>
    <x:row r="195" ht="14.25" hidden="0">
      <x:c r="A195" s="3"/>
      <x:c r="B195" s="55"/>
      <x:c r="C195" s="4"/>
      <x:c r="D195" s="4"/>
      <x:c r="E195" s="4"/>
      <x:c r="F195" s="4"/>
      <x:c r="G195" s="4"/>
      <x:c r="H195" s="56"/>
      <x:c r="I195" s="4"/>
      <x:c r="J195" s="4"/>
      <x:c r="K195" s="4"/>
      <x:c r="L195" s="7"/>
      <x:c r="M195" s="7"/>
      <x:c r="N195" s="57"/>
      <x:c r="O195" s="57"/>
      <x:c r="P195" s="57"/>
      <x:c r="Q195" s="3" t="str">
        <x:f aca="0">""</x:f>
      </x:c>
      <x:c r="R195" s="4"/>
      <x:c r="S195" s="4"/>
      <x:c r="T195" s="4"/>
      <x:c r="U195" s="56"/>
      <x:c r="V195" s="4"/>
      <x:c r="W195" s="57" t="str">
        <x:f aca="0">""</x:f>
      </x:c>
      <x:c r="X195" s="57" t="str">
        <x:f aca="0">""</x:f>
      </x:c>
      <x:c r="Y195" s="57" t="str">
        <x:f aca="0">""</x:f>
      </x:c>
      <x:c r="Z195" s="58"/>
      <x:c r="AA195" s="4"/>
      <x:c r="AB195" s="54" t="str">
        <x:f aca="0">""</x:f>
      </x:c>
      <x:c r="AC195" s="54" t="str">
        <x:f aca="0">""</x:f>
      </x:c>
      <x:c r="AD195" s="7"/>
      <x:c r="AE195" s="4"/>
      <x:c r="AF195" s="4"/>
      <x:c r="AG195" s="7"/>
      <x:c r="AH195" s="12" t="str">
        <x:f aca="0">""</x:f>
      </x:c>
      <x:c r="AI195" s="12" t="str">
        <x:f aca="0">""</x:f>
      </x:c>
      <x:c r="AJ195" s="12" t="str">
        <x:f aca="0">""</x:f>
      </x:c>
      <x:c r="AK195" s="12" t="str">
        <x:f aca="0">""</x:f>
      </x:c>
      <x:c r="AL195" s="19" t="str">
        <x:f aca="0">""</x:f>
      </x:c>
      <x:c r="AM195" s="56"/>
      <x:c r="AN195" s="4"/>
      <x:c r="AO195" s="4"/>
      <x:c r="AP195" s="3" t="str">
        <x:f aca="0">""</x:f>
      </x:c>
      <x:c r="AQ195" s="3" t="str">
        <x:f aca="0">""</x:f>
      </x:c>
      <x:c r="AR195" s="3" t="str">
        <x:f aca="0">""</x:f>
      </x:c>
      <x:c r="AS195" s="3" t="str">
        <x:f aca="0">""</x:f>
      </x:c>
      <x:c r="AT195" s="3" t="str">
        <x:f aca="0">""</x:f>
      </x:c>
      <x:c r="AU195" s="54" t="str">
        <x:f aca="0">""</x:f>
      </x:c>
      <x:c r="AV195" s="12" t="str">
        <x:f aca="0">""</x:f>
      </x:c>
      <x:c r="AW195" s="4"/>
      <x:c r="AX195" s="4"/>
      <x:c r="AY195" s="4"/>
      <x:c r="AZ195" s="56"/>
      <x:c r="BA195" s="4"/>
      <x:c r="BB195" s="11" t="str">
        <x:f aca="0">""</x:f>
      </x:c>
      <x:c r="BC195" s="11" t="str">
        <x:f aca="0">""</x:f>
      </x:c>
      <x:c r="BD195" s="11" t="str">
        <x:f aca="0">""</x:f>
      </x:c>
      <x:c r="BE195" s="19" t="str">
        <x:f aca="0">""</x:f>
      </x:c>
      <x:c r="BF195" s="19" t="str">
        <x:f aca="0">""</x:f>
      </x:c>
    </x:row>
    <x:row r="196" ht="14.25" hidden="0">
      <x:c r="A196" s="3"/>
      <x:c r="B196" s="55"/>
      <x:c r="C196" s="4"/>
      <x:c r="D196" s="4"/>
      <x:c r="E196" s="4"/>
      <x:c r="F196" s="4"/>
      <x:c r="G196" s="4"/>
      <x:c r="H196" s="56"/>
      <x:c r="I196" s="4"/>
      <x:c r="J196" s="4"/>
      <x:c r="K196" s="4"/>
      <x:c r="L196" s="7"/>
      <x:c r="M196" s="7"/>
      <x:c r="N196" s="57"/>
      <x:c r="O196" s="57"/>
      <x:c r="P196" s="57"/>
      <x:c r="Q196" s="3" t="str">
        <x:f aca="0">""</x:f>
      </x:c>
      <x:c r="R196" s="4"/>
      <x:c r="S196" s="4"/>
      <x:c r="T196" s="4"/>
      <x:c r="U196" s="56"/>
      <x:c r="V196" s="4"/>
      <x:c r="W196" s="57" t="str">
        <x:f aca="0">""</x:f>
      </x:c>
      <x:c r="X196" s="57" t="str">
        <x:f aca="0">""</x:f>
      </x:c>
      <x:c r="Y196" s="57" t="str">
        <x:f aca="0">""</x:f>
      </x:c>
      <x:c r="Z196" s="58"/>
      <x:c r="AA196" s="4"/>
      <x:c r="AB196" s="54" t="str">
        <x:f aca="0">""</x:f>
      </x:c>
      <x:c r="AC196" s="54" t="str">
        <x:f aca="0">""</x:f>
      </x:c>
      <x:c r="AD196" s="7"/>
      <x:c r="AE196" s="4"/>
      <x:c r="AF196" s="4"/>
      <x:c r="AG196" s="7"/>
      <x:c r="AH196" s="12" t="str">
        <x:f aca="0">""</x:f>
      </x:c>
      <x:c r="AI196" s="12" t="str">
        <x:f aca="0">""</x:f>
      </x:c>
      <x:c r="AJ196" s="12" t="str">
        <x:f aca="0">""</x:f>
      </x:c>
      <x:c r="AK196" s="12" t="str">
        <x:f aca="0">""</x:f>
      </x:c>
      <x:c r="AL196" s="19" t="str">
        <x:f aca="0">""</x:f>
      </x:c>
      <x:c r="AM196" s="56"/>
      <x:c r="AN196" s="4"/>
      <x:c r="AO196" s="4"/>
      <x:c r="AP196" s="3" t="str">
        <x:f aca="0">""</x:f>
      </x:c>
      <x:c r="AQ196" s="3" t="str">
        <x:f aca="0">""</x:f>
      </x:c>
      <x:c r="AR196" s="3" t="str">
        <x:f aca="0">""</x:f>
      </x:c>
      <x:c r="AS196" s="3" t="str">
        <x:f aca="0">""</x:f>
      </x:c>
      <x:c r="AT196" s="3" t="str">
        <x:f aca="0">""</x:f>
      </x:c>
      <x:c r="AU196" s="54" t="str">
        <x:f aca="0">""</x:f>
      </x:c>
      <x:c r="AV196" s="12" t="str">
        <x:f aca="0">""</x:f>
      </x:c>
      <x:c r="AW196" s="4"/>
      <x:c r="AX196" s="4"/>
      <x:c r="AY196" s="4"/>
      <x:c r="AZ196" s="56"/>
      <x:c r="BA196" s="4"/>
      <x:c r="BB196" s="11" t="str">
        <x:f aca="0">""</x:f>
      </x:c>
      <x:c r="BC196" s="11" t="str">
        <x:f aca="0">""</x:f>
      </x:c>
      <x:c r="BD196" s="11" t="str">
        <x:f aca="0">""</x:f>
      </x:c>
      <x:c r="BE196" s="19" t="str">
        <x:f aca="0">""</x:f>
      </x:c>
      <x:c r="BF196" s="19" t="str">
        <x:f aca="0">""</x:f>
      </x:c>
    </x:row>
    <x:row r="197" ht="14.25" hidden="0">
      <x:c r="A197" s="3"/>
      <x:c r="B197" s="55"/>
      <x:c r="C197" s="4"/>
      <x:c r="D197" s="4"/>
      <x:c r="E197" s="4"/>
      <x:c r="F197" s="4"/>
      <x:c r="G197" s="4"/>
      <x:c r="H197" s="56"/>
      <x:c r="I197" s="4"/>
      <x:c r="J197" s="4"/>
      <x:c r="K197" s="4"/>
      <x:c r="L197" s="7"/>
      <x:c r="M197" s="7"/>
      <x:c r="N197" s="57"/>
      <x:c r="O197" s="57"/>
      <x:c r="P197" s="57"/>
      <x:c r="Q197" s="3" t="str">
        <x:f aca="0">""</x:f>
      </x:c>
      <x:c r="R197" s="4"/>
      <x:c r="S197" s="4"/>
      <x:c r="T197" s="4"/>
      <x:c r="U197" s="56"/>
      <x:c r="V197" s="4"/>
      <x:c r="W197" s="57" t="str">
        <x:f aca="0">""</x:f>
      </x:c>
      <x:c r="X197" s="57" t="str">
        <x:f aca="0">""</x:f>
      </x:c>
      <x:c r="Y197" s="57" t="str">
        <x:f aca="0">""</x:f>
      </x:c>
      <x:c r="Z197" s="58"/>
      <x:c r="AA197" s="4"/>
      <x:c r="AB197" s="54" t="str">
        <x:f aca="0">""</x:f>
      </x:c>
      <x:c r="AC197" s="54" t="str">
        <x:f aca="0">""</x:f>
      </x:c>
      <x:c r="AD197" s="7"/>
      <x:c r="AE197" s="4"/>
      <x:c r="AF197" s="4"/>
      <x:c r="AG197" s="7"/>
      <x:c r="AH197" s="12" t="str">
        <x:f aca="0">""</x:f>
      </x:c>
      <x:c r="AI197" s="12" t="str">
        <x:f aca="0">""</x:f>
      </x:c>
      <x:c r="AJ197" s="12" t="str">
        <x:f aca="0">""</x:f>
      </x:c>
      <x:c r="AK197" s="12" t="str">
        <x:f aca="0">""</x:f>
      </x:c>
      <x:c r="AL197" s="19" t="str">
        <x:f aca="0">""</x:f>
      </x:c>
      <x:c r="AM197" s="56"/>
      <x:c r="AN197" s="4"/>
      <x:c r="AO197" s="4"/>
      <x:c r="AP197" s="3" t="str">
        <x:f aca="0">""</x:f>
      </x:c>
      <x:c r="AQ197" s="3" t="str">
        <x:f aca="0">""</x:f>
      </x:c>
      <x:c r="AR197" s="3" t="str">
        <x:f aca="0">""</x:f>
      </x:c>
      <x:c r="AS197" s="3" t="str">
        <x:f aca="0">""</x:f>
      </x:c>
      <x:c r="AT197" s="3" t="str">
        <x:f aca="0">""</x:f>
      </x:c>
      <x:c r="AU197" s="54" t="str">
        <x:f aca="0">""</x:f>
      </x:c>
      <x:c r="AV197" s="12" t="str">
        <x:f aca="0">""</x:f>
      </x:c>
      <x:c r="AW197" s="4"/>
      <x:c r="AX197" s="4"/>
      <x:c r="AY197" s="4"/>
      <x:c r="AZ197" s="56"/>
      <x:c r="BA197" s="4"/>
      <x:c r="BB197" s="11" t="str">
        <x:f aca="0">""</x:f>
      </x:c>
      <x:c r="BC197" s="11" t="str">
        <x:f aca="0">""</x:f>
      </x:c>
      <x:c r="BD197" s="11" t="str">
        <x:f aca="0">""</x:f>
      </x:c>
      <x:c r="BE197" s="19" t="str">
        <x:f aca="0">""</x:f>
      </x:c>
      <x:c r="BF197" s="19" t="str">
        <x:f aca="0">""</x:f>
      </x:c>
    </x:row>
    <x:row r="198" ht="14.25" hidden="0">
      <x:c r="A198" s="3"/>
      <x:c r="B198" s="55"/>
      <x:c r="C198" s="4"/>
      <x:c r="D198" s="4"/>
      <x:c r="E198" s="4"/>
      <x:c r="F198" s="4"/>
      <x:c r="G198" s="4"/>
      <x:c r="H198" s="56"/>
      <x:c r="I198" s="4"/>
      <x:c r="J198" s="4"/>
      <x:c r="K198" s="4"/>
      <x:c r="L198" s="7"/>
      <x:c r="M198" s="7"/>
      <x:c r="N198" s="57"/>
      <x:c r="O198" s="57"/>
      <x:c r="P198" s="57"/>
      <x:c r="Q198" s="3" t="str">
        <x:f aca="0">""</x:f>
      </x:c>
      <x:c r="R198" s="4"/>
      <x:c r="S198" s="4"/>
      <x:c r="T198" s="4"/>
      <x:c r="U198" s="56"/>
      <x:c r="V198" s="4"/>
      <x:c r="W198" s="57" t="str">
        <x:f aca="0">""</x:f>
      </x:c>
      <x:c r="X198" s="57" t="str">
        <x:f aca="0">""</x:f>
      </x:c>
      <x:c r="Y198" s="57" t="str">
        <x:f aca="0">""</x:f>
      </x:c>
      <x:c r="Z198" s="58"/>
      <x:c r="AA198" s="4"/>
      <x:c r="AB198" s="54" t="str">
        <x:f aca="0">""</x:f>
      </x:c>
      <x:c r="AC198" s="54" t="str">
        <x:f aca="0">""</x:f>
      </x:c>
      <x:c r="AD198" s="7"/>
      <x:c r="AE198" s="4"/>
      <x:c r="AF198" s="4"/>
      <x:c r="AG198" s="7"/>
      <x:c r="AH198" s="12" t="str">
        <x:f aca="0">""</x:f>
      </x:c>
      <x:c r="AI198" s="12" t="str">
        <x:f aca="0">""</x:f>
      </x:c>
      <x:c r="AJ198" s="12" t="str">
        <x:f aca="0">""</x:f>
      </x:c>
      <x:c r="AK198" s="12" t="str">
        <x:f aca="0">""</x:f>
      </x:c>
      <x:c r="AL198" s="19" t="str">
        <x:f aca="0">""</x:f>
      </x:c>
      <x:c r="AM198" s="56"/>
      <x:c r="AN198" s="4"/>
      <x:c r="AO198" s="4"/>
      <x:c r="AP198" s="3" t="str">
        <x:f aca="0">""</x:f>
      </x:c>
      <x:c r="AQ198" s="3" t="str">
        <x:f aca="0">""</x:f>
      </x:c>
      <x:c r="AR198" s="3" t="str">
        <x:f aca="0">""</x:f>
      </x:c>
      <x:c r="AS198" s="3" t="str">
        <x:f aca="0">""</x:f>
      </x:c>
      <x:c r="AT198" s="3" t="str">
        <x:f aca="0">""</x:f>
      </x:c>
      <x:c r="AU198" s="54" t="str">
        <x:f aca="0">""</x:f>
      </x:c>
      <x:c r="AV198" s="12" t="str">
        <x:f aca="0">""</x:f>
      </x:c>
      <x:c r="AW198" s="4"/>
      <x:c r="AX198" s="4"/>
      <x:c r="AY198" s="4"/>
      <x:c r="AZ198" s="56"/>
      <x:c r="BA198" s="4"/>
      <x:c r="BB198" s="11" t="str">
        <x:f aca="0">""</x:f>
      </x:c>
      <x:c r="BC198" s="11" t="str">
        <x:f aca="0">""</x:f>
      </x:c>
      <x:c r="BD198" s="11" t="str">
        <x:f aca="0">""</x:f>
      </x:c>
      <x:c r="BE198" s="19" t="str">
        <x:f aca="0">""</x:f>
      </x:c>
      <x:c r="BF198" s="19" t="str">
        <x:f aca="0">""</x:f>
      </x:c>
    </x:row>
    <x:row r="199" ht="14.25" hidden="0">
      <x:c r="A199" s="3"/>
      <x:c r="B199" s="55"/>
      <x:c r="C199" s="4"/>
      <x:c r="D199" s="4"/>
      <x:c r="E199" s="4"/>
      <x:c r="F199" s="4"/>
      <x:c r="G199" s="4"/>
      <x:c r="H199" s="56"/>
      <x:c r="I199" s="4"/>
      <x:c r="J199" s="4"/>
      <x:c r="K199" s="4"/>
      <x:c r="L199" s="7"/>
      <x:c r="M199" s="7"/>
      <x:c r="N199" s="57"/>
      <x:c r="O199" s="57"/>
      <x:c r="P199" s="57"/>
      <x:c r="Q199" s="3" t="str">
        <x:f aca="0">""</x:f>
      </x:c>
      <x:c r="R199" s="4"/>
      <x:c r="S199" s="4"/>
      <x:c r="T199" s="4"/>
      <x:c r="U199" s="56"/>
      <x:c r="V199" s="4"/>
      <x:c r="W199" s="57" t="str">
        <x:f aca="0">""</x:f>
      </x:c>
      <x:c r="X199" s="57" t="str">
        <x:f aca="0">""</x:f>
      </x:c>
      <x:c r="Y199" s="57" t="str">
        <x:f aca="0">""</x:f>
      </x:c>
      <x:c r="Z199" s="58"/>
      <x:c r="AA199" s="4"/>
      <x:c r="AB199" s="54" t="str">
        <x:f aca="0">""</x:f>
      </x:c>
      <x:c r="AC199" s="54" t="str">
        <x:f aca="0">""</x:f>
      </x:c>
      <x:c r="AD199" s="7"/>
      <x:c r="AE199" s="4"/>
      <x:c r="AF199" s="4"/>
      <x:c r="AG199" s="7"/>
      <x:c r="AH199" s="12" t="str">
        <x:f aca="0">""</x:f>
      </x:c>
      <x:c r="AI199" s="12" t="str">
        <x:f aca="0">""</x:f>
      </x:c>
      <x:c r="AJ199" s="12" t="str">
        <x:f aca="0">""</x:f>
      </x:c>
      <x:c r="AK199" s="12" t="str">
        <x:f aca="0">""</x:f>
      </x:c>
      <x:c r="AL199" s="19" t="str">
        <x:f aca="0">""</x:f>
      </x:c>
      <x:c r="AM199" s="56"/>
      <x:c r="AN199" s="4"/>
      <x:c r="AO199" s="4"/>
      <x:c r="AP199" s="3" t="str">
        <x:f aca="0">""</x:f>
      </x:c>
      <x:c r="AQ199" s="3" t="str">
        <x:f aca="0">""</x:f>
      </x:c>
      <x:c r="AR199" s="3" t="str">
        <x:f aca="0">""</x:f>
      </x:c>
      <x:c r="AS199" s="3" t="str">
        <x:f aca="0">""</x:f>
      </x:c>
      <x:c r="AT199" s="3" t="str">
        <x:f aca="0">""</x:f>
      </x:c>
      <x:c r="AU199" s="54" t="str">
        <x:f aca="0">""</x:f>
      </x:c>
      <x:c r="AV199" s="12" t="str">
        <x:f aca="0">""</x:f>
      </x:c>
      <x:c r="AW199" s="4"/>
      <x:c r="AX199" s="4"/>
      <x:c r="AY199" s="4"/>
      <x:c r="AZ199" s="56"/>
      <x:c r="BA199" s="4"/>
      <x:c r="BB199" s="11" t="str">
        <x:f aca="0">""</x:f>
      </x:c>
      <x:c r="BC199" s="11" t="str">
        <x:f aca="0">""</x:f>
      </x:c>
      <x:c r="BD199" s="11" t="str">
        <x:f aca="0">""</x:f>
      </x:c>
      <x:c r="BE199" s="19" t="str">
        <x:f aca="0">""</x:f>
      </x:c>
      <x:c r="BF199" s="19" t="str">
        <x:f aca="0">""</x:f>
      </x:c>
    </x:row>
    <x:row r="200" ht="14.25" hidden="0">
      <x:c r="A200" s="3"/>
      <x:c r="B200" s="55"/>
      <x:c r="C200" s="4"/>
      <x:c r="D200" s="4"/>
      <x:c r="E200" s="4"/>
      <x:c r="F200" s="4"/>
      <x:c r="G200" s="4"/>
      <x:c r="H200" s="56"/>
      <x:c r="I200" s="4"/>
      <x:c r="J200" s="4"/>
      <x:c r="K200" s="4"/>
      <x:c r="L200" s="7"/>
      <x:c r="M200" s="7"/>
      <x:c r="N200" s="57"/>
      <x:c r="O200" s="57"/>
      <x:c r="P200" s="57"/>
      <x:c r="Q200" s="3" t="str">
        <x:f aca="0">""</x:f>
      </x:c>
      <x:c r="R200" s="4"/>
      <x:c r="S200" s="4"/>
      <x:c r="T200" s="4"/>
      <x:c r="U200" s="56"/>
      <x:c r="V200" s="4"/>
      <x:c r="W200" s="57" t="str">
        <x:f aca="0">""</x:f>
      </x:c>
      <x:c r="X200" s="57" t="str">
        <x:f aca="0">""</x:f>
      </x:c>
      <x:c r="Y200" s="57" t="str">
        <x:f aca="0">""</x:f>
      </x:c>
      <x:c r="Z200" s="58"/>
      <x:c r="AA200" s="4"/>
      <x:c r="AB200" s="54" t="str">
        <x:f aca="0">""</x:f>
      </x:c>
      <x:c r="AC200" s="54" t="str">
        <x:f aca="0">""</x:f>
      </x:c>
      <x:c r="AD200" s="7"/>
      <x:c r="AE200" s="4"/>
      <x:c r="AF200" s="4"/>
      <x:c r="AG200" s="7"/>
      <x:c r="AH200" s="12" t="str">
        <x:f aca="0">""</x:f>
      </x:c>
      <x:c r="AI200" s="12" t="str">
        <x:f aca="0">""</x:f>
      </x:c>
      <x:c r="AJ200" s="12" t="str">
        <x:f aca="0">""</x:f>
      </x:c>
      <x:c r="AK200" s="12" t="str">
        <x:f aca="0">""</x:f>
      </x:c>
      <x:c r="AL200" s="19" t="str">
        <x:f aca="0">""</x:f>
      </x:c>
      <x:c r="AM200" s="56"/>
      <x:c r="AN200" s="4"/>
      <x:c r="AO200" s="4"/>
      <x:c r="AP200" s="3" t="str">
        <x:f aca="0">""</x:f>
      </x:c>
      <x:c r="AQ200" s="3" t="str">
        <x:f aca="0">""</x:f>
      </x:c>
      <x:c r="AR200" s="3" t="str">
        <x:f aca="0">""</x:f>
      </x:c>
      <x:c r="AS200" s="3" t="str">
        <x:f aca="0">""</x:f>
      </x:c>
      <x:c r="AT200" s="3" t="str">
        <x:f aca="0">""</x:f>
      </x:c>
      <x:c r="AU200" s="54" t="str">
        <x:f aca="0">""</x:f>
      </x:c>
      <x:c r="AV200" s="12" t="str">
        <x:f aca="0">""</x:f>
      </x:c>
      <x:c r="AW200" s="4"/>
      <x:c r="AX200" s="4"/>
      <x:c r="AY200" s="4"/>
      <x:c r="AZ200" s="56"/>
      <x:c r="BA200" s="4"/>
      <x:c r="BB200" s="11" t="str">
        <x:f aca="0">""</x:f>
      </x:c>
      <x:c r="BC200" s="11" t="str">
        <x:f aca="0">""</x:f>
      </x:c>
      <x:c r="BD200" s="11" t="str">
        <x:f aca="0">""</x:f>
      </x:c>
      <x:c r="BE200" s="19" t="str">
        <x:f aca="0">""</x:f>
      </x:c>
      <x:c r="BF200" s="19" t="str">
        <x:f aca="0">""</x:f>
      </x:c>
    </x:row>
    <x:row r="201" ht="14.25" hidden="0">
      <x:c r="A201" s="3"/>
      <x:c r="B201" s="55"/>
      <x:c r="C201" s="4"/>
      <x:c r="D201" s="4"/>
      <x:c r="E201" s="4"/>
      <x:c r="F201" s="4"/>
      <x:c r="G201" s="4"/>
      <x:c r="H201" s="56"/>
      <x:c r="I201" s="4"/>
      <x:c r="J201" s="4"/>
      <x:c r="K201" s="4"/>
      <x:c r="L201" s="7"/>
      <x:c r="M201" s="7"/>
      <x:c r="N201" s="57"/>
      <x:c r="O201" s="57"/>
      <x:c r="P201" s="57"/>
      <x:c r="Q201" s="3" t="str">
        <x:f aca="0">""</x:f>
      </x:c>
      <x:c r="R201" s="4"/>
      <x:c r="S201" s="4"/>
      <x:c r="T201" s="4"/>
      <x:c r="U201" s="56"/>
      <x:c r="V201" s="4"/>
      <x:c r="W201" s="57" t="str">
        <x:f aca="0">""</x:f>
      </x:c>
      <x:c r="X201" s="57" t="str">
        <x:f aca="0">""</x:f>
      </x:c>
      <x:c r="Y201" s="57" t="str">
        <x:f aca="0">""</x:f>
      </x:c>
      <x:c r="Z201" s="58"/>
      <x:c r="AA201" s="4"/>
      <x:c r="AB201" s="54" t="str">
        <x:f aca="0">""</x:f>
      </x:c>
      <x:c r="AC201" s="54" t="str">
        <x:f aca="0">""</x:f>
      </x:c>
      <x:c r="AD201" s="7"/>
      <x:c r="AE201" s="4"/>
      <x:c r="AF201" s="4"/>
      <x:c r="AG201" s="7"/>
      <x:c r="AH201" s="12" t="str">
        <x:f aca="0">""</x:f>
      </x:c>
      <x:c r="AI201" s="12" t="str">
        <x:f aca="0">""</x:f>
      </x:c>
      <x:c r="AJ201" s="12" t="str">
        <x:f aca="0">""</x:f>
      </x:c>
      <x:c r="AK201" s="12" t="str">
        <x:f aca="0">""</x:f>
      </x:c>
      <x:c r="AL201" s="19" t="str">
        <x:f aca="0">""</x:f>
      </x:c>
      <x:c r="AM201" s="56"/>
      <x:c r="AN201" s="4"/>
      <x:c r="AO201" s="4"/>
      <x:c r="AP201" s="3" t="str">
        <x:f aca="0">""</x:f>
      </x:c>
      <x:c r="AQ201" s="3" t="str">
        <x:f aca="0">""</x:f>
      </x:c>
      <x:c r="AR201" s="3" t="str">
        <x:f aca="0">""</x:f>
      </x:c>
      <x:c r="AS201" s="3" t="str">
        <x:f aca="0">""</x:f>
      </x:c>
      <x:c r="AT201" s="3" t="str">
        <x:f aca="0">""</x:f>
      </x:c>
      <x:c r="AU201" s="54" t="str">
        <x:f aca="0">""</x:f>
      </x:c>
      <x:c r="AV201" s="12" t="str">
        <x:f aca="0">""</x:f>
      </x:c>
      <x:c r="AW201" s="4"/>
      <x:c r="AX201" s="4"/>
      <x:c r="AY201" s="4"/>
      <x:c r="AZ201" s="56"/>
      <x:c r="BA201" s="4"/>
      <x:c r="BB201" s="11" t="str">
        <x:f aca="0">""</x:f>
      </x:c>
      <x:c r="BC201" s="11" t="str">
        <x:f aca="0">""</x:f>
      </x:c>
      <x:c r="BD201" s="11" t="str">
        <x:f aca="0">""</x:f>
      </x:c>
      <x:c r="BE201" s="19" t="str">
        <x:f aca="0">""</x:f>
      </x:c>
      <x:c r="BF201" s="19" t="str">
        <x:f aca="0">""</x:f>
      </x:c>
    </x:row>
    <x:row r="202" ht="14.25" hidden="0">
      <x:c r="A202" s="3"/>
      <x:c r="B202" s="55"/>
      <x:c r="C202" s="4"/>
      <x:c r="D202" s="4"/>
      <x:c r="E202" s="4"/>
      <x:c r="F202" s="4"/>
      <x:c r="G202" s="4"/>
      <x:c r="H202" s="56"/>
      <x:c r="I202" s="4"/>
      <x:c r="J202" s="4"/>
      <x:c r="K202" s="4"/>
      <x:c r="L202" s="7"/>
      <x:c r="M202" s="7"/>
      <x:c r="N202" s="57"/>
      <x:c r="O202" s="57"/>
      <x:c r="P202" s="57"/>
      <x:c r="Q202" s="3" t="str">
        <x:f aca="0">""</x:f>
      </x:c>
      <x:c r="R202" s="4"/>
      <x:c r="S202" s="4"/>
      <x:c r="T202" s="4"/>
      <x:c r="U202" s="56"/>
      <x:c r="V202" s="4"/>
      <x:c r="W202" s="57" t="str">
        <x:f aca="0">""</x:f>
      </x:c>
      <x:c r="X202" s="57" t="str">
        <x:f aca="0">""</x:f>
      </x:c>
      <x:c r="Y202" s="57" t="str">
        <x:f aca="0">""</x:f>
      </x:c>
      <x:c r="Z202" s="58"/>
      <x:c r="AA202" s="4"/>
      <x:c r="AB202" s="54" t="str">
        <x:f aca="0">""</x:f>
      </x:c>
      <x:c r="AC202" s="54" t="str">
        <x:f aca="0">""</x:f>
      </x:c>
      <x:c r="AD202" s="7"/>
      <x:c r="AE202" s="4"/>
      <x:c r="AF202" s="4"/>
      <x:c r="AG202" s="7"/>
      <x:c r="AH202" s="12" t="str">
        <x:f aca="0">""</x:f>
      </x:c>
      <x:c r="AI202" s="12" t="str">
        <x:f aca="0">""</x:f>
      </x:c>
      <x:c r="AJ202" s="12" t="str">
        <x:f aca="0">""</x:f>
      </x:c>
      <x:c r="AK202" s="12" t="str">
        <x:f aca="0">""</x:f>
      </x:c>
      <x:c r="AL202" s="19" t="str">
        <x:f aca="0">""</x:f>
      </x:c>
      <x:c r="AM202" s="56"/>
      <x:c r="AN202" s="4"/>
      <x:c r="AO202" s="4"/>
      <x:c r="AP202" s="3" t="str">
        <x:f aca="0">""</x:f>
      </x:c>
      <x:c r="AQ202" s="3" t="str">
        <x:f aca="0">""</x:f>
      </x:c>
      <x:c r="AR202" s="3" t="str">
        <x:f aca="0">""</x:f>
      </x:c>
      <x:c r="AS202" s="3" t="str">
        <x:f aca="0">""</x:f>
      </x:c>
      <x:c r="AT202" s="3" t="str">
        <x:f aca="0">""</x:f>
      </x:c>
      <x:c r="AU202" s="54" t="str">
        <x:f aca="0">""</x:f>
      </x:c>
      <x:c r="AV202" s="12" t="str">
        <x:f aca="0">""</x:f>
      </x:c>
      <x:c r="AW202" s="4"/>
      <x:c r="AX202" s="4"/>
      <x:c r="AY202" s="4"/>
      <x:c r="AZ202" s="56"/>
      <x:c r="BA202" s="4"/>
      <x:c r="BB202" s="11" t="str">
        <x:f aca="0">""</x:f>
      </x:c>
      <x:c r="BC202" s="11" t="str">
        <x:f aca="0">""</x:f>
      </x:c>
      <x:c r="BD202" s="11" t="str">
        <x:f aca="0">""</x:f>
      </x:c>
      <x:c r="BE202" s="19" t="str">
        <x:f aca="0">""</x:f>
      </x:c>
      <x:c r="BF202" s="19" t="str">
        <x:f aca="0">""</x:f>
      </x:c>
    </x:row>
    <x:row r="203" ht="14.25" hidden="0">
      <x:c r="A203" s="3"/>
      <x:c r="B203" s="55"/>
      <x:c r="C203" s="4"/>
      <x:c r="D203" s="4"/>
      <x:c r="E203" s="4"/>
      <x:c r="F203" s="4"/>
      <x:c r="G203" s="4"/>
      <x:c r="H203" s="56"/>
      <x:c r="I203" s="4"/>
      <x:c r="J203" s="4"/>
      <x:c r="K203" s="4"/>
      <x:c r="L203" s="7"/>
      <x:c r="M203" s="7"/>
      <x:c r="N203" s="57"/>
      <x:c r="O203" s="57"/>
      <x:c r="P203" s="57"/>
      <x:c r="Q203" s="3" t="str">
        <x:f aca="0">""</x:f>
      </x:c>
      <x:c r="R203" s="4"/>
      <x:c r="S203" s="4"/>
      <x:c r="T203" s="4"/>
      <x:c r="U203" s="56"/>
      <x:c r="V203" s="4"/>
      <x:c r="W203" s="57" t="str">
        <x:f aca="0">""</x:f>
      </x:c>
      <x:c r="X203" s="57" t="str">
        <x:f aca="0">""</x:f>
      </x:c>
      <x:c r="Y203" s="57" t="str">
        <x:f aca="0">""</x:f>
      </x:c>
      <x:c r="Z203" s="58"/>
      <x:c r="AA203" s="4"/>
      <x:c r="AB203" s="54" t="str">
        <x:f aca="0">""</x:f>
      </x:c>
      <x:c r="AC203" s="54" t="str">
        <x:f aca="0">""</x:f>
      </x:c>
      <x:c r="AD203" s="7"/>
      <x:c r="AE203" s="4"/>
      <x:c r="AF203" s="4"/>
      <x:c r="AG203" s="7"/>
      <x:c r="AH203" s="12" t="str">
        <x:f aca="0">""</x:f>
      </x:c>
      <x:c r="AI203" s="12" t="str">
        <x:f aca="0">""</x:f>
      </x:c>
      <x:c r="AJ203" s="12" t="str">
        <x:f aca="0">""</x:f>
      </x:c>
      <x:c r="AK203" s="12" t="str">
        <x:f aca="0">""</x:f>
      </x:c>
      <x:c r="AL203" s="19" t="str">
        <x:f aca="0">""</x:f>
      </x:c>
      <x:c r="AM203" s="56"/>
      <x:c r="AN203" s="4"/>
      <x:c r="AO203" s="4"/>
      <x:c r="AP203" s="3" t="str">
        <x:f aca="0">""</x:f>
      </x:c>
      <x:c r="AQ203" s="3" t="str">
        <x:f aca="0">""</x:f>
      </x:c>
      <x:c r="AR203" s="3" t="str">
        <x:f aca="0">""</x:f>
      </x:c>
      <x:c r="AS203" s="3" t="str">
        <x:f aca="0">""</x:f>
      </x:c>
      <x:c r="AT203" s="3" t="str">
        <x:f aca="0">""</x:f>
      </x:c>
      <x:c r="AU203" s="54" t="str">
        <x:f aca="0">""</x:f>
      </x:c>
      <x:c r="AV203" s="12" t="str">
        <x:f aca="0">""</x:f>
      </x:c>
      <x:c r="AW203" s="4"/>
      <x:c r="AX203" s="4"/>
      <x:c r="AY203" s="4"/>
      <x:c r="AZ203" s="56"/>
      <x:c r="BA203" s="4"/>
      <x:c r="BB203" s="11" t="str">
        <x:f aca="0">""</x:f>
      </x:c>
      <x:c r="BC203" s="11" t="str">
        <x:f aca="0">""</x:f>
      </x:c>
      <x:c r="BD203" s="11" t="str">
        <x:f aca="0">""</x:f>
      </x:c>
      <x:c r="BE203" s="19" t="str">
        <x:f aca="0">""</x:f>
      </x:c>
      <x:c r="BF203" s="19" t="str">
        <x:f aca="0">""</x:f>
      </x:c>
    </x:row>
    <x:row r="204" ht="14.25" hidden="0">
      <x:c r="A204" s="3"/>
      <x:c r="B204" s="55"/>
      <x:c r="C204" s="4"/>
      <x:c r="D204" s="4"/>
      <x:c r="E204" s="4"/>
      <x:c r="F204" s="4"/>
      <x:c r="G204" s="4"/>
      <x:c r="H204" s="56"/>
      <x:c r="I204" s="4"/>
      <x:c r="J204" s="4"/>
      <x:c r="K204" s="4"/>
      <x:c r="L204" s="7"/>
      <x:c r="M204" s="7"/>
      <x:c r="N204" s="57"/>
      <x:c r="O204" s="57"/>
      <x:c r="P204" s="57"/>
      <x:c r="Q204" s="3" t="str">
        <x:f aca="0">""</x:f>
      </x:c>
      <x:c r="R204" s="4"/>
      <x:c r="S204" s="4"/>
      <x:c r="T204" s="4"/>
      <x:c r="U204" s="56"/>
      <x:c r="V204" s="4"/>
      <x:c r="W204" s="57" t="str">
        <x:f aca="0">""</x:f>
      </x:c>
      <x:c r="X204" s="57" t="str">
        <x:f aca="0">""</x:f>
      </x:c>
      <x:c r="Y204" s="57" t="str">
        <x:f aca="0">""</x:f>
      </x:c>
      <x:c r="Z204" s="58"/>
      <x:c r="AA204" s="4"/>
      <x:c r="AB204" s="54" t="str">
        <x:f aca="0">""</x:f>
      </x:c>
      <x:c r="AC204" s="54" t="str">
        <x:f aca="0">""</x:f>
      </x:c>
      <x:c r="AD204" s="7"/>
      <x:c r="AE204" s="4"/>
      <x:c r="AF204" s="4"/>
      <x:c r="AG204" s="7"/>
      <x:c r="AH204" s="12" t="str">
        <x:f aca="0">""</x:f>
      </x:c>
      <x:c r="AI204" s="12" t="str">
        <x:f aca="0">""</x:f>
      </x:c>
      <x:c r="AJ204" s="12" t="str">
        <x:f aca="0">""</x:f>
      </x:c>
      <x:c r="AK204" s="12" t="str">
        <x:f aca="0">""</x:f>
      </x:c>
      <x:c r="AL204" s="19" t="str">
        <x:f aca="0">""</x:f>
      </x:c>
      <x:c r="AM204" s="56"/>
      <x:c r="AN204" s="4"/>
      <x:c r="AO204" s="4"/>
      <x:c r="AP204" s="3" t="str">
        <x:f aca="0">""</x:f>
      </x:c>
      <x:c r="AQ204" s="3" t="str">
        <x:f aca="0">""</x:f>
      </x:c>
      <x:c r="AR204" s="3" t="str">
        <x:f aca="0">""</x:f>
      </x:c>
      <x:c r="AS204" s="3" t="str">
        <x:f aca="0">""</x:f>
      </x:c>
      <x:c r="AT204" s="3" t="str">
        <x:f aca="0">""</x:f>
      </x:c>
      <x:c r="AU204" s="54" t="str">
        <x:f aca="0">""</x:f>
      </x:c>
      <x:c r="AV204" s="12" t="str">
        <x:f aca="0">""</x:f>
      </x:c>
      <x:c r="AW204" s="4"/>
      <x:c r="AX204" s="4"/>
      <x:c r="AY204" s="4"/>
      <x:c r="AZ204" s="56"/>
      <x:c r="BA204" s="4"/>
      <x:c r="BB204" s="11" t="str">
        <x:f aca="0">""</x:f>
      </x:c>
      <x:c r="BC204" s="11" t="str">
        <x:f aca="0">""</x:f>
      </x:c>
      <x:c r="BD204" s="11" t="str">
        <x:f aca="0">""</x:f>
      </x:c>
      <x:c r="BE204" s="19" t="str">
        <x:f aca="0">""</x:f>
      </x:c>
      <x:c r="BF204" s="19" t="str">
        <x:f aca="0">""</x:f>
      </x:c>
    </x:row>
    <x:row r="205" ht="14.25" hidden="0">
      <x:c r="A205" s="3"/>
      <x:c r="B205" s="55"/>
      <x:c r="C205" s="4"/>
      <x:c r="D205" s="4"/>
      <x:c r="E205" s="4"/>
      <x:c r="F205" s="4"/>
      <x:c r="G205" s="4"/>
      <x:c r="H205" s="56"/>
      <x:c r="I205" s="4"/>
      <x:c r="J205" s="4"/>
      <x:c r="K205" s="4"/>
      <x:c r="L205" s="7"/>
      <x:c r="M205" s="7"/>
      <x:c r="N205" s="57"/>
      <x:c r="O205" s="57"/>
      <x:c r="P205" s="57"/>
      <x:c r="Q205" s="3" t="str">
        <x:f aca="0">""</x:f>
      </x:c>
      <x:c r="R205" s="4"/>
      <x:c r="S205" s="4"/>
      <x:c r="T205" s="4"/>
      <x:c r="U205" s="56"/>
      <x:c r="V205" s="4"/>
      <x:c r="W205" s="57" t="str">
        <x:f aca="0">""</x:f>
      </x:c>
      <x:c r="X205" s="57" t="str">
        <x:f aca="0">""</x:f>
      </x:c>
      <x:c r="Y205" s="57" t="str">
        <x:f aca="0">""</x:f>
      </x:c>
      <x:c r="Z205" s="58"/>
      <x:c r="AA205" s="4"/>
      <x:c r="AB205" s="54" t="str">
        <x:f aca="0">""</x:f>
      </x:c>
      <x:c r="AC205" s="54" t="str">
        <x:f aca="0">""</x:f>
      </x:c>
      <x:c r="AD205" s="7"/>
      <x:c r="AE205" s="4"/>
      <x:c r="AF205" s="4"/>
      <x:c r="AG205" s="7"/>
      <x:c r="AH205" s="12" t="str">
        <x:f aca="0">""</x:f>
      </x:c>
      <x:c r="AI205" s="12" t="str">
        <x:f aca="0">""</x:f>
      </x:c>
      <x:c r="AJ205" s="12" t="str">
        <x:f aca="0">""</x:f>
      </x:c>
      <x:c r="AK205" s="12" t="str">
        <x:f aca="0">""</x:f>
      </x:c>
      <x:c r="AL205" s="19" t="str">
        <x:f aca="0">""</x:f>
      </x:c>
      <x:c r="AM205" s="56"/>
      <x:c r="AN205" s="4"/>
      <x:c r="AO205" s="4"/>
      <x:c r="AP205" s="3" t="str">
        <x:f aca="0">""</x:f>
      </x:c>
      <x:c r="AQ205" s="3" t="str">
        <x:f aca="0">""</x:f>
      </x:c>
      <x:c r="AR205" s="3" t="str">
        <x:f aca="0">""</x:f>
      </x:c>
      <x:c r="AS205" s="3" t="str">
        <x:f aca="0">""</x:f>
      </x:c>
      <x:c r="AT205" s="3" t="str">
        <x:f aca="0">""</x:f>
      </x:c>
      <x:c r="AU205" s="54" t="str">
        <x:f aca="0">""</x:f>
      </x:c>
      <x:c r="AV205" s="12" t="str">
        <x:f aca="0">""</x:f>
      </x:c>
      <x:c r="AW205" s="4"/>
      <x:c r="AX205" s="4"/>
      <x:c r="AY205" s="4"/>
      <x:c r="AZ205" s="56"/>
      <x:c r="BA205" s="4"/>
      <x:c r="BB205" s="11" t="str">
        <x:f aca="0">""</x:f>
      </x:c>
      <x:c r="BC205" s="11" t="str">
        <x:f aca="0">""</x:f>
      </x:c>
      <x:c r="BD205" s="11" t="str">
        <x:f aca="0">""</x:f>
      </x:c>
      <x:c r="BE205" s="19" t="str">
        <x:f aca="0">""</x:f>
      </x:c>
      <x:c r="BF205" s="19" t="str">
        <x:f aca="0">""</x:f>
      </x:c>
    </x:row>
    <x:row r="206" ht="14.25" hidden="0">
      <x:c r="A206" s="3"/>
      <x:c r="B206" s="55"/>
      <x:c r="C206" s="4"/>
      <x:c r="D206" s="4"/>
      <x:c r="E206" s="4"/>
      <x:c r="F206" s="4"/>
      <x:c r="G206" s="4"/>
      <x:c r="H206" s="56"/>
      <x:c r="I206" s="4"/>
      <x:c r="J206" s="4"/>
      <x:c r="K206" s="4"/>
      <x:c r="L206" s="7"/>
      <x:c r="M206" s="7"/>
      <x:c r="N206" s="57"/>
      <x:c r="O206" s="57"/>
      <x:c r="P206" s="57"/>
      <x:c r="Q206" s="3" t="str">
        <x:f aca="0">""</x:f>
      </x:c>
      <x:c r="R206" s="4"/>
      <x:c r="S206" s="4"/>
      <x:c r="T206" s="4"/>
      <x:c r="U206" s="56"/>
      <x:c r="V206" s="4"/>
      <x:c r="W206" s="57" t="str">
        <x:f aca="0">""</x:f>
      </x:c>
      <x:c r="X206" s="57" t="str">
        <x:f aca="0">""</x:f>
      </x:c>
      <x:c r="Y206" s="57" t="str">
        <x:f aca="0">""</x:f>
      </x:c>
      <x:c r="Z206" s="58"/>
      <x:c r="AA206" s="4"/>
      <x:c r="AB206" s="54" t="str">
        <x:f aca="0">""</x:f>
      </x:c>
      <x:c r="AC206" s="54" t="str">
        <x:f aca="0">""</x:f>
      </x:c>
      <x:c r="AD206" s="7"/>
      <x:c r="AE206" s="4"/>
      <x:c r="AF206" s="4"/>
      <x:c r="AG206" s="7"/>
      <x:c r="AH206" s="12" t="str">
        <x:f aca="0">""</x:f>
      </x:c>
      <x:c r="AI206" s="12" t="str">
        <x:f aca="0">""</x:f>
      </x:c>
      <x:c r="AJ206" s="12" t="str">
        <x:f aca="0">""</x:f>
      </x:c>
      <x:c r="AK206" s="12" t="str">
        <x:f aca="0">""</x:f>
      </x:c>
      <x:c r="AL206" s="19" t="str">
        <x:f aca="0">""</x:f>
      </x:c>
      <x:c r="AM206" s="56"/>
      <x:c r="AN206" s="4"/>
      <x:c r="AO206" s="4"/>
      <x:c r="AP206" s="3" t="str">
        <x:f aca="0">""</x:f>
      </x:c>
      <x:c r="AQ206" s="3" t="str">
        <x:f aca="0">""</x:f>
      </x:c>
      <x:c r="AR206" s="3" t="str">
        <x:f aca="0">""</x:f>
      </x:c>
      <x:c r="AS206" s="3" t="str">
        <x:f aca="0">""</x:f>
      </x:c>
      <x:c r="AT206" s="3" t="str">
        <x:f aca="0">""</x:f>
      </x:c>
      <x:c r="AU206" s="54" t="str">
        <x:f aca="0">""</x:f>
      </x:c>
      <x:c r="AV206" s="12" t="str">
        <x:f aca="0">""</x:f>
      </x:c>
      <x:c r="AW206" s="4"/>
      <x:c r="AX206" s="4"/>
      <x:c r="AY206" s="4"/>
      <x:c r="AZ206" s="56"/>
      <x:c r="BA206" s="4"/>
      <x:c r="BB206" s="11" t="str">
        <x:f aca="0">""</x:f>
      </x:c>
      <x:c r="BC206" s="11" t="str">
        <x:f aca="0">""</x:f>
      </x:c>
      <x:c r="BD206" s="11" t="str">
        <x:f aca="0">""</x:f>
      </x:c>
      <x:c r="BE206" s="19" t="str">
        <x:f aca="0">""</x:f>
      </x:c>
      <x:c r="BF206" s="19" t="str">
        <x:f aca="0">""</x:f>
      </x:c>
    </x:row>
    <x:row r="207" ht="14.25" hidden="0">
      <x:c r="A207" s="3"/>
      <x:c r="B207" s="55"/>
      <x:c r="C207" s="4"/>
      <x:c r="D207" s="4"/>
      <x:c r="E207" s="4"/>
      <x:c r="F207" s="4"/>
      <x:c r="G207" s="4"/>
      <x:c r="H207" s="56"/>
      <x:c r="I207" s="4"/>
      <x:c r="J207" s="4"/>
      <x:c r="K207" s="4"/>
      <x:c r="L207" s="7"/>
      <x:c r="M207" s="7"/>
      <x:c r="N207" s="57"/>
      <x:c r="O207" s="57"/>
      <x:c r="P207" s="57"/>
      <x:c r="Q207" s="3" t="str">
        <x:f aca="0">""</x:f>
      </x:c>
      <x:c r="R207" s="4"/>
      <x:c r="S207" s="4"/>
      <x:c r="T207" s="4"/>
      <x:c r="U207" s="56"/>
      <x:c r="V207" s="4"/>
      <x:c r="W207" s="57" t="str">
        <x:f aca="0">""</x:f>
      </x:c>
      <x:c r="X207" s="57" t="str">
        <x:f aca="0">""</x:f>
      </x:c>
      <x:c r="Y207" s="57" t="str">
        <x:f aca="0">""</x:f>
      </x:c>
      <x:c r="Z207" s="58"/>
      <x:c r="AA207" s="4"/>
      <x:c r="AB207" s="54" t="str">
        <x:f aca="0">""</x:f>
      </x:c>
      <x:c r="AC207" s="54" t="str">
        <x:f aca="0">""</x:f>
      </x:c>
      <x:c r="AD207" s="7"/>
      <x:c r="AE207" s="4"/>
      <x:c r="AF207" s="4"/>
      <x:c r="AG207" s="7"/>
      <x:c r="AH207" s="12" t="str">
        <x:f aca="0">""</x:f>
      </x:c>
      <x:c r="AI207" s="12" t="str">
        <x:f aca="0">""</x:f>
      </x:c>
      <x:c r="AJ207" s="12" t="str">
        <x:f aca="0">""</x:f>
      </x:c>
      <x:c r="AK207" s="12" t="str">
        <x:f aca="0">""</x:f>
      </x:c>
      <x:c r="AL207" s="19" t="str">
        <x:f aca="0">""</x:f>
      </x:c>
      <x:c r="AM207" s="56"/>
      <x:c r="AN207" s="4"/>
      <x:c r="AO207" s="4"/>
      <x:c r="AP207" s="3" t="str">
        <x:f aca="0">""</x:f>
      </x:c>
      <x:c r="AQ207" s="3" t="str">
        <x:f aca="0">""</x:f>
      </x:c>
      <x:c r="AR207" s="3" t="str">
        <x:f aca="0">""</x:f>
      </x:c>
      <x:c r="AS207" s="3" t="str">
        <x:f aca="0">""</x:f>
      </x:c>
      <x:c r="AT207" s="3" t="str">
        <x:f aca="0">""</x:f>
      </x:c>
      <x:c r="AU207" s="54" t="str">
        <x:f aca="0">""</x:f>
      </x:c>
      <x:c r="AV207" s="12" t="str">
        <x:f aca="0">""</x:f>
      </x:c>
      <x:c r="AW207" s="4"/>
      <x:c r="AX207" s="4"/>
      <x:c r="AY207" s="4"/>
      <x:c r="AZ207" s="56"/>
      <x:c r="BA207" s="4"/>
      <x:c r="BB207" s="11" t="str">
        <x:f aca="0">""</x:f>
      </x:c>
      <x:c r="BC207" s="11" t="str">
        <x:f aca="0">""</x:f>
      </x:c>
      <x:c r="BD207" s="11" t="str">
        <x:f aca="0">""</x:f>
      </x:c>
      <x:c r="BE207" s="19" t="str">
        <x:f aca="0">""</x:f>
      </x:c>
      <x:c r="BF207" s="19" t="str">
        <x:f aca="0">""</x:f>
      </x:c>
    </x:row>
    <x:row r="208" ht="14.25" hidden="0">
      <x:c r="A208" s="3"/>
      <x:c r="B208" s="55"/>
      <x:c r="C208" s="4"/>
      <x:c r="D208" s="4"/>
      <x:c r="E208" s="4"/>
      <x:c r="F208" s="4"/>
      <x:c r="G208" s="4"/>
      <x:c r="H208" s="56"/>
      <x:c r="I208" s="4"/>
      <x:c r="J208" s="4"/>
      <x:c r="K208" s="4"/>
      <x:c r="L208" s="7"/>
      <x:c r="M208" s="7"/>
      <x:c r="N208" s="57"/>
      <x:c r="O208" s="57"/>
      <x:c r="P208" s="57"/>
      <x:c r="Q208" s="3" t="str">
        <x:f aca="0">""</x:f>
      </x:c>
      <x:c r="R208" s="4"/>
      <x:c r="S208" s="4"/>
      <x:c r="T208" s="4"/>
      <x:c r="U208" s="56"/>
      <x:c r="V208" s="4"/>
      <x:c r="W208" s="57" t="str">
        <x:f aca="0">""</x:f>
      </x:c>
      <x:c r="X208" s="57" t="str">
        <x:f aca="0">""</x:f>
      </x:c>
      <x:c r="Y208" s="57" t="str">
        <x:f aca="0">""</x:f>
      </x:c>
      <x:c r="Z208" s="58"/>
      <x:c r="AA208" s="4"/>
      <x:c r="AB208" s="54" t="str">
        <x:f aca="0">""</x:f>
      </x:c>
      <x:c r="AC208" s="54" t="str">
        <x:f aca="0">""</x:f>
      </x:c>
      <x:c r="AD208" s="7"/>
      <x:c r="AE208" s="4"/>
      <x:c r="AF208" s="4"/>
      <x:c r="AG208" s="7"/>
      <x:c r="AH208" s="12" t="str">
        <x:f aca="0">""</x:f>
      </x:c>
      <x:c r="AI208" s="12" t="str">
        <x:f aca="0">""</x:f>
      </x:c>
      <x:c r="AJ208" s="12" t="str">
        <x:f aca="0">""</x:f>
      </x:c>
      <x:c r="AK208" s="12" t="str">
        <x:f aca="0">""</x:f>
      </x:c>
      <x:c r="AL208" s="19" t="str">
        <x:f aca="0">""</x:f>
      </x:c>
      <x:c r="AM208" s="56"/>
      <x:c r="AN208" s="4"/>
      <x:c r="AO208" s="4"/>
      <x:c r="AP208" s="3" t="str">
        <x:f aca="0">""</x:f>
      </x:c>
      <x:c r="AQ208" s="3" t="str">
        <x:f aca="0">""</x:f>
      </x:c>
      <x:c r="AR208" s="3" t="str">
        <x:f aca="0">""</x:f>
      </x:c>
      <x:c r="AS208" s="3" t="str">
        <x:f aca="0">""</x:f>
      </x:c>
      <x:c r="AT208" s="3" t="str">
        <x:f aca="0">""</x:f>
      </x:c>
      <x:c r="AU208" s="54" t="str">
        <x:f aca="0">""</x:f>
      </x:c>
      <x:c r="AV208" s="12" t="str">
        <x:f aca="0">""</x:f>
      </x:c>
      <x:c r="AW208" s="4"/>
      <x:c r="AX208" s="4"/>
      <x:c r="AY208" s="4"/>
      <x:c r="AZ208" s="56"/>
      <x:c r="BA208" s="4"/>
      <x:c r="BB208" s="11" t="str">
        <x:f aca="0">""</x:f>
      </x:c>
      <x:c r="BC208" s="11" t="str">
        <x:f aca="0">""</x:f>
      </x:c>
      <x:c r="BD208" s="11" t="str">
        <x:f aca="0">""</x:f>
      </x:c>
      <x:c r="BE208" s="19" t="str">
        <x:f aca="0">""</x:f>
      </x:c>
      <x:c r="BF208" s="19" t="str">
        <x:f aca="0">""</x:f>
      </x:c>
    </x:row>
    <x:row r="209" ht="14.25" hidden="0">
      <x:c r="A209" s="3"/>
      <x:c r="B209" s="55"/>
      <x:c r="C209" s="4"/>
      <x:c r="D209" s="4"/>
      <x:c r="E209" s="4"/>
      <x:c r="F209" s="4"/>
      <x:c r="G209" s="4"/>
      <x:c r="H209" s="56"/>
      <x:c r="I209" s="4"/>
      <x:c r="J209" s="4"/>
      <x:c r="K209" s="4"/>
      <x:c r="L209" s="7"/>
      <x:c r="M209" s="7"/>
      <x:c r="N209" s="57"/>
      <x:c r="O209" s="57"/>
      <x:c r="P209" s="57"/>
      <x:c r="Q209" s="3" t="str">
        <x:f aca="0">""</x:f>
      </x:c>
      <x:c r="R209" s="4"/>
      <x:c r="S209" s="4"/>
      <x:c r="T209" s="4"/>
      <x:c r="U209" s="56"/>
      <x:c r="V209" s="4"/>
      <x:c r="W209" s="57" t="str">
        <x:f aca="0">""</x:f>
      </x:c>
      <x:c r="X209" s="57" t="str">
        <x:f aca="0">""</x:f>
      </x:c>
      <x:c r="Y209" s="57" t="str">
        <x:f aca="0">""</x:f>
      </x:c>
      <x:c r="Z209" s="58"/>
      <x:c r="AA209" s="4"/>
      <x:c r="AB209" s="54" t="str">
        <x:f aca="0">""</x:f>
      </x:c>
      <x:c r="AC209" s="54" t="str">
        <x:f aca="0">""</x:f>
      </x:c>
      <x:c r="AD209" s="7"/>
      <x:c r="AE209" s="4"/>
      <x:c r="AF209" s="4"/>
      <x:c r="AG209" s="7"/>
      <x:c r="AH209" s="12" t="str">
        <x:f aca="0">""</x:f>
      </x:c>
      <x:c r="AI209" s="12" t="str">
        <x:f aca="0">""</x:f>
      </x:c>
      <x:c r="AJ209" s="12" t="str">
        <x:f aca="0">""</x:f>
      </x:c>
      <x:c r="AK209" s="12" t="str">
        <x:f aca="0">""</x:f>
      </x:c>
      <x:c r="AL209" s="19" t="str">
        <x:f aca="0">""</x:f>
      </x:c>
      <x:c r="AM209" s="56"/>
      <x:c r="AN209" s="4"/>
      <x:c r="AO209" s="4"/>
      <x:c r="AP209" s="3" t="str">
        <x:f aca="0">""</x:f>
      </x:c>
      <x:c r="AQ209" s="3" t="str">
        <x:f aca="0">""</x:f>
      </x:c>
      <x:c r="AR209" s="3" t="str">
        <x:f aca="0">""</x:f>
      </x:c>
      <x:c r="AS209" s="3" t="str">
        <x:f aca="0">""</x:f>
      </x:c>
      <x:c r="AT209" s="3" t="str">
        <x:f aca="0">""</x:f>
      </x:c>
      <x:c r="AU209" s="54" t="str">
        <x:f aca="0">""</x:f>
      </x:c>
      <x:c r="AV209" s="12" t="str">
        <x:f aca="0">""</x:f>
      </x:c>
      <x:c r="AW209" s="4"/>
      <x:c r="AX209" s="4"/>
      <x:c r="AY209" s="4"/>
      <x:c r="AZ209" s="56"/>
      <x:c r="BA209" s="4"/>
      <x:c r="BB209" s="11" t="str">
        <x:f aca="0">""</x:f>
      </x:c>
      <x:c r="BC209" s="11" t="str">
        <x:f aca="0">""</x:f>
      </x:c>
      <x:c r="BD209" s="11" t="str">
        <x:f aca="0">""</x:f>
      </x:c>
      <x:c r="BE209" s="19" t="str">
        <x:f aca="0">""</x:f>
      </x:c>
      <x:c r="BF209" s="19" t="str">
        <x:f aca="0">""</x:f>
      </x:c>
    </x:row>
    <x:row r="210" ht="14.25" hidden="0">
      <x:c r="A210" s="3"/>
      <x:c r="B210" s="55"/>
      <x:c r="C210" s="4"/>
      <x:c r="D210" s="4"/>
      <x:c r="E210" s="4"/>
      <x:c r="F210" s="4"/>
      <x:c r="G210" s="4"/>
      <x:c r="H210" s="56"/>
      <x:c r="I210" s="4"/>
      <x:c r="J210" s="4"/>
      <x:c r="K210" s="4"/>
      <x:c r="L210" s="7"/>
      <x:c r="M210" s="7"/>
      <x:c r="N210" s="57"/>
      <x:c r="O210" s="57"/>
      <x:c r="P210" s="57"/>
      <x:c r="Q210" s="3" t="str">
        <x:f aca="0">""</x:f>
      </x:c>
      <x:c r="R210" s="4"/>
      <x:c r="S210" s="4"/>
      <x:c r="T210" s="4"/>
      <x:c r="U210" s="56"/>
      <x:c r="V210" s="4"/>
      <x:c r="W210" s="57" t="str">
        <x:f aca="0">""</x:f>
      </x:c>
      <x:c r="X210" s="57" t="str">
        <x:f aca="0">""</x:f>
      </x:c>
      <x:c r="Y210" s="57" t="str">
        <x:f aca="0">""</x:f>
      </x:c>
      <x:c r="Z210" s="58"/>
      <x:c r="AA210" s="4"/>
      <x:c r="AB210" s="54" t="str">
        <x:f aca="0">""</x:f>
      </x:c>
      <x:c r="AC210" s="54" t="str">
        <x:f aca="0">""</x:f>
      </x:c>
      <x:c r="AD210" s="7"/>
      <x:c r="AE210" s="4"/>
      <x:c r="AF210" s="4"/>
      <x:c r="AG210" s="7"/>
      <x:c r="AH210" s="12" t="str">
        <x:f aca="0">""</x:f>
      </x:c>
      <x:c r="AI210" s="12" t="str">
        <x:f aca="0">""</x:f>
      </x:c>
      <x:c r="AJ210" s="12" t="str">
        <x:f aca="0">""</x:f>
      </x:c>
      <x:c r="AK210" s="12" t="str">
        <x:f aca="0">""</x:f>
      </x:c>
      <x:c r="AL210" s="19" t="str">
        <x:f aca="0">""</x:f>
      </x:c>
      <x:c r="AM210" s="56"/>
      <x:c r="AN210" s="4"/>
      <x:c r="AO210" s="4"/>
      <x:c r="AP210" s="3" t="str">
        <x:f aca="0">""</x:f>
      </x:c>
      <x:c r="AQ210" s="3" t="str">
        <x:f aca="0">""</x:f>
      </x:c>
      <x:c r="AR210" s="3" t="str">
        <x:f aca="0">""</x:f>
      </x:c>
      <x:c r="AS210" s="3" t="str">
        <x:f aca="0">""</x:f>
      </x:c>
      <x:c r="AT210" s="3" t="str">
        <x:f aca="0">""</x:f>
      </x:c>
      <x:c r="AU210" s="54" t="str">
        <x:f aca="0">""</x:f>
      </x:c>
      <x:c r="AV210" s="12" t="str">
        <x:f aca="0">""</x:f>
      </x:c>
      <x:c r="AW210" s="4"/>
      <x:c r="AX210" s="4"/>
      <x:c r="AY210" s="4"/>
      <x:c r="AZ210" s="56"/>
      <x:c r="BA210" s="4"/>
      <x:c r="BB210" s="11" t="str">
        <x:f aca="0">""</x:f>
      </x:c>
      <x:c r="BC210" s="11" t="str">
        <x:f aca="0">""</x:f>
      </x:c>
      <x:c r="BD210" s="11" t="str">
        <x:f aca="0">""</x:f>
      </x:c>
      <x:c r="BE210" s="19" t="str">
        <x:f aca="0">""</x:f>
      </x:c>
      <x:c r="BF210" s="19" t="str">
        <x:f aca="0">""</x:f>
      </x:c>
    </x:row>
    <x:row r="211" ht="14.25" hidden="0">
      <x:c r="A211" s="3"/>
      <x:c r="B211" s="55"/>
      <x:c r="C211" s="4"/>
      <x:c r="D211" s="4"/>
      <x:c r="E211" s="4"/>
      <x:c r="F211" s="4"/>
      <x:c r="G211" s="4"/>
      <x:c r="H211" s="56"/>
      <x:c r="I211" s="4"/>
      <x:c r="J211" s="4"/>
      <x:c r="K211" s="4"/>
      <x:c r="L211" s="7"/>
      <x:c r="M211" s="7"/>
      <x:c r="N211" s="57"/>
      <x:c r="O211" s="57"/>
      <x:c r="P211" s="57"/>
      <x:c r="Q211" s="3" t="str">
        <x:f aca="0">""</x:f>
      </x:c>
      <x:c r="R211" s="4"/>
      <x:c r="S211" s="4"/>
      <x:c r="T211" s="4"/>
      <x:c r="U211" s="56"/>
      <x:c r="V211" s="4"/>
      <x:c r="W211" s="57" t="str">
        <x:f aca="0">""</x:f>
      </x:c>
      <x:c r="X211" s="57" t="str">
        <x:f aca="0">""</x:f>
      </x:c>
      <x:c r="Y211" s="57" t="str">
        <x:f aca="0">""</x:f>
      </x:c>
      <x:c r="Z211" s="58"/>
      <x:c r="AA211" s="4"/>
      <x:c r="AB211" s="54" t="str">
        <x:f aca="0">""</x:f>
      </x:c>
      <x:c r="AC211" s="54" t="str">
        <x:f aca="0">""</x:f>
      </x:c>
      <x:c r="AD211" s="7"/>
      <x:c r="AE211" s="4"/>
      <x:c r="AF211" s="4"/>
      <x:c r="AG211" s="7"/>
      <x:c r="AH211" s="12" t="str">
        <x:f aca="0">""</x:f>
      </x:c>
      <x:c r="AI211" s="12" t="str">
        <x:f aca="0">""</x:f>
      </x:c>
      <x:c r="AJ211" s="12" t="str">
        <x:f aca="0">""</x:f>
      </x:c>
      <x:c r="AK211" s="12" t="str">
        <x:f aca="0">""</x:f>
      </x:c>
      <x:c r="AL211" s="19" t="str">
        <x:f aca="0">""</x:f>
      </x:c>
      <x:c r="AM211" s="56"/>
      <x:c r="AN211" s="4"/>
      <x:c r="AO211" s="4"/>
      <x:c r="AP211" s="3" t="str">
        <x:f aca="0">""</x:f>
      </x:c>
      <x:c r="AQ211" s="3" t="str">
        <x:f aca="0">""</x:f>
      </x:c>
      <x:c r="AR211" s="3" t="str">
        <x:f aca="0">""</x:f>
      </x:c>
      <x:c r="AS211" s="3" t="str">
        <x:f aca="0">""</x:f>
      </x:c>
      <x:c r="AT211" s="3" t="str">
        <x:f aca="0">""</x:f>
      </x:c>
      <x:c r="AU211" s="54" t="str">
        <x:f aca="0">""</x:f>
      </x:c>
      <x:c r="AV211" s="12" t="str">
        <x:f aca="0">""</x:f>
      </x:c>
      <x:c r="AW211" s="4"/>
      <x:c r="AX211" s="4"/>
      <x:c r="AY211" s="4"/>
      <x:c r="AZ211" s="56"/>
      <x:c r="BA211" s="4"/>
      <x:c r="BB211" s="11" t="str">
        <x:f aca="0">""</x:f>
      </x:c>
      <x:c r="BC211" s="11" t="str">
        <x:f aca="0">""</x:f>
      </x:c>
      <x:c r="BD211" s="11" t="str">
        <x:f aca="0">""</x:f>
      </x:c>
      <x:c r="BE211" s="19" t="str">
        <x:f aca="0">""</x:f>
      </x:c>
      <x:c r="BF211" s="19" t="str">
        <x:f aca="0">""</x:f>
      </x:c>
    </x:row>
    <x:row r="212" ht="14.25" hidden="0">
      <x:c r="A212" s="3"/>
      <x:c r="B212" s="55"/>
      <x:c r="C212" s="4"/>
      <x:c r="D212" s="4"/>
      <x:c r="E212" s="4"/>
      <x:c r="F212" s="4"/>
      <x:c r="G212" s="4"/>
      <x:c r="H212" s="56"/>
      <x:c r="I212" s="4"/>
      <x:c r="J212" s="4"/>
      <x:c r="K212" s="4"/>
      <x:c r="L212" s="7"/>
      <x:c r="M212" s="7"/>
      <x:c r="N212" s="57"/>
      <x:c r="O212" s="57"/>
      <x:c r="P212" s="57"/>
      <x:c r="Q212" s="3" t="str">
        <x:f aca="0">""</x:f>
      </x:c>
      <x:c r="R212" s="4"/>
      <x:c r="S212" s="4"/>
      <x:c r="T212" s="4"/>
      <x:c r="U212" s="56"/>
      <x:c r="V212" s="4"/>
      <x:c r="W212" s="57" t="str">
        <x:f aca="0">""</x:f>
      </x:c>
      <x:c r="X212" s="57" t="str">
        <x:f aca="0">""</x:f>
      </x:c>
      <x:c r="Y212" s="57" t="str">
        <x:f aca="0">""</x:f>
      </x:c>
      <x:c r="Z212" s="58"/>
      <x:c r="AA212" s="4"/>
      <x:c r="AB212" s="54" t="str">
        <x:f aca="0">""</x:f>
      </x:c>
      <x:c r="AC212" s="54" t="str">
        <x:f aca="0">""</x:f>
      </x:c>
      <x:c r="AD212" s="7"/>
      <x:c r="AE212" s="4"/>
      <x:c r="AF212" s="4"/>
      <x:c r="AG212" s="7"/>
      <x:c r="AH212" s="12" t="str">
        <x:f aca="0">""</x:f>
      </x:c>
      <x:c r="AI212" s="12" t="str">
        <x:f aca="0">""</x:f>
      </x:c>
      <x:c r="AJ212" s="12" t="str">
        <x:f aca="0">""</x:f>
      </x:c>
      <x:c r="AK212" s="12" t="str">
        <x:f aca="0">""</x:f>
      </x:c>
      <x:c r="AL212" s="19" t="str">
        <x:f aca="0">""</x:f>
      </x:c>
      <x:c r="AM212" s="56"/>
      <x:c r="AN212" s="4"/>
      <x:c r="AO212" s="4"/>
      <x:c r="AP212" s="3" t="str">
        <x:f aca="0">""</x:f>
      </x:c>
      <x:c r="AQ212" s="3" t="str">
        <x:f aca="0">""</x:f>
      </x:c>
      <x:c r="AR212" s="3" t="str">
        <x:f aca="0">""</x:f>
      </x:c>
      <x:c r="AS212" s="3" t="str">
        <x:f aca="0">""</x:f>
      </x:c>
      <x:c r="AT212" s="3" t="str">
        <x:f aca="0">""</x:f>
      </x:c>
      <x:c r="AU212" s="54" t="str">
        <x:f aca="0">""</x:f>
      </x:c>
      <x:c r="AV212" s="12" t="str">
        <x:f aca="0">""</x:f>
      </x:c>
      <x:c r="AW212" s="4"/>
      <x:c r="AX212" s="4"/>
      <x:c r="AY212" s="4"/>
      <x:c r="AZ212" s="56"/>
      <x:c r="BA212" s="4"/>
      <x:c r="BB212" s="11" t="str">
        <x:f aca="0">""</x:f>
      </x:c>
      <x:c r="BC212" s="11" t="str">
        <x:f aca="0">""</x:f>
      </x:c>
      <x:c r="BD212" s="11" t="str">
        <x:f aca="0">""</x:f>
      </x:c>
      <x:c r="BE212" s="19" t="str">
        <x:f aca="0">""</x:f>
      </x:c>
      <x:c r="BF212" s="19" t="str">
        <x:f aca="0">""</x:f>
      </x:c>
    </x:row>
    <x:row r="213" ht="14.25" hidden="0">
      <x:c r="A213" s="3"/>
      <x:c r="B213" s="55"/>
      <x:c r="C213" s="4"/>
      <x:c r="D213" s="4"/>
      <x:c r="E213" s="4"/>
      <x:c r="F213" s="4"/>
      <x:c r="G213" s="4"/>
      <x:c r="H213" s="56"/>
      <x:c r="I213" s="4"/>
      <x:c r="J213" s="4"/>
      <x:c r="K213" s="4"/>
      <x:c r="L213" s="7"/>
      <x:c r="M213" s="7"/>
      <x:c r="N213" s="57"/>
      <x:c r="O213" s="57"/>
      <x:c r="P213" s="57"/>
      <x:c r="Q213" s="3" t="str">
        <x:f aca="0">""</x:f>
      </x:c>
      <x:c r="R213" s="4"/>
      <x:c r="S213" s="4"/>
      <x:c r="T213" s="4"/>
      <x:c r="U213" s="56"/>
      <x:c r="V213" s="4"/>
      <x:c r="W213" s="57" t="str">
        <x:f aca="0">""</x:f>
      </x:c>
      <x:c r="X213" s="57" t="str">
        <x:f aca="0">""</x:f>
      </x:c>
      <x:c r="Y213" s="57" t="str">
        <x:f aca="0">""</x:f>
      </x:c>
      <x:c r="Z213" s="58"/>
      <x:c r="AA213" s="4"/>
      <x:c r="AB213" s="54" t="str">
        <x:f aca="0">""</x:f>
      </x:c>
      <x:c r="AC213" s="54" t="str">
        <x:f aca="0">""</x:f>
      </x:c>
      <x:c r="AD213" s="7"/>
      <x:c r="AE213" s="4"/>
      <x:c r="AF213" s="4"/>
      <x:c r="AG213" s="7"/>
      <x:c r="AH213" s="12" t="str">
        <x:f aca="0">""</x:f>
      </x:c>
      <x:c r="AI213" s="12" t="str">
        <x:f aca="0">""</x:f>
      </x:c>
      <x:c r="AJ213" s="12" t="str">
        <x:f aca="0">""</x:f>
      </x:c>
      <x:c r="AK213" s="12" t="str">
        <x:f aca="0">""</x:f>
      </x:c>
      <x:c r="AL213" s="19" t="str">
        <x:f aca="0">""</x:f>
      </x:c>
      <x:c r="AM213" s="56"/>
      <x:c r="AN213" s="4"/>
      <x:c r="AO213" s="4"/>
      <x:c r="AP213" s="3" t="str">
        <x:f aca="0">""</x:f>
      </x:c>
      <x:c r="AQ213" s="3" t="str">
        <x:f aca="0">""</x:f>
      </x:c>
      <x:c r="AR213" s="3" t="str">
        <x:f aca="0">""</x:f>
      </x:c>
      <x:c r="AS213" s="3" t="str">
        <x:f aca="0">""</x:f>
      </x:c>
      <x:c r="AT213" s="3" t="str">
        <x:f aca="0">""</x:f>
      </x:c>
      <x:c r="AU213" s="54" t="str">
        <x:f aca="0">""</x:f>
      </x:c>
      <x:c r="AV213" s="12" t="str">
        <x:f aca="0">""</x:f>
      </x:c>
      <x:c r="AW213" s="4"/>
      <x:c r="AX213" s="4"/>
      <x:c r="AY213" s="4"/>
      <x:c r="AZ213" s="56"/>
      <x:c r="BA213" s="4"/>
      <x:c r="BB213" s="11" t="str">
        <x:f aca="0">""</x:f>
      </x:c>
      <x:c r="BC213" s="11" t="str">
        <x:f aca="0">""</x:f>
      </x:c>
      <x:c r="BD213" s="11" t="str">
        <x:f aca="0">""</x:f>
      </x:c>
      <x:c r="BE213" s="19" t="str">
        <x:f aca="0">""</x:f>
      </x:c>
      <x:c r="BF213" s="19" t="str">
        <x:f aca="0">""</x:f>
      </x:c>
    </x:row>
    <x:row r="214" ht="14.25" hidden="0">
      <x:c r="A214" s="3"/>
      <x:c r="B214" s="55"/>
      <x:c r="C214" s="4"/>
      <x:c r="D214" s="4"/>
      <x:c r="E214" s="4"/>
      <x:c r="F214" s="4"/>
      <x:c r="G214" s="4"/>
      <x:c r="H214" s="56"/>
      <x:c r="I214" s="4"/>
      <x:c r="J214" s="4"/>
      <x:c r="K214" s="4"/>
      <x:c r="L214" s="7"/>
      <x:c r="M214" s="7"/>
      <x:c r="N214" s="57"/>
      <x:c r="O214" s="57"/>
      <x:c r="P214" s="57"/>
      <x:c r="Q214" s="3" t="str">
        <x:f aca="0">""</x:f>
      </x:c>
      <x:c r="R214" s="4"/>
      <x:c r="S214" s="4"/>
      <x:c r="T214" s="4"/>
      <x:c r="U214" s="56"/>
      <x:c r="V214" s="4"/>
      <x:c r="W214" s="57" t="str">
        <x:f aca="0">""</x:f>
      </x:c>
      <x:c r="X214" s="57" t="str">
        <x:f aca="0">""</x:f>
      </x:c>
      <x:c r="Y214" s="57" t="str">
        <x:f aca="0">""</x:f>
      </x:c>
      <x:c r="Z214" s="58"/>
      <x:c r="AA214" s="4"/>
      <x:c r="AB214" s="54" t="str">
        <x:f aca="0">""</x:f>
      </x:c>
      <x:c r="AC214" s="54" t="str">
        <x:f aca="0">""</x:f>
      </x:c>
      <x:c r="AD214" s="7"/>
      <x:c r="AE214" s="4"/>
      <x:c r="AF214" s="4"/>
      <x:c r="AG214" s="7"/>
      <x:c r="AH214" s="12" t="str">
        <x:f aca="0">""</x:f>
      </x:c>
      <x:c r="AI214" s="12" t="str">
        <x:f aca="0">""</x:f>
      </x:c>
      <x:c r="AJ214" s="12" t="str">
        <x:f aca="0">""</x:f>
      </x:c>
      <x:c r="AK214" s="12" t="str">
        <x:f aca="0">""</x:f>
      </x:c>
      <x:c r="AL214" s="19" t="str">
        <x:f aca="0">""</x:f>
      </x:c>
      <x:c r="AM214" s="56"/>
      <x:c r="AN214" s="4"/>
      <x:c r="AO214" s="4"/>
      <x:c r="AP214" s="3" t="str">
        <x:f aca="0">""</x:f>
      </x:c>
      <x:c r="AQ214" s="3" t="str">
        <x:f aca="0">""</x:f>
      </x:c>
      <x:c r="AR214" s="3" t="str">
        <x:f aca="0">""</x:f>
      </x:c>
      <x:c r="AS214" s="3" t="str">
        <x:f aca="0">""</x:f>
      </x:c>
      <x:c r="AT214" s="3" t="str">
        <x:f aca="0">""</x:f>
      </x:c>
      <x:c r="AU214" s="54" t="str">
        <x:f aca="0">""</x:f>
      </x:c>
      <x:c r="AV214" s="12" t="str">
        <x:f aca="0">""</x:f>
      </x:c>
      <x:c r="AW214" s="4"/>
      <x:c r="AX214" s="4"/>
      <x:c r="AY214" s="4"/>
      <x:c r="AZ214" s="56"/>
      <x:c r="BA214" s="4"/>
      <x:c r="BB214" s="11" t="str">
        <x:f aca="0">""</x:f>
      </x:c>
      <x:c r="BC214" s="11" t="str">
        <x:f aca="0">""</x:f>
      </x:c>
      <x:c r="BD214" s="11" t="str">
        <x:f aca="0">""</x:f>
      </x:c>
      <x:c r="BE214" s="19" t="str">
        <x:f aca="0">""</x:f>
      </x:c>
      <x:c r="BF214" s="19" t="str">
        <x:f aca="0">""</x:f>
      </x:c>
    </x:row>
    <x:row r="215" ht="14.25" hidden="0">
      <x:c r="A215" s="3"/>
      <x:c r="B215" s="55"/>
      <x:c r="C215" s="4"/>
      <x:c r="D215" s="4"/>
      <x:c r="E215" s="4"/>
      <x:c r="F215" s="4"/>
      <x:c r="G215" s="4"/>
      <x:c r="H215" s="56"/>
      <x:c r="I215" s="4"/>
      <x:c r="J215" s="4"/>
      <x:c r="K215" s="4"/>
      <x:c r="L215" s="7"/>
      <x:c r="M215" s="7"/>
      <x:c r="N215" s="57"/>
      <x:c r="O215" s="57"/>
      <x:c r="P215" s="57"/>
      <x:c r="Q215" s="3" t="str">
        <x:f aca="0">""</x:f>
      </x:c>
      <x:c r="R215" s="4"/>
      <x:c r="S215" s="4"/>
      <x:c r="T215" s="4"/>
      <x:c r="U215" s="56"/>
      <x:c r="V215" s="4"/>
      <x:c r="W215" s="57" t="str">
        <x:f aca="0">""</x:f>
      </x:c>
      <x:c r="X215" s="57" t="str">
        <x:f aca="0">""</x:f>
      </x:c>
      <x:c r="Y215" s="57" t="str">
        <x:f aca="0">""</x:f>
      </x:c>
      <x:c r="Z215" s="58"/>
      <x:c r="AA215" s="4"/>
      <x:c r="AB215" s="54" t="str">
        <x:f aca="0">""</x:f>
      </x:c>
      <x:c r="AC215" s="54" t="str">
        <x:f aca="0">""</x:f>
      </x:c>
      <x:c r="AD215" s="7"/>
      <x:c r="AE215" s="4"/>
      <x:c r="AF215" s="4"/>
      <x:c r="AG215" s="7"/>
      <x:c r="AH215" s="12" t="str">
        <x:f aca="0">""</x:f>
      </x:c>
      <x:c r="AI215" s="12" t="str">
        <x:f aca="0">""</x:f>
      </x:c>
      <x:c r="AJ215" s="12" t="str">
        <x:f aca="0">""</x:f>
      </x:c>
      <x:c r="AK215" s="12" t="str">
        <x:f aca="0">""</x:f>
      </x:c>
      <x:c r="AL215" s="19" t="str">
        <x:f aca="0">""</x:f>
      </x:c>
      <x:c r="AM215" s="56"/>
      <x:c r="AN215" s="4"/>
      <x:c r="AO215" s="4"/>
      <x:c r="AP215" s="3" t="str">
        <x:f aca="0">""</x:f>
      </x:c>
      <x:c r="AQ215" s="3" t="str">
        <x:f aca="0">""</x:f>
      </x:c>
      <x:c r="AR215" s="3" t="str">
        <x:f aca="0">""</x:f>
      </x:c>
      <x:c r="AS215" s="3" t="str">
        <x:f aca="0">""</x:f>
      </x:c>
      <x:c r="AT215" s="3" t="str">
        <x:f aca="0">""</x:f>
      </x:c>
      <x:c r="AU215" s="54" t="str">
        <x:f aca="0">""</x:f>
      </x:c>
      <x:c r="AV215" s="12" t="str">
        <x:f aca="0">""</x:f>
      </x:c>
      <x:c r="AW215" s="4"/>
      <x:c r="AX215" s="4"/>
      <x:c r="AY215" s="4"/>
      <x:c r="AZ215" s="56"/>
      <x:c r="BA215" s="4"/>
      <x:c r="BB215" s="11" t="str">
        <x:f aca="0">""</x:f>
      </x:c>
      <x:c r="BC215" s="11" t="str">
        <x:f aca="0">""</x:f>
      </x:c>
      <x:c r="BD215" s="11" t="str">
        <x:f aca="0">""</x:f>
      </x:c>
      <x:c r="BE215" s="19" t="str">
        <x:f aca="0">""</x:f>
      </x:c>
      <x:c r="BF215" s="19" t="str">
        <x:f aca="0">""</x:f>
      </x:c>
    </x:row>
    <x:row r="216" ht="14.25" hidden="0">
      <x:c r="A216" s="3"/>
      <x:c r="B216" s="55"/>
      <x:c r="C216" s="4"/>
      <x:c r="D216" s="4"/>
      <x:c r="E216" s="4"/>
      <x:c r="F216" s="4"/>
      <x:c r="G216" s="4"/>
      <x:c r="H216" s="56"/>
      <x:c r="I216" s="4"/>
      <x:c r="J216" s="4"/>
      <x:c r="K216" s="4"/>
      <x:c r="L216" s="7"/>
      <x:c r="M216" s="7"/>
      <x:c r="N216" s="57"/>
      <x:c r="O216" s="57"/>
      <x:c r="P216" s="57"/>
      <x:c r="Q216" s="3" t="str">
        <x:f aca="0">""</x:f>
      </x:c>
      <x:c r="R216" s="4"/>
      <x:c r="S216" s="4"/>
      <x:c r="T216" s="4"/>
      <x:c r="U216" s="56"/>
      <x:c r="V216" s="4"/>
      <x:c r="W216" s="57" t="str">
        <x:f aca="0">""</x:f>
      </x:c>
      <x:c r="X216" s="57" t="str">
        <x:f aca="0">""</x:f>
      </x:c>
      <x:c r="Y216" s="57" t="str">
        <x:f aca="0">""</x:f>
      </x:c>
      <x:c r="Z216" s="58"/>
      <x:c r="AA216" s="4"/>
      <x:c r="AB216" s="54" t="str">
        <x:f aca="0">""</x:f>
      </x:c>
      <x:c r="AC216" s="54" t="str">
        <x:f aca="0">""</x:f>
      </x:c>
      <x:c r="AD216" s="7"/>
      <x:c r="AE216" s="4"/>
      <x:c r="AF216" s="4"/>
      <x:c r="AG216" s="7"/>
      <x:c r="AH216" s="12" t="str">
        <x:f aca="0">""</x:f>
      </x:c>
      <x:c r="AI216" s="12" t="str">
        <x:f aca="0">""</x:f>
      </x:c>
      <x:c r="AJ216" s="12" t="str">
        <x:f aca="0">""</x:f>
      </x:c>
      <x:c r="AK216" s="12" t="str">
        <x:f aca="0">""</x:f>
      </x:c>
      <x:c r="AL216" s="19" t="str">
        <x:f aca="0">""</x:f>
      </x:c>
      <x:c r="AM216" s="56"/>
      <x:c r="AN216" s="4"/>
      <x:c r="AO216" s="4"/>
      <x:c r="AP216" s="3" t="str">
        <x:f aca="0">""</x:f>
      </x:c>
      <x:c r="AQ216" s="3" t="str">
        <x:f aca="0">""</x:f>
      </x:c>
      <x:c r="AR216" s="3" t="str">
        <x:f aca="0">""</x:f>
      </x:c>
      <x:c r="AS216" s="3" t="str">
        <x:f aca="0">""</x:f>
      </x:c>
      <x:c r="AT216" s="3" t="str">
        <x:f aca="0">""</x:f>
      </x:c>
      <x:c r="AU216" s="54" t="str">
        <x:f aca="0">""</x:f>
      </x:c>
      <x:c r="AV216" s="12" t="str">
        <x:f aca="0">""</x:f>
      </x:c>
      <x:c r="AW216" s="4"/>
      <x:c r="AX216" s="4"/>
      <x:c r="AY216" s="4"/>
      <x:c r="AZ216" s="56"/>
      <x:c r="BA216" s="4"/>
      <x:c r="BB216" s="11" t="str">
        <x:f aca="0">""</x:f>
      </x:c>
      <x:c r="BC216" s="11" t="str">
        <x:f aca="0">""</x:f>
      </x:c>
      <x:c r="BD216" s="11" t="str">
        <x:f aca="0">""</x:f>
      </x:c>
      <x:c r="BE216" s="19" t="str">
        <x:f aca="0">""</x:f>
      </x:c>
      <x:c r="BF216" s="19" t="str">
        <x:f aca="0">""</x:f>
      </x:c>
    </x:row>
    <x:row r="217" ht="14.25" hidden="0">
      <x:c r="A217" s="3"/>
      <x:c r="B217" s="55"/>
      <x:c r="C217" s="4"/>
      <x:c r="D217" s="4"/>
      <x:c r="E217" s="4"/>
      <x:c r="F217" s="4"/>
      <x:c r="G217" s="4"/>
      <x:c r="H217" s="56"/>
      <x:c r="I217" s="4"/>
      <x:c r="J217" s="4"/>
      <x:c r="K217" s="4"/>
      <x:c r="L217" s="7"/>
      <x:c r="M217" s="7"/>
      <x:c r="N217" s="57"/>
      <x:c r="O217" s="57"/>
      <x:c r="P217" s="57"/>
      <x:c r="Q217" s="3" t="str">
        <x:f aca="0">""</x:f>
      </x:c>
      <x:c r="R217" s="4"/>
      <x:c r="S217" s="4"/>
      <x:c r="T217" s="4"/>
      <x:c r="U217" s="56"/>
      <x:c r="V217" s="4"/>
      <x:c r="W217" s="57" t="str">
        <x:f aca="0">""</x:f>
      </x:c>
      <x:c r="X217" s="57" t="str">
        <x:f aca="0">""</x:f>
      </x:c>
      <x:c r="Y217" s="57" t="str">
        <x:f aca="0">""</x:f>
      </x:c>
      <x:c r="Z217" s="58"/>
      <x:c r="AA217" s="4"/>
      <x:c r="AB217" s="54" t="str">
        <x:f aca="0">""</x:f>
      </x:c>
      <x:c r="AC217" s="54" t="str">
        <x:f aca="0">""</x:f>
      </x:c>
      <x:c r="AD217" s="7"/>
      <x:c r="AE217" s="4"/>
      <x:c r="AF217" s="4"/>
      <x:c r="AG217" s="7"/>
      <x:c r="AH217" s="12" t="str">
        <x:f aca="0">""</x:f>
      </x:c>
      <x:c r="AI217" s="12" t="str">
        <x:f aca="0">""</x:f>
      </x:c>
      <x:c r="AJ217" s="12" t="str">
        <x:f aca="0">""</x:f>
      </x:c>
      <x:c r="AK217" s="12" t="str">
        <x:f aca="0">""</x:f>
      </x:c>
      <x:c r="AL217" s="19" t="str">
        <x:f aca="0">""</x:f>
      </x:c>
      <x:c r="AM217" s="56"/>
      <x:c r="AN217" s="4"/>
      <x:c r="AO217" s="4"/>
      <x:c r="AP217" s="3" t="str">
        <x:f aca="0">""</x:f>
      </x:c>
      <x:c r="AQ217" s="3" t="str">
        <x:f aca="0">""</x:f>
      </x:c>
      <x:c r="AR217" s="3" t="str">
        <x:f aca="0">""</x:f>
      </x:c>
      <x:c r="AS217" s="3" t="str">
        <x:f aca="0">""</x:f>
      </x:c>
      <x:c r="AT217" s="3" t="str">
        <x:f aca="0">""</x:f>
      </x:c>
      <x:c r="AU217" s="54" t="str">
        <x:f aca="0">""</x:f>
      </x:c>
      <x:c r="AV217" s="12" t="str">
        <x:f aca="0">""</x:f>
      </x:c>
      <x:c r="AW217" s="4"/>
      <x:c r="AX217" s="4"/>
      <x:c r="AY217" s="4"/>
      <x:c r="AZ217" s="56"/>
      <x:c r="BA217" s="4"/>
      <x:c r="BB217" s="11" t="str">
        <x:f aca="0">""</x:f>
      </x:c>
      <x:c r="BC217" s="11" t="str">
        <x:f aca="0">""</x:f>
      </x:c>
      <x:c r="BD217" s="11" t="str">
        <x:f aca="0">""</x:f>
      </x:c>
      <x:c r="BE217" s="19" t="str">
        <x:f aca="0">""</x:f>
      </x:c>
      <x:c r="BF217" s="19" t="str">
        <x:f aca="0">""</x:f>
      </x:c>
    </x:row>
    <x:row r="218" ht="14.25" hidden="0">
      <x:c r="A218" s="3"/>
      <x:c r="B218" s="55"/>
      <x:c r="C218" s="4"/>
      <x:c r="D218" s="4"/>
      <x:c r="E218" s="4"/>
      <x:c r="F218" s="4"/>
      <x:c r="G218" s="4"/>
      <x:c r="H218" s="56"/>
      <x:c r="I218" s="4"/>
      <x:c r="J218" s="4"/>
      <x:c r="K218" s="4"/>
      <x:c r="L218" s="7"/>
      <x:c r="M218" s="7"/>
      <x:c r="N218" s="57"/>
      <x:c r="O218" s="57"/>
      <x:c r="P218" s="57"/>
      <x:c r="Q218" s="3" t="str">
        <x:f aca="0">""</x:f>
      </x:c>
      <x:c r="R218" s="4"/>
      <x:c r="S218" s="4"/>
      <x:c r="T218" s="4"/>
      <x:c r="U218" s="56"/>
      <x:c r="V218" s="4"/>
      <x:c r="W218" s="57" t="str">
        <x:f aca="0">""</x:f>
      </x:c>
      <x:c r="X218" s="57" t="str">
        <x:f aca="0">""</x:f>
      </x:c>
      <x:c r="Y218" s="57" t="str">
        <x:f aca="0">""</x:f>
      </x:c>
      <x:c r="Z218" s="58"/>
      <x:c r="AA218" s="4"/>
      <x:c r="AB218" s="54" t="str">
        <x:f aca="0">""</x:f>
      </x:c>
      <x:c r="AC218" s="54" t="str">
        <x:f aca="0">""</x:f>
      </x:c>
      <x:c r="AD218" s="7"/>
      <x:c r="AE218" s="4"/>
      <x:c r="AF218" s="4"/>
      <x:c r="AG218" s="7"/>
      <x:c r="AH218" s="12" t="str">
        <x:f aca="0">""</x:f>
      </x:c>
      <x:c r="AI218" s="12" t="str">
        <x:f aca="0">""</x:f>
      </x:c>
      <x:c r="AJ218" s="12" t="str">
        <x:f aca="0">""</x:f>
      </x:c>
      <x:c r="AK218" s="12" t="str">
        <x:f aca="0">""</x:f>
      </x:c>
      <x:c r="AL218" s="19" t="str">
        <x:f aca="0">""</x:f>
      </x:c>
      <x:c r="AM218" s="56"/>
      <x:c r="AN218" s="4"/>
      <x:c r="AO218" s="4"/>
      <x:c r="AP218" s="3" t="str">
        <x:f aca="0">""</x:f>
      </x:c>
      <x:c r="AQ218" s="3" t="str">
        <x:f aca="0">""</x:f>
      </x:c>
      <x:c r="AR218" s="3" t="str">
        <x:f aca="0">""</x:f>
      </x:c>
      <x:c r="AS218" s="3" t="str">
        <x:f aca="0">""</x:f>
      </x:c>
      <x:c r="AT218" s="3" t="str">
        <x:f aca="0">""</x:f>
      </x:c>
      <x:c r="AU218" s="54" t="str">
        <x:f aca="0">""</x:f>
      </x:c>
      <x:c r="AV218" s="12" t="str">
        <x:f aca="0">""</x:f>
      </x:c>
      <x:c r="AW218" s="4"/>
      <x:c r="AX218" s="4"/>
      <x:c r="AY218" s="4"/>
      <x:c r="AZ218" s="56"/>
      <x:c r="BA218" s="4"/>
      <x:c r="BB218" s="11" t="str">
        <x:f aca="0">""</x:f>
      </x:c>
      <x:c r="BC218" s="11" t="str">
        <x:f aca="0">""</x:f>
      </x:c>
      <x:c r="BD218" s="11" t="str">
        <x:f aca="0">""</x:f>
      </x:c>
      <x:c r="BE218" s="19" t="str">
        <x:f aca="0">""</x:f>
      </x:c>
      <x:c r="BF218" s="19" t="str">
        <x:f aca="0">""</x:f>
      </x:c>
    </x:row>
    <x:row r="219" ht="14.25" hidden="0">
      <x:c r="A219" s="3"/>
      <x:c r="B219" s="55"/>
      <x:c r="C219" s="4"/>
      <x:c r="D219" s="4"/>
      <x:c r="E219" s="4"/>
      <x:c r="F219" s="4"/>
      <x:c r="G219" s="4"/>
      <x:c r="H219" s="56"/>
      <x:c r="I219" s="4"/>
      <x:c r="J219" s="4"/>
      <x:c r="K219" s="4"/>
      <x:c r="L219" s="7"/>
      <x:c r="M219" s="7"/>
      <x:c r="N219" s="57"/>
      <x:c r="O219" s="57"/>
      <x:c r="P219" s="57"/>
      <x:c r="Q219" s="3" t="str">
        <x:f aca="0">""</x:f>
      </x:c>
      <x:c r="R219" s="4"/>
      <x:c r="S219" s="4"/>
      <x:c r="T219" s="4"/>
      <x:c r="U219" s="56"/>
      <x:c r="V219" s="4"/>
      <x:c r="W219" s="57" t="str">
        <x:f aca="0">""</x:f>
      </x:c>
      <x:c r="X219" s="57" t="str">
        <x:f aca="0">""</x:f>
      </x:c>
      <x:c r="Y219" s="57" t="str">
        <x:f aca="0">""</x:f>
      </x:c>
      <x:c r="Z219" s="58"/>
      <x:c r="AA219" s="4"/>
      <x:c r="AB219" s="54" t="str">
        <x:f aca="0">""</x:f>
      </x:c>
      <x:c r="AC219" s="54" t="str">
        <x:f aca="0">""</x:f>
      </x:c>
      <x:c r="AD219" s="7"/>
      <x:c r="AE219" s="4"/>
      <x:c r="AF219" s="4"/>
      <x:c r="AG219" s="7"/>
      <x:c r="AH219" s="12" t="str">
        <x:f aca="0">""</x:f>
      </x:c>
      <x:c r="AI219" s="12" t="str">
        <x:f aca="0">""</x:f>
      </x:c>
      <x:c r="AJ219" s="12" t="str">
        <x:f aca="0">""</x:f>
      </x:c>
      <x:c r="AK219" s="12" t="str">
        <x:f aca="0">""</x:f>
      </x:c>
      <x:c r="AL219" s="19" t="str">
        <x:f aca="0">""</x:f>
      </x:c>
      <x:c r="AM219" s="56"/>
      <x:c r="AN219" s="4"/>
      <x:c r="AO219" s="4"/>
      <x:c r="AP219" s="3" t="str">
        <x:f aca="0">""</x:f>
      </x:c>
      <x:c r="AQ219" s="3" t="str">
        <x:f aca="0">""</x:f>
      </x:c>
      <x:c r="AR219" s="3" t="str">
        <x:f aca="0">""</x:f>
      </x:c>
      <x:c r="AS219" s="3" t="str">
        <x:f aca="0">""</x:f>
      </x:c>
      <x:c r="AT219" s="3" t="str">
        <x:f aca="0">""</x:f>
      </x:c>
      <x:c r="AU219" s="54" t="str">
        <x:f aca="0">""</x:f>
      </x:c>
      <x:c r="AV219" s="12" t="str">
        <x:f aca="0">""</x:f>
      </x:c>
      <x:c r="AW219" s="4"/>
      <x:c r="AX219" s="4"/>
      <x:c r="AY219" s="4"/>
      <x:c r="AZ219" s="56"/>
      <x:c r="BA219" s="4"/>
      <x:c r="BB219" s="11" t="str">
        <x:f aca="0">""</x:f>
      </x:c>
      <x:c r="BC219" s="11" t="str">
        <x:f aca="0">""</x:f>
      </x:c>
      <x:c r="BD219" s="11" t="str">
        <x:f aca="0">""</x:f>
      </x:c>
      <x:c r="BE219" s="19" t="str">
        <x:f aca="0">""</x:f>
      </x:c>
      <x:c r="BF219" s="19" t="str">
        <x:f aca="0">""</x:f>
      </x:c>
    </x:row>
    <x:row r="220" ht="14.25" hidden="0">
      <x:c r="A220" s="3"/>
      <x:c r="B220" s="55"/>
      <x:c r="C220" s="4"/>
      <x:c r="D220" s="4"/>
      <x:c r="E220" s="4"/>
      <x:c r="F220" s="4"/>
      <x:c r="G220" s="4"/>
      <x:c r="H220" s="56"/>
      <x:c r="I220" s="4"/>
      <x:c r="J220" s="4"/>
      <x:c r="K220" s="4"/>
      <x:c r="L220" s="7"/>
      <x:c r="M220" s="7"/>
      <x:c r="N220" s="57"/>
      <x:c r="O220" s="57"/>
      <x:c r="P220" s="57"/>
      <x:c r="Q220" s="3" t="str">
        <x:f aca="0">""</x:f>
      </x:c>
      <x:c r="R220" s="4"/>
      <x:c r="S220" s="4"/>
      <x:c r="T220" s="4"/>
      <x:c r="U220" s="56"/>
      <x:c r="V220" s="4"/>
      <x:c r="W220" s="57" t="str">
        <x:f aca="0">""</x:f>
      </x:c>
      <x:c r="X220" s="57" t="str">
        <x:f aca="0">""</x:f>
      </x:c>
      <x:c r="Y220" s="57" t="str">
        <x:f aca="0">""</x:f>
      </x:c>
      <x:c r="Z220" s="58"/>
      <x:c r="AA220" s="4"/>
      <x:c r="AB220" s="54" t="str">
        <x:f aca="0">""</x:f>
      </x:c>
      <x:c r="AC220" s="54" t="str">
        <x:f aca="0">""</x:f>
      </x:c>
      <x:c r="AD220" s="7"/>
      <x:c r="AE220" s="4"/>
      <x:c r="AF220" s="4"/>
      <x:c r="AG220" s="7"/>
      <x:c r="AH220" s="12" t="str">
        <x:f aca="0">""</x:f>
      </x:c>
      <x:c r="AI220" s="12" t="str">
        <x:f aca="0">""</x:f>
      </x:c>
      <x:c r="AJ220" s="12" t="str">
        <x:f aca="0">""</x:f>
      </x:c>
      <x:c r="AK220" s="12" t="str">
        <x:f aca="0">""</x:f>
      </x:c>
      <x:c r="AL220" s="19" t="str">
        <x:f aca="0">""</x:f>
      </x:c>
      <x:c r="AM220" s="56"/>
      <x:c r="AN220" s="4"/>
      <x:c r="AO220" s="4"/>
      <x:c r="AP220" s="3" t="str">
        <x:f aca="0">""</x:f>
      </x:c>
      <x:c r="AQ220" s="3" t="str">
        <x:f aca="0">""</x:f>
      </x:c>
      <x:c r="AR220" s="3" t="str">
        <x:f aca="0">""</x:f>
      </x:c>
      <x:c r="AS220" s="3" t="str">
        <x:f aca="0">""</x:f>
      </x:c>
      <x:c r="AT220" s="3" t="str">
        <x:f aca="0">""</x:f>
      </x:c>
      <x:c r="AU220" s="54" t="str">
        <x:f aca="0">""</x:f>
      </x:c>
      <x:c r="AV220" s="12" t="str">
        <x:f aca="0">""</x:f>
      </x:c>
      <x:c r="AW220" s="4"/>
      <x:c r="AX220" s="4"/>
      <x:c r="AY220" s="4"/>
      <x:c r="AZ220" s="56"/>
      <x:c r="BA220" s="4"/>
      <x:c r="BB220" s="11" t="str">
        <x:f aca="0">""</x:f>
      </x:c>
      <x:c r="BC220" s="11" t="str">
        <x:f aca="0">""</x:f>
      </x:c>
      <x:c r="BD220" s="11" t="str">
        <x:f aca="0">""</x:f>
      </x:c>
      <x:c r="BE220" s="19" t="str">
        <x:f aca="0">""</x:f>
      </x:c>
      <x:c r="BF220" s="19" t="str">
        <x:f aca="0">""</x:f>
      </x:c>
    </x:row>
    <x:row r="221" ht="14.25" hidden="0">
      <x:c r="A221" s="3"/>
      <x:c r="B221" s="55"/>
      <x:c r="C221" s="4"/>
      <x:c r="D221" s="4"/>
      <x:c r="E221" s="4"/>
      <x:c r="F221" s="4"/>
      <x:c r="G221" s="4"/>
      <x:c r="H221" s="56"/>
      <x:c r="I221" s="4"/>
      <x:c r="J221" s="4"/>
      <x:c r="K221" s="4"/>
      <x:c r="L221" s="7"/>
      <x:c r="M221" s="7"/>
      <x:c r="N221" s="57"/>
      <x:c r="O221" s="57"/>
      <x:c r="P221" s="57"/>
      <x:c r="Q221" s="3" t="str">
        <x:f aca="0">""</x:f>
      </x:c>
      <x:c r="R221" s="4"/>
      <x:c r="S221" s="4"/>
      <x:c r="T221" s="4"/>
      <x:c r="U221" s="56"/>
      <x:c r="V221" s="4"/>
      <x:c r="W221" s="57" t="str">
        <x:f aca="0">""</x:f>
      </x:c>
      <x:c r="X221" s="57" t="str">
        <x:f aca="0">""</x:f>
      </x:c>
      <x:c r="Y221" s="57" t="str">
        <x:f aca="0">""</x:f>
      </x:c>
      <x:c r="Z221" s="58"/>
      <x:c r="AA221" s="4"/>
      <x:c r="AB221" s="54" t="str">
        <x:f aca="0">""</x:f>
      </x:c>
      <x:c r="AC221" s="54" t="str">
        <x:f aca="0">""</x:f>
      </x:c>
      <x:c r="AD221" s="7"/>
      <x:c r="AE221" s="4"/>
      <x:c r="AF221" s="4"/>
      <x:c r="AG221" s="7"/>
      <x:c r="AH221" s="12" t="str">
        <x:f aca="0">""</x:f>
      </x:c>
      <x:c r="AI221" s="12" t="str">
        <x:f aca="0">""</x:f>
      </x:c>
      <x:c r="AJ221" s="12" t="str">
        <x:f aca="0">""</x:f>
      </x:c>
      <x:c r="AK221" s="12" t="str">
        <x:f aca="0">""</x:f>
      </x:c>
      <x:c r="AL221" s="19" t="str">
        <x:f aca="0">""</x:f>
      </x:c>
      <x:c r="AM221" s="56"/>
      <x:c r="AN221" s="4"/>
      <x:c r="AO221" s="4"/>
      <x:c r="AP221" s="3" t="str">
        <x:f aca="0">""</x:f>
      </x:c>
      <x:c r="AQ221" s="3" t="str">
        <x:f aca="0">""</x:f>
      </x:c>
      <x:c r="AR221" s="3" t="str">
        <x:f aca="0">""</x:f>
      </x:c>
      <x:c r="AS221" s="3" t="str">
        <x:f aca="0">""</x:f>
      </x:c>
      <x:c r="AT221" s="3" t="str">
        <x:f aca="0">""</x:f>
      </x:c>
      <x:c r="AU221" s="54" t="str">
        <x:f aca="0">""</x:f>
      </x:c>
      <x:c r="AV221" s="12" t="str">
        <x:f aca="0">""</x:f>
      </x:c>
      <x:c r="AW221" s="4"/>
      <x:c r="AX221" s="4"/>
      <x:c r="AY221" s="4"/>
      <x:c r="AZ221" s="56"/>
      <x:c r="BA221" s="4"/>
      <x:c r="BB221" s="11" t="str">
        <x:f aca="0">""</x:f>
      </x:c>
      <x:c r="BC221" s="11" t="str">
        <x:f aca="0">""</x:f>
      </x:c>
      <x:c r="BD221" s="11" t="str">
        <x:f aca="0">""</x:f>
      </x:c>
      <x:c r="BE221" s="19" t="str">
        <x:f aca="0">""</x:f>
      </x:c>
      <x:c r="BF221" s="19" t="str">
        <x:f aca="0">""</x:f>
      </x:c>
    </x:row>
    <x:row r="222" ht="14.25" hidden="0">
      <x:c r="A222" s="3"/>
      <x:c r="B222" s="55"/>
      <x:c r="C222" s="4"/>
      <x:c r="D222" s="4"/>
      <x:c r="E222" s="4"/>
      <x:c r="F222" s="4"/>
      <x:c r="G222" s="4"/>
      <x:c r="H222" s="56"/>
      <x:c r="I222" s="4"/>
      <x:c r="J222" s="4"/>
      <x:c r="K222" s="4"/>
      <x:c r="L222" s="7"/>
      <x:c r="M222" s="7"/>
      <x:c r="N222" s="57"/>
      <x:c r="O222" s="57"/>
      <x:c r="P222" s="57"/>
      <x:c r="Q222" s="3" t="str">
        <x:f aca="0">""</x:f>
      </x:c>
      <x:c r="R222" s="4"/>
      <x:c r="S222" s="4"/>
      <x:c r="T222" s="4"/>
      <x:c r="U222" s="56"/>
      <x:c r="V222" s="4"/>
      <x:c r="W222" s="57" t="str">
        <x:f aca="0">""</x:f>
      </x:c>
      <x:c r="X222" s="57" t="str">
        <x:f aca="0">""</x:f>
      </x:c>
      <x:c r="Y222" s="57" t="str">
        <x:f aca="0">""</x:f>
      </x:c>
      <x:c r="Z222" s="58"/>
      <x:c r="AA222" s="4"/>
      <x:c r="AB222" s="54" t="str">
        <x:f aca="0">""</x:f>
      </x:c>
      <x:c r="AC222" s="54" t="str">
        <x:f aca="0">""</x:f>
      </x:c>
      <x:c r="AD222" s="7"/>
      <x:c r="AE222" s="4"/>
      <x:c r="AF222" s="4"/>
      <x:c r="AG222" s="7"/>
      <x:c r="AH222" s="12" t="str">
        <x:f aca="0">""</x:f>
      </x:c>
      <x:c r="AI222" s="12" t="str">
        <x:f aca="0">""</x:f>
      </x:c>
      <x:c r="AJ222" s="12" t="str">
        <x:f aca="0">""</x:f>
      </x:c>
      <x:c r="AK222" s="12" t="str">
        <x:f aca="0">""</x:f>
      </x:c>
      <x:c r="AL222" s="19" t="str">
        <x:f aca="0">""</x:f>
      </x:c>
      <x:c r="AM222" s="56"/>
      <x:c r="AN222" s="4"/>
      <x:c r="AO222" s="4"/>
      <x:c r="AP222" s="3" t="str">
        <x:f aca="0">""</x:f>
      </x:c>
      <x:c r="AQ222" s="3" t="str">
        <x:f aca="0">""</x:f>
      </x:c>
      <x:c r="AR222" s="3" t="str">
        <x:f aca="0">""</x:f>
      </x:c>
      <x:c r="AS222" s="3" t="str">
        <x:f aca="0">""</x:f>
      </x:c>
      <x:c r="AT222" s="3" t="str">
        <x:f aca="0">""</x:f>
      </x:c>
      <x:c r="AU222" s="54" t="str">
        <x:f aca="0">""</x:f>
      </x:c>
      <x:c r="AV222" s="12" t="str">
        <x:f aca="0">""</x:f>
      </x:c>
      <x:c r="AW222" s="4"/>
      <x:c r="AX222" s="4"/>
      <x:c r="AY222" s="4"/>
      <x:c r="AZ222" s="56"/>
      <x:c r="BA222" s="4"/>
      <x:c r="BB222" s="11" t="str">
        <x:f aca="0">""</x:f>
      </x:c>
      <x:c r="BC222" s="11" t="str">
        <x:f aca="0">""</x:f>
      </x:c>
      <x:c r="BD222" s="11" t="str">
        <x:f aca="0">""</x:f>
      </x:c>
      <x:c r="BE222" s="19" t="str">
        <x:f aca="0">""</x:f>
      </x:c>
      <x:c r="BF222" s="19" t="str">
        <x:f aca="0">""</x:f>
      </x:c>
    </x:row>
    <x:row r="223" ht="14.25" hidden="0">
      <x:c r="A223" s="3"/>
      <x:c r="B223" s="55"/>
      <x:c r="C223" s="4"/>
      <x:c r="D223" s="4"/>
      <x:c r="E223" s="4"/>
      <x:c r="F223" s="4"/>
      <x:c r="G223" s="4"/>
      <x:c r="H223" s="56"/>
      <x:c r="I223" s="4"/>
      <x:c r="J223" s="4"/>
      <x:c r="K223" s="4"/>
      <x:c r="L223" s="7"/>
      <x:c r="M223" s="7"/>
      <x:c r="N223" s="57"/>
      <x:c r="O223" s="57"/>
      <x:c r="P223" s="57"/>
      <x:c r="Q223" s="3" t="str">
        <x:f aca="0">""</x:f>
      </x:c>
      <x:c r="R223" s="4"/>
      <x:c r="S223" s="4"/>
      <x:c r="T223" s="4"/>
      <x:c r="U223" s="56"/>
      <x:c r="V223" s="4"/>
      <x:c r="W223" s="57" t="str">
        <x:f aca="0">""</x:f>
      </x:c>
      <x:c r="X223" s="57" t="str">
        <x:f aca="0">""</x:f>
      </x:c>
      <x:c r="Y223" s="57" t="str">
        <x:f aca="0">""</x:f>
      </x:c>
      <x:c r="Z223" s="58"/>
      <x:c r="AA223" s="4"/>
      <x:c r="AB223" s="54" t="str">
        <x:f aca="0">""</x:f>
      </x:c>
      <x:c r="AC223" s="54" t="str">
        <x:f aca="0">""</x:f>
      </x:c>
      <x:c r="AD223" s="7"/>
      <x:c r="AE223" s="4"/>
      <x:c r="AF223" s="4"/>
      <x:c r="AG223" s="7"/>
      <x:c r="AH223" s="12" t="str">
        <x:f aca="0">""</x:f>
      </x:c>
      <x:c r="AI223" s="12" t="str">
        <x:f aca="0">""</x:f>
      </x:c>
      <x:c r="AJ223" s="12" t="str">
        <x:f aca="0">""</x:f>
      </x:c>
      <x:c r="AK223" s="12" t="str">
        <x:f aca="0">""</x:f>
      </x:c>
      <x:c r="AL223" s="19" t="str">
        <x:f aca="0">""</x:f>
      </x:c>
      <x:c r="AM223" s="56"/>
      <x:c r="AN223" s="4"/>
      <x:c r="AO223" s="4"/>
      <x:c r="AP223" s="3" t="str">
        <x:f aca="0">""</x:f>
      </x:c>
      <x:c r="AQ223" s="3" t="str">
        <x:f aca="0">""</x:f>
      </x:c>
      <x:c r="AR223" s="3" t="str">
        <x:f aca="0">""</x:f>
      </x:c>
      <x:c r="AS223" s="3" t="str">
        <x:f aca="0">""</x:f>
      </x:c>
      <x:c r="AT223" s="3" t="str">
        <x:f aca="0">""</x:f>
      </x:c>
      <x:c r="AU223" s="54" t="str">
        <x:f aca="0">""</x:f>
      </x:c>
      <x:c r="AV223" s="12" t="str">
        <x:f aca="0">""</x:f>
      </x:c>
      <x:c r="AW223" s="4"/>
      <x:c r="AX223" s="4"/>
      <x:c r="AY223" s="4"/>
      <x:c r="AZ223" s="56"/>
      <x:c r="BA223" s="4"/>
      <x:c r="BB223" s="11" t="str">
        <x:f aca="0">""</x:f>
      </x:c>
      <x:c r="BC223" s="11" t="str">
        <x:f aca="0">""</x:f>
      </x:c>
      <x:c r="BD223" s="11" t="str">
        <x:f aca="0">""</x:f>
      </x:c>
      <x:c r="BE223" s="19" t="str">
        <x:f aca="0">""</x:f>
      </x:c>
      <x:c r="BF223" s="19" t="str">
        <x:f aca="0">""</x:f>
      </x:c>
    </x:row>
    <x:row r="224" ht="14.25" hidden="0">
      <x:c r="A224" s="3"/>
      <x:c r="B224" s="55"/>
      <x:c r="C224" s="4"/>
      <x:c r="D224" s="4"/>
      <x:c r="E224" s="4"/>
      <x:c r="F224" s="4"/>
      <x:c r="G224" s="4"/>
      <x:c r="H224" s="56"/>
      <x:c r="I224" s="4"/>
      <x:c r="J224" s="4"/>
      <x:c r="K224" s="4"/>
      <x:c r="L224" s="7"/>
      <x:c r="M224" s="7"/>
      <x:c r="N224" s="57"/>
      <x:c r="O224" s="57"/>
      <x:c r="P224" s="57"/>
      <x:c r="Q224" s="3" t="str">
        <x:f aca="0">""</x:f>
      </x:c>
      <x:c r="R224" s="4"/>
      <x:c r="S224" s="4"/>
      <x:c r="T224" s="4"/>
      <x:c r="U224" s="56"/>
      <x:c r="V224" s="4"/>
      <x:c r="W224" s="57" t="str">
        <x:f aca="0">""</x:f>
      </x:c>
      <x:c r="X224" s="57" t="str">
        <x:f aca="0">""</x:f>
      </x:c>
      <x:c r="Y224" s="57" t="str">
        <x:f aca="0">""</x:f>
      </x:c>
      <x:c r="Z224" s="58"/>
      <x:c r="AA224" s="4"/>
      <x:c r="AB224" s="54" t="str">
        <x:f aca="0">""</x:f>
      </x:c>
      <x:c r="AC224" s="54" t="str">
        <x:f aca="0">""</x:f>
      </x:c>
      <x:c r="AD224" s="7"/>
      <x:c r="AE224" s="4"/>
      <x:c r="AF224" s="4"/>
      <x:c r="AG224" s="7"/>
      <x:c r="AH224" s="12" t="str">
        <x:f aca="0">""</x:f>
      </x:c>
      <x:c r="AI224" s="12" t="str">
        <x:f aca="0">""</x:f>
      </x:c>
      <x:c r="AJ224" s="12" t="str">
        <x:f aca="0">""</x:f>
      </x:c>
      <x:c r="AK224" s="12" t="str">
        <x:f aca="0">""</x:f>
      </x:c>
      <x:c r="AL224" s="19" t="str">
        <x:f aca="0">""</x:f>
      </x:c>
      <x:c r="AM224" s="56"/>
      <x:c r="AN224" s="4"/>
      <x:c r="AO224" s="4"/>
      <x:c r="AP224" s="3" t="str">
        <x:f aca="0">""</x:f>
      </x:c>
      <x:c r="AQ224" s="3" t="str">
        <x:f aca="0">""</x:f>
      </x:c>
      <x:c r="AR224" s="3" t="str">
        <x:f aca="0">""</x:f>
      </x:c>
      <x:c r="AS224" s="3" t="str">
        <x:f aca="0">""</x:f>
      </x:c>
      <x:c r="AT224" s="3" t="str">
        <x:f aca="0">""</x:f>
      </x:c>
      <x:c r="AU224" s="54" t="str">
        <x:f aca="0">""</x:f>
      </x:c>
      <x:c r="AV224" s="12" t="str">
        <x:f aca="0">""</x:f>
      </x:c>
      <x:c r="AW224" s="4"/>
      <x:c r="AX224" s="4"/>
      <x:c r="AY224" s="4"/>
      <x:c r="AZ224" s="56"/>
      <x:c r="BA224" s="4"/>
      <x:c r="BB224" s="11" t="str">
        <x:f aca="0">""</x:f>
      </x:c>
      <x:c r="BC224" s="11" t="str">
        <x:f aca="0">""</x:f>
      </x:c>
      <x:c r="BD224" s="11" t="str">
        <x:f aca="0">""</x:f>
      </x:c>
      <x:c r="BE224" s="19" t="str">
        <x:f aca="0">""</x:f>
      </x:c>
      <x:c r="BF224" s="19" t="str">
        <x:f aca="0">""</x:f>
      </x:c>
    </x:row>
    <x:row r="225" ht="14.25" hidden="0">
      <x:c r="A225" s="3"/>
      <x:c r="B225" s="55"/>
      <x:c r="C225" s="4"/>
      <x:c r="D225" s="4"/>
      <x:c r="E225" s="4"/>
      <x:c r="F225" s="4"/>
      <x:c r="G225" s="4"/>
      <x:c r="H225" s="56"/>
      <x:c r="I225" s="4"/>
      <x:c r="J225" s="4"/>
      <x:c r="K225" s="4"/>
      <x:c r="L225" s="7"/>
      <x:c r="M225" s="7"/>
      <x:c r="N225" s="57"/>
      <x:c r="O225" s="57"/>
      <x:c r="P225" s="57"/>
      <x:c r="Q225" s="3" t="str">
        <x:f aca="0">""</x:f>
      </x:c>
      <x:c r="R225" s="4"/>
      <x:c r="S225" s="4"/>
      <x:c r="T225" s="4"/>
      <x:c r="U225" s="56"/>
      <x:c r="V225" s="4"/>
      <x:c r="W225" s="57" t="str">
        <x:f aca="0">""</x:f>
      </x:c>
      <x:c r="X225" s="57" t="str">
        <x:f aca="0">""</x:f>
      </x:c>
      <x:c r="Y225" s="57" t="str">
        <x:f aca="0">""</x:f>
      </x:c>
      <x:c r="Z225" s="58"/>
      <x:c r="AA225" s="4"/>
      <x:c r="AB225" s="54" t="str">
        <x:f aca="0">""</x:f>
      </x:c>
      <x:c r="AC225" s="54" t="str">
        <x:f aca="0">""</x:f>
      </x:c>
      <x:c r="AD225" s="7"/>
      <x:c r="AE225" s="4"/>
      <x:c r="AF225" s="4"/>
      <x:c r="AG225" s="7"/>
      <x:c r="AH225" s="12" t="str">
        <x:f aca="0">""</x:f>
      </x:c>
      <x:c r="AI225" s="12" t="str">
        <x:f aca="0">""</x:f>
      </x:c>
      <x:c r="AJ225" s="12" t="str">
        <x:f aca="0">""</x:f>
      </x:c>
      <x:c r="AK225" s="12" t="str">
        <x:f aca="0">""</x:f>
      </x:c>
      <x:c r="AL225" s="19" t="str">
        <x:f aca="0">""</x:f>
      </x:c>
      <x:c r="AM225" s="56"/>
      <x:c r="AN225" s="4"/>
      <x:c r="AO225" s="4"/>
      <x:c r="AP225" s="3" t="str">
        <x:f aca="0">""</x:f>
      </x:c>
      <x:c r="AQ225" s="3" t="str">
        <x:f aca="0">""</x:f>
      </x:c>
      <x:c r="AR225" s="3" t="str">
        <x:f aca="0">""</x:f>
      </x:c>
      <x:c r="AS225" s="3" t="str">
        <x:f aca="0">""</x:f>
      </x:c>
      <x:c r="AT225" s="3" t="str">
        <x:f aca="0">""</x:f>
      </x:c>
      <x:c r="AU225" s="54" t="str">
        <x:f aca="0">""</x:f>
      </x:c>
      <x:c r="AV225" s="12" t="str">
        <x:f aca="0">""</x:f>
      </x:c>
      <x:c r="AW225" s="4"/>
      <x:c r="AX225" s="4"/>
      <x:c r="AY225" s="4"/>
      <x:c r="AZ225" s="56"/>
      <x:c r="BA225" s="4"/>
      <x:c r="BB225" s="11" t="str">
        <x:f aca="0">""</x:f>
      </x:c>
      <x:c r="BC225" s="11" t="str">
        <x:f aca="0">""</x:f>
      </x:c>
      <x:c r="BD225" s="11" t="str">
        <x:f aca="0">""</x:f>
      </x:c>
      <x:c r="BE225" s="19" t="str">
        <x:f aca="0">""</x:f>
      </x:c>
      <x:c r="BF225" s="19" t="str">
        <x:f aca="0">""</x:f>
      </x:c>
    </x:row>
    <x:row r="226" ht="14.25" hidden="0">
      <x:c r="A226" s="3"/>
      <x:c r="B226" s="55"/>
      <x:c r="C226" s="4"/>
      <x:c r="D226" s="4"/>
      <x:c r="E226" s="4"/>
      <x:c r="F226" s="4"/>
      <x:c r="G226" s="4"/>
      <x:c r="H226" s="56"/>
      <x:c r="I226" s="4"/>
      <x:c r="J226" s="4"/>
      <x:c r="K226" s="4"/>
      <x:c r="L226" s="7"/>
      <x:c r="M226" s="7"/>
      <x:c r="N226" s="57"/>
      <x:c r="O226" s="57"/>
      <x:c r="P226" s="57"/>
      <x:c r="Q226" s="3" t="str">
        <x:f aca="0">""</x:f>
      </x:c>
      <x:c r="R226" s="4"/>
      <x:c r="S226" s="4"/>
      <x:c r="T226" s="4"/>
      <x:c r="U226" s="56"/>
      <x:c r="V226" s="4"/>
      <x:c r="W226" s="57" t="str">
        <x:f aca="0">""</x:f>
      </x:c>
      <x:c r="X226" s="57" t="str">
        <x:f aca="0">""</x:f>
      </x:c>
      <x:c r="Y226" s="57" t="str">
        <x:f aca="0">""</x:f>
      </x:c>
      <x:c r="Z226" s="58"/>
      <x:c r="AA226" s="4"/>
      <x:c r="AB226" s="54" t="str">
        <x:f aca="0">""</x:f>
      </x:c>
      <x:c r="AC226" s="54" t="str">
        <x:f aca="0">""</x:f>
      </x:c>
      <x:c r="AD226" s="7"/>
      <x:c r="AE226" s="4"/>
      <x:c r="AF226" s="4"/>
      <x:c r="AG226" s="7"/>
      <x:c r="AH226" s="12" t="str">
        <x:f aca="0">""</x:f>
      </x:c>
      <x:c r="AI226" s="12" t="str">
        <x:f aca="0">""</x:f>
      </x:c>
      <x:c r="AJ226" s="12" t="str">
        <x:f aca="0">""</x:f>
      </x:c>
      <x:c r="AK226" s="12" t="str">
        <x:f aca="0">""</x:f>
      </x:c>
      <x:c r="AL226" s="19" t="str">
        <x:f aca="0">""</x:f>
      </x:c>
      <x:c r="AM226" s="56"/>
      <x:c r="AN226" s="4"/>
      <x:c r="AO226" s="4"/>
      <x:c r="AP226" s="3" t="str">
        <x:f aca="0">""</x:f>
      </x:c>
      <x:c r="AQ226" s="3" t="str">
        <x:f aca="0">""</x:f>
      </x:c>
      <x:c r="AR226" s="3" t="str">
        <x:f aca="0">""</x:f>
      </x:c>
      <x:c r="AS226" s="3" t="str">
        <x:f aca="0">""</x:f>
      </x:c>
      <x:c r="AT226" s="3" t="str">
        <x:f aca="0">""</x:f>
      </x:c>
      <x:c r="AU226" s="54" t="str">
        <x:f aca="0">""</x:f>
      </x:c>
      <x:c r="AV226" s="12" t="str">
        <x:f aca="0">""</x:f>
      </x:c>
      <x:c r="AW226" s="4"/>
      <x:c r="AX226" s="4"/>
      <x:c r="AY226" s="4"/>
      <x:c r="AZ226" s="56"/>
      <x:c r="BA226" s="4"/>
      <x:c r="BB226" s="11" t="str">
        <x:f aca="0">""</x:f>
      </x:c>
      <x:c r="BC226" s="11" t="str">
        <x:f aca="0">""</x:f>
      </x:c>
      <x:c r="BD226" s="11" t="str">
        <x:f aca="0">""</x:f>
      </x:c>
      <x:c r="BE226" s="19" t="str">
        <x:f aca="0">""</x:f>
      </x:c>
      <x:c r="BF226" s="19" t="str">
        <x:f aca="0">""</x:f>
      </x:c>
    </x:row>
    <x:row r="227" ht="14.25" hidden="0">
      <x:c r="A227" s="3"/>
      <x:c r="B227" s="55"/>
      <x:c r="C227" s="4"/>
      <x:c r="D227" s="4"/>
      <x:c r="E227" s="4"/>
      <x:c r="F227" s="4"/>
      <x:c r="G227" s="4"/>
      <x:c r="H227" s="56"/>
      <x:c r="I227" s="4"/>
      <x:c r="J227" s="4"/>
      <x:c r="K227" s="4"/>
      <x:c r="L227" s="7"/>
      <x:c r="M227" s="7"/>
      <x:c r="N227" s="57"/>
      <x:c r="O227" s="57"/>
      <x:c r="P227" s="57"/>
      <x:c r="Q227" s="3" t="str">
        <x:f aca="0">""</x:f>
      </x:c>
      <x:c r="R227" s="4"/>
      <x:c r="S227" s="4"/>
      <x:c r="T227" s="4"/>
      <x:c r="U227" s="56"/>
      <x:c r="V227" s="4"/>
      <x:c r="W227" s="57" t="str">
        <x:f aca="0">""</x:f>
      </x:c>
      <x:c r="X227" s="57" t="str">
        <x:f aca="0">""</x:f>
      </x:c>
      <x:c r="Y227" s="57" t="str">
        <x:f aca="0">""</x:f>
      </x:c>
      <x:c r="Z227" s="58"/>
      <x:c r="AA227" s="4"/>
      <x:c r="AB227" s="54" t="str">
        <x:f aca="0">""</x:f>
      </x:c>
      <x:c r="AC227" s="54" t="str">
        <x:f aca="0">""</x:f>
      </x:c>
      <x:c r="AD227" s="7"/>
      <x:c r="AE227" s="4"/>
      <x:c r="AF227" s="4"/>
      <x:c r="AG227" s="7"/>
      <x:c r="AH227" s="12" t="str">
        <x:f aca="0">""</x:f>
      </x:c>
      <x:c r="AI227" s="12" t="str">
        <x:f aca="0">""</x:f>
      </x:c>
      <x:c r="AJ227" s="12" t="str">
        <x:f aca="0">""</x:f>
      </x:c>
      <x:c r="AK227" s="12" t="str">
        <x:f aca="0">""</x:f>
      </x:c>
      <x:c r="AL227" s="19" t="str">
        <x:f aca="0">""</x:f>
      </x:c>
      <x:c r="AM227" s="56"/>
      <x:c r="AN227" s="4"/>
      <x:c r="AO227" s="4"/>
      <x:c r="AP227" s="3" t="str">
        <x:f aca="0">""</x:f>
      </x:c>
      <x:c r="AQ227" s="3" t="str">
        <x:f aca="0">""</x:f>
      </x:c>
      <x:c r="AR227" s="3" t="str">
        <x:f aca="0">""</x:f>
      </x:c>
      <x:c r="AS227" s="3" t="str">
        <x:f aca="0">""</x:f>
      </x:c>
      <x:c r="AT227" s="3" t="str">
        <x:f aca="0">""</x:f>
      </x:c>
      <x:c r="AU227" s="54" t="str">
        <x:f aca="0">""</x:f>
      </x:c>
      <x:c r="AV227" s="12" t="str">
        <x:f aca="0">""</x:f>
      </x:c>
      <x:c r="AW227" s="4"/>
      <x:c r="AX227" s="4"/>
      <x:c r="AY227" s="4"/>
      <x:c r="AZ227" s="56"/>
      <x:c r="BA227" s="4"/>
      <x:c r="BB227" s="11" t="str">
        <x:f aca="0">""</x:f>
      </x:c>
      <x:c r="BC227" s="11" t="str">
        <x:f aca="0">""</x:f>
      </x:c>
      <x:c r="BD227" s="11" t="str">
        <x:f aca="0">""</x:f>
      </x:c>
      <x:c r="BE227" s="19" t="str">
        <x:f aca="0">""</x:f>
      </x:c>
      <x:c r="BF227" s="19" t="str">
        <x:f aca="0">""</x:f>
      </x:c>
    </x:row>
    <x:row r="228" ht="14.25" hidden="0">
      <x:c r="A228" s="3"/>
      <x:c r="B228" s="55"/>
      <x:c r="C228" s="4"/>
      <x:c r="D228" s="4"/>
      <x:c r="E228" s="4"/>
      <x:c r="F228" s="4"/>
      <x:c r="G228" s="4"/>
      <x:c r="H228" s="56"/>
      <x:c r="I228" s="4"/>
      <x:c r="J228" s="4"/>
      <x:c r="K228" s="4"/>
      <x:c r="L228" s="7"/>
      <x:c r="M228" s="7"/>
      <x:c r="N228" s="57"/>
      <x:c r="O228" s="57"/>
      <x:c r="P228" s="57"/>
      <x:c r="Q228" s="3" t="str">
        <x:f aca="0">""</x:f>
      </x:c>
      <x:c r="R228" s="4"/>
      <x:c r="S228" s="4"/>
      <x:c r="T228" s="4"/>
      <x:c r="U228" s="56"/>
      <x:c r="V228" s="4"/>
      <x:c r="W228" s="57" t="str">
        <x:f aca="0">""</x:f>
      </x:c>
      <x:c r="X228" s="57" t="str">
        <x:f aca="0">""</x:f>
      </x:c>
      <x:c r="Y228" s="57" t="str">
        <x:f aca="0">""</x:f>
      </x:c>
      <x:c r="Z228" s="58"/>
      <x:c r="AA228" s="4"/>
      <x:c r="AB228" s="54" t="str">
        <x:f aca="0">""</x:f>
      </x:c>
      <x:c r="AC228" s="54" t="str">
        <x:f aca="0">""</x:f>
      </x:c>
      <x:c r="AD228" s="7"/>
      <x:c r="AE228" s="4"/>
      <x:c r="AF228" s="4"/>
      <x:c r="AG228" s="7"/>
      <x:c r="AH228" s="12" t="str">
        <x:f aca="0">""</x:f>
      </x:c>
      <x:c r="AI228" s="12" t="str">
        <x:f aca="0">""</x:f>
      </x:c>
      <x:c r="AJ228" s="12" t="str">
        <x:f aca="0">""</x:f>
      </x:c>
      <x:c r="AK228" s="12" t="str">
        <x:f aca="0">""</x:f>
      </x:c>
      <x:c r="AL228" s="19" t="str">
        <x:f aca="0">""</x:f>
      </x:c>
      <x:c r="AM228" s="56"/>
      <x:c r="AN228" s="4"/>
      <x:c r="AO228" s="4"/>
      <x:c r="AP228" s="3" t="str">
        <x:f aca="0">""</x:f>
      </x:c>
      <x:c r="AQ228" s="3" t="str">
        <x:f aca="0">""</x:f>
      </x:c>
      <x:c r="AR228" s="3" t="str">
        <x:f aca="0">""</x:f>
      </x:c>
      <x:c r="AS228" s="3" t="str">
        <x:f aca="0">""</x:f>
      </x:c>
      <x:c r="AT228" s="3" t="str">
        <x:f aca="0">""</x:f>
      </x:c>
      <x:c r="AU228" s="54" t="str">
        <x:f aca="0">""</x:f>
      </x:c>
      <x:c r="AV228" s="12" t="str">
        <x:f aca="0">""</x:f>
      </x:c>
      <x:c r="AW228" s="4"/>
      <x:c r="AX228" s="4"/>
      <x:c r="AY228" s="4"/>
      <x:c r="AZ228" s="56"/>
      <x:c r="BA228" s="4"/>
      <x:c r="BB228" s="11" t="str">
        <x:f aca="0">""</x:f>
      </x:c>
      <x:c r="BC228" s="11" t="str">
        <x:f aca="0">""</x:f>
      </x:c>
      <x:c r="BD228" s="11" t="str">
        <x:f aca="0">""</x:f>
      </x:c>
      <x:c r="BE228" s="19" t="str">
        <x:f aca="0">""</x:f>
      </x:c>
      <x:c r="BF228" s="19" t="str">
        <x:f aca="0">""</x:f>
      </x:c>
    </x:row>
    <x:row r="229" ht="14.25" hidden="0">
      <x:c r="A229" s="3"/>
      <x:c r="B229" s="55"/>
      <x:c r="C229" s="4"/>
      <x:c r="D229" s="4"/>
      <x:c r="E229" s="4"/>
      <x:c r="F229" s="4"/>
      <x:c r="G229" s="4"/>
      <x:c r="H229" s="56"/>
      <x:c r="I229" s="4"/>
      <x:c r="J229" s="4"/>
      <x:c r="K229" s="4"/>
      <x:c r="L229" s="7"/>
      <x:c r="M229" s="7"/>
      <x:c r="N229" s="57"/>
      <x:c r="O229" s="57"/>
      <x:c r="P229" s="57"/>
      <x:c r="Q229" s="3" t="str">
        <x:f aca="0">""</x:f>
      </x:c>
      <x:c r="R229" s="4"/>
      <x:c r="S229" s="4"/>
      <x:c r="T229" s="4"/>
      <x:c r="U229" s="56"/>
      <x:c r="V229" s="4"/>
      <x:c r="W229" s="57" t="str">
        <x:f aca="0">""</x:f>
      </x:c>
      <x:c r="X229" s="57" t="str">
        <x:f aca="0">""</x:f>
      </x:c>
      <x:c r="Y229" s="57" t="str">
        <x:f aca="0">""</x:f>
      </x:c>
      <x:c r="Z229" s="58"/>
      <x:c r="AA229" s="4"/>
      <x:c r="AB229" s="54" t="str">
        <x:f aca="0">""</x:f>
      </x:c>
      <x:c r="AC229" s="54" t="str">
        <x:f aca="0">""</x:f>
      </x:c>
      <x:c r="AD229" s="7"/>
      <x:c r="AE229" s="4"/>
      <x:c r="AF229" s="4"/>
      <x:c r="AG229" s="7"/>
      <x:c r="AH229" s="12" t="str">
        <x:f aca="0">""</x:f>
      </x:c>
      <x:c r="AI229" s="12" t="str">
        <x:f aca="0">""</x:f>
      </x:c>
      <x:c r="AJ229" s="12" t="str">
        <x:f aca="0">""</x:f>
      </x:c>
      <x:c r="AK229" s="12" t="str">
        <x:f aca="0">""</x:f>
      </x:c>
      <x:c r="AL229" s="19" t="str">
        <x:f aca="0">""</x:f>
      </x:c>
      <x:c r="AM229" s="56"/>
      <x:c r="AN229" s="4"/>
      <x:c r="AO229" s="4"/>
      <x:c r="AP229" s="3" t="str">
        <x:f aca="0">""</x:f>
      </x:c>
      <x:c r="AQ229" s="3" t="str">
        <x:f aca="0">""</x:f>
      </x:c>
      <x:c r="AR229" s="3" t="str">
        <x:f aca="0">""</x:f>
      </x:c>
      <x:c r="AS229" s="3" t="str">
        <x:f aca="0">""</x:f>
      </x:c>
      <x:c r="AT229" s="3" t="str">
        <x:f aca="0">""</x:f>
      </x:c>
      <x:c r="AU229" s="54" t="str">
        <x:f aca="0">""</x:f>
      </x:c>
      <x:c r="AV229" s="12" t="str">
        <x:f aca="0">""</x:f>
      </x:c>
      <x:c r="AW229" s="4"/>
      <x:c r="AX229" s="4"/>
      <x:c r="AY229" s="4"/>
      <x:c r="AZ229" s="56"/>
      <x:c r="BA229" s="4"/>
      <x:c r="BB229" s="11" t="str">
        <x:f aca="0">""</x:f>
      </x:c>
      <x:c r="BC229" s="11" t="str">
        <x:f aca="0">""</x:f>
      </x:c>
      <x:c r="BD229" s="11" t="str">
        <x:f aca="0">""</x:f>
      </x:c>
      <x:c r="BE229" s="19" t="str">
        <x:f aca="0">""</x:f>
      </x:c>
      <x:c r="BF229" s="19" t="str">
        <x:f aca="0">""</x:f>
      </x:c>
    </x:row>
    <x:row r="230" ht="14.25" hidden="0">
      <x:c r="A230" s="3"/>
      <x:c r="B230" s="55"/>
      <x:c r="C230" s="4"/>
      <x:c r="D230" s="4"/>
      <x:c r="E230" s="4"/>
      <x:c r="F230" s="4"/>
      <x:c r="G230" s="4"/>
      <x:c r="H230" s="56"/>
      <x:c r="I230" s="4"/>
      <x:c r="J230" s="4"/>
      <x:c r="K230" s="4"/>
      <x:c r="L230" s="7"/>
      <x:c r="M230" s="7"/>
      <x:c r="N230" s="57"/>
      <x:c r="O230" s="57"/>
      <x:c r="P230" s="57"/>
      <x:c r="Q230" s="3" t="str">
        <x:f aca="0">""</x:f>
      </x:c>
      <x:c r="R230" s="4"/>
      <x:c r="S230" s="4"/>
      <x:c r="T230" s="4"/>
      <x:c r="U230" s="56"/>
      <x:c r="V230" s="4"/>
      <x:c r="W230" s="57" t="str">
        <x:f aca="0">""</x:f>
      </x:c>
      <x:c r="X230" s="57" t="str">
        <x:f aca="0">""</x:f>
      </x:c>
      <x:c r="Y230" s="57" t="str">
        <x:f aca="0">""</x:f>
      </x:c>
      <x:c r="Z230" s="58"/>
      <x:c r="AA230" s="4"/>
      <x:c r="AB230" s="54" t="str">
        <x:f aca="0">""</x:f>
      </x:c>
      <x:c r="AC230" s="54" t="str">
        <x:f aca="0">""</x:f>
      </x:c>
      <x:c r="AD230" s="7"/>
      <x:c r="AE230" s="4"/>
      <x:c r="AF230" s="4"/>
      <x:c r="AG230" s="7"/>
      <x:c r="AH230" s="12" t="str">
        <x:f aca="0">""</x:f>
      </x:c>
      <x:c r="AI230" s="12" t="str">
        <x:f aca="0">""</x:f>
      </x:c>
      <x:c r="AJ230" s="12" t="str">
        <x:f aca="0">""</x:f>
      </x:c>
      <x:c r="AK230" s="12" t="str">
        <x:f aca="0">""</x:f>
      </x:c>
      <x:c r="AL230" s="19" t="str">
        <x:f aca="0">""</x:f>
      </x:c>
      <x:c r="AM230" s="56"/>
      <x:c r="AN230" s="4"/>
      <x:c r="AO230" s="4"/>
      <x:c r="AP230" s="3" t="str">
        <x:f aca="0">""</x:f>
      </x:c>
      <x:c r="AQ230" s="3" t="str">
        <x:f aca="0">""</x:f>
      </x:c>
      <x:c r="AR230" s="3" t="str">
        <x:f aca="0">""</x:f>
      </x:c>
      <x:c r="AS230" s="3" t="str">
        <x:f aca="0">""</x:f>
      </x:c>
      <x:c r="AT230" s="3" t="str">
        <x:f aca="0">""</x:f>
      </x:c>
      <x:c r="AU230" s="54" t="str">
        <x:f aca="0">""</x:f>
      </x:c>
      <x:c r="AV230" s="12" t="str">
        <x:f aca="0">""</x:f>
      </x:c>
      <x:c r="AW230" s="4"/>
      <x:c r="AX230" s="4"/>
      <x:c r="AY230" s="4"/>
      <x:c r="AZ230" s="56"/>
      <x:c r="BA230" s="4"/>
      <x:c r="BB230" s="11" t="str">
        <x:f aca="0">""</x:f>
      </x:c>
      <x:c r="BC230" s="11" t="str">
        <x:f aca="0">""</x:f>
      </x:c>
      <x:c r="BD230" s="11" t="str">
        <x:f aca="0">""</x:f>
      </x:c>
      <x:c r="BE230" s="19" t="str">
        <x:f aca="0">""</x:f>
      </x:c>
      <x:c r="BF230" s="19" t="str">
        <x:f aca="0">""</x:f>
      </x:c>
    </x:row>
    <x:row r="231" ht="14.25" hidden="0">
      <x:c r="A231" s="3"/>
      <x:c r="B231" s="55"/>
      <x:c r="C231" s="4"/>
      <x:c r="D231" s="4"/>
      <x:c r="E231" s="4"/>
      <x:c r="F231" s="4"/>
      <x:c r="G231" s="4"/>
      <x:c r="H231" s="56"/>
      <x:c r="I231" s="4"/>
      <x:c r="J231" s="4"/>
      <x:c r="K231" s="4"/>
      <x:c r="L231" s="7"/>
      <x:c r="M231" s="7"/>
      <x:c r="N231" s="57"/>
      <x:c r="O231" s="57"/>
      <x:c r="P231" s="57"/>
      <x:c r="Q231" s="3" t="str">
        <x:f aca="0">""</x:f>
      </x:c>
      <x:c r="R231" s="4"/>
      <x:c r="S231" s="4"/>
      <x:c r="T231" s="4"/>
      <x:c r="U231" s="56"/>
      <x:c r="V231" s="4"/>
      <x:c r="W231" s="57" t="str">
        <x:f aca="0">""</x:f>
      </x:c>
      <x:c r="X231" s="57" t="str">
        <x:f aca="0">""</x:f>
      </x:c>
      <x:c r="Y231" s="57" t="str">
        <x:f aca="0">""</x:f>
      </x:c>
      <x:c r="Z231" s="58"/>
      <x:c r="AA231" s="4"/>
      <x:c r="AB231" s="54" t="str">
        <x:f aca="0">""</x:f>
      </x:c>
      <x:c r="AC231" s="54" t="str">
        <x:f aca="0">""</x:f>
      </x:c>
      <x:c r="AD231" s="7"/>
      <x:c r="AE231" s="4"/>
      <x:c r="AF231" s="4"/>
      <x:c r="AG231" s="7"/>
      <x:c r="AH231" s="12" t="str">
        <x:f aca="0">""</x:f>
      </x:c>
      <x:c r="AI231" s="12" t="str">
        <x:f aca="0">""</x:f>
      </x:c>
      <x:c r="AJ231" s="12" t="str">
        <x:f aca="0">""</x:f>
      </x:c>
      <x:c r="AK231" s="12" t="str">
        <x:f aca="0">""</x:f>
      </x:c>
      <x:c r="AL231" s="19" t="str">
        <x:f aca="0">""</x:f>
      </x:c>
      <x:c r="AM231" s="56"/>
      <x:c r="AN231" s="4"/>
      <x:c r="AO231" s="4"/>
      <x:c r="AP231" s="3" t="str">
        <x:f aca="0">""</x:f>
      </x:c>
      <x:c r="AQ231" s="3" t="str">
        <x:f aca="0">""</x:f>
      </x:c>
      <x:c r="AR231" s="3" t="str">
        <x:f aca="0">""</x:f>
      </x:c>
      <x:c r="AS231" s="3" t="str">
        <x:f aca="0">""</x:f>
      </x:c>
      <x:c r="AT231" s="3" t="str">
        <x:f aca="0">""</x:f>
      </x:c>
      <x:c r="AU231" s="54" t="str">
        <x:f aca="0">""</x:f>
      </x:c>
      <x:c r="AV231" s="12" t="str">
        <x:f aca="0">""</x:f>
      </x:c>
      <x:c r="AW231" s="4"/>
      <x:c r="AX231" s="4"/>
      <x:c r="AY231" s="4"/>
      <x:c r="AZ231" s="56"/>
      <x:c r="BA231" s="4"/>
      <x:c r="BB231" s="11" t="str">
        <x:f aca="0">""</x:f>
      </x:c>
      <x:c r="BC231" s="11" t="str">
        <x:f aca="0">""</x:f>
      </x:c>
      <x:c r="BD231" s="11" t="str">
        <x:f aca="0">""</x:f>
      </x:c>
      <x:c r="BE231" s="19" t="str">
        <x:f aca="0">""</x:f>
      </x:c>
      <x:c r="BF231" s="19" t="str">
        <x:f aca="0">""</x:f>
      </x:c>
    </x:row>
    <x:row r="232" ht="14.25" hidden="0">
      <x:c r="A232" s="3"/>
      <x:c r="B232" s="55"/>
      <x:c r="C232" s="4"/>
      <x:c r="D232" s="4"/>
      <x:c r="E232" s="4"/>
      <x:c r="F232" s="4"/>
      <x:c r="G232" s="4"/>
      <x:c r="H232" s="56"/>
      <x:c r="I232" s="4"/>
      <x:c r="J232" s="4"/>
      <x:c r="K232" s="4"/>
      <x:c r="L232" s="7"/>
      <x:c r="M232" s="7"/>
      <x:c r="N232" s="57"/>
      <x:c r="O232" s="57"/>
      <x:c r="P232" s="57"/>
      <x:c r="Q232" s="3" t="str">
        <x:f aca="0">""</x:f>
      </x:c>
      <x:c r="R232" s="4"/>
      <x:c r="S232" s="4"/>
      <x:c r="T232" s="4"/>
      <x:c r="U232" s="56"/>
      <x:c r="V232" s="4"/>
      <x:c r="W232" s="57" t="str">
        <x:f aca="0">""</x:f>
      </x:c>
      <x:c r="X232" s="57" t="str">
        <x:f aca="0">""</x:f>
      </x:c>
      <x:c r="Y232" s="57" t="str">
        <x:f aca="0">""</x:f>
      </x:c>
      <x:c r="Z232" s="58"/>
      <x:c r="AA232" s="4"/>
      <x:c r="AB232" s="54" t="str">
        <x:f aca="0">""</x:f>
      </x:c>
      <x:c r="AC232" s="54" t="str">
        <x:f aca="0">""</x:f>
      </x:c>
      <x:c r="AD232" s="7"/>
      <x:c r="AE232" s="4"/>
      <x:c r="AF232" s="4"/>
      <x:c r="AG232" s="7"/>
      <x:c r="AH232" s="12" t="str">
        <x:f aca="0">""</x:f>
      </x:c>
      <x:c r="AI232" s="12" t="str">
        <x:f aca="0">""</x:f>
      </x:c>
      <x:c r="AJ232" s="12" t="str">
        <x:f aca="0">""</x:f>
      </x:c>
      <x:c r="AK232" s="12" t="str">
        <x:f aca="0">""</x:f>
      </x:c>
      <x:c r="AL232" s="19" t="str">
        <x:f aca="0">""</x:f>
      </x:c>
      <x:c r="AM232" s="56"/>
      <x:c r="AN232" s="4"/>
      <x:c r="AO232" s="4"/>
      <x:c r="AP232" s="3" t="str">
        <x:f aca="0">""</x:f>
      </x:c>
      <x:c r="AQ232" s="3" t="str">
        <x:f aca="0">""</x:f>
      </x:c>
      <x:c r="AR232" s="3" t="str">
        <x:f aca="0">""</x:f>
      </x:c>
      <x:c r="AS232" s="3" t="str">
        <x:f aca="0">""</x:f>
      </x:c>
      <x:c r="AT232" s="3" t="str">
        <x:f aca="0">""</x:f>
      </x:c>
      <x:c r="AU232" s="54" t="str">
        <x:f aca="0">""</x:f>
      </x:c>
      <x:c r="AV232" s="12" t="str">
        <x:f aca="0">""</x:f>
      </x:c>
      <x:c r="AW232" s="4"/>
      <x:c r="AX232" s="4"/>
      <x:c r="AY232" s="4"/>
      <x:c r="AZ232" s="56"/>
      <x:c r="BA232" s="4"/>
      <x:c r="BB232" s="11" t="str">
        <x:f aca="0">""</x:f>
      </x:c>
      <x:c r="BC232" s="11" t="str">
        <x:f aca="0">""</x:f>
      </x:c>
      <x:c r="BD232" s="11" t="str">
        <x:f aca="0">""</x:f>
      </x:c>
      <x:c r="BE232" s="19" t="str">
        <x:f aca="0">""</x:f>
      </x:c>
      <x:c r="BF232" s="19" t="str">
        <x:f aca="0">""</x:f>
      </x:c>
    </x:row>
    <x:row r="233" ht="14.25" hidden="0">
      <x:c r="A233" s="3"/>
      <x:c r="B233" s="55"/>
      <x:c r="C233" s="4"/>
      <x:c r="D233" s="4"/>
      <x:c r="E233" s="4"/>
      <x:c r="F233" s="4"/>
      <x:c r="G233" s="4"/>
      <x:c r="H233" s="56"/>
      <x:c r="I233" s="4"/>
      <x:c r="J233" s="4"/>
      <x:c r="K233" s="4"/>
      <x:c r="L233" s="7"/>
      <x:c r="M233" s="7"/>
      <x:c r="N233" s="57"/>
      <x:c r="O233" s="57"/>
      <x:c r="P233" s="57"/>
      <x:c r="Q233" s="3" t="str">
        <x:f aca="0">""</x:f>
      </x:c>
      <x:c r="R233" s="4"/>
      <x:c r="S233" s="4"/>
      <x:c r="T233" s="4"/>
      <x:c r="U233" s="56"/>
      <x:c r="V233" s="4"/>
      <x:c r="W233" s="57" t="str">
        <x:f aca="0">""</x:f>
      </x:c>
      <x:c r="X233" s="57" t="str">
        <x:f aca="0">""</x:f>
      </x:c>
      <x:c r="Y233" s="57" t="str">
        <x:f aca="0">""</x:f>
      </x:c>
      <x:c r="Z233" s="58"/>
      <x:c r="AA233" s="4"/>
      <x:c r="AB233" s="54" t="str">
        <x:f aca="0">""</x:f>
      </x:c>
      <x:c r="AC233" s="54" t="str">
        <x:f aca="0">""</x:f>
      </x:c>
      <x:c r="AD233" s="7"/>
      <x:c r="AE233" s="4"/>
      <x:c r="AF233" s="4"/>
      <x:c r="AG233" s="7"/>
      <x:c r="AH233" s="12" t="str">
        <x:f aca="0">""</x:f>
      </x:c>
      <x:c r="AI233" s="12" t="str">
        <x:f aca="0">""</x:f>
      </x:c>
      <x:c r="AJ233" s="12" t="str">
        <x:f aca="0">""</x:f>
      </x:c>
      <x:c r="AK233" s="12" t="str">
        <x:f aca="0">""</x:f>
      </x:c>
      <x:c r="AL233" s="19" t="str">
        <x:f aca="0">""</x:f>
      </x:c>
      <x:c r="AM233" s="56"/>
      <x:c r="AN233" s="4"/>
      <x:c r="AO233" s="4"/>
      <x:c r="AP233" s="3" t="str">
        <x:f aca="0">""</x:f>
      </x:c>
      <x:c r="AQ233" s="3" t="str">
        <x:f aca="0">""</x:f>
      </x:c>
      <x:c r="AR233" s="3" t="str">
        <x:f aca="0">""</x:f>
      </x:c>
      <x:c r="AS233" s="3" t="str">
        <x:f aca="0">""</x:f>
      </x:c>
      <x:c r="AT233" s="3" t="str">
        <x:f aca="0">""</x:f>
      </x:c>
      <x:c r="AU233" s="54" t="str">
        <x:f aca="0">""</x:f>
      </x:c>
      <x:c r="AV233" s="12" t="str">
        <x:f aca="0">""</x:f>
      </x:c>
      <x:c r="AW233" s="4"/>
      <x:c r="AX233" s="4"/>
      <x:c r="AY233" s="4"/>
      <x:c r="AZ233" s="56"/>
      <x:c r="BA233" s="4"/>
      <x:c r="BB233" s="11" t="str">
        <x:f aca="0">""</x:f>
      </x:c>
      <x:c r="BC233" s="11" t="str">
        <x:f aca="0">""</x:f>
      </x:c>
      <x:c r="BD233" s="11" t="str">
        <x:f aca="0">""</x:f>
      </x:c>
      <x:c r="BE233" s="19" t="str">
        <x:f aca="0">""</x:f>
      </x:c>
      <x:c r="BF233" s="19" t="str">
        <x:f aca="0">""</x:f>
      </x:c>
    </x:row>
    <x:row r="234" ht="14.25" hidden="0">
      <x:c r="A234" s="3"/>
      <x:c r="B234" s="55"/>
      <x:c r="C234" s="4"/>
      <x:c r="D234" s="4"/>
      <x:c r="E234" s="4"/>
      <x:c r="F234" s="4"/>
      <x:c r="G234" s="4"/>
      <x:c r="H234" s="56"/>
      <x:c r="I234" s="4"/>
      <x:c r="J234" s="4"/>
      <x:c r="K234" s="4"/>
      <x:c r="L234" s="7"/>
      <x:c r="M234" s="7"/>
      <x:c r="N234" s="57"/>
      <x:c r="O234" s="57"/>
      <x:c r="P234" s="57"/>
      <x:c r="Q234" s="3" t="str">
        <x:f aca="0">""</x:f>
      </x:c>
      <x:c r="R234" s="4"/>
      <x:c r="S234" s="4"/>
      <x:c r="T234" s="4"/>
      <x:c r="U234" s="56"/>
      <x:c r="V234" s="4"/>
      <x:c r="W234" s="57" t="str">
        <x:f aca="0">""</x:f>
      </x:c>
      <x:c r="X234" s="57" t="str">
        <x:f aca="0">""</x:f>
      </x:c>
      <x:c r="Y234" s="57" t="str">
        <x:f aca="0">""</x:f>
      </x:c>
      <x:c r="Z234" s="58"/>
      <x:c r="AA234" s="4"/>
      <x:c r="AB234" s="54" t="str">
        <x:f aca="0">""</x:f>
      </x:c>
      <x:c r="AC234" s="54" t="str">
        <x:f aca="0">""</x:f>
      </x:c>
      <x:c r="AD234" s="7"/>
      <x:c r="AE234" s="4"/>
      <x:c r="AF234" s="4"/>
      <x:c r="AG234" s="7"/>
      <x:c r="AH234" s="12" t="str">
        <x:f aca="0">""</x:f>
      </x:c>
      <x:c r="AI234" s="12" t="str">
        <x:f aca="0">""</x:f>
      </x:c>
      <x:c r="AJ234" s="12" t="str">
        <x:f aca="0">""</x:f>
      </x:c>
      <x:c r="AK234" s="12" t="str">
        <x:f aca="0">""</x:f>
      </x:c>
      <x:c r="AL234" s="19" t="str">
        <x:f aca="0">""</x:f>
      </x:c>
      <x:c r="AM234" s="56"/>
      <x:c r="AN234" s="4"/>
      <x:c r="AO234" s="4"/>
      <x:c r="AP234" s="3" t="str">
        <x:f aca="0">""</x:f>
      </x:c>
      <x:c r="AQ234" s="3" t="str">
        <x:f aca="0">""</x:f>
      </x:c>
      <x:c r="AR234" s="3" t="str">
        <x:f aca="0">""</x:f>
      </x:c>
      <x:c r="AS234" s="3" t="str">
        <x:f aca="0">""</x:f>
      </x:c>
      <x:c r="AT234" s="3" t="str">
        <x:f aca="0">""</x:f>
      </x:c>
      <x:c r="AU234" s="54" t="str">
        <x:f aca="0">""</x:f>
      </x:c>
      <x:c r="AV234" s="12" t="str">
        <x:f aca="0">""</x:f>
      </x:c>
      <x:c r="AW234" s="4"/>
      <x:c r="AX234" s="4"/>
      <x:c r="AY234" s="4"/>
      <x:c r="AZ234" s="56"/>
      <x:c r="BA234" s="4"/>
      <x:c r="BB234" s="11" t="str">
        <x:f aca="0">""</x:f>
      </x:c>
      <x:c r="BC234" s="11" t="str">
        <x:f aca="0">""</x:f>
      </x:c>
      <x:c r="BD234" s="11" t="str">
        <x:f aca="0">""</x:f>
      </x:c>
      <x:c r="BE234" s="19" t="str">
        <x:f aca="0">""</x:f>
      </x:c>
      <x:c r="BF234" s="19" t="str">
        <x:f aca="0">""</x:f>
      </x:c>
    </x:row>
    <x:row r="235" ht="14.25" hidden="0">
      <x:c r="A235" s="3"/>
      <x:c r="B235" s="55"/>
      <x:c r="C235" s="4"/>
      <x:c r="D235" s="4"/>
      <x:c r="E235" s="4"/>
      <x:c r="F235" s="4"/>
      <x:c r="G235" s="4"/>
      <x:c r="H235" s="56"/>
      <x:c r="I235" s="4"/>
      <x:c r="J235" s="4"/>
      <x:c r="K235" s="4"/>
      <x:c r="L235" s="7"/>
      <x:c r="M235" s="7"/>
      <x:c r="N235" s="57"/>
      <x:c r="O235" s="57"/>
      <x:c r="P235" s="57"/>
      <x:c r="Q235" s="3" t="str">
        <x:f aca="0">""</x:f>
      </x:c>
      <x:c r="R235" s="4"/>
      <x:c r="S235" s="4"/>
      <x:c r="T235" s="4"/>
      <x:c r="U235" s="56"/>
      <x:c r="V235" s="4"/>
      <x:c r="W235" s="57" t="str">
        <x:f aca="0">""</x:f>
      </x:c>
      <x:c r="X235" s="57" t="str">
        <x:f aca="0">""</x:f>
      </x:c>
      <x:c r="Y235" s="57" t="str">
        <x:f aca="0">""</x:f>
      </x:c>
      <x:c r="Z235" s="58"/>
      <x:c r="AA235" s="4"/>
      <x:c r="AB235" s="54" t="str">
        <x:f aca="0">""</x:f>
      </x:c>
      <x:c r="AC235" s="54" t="str">
        <x:f aca="0">""</x:f>
      </x:c>
      <x:c r="AD235" s="7"/>
      <x:c r="AE235" s="4"/>
      <x:c r="AF235" s="4"/>
      <x:c r="AG235" s="7"/>
      <x:c r="AH235" s="12" t="str">
        <x:f aca="0">""</x:f>
      </x:c>
      <x:c r="AI235" s="12" t="str">
        <x:f aca="0">""</x:f>
      </x:c>
      <x:c r="AJ235" s="12" t="str">
        <x:f aca="0">""</x:f>
      </x:c>
      <x:c r="AK235" s="12" t="str">
        <x:f aca="0">""</x:f>
      </x:c>
      <x:c r="AL235" s="19" t="str">
        <x:f aca="0">""</x:f>
      </x:c>
      <x:c r="AM235" s="56"/>
      <x:c r="AN235" s="4"/>
      <x:c r="AO235" s="4"/>
      <x:c r="AP235" s="3" t="str">
        <x:f aca="0">""</x:f>
      </x:c>
      <x:c r="AQ235" s="3" t="str">
        <x:f aca="0">""</x:f>
      </x:c>
      <x:c r="AR235" s="3" t="str">
        <x:f aca="0">""</x:f>
      </x:c>
      <x:c r="AS235" s="3" t="str">
        <x:f aca="0">""</x:f>
      </x:c>
      <x:c r="AT235" s="3" t="str">
        <x:f aca="0">""</x:f>
      </x:c>
      <x:c r="AU235" s="54" t="str">
        <x:f aca="0">""</x:f>
      </x:c>
      <x:c r="AV235" s="12" t="str">
        <x:f aca="0">""</x:f>
      </x:c>
      <x:c r="AW235" s="4"/>
      <x:c r="AX235" s="4"/>
      <x:c r="AY235" s="4"/>
      <x:c r="AZ235" s="56"/>
      <x:c r="BA235" s="4"/>
      <x:c r="BB235" s="11" t="str">
        <x:f aca="0">""</x:f>
      </x:c>
      <x:c r="BC235" s="11" t="str">
        <x:f aca="0">""</x:f>
      </x:c>
      <x:c r="BD235" s="11" t="str">
        <x:f aca="0">""</x:f>
      </x:c>
      <x:c r="BE235" s="19" t="str">
        <x:f aca="0">""</x:f>
      </x:c>
      <x:c r="BF235" s="19" t="str">
        <x:f aca="0">""</x:f>
      </x:c>
    </x:row>
    <x:row r="236" ht="14.25" hidden="0">
      <x:c r="A236" s="3"/>
      <x:c r="B236" s="55"/>
      <x:c r="C236" s="4"/>
      <x:c r="D236" s="4"/>
      <x:c r="E236" s="4"/>
      <x:c r="F236" s="4"/>
      <x:c r="G236" s="4"/>
      <x:c r="H236" s="56"/>
      <x:c r="I236" s="4"/>
      <x:c r="J236" s="4"/>
      <x:c r="K236" s="4"/>
      <x:c r="L236" s="7"/>
      <x:c r="M236" s="7"/>
      <x:c r="N236" s="57"/>
      <x:c r="O236" s="57"/>
      <x:c r="P236" s="57"/>
      <x:c r="Q236" s="3" t="str">
        <x:f aca="0">""</x:f>
      </x:c>
      <x:c r="R236" s="4"/>
      <x:c r="S236" s="4"/>
      <x:c r="T236" s="4"/>
      <x:c r="U236" s="56"/>
      <x:c r="V236" s="4"/>
      <x:c r="W236" s="57" t="str">
        <x:f aca="0">""</x:f>
      </x:c>
      <x:c r="X236" s="57" t="str">
        <x:f aca="0">""</x:f>
      </x:c>
      <x:c r="Y236" s="57" t="str">
        <x:f aca="0">""</x:f>
      </x:c>
      <x:c r="Z236" s="58"/>
      <x:c r="AA236" s="4"/>
      <x:c r="AB236" s="54" t="str">
        <x:f aca="0">""</x:f>
      </x:c>
      <x:c r="AC236" s="54" t="str">
        <x:f aca="0">""</x:f>
      </x:c>
      <x:c r="AD236" s="7"/>
      <x:c r="AE236" s="4"/>
      <x:c r="AF236" s="4"/>
      <x:c r="AG236" s="7"/>
      <x:c r="AH236" s="12" t="str">
        <x:f aca="0">""</x:f>
      </x:c>
      <x:c r="AI236" s="12" t="str">
        <x:f aca="0">""</x:f>
      </x:c>
      <x:c r="AJ236" s="12" t="str">
        <x:f aca="0">""</x:f>
      </x:c>
      <x:c r="AK236" s="12" t="str">
        <x:f aca="0">""</x:f>
      </x:c>
      <x:c r="AL236" s="19" t="str">
        <x:f aca="0">""</x:f>
      </x:c>
      <x:c r="AM236" s="56"/>
      <x:c r="AN236" s="4"/>
      <x:c r="AO236" s="4"/>
      <x:c r="AP236" s="3" t="str">
        <x:f aca="0">""</x:f>
      </x:c>
      <x:c r="AQ236" s="3" t="str">
        <x:f aca="0">""</x:f>
      </x:c>
      <x:c r="AR236" s="3" t="str">
        <x:f aca="0">""</x:f>
      </x:c>
      <x:c r="AS236" s="3" t="str">
        <x:f aca="0">""</x:f>
      </x:c>
      <x:c r="AT236" s="3" t="str">
        <x:f aca="0">""</x:f>
      </x:c>
      <x:c r="AU236" s="54" t="str">
        <x:f aca="0">""</x:f>
      </x:c>
      <x:c r="AV236" s="12" t="str">
        <x:f aca="0">""</x:f>
      </x:c>
      <x:c r="AW236" s="4"/>
      <x:c r="AX236" s="4"/>
      <x:c r="AY236" s="4"/>
      <x:c r="AZ236" s="56"/>
      <x:c r="BA236" s="4"/>
      <x:c r="BB236" s="11" t="str">
        <x:f aca="0">""</x:f>
      </x:c>
      <x:c r="BC236" s="11" t="str">
        <x:f aca="0">""</x:f>
      </x:c>
      <x:c r="BD236" s="11" t="str">
        <x:f aca="0">""</x:f>
      </x:c>
      <x:c r="BE236" s="19" t="str">
        <x:f aca="0">""</x:f>
      </x:c>
      <x:c r="BF236" s="19" t="str">
        <x:f aca="0">""</x:f>
      </x:c>
    </x:row>
    <x:row r="237" ht="14.25" hidden="0">
      <x:c r="A237" s="3"/>
      <x:c r="B237" s="55"/>
      <x:c r="C237" s="4"/>
      <x:c r="D237" s="4"/>
      <x:c r="E237" s="4"/>
      <x:c r="F237" s="4"/>
      <x:c r="G237" s="4"/>
      <x:c r="H237" s="56"/>
      <x:c r="I237" s="4"/>
      <x:c r="J237" s="4"/>
      <x:c r="K237" s="4"/>
      <x:c r="L237" s="7"/>
      <x:c r="M237" s="7"/>
      <x:c r="N237" s="57"/>
      <x:c r="O237" s="57"/>
      <x:c r="P237" s="57"/>
      <x:c r="Q237" s="3" t="str">
        <x:f aca="0">""</x:f>
      </x:c>
      <x:c r="R237" s="4"/>
      <x:c r="S237" s="4"/>
      <x:c r="T237" s="4"/>
      <x:c r="U237" s="56"/>
      <x:c r="V237" s="4"/>
      <x:c r="W237" s="57" t="str">
        <x:f aca="0">""</x:f>
      </x:c>
      <x:c r="X237" s="57" t="str">
        <x:f aca="0">""</x:f>
      </x:c>
      <x:c r="Y237" s="57" t="str">
        <x:f aca="0">""</x:f>
      </x:c>
      <x:c r="Z237" s="58"/>
      <x:c r="AA237" s="4"/>
      <x:c r="AB237" s="54" t="str">
        <x:f aca="0">""</x:f>
      </x:c>
      <x:c r="AC237" s="54" t="str">
        <x:f aca="0">""</x:f>
      </x:c>
      <x:c r="AD237" s="7"/>
      <x:c r="AE237" s="4"/>
      <x:c r="AF237" s="4"/>
      <x:c r="AG237" s="7"/>
      <x:c r="AH237" s="12" t="str">
        <x:f aca="0">""</x:f>
      </x:c>
      <x:c r="AI237" s="12" t="str">
        <x:f aca="0">""</x:f>
      </x:c>
      <x:c r="AJ237" s="12" t="str">
        <x:f aca="0">""</x:f>
      </x:c>
      <x:c r="AK237" s="12" t="str">
        <x:f aca="0">""</x:f>
      </x:c>
      <x:c r="AL237" s="19" t="str">
        <x:f aca="0">""</x:f>
      </x:c>
      <x:c r="AM237" s="56"/>
      <x:c r="AN237" s="4"/>
      <x:c r="AO237" s="4"/>
      <x:c r="AP237" s="3" t="str">
        <x:f aca="0">""</x:f>
      </x:c>
      <x:c r="AQ237" s="3" t="str">
        <x:f aca="0">""</x:f>
      </x:c>
      <x:c r="AR237" s="3" t="str">
        <x:f aca="0">""</x:f>
      </x:c>
      <x:c r="AS237" s="3" t="str">
        <x:f aca="0">""</x:f>
      </x:c>
      <x:c r="AT237" s="3" t="str">
        <x:f aca="0">""</x:f>
      </x:c>
      <x:c r="AU237" s="54" t="str">
        <x:f aca="0">""</x:f>
      </x:c>
      <x:c r="AV237" s="12" t="str">
        <x:f aca="0">""</x:f>
      </x:c>
      <x:c r="AW237" s="4"/>
      <x:c r="AX237" s="4"/>
      <x:c r="AY237" s="4"/>
      <x:c r="AZ237" s="56"/>
      <x:c r="BA237" s="4"/>
      <x:c r="BB237" s="11" t="str">
        <x:f aca="0">""</x:f>
      </x:c>
      <x:c r="BC237" s="11" t="str">
        <x:f aca="0">""</x:f>
      </x:c>
      <x:c r="BD237" s="11" t="str">
        <x:f aca="0">""</x:f>
      </x:c>
      <x:c r="BE237" s="19" t="str">
        <x:f aca="0">""</x:f>
      </x:c>
      <x:c r="BF237" s="19" t="str">
        <x:f aca="0">""</x:f>
      </x:c>
    </x:row>
    <x:row r="238" ht="14.25" hidden="0">
      <x:c r="A238" s="3"/>
      <x:c r="B238" s="55"/>
      <x:c r="C238" s="4"/>
      <x:c r="D238" s="4"/>
      <x:c r="E238" s="4"/>
      <x:c r="F238" s="4"/>
      <x:c r="G238" s="4"/>
      <x:c r="H238" s="56"/>
      <x:c r="I238" s="4"/>
      <x:c r="J238" s="4"/>
      <x:c r="K238" s="4"/>
      <x:c r="L238" s="7"/>
      <x:c r="M238" s="7"/>
      <x:c r="N238" s="57"/>
      <x:c r="O238" s="57"/>
      <x:c r="P238" s="57"/>
      <x:c r="Q238" s="3" t="str">
        <x:f aca="0">""</x:f>
      </x:c>
      <x:c r="R238" s="4"/>
      <x:c r="S238" s="4"/>
      <x:c r="T238" s="4"/>
      <x:c r="U238" s="56"/>
      <x:c r="V238" s="4"/>
      <x:c r="W238" s="57" t="str">
        <x:f aca="0">""</x:f>
      </x:c>
      <x:c r="X238" s="57" t="str">
        <x:f aca="0">""</x:f>
      </x:c>
      <x:c r="Y238" s="57" t="str">
        <x:f aca="0">""</x:f>
      </x:c>
      <x:c r="Z238" s="58"/>
      <x:c r="AA238" s="4"/>
      <x:c r="AB238" s="54" t="str">
        <x:f aca="0">""</x:f>
      </x:c>
      <x:c r="AC238" s="54" t="str">
        <x:f aca="0">""</x:f>
      </x:c>
      <x:c r="AD238" s="7"/>
      <x:c r="AE238" s="4"/>
      <x:c r="AF238" s="4"/>
      <x:c r="AG238" s="7"/>
      <x:c r="AH238" s="12" t="str">
        <x:f aca="0">""</x:f>
      </x:c>
      <x:c r="AI238" s="12" t="str">
        <x:f aca="0">""</x:f>
      </x:c>
      <x:c r="AJ238" s="12" t="str">
        <x:f aca="0">""</x:f>
      </x:c>
      <x:c r="AK238" s="12" t="str">
        <x:f aca="0">""</x:f>
      </x:c>
      <x:c r="AL238" s="19" t="str">
        <x:f aca="0">""</x:f>
      </x:c>
      <x:c r="AM238" s="56"/>
      <x:c r="AN238" s="4"/>
      <x:c r="AO238" s="4"/>
      <x:c r="AP238" s="3" t="str">
        <x:f aca="0">""</x:f>
      </x:c>
      <x:c r="AQ238" s="3" t="str">
        <x:f aca="0">""</x:f>
      </x:c>
      <x:c r="AR238" s="3" t="str">
        <x:f aca="0">""</x:f>
      </x:c>
      <x:c r="AS238" s="3" t="str">
        <x:f aca="0">""</x:f>
      </x:c>
      <x:c r="AT238" s="3" t="str">
        <x:f aca="0">""</x:f>
      </x:c>
      <x:c r="AU238" s="54" t="str">
        <x:f aca="0">""</x:f>
      </x:c>
      <x:c r="AV238" s="12" t="str">
        <x:f aca="0">""</x:f>
      </x:c>
      <x:c r="AW238" s="4"/>
      <x:c r="AX238" s="4"/>
      <x:c r="AY238" s="4"/>
      <x:c r="AZ238" s="56"/>
      <x:c r="BA238" s="4"/>
      <x:c r="BB238" s="11" t="str">
        <x:f aca="0">""</x:f>
      </x:c>
      <x:c r="BC238" s="11" t="str">
        <x:f aca="0">""</x:f>
      </x:c>
      <x:c r="BD238" s="11" t="str">
        <x:f aca="0">""</x:f>
      </x:c>
      <x:c r="BE238" s="19" t="str">
        <x:f aca="0">""</x:f>
      </x:c>
      <x:c r="BF238" s="19" t="str">
        <x:f aca="0">""</x:f>
      </x:c>
    </x:row>
    <x:row r="239" ht="14.25" hidden="0">
      <x:c r="A239" s="3"/>
      <x:c r="B239" s="55"/>
      <x:c r="C239" s="4"/>
      <x:c r="D239" s="4"/>
      <x:c r="E239" s="4"/>
      <x:c r="F239" s="4"/>
      <x:c r="G239" s="4"/>
      <x:c r="H239" s="56"/>
      <x:c r="I239" s="4"/>
      <x:c r="J239" s="4"/>
      <x:c r="K239" s="4"/>
      <x:c r="L239" s="7"/>
      <x:c r="M239" s="7"/>
      <x:c r="N239" s="57"/>
      <x:c r="O239" s="57"/>
      <x:c r="P239" s="57"/>
      <x:c r="Q239" s="3" t="str">
        <x:f aca="0">""</x:f>
      </x:c>
      <x:c r="R239" s="4"/>
      <x:c r="S239" s="4"/>
      <x:c r="T239" s="4"/>
      <x:c r="U239" s="56"/>
      <x:c r="V239" s="4"/>
      <x:c r="W239" s="57" t="str">
        <x:f aca="0">""</x:f>
      </x:c>
      <x:c r="X239" s="57" t="str">
        <x:f aca="0">""</x:f>
      </x:c>
      <x:c r="Y239" s="57" t="str">
        <x:f aca="0">""</x:f>
      </x:c>
      <x:c r="Z239" s="58"/>
      <x:c r="AA239" s="4"/>
      <x:c r="AB239" s="54" t="str">
        <x:f aca="0">""</x:f>
      </x:c>
      <x:c r="AC239" s="54" t="str">
        <x:f aca="0">""</x:f>
      </x:c>
      <x:c r="AD239" s="7"/>
      <x:c r="AE239" s="4"/>
      <x:c r="AF239" s="4"/>
      <x:c r="AG239" s="7"/>
      <x:c r="AH239" s="12" t="str">
        <x:f aca="0">""</x:f>
      </x:c>
      <x:c r="AI239" s="12" t="str">
        <x:f aca="0">""</x:f>
      </x:c>
      <x:c r="AJ239" s="12" t="str">
        <x:f aca="0">""</x:f>
      </x:c>
      <x:c r="AK239" s="12" t="str">
        <x:f aca="0">""</x:f>
      </x:c>
      <x:c r="AL239" s="19" t="str">
        <x:f aca="0">""</x:f>
      </x:c>
      <x:c r="AM239" s="56"/>
      <x:c r="AN239" s="4"/>
      <x:c r="AO239" s="4"/>
      <x:c r="AP239" s="3" t="str">
        <x:f aca="0">""</x:f>
      </x:c>
      <x:c r="AQ239" s="3" t="str">
        <x:f aca="0">""</x:f>
      </x:c>
      <x:c r="AR239" s="3" t="str">
        <x:f aca="0">""</x:f>
      </x:c>
      <x:c r="AS239" s="3" t="str">
        <x:f aca="0">""</x:f>
      </x:c>
      <x:c r="AT239" s="3" t="str">
        <x:f aca="0">""</x:f>
      </x:c>
      <x:c r="AU239" s="54" t="str">
        <x:f aca="0">""</x:f>
      </x:c>
      <x:c r="AV239" s="12" t="str">
        <x:f aca="0">""</x:f>
      </x:c>
      <x:c r="AW239" s="4"/>
      <x:c r="AX239" s="4"/>
      <x:c r="AY239" s="4"/>
      <x:c r="AZ239" s="56"/>
      <x:c r="BA239" s="4"/>
      <x:c r="BB239" s="11" t="str">
        <x:f aca="0">""</x:f>
      </x:c>
      <x:c r="BC239" s="11" t="str">
        <x:f aca="0">""</x:f>
      </x:c>
      <x:c r="BD239" s="11" t="str">
        <x:f aca="0">""</x:f>
      </x:c>
      <x:c r="BE239" s="19" t="str">
        <x:f aca="0">""</x:f>
      </x:c>
      <x:c r="BF239" s="19" t="str">
        <x:f aca="0">""</x:f>
      </x:c>
    </x:row>
    <x:row r="240" ht="14.25" hidden="0">
      <x:c r="A240" s="3"/>
      <x:c r="B240" s="55"/>
      <x:c r="C240" s="4"/>
      <x:c r="D240" s="4"/>
      <x:c r="E240" s="4"/>
      <x:c r="F240" s="4"/>
      <x:c r="G240" s="4"/>
      <x:c r="H240" s="56"/>
      <x:c r="I240" s="4"/>
      <x:c r="J240" s="4"/>
      <x:c r="K240" s="4"/>
      <x:c r="L240" s="7"/>
      <x:c r="M240" s="7"/>
      <x:c r="N240" s="57"/>
      <x:c r="O240" s="57"/>
      <x:c r="P240" s="57"/>
      <x:c r="Q240" s="3" t="str">
        <x:f aca="0">""</x:f>
      </x:c>
      <x:c r="R240" s="4"/>
      <x:c r="S240" s="4"/>
      <x:c r="T240" s="4"/>
      <x:c r="U240" s="56"/>
      <x:c r="V240" s="4"/>
      <x:c r="W240" s="57" t="str">
        <x:f aca="0">""</x:f>
      </x:c>
      <x:c r="X240" s="57" t="str">
        <x:f aca="0">""</x:f>
      </x:c>
      <x:c r="Y240" s="57" t="str">
        <x:f aca="0">""</x:f>
      </x:c>
      <x:c r="Z240" s="58"/>
      <x:c r="AA240" s="4"/>
      <x:c r="AB240" s="54" t="str">
        <x:f aca="0">""</x:f>
      </x:c>
      <x:c r="AC240" s="54" t="str">
        <x:f aca="0">""</x:f>
      </x:c>
      <x:c r="AD240" s="7"/>
      <x:c r="AE240" s="4"/>
      <x:c r="AF240" s="4"/>
      <x:c r="AG240" s="7"/>
      <x:c r="AH240" s="12" t="str">
        <x:f aca="0">""</x:f>
      </x:c>
      <x:c r="AI240" s="12" t="str">
        <x:f aca="0">""</x:f>
      </x:c>
      <x:c r="AJ240" s="12" t="str">
        <x:f aca="0">""</x:f>
      </x:c>
      <x:c r="AK240" s="12" t="str">
        <x:f aca="0">""</x:f>
      </x:c>
      <x:c r="AL240" s="19" t="str">
        <x:f aca="0">""</x:f>
      </x:c>
      <x:c r="AM240" s="56"/>
      <x:c r="AN240" s="4"/>
      <x:c r="AO240" s="4"/>
      <x:c r="AP240" s="3" t="str">
        <x:f aca="0">""</x:f>
      </x:c>
      <x:c r="AQ240" s="3" t="str">
        <x:f aca="0">""</x:f>
      </x:c>
      <x:c r="AR240" s="3" t="str">
        <x:f aca="0">""</x:f>
      </x:c>
      <x:c r="AS240" s="3" t="str">
        <x:f aca="0">""</x:f>
      </x:c>
      <x:c r="AT240" s="3" t="str">
        <x:f aca="0">""</x:f>
      </x:c>
      <x:c r="AU240" s="54" t="str">
        <x:f aca="0">""</x:f>
      </x:c>
      <x:c r="AV240" s="12" t="str">
        <x:f aca="0">""</x:f>
      </x:c>
      <x:c r="AW240" s="4"/>
      <x:c r="AX240" s="4"/>
      <x:c r="AY240" s="4"/>
      <x:c r="AZ240" s="56"/>
      <x:c r="BA240" s="4"/>
      <x:c r="BB240" s="11" t="str">
        <x:f aca="0">""</x:f>
      </x:c>
      <x:c r="BC240" s="11" t="str">
        <x:f aca="0">""</x:f>
      </x:c>
      <x:c r="BD240" s="11" t="str">
        <x:f aca="0">""</x:f>
      </x:c>
      <x:c r="BE240" s="19" t="str">
        <x:f aca="0">""</x:f>
      </x:c>
      <x:c r="BF240" s="19" t="str">
        <x:f aca="0">""</x:f>
      </x:c>
    </x:row>
    <x:row r="241" ht="14.25" hidden="0">
      <x:c r="A241" s="3"/>
      <x:c r="B241" s="55"/>
      <x:c r="C241" s="4"/>
      <x:c r="D241" s="4"/>
      <x:c r="E241" s="4"/>
      <x:c r="F241" s="4"/>
      <x:c r="G241" s="4"/>
      <x:c r="H241" s="56"/>
      <x:c r="I241" s="4"/>
      <x:c r="J241" s="4"/>
      <x:c r="K241" s="4"/>
      <x:c r="L241" s="7"/>
      <x:c r="M241" s="7"/>
      <x:c r="N241" s="57"/>
      <x:c r="O241" s="57"/>
      <x:c r="P241" s="57"/>
      <x:c r="Q241" s="3" t="str">
        <x:f aca="0">""</x:f>
      </x:c>
      <x:c r="R241" s="4"/>
      <x:c r="S241" s="4"/>
      <x:c r="T241" s="4"/>
      <x:c r="U241" s="56"/>
      <x:c r="V241" s="4"/>
      <x:c r="W241" s="57" t="str">
        <x:f aca="0">""</x:f>
      </x:c>
      <x:c r="X241" s="57" t="str">
        <x:f aca="0">""</x:f>
      </x:c>
      <x:c r="Y241" s="57" t="str">
        <x:f aca="0">""</x:f>
      </x:c>
      <x:c r="Z241" s="58"/>
      <x:c r="AA241" s="4"/>
      <x:c r="AB241" s="54" t="str">
        <x:f aca="0">""</x:f>
      </x:c>
      <x:c r="AC241" s="54" t="str">
        <x:f aca="0">""</x:f>
      </x:c>
      <x:c r="AD241" s="7"/>
      <x:c r="AE241" s="4"/>
      <x:c r="AF241" s="4"/>
      <x:c r="AG241" s="7"/>
      <x:c r="AH241" s="12" t="str">
        <x:f aca="0">""</x:f>
      </x:c>
      <x:c r="AI241" s="12" t="str">
        <x:f aca="0">""</x:f>
      </x:c>
      <x:c r="AJ241" s="12" t="str">
        <x:f aca="0">""</x:f>
      </x:c>
      <x:c r="AK241" s="12" t="str">
        <x:f aca="0">""</x:f>
      </x:c>
      <x:c r="AL241" s="19" t="str">
        <x:f aca="0">""</x:f>
      </x:c>
      <x:c r="AM241" s="56"/>
      <x:c r="AN241" s="4"/>
      <x:c r="AO241" s="4"/>
      <x:c r="AP241" s="3" t="str">
        <x:f aca="0">""</x:f>
      </x:c>
      <x:c r="AQ241" s="3" t="str">
        <x:f aca="0">""</x:f>
      </x:c>
      <x:c r="AR241" s="3" t="str">
        <x:f aca="0">""</x:f>
      </x:c>
      <x:c r="AS241" s="3" t="str">
        <x:f aca="0">""</x:f>
      </x:c>
      <x:c r="AT241" s="3" t="str">
        <x:f aca="0">""</x:f>
      </x:c>
      <x:c r="AU241" s="54" t="str">
        <x:f aca="0">""</x:f>
      </x:c>
      <x:c r="AV241" s="12" t="str">
        <x:f aca="0">""</x:f>
      </x:c>
      <x:c r="AW241" s="4"/>
      <x:c r="AX241" s="4"/>
      <x:c r="AY241" s="4"/>
      <x:c r="AZ241" s="56"/>
      <x:c r="BA241" s="4"/>
      <x:c r="BB241" s="11" t="str">
        <x:f aca="0">""</x:f>
      </x:c>
      <x:c r="BC241" s="11" t="str">
        <x:f aca="0">""</x:f>
      </x:c>
      <x:c r="BD241" s="11" t="str">
        <x:f aca="0">""</x:f>
      </x:c>
      <x:c r="BE241" s="19" t="str">
        <x:f aca="0">""</x:f>
      </x:c>
      <x:c r="BF241" s="19" t="str">
        <x:f aca="0">""</x:f>
      </x:c>
    </x:row>
    <x:row r="242" ht="14.25" hidden="0">
      <x:c r="A242" s="3"/>
      <x:c r="B242" s="55"/>
      <x:c r="C242" s="4"/>
      <x:c r="D242" s="4"/>
      <x:c r="E242" s="4"/>
      <x:c r="F242" s="4"/>
      <x:c r="G242" s="4"/>
      <x:c r="H242" s="56"/>
      <x:c r="I242" s="4"/>
      <x:c r="J242" s="4"/>
      <x:c r="K242" s="4"/>
      <x:c r="L242" s="7"/>
      <x:c r="M242" s="7"/>
      <x:c r="N242" s="57"/>
      <x:c r="O242" s="57"/>
      <x:c r="P242" s="57"/>
      <x:c r="Q242" s="3" t="str">
        <x:f aca="0">""</x:f>
      </x:c>
      <x:c r="R242" s="4"/>
      <x:c r="S242" s="4"/>
      <x:c r="T242" s="4"/>
      <x:c r="U242" s="56"/>
      <x:c r="V242" s="4"/>
      <x:c r="W242" s="57" t="str">
        <x:f aca="0">""</x:f>
      </x:c>
      <x:c r="X242" s="57" t="str">
        <x:f aca="0">""</x:f>
      </x:c>
      <x:c r="Y242" s="57" t="str">
        <x:f aca="0">""</x:f>
      </x:c>
      <x:c r="Z242" s="58"/>
      <x:c r="AA242" s="4"/>
      <x:c r="AB242" s="54" t="str">
        <x:f aca="0">""</x:f>
      </x:c>
      <x:c r="AC242" s="54" t="str">
        <x:f aca="0">""</x:f>
      </x:c>
      <x:c r="AD242" s="7"/>
      <x:c r="AE242" s="4"/>
      <x:c r="AF242" s="4"/>
      <x:c r="AG242" s="7"/>
      <x:c r="AH242" s="12" t="str">
        <x:f aca="0">""</x:f>
      </x:c>
      <x:c r="AI242" s="12" t="str">
        <x:f aca="0">""</x:f>
      </x:c>
      <x:c r="AJ242" s="12" t="str">
        <x:f aca="0">""</x:f>
      </x:c>
      <x:c r="AK242" s="12" t="str">
        <x:f aca="0">""</x:f>
      </x:c>
      <x:c r="AL242" s="19" t="str">
        <x:f aca="0">""</x:f>
      </x:c>
      <x:c r="AM242" s="56"/>
      <x:c r="AN242" s="4"/>
      <x:c r="AO242" s="4"/>
      <x:c r="AP242" s="3" t="str">
        <x:f aca="0">""</x:f>
      </x:c>
      <x:c r="AQ242" s="3" t="str">
        <x:f aca="0">""</x:f>
      </x:c>
      <x:c r="AR242" s="3" t="str">
        <x:f aca="0">""</x:f>
      </x:c>
      <x:c r="AS242" s="3" t="str">
        <x:f aca="0">""</x:f>
      </x:c>
      <x:c r="AT242" s="3" t="str">
        <x:f aca="0">""</x:f>
      </x:c>
      <x:c r="AU242" s="54" t="str">
        <x:f aca="0">""</x:f>
      </x:c>
      <x:c r="AV242" s="12" t="str">
        <x:f aca="0">""</x:f>
      </x:c>
      <x:c r="AW242" s="4"/>
      <x:c r="AX242" s="4"/>
      <x:c r="AY242" s="4"/>
      <x:c r="AZ242" s="56"/>
      <x:c r="BA242" s="4"/>
      <x:c r="BB242" s="11" t="str">
        <x:f aca="0">""</x:f>
      </x:c>
      <x:c r="BC242" s="11" t="str">
        <x:f aca="0">""</x:f>
      </x:c>
      <x:c r="BD242" s="11" t="str">
        <x:f aca="0">""</x:f>
      </x:c>
      <x:c r="BE242" s="19" t="str">
        <x:f aca="0">""</x:f>
      </x:c>
      <x:c r="BF242" s="19" t="str">
        <x:f aca="0">""</x:f>
      </x:c>
    </x:row>
    <x:row r="243" ht="14.25" hidden="0">
      <x:c r="A243" s="3"/>
      <x:c r="B243" s="55"/>
      <x:c r="C243" s="4"/>
      <x:c r="D243" s="4"/>
      <x:c r="E243" s="4"/>
      <x:c r="F243" s="4"/>
      <x:c r="G243" s="4"/>
      <x:c r="H243" s="56"/>
      <x:c r="I243" s="4"/>
      <x:c r="J243" s="4"/>
      <x:c r="K243" s="4"/>
      <x:c r="L243" s="7"/>
      <x:c r="M243" s="7"/>
      <x:c r="N243" s="57"/>
      <x:c r="O243" s="57"/>
      <x:c r="P243" s="57"/>
      <x:c r="Q243" s="3" t="str">
        <x:f aca="0">""</x:f>
      </x:c>
      <x:c r="R243" s="4"/>
      <x:c r="S243" s="4"/>
      <x:c r="T243" s="4"/>
      <x:c r="U243" s="56"/>
      <x:c r="V243" s="4"/>
      <x:c r="W243" s="57" t="str">
        <x:f aca="0">""</x:f>
      </x:c>
      <x:c r="X243" s="57" t="str">
        <x:f aca="0">""</x:f>
      </x:c>
      <x:c r="Y243" s="57" t="str">
        <x:f aca="0">""</x:f>
      </x:c>
      <x:c r="Z243" s="58"/>
      <x:c r="AA243" s="4"/>
      <x:c r="AB243" s="54" t="str">
        <x:f aca="0">""</x:f>
      </x:c>
      <x:c r="AC243" s="54" t="str">
        <x:f aca="0">""</x:f>
      </x:c>
      <x:c r="AD243" s="7"/>
      <x:c r="AE243" s="4"/>
      <x:c r="AF243" s="4"/>
      <x:c r="AG243" s="7"/>
      <x:c r="AH243" s="12" t="str">
        <x:f aca="0">""</x:f>
      </x:c>
      <x:c r="AI243" s="12" t="str">
        <x:f aca="0">""</x:f>
      </x:c>
      <x:c r="AJ243" s="12" t="str">
        <x:f aca="0">""</x:f>
      </x:c>
      <x:c r="AK243" s="12" t="str">
        <x:f aca="0">""</x:f>
      </x:c>
      <x:c r="AL243" s="19" t="str">
        <x:f aca="0">""</x:f>
      </x:c>
      <x:c r="AM243" s="56"/>
      <x:c r="AN243" s="4"/>
      <x:c r="AO243" s="4"/>
      <x:c r="AP243" s="3" t="str">
        <x:f aca="0">""</x:f>
      </x:c>
      <x:c r="AQ243" s="3" t="str">
        <x:f aca="0">""</x:f>
      </x:c>
      <x:c r="AR243" s="3" t="str">
        <x:f aca="0">""</x:f>
      </x:c>
      <x:c r="AS243" s="3" t="str">
        <x:f aca="0">""</x:f>
      </x:c>
      <x:c r="AT243" s="3" t="str">
        <x:f aca="0">""</x:f>
      </x:c>
      <x:c r="AU243" s="54" t="str">
        <x:f aca="0">""</x:f>
      </x:c>
      <x:c r="AV243" s="12" t="str">
        <x:f aca="0">""</x:f>
      </x:c>
      <x:c r="AW243" s="4"/>
      <x:c r="AX243" s="4"/>
      <x:c r="AY243" s="4"/>
      <x:c r="AZ243" s="56"/>
      <x:c r="BA243" s="4"/>
      <x:c r="BB243" s="11" t="str">
        <x:f aca="0">""</x:f>
      </x:c>
      <x:c r="BC243" s="11" t="str">
        <x:f aca="0">""</x:f>
      </x:c>
      <x:c r="BD243" s="11" t="str">
        <x:f aca="0">""</x:f>
      </x:c>
      <x:c r="BE243" s="19" t="str">
        <x:f aca="0">""</x:f>
      </x:c>
      <x:c r="BF243" s="19" t="str">
        <x:f aca="0">""</x:f>
      </x:c>
    </x:row>
    <x:row r="244" ht="14.25" hidden="0">
      <x:c r="A244" s="3"/>
      <x:c r="B244" s="55"/>
      <x:c r="C244" s="4"/>
      <x:c r="D244" s="4"/>
      <x:c r="E244" s="4"/>
      <x:c r="F244" s="4"/>
      <x:c r="G244" s="4"/>
      <x:c r="H244" s="56"/>
      <x:c r="I244" s="4"/>
      <x:c r="J244" s="4"/>
      <x:c r="K244" s="4"/>
      <x:c r="L244" s="7"/>
      <x:c r="M244" s="7"/>
      <x:c r="N244" s="57"/>
      <x:c r="O244" s="57"/>
      <x:c r="P244" s="57"/>
      <x:c r="Q244" s="3" t="str">
        <x:f aca="0">""</x:f>
      </x:c>
      <x:c r="R244" s="4"/>
      <x:c r="S244" s="4"/>
      <x:c r="T244" s="4"/>
      <x:c r="U244" s="56"/>
      <x:c r="V244" s="4"/>
      <x:c r="W244" s="57" t="str">
        <x:f aca="0">""</x:f>
      </x:c>
      <x:c r="X244" s="57" t="str">
        <x:f aca="0">""</x:f>
      </x:c>
      <x:c r="Y244" s="57" t="str">
        <x:f aca="0">""</x:f>
      </x:c>
      <x:c r="Z244" s="58"/>
      <x:c r="AA244" s="4"/>
      <x:c r="AB244" s="54" t="str">
        <x:f aca="0">""</x:f>
      </x:c>
      <x:c r="AC244" s="54" t="str">
        <x:f aca="0">""</x:f>
      </x:c>
      <x:c r="AD244" s="7"/>
      <x:c r="AE244" s="4"/>
      <x:c r="AF244" s="4"/>
      <x:c r="AG244" s="7"/>
      <x:c r="AH244" s="12" t="str">
        <x:f aca="0">""</x:f>
      </x:c>
      <x:c r="AI244" s="12" t="str">
        <x:f aca="0">""</x:f>
      </x:c>
      <x:c r="AJ244" s="12" t="str">
        <x:f aca="0">""</x:f>
      </x:c>
      <x:c r="AK244" s="12" t="str">
        <x:f aca="0">""</x:f>
      </x:c>
      <x:c r="AL244" s="19" t="str">
        <x:f aca="0">""</x:f>
      </x:c>
      <x:c r="AM244" s="56"/>
      <x:c r="AN244" s="4"/>
      <x:c r="AO244" s="4"/>
      <x:c r="AP244" s="3" t="str">
        <x:f aca="0">""</x:f>
      </x:c>
      <x:c r="AQ244" s="3" t="str">
        <x:f aca="0">""</x:f>
      </x:c>
      <x:c r="AR244" s="3" t="str">
        <x:f aca="0">""</x:f>
      </x:c>
      <x:c r="AS244" s="3" t="str">
        <x:f aca="0">""</x:f>
      </x:c>
      <x:c r="AT244" s="3" t="str">
        <x:f aca="0">""</x:f>
      </x:c>
      <x:c r="AU244" s="54" t="str">
        <x:f aca="0">""</x:f>
      </x:c>
      <x:c r="AV244" s="12" t="str">
        <x:f aca="0">""</x:f>
      </x:c>
      <x:c r="AW244" s="4"/>
      <x:c r="AX244" s="4"/>
      <x:c r="AY244" s="4"/>
      <x:c r="AZ244" s="56"/>
      <x:c r="BA244" s="4"/>
      <x:c r="BB244" s="11" t="str">
        <x:f aca="0">""</x:f>
      </x:c>
      <x:c r="BC244" s="11" t="str">
        <x:f aca="0">""</x:f>
      </x:c>
      <x:c r="BD244" s="11" t="str">
        <x:f aca="0">""</x:f>
      </x:c>
      <x:c r="BE244" s="19" t="str">
        <x:f aca="0">""</x:f>
      </x:c>
      <x:c r="BF244" s="19" t="str">
        <x:f aca="0">""</x:f>
      </x:c>
    </x:row>
    <x:row r="245" ht="14.25" hidden="0">
      <x:c r="A245" s="3"/>
      <x:c r="B245" s="55"/>
      <x:c r="C245" s="4"/>
      <x:c r="D245" s="4"/>
      <x:c r="E245" s="4"/>
      <x:c r="F245" s="4"/>
      <x:c r="G245" s="4"/>
      <x:c r="H245" s="56"/>
      <x:c r="I245" s="4"/>
      <x:c r="J245" s="4"/>
      <x:c r="K245" s="4"/>
      <x:c r="L245" s="7"/>
      <x:c r="M245" s="7"/>
      <x:c r="N245" s="57"/>
      <x:c r="O245" s="57"/>
      <x:c r="P245" s="57"/>
      <x:c r="Q245" s="3" t="str">
        <x:f aca="0">""</x:f>
      </x:c>
      <x:c r="R245" s="4"/>
      <x:c r="S245" s="4"/>
      <x:c r="T245" s="4"/>
      <x:c r="U245" s="56"/>
      <x:c r="V245" s="4"/>
      <x:c r="W245" s="57" t="str">
        <x:f aca="0">""</x:f>
      </x:c>
      <x:c r="X245" s="57" t="str">
        <x:f aca="0">""</x:f>
      </x:c>
      <x:c r="Y245" s="57" t="str">
        <x:f aca="0">""</x:f>
      </x:c>
      <x:c r="Z245" s="58"/>
      <x:c r="AA245" s="4"/>
      <x:c r="AB245" s="54" t="str">
        <x:f aca="0">""</x:f>
      </x:c>
      <x:c r="AC245" s="54" t="str">
        <x:f aca="0">""</x:f>
      </x:c>
      <x:c r="AD245" s="7"/>
      <x:c r="AE245" s="4"/>
      <x:c r="AF245" s="4"/>
      <x:c r="AG245" s="7"/>
      <x:c r="AH245" s="12" t="str">
        <x:f aca="0">""</x:f>
      </x:c>
      <x:c r="AI245" s="12" t="str">
        <x:f aca="0">""</x:f>
      </x:c>
      <x:c r="AJ245" s="12" t="str">
        <x:f aca="0">""</x:f>
      </x:c>
      <x:c r="AK245" s="12" t="str">
        <x:f aca="0">""</x:f>
      </x:c>
      <x:c r="AL245" s="19" t="str">
        <x:f aca="0">""</x:f>
      </x:c>
      <x:c r="AM245" s="56"/>
      <x:c r="AN245" s="4"/>
      <x:c r="AO245" s="4"/>
      <x:c r="AP245" s="3" t="str">
        <x:f aca="0">""</x:f>
      </x:c>
      <x:c r="AQ245" s="3" t="str">
        <x:f aca="0">""</x:f>
      </x:c>
      <x:c r="AR245" s="3" t="str">
        <x:f aca="0">""</x:f>
      </x:c>
      <x:c r="AS245" s="3" t="str">
        <x:f aca="0">""</x:f>
      </x:c>
      <x:c r="AT245" s="3" t="str">
        <x:f aca="0">""</x:f>
      </x:c>
      <x:c r="AU245" s="54" t="str">
        <x:f aca="0">""</x:f>
      </x:c>
      <x:c r="AV245" s="12" t="str">
        <x:f aca="0">""</x:f>
      </x:c>
      <x:c r="AW245" s="4"/>
      <x:c r="AX245" s="4"/>
      <x:c r="AY245" s="4"/>
      <x:c r="AZ245" s="56"/>
      <x:c r="BA245" s="4"/>
      <x:c r="BB245" s="11" t="str">
        <x:f aca="0">""</x:f>
      </x:c>
      <x:c r="BC245" s="11" t="str">
        <x:f aca="0">""</x:f>
      </x:c>
      <x:c r="BD245" s="11" t="str">
        <x:f aca="0">""</x:f>
      </x:c>
      <x:c r="BE245" s="19" t="str">
        <x:f aca="0">""</x:f>
      </x:c>
      <x:c r="BF245" s="19" t="str">
        <x:f aca="0">""</x:f>
      </x:c>
    </x:row>
    <x:row r="246" ht="14.25" hidden="0">
      <x:c r="A246" s="3"/>
      <x:c r="B246" s="55"/>
      <x:c r="C246" s="4"/>
      <x:c r="D246" s="4"/>
      <x:c r="E246" s="4"/>
      <x:c r="F246" s="4"/>
      <x:c r="G246" s="4"/>
      <x:c r="H246" s="56"/>
      <x:c r="I246" s="4"/>
      <x:c r="J246" s="4"/>
      <x:c r="K246" s="4"/>
      <x:c r="L246" s="7"/>
      <x:c r="M246" s="7"/>
      <x:c r="N246" s="57"/>
      <x:c r="O246" s="57"/>
      <x:c r="P246" s="57"/>
      <x:c r="Q246" s="3" t="str">
        <x:f aca="0">""</x:f>
      </x:c>
      <x:c r="R246" s="4"/>
      <x:c r="S246" s="4"/>
      <x:c r="T246" s="4"/>
      <x:c r="U246" s="56"/>
      <x:c r="V246" s="4"/>
      <x:c r="W246" s="57" t="str">
        <x:f aca="0">""</x:f>
      </x:c>
      <x:c r="X246" s="57" t="str">
        <x:f aca="0">""</x:f>
      </x:c>
      <x:c r="Y246" s="57" t="str">
        <x:f aca="0">""</x:f>
      </x:c>
      <x:c r="Z246" s="58"/>
      <x:c r="AA246" s="4"/>
      <x:c r="AB246" s="54" t="str">
        <x:f aca="0">""</x:f>
      </x:c>
      <x:c r="AC246" s="54" t="str">
        <x:f aca="0">""</x:f>
      </x:c>
      <x:c r="AD246" s="7"/>
      <x:c r="AE246" s="4"/>
      <x:c r="AF246" s="4"/>
      <x:c r="AG246" s="7"/>
      <x:c r="AH246" s="12" t="str">
        <x:f aca="0">""</x:f>
      </x:c>
      <x:c r="AI246" s="12" t="str">
        <x:f aca="0">""</x:f>
      </x:c>
      <x:c r="AJ246" s="12" t="str">
        <x:f aca="0">""</x:f>
      </x:c>
      <x:c r="AK246" s="12" t="str">
        <x:f aca="0">""</x:f>
      </x:c>
      <x:c r="AL246" s="19" t="str">
        <x:f aca="0">""</x:f>
      </x:c>
      <x:c r="AM246" s="56"/>
      <x:c r="AN246" s="4"/>
      <x:c r="AO246" s="4"/>
      <x:c r="AP246" s="3" t="str">
        <x:f aca="0">""</x:f>
      </x:c>
      <x:c r="AQ246" s="3" t="str">
        <x:f aca="0">""</x:f>
      </x:c>
      <x:c r="AR246" s="3" t="str">
        <x:f aca="0">""</x:f>
      </x:c>
      <x:c r="AS246" s="3" t="str">
        <x:f aca="0">""</x:f>
      </x:c>
      <x:c r="AT246" s="3" t="str">
        <x:f aca="0">""</x:f>
      </x:c>
      <x:c r="AU246" s="54" t="str">
        <x:f aca="0">""</x:f>
      </x:c>
      <x:c r="AV246" s="12" t="str">
        <x:f aca="0">""</x:f>
      </x:c>
      <x:c r="AW246" s="4"/>
      <x:c r="AX246" s="4"/>
      <x:c r="AY246" s="4"/>
      <x:c r="AZ246" s="56"/>
      <x:c r="BA246" s="4"/>
      <x:c r="BB246" s="11" t="str">
        <x:f aca="0">""</x:f>
      </x:c>
      <x:c r="BC246" s="11" t="str">
        <x:f aca="0">""</x:f>
      </x:c>
      <x:c r="BD246" s="11" t="str">
        <x:f aca="0">""</x:f>
      </x:c>
      <x:c r="BE246" s="19" t="str">
        <x:f aca="0">""</x:f>
      </x:c>
      <x:c r="BF246" s="19" t="str">
        <x:f aca="0">""</x:f>
      </x:c>
    </x:row>
    <x:row r="247" ht="14.25" hidden="0">
      <x:c r="A247" s="3"/>
      <x:c r="B247" s="55"/>
      <x:c r="C247" s="4"/>
      <x:c r="D247" s="4"/>
      <x:c r="E247" s="4"/>
      <x:c r="F247" s="4"/>
      <x:c r="G247" s="4"/>
      <x:c r="H247" s="56"/>
      <x:c r="I247" s="4"/>
      <x:c r="J247" s="4"/>
      <x:c r="K247" s="4"/>
      <x:c r="L247" s="7"/>
      <x:c r="M247" s="7"/>
      <x:c r="N247" s="57"/>
      <x:c r="O247" s="57"/>
      <x:c r="P247" s="57"/>
      <x:c r="Q247" s="3" t="str">
        <x:f aca="0">""</x:f>
      </x:c>
      <x:c r="R247" s="4"/>
      <x:c r="S247" s="4"/>
      <x:c r="T247" s="4"/>
      <x:c r="U247" s="56"/>
      <x:c r="V247" s="4"/>
      <x:c r="W247" s="57" t="str">
        <x:f aca="0">""</x:f>
      </x:c>
      <x:c r="X247" s="57" t="str">
        <x:f aca="0">""</x:f>
      </x:c>
      <x:c r="Y247" s="57" t="str">
        <x:f aca="0">""</x:f>
      </x:c>
      <x:c r="Z247" s="58"/>
      <x:c r="AA247" s="4"/>
      <x:c r="AB247" s="54" t="str">
        <x:f aca="0">""</x:f>
      </x:c>
      <x:c r="AC247" s="54" t="str">
        <x:f aca="0">""</x:f>
      </x:c>
      <x:c r="AD247" s="7"/>
      <x:c r="AE247" s="4"/>
      <x:c r="AF247" s="4"/>
      <x:c r="AG247" s="7"/>
      <x:c r="AH247" s="12" t="str">
        <x:f aca="0">""</x:f>
      </x:c>
      <x:c r="AI247" s="12" t="str">
        <x:f aca="0">""</x:f>
      </x:c>
      <x:c r="AJ247" s="12" t="str">
        <x:f aca="0">""</x:f>
      </x:c>
      <x:c r="AK247" s="12" t="str">
        <x:f aca="0">""</x:f>
      </x:c>
      <x:c r="AL247" s="19" t="str">
        <x:f aca="0">""</x:f>
      </x:c>
      <x:c r="AM247" s="56"/>
      <x:c r="AN247" s="4"/>
      <x:c r="AO247" s="4"/>
      <x:c r="AP247" s="3" t="str">
        <x:f aca="0">""</x:f>
      </x:c>
      <x:c r="AQ247" s="3" t="str">
        <x:f aca="0">""</x:f>
      </x:c>
      <x:c r="AR247" s="3" t="str">
        <x:f aca="0">""</x:f>
      </x:c>
      <x:c r="AS247" s="3" t="str">
        <x:f aca="0">""</x:f>
      </x:c>
      <x:c r="AT247" s="3" t="str">
        <x:f aca="0">""</x:f>
      </x:c>
      <x:c r="AU247" s="54" t="str">
        <x:f aca="0">""</x:f>
      </x:c>
      <x:c r="AV247" s="12" t="str">
        <x:f aca="0">""</x:f>
      </x:c>
      <x:c r="AW247" s="4"/>
      <x:c r="AX247" s="4"/>
      <x:c r="AY247" s="4"/>
      <x:c r="AZ247" s="56"/>
      <x:c r="BA247" s="4"/>
      <x:c r="BB247" s="11" t="str">
        <x:f aca="0">""</x:f>
      </x:c>
      <x:c r="BC247" s="11" t="str">
        <x:f aca="0">""</x:f>
      </x:c>
      <x:c r="BD247" s="11" t="str">
        <x:f aca="0">""</x:f>
      </x:c>
      <x:c r="BE247" s="19" t="str">
        <x:f aca="0">""</x:f>
      </x:c>
      <x:c r="BF247" s="19" t="str">
        <x:f aca="0">""</x:f>
      </x:c>
    </x:row>
    <x:row r="248" ht="14.25" hidden="0">
      <x:c r="A248" s="3"/>
      <x:c r="B248" s="55"/>
      <x:c r="C248" s="4"/>
      <x:c r="D248" s="4"/>
      <x:c r="E248" s="4"/>
      <x:c r="F248" s="4"/>
      <x:c r="G248" s="4"/>
      <x:c r="H248" s="56"/>
      <x:c r="I248" s="4"/>
      <x:c r="J248" s="4"/>
      <x:c r="K248" s="4"/>
      <x:c r="L248" s="7"/>
      <x:c r="M248" s="7"/>
      <x:c r="N248" s="57"/>
      <x:c r="O248" s="57"/>
      <x:c r="P248" s="57"/>
      <x:c r="Q248" s="3" t="str">
        <x:f aca="0">""</x:f>
      </x:c>
      <x:c r="R248" s="4"/>
      <x:c r="S248" s="4"/>
      <x:c r="T248" s="4"/>
      <x:c r="U248" s="56"/>
      <x:c r="V248" s="4"/>
      <x:c r="W248" s="57" t="str">
        <x:f aca="0">""</x:f>
      </x:c>
      <x:c r="X248" s="57" t="str">
        <x:f aca="0">""</x:f>
      </x:c>
      <x:c r="Y248" s="57" t="str">
        <x:f aca="0">""</x:f>
      </x:c>
      <x:c r="Z248" s="58"/>
      <x:c r="AA248" s="4"/>
      <x:c r="AB248" s="54" t="str">
        <x:f aca="0">""</x:f>
      </x:c>
      <x:c r="AC248" s="54" t="str">
        <x:f aca="0">""</x:f>
      </x:c>
      <x:c r="AD248" s="7"/>
      <x:c r="AE248" s="4"/>
      <x:c r="AF248" s="4"/>
      <x:c r="AG248" s="7"/>
      <x:c r="AH248" s="12" t="str">
        <x:f aca="0">""</x:f>
      </x:c>
      <x:c r="AI248" s="12" t="str">
        <x:f aca="0">""</x:f>
      </x:c>
      <x:c r="AJ248" s="12" t="str">
        <x:f aca="0">""</x:f>
      </x:c>
      <x:c r="AK248" s="12" t="str">
        <x:f aca="0">""</x:f>
      </x:c>
      <x:c r="AL248" s="19" t="str">
        <x:f aca="0">""</x:f>
      </x:c>
      <x:c r="AM248" s="56"/>
      <x:c r="AN248" s="4"/>
      <x:c r="AO248" s="4"/>
      <x:c r="AP248" s="3" t="str">
        <x:f aca="0">""</x:f>
      </x:c>
      <x:c r="AQ248" s="3" t="str">
        <x:f aca="0">""</x:f>
      </x:c>
      <x:c r="AR248" s="3" t="str">
        <x:f aca="0">""</x:f>
      </x:c>
      <x:c r="AS248" s="3" t="str">
        <x:f aca="0">""</x:f>
      </x:c>
      <x:c r="AT248" s="3" t="str">
        <x:f aca="0">""</x:f>
      </x:c>
      <x:c r="AU248" s="54" t="str">
        <x:f aca="0">""</x:f>
      </x:c>
      <x:c r="AV248" s="12" t="str">
        <x:f aca="0">""</x:f>
      </x:c>
      <x:c r="AW248" s="4"/>
      <x:c r="AX248" s="4"/>
      <x:c r="AY248" s="4"/>
      <x:c r="AZ248" s="56"/>
      <x:c r="BA248" s="4"/>
      <x:c r="BB248" s="11" t="str">
        <x:f aca="0">""</x:f>
      </x:c>
      <x:c r="BC248" s="11" t="str">
        <x:f aca="0">""</x:f>
      </x:c>
      <x:c r="BD248" s="11" t="str">
        <x:f aca="0">""</x:f>
      </x:c>
      <x:c r="BE248" s="19" t="str">
        <x:f aca="0">""</x:f>
      </x:c>
      <x:c r="BF248" s="19" t="str">
        <x:f aca="0">""</x:f>
      </x:c>
    </x:row>
    <x:row r="249" ht="14.25" hidden="0">
      <x:c r="A249" s="3"/>
      <x:c r="B249" s="55"/>
      <x:c r="C249" s="4"/>
      <x:c r="D249" s="4"/>
      <x:c r="E249" s="4"/>
      <x:c r="F249" s="4"/>
      <x:c r="G249" s="4"/>
      <x:c r="H249" s="56"/>
      <x:c r="I249" s="4"/>
      <x:c r="J249" s="4"/>
      <x:c r="K249" s="4"/>
      <x:c r="L249" s="7"/>
      <x:c r="M249" s="7"/>
      <x:c r="N249" s="57"/>
      <x:c r="O249" s="57"/>
      <x:c r="P249" s="57"/>
      <x:c r="Q249" s="3" t="str">
        <x:f aca="0">""</x:f>
      </x:c>
      <x:c r="R249" s="4"/>
      <x:c r="S249" s="4"/>
      <x:c r="T249" s="4"/>
      <x:c r="U249" s="56"/>
      <x:c r="V249" s="4"/>
      <x:c r="W249" s="57" t="str">
        <x:f aca="0">""</x:f>
      </x:c>
      <x:c r="X249" s="57" t="str">
        <x:f aca="0">""</x:f>
      </x:c>
      <x:c r="Y249" s="57" t="str">
        <x:f aca="0">""</x:f>
      </x:c>
      <x:c r="Z249" s="58"/>
      <x:c r="AA249" s="4"/>
      <x:c r="AB249" s="54" t="str">
        <x:f aca="0">""</x:f>
      </x:c>
      <x:c r="AC249" s="54" t="str">
        <x:f aca="0">""</x:f>
      </x:c>
      <x:c r="AD249" s="7"/>
      <x:c r="AE249" s="4"/>
      <x:c r="AF249" s="4"/>
      <x:c r="AG249" s="7"/>
      <x:c r="AH249" s="12" t="str">
        <x:f aca="0">""</x:f>
      </x:c>
      <x:c r="AI249" s="12" t="str">
        <x:f aca="0">""</x:f>
      </x:c>
      <x:c r="AJ249" s="12" t="str">
        <x:f aca="0">""</x:f>
      </x:c>
      <x:c r="AK249" s="12" t="str">
        <x:f aca="0">""</x:f>
      </x:c>
      <x:c r="AL249" s="19" t="str">
        <x:f aca="0">""</x:f>
      </x:c>
      <x:c r="AM249" s="56"/>
      <x:c r="AN249" s="4"/>
      <x:c r="AO249" s="4"/>
      <x:c r="AP249" s="3" t="str">
        <x:f aca="0">""</x:f>
      </x:c>
      <x:c r="AQ249" s="3" t="str">
        <x:f aca="0">""</x:f>
      </x:c>
      <x:c r="AR249" s="3" t="str">
        <x:f aca="0">""</x:f>
      </x:c>
      <x:c r="AS249" s="3" t="str">
        <x:f aca="0">""</x:f>
      </x:c>
      <x:c r="AT249" s="3" t="str">
        <x:f aca="0">""</x:f>
      </x:c>
      <x:c r="AU249" s="54" t="str">
        <x:f aca="0">""</x:f>
      </x:c>
      <x:c r="AV249" s="12" t="str">
        <x:f aca="0">""</x:f>
      </x:c>
      <x:c r="AW249" s="4"/>
      <x:c r="AX249" s="4"/>
      <x:c r="AY249" s="4"/>
      <x:c r="AZ249" s="56"/>
      <x:c r="BA249" s="4"/>
      <x:c r="BB249" s="11" t="str">
        <x:f aca="0">""</x:f>
      </x:c>
      <x:c r="BC249" s="11" t="str">
        <x:f aca="0">""</x:f>
      </x:c>
      <x:c r="BD249" s="11" t="str">
        <x:f aca="0">""</x:f>
      </x:c>
      <x:c r="BE249" s="19" t="str">
        <x:f aca="0">""</x:f>
      </x:c>
      <x:c r="BF249" s="19" t="str">
        <x:f aca="0">""</x:f>
      </x:c>
    </x:row>
    <x:row r="250" ht="14.25" hidden="0">
      <x:c r="A250" s="3"/>
      <x:c r="B250" s="55"/>
      <x:c r="C250" s="4"/>
      <x:c r="D250" s="4"/>
      <x:c r="E250" s="4"/>
      <x:c r="F250" s="4"/>
      <x:c r="G250" s="4"/>
      <x:c r="H250" s="56"/>
      <x:c r="I250" s="4"/>
      <x:c r="J250" s="4"/>
      <x:c r="K250" s="4"/>
      <x:c r="L250" s="7"/>
      <x:c r="M250" s="7"/>
      <x:c r="N250" s="57"/>
      <x:c r="O250" s="57"/>
      <x:c r="P250" s="57"/>
      <x:c r="Q250" s="3" t="str">
        <x:f aca="0">""</x:f>
      </x:c>
      <x:c r="R250" s="4"/>
      <x:c r="S250" s="4"/>
      <x:c r="T250" s="4"/>
      <x:c r="U250" s="56"/>
      <x:c r="V250" s="4"/>
      <x:c r="W250" s="57" t="str">
        <x:f aca="0">""</x:f>
      </x:c>
      <x:c r="X250" s="57" t="str">
        <x:f aca="0">""</x:f>
      </x:c>
      <x:c r="Y250" s="57" t="str">
        <x:f aca="0">""</x:f>
      </x:c>
      <x:c r="Z250" s="58"/>
      <x:c r="AA250" s="4"/>
      <x:c r="AB250" s="54" t="str">
        <x:f aca="0">""</x:f>
      </x:c>
      <x:c r="AC250" s="54" t="str">
        <x:f aca="0">""</x:f>
      </x:c>
      <x:c r="AD250" s="7"/>
      <x:c r="AE250" s="4"/>
      <x:c r="AF250" s="4"/>
      <x:c r="AG250" s="7"/>
      <x:c r="AH250" s="12" t="str">
        <x:f aca="0">""</x:f>
      </x:c>
      <x:c r="AI250" s="12" t="str">
        <x:f aca="0">""</x:f>
      </x:c>
      <x:c r="AJ250" s="12" t="str">
        <x:f aca="0">""</x:f>
      </x:c>
      <x:c r="AK250" s="12" t="str">
        <x:f aca="0">""</x:f>
      </x:c>
      <x:c r="AL250" s="19" t="str">
        <x:f aca="0">""</x:f>
      </x:c>
      <x:c r="AM250" s="56"/>
      <x:c r="AN250" s="4"/>
      <x:c r="AO250" s="4"/>
      <x:c r="AP250" s="3" t="str">
        <x:f aca="0">""</x:f>
      </x:c>
      <x:c r="AQ250" s="3" t="str">
        <x:f aca="0">""</x:f>
      </x:c>
      <x:c r="AR250" s="3" t="str">
        <x:f aca="0">""</x:f>
      </x:c>
      <x:c r="AS250" s="3" t="str">
        <x:f aca="0">""</x:f>
      </x:c>
      <x:c r="AT250" s="3" t="str">
        <x:f aca="0">""</x:f>
      </x:c>
      <x:c r="AU250" s="54" t="str">
        <x:f aca="0">""</x:f>
      </x:c>
      <x:c r="AV250" s="12" t="str">
        <x:f aca="0">""</x:f>
      </x:c>
      <x:c r="AW250" s="4"/>
      <x:c r="AX250" s="4"/>
      <x:c r="AY250" s="4"/>
      <x:c r="AZ250" s="56"/>
      <x:c r="BA250" s="4"/>
      <x:c r="BB250" s="11" t="str">
        <x:f aca="0">""</x:f>
      </x:c>
      <x:c r="BC250" s="11" t="str">
        <x:f aca="0">""</x:f>
      </x:c>
      <x:c r="BD250" s="11" t="str">
        <x:f aca="0">""</x:f>
      </x:c>
      <x:c r="BE250" s="19" t="str">
        <x:f aca="0">""</x:f>
      </x:c>
      <x:c r="BF250" s="19" t="str">
        <x:f aca="0">""</x:f>
      </x:c>
    </x:row>
    <x:row r="251" ht="14.25" hidden="0">
      <x:c r="A251" s="3"/>
      <x:c r="B251" s="55"/>
      <x:c r="C251" s="4"/>
      <x:c r="D251" s="4"/>
      <x:c r="E251" s="4"/>
      <x:c r="F251" s="4"/>
      <x:c r="G251" s="4"/>
      <x:c r="H251" s="56"/>
      <x:c r="I251" s="4"/>
      <x:c r="J251" s="4"/>
      <x:c r="K251" s="4"/>
      <x:c r="L251" s="7"/>
      <x:c r="M251" s="7"/>
      <x:c r="N251" s="57"/>
      <x:c r="O251" s="57"/>
      <x:c r="P251" s="57"/>
      <x:c r="Q251" s="3" t="str">
        <x:f aca="0">""</x:f>
      </x:c>
      <x:c r="R251" s="4"/>
      <x:c r="S251" s="4"/>
      <x:c r="T251" s="4"/>
      <x:c r="U251" s="56"/>
      <x:c r="V251" s="4"/>
      <x:c r="W251" s="57" t="str">
        <x:f aca="0">""</x:f>
      </x:c>
      <x:c r="X251" s="57" t="str">
        <x:f aca="0">""</x:f>
      </x:c>
      <x:c r="Y251" s="57" t="str">
        <x:f aca="0">""</x:f>
      </x:c>
      <x:c r="Z251" s="58"/>
      <x:c r="AA251" s="4"/>
      <x:c r="AB251" s="54" t="str">
        <x:f aca="0">""</x:f>
      </x:c>
      <x:c r="AC251" s="54" t="str">
        <x:f aca="0">""</x:f>
      </x:c>
      <x:c r="AD251" s="7"/>
      <x:c r="AE251" s="4"/>
      <x:c r="AF251" s="4"/>
      <x:c r="AG251" s="7"/>
      <x:c r="AH251" s="12" t="str">
        <x:f aca="0">""</x:f>
      </x:c>
      <x:c r="AI251" s="12" t="str">
        <x:f aca="0">""</x:f>
      </x:c>
      <x:c r="AJ251" s="12" t="str">
        <x:f aca="0">""</x:f>
      </x:c>
      <x:c r="AK251" s="12" t="str">
        <x:f aca="0">""</x:f>
      </x:c>
      <x:c r="AL251" s="19" t="str">
        <x:f aca="0">""</x:f>
      </x:c>
      <x:c r="AM251" s="56"/>
      <x:c r="AN251" s="4"/>
      <x:c r="AO251" s="4"/>
      <x:c r="AP251" s="3" t="str">
        <x:f aca="0">""</x:f>
      </x:c>
      <x:c r="AQ251" s="3" t="str">
        <x:f aca="0">""</x:f>
      </x:c>
      <x:c r="AR251" s="3" t="str">
        <x:f aca="0">""</x:f>
      </x:c>
      <x:c r="AS251" s="3" t="str">
        <x:f aca="0">""</x:f>
      </x:c>
      <x:c r="AT251" s="3" t="str">
        <x:f aca="0">""</x:f>
      </x:c>
      <x:c r="AU251" s="54" t="str">
        <x:f aca="0">""</x:f>
      </x:c>
      <x:c r="AV251" s="12" t="str">
        <x:f aca="0">""</x:f>
      </x:c>
      <x:c r="AW251" s="4"/>
      <x:c r="AX251" s="4"/>
      <x:c r="AY251" s="4"/>
      <x:c r="AZ251" s="56"/>
      <x:c r="BA251" s="4"/>
      <x:c r="BB251" s="11" t="str">
        <x:f aca="0">""</x:f>
      </x:c>
      <x:c r="BC251" s="11" t="str">
        <x:f aca="0">""</x:f>
      </x:c>
      <x:c r="BD251" s="11" t="str">
        <x:f aca="0">""</x:f>
      </x:c>
      <x:c r="BE251" s="19" t="str">
        <x:f aca="0">""</x:f>
      </x:c>
      <x:c r="BF251" s="19" t="str">
        <x:f aca="0">""</x:f>
      </x:c>
    </x:row>
    <x:row r="252" ht="14.25" hidden="0">
      <x:c r="A252" s="3"/>
      <x:c r="B252" s="55"/>
      <x:c r="C252" s="4"/>
      <x:c r="D252" s="4"/>
      <x:c r="E252" s="4"/>
      <x:c r="F252" s="4"/>
      <x:c r="G252" s="4"/>
      <x:c r="H252" s="56"/>
      <x:c r="I252" s="4"/>
      <x:c r="J252" s="4"/>
      <x:c r="K252" s="4"/>
      <x:c r="L252" s="7"/>
      <x:c r="M252" s="7"/>
      <x:c r="N252" s="57"/>
      <x:c r="O252" s="57"/>
      <x:c r="P252" s="57"/>
      <x:c r="Q252" s="3" t="str">
        <x:f aca="0">""</x:f>
      </x:c>
      <x:c r="R252" s="4"/>
      <x:c r="S252" s="4"/>
      <x:c r="T252" s="4"/>
      <x:c r="U252" s="56"/>
      <x:c r="V252" s="4"/>
      <x:c r="W252" s="57" t="str">
        <x:f aca="0">""</x:f>
      </x:c>
      <x:c r="X252" s="57" t="str">
        <x:f aca="0">""</x:f>
      </x:c>
      <x:c r="Y252" s="57" t="str">
        <x:f aca="0">""</x:f>
      </x:c>
      <x:c r="Z252" s="58"/>
      <x:c r="AA252" s="4"/>
      <x:c r="AB252" s="54" t="str">
        <x:f aca="0">""</x:f>
      </x:c>
      <x:c r="AC252" s="54" t="str">
        <x:f aca="0">""</x:f>
      </x:c>
      <x:c r="AD252" s="7"/>
      <x:c r="AE252" s="4"/>
      <x:c r="AF252" s="4"/>
      <x:c r="AG252" s="7"/>
      <x:c r="AH252" s="12" t="str">
        <x:f aca="0">""</x:f>
      </x:c>
      <x:c r="AI252" s="12" t="str">
        <x:f aca="0">""</x:f>
      </x:c>
      <x:c r="AJ252" s="12" t="str">
        <x:f aca="0">""</x:f>
      </x:c>
      <x:c r="AK252" s="12" t="str">
        <x:f aca="0">""</x:f>
      </x:c>
      <x:c r="AL252" s="19" t="str">
        <x:f aca="0">""</x:f>
      </x:c>
      <x:c r="AM252" s="56"/>
      <x:c r="AN252" s="4"/>
      <x:c r="AO252" s="4"/>
      <x:c r="AP252" s="3" t="str">
        <x:f aca="0">""</x:f>
      </x:c>
      <x:c r="AQ252" s="3" t="str">
        <x:f aca="0">""</x:f>
      </x:c>
      <x:c r="AR252" s="3" t="str">
        <x:f aca="0">""</x:f>
      </x:c>
      <x:c r="AS252" s="3" t="str">
        <x:f aca="0">""</x:f>
      </x:c>
      <x:c r="AT252" s="3" t="str">
        <x:f aca="0">""</x:f>
      </x:c>
      <x:c r="AU252" s="54" t="str">
        <x:f aca="0">""</x:f>
      </x:c>
      <x:c r="AV252" s="12" t="str">
        <x:f aca="0">""</x:f>
      </x:c>
      <x:c r="AW252" s="4"/>
      <x:c r="AX252" s="4"/>
      <x:c r="AY252" s="4"/>
      <x:c r="AZ252" s="56"/>
      <x:c r="BA252" s="4"/>
      <x:c r="BB252" s="11" t="str">
        <x:f aca="0">""</x:f>
      </x:c>
      <x:c r="BC252" s="11" t="str">
        <x:f aca="0">""</x:f>
      </x:c>
      <x:c r="BD252" s="11" t="str">
        <x:f aca="0">""</x:f>
      </x:c>
      <x:c r="BE252" s="19" t="str">
        <x:f aca="0">""</x:f>
      </x:c>
      <x:c r="BF252" s="19" t="str">
        <x:f aca="0">""</x:f>
      </x:c>
    </x:row>
    <x:row r="253" ht="14.25" hidden="0">
      <x:c r="A253" s="3"/>
      <x:c r="B253" s="55"/>
      <x:c r="C253" s="4"/>
      <x:c r="D253" s="4"/>
      <x:c r="E253" s="4"/>
      <x:c r="F253" s="4"/>
      <x:c r="G253" s="4"/>
      <x:c r="H253" s="56"/>
      <x:c r="I253" s="4"/>
      <x:c r="J253" s="4"/>
      <x:c r="K253" s="4"/>
      <x:c r="L253" s="7"/>
      <x:c r="M253" s="7"/>
      <x:c r="N253" s="57"/>
      <x:c r="O253" s="57"/>
      <x:c r="P253" s="57"/>
      <x:c r="Q253" s="3" t="str">
        <x:f aca="0">""</x:f>
      </x:c>
      <x:c r="R253" s="4"/>
      <x:c r="S253" s="4"/>
      <x:c r="T253" s="4"/>
      <x:c r="U253" s="56"/>
      <x:c r="V253" s="4"/>
      <x:c r="W253" s="57" t="str">
        <x:f aca="0">""</x:f>
      </x:c>
      <x:c r="X253" s="57" t="str">
        <x:f aca="0">""</x:f>
      </x:c>
      <x:c r="Y253" s="57" t="str">
        <x:f aca="0">""</x:f>
      </x:c>
      <x:c r="Z253" s="58"/>
      <x:c r="AA253" s="4"/>
      <x:c r="AB253" s="54" t="str">
        <x:f aca="0">""</x:f>
      </x:c>
      <x:c r="AC253" s="54" t="str">
        <x:f aca="0">""</x:f>
      </x:c>
      <x:c r="AD253" s="7"/>
      <x:c r="AE253" s="4"/>
      <x:c r="AF253" s="4"/>
      <x:c r="AG253" s="7"/>
      <x:c r="AH253" s="12" t="str">
        <x:f aca="0">""</x:f>
      </x:c>
      <x:c r="AI253" s="12" t="str">
        <x:f aca="0">""</x:f>
      </x:c>
      <x:c r="AJ253" s="12" t="str">
        <x:f aca="0">""</x:f>
      </x:c>
      <x:c r="AK253" s="12" t="str">
        <x:f aca="0">""</x:f>
      </x:c>
      <x:c r="AL253" s="19" t="str">
        <x:f aca="0">""</x:f>
      </x:c>
      <x:c r="AM253" s="56"/>
      <x:c r="AN253" s="4"/>
      <x:c r="AO253" s="4"/>
      <x:c r="AP253" s="3" t="str">
        <x:f aca="0">""</x:f>
      </x:c>
      <x:c r="AQ253" s="3" t="str">
        <x:f aca="0">""</x:f>
      </x:c>
      <x:c r="AR253" s="3" t="str">
        <x:f aca="0">""</x:f>
      </x:c>
      <x:c r="AS253" s="3" t="str">
        <x:f aca="0">""</x:f>
      </x:c>
      <x:c r="AT253" s="3" t="str">
        <x:f aca="0">""</x:f>
      </x:c>
      <x:c r="AU253" s="54" t="str">
        <x:f aca="0">""</x:f>
      </x:c>
      <x:c r="AV253" s="12" t="str">
        <x:f aca="0">""</x:f>
      </x:c>
      <x:c r="AW253" s="4"/>
      <x:c r="AX253" s="4"/>
      <x:c r="AY253" s="4"/>
      <x:c r="AZ253" s="56"/>
      <x:c r="BA253" s="4"/>
      <x:c r="BB253" s="11" t="str">
        <x:f aca="0">""</x:f>
      </x:c>
      <x:c r="BC253" s="11" t="str">
        <x:f aca="0">""</x:f>
      </x:c>
      <x:c r="BD253" s="11" t="str">
        <x:f aca="0">""</x:f>
      </x:c>
      <x:c r="BE253" s="19" t="str">
        <x:f aca="0">""</x:f>
      </x:c>
      <x:c r="BF253" s="19" t="str">
        <x:f aca="0">""</x:f>
      </x:c>
    </x:row>
    <x:row r="254" ht="14.25" hidden="0">
      <x:c r="A254" s="3"/>
      <x:c r="B254" s="55"/>
      <x:c r="C254" s="4"/>
      <x:c r="D254" s="4"/>
      <x:c r="E254" s="4"/>
      <x:c r="F254" s="4"/>
      <x:c r="G254" s="4"/>
      <x:c r="H254" s="56"/>
      <x:c r="I254" s="4"/>
      <x:c r="J254" s="4"/>
      <x:c r="K254" s="4"/>
      <x:c r="L254" s="7"/>
      <x:c r="M254" s="7"/>
      <x:c r="N254" s="57"/>
      <x:c r="O254" s="57"/>
      <x:c r="P254" s="57"/>
      <x:c r="Q254" s="3" t="str">
        <x:f aca="0">""</x:f>
      </x:c>
      <x:c r="R254" s="4"/>
      <x:c r="S254" s="4"/>
      <x:c r="T254" s="4"/>
      <x:c r="U254" s="56"/>
      <x:c r="V254" s="4"/>
      <x:c r="W254" s="57" t="str">
        <x:f aca="0">""</x:f>
      </x:c>
      <x:c r="X254" s="57" t="str">
        <x:f aca="0">""</x:f>
      </x:c>
      <x:c r="Y254" s="57" t="str">
        <x:f aca="0">""</x:f>
      </x:c>
      <x:c r="Z254" s="58"/>
      <x:c r="AA254" s="4"/>
      <x:c r="AB254" s="54" t="str">
        <x:f aca="0">""</x:f>
      </x:c>
      <x:c r="AC254" s="54" t="str">
        <x:f aca="0">""</x:f>
      </x:c>
      <x:c r="AD254" s="7"/>
      <x:c r="AE254" s="4"/>
      <x:c r="AF254" s="4"/>
      <x:c r="AG254" s="7"/>
      <x:c r="AH254" s="12" t="str">
        <x:f aca="0">""</x:f>
      </x:c>
      <x:c r="AI254" s="12" t="str">
        <x:f aca="0">""</x:f>
      </x:c>
      <x:c r="AJ254" s="12" t="str">
        <x:f aca="0">""</x:f>
      </x:c>
      <x:c r="AK254" s="12" t="str">
        <x:f aca="0">""</x:f>
      </x:c>
      <x:c r="AL254" s="19" t="str">
        <x:f aca="0">""</x:f>
      </x:c>
      <x:c r="AM254" s="56"/>
      <x:c r="AN254" s="4"/>
      <x:c r="AO254" s="4"/>
      <x:c r="AP254" s="3" t="str">
        <x:f aca="0">""</x:f>
      </x:c>
      <x:c r="AQ254" s="3" t="str">
        <x:f aca="0">""</x:f>
      </x:c>
      <x:c r="AR254" s="3" t="str">
        <x:f aca="0">""</x:f>
      </x:c>
      <x:c r="AS254" s="3" t="str">
        <x:f aca="0">""</x:f>
      </x:c>
      <x:c r="AT254" s="3" t="str">
        <x:f aca="0">""</x:f>
      </x:c>
      <x:c r="AU254" s="54" t="str">
        <x:f aca="0">""</x:f>
      </x:c>
      <x:c r="AV254" s="12" t="str">
        <x:f aca="0">""</x:f>
      </x:c>
      <x:c r="AW254" s="4"/>
      <x:c r="AX254" s="4"/>
      <x:c r="AY254" s="4"/>
      <x:c r="AZ254" s="56"/>
      <x:c r="BA254" s="4"/>
      <x:c r="BB254" s="11" t="str">
        <x:f aca="0">""</x:f>
      </x:c>
      <x:c r="BC254" s="11" t="str">
        <x:f aca="0">""</x:f>
      </x:c>
      <x:c r="BD254" s="11" t="str">
        <x:f aca="0">""</x:f>
      </x:c>
      <x:c r="BE254" s="19" t="str">
        <x:f aca="0">""</x:f>
      </x:c>
      <x:c r="BF254" s="19" t="str">
        <x:f aca="0">""</x:f>
      </x:c>
    </x:row>
    <x:row r="255" ht="14.25" hidden="0">
      <x:c r="A255" s="3"/>
      <x:c r="B255" s="55"/>
      <x:c r="C255" s="4"/>
      <x:c r="D255" s="4"/>
      <x:c r="E255" s="4"/>
      <x:c r="F255" s="4"/>
      <x:c r="G255" s="4"/>
      <x:c r="H255" s="56"/>
      <x:c r="I255" s="4"/>
      <x:c r="J255" s="4"/>
      <x:c r="K255" s="4"/>
      <x:c r="L255" s="7"/>
      <x:c r="M255" s="7"/>
      <x:c r="N255" s="57"/>
      <x:c r="O255" s="57"/>
      <x:c r="P255" s="57"/>
      <x:c r="Q255" s="3" t="str">
        <x:f aca="0">""</x:f>
      </x:c>
      <x:c r="R255" s="4"/>
      <x:c r="S255" s="4"/>
      <x:c r="T255" s="4"/>
      <x:c r="U255" s="56"/>
      <x:c r="V255" s="4"/>
      <x:c r="W255" s="57" t="str">
        <x:f aca="0">""</x:f>
      </x:c>
      <x:c r="X255" s="57" t="str">
        <x:f aca="0">""</x:f>
      </x:c>
      <x:c r="Y255" s="57" t="str">
        <x:f aca="0">""</x:f>
      </x:c>
      <x:c r="Z255" s="58"/>
      <x:c r="AA255" s="4"/>
      <x:c r="AB255" s="54" t="str">
        <x:f aca="0">""</x:f>
      </x:c>
      <x:c r="AC255" s="54" t="str">
        <x:f aca="0">""</x:f>
      </x:c>
      <x:c r="AD255" s="7"/>
      <x:c r="AE255" s="4"/>
      <x:c r="AF255" s="4"/>
      <x:c r="AG255" s="7"/>
      <x:c r="AH255" s="12" t="str">
        <x:f aca="0">""</x:f>
      </x:c>
      <x:c r="AI255" s="12" t="str">
        <x:f aca="0">""</x:f>
      </x:c>
      <x:c r="AJ255" s="12" t="str">
        <x:f aca="0">""</x:f>
      </x:c>
      <x:c r="AK255" s="12" t="str">
        <x:f aca="0">""</x:f>
      </x:c>
      <x:c r="AL255" s="19" t="str">
        <x:f aca="0">""</x:f>
      </x:c>
      <x:c r="AM255" s="56"/>
      <x:c r="AN255" s="4"/>
      <x:c r="AO255" s="4"/>
      <x:c r="AP255" s="3" t="str">
        <x:f aca="0">""</x:f>
      </x:c>
      <x:c r="AQ255" s="3" t="str">
        <x:f aca="0">""</x:f>
      </x:c>
      <x:c r="AR255" s="3" t="str">
        <x:f aca="0">""</x:f>
      </x:c>
      <x:c r="AS255" s="3" t="str">
        <x:f aca="0">""</x:f>
      </x:c>
      <x:c r="AT255" s="3" t="str">
        <x:f aca="0">""</x:f>
      </x:c>
      <x:c r="AU255" s="54" t="str">
        <x:f aca="0">""</x:f>
      </x:c>
      <x:c r="AV255" s="12" t="str">
        <x:f aca="0">""</x:f>
      </x:c>
      <x:c r="AW255" s="4"/>
      <x:c r="AX255" s="4"/>
      <x:c r="AY255" s="4"/>
      <x:c r="AZ255" s="56"/>
      <x:c r="BA255" s="4"/>
      <x:c r="BB255" s="11" t="str">
        <x:f aca="0">""</x:f>
      </x:c>
      <x:c r="BC255" s="11" t="str">
        <x:f aca="0">""</x:f>
      </x:c>
      <x:c r="BD255" s="11" t="str">
        <x:f aca="0">""</x:f>
      </x:c>
      <x:c r="BE255" s="19" t="str">
        <x:f aca="0">""</x:f>
      </x:c>
      <x:c r="BF255" s="19" t="str">
        <x:f aca="0">""</x:f>
      </x:c>
    </x:row>
    <x:row r="256" ht="14.25" hidden="0">
      <x:c r="A256" s="3"/>
      <x:c r="B256" s="55"/>
      <x:c r="C256" s="4"/>
      <x:c r="D256" s="4"/>
      <x:c r="E256" s="4"/>
      <x:c r="F256" s="4"/>
      <x:c r="G256" s="4"/>
      <x:c r="H256" s="56"/>
      <x:c r="I256" s="4"/>
      <x:c r="J256" s="4"/>
      <x:c r="K256" s="4"/>
      <x:c r="L256" s="7"/>
      <x:c r="M256" s="7"/>
      <x:c r="N256" s="57"/>
      <x:c r="O256" s="57"/>
      <x:c r="P256" s="57"/>
      <x:c r="Q256" s="3" t="str">
        <x:f aca="0">""</x:f>
      </x:c>
      <x:c r="R256" s="4"/>
      <x:c r="S256" s="4"/>
      <x:c r="T256" s="4"/>
      <x:c r="U256" s="56"/>
      <x:c r="V256" s="4"/>
      <x:c r="W256" s="57" t="str">
        <x:f aca="0">""</x:f>
      </x:c>
      <x:c r="X256" s="57" t="str">
        <x:f aca="0">""</x:f>
      </x:c>
      <x:c r="Y256" s="57" t="str">
        <x:f aca="0">""</x:f>
      </x:c>
      <x:c r="Z256" s="58"/>
      <x:c r="AA256" s="4"/>
      <x:c r="AB256" s="54" t="str">
        <x:f aca="0">""</x:f>
      </x:c>
      <x:c r="AC256" s="54" t="str">
        <x:f aca="0">""</x:f>
      </x:c>
      <x:c r="AD256" s="7"/>
      <x:c r="AE256" s="4"/>
      <x:c r="AF256" s="4"/>
      <x:c r="AG256" s="7"/>
      <x:c r="AH256" s="12" t="str">
        <x:f aca="0">""</x:f>
      </x:c>
      <x:c r="AI256" s="12" t="str">
        <x:f aca="0">""</x:f>
      </x:c>
      <x:c r="AJ256" s="12" t="str">
        <x:f aca="0">""</x:f>
      </x:c>
      <x:c r="AK256" s="12" t="str">
        <x:f aca="0">""</x:f>
      </x:c>
      <x:c r="AL256" s="19" t="str">
        <x:f aca="0">""</x:f>
      </x:c>
      <x:c r="AM256" s="56"/>
      <x:c r="AN256" s="4"/>
      <x:c r="AO256" s="4"/>
      <x:c r="AP256" s="3" t="str">
        <x:f aca="0">""</x:f>
      </x:c>
      <x:c r="AQ256" s="3" t="str">
        <x:f aca="0">""</x:f>
      </x:c>
      <x:c r="AR256" s="3" t="str">
        <x:f aca="0">""</x:f>
      </x:c>
      <x:c r="AS256" s="3" t="str">
        <x:f aca="0">""</x:f>
      </x:c>
      <x:c r="AT256" s="3" t="str">
        <x:f aca="0">""</x:f>
      </x:c>
      <x:c r="AU256" s="54" t="str">
        <x:f aca="0">""</x:f>
      </x:c>
      <x:c r="AV256" s="12" t="str">
        <x:f aca="0">""</x:f>
      </x:c>
      <x:c r="AW256" s="4"/>
      <x:c r="AX256" s="4"/>
      <x:c r="AY256" s="4"/>
      <x:c r="AZ256" s="56"/>
      <x:c r="BA256" s="4"/>
      <x:c r="BB256" s="11" t="str">
        <x:f aca="0">""</x:f>
      </x:c>
      <x:c r="BC256" s="11" t="str">
        <x:f aca="0">""</x:f>
      </x:c>
      <x:c r="BD256" s="11" t="str">
        <x:f aca="0">""</x:f>
      </x:c>
      <x:c r="BE256" s="19" t="str">
        <x:f aca="0">""</x:f>
      </x:c>
      <x:c r="BF256" s="19" t="str">
        <x:f aca="0">""</x:f>
      </x:c>
    </x:row>
    <x:row r="257" ht="14.25" hidden="0">
      <x:c r="A257" s="3"/>
      <x:c r="B257" s="55"/>
      <x:c r="C257" s="4"/>
      <x:c r="D257" s="4"/>
      <x:c r="E257" s="4"/>
      <x:c r="F257" s="4"/>
      <x:c r="G257" s="4"/>
      <x:c r="H257" s="56"/>
      <x:c r="I257" s="4"/>
      <x:c r="J257" s="4"/>
      <x:c r="K257" s="4"/>
      <x:c r="L257" s="7"/>
      <x:c r="M257" s="7"/>
      <x:c r="N257" s="57"/>
      <x:c r="O257" s="57"/>
      <x:c r="P257" s="57"/>
      <x:c r="Q257" s="3" t="str">
        <x:f aca="0">""</x:f>
      </x:c>
      <x:c r="R257" s="4"/>
      <x:c r="S257" s="4"/>
      <x:c r="T257" s="4"/>
      <x:c r="U257" s="56"/>
      <x:c r="V257" s="4"/>
      <x:c r="W257" s="57" t="str">
        <x:f aca="0">""</x:f>
      </x:c>
      <x:c r="X257" s="57" t="str">
        <x:f aca="0">""</x:f>
      </x:c>
      <x:c r="Y257" s="57" t="str">
        <x:f aca="0">""</x:f>
      </x:c>
      <x:c r="Z257" s="58"/>
      <x:c r="AA257" s="4"/>
      <x:c r="AB257" s="54" t="str">
        <x:f aca="0">""</x:f>
      </x:c>
      <x:c r="AC257" s="54" t="str">
        <x:f aca="0">""</x:f>
      </x:c>
      <x:c r="AD257" s="7"/>
      <x:c r="AE257" s="4"/>
      <x:c r="AF257" s="4"/>
      <x:c r="AG257" s="7"/>
      <x:c r="AH257" s="12" t="str">
        <x:f aca="0">""</x:f>
      </x:c>
      <x:c r="AI257" s="12" t="str">
        <x:f aca="0">""</x:f>
      </x:c>
      <x:c r="AJ257" s="12" t="str">
        <x:f aca="0">""</x:f>
      </x:c>
      <x:c r="AK257" s="12" t="str">
        <x:f aca="0">""</x:f>
      </x:c>
      <x:c r="AL257" s="19" t="str">
        <x:f aca="0">""</x:f>
      </x:c>
      <x:c r="AM257" s="56"/>
      <x:c r="AN257" s="4"/>
      <x:c r="AO257" s="4"/>
      <x:c r="AP257" s="3" t="str">
        <x:f aca="0">""</x:f>
      </x:c>
      <x:c r="AQ257" s="3" t="str">
        <x:f aca="0">""</x:f>
      </x:c>
      <x:c r="AR257" s="3" t="str">
        <x:f aca="0">""</x:f>
      </x:c>
      <x:c r="AS257" s="3" t="str">
        <x:f aca="0">""</x:f>
      </x:c>
      <x:c r="AT257" s="3" t="str">
        <x:f aca="0">""</x:f>
      </x:c>
      <x:c r="AU257" s="54" t="str">
        <x:f aca="0">""</x:f>
      </x:c>
      <x:c r="AV257" s="12" t="str">
        <x:f aca="0">""</x:f>
      </x:c>
      <x:c r="AW257" s="4"/>
      <x:c r="AX257" s="4"/>
      <x:c r="AY257" s="4"/>
      <x:c r="AZ257" s="56"/>
      <x:c r="BA257" s="4"/>
      <x:c r="BB257" s="11" t="str">
        <x:f aca="0">""</x:f>
      </x:c>
      <x:c r="BC257" s="11" t="str">
        <x:f aca="0">""</x:f>
      </x:c>
      <x:c r="BD257" s="11" t="str">
        <x:f aca="0">""</x:f>
      </x:c>
      <x:c r="BE257" s="19" t="str">
        <x:f aca="0">""</x:f>
      </x:c>
      <x:c r="BF257" s="19" t="str">
        <x:f aca="0">""</x:f>
      </x:c>
    </x:row>
    <x:row r="258" ht="14.25" hidden="0">
      <x:c r="A258" s="3"/>
      <x:c r="B258" s="55"/>
      <x:c r="C258" s="4"/>
      <x:c r="D258" s="4"/>
      <x:c r="E258" s="4"/>
      <x:c r="F258" s="4"/>
      <x:c r="G258" s="4"/>
      <x:c r="H258" s="56"/>
      <x:c r="I258" s="4"/>
      <x:c r="J258" s="4"/>
      <x:c r="K258" s="4"/>
      <x:c r="L258" s="7"/>
      <x:c r="M258" s="7"/>
      <x:c r="N258" s="57"/>
      <x:c r="O258" s="57"/>
      <x:c r="P258" s="57"/>
      <x:c r="Q258" s="3" t="str">
        <x:f aca="0">""</x:f>
      </x:c>
      <x:c r="R258" s="4"/>
      <x:c r="S258" s="4"/>
      <x:c r="T258" s="4"/>
      <x:c r="U258" s="56"/>
      <x:c r="V258" s="4"/>
      <x:c r="W258" s="57" t="str">
        <x:f aca="0">""</x:f>
      </x:c>
      <x:c r="X258" s="57" t="str">
        <x:f aca="0">""</x:f>
      </x:c>
      <x:c r="Y258" s="57" t="str">
        <x:f aca="0">""</x:f>
      </x:c>
      <x:c r="Z258" s="58"/>
      <x:c r="AA258" s="4"/>
      <x:c r="AB258" s="54" t="str">
        <x:f aca="0">""</x:f>
      </x:c>
      <x:c r="AC258" s="54" t="str">
        <x:f aca="0">""</x:f>
      </x:c>
      <x:c r="AD258" s="7"/>
      <x:c r="AE258" s="4"/>
      <x:c r="AF258" s="4"/>
      <x:c r="AG258" s="7"/>
      <x:c r="AH258" s="12" t="str">
        <x:f aca="0">""</x:f>
      </x:c>
      <x:c r="AI258" s="12" t="str">
        <x:f aca="0">""</x:f>
      </x:c>
      <x:c r="AJ258" s="12" t="str">
        <x:f aca="0">""</x:f>
      </x:c>
      <x:c r="AK258" s="12" t="str">
        <x:f aca="0">""</x:f>
      </x:c>
      <x:c r="AL258" s="19" t="str">
        <x:f aca="0">""</x:f>
      </x:c>
      <x:c r="AM258" s="56"/>
      <x:c r="AN258" s="4"/>
      <x:c r="AO258" s="4"/>
      <x:c r="AP258" s="3" t="str">
        <x:f aca="0">""</x:f>
      </x:c>
      <x:c r="AQ258" s="3" t="str">
        <x:f aca="0">""</x:f>
      </x:c>
      <x:c r="AR258" s="3" t="str">
        <x:f aca="0">""</x:f>
      </x:c>
      <x:c r="AS258" s="3" t="str">
        <x:f aca="0">""</x:f>
      </x:c>
      <x:c r="AT258" s="3" t="str">
        <x:f aca="0">""</x:f>
      </x:c>
      <x:c r="AU258" s="54" t="str">
        <x:f aca="0">""</x:f>
      </x:c>
      <x:c r="AV258" s="12" t="str">
        <x:f aca="0">""</x:f>
      </x:c>
      <x:c r="AW258" s="4"/>
      <x:c r="AX258" s="4"/>
      <x:c r="AY258" s="4"/>
      <x:c r="AZ258" s="56"/>
      <x:c r="BA258" s="4"/>
      <x:c r="BB258" s="11" t="str">
        <x:f aca="0">""</x:f>
      </x:c>
      <x:c r="BC258" s="11" t="str">
        <x:f aca="0">""</x:f>
      </x:c>
      <x:c r="BD258" s="11" t="str">
        <x:f aca="0">""</x:f>
      </x:c>
      <x:c r="BE258" s="19" t="str">
        <x:f aca="0">""</x:f>
      </x:c>
      <x:c r="BF258" s="19" t="str">
        <x:f aca="0">""</x:f>
      </x:c>
    </x:row>
    <x:row r="259" ht="14.25" hidden="0">
      <x:c r="A259" s="3"/>
      <x:c r="B259" s="55"/>
      <x:c r="C259" s="4"/>
      <x:c r="D259" s="4"/>
      <x:c r="E259" s="4"/>
      <x:c r="F259" s="4"/>
      <x:c r="G259" s="4"/>
      <x:c r="H259" s="56"/>
      <x:c r="I259" s="4"/>
      <x:c r="J259" s="4"/>
      <x:c r="K259" s="4"/>
      <x:c r="L259" s="7"/>
      <x:c r="M259" s="7"/>
      <x:c r="N259" s="57"/>
      <x:c r="O259" s="57"/>
      <x:c r="P259" s="57"/>
      <x:c r="Q259" s="3" t="str">
        <x:f aca="0">""</x:f>
      </x:c>
      <x:c r="R259" s="4"/>
      <x:c r="S259" s="4"/>
      <x:c r="T259" s="4"/>
      <x:c r="U259" s="56"/>
      <x:c r="V259" s="4"/>
      <x:c r="W259" s="57" t="str">
        <x:f aca="0">""</x:f>
      </x:c>
      <x:c r="X259" s="57" t="str">
        <x:f aca="0">""</x:f>
      </x:c>
      <x:c r="Y259" s="57" t="str">
        <x:f aca="0">""</x:f>
      </x:c>
      <x:c r="Z259" s="58"/>
      <x:c r="AA259" s="4"/>
      <x:c r="AB259" s="54" t="str">
        <x:f aca="0">""</x:f>
      </x:c>
      <x:c r="AC259" s="54" t="str">
        <x:f aca="0">""</x:f>
      </x:c>
      <x:c r="AD259" s="7"/>
      <x:c r="AE259" s="4"/>
      <x:c r="AF259" s="4"/>
      <x:c r="AG259" s="7"/>
      <x:c r="AH259" s="12" t="str">
        <x:f aca="0">""</x:f>
      </x:c>
      <x:c r="AI259" s="12" t="str">
        <x:f aca="0">""</x:f>
      </x:c>
      <x:c r="AJ259" s="12" t="str">
        <x:f aca="0">""</x:f>
      </x:c>
      <x:c r="AK259" s="12" t="str">
        <x:f aca="0">""</x:f>
      </x:c>
      <x:c r="AL259" s="19" t="str">
        <x:f aca="0">""</x:f>
      </x:c>
      <x:c r="AM259" s="56"/>
      <x:c r="AN259" s="4"/>
      <x:c r="AO259" s="4"/>
      <x:c r="AP259" s="3" t="str">
        <x:f aca="0">""</x:f>
      </x:c>
      <x:c r="AQ259" s="3" t="str">
        <x:f aca="0">""</x:f>
      </x:c>
      <x:c r="AR259" s="3" t="str">
        <x:f aca="0">""</x:f>
      </x:c>
      <x:c r="AS259" s="3" t="str">
        <x:f aca="0">""</x:f>
      </x:c>
      <x:c r="AT259" s="3" t="str">
        <x:f aca="0">""</x:f>
      </x:c>
      <x:c r="AU259" s="54" t="str">
        <x:f aca="0">""</x:f>
      </x:c>
      <x:c r="AV259" s="12" t="str">
        <x:f aca="0">""</x:f>
      </x:c>
      <x:c r="AW259" s="4"/>
      <x:c r="AX259" s="4"/>
      <x:c r="AY259" s="4"/>
      <x:c r="AZ259" s="56"/>
      <x:c r="BA259" s="4"/>
      <x:c r="BB259" s="11" t="str">
        <x:f aca="0">""</x:f>
      </x:c>
      <x:c r="BC259" s="11" t="str">
        <x:f aca="0">""</x:f>
      </x:c>
      <x:c r="BD259" s="11" t="str">
        <x:f aca="0">""</x:f>
      </x:c>
      <x:c r="BE259" s="19" t="str">
        <x:f aca="0">""</x:f>
      </x:c>
      <x:c r="BF259" s="19" t="str">
        <x:f aca="0">""</x:f>
      </x:c>
    </x:row>
    <x:row r="260" ht="14.25" hidden="0">
      <x:c r="A260" s="3"/>
      <x:c r="B260" s="55"/>
      <x:c r="C260" s="4"/>
      <x:c r="D260" s="4"/>
      <x:c r="E260" s="4"/>
      <x:c r="F260" s="4"/>
      <x:c r="G260" s="4"/>
      <x:c r="H260" s="56"/>
      <x:c r="I260" s="4"/>
      <x:c r="J260" s="4"/>
      <x:c r="K260" s="4"/>
      <x:c r="L260" s="7"/>
      <x:c r="M260" s="7"/>
      <x:c r="N260" s="57"/>
      <x:c r="O260" s="57"/>
      <x:c r="P260" s="57"/>
      <x:c r="Q260" s="3" t="str">
        <x:f aca="0">""</x:f>
      </x:c>
      <x:c r="R260" s="4"/>
      <x:c r="S260" s="4"/>
      <x:c r="T260" s="4"/>
      <x:c r="U260" s="56"/>
      <x:c r="V260" s="4"/>
      <x:c r="W260" s="57" t="str">
        <x:f aca="0">""</x:f>
      </x:c>
      <x:c r="X260" s="57" t="str">
        <x:f aca="0">""</x:f>
      </x:c>
      <x:c r="Y260" s="57" t="str">
        <x:f aca="0">""</x:f>
      </x:c>
      <x:c r="Z260" s="58"/>
      <x:c r="AA260" s="4"/>
      <x:c r="AB260" s="54" t="str">
        <x:f aca="0">""</x:f>
      </x:c>
      <x:c r="AC260" s="54" t="str">
        <x:f aca="0">""</x:f>
      </x:c>
      <x:c r="AD260" s="7"/>
      <x:c r="AE260" s="4"/>
      <x:c r="AF260" s="4"/>
      <x:c r="AG260" s="7"/>
      <x:c r="AH260" s="12" t="str">
        <x:f aca="0">""</x:f>
      </x:c>
      <x:c r="AI260" s="12" t="str">
        <x:f aca="0">""</x:f>
      </x:c>
      <x:c r="AJ260" s="12" t="str">
        <x:f aca="0">""</x:f>
      </x:c>
      <x:c r="AK260" s="12" t="str">
        <x:f aca="0">""</x:f>
      </x:c>
      <x:c r="AL260" s="19" t="str">
        <x:f aca="0">""</x:f>
      </x:c>
      <x:c r="AM260" s="56"/>
      <x:c r="AN260" s="4"/>
      <x:c r="AO260" s="4"/>
      <x:c r="AP260" s="3" t="str">
        <x:f aca="0">""</x:f>
      </x:c>
      <x:c r="AQ260" s="3" t="str">
        <x:f aca="0">""</x:f>
      </x:c>
      <x:c r="AR260" s="3" t="str">
        <x:f aca="0">""</x:f>
      </x:c>
      <x:c r="AS260" s="3" t="str">
        <x:f aca="0">""</x:f>
      </x:c>
      <x:c r="AT260" s="3" t="str">
        <x:f aca="0">""</x:f>
      </x:c>
      <x:c r="AU260" s="54" t="str">
        <x:f aca="0">""</x:f>
      </x:c>
      <x:c r="AV260" s="12" t="str">
        <x:f aca="0">""</x:f>
      </x:c>
      <x:c r="AW260" s="4"/>
      <x:c r="AX260" s="4"/>
      <x:c r="AY260" s="4"/>
      <x:c r="AZ260" s="56"/>
      <x:c r="BA260" s="4"/>
      <x:c r="BB260" s="11" t="str">
        <x:f aca="0">""</x:f>
      </x:c>
      <x:c r="BC260" s="11" t="str">
        <x:f aca="0">""</x:f>
      </x:c>
      <x:c r="BD260" s="11" t="str">
        <x:f aca="0">""</x:f>
      </x:c>
      <x:c r="BE260" s="19" t="str">
        <x:f aca="0">""</x:f>
      </x:c>
      <x:c r="BF260" s="19" t="str">
        <x:f aca="0">""</x:f>
      </x:c>
    </x:row>
    <x:row r="261" ht="14.25" hidden="0">
      <x:c r="A261" s="3"/>
      <x:c r="B261" s="55"/>
      <x:c r="C261" s="4"/>
      <x:c r="D261" s="4"/>
      <x:c r="E261" s="4"/>
      <x:c r="F261" s="4"/>
      <x:c r="G261" s="4"/>
      <x:c r="H261" s="56"/>
      <x:c r="I261" s="4"/>
      <x:c r="J261" s="4"/>
      <x:c r="K261" s="4"/>
      <x:c r="L261" s="7"/>
      <x:c r="M261" s="7"/>
      <x:c r="N261" s="57"/>
      <x:c r="O261" s="57"/>
      <x:c r="P261" s="57"/>
      <x:c r="Q261" s="3" t="str">
        <x:f aca="0">""</x:f>
      </x:c>
      <x:c r="R261" s="4"/>
      <x:c r="S261" s="4"/>
      <x:c r="T261" s="4"/>
      <x:c r="U261" s="56"/>
      <x:c r="V261" s="4"/>
      <x:c r="W261" s="57" t="str">
        <x:f aca="0">""</x:f>
      </x:c>
      <x:c r="X261" s="57" t="str">
        <x:f aca="0">""</x:f>
      </x:c>
      <x:c r="Y261" s="57" t="str">
        <x:f aca="0">""</x:f>
      </x:c>
      <x:c r="Z261" s="58"/>
      <x:c r="AA261" s="4"/>
      <x:c r="AB261" s="54" t="str">
        <x:f aca="0">""</x:f>
      </x:c>
      <x:c r="AC261" s="54" t="str">
        <x:f aca="0">""</x:f>
      </x:c>
      <x:c r="AD261" s="7"/>
      <x:c r="AE261" s="4"/>
      <x:c r="AF261" s="4"/>
      <x:c r="AG261" s="7"/>
      <x:c r="AH261" s="12" t="str">
        <x:f aca="0">""</x:f>
      </x:c>
      <x:c r="AI261" s="12" t="str">
        <x:f aca="0">""</x:f>
      </x:c>
      <x:c r="AJ261" s="12" t="str">
        <x:f aca="0">""</x:f>
      </x:c>
      <x:c r="AK261" s="12" t="str">
        <x:f aca="0">""</x:f>
      </x:c>
      <x:c r="AL261" s="19" t="str">
        <x:f aca="0">""</x:f>
      </x:c>
      <x:c r="AM261" s="56"/>
      <x:c r="AN261" s="4"/>
      <x:c r="AO261" s="4"/>
      <x:c r="AP261" s="3" t="str">
        <x:f aca="0">""</x:f>
      </x:c>
      <x:c r="AQ261" s="3" t="str">
        <x:f aca="0">""</x:f>
      </x:c>
      <x:c r="AR261" s="3" t="str">
        <x:f aca="0">""</x:f>
      </x:c>
      <x:c r="AS261" s="3" t="str">
        <x:f aca="0">""</x:f>
      </x:c>
      <x:c r="AT261" s="3" t="str">
        <x:f aca="0">""</x:f>
      </x:c>
      <x:c r="AU261" s="54" t="str">
        <x:f aca="0">""</x:f>
      </x:c>
      <x:c r="AV261" s="12" t="str">
        <x:f aca="0">""</x:f>
      </x:c>
      <x:c r="AW261" s="4"/>
      <x:c r="AX261" s="4"/>
      <x:c r="AY261" s="4"/>
      <x:c r="AZ261" s="56"/>
      <x:c r="BA261" s="4"/>
      <x:c r="BB261" s="11" t="str">
        <x:f aca="0">""</x:f>
      </x:c>
      <x:c r="BC261" s="11" t="str">
        <x:f aca="0">""</x:f>
      </x:c>
      <x:c r="BD261" s="11" t="str">
        <x:f aca="0">""</x:f>
      </x:c>
      <x:c r="BE261" s="19" t="str">
        <x:f aca="0">""</x:f>
      </x:c>
      <x:c r="BF261" s="19" t="str">
        <x:f aca="0">""</x:f>
      </x:c>
    </x:row>
    <x:row r="262" ht="14.25" hidden="0">
      <x:c r="A262" s="3"/>
      <x:c r="B262" s="55"/>
      <x:c r="C262" s="4"/>
      <x:c r="D262" s="4"/>
      <x:c r="E262" s="4"/>
      <x:c r="F262" s="4"/>
      <x:c r="G262" s="4"/>
      <x:c r="H262" s="56"/>
      <x:c r="I262" s="4"/>
      <x:c r="J262" s="4"/>
      <x:c r="K262" s="4"/>
      <x:c r="L262" s="7"/>
      <x:c r="M262" s="7"/>
      <x:c r="N262" s="57"/>
      <x:c r="O262" s="57"/>
      <x:c r="P262" s="57"/>
      <x:c r="Q262" s="3" t="str">
        <x:f aca="0">""</x:f>
      </x:c>
      <x:c r="R262" s="4"/>
      <x:c r="S262" s="4"/>
      <x:c r="T262" s="4"/>
      <x:c r="U262" s="56"/>
      <x:c r="V262" s="4"/>
      <x:c r="W262" s="57" t="str">
        <x:f aca="0">""</x:f>
      </x:c>
      <x:c r="X262" s="57" t="str">
        <x:f aca="0">""</x:f>
      </x:c>
      <x:c r="Y262" s="57" t="str">
        <x:f aca="0">""</x:f>
      </x:c>
      <x:c r="Z262" s="58"/>
      <x:c r="AA262" s="4"/>
      <x:c r="AB262" s="54" t="str">
        <x:f aca="0">""</x:f>
      </x:c>
      <x:c r="AC262" s="54" t="str">
        <x:f aca="0">""</x:f>
      </x:c>
      <x:c r="AD262" s="7"/>
      <x:c r="AE262" s="4"/>
      <x:c r="AF262" s="4"/>
      <x:c r="AG262" s="7"/>
      <x:c r="AH262" s="12" t="str">
        <x:f aca="0">""</x:f>
      </x:c>
      <x:c r="AI262" s="12" t="str">
        <x:f aca="0">""</x:f>
      </x:c>
      <x:c r="AJ262" s="12" t="str">
        <x:f aca="0">""</x:f>
      </x:c>
      <x:c r="AK262" s="12" t="str">
        <x:f aca="0">""</x:f>
      </x:c>
      <x:c r="AL262" s="19" t="str">
        <x:f aca="0">""</x:f>
      </x:c>
      <x:c r="AM262" s="56"/>
      <x:c r="AN262" s="4"/>
      <x:c r="AO262" s="4"/>
      <x:c r="AP262" s="3" t="str">
        <x:f aca="0">""</x:f>
      </x:c>
      <x:c r="AQ262" s="3" t="str">
        <x:f aca="0">""</x:f>
      </x:c>
      <x:c r="AR262" s="3" t="str">
        <x:f aca="0">""</x:f>
      </x:c>
      <x:c r="AS262" s="3" t="str">
        <x:f aca="0">""</x:f>
      </x:c>
      <x:c r="AT262" s="3" t="str">
        <x:f aca="0">""</x:f>
      </x:c>
      <x:c r="AU262" s="54" t="str">
        <x:f aca="0">""</x:f>
      </x:c>
      <x:c r="AV262" s="12" t="str">
        <x:f aca="0">""</x:f>
      </x:c>
      <x:c r="AW262" s="4"/>
      <x:c r="AX262" s="4"/>
      <x:c r="AY262" s="4"/>
      <x:c r="AZ262" s="56"/>
      <x:c r="BA262" s="4"/>
      <x:c r="BB262" s="11" t="str">
        <x:f aca="0">""</x:f>
      </x:c>
      <x:c r="BC262" s="11" t="str">
        <x:f aca="0">""</x:f>
      </x:c>
      <x:c r="BD262" s="11" t="str">
        <x:f aca="0">""</x:f>
      </x:c>
      <x:c r="BE262" s="19" t="str">
        <x:f aca="0">""</x:f>
      </x:c>
      <x:c r="BF262" s="19" t="str">
        <x:f aca="0">""</x:f>
      </x:c>
    </x:row>
    <x:row r="263" ht="14.25" hidden="0">
      <x:c r="A263" s="3"/>
      <x:c r="B263" s="55"/>
      <x:c r="C263" s="4"/>
      <x:c r="D263" s="4"/>
      <x:c r="E263" s="4"/>
      <x:c r="F263" s="4"/>
      <x:c r="G263" s="4"/>
      <x:c r="H263" s="56"/>
      <x:c r="I263" s="4"/>
      <x:c r="J263" s="4"/>
      <x:c r="K263" s="4"/>
      <x:c r="L263" s="7"/>
      <x:c r="M263" s="7"/>
      <x:c r="N263" s="57"/>
      <x:c r="O263" s="57"/>
      <x:c r="P263" s="57"/>
      <x:c r="Q263" s="3" t="str">
        <x:f aca="0">""</x:f>
      </x:c>
      <x:c r="R263" s="4"/>
      <x:c r="S263" s="4"/>
      <x:c r="T263" s="4"/>
      <x:c r="U263" s="56"/>
      <x:c r="V263" s="4"/>
      <x:c r="W263" s="57" t="str">
        <x:f aca="0">""</x:f>
      </x:c>
      <x:c r="X263" s="57" t="str">
        <x:f aca="0">""</x:f>
      </x:c>
      <x:c r="Y263" s="57" t="str">
        <x:f aca="0">""</x:f>
      </x:c>
      <x:c r="Z263" s="58"/>
      <x:c r="AA263" s="4"/>
      <x:c r="AB263" s="54" t="str">
        <x:f aca="0">""</x:f>
      </x:c>
      <x:c r="AC263" s="54" t="str">
        <x:f aca="0">""</x:f>
      </x:c>
      <x:c r="AD263" s="7"/>
      <x:c r="AE263" s="4"/>
      <x:c r="AF263" s="4"/>
      <x:c r="AG263" s="7"/>
      <x:c r="AH263" s="12" t="str">
        <x:f aca="0">""</x:f>
      </x:c>
      <x:c r="AI263" s="12" t="str">
        <x:f aca="0">""</x:f>
      </x:c>
      <x:c r="AJ263" s="12" t="str">
        <x:f aca="0">""</x:f>
      </x:c>
      <x:c r="AK263" s="12" t="str">
        <x:f aca="0">""</x:f>
      </x:c>
      <x:c r="AL263" s="19" t="str">
        <x:f aca="0">""</x:f>
      </x:c>
      <x:c r="AM263" s="56"/>
      <x:c r="AN263" s="4"/>
      <x:c r="AO263" s="4"/>
      <x:c r="AP263" s="3" t="str">
        <x:f aca="0">""</x:f>
      </x:c>
      <x:c r="AQ263" s="3" t="str">
        <x:f aca="0">""</x:f>
      </x:c>
      <x:c r="AR263" s="3" t="str">
        <x:f aca="0">""</x:f>
      </x:c>
      <x:c r="AS263" s="3" t="str">
        <x:f aca="0">""</x:f>
      </x:c>
      <x:c r="AT263" s="3" t="str">
        <x:f aca="0">""</x:f>
      </x:c>
      <x:c r="AU263" s="54" t="str">
        <x:f aca="0">""</x:f>
      </x:c>
      <x:c r="AV263" s="12" t="str">
        <x:f aca="0">""</x:f>
      </x:c>
      <x:c r="AW263" s="4"/>
      <x:c r="AX263" s="4"/>
      <x:c r="AY263" s="4"/>
      <x:c r="AZ263" s="56"/>
      <x:c r="BA263" s="4"/>
      <x:c r="BB263" s="11" t="str">
        <x:f aca="0">""</x:f>
      </x:c>
      <x:c r="BC263" s="11" t="str">
        <x:f aca="0">""</x:f>
      </x:c>
      <x:c r="BD263" s="11" t="str">
        <x:f aca="0">""</x:f>
      </x:c>
      <x:c r="BE263" s="19" t="str">
        <x:f aca="0">""</x:f>
      </x:c>
      <x:c r="BF263" s="19" t="str">
        <x:f aca="0">""</x:f>
      </x:c>
    </x:row>
    <x:row r="264" ht="14.25" hidden="0">
      <x:c r="A264" s="3"/>
      <x:c r="B264" s="55"/>
      <x:c r="C264" s="4"/>
      <x:c r="D264" s="4"/>
      <x:c r="E264" s="4"/>
      <x:c r="F264" s="4"/>
      <x:c r="G264" s="4"/>
      <x:c r="H264" s="56"/>
      <x:c r="I264" s="4"/>
      <x:c r="J264" s="4"/>
      <x:c r="K264" s="4"/>
      <x:c r="L264" s="7"/>
      <x:c r="M264" s="7"/>
      <x:c r="N264" s="57"/>
      <x:c r="O264" s="57"/>
      <x:c r="P264" s="57"/>
      <x:c r="Q264" s="3" t="str">
        <x:f aca="0">""</x:f>
      </x:c>
      <x:c r="R264" s="4"/>
      <x:c r="S264" s="4"/>
      <x:c r="T264" s="4"/>
      <x:c r="U264" s="56"/>
      <x:c r="V264" s="4"/>
      <x:c r="W264" s="57" t="str">
        <x:f aca="0">""</x:f>
      </x:c>
      <x:c r="X264" s="57" t="str">
        <x:f aca="0">""</x:f>
      </x:c>
      <x:c r="Y264" s="57" t="str">
        <x:f aca="0">""</x:f>
      </x:c>
      <x:c r="Z264" s="58"/>
      <x:c r="AA264" s="4"/>
      <x:c r="AB264" s="54" t="str">
        <x:f aca="0">""</x:f>
      </x:c>
      <x:c r="AC264" s="54" t="str">
        <x:f aca="0">""</x:f>
      </x:c>
      <x:c r="AD264" s="7"/>
      <x:c r="AE264" s="4"/>
      <x:c r="AF264" s="4"/>
      <x:c r="AG264" s="7"/>
      <x:c r="AH264" s="12" t="str">
        <x:f aca="0">""</x:f>
      </x:c>
      <x:c r="AI264" s="12" t="str">
        <x:f aca="0">""</x:f>
      </x:c>
      <x:c r="AJ264" s="12" t="str">
        <x:f aca="0">""</x:f>
      </x:c>
      <x:c r="AK264" s="12" t="str">
        <x:f aca="0">""</x:f>
      </x:c>
      <x:c r="AL264" s="19" t="str">
        <x:f aca="0">""</x:f>
      </x:c>
      <x:c r="AM264" s="56"/>
      <x:c r="AN264" s="4"/>
      <x:c r="AO264" s="4"/>
      <x:c r="AP264" s="3" t="str">
        <x:f aca="0">""</x:f>
      </x:c>
      <x:c r="AQ264" s="3" t="str">
        <x:f aca="0">""</x:f>
      </x:c>
      <x:c r="AR264" s="3" t="str">
        <x:f aca="0">""</x:f>
      </x:c>
      <x:c r="AS264" s="3" t="str">
        <x:f aca="0">""</x:f>
      </x:c>
      <x:c r="AT264" s="3" t="str">
        <x:f aca="0">""</x:f>
      </x:c>
      <x:c r="AU264" s="54" t="str">
        <x:f aca="0">""</x:f>
      </x:c>
      <x:c r="AV264" s="12" t="str">
        <x:f aca="0">""</x:f>
      </x:c>
      <x:c r="AW264" s="4"/>
      <x:c r="AX264" s="4"/>
      <x:c r="AY264" s="4"/>
      <x:c r="AZ264" s="56"/>
      <x:c r="BA264" s="4"/>
      <x:c r="BB264" s="11" t="str">
        <x:f aca="0">""</x:f>
      </x:c>
      <x:c r="BC264" s="11" t="str">
        <x:f aca="0">""</x:f>
      </x:c>
      <x:c r="BD264" s="11" t="str">
        <x:f aca="0">""</x:f>
      </x:c>
      <x:c r="BE264" s="19" t="str">
        <x:f aca="0">""</x:f>
      </x:c>
      <x:c r="BF264" s="19" t="str">
        <x:f aca="0">""</x:f>
      </x:c>
    </x:row>
    <x:row r="265" ht="14.25" hidden="0">
      <x:c r="A265" s="3"/>
      <x:c r="B265" s="55"/>
      <x:c r="C265" s="4"/>
      <x:c r="D265" s="4"/>
      <x:c r="E265" s="4"/>
      <x:c r="F265" s="4"/>
      <x:c r="G265" s="4"/>
      <x:c r="H265" s="56"/>
      <x:c r="I265" s="4"/>
      <x:c r="J265" s="4"/>
      <x:c r="K265" s="4"/>
      <x:c r="L265" s="7"/>
      <x:c r="M265" s="7"/>
      <x:c r="N265" s="57"/>
      <x:c r="O265" s="57"/>
      <x:c r="P265" s="57"/>
      <x:c r="Q265" s="3" t="str">
        <x:f aca="0">""</x:f>
      </x:c>
      <x:c r="R265" s="4"/>
      <x:c r="S265" s="4"/>
      <x:c r="T265" s="4"/>
      <x:c r="U265" s="56"/>
      <x:c r="V265" s="4"/>
      <x:c r="W265" s="57" t="str">
        <x:f aca="0">""</x:f>
      </x:c>
      <x:c r="X265" s="57" t="str">
        <x:f aca="0">""</x:f>
      </x:c>
      <x:c r="Y265" s="57" t="str">
        <x:f aca="0">""</x:f>
      </x:c>
      <x:c r="Z265" s="58"/>
      <x:c r="AA265" s="4"/>
      <x:c r="AB265" s="54" t="str">
        <x:f aca="0">""</x:f>
      </x:c>
      <x:c r="AC265" s="54" t="str">
        <x:f aca="0">""</x:f>
      </x:c>
      <x:c r="AD265" s="7"/>
      <x:c r="AE265" s="4"/>
      <x:c r="AF265" s="4"/>
      <x:c r="AG265" s="7"/>
      <x:c r="AH265" s="12" t="str">
        <x:f aca="0">""</x:f>
      </x:c>
      <x:c r="AI265" s="12" t="str">
        <x:f aca="0">""</x:f>
      </x:c>
      <x:c r="AJ265" s="12" t="str">
        <x:f aca="0">""</x:f>
      </x:c>
      <x:c r="AK265" s="12" t="str">
        <x:f aca="0">""</x:f>
      </x:c>
      <x:c r="AL265" s="19" t="str">
        <x:f aca="0">""</x:f>
      </x:c>
      <x:c r="AM265" s="56"/>
      <x:c r="AN265" s="4"/>
      <x:c r="AO265" s="4"/>
      <x:c r="AP265" s="3" t="str">
        <x:f aca="0">""</x:f>
      </x:c>
      <x:c r="AQ265" s="3" t="str">
        <x:f aca="0">""</x:f>
      </x:c>
      <x:c r="AR265" s="3" t="str">
        <x:f aca="0">""</x:f>
      </x:c>
      <x:c r="AS265" s="3" t="str">
        <x:f aca="0">""</x:f>
      </x:c>
      <x:c r="AT265" s="3" t="str">
        <x:f aca="0">""</x:f>
      </x:c>
      <x:c r="AU265" s="54" t="str">
        <x:f aca="0">""</x:f>
      </x:c>
      <x:c r="AV265" s="12" t="str">
        <x:f aca="0">""</x:f>
      </x:c>
      <x:c r="AW265" s="4"/>
      <x:c r="AX265" s="4"/>
      <x:c r="AY265" s="4"/>
      <x:c r="AZ265" s="56"/>
      <x:c r="BA265" s="4"/>
      <x:c r="BB265" s="11" t="str">
        <x:f aca="0">""</x:f>
      </x:c>
      <x:c r="BC265" s="11" t="str">
        <x:f aca="0">""</x:f>
      </x:c>
      <x:c r="BD265" s="11" t="str">
        <x:f aca="0">""</x:f>
      </x:c>
      <x:c r="BE265" s="19" t="str">
        <x:f aca="0">""</x:f>
      </x:c>
      <x:c r="BF265" s="19" t="str">
        <x:f aca="0">""</x:f>
      </x:c>
    </x:row>
    <x:row r="266" ht="14.25" hidden="0">
      <x:c r="A266" s="3"/>
      <x:c r="B266" s="55"/>
      <x:c r="C266" s="4"/>
      <x:c r="D266" s="4"/>
      <x:c r="E266" s="4"/>
      <x:c r="F266" s="4"/>
      <x:c r="G266" s="4"/>
      <x:c r="H266" s="56"/>
      <x:c r="I266" s="4"/>
      <x:c r="J266" s="4"/>
      <x:c r="K266" s="4"/>
      <x:c r="L266" s="7"/>
      <x:c r="M266" s="7"/>
      <x:c r="N266" s="57"/>
      <x:c r="O266" s="57"/>
      <x:c r="P266" s="57"/>
      <x:c r="Q266" s="3" t="str">
        <x:f aca="0">""</x:f>
      </x:c>
      <x:c r="R266" s="4"/>
      <x:c r="S266" s="4"/>
      <x:c r="T266" s="4"/>
      <x:c r="U266" s="56"/>
      <x:c r="V266" s="4"/>
      <x:c r="W266" s="57" t="str">
        <x:f aca="0">""</x:f>
      </x:c>
      <x:c r="X266" s="57" t="str">
        <x:f aca="0">""</x:f>
      </x:c>
      <x:c r="Y266" s="57" t="str">
        <x:f aca="0">""</x:f>
      </x:c>
      <x:c r="Z266" s="58"/>
      <x:c r="AA266" s="4"/>
      <x:c r="AB266" s="54" t="str">
        <x:f aca="0">""</x:f>
      </x:c>
      <x:c r="AC266" s="54" t="str">
        <x:f aca="0">""</x:f>
      </x:c>
      <x:c r="AD266" s="7"/>
      <x:c r="AE266" s="4"/>
      <x:c r="AF266" s="4"/>
      <x:c r="AG266" s="7"/>
      <x:c r="AH266" s="12" t="str">
        <x:f aca="0">""</x:f>
      </x:c>
      <x:c r="AI266" s="12" t="str">
        <x:f aca="0">""</x:f>
      </x:c>
      <x:c r="AJ266" s="12" t="str">
        <x:f aca="0">""</x:f>
      </x:c>
      <x:c r="AK266" s="12" t="str">
        <x:f aca="0">""</x:f>
      </x:c>
      <x:c r="AL266" s="19" t="str">
        <x:f aca="0">""</x:f>
      </x:c>
      <x:c r="AM266" s="56"/>
      <x:c r="AN266" s="4"/>
      <x:c r="AO266" s="4"/>
      <x:c r="AP266" s="3" t="str">
        <x:f aca="0">""</x:f>
      </x:c>
      <x:c r="AQ266" s="3" t="str">
        <x:f aca="0">""</x:f>
      </x:c>
      <x:c r="AR266" s="3" t="str">
        <x:f aca="0">""</x:f>
      </x:c>
      <x:c r="AS266" s="3" t="str">
        <x:f aca="0">""</x:f>
      </x:c>
      <x:c r="AT266" s="3" t="str">
        <x:f aca="0">""</x:f>
      </x:c>
      <x:c r="AU266" s="54" t="str">
        <x:f aca="0">""</x:f>
      </x:c>
      <x:c r="AV266" s="12" t="str">
        <x:f aca="0">""</x:f>
      </x:c>
      <x:c r="AW266" s="4"/>
      <x:c r="AX266" s="4"/>
      <x:c r="AY266" s="4"/>
      <x:c r="AZ266" s="56"/>
      <x:c r="BA266" s="4"/>
      <x:c r="BB266" s="11" t="str">
        <x:f aca="0">""</x:f>
      </x:c>
      <x:c r="BC266" s="11" t="str">
        <x:f aca="0">""</x:f>
      </x:c>
      <x:c r="BD266" s="11" t="str">
        <x:f aca="0">""</x:f>
      </x:c>
      <x:c r="BE266" s="19" t="str">
        <x:f aca="0">""</x:f>
      </x:c>
      <x:c r="BF266" s="19" t="str">
        <x:f aca="0">""</x:f>
      </x:c>
    </x:row>
    <x:row r="267" ht="14.25" hidden="0">
      <x:c r="A267" s="3"/>
      <x:c r="B267" s="55"/>
      <x:c r="C267" s="4"/>
      <x:c r="D267" s="4"/>
      <x:c r="E267" s="4"/>
      <x:c r="F267" s="4"/>
      <x:c r="G267" s="4"/>
      <x:c r="H267" s="56"/>
      <x:c r="I267" s="4"/>
      <x:c r="J267" s="4"/>
      <x:c r="K267" s="4"/>
      <x:c r="L267" s="7"/>
      <x:c r="M267" s="7"/>
      <x:c r="N267" s="57"/>
      <x:c r="O267" s="57"/>
      <x:c r="P267" s="57"/>
      <x:c r="Q267" s="3" t="str">
        <x:f aca="0">""</x:f>
      </x:c>
      <x:c r="R267" s="4"/>
      <x:c r="S267" s="4"/>
      <x:c r="T267" s="4"/>
      <x:c r="U267" s="56"/>
      <x:c r="V267" s="4"/>
      <x:c r="W267" s="57" t="str">
        <x:f aca="0">""</x:f>
      </x:c>
      <x:c r="X267" s="57" t="str">
        <x:f aca="0">""</x:f>
      </x:c>
      <x:c r="Y267" s="57" t="str">
        <x:f aca="0">""</x:f>
      </x:c>
      <x:c r="Z267" s="58"/>
      <x:c r="AA267" s="4"/>
      <x:c r="AB267" s="54" t="str">
        <x:f aca="0">""</x:f>
      </x:c>
      <x:c r="AC267" s="54" t="str">
        <x:f aca="0">""</x:f>
      </x:c>
      <x:c r="AD267" s="7"/>
      <x:c r="AE267" s="4"/>
      <x:c r="AF267" s="4"/>
      <x:c r="AG267" s="7"/>
      <x:c r="AH267" s="12" t="str">
        <x:f aca="0">""</x:f>
      </x:c>
      <x:c r="AI267" s="12" t="str">
        <x:f aca="0">""</x:f>
      </x:c>
      <x:c r="AJ267" s="12" t="str">
        <x:f aca="0">""</x:f>
      </x:c>
      <x:c r="AK267" s="12" t="str">
        <x:f aca="0">""</x:f>
      </x:c>
      <x:c r="AL267" s="19" t="str">
        <x:f aca="0">""</x:f>
      </x:c>
      <x:c r="AM267" s="56"/>
      <x:c r="AN267" s="4"/>
      <x:c r="AO267" s="4"/>
      <x:c r="AP267" s="3" t="str">
        <x:f aca="0">""</x:f>
      </x:c>
      <x:c r="AQ267" s="3" t="str">
        <x:f aca="0">""</x:f>
      </x:c>
      <x:c r="AR267" s="3" t="str">
        <x:f aca="0">""</x:f>
      </x:c>
      <x:c r="AS267" s="3" t="str">
        <x:f aca="0">""</x:f>
      </x:c>
      <x:c r="AT267" s="3" t="str">
        <x:f aca="0">""</x:f>
      </x:c>
      <x:c r="AU267" s="54" t="str">
        <x:f aca="0">""</x:f>
      </x:c>
      <x:c r="AV267" s="12" t="str">
        <x:f aca="0">""</x:f>
      </x:c>
      <x:c r="AW267" s="4"/>
      <x:c r="AX267" s="4"/>
      <x:c r="AY267" s="4"/>
      <x:c r="AZ267" s="56"/>
      <x:c r="BA267" s="4"/>
      <x:c r="BB267" s="11" t="str">
        <x:f aca="0">""</x:f>
      </x:c>
      <x:c r="BC267" s="11" t="str">
        <x:f aca="0">""</x:f>
      </x:c>
      <x:c r="BD267" s="11" t="str">
        <x:f aca="0">""</x:f>
      </x:c>
      <x:c r="BE267" s="19" t="str">
        <x:f aca="0">""</x:f>
      </x:c>
      <x:c r="BF267" s="19" t="str">
        <x:f aca="0">""</x:f>
      </x:c>
    </x:row>
    <x:row r="268" ht="14.25" hidden="0">
      <x:c r="A268" s="3"/>
      <x:c r="B268" s="55"/>
      <x:c r="C268" s="4"/>
      <x:c r="D268" s="4"/>
      <x:c r="E268" s="4"/>
      <x:c r="F268" s="4"/>
      <x:c r="G268" s="4"/>
      <x:c r="H268" s="56"/>
      <x:c r="I268" s="4"/>
      <x:c r="J268" s="4"/>
      <x:c r="K268" s="4"/>
      <x:c r="L268" s="7"/>
      <x:c r="M268" s="7"/>
      <x:c r="N268" s="57"/>
      <x:c r="O268" s="57"/>
      <x:c r="P268" s="57"/>
      <x:c r="Q268" s="3" t="str">
        <x:f aca="0">""</x:f>
      </x:c>
      <x:c r="R268" s="4"/>
      <x:c r="S268" s="4"/>
      <x:c r="T268" s="4"/>
      <x:c r="U268" s="56"/>
      <x:c r="V268" s="4"/>
      <x:c r="W268" s="57" t="str">
        <x:f aca="0">""</x:f>
      </x:c>
      <x:c r="X268" s="57" t="str">
        <x:f aca="0">""</x:f>
      </x:c>
      <x:c r="Y268" s="57" t="str">
        <x:f aca="0">""</x:f>
      </x:c>
      <x:c r="Z268" s="58"/>
      <x:c r="AA268" s="4"/>
      <x:c r="AB268" s="54" t="str">
        <x:f aca="0">""</x:f>
      </x:c>
      <x:c r="AC268" s="54" t="str">
        <x:f aca="0">""</x:f>
      </x:c>
      <x:c r="AD268" s="7"/>
      <x:c r="AE268" s="4"/>
      <x:c r="AF268" s="4"/>
      <x:c r="AG268" s="7"/>
      <x:c r="AH268" s="12" t="str">
        <x:f aca="0">""</x:f>
      </x:c>
      <x:c r="AI268" s="12" t="str">
        <x:f aca="0">""</x:f>
      </x:c>
      <x:c r="AJ268" s="12" t="str">
        <x:f aca="0">""</x:f>
      </x:c>
      <x:c r="AK268" s="12" t="str">
        <x:f aca="0">""</x:f>
      </x:c>
      <x:c r="AL268" s="19" t="str">
        <x:f aca="0">""</x:f>
      </x:c>
      <x:c r="AM268" s="56"/>
      <x:c r="AN268" s="4"/>
      <x:c r="AO268" s="4"/>
      <x:c r="AP268" s="3" t="str">
        <x:f aca="0">""</x:f>
      </x:c>
      <x:c r="AQ268" s="3" t="str">
        <x:f aca="0">""</x:f>
      </x:c>
      <x:c r="AR268" s="3" t="str">
        <x:f aca="0">""</x:f>
      </x:c>
      <x:c r="AS268" s="3" t="str">
        <x:f aca="0">""</x:f>
      </x:c>
      <x:c r="AT268" s="3" t="str">
        <x:f aca="0">""</x:f>
      </x:c>
      <x:c r="AU268" s="54" t="str">
        <x:f aca="0">""</x:f>
      </x:c>
      <x:c r="AV268" s="12" t="str">
        <x:f aca="0">""</x:f>
      </x:c>
      <x:c r="AW268" s="4"/>
      <x:c r="AX268" s="4"/>
      <x:c r="AY268" s="4"/>
      <x:c r="AZ268" s="56"/>
      <x:c r="BA268" s="4"/>
      <x:c r="BB268" s="11" t="str">
        <x:f aca="0">""</x:f>
      </x:c>
      <x:c r="BC268" s="11" t="str">
        <x:f aca="0">""</x:f>
      </x:c>
      <x:c r="BD268" s="11" t="str">
        <x:f aca="0">""</x:f>
      </x:c>
      <x:c r="BE268" s="19" t="str">
        <x:f aca="0">""</x:f>
      </x:c>
      <x:c r="BF268" s="19" t="str">
        <x:f aca="0">""</x:f>
      </x:c>
    </x:row>
    <x:row r="269" ht="14.25" hidden="0">
      <x:c r="A269" s="3"/>
      <x:c r="B269" s="55"/>
      <x:c r="C269" s="4"/>
      <x:c r="D269" s="4"/>
      <x:c r="E269" s="4"/>
      <x:c r="F269" s="4"/>
      <x:c r="G269" s="4"/>
      <x:c r="H269" s="56"/>
      <x:c r="I269" s="4"/>
      <x:c r="J269" s="4"/>
      <x:c r="K269" s="4"/>
      <x:c r="L269" s="7"/>
      <x:c r="M269" s="7"/>
      <x:c r="N269" s="57"/>
      <x:c r="O269" s="57"/>
      <x:c r="P269" s="57"/>
      <x:c r="Q269" s="3" t="str">
        <x:f aca="0">""</x:f>
      </x:c>
      <x:c r="R269" s="4"/>
      <x:c r="S269" s="4"/>
      <x:c r="T269" s="4"/>
      <x:c r="U269" s="56"/>
      <x:c r="V269" s="4"/>
      <x:c r="W269" s="57" t="str">
        <x:f aca="0">""</x:f>
      </x:c>
      <x:c r="X269" s="57" t="str">
        <x:f aca="0">""</x:f>
      </x:c>
      <x:c r="Y269" s="57" t="str">
        <x:f aca="0">""</x:f>
      </x:c>
      <x:c r="Z269" s="58"/>
      <x:c r="AA269" s="4"/>
      <x:c r="AB269" s="54" t="str">
        <x:f aca="0">""</x:f>
      </x:c>
      <x:c r="AC269" s="54" t="str">
        <x:f aca="0">""</x:f>
      </x:c>
      <x:c r="AD269" s="7"/>
      <x:c r="AE269" s="4"/>
      <x:c r="AF269" s="4"/>
      <x:c r="AG269" s="7"/>
      <x:c r="AH269" s="12" t="str">
        <x:f aca="0">""</x:f>
      </x:c>
      <x:c r="AI269" s="12" t="str">
        <x:f aca="0">""</x:f>
      </x:c>
      <x:c r="AJ269" s="12" t="str">
        <x:f aca="0">""</x:f>
      </x:c>
      <x:c r="AK269" s="12" t="str">
        <x:f aca="0">""</x:f>
      </x:c>
      <x:c r="AL269" s="19" t="str">
        <x:f aca="0">""</x:f>
      </x:c>
      <x:c r="AM269" s="56"/>
      <x:c r="AN269" s="4"/>
      <x:c r="AO269" s="4"/>
      <x:c r="AP269" s="3" t="str">
        <x:f aca="0">""</x:f>
      </x:c>
      <x:c r="AQ269" s="3" t="str">
        <x:f aca="0">""</x:f>
      </x:c>
      <x:c r="AR269" s="3" t="str">
        <x:f aca="0">""</x:f>
      </x:c>
      <x:c r="AS269" s="3" t="str">
        <x:f aca="0">""</x:f>
      </x:c>
      <x:c r="AT269" s="3" t="str">
        <x:f aca="0">""</x:f>
      </x:c>
      <x:c r="AU269" s="54" t="str">
        <x:f aca="0">""</x:f>
      </x:c>
      <x:c r="AV269" s="12" t="str">
        <x:f aca="0">""</x:f>
      </x:c>
      <x:c r="AW269" s="4"/>
      <x:c r="AX269" s="4"/>
      <x:c r="AY269" s="4"/>
      <x:c r="AZ269" s="56"/>
      <x:c r="BA269" s="4"/>
      <x:c r="BB269" s="11" t="str">
        <x:f aca="0">""</x:f>
      </x:c>
      <x:c r="BC269" s="11" t="str">
        <x:f aca="0">""</x:f>
      </x:c>
      <x:c r="BD269" s="11" t="str">
        <x:f aca="0">""</x:f>
      </x:c>
      <x:c r="BE269" s="19" t="str">
        <x:f aca="0">""</x:f>
      </x:c>
      <x:c r="BF269" s="19" t="str">
        <x:f aca="0">""</x:f>
      </x:c>
    </x:row>
    <x:row r="270" ht="14.25" hidden="0">
      <x:c r="A270" s="3"/>
      <x:c r="B270" s="55"/>
      <x:c r="C270" s="4"/>
      <x:c r="D270" s="4"/>
      <x:c r="E270" s="4"/>
      <x:c r="F270" s="4"/>
      <x:c r="G270" s="4"/>
      <x:c r="H270" s="56"/>
      <x:c r="I270" s="4"/>
      <x:c r="J270" s="4"/>
      <x:c r="K270" s="4"/>
      <x:c r="L270" s="7"/>
      <x:c r="M270" s="7"/>
      <x:c r="N270" s="57"/>
      <x:c r="O270" s="57"/>
      <x:c r="P270" s="57"/>
      <x:c r="Q270" s="3" t="str">
        <x:f aca="0">""</x:f>
      </x:c>
      <x:c r="R270" s="4"/>
      <x:c r="S270" s="4"/>
      <x:c r="T270" s="4"/>
      <x:c r="U270" s="56"/>
      <x:c r="V270" s="4"/>
      <x:c r="W270" s="57" t="str">
        <x:f aca="0">""</x:f>
      </x:c>
      <x:c r="X270" s="57" t="str">
        <x:f aca="0">""</x:f>
      </x:c>
      <x:c r="Y270" s="57" t="str">
        <x:f aca="0">""</x:f>
      </x:c>
      <x:c r="Z270" s="58"/>
      <x:c r="AA270" s="4"/>
      <x:c r="AB270" s="54" t="str">
        <x:f aca="0">""</x:f>
      </x:c>
      <x:c r="AC270" s="54" t="str">
        <x:f aca="0">""</x:f>
      </x:c>
      <x:c r="AD270" s="7"/>
      <x:c r="AE270" s="4"/>
      <x:c r="AF270" s="4"/>
      <x:c r="AG270" s="7"/>
      <x:c r="AH270" s="12" t="str">
        <x:f aca="0">""</x:f>
      </x:c>
      <x:c r="AI270" s="12" t="str">
        <x:f aca="0">""</x:f>
      </x:c>
      <x:c r="AJ270" s="12" t="str">
        <x:f aca="0">""</x:f>
      </x:c>
      <x:c r="AK270" s="12" t="str">
        <x:f aca="0">""</x:f>
      </x:c>
      <x:c r="AL270" s="19" t="str">
        <x:f aca="0">""</x:f>
      </x:c>
      <x:c r="AM270" s="56"/>
      <x:c r="AN270" s="4"/>
      <x:c r="AO270" s="4"/>
      <x:c r="AP270" s="3" t="str">
        <x:f aca="0">""</x:f>
      </x:c>
      <x:c r="AQ270" s="3" t="str">
        <x:f aca="0">""</x:f>
      </x:c>
      <x:c r="AR270" s="3" t="str">
        <x:f aca="0">""</x:f>
      </x:c>
      <x:c r="AS270" s="3" t="str">
        <x:f aca="0">""</x:f>
      </x:c>
      <x:c r="AT270" s="3" t="str">
        <x:f aca="0">""</x:f>
      </x:c>
      <x:c r="AU270" s="54" t="str">
        <x:f aca="0">""</x:f>
      </x:c>
      <x:c r="AV270" s="12" t="str">
        <x:f aca="0">""</x:f>
      </x:c>
      <x:c r="AW270" s="4"/>
      <x:c r="AX270" s="4"/>
      <x:c r="AY270" s="4"/>
      <x:c r="AZ270" s="56"/>
      <x:c r="BA270" s="4"/>
      <x:c r="BB270" s="11" t="str">
        <x:f aca="0">""</x:f>
      </x:c>
      <x:c r="BC270" s="11" t="str">
        <x:f aca="0">""</x:f>
      </x:c>
      <x:c r="BD270" s="11" t="str">
        <x:f aca="0">""</x:f>
      </x:c>
      <x:c r="BE270" s="19" t="str">
        <x:f aca="0">""</x:f>
      </x:c>
      <x:c r="BF270" s="19" t="str">
        <x:f aca="0">""</x:f>
      </x:c>
    </x:row>
    <x:row r="271" ht="14.25" hidden="0">
      <x:c r="A271" s="3"/>
      <x:c r="B271" s="55"/>
      <x:c r="C271" s="4"/>
      <x:c r="D271" s="4"/>
      <x:c r="E271" s="4"/>
      <x:c r="F271" s="4"/>
      <x:c r="G271" s="4"/>
      <x:c r="H271" s="56"/>
      <x:c r="I271" s="4"/>
      <x:c r="J271" s="4"/>
      <x:c r="K271" s="4"/>
      <x:c r="L271" s="7"/>
      <x:c r="M271" s="7"/>
      <x:c r="N271" s="57"/>
      <x:c r="O271" s="57"/>
      <x:c r="P271" s="57"/>
      <x:c r="Q271" s="3" t="str">
        <x:f aca="0">""</x:f>
      </x:c>
      <x:c r="R271" s="4"/>
      <x:c r="S271" s="4"/>
      <x:c r="T271" s="4"/>
      <x:c r="U271" s="56"/>
      <x:c r="V271" s="4"/>
      <x:c r="W271" s="57" t="str">
        <x:f aca="0">""</x:f>
      </x:c>
      <x:c r="X271" s="57" t="str">
        <x:f aca="0">""</x:f>
      </x:c>
      <x:c r="Y271" s="57" t="str">
        <x:f aca="0">""</x:f>
      </x:c>
      <x:c r="Z271" s="58"/>
      <x:c r="AA271" s="4"/>
      <x:c r="AB271" s="54" t="str">
        <x:f aca="0">""</x:f>
      </x:c>
      <x:c r="AC271" s="54" t="str">
        <x:f aca="0">""</x:f>
      </x:c>
      <x:c r="AD271" s="7"/>
      <x:c r="AE271" s="4"/>
      <x:c r="AF271" s="4"/>
      <x:c r="AG271" s="7"/>
      <x:c r="AH271" s="12" t="str">
        <x:f aca="0">""</x:f>
      </x:c>
      <x:c r="AI271" s="12" t="str">
        <x:f aca="0">""</x:f>
      </x:c>
      <x:c r="AJ271" s="12" t="str">
        <x:f aca="0">""</x:f>
      </x:c>
      <x:c r="AK271" s="12" t="str">
        <x:f aca="0">""</x:f>
      </x:c>
      <x:c r="AL271" s="19" t="str">
        <x:f aca="0">""</x:f>
      </x:c>
      <x:c r="AM271" s="56"/>
      <x:c r="AN271" s="4"/>
      <x:c r="AO271" s="4"/>
      <x:c r="AP271" s="3" t="str">
        <x:f aca="0">""</x:f>
      </x:c>
      <x:c r="AQ271" s="3" t="str">
        <x:f aca="0">""</x:f>
      </x:c>
      <x:c r="AR271" s="3" t="str">
        <x:f aca="0">""</x:f>
      </x:c>
      <x:c r="AS271" s="3" t="str">
        <x:f aca="0">""</x:f>
      </x:c>
      <x:c r="AT271" s="3" t="str">
        <x:f aca="0">""</x:f>
      </x:c>
      <x:c r="AU271" s="54" t="str">
        <x:f aca="0">""</x:f>
      </x:c>
      <x:c r="AV271" s="12" t="str">
        <x:f aca="0">""</x:f>
      </x:c>
      <x:c r="AW271" s="4"/>
      <x:c r="AX271" s="4"/>
      <x:c r="AY271" s="4"/>
      <x:c r="AZ271" s="56"/>
      <x:c r="BA271" s="4"/>
      <x:c r="BB271" s="11" t="str">
        <x:f aca="0">""</x:f>
      </x:c>
      <x:c r="BC271" s="11" t="str">
        <x:f aca="0">""</x:f>
      </x:c>
      <x:c r="BD271" s="11" t="str">
        <x:f aca="0">""</x:f>
      </x:c>
      <x:c r="BE271" s="19" t="str">
        <x:f aca="0">""</x:f>
      </x:c>
      <x:c r="BF271" s="19" t="str">
        <x:f aca="0">""</x:f>
      </x:c>
    </x:row>
    <x:row r="272" ht="14.25" hidden="0">
      <x:c r="A272" s="3"/>
      <x:c r="B272" s="55"/>
      <x:c r="C272" s="4"/>
      <x:c r="D272" s="4"/>
      <x:c r="E272" s="4"/>
      <x:c r="F272" s="4"/>
      <x:c r="G272" s="4"/>
      <x:c r="H272" s="56"/>
      <x:c r="I272" s="4"/>
      <x:c r="J272" s="4"/>
      <x:c r="K272" s="4"/>
      <x:c r="L272" s="7"/>
      <x:c r="M272" s="7"/>
      <x:c r="N272" s="57"/>
      <x:c r="O272" s="57"/>
      <x:c r="P272" s="57"/>
      <x:c r="Q272" s="3" t="str">
        <x:f aca="0">""</x:f>
      </x:c>
      <x:c r="R272" s="4"/>
      <x:c r="S272" s="4"/>
      <x:c r="T272" s="4"/>
      <x:c r="U272" s="56"/>
      <x:c r="V272" s="4"/>
      <x:c r="W272" s="57" t="str">
        <x:f aca="0">""</x:f>
      </x:c>
      <x:c r="X272" s="57" t="str">
        <x:f aca="0">""</x:f>
      </x:c>
      <x:c r="Y272" s="57" t="str">
        <x:f aca="0">""</x:f>
      </x:c>
      <x:c r="Z272" s="58"/>
      <x:c r="AA272" s="4"/>
      <x:c r="AB272" s="54" t="str">
        <x:f aca="0">""</x:f>
      </x:c>
      <x:c r="AC272" s="54" t="str">
        <x:f aca="0">""</x:f>
      </x:c>
      <x:c r="AD272" s="7"/>
      <x:c r="AE272" s="4"/>
      <x:c r="AF272" s="4"/>
      <x:c r="AG272" s="7"/>
      <x:c r="AH272" s="12" t="str">
        <x:f aca="0">""</x:f>
      </x:c>
      <x:c r="AI272" s="12" t="str">
        <x:f aca="0">""</x:f>
      </x:c>
      <x:c r="AJ272" s="12" t="str">
        <x:f aca="0">""</x:f>
      </x:c>
      <x:c r="AK272" s="12" t="str">
        <x:f aca="0">""</x:f>
      </x:c>
      <x:c r="AL272" s="19" t="str">
        <x:f aca="0">""</x:f>
      </x:c>
      <x:c r="AM272" s="56"/>
      <x:c r="AN272" s="4"/>
      <x:c r="AO272" s="4"/>
      <x:c r="AP272" s="3" t="str">
        <x:f aca="0">""</x:f>
      </x:c>
      <x:c r="AQ272" s="3" t="str">
        <x:f aca="0">""</x:f>
      </x:c>
      <x:c r="AR272" s="3" t="str">
        <x:f aca="0">""</x:f>
      </x:c>
      <x:c r="AS272" s="3" t="str">
        <x:f aca="0">""</x:f>
      </x:c>
      <x:c r="AT272" s="3" t="str">
        <x:f aca="0">""</x:f>
      </x:c>
      <x:c r="AU272" s="54" t="str">
        <x:f aca="0">""</x:f>
      </x:c>
      <x:c r="AV272" s="12" t="str">
        <x:f aca="0">""</x:f>
      </x:c>
      <x:c r="AW272" s="4"/>
      <x:c r="AX272" s="4"/>
      <x:c r="AY272" s="4"/>
      <x:c r="AZ272" s="56"/>
      <x:c r="BA272" s="4"/>
      <x:c r="BB272" s="11" t="str">
        <x:f aca="0">""</x:f>
      </x:c>
      <x:c r="BC272" s="11" t="str">
        <x:f aca="0">""</x:f>
      </x:c>
      <x:c r="BD272" s="11" t="str">
        <x:f aca="0">""</x:f>
      </x:c>
      <x:c r="BE272" s="19" t="str">
        <x:f aca="0">""</x:f>
      </x:c>
      <x:c r="BF272" s="19" t="str">
        <x:f aca="0">""</x:f>
      </x:c>
    </x:row>
    <x:row r="273" ht="14.25" hidden="0">
      <x:c r="A273" s="3"/>
      <x:c r="B273" s="55"/>
      <x:c r="C273" s="4"/>
      <x:c r="D273" s="4"/>
      <x:c r="E273" s="4"/>
      <x:c r="F273" s="4"/>
      <x:c r="G273" s="4"/>
      <x:c r="H273" s="56"/>
      <x:c r="I273" s="4"/>
      <x:c r="J273" s="4"/>
      <x:c r="K273" s="4"/>
      <x:c r="L273" s="7"/>
      <x:c r="M273" s="7"/>
      <x:c r="N273" s="57"/>
      <x:c r="O273" s="57"/>
      <x:c r="P273" s="57"/>
      <x:c r="Q273" s="3" t="str">
        <x:f aca="0">""</x:f>
      </x:c>
      <x:c r="R273" s="4"/>
      <x:c r="S273" s="4"/>
      <x:c r="T273" s="4"/>
      <x:c r="U273" s="56"/>
      <x:c r="V273" s="4"/>
      <x:c r="W273" s="57" t="str">
        <x:f aca="0">""</x:f>
      </x:c>
      <x:c r="X273" s="57" t="str">
        <x:f aca="0">""</x:f>
      </x:c>
      <x:c r="Y273" s="57" t="str">
        <x:f aca="0">""</x:f>
      </x:c>
      <x:c r="Z273" s="58"/>
      <x:c r="AA273" s="4"/>
      <x:c r="AB273" s="54" t="str">
        <x:f aca="0">""</x:f>
      </x:c>
      <x:c r="AC273" s="54" t="str">
        <x:f aca="0">""</x:f>
      </x:c>
      <x:c r="AD273" s="7"/>
      <x:c r="AE273" s="4"/>
      <x:c r="AF273" s="4"/>
      <x:c r="AG273" s="7"/>
      <x:c r="AH273" s="12" t="str">
        <x:f aca="0">""</x:f>
      </x:c>
      <x:c r="AI273" s="12" t="str">
        <x:f aca="0">""</x:f>
      </x:c>
      <x:c r="AJ273" s="12" t="str">
        <x:f aca="0">""</x:f>
      </x:c>
      <x:c r="AK273" s="12" t="str">
        <x:f aca="0">""</x:f>
      </x:c>
      <x:c r="AL273" s="19" t="str">
        <x:f aca="0">""</x:f>
      </x:c>
      <x:c r="AM273" s="56"/>
      <x:c r="AN273" s="4"/>
      <x:c r="AO273" s="4"/>
      <x:c r="AP273" s="3" t="str">
        <x:f aca="0">""</x:f>
      </x:c>
      <x:c r="AQ273" s="3" t="str">
        <x:f aca="0">""</x:f>
      </x:c>
      <x:c r="AR273" s="3" t="str">
        <x:f aca="0">""</x:f>
      </x:c>
      <x:c r="AS273" s="3" t="str">
        <x:f aca="0">""</x:f>
      </x:c>
      <x:c r="AT273" s="3" t="str">
        <x:f aca="0">""</x:f>
      </x:c>
      <x:c r="AU273" s="54" t="str">
        <x:f aca="0">""</x:f>
      </x:c>
      <x:c r="AV273" s="12" t="str">
        <x:f aca="0">""</x:f>
      </x:c>
      <x:c r="AW273" s="4"/>
      <x:c r="AX273" s="4"/>
      <x:c r="AY273" s="4"/>
      <x:c r="AZ273" s="56"/>
      <x:c r="BA273" s="4"/>
      <x:c r="BB273" s="11" t="str">
        <x:f aca="0">""</x:f>
      </x:c>
      <x:c r="BC273" s="11" t="str">
        <x:f aca="0">""</x:f>
      </x:c>
      <x:c r="BD273" s="11" t="str">
        <x:f aca="0">""</x:f>
      </x:c>
      <x:c r="BE273" s="19" t="str">
        <x:f aca="0">""</x:f>
      </x:c>
      <x:c r="BF273" s="19" t="str">
        <x:f aca="0">""</x:f>
      </x:c>
    </x:row>
    <x:row r="274" ht="14.25" hidden="0">
      <x:c r="A274" s="3"/>
      <x:c r="B274" s="55"/>
      <x:c r="C274" s="4"/>
      <x:c r="D274" s="4"/>
      <x:c r="E274" s="4"/>
      <x:c r="F274" s="4"/>
      <x:c r="G274" s="4"/>
      <x:c r="H274" s="56"/>
      <x:c r="I274" s="4"/>
      <x:c r="J274" s="4"/>
      <x:c r="K274" s="4"/>
      <x:c r="L274" s="7"/>
      <x:c r="M274" s="7"/>
      <x:c r="N274" s="57"/>
      <x:c r="O274" s="57"/>
      <x:c r="P274" s="57"/>
      <x:c r="Q274" s="3" t="str">
        <x:f aca="0">""</x:f>
      </x:c>
      <x:c r="R274" s="4"/>
      <x:c r="S274" s="4"/>
      <x:c r="T274" s="4"/>
      <x:c r="U274" s="56"/>
      <x:c r="V274" s="4"/>
      <x:c r="W274" s="57" t="str">
        <x:f aca="0">""</x:f>
      </x:c>
      <x:c r="X274" s="57" t="str">
        <x:f aca="0">""</x:f>
      </x:c>
      <x:c r="Y274" s="57" t="str">
        <x:f aca="0">""</x:f>
      </x:c>
      <x:c r="Z274" s="58"/>
      <x:c r="AA274" s="4"/>
      <x:c r="AB274" s="54" t="str">
        <x:f aca="0">""</x:f>
      </x:c>
      <x:c r="AC274" s="54" t="str">
        <x:f aca="0">""</x:f>
      </x:c>
      <x:c r="AD274" s="7"/>
      <x:c r="AE274" s="4"/>
      <x:c r="AF274" s="4"/>
      <x:c r="AG274" s="7"/>
      <x:c r="AH274" s="12" t="str">
        <x:f aca="0">""</x:f>
      </x:c>
      <x:c r="AI274" s="12" t="str">
        <x:f aca="0">""</x:f>
      </x:c>
      <x:c r="AJ274" s="12" t="str">
        <x:f aca="0">""</x:f>
      </x:c>
      <x:c r="AK274" s="12" t="str">
        <x:f aca="0">""</x:f>
      </x:c>
      <x:c r="AL274" s="19" t="str">
        <x:f aca="0">""</x:f>
      </x:c>
      <x:c r="AM274" s="56"/>
      <x:c r="AN274" s="4"/>
      <x:c r="AO274" s="4"/>
      <x:c r="AP274" s="3" t="str">
        <x:f aca="0">""</x:f>
      </x:c>
      <x:c r="AQ274" s="3" t="str">
        <x:f aca="0">""</x:f>
      </x:c>
      <x:c r="AR274" s="3" t="str">
        <x:f aca="0">""</x:f>
      </x:c>
      <x:c r="AS274" s="3" t="str">
        <x:f aca="0">""</x:f>
      </x:c>
      <x:c r="AT274" s="3" t="str">
        <x:f aca="0">""</x:f>
      </x:c>
      <x:c r="AU274" s="54" t="str">
        <x:f aca="0">""</x:f>
      </x:c>
      <x:c r="AV274" s="12" t="str">
        <x:f aca="0">""</x:f>
      </x:c>
      <x:c r="AW274" s="4"/>
      <x:c r="AX274" s="4"/>
      <x:c r="AY274" s="4"/>
      <x:c r="AZ274" s="56"/>
      <x:c r="BA274" s="4"/>
      <x:c r="BB274" s="11" t="str">
        <x:f aca="0">""</x:f>
      </x:c>
      <x:c r="BC274" s="11" t="str">
        <x:f aca="0">""</x:f>
      </x:c>
      <x:c r="BD274" s="11" t="str">
        <x:f aca="0">""</x:f>
      </x:c>
      <x:c r="BE274" s="19" t="str">
        <x:f aca="0">""</x:f>
      </x:c>
      <x:c r="BF274" s="19" t="str">
        <x:f aca="0">""</x:f>
      </x:c>
    </x:row>
    <x:row r="275" ht="14.25" hidden="0">
      <x:c r="A275" s="3"/>
      <x:c r="B275" s="55"/>
      <x:c r="C275" s="4"/>
      <x:c r="D275" s="4"/>
      <x:c r="E275" s="4"/>
      <x:c r="F275" s="4"/>
      <x:c r="G275" s="4"/>
      <x:c r="H275" s="56"/>
      <x:c r="I275" s="4"/>
      <x:c r="J275" s="4"/>
      <x:c r="K275" s="4"/>
      <x:c r="L275" s="7"/>
      <x:c r="M275" s="7"/>
      <x:c r="N275" s="57"/>
      <x:c r="O275" s="57"/>
      <x:c r="P275" s="57"/>
      <x:c r="Q275" s="3" t="str">
        <x:f aca="0">""</x:f>
      </x:c>
      <x:c r="R275" s="4"/>
      <x:c r="S275" s="4"/>
      <x:c r="T275" s="4"/>
      <x:c r="U275" s="56"/>
      <x:c r="V275" s="4"/>
      <x:c r="W275" s="57" t="str">
        <x:f aca="0">""</x:f>
      </x:c>
      <x:c r="X275" s="57" t="str">
        <x:f aca="0">""</x:f>
      </x:c>
      <x:c r="Y275" s="57" t="str">
        <x:f aca="0">""</x:f>
      </x:c>
      <x:c r="Z275" s="58"/>
      <x:c r="AA275" s="4"/>
      <x:c r="AB275" s="54" t="str">
        <x:f aca="0">""</x:f>
      </x:c>
      <x:c r="AC275" s="54" t="str">
        <x:f aca="0">""</x:f>
      </x:c>
      <x:c r="AD275" s="7"/>
      <x:c r="AE275" s="4"/>
      <x:c r="AF275" s="4"/>
      <x:c r="AG275" s="7"/>
      <x:c r="AH275" s="12" t="str">
        <x:f aca="0">""</x:f>
      </x:c>
      <x:c r="AI275" s="12" t="str">
        <x:f aca="0">""</x:f>
      </x:c>
      <x:c r="AJ275" s="12" t="str">
        <x:f aca="0">""</x:f>
      </x:c>
      <x:c r="AK275" s="12" t="str">
        <x:f aca="0">""</x:f>
      </x:c>
      <x:c r="AL275" s="19" t="str">
        <x:f aca="0">""</x:f>
      </x:c>
      <x:c r="AM275" s="56"/>
      <x:c r="AN275" s="4"/>
      <x:c r="AO275" s="4"/>
      <x:c r="AP275" s="3" t="str">
        <x:f aca="0">""</x:f>
      </x:c>
      <x:c r="AQ275" s="3" t="str">
        <x:f aca="0">""</x:f>
      </x:c>
      <x:c r="AR275" s="3" t="str">
        <x:f aca="0">""</x:f>
      </x:c>
      <x:c r="AS275" s="3" t="str">
        <x:f aca="0">""</x:f>
      </x:c>
      <x:c r="AT275" s="3" t="str">
        <x:f aca="0">""</x:f>
      </x:c>
      <x:c r="AU275" s="54" t="str">
        <x:f aca="0">""</x:f>
      </x:c>
      <x:c r="AV275" s="12" t="str">
        <x:f aca="0">""</x:f>
      </x:c>
      <x:c r="AW275" s="4"/>
      <x:c r="AX275" s="4"/>
      <x:c r="AY275" s="4"/>
      <x:c r="AZ275" s="56"/>
      <x:c r="BA275" s="4"/>
      <x:c r="BB275" s="11" t="str">
        <x:f aca="0">""</x:f>
      </x:c>
      <x:c r="BC275" s="11" t="str">
        <x:f aca="0">""</x:f>
      </x:c>
      <x:c r="BD275" s="11" t="str">
        <x:f aca="0">""</x:f>
      </x:c>
      <x:c r="BE275" s="19" t="str">
        <x:f aca="0">""</x:f>
      </x:c>
      <x:c r="BF275" s="19" t="str">
        <x:f aca="0">""</x:f>
      </x:c>
    </x:row>
    <x:row r="276" ht="14.25" hidden="0">
      <x:c r="A276" s="3"/>
      <x:c r="B276" s="55"/>
      <x:c r="C276" s="4"/>
      <x:c r="D276" s="4"/>
      <x:c r="E276" s="4"/>
      <x:c r="F276" s="4"/>
      <x:c r="G276" s="4"/>
      <x:c r="H276" s="56"/>
      <x:c r="I276" s="4"/>
      <x:c r="J276" s="4"/>
      <x:c r="K276" s="4"/>
      <x:c r="L276" s="7"/>
      <x:c r="M276" s="7"/>
      <x:c r="N276" s="57"/>
      <x:c r="O276" s="57"/>
      <x:c r="P276" s="57"/>
      <x:c r="Q276" s="3" t="str">
        <x:f aca="0">""</x:f>
      </x:c>
      <x:c r="R276" s="4"/>
      <x:c r="S276" s="4"/>
      <x:c r="T276" s="4"/>
      <x:c r="U276" s="56"/>
      <x:c r="V276" s="4"/>
      <x:c r="W276" s="57" t="str">
        <x:f aca="0">""</x:f>
      </x:c>
      <x:c r="X276" s="57" t="str">
        <x:f aca="0">""</x:f>
      </x:c>
      <x:c r="Y276" s="57" t="str">
        <x:f aca="0">""</x:f>
      </x:c>
      <x:c r="Z276" s="58"/>
      <x:c r="AA276" s="4"/>
      <x:c r="AB276" s="54" t="str">
        <x:f aca="0">""</x:f>
      </x:c>
      <x:c r="AC276" s="54" t="str">
        <x:f aca="0">""</x:f>
      </x:c>
      <x:c r="AD276" s="7"/>
      <x:c r="AE276" s="4"/>
      <x:c r="AF276" s="4"/>
      <x:c r="AG276" s="7"/>
      <x:c r="AH276" s="12" t="str">
        <x:f aca="0">""</x:f>
      </x:c>
      <x:c r="AI276" s="12" t="str">
        <x:f aca="0">""</x:f>
      </x:c>
      <x:c r="AJ276" s="12" t="str">
        <x:f aca="0">""</x:f>
      </x:c>
      <x:c r="AK276" s="12" t="str">
        <x:f aca="0">""</x:f>
      </x:c>
      <x:c r="AL276" s="19" t="str">
        <x:f aca="0">""</x:f>
      </x:c>
      <x:c r="AM276" s="56"/>
      <x:c r="AN276" s="4"/>
      <x:c r="AO276" s="4"/>
      <x:c r="AP276" s="3" t="str">
        <x:f aca="0">""</x:f>
      </x:c>
      <x:c r="AQ276" s="3" t="str">
        <x:f aca="0">""</x:f>
      </x:c>
      <x:c r="AR276" s="3" t="str">
        <x:f aca="0">""</x:f>
      </x:c>
      <x:c r="AS276" s="3" t="str">
        <x:f aca="0">""</x:f>
      </x:c>
      <x:c r="AT276" s="3" t="str">
        <x:f aca="0">""</x:f>
      </x:c>
      <x:c r="AU276" s="54" t="str">
        <x:f aca="0">""</x:f>
      </x:c>
      <x:c r="AV276" s="12" t="str">
        <x:f aca="0">""</x:f>
      </x:c>
      <x:c r="AW276" s="4"/>
      <x:c r="AX276" s="4"/>
      <x:c r="AY276" s="4"/>
      <x:c r="AZ276" s="56"/>
      <x:c r="BA276" s="4"/>
      <x:c r="BB276" s="11" t="str">
        <x:f aca="0">""</x:f>
      </x:c>
      <x:c r="BC276" s="11" t="str">
        <x:f aca="0">""</x:f>
      </x:c>
      <x:c r="BD276" s="11" t="str">
        <x:f aca="0">""</x:f>
      </x:c>
      <x:c r="BE276" s="19" t="str">
        <x:f aca="0">""</x:f>
      </x:c>
      <x:c r="BF276" s="19" t="str">
        <x:f aca="0">""</x:f>
      </x:c>
    </x:row>
    <x:row r="277" ht="14.25" hidden="0">
      <x:c r="A277" s="3"/>
      <x:c r="B277" s="55"/>
      <x:c r="C277" s="4"/>
      <x:c r="D277" s="4"/>
      <x:c r="E277" s="4"/>
      <x:c r="F277" s="4"/>
      <x:c r="G277" s="4"/>
      <x:c r="H277" s="56"/>
      <x:c r="I277" s="4"/>
      <x:c r="J277" s="4"/>
      <x:c r="K277" s="4"/>
      <x:c r="L277" s="7"/>
      <x:c r="M277" s="7"/>
      <x:c r="N277" s="57"/>
      <x:c r="O277" s="57"/>
      <x:c r="P277" s="57"/>
      <x:c r="Q277" s="3" t="str">
        <x:f aca="0">""</x:f>
      </x:c>
      <x:c r="R277" s="4"/>
      <x:c r="S277" s="4"/>
      <x:c r="T277" s="4"/>
      <x:c r="U277" s="56"/>
      <x:c r="V277" s="4"/>
      <x:c r="W277" s="57" t="str">
        <x:f aca="0">""</x:f>
      </x:c>
      <x:c r="X277" s="57" t="str">
        <x:f aca="0">""</x:f>
      </x:c>
      <x:c r="Y277" s="57" t="str">
        <x:f aca="0">""</x:f>
      </x:c>
      <x:c r="Z277" s="58"/>
      <x:c r="AA277" s="4"/>
      <x:c r="AB277" s="54" t="str">
        <x:f aca="0">""</x:f>
      </x:c>
      <x:c r="AC277" s="54" t="str">
        <x:f aca="0">""</x:f>
      </x:c>
      <x:c r="AD277" s="7"/>
      <x:c r="AE277" s="4"/>
      <x:c r="AF277" s="4"/>
      <x:c r="AG277" s="7"/>
      <x:c r="AH277" s="12" t="str">
        <x:f aca="0">""</x:f>
      </x:c>
      <x:c r="AI277" s="12" t="str">
        <x:f aca="0">""</x:f>
      </x:c>
      <x:c r="AJ277" s="12" t="str">
        <x:f aca="0">""</x:f>
      </x:c>
      <x:c r="AK277" s="12" t="str">
        <x:f aca="0">""</x:f>
      </x:c>
      <x:c r="AL277" s="19" t="str">
        <x:f aca="0">""</x:f>
      </x:c>
      <x:c r="AM277" s="56"/>
      <x:c r="AN277" s="4"/>
      <x:c r="AO277" s="4"/>
      <x:c r="AP277" s="3" t="str">
        <x:f aca="0">""</x:f>
      </x:c>
      <x:c r="AQ277" s="3" t="str">
        <x:f aca="0">""</x:f>
      </x:c>
      <x:c r="AR277" s="3" t="str">
        <x:f aca="0">""</x:f>
      </x:c>
      <x:c r="AS277" s="3" t="str">
        <x:f aca="0">""</x:f>
      </x:c>
      <x:c r="AT277" s="3" t="str">
        <x:f aca="0">""</x:f>
      </x:c>
      <x:c r="AU277" s="54" t="str">
        <x:f aca="0">""</x:f>
      </x:c>
      <x:c r="AV277" s="12" t="str">
        <x:f aca="0">""</x:f>
      </x:c>
      <x:c r="AW277" s="4"/>
      <x:c r="AX277" s="4"/>
      <x:c r="AY277" s="4"/>
      <x:c r="AZ277" s="56"/>
      <x:c r="BA277" s="4"/>
      <x:c r="BB277" s="11" t="str">
        <x:f aca="0">""</x:f>
      </x:c>
      <x:c r="BC277" s="11" t="str">
        <x:f aca="0">""</x:f>
      </x:c>
      <x:c r="BD277" s="11" t="str">
        <x:f aca="0">""</x:f>
      </x:c>
      <x:c r="BE277" s="19" t="str">
        <x:f aca="0">""</x:f>
      </x:c>
      <x:c r="BF277" s="19" t="str">
        <x:f aca="0">""</x:f>
      </x:c>
    </x:row>
    <x:row r="278" ht="14.25" hidden="0">
      <x:c r="A278" s="3"/>
      <x:c r="B278" s="55"/>
      <x:c r="C278" s="4"/>
      <x:c r="D278" s="4"/>
      <x:c r="E278" s="4"/>
      <x:c r="F278" s="4"/>
      <x:c r="G278" s="4"/>
      <x:c r="H278" s="56"/>
      <x:c r="I278" s="4"/>
      <x:c r="J278" s="4"/>
      <x:c r="K278" s="4"/>
      <x:c r="L278" s="7"/>
      <x:c r="M278" s="7"/>
      <x:c r="N278" s="57"/>
      <x:c r="O278" s="57"/>
      <x:c r="P278" s="57"/>
      <x:c r="Q278" s="3" t="str">
        <x:f aca="0">""</x:f>
      </x:c>
      <x:c r="R278" s="4"/>
      <x:c r="S278" s="4"/>
      <x:c r="T278" s="4"/>
      <x:c r="U278" s="56"/>
      <x:c r="V278" s="4"/>
      <x:c r="W278" s="57" t="str">
        <x:f aca="0">""</x:f>
      </x:c>
      <x:c r="X278" s="57" t="str">
        <x:f aca="0">""</x:f>
      </x:c>
      <x:c r="Y278" s="57" t="str">
        <x:f aca="0">""</x:f>
      </x:c>
      <x:c r="Z278" s="58"/>
      <x:c r="AA278" s="4"/>
      <x:c r="AB278" s="54" t="str">
        <x:f aca="0">""</x:f>
      </x:c>
      <x:c r="AC278" s="54" t="str">
        <x:f aca="0">""</x:f>
      </x:c>
      <x:c r="AD278" s="7"/>
      <x:c r="AE278" s="4"/>
      <x:c r="AF278" s="4"/>
      <x:c r="AG278" s="7"/>
      <x:c r="AH278" s="12" t="str">
        <x:f aca="0">""</x:f>
      </x:c>
      <x:c r="AI278" s="12" t="str">
        <x:f aca="0">""</x:f>
      </x:c>
      <x:c r="AJ278" s="12" t="str">
        <x:f aca="0">""</x:f>
      </x:c>
      <x:c r="AK278" s="12" t="str">
        <x:f aca="0">""</x:f>
      </x:c>
      <x:c r="AL278" s="19" t="str">
        <x:f aca="0">""</x:f>
      </x:c>
      <x:c r="AM278" s="56"/>
      <x:c r="AN278" s="4"/>
      <x:c r="AO278" s="4"/>
      <x:c r="AP278" s="3" t="str">
        <x:f aca="0">""</x:f>
      </x:c>
      <x:c r="AQ278" s="3" t="str">
        <x:f aca="0">""</x:f>
      </x:c>
      <x:c r="AR278" s="3" t="str">
        <x:f aca="0">""</x:f>
      </x:c>
      <x:c r="AS278" s="3" t="str">
        <x:f aca="0">""</x:f>
      </x:c>
      <x:c r="AT278" s="3" t="str">
        <x:f aca="0">""</x:f>
      </x:c>
      <x:c r="AU278" s="54" t="str">
        <x:f aca="0">""</x:f>
      </x:c>
      <x:c r="AV278" s="12" t="str">
        <x:f aca="0">""</x:f>
      </x:c>
      <x:c r="AW278" s="4"/>
      <x:c r="AX278" s="4"/>
      <x:c r="AY278" s="4"/>
      <x:c r="AZ278" s="56"/>
      <x:c r="BA278" s="4"/>
      <x:c r="BB278" s="11" t="str">
        <x:f aca="0">""</x:f>
      </x:c>
      <x:c r="BC278" s="11" t="str">
        <x:f aca="0">""</x:f>
      </x:c>
      <x:c r="BD278" s="11" t="str">
        <x:f aca="0">""</x:f>
      </x:c>
      <x:c r="BE278" s="19" t="str">
        <x:f aca="0">""</x:f>
      </x:c>
      <x:c r="BF278" s="19" t="str">
        <x:f aca="0">""</x:f>
      </x:c>
    </x:row>
    <x:row r="279" ht="14.25" hidden="0">
      <x:c r="A279" s="3"/>
      <x:c r="B279" s="55"/>
      <x:c r="C279" s="4"/>
      <x:c r="D279" s="4"/>
      <x:c r="E279" s="4"/>
      <x:c r="F279" s="4"/>
      <x:c r="G279" s="4"/>
      <x:c r="H279" s="56"/>
      <x:c r="I279" s="4"/>
      <x:c r="J279" s="4"/>
      <x:c r="K279" s="4"/>
      <x:c r="L279" s="7"/>
      <x:c r="M279" s="7"/>
      <x:c r="N279" s="57"/>
      <x:c r="O279" s="57"/>
      <x:c r="P279" s="57"/>
      <x:c r="Q279" s="3" t="str">
        <x:f aca="0">""</x:f>
      </x:c>
      <x:c r="R279" s="4"/>
      <x:c r="S279" s="4"/>
      <x:c r="T279" s="4"/>
      <x:c r="U279" s="56"/>
      <x:c r="V279" s="4"/>
      <x:c r="W279" s="57" t="str">
        <x:f aca="0">""</x:f>
      </x:c>
      <x:c r="X279" s="57" t="str">
        <x:f aca="0">""</x:f>
      </x:c>
      <x:c r="Y279" s="57" t="str">
        <x:f aca="0">""</x:f>
      </x:c>
      <x:c r="Z279" s="58"/>
      <x:c r="AA279" s="4"/>
      <x:c r="AB279" s="54" t="str">
        <x:f aca="0">""</x:f>
      </x:c>
      <x:c r="AC279" s="54" t="str">
        <x:f aca="0">""</x:f>
      </x:c>
      <x:c r="AD279" s="7"/>
      <x:c r="AE279" s="4"/>
      <x:c r="AF279" s="4"/>
      <x:c r="AG279" s="7"/>
      <x:c r="AH279" s="12" t="str">
        <x:f aca="0">""</x:f>
      </x:c>
      <x:c r="AI279" s="12" t="str">
        <x:f aca="0">""</x:f>
      </x:c>
      <x:c r="AJ279" s="12" t="str">
        <x:f aca="0">""</x:f>
      </x:c>
      <x:c r="AK279" s="12" t="str">
        <x:f aca="0">""</x:f>
      </x:c>
      <x:c r="AL279" s="19" t="str">
        <x:f aca="0">""</x:f>
      </x:c>
      <x:c r="AM279" s="56"/>
      <x:c r="AN279" s="4"/>
      <x:c r="AO279" s="4"/>
      <x:c r="AP279" s="3" t="str">
        <x:f aca="0">""</x:f>
      </x:c>
      <x:c r="AQ279" s="3" t="str">
        <x:f aca="0">""</x:f>
      </x:c>
      <x:c r="AR279" s="3" t="str">
        <x:f aca="0">""</x:f>
      </x:c>
      <x:c r="AS279" s="3" t="str">
        <x:f aca="0">""</x:f>
      </x:c>
      <x:c r="AT279" s="3" t="str">
        <x:f aca="0">""</x:f>
      </x:c>
      <x:c r="AU279" s="54" t="str">
        <x:f aca="0">""</x:f>
      </x:c>
      <x:c r="AV279" s="12" t="str">
        <x:f aca="0">""</x:f>
      </x:c>
      <x:c r="AW279" s="4"/>
      <x:c r="AX279" s="4"/>
      <x:c r="AY279" s="4"/>
      <x:c r="AZ279" s="56"/>
      <x:c r="BA279" s="4"/>
      <x:c r="BB279" s="11" t="str">
        <x:f aca="0">""</x:f>
      </x:c>
      <x:c r="BC279" s="11" t="str">
        <x:f aca="0">""</x:f>
      </x:c>
      <x:c r="BD279" s="11" t="str">
        <x:f aca="0">""</x:f>
      </x:c>
      <x:c r="BE279" s="19" t="str">
        <x:f aca="0">""</x:f>
      </x:c>
      <x:c r="BF279" s="19" t="str">
        <x:f aca="0">""</x:f>
      </x:c>
    </x:row>
    <x:row r="280" ht="14.25" hidden="0">
      <x:c r="A280" s="3"/>
      <x:c r="B280" s="55"/>
      <x:c r="C280" s="4"/>
      <x:c r="D280" s="4"/>
      <x:c r="E280" s="4"/>
      <x:c r="F280" s="4"/>
      <x:c r="G280" s="4"/>
      <x:c r="H280" s="56"/>
      <x:c r="I280" s="4"/>
      <x:c r="J280" s="4"/>
      <x:c r="K280" s="4"/>
      <x:c r="L280" s="7"/>
      <x:c r="M280" s="7"/>
      <x:c r="N280" s="57"/>
      <x:c r="O280" s="57"/>
      <x:c r="P280" s="57"/>
      <x:c r="Q280" s="3" t="str">
        <x:f aca="0">""</x:f>
      </x:c>
      <x:c r="R280" s="4"/>
      <x:c r="S280" s="4"/>
      <x:c r="T280" s="4"/>
      <x:c r="U280" s="56"/>
      <x:c r="V280" s="4"/>
      <x:c r="W280" s="57" t="str">
        <x:f aca="0">""</x:f>
      </x:c>
      <x:c r="X280" s="57" t="str">
        <x:f aca="0">""</x:f>
      </x:c>
      <x:c r="Y280" s="57" t="str">
        <x:f aca="0">""</x:f>
      </x:c>
      <x:c r="Z280" s="58"/>
      <x:c r="AA280" s="4"/>
      <x:c r="AB280" s="54" t="str">
        <x:f aca="0">""</x:f>
      </x:c>
      <x:c r="AC280" s="54" t="str">
        <x:f aca="0">""</x:f>
      </x:c>
      <x:c r="AD280" s="7"/>
      <x:c r="AE280" s="4"/>
      <x:c r="AF280" s="4"/>
      <x:c r="AG280" s="7"/>
      <x:c r="AH280" s="12" t="str">
        <x:f aca="0">""</x:f>
      </x:c>
      <x:c r="AI280" s="12" t="str">
        <x:f aca="0">""</x:f>
      </x:c>
      <x:c r="AJ280" s="12" t="str">
        <x:f aca="0">""</x:f>
      </x:c>
      <x:c r="AK280" s="12" t="str">
        <x:f aca="0">""</x:f>
      </x:c>
      <x:c r="AL280" s="19" t="str">
        <x:f aca="0">""</x:f>
      </x:c>
      <x:c r="AM280" s="56"/>
      <x:c r="AN280" s="4"/>
      <x:c r="AO280" s="4"/>
      <x:c r="AP280" s="3" t="str">
        <x:f aca="0">""</x:f>
      </x:c>
      <x:c r="AQ280" s="3" t="str">
        <x:f aca="0">""</x:f>
      </x:c>
      <x:c r="AR280" s="3" t="str">
        <x:f aca="0">""</x:f>
      </x:c>
      <x:c r="AS280" s="3" t="str">
        <x:f aca="0">""</x:f>
      </x:c>
      <x:c r="AT280" s="3" t="str">
        <x:f aca="0">""</x:f>
      </x:c>
      <x:c r="AU280" s="54" t="str">
        <x:f aca="0">""</x:f>
      </x:c>
      <x:c r="AV280" s="12" t="str">
        <x:f aca="0">""</x:f>
      </x:c>
      <x:c r="AW280" s="4"/>
      <x:c r="AX280" s="4"/>
      <x:c r="AY280" s="4"/>
      <x:c r="AZ280" s="56"/>
      <x:c r="BA280" s="4"/>
      <x:c r="BB280" s="11" t="str">
        <x:f aca="0">""</x:f>
      </x:c>
      <x:c r="BC280" s="11" t="str">
        <x:f aca="0">""</x:f>
      </x:c>
      <x:c r="BD280" s="11" t="str">
        <x:f aca="0">""</x:f>
      </x:c>
      <x:c r="BE280" s="19" t="str">
        <x:f aca="0">""</x:f>
      </x:c>
      <x:c r="BF280" s="19" t="str">
        <x:f aca="0">""</x:f>
      </x:c>
    </x:row>
    <x:row r="281" ht="14.25" hidden="0">
      <x:c r="A281" s="3"/>
      <x:c r="B281" s="55"/>
      <x:c r="C281" s="4"/>
      <x:c r="D281" s="4"/>
      <x:c r="E281" s="4"/>
      <x:c r="F281" s="4"/>
      <x:c r="G281" s="4"/>
      <x:c r="H281" s="56"/>
      <x:c r="I281" s="4"/>
      <x:c r="J281" s="4"/>
      <x:c r="K281" s="4"/>
      <x:c r="L281" s="7"/>
      <x:c r="M281" s="7"/>
      <x:c r="N281" s="57"/>
      <x:c r="O281" s="57"/>
      <x:c r="P281" s="57"/>
      <x:c r="Q281" s="3" t="str">
        <x:f aca="0">""</x:f>
      </x:c>
      <x:c r="R281" s="4"/>
      <x:c r="S281" s="4"/>
      <x:c r="T281" s="4"/>
      <x:c r="U281" s="56"/>
      <x:c r="V281" s="4"/>
      <x:c r="W281" s="57" t="str">
        <x:f aca="0">""</x:f>
      </x:c>
      <x:c r="X281" s="57" t="str">
        <x:f aca="0">""</x:f>
      </x:c>
      <x:c r="Y281" s="57" t="str">
        <x:f aca="0">""</x:f>
      </x:c>
      <x:c r="Z281" s="58"/>
      <x:c r="AA281" s="4"/>
      <x:c r="AB281" s="54" t="str">
        <x:f aca="0">""</x:f>
      </x:c>
      <x:c r="AC281" s="54" t="str">
        <x:f aca="0">""</x:f>
      </x:c>
      <x:c r="AD281" s="7"/>
      <x:c r="AE281" s="4"/>
      <x:c r="AF281" s="4"/>
      <x:c r="AG281" s="7"/>
      <x:c r="AH281" s="12" t="str">
        <x:f aca="0">""</x:f>
      </x:c>
      <x:c r="AI281" s="12" t="str">
        <x:f aca="0">""</x:f>
      </x:c>
      <x:c r="AJ281" s="12" t="str">
        <x:f aca="0">""</x:f>
      </x:c>
      <x:c r="AK281" s="12" t="str">
        <x:f aca="0">""</x:f>
      </x:c>
      <x:c r="AL281" s="19" t="str">
        <x:f aca="0">""</x:f>
      </x:c>
      <x:c r="AM281" s="56"/>
      <x:c r="AN281" s="4"/>
      <x:c r="AO281" s="4"/>
      <x:c r="AP281" s="3" t="str">
        <x:f aca="0">""</x:f>
      </x:c>
      <x:c r="AQ281" s="3" t="str">
        <x:f aca="0">""</x:f>
      </x:c>
      <x:c r="AR281" s="3" t="str">
        <x:f aca="0">""</x:f>
      </x:c>
      <x:c r="AS281" s="3" t="str">
        <x:f aca="0">""</x:f>
      </x:c>
      <x:c r="AT281" s="3" t="str">
        <x:f aca="0">""</x:f>
      </x:c>
      <x:c r="AU281" s="54" t="str">
        <x:f aca="0">""</x:f>
      </x:c>
      <x:c r="AV281" s="12" t="str">
        <x:f aca="0">""</x:f>
      </x:c>
      <x:c r="AW281" s="4"/>
      <x:c r="AX281" s="4"/>
      <x:c r="AY281" s="4"/>
      <x:c r="AZ281" s="56"/>
      <x:c r="BA281" s="4"/>
      <x:c r="BB281" s="11" t="str">
        <x:f aca="0">""</x:f>
      </x:c>
      <x:c r="BC281" s="11" t="str">
        <x:f aca="0">""</x:f>
      </x:c>
      <x:c r="BD281" s="11" t="str">
        <x:f aca="0">""</x:f>
      </x:c>
      <x:c r="BE281" s="19" t="str">
        <x:f aca="0">""</x:f>
      </x:c>
      <x:c r="BF281" s="19" t="str">
        <x:f aca="0">""</x:f>
      </x:c>
    </x:row>
    <x:row r="282" ht="14.25" hidden="0">
      <x:c r="A282" s="3"/>
      <x:c r="B282" s="55"/>
      <x:c r="C282" s="4"/>
      <x:c r="D282" s="4"/>
      <x:c r="E282" s="4"/>
      <x:c r="F282" s="4"/>
      <x:c r="G282" s="4"/>
      <x:c r="H282" s="56"/>
      <x:c r="I282" s="4"/>
      <x:c r="J282" s="4"/>
      <x:c r="K282" s="4"/>
      <x:c r="L282" s="7"/>
      <x:c r="M282" s="7"/>
      <x:c r="N282" s="57"/>
      <x:c r="O282" s="57"/>
      <x:c r="P282" s="57"/>
      <x:c r="Q282" s="3" t="str">
        <x:f aca="0">""</x:f>
      </x:c>
      <x:c r="R282" s="4"/>
      <x:c r="S282" s="4"/>
      <x:c r="T282" s="4"/>
      <x:c r="U282" s="56"/>
      <x:c r="V282" s="4"/>
      <x:c r="W282" s="57" t="str">
        <x:f aca="0">""</x:f>
      </x:c>
      <x:c r="X282" s="57" t="str">
        <x:f aca="0">""</x:f>
      </x:c>
      <x:c r="Y282" s="57" t="str">
        <x:f aca="0">""</x:f>
      </x:c>
      <x:c r="Z282" s="58"/>
      <x:c r="AA282" s="4"/>
      <x:c r="AB282" s="54" t="str">
        <x:f aca="0">""</x:f>
      </x:c>
      <x:c r="AC282" s="54" t="str">
        <x:f aca="0">""</x:f>
      </x:c>
      <x:c r="AD282" s="7"/>
      <x:c r="AE282" s="4"/>
      <x:c r="AF282" s="4"/>
      <x:c r="AG282" s="7"/>
      <x:c r="AH282" s="12" t="str">
        <x:f aca="0">""</x:f>
      </x:c>
      <x:c r="AI282" s="12" t="str">
        <x:f aca="0">""</x:f>
      </x:c>
      <x:c r="AJ282" s="12" t="str">
        <x:f aca="0">""</x:f>
      </x:c>
      <x:c r="AK282" s="12" t="str">
        <x:f aca="0">""</x:f>
      </x:c>
      <x:c r="AL282" s="19" t="str">
        <x:f aca="0">""</x:f>
      </x:c>
      <x:c r="AM282" s="56"/>
      <x:c r="AN282" s="4"/>
      <x:c r="AO282" s="4"/>
      <x:c r="AP282" s="3" t="str">
        <x:f aca="0">""</x:f>
      </x:c>
      <x:c r="AQ282" s="3" t="str">
        <x:f aca="0">""</x:f>
      </x:c>
      <x:c r="AR282" s="3" t="str">
        <x:f aca="0">""</x:f>
      </x:c>
      <x:c r="AS282" s="3" t="str">
        <x:f aca="0">""</x:f>
      </x:c>
      <x:c r="AT282" s="3" t="str">
        <x:f aca="0">""</x:f>
      </x:c>
      <x:c r="AU282" s="54" t="str">
        <x:f aca="0">""</x:f>
      </x:c>
      <x:c r="AV282" s="12" t="str">
        <x:f aca="0">""</x:f>
      </x:c>
      <x:c r="AW282" s="4"/>
      <x:c r="AX282" s="4"/>
      <x:c r="AY282" s="4"/>
      <x:c r="AZ282" s="56"/>
      <x:c r="BA282" s="4"/>
      <x:c r="BB282" s="11" t="str">
        <x:f aca="0">""</x:f>
      </x:c>
      <x:c r="BC282" s="11" t="str">
        <x:f aca="0">""</x:f>
      </x:c>
      <x:c r="BD282" s="11" t="str">
        <x:f aca="0">""</x:f>
      </x:c>
      <x:c r="BE282" s="19" t="str">
        <x:f aca="0">""</x:f>
      </x:c>
      <x:c r="BF282" s="19" t="str">
        <x:f aca="0">""</x:f>
      </x:c>
    </x:row>
    <x:row r="283" ht="14.25" hidden="0">
      <x:c r="A283" s="3"/>
      <x:c r="B283" s="55"/>
      <x:c r="C283" s="4"/>
      <x:c r="D283" s="4"/>
      <x:c r="E283" s="4"/>
      <x:c r="F283" s="4"/>
      <x:c r="G283" s="4"/>
      <x:c r="H283" s="56"/>
      <x:c r="I283" s="4"/>
      <x:c r="J283" s="4"/>
      <x:c r="K283" s="4"/>
      <x:c r="L283" s="7"/>
      <x:c r="M283" s="7"/>
      <x:c r="N283" s="57"/>
      <x:c r="O283" s="57"/>
      <x:c r="P283" s="57"/>
      <x:c r="Q283" s="3" t="str">
        <x:f aca="0">""</x:f>
      </x:c>
      <x:c r="R283" s="4"/>
      <x:c r="S283" s="4"/>
      <x:c r="T283" s="4"/>
      <x:c r="U283" s="56"/>
      <x:c r="V283" s="4"/>
      <x:c r="W283" s="57" t="str">
        <x:f aca="0">""</x:f>
      </x:c>
      <x:c r="X283" s="57" t="str">
        <x:f aca="0">""</x:f>
      </x:c>
      <x:c r="Y283" s="57" t="str">
        <x:f aca="0">""</x:f>
      </x:c>
      <x:c r="Z283" s="58"/>
      <x:c r="AA283" s="4"/>
      <x:c r="AB283" s="54" t="str">
        <x:f aca="0">""</x:f>
      </x:c>
      <x:c r="AC283" s="54" t="str">
        <x:f aca="0">""</x:f>
      </x:c>
      <x:c r="AD283" s="7"/>
      <x:c r="AE283" s="4"/>
      <x:c r="AF283" s="4"/>
      <x:c r="AG283" s="7"/>
      <x:c r="AH283" s="12" t="str">
        <x:f aca="0">""</x:f>
      </x:c>
      <x:c r="AI283" s="12" t="str">
        <x:f aca="0">""</x:f>
      </x:c>
      <x:c r="AJ283" s="12" t="str">
        <x:f aca="0">""</x:f>
      </x:c>
      <x:c r="AK283" s="12" t="str">
        <x:f aca="0">""</x:f>
      </x:c>
      <x:c r="AL283" s="19" t="str">
        <x:f aca="0">""</x:f>
      </x:c>
      <x:c r="AM283" s="56"/>
      <x:c r="AN283" s="4"/>
      <x:c r="AO283" s="4"/>
      <x:c r="AP283" s="3" t="str">
        <x:f aca="0">""</x:f>
      </x:c>
      <x:c r="AQ283" s="3" t="str">
        <x:f aca="0">""</x:f>
      </x:c>
      <x:c r="AR283" s="3" t="str">
        <x:f aca="0">""</x:f>
      </x:c>
      <x:c r="AS283" s="3" t="str">
        <x:f aca="0">""</x:f>
      </x:c>
      <x:c r="AT283" s="3" t="str">
        <x:f aca="0">""</x:f>
      </x:c>
      <x:c r="AU283" s="54" t="str">
        <x:f aca="0">""</x:f>
      </x:c>
      <x:c r="AV283" s="12" t="str">
        <x:f aca="0">""</x:f>
      </x:c>
      <x:c r="AW283" s="4"/>
      <x:c r="AX283" s="4"/>
      <x:c r="AY283" s="4"/>
      <x:c r="AZ283" s="56"/>
      <x:c r="BA283" s="4"/>
      <x:c r="BB283" s="11" t="str">
        <x:f aca="0">""</x:f>
      </x:c>
      <x:c r="BC283" s="11" t="str">
        <x:f aca="0">""</x:f>
      </x:c>
      <x:c r="BD283" s="11" t="str">
        <x:f aca="0">""</x:f>
      </x:c>
      <x:c r="BE283" s="19" t="str">
        <x:f aca="0">""</x:f>
      </x:c>
      <x:c r="BF283" s="19" t="str">
        <x:f aca="0">""</x:f>
      </x:c>
    </x:row>
    <x:row r="284" ht="14.25" hidden="0">
      <x:c r="A284" s="3"/>
      <x:c r="B284" s="55"/>
      <x:c r="C284" s="4"/>
      <x:c r="D284" s="4"/>
      <x:c r="E284" s="4"/>
      <x:c r="F284" s="4"/>
      <x:c r="G284" s="4"/>
      <x:c r="H284" s="56"/>
      <x:c r="I284" s="4"/>
      <x:c r="J284" s="4"/>
      <x:c r="K284" s="4"/>
      <x:c r="L284" s="7"/>
      <x:c r="M284" s="7"/>
      <x:c r="N284" s="57"/>
      <x:c r="O284" s="57"/>
      <x:c r="P284" s="57"/>
      <x:c r="Q284" s="3" t="str">
        <x:f aca="0">""</x:f>
      </x:c>
      <x:c r="R284" s="4"/>
      <x:c r="S284" s="4"/>
      <x:c r="T284" s="4"/>
      <x:c r="U284" s="56"/>
      <x:c r="V284" s="4"/>
      <x:c r="W284" s="57" t="str">
        <x:f aca="0">""</x:f>
      </x:c>
      <x:c r="X284" s="57" t="str">
        <x:f aca="0">""</x:f>
      </x:c>
      <x:c r="Y284" s="57" t="str">
        <x:f aca="0">""</x:f>
      </x:c>
      <x:c r="Z284" s="58"/>
      <x:c r="AA284" s="4"/>
      <x:c r="AB284" s="54" t="str">
        <x:f aca="0">""</x:f>
      </x:c>
      <x:c r="AC284" s="54" t="str">
        <x:f aca="0">""</x:f>
      </x:c>
      <x:c r="AD284" s="7"/>
      <x:c r="AE284" s="4"/>
      <x:c r="AF284" s="4"/>
      <x:c r="AG284" s="7"/>
      <x:c r="AH284" s="12" t="str">
        <x:f aca="0">""</x:f>
      </x:c>
      <x:c r="AI284" s="12" t="str">
        <x:f aca="0">""</x:f>
      </x:c>
      <x:c r="AJ284" s="12" t="str">
        <x:f aca="0">""</x:f>
      </x:c>
      <x:c r="AK284" s="12" t="str">
        <x:f aca="0">""</x:f>
      </x:c>
      <x:c r="AL284" s="19" t="str">
        <x:f aca="0">""</x:f>
      </x:c>
      <x:c r="AM284" s="56"/>
      <x:c r="AN284" s="4"/>
      <x:c r="AO284" s="4"/>
      <x:c r="AP284" s="3" t="str">
        <x:f aca="0">""</x:f>
      </x:c>
      <x:c r="AQ284" s="3" t="str">
        <x:f aca="0">""</x:f>
      </x:c>
      <x:c r="AR284" s="3" t="str">
        <x:f aca="0">""</x:f>
      </x:c>
      <x:c r="AS284" s="3" t="str">
        <x:f aca="0">""</x:f>
      </x:c>
      <x:c r="AT284" s="3" t="str">
        <x:f aca="0">""</x:f>
      </x:c>
      <x:c r="AU284" s="54" t="str">
        <x:f aca="0">""</x:f>
      </x:c>
      <x:c r="AV284" s="12" t="str">
        <x:f aca="0">""</x:f>
      </x:c>
      <x:c r="AW284" s="4"/>
      <x:c r="AX284" s="4"/>
      <x:c r="AY284" s="4"/>
      <x:c r="AZ284" s="56"/>
      <x:c r="BA284" s="4"/>
      <x:c r="BB284" s="11" t="str">
        <x:f aca="0">""</x:f>
      </x:c>
      <x:c r="BC284" s="11" t="str">
        <x:f aca="0">""</x:f>
      </x:c>
      <x:c r="BD284" s="11" t="str">
        <x:f aca="0">""</x:f>
      </x:c>
      <x:c r="BE284" s="19" t="str">
        <x:f aca="0">""</x:f>
      </x:c>
      <x:c r="BF284" s="19" t="str">
        <x:f aca="0">""</x:f>
      </x:c>
    </x:row>
    <x:row r="285" ht="14.25" hidden="0">
      <x:c r="A285" s="3"/>
      <x:c r="B285" s="55"/>
      <x:c r="C285" s="4"/>
      <x:c r="D285" s="4"/>
      <x:c r="E285" s="4"/>
      <x:c r="F285" s="4"/>
      <x:c r="G285" s="4"/>
      <x:c r="H285" s="56"/>
      <x:c r="I285" s="4"/>
      <x:c r="J285" s="4"/>
      <x:c r="K285" s="4"/>
      <x:c r="L285" s="7"/>
      <x:c r="M285" s="7"/>
      <x:c r="N285" s="57"/>
      <x:c r="O285" s="57"/>
      <x:c r="P285" s="57"/>
      <x:c r="Q285" s="3" t="str">
        <x:f aca="0">""</x:f>
      </x:c>
      <x:c r="R285" s="4"/>
      <x:c r="S285" s="4"/>
      <x:c r="T285" s="4"/>
      <x:c r="U285" s="56"/>
      <x:c r="V285" s="4"/>
      <x:c r="W285" s="57" t="str">
        <x:f aca="0">""</x:f>
      </x:c>
      <x:c r="X285" s="57" t="str">
        <x:f aca="0">""</x:f>
      </x:c>
      <x:c r="Y285" s="57" t="str">
        <x:f aca="0">""</x:f>
      </x:c>
      <x:c r="Z285" s="58"/>
      <x:c r="AA285" s="4"/>
      <x:c r="AB285" s="54" t="str">
        <x:f aca="0">""</x:f>
      </x:c>
      <x:c r="AC285" s="54" t="str">
        <x:f aca="0">""</x:f>
      </x:c>
      <x:c r="AD285" s="7"/>
      <x:c r="AE285" s="4"/>
      <x:c r="AF285" s="4"/>
      <x:c r="AG285" s="7"/>
      <x:c r="AH285" s="12" t="str">
        <x:f aca="0">""</x:f>
      </x:c>
      <x:c r="AI285" s="12" t="str">
        <x:f aca="0">""</x:f>
      </x:c>
      <x:c r="AJ285" s="12" t="str">
        <x:f aca="0">""</x:f>
      </x:c>
      <x:c r="AK285" s="12" t="str">
        <x:f aca="0">""</x:f>
      </x:c>
      <x:c r="AL285" s="19" t="str">
        <x:f aca="0">""</x:f>
      </x:c>
      <x:c r="AM285" s="56"/>
      <x:c r="AN285" s="4"/>
      <x:c r="AO285" s="4"/>
      <x:c r="AP285" s="3" t="str">
        <x:f aca="0">""</x:f>
      </x:c>
      <x:c r="AQ285" s="3" t="str">
        <x:f aca="0">""</x:f>
      </x:c>
      <x:c r="AR285" s="3" t="str">
        <x:f aca="0">""</x:f>
      </x:c>
      <x:c r="AS285" s="3" t="str">
        <x:f aca="0">""</x:f>
      </x:c>
      <x:c r="AT285" s="3" t="str">
        <x:f aca="0">""</x:f>
      </x:c>
      <x:c r="AU285" s="54" t="str">
        <x:f aca="0">""</x:f>
      </x:c>
      <x:c r="AV285" s="12" t="str">
        <x:f aca="0">""</x:f>
      </x:c>
      <x:c r="AW285" s="4"/>
      <x:c r="AX285" s="4"/>
      <x:c r="AY285" s="4"/>
      <x:c r="AZ285" s="56"/>
      <x:c r="BA285" s="4"/>
      <x:c r="BB285" s="11" t="str">
        <x:f aca="0">""</x:f>
      </x:c>
      <x:c r="BC285" s="11" t="str">
        <x:f aca="0">""</x:f>
      </x:c>
      <x:c r="BD285" s="11" t="str">
        <x:f aca="0">""</x:f>
      </x:c>
      <x:c r="BE285" s="19" t="str">
        <x:f aca="0">""</x:f>
      </x:c>
      <x:c r="BF285" s="19" t="str">
        <x:f aca="0">""</x:f>
      </x:c>
    </x:row>
    <x:row r="286" ht="14.25" hidden="0">
      <x:c r="A286" s="3"/>
      <x:c r="B286" s="55"/>
      <x:c r="C286" s="4"/>
      <x:c r="D286" s="4"/>
      <x:c r="E286" s="4"/>
      <x:c r="F286" s="4"/>
      <x:c r="G286" s="4"/>
      <x:c r="H286" s="56"/>
      <x:c r="I286" s="4"/>
      <x:c r="J286" s="4"/>
      <x:c r="K286" s="4"/>
      <x:c r="L286" s="7"/>
      <x:c r="M286" s="7"/>
      <x:c r="N286" s="57"/>
      <x:c r="O286" s="57"/>
      <x:c r="P286" s="57"/>
      <x:c r="Q286" s="3" t="str">
        <x:f aca="0">""</x:f>
      </x:c>
      <x:c r="R286" s="4"/>
      <x:c r="S286" s="4"/>
      <x:c r="T286" s="4"/>
      <x:c r="U286" s="56"/>
      <x:c r="V286" s="4"/>
      <x:c r="W286" s="57" t="str">
        <x:f aca="0">""</x:f>
      </x:c>
      <x:c r="X286" s="57" t="str">
        <x:f aca="0">""</x:f>
      </x:c>
      <x:c r="Y286" s="57" t="str">
        <x:f aca="0">""</x:f>
      </x:c>
      <x:c r="Z286" s="58"/>
      <x:c r="AA286" s="4"/>
      <x:c r="AB286" s="54" t="str">
        <x:f aca="0">""</x:f>
      </x:c>
      <x:c r="AC286" s="54" t="str">
        <x:f aca="0">""</x:f>
      </x:c>
      <x:c r="AD286" s="7"/>
      <x:c r="AE286" s="4"/>
      <x:c r="AF286" s="4"/>
      <x:c r="AG286" s="7"/>
      <x:c r="AH286" s="12" t="str">
        <x:f aca="0">""</x:f>
      </x:c>
      <x:c r="AI286" s="12" t="str">
        <x:f aca="0">""</x:f>
      </x:c>
      <x:c r="AJ286" s="12" t="str">
        <x:f aca="0">""</x:f>
      </x:c>
      <x:c r="AK286" s="12" t="str">
        <x:f aca="0">""</x:f>
      </x:c>
      <x:c r="AL286" s="19" t="str">
        <x:f aca="0">""</x:f>
      </x:c>
      <x:c r="AM286" s="56"/>
      <x:c r="AN286" s="4"/>
      <x:c r="AO286" s="4"/>
      <x:c r="AP286" s="3" t="str">
        <x:f aca="0">""</x:f>
      </x:c>
      <x:c r="AQ286" s="3" t="str">
        <x:f aca="0">""</x:f>
      </x:c>
      <x:c r="AR286" s="3" t="str">
        <x:f aca="0">""</x:f>
      </x:c>
      <x:c r="AS286" s="3" t="str">
        <x:f aca="0">""</x:f>
      </x:c>
      <x:c r="AT286" s="3" t="str">
        <x:f aca="0">""</x:f>
      </x:c>
      <x:c r="AU286" s="54" t="str">
        <x:f aca="0">""</x:f>
      </x:c>
      <x:c r="AV286" s="12" t="str">
        <x:f aca="0">""</x:f>
      </x:c>
      <x:c r="AW286" s="4"/>
      <x:c r="AX286" s="4"/>
      <x:c r="AY286" s="4"/>
      <x:c r="AZ286" s="56"/>
      <x:c r="BA286" s="4"/>
      <x:c r="BB286" s="11" t="str">
        <x:f aca="0">""</x:f>
      </x:c>
      <x:c r="BC286" s="11" t="str">
        <x:f aca="0">""</x:f>
      </x:c>
      <x:c r="BD286" s="11" t="str">
        <x:f aca="0">""</x:f>
      </x:c>
      <x:c r="BE286" s="19" t="str">
        <x:f aca="0">""</x:f>
      </x:c>
      <x:c r="BF286" s="19" t="str">
        <x:f aca="0">""</x:f>
      </x:c>
    </x:row>
    <x:row r="287" ht="14.25" hidden="0">
      <x:c r="A287" s="3"/>
      <x:c r="B287" s="55"/>
      <x:c r="C287" s="4"/>
      <x:c r="D287" s="4"/>
      <x:c r="E287" s="4"/>
      <x:c r="F287" s="4"/>
      <x:c r="G287" s="4"/>
      <x:c r="H287" s="56"/>
      <x:c r="I287" s="4"/>
      <x:c r="J287" s="4"/>
      <x:c r="K287" s="4"/>
      <x:c r="L287" s="7"/>
      <x:c r="M287" s="7"/>
      <x:c r="N287" s="57"/>
      <x:c r="O287" s="57"/>
      <x:c r="P287" s="57"/>
      <x:c r="Q287" s="3" t="str">
        <x:f aca="0">""</x:f>
      </x:c>
      <x:c r="R287" s="4"/>
      <x:c r="S287" s="4"/>
      <x:c r="T287" s="4"/>
      <x:c r="U287" s="56"/>
      <x:c r="V287" s="4"/>
      <x:c r="W287" s="57" t="str">
        <x:f aca="0">""</x:f>
      </x:c>
      <x:c r="X287" s="57" t="str">
        <x:f aca="0">""</x:f>
      </x:c>
      <x:c r="Y287" s="57" t="str">
        <x:f aca="0">""</x:f>
      </x:c>
      <x:c r="Z287" s="58"/>
      <x:c r="AA287" s="4"/>
      <x:c r="AB287" s="54" t="str">
        <x:f aca="0">""</x:f>
      </x:c>
      <x:c r="AC287" s="54" t="str">
        <x:f aca="0">""</x:f>
      </x:c>
      <x:c r="AD287" s="7"/>
      <x:c r="AE287" s="4"/>
      <x:c r="AF287" s="4"/>
      <x:c r="AG287" s="7"/>
      <x:c r="AH287" s="12" t="str">
        <x:f aca="0">""</x:f>
      </x:c>
      <x:c r="AI287" s="12" t="str">
        <x:f aca="0">""</x:f>
      </x:c>
      <x:c r="AJ287" s="12" t="str">
        <x:f aca="0">""</x:f>
      </x:c>
      <x:c r="AK287" s="12" t="str">
        <x:f aca="0">""</x:f>
      </x:c>
      <x:c r="AL287" s="19" t="str">
        <x:f aca="0">""</x:f>
      </x:c>
      <x:c r="AM287" s="56"/>
      <x:c r="AN287" s="4"/>
      <x:c r="AO287" s="4"/>
      <x:c r="AP287" s="3" t="str">
        <x:f aca="0">""</x:f>
      </x:c>
      <x:c r="AQ287" s="3" t="str">
        <x:f aca="0">""</x:f>
      </x:c>
      <x:c r="AR287" s="3" t="str">
        <x:f aca="0">""</x:f>
      </x:c>
      <x:c r="AS287" s="3" t="str">
        <x:f aca="0">""</x:f>
      </x:c>
      <x:c r="AT287" s="3" t="str">
        <x:f aca="0">""</x:f>
      </x:c>
      <x:c r="AU287" s="54" t="str">
        <x:f aca="0">""</x:f>
      </x:c>
      <x:c r="AV287" s="12" t="str">
        <x:f aca="0">""</x:f>
      </x:c>
      <x:c r="AW287" s="4"/>
      <x:c r="AX287" s="4"/>
      <x:c r="AY287" s="4"/>
      <x:c r="AZ287" s="56"/>
      <x:c r="BA287" s="4"/>
      <x:c r="BB287" s="11" t="str">
        <x:f aca="0">""</x:f>
      </x:c>
      <x:c r="BC287" s="11" t="str">
        <x:f aca="0">""</x:f>
      </x:c>
      <x:c r="BD287" s="11" t="str">
        <x:f aca="0">""</x:f>
      </x:c>
      <x:c r="BE287" s="19" t="str">
        <x:f aca="0">""</x:f>
      </x:c>
      <x:c r="BF287" s="19" t="str">
        <x:f aca="0">""</x:f>
      </x:c>
    </x:row>
    <x:row r="288" ht="14.25" hidden="0">
      <x:c r="A288" s="3"/>
      <x:c r="B288" s="55"/>
      <x:c r="C288" s="4"/>
      <x:c r="D288" s="4"/>
      <x:c r="E288" s="4"/>
      <x:c r="F288" s="4"/>
      <x:c r="G288" s="4"/>
      <x:c r="H288" s="56"/>
      <x:c r="I288" s="4"/>
      <x:c r="J288" s="4"/>
      <x:c r="K288" s="4"/>
      <x:c r="L288" s="7"/>
      <x:c r="M288" s="7"/>
      <x:c r="N288" s="57"/>
      <x:c r="O288" s="57"/>
      <x:c r="P288" s="57"/>
      <x:c r="Q288" s="3" t="str">
        <x:f aca="0">""</x:f>
      </x:c>
      <x:c r="R288" s="4"/>
      <x:c r="S288" s="4"/>
      <x:c r="T288" s="4"/>
      <x:c r="U288" s="56"/>
      <x:c r="V288" s="4"/>
      <x:c r="W288" s="57" t="str">
        <x:f aca="0">""</x:f>
      </x:c>
      <x:c r="X288" s="57" t="str">
        <x:f aca="0">""</x:f>
      </x:c>
      <x:c r="Y288" s="57" t="str">
        <x:f aca="0">""</x:f>
      </x:c>
      <x:c r="Z288" s="58"/>
      <x:c r="AA288" s="4"/>
      <x:c r="AB288" s="54" t="str">
        <x:f aca="0">""</x:f>
      </x:c>
      <x:c r="AC288" s="54" t="str">
        <x:f aca="0">""</x:f>
      </x:c>
      <x:c r="AD288" s="7"/>
      <x:c r="AE288" s="4"/>
      <x:c r="AF288" s="4"/>
      <x:c r="AG288" s="7"/>
      <x:c r="AH288" s="12" t="str">
        <x:f aca="0">""</x:f>
      </x:c>
      <x:c r="AI288" s="12" t="str">
        <x:f aca="0">""</x:f>
      </x:c>
      <x:c r="AJ288" s="12" t="str">
        <x:f aca="0">""</x:f>
      </x:c>
      <x:c r="AK288" s="12" t="str">
        <x:f aca="0">""</x:f>
      </x:c>
      <x:c r="AL288" s="19" t="str">
        <x:f aca="0">""</x:f>
      </x:c>
      <x:c r="AM288" s="56"/>
      <x:c r="AN288" s="4"/>
      <x:c r="AO288" s="4"/>
      <x:c r="AP288" s="3" t="str">
        <x:f aca="0">""</x:f>
      </x:c>
      <x:c r="AQ288" s="3" t="str">
        <x:f aca="0">""</x:f>
      </x:c>
      <x:c r="AR288" s="3" t="str">
        <x:f aca="0">""</x:f>
      </x:c>
      <x:c r="AS288" s="3" t="str">
        <x:f aca="0">""</x:f>
      </x:c>
      <x:c r="AT288" s="3" t="str">
        <x:f aca="0">""</x:f>
      </x:c>
      <x:c r="AU288" s="54" t="str">
        <x:f aca="0">""</x:f>
      </x:c>
      <x:c r="AV288" s="12" t="str">
        <x:f aca="0">""</x:f>
      </x:c>
      <x:c r="AW288" s="4"/>
      <x:c r="AX288" s="4"/>
      <x:c r="AY288" s="4"/>
      <x:c r="AZ288" s="56"/>
      <x:c r="BA288" s="4"/>
      <x:c r="BB288" s="11" t="str">
        <x:f aca="0">""</x:f>
      </x:c>
      <x:c r="BC288" s="11" t="str">
        <x:f aca="0">""</x:f>
      </x:c>
      <x:c r="BD288" s="11" t="str">
        <x:f aca="0">""</x:f>
      </x:c>
      <x:c r="BE288" s="19" t="str">
        <x:f aca="0">""</x:f>
      </x:c>
      <x:c r="BF288" s="19" t="str">
        <x:f aca="0">""</x:f>
      </x:c>
    </x:row>
    <x:row r="289" ht="14.25" hidden="0">
      <x:c r="A289" s="3"/>
      <x:c r="B289" s="55"/>
      <x:c r="C289" s="4"/>
      <x:c r="D289" s="4"/>
      <x:c r="E289" s="4"/>
      <x:c r="F289" s="4"/>
      <x:c r="G289" s="4"/>
      <x:c r="H289" s="56"/>
      <x:c r="I289" s="4"/>
      <x:c r="J289" s="4"/>
      <x:c r="K289" s="4"/>
      <x:c r="L289" s="7"/>
      <x:c r="M289" s="7"/>
      <x:c r="N289" s="57"/>
      <x:c r="O289" s="57"/>
      <x:c r="P289" s="57"/>
      <x:c r="Q289" s="3" t="str">
        <x:f aca="0">""</x:f>
      </x:c>
      <x:c r="R289" s="4"/>
      <x:c r="S289" s="4"/>
      <x:c r="T289" s="4"/>
      <x:c r="U289" s="56"/>
      <x:c r="V289" s="4"/>
      <x:c r="W289" s="57" t="str">
        <x:f aca="0">""</x:f>
      </x:c>
      <x:c r="X289" s="57" t="str">
        <x:f aca="0">""</x:f>
      </x:c>
      <x:c r="Y289" s="57" t="str">
        <x:f aca="0">""</x:f>
      </x:c>
      <x:c r="Z289" s="58"/>
      <x:c r="AA289" s="4"/>
      <x:c r="AB289" s="54" t="str">
        <x:f aca="0">""</x:f>
      </x:c>
      <x:c r="AC289" s="54" t="str">
        <x:f aca="0">""</x:f>
      </x:c>
      <x:c r="AD289" s="7"/>
      <x:c r="AE289" s="4"/>
      <x:c r="AF289" s="4"/>
      <x:c r="AG289" s="7"/>
      <x:c r="AH289" s="12" t="str">
        <x:f aca="0">""</x:f>
      </x:c>
      <x:c r="AI289" s="12" t="str">
        <x:f aca="0">""</x:f>
      </x:c>
      <x:c r="AJ289" s="12" t="str">
        <x:f aca="0">""</x:f>
      </x:c>
      <x:c r="AK289" s="12" t="str">
        <x:f aca="0">""</x:f>
      </x:c>
      <x:c r="AL289" s="19" t="str">
        <x:f aca="0">""</x:f>
      </x:c>
      <x:c r="AM289" s="56"/>
      <x:c r="AN289" s="4"/>
      <x:c r="AO289" s="4"/>
      <x:c r="AP289" s="3" t="str">
        <x:f aca="0">""</x:f>
      </x:c>
      <x:c r="AQ289" s="3" t="str">
        <x:f aca="0">""</x:f>
      </x:c>
      <x:c r="AR289" s="3" t="str">
        <x:f aca="0">""</x:f>
      </x:c>
      <x:c r="AS289" s="3" t="str">
        <x:f aca="0">""</x:f>
      </x:c>
      <x:c r="AT289" s="3" t="str">
        <x:f aca="0">""</x:f>
      </x:c>
      <x:c r="AU289" s="54" t="str">
        <x:f aca="0">""</x:f>
      </x:c>
      <x:c r="AV289" s="12" t="str">
        <x:f aca="0">""</x:f>
      </x:c>
      <x:c r="AW289" s="4"/>
      <x:c r="AX289" s="4"/>
      <x:c r="AY289" s="4"/>
      <x:c r="AZ289" s="56"/>
      <x:c r="BA289" s="4"/>
      <x:c r="BB289" s="11" t="str">
        <x:f aca="0">""</x:f>
      </x:c>
      <x:c r="BC289" s="11" t="str">
        <x:f aca="0">""</x:f>
      </x:c>
      <x:c r="BD289" s="11" t="str">
        <x:f aca="0">""</x:f>
      </x:c>
      <x:c r="BE289" s="19" t="str">
        <x:f aca="0">""</x:f>
      </x:c>
      <x:c r="BF289" s="19" t="str">
        <x:f aca="0">""</x:f>
      </x:c>
    </x:row>
    <x:row r="290" ht="14.25" hidden="0">
      <x:c r="A290" s="3"/>
      <x:c r="B290" s="55"/>
      <x:c r="C290" s="4"/>
      <x:c r="D290" s="4"/>
      <x:c r="E290" s="4"/>
      <x:c r="F290" s="4"/>
      <x:c r="G290" s="4"/>
      <x:c r="H290" s="56"/>
      <x:c r="I290" s="4"/>
      <x:c r="J290" s="4"/>
      <x:c r="K290" s="4"/>
      <x:c r="L290" s="7"/>
      <x:c r="M290" s="7"/>
      <x:c r="N290" s="57"/>
      <x:c r="O290" s="57"/>
      <x:c r="P290" s="57"/>
      <x:c r="Q290" s="3" t="str">
        <x:f aca="0">""</x:f>
      </x:c>
      <x:c r="R290" s="4"/>
      <x:c r="S290" s="4"/>
      <x:c r="T290" s="4"/>
      <x:c r="U290" s="56"/>
      <x:c r="V290" s="4"/>
      <x:c r="W290" s="57" t="str">
        <x:f aca="0">""</x:f>
      </x:c>
      <x:c r="X290" s="57" t="str">
        <x:f aca="0">""</x:f>
      </x:c>
      <x:c r="Y290" s="57" t="str">
        <x:f aca="0">""</x:f>
      </x:c>
      <x:c r="Z290" s="58"/>
      <x:c r="AA290" s="4"/>
      <x:c r="AB290" s="54" t="str">
        <x:f aca="0">""</x:f>
      </x:c>
      <x:c r="AC290" s="54" t="str">
        <x:f aca="0">""</x:f>
      </x:c>
      <x:c r="AD290" s="7"/>
      <x:c r="AE290" s="4"/>
      <x:c r="AF290" s="4"/>
      <x:c r="AG290" s="7"/>
      <x:c r="AH290" s="12" t="str">
        <x:f aca="0">""</x:f>
      </x:c>
      <x:c r="AI290" s="12" t="str">
        <x:f aca="0">""</x:f>
      </x:c>
      <x:c r="AJ290" s="12" t="str">
        <x:f aca="0">""</x:f>
      </x:c>
      <x:c r="AK290" s="12" t="str">
        <x:f aca="0">""</x:f>
      </x:c>
      <x:c r="AL290" s="19" t="str">
        <x:f aca="0">""</x:f>
      </x:c>
      <x:c r="AM290" s="56"/>
      <x:c r="AN290" s="4"/>
      <x:c r="AO290" s="4"/>
      <x:c r="AP290" s="3" t="str">
        <x:f aca="0">""</x:f>
      </x:c>
      <x:c r="AQ290" s="3" t="str">
        <x:f aca="0">""</x:f>
      </x:c>
      <x:c r="AR290" s="3" t="str">
        <x:f aca="0">""</x:f>
      </x:c>
      <x:c r="AS290" s="3" t="str">
        <x:f aca="0">""</x:f>
      </x:c>
      <x:c r="AT290" s="3" t="str">
        <x:f aca="0">""</x:f>
      </x:c>
      <x:c r="AU290" s="54" t="str">
        <x:f aca="0">""</x:f>
      </x:c>
      <x:c r="AV290" s="12" t="str">
        <x:f aca="0">""</x:f>
      </x:c>
      <x:c r="AW290" s="4"/>
      <x:c r="AX290" s="4"/>
      <x:c r="AY290" s="4"/>
      <x:c r="AZ290" s="56"/>
      <x:c r="BA290" s="4"/>
      <x:c r="BB290" s="11" t="str">
        <x:f aca="0">""</x:f>
      </x:c>
      <x:c r="BC290" s="11" t="str">
        <x:f aca="0">""</x:f>
      </x:c>
      <x:c r="BD290" s="11" t="str">
        <x:f aca="0">""</x:f>
      </x:c>
      <x:c r="BE290" s="19" t="str">
        <x:f aca="0">""</x:f>
      </x:c>
      <x:c r="BF290" s="19" t="str">
        <x:f aca="0">""</x:f>
      </x:c>
    </x:row>
    <x:row r="291" ht="14.25" hidden="0">
      <x:c r="A291" s="3"/>
      <x:c r="B291" s="55"/>
      <x:c r="C291" s="4"/>
      <x:c r="D291" s="4"/>
      <x:c r="E291" s="4"/>
      <x:c r="F291" s="4"/>
      <x:c r="G291" s="4"/>
      <x:c r="H291" s="56"/>
      <x:c r="I291" s="4"/>
      <x:c r="J291" s="4"/>
      <x:c r="K291" s="4"/>
      <x:c r="L291" s="7"/>
      <x:c r="M291" s="7"/>
      <x:c r="N291" s="57"/>
      <x:c r="O291" s="57"/>
      <x:c r="P291" s="57"/>
      <x:c r="Q291" s="3" t="str">
        <x:f aca="0">""</x:f>
      </x:c>
      <x:c r="R291" s="4"/>
      <x:c r="S291" s="4"/>
      <x:c r="T291" s="4"/>
      <x:c r="U291" s="56"/>
      <x:c r="V291" s="4"/>
      <x:c r="W291" s="57" t="str">
        <x:f aca="0">""</x:f>
      </x:c>
      <x:c r="X291" s="57" t="str">
        <x:f aca="0">""</x:f>
      </x:c>
      <x:c r="Y291" s="57" t="str">
        <x:f aca="0">""</x:f>
      </x:c>
      <x:c r="Z291" s="58"/>
      <x:c r="AA291" s="4"/>
      <x:c r="AB291" s="54" t="str">
        <x:f aca="0">""</x:f>
      </x:c>
      <x:c r="AC291" s="54" t="str">
        <x:f aca="0">""</x:f>
      </x:c>
      <x:c r="AD291" s="7"/>
      <x:c r="AE291" s="4"/>
      <x:c r="AF291" s="4"/>
      <x:c r="AG291" s="7"/>
      <x:c r="AH291" s="12" t="str">
        <x:f aca="0">""</x:f>
      </x:c>
      <x:c r="AI291" s="12" t="str">
        <x:f aca="0">""</x:f>
      </x:c>
      <x:c r="AJ291" s="12" t="str">
        <x:f aca="0">""</x:f>
      </x:c>
      <x:c r="AK291" s="12" t="str">
        <x:f aca="0">""</x:f>
      </x:c>
      <x:c r="AL291" s="19" t="str">
        <x:f aca="0">""</x:f>
      </x:c>
      <x:c r="AM291" s="56"/>
      <x:c r="AN291" s="4"/>
      <x:c r="AO291" s="4"/>
      <x:c r="AP291" s="3" t="str">
        <x:f aca="0">""</x:f>
      </x:c>
      <x:c r="AQ291" s="3" t="str">
        <x:f aca="0">""</x:f>
      </x:c>
      <x:c r="AR291" s="3" t="str">
        <x:f aca="0">""</x:f>
      </x:c>
      <x:c r="AS291" s="3" t="str">
        <x:f aca="0">""</x:f>
      </x:c>
      <x:c r="AT291" s="3" t="str">
        <x:f aca="0">""</x:f>
      </x:c>
      <x:c r="AU291" s="54" t="str">
        <x:f aca="0">""</x:f>
      </x:c>
      <x:c r="AV291" s="12" t="str">
        <x:f aca="0">""</x:f>
      </x:c>
      <x:c r="AW291" s="4"/>
      <x:c r="AX291" s="4"/>
      <x:c r="AY291" s="4"/>
      <x:c r="AZ291" s="56"/>
      <x:c r="BA291" s="4"/>
      <x:c r="BB291" s="11" t="str">
        <x:f aca="0">""</x:f>
      </x:c>
      <x:c r="BC291" s="11" t="str">
        <x:f aca="0">""</x:f>
      </x:c>
      <x:c r="BD291" s="11" t="str">
        <x:f aca="0">""</x:f>
      </x:c>
      <x:c r="BE291" s="19" t="str">
        <x:f aca="0">""</x:f>
      </x:c>
      <x:c r="BF291" s="19" t="str">
        <x:f aca="0">""</x:f>
      </x:c>
    </x:row>
    <x:row r="292" ht="14.25" hidden="0">
      <x:c r="A292" s="3"/>
      <x:c r="B292" s="55"/>
      <x:c r="C292" s="4"/>
      <x:c r="D292" s="4"/>
      <x:c r="E292" s="4"/>
      <x:c r="F292" s="4"/>
      <x:c r="G292" s="4"/>
      <x:c r="H292" s="56"/>
      <x:c r="I292" s="4"/>
      <x:c r="J292" s="4"/>
      <x:c r="K292" s="4"/>
      <x:c r="L292" s="7"/>
      <x:c r="M292" s="7"/>
      <x:c r="N292" s="57"/>
      <x:c r="O292" s="57"/>
      <x:c r="P292" s="57"/>
      <x:c r="Q292" s="3" t="str">
        <x:f aca="0">""</x:f>
      </x:c>
      <x:c r="R292" s="4"/>
      <x:c r="S292" s="4"/>
      <x:c r="T292" s="4"/>
      <x:c r="U292" s="56"/>
      <x:c r="V292" s="4"/>
      <x:c r="W292" s="57" t="str">
        <x:f aca="0">""</x:f>
      </x:c>
      <x:c r="X292" s="57" t="str">
        <x:f aca="0">""</x:f>
      </x:c>
      <x:c r="Y292" s="57" t="str">
        <x:f aca="0">""</x:f>
      </x:c>
      <x:c r="Z292" s="58"/>
      <x:c r="AA292" s="4"/>
      <x:c r="AB292" s="54" t="str">
        <x:f aca="0">""</x:f>
      </x:c>
      <x:c r="AC292" s="54" t="str">
        <x:f aca="0">""</x:f>
      </x:c>
      <x:c r="AD292" s="7"/>
      <x:c r="AE292" s="4"/>
      <x:c r="AF292" s="4"/>
      <x:c r="AG292" s="7"/>
      <x:c r="AH292" s="12" t="str">
        <x:f aca="0">""</x:f>
      </x:c>
      <x:c r="AI292" s="12" t="str">
        <x:f aca="0">""</x:f>
      </x:c>
      <x:c r="AJ292" s="12" t="str">
        <x:f aca="0">""</x:f>
      </x:c>
      <x:c r="AK292" s="12" t="str">
        <x:f aca="0">""</x:f>
      </x:c>
      <x:c r="AL292" s="19" t="str">
        <x:f aca="0">""</x:f>
      </x:c>
      <x:c r="AM292" s="56"/>
      <x:c r="AN292" s="4"/>
      <x:c r="AO292" s="4"/>
      <x:c r="AP292" s="3" t="str">
        <x:f aca="0">""</x:f>
      </x:c>
      <x:c r="AQ292" s="3" t="str">
        <x:f aca="0">""</x:f>
      </x:c>
      <x:c r="AR292" s="3" t="str">
        <x:f aca="0">""</x:f>
      </x:c>
      <x:c r="AS292" s="3" t="str">
        <x:f aca="0">""</x:f>
      </x:c>
      <x:c r="AT292" s="3" t="str">
        <x:f aca="0">""</x:f>
      </x:c>
      <x:c r="AU292" s="54" t="str">
        <x:f aca="0">""</x:f>
      </x:c>
      <x:c r="AV292" s="12" t="str">
        <x:f aca="0">""</x:f>
      </x:c>
      <x:c r="AW292" s="4"/>
      <x:c r="AX292" s="4"/>
      <x:c r="AY292" s="4"/>
      <x:c r="AZ292" s="56"/>
      <x:c r="BA292" s="4"/>
      <x:c r="BB292" s="11" t="str">
        <x:f aca="0">""</x:f>
      </x:c>
      <x:c r="BC292" s="11" t="str">
        <x:f aca="0">""</x:f>
      </x:c>
      <x:c r="BD292" s="11" t="str">
        <x:f aca="0">""</x:f>
      </x:c>
      <x:c r="BE292" s="19" t="str">
        <x:f aca="0">""</x:f>
      </x:c>
      <x:c r="BF292" s="19" t="str">
        <x:f aca="0">""</x:f>
      </x:c>
    </x:row>
    <x:row r="293" ht="14.25" hidden="0">
      <x:c r="A293" s="3"/>
      <x:c r="B293" s="55"/>
      <x:c r="C293" s="4"/>
      <x:c r="D293" s="4"/>
      <x:c r="E293" s="4"/>
      <x:c r="F293" s="4"/>
      <x:c r="G293" s="4"/>
      <x:c r="H293" s="56"/>
      <x:c r="I293" s="4"/>
      <x:c r="J293" s="4"/>
      <x:c r="K293" s="4"/>
      <x:c r="L293" s="7"/>
      <x:c r="M293" s="7"/>
      <x:c r="N293" s="57"/>
      <x:c r="O293" s="57"/>
      <x:c r="P293" s="57"/>
      <x:c r="Q293" s="3" t="str">
        <x:f aca="0">""</x:f>
      </x:c>
      <x:c r="R293" s="4"/>
      <x:c r="S293" s="4"/>
      <x:c r="T293" s="4"/>
      <x:c r="U293" s="56"/>
      <x:c r="V293" s="4"/>
      <x:c r="W293" s="57" t="str">
        <x:f aca="0">""</x:f>
      </x:c>
      <x:c r="X293" s="57" t="str">
        <x:f aca="0">""</x:f>
      </x:c>
      <x:c r="Y293" s="57" t="str">
        <x:f aca="0">""</x:f>
      </x:c>
      <x:c r="Z293" s="58"/>
      <x:c r="AA293" s="4"/>
      <x:c r="AB293" s="54" t="str">
        <x:f aca="0">""</x:f>
      </x:c>
      <x:c r="AC293" s="54" t="str">
        <x:f aca="0">""</x:f>
      </x:c>
      <x:c r="AD293" s="7"/>
      <x:c r="AE293" s="4"/>
      <x:c r="AF293" s="4"/>
      <x:c r="AG293" s="7"/>
      <x:c r="AH293" s="12" t="str">
        <x:f aca="0">""</x:f>
      </x:c>
      <x:c r="AI293" s="12" t="str">
        <x:f aca="0">""</x:f>
      </x:c>
      <x:c r="AJ293" s="12" t="str">
        <x:f aca="0">""</x:f>
      </x:c>
      <x:c r="AK293" s="12" t="str">
        <x:f aca="0">""</x:f>
      </x:c>
      <x:c r="AL293" s="19" t="str">
        <x:f aca="0">""</x:f>
      </x:c>
      <x:c r="AM293" s="56"/>
      <x:c r="AN293" s="4"/>
      <x:c r="AO293" s="4"/>
      <x:c r="AP293" s="3" t="str">
        <x:f aca="0">""</x:f>
      </x:c>
      <x:c r="AQ293" s="3" t="str">
        <x:f aca="0">""</x:f>
      </x:c>
      <x:c r="AR293" s="3" t="str">
        <x:f aca="0">""</x:f>
      </x:c>
      <x:c r="AS293" s="3" t="str">
        <x:f aca="0">""</x:f>
      </x:c>
      <x:c r="AT293" s="3" t="str">
        <x:f aca="0">""</x:f>
      </x:c>
      <x:c r="AU293" s="54" t="str">
        <x:f aca="0">""</x:f>
      </x:c>
      <x:c r="AV293" s="12" t="str">
        <x:f aca="0">""</x:f>
      </x:c>
      <x:c r="AW293" s="4"/>
      <x:c r="AX293" s="4"/>
      <x:c r="AY293" s="4"/>
      <x:c r="AZ293" s="56"/>
      <x:c r="BA293" s="4"/>
      <x:c r="BB293" s="11" t="str">
        <x:f aca="0">""</x:f>
      </x:c>
      <x:c r="BC293" s="11" t="str">
        <x:f aca="0">""</x:f>
      </x:c>
      <x:c r="BD293" s="11" t="str">
        <x:f aca="0">""</x:f>
      </x:c>
      <x:c r="BE293" s="19" t="str">
        <x:f aca="0">""</x:f>
      </x:c>
      <x:c r="BF293" s="19" t="str">
        <x:f aca="0">""</x:f>
      </x:c>
    </x:row>
    <x:row r="294" ht="14.25" hidden="0">
      <x:c r="A294" s="3"/>
      <x:c r="B294" s="55"/>
      <x:c r="C294" s="4"/>
      <x:c r="D294" s="4"/>
      <x:c r="E294" s="4"/>
      <x:c r="F294" s="4"/>
      <x:c r="G294" s="4"/>
      <x:c r="H294" s="56"/>
      <x:c r="I294" s="4"/>
      <x:c r="J294" s="4"/>
      <x:c r="K294" s="4"/>
      <x:c r="L294" s="7"/>
      <x:c r="M294" s="7"/>
      <x:c r="N294" s="57"/>
      <x:c r="O294" s="57"/>
      <x:c r="P294" s="57"/>
      <x:c r="Q294" s="3" t="str">
        <x:f aca="0">""</x:f>
      </x:c>
      <x:c r="R294" s="4"/>
      <x:c r="S294" s="4"/>
      <x:c r="T294" s="4"/>
      <x:c r="U294" s="56"/>
      <x:c r="V294" s="4"/>
      <x:c r="W294" s="57" t="str">
        <x:f aca="0">""</x:f>
      </x:c>
      <x:c r="X294" s="57" t="str">
        <x:f aca="0">""</x:f>
      </x:c>
      <x:c r="Y294" s="57" t="str">
        <x:f aca="0">""</x:f>
      </x:c>
      <x:c r="Z294" s="58"/>
      <x:c r="AA294" s="4"/>
      <x:c r="AB294" s="54" t="str">
        <x:f aca="0">""</x:f>
      </x:c>
      <x:c r="AC294" s="54" t="str">
        <x:f aca="0">""</x:f>
      </x:c>
      <x:c r="AD294" s="7"/>
      <x:c r="AE294" s="4"/>
      <x:c r="AF294" s="4"/>
      <x:c r="AG294" s="7"/>
      <x:c r="AH294" s="12" t="str">
        <x:f aca="0">""</x:f>
      </x:c>
      <x:c r="AI294" s="12" t="str">
        <x:f aca="0">""</x:f>
      </x:c>
      <x:c r="AJ294" s="12" t="str">
        <x:f aca="0">""</x:f>
      </x:c>
      <x:c r="AK294" s="12" t="str">
        <x:f aca="0">""</x:f>
      </x:c>
      <x:c r="AL294" s="19" t="str">
        <x:f aca="0">""</x:f>
      </x:c>
      <x:c r="AM294" s="56"/>
      <x:c r="AN294" s="4"/>
      <x:c r="AO294" s="4"/>
      <x:c r="AP294" s="3" t="str">
        <x:f aca="0">""</x:f>
      </x:c>
      <x:c r="AQ294" s="3" t="str">
        <x:f aca="0">""</x:f>
      </x:c>
      <x:c r="AR294" s="3" t="str">
        <x:f aca="0">""</x:f>
      </x:c>
      <x:c r="AS294" s="3" t="str">
        <x:f aca="0">""</x:f>
      </x:c>
      <x:c r="AT294" s="3" t="str">
        <x:f aca="0">""</x:f>
      </x:c>
      <x:c r="AU294" s="54" t="str">
        <x:f aca="0">""</x:f>
      </x:c>
      <x:c r="AV294" s="12" t="str">
        <x:f aca="0">""</x:f>
      </x:c>
      <x:c r="AW294" s="4"/>
      <x:c r="AX294" s="4"/>
      <x:c r="AY294" s="4"/>
      <x:c r="AZ294" s="56"/>
      <x:c r="BA294" s="4"/>
      <x:c r="BB294" s="11" t="str">
        <x:f aca="0">""</x:f>
      </x:c>
      <x:c r="BC294" s="11" t="str">
        <x:f aca="0">""</x:f>
      </x:c>
      <x:c r="BD294" s="11" t="str">
        <x:f aca="0">""</x:f>
      </x:c>
      <x:c r="BE294" s="19" t="str">
        <x:f aca="0">""</x:f>
      </x:c>
      <x:c r="BF294" s="19" t="str">
        <x:f aca="0">""</x:f>
      </x:c>
    </x:row>
    <x:row r="295" ht="14.25" hidden="0">
      <x:c r="A295" s="3"/>
      <x:c r="B295" s="55"/>
      <x:c r="C295" s="4"/>
      <x:c r="D295" s="4"/>
      <x:c r="E295" s="4"/>
      <x:c r="F295" s="4"/>
      <x:c r="G295" s="4"/>
      <x:c r="H295" s="56"/>
      <x:c r="I295" s="4"/>
      <x:c r="J295" s="4"/>
      <x:c r="K295" s="4"/>
      <x:c r="L295" s="7"/>
      <x:c r="M295" s="7"/>
      <x:c r="N295" s="57"/>
      <x:c r="O295" s="57"/>
      <x:c r="P295" s="57"/>
      <x:c r="Q295" s="3" t="str">
        <x:f aca="0">""</x:f>
      </x:c>
      <x:c r="R295" s="4"/>
      <x:c r="S295" s="4"/>
      <x:c r="T295" s="4"/>
      <x:c r="U295" s="56"/>
      <x:c r="V295" s="4"/>
      <x:c r="W295" s="57" t="str">
        <x:f aca="0">""</x:f>
      </x:c>
      <x:c r="X295" s="57" t="str">
        <x:f aca="0">""</x:f>
      </x:c>
      <x:c r="Y295" s="57" t="str">
        <x:f aca="0">""</x:f>
      </x:c>
      <x:c r="Z295" s="58"/>
      <x:c r="AA295" s="4"/>
      <x:c r="AB295" s="54" t="str">
        <x:f aca="0">""</x:f>
      </x:c>
      <x:c r="AC295" s="54" t="str">
        <x:f aca="0">""</x:f>
      </x:c>
      <x:c r="AD295" s="7"/>
      <x:c r="AE295" s="4"/>
      <x:c r="AF295" s="4"/>
      <x:c r="AG295" s="7"/>
      <x:c r="AH295" s="12" t="str">
        <x:f aca="0">""</x:f>
      </x:c>
      <x:c r="AI295" s="12" t="str">
        <x:f aca="0">""</x:f>
      </x:c>
      <x:c r="AJ295" s="12" t="str">
        <x:f aca="0">""</x:f>
      </x:c>
      <x:c r="AK295" s="12" t="str">
        <x:f aca="0">""</x:f>
      </x:c>
      <x:c r="AL295" s="19" t="str">
        <x:f aca="0">""</x:f>
      </x:c>
      <x:c r="AM295" s="56"/>
      <x:c r="AN295" s="4"/>
      <x:c r="AO295" s="4"/>
      <x:c r="AP295" s="3" t="str">
        <x:f aca="0">""</x:f>
      </x:c>
      <x:c r="AQ295" s="3" t="str">
        <x:f aca="0">""</x:f>
      </x:c>
      <x:c r="AR295" s="3" t="str">
        <x:f aca="0">""</x:f>
      </x:c>
      <x:c r="AS295" s="3" t="str">
        <x:f aca="0">""</x:f>
      </x:c>
      <x:c r="AT295" s="3" t="str">
        <x:f aca="0">""</x:f>
      </x:c>
      <x:c r="AU295" s="54" t="str">
        <x:f aca="0">""</x:f>
      </x:c>
      <x:c r="AV295" s="12" t="str">
        <x:f aca="0">""</x:f>
      </x:c>
      <x:c r="AW295" s="4"/>
      <x:c r="AX295" s="4"/>
      <x:c r="AY295" s="4"/>
      <x:c r="AZ295" s="56"/>
      <x:c r="BA295" s="4"/>
      <x:c r="BB295" s="11" t="str">
        <x:f aca="0">""</x:f>
      </x:c>
      <x:c r="BC295" s="11" t="str">
        <x:f aca="0">""</x:f>
      </x:c>
      <x:c r="BD295" s="11" t="str">
        <x:f aca="0">""</x:f>
      </x:c>
      <x:c r="BE295" s="19" t="str">
        <x:f aca="0">""</x:f>
      </x:c>
      <x:c r="BF295" s="19" t="str">
        <x:f aca="0">""</x:f>
      </x:c>
    </x:row>
    <x:row r="296" ht="14.25" hidden="0">
      <x:c r="A296" s="3"/>
      <x:c r="B296" s="55"/>
      <x:c r="C296" s="4"/>
      <x:c r="D296" s="4"/>
      <x:c r="E296" s="4"/>
      <x:c r="F296" s="4"/>
      <x:c r="G296" s="4"/>
      <x:c r="H296" s="56"/>
      <x:c r="I296" s="4"/>
      <x:c r="J296" s="4"/>
      <x:c r="K296" s="4"/>
      <x:c r="L296" s="7"/>
      <x:c r="M296" s="7"/>
      <x:c r="N296" s="57"/>
      <x:c r="O296" s="57"/>
      <x:c r="P296" s="57"/>
      <x:c r="Q296" s="3" t="str">
        <x:f aca="0">""</x:f>
      </x:c>
      <x:c r="R296" s="4"/>
      <x:c r="S296" s="4"/>
      <x:c r="T296" s="4"/>
      <x:c r="U296" s="56"/>
      <x:c r="V296" s="4"/>
      <x:c r="W296" s="57" t="str">
        <x:f aca="0">""</x:f>
      </x:c>
      <x:c r="X296" s="57" t="str">
        <x:f aca="0">""</x:f>
      </x:c>
      <x:c r="Y296" s="57" t="str">
        <x:f aca="0">""</x:f>
      </x:c>
      <x:c r="Z296" s="58"/>
      <x:c r="AA296" s="4"/>
      <x:c r="AB296" s="54" t="str">
        <x:f aca="0">""</x:f>
      </x:c>
      <x:c r="AC296" s="54" t="str">
        <x:f aca="0">""</x:f>
      </x:c>
      <x:c r="AD296" s="7"/>
      <x:c r="AE296" s="4"/>
      <x:c r="AF296" s="4"/>
      <x:c r="AG296" s="7"/>
      <x:c r="AH296" s="12" t="str">
        <x:f aca="0">""</x:f>
      </x:c>
      <x:c r="AI296" s="12" t="str">
        <x:f aca="0">""</x:f>
      </x:c>
      <x:c r="AJ296" s="12" t="str">
        <x:f aca="0">""</x:f>
      </x:c>
      <x:c r="AK296" s="12" t="str">
        <x:f aca="0">""</x:f>
      </x:c>
      <x:c r="AL296" s="19" t="str">
        <x:f aca="0">""</x:f>
      </x:c>
      <x:c r="AM296" s="56"/>
      <x:c r="AN296" s="4"/>
      <x:c r="AO296" s="4"/>
      <x:c r="AP296" s="3" t="str">
        <x:f aca="0">""</x:f>
      </x:c>
      <x:c r="AQ296" s="3" t="str">
        <x:f aca="0">""</x:f>
      </x:c>
      <x:c r="AR296" s="3" t="str">
        <x:f aca="0">""</x:f>
      </x:c>
      <x:c r="AS296" s="3" t="str">
        <x:f aca="0">""</x:f>
      </x:c>
      <x:c r="AT296" s="3" t="str">
        <x:f aca="0">""</x:f>
      </x:c>
      <x:c r="AU296" s="54" t="str">
        <x:f aca="0">""</x:f>
      </x:c>
      <x:c r="AV296" s="12" t="str">
        <x:f aca="0">""</x:f>
      </x:c>
      <x:c r="AW296" s="4"/>
      <x:c r="AX296" s="4"/>
      <x:c r="AY296" s="4"/>
      <x:c r="AZ296" s="56"/>
      <x:c r="BA296" s="4"/>
      <x:c r="BB296" s="11" t="str">
        <x:f aca="0">""</x:f>
      </x:c>
      <x:c r="BC296" s="11" t="str">
        <x:f aca="0">""</x:f>
      </x:c>
      <x:c r="BD296" s="11" t="str">
        <x:f aca="0">""</x:f>
      </x:c>
      <x:c r="BE296" s="19" t="str">
        <x:f aca="0">""</x:f>
      </x:c>
      <x:c r="BF296" s="19" t="str">
        <x:f aca="0">""</x:f>
      </x:c>
    </x:row>
    <x:row r="297" ht="14.25" hidden="0">
      <x:c r="A297" s="3"/>
      <x:c r="B297" s="55"/>
      <x:c r="C297" s="4"/>
      <x:c r="D297" s="4"/>
      <x:c r="E297" s="4"/>
      <x:c r="F297" s="4"/>
      <x:c r="G297" s="4"/>
      <x:c r="H297" s="56"/>
      <x:c r="I297" s="4"/>
      <x:c r="J297" s="4"/>
      <x:c r="K297" s="4"/>
      <x:c r="L297" s="7"/>
      <x:c r="M297" s="7"/>
      <x:c r="N297" s="57"/>
      <x:c r="O297" s="57"/>
      <x:c r="P297" s="57"/>
      <x:c r="Q297" s="3" t="str">
        <x:f aca="0">""</x:f>
      </x:c>
      <x:c r="R297" s="4"/>
      <x:c r="S297" s="4"/>
      <x:c r="T297" s="4"/>
      <x:c r="U297" s="56"/>
      <x:c r="V297" s="4"/>
      <x:c r="W297" s="57" t="str">
        <x:f aca="0">""</x:f>
      </x:c>
      <x:c r="X297" s="57" t="str">
        <x:f aca="0">""</x:f>
      </x:c>
      <x:c r="Y297" s="57" t="str">
        <x:f aca="0">""</x:f>
      </x:c>
      <x:c r="Z297" s="58"/>
      <x:c r="AA297" s="4"/>
      <x:c r="AB297" s="54" t="str">
        <x:f aca="0">""</x:f>
      </x:c>
      <x:c r="AC297" s="54" t="str">
        <x:f aca="0">""</x:f>
      </x:c>
      <x:c r="AD297" s="7"/>
      <x:c r="AE297" s="4"/>
      <x:c r="AF297" s="4"/>
      <x:c r="AG297" s="7"/>
      <x:c r="AH297" s="12" t="str">
        <x:f aca="0">""</x:f>
      </x:c>
      <x:c r="AI297" s="12" t="str">
        <x:f aca="0">""</x:f>
      </x:c>
      <x:c r="AJ297" s="12" t="str">
        <x:f aca="0">""</x:f>
      </x:c>
      <x:c r="AK297" s="12" t="str">
        <x:f aca="0">""</x:f>
      </x:c>
      <x:c r="AL297" s="19" t="str">
        <x:f aca="0">""</x:f>
      </x:c>
      <x:c r="AM297" s="56"/>
      <x:c r="AN297" s="4"/>
      <x:c r="AO297" s="4"/>
      <x:c r="AP297" s="3" t="str">
        <x:f aca="0">""</x:f>
      </x:c>
      <x:c r="AQ297" s="3" t="str">
        <x:f aca="0">""</x:f>
      </x:c>
      <x:c r="AR297" s="3" t="str">
        <x:f aca="0">""</x:f>
      </x:c>
      <x:c r="AS297" s="3" t="str">
        <x:f aca="0">""</x:f>
      </x:c>
      <x:c r="AT297" s="3" t="str">
        <x:f aca="0">""</x:f>
      </x:c>
      <x:c r="AU297" s="54" t="str">
        <x:f aca="0">""</x:f>
      </x:c>
      <x:c r="AV297" s="12" t="str">
        <x:f aca="0">""</x:f>
      </x:c>
      <x:c r="AW297" s="4"/>
      <x:c r="AX297" s="4"/>
      <x:c r="AY297" s="4"/>
      <x:c r="AZ297" s="56"/>
      <x:c r="BA297" s="4"/>
      <x:c r="BB297" s="11" t="str">
        <x:f aca="0">""</x:f>
      </x:c>
      <x:c r="BC297" s="11" t="str">
        <x:f aca="0">""</x:f>
      </x:c>
      <x:c r="BD297" s="11" t="str">
        <x:f aca="0">""</x:f>
      </x:c>
      <x:c r="BE297" s="19" t="str">
        <x:f aca="0">""</x:f>
      </x:c>
      <x:c r="BF297" s="19" t="str">
        <x:f aca="0">""</x:f>
      </x:c>
    </x:row>
    <x:row r="298" ht="14.25" hidden="0">
      <x:c r="A298" s="3"/>
      <x:c r="B298" s="55"/>
      <x:c r="C298" s="4"/>
      <x:c r="D298" s="4"/>
      <x:c r="E298" s="4"/>
      <x:c r="F298" s="4"/>
      <x:c r="G298" s="4"/>
      <x:c r="H298" s="56"/>
      <x:c r="I298" s="4"/>
      <x:c r="J298" s="4"/>
      <x:c r="K298" s="4"/>
      <x:c r="L298" s="7"/>
      <x:c r="M298" s="7"/>
      <x:c r="N298" s="57"/>
      <x:c r="O298" s="57"/>
      <x:c r="P298" s="57"/>
      <x:c r="Q298" s="3" t="str">
        <x:f aca="0">""</x:f>
      </x:c>
      <x:c r="R298" s="4"/>
      <x:c r="S298" s="4"/>
      <x:c r="T298" s="4"/>
      <x:c r="U298" s="56"/>
      <x:c r="V298" s="4"/>
      <x:c r="W298" s="57" t="str">
        <x:f aca="0">""</x:f>
      </x:c>
      <x:c r="X298" s="57" t="str">
        <x:f aca="0">""</x:f>
      </x:c>
      <x:c r="Y298" s="57" t="str">
        <x:f aca="0">""</x:f>
      </x:c>
      <x:c r="Z298" s="58"/>
      <x:c r="AA298" s="4"/>
      <x:c r="AB298" s="54" t="str">
        <x:f aca="0">""</x:f>
      </x:c>
      <x:c r="AC298" s="54" t="str">
        <x:f aca="0">""</x:f>
      </x:c>
      <x:c r="AD298" s="7"/>
      <x:c r="AE298" s="4"/>
      <x:c r="AF298" s="4"/>
      <x:c r="AG298" s="7"/>
      <x:c r="AH298" s="12" t="str">
        <x:f aca="0">""</x:f>
      </x:c>
      <x:c r="AI298" s="12" t="str">
        <x:f aca="0">""</x:f>
      </x:c>
      <x:c r="AJ298" s="12" t="str">
        <x:f aca="0">""</x:f>
      </x:c>
      <x:c r="AK298" s="12" t="str">
        <x:f aca="0">""</x:f>
      </x:c>
      <x:c r="AL298" s="19" t="str">
        <x:f aca="0">""</x:f>
      </x:c>
      <x:c r="AM298" s="56"/>
      <x:c r="AN298" s="4"/>
      <x:c r="AO298" s="4"/>
      <x:c r="AP298" s="3" t="str">
        <x:f aca="0">""</x:f>
      </x:c>
      <x:c r="AQ298" s="3" t="str">
        <x:f aca="0">""</x:f>
      </x:c>
      <x:c r="AR298" s="3" t="str">
        <x:f aca="0">""</x:f>
      </x:c>
      <x:c r="AS298" s="3" t="str">
        <x:f aca="0">""</x:f>
      </x:c>
      <x:c r="AT298" s="3" t="str">
        <x:f aca="0">""</x:f>
      </x:c>
      <x:c r="AU298" s="54" t="str">
        <x:f aca="0">""</x:f>
      </x:c>
      <x:c r="AV298" s="12" t="str">
        <x:f aca="0">""</x:f>
      </x:c>
      <x:c r="AW298" s="4"/>
      <x:c r="AX298" s="4"/>
      <x:c r="AY298" s="4"/>
      <x:c r="AZ298" s="56"/>
      <x:c r="BA298" s="4"/>
      <x:c r="BB298" s="11" t="str">
        <x:f aca="0">""</x:f>
      </x:c>
      <x:c r="BC298" s="11" t="str">
        <x:f aca="0">""</x:f>
      </x:c>
      <x:c r="BD298" s="11" t="str">
        <x:f aca="0">""</x:f>
      </x:c>
      <x:c r="BE298" s="19" t="str">
        <x:f aca="0">""</x:f>
      </x:c>
      <x:c r="BF298" s="19" t="str">
        <x:f aca="0">""</x:f>
      </x:c>
    </x:row>
    <x:row r="299" ht="14.25" hidden="0">
      <x:c r="A299" s="3"/>
      <x:c r="B299" s="55"/>
      <x:c r="C299" s="4"/>
      <x:c r="D299" s="4"/>
      <x:c r="E299" s="4"/>
      <x:c r="F299" s="4"/>
      <x:c r="G299" s="4"/>
      <x:c r="H299" s="56"/>
      <x:c r="I299" s="4"/>
      <x:c r="J299" s="4"/>
      <x:c r="K299" s="4"/>
      <x:c r="L299" s="7"/>
      <x:c r="M299" s="7"/>
      <x:c r="N299" s="57"/>
      <x:c r="O299" s="57"/>
      <x:c r="P299" s="57"/>
      <x:c r="Q299" s="3" t="str">
        <x:f aca="0">""</x:f>
      </x:c>
      <x:c r="R299" s="4"/>
      <x:c r="S299" s="4"/>
      <x:c r="T299" s="4"/>
      <x:c r="U299" s="56"/>
      <x:c r="V299" s="4"/>
      <x:c r="W299" s="57" t="str">
        <x:f aca="0">""</x:f>
      </x:c>
      <x:c r="X299" s="57" t="str">
        <x:f aca="0">""</x:f>
      </x:c>
      <x:c r="Y299" s="57" t="str">
        <x:f aca="0">""</x:f>
      </x:c>
      <x:c r="Z299" s="58"/>
      <x:c r="AA299" s="4"/>
      <x:c r="AB299" s="54" t="str">
        <x:f aca="0">""</x:f>
      </x:c>
      <x:c r="AC299" s="54" t="str">
        <x:f aca="0">""</x:f>
      </x:c>
      <x:c r="AD299" s="7"/>
      <x:c r="AE299" s="4"/>
      <x:c r="AF299" s="4"/>
      <x:c r="AG299" s="7"/>
      <x:c r="AH299" s="12" t="str">
        <x:f aca="0">""</x:f>
      </x:c>
      <x:c r="AI299" s="12" t="str">
        <x:f aca="0">""</x:f>
      </x:c>
      <x:c r="AJ299" s="12" t="str">
        <x:f aca="0">""</x:f>
      </x:c>
      <x:c r="AK299" s="12" t="str">
        <x:f aca="0">""</x:f>
      </x:c>
      <x:c r="AL299" s="19" t="str">
        <x:f aca="0">""</x:f>
      </x:c>
      <x:c r="AM299" s="56"/>
      <x:c r="AN299" s="4"/>
      <x:c r="AO299" s="4"/>
      <x:c r="AP299" s="3" t="str">
        <x:f aca="0">""</x:f>
      </x:c>
      <x:c r="AQ299" s="3" t="str">
        <x:f aca="0">""</x:f>
      </x:c>
      <x:c r="AR299" s="3" t="str">
        <x:f aca="0">""</x:f>
      </x:c>
      <x:c r="AS299" s="3" t="str">
        <x:f aca="0">""</x:f>
      </x:c>
      <x:c r="AT299" s="3" t="str">
        <x:f aca="0">""</x:f>
      </x:c>
      <x:c r="AU299" s="54" t="str">
        <x:f aca="0">""</x:f>
      </x:c>
      <x:c r="AV299" s="12" t="str">
        <x:f aca="0">""</x:f>
      </x:c>
      <x:c r="AW299" s="4"/>
      <x:c r="AX299" s="4"/>
      <x:c r="AY299" s="4"/>
      <x:c r="AZ299" s="56"/>
      <x:c r="BA299" s="4"/>
      <x:c r="BB299" s="11" t="str">
        <x:f aca="0">""</x:f>
      </x:c>
      <x:c r="BC299" s="11" t="str">
        <x:f aca="0">""</x:f>
      </x:c>
      <x:c r="BD299" s="11" t="str">
        <x:f aca="0">""</x:f>
      </x:c>
      <x:c r="BE299" s="19" t="str">
        <x:f aca="0">""</x:f>
      </x:c>
      <x:c r="BF299" s="19" t="str">
        <x:f aca="0">""</x:f>
      </x:c>
    </x:row>
    <x:row r="300" ht="14.25" hidden="0">
      <x:c r="A300" s="3"/>
      <x:c r="B300" s="55"/>
      <x:c r="C300" s="4"/>
      <x:c r="D300" s="4"/>
      <x:c r="E300" s="4"/>
      <x:c r="F300" s="4"/>
      <x:c r="G300" s="4"/>
      <x:c r="H300" s="56"/>
      <x:c r="I300" s="4"/>
      <x:c r="J300" s="4"/>
      <x:c r="K300" s="4"/>
      <x:c r="L300" s="7"/>
      <x:c r="M300" s="7"/>
      <x:c r="N300" s="57"/>
      <x:c r="O300" s="57"/>
      <x:c r="P300" s="57"/>
      <x:c r="Q300" s="3" t="str">
        <x:f aca="0">""</x:f>
      </x:c>
      <x:c r="R300" s="4"/>
      <x:c r="S300" s="4"/>
      <x:c r="T300" s="4"/>
      <x:c r="U300" s="56"/>
      <x:c r="V300" s="4"/>
      <x:c r="W300" s="57" t="str">
        <x:f aca="0">""</x:f>
      </x:c>
      <x:c r="X300" s="57" t="str">
        <x:f aca="0">""</x:f>
      </x:c>
      <x:c r="Y300" s="57" t="str">
        <x:f aca="0">""</x:f>
      </x:c>
      <x:c r="Z300" s="58"/>
      <x:c r="AA300" s="4"/>
      <x:c r="AB300" s="54" t="str">
        <x:f aca="0">""</x:f>
      </x:c>
      <x:c r="AC300" s="54" t="str">
        <x:f aca="0">""</x:f>
      </x:c>
      <x:c r="AD300" s="7"/>
      <x:c r="AE300" s="4"/>
      <x:c r="AF300" s="4"/>
      <x:c r="AG300" s="7"/>
      <x:c r="AH300" s="12" t="str">
        <x:f aca="0">""</x:f>
      </x:c>
      <x:c r="AI300" s="12" t="str">
        <x:f aca="0">""</x:f>
      </x:c>
      <x:c r="AJ300" s="12" t="str">
        <x:f aca="0">""</x:f>
      </x:c>
      <x:c r="AK300" s="12" t="str">
        <x:f aca="0">""</x:f>
      </x:c>
      <x:c r="AL300" s="19" t="str">
        <x:f aca="0">""</x:f>
      </x:c>
      <x:c r="AM300" s="56"/>
      <x:c r="AN300" s="4"/>
      <x:c r="AO300" s="4"/>
      <x:c r="AP300" s="3" t="str">
        <x:f aca="0">""</x:f>
      </x:c>
      <x:c r="AQ300" s="3" t="str">
        <x:f aca="0">""</x:f>
      </x:c>
      <x:c r="AR300" s="3" t="str">
        <x:f aca="0">""</x:f>
      </x:c>
      <x:c r="AS300" s="3" t="str">
        <x:f aca="0">""</x:f>
      </x:c>
      <x:c r="AT300" s="3" t="str">
        <x:f aca="0">""</x:f>
      </x:c>
      <x:c r="AU300" s="54" t="str">
        <x:f aca="0">""</x:f>
      </x:c>
      <x:c r="AV300" s="12" t="str">
        <x:f aca="0">""</x:f>
      </x:c>
      <x:c r="AW300" s="4"/>
      <x:c r="AX300" s="4"/>
      <x:c r="AY300" s="4"/>
      <x:c r="AZ300" s="56"/>
      <x:c r="BA300" s="4"/>
      <x:c r="BB300" s="11" t="str">
        <x:f aca="0">""</x:f>
      </x:c>
      <x:c r="BC300" s="11" t="str">
        <x:f aca="0">""</x:f>
      </x:c>
      <x:c r="BD300" s="11" t="str">
        <x:f aca="0">""</x:f>
      </x:c>
      <x:c r="BE300" s="19" t="str">
        <x:f aca="0">""</x:f>
      </x:c>
      <x:c r="BF300" s="19" t="str">
        <x:f aca="0">""</x:f>
      </x:c>
    </x:row>
    <x:row r="301" ht="14.25" hidden="0">
      <x:c r="A301" s="3"/>
      <x:c r="B301" s="55"/>
      <x:c r="C301" s="4"/>
      <x:c r="D301" s="4"/>
      <x:c r="E301" s="4"/>
      <x:c r="F301" s="4"/>
      <x:c r="G301" s="4"/>
      <x:c r="H301" s="56"/>
      <x:c r="I301" s="4"/>
      <x:c r="J301" s="4"/>
      <x:c r="K301" s="4"/>
      <x:c r="L301" s="7"/>
      <x:c r="M301" s="7"/>
      <x:c r="N301" s="57"/>
      <x:c r="O301" s="57"/>
      <x:c r="P301" s="57"/>
      <x:c r="Q301" s="3" t="str">
        <x:f aca="0">""</x:f>
      </x:c>
      <x:c r="R301" s="4"/>
      <x:c r="S301" s="4"/>
      <x:c r="T301" s="4"/>
      <x:c r="U301" s="56"/>
      <x:c r="V301" s="4"/>
      <x:c r="W301" s="57" t="str">
        <x:f aca="0">""</x:f>
      </x:c>
      <x:c r="X301" s="57" t="str">
        <x:f aca="0">""</x:f>
      </x:c>
      <x:c r="Y301" s="57" t="str">
        <x:f aca="0">""</x:f>
      </x:c>
      <x:c r="Z301" s="58"/>
      <x:c r="AA301" s="4"/>
      <x:c r="AB301" s="54" t="str">
        <x:f aca="0">""</x:f>
      </x:c>
      <x:c r="AC301" s="54" t="str">
        <x:f aca="0">""</x:f>
      </x:c>
      <x:c r="AD301" s="7"/>
      <x:c r="AE301" s="4"/>
      <x:c r="AF301" s="4"/>
      <x:c r="AG301" s="7"/>
      <x:c r="AH301" s="12" t="str">
        <x:f aca="0">""</x:f>
      </x:c>
      <x:c r="AI301" s="12" t="str">
        <x:f aca="0">""</x:f>
      </x:c>
      <x:c r="AJ301" s="12" t="str">
        <x:f aca="0">""</x:f>
      </x:c>
      <x:c r="AK301" s="12" t="str">
        <x:f aca="0">""</x:f>
      </x:c>
      <x:c r="AL301" s="19" t="str">
        <x:f aca="0">""</x:f>
      </x:c>
      <x:c r="AM301" s="56"/>
      <x:c r="AN301" s="4"/>
      <x:c r="AO301" s="4"/>
      <x:c r="AP301" s="3" t="str">
        <x:f aca="0">""</x:f>
      </x:c>
      <x:c r="AQ301" s="3" t="str">
        <x:f aca="0">""</x:f>
      </x:c>
      <x:c r="AR301" s="3" t="str">
        <x:f aca="0">""</x:f>
      </x:c>
      <x:c r="AS301" s="3" t="str">
        <x:f aca="0">""</x:f>
      </x:c>
      <x:c r="AT301" s="3" t="str">
        <x:f aca="0">""</x:f>
      </x:c>
      <x:c r="AU301" s="54" t="str">
        <x:f aca="0">""</x:f>
      </x:c>
      <x:c r="AV301" s="12" t="str">
        <x:f aca="0">""</x:f>
      </x:c>
      <x:c r="AW301" s="4"/>
      <x:c r="AX301" s="4"/>
      <x:c r="AY301" s="4"/>
      <x:c r="AZ301" s="56"/>
      <x:c r="BA301" s="4"/>
      <x:c r="BB301" s="11" t="str">
        <x:f aca="0">""</x:f>
      </x:c>
      <x:c r="BC301" s="11" t="str">
        <x:f aca="0">""</x:f>
      </x:c>
      <x:c r="BD301" s="11" t="str">
        <x:f aca="0">""</x:f>
      </x:c>
      <x:c r="BE301" s="19" t="str">
        <x:f aca="0">""</x:f>
      </x:c>
      <x:c r="BF301" s="19" t="str">
        <x:f aca="0">""</x:f>
      </x:c>
    </x:row>
    <x:row r="302" ht="14.25" hidden="0">
      <x:c r="A302" s="3"/>
      <x:c r="B302" s="55"/>
      <x:c r="C302" s="4"/>
      <x:c r="D302" s="4"/>
      <x:c r="E302" s="4"/>
      <x:c r="F302" s="4"/>
      <x:c r="G302" s="4"/>
      <x:c r="H302" s="56"/>
      <x:c r="I302" s="4"/>
      <x:c r="J302" s="4"/>
      <x:c r="K302" s="4"/>
      <x:c r="L302" s="7"/>
      <x:c r="M302" s="7"/>
      <x:c r="N302" s="57"/>
      <x:c r="O302" s="57"/>
      <x:c r="P302" s="57"/>
      <x:c r="Q302" s="3" t="str">
        <x:f aca="0">""</x:f>
      </x:c>
      <x:c r="R302" s="4"/>
      <x:c r="S302" s="4"/>
      <x:c r="T302" s="4"/>
      <x:c r="U302" s="56"/>
      <x:c r="V302" s="4"/>
      <x:c r="W302" s="57" t="str">
        <x:f aca="0">""</x:f>
      </x:c>
      <x:c r="X302" s="57" t="str">
        <x:f aca="0">""</x:f>
      </x:c>
      <x:c r="Y302" s="57" t="str">
        <x:f aca="0">""</x:f>
      </x:c>
      <x:c r="Z302" s="58"/>
      <x:c r="AA302" s="4"/>
      <x:c r="AB302" s="54" t="str">
        <x:f aca="0">""</x:f>
      </x:c>
      <x:c r="AC302" s="54" t="str">
        <x:f aca="0">""</x:f>
      </x:c>
      <x:c r="AD302" s="7"/>
      <x:c r="AE302" s="4"/>
      <x:c r="AF302" s="4"/>
      <x:c r="AG302" s="7"/>
      <x:c r="AH302" s="12" t="str">
        <x:f aca="0">""</x:f>
      </x:c>
      <x:c r="AI302" s="12" t="str">
        <x:f aca="0">""</x:f>
      </x:c>
      <x:c r="AJ302" s="12" t="str">
        <x:f aca="0">""</x:f>
      </x:c>
      <x:c r="AK302" s="12" t="str">
        <x:f aca="0">""</x:f>
      </x:c>
      <x:c r="AL302" s="19" t="str">
        <x:f aca="0">""</x:f>
      </x:c>
      <x:c r="AM302" s="56"/>
      <x:c r="AN302" s="4"/>
      <x:c r="AO302" s="4"/>
      <x:c r="AP302" s="3" t="str">
        <x:f aca="0">""</x:f>
      </x:c>
      <x:c r="AQ302" s="3" t="str">
        <x:f aca="0">""</x:f>
      </x:c>
      <x:c r="AR302" s="3" t="str">
        <x:f aca="0">""</x:f>
      </x:c>
      <x:c r="AS302" s="3" t="str">
        <x:f aca="0">""</x:f>
      </x:c>
      <x:c r="AT302" s="3" t="str">
        <x:f aca="0">""</x:f>
      </x:c>
      <x:c r="AU302" s="54" t="str">
        <x:f aca="0">""</x:f>
      </x:c>
      <x:c r="AV302" s="12" t="str">
        <x:f aca="0">""</x:f>
      </x:c>
      <x:c r="AW302" s="4"/>
      <x:c r="AX302" s="4"/>
      <x:c r="AY302" s="4"/>
      <x:c r="AZ302" s="56"/>
      <x:c r="BA302" s="4"/>
      <x:c r="BB302" s="11" t="str">
        <x:f aca="0">""</x:f>
      </x:c>
      <x:c r="BC302" s="11" t="str">
        <x:f aca="0">""</x:f>
      </x:c>
      <x:c r="BD302" s="11" t="str">
        <x:f aca="0">""</x:f>
      </x:c>
      <x:c r="BE302" s="19" t="str">
        <x:f aca="0">""</x:f>
      </x:c>
      <x:c r="BF302" s="19" t="str">
        <x:f aca="0">""</x:f>
      </x:c>
    </x:row>
    <x:row r="303" ht="14.25" hidden="0">
      <x:c r="A303" s="3"/>
      <x:c r="B303" s="55"/>
      <x:c r="C303" s="4"/>
      <x:c r="D303" s="4"/>
      <x:c r="E303" s="4"/>
      <x:c r="F303" s="4"/>
      <x:c r="G303" s="4"/>
      <x:c r="H303" s="56"/>
      <x:c r="I303" s="4"/>
      <x:c r="J303" s="4"/>
      <x:c r="K303" s="4"/>
      <x:c r="L303" s="7"/>
      <x:c r="M303" s="7"/>
      <x:c r="N303" s="57"/>
      <x:c r="O303" s="57"/>
      <x:c r="P303" s="57"/>
      <x:c r="Q303" s="3" t="str">
        <x:f aca="0">""</x:f>
      </x:c>
      <x:c r="R303" s="4"/>
      <x:c r="S303" s="4"/>
      <x:c r="T303" s="4"/>
      <x:c r="U303" s="56"/>
      <x:c r="V303" s="4"/>
      <x:c r="W303" s="57" t="str">
        <x:f aca="0">""</x:f>
      </x:c>
      <x:c r="X303" s="57" t="str">
        <x:f aca="0">""</x:f>
      </x:c>
      <x:c r="Y303" s="57" t="str">
        <x:f aca="0">""</x:f>
      </x:c>
      <x:c r="Z303" s="58"/>
      <x:c r="AA303" s="4"/>
      <x:c r="AB303" s="54" t="str">
        <x:f aca="0">""</x:f>
      </x:c>
      <x:c r="AC303" s="54" t="str">
        <x:f aca="0">""</x:f>
      </x:c>
      <x:c r="AD303" s="7"/>
      <x:c r="AE303" s="4"/>
      <x:c r="AF303" s="4"/>
      <x:c r="AG303" s="7"/>
      <x:c r="AH303" s="12" t="str">
        <x:f aca="0">""</x:f>
      </x:c>
      <x:c r="AI303" s="12" t="str">
        <x:f aca="0">""</x:f>
      </x:c>
      <x:c r="AJ303" s="12" t="str">
        <x:f aca="0">""</x:f>
      </x:c>
      <x:c r="AK303" s="12" t="str">
        <x:f aca="0">""</x:f>
      </x:c>
      <x:c r="AL303" s="19" t="str">
        <x:f aca="0">""</x:f>
      </x:c>
      <x:c r="AM303" s="56"/>
      <x:c r="AN303" s="4"/>
      <x:c r="AO303" s="4"/>
      <x:c r="AP303" s="3" t="str">
        <x:f aca="0">""</x:f>
      </x:c>
      <x:c r="AQ303" s="3" t="str">
        <x:f aca="0">""</x:f>
      </x:c>
      <x:c r="AR303" s="3" t="str">
        <x:f aca="0">""</x:f>
      </x:c>
      <x:c r="AS303" s="3" t="str">
        <x:f aca="0">""</x:f>
      </x:c>
      <x:c r="AT303" s="3" t="str">
        <x:f aca="0">""</x:f>
      </x:c>
      <x:c r="AU303" s="54" t="str">
        <x:f aca="0">""</x:f>
      </x:c>
      <x:c r="AV303" s="12" t="str">
        <x:f aca="0">""</x:f>
      </x:c>
      <x:c r="AW303" s="4"/>
      <x:c r="AX303" s="4"/>
      <x:c r="AY303" s="4"/>
      <x:c r="AZ303" s="56"/>
      <x:c r="BA303" s="4"/>
      <x:c r="BB303" s="11" t="str">
        <x:f aca="0">""</x:f>
      </x:c>
      <x:c r="BC303" s="11" t="str">
        <x:f aca="0">""</x:f>
      </x:c>
      <x:c r="BD303" s="11" t="str">
        <x:f aca="0">""</x:f>
      </x:c>
      <x:c r="BE303" s="19" t="str">
        <x:f aca="0">""</x:f>
      </x:c>
      <x:c r="BF303" s="19" t="str">
        <x:f aca="0">""</x:f>
      </x:c>
    </x:row>
    <x:row r="304" ht="14.25" hidden="0">
      <x:c r="A304" s="3"/>
      <x:c r="B304" s="55"/>
      <x:c r="C304" s="4"/>
      <x:c r="D304" s="4"/>
      <x:c r="E304" s="4"/>
      <x:c r="F304" s="4"/>
      <x:c r="G304" s="4"/>
      <x:c r="H304" s="56"/>
      <x:c r="I304" s="4"/>
      <x:c r="J304" s="4"/>
      <x:c r="K304" s="4"/>
      <x:c r="L304" s="7"/>
      <x:c r="M304" s="7"/>
      <x:c r="N304" s="57"/>
      <x:c r="O304" s="57"/>
      <x:c r="P304" s="57"/>
      <x:c r="Q304" s="3" t="str">
        <x:f aca="0">""</x:f>
      </x:c>
      <x:c r="R304" s="4"/>
      <x:c r="S304" s="4"/>
      <x:c r="T304" s="4"/>
      <x:c r="U304" s="56"/>
      <x:c r="V304" s="4"/>
      <x:c r="W304" s="57" t="str">
        <x:f aca="0">""</x:f>
      </x:c>
      <x:c r="X304" s="57" t="str">
        <x:f aca="0">""</x:f>
      </x:c>
      <x:c r="Y304" s="57" t="str">
        <x:f aca="0">""</x:f>
      </x:c>
      <x:c r="Z304" s="58"/>
      <x:c r="AA304" s="4"/>
      <x:c r="AB304" s="54" t="str">
        <x:f aca="0">""</x:f>
      </x:c>
      <x:c r="AC304" s="54" t="str">
        <x:f aca="0">""</x:f>
      </x:c>
      <x:c r="AD304" s="7"/>
      <x:c r="AE304" s="4"/>
      <x:c r="AF304" s="4"/>
      <x:c r="AG304" s="7"/>
      <x:c r="AH304" s="12" t="str">
        <x:f aca="0">""</x:f>
      </x:c>
      <x:c r="AI304" s="12" t="str">
        <x:f aca="0">""</x:f>
      </x:c>
      <x:c r="AJ304" s="12" t="str">
        <x:f aca="0">""</x:f>
      </x:c>
      <x:c r="AK304" s="12" t="str">
        <x:f aca="0">""</x:f>
      </x:c>
      <x:c r="AL304" s="19" t="str">
        <x:f aca="0">""</x:f>
      </x:c>
      <x:c r="AM304" s="56"/>
      <x:c r="AN304" s="4"/>
      <x:c r="AO304" s="4"/>
      <x:c r="AP304" s="3" t="str">
        <x:f aca="0">""</x:f>
      </x:c>
      <x:c r="AQ304" s="3" t="str">
        <x:f aca="0">""</x:f>
      </x:c>
      <x:c r="AR304" s="3" t="str">
        <x:f aca="0">""</x:f>
      </x:c>
      <x:c r="AS304" s="3" t="str">
        <x:f aca="0">""</x:f>
      </x:c>
      <x:c r="AT304" s="3" t="str">
        <x:f aca="0">""</x:f>
      </x:c>
      <x:c r="AU304" s="54" t="str">
        <x:f aca="0">""</x:f>
      </x:c>
      <x:c r="AV304" s="12" t="str">
        <x:f aca="0">""</x:f>
      </x:c>
      <x:c r="AW304" s="4"/>
      <x:c r="AX304" s="4"/>
      <x:c r="AY304" s="4"/>
      <x:c r="AZ304" s="56"/>
      <x:c r="BA304" s="4"/>
      <x:c r="BB304" s="11" t="str">
        <x:f aca="0">""</x:f>
      </x:c>
      <x:c r="BC304" s="11" t="str">
        <x:f aca="0">""</x:f>
      </x:c>
      <x:c r="BD304" s="11" t="str">
        <x:f aca="0">""</x:f>
      </x:c>
      <x:c r="BE304" s="19" t="str">
        <x:f aca="0">""</x:f>
      </x:c>
      <x:c r="BF304" s="19" t="str">
        <x:f aca="0">""</x:f>
      </x:c>
    </x:row>
  </x:sheetData>
  <x:mergeCells>
    <x:mergeCell ref="A1:BF1"/>
    <x:mergeCell ref="A2:BF2"/>
    <x:mergeCell ref="A3:BF3"/>
  </x:mergeCells>
  <x:conditionalFormatting sqref="AL5:AL304">
    <x:cfRule type="expression" dxfId="23" priority="2" aboveAverage="0" percent="0" bottom="0" rank="0" equalAverage="0">
      <x:formula>LEFT(AL5,7)="JUCABIL"</x:formula>
    </x:cfRule>
    <x:cfRule type="expression" dxfId="24" priority="3" aboveAverage="0" percent="0" bottom="0" rank="0" equalAverage="0">
      <x:formula>ISNUMBER(SEARCH("EVITAT",AL5))</x:formula>
    </x:cfRule>
  </x:conditionalFormatting>
  <x:conditionalFormatting sqref="AT5:AT304">
    <x:cfRule type="expression" dxfId="25" priority="4" aboveAverage="0" percent="0" bottom="0" rank="0" equalAverage="0">
      <x:formula>AT5="WIN"</x:formula>
    </x:cfRule>
    <x:cfRule type="expression" dxfId="26" priority="5" aboveAverage="0" percent="0" bottom="0" rank="0" equalAverage="0">
      <x:formula>AT5="LOSS"</x:formula>
    </x:cfRule>
  </x:conditionalFormatting>
  <x:conditionalFormatting sqref="BE5:BE304">
    <x:cfRule type="expression" dxfId="27" priority="6" aboveAverage="0" percent="0" bottom="0" rank="0" equalAverage="0">
      <x:formula>LEFT(BE5,6)="NO BET"</x:formula>
    </x:cfRule>
    <x:cfRule type="expression" dxfId="28" priority="7" aboveAverage="0" percent="0" bottom="0" rank="0" equalAverage="0">
      <x:formula>BE5="PENALIZARE"</x:formula>
    </x:cfRule>
    <x:cfRule type="expression" dxfId="29" priority="8" aboveAverage="0" percent="0" bottom="0" rank="0" equalAverage="0">
      <x:formula>OR(BE5="PREFERAT",BE5="OK +4 STRICT")</x:formula>
    </x:cfRule>
  </x:conditionalFormatting>
  <x:conditionalFormatting sqref="BF5:BF304">
    <x:cfRule type="expression" dxfId="30" priority="9" aboveAverage="0" percent="0" bottom="0" rank="0" equalAverage="0">
      <x:formula>BF5="DA"</x:formula>
    </x:cfRule>
  </x:conditionalFormatting>
  <x:dataValidations count="4">
    <x:dataValidation type="list" errorStyle="stop" operator="between" allowBlank="0" showDropDown="0" showInputMessage="0" showErrorMessage="0" sqref="H88:H304">
      <x:formula1>"CONFIRMAT,NECONFIRMAT,INCERT"</x:formula1>
      <x:formula2>0</x:formula2>
    </x:dataValidation>
    <x:dataValidation type="list" errorStyle="stop" operator="between" allowBlank="0" showDropDown="0" showInputMessage="0" showErrorMessage="0" sqref="U88:U304">
      <x:formula1>"1,X,2"</x:formula1>
      <x:formula2>0</x:formula2>
    </x:dataValidation>
    <x:dataValidation type="list" errorStyle="stop" operator="between" allowBlank="0" showDropDown="0" showInputMessage="0" showErrorMessage="0" sqref="AM88:AM304">
      <x:formula1>"DA,NU"</x:formula1>
      <x:formula2>0</x:formula2>
    </x:dataValidation>
    <x:dataValidation type="list" errorStyle="stop" operator="between" allowBlank="0" showDropDown="0" showInputMessage="0" showErrorMessage="0" sqref="AZ88:AZ304">
      <x:formula1>"PRE-MECI,FINAL,ANULAT,REPROGRAMAT"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019268140414a45"/>
  </x:tableParts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4.25"/>
  <x:cols>
    <x:col min="1" max="1" width="34" hidden="0" customWidth="1"/>
    <x:col min="2" max="2" width="18" hidden="0" customWidth="1"/>
    <x:col min="3" max="3" width="42" hidden="0" customWidth="1"/>
    <x:col min="5" max="5" width="9.130000114440918" hidden="0" customWidth="1"/>
    <x:col min="6" max="6" width="6.619999885559082" hidden="0" customWidth="1"/>
    <x:col min="7" max="8" width="9.510000228881836" hidden="0" customWidth="1"/>
  </x:cols>
  <x:sheetData>
    <x:row r="1" ht="28" hidden="0" customHeight="1">
      <x:c r="A1" s="22" t="s">
        <x:v>781</x:v>
      </x:c>
      <x:c r="B1" s="22"/>
      <x:c r="C1" s="22"/>
      <x:c r="D1" s="22"/>
      <x:c r="E1" s="22"/>
      <x:c r="F1" s="22"/>
      <x:c r="G1" s="22"/>
      <x:c r="H1" s="22"/>
    </x:row>
    <x:row r="2" ht="46.25" hidden="0">
      <x:c r="A2" s="59" t="s">
        <x:v>782</x:v>
      </x:c>
      <x:c r="B2" s="59"/>
      <x:c r="C2" s="59"/>
      <x:c r="D2" s="59"/>
      <x:c r="E2" s="59"/>
      <x:c r="F2" s="59"/>
      <x:c r="G2" s="59"/>
      <x:c r="H2" s="59"/>
    </x:row>
    <x:row r="3" ht="14.25" hidden="0">
      <x:c r="A3" s="27"/>
      <x:c r="B3" s="27"/>
      <x:c r="C3" s="27"/>
      <x:c r="D3" s="59"/>
      <x:c r="E3" s="27"/>
      <x:c r="F3" s="27"/>
      <x:c r="G3" s="27"/>
      <x:c r="H3" s="27"/>
    </x:row>
    <x:row r="4" ht="32" hidden="0" customHeight="1">
      <x:c r="A4" s="17" t="s">
        <x:v>2</x:v>
      </x:c>
      <x:c r="B4" s="17" t="s">
        <x:v>130</x:v>
      </x:c>
      <x:c r="C4" s="17" t="s">
        <x:v>131</x:v>
      </x:c>
      <x:c r="D4" s="59"/>
      <x:c r="E4" s="59"/>
      <x:c r="F4" s="59"/>
      <x:c r="G4" s="59"/>
      <x:c r="H4" s="20"/>
    </x:row>
    <x:row r="5" ht="32" hidden="0" customHeight="1">
      <x:c r="A5" s="59" t="s">
        <x:v>783</x:v>
      </x:c>
      <x:c r="B5" s="151" t="n">
        <x:f aca="0">COUNTA(Frozen_Predictions!A4:A303)</x:f>
        <x:v>0</x:v>
      </x:c>
      <x:c r="C5" s="59" t="s">
        <x:v>784</x:v>
      </x:c>
      <x:c r="D5" s="59"/>
      <x:c r="E5" s="59"/>
      <x:c r="F5" s="59"/>
      <x:c r="G5" s="59"/>
      <x:c r="H5" s="20"/>
    </x:row>
    <x:row r="6" ht="32" hidden="0" customHeight="1">
      <x:c r="A6" s="59" t="s">
        <x:v>785</x:v>
      </x:c>
      <x:c r="B6" s="151" t="n">
        <x:f aca="0">COUNTIF(Frozen_Predictions!W4:W303,"PASS")</x:f>
        <x:v>0</x:v>
      </x:c>
      <x:c r="C6" s="59" t="s">
        <x:v>786</x:v>
      </x:c>
      <x:c r="D6" s="59"/>
      <x:c r="E6" s="59"/>
      <x:c r="F6" s="59"/>
      <x:c r="G6" s="59"/>
      <x:c r="H6" s="20"/>
    </x:row>
    <x:row r="7" ht="32" hidden="0" customHeight="1">
      <x:c r="A7" s="59" t="s">
        <x:v>787</x:v>
      </x:c>
      <x:c r="B7" s="151" t="n">
        <x:f aca="0">COUNTIF(Frozen_Predictions!M4:M303,1)</x:f>
        <x:v>0</x:v>
      </x:c>
      <x:c r="C7" s="59" t="s">
        <x:v>788</x:v>
      </x:c>
      <x:c r="D7" s="59"/>
      <x:c r="E7" s="59"/>
      <x:c r="F7" s="59"/>
      <x:c r="G7" s="59"/>
      <x:c r="H7" s="20"/>
    </x:row>
    <x:row r="8" ht="32" hidden="0" customHeight="1">
      <x:c r="A8" s="59" t="s">
        <x:v>789</x:v>
      </x:c>
      <x:c r="B8" s="151" t="n">
        <x:f aca="0">COUNTIF(Frozen_Predictions!M4:M303,2)</x:f>
        <x:v>0</x:v>
      </x:c>
      <x:c r="C8" s="59" t="s">
        <x:v>790</x:v>
      </x:c>
      <x:c r="D8" s="59"/>
      <x:c r="E8" s="59"/>
      <x:c r="F8" s="59"/>
      <x:c r="G8" s="59"/>
      <x:c r="H8" s="59"/>
    </x:row>
    <x:row r="9" ht="32" hidden="0" customHeight="1">
      <x:c r="A9" s="59" t="s">
        <x:v>791</x:v>
      </x:c>
      <x:c r="B9" s="151" t="n">
        <x:f aca="0">COUNTIF(Frozen_Predictions!M4:M303,3)</x:f>
        <x:v>0</x:v>
      </x:c>
      <x:c r="C9" s="59" t="s">
        <x:v>792</x:v>
      </x:c>
      <x:c r="D9" s="59"/>
      <x:c r="E9" s="59"/>
      <x:c r="F9" s="59"/>
      <x:c r="G9" s="59"/>
      <x:c r="H9" s="59"/>
    </x:row>
    <x:row r="10" ht="32" hidden="0" customHeight="1">
      <x:c r="A10" s="59" t="s">
        <x:v>793</x:v>
      </x:c>
      <x:c r="B10" s="151" t="n">
        <x:f aca="0">COUNTIF(Frozen_Predictions!M4:M303,4)</x:f>
        <x:v>0</x:v>
      </x:c>
      <x:c r="C10" s="59" t="s">
        <x:v>794</x:v>
      </x:c>
      <x:c r="D10" s="59"/>
      <x:c r="E10" s="59"/>
      <x:c r="F10" s="59"/>
      <x:c r="G10" s="59"/>
      <x:c r="H10" s="59"/>
    </x:row>
    <x:row r="11" ht="32" hidden="0" customHeight="1">
      <x:c r="A11" s="59" t="s">
        <x:v>795</x:v>
      </x:c>
      <x:c r="B11" s="151" t="n">
        <x:f aca="0">COUNTIF(Frozen_Predictions!M4:M303,5)</x:f>
        <x:v>0</x:v>
      </x:c>
      <x:c r="C11" s="59" t="s">
        <x:v>796</x:v>
      </x:c>
      <x:c r="D11" s="59"/>
      <x:c r="E11" s="59"/>
      <x:c r="F11" s="59"/>
      <x:c r="G11" s="59"/>
      <x:c r="H11" s="59"/>
    </x:row>
    <x:row r="12" ht="32" hidden="0" customHeight="1">
      <x:c r="A12" s="59" t="s">
        <x:v>797</x:v>
      </x:c>
      <x:c r="B12" s="59" t="s">
        <x:v>107</x:v>
      </x:c>
      <x:c r="C12" s="59" t="s">
        <x:v>798</x:v>
      </x:c>
      <x:c r="D12" s="59"/>
      <x:c r="E12" s="59"/>
      <x:c r="F12" s="59"/>
      <x:c r="G12" s="59"/>
      <x:c r="H12" s="59"/>
    </x:row>
    <x:row r="13" ht="32" hidden="0" customHeight="1">
      <x:c r="A13" s="59"/>
      <x:c r="B13" s="20"/>
      <x:c r="C13" s="59"/>
      <x:c r="D13" s="59"/>
      <x:c r="E13" s="59"/>
      <x:c r="F13" s="59"/>
      <x:c r="G13" s="59"/>
      <x:c r="H13" s="59"/>
    </x:row>
    <x:row r="14" ht="32" hidden="0" customHeight="1">
      <x:c r="A14" s="17" t="s">
        <x:v>799</x:v>
      </x:c>
      <x:c r="B14" s="17" t="s">
        <x:v>212</x:v>
      </x:c>
      <x:c r="C14" s="17" t="s">
        <x:v>269</x:v>
      </x:c>
      <x:c r="D14" s="59"/>
      <x:c r="E14" s="59"/>
      <x:c r="F14" s="59"/>
      <x:c r="G14" s="59"/>
      <x:c r="H14" s="59"/>
    </x:row>
    <x:row r="15" ht="32" hidden="0" customHeight="1">
      <x:c r="A15" s="59" t="s">
        <x:v>800</x:v>
      </x:c>
      <x:c r="B15" s="20" t="s">
        <x:v>107</x:v>
      </x:c>
      <x:c r="C15" s="59" t="s">
        <x:v>801</x:v>
      </x:c>
      <x:c r="D15" s="59"/>
      <x:c r="E15" s="59"/>
      <x:c r="F15" s="59"/>
      <x:c r="G15" s="59"/>
      <x:c r="H15" s="59"/>
    </x:row>
    <x:row r="16" ht="32" hidden="0" customHeight="1">
      <x:c r="A16" s="59" t="s">
        <x:v>802</x:v>
      </x:c>
      <x:c r="B16" s="59" t="s">
        <x:v>107</x:v>
      </x:c>
      <x:c r="C16" s="59" t="s">
        <x:v>803</x:v>
      </x:c>
      <x:c r="D16" s="59"/>
      <x:c r="E16" s="59"/>
      <x:c r="F16" s="59"/>
      <x:c r="G16" s="59"/>
      <x:c r="H16" s="59"/>
    </x:row>
    <x:row r="17" ht="32" hidden="0" customHeight="1">
      <x:c r="A17" s="59" t="s">
        <x:v>804</x:v>
      </x:c>
      <x:c r="B17" s="20" t="s">
        <x:v>102</x:v>
      </x:c>
      <x:c r="C17" s="59" t="s">
        <x:v>242</x:v>
      </x:c>
      <x:c r="D17" s="59"/>
      <x:c r="E17" s="59"/>
      <x:c r="F17" s="59"/>
      <x:c r="G17" s="59"/>
      <x:c r="H17" s="59"/>
    </x:row>
    <x:row r="18" ht="32" hidden="0" customHeight="1">
      <x:c r="A18" s="59" t="s">
        <x:v>805</x:v>
      </x:c>
      <x:c r="B18" s="59" t="s">
        <x:v>102</x:v>
      </x:c>
      <x:c r="C18" s="59" t="s">
        <x:v>806</x:v>
      </x:c>
      <x:c r="D18" s="59"/>
      <x:c r="E18" s="59"/>
      <x:c r="F18" s="59"/>
      <x:c r="G18" s="59"/>
      <x:c r="H18" s="59"/>
    </x:row>
    <x:row r="19" ht="32" hidden="0" customHeight="1">
      <x:c r="A19" s="3"/>
      <x:c r="B19" s="3"/>
      <x:c r="C19" s="3"/>
      <x:c r="D19" s="3"/>
      <x:c r="E19" s="3"/>
      <x:c r="F19" s="3"/>
      <x:c r="G19" s="3"/>
      <x:c r="H19" s="3"/>
    </x:row>
    <x:row r="20" ht="32" hidden="0" customHeight="1">
      <x:c r="A20" s="2" t="str">
        <x:v>Rezultate tehnice ale snapshoturilor eligibile</x:v>
      </x:c>
      <x:c r="B20" s="2"/>
      <x:c r="C20" s="2"/>
      <x:c r="D20" s="3"/>
      <x:c r="E20" s="3"/>
      <x:c r="F20" s="3"/>
      <x:c r="G20" s="3"/>
      <x:c r="H20" s="3"/>
    </x:row>
    <x:row r="21" ht="32" hidden="0" customHeight="1">
      <x:c r="A21" s="3" t="str">
        <x:v>Selecții Nivel 1–4 încheiate</x:v>
      </x:c>
      <x:c r="B21" s="151" t="n">
        <x:f>COUNTIFS(Settlement!T4:T303,"&gt;=1",Settlement!T4:T303,"&lt;=4",Settlement!J4:J303,"&gt;=0")</x:f>
        <x:v>0</x:v>
      </x:c>
      <x:c r="C21" s="3"/>
      <x:c r="D21" s="3"/>
      <x:c r="E21" s="3"/>
      <x:c r="F21" s="3"/>
      <x:c r="G21" s="3"/>
      <x:c r="H21" s="3"/>
    </x:row>
    <x:row r="22" ht="32" hidden="0" customHeight="1">
      <x:c r="A22" s="3" t="str">
        <x:v>Câștigate</x:v>
      </x:c>
      <x:c r="B22" s="151" t="n">
        <x:f>COUNTIFS(Settlement!T4:T303,"&gt;=1",Settlement!T4:T303,"&lt;=4",Settlement!J4:J303,1)</x:f>
        <x:v>0</x:v>
      </x:c>
      <x:c r="C22" s="3"/>
      <x:c r="D22" s="3"/>
      <x:c r="E22" s="3"/>
      <x:c r="F22" s="3"/>
      <x:c r="G22" s="3"/>
      <x:c r="H22" s="3"/>
    </x:row>
    <x:row r="23" ht="32" hidden="0" customHeight="1">
      <x:c r="A23" s="3" t="str">
        <x:v>Rata de succes</x:v>
      </x:c>
      <x:c r="B23" s="145" t="str">
        <x:f>IF(B21&gt;0,B22/B21,"")</x:f>
      </x:c>
      <x:c r="C23" s="3"/>
      <x:c r="D23" s="3"/>
      <x:c r="E23" s="3"/>
      <x:c r="F23" s="3"/>
      <x:c r="G23" s="3"/>
      <x:c r="H23" s="3"/>
    </x:row>
    <x:row r="24" ht="14.25" hidden="0">
      <x:c r="A24" s="3"/>
      <x:c r="B24" s="3"/>
      <x:c r="C24" s="3"/>
      <x:c r="D24" s="3"/>
      <x:c r="E24" s="3"/>
      <x:c r="F24" s="3"/>
      <x:c r="G24" s="3"/>
      <x:c r="H24" s="3"/>
    </x:row>
    <x:row r="25" ht="14.25" hidden="0">
      <x:c r="A25" s="3"/>
      <x:c r="B25" s="12"/>
      <x:c r="C25" s="3"/>
      <x:c r="D25" s="3"/>
      <x:c r="E25" s="3"/>
      <x:c r="F25" s="3"/>
      <x:c r="G25" s="3"/>
      <x:c r="H25" s="3"/>
    </x:row>
    <x:row r="26" ht="14.25" hidden="0">
      <x:c r="A26" s="3"/>
      <x:c r="B26" s="3"/>
      <x:c r="C26" s="3"/>
      <x:c r="D26" s="3"/>
      <x:c r="E26" s="3"/>
      <x:c r="F26" s="3"/>
      <x:c r="G26" s="3"/>
      <x:c r="H26" s="3"/>
    </x:row>
    <x:row r="28" ht="16.700000762939453" hidden="0" customHeight="1">
      <x:c r="A28" s="60"/>
      <x:c r="B28" s="60"/>
      <x:c r="C28" s="60"/>
      <x:c r="D28" s="60"/>
      <x:c r="E28" s="60"/>
      <x:c r="F28" s="60"/>
      <x:c r="G28" s="60"/>
      <x:c r="H28" s="60"/>
    </x:row>
    <x:row r="29" ht="14.25" hidden="0" customHeight="1">
      <x:c r="A29" s="2"/>
      <x:c r="B29" s="2"/>
      <x:c r="C29" s="2"/>
    </x:row>
    <x:row r="30" ht="14.25" hidden="0" customHeight="1">
      <x:c r="A30" s="3"/>
      <x:c r="B30" s="3"/>
      <x:c r="C30" s="3"/>
    </x:row>
    <x:row r="31" ht="26.450000762939453" hidden="0" customHeight="1">
      <x:c r="A31" s="3"/>
      <x:c r="B31" s="3"/>
      <x:c r="C31" s="3"/>
    </x:row>
    <x:row r="32" ht="14.25" hidden="0" customHeight="1">
      <x:c r="A32" s="3"/>
      <x:c r="B32" s="12"/>
      <x:c r="C32" s="3"/>
    </x:row>
    <x:row r="33" ht="14.25" hidden="0" customHeight="1">
      <x:c r="A33" s="3"/>
      <x:c r="B33" s="3"/>
      <x:c r="C33" s="3"/>
    </x:row>
    <x:row r="34" ht="14.25" hidden="0" customHeight="1">
      <x:c r="A34" s="3"/>
      <x:c r="B34" s="3"/>
      <x:c r="C34" s="3"/>
    </x:row>
    <x:row r="35" ht="26.450000762939453" hidden="0" customHeight="1">
      <x:c r="A35" s="3"/>
      <x:c r="B35" s="12"/>
      <x:c r="C35" s="3"/>
    </x:row>
    <x:row r="36" ht="26.450000762939453" hidden="0" customHeight="1">
      <x:c r="A36" s="3"/>
      <x:c r="B36" s="3"/>
      <x:c r="C36" s="3"/>
    </x:row>
  </x:sheetData>
  <x:mergeCells>
    <x:mergeCell ref="A1:H1"/>
    <x:mergeCell ref="A28:H2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5" hidden="0" customWidth="1"/>
    <x:col min="2" max="3" width="16" hidden="0" customWidth="1"/>
    <x:col min="4" max="5" width="31" hidden="0" customWidth="1"/>
    <x:col min="6" max="11" width="17" hidden="0" customWidth="1"/>
  </x:cols>
  <x:sheetData>
    <x:row r="1" ht="32" hidden="0" customHeight="1">
      <x:c r="A1" s="116" t="str">
        <x:v>HANDICAP EUROPEAN – RISK SCORE AUTOMAT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</x:row>
    <x:row r="2" ht="15" hidden="0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 ht="32" hidden="0" customHeight="1">
      <x:c r="A3" s="17" t="s">
        <x:v>113</x:v>
      </x:c>
      <x:c r="B3" s="17" t="s">
        <x:v>115</x:v>
      </x:c>
      <x:c r="C3" s="17" t="s">
        <x:v>807</x:v>
      </x:c>
      <x:c r="D3" s="17" t="s">
        <x:v>808</x:v>
      </x:c>
      <x:c r="E3" s="17" t="s">
        <x:v>809</x:v>
      </x:c>
      <x:c r="F3" s="23"/>
      <x:c r="G3" s="23"/>
      <x:c r="H3" s="23"/>
      <x:c r="I3" s="23"/>
      <x:c r="J3" s="23"/>
      <x:c r="K3" s="23"/>
    </x:row>
    <x:row r="4" ht="54" hidden="0" customHeight="1">
      <x:c r="A4" s="23" t="s">
        <x:v>810</x:v>
      </x:c>
      <x:c r="B4" s="37" t="n">
        <x:v>0.25</x:v>
      </x:c>
      <x:c r="C4" s="23"/>
      <x:c r="D4" s="23" t="s">
        <x:v>811</x:v>
      </x:c>
      <x:c r="E4" s="23" t="s">
        <x:v>812</x:v>
      </x:c>
      <x:c r="F4" s="23"/>
      <x:c r="G4" s="23"/>
      <x:c r="H4" s="23"/>
      <x:c r="I4" s="23"/>
      <x:c r="J4" s="23"/>
      <x:c r="K4" s="23"/>
    </x:row>
    <x:row r="5" ht="54" hidden="0" customHeight="1">
      <x:c r="A5" s="23" t="s">
        <x:v>813</x:v>
      </x:c>
      <x:c r="B5" s="37" t="n">
        <x:v>0.3</x:v>
      </x:c>
      <x:c r="C5" s="23"/>
      <x:c r="D5" s="23" t="str">
        <x:v>Probabilitatea totală de eșec a selecției: suma celorlalte două rezultate.</x:v>
      </x:c>
      <x:c r="E5" s="23" t="str">
        <x:v>include exact-margin și tail, fără dublare</x:v>
      </x:c>
      <x:c r="F5" s="23"/>
      <x:c r="G5" s="23"/>
      <x:c r="H5" s="23"/>
      <x:c r="I5" s="23"/>
      <x:c r="J5" s="23"/>
      <x:c r="K5" s="23"/>
    </x:row>
    <x:row r="6" ht="54" hidden="0" customHeight="1">
      <x:c r="A6" s="23" t="s">
        <x:v>814</x:v>
      </x:c>
      <x:c r="B6" s="37" t="n">
        <x:v>0.15</x:v>
      </x:c>
      <x:c r="C6" s="23"/>
      <x:c r="D6" s="23" t="s">
        <x:v>815</x:v>
      </x:c>
      <x:c r="E6" s="23" t="s">
        <x:v>238</x:v>
      </x:c>
      <x:c r="F6" s="23"/>
      <x:c r="G6" s="23"/>
      <x:c r="H6" s="23"/>
      <x:c r="I6" s="23"/>
      <x:c r="J6" s="23"/>
      <x:c r="K6" s="23"/>
    </x:row>
    <x:row r="7" ht="54" hidden="0" customHeight="1">
      <x:c r="A7" s="23" t="s">
        <x:v>816</x:v>
      </x:c>
      <x:c r="B7" s="37" t="n">
        <x:v>0.15</x:v>
      </x:c>
      <x:c r="C7" s="23"/>
      <x:c r="D7" s="23" t="s">
        <x:v>817</x:v>
      </x:c>
      <x:c r="E7" s="23" t="s">
        <x:v>818</x:v>
      </x:c>
      <x:c r="F7" s="23"/>
      <x:c r="G7" s="23"/>
      <x:c r="H7" s="23"/>
      <x:c r="I7" s="23"/>
      <x:c r="J7" s="23"/>
      <x:c r="K7" s="23"/>
    </x:row>
    <x:row r="8" ht="54" hidden="0" customHeight="1">
      <x:c r="A8" s="23" t="s">
        <x:v>819</x:v>
      </x:c>
      <x:c r="B8" s="37" t="n">
        <x:v>0.1</x:v>
      </x:c>
      <x:c r="C8" s="23"/>
      <x:c r="D8" s="23" t="s">
        <x:v>820</x:v>
      </x:c>
      <x:c r="E8" s="23" t="s">
        <x:v>821</x:v>
      </x:c>
      <x:c r="F8" s="23"/>
      <x:c r="G8" s="23"/>
      <x:c r="H8" s="23"/>
      <x:c r="I8" s="23"/>
      <x:c r="J8" s="23"/>
      <x:c r="K8" s="23"/>
    </x:row>
    <x:row r="9" ht="54" hidden="0" customHeight="1">
      <x:c r="A9" s="23" t="s">
        <x:v>822</x:v>
      </x:c>
      <x:c r="B9" s="37" t="n">
        <x:v>0</x:v>
      </x:c>
      <x:c r="C9" s="23"/>
      <x:c r="D9" s="23" t="s">
        <x:v>823</x:v>
      </x:c>
      <x:c r="E9" s="23" t="s">
        <x:v>824</x:v>
      </x:c>
      <x:c r="F9" s="23"/>
      <x:c r="G9" s="23"/>
      <x:c r="H9" s="23"/>
      <x:c r="I9" s="23"/>
      <x:c r="J9" s="23"/>
      <x:c r="K9" s="23"/>
    </x:row>
    <x:row r="10" ht="54" hidden="0" customHeight="1">
      <x:c r="A10" s="23" t="s">
        <x:v>825</x:v>
      </x:c>
      <x:c r="B10" s="37" t="n">
        <x:v>0.05</x:v>
      </x:c>
      <x:c r="C10" s="23"/>
      <x:c r="D10" s="23" t="s">
        <x:v>826</x:v>
      </x:c>
      <x:c r="E10" s="23" t="s">
        <x:v>827</x:v>
      </x:c>
      <x:c r="F10" s="23"/>
      <x:c r="G10" s="23"/>
      <x:c r="H10" s="23"/>
      <x:c r="I10" s="23"/>
      <x:c r="J10" s="23"/>
      <x:c r="K10" s="23"/>
    </x:row>
    <x:row r="11" ht="32" hidden="0" customHeight="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</x:row>
    <x:row r="12" ht="32" hidden="0" customHeight="1">
      <x:c r="A12" s="17" t="s">
        <x:v>252</x:v>
      </x:c>
      <x:c r="B12" s="17" t="s">
        <x:v>828</x:v>
      </x:c>
      <x:c r="C12" s="17" t="s">
        <x:v>829</x:v>
      </x:c>
      <x:c r="D12" s="17" t="s">
        <x:v>269</x:v>
      </x:c>
      <x:c r="E12" s="23"/>
      <x:c r="F12" s="23"/>
      <x:c r="G12" s="23"/>
      <x:c r="H12" s="23"/>
      <x:c r="I12" s="23"/>
      <x:c r="J12" s="23"/>
      <x:c r="K12" s="23"/>
    </x:row>
    <x:row r="13" ht="32" hidden="0" customHeight="1">
      <x:c r="A13" s="23" t="s">
        <x:v>830</x:v>
      </x:c>
      <x:c r="B13" s="23" t="n">
        <x:v>1</x:v>
      </x:c>
      <x:c r="C13" s="23" t="s">
        <x:v>831</x:v>
      </x:c>
      <x:c r="D13" s="23" t="s">
        <x:v>832</x:v>
      </x:c>
      <x:c r="E13" s="23"/>
      <x:c r="F13" s="23"/>
      <x:c r="G13" s="23"/>
      <x:c r="H13" s="23"/>
      <x:c r="I13" s="23"/>
      <x:c r="J13" s="23"/>
      <x:c r="K13" s="23"/>
    </x:row>
    <x:row r="14" ht="32" hidden="0" customHeight="1">
      <x:c r="A14" s="23" t="s">
        <x:v>833</x:v>
      </x:c>
      <x:c r="B14" s="23" t="n">
        <x:v>2</x:v>
      </x:c>
      <x:c r="C14" s="23" t="s">
        <x:v>834</x:v>
      </x:c>
      <x:c r="D14" s="23" t="s">
        <x:v>790</x:v>
      </x:c>
      <x:c r="E14" s="23"/>
      <x:c r="F14" s="23"/>
      <x:c r="G14" s="23"/>
      <x:c r="H14" s="23"/>
      <x:c r="I14" s="23"/>
      <x:c r="J14" s="23"/>
      <x:c r="K14" s="23"/>
    </x:row>
    <x:row r="15" ht="32" hidden="0" customHeight="1">
      <x:c r="A15" s="23" t="s">
        <x:v>835</x:v>
      </x:c>
      <x:c r="B15" s="23" t="n">
        <x:v>3</x:v>
      </x:c>
      <x:c r="C15" s="23" t="s">
        <x:v>836</x:v>
      </x:c>
      <x:c r="D15" s="23" t="s">
        <x:v>837</x:v>
      </x:c>
      <x:c r="E15" s="23"/>
      <x:c r="F15" s="23"/>
      <x:c r="G15" s="23"/>
      <x:c r="H15" s="23"/>
      <x:c r="I15" s="23"/>
      <x:c r="J15" s="23"/>
      <x:c r="K15" s="23"/>
    </x:row>
    <x:row r="16" ht="32" hidden="0" customHeight="1">
      <x:c r="A16" s="23" t="s">
        <x:v>838</x:v>
      </x:c>
      <x:c r="B16" s="23" t="n">
        <x:v>4</x:v>
      </x:c>
      <x:c r="C16" s="23" t="s">
        <x:v>839</x:v>
      </x:c>
      <x:c r="D16" s="23" t="s">
        <x:v>840</x:v>
      </x:c>
      <x:c r="E16" s="23"/>
      <x:c r="F16" s="23"/>
      <x:c r="G16" s="23"/>
      <x:c r="H16" s="23"/>
      <x:c r="I16" s="23"/>
      <x:c r="J16" s="23"/>
      <x:c r="K16" s="23"/>
    </x:row>
    <x:row r="17" ht="32" hidden="0" customHeight="1">
      <x:c r="A17" s="23" t="s">
        <x:v>841</x:v>
      </x:c>
      <x:c r="B17" s="23" t="n">
        <x:v>5</x:v>
      </x:c>
      <x:c r="C17" s="23" t="s">
        <x:v>842</x:v>
      </x:c>
      <x:c r="D17" s="23" t="s">
        <x:v>843</x:v>
      </x:c>
      <x:c r="E17" s="23"/>
      <x:c r="F17" s="23"/>
      <x:c r="G17" s="23"/>
      <x:c r="H17" s="23"/>
      <x:c r="I17" s="23"/>
      <x:c r="J17" s="23"/>
      <x:c r="K17" s="23"/>
    </x:row>
    <x:row r="18" ht="32" hidden="0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  <x:row r="19" ht="32" hidden="0" customHeight="1">
      <x:c r="A19" s="17" t="s">
        <x:v>844</x:v>
      </x:c>
      <x:c r="B19" s="17" t="s">
        <x:v>130</x:v>
      </x:c>
      <x:c r="C19" s="17" t="s">
        <x:v>210</x:v>
      </x:c>
      <x:c r="D19" s="17" t="s">
        <x:v>281</x:v>
      </x:c>
      <x:c r="E19" s="23"/>
      <x:c r="F19" s="23"/>
      <x:c r="G19" s="23"/>
      <x:c r="H19" s="23"/>
      <x:c r="I19" s="23"/>
      <x:c r="J19" s="23"/>
      <x:c r="K19" s="23"/>
    </x:row>
    <x:row r="20" ht="32" hidden="0" customHeight="1">
      <x:c r="A20" s="23" t="s">
        <x:v>845</x:v>
      </x:c>
      <x:c r="B20" s="23" t="s">
        <x:v>846</x:v>
      </x:c>
      <x:c r="C20" s="23" t="s">
        <x:v>237</x:v>
      </x:c>
      <x:c r="D20" s="23" t="s">
        <x:v>847</x:v>
      </x:c>
      <x:c r="E20" s="23"/>
      <x:c r="F20" s="23"/>
      <x:c r="G20" s="23"/>
      <x:c r="H20" s="23"/>
      <x:c r="I20" s="23"/>
      <x:c r="J20" s="23"/>
      <x:c r="K20" s="23"/>
    </x:row>
    <x:row r="21" ht="32" hidden="0" customHeight="1">
      <x:c r="A21" s="23" t="s">
        <x:v>848</x:v>
      </x:c>
      <x:c r="B21" s="23" t="s">
        <x:v>849</x:v>
      </x:c>
      <x:c r="C21" s="23" t="s">
        <x:v>237</x:v>
      </x:c>
      <x:c r="D21" s="23" t="s">
        <x:v>850</x:v>
      </x:c>
      <x:c r="E21" s="23"/>
      <x:c r="F21" s="23"/>
      <x:c r="G21" s="23"/>
      <x:c r="H21" s="23"/>
      <x:c r="I21" s="23"/>
      <x:c r="J21" s="23"/>
      <x:c r="K21" s="23"/>
    </x:row>
    <x:row r="22" ht="32" hidden="0" customHeight="1">
      <x:c r="A22" s="23" t="s">
        <x:v>238</x:v>
      </x:c>
      <x:c r="B22" s="23" t="s">
        <x:v>851</x:v>
      </x:c>
      <x:c r="C22" s="23" t="s">
        <x:v>240</x:v>
      </x:c>
      <x:c r="D22" s="23" t="s">
        <x:v>330</x:v>
      </x:c>
      <x:c r="E22" s="23"/>
      <x:c r="F22" s="23"/>
      <x:c r="G22" s="23"/>
      <x:c r="H22" s="23"/>
      <x:c r="I22" s="23"/>
      <x:c r="J22" s="23"/>
      <x:c r="K22" s="23"/>
    </x:row>
    <x:row r="23" ht="32" hidden="0" customHeight="1">
      <x:c r="A23" s="23" t="s">
        <x:v>241</x:v>
      </x:c>
      <x:c r="B23" s="23" t="s">
        <x:v>242</x:v>
      </x:c>
      <x:c r="C23" s="23" t="s">
        <x:v>243</x:v>
      </x:c>
      <x:c r="D23" s="23" t="s">
        <x:v>852</x:v>
      </x:c>
      <x:c r="E23" s="23"/>
      <x:c r="F23" s="23"/>
      <x:c r="G23" s="23"/>
      <x:c r="H23" s="23"/>
      <x:c r="I23" s="23"/>
      <x:c r="J23" s="23"/>
      <x:c r="K23" s="23"/>
    </x:row>
    <x:row r="24" ht="32" hidden="0" customHeight="1">
      <x:c r="A24" s="23" t="s">
        <x:v>277</x:v>
      </x:c>
      <x:c r="B24" s="23" t="s">
        <x:v>853</x:v>
      </x:c>
      <x:c r="C24" s="23" t="s">
        <x:v>854</x:v>
      </x:c>
      <x:c r="D24" s="23" t="s">
        <x:v>855</x:v>
      </x:c>
      <x:c r="E24" s="23"/>
      <x:c r="F24" s="23"/>
      <x:c r="G24" s="23"/>
      <x:c r="H24" s="23"/>
      <x:c r="I24" s="23"/>
      <x:c r="J24" s="23"/>
      <x:c r="K24" s="23"/>
    </x:row>
    <x:row r="25" ht="32" hidden="0" customHeight="1">
      <x:c r="A25" s="23" t="s">
        <x:v>856</x:v>
      </x:c>
      <x:c r="B25" s="23" t="s">
        <x:v>250</x:v>
      </x:c>
      <x:c r="C25" s="23" t="s">
        <x:v>857</x:v>
      </x:c>
      <x:c r="D25" s="23" t="s">
        <x:v>858</x:v>
      </x:c>
      <x:c r="E25" s="23"/>
      <x:c r="F25" s="23"/>
      <x:c r="G25" s="23"/>
      <x:c r="H25" s="23"/>
      <x:c r="I25" s="23"/>
      <x:c r="J25" s="23"/>
      <x:c r="K25" s="23"/>
    </x:row>
    <x:row r="26" ht="32" hidden="0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</x:row>
    <x:row r="27" ht="32" hidden="0" customHeight="1">
      <x:c r="A27" s="17" t="s">
        <x:v>859</x:v>
      </x:c>
      <x:c r="B27" s="17" t="s">
        <x:v>860</x:v>
      </x:c>
      <x:c r="C27" s="17"/>
      <x:c r="D27" s="17" t="s">
        <x:v>115</x:v>
      </x:c>
      <x:c r="E27" s="17" t="s">
        <x:v>130</x:v>
      </x:c>
      <x:c r="F27" s="23"/>
      <x:c r="G27" s="23"/>
      <x:c r="H27" s="23"/>
      <x:c r="I27" s="23"/>
      <x:c r="J27" s="23"/>
      <x:c r="K27" s="23"/>
    </x:row>
    <x:row r="28" ht="32" hidden="0" customHeight="1">
      <x:c r="A28" s="23" t="s">
        <x:v>861</x:v>
      </x:c>
      <x:c r="B28" s="31" t="n">
        <x:f aca="0">IF(Model!$F$29="READY",INDEX($B$43:$B$51,MATCH(Input_Meci!$C$7,$A$43:$A$51,0)),"NECALCULAT")</x:f>
        <x:v>6</x:v>
      </x:c>
      <x:c r="C28" s="23"/>
      <x:c r="D28" s="23"/>
      <x:c r="E28" s="37" t="n">
        <x:f aca="0">$B$4</x:f>
        <x:v>0.25</x:v>
      </x:c>
      <x:c r="F28" s="23"/>
      <x:c r="G28" s="23"/>
      <x:c r="H28" s="23"/>
      <x:c r="I28" s="23"/>
      <x:c r="J28" s="23"/>
      <x:c r="K28" s="23"/>
    </x:row>
    <x:row r="29" ht="32" hidden="0" customHeight="1">
      <x:c r="A29" s="23" t="s">
        <x:v>862</x:v>
      </x:c>
      <x:c r="B29" s="31" t="n">
        <x:f aca="0">IF(Model!$F$29="READY",INDEX($C$43:$C$51,MATCH(Input_Meci!$C$7,$A$43:$A$51,0)),"NECALCULAT")</x:f>
        <x:v>54.23008060578036</x:v>
      </x:c>
      <x:c r="C29" s="23"/>
      <x:c r="D29" s="23"/>
      <x:c r="E29" s="37" t="n">
        <x:f aca="0">$B$5</x:f>
        <x:v>0.3</x:v>
      </x:c>
      <x:c r="F29" s="23"/>
      <x:c r="G29" s="23"/>
      <x:c r="H29" s="23"/>
      <x:c r="I29" s="23"/>
      <x:c r="J29" s="23"/>
      <x:c r="K29" s="23"/>
    </x:row>
    <x:row r="30" ht="32" hidden="0" customHeight="1">
      <x:c r="A30" s="23" t="s">
        <x:v>863</x:v>
      </x:c>
      <x:c r="B30" s="31" t="n">
        <x:f aca="0">IF(Model!$F$29="READY",INDEX($D$43:$D$51,MATCH(Input_Meci!$C$7,$A$43:$A$51,0)),"NECALCULAT")</x:f>
        <x:v>41.710580904653604</x:v>
      </x:c>
      <x:c r="C30" s="23"/>
      <x:c r="D30" s="23"/>
      <x:c r="E30" s="37" t="n">
        <x:f aca="0">$B$6</x:f>
        <x:v>0.15</x:v>
      </x:c>
      <x:c r="F30" s="23"/>
      <x:c r="G30" s="23"/>
      <x:c r="H30" s="23"/>
      <x:c r="I30" s="23"/>
      <x:c r="J30" s="23"/>
      <x:c r="K30" s="23"/>
    </x:row>
    <x:row r="31" ht="32" hidden="0" customHeight="1">
      <x:c r="A31" s="23" t="s">
        <x:v>864</x:v>
      </x:c>
      <x:c r="B31" s="31" t="n">
        <x:f aca="0">IF(Model!$F$29="READY",INDEX($E$43:$E$51,MATCH(Input_Meci!$C$7,$A$43:$A$51,0)),"NECALCULAT")</x:f>
        <x:v>50</x:v>
      </x:c>
      <x:c r="C31" s="23"/>
      <x:c r="D31" s="23"/>
      <x:c r="E31" s="37" t="n">
        <x:f aca="0">$B$7</x:f>
        <x:v>0.15</x:v>
      </x:c>
      <x:c r="F31" s="23"/>
      <x:c r="G31" s="23"/>
      <x:c r="H31" s="23"/>
      <x:c r="I31" s="23"/>
      <x:c r="J31" s="23"/>
      <x:c r="K31" s="23"/>
    </x:row>
    <x:row r="32" ht="32" hidden="0" customHeight="1">
      <x:c r="A32" s="23" t="s">
        <x:v>819</x:v>
      </x:c>
      <x:c r="B32" s="31" t="n">
        <x:f aca="0">IF(Model!$F$29="READY",INDEX($F$43:$F$51,MATCH(Input_Meci!$C$7,$A$43:$A$51,0)),"NECALCULAT")</x:f>
        <x:v>5.000000000000004</x:v>
      </x:c>
      <x:c r="C32" s="23"/>
      <x:c r="D32" s="23"/>
      <x:c r="E32" s="37" t="n">
        <x:f aca="0">$B$8</x:f>
        <x:v>0.1</x:v>
      </x:c>
      <x:c r="F32" s="23"/>
      <x:c r="G32" s="23"/>
      <x:c r="H32" s="23"/>
      <x:c r="I32" s="23"/>
      <x:c r="J32" s="23"/>
      <x:c r="K32" s="23"/>
    </x:row>
    <x:row r="33" ht="32" hidden="0" customHeight="1">
      <x:c r="A33" s="23" t="s">
        <x:v>865</x:v>
      </x:c>
      <x:c r="B33" s="31" t="n">
        <x:f aca="0">IF(Model!$F$29="READY",INDEX($G$43:$G$51,MATCH(Input_Meci!$C$7,$A$43:$A$51,0)),"NECALCULAT")</x:f>
        <x:v>0</x:v>
      </x:c>
      <x:c r="C33" s="23"/>
      <x:c r="D33" s="23"/>
      <x:c r="E33" s="37" t="n">
        <x:f aca="0">$B$9</x:f>
        <x:v>0</x:v>
      </x:c>
      <x:c r="F33" s="23"/>
      <x:c r="G33" s="23"/>
      <x:c r="H33" s="23"/>
      <x:c r="I33" s="23"/>
      <x:c r="J33" s="23"/>
      <x:c r="K33" s="23"/>
    </x:row>
    <x:row r="34" ht="32" hidden="0" customHeight="1">
      <x:c r="A34" s="23" t="s">
        <x:v>866</x:v>
      </x:c>
      <x:c r="B34" s="31" t="n">
        <x:f aca="0">IF(Model!$F$29="READY",INDEX($H$43:$H$51,MATCH(Input_Meci!$C$7,$A$43:$A$51,0)),"NECALCULAT")</x:f>
        <x:v>22.619681645732882</x:v>
      </x:c>
      <x:c r="C34" s="23"/>
      <x:c r="D34" s="23"/>
      <x:c r="E34" s="37" t="n">
        <x:f aca="0">$B$10</x:f>
        <x:v>0.05</x:v>
      </x:c>
      <x:c r="F34" s="23"/>
      <x:c r="G34" s="23"/>
      <x:c r="H34" s="23"/>
      <x:c r="I34" s="23"/>
      <x:c r="J34" s="23"/>
      <x:c r="K34" s="23"/>
    </x:row>
    <x:row r="35" ht="32" hidden="0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</x:row>
    <x:row r="36" ht="32" hidden="0" customHeight="1">
      <x:c r="A36" s="29" t="s">
        <x:v>867</x:v>
      </x:c>
      <x:c r="B36" s="30" t="n">
        <x:f aca="0">IF(AND(Model!F29="READY",COUNT(B28:B34)=7),SUMPRODUCT(B28:B34,E28:E34),"NECALCULAT")</x:f>
        <x:v>33.156595399718796</x:v>
      </x:c>
      <x:c r="C36" s="23"/>
      <x:c r="D36" s="23"/>
      <x:c r="E36" s="23"/>
      <x:c r="F36" s="23"/>
      <x:c r="G36" s="23"/>
      <x:c r="H36" s="23"/>
      <x:c r="I36" s="23"/>
      <x:c r="J36" s="23"/>
      <x:c r="K36" s="23"/>
    </x:row>
    <x:row r="37" ht="32" hidden="0" customHeight="1">
      <x:c r="A37" s="32" t="s">
        <x:v>255</x:v>
      </x:c>
      <x:c r="B37" s="33" t="n">
        <x:f aca="0">IF(ISNUMBER(B36),IF(B36&lt;=20,1,IF(B36&lt;=40,2,IF(B36&lt;=60,3,IF(B36&lt;=80,4,5)))),5)</x:f>
        <x:v>2</x:v>
      </x:c>
      <x:c r="C37" s="23"/>
      <x:c r="D37" s="23"/>
      <x:c r="E37" s="23"/>
      <x:c r="F37" s="23"/>
      <x:c r="G37" s="23"/>
      <x:c r="H37" s="23"/>
      <x:c r="I37" s="23"/>
      <x:c r="J37" s="23"/>
      <x:c r="K37" s="23"/>
    </x:row>
    <x:row r="38" ht="32" hidden="0" customHeight="1">
      <x:c r="A38" s="32" t="s">
        <x:v>241</x:v>
      </x:c>
      <x:c r="B38" s="33" t="str">
        <x:f aca="0">INDEX($K$43:$K$51,MATCH(Input_Meci!$C$7,$A$43:$A$51,0))</x:f>
        <x:v>N/A</x:v>
      </x:c>
      <x:c r="C38" s="23"/>
      <x:c r="D38" s="23"/>
      <x:c r="E38" s="23"/>
      <x:c r="F38" s="23"/>
      <x:c r="G38" s="23"/>
      <x:c r="H38" s="23"/>
      <x:c r="I38" s="23"/>
      <x:c r="J38" s="23"/>
      <x:c r="K38" s="23"/>
    </x:row>
    <x:row r="39" ht="32" hidden="0" customHeight="1">
      <x:c r="A39" s="32" t="s">
        <x:v>260</x:v>
      </x:c>
      <x:c r="B39" s="33" t="n">
        <x:f aca="0">INDEX(Selector_Linii_v2!$Z$4:$Z$12,MATCH(Input_Meci!$C$7,Selector_Linii_v2!$A$4:$A$12,0))</x:f>
        <x:v>3</x:v>
      </x:c>
      <x:c r="C39" s="61"/>
      <x:c r="D39" s="61"/>
      <x:c r="E39" s="23"/>
      <x:c r="F39" s="23"/>
      <x:c r="G39" s="23"/>
      <x:c r="H39" s="23"/>
      <x:c r="I39" s="23"/>
      <x:c r="J39" s="23"/>
      <x:c r="K39" s="23"/>
    </x:row>
    <x:row r="40" ht="32" hidden="0" customHeight="1">
      <x:c r="A40" s="35" t="s">
        <x:v>868</x:v>
      </x:c>
      <x:c r="B40" s="62" t="str">
        <x:f aca="0">INDEX(Selector_Linii_v2!$AA$4:$AA$12,MATCH(Input_Meci!$C$7,Selector_Linii_v2!$A$4:$A$12,0))</x:f>
        <x:v>MODERAT</x:v>
      </x:c>
      <x:c r="C40" s="61"/>
      <x:c r="D40" s="61"/>
      <x:c r="E40" s="23"/>
      <x:c r="F40" s="23"/>
      <x:c r="G40" s="23"/>
      <x:c r="H40" s="23"/>
      <x:c r="I40" s="23"/>
      <x:c r="J40" s="23"/>
      <x:c r="K40" s="23"/>
    </x:row>
    <x:row r="41" ht="15" hidden="0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</x:row>
    <x:row r="42" ht="42" hidden="0" customHeight="1">
      <x:c r="A42" s="17" t="s">
        <x:v>869</x:v>
      </x:c>
      <x:c r="B42" s="17" t="s">
        <x:v>861</x:v>
      </x:c>
      <x:c r="C42" s="17" t="s">
        <x:v>870</x:v>
      </x:c>
      <x:c r="D42" s="17" t="s">
        <x:v>863</x:v>
      </x:c>
      <x:c r="E42" s="17" t="s">
        <x:v>40</x:v>
      </x:c>
      <x:c r="F42" s="17" t="s">
        <x:v>819</x:v>
      </x:c>
      <x:c r="G42" s="17" t="s">
        <x:v>871</x:v>
      </x:c>
      <x:c r="H42" s="17" t="s">
        <x:v>872</x:v>
      </x:c>
      <x:c r="I42" s="17" t="s">
        <x:v>252</x:v>
      </x:c>
      <x:c r="J42" s="17" t="s">
        <x:v>873</x:v>
      </x:c>
      <x:c r="K42" s="17" t="s">
        <x:v>241</x:v>
      </x:c>
    </x:row>
    <x:row r="43" ht="24" hidden="0" customHeight="1">
      <x:c r="A43" s="23" t="n">
        <x:v>-4</x:v>
      </x:c>
      <x:c r="B43" s="31" t="n">
        <x:f aca="0">MAX(0,MIN(100,100-(35*Input_Meci!$C$41+20*MIN(1,AVERAGE(Input_Meci!$C$42:$D$42)/Parametri_v2!$B$14)+25*Input_Meci!$C$43+10*Input_Meci!$C$44+10*Input_Meci!$C$45)))</x:f>
        <x:v>6</x:v>
      </x:c>
      <x:c r="C43" s="31" t="n">
        <x:f aca="0">IF(COUNT(Selector_Linii_v2!B4:D4)=3,100*(SUM(Selector_Linii_v2!B4:D4)-Selector_Linii_v2!P4),"")</x:f>
        <x:v>10.810584122477495</x:v>
      </x:c>
      <x:c r="D43" s="31" t="n">
        <x:f aca="0">IF(ISNUMBER(Selector_Linii_v2!N4),MIN(100,Selector_Linii_v2!N4*100),"")</x:f>
        <x:v>41.710580904653604</x:v>
      </x:c>
      <x:c r="E43" s="31" t="n">
        <x:f aca="0">MAX(0,MIN(100,50-25*Analiza_Selectata!$D$32))</x:f>
        <x:v>50</x:v>
      </x:c>
      <x:c r="F43" s="31" t="n">
        <x:f aca="0">MAX(0,MIN(100,100*(1-AVERAGE(MIN(1,AVERAGE(Input_Meci!$C$42:$D$42)/Parametri_v2!$B$14),Input_Meci!$C$44))))</x:f>
        <x:v>5.000000000000004</x:v>
      </x:c>
      <x:c r="G43" s="31" t="n">
        <x:v>0</x:v>
      </x:c>
      <x:c r="H43" s="31" t="n">
        <x:f aca="0">IF(COUNT(C43:D43)=2,MIN(100,C43*D43/100),"")</x:f>
        <x:v>4.509157436671612</x:v>
      </x:c>
      <x:c r="I43" s="31" t="n">
        <x:f aca="0">IF(COUNT(B43:H43)=7,B43*$B$4+C43*$B$5+D43*$B$6+E43*$B$7+F43*$B$8+G43*$B$9+H43*$B$10,"")</x:f>
        <x:v>19.22522024427487</x:v>
      </x:c>
      <x:c r="J43" s="132" t="n">
        <x:f aca="0">IF(ISNUMBER(I43),IF(I43&lt;=20,1,IF(I43&lt;=40,2,IF(I43&lt;=60,3,IF(I43&lt;=80,4,5)))),5)</x:f>
        <x:v>1</x:v>
      </x:c>
      <x:c r="K43" s="23" t="str">
        <x:f aca="0">Selector_Linii_v2!T4</x:f>
        <x:v>FAIL</x:v>
      </x:c>
    </x:row>
    <x:row r="44" ht="24" hidden="0" customHeight="1">
      <x:c r="A44" s="23" t="n">
        <x:v>-3</x:v>
      </x:c>
      <x:c r="B44" s="31" t="n">
        <x:f aca="0">MAX(0,MIN(100,100-(35*Input_Meci!$C$41+20*MIN(1,AVERAGE(Input_Meci!$C$42:$D$42)/Parametri_v2!$B$14)+25*Input_Meci!$C$43+10*Input_Meci!$C$44+10*Input_Meci!$C$45)))</x:f>
        <x:v>6</x:v>
      </x:c>
      <x:c r="C44" s="31" t="n">
        <x:f aca="0">IF(COUNT(Selector_Linii_v2!B5:D5)=3,100*(SUM(Selector_Linii_v2!B5:D5)-Selector_Linii_v2!P5),"")</x:f>
        <x:v>24.39824607270453</x:v>
      </x:c>
      <x:c r="D44" s="31" t="n">
        <x:f aca="0">IF(ISNUMBER(Selector_Linii_v2!N5),MIN(100,Selector_Linii_v2!N5*100),"")</x:f>
        <x:v>41.710580904653604</x:v>
      </x:c>
      <x:c r="E44" s="31" t="n">
        <x:f aca="0">MAX(0,MIN(100,50-25*Analiza_Selectata!$D$32))</x:f>
        <x:v>50</x:v>
      </x:c>
      <x:c r="F44" s="31" t="n">
        <x:f aca="0">MAX(0,MIN(100,100*(1-AVERAGE(MIN(1,AVERAGE(Input_Meci!$C$42:$D$42)/Parametri_v2!$B$14),Input_Meci!$C$44))))</x:f>
        <x:v>5.000000000000004</x:v>
      </x:c>
      <x:c r="G44" s="31" t="n">
        <x:v>0</x:v>
      </x:c>
      <x:c r="H44" s="31" t="n">
        <x:f aca="0">IF(COUNT(C44:D44)=2,MIN(100,C44*D44/100),"")</x:f>
        <x:v>10.176650167471895</x:v>
      </x:c>
      <x:c r="I44" s="31" t="n">
        <x:f aca="0">IF(COUNT(B44:H44)=7,B44*$B$4+C44*$B$5+D44*$B$6+E44*$B$7+F44*$B$8+G44*$B$9+H44*$B$10,"")</x:f>
        <x:v>23.584893465882992</x:v>
      </x:c>
      <x:c r="J44" s="132" t="n">
        <x:f aca="0">IF(ISNUMBER(I44),IF(I44&lt;=20,1,IF(I44&lt;=40,2,IF(I44&lt;=60,3,IF(I44&lt;=80,4,5)))),5)</x:f>
        <x:v>2</x:v>
      </x:c>
      <x:c r="K44" s="23" t="str">
        <x:f aca="0">Selector_Linii_v2!T5</x:f>
        <x:v>FAIL</x:v>
      </x:c>
    </x:row>
    <x:row r="45" ht="24" hidden="0" customHeight="1">
      <x:c r="A45" s="23" t="n">
        <x:v>-2</x:v>
      </x:c>
      <x:c r="B45" s="31" t="n">
        <x:f aca="0">MAX(0,MIN(100,100-(35*Input_Meci!$C$41+20*MIN(1,AVERAGE(Input_Meci!$C$42:$D$42)/Parametri_v2!$B$14)+25*Input_Meci!$C$43+10*Input_Meci!$C$44+10*Input_Meci!$C$45)))</x:f>
        <x:v>6</x:v>
      </x:c>
      <x:c r="C45" s="31" t="n">
        <x:f aca="0">IF(COUNT(Selector_Linii_v2!B6:D6)=3,100*(SUM(Selector_Linii_v2!B6:D6)-Selector_Linii_v2!P6),"")</x:f>
        <x:v>45.768440008875864</x:v>
      </x:c>
      <x:c r="D45" s="31" t="n">
        <x:f aca="0">IF(ISNUMBER(Selector_Linii_v2!N6),MIN(100,Selector_Linii_v2!N6*100),"")</x:f>
        <x:v>41.710580904653604</x:v>
      </x:c>
      <x:c r="E45" s="31" t="n">
        <x:f aca="0">MAX(0,MIN(100,50-25*Analiza_Selectata!$D$32))</x:f>
        <x:v>50</x:v>
      </x:c>
      <x:c r="F45" s="31" t="n">
        <x:f aca="0">MAX(0,MIN(100,100*(1-AVERAGE(MIN(1,AVERAGE(Input_Meci!$C$42:$D$42)/Parametri_v2!$B$14),Input_Meci!$C$44))))</x:f>
        <x:v>5.000000000000004</x:v>
      </x:c>
      <x:c r="G45" s="31" t="n">
        <x:v>0</x:v>
      </x:c>
      <x:c r="H45" s="31" t="n">
        <x:f aca="0">IF(COUNT(C45:D45)=2,MIN(100,C45*D45/100),"")</x:f>
        <x:v>19.090282198700017</x:v>
      </x:c>
      <x:c r="I45" s="31" t="n">
        <x:f aca="0">IF(COUNT(B45:H45)=7,B45*$B$4+C45*$B$5+D45*$B$6+E45*$B$7+F45*$B$8+G45*$B$9+H45*$B$10,"")</x:f>
        <x:v>30.4416332482958</x:v>
      </x:c>
      <x:c r="J45" s="132" t="n">
        <x:f aca="0">IF(ISNUMBER(I45),IF(I45&lt;=20,1,IF(I45&lt;=40,2,IF(I45&lt;=60,3,IF(I45&lt;=80,4,5)))),5)</x:f>
        <x:v>2</x:v>
      </x:c>
      <x:c r="K45" s="23" t="str">
        <x:f aca="0">Selector_Linii_v2!T6</x:f>
        <x:v>FAIL</x:v>
      </x:c>
    </x:row>
    <x:row r="46" ht="24" hidden="0" customHeight="1">
      <x:c r="A46" s="23" t="n">
        <x:v>-1</x:v>
      </x:c>
      <x:c r="B46" s="31" t="n">
        <x:f aca="0">MAX(0,MIN(100,100-(35*Input_Meci!$C$41+20*MIN(1,AVERAGE(Input_Meci!$C$42:$D$42)/Parametri_v2!$B$14)+25*Input_Meci!$C$43+10*Input_Meci!$C$44+10*Input_Meci!$C$45)))</x:f>
        <x:v>6</x:v>
      </x:c>
      <x:c r="C46" s="31" t="n">
        <x:f aca="0">IF(COUNT(Selector_Linii_v2!B7:D7)=3,100*(SUM(Selector_Linii_v2!B7:D7)-Selector_Linii_v2!P7),"")</x:f>
        <x:v>54.23008060578036</x:v>
      </x:c>
      <x:c r="D46" s="31" t="n">
        <x:f aca="0">IF(ISNUMBER(Selector_Linii_v2!N7),MIN(100,Selector_Linii_v2!N7*100),"")</x:f>
        <x:v>41.710580904653604</x:v>
      </x:c>
      <x:c r="E46" s="31" t="n">
        <x:f aca="0">MAX(0,MIN(100,50-25*Analiza_Selectata!$D$32))</x:f>
        <x:v>50</x:v>
      </x:c>
      <x:c r="F46" s="31" t="n">
        <x:f aca="0">MAX(0,MIN(100,100*(1-AVERAGE(MIN(1,AVERAGE(Input_Meci!$C$42:$D$42)/Parametri_v2!$B$14),Input_Meci!$C$44))))</x:f>
        <x:v>5.000000000000004</x:v>
      </x:c>
      <x:c r="G46" s="31" t="n">
        <x:v>0</x:v>
      </x:c>
      <x:c r="H46" s="31" t="n">
        <x:f aca="0">IF(COUNT(C46:D46)=2,MIN(100,C46*D46/100),"")</x:f>
        <x:v>22.619681645732882</x:v>
      </x:c>
      <x:c r="I46" s="31" t="n">
        <x:f aca="0">IF(COUNT(B46:H46)=7,B46*$B$4+C46*$B$5+D46*$B$6+E46*$B$7+F46*$B$8+G46*$B$9+H46*$B$10,"")</x:f>
        <x:v>33.156595399718796</x:v>
      </x:c>
      <x:c r="J46" s="132" t="n">
        <x:f aca="0">IF(ISNUMBER(I46),IF(I46&lt;=20,1,IF(I46&lt;=40,2,IF(I46&lt;=60,3,IF(I46&lt;=80,4,5)))),5)</x:f>
        <x:v>2</x:v>
      </x:c>
      <x:c r="K46" s="23" t="str">
        <x:f aca="0">Selector_Linii_v2!T7</x:f>
        <x:v>N/A</x:v>
      </x:c>
    </x:row>
    <x:row r="47" ht="24" hidden="0" customHeight="1">
      <x:c r="A47" s="23" t="n">
        <x:v>0</x:v>
      </x:c>
      <x:c r="B47" s="31" t="n">
        <x:f aca="0">MAX(0,MIN(100,100-(35*Input_Meci!$C$41+20*MIN(1,AVERAGE(Input_Meci!$C$42:$D$42)/Parametri_v2!$B$14)+25*Input_Meci!$C$43+10*Input_Meci!$C$44+10*Input_Meci!$C$45)))</x:f>
        <x:v>6</x:v>
      </x:c>
      <x:c r="C47" s="31" t="n">
        <x:f aca="0">IF(COUNT(Selector_Linii_v2!B8:D8)=3,100*(SUM(Selector_Linii_v2!B8:D8)-Selector_Linii_v2!P8),"")</x:f>
        <x:v>29.668459152105697</x:v>
      </x:c>
      <x:c r="D47" s="31" t="n">
        <x:f aca="0">IF(ISNUMBER(Selector_Linii_v2!N8),MIN(100,Selector_Linii_v2!N8*100),"")</x:f>
        <x:v>41.710580904653604</x:v>
      </x:c>
      <x:c r="E47" s="31" t="n">
        <x:f aca="0">MAX(0,MIN(100,50-25*Analiza_Selectata!$D$32))</x:f>
        <x:v>50</x:v>
      </x:c>
      <x:c r="F47" s="31" t="n">
        <x:f aca="0">MAX(0,MIN(100,100*(1-AVERAGE(MIN(1,AVERAGE(Input_Meci!$C$42:$D$42)/Parametri_v2!$B$14),Input_Meci!$C$44))))</x:f>
        <x:v>5.000000000000004</x:v>
      </x:c>
      <x:c r="G47" s="31" t="n">
        <x:v>0</x:v>
      </x:c>
      <x:c r="H47" s="31" t="n">
        <x:f aca="0">IF(COUNT(C47:D47)=2,MIN(100,C47*D47/100),"")</x:f>
        <x:v>12.374886657803154</x:v>
      </x:c>
      <x:c r="I47" s="31" t="n">
        <x:f aca="0">IF(COUNT(B47:H47)=7,B47*$B$4+C47*$B$5+D47*$B$6+E47*$B$7+F47*$B$8+G47*$B$9+H47*$B$10,"")</x:f>
        <x:v>25.27586921421991</x:v>
      </x:c>
      <x:c r="J47" s="132" t="n">
        <x:f aca="0">IF(ISNUMBER(I47),IF(I47&lt;=20,1,IF(I47&lt;=40,2,IF(I47&lt;=60,3,IF(I47&lt;=80,4,5)))),5)</x:f>
        <x:v>2</x:v>
      </x:c>
      <x:c r="K47" s="23" t="str">
        <x:f aca="0">Selector_Linii_v2!T8</x:f>
        <x:v>N/A</x:v>
      </x:c>
    </x:row>
    <x:row r="48" ht="24" hidden="0" customHeight="1">
      <x:c r="A48" s="23" t="n">
        <x:v>1</x:v>
      </x:c>
      <x:c r="B48" s="31" t="n">
        <x:f aca="0">MAX(0,MIN(100,100-(35*Input_Meci!$C$41+20*MIN(1,AVERAGE(Input_Meci!$C$42:$D$42)/Parametri_v2!$B$14)+25*Input_Meci!$C$43+10*Input_Meci!$C$44+10*Input_Meci!$C$45)))</x:f>
        <x:v>6</x:v>
      </x:c>
      <x:c r="C48" s="31" t="n">
        <x:f aca="0">IF(COUNT(Selector_Linii_v2!B9:D9)=3,100*(SUM(Selector_Linii_v2!B9:D9)-Selector_Linii_v2!P9),"")</x:f>
        <x:v>11.06295988030891</x:v>
      </x:c>
      <x:c r="D48" s="31" t="n">
        <x:f aca="0">IF(ISNUMBER(Selector_Linii_v2!N9),MIN(100,Selector_Linii_v2!N9*100),"")</x:f>
        <x:v>2.9176410958428023</x:v>
      </x:c>
      <x:c r="E48" s="31" t="n">
        <x:f aca="0">MAX(0,MIN(100,50-25*Analiza_Selectata!$D$32))</x:f>
        <x:v>50</x:v>
      </x:c>
      <x:c r="F48" s="31" t="n">
        <x:f aca="0">MAX(0,MIN(100,100*(1-AVERAGE(MIN(1,AVERAGE(Input_Meci!$C$42:$D$42)/Parametri_v2!$B$14),Input_Meci!$C$44))))</x:f>
        <x:v>5.000000000000004</x:v>
      </x:c>
      <x:c r="G48" s="31" t="n">
        <x:v>0</x:v>
      </x:c>
      <x:c r="H48" s="31" t="n">
        <x:f aca="0">IF(COUNT(C48:D48)=2,MIN(100,C48*D48/100),"")</x:f>
        <x:v>0.32277746388449446</x:v>
      </x:c>
      <x:c r="I48" s="31" t="n">
        <x:f aca="0">IF(COUNT(B48:H48)=7,B48*$B$4+C48*$B$5+D48*$B$6+E48*$B$7+F48*$B$8+G48*$B$9+H48*$B$10,"")</x:f>
        <x:v>13.272673001663316</x:v>
      </x:c>
      <x:c r="J48" s="132" t="n">
        <x:f aca="0">IF(ISNUMBER(I48),IF(I48&lt;=20,1,IF(I48&lt;=40,2,IF(I48&lt;=60,3,IF(I48&lt;=80,4,5)))),5)</x:f>
        <x:v>1</x:v>
      </x:c>
      <x:c r="K48" s="23" t="str">
        <x:f aca="0">Selector_Linii_v2!T9</x:f>
        <x:v>N/A</x:v>
      </x:c>
    </x:row>
    <x:row r="49" ht="24" hidden="0" customHeight="1">
      <x:c r="A49" s="23" t="n">
        <x:v>2</x:v>
      </x:c>
      <x:c r="B49" s="31" t="n">
        <x:f aca="0">MAX(0,MIN(100,100-(35*Input_Meci!$C$41+20*MIN(1,AVERAGE(Input_Meci!$C$42:$D$42)/Parametri_v2!$B$14)+25*Input_Meci!$C$43+10*Input_Meci!$C$44+10*Input_Meci!$C$45)))</x:f>
        <x:v>6</x:v>
      </x:c>
      <x:c r="C49" s="31" t="n">
        <x:f aca="0">IF(COUNT(Selector_Linii_v2!B10:D10)=3,100*(SUM(Selector_Linii_v2!B10:D10)-Selector_Linii_v2!P10),"")</x:f>
        <x:v>2.9299401941229375</x:v>
      </x:c>
      <x:c r="D49" s="31" t="n">
        <x:f aca="0">IF(ISNUMBER(Selector_Linii_v2!N10),MIN(100,Selector_Linii_v2!N10*100),"")</x:f>
        <x:v>2.9176410958428023</x:v>
      </x:c>
      <x:c r="E49" s="31" t="n">
        <x:f aca="0">MAX(0,MIN(100,50-25*Analiza_Selectata!$D$32))</x:f>
        <x:v>50</x:v>
      </x:c>
      <x:c r="F49" s="31" t="n">
        <x:f aca="0">MAX(0,MIN(100,100*(1-AVERAGE(MIN(1,AVERAGE(Input_Meci!$C$42:$D$42)/Parametri_v2!$B$14),Input_Meci!$C$44))))</x:f>
        <x:v>5.000000000000004</x:v>
      </x:c>
      <x:c r="G49" s="31" t="n">
        <x:v>0</x:v>
      </x:c>
      <x:c r="H49" s="31" t="n">
        <x:f aca="0">IF(COUNT(C49:D49)=2,MIN(100,C49*D49/100),"")</x:f>
        <x:v>0.0854851391873472</x:v>
      </x:c>
      <x:c r="I49" s="31" t="n">
        <x:f aca="0">IF(COUNT(B49:H49)=7,B49*$B$4+C49*$B$5+D49*$B$6+E49*$B$7+F49*$B$8+G49*$B$9+H49*$B$10,"")</x:f>
        <x:v>10.82090247957267</x:v>
      </x:c>
      <x:c r="J49" s="132" t="n">
        <x:f aca="0">IF(ISNUMBER(I49),IF(I49&lt;=20,1,IF(I49&lt;=40,2,IF(I49&lt;=60,3,IF(I49&lt;=80,4,5)))),5)</x:f>
        <x:v>1</x:v>
      </x:c>
      <x:c r="K49" s="23" t="str">
        <x:f aca="0">Selector_Linii_v2!T10</x:f>
        <x:v>PASS</x:v>
      </x:c>
    </x:row>
    <x:row r="50" ht="24" hidden="0" customHeight="1">
      <x:c r="A50" s="23" t="n">
        <x:v>3</x:v>
      </x:c>
      <x:c r="B50" s="31" t="n">
        <x:f aca="0">MAX(0,MIN(100,100-(35*Input_Meci!$C$41+20*MIN(1,AVERAGE(Input_Meci!$C$42:$D$42)/Parametri_v2!$B$14)+25*Input_Meci!$C$43+10*Input_Meci!$C$44+10*Input_Meci!$C$45)))</x:f>
        <x:v>6</x:v>
      </x:c>
      <x:c r="C50" s="31" t="n">
        <x:f aca="0">IF(COUNT(Selector_Linii_v2!B11:D11)=3,100*(SUM(Selector_Linii_v2!B11:D11)-Selector_Linii_v2!P11),"")</x:f>
        <x:v>0.5868012455327531</x:v>
      </x:c>
      <x:c r="D50" s="31" t="n">
        <x:f aca="0">IF(ISNUMBER(Selector_Linii_v2!N11),MIN(100,Selector_Linii_v2!N11*100),"")</x:f>
        <x:v>2.9176410958428023</x:v>
      </x:c>
      <x:c r="E50" s="31" t="n">
        <x:f aca="0">MAX(0,MIN(100,50-25*Analiza_Selectata!$D$32))</x:f>
        <x:v>50</x:v>
      </x:c>
      <x:c r="F50" s="31" t="n">
        <x:f aca="0">MAX(0,MIN(100,100*(1-AVERAGE(MIN(1,AVERAGE(Input_Meci!$C$42:$D$42)/Parametri_v2!$B$14),Input_Meci!$C$44))))</x:f>
        <x:v>5.000000000000004</x:v>
      </x:c>
      <x:c r="G50" s="31" t="n">
        <x:v>0</x:v>
      </x:c>
      <x:c r="H50" s="31" t="n">
        <x:f aca="0">IF(COUNT(C50:D50)=2,MIN(100,C50*D50/100),"")</x:f>
        <x:v>0.017120754290581033</x:v>
      </x:c>
      <x:c r="I50" s="31" t="n">
        <x:f aca="0">IF(COUNT(B50:H50)=7,B50*$B$4+C50*$B$5+D50*$B$6+E50*$B$7+F50*$B$8+G50*$B$9+H50*$B$10,"")</x:f>
        <x:v>10.114542575750775</x:v>
      </x:c>
      <x:c r="J50" s="132" t="n">
        <x:f aca="0">IF(ISNUMBER(I50),IF(I50&lt;=20,1,IF(I50&lt;=40,2,IF(I50&lt;=60,3,IF(I50&lt;=80,4,5)))),5)</x:f>
        <x:v>1</x:v>
      </x:c>
      <x:c r="K50" s="23" t="str">
        <x:f aca="0">Selector_Linii_v2!T11</x:f>
        <x:v>PASS</x:v>
      </x:c>
    </x:row>
    <x:row r="51" ht="24" hidden="0" customHeight="1">
      <x:c r="A51" s="23" t="n">
        <x:v>4</x:v>
      </x:c>
      <x:c r="B51" s="31" t="n">
        <x:f aca="0">MAX(0,MIN(100,100-(35*Input_Meci!$C$41+20*MIN(1,AVERAGE(Input_Meci!$C$42:$D$42)/Parametri_v2!$B$14)+25*Input_Meci!$C$43+10*Input_Meci!$C$44+10*Input_Meci!$C$45)))</x:f>
        <x:v>6</x:v>
      </x:c>
      <x:c r="C51" s="31" t="n">
        <x:f aca="0">IF(COUNT(Selector_Linii_v2!B12:D12)=3,100*(SUM(Selector_Linii_v2!B12:D12)-Selector_Linii_v2!P12),"")</x:f>
        <x:v>0.09348081374929151</x:v>
      </x:c>
      <x:c r="D51" s="31" t="n">
        <x:f aca="0">IF(ISNUMBER(Selector_Linii_v2!N12),MIN(100,Selector_Linii_v2!N12*100),"")</x:f>
        <x:v>2.9176410958428023</x:v>
      </x:c>
      <x:c r="E51" s="31" t="n">
        <x:f aca="0">MAX(0,MIN(100,50-25*Analiza_Selectata!$D$32))</x:f>
        <x:v>50</x:v>
      </x:c>
      <x:c r="F51" s="31" t="n">
        <x:f aca="0">MAX(0,MIN(100,100*(1-AVERAGE(MIN(1,AVERAGE(Input_Meci!$C$42:$D$42)/Parametri_v2!$B$14),Input_Meci!$C$44))))</x:f>
        <x:v>5.000000000000004</x:v>
      </x:c>
      <x:c r="G51" s="31" t="n">
        <x:v>0</x:v>
      </x:c>
      <x:c r="H51" s="31" t="n">
        <x:f aca="0">IF(COUNT(C51:D51)=2,MIN(100,C51*D51/100),"")</x:f>
        <x:v>0.0027274346386775977</x:v>
      </x:c>
      <x:c r="I51" s="31" t="n">
        <x:f aca="0">IF(COUNT(B51:H51)=7,B51*$B$4+C51*$B$5+D51*$B$6+E51*$B$7+F51*$B$8+G51*$B$9+H51*$B$10,"")</x:f>
        <x:v>9.965826780233142</x:v>
      </x:c>
      <x:c r="J51" s="132" t="n">
        <x:f aca="0">IF(ISNUMBER(I51),IF(I51&lt;=20,1,IF(I51&lt;=40,2,IF(I51&lt;=60,3,IF(I51&lt;=80,4,5)))),5)</x:f>
        <x:v>1</x:v>
      </x:c>
      <x:c r="K51" s="23" t="str">
        <x:f aca="0">Selector_Linii_v2!T12</x:f>
        <x:v>PASS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18" hidden="0" customWidth="1"/>
    <x:col min="3" max="3" width="15" hidden="0" customWidth="1"/>
    <x:col min="4" max="5" width="42" hidden="0" customWidth="1"/>
    <x:col min="6" max="7" width="20" hidden="0" customWidth="1"/>
    <x:col min="8" max="8" width="24" hidden="0" customWidth="1"/>
  </x:cols>
  <x:sheetData>
    <x:row r="1" ht="28" hidden="0" customHeight="1">
      <x:c r="A1" s="22" t="s">
        <x:v>874</x:v>
      </x:c>
      <x:c r="B1" s="22"/>
      <x:c r="C1" s="22"/>
      <x:c r="D1" s="22"/>
      <x:c r="E1" s="22"/>
      <x:c r="F1" s="22"/>
    </x:row>
    <x:row r="2" ht="15" hidden="0" customHeight="1">
      <x:c r="A2" s="63" t="s">
        <x:v>875</x:v>
      </x:c>
      <x:c r="B2" s="63"/>
      <x:c r="C2" s="63"/>
      <x:c r="D2" s="63"/>
      <x:c r="E2" s="63"/>
      <x:c r="F2" s="63"/>
    </x:row>
    <x:row r="3" ht="26.399999618530273" hidden="0" customHeight="1">
      <x:c r="A3" s="64"/>
      <x:c r="B3" s="64"/>
      <x:c r="C3" s="64"/>
      <x:c r="D3" s="64"/>
      <x:c r="E3" s="64"/>
      <x:c r="F3" s="64"/>
    </x:row>
    <x:row r="4" ht="26.399999618530273" hidden="0" customHeight="1">
      <x:c r="A4" s="17" t="s">
        <x:v>63</x:v>
      </x:c>
      <x:c r="B4" s="17" t="s">
        <x:v>876</x:v>
      </x:c>
      <x:c r="C4" s="17" t="s">
        <x:v>877</x:v>
      </x:c>
      <x:c r="D4" s="17" t="s">
        <x:v>878</x:v>
      </x:c>
      <x:c r="E4" s="63"/>
      <x:c r="F4" s="63"/>
    </x:row>
    <x:row r="5" ht="52.79999923706055" hidden="0" customHeight="1">
      <x:c r="A5" s="63" t="s">
        <x:v>845</x:v>
      </x:c>
      <x:c r="B5" s="63" t="s">
        <x:v>879</x:v>
      </x:c>
      <x:c r="C5" s="63" t="s">
        <x:v>880</x:v>
      </x:c>
      <x:c r="D5" s="63" t="s">
        <x:v>881</x:v>
      </x:c>
      <x:c r="E5" s="63"/>
      <x:c r="F5" s="63"/>
    </x:row>
    <x:row r="6" ht="39.599998474121094" hidden="0" customHeight="1">
      <x:c r="A6" s="63" t="s">
        <x:v>848</x:v>
      </x:c>
      <x:c r="B6" s="63" t="s">
        <x:v>882</x:v>
      </x:c>
      <x:c r="C6" s="63" t="s">
        <x:v>232</x:v>
      </x:c>
      <x:c r="D6" s="63" t="s">
        <x:v>883</x:v>
      </x:c>
      <x:c r="E6" s="63"/>
      <x:c r="F6" s="63"/>
    </x:row>
    <x:row r="7" ht="39.599998474121094" hidden="0" customHeight="1">
      <x:c r="A7" s="63" t="s">
        <x:v>238</x:v>
      </x:c>
      <x:c r="B7" s="63" t="s">
        <x:v>884</x:v>
      </x:c>
      <x:c r="C7" s="63" t="s">
        <x:v>885</x:v>
      </x:c>
      <x:c r="D7" s="63" t="s">
        <x:v>886</x:v>
      </x:c>
      <x:c r="E7" s="63"/>
      <x:c r="F7" s="63"/>
    </x:row>
    <x:row r="8" ht="39.599998474121094" hidden="0" customHeight="1">
      <x:c r="A8" s="63" t="s">
        <x:v>241</x:v>
      </x:c>
      <x:c r="B8" s="63" t="s">
        <x:v>887</x:v>
      </x:c>
      <x:c r="C8" s="63" t="s">
        <x:v>888</x:v>
      </x:c>
      <x:c r="D8" s="63" t="s">
        <x:v>889</x:v>
      </x:c>
      <x:c r="E8" s="63"/>
      <x:c r="F8" s="63"/>
    </x:row>
    <x:row r="9" ht="39.599998474121094" hidden="0" customHeight="1">
      <x:c r="A9" s="63"/>
      <x:c r="B9" s="63"/>
      <x:c r="C9" s="63"/>
      <x:c r="D9" s="63"/>
      <x:c r="E9" s="63"/>
      <x:c r="F9" s="63"/>
    </x:row>
    <x:row r="10" ht="26.399999618530273" hidden="0" customHeight="1">
      <x:c r="A10" s="63"/>
      <x:c r="B10" s="63"/>
      <x:c r="C10" s="63"/>
      <x:c r="D10" s="63"/>
      <x:c r="E10" s="63"/>
      <x:c r="F10" s="63"/>
    </x:row>
    <x:row r="11" ht="15" hidden="0" customHeight="1">
      <x:c r="A11" s="63"/>
      <x:c r="B11" s="63"/>
      <x:c r="C11" s="63"/>
      <x:c r="D11" s="63"/>
      <x:c r="E11" s="63"/>
      <x:c r="F11" s="63"/>
    </x:row>
    <x:row r="12" ht="26.399999618530273" hidden="0" customHeight="1">
      <x:c r="A12" s="64"/>
      <x:c r="B12" s="64"/>
      <x:c r="C12" s="64"/>
      <x:c r="D12" s="64"/>
      <x:c r="E12" s="63"/>
      <x:c r="F12" s="63"/>
    </x:row>
    <x:row r="13" ht="52.79999923706055" hidden="0" customHeight="1">
      <x:c r="A13" s="63"/>
      <x:c r="B13" s="63"/>
      <x:c r="C13" s="63"/>
      <x:c r="D13" s="63"/>
      <x:c r="E13" s="63"/>
      <x:c r="F13" s="63"/>
    </x:row>
    <x:row r="14" ht="66" hidden="0" customHeight="1">
      <x:c r="A14" s="63"/>
      <x:c r="B14" s="63"/>
      <x:c r="C14" s="63"/>
      <x:c r="D14" s="63"/>
      <x:c r="E14" s="63"/>
      <x:c r="F14" s="63"/>
    </x:row>
    <x:row r="15" ht="105.5999984741211" hidden="0" customHeight="1">
      <x:c r="A15" s="63"/>
      <x:c r="B15" s="63"/>
      <x:c r="C15" s="63"/>
      <x:c r="D15" s="63"/>
      <x:c r="E15" s="63"/>
      <x:c r="F15" s="63"/>
    </x:row>
    <x:row r="16" ht="52.79999923706055" hidden="0" customHeight="1">
      <x:c r="A16" s="63"/>
      <x:c r="B16" s="63"/>
      <x:c r="C16" s="63"/>
      <x:c r="D16" s="63"/>
      <x:c r="E16" s="63"/>
      <x:c r="F16" s="63"/>
    </x:row>
    <x:row r="17" ht="105.5999984741211" hidden="0" customHeight="1">
      <x:c r="A17" s="63"/>
      <x:c r="B17" s="63"/>
      <x:c r="C17" s="63"/>
      <x:c r="D17" s="63"/>
      <x:c r="E17" s="63"/>
      <x:c r="F17" s="63"/>
    </x:row>
    <x:row r="18" ht="92.4000015258789" hidden="0" customHeight="1">
      <x:c r="A18" s="63"/>
      <x:c r="B18" s="63"/>
      <x:c r="C18" s="63"/>
      <x:c r="D18" s="63"/>
      <x:c r="E18" s="63"/>
      <x:c r="F18" s="63"/>
    </x:row>
    <x:row r="19" ht="15" hidden="0" customHeight="1">
      <x:c r="A19" s="63"/>
      <x:c r="B19" s="63"/>
      <x:c r="C19" s="63"/>
      <x:c r="D19" s="63"/>
      <x:c r="E19" s="63"/>
      <x:c r="F19" s="63"/>
    </x:row>
    <x:row r="20" ht="15" hidden="0" customHeight="1">
      <x:c r="A20" s="63"/>
      <x:c r="B20" s="63"/>
      <x:c r="C20" s="63"/>
      <x:c r="D20" s="63"/>
      <x:c r="E20" s="63"/>
      <x:c r="F20" s="63"/>
    </x:row>
    <x:row r="21" ht="15" hidden="0" customHeight="1">
      <x:c r="A21" s="63"/>
      <x:c r="B21" s="63"/>
      <x:c r="C21" s="63"/>
      <x:c r="D21" s="63"/>
      <x:c r="E21" s="63"/>
      <x:c r="F21" s="63"/>
    </x:row>
    <x:row r="22" ht="15" hidden="0" customHeight="1">
      <x:c r="A22" s="63"/>
      <x:c r="B22" s="63"/>
      <x:c r="C22" s="63"/>
      <x:c r="D22" s="63"/>
      <x:c r="E22" s="63"/>
      <x:c r="F22" s="63"/>
    </x:row>
    <x:row r="23" ht="15" hidden="0" customHeight="1">
      <x:c r="A23" s="63"/>
      <x:c r="B23" s="63"/>
      <x:c r="C23" s="63"/>
      <x:c r="D23" s="63"/>
      <x:c r="E23" s="63"/>
      <x:c r="F23" s="63"/>
    </x:row>
    <x:row r="24" ht="15" hidden="0" customHeight="1">
      <x:c r="A24" s="63"/>
      <x:c r="B24" s="63"/>
      <x:c r="C24" s="63"/>
      <x:c r="D24" s="63"/>
      <x:c r="E24" s="63"/>
      <x:c r="F24" s="6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28" hidden="0" customHeight="1">
      <x:c r="A1" s="46" t="s">
        <x:v>890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</x:row>
    <x:row r="2" ht="48" hidden="0" customHeight="1">
      <x:c r="A2" s="65" t="str">
        <x:v>Înainte de meci: copiază rândul 307 și lipește NUMAI VALORI în primul rând liber 4–303. Completează ID unic și timestamp. Rezultatele se introduc ulterior în Settlement.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  <x:c r="AB2" s="65"/>
    </x:row>
    <x:row r="3" ht="40" hidden="0" customHeight="1">
      <x:c r="A3" s="5" t="s">
        <x:v>891</x:v>
      </x:c>
      <x:c r="B3" s="5" t="s">
        <x:v>892</x:v>
      </x:c>
      <x:c r="C3" s="5" t="s">
        <x:v>893</x:v>
      </x:c>
      <x:c r="D3" s="5" t="s">
        <x:v>894</x:v>
      </x:c>
      <x:c r="E3" s="5" t="s">
        <x:v>895</x:v>
      </x:c>
      <x:c r="F3" s="5" t="s">
        <x:v>896</x:v>
      </x:c>
      <x:c r="G3" s="5" t="s">
        <x:v>897</x:v>
      </x:c>
      <x:c r="H3" s="5" t="s">
        <x:v>898</x:v>
      </x:c>
      <x:c r="I3" s="5" t="s">
        <x:v>899</x:v>
      </x:c>
      <x:c r="J3" s="5" t="s">
        <x:v>900</x:v>
      </x:c>
      <x:c r="K3" s="5" t="s">
        <x:v>901</x:v>
      </x:c>
      <x:c r="L3" s="5" t="s">
        <x:v>902</x:v>
      </x:c>
      <x:c r="M3" s="5" t="s">
        <x:v>903</x:v>
      </x:c>
      <x:c r="N3" s="5" t="s">
        <x:v>904</x:v>
      </x:c>
      <x:c r="O3" s="5" t="s">
        <x:v>905</x:v>
      </x:c>
      <x:c r="P3" s="5" t="s">
        <x:v>906</x:v>
      </x:c>
      <x:c r="Q3" s="5" t="s">
        <x:v>907</x:v>
      </x:c>
      <x:c r="R3" s="5" t="s">
        <x:v>908</x:v>
      </x:c>
      <x:c r="S3" s="5" t="s">
        <x:v>238</x:v>
      </x:c>
      <x:c r="T3" s="5" t="s">
        <x:v>909</x:v>
      </x:c>
      <x:c r="U3" s="5" t="s">
        <x:v>910</x:v>
      </x:c>
      <x:c r="V3" s="5" t="s">
        <x:v>911</x:v>
      </x:c>
      <x:c r="W3" s="5" t="s">
        <x:v>241</x:v>
      </x:c>
      <x:c r="X3" s="5" t="s">
        <x:v>912</x:v>
      </x:c>
      <x:c r="Y3" s="5" t="s">
        <x:v>913</x:v>
      </x:c>
      <x:c r="Z3" s="5" t="s">
        <x:v>914</x:v>
      </x:c>
    </x:row>
    <x:row r="306" ht="40" customHeight="1">
      <x:c r="A306" s="138" t="str">
        <x:v>Snapshot_ID</x:v>
      </x:c>
      <x:c r="B306" s="138" t="str">
        <x:v>Snapshot_TS</x:v>
      </x:c>
      <x:c r="C306" s="138" t="str">
        <x:v>Match_Date</x:v>
      </x:c>
      <x:c r="D306" s="138" t="str">
        <x:v>Country</x:v>
      </x:c>
      <x:c r="E306" s="138" t="str">
        <x:v>League</x:v>
      </x:c>
      <x:c r="F306" s="138" t="str">
        <x:v>Home</x:v>
      </x:c>
      <x:c r="G306" s="138" t="str">
        <x:v>Away</x:v>
      </x:c>
      <x:c r="H306" s="138" t="str">
        <x:v>EH_Line</x:v>
      </x:c>
      <x:c r="I306" s="138" t="str">
        <x:v>Selection</x:v>
      </x:c>
      <x:c r="J306" s="138" t="str">
        <x:v>Model_Version</x:v>
      </x:c>
      <x:c r="K306" s="138" t="str">
        <x:v>P_Final</x:v>
      </x:c>
      <x:c r="L306" s="138" t="str">
        <x:v>Verdict</x:v>
      </x:c>
      <x:c r="M306" s="138" t="str">
        <x:v>Risk_Level</x:v>
      </x:c>
      <x:c r="N306" s="138" t="str">
        <x:v>Hard_Gates</x:v>
      </x:c>
      <x:c r="O306" s="138" t="str">
        <x:v>P_M2</x:v>
      </x:c>
      <x:c r="P306" s="138" t="str">
        <x:v>P_M3</x:v>
      </x:c>
      <x:c r="Q306" s="138" t="str">
        <x:v>P_M4</x:v>
      </x:c>
      <x:c r="R306" s="138" t="str">
        <x:v>P_M5Plus</x:v>
      </x:c>
      <x:c r="S306" s="138" t="str">
        <x:v>Concentration234</x:v>
      </x:c>
      <x:c r="T306" s="138" t="str">
        <x:v>ExactMarginSelected</x:v>
      </x:c>
      <x:c r="U306" s="138" t="str">
        <x:v>ExactMarginZone</x:v>
      </x:c>
      <x:c r="V306" s="138" t="str">
        <x:v>ConcentrationGate</x:v>
      </x:c>
      <x:c r="W306" s="138" t="str">
        <x:v>CombinedGate</x:v>
      </x:c>
      <x:c r="X306" s="138" t="str">
        <x:v>BuilderEligible</x:v>
      </x:c>
      <x:c r="Y306" s="138" t="str">
        <x:v>PreMatch_Frozen</x:v>
      </x:c>
      <x:c r="Z306" s="138" t="str">
        <x:v>Notes</x:v>
      </x:c>
    </x:row>
    <x:row r="307">
      <x:c r="A307" s="134"/>
      <x:c r="B307" s="134"/>
      <x:c r="C307" s="134" t="n">
        <x:f>Input_Meci!C6</x:f>
        <x:v>0</x:v>
      </x:c>
      <x:c r="D307" s="134"/>
      <x:c r="E307" s="134" t="n">
        <x:f>Input_Meci!C5</x:f>
        <x:v>0</x:v>
      </x:c>
      <x:c r="F307" s="134" t="str">
        <x:f>Input_Meci!C4</x:f>
        <x:v>GAZDE</x:v>
      </x:c>
      <x:c r="G307" s="134" t="str">
        <x:f>Input_Meci!D4</x:f>
        <x:v>OASPEȚI</x:v>
      </x:c>
      <x:c r="H307" s="134" t="n">
        <x:f>Input_Meci!C7</x:f>
        <x:v>-1</x:v>
      </x:c>
      <x:c r="I307" s="134" t="n">
        <x:f>Analiza_Selectata!B8</x:f>
        <x:v>1</x:v>
      </x:c>
      <x:c r="J307" s="134" t="str">
        <x:v>v7</x:v>
      </x:c>
      <x:c r="K307" s="139" t="n">
        <x:f>Analiza_Selectata!B10</x:f>
        <x:v>0.45768440008875827</x:v>
      </x:c>
      <x:c r="L307" s="134" t="str">
        <x:f>Analiza_Selectata!B20</x:f>
        <x:v>MODERAT</x:v>
      </x:c>
      <x:c r="M307" s="134" t="n">
        <x:f>Analiza_Selectata!B19</x:f>
        <x:v>3</x:v>
      </x:c>
      <x:c r="N307" s="134" t="str">
        <x:f>IFERROR(INDEX(Selector_Linii_v2!$U$4:$U$12,MATCH(Input_Meci!$C$7,Selector_Linii_v2!$A$4:$A$12,0)),"")</x:f>
        <x:v>ELIGIBIL TEHNIC</x:v>
      </x:c>
      <x:c r="O307" s="140" t="n">
        <x:f>IFERROR(INDEX(Selector_Linii_v2!$K$4:$K$12,MATCH(Input_Meci!$C$7,Selector_Linii_v2!$A$4:$A$12,0)),"")</x:f>
        <x:v>0.2137019393617132</x:v>
      </x:c>
      <x:c r="P307" s="140" t="n">
        <x:f>IFERROR(INDEX(Selector_Linii_v2!$L$4:$L$12,MATCH(Input_Meci!$C$7,Selector_Linii_v2!$A$4:$A$12,0)),"")</x:f>
        <x:v>0.13587661950227048</x:v>
      </x:c>
      <x:c r="Q307" s="140" t="n">
        <x:f>IFERROR(INDEX(Selector_Linii_v2!$M$4:$M$12,MATCH(Input_Meci!$C$7,Selector_Linii_v2!$A$4:$A$12,0)),"")</x:f>
        <x:v>0.06752725018255235</x:v>
      </x:c>
      <x:c r="R307" s="140" t="n">
        <x:f>IFERROR(INDEX(Selector_Linii_v2!$S$4:$S$12,MATCH(Input_Meci!$C$7,Selector_Linii_v2!$A$4:$A$12,0)),"")</x:f>
        <x:v>0.29668459152105703</x:v>
      </x:c>
      <x:c r="S307" s="140" t="n">
        <x:f>IFERROR(INDEX(Selector_Linii_v2!$N$4:$N$12,MATCH(Input_Meci!$C$7,Selector_Linii_v2!$A$4:$A$12,0)),"")</x:f>
        <x:v>0.41710580904653605</x:v>
      </x:c>
      <x:c r="T307" s="140" t="n">
        <x:f>IFERROR(INDEX(Selector_Linii_v2!$R$4:$R$12,MATCH(Input_Meci!$C$7,Selector_Linii_v2!$A$4:$A$12,0)),"")</x:f>
        <x:v>0.24561621453674673</x:v>
      </x:c>
      <x:c r="U307" s="134" t="str">
        <x:f>ExactMargin_Gate_v5!B11</x:f>
        <x:v>N/A</x:v>
      </x:c>
      <x:c r="V307" s="134" t="str">
        <x:f>ExactMargin_Gate_v5!B12</x:f>
        <x:v>N/A</x:v>
      </x:c>
      <x:c r="W307" s="134" t="str">
        <x:f>IFERROR(INDEX(Selector_Linii_v2!$T$4:$T$12,MATCH(Input_Meci!$C$7,Selector_Linii_v2!$A$4:$A$12,0)),"")</x:f>
        <x:v>N/A</x:v>
      </x:c>
      <x:c r="X307" s="134" t="str">
        <x:f>ExactMargin_Gate_v5!B14</x:f>
        <x:v>NO</x:v>
      </x:c>
      <x:c r="Y307" s="134" t="str">
        <x:v>YES</x:v>
      </x:c>
      <x:c r="Z307" s="134" t="str">
        <x:v>Workbook optimizat V2</x:v>
      </x:c>
    </x:row>
  </x:sheetData>
  <x:mergeCells>
    <x:mergeCell ref="A1:AB1"/>
    <x:mergeCell ref="A2:AB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7.350000381469727" hidden="0" customHeight="1">
      <x:c r="A1" s="66" t="str">
        <x:v>REZULTATE DUPĂ MECI – PREDICȚII ÎNGHEȚATE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</x:row>
    <x:row r="2" ht="40" hidden="0" customHeight="1">
      <x:c r="A2" s="65" t="str">
        <x:v>Completează ID-ul snapshotului, scorul gazde/oaspeți, sursa și data verificării. Datele predicției și verdictul provin exclusiv din Frozen_Predictions.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</x:row>
    <x:row r="3" ht="40" hidden="0" customHeight="1">
      <x:c r="A3" s="5" t="s">
        <x:v>891</x:v>
      </x:c>
      <x:c r="B3" s="5" t="s">
        <x:v>893</x:v>
      </x:c>
      <x:c r="C3" s="5" t="s">
        <x:v>895</x:v>
      </x:c>
      <x:c r="D3" s="5" t="s">
        <x:v>896</x:v>
      </x:c>
      <x:c r="E3" s="5" t="s">
        <x:v>897</x:v>
      </x:c>
      <x:c r="F3" s="5" t="s">
        <x:v>898</x:v>
      </x:c>
      <x:c r="G3" s="5" t="s">
        <x:v>899</x:v>
      </x:c>
      <x:c r="H3" s="5" t="s">
        <x:v>900</x:v>
      </x:c>
      <x:c r="I3" s="5" t="s">
        <x:v>915</x:v>
      </x:c>
      <x:c r="J3" s="5" t="s">
        <x:v>916</x:v>
      </x:c>
      <x:c r="K3" s="5" t="s">
        <x:v>917</x:v>
      </x:c>
      <x:c r="L3" s="5" t="s">
        <x:v>918</x:v>
      </x:c>
      <x:c r="M3" s="5" t="s">
        <x:v>919</x:v>
      </x:c>
      <x:c r="N3" s="5" t="s">
        <x:v>920</x:v>
      </x:c>
      <x:c r="O3" s="5" t="s">
        <x:v>921</x:v>
      </x:c>
      <x:c r="P3" s="5" t="s">
        <x:v>922</x:v>
      </x:c>
      <x:c r="Q3" s="5" t="s">
        <x:v>923</x:v>
      </x:c>
      <x:c r="R3" s="5" t="s">
        <x:v>924</x:v>
      </x:c>
      <x:c r="S3" s="5" t="s">
        <x:v>925</x:v>
      </x:c>
      <x:c r="T3" s="5" t="s">
        <x:v>903</x:v>
      </x:c>
      <x:c r="U3" s="5" t="s">
        <x:v>926</x:v>
      </x:c>
      <x:c r="V3" s="5" t="s">
        <x:v>927</x:v>
      </x:c>
      <x:c r="W3" s="5" t="s">
        <x:v>914</x:v>
      </x:c>
    </x:row>
    <x:row r="4" ht="15" hidden="0">
      <x:c r="A4" s="141"/>
      <x:c r="B4" t="str">
        <x:f>IF(OR(A4="",COUNTIF(Frozen_Predictions!$A$4:$A$303,A4)&lt;&gt;1),"",INDEX(Frozen_Predictions!$C$4:$C$303,MATCH(A4,Frozen_Predictions!$A$4:$A$303,0)))</x:f>
      </x:c>
      <x:c r="C4" t="str">
        <x:f>IF(OR(A4="",COUNTIF(Frozen_Predictions!$A$4:$A$303,A4)&lt;&gt;1),"",INDEX(Frozen_Predictions!$E$4:$E$303,MATCH(A4,Frozen_Predictions!$A$4:$A$303,0)))</x:f>
      </x:c>
      <x:c r="D4" t="str">
        <x:f>IF(OR(A4="",COUNTIF(Frozen_Predictions!$A$4:$A$303,A4)&lt;&gt;1),"",INDEX(Frozen_Predictions!$F$4:$F$303,MATCH(A4,Frozen_Predictions!$A$4:$A$303,0)))</x:f>
      </x:c>
      <x:c r="E4" t="str">
        <x:f>IF(OR(A4="",COUNTIF(Frozen_Predictions!$A$4:$A$303,A4)&lt;&gt;1),"",INDEX(Frozen_Predictions!$G$4:$G$303,MATCH(A4,Frozen_Predictions!$A$4:$A$303,0)))</x:f>
      </x:c>
      <x:c r="F4" t="str">
        <x:f>IF(OR(A4="",COUNTIF(Frozen_Predictions!$A$4:$A$303,A4)&lt;&gt;1),"",INDEX(Frozen_Predictions!$H$4:$H$303,MATCH(A4,Frozen_Predictions!$A$4:$A$303,0)))</x:f>
      </x:c>
      <x:c r="G4" t="str">
        <x:f>IF(OR(A4="",COUNTIF(Frozen_Predictions!$A$4:$A$303,A4)&lt;&gt;1),"",INDEX(Frozen_Predictions!$I$4:$I$303,MATCH(A4,Frozen_Predictions!$A$4:$A$303,0)))</x:f>
      </x:c>
      <x:c r="H4" t="str">
        <x:f>IF(OR(A4="",COUNTIF(Frozen_Predictions!$A$4:$A$303,A4)&lt;&gt;1),"",INDEX(Frozen_Predictions!$J$4:$J$303,MATCH(A4,Frozen_Predictions!$A$4:$A$303,0)))</x:f>
      </x:c>
      <x:c r="I4" t="str">
        <x:f>IF(OR(A4="",COUNTIF(Frozen_Predictions!$A$4:$A$303,A4)&lt;&gt;1),"",INDEX(Frozen_Predictions!$K$4:$K$303,MATCH(A4,Frozen_Predictions!$A$4:$A$303,0)))</x:f>
      </x:c>
      <x:c r="J4" s="142" t="str">
        <x:f>IF(OR(A4="",G4="",COUNT(K4:M4)&lt;3,COUNTIF($A$4:$A$303,A4)&lt;&gt;1),"",IF(IF(M4+F4&gt;0,"1",IF(M4+F4=0,"X","2"))=G4&amp;"",1,0))</x:f>
      </x:c>
      <x:c r="K4" s="143"/>
      <x:c r="L4" s="143"/>
      <x:c r="M4" s="142" t="str">
        <x:f>IF(AND(A4&lt;&gt;"",COUNT(K4:L4)=2),K4-L4,"")</x:f>
      </x:c>
      <x:c r="N4" s="142" t="str">
        <x:f>IF(J4="","",IF(M4+F4=0,"YES","NO"))</x:f>
      </x:c>
      <x:c r="O4" t="str">
        <x:f>IF(J4="","",IF(J4=1,"WIN",IF(N4="YES","Exact margin M="&amp;ABS(F4),"Direction / tail")))</x:f>
      </x:c>
      <x:c r="P4" s="141"/>
      <x:c r="Q4" s="141"/>
      <x:c r="R4" s="144" t="str">
        <x:f aca="0">IF(OR(I4="",J4=""),"",(I4-J4)^2)</x:f>
      </x:c>
      <x:c r="S4" s="144" t="str">
        <x:f aca="0">IF(OR(I4="",J4=""),"",-(J4*LN(MAX(MIN(I4,0.999999),0.000001))+(1-J4)*LN(MAX(MIN(1-I4,0.999999),0.000001))))</x:f>
      </x:c>
      <x:c r="T4" t="str">
        <x:f>IF(J4="","",INDEX(Frozen_Predictions!$M$4:$M$303,MATCH(A4,Frozen_Predictions!$A$4:$A$303,0)))</x:f>
      </x:c>
      <x:c r="U4" t="str">
        <x:f>IF(J4="","",INDEX(Frozen_Predictions!$W$4:$W$303,MATCH(A4,Frozen_Predictions!$A$4:$A$303,0)))</x:f>
      </x:c>
      <x:c r="V4" t="str">
        <x:f>IF(J4="","",INDEX(Frozen_Predictions!$X$4:$X$303,MATCH(A4,Frozen_Predictions!$A$4:$A$303,0)))</x:f>
      </x:c>
      <x:c r="W4" t="str">
        <x:f>IF(A4="","",IF(COUNTIF($A$4:$A$303,A4)&lt;&gt;1,"ID DUPLICAT",IF(COUNTIF(Frozen_Predictions!$A$4:$A$303,A4)&lt;&gt;1,"ID INEXISTENT SAU DUPLICAT ÎN FROZEN",IF(COUNT(K4:L4)&lt;2,"COMPLETEAZĂ SCORUL","VERIFICAT"))))</x:f>
      </x:c>
    </x:row>
    <x:row r="5">
      <x:c r="A5" s="141"/>
      <x:c r="B5" t="str">
        <x:f>IF(OR(A5="",COUNTIF(Frozen_Predictions!$A$4:$A$303,A5)&lt;&gt;1),"",INDEX(Frozen_Predictions!$C$4:$C$303,MATCH(A5,Frozen_Predictions!$A$4:$A$303,0)))</x:f>
      </x:c>
      <x:c r="C5" t="str">
        <x:f>IF(OR(A5="",COUNTIF(Frozen_Predictions!$A$4:$A$303,A5)&lt;&gt;1),"",INDEX(Frozen_Predictions!$E$4:$E$303,MATCH(A5,Frozen_Predictions!$A$4:$A$303,0)))</x:f>
      </x:c>
      <x:c r="D5" t="str">
        <x:f>IF(OR(A5="",COUNTIF(Frozen_Predictions!$A$4:$A$303,A5)&lt;&gt;1),"",INDEX(Frozen_Predictions!$F$4:$F$303,MATCH(A5,Frozen_Predictions!$A$4:$A$303,0)))</x:f>
      </x:c>
      <x:c r="E5" t="str">
        <x:f>IF(OR(A5="",COUNTIF(Frozen_Predictions!$A$4:$A$303,A5)&lt;&gt;1),"",INDEX(Frozen_Predictions!$G$4:$G$303,MATCH(A5,Frozen_Predictions!$A$4:$A$303,0)))</x:f>
      </x:c>
      <x:c r="F5" t="str">
        <x:f>IF(OR(A5="",COUNTIF(Frozen_Predictions!$A$4:$A$303,A5)&lt;&gt;1),"",INDEX(Frozen_Predictions!$H$4:$H$303,MATCH(A5,Frozen_Predictions!$A$4:$A$303,0)))</x:f>
      </x:c>
      <x:c r="G5" t="str">
        <x:f>IF(OR(A5="",COUNTIF(Frozen_Predictions!$A$4:$A$303,A5)&lt;&gt;1),"",INDEX(Frozen_Predictions!$I$4:$I$303,MATCH(A5,Frozen_Predictions!$A$4:$A$303,0)))</x:f>
      </x:c>
      <x:c r="H5" t="str">
        <x:f>IF(OR(A5="",COUNTIF(Frozen_Predictions!$A$4:$A$303,A5)&lt;&gt;1),"",INDEX(Frozen_Predictions!$J$4:$J$303,MATCH(A5,Frozen_Predictions!$A$4:$A$303,0)))</x:f>
      </x:c>
      <x:c r="I5" t="str">
        <x:f>IF(OR(A5="",COUNTIF(Frozen_Predictions!$A$4:$A$303,A5)&lt;&gt;1),"",INDEX(Frozen_Predictions!$K$4:$K$303,MATCH(A5,Frozen_Predictions!$A$4:$A$303,0)))</x:f>
      </x:c>
      <x:c r="J5" s="142" t="str">
        <x:f>IF(OR(A5="",G5="",COUNT(K5:M5)&lt;3,COUNTIF($A$4:$A$303,A5)&lt;&gt;1),"",IF(IF(M5+F5&gt;0,"1",IF(M5+F5=0,"X","2"))=G5&amp;"",1,0))</x:f>
      </x:c>
      <x:c r="K5" s="143"/>
      <x:c r="L5" s="143"/>
      <x:c r="M5" s="142" t="str">
        <x:f>IF(AND(A5&lt;&gt;"",COUNT(K5:L5)=2),K5-L5,"")</x:f>
      </x:c>
      <x:c r="N5" s="142" t="str">
        <x:f>IF(J5="","",IF(M5+F5=0,"YES","NO"))</x:f>
      </x:c>
      <x:c r="O5" t="str">
        <x:f>IF(J5="","",IF(J5=1,"WIN",IF(N5="YES","Exact margin M="&amp;ABS(F5),"Direction / tail")))</x:f>
      </x:c>
      <x:c r="P5" s="141"/>
      <x:c r="Q5" s="141"/>
      <x:c r="R5" s="144" t="str">
        <x:f>IF(OR(I5="",J5=""),"",(I5-J5)^2)</x:f>
      </x:c>
      <x:c r="S5" s="144" t="str">
        <x:f>IF(OR(I5="",J5=""),"",-(J5*LN(MAX(MIN(I5,0.999999),0.000001))+(1-J5)*LN(MAX(MIN(1-I5,0.999999),0.000001))))</x:f>
      </x:c>
      <x:c r="T5" t="str">
        <x:f>IF(J5="","",INDEX(Frozen_Predictions!$M$4:$M$303,MATCH(A5,Frozen_Predictions!$A$4:$A$303,0)))</x:f>
      </x:c>
      <x:c r="U5" t="str">
        <x:f>IF(J5="","",INDEX(Frozen_Predictions!$W$4:$W$303,MATCH(A5,Frozen_Predictions!$A$4:$A$303,0)))</x:f>
      </x:c>
      <x:c r="V5" t="str">
        <x:f>IF(J5="","",INDEX(Frozen_Predictions!$X$4:$X$303,MATCH(A5,Frozen_Predictions!$A$4:$A$303,0)))</x:f>
      </x:c>
      <x:c r="W5" t="str">
        <x:f>IF(A5="","",IF(COUNTIF($A$4:$A$303,A5)&lt;&gt;1,"ID DUPLICAT",IF(COUNTIF(Frozen_Predictions!$A$4:$A$303,A5)&lt;&gt;1,"ID INEXISTENT SAU DUPLICAT ÎN FROZEN",IF(COUNT(K5:L5)&lt;2,"COMPLETEAZĂ SCORUL","VERIFICAT"))))</x:f>
      </x:c>
    </x:row>
    <x:row r="6">
      <x:c r="A6" s="141"/>
      <x:c r="B6" t="str">
        <x:f>IF(OR(A6="",COUNTIF(Frozen_Predictions!$A$4:$A$303,A6)&lt;&gt;1),"",INDEX(Frozen_Predictions!$C$4:$C$303,MATCH(A6,Frozen_Predictions!$A$4:$A$303,0)))</x:f>
      </x:c>
      <x:c r="C6" t="str">
        <x:f>IF(OR(A6="",COUNTIF(Frozen_Predictions!$A$4:$A$303,A6)&lt;&gt;1),"",INDEX(Frozen_Predictions!$E$4:$E$303,MATCH(A6,Frozen_Predictions!$A$4:$A$303,0)))</x:f>
      </x:c>
      <x:c r="D6" t="str">
        <x:f>IF(OR(A6="",COUNTIF(Frozen_Predictions!$A$4:$A$303,A6)&lt;&gt;1),"",INDEX(Frozen_Predictions!$F$4:$F$303,MATCH(A6,Frozen_Predictions!$A$4:$A$303,0)))</x:f>
      </x:c>
      <x:c r="E6" t="str">
        <x:f>IF(OR(A6="",COUNTIF(Frozen_Predictions!$A$4:$A$303,A6)&lt;&gt;1),"",INDEX(Frozen_Predictions!$G$4:$G$303,MATCH(A6,Frozen_Predictions!$A$4:$A$303,0)))</x:f>
      </x:c>
      <x:c r="F6" t="str">
        <x:f>IF(OR(A6="",COUNTIF(Frozen_Predictions!$A$4:$A$303,A6)&lt;&gt;1),"",INDEX(Frozen_Predictions!$H$4:$H$303,MATCH(A6,Frozen_Predictions!$A$4:$A$303,0)))</x:f>
      </x:c>
      <x:c r="G6" t="str">
        <x:f>IF(OR(A6="",COUNTIF(Frozen_Predictions!$A$4:$A$303,A6)&lt;&gt;1),"",INDEX(Frozen_Predictions!$I$4:$I$303,MATCH(A6,Frozen_Predictions!$A$4:$A$303,0)))</x:f>
      </x:c>
      <x:c r="H6" t="str">
        <x:f>IF(OR(A6="",COUNTIF(Frozen_Predictions!$A$4:$A$303,A6)&lt;&gt;1),"",INDEX(Frozen_Predictions!$J$4:$J$303,MATCH(A6,Frozen_Predictions!$A$4:$A$303,0)))</x:f>
      </x:c>
      <x:c r="I6" t="str">
        <x:f>IF(OR(A6="",COUNTIF(Frozen_Predictions!$A$4:$A$303,A6)&lt;&gt;1),"",INDEX(Frozen_Predictions!$K$4:$K$303,MATCH(A6,Frozen_Predictions!$A$4:$A$303,0)))</x:f>
      </x:c>
      <x:c r="J6" s="142" t="str">
        <x:f>IF(OR(A6="",G6="",COUNT(K6:M6)&lt;3,COUNTIF($A$4:$A$303,A6)&lt;&gt;1),"",IF(IF(M6+F6&gt;0,"1",IF(M6+F6=0,"X","2"))=G6&amp;"",1,0))</x:f>
      </x:c>
      <x:c r="K6" s="143"/>
      <x:c r="L6" s="143"/>
      <x:c r="M6" s="142" t="str">
        <x:f>IF(AND(A6&lt;&gt;"",COUNT(K6:L6)=2),K6-L6,"")</x:f>
      </x:c>
      <x:c r="N6" s="142" t="str">
        <x:f>IF(J6="","",IF(M6+F6=0,"YES","NO"))</x:f>
      </x:c>
      <x:c r="O6" t="str">
        <x:f>IF(J6="","",IF(J6=1,"WIN",IF(N6="YES","Exact margin M="&amp;ABS(F6),"Direction / tail")))</x:f>
      </x:c>
      <x:c r="P6" s="141"/>
      <x:c r="Q6" s="141"/>
      <x:c r="R6" s="144" t="str">
        <x:f>IF(OR(I6="",J6=""),"",(I6-J6)^2)</x:f>
      </x:c>
      <x:c r="S6" s="144" t="str">
        <x:f>IF(OR(I6="",J6=""),"",-(J6*LN(MAX(MIN(I6,0.999999),0.000001))+(1-J6)*LN(MAX(MIN(1-I6,0.999999),0.000001))))</x:f>
      </x:c>
      <x:c r="T6" t="str">
        <x:f>IF(J6="","",INDEX(Frozen_Predictions!$M$4:$M$303,MATCH(A6,Frozen_Predictions!$A$4:$A$303,0)))</x:f>
      </x:c>
      <x:c r="U6" t="str">
        <x:f>IF(J6="","",INDEX(Frozen_Predictions!$W$4:$W$303,MATCH(A6,Frozen_Predictions!$A$4:$A$303,0)))</x:f>
      </x:c>
      <x:c r="V6" t="str">
        <x:f>IF(J6="","",INDEX(Frozen_Predictions!$X$4:$X$303,MATCH(A6,Frozen_Predictions!$A$4:$A$303,0)))</x:f>
      </x:c>
      <x:c r="W6" t="str">
        <x:f>IF(A6="","",IF(COUNTIF($A$4:$A$303,A6)&lt;&gt;1,"ID DUPLICAT",IF(COUNTIF(Frozen_Predictions!$A$4:$A$303,A6)&lt;&gt;1,"ID INEXISTENT SAU DUPLICAT ÎN FROZEN",IF(COUNT(K6:L6)&lt;2,"COMPLETEAZĂ SCORUL","VERIFICAT"))))</x:f>
      </x:c>
    </x:row>
    <x:row r="7">
      <x:c r="A7" s="141"/>
      <x:c r="B7" t="str">
        <x:f>IF(OR(A7="",COUNTIF(Frozen_Predictions!$A$4:$A$303,A7)&lt;&gt;1),"",INDEX(Frozen_Predictions!$C$4:$C$303,MATCH(A7,Frozen_Predictions!$A$4:$A$303,0)))</x:f>
      </x:c>
      <x:c r="C7" t="str">
        <x:f>IF(OR(A7="",COUNTIF(Frozen_Predictions!$A$4:$A$303,A7)&lt;&gt;1),"",INDEX(Frozen_Predictions!$E$4:$E$303,MATCH(A7,Frozen_Predictions!$A$4:$A$303,0)))</x:f>
      </x:c>
      <x:c r="D7" t="str">
        <x:f>IF(OR(A7="",COUNTIF(Frozen_Predictions!$A$4:$A$303,A7)&lt;&gt;1),"",INDEX(Frozen_Predictions!$F$4:$F$303,MATCH(A7,Frozen_Predictions!$A$4:$A$303,0)))</x:f>
      </x:c>
      <x:c r="E7" t="str">
        <x:f>IF(OR(A7="",COUNTIF(Frozen_Predictions!$A$4:$A$303,A7)&lt;&gt;1),"",INDEX(Frozen_Predictions!$G$4:$G$303,MATCH(A7,Frozen_Predictions!$A$4:$A$303,0)))</x:f>
      </x:c>
      <x:c r="F7" t="str">
        <x:f>IF(OR(A7="",COUNTIF(Frozen_Predictions!$A$4:$A$303,A7)&lt;&gt;1),"",INDEX(Frozen_Predictions!$H$4:$H$303,MATCH(A7,Frozen_Predictions!$A$4:$A$303,0)))</x:f>
      </x:c>
      <x:c r="G7" t="str">
        <x:f>IF(OR(A7="",COUNTIF(Frozen_Predictions!$A$4:$A$303,A7)&lt;&gt;1),"",INDEX(Frozen_Predictions!$I$4:$I$303,MATCH(A7,Frozen_Predictions!$A$4:$A$303,0)))</x:f>
      </x:c>
      <x:c r="H7" t="str">
        <x:f>IF(OR(A7="",COUNTIF(Frozen_Predictions!$A$4:$A$303,A7)&lt;&gt;1),"",INDEX(Frozen_Predictions!$J$4:$J$303,MATCH(A7,Frozen_Predictions!$A$4:$A$303,0)))</x:f>
      </x:c>
      <x:c r="I7" t="str">
        <x:f>IF(OR(A7="",COUNTIF(Frozen_Predictions!$A$4:$A$303,A7)&lt;&gt;1),"",INDEX(Frozen_Predictions!$K$4:$K$303,MATCH(A7,Frozen_Predictions!$A$4:$A$303,0)))</x:f>
      </x:c>
      <x:c r="J7" s="142" t="str">
        <x:f>IF(OR(A7="",G7="",COUNT(K7:M7)&lt;3,COUNTIF($A$4:$A$303,A7)&lt;&gt;1),"",IF(IF(M7+F7&gt;0,"1",IF(M7+F7=0,"X","2"))=G7&amp;"",1,0))</x:f>
      </x:c>
      <x:c r="K7" s="143"/>
      <x:c r="L7" s="143"/>
      <x:c r="M7" s="142" t="str">
        <x:f>IF(AND(A7&lt;&gt;"",COUNT(K7:L7)=2),K7-L7,"")</x:f>
      </x:c>
      <x:c r="N7" s="142" t="str">
        <x:f>IF(J7="","",IF(M7+F7=0,"YES","NO"))</x:f>
      </x:c>
      <x:c r="O7" t="str">
        <x:f>IF(J7="","",IF(J7=1,"WIN",IF(N7="YES","Exact margin M="&amp;ABS(F7),"Direction / tail")))</x:f>
      </x:c>
      <x:c r="P7" s="141"/>
      <x:c r="Q7" s="141"/>
      <x:c r="R7" s="144" t="str">
        <x:f>IF(OR(I7="",J7=""),"",(I7-J7)^2)</x:f>
      </x:c>
      <x:c r="S7" s="144" t="str">
        <x:f>IF(OR(I7="",J7=""),"",-(J7*LN(MAX(MIN(I7,0.999999),0.000001))+(1-J7)*LN(MAX(MIN(1-I7,0.999999),0.000001))))</x:f>
      </x:c>
      <x:c r="T7" t="str">
        <x:f>IF(J7="","",INDEX(Frozen_Predictions!$M$4:$M$303,MATCH(A7,Frozen_Predictions!$A$4:$A$303,0)))</x:f>
      </x:c>
      <x:c r="U7" t="str">
        <x:f>IF(J7="","",INDEX(Frozen_Predictions!$W$4:$W$303,MATCH(A7,Frozen_Predictions!$A$4:$A$303,0)))</x:f>
      </x:c>
      <x:c r="V7" t="str">
        <x:f>IF(J7="","",INDEX(Frozen_Predictions!$X$4:$X$303,MATCH(A7,Frozen_Predictions!$A$4:$A$303,0)))</x:f>
      </x:c>
      <x:c r="W7" t="str">
        <x:f>IF(A7="","",IF(COUNTIF($A$4:$A$303,A7)&lt;&gt;1,"ID DUPLICAT",IF(COUNTIF(Frozen_Predictions!$A$4:$A$303,A7)&lt;&gt;1,"ID INEXISTENT SAU DUPLICAT ÎN FROZEN",IF(COUNT(K7:L7)&lt;2,"COMPLETEAZĂ SCORUL","VERIFICAT"))))</x:f>
      </x:c>
    </x:row>
    <x:row r="8">
      <x:c r="A8" s="141"/>
      <x:c r="B8" t="str">
        <x:f>IF(OR(A8="",COUNTIF(Frozen_Predictions!$A$4:$A$303,A8)&lt;&gt;1),"",INDEX(Frozen_Predictions!$C$4:$C$303,MATCH(A8,Frozen_Predictions!$A$4:$A$303,0)))</x:f>
      </x:c>
      <x:c r="C8" t="str">
        <x:f>IF(OR(A8="",COUNTIF(Frozen_Predictions!$A$4:$A$303,A8)&lt;&gt;1),"",INDEX(Frozen_Predictions!$E$4:$E$303,MATCH(A8,Frozen_Predictions!$A$4:$A$303,0)))</x:f>
      </x:c>
      <x:c r="D8" t="str">
        <x:f>IF(OR(A8="",COUNTIF(Frozen_Predictions!$A$4:$A$303,A8)&lt;&gt;1),"",INDEX(Frozen_Predictions!$F$4:$F$303,MATCH(A8,Frozen_Predictions!$A$4:$A$303,0)))</x:f>
      </x:c>
      <x:c r="E8" t="str">
        <x:f>IF(OR(A8="",COUNTIF(Frozen_Predictions!$A$4:$A$303,A8)&lt;&gt;1),"",INDEX(Frozen_Predictions!$G$4:$G$303,MATCH(A8,Frozen_Predictions!$A$4:$A$303,0)))</x:f>
      </x:c>
      <x:c r="F8" t="str">
        <x:f>IF(OR(A8="",COUNTIF(Frozen_Predictions!$A$4:$A$303,A8)&lt;&gt;1),"",INDEX(Frozen_Predictions!$H$4:$H$303,MATCH(A8,Frozen_Predictions!$A$4:$A$303,0)))</x:f>
      </x:c>
      <x:c r="G8" t="str">
        <x:f>IF(OR(A8="",COUNTIF(Frozen_Predictions!$A$4:$A$303,A8)&lt;&gt;1),"",INDEX(Frozen_Predictions!$I$4:$I$303,MATCH(A8,Frozen_Predictions!$A$4:$A$303,0)))</x:f>
      </x:c>
      <x:c r="H8" t="str">
        <x:f>IF(OR(A8="",COUNTIF(Frozen_Predictions!$A$4:$A$303,A8)&lt;&gt;1),"",INDEX(Frozen_Predictions!$J$4:$J$303,MATCH(A8,Frozen_Predictions!$A$4:$A$303,0)))</x:f>
      </x:c>
      <x:c r="I8" t="str">
        <x:f>IF(OR(A8="",COUNTIF(Frozen_Predictions!$A$4:$A$303,A8)&lt;&gt;1),"",INDEX(Frozen_Predictions!$K$4:$K$303,MATCH(A8,Frozen_Predictions!$A$4:$A$303,0)))</x:f>
      </x:c>
      <x:c r="J8" s="142" t="str">
        <x:f>IF(OR(A8="",G8="",COUNT(K8:M8)&lt;3,COUNTIF($A$4:$A$303,A8)&lt;&gt;1),"",IF(IF(M8+F8&gt;0,"1",IF(M8+F8=0,"X","2"))=G8&amp;"",1,0))</x:f>
      </x:c>
      <x:c r="K8" s="143"/>
      <x:c r="L8" s="143"/>
      <x:c r="M8" s="142" t="str">
        <x:f>IF(AND(A8&lt;&gt;"",COUNT(K8:L8)=2),K8-L8,"")</x:f>
      </x:c>
      <x:c r="N8" s="142" t="str">
        <x:f>IF(J8="","",IF(M8+F8=0,"YES","NO"))</x:f>
      </x:c>
      <x:c r="O8" t="str">
        <x:f>IF(J8="","",IF(J8=1,"WIN",IF(N8="YES","Exact margin M="&amp;ABS(F8),"Direction / tail")))</x:f>
      </x:c>
      <x:c r="P8" s="141"/>
      <x:c r="Q8" s="141"/>
      <x:c r="R8" s="144" t="str">
        <x:f>IF(OR(I8="",J8=""),"",(I8-J8)^2)</x:f>
      </x:c>
      <x:c r="S8" s="144" t="str">
        <x:f>IF(OR(I8="",J8=""),"",-(J8*LN(MAX(MIN(I8,0.999999),0.000001))+(1-J8)*LN(MAX(MIN(1-I8,0.999999),0.000001))))</x:f>
      </x:c>
      <x:c r="T8" t="str">
        <x:f>IF(J8="","",INDEX(Frozen_Predictions!$M$4:$M$303,MATCH(A8,Frozen_Predictions!$A$4:$A$303,0)))</x:f>
      </x:c>
      <x:c r="U8" t="str">
        <x:f>IF(J8="","",INDEX(Frozen_Predictions!$W$4:$W$303,MATCH(A8,Frozen_Predictions!$A$4:$A$303,0)))</x:f>
      </x:c>
      <x:c r="V8" t="str">
        <x:f>IF(J8="","",INDEX(Frozen_Predictions!$X$4:$X$303,MATCH(A8,Frozen_Predictions!$A$4:$A$303,0)))</x:f>
      </x:c>
      <x:c r="W8" t="str">
        <x:f>IF(A8="","",IF(COUNTIF($A$4:$A$303,A8)&lt;&gt;1,"ID DUPLICAT",IF(COUNTIF(Frozen_Predictions!$A$4:$A$303,A8)&lt;&gt;1,"ID INEXISTENT SAU DUPLICAT ÎN FROZEN",IF(COUNT(K8:L8)&lt;2,"COMPLETEAZĂ SCORUL","VERIFICAT"))))</x:f>
      </x:c>
    </x:row>
    <x:row r="9">
      <x:c r="A9" s="141"/>
      <x:c r="B9" t="str">
        <x:f>IF(OR(A9="",COUNTIF(Frozen_Predictions!$A$4:$A$303,A9)&lt;&gt;1),"",INDEX(Frozen_Predictions!$C$4:$C$303,MATCH(A9,Frozen_Predictions!$A$4:$A$303,0)))</x:f>
      </x:c>
      <x:c r="C9" t="str">
        <x:f>IF(OR(A9="",COUNTIF(Frozen_Predictions!$A$4:$A$303,A9)&lt;&gt;1),"",INDEX(Frozen_Predictions!$E$4:$E$303,MATCH(A9,Frozen_Predictions!$A$4:$A$303,0)))</x:f>
      </x:c>
      <x:c r="D9" t="str">
        <x:f>IF(OR(A9="",COUNTIF(Frozen_Predictions!$A$4:$A$303,A9)&lt;&gt;1),"",INDEX(Frozen_Predictions!$F$4:$F$303,MATCH(A9,Frozen_Predictions!$A$4:$A$303,0)))</x:f>
      </x:c>
      <x:c r="E9" t="str">
        <x:f>IF(OR(A9="",COUNTIF(Frozen_Predictions!$A$4:$A$303,A9)&lt;&gt;1),"",INDEX(Frozen_Predictions!$G$4:$G$303,MATCH(A9,Frozen_Predictions!$A$4:$A$303,0)))</x:f>
      </x:c>
      <x:c r="F9" t="str">
        <x:f>IF(OR(A9="",COUNTIF(Frozen_Predictions!$A$4:$A$303,A9)&lt;&gt;1),"",INDEX(Frozen_Predictions!$H$4:$H$303,MATCH(A9,Frozen_Predictions!$A$4:$A$303,0)))</x:f>
      </x:c>
      <x:c r="G9" t="str">
        <x:f>IF(OR(A9="",COUNTIF(Frozen_Predictions!$A$4:$A$303,A9)&lt;&gt;1),"",INDEX(Frozen_Predictions!$I$4:$I$303,MATCH(A9,Frozen_Predictions!$A$4:$A$303,0)))</x:f>
      </x:c>
      <x:c r="H9" t="str">
        <x:f>IF(OR(A9="",COUNTIF(Frozen_Predictions!$A$4:$A$303,A9)&lt;&gt;1),"",INDEX(Frozen_Predictions!$J$4:$J$303,MATCH(A9,Frozen_Predictions!$A$4:$A$303,0)))</x:f>
      </x:c>
      <x:c r="I9" t="str">
        <x:f>IF(OR(A9="",COUNTIF(Frozen_Predictions!$A$4:$A$303,A9)&lt;&gt;1),"",INDEX(Frozen_Predictions!$K$4:$K$303,MATCH(A9,Frozen_Predictions!$A$4:$A$303,0)))</x:f>
      </x:c>
      <x:c r="J9" s="142" t="str">
        <x:f>IF(OR(A9="",G9="",COUNT(K9:M9)&lt;3,COUNTIF($A$4:$A$303,A9)&lt;&gt;1),"",IF(IF(M9+F9&gt;0,"1",IF(M9+F9=0,"X","2"))=G9&amp;"",1,0))</x:f>
      </x:c>
      <x:c r="K9" s="143"/>
      <x:c r="L9" s="143"/>
      <x:c r="M9" s="142" t="str">
        <x:f>IF(AND(A9&lt;&gt;"",COUNT(K9:L9)=2),K9-L9,"")</x:f>
      </x:c>
      <x:c r="N9" s="142" t="str">
        <x:f>IF(J9="","",IF(M9+F9=0,"YES","NO"))</x:f>
      </x:c>
      <x:c r="O9" t="str">
        <x:f>IF(J9="","",IF(J9=1,"WIN",IF(N9="YES","Exact margin M="&amp;ABS(F9),"Direction / tail")))</x:f>
      </x:c>
      <x:c r="P9" s="141"/>
      <x:c r="Q9" s="141"/>
      <x:c r="R9" s="144" t="str">
        <x:f>IF(OR(I9="",J9=""),"",(I9-J9)^2)</x:f>
      </x:c>
      <x:c r="S9" s="144" t="str">
        <x:f>IF(OR(I9="",J9=""),"",-(J9*LN(MAX(MIN(I9,0.999999),0.000001))+(1-J9)*LN(MAX(MIN(1-I9,0.999999),0.000001))))</x:f>
      </x:c>
      <x:c r="T9" t="str">
        <x:f>IF(J9="","",INDEX(Frozen_Predictions!$M$4:$M$303,MATCH(A9,Frozen_Predictions!$A$4:$A$303,0)))</x:f>
      </x:c>
      <x:c r="U9" t="str">
        <x:f>IF(J9="","",INDEX(Frozen_Predictions!$W$4:$W$303,MATCH(A9,Frozen_Predictions!$A$4:$A$303,0)))</x:f>
      </x:c>
      <x:c r="V9" t="str">
        <x:f>IF(J9="","",INDEX(Frozen_Predictions!$X$4:$X$303,MATCH(A9,Frozen_Predictions!$A$4:$A$303,0)))</x:f>
      </x:c>
      <x:c r="W9" t="str">
        <x:f>IF(A9="","",IF(COUNTIF($A$4:$A$303,A9)&lt;&gt;1,"ID DUPLICAT",IF(COUNTIF(Frozen_Predictions!$A$4:$A$303,A9)&lt;&gt;1,"ID INEXISTENT SAU DUPLICAT ÎN FROZEN",IF(COUNT(K9:L9)&lt;2,"COMPLETEAZĂ SCORUL","VERIFICAT"))))</x:f>
      </x:c>
    </x:row>
    <x:row r="10">
      <x:c r="A10" s="141"/>
      <x:c r="B10" t="str">
        <x:f>IF(OR(A10="",COUNTIF(Frozen_Predictions!$A$4:$A$303,A10)&lt;&gt;1),"",INDEX(Frozen_Predictions!$C$4:$C$303,MATCH(A10,Frozen_Predictions!$A$4:$A$303,0)))</x:f>
      </x:c>
      <x:c r="C10" t="str">
        <x:f>IF(OR(A10="",COUNTIF(Frozen_Predictions!$A$4:$A$303,A10)&lt;&gt;1),"",INDEX(Frozen_Predictions!$E$4:$E$303,MATCH(A10,Frozen_Predictions!$A$4:$A$303,0)))</x:f>
      </x:c>
      <x:c r="D10" t="str">
        <x:f>IF(OR(A10="",COUNTIF(Frozen_Predictions!$A$4:$A$303,A10)&lt;&gt;1),"",INDEX(Frozen_Predictions!$F$4:$F$303,MATCH(A10,Frozen_Predictions!$A$4:$A$303,0)))</x:f>
      </x:c>
      <x:c r="E10" t="str">
        <x:f>IF(OR(A10="",COUNTIF(Frozen_Predictions!$A$4:$A$303,A10)&lt;&gt;1),"",INDEX(Frozen_Predictions!$G$4:$G$303,MATCH(A10,Frozen_Predictions!$A$4:$A$303,0)))</x:f>
      </x:c>
      <x:c r="F10" t="str">
        <x:f>IF(OR(A10="",COUNTIF(Frozen_Predictions!$A$4:$A$303,A10)&lt;&gt;1),"",INDEX(Frozen_Predictions!$H$4:$H$303,MATCH(A10,Frozen_Predictions!$A$4:$A$303,0)))</x:f>
      </x:c>
      <x:c r="G10" t="str">
        <x:f>IF(OR(A10="",COUNTIF(Frozen_Predictions!$A$4:$A$303,A10)&lt;&gt;1),"",INDEX(Frozen_Predictions!$I$4:$I$303,MATCH(A10,Frozen_Predictions!$A$4:$A$303,0)))</x:f>
      </x:c>
      <x:c r="H10" t="str">
        <x:f>IF(OR(A10="",COUNTIF(Frozen_Predictions!$A$4:$A$303,A10)&lt;&gt;1),"",INDEX(Frozen_Predictions!$J$4:$J$303,MATCH(A10,Frozen_Predictions!$A$4:$A$303,0)))</x:f>
      </x:c>
      <x:c r="I10" t="str">
        <x:f>IF(OR(A10="",COUNTIF(Frozen_Predictions!$A$4:$A$303,A10)&lt;&gt;1),"",INDEX(Frozen_Predictions!$K$4:$K$303,MATCH(A10,Frozen_Predictions!$A$4:$A$303,0)))</x:f>
      </x:c>
      <x:c r="J10" s="142" t="str">
        <x:f>IF(OR(A10="",G10="",COUNT(K10:M10)&lt;3,COUNTIF($A$4:$A$303,A10)&lt;&gt;1),"",IF(IF(M10+F10&gt;0,"1",IF(M10+F10=0,"X","2"))=G10&amp;"",1,0))</x:f>
      </x:c>
      <x:c r="K10" s="143"/>
      <x:c r="L10" s="143"/>
      <x:c r="M10" s="142" t="str">
        <x:f>IF(AND(A10&lt;&gt;"",COUNT(K10:L10)=2),K10-L10,"")</x:f>
      </x:c>
      <x:c r="N10" s="142" t="str">
        <x:f>IF(J10="","",IF(M10+F10=0,"YES","NO"))</x:f>
      </x:c>
      <x:c r="O10" t="str">
        <x:f>IF(J10="","",IF(J10=1,"WIN",IF(N10="YES","Exact margin M="&amp;ABS(F10),"Direction / tail")))</x:f>
      </x:c>
      <x:c r="P10" s="141"/>
      <x:c r="Q10" s="141"/>
      <x:c r="R10" s="144" t="str">
        <x:f>IF(OR(I10="",J10=""),"",(I10-J10)^2)</x:f>
      </x:c>
      <x:c r="S10" s="144" t="str">
        <x:f>IF(OR(I10="",J10=""),"",-(J10*LN(MAX(MIN(I10,0.999999),0.000001))+(1-J10)*LN(MAX(MIN(1-I10,0.999999),0.000001))))</x:f>
      </x:c>
      <x:c r="T10" t="str">
        <x:f>IF(J10="","",INDEX(Frozen_Predictions!$M$4:$M$303,MATCH(A10,Frozen_Predictions!$A$4:$A$303,0)))</x:f>
      </x:c>
      <x:c r="U10" t="str">
        <x:f>IF(J10="","",INDEX(Frozen_Predictions!$W$4:$W$303,MATCH(A10,Frozen_Predictions!$A$4:$A$303,0)))</x:f>
      </x:c>
      <x:c r="V10" t="str">
        <x:f>IF(J10="","",INDEX(Frozen_Predictions!$X$4:$X$303,MATCH(A10,Frozen_Predictions!$A$4:$A$303,0)))</x:f>
      </x:c>
      <x:c r="W10" t="str">
        <x:f>IF(A10="","",IF(COUNTIF($A$4:$A$303,A10)&lt;&gt;1,"ID DUPLICAT",IF(COUNTIF(Frozen_Predictions!$A$4:$A$303,A10)&lt;&gt;1,"ID INEXISTENT SAU DUPLICAT ÎN FROZEN",IF(COUNT(K10:L10)&lt;2,"COMPLETEAZĂ SCORUL","VERIFICAT"))))</x:f>
      </x:c>
    </x:row>
    <x:row r="11">
      <x:c r="A11" s="141"/>
      <x:c r="B11" t="str">
        <x:f>IF(OR(A11="",COUNTIF(Frozen_Predictions!$A$4:$A$303,A11)&lt;&gt;1),"",INDEX(Frozen_Predictions!$C$4:$C$303,MATCH(A11,Frozen_Predictions!$A$4:$A$303,0)))</x:f>
      </x:c>
      <x:c r="C11" t="str">
        <x:f>IF(OR(A11="",COUNTIF(Frozen_Predictions!$A$4:$A$303,A11)&lt;&gt;1),"",INDEX(Frozen_Predictions!$E$4:$E$303,MATCH(A11,Frozen_Predictions!$A$4:$A$303,0)))</x:f>
      </x:c>
      <x:c r="D11" t="str">
        <x:f>IF(OR(A11="",COUNTIF(Frozen_Predictions!$A$4:$A$303,A11)&lt;&gt;1),"",INDEX(Frozen_Predictions!$F$4:$F$303,MATCH(A11,Frozen_Predictions!$A$4:$A$303,0)))</x:f>
      </x:c>
      <x:c r="E11" t="str">
        <x:f>IF(OR(A11="",COUNTIF(Frozen_Predictions!$A$4:$A$303,A11)&lt;&gt;1),"",INDEX(Frozen_Predictions!$G$4:$G$303,MATCH(A11,Frozen_Predictions!$A$4:$A$303,0)))</x:f>
      </x:c>
      <x:c r="F11" t="str">
        <x:f>IF(OR(A11="",COUNTIF(Frozen_Predictions!$A$4:$A$303,A11)&lt;&gt;1),"",INDEX(Frozen_Predictions!$H$4:$H$303,MATCH(A11,Frozen_Predictions!$A$4:$A$303,0)))</x:f>
      </x:c>
      <x:c r="G11" t="str">
        <x:f>IF(OR(A11="",COUNTIF(Frozen_Predictions!$A$4:$A$303,A11)&lt;&gt;1),"",INDEX(Frozen_Predictions!$I$4:$I$303,MATCH(A11,Frozen_Predictions!$A$4:$A$303,0)))</x:f>
      </x:c>
      <x:c r="H11" t="str">
        <x:f>IF(OR(A11="",COUNTIF(Frozen_Predictions!$A$4:$A$303,A11)&lt;&gt;1),"",INDEX(Frozen_Predictions!$J$4:$J$303,MATCH(A11,Frozen_Predictions!$A$4:$A$303,0)))</x:f>
      </x:c>
      <x:c r="I11" t="str">
        <x:f>IF(OR(A11="",COUNTIF(Frozen_Predictions!$A$4:$A$303,A11)&lt;&gt;1),"",INDEX(Frozen_Predictions!$K$4:$K$303,MATCH(A11,Frozen_Predictions!$A$4:$A$303,0)))</x:f>
      </x:c>
      <x:c r="J11" s="142" t="str">
        <x:f>IF(OR(A11="",G11="",COUNT(K11:M11)&lt;3,COUNTIF($A$4:$A$303,A11)&lt;&gt;1),"",IF(IF(M11+F11&gt;0,"1",IF(M11+F11=0,"X","2"))=G11&amp;"",1,0))</x:f>
      </x:c>
      <x:c r="K11" s="143"/>
      <x:c r="L11" s="143"/>
      <x:c r="M11" s="142" t="str">
        <x:f>IF(AND(A11&lt;&gt;"",COUNT(K11:L11)=2),K11-L11,"")</x:f>
      </x:c>
      <x:c r="N11" s="142" t="str">
        <x:f>IF(J11="","",IF(M11+F11=0,"YES","NO"))</x:f>
      </x:c>
      <x:c r="O11" t="str">
        <x:f>IF(J11="","",IF(J11=1,"WIN",IF(N11="YES","Exact margin M="&amp;ABS(F11),"Direction / tail")))</x:f>
      </x:c>
      <x:c r="P11" s="141"/>
      <x:c r="Q11" s="141"/>
      <x:c r="R11" s="144" t="str">
        <x:f>IF(OR(I11="",J11=""),"",(I11-J11)^2)</x:f>
      </x:c>
      <x:c r="S11" s="144" t="str">
        <x:f>IF(OR(I11="",J11=""),"",-(J11*LN(MAX(MIN(I11,0.999999),0.000001))+(1-J11)*LN(MAX(MIN(1-I11,0.999999),0.000001))))</x:f>
      </x:c>
      <x:c r="T11" t="str">
        <x:f>IF(J11="","",INDEX(Frozen_Predictions!$M$4:$M$303,MATCH(A11,Frozen_Predictions!$A$4:$A$303,0)))</x:f>
      </x:c>
      <x:c r="U11" t="str">
        <x:f>IF(J11="","",INDEX(Frozen_Predictions!$W$4:$W$303,MATCH(A11,Frozen_Predictions!$A$4:$A$303,0)))</x:f>
      </x:c>
      <x:c r="V11" t="str">
        <x:f>IF(J11="","",INDEX(Frozen_Predictions!$X$4:$X$303,MATCH(A11,Frozen_Predictions!$A$4:$A$303,0)))</x:f>
      </x:c>
      <x:c r="W11" t="str">
        <x:f>IF(A11="","",IF(COUNTIF($A$4:$A$303,A11)&lt;&gt;1,"ID DUPLICAT",IF(COUNTIF(Frozen_Predictions!$A$4:$A$303,A11)&lt;&gt;1,"ID INEXISTENT SAU DUPLICAT ÎN FROZEN",IF(COUNT(K11:L11)&lt;2,"COMPLETEAZĂ SCORUL","VERIFICAT"))))</x:f>
      </x:c>
    </x:row>
    <x:row r="12">
      <x:c r="A12" s="141"/>
      <x:c r="B12" t="str">
        <x:f>IF(OR(A12="",COUNTIF(Frozen_Predictions!$A$4:$A$303,A12)&lt;&gt;1),"",INDEX(Frozen_Predictions!$C$4:$C$303,MATCH(A12,Frozen_Predictions!$A$4:$A$303,0)))</x:f>
      </x:c>
      <x:c r="C12" t="str">
        <x:f>IF(OR(A12="",COUNTIF(Frozen_Predictions!$A$4:$A$303,A12)&lt;&gt;1),"",INDEX(Frozen_Predictions!$E$4:$E$303,MATCH(A12,Frozen_Predictions!$A$4:$A$303,0)))</x:f>
      </x:c>
      <x:c r="D12" t="str">
        <x:f>IF(OR(A12="",COUNTIF(Frozen_Predictions!$A$4:$A$303,A12)&lt;&gt;1),"",INDEX(Frozen_Predictions!$F$4:$F$303,MATCH(A12,Frozen_Predictions!$A$4:$A$303,0)))</x:f>
      </x:c>
      <x:c r="E12" t="str">
        <x:f>IF(OR(A12="",COUNTIF(Frozen_Predictions!$A$4:$A$303,A12)&lt;&gt;1),"",INDEX(Frozen_Predictions!$G$4:$G$303,MATCH(A12,Frozen_Predictions!$A$4:$A$303,0)))</x:f>
      </x:c>
      <x:c r="F12" t="str">
        <x:f>IF(OR(A12="",COUNTIF(Frozen_Predictions!$A$4:$A$303,A12)&lt;&gt;1),"",INDEX(Frozen_Predictions!$H$4:$H$303,MATCH(A12,Frozen_Predictions!$A$4:$A$303,0)))</x:f>
      </x:c>
      <x:c r="G12" t="str">
        <x:f>IF(OR(A12="",COUNTIF(Frozen_Predictions!$A$4:$A$303,A12)&lt;&gt;1),"",INDEX(Frozen_Predictions!$I$4:$I$303,MATCH(A12,Frozen_Predictions!$A$4:$A$303,0)))</x:f>
      </x:c>
      <x:c r="H12" t="str">
        <x:f>IF(OR(A12="",COUNTIF(Frozen_Predictions!$A$4:$A$303,A12)&lt;&gt;1),"",INDEX(Frozen_Predictions!$J$4:$J$303,MATCH(A12,Frozen_Predictions!$A$4:$A$303,0)))</x:f>
      </x:c>
      <x:c r="I12" t="str">
        <x:f>IF(OR(A12="",COUNTIF(Frozen_Predictions!$A$4:$A$303,A12)&lt;&gt;1),"",INDEX(Frozen_Predictions!$K$4:$K$303,MATCH(A12,Frozen_Predictions!$A$4:$A$303,0)))</x:f>
      </x:c>
      <x:c r="J12" s="142" t="str">
        <x:f>IF(OR(A12="",G12="",COUNT(K12:M12)&lt;3,COUNTIF($A$4:$A$303,A12)&lt;&gt;1),"",IF(IF(M12+F12&gt;0,"1",IF(M12+F12=0,"X","2"))=G12&amp;"",1,0))</x:f>
      </x:c>
      <x:c r="K12" s="143"/>
      <x:c r="L12" s="143"/>
      <x:c r="M12" s="142" t="str">
        <x:f>IF(AND(A12&lt;&gt;"",COUNT(K12:L12)=2),K12-L12,"")</x:f>
      </x:c>
      <x:c r="N12" s="142" t="str">
        <x:f>IF(J12="","",IF(M12+F12=0,"YES","NO"))</x:f>
      </x:c>
      <x:c r="O12" t="str">
        <x:f>IF(J12="","",IF(J12=1,"WIN",IF(N12="YES","Exact margin M="&amp;ABS(F12),"Direction / tail")))</x:f>
      </x:c>
      <x:c r="P12" s="141"/>
      <x:c r="Q12" s="141"/>
      <x:c r="R12" s="144" t="str">
        <x:f>IF(OR(I12="",J12=""),"",(I12-J12)^2)</x:f>
      </x:c>
      <x:c r="S12" s="144" t="str">
        <x:f>IF(OR(I12="",J12=""),"",-(J12*LN(MAX(MIN(I12,0.999999),0.000001))+(1-J12)*LN(MAX(MIN(1-I12,0.999999),0.000001))))</x:f>
      </x:c>
      <x:c r="T12" t="str">
        <x:f>IF(J12="","",INDEX(Frozen_Predictions!$M$4:$M$303,MATCH(A12,Frozen_Predictions!$A$4:$A$303,0)))</x:f>
      </x:c>
      <x:c r="U12" t="str">
        <x:f>IF(J12="","",INDEX(Frozen_Predictions!$W$4:$W$303,MATCH(A12,Frozen_Predictions!$A$4:$A$303,0)))</x:f>
      </x:c>
      <x:c r="V12" t="str">
        <x:f>IF(J12="","",INDEX(Frozen_Predictions!$X$4:$X$303,MATCH(A12,Frozen_Predictions!$A$4:$A$303,0)))</x:f>
      </x:c>
      <x:c r="W12" t="str">
        <x:f>IF(A12="","",IF(COUNTIF($A$4:$A$303,A12)&lt;&gt;1,"ID DUPLICAT",IF(COUNTIF(Frozen_Predictions!$A$4:$A$303,A12)&lt;&gt;1,"ID INEXISTENT SAU DUPLICAT ÎN FROZEN",IF(COUNT(K12:L12)&lt;2,"COMPLETEAZĂ SCORUL","VERIFICAT"))))</x:f>
      </x:c>
    </x:row>
    <x:row r="13">
      <x:c r="A13" s="141"/>
      <x:c r="B13" t="str">
        <x:f>IF(OR(A13="",COUNTIF(Frozen_Predictions!$A$4:$A$303,A13)&lt;&gt;1),"",INDEX(Frozen_Predictions!$C$4:$C$303,MATCH(A13,Frozen_Predictions!$A$4:$A$303,0)))</x:f>
      </x:c>
      <x:c r="C13" t="str">
        <x:f>IF(OR(A13="",COUNTIF(Frozen_Predictions!$A$4:$A$303,A13)&lt;&gt;1),"",INDEX(Frozen_Predictions!$E$4:$E$303,MATCH(A13,Frozen_Predictions!$A$4:$A$303,0)))</x:f>
      </x:c>
      <x:c r="D13" t="str">
        <x:f>IF(OR(A13="",COUNTIF(Frozen_Predictions!$A$4:$A$303,A13)&lt;&gt;1),"",INDEX(Frozen_Predictions!$F$4:$F$303,MATCH(A13,Frozen_Predictions!$A$4:$A$303,0)))</x:f>
      </x:c>
      <x:c r="E13" t="str">
        <x:f>IF(OR(A13="",COUNTIF(Frozen_Predictions!$A$4:$A$303,A13)&lt;&gt;1),"",INDEX(Frozen_Predictions!$G$4:$G$303,MATCH(A13,Frozen_Predictions!$A$4:$A$303,0)))</x:f>
      </x:c>
      <x:c r="F13" t="str">
        <x:f>IF(OR(A13="",COUNTIF(Frozen_Predictions!$A$4:$A$303,A13)&lt;&gt;1),"",INDEX(Frozen_Predictions!$H$4:$H$303,MATCH(A13,Frozen_Predictions!$A$4:$A$303,0)))</x:f>
      </x:c>
      <x:c r="G13" t="str">
        <x:f>IF(OR(A13="",COUNTIF(Frozen_Predictions!$A$4:$A$303,A13)&lt;&gt;1),"",INDEX(Frozen_Predictions!$I$4:$I$303,MATCH(A13,Frozen_Predictions!$A$4:$A$303,0)))</x:f>
      </x:c>
      <x:c r="H13" t="str">
        <x:f>IF(OR(A13="",COUNTIF(Frozen_Predictions!$A$4:$A$303,A13)&lt;&gt;1),"",INDEX(Frozen_Predictions!$J$4:$J$303,MATCH(A13,Frozen_Predictions!$A$4:$A$303,0)))</x:f>
      </x:c>
      <x:c r="I13" t="str">
        <x:f>IF(OR(A13="",COUNTIF(Frozen_Predictions!$A$4:$A$303,A13)&lt;&gt;1),"",INDEX(Frozen_Predictions!$K$4:$K$303,MATCH(A13,Frozen_Predictions!$A$4:$A$303,0)))</x:f>
      </x:c>
      <x:c r="J13" s="142" t="str">
        <x:f>IF(OR(A13="",G13="",COUNT(K13:M13)&lt;3,COUNTIF($A$4:$A$303,A13)&lt;&gt;1),"",IF(IF(M13+F13&gt;0,"1",IF(M13+F13=0,"X","2"))=G13&amp;"",1,0))</x:f>
      </x:c>
      <x:c r="K13" s="143"/>
      <x:c r="L13" s="143"/>
      <x:c r="M13" s="142" t="str">
        <x:f>IF(AND(A13&lt;&gt;"",COUNT(K13:L13)=2),K13-L13,"")</x:f>
      </x:c>
      <x:c r="N13" s="142" t="str">
        <x:f>IF(J13="","",IF(M13+F13=0,"YES","NO"))</x:f>
      </x:c>
      <x:c r="O13" t="str">
        <x:f>IF(J13="","",IF(J13=1,"WIN",IF(N13="YES","Exact margin M="&amp;ABS(F13),"Direction / tail")))</x:f>
      </x:c>
      <x:c r="P13" s="141"/>
      <x:c r="Q13" s="141"/>
      <x:c r="R13" s="144" t="str">
        <x:f>IF(OR(I13="",J13=""),"",(I13-J13)^2)</x:f>
      </x:c>
      <x:c r="S13" s="144" t="str">
        <x:f>IF(OR(I13="",J13=""),"",-(J13*LN(MAX(MIN(I13,0.999999),0.000001))+(1-J13)*LN(MAX(MIN(1-I13,0.999999),0.000001))))</x:f>
      </x:c>
      <x:c r="T13" t="str">
        <x:f>IF(J13="","",INDEX(Frozen_Predictions!$M$4:$M$303,MATCH(A13,Frozen_Predictions!$A$4:$A$303,0)))</x:f>
      </x:c>
      <x:c r="U13" t="str">
        <x:f>IF(J13="","",INDEX(Frozen_Predictions!$W$4:$W$303,MATCH(A13,Frozen_Predictions!$A$4:$A$303,0)))</x:f>
      </x:c>
      <x:c r="V13" t="str">
        <x:f>IF(J13="","",INDEX(Frozen_Predictions!$X$4:$X$303,MATCH(A13,Frozen_Predictions!$A$4:$A$303,0)))</x:f>
      </x:c>
      <x:c r="W13" t="str">
        <x:f>IF(A13="","",IF(COUNTIF($A$4:$A$303,A13)&lt;&gt;1,"ID DUPLICAT",IF(COUNTIF(Frozen_Predictions!$A$4:$A$303,A13)&lt;&gt;1,"ID INEXISTENT SAU DUPLICAT ÎN FROZEN",IF(COUNT(K13:L13)&lt;2,"COMPLETEAZĂ SCORUL","VERIFICAT"))))</x:f>
      </x:c>
    </x:row>
    <x:row r="14">
      <x:c r="A14" s="141"/>
      <x:c r="B14" t="str">
        <x:f>IF(OR(A14="",COUNTIF(Frozen_Predictions!$A$4:$A$303,A14)&lt;&gt;1),"",INDEX(Frozen_Predictions!$C$4:$C$303,MATCH(A14,Frozen_Predictions!$A$4:$A$303,0)))</x:f>
      </x:c>
      <x:c r="C14" t="str">
        <x:f>IF(OR(A14="",COUNTIF(Frozen_Predictions!$A$4:$A$303,A14)&lt;&gt;1),"",INDEX(Frozen_Predictions!$E$4:$E$303,MATCH(A14,Frozen_Predictions!$A$4:$A$303,0)))</x:f>
      </x:c>
      <x:c r="D14" t="str">
        <x:f>IF(OR(A14="",COUNTIF(Frozen_Predictions!$A$4:$A$303,A14)&lt;&gt;1),"",INDEX(Frozen_Predictions!$F$4:$F$303,MATCH(A14,Frozen_Predictions!$A$4:$A$303,0)))</x:f>
      </x:c>
      <x:c r="E14" t="str">
        <x:f>IF(OR(A14="",COUNTIF(Frozen_Predictions!$A$4:$A$303,A14)&lt;&gt;1),"",INDEX(Frozen_Predictions!$G$4:$G$303,MATCH(A14,Frozen_Predictions!$A$4:$A$303,0)))</x:f>
      </x:c>
      <x:c r="F14" t="str">
        <x:f>IF(OR(A14="",COUNTIF(Frozen_Predictions!$A$4:$A$303,A14)&lt;&gt;1),"",INDEX(Frozen_Predictions!$H$4:$H$303,MATCH(A14,Frozen_Predictions!$A$4:$A$303,0)))</x:f>
      </x:c>
      <x:c r="G14" t="str">
        <x:f>IF(OR(A14="",COUNTIF(Frozen_Predictions!$A$4:$A$303,A14)&lt;&gt;1),"",INDEX(Frozen_Predictions!$I$4:$I$303,MATCH(A14,Frozen_Predictions!$A$4:$A$303,0)))</x:f>
      </x:c>
      <x:c r="H14" t="str">
        <x:f>IF(OR(A14="",COUNTIF(Frozen_Predictions!$A$4:$A$303,A14)&lt;&gt;1),"",INDEX(Frozen_Predictions!$J$4:$J$303,MATCH(A14,Frozen_Predictions!$A$4:$A$303,0)))</x:f>
      </x:c>
      <x:c r="I14" t="str">
        <x:f>IF(OR(A14="",COUNTIF(Frozen_Predictions!$A$4:$A$303,A14)&lt;&gt;1),"",INDEX(Frozen_Predictions!$K$4:$K$303,MATCH(A14,Frozen_Predictions!$A$4:$A$303,0)))</x:f>
      </x:c>
      <x:c r="J14" s="142" t="str">
        <x:f>IF(OR(A14="",G14="",COUNT(K14:M14)&lt;3,COUNTIF($A$4:$A$303,A14)&lt;&gt;1),"",IF(IF(M14+F14&gt;0,"1",IF(M14+F14=0,"X","2"))=G14&amp;"",1,0))</x:f>
      </x:c>
      <x:c r="K14" s="143"/>
      <x:c r="L14" s="143"/>
      <x:c r="M14" s="142" t="str">
        <x:f>IF(AND(A14&lt;&gt;"",COUNT(K14:L14)=2),K14-L14,"")</x:f>
      </x:c>
      <x:c r="N14" s="142" t="str">
        <x:f>IF(J14="","",IF(M14+F14=0,"YES","NO"))</x:f>
      </x:c>
      <x:c r="O14" t="str">
        <x:f>IF(J14="","",IF(J14=1,"WIN",IF(N14="YES","Exact margin M="&amp;ABS(F14),"Direction / tail")))</x:f>
      </x:c>
      <x:c r="P14" s="141"/>
      <x:c r="Q14" s="141"/>
      <x:c r="R14" s="144" t="str">
        <x:f>IF(OR(I14="",J14=""),"",(I14-J14)^2)</x:f>
      </x:c>
      <x:c r="S14" s="144" t="str">
        <x:f>IF(OR(I14="",J14=""),"",-(J14*LN(MAX(MIN(I14,0.999999),0.000001))+(1-J14)*LN(MAX(MIN(1-I14,0.999999),0.000001))))</x:f>
      </x:c>
      <x:c r="T14" t="str">
        <x:f>IF(J14="","",INDEX(Frozen_Predictions!$M$4:$M$303,MATCH(A14,Frozen_Predictions!$A$4:$A$303,0)))</x:f>
      </x:c>
      <x:c r="U14" t="str">
        <x:f>IF(J14="","",INDEX(Frozen_Predictions!$W$4:$W$303,MATCH(A14,Frozen_Predictions!$A$4:$A$303,0)))</x:f>
      </x:c>
      <x:c r="V14" t="str">
        <x:f>IF(J14="","",INDEX(Frozen_Predictions!$X$4:$X$303,MATCH(A14,Frozen_Predictions!$A$4:$A$303,0)))</x:f>
      </x:c>
      <x:c r="W14" t="str">
        <x:f>IF(A14="","",IF(COUNTIF($A$4:$A$303,A14)&lt;&gt;1,"ID DUPLICAT",IF(COUNTIF(Frozen_Predictions!$A$4:$A$303,A14)&lt;&gt;1,"ID INEXISTENT SAU DUPLICAT ÎN FROZEN",IF(COUNT(K14:L14)&lt;2,"COMPLETEAZĂ SCORUL","VERIFICAT"))))</x:f>
      </x:c>
    </x:row>
    <x:row r="15">
      <x:c r="A15" s="141"/>
      <x:c r="B15" t="str">
        <x:f>IF(OR(A15="",COUNTIF(Frozen_Predictions!$A$4:$A$303,A15)&lt;&gt;1),"",INDEX(Frozen_Predictions!$C$4:$C$303,MATCH(A15,Frozen_Predictions!$A$4:$A$303,0)))</x:f>
      </x:c>
      <x:c r="C15" t="str">
        <x:f>IF(OR(A15="",COUNTIF(Frozen_Predictions!$A$4:$A$303,A15)&lt;&gt;1),"",INDEX(Frozen_Predictions!$E$4:$E$303,MATCH(A15,Frozen_Predictions!$A$4:$A$303,0)))</x:f>
      </x:c>
      <x:c r="D15" t="str">
        <x:f>IF(OR(A15="",COUNTIF(Frozen_Predictions!$A$4:$A$303,A15)&lt;&gt;1),"",INDEX(Frozen_Predictions!$F$4:$F$303,MATCH(A15,Frozen_Predictions!$A$4:$A$303,0)))</x:f>
      </x:c>
      <x:c r="E15" t="str">
        <x:f>IF(OR(A15="",COUNTIF(Frozen_Predictions!$A$4:$A$303,A15)&lt;&gt;1),"",INDEX(Frozen_Predictions!$G$4:$G$303,MATCH(A15,Frozen_Predictions!$A$4:$A$303,0)))</x:f>
      </x:c>
      <x:c r="F15" t="str">
        <x:f>IF(OR(A15="",COUNTIF(Frozen_Predictions!$A$4:$A$303,A15)&lt;&gt;1),"",INDEX(Frozen_Predictions!$H$4:$H$303,MATCH(A15,Frozen_Predictions!$A$4:$A$303,0)))</x:f>
      </x:c>
      <x:c r="G15" t="str">
        <x:f>IF(OR(A15="",COUNTIF(Frozen_Predictions!$A$4:$A$303,A15)&lt;&gt;1),"",INDEX(Frozen_Predictions!$I$4:$I$303,MATCH(A15,Frozen_Predictions!$A$4:$A$303,0)))</x:f>
      </x:c>
      <x:c r="H15" t="str">
        <x:f>IF(OR(A15="",COUNTIF(Frozen_Predictions!$A$4:$A$303,A15)&lt;&gt;1),"",INDEX(Frozen_Predictions!$J$4:$J$303,MATCH(A15,Frozen_Predictions!$A$4:$A$303,0)))</x:f>
      </x:c>
      <x:c r="I15" t="str">
        <x:f>IF(OR(A15="",COUNTIF(Frozen_Predictions!$A$4:$A$303,A15)&lt;&gt;1),"",INDEX(Frozen_Predictions!$K$4:$K$303,MATCH(A15,Frozen_Predictions!$A$4:$A$303,0)))</x:f>
      </x:c>
      <x:c r="J15" s="142" t="str">
        <x:f>IF(OR(A15="",G15="",COUNT(K15:M15)&lt;3,COUNTIF($A$4:$A$303,A15)&lt;&gt;1),"",IF(IF(M15+F15&gt;0,"1",IF(M15+F15=0,"X","2"))=G15&amp;"",1,0))</x:f>
      </x:c>
      <x:c r="K15" s="143"/>
      <x:c r="L15" s="143"/>
      <x:c r="M15" s="142" t="str">
        <x:f>IF(AND(A15&lt;&gt;"",COUNT(K15:L15)=2),K15-L15,"")</x:f>
      </x:c>
      <x:c r="N15" s="142" t="str">
        <x:f>IF(J15="","",IF(M15+F15=0,"YES","NO"))</x:f>
      </x:c>
      <x:c r="O15" t="str">
        <x:f>IF(J15="","",IF(J15=1,"WIN",IF(N15="YES","Exact margin M="&amp;ABS(F15),"Direction / tail")))</x:f>
      </x:c>
      <x:c r="P15" s="141"/>
      <x:c r="Q15" s="141"/>
      <x:c r="R15" s="144" t="str">
        <x:f>IF(OR(I15="",J15=""),"",(I15-J15)^2)</x:f>
      </x:c>
      <x:c r="S15" s="144" t="str">
        <x:f>IF(OR(I15="",J15=""),"",-(J15*LN(MAX(MIN(I15,0.999999),0.000001))+(1-J15)*LN(MAX(MIN(1-I15,0.999999),0.000001))))</x:f>
      </x:c>
      <x:c r="T15" t="str">
        <x:f>IF(J15="","",INDEX(Frozen_Predictions!$M$4:$M$303,MATCH(A15,Frozen_Predictions!$A$4:$A$303,0)))</x:f>
      </x:c>
      <x:c r="U15" t="str">
        <x:f>IF(J15="","",INDEX(Frozen_Predictions!$W$4:$W$303,MATCH(A15,Frozen_Predictions!$A$4:$A$303,0)))</x:f>
      </x:c>
      <x:c r="V15" t="str">
        <x:f>IF(J15="","",INDEX(Frozen_Predictions!$X$4:$X$303,MATCH(A15,Frozen_Predictions!$A$4:$A$303,0)))</x:f>
      </x:c>
      <x:c r="W15" t="str">
        <x:f>IF(A15="","",IF(COUNTIF($A$4:$A$303,A15)&lt;&gt;1,"ID DUPLICAT",IF(COUNTIF(Frozen_Predictions!$A$4:$A$303,A15)&lt;&gt;1,"ID INEXISTENT SAU DUPLICAT ÎN FROZEN",IF(COUNT(K15:L15)&lt;2,"COMPLETEAZĂ SCORUL","VERIFICAT"))))</x:f>
      </x:c>
    </x:row>
    <x:row r="16">
      <x:c r="A16" s="141"/>
      <x:c r="B16" t="str">
        <x:f>IF(OR(A16="",COUNTIF(Frozen_Predictions!$A$4:$A$303,A16)&lt;&gt;1),"",INDEX(Frozen_Predictions!$C$4:$C$303,MATCH(A16,Frozen_Predictions!$A$4:$A$303,0)))</x:f>
      </x:c>
      <x:c r="C16" t="str">
        <x:f>IF(OR(A16="",COUNTIF(Frozen_Predictions!$A$4:$A$303,A16)&lt;&gt;1),"",INDEX(Frozen_Predictions!$E$4:$E$303,MATCH(A16,Frozen_Predictions!$A$4:$A$303,0)))</x:f>
      </x:c>
      <x:c r="D16" t="str">
        <x:f>IF(OR(A16="",COUNTIF(Frozen_Predictions!$A$4:$A$303,A16)&lt;&gt;1),"",INDEX(Frozen_Predictions!$F$4:$F$303,MATCH(A16,Frozen_Predictions!$A$4:$A$303,0)))</x:f>
      </x:c>
      <x:c r="E16" t="str">
        <x:f>IF(OR(A16="",COUNTIF(Frozen_Predictions!$A$4:$A$303,A16)&lt;&gt;1),"",INDEX(Frozen_Predictions!$G$4:$G$303,MATCH(A16,Frozen_Predictions!$A$4:$A$303,0)))</x:f>
      </x:c>
      <x:c r="F16" t="str">
        <x:f>IF(OR(A16="",COUNTIF(Frozen_Predictions!$A$4:$A$303,A16)&lt;&gt;1),"",INDEX(Frozen_Predictions!$H$4:$H$303,MATCH(A16,Frozen_Predictions!$A$4:$A$303,0)))</x:f>
      </x:c>
      <x:c r="G16" t="str">
        <x:f>IF(OR(A16="",COUNTIF(Frozen_Predictions!$A$4:$A$303,A16)&lt;&gt;1),"",INDEX(Frozen_Predictions!$I$4:$I$303,MATCH(A16,Frozen_Predictions!$A$4:$A$303,0)))</x:f>
      </x:c>
      <x:c r="H16" t="str">
        <x:f>IF(OR(A16="",COUNTIF(Frozen_Predictions!$A$4:$A$303,A16)&lt;&gt;1),"",INDEX(Frozen_Predictions!$J$4:$J$303,MATCH(A16,Frozen_Predictions!$A$4:$A$303,0)))</x:f>
      </x:c>
      <x:c r="I16" t="str">
        <x:f>IF(OR(A16="",COUNTIF(Frozen_Predictions!$A$4:$A$303,A16)&lt;&gt;1),"",INDEX(Frozen_Predictions!$K$4:$K$303,MATCH(A16,Frozen_Predictions!$A$4:$A$303,0)))</x:f>
      </x:c>
      <x:c r="J16" s="142" t="str">
        <x:f>IF(OR(A16="",G16="",COUNT(K16:M16)&lt;3,COUNTIF($A$4:$A$303,A16)&lt;&gt;1),"",IF(IF(M16+F16&gt;0,"1",IF(M16+F16=0,"X","2"))=G16&amp;"",1,0))</x:f>
      </x:c>
      <x:c r="K16" s="143"/>
      <x:c r="L16" s="143"/>
      <x:c r="M16" s="142" t="str">
        <x:f>IF(AND(A16&lt;&gt;"",COUNT(K16:L16)=2),K16-L16,"")</x:f>
      </x:c>
      <x:c r="N16" s="142" t="str">
        <x:f>IF(J16="","",IF(M16+F16=0,"YES","NO"))</x:f>
      </x:c>
      <x:c r="O16" t="str">
        <x:f>IF(J16="","",IF(J16=1,"WIN",IF(N16="YES","Exact margin M="&amp;ABS(F16),"Direction / tail")))</x:f>
      </x:c>
      <x:c r="P16" s="141"/>
      <x:c r="Q16" s="141"/>
      <x:c r="R16" s="144" t="str">
        <x:f>IF(OR(I16="",J16=""),"",(I16-J16)^2)</x:f>
      </x:c>
      <x:c r="S16" s="144" t="str">
        <x:f>IF(OR(I16="",J16=""),"",-(J16*LN(MAX(MIN(I16,0.999999),0.000001))+(1-J16)*LN(MAX(MIN(1-I16,0.999999),0.000001))))</x:f>
      </x:c>
      <x:c r="T16" t="str">
        <x:f>IF(J16="","",INDEX(Frozen_Predictions!$M$4:$M$303,MATCH(A16,Frozen_Predictions!$A$4:$A$303,0)))</x:f>
      </x:c>
      <x:c r="U16" t="str">
        <x:f>IF(J16="","",INDEX(Frozen_Predictions!$W$4:$W$303,MATCH(A16,Frozen_Predictions!$A$4:$A$303,0)))</x:f>
      </x:c>
      <x:c r="V16" t="str">
        <x:f>IF(J16="","",INDEX(Frozen_Predictions!$X$4:$X$303,MATCH(A16,Frozen_Predictions!$A$4:$A$303,0)))</x:f>
      </x:c>
      <x:c r="W16" t="str">
        <x:f>IF(A16="","",IF(COUNTIF($A$4:$A$303,A16)&lt;&gt;1,"ID DUPLICAT",IF(COUNTIF(Frozen_Predictions!$A$4:$A$303,A16)&lt;&gt;1,"ID INEXISTENT SAU DUPLICAT ÎN FROZEN",IF(COUNT(K16:L16)&lt;2,"COMPLETEAZĂ SCORUL","VERIFICAT"))))</x:f>
      </x:c>
    </x:row>
    <x:row r="17">
      <x:c r="A17" s="141"/>
      <x:c r="B17" t="str">
        <x:f>IF(OR(A17="",COUNTIF(Frozen_Predictions!$A$4:$A$303,A17)&lt;&gt;1),"",INDEX(Frozen_Predictions!$C$4:$C$303,MATCH(A17,Frozen_Predictions!$A$4:$A$303,0)))</x:f>
      </x:c>
      <x:c r="C17" t="str">
        <x:f>IF(OR(A17="",COUNTIF(Frozen_Predictions!$A$4:$A$303,A17)&lt;&gt;1),"",INDEX(Frozen_Predictions!$E$4:$E$303,MATCH(A17,Frozen_Predictions!$A$4:$A$303,0)))</x:f>
      </x:c>
      <x:c r="D17" t="str">
        <x:f>IF(OR(A17="",COUNTIF(Frozen_Predictions!$A$4:$A$303,A17)&lt;&gt;1),"",INDEX(Frozen_Predictions!$F$4:$F$303,MATCH(A17,Frozen_Predictions!$A$4:$A$303,0)))</x:f>
      </x:c>
      <x:c r="E17" t="str">
        <x:f>IF(OR(A17="",COUNTIF(Frozen_Predictions!$A$4:$A$303,A17)&lt;&gt;1),"",INDEX(Frozen_Predictions!$G$4:$G$303,MATCH(A17,Frozen_Predictions!$A$4:$A$303,0)))</x:f>
      </x:c>
      <x:c r="F17" t="str">
        <x:f>IF(OR(A17="",COUNTIF(Frozen_Predictions!$A$4:$A$303,A17)&lt;&gt;1),"",INDEX(Frozen_Predictions!$H$4:$H$303,MATCH(A17,Frozen_Predictions!$A$4:$A$303,0)))</x:f>
      </x:c>
      <x:c r="G17" t="str">
        <x:f>IF(OR(A17="",COUNTIF(Frozen_Predictions!$A$4:$A$303,A17)&lt;&gt;1),"",INDEX(Frozen_Predictions!$I$4:$I$303,MATCH(A17,Frozen_Predictions!$A$4:$A$303,0)))</x:f>
      </x:c>
      <x:c r="H17" t="str">
        <x:f>IF(OR(A17="",COUNTIF(Frozen_Predictions!$A$4:$A$303,A17)&lt;&gt;1),"",INDEX(Frozen_Predictions!$J$4:$J$303,MATCH(A17,Frozen_Predictions!$A$4:$A$303,0)))</x:f>
      </x:c>
      <x:c r="I17" t="str">
        <x:f>IF(OR(A17="",COUNTIF(Frozen_Predictions!$A$4:$A$303,A17)&lt;&gt;1),"",INDEX(Frozen_Predictions!$K$4:$K$303,MATCH(A17,Frozen_Predictions!$A$4:$A$303,0)))</x:f>
      </x:c>
      <x:c r="J17" s="142" t="str">
        <x:f>IF(OR(A17="",G17="",COUNT(K17:M17)&lt;3,COUNTIF($A$4:$A$303,A17)&lt;&gt;1),"",IF(IF(M17+F17&gt;0,"1",IF(M17+F17=0,"X","2"))=G17&amp;"",1,0))</x:f>
      </x:c>
      <x:c r="K17" s="143"/>
      <x:c r="L17" s="143"/>
      <x:c r="M17" s="142" t="str">
        <x:f>IF(AND(A17&lt;&gt;"",COUNT(K17:L17)=2),K17-L17,"")</x:f>
      </x:c>
      <x:c r="N17" s="142" t="str">
        <x:f>IF(J17="","",IF(M17+F17=0,"YES","NO"))</x:f>
      </x:c>
      <x:c r="O17" t="str">
        <x:f>IF(J17="","",IF(J17=1,"WIN",IF(N17="YES","Exact margin M="&amp;ABS(F17),"Direction / tail")))</x:f>
      </x:c>
      <x:c r="P17" s="141"/>
      <x:c r="Q17" s="141"/>
      <x:c r="R17" s="144" t="str">
        <x:f>IF(OR(I17="",J17=""),"",(I17-J17)^2)</x:f>
      </x:c>
      <x:c r="S17" s="144" t="str">
        <x:f>IF(OR(I17="",J17=""),"",-(J17*LN(MAX(MIN(I17,0.999999),0.000001))+(1-J17)*LN(MAX(MIN(1-I17,0.999999),0.000001))))</x:f>
      </x:c>
      <x:c r="T17" t="str">
        <x:f>IF(J17="","",INDEX(Frozen_Predictions!$M$4:$M$303,MATCH(A17,Frozen_Predictions!$A$4:$A$303,0)))</x:f>
      </x:c>
      <x:c r="U17" t="str">
        <x:f>IF(J17="","",INDEX(Frozen_Predictions!$W$4:$W$303,MATCH(A17,Frozen_Predictions!$A$4:$A$303,0)))</x:f>
      </x:c>
      <x:c r="V17" t="str">
        <x:f>IF(J17="","",INDEX(Frozen_Predictions!$X$4:$X$303,MATCH(A17,Frozen_Predictions!$A$4:$A$303,0)))</x:f>
      </x:c>
      <x:c r="W17" t="str">
        <x:f>IF(A17="","",IF(COUNTIF($A$4:$A$303,A17)&lt;&gt;1,"ID DUPLICAT",IF(COUNTIF(Frozen_Predictions!$A$4:$A$303,A17)&lt;&gt;1,"ID INEXISTENT SAU DUPLICAT ÎN FROZEN",IF(COUNT(K17:L17)&lt;2,"COMPLETEAZĂ SCORUL","VERIFICAT"))))</x:f>
      </x:c>
    </x:row>
    <x:row r="18">
      <x:c r="A18" s="141"/>
      <x:c r="B18" t="str">
        <x:f>IF(OR(A18="",COUNTIF(Frozen_Predictions!$A$4:$A$303,A18)&lt;&gt;1),"",INDEX(Frozen_Predictions!$C$4:$C$303,MATCH(A18,Frozen_Predictions!$A$4:$A$303,0)))</x:f>
      </x:c>
      <x:c r="C18" t="str">
        <x:f>IF(OR(A18="",COUNTIF(Frozen_Predictions!$A$4:$A$303,A18)&lt;&gt;1),"",INDEX(Frozen_Predictions!$E$4:$E$303,MATCH(A18,Frozen_Predictions!$A$4:$A$303,0)))</x:f>
      </x:c>
      <x:c r="D18" t="str">
        <x:f>IF(OR(A18="",COUNTIF(Frozen_Predictions!$A$4:$A$303,A18)&lt;&gt;1),"",INDEX(Frozen_Predictions!$F$4:$F$303,MATCH(A18,Frozen_Predictions!$A$4:$A$303,0)))</x:f>
      </x:c>
      <x:c r="E18" t="str">
        <x:f>IF(OR(A18="",COUNTIF(Frozen_Predictions!$A$4:$A$303,A18)&lt;&gt;1),"",INDEX(Frozen_Predictions!$G$4:$G$303,MATCH(A18,Frozen_Predictions!$A$4:$A$303,0)))</x:f>
      </x:c>
      <x:c r="F18" t="str">
        <x:f>IF(OR(A18="",COUNTIF(Frozen_Predictions!$A$4:$A$303,A18)&lt;&gt;1),"",INDEX(Frozen_Predictions!$H$4:$H$303,MATCH(A18,Frozen_Predictions!$A$4:$A$303,0)))</x:f>
      </x:c>
      <x:c r="G18" t="str">
        <x:f>IF(OR(A18="",COUNTIF(Frozen_Predictions!$A$4:$A$303,A18)&lt;&gt;1),"",INDEX(Frozen_Predictions!$I$4:$I$303,MATCH(A18,Frozen_Predictions!$A$4:$A$303,0)))</x:f>
      </x:c>
      <x:c r="H18" t="str">
        <x:f>IF(OR(A18="",COUNTIF(Frozen_Predictions!$A$4:$A$303,A18)&lt;&gt;1),"",INDEX(Frozen_Predictions!$J$4:$J$303,MATCH(A18,Frozen_Predictions!$A$4:$A$303,0)))</x:f>
      </x:c>
      <x:c r="I18" t="str">
        <x:f>IF(OR(A18="",COUNTIF(Frozen_Predictions!$A$4:$A$303,A18)&lt;&gt;1),"",INDEX(Frozen_Predictions!$K$4:$K$303,MATCH(A18,Frozen_Predictions!$A$4:$A$303,0)))</x:f>
      </x:c>
      <x:c r="J18" s="142" t="str">
        <x:f>IF(OR(A18="",G18="",COUNT(K18:M18)&lt;3,COUNTIF($A$4:$A$303,A18)&lt;&gt;1),"",IF(IF(M18+F18&gt;0,"1",IF(M18+F18=0,"X","2"))=G18&amp;"",1,0))</x:f>
      </x:c>
      <x:c r="K18" s="143"/>
      <x:c r="L18" s="143"/>
      <x:c r="M18" s="142" t="str">
        <x:f>IF(AND(A18&lt;&gt;"",COUNT(K18:L18)=2),K18-L18,"")</x:f>
      </x:c>
      <x:c r="N18" s="142" t="str">
        <x:f>IF(J18="","",IF(M18+F18=0,"YES","NO"))</x:f>
      </x:c>
      <x:c r="O18" t="str">
        <x:f>IF(J18="","",IF(J18=1,"WIN",IF(N18="YES","Exact margin M="&amp;ABS(F18),"Direction / tail")))</x:f>
      </x:c>
      <x:c r="P18" s="141"/>
      <x:c r="Q18" s="141"/>
      <x:c r="R18" s="144" t="str">
        <x:f>IF(OR(I18="",J18=""),"",(I18-J18)^2)</x:f>
      </x:c>
      <x:c r="S18" s="144" t="str">
        <x:f>IF(OR(I18="",J18=""),"",-(J18*LN(MAX(MIN(I18,0.999999),0.000001))+(1-J18)*LN(MAX(MIN(1-I18,0.999999),0.000001))))</x:f>
      </x:c>
      <x:c r="T18" t="str">
        <x:f>IF(J18="","",INDEX(Frozen_Predictions!$M$4:$M$303,MATCH(A18,Frozen_Predictions!$A$4:$A$303,0)))</x:f>
      </x:c>
      <x:c r="U18" t="str">
        <x:f>IF(J18="","",INDEX(Frozen_Predictions!$W$4:$W$303,MATCH(A18,Frozen_Predictions!$A$4:$A$303,0)))</x:f>
      </x:c>
      <x:c r="V18" t="str">
        <x:f>IF(J18="","",INDEX(Frozen_Predictions!$X$4:$X$303,MATCH(A18,Frozen_Predictions!$A$4:$A$303,0)))</x:f>
      </x:c>
      <x:c r="W18" t="str">
        <x:f>IF(A18="","",IF(COUNTIF($A$4:$A$303,A18)&lt;&gt;1,"ID DUPLICAT",IF(COUNTIF(Frozen_Predictions!$A$4:$A$303,A18)&lt;&gt;1,"ID INEXISTENT SAU DUPLICAT ÎN FROZEN",IF(COUNT(K18:L18)&lt;2,"COMPLETEAZĂ SCORUL","VERIFICAT"))))</x:f>
      </x:c>
    </x:row>
    <x:row r="19">
      <x:c r="A19" s="141"/>
      <x:c r="B19" t="str">
        <x:f>IF(OR(A19="",COUNTIF(Frozen_Predictions!$A$4:$A$303,A19)&lt;&gt;1),"",INDEX(Frozen_Predictions!$C$4:$C$303,MATCH(A19,Frozen_Predictions!$A$4:$A$303,0)))</x:f>
      </x:c>
      <x:c r="C19" t="str">
        <x:f>IF(OR(A19="",COUNTIF(Frozen_Predictions!$A$4:$A$303,A19)&lt;&gt;1),"",INDEX(Frozen_Predictions!$E$4:$E$303,MATCH(A19,Frozen_Predictions!$A$4:$A$303,0)))</x:f>
      </x:c>
      <x:c r="D19" t="str">
        <x:f>IF(OR(A19="",COUNTIF(Frozen_Predictions!$A$4:$A$303,A19)&lt;&gt;1),"",INDEX(Frozen_Predictions!$F$4:$F$303,MATCH(A19,Frozen_Predictions!$A$4:$A$303,0)))</x:f>
      </x:c>
      <x:c r="E19" t="str">
        <x:f>IF(OR(A19="",COUNTIF(Frozen_Predictions!$A$4:$A$303,A19)&lt;&gt;1),"",INDEX(Frozen_Predictions!$G$4:$G$303,MATCH(A19,Frozen_Predictions!$A$4:$A$303,0)))</x:f>
      </x:c>
      <x:c r="F19" t="str">
        <x:f>IF(OR(A19="",COUNTIF(Frozen_Predictions!$A$4:$A$303,A19)&lt;&gt;1),"",INDEX(Frozen_Predictions!$H$4:$H$303,MATCH(A19,Frozen_Predictions!$A$4:$A$303,0)))</x:f>
      </x:c>
      <x:c r="G19" t="str">
        <x:f>IF(OR(A19="",COUNTIF(Frozen_Predictions!$A$4:$A$303,A19)&lt;&gt;1),"",INDEX(Frozen_Predictions!$I$4:$I$303,MATCH(A19,Frozen_Predictions!$A$4:$A$303,0)))</x:f>
      </x:c>
      <x:c r="H19" t="str">
        <x:f>IF(OR(A19="",COUNTIF(Frozen_Predictions!$A$4:$A$303,A19)&lt;&gt;1),"",INDEX(Frozen_Predictions!$J$4:$J$303,MATCH(A19,Frozen_Predictions!$A$4:$A$303,0)))</x:f>
      </x:c>
      <x:c r="I19" t="str">
        <x:f>IF(OR(A19="",COUNTIF(Frozen_Predictions!$A$4:$A$303,A19)&lt;&gt;1),"",INDEX(Frozen_Predictions!$K$4:$K$303,MATCH(A19,Frozen_Predictions!$A$4:$A$303,0)))</x:f>
      </x:c>
      <x:c r="J19" s="142" t="str">
        <x:f>IF(OR(A19="",G19="",COUNT(K19:M19)&lt;3,COUNTIF($A$4:$A$303,A19)&lt;&gt;1),"",IF(IF(M19+F19&gt;0,"1",IF(M19+F19=0,"X","2"))=G19&amp;"",1,0))</x:f>
      </x:c>
      <x:c r="K19" s="143"/>
      <x:c r="L19" s="143"/>
      <x:c r="M19" s="142" t="str">
        <x:f>IF(AND(A19&lt;&gt;"",COUNT(K19:L19)=2),K19-L19,"")</x:f>
      </x:c>
      <x:c r="N19" s="142" t="str">
        <x:f>IF(J19="","",IF(M19+F19=0,"YES","NO"))</x:f>
      </x:c>
      <x:c r="O19" t="str">
        <x:f>IF(J19="","",IF(J19=1,"WIN",IF(N19="YES","Exact margin M="&amp;ABS(F19),"Direction / tail")))</x:f>
      </x:c>
      <x:c r="P19" s="141"/>
      <x:c r="Q19" s="141"/>
      <x:c r="R19" s="144" t="str">
        <x:f>IF(OR(I19="",J19=""),"",(I19-J19)^2)</x:f>
      </x:c>
      <x:c r="S19" s="144" t="str">
        <x:f>IF(OR(I19="",J19=""),"",-(J19*LN(MAX(MIN(I19,0.999999),0.000001))+(1-J19)*LN(MAX(MIN(1-I19,0.999999),0.000001))))</x:f>
      </x:c>
      <x:c r="T19" t="str">
        <x:f>IF(J19="","",INDEX(Frozen_Predictions!$M$4:$M$303,MATCH(A19,Frozen_Predictions!$A$4:$A$303,0)))</x:f>
      </x:c>
      <x:c r="U19" t="str">
        <x:f>IF(J19="","",INDEX(Frozen_Predictions!$W$4:$W$303,MATCH(A19,Frozen_Predictions!$A$4:$A$303,0)))</x:f>
      </x:c>
      <x:c r="V19" t="str">
        <x:f>IF(J19="","",INDEX(Frozen_Predictions!$X$4:$X$303,MATCH(A19,Frozen_Predictions!$A$4:$A$303,0)))</x:f>
      </x:c>
      <x:c r="W19" t="str">
        <x:f>IF(A19="","",IF(COUNTIF($A$4:$A$303,A19)&lt;&gt;1,"ID DUPLICAT",IF(COUNTIF(Frozen_Predictions!$A$4:$A$303,A19)&lt;&gt;1,"ID INEXISTENT SAU DUPLICAT ÎN FROZEN",IF(COUNT(K19:L19)&lt;2,"COMPLETEAZĂ SCORUL","VERIFICAT"))))</x:f>
      </x:c>
    </x:row>
    <x:row r="20">
      <x:c r="A20" s="141"/>
      <x:c r="B20" t="str">
        <x:f>IF(OR(A20="",COUNTIF(Frozen_Predictions!$A$4:$A$303,A20)&lt;&gt;1),"",INDEX(Frozen_Predictions!$C$4:$C$303,MATCH(A20,Frozen_Predictions!$A$4:$A$303,0)))</x:f>
      </x:c>
      <x:c r="C20" t="str">
        <x:f>IF(OR(A20="",COUNTIF(Frozen_Predictions!$A$4:$A$303,A20)&lt;&gt;1),"",INDEX(Frozen_Predictions!$E$4:$E$303,MATCH(A20,Frozen_Predictions!$A$4:$A$303,0)))</x:f>
      </x:c>
      <x:c r="D20" t="str">
        <x:f>IF(OR(A20="",COUNTIF(Frozen_Predictions!$A$4:$A$303,A20)&lt;&gt;1),"",INDEX(Frozen_Predictions!$F$4:$F$303,MATCH(A20,Frozen_Predictions!$A$4:$A$303,0)))</x:f>
      </x:c>
      <x:c r="E20" t="str">
        <x:f>IF(OR(A20="",COUNTIF(Frozen_Predictions!$A$4:$A$303,A20)&lt;&gt;1),"",INDEX(Frozen_Predictions!$G$4:$G$303,MATCH(A20,Frozen_Predictions!$A$4:$A$303,0)))</x:f>
      </x:c>
      <x:c r="F20" t="str">
        <x:f>IF(OR(A20="",COUNTIF(Frozen_Predictions!$A$4:$A$303,A20)&lt;&gt;1),"",INDEX(Frozen_Predictions!$H$4:$H$303,MATCH(A20,Frozen_Predictions!$A$4:$A$303,0)))</x:f>
      </x:c>
      <x:c r="G20" t="str">
        <x:f>IF(OR(A20="",COUNTIF(Frozen_Predictions!$A$4:$A$303,A20)&lt;&gt;1),"",INDEX(Frozen_Predictions!$I$4:$I$303,MATCH(A20,Frozen_Predictions!$A$4:$A$303,0)))</x:f>
      </x:c>
      <x:c r="H20" t="str">
        <x:f>IF(OR(A20="",COUNTIF(Frozen_Predictions!$A$4:$A$303,A20)&lt;&gt;1),"",INDEX(Frozen_Predictions!$J$4:$J$303,MATCH(A20,Frozen_Predictions!$A$4:$A$303,0)))</x:f>
      </x:c>
      <x:c r="I20" t="str">
        <x:f>IF(OR(A20="",COUNTIF(Frozen_Predictions!$A$4:$A$303,A20)&lt;&gt;1),"",INDEX(Frozen_Predictions!$K$4:$K$303,MATCH(A20,Frozen_Predictions!$A$4:$A$303,0)))</x:f>
      </x:c>
      <x:c r="J20" s="142" t="str">
        <x:f>IF(OR(A20="",G20="",COUNT(K20:M20)&lt;3,COUNTIF($A$4:$A$303,A20)&lt;&gt;1),"",IF(IF(M20+F20&gt;0,"1",IF(M20+F20=0,"X","2"))=G20&amp;"",1,0))</x:f>
      </x:c>
      <x:c r="K20" s="143"/>
      <x:c r="L20" s="143"/>
      <x:c r="M20" s="142" t="str">
        <x:f>IF(AND(A20&lt;&gt;"",COUNT(K20:L20)=2),K20-L20,"")</x:f>
      </x:c>
      <x:c r="N20" s="142" t="str">
        <x:f>IF(J20="","",IF(M20+F20=0,"YES","NO"))</x:f>
      </x:c>
      <x:c r="O20" t="str">
        <x:f>IF(J20="","",IF(J20=1,"WIN",IF(N20="YES","Exact margin M="&amp;ABS(F20),"Direction / tail")))</x:f>
      </x:c>
      <x:c r="P20" s="141"/>
      <x:c r="Q20" s="141"/>
      <x:c r="R20" s="144" t="str">
        <x:f>IF(OR(I20="",J20=""),"",(I20-J20)^2)</x:f>
      </x:c>
      <x:c r="S20" s="144" t="str">
        <x:f>IF(OR(I20="",J20=""),"",-(J20*LN(MAX(MIN(I20,0.999999),0.000001))+(1-J20)*LN(MAX(MIN(1-I20,0.999999),0.000001))))</x:f>
      </x:c>
      <x:c r="T20" t="str">
        <x:f>IF(J20="","",INDEX(Frozen_Predictions!$M$4:$M$303,MATCH(A20,Frozen_Predictions!$A$4:$A$303,0)))</x:f>
      </x:c>
      <x:c r="U20" t="str">
        <x:f>IF(J20="","",INDEX(Frozen_Predictions!$W$4:$W$303,MATCH(A20,Frozen_Predictions!$A$4:$A$303,0)))</x:f>
      </x:c>
      <x:c r="V20" t="str">
        <x:f>IF(J20="","",INDEX(Frozen_Predictions!$X$4:$X$303,MATCH(A20,Frozen_Predictions!$A$4:$A$303,0)))</x:f>
      </x:c>
      <x:c r="W20" t="str">
        <x:f>IF(A20="","",IF(COUNTIF($A$4:$A$303,A20)&lt;&gt;1,"ID DUPLICAT",IF(COUNTIF(Frozen_Predictions!$A$4:$A$303,A20)&lt;&gt;1,"ID INEXISTENT SAU DUPLICAT ÎN FROZEN",IF(COUNT(K20:L20)&lt;2,"COMPLETEAZĂ SCORUL","VERIFICAT"))))</x:f>
      </x:c>
    </x:row>
    <x:row r="21">
      <x:c r="A21" s="141"/>
      <x:c r="B21" t="str">
        <x:f>IF(OR(A21="",COUNTIF(Frozen_Predictions!$A$4:$A$303,A21)&lt;&gt;1),"",INDEX(Frozen_Predictions!$C$4:$C$303,MATCH(A21,Frozen_Predictions!$A$4:$A$303,0)))</x:f>
      </x:c>
      <x:c r="C21" t="str">
        <x:f>IF(OR(A21="",COUNTIF(Frozen_Predictions!$A$4:$A$303,A21)&lt;&gt;1),"",INDEX(Frozen_Predictions!$E$4:$E$303,MATCH(A21,Frozen_Predictions!$A$4:$A$303,0)))</x:f>
      </x:c>
      <x:c r="D21" t="str">
        <x:f>IF(OR(A21="",COUNTIF(Frozen_Predictions!$A$4:$A$303,A21)&lt;&gt;1),"",INDEX(Frozen_Predictions!$F$4:$F$303,MATCH(A21,Frozen_Predictions!$A$4:$A$303,0)))</x:f>
      </x:c>
      <x:c r="E21" t="str">
        <x:f>IF(OR(A21="",COUNTIF(Frozen_Predictions!$A$4:$A$303,A21)&lt;&gt;1),"",INDEX(Frozen_Predictions!$G$4:$G$303,MATCH(A21,Frozen_Predictions!$A$4:$A$303,0)))</x:f>
      </x:c>
      <x:c r="F21" t="str">
        <x:f>IF(OR(A21="",COUNTIF(Frozen_Predictions!$A$4:$A$303,A21)&lt;&gt;1),"",INDEX(Frozen_Predictions!$H$4:$H$303,MATCH(A21,Frozen_Predictions!$A$4:$A$303,0)))</x:f>
      </x:c>
      <x:c r="G21" t="str">
        <x:f>IF(OR(A21="",COUNTIF(Frozen_Predictions!$A$4:$A$303,A21)&lt;&gt;1),"",INDEX(Frozen_Predictions!$I$4:$I$303,MATCH(A21,Frozen_Predictions!$A$4:$A$303,0)))</x:f>
      </x:c>
      <x:c r="H21" t="str">
        <x:f>IF(OR(A21="",COUNTIF(Frozen_Predictions!$A$4:$A$303,A21)&lt;&gt;1),"",INDEX(Frozen_Predictions!$J$4:$J$303,MATCH(A21,Frozen_Predictions!$A$4:$A$303,0)))</x:f>
      </x:c>
      <x:c r="I21" t="str">
        <x:f>IF(OR(A21="",COUNTIF(Frozen_Predictions!$A$4:$A$303,A21)&lt;&gt;1),"",INDEX(Frozen_Predictions!$K$4:$K$303,MATCH(A21,Frozen_Predictions!$A$4:$A$303,0)))</x:f>
      </x:c>
      <x:c r="J21" s="142" t="str">
        <x:f>IF(OR(A21="",G21="",COUNT(K21:M21)&lt;3,COUNTIF($A$4:$A$303,A21)&lt;&gt;1),"",IF(IF(M21+F21&gt;0,"1",IF(M21+F21=0,"X","2"))=G21&amp;"",1,0))</x:f>
      </x:c>
      <x:c r="K21" s="143"/>
      <x:c r="L21" s="143"/>
      <x:c r="M21" s="142" t="str">
        <x:f>IF(AND(A21&lt;&gt;"",COUNT(K21:L21)=2),K21-L21,"")</x:f>
      </x:c>
      <x:c r="N21" s="142" t="str">
        <x:f>IF(J21="","",IF(M21+F21=0,"YES","NO"))</x:f>
      </x:c>
      <x:c r="O21" t="str">
        <x:f>IF(J21="","",IF(J21=1,"WIN",IF(N21="YES","Exact margin M="&amp;ABS(F21),"Direction / tail")))</x:f>
      </x:c>
      <x:c r="P21" s="141"/>
      <x:c r="Q21" s="141"/>
      <x:c r="R21" s="144" t="str">
        <x:f>IF(OR(I21="",J21=""),"",(I21-J21)^2)</x:f>
      </x:c>
      <x:c r="S21" s="144" t="str">
        <x:f>IF(OR(I21="",J21=""),"",-(J21*LN(MAX(MIN(I21,0.999999),0.000001))+(1-J21)*LN(MAX(MIN(1-I21,0.999999),0.000001))))</x:f>
      </x:c>
      <x:c r="T21" t="str">
        <x:f>IF(J21="","",INDEX(Frozen_Predictions!$M$4:$M$303,MATCH(A21,Frozen_Predictions!$A$4:$A$303,0)))</x:f>
      </x:c>
      <x:c r="U21" t="str">
        <x:f>IF(J21="","",INDEX(Frozen_Predictions!$W$4:$W$303,MATCH(A21,Frozen_Predictions!$A$4:$A$303,0)))</x:f>
      </x:c>
      <x:c r="V21" t="str">
        <x:f>IF(J21="","",INDEX(Frozen_Predictions!$X$4:$X$303,MATCH(A21,Frozen_Predictions!$A$4:$A$303,0)))</x:f>
      </x:c>
      <x:c r="W21" t="str">
        <x:f>IF(A21="","",IF(COUNTIF($A$4:$A$303,A21)&lt;&gt;1,"ID DUPLICAT",IF(COUNTIF(Frozen_Predictions!$A$4:$A$303,A21)&lt;&gt;1,"ID INEXISTENT SAU DUPLICAT ÎN FROZEN",IF(COUNT(K21:L21)&lt;2,"COMPLETEAZĂ SCORUL","VERIFICAT"))))</x:f>
      </x:c>
    </x:row>
    <x:row r="22">
      <x:c r="A22" s="141"/>
      <x:c r="B22" t="str">
        <x:f>IF(OR(A22="",COUNTIF(Frozen_Predictions!$A$4:$A$303,A22)&lt;&gt;1),"",INDEX(Frozen_Predictions!$C$4:$C$303,MATCH(A22,Frozen_Predictions!$A$4:$A$303,0)))</x:f>
      </x:c>
      <x:c r="C22" t="str">
        <x:f>IF(OR(A22="",COUNTIF(Frozen_Predictions!$A$4:$A$303,A22)&lt;&gt;1),"",INDEX(Frozen_Predictions!$E$4:$E$303,MATCH(A22,Frozen_Predictions!$A$4:$A$303,0)))</x:f>
      </x:c>
      <x:c r="D22" t="str">
        <x:f>IF(OR(A22="",COUNTIF(Frozen_Predictions!$A$4:$A$303,A22)&lt;&gt;1),"",INDEX(Frozen_Predictions!$F$4:$F$303,MATCH(A22,Frozen_Predictions!$A$4:$A$303,0)))</x:f>
      </x:c>
      <x:c r="E22" t="str">
        <x:f>IF(OR(A22="",COUNTIF(Frozen_Predictions!$A$4:$A$303,A22)&lt;&gt;1),"",INDEX(Frozen_Predictions!$G$4:$G$303,MATCH(A22,Frozen_Predictions!$A$4:$A$303,0)))</x:f>
      </x:c>
      <x:c r="F22" t="str">
        <x:f>IF(OR(A22="",COUNTIF(Frozen_Predictions!$A$4:$A$303,A22)&lt;&gt;1),"",INDEX(Frozen_Predictions!$H$4:$H$303,MATCH(A22,Frozen_Predictions!$A$4:$A$303,0)))</x:f>
      </x:c>
      <x:c r="G22" t="str">
        <x:f>IF(OR(A22="",COUNTIF(Frozen_Predictions!$A$4:$A$303,A22)&lt;&gt;1),"",INDEX(Frozen_Predictions!$I$4:$I$303,MATCH(A22,Frozen_Predictions!$A$4:$A$303,0)))</x:f>
      </x:c>
      <x:c r="H22" t="str">
        <x:f>IF(OR(A22="",COUNTIF(Frozen_Predictions!$A$4:$A$303,A22)&lt;&gt;1),"",INDEX(Frozen_Predictions!$J$4:$J$303,MATCH(A22,Frozen_Predictions!$A$4:$A$303,0)))</x:f>
      </x:c>
      <x:c r="I22" t="str">
        <x:f>IF(OR(A22="",COUNTIF(Frozen_Predictions!$A$4:$A$303,A22)&lt;&gt;1),"",INDEX(Frozen_Predictions!$K$4:$K$303,MATCH(A22,Frozen_Predictions!$A$4:$A$303,0)))</x:f>
      </x:c>
      <x:c r="J22" s="142" t="str">
        <x:f>IF(OR(A22="",G22="",COUNT(K22:M22)&lt;3,COUNTIF($A$4:$A$303,A22)&lt;&gt;1),"",IF(IF(M22+F22&gt;0,"1",IF(M22+F22=0,"X","2"))=G22&amp;"",1,0))</x:f>
      </x:c>
      <x:c r="K22" s="143"/>
      <x:c r="L22" s="143"/>
      <x:c r="M22" s="142" t="str">
        <x:f>IF(AND(A22&lt;&gt;"",COUNT(K22:L22)=2),K22-L22,"")</x:f>
      </x:c>
      <x:c r="N22" s="142" t="str">
        <x:f>IF(J22="","",IF(M22+F22=0,"YES","NO"))</x:f>
      </x:c>
      <x:c r="O22" t="str">
        <x:f>IF(J22="","",IF(J22=1,"WIN",IF(N22="YES","Exact margin M="&amp;ABS(F22),"Direction / tail")))</x:f>
      </x:c>
      <x:c r="P22" s="141"/>
      <x:c r="Q22" s="141"/>
      <x:c r="R22" s="144" t="str">
        <x:f>IF(OR(I22="",J22=""),"",(I22-J22)^2)</x:f>
      </x:c>
      <x:c r="S22" s="144" t="str">
        <x:f>IF(OR(I22="",J22=""),"",-(J22*LN(MAX(MIN(I22,0.999999),0.000001))+(1-J22)*LN(MAX(MIN(1-I22,0.999999),0.000001))))</x:f>
      </x:c>
      <x:c r="T22" t="str">
        <x:f>IF(J22="","",INDEX(Frozen_Predictions!$M$4:$M$303,MATCH(A22,Frozen_Predictions!$A$4:$A$303,0)))</x:f>
      </x:c>
      <x:c r="U22" t="str">
        <x:f>IF(J22="","",INDEX(Frozen_Predictions!$W$4:$W$303,MATCH(A22,Frozen_Predictions!$A$4:$A$303,0)))</x:f>
      </x:c>
      <x:c r="V22" t="str">
        <x:f>IF(J22="","",INDEX(Frozen_Predictions!$X$4:$X$303,MATCH(A22,Frozen_Predictions!$A$4:$A$303,0)))</x:f>
      </x:c>
      <x:c r="W22" t="str">
        <x:f>IF(A22="","",IF(COUNTIF($A$4:$A$303,A22)&lt;&gt;1,"ID DUPLICAT",IF(COUNTIF(Frozen_Predictions!$A$4:$A$303,A22)&lt;&gt;1,"ID INEXISTENT SAU DUPLICAT ÎN FROZEN",IF(COUNT(K22:L22)&lt;2,"COMPLETEAZĂ SCORUL","VERIFICAT"))))</x:f>
      </x:c>
    </x:row>
    <x:row r="23">
      <x:c r="A23" s="141"/>
      <x:c r="B23" t="str">
        <x:f>IF(OR(A23="",COUNTIF(Frozen_Predictions!$A$4:$A$303,A23)&lt;&gt;1),"",INDEX(Frozen_Predictions!$C$4:$C$303,MATCH(A23,Frozen_Predictions!$A$4:$A$303,0)))</x:f>
      </x:c>
      <x:c r="C23" t="str">
        <x:f>IF(OR(A23="",COUNTIF(Frozen_Predictions!$A$4:$A$303,A23)&lt;&gt;1),"",INDEX(Frozen_Predictions!$E$4:$E$303,MATCH(A23,Frozen_Predictions!$A$4:$A$303,0)))</x:f>
      </x:c>
      <x:c r="D23" t="str">
        <x:f>IF(OR(A23="",COUNTIF(Frozen_Predictions!$A$4:$A$303,A23)&lt;&gt;1),"",INDEX(Frozen_Predictions!$F$4:$F$303,MATCH(A23,Frozen_Predictions!$A$4:$A$303,0)))</x:f>
      </x:c>
      <x:c r="E23" t="str">
        <x:f>IF(OR(A23="",COUNTIF(Frozen_Predictions!$A$4:$A$303,A23)&lt;&gt;1),"",INDEX(Frozen_Predictions!$G$4:$G$303,MATCH(A23,Frozen_Predictions!$A$4:$A$303,0)))</x:f>
      </x:c>
      <x:c r="F23" t="str">
        <x:f>IF(OR(A23="",COUNTIF(Frozen_Predictions!$A$4:$A$303,A23)&lt;&gt;1),"",INDEX(Frozen_Predictions!$H$4:$H$303,MATCH(A23,Frozen_Predictions!$A$4:$A$303,0)))</x:f>
      </x:c>
      <x:c r="G23" t="str">
        <x:f>IF(OR(A23="",COUNTIF(Frozen_Predictions!$A$4:$A$303,A23)&lt;&gt;1),"",INDEX(Frozen_Predictions!$I$4:$I$303,MATCH(A23,Frozen_Predictions!$A$4:$A$303,0)))</x:f>
      </x:c>
      <x:c r="H23" t="str">
        <x:f>IF(OR(A23="",COUNTIF(Frozen_Predictions!$A$4:$A$303,A23)&lt;&gt;1),"",INDEX(Frozen_Predictions!$J$4:$J$303,MATCH(A23,Frozen_Predictions!$A$4:$A$303,0)))</x:f>
      </x:c>
      <x:c r="I23" t="str">
        <x:f>IF(OR(A23="",COUNTIF(Frozen_Predictions!$A$4:$A$303,A23)&lt;&gt;1),"",INDEX(Frozen_Predictions!$K$4:$K$303,MATCH(A23,Frozen_Predictions!$A$4:$A$303,0)))</x:f>
      </x:c>
      <x:c r="J23" s="142" t="str">
        <x:f>IF(OR(A23="",G23="",COUNT(K23:M23)&lt;3,COUNTIF($A$4:$A$303,A23)&lt;&gt;1),"",IF(IF(M23+F23&gt;0,"1",IF(M23+F23=0,"X","2"))=G23&amp;"",1,0))</x:f>
      </x:c>
      <x:c r="K23" s="143"/>
      <x:c r="L23" s="143"/>
      <x:c r="M23" s="142" t="str">
        <x:f>IF(AND(A23&lt;&gt;"",COUNT(K23:L23)=2),K23-L23,"")</x:f>
      </x:c>
      <x:c r="N23" s="142" t="str">
        <x:f>IF(J23="","",IF(M23+F23=0,"YES","NO"))</x:f>
      </x:c>
      <x:c r="O23" t="str">
        <x:f>IF(J23="","",IF(J23=1,"WIN",IF(N23="YES","Exact margin M="&amp;ABS(F23),"Direction / tail")))</x:f>
      </x:c>
      <x:c r="P23" s="141"/>
      <x:c r="Q23" s="141"/>
      <x:c r="R23" s="144" t="str">
        <x:f>IF(OR(I23="",J23=""),"",(I23-J23)^2)</x:f>
      </x:c>
      <x:c r="S23" s="144" t="str">
        <x:f>IF(OR(I23="",J23=""),"",-(J23*LN(MAX(MIN(I23,0.999999),0.000001))+(1-J23)*LN(MAX(MIN(1-I23,0.999999),0.000001))))</x:f>
      </x:c>
      <x:c r="T23" t="str">
        <x:f>IF(J23="","",INDEX(Frozen_Predictions!$M$4:$M$303,MATCH(A23,Frozen_Predictions!$A$4:$A$303,0)))</x:f>
      </x:c>
      <x:c r="U23" t="str">
        <x:f>IF(J23="","",INDEX(Frozen_Predictions!$W$4:$W$303,MATCH(A23,Frozen_Predictions!$A$4:$A$303,0)))</x:f>
      </x:c>
      <x:c r="V23" t="str">
        <x:f>IF(J23="","",INDEX(Frozen_Predictions!$X$4:$X$303,MATCH(A23,Frozen_Predictions!$A$4:$A$303,0)))</x:f>
      </x:c>
      <x:c r="W23" t="str">
        <x:f>IF(A23="","",IF(COUNTIF($A$4:$A$303,A23)&lt;&gt;1,"ID DUPLICAT",IF(COUNTIF(Frozen_Predictions!$A$4:$A$303,A23)&lt;&gt;1,"ID INEXISTENT SAU DUPLICAT ÎN FROZEN",IF(COUNT(K23:L23)&lt;2,"COMPLETEAZĂ SCORUL","VERIFICAT"))))</x:f>
      </x:c>
    </x:row>
    <x:row r="24">
      <x:c r="A24" s="141"/>
      <x:c r="B24" t="str">
        <x:f>IF(OR(A24="",COUNTIF(Frozen_Predictions!$A$4:$A$303,A24)&lt;&gt;1),"",INDEX(Frozen_Predictions!$C$4:$C$303,MATCH(A24,Frozen_Predictions!$A$4:$A$303,0)))</x:f>
      </x:c>
      <x:c r="C24" t="str">
        <x:f>IF(OR(A24="",COUNTIF(Frozen_Predictions!$A$4:$A$303,A24)&lt;&gt;1),"",INDEX(Frozen_Predictions!$E$4:$E$303,MATCH(A24,Frozen_Predictions!$A$4:$A$303,0)))</x:f>
      </x:c>
      <x:c r="D24" t="str">
        <x:f>IF(OR(A24="",COUNTIF(Frozen_Predictions!$A$4:$A$303,A24)&lt;&gt;1),"",INDEX(Frozen_Predictions!$F$4:$F$303,MATCH(A24,Frozen_Predictions!$A$4:$A$303,0)))</x:f>
      </x:c>
      <x:c r="E24" t="str">
        <x:f>IF(OR(A24="",COUNTIF(Frozen_Predictions!$A$4:$A$303,A24)&lt;&gt;1),"",INDEX(Frozen_Predictions!$G$4:$G$303,MATCH(A24,Frozen_Predictions!$A$4:$A$303,0)))</x:f>
      </x:c>
      <x:c r="F24" t="str">
        <x:f>IF(OR(A24="",COUNTIF(Frozen_Predictions!$A$4:$A$303,A24)&lt;&gt;1),"",INDEX(Frozen_Predictions!$H$4:$H$303,MATCH(A24,Frozen_Predictions!$A$4:$A$303,0)))</x:f>
      </x:c>
      <x:c r="G24" t="str">
        <x:f>IF(OR(A24="",COUNTIF(Frozen_Predictions!$A$4:$A$303,A24)&lt;&gt;1),"",INDEX(Frozen_Predictions!$I$4:$I$303,MATCH(A24,Frozen_Predictions!$A$4:$A$303,0)))</x:f>
      </x:c>
      <x:c r="H24" t="str">
        <x:f>IF(OR(A24="",COUNTIF(Frozen_Predictions!$A$4:$A$303,A24)&lt;&gt;1),"",INDEX(Frozen_Predictions!$J$4:$J$303,MATCH(A24,Frozen_Predictions!$A$4:$A$303,0)))</x:f>
      </x:c>
      <x:c r="I24" t="str">
        <x:f>IF(OR(A24="",COUNTIF(Frozen_Predictions!$A$4:$A$303,A24)&lt;&gt;1),"",INDEX(Frozen_Predictions!$K$4:$K$303,MATCH(A24,Frozen_Predictions!$A$4:$A$303,0)))</x:f>
      </x:c>
      <x:c r="J24" s="142" t="str">
        <x:f>IF(OR(A24="",G24="",COUNT(K24:M24)&lt;3,COUNTIF($A$4:$A$303,A24)&lt;&gt;1),"",IF(IF(M24+F24&gt;0,"1",IF(M24+F24=0,"X","2"))=G24&amp;"",1,0))</x:f>
      </x:c>
      <x:c r="K24" s="143"/>
      <x:c r="L24" s="143"/>
      <x:c r="M24" s="142" t="str">
        <x:f>IF(AND(A24&lt;&gt;"",COUNT(K24:L24)=2),K24-L24,"")</x:f>
      </x:c>
      <x:c r="N24" s="142" t="str">
        <x:f>IF(J24="","",IF(M24+F24=0,"YES","NO"))</x:f>
      </x:c>
      <x:c r="O24" t="str">
        <x:f>IF(J24="","",IF(J24=1,"WIN",IF(N24="YES","Exact margin M="&amp;ABS(F24),"Direction / tail")))</x:f>
      </x:c>
      <x:c r="P24" s="141"/>
      <x:c r="Q24" s="141"/>
      <x:c r="R24" s="144" t="str">
        <x:f>IF(OR(I24="",J24=""),"",(I24-J24)^2)</x:f>
      </x:c>
      <x:c r="S24" s="144" t="str">
        <x:f>IF(OR(I24="",J24=""),"",-(J24*LN(MAX(MIN(I24,0.999999),0.000001))+(1-J24)*LN(MAX(MIN(1-I24,0.999999),0.000001))))</x:f>
      </x:c>
      <x:c r="T24" t="str">
        <x:f>IF(J24="","",INDEX(Frozen_Predictions!$M$4:$M$303,MATCH(A24,Frozen_Predictions!$A$4:$A$303,0)))</x:f>
      </x:c>
      <x:c r="U24" t="str">
        <x:f>IF(J24="","",INDEX(Frozen_Predictions!$W$4:$W$303,MATCH(A24,Frozen_Predictions!$A$4:$A$303,0)))</x:f>
      </x:c>
      <x:c r="V24" t="str">
        <x:f>IF(J24="","",INDEX(Frozen_Predictions!$X$4:$X$303,MATCH(A24,Frozen_Predictions!$A$4:$A$303,0)))</x:f>
      </x:c>
      <x:c r="W24" t="str">
        <x:f>IF(A24="","",IF(COUNTIF($A$4:$A$303,A24)&lt;&gt;1,"ID DUPLICAT",IF(COUNTIF(Frozen_Predictions!$A$4:$A$303,A24)&lt;&gt;1,"ID INEXISTENT SAU DUPLICAT ÎN FROZEN",IF(COUNT(K24:L24)&lt;2,"COMPLETEAZĂ SCORUL","VERIFICAT"))))</x:f>
      </x:c>
    </x:row>
    <x:row r="25">
      <x:c r="A25" s="141"/>
      <x:c r="B25" t="str">
        <x:f>IF(OR(A25="",COUNTIF(Frozen_Predictions!$A$4:$A$303,A25)&lt;&gt;1),"",INDEX(Frozen_Predictions!$C$4:$C$303,MATCH(A25,Frozen_Predictions!$A$4:$A$303,0)))</x:f>
      </x:c>
      <x:c r="C25" t="str">
        <x:f>IF(OR(A25="",COUNTIF(Frozen_Predictions!$A$4:$A$303,A25)&lt;&gt;1),"",INDEX(Frozen_Predictions!$E$4:$E$303,MATCH(A25,Frozen_Predictions!$A$4:$A$303,0)))</x:f>
      </x:c>
      <x:c r="D25" t="str">
        <x:f>IF(OR(A25="",COUNTIF(Frozen_Predictions!$A$4:$A$303,A25)&lt;&gt;1),"",INDEX(Frozen_Predictions!$F$4:$F$303,MATCH(A25,Frozen_Predictions!$A$4:$A$303,0)))</x:f>
      </x:c>
      <x:c r="E25" t="str">
        <x:f>IF(OR(A25="",COUNTIF(Frozen_Predictions!$A$4:$A$303,A25)&lt;&gt;1),"",INDEX(Frozen_Predictions!$G$4:$G$303,MATCH(A25,Frozen_Predictions!$A$4:$A$303,0)))</x:f>
      </x:c>
      <x:c r="F25" t="str">
        <x:f>IF(OR(A25="",COUNTIF(Frozen_Predictions!$A$4:$A$303,A25)&lt;&gt;1),"",INDEX(Frozen_Predictions!$H$4:$H$303,MATCH(A25,Frozen_Predictions!$A$4:$A$303,0)))</x:f>
      </x:c>
      <x:c r="G25" t="str">
        <x:f>IF(OR(A25="",COUNTIF(Frozen_Predictions!$A$4:$A$303,A25)&lt;&gt;1),"",INDEX(Frozen_Predictions!$I$4:$I$303,MATCH(A25,Frozen_Predictions!$A$4:$A$303,0)))</x:f>
      </x:c>
      <x:c r="H25" t="str">
        <x:f>IF(OR(A25="",COUNTIF(Frozen_Predictions!$A$4:$A$303,A25)&lt;&gt;1),"",INDEX(Frozen_Predictions!$J$4:$J$303,MATCH(A25,Frozen_Predictions!$A$4:$A$303,0)))</x:f>
      </x:c>
      <x:c r="I25" t="str">
        <x:f>IF(OR(A25="",COUNTIF(Frozen_Predictions!$A$4:$A$303,A25)&lt;&gt;1),"",INDEX(Frozen_Predictions!$K$4:$K$303,MATCH(A25,Frozen_Predictions!$A$4:$A$303,0)))</x:f>
      </x:c>
      <x:c r="J25" s="142" t="str">
        <x:f>IF(OR(A25="",G25="",COUNT(K25:M25)&lt;3,COUNTIF($A$4:$A$303,A25)&lt;&gt;1),"",IF(IF(M25+F25&gt;0,"1",IF(M25+F25=0,"X","2"))=G25&amp;"",1,0))</x:f>
      </x:c>
      <x:c r="K25" s="143"/>
      <x:c r="L25" s="143"/>
      <x:c r="M25" s="142" t="str">
        <x:f>IF(AND(A25&lt;&gt;"",COUNT(K25:L25)=2),K25-L25,"")</x:f>
      </x:c>
      <x:c r="N25" s="142" t="str">
        <x:f>IF(J25="","",IF(M25+F25=0,"YES","NO"))</x:f>
      </x:c>
      <x:c r="O25" t="str">
        <x:f>IF(J25="","",IF(J25=1,"WIN",IF(N25="YES","Exact margin M="&amp;ABS(F25),"Direction / tail")))</x:f>
      </x:c>
      <x:c r="P25" s="141"/>
      <x:c r="Q25" s="141"/>
      <x:c r="R25" s="144" t="str">
        <x:f>IF(OR(I25="",J25=""),"",(I25-J25)^2)</x:f>
      </x:c>
      <x:c r="S25" s="144" t="str">
        <x:f>IF(OR(I25="",J25=""),"",-(J25*LN(MAX(MIN(I25,0.999999),0.000001))+(1-J25)*LN(MAX(MIN(1-I25,0.999999),0.000001))))</x:f>
      </x:c>
      <x:c r="T25" t="str">
        <x:f>IF(J25="","",INDEX(Frozen_Predictions!$M$4:$M$303,MATCH(A25,Frozen_Predictions!$A$4:$A$303,0)))</x:f>
      </x:c>
      <x:c r="U25" t="str">
        <x:f>IF(J25="","",INDEX(Frozen_Predictions!$W$4:$W$303,MATCH(A25,Frozen_Predictions!$A$4:$A$303,0)))</x:f>
      </x:c>
      <x:c r="V25" t="str">
        <x:f>IF(J25="","",INDEX(Frozen_Predictions!$X$4:$X$303,MATCH(A25,Frozen_Predictions!$A$4:$A$303,0)))</x:f>
      </x:c>
      <x:c r="W25" t="str">
        <x:f>IF(A25="","",IF(COUNTIF($A$4:$A$303,A25)&lt;&gt;1,"ID DUPLICAT",IF(COUNTIF(Frozen_Predictions!$A$4:$A$303,A25)&lt;&gt;1,"ID INEXISTENT SAU DUPLICAT ÎN FROZEN",IF(COUNT(K25:L25)&lt;2,"COMPLETEAZĂ SCORUL","VERIFICAT"))))</x:f>
      </x:c>
    </x:row>
    <x:row r="26">
      <x:c r="A26" s="141"/>
      <x:c r="B26" t="str">
        <x:f>IF(OR(A26="",COUNTIF(Frozen_Predictions!$A$4:$A$303,A26)&lt;&gt;1),"",INDEX(Frozen_Predictions!$C$4:$C$303,MATCH(A26,Frozen_Predictions!$A$4:$A$303,0)))</x:f>
      </x:c>
      <x:c r="C26" t="str">
        <x:f>IF(OR(A26="",COUNTIF(Frozen_Predictions!$A$4:$A$303,A26)&lt;&gt;1),"",INDEX(Frozen_Predictions!$E$4:$E$303,MATCH(A26,Frozen_Predictions!$A$4:$A$303,0)))</x:f>
      </x:c>
      <x:c r="D26" t="str">
        <x:f>IF(OR(A26="",COUNTIF(Frozen_Predictions!$A$4:$A$303,A26)&lt;&gt;1),"",INDEX(Frozen_Predictions!$F$4:$F$303,MATCH(A26,Frozen_Predictions!$A$4:$A$303,0)))</x:f>
      </x:c>
      <x:c r="E26" t="str">
        <x:f>IF(OR(A26="",COUNTIF(Frozen_Predictions!$A$4:$A$303,A26)&lt;&gt;1),"",INDEX(Frozen_Predictions!$G$4:$G$303,MATCH(A26,Frozen_Predictions!$A$4:$A$303,0)))</x:f>
      </x:c>
      <x:c r="F26" t="str">
        <x:f>IF(OR(A26="",COUNTIF(Frozen_Predictions!$A$4:$A$303,A26)&lt;&gt;1),"",INDEX(Frozen_Predictions!$H$4:$H$303,MATCH(A26,Frozen_Predictions!$A$4:$A$303,0)))</x:f>
      </x:c>
      <x:c r="G26" t="str">
        <x:f>IF(OR(A26="",COUNTIF(Frozen_Predictions!$A$4:$A$303,A26)&lt;&gt;1),"",INDEX(Frozen_Predictions!$I$4:$I$303,MATCH(A26,Frozen_Predictions!$A$4:$A$303,0)))</x:f>
      </x:c>
      <x:c r="H26" t="str">
        <x:f>IF(OR(A26="",COUNTIF(Frozen_Predictions!$A$4:$A$303,A26)&lt;&gt;1),"",INDEX(Frozen_Predictions!$J$4:$J$303,MATCH(A26,Frozen_Predictions!$A$4:$A$303,0)))</x:f>
      </x:c>
      <x:c r="I26" t="str">
        <x:f>IF(OR(A26="",COUNTIF(Frozen_Predictions!$A$4:$A$303,A26)&lt;&gt;1),"",INDEX(Frozen_Predictions!$K$4:$K$303,MATCH(A26,Frozen_Predictions!$A$4:$A$303,0)))</x:f>
      </x:c>
      <x:c r="J26" s="142" t="str">
        <x:f>IF(OR(A26="",G26="",COUNT(K26:M26)&lt;3,COUNTIF($A$4:$A$303,A26)&lt;&gt;1),"",IF(IF(M26+F26&gt;0,"1",IF(M26+F26=0,"X","2"))=G26&amp;"",1,0))</x:f>
      </x:c>
      <x:c r="K26" s="143"/>
      <x:c r="L26" s="143"/>
      <x:c r="M26" s="142" t="str">
        <x:f>IF(AND(A26&lt;&gt;"",COUNT(K26:L26)=2),K26-L26,"")</x:f>
      </x:c>
      <x:c r="N26" s="142" t="str">
        <x:f>IF(J26="","",IF(M26+F26=0,"YES","NO"))</x:f>
      </x:c>
      <x:c r="O26" t="str">
        <x:f>IF(J26="","",IF(J26=1,"WIN",IF(N26="YES","Exact margin M="&amp;ABS(F26),"Direction / tail")))</x:f>
      </x:c>
      <x:c r="P26" s="141"/>
      <x:c r="Q26" s="141"/>
      <x:c r="R26" s="144" t="str">
        <x:f>IF(OR(I26="",J26=""),"",(I26-J26)^2)</x:f>
      </x:c>
      <x:c r="S26" s="144" t="str">
        <x:f>IF(OR(I26="",J26=""),"",-(J26*LN(MAX(MIN(I26,0.999999),0.000001))+(1-J26)*LN(MAX(MIN(1-I26,0.999999),0.000001))))</x:f>
      </x:c>
      <x:c r="T26" t="str">
        <x:f>IF(J26="","",INDEX(Frozen_Predictions!$M$4:$M$303,MATCH(A26,Frozen_Predictions!$A$4:$A$303,0)))</x:f>
      </x:c>
      <x:c r="U26" t="str">
        <x:f>IF(J26="","",INDEX(Frozen_Predictions!$W$4:$W$303,MATCH(A26,Frozen_Predictions!$A$4:$A$303,0)))</x:f>
      </x:c>
      <x:c r="V26" t="str">
        <x:f>IF(J26="","",INDEX(Frozen_Predictions!$X$4:$X$303,MATCH(A26,Frozen_Predictions!$A$4:$A$303,0)))</x:f>
      </x:c>
      <x:c r="W26" t="str">
        <x:f>IF(A26="","",IF(COUNTIF($A$4:$A$303,A26)&lt;&gt;1,"ID DUPLICAT",IF(COUNTIF(Frozen_Predictions!$A$4:$A$303,A26)&lt;&gt;1,"ID INEXISTENT SAU DUPLICAT ÎN FROZEN",IF(COUNT(K26:L26)&lt;2,"COMPLETEAZĂ SCORUL","VERIFICAT"))))</x:f>
      </x:c>
    </x:row>
    <x:row r="27">
      <x:c r="A27" s="141"/>
      <x:c r="B27" t="str">
        <x:f>IF(OR(A27="",COUNTIF(Frozen_Predictions!$A$4:$A$303,A27)&lt;&gt;1),"",INDEX(Frozen_Predictions!$C$4:$C$303,MATCH(A27,Frozen_Predictions!$A$4:$A$303,0)))</x:f>
      </x:c>
      <x:c r="C27" t="str">
        <x:f>IF(OR(A27="",COUNTIF(Frozen_Predictions!$A$4:$A$303,A27)&lt;&gt;1),"",INDEX(Frozen_Predictions!$E$4:$E$303,MATCH(A27,Frozen_Predictions!$A$4:$A$303,0)))</x:f>
      </x:c>
      <x:c r="D27" t="str">
        <x:f>IF(OR(A27="",COUNTIF(Frozen_Predictions!$A$4:$A$303,A27)&lt;&gt;1),"",INDEX(Frozen_Predictions!$F$4:$F$303,MATCH(A27,Frozen_Predictions!$A$4:$A$303,0)))</x:f>
      </x:c>
      <x:c r="E27" t="str">
        <x:f>IF(OR(A27="",COUNTIF(Frozen_Predictions!$A$4:$A$303,A27)&lt;&gt;1),"",INDEX(Frozen_Predictions!$G$4:$G$303,MATCH(A27,Frozen_Predictions!$A$4:$A$303,0)))</x:f>
      </x:c>
      <x:c r="F27" t="str">
        <x:f>IF(OR(A27="",COUNTIF(Frozen_Predictions!$A$4:$A$303,A27)&lt;&gt;1),"",INDEX(Frozen_Predictions!$H$4:$H$303,MATCH(A27,Frozen_Predictions!$A$4:$A$303,0)))</x:f>
      </x:c>
      <x:c r="G27" t="str">
        <x:f>IF(OR(A27="",COUNTIF(Frozen_Predictions!$A$4:$A$303,A27)&lt;&gt;1),"",INDEX(Frozen_Predictions!$I$4:$I$303,MATCH(A27,Frozen_Predictions!$A$4:$A$303,0)))</x:f>
      </x:c>
      <x:c r="H27" t="str">
        <x:f>IF(OR(A27="",COUNTIF(Frozen_Predictions!$A$4:$A$303,A27)&lt;&gt;1),"",INDEX(Frozen_Predictions!$J$4:$J$303,MATCH(A27,Frozen_Predictions!$A$4:$A$303,0)))</x:f>
      </x:c>
      <x:c r="I27" t="str">
        <x:f>IF(OR(A27="",COUNTIF(Frozen_Predictions!$A$4:$A$303,A27)&lt;&gt;1),"",INDEX(Frozen_Predictions!$K$4:$K$303,MATCH(A27,Frozen_Predictions!$A$4:$A$303,0)))</x:f>
      </x:c>
      <x:c r="J27" s="142" t="str">
        <x:f>IF(OR(A27="",G27="",COUNT(K27:M27)&lt;3,COUNTIF($A$4:$A$303,A27)&lt;&gt;1),"",IF(IF(M27+F27&gt;0,"1",IF(M27+F27=0,"X","2"))=G27&amp;"",1,0))</x:f>
      </x:c>
      <x:c r="K27" s="143"/>
      <x:c r="L27" s="143"/>
      <x:c r="M27" s="142" t="str">
        <x:f>IF(AND(A27&lt;&gt;"",COUNT(K27:L27)=2),K27-L27,"")</x:f>
      </x:c>
      <x:c r="N27" s="142" t="str">
        <x:f>IF(J27="","",IF(M27+F27=0,"YES","NO"))</x:f>
      </x:c>
      <x:c r="O27" t="str">
        <x:f>IF(J27="","",IF(J27=1,"WIN",IF(N27="YES","Exact margin M="&amp;ABS(F27),"Direction / tail")))</x:f>
      </x:c>
      <x:c r="P27" s="141"/>
      <x:c r="Q27" s="141"/>
      <x:c r="R27" s="144" t="str">
        <x:f>IF(OR(I27="",J27=""),"",(I27-J27)^2)</x:f>
      </x:c>
      <x:c r="S27" s="144" t="str">
        <x:f>IF(OR(I27="",J27=""),"",-(J27*LN(MAX(MIN(I27,0.999999),0.000001))+(1-J27)*LN(MAX(MIN(1-I27,0.999999),0.000001))))</x:f>
      </x:c>
      <x:c r="T27" t="str">
        <x:f>IF(J27="","",INDEX(Frozen_Predictions!$M$4:$M$303,MATCH(A27,Frozen_Predictions!$A$4:$A$303,0)))</x:f>
      </x:c>
      <x:c r="U27" t="str">
        <x:f>IF(J27="","",INDEX(Frozen_Predictions!$W$4:$W$303,MATCH(A27,Frozen_Predictions!$A$4:$A$303,0)))</x:f>
      </x:c>
      <x:c r="V27" t="str">
        <x:f>IF(J27="","",INDEX(Frozen_Predictions!$X$4:$X$303,MATCH(A27,Frozen_Predictions!$A$4:$A$303,0)))</x:f>
      </x:c>
      <x:c r="W27" t="str">
        <x:f>IF(A27="","",IF(COUNTIF($A$4:$A$303,A27)&lt;&gt;1,"ID DUPLICAT",IF(COUNTIF(Frozen_Predictions!$A$4:$A$303,A27)&lt;&gt;1,"ID INEXISTENT SAU DUPLICAT ÎN FROZEN",IF(COUNT(K27:L27)&lt;2,"COMPLETEAZĂ SCORUL","VERIFICAT"))))</x:f>
      </x:c>
    </x:row>
    <x:row r="28">
      <x:c r="A28" s="141"/>
      <x:c r="B28" t="str">
        <x:f>IF(OR(A28="",COUNTIF(Frozen_Predictions!$A$4:$A$303,A28)&lt;&gt;1),"",INDEX(Frozen_Predictions!$C$4:$C$303,MATCH(A28,Frozen_Predictions!$A$4:$A$303,0)))</x:f>
      </x:c>
      <x:c r="C28" t="str">
        <x:f>IF(OR(A28="",COUNTIF(Frozen_Predictions!$A$4:$A$303,A28)&lt;&gt;1),"",INDEX(Frozen_Predictions!$E$4:$E$303,MATCH(A28,Frozen_Predictions!$A$4:$A$303,0)))</x:f>
      </x:c>
      <x:c r="D28" t="str">
        <x:f>IF(OR(A28="",COUNTIF(Frozen_Predictions!$A$4:$A$303,A28)&lt;&gt;1),"",INDEX(Frozen_Predictions!$F$4:$F$303,MATCH(A28,Frozen_Predictions!$A$4:$A$303,0)))</x:f>
      </x:c>
      <x:c r="E28" t="str">
        <x:f>IF(OR(A28="",COUNTIF(Frozen_Predictions!$A$4:$A$303,A28)&lt;&gt;1),"",INDEX(Frozen_Predictions!$G$4:$G$303,MATCH(A28,Frozen_Predictions!$A$4:$A$303,0)))</x:f>
      </x:c>
      <x:c r="F28" t="str">
        <x:f>IF(OR(A28="",COUNTIF(Frozen_Predictions!$A$4:$A$303,A28)&lt;&gt;1),"",INDEX(Frozen_Predictions!$H$4:$H$303,MATCH(A28,Frozen_Predictions!$A$4:$A$303,0)))</x:f>
      </x:c>
      <x:c r="G28" t="str">
        <x:f>IF(OR(A28="",COUNTIF(Frozen_Predictions!$A$4:$A$303,A28)&lt;&gt;1),"",INDEX(Frozen_Predictions!$I$4:$I$303,MATCH(A28,Frozen_Predictions!$A$4:$A$303,0)))</x:f>
      </x:c>
      <x:c r="H28" t="str">
        <x:f>IF(OR(A28="",COUNTIF(Frozen_Predictions!$A$4:$A$303,A28)&lt;&gt;1),"",INDEX(Frozen_Predictions!$J$4:$J$303,MATCH(A28,Frozen_Predictions!$A$4:$A$303,0)))</x:f>
      </x:c>
      <x:c r="I28" t="str">
        <x:f>IF(OR(A28="",COUNTIF(Frozen_Predictions!$A$4:$A$303,A28)&lt;&gt;1),"",INDEX(Frozen_Predictions!$K$4:$K$303,MATCH(A28,Frozen_Predictions!$A$4:$A$303,0)))</x:f>
      </x:c>
      <x:c r="J28" s="142" t="str">
        <x:f>IF(OR(A28="",G28="",COUNT(K28:M28)&lt;3,COUNTIF($A$4:$A$303,A28)&lt;&gt;1),"",IF(IF(M28+F28&gt;0,"1",IF(M28+F28=0,"X","2"))=G28&amp;"",1,0))</x:f>
      </x:c>
      <x:c r="K28" s="143"/>
      <x:c r="L28" s="143"/>
      <x:c r="M28" s="142" t="str">
        <x:f>IF(AND(A28&lt;&gt;"",COUNT(K28:L28)=2),K28-L28,"")</x:f>
      </x:c>
      <x:c r="N28" s="142" t="str">
        <x:f>IF(J28="","",IF(M28+F28=0,"YES","NO"))</x:f>
      </x:c>
      <x:c r="O28" t="str">
        <x:f>IF(J28="","",IF(J28=1,"WIN",IF(N28="YES","Exact margin M="&amp;ABS(F28),"Direction / tail")))</x:f>
      </x:c>
      <x:c r="P28" s="141"/>
      <x:c r="Q28" s="141"/>
      <x:c r="R28" s="144" t="str">
        <x:f>IF(OR(I28="",J28=""),"",(I28-J28)^2)</x:f>
      </x:c>
      <x:c r="S28" s="144" t="str">
        <x:f>IF(OR(I28="",J28=""),"",-(J28*LN(MAX(MIN(I28,0.999999),0.000001))+(1-J28)*LN(MAX(MIN(1-I28,0.999999),0.000001))))</x:f>
      </x:c>
      <x:c r="T28" t="str">
        <x:f>IF(J28="","",INDEX(Frozen_Predictions!$M$4:$M$303,MATCH(A28,Frozen_Predictions!$A$4:$A$303,0)))</x:f>
      </x:c>
      <x:c r="U28" t="str">
        <x:f>IF(J28="","",INDEX(Frozen_Predictions!$W$4:$W$303,MATCH(A28,Frozen_Predictions!$A$4:$A$303,0)))</x:f>
      </x:c>
      <x:c r="V28" t="str">
        <x:f>IF(J28="","",INDEX(Frozen_Predictions!$X$4:$X$303,MATCH(A28,Frozen_Predictions!$A$4:$A$303,0)))</x:f>
      </x:c>
      <x:c r="W28" t="str">
        <x:f>IF(A28="","",IF(COUNTIF($A$4:$A$303,A28)&lt;&gt;1,"ID DUPLICAT",IF(COUNTIF(Frozen_Predictions!$A$4:$A$303,A28)&lt;&gt;1,"ID INEXISTENT SAU DUPLICAT ÎN FROZEN",IF(COUNT(K28:L28)&lt;2,"COMPLETEAZĂ SCORUL","VERIFICAT"))))</x:f>
      </x:c>
    </x:row>
    <x:row r="29">
      <x:c r="A29" s="141"/>
      <x:c r="B29" t="str">
        <x:f>IF(OR(A29="",COUNTIF(Frozen_Predictions!$A$4:$A$303,A29)&lt;&gt;1),"",INDEX(Frozen_Predictions!$C$4:$C$303,MATCH(A29,Frozen_Predictions!$A$4:$A$303,0)))</x:f>
      </x:c>
      <x:c r="C29" t="str">
        <x:f>IF(OR(A29="",COUNTIF(Frozen_Predictions!$A$4:$A$303,A29)&lt;&gt;1),"",INDEX(Frozen_Predictions!$E$4:$E$303,MATCH(A29,Frozen_Predictions!$A$4:$A$303,0)))</x:f>
      </x:c>
      <x:c r="D29" t="str">
        <x:f>IF(OR(A29="",COUNTIF(Frozen_Predictions!$A$4:$A$303,A29)&lt;&gt;1),"",INDEX(Frozen_Predictions!$F$4:$F$303,MATCH(A29,Frozen_Predictions!$A$4:$A$303,0)))</x:f>
      </x:c>
      <x:c r="E29" t="str">
        <x:f>IF(OR(A29="",COUNTIF(Frozen_Predictions!$A$4:$A$303,A29)&lt;&gt;1),"",INDEX(Frozen_Predictions!$G$4:$G$303,MATCH(A29,Frozen_Predictions!$A$4:$A$303,0)))</x:f>
      </x:c>
      <x:c r="F29" t="str">
        <x:f>IF(OR(A29="",COUNTIF(Frozen_Predictions!$A$4:$A$303,A29)&lt;&gt;1),"",INDEX(Frozen_Predictions!$H$4:$H$303,MATCH(A29,Frozen_Predictions!$A$4:$A$303,0)))</x:f>
      </x:c>
      <x:c r="G29" t="str">
        <x:f>IF(OR(A29="",COUNTIF(Frozen_Predictions!$A$4:$A$303,A29)&lt;&gt;1),"",INDEX(Frozen_Predictions!$I$4:$I$303,MATCH(A29,Frozen_Predictions!$A$4:$A$303,0)))</x:f>
      </x:c>
      <x:c r="H29" t="str">
        <x:f>IF(OR(A29="",COUNTIF(Frozen_Predictions!$A$4:$A$303,A29)&lt;&gt;1),"",INDEX(Frozen_Predictions!$J$4:$J$303,MATCH(A29,Frozen_Predictions!$A$4:$A$303,0)))</x:f>
      </x:c>
      <x:c r="I29" t="str">
        <x:f>IF(OR(A29="",COUNTIF(Frozen_Predictions!$A$4:$A$303,A29)&lt;&gt;1),"",INDEX(Frozen_Predictions!$K$4:$K$303,MATCH(A29,Frozen_Predictions!$A$4:$A$303,0)))</x:f>
      </x:c>
      <x:c r="J29" s="142" t="str">
        <x:f>IF(OR(A29="",G29="",COUNT(K29:M29)&lt;3,COUNTIF($A$4:$A$303,A29)&lt;&gt;1),"",IF(IF(M29+F29&gt;0,"1",IF(M29+F29=0,"X","2"))=G29&amp;"",1,0))</x:f>
      </x:c>
      <x:c r="K29" s="143"/>
      <x:c r="L29" s="143"/>
      <x:c r="M29" s="142" t="str">
        <x:f>IF(AND(A29&lt;&gt;"",COUNT(K29:L29)=2),K29-L29,"")</x:f>
      </x:c>
      <x:c r="N29" s="142" t="str">
        <x:f>IF(J29="","",IF(M29+F29=0,"YES","NO"))</x:f>
      </x:c>
      <x:c r="O29" t="str">
        <x:f>IF(J29="","",IF(J29=1,"WIN",IF(N29="YES","Exact margin M="&amp;ABS(F29),"Direction / tail")))</x:f>
      </x:c>
      <x:c r="P29" s="141"/>
      <x:c r="Q29" s="141"/>
      <x:c r="R29" s="144" t="str">
        <x:f>IF(OR(I29="",J29=""),"",(I29-J29)^2)</x:f>
      </x:c>
      <x:c r="S29" s="144" t="str">
        <x:f>IF(OR(I29="",J29=""),"",-(J29*LN(MAX(MIN(I29,0.999999),0.000001))+(1-J29)*LN(MAX(MIN(1-I29,0.999999),0.000001))))</x:f>
      </x:c>
      <x:c r="T29" t="str">
        <x:f>IF(J29="","",INDEX(Frozen_Predictions!$M$4:$M$303,MATCH(A29,Frozen_Predictions!$A$4:$A$303,0)))</x:f>
      </x:c>
      <x:c r="U29" t="str">
        <x:f>IF(J29="","",INDEX(Frozen_Predictions!$W$4:$W$303,MATCH(A29,Frozen_Predictions!$A$4:$A$303,0)))</x:f>
      </x:c>
      <x:c r="V29" t="str">
        <x:f>IF(J29="","",INDEX(Frozen_Predictions!$X$4:$X$303,MATCH(A29,Frozen_Predictions!$A$4:$A$303,0)))</x:f>
      </x:c>
      <x:c r="W29" t="str">
        <x:f>IF(A29="","",IF(COUNTIF($A$4:$A$303,A29)&lt;&gt;1,"ID DUPLICAT",IF(COUNTIF(Frozen_Predictions!$A$4:$A$303,A29)&lt;&gt;1,"ID INEXISTENT SAU DUPLICAT ÎN FROZEN",IF(COUNT(K29:L29)&lt;2,"COMPLETEAZĂ SCORUL","VERIFICAT"))))</x:f>
      </x:c>
    </x:row>
    <x:row r="30">
      <x:c r="A30" s="141"/>
      <x:c r="B30" t="str">
        <x:f>IF(OR(A30="",COUNTIF(Frozen_Predictions!$A$4:$A$303,A30)&lt;&gt;1),"",INDEX(Frozen_Predictions!$C$4:$C$303,MATCH(A30,Frozen_Predictions!$A$4:$A$303,0)))</x:f>
      </x:c>
      <x:c r="C30" t="str">
        <x:f>IF(OR(A30="",COUNTIF(Frozen_Predictions!$A$4:$A$303,A30)&lt;&gt;1),"",INDEX(Frozen_Predictions!$E$4:$E$303,MATCH(A30,Frozen_Predictions!$A$4:$A$303,0)))</x:f>
      </x:c>
      <x:c r="D30" t="str">
        <x:f>IF(OR(A30="",COUNTIF(Frozen_Predictions!$A$4:$A$303,A30)&lt;&gt;1),"",INDEX(Frozen_Predictions!$F$4:$F$303,MATCH(A30,Frozen_Predictions!$A$4:$A$303,0)))</x:f>
      </x:c>
      <x:c r="E30" t="str">
        <x:f>IF(OR(A30="",COUNTIF(Frozen_Predictions!$A$4:$A$303,A30)&lt;&gt;1),"",INDEX(Frozen_Predictions!$G$4:$G$303,MATCH(A30,Frozen_Predictions!$A$4:$A$303,0)))</x:f>
      </x:c>
      <x:c r="F30" t="str">
        <x:f>IF(OR(A30="",COUNTIF(Frozen_Predictions!$A$4:$A$303,A30)&lt;&gt;1),"",INDEX(Frozen_Predictions!$H$4:$H$303,MATCH(A30,Frozen_Predictions!$A$4:$A$303,0)))</x:f>
      </x:c>
      <x:c r="G30" t="str">
        <x:f>IF(OR(A30="",COUNTIF(Frozen_Predictions!$A$4:$A$303,A30)&lt;&gt;1),"",INDEX(Frozen_Predictions!$I$4:$I$303,MATCH(A30,Frozen_Predictions!$A$4:$A$303,0)))</x:f>
      </x:c>
      <x:c r="H30" t="str">
        <x:f>IF(OR(A30="",COUNTIF(Frozen_Predictions!$A$4:$A$303,A30)&lt;&gt;1),"",INDEX(Frozen_Predictions!$J$4:$J$303,MATCH(A30,Frozen_Predictions!$A$4:$A$303,0)))</x:f>
      </x:c>
      <x:c r="I30" t="str">
        <x:f>IF(OR(A30="",COUNTIF(Frozen_Predictions!$A$4:$A$303,A30)&lt;&gt;1),"",INDEX(Frozen_Predictions!$K$4:$K$303,MATCH(A30,Frozen_Predictions!$A$4:$A$303,0)))</x:f>
      </x:c>
      <x:c r="J30" s="142" t="str">
        <x:f>IF(OR(A30="",G30="",COUNT(K30:M30)&lt;3,COUNTIF($A$4:$A$303,A30)&lt;&gt;1),"",IF(IF(M30+F30&gt;0,"1",IF(M30+F30=0,"X","2"))=G30&amp;"",1,0))</x:f>
      </x:c>
      <x:c r="K30" s="143"/>
      <x:c r="L30" s="143"/>
      <x:c r="M30" s="142" t="str">
        <x:f>IF(AND(A30&lt;&gt;"",COUNT(K30:L30)=2),K30-L30,"")</x:f>
      </x:c>
      <x:c r="N30" s="142" t="str">
        <x:f>IF(J30="","",IF(M30+F30=0,"YES","NO"))</x:f>
      </x:c>
      <x:c r="O30" t="str">
        <x:f>IF(J30="","",IF(J30=1,"WIN",IF(N30="YES","Exact margin M="&amp;ABS(F30),"Direction / tail")))</x:f>
      </x:c>
      <x:c r="P30" s="141"/>
      <x:c r="Q30" s="141"/>
      <x:c r="R30" s="144" t="str">
        <x:f>IF(OR(I30="",J30=""),"",(I30-J30)^2)</x:f>
      </x:c>
      <x:c r="S30" s="144" t="str">
        <x:f>IF(OR(I30="",J30=""),"",-(J30*LN(MAX(MIN(I30,0.999999),0.000001))+(1-J30)*LN(MAX(MIN(1-I30,0.999999),0.000001))))</x:f>
      </x:c>
      <x:c r="T30" t="str">
        <x:f>IF(J30="","",INDEX(Frozen_Predictions!$M$4:$M$303,MATCH(A30,Frozen_Predictions!$A$4:$A$303,0)))</x:f>
      </x:c>
      <x:c r="U30" t="str">
        <x:f>IF(J30="","",INDEX(Frozen_Predictions!$W$4:$W$303,MATCH(A30,Frozen_Predictions!$A$4:$A$303,0)))</x:f>
      </x:c>
      <x:c r="V30" t="str">
        <x:f>IF(J30="","",INDEX(Frozen_Predictions!$X$4:$X$303,MATCH(A30,Frozen_Predictions!$A$4:$A$303,0)))</x:f>
      </x:c>
      <x:c r="W30" t="str">
        <x:f>IF(A30="","",IF(COUNTIF($A$4:$A$303,A30)&lt;&gt;1,"ID DUPLICAT",IF(COUNTIF(Frozen_Predictions!$A$4:$A$303,A30)&lt;&gt;1,"ID INEXISTENT SAU DUPLICAT ÎN FROZEN",IF(COUNT(K30:L30)&lt;2,"COMPLETEAZĂ SCORUL","VERIFICAT"))))</x:f>
      </x:c>
    </x:row>
    <x:row r="31">
      <x:c r="A31" s="141"/>
      <x:c r="B31" t="str">
        <x:f>IF(OR(A31="",COUNTIF(Frozen_Predictions!$A$4:$A$303,A31)&lt;&gt;1),"",INDEX(Frozen_Predictions!$C$4:$C$303,MATCH(A31,Frozen_Predictions!$A$4:$A$303,0)))</x:f>
      </x:c>
      <x:c r="C31" t="str">
        <x:f>IF(OR(A31="",COUNTIF(Frozen_Predictions!$A$4:$A$303,A31)&lt;&gt;1),"",INDEX(Frozen_Predictions!$E$4:$E$303,MATCH(A31,Frozen_Predictions!$A$4:$A$303,0)))</x:f>
      </x:c>
      <x:c r="D31" t="str">
        <x:f>IF(OR(A31="",COUNTIF(Frozen_Predictions!$A$4:$A$303,A31)&lt;&gt;1),"",INDEX(Frozen_Predictions!$F$4:$F$303,MATCH(A31,Frozen_Predictions!$A$4:$A$303,0)))</x:f>
      </x:c>
      <x:c r="E31" t="str">
        <x:f>IF(OR(A31="",COUNTIF(Frozen_Predictions!$A$4:$A$303,A31)&lt;&gt;1),"",INDEX(Frozen_Predictions!$G$4:$G$303,MATCH(A31,Frozen_Predictions!$A$4:$A$303,0)))</x:f>
      </x:c>
      <x:c r="F31" t="str">
        <x:f>IF(OR(A31="",COUNTIF(Frozen_Predictions!$A$4:$A$303,A31)&lt;&gt;1),"",INDEX(Frozen_Predictions!$H$4:$H$303,MATCH(A31,Frozen_Predictions!$A$4:$A$303,0)))</x:f>
      </x:c>
      <x:c r="G31" t="str">
        <x:f>IF(OR(A31="",COUNTIF(Frozen_Predictions!$A$4:$A$303,A31)&lt;&gt;1),"",INDEX(Frozen_Predictions!$I$4:$I$303,MATCH(A31,Frozen_Predictions!$A$4:$A$303,0)))</x:f>
      </x:c>
      <x:c r="H31" t="str">
        <x:f>IF(OR(A31="",COUNTIF(Frozen_Predictions!$A$4:$A$303,A31)&lt;&gt;1),"",INDEX(Frozen_Predictions!$J$4:$J$303,MATCH(A31,Frozen_Predictions!$A$4:$A$303,0)))</x:f>
      </x:c>
      <x:c r="I31" t="str">
        <x:f>IF(OR(A31="",COUNTIF(Frozen_Predictions!$A$4:$A$303,A31)&lt;&gt;1),"",INDEX(Frozen_Predictions!$K$4:$K$303,MATCH(A31,Frozen_Predictions!$A$4:$A$303,0)))</x:f>
      </x:c>
      <x:c r="J31" s="142" t="str">
        <x:f>IF(OR(A31="",G31="",COUNT(K31:M31)&lt;3,COUNTIF($A$4:$A$303,A31)&lt;&gt;1),"",IF(IF(M31+F31&gt;0,"1",IF(M31+F31=0,"X","2"))=G31&amp;"",1,0))</x:f>
      </x:c>
      <x:c r="K31" s="143"/>
      <x:c r="L31" s="143"/>
      <x:c r="M31" s="142" t="str">
        <x:f>IF(AND(A31&lt;&gt;"",COUNT(K31:L31)=2),K31-L31,"")</x:f>
      </x:c>
      <x:c r="N31" s="142" t="str">
        <x:f>IF(J31="","",IF(M31+F31=0,"YES","NO"))</x:f>
      </x:c>
      <x:c r="O31" t="str">
        <x:f>IF(J31="","",IF(J31=1,"WIN",IF(N31="YES","Exact margin M="&amp;ABS(F31),"Direction / tail")))</x:f>
      </x:c>
      <x:c r="P31" s="141"/>
      <x:c r="Q31" s="141"/>
      <x:c r="R31" s="144" t="str">
        <x:f>IF(OR(I31="",J31=""),"",(I31-J31)^2)</x:f>
      </x:c>
      <x:c r="S31" s="144" t="str">
        <x:f>IF(OR(I31="",J31=""),"",-(J31*LN(MAX(MIN(I31,0.999999),0.000001))+(1-J31)*LN(MAX(MIN(1-I31,0.999999),0.000001))))</x:f>
      </x:c>
      <x:c r="T31" t="str">
        <x:f>IF(J31="","",INDEX(Frozen_Predictions!$M$4:$M$303,MATCH(A31,Frozen_Predictions!$A$4:$A$303,0)))</x:f>
      </x:c>
      <x:c r="U31" t="str">
        <x:f>IF(J31="","",INDEX(Frozen_Predictions!$W$4:$W$303,MATCH(A31,Frozen_Predictions!$A$4:$A$303,0)))</x:f>
      </x:c>
      <x:c r="V31" t="str">
        <x:f>IF(J31="","",INDEX(Frozen_Predictions!$X$4:$X$303,MATCH(A31,Frozen_Predictions!$A$4:$A$303,0)))</x:f>
      </x:c>
      <x:c r="W31" t="str">
        <x:f>IF(A31="","",IF(COUNTIF($A$4:$A$303,A31)&lt;&gt;1,"ID DUPLICAT",IF(COUNTIF(Frozen_Predictions!$A$4:$A$303,A31)&lt;&gt;1,"ID INEXISTENT SAU DUPLICAT ÎN FROZEN",IF(COUNT(K31:L31)&lt;2,"COMPLETEAZĂ SCORUL","VERIFICAT"))))</x:f>
      </x:c>
    </x:row>
    <x:row r="32">
      <x:c r="A32" s="141"/>
      <x:c r="B32" t="str">
        <x:f>IF(OR(A32="",COUNTIF(Frozen_Predictions!$A$4:$A$303,A32)&lt;&gt;1),"",INDEX(Frozen_Predictions!$C$4:$C$303,MATCH(A32,Frozen_Predictions!$A$4:$A$303,0)))</x:f>
      </x:c>
      <x:c r="C32" t="str">
        <x:f>IF(OR(A32="",COUNTIF(Frozen_Predictions!$A$4:$A$303,A32)&lt;&gt;1),"",INDEX(Frozen_Predictions!$E$4:$E$303,MATCH(A32,Frozen_Predictions!$A$4:$A$303,0)))</x:f>
      </x:c>
      <x:c r="D32" t="str">
        <x:f>IF(OR(A32="",COUNTIF(Frozen_Predictions!$A$4:$A$303,A32)&lt;&gt;1),"",INDEX(Frozen_Predictions!$F$4:$F$303,MATCH(A32,Frozen_Predictions!$A$4:$A$303,0)))</x:f>
      </x:c>
      <x:c r="E32" t="str">
        <x:f>IF(OR(A32="",COUNTIF(Frozen_Predictions!$A$4:$A$303,A32)&lt;&gt;1),"",INDEX(Frozen_Predictions!$G$4:$G$303,MATCH(A32,Frozen_Predictions!$A$4:$A$303,0)))</x:f>
      </x:c>
      <x:c r="F32" t="str">
        <x:f>IF(OR(A32="",COUNTIF(Frozen_Predictions!$A$4:$A$303,A32)&lt;&gt;1),"",INDEX(Frozen_Predictions!$H$4:$H$303,MATCH(A32,Frozen_Predictions!$A$4:$A$303,0)))</x:f>
      </x:c>
      <x:c r="G32" t="str">
        <x:f>IF(OR(A32="",COUNTIF(Frozen_Predictions!$A$4:$A$303,A32)&lt;&gt;1),"",INDEX(Frozen_Predictions!$I$4:$I$303,MATCH(A32,Frozen_Predictions!$A$4:$A$303,0)))</x:f>
      </x:c>
      <x:c r="H32" t="str">
        <x:f>IF(OR(A32="",COUNTIF(Frozen_Predictions!$A$4:$A$303,A32)&lt;&gt;1),"",INDEX(Frozen_Predictions!$J$4:$J$303,MATCH(A32,Frozen_Predictions!$A$4:$A$303,0)))</x:f>
      </x:c>
      <x:c r="I32" t="str">
        <x:f>IF(OR(A32="",COUNTIF(Frozen_Predictions!$A$4:$A$303,A32)&lt;&gt;1),"",INDEX(Frozen_Predictions!$K$4:$K$303,MATCH(A32,Frozen_Predictions!$A$4:$A$303,0)))</x:f>
      </x:c>
      <x:c r="J32" s="142" t="str">
        <x:f>IF(OR(A32="",G32="",COUNT(K32:M32)&lt;3,COUNTIF($A$4:$A$303,A32)&lt;&gt;1),"",IF(IF(M32+F32&gt;0,"1",IF(M32+F32=0,"X","2"))=G32&amp;"",1,0))</x:f>
      </x:c>
      <x:c r="K32" s="143"/>
      <x:c r="L32" s="143"/>
      <x:c r="M32" s="142" t="str">
        <x:f>IF(AND(A32&lt;&gt;"",COUNT(K32:L32)=2),K32-L32,"")</x:f>
      </x:c>
      <x:c r="N32" s="142" t="str">
        <x:f>IF(J32="","",IF(M32+F32=0,"YES","NO"))</x:f>
      </x:c>
      <x:c r="O32" t="str">
        <x:f>IF(J32="","",IF(J32=1,"WIN",IF(N32="YES","Exact margin M="&amp;ABS(F32),"Direction / tail")))</x:f>
      </x:c>
      <x:c r="P32" s="141"/>
      <x:c r="Q32" s="141"/>
      <x:c r="R32" s="144" t="str">
        <x:f>IF(OR(I32="",J32=""),"",(I32-J32)^2)</x:f>
      </x:c>
      <x:c r="S32" s="144" t="str">
        <x:f>IF(OR(I32="",J32=""),"",-(J32*LN(MAX(MIN(I32,0.999999),0.000001))+(1-J32)*LN(MAX(MIN(1-I32,0.999999),0.000001))))</x:f>
      </x:c>
      <x:c r="T32" t="str">
        <x:f>IF(J32="","",INDEX(Frozen_Predictions!$M$4:$M$303,MATCH(A32,Frozen_Predictions!$A$4:$A$303,0)))</x:f>
      </x:c>
      <x:c r="U32" t="str">
        <x:f>IF(J32="","",INDEX(Frozen_Predictions!$W$4:$W$303,MATCH(A32,Frozen_Predictions!$A$4:$A$303,0)))</x:f>
      </x:c>
      <x:c r="V32" t="str">
        <x:f>IF(J32="","",INDEX(Frozen_Predictions!$X$4:$X$303,MATCH(A32,Frozen_Predictions!$A$4:$A$303,0)))</x:f>
      </x:c>
      <x:c r="W32" t="str">
        <x:f>IF(A32="","",IF(COUNTIF($A$4:$A$303,A32)&lt;&gt;1,"ID DUPLICAT",IF(COUNTIF(Frozen_Predictions!$A$4:$A$303,A32)&lt;&gt;1,"ID INEXISTENT SAU DUPLICAT ÎN FROZEN",IF(COUNT(K32:L32)&lt;2,"COMPLETEAZĂ SCORUL","VERIFICAT"))))</x:f>
      </x:c>
    </x:row>
    <x:row r="33">
      <x:c r="A33" s="141"/>
      <x:c r="B33" t="str">
        <x:f>IF(OR(A33="",COUNTIF(Frozen_Predictions!$A$4:$A$303,A33)&lt;&gt;1),"",INDEX(Frozen_Predictions!$C$4:$C$303,MATCH(A33,Frozen_Predictions!$A$4:$A$303,0)))</x:f>
      </x:c>
      <x:c r="C33" t="str">
        <x:f>IF(OR(A33="",COUNTIF(Frozen_Predictions!$A$4:$A$303,A33)&lt;&gt;1),"",INDEX(Frozen_Predictions!$E$4:$E$303,MATCH(A33,Frozen_Predictions!$A$4:$A$303,0)))</x:f>
      </x:c>
      <x:c r="D33" t="str">
        <x:f>IF(OR(A33="",COUNTIF(Frozen_Predictions!$A$4:$A$303,A33)&lt;&gt;1),"",INDEX(Frozen_Predictions!$F$4:$F$303,MATCH(A33,Frozen_Predictions!$A$4:$A$303,0)))</x:f>
      </x:c>
      <x:c r="E33" t="str">
        <x:f>IF(OR(A33="",COUNTIF(Frozen_Predictions!$A$4:$A$303,A33)&lt;&gt;1),"",INDEX(Frozen_Predictions!$G$4:$G$303,MATCH(A33,Frozen_Predictions!$A$4:$A$303,0)))</x:f>
      </x:c>
      <x:c r="F33" t="str">
        <x:f>IF(OR(A33="",COUNTIF(Frozen_Predictions!$A$4:$A$303,A33)&lt;&gt;1),"",INDEX(Frozen_Predictions!$H$4:$H$303,MATCH(A33,Frozen_Predictions!$A$4:$A$303,0)))</x:f>
      </x:c>
      <x:c r="G33" t="str">
        <x:f>IF(OR(A33="",COUNTIF(Frozen_Predictions!$A$4:$A$303,A33)&lt;&gt;1),"",INDEX(Frozen_Predictions!$I$4:$I$303,MATCH(A33,Frozen_Predictions!$A$4:$A$303,0)))</x:f>
      </x:c>
      <x:c r="H33" t="str">
        <x:f>IF(OR(A33="",COUNTIF(Frozen_Predictions!$A$4:$A$303,A33)&lt;&gt;1),"",INDEX(Frozen_Predictions!$J$4:$J$303,MATCH(A33,Frozen_Predictions!$A$4:$A$303,0)))</x:f>
      </x:c>
      <x:c r="I33" t="str">
        <x:f>IF(OR(A33="",COUNTIF(Frozen_Predictions!$A$4:$A$303,A33)&lt;&gt;1),"",INDEX(Frozen_Predictions!$K$4:$K$303,MATCH(A33,Frozen_Predictions!$A$4:$A$303,0)))</x:f>
      </x:c>
      <x:c r="J33" s="142" t="str">
        <x:f>IF(OR(A33="",G33="",COUNT(K33:M33)&lt;3,COUNTIF($A$4:$A$303,A33)&lt;&gt;1),"",IF(IF(M33+F33&gt;0,"1",IF(M33+F33=0,"X","2"))=G33&amp;"",1,0))</x:f>
      </x:c>
      <x:c r="K33" s="143"/>
      <x:c r="L33" s="143"/>
      <x:c r="M33" s="142" t="str">
        <x:f>IF(AND(A33&lt;&gt;"",COUNT(K33:L33)=2),K33-L33,"")</x:f>
      </x:c>
      <x:c r="N33" s="142" t="str">
        <x:f>IF(J33="","",IF(M33+F33=0,"YES","NO"))</x:f>
      </x:c>
      <x:c r="O33" t="str">
        <x:f>IF(J33="","",IF(J33=1,"WIN",IF(N33="YES","Exact margin M="&amp;ABS(F33),"Direction / tail")))</x:f>
      </x:c>
      <x:c r="P33" s="141"/>
      <x:c r="Q33" s="141"/>
      <x:c r="R33" s="144" t="str">
        <x:f>IF(OR(I33="",J33=""),"",(I33-J33)^2)</x:f>
      </x:c>
      <x:c r="S33" s="144" t="str">
        <x:f>IF(OR(I33="",J33=""),"",-(J33*LN(MAX(MIN(I33,0.999999),0.000001))+(1-J33)*LN(MAX(MIN(1-I33,0.999999),0.000001))))</x:f>
      </x:c>
      <x:c r="T33" t="str">
        <x:f>IF(J33="","",INDEX(Frozen_Predictions!$M$4:$M$303,MATCH(A33,Frozen_Predictions!$A$4:$A$303,0)))</x:f>
      </x:c>
      <x:c r="U33" t="str">
        <x:f>IF(J33="","",INDEX(Frozen_Predictions!$W$4:$W$303,MATCH(A33,Frozen_Predictions!$A$4:$A$303,0)))</x:f>
      </x:c>
      <x:c r="V33" t="str">
        <x:f>IF(J33="","",INDEX(Frozen_Predictions!$X$4:$X$303,MATCH(A33,Frozen_Predictions!$A$4:$A$303,0)))</x:f>
      </x:c>
      <x:c r="W33" t="str">
        <x:f>IF(A33="","",IF(COUNTIF($A$4:$A$303,A33)&lt;&gt;1,"ID DUPLICAT",IF(COUNTIF(Frozen_Predictions!$A$4:$A$303,A33)&lt;&gt;1,"ID INEXISTENT SAU DUPLICAT ÎN FROZEN",IF(COUNT(K33:L33)&lt;2,"COMPLETEAZĂ SCORUL","VERIFICAT"))))</x:f>
      </x:c>
    </x:row>
    <x:row r="34">
      <x:c r="A34" s="141"/>
      <x:c r="B34" t="str">
        <x:f>IF(OR(A34="",COUNTIF(Frozen_Predictions!$A$4:$A$303,A34)&lt;&gt;1),"",INDEX(Frozen_Predictions!$C$4:$C$303,MATCH(A34,Frozen_Predictions!$A$4:$A$303,0)))</x:f>
      </x:c>
      <x:c r="C34" t="str">
        <x:f>IF(OR(A34="",COUNTIF(Frozen_Predictions!$A$4:$A$303,A34)&lt;&gt;1),"",INDEX(Frozen_Predictions!$E$4:$E$303,MATCH(A34,Frozen_Predictions!$A$4:$A$303,0)))</x:f>
      </x:c>
      <x:c r="D34" t="str">
        <x:f>IF(OR(A34="",COUNTIF(Frozen_Predictions!$A$4:$A$303,A34)&lt;&gt;1),"",INDEX(Frozen_Predictions!$F$4:$F$303,MATCH(A34,Frozen_Predictions!$A$4:$A$303,0)))</x:f>
      </x:c>
      <x:c r="E34" t="str">
        <x:f>IF(OR(A34="",COUNTIF(Frozen_Predictions!$A$4:$A$303,A34)&lt;&gt;1),"",INDEX(Frozen_Predictions!$G$4:$G$303,MATCH(A34,Frozen_Predictions!$A$4:$A$303,0)))</x:f>
      </x:c>
      <x:c r="F34" t="str">
        <x:f>IF(OR(A34="",COUNTIF(Frozen_Predictions!$A$4:$A$303,A34)&lt;&gt;1),"",INDEX(Frozen_Predictions!$H$4:$H$303,MATCH(A34,Frozen_Predictions!$A$4:$A$303,0)))</x:f>
      </x:c>
      <x:c r="G34" t="str">
        <x:f>IF(OR(A34="",COUNTIF(Frozen_Predictions!$A$4:$A$303,A34)&lt;&gt;1),"",INDEX(Frozen_Predictions!$I$4:$I$303,MATCH(A34,Frozen_Predictions!$A$4:$A$303,0)))</x:f>
      </x:c>
      <x:c r="H34" t="str">
        <x:f>IF(OR(A34="",COUNTIF(Frozen_Predictions!$A$4:$A$303,A34)&lt;&gt;1),"",INDEX(Frozen_Predictions!$J$4:$J$303,MATCH(A34,Frozen_Predictions!$A$4:$A$303,0)))</x:f>
      </x:c>
      <x:c r="I34" t="str">
        <x:f>IF(OR(A34="",COUNTIF(Frozen_Predictions!$A$4:$A$303,A34)&lt;&gt;1),"",INDEX(Frozen_Predictions!$K$4:$K$303,MATCH(A34,Frozen_Predictions!$A$4:$A$303,0)))</x:f>
      </x:c>
      <x:c r="J34" s="142" t="str">
        <x:f>IF(OR(A34="",G34="",COUNT(K34:M34)&lt;3,COUNTIF($A$4:$A$303,A34)&lt;&gt;1),"",IF(IF(M34+F34&gt;0,"1",IF(M34+F34=0,"X","2"))=G34&amp;"",1,0))</x:f>
      </x:c>
      <x:c r="K34" s="143"/>
      <x:c r="L34" s="143"/>
      <x:c r="M34" s="142" t="str">
        <x:f>IF(AND(A34&lt;&gt;"",COUNT(K34:L34)=2),K34-L34,"")</x:f>
      </x:c>
      <x:c r="N34" s="142" t="str">
        <x:f>IF(J34="","",IF(M34+F34=0,"YES","NO"))</x:f>
      </x:c>
      <x:c r="O34" t="str">
        <x:f>IF(J34="","",IF(J34=1,"WIN",IF(N34="YES","Exact margin M="&amp;ABS(F34),"Direction / tail")))</x:f>
      </x:c>
      <x:c r="P34" s="141"/>
      <x:c r="Q34" s="141"/>
      <x:c r="R34" s="144" t="str">
        <x:f>IF(OR(I34="",J34=""),"",(I34-J34)^2)</x:f>
      </x:c>
      <x:c r="S34" s="144" t="str">
        <x:f>IF(OR(I34="",J34=""),"",-(J34*LN(MAX(MIN(I34,0.999999),0.000001))+(1-J34)*LN(MAX(MIN(1-I34,0.999999),0.000001))))</x:f>
      </x:c>
      <x:c r="T34" t="str">
        <x:f>IF(J34="","",INDEX(Frozen_Predictions!$M$4:$M$303,MATCH(A34,Frozen_Predictions!$A$4:$A$303,0)))</x:f>
      </x:c>
      <x:c r="U34" t="str">
        <x:f>IF(J34="","",INDEX(Frozen_Predictions!$W$4:$W$303,MATCH(A34,Frozen_Predictions!$A$4:$A$303,0)))</x:f>
      </x:c>
      <x:c r="V34" t="str">
        <x:f>IF(J34="","",INDEX(Frozen_Predictions!$X$4:$X$303,MATCH(A34,Frozen_Predictions!$A$4:$A$303,0)))</x:f>
      </x:c>
      <x:c r="W34" t="str">
        <x:f>IF(A34="","",IF(COUNTIF($A$4:$A$303,A34)&lt;&gt;1,"ID DUPLICAT",IF(COUNTIF(Frozen_Predictions!$A$4:$A$303,A34)&lt;&gt;1,"ID INEXISTENT SAU DUPLICAT ÎN FROZEN",IF(COUNT(K34:L34)&lt;2,"COMPLETEAZĂ SCORUL","VERIFICAT"))))</x:f>
      </x:c>
    </x:row>
    <x:row r="35">
      <x:c r="A35" s="141"/>
      <x:c r="B35" t="str">
        <x:f>IF(OR(A35="",COUNTIF(Frozen_Predictions!$A$4:$A$303,A35)&lt;&gt;1),"",INDEX(Frozen_Predictions!$C$4:$C$303,MATCH(A35,Frozen_Predictions!$A$4:$A$303,0)))</x:f>
      </x:c>
      <x:c r="C35" t="str">
        <x:f>IF(OR(A35="",COUNTIF(Frozen_Predictions!$A$4:$A$303,A35)&lt;&gt;1),"",INDEX(Frozen_Predictions!$E$4:$E$303,MATCH(A35,Frozen_Predictions!$A$4:$A$303,0)))</x:f>
      </x:c>
      <x:c r="D35" t="str">
        <x:f>IF(OR(A35="",COUNTIF(Frozen_Predictions!$A$4:$A$303,A35)&lt;&gt;1),"",INDEX(Frozen_Predictions!$F$4:$F$303,MATCH(A35,Frozen_Predictions!$A$4:$A$303,0)))</x:f>
      </x:c>
      <x:c r="E35" t="str">
        <x:f>IF(OR(A35="",COUNTIF(Frozen_Predictions!$A$4:$A$303,A35)&lt;&gt;1),"",INDEX(Frozen_Predictions!$G$4:$G$303,MATCH(A35,Frozen_Predictions!$A$4:$A$303,0)))</x:f>
      </x:c>
      <x:c r="F35" t="str">
        <x:f>IF(OR(A35="",COUNTIF(Frozen_Predictions!$A$4:$A$303,A35)&lt;&gt;1),"",INDEX(Frozen_Predictions!$H$4:$H$303,MATCH(A35,Frozen_Predictions!$A$4:$A$303,0)))</x:f>
      </x:c>
      <x:c r="G35" t="str">
        <x:f>IF(OR(A35="",COUNTIF(Frozen_Predictions!$A$4:$A$303,A35)&lt;&gt;1),"",INDEX(Frozen_Predictions!$I$4:$I$303,MATCH(A35,Frozen_Predictions!$A$4:$A$303,0)))</x:f>
      </x:c>
      <x:c r="H35" t="str">
        <x:f>IF(OR(A35="",COUNTIF(Frozen_Predictions!$A$4:$A$303,A35)&lt;&gt;1),"",INDEX(Frozen_Predictions!$J$4:$J$303,MATCH(A35,Frozen_Predictions!$A$4:$A$303,0)))</x:f>
      </x:c>
      <x:c r="I35" t="str">
        <x:f>IF(OR(A35="",COUNTIF(Frozen_Predictions!$A$4:$A$303,A35)&lt;&gt;1),"",INDEX(Frozen_Predictions!$K$4:$K$303,MATCH(A35,Frozen_Predictions!$A$4:$A$303,0)))</x:f>
      </x:c>
      <x:c r="J35" s="142" t="str">
        <x:f>IF(OR(A35="",G35="",COUNT(K35:M35)&lt;3,COUNTIF($A$4:$A$303,A35)&lt;&gt;1),"",IF(IF(M35+F35&gt;0,"1",IF(M35+F35=0,"X","2"))=G35&amp;"",1,0))</x:f>
      </x:c>
      <x:c r="K35" s="143"/>
      <x:c r="L35" s="143"/>
      <x:c r="M35" s="142" t="str">
        <x:f>IF(AND(A35&lt;&gt;"",COUNT(K35:L35)=2),K35-L35,"")</x:f>
      </x:c>
      <x:c r="N35" s="142" t="str">
        <x:f>IF(J35="","",IF(M35+F35=0,"YES","NO"))</x:f>
      </x:c>
      <x:c r="O35" t="str">
        <x:f>IF(J35="","",IF(J35=1,"WIN",IF(N35="YES","Exact margin M="&amp;ABS(F35),"Direction / tail")))</x:f>
      </x:c>
      <x:c r="P35" s="141"/>
      <x:c r="Q35" s="141"/>
      <x:c r="R35" s="144" t="str">
        <x:f>IF(OR(I35="",J35=""),"",(I35-J35)^2)</x:f>
      </x:c>
      <x:c r="S35" s="144" t="str">
        <x:f>IF(OR(I35="",J35=""),"",-(J35*LN(MAX(MIN(I35,0.999999),0.000001))+(1-J35)*LN(MAX(MIN(1-I35,0.999999),0.000001))))</x:f>
      </x:c>
      <x:c r="T35" t="str">
        <x:f>IF(J35="","",INDEX(Frozen_Predictions!$M$4:$M$303,MATCH(A35,Frozen_Predictions!$A$4:$A$303,0)))</x:f>
      </x:c>
      <x:c r="U35" t="str">
        <x:f>IF(J35="","",INDEX(Frozen_Predictions!$W$4:$W$303,MATCH(A35,Frozen_Predictions!$A$4:$A$303,0)))</x:f>
      </x:c>
      <x:c r="V35" t="str">
        <x:f>IF(J35="","",INDEX(Frozen_Predictions!$X$4:$X$303,MATCH(A35,Frozen_Predictions!$A$4:$A$303,0)))</x:f>
      </x:c>
      <x:c r="W35" t="str">
        <x:f>IF(A35="","",IF(COUNTIF($A$4:$A$303,A35)&lt;&gt;1,"ID DUPLICAT",IF(COUNTIF(Frozen_Predictions!$A$4:$A$303,A35)&lt;&gt;1,"ID INEXISTENT SAU DUPLICAT ÎN FROZEN",IF(COUNT(K35:L35)&lt;2,"COMPLETEAZĂ SCORUL","VERIFICAT"))))</x:f>
      </x:c>
    </x:row>
    <x:row r="36">
      <x:c r="A36" s="141"/>
      <x:c r="B36" t="str">
        <x:f>IF(OR(A36="",COUNTIF(Frozen_Predictions!$A$4:$A$303,A36)&lt;&gt;1),"",INDEX(Frozen_Predictions!$C$4:$C$303,MATCH(A36,Frozen_Predictions!$A$4:$A$303,0)))</x:f>
      </x:c>
      <x:c r="C36" t="str">
        <x:f>IF(OR(A36="",COUNTIF(Frozen_Predictions!$A$4:$A$303,A36)&lt;&gt;1),"",INDEX(Frozen_Predictions!$E$4:$E$303,MATCH(A36,Frozen_Predictions!$A$4:$A$303,0)))</x:f>
      </x:c>
      <x:c r="D36" t="str">
        <x:f>IF(OR(A36="",COUNTIF(Frozen_Predictions!$A$4:$A$303,A36)&lt;&gt;1),"",INDEX(Frozen_Predictions!$F$4:$F$303,MATCH(A36,Frozen_Predictions!$A$4:$A$303,0)))</x:f>
      </x:c>
      <x:c r="E36" t="str">
        <x:f>IF(OR(A36="",COUNTIF(Frozen_Predictions!$A$4:$A$303,A36)&lt;&gt;1),"",INDEX(Frozen_Predictions!$G$4:$G$303,MATCH(A36,Frozen_Predictions!$A$4:$A$303,0)))</x:f>
      </x:c>
      <x:c r="F36" t="str">
        <x:f>IF(OR(A36="",COUNTIF(Frozen_Predictions!$A$4:$A$303,A36)&lt;&gt;1),"",INDEX(Frozen_Predictions!$H$4:$H$303,MATCH(A36,Frozen_Predictions!$A$4:$A$303,0)))</x:f>
      </x:c>
      <x:c r="G36" t="str">
        <x:f>IF(OR(A36="",COUNTIF(Frozen_Predictions!$A$4:$A$303,A36)&lt;&gt;1),"",INDEX(Frozen_Predictions!$I$4:$I$303,MATCH(A36,Frozen_Predictions!$A$4:$A$303,0)))</x:f>
      </x:c>
      <x:c r="H36" t="str">
        <x:f>IF(OR(A36="",COUNTIF(Frozen_Predictions!$A$4:$A$303,A36)&lt;&gt;1),"",INDEX(Frozen_Predictions!$J$4:$J$303,MATCH(A36,Frozen_Predictions!$A$4:$A$303,0)))</x:f>
      </x:c>
      <x:c r="I36" t="str">
        <x:f>IF(OR(A36="",COUNTIF(Frozen_Predictions!$A$4:$A$303,A36)&lt;&gt;1),"",INDEX(Frozen_Predictions!$K$4:$K$303,MATCH(A36,Frozen_Predictions!$A$4:$A$303,0)))</x:f>
      </x:c>
      <x:c r="J36" s="142" t="str">
        <x:f>IF(OR(A36="",G36="",COUNT(K36:M36)&lt;3,COUNTIF($A$4:$A$303,A36)&lt;&gt;1),"",IF(IF(M36+F36&gt;0,"1",IF(M36+F36=0,"X","2"))=G36&amp;"",1,0))</x:f>
      </x:c>
      <x:c r="K36" s="143"/>
      <x:c r="L36" s="143"/>
      <x:c r="M36" s="142" t="str">
        <x:f>IF(AND(A36&lt;&gt;"",COUNT(K36:L36)=2),K36-L36,"")</x:f>
      </x:c>
      <x:c r="N36" s="142" t="str">
        <x:f>IF(J36="","",IF(M36+F36=0,"YES","NO"))</x:f>
      </x:c>
      <x:c r="O36" t="str">
        <x:f>IF(J36="","",IF(J36=1,"WIN",IF(N36="YES","Exact margin M="&amp;ABS(F36),"Direction / tail")))</x:f>
      </x:c>
      <x:c r="P36" s="141"/>
      <x:c r="Q36" s="141"/>
      <x:c r="R36" s="144" t="str">
        <x:f>IF(OR(I36="",J36=""),"",(I36-J36)^2)</x:f>
      </x:c>
      <x:c r="S36" s="144" t="str">
        <x:f>IF(OR(I36="",J36=""),"",-(J36*LN(MAX(MIN(I36,0.999999),0.000001))+(1-J36)*LN(MAX(MIN(1-I36,0.999999),0.000001))))</x:f>
      </x:c>
      <x:c r="T36" t="str">
        <x:f>IF(J36="","",INDEX(Frozen_Predictions!$M$4:$M$303,MATCH(A36,Frozen_Predictions!$A$4:$A$303,0)))</x:f>
      </x:c>
      <x:c r="U36" t="str">
        <x:f>IF(J36="","",INDEX(Frozen_Predictions!$W$4:$W$303,MATCH(A36,Frozen_Predictions!$A$4:$A$303,0)))</x:f>
      </x:c>
      <x:c r="V36" t="str">
        <x:f>IF(J36="","",INDEX(Frozen_Predictions!$X$4:$X$303,MATCH(A36,Frozen_Predictions!$A$4:$A$303,0)))</x:f>
      </x:c>
      <x:c r="W36" t="str">
        <x:f>IF(A36="","",IF(COUNTIF($A$4:$A$303,A36)&lt;&gt;1,"ID DUPLICAT",IF(COUNTIF(Frozen_Predictions!$A$4:$A$303,A36)&lt;&gt;1,"ID INEXISTENT SAU DUPLICAT ÎN FROZEN",IF(COUNT(K36:L36)&lt;2,"COMPLETEAZĂ SCORUL","VERIFICAT"))))</x:f>
      </x:c>
    </x:row>
    <x:row r="37">
      <x:c r="A37" s="141"/>
      <x:c r="B37" t="str">
        <x:f>IF(OR(A37="",COUNTIF(Frozen_Predictions!$A$4:$A$303,A37)&lt;&gt;1),"",INDEX(Frozen_Predictions!$C$4:$C$303,MATCH(A37,Frozen_Predictions!$A$4:$A$303,0)))</x:f>
      </x:c>
      <x:c r="C37" t="str">
        <x:f>IF(OR(A37="",COUNTIF(Frozen_Predictions!$A$4:$A$303,A37)&lt;&gt;1),"",INDEX(Frozen_Predictions!$E$4:$E$303,MATCH(A37,Frozen_Predictions!$A$4:$A$303,0)))</x:f>
      </x:c>
      <x:c r="D37" t="str">
        <x:f>IF(OR(A37="",COUNTIF(Frozen_Predictions!$A$4:$A$303,A37)&lt;&gt;1),"",INDEX(Frozen_Predictions!$F$4:$F$303,MATCH(A37,Frozen_Predictions!$A$4:$A$303,0)))</x:f>
      </x:c>
      <x:c r="E37" t="str">
        <x:f>IF(OR(A37="",COUNTIF(Frozen_Predictions!$A$4:$A$303,A37)&lt;&gt;1),"",INDEX(Frozen_Predictions!$G$4:$G$303,MATCH(A37,Frozen_Predictions!$A$4:$A$303,0)))</x:f>
      </x:c>
      <x:c r="F37" t="str">
        <x:f>IF(OR(A37="",COUNTIF(Frozen_Predictions!$A$4:$A$303,A37)&lt;&gt;1),"",INDEX(Frozen_Predictions!$H$4:$H$303,MATCH(A37,Frozen_Predictions!$A$4:$A$303,0)))</x:f>
      </x:c>
      <x:c r="G37" t="str">
        <x:f>IF(OR(A37="",COUNTIF(Frozen_Predictions!$A$4:$A$303,A37)&lt;&gt;1),"",INDEX(Frozen_Predictions!$I$4:$I$303,MATCH(A37,Frozen_Predictions!$A$4:$A$303,0)))</x:f>
      </x:c>
      <x:c r="H37" t="str">
        <x:f>IF(OR(A37="",COUNTIF(Frozen_Predictions!$A$4:$A$303,A37)&lt;&gt;1),"",INDEX(Frozen_Predictions!$J$4:$J$303,MATCH(A37,Frozen_Predictions!$A$4:$A$303,0)))</x:f>
      </x:c>
      <x:c r="I37" t="str">
        <x:f>IF(OR(A37="",COUNTIF(Frozen_Predictions!$A$4:$A$303,A37)&lt;&gt;1),"",INDEX(Frozen_Predictions!$K$4:$K$303,MATCH(A37,Frozen_Predictions!$A$4:$A$303,0)))</x:f>
      </x:c>
      <x:c r="J37" s="142" t="str">
        <x:f>IF(OR(A37="",G37="",COUNT(K37:M37)&lt;3,COUNTIF($A$4:$A$303,A37)&lt;&gt;1),"",IF(IF(M37+F37&gt;0,"1",IF(M37+F37=0,"X","2"))=G37&amp;"",1,0))</x:f>
      </x:c>
      <x:c r="K37" s="143"/>
      <x:c r="L37" s="143"/>
      <x:c r="M37" s="142" t="str">
        <x:f>IF(AND(A37&lt;&gt;"",COUNT(K37:L37)=2),K37-L37,"")</x:f>
      </x:c>
      <x:c r="N37" s="142" t="str">
        <x:f>IF(J37="","",IF(M37+F37=0,"YES","NO"))</x:f>
      </x:c>
      <x:c r="O37" t="str">
        <x:f>IF(J37="","",IF(J37=1,"WIN",IF(N37="YES","Exact margin M="&amp;ABS(F37),"Direction / tail")))</x:f>
      </x:c>
      <x:c r="P37" s="141"/>
      <x:c r="Q37" s="141"/>
      <x:c r="R37" s="144" t="str">
        <x:f>IF(OR(I37="",J37=""),"",(I37-J37)^2)</x:f>
      </x:c>
      <x:c r="S37" s="144" t="str">
        <x:f>IF(OR(I37="",J37=""),"",-(J37*LN(MAX(MIN(I37,0.999999),0.000001))+(1-J37)*LN(MAX(MIN(1-I37,0.999999),0.000001))))</x:f>
      </x:c>
      <x:c r="T37" t="str">
        <x:f>IF(J37="","",INDEX(Frozen_Predictions!$M$4:$M$303,MATCH(A37,Frozen_Predictions!$A$4:$A$303,0)))</x:f>
      </x:c>
      <x:c r="U37" t="str">
        <x:f>IF(J37="","",INDEX(Frozen_Predictions!$W$4:$W$303,MATCH(A37,Frozen_Predictions!$A$4:$A$303,0)))</x:f>
      </x:c>
      <x:c r="V37" t="str">
        <x:f>IF(J37="","",INDEX(Frozen_Predictions!$X$4:$X$303,MATCH(A37,Frozen_Predictions!$A$4:$A$303,0)))</x:f>
      </x:c>
      <x:c r="W37" t="str">
        <x:f>IF(A37="","",IF(COUNTIF($A$4:$A$303,A37)&lt;&gt;1,"ID DUPLICAT",IF(COUNTIF(Frozen_Predictions!$A$4:$A$303,A37)&lt;&gt;1,"ID INEXISTENT SAU DUPLICAT ÎN FROZEN",IF(COUNT(K37:L37)&lt;2,"COMPLETEAZĂ SCORUL","VERIFICAT"))))</x:f>
      </x:c>
    </x:row>
    <x:row r="38">
      <x:c r="A38" s="141"/>
      <x:c r="B38" t="str">
        <x:f>IF(OR(A38="",COUNTIF(Frozen_Predictions!$A$4:$A$303,A38)&lt;&gt;1),"",INDEX(Frozen_Predictions!$C$4:$C$303,MATCH(A38,Frozen_Predictions!$A$4:$A$303,0)))</x:f>
      </x:c>
      <x:c r="C38" t="str">
        <x:f>IF(OR(A38="",COUNTIF(Frozen_Predictions!$A$4:$A$303,A38)&lt;&gt;1),"",INDEX(Frozen_Predictions!$E$4:$E$303,MATCH(A38,Frozen_Predictions!$A$4:$A$303,0)))</x:f>
      </x:c>
      <x:c r="D38" t="str">
        <x:f>IF(OR(A38="",COUNTIF(Frozen_Predictions!$A$4:$A$303,A38)&lt;&gt;1),"",INDEX(Frozen_Predictions!$F$4:$F$303,MATCH(A38,Frozen_Predictions!$A$4:$A$303,0)))</x:f>
      </x:c>
      <x:c r="E38" t="str">
        <x:f>IF(OR(A38="",COUNTIF(Frozen_Predictions!$A$4:$A$303,A38)&lt;&gt;1),"",INDEX(Frozen_Predictions!$G$4:$G$303,MATCH(A38,Frozen_Predictions!$A$4:$A$303,0)))</x:f>
      </x:c>
      <x:c r="F38" t="str">
        <x:f>IF(OR(A38="",COUNTIF(Frozen_Predictions!$A$4:$A$303,A38)&lt;&gt;1),"",INDEX(Frozen_Predictions!$H$4:$H$303,MATCH(A38,Frozen_Predictions!$A$4:$A$303,0)))</x:f>
      </x:c>
      <x:c r="G38" t="str">
        <x:f>IF(OR(A38="",COUNTIF(Frozen_Predictions!$A$4:$A$303,A38)&lt;&gt;1),"",INDEX(Frozen_Predictions!$I$4:$I$303,MATCH(A38,Frozen_Predictions!$A$4:$A$303,0)))</x:f>
      </x:c>
      <x:c r="H38" t="str">
        <x:f>IF(OR(A38="",COUNTIF(Frozen_Predictions!$A$4:$A$303,A38)&lt;&gt;1),"",INDEX(Frozen_Predictions!$J$4:$J$303,MATCH(A38,Frozen_Predictions!$A$4:$A$303,0)))</x:f>
      </x:c>
      <x:c r="I38" t="str">
        <x:f>IF(OR(A38="",COUNTIF(Frozen_Predictions!$A$4:$A$303,A38)&lt;&gt;1),"",INDEX(Frozen_Predictions!$K$4:$K$303,MATCH(A38,Frozen_Predictions!$A$4:$A$303,0)))</x:f>
      </x:c>
      <x:c r="J38" s="142" t="str">
        <x:f>IF(OR(A38="",G38="",COUNT(K38:M38)&lt;3,COUNTIF($A$4:$A$303,A38)&lt;&gt;1),"",IF(IF(M38+F38&gt;0,"1",IF(M38+F38=0,"X","2"))=G38&amp;"",1,0))</x:f>
      </x:c>
      <x:c r="K38" s="143"/>
      <x:c r="L38" s="143"/>
      <x:c r="M38" s="142" t="str">
        <x:f>IF(AND(A38&lt;&gt;"",COUNT(K38:L38)=2),K38-L38,"")</x:f>
      </x:c>
      <x:c r="N38" s="142" t="str">
        <x:f>IF(J38="","",IF(M38+F38=0,"YES","NO"))</x:f>
      </x:c>
      <x:c r="O38" t="str">
        <x:f>IF(J38="","",IF(J38=1,"WIN",IF(N38="YES","Exact margin M="&amp;ABS(F38),"Direction / tail")))</x:f>
      </x:c>
      <x:c r="P38" s="141"/>
      <x:c r="Q38" s="141"/>
      <x:c r="R38" s="144" t="str">
        <x:f>IF(OR(I38="",J38=""),"",(I38-J38)^2)</x:f>
      </x:c>
      <x:c r="S38" s="144" t="str">
        <x:f>IF(OR(I38="",J38=""),"",-(J38*LN(MAX(MIN(I38,0.999999),0.000001))+(1-J38)*LN(MAX(MIN(1-I38,0.999999),0.000001))))</x:f>
      </x:c>
      <x:c r="T38" t="str">
        <x:f>IF(J38="","",INDEX(Frozen_Predictions!$M$4:$M$303,MATCH(A38,Frozen_Predictions!$A$4:$A$303,0)))</x:f>
      </x:c>
      <x:c r="U38" t="str">
        <x:f>IF(J38="","",INDEX(Frozen_Predictions!$W$4:$W$303,MATCH(A38,Frozen_Predictions!$A$4:$A$303,0)))</x:f>
      </x:c>
      <x:c r="V38" t="str">
        <x:f>IF(J38="","",INDEX(Frozen_Predictions!$X$4:$X$303,MATCH(A38,Frozen_Predictions!$A$4:$A$303,0)))</x:f>
      </x:c>
      <x:c r="W38" t="str">
        <x:f>IF(A38="","",IF(COUNTIF($A$4:$A$303,A38)&lt;&gt;1,"ID DUPLICAT",IF(COUNTIF(Frozen_Predictions!$A$4:$A$303,A38)&lt;&gt;1,"ID INEXISTENT SAU DUPLICAT ÎN FROZEN",IF(COUNT(K38:L38)&lt;2,"COMPLETEAZĂ SCORUL","VERIFICAT"))))</x:f>
      </x:c>
    </x:row>
    <x:row r="39">
      <x:c r="A39" s="141"/>
      <x:c r="B39" t="str">
        <x:f>IF(OR(A39="",COUNTIF(Frozen_Predictions!$A$4:$A$303,A39)&lt;&gt;1),"",INDEX(Frozen_Predictions!$C$4:$C$303,MATCH(A39,Frozen_Predictions!$A$4:$A$303,0)))</x:f>
      </x:c>
      <x:c r="C39" t="str">
        <x:f>IF(OR(A39="",COUNTIF(Frozen_Predictions!$A$4:$A$303,A39)&lt;&gt;1),"",INDEX(Frozen_Predictions!$E$4:$E$303,MATCH(A39,Frozen_Predictions!$A$4:$A$303,0)))</x:f>
      </x:c>
      <x:c r="D39" t="str">
        <x:f>IF(OR(A39="",COUNTIF(Frozen_Predictions!$A$4:$A$303,A39)&lt;&gt;1),"",INDEX(Frozen_Predictions!$F$4:$F$303,MATCH(A39,Frozen_Predictions!$A$4:$A$303,0)))</x:f>
      </x:c>
      <x:c r="E39" t="str">
        <x:f>IF(OR(A39="",COUNTIF(Frozen_Predictions!$A$4:$A$303,A39)&lt;&gt;1),"",INDEX(Frozen_Predictions!$G$4:$G$303,MATCH(A39,Frozen_Predictions!$A$4:$A$303,0)))</x:f>
      </x:c>
      <x:c r="F39" t="str">
        <x:f>IF(OR(A39="",COUNTIF(Frozen_Predictions!$A$4:$A$303,A39)&lt;&gt;1),"",INDEX(Frozen_Predictions!$H$4:$H$303,MATCH(A39,Frozen_Predictions!$A$4:$A$303,0)))</x:f>
      </x:c>
      <x:c r="G39" t="str">
        <x:f>IF(OR(A39="",COUNTIF(Frozen_Predictions!$A$4:$A$303,A39)&lt;&gt;1),"",INDEX(Frozen_Predictions!$I$4:$I$303,MATCH(A39,Frozen_Predictions!$A$4:$A$303,0)))</x:f>
      </x:c>
      <x:c r="H39" t="str">
        <x:f>IF(OR(A39="",COUNTIF(Frozen_Predictions!$A$4:$A$303,A39)&lt;&gt;1),"",INDEX(Frozen_Predictions!$J$4:$J$303,MATCH(A39,Frozen_Predictions!$A$4:$A$303,0)))</x:f>
      </x:c>
      <x:c r="I39" t="str">
        <x:f>IF(OR(A39="",COUNTIF(Frozen_Predictions!$A$4:$A$303,A39)&lt;&gt;1),"",INDEX(Frozen_Predictions!$K$4:$K$303,MATCH(A39,Frozen_Predictions!$A$4:$A$303,0)))</x:f>
      </x:c>
      <x:c r="J39" s="142" t="str">
        <x:f>IF(OR(A39="",G39="",COUNT(K39:M39)&lt;3,COUNTIF($A$4:$A$303,A39)&lt;&gt;1),"",IF(IF(M39+F39&gt;0,"1",IF(M39+F39=0,"X","2"))=G39&amp;"",1,0))</x:f>
      </x:c>
      <x:c r="K39" s="143"/>
      <x:c r="L39" s="143"/>
      <x:c r="M39" s="142" t="str">
        <x:f>IF(AND(A39&lt;&gt;"",COUNT(K39:L39)=2),K39-L39,"")</x:f>
      </x:c>
      <x:c r="N39" s="142" t="str">
        <x:f>IF(J39="","",IF(M39+F39=0,"YES","NO"))</x:f>
      </x:c>
      <x:c r="O39" t="str">
        <x:f>IF(J39="","",IF(J39=1,"WIN",IF(N39="YES","Exact margin M="&amp;ABS(F39),"Direction / tail")))</x:f>
      </x:c>
      <x:c r="P39" s="141"/>
      <x:c r="Q39" s="141"/>
      <x:c r="R39" s="144" t="str">
        <x:f>IF(OR(I39="",J39=""),"",(I39-J39)^2)</x:f>
      </x:c>
      <x:c r="S39" s="144" t="str">
        <x:f>IF(OR(I39="",J39=""),"",-(J39*LN(MAX(MIN(I39,0.999999),0.000001))+(1-J39)*LN(MAX(MIN(1-I39,0.999999),0.000001))))</x:f>
      </x:c>
      <x:c r="T39" t="str">
        <x:f>IF(J39="","",INDEX(Frozen_Predictions!$M$4:$M$303,MATCH(A39,Frozen_Predictions!$A$4:$A$303,0)))</x:f>
      </x:c>
      <x:c r="U39" t="str">
        <x:f>IF(J39="","",INDEX(Frozen_Predictions!$W$4:$W$303,MATCH(A39,Frozen_Predictions!$A$4:$A$303,0)))</x:f>
      </x:c>
      <x:c r="V39" t="str">
        <x:f>IF(J39="","",INDEX(Frozen_Predictions!$X$4:$X$303,MATCH(A39,Frozen_Predictions!$A$4:$A$303,0)))</x:f>
      </x:c>
      <x:c r="W39" t="str">
        <x:f>IF(A39="","",IF(COUNTIF($A$4:$A$303,A39)&lt;&gt;1,"ID DUPLICAT",IF(COUNTIF(Frozen_Predictions!$A$4:$A$303,A39)&lt;&gt;1,"ID INEXISTENT SAU DUPLICAT ÎN FROZEN",IF(COUNT(K39:L39)&lt;2,"COMPLETEAZĂ SCORUL","VERIFICAT"))))</x:f>
      </x:c>
    </x:row>
    <x:row r="40">
      <x:c r="A40" s="141"/>
      <x:c r="B40" t="str">
        <x:f>IF(OR(A40="",COUNTIF(Frozen_Predictions!$A$4:$A$303,A40)&lt;&gt;1),"",INDEX(Frozen_Predictions!$C$4:$C$303,MATCH(A40,Frozen_Predictions!$A$4:$A$303,0)))</x:f>
      </x:c>
      <x:c r="C40" t="str">
        <x:f>IF(OR(A40="",COUNTIF(Frozen_Predictions!$A$4:$A$303,A40)&lt;&gt;1),"",INDEX(Frozen_Predictions!$E$4:$E$303,MATCH(A40,Frozen_Predictions!$A$4:$A$303,0)))</x:f>
      </x:c>
      <x:c r="D40" t="str">
        <x:f>IF(OR(A40="",COUNTIF(Frozen_Predictions!$A$4:$A$303,A40)&lt;&gt;1),"",INDEX(Frozen_Predictions!$F$4:$F$303,MATCH(A40,Frozen_Predictions!$A$4:$A$303,0)))</x:f>
      </x:c>
      <x:c r="E40" t="str">
        <x:f>IF(OR(A40="",COUNTIF(Frozen_Predictions!$A$4:$A$303,A40)&lt;&gt;1),"",INDEX(Frozen_Predictions!$G$4:$G$303,MATCH(A40,Frozen_Predictions!$A$4:$A$303,0)))</x:f>
      </x:c>
      <x:c r="F40" t="str">
        <x:f>IF(OR(A40="",COUNTIF(Frozen_Predictions!$A$4:$A$303,A40)&lt;&gt;1),"",INDEX(Frozen_Predictions!$H$4:$H$303,MATCH(A40,Frozen_Predictions!$A$4:$A$303,0)))</x:f>
      </x:c>
      <x:c r="G40" t="str">
        <x:f>IF(OR(A40="",COUNTIF(Frozen_Predictions!$A$4:$A$303,A40)&lt;&gt;1),"",INDEX(Frozen_Predictions!$I$4:$I$303,MATCH(A40,Frozen_Predictions!$A$4:$A$303,0)))</x:f>
      </x:c>
      <x:c r="H40" t="str">
        <x:f>IF(OR(A40="",COUNTIF(Frozen_Predictions!$A$4:$A$303,A40)&lt;&gt;1),"",INDEX(Frozen_Predictions!$J$4:$J$303,MATCH(A40,Frozen_Predictions!$A$4:$A$303,0)))</x:f>
      </x:c>
      <x:c r="I40" t="str">
        <x:f>IF(OR(A40="",COUNTIF(Frozen_Predictions!$A$4:$A$303,A40)&lt;&gt;1),"",INDEX(Frozen_Predictions!$K$4:$K$303,MATCH(A40,Frozen_Predictions!$A$4:$A$303,0)))</x:f>
      </x:c>
      <x:c r="J40" s="142" t="str">
        <x:f>IF(OR(A40="",G40="",COUNT(K40:M40)&lt;3,COUNTIF($A$4:$A$303,A40)&lt;&gt;1),"",IF(IF(M40+F40&gt;0,"1",IF(M40+F40=0,"X","2"))=G40&amp;"",1,0))</x:f>
      </x:c>
      <x:c r="K40" s="143"/>
      <x:c r="L40" s="143"/>
      <x:c r="M40" s="142" t="str">
        <x:f>IF(AND(A40&lt;&gt;"",COUNT(K40:L40)=2),K40-L40,"")</x:f>
      </x:c>
      <x:c r="N40" s="142" t="str">
        <x:f>IF(J40="","",IF(M40+F40=0,"YES","NO"))</x:f>
      </x:c>
      <x:c r="O40" t="str">
        <x:f>IF(J40="","",IF(J40=1,"WIN",IF(N40="YES","Exact margin M="&amp;ABS(F40),"Direction / tail")))</x:f>
      </x:c>
      <x:c r="P40" s="141"/>
      <x:c r="Q40" s="141"/>
      <x:c r="R40" s="144" t="str">
        <x:f>IF(OR(I40="",J40=""),"",(I40-J40)^2)</x:f>
      </x:c>
      <x:c r="S40" s="144" t="str">
        <x:f>IF(OR(I40="",J40=""),"",-(J40*LN(MAX(MIN(I40,0.999999),0.000001))+(1-J40)*LN(MAX(MIN(1-I40,0.999999),0.000001))))</x:f>
      </x:c>
      <x:c r="T40" t="str">
        <x:f>IF(J40="","",INDEX(Frozen_Predictions!$M$4:$M$303,MATCH(A40,Frozen_Predictions!$A$4:$A$303,0)))</x:f>
      </x:c>
      <x:c r="U40" t="str">
        <x:f>IF(J40="","",INDEX(Frozen_Predictions!$W$4:$W$303,MATCH(A40,Frozen_Predictions!$A$4:$A$303,0)))</x:f>
      </x:c>
      <x:c r="V40" t="str">
        <x:f>IF(J40="","",INDEX(Frozen_Predictions!$X$4:$X$303,MATCH(A40,Frozen_Predictions!$A$4:$A$303,0)))</x:f>
      </x:c>
      <x:c r="W40" t="str">
        <x:f>IF(A40="","",IF(COUNTIF($A$4:$A$303,A40)&lt;&gt;1,"ID DUPLICAT",IF(COUNTIF(Frozen_Predictions!$A$4:$A$303,A40)&lt;&gt;1,"ID INEXISTENT SAU DUPLICAT ÎN FROZEN",IF(COUNT(K40:L40)&lt;2,"COMPLETEAZĂ SCORUL","VERIFICAT"))))</x:f>
      </x:c>
    </x:row>
    <x:row r="41">
      <x:c r="A41" s="141"/>
      <x:c r="B41" t="str">
        <x:f>IF(OR(A41="",COUNTIF(Frozen_Predictions!$A$4:$A$303,A41)&lt;&gt;1),"",INDEX(Frozen_Predictions!$C$4:$C$303,MATCH(A41,Frozen_Predictions!$A$4:$A$303,0)))</x:f>
      </x:c>
      <x:c r="C41" t="str">
        <x:f>IF(OR(A41="",COUNTIF(Frozen_Predictions!$A$4:$A$303,A41)&lt;&gt;1),"",INDEX(Frozen_Predictions!$E$4:$E$303,MATCH(A41,Frozen_Predictions!$A$4:$A$303,0)))</x:f>
      </x:c>
      <x:c r="D41" t="str">
        <x:f>IF(OR(A41="",COUNTIF(Frozen_Predictions!$A$4:$A$303,A41)&lt;&gt;1),"",INDEX(Frozen_Predictions!$F$4:$F$303,MATCH(A41,Frozen_Predictions!$A$4:$A$303,0)))</x:f>
      </x:c>
      <x:c r="E41" t="str">
        <x:f>IF(OR(A41="",COUNTIF(Frozen_Predictions!$A$4:$A$303,A41)&lt;&gt;1),"",INDEX(Frozen_Predictions!$G$4:$G$303,MATCH(A41,Frozen_Predictions!$A$4:$A$303,0)))</x:f>
      </x:c>
      <x:c r="F41" t="str">
        <x:f>IF(OR(A41="",COUNTIF(Frozen_Predictions!$A$4:$A$303,A41)&lt;&gt;1),"",INDEX(Frozen_Predictions!$H$4:$H$303,MATCH(A41,Frozen_Predictions!$A$4:$A$303,0)))</x:f>
      </x:c>
      <x:c r="G41" t="str">
        <x:f>IF(OR(A41="",COUNTIF(Frozen_Predictions!$A$4:$A$303,A41)&lt;&gt;1),"",INDEX(Frozen_Predictions!$I$4:$I$303,MATCH(A41,Frozen_Predictions!$A$4:$A$303,0)))</x:f>
      </x:c>
      <x:c r="H41" t="str">
        <x:f>IF(OR(A41="",COUNTIF(Frozen_Predictions!$A$4:$A$303,A41)&lt;&gt;1),"",INDEX(Frozen_Predictions!$J$4:$J$303,MATCH(A41,Frozen_Predictions!$A$4:$A$303,0)))</x:f>
      </x:c>
      <x:c r="I41" t="str">
        <x:f>IF(OR(A41="",COUNTIF(Frozen_Predictions!$A$4:$A$303,A41)&lt;&gt;1),"",INDEX(Frozen_Predictions!$K$4:$K$303,MATCH(A41,Frozen_Predictions!$A$4:$A$303,0)))</x:f>
      </x:c>
      <x:c r="J41" s="142" t="str">
        <x:f>IF(OR(A41="",G41="",COUNT(K41:M41)&lt;3,COUNTIF($A$4:$A$303,A41)&lt;&gt;1),"",IF(IF(M41+F41&gt;0,"1",IF(M41+F41=0,"X","2"))=G41&amp;"",1,0))</x:f>
      </x:c>
      <x:c r="K41" s="143"/>
      <x:c r="L41" s="143"/>
      <x:c r="M41" s="142" t="str">
        <x:f>IF(AND(A41&lt;&gt;"",COUNT(K41:L41)=2),K41-L41,"")</x:f>
      </x:c>
      <x:c r="N41" s="142" t="str">
        <x:f>IF(J41="","",IF(M41+F41=0,"YES","NO"))</x:f>
      </x:c>
      <x:c r="O41" t="str">
        <x:f>IF(J41="","",IF(J41=1,"WIN",IF(N41="YES","Exact margin M="&amp;ABS(F41),"Direction / tail")))</x:f>
      </x:c>
      <x:c r="P41" s="141"/>
      <x:c r="Q41" s="141"/>
      <x:c r="R41" s="144" t="str">
        <x:f>IF(OR(I41="",J41=""),"",(I41-J41)^2)</x:f>
      </x:c>
      <x:c r="S41" s="144" t="str">
        <x:f>IF(OR(I41="",J41=""),"",-(J41*LN(MAX(MIN(I41,0.999999),0.000001))+(1-J41)*LN(MAX(MIN(1-I41,0.999999),0.000001))))</x:f>
      </x:c>
      <x:c r="T41" t="str">
        <x:f>IF(J41="","",INDEX(Frozen_Predictions!$M$4:$M$303,MATCH(A41,Frozen_Predictions!$A$4:$A$303,0)))</x:f>
      </x:c>
      <x:c r="U41" t="str">
        <x:f>IF(J41="","",INDEX(Frozen_Predictions!$W$4:$W$303,MATCH(A41,Frozen_Predictions!$A$4:$A$303,0)))</x:f>
      </x:c>
      <x:c r="V41" t="str">
        <x:f>IF(J41="","",INDEX(Frozen_Predictions!$X$4:$X$303,MATCH(A41,Frozen_Predictions!$A$4:$A$303,0)))</x:f>
      </x:c>
      <x:c r="W41" t="str">
        <x:f>IF(A41="","",IF(COUNTIF($A$4:$A$303,A41)&lt;&gt;1,"ID DUPLICAT",IF(COUNTIF(Frozen_Predictions!$A$4:$A$303,A41)&lt;&gt;1,"ID INEXISTENT SAU DUPLICAT ÎN FROZEN",IF(COUNT(K41:L41)&lt;2,"COMPLETEAZĂ SCORUL","VERIFICAT"))))</x:f>
      </x:c>
    </x:row>
    <x:row r="42">
      <x:c r="A42" s="141"/>
      <x:c r="B42" t="str">
        <x:f>IF(OR(A42="",COUNTIF(Frozen_Predictions!$A$4:$A$303,A42)&lt;&gt;1),"",INDEX(Frozen_Predictions!$C$4:$C$303,MATCH(A42,Frozen_Predictions!$A$4:$A$303,0)))</x:f>
      </x:c>
      <x:c r="C42" t="str">
        <x:f>IF(OR(A42="",COUNTIF(Frozen_Predictions!$A$4:$A$303,A42)&lt;&gt;1),"",INDEX(Frozen_Predictions!$E$4:$E$303,MATCH(A42,Frozen_Predictions!$A$4:$A$303,0)))</x:f>
      </x:c>
      <x:c r="D42" t="str">
        <x:f>IF(OR(A42="",COUNTIF(Frozen_Predictions!$A$4:$A$303,A42)&lt;&gt;1),"",INDEX(Frozen_Predictions!$F$4:$F$303,MATCH(A42,Frozen_Predictions!$A$4:$A$303,0)))</x:f>
      </x:c>
      <x:c r="E42" t="str">
        <x:f>IF(OR(A42="",COUNTIF(Frozen_Predictions!$A$4:$A$303,A42)&lt;&gt;1),"",INDEX(Frozen_Predictions!$G$4:$G$303,MATCH(A42,Frozen_Predictions!$A$4:$A$303,0)))</x:f>
      </x:c>
      <x:c r="F42" t="str">
        <x:f>IF(OR(A42="",COUNTIF(Frozen_Predictions!$A$4:$A$303,A42)&lt;&gt;1),"",INDEX(Frozen_Predictions!$H$4:$H$303,MATCH(A42,Frozen_Predictions!$A$4:$A$303,0)))</x:f>
      </x:c>
      <x:c r="G42" t="str">
        <x:f>IF(OR(A42="",COUNTIF(Frozen_Predictions!$A$4:$A$303,A42)&lt;&gt;1),"",INDEX(Frozen_Predictions!$I$4:$I$303,MATCH(A42,Frozen_Predictions!$A$4:$A$303,0)))</x:f>
      </x:c>
      <x:c r="H42" t="str">
        <x:f>IF(OR(A42="",COUNTIF(Frozen_Predictions!$A$4:$A$303,A42)&lt;&gt;1),"",INDEX(Frozen_Predictions!$J$4:$J$303,MATCH(A42,Frozen_Predictions!$A$4:$A$303,0)))</x:f>
      </x:c>
      <x:c r="I42" t="str">
        <x:f>IF(OR(A42="",COUNTIF(Frozen_Predictions!$A$4:$A$303,A42)&lt;&gt;1),"",INDEX(Frozen_Predictions!$K$4:$K$303,MATCH(A42,Frozen_Predictions!$A$4:$A$303,0)))</x:f>
      </x:c>
      <x:c r="J42" s="142" t="str">
        <x:f>IF(OR(A42="",G42="",COUNT(K42:M42)&lt;3,COUNTIF($A$4:$A$303,A42)&lt;&gt;1),"",IF(IF(M42+F42&gt;0,"1",IF(M42+F42=0,"X","2"))=G42&amp;"",1,0))</x:f>
      </x:c>
      <x:c r="K42" s="143"/>
      <x:c r="L42" s="143"/>
      <x:c r="M42" s="142" t="str">
        <x:f>IF(AND(A42&lt;&gt;"",COUNT(K42:L42)=2),K42-L42,"")</x:f>
      </x:c>
      <x:c r="N42" s="142" t="str">
        <x:f>IF(J42="","",IF(M42+F42=0,"YES","NO"))</x:f>
      </x:c>
      <x:c r="O42" t="str">
        <x:f>IF(J42="","",IF(J42=1,"WIN",IF(N42="YES","Exact margin M="&amp;ABS(F42),"Direction / tail")))</x:f>
      </x:c>
      <x:c r="P42" s="141"/>
      <x:c r="Q42" s="141"/>
      <x:c r="R42" s="144" t="str">
        <x:f>IF(OR(I42="",J42=""),"",(I42-J42)^2)</x:f>
      </x:c>
      <x:c r="S42" s="144" t="str">
        <x:f>IF(OR(I42="",J42=""),"",-(J42*LN(MAX(MIN(I42,0.999999),0.000001))+(1-J42)*LN(MAX(MIN(1-I42,0.999999),0.000001))))</x:f>
      </x:c>
      <x:c r="T42" t="str">
        <x:f>IF(J42="","",INDEX(Frozen_Predictions!$M$4:$M$303,MATCH(A42,Frozen_Predictions!$A$4:$A$303,0)))</x:f>
      </x:c>
      <x:c r="U42" t="str">
        <x:f>IF(J42="","",INDEX(Frozen_Predictions!$W$4:$W$303,MATCH(A42,Frozen_Predictions!$A$4:$A$303,0)))</x:f>
      </x:c>
      <x:c r="V42" t="str">
        <x:f>IF(J42="","",INDEX(Frozen_Predictions!$X$4:$X$303,MATCH(A42,Frozen_Predictions!$A$4:$A$303,0)))</x:f>
      </x:c>
      <x:c r="W42" t="str">
        <x:f>IF(A42="","",IF(COUNTIF($A$4:$A$303,A42)&lt;&gt;1,"ID DUPLICAT",IF(COUNTIF(Frozen_Predictions!$A$4:$A$303,A42)&lt;&gt;1,"ID INEXISTENT SAU DUPLICAT ÎN FROZEN",IF(COUNT(K42:L42)&lt;2,"COMPLETEAZĂ SCORUL","VERIFICAT"))))</x:f>
      </x:c>
    </x:row>
    <x:row r="43">
      <x:c r="A43" s="141"/>
      <x:c r="B43" t="str">
        <x:f>IF(OR(A43="",COUNTIF(Frozen_Predictions!$A$4:$A$303,A43)&lt;&gt;1),"",INDEX(Frozen_Predictions!$C$4:$C$303,MATCH(A43,Frozen_Predictions!$A$4:$A$303,0)))</x:f>
      </x:c>
      <x:c r="C43" t="str">
        <x:f>IF(OR(A43="",COUNTIF(Frozen_Predictions!$A$4:$A$303,A43)&lt;&gt;1),"",INDEX(Frozen_Predictions!$E$4:$E$303,MATCH(A43,Frozen_Predictions!$A$4:$A$303,0)))</x:f>
      </x:c>
      <x:c r="D43" t="str">
        <x:f>IF(OR(A43="",COUNTIF(Frozen_Predictions!$A$4:$A$303,A43)&lt;&gt;1),"",INDEX(Frozen_Predictions!$F$4:$F$303,MATCH(A43,Frozen_Predictions!$A$4:$A$303,0)))</x:f>
      </x:c>
      <x:c r="E43" t="str">
        <x:f>IF(OR(A43="",COUNTIF(Frozen_Predictions!$A$4:$A$303,A43)&lt;&gt;1),"",INDEX(Frozen_Predictions!$G$4:$G$303,MATCH(A43,Frozen_Predictions!$A$4:$A$303,0)))</x:f>
      </x:c>
      <x:c r="F43" t="str">
        <x:f>IF(OR(A43="",COUNTIF(Frozen_Predictions!$A$4:$A$303,A43)&lt;&gt;1),"",INDEX(Frozen_Predictions!$H$4:$H$303,MATCH(A43,Frozen_Predictions!$A$4:$A$303,0)))</x:f>
      </x:c>
      <x:c r="G43" t="str">
        <x:f>IF(OR(A43="",COUNTIF(Frozen_Predictions!$A$4:$A$303,A43)&lt;&gt;1),"",INDEX(Frozen_Predictions!$I$4:$I$303,MATCH(A43,Frozen_Predictions!$A$4:$A$303,0)))</x:f>
      </x:c>
      <x:c r="H43" t="str">
        <x:f>IF(OR(A43="",COUNTIF(Frozen_Predictions!$A$4:$A$303,A43)&lt;&gt;1),"",INDEX(Frozen_Predictions!$J$4:$J$303,MATCH(A43,Frozen_Predictions!$A$4:$A$303,0)))</x:f>
      </x:c>
      <x:c r="I43" t="str">
        <x:f>IF(OR(A43="",COUNTIF(Frozen_Predictions!$A$4:$A$303,A43)&lt;&gt;1),"",INDEX(Frozen_Predictions!$K$4:$K$303,MATCH(A43,Frozen_Predictions!$A$4:$A$303,0)))</x:f>
      </x:c>
      <x:c r="J43" s="142" t="str">
        <x:f>IF(OR(A43="",G43="",COUNT(K43:M43)&lt;3,COUNTIF($A$4:$A$303,A43)&lt;&gt;1),"",IF(IF(M43+F43&gt;0,"1",IF(M43+F43=0,"X","2"))=G43&amp;"",1,0))</x:f>
      </x:c>
      <x:c r="K43" s="143"/>
      <x:c r="L43" s="143"/>
      <x:c r="M43" s="142" t="str">
        <x:f>IF(AND(A43&lt;&gt;"",COUNT(K43:L43)=2),K43-L43,"")</x:f>
      </x:c>
      <x:c r="N43" s="142" t="str">
        <x:f>IF(J43="","",IF(M43+F43=0,"YES","NO"))</x:f>
      </x:c>
      <x:c r="O43" t="str">
        <x:f>IF(J43="","",IF(J43=1,"WIN",IF(N43="YES","Exact margin M="&amp;ABS(F43),"Direction / tail")))</x:f>
      </x:c>
      <x:c r="P43" s="141"/>
      <x:c r="Q43" s="141"/>
      <x:c r="R43" s="144" t="str">
        <x:f>IF(OR(I43="",J43=""),"",(I43-J43)^2)</x:f>
      </x:c>
      <x:c r="S43" s="144" t="str">
        <x:f>IF(OR(I43="",J43=""),"",-(J43*LN(MAX(MIN(I43,0.999999),0.000001))+(1-J43)*LN(MAX(MIN(1-I43,0.999999),0.000001))))</x:f>
      </x:c>
      <x:c r="T43" t="str">
        <x:f>IF(J43="","",INDEX(Frozen_Predictions!$M$4:$M$303,MATCH(A43,Frozen_Predictions!$A$4:$A$303,0)))</x:f>
      </x:c>
      <x:c r="U43" t="str">
        <x:f>IF(J43="","",INDEX(Frozen_Predictions!$W$4:$W$303,MATCH(A43,Frozen_Predictions!$A$4:$A$303,0)))</x:f>
      </x:c>
      <x:c r="V43" t="str">
        <x:f>IF(J43="","",INDEX(Frozen_Predictions!$X$4:$X$303,MATCH(A43,Frozen_Predictions!$A$4:$A$303,0)))</x:f>
      </x:c>
      <x:c r="W43" t="str">
        <x:f>IF(A43="","",IF(COUNTIF($A$4:$A$303,A43)&lt;&gt;1,"ID DUPLICAT",IF(COUNTIF(Frozen_Predictions!$A$4:$A$303,A43)&lt;&gt;1,"ID INEXISTENT SAU DUPLICAT ÎN FROZEN",IF(COUNT(K43:L43)&lt;2,"COMPLETEAZĂ SCORUL","VERIFICAT"))))</x:f>
      </x:c>
    </x:row>
    <x:row r="44">
      <x:c r="A44" s="141"/>
      <x:c r="B44" t="str">
        <x:f>IF(OR(A44="",COUNTIF(Frozen_Predictions!$A$4:$A$303,A44)&lt;&gt;1),"",INDEX(Frozen_Predictions!$C$4:$C$303,MATCH(A44,Frozen_Predictions!$A$4:$A$303,0)))</x:f>
      </x:c>
      <x:c r="C44" t="str">
        <x:f>IF(OR(A44="",COUNTIF(Frozen_Predictions!$A$4:$A$303,A44)&lt;&gt;1),"",INDEX(Frozen_Predictions!$E$4:$E$303,MATCH(A44,Frozen_Predictions!$A$4:$A$303,0)))</x:f>
      </x:c>
      <x:c r="D44" t="str">
        <x:f>IF(OR(A44="",COUNTIF(Frozen_Predictions!$A$4:$A$303,A44)&lt;&gt;1),"",INDEX(Frozen_Predictions!$F$4:$F$303,MATCH(A44,Frozen_Predictions!$A$4:$A$303,0)))</x:f>
      </x:c>
      <x:c r="E44" t="str">
        <x:f>IF(OR(A44="",COUNTIF(Frozen_Predictions!$A$4:$A$303,A44)&lt;&gt;1),"",INDEX(Frozen_Predictions!$G$4:$G$303,MATCH(A44,Frozen_Predictions!$A$4:$A$303,0)))</x:f>
      </x:c>
      <x:c r="F44" t="str">
        <x:f>IF(OR(A44="",COUNTIF(Frozen_Predictions!$A$4:$A$303,A44)&lt;&gt;1),"",INDEX(Frozen_Predictions!$H$4:$H$303,MATCH(A44,Frozen_Predictions!$A$4:$A$303,0)))</x:f>
      </x:c>
      <x:c r="G44" t="str">
        <x:f>IF(OR(A44="",COUNTIF(Frozen_Predictions!$A$4:$A$303,A44)&lt;&gt;1),"",INDEX(Frozen_Predictions!$I$4:$I$303,MATCH(A44,Frozen_Predictions!$A$4:$A$303,0)))</x:f>
      </x:c>
      <x:c r="H44" t="str">
        <x:f>IF(OR(A44="",COUNTIF(Frozen_Predictions!$A$4:$A$303,A44)&lt;&gt;1),"",INDEX(Frozen_Predictions!$J$4:$J$303,MATCH(A44,Frozen_Predictions!$A$4:$A$303,0)))</x:f>
      </x:c>
      <x:c r="I44" t="str">
        <x:f>IF(OR(A44="",COUNTIF(Frozen_Predictions!$A$4:$A$303,A44)&lt;&gt;1),"",INDEX(Frozen_Predictions!$K$4:$K$303,MATCH(A44,Frozen_Predictions!$A$4:$A$303,0)))</x:f>
      </x:c>
      <x:c r="J44" s="142" t="str">
        <x:f>IF(OR(A44="",G44="",COUNT(K44:M44)&lt;3,COUNTIF($A$4:$A$303,A44)&lt;&gt;1),"",IF(IF(M44+F44&gt;0,"1",IF(M44+F44=0,"X","2"))=G44&amp;"",1,0))</x:f>
      </x:c>
      <x:c r="K44" s="143"/>
      <x:c r="L44" s="143"/>
      <x:c r="M44" s="142" t="str">
        <x:f>IF(AND(A44&lt;&gt;"",COUNT(K44:L44)=2),K44-L44,"")</x:f>
      </x:c>
      <x:c r="N44" s="142" t="str">
        <x:f>IF(J44="","",IF(M44+F44=0,"YES","NO"))</x:f>
      </x:c>
      <x:c r="O44" t="str">
        <x:f>IF(J44="","",IF(J44=1,"WIN",IF(N44="YES","Exact margin M="&amp;ABS(F44),"Direction / tail")))</x:f>
      </x:c>
      <x:c r="P44" s="141"/>
      <x:c r="Q44" s="141"/>
      <x:c r="R44" s="144" t="str">
        <x:f>IF(OR(I44="",J44=""),"",(I44-J44)^2)</x:f>
      </x:c>
      <x:c r="S44" s="144" t="str">
        <x:f>IF(OR(I44="",J44=""),"",-(J44*LN(MAX(MIN(I44,0.999999),0.000001))+(1-J44)*LN(MAX(MIN(1-I44,0.999999),0.000001))))</x:f>
      </x:c>
      <x:c r="T44" t="str">
        <x:f>IF(J44="","",INDEX(Frozen_Predictions!$M$4:$M$303,MATCH(A44,Frozen_Predictions!$A$4:$A$303,0)))</x:f>
      </x:c>
      <x:c r="U44" t="str">
        <x:f>IF(J44="","",INDEX(Frozen_Predictions!$W$4:$W$303,MATCH(A44,Frozen_Predictions!$A$4:$A$303,0)))</x:f>
      </x:c>
      <x:c r="V44" t="str">
        <x:f>IF(J44="","",INDEX(Frozen_Predictions!$X$4:$X$303,MATCH(A44,Frozen_Predictions!$A$4:$A$303,0)))</x:f>
      </x:c>
      <x:c r="W44" t="str">
        <x:f>IF(A44="","",IF(COUNTIF($A$4:$A$303,A44)&lt;&gt;1,"ID DUPLICAT",IF(COUNTIF(Frozen_Predictions!$A$4:$A$303,A44)&lt;&gt;1,"ID INEXISTENT SAU DUPLICAT ÎN FROZEN",IF(COUNT(K44:L44)&lt;2,"COMPLETEAZĂ SCORUL","VERIFICAT"))))</x:f>
      </x:c>
    </x:row>
    <x:row r="45">
      <x:c r="A45" s="141"/>
      <x:c r="B45" t="str">
        <x:f>IF(OR(A45="",COUNTIF(Frozen_Predictions!$A$4:$A$303,A45)&lt;&gt;1),"",INDEX(Frozen_Predictions!$C$4:$C$303,MATCH(A45,Frozen_Predictions!$A$4:$A$303,0)))</x:f>
      </x:c>
      <x:c r="C45" t="str">
        <x:f>IF(OR(A45="",COUNTIF(Frozen_Predictions!$A$4:$A$303,A45)&lt;&gt;1),"",INDEX(Frozen_Predictions!$E$4:$E$303,MATCH(A45,Frozen_Predictions!$A$4:$A$303,0)))</x:f>
      </x:c>
      <x:c r="D45" t="str">
        <x:f>IF(OR(A45="",COUNTIF(Frozen_Predictions!$A$4:$A$303,A45)&lt;&gt;1),"",INDEX(Frozen_Predictions!$F$4:$F$303,MATCH(A45,Frozen_Predictions!$A$4:$A$303,0)))</x:f>
      </x:c>
      <x:c r="E45" t="str">
        <x:f>IF(OR(A45="",COUNTIF(Frozen_Predictions!$A$4:$A$303,A45)&lt;&gt;1),"",INDEX(Frozen_Predictions!$G$4:$G$303,MATCH(A45,Frozen_Predictions!$A$4:$A$303,0)))</x:f>
      </x:c>
      <x:c r="F45" t="str">
        <x:f>IF(OR(A45="",COUNTIF(Frozen_Predictions!$A$4:$A$303,A45)&lt;&gt;1),"",INDEX(Frozen_Predictions!$H$4:$H$303,MATCH(A45,Frozen_Predictions!$A$4:$A$303,0)))</x:f>
      </x:c>
      <x:c r="G45" t="str">
        <x:f>IF(OR(A45="",COUNTIF(Frozen_Predictions!$A$4:$A$303,A45)&lt;&gt;1),"",INDEX(Frozen_Predictions!$I$4:$I$303,MATCH(A45,Frozen_Predictions!$A$4:$A$303,0)))</x:f>
      </x:c>
      <x:c r="H45" t="str">
        <x:f>IF(OR(A45="",COUNTIF(Frozen_Predictions!$A$4:$A$303,A45)&lt;&gt;1),"",INDEX(Frozen_Predictions!$J$4:$J$303,MATCH(A45,Frozen_Predictions!$A$4:$A$303,0)))</x:f>
      </x:c>
      <x:c r="I45" t="str">
        <x:f>IF(OR(A45="",COUNTIF(Frozen_Predictions!$A$4:$A$303,A45)&lt;&gt;1),"",INDEX(Frozen_Predictions!$K$4:$K$303,MATCH(A45,Frozen_Predictions!$A$4:$A$303,0)))</x:f>
      </x:c>
      <x:c r="J45" s="142" t="str">
        <x:f>IF(OR(A45="",G45="",COUNT(K45:M45)&lt;3,COUNTIF($A$4:$A$303,A45)&lt;&gt;1),"",IF(IF(M45+F45&gt;0,"1",IF(M45+F45=0,"X","2"))=G45&amp;"",1,0))</x:f>
      </x:c>
      <x:c r="K45" s="143"/>
      <x:c r="L45" s="143"/>
      <x:c r="M45" s="142" t="str">
        <x:f>IF(AND(A45&lt;&gt;"",COUNT(K45:L45)=2),K45-L45,"")</x:f>
      </x:c>
      <x:c r="N45" s="142" t="str">
        <x:f>IF(J45="","",IF(M45+F45=0,"YES","NO"))</x:f>
      </x:c>
      <x:c r="O45" t="str">
        <x:f>IF(J45="","",IF(J45=1,"WIN",IF(N45="YES","Exact margin M="&amp;ABS(F45),"Direction / tail")))</x:f>
      </x:c>
      <x:c r="P45" s="141"/>
      <x:c r="Q45" s="141"/>
      <x:c r="R45" s="144" t="str">
        <x:f>IF(OR(I45="",J45=""),"",(I45-J45)^2)</x:f>
      </x:c>
      <x:c r="S45" s="144" t="str">
        <x:f>IF(OR(I45="",J45=""),"",-(J45*LN(MAX(MIN(I45,0.999999),0.000001))+(1-J45)*LN(MAX(MIN(1-I45,0.999999),0.000001))))</x:f>
      </x:c>
      <x:c r="T45" t="str">
        <x:f>IF(J45="","",INDEX(Frozen_Predictions!$M$4:$M$303,MATCH(A45,Frozen_Predictions!$A$4:$A$303,0)))</x:f>
      </x:c>
      <x:c r="U45" t="str">
        <x:f>IF(J45="","",INDEX(Frozen_Predictions!$W$4:$W$303,MATCH(A45,Frozen_Predictions!$A$4:$A$303,0)))</x:f>
      </x:c>
      <x:c r="V45" t="str">
        <x:f>IF(J45="","",INDEX(Frozen_Predictions!$X$4:$X$303,MATCH(A45,Frozen_Predictions!$A$4:$A$303,0)))</x:f>
      </x:c>
      <x:c r="W45" t="str">
        <x:f>IF(A45="","",IF(COUNTIF($A$4:$A$303,A45)&lt;&gt;1,"ID DUPLICAT",IF(COUNTIF(Frozen_Predictions!$A$4:$A$303,A45)&lt;&gt;1,"ID INEXISTENT SAU DUPLICAT ÎN FROZEN",IF(COUNT(K45:L45)&lt;2,"COMPLETEAZĂ SCORUL","VERIFICAT"))))</x:f>
      </x:c>
    </x:row>
    <x:row r="46">
      <x:c r="A46" s="141"/>
      <x:c r="B46" t="str">
        <x:f>IF(OR(A46="",COUNTIF(Frozen_Predictions!$A$4:$A$303,A46)&lt;&gt;1),"",INDEX(Frozen_Predictions!$C$4:$C$303,MATCH(A46,Frozen_Predictions!$A$4:$A$303,0)))</x:f>
      </x:c>
      <x:c r="C46" t="str">
        <x:f>IF(OR(A46="",COUNTIF(Frozen_Predictions!$A$4:$A$303,A46)&lt;&gt;1),"",INDEX(Frozen_Predictions!$E$4:$E$303,MATCH(A46,Frozen_Predictions!$A$4:$A$303,0)))</x:f>
      </x:c>
      <x:c r="D46" t="str">
        <x:f>IF(OR(A46="",COUNTIF(Frozen_Predictions!$A$4:$A$303,A46)&lt;&gt;1),"",INDEX(Frozen_Predictions!$F$4:$F$303,MATCH(A46,Frozen_Predictions!$A$4:$A$303,0)))</x:f>
      </x:c>
      <x:c r="E46" t="str">
        <x:f>IF(OR(A46="",COUNTIF(Frozen_Predictions!$A$4:$A$303,A46)&lt;&gt;1),"",INDEX(Frozen_Predictions!$G$4:$G$303,MATCH(A46,Frozen_Predictions!$A$4:$A$303,0)))</x:f>
      </x:c>
      <x:c r="F46" t="str">
        <x:f>IF(OR(A46="",COUNTIF(Frozen_Predictions!$A$4:$A$303,A46)&lt;&gt;1),"",INDEX(Frozen_Predictions!$H$4:$H$303,MATCH(A46,Frozen_Predictions!$A$4:$A$303,0)))</x:f>
      </x:c>
      <x:c r="G46" t="str">
        <x:f>IF(OR(A46="",COUNTIF(Frozen_Predictions!$A$4:$A$303,A46)&lt;&gt;1),"",INDEX(Frozen_Predictions!$I$4:$I$303,MATCH(A46,Frozen_Predictions!$A$4:$A$303,0)))</x:f>
      </x:c>
      <x:c r="H46" t="str">
        <x:f>IF(OR(A46="",COUNTIF(Frozen_Predictions!$A$4:$A$303,A46)&lt;&gt;1),"",INDEX(Frozen_Predictions!$J$4:$J$303,MATCH(A46,Frozen_Predictions!$A$4:$A$303,0)))</x:f>
      </x:c>
      <x:c r="I46" t="str">
        <x:f>IF(OR(A46="",COUNTIF(Frozen_Predictions!$A$4:$A$303,A46)&lt;&gt;1),"",INDEX(Frozen_Predictions!$K$4:$K$303,MATCH(A46,Frozen_Predictions!$A$4:$A$303,0)))</x:f>
      </x:c>
      <x:c r="J46" s="142" t="str">
        <x:f>IF(OR(A46="",G46="",COUNT(K46:M46)&lt;3,COUNTIF($A$4:$A$303,A46)&lt;&gt;1),"",IF(IF(M46+F46&gt;0,"1",IF(M46+F46=0,"X","2"))=G46&amp;"",1,0))</x:f>
      </x:c>
      <x:c r="K46" s="143"/>
      <x:c r="L46" s="143"/>
      <x:c r="M46" s="142" t="str">
        <x:f>IF(AND(A46&lt;&gt;"",COUNT(K46:L46)=2),K46-L46,"")</x:f>
      </x:c>
      <x:c r="N46" s="142" t="str">
        <x:f>IF(J46="","",IF(M46+F46=0,"YES","NO"))</x:f>
      </x:c>
      <x:c r="O46" t="str">
        <x:f>IF(J46="","",IF(J46=1,"WIN",IF(N46="YES","Exact margin M="&amp;ABS(F46),"Direction / tail")))</x:f>
      </x:c>
      <x:c r="P46" s="141"/>
      <x:c r="Q46" s="141"/>
      <x:c r="R46" s="144" t="str">
        <x:f>IF(OR(I46="",J46=""),"",(I46-J46)^2)</x:f>
      </x:c>
      <x:c r="S46" s="144" t="str">
        <x:f>IF(OR(I46="",J46=""),"",-(J46*LN(MAX(MIN(I46,0.999999),0.000001))+(1-J46)*LN(MAX(MIN(1-I46,0.999999),0.000001))))</x:f>
      </x:c>
      <x:c r="T46" t="str">
        <x:f>IF(J46="","",INDEX(Frozen_Predictions!$M$4:$M$303,MATCH(A46,Frozen_Predictions!$A$4:$A$303,0)))</x:f>
      </x:c>
      <x:c r="U46" t="str">
        <x:f>IF(J46="","",INDEX(Frozen_Predictions!$W$4:$W$303,MATCH(A46,Frozen_Predictions!$A$4:$A$303,0)))</x:f>
      </x:c>
      <x:c r="V46" t="str">
        <x:f>IF(J46="","",INDEX(Frozen_Predictions!$X$4:$X$303,MATCH(A46,Frozen_Predictions!$A$4:$A$303,0)))</x:f>
      </x:c>
      <x:c r="W46" t="str">
        <x:f>IF(A46="","",IF(COUNTIF($A$4:$A$303,A46)&lt;&gt;1,"ID DUPLICAT",IF(COUNTIF(Frozen_Predictions!$A$4:$A$303,A46)&lt;&gt;1,"ID INEXISTENT SAU DUPLICAT ÎN FROZEN",IF(COUNT(K46:L46)&lt;2,"COMPLETEAZĂ SCORUL","VERIFICAT"))))</x:f>
      </x:c>
    </x:row>
    <x:row r="47">
      <x:c r="A47" s="141"/>
      <x:c r="B47" t="str">
        <x:f>IF(OR(A47="",COUNTIF(Frozen_Predictions!$A$4:$A$303,A47)&lt;&gt;1),"",INDEX(Frozen_Predictions!$C$4:$C$303,MATCH(A47,Frozen_Predictions!$A$4:$A$303,0)))</x:f>
      </x:c>
      <x:c r="C47" t="str">
        <x:f>IF(OR(A47="",COUNTIF(Frozen_Predictions!$A$4:$A$303,A47)&lt;&gt;1),"",INDEX(Frozen_Predictions!$E$4:$E$303,MATCH(A47,Frozen_Predictions!$A$4:$A$303,0)))</x:f>
      </x:c>
      <x:c r="D47" t="str">
        <x:f>IF(OR(A47="",COUNTIF(Frozen_Predictions!$A$4:$A$303,A47)&lt;&gt;1),"",INDEX(Frozen_Predictions!$F$4:$F$303,MATCH(A47,Frozen_Predictions!$A$4:$A$303,0)))</x:f>
      </x:c>
      <x:c r="E47" t="str">
        <x:f>IF(OR(A47="",COUNTIF(Frozen_Predictions!$A$4:$A$303,A47)&lt;&gt;1),"",INDEX(Frozen_Predictions!$G$4:$G$303,MATCH(A47,Frozen_Predictions!$A$4:$A$303,0)))</x:f>
      </x:c>
      <x:c r="F47" t="str">
        <x:f>IF(OR(A47="",COUNTIF(Frozen_Predictions!$A$4:$A$303,A47)&lt;&gt;1),"",INDEX(Frozen_Predictions!$H$4:$H$303,MATCH(A47,Frozen_Predictions!$A$4:$A$303,0)))</x:f>
      </x:c>
      <x:c r="G47" t="str">
        <x:f>IF(OR(A47="",COUNTIF(Frozen_Predictions!$A$4:$A$303,A47)&lt;&gt;1),"",INDEX(Frozen_Predictions!$I$4:$I$303,MATCH(A47,Frozen_Predictions!$A$4:$A$303,0)))</x:f>
      </x:c>
      <x:c r="H47" t="str">
        <x:f>IF(OR(A47="",COUNTIF(Frozen_Predictions!$A$4:$A$303,A47)&lt;&gt;1),"",INDEX(Frozen_Predictions!$J$4:$J$303,MATCH(A47,Frozen_Predictions!$A$4:$A$303,0)))</x:f>
      </x:c>
      <x:c r="I47" t="str">
        <x:f>IF(OR(A47="",COUNTIF(Frozen_Predictions!$A$4:$A$303,A47)&lt;&gt;1),"",INDEX(Frozen_Predictions!$K$4:$K$303,MATCH(A47,Frozen_Predictions!$A$4:$A$303,0)))</x:f>
      </x:c>
      <x:c r="J47" s="142" t="str">
        <x:f>IF(OR(A47="",G47="",COUNT(K47:M47)&lt;3,COUNTIF($A$4:$A$303,A47)&lt;&gt;1),"",IF(IF(M47+F47&gt;0,"1",IF(M47+F47=0,"X","2"))=G47&amp;"",1,0))</x:f>
      </x:c>
      <x:c r="K47" s="143"/>
      <x:c r="L47" s="143"/>
      <x:c r="M47" s="142" t="str">
        <x:f>IF(AND(A47&lt;&gt;"",COUNT(K47:L47)=2),K47-L47,"")</x:f>
      </x:c>
      <x:c r="N47" s="142" t="str">
        <x:f>IF(J47="","",IF(M47+F47=0,"YES","NO"))</x:f>
      </x:c>
      <x:c r="O47" t="str">
        <x:f>IF(J47="","",IF(J47=1,"WIN",IF(N47="YES","Exact margin M="&amp;ABS(F47),"Direction / tail")))</x:f>
      </x:c>
      <x:c r="P47" s="141"/>
      <x:c r="Q47" s="141"/>
      <x:c r="R47" s="144" t="str">
        <x:f>IF(OR(I47="",J47=""),"",(I47-J47)^2)</x:f>
      </x:c>
      <x:c r="S47" s="144" t="str">
        <x:f>IF(OR(I47="",J47=""),"",-(J47*LN(MAX(MIN(I47,0.999999),0.000001))+(1-J47)*LN(MAX(MIN(1-I47,0.999999),0.000001))))</x:f>
      </x:c>
      <x:c r="T47" t="str">
        <x:f>IF(J47="","",INDEX(Frozen_Predictions!$M$4:$M$303,MATCH(A47,Frozen_Predictions!$A$4:$A$303,0)))</x:f>
      </x:c>
      <x:c r="U47" t="str">
        <x:f>IF(J47="","",INDEX(Frozen_Predictions!$W$4:$W$303,MATCH(A47,Frozen_Predictions!$A$4:$A$303,0)))</x:f>
      </x:c>
      <x:c r="V47" t="str">
        <x:f>IF(J47="","",INDEX(Frozen_Predictions!$X$4:$X$303,MATCH(A47,Frozen_Predictions!$A$4:$A$303,0)))</x:f>
      </x:c>
      <x:c r="W47" t="str">
        <x:f>IF(A47="","",IF(COUNTIF($A$4:$A$303,A47)&lt;&gt;1,"ID DUPLICAT",IF(COUNTIF(Frozen_Predictions!$A$4:$A$303,A47)&lt;&gt;1,"ID INEXISTENT SAU DUPLICAT ÎN FROZEN",IF(COUNT(K47:L47)&lt;2,"COMPLETEAZĂ SCORUL","VERIFICAT"))))</x:f>
      </x:c>
    </x:row>
    <x:row r="48">
      <x:c r="A48" s="141"/>
      <x:c r="B48" t="str">
        <x:f>IF(OR(A48="",COUNTIF(Frozen_Predictions!$A$4:$A$303,A48)&lt;&gt;1),"",INDEX(Frozen_Predictions!$C$4:$C$303,MATCH(A48,Frozen_Predictions!$A$4:$A$303,0)))</x:f>
      </x:c>
      <x:c r="C48" t="str">
        <x:f>IF(OR(A48="",COUNTIF(Frozen_Predictions!$A$4:$A$303,A48)&lt;&gt;1),"",INDEX(Frozen_Predictions!$E$4:$E$303,MATCH(A48,Frozen_Predictions!$A$4:$A$303,0)))</x:f>
      </x:c>
      <x:c r="D48" t="str">
        <x:f>IF(OR(A48="",COUNTIF(Frozen_Predictions!$A$4:$A$303,A48)&lt;&gt;1),"",INDEX(Frozen_Predictions!$F$4:$F$303,MATCH(A48,Frozen_Predictions!$A$4:$A$303,0)))</x:f>
      </x:c>
      <x:c r="E48" t="str">
        <x:f>IF(OR(A48="",COUNTIF(Frozen_Predictions!$A$4:$A$303,A48)&lt;&gt;1),"",INDEX(Frozen_Predictions!$G$4:$G$303,MATCH(A48,Frozen_Predictions!$A$4:$A$303,0)))</x:f>
      </x:c>
      <x:c r="F48" t="str">
        <x:f>IF(OR(A48="",COUNTIF(Frozen_Predictions!$A$4:$A$303,A48)&lt;&gt;1),"",INDEX(Frozen_Predictions!$H$4:$H$303,MATCH(A48,Frozen_Predictions!$A$4:$A$303,0)))</x:f>
      </x:c>
      <x:c r="G48" t="str">
        <x:f>IF(OR(A48="",COUNTIF(Frozen_Predictions!$A$4:$A$303,A48)&lt;&gt;1),"",INDEX(Frozen_Predictions!$I$4:$I$303,MATCH(A48,Frozen_Predictions!$A$4:$A$303,0)))</x:f>
      </x:c>
      <x:c r="H48" t="str">
        <x:f>IF(OR(A48="",COUNTIF(Frozen_Predictions!$A$4:$A$303,A48)&lt;&gt;1),"",INDEX(Frozen_Predictions!$J$4:$J$303,MATCH(A48,Frozen_Predictions!$A$4:$A$303,0)))</x:f>
      </x:c>
      <x:c r="I48" t="str">
        <x:f>IF(OR(A48="",COUNTIF(Frozen_Predictions!$A$4:$A$303,A48)&lt;&gt;1),"",INDEX(Frozen_Predictions!$K$4:$K$303,MATCH(A48,Frozen_Predictions!$A$4:$A$303,0)))</x:f>
      </x:c>
      <x:c r="J48" s="142" t="str">
        <x:f>IF(OR(A48="",G48="",COUNT(K48:M48)&lt;3,COUNTIF($A$4:$A$303,A48)&lt;&gt;1),"",IF(IF(M48+F48&gt;0,"1",IF(M48+F48=0,"X","2"))=G48&amp;"",1,0))</x:f>
      </x:c>
      <x:c r="K48" s="143"/>
      <x:c r="L48" s="143"/>
      <x:c r="M48" s="142" t="str">
        <x:f>IF(AND(A48&lt;&gt;"",COUNT(K48:L48)=2),K48-L48,"")</x:f>
      </x:c>
      <x:c r="N48" s="142" t="str">
        <x:f>IF(J48="","",IF(M48+F48=0,"YES","NO"))</x:f>
      </x:c>
      <x:c r="O48" t="str">
        <x:f>IF(J48="","",IF(J48=1,"WIN",IF(N48="YES","Exact margin M="&amp;ABS(F48),"Direction / tail")))</x:f>
      </x:c>
      <x:c r="P48" s="141"/>
      <x:c r="Q48" s="141"/>
      <x:c r="R48" s="144" t="str">
        <x:f>IF(OR(I48="",J48=""),"",(I48-J48)^2)</x:f>
      </x:c>
      <x:c r="S48" s="144" t="str">
        <x:f>IF(OR(I48="",J48=""),"",-(J48*LN(MAX(MIN(I48,0.999999),0.000001))+(1-J48)*LN(MAX(MIN(1-I48,0.999999),0.000001))))</x:f>
      </x:c>
      <x:c r="T48" t="str">
        <x:f>IF(J48="","",INDEX(Frozen_Predictions!$M$4:$M$303,MATCH(A48,Frozen_Predictions!$A$4:$A$303,0)))</x:f>
      </x:c>
      <x:c r="U48" t="str">
        <x:f>IF(J48="","",INDEX(Frozen_Predictions!$W$4:$W$303,MATCH(A48,Frozen_Predictions!$A$4:$A$303,0)))</x:f>
      </x:c>
      <x:c r="V48" t="str">
        <x:f>IF(J48="","",INDEX(Frozen_Predictions!$X$4:$X$303,MATCH(A48,Frozen_Predictions!$A$4:$A$303,0)))</x:f>
      </x:c>
      <x:c r="W48" t="str">
        <x:f>IF(A48="","",IF(COUNTIF($A$4:$A$303,A48)&lt;&gt;1,"ID DUPLICAT",IF(COUNTIF(Frozen_Predictions!$A$4:$A$303,A48)&lt;&gt;1,"ID INEXISTENT SAU DUPLICAT ÎN FROZEN",IF(COUNT(K48:L48)&lt;2,"COMPLETEAZĂ SCORUL","VERIFICAT"))))</x:f>
      </x:c>
    </x:row>
    <x:row r="49">
      <x:c r="A49" s="141"/>
      <x:c r="B49" t="str">
        <x:f>IF(OR(A49="",COUNTIF(Frozen_Predictions!$A$4:$A$303,A49)&lt;&gt;1),"",INDEX(Frozen_Predictions!$C$4:$C$303,MATCH(A49,Frozen_Predictions!$A$4:$A$303,0)))</x:f>
      </x:c>
      <x:c r="C49" t="str">
        <x:f>IF(OR(A49="",COUNTIF(Frozen_Predictions!$A$4:$A$303,A49)&lt;&gt;1),"",INDEX(Frozen_Predictions!$E$4:$E$303,MATCH(A49,Frozen_Predictions!$A$4:$A$303,0)))</x:f>
      </x:c>
      <x:c r="D49" t="str">
        <x:f>IF(OR(A49="",COUNTIF(Frozen_Predictions!$A$4:$A$303,A49)&lt;&gt;1),"",INDEX(Frozen_Predictions!$F$4:$F$303,MATCH(A49,Frozen_Predictions!$A$4:$A$303,0)))</x:f>
      </x:c>
      <x:c r="E49" t="str">
        <x:f>IF(OR(A49="",COUNTIF(Frozen_Predictions!$A$4:$A$303,A49)&lt;&gt;1),"",INDEX(Frozen_Predictions!$G$4:$G$303,MATCH(A49,Frozen_Predictions!$A$4:$A$303,0)))</x:f>
      </x:c>
      <x:c r="F49" t="str">
        <x:f>IF(OR(A49="",COUNTIF(Frozen_Predictions!$A$4:$A$303,A49)&lt;&gt;1),"",INDEX(Frozen_Predictions!$H$4:$H$303,MATCH(A49,Frozen_Predictions!$A$4:$A$303,0)))</x:f>
      </x:c>
      <x:c r="G49" t="str">
        <x:f>IF(OR(A49="",COUNTIF(Frozen_Predictions!$A$4:$A$303,A49)&lt;&gt;1),"",INDEX(Frozen_Predictions!$I$4:$I$303,MATCH(A49,Frozen_Predictions!$A$4:$A$303,0)))</x:f>
      </x:c>
      <x:c r="H49" t="str">
        <x:f>IF(OR(A49="",COUNTIF(Frozen_Predictions!$A$4:$A$303,A49)&lt;&gt;1),"",INDEX(Frozen_Predictions!$J$4:$J$303,MATCH(A49,Frozen_Predictions!$A$4:$A$303,0)))</x:f>
      </x:c>
      <x:c r="I49" t="str">
        <x:f>IF(OR(A49="",COUNTIF(Frozen_Predictions!$A$4:$A$303,A49)&lt;&gt;1),"",INDEX(Frozen_Predictions!$K$4:$K$303,MATCH(A49,Frozen_Predictions!$A$4:$A$303,0)))</x:f>
      </x:c>
      <x:c r="J49" s="142" t="str">
        <x:f>IF(OR(A49="",G49="",COUNT(K49:M49)&lt;3,COUNTIF($A$4:$A$303,A49)&lt;&gt;1),"",IF(IF(M49+F49&gt;0,"1",IF(M49+F49=0,"X","2"))=G49&amp;"",1,0))</x:f>
      </x:c>
      <x:c r="K49" s="143"/>
      <x:c r="L49" s="143"/>
      <x:c r="M49" s="142" t="str">
        <x:f>IF(AND(A49&lt;&gt;"",COUNT(K49:L49)=2),K49-L49,"")</x:f>
      </x:c>
      <x:c r="N49" s="142" t="str">
        <x:f>IF(J49="","",IF(M49+F49=0,"YES","NO"))</x:f>
      </x:c>
      <x:c r="O49" t="str">
        <x:f>IF(J49="","",IF(J49=1,"WIN",IF(N49="YES","Exact margin M="&amp;ABS(F49),"Direction / tail")))</x:f>
      </x:c>
      <x:c r="P49" s="141"/>
      <x:c r="Q49" s="141"/>
      <x:c r="R49" s="144" t="str">
        <x:f>IF(OR(I49="",J49=""),"",(I49-J49)^2)</x:f>
      </x:c>
      <x:c r="S49" s="144" t="str">
        <x:f>IF(OR(I49="",J49=""),"",-(J49*LN(MAX(MIN(I49,0.999999),0.000001))+(1-J49)*LN(MAX(MIN(1-I49,0.999999),0.000001))))</x:f>
      </x:c>
      <x:c r="T49" t="str">
        <x:f>IF(J49="","",INDEX(Frozen_Predictions!$M$4:$M$303,MATCH(A49,Frozen_Predictions!$A$4:$A$303,0)))</x:f>
      </x:c>
      <x:c r="U49" t="str">
        <x:f>IF(J49="","",INDEX(Frozen_Predictions!$W$4:$W$303,MATCH(A49,Frozen_Predictions!$A$4:$A$303,0)))</x:f>
      </x:c>
      <x:c r="V49" t="str">
        <x:f>IF(J49="","",INDEX(Frozen_Predictions!$X$4:$X$303,MATCH(A49,Frozen_Predictions!$A$4:$A$303,0)))</x:f>
      </x:c>
      <x:c r="W49" t="str">
        <x:f>IF(A49="","",IF(COUNTIF($A$4:$A$303,A49)&lt;&gt;1,"ID DUPLICAT",IF(COUNTIF(Frozen_Predictions!$A$4:$A$303,A49)&lt;&gt;1,"ID INEXISTENT SAU DUPLICAT ÎN FROZEN",IF(COUNT(K49:L49)&lt;2,"COMPLETEAZĂ SCORUL","VERIFICAT"))))</x:f>
      </x:c>
    </x:row>
    <x:row r="50">
      <x:c r="A50" s="141"/>
      <x:c r="B50" t="str">
        <x:f>IF(OR(A50="",COUNTIF(Frozen_Predictions!$A$4:$A$303,A50)&lt;&gt;1),"",INDEX(Frozen_Predictions!$C$4:$C$303,MATCH(A50,Frozen_Predictions!$A$4:$A$303,0)))</x:f>
      </x:c>
      <x:c r="C50" t="str">
        <x:f>IF(OR(A50="",COUNTIF(Frozen_Predictions!$A$4:$A$303,A50)&lt;&gt;1),"",INDEX(Frozen_Predictions!$E$4:$E$303,MATCH(A50,Frozen_Predictions!$A$4:$A$303,0)))</x:f>
      </x:c>
      <x:c r="D50" t="str">
        <x:f>IF(OR(A50="",COUNTIF(Frozen_Predictions!$A$4:$A$303,A50)&lt;&gt;1),"",INDEX(Frozen_Predictions!$F$4:$F$303,MATCH(A50,Frozen_Predictions!$A$4:$A$303,0)))</x:f>
      </x:c>
      <x:c r="E50" t="str">
        <x:f>IF(OR(A50="",COUNTIF(Frozen_Predictions!$A$4:$A$303,A50)&lt;&gt;1),"",INDEX(Frozen_Predictions!$G$4:$G$303,MATCH(A50,Frozen_Predictions!$A$4:$A$303,0)))</x:f>
      </x:c>
      <x:c r="F50" t="str">
        <x:f>IF(OR(A50="",COUNTIF(Frozen_Predictions!$A$4:$A$303,A50)&lt;&gt;1),"",INDEX(Frozen_Predictions!$H$4:$H$303,MATCH(A50,Frozen_Predictions!$A$4:$A$303,0)))</x:f>
      </x:c>
      <x:c r="G50" t="str">
        <x:f>IF(OR(A50="",COUNTIF(Frozen_Predictions!$A$4:$A$303,A50)&lt;&gt;1),"",INDEX(Frozen_Predictions!$I$4:$I$303,MATCH(A50,Frozen_Predictions!$A$4:$A$303,0)))</x:f>
      </x:c>
      <x:c r="H50" t="str">
        <x:f>IF(OR(A50="",COUNTIF(Frozen_Predictions!$A$4:$A$303,A50)&lt;&gt;1),"",INDEX(Frozen_Predictions!$J$4:$J$303,MATCH(A50,Frozen_Predictions!$A$4:$A$303,0)))</x:f>
      </x:c>
      <x:c r="I50" t="str">
        <x:f>IF(OR(A50="",COUNTIF(Frozen_Predictions!$A$4:$A$303,A50)&lt;&gt;1),"",INDEX(Frozen_Predictions!$K$4:$K$303,MATCH(A50,Frozen_Predictions!$A$4:$A$303,0)))</x:f>
      </x:c>
      <x:c r="J50" s="142" t="str">
        <x:f>IF(OR(A50="",G50="",COUNT(K50:M50)&lt;3,COUNTIF($A$4:$A$303,A50)&lt;&gt;1),"",IF(IF(M50+F50&gt;0,"1",IF(M50+F50=0,"X","2"))=G50&amp;"",1,0))</x:f>
      </x:c>
      <x:c r="K50" s="143"/>
      <x:c r="L50" s="143"/>
      <x:c r="M50" s="142" t="str">
        <x:f>IF(AND(A50&lt;&gt;"",COUNT(K50:L50)=2),K50-L50,"")</x:f>
      </x:c>
      <x:c r="N50" s="142" t="str">
        <x:f>IF(J50="","",IF(M50+F50=0,"YES","NO"))</x:f>
      </x:c>
      <x:c r="O50" t="str">
        <x:f>IF(J50="","",IF(J50=1,"WIN",IF(N50="YES","Exact margin M="&amp;ABS(F50),"Direction / tail")))</x:f>
      </x:c>
      <x:c r="P50" s="141"/>
      <x:c r="Q50" s="141"/>
      <x:c r="R50" s="144" t="str">
        <x:f>IF(OR(I50="",J50=""),"",(I50-J50)^2)</x:f>
      </x:c>
      <x:c r="S50" s="144" t="str">
        <x:f>IF(OR(I50="",J50=""),"",-(J50*LN(MAX(MIN(I50,0.999999),0.000001))+(1-J50)*LN(MAX(MIN(1-I50,0.999999),0.000001))))</x:f>
      </x:c>
      <x:c r="T50" t="str">
        <x:f>IF(J50="","",INDEX(Frozen_Predictions!$M$4:$M$303,MATCH(A50,Frozen_Predictions!$A$4:$A$303,0)))</x:f>
      </x:c>
      <x:c r="U50" t="str">
        <x:f>IF(J50="","",INDEX(Frozen_Predictions!$W$4:$W$303,MATCH(A50,Frozen_Predictions!$A$4:$A$303,0)))</x:f>
      </x:c>
      <x:c r="V50" t="str">
        <x:f>IF(J50="","",INDEX(Frozen_Predictions!$X$4:$X$303,MATCH(A50,Frozen_Predictions!$A$4:$A$303,0)))</x:f>
      </x:c>
      <x:c r="W50" t="str">
        <x:f>IF(A50="","",IF(COUNTIF($A$4:$A$303,A50)&lt;&gt;1,"ID DUPLICAT",IF(COUNTIF(Frozen_Predictions!$A$4:$A$303,A50)&lt;&gt;1,"ID INEXISTENT SAU DUPLICAT ÎN FROZEN",IF(COUNT(K50:L50)&lt;2,"COMPLETEAZĂ SCORUL","VERIFICAT"))))</x:f>
      </x:c>
    </x:row>
    <x:row r="51">
      <x:c r="A51" s="141"/>
      <x:c r="B51" t="str">
        <x:f>IF(OR(A51="",COUNTIF(Frozen_Predictions!$A$4:$A$303,A51)&lt;&gt;1),"",INDEX(Frozen_Predictions!$C$4:$C$303,MATCH(A51,Frozen_Predictions!$A$4:$A$303,0)))</x:f>
      </x:c>
      <x:c r="C51" t="str">
        <x:f>IF(OR(A51="",COUNTIF(Frozen_Predictions!$A$4:$A$303,A51)&lt;&gt;1),"",INDEX(Frozen_Predictions!$E$4:$E$303,MATCH(A51,Frozen_Predictions!$A$4:$A$303,0)))</x:f>
      </x:c>
      <x:c r="D51" t="str">
        <x:f>IF(OR(A51="",COUNTIF(Frozen_Predictions!$A$4:$A$303,A51)&lt;&gt;1),"",INDEX(Frozen_Predictions!$F$4:$F$303,MATCH(A51,Frozen_Predictions!$A$4:$A$303,0)))</x:f>
      </x:c>
      <x:c r="E51" t="str">
        <x:f>IF(OR(A51="",COUNTIF(Frozen_Predictions!$A$4:$A$303,A51)&lt;&gt;1),"",INDEX(Frozen_Predictions!$G$4:$G$303,MATCH(A51,Frozen_Predictions!$A$4:$A$303,0)))</x:f>
      </x:c>
      <x:c r="F51" t="str">
        <x:f>IF(OR(A51="",COUNTIF(Frozen_Predictions!$A$4:$A$303,A51)&lt;&gt;1),"",INDEX(Frozen_Predictions!$H$4:$H$303,MATCH(A51,Frozen_Predictions!$A$4:$A$303,0)))</x:f>
      </x:c>
      <x:c r="G51" t="str">
        <x:f>IF(OR(A51="",COUNTIF(Frozen_Predictions!$A$4:$A$303,A51)&lt;&gt;1),"",INDEX(Frozen_Predictions!$I$4:$I$303,MATCH(A51,Frozen_Predictions!$A$4:$A$303,0)))</x:f>
      </x:c>
      <x:c r="H51" t="str">
        <x:f>IF(OR(A51="",COUNTIF(Frozen_Predictions!$A$4:$A$303,A51)&lt;&gt;1),"",INDEX(Frozen_Predictions!$J$4:$J$303,MATCH(A51,Frozen_Predictions!$A$4:$A$303,0)))</x:f>
      </x:c>
      <x:c r="I51" t="str">
        <x:f>IF(OR(A51="",COUNTIF(Frozen_Predictions!$A$4:$A$303,A51)&lt;&gt;1),"",INDEX(Frozen_Predictions!$K$4:$K$303,MATCH(A51,Frozen_Predictions!$A$4:$A$303,0)))</x:f>
      </x:c>
      <x:c r="J51" s="142" t="str">
        <x:f>IF(OR(A51="",G51="",COUNT(K51:M51)&lt;3,COUNTIF($A$4:$A$303,A51)&lt;&gt;1),"",IF(IF(M51+F51&gt;0,"1",IF(M51+F51=0,"X","2"))=G51&amp;"",1,0))</x:f>
      </x:c>
      <x:c r="K51" s="143"/>
      <x:c r="L51" s="143"/>
      <x:c r="M51" s="142" t="str">
        <x:f>IF(AND(A51&lt;&gt;"",COUNT(K51:L51)=2),K51-L51,"")</x:f>
      </x:c>
      <x:c r="N51" s="142" t="str">
        <x:f>IF(J51="","",IF(M51+F51=0,"YES","NO"))</x:f>
      </x:c>
      <x:c r="O51" t="str">
        <x:f>IF(J51="","",IF(J51=1,"WIN",IF(N51="YES","Exact margin M="&amp;ABS(F51),"Direction / tail")))</x:f>
      </x:c>
      <x:c r="P51" s="141"/>
      <x:c r="Q51" s="141"/>
      <x:c r="R51" s="144" t="str">
        <x:f>IF(OR(I51="",J51=""),"",(I51-J51)^2)</x:f>
      </x:c>
      <x:c r="S51" s="144" t="str">
        <x:f>IF(OR(I51="",J51=""),"",-(J51*LN(MAX(MIN(I51,0.999999),0.000001))+(1-J51)*LN(MAX(MIN(1-I51,0.999999),0.000001))))</x:f>
      </x:c>
      <x:c r="T51" t="str">
        <x:f>IF(J51="","",INDEX(Frozen_Predictions!$M$4:$M$303,MATCH(A51,Frozen_Predictions!$A$4:$A$303,0)))</x:f>
      </x:c>
      <x:c r="U51" t="str">
        <x:f>IF(J51="","",INDEX(Frozen_Predictions!$W$4:$W$303,MATCH(A51,Frozen_Predictions!$A$4:$A$303,0)))</x:f>
      </x:c>
      <x:c r="V51" t="str">
        <x:f>IF(J51="","",INDEX(Frozen_Predictions!$X$4:$X$303,MATCH(A51,Frozen_Predictions!$A$4:$A$303,0)))</x:f>
      </x:c>
      <x:c r="W51" t="str">
        <x:f>IF(A51="","",IF(COUNTIF($A$4:$A$303,A51)&lt;&gt;1,"ID DUPLICAT",IF(COUNTIF(Frozen_Predictions!$A$4:$A$303,A51)&lt;&gt;1,"ID INEXISTENT SAU DUPLICAT ÎN FROZEN",IF(COUNT(K51:L51)&lt;2,"COMPLETEAZĂ SCORUL","VERIFICAT"))))</x:f>
      </x:c>
    </x:row>
    <x:row r="52">
      <x:c r="A52" s="141"/>
      <x:c r="B52" t="str">
        <x:f>IF(OR(A52="",COUNTIF(Frozen_Predictions!$A$4:$A$303,A52)&lt;&gt;1),"",INDEX(Frozen_Predictions!$C$4:$C$303,MATCH(A52,Frozen_Predictions!$A$4:$A$303,0)))</x:f>
      </x:c>
      <x:c r="C52" t="str">
        <x:f>IF(OR(A52="",COUNTIF(Frozen_Predictions!$A$4:$A$303,A52)&lt;&gt;1),"",INDEX(Frozen_Predictions!$E$4:$E$303,MATCH(A52,Frozen_Predictions!$A$4:$A$303,0)))</x:f>
      </x:c>
      <x:c r="D52" t="str">
        <x:f>IF(OR(A52="",COUNTIF(Frozen_Predictions!$A$4:$A$303,A52)&lt;&gt;1),"",INDEX(Frozen_Predictions!$F$4:$F$303,MATCH(A52,Frozen_Predictions!$A$4:$A$303,0)))</x:f>
      </x:c>
      <x:c r="E52" t="str">
        <x:f>IF(OR(A52="",COUNTIF(Frozen_Predictions!$A$4:$A$303,A52)&lt;&gt;1),"",INDEX(Frozen_Predictions!$G$4:$G$303,MATCH(A52,Frozen_Predictions!$A$4:$A$303,0)))</x:f>
      </x:c>
      <x:c r="F52" t="str">
        <x:f>IF(OR(A52="",COUNTIF(Frozen_Predictions!$A$4:$A$303,A52)&lt;&gt;1),"",INDEX(Frozen_Predictions!$H$4:$H$303,MATCH(A52,Frozen_Predictions!$A$4:$A$303,0)))</x:f>
      </x:c>
      <x:c r="G52" t="str">
        <x:f>IF(OR(A52="",COUNTIF(Frozen_Predictions!$A$4:$A$303,A52)&lt;&gt;1),"",INDEX(Frozen_Predictions!$I$4:$I$303,MATCH(A52,Frozen_Predictions!$A$4:$A$303,0)))</x:f>
      </x:c>
      <x:c r="H52" t="str">
        <x:f>IF(OR(A52="",COUNTIF(Frozen_Predictions!$A$4:$A$303,A52)&lt;&gt;1),"",INDEX(Frozen_Predictions!$J$4:$J$303,MATCH(A52,Frozen_Predictions!$A$4:$A$303,0)))</x:f>
      </x:c>
      <x:c r="I52" t="str">
        <x:f>IF(OR(A52="",COUNTIF(Frozen_Predictions!$A$4:$A$303,A52)&lt;&gt;1),"",INDEX(Frozen_Predictions!$K$4:$K$303,MATCH(A52,Frozen_Predictions!$A$4:$A$303,0)))</x:f>
      </x:c>
      <x:c r="J52" s="142" t="str">
        <x:f>IF(OR(A52="",G52="",COUNT(K52:M52)&lt;3,COUNTIF($A$4:$A$303,A52)&lt;&gt;1),"",IF(IF(M52+F52&gt;0,"1",IF(M52+F52=0,"X","2"))=G52&amp;"",1,0))</x:f>
      </x:c>
      <x:c r="K52" s="143"/>
      <x:c r="L52" s="143"/>
      <x:c r="M52" s="142" t="str">
        <x:f>IF(AND(A52&lt;&gt;"",COUNT(K52:L52)=2),K52-L52,"")</x:f>
      </x:c>
      <x:c r="N52" s="142" t="str">
        <x:f>IF(J52="","",IF(M52+F52=0,"YES","NO"))</x:f>
      </x:c>
      <x:c r="O52" t="str">
        <x:f>IF(J52="","",IF(J52=1,"WIN",IF(N52="YES","Exact margin M="&amp;ABS(F52),"Direction / tail")))</x:f>
      </x:c>
      <x:c r="P52" s="141"/>
      <x:c r="Q52" s="141"/>
      <x:c r="R52" s="144" t="str">
        <x:f>IF(OR(I52="",J52=""),"",(I52-J52)^2)</x:f>
      </x:c>
      <x:c r="S52" s="144" t="str">
        <x:f>IF(OR(I52="",J52=""),"",-(J52*LN(MAX(MIN(I52,0.999999),0.000001))+(1-J52)*LN(MAX(MIN(1-I52,0.999999),0.000001))))</x:f>
      </x:c>
      <x:c r="T52" t="str">
        <x:f>IF(J52="","",INDEX(Frozen_Predictions!$M$4:$M$303,MATCH(A52,Frozen_Predictions!$A$4:$A$303,0)))</x:f>
      </x:c>
      <x:c r="U52" t="str">
        <x:f>IF(J52="","",INDEX(Frozen_Predictions!$W$4:$W$303,MATCH(A52,Frozen_Predictions!$A$4:$A$303,0)))</x:f>
      </x:c>
      <x:c r="V52" t="str">
        <x:f>IF(J52="","",INDEX(Frozen_Predictions!$X$4:$X$303,MATCH(A52,Frozen_Predictions!$A$4:$A$303,0)))</x:f>
      </x:c>
      <x:c r="W52" t="str">
        <x:f>IF(A52="","",IF(COUNTIF($A$4:$A$303,A52)&lt;&gt;1,"ID DUPLICAT",IF(COUNTIF(Frozen_Predictions!$A$4:$A$303,A52)&lt;&gt;1,"ID INEXISTENT SAU DUPLICAT ÎN FROZEN",IF(COUNT(K52:L52)&lt;2,"COMPLETEAZĂ SCORUL","VERIFICAT"))))</x:f>
      </x:c>
    </x:row>
    <x:row r="53">
      <x:c r="A53" s="141"/>
      <x:c r="B53" t="str">
        <x:f>IF(OR(A53="",COUNTIF(Frozen_Predictions!$A$4:$A$303,A53)&lt;&gt;1),"",INDEX(Frozen_Predictions!$C$4:$C$303,MATCH(A53,Frozen_Predictions!$A$4:$A$303,0)))</x:f>
      </x:c>
      <x:c r="C53" t="str">
        <x:f>IF(OR(A53="",COUNTIF(Frozen_Predictions!$A$4:$A$303,A53)&lt;&gt;1),"",INDEX(Frozen_Predictions!$E$4:$E$303,MATCH(A53,Frozen_Predictions!$A$4:$A$303,0)))</x:f>
      </x:c>
      <x:c r="D53" t="str">
        <x:f>IF(OR(A53="",COUNTIF(Frozen_Predictions!$A$4:$A$303,A53)&lt;&gt;1),"",INDEX(Frozen_Predictions!$F$4:$F$303,MATCH(A53,Frozen_Predictions!$A$4:$A$303,0)))</x:f>
      </x:c>
      <x:c r="E53" t="str">
        <x:f>IF(OR(A53="",COUNTIF(Frozen_Predictions!$A$4:$A$303,A53)&lt;&gt;1),"",INDEX(Frozen_Predictions!$G$4:$G$303,MATCH(A53,Frozen_Predictions!$A$4:$A$303,0)))</x:f>
      </x:c>
      <x:c r="F53" t="str">
        <x:f>IF(OR(A53="",COUNTIF(Frozen_Predictions!$A$4:$A$303,A53)&lt;&gt;1),"",INDEX(Frozen_Predictions!$H$4:$H$303,MATCH(A53,Frozen_Predictions!$A$4:$A$303,0)))</x:f>
      </x:c>
      <x:c r="G53" t="str">
        <x:f>IF(OR(A53="",COUNTIF(Frozen_Predictions!$A$4:$A$303,A53)&lt;&gt;1),"",INDEX(Frozen_Predictions!$I$4:$I$303,MATCH(A53,Frozen_Predictions!$A$4:$A$303,0)))</x:f>
      </x:c>
      <x:c r="H53" t="str">
        <x:f>IF(OR(A53="",COUNTIF(Frozen_Predictions!$A$4:$A$303,A53)&lt;&gt;1),"",INDEX(Frozen_Predictions!$J$4:$J$303,MATCH(A53,Frozen_Predictions!$A$4:$A$303,0)))</x:f>
      </x:c>
      <x:c r="I53" t="str">
        <x:f>IF(OR(A53="",COUNTIF(Frozen_Predictions!$A$4:$A$303,A53)&lt;&gt;1),"",INDEX(Frozen_Predictions!$K$4:$K$303,MATCH(A53,Frozen_Predictions!$A$4:$A$303,0)))</x:f>
      </x:c>
      <x:c r="J53" s="142" t="str">
        <x:f>IF(OR(A53="",G53="",COUNT(K53:M53)&lt;3,COUNTIF($A$4:$A$303,A53)&lt;&gt;1),"",IF(IF(M53+F53&gt;0,"1",IF(M53+F53=0,"X","2"))=G53&amp;"",1,0))</x:f>
      </x:c>
      <x:c r="K53" s="143"/>
      <x:c r="L53" s="143"/>
      <x:c r="M53" s="142" t="str">
        <x:f>IF(AND(A53&lt;&gt;"",COUNT(K53:L53)=2),K53-L53,"")</x:f>
      </x:c>
      <x:c r="N53" s="142" t="str">
        <x:f>IF(J53="","",IF(M53+F53=0,"YES","NO"))</x:f>
      </x:c>
      <x:c r="O53" t="str">
        <x:f>IF(J53="","",IF(J53=1,"WIN",IF(N53="YES","Exact margin M="&amp;ABS(F53),"Direction / tail")))</x:f>
      </x:c>
      <x:c r="P53" s="141"/>
      <x:c r="Q53" s="141"/>
      <x:c r="R53" s="144" t="str">
        <x:f>IF(OR(I53="",J53=""),"",(I53-J53)^2)</x:f>
      </x:c>
      <x:c r="S53" s="144" t="str">
        <x:f>IF(OR(I53="",J53=""),"",-(J53*LN(MAX(MIN(I53,0.999999),0.000001))+(1-J53)*LN(MAX(MIN(1-I53,0.999999),0.000001))))</x:f>
      </x:c>
      <x:c r="T53" t="str">
        <x:f>IF(J53="","",INDEX(Frozen_Predictions!$M$4:$M$303,MATCH(A53,Frozen_Predictions!$A$4:$A$303,0)))</x:f>
      </x:c>
      <x:c r="U53" t="str">
        <x:f>IF(J53="","",INDEX(Frozen_Predictions!$W$4:$W$303,MATCH(A53,Frozen_Predictions!$A$4:$A$303,0)))</x:f>
      </x:c>
      <x:c r="V53" t="str">
        <x:f>IF(J53="","",INDEX(Frozen_Predictions!$X$4:$X$303,MATCH(A53,Frozen_Predictions!$A$4:$A$303,0)))</x:f>
      </x:c>
      <x:c r="W53" t="str">
        <x:f>IF(A53="","",IF(COUNTIF($A$4:$A$303,A53)&lt;&gt;1,"ID DUPLICAT",IF(COUNTIF(Frozen_Predictions!$A$4:$A$303,A53)&lt;&gt;1,"ID INEXISTENT SAU DUPLICAT ÎN FROZEN",IF(COUNT(K53:L53)&lt;2,"COMPLETEAZĂ SCORUL","VERIFICAT"))))</x:f>
      </x:c>
    </x:row>
    <x:row r="54">
      <x:c r="A54" s="141"/>
      <x:c r="B54" t="str">
        <x:f>IF(OR(A54="",COUNTIF(Frozen_Predictions!$A$4:$A$303,A54)&lt;&gt;1),"",INDEX(Frozen_Predictions!$C$4:$C$303,MATCH(A54,Frozen_Predictions!$A$4:$A$303,0)))</x:f>
      </x:c>
      <x:c r="C54" t="str">
        <x:f>IF(OR(A54="",COUNTIF(Frozen_Predictions!$A$4:$A$303,A54)&lt;&gt;1),"",INDEX(Frozen_Predictions!$E$4:$E$303,MATCH(A54,Frozen_Predictions!$A$4:$A$303,0)))</x:f>
      </x:c>
      <x:c r="D54" t="str">
        <x:f>IF(OR(A54="",COUNTIF(Frozen_Predictions!$A$4:$A$303,A54)&lt;&gt;1),"",INDEX(Frozen_Predictions!$F$4:$F$303,MATCH(A54,Frozen_Predictions!$A$4:$A$303,0)))</x:f>
      </x:c>
      <x:c r="E54" t="str">
        <x:f>IF(OR(A54="",COUNTIF(Frozen_Predictions!$A$4:$A$303,A54)&lt;&gt;1),"",INDEX(Frozen_Predictions!$G$4:$G$303,MATCH(A54,Frozen_Predictions!$A$4:$A$303,0)))</x:f>
      </x:c>
      <x:c r="F54" t="str">
        <x:f>IF(OR(A54="",COUNTIF(Frozen_Predictions!$A$4:$A$303,A54)&lt;&gt;1),"",INDEX(Frozen_Predictions!$H$4:$H$303,MATCH(A54,Frozen_Predictions!$A$4:$A$303,0)))</x:f>
      </x:c>
      <x:c r="G54" t="str">
        <x:f>IF(OR(A54="",COUNTIF(Frozen_Predictions!$A$4:$A$303,A54)&lt;&gt;1),"",INDEX(Frozen_Predictions!$I$4:$I$303,MATCH(A54,Frozen_Predictions!$A$4:$A$303,0)))</x:f>
      </x:c>
      <x:c r="H54" t="str">
        <x:f>IF(OR(A54="",COUNTIF(Frozen_Predictions!$A$4:$A$303,A54)&lt;&gt;1),"",INDEX(Frozen_Predictions!$J$4:$J$303,MATCH(A54,Frozen_Predictions!$A$4:$A$303,0)))</x:f>
      </x:c>
      <x:c r="I54" t="str">
        <x:f>IF(OR(A54="",COUNTIF(Frozen_Predictions!$A$4:$A$303,A54)&lt;&gt;1),"",INDEX(Frozen_Predictions!$K$4:$K$303,MATCH(A54,Frozen_Predictions!$A$4:$A$303,0)))</x:f>
      </x:c>
      <x:c r="J54" s="142" t="str">
        <x:f>IF(OR(A54="",G54="",COUNT(K54:M54)&lt;3,COUNTIF($A$4:$A$303,A54)&lt;&gt;1),"",IF(IF(M54+F54&gt;0,"1",IF(M54+F54=0,"X","2"))=G54&amp;"",1,0))</x:f>
      </x:c>
      <x:c r="K54" s="143"/>
      <x:c r="L54" s="143"/>
      <x:c r="M54" s="142" t="str">
        <x:f>IF(AND(A54&lt;&gt;"",COUNT(K54:L54)=2),K54-L54,"")</x:f>
      </x:c>
      <x:c r="N54" s="142" t="str">
        <x:f>IF(J54="","",IF(M54+F54=0,"YES","NO"))</x:f>
      </x:c>
      <x:c r="O54" t="str">
        <x:f>IF(J54="","",IF(J54=1,"WIN",IF(N54="YES","Exact margin M="&amp;ABS(F54),"Direction / tail")))</x:f>
      </x:c>
      <x:c r="P54" s="141"/>
      <x:c r="Q54" s="141"/>
      <x:c r="R54" s="144" t="str">
        <x:f>IF(OR(I54="",J54=""),"",(I54-J54)^2)</x:f>
      </x:c>
      <x:c r="S54" s="144" t="str">
        <x:f>IF(OR(I54="",J54=""),"",-(J54*LN(MAX(MIN(I54,0.999999),0.000001))+(1-J54)*LN(MAX(MIN(1-I54,0.999999),0.000001))))</x:f>
      </x:c>
      <x:c r="T54" t="str">
        <x:f>IF(J54="","",INDEX(Frozen_Predictions!$M$4:$M$303,MATCH(A54,Frozen_Predictions!$A$4:$A$303,0)))</x:f>
      </x:c>
      <x:c r="U54" t="str">
        <x:f>IF(J54="","",INDEX(Frozen_Predictions!$W$4:$W$303,MATCH(A54,Frozen_Predictions!$A$4:$A$303,0)))</x:f>
      </x:c>
      <x:c r="V54" t="str">
        <x:f>IF(J54="","",INDEX(Frozen_Predictions!$X$4:$X$303,MATCH(A54,Frozen_Predictions!$A$4:$A$303,0)))</x:f>
      </x:c>
      <x:c r="W54" t="str">
        <x:f>IF(A54="","",IF(COUNTIF($A$4:$A$303,A54)&lt;&gt;1,"ID DUPLICAT",IF(COUNTIF(Frozen_Predictions!$A$4:$A$303,A54)&lt;&gt;1,"ID INEXISTENT SAU DUPLICAT ÎN FROZEN",IF(COUNT(K54:L54)&lt;2,"COMPLETEAZĂ SCORUL","VERIFICAT"))))</x:f>
      </x:c>
    </x:row>
    <x:row r="55">
      <x:c r="A55" s="141"/>
      <x:c r="B55" t="str">
        <x:f>IF(OR(A55="",COUNTIF(Frozen_Predictions!$A$4:$A$303,A55)&lt;&gt;1),"",INDEX(Frozen_Predictions!$C$4:$C$303,MATCH(A55,Frozen_Predictions!$A$4:$A$303,0)))</x:f>
      </x:c>
      <x:c r="C55" t="str">
        <x:f>IF(OR(A55="",COUNTIF(Frozen_Predictions!$A$4:$A$303,A55)&lt;&gt;1),"",INDEX(Frozen_Predictions!$E$4:$E$303,MATCH(A55,Frozen_Predictions!$A$4:$A$303,0)))</x:f>
      </x:c>
      <x:c r="D55" t="str">
        <x:f>IF(OR(A55="",COUNTIF(Frozen_Predictions!$A$4:$A$303,A55)&lt;&gt;1),"",INDEX(Frozen_Predictions!$F$4:$F$303,MATCH(A55,Frozen_Predictions!$A$4:$A$303,0)))</x:f>
      </x:c>
      <x:c r="E55" t="str">
        <x:f>IF(OR(A55="",COUNTIF(Frozen_Predictions!$A$4:$A$303,A55)&lt;&gt;1),"",INDEX(Frozen_Predictions!$G$4:$G$303,MATCH(A55,Frozen_Predictions!$A$4:$A$303,0)))</x:f>
      </x:c>
      <x:c r="F55" t="str">
        <x:f>IF(OR(A55="",COUNTIF(Frozen_Predictions!$A$4:$A$303,A55)&lt;&gt;1),"",INDEX(Frozen_Predictions!$H$4:$H$303,MATCH(A55,Frozen_Predictions!$A$4:$A$303,0)))</x:f>
      </x:c>
      <x:c r="G55" t="str">
        <x:f>IF(OR(A55="",COUNTIF(Frozen_Predictions!$A$4:$A$303,A55)&lt;&gt;1),"",INDEX(Frozen_Predictions!$I$4:$I$303,MATCH(A55,Frozen_Predictions!$A$4:$A$303,0)))</x:f>
      </x:c>
      <x:c r="H55" t="str">
        <x:f>IF(OR(A55="",COUNTIF(Frozen_Predictions!$A$4:$A$303,A55)&lt;&gt;1),"",INDEX(Frozen_Predictions!$J$4:$J$303,MATCH(A55,Frozen_Predictions!$A$4:$A$303,0)))</x:f>
      </x:c>
      <x:c r="I55" t="str">
        <x:f>IF(OR(A55="",COUNTIF(Frozen_Predictions!$A$4:$A$303,A55)&lt;&gt;1),"",INDEX(Frozen_Predictions!$K$4:$K$303,MATCH(A55,Frozen_Predictions!$A$4:$A$303,0)))</x:f>
      </x:c>
      <x:c r="J55" s="142" t="str">
        <x:f>IF(OR(A55="",G55="",COUNT(K55:M55)&lt;3,COUNTIF($A$4:$A$303,A55)&lt;&gt;1),"",IF(IF(M55+F55&gt;0,"1",IF(M55+F55=0,"X","2"))=G55&amp;"",1,0))</x:f>
      </x:c>
      <x:c r="K55" s="143"/>
      <x:c r="L55" s="143"/>
      <x:c r="M55" s="142" t="str">
        <x:f>IF(AND(A55&lt;&gt;"",COUNT(K55:L55)=2),K55-L55,"")</x:f>
      </x:c>
      <x:c r="N55" s="142" t="str">
        <x:f>IF(J55="","",IF(M55+F55=0,"YES","NO"))</x:f>
      </x:c>
      <x:c r="O55" t="str">
        <x:f>IF(J55="","",IF(J55=1,"WIN",IF(N55="YES","Exact margin M="&amp;ABS(F55),"Direction / tail")))</x:f>
      </x:c>
      <x:c r="P55" s="141"/>
      <x:c r="Q55" s="141"/>
      <x:c r="R55" s="144" t="str">
        <x:f>IF(OR(I55="",J55=""),"",(I55-J55)^2)</x:f>
      </x:c>
      <x:c r="S55" s="144" t="str">
        <x:f>IF(OR(I55="",J55=""),"",-(J55*LN(MAX(MIN(I55,0.999999),0.000001))+(1-J55)*LN(MAX(MIN(1-I55,0.999999),0.000001))))</x:f>
      </x:c>
      <x:c r="T55" t="str">
        <x:f>IF(J55="","",INDEX(Frozen_Predictions!$M$4:$M$303,MATCH(A55,Frozen_Predictions!$A$4:$A$303,0)))</x:f>
      </x:c>
      <x:c r="U55" t="str">
        <x:f>IF(J55="","",INDEX(Frozen_Predictions!$W$4:$W$303,MATCH(A55,Frozen_Predictions!$A$4:$A$303,0)))</x:f>
      </x:c>
      <x:c r="V55" t="str">
        <x:f>IF(J55="","",INDEX(Frozen_Predictions!$X$4:$X$303,MATCH(A55,Frozen_Predictions!$A$4:$A$303,0)))</x:f>
      </x:c>
      <x:c r="W55" t="str">
        <x:f>IF(A55="","",IF(COUNTIF($A$4:$A$303,A55)&lt;&gt;1,"ID DUPLICAT",IF(COUNTIF(Frozen_Predictions!$A$4:$A$303,A55)&lt;&gt;1,"ID INEXISTENT SAU DUPLICAT ÎN FROZEN",IF(COUNT(K55:L55)&lt;2,"COMPLETEAZĂ SCORUL","VERIFICAT"))))</x:f>
      </x:c>
    </x:row>
    <x:row r="56">
      <x:c r="A56" s="141"/>
      <x:c r="B56" t="str">
        <x:f>IF(OR(A56="",COUNTIF(Frozen_Predictions!$A$4:$A$303,A56)&lt;&gt;1),"",INDEX(Frozen_Predictions!$C$4:$C$303,MATCH(A56,Frozen_Predictions!$A$4:$A$303,0)))</x:f>
      </x:c>
      <x:c r="C56" t="str">
        <x:f>IF(OR(A56="",COUNTIF(Frozen_Predictions!$A$4:$A$303,A56)&lt;&gt;1),"",INDEX(Frozen_Predictions!$E$4:$E$303,MATCH(A56,Frozen_Predictions!$A$4:$A$303,0)))</x:f>
      </x:c>
      <x:c r="D56" t="str">
        <x:f>IF(OR(A56="",COUNTIF(Frozen_Predictions!$A$4:$A$303,A56)&lt;&gt;1),"",INDEX(Frozen_Predictions!$F$4:$F$303,MATCH(A56,Frozen_Predictions!$A$4:$A$303,0)))</x:f>
      </x:c>
      <x:c r="E56" t="str">
        <x:f>IF(OR(A56="",COUNTIF(Frozen_Predictions!$A$4:$A$303,A56)&lt;&gt;1),"",INDEX(Frozen_Predictions!$G$4:$G$303,MATCH(A56,Frozen_Predictions!$A$4:$A$303,0)))</x:f>
      </x:c>
      <x:c r="F56" t="str">
        <x:f>IF(OR(A56="",COUNTIF(Frozen_Predictions!$A$4:$A$303,A56)&lt;&gt;1),"",INDEX(Frozen_Predictions!$H$4:$H$303,MATCH(A56,Frozen_Predictions!$A$4:$A$303,0)))</x:f>
      </x:c>
      <x:c r="G56" t="str">
        <x:f>IF(OR(A56="",COUNTIF(Frozen_Predictions!$A$4:$A$303,A56)&lt;&gt;1),"",INDEX(Frozen_Predictions!$I$4:$I$303,MATCH(A56,Frozen_Predictions!$A$4:$A$303,0)))</x:f>
      </x:c>
      <x:c r="H56" t="str">
        <x:f>IF(OR(A56="",COUNTIF(Frozen_Predictions!$A$4:$A$303,A56)&lt;&gt;1),"",INDEX(Frozen_Predictions!$J$4:$J$303,MATCH(A56,Frozen_Predictions!$A$4:$A$303,0)))</x:f>
      </x:c>
      <x:c r="I56" t="str">
        <x:f>IF(OR(A56="",COUNTIF(Frozen_Predictions!$A$4:$A$303,A56)&lt;&gt;1),"",INDEX(Frozen_Predictions!$K$4:$K$303,MATCH(A56,Frozen_Predictions!$A$4:$A$303,0)))</x:f>
      </x:c>
      <x:c r="J56" s="142" t="str">
        <x:f>IF(OR(A56="",G56="",COUNT(K56:M56)&lt;3,COUNTIF($A$4:$A$303,A56)&lt;&gt;1),"",IF(IF(M56+F56&gt;0,"1",IF(M56+F56=0,"X","2"))=G56&amp;"",1,0))</x:f>
      </x:c>
      <x:c r="K56" s="143"/>
      <x:c r="L56" s="143"/>
      <x:c r="M56" s="142" t="str">
        <x:f>IF(AND(A56&lt;&gt;"",COUNT(K56:L56)=2),K56-L56,"")</x:f>
      </x:c>
      <x:c r="N56" s="142" t="str">
        <x:f>IF(J56="","",IF(M56+F56=0,"YES","NO"))</x:f>
      </x:c>
      <x:c r="O56" t="str">
        <x:f>IF(J56="","",IF(J56=1,"WIN",IF(N56="YES","Exact margin M="&amp;ABS(F56),"Direction / tail")))</x:f>
      </x:c>
      <x:c r="P56" s="141"/>
      <x:c r="Q56" s="141"/>
      <x:c r="R56" s="144" t="str">
        <x:f>IF(OR(I56="",J56=""),"",(I56-J56)^2)</x:f>
      </x:c>
      <x:c r="S56" s="144" t="str">
        <x:f>IF(OR(I56="",J56=""),"",-(J56*LN(MAX(MIN(I56,0.999999),0.000001))+(1-J56)*LN(MAX(MIN(1-I56,0.999999),0.000001))))</x:f>
      </x:c>
      <x:c r="T56" t="str">
        <x:f>IF(J56="","",INDEX(Frozen_Predictions!$M$4:$M$303,MATCH(A56,Frozen_Predictions!$A$4:$A$303,0)))</x:f>
      </x:c>
      <x:c r="U56" t="str">
        <x:f>IF(J56="","",INDEX(Frozen_Predictions!$W$4:$W$303,MATCH(A56,Frozen_Predictions!$A$4:$A$303,0)))</x:f>
      </x:c>
      <x:c r="V56" t="str">
        <x:f>IF(J56="","",INDEX(Frozen_Predictions!$X$4:$X$303,MATCH(A56,Frozen_Predictions!$A$4:$A$303,0)))</x:f>
      </x:c>
      <x:c r="W56" t="str">
        <x:f>IF(A56="","",IF(COUNTIF($A$4:$A$303,A56)&lt;&gt;1,"ID DUPLICAT",IF(COUNTIF(Frozen_Predictions!$A$4:$A$303,A56)&lt;&gt;1,"ID INEXISTENT SAU DUPLICAT ÎN FROZEN",IF(COUNT(K56:L56)&lt;2,"COMPLETEAZĂ SCORUL","VERIFICAT"))))</x:f>
      </x:c>
    </x:row>
    <x:row r="57">
      <x:c r="A57" s="141"/>
      <x:c r="B57" t="str">
        <x:f>IF(OR(A57="",COUNTIF(Frozen_Predictions!$A$4:$A$303,A57)&lt;&gt;1),"",INDEX(Frozen_Predictions!$C$4:$C$303,MATCH(A57,Frozen_Predictions!$A$4:$A$303,0)))</x:f>
      </x:c>
      <x:c r="C57" t="str">
        <x:f>IF(OR(A57="",COUNTIF(Frozen_Predictions!$A$4:$A$303,A57)&lt;&gt;1),"",INDEX(Frozen_Predictions!$E$4:$E$303,MATCH(A57,Frozen_Predictions!$A$4:$A$303,0)))</x:f>
      </x:c>
      <x:c r="D57" t="str">
        <x:f>IF(OR(A57="",COUNTIF(Frozen_Predictions!$A$4:$A$303,A57)&lt;&gt;1),"",INDEX(Frozen_Predictions!$F$4:$F$303,MATCH(A57,Frozen_Predictions!$A$4:$A$303,0)))</x:f>
      </x:c>
      <x:c r="E57" t="str">
        <x:f>IF(OR(A57="",COUNTIF(Frozen_Predictions!$A$4:$A$303,A57)&lt;&gt;1),"",INDEX(Frozen_Predictions!$G$4:$G$303,MATCH(A57,Frozen_Predictions!$A$4:$A$303,0)))</x:f>
      </x:c>
      <x:c r="F57" t="str">
        <x:f>IF(OR(A57="",COUNTIF(Frozen_Predictions!$A$4:$A$303,A57)&lt;&gt;1),"",INDEX(Frozen_Predictions!$H$4:$H$303,MATCH(A57,Frozen_Predictions!$A$4:$A$303,0)))</x:f>
      </x:c>
      <x:c r="G57" t="str">
        <x:f>IF(OR(A57="",COUNTIF(Frozen_Predictions!$A$4:$A$303,A57)&lt;&gt;1),"",INDEX(Frozen_Predictions!$I$4:$I$303,MATCH(A57,Frozen_Predictions!$A$4:$A$303,0)))</x:f>
      </x:c>
      <x:c r="H57" t="str">
        <x:f>IF(OR(A57="",COUNTIF(Frozen_Predictions!$A$4:$A$303,A57)&lt;&gt;1),"",INDEX(Frozen_Predictions!$J$4:$J$303,MATCH(A57,Frozen_Predictions!$A$4:$A$303,0)))</x:f>
      </x:c>
      <x:c r="I57" t="str">
        <x:f>IF(OR(A57="",COUNTIF(Frozen_Predictions!$A$4:$A$303,A57)&lt;&gt;1),"",INDEX(Frozen_Predictions!$K$4:$K$303,MATCH(A57,Frozen_Predictions!$A$4:$A$303,0)))</x:f>
      </x:c>
      <x:c r="J57" s="142" t="str">
        <x:f>IF(OR(A57="",G57="",COUNT(K57:M57)&lt;3,COUNTIF($A$4:$A$303,A57)&lt;&gt;1),"",IF(IF(M57+F57&gt;0,"1",IF(M57+F57=0,"X","2"))=G57&amp;"",1,0))</x:f>
      </x:c>
      <x:c r="K57" s="143"/>
      <x:c r="L57" s="143"/>
      <x:c r="M57" s="142" t="str">
        <x:f>IF(AND(A57&lt;&gt;"",COUNT(K57:L57)=2),K57-L57,"")</x:f>
      </x:c>
      <x:c r="N57" s="142" t="str">
        <x:f>IF(J57="","",IF(M57+F57=0,"YES","NO"))</x:f>
      </x:c>
      <x:c r="O57" t="str">
        <x:f>IF(J57="","",IF(J57=1,"WIN",IF(N57="YES","Exact margin M="&amp;ABS(F57),"Direction / tail")))</x:f>
      </x:c>
      <x:c r="P57" s="141"/>
      <x:c r="Q57" s="141"/>
      <x:c r="R57" s="144" t="str">
        <x:f>IF(OR(I57="",J57=""),"",(I57-J57)^2)</x:f>
      </x:c>
      <x:c r="S57" s="144" t="str">
        <x:f>IF(OR(I57="",J57=""),"",-(J57*LN(MAX(MIN(I57,0.999999),0.000001))+(1-J57)*LN(MAX(MIN(1-I57,0.999999),0.000001))))</x:f>
      </x:c>
      <x:c r="T57" t="str">
        <x:f>IF(J57="","",INDEX(Frozen_Predictions!$M$4:$M$303,MATCH(A57,Frozen_Predictions!$A$4:$A$303,0)))</x:f>
      </x:c>
      <x:c r="U57" t="str">
        <x:f>IF(J57="","",INDEX(Frozen_Predictions!$W$4:$W$303,MATCH(A57,Frozen_Predictions!$A$4:$A$303,0)))</x:f>
      </x:c>
      <x:c r="V57" t="str">
        <x:f>IF(J57="","",INDEX(Frozen_Predictions!$X$4:$X$303,MATCH(A57,Frozen_Predictions!$A$4:$A$303,0)))</x:f>
      </x:c>
      <x:c r="W57" t="str">
        <x:f>IF(A57="","",IF(COUNTIF($A$4:$A$303,A57)&lt;&gt;1,"ID DUPLICAT",IF(COUNTIF(Frozen_Predictions!$A$4:$A$303,A57)&lt;&gt;1,"ID INEXISTENT SAU DUPLICAT ÎN FROZEN",IF(COUNT(K57:L57)&lt;2,"COMPLETEAZĂ SCORUL","VERIFICAT"))))</x:f>
      </x:c>
    </x:row>
    <x:row r="58">
      <x:c r="A58" s="141"/>
      <x:c r="B58" t="str">
        <x:f>IF(OR(A58="",COUNTIF(Frozen_Predictions!$A$4:$A$303,A58)&lt;&gt;1),"",INDEX(Frozen_Predictions!$C$4:$C$303,MATCH(A58,Frozen_Predictions!$A$4:$A$303,0)))</x:f>
      </x:c>
      <x:c r="C58" t="str">
        <x:f>IF(OR(A58="",COUNTIF(Frozen_Predictions!$A$4:$A$303,A58)&lt;&gt;1),"",INDEX(Frozen_Predictions!$E$4:$E$303,MATCH(A58,Frozen_Predictions!$A$4:$A$303,0)))</x:f>
      </x:c>
      <x:c r="D58" t="str">
        <x:f>IF(OR(A58="",COUNTIF(Frozen_Predictions!$A$4:$A$303,A58)&lt;&gt;1),"",INDEX(Frozen_Predictions!$F$4:$F$303,MATCH(A58,Frozen_Predictions!$A$4:$A$303,0)))</x:f>
      </x:c>
      <x:c r="E58" t="str">
        <x:f>IF(OR(A58="",COUNTIF(Frozen_Predictions!$A$4:$A$303,A58)&lt;&gt;1),"",INDEX(Frozen_Predictions!$G$4:$G$303,MATCH(A58,Frozen_Predictions!$A$4:$A$303,0)))</x:f>
      </x:c>
      <x:c r="F58" t="str">
        <x:f>IF(OR(A58="",COUNTIF(Frozen_Predictions!$A$4:$A$303,A58)&lt;&gt;1),"",INDEX(Frozen_Predictions!$H$4:$H$303,MATCH(A58,Frozen_Predictions!$A$4:$A$303,0)))</x:f>
      </x:c>
      <x:c r="G58" t="str">
        <x:f>IF(OR(A58="",COUNTIF(Frozen_Predictions!$A$4:$A$303,A58)&lt;&gt;1),"",INDEX(Frozen_Predictions!$I$4:$I$303,MATCH(A58,Frozen_Predictions!$A$4:$A$303,0)))</x:f>
      </x:c>
      <x:c r="H58" t="str">
        <x:f>IF(OR(A58="",COUNTIF(Frozen_Predictions!$A$4:$A$303,A58)&lt;&gt;1),"",INDEX(Frozen_Predictions!$J$4:$J$303,MATCH(A58,Frozen_Predictions!$A$4:$A$303,0)))</x:f>
      </x:c>
      <x:c r="I58" t="str">
        <x:f>IF(OR(A58="",COUNTIF(Frozen_Predictions!$A$4:$A$303,A58)&lt;&gt;1),"",INDEX(Frozen_Predictions!$K$4:$K$303,MATCH(A58,Frozen_Predictions!$A$4:$A$303,0)))</x:f>
      </x:c>
      <x:c r="J58" s="142" t="str">
        <x:f>IF(OR(A58="",G58="",COUNT(K58:M58)&lt;3,COUNTIF($A$4:$A$303,A58)&lt;&gt;1),"",IF(IF(M58+F58&gt;0,"1",IF(M58+F58=0,"X","2"))=G58&amp;"",1,0))</x:f>
      </x:c>
      <x:c r="K58" s="143"/>
      <x:c r="L58" s="143"/>
      <x:c r="M58" s="142" t="str">
        <x:f>IF(AND(A58&lt;&gt;"",COUNT(K58:L58)=2),K58-L58,"")</x:f>
      </x:c>
      <x:c r="N58" s="142" t="str">
        <x:f>IF(J58="","",IF(M58+F58=0,"YES","NO"))</x:f>
      </x:c>
      <x:c r="O58" t="str">
        <x:f>IF(J58="","",IF(J58=1,"WIN",IF(N58="YES","Exact margin M="&amp;ABS(F58),"Direction / tail")))</x:f>
      </x:c>
      <x:c r="P58" s="141"/>
      <x:c r="Q58" s="141"/>
      <x:c r="R58" s="144" t="str">
        <x:f>IF(OR(I58="",J58=""),"",(I58-J58)^2)</x:f>
      </x:c>
      <x:c r="S58" s="144" t="str">
        <x:f>IF(OR(I58="",J58=""),"",-(J58*LN(MAX(MIN(I58,0.999999),0.000001))+(1-J58)*LN(MAX(MIN(1-I58,0.999999),0.000001))))</x:f>
      </x:c>
      <x:c r="T58" t="str">
        <x:f>IF(J58="","",INDEX(Frozen_Predictions!$M$4:$M$303,MATCH(A58,Frozen_Predictions!$A$4:$A$303,0)))</x:f>
      </x:c>
      <x:c r="U58" t="str">
        <x:f>IF(J58="","",INDEX(Frozen_Predictions!$W$4:$W$303,MATCH(A58,Frozen_Predictions!$A$4:$A$303,0)))</x:f>
      </x:c>
      <x:c r="V58" t="str">
        <x:f>IF(J58="","",INDEX(Frozen_Predictions!$X$4:$X$303,MATCH(A58,Frozen_Predictions!$A$4:$A$303,0)))</x:f>
      </x:c>
      <x:c r="W58" t="str">
        <x:f>IF(A58="","",IF(COUNTIF($A$4:$A$303,A58)&lt;&gt;1,"ID DUPLICAT",IF(COUNTIF(Frozen_Predictions!$A$4:$A$303,A58)&lt;&gt;1,"ID INEXISTENT SAU DUPLICAT ÎN FROZEN",IF(COUNT(K58:L58)&lt;2,"COMPLETEAZĂ SCORUL","VERIFICAT"))))</x:f>
      </x:c>
    </x:row>
    <x:row r="59">
      <x:c r="A59" s="141"/>
      <x:c r="B59" t="str">
        <x:f>IF(OR(A59="",COUNTIF(Frozen_Predictions!$A$4:$A$303,A59)&lt;&gt;1),"",INDEX(Frozen_Predictions!$C$4:$C$303,MATCH(A59,Frozen_Predictions!$A$4:$A$303,0)))</x:f>
      </x:c>
      <x:c r="C59" t="str">
        <x:f>IF(OR(A59="",COUNTIF(Frozen_Predictions!$A$4:$A$303,A59)&lt;&gt;1),"",INDEX(Frozen_Predictions!$E$4:$E$303,MATCH(A59,Frozen_Predictions!$A$4:$A$303,0)))</x:f>
      </x:c>
      <x:c r="D59" t="str">
        <x:f>IF(OR(A59="",COUNTIF(Frozen_Predictions!$A$4:$A$303,A59)&lt;&gt;1),"",INDEX(Frozen_Predictions!$F$4:$F$303,MATCH(A59,Frozen_Predictions!$A$4:$A$303,0)))</x:f>
      </x:c>
      <x:c r="E59" t="str">
        <x:f>IF(OR(A59="",COUNTIF(Frozen_Predictions!$A$4:$A$303,A59)&lt;&gt;1),"",INDEX(Frozen_Predictions!$G$4:$G$303,MATCH(A59,Frozen_Predictions!$A$4:$A$303,0)))</x:f>
      </x:c>
      <x:c r="F59" t="str">
        <x:f>IF(OR(A59="",COUNTIF(Frozen_Predictions!$A$4:$A$303,A59)&lt;&gt;1),"",INDEX(Frozen_Predictions!$H$4:$H$303,MATCH(A59,Frozen_Predictions!$A$4:$A$303,0)))</x:f>
      </x:c>
      <x:c r="G59" t="str">
        <x:f>IF(OR(A59="",COUNTIF(Frozen_Predictions!$A$4:$A$303,A59)&lt;&gt;1),"",INDEX(Frozen_Predictions!$I$4:$I$303,MATCH(A59,Frozen_Predictions!$A$4:$A$303,0)))</x:f>
      </x:c>
      <x:c r="H59" t="str">
        <x:f>IF(OR(A59="",COUNTIF(Frozen_Predictions!$A$4:$A$303,A59)&lt;&gt;1),"",INDEX(Frozen_Predictions!$J$4:$J$303,MATCH(A59,Frozen_Predictions!$A$4:$A$303,0)))</x:f>
      </x:c>
      <x:c r="I59" t="str">
        <x:f>IF(OR(A59="",COUNTIF(Frozen_Predictions!$A$4:$A$303,A59)&lt;&gt;1),"",INDEX(Frozen_Predictions!$K$4:$K$303,MATCH(A59,Frozen_Predictions!$A$4:$A$303,0)))</x:f>
      </x:c>
      <x:c r="J59" s="142" t="str">
        <x:f>IF(OR(A59="",G59="",COUNT(K59:M59)&lt;3,COUNTIF($A$4:$A$303,A59)&lt;&gt;1),"",IF(IF(M59+F59&gt;0,"1",IF(M59+F59=0,"X","2"))=G59&amp;"",1,0))</x:f>
      </x:c>
      <x:c r="K59" s="143"/>
      <x:c r="L59" s="143"/>
      <x:c r="M59" s="142" t="str">
        <x:f>IF(AND(A59&lt;&gt;"",COUNT(K59:L59)=2),K59-L59,"")</x:f>
      </x:c>
      <x:c r="N59" s="142" t="str">
        <x:f>IF(J59="","",IF(M59+F59=0,"YES","NO"))</x:f>
      </x:c>
      <x:c r="O59" t="str">
        <x:f>IF(J59="","",IF(J59=1,"WIN",IF(N59="YES","Exact margin M="&amp;ABS(F59),"Direction / tail")))</x:f>
      </x:c>
      <x:c r="P59" s="141"/>
      <x:c r="Q59" s="141"/>
      <x:c r="R59" s="144" t="str">
        <x:f>IF(OR(I59="",J59=""),"",(I59-J59)^2)</x:f>
      </x:c>
      <x:c r="S59" s="144" t="str">
        <x:f>IF(OR(I59="",J59=""),"",-(J59*LN(MAX(MIN(I59,0.999999),0.000001))+(1-J59)*LN(MAX(MIN(1-I59,0.999999),0.000001))))</x:f>
      </x:c>
      <x:c r="T59" t="str">
        <x:f>IF(J59="","",INDEX(Frozen_Predictions!$M$4:$M$303,MATCH(A59,Frozen_Predictions!$A$4:$A$303,0)))</x:f>
      </x:c>
      <x:c r="U59" t="str">
        <x:f>IF(J59="","",INDEX(Frozen_Predictions!$W$4:$W$303,MATCH(A59,Frozen_Predictions!$A$4:$A$303,0)))</x:f>
      </x:c>
      <x:c r="V59" t="str">
        <x:f>IF(J59="","",INDEX(Frozen_Predictions!$X$4:$X$303,MATCH(A59,Frozen_Predictions!$A$4:$A$303,0)))</x:f>
      </x:c>
      <x:c r="W59" t="str">
        <x:f>IF(A59="","",IF(COUNTIF($A$4:$A$303,A59)&lt;&gt;1,"ID DUPLICAT",IF(COUNTIF(Frozen_Predictions!$A$4:$A$303,A59)&lt;&gt;1,"ID INEXISTENT SAU DUPLICAT ÎN FROZEN",IF(COUNT(K59:L59)&lt;2,"COMPLETEAZĂ SCORUL","VERIFICAT"))))</x:f>
      </x:c>
    </x:row>
    <x:row r="60">
      <x:c r="A60" s="141"/>
      <x:c r="B60" t="str">
        <x:f>IF(OR(A60="",COUNTIF(Frozen_Predictions!$A$4:$A$303,A60)&lt;&gt;1),"",INDEX(Frozen_Predictions!$C$4:$C$303,MATCH(A60,Frozen_Predictions!$A$4:$A$303,0)))</x:f>
      </x:c>
      <x:c r="C60" t="str">
        <x:f>IF(OR(A60="",COUNTIF(Frozen_Predictions!$A$4:$A$303,A60)&lt;&gt;1),"",INDEX(Frozen_Predictions!$E$4:$E$303,MATCH(A60,Frozen_Predictions!$A$4:$A$303,0)))</x:f>
      </x:c>
      <x:c r="D60" t="str">
        <x:f>IF(OR(A60="",COUNTIF(Frozen_Predictions!$A$4:$A$303,A60)&lt;&gt;1),"",INDEX(Frozen_Predictions!$F$4:$F$303,MATCH(A60,Frozen_Predictions!$A$4:$A$303,0)))</x:f>
      </x:c>
      <x:c r="E60" t="str">
        <x:f>IF(OR(A60="",COUNTIF(Frozen_Predictions!$A$4:$A$303,A60)&lt;&gt;1),"",INDEX(Frozen_Predictions!$G$4:$G$303,MATCH(A60,Frozen_Predictions!$A$4:$A$303,0)))</x:f>
      </x:c>
      <x:c r="F60" t="str">
        <x:f>IF(OR(A60="",COUNTIF(Frozen_Predictions!$A$4:$A$303,A60)&lt;&gt;1),"",INDEX(Frozen_Predictions!$H$4:$H$303,MATCH(A60,Frozen_Predictions!$A$4:$A$303,0)))</x:f>
      </x:c>
      <x:c r="G60" t="str">
        <x:f>IF(OR(A60="",COUNTIF(Frozen_Predictions!$A$4:$A$303,A60)&lt;&gt;1),"",INDEX(Frozen_Predictions!$I$4:$I$303,MATCH(A60,Frozen_Predictions!$A$4:$A$303,0)))</x:f>
      </x:c>
      <x:c r="H60" t="str">
        <x:f>IF(OR(A60="",COUNTIF(Frozen_Predictions!$A$4:$A$303,A60)&lt;&gt;1),"",INDEX(Frozen_Predictions!$J$4:$J$303,MATCH(A60,Frozen_Predictions!$A$4:$A$303,0)))</x:f>
      </x:c>
      <x:c r="I60" t="str">
        <x:f>IF(OR(A60="",COUNTIF(Frozen_Predictions!$A$4:$A$303,A60)&lt;&gt;1),"",INDEX(Frozen_Predictions!$K$4:$K$303,MATCH(A60,Frozen_Predictions!$A$4:$A$303,0)))</x:f>
      </x:c>
      <x:c r="J60" s="142" t="str">
        <x:f>IF(OR(A60="",G60="",COUNT(K60:M60)&lt;3,COUNTIF($A$4:$A$303,A60)&lt;&gt;1),"",IF(IF(M60+F60&gt;0,"1",IF(M60+F60=0,"X","2"))=G60&amp;"",1,0))</x:f>
      </x:c>
      <x:c r="K60" s="143"/>
      <x:c r="L60" s="143"/>
      <x:c r="M60" s="142" t="str">
        <x:f>IF(AND(A60&lt;&gt;"",COUNT(K60:L60)=2),K60-L60,"")</x:f>
      </x:c>
      <x:c r="N60" s="142" t="str">
        <x:f>IF(J60="","",IF(M60+F60=0,"YES","NO"))</x:f>
      </x:c>
      <x:c r="O60" t="str">
        <x:f>IF(J60="","",IF(J60=1,"WIN",IF(N60="YES","Exact margin M="&amp;ABS(F60),"Direction / tail")))</x:f>
      </x:c>
      <x:c r="P60" s="141"/>
      <x:c r="Q60" s="141"/>
      <x:c r="R60" s="144" t="str">
        <x:f>IF(OR(I60="",J60=""),"",(I60-J60)^2)</x:f>
      </x:c>
      <x:c r="S60" s="144" t="str">
        <x:f>IF(OR(I60="",J60=""),"",-(J60*LN(MAX(MIN(I60,0.999999),0.000001))+(1-J60)*LN(MAX(MIN(1-I60,0.999999),0.000001))))</x:f>
      </x:c>
      <x:c r="T60" t="str">
        <x:f>IF(J60="","",INDEX(Frozen_Predictions!$M$4:$M$303,MATCH(A60,Frozen_Predictions!$A$4:$A$303,0)))</x:f>
      </x:c>
      <x:c r="U60" t="str">
        <x:f>IF(J60="","",INDEX(Frozen_Predictions!$W$4:$W$303,MATCH(A60,Frozen_Predictions!$A$4:$A$303,0)))</x:f>
      </x:c>
      <x:c r="V60" t="str">
        <x:f>IF(J60="","",INDEX(Frozen_Predictions!$X$4:$X$303,MATCH(A60,Frozen_Predictions!$A$4:$A$303,0)))</x:f>
      </x:c>
      <x:c r="W60" t="str">
        <x:f>IF(A60="","",IF(COUNTIF($A$4:$A$303,A60)&lt;&gt;1,"ID DUPLICAT",IF(COUNTIF(Frozen_Predictions!$A$4:$A$303,A60)&lt;&gt;1,"ID INEXISTENT SAU DUPLICAT ÎN FROZEN",IF(COUNT(K60:L60)&lt;2,"COMPLETEAZĂ SCORUL","VERIFICAT"))))</x:f>
      </x:c>
    </x:row>
    <x:row r="61">
      <x:c r="A61" s="141"/>
      <x:c r="B61" t="str">
        <x:f>IF(OR(A61="",COUNTIF(Frozen_Predictions!$A$4:$A$303,A61)&lt;&gt;1),"",INDEX(Frozen_Predictions!$C$4:$C$303,MATCH(A61,Frozen_Predictions!$A$4:$A$303,0)))</x:f>
      </x:c>
      <x:c r="C61" t="str">
        <x:f>IF(OR(A61="",COUNTIF(Frozen_Predictions!$A$4:$A$303,A61)&lt;&gt;1),"",INDEX(Frozen_Predictions!$E$4:$E$303,MATCH(A61,Frozen_Predictions!$A$4:$A$303,0)))</x:f>
      </x:c>
      <x:c r="D61" t="str">
        <x:f>IF(OR(A61="",COUNTIF(Frozen_Predictions!$A$4:$A$303,A61)&lt;&gt;1),"",INDEX(Frozen_Predictions!$F$4:$F$303,MATCH(A61,Frozen_Predictions!$A$4:$A$303,0)))</x:f>
      </x:c>
      <x:c r="E61" t="str">
        <x:f>IF(OR(A61="",COUNTIF(Frozen_Predictions!$A$4:$A$303,A61)&lt;&gt;1),"",INDEX(Frozen_Predictions!$G$4:$G$303,MATCH(A61,Frozen_Predictions!$A$4:$A$303,0)))</x:f>
      </x:c>
      <x:c r="F61" t="str">
        <x:f>IF(OR(A61="",COUNTIF(Frozen_Predictions!$A$4:$A$303,A61)&lt;&gt;1),"",INDEX(Frozen_Predictions!$H$4:$H$303,MATCH(A61,Frozen_Predictions!$A$4:$A$303,0)))</x:f>
      </x:c>
      <x:c r="G61" t="str">
        <x:f>IF(OR(A61="",COUNTIF(Frozen_Predictions!$A$4:$A$303,A61)&lt;&gt;1),"",INDEX(Frozen_Predictions!$I$4:$I$303,MATCH(A61,Frozen_Predictions!$A$4:$A$303,0)))</x:f>
      </x:c>
      <x:c r="H61" t="str">
        <x:f>IF(OR(A61="",COUNTIF(Frozen_Predictions!$A$4:$A$303,A61)&lt;&gt;1),"",INDEX(Frozen_Predictions!$J$4:$J$303,MATCH(A61,Frozen_Predictions!$A$4:$A$303,0)))</x:f>
      </x:c>
      <x:c r="I61" t="str">
        <x:f>IF(OR(A61="",COUNTIF(Frozen_Predictions!$A$4:$A$303,A61)&lt;&gt;1),"",INDEX(Frozen_Predictions!$K$4:$K$303,MATCH(A61,Frozen_Predictions!$A$4:$A$303,0)))</x:f>
      </x:c>
      <x:c r="J61" s="142" t="str">
        <x:f>IF(OR(A61="",G61="",COUNT(K61:M61)&lt;3,COUNTIF($A$4:$A$303,A61)&lt;&gt;1),"",IF(IF(M61+F61&gt;0,"1",IF(M61+F61=0,"X","2"))=G61&amp;"",1,0))</x:f>
      </x:c>
      <x:c r="K61" s="143"/>
      <x:c r="L61" s="143"/>
      <x:c r="M61" s="142" t="str">
        <x:f>IF(AND(A61&lt;&gt;"",COUNT(K61:L61)=2),K61-L61,"")</x:f>
      </x:c>
      <x:c r="N61" s="142" t="str">
        <x:f>IF(J61="","",IF(M61+F61=0,"YES","NO"))</x:f>
      </x:c>
      <x:c r="O61" t="str">
        <x:f>IF(J61="","",IF(J61=1,"WIN",IF(N61="YES","Exact margin M="&amp;ABS(F61),"Direction / tail")))</x:f>
      </x:c>
      <x:c r="P61" s="141"/>
      <x:c r="Q61" s="141"/>
      <x:c r="R61" s="144" t="str">
        <x:f>IF(OR(I61="",J61=""),"",(I61-J61)^2)</x:f>
      </x:c>
      <x:c r="S61" s="144" t="str">
        <x:f>IF(OR(I61="",J61=""),"",-(J61*LN(MAX(MIN(I61,0.999999),0.000001))+(1-J61)*LN(MAX(MIN(1-I61,0.999999),0.000001))))</x:f>
      </x:c>
      <x:c r="T61" t="str">
        <x:f>IF(J61="","",INDEX(Frozen_Predictions!$M$4:$M$303,MATCH(A61,Frozen_Predictions!$A$4:$A$303,0)))</x:f>
      </x:c>
      <x:c r="U61" t="str">
        <x:f>IF(J61="","",INDEX(Frozen_Predictions!$W$4:$W$303,MATCH(A61,Frozen_Predictions!$A$4:$A$303,0)))</x:f>
      </x:c>
      <x:c r="V61" t="str">
        <x:f>IF(J61="","",INDEX(Frozen_Predictions!$X$4:$X$303,MATCH(A61,Frozen_Predictions!$A$4:$A$303,0)))</x:f>
      </x:c>
      <x:c r="W61" t="str">
        <x:f>IF(A61="","",IF(COUNTIF($A$4:$A$303,A61)&lt;&gt;1,"ID DUPLICAT",IF(COUNTIF(Frozen_Predictions!$A$4:$A$303,A61)&lt;&gt;1,"ID INEXISTENT SAU DUPLICAT ÎN FROZEN",IF(COUNT(K61:L61)&lt;2,"COMPLETEAZĂ SCORUL","VERIFICAT"))))</x:f>
      </x:c>
    </x:row>
    <x:row r="62">
      <x:c r="A62" s="141"/>
      <x:c r="B62" t="str">
        <x:f>IF(OR(A62="",COUNTIF(Frozen_Predictions!$A$4:$A$303,A62)&lt;&gt;1),"",INDEX(Frozen_Predictions!$C$4:$C$303,MATCH(A62,Frozen_Predictions!$A$4:$A$303,0)))</x:f>
      </x:c>
      <x:c r="C62" t="str">
        <x:f>IF(OR(A62="",COUNTIF(Frozen_Predictions!$A$4:$A$303,A62)&lt;&gt;1),"",INDEX(Frozen_Predictions!$E$4:$E$303,MATCH(A62,Frozen_Predictions!$A$4:$A$303,0)))</x:f>
      </x:c>
      <x:c r="D62" t="str">
        <x:f>IF(OR(A62="",COUNTIF(Frozen_Predictions!$A$4:$A$303,A62)&lt;&gt;1),"",INDEX(Frozen_Predictions!$F$4:$F$303,MATCH(A62,Frozen_Predictions!$A$4:$A$303,0)))</x:f>
      </x:c>
      <x:c r="E62" t="str">
        <x:f>IF(OR(A62="",COUNTIF(Frozen_Predictions!$A$4:$A$303,A62)&lt;&gt;1),"",INDEX(Frozen_Predictions!$G$4:$G$303,MATCH(A62,Frozen_Predictions!$A$4:$A$303,0)))</x:f>
      </x:c>
      <x:c r="F62" t="str">
        <x:f>IF(OR(A62="",COUNTIF(Frozen_Predictions!$A$4:$A$303,A62)&lt;&gt;1),"",INDEX(Frozen_Predictions!$H$4:$H$303,MATCH(A62,Frozen_Predictions!$A$4:$A$303,0)))</x:f>
      </x:c>
      <x:c r="G62" t="str">
        <x:f>IF(OR(A62="",COUNTIF(Frozen_Predictions!$A$4:$A$303,A62)&lt;&gt;1),"",INDEX(Frozen_Predictions!$I$4:$I$303,MATCH(A62,Frozen_Predictions!$A$4:$A$303,0)))</x:f>
      </x:c>
      <x:c r="H62" t="str">
        <x:f>IF(OR(A62="",COUNTIF(Frozen_Predictions!$A$4:$A$303,A62)&lt;&gt;1),"",INDEX(Frozen_Predictions!$J$4:$J$303,MATCH(A62,Frozen_Predictions!$A$4:$A$303,0)))</x:f>
      </x:c>
      <x:c r="I62" t="str">
        <x:f>IF(OR(A62="",COUNTIF(Frozen_Predictions!$A$4:$A$303,A62)&lt;&gt;1),"",INDEX(Frozen_Predictions!$K$4:$K$303,MATCH(A62,Frozen_Predictions!$A$4:$A$303,0)))</x:f>
      </x:c>
      <x:c r="J62" s="142" t="str">
        <x:f>IF(OR(A62="",G62="",COUNT(K62:M62)&lt;3,COUNTIF($A$4:$A$303,A62)&lt;&gt;1),"",IF(IF(M62+F62&gt;0,"1",IF(M62+F62=0,"X","2"))=G62&amp;"",1,0))</x:f>
      </x:c>
      <x:c r="K62" s="143"/>
      <x:c r="L62" s="143"/>
      <x:c r="M62" s="142" t="str">
        <x:f>IF(AND(A62&lt;&gt;"",COUNT(K62:L62)=2),K62-L62,"")</x:f>
      </x:c>
      <x:c r="N62" s="142" t="str">
        <x:f>IF(J62="","",IF(M62+F62=0,"YES","NO"))</x:f>
      </x:c>
      <x:c r="O62" t="str">
        <x:f>IF(J62="","",IF(J62=1,"WIN",IF(N62="YES","Exact margin M="&amp;ABS(F62),"Direction / tail")))</x:f>
      </x:c>
      <x:c r="P62" s="141"/>
      <x:c r="Q62" s="141"/>
      <x:c r="R62" s="144" t="str">
        <x:f>IF(OR(I62="",J62=""),"",(I62-J62)^2)</x:f>
      </x:c>
      <x:c r="S62" s="144" t="str">
        <x:f>IF(OR(I62="",J62=""),"",-(J62*LN(MAX(MIN(I62,0.999999),0.000001))+(1-J62)*LN(MAX(MIN(1-I62,0.999999),0.000001))))</x:f>
      </x:c>
      <x:c r="T62" t="str">
        <x:f>IF(J62="","",INDEX(Frozen_Predictions!$M$4:$M$303,MATCH(A62,Frozen_Predictions!$A$4:$A$303,0)))</x:f>
      </x:c>
      <x:c r="U62" t="str">
        <x:f>IF(J62="","",INDEX(Frozen_Predictions!$W$4:$W$303,MATCH(A62,Frozen_Predictions!$A$4:$A$303,0)))</x:f>
      </x:c>
      <x:c r="V62" t="str">
        <x:f>IF(J62="","",INDEX(Frozen_Predictions!$X$4:$X$303,MATCH(A62,Frozen_Predictions!$A$4:$A$303,0)))</x:f>
      </x:c>
      <x:c r="W62" t="str">
        <x:f>IF(A62="","",IF(COUNTIF($A$4:$A$303,A62)&lt;&gt;1,"ID DUPLICAT",IF(COUNTIF(Frozen_Predictions!$A$4:$A$303,A62)&lt;&gt;1,"ID INEXISTENT SAU DUPLICAT ÎN FROZEN",IF(COUNT(K62:L62)&lt;2,"COMPLETEAZĂ SCORUL","VERIFICAT"))))</x:f>
      </x:c>
    </x:row>
    <x:row r="63">
      <x:c r="A63" s="141"/>
      <x:c r="B63" t="str">
        <x:f>IF(OR(A63="",COUNTIF(Frozen_Predictions!$A$4:$A$303,A63)&lt;&gt;1),"",INDEX(Frozen_Predictions!$C$4:$C$303,MATCH(A63,Frozen_Predictions!$A$4:$A$303,0)))</x:f>
      </x:c>
      <x:c r="C63" t="str">
        <x:f>IF(OR(A63="",COUNTIF(Frozen_Predictions!$A$4:$A$303,A63)&lt;&gt;1),"",INDEX(Frozen_Predictions!$E$4:$E$303,MATCH(A63,Frozen_Predictions!$A$4:$A$303,0)))</x:f>
      </x:c>
      <x:c r="D63" t="str">
        <x:f>IF(OR(A63="",COUNTIF(Frozen_Predictions!$A$4:$A$303,A63)&lt;&gt;1),"",INDEX(Frozen_Predictions!$F$4:$F$303,MATCH(A63,Frozen_Predictions!$A$4:$A$303,0)))</x:f>
      </x:c>
      <x:c r="E63" t="str">
        <x:f>IF(OR(A63="",COUNTIF(Frozen_Predictions!$A$4:$A$303,A63)&lt;&gt;1),"",INDEX(Frozen_Predictions!$G$4:$G$303,MATCH(A63,Frozen_Predictions!$A$4:$A$303,0)))</x:f>
      </x:c>
      <x:c r="F63" t="str">
        <x:f>IF(OR(A63="",COUNTIF(Frozen_Predictions!$A$4:$A$303,A63)&lt;&gt;1),"",INDEX(Frozen_Predictions!$H$4:$H$303,MATCH(A63,Frozen_Predictions!$A$4:$A$303,0)))</x:f>
      </x:c>
      <x:c r="G63" t="str">
        <x:f>IF(OR(A63="",COUNTIF(Frozen_Predictions!$A$4:$A$303,A63)&lt;&gt;1),"",INDEX(Frozen_Predictions!$I$4:$I$303,MATCH(A63,Frozen_Predictions!$A$4:$A$303,0)))</x:f>
      </x:c>
      <x:c r="H63" t="str">
        <x:f>IF(OR(A63="",COUNTIF(Frozen_Predictions!$A$4:$A$303,A63)&lt;&gt;1),"",INDEX(Frozen_Predictions!$J$4:$J$303,MATCH(A63,Frozen_Predictions!$A$4:$A$303,0)))</x:f>
      </x:c>
      <x:c r="I63" t="str">
        <x:f>IF(OR(A63="",COUNTIF(Frozen_Predictions!$A$4:$A$303,A63)&lt;&gt;1),"",INDEX(Frozen_Predictions!$K$4:$K$303,MATCH(A63,Frozen_Predictions!$A$4:$A$303,0)))</x:f>
      </x:c>
      <x:c r="J63" s="142" t="str">
        <x:f>IF(OR(A63="",G63="",COUNT(K63:M63)&lt;3,COUNTIF($A$4:$A$303,A63)&lt;&gt;1),"",IF(IF(M63+F63&gt;0,"1",IF(M63+F63=0,"X","2"))=G63&amp;"",1,0))</x:f>
      </x:c>
      <x:c r="K63" s="143"/>
      <x:c r="L63" s="143"/>
      <x:c r="M63" s="142" t="str">
        <x:f>IF(AND(A63&lt;&gt;"",COUNT(K63:L63)=2),K63-L63,"")</x:f>
      </x:c>
      <x:c r="N63" s="142" t="str">
        <x:f>IF(J63="","",IF(M63+F63=0,"YES","NO"))</x:f>
      </x:c>
      <x:c r="O63" t="str">
        <x:f>IF(J63="","",IF(J63=1,"WIN",IF(N63="YES","Exact margin M="&amp;ABS(F63),"Direction / tail")))</x:f>
      </x:c>
      <x:c r="P63" s="141"/>
      <x:c r="Q63" s="141"/>
      <x:c r="R63" s="144" t="str">
        <x:f>IF(OR(I63="",J63=""),"",(I63-J63)^2)</x:f>
      </x:c>
      <x:c r="S63" s="144" t="str">
        <x:f>IF(OR(I63="",J63=""),"",-(J63*LN(MAX(MIN(I63,0.999999),0.000001))+(1-J63)*LN(MAX(MIN(1-I63,0.999999),0.000001))))</x:f>
      </x:c>
      <x:c r="T63" t="str">
        <x:f>IF(J63="","",INDEX(Frozen_Predictions!$M$4:$M$303,MATCH(A63,Frozen_Predictions!$A$4:$A$303,0)))</x:f>
      </x:c>
      <x:c r="U63" t="str">
        <x:f>IF(J63="","",INDEX(Frozen_Predictions!$W$4:$W$303,MATCH(A63,Frozen_Predictions!$A$4:$A$303,0)))</x:f>
      </x:c>
      <x:c r="V63" t="str">
        <x:f>IF(J63="","",INDEX(Frozen_Predictions!$X$4:$X$303,MATCH(A63,Frozen_Predictions!$A$4:$A$303,0)))</x:f>
      </x:c>
      <x:c r="W63" t="str">
        <x:f>IF(A63="","",IF(COUNTIF($A$4:$A$303,A63)&lt;&gt;1,"ID DUPLICAT",IF(COUNTIF(Frozen_Predictions!$A$4:$A$303,A63)&lt;&gt;1,"ID INEXISTENT SAU DUPLICAT ÎN FROZEN",IF(COUNT(K63:L63)&lt;2,"COMPLETEAZĂ SCORUL","VERIFICAT"))))</x:f>
      </x:c>
    </x:row>
    <x:row r="64">
      <x:c r="A64" s="141"/>
      <x:c r="B64" t="str">
        <x:f>IF(OR(A64="",COUNTIF(Frozen_Predictions!$A$4:$A$303,A64)&lt;&gt;1),"",INDEX(Frozen_Predictions!$C$4:$C$303,MATCH(A64,Frozen_Predictions!$A$4:$A$303,0)))</x:f>
      </x:c>
      <x:c r="C64" t="str">
        <x:f>IF(OR(A64="",COUNTIF(Frozen_Predictions!$A$4:$A$303,A64)&lt;&gt;1),"",INDEX(Frozen_Predictions!$E$4:$E$303,MATCH(A64,Frozen_Predictions!$A$4:$A$303,0)))</x:f>
      </x:c>
      <x:c r="D64" t="str">
        <x:f>IF(OR(A64="",COUNTIF(Frozen_Predictions!$A$4:$A$303,A64)&lt;&gt;1),"",INDEX(Frozen_Predictions!$F$4:$F$303,MATCH(A64,Frozen_Predictions!$A$4:$A$303,0)))</x:f>
      </x:c>
      <x:c r="E64" t="str">
        <x:f>IF(OR(A64="",COUNTIF(Frozen_Predictions!$A$4:$A$303,A64)&lt;&gt;1),"",INDEX(Frozen_Predictions!$G$4:$G$303,MATCH(A64,Frozen_Predictions!$A$4:$A$303,0)))</x:f>
      </x:c>
      <x:c r="F64" t="str">
        <x:f>IF(OR(A64="",COUNTIF(Frozen_Predictions!$A$4:$A$303,A64)&lt;&gt;1),"",INDEX(Frozen_Predictions!$H$4:$H$303,MATCH(A64,Frozen_Predictions!$A$4:$A$303,0)))</x:f>
      </x:c>
      <x:c r="G64" t="str">
        <x:f>IF(OR(A64="",COUNTIF(Frozen_Predictions!$A$4:$A$303,A64)&lt;&gt;1),"",INDEX(Frozen_Predictions!$I$4:$I$303,MATCH(A64,Frozen_Predictions!$A$4:$A$303,0)))</x:f>
      </x:c>
      <x:c r="H64" t="str">
        <x:f>IF(OR(A64="",COUNTIF(Frozen_Predictions!$A$4:$A$303,A64)&lt;&gt;1),"",INDEX(Frozen_Predictions!$J$4:$J$303,MATCH(A64,Frozen_Predictions!$A$4:$A$303,0)))</x:f>
      </x:c>
      <x:c r="I64" t="str">
        <x:f>IF(OR(A64="",COUNTIF(Frozen_Predictions!$A$4:$A$303,A64)&lt;&gt;1),"",INDEX(Frozen_Predictions!$K$4:$K$303,MATCH(A64,Frozen_Predictions!$A$4:$A$303,0)))</x:f>
      </x:c>
      <x:c r="J64" s="142" t="str">
        <x:f>IF(OR(A64="",G64="",COUNT(K64:M64)&lt;3,COUNTIF($A$4:$A$303,A64)&lt;&gt;1),"",IF(IF(M64+F64&gt;0,"1",IF(M64+F64=0,"X","2"))=G64&amp;"",1,0))</x:f>
      </x:c>
      <x:c r="K64" s="143"/>
      <x:c r="L64" s="143"/>
      <x:c r="M64" s="142" t="str">
        <x:f>IF(AND(A64&lt;&gt;"",COUNT(K64:L64)=2),K64-L64,"")</x:f>
      </x:c>
      <x:c r="N64" s="142" t="str">
        <x:f>IF(J64="","",IF(M64+F64=0,"YES","NO"))</x:f>
      </x:c>
      <x:c r="O64" t="str">
        <x:f>IF(J64="","",IF(J64=1,"WIN",IF(N64="YES","Exact margin M="&amp;ABS(F64),"Direction / tail")))</x:f>
      </x:c>
      <x:c r="P64" s="141"/>
      <x:c r="Q64" s="141"/>
      <x:c r="R64" s="144" t="str">
        <x:f>IF(OR(I64="",J64=""),"",(I64-J64)^2)</x:f>
      </x:c>
      <x:c r="S64" s="144" t="str">
        <x:f>IF(OR(I64="",J64=""),"",-(J64*LN(MAX(MIN(I64,0.999999),0.000001))+(1-J64)*LN(MAX(MIN(1-I64,0.999999),0.000001))))</x:f>
      </x:c>
      <x:c r="T64" t="str">
        <x:f>IF(J64="","",INDEX(Frozen_Predictions!$M$4:$M$303,MATCH(A64,Frozen_Predictions!$A$4:$A$303,0)))</x:f>
      </x:c>
      <x:c r="U64" t="str">
        <x:f>IF(J64="","",INDEX(Frozen_Predictions!$W$4:$W$303,MATCH(A64,Frozen_Predictions!$A$4:$A$303,0)))</x:f>
      </x:c>
      <x:c r="V64" t="str">
        <x:f>IF(J64="","",INDEX(Frozen_Predictions!$X$4:$X$303,MATCH(A64,Frozen_Predictions!$A$4:$A$303,0)))</x:f>
      </x:c>
      <x:c r="W64" t="str">
        <x:f>IF(A64="","",IF(COUNTIF($A$4:$A$303,A64)&lt;&gt;1,"ID DUPLICAT",IF(COUNTIF(Frozen_Predictions!$A$4:$A$303,A64)&lt;&gt;1,"ID INEXISTENT SAU DUPLICAT ÎN FROZEN",IF(COUNT(K64:L64)&lt;2,"COMPLETEAZĂ SCORUL","VERIFICAT"))))</x:f>
      </x:c>
    </x:row>
    <x:row r="65">
      <x:c r="A65" s="141"/>
      <x:c r="B65" t="str">
        <x:f>IF(OR(A65="",COUNTIF(Frozen_Predictions!$A$4:$A$303,A65)&lt;&gt;1),"",INDEX(Frozen_Predictions!$C$4:$C$303,MATCH(A65,Frozen_Predictions!$A$4:$A$303,0)))</x:f>
      </x:c>
      <x:c r="C65" t="str">
        <x:f>IF(OR(A65="",COUNTIF(Frozen_Predictions!$A$4:$A$303,A65)&lt;&gt;1),"",INDEX(Frozen_Predictions!$E$4:$E$303,MATCH(A65,Frozen_Predictions!$A$4:$A$303,0)))</x:f>
      </x:c>
      <x:c r="D65" t="str">
        <x:f>IF(OR(A65="",COUNTIF(Frozen_Predictions!$A$4:$A$303,A65)&lt;&gt;1),"",INDEX(Frozen_Predictions!$F$4:$F$303,MATCH(A65,Frozen_Predictions!$A$4:$A$303,0)))</x:f>
      </x:c>
      <x:c r="E65" t="str">
        <x:f>IF(OR(A65="",COUNTIF(Frozen_Predictions!$A$4:$A$303,A65)&lt;&gt;1),"",INDEX(Frozen_Predictions!$G$4:$G$303,MATCH(A65,Frozen_Predictions!$A$4:$A$303,0)))</x:f>
      </x:c>
      <x:c r="F65" t="str">
        <x:f>IF(OR(A65="",COUNTIF(Frozen_Predictions!$A$4:$A$303,A65)&lt;&gt;1),"",INDEX(Frozen_Predictions!$H$4:$H$303,MATCH(A65,Frozen_Predictions!$A$4:$A$303,0)))</x:f>
      </x:c>
      <x:c r="G65" t="str">
        <x:f>IF(OR(A65="",COUNTIF(Frozen_Predictions!$A$4:$A$303,A65)&lt;&gt;1),"",INDEX(Frozen_Predictions!$I$4:$I$303,MATCH(A65,Frozen_Predictions!$A$4:$A$303,0)))</x:f>
      </x:c>
      <x:c r="H65" t="str">
        <x:f>IF(OR(A65="",COUNTIF(Frozen_Predictions!$A$4:$A$303,A65)&lt;&gt;1),"",INDEX(Frozen_Predictions!$J$4:$J$303,MATCH(A65,Frozen_Predictions!$A$4:$A$303,0)))</x:f>
      </x:c>
      <x:c r="I65" t="str">
        <x:f>IF(OR(A65="",COUNTIF(Frozen_Predictions!$A$4:$A$303,A65)&lt;&gt;1),"",INDEX(Frozen_Predictions!$K$4:$K$303,MATCH(A65,Frozen_Predictions!$A$4:$A$303,0)))</x:f>
      </x:c>
      <x:c r="J65" s="142" t="str">
        <x:f>IF(OR(A65="",G65="",COUNT(K65:M65)&lt;3,COUNTIF($A$4:$A$303,A65)&lt;&gt;1),"",IF(IF(M65+F65&gt;0,"1",IF(M65+F65=0,"X","2"))=G65&amp;"",1,0))</x:f>
      </x:c>
      <x:c r="K65" s="143"/>
      <x:c r="L65" s="143"/>
      <x:c r="M65" s="142" t="str">
        <x:f>IF(AND(A65&lt;&gt;"",COUNT(K65:L65)=2),K65-L65,"")</x:f>
      </x:c>
      <x:c r="N65" s="142" t="str">
        <x:f>IF(J65="","",IF(M65+F65=0,"YES","NO"))</x:f>
      </x:c>
      <x:c r="O65" t="str">
        <x:f>IF(J65="","",IF(J65=1,"WIN",IF(N65="YES","Exact margin M="&amp;ABS(F65),"Direction / tail")))</x:f>
      </x:c>
      <x:c r="P65" s="141"/>
      <x:c r="Q65" s="141"/>
      <x:c r="R65" s="144" t="str">
        <x:f>IF(OR(I65="",J65=""),"",(I65-J65)^2)</x:f>
      </x:c>
      <x:c r="S65" s="144" t="str">
        <x:f>IF(OR(I65="",J65=""),"",-(J65*LN(MAX(MIN(I65,0.999999),0.000001))+(1-J65)*LN(MAX(MIN(1-I65,0.999999),0.000001))))</x:f>
      </x:c>
      <x:c r="T65" t="str">
        <x:f>IF(J65="","",INDEX(Frozen_Predictions!$M$4:$M$303,MATCH(A65,Frozen_Predictions!$A$4:$A$303,0)))</x:f>
      </x:c>
      <x:c r="U65" t="str">
        <x:f>IF(J65="","",INDEX(Frozen_Predictions!$W$4:$W$303,MATCH(A65,Frozen_Predictions!$A$4:$A$303,0)))</x:f>
      </x:c>
      <x:c r="V65" t="str">
        <x:f>IF(J65="","",INDEX(Frozen_Predictions!$X$4:$X$303,MATCH(A65,Frozen_Predictions!$A$4:$A$303,0)))</x:f>
      </x:c>
      <x:c r="W65" t="str">
        <x:f>IF(A65="","",IF(COUNTIF($A$4:$A$303,A65)&lt;&gt;1,"ID DUPLICAT",IF(COUNTIF(Frozen_Predictions!$A$4:$A$303,A65)&lt;&gt;1,"ID INEXISTENT SAU DUPLICAT ÎN FROZEN",IF(COUNT(K65:L65)&lt;2,"COMPLETEAZĂ SCORUL","VERIFICAT"))))</x:f>
      </x:c>
    </x:row>
    <x:row r="66">
      <x:c r="A66" s="141"/>
      <x:c r="B66" t="str">
        <x:f>IF(OR(A66="",COUNTIF(Frozen_Predictions!$A$4:$A$303,A66)&lt;&gt;1),"",INDEX(Frozen_Predictions!$C$4:$C$303,MATCH(A66,Frozen_Predictions!$A$4:$A$303,0)))</x:f>
      </x:c>
      <x:c r="C66" t="str">
        <x:f>IF(OR(A66="",COUNTIF(Frozen_Predictions!$A$4:$A$303,A66)&lt;&gt;1),"",INDEX(Frozen_Predictions!$E$4:$E$303,MATCH(A66,Frozen_Predictions!$A$4:$A$303,0)))</x:f>
      </x:c>
      <x:c r="D66" t="str">
        <x:f>IF(OR(A66="",COUNTIF(Frozen_Predictions!$A$4:$A$303,A66)&lt;&gt;1),"",INDEX(Frozen_Predictions!$F$4:$F$303,MATCH(A66,Frozen_Predictions!$A$4:$A$303,0)))</x:f>
      </x:c>
      <x:c r="E66" t="str">
        <x:f>IF(OR(A66="",COUNTIF(Frozen_Predictions!$A$4:$A$303,A66)&lt;&gt;1),"",INDEX(Frozen_Predictions!$G$4:$G$303,MATCH(A66,Frozen_Predictions!$A$4:$A$303,0)))</x:f>
      </x:c>
      <x:c r="F66" t="str">
        <x:f>IF(OR(A66="",COUNTIF(Frozen_Predictions!$A$4:$A$303,A66)&lt;&gt;1),"",INDEX(Frozen_Predictions!$H$4:$H$303,MATCH(A66,Frozen_Predictions!$A$4:$A$303,0)))</x:f>
      </x:c>
      <x:c r="G66" t="str">
        <x:f>IF(OR(A66="",COUNTIF(Frozen_Predictions!$A$4:$A$303,A66)&lt;&gt;1),"",INDEX(Frozen_Predictions!$I$4:$I$303,MATCH(A66,Frozen_Predictions!$A$4:$A$303,0)))</x:f>
      </x:c>
      <x:c r="H66" t="str">
        <x:f>IF(OR(A66="",COUNTIF(Frozen_Predictions!$A$4:$A$303,A66)&lt;&gt;1),"",INDEX(Frozen_Predictions!$J$4:$J$303,MATCH(A66,Frozen_Predictions!$A$4:$A$303,0)))</x:f>
      </x:c>
      <x:c r="I66" t="str">
        <x:f>IF(OR(A66="",COUNTIF(Frozen_Predictions!$A$4:$A$303,A66)&lt;&gt;1),"",INDEX(Frozen_Predictions!$K$4:$K$303,MATCH(A66,Frozen_Predictions!$A$4:$A$303,0)))</x:f>
      </x:c>
      <x:c r="J66" s="142" t="str">
        <x:f>IF(OR(A66="",G66="",COUNT(K66:M66)&lt;3,COUNTIF($A$4:$A$303,A66)&lt;&gt;1),"",IF(IF(M66+F66&gt;0,"1",IF(M66+F66=0,"X","2"))=G66&amp;"",1,0))</x:f>
      </x:c>
      <x:c r="K66" s="143"/>
      <x:c r="L66" s="143"/>
      <x:c r="M66" s="142" t="str">
        <x:f>IF(AND(A66&lt;&gt;"",COUNT(K66:L66)=2),K66-L66,"")</x:f>
      </x:c>
      <x:c r="N66" s="142" t="str">
        <x:f>IF(J66="","",IF(M66+F66=0,"YES","NO"))</x:f>
      </x:c>
      <x:c r="O66" t="str">
        <x:f>IF(J66="","",IF(J66=1,"WIN",IF(N66="YES","Exact margin M="&amp;ABS(F66),"Direction / tail")))</x:f>
      </x:c>
      <x:c r="P66" s="141"/>
      <x:c r="Q66" s="141"/>
      <x:c r="R66" s="144" t="str">
        <x:f>IF(OR(I66="",J66=""),"",(I66-J66)^2)</x:f>
      </x:c>
      <x:c r="S66" s="144" t="str">
        <x:f>IF(OR(I66="",J66=""),"",-(J66*LN(MAX(MIN(I66,0.999999),0.000001))+(1-J66)*LN(MAX(MIN(1-I66,0.999999),0.000001))))</x:f>
      </x:c>
      <x:c r="T66" t="str">
        <x:f>IF(J66="","",INDEX(Frozen_Predictions!$M$4:$M$303,MATCH(A66,Frozen_Predictions!$A$4:$A$303,0)))</x:f>
      </x:c>
      <x:c r="U66" t="str">
        <x:f>IF(J66="","",INDEX(Frozen_Predictions!$W$4:$W$303,MATCH(A66,Frozen_Predictions!$A$4:$A$303,0)))</x:f>
      </x:c>
      <x:c r="V66" t="str">
        <x:f>IF(J66="","",INDEX(Frozen_Predictions!$X$4:$X$303,MATCH(A66,Frozen_Predictions!$A$4:$A$303,0)))</x:f>
      </x:c>
      <x:c r="W66" t="str">
        <x:f>IF(A66="","",IF(COUNTIF($A$4:$A$303,A66)&lt;&gt;1,"ID DUPLICAT",IF(COUNTIF(Frozen_Predictions!$A$4:$A$303,A66)&lt;&gt;1,"ID INEXISTENT SAU DUPLICAT ÎN FROZEN",IF(COUNT(K66:L66)&lt;2,"COMPLETEAZĂ SCORUL","VERIFICAT"))))</x:f>
      </x:c>
    </x:row>
    <x:row r="67">
      <x:c r="A67" s="141"/>
      <x:c r="B67" t="str">
        <x:f>IF(OR(A67="",COUNTIF(Frozen_Predictions!$A$4:$A$303,A67)&lt;&gt;1),"",INDEX(Frozen_Predictions!$C$4:$C$303,MATCH(A67,Frozen_Predictions!$A$4:$A$303,0)))</x:f>
      </x:c>
      <x:c r="C67" t="str">
        <x:f>IF(OR(A67="",COUNTIF(Frozen_Predictions!$A$4:$A$303,A67)&lt;&gt;1),"",INDEX(Frozen_Predictions!$E$4:$E$303,MATCH(A67,Frozen_Predictions!$A$4:$A$303,0)))</x:f>
      </x:c>
      <x:c r="D67" t="str">
        <x:f>IF(OR(A67="",COUNTIF(Frozen_Predictions!$A$4:$A$303,A67)&lt;&gt;1),"",INDEX(Frozen_Predictions!$F$4:$F$303,MATCH(A67,Frozen_Predictions!$A$4:$A$303,0)))</x:f>
      </x:c>
      <x:c r="E67" t="str">
        <x:f>IF(OR(A67="",COUNTIF(Frozen_Predictions!$A$4:$A$303,A67)&lt;&gt;1),"",INDEX(Frozen_Predictions!$G$4:$G$303,MATCH(A67,Frozen_Predictions!$A$4:$A$303,0)))</x:f>
      </x:c>
      <x:c r="F67" t="str">
        <x:f>IF(OR(A67="",COUNTIF(Frozen_Predictions!$A$4:$A$303,A67)&lt;&gt;1),"",INDEX(Frozen_Predictions!$H$4:$H$303,MATCH(A67,Frozen_Predictions!$A$4:$A$303,0)))</x:f>
      </x:c>
      <x:c r="G67" t="str">
        <x:f>IF(OR(A67="",COUNTIF(Frozen_Predictions!$A$4:$A$303,A67)&lt;&gt;1),"",INDEX(Frozen_Predictions!$I$4:$I$303,MATCH(A67,Frozen_Predictions!$A$4:$A$303,0)))</x:f>
      </x:c>
      <x:c r="H67" t="str">
        <x:f>IF(OR(A67="",COUNTIF(Frozen_Predictions!$A$4:$A$303,A67)&lt;&gt;1),"",INDEX(Frozen_Predictions!$J$4:$J$303,MATCH(A67,Frozen_Predictions!$A$4:$A$303,0)))</x:f>
      </x:c>
      <x:c r="I67" t="str">
        <x:f>IF(OR(A67="",COUNTIF(Frozen_Predictions!$A$4:$A$303,A67)&lt;&gt;1),"",INDEX(Frozen_Predictions!$K$4:$K$303,MATCH(A67,Frozen_Predictions!$A$4:$A$303,0)))</x:f>
      </x:c>
      <x:c r="J67" s="142" t="str">
        <x:f>IF(OR(A67="",G67="",COUNT(K67:M67)&lt;3,COUNTIF($A$4:$A$303,A67)&lt;&gt;1),"",IF(IF(M67+F67&gt;0,"1",IF(M67+F67=0,"X","2"))=G67&amp;"",1,0))</x:f>
      </x:c>
      <x:c r="K67" s="143"/>
      <x:c r="L67" s="143"/>
      <x:c r="M67" s="142" t="str">
        <x:f>IF(AND(A67&lt;&gt;"",COUNT(K67:L67)=2),K67-L67,"")</x:f>
      </x:c>
      <x:c r="N67" s="142" t="str">
        <x:f>IF(J67="","",IF(M67+F67=0,"YES","NO"))</x:f>
      </x:c>
      <x:c r="O67" t="str">
        <x:f>IF(J67="","",IF(J67=1,"WIN",IF(N67="YES","Exact margin M="&amp;ABS(F67),"Direction / tail")))</x:f>
      </x:c>
      <x:c r="P67" s="141"/>
      <x:c r="Q67" s="141"/>
      <x:c r="R67" s="144" t="str">
        <x:f>IF(OR(I67="",J67=""),"",(I67-J67)^2)</x:f>
      </x:c>
      <x:c r="S67" s="144" t="str">
        <x:f>IF(OR(I67="",J67=""),"",-(J67*LN(MAX(MIN(I67,0.999999),0.000001))+(1-J67)*LN(MAX(MIN(1-I67,0.999999),0.000001))))</x:f>
      </x:c>
      <x:c r="T67" t="str">
        <x:f>IF(J67="","",INDEX(Frozen_Predictions!$M$4:$M$303,MATCH(A67,Frozen_Predictions!$A$4:$A$303,0)))</x:f>
      </x:c>
      <x:c r="U67" t="str">
        <x:f>IF(J67="","",INDEX(Frozen_Predictions!$W$4:$W$303,MATCH(A67,Frozen_Predictions!$A$4:$A$303,0)))</x:f>
      </x:c>
      <x:c r="V67" t="str">
        <x:f>IF(J67="","",INDEX(Frozen_Predictions!$X$4:$X$303,MATCH(A67,Frozen_Predictions!$A$4:$A$303,0)))</x:f>
      </x:c>
      <x:c r="W67" t="str">
        <x:f>IF(A67="","",IF(COUNTIF($A$4:$A$303,A67)&lt;&gt;1,"ID DUPLICAT",IF(COUNTIF(Frozen_Predictions!$A$4:$A$303,A67)&lt;&gt;1,"ID INEXISTENT SAU DUPLICAT ÎN FROZEN",IF(COUNT(K67:L67)&lt;2,"COMPLETEAZĂ SCORUL","VERIFICAT"))))</x:f>
      </x:c>
    </x:row>
    <x:row r="68">
      <x:c r="A68" s="141"/>
      <x:c r="B68" t="str">
        <x:f>IF(OR(A68="",COUNTIF(Frozen_Predictions!$A$4:$A$303,A68)&lt;&gt;1),"",INDEX(Frozen_Predictions!$C$4:$C$303,MATCH(A68,Frozen_Predictions!$A$4:$A$303,0)))</x:f>
      </x:c>
      <x:c r="C68" t="str">
        <x:f>IF(OR(A68="",COUNTIF(Frozen_Predictions!$A$4:$A$303,A68)&lt;&gt;1),"",INDEX(Frozen_Predictions!$E$4:$E$303,MATCH(A68,Frozen_Predictions!$A$4:$A$303,0)))</x:f>
      </x:c>
      <x:c r="D68" t="str">
        <x:f>IF(OR(A68="",COUNTIF(Frozen_Predictions!$A$4:$A$303,A68)&lt;&gt;1),"",INDEX(Frozen_Predictions!$F$4:$F$303,MATCH(A68,Frozen_Predictions!$A$4:$A$303,0)))</x:f>
      </x:c>
      <x:c r="E68" t="str">
        <x:f>IF(OR(A68="",COUNTIF(Frozen_Predictions!$A$4:$A$303,A68)&lt;&gt;1),"",INDEX(Frozen_Predictions!$G$4:$G$303,MATCH(A68,Frozen_Predictions!$A$4:$A$303,0)))</x:f>
      </x:c>
      <x:c r="F68" t="str">
        <x:f>IF(OR(A68="",COUNTIF(Frozen_Predictions!$A$4:$A$303,A68)&lt;&gt;1),"",INDEX(Frozen_Predictions!$H$4:$H$303,MATCH(A68,Frozen_Predictions!$A$4:$A$303,0)))</x:f>
      </x:c>
      <x:c r="G68" t="str">
        <x:f>IF(OR(A68="",COUNTIF(Frozen_Predictions!$A$4:$A$303,A68)&lt;&gt;1),"",INDEX(Frozen_Predictions!$I$4:$I$303,MATCH(A68,Frozen_Predictions!$A$4:$A$303,0)))</x:f>
      </x:c>
      <x:c r="H68" t="str">
        <x:f>IF(OR(A68="",COUNTIF(Frozen_Predictions!$A$4:$A$303,A68)&lt;&gt;1),"",INDEX(Frozen_Predictions!$J$4:$J$303,MATCH(A68,Frozen_Predictions!$A$4:$A$303,0)))</x:f>
      </x:c>
      <x:c r="I68" t="str">
        <x:f>IF(OR(A68="",COUNTIF(Frozen_Predictions!$A$4:$A$303,A68)&lt;&gt;1),"",INDEX(Frozen_Predictions!$K$4:$K$303,MATCH(A68,Frozen_Predictions!$A$4:$A$303,0)))</x:f>
      </x:c>
      <x:c r="J68" s="142" t="str">
        <x:f>IF(OR(A68="",G68="",COUNT(K68:M68)&lt;3,COUNTIF($A$4:$A$303,A68)&lt;&gt;1),"",IF(IF(M68+F68&gt;0,"1",IF(M68+F68=0,"X","2"))=G68&amp;"",1,0))</x:f>
      </x:c>
      <x:c r="K68" s="143"/>
      <x:c r="L68" s="143"/>
      <x:c r="M68" s="142" t="str">
        <x:f>IF(AND(A68&lt;&gt;"",COUNT(K68:L68)=2),K68-L68,"")</x:f>
      </x:c>
      <x:c r="N68" s="142" t="str">
        <x:f>IF(J68="","",IF(M68+F68=0,"YES","NO"))</x:f>
      </x:c>
      <x:c r="O68" t="str">
        <x:f>IF(J68="","",IF(J68=1,"WIN",IF(N68="YES","Exact margin M="&amp;ABS(F68),"Direction / tail")))</x:f>
      </x:c>
      <x:c r="P68" s="141"/>
      <x:c r="Q68" s="141"/>
      <x:c r="R68" s="144" t="str">
        <x:f>IF(OR(I68="",J68=""),"",(I68-J68)^2)</x:f>
      </x:c>
      <x:c r="S68" s="144" t="str">
        <x:f>IF(OR(I68="",J68=""),"",-(J68*LN(MAX(MIN(I68,0.999999),0.000001))+(1-J68)*LN(MAX(MIN(1-I68,0.999999),0.000001))))</x:f>
      </x:c>
      <x:c r="T68" t="str">
        <x:f>IF(J68="","",INDEX(Frozen_Predictions!$M$4:$M$303,MATCH(A68,Frozen_Predictions!$A$4:$A$303,0)))</x:f>
      </x:c>
      <x:c r="U68" t="str">
        <x:f>IF(J68="","",INDEX(Frozen_Predictions!$W$4:$W$303,MATCH(A68,Frozen_Predictions!$A$4:$A$303,0)))</x:f>
      </x:c>
      <x:c r="V68" t="str">
        <x:f>IF(J68="","",INDEX(Frozen_Predictions!$X$4:$X$303,MATCH(A68,Frozen_Predictions!$A$4:$A$303,0)))</x:f>
      </x:c>
      <x:c r="W68" t="str">
        <x:f>IF(A68="","",IF(COUNTIF($A$4:$A$303,A68)&lt;&gt;1,"ID DUPLICAT",IF(COUNTIF(Frozen_Predictions!$A$4:$A$303,A68)&lt;&gt;1,"ID INEXISTENT SAU DUPLICAT ÎN FROZEN",IF(COUNT(K68:L68)&lt;2,"COMPLETEAZĂ SCORUL","VERIFICAT"))))</x:f>
      </x:c>
    </x:row>
    <x:row r="69">
      <x:c r="A69" s="141"/>
      <x:c r="B69" t="str">
        <x:f>IF(OR(A69="",COUNTIF(Frozen_Predictions!$A$4:$A$303,A69)&lt;&gt;1),"",INDEX(Frozen_Predictions!$C$4:$C$303,MATCH(A69,Frozen_Predictions!$A$4:$A$303,0)))</x:f>
      </x:c>
      <x:c r="C69" t="str">
        <x:f>IF(OR(A69="",COUNTIF(Frozen_Predictions!$A$4:$A$303,A69)&lt;&gt;1),"",INDEX(Frozen_Predictions!$E$4:$E$303,MATCH(A69,Frozen_Predictions!$A$4:$A$303,0)))</x:f>
      </x:c>
      <x:c r="D69" t="str">
        <x:f>IF(OR(A69="",COUNTIF(Frozen_Predictions!$A$4:$A$303,A69)&lt;&gt;1),"",INDEX(Frozen_Predictions!$F$4:$F$303,MATCH(A69,Frozen_Predictions!$A$4:$A$303,0)))</x:f>
      </x:c>
      <x:c r="E69" t="str">
        <x:f>IF(OR(A69="",COUNTIF(Frozen_Predictions!$A$4:$A$303,A69)&lt;&gt;1),"",INDEX(Frozen_Predictions!$G$4:$G$303,MATCH(A69,Frozen_Predictions!$A$4:$A$303,0)))</x:f>
      </x:c>
      <x:c r="F69" t="str">
        <x:f>IF(OR(A69="",COUNTIF(Frozen_Predictions!$A$4:$A$303,A69)&lt;&gt;1),"",INDEX(Frozen_Predictions!$H$4:$H$303,MATCH(A69,Frozen_Predictions!$A$4:$A$303,0)))</x:f>
      </x:c>
      <x:c r="G69" t="str">
        <x:f>IF(OR(A69="",COUNTIF(Frozen_Predictions!$A$4:$A$303,A69)&lt;&gt;1),"",INDEX(Frozen_Predictions!$I$4:$I$303,MATCH(A69,Frozen_Predictions!$A$4:$A$303,0)))</x:f>
      </x:c>
      <x:c r="H69" t="str">
        <x:f>IF(OR(A69="",COUNTIF(Frozen_Predictions!$A$4:$A$303,A69)&lt;&gt;1),"",INDEX(Frozen_Predictions!$J$4:$J$303,MATCH(A69,Frozen_Predictions!$A$4:$A$303,0)))</x:f>
      </x:c>
      <x:c r="I69" t="str">
        <x:f>IF(OR(A69="",COUNTIF(Frozen_Predictions!$A$4:$A$303,A69)&lt;&gt;1),"",INDEX(Frozen_Predictions!$K$4:$K$303,MATCH(A69,Frozen_Predictions!$A$4:$A$303,0)))</x:f>
      </x:c>
      <x:c r="J69" s="142" t="str">
        <x:f>IF(OR(A69="",G69="",COUNT(K69:M69)&lt;3,COUNTIF($A$4:$A$303,A69)&lt;&gt;1),"",IF(IF(M69+F69&gt;0,"1",IF(M69+F69=0,"X","2"))=G69&amp;"",1,0))</x:f>
      </x:c>
      <x:c r="K69" s="143"/>
      <x:c r="L69" s="143"/>
      <x:c r="M69" s="142" t="str">
        <x:f>IF(AND(A69&lt;&gt;"",COUNT(K69:L69)=2),K69-L69,"")</x:f>
      </x:c>
      <x:c r="N69" s="142" t="str">
        <x:f>IF(J69="","",IF(M69+F69=0,"YES","NO"))</x:f>
      </x:c>
      <x:c r="O69" t="str">
        <x:f>IF(J69="","",IF(J69=1,"WIN",IF(N69="YES","Exact margin M="&amp;ABS(F69),"Direction / tail")))</x:f>
      </x:c>
      <x:c r="P69" s="141"/>
      <x:c r="Q69" s="141"/>
      <x:c r="R69" s="144" t="str">
        <x:f>IF(OR(I69="",J69=""),"",(I69-J69)^2)</x:f>
      </x:c>
      <x:c r="S69" s="144" t="str">
        <x:f>IF(OR(I69="",J69=""),"",-(J69*LN(MAX(MIN(I69,0.999999),0.000001))+(1-J69)*LN(MAX(MIN(1-I69,0.999999),0.000001))))</x:f>
      </x:c>
      <x:c r="T69" t="str">
        <x:f>IF(J69="","",INDEX(Frozen_Predictions!$M$4:$M$303,MATCH(A69,Frozen_Predictions!$A$4:$A$303,0)))</x:f>
      </x:c>
      <x:c r="U69" t="str">
        <x:f>IF(J69="","",INDEX(Frozen_Predictions!$W$4:$W$303,MATCH(A69,Frozen_Predictions!$A$4:$A$303,0)))</x:f>
      </x:c>
      <x:c r="V69" t="str">
        <x:f>IF(J69="","",INDEX(Frozen_Predictions!$X$4:$X$303,MATCH(A69,Frozen_Predictions!$A$4:$A$303,0)))</x:f>
      </x:c>
      <x:c r="W69" t="str">
        <x:f>IF(A69="","",IF(COUNTIF($A$4:$A$303,A69)&lt;&gt;1,"ID DUPLICAT",IF(COUNTIF(Frozen_Predictions!$A$4:$A$303,A69)&lt;&gt;1,"ID INEXISTENT SAU DUPLICAT ÎN FROZEN",IF(COUNT(K69:L69)&lt;2,"COMPLETEAZĂ SCORUL","VERIFICAT"))))</x:f>
      </x:c>
    </x:row>
    <x:row r="70">
      <x:c r="A70" s="141"/>
      <x:c r="B70" t="str">
        <x:f>IF(OR(A70="",COUNTIF(Frozen_Predictions!$A$4:$A$303,A70)&lt;&gt;1),"",INDEX(Frozen_Predictions!$C$4:$C$303,MATCH(A70,Frozen_Predictions!$A$4:$A$303,0)))</x:f>
      </x:c>
      <x:c r="C70" t="str">
        <x:f>IF(OR(A70="",COUNTIF(Frozen_Predictions!$A$4:$A$303,A70)&lt;&gt;1),"",INDEX(Frozen_Predictions!$E$4:$E$303,MATCH(A70,Frozen_Predictions!$A$4:$A$303,0)))</x:f>
      </x:c>
      <x:c r="D70" t="str">
        <x:f>IF(OR(A70="",COUNTIF(Frozen_Predictions!$A$4:$A$303,A70)&lt;&gt;1),"",INDEX(Frozen_Predictions!$F$4:$F$303,MATCH(A70,Frozen_Predictions!$A$4:$A$303,0)))</x:f>
      </x:c>
      <x:c r="E70" t="str">
        <x:f>IF(OR(A70="",COUNTIF(Frozen_Predictions!$A$4:$A$303,A70)&lt;&gt;1),"",INDEX(Frozen_Predictions!$G$4:$G$303,MATCH(A70,Frozen_Predictions!$A$4:$A$303,0)))</x:f>
      </x:c>
      <x:c r="F70" t="str">
        <x:f>IF(OR(A70="",COUNTIF(Frozen_Predictions!$A$4:$A$303,A70)&lt;&gt;1),"",INDEX(Frozen_Predictions!$H$4:$H$303,MATCH(A70,Frozen_Predictions!$A$4:$A$303,0)))</x:f>
      </x:c>
      <x:c r="G70" t="str">
        <x:f>IF(OR(A70="",COUNTIF(Frozen_Predictions!$A$4:$A$303,A70)&lt;&gt;1),"",INDEX(Frozen_Predictions!$I$4:$I$303,MATCH(A70,Frozen_Predictions!$A$4:$A$303,0)))</x:f>
      </x:c>
      <x:c r="H70" t="str">
        <x:f>IF(OR(A70="",COUNTIF(Frozen_Predictions!$A$4:$A$303,A70)&lt;&gt;1),"",INDEX(Frozen_Predictions!$J$4:$J$303,MATCH(A70,Frozen_Predictions!$A$4:$A$303,0)))</x:f>
      </x:c>
      <x:c r="I70" t="str">
        <x:f>IF(OR(A70="",COUNTIF(Frozen_Predictions!$A$4:$A$303,A70)&lt;&gt;1),"",INDEX(Frozen_Predictions!$K$4:$K$303,MATCH(A70,Frozen_Predictions!$A$4:$A$303,0)))</x:f>
      </x:c>
      <x:c r="J70" s="142" t="str">
        <x:f>IF(OR(A70="",G70="",COUNT(K70:M70)&lt;3,COUNTIF($A$4:$A$303,A70)&lt;&gt;1),"",IF(IF(M70+F70&gt;0,"1",IF(M70+F70=0,"X","2"))=G70&amp;"",1,0))</x:f>
      </x:c>
      <x:c r="K70" s="143"/>
      <x:c r="L70" s="143"/>
      <x:c r="M70" s="142" t="str">
        <x:f>IF(AND(A70&lt;&gt;"",COUNT(K70:L70)=2),K70-L70,"")</x:f>
      </x:c>
      <x:c r="N70" s="142" t="str">
        <x:f>IF(J70="","",IF(M70+F70=0,"YES","NO"))</x:f>
      </x:c>
      <x:c r="O70" t="str">
        <x:f>IF(J70="","",IF(J70=1,"WIN",IF(N70="YES","Exact margin M="&amp;ABS(F70),"Direction / tail")))</x:f>
      </x:c>
      <x:c r="P70" s="141"/>
      <x:c r="Q70" s="141"/>
      <x:c r="R70" s="144" t="str">
        <x:f>IF(OR(I70="",J70=""),"",(I70-J70)^2)</x:f>
      </x:c>
      <x:c r="S70" s="144" t="str">
        <x:f>IF(OR(I70="",J70=""),"",-(J70*LN(MAX(MIN(I70,0.999999),0.000001))+(1-J70)*LN(MAX(MIN(1-I70,0.999999),0.000001))))</x:f>
      </x:c>
      <x:c r="T70" t="str">
        <x:f>IF(J70="","",INDEX(Frozen_Predictions!$M$4:$M$303,MATCH(A70,Frozen_Predictions!$A$4:$A$303,0)))</x:f>
      </x:c>
      <x:c r="U70" t="str">
        <x:f>IF(J70="","",INDEX(Frozen_Predictions!$W$4:$W$303,MATCH(A70,Frozen_Predictions!$A$4:$A$303,0)))</x:f>
      </x:c>
      <x:c r="V70" t="str">
        <x:f>IF(J70="","",INDEX(Frozen_Predictions!$X$4:$X$303,MATCH(A70,Frozen_Predictions!$A$4:$A$303,0)))</x:f>
      </x:c>
      <x:c r="W70" t="str">
        <x:f>IF(A70="","",IF(COUNTIF($A$4:$A$303,A70)&lt;&gt;1,"ID DUPLICAT",IF(COUNTIF(Frozen_Predictions!$A$4:$A$303,A70)&lt;&gt;1,"ID INEXISTENT SAU DUPLICAT ÎN FROZEN",IF(COUNT(K70:L70)&lt;2,"COMPLETEAZĂ SCORUL","VERIFICAT"))))</x:f>
      </x:c>
    </x:row>
    <x:row r="71">
      <x:c r="A71" s="141"/>
      <x:c r="B71" t="str">
        <x:f>IF(OR(A71="",COUNTIF(Frozen_Predictions!$A$4:$A$303,A71)&lt;&gt;1),"",INDEX(Frozen_Predictions!$C$4:$C$303,MATCH(A71,Frozen_Predictions!$A$4:$A$303,0)))</x:f>
      </x:c>
      <x:c r="C71" t="str">
        <x:f>IF(OR(A71="",COUNTIF(Frozen_Predictions!$A$4:$A$303,A71)&lt;&gt;1),"",INDEX(Frozen_Predictions!$E$4:$E$303,MATCH(A71,Frozen_Predictions!$A$4:$A$303,0)))</x:f>
      </x:c>
      <x:c r="D71" t="str">
        <x:f>IF(OR(A71="",COUNTIF(Frozen_Predictions!$A$4:$A$303,A71)&lt;&gt;1),"",INDEX(Frozen_Predictions!$F$4:$F$303,MATCH(A71,Frozen_Predictions!$A$4:$A$303,0)))</x:f>
      </x:c>
      <x:c r="E71" t="str">
        <x:f>IF(OR(A71="",COUNTIF(Frozen_Predictions!$A$4:$A$303,A71)&lt;&gt;1),"",INDEX(Frozen_Predictions!$G$4:$G$303,MATCH(A71,Frozen_Predictions!$A$4:$A$303,0)))</x:f>
      </x:c>
      <x:c r="F71" t="str">
        <x:f>IF(OR(A71="",COUNTIF(Frozen_Predictions!$A$4:$A$303,A71)&lt;&gt;1),"",INDEX(Frozen_Predictions!$H$4:$H$303,MATCH(A71,Frozen_Predictions!$A$4:$A$303,0)))</x:f>
      </x:c>
      <x:c r="G71" t="str">
        <x:f>IF(OR(A71="",COUNTIF(Frozen_Predictions!$A$4:$A$303,A71)&lt;&gt;1),"",INDEX(Frozen_Predictions!$I$4:$I$303,MATCH(A71,Frozen_Predictions!$A$4:$A$303,0)))</x:f>
      </x:c>
      <x:c r="H71" t="str">
        <x:f>IF(OR(A71="",COUNTIF(Frozen_Predictions!$A$4:$A$303,A71)&lt;&gt;1),"",INDEX(Frozen_Predictions!$J$4:$J$303,MATCH(A71,Frozen_Predictions!$A$4:$A$303,0)))</x:f>
      </x:c>
      <x:c r="I71" t="str">
        <x:f>IF(OR(A71="",COUNTIF(Frozen_Predictions!$A$4:$A$303,A71)&lt;&gt;1),"",INDEX(Frozen_Predictions!$K$4:$K$303,MATCH(A71,Frozen_Predictions!$A$4:$A$303,0)))</x:f>
      </x:c>
      <x:c r="J71" s="142" t="str">
        <x:f>IF(OR(A71="",G71="",COUNT(K71:M71)&lt;3,COUNTIF($A$4:$A$303,A71)&lt;&gt;1),"",IF(IF(M71+F71&gt;0,"1",IF(M71+F71=0,"X","2"))=G71&amp;"",1,0))</x:f>
      </x:c>
      <x:c r="K71" s="143"/>
      <x:c r="L71" s="143"/>
      <x:c r="M71" s="142" t="str">
        <x:f>IF(AND(A71&lt;&gt;"",COUNT(K71:L71)=2),K71-L71,"")</x:f>
      </x:c>
      <x:c r="N71" s="142" t="str">
        <x:f>IF(J71="","",IF(M71+F71=0,"YES","NO"))</x:f>
      </x:c>
      <x:c r="O71" t="str">
        <x:f>IF(J71="","",IF(J71=1,"WIN",IF(N71="YES","Exact margin M="&amp;ABS(F71),"Direction / tail")))</x:f>
      </x:c>
      <x:c r="P71" s="141"/>
      <x:c r="Q71" s="141"/>
      <x:c r="R71" s="144" t="str">
        <x:f>IF(OR(I71="",J71=""),"",(I71-J71)^2)</x:f>
      </x:c>
      <x:c r="S71" s="144" t="str">
        <x:f>IF(OR(I71="",J71=""),"",-(J71*LN(MAX(MIN(I71,0.999999),0.000001))+(1-J71)*LN(MAX(MIN(1-I71,0.999999),0.000001))))</x:f>
      </x:c>
      <x:c r="T71" t="str">
        <x:f>IF(J71="","",INDEX(Frozen_Predictions!$M$4:$M$303,MATCH(A71,Frozen_Predictions!$A$4:$A$303,0)))</x:f>
      </x:c>
      <x:c r="U71" t="str">
        <x:f>IF(J71="","",INDEX(Frozen_Predictions!$W$4:$W$303,MATCH(A71,Frozen_Predictions!$A$4:$A$303,0)))</x:f>
      </x:c>
      <x:c r="V71" t="str">
        <x:f>IF(J71="","",INDEX(Frozen_Predictions!$X$4:$X$303,MATCH(A71,Frozen_Predictions!$A$4:$A$303,0)))</x:f>
      </x:c>
      <x:c r="W71" t="str">
        <x:f>IF(A71="","",IF(COUNTIF($A$4:$A$303,A71)&lt;&gt;1,"ID DUPLICAT",IF(COUNTIF(Frozen_Predictions!$A$4:$A$303,A71)&lt;&gt;1,"ID INEXISTENT SAU DUPLICAT ÎN FROZEN",IF(COUNT(K71:L71)&lt;2,"COMPLETEAZĂ SCORUL","VERIFICAT"))))</x:f>
      </x:c>
    </x:row>
    <x:row r="72">
      <x:c r="A72" s="141"/>
      <x:c r="B72" t="str">
        <x:f>IF(OR(A72="",COUNTIF(Frozen_Predictions!$A$4:$A$303,A72)&lt;&gt;1),"",INDEX(Frozen_Predictions!$C$4:$C$303,MATCH(A72,Frozen_Predictions!$A$4:$A$303,0)))</x:f>
      </x:c>
      <x:c r="C72" t="str">
        <x:f>IF(OR(A72="",COUNTIF(Frozen_Predictions!$A$4:$A$303,A72)&lt;&gt;1),"",INDEX(Frozen_Predictions!$E$4:$E$303,MATCH(A72,Frozen_Predictions!$A$4:$A$303,0)))</x:f>
      </x:c>
      <x:c r="D72" t="str">
        <x:f>IF(OR(A72="",COUNTIF(Frozen_Predictions!$A$4:$A$303,A72)&lt;&gt;1),"",INDEX(Frozen_Predictions!$F$4:$F$303,MATCH(A72,Frozen_Predictions!$A$4:$A$303,0)))</x:f>
      </x:c>
      <x:c r="E72" t="str">
        <x:f>IF(OR(A72="",COUNTIF(Frozen_Predictions!$A$4:$A$303,A72)&lt;&gt;1),"",INDEX(Frozen_Predictions!$G$4:$G$303,MATCH(A72,Frozen_Predictions!$A$4:$A$303,0)))</x:f>
      </x:c>
      <x:c r="F72" t="str">
        <x:f>IF(OR(A72="",COUNTIF(Frozen_Predictions!$A$4:$A$303,A72)&lt;&gt;1),"",INDEX(Frozen_Predictions!$H$4:$H$303,MATCH(A72,Frozen_Predictions!$A$4:$A$303,0)))</x:f>
      </x:c>
      <x:c r="G72" t="str">
        <x:f>IF(OR(A72="",COUNTIF(Frozen_Predictions!$A$4:$A$303,A72)&lt;&gt;1),"",INDEX(Frozen_Predictions!$I$4:$I$303,MATCH(A72,Frozen_Predictions!$A$4:$A$303,0)))</x:f>
      </x:c>
      <x:c r="H72" t="str">
        <x:f>IF(OR(A72="",COUNTIF(Frozen_Predictions!$A$4:$A$303,A72)&lt;&gt;1),"",INDEX(Frozen_Predictions!$J$4:$J$303,MATCH(A72,Frozen_Predictions!$A$4:$A$303,0)))</x:f>
      </x:c>
      <x:c r="I72" t="str">
        <x:f>IF(OR(A72="",COUNTIF(Frozen_Predictions!$A$4:$A$303,A72)&lt;&gt;1),"",INDEX(Frozen_Predictions!$K$4:$K$303,MATCH(A72,Frozen_Predictions!$A$4:$A$303,0)))</x:f>
      </x:c>
      <x:c r="J72" s="142" t="str">
        <x:f>IF(OR(A72="",G72="",COUNT(K72:M72)&lt;3,COUNTIF($A$4:$A$303,A72)&lt;&gt;1),"",IF(IF(M72+F72&gt;0,"1",IF(M72+F72=0,"X","2"))=G72&amp;"",1,0))</x:f>
      </x:c>
      <x:c r="K72" s="143"/>
      <x:c r="L72" s="143"/>
      <x:c r="M72" s="142" t="str">
        <x:f>IF(AND(A72&lt;&gt;"",COUNT(K72:L72)=2),K72-L72,"")</x:f>
      </x:c>
      <x:c r="N72" s="142" t="str">
        <x:f>IF(J72="","",IF(M72+F72=0,"YES","NO"))</x:f>
      </x:c>
      <x:c r="O72" t="str">
        <x:f>IF(J72="","",IF(J72=1,"WIN",IF(N72="YES","Exact margin M="&amp;ABS(F72),"Direction / tail")))</x:f>
      </x:c>
      <x:c r="P72" s="141"/>
      <x:c r="Q72" s="141"/>
      <x:c r="R72" s="144" t="str">
        <x:f>IF(OR(I72="",J72=""),"",(I72-J72)^2)</x:f>
      </x:c>
      <x:c r="S72" s="144" t="str">
        <x:f>IF(OR(I72="",J72=""),"",-(J72*LN(MAX(MIN(I72,0.999999),0.000001))+(1-J72)*LN(MAX(MIN(1-I72,0.999999),0.000001))))</x:f>
      </x:c>
      <x:c r="T72" t="str">
        <x:f>IF(J72="","",INDEX(Frozen_Predictions!$M$4:$M$303,MATCH(A72,Frozen_Predictions!$A$4:$A$303,0)))</x:f>
      </x:c>
      <x:c r="U72" t="str">
        <x:f>IF(J72="","",INDEX(Frozen_Predictions!$W$4:$W$303,MATCH(A72,Frozen_Predictions!$A$4:$A$303,0)))</x:f>
      </x:c>
      <x:c r="V72" t="str">
        <x:f>IF(J72="","",INDEX(Frozen_Predictions!$X$4:$X$303,MATCH(A72,Frozen_Predictions!$A$4:$A$303,0)))</x:f>
      </x:c>
      <x:c r="W72" t="str">
        <x:f>IF(A72="","",IF(COUNTIF($A$4:$A$303,A72)&lt;&gt;1,"ID DUPLICAT",IF(COUNTIF(Frozen_Predictions!$A$4:$A$303,A72)&lt;&gt;1,"ID INEXISTENT SAU DUPLICAT ÎN FROZEN",IF(COUNT(K72:L72)&lt;2,"COMPLETEAZĂ SCORUL","VERIFICAT"))))</x:f>
      </x:c>
    </x:row>
    <x:row r="73">
      <x:c r="A73" s="141"/>
      <x:c r="B73" t="str">
        <x:f>IF(OR(A73="",COUNTIF(Frozen_Predictions!$A$4:$A$303,A73)&lt;&gt;1),"",INDEX(Frozen_Predictions!$C$4:$C$303,MATCH(A73,Frozen_Predictions!$A$4:$A$303,0)))</x:f>
      </x:c>
      <x:c r="C73" t="str">
        <x:f>IF(OR(A73="",COUNTIF(Frozen_Predictions!$A$4:$A$303,A73)&lt;&gt;1),"",INDEX(Frozen_Predictions!$E$4:$E$303,MATCH(A73,Frozen_Predictions!$A$4:$A$303,0)))</x:f>
      </x:c>
      <x:c r="D73" t="str">
        <x:f>IF(OR(A73="",COUNTIF(Frozen_Predictions!$A$4:$A$303,A73)&lt;&gt;1),"",INDEX(Frozen_Predictions!$F$4:$F$303,MATCH(A73,Frozen_Predictions!$A$4:$A$303,0)))</x:f>
      </x:c>
      <x:c r="E73" t="str">
        <x:f>IF(OR(A73="",COUNTIF(Frozen_Predictions!$A$4:$A$303,A73)&lt;&gt;1),"",INDEX(Frozen_Predictions!$G$4:$G$303,MATCH(A73,Frozen_Predictions!$A$4:$A$303,0)))</x:f>
      </x:c>
      <x:c r="F73" t="str">
        <x:f>IF(OR(A73="",COUNTIF(Frozen_Predictions!$A$4:$A$303,A73)&lt;&gt;1),"",INDEX(Frozen_Predictions!$H$4:$H$303,MATCH(A73,Frozen_Predictions!$A$4:$A$303,0)))</x:f>
      </x:c>
      <x:c r="G73" t="str">
        <x:f>IF(OR(A73="",COUNTIF(Frozen_Predictions!$A$4:$A$303,A73)&lt;&gt;1),"",INDEX(Frozen_Predictions!$I$4:$I$303,MATCH(A73,Frozen_Predictions!$A$4:$A$303,0)))</x:f>
      </x:c>
      <x:c r="H73" t="str">
        <x:f>IF(OR(A73="",COUNTIF(Frozen_Predictions!$A$4:$A$303,A73)&lt;&gt;1),"",INDEX(Frozen_Predictions!$J$4:$J$303,MATCH(A73,Frozen_Predictions!$A$4:$A$303,0)))</x:f>
      </x:c>
      <x:c r="I73" t="str">
        <x:f>IF(OR(A73="",COUNTIF(Frozen_Predictions!$A$4:$A$303,A73)&lt;&gt;1),"",INDEX(Frozen_Predictions!$K$4:$K$303,MATCH(A73,Frozen_Predictions!$A$4:$A$303,0)))</x:f>
      </x:c>
      <x:c r="J73" s="142" t="str">
        <x:f>IF(OR(A73="",G73="",COUNT(K73:M73)&lt;3,COUNTIF($A$4:$A$303,A73)&lt;&gt;1),"",IF(IF(M73+F73&gt;0,"1",IF(M73+F73=0,"X","2"))=G73&amp;"",1,0))</x:f>
      </x:c>
      <x:c r="K73" s="143"/>
      <x:c r="L73" s="143"/>
      <x:c r="M73" s="142" t="str">
        <x:f>IF(AND(A73&lt;&gt;"",COUNT(K73:L73)=2),K73-L73,"")</x:f>
      </x:c>
      <x:c r="N73" s="142" t="str">
        <x:f>IF(J73="","",IF(M73+F73=0,"YES","NO"))</x:f>
      </x:c>
      <x:c r="O73" t="str">
        <x:f>IF(J73="","",IF(J73=1,"WIN",IF(N73="YES","Exact margin M="&amp;ABS(F73),"Direction / tail")))</x:f>
      </x:c>
      <x:c r="P73" s="141"/>
      <x:c r="Q73" s="141"/>
      <x:c r="R73" s="144" t="str">
        <x:f>IF(OR(I73="",J73=""),"",(I73-J73)^2)</x:f>
      </x:c>
      <x:c r="S73" s="144" t="str">
        <x:f>IF(OR(I73="",J73=""),"",-(J73*LN(MAX(MIN(I73,0.999999),0.000001))+(1-J73)*LN(MAX(MIN(1-I73,0.999999),0.000001))))</x:f>
      </x:c>
      <x:c r="T73" t="str">
        <x:f>IF(J73="","",INDEX(Frozen_Predictions!$M$4:$M$303,MATCH(A73,Frozen_Predictions!$A$4:$A$303,0)))</x:f>
      </x:c>
      <x:c r="U73" t="str">
        <x:f>IF(J73="","",INDEX(Frozen_Predictions!$W$4:$W$303,MATCH(A73,Frozen_Predictions!$A$4:$A$303,0)))</x:f>
      </x:c>
      <x:c r="V73" t="str">
        <x:f>IF(J73="","",INDEX(Frozen_Predictions!$X$4:$X$303,MATCH(A73,Frozen_Predictions!$A$4:$A$303,0)))</x:f>
      </x:c>
      <x:c r="W73" t="str">
        <x:f>IF(A73="","",IF(COUNTIF($A$4:$A$303,A73)&lt;&gt;1,"ID DUPLICAT",IF(COUNTIF(Frozen_Predictions!$A$4:$A$303,A73)&lt;&gt;1,"ID INEXISTENT SAU DUPLICAT ÎN FROZEN",IF(COUNT(K73:L73)&lt;2,"COMPLETEAZĂ SCORUL","VERIFICAT"))))</x:f>
      </x:c>
    </x:row>
    <x:row r="74">
      <x:c r="A74" s="141"/>
      <x:c r="B74" t="str">
        <x:f>IF(OR(A74="",COUNTIF(Frozen_Predictions!$A$4:$A$303,A74)&lt;&gt;1),"",INDEX(Frozen_Predictions!$C$4:$C$303,MATCH(A74,Frozen_Predictions!$A$4:$A$303,0)))</x:f>
      </x:c>
      <x:c r="C74" t="str">
        <x:f>IF(OR(A74="",COUNTIF(Frozen_Predictions!$A$4:$A$303,A74)&lt;&gt;1),"",INDEX(Frozen_Predictions!$E$4:$E$303,MATCH(A74,Frozen_Predictions!$A$4:$A$303,0)))</x:f>
      </x:c>
      <x:c r="D74" t="str">
        <x:f>IF(OR(A74="",COUNTIF(Frozen_Predictions!$A$4:$A$303,A74)&lt;&gt;1),"",INDEX(Frozen_Predictions!$F$4:$F$303,MATCH(A74,Frozen_Predictions!$A$4:$A$303,0)))</x:f>
      </x:c>
      <x:c r="E74" t="str">
        <x:f>IF(OR(A74="",COUNTIF(Frozen_Predictions!$A$4:$A$303,A74)&lt;&gt;1),"",INDEX(Frozen_Predictions!$G$4:$G$303,MATCH(A74,Frozen_Predictions!$A$4:$A$303,0)))</x:f>
      </x:c>
      <x:c r="F74" t="str">
        <x:f>IF(OR(A74="",COUNTIF(Frozen_Predictions!$A$4:$A$303,A74)&lt;&gt;1),"",INDEX(Frozen_Predictions!$H$4:$H$303,MATCH(A74,Frozen_Predictions!$A$4:$A$303,0)))</x:f>
      </x:c>
      <x:c r="G74" t="str">
        <x:f>IF(OR(A74="",COUNTIF(Frozen_Predictions!$A$4:$A$303,A74)&lt;&gt;1),"",INDEX(Frozen_Predictions!$I$4:$I$303,MATCH(A74,Frozen_Predictions!$A$4:$A$303,0)))</x:f>
      </x:c>
      <x:c r="H74" t="str">
        <x:f>IF(OR(A74="",COUNTIF(Frozen_Predictions!$A$4:$A$303,A74)&lt;&gt;1),"",INDEX(Frozen_Predictions!$J$4:$J$303,MATCH(A74,Frozen_Predictions!$A$4:$A$303,0)))</x:f>
      </x:c>
      <x:c r="I74" t="str">
        <x:f>IF(OR(A74="",COUNTIF(Frozen_Predictions!$A$4:$A$303,A74)&lt;&gt;1),"",INDEX(Frozen_Predictions!$K$4:$K$303,MATCH(A74,Frozen_Predictions!$A$4:$A$303,0)))</x:f>
      </x:c>
      <x:c r="J74" s="142" t="str">
        <x:f>IF(OR(A74="",G74="",COUNT(K74:M74)&lt;3,COUNTIF($A$4:$A$303,A74)&lt;&gt;1),"",IF(IF(M74+F74&gt;0,"1",IF(M74+F74=0,"X","2"))=G74&amp;"",1,0))</x:f>
      </x:c>
      <x:c r="K74" s="143"/>
      <x:c r="L74" s="143"/>
      <x:c r="M74" s="142" t="str">
        <x:f>IF(AND(A74&lt;&gt;"",COUNT(K74:L74)=2),K74-L74,"")</x:f>
      </x:c>
      <x:c r="N74" s="142" t="str">
        <x:f>IF(J74="","",IF(M74+F74=0,"YES","NO"))</x:f>
      </x:c>
      <x:c r="O74" t="str">
        <x:f>IF(J74="","",IF(J74=1,"WIN",IF(N74="YES","Exact margin M="&amp;ABS(F74),"Direction / tail")))</x:f>
      </x:c>
      <x:c r="P74" s="141"/>
      <x:c r="Q74" s="141"/>
      <x:c r="R74" s="144" t="str">
        <x:f>IF(OR(I74="",J74=""),"",(I74-J74)^2)</x:f>
      </x:c>
      <x:c r="S74" s="144" t="str">
        <x:f>IF(OR(I74="",J74=""),"",-(J74*LN(MAX(MIN(I74,0.999999),0.000001))+(1-J74)*LN(MAX(MIN(1-I74,0.999999),0.000001))))</x:f>
      </x:c>
      <x:c r="T74" t="str">
        <x:f>IF(J74="","",INDEX(Frozen_Predictions!$M$4:$M$303,MATCH(A74,Frozen_Predictions!$A$4:$A$303,0)))</x:f>
      </x:c>
      <x:c r="U74" t="str">
        <x:f>IF(J74="","",INDEX(Frozen_Predictions!$W$4:$W$303,MATCH(A74,Frozen_Predictions!$A$4:$A$303,0)))</x:f>
      </x:c>
      <x:c r="V74" t="str">
        <x:f>IF(J74="","",INDEX(Frozen_Predictions!$X$4:$X$303,MATCH(A74,Frozen_Predictions!$A$4:$A$303,0)))</x:f>
      </x:c>
      <x:c r="W74" t="str">
        <x:f>IF(A74="","",IF(COUNTIF($A$4:$A$303,A74)&lt;&gt;1,"ID DUPLICAT",IF(COUNTIF(Frozen_Predictions!$A$4:$A$303,A74)&lt;&gt;1,"ID INEXISTENT SAU DUPLICAT ÎN FROZEN",IF(COUNT(K74:L74)&lt;2,"COMPLETEAZĂ SCORUL","VERIFICAT"))))</x:f>
      </x:c>
    </x:row>
    <x:row r="75">
      <x:c r="A75" s="141"/>
      <x:c r="B75" t="str">
        <x:f>IF(OR(A75="",COUNTIF(Frozen_Predictions!$A$4:$A$303,A75)&lt;&gt;1),"",INDEX(Frozen_Predictions!$C$4:$C$303,MATCH(A75,Frozen_Predictions!$A$4:$A$303,0)))</x:f>
      </x:c>
      <x:c r="C75" t="str">
        <x:f>IF(OR(A75="",COUNTIF(Frozen_Predictions!$A$4:$A$303,A75)&lt;&gt;1),"",INDEX(Frozen_Predictions!$E$4:$E$303,MATCH(A75,Frozen_Predictions!$A$4:$A$303,0)))</x:f>
      </x:c>
      <x:c r="D75" t="str">
        <x:f>IF(OR(A75="",COUNTIF(Frozen_Predictions!$A$4:$A$303,A75)&lt;&gt;1),"",INDEX(Frozen_Predictions!$F$4:$F$303,MATCH(A75,Frozen_Predictions!$A$4:$A$303,0)))</x:f>
      </x:c>
      <x:c r="E75" t="str">
        <x:f>IF(OR(A75="",COUNTIF(Frozen_Predictions!$A$4:$A$303,A75)&lt;&gt;1),"",INDEX(Frozen_Predictions!$G$4:$G$303,MATCH(A75,Frozen_Predictions!$A$4:$A$303,0)))</x:f>
      </x:c>
      <x:c r="F75" t="str">
        <x:f>IF(OR(A75="",COUNTIF(Frozen_Predictions!$A$4:$A$303,A75)&lt;&gt;1),"",INDEX(Frozen_Predictions!$H$4:$H$303,MATCH(A75,Frozen_Predictions!$A$4:$A$303,0)))</x:f>
      </x:c>
      <x:c r="G75" t="str">
        <x:f>IF(OR(A75="",COUNTIF(Frozen_Predictions!$A$4:$A$303,A75)&lt;&gt;1),"",INDEX(Frozen_Predictions!$I$4:$I$303,MATCH(A75,Frozen_Predictions!$A$4:$A$303,0)))</x:f>
      </x:c>
      <x:c r="H75" t="str">
        <x:f>IF(OR(A75="",COUNTIF(Frozen_Predictions!$A$4:$A$303,A75)&lt;&gt;1),"",INDEX(Frozen_Predictions!$J$4:$J$303,MATCH(A75,Frozen_Predictions!$A$4:$A$303,0)))</x:f>
      </x:c>
      <x:c r="I75" t="str">
        <x:f>IF(OR(A75="",COUNTIF(Frozen_Predictions!$A$4:$A$303,A75)&lt;&gt;1),"",INDEX(Frozen_Predictions!$K$4:$K$303,MATCH(A75,Frozen_Predictions!$A$4:$A$303,0)))</x:f>
      </x:c>
      <x:c r="J75" s="142" t="str">
        <x:f>IF(OR(A75="",G75="",COUNT(K75:M75)&lt;3,COUNTIF($A$4:$A$303,A75)&lt;&gt;1),"",IF(IF(M75+F75&gt;0,"1",IF(M75+F75=0,"X","2"))=G75&amp;"",1,0))</x:f>
      </x:c>
      <x:c r="K75" s="143"/>
      <x:c r="L75" s="143"/>
      <x:c r="M75" s="142" t="str">
        <x:f>IF(AND(A75&lt;&gt;"",COUNT(K75:L75)=2),K75-L75,"")</x:f>
      </x:c>
      <x:c r="N75" s="142" t="str">
        <x:f>IF(J75="","",IF(M75+F75=0,"YES","NO"))</x:f>
      </x:c>
      <x:c r="O75" t="str">
        <x:f>IF(J75="","",IF(J75=1,"WIN",IF(N75="YES","Exact margin M="&amp;ABS(F75),"Direction / tail")))</x:f>
      </x:c>
      <x:c r="P75" s="141"/>
      <x:c r="Q75" s="141"/>
      <x:c r="R75" s="144" t="str">
        <x:f>IF(OR(I75="",J75=""),"",(I75-J75)^2)</x:f>
      </x:c>
      <x:c r="S75" s="144" t="str">
        <x:f>IF(OR(I75="",J75=""),"",-(J75*LN(MAX(MIN(I75,0.999999),0.000001))+(1-J75)*LN(MAX(MIN(1-I75,0.999999),0.000001))))</x:f>
      </x:c>
      <x:c r="T75" t="str">
        <x:f>IF(J75="","",INDEX(Frozen_Predictions!$M$4:$M$303,MATCH(A75,Frozen_Predictions!$A$4:$A$303,0)))</x:f>
      </x:c>
      <x:c r="U75" t="str">
        <x:f>IF(J75="","",INDEX(Frozen_Predictions!$W$4:$W$303,MATCH(A75,Frozen_Predictions!$A$4:$A$303,0)))</x:f>
      </x:c>
      <x:c r="V75" t="str">
        <x:f>IF(J75="","",INDEX(Frozen_Predictions!$X$4:$X$303,MATCH(A75,Frozen_Predictions!$A$4:$A$303,0)))</x:f>
      </x:c>
      <x:c r="W75" t="str">
        <x:f>IF(A75="","",IF(COUNTIF($A$4:$A$303,A75)&lt;&gt;1,"ID DUPLICAT",IF(COUNTIF(Frozen_Predictions!$A$4:$A$303,A75)&lt;&gt;1,"ID INEXISTENT SAU DUPLICAT ÎN FROZEN",IF(COUNT(K75:L75)&lt;2,"COMPLETEAZĂ SCORUL","VERIFICAT"))))</x:f>
      </x:c>
    </x:row>
    <x:row r="76">
      <x:c r="A76" s="141"/>
      <x:c r="B76" t="str">
        <x:f>IF(OR(A76="",COUNTIF(Frozen_Predictions!$A$4:$A$303,A76)&lt;&gt;1),"",INDEX(Frozen_Predictions!$C$4:$C$303,MATCH(A76,Frozen_Predictions!$A$4:$A$303,0)))</x:f>
      </x:c>
      <x:c r="C76" t="str">
        <x:f>IF(OR(A76="",COUNTIF(Frozen_Predictions!$A$4:$A$303,A76)&lt;&gt;1),"",INDEX(Frozen_Predictions!$E$4:$E$303,MATCH(A76,Frozen_Predictions!$A$4:$A$303,0)))</x:f>
      </x:c>
      <x:c r="D76" t="str">
        <x:f>IF(OR(A76="",COUNTIF(Frozen_Predictions!$A$4:$A$303,A76)&lt;&gt;1),"",INDEX(Frozen_Predictions!$F$4:$F$303,MATCH(A76,Frozen_Predictions!$A$4:$A$303,0)))</x:f>
      </x:c>
      <x:c r="E76" t="str">
        <x:f>IF(OR(A76="",COUNTIF(Frozen_Predictions!$A$4:$A$303,A76)&lt;&gt;1),"",INDEX(Frozen_Predictions!$G$4:$G$303,MATCH(A76,Frozen_Predictions!$A$4:$A$303,0)))</x:f>
      </x:c>
      <x:c r="F76" t="str">
        <x:f>IF(OR(A76="",COUNTIF(Frozen_Predictions!$A$4:$A$303,A76)&lt;&gt;1),"",INDEX(Frozen_Predictions!$H$4:$H$303,MATCH(A76,Frozen_Predictions!$A$4:$A$303,0)))</x:f>
      </x:c>
      <x:c r="G76" t="str">
        <x:f>IF(OR(A76="",COUNTIF(Frozen_Predictions!$A$4:$A$303,A76)&lt;&gt;1),"",INDEX(Frozen_Predictions!$I$4:$I$303,MATCH(A76,Frozen_Predictions!$A$4:$A$303,0)))</x:f>
      </x:c>
      <x:c r="H76" t="str">
        <x:f>IF(OR(A76="",COUNTIF(Frozen_Predictions!$A$4:$A$303,A76)&lt;&gt;1),"",INDEX(Frozen_Predictions!$J$4:$J$303,MATCH(A76,Frozen_Predictions!$A$4:$A$303,0)))</x:f>
      </x:c>
      <x:c r="I76" t="str">
        <x:f>IF(OR(A76="",COUNTIF(Frozen_Predictions!$A$4:$A$303,A76)&lt;&gt;1),"",INDEX(Frozen_Predictions!$K$4:$K$303,MATCH(A76,Frozen_Predictions!$A$4:$A$303,0)))</x:f>
      </x:c>
      <x:c r="J76" s="142" t="str">
        <x:f>IF(OR(A76="",G76="",COUNT(K76:M76)&lt;3,COUNTIF($A$4:$A$303,A76)&lt;&gt;1),"",IF(IF(M76+F76&gt;0,"1",IF(M76+F76=0,"X","2"))=G76&amp;"",1,0))</x:f>
      </x:c>
      <x:c r="K76" s="143"/>
      <x:c r="L76" s="143"/>
      <x:c r="M76" s="142" t="str">
        <x:f>IF(AND(A76&lt;&gt;"",COUNT(K76:L76)=2),K76-L76,"")</x:f>
      </x:c>
      <x:c r="N76" s="142" t="str">
        <x:f>IF(J76="","",IF(M76+F76=0,"YES","NO"))</x:f>
      </x:c>
      <x:c r="O76" t="str">
        <x:f>IF(J76="","",IF(J76=1,"WIN",IF(N76="YES","Exact margin M="&amp;ABS(F76),"Direction / tail")))</x:f>
      </x:c>
      <x:c r="P76" s="141"/>
      <x:c r="Q76" s="141"/>
      <x:c r="R76" s="144" t="str">
        <x:f>IF(OR(I76="",J76=""),"",(I76-J76)^2)</x:f>
      </x:c>
      <x:c r="S76" s="144" t="str">
        <x:f>IF(OR(I76="",J76=""),"",-(J76*LN(MAX(MIN(I76,0.999999),0.000001))+(1-J76)*LN(MAX(MIN(1-I76,0.999999),0.000001))))</x:f>
      </x:c>
      <x:c r="T76" t="str">
        <x:f>IF(J76="","",INDEX(Frozen_Predictions!$M$4:$M$303,MATCH(A76,Frozen_Predictions!$A$4:$A$303,0)))</x:f>
      </x:c>
      <x:c r="U76" t="str">
        <x:f>IF(J76="","",INDEX(Frozen_Predictions!$W$4:$W$303,MATCH(A76,Frozen_Predictions!$A$4:$A$303,0)))</x:f>
      </x:c>
      <x:c r="V76" t="str">
        <x:f>IF(J76="","",INDEX(Frozen_Predictions!$X$4:$X$303,MATCH(A76,Frozen_Predictions!$A$4:$A$303,0)))</x:f>
      </x:c>
      <x:c r="W76" t="str">
        <x:f>IF(A76="","",IF(COUNTIF($A$4:$A$303,A76)&lt;&gt;1,"ID DUPLICAT",IF(COUNTIF(Frozen_Predictions!$A$4:$A$303,A76)&lt;&gt;1,"ID INEXISTENT SAU DUPLICAT ÎN FROZEN",IF(COUNT(K76:L76)&lt;2,"COMPLETEAZĂ SCORUL","VERIFICAT"))))</x:f>
      </x:c>
    </x:row>
    <x:row r="77">
      <x:c r="A77" s="141"/>
      <x:c r="B77" t="str">
        <x:f>IF(OR(A77="",COUNTIF(Frozen_Predictions!$A$4:$A$303,A77)&lt;&gt;1),"",INDEX(Frozen_Predictions!$C$4:$C$303,MATCH(A77,Frozen_Predictions!$A$4:$A$303,0)))</x:f>
      </x:c>
      <x:c r="C77" t="str">
        <x:f>IF(OR(A77="",COUNTIF(Frozen_Predictions!$A$4:$A$303,A77)&lt;&gt;1),"",INDEX(Frozen_Predictions!$E$4:$E$303,MATCH(A77,Frozen_Predictions!$A$4:$A$303,0)))</x:f>
      </x:c>
      <x:c r="D77" t="str">
        <x:f>IF(OR(A77="",COUNTIF(Frozen_Predictions!$A$4:$A$303,A77)&lt;&gt;1),"",INDEX(Frozen_Predictions!$F$4:$F$303,MATCH(A77,Frozen_Predictions!$A$4:$A$303,0)))</x:f>
      </x:c>
      <x:c r="E77" t="str">
        <x:f>IF(OR(A77="",COUNTIF(Frozen_Predictions!$A$4:$A$303,A77)&lt;&gt;1),"",INDEX(Frozen_Predictions!$G$4:$G$303,MATCH(A77,Frozen_Predictions!$A$4:$A$303,0)))</x:f>
      </x:c>
      <x:c r="F77" t="str">
        <x:f>IF(OR(A77="",COUNTIF(Frozen_Predictions!$A$4:$A$303,A77)&lt;&gt;1),"",INDEX(Frozen_Predictions!$H$4:$H$303,MATCH(A77,Frozen_Predictions!$A$4:$A$303,0)))</x:f>
      </x:c>
      <x:c r="G77" t="str">
        <x:f>IF(OR(A77="",COUNTIF(Frozen_Predictions!$A$4:$A$303,A77)&lt;&gt;1),"",INDEX(Frozen_Predictions!$I$4:$I$303,MATCH(A77,Frozen_Predictions!$A$4:$A$303,0)))</x:f>
      </x:c>
      <x:c r="H77" t="str">
        <x:f>IF(OR(A77="",COUNTIF(Frozen_Predictions!$A$4:$A$303,A77)&lt;&gt;1),"",INDEX(Frozen_Predictions!$J$4:$J$303,MATCH(A77,Frozen_Predictions!$A$4:$A$303,0)))</x:f>
      </x:c>
      <x:c r="I77" t="str">
        <x:f>IF(OR(A77="",COUNTIF(Frozen_Predictions!$A$4:$A$303,A77)&lt;&gt;1),"",INDEX(Frozen_Predictions!$K$4:$K$303,MATCH(A77,Frozen_Predictions!$A$4:$A$303,0)))</x:f>
      </x:c>
      <x:c r="J77" s="142" t="str">
        <x:f>IF(OR(A77="",G77="",COUNT(K77:M77)&lt;3,COUNTIF($A$4:$A$303,A77)&lt;&gt;1),"",IF(IF(M77+F77&gt;0,"1",IF(M77+F77=0,"X","2"))=G77&amp;"",1,0))</x:f>
      </x:c>
      <x:c r="K77" s="143"/>
      <x:c r="L77" s="143"/>
      <x:c r="M77" s="142" t="str">
        <x:f>IF(AND(A77&lt;&gt;"",COUNT(K77:L77)=2),K77-L77,"")</x:f>
      </x:c>
      <x:c r="N77" s="142" t="str">
        <x:f>IF(J77="","",IF(M77+F77=0,"YES","NO"))</x:f>
      </x:c>
      <x:c r="O77" t="str">
        <x:f>IF(J77="","",IF(J77=1,"WIN",IF(N77="YES","Exact margin M="&amp;ABS(F77),"Direction / tail")))</x:f>
      </x:c>
      <x:c r="P77" s="141"/>
      <x:c r="Q77" s="141"/>
      <x:c r="R77" s="144" t="str">
        <x:f>IF(OR(I77="",J77=""),"",(I77-J77)^2)</x:f>
      </x:c>
      <x:c r="S77" s="144" t="str">
        <x:f>IF(OR(I77="",J77=""),"",-(J77*LN(MAX(MIN(I77,0.999999),0.000001))+(1-J77)*LN(MAX(MIN(1-I77,0.999999),0.000001))))</x:f>
      </x:c>
      <x:c r="T77" t="str">
        <x:f>IF(J77="","",INDEX(Frozen_Predictions!$M$4:$M$303,MATCH(A77,Frozen_Predictions!$A$4:$A$303,0)))</x:f>
      </x:c>
      <x:c r="U77" t="str">
        <x:f>IF(J77="","",INDEX(Frozen_Predictions!$W$4:$W$303,MATCH(A77,Frozen_Predictions!$A$4:$A$303,0)))</x:f>
      </x:c>
      <x:c r="V77" t="str">
        <x:f>IF(J77="","",INDEX(Frozen_Predictions!$X$4:$X$303,MATCH(A77,Frozen_Predictions!$A$4:$A$303,0)))</x:f>
      </x:c>
      <x:c r="W77" t="str">
        <x:f>IF(A77="","",IF(COUNTIF($A$4:$A$303,A77)&lt;&gt;1,"ID DUPLICAT",IF(COUNTIF(Frozen_Predictions!$A$4:$A$303,A77)&lt;&gt;1,"ID INEXISTENT SAU DUPLICAT ÎN FROZEN",IF(COUNT(K77:L77)&lt;2,"COMPLETEAZĂ SCORUL","VERIFICAT"))))</x:f>
      </x:c>
    </x:row>
    <x:row r="78">
      <x:c r="A78" s="141"/>
      <x:c r="B78" t="str">
        <x:f>IF(OR(A78="",COUNTIF(Frozen_Predictions!$A$4:$A$303,A78)&lt;&gt;1),"",INDEX(Frozen_Predictions!$C$4:$C$303,MATCH(A78,Frozen_Predictions!$A$4:$A$303,0)))</x:f>
      </x:c>
      <x:c r="C78" t="str">
        <x:f>IF(OR(A78="",COUNTIF(Frozen_Predictions!$A$4:$A$303,A78)&lt;&gt;1),"",INDEX(Frozen_Predictions!$E$4:$E$303,MATCH(A78,Frozen_Predictions!$A$4:$A$303,0)))</x:f>
      </x:c>
      <x:c r="D78" t="str">
        <x:f>IF(OR(A78="",COUNTIF(Frozen_Predictions!$A$4:$A$303,A78)&lt;&gt;1),"",INDEX(Frozen_Predictions!$F$4:$F$303,MATCH(A78,Frozen_Predictions!$A$4:$A$303,0)))</x:f>
      </x:c>
      <x:c r="E78" t="str">
        <x:f>IF(OR(A78="",COUNTIF(Frozen_Predictions!$A$4:$A$303,A78)&lt;&gt;1),"",INDEX(Frozen_Predictions!$G$4:$G$303,MATCH(A78,Frozen_Predictions!$A$4:$A$303,0)))</x:f>
      </x:c>
      <x:c r="F78" t="str">
        <x:f>IF(OR(A78="",COUNTIF(Frozen_Predictions!$A$4:$A$303,A78)&lt;&gt;1),"",INDEX(Frozen_Predictions!$H$4:$H$303,MATCH(A78,Frozen_Predictions!$A$4:$A$303,0)))</x:f>
      </x:c>
      <x:c r="G78" t="str">
        <x:f>IF(OR(A78="",COUNTIF(Frozen_Predictions!$A$4:$A$303,A78)&lt;&gt;1),"",INDEX(Frozen_Predictions!$I$4:$I$303,MATCH(A78,Frozen_Predictions!$A$4:$A$303,0)))</x:f>
      </x:c>
      <x:c r="H78" t="str">
        <x:f>IF(OR(A78="",COUNTIF(Frozen_Predictions!$A$4:$A$303,A78)&lt;&gt;1),"",INDEX(Frozen_Predictions!$J$4:$J$303,MATCH(A78,Frozen_Predictions!$A$4:$A$303,0)))</x:f>
      </x:c>
      <x:c r="I78" t="str">
        <x:f>IF(OR(A78="",COUNTIF(Frozen_Predictions!$A$4:$A$303,A78)&lt;&gt;1),"",INDEX(Frozen_Predictions!$K$4:$K$303,MATCH(A78,Frozen_Predictions!$A$4:$A$303,0)))</x:f>
      </x:c>
      <x:c r="J78" s="142" t="str">
        <x:f>IF(OR(A78="",G78="",COUNT(K78:M78)&lt;3,COUNTIF($A$4:$A$303,A78)&lt;&gt;1),"",IF(IF(M78+F78&gt;0,"1",IF(M78+F78=0,"X","2"))=G78&amp;"",1,0))</x:f>
      </x:c>
      <x:c r="K78" s="143"/>
      <x:c r="L78" s="143"/>
      <x:c r="M78" s="142" t="str">
        <x:f>IF(AND(A78&lt;&gt;"",COUNT(K78:L78)=2),K78-L78,"")</x:f>
      </x:c>
      <x:c r="N78" s="142" t="str">
        <x:f>IF(J78="","",IF(M78+F78=0,"YES","NO"))</x:f>
      </x:c>
      <x:c r="O78" t="str">
        <x:f>IF(J78="","",IF(J78=1,"WIN",IF(N78="YES","Exact margin M="&amp;ABS(F78),"Direction / tail")))</x:f>
      </x:c>
      <x:c r="P78" s="141"/>
      <x:c r="Q78" s="141"/>
      <x:c r="R78" s="144" t="str">
        <x:f>IF(OR(I78="",J78=""),"",(I78-J78)^2)</x:f>
      </x:c>
      <x:c r="S78" s="144" t="str">
        <x:f>IF(OR(I78="",J78=""),"",-(J78*LN(MAX(MIN(I78,0.999999),0.000001))+(1-J78)*LN(MAX(MIN(1-I78,0.999999),0.000001))))</x:f>
      </x:c>
      <x:c r="T78" t="str">
        <x:f>IF(J78="","",INDEX(Frozen_Predictions!$M$4:$M$303,MATCH(A78,Frozen_Predictions!$A$4:$A$303,0)))</x:f>
      </x:c>
      <x:c r="U78" t="str">
        <x:f>IF(J78="","",INDEX(Frozen_Predictions!$W$4:$W$303,MATCH(A78,Frozen_Predictions!$A$4:$A$303,0)))</x:f>
      </x:c>
      <x:c r="V78" t="str">
        <x:f>IF(J78="","",INDEX(Frozen_Predictions!$X$4:$X$303,MATCH(A78,Frozen_Predictions!$A$4:$A$303,0)))</x:f>
      </x:c>
      <x:c r="W78" t="str">
        <x:f>IF(A78="","",IF(COUNTIF($A$4:$A$303,A78)&lt;&gt;1,"ID DUPLICAT",IF(COUNTIF(Frozen_Predictions!$A$4:$A$303,A78)&lt;&gt;1,"ID INEXISTENT SAU DUPLICAT ÎN FROZEN",IF(COUNT(K78:L78)&lt;2,"COMPLETEAZĂ SCORUL","VERIFICAT"))))</x:f>
      </x:c>
    </x:row>
    <x:row r="79">
      <x:c r="A79" s="141"/>
      <x:c r="B79" t="str">
        <x:f>IF(OR(A79="",COUNTIF(Frozen_Predictions!$A$4:$A$303,A79)&lt;&gt;1),"",INDEX(Frozen_Predictions!$C$4:$C$303,MATCH(A79,Frozen_Predictions!$A$4:$A$303,0)))</x:f>
      </x:c>
      <x:c r="C79" t="str">
        <x:f>IF(OR(A79="",COUNTIF(Frozen_Predictions!$A$4:$A$303,A79)&lt;&gt;1),"",INDEX(Frozen_Predictions!$E$4:$E$303,MATCH(A79,Frozen_Predictions!$A$4:$A$303,0)))</x:f>
      </x:c>
      <x:c r="D79" t="str">
        <x:f>IF(OR(A79="",COUNTIF(Frozen_Predictions!$A$4:$A$303,A79)&lt;&gt;1),"",INDEX(Frozen_Predictions!$F$4:$F$303,MATCH(A79,Frozen_Predictions!$A$4:$A$303,0)))</x:f>
      </x:c>
      <x:c r="E79" t="str">
        <x:f>IF(OR(A79="",COUNTIF(Frozen_Predictions!$A$4:$A$303,A79)&lt;&gt;1),"",INDEX(Frozen_Predictions!$G$4:$G$303,MATCH(A79,Frozen_Predictions!$A$4:$A$303,0)))</x:f>
      </x:c>
      <x:c r="F79" t="str">
        <x:f>IF(OR(A79="",COUNTIF(Frozen_Predictions!$A$4:$A$303,A79)&lt;&gt;1),"",INDEX(Frozen_Predictions!$H$4:$H$303,MATCH(A79,Frozen_Predictions!$A$4:$A$303,0)))</x:f>
      </x:c>
      <x:c r="G79" t="str">
        <x:f>IF(OR(A79="",COUNTIF(Frozen_Predictions!$A$4:$A$303,A79)&lt;&gt;1),"",INDEX(Frozen_Predictions!$I$4:$I$303,MATCH(A79,Frozen_Predictions!$A$4:$A$303,0)))</x:f>
      </x:c>
      <x:c r="H79" t="str">
        <x:f>IF(OR(A79="",COUNTIF(Frozen_Predictions!$A$4:$A$303,A79)&lt;&gt;1),"",INDEX(Frozen_Predictions!$J$4:$J$303,MATCH(A79,Frozen_Predictions!$A$4:$A$303,0)))</x:f>
      </x:c>
      <x:c r="I79" t="str">
        <x:f>IF(OR(A79="",COUNTIF(Frozen_Predictions!$A$4:$A$303,A79)&lt;&gt;1),"",INDEX(Frozen_Predictions!$K$4:$K$303,MATCH(A79,Frozen_Predictions!$A$4:$A$303,0)))</x:f>
      </x:c>
      <x:c r="J79" s="142" t="str">
        <x:f>IF(OR(A79="",G79="",COUNT(K79:M79)&lt;3,COUNTIF($A$4:$A$303,A79)&lt;&gt;1),"",IF(IF(M79+F79&gt;0,"1",IF(M79+F79=0,"X","2"))=G79&amp;"",1,0))</x:f>
      </x:c>
      <x:c r="K79" s="143"/>
      <x:c r="L79" s="143"/>
      <x:c r="M79" s="142" t="str">
        <x:f>IF(AND(A79&lt;&gt;"",COUNT(K79:L79)=2),K79-L79,"")</x:f>
      </x:c>
      <x:c r="N79" s="142" t="str">
        <x:f>IF(J79="","",IF(M79+F79=0,"YES","NO"))</x:f>
      </x:c>
      <x:c r="O79" t="str">
        <x:f>IF(J79="","",IF(J79=1,"WIN",IF(N79="YES","Exact margin M="&amp;ABS(F79),"Direction / tail")))</x:f>
      </x:c>
      <x:c r="P79" s="141"/>
      <x:c r="Q79" s="141"/>
      <x:c r="R79" s="144" t="str">
        <x:f>IF(OR(I79="",J79=""),"",(I79-J79)^2)</x:f>
      </x:c>
      <x:c r="S79" s="144" t="str">
        <x:f>IF(OR(I79="",J79=""),"",-(J79*LN(MAX(MIN(I79,0.999999),0.000001))+(1-J79)*LN(MAX(MIN(1-I79,0.999999),0.000001))))</x:f>
      </x:c>
      <x:c r="T79" t="str">
        <x:f>IF(J79="","",INDEX(Frozen_Predictions!$M$4:$M$303,MATCH(A79,Frozen_Predictions!$A$4:$A$303,0)))</x:f>
      </x:c>
      <x:c r="U79" t="str">
        <x:f>IF(J79="","",INDEX(Frozen_Predictions!$W$4:$W$303,MATCH(A79,Frozen_Predictions!$A$4:$A$303,0)))</x:f>
      </x:c>
      <x:c r="V79" t="str">
        <x:f>IF(J79="","",INDEX(Frozen_Predictions!$X$4:$X$303,MATCH(A79,Frozen_Predictions!$A$4:$A$303,0)))</x:f>
      </x:c>
      <x:c r="W79" t="str">
        <x:f>IF(A79="","",IF(COUNTIF($A$4:$A$303,A79)&lt;&gt;1,"ID DUPLICAT",IF(COUNTIF(Frozen_Predictions!$A$4:$A$303,A79)&lt;&gt;1,"ID INEXISTENT SAU DUPLICAT ÎN FROZEN",IF(COUNT(K79:L79)&lt;2,"COMPLETEAZĂ SCORUL","VERIFICAT"))))</x:f>
      </x:c>
    </x:row>
    <x:row r="80">
      <x:c r="A80" s="141"/>
      <x:c r="B80" t="str">
        <x:f>IF(OR(A80="",COUNTIF(Frozen_Predictions!$A$4:$A$303,A80)&lt;&gt;1),"",INDEX(Frozen_Predictions!$C$4:$C$303,MATCH(A80,Frozen_Predictions!$A$4:$A$303,0)))</x:f>
      </x:c>
      <x:c r="C80" t="str">
        <x:f>IF(OR(A80="",COUNTIF(Frozen_Predictions!$A$4:$A$303,A80)&lt;&gt;1),"",INDEX(Frozen_Predictions!$E$4:$E$303,MATCH(A80,Frozen_Predictions!$A$4:$A$303,0)))</x:f>
      </x:c>
      <x:c r="D80" t="str">
        <x:f>IF(OR(A80="",COUNTIF(Frozen_Predictions!$A$4:$A$303,A80)&lt;&gt;1),"",INDEX(Frozen_Predictions!$F$4:$F$303,MATCH(A80,Frozen_Predictions!$A$4:$A$303,0)))</x:f>
      </x:c>
      <x:c r="E80" t="str">
        <x:f>IF(OR(A80="",COUNTIF(Frozen_Predictions!$A$4:$A$303,A80)&lt;&gt;1),"",INDEX(Frozen_Predictions!$G$4:$G$303,MATCH(A80,Frozen_Predictions!$A$4:$A$303,0)))</x:f>
      </x:c>
      <x:c r="F80" t="str">
        <x:f>IF(OR(A80="",COUNTIF(Frozen_Predictions!$A$4:$A$303,A80)&lt;&gt;1),"",INDEX(Frozen_Predictions!$H$4:$H$303,MATCH(A80,Frozen_Predictions!$A$4:$A$303,0)))</x:f>
      </x:c>
      <x:c r="G80" t="str">
        <x:f>IF(OR(A80="",COUNTIF(Frozen_Predictions!$A$4:$A$303,A80)&lt;&gt;1),"",INDEX(Frozen_Predictions!$I$4:$I$303,MATCH(A80,Frozen_Predictions!$A$4:$A$303,0)))</x:f>
      </x:c>
      <x:c r="H80" t="str">
        <x:f>IF(OR(A80="",COUNTIF(Frozen_Predictions!$A$4:$A$303,A80)&lt;&gt;1),"",INDEX(Frozen_Predictions!$J$4:$J$303,MATCH(A80,Frozen_Predictions!$A$4:$A$303,0)))</x:f>
      </x:c>
      <x:c r="I80" t="str">
        <x:f>IF(OR(A80="",COUNTIF(Frozen_Predictions!$A$4:$A$303,A80)&lt;&gt;1),"",INDEX(Frozen_Predictions!$K$4:$K$303,MATCH(A80,Frozen_Predictions!$A$4:$A$303,0)))</x:f>
      </x:c>
      <x:c r="J80" s="142" t="str">
        <x:f>IF(OR(A80="",G80="",COUNT(K80:M80)&lt;3,COUNTIF($A$4:$A$303,A80)&lt;&gt;1),"",IF(IF(M80+F80&gt;0,"1",IF(M80+F80=0,"X","2"))=G80&amp;"",1,0))</x:f>
      </x:c>
      <x:c r="K80" s="143"/>
      <x:c r="L80" s="143"/>
      <x:c r="M80" s="142" t="str">
        <x:f>IF(AND(A80&lt;&gt;"",COUNT(K80:L80)=2),K80-L80,"")</x:f>
      </x:c>
      <x:c r="N80" s="142" t="str">
        <x:f>IF(J80="","",IF(M80+F80=0,"YES","NO"))</x:f>
      </x:c>
      <x:c r="O80" t="str">
        <x:f>IF(J80="","",IF(J80=1,"WIN",IF(N80="YES","Exact margin M="&amp;ABS(F80),"Direction / tail")))</x:f>
      </x:c>
      <x:c r="P80" s="141"/>
      <x:c r="Q80" s="141"/>
      <x:c r="R80" s="144" t="str">
        <x:f>IF(OR(I80="",J80=""),"",(I80-J80)^2)</x:f>
      </x:c>
      <x:c r="S80" s="144" t="str">
        <x:f>IF(OR(I80="",J80=""),"",-(J80*LN(MAX(MIN(I80,0.999999),0.000001))+(1-J80)*LN(MAX(MIN(1-I80,0.999999),0.000001))))</x:f>
      </x:c>
      <x:c r="T80" t="str">
        <x:f>IF(J80="","",INDEX(Frozen_Predictions!$M$4:$M$303,MATCH(A80,Frozen_Predictions!$A$4:$A$303,0)))</x:f>
      </x:c>
      <x:c r="U80" t="str">
        <x:f>IF(J80="","",INDEX(Frozen_Predictions!$W$4:$W$303,MATCH(A80,Frozen_Predictions!$A$4:$A$303,0)))</x:f>
      </x:c>
      <x:c r="V80" t="str">
        <x:f>IF(J80="","",INDEX(Frozen_Predictions!$X$4:$X$303,MATCH(A80,Frozen_Predictions!$A$4:$A$303,0)))</x:f>
      </x:c>
      <x:c r="W80" t="str">
        <x:f>IF(A80="","",IF(COUNTIF($A$4:$A$303,A80)&lt;&gt;1,"ID DUPLICAT",IF(COUNTIF(Frozen_Predictions!$A$4:$A$303,A80)&lt;&gt;1,"ID INEXISTENT SAU DUPLICAT ÎN FROZEN",IF(COUNT(K80:L80)&lt;2,"COMPLETEAZĂ SCORUL","VERIFICAT"))))</x:f>
      </x:c>
    </x:row>
    <x:row r="81">
      <x:c r="A81" s="141"/>
      <x:c r="B81" t="str">
        <x:f>IF(OR(A81="",COUNTIF(Frozen_Predictions!$A$4:$A$303,A81)&lt;&gt;1),"",INDEX(Frozen_Predictions!$C$4:$C$303,MATCH(A81,Frozen_Predictions!$A$4:$A$303,0)))</x:f>
      </x:c>
      <x:c r="C81" t="str">
        <x:f>IF(OR(A81="",COUNTIF(Frozen_Predictions!$A$4:$A$303,A81)&lt;&gt;1),"",INDEX(Frozen_Predictions!$E$4:$E$303,MATCH(A81,Frozen_Predictions!$A$4:$A$303,0)))</x:f>
      </x:c>
      <x:c r="D81" t="str">
        <x:f>IF(OR(A81="",COUNTIF(Frozen_Predictions!$A$4:$A$303,A81)&lt;&gt;1),"",INDEX(Frozen_Predictions!$F$4:$F$303,MATCH(A81,Frozen_Predictions!$A$4:$A$303,0)))</x:f>
      </x:c>
      <x:c r="E81" t="str">
        <x:f>IF(OR(A81="",COUNTIF(Frozen_Predictions!$A$4:$A$303,A81)&lt;&gt;1),"",INDEX(Frozen_Predictions!$G$4:$G$303,MATCH(A81,Frozen_Predictions!$A$4:$A$303,0)))</x:f>
      </x:c>
      <x:c r="F81" t="str">
        <x:f>IF(OR(A81="",COUNTIF(Frozen_Predictions!$A$4:$A$303,A81)&lt;&gt;1),"",INDEX(Frozen_Predictions!$H$4:$H$303,MATCH(A81,Frozen_Predictions!$A$4:$A$303,0)))</x:f>
      </x:c>
      <x:c r="G81" t="str">
        <x:f>IF(OR(A81="",COUNTIF(Frozen_Predictions!$A$4:$A$303,A81)&lt;&gt;1),"",INDEX(Frozen_Predictions!$I$4:$I$303,MATCH(A81,Frozen_Predictions!$A$4:$A$303,0)))</x:f>
      </x:c>
      <x:c r="H81" t="str">
        <x:f>IF(OR(A81="",COUNTIF(Frozen_Predictions!$A$4:$A$303,A81)&lt;&gt;1),"",INDEX(Frozen_Predictions!$J$4:$J$303,MATCH(A81,Frozen_Predictions!$A$4:$A$303,0)))</x:f>
      </x:c>
      <x:c r="I81" t="str">
        <x:f>IF(OR(A81="",COUNTIF(Frozen_Predictions!$A$4:$A$303,A81)&lt;&gt;1),"",INDEX(Frozen_Predictions!$K$4:$K$303,MATCH(A81,Frozen_Predictions!$A$4:$A$303,0)))</x:f>
      </x:c>
      <x:c r="J81" s="142" t="str">
        <x:f>IF(OR(A81="",G81="",COUNT(K81:M81)&lt;3,COUNTIF($A$4:$A$303,A81)&lt;&gt;1),"",IF(IF(M81+F81&gt;0,"1",IF(M81+F81=0,"X","2"))=G81&amp;"",1,0))</x:f>
      </x:c>
      <x:c r="K81" s="143"/>
      <x:c r="L81" s="143"/>
      <x:c r="M81" s="142" t="str">
        <x:f>IF(AND(A81&lt;&gt;"",COUNT(K81:L81)=2),K81-L81,"")</x:f>
      </x:c>
      <x:c r="N81" s="142" t="str">
        <x:f>IF(J81="","",IF(M81+F81=0,"YES","NO"))</x:f>
      </x:c>
      <x:c r="O81" t="str">
        <x:f>IF(J81="","",IF(J81=1,"WIN",IF(N81="YES","Exact margin M="&amp;ABS(F81),"Direction / tail")))</x:f>
      </x:c>
      <x:c r="P81" s="141"/>
      <x:c r="Q81" s="141"/>
      <x:c r="R81" s="144" t="str">
        <x:f>IF(OR(I81="",J81=""),"",(I81-J81)^2)</x:f>
      </x:c>
      <x:c r="S81" s="144" t="str">
        <x:f>IF(OR(I81="",J81=""),"",-(J81*LN(MAX(MIN(I81,0.999999),0.000001))+(1-J81)*LN(MAX(MIN(1-I81,0.999999),0.000001))))</x:f>
      </x:c>
      <x:c r="T81" t="str">
        <x:f>IF(J81="","",INDEX(Frozen_Predictions!$M$4:$M$303,MATCH(A81,Frozen_Predictions!$A$4:$A$303,0)))</x:f>
      </x:c>
      <x:c r="U81" t="str">
        <x:f>IF(J81="","",INDEX(Frozen_Predictions!$W$4:$W$303,MATCH(A81,Frozen_Predictions!$A$4:$A$303,0)))</x:f>
      </x:c>
      <x:c r="V81" t="str">
        <x:f>IF(J81="","",INDEX(Frozen_Predictions!$X$4:$X$303,MATCH(A81,Frozen_Predictions!$A$4:$A$303,0)))</x:f>
      </x:c>
      <x:c r="W81" t="str">
        <x:f>IF(A81="","",IF(COUNTIF($A$4:$A$303,A81)&lt;&gt;1,"ID DUPLICAT",IF(COUNTIF(Frozen_Predictions!$A$4:$A$303,A81)&lt;&gt;1,"ID INEXISTENT SAU DUPLICAT ÎN FROZEN",IF(COUNT(K81:L81)&lt;2,"COMPLETEAZĂ SCORUL","VERIFICAT"))))</x:f>
      </x:c>
    </x:row>
    <x:row r="82">
      <x:c r="A82" s="141"/>
      <x:c r="B82" t="str">
        <x:f>IF(OR(A82="",COUNTIF(Frozen_Predictions!$A$4:$A$303,A82)&lt;&gt;1),"",INDEX(Frozen_Predictions!$C$4:$C$303,MATCH(A82,Frozen_Predictions!$A$4:$A$303,0)))</x:f>
      </x:c>
      <x:c r="C82" t="str">
        <x:f>IF(OR(A82="",COUNTIF(Frozen_Predictions!$A$4:$A$303,A82)&lt;&gt;1),"",INDEX(Frozen_Predictions!$E$4:$E$303,MATCH(A82,Frozen_Predictions!$A$4:$A$303,0)))</x:f>
      </x:c>
      <x:c r="D82" t="str">
        <x:f>IF(OR(A82="",COUNTIF(Frozen_Predictions!$A$4:$A$303,A82)&lt;&gt;1),"",INDEX(Frozen_Predictions!$F$4:$F$303,MATCH(A82,Frozen_Predictions!$A$4:$A$303,0)))</x:f>
      </x:c>
      <x:c r="E82" t="str">
        <x:f>IF(OR(A82="",COUNTIF(Frozen_Predictions!$A$4:$A$303,A82)&lt;&gt;1),"",INDEX(Frozen_Predictions!$G$4:$G$303,MATCH(A82,Frozen_Predictions!$A$4:$A$303,0)))</x:f>
      </x:c>
      <x:c r="F82" t="str">
        <x:f>IF(OR(A82="",COUNTIF(Frozen_Predictions!$A$4:$A$303,A82)&lt;&gt;1),"",INDEX(Frozen_Predictions!$H$4:$H$303,MATCH(A82,Frozen_Predictions!$A$4:$A$303,0)))</x:f>
      </x:c>
      <x:c r="G82" t="str">
        <x:f>IF(OR(A82="",COUNTIF(Frozen_Predictions!$A$4:$A$303,A82)&lt;&gt;1),"",INDEX(Frozen_Predictions!$I$4:$I$303,MATCH(A82,Frozen_Predictions!$A$4:$A$303,0)))</x:f>
      </x:c>
      <x:c r="H82" t="str">
        <x:f>IF(OR(A82="",COUNTIF(Frozen_Predictions!$A$4:$A$303,A82)&lt;&gt;1),"",INDEX(Frozen_Predictions!$J$4:$J$303,MATCH(A82,Frozen_Predictions!$A$4:$A$303,0)))</x:f>
      </x:c>
      <x:c r="I82" t="str">
        <x:f>IF(OR(A82="",COUNTIF(Frozen_Predictions!$A$4:$A$303,A82)&lt;&gt;1),"",INDEX(Frozen_Predictions!$K$4:$K$303,MATCH(A82,Frozen_Predictions!$A$4:$A$303,0)))</x:f>
      </x:c>
      <x:c r="J82" s="142" t="str">
        <x:f>IF(OR(A82="",G82="",COUNT(K82:M82)&lt;3,COUNTIF($A$4:$A$303,A82)&lt;&gt;1),"",IF(IF(M82+F82&gt;0,"1",IF(M82+F82=0,"X","2"))=G82&amp;"",1,0))</x:f>
      </x:c>
      <x:c r="K82" s="143"/>
      <x:c r="L82" s="143"/>
      <x:c r="M82" s="142" t="str">
        <x:f>IF(AND(A82&lt;&gt;"",COUNT(K82:L82)=2),K82-L82,"")</x:f>
      </x:c>
      <x:c r="N82" s="142" t="str">
        <x:f>IF(J82="","",IF(M82+F82=0,"YES","NO"))</x:f>
      </x:c>
      <x:c r="O82" t="str">
        <x:f>IF(J82="","",IF(J82=1,"WIN",IF(N82="YES","Exact margin M="&amp;ABS(F82),"Direction / tail")))</x:f>
      </x:c>
      <x:c r="P82" s="141"/>
      <x:c r="Q82" s="141"/>
      <x:c r="R82" s="144" t="str">
        <x:f>IF(OR(I82="",J82=""),"",(I82-J82)^2)</x:f>
      </x:c>
      <x:c r="S82" s="144" t="str">
        <x:f>IF(OR(I82="",J82=""),"",-(J82*LN(MAX(MIN(I82,0.999999),0.000001))+(1-J82)*LN(MAX(MIN(1-I82,0.999999),0.000001))))</x:f>
      </x:c>
      <x:c r="T82" t="str">
        <x:f>IF(J82="","",INDEX(Frozen_Predictions!$M$4:$M$303,MATCH(A82,Frozen_Predictions!$A$4:$A$303,0)))</x:f>
      </x:c>
      <x:c r="U82" t="str">
        <x:f>IF(J82="","",INDEX(Frozen_Predictions!$W$4:$W$303,MATCH(A82,Frozen_Predictions!$A$4:$A$303,0)))</x:f>
      </x:c>
      <x:c r="V82" t="str">
        <x:f>IF(J82="","",INDEX(Frozen_Predictions!$X$4:$X$303,MATCH(A82,Frozen_Predictions!$A$4:$A$303,0)))</x:f>
      </x:c>
      <x:c r="W82" t="str">
        <x:f>IF(A82="","",IF(COUNTIF($A$4:$A$303,A82)&lt;&gt;1,"ID DUPLICAT",IF(COUNTIF(Frozen_Predictions!$A$4:$A$303,A82)&lt;&gt;1,"ID INEXISTENT SAU DUPLICAT ÎN FROZEN",IF(COUNT(K82:L82)&lt;2,"COMPLETEAZĂ SCORUL","VERIFICAT"))))</x:f>
      </x:c>
    </x:row>
    <x:row r="83">
      <x:c r="A83" s="141"/>
      <x:c r="B83" t="str">
        <x:f>IF(OR(A83="",COUNTIF(Frozen_Predictions!$A$4:$A$303,A83)&lt;&gt;1),"",INDEX(Frozen_Predictions!$C$4:$C$303,MATCH(A83,Frozen_Predictions!$A$4:$A$303,0)))</x:f>
      </x:c>
      <x:c r="C83" t="str">
        <x:f>IF(OR(A83="",COUNTIF(Frozen_Predictions!$A$4:$A$303,A83)&lt;&gt;1),"",INDEX(Frozen_Predictions!$E$4:$E$303,MATCH(A83,Frozen_Predictions!$A$4:$A$303,0)))</x:f>
      </x:c>
      <x:c r="D83" t="str">
        <x:f>IF(OR(A83="",COUNTIF(Frozen_Predictions!$A$4:$A$303,A83)&lt;&gt;1),"",INDEX(Frozen_Predictions!$F$4:$F$303,MATCH(A83,Frozen_Predictions!$A$4:$A$303,0)))</x:f>
      </x:c>
      <x:c r="E83" t="str">
        <x:f>IF(OR(A83="",COUNTIF(Frozen_Predictions!$A$4:$A$303,A83)&lt;&gt;1),"",INDEX(Frozen_Predictions!$G$4:$G$303,MATCH(A83,Frozen_Predictions!$A$4:$A$303,0)))</x:f>
      </x:c>
      <x:c r="F83" t="str">
        <x:f>IF(OR(A83="",COUNTIF(Frozen_Predictions!$A$4:$A$303,A83)&lt;&gt;1),"",INDEX(Frozen_Predictions!$H$4:$H$303,MATCH(A83,Frozen_Predictions!$A$4:$A$303,0)))</x:f>
      </x:c>
      <x:c r="G83" t="str">
        <x:f>IF(OR(A83="",COUNTIF(Frozen_Predictions!$A$4:$A$303,A83)&lt;&gt;1),"",INDEX(Frozen_Predictions!$I$4:$I$303,MATCH(A83,Frozen_Predictions!$A$4:$A$303,0)))</x:f>
      </x:c>
      <x:c r="H83" t="str">
        <x:f>IF(OR(A83="",COUNTIF(Frozen_Predictions!$A$4:$A$303,A83)&lt;&gt;1),"",INDEX(Frozen_Predictions!$J$4:$J$303,MATCH(A83,Frozen_Predictions!$A$4:$A$303,0)))</x:f>
      </x:c>
      <x:c r="I83" t="str">
        <x:f>IF(OR(A83="",COUNTIF(Frozen_Predictions!$A$4:$A$303,A83)&lt;&gt;1),"",INDEX(Frozen_Predictions!$K$4:$K$303,MATCH(A83,Frozen_Predictions!$A$4:$A$303,0)))</x:f>
      </x:c>
      <x:c r="J83" s="142" t="str">
        <x:f>IF(OR(A83="",G83="",COUNT(K83:M83)&lt;3,COUNTIF($A$4:$A$303,A83)&lt;&gt;1),"",IF(IF(M83+F83&gt;0,"1",IF(M83+F83=0,"X","2"))=G83&amp;"",1,0))</x:f>
      </x:c>
      <x:c r="K83" s="143"/>
      <x:c r="L83" s="143"/>
      <x:c r="M83" s="142" t="str">
        <x:f>IF(AND(A83&lt;&gt;"",COUNT(K83:L83)=2),K83-L83,"")</x:f>
      </x:c>
      <x:c r="N83" s="142" t="str">
        <x:f>IF(J83="","",IF(M83+F83=0,"YES","NO"))</x:f>
      </x:c>
      <x:c r="O83" t="str">
        <x:f>IF(J83="","",IF(J83=1,"WIN",IF(N83="YES","Exact margin M="&amp;ABS(F83),"Direction / tail")))</x:f>
      </x:c>
      <x:c r="P83" s="141"/>
      <x:c r="Q83" s="141"/>
      <x:c r="R83" s="144" t="str">
        <x:f>IF(OR(I83="",J83=""),"",(I83-J83)^2)</x:f>
      </x:c>
      <x:c r="S83" s="144" t="str">
        <x:f>IF(OR(I83="",J83=""),"",-(J83*LN(MAX(MIN(I83,0.999999),0.000001))+(1-J83)*LN(MAX(MIN(1-I83,0.999999),0.000001))))</x:f>
      </x:c>
      <x:c r="T83" t="str">
        <x:f>IF(J83="","",INDEX(Frozen_Predictions!$M$4:$M$303,MATCH(A83,Frozen_Predictions!$A$4:$A$303,0)))</x:f>
      </x:c>
      <x:c r="U83" t="str">
        <x:f>IF(J83="","",INDEX(Frozen_Predictions!$W$4:$W$303,MATCH(A83,Frozen_Predictions!$A$4:$A$303,0)))</x:f>
      </x:c>
      <x:c r="V83" t="str">
        <x:f>IF(J83="","",INDEX(Frozen_Predictions!$X$4:$X$303,MATCH(A83,Frozen_Predictions!$A$4:$A$303,0)))</x:f>
      </x:c>
      <x:c r="W83" t="str">
        <x:f>IF(A83="","",IF(COUNTIF($A$4:$A$303,A83)&lt;&gt;1,"ID DUPLICAT",IF(COUNTIF(Frozen_Predictions!$A$4:$A$303,A83)&lt;&gt;1,"ID INEXISTENT SAU DUPLICAT ÎN FROZEN",IF(COUNT(K83:L83)&lt;2,"COMPLETEAZĂ SCORUL","VERIFICAT"))))</x:f>
      </x:c>
    </x:row>
    <x:row r="84">
      <x:c r="A84" s="141"/>
      <x:c r="B84" t="str">
        <x:f>IF(OR(A84="",COUNTIF(Frozen_Predictions!$A$4:$A$303,A84)&lt;&gt;1),"",INDEX(Frozen_Predictions!$C$4:$C$303,MATCH(A84,Frozen_Predictions!$A$4:$A$303,0)))</x:f>
      </x:c>
      <x:c r="C84" t="str">
        <x:f>IF(OR(A84="",COUNTIF(Frozen_Predictions!$A$4:$A$303,A84)&lt;&gt;1),"",INDEX(Frozen_Predictions!$E$4:$E$303,MATCH(A84,Frozen_Predictions!$A$4:$A$303,0)))</x:f>
      </x:c>
      <x:c r="D84" t="str">
        <x:f>IF(OR(A84="",COUNTIF(Frozen_Predictions!$A$4:$A$303,A84)&lt;&gt;1),"",INDEX(Frozen_Predictions!$F$4:$F$303,MATCH(A84,Frozen_Predictions!$A$4:$A$303,0)))</x:f>
      </x:c>
      <x:c r="E84" t="str">
        <x:f>IF(OR(A84="",COUNTIF(Frozen_Predictions!$A$4:$A$303,A84)&lt;&gt;1),"",INDEX(Frozen_Predictions!$G$4:$G$303,MATCH(A84,Frozen_Predictions!$A$4:$A$303,0)))</x:f>
      </x:c>
      <x:c r="F84" t="str">
        <x:f>IF(OR(A84="",COUNTIF(Frozen_Predictions!$A$4:$A$303,A84)&lt;&gt;1),"",INDEX(Frozen_Predictions!$H$4:$H$303,MATCH(A84,Frozen_Predictions!$A$4:$A$303,0)))</x:f>
      </x:c>
      <x:c r="G84" t="str">
        <x:f>IF(OR(A84="",COUNTIF(Frozen_Predictions!$A$4:$A$303,A84)&lt;&gt;1),"",INDEX(Frozen_Predictions!$I$4:$I$303,MATCH(A84,Frozen_Predictions!$A$4:$A$303,0)))</x:f>
      </x:c>
      <x:c r="H84" t="str">
        <x:f>IF(OR(A84="",COUNTIF(Frozen_Predictions!$A$4:$A$303,A84)&lt;&gt;1),"",INDEX(Frozen_Predictions!$J$4:$J$303,MATCH(A84,Frozen_Predictions!$A$4:$A$303,0)))</x:f>
      </x:c>
      <x:c r="I84" t="str">
        <x:f>IF(OR(A84="",COUNTIF(Frozen_Predictions!$A$4:$A$303,A84)&lt;&gt;1),"",INDEX(Frozen_Predictions!$K$4:$K$303,MATCH(A84,Frozen_Predictions!$A$4:$A$303,0)))</x:f>
      </x:c>
      <x:c r="J84" s="142" t="str">
        <x:f>IF(OR(A84="",G84="",COUNT(K84:M84)&lt;3,COUNTIF($A$4:$A$303,A84)&lt;&gt;1),"",IF(IF(M84+F84&gt;0,"1",IF(M84+F84=0,"X","2"))=G84&amp;"",1,0))</x:f>
      </x:c>
      <x:c r="K84" s="143"/>
      <x:c r="L84" s="143"/>
      <x:c r="M84" s="142" t="str">
        <x:f>IF(AND(A84&lt;&gt;"",COUNT(K84:L84)=2),K84-L84,"")</x:f>
      </x:c>
      <x:c r="N84" s="142" t="str">
        <x:f>IF(J84="","",IF(M84+F84=0,"YES","NO"))</x:f>
      </x:c>
      <x:c r="O84" t="str">
        <x:f>IF(J84="","",IF(J84=1,"WIN",IF(N84="YES","Exact margin M="&amp;ABS(F84),"Direction / tail")))</x:f>
      </x:c>
      <x:c r="P84" s="141"/>
      <x:c r="Q84" s="141"/>
      <x:c r="R84" s="144" t="str">
        <x:f>IF(OR(I84="",J84=""),"",(I84-J84)^2)</x:f>
      </x:c>
      <x:c r="S84" s="144" t="str">
        <x:f>IF(OR(I84="",J84=""),"",-(J84*LN(MAX(MIN(I84,0.999999),0.000001))+(1-J84)*LN(MAX(MIN(1-I84,0.999999),0.000001))))</x:f>
      </x:c>
      <x:c r="T84" t="str">
        <x:f>IF(J84="","",INDEX(Frozen_Predictions!$M$4:$M$303,MATCH(A84,Frozen_Predictions!$A$4:$A$303,0)))</x:f>
      </x:c>
      <x:c r="U84" t="str">
        <x:f>IF(J84="","",INDEX(Frozen_Predictions!$W$4:$W$303,MATCH(A84,Frozen_Predictions!$A$4:$A$303,0)))</x:f>
      </x:c>
      <x:c r="V84" t="str">
        <x:f>IF(J84="","",INDEX(Frozen_Predictions!$X$4:$X$303,MATCH(A84,Frozen_Predictions!$A$4:$A$303,0)))</x:f>
      </x:c>
      <x:c r="W84" t="str">
        <x:f>IF(A84="","",IF(COUNTIF($A$4:$A$303,A84)&lt;&gt;1,"ID DUPLICAT",IF(COUNTIF(Frozen_Predictions!$A$4:$A$303,A84)&lt;&gt;1,"ID INEXISTENT SAU DUPLICAT ÎN FROZEN",IF(COUNT(K84:L84)&lt;2,"COMPLETEAZĂ SCORUL","VERIFICAT"))))</x:f>
      </x:c>
    </x:row>
    <x:row r="85">
      <x:c r="A85" s="141"/>
      <x:c r="B85" t="str">
        <x:f>IF(OR(A85="",COUNTIF(Frozen_Predictions!$A$4:$A$303,A85)&lt;&gt;1),"",INDEX(Frozen_Predictions!$C$4:$C$303,MATCH(A85,Frozen_Predictions!$A$4:$A$303,0)))</x:f>
      </x:c>
      <x:c r="C85" t="str">
        <x:f>IF(OR(A85="",COUNTIF(Frozen_Predictions!$A$4:$A$303,A85)&lt;&gt;1),"",INDEX(Frozen_Predictions!$E$4:$E$303,MATCH(A85,Frozen_Predictions!$A$4:$A$303,0)))</x:f>
      </x:c>
      <x:c r="D85" t="str">
        <x:f>IF(OR(A85="",COUNTIF(Frozen_Predictions!$A$4:$A$303,A85)&lt;&gt;1),"",INDEX(Frozen_Predictions!$F$4:$F$303,MATCH(A85,Frozen_Predictions!$A$4:$A$303,0)))</x:f>
      </x:c>
      <x:c r="E85" t="str">
        <x:f>IF(OR(A85="",COUNTIF(Frozen_Predictions!$A$4:$A$303,A85)&lt;&gt;1),"",INDEX(Frozen_Predictions!$G$4:$G$303,MATCH(A85,Frozen_Predictions!$A$4:$A$303,0)))</x:f>
      </x:c>
      <x:c r="F85" t="str">
        <x:f>IF(OR(A85="",COUNTIF(Frozen_Predictions!$A$4:$A$303,A85)&lt;&gt;1),"",INDEX(Frozen_Predictions!$H$4:$H$303,MATCH(A85,Frozen_Predictions!$A$4:$A$303,0)))</x:f>
      </x:c>
      <x:c r="G85" t="str">
        <x:f>IF(OR(A85="",COUNTIF(Frozen_Predictions!$A$4:$A$303,A85)&lt;&gt;1),"",INDEX(Frozen_Predictions!$I$4:$I$303,MATCH(A85,Frozen_Predictions!$A$4:$A$303,0)))</x:f>
      </x:c>
      <x:c r="H85" t="str">
        <x:f>IF(OR(A85="",COUNTIF(Frozen_Predictions!$A$4:$A$303,A85)&lt;&gt;1),"",INDEX(Frozen_Predictions!$J$4:$J$303,MATCH(A85,Frozen_Predictions!$A$4:$A$303,0)))</x:f>
      </x:c>
      <x:c r="I85" t="str">
        <x:f>IF(OR(A85="",COUNTIF(Frozen_Predictions!$A$4:$A$303,A85)&lt;&gt;1),"",INDEX(Frozen_Predictions!$K$4:$K$303,MATCH(A85,Frozen_Predictions!$A$4:$A$303,0)))</x:f>
      </x:c>
      <x:c r="J85" s="142" t="str">
        <x:f>IF(OR(A85="",G85="",COUNT(K85:M85)&lt;3,COUNTIF($A$4:$A$303,A85)&lt;&gt;1),"",IF(IF(M85+F85&gt;0,"1",IF(M85+F85=0,"X","2"))=G85&amp;"",1,0))</x:f>
      </x:c>
      <x:c r="K85" s="143"/>
      <x:c r="L85" s="143"/>
      <x:c r="M85" s="142" t="str">
        <x:f>IF(AND(A85&lt;&gt;"",COUNT(K85:L85)=2),K85-L85,"")</x:f>
      </x:c>
      <x:c r="N85" s="142" t="str">
        <x:f>IF(J85="","",IF(M85+F85=0,"YES","NO"))</x:f>
      </x:c>
      <x:c r="O85" t="str">
        <x:f>IF(J85="","",IF(J85=1,"WIN",IF(N85="YES","Exact margin M="&amp;ABS(F85),"Direction / tail")))</x:f>
      </x:c>
      <x:c r="P85" s="141"/>
      <x:c r="Q85" s="141"/>
      <x:c r="R85" s="144" t="str">
        <x:f>IF(OR(I85="",J85=""),"",(I85-J85)^2)</x:f>
      </x:c>
      <x:c r="S85" s="144" t="str">
        <x:f>IF(OR(I85="",J85=""),"",-(J85*LN(MAX(MIN(I85,0.999999),0.000001))+(1-J85)*LN(MAX(MIN(1-I85,0.999999),0.000001))))</x:f>
      </x:c>
      <x:c r="T85" t="str">
        <x:f>IF(J85="","",INDEX(Frozen_Predictions!$M$4:$M$303,MATCH(A85,Frozen_Predictions!$A$4:$A$303,0)))</x:f>
      </x:c>
      <x:c r="U85" t="str">
        <x:f>IF(J85="","",INDEX(Frozen_Predictions!$W$4:$W$303,MATCH(A85,Frozen_Predictions!$A$4:$A$303,0)))</x:f>
      </x:c>
      <x:c r="V85" t="str">
        <x:f>IF(J85="","",INDEX(Frozen_Predictions!$X$4:$X$303,MATCH(A85,Frozen_Predictions!$A$4:$A$303,0)))</x:f>
      </x:c>
      <x:c r="W85" t="str">
        <x:f>IF(A85="","",IF(COUNTIF($A$4:$A$303,A85)&lt;&gt;1,"ID DUPLICAT",IF(COUNTIF(Frozen_Predictions!$A$4:$A$303,A85)&lt;&gt;1,"ID INEXISTENT SAU DUPLICAT ÎN FROZEN",IF(COUNT(K85:L85)&lt;2,"COMPLETEAZĂ SCORUL","VERIFICAT"))))</x:f>
      </x:c>
    </x:row>
    <x:row r="86">
      <x:c r="A86" s="141"/>
      <x:c r="B86" t="str">
        <x:f>IF(OR(A86="",COUNTIF(Frozen_Predictions!$A$4:$A$303,A86)&lt;&gt;1),"",INDEX(Frozen_Predictions!$C$4:$C$303,MATCH(A86,Frozen_Predictions!$A$4:$A$303,0)))</x:f>
      </x:c>
      <x:c r="C86" t="str">
        <x:f>IF(OR(A86="",COUNTIF(Frozen_Predictions!$A$4:$A$303,A86)&lt;&gt;1),"",INDEX(Frozen_Predictions!$E$4:$E$303,MATCH(A86,Frozen_Predictions!$A$4:$A$303,0)))</x:f>
      </x:c>
      <x:c r="D86" t="str">
        <x:f>IF(OR(A86="",COUNTIF(Frozen_Predictions!$A$4:$A$303,A86)&lt;&gt;1),"",INDEX(Frozen_Predictions!$F$4:$F$303,MATCH(A86,Frozen_Predictions!$A$4:$A$303,0)))</x:f>
      </x:c>
      <x:c r="E86" t="str">
        <x:f>IF(OR(A86="",COUNTIF(Frozen_Predictions!$A$4:$A$303,A86)&lt;&gt;1),"",INDEX(Frozen_Predictions!$G$4:$G$303,MATCH(A86,Frozen_Predictions!$A$4:$A$303,0)))</x:f>
      </x:c>
      <x:c r="F86" t="str">
        <x:f>IF(OR(A86="",COUNTIF(Frozen_Predictions!$A$4:$A$303,A86)&lt;&gt;1),"",INDEX(Frozen_Predictions!$H$4:$H$303,MATCH(A86,Frozen_Predictions!$A$4:$A$303,0)))</x:f>
      </x:c>
      <x:c r="G86" t="str">
        <x:f>IF(OR(A86="",COUNTIF(Frozen_Predictions!$A$4:$A$303,A86)&lt;&gt;1),"",INDEX(Frozen_Predictions!$I$4:$I$303,MATCH(A86,Frozen_Predictions!$A$4:$A$303,0)))</x:f>
      </x:c>
      <x:c r="H86" t="str">
        <x:f>IF(OR(A86="",COUNTIF(Frozen_Predictions!$A$4:$A$303,A86)&lt;&gt;1),"",INDEX(Frozen_Predictions!$J$4:$J$303,MATCH(A86,Frozen_Predictions!$A$4:$A$303,0)))</x:f>
      </x:c>
      <x:c r="I86" t="str">
        <x:f>IF(OR(A86="",COUNTIF(Frozen_Predictions!$A$4:$A$303,A86)&lt;&gt;1),"",INDEX(Frozen_Predictions!$K$4:$K$303,MATCH(A86,Frozen_Predictions!$A$4:$A$303,0)))</x:f>
      </x:c>
      <x:c r="J86" s="142" t="str">
        <x:f>IF(OR(A86="",G86="",COUNT(K86:M86)&lt;3,COUNTIF($A$4:$A$303,A86)&lt;&gt;1),"",IF(IF(M86+F86&gt;0,"1",IF(M86+F86=0,"X","2"))=G86&amp;"",1,0))</x:f>
      </x:c>
      <x:c r="K86" s="143"/>
      <x:c r="L86" s="143"/>
      <x:c r="M86" s="142" t="str">
        <x:f>IF(AND(A86&lt;&gt;"",COUNT(K86:L86)=2),K86-L86,"")</x:f>
      </x:c>
      <x:c r="N86" s="142" t="str">
        <x:f>IF(J86="","",IF(M86+F86=0,"YES","NO"))</x:f>
      </x:c>
      <x:c r="O86" t="str">
        <x:f>IF(J86="","",IF(J86=1,"WIN",IF(N86="YES","Exact margin M="&amp;ABS(F86),"Direction / tail")))</x:f>
      </x:c>
      <x:c r="P86" s="141"/>
      <x:c r="Q86" s="141"/>
      <x:c r="R86" s="144" t="str">
        <x:f>IF(OR(I86="",J86=""),"",(I86-J86)^2)</x:f>
      </x:c>
      <x:c r="S86" s="144" t="str">
        <x:f>IF(OR(I86="",J86=""),"",-(J86*LN(MAX(MIN(I86,0.999999),0.000001))+(1-J86)*LN(MAX(MIN(1-I86,0.999999),0.000001))))</x:f>
      </x:c>
      <x:c r="T86" t="str">
        <x:f>IF(J86="","",INDEX(Frozen_Predictions!$M$4:$M$303,MATCH(A86,Frozen_Predictions!$A$4:$A$303,0)))</x:f>
      </x:c>
      <x:c r="U86" t="str">
        <x:f>IF(J86="","",INDEX(Frozen_Predictions!$W$4:$W$303,MATCH(A86,Frozen_Predictions!$A$4:$A$303,0)))</x:f>
      </x:c>
      <x:c r="V86" t="str">
        <x:f>IF(J86="","",INDEX(Frozen_Predictions!$X$4:$X$303,MATCH(A86,Frozen_Predictions!$A$4:$A$303,0)))</x:f>
      </x:c>
      <x:c r="W86" t="str">
        <x:f>IF(A86="","",IF(COUNTIF($A$4:$A$303,A86)&lt;&gt;1,"ID DUPLICAT",IF(COUNTIF(Frozen_Predictions!$A$4:$A$303,A86)&lt;&gt;1,"ID INEXISTENT SAU DUPLICAT ÎN FROZEN",IF(COUNT(K86:L86)&lt;2,"COMPLETEAZĂ SCORUL","VERIFICAT"))))</x:f>
      </x:c>
    </x:row>
    <x:row r="87">
      <x:c r="A87" s="141"/>
      <x:c r="B87" t="str">
        <x:f>IF(OR(A87="",COUNTIF(Frozen_Predictions!$A$4:$A$303,A87)&lt;&gt;1),"",INDEX(Frozen_Predictions!$C$4:$C$303,MATCH(A87,Frozen_Predictions!$A$4:$A$303,0)))</x:f>
      </x:c>
      <x:c r="C87" t="str">
        <x:f>IF(OR(A87="",COUNTIF(Frozen_Predictions!$A$4:$A$303,A87)&lt;&gt;1),"",INDEX(Frozen_Predictions!$E$4:$E$303,MATCH(A87,Frozen_Predictions!$A$4:$A$303,0)))</x:f>
      </x:c>
      <x:c r="D87" t="str">
        <x:f>IF(OR(A87="",COUNTIF(Frozen_Predictions!$A$4:$A$303,A87)&lt;&gt;1),"",INDEX(Frozen_Predictions!$F$4:$F$303,MATCH(A87,Frozen_Predictions!$A$4:$A$303,0)))</x:f>
      </x:c>
      <x:c r="E87" t="str">
        <x:f>IF(OR(A87="",COUNTIF(Frozen_Predictions!$A$4:$A$303,A87)&lt;&gt;1),"",INDEX(Frozen_Predictions!$G$4:$G$303,MATCH(A87,Frozen_Predictions!$A$4:$A$303,0)))</x:f>
      </x:c>
      <x:c r="F87" t="str">
        <x:f>IF(OR(A87="",COUNTIF(Frozen_Predictions!$A$4:$A$303,A87)&lt;&gt;1),"",INDEX(Frozen_Predictions!$H$4:$H$303,MATCH(A87,Frozen_Predictions!$A$4:$A$303,0)))</x:f>
      </x:c>
      <x:c r="G87" t="str">
        <x:f>IF(OR(A87="",COUNTIF(Frozen_Predictions!$A$4:$A$303,A87)&lt;&gt;1),"",INDEX(Frozen_Predictions!$I$4:$I$303,MATCH(A87,Frozen_Predictions!$A$4:$A$303,0)))</x:f>
      </x:c>
      <x:c r="H87" t="str">
        <x:f>IF(OR(A87="",COUNTIF(Frozen_Predictions!$A$4:$A$303,A87)&lt;&gt;1),"",INDEX(Frozen_Predictions!$J$4:$J$303,MATCH(A87,Frozen_Predictions!$A$4:$A$303,0)))</x:f>
      </x:c>
      <x:c r="I87" t="str">
        <x:f>IF(OR(A87="",COUNTIF(Frozen_Predictions!$A$4:$A$303,A87)&lt;&gt;1),"",INDEX(Frozen_Predictions!$K$4:$K$303,MATCH(A87,Frozen_Predictions!$A$4:$A$303,0)))</x:f>
      </x:c>
      <x:c r="J87" s="142" t="str">
        <x:f>IF(OR(A87="",G87="",COUNT(K87:M87)&lt;3,COUNTIF($A$4:$A$303,A87)&lt;&gt;1),"",IF(IF(M87+F87&gt;0,"1",IF(M87+F87=0,"X","2"))=G87&amp;"",1,0))</x:f>
      </x:c>
      <x:c r="K87" s="143"/>
      <x:c r="L87" s="143"/>
      <x:c r="M87" s="142" t="str">
        <x:f>IF(AND(A87&lt;&gt;"",COUNT(K87:L87)=2),K87-L87,"")</x:f>
      </x:c>
      <x:c r="N87" s="142" t="str">
        <x:f>IF(J87="","",IF(M87+F87=0,"YES","NO"))</x:f>
      </x:c>
      <x:c r="O87" t="str">
        <x:f>IF(J87="","",IF(J87=1,"WIN",IF(N87="YES","Exact margin M="&amp;ABS(F87),"Direction / tail")))</x:f>
      </x:c>
      <x:c r="P87" s="141"/>
      <x:c r="Q87" s="141"/>
      <x:c r="R87" s="144" t="str">
        <x:f>IF(OR(I87="",J87=""),"",(I87-J87)^2)</x:f>
      </x:c>
      <x:c r="S87" s="144" t="str">
        <x:f>IF(OR(I87="",J87=""),"",-(J87*LN(MAX(MIN(I87,0.999999),0.000001))+(1-J87)*LN(MAX(MIN(1-I87,0.999999),0.000001))))</x:f>
      </x:c>
      <x:c r="T87" t="str">
        <x:f>IF(J87="","",INDEX(Frozen_Predictions!$M$4:$M$303,MATCH(A87,Frozen_Predictions!$A$4:$A$303,0)))</x:f>
      </x:c>
      <x:c r="U87" t="str">
        <x:f>IF(J87="","",INDEX(Frozen_Predictions!$W$4:$W$303,MATCH(A87,Frozen_Predictions!$A$4:$A$303,0)))</x:f>
      </x:c>
      <x:c r="V87" t="str">
        <x:f>IF(J87="","",INDEX(Frozen_Predictions!$X$4:$X$303,MATCH(A87,Frozen_Predictions!$A$4:$A$303,0)))</x:f>
      </x:c>
      <x:c r="W87" t="str">
        <x:f>IF(A87="","",IF(COUNTIF($A$4:$A$303,A87)&lt;&gt;1,"ID DUPLICAT",IF(COUNTIF(Frozen_Predictions!$A$4:$A$303,A87)&lt;&gt;1,"ID INEXISTENT SAU DUPLICAT ÎN FROZEN",IF(COUNT(K87:L87)&lt;2,"COMPLETEAZĂ SCORUL","VERIFICAT"))))</x:f>
      </x:c>
    </x:row>
    <x:row r="88">
      <x:c r="A88" s="141"/>
      <x:c r="B88" t="str">
        <x:f>IF(OR(A88="",COUNTIF(Frozen_Predictions!$A$4:$A$303,A88)&lt;&gt;1),"",INDEX(Frozen_Predictions!$C$4:$C$303,MATCH(A88,Frozen_Predictions!$A$4:$A$303,0)))</x:f>
      </x:c>
      <x:c r="C88" t="str">
        <x:f>IF(OR(A88="",COUNTIF(Frozen_Predictions!$A$4:$A$303,A88)&lt;&gt;1),"",INDEX(Frozen_Predictions!$E$4:$E$303,MATCH(A88,Frozen_Predictions!$A$4:$A$303,0)))</x:f>
      </x:c>
      <x:c r="D88" t="str">
        <x:f>IF(OR(A88="",COUNTIF(Frozen_Predictions!$A$4:$A$303,A88)&lt;&gt;1),"",INDEX(Frozen_Predictions!$F$4:$F$303,MATCH(A88,Frozen_Predictions!$A$4:$A$303,0)))</x:f>
      </x:c>
      <x:c r="E88" t="str">
        <x:f>IF(OR(A88="",COUNTIF(Frozen_Predictions!$A$4:$A$303,A88)&lt;&gt;1),"",INDEX(Frozen_Predictions!$G$4:$G$303,MATCH(A88,Frozen_Predictions!$A$4:$A$303,0)))</x:f>
      </x:c>
      <x:c r="F88" t="str">
        <x:f>IF(OR(A88="",COUNTIF(Frozen_Predictions!$A$4:$A$303,A88)&lt;&gt;1),"",INDEX(Frozen_Predictions!$H$4:$H$303,MATCH(A88,Frozen_Predictions!$A$4:$A$303,0)))</x:f>
      </x:c>
      <x:c r="G88" t="str">
        <x:f>IF(OR(A88="",COUNTIF(Frozen_Predictions!$A$4:$A$303,A88)&lt;&gt;1),"",INDEX(Frozen_Predictions!$I$4:$I$303,MATCH(A88,Frozen_Predictions!$A$4:$A$303,0)))</x:f>
      </x:c>
      <x:c r="H88" t="str">
        <x:f>IF(OR(A88="",COUNTIF(Frozen_Predictions!$A$4:$A$303,A88)&lt;&gt;1),"",INDEX(Frozen_Predictions!$J$4:$J$303,MATCH(A88,Frozen_Predictions!$A$4:$A$303,0)))</x:f>
      </x:c>
      <x:c r="I88" t="str">
        <x:f>IF(OR(A88="",COUNTIF(Frozen_Predictions!$A$4:$A$303,A88)&lt;&gt;1),"",INDEX(Frozen_Predictions!$K$4:$K$303,MATCH(A88,Frozen_Predictions!$A$4:$A$303,0)))</x:f>
      </x:c>
      <x:c r="J88" s="142" t="str">
        <x:f>IF(OR(A88="",G88="",COUNT(K88:M88)&lt;3,COUNTIF($A$4:$A$303,A88)&lt;&gt;1),"",IF(IF(M88+F88&gt;0,"1",IF(M88+F88=0,"X","2"))=G88&amp;"",1,0))</x:f>
      </x:c>
      <x:c r="K88" s="143"/>
      <x:c r="L88" s="143"/>
      <x:c r="M88" s="142" t="str">
        <x:f>IF(AND(A88&lt;&gt;"",COUNT(K88:L88)=2),K88-L88,"")</x:f>
      </x:c>
      <x:c r="N88" s="142" t="str">
        <x:f>IF(J88="","",IF(M88+F88=0,"YES","NO"))</x:f>
      </x:c>
      <x:c r="O88" t="str">
        <x:f>IF(J88="","",IF(J88=1,"WIN",IF(N88="YES","Exact margin M="&amp;ABS(F88),"Direction / tail")))</x:f>
      </x:c>
      <x:c r="P88" s="141"/>
      <x:c r="Q88" s="141"/>
      <x:c r="R88" s="144" t="str">
        <x:f>IF(OR(I88="",J88=""),"",(I88-J88)^2)</x:f>
      </x:c>
      <x:c r="S88" s="144" t="str">
        <x:f>IF(OR(I88="",J88=""),"",-(J88*LN(MAX(MIN(I88,0.999999),0.000001))+(1-J88)*LN(MAX(MIN(1-I88,0.999999),0.000001))))</x:f>
      </x:c>
      <x:c r="T88" t="str">
        <x:f>IF(J88="","",INDEX(Frozen_Predictions!$M$4:$M$303,MATCH(A88,Frozen_Predictions!$A$4:$A$303,0)))</x:f>
      </x:c>
      <x:c r="U88" t="str">
        <x:f>IF(J88="","",INDEX(Frozen_Predictions!$W$4:$W$303,MATCH(A88,Frozen_Predictions!$A$4:$A$303,0)))</x:f>
      </x:c>
      <x:c r="V88" t="str">
        <x:f>IF(J88="","",INDEX(Frozen_Predictions!$X$4:$X$303,MATCH(A88,Frozen_Predictions!$A$4:$A$303,0)))</x:f>
      </x:c>
      <x:c r="W88" t="str">
        <x:f>IF(A88="","",IF(COUNTIF($A$4:$A$303,A88)&lt;&gt;1,"ID DUPLICAT",IF(COUNTIF(Frozen_Predictions!$A$4:$A$303,A88)&lt;&gt;1,"ID INEXISTENT SAU DUPLICAT ÎN FROZEN",IF(COUNT(K88:L88)&lt;2,"COMPLETEAZĂ SCORUL","VERIFICAT"))))</x:f>
      </x:c>
    </x:row>
    <x:row r="89">
      <x:c r="A89" s="141"/>
      <x:c r="B89" t="str">
        <x:f>IF(OR(A89="",COUNTIF(Frozen_Predictions!$A$4:$A$303,A89)&lt;&gt;1),"",INDEX(Frozen_Predictions!$C$4:$C$303,MATCH(A89,Frozen_Predictions!$A$4:$A$303,0)))</x:f>
      </x:c>
      <x:c r="C89" t="str">
        <x:f>IF(OR(A89="",COUNTIF(Frozen_Predictions!$A$4:$A$303,A89)&lt;&gt;1),"",INDEX(Frozen_Predictions!$E$4:$E$303,MATCH(A89,Frozen_Predictions!$A$4:$A$303,0)))</x:f>
      </x:c>
      <x:c r="D89" t="str">
        <x:f>IF(OR(A89="",COUNTIF(Frozen_Predictions!$A$4:$A$303,A89)&lt;&gt;1),"",INDEX(Frozen_Predictions!$F$4:$F$303,MATCH(A89,Frozen_Predictions!$A$4:$A$303,0)))</x:f>
      </x:c>
      <x:c r="E89" t="str">
        <x:f>IF(OR(A89="",COUNTIF(Frozen_Predictions!$A$4:$A$303,A89)&lt;&gt;1),"",INDEX(Frozen_Predictions!$G$4:$G$303,MATCH(A89,Frozen_Predictions!$A$4:$A$303,0)))</x:f>
      </x:c>
      <x:c r="F89" t="str">
        <x:f>IF(OR(A89="",COUNTIF(Frozen_Predictions!$A$4:$A$303,A89)&lt;&gt;1),"",INDEX(Frozen_Predictions!$H$4:$H$303,MATCH(A89,Frozen_Predictions!$A$4:$A$303,0)))</x:f>
      </x:c>
      <x:c r="G89" t="str">
        <x:f>IF(OR(A89="",COUNTIF(Frozen_Predictions!$A$4:$A$303,A89)&lt;&gt;1),"",INDEX(Frozen_Predictions!$I$4:$I$303,MATCH(A89,Frozen_Predictions!$A$4:$A$303,0)))</x:f>
      </x:c>
      <x:c r="H89" t="str">
        <x:f>IF(OR(A89="",COUNTIF(Frozen_Predictions!$A$4:$A$303,A89)&lt;&gt;1),"",INDEX(Frozen_Predictions!$J$4:$J$303,MATCH(A89,Frozen_Predictions!$A$4:$A$303,0)))</x:f>
      </x:c>
      <x:c r="I89" t="str">
        <x:f>IF(OR(A89="",COUNTIF(Frozen_Predictions!$A$4:$A$303,A89)&lt;&gt;1),"",INDEX(Frozen_Predictions!$K$4:$K$303,MATCH(A89,Frozen_Predictions!$A$4:$A$303,0)))</x:f>
      </x:c>
      <x:c r="J89" s="142" t="str">
        <x:f>IF(OR(A89="",G89="",COUNT(K89:M89)&lt;3,COUNTIF($A$4:$A$303,A89)&lt;&gt;1),"",IF(IF(M89+F89&gt;0,"1",IF(M89+F89=0,"X","2"))=G89&amp;"",1,0))</x:f>
      </x:c>
      <x:c r="K89" s="143"/>
      <x:c r="L89" s="143"/>
      <x:c r="M89" s="142" t="str">
        <x:f>IF(AND(A89&lt;&gt;"",COUNT(K89:L89)=2),K89-L89,"")</x:f>
      </x:c>
      <x:c r="N89" s="142" t="str">
        <x:f>IF(J89="","",IF(M89+F89=0,"YES","NO"))</x:f>
      </x:c>
      <x:c r="O89" t="str">
        <x:f>IF(J89="","",IF(J89=1,"WIN",IF(N89="YES","Exact margin M="&amp;ABS(F89),"Direction / tail")))</x:f>
      </x:c>
      <x:c r="P89" s="141"/>
      <x:c r="Q89" s="141"/>
      <x:c r="R89" s="144" t="str">
        <x:f>IF(OR(I89="",J89=""),"",(I89-J89)^2)</x:f>
      </x:c>
      <x:c r="S89" s="144" t="str">
        <x:f>IF(OR(I89="",J89=""),"",-(J89*LN(MAX(MIN(I89,0.999999),0.000001))+(1-J89)*LN(MAX(MIN(1-I89,0.999999),0.000001))))</x:f>
      </x:c>
      <x:c r="T89" t="str">
        <x:f>IF(J89="","",INDEX(Frozen_Predictions!$M$4:$M$303,MATCH(A89,Frozen_Predictions!$A$4:$A$303,0)))</x:f>
      </x:c>
      <x:c r="U89" t="str">
        <x:f>IF(J89="","",INDEX(Frozen_Predictions!$W$4:$W$303,MATCH(A89,Frozen_Predictions!$A$4:$A$303,0)))</x:f>
      </x:c>
      <x:c r="V89" t="str">
        <x:f>IF(J89="","",INDEX(Frozen_Predictions!$X$4:$X$303,MATCH(A89,Frozen_Predictions!$A$4:$A$303,0)))</x:f>
      </x:c>
      <x:c r="W89" t="str">
        <x:f>IF(A89="","",IF(COUNTIF($A$4:$A$303,A89)&lt;&gt;1,"ID DUPLICAT",IF(COUNTIF(Frozen_Predictions!$A$4:$A$303,A89)&lt;&gt;1,"ID INEXISTENT SAU DUPLICAT ÎN FROZEN",IF(COUNT(K89:L89)&lt;2,"COMPLETEAZĂ SCORUL","VERIFICAT"))))</x:f>
      </x:c>
    </x:row>
    <x:row r="90">
      <x:c r="A90" s="141"/>
      <x:c r="B90" t="str">
        <x:f>IF(OR(A90="",COUNTIF(Frozen_Predictions!$A$4:$A$303,A90)&lt;&gt;1),"",INDEX(Frozen_Predictions!$C$4:$C$303,MATCH(A90,Frozen_Predictions!$A$4:$A$303,0)))</x:f>
      </x:c>
      <x:c r="C90" t="str">
        <x:f>IF(OR(A90="",COUNTIF(Frozen_Predictions!$A$4:$A$303,A90)&lt;&gt;1),"",INDEX(Frozen_Predictions!$E$4:$E$303,MATCH(A90,Frozen_Predictions!$A$4:$A$303,0)))</x:f>
      </x:c>
      <x:c r="D90" t="str">
        <x:f>IF(OR(A90="",COUNTIF(Frozen_Predictions!$A$4:$A$303,A90)&lt;&gt;1),"",INDEX(Frozen_Predictions!$F$4:$F$303,MATCH(A90,Frozen_Predictions!$A$4:$A$303,0)))</x:f>
      </x:c>
      <x:c r="E90" t="str">
        <x:f>IF(OR(A90="",COUNTIF(Frozen_Predictions!$A$4:$A$303,A90)&lt;&gt;1),"",INDEX(Frozen_Predictions!$G$4:$G$303,MATCH(A90,Frozen_Predictions!$A$4:$A$303,0)))</x:f>
      </x:c>
      <x:c r="F90" t="str">
        <x:f>IF(OR(A90="",COUNTIF(Frozen_Predictions!$A$4:$A$303,A90)&lt;&gt;1),"",INDEX(Frozen_Predictions!$H$4:$H$303,MATCH(A90,Frozen_Predictions!$A$4:$A$303,0)))</x:f>
      </x:c>
      <x:c r="G90" t="str">
        <x:f>IF(OR(A90="",COUNTIF(Frozen_Predictions!$A$4:$A$303,A90)&lt;&gt;1),"",INDEX(Frozen_Predictions!$I$4:$I$303,MATCH(A90,Frozen_Predictions!$A$4:$A$303,0)))</x:f>
      </x:c>
      <x:c r="H90" t="str">
        <x:f>IF(OR(A90="",COUNTIF(Frozen_Predictions!$A$4:$A$303,A90)&lt;&gt;1),"",INDEX(Frozen_Predictions!$J$4:$J$303,MATCH(A90,Frozen_Predictions!$A$4:$A$303,0)))</x:f>
      </x:c>
      <x:c r="I90" t="str">
        <x:f>IF(OR(A90="",COUNTIF(Frozen_Predictions!$A$4:$A$303,A90)&lt;&gt;1),"",INDEX(Frozen_Predictions!$K$4:$K$303,MATCH(A90,Frozen_Predictions!$A$4:$A$303,0)))</x:f>
      </x:c>
      <x:c r="J90" s="142" t="str">
        <x:f>IF(OR(A90="",G90="",COUNT(K90:M90)&lt;3,COUNTIF($A$4:$A$303,A90)&lt;&gt;1),"",IF(IF(M90+F90&gt;0,"1",IF(M90+F90=0,"X","2"))=G90&amp;"",1,0))</x:f>
      </x:c>
      <x:c r="K90" s="143"/>
      <x:c r="L90" s="143"/>
      <x:c r="M90" s="142" t="str">
        <x:f>IF(AND(A90&lt;&gt;"",COUNT(K90:L90)=2),K90-L90,"")</x:f>
      </x:c>
      <x:c r="N90" s="142" t="str">
        <x:f>IF(J90="","",IF(M90+F90=0,"YES","NO"))</x:f>
      </x:c>
      <x:c r="O90" t="str">
        <x:f>IF(J90="","",IF(J90=1,"WIN",IF(N90="YES","Exact margin M="&amp;ABS(F90),"Direction / tail")))</x:f>
      </x:c>
      <x:c r="P90" s="141"/>
      <x:c r="Q90" s="141"/>
      <x:c r="R90" s="144" t="str">
        <x:f>IF(OR(I90="",J90=""),"",(I90-J90)^2)</x:f>
      </x:c>
      <x:c r="S90" s="144" t="str">
        <x:f>IF(OR(I90="",J90=""),"",-(J90*LN(MAX(MIN(I90,0.999999),0.000001))+(1-J90)*LN(MAX(MIN(1-I90,0.999999),0.000001))))</x:f>
      </x:c>
      <x:c r="T90" t="str">
        <x:f>IF(J90="","",INDEX(Frozen_Predictions!$M$4:$M$303,MATCH(A90,Frozen_Predictions!$A$4:$A$303,0)))</x:f>
      </x:c>
      <x:c r="U90" t="str">
        <x:f>IF(J90="","",INDEX(Frozen_Predictions!$W$4:$W$303,MATCH(A90,Frozen_Predictions!$A$4:$A$303,0)))</x:f>
      </x:c>
      <x:c r="V90" t="str">
        <x:f>IF(J90="","",INDEX(Frozen_Predictions!$X$4:$X$303,MATCH(A90,Frozen_Predictions!$A$4:$A$303,0)))</x:f>
      </x:c>
      <x:c r="W90" t="str">
        <x:f>IF(A90="","",IF(COUNTIF($A$4:$A$303,A90)&lt;&gt;1,"ID DUPLICAT",IF(COUNTIF(Frozen_Predictions!$A$4:$A$303,A90)&lt;&gt;1,"ID INEXISTENT SAU DUPLICAT ÎN FROZEN",IF(COUNT(K90:L90)&lt;2,"COMPLETEAZĂ SCORUL","VERIFICAT"))))</x:f>
      </x:c>
    </x:row>
    <x:row r="91">
      <x:c r="A91" s="141"/>
      <x:c r="B91" t="str">
        <x:f>IF(OR(A91="",COUNTIF(Frozen_Predictions!$A$4:$A$303,A91)&lt;&gt;1),"",INDEX(Frozen_Predictions!$C$4:$C$303,MATCH(A91,Frozen_Predictions!$A$4:$A$303,0)))</x:f>
      </x:c>
      <x:c r="C91" t="str">
        <x:f>IF(OR(A91="",COUNTIF(Frozen_Predictions!$A$4:$A$303,A91)&lt;&gt;1),"",INDEX(Frozen_Predictions!$E$4:$E$303,MATCH(A91,Frozen_Predictions!$A$4:$A$303,0)))</x:f>
      </x:c>
      <x:c r="D91" t="str">
        <x:f>IF(OR(A91="",COUNTIF(Frozen_Predictions!$A$4:$A$303,A91)&lt;&gt;1),"",INDEX(Frozen_Predictions!$F$4:$F$303,MATCH(A91,Frozen_Predictions!$A$4:$A$303,0)))</x:f>
      </x:c>
      <x:c r="E91" t="str">
        <x:f>IF(OR(A91="",COUNTIF(Frozen_Predictions!$A$4:$A$303,A91)&lt;&gt;1),"",INDEX(Frozen_Predictions!$G$4:$G$303,MATCH(A91,Frozen_Predictions!$A$4:$A$303,0)))</x:f>
      </x:c>
      <x:c r="F91" t="str">
        <x:f>IF(OR(A91="",COUNTIF(Frozen_Predictions!$A$4:$A$303,A91)&lt;&gt;1),"",INDEX(Frozen_Predictions!$H$4:$H$303,MATCH(A91,Frozen_Predictions!$A$4:$A$303,0)))</x:f>
      </x:c>
      <x:c r="G91" t="str">
        <x:f>IF(OR(A91="",COUNTIF(Frozen_Predictions!$A$4:$A$303,A91)&lt;&gt;1),"",INDEX(Frozen_Predictions!$I$4:$I$303,MATCH(A91,Frozen_Predictions!$A$4:$A$303,0)))</x:f>
      </x:c>
      <x:c r="H91" t="str">
        <x:f>IF(OR(A91="",COUNTIF(Frozen_Predictions!$A$4:$A$303,A91)&lt;&gt;1),"",INDEX(Frozen_Predictions!$J$4:$J$303,MATCH(A91,Frozen_Predictions!$A$4:$A$303,0)))</x:f>
      </x:c>
      <x:c r="I91" t="str">
        <x:f>IF(OR(A91="",COUNTIF(Frozen_Predictions!$A$4:$A$303,A91)&lt;&gt;1),"",INDEX(Frozen_Predictions!$K$4:$K$303,MATCH(A91,Frozen_Predictions!$A$4:$A$303,0)))</x:f>
      </x:c>
      <x:c r="J91" s="142" t="str">
        <x:f>IF(OR(A91="",G91="",COUNT(K91:M91)&lt;3,COUNTIF($A$4:$A$303,A91)&lt;&gt;1),"",IF(IF(M91+F91&gt;0,"1",IF(M91+F91=0,"X","2"))=G91&amp;"",1,0))</x:f>
      </x:c>
      <x:c r="K91" s="143"/>
      <x:c r="L91" s="143"/>
      <x:c r="M91" s="142" t="str">
        <x:f>IF(AND(A91&lt;&gt;"",COUNT(K91:L91)=2),K91-L91,"")</x:f>
      </x:c>
      <x:c r="N91" s="142" t="str">
        <x:f>IF(J91="","",IF(M91+F91=0,"YES","NO"))</x:f>
      </x:c>
      <x:c r="O91" t="str">
        <x:f>IF(J91="","",IF(J91=1,"WIN",IF(N91="YES","Exact margin M="&amp;ABS(F91),"Direction / tail")))</x:f>
      </x:c>
      <x:c r="P91" s="141"/>
      <x:c r="Q91" s="141"/>
      <x:c r="R91" s="144" t="str">
        <x:f>IF(OR(I91="",J91=""),"",(I91-J91)^2)</x:f>
      </x:c>
      <x:c r="S91" s="144" t="str">
        <x:f>IF(OR(I91="",J91=""),"",-(J91*LN(MAX(MIN(I91,0.999999),0.000001))+(1-J91)*LN(MAX(MIN(1-I91,0.999999),0.000001))))</x:f>
      </x:c>
      <x:c r="T91" t="str">
        <x:f>IF(J91="","",INDEX(Frozen_Predictions!$M$4:$M$303,MATCH(A91,Frozen_Predictions!$A$4:$A$303,0)))</x:f>
      </x:c>
      <x:c r="U91" t="str">
        <x:f>IF(J91="","",INDEX(Frozen_Predictions!$W$4:$W$303,MATCH(A91,Frozen_Predictions!$A$4:$A$303,0)))</x:f>
      </x:c>
      <x:c r="V91" t="str">
        <x:f>IF(J91="","",INDEX(Frozen_Predictions!$X$4:$X$303,MATCH(A91,Frozen_Predictions!$A$4:$A$303,0)))</x:f>
      </x:c>
      <x:c r="W91" t="str">
        <x:f>IF(A91="","",IF(COUNTIF($A$4:$A$303,A91)&lt;&gt;1,"ID DUPLICAT",IF(COUNTIF(Frozen_Predictions!$A$4:$A$303,A91)&lt;&gt;1,"ID INEXISTENT SAU DUPLICAT ÎN FROZEN",IF(COUNT(K91:L91)&lt;2,"COMPLETEAZĂ SCORUL","VERIFICAT"))))</x:f>
      </x:c>
    </x:row>
    <x:row r="92">
      <x:c r="A92" s="141"/>
      <x:c r="B92" t="str">
        <x:f>IF(OR(A92="",COUNTIF(Frozen_Predictions!$A$4:$A$303,A92)&lt;&gt;1),"",INDEX(Frozen_Predictions!$C$4:$C$303,MATCH(A92,Frozen_Predictions!$A$4:$A$303,0)))</x:f>
      </x:c>
      <x:c r="C92" t="str">
        <x:f>IF(OR(A92="",COUNTIF(Frozen_Predictions!$A$4:$A$303,A92)&lt;&gt;1),"",INDEX(Frozen_Predictions!$E$4:$E$303,MATCH(A92,Frozen_Predictions!$A$4:$A$303,0)))</x:f>
      </x:c>
      <x:c r="D92" t="str">
        <x:f>IF(OR(A92="",COUNTIF(Frozen_Predictions!$A$4:$A$303,A92)&lt;&gt;1),"",INDEX(Frozen_Predictions!$F$4:$F$303,MATCH(A92,Frozen_Predictions!$A$4:$A$303,0)))</x:f>
      </x:c>
      <x:c r="E92" t="str">
        <x:f>IF(OR(A92="",COUNTIF(Frozen_Predictions!$A$4:$A$303,A92)&lt;&gt;1),"",INDEX(Frozen_Predictions!$G$4:$G$303,MATCH(A92,Frozen_Predictions!$A$4:$A$303,0)))</x:f>
      </x:c>
      <x:c r="F92" t="str">
        <x:f>IF(OR(A92="",COUNTIF(Frozen_Predictions!$A$4:$A$303,A92)&lt;&gt;1),"",INDEX(Frozen_Predictions!$H$4:$H$303,MATCH(A92,Frozen_Predictions!$A$4:$A$303,0)))</x:f>
      </x:c>
      <x:c r="G92" t="str">
        <x:f>IF(OR(A92="",COUNTIF(Frozen_Predictions!$A$4:$A$303,A92)&lt;&gt;1),"",INDEX(Frozen_Predictions!$I$4:$I$303,MATCH(A92,Frozen_Predictions!$A$4:$A$303,0)))</x:f>
      </x:c>
      <x:c r="H92" t="str">
        <x:f>IF(OR(A92="",COUNTIF(Frozen_Predictions!$A$4:$A$303,A92)&lt;&gt;1),"",INDEX(Frozen_Predictions!$J$4:$J$303,MATCH(A92,Frozen_Predictions!$A$4:$A$303,0)))</x:f>
      </x:c>
      <x:c r="I92" t="str">
        <x:f>IF(OR(A92="",COUNTIF(Frozen_Predictions!$A$4:$A$303,A92)&lt;&gt;1),"",INDEX(Frozen_Predictions!$K$4:$K$303,MATCH(A92,Frozen_Predictions!$A$4:$A$303,0)))</x:f>
      </x:c>
      <x:c r="J92" s="142" t="str">
        <x:f>IF(OR(A92="",G92="",COUNT(K92:M92)&lt;3,COUNTIF($A$4:$A$303,A92)&lt;&gt;1),"",IF(IF(M92+F92&gt;0,"1",IF(M92+F92=0,"X","2"))=G92&amp;"",1,0))</x:f>
      </x:c>
      <x:c r="K92" s="143"/>
      <x:c r="L92" s="143"/>
      <x:c r="M92" s="142" t="str">
        <x:f>IF(AND(A92&lt;&gt;"",COUNT(K92:L92)=2),K92-L92,"")</x:f>
      </x:c>
      <x:c r="N92" s="142" t="str">
        <x:f>IF(J92="","",IF(M92+F92=0,"YES","NO"))</x:f>
      </x:c>
      <x:c r="O92" t="str">
        <x:f>IF(J92="","",IF(J92=1,"WIN",IF(N92="YES","Exact margin M="&amp;ABS(F92),"Direction / tail")))</x:f>
      </x:c>
      <x:c r="P92" s="141"/>
      <x:c r="Q92" s="141"/>
      <x:c r="R92" s="144" t="str">
        <x:f>IF(OR(I92="",J92=""),"",(I92-J92)^2)</x:f>
      </x:c>
      <x:c r="S92" s="144" t="str">
        <x:f>IF(OR(I92="",J92=""),"",-(J92*LN(MAX(MIN(I92,0.999999),0.000001))+(1-J92)*LN(MAX(MIN(1-I92,0.999999),0.000001))))</x:f>
      </x:c>
      <x:c r="T92" t="str">
        <x:f>IF(J92="","",INDEX(Frozen_Predictions!$M$4:$M$303,MATCH(A92,Frozen_Predictions!$A$4:$A$303,0)))</x:f>
      </x:c>
      <x:c r="U92" t="str">
        <x:f>IF(J92="","",INDEX(Frozen_Predictions!$W$4:$W$303,MATCH(A92,Frozen_Predictions!$A$4:$A$303,0)))</x:f>
      </x:c>
      <x:c r="V92" t="str">
        <x:f>IF(J92="","",INDEX(Frozen_Predictions!$X$4:$X$303,MATCH(A92,Frozen_Predictions!$A$4:$A$303,0)))</x:f>
      </x:c>
      <x:c r="W92" t="str">
        <x:f>IF(A92="","",IF(COUNTIF($A$4:$A$303,A92)&lt;&gt;1,"ID DUPLICAT",IF(COUNTIF(Frozen_Predictions!$A$4:$A$303,A92)&lt;&gt;1,"ID INEXISTENT SAU DUPLICAT ÎN FROZEN",IF(COUNT(K92:L92)&lt;2,"COMPLETEAZĂ SCORUL","VERIFICAT"))))</x:f>
      </x:c>
    </x:row>
    <x:row r="93">
      <x:c r="A93" s="141"/>
      <x:c r="B93" t="str">
        <x:f>IF(OR(A93="",COUNTIF(Frozen_Predictions!$A$4:$A$303,A93)&lt;&gt;1),"",INDEX(Frozen_Predictions!$C$4:$C$303,MATCH(A93,Frozen_Predictions!$A$4:$A$303,0)))</x:f>
      </x:c>
      <x:c r="C93" t="str">
        <x:f>IF(OR(A93="",COUNTIF(Frozen_Predictions!$A$4:$A$303,A93)&lt;&gt;1),"",INDEX(Frozen_Predictions!$E$4:$E$303,MATCH(A93,Frozen_Predictions!$A$4:$A$303,0)))</x:f>
      </x:c>
      <x:c r="D93" t="str">
        <x:f>IF(OR(A93="",COUNTIF(Frozen_Predictions!$A$4:$A$303,A93)&lt;&gt;1),"",INDEX(Frozen_Predictions!$F$4:$F$303,MATCH(A93,Frozen_Predictions!$A$4:$A$303,0)))</x:f>
      </x:c>
      <x:c r="E93" t="str">
        <x:f>IF(OR(A93="",COUNTIF(Frozen_Predictions!$A$4:$A$303,A93)&lt;&gt;1),"",INDEX(Frozen_Predictions!$G$4:$G$303,MATCH(A93,Frozen_Predictions!$A$4:$A$303,0)))</x:f>
      </x:c>
      <x:c r="F93" t="str">
        <x:f>IF(OR(A93="",COUNTIF(Frozen_Predictions!$A$4:$A$303,A93)&lt;&gt;1),"",INDEX(Frozen_Predictions!$H$4:$H$303,MATCH(A93,Frozen_Predictions!$A$4:$A$303,0)))</x:f>
      </x:c>
      <x:c r="G93" t="str">
        <x:f>IF(OR(A93="",COUNTIF(Frozen_Predictions!$A$4:$A$303,A93)&lt;&gt;1),"",INDEX(Frozen_Predictions!$I$4:$I$303,MATCH(A93,Frozen_Predictions!$A$4:$A$303,0)))</x:f>
      </x:c>
      <x:c r="H93" t="str">
        <x:f>IF(OR(A93="",COUNTIF(Frozen_Predictions!$A$4:$A$303,A93)&lt;&gt;1),"",INDEX(Frozen_Predictions!$J$4:$J$303,MATCH(A93,Frozen_Predictions!$A$4:$A$303,0)))</x:f>
      </x:c>
      <x:c r="I93" t="str">
        <x:f>IF(OR(A93="",COUNTIF(Frozen_Predictions!$A$4:$A$303,A93)&lt;&gt;1),"",INDEX(Frozen_Predictions!$K$4:$K$303,MATCH(A93,Frozen_Predictions!$A$4:$A$303,0)))</x:f>
      </x:c>
      <x:c r="J93" s="142" t="str">
        <x:f>IF(OR(A93="",G93="",COUNT(K93:M93)&lt;3,COUNTIF($A$4:$A$303,A93)&lt;&gt;1),"",IF(IF(M93+F93&gt;0,"1",IF(M93+F93=0,"X","2"))=G93&amp;"",1,0))</x:f>
      </x:c>
      <x:c r="K93" s="143"/>
      <x:c r="L93" s="143"/>
      <x:c r="M93" s="142" t="str">
        <x:f>IF(AND(A93&lt;&gt;"",COUNT(K93:L93)=2),K93-L93,"")</x:f>
      </x:c>
      <x:c r="N93" s="142" t="str">
        <x:f>IF(J93="","",IF(M93+F93=0,"YES","NO"))</x:f>
      </x:c>
      <x:c r="O93" t="str">
        <x:f>IF(J93="","",IF(J93=1,"WIN",IF(N93="YES","Exact margin M="&amp;ABS(F93),"Direction / tail")))</x:f>
      </x:c>
      <x:c r="P93" s="141"/>
      <x:c r="Q93" s="141"/>
      <x:c r="R93" s="144" t="str">
        <x:f>IF(OR(I93="",J93=""),"",(I93-J93)^2)</x:f>
      </x:c>
      <x:c r="S93" s="144" t="str">
        <x:f>IF(OR(I93="",J93=""),"",-(J93*LN(MAX(MIN(I93,0.999999),0.000001))+(1-J93)*LN(MAX(MIN(1-I93,0.999999),0.000001))))</x:f>
      </x:c>
      <x:c r="T93" t="str">
        <x:f>IF(J93="","",INDEX(Frozen_Predictions!$M$4:$M$303,MATCH(A93,Frozen_Predictions!$A$4:$A$303,0)))</x:f>
      </x:c>
      <x:c r="U93" t="str">
        <x:f>IF(J93="","",INDEX(Frozen_Predictions!$W$4:$W$303,MATCH(A93,Frozen_Predictions!$A$4:$A$303,0)))</x:f>
      </x:c>
      <x:c r="V93" t="str">
        <x:f>IF(J93="","",INDEX(Frozen_Predictions!$X$4:$X$303,MATCH(A93,Frozen_Predictions!$A$4:$A$303,0)))</x:f>
      </x:c>
      <x:c r="W93" t="str">
        <x:f>IF(A93="","",IF(COUNTIF($A$4:$A$303,A93)&lt;&gt;1,"ID DUPLICAT",IF(COUNTIF(Frozen_Predictions!$A$4:$A$303,A93)&lt;&gt;1,"ID INEXISTENT SAU DUPLICAT ÎN FROZEN",IF(COUNT(K93:L93)&lt;2,"COMPLETEAZĂ SCORUL","VERIFICAT"))))</x:f>
      </x:c>
    </x:row>
    <x:row r="94">
      <x:c r="A94" s="141"/>
      <x:c r="B94" t="str">
        <x:f>IF(OR(A94="",COUNTIF(Frozen_Predictions!$A$4:$A$303,A94)&lt;&gt;1),"",INDEX(Frozen_Predictions!$C$4:$C$303,MATCH(A94,Frozen_Predictions!$A$4:$A$303,0)))</x:f>
      </x:c>
      <x:c r="C94" t="str">
        <x:f>IF(OR(A94="",COUNTIF(Frozen_Predictions!$A$4:$A$303,A94)&lt;&gt;1),"",INDEX(Frozen_Predictions!$E$4:$E$303,MATCH(A94,Frozen_Predictions!$A$4:$A$303,0)))</x:f>
      </x:c>
      <x:c r="D94" t="str">
        <x:f>IF(OR(A94="",COUNTIF(Frozen_Predictions!$A$4:$A$303,A94)&lt;&gt;1),"",INDEX(Frozen_Predictions!$F$4:$F$303,MATCH(A94,Frozen_Predictions!$A$4:$A$303,0)))</x:f>
      </x:c>
      <x:c r="E94" t="str">
        <x:f>IF(OR(A94="",COUNTIF(Frozen_Predictions!$A$4:$A$303,A94)&lt;&gt;1),"",INDEX(Frozen_Predictions!$G$4:$G$303,MATCH(A94,Frozen_Predictions!$A$4:$A$303,0)))</x:f>
      </x:c>
      <x:c r="F94" t="str">
        <x:f>IF(OR(A94="",COUNTIF(Frozen_Predictions!$A$4:$A$303,A94)&lt;&gt;1),"",INDEX(Frozen_Predictions!$H$4:$H$303,MATCH(A94,Frozen_Predictions!$A$4:$A$303,0)))</x:f>
      </x:c>
      <x:c r="G94" t="str">
        <x:f>IF(OR(A94="",COUNTIF(Frozen_Predictions!$A$4:$A$303,A94)&lt;&gt;1),"",INDEX(Frozen_Predictions!$I$4:$I$303,MATCH(A94,Frozen_Predictions!$A$4:$A$303,0)))</x:f>
      </x:c>
      <x:c r="H94" t="str">
        <x:f>IF(OR(A94="",COUNTIF(Frozen_Predictions!$A$4:$A$303,A94)&lt;&gt;1),"",INDEX(Frozen_Predictions!$J$4:$J$303,MATCH(A94,Frozen_Predictions!$A$4:$A$303,0)))</x:f>
      </x:c>
      <x:c r="I94" t="str">
        <x:f>IF(OR(A94="",COUNTIF(Frozen_Predictions!$A$4:$A$303,A94)&lt;&gt;1),"",INDEX(Frozen_Predictions!$K$4:$K$303,MATCH(A94,Frozen_Predictions!$A$4:$A$303,0)))</x:f>
      </x:c>
      <x:c r="J94" s="142" t="str">
        <x:f>IF(OR(A94="",G94="",COUNT(K94:M94)&lt;3,COUNTIF($A$4:$A$303,A94)&lt;&gt;1),"",IF(IF(M94+F94&gt;0,"1",IF(M94+F94=0,"X","2"))=G94&amp;"",1,0))</x:f>
      </x:c>
      <x:c r="K94" s="143"/>
      <x:c r="L94" s="143"/>
      <x:c r="M94" s="142" t="str">
        <x:f>IF(AND(A94&lt;&gt;"",COUNT(K94:L94)=2),K94-L94,"")</x:f>
      </x:c>
      <x:c r="N94" s="142" t="str">
        <x:f>IF(J94="","",IF(M94+F94=0,"YES","NO"))</x:f>
      </x:c>
      <x:c r="O94" t="str">
        <x:f>IF(J94="","",IF(J94=1,"WIN",IF(N94="YES","Exact margin M="&amp;ABS(F94),"Direction / tail")))</x:f>
      </x:c>
      <x:c r="P94" s="141"/>
      <x:c r="Q94" s="141"/>
      <x:c r="R94" s="144" t="str">
        <x:f>IF(OR(I94="",J94=""),"",(I94-J94)^2)</x:f>
      </x:c>
      <x:c r="S94" s="144" t="str">
        <x:f>IF(OR(I94="",J94=""),"",-(J94*LN(MAX(MIN(I94,0.999999),0.000001))+(1-J94)*LN(MAX(MIN(1-I94,0.999999),0.000001))))</x:f>
      </x:c>
      <x:c r="T94" t="str">
        <x:f>IF(J94="","",INDEX(Frozen_Predictions!$M$4:$M$303,MATCH(A94,Frozen_Predictions!$A$4:$A$303,0)))</x:f>
      </x:c>
      <x:c r="U94" t="str">
        <x:f>IF(J94="","",INDEX(Frozen_Predictions!$W$4:$W$303,MATCH(A94,Frozen_Predictions!$A$4:$A$303,0)))</x:f>
      </x:c>
      <x:c r="V94" t="str">
        <x:f>IF(J94="","",INDEX(Frozen_Predictions!$X$4:$X$303,MATCH(A94,Frozen_Predictions!$A$4:$A$303,0)))</x:f>
      </x:c>
      <x:c r="W94" t="str">
        <x:f>IF(A94="","",IF(COUNTIF($A$4:$A$303,A94)&lt;&gt;1,"ID DUPLICAT",IF(COUNTIF(Frozen_Predictions!$A$4:$A$303,A94)&lt;&gt;1,"ID INEXISTENT SAU DUPLICAT ÎN FROZEN",IF(COUNT(K94:L94)&lt;2,"COMPLETEAZĂ SCORUL","VERIFICAT"))))</x:f>
      </x:c>
    </x:row>
    <x:row r="95">
      <x:c r="A95" s="141"/>
      <x:c r="B95" t="str">
        <x:f>IF(OR(A95="",COUNTIF(Frozen_Predictions!$A$4:$A$303,A95)&lt;&gt;1),"",INDEX(Frozen_Predictions!$C$4:$C$303,MATCH(A95,Frozen_Predictions!$A$4:$A$303,0)))</x:f>
      </x:c>
      <x:c r="C95" t="str">
        <x:f>IF(OR(A95="",COUNTIF(Frozen_Predictions!$A$4:$A$303,A95)&lt;&gt;1),"",INDEX(Frozen_Predictions!$E$4:$E$303,MATCH(A95,Frozen_Predictions!$A$4:$A$303,0)))</x:f>
      </x:c>
      <x:c r="D95" t="str">
        <x:f>IF(OR(A95="",COUNTIF(Frozen_Predictions!$A$4:$A$303,A95)&lt;&gt;1),"",INDEX(Frozen_Predictions!$F$4:$F$303,MATCH(A95,Frozen_Predictions!$A$4:$A$303,0)))</x:f>
      </x:c>
      <x:c r="E95" t="str">
        <x:f>IF(OR(A95="",COUNTIF(Frozen_Predictions!$A$4:$A$303,A95)&lt;&gt;1),"",INDEX(Frozen_Predictions!$G$4:$G$303,MATCH(A95,Frozen_Predictions!$A$4:$A$303,0)))</x:f>
      </x:c>
      <x:c r="F95" t="str">
        <x:f>IF(OR(A95="",COUNTIF(Frozen_Predictions!$A$4:$A$303,A95)&lt;&gt;1),"",INDEX(Frozen_Predictions!$H$4:$H$303,MATCH(A95,Frozen_Predictions!$A$4:$A$303,0)))</x:f>
      </x:c>
      <x:c r="G95" t="str">
        <x:f>IF(OR(A95="",COUNTIF(Frozen_Predictions!$A$4:$A$303,A95)&lt;&gt;1),"",INDEX(Frozen_Predictions!$I$4:$I$303,MATCH(A95,Frozen_Predictions!$A$4:$A$303,0)))</x:f>
      </x:c>
      <x:c r="H95" t="str">
        <x:f>IF(OR(A95="",COUNTIF(Frozen_Predictions!$A$4:$A$303,A95)&lt;&gt;1),"",INDEX(Frozen_Predictions!$J$4:$J$303,MATCH(A95,Frozen_Predictions!$A$4:$A$303,0)))</x:f>
      </x:c>
      <x:c r="I95" t="str">
        <x:f>IF(OR(A95="",COUNTIF(Frozen_Predictions!$A$4:$A$303,A95)&lt;&gt;1),"",INDEX(Frozen_Predictions!$K$4:$K$303,MATCH(A95,Frozen_Predictions!$A$4:$A$303,0)))</x:f>
      </x:c>
      <x:c r="J95" s="142" t="str">
        <x:f>IF(OR(A95="",G95="",COUNT(K95:M95)&lt;3,COUNTIF($A$4:$A$303,A95)&lt;&gt;1),"",IF(IF(M95+F95&gt;0,"1",IF(M95+F95=0,"X","2"))=G95&amp;"",1,0))</x:f>
      </x:c>
      <x:c r="K95" s="143"/>
      <x:c r="L95" s="143"/>
      <x:c r="M95" s="142" t="str">
        <x:f>IF(AND(A95&lt;&gt;"",COUNT(K95:L95)=2),K95-L95,"")</x:f>
      </x:c>
      <x:c r="N95" s="142" t="str">
        <x:f>IF(J95="","",IF(M95+F95=0,"YES","NO"))</x:f>
      </x:c>
      <x:c r="O95" t="str">
        <x:f>IF(J95="","",IF(J95=1,"WIN",IF(N95="YES","Exact margin M="&amp;ABS(F95),"Direction / tail")))</x:f>
      </x:c>
      <x:c r="P95" s="141"/>
      <x:c r="Q95" s="141"/>
      <x:c r="R95" s="144" t="str">
        <x:f>IF(OR(I95="",J95=""),"",(I95-J95)^2)</x:f>
      </x:c>
      <x:c r="S95" s="144" t="str">
        <x:f>IF(OR(I95="",J95=""),"",-(J95*LN(MAX(MIN(I95,0.999999),0.000001))+(1-J95)*LN(MAX(MIN(1-I95,0.999999),0.000001))))</x:f>
      </x:c>
      <x:c r="T95" t="str">
        <x:f>IF(J95="","",INDEX(Frozen_Predictions!$M$4:$M$303,MATCH(A95,Frozen_Predictions!$A$4:$A$303,0)))</x:f>
      </x:c>
      <x:c r="U95" t="str">
        <x:f>IF(J95="","",INDEX(Frozen_Predictions!$W$4:$W$303,MATCH(A95,Frozen_Predictions!$A$4:$A$303,0)))</x:f>
      </x:c>
      <x:c r="V95" t="str">
        <x:f>IF(J95="","",INDEX(Frozen_Predictions!$X$4:$X$303,MATCH(A95,Frozen_Predictions!$A$4:$A$303,0)))</x:f>
      </x:c>
      <x:c r="W95" t="str">
        <x:f>IF(A95="","",IF(COUNTIF($A$4:$A$303,A95)&lt;&gt;1,"ID DUPLICAT",IF(COUNTIF(Frozen_Predictions!$A$4:$A$303,A95)&lt;&gt;1,"ID INEXISTENT SAU DUPLICAT ÎN FROZEN",IF(COUNT(K95:L95)&lt;2,"COMPLETEAZĂ SCORUL","VERIFICAT"))))</x:f>
      </x:c>
    </x:row>
    <x:row r="96">
      <x:c r="A96" s="141"/>
      <x:c r="B96" t="str">
        <x:f>IF(OR(A96="",COUNTIF(Frozen_Predictions!$A$4:$A$303,A96)&lt;&gt;1),"",INDEX(Frozen_Predictions!$C$4:$C$303,MATCH(A96,Frozen_Predictions!$A$4:$A$303,0)))</x:f>
      </x:c>
      <x:c r="C96" t="str">
        <x:f>IF(OR(A96="",COUNTIF(Frozen_Predictions!$A$4:$A$303,A96)&lt;&gt;1),"",INDEX(Frozen_Predictions!$E$4:$E$303,MATCH(A96,Frozen_Predictions!$A$4:$A$303,0)))</x:f>
      </x:c>
      <x:c r="D96" t="str">
        <x:f>IF(OR(A96="",COUNTIF(Frozen_Predictions!$A$4:$A$303,A96)&lt;&gt;1),"",INDEX(Frozen_Predictions!$F$4:$F$303,MATCH(A96,Frozen_Predictions!$A$4:$A$303,0)))</x:f>
      </x:c>
      <x:c r="E96" t="str">
        <x:f>IF(OR(A96="",COUNTIF(Frozen_Predictions!$A$4:$A$303,A96)&lt;&gt;1),"",INDEX(Frozen_Predictions!$G$4:$G$303,MATCH(A96,Frozen_Predictions!$A$4:$A$303,0)))</x:f>
      </x:c>
      <x:c r="F96" t="str">
        <x:f>IF(OR(A96="",COUNTIF(Frozen_Predictions!$A$4:$A$303,A96)&lt;&gt;1),"",INDEX(Frozen_Predictions!$H$4:$H$303,MATCH(A96,Frozen_Predictions!$A$4:$A$303,0)))</x:f>
      </x:c>
      <x:c r="G96" t="str">
        <x:f>IF(OR(A96="",COUNTIF(Frozen_Predictions!$A$4:$A$303,A96)&lt;&gt;1),"",INDEX(Frozen_Predictions!$I$4:$I$303,MATCH(A96,Frozen_Predictions!$A$4:$A$303,0)))</x:f>
      </x:c>
      <x:c r="H96" t="str">
        <x:f>IF(OR(A96="",COUNTIF(Frozen_Predictions!$A$4:$A$303,A96)&lt;&gt;1),"",INDEX(Frozen_Predictions!$J$4:$J$303,MATCH(A96,Frozen_Predictions!$A$4:$A$303,0)))</x:f>
      </x:c>
      <x:c r="I96" t="str">
        <x:f>IF(OR(A96="",COUNTIF(Frozen_Predictions!$A$4:$A$303,A96)&lt;&gt;1),"",INDEX(Frozen_Predictions!$K$4:$K$303,MATCH(A96,Frozen_Predictions!$A$4:$A$303,0)))</x:f>
      </x:c>
      <x:c r="J96" s="142" t="str">
        <x:f>IF(OR(A96="",G96="",COUNT(K96:M96)&lt;3,COUNTIF($A$4:$A$303,A96)&lt;&gt;1),"",IF(IF(M96+F96&gt;0,"1",IF(M96+F96=0,"X","2"))=G96&amp;"",1,0))</x:f>
      </x:c>
      <x:c r="K96" s="143"/>
      <x:c r="L96" s="143"/>
      <x:c r="M96" s="142" t="str">
        <x:f>IF(AND(A96&lt;&gt;"",COUNT(K96:L96)=2),K96-L96,"")</x:f>
      </x:c>
      <x:c r="N96" s="142" t="str">
        <x:f>IF(J96="","",IF(M96+F96=0,"YES","NO"))</x:f>
      </x:c>
      <x:c r="O96" t="str">
        <x:f>IF(J96="","",IF(J96=1,"WIN",IF(N96="YES","Exact margin M="&amp;ABS(F96),"Direction / tail")))</x:f>
      </x:c>
      <x:c r="P96" s="141"/>
      <x:c r="Q96" s="141"/>
      <x:c r="R96" s="144" t="str">
        <x:f>IF(OR(I96="",J96=""),"",(I96-J96)^2)</x:f>
      </x:c>
      <x:c r="S96" s="144" t="str">
        <x:f>IF(OR(I96="",J96=""),"",-(J96*LN(MAX(MIN(I96,0.999999),0.000001))+(1-J96)*LN(MAX(MIN(1-I96,0.999999),0.000001))))</x:f>
      </x:c>
      <x:c r="T96" t="str">
        <x:f>IF(J96="","",INDEX(Frozen_Predictions!$M$4:$M$303,MATCH(A96,Frozen_Predictions!$A$4:$A$303,0)))</x:f>
      </x:c>
      <x:c r="U96" t="str">
        <x:f>IF(J96="","",INDEX(Frozen_Predictions!$W$4:$W$303,MATCH(A96,Frozen_Predictions!$A$4:$A$303,0)))</x:f>
      </x:c>
      <x:c r="V96" t="str">
        <x:f>IF(J96="","",INDEX(Frozen_Predictions!$X$4:$X$303,MATCH(A96,Frozen_Predictions!$A$4:$A$303,0)))</x:f>
      </x:c>
      <x:c r="W96" t="str">
        <x:f>IF(A96="","",IF(COUNTIF($A$4:$A$303,A96)&lt;&gt;1,"ID DUPLICAT",IF(COUNTIF(Frozen_Predictions!$A$4:$A$303,A96)&lt;&gt;1,"ID INEXISTENT SAU DUPLICAT ÎN FROZEN",IF(COUNT(K96:L96)&lt;2,"COMPLETEAZĂ SCORUL","VERIFICAT"))))</x:f>
      </x:c>
    </x:row>
    <x:row r="97">
      <x:c r="A97" s="141"/>
      <x:c r="B97" t="str">
        <x:f>IF(OR(A97="",COUNTIF(Frozen_Predictions!$A$4:$A$303,A97)&lt;&gt;1),"",INDEX(Frozen_Predictions!$C$4:$C$303,MATCH(A97,Frozen_Predictions!$A$4:$A$303,0)))</x:f>
      </x:c>
      <x:c r="C97" t="str">
        <x:f>IF(OR(A97="",COUNTIF(Frozen_Predictions!$A$4:$A$303,A97)&lt;&gt;1),"",INDEX(Frozen_Predictions!$E$4:$E$303,MATCH(A97,Frozen_Predictions!$A$4:$A$303,0)))</x:f>
      </x:c>
      <x:c r="D97" t="str">
        <x:f>IF(OR(A97="",COUNTIF(Frozen_Predictions!$A$4:$A$303,A97)&lt;&gt;1),"",INDEX(Frozen_Predictions!$F$4:$F$303,MATCH(A97,Frozen_Predictions!$A$4:$A$303,0)))</x:f>
      </x:c>
      <x:c r="E97" t="str">
        <x:f>IF(OR(A97="",COUNTIF(Frozen_Predictions!$A$4:$A$303,A97)&lt;&gt;1),"",INDEX(Frozen_Predictions!$G$4:$G$303,MATCH(A97,Frozen_Predictions!$A$4:$A$303,0)))</x:f>
      </x:c>
      <x:c r="F97" t="str">
        <x:f>IF(OR(A97="",COUNTIF(Frozen_Predictions!$A$4:$A$303,A97)&lt;&gt;1),"",INDEX(Frozen_Predictions!$H$4:$H$303,MATCH(A97,Frozen_Predictions!$A$4:$A$303,0)))</x:f>
      </x:c>
      <x:c r="G97" t="str">
        <x:f>IF(OR(A97="",COUNTIF(Frozen_Predictions!$A$4:$A$303,A97)&lt;&gt;1),"",INDEX(Frozen_Predictions!$I$4:$I$303,MATCH(A97,Frozen_Predictions!$A$4:$A$303,0)))</x:f>
      </x:c>
      <x:c r="H97" t="str">
        <x:f>IF(OR(A97="",COUNTIF(Frozen_Predictions!$A$4:$A$303,A97)&lt;&gt;1),"",INDEX(Frozen_Predictions!$J$4:$J$303,MATCH(A97,Frozen_Predictions!$A$4:$A$303,0)))</x:f>
      </x:c>
      <x:c r="I97" t="str">
        <x:f>IF(OR(A97="",COUNTIF(Frozen_Predictions!$A$4:$A$303,A97)&lt;&gt;1),"",INDEX(Frozen_Predictions!$K$4:$K$303,MATCH(A97,Frozen_Predictions!$A$4:$A$303,0)))</x:f>
      </x:c>
      <x:c r="J97" s="142" t="str">
        <x:f>IF(OR(A97="",G97="",COUNT(K97:M97)&lt;3,COUNTIF($A$4:$A$303,A97)&lt;&gt;1),"",IF(IF(M97+F97&gt;0,"1",IF(M97+F97=0,"X","2"))=G97&amp;"",1,0))</x:f>
      </x:c>
      <x:c r="K97" s="143"/>
      <x:c r="L97" s="143"/>
      <x:c r="M97" s="142" t="str">
        <x:f>IF(AND(A97&lt;&gt;"",COUNT(K97:L97)=2),K97-L97,"")</x:f>
      </x:c>
      <x:c r="N97" s="142" t="str">
        <x:f>IF(J97="","",IF(M97+F97=0,"YES","NO"))</x:f>
      </x:c>
      <x:c r="O97" t="str">
        <x:f>IF(J97="","",IF(J97=1,"WIN",IF(N97="YES","Exact margin M="&amp;ABS(F97),"Direction / tail")))</x:f>
      </x:c>
      <x:c r="P97" s="141"/>
      <x:c r="Q97" s="141"/>
      <x:c r="R97" s="144" t="str">
        <x:f>IF(OR(I97="",J97=""),"",(I97-J97)^2)</x:f>
      </x:c>
      <x:c r="S97" s="144" t="str">
        <x:f>IF(OR(I97="",J97=""),"",-(J97*LN(MAX(MIN(I97,0.999999),0.000001))+(1-J97)*LN(MAX(MIN(1-I97,0.999999),0.000001))))</x:f>
      </x:c>
      <x:c r="T97" t="str">
        <x:f>IF(J97="","",INDEX(Frozen_Predictions!$M$4:$M$303,MATCH(A97,Frozen_Predictions!$A$4:$A$303,0)))</x:f>
      </x:c>
      <x:c r="U97" t="str">
        <x:f>IF(J97="","",INDEX(Frozen_Predictions!$W$4:$W$303,MATCH(A97,Frozen_Predictions!$A$4:$A$303,0)))</x:f>
      </x:c>
      <x:c r="V97" t="str">
        <x:f>IF(J97="","",INDEX(Frozen_Predictions!$X$4:$X$303,MATCH(A97,Frozen_Predictions!$A$4:$A$303,0)))</x:f>
      </x:c>
      <x:c r="W97" t="str">
        <x:f>IF(A97="","",IF(COUNTIF($A$4:$A$303,A97)&lt;&gt;1,"ID DUPLICAT",IF(COUNTIF(Frozen_Predictions!$A$4:$A$303,A97)&lt;&gt;1,"ID INEXISTENT SAU DUPLICAT ÎN FROZEN",IF(COUNT(K97:L97)&lt;2,"COMPLETEAZĂ SCORUL","VERIFICAT"))))</x:f>
      </x:c>
    </x:row>
    <x:row r="98">
      <x:c r="A98" s="141"/>
      <x:c r="B98" t="str">
        <x:f>IF(OR(A98="",COUNTIF(Frozen_Predictions!$A$4:$A$303,A98)&lt;&gt;1),"",INDEX(Frozen_Predictions!$C$4:$C$303,MATCH(A98,Frozen_Predictions!$A$4:$A$303,0)))</x:f>
      </x:c>
      <x:c r="C98" t="str">
        <x:f>IF(OR(A98="",COUNTIF(Frozen_Predictions!$A$4:$A$303,A98)&lt;&gt;1),"",INDEX(Frozen_Predictions!$E$4:$E$303,MATCH(A98,Frozen_Predictions!$A$4:$A$303,0)))</x:f>
      </x:c>
      <x:c r="D98" t="str">
        <x:f>IF(OR(A98="",COUNTIF(Frozen_Predictions!$A$4:$A$303,A98)&lt;&gt;1),"",INDEX(Frozen_Predictions!$F$4:$F$303,MATCH(A98,Frozen_Predictions!$A$4:$A$303,0)))</x:f>
      </x:c>
      <x:c r="E98" t="str">
        <x:f>IF(OR(A98="",COUNTIF(Frozen_Predictions!$A$4:$A$303,A98)&lt;&gt;1),"",INDEX(Frozen_Predictions!$G$4:$G$303,MATCH(A98,Frozen_Predictions!$A$4:$A$303,0)))</x:f>
      </x:c>
      <x:c r="F98" t="str">
        <x:f>IF(OR(A98="",COUNTIF(Frozen_Predictions!$A$4:$A$303,A98)&lt;&gt;1),"",INDEX(Frozen_Predictions!$H$4:$H$303,MATCH(A98,Frozen_Predictions!$A$4:$A$303,0)))</x:f>
      </x:c>
      <x:c r="G98" t="str">
        <x:f>IF(OR(A98="",COUNTIF(Frozen_Predictions!$A$4:$A$303,A98)&lt;&gt;1),"",INDEX(Frozen_Predictions!$I$4:$I$303,MATCH(A98,Frozen_Predictions!$A$4:$A$303,0)))</x:f>
      </x:c>
      <x:c r="H98" t="str">
        <x:f>IF(OR(A98="",COUNTIF(Frozen_Predictions!$A$4:$A$303,A98)&lt;&gt;1),"",INDEX(Frozen_Predictions!$J$4:$J$303,MATCH(A98,Frozen_Predictions!$A$4:$A$303,0)))</x:f>
      </x:c>
      <x:c r="I98" t="str">
        <x:f>IF(OR(A98="",COUNTIF(Frozen_Predictions!$A$4:$A$303,A98)&lt;&gt;1),"",INDEX(Frozen_Predictions!$K$4:$K$303,MATCH(A98,Frozen_Predictions!$A$4:$A$303,0)))</x:f>
      </x:c>
      <x:c r="J98" s="142" t="str">
        <x:f>IF(OR(A98="",G98="",COUNT(K98:M98)&lt;3,COUNTIF($A$4:$A$303,A98)&lt;&gt;1),"",IF(IF(M98+F98&gt;0,"1",IF(M98+F98=0,"X","2"))=G98&amp;"",1,0))</x:f>
      </x:c>
      <x:c r="K98" s="143"/>
      <x:c r="L98" s="143"/>
      <x:c r="M98" s="142" t="str">
        <x:f>IF(AND(A98&lt;&gt;"",COUNT(K98:L98)=2),K98-L98,"")</x:f>
      </x:c>
      <x:c r="N98" s="142" t="str">
        <x:f>IF(J98="","",IF(M98+F98=0,"YES","NO"))</x:f>
      </x:c>
      <x:c r="O98" t="str">
        <x:f>IF(J98="","",IF(J98=1,"WIN",IF(N98="YES","Exact margin M="&amp;ABS(F98),"Direction / tail")))</x:f>
      </x:c>
      <x:c r="P98" s="141"/>
      <x:c r="Q98" s="141"/>
      <x:c r="R98" s="144" t="str">
        <x:f>IF(OR(I98="",J98=""),"",(I98-J98)^2)</x:f>
      </x:c>
      <x:c r="S98" s="144" t="str">
        <x:f>IF(OR(I98="",J98=""),"",-(J98*LN(MAX(MIN(I98,0.999999),0.000001))+(1-J98)*LN(MAX(MIN(1-I98,0.999999),0.000001))))</x:f>
      </x:c>
      <x:c r="T98" t="str">
        <x:f>IF(J98="","",INDEX(Frozen_Predictions!$M$4:$M$303,MATCH(A98,Frozen_Predictions!$A$4:$A$303,0)))</x:f>
      </x:c>
      <x:c r="U98" t="str">
        <x:f>IF(J98="","",INDEX(Frozen_Predictions!$W$4:$W$303,MATCH(A98,Frozen_Predictions!$A$4:$A$303,0)))</x:f>
      </x:c>
      <x:c r="V98" t="str">
        <x:f>IF(J98="","",INDEX(Frozen_Predictions!$X$4:$X$303,MATCH(A98,Frozen_Predictions!$A$4:$A$303,0)))</x:f>
      </x:c>
      <x:c r="W98" t="str">
        <x:f>IF(A98="","",IF(COUNTIF($A$4:$A$303,A98)&lt;&gt;1,"ID DUPLICAT",IF(COUNTIF(Frozen_Predictions!$A$4:$A$303,A98)&lt;&gt;1,"ID INEXISTENT SAU DUPLICAT ÎN FROZEN",IF(COUNT(K98:L98)&lt;2,"COMPLETEAZĂ SCORUL","VERIFICAT"))))</x:f>
      </x:c>
    </x:row>
    <x:row r="99">
      <x:c r="A99" s="141"/>
      <x:c r="B99" t="str">
        <x:f>IF(OR(A99="",COUNTIF(Frozen_Predictions!$A$4:$A$303,A99)&lt;&gt;1),"",INDEX(Frozen_Predictions!$C$4:$C$303,MATCH(A99,Frozen_Predictions!$A$4:$A$303,0)))</x:f>
      </x:c>
      <x:c r="C99" t="str">
        <x:f>IF(OR(A99="",COUNTIF(Frozen_Predictions!$A$4:$A$303,A99)&lt;&gt;1),"",INDEX(Frozen_Predictions!$E$4:$E$303,MATCH(A99,Frozen_Predictions!$A$4:$A$303,0)))</x:f>
      </x:c>
      <x:c r="D99" t="str">
        <x:f>IF(OR(A99="",COUNTIF(Frozen_Predictions!$A$4:$A$303,A99)&lt;&gt;1),"",INDEX(Frozen_Predictions!$F$4:$F$303,MATCH(A99,Frozen_Predictions!$A$4:$A$303,0)))</x:f>
      </x:c>
      <x:c r="E99" t="str">
        <x:f>IF(OR(A99="",COUNTIF(Frozen_Predictions!$A$4:$A$303,A99)&lt;&gt;1),"",INDEX(Frozen_Predictions!$G$4:$G$303,MATCH(A99,Frozen_Predictions!$A$4:$A$303,0)))</x:f>
      </x:c>
      <x:c r="F99" t="str">
        <x:f>IF(OR(A99="",COUNTIF(Frozen_Predictions!$A$4:$A$303,A99)&lt;&gt;1),"",INDEX(Frozen_Predictions!$H$4:$H$303,MATCH(A99,Frozen_Predictions!$A$4:$A$303,0)))</x:f>
      </x:c>
      <x:c r="G99" t="str">
        <x:f>IF(OR(A99="",COUNTIF(Frozen_Predictions!$A$4:$A$303,A99)&lt;&gt;1),"",INDEX(Frozen_Predictions!$I$4:$I$303,MATCH(A99,Frozen_Predictions!$A$4:$A$303,0)))</x:f>
      </x:c>
      <x:c r="H99" t="str">
        <x:f>IF(OR(A99="",COUNTIF(Frozen_Predictions!$A$4:$A$303,A99)&lt;&gt;1),"",INDEX(Frozen_Predictions!$J$4:$J$303,MATCH(A99,Frozen_Predictions!$A$4:$A$303,0)))</x:f>
      </x:c>
      <x:c r="I99" t="str">
        <x:f>IF(OR(A99="",COUNTIF(Frozen_Predictions!$A$4:$A$303,A99)&lt;&gt;1),"",INDEX(Frozen_Predictions!$K$4:$K$303,MATCH(A99,Frozen_Predictions!$A$4:$A$303,0)))</x:f>
      </x:c>
      <x:c r="J99" s="142" t="str">
        <x:f>IF(OR(A99="",G99="",COUNT(K99:M99)&lt;3,COUNTIF($A$4:$A$303,A99)&lt;&gt;1),"",IF(IF(M99+F99&gt;0,"1",IF(M99+F99=0,"X","2"))=G99&amp;"",1,0))</x:f>
      </x:c>
      <x:c r="K99" s="143"/>
      <x:c r="L99" s="143"/>
      <x:c r="M99" s="142" t="str">
        <x:f>IF(AND(A99&lt;&gt;"",COUNT(K99:L99)=2),K99-L99,"")</x:f>
      </x:c>
      <x:c r="N99" s="142" t="str">
        <x:f>IF(J99="","",IF(M99+F99=0,"YES","NO"))</x:f>
      </x:c>
      <x:c r="O99" t="str">
        <x:f>IF(J99="","",IF(J99=1,"WIN",IF(N99="YES","Exact margin M="&amp;ABS(F99),"Direction / tail")))</x:f>
      </x:c>
      <x:c r="P99" s="141"/>
      <x:c r="Q99" s="141"/>
      <x:c r="R99" s="144" t="str">
        <x:f>IF(OR(I99="",J99=""),"",(I99-J99)^2)</x:f>
      </x:c>
      <x:c r="S99" s="144" t="str">
        <x:f>IF(OR(I99="",J99=""),"",-(J99*LN(MAX(MIN(I99,0.999999),0.000001))+(1-J99)*LN(MAX(MIN(1-I99,0.999999),0.000001))))</x:f>
      </x:c>
      <x:c r="T99" t="str">
        <x:f>IF(J99="","",INDEX(Frozen_Predictions!$M$4:$M$303,MATCH(A99,Frozen_Predictions!$A$4:$A$303,0)))</x:f>
      </x:c>
      <x:c r="U99" t="str">
        <x:f>IF(J99="","",INDEX(Frozen_Predictions!$W$4:$W$303,MATCH(A99,Frozen_Predictions!$A$4:$A$303,0)))</x:f>
      </x:c>
      <x:c r="V99" t="str">
        <x:f>IF(J99="","",INDEX(Frozen_Predictions!$X$4:$X$303,MATCH(A99,Frozen_Predictions!$A$4:$A$303,0)))</x:f>
      </x:c>
      <x:c r="W99" t="str">
        <x:f>IF(A99="","",IF(COUNTIF($A$4:$A$303,A99)&lt;&gt;1,"ID DUPLICAT",IF(COUNTIF(Frozen_Predictions!$A$4:$A$303,A99)&lt;&gt;1,"ID INEXISTENT SAU DUPLICAT ÎN FROZEN",IF(COUNT(K99:L99)&lt;2,"COMPLETEAZĂ SCORUL","VERIFICAT"))))</x:f>
      </x:c>
    </x:row>
    <x:row r="100">
      <x:c r="A100" s="141"/>
      <x:c r="B100" t="str">
        <x:f>IF(OR(A100="",COUNTIF(Frozen_Predictions!$A$4:$A$303,A100)&lt;&gt;1),"",INDEX(Frozen_Predictions!$C$4:$C$303,MATCH(A100,Frozen_Predictions!$A$4:$A$303,0)))</x:f>
      </x:c>
      <x:c r="C100" t="str">
        <x:f>IF(OR(A100="",COUNTIF(Frozen_Predictions!$A$4:$A$303,A100)&lt;&gt;1),"",INDEX(Frozen_Predictions!$E$4:$E$303,MATCH(A100,Frozen_Predictions!$A$4:$A$303,0)))</x:f>
      </x:c>
      <x:c r="D100" t="str">
        <x:f>IF(OR(A100="",COUNTIF(Frozen_Predictions!$A$4:$A$303,A100)&lt;&gt;1),"",INDEX(Frozen_Predictions!$F$4:$F$303,MATCH(A100,Frozen_Predictions!$A$4:$A$303,0)))</x:f>
      </x:c>
      <x:c r="E100" t="str">
        <x:f>IF(OR(A100="",COUNTIF(Frozen_Predictions!$A$4:$A$303,A100)&lt;&gt;1),"",INDEX(Frozen_Predictions!$G$4:$G$303,MATCH(A100,Frozen_Predictions!$A$4:$A$303,0)))</x:f>
      </x:c>
      <x:c r="F100" t="str">
        <x:f>IF(OR(A100="",COUNTIF(Frozen_Predictions!$A$4:$A$303,A100)&lt;&gt;1),"",INDEX(Frozen_Predictions!$H$4:$H$303,MATCH(A100,Frozen_Predictions!$A$4:$A$303,0)))</x:f>
      </x:c>
      <x:c r="G100" t="str">
        <x:f>IF(OR(A100="",COUNTIF(Frozen_Predictions!$A$4:$A$303,A100)&lt;&gt;1),"",INDEX(Frozen_Predictions!$I$4:$I$303,MATCH(A100,Frozen_Predictions!$A$4:$A$303,0)))</x:f>
      </x:c>
      <x:c r="H100" t="str">
        <x:f>IF(OR(A100="",COUNTIF(Frozen_Predictions!$A$4:$A$303,A100)&lt;&gt;1),"",INDEX(Frozen_Predictions!$J$4:$J$303,MATCH(A100,Frozen_Predictions!$A$4:$A$303,0)))</x:f>
      </x:c>
      <x:c r="I100" t="str">
        <x:f>IF(OR(A100="",COUNTIF(Frozen_Predictions!$A$4:$A$303,A100)&lt;&gt;1),"",INDEX(Frozen_Predictions!$K$4:$K$303,MATCH(A100,Frozen_Predictions!$A$4:$A$303,0)))</x:f>
      </x:c>
      <x:c r="J100" s="142" t="str">
        <x:f>IF(OR(A100="",G100="",COUNT(K100:M100)&lt;3,COUNTIF($A$4:$A$303,A100)&lt;&gt;1),"",IF(IF(M100+F100&gt;0,"1",IF(M100+F100=0,"X","2"))=G100&amp;"",1,0))</x:f>
      </x:c>
      <x:c r="K100" s="143"/>
      <x:c r="L100" s="143"/>
      <x:c r="M100" s="142" t="str">
        <x:f>IF(AND(A100&lt;&gt;"",COUNT(K100:L100)=2),K100-L100,"")</x:f>
      </x:c>
      <x:c r="N100" s="142" t="str">
        <x:f>IF(J100="","",IF(M100+F100=0,"YES","NO"))</x:f>
      </x:c>
      <x:c r="O100" t="str">
        <x:f>IF(J100="","",IF(J100=1,"WIN",IF(N100="YES","Exact margin M="&amp;ABS(F100),"Direction / tail")))</x:f>
      </x:c>
      <x:c r="P100" s="141"/>
      <x:c r="Q100" s="141"/>
      <x:c r="R100" s="144" t="str">
        <x:f>IF(OR(I100="",J100=""),"",(I100-J100)^2)</x:f>
      </x:c>
      <x:c r="S100" s="144" t="str">
        <x:f>IF(OR(I100="",J100=""),"",-(J100*LN(MAX(MIN(I100,0.999999),0.000001))+(1-J100)*LN(MAX(MIN(1-I100,0.999999),0.000001))))</x:f>
      </x:c>
      <x:c r="T100" t="str">
        <x:f>IF(J100="","",INDEX(Frozen_Predictions!$M$4:$M$303,MATCH(A100,Frozen_Predictions!$A$4:$A$303,0)))</x:f>
      </x:c>
      <x:c r="U100" t="str">
        <x:f>IF(J100="","",INDEX(Frozen_Predictions!$W$4:$W$303,MATCH(A100,Frozen_Predictions!$A$4:$A$303,0)))</x:f>
      </x:c>
      <x:c r="V100" t="str">
        <x:f>IF(J100="","",INDEX(Frozen_Predictions!$X$4:$X$303,MATCH(A100,Frozen_Predictions!$A$4:$A$303,0)))</x:f>
      </x:c>
      <x:c r="W100" t="str">
        <x:f>IF(A100="","",IF(COUNTIF($A$4:$A$303,A100)&lt;&gt;1,"ID DUPLICAT",IF(COUNTIF(Frozen_Predictions!$A$4:$A$303,A100)&lt;&gt;1,"ID INEXISTENT SAU DUPLICAT ÎN FROZEN",IF(COUNT(K100:L100)&lt;2,"COMPLETEAZĂ SCORUL","VERIFICAT"))))</x:f>
      </x:c>
    </x:row>
    <x:row r="101">
      <x:c r="A101" s="141"/>
      <x:c r="B101" t="str">
        <x:f>IF(OR(A101="",COUNTIF(Frozen_Predictions!$A$4:$A$303,A101)&lt;&gt;1),"",INDEX(Frozen_Predictions!$C$4:$C$303,MATCH(A101,Frozen_Predictions!$A$4:$A$303,0)))</x:f>
      </x:c>
      <x:c r="C101" t="str">
        <x:f>IF(OR(A101="",COUNTIF(Frozen_Predictions!$A$4:$A$303,A101)&lt;&gt;1),"",INDEX(Frozen_Predictions!$E$4:$E$303,MATCH(A101,Frozen_Predictions!$A$4:$A$303,0)))</x:f>
      </x:c>
      <x:c r="D101" t="str">
        <x:f>IF(OR(A101="",COUNTIF(Frozen_Predictions!$A$4:$A$303,A101)&lt;&gt;1),"",INDEX(Frozen_Predictions!$F$4:$F$303,MATCH(A101,Frozen_Predictions!$A$4:$A$303,0)))</x:f>
      </x:c>
      <x:c r="E101" t="str">
        <x:f>IF(OR(A101="",COUNTIF(Frozen_Predictions!$A$4:$A$303,A101)&lt;&gt;1),"",INDEX(Frozen_Predictions!$G$4:$G$303,MATCH(A101,Frozen_Predictions!$A$4:$A$303,0)))</x:f>
      </x:c>
      <x:c r="F101" t="str">
        <x:f>IF(OR(A101="",COUNTIF(Frozen_Predictions!$A$4:$A$303,A101)&lt;&gt;1),"",INDEX(Frozen_Predictions!$H$4:$H$303,MATCH(A101,Frozen_Predictions!$A$4:$A$303,0)))</x:f>
      </x:c>
      <x:c r="G101" t="str">
        <x:f>IF(OR(A101="",COUNTIF(Frozen_Predictions!$A$4:$A$303,A101)&lt;&gt;1),"",INDEX(Frozen_Predictions!$I$4:$I$303,MATCH(A101,Frozen_Predictions!$A$4:$A$303,0)))</x:f>
      </x:c>
      <x:c r="H101" t="str">
        <x:f>IF(OR(A101="",COUNTIF(Frozen_Predictions!$A$4:$A$303,A101)&lt;&gt;1),"",INDEX(Frozen_Predictions!$J$4:$J$303,MATCH(A101,Frozen_Predictions!$A$4:$A$303,0)))</x:f>
      </x:c>
      <x:c r="I101" t="str">
        <x:f>IF(OR(A101="",COUNTIF(Frozen_Predictions!$A$4:$A$303,A101)&lt;&gt;1),"",INDEX(Frozen_Predictions!$K$4:$K$303,MATCH(A101,Frozen_Predictions!$A$4:$A$303,0)))</x:f>
      </x:c>
      <x:c r="J101" s="142" t="str">
        <x:f>IF(OR(A101="",G101="",COUNT(K101:M101)&lt;3,COUNTIF($A$4:$A$303,A101)&lt;&gt;1),"",IF(IF(M101+F101&gt;0,"1",IF(M101+F101=0,"X","2"))=G101&amp;"",1,0))</x:f>
      </x:c>
      <x:c r="K101" s="143"/>
      <x:c r="L101" s="143"/>
      <x:c r="M101" s="142" t="str">
        <x:f>IF(AND(A101&lt;&gt;"",COUNT(K101:L101)=2),K101-L101,"")</x:f>
      </x:c>
      <x:c r="N101" s="142" t="str">
        <x:f>IF(J101="","",IF(M101+F101=0,"YES","NO"))</x:f>
      </x:c>
      <x:c r="O101" t="str">
        <x:f>IF(J101="","",IF(J101=1,"WIN",IF(N101="YES","Exact margin M="&amp;ABS(F101),"Direction / tail")))</x:f>
      </x:c>
      <x:c r="P101" s="141"/>
      <x:c r="Q101" s="141"/>
      <x:c r="R101" s="144" t="str">
        <x:f>IF(OR(I101="",J101=""),"",(I101-J101)^2)</x:f>
      </x:c>
      <x:c r="S101" s="144" t="str">
        <x:f>IF(OR(I101="",J101=""),"",-(J101*LN(MAX(MIN(I101,0.999999),0.000001))+(1-J101)*LN(MAX(MIN(1-I101,0.999999),0.000001))))</x:f>
      </x:c>
      <x:c r="T101" t="str">
        <x:f>IF(J101="","",INDEX(Frozen_Predictions!$M$4:$M$303,MATCH(A101,Frozen_Predictions!$A$4:$A$303,0)))</x:f>
      </x:c>
      <x:c r="U101" t="str">
        <x:f>IF(J101="","",INDEX(Frozen_Predictions!$W$4:$W$303,MATCH(A101,Frozen_Predictions!$A$4:$A$303,0)))</x:f>
      </x:c>
      <x:c r="V101" t="str">
        <x:f>IF(J101="","",INDEX(Frozen_Predictions!$X$4:$X$303,MATCH(A101,Frozen_Predictions!$A$4:$A$303,0)))</x:f>
      </x:c>
      <x:c r="W101" t="str">
        <x:f>IF(A101="","",IF(COUNTIF($A$4:$A$303,A101)&lt;&gt;1,"ID DUPLICAT",IF(COUNTIF(Frozen_Predictions!$A$4:$A$303,A101)&lt;&gt;1,"ID INEXISTENT SAU DUPLICAT ÎN FROZEN",IF(COUNT(K101:L101)&lt;2,"COMPLETEAZĂ SCORUL","VERIFICAT"))))</x:f>
      </x:c>
    </x:row>
    <x:row r="102">
      <x:c r="A102" s="141"/>
      <x:c r="B102" t="str">
        <x:f>IF(OR(A102="",COUNTIF(Frozen_Predictions!$A$4:$A$303,A102)&lt;&gt;1),"",INDEX(Frozen_Predictions!$C$4:$C$303,MATCH(A102,Frozen_Predictions!$A$4:$A$303,0)))</x:f>
      </x:c>
      <x:c r="C102" t="str">
        <x:f>IF(OR(A102="",COUNTIF(Frozen_Predictions!$A$4:$A$303,A102)&lt;&gt;1),"",INDEX(Frozen_Predictions!$E$4:$E$303,MATCH(A102,Frozen_Predictions!$A$4:$A$303,0)))</x:f>
      </x:c>
      <x:c r="D102" t="str">
        <x:f>IF(OR(A102="",COUNTIF(Frozen_Predictions!$A$4:$A$303,A102)&lt;&gt;1),"",INDEX(Frozen_Predictions!$F$4:$F$303,MATCH(A102,Frozen_Predictions!$A$4:$A$303,0)))</x:f>
      </x:c>
      <x:c r="E102" t="str">
        <x:f>IF(OR(A102="",COUNTIF(Frozen_Predictions!$A$4:$A$303,A102)&lt;&gt;1),"",INDEX(Frozen_Predictions!$G$4:$G$303,MATCH(A102,Frozen_Predictions!$A$4:$A$303,0)))</x:f>
      </x:c>
      <x:c r="F102" t="str">
        <x:f>IF(OR(A102="",COUNTIF(Frozen_Predictions!$A$4:$A$303,A102)&lt;&gt;1),"",INDEX(Frozen_Predictions!$H$4:$H$303,MATCH(A102,Frozen_Predictions!$A$4:$A$303,0)))</x:f>
      </x:c>
      <x:c r="G102" t="str">
        <x:f>IF(OR(A102="",COUNTIF(Frozen_Predictions!$A$4:$A$303,A102)&lt;&gt;1),"",INDEX(Frozen_Predictions!$I$4:$I$303,MATCH(A102,Frozen_Predictions!$A$4:$A$303,0)))</x:f>
      </x:c>
      <x:c r="H102" t="str">
        <x:f>IF(OR(A102="",COUNTIF(Frozen_Predictions!$A$4:$A$303,A102)&lt;&gt;1),"",INDEX(Frozen_Predictions!$J$4:$J$303,MATCH(A102,Frozen_Predictions!$A$4:$A$303,0)))</x:f>
      </x:c>
      <x:c r="I102" t="str">
        <x:f>IF(OR(A102="",COUNTIF(Frozen_Predictions!$A$4:$A$303,A102)&lt;&gt;1),"",INDEX(Frozen_Predictions!$K$4:$K$303,MATCH(A102,Frozen_Predictions!$A$4:$A$303,0)))</x:f>
      </x:c>
      <x:c r="J102" s="142" t="str">
        <x:f>IF(OR(A102="",G102="",COUNT(K102:M102)&lt;3,COUNTIF($A$4:$A$303,A102)&lt;&gt;1),"",IF(IF(M102+F102&gt;0,"1",IF(M102+F102=0,"X","2"))=G102&amp;"",1,0))</x:f>
      </x:c>
      <x:c r="K102" s="143"/>
      <x:c r="L102" s="143"/>
      <x:c r="M102" s="142" t="str">
        <x:f>IF(AND(A102&lt;&gt;"",COUNT(K102:L102)=2),K102-L102,"")</x:f>
      </x:c>
      <x:c r="N102" s="142" t="str">
        <x:f>IF(J102="","",IF(M102+F102=0,"YES","NO"))</x:f>
      </x:c>
      <x:c r="O102" t="str">
        <x:f>IF(J102="","",IF(J102=1,"WIN",IF(N102="YES","Exact margin M="&amp;ABS(F102),"Direction / tail")))</x:f>
      </x:c>
      <x:c r="P102" s="141"/>
      <x:c r="Q102" s="141"/>
      <x:c r="R102" s="144" t="str">
        <x:f>IF(OR(I102="",J102=""),"",(I102-J102)^2)</x:f>
      </x:c>
      <x:c r="S102" s="144" t="str">
        <x:f>IF(OR(I102="",J102=""),"",-(J102*LN(MAX(MIN(I102,0.999999),0.000001))+(1-J102)*LN(MAX(MIN(1-I102,0.999999),0.000001))))</x:f>
      </x:c>
      <x:c r="T102" t="str">
        <x:f>IF(J102="","",INDEX(Frozen_Predictions!$M$4:$M$303,MATCH(A102,Frozen_Predictions!$A$4:$A$303,0)))</x:f>
      </x:c>
      <x:c r="U102" t="str">
        <x:f>IF(J102="","",INDEX(Frozen_Predictions!$W$4:$W$303,MATCH(A102,Frozen_Predictions!$A$4:$A$303,0)))</x:f>
      </x:c>
      <x:c r="V102" t="str">
        <x:f>IF(J102="","",INDEX(Frozen_Predictions!$X$4:$X$303,MATCH(A102,Frozen_Predictions!$A$4:$A$303,0)))</x:f>
      </x:c>
      <x:c r="W102" t="str">
        <x:f>IF(A102="","",IF(COUNTIF($A$4:$A$303,A102)&lt;&gt;1,"ID DUPLICAT",IF(COUNTIF(Frozen_Predictions!$A$4:$A$303,A102)&lt;&gt;1,"ID INEXISTENT SAU DUPLICAT ÎN FROZEN",IF(COUNT(K102:L102)&lt;2,"COMPLETEAZĂ SCORUL","VERIFICAT"))))</x:f>
      </x:c>
    </x:row>
    <x:row r="103">
      <x:c r="A103" s="141"/>
      <x:c r="B103" t="str">
        <x:f>IF(OR(A103="",COUNTIF(Frozen_Predictions!$A$4:$A$303,A103)&lt;&gt;1),"",INDEX(Frozen_Predictions!$C$4:$C$303,MATCH(A103,Frozen_Predictions!$A$4:$A$303,0)))</x:f>
      </x:c>
      <x:c r="C103" t="str">
        <x:f>IF(OR(A103="",COUNTIF(Frozen_Predictions!$A$4:$A$303,A103)&lt;&gt;1),"",INDEX(Frozen_Predictions!$E$4:$E$303,MATCH(A103,Frozen_Predictions!$A$4:$A$303,0)))</x:f>
      </x:c>
      <x:c r="D103" t="str">
        <x:f>IF(OR(A103="",COUNTIF(Frozen_Predictions!$A$4:$A$303,A103)&lt;&gt;1),"",INDEX(Frozen_Predictions!$F$4:$F$303,MATCH(A103,Frozen_Predictions!$A$4:$A$303,0)))</x:f>
      </x:c>
      <x:c r="E103" t="str">
        <x:f>IF(OR(A103="",COUNTIF(Frozen_Predictions!$A$4:$A$303,A103)&lt;&gt;1),"",INDEX(Frozen_Predictions!$G$4:$G$303,MATCH(A103,Frozen_Predictions!$A$4:$A$303,0)))</x:f>
      </x:c>
      <x:c r="F103" t="str">
        <x:f>IF(OR(A103="",COUNTIF(Frozen_Predictions!$A$4:$A$303,A103)&lt;&gt;1),"",INDEX(Frozen_Predictions!$H$4:$H$303,MATCH(A103,Frozen_Predictions!$A$4:$A$303,0)))</x:f>
      </x:c>
      <x:c r="G103" t="str">
        <x:f>IF(OR(A103="",COUNTIF(Frozen_Predictions!$A$4:$A$303,A103)&lt;&gt;1),"",INDEX(Frozen_Predictions!$I$4:$I$303,MATCH(A103,Frozen_Predictions!$A$4:$A$303,0)))</x:f>
      </x:c>
      <x:c r="H103" t="str">
        <x:f>IF(OR(A103="",COUNTIF(Frozen_Predictions!$A$4:$A$303,A103)&lt;&gt;1),"",INDEX(Frozen_Predictions!$J$4:$J$303,MATCH(A103,Frozen_Predictions!$A$4:$A$303,0)))</x:f>
      </x:c>
      <x:c r="I103" t="str">
        <x:f>IF(OR(A103="",COUNTIF(Frozen_Predictions!$A$4:$A$303,A103)&lt;&gt;1),"",INDEX(Frozen_Predictions!$K$4:$K$303,MATCH(A103,Frozen_Predictions!$A$4:$A$303,0)))</x:f>
      </x:c>
      <x:c r="J103" s="142" t="str">
        <x:f>IF(OR(A103="",G103="",COUNT(K103:M103)&lt;3,COUNTIF($A$4:$A$303,A103)&lt;&gt;1),"",IF(IF(M103+F103&gt;0,"1",IF(M103+F103=0,"X","2"))=G103&amp;"",1,0))</x:f>
      </x:c>
      <x:c r="K103" s="143"/>
      <x:c r="L103" s="143"/>
      <x:c r="M103" s="142" t="str">
        <x:f>IF(AND(A103&lt;&gt;"",COUNT(K103:L103)=2),K103-L103,"")</x:f>
      </x:c>
      <x:c r="N103" s="142" t="str">
        <x:f>IF(J103="","",IF(M103+F103=0,"YES","NO"))</x:f>
      </x:c>
      <x:c r="O103" t="str">
        <x:f>IF(J103="","",IF(J103=1,"WIN",IF(N103="YES","Exact margin M="&amp;ABS(F103),"Direction / tail")))</x:f>
      </x:c>
      <x:c r="P103" s="141"/>
      <x:c r="Q103" s="141"/>
      <x:c r="R103" s="144" t="str">
        <x:f>IF(OR(I103="",J103=""),"",(I103-J103)^2)</x:f>
      </x:c>
      <x:c r="S103" s="144" t="str">
        <x:f>IF(OR(I103="",J103=""),"",-(J103*LN(MAX(MIN(I103,0.999999),0.000001))+(1-J103)*LN(MAX(MIN(1-I103,0.999999),0.000001))))</x:f>
      </x:c>
      <x:c r="T103" t="str">
        <x:f>IF(J103="","",INDEX(Frozen_Predictions!$M$4:$M$303,MATCH(A103,Frozen_Predictions!$A$4:$A$303,0)))</x:f>
      </x:c>
      <x:c r="U103" t="str">
        <x:f>IF(J103="","",INDEX(Frozen_Predictions!$W$4:$W$303,MATCH(A103,Frozen_Predictions!$A$4:$A$303,0)))</x:f>
      </x:c>
      <x:c r="V103" t="str">
        <x:f>IF(J103="","",INDEX(Frozen_Predictions!$X$4:$X$303,MATCH(A103,Frozen_Predictions!$A$4:$A$303,0)))</x:f>
      </x:c>
      <x:c r="W103" t="str">
        <x:f>IF(A103="","",IF(COUNTIF($A$4:$A$303,A103)&lt;&gt;1,"ID DUPLICAT",IF(COUNTIF(Frozen_Predictions!$A$4:$A$303,A103)&lt;&gt;1,"ID INEXISTENT SAU DUPLICAT ÎN FROZEN",IF(COUNT(K103:L103)&lt;2,"COMPLETEAZĂ SCORUL","VERIFICAT"))))</x:f>
      </x:c>
    </x:row>
    <x:row r="104">
      <x:c r="A104" s="141"/>
      <x:c r="B104" t="str">
        <x:f>IF(OR(A104="",COUNTIF(Frozen_Predictions!$A$4:$A$303,A104)&lt;&gt;1),"",INDEX(Frozen_Predictions!$C$4:$C$303,MATCH(A104,Frozen_Predictions!$A$4:$A$303,0)))</x:f>
      </x:c>
      <x:c r="C104" t="str">
        <x:f>IF(OR(A104="",COUNTIF(Frozen_Predictions!$A$4:$A$303,A104)&lt;&gt;1),"",INDEX(Frozen_Predictions!$E$4:$E$303,MATCH(A104,Frozen_Predictions!$A$4:$A$303,0)))</x:f>
      </x:c>
      <x:c r="D104" t="str">
        <x:f>IF(OR(A104="",COUNTIF(Frozen_Predictions!$A$4:$A$303,A104)&lt;&gt;1),"",INDEX(Frozen_Predictions!$F$4:$F$303,MATCH(A104,Frozen_Predictions!$A$4:$A$303,0)))</x:f>
      </x:c>
      <x:c r="E104" t="str">
        <x:f>IF(OR(A104="",COUNTIF(Frozen_Predictions!$A$4:$A$303,A104)&lt;&gt;1),"",INDEX(Frozen_Predictions!$G$4:$G$303,MATCH(A104,Frozen_Predictions!$A$4:$A$303,0)))</x:f>
      </x:c>
      <x:c r="F104" t="str">
        <x:f>IF(OR(A104="",COUNTIF(Frozen_Predictions!$A$4:$A$303,A104)&lt;&gt;1),"",INDEX(Frozen_Predictions!$H$4:$H$303,MATCH(A104,Frozen_Predictions!$A$4:$A$303,0)))</x:f>
      </x:c>
      <x:c r="G104" t="str">
        <x:f>IF(OR(A104="",COUNTIF(Frozen_Predictions!$A$4:$A$303,A104)&lt;&gt;1),"",INDEX(Frozen_Predictions!$I$4:$I$303,MATCH(A104,Frozen_Predictions!$A$4:$A$303,0)))</x:f>
      </x:c>
      <x:c r="H104" t="str">
        <x:f>IF(OR(A104="",COUNTIF(Frozen_Predictions!$A$4:$A$303,A104)&lt;&gt;1),"",INDEX(Frozen_Predictions!$J$4:$J$303,MATCH(A104,Frozen_Predictions!$A$4:$A$303,0)))</x:f>
      </x:c>
      <x:c r="I104" t="str">
        <x:f>IF(OR(A104="",COUNTIF(Frozen_Predictions!$A$4:$A$303,A104)&lt;&gt;1),"",INDEX(Frozen_Predictions!$K$4:$K$303,MATCH(A104,Frozen_Predictions!$A$4:$A$303,0)))</x:f>
      </x:c>
      <x:c r="J104" s="142" t="str">
        <x:f>IF(OR(A104="",G104="",COUNT(K104:M104)&lt;3,COUNTIF($A$4:$A$303,A104)&lt;&gt;1),"",IF(IF(M104+F104&gt;0,"1",IF(M104+F104=0,"X","2"))=G104&amp;"",1,0))</x:f>
      </x:c>
      <x:c r="K104" s="143"/>
      <x:c r="L104" s="143"/>
      <x:c r="M104" s="142" t="str">
        <x:f>IF(AND(A104&lt;&gt;"",COUNT(K104:L104)=2),K104-L104,"")</x:f>
      </x:c>
      <x:c r="N104" s="142" t="str">
        <x:f>IF(J104="","",IF(M104+F104=0,"YES","NO"))</x:f>
      </x:c>
      <x:c r="O104" t="str">
        <x:f>IF(J104="","",IF(J104=1,"WIN",IF(N104="YES","Exact margin M="&amp;ABS(F104),"Direction / tail")))</x:f>
      </x:c>
      <x:c r="P104" s="141"/>
      <x:c r="Q104" s="141"/>
      <x:c r="R104" s="144" t="str">
        <x:f>IF(OR(I104="",J104=""),"",(I104-J104)^2)</x:f>
      </x:c>
      <x:c r="S104" s="144" t="str">
        <x:f>IF(OR(I104="",J104=""),"",-(J104*LN(MAX(MIN(I104,0.999999),0.000001))+(1-J104)*LN(MAX(MIN(1-I104,0.999999),0.000001))))</x:f>
      </x:c>
      <x:c r="T104" t="str">
        <x:f>IF(J104="","",INDEX(Frozen_Predictions!$M$4:$M$303,MATCH(A104,Frozen_Predictions!$A$4:$A$303,0)))</x:f>
      </x:c>
      <x:c r="U104" t="str">
        <x:f>IF(J104="","",INDEX(Frozen_Predictions!$W$4:$W$303,MATCH(A104,Frozen_Predictions!$A$4:$A$303,0)))</x:f>
      </x:c>
      <x:c r="V104" t="str">
        <x:f>IF(J104="","",INDEX(Frozen_Predictions!$X$4:$X$303,MATCH(A104,Frozen_Predictions!$A$4:$A$303,0)))</x:f>
      </x:c>
      <x:c r="W104" t="str">
        <x:f>IF(A104="","",IF(COUNTIF($A$4:$A$303,A104)&lt;&gt;1,"ID DUPLICAT",IF(COUNTIF(Frozen_Predictions!$A$4:$A$303,A104)&lt;&gt;1,"ID INEXISTENT SAU DUPLICAT ÎN FROZEN",IF(COUNT(K104:L104)&lt;2,"COMPLETEAZĂ SCORUL","VERIFICAT"))))</x:f>
      </x:c>
    </x:row>
    <x:row r="105">
      <x:c r="A105" s="141"/>
      <x:c r="B105" t="str">
        <x:f>IF(OR(A105="",COUNTIF(Frozen_Predictions!$A$4:$A$303,A105)&lt;&gt;1),"",INDEX(Frozen_Predictions!$C$4:$C$303,MATCH(A105,Frozen_Predictions!$A$4:$A$303,0)))</x:f>
      </x:c>
      <x:c r="C105" t="str">
        <x:f>IF(OR(A105="",COUNTIF(Frozen_Predictions!$A$4:$A$303,A105)&lt;&gt;1),"",INDEX(Frozen_Predictions!$E$4:$E$303,MATCH(A105,Frozen_Predictions!$A$4:$A$303,0)))</x:f>
      </x:c>
      <x:c r="D105" t="str">
        <x:f>IF(OR(A105="",COUNTIF(Frozen_Predictions!$A$4:$A$303,A105)&lt;&gt;1),"",INDEX(Frozen_Predictions!$F$4:$F$303,MATCH(A105,Frozen_Predictions!$A$4:$A$303,0)))</x:f>
      </x:c>
      <x:c r="E105" t="str">
        <x:f>IF(OR(A105="",COUNTIF(Frozen_Predictions!$A$4:$A$303,A105)&lt;&gt;1),"",INDEX(Frozen_Predictions!$G$4:$G$303,MATCH(A105,Frozen_Predictions!$A$4:$A$303,0)))</x:f>
      </x:c>
      <x:c r="F105" t="str">
        <x:f>IF(OR(A105="",COUNTIF(Frozen_Predictions!$A$4:$A$303,A105)&lt;&gt;1),"",INDEX(Frozen_Predictions!$H$4:$H$303,MATCH(A105,Frozen_Predictions!$A$4:$A$303,0)))</x:f>
      </x:c>
      <x:c r="G105" t="str">
        <x:f>IF(OR(A105="",COUNTIF(Frozen_Predictions!$A$4:$A$303,A105)&lt;&gt;1),"",INDEX(Frozen_Predictions!$I$4:$I$303,MATCH(A105,Frozen_Predictions!$A$4:$A$303,0)))</x:f>
      </x:c>
      <x:c r="H105" t="str">
        <x:f>IF(OR(A105="",COUNTIF(Frozen_Predictions!$A$4:$A$303,A105)&lt;&gt;1),"",INDEX(Frozen_Predictions!$J$4:$J$303,MATCH(A105,Frozen_Predictions!$A$4:$A$303,0)))</x:f>
      </x:c>
      <x:c r="I105" t="str">
        <x:f>IF(OR(A105="",COUNTIF(Frozen_Predictions!$A$4:$A$303,A105)&lt;&gt;1),"",INDEX(Frozen_Predictions!$K$4:$K$303,MATCH(A105,Frozen_Predictions!$A$4:$A$303,0)))</x:f>
      </x:c>
      <x:c r="J105" s="142" t="str">
        <x:f>IF(OR(A105="",G105="",COUNT(K105:M105)&lt;3,COUNTIF($A$4:$A$303,A105)&lt;&gt;1),"",IF(IF(M105+F105&gt;0,"1",IF(M105+F105=0,"X","2"))=G105&amp;"",1,0))</x:f>
      </x:c>
      <x:c r="K105" s="143"/>
      <x:c r="L105" s="143"/>
      <x:c r="M105" s="142" t="str">
        <x:f>IF(AND(A105&lt;&gt;"",COUNT(K105:L105)=2),K105-L105,"")</x:f>
      </x:c>
      <x:c r="N105" s="142" t="str">
        <x:f>IF(J105="","",IF(M105+F105=0,"YES","NO"))</x:f>
      </x:c>
      <x:c r="O105" t="str">
        <x:f>IF(J105="","",IF(J105=1,"WIN",IF(N105="YES","Exact margin M="&amp;ABS(F105),"Direction / tail")))</x:f>
      </x:c>
      <x:c r="P105" s="141"/>
      <x:c r="Q105" s="141"/>
      <x:c r="R105" s="144" t="str">
        <x:f>IF(OR(I105="",J105=""),"",(I105-J105)^2)</x:f>
      </x:c>
      <x:c r="S105" s="144" t="str">
        <x:f>IF(OR(I105="",J105=""),"",-(J105*LN(MAX(MIN(I105,0.999999),0.000001))+(1-J105)*LN(MAX(MIN(1-I105,0.999999),0.000001))))</x:f>
      </x:c>
      <x:c r="T105" t="str">
        <x:f>IF(J105="","",INDEX(Frozen_Predictions!$M$4:$M$303,MATCH(A105,Frozen_Predictions!$A$4:$A$303,0)))</x:f>
      </x:c>
      <x:c r="U105" t="str">
        <x:f>IF(J105="","",INDEX(Frozen_Predictions!$W$4:$W$303,MATCH(A105,Frozen_Predictions!$A$4:$A$303,0)))</x:f>
      </x:c>
      <x:c r="V105" t="str">
        <x:f>IF(J105="","",INDEX(Frozen_Predictions!$X$4:$X$303,MATCH(A105,Frozen_Predictions!$A$4:$A$303,0)))</x:f>
      </x:c>
      <x:c r="W105" t="str">
        <x:f>IF(A105="","",IF(COUNTIF($A$4:$A$303,A105)&lt;&gt;1,"ID DUPLICAT",IF(COUNTIF(Frozen_Predictions!$A$4:$A$303,A105)&lt;&gt;1,"ID INEXISTENT SAU DUPLICAT ÎN FROZEN",IF(COUNT(K105:L105)&lt;2,"COMPLETEAZĂ SCORUL","VERIFICAT"))))</x:f>
      </x:c>
    </x:row>
    <x:row r="106">
      <x:c r="A106" s="141"/>
      <x:c r="B106" t="str">
        <x:f>IF(OR(A106="",COUNTIF(Frozen_Predictions!$A$4:$A$303,A106)&lt;&gt;1),"",INDEX(Frozen_Predictions!$C$4:$C$303,MATCH(A106,Frozen_Predictions!$A$4:$A$303,0)))</x:f>
      </x:c>
      <x:c r="C106" t="str">
        <x:f>IF(OR(A106="",COUNTIF(Frozen_Predictions!$A$4:$A$303,A106)&lt;&gt;1),"",INDEX(Frozen_Predictions!$E$4:$E$303,MATCH(A106,Frozen_Predictions!$A$4:$A$303,0)))</x:f>
      </x:c>
      <x:c r="D106" t="str">
        <x:f>IF(OR(A106="",COUNTIF(Frozen_Predictions!$A$4:$A$303,A106)&lt;&gt;1),"",INDEX(Frozen_Predictions!$F$4:$F$303,MATCH(A106,Frozen_Predictions!$A$4:$A$303,0)))</x:f>
      </x:c>
      <x:c r="E106" t="str">
        <x:f>IF(OR(A106="",COUNTIF(Frozen_Predictions!$A$4:$A$303,A106)&lt;&gt;1),"",INDEX(Frozen_Predictions!$G$4:$G$303,MATCH(A106,Frozen_Predictions!$A$4:$A$303,0)))</x:f>
      </x:c>
      <x:c r="F106" t="str">
        <x:f>IF(OR(A106="",COUNTIF(Frozen_Predictions!$A$4:$A$303,A106)&lt;&gt;1),"",INDEX(Frozen_Predictions!$H$4:$H$303,MATCH(A106,Frozen_Predictions!$A$4:$A$303,0)))</x:f>
      </x:c>
      <x:c r="G106" t="str">
        <x:f>IF(OR(A106="",COUNTIF(Frozen_Predictions!$A$4:$A$303,A106)&lt;&gt;1),"",INDEX(Frozen_Predictions!$I$4:$I$303,MATCH(A106,Frozen_Predictions!$A$4:$A$303,0)))</x:f>
      </x:c>
      <x:c r="H106" t="str">
        <x:f>IF(OR(A106="",COUNTIF(Frozen_Predictions!$A$4:$A$303,A106)&lt;&gt;1),"",INDEX(Frozen_Predictions!$J$4:$J$303,MATCH(A106,Frozen_Predictions!$A$4:$A$303,0)))</x:f>
      </x:c>
      <x:c r="I106" t="str">
        <x:f>IF(OR(A106="",COUNTIF(Frozen_Predictions!$A$4:$A$303,A106)&lt;&gt;1),"",INDEX(Frozen_Predictions!$K$4:$K$303,MATCH(A106,Frozen_Predictions!$A$4:$A$303,0)))</x:f>
      </x:c>
      <x:c r="J106" s="142" t="str">
        <x:f>IF(OR(A106="",G106="",COUNT(K106:M106)&lt;3,COUNTIF($A$4:$A$303,A106)&lt;&gt;1),"",IF(IF(M106+F106&gt;0,"1",IF(M106+F106=0,"X","2"))=G106&amp;"",1,0))</x:f>
      </x:c>
      <x:c r="K106" s="143"/>
      <x:c r="L106" s="143"/>
      <x:c r="M106" s="142" t="str">
        <x:f>IF(AND(A106&lt;&gt;"",COUNT(K106:L106)=2),K106-L106,"")</x:f>
      </x:c>
      <x:c r="N106" s="142" t="str">
        <x:f>IF(J106="","",IF(M106+F106=0,"YES","NO"))</x:f>
      </x:c>
      <x:c r="O106" t="str">
        <x:f>IF(J106="","",IF(J106=1,"WIN",IF(N106="YES","Exact margin M="&amp;ABS(F106),"Direction / tail")))</x:f>
      </x:c>
      <x:c r="P106" s="141"/>
      <x:c r="Q106" s="141"/>
      <x:c r="R106" s="144" t="str">
        <x:f>IF(OR(I106="",J106=""),"",(I106-J106)^2)</x:f>
      </x:c>
      <x:c r="S106" s="144" t="str">
        <x:f>IF(OR(I106="",J106=""),"",-(J106*LN(MAX(MIN(I106,0.999999),0.000001))+(1-J106)*LN(MAX(MIN(1-I106,0.999999),0.000001))))</x:f>
      </x:c>
      <x:c r="T106" t="str">
        <x:f>IF(J106="","",INDEX(Frozen_Predictions!$M$4:$M$303,MATCH(A106,Frozen_Predictions!$A$4:$A$303,0)))</x:f>
      </x:c>
      <x:c r="U106" t="str">
        <x:f>IF(J106="","",INDEX(Frozen_Predictions!$W$4:$W$303,MATCH(A106,Frozen_Predictions!$A$4:$A$303,0)))</x:f>
      </x:c>
      <x:c r="V106" t="str">
        <x:f>IF(J106="","",INDEX(Frozen_Predictions!$X$4:$X$303,MATCH(A106,Frozen_Predictions!$A$4:$A$303,0)))</x:f>
      </x:c>
      <x:c r="W106" t="str">
        <x:f>IF(A106="","",IF(COUNTIF($A$4:$A$303,A106)&lt;&gt;1,"ID DUPLICAT",IF(COUNTIF(Frozen_Predictions!$A$4:$A$303,A106)&lt;&gt;1,"ID INEXISTENT SAU DUPLICAT ÎN FROZEN",IF(COUNT(K106:L106)&lt;2,"COMPLETEAZĂ SCORUL","VERIFICAT"))))</x:f>
      </x:c>
    </x:row>
    <x:row r="107">
      <x:c r="A107" s="141"/>
      <x:c r="B107" t="str">
        <x:f>IF(OR(A107="",COUNTIF(Frozen_Predictions!$A$4:$A$303,A107)&lt;&gt;1),"",INDEX(Frozen_Predictions!$C$4:$C$303,MATCH(A107,Frozen_Predictions!$A$4:$A$303,0)))</x:f>
      </x:c>
      <x:c r="C107" t="str">
        <x:f>IF(OR(A107="",COUNTIF(Frozen_Predictions!$A$4:$A$303,A107)&lt;&gt;1),"",INDEX(Frozen_Predictions!$E$4:$E$303,MATCH(A107,Frozen_Predictions!$A$4:$A$303,0)))</x:f>
      </x:c>
      <x:c r="D107" t="str">
        <x:f>IF(OR(A107="",COUNTIF(Frozen_Predictions!$A$4:$A$303,A107)&lt;&gt;1),"",INDEX(Frozen_Predictions!$F$4:$F$303,MATCH(A107,Frozen_Predictions!$A$4:$A$303,0)))</x:f>
      </x:c>
      <x:c r="E107" t="str">
        <x:f>IF(OR(A107="",COUNTIF(Frozen_Predictions!$A$4:$A$303,A107)&lt;&gt;1),"",INDEX(Frozen_Predictions!$G$4:$G$303,MATCH(A107,Frozen_Predictions!$A$4:$A$303,0)))</x:f>
      </x:c>
      <x:c r="F107" t="str">
        <x:f>IF(OR(A107="",COUNTIF(Frozen_Predictions!$A$4:$A$303,A107)&lt;&gt;1),"",INDEX(Frozen_Predictions!$H$4:$H$303,MATCH(A107,Frozen_Predictions!$A$4:$A$303,0)))</x:f>
      </x:c>
      <x:c r="G107" t="str">
        <x:f>IF(OR(A107="",COUNTIF(Frozen_Predictions!$A$4:$A$303,A107)&lt;&gt;1),"",INDEX(Frozen_Predictions!$I$4:$I$303,MATCH(A107,Frozen_Predictions!$A$4:$A$303,0)))</x:f>
      </x:c>
      <x:c r="H107" t="str">
        <x:f>IF(OR(A107="",COUNTIF(Frozen_Predictions!$A$4:$A$303,A107)&lt;&gt;1),"",INDEX(Frozen_Predictions!$J$4:$J$303,MATCH(A107,Frozen_Predictions!$A$4:$A$303,0)))</x:f>
      </x:c>
      <x:c r="I107" t="str">
        <x:f>IF(OR(A107="",COUNTIF(Frozen_Predictions!$A$4:$A$303,A107)&lt;&gt;1),"",INDEX(Frozen_Predictions!$K$4:$K$303,MATCH(A107,Frozen_Predictions!$A$4:$A$303,0)))</x:f>
      </x:c>
      <x:c r="J107" s="142" t="str">
        <x:f>IF(OR(A107="",G107="",COUNT(K107:M107)&lt;3,COUNTIF($A$4:$A$303,A107)&lt;&gt;1),"",IF(IF(M107+F107&gt;0,"1",IF(M107+F107=0,"X","2"))=G107&amp;"",1,0))</x:f>
      </x:c>
      <x:c r="K107" s="143"/>
      <x:c r="L107" s="143"/>
      <x:c r="M107" s="142" t="str">
        <x:f>IF(AND(A107&lt;&gt;"",COUNT(K107:L107)=2),K107-L107,"")</x:f>
      </x:c>
      <x:c r="N107" s="142" t="str">
        <x:f>IF(J107="","",IF(M107+F107=0,"YES","NO"))</x:f>
      </x:c>
      <x:c r="O107" t="str">
        <x:f>IF(J107="","",IF(J107=1,"WIN",IF(N107="YES","Exact margin M="&amp;ABS(F107),"Direction / tail")))</x:f>
      </x:c>
      <x:c r="P107" s="141"/>
      <x:c r="Q107" s="141"/>
      <x:c r="R107" s="144" t="str">
        <x:f>IF(OR(I107="",J107=""),"",(I107-J107)^2)</x:f>
      </x:c>
      <x:c r="S107" s="144" t="str">
        <x:f>IF(OR(I107="",J107=""),"",-(J107*LN(MAX(MIN(I107,0.999999),0.000001))+(1-J107)*LN(MAX(MIN(1-I107,0.999999),0.000001))))</x:f>
      </x:c>
      <x:c r="T107" t="str">
        <x:f>IF(J107="","",INDEX(Frozen_Predictions!$M$4:$M$303,MATCH(A107,Frozen_Predictions!$A$4:$A$303,0)))</x:f>
      </x:c>
      <x:c r="U107" t="str">
        <x:f>IF(J107="","",INDEX(Frozen_Predictions!$W$4:$W$303,MATCH(A107,Frozen_Predictions!$A$4:$A$303,0)))</x:f>
      </x:c>
      <x:c r="V107" t="str">
        <x:f>IF(J107="","",INDEX(Frozen_Predictions!$X$4:$X$303,MATCH(A107,Frozen_Predictions!$A$4:$A$303,0)))</x:f>
      </x:c>
      <x:c r="W107" t="str">
        <x:f>IF(A107="","",IF(COUNTIF($A$4:$A$303,A107)&lt;&gt;1,"ID DUPLICAT",IF(COUNTIF(Frozen_Predictions!$A$4:$A$303,A107)&lt;&gt;1,"ID INEXISTENT SAU DUPLICAT ÎN FROZEN",IF(COUNT(K107:L107)&lt;2,"COMPLETEAZĂ SCORUL","VERIFICAT"))))</x:f>
      </x:c>
    </x:row>
    <x:row r="108">
      <x:c r="A108" s="141"/>
      <x:c r="B108" t="str">
        <x:f>IF(OR(A108="",COUNTIF(Frozen_Predictions!$A$4:$A$303,A108)&lt;&gt;1),"",INDEX(Frozen_Predictions!$C$4:$C$303,MATCH(A108,Frozen_Predictions!$A$4:$A$303,0)))</x:f>
      </x:c>
      <x:c r="C108" t="str">
        <x:f>IF(OR(A108="",COUNTIF(Frozen_Predictions!$A$4:$A$303,A108)&lt;&gt;1),"",INDEX(Frozen_Predictions!$E$4:$E$303,MATCH(A108,Frozen_Predictions!$A$4:$A$303,0)))</x:f>
      </x:c>
      <x:c r="D108" t="str">
        <x:f>IF(OR(A108="",COUNTIF(Frozen_Predictions!$A$4:$A$303,A108)&lt;&gt;1),"",INDEX(Frozen_Predictions!$F$4:$F$303,MATCH(A108,Frozen_Predictions!$A$4:$A$303,0)))</x:f>
      </x:c>
      <x:c r="E108" t="str">
        <x:f>IF(OR(A108="",COUNTIF(Frozen_Predictions!$A$4:$A$303,A108)&lt;&gt;1),"",INDEX(Frozen_Predictions!$G$4:$G$303,MATCH(A108,Frozen_Predictions!$A$4:$A$303,0)))</x:f>
      </x:c>
      <x:c r="F108" t="str">
        <x:f>IF(OR(A108="",COUNTIF(Frozen_Predictions!$A$4:$A$303,A108)&lt;&gt;1),"",INDEX(Frozen_Predictions!$H$4:$H$303,MATCH(A108,Frozen_Predictions!$A$4:$A$303,0)))</x:f>
      </x:c>
      <x:c r="G108" t="str">
        <x:f>IF(OR(A108="",COUNTIF(Frozen_Predictions!$A$4:$A$303,A108)&lt;&gt;1),"",INDEX(Frozen_Predictions!$I$4:$I$303,MATCH(A108,Frozen_Predictions!$A$4:$A$303,0)))</x:f>
      </x:c>
      <x:c r="H108" t="str">
        <x:f>IF(OR(A108="",COUNTIF(Frozen_Predictions!$A$4:$A$303,A108)&lt;&gt;1),"",INDEX(Frozen_Predictions!$J$4:$J$303,MATCH(A108,Frozen_Predictions!$A$4:$A$303,0)))</x:f>
      </x:c>
      <x:c r="I108" t="str">
        <x:f>IF(OR(A108="",COUNTIF(Frozen_Predictions!$A$4:$A$303,A108)&lt;&gt;1),"",INDEX(Frozen_Predictions!$K$4:$K$303,MATCH(A108,Frozen_Predictions!$A$4:$A$303,0)))</x:f>
      </x:c>
      <x:c r="J108" s="142" t="str">
        <x:f>IF(OR(A108="",G108="",COUNT(K108:M108)&lt;3,COUNTIF($A$4:$A$303,A108)&lt;&gt;1),"",IF(IF(M108+F108&gt;0,"1",IF(M108+F108=0,"X","2"))=G108&amp;"",1,0))</x:f>
      </x:c>
      <x:c r="K108" s="143"/>
      <x:c r="L108" s="143"/>
      <x:c r="M108" s="142" t="str">
        <x:f>IF(AND(A108&lt;&gt;"",COUNT(K108:L108)=2),K108-L108,"")</x:f>
      </x:c>
      <x:c r="N108" s="142" t="str">
        <x:f>IF(J108="","",IF(M108+F108=0,"YES","NO"))</x:f>
      </x:c>
      <x:c r="O108" t="str">
        <x:f>IF(J108="","",IF(J108=1,"WIN",IF(N108="YES","Exact margin M="&amp;ABS(F108),"Direction / tail")))</x:f>
      </x:c>
      <x:c r="P108" s="141"/>
      <x:c r="Q108" s="141"/>
      <x:c r="R108" s="144" t="str">
        <x:f>IF(OR(I108="",J108=""),"",(I108-J108)^2)</x:f>
      </x:c>
      <x:c r="S108" s="144" t="str">
        <x:f>IF(OR(I108="",J108=""),"",-(J108*LN(MAX(MIN(I108,0.999999),0.000001))+(1-J108)*LN(MAX(MIN(1-I108,0.999999),0.000001))))</x:f>
      </x:c>
      <x:c r="T108" t="str">
        <x:f>IF(J108="","",INDEX(Frozen_Predictions!$M$4:$M$303,MATCH(A108,Frozen_Predictions!$A$4:$A$303,0)))</x:f>
      </x:c>
      <x:c r="U108" t="str">
        <x:f>IF(J108="","",INDEX(Frozen_Predictions!$W$4:$W$303,MATCH(A108,Frozen_Predictions!$A$4:$A$303,0)))</x:f>
      </x:c>
      <x:c r="V108" t="str">
        <x:f>IF(J108="","",INDEX(Frozen_Predictions!$X$4:$X$303,MATCH(A108,Frozen_Predictions!$A$4:$A$303,0)))</x:f>
      </x:c>
      <x:c r="W108" t="str">
        <x:f>IF(A108="","",IF(COUNTIF($A$4:$A$303,A108)&lt;&gt;1,"ID DUPLICAT",IF(COUNTIF(Frozen_Predictions!$A$4:$A$303,A108)&lt;&gt;1,"ID INEXISTENT SAU DUPLICAT ÎN FROZEN",IF(COUNT(K108:L108)&lt;2,"COMPLETEAZĂ SCORUL","VERIFICAT"))))</x:f>
      </x:c>
    </x:row>
    <x:row r="109">
      <x:c r="A109" s="141"/>
      <x:c r="B109" t="str">
        <x:f>IF(OR(A109="",COUNTIF(Frozen_Predictions!$A$4:$A$303,A109)&lt;&gt;1),"",INDEX(Frozen_Predictions!$C$4:$C$303,MATCH(A109,Frozen_Predictions!$A$4:$A$303,0)))</x:f>
      </x:c>
      <x:c r="C109" t="str">
        <x:f>IF(OR(A109="",COUNTIF(Frozen_Predictions!$A$4:$A$303,A109)&lt;&gt;1),"",INDEX(Frozen_Predictions!$E$4:$E$303,MATCH(A109,Frozen_Predictions!$A$4:$A$303,0)))</x:f>
      </x:c>
      <x:c r="D109" t="str">
        <x:f>IF(OR(A109="",COUNTIF(Frozen_Predictions!$A$4:$A$303,A109)&lt;&gt;1),"",INDEX(Frozen_Predictions!$F$4:$F$303,MATCH(A109,Frozen_Predictions!$A$4:$A$303,0)))</x:f>
      </x:c>
      <x:c r="E109" t="str">
        <x:f>IF(OR(A109="",COUNTIF(Frozen_Predictions!$A$4:$A$303,A109)&lt;&gt;1),"",INDEX(Frozen_Predictions!$G$4:$G$303,MATCH(A109,Frozen_Predictions!$A$4:$A$303,0)))</x:f>
      </x:c>
      <x:c r="F109" t="str">
        <x:f>IF(OR(A109="",COUNTIF(Frozen_Predictions!$A$4:$A$303,A109)&lt;&gt;1),"",INDEX(Frozen_Predictions!$H$4:$H$303,MATCH(A109,Frozen_Predictions!$A$4:$A$303,0)))</x:f>
      </x:c>
      <x:c r="G109" t="str">
        <x:f>IF(OR(A109="",COUNTIF(Frozen_Predictions!$A$4:$A$303,A109)&lt;&gt;1),"",INDEX(Frozen_Predictions!$I$4:$I$303,MATCH(A109,Frozen_Predictions!$A$4:$A$303,0)))</x:f>
      </x:c>
      <x:c r="H109" t="str">
        <x:f>IF(OR(A109="",COUNTIF(Frozen_Predictions!$A$4:$A$303,A109)&lt;&gt;1),"",INDEX(Frozen_Predictions!$J$4:$J$303,MATCH(A109,Frozen_Predictions!$A$4:$A$303,0)))</x:f>
      </x:c>
      <x:c r="I109" t="str">
        <x:f>IF(OR(A109="",COUNTIF(Frozen_Predictions!$A$4:$A$303,A109)&lt;&gt;1),"",INDEX(Frozen_Predictions!$K$4:$K$303,MATCH(A109,Frozen_Predictions!$A$4:$A$303,0)))</x:f>
      </x:c>
      <x:c r="J109" s="142" t="str">
        <x:f>IF(OR(A109="",G109="",COUNT(K109:M109)&lt;3,COUNTIF($A$4:$A$303,A109)&lt;&gt;1),"",IF(IF(M109+F109&gt;0,"1",IF(M109+F109=0,"X","2"))=G109&amp;"",1,0))</x:f>
      </x:c>
      <x:c r="K109" s="143"/>
      <x:c r="L109" s="143"/>
      <x:c r="M109" s="142" t="str">
        <x:f>IF(AND(A109&lt;&gt;"",COUNT(K109:L109)=2),K109-L109,"")</x:f>
      </x:c>
      <x:c r="N109" s="142" t="str">
        <x:f>IF(J109="","",IF(M109+F109=0,"YES","NO"))</x:f>
      </x:c>
      <x:c r="O109" t="str">
        <x:f>IF(J109="","",IF(J109=1,"WIN",IF(N109="YES","Exact margin M="&amp;ABS(F109),"Direction / tail")))</x:f>
      </x:c>
      <x:c r="P109" s="141"/>
      <x:c r="Q109" s="141"/>
      <x:c r="R109" s="144" t="str">
        <x:f>IF(OR(I109="",J109=""),"",(I109-J109)^2)</x:f>
      </x:c>
      <x:c r="S109" s="144" t="str">
        <x:f>IF(OR(I109="",J109=""),"",-(J109*LN(MAX(MIN(I109,0.999999),0.000001))+(1-J109)*LN(MAX(MIN(1-I109,0.999999),0.000001))))</x:f>
      </x:c>
      <x:c r="T109" t="str">
        <x:f>IF(J109="","",INDEX(Frozen_Predictions!$M$4:$M$303,MATCH(A109,Frozen_Predictions!$A$4:$A$303,0)))</x:f>
      </x:c>
      <x:c r="U109" t="str">
        <x:f>IF(J109="","",INDEX(Frozen_Predictions!$W$4:$W$303,MATCH(A109,Frozen_Predictions!$A$4:$A$303,0)))</x:f>
      </x:c>
      <x:c r="V109" t="str">
        <x:f>IF(J109="","",INDEX(Frozen_Predictions!$X$4:$X$303,MATCH(A109,Frozen_Predictions!$A$4:$A$303,0)))</x:f>
      </x:c>
      <x:c r="W109" t="str">
        <x:f>IF(A109="","",IF(COUNTIF($A$4:$A$303,A109)&lt;&gt;1,"ID DUPLICAT",IF(COUNTIF(Frozen_Predictions!$A$4:$A$303,A109)&lt;&gt;1,"ID INEXISTENT SAU DUPLICAT ÎN FROZEN",IF(COUNT(K109:L109)&lt;2,"COMPLETEAZĂ SCORUL","VERIFICAT"))))</x:f>
      </x:c>
    </x:row>
    <x:row r="110">
      <x:c r="A110" s="141"/>
      <x:c r="B110" t="str">
        <x:f>IF(OR(A110="",COUNTIF(Frozen_Predictions!$A$4:$A$303,A110)&lt;&gt;1),"",INDEX(Frozen_Predictions!$C$4:$C$303,MATCH(A110,Frozen_Predictions!$A$4:$A$303,0)))</x:f>
      </x:c>
      <x:c r="C110" t="str">
        <x:f>IF(OR(A110="",COUNTIF(Frozen_Predictions!$A$4:$A$303,A110)&lt;&gt;1),"",INDEX(Frozen_Predictions!$E$4:$E$303,MATCH(A110,Frozen_Predictions!$A$4:$A$303,0)))</x:f>
      </x:c>
      <x:c r="D110" t="str">
        <x:f>IF(OR(A110="",COUNTIF(Frozen_Predictions!$A$4:$A$303,A110)&lt;&gt;1),"",INDEX(Frozen_Predictions!$F$4:$F$303,MATCH(A110,Frozen_Predictions!$A$4:$A$303,0)))</x:f>
      </x:c>
      <x:c r="E110" t="str">
        <x:f>IF(OR(A110="",COUNTIF(Frozen_Predictions!$A$4:$A$303,A110)&lt;&gt;1),"",INDEX(Frozen_Predictions!$G$4:$G$303,MATCH(A110,Frozen_Predictions!$A$4:$A$303,0)))</x:f>
      </x:c>
      <x:c r="F110" t="str">
        <x:f>IF(OR(A110="",COUNTIF(Frozen_Predictions!$A$4:$A$303,A110)&lt;&gt;1),"",INDEX(Frozen_Predictions!$H$4:$H$303,MATCH(A110,Frozen_Predictions!$A$4:$A$303,0)))</x:f>
      </x:c>
      <x:c r="G110" t="str">
        <x:f>IF(OR(A110="",COUNTIF(Frozen_Predictions!$A$4:$A$303,A110)&lt;&gt;1),"",INDEX(Frozen_Predictions!$I$4:$I$303,MATCH(A110,Frozen_Predictions!$A$4:$A$303,0)))</x:f>
      </x:c>
      <x:c r="H110" t="str">
        <x:f>IF(OR(A110="",COUNTIF(Frozen_Predictions!$A$4:$A$303,A110)&lt;&gt;1),"",INDEX(Frozen_Predictions!$J$4:$J$303,MATCH(A110,Frozen_Predictions!$A$4:$A$303,0)))</x:f>
      </x:c>
      <x:c r="I110" t="str">
        <x:f>IF(OR(A110="",COUNTIF(Frozen_Predictions!$A$4:$A$303,A110)&lt;&gt;1),"",INDEX(Frozen_Predictions!$K$4:$K$303,MATCH(A110,Frozen_Predictions!$A$4:$A$303,0)))</x:f>
      </x:c>
      <x:c r="J110" s="142" t="str">
        <x:f>IF(OR(A110="",G110="",COUNT(K110:M110)&lt;3,COUNTIF($A$4:$A$303,A110)&lt;&gt;1),"",IF(IF(M110+F110&gt;0,"1",IF(M110+F110=0,"X","2"))=G110&amp;"",1,0))</x:f>
      </x:c>
      <x:c r="K110" s="143"/>
      <x:c r="L110" s="143"/>
      <x:c r="M110" s="142" t="str">
        <x:f>IF(AND(A110&lt;&gt;"",COUNT(K110:L110)=2),K110-L110,"")</x:f>
      </x:c>
      <x:c r="N110" s="142" t="str">
        <x:f>IF(J110="","",IF(M110+F110=0,"YES","NO"))</x:f>
      </x:c>
      <x:c r="O110" t="str">
        <x:f>IF(J110="","",IF(J110=1,"WIN",IF(N110="YES","Exact margin M="&amp;ABS(F110),"Direction / tail")))</x:f>
      </x:c>
      <x:c r="P110" s="141"/>
      <x:c r="Q110" s="141"/>
      <x:c r="R110" s="144" t="str">
        <x:f>IF(OR(I110="",J110=""),"",(I110-J110)^2)</x:f>
      </x:c>
      <x:c r="S110" s="144" t="str">
        <x:f>IF(OR(I110="",J110=""),"",-(J110*LN(MAX(MIN(I110,0.999999),0.000001))+(1-J110)*LN(MAX(MIN(1-I110,0.999999),0.000001))))</x:f>
      </x:c>
      <x:c r="T110" t="str">
        <x:f>IF(J110="","",INDEX(Frozen_Predictions!$M$4:$M$303,MATCH(A110,Frozen_Predictions!$A$4:$A$303,0)))</x:f>
      </x:c>
      <x:c r="U110" t="str">
        <x:f>IF(J110="","",INDEX(Frozen_Predictions!$W$4:$W$303,MATCH(A110,Frozen_Predictions!$A$4:$A$303,0)))</x:f>
      </x:c>
      <x:c r="V110" t="str">
        <x:f>IF(J110="","",INDEX(Frozen_Predictions!$X$4:$X$303,MATCH(A110,Frozen_Predictions!$A$4:$A$303,0)))</x:f>
      </x:c>
      <x:c r="W110" t="str">
        <x:f>IF(A110="","",IF(COUNTIF($A$4:$A$303,A110)&lt;&gt;1,"ID DUPLICAT",IF(COUNTIF(Frozen_Predictions!$A$4:$A$303,A110)&lt;&gt;1,"ID INEXISTENT SAU DUPLICAT ÎN FROZEN",IF(COUNT(K110:L110)&lt;2,"COMPLETEAZĂ SCORUL","VERIFICAT"))))</x:f>
      </x:c>
    </x:row>
    <x:row r="111">
      <x:c r="A111" s="141"/>
      <x:c r="B111" t="str">
        <x:f>IF(OR(A111="",COUNTIF(Frozen_Predictions!$A$4:$A$303,A111)&lt;&gt;1),"",INDEX(Frozen_Predictions!$C$4:$C$303,MATCH(A111,Frozen_Predictions!$A$4:$A$303,0)))</x:f>
      </x:c>
      <x:c r="C111" t="str">
        <x:f>IF(OR(A111="",COUNTIF(Frozen_Predictions!$A$4:$A$303,A111)&lt;&gt;1),"",INDEX(Frozen_Predictions!$E$4:$E$303,MATCH(A111,Frozen_Predictions!$A$4:$A$303,0)))</x:f>
      </x:c>
      <x:c r="D111" t="str">
        <x:f>IF(OR(A111="",COUNTIF(Frozen_Predictions!$A$4:$A$303,A111)&lt;&gt;1),"",INDEX(Frozen_Predictions!$F$4:$F$303,MATCH(A111,Frozen_Predictions!$A$4:$A$303,0)))</x:f>
      </x:c>
      <x:c r="E111" t="str">
        <x:f>IF(OR(A111="",COUNTIF(Frozen_Predictions!$A$4:$A$303,A111)&lt;&gt;1),"",INDEX(Frozen_Predictions!$G$4:$G$303,MATCH(A111,Frozen_Predictions!$A$4:$A$303,0)))</x:f>
      </x:c>
      <x:c r="F111" t="str">
        <x:f>IF(OR(A111="",COUNTIF(Frozen_Predictions!$A$4:$A$303,A111)&lt;&gt;1),"",INDEX(Frozen_Predictions!$H$4:$H$303,MATCH(A111,Frozen_Predictions!$A$4:$A$303,0)))</x:f>
      </x:c>
      <x:c r="G111" t="str">
        <x:f>IF(OR(A111="",COUNTIF(Frozen_Predictions!$A$4:$A$303,A111)&lt;&gt;1),"",INDEX(Frozen_Predictions!$I$4:$I$303,MATCH(A111,Frozen_Predictions!$A$4:$A$303,0)))</x:f>
      </x:c>
      <x:c r="H111" t="str">
        <x:f>IF(OR(A111="",COUNTIF(Frozen_Predictions!$A$4:$A$303,A111)&lt;&gt;1),"",INDEX(Frozen_Predictions!$J$4:$J$303,MATCH(A111,Frozen_Predictions!$A$4:$A$303,0)))</x:f>
      </x:c>
      <x:c r="I111" t="str">
        <x:f>IF(OR(A111="",COUNTIF(Frozen_Predictions!$A$4:$A$303,A111)&lt;&gt;1),"",INDEX(Frozen_Predictions!$K$4:$K$303,MATCH(A111,Frozen_Predictions!$A$4:$A$303,0)))</x:f>
      </x:c>
      <x:c r="J111" s="142" t="str">
        <x:f>IF(OR(A111="",G111="",COUNT(K111:M111)&lt;3,COUNTIF($A$4:$A$303,A111)&lt;&gt;1),"",IF(IF(M111+F111&gt;0,"1",IF(M111+F111=0,"X","2"))=G111&amp;"",1,0))</x:f>
      </x:c>
      <x:c r="K111" s="143"/>
      <x:c r="L111" s="143"/>
      <x:c r="M111" s="142" t="str">
        <x:f>IF(AND(A111&lt;&gt;"",COUNT(K111:L111)=2),K111-L111,"")</x:f>
      </x:c>
      <x:c r="N111" s="142" t="str">
        <x:f>IF(J111="","",IF(M111+F111=0,"YES","NO"))</x:f>
      </x:c>
      <x:c r="O111" t="str">
        <x:f>IF(J111="","",IF(J111=1,"WIN",IF(N111="YES","Exact margin M="&amp;ABS(F111),"Direction / tail")))</x:f>
      </x:c>
      <x:c r="P111" s="141"/>
      <x:c r="Q111" s="141"/>
      <x:c r="R111" s="144" t="str">
        <x:f>IF(OR(I111="",J111=""),"",(I111-J111)^2)</x:f>
      </x:c>
      <x:c r="S111" s="144" t="str">
        <x:f>IF(OR(I111="",J111=""),"",-(J111*LN(MAX(MIN(I111,0.999999),0.000001))+(1-J111)*LN(MAX(MIN(1-I111,0.999999),0.000001))))</x:f>
      </x:c>
      <x:c r="T111" t="str">
        <x:f>IF(J111="","",INDEX(Frozen_Predictions!$M$4:$M$303,MATCH(A111,Frozen_Predictions!$A$4:$A$303,0)))</x:f>
      </x:c>
      <x:c r="U111" t="str">
        <x:f>IF(J111="","",INDEX(Frozen_Predictions!$W$4:$W$303,MATCH(A111,Frozen_Predictions!$A$4:$A$303,0)))</x:f>
      </x:c>
      <x:c r="V111" t="str">
        <x:f>IF(J111="","",INDEX(Frozen_Predictions!$X$4:$X$303,MATCH(A111,Frozen_Predictions!$A$4:$A$303,0)))</x:f>
      </x:c>
      <x:c r="W111" t="str">
        <x:f>IF(A111="","",IF(COUNTIF($A$4:$A$303,A111)&lt;&gt;1,"ID DUPLICAT",IF(COUNTIF(Frozen_Predictions!$A$4:$A$303,A111)&lt;&gt;1,"ID INEXISTENT SAU DUPLICAT ÎN FROZEN",IF(COUNT(K111:L111)&lt;2,"COMPLETEAZĂ SCORUL","VERIFICAT"))))</x:f>
      </x:c>
    </x:row>
    <x:row r="112">
      <x:c r="A112" s="141"/>
      <x:c r="B112" t="str">
        <x:f>IF(OR(A112="",COUNTIF(Frozen_Predictions!$A$4:$A$303,A112)&lt;&gt;1),"",INDEX(Frozen_Predictions!$C$4:$C$303,MATCH(A112,Frozen_Predictions!$A$4:$A$303,0)))</x:f>
      </x:c>
      <x:c r="C112" t="str">
        <x:f>IF(OR(A112="",COUNTIF(Frozen_Predictions!$A$4:$A$303,A112)&lt;&gt;1),"",INDEX(Frozen_Predictions!$E$4:$E$303,MATCH(A112,Frozen_Predictions!$A$4:$A$303,0)))</x:f>
      </x:c>
      <x:c r="D112" t="str">
        <x:f>IF(OR(A112="",COUNTIF(Frozen_Predictions!$A$4:$A$303,A112)&lt;&gt;1),"",INDEX(Frozen_Predictions!$F$4:$F$303,MATCH(A112,Frozen_Predictions!$A$4:$A$303,0)))</x:f>
      </x:c>
      <x:c r="E112" t="str">
        <x:f>IF(OR(A112="",COUNTIF(Frozen_Predictions!$A$4:$A$303,A112)&lt;&gt;1),"",INDEX(Frozen_Predictions!$G$4:$G$303,MATCH(A112,Frozen_Predictions!$A$4:$A$303,0)))</x:f>
      </x:c>
      <x:c r="F112" t="str">
        <x:f>IF(OR(A112="",COUNTIF(Frozen_Predictions!$A$4:$A$303,A112)&lt;&gt;1),"",INDEX(Frozen_Predictions!$H$4:$H$303,MATCH(A112,Frozen_Predictions!$A$4:$A$303,0)))</x:f>
      </x:c>
      <x:c r="G112" t="str">
        <x:f>IF(OR(A112="",COUNTIF(Frozen_Predictions!$A$4:$A$303,A112)&lt;&gt;1),"",INDEX(Frozen_Predictions!$I$4:$I$303,MATCH(A112,Frozen_Predictions!$A$4:$A$303,0)))</x:f>
      </x:c>
      <x:c r="H112" t="str">
        <x:f>IF(OR(A112="",COUNTIF(Frozen_Predictions!$A$4:$A$303,A112)&lt;&gt;1),"",INDEX(Frozen_Predictions!$J$4:$J$303,MATCH(A112,Frozen_Predictions!$A$4:$A$303,0)))</x:f>
      </x:c>
      <x:c r="I112" t="str">
        <x:f>IF(OR(A112="",COUNTIF(Frozen_Predictions!$A$4:$A$303,A112)&lt;&gt;1),"",INDEX(Frozen_Predictions!$K$4:$K$303,MATCH(A112,Frozen_Predictions!$A$4:$A$303,0)))</x:f>
      </x:c>
      <x:c r="J112" s="142" t="str">
        <x:f>IF(OR(A112="",G112="",COUNT(K112:M112)&lt;3,COUNTIF($A$4:$A$303,A112)&lt;&gt;1),"",IF(IF(M112+F112&gt;0,"1",IF(M112+F112=0,"X","2"))=G112&amp;"",1,0))</x:f>
      </x:c>
      <x:c r="K112" s="143"/>
      <x:c r="L112" s="143"/>
      <x:c r="M112" s="142" t="str">
        <x:f>IF(AND(A112&lt;&gt;"",COUNT(K112:L112)=2),K112-L112,"")</x:f>
      </x:c>
      <x:c r="N112" s="142" t="str">
        <x:f>IF(J112="","",IF(M112+F112=0,"YES","NO"))</x:f>
      </x:c>
      <x:c r="O112" t="str">
        <x:f>IF(J112="","",IF(J112=1,"WIN",IF(N112="YES","Exact margin M="&amp;ABS(F112),"Direction / tail")))</x:f>
      </x:c>
      <x:c r="P112" s="141"/>
      <x:c r="Q112" s="141"/>
      <x:c r="R112" s="144" t="str">
        <x:f>IF(OR(I112="",J112=""),"",(I112-J112)^2)</x:f>
      </x:c>
      <x:c r="S112" s="144" t="str">
        <x:f>IF(OR(I112="",J112=""),"",-(J112*LN(MAX(MIN(I112,0.999999),0.000001))+(1-J112)*LN(MAX(MIN(1-I112,0.999999),0.000001))))</x:f>
      </x:c>
      <x:c r="T112" t="str">
        <x:f>IF(J112="","",INDEX(Frozen_Predictions!$M$4:$M$303,MATCH(A112,Frozen_Predictions!$A$4:$A$303,0)))</x:f>
      </x:c>
      <x:c r="U112" t="str">
        <x:f>IF(J112="","",INDEX(Frozen_Predictions!$W$4:$W$303,MATCH(A112,Frozen_Predictions!$A$4:$A$303,0)))</x:f>
      </x:c>
      <x:c r="V112" t="str">
        <x:f>IF(J112="","",INDEX(Frozen_Predictions!$X$4:$X$303,MATCH(A112,Frozen_Predictions!$A$4:$A$303,0)))</x:f>
      </x:c>
      <x:c r="W112" t="str">
        <x:f>IF(A112="","",IF(COUNTIF($A$4:$A$303,A112)&lt;&gt;1,"ID DUPLICAT",IF(COUNTIF(Frozen_Predictions!$A$4:$A$303,A112)&lt;&gt;1,"ID INEXISTENT SAU DUPLICAT ÎN FROZEN",IF(COUNT(K112:L112)&lt;2,"COMPLETEAZĂ SCORUL","VERIFICAT"))))</x:f>
      </x:c>
    </x:row>
    <x:row r="113">
      <x:c r="A113" s="141"/>
      <x:c r="B113" t="str">
        <x:f>IF(OR(A113="",COUNTIF(Frozen_Predictions!$A$4:$A$303,A113)&lt;&gt;1),"",INDEX(Frozen_Predictions!$C$4:$C$303,MATCH(A113,Frozen_Predictions!$A$4:$A$303,0)))</x:f>
      </x:c>
      <x:c r="C113" t="str">
        <x:f>IF(OR(A113="",COUNTIF(Frozen_Predictions!$A$4:$A$303,A113)&lt;&gt;1),"",INDEX(Frozen_Predictions!$E$4:$E$303,MATCH(A113,Frozen_Predictions!$A$4:$A$303,0)))</x:f>
      </x:c>
      <x:c r="D113" t="str">
        <x:f>IF(OR(A113="",COUNTIF(Frozen_Predictions!$A$4:$A$303,A113)&lt;&gt;1),"",INDEX(Frozen_Predictions!$F$4:$F$303,MATCH(A113,Frozen_Predictions!$A$4:$A$303,0)))</x:f>
      </x:c>
      <x:c r="E113" t="str">
        <x:f>IF(OR(A113="",COUNTIF(Frozen_Predictions!$A$4:$A$303,A113)&lt;&gt;1),"",INDEX(Frozen_Predictions!$G$4:$G$303,MATCH(A113,Frozen_Predictions!$A$4:$A$303,0)))</x:f>
      </x:c>
      <x:c r="F113" t="str">
        <x:f>IF(OR(A113="",COUNTIF(Frozen_Predictions!$A$4:$A$303,A113)&lt;&gt;1),"",INDEX(Frozen_Predictions!$H$4:$H$303,MATCH(A113,Frozen_Predictions!$A$4:$A$303,0)))</x:f>
      </x:c>
      <x:c r="G113" t="str">
        <x:f>IF(OR(A113="",COUNTIF(Frozen_Predictions!$A$4:$A$303,A113)&lt;&gt;1),"",INDEX(Frozen_Predictions!$I$4:$I$303,MATCH(A113,Frozen_Predictions!$A$4:$A$303,0)))</x:f>
      </x:c>
      <x:c r="H113" t="str">
        <x:f>IF(OR(A113="",COUNTIF(Frozen_Predictions!$A$4:$A$303,A113)&lt;&gt;1),"",INDEX(Frozen_Predictions!$J$4:$J$303,MATCH(A113,Frozen_Predictions!$A$4:$A$303,0)))</x:f>
      </x:c>
      <x:c r="I113" t="str">
        <x:f>IF(OR(A113="",COUNTIF(Frozen_Predictions!$A$4:$A$303,A113)&lt;&gt;1),"",INDEX(Frozen_Predictions!$K$4:$K$303,MATCH(A113,Frozen_Predictions!$A$4:$A$303,0)))</x:f>
      </x:c>
      <x:c r="J113" s="142" t="str">
        <x:f>IF(OR(A113="",G113="",COUNT(K113:M113)&lt;3,COUNTIF($A$4:$A$303,A113)&lt;&gt;1),"",IF(IF(M113+F113&gt;0,"1",IF(M113+F113=0,"X","2"))=G113&amp;"",1,0))</x:f>
      </x:c>
      <x:c r="K113" s="143"/>
      <x:c r="L113" s="143"/>
      <x:c r="M113" s="142" t="str">
        <x:f>IF(AND(A113&lt;&gt;"",COUNT(K113:L113)=2),K113-L113,"")</x:f>
      </x:c>
      <x:c r="N113" s="142" t="str">
        <x:f>IF(J113="","",IF(M113+F113=0,"YES","NO"))</x:f>
      </x:c>
      <x:c r="O113" t="str">
        <x:f>IF(J113="","",IF(J113=1,"WIN",IF(N113="YES","Exact margin M="&amp;ABS(F113),"Direction / tail")))</x:f>
      </x:c>
      <x:c r="P113" s="141"/>
      <x:c r="Q113" s="141"/>
      <x:c r="R113" s="144" t="str">
        <x:f>IF(OR(I113="",J113=""),"",(I113-J113)^2)</x:f>
      </x:c>
      <x:c r="S113" s="144" t="str">
        <x:f>IF(OR(I113="",J113=""),"",-(J113*LN(MAX(MIN(I113,0.999999),0.000001))+(1-J113)*LN(MAX(MIN(1-I113,0.999999),0.000001))))</x:f>
      </x:c>
      <x:c r="T113" t="str">
        <x:f>IF(J113="","",INDEX(Frozen_Predictions!$M$4:$M$303,MATCH(A113,Frozen_Predictions!$A$4:$A$303,0)))</x:f>
      </x:c>
      <x:c r="U113" t="str">
        <x:f>IF(J113="","",INDEX(Frozen_Predictions!$W$4:$W$303,MATCH(A113,Frozen_Predictions!$A$4:$A$303,0)))</x:f>
      </x:c>
      <x:c r="V113" t="str">
        <x:f>IF(J113="","",INDEX(Frozen_Predictions!$X$4:$X$303,MATCH(A113,Frozen_Predictions!$A$4:$A$303,0)))</x:f>
      </x:c>
      <x:c r="W113" t="str">
        <x:f>IF(A113="","",IF(COUNTIF($A$4:$A$303,A113)&lt;&gt;1,"ID DUPLICAT",IF(COUNTIF(Frozen_Predictions!$A$4:$A$303,A113)&lt;&gt;1,"ID INEXISTENT SAU DUPLICAT ÎN FROZEN",IF(COUNT(K113:L113)&lt;2,"COMPLETEAZĂ SCORUL","VERIFICAT"))))</x:f>
      </x:c>
    </x:row>
    <x:row r="114">
      <x:c r="A114" s="141"/>
      <x:c r="B114" t="str">
        <x:f>IF(OR(A114="",COUNTIF(Frozen_Predictions!$A$4:$A$303,A114)&lt;&gt;1),"",INDEX(Frozen_Predictions!$C$4:$C$303,MATCH(A114,Frozen_Predictions!$A$4:$A$303,0)))</x:f>
      </x:c>
      <x:c r="C114" t="str">
        <x:f>IF(OR(A114="",COUNTIF(Frozen_Predictions!$A$4:$A$303,A114)&lt;&gt;1),"",INDEX(Frozen_Predictions!$E$4:$E$303,MATCH(A114,Frozen_Predictions!$A$4:$A$303,0)))</x:f>
      </x:c>
      <x:c r="D114" t="str">
        <x:f>IF(OR(A114="",COUNTIF(Frozen_Predictions!$A$4:$A$303,A114)&lt;&gt;1),"",INDEX(Frozen_Predictions!$F$4:$F$303,MATCH(A114,Frozen_Predictions!$A$4:$A$303,0)))</x:f>
      </x:c>
      <x:c r="E114" t="str">
        <x:f>IF(OR(A114="",COUNTIF(Frozen_Predictions!$A$4:$A$303,A114)&lt;&gt;1),"",INDEX(Frozen_Predictions!$G$4:$G$303,MATCH(A114,Frozen_Predictions!$A$4:$A$303,0)))</x:f>
      </x:c>
      <x:c r="F114" t="str">
        <x:f>IF(OR(A114="",COUNTIF(Frozen_Predictions!$A$4:$A$303,A114)&lt;&gt;1),"",INDEX(Frozen_Predictions!$H$4:$H$303,MATCH(A114,Frozen_Predictions!$A$4:$A$303,0)))</x:f>
      </x:c>
      <x:c r="G114" t="str">
        <x:f>IF(OR(A114="",COUNTIF(Frozen_Predictions!$A$4:$A$303,A114)&lt;&gt;1),"",INDEX(Frozen_Predictions!$I$4:$I$303,MATCH(A114,Frozen_Predictions!$A$4:$A$303,0)))</x:f>
      </x:c>
      <x:c r="H114" t="str">
        <x:f>IF(OR(A114="",COUNTIF(Frozen_Predictions!$A$4:$A$303,A114)&lt;&gt;1),"",INDEX(Frozen_Predictions!$J$4:$J$303,MATCH(A114,Frozen_Predictions!$A$4:$A$303,0)))</x:f>
      </x:c>
      <x:c r="I114" t="str">
        <x:f>IF(OR(A114="",COUNTIF(Frozen_Predictions!$A$4:$A$303,A114)&lt;&gt;1),"",INDEX(Frozen_Predictions!$K$4:$K$303,MATCH(A114,Frozen_Predictions!$A$4:$A$303,0)))</x:f>
      </x:c>
      <x:c r="J114" s="142" t="str">
        <x:f>IF(OR(A114="",G114="",COUNT(K114:M114)&lt;3,COUNTIF($A$4:$A$303,A114)&lt;&gt;1),"",IF(IF(M114+F114&gt;0,"1",IF(M114+F114=0,"X","2"))=G114&amp;"",1,0))</x:f>
      </x:c>
      <x:c r="K114" s="143"/>
      <x:c r="L114" s="143"/>
      <x:c r="M114" s="142" t="str">
        <x:f>IF(AND(A114&lt;&gt;"",COUNT(K114:L114)=2),K114-L114,"")</x:f>
      </x:c>
      <x:c r="N114" s="142" t="str">
        <x:f>IF(J114="","",IF(M114+F114=0,"YES","NO"))</x:f>
      </x:c>
      <x:c r="O114" t="str">
        <x:f>IF(J114="","",IF(J114=1,"WIN",IF(N114="YES","Exact margin M="&amp;ABS(F114),"Direction / tail")))</x:f>
      </x:c>
      <x:c r="P114" s="141"/>
      <x:c r="Q114" s="141"/>
      <x:c r="R114" s="144" t="str">
        <x:f>IF(OR(I114="",J114=""),"",(I114-J114)^2)</x:f>
      </x:c>
      <x:c r="S114" s="144" t="str">
        <x:f>IF(OR(I114="",J114=""),"",-(J114*LN(MAX(MIN(I114,0.999999),0.000001))+(1-J114)*LN(MAX(MIN(1-I114,0.999999),0.000001))))</x:f>
      </x:c>
      <x:c r="T114" t="str">
        <x:f>IF(J114="","",INDEX(Frozen_Predictions!$M$4:$M$303,MATCH(A114,Frozen_Predictions!$A$4:$A$303,0)))</x:f>
      </x:c>
      <x:c r="U114" t="str">
        <x:f>IF(J114="","",INDEX(Frozen_Predictions!$W$4:$W$303,MATCH(A114,Frozen_Predictions!$A$4:$A$303,0)))</x:f>
      </x:c>
      <x:c r="V114" t="str">
        <x:f>IF(J114="","",INDEX(Frozen_Predictions!$X$4:$X$303,MATCH(A114,Frozen_Predictions!$A$4:$A$303,0)))</x:f>
      </x:c>
      <x:c r="W114" t="str">
        <x:f>IF(A114="","",IF(COUNTIF($A$4:$A$303,A114)&lt;&gt;1,"ID DUPLICAT",IF(COUNTIF(Frozen_Predictions!$A$4:$A$303,A114)&lt;&gt;1,"ID INEXISTENT SAU DUPLICAT ÎN FROZEN",IF(COUNT(K114:L114)&lt;2,"COMPLETEAZĂ SCORUL","VERIFICAT"))))</x:f>
      </x:c>
    </x:row>
    <x:row r="115">
      <x:c r="A115" s="141"/>
      <x:c r="B115" t="str">
        <x:f>IF(OR(A115="",COUNTIF(Frozen_Predictions!$A$4:$A$303,A115)&lt;&gt;1),"",INDEX(Frozen_Predictions!$C$4:$C$303,MATCH(A115,Frozen_Predictions!$A$4:$A$303,0)))</x:f>
      </x:c>
      <x:c r="C115" t="str">
        <x:f>IF(OR(A115="",COUNTIF(Frozen_Predictions!$A$4:$A$303,A115)&lt;&gt;1),"",INDEX(Frozen_Predictions!$E$4:$E$303,MATCH(A115,Frozen_Predictions!$A$4:$A$303,0)))</x:f>
      </x:c>
      <x:c r="D115" t="str">
        <x:f>IF(OR(A115="",COUNTIF(Frozen_Predictions!$A$4:$A$303,A115)&lt;&gt;1),"",INDEX(Frozen_Predictions!$F$4:$F$303,MATCH(A115,Frozen_Predictions!$A$4:$A$303,0)))</x:f>
      </x:c>
      <x:c r="E115" t="str">
        <x:f>IF(OR(A115="",COUNTIF(Frozen_Predictions!$A$4:$A$303,A115)&lt;&gt;1),"",INDEX(Frozen_Predictions!$G$4:$G$303,MATCH(A115,Frozen_Predictions!$A$4:$A$303,0)))</x:f>
      </x:c>
      <x:c r="F115" t="str">
        <x:f>IF(OR(A115="",COUNTIF(Frozen_Predictions!$A$4:$A$303,A115)&lt;&gt;1),"",INDEX(Frozen_Predictions!$H$4:$H$303,MATCH(A115,Frozen_Predictions!$A$4:$A$303,0)))</x:f>
      </x:c>
      <x:c r="G115" t="str">
        <x:f>IF(OR(A115="",COUNTIF(Frozen_Predictions!$A$4:$A$303,A115)&lt;&gt;1),"",INDEX(Frozen_Predictions!$I$4:$I$303,MATCH(A115,Frozen_Predictions!$A$4:$A$303,0)))</x:f>
      </x:c>
      <x:c r="H115" t="str">
        <x:f>IF(OR(A115="",COUNTIF(Frozen_Predictions!$A$4:$A$303,A115)&lt;&gt;1),"",INDEX(Frozen_Predictions!$J$4:$J$303,MATCH(A115,Frozen_Predictions!$A$4:$A$303,0)))</x:f>
      </x:c>
      <x:c r="I115" t="str">
        <x:f>IF(OR(A115="",COUNTIF(Frozen_Predictions!$A$4:$A$303,A115)&lt;&gt;1),"",INDEX(Frozen_Predictions!$K$4:$K$303,MATCH(A115,Frozen_Predictions!$A$4:$A$303,0)))</x:f>
      </x:c>
      <x:c r="J115" s="142" t="str">
        <x:f>IF(OR(A115="",G115="",COUNT(K115:M115)&lt;3,COUNTIF($A$4:$A$303,A115)&lt;&gt;1),"",IF(IF(M115+F115&gt;0,"1",IF(M115+F115=0,"X","2"))=G115&amp;"",1,0))</x:f>
      </x:c>
      <x:c r="K115" s="143"/>
      <x:c r="L115" s="143"/>
      <x:c r="M115" s="142" t="str">
        <x:f>IF(AND(A115&lt;&gt;"",COUNT(K115:L115)=2),K115-L115,"")</x:f>
      </x:c>
      <x:c r="N115" s="142" t="str">
        <x:f>IF(J115="","",IF(M115+F115=0,"YES","NO"))</x:f>
      </x:c>
      <x:c r="O115" t="str">
        <x:f>IF(J115="","",IF(J115=1,"WIN",IF(N115="YES","Exact margin M="&amp;ABS(F115),"Direction / tail")))</x:f>
      </x:c>
      <x:c r="P115" s="141"/>
      <x:c r="Q115" s="141"/>
      <x:c r="R115" s="144" t="str">
        <x:f>IF(OR(I115="",J115=""),"",(I115-J115)^2)</x:f>
      </x:c>
      <x:c r="S115" s="144" t="str">
        <x:f>IF(OR(I115="",J115=""),"",-(J115*LN(MAX(MIN(I115,0.999999),0.000001))+(1-J115)*LN(MAX(MIN(1-I115,0.999999),0.000001))))</x:f>
      </x:c>
      <x:c r="T115" t="str">
        <x:f>IF(J115="","",INDEX(Frozen_Predictions!$M$4:$M$303,MATCH(A115,Frozen_Predictions!$A$4:$A$303,0)))</x:f>
      </x:c>
      <x:c r="U115" t="str">
        <x:f>IF(J115="","",INDEX(Frozen_Predictions!$W$4:$W$303,MATCH(A115,Frozen_Predictions!$A$4:$A$303,0)))</x:f>
      </x:c>
      <x:c r="V115" t="str">
        <x:f>IF(J115="","",INDEX(Frozen_Predictions!$X$4:$X$303,MATCH(A115,Frozen_Predictions!$A$4:$A$303,0)))</x:f>
      </x:c>
      <x:c r="W115" t="str">
        <x:f>IF(A115="","",IF(COUNTIF($A$4:$A$303,A115)&lt;&gt;1,"ID DUPLICAT",IF(COUNTIF(Frozen_Predictions!$A$4:$A$303,A115)&lt;&gt;1,"ID INEXISTENT SAU DUPLICAT ÎN FROZEN",IF(COUNT(K115:L115)&lt;2,"COMPLETEAZĂ SCORUL","VERIFICAT"))))</x:f>
      </x:c>
    </x:row>
    <x:row r="116">
      <x:c r="A116" s="141"/>
      <x:c r="B116" t="str">
        <x:f>IF(OR(A116="",COUNTIF(Frozen_Predictions!$A$4:$A$303,A116)&lt;&gt;1),"",INDEX(Frozen_Predictions!$C$4:$C$303,MATCH(A116,Frozen_Predictions!$A$4:$A$303,0)))</x:f>
      </x:c>
      <x:c r="C116" t="str">
        <x:f>IF(OR(A116="",COUNTIF(Frozen_Predictions!$A$4:$A$303,A116)&lt;&gt;1),"",INDEX(Frozen_Predictions!$E$4:$E$303,MATCH(A116,Frozen_Predictions!$A$4:$A$303,0)))</x:f>
      </x:c>
      <x:c r="D116" t="str">
        <x:f>IF(OR(A116="",COUNTIF(Frozen_Predictions!$A$4:$A$303,A116)&lt;&gt;1),"",INDEX(Frozen_Predictions!$F$4:$F$303,MATCH(A116,Frozen_Predictions!$A$4:$A$303,0)))</x:f>
      </x:c>
      <x:c r="E116" t="str">
        <x:f>IF(OR(A116="",COUNTIF(Frozen_Predictions!$A$4:$A$303,A116)&lt;&gt;1),"",INDEX(Frozen_Predictions!$G$4:$G$303,MATCH(A116,Frozen_Predictions!$A$4:$A$303,0)))</x:f>
      </x:c>
      <x:c r="F116" t="str">
        <x:f>IF(OR(A116="",COUNTIF(Frozen_Predictions!$A$4:$A$303,A116)&lt;&gt;1),"",INDEX(Frozen_Predictions!$H$4:$H$303,MATCH(A116,Frozen_Predictions!$A$4:$A$303,0)))</x:f>
      </x:c>
      <x:c r="G116" t="str">
        <x:f>IF(OR(A116="",COUNTIF(Frozen_Predictions!$A$4:$A$303,A116)&lt;&gt;1),"",INDEX(Frozen_Predictions!$I$4:$I$303,MATCH(A116,Frozen_Predictions!$A$4:$A$303,0)))</x:f>
      </x:c>
      <x:c r="H116" t="str">
        <x:f>IF(OR(A116="",COUNTIF(Frozen_Predictions!$A$4:$A$303,A116)&lt;&gt;1),"",INDEX(Frozen_Predictions!$J$4:$J$303,MATCH(A116,Frozen_Predictions!$A$4:$A$303,0)))</x:f>
      </x:c>
      <x:c r="I116" t="str">
        <x:f>IF(OR(A116="",COUNTIF(Frozen_Predictions!$A$4:$A$303,A116)&lt;&gt;1),"",INDEX(Frozen_Predictions!$K$4:$K$303,MATCH(A116,Frozen_Predictions!$A$4:$A$303,0)))</x:f>
      </x:c>
      <x:c r="J116" s="142" t="str">
        <x:f>IF(OR(A116="",G116="",COUNT(K116:M116)&lt;3,COUNTIF($A$4:$A$303,A116)&lt;&gt;1),"",IF(IF(M116+F116&gt;0,"1",IF(M116+F116=0,"X","2"))=G116&amp;"",1,0))</x:f>
      </x:c>
      <x:c r="K116" s="143"/>
      <x:c r="L116" s="143"/>
      <x:c r="M116" s="142" t="str">
        <x:f>IF(AND(A116&lt;&gt;"",COUNT(K116:L116)=2),K116-L116,"")</x:f>
      </x:c>
      <x:c r="N116" s="142" t="str">
        <x:f>IF(J116="","",IF(M116+F116=0,"YES","NO"))</x:f>
      </x:c>
      <x:c r="O116" t="str">
        <x:f>IF(J116="","",IF(J116=1,"WIN",IF(N116="YES","Exact margin M="&amp;ABS(F116),"Direction / tail")))</x:f>
      </x:c>
      <x:c r="P116" s="141"/>
      <x:c r="Q116" s="141"/>
      <x:c r="R116" s="144" t="str">
        <x:f>IF(OR(I116="",J116=""),"",(I116-J116)^2)</x:f>
      </x:c>
      <x:c r="S116" s="144" t="str">
        <x:f>IF(OR(I116="",J116=""),"",-(J116*LN(MAX(MIN(I116,0.999999),0.000001))+(1-J116)*LN(MAX(MIN(1-I116,0.999999),0.000001))))</x:f>
      </x:c>
      <x:c r="T116" t="str">
        <x:f>IF(J116="","",INDEX(Frozen_Predictions!$M$4:$M$303,MATCH(A116,Frozen_Predictions!$A$4:$A$303,0)))</x:f>
      </x:c>
      <x:c r="U116" t="str">
        <x:f>IF(J116="","",INDEX(Frozen_Predictions!$W$4:$W$303,MATCH(A116,Frozen_Predictions!$A$4:$A$303,0)))</x:f>
      </x:c>
      <x:c r="V116" t="str">
        <x:f>IF(J116="","",INDEX(Frozen_Predictions!$X$4:$X$303,MATCH(A116,Frozen_Predictions!$A$4:$A$303,0)))</x:f>
      </x:c>
      <x:c r="W116" t="str">
        <x:f>IF(A116="","",IF(COUNTIF($A$4:$A$303,A116)&lt;&gt;1,"ID DUPLICAT",IF(COUNTIF(Frozen_Predictions!$A$4:$A$303,A116)&lt;&gt;1,"ID INEXISTENT SAU DUPLICAT ÎN FROZEN",IF(COUNT(K116:L116)&lt;2,"COMPLETEAZĂ SCORUL","VERIFICAT"))))</x:f>
      </x:c>
    </x:row>
    <x:row r="117">
      <x:c r="A117" s="141"/>
      <x:c r="B117" t="str">
        <x:f>IF(OR(A117="",COUNTIF(Frozen_Predictions!$A$4:$A$303,A117)&lt;&gt;1),"",INDEX(Frozen_Predictions!$C$4:$C$303,MATCH(A117,Frozen_Predictions!$A$4:$A$303,0)))</x:f>
      </x:c>
      <x:c r="C117" t="str">
        <x:f>IF(OR(A117="",COUNTIF(Frozen_Predictions!$A$4:$A$303,A117)&lt;&gt;1),"",INDEX(Frozen_Predictions!$E$4:$E$303,MATCH(A117,Frozen_Predictions!$A$4:$A$303,0)))</x:f>
      </x:c>
      <x:c r="D117" t="str">
        <x:f>IF(OR(A117="",COUNTIF(Frozen_Predictions!$A$4:$A$303,A117)&lt;&gt;1),"",INDEX(Frozen_Predictions!$F$4:$F$303,MATCH(A117,Frozen_Predictions!$A$4:$A$303,0)))</x:f>
      </x:c>
      <x:c r="E117" t="str">
        <x:f>IF(OR(A117="",COUNTIF(Frozen_Predictions!$A$4:$A$303,A117)&lt;&gt;1),"",INDEX(Frozen_Predictions!$G$4:$G$303,MATCH(A117,Frozen_Predictions!$A$4:$A$303,0)))</x:f>
      </x:c>
      <x:c r="F117" t="str">
        <x:f>IF(OR(A117="",COUNTIF(Frozen_Predictions!$A$4:$A$303,A117)&lt;&gt;1),"",INDEX(Frozen_Predictions!$H$4:$H$303,MATCH(A117,Frozen_Predictions!$A$4:$A$303,0)))</x:f>
      </x:c>
      <x:c r="G117" t="str">
        <x:f>IF(OR(A117="",COUNTIF(Frozen_Predictions!$A$4:$A$303,A117)&lt;&gt;1),"",INDEX(Frozen_Predictions!$I$4:$I$303,MATCH(A117,Frozen_Predictions!$A$4:$A$303,0)))</x:f>
      </x:c>
      <x:c r="H117" t="str">
        <x:f>IF(OR(A117="",COUNTIF(Frozen_Predictions!$A$4:$A$303,A117)&lt;&gt;1),"",INDEX(Frozen_Predictions!$J$4:$J$303,MATCH(A117,Frozen_Predictions!$A$4:$A$303,0)))</x:f>
      </x:c>
      <x:c r="I117" t="str">
        <x:f>IF(OR(A117="",COUNTIF(Frozen_Predictions!$A$4:$A$303,A117)&lt;&gt;1),"",INDEX(Frozen_Predictions!$K$4:$K$303,MATCH(A117,Frozen_Predictions!$A$4:$A$303,0)))</x:f>
      </x:c>
      <x:c r="J117" s="142" t="str">
        <x:f>IF(OR(A117="",G117="",COUNT(K117:M117)&lt;3,COUNTIF($A$4:$A$303,A117)&lt;&gt;1),"",IF(IF(M117+F117&gt;0,"1",IF(M117+F117=0,"X","2"))=G117&amp;"",1,0))</x:f>
      </x:c>
      <x:c r="K117" s="143"/>
      <x:c r="L117" s="143"/>
      <x:c r="M117" s="142" t="str">
        <x:f>IF(AND(A117&lt;&gt;"",COUNT(K117:L117)=2),K117-L117,"")</x:f>
      </x:c>
      <x:c r="N117" s="142" t="str">
        <x:f>IF(J117="","",IF(M117+F117=0,"YES","NO"))</x:f>
      </x:c>
      <x:c r="O117" t="str">
        <x:f>IF(J117="","",IF(J117=1,"WIN",IF(N117="YES","Exact margin M="&amp;ABS(F117),"Direction / tail")))</x:f>
      </x:c>
      <x:c r="P117" s="141"/>
      <x:c r="Q117" s="141"/>
      <x:c r="R117" s="144" t="str">
        <x:f>IF(OR(I117="",J117=""),"",(I117-J117)^2)</x:f>
      </x:c>
      <x:c r="S117" s="144" t="str">
        <x:f>IF(OR(I117="",J117=""),"",-(J117*LN(MAX(MIN(I117,0.999999),0.000001))+(1-J117)*LN(MAX(MIN(1-I117,0.999999),0.000001))))</x:f>
      </x:c>
      <x:c r="T117" t="str">
        <x:f>IF(J117="","",INDEX(Frozen_Predictions!$M$4:$M$303,MATCH(A117,Frozen_Predictions!$A$4:$A$303,0)))</x:f>
      </x:c>
      <x:c r="U117" t="str">
        <x:f>IF(J117="","",INDEX(Frozen_Predictions!$W$4:$W$303,MATCH(A117,Frozen_Predictions!$A$4:$A$303,0)))</x:f>
      </x:c>
      <x:c r="V117" t="str">
        <x:f>IF(J117="","",INDEX(Frozen_Predictions!$X$4:$X$303,MATCH(A117,Frozen_Predictions!$A$4:$A$303,0)))</x:f>
      </x:c>
      <x:c r="W117" t="str">
        <x:f>IF(A117="","",IF(COUNTIF($A$4:$A$303,A117)&lt;&gt;1,"ID DUPLICAT",IF(COUNTIF(Frozen_Predictions!$A$4:$A$303,A117)&lt;&gt;1,"ID INEXISTENT SAU DUPLICAT ÎN FROZEN",IF(COUNT(K117:L117)&lt;2,"COMPLETEAZĂ SCORUL","VERIFICAT"))))</x:f>
      </x:c>
    </x:row>
    <x:row r="118">
      <x:c r="A118" s="141"/>
      <x:c r="B118" t="str">
        <x:f>IF(OR(A118="",COUNTIF(Frozen_Predictions!$A$4:$A$303,A118)&lt;&gt;1),"",INDEX(Frozen_Predictions!$C$4:$C$303,MATCH(A118,Frozen_Predictions!$A$4:$A$303,0)))</x:f>
      </x:c>
      <x:c r="C118" t="str">
        <x:f>IF(OR(A118="",COUNTIF(Frozen_Predictions!$A$4:$A$303,A118)&lt;&gt;1),"",INDEX(Frozen_Predictions!$E$4:$E$303,MATCH(A118,Frozen_Predictions!$A$4:$A$303,0)))</x:f>
      </x:c>
      <x:c r="D118" t="str">
        <x:f>IF(OR(A118="",COUNTIF(Frozen_Predictions!$A$4:$A$303,A118)&lt;&gt;1),"",INDEX(Frozen_Predictions!$F$4:$F$303,MATCH(A118,Frozen_Predictions!$A$4:$A$303,0)))</x:f>
      </x:c>
      <x:c r="E118" t="str">
        <x:f>IF(OR(A118="",COUNTIF(Frozen_Predictions!$A$4:$A$303,A118)&lt;&gt;1),"",INDEX(Frozen_Predictions!$G$4:$G$303,MATCH(A118,Frozen_Predictions!$A$4:$A$303,0)))</x:f>
      </x:c>
      <x:c r="F118" t="str">
        <x:f>IF(OR(A118="",COUNTIF(Frozen_Predictions!$A$4:$A$303,A118)&lt;&gt;1),"",INDEX(Frozen_Predictions!$H$4:$H$303,MATCH(A118,Frozen_Predictions!$A$4:$A$303,0)))</x:f>
      </x:c>
      <x:c r="G118" t="str">
        <x:f>IF(OR(A118="",COUNTIF(Frozen_Predictions!$A$4:$A$303,A118)&lt;&gt;1),"",INDEX(Frozen_Predictions!$I$4:$I$303,MATCH(A118,Frozen_Predictions!$A$4:$A$303,0)))</x:f>
      </x:c>
      <x:c r="H118" t="str">
        <x:f>IF(OR(A118="",COUNTIF(Frozen_Predictions!$A$4:$A$303,A118)&lt;&gt;1),"",INDEX(Frozen_Predictions!$J$4:$J$303,MATCH(A118,Frozen_Predictions!$A$4:$A$303,0)))</x:f>
      </x:c>
      <x:c r="I118" t="str">
        <x:f>IF(OR(A118="",COUNTIF(Frozen_Predictions!$A$4:$A$303,A118)&lt;&gt;1),"",INDEX(Frozen_Predictions!$K$4:$K$303,MATCH(A118,Frozen_Predictions!$A$4:$A$303,0)))</x:f>
      </x:c>
      <x:c r="J118" s="142" t="str">
        <x:f>IF(OR(A118="",G118="",COUNT(K118:M118)&lt;3,COUNTIF($A$4:$A$303,A118)&lt;&gt;1),"",IF(IF(M118+F118&gt;0,"1",IF(M118+F118=0,"X","2"))=G118&amp;"",1,0))</x:f>
      </x:c>
      <x:c r="K118" s="143"/>
      <x:c r="L118" s="143"/>
      <x:c r="M118" s="142" t="str">
        <x:f>IF(AND(A118&lt;&gt;"",COUNT(K118:L118)=2),K118-L118,"")</x:f>
      </x:c>
      <x:c r="N118" s="142" t="str">
        <x:f>IF(J118="","",IF(M118+F118=0,"YES","NO"))</x:f>
      </x:c>
      <x:c r="O118" t="str">
        <x:f>IF(J118="","",IF(J118=1,"WIN",IF(N118="YES","Exact margin M="&amp;ABS(F118),"Direction / tail")))</x:f>
      </x:c>
      <x:c r="P118" s="141"/>
      <x:c r="Q118" s="141"/>
      <x:c r="R118" s="144" t="str">
        <x:f>IF(OR(I118="",J118=""),"",(I118-J118)^2)</x:f>
      </x:c>
      <x:c r="S118" s="144" t="str">
        <x:f>IF(OR(I118="",J118=""),"",-(J118*LN(MAX(MIN(I118,0.999999),0.000001))+(1-J118)*LN(MAX(MIN(1-I118,0.999999),0.000001))))</x:f>
      </x:c>
      <x:c r="T118" t="str">
        <x:f>IF(J118="","",INDEX(Frozen_Predictions!$M$4:$M$303,MATCH(A118,Frozen_Predictions!$A$4:$A$303,0)))</x:f>
      </x:c>
      <x:c r="U118" t="str">
        <x:f>IF(J118="","",INDEX(Frozen_Predictions!$W$4:$W$303,MATCH(A118,Frozen_Predictions!$A$4:$A$303,0)))</x:f>
      </x:c>
      <x:c r="V118" t="str">
        <x:f>IF(J118="","",INDEX(Frozen_Predictions!$X$4:$X$303,MATCH(A118,Frozen_Predictions!$A$4:$A$303,0)))</x:f>
      </x:c>
      <x:c r="W118" t="str">
        <x:f>IF(A118="","",IF(COUNTIF($A$4:$A$303,A118)&lt;&gt;1,"ID DUPLICAT",IF(COUNTIF(Frozen_Predictions!$A$4:$A$303,A118)&lt;&gt;1,"ID INEXISTENT SAU DUPLICAT ÎN FROZEN",IF(COUNT(K118:L118)&lt;2,"COMPLETEAZĂ SCORUL","VERIFICAT"))))</x:f>
      </x:c>
    </x:row>
    <x:row r="119">
      <x:c r="A119" s="141"/>
      <x:c r="B119" t="str">
        <x:f>IF(OR(A119="",COUNTIF(Frozen_Predictions!$A$4:$A$303,A119)&lt;&gt;1),"",INDEX(Frozen_Predictions!$C$4:$C$303,MATCH(A119,Frozen_Predictions!$A$4:$A$303,0)))</x:f>
      </x:c>
      <x:c r="C119" t="str">
        <x:f>IF(OR(A119="",COUNTIF(Frozen_Predictions!$A$4:$A$303,A119)&lt;&gt;1),"",INDEX(Frozen_Predictions!$E$4:$E$303,MATCH(A119,Frozen_Predictions!$A$4:$A$303,0)))</x:f>
      </x:c>
      <x:c r="D119" t="str">
        <x:f>IF(OR(A119="",COUNTIF(Frozen_Predictions!$A$4:$A$303,A119)&lt;&gt;1),"",INDEX(Frozen_Predictions!$F$4:$F$303,MATCH(A119,Frozen_Predictions!$A$4:$A$303,0)))</x:f>
      </x:c>
      <x:c r="E119" t="str">
        <x:f>IF(OR(A119="",COUNTIF(Frozen_Predictions!$A$4:$A$303,A119)&lt;&gt;1),"",INDEX(Frozen_Predictions!$G$4:$G$303,MATCH(A119,Frozen_Predictions!$A$4:$A$303,0)))</x:f>
      </x:c>
      <x:c r="F119" t="str">
        <x:f>IF(OR(A119="",COUNTIF(Frozen_Predictions!$A$4:$A$303,A119)&lt;&gt;1),"",INDEX(Frozen_Predictions!$H$4:$H$303,MATCH(A119,Frozen_Predictions!$A$4:$A$303,0)))</x:f>
      </x:c>
      <x:c r="G119" t="str">
        <x:f>IF(OR(A119="",COUNTIF(Frozen_Predictions!$A$4:$A$303,A119)&lt;&gt;1),"",INDEX(Frozen_Predictions!$I$4:$I$303,MATCH(A119,Frozen_Predictions!$A$4:$A$303,0)))</x:f>
      </x:c>
      <x:c r="H119" t="str">
        <x:f>IF(OR(A119="",COUNTIF(Frozen_Predictions!$A$4:$A$303,A119)&lt;&gt;1),"",INDEX(Frozen_Predictions!$J$4:$J$303,MATCH(A119,Frozen_Predictions!$A$4:$A$303,0)))</x:f>
      </x:c>
      <x:c r="I119" t="str">
        <x:f>IF(OR(A119="",COUNTIF(Frozen_Predictions!$A$4:$A$303,A119)&lt;&gt;1),"",INDEX(Frozen_Predictions!$K$4:$K$303,MATCH(A119,Frozen_Predictions!$A$4:$A$303,0)))</x:f>
      </x:c>
      <x:c r="J119" s="142" t="str">
        <x:f>IF(OR(A119="",G119="",COUNT(K119:M119)&lt;3,COUNTIF($A$4:$A$303,A119)&lt;&gt;1),"",IF(IF(M119+F119&gt;0,"1",IF(M119+F119=0,"X","2"))=G119&amp;"",1,0))</x:f>
      </x:c>
      <x:c r="K119" s="143"/>
      <x:c r="L119" s="143"/>
      <x:c r="M119" s="142" t="str">
        <x:f>IF(AND(A119&lt;&gt;"",COUNT(K119:L119)=2),K119-L119,"")</x:f>
      </x:c>
      <x:c r="N119" s="142" t="str">
        <x:f>IF(J119="","",IF(M119+F119=0,"YES","NO"))</x:f>
      </x:c>
      <x:c r="O119" t="str">
        <x:f>IF(J119="","",IF(J119=1,"WIN",IF(N119="YES","Exact margin M="&amp;ABS(F119),"Direction / tail")))</x:f>
      </x:c>
      <x:c r="P119" s="141"/>
      <x:c r="Q119" s="141"/>
      <x:c r="R119" s="144" t="str">
        <x:f>IF(OR(I119="",J119=""),"",(I119-J119)^2)</x:f>
      </x:c>
      <x:c r="S119" s="144" t="str">
        <x:f>IF(OR(I119="",J119=""),"",-(J119*LN(MAX(MIN(I119,0.999999),0.000001))+(1-J119)*LN(MAX(MIN(1-I119,0.999999),0.000001))))</x:f>
      </x:c>
      <x:c r="T119" t="str">
        <x:f>IF(J119="","",INDEX(Frozen_Predictions!$M$4:$M$303,MATCH(A119,Frozen_Predictions!$A$4:$A$303,0)))</x:f>
      </x:c>
      <x:c r="U119" t="str">
        <x:f>IF(J119="","",INDEX(Frozen_Predictions!$W$4:$W$303,MATCH(A119,Frozen_Predictions!$A$4:$A$303,0)))</x:f>
      </x:c>
      <x:c r="V119" t="str">
        <x:f>IF(J119="","",INDEX(Frozen_Predictions!$X$4:$X$303,MATCH(A119,Frozen_Predictions!$A$4:$A$303,0)))</x:f>
      </x:c>
      <x:c r="W119" t="str">
        <x:f>IF(A119="","",IF(COUNTIF($A$4:$A$303,A119)&lt;&gt;1,"ID DUPLICAT",IF(COUNTIF(Frozen_Predictions!$A$4:$A$303,A119)&lt;&gt;1,"ID INEXISTENT SAU DUPLICAT ÎN FROZEN",IF(COUNT(K119:L119)&lt;2,"COMPLETEAZĂ SCORUL","VERIFICAT"))))</x:f>
      </x:c>
    </x:row>
    <x:row r="120">
      <x:c r="A120" s="141"/>
      <x:c r="B120" t="str">
        <x:f>IF(OR(A120="",COUNTIF(Frozen_Predictions!$A$4:$A$303,A120)&lt;&gt;1),"",INDEX(Frozen_Predictions!$C$4:$C$303,MATCH(A120,Frozen_Predictions!$A$4:$A$303,0)))</x:f>
      </x:c>
      <x:c r="C120" t="str">
        <x:f>IF(OR(A120="",COUNTIF(Frozen_Predictions!$A$4:$A$303,A120)&lt;&gt;1),"",INDEX(Frozen_Predictions!$E$4:$E$303,MATCH(A120,Frozen_Predictions!$A$4:$A$303,0)))</x:f>
      </x:c>
      <x:c r="D120" t="str">
        <x:f>IF(OR(A120="",COUNTIF(Frozen_Predictions!$A$4:$A$303,A120)&lt;&gt;1),"",INDEX(Frozen_Predictions!$F$4:$F$303,MATCH(A120,Frozen_Predictions!$A$4:$A$303,0)))</x:f>
      </x:c>
      <x:c r="E120" t="str">
        <x:f>IF(OR(A120="",COUNTIF(Frozen_Predictions!$A$4:$A$303,A120)&lt;&gt;1),"",INDEX(Frozen_Predictions!$G$4:$G$303,MATCH(A120,Frozen_Predictions!$A$4:$A$303,0)))</x:f>
      </x:c>
      <x:c r="F120" t="str">
        <x:f>IF(OR(A120="",COUNTIF(Frozen_Predictions!$A$4:$A$303,A120)&lt;&gt;1),"",INDEX(Frozen_Predictions!$H$4:$H$303,MATCH(A120,Frozen_Predictions!$A$4:$A$303,0)))</x:f>
      </x:c>
      <x:c r="G120" t="str">
        <x:f>IF(OR(A120="",COUNTIF(Frozen_Predictions!$A$4:$A$303,A120)&lt;&gt;1),"",INDEX(Frozen_Predictions!$I$4:$I$303,MATCH(A120,Frozen_Predictions!$A$4:$A$303,0)))</x:f>
      </x:c>
      <x:c r="H120" t="str">
        <x:f>IF(OR(A120="",COUNTIF(Frozen_Predictions!$A$4:$A$303,A120)&lt;&gt;1),"",INDEX(Frozen_Predictions!$J$4:$J$303,MATCH(A120,Frozen_Predictions!$A$4:$A$303,0)))</x:f>
      </x:c>
      <x:c r="I120" t="str">
        <x:f>IF(OR(A120="",COUNTIF(Frozen_Predictions!$A$4:$A$303,A120)&lt;&gt;1),"",INDEX(Frozen_Predictions!$K$4:$K$303,MATCH(A120,Frozen_Predictions!$A$4:$A$303,0)))</x:f>
      </x:c>
      <x:c r="J120" s="142" t="str">
        <x:f>IF(OR(A120="",G120="",COUNT(K120:M120)&lt;3,COUNTIF($A$4:$A$303,A120)&lt;&gt;1),"",IF(IF(M120+F120&gt;0,"1",IF(M120+F120=0,"X","2"))=G120&amp;"",1,0))</x:f>
      </x:c>
      <x:c r="K120" s="143"/>
      <x:c r="L120" s="143"/>
      <x:c r="M120" s="142" t="str">
        <x:f>IF(AND(A120&lt;&gt;"",COUNT(K120:L120)=2),K120-L120,"")</x:f>
      </x:c>
      <x:c r="N120" s="142" t="str">
        <x:f>IF(J120="","",IF(M120+F120=0,"YES","NO"))</x:f>
      </x:c>
      <x:c r="O120" t="str">
        <x:f>IF(J120="","",IF(J120=1,"WIN",IF(N120="YES","Exact margin M="&amp;ABS(F120),"Direction / tail")))</x:f>
      </x:c>
      <x:c r="P120" s="141"/>
      <x:c r="Q120" s="141"/>
      <x:c r="R120" s="144" t="str">
        <x:f>IF(OR(I120="",J120=""),"",(I120-J120)^2)</x:f>
      </x:c>
      <x:c r="S120" s="144" t="str">
        <x:f>IF(OR(I120="",J120=""),"",-(J120*LN(MAX(MIN(I120,0.999999),0.000001))+(1-J120)*LN(MAX(MIN(1-I120,0.999999),0.000001))))</x:f>
      </x:c>
      <x:c r="T120" t="str">
        <x:f>IF(J120="","",INDEX(Frozen_Predictions!$M$4:$M$303,MATCH(A120,Frozen_Predictions!$A$4:$A$303,0)))</x:f>
      </x:c>
      <x:c r="U120" t="str">
        <x:f>IF(J120="","",INDEX(Frozen_Predictions!$W$4:$W$303,MATCH(A120,Frozen_Predictions!$A$4:$A$303,0)))</x:f>
      </x:c>
      <x:c r="V120" t="str">
        <x:f>IF(J120="","",INDEX(Frozen_Predictions!$X$4:$X$303,MATCH(A120,Frozen_Predictions!$A$4:$A$303,0)))</x:f>
      </x:c>
      <x:c r="W120" t="str">
        <x:f>IF(A120="","",IF(COUNTIF($A$4:$A$303,A120)&lt;&gt;1,"ID DUPLICAT",IF(COUNTIF(Frozen_Predictions!$A$4:$A$303,A120)&lt;&gt;1,"ID INEXISTENT SAU DUPLICAT ÎN FROZEN",IF(COUNT(K120:L120)&lt;2,"COMPLETEAZĂ SCORUL","VERIFICAT"))))</x:f>
      </x:c>
    </x:row>
    <x:row r="121">
      <x:c r="A121" s="141"/>
      <x:c r="B121" t="str">
        <x:f>IF(OR(A121="",COUNTIF(Frozen_Predictions!$A$4:$A$303,A121)&lt;&gt;1),"",INDEX(Frozen_Predictions!$C$4:$C$303,MATCH(A121,Frozen_Predictions!$A$4:$A$303,0)))</x:f>
      </x:c>
      <x:c r="C121" t="str">
        <x:f>IF(OR(A121="",COUNTIF(Frozen_Predictions!$A$4:$A$303,A121)&lt;&gt;1),"",INDEX(Frozen_Predictions!$E$4:$E$303,MATCH(A121,Frozen_Predictions!$A$4:$A$303,0)))</x:f>
      </x:c>
      <x:c r="D121" t="str">
        <x:f>IF(OR(A121="",COUNTIF(Frozen_Predictions!$A$4:$A$303,A121)&lt;&gt;1),"",INDEX(Frozen_Predictions!$F$4:$F$303,MATCH(A121,Frozen_Predictions!$A$4:$A$303,0)))</x:f>
      </x:c>
      <x:c r="E121" t="str">
        <x:f>IF(OR(A121="",COUNTIF(Frozen_Predictions!$A$4:$A$303,A121)&lt;&gt;1),"",INDEX(Frozen_Predictions!$G$4:$G$303,MATCH(A121,Frozen_Predictions!$A$4:$A$303,0)))</x:f>
      </x:c>
      <x:c r="F121" t="str">
        <x:f>IF(OR(A121="",COUNTIF(Frozen_Predictions!$A$4:$A$303,A121)&lt;&gt;1),"",INDEX(Frozen_Predictions!$H$4:$H$303,MATCH(A121,Frozen_Predictions!$A$4:$A$303,0)))</x:f>
      </x:c>
      <x:c r="G121" t="str">
        <x:f>IF(OR(A121="",COUNTIF(Frozen_Predictions!$A$4:$A$303,A121)&lt;&gt;1),"",INDEX(Frozen_Predictions!$I$4:$I$303,MATCH(A121,Frozen_Predictions!$A$4:$A$303,0)))</x:f>
      </x:c>
      <x:c r="H121" t="str">
        <x:f>IF(OR(A121="",COUNTIF(Frozen_Predictions!$A$4:$A$303,A121)&lt;&gt;1),"",INDEX(Frozen_Predictions!$J$4:$J$303,MATCH(A121,Frozen_Predictions!$A$4:$A$303,0)))</x:f>
      </x:c>
      <x:c r="I121" t="str">
        <x:f>IF(OR(A121="",COUNTIF(Frozen_Predictions!$A$4:$A$303,A121)&lt;&gt;1),"",INDEX(Frozen_Predictions!$K$4:$K$303,MATCH(A121,Frozen_Predictions!$A$4:$A$303,0)))</x:f>
      </x:c>
      <x:c r="J121" s="142" t="str">
        <x:f>IF(OR(A121="",G121="",COUNT(K121:M121)&lt;3,COUNTIF($A$4:$A$303,A121)&lt;&gt;1),"",IF(IF(M121+F121&gt;0,"1",IF(M121+F121=0,"X","2"))=G121&amp;"",1,0))</x:f>
      </x:c>
      <x:c r="K121" s="143"/>
      <x:c r="L121" s="143"/>
      <x:c r="M121" s="142" t="str">
        <x:f>IF(AND(A121&lt;&gt;"",COUNT(K121:L121)=2),K121-L121,"")</x:f>
      </x:c>
      <x:c r="N121" s="142" t="str">
        <x:f>IF(J121="","",IF(M121+F121=0,"YES","NO"))</x:f>
      </x:c>
      <x:c r="O121" t="str">
        <x:f>IF(J121="","",IF(J121=1,"WIN",IF(N121="YES","Exact margin M="&amp;ABS(F121),"Direction / tail")))</x:f>
      </x:c>
      <x:c r="P121" s="141"/>
      <x:c r="Q121" s="141"/>
      <x:c r="R121" s="144" t="str">
        <x:f>IF(OR(I121="",J121=""),"",(I121-J121)^2)</x:f>
      </x:c>
      <x:c r="S121" s="144" t="str">
        <x:f>IF(OR(I121="",J121=""),"",-(J121*LN(MAX(MIN(I121,0.999999),0.000001))+(1-J121)*LN(MAX(MIN(1-I121,0.999999),0.000001))))</x:f>
      </x:c>
      <x:c r="T121" t="str">
        <x:f>IF(J121="","",INDEX(Frozen_Predictions!$M$4:$M$303,MATCH(A121,Frozen_Predictions!$A$4:$A$303,0)))</x:f>
      </x:c>
      <x:c r="U121" t="str">
        <x:f>IF(J121="","",INDEX(Frozen_Predictions!$W$4:$W$303,MATCH(A121,Frozen_Predictions!$A$4:$A$303,0)))</x:f>
      </x:c>
      <x:c r="V121" t="str">
        <x:f>IF(J121="","",INDEX(Frozen_Predictions!$X$4:$X$303,MATCH(A121,Frozen_Predictions!$A$4:$A$303,0)))</x:f>
      </x:c>
      <x:c r="W121" t="str">
        <x:f>IF(A121="","",IF(COUNTIF($A$4:$A$303,A121)&lt;&gt;1,"ID DUPLICAT",IF(COUNTIF(Frozen_Predictions!$A$4:$A$303,A121)&lt;&gt;1,"ID INEXISTENT SAU DUPLICAT ÎN FROZEN",IF(COUNT(K121:L121)&lt;2,"COMPLETEAZĂ SCORUL","VERIFICAT"))))</x:f>
      </x:c>
    </x:row>
    <x:row r="122">
      <x:c r="A122" s="141"/>
      <x:c r="B122" t="str">
        <x:f>IF(OR(A122="",COUNTIF(Frozen_Predictions!$A$4:$A$303,A122)&lt;&gt;1),"",INDEX(Frozen_Predictions!$C$4:$C$303,MATCH(A122,Frozen_Predictions!$A$4:$A$303,0)))</x:f>
      </x:c>
      <x:c r="C122" t="str">
        <x:f>IF(OR(A122="",COUNTIF(Frozen_Predictions!$A$4:$A$303,A122)&lt;&gt;1),"",INDEX(Frozen_Predictions!$E$4:$E$303,MATCH(A122,Frozen_Predictions!$A$4:$A$303,0)))</x:f>
      </x:c>
      <x:c r="D122" t="str">
        <x:f>IF(OR(A122="",COUNTIF(Frozen_Predictions!$A$4:$A$303,A122)&lt;&gt;1),"",INDEX(Frozen_Predictions!$F$4:$F$303,MATCH(A122,Frozen_Predictions!$A$4:$A$303,0)))</x:f>
      </x:c>
      <x:c r="E122" t="str">
        <x:f>IF(OR(A122="",COUNTIF(Frozen_Predictions!$A$4:$A$303,A122)&lt;&gt;1),"",INDEX(Frozen_Predictions!$G$4:$G$303,MATCH(A122,Frozen_Predictions!$A$4:$A$303,0)))</x:f>
      </x:c>
      <x:c r="F122" t="str">
        <x:f>IF(OR(A122="",COUNTIF(Frozen_Predictions!$A$4:$A$303,A122)&lt;&gt;1),"",INDEX(Frozen_Predictions!$H$4:$H$303,MATCH(A122,Frozen_Predictions!$A$4:$A$303,0)))</x:f>
      </x:c>
      <x:c r="G122" t="str">
        <x:f>IF(OR(A122="",COUNTIF(Frozen_Predictions!$A$4:$A$303,A122)&lt;&gt;1),"",INDEX(Frozen_Predictions!$I$4:$I$303,MATCH(A122,Frozen_Predictions!$A$4:$A$303,0)))</x:f>
      </x:c>
      <x:c r="H122" t="str">
        <x:f>IF(OR(A122="",COUNTIF(Frozen_Predictions!$A$4:$A$303,A122)&lt;&gt;1),"",INDEX(Frozen_Predictions!$J$4:$J$303,MATCH(A122,Frozen_Predictions!$A$4:$A$303,0)))</x:f>
      </x:c>
      <x:c r="I122" t="str">
        <x:f>IF(OR(A122="",COUNTIF(Frozen_Predictions!$A$4:$A$303,A122)&lt;&gt;1),"",INDEX(Frozen_Predictions!$K$4:$K$303,MATCH(A122,Frozen_Predictions!$A$4:$A$303,0)))</x:f>
      </x:c>
      <x:c r="J122" s="142" t="str">
        <x:f>IF(OR(A122="",G122="",COUNT(K122:M122)&lt;3,COUNTIF($A$4:$A$303,A122)&lt;&gt;1),"",IF(IF(M122+F122&gt;0,"1",IF(M122+F122=0,"X","2"))=G122&amp;"",1,0))</x:f>
      </x:c>
      <x:c r="K122" s="143"/>
      <x:c r="L122" s="143"/>
      <x:c r="M122" s="142" t="str">
        <x:f>IF(AND(A122&lt;&gt;"",COUNT(K122:L122)=2),K122-L122,"")</x:f>
      </x:c>
      <x:c r="N122" s="142" t="str">
        <x:f>IF(J122="","",IF(M122+F122=0,"YES","NO"))</x:f>
      </x:c>
      <x:c r="O122" t="str">
        <x:f>IF(J122="","",IF(J122=1,"WIN",IF(N122="YES","Exact margin M="&amp;ABS(F122),"Direction / tail")))</x:f>
      </x:c>
      <x:c r="P122" s="141"/>
      <x:c r="Q122" s="141"/>
      <x:c r="R122" s="144" t="str">
        <x:f>IF(OR(I122="",J122=""),"",(I122-J122)^2)</x:f>
      </x:c>
      <x:c r="S122" s="144" t="str">
        <x:f>IF(OR(I122="",J122=""),"",-(J122*LN(MAX(MIN(I122,0.999999),0.000001))+(1-J122)*LN(MAX(MIN(1-I122,0.999999),0.000001))))</x:f>
      </x:c>
      <x:c r="T122" t="str">
        <x:f>IF(J122="","",INDEX(Frozen_Predictions!$M$4:$M$303,MATCH(A122,Frozen_Predictions!$A$4:$A$303,0)))</x:f>
      </x:c>
      <x:c r="U122" t="str">
        <x:f>IF(J122="","",INDEX(Frozen_Predictions!$W$4:$W$303,MATCH(A122,Frozen_Predictions!$A$4:$A$303,0)))</x:f>
      </x:c>
      <x:c r="V122" t="str">
        <x:f>IF(J122="","",INDEX(Frozen_Predictions!$X$4:$X$303,MATCH(A122,Frozen_Predictions!$A$4:$A$303,0)))</x:f>
      </x:c>
      <x:c r="W122" t="str">
        <x:f>IF(A122="","",IF(COUNTIF($A$4:$A$303,A122)&lt;&gt;1,"ID DUPLICAT",IF(COUNTIF(Frozen_Predictions!$A$4:$A$303,A122)&lt;&gt;1,"ID INEXISTENT SAU DUPLICAT ÎN FROZEN",IF(COUNT(K122:L122)&lt;2,"COMPLETEAZĂ SCORUL","VERIFICAT"))))</x:f>
      </x:c>
    </x:row>
    <x:row r="123">
      <x:c r="A123" s="141"/>
      <x:c r="B123" t="str">
        <x:f>IF(OR(A123="",COUNTIF(Frozen_Predictions!$A$4:$A$303,A123)&lt;&gt;1),"",INDEX(Frozen_Predictions!$C$4:$C$303,MATCH(A123,Frozen_Predictions!$A$4:$A$303,0)))</x:f>
      </x:c>
      <x:c r="C123" t="str">
        <x:f>IF(OR(A123="",COUNTIF(Frozen_Predictions!$A$4:$A$303,A123)&lt;&gt;1),"",INDEX(Frozen_Predictions!$E$4:$E$303,MATCH(A123,Frozen_Predictions!$A$4:$A$303,0)))</x:f>
      </x:c>
      <x:c r="D123" t="str">
        <x:f>IF(OR(A123="",COUNTIF(Frozen_Predictions!$A$4:$A$303,A123)&lt;&gt;1),"",INDEX(Frozen_Predictions!$F$4:$F$303,MATCH(A123,Frozen_Predictions!$A$4:$A$303,0)))</x:f>
      </x:c>
      <x:c r="E123" t="str">
        <x:f>IF(OR(A123="",COUNTIF(Frozen_Predictions!$A$4:$A$303,A123)&lt;&gt;1),"",INDEX(Frozen_Predictions!$G$4:$G$303,MATCH(A123,Frozen_Predictions!$A$4:$A$303,0)))</x:f>
      </x:c>
      <x:c r="F123" t="str">
        <x:f>IF(OR(A123="",COUNTIF(Frozen_Predictions!$A$4:$A$303,A123)&lt;&gt;1),"",INDEX(Frozen_Predictions!$H$4:$H$303,MATCH(A123,Frozen_Predictions!$A$4:$A$303,0)))</x:f>
      </x:c>
      <x:c r="G123" t="str">
        <x:f>IF(OR(A123="",COUNTIF(Frozen_Predictions!$A$4:$A$303,A123)&lt;&gt;1),"",INDEX(Frozen_Predictions!$I$4:$I$303,MATCH(A123,Frozen_Predictions!$A$4:$A$303,0)))</x:f>
      </x:c>
      <x:c r="H123" t="str">
        <x:f>IF(OR(A123="",COUNTIF(Frozen_Predictions!$A$4:$A$303,A123)&lt;&gt;1),"",INDEX(Frozen_Predictions!$J$4:$J$303,MATCH(A123,Frozen_Predictions!$A$4:$A$303,0)))</x:f>
      </x:c>
      <x:c r="I123" t="str">
        <x:f>IF(OR(A123="",COUNTIF(Frozen_Predictions!$A$4:$A$303,A123)&lt;&gt;1),"",INDEX(Frozen_Predictions!$K$4:$K$303,MATCH(A123,Frozen_Predictions!$A$4:$A$303,0)))</x:f>
      </x:c>
      <x:c r="J123" s="142" t="str">
        <x:f>IF(OR(A123="",G123="",COUNT(K123:M123)&lt;3,COUNTIF($A$4:$A$303,A123)&lt;&gt;1),"",IF(IF(M123+F123&gt;0,"1",IF(M123+F123=0,"X","2"))=G123&amp;"",1,0))</x:f>
      </x:c>
      <x:c r="K123" s="143"/>
      <x:c r="L123" s="143"/>
      <x:c r="M123" s="142" t="str">
        <x:f>IF(AND(A123&lt;&gt;"",COUNT(K123:L123)=2),K123-L123,"")</x:f>
      </x:c>
      <x:c r="N123" s="142" t="str">
        <x:f>IF(J123="","",IF(M123+F123=0,"YES","NO"))</x:f>
      </x:c>
      <x:c r="O123" t="str">
        <x:f>IF(J123="","",IF(J123=1,"WIN",IF(N123="YES","Exact margin M="&amp;ABS(F123),"Direction / tail")))</x:f>
      </x:c>
      <x:c r="P123" s="141"/>
      <x:c r="Q123" s="141"/>
      <x:c r="R123" s="144" t="str">
        <x:f>IF(OR(I123="",J123=""),"",(I123-J123)^2)</x:f>
      </x:c>
      <x:c r="S123" s="144" t="str">
        <x:f>IF(OR(I123="",J123=""),"",-(J123*LN(MAX(MIN(I123,0.999999),0.000001))+(1-J123)*LN(MAX(MIN(1-I123,0.999999),0.000001))))</x:f>
      </x:c>
      <x:c r="T123" t="str">
        <x:f>IF(J123="","",INDEX(Frozen_Predictions!$M$4:$M$303,MATCH(A123,Frozen_Predictions!$A$4:$A$303,0)))</x:f>
      </x:c>
      <x:c r="U123" t="str">
        <x:f>IF(J123="","",INDEX(Frozen_Predictions!$W$4:$W$303,MATCH(A123,Frozen_Predictions!$A$4:$A$303,0)))</x:f>
      </x:c>
      <x:c r="V123" t="str">
        <x:f>IF(J123="","",INDEX(Frozen_Predictions!$X$4:$X$303,MATCH(A123,Frozen_Predictions!$A$4:$A$303,0)))</x:f>
      </x:c>
      <x:c r="W123" t="str">
        <x:f>IF(A123="","",IF(COUNTIF($A$4:$A$303,A123)&lt;&gt;1,"ID DUPLICAT",IF(COUNTIF(Frozen_Predictions!$A$4:$A$303,A123)&lt;&gt;1,"ID INEXISTENT SAU DUPLICAT ÎN FROZEN",IF(COUNT(K123:L123)&lt;2,"COMPLETEAZĂ SCORUL","VERIFICAT"))))</x:f>
      </x:c>
    </x:row>
    <x:row r="124">
      <x:c r="A124" s="141"/>
      <x:c r="B124" t="str">
        <x:f>IF(OR(A124="",COUNTIF(Frozen_Predictions!$A$4:$A$303,A124)&lt;&gt;1),"",INDEX(Frozen_Predictions!$C$4:$C$303,MATCH(A124,Frozen_Predictions!$A$4:$A$303,0)))</x:f>
      </x:c>
      <x:c r="C124" t="str">
        <x:f>IF(OR(A124="",COUNTIF(Frozen_Predictions!$A$4:$A$303,A124)&lt;&gt;1),"",INDEX(Frozen_Predictions!$E$4:$E$303,MATCH(A124,Frozen_Predictions!$A$4:$A$303,0)))</x:f>
      </x:c>
      <x:c r="D124" t="str">
        <x:f>IF(OR(A124="",COUNTIF(Frozen_Predictions!$A$4:$A$303,A124)&lt;&gt;1),"",INDEX(Frozen_Predictions!$F$4:$F$303,MATCH(A124,Frozen_Predictions!$A$4:$A$303,0)))</x:f>
      </x:c>
      <x:c r="E124" t="str">
        <x:f>IF(OR(A124="",COUNTIF(Frozen_Predictions!$A$4:$A$303,A124)&lt;&gt;1),"",INDEX(Frozen_Predictions!$G$4:$G$303,MATCH(A124,Frozen_Predictions!$A$4:$A$303,0)))</x:f>
      </x:c>
      <x:c r="F124" t="str">
        <x:f>IF(OR(A124="",COUNTIF(Frozen_Predictions!$A$4:$A$303,A124)&lt;&gt;1),"",INDEX(Frozen_Predictions!$H$4:$H$303,MATCH(A124,Frozen_Predictions!$A$4:$A$303,0)))</x:f>
      </x:c>
      <x:c r="G124" t="str">
        <x:f>IF(OR(A124="",COUNTIF(Frozen_Predictions!$A$4:$A$303,A124)&lt;&gt;1),"",INDEX(Frozen_Predictions!$I$4:$I$303,MATCH(A124,Frozen_Predictions!$A$4:$A$303,0)))</x:f>
      </x:c>
      <x:c r="H124" t="str">
        <x:f>IF(OR(A124="",COUNTIF(Frozen_Predictions!$A$4:$A$303,A124)&lt;&gt;1),"",INDEX(Frozen_Predictions!$J$4:$J$303,MATCH(A124,Frozen_Predictions!$A$4:$A$303,0)))</x:f>
      </x:c>
      <x:c r="I124" t="str">
        <x:f>IF(OR(A124="",COUNTIF(Frozen_Predictions!$A$4:$A$303,A124)&lt;&gt;1),"",INDEX(Frozen_Predictions!$K$4:$K$303,MATCH(A124,Frozen_Predictions!$A$4:$A$303,0)))</x:f>
      </x:c>
      <x:c r="J124" s="142" t="str">
        <x:f>IF(OR(A124="",G124="",COUNT(K124:M124)&lt;3,COUNTIF($A$4:$A$303,A124)&lt;&gt;1),"",IF(IF(M124+F124&gt;0,"1",IF(M124+F124=0,"X","2"))=G124&amp;"",1,0))</x:f>
      </x:c>
      <x:c r="K124" s="143"/>
      <x:c r="L124" s="143"/>
      <x:c r="M124" s="142" t="str">
        <x:f>IF(AND(A124&lt;&gt;"",COUNT(K124:L124)=2),K124-L124,"")</x:f>
      </x:c>
      <x:c r="N124" s="142" t="str">
        <x:f>IF(J124="","",IF(M124+F124=0,"YES","NO"))</x:f>
      </x:c>
      <x:c r="O124" t="str">
        <x:f>IF(J124="","",IF(J124=1,"WIN",IF(N124="YES","Exact margin M="&amp;ABS(F124),"Direction / tail")))</x:f>
      </x:c>
      <x:c r="P124" s="141"/>
      <x:c r="Q124" s="141"/>
      <x:c r="R124" s="144" t="str">
        <x:f>IF(OR(I124="",J124=""),"",(I124-J124)^2)</x:f>
      </x:c>
      <x:c r="S124" s="144" t="str">
        <x:f>IF(OR(I124="",J124=""),"",-(J124*LN(MAX(MIN(I124,0.999999),0.000001))+(1-J124)*LN(MAX(MIN(1-I124,0.999999),0.000001))))</x:f>
      </x:c>
      <x:c r="T124" t="str">
        <x:f>IF(J124="","",INDEX(Frozen_Predictions!$M$4:$M$303,MATCH(A124,Frozen_Predictions!$A$4:$A$303,0)))</x:f>
      </x:c>
      <x:c r="U124" t="str">
        <x:f>IF(J124="","",INDEX(Frozen_Predictions!$W$4:$W$303,MATCH(A124,Frozen_Predictions!$A$4:$A$303,0)))</x:f>
      </x:c>
      <x:c r="V124" t="str">
        <x:f>IF(J124="","",INDEX(Frozen_Predictions!$X$4:$X$303,MATCH(A124,Frozen_Predictions!$A$4:$A$303,0)))</x:f>
      </x:c>
      <x:c r="W124" t="str">
        <x:f>IF(A124="","",IF(COUNTIF($A$4:$A$303,A124)&lt;&gt;1,"ID DUPLICAT",IF(COUNTIF(Frozen_Predictions!$A$4:$A$303,A124)&lt;&gt;1,"ID INEXISTENT SAU DUPLICAT ÎN FROZEN",IF(COUNT(K124:L124)&lt;2,"COMPLETEAZĂ SCORUL","VERIFICAT"))))</x:f>
      </x:c>
    </x:row>
    <x:row r="125">
      <x:c r="A125" s="141"/>
      <x:c r="B125" t="str">
        <x:f>IF(OR(A125="",COUNTIF(Frozen_Predictions!$A$4:$A$303,A125)&lt;&gt;1),"",INDEX(Frozen_Predictions!$C$4:$C$303,MATCH(A125,Frozen_Predictions!$A$4:$A$303,0)))</x:f>
      </x:c>
      <x:c r="C125" t="str">
        <x:f>IF(OR(A125="",COUNTIF(Frozen_Predictions!$A$4:$A$303,A125)&lt;&gt;1),"",INDEX(Frozen_Predictions!$E$4:$E$303,MATCH(A125,Frozen_Predictions!$A$4:$A$303,0)))</x:f>
      </x:c>
      <x:c r="D125" t="str">
        <x:f>IF(OR(A125="",COUNTIF(Frozen_Predictions!$A$4:$A$303,A125)&lt;&gt;1),"",INDEX(Frozen_Predictions!$F$4:$F$303,MATCH(A125,Frozen_Predictions!$A$4:$A$303,0)))</x:f>
      </x:c>
      <x:c r="E125" t="str">
        <x:f>IF(OR(A125="",COUNTIF(Frozen_Predictions!$A$4:$A$303,A125)&lt;&gt;1),"",INDEX(Frozen_Predictions!$G$4:$G$303,MATCH(A125,Frozen_Predictions!$A$4:$A$303,0)))</x:f>
      </x:c>
      <x:c r="F125" t="str">
        <x:f>IF(OR(A125="",COUNTIF(Frozen_Predictions!$A$4:$A$303,A125)&lt;&gt;1),"",INDEX(Frozen_Predictions!$H$4:$H$303,MATCH(A125,Frozen_Predictions!$A$4:$A$303,0)))</x:f>
      </x:c>
      <x:c r="G125" t="str">
        <x:f>IF(OR(A125="",COUNTIF(Frozen_Predictions!$A$4:$A$303,A125)&lt;&gt;1),"",INDEX(Frozen_Predictions!$I$4:$I$303,MATCH(A125,Frozen_Predictions!$A$4:$A$303,0)))</x:f>
      </x:c>
      <x:c r="H125" t="str">
        <x:f>IF(OR(A125="",COUNTIF(Frozen_Predictions!$A$4:$A$303,A125)&lt;&gt;1),"",INDEX(Frozen_Predictions!$J$4:$J$303,MATCH(A125,Frozen_Predictions!$A$4:$A$303,0)))</x:f>
      </x:c>
      <x:c r="I125" t="str">
        <x:f>IF(OR(A125="",COUNTIF(Frozen_Predictions!$A$4:$A$303,A125)&lt;&gt;1),"",INDEX(Frozen_Predictions!$K$4:$K$303,MATCH(A125,Frozen_Predictions!$A$4:$A$303,0)))</x:f>
      </x:c>
      <x:c r="J125" s="142" t="str">
        <x:f>IF(OR(A125="",G125="",COUNT(K125:M125)&lt;3,COUNTIF($A$4:$A$303,A125)&lt;&gt;1),"",IF(IF(M125+F125&gt;0,"1",IF(M125+F125=0,"X","2"))=G125&amp;"",1,0))</x:f>
      </x:c>
      <x:c r="K125" s="143"/>
      <x:c r="L125" s="143"/>
      <x:c r="M125" s="142" t="str">
        <x:f>IF(AND(A125&lt;&gt;"",COUNT(K125:L125)=2),K125-L125,"")</x:f>
      </x:c>
      <x:c r="N125" s="142" t="str">
        <x:f>IF(J125="","",IF(M125+F125=0,"YES","NO"))</x:f>
      </x:c>
      <x:c r="O125" t="str">
        <x:f>IF(J125="","",IF(J125=1,"WIN",IF(N125="YES","Exact margin M="&amp;ABS(F125),"Direction / tail")))</x:f>
      </x:c>
      <x:c r="P125" s="141"/>
      <x:c r="Q125" s="141"/>
      <x:c r="R125" s="144" t="str">
        <x:f>IF(OR(I125="",J125=""),"",(I125-J125)^2)</x:f>
      </x:c>
      <x:c r="S125" s="144" t="str">
        <x:f>IF(OR(I125="",J125=""),"",-(J125*LN(MAX(MIN(I125,0.999999),0.000001))+(1-J125)*LN(MAX(MIN(1-I125,0.999999),0.000001))))</x:f>
      </x:c>
      <x:c r="T125" t="str">
        <x:f>IF(J125="","",INDEX(Frozen_Predictions!$M$4:$M$303,MATCH(A125,Frozen_Predictions!$A$4:$A$303,0)))</x:f>
      </x:c>
      <x:c r="U125" t="str">
        <x:f>IF(J125="","",INDEX(Frozen_Predictions!$W$4:$W$303,MATCH(A125,Frozen_Predictions!$A$4:$A$303,0)))</x:f>
      </x:c>
      <x:c r="V125" t="str">
        <x:f>IF(J125="","",INDEX(Frozen_Predictions!$X$4:$X$303,MATCH(A125,Frozen_Predictions!$A$4:$A$303,0)))</x:f>
      </x:c>
      <x:c r="W125" t="str">
        <x:f>IF(A125="","",IF(COUNTIF($A$4:$A$303,A125)&lt;&gt;1,"ID DUPLICAT",IF(COUNTIF(Frozen_Predictions!$A$4:$A$303,A125)&lt;&gt;1,"ID INEXISTENT SAU DUPLICAT ÎN FROZEN",IF(COUNT(K125:L125)&lt;2,"COMPLETEAZĂ SCORUL","VERIFICAT"))))</x:f>
      </x:c>
    </x:row>
    <x:row r="126">
      <x:c r="A126" s="141"/>
      <x:c r="B126" t="str">
        <x:f>IF(OR(A126="",COUNTIF(Frozen_Predictions!$A$4:$A$303,A126)&lt;&gt;1),"",INDEX(Frozen_Predictions!$C$4:$C$303,MATCH(A126,Frozen_Predictions!$A$4:$A$303,0)))</x:f>
      </x:c>
      <x:c r="C126" t="str">
        <x:f>IF(OR(A126="",COUNTIF(Frozen_Predictions!$A$4:$A$303,A126)&lt;&gt;1),"",INDEX(Frozen_Predictions!$E$4:$E$303,MATCH(A126,Frozen_Predictions!$A$4:$A$303,0)))</x:f>
      </x:c>
      <x:c r="D126" t="str">
        <x:f>IF(OR(A126="",COUNTIF(Frozen_Predictions!$A$4:$A$303,A126)&lt;&gt;1),"",INDEX(Frozen_Predictions!$F$4:$F$303,MATCH(A126,Frozen_Predictions!$A$4:$A$303,0)))</x:f>
      </x:c>
      <x:c r="E126" t="str">
        <x:f>IF(OR(A126="",COUNTIF(Frozen_Predictions!$A$4:$A$303,A126)&lt;&gt;1),"",INDEX(Frozen_Predictions!$G$4:$G$303,MATCH(A126,Frozen_Predictions!$A$4:$A$303,0)))</x:f>
      </x:c>
      <x:c r="F126" t="str">
        <x:f>IF(OR(A126="",COUNTIF(Frozen_Predictions!$A$4:$A$303,A126)&lt;&gt;1),"",INDEX(Frozen_Predictions!$H$4:$H$303,MATCH(A126,Frozen_Predictions!$A$4:$A$303,0)))</x:f>
      </x:c>
      <x:c r="G126" t="str">
        <x:f>IF(OR(A126="",COUNTIF(Frozen_Predictions!$A$4:$A$303,A126)&lt;&gt;1),"",INDEX(Frozen_Predictions!$I$4:$I$303,MATCH(A126,Frozen_Predictions!$A$4:$A$303,0)))</x:f>
      </x:c>
      <x:c r="H126" t="str">
        <x:f>IF(OR(A126="",COUNTIF(Frozen_Predictions!$A$4:$A$303,A126)&lt;&gt;1),"",INDEX(Frozen_Predictions!$J$4:$J$303,MATCH(A126,Frozen_Predictions!$A$4:$A$303,0)))</x:f>
      </x:c>
      <x:c r="I126" t="str">
        <x:f>IF(OR(A126="",COUNTIF(Frozen_Predictions!$A$4:$A$303,A126)&lt;&gt;1),"",INDEX(Frozen_Predictions!$K$4:$K$303,MATCH(A126,Frozen_Predictions!$A$4:$A$303,0)))</x:f>
      </x:c>
      <x:c r="J126" s="142" t="str">
        <x:f>IF(OR(A126="",G126="",COUNT(K126:M126)&lt;3,COUNTIF($A$4:$A$303,A126)&lt;&gt;1),"",IF(IF(M126+F126&gt;0,"1",IF(M126+F126=0,"X","2"))=G126&amp;"",1,0))</x:f>
      </x:c>
      <x:c r="K126" s="143"/>
      <x:c r="L126" s="143"/>
      <x:c r="M126" s="142" t="str">
        <x:f>IF(AND(A126&lt;&gt;"",COUNT(K126:L126)=2),K126-L126,"")</x:f>
      </x:c>
      <x:c r="N126" s="142" t="str">
        <x:f>IF(J126="","",IF(M126+F126=0,"YES","NO"))</x:f>
      </x:c>
      <x:c r="O126" t="str">
        <x:f>IF(J126="","",IF(J126=1,"WIN",IF(N126="YES","Exact margin M="&amp;ABS(F126),"Direction / tail")))</x:f>
      </x:c>
      <x:c r="P126" s="141"/>
      <x:c r="Q126" s="141"/>
      <x:c r="R126" s="144" t="str">
        <x:f>IF(OR(I126="",J126=""),"",(I126-J126)^2)</x:f>
      </x:c>
      <x:c r="S126" s="144" t="str">
        <x:f>IF(OR(I126="",J126=""),"",-(J126*LN(MAX(MIN(I126,0.999999),0.000001))+(1-J126)*LN(MAX(MIN(1-I126,0.999999),0.000001))))</x:f>
      </x:c>
      <x:c r="T126" t="str">
        <x:f>IF(J126="","",INDEX(Frozen_Predictions!$M$4:$M$303,MATCH(A126,Frozen_Predictions!$A$4:$A$303,0)))</x:f>
      </x:c>
      <x:c r="U126" t="str">
        <x:f>IF(J126="","",INDEX(Frozen_Predictions!$W$4:$W$303,MATCH(A126,Frozen_Predictions!$A$4:$A$303,0)))</x:f>
      </x:c>
      <x:c r="V126" t="str">
        <x:f>IF(J126="","",INDEX(Frozen_Predictions!$X$4:$X$303,MATCH(A126,Frozen_Predictions!$A$4:$A$303,0)))</x:f>
      </x:c>
      <x:c r="W126" t="str">
        <x:f>IF(A126="","",IF(COUNTIF($A$4:$A$303,A126)&lt;&gt;1,"ID DUPLICAT",IF(COUNTIF(Frozen_Predictions!$A$4:$A$303,A126)&lt;&gt;1,"ID INEXISTENT SAU DUPLICAT ÎN FROZEN",IF(COUNT(K126:L126)&lt;2,"COMPLETEAZĂ SCORUL","VERIFICAT"))))</x:f>
      </x:c>
    </x:row>
    <x:row r="127">
      <x:c r="A127" s="141"/>
      <x:c r="B127" t="str">
        <x:f>IF(OR(A127="",COUNTIF(Frozen_Predictions!$A$4:$A$303,A127)&lt;&gt;1),"",INDEX(Frozen_Predictions!$C$4:$C$303,MATCH(A127,Frozen_Predictions!$A$4:$A$303,0)))</x:f>
      </x:c>
      <x:c r="C127" t="str">
        <x:f>IF(OR(A127="",COUNTIF(Frozen_Predictions!$A$4:$A$303,A127)&lt;&gt;1),"",INDEX(Frozen_Predictions!$E$4:$E$303,MATCH(A127,Frozen_Predictions!$A$4:$A$303,0)))</x:f>
      </x:c>
      <x:c r="D127" t="str">
        <x:f>IF(OR(A127="",COUNTIF(Frozen_Predictions!$A$4:$A$303,A127)&lt;&gt;1),"",INDEX(Frozen_Predictions!$F$4:$F$303,MATCH(A127,Frozen_Predictions!$A$4:$A$303,0)))</x:f>
      </x:c>
      <x:c r="E127" t="str">
        <x:f>IF(OR(A127="",COUNTIF(Frozen_Predictions!$A$4:$A$303,A127)&lt;&gt;1),"",INDEX(Frozen_Predictions!$G$4:$G$303,MATCH(A127,Frozen_Predictions!$A$4:$A$303,0)))</x:f>
      </x:c>
      <x:c r="F127" t="str">
        <x:f>IF(OR(A127="",COUNTIF(Frozen_Predictions!$A$4:$A$303,A127)&lt;&gt;1),"",INDEX(Frozen_Predictions!$H$4:$H$303,MATCH(A127,Frozen_Predictions!$A$4:$A$303,0)))</x:f>
      </x:c>
      <x:c r="G127" t="str">
        <x:f>IF(OR(A127="",COUNTIF(Frozen_Predictions!$A$4:$A$303,A127)&lt;&gt;1),"",INDEX(Frozen_Predictions!$I$4:$I$303,MATCH(A127,Frozen_Predictions!$A$4:$A$303,0)))</x:f>
      </x:c>
      <x:c r="H127" t="str">
        <x:f>IF(OR(A127="",COUNTIF(Frozen_Predictions!$A$4:$A$303,A127)&lt;&gt;1),"",INDEX(Frozen_Predictions!$J$4:$J$303,MATCH(A127,Frozen_Predictions!$A$4:$A$303,0)))</x:f>
      </x:c>
      <x:c r="I127" t="str">
        <x:f>IF(OR(A127="",COUNTIF(Frozen_Predictions!$A$4:$A$303,A127)&lt;&gt;1),"",INDEX(Frozen_Predictions!$K$4:$K$303,MATCH(A127,Frozen_Predictions!$A$4:$A$303,0)))</x:f>
      </x:c>
      <x:c r="J127" s="142" t="str">
        <x:f>IF(OR(A127="",G127="",COUNT(K127:M127)&lt;3,COUNTIF($A$4:$A$303,A127)&lt;&gt;1),"",IF(IF(M127+F127&gt;0,"1",IF(M127+F127=0,"X","2"))=G127&amp;"",1,0))</x:f>
      </x:c>
      <x:c r="K127" s="143"/>
      <x:c r="L127" s="143"/>
      <x:c r="M127" s="142" t="str">
        <x:f>IF(AND(A127&lt;&gt;"",COUNT(K127:L127)=2),K127-L127,"")</x:f>
      </x:c>
      <x:c r="N127" s="142" t="str">
        <x:f>IF(J127="","",IF(M127+F127=0,"YES","NO"))</x:f>
      </x:c>
      <x:c r="O127" t="str">
        <x:f>IF(J127="","",IF(J127=1,"WIN",IF(N127="YES","Exact margin M="&amp;ABS(F127),"Direction / tail")))</x:f>
      </x:c>
      <x:c r="P127" s="141"/>
      <x:c r="Q127" s="141"/>
      <x:c r="R127" s="144" t="str">
        <x:f>IF(OR(I127="",J127=""),"",(I127-J127)^2)</x:f>
      </x:c>
      <x:c r="S127" s="144" t="str">
        <x:f>IF(OR(I127="",J127=""),"",-(J127*LN(MAX(MIN(I127,0.999999),0.000001))+(1-J127)*LN(MAX(MIN(1-I127,0.999999),0.000001))))</x:f>
      </x:c>
      <x:c r="T127" t="str">
        <x:f>IF(J127="","",INDEX(Frozen_Predictions!$M$4:$M$303,MATCH(A127,Frozen_Predictions!$A$4:$A$303,0)))</x:f>
      </x:c>
      <x:c r="U127" t="str">
        <x:f>IF(J127="","",INDEX(Frozen_Predictions!$W$4:$W$303,MATCH(A127,Frozen_Predictions!$A$4:$A$303,0)))</x:f>
      </x:c>
      <x:c r="V127" t="str">
        <x:f>IF(J127="","",INDEX(Frozen_Predictions!$X$4:$X$303,MATCH(A127,Frozen_Predictions!$A$4:$A$303,0)))</x:f>
      </x:c>
      <x:c r="W127" t="str">
        <x:f>IF(A127="","",IF(COUNTIF($A$4:$A$303,A127)&lt;&gt;1,"ID DUPLICAT",IF(COUNTIF(Frozen_Predictions!$A$4:$A$303,A127)&lt;&gt;1,"ID INEXISTENT SAU DUPLICAT ÎN FROZEN",IF(COUNT(K127:L127)&lt;2,"COMPLETEAZĂ SCORUL","VERIFICAT"))))</x:f>
      </x:c>
    </x:row>
    <x:row r="128">
      <x:c r="A128" s="141"/>
      <x:c r="B128" t="str">
        <x:f>IF(OR(A128="",COUNTIF(Frozen_Predictions!$A$4:$A$303,A128)&lt;&gt;1),"",INDEX(Frozen_Predictions!$C$4:$C$303,MATCH(A128,Frozen_Predictions!$A$4:$A$303,0)))</x:f>
      </x:c>
      <x:c r="C128" t="str">
        <x:f>IF(OR(A128="",COUNTIF(Frozen_Predictions!$A$4:$A$303,A128)&lt;&gt;1),"",INDEX(Frozen_Predictions!$E$4:$E$303,MATCH(A128,Frozen_Predictions!$A$4:$A$303,0)))</x:f>
      </x:c>
      <x:c r="D128" t="str">
        <x:f>IF(OR(A128="",COUNTIF(Frozen_Predictions!$A$4:$A$303,A128)&lt;&gt;1),"",INDEX(Frozen_Predictions!$F$4:$F$303,MATCH(A128,Frozen_Predictions!$A$4:$A$303,0)))</x:f>
      </x:c>
      <x:c r="E128" t="str">
        <x:f>IF(OR(A128="",COUNTIF(Frozen_Predictions!$A$4:$A$303,A128)&lt;&gt;1),"",INDEX(Frozen_Predictions!$G$4:$G$303,MATCH(A128,Frozen_Predictions!$A$4:$A$303,0)))</x:f>
      </x:c>
      <x:c r="F128" t="str">
        <x:f>IF(OR(A128="",COUNTIF(Frozen_Predictions!$A$4:$A$303,A128)&lt;&gt;1),"",INDEX(Frozen_Predictions!$H$4:$H$303,MATCH(A128,Frozen_Predictions!$A$4:$A$303,0)))</x:f>
      </x:c>
      <x:c r="G128" t="str">
        <x:f>IF(OR(A128="",COUNTIF(Frozen_Predictions!$A$4:$A$303,A128)&lt;&gt;1),"",INDEX(Frozen_Predictions!$I$4:$I$303,MATCH(A128,Frozen_Predictions!$A$4:$A$303,0)))</x:f>
      </x:c>
      <x:c r="H128" t="str">
        <x:f>IF(OR(A128="",COUNTIF(Frozen_Predictions!$A$4:$A$303,A128)&lt;&gt;1),"",INDEX(Frozen_Predictions!$J$4:$J$303,MATCH(A128,Frozen_Predictions!$A$4:$A$303,0)))</x:f>
      </x:c>
      <x:c r="I128" t="str">
        <x:f>IF(OR(A128="",COUNTIF(Frozen_Predictions!$A$4:$A$303,A128)&lt;&gt;1),"",INDEX(Frozen_Predictions!$K$4:$K$303,MATCH(A128,Frozen_Predictions!$A$4:$A$303,0)))</x:f>
      </x:c>
      <x:c r="J128" s="142" t="str">
        <x:f>IF(OR(A128="",G128="",COUNT(K128:M128)&lt;3,COUNTIF($A$4:$A$303,A128)&lt;&gt;1),"",IF(IF(M128+F128&gt;0,"1",IF(M128+F128=0,"X","2"))=G128&amp;"",1,0))</x:f>
      </x:c>
      <x:c r="K128" s="143"/>
      <x:c r="L128" s="143"/>
      <x:c r="M128" s="142" t="str">
        <x:f>IF(AND(A128&lt;&gt;"",COUNT(K128:L128)=2),K128-L128,"")</x:f>
      </x:c>
      <x:c r="N128" s="142" t="str">
        <x:f>IF(J128="","",IF(M128+F128=0,"YES","NO"))</x:f>
      </x:c>
      <x:c r="O128" t="str">
        <x:f>IF(J128="","",IF(J128=1,"WIN",IF(N128="YES","Exact margin M="&amp;ABS(F128),"Direction / tail")))</x:f>
      </x:c>
      <x:c r="P128" s="141"/>
      <x:c r="Q128" s="141"/>
      <x:c r="R128" s="144" t="str">
        <x:f>IF(OR(I128="",J128=""),"",(I128-J128)^2)</x:f>
      </x:c>
      <x:c r="S128" s="144" t="str">
        <x:f>IF(OR(I128="",J128=""),"",-(J128*LN(MAX(MIN(I128,0.999999),0.000001))+(1-J128)*LN(MAX(MIN(1-I128,0.999999),0.000001))))</x:f>
      </x:c>
      <x:c r="T128" t="str">
        <x:f>IF(J128="","",INDEX(Frozen_Predictions!$M$4:$M$303,MATCH(A128,Frozen_Predictions!$A$4:$A$303,0)))</x:f>
      </x:c>
      <x:c r="U128" t="str">
        <x:f>IF(J128="","",INDEX(Frozen_Predictions!$W$4:$W$303,MATCH(A128,Frozen_Predictions!$A$4:$A$303,0)))</x:f>
      </x:c>
      <x:c r="V128" t="str">
        <x:f>IF(J128="","",INDEX(Frozen_Predictions!$X$4:$X$303,MATCH(A128,Frozen_Predictions!$A$4:$A$303,0)))</x:f>
      </x:c>
      <x:c r="W128" t="str">
        <x:f>IF(A128="","",IF(COUNTIF($A$4:$A$303,A128)&lt;&gt;1,"ID DUPLICAT",IF(COUNTIF(Frozen_Predictions!$A$4:$A$303,A128)&lt;&gt;1,"ID INEXISTENT SAU DUPLICAT ÎN FROZEN",IF(COUNT(K128:L128)&lt;2,"COMPLETEAZĂ SCORUL","VERIFICAT"))))</x:f>
      </x:c>
    </x:row>
    <x:row r="129">
      <x:c r="A129" s="141"/>
      <x:c r="B129" t="str">
        <x:f>IF(OR(A129="",COUNTIF(Frozen_Predictions!$A$4:$A$303,A129)&lt;&gt;1),"",INDEX(Frozen_Predictions!$C$4:$C$303,MATCH(A129,Frozen_Predictions!$A$4:$A$303,0)))</x:f>
      </x:c>
      <x:c r="C129" t="str">
        <x:f>IF(OR(A129="",COUNTIF(Frozen_Predictions!$A$4:$A$303,A129)&lt;&gt;1),"",INDEX(Frozen_Predictions!$E$4:$E$303,MATCH(A129,Frozen_Predictions!$A$4:$A$303,0)))</x:f>
      </x:c>
      <x:c r="D129" t="str">
        <x:f>IF(OR(A129="",COUNTIF(Frozen_Predictions!$A$4:$A$303,A129)&lt;&gt;1),"",INDEX(Frozen_Predictions!$F$4:$F$303,MATCH(A129,Frozen_Predictions!$A$4:$A$303,0)))</x:f>
      </x:c>
      <x:c r="E129" t="str">
        <x:f>IF(OR(A129="",COUNTIF(Frozen_Predictions!$A$4:$A$303,A129)&lt;&gt;1),"",INDEX(Frozen_Predictions!$G$4:$G$303,MATCH(A129,Frozen_Predictions!$A$4:$A$303,0)))</x:f>
      </x:c>
      <x:c r="F129" t="str">
        <x:f>IF(OR(A129="",COUNTIF(Frozen_Predictions!$A$4:$A$303,A129)&lt;&gt;1),"",INDEX(Frozen_Predictions!$H$4:$H$303,MATCH(A129,Frozen_Predictions!$A$4:$A$303,0)))</x:f>
      </x:c>
      <x:c r="G129" t="str">
        <x:f>IF(OR(A129="",COUNTIF(Frozen_Predictions!$A$4:$A$303,A129)&lt;&gt;1),"",INDEX(Frozen_Predictions!$I$4:$I$303,MATCH(A129,Frozen_Predictions!$A$4:$A$303,0)))</x:f>
      </x:c>
      <x:c r="H129" t="str">
        <x:f>IF(OR(A129="",COUNTIF(Frozen_Predictions!$A$4:$A$303,A129)&lt;&gt;1),"",INDEX(Frozen_Predictions!$J$4:$J$303,MATCH(A129,Frozen_Predictions!$A$4:$A$303,0)))</x:f>
      </x:c>
      <x:c r="I129" t="str">
        <x:f>IF(OR(A129="",COUNTIF(Frozen_Predictions!$A$4:$A$303,A129)&lt;&gt;1),"",INDEX(Frozen_Predictions!$K$4:$K$303,MATCH(A129,Frozen_Predictions!$A$4:$A$303,0)))</x:f>
      </x:c>
      <x:c r="J129" s="142" t="str">
        <x:f>IF(OR(A129="",G129="",COUNT(K129:M129)&lt;3,COUNTIF($A$4:$A$303,A129)&lt;&gt;1),"",IF(IF(M129+F129&gt;0,"1",IF(M129+F129=0,"X","2"))=G129&amp;"",1,0))</x:f>
      </x:c>
      <x:c r="K129" s="143"/>
      <x:c r="L129" s="143"/>
      <x:c r="M129" s="142" t="str">
        <x:f>IF(AND(A129&lt;&gt;"",COUNT(K129:L129)=2),K129-L129,"")</x:f>
      </x:c>
      <x:c r="N129" s="142" t="str">
        <x:f>IF(J129="","",IF(M129+F129=0,"YES","NO"))</x:f>
      </x:c>
      <x:c r="O129" t="str">
        <x:f>IF(J129="","",IF(J129=1,"WIN",IF(N129="YES","Exact margin M="&amp;ABS(F129),"Direction / tail")))</x:f>
      </x:c>
      <x:c r="P129" s="141"/>
      <x:c r="Q129" s="141"/>
      <x:c r="R129" s="144" t="str">
        <x:f>IF(OR(I129="",J129=""),"",(I129-J129)^2)</x:f>
      </x:c>
      <x:c r="S129" s="144" t="str">
        <x:f>IF(OR(I129="",J129=""),"",-(J129*LN(MAX(MIN(I129,0.999999),0.000001))+(1-J129)*LN(MAX(MIN(1-I129,0.999999),0.000001))))</x:f>
      </x:c>
      <x:c r="T129" t="str">
        <x:f>IF(J129="","",INDEX(Frozen_Predictions!$M$4:$M$303,MATCH(A129,Frozen_Predictions!$A$4:$A$303,0)))</x:f>
      </x:c>
      <x:c r="U129" t="str">
        <x:f>IF(J129="","",INDEX(Frozen_Predictions!$W$4:$W$303,MATCH(A129,Frozen_Predictions!$A$4:$A$303,0)))</x:f>
      </x:c>
      <x:c r="V129" t="str">
        <x:f>IF(J129="","",INDEX(Frozen_Predictions!$X$4:$X$303,MATCH(A129,Frozen_Predictions!$A$4:$A$303,0)))</x:f>
      </x:c>
      <x:c r="W129" t="str">
        <x:f>IF(A129="","",IF(COUNTIF($A$4:$A$303,A129)&lt;&gt;1,"ID DUPLICAT",IF(COUNTIF(Frozen_Predictions!$A$4:$A$303,A129)&lt;&gt;1,"ID INEXISTENT SAU DUPLICAT ÎN FROZEN",IF(COUNT(K129:L129)&lt;2,"COMPLETEAZĂ SCORUL","VERIFICAT"))))</x:f>
      </x:c>
    </x:row>
    <x:row r="130">
      <x:c r="A130" s="141"/>
      <x:c r="B130" t="str">
        <x:f>IF(OR(A130="",COUNTIF(Frozen_Predictions!$A$4:$A$303,A130)&lt;&gt;1),"",INDEX(Frozen_Predictions!$C$4:$C$303,MATCH(A130,Frozen_Predictions!$A$4:$A$303,0)))</x:f>
      </x:c>
      <x:c r="C130" t="str">
        <x:f>IF(OR(A130="",COUNTIF(Frozen_Predictions!$A$4:$A$303,A130)&lt;&gt;1),"",INDEX(Frozen_Predictions!$E$4:$E$303,MATCH(A130,Frozen_Predictions!$A$4:$A$303,0)))</x:f>
      </x:c>
      <x:c r="D130" t="str">
        <x:f>IF(OR(A130="",COUNTIF(Frozen_Predictions!$A$4:$A$303,A130)&lt;&gt;1),"",INDEX(Frozen_Predictions!$F$4:$F$303,MATCH(A130,Frozen_Predictions!$A$4:$A$303,0)))</x:f>
      </x:c>
      <x:c r="E130" t="str">
        <x:f>IF(OR(A130="",COUNTIF(Frozen_Predictions!$A$4:$A$303,A130)&lt;&gt;1),"",INDEX(Frozen_Predictions!$G$4:$G$303,MATCH(A130,Frozen_Predictions!$A$4:$A$303,0)))</x:f>
      </x:c>
      <x:c r="F130" t="str">
        <x:f>IF(OR(A130="",COUNTIF(Frozen_Predictions!$A$4:$A$303,A130)&lt;&gt;1),"",INDEX(Frozen_Predictions!$H$4:$H$303,MATCH(A130,Frozen_Predictions!$A$4:$A$303,0)))</x:f>
      </x:c>
      <x:c r="G130" t="str">
        <x:f>IF(OR(A130="",COUNTIF(Frozen_Predictions!$A$4:$A$303,A130)&lt;&gt;1),"",INDEX(Frozen_Predictions!$I$4:$I$303,MATCH(A130,Frozen_Predictions!$A$4:$A$303,0)))</x:f>
      </x:c>
      <x:c r="H130" t="str">
        <x:f>IF(OR(A130="",COUNTIF(Frozen_Predictions!$A$4:$A$303,A130)&lt;&gt;1),"",INDEX(Frozen_Predictions!$J$4:$J$303,MATCH(A130,Frozen_Predictions!$A$4:$A$303,0)))</x:f>
      </x:c>
      <x:c r="I130" t="str">
        <x:f>IF(OR(A130="",COUNTIF(Frozen_Predictions!$A$4:$A$303,A130)&lt;&gt;1),"",INDEX(Frozen_Predictions!$K$4:$K$303,MATCH(A130,Frozen_Predictions!$A$4:$A$303,0)))</x:f>
      </x:c>
      <x:c r="J130" s="142" t="str">
        <x:f>IF(OR(A130="",G130="",COUNT(K130:M130)&lt;3,COUNTIF($A$4:$A$303,A130)&lt;&gt;1),"",IF(IF(M130+F130&gt;0,"1",IF(M130+F130=0,"X","2"))=G130&amp;"",1,0))</x:f>
      </x:c>
      <x:c r="K130" s="143"/>
      <x:c r="L130" s="143"/>
      <x:c r="M130" s="142" t="str">
        <x:f>IF(AND(A130&lt;&gt;"",COUNT(K130:L130)=2),K130-L130,"")</x:f>
      </x:c>
      <x:c r="N130" s="142" t="str">
        <x:f>IF(J130="","",IF(M130+F130=0,"YES","NO"))</x:f>
      </x:c>
      <x:c r="O130" t="str">
        <x:f>IF(J130="","",IF(J130=1,"WIN",IF(N130="YES","Exact margin M="&amp;ABS(F130),"Direction / tail")))</x:f>
      </x:c>
      <x:c r="P130" s="141"/>
      <x:c r="Q130" s="141"/>
      <x:c r="R130" s="144" t="str">
        <x:f>IF(OR(I130="",J130=""),"",(I130-J130)^2)</x:f>
      </x:c>
      <x:c r="S130" s="144" t="str">
        <x:f>IF(OR(I130="",J130=""),"",-(J130*LN(MAX(MIN(I130,0.999999),0.000001))+(1-J130)*LN(MAX(MIN(1-I130,0.999999),0.000001))))</x:f>
      </x:c>
      <x:c r="T130" t="str">
        <x:f>IF(J130="","",INDEX(Frozen_Predictions!$M$4:$M$303,MATCH(A130,Frozen_Predictions!$A$4:$A$303,0)))</x:f>
      </x:c>
      <x:c r="U130" t="str">
        <x:f>IF(J130="","",INDEX(Frozen_Predictions!$W$4:$W$303,MATCH(A130,Frozen_Predictions!$A$4:$A$303,0)))</x:f>
      </x:c>
      <x:c r="V130" t="str">
        <x:f>IF(J130="","",INDEX(Frozen_Predictions!$X$4:$X$303,MATCH(A130,Frozen_Predictions!$A$4:$A$303,0)))</x:f>
      </x:c>
      <x:c r="W130" t="str">
        <x:f>IF(A130="","",IF(COUNTIF($A$4:$A$303,A130)&lt;&gt;1,"ID DUPLICAT",IF(COUNTIF(Frozen_Predictions!$A$4:$A$303,A130)&lt;&gt;1,"ID INEXISTENT SAU DUPLICAT ÎN FROZEN",IF(COUNT(K130:L130)&lt;2,"COMPLETEAZĂ SCORUL","VERIFICAT"))))</x:f>
      </x:c>
    </x:row>
    <x:row r="131">
      <x:c r="A131" s="141"/>
      <x:c r="B131" t="str">
        <x:f>IF(OR(A131="",COUNTIF(Frozen_Predictions!$A$4:$A$303,A131)&lt;&gt;1),"",INDEX(Frozen_Predictions!$C$4:$C$303,MATCH(A131,Frozen_Predictions!$A$4:$A$303,0)))</x:f>
      </x:c>
      <x:c r="C131" t="str">
        <x:f>IF(OR(A131="",COUNTIF(Frozen_Predictions!$A$4:$A$303,A131)&lt;&gt;1),"",INDEX(Frozen_Predictions!$E$4:$E$303,MATCH(A131,Frozen_Predictions!$A$4:$A$303,0)))</x:f>
      </x:c>
      <x:c r="D131" t="str">
        <x:f>IF(OR(A131="",COUNTIF(Frozen_Predictions!$A$4:$A$303,A131)&lt;&gt;1),"",INDEX(Frozen_Predictions!$F$4:$F$303,MATCH(A131,Frozen_Predictions!$A$4:$A$303,0)))</x:f>
      </x:c>
      <x:c r="E131" t="str">
        <x:f>IF(OR(A131="",COUNTIF(Frozen_Predictions!$A$4:$A$303,A131)&lt;&gt;1),"",INDEX(Frozen_Predictions!$G$4:$G$303,MATCH(A131,Frozen_Predictions!$A$4:$A$303,0)))</x:f>
      </x:c>
      <x:c r="F131" t="str">
        <x:f>IF(OR(A131="",COUNTIF(Frozen_Predictions!$A$4:$A$303,A131)&lt;&gt;1),"",INDEX(Frozen_Predictions!$H$4:$H$303,MATCH(A131,Frozen_Predictions!$A$4:$A$303,0)))</x:f>
      </x:c>
      <x:c r="G131" t="str">
        <x:f>IF(OR(A131="",COUNTIF(Frozen_Predictions!$A$4:$A$303,A131)&lt;&gt;1),"",INDEX(Frozen_Predictions!$I$4:$I$303,MATCH(A131,Frozen_Predictions!$A$4:$A$303,0)))</x:f>
      </x:c>
      <x:c r="H131" t="str">
        <x:f>IF(OR(A131="",COUNTIF(Frozen_Predictions!$A$4:$A$303,A131)&lt;&gt;1),"",INDEX(Frozen_Predictions!$J$4:$J$303,MATCH(A131,Frozen_Predictions!$A$4:$A$303,0)))</x:f>
      </x:c>
      <x:c r="I131" t="str">
        <x:f>IF(OR(A131="",COUNTIF(Frozen_Predictions!$A$4:$A$303,A131)&lt;&gt;1),"",INDEX(Frozen_Predictions!$K$4:$K$303,MATCH(A131,Frozen_Predictions!$A$4:$A$303,0)))</x:f>
      </x:c>
      <x:c r="J131" s="142" t="str">
        <x:f>IF(OR(A131="",G131="",COUNT(K131:M131)&lt;3,COUNTIF($A$4:$A$303,A131)&lt;&gt;1),"",IF(IF(M131+F131&gt;0,"1",IF(M131+F131=0,"X","2"))=G131&amp;"",1,0))</x:f>
      </x:c>
      <x:c r="K131" s="143"/>
      <x:c r="L131" s="143"/>
      <x:c r="M131" s="142" t="str">
        <x:f>IF(AND(A131&lt;&gt;"",COUNT(K131:L131)=2),K131-L131,"")</x:f>
      </x:c>
      <x:c r="N131" s="142" t="str">
        <x:f>IF(J131="","",IF(M131+F131=0,"YES","NO"))</x:f>
      </x:c>
      <x:c r="O131" t="str">
        <x:f>IF(J131="","",IF(J131=1,"WIN",IF(N131="YES","Exact margin M="&amp;ABS(F131),"Direction / tail")))</x:f>
      </x:c>
      <x:c r="P131" s="141"/>
      <x:c r="Q131" s="141"/>
      <x:c r="R131" s="144" t="str">
        <x:f>IF(OR(I131="",J131=""),"",(I131-J131)^2)</x:f>
      </x:c>
      <x:c r="S131" s="144" t="str">
        <x:f>IF(OR(I131="",J131=""),"",-(J131*LN(MAX(MIN(I131,0.999999),0.000001))+(1-J131)*LN(MAX(MIN(1-I131,0.999999),0.000001))))</x:f>
      </x:c>
      <x:c r="T131" t="str">
        <x:f>IF(J131="","",INDEX(Frozen_Predictions!$M$4:$M$303,MATCH(A131,Frozen_Predictions!$A$4:$A$303,0)))</x:f>
      </x:c>
      <x:c r="U131" t="str">
        <x:f>IF(J131="","",INDEX(Frozen_Predictions!$W$4:$W$303,MATCH(A131,Frozen_Predictions!$A$4:$A$303,0)))</x:f>
      </x:c>
      <x:c r="V131" t="str">
        <x:f>IF(J131="","",INDEX(Frozen_Predictions!$X$4:$X$303,MATCH(A131,Frozen_Predictions!$A$4:$A$303,0)))</x:f>
      </x:c>
      <x:c r="W131" t="str">
        <x:f>IF(A131="","",IF(COUNTIF($A$4:$A$303,A131)&lt;&gt;1,"ID DUPLICAT",IF(COUNTIF(Frozen_Predictions!$A$4:$A$303,A131)&lt;&gt;1,"ID INEXISTENT SAU DUPLICAT ÎN FROZEN",IF(COUNT(K131:L131)&lt;2,"COMPLETEAZĂ SCORUL","VERIFICAT"))))</x:f>
      </x:c>
    </x:row>
    <x:row r="132">
      <x:c r="A132" s="141"/>
      <x:c r="B132" t="str">
        <x:f>IF(OR(A132="",COUNTIF(Frozen_Predictions!$A$4:$A$303,A132)&lt;&gt;1),"",INDEX(Frozen_Predictions!$C$4:$C$303,MATCH(A132,Frozen_Predictions!$A$4:$A$303,0)))</x:f>
      </x:c>
      <x:c r="C132" t="str">
        <x:f>IF(OR(A132="",COUNTIF(Frozen_Predictions!$A$4:$A$303,A132)&lt;&gt;1),"",INDEX(Frozen_Predictions!$E$4:$E$303,MATCH(A132,Frozen_Predictions!$A$4:$A$303,0)))</x:f>
      </x:c>
      <x:c r="D132" t="str">
        <x:f>IF(OR(A132="",COUNTIF(Frozen_Predictions!$A$4:$A$303,A132)&lt;&gt;1),"",INDEX(Frozen_Predictions!$F$4:$F$303,MATCH(A132,Frozen_Predictions!$A$4:$A$303,0)))</x:f>
      </x:c>
      <x:c r="E132" t="str">
        <x:f>IF(OR(A132="",COUNTIF(Frozen_Predictions!$A$4:$A$303,A132)&lt;&gt;1),"",INDEX(Frozen_Predictions!$G$4:$G$303,MATCH(A132,Frozen_Predictions!$A$4:$A$303,0)))</x:f>
      </x:c>
      <x:c r="F132" t="str">
        <x:f>IF(OR(A132="",COUNTIF(Frozen_Predictions!$A$4:$A$303,A132)&lt;&gt;1),"",INDEX(Frozen_Predictions!$H$4:$H$303,MATCH(A132,Frozen_Predictions!$A$4:$A$303,0)))</x:f>
      </x:c>
      <x:c r="G132" t="str">
        <x:f>IF(OR(A132="",COUNTIF(Frozen_Predictions!$A$4:$A$303,A132)&lt;&gt;1),"",INDEX(Frozen_Predictions!$I$4:$I$303,MATCH(A132,Frozen_Predictions!$A$4:$A$303,0)))</x:f>
      </x:c>
      <x:c r="H132" t="str">
        <x:f>IF(OR(A132="",COUNTIF(Frozen_Predictions!$A$4:$A$303,A132)&lt;&gt;1),"",INDEX(Frozen_Predictions!$J$4:$J$303,MATCH(A132,Frozen_Predictions!$A$4:$A$303,0)))</x:f>
      </x:c>
      <x:c r="I132" t="str">
        <x:f>IF(OR(A132="",COUNTIF(Frozen_Predictions!$A$4:$A$303,A132)&lt;&gt;1),"",INDEX(Frozen_Predictions!$K$4:$K$303,MATCH(A132,Frozen_Predictions!$A$4:$A$303,0)))</x:f>
      </x:c>
      <x:c r="J132" s="142" t="str">
        <x:f>IF(OR(A132="",G132="",COUNT(K132:M132)&lt;3,COUNTIF($A$4:$A$303,A132)&lt;&gt;1),"",IF(IF(M132+F132&gt;0,"1",IF(M132+F132=0,"X","2"))=G132&amp;"",1,0))</x:f>
      </x:c>
      <x:c r="K132" s="143"/>
      <x:c r="L132" s="143"/>
      <x:c r="M132" s="142" t="str">
        <x:f>IF(AND(A132&lt;&gt;"",COUNT(K132:L132)=2),K132-L132,"")</x:f>
      </x:c>
      <x:c r="N132" s="142" t="str">
        <x:f>IF(J132="","",IF(M132+F132=0,"YES","NO"))</x:f>
      </x:c>
      <x:c r="O132" t="str">
        <x:f>IF(J132="","",IF(J132=1,"WIN",IF(N132="YES","Exact margin M="&amp;ABS(F132),"Direction / tail")))</x:f>
      </x:c>
      <x:c r="P132" s="141"/>
      <x:c r="Q132" s="141"/>
      <x:c r="R132" s="144" t="str">
        <x:f>IF(OR(I132="",J132=""),"",(I132-J132)^2)</x:f>
      </x:c>
      <x:c r="S132" s="144" t="str">
        <x:f>IF(OR(I132="",J132=""),"",-(J132*LN(MAX(MIN(I132,0.999999),0.000001))+(1-J132)*LN(MAX(MIN(1-I132,0.999999),0.000001))))</x:f>
      </x:c>
      <x:c r="T132" t="str">
        <x:f>IF(J132="","",INDEX(Frozen_Predictions!$M$4:$M$303,MATCH(A132,Frozen_Predictions!$A$4:$A$303,0)))</x:f>
      </x:c>
      <x:c r="U132" t="str">
        <x:f>IF(J132="","",INDEX(Frozen_Predictions!$W$4:$W$303,MATCH(A132,Frozen_Predictions!$A$4:$A$303,0)))</x:f>
      </x:c>
      <x:c r="V132" t="str">
        <x:f>IF(J132="","",INDEX(Frozen_Predictions!$X$4:$X$303,MATCH(A132,Frozen_Predictions!$A$4:$A$303,0)))</x:f>
      </x:c>
      <x:c r="W132" t="str">
        <x:f>IF(A132="","",IF(COUNTIF($A$4:$A$303,A132)&lt;&gt;1,"ID DUPLICAT",IF(COUNTIF(Frozen_Predictions!$A$4:$A$303,A132)&lt;&gt;1,"ID INEXISTENT SAU DUPLICAT ÎN FROZEN",IF(COUNT(K132:L132)&lt;2,"COMPLETEAZĂ SCORUL","VERIFICAT"))))</x:f>
      </x:c>
    </x:row>
    <x:row r="133">
      <x:c r="A133" s="141"/>
      <x:c r="B133" t="str">
        <x:f>IF(OR(A133="",COUNTIF(Frozen_Predictions!$A$4:$A$303,A133)&lt;&gt;1),"",INDEX(Frozen_Predictions!$C$4:$C$303,MATCH(A133,Frozen_Predictions!$A$4:$A$303,0)))</x:f>
      </x:c>
      <x:c r="C133" t="str">
        <x:f>IF(OR(A133="",COUNTIF(Frozen_Predictions!$A$4:$A$303,A133)&lt;&gt;1),"",INDEX(Frozen_Predictions!$E$4:$E$303,MATCH(A133,Frozen_Predictions!$A$4:$A$303,0)))</x:f>
      </x:c>
      <x:c r="D133" t="str">
        <x:f>IF(OR(A133="",COUNTIF(Frozen_Predictions!$A$4:$A$303,A133)&lt;&gt;1),"",INDEX(Frozen_Predictions!$F$4:$F$303,MATCH(A133,Frozen_Predictions!$A$4:$A$303,0)))</x:f>
      </x:c>
      <x:c r="E133" t="str">
        <x:f>IF(OR(A133="",COUNTIF(Frozen_Predictions!$A$4:$A$303,A133)&lt;&gt;1),"",INDEX(Frozen_Predictions!$G$4:$G$303,MATCH(A133,Frozen_Predictions!$A$4:$A$303,0)))</x:f>
      </x:c>
      <x:c r="F133" t="str">
        <x:f>IF(OR(A133="",COUNTIF(Frozen_Predictions!$A$4:$A$303,A133)&lt;&gt;1),"",INDEX(Frozen_Predictions!$H$4:$H$303,MATCH(A133,Frozen_Predictions!$A$4:$A$303,0)))</x:f>
      </x:c>
      <x:c r="G133" t="str">
        <x:f>IF(OR(A133="",COUNTIF(Frozen_Predictions!$A$4:$A$303,A133)&lt;&gt;1),"",INDEX(Frozen_Predictions!$I$4:$I$303,MATCH(A133,Frozen_Predictions!$A$4:$A$303,0)))</x:f>
      </x:c>
      <x:c r="H133" t="str">
        <x:f>IF(OR(A133="",COUNTIF(Frozen_Predictions!$A$4:$A$303,A133)&lt;&gt;1),"",INDEX(Frozen_Predictions!$J$4:$J$303,MATCH(A133,Frozen_Predictions!$A$4:$A$303,0)))</x:f>
      </x:c>
      <x:c r="I133" t="str">
        <x:f>IF(OR(A133="",COUNTIF(Frozen_Predictions!$A$4:$A$303,A133)&lt;&gt;1),"",INDEX(Frozen_Predictions!$K$4:$K$303,MATCH(A133,Frozen_Predictions!$A$4:$A$303,0)))</x:f>
      </x:c>
      <x:c r="J133" s="142" t="str">
        <x:f>IF(OR(A133="",G133="",COUNT(K133:M133)&lt;3,COUNTIF($A$4:$A$303,A133)&lt;&gt;1),"",IF(IF(M133+F133&gt;0,"1",IF(M133+F133=0,"X","2"))=G133&amp;"",1,0))</x:f>
      </x:c>
      <x:c r="K133" s="143"/>
      <x:c r="L133" s="143"/>
      <x:c r="M133" s="142" t="str">
        <x:f>IF(AND(A133&lt;&gt;"",COUNT(K133:L133)=2),K133-L133,"")</x:f>
      </x:c>
      <x:c r="N133" s="142" t="str">
        <x:f>IF(J133="","",IF(M133+F133=0,"YES","NO"))</x:f>
      </x:c>
      <x:c r="O133" t="str">
        <x:f>IF(J133="","",IF(J133=1,"WIN",IF(N133="YES","Exact margin M="&amp;ABS(F133),"Direction / tail")))</x:f>
      </x:c>
      <x:c r="P133" s="141"/>
      <x:c r="Q133" s="141"/>
      <x:c r="R133" s="144" t="str">
        <x:f>IF(OR(I133="",J133=""),"",(I133-J133)^2)</x:f>
      </x:c>
      <x:c r="S133" s="144" t="str">
        <x:f>IF(OR(I133="",J133=""),"",-(J133*LN(MAX(MIN(I133,0.999999),0.000001))+(1-J133)*LN(MAX(MIN(1-I133,0.999999),0.000001))))</x:f>
      </x:c>
      <x:c r="T133" t="str">
        <x:f>IF(J133="","",INDEX(Frozen_Predictions!$M$4:$M$303,MATCH(A133,Frozen_Predictions!$A$4:$A$303,0)))</x:f>
      </x:c>
      <x:c r="U133" t="str">
        <x:f>IF(J133="","",INDEX(Frozen_Predictions!$W$4:$W$303,MATCH(A133,Frozen_Predictions!$A$4:$A$303,0)))</x:f>
      </x:c>
      <x:c r="V133" t="str">
        <x:f>IF(J133="","",INDEX(Frozen_Predictions!$X$4:$X$303,MATCH(A133,Frozen_Predictions!$A$4:$A$303,0)))</x:f>
      </x:c>
      <x:c r="W133" t="str">
        <x:f>IF(A133="","",IF(COUNTIF($A$4:$A$303,A133)&lt;&gt;1,"ID DUPLICAT",IF(COUNTIF(Frozen_Predictions!$A$4:$A$303,A133)&lt;&gt;1,"ID INEXISTENT SAU DUPLICAT ÎN FROZEN",IF(COUNT(K133:L133)&lt;2,"COMPLETEAZĂ SCORUL","VERIFICAT"))))</x:f>
      </x:c>
    </x:row>
    <x:row r="134">
      <x:c r="A134" s="141"/>
      <x:c r="B134" t="str">
        <x:f>IF(OR(A134="",COUNTIF(Frozen_Predictions!$A$4:$A$303,A134)&lt;&gt;1),"",INDEX(Frozen_Predictions!$C$4:$C$303,MATCH(A134,Frozen_Predictions!$A$4:$A$303,0)))</x:f>
      </x:c>
      <x:c r="C134" t="str">
        <x:f>IF(OR(A134="",COUNTIF(Frozen_Predictions!$A$4:$A$303,A134)&lt;&gt;1),"",INDEX(Frozen_Predictions!$E$4:$E$303,MATCH(A134,Frozen_Predictions!$A$4:$A$303,0)))</x:f>
      </x:c>
      <x:c r="D134" t="str">
        <x:f>IF(OR(A134="",COUNTIF(Frozen_Predictions!$A$4:$A$303,A134)&lt;&gt;1),"",INDEX(Frozen_Predictions!$F$4:$F$303,MATCH(A134,Frozen_Predictions!$A$4:$A$303,0)))</x:f>
      </x:c>
      <x:c r="E134" t="str">
        <x:f>IF(OR(A134="",COUNTIF(Frozen_Predictions!$A$4:$A$303,A134)&lt;&gt;1),"",INDEX(Frozen_Predictions!$G$4:$G$303,MATCH(A134,Frozen_Predictions!$A$4:$A$303,0)))</x:f>
      </x:c>
      <x:c r="F134" t="str">
        <x:f>IF(OR(A134="",COUNTIF(Frozen_Predictions!$A$4:$A$303,A134)&lt;&gt;1),"",INDEX(Frozen_Predictions!$H$4:$H$303,MATCH(A134,Frozen_Predictions!$A$4:$A$303,0)))</x:f>
      </x:c>
      <x:c r="G134" t="str">
        <x:f>IF(OR(A134="",COUNTIF(Frozen_Predictions!$A$4:$A$303,A134)&lt;&gt;1),"",INDEX(Frozen_Predictions!$I$4:$I$303,MATCH(A134,Frozen_Predictions!$A$4:$A$303,0)))</x:f>
      </x:c>
      <x:c r="H134" t="str">
        <x:f>IF(OR(A134="",COUNTIF(Frozen_Predictions!$A$4:$A$303,A134)&lt;&gt;1),"",INDEX(Frozen_Predictions!$J$4:$J$303,MATCH(A134,Frozen_Predictions!$A$4:$A$303,0)))</x:f>
      </x:c>
      <x:c r="I134" t="str">
        <x:f>IF(OR(A134="",COUNTIF(Frozen_Predictions!$A$4:$A$303,A134)&lt;&gt;1),"",INDEX(Frozen_Predictions!$K$4:$K$303,MATCH(A134,Frozen_Predictions!$A$4:$A$303,0)))</x:f>
      </x:c>
      <x:c r="J134" s="142" t="str">
        <x:f>IF(OR(A134="",G134="",COUNT(K134:M134)&lt;3,COUNTIF($A$4:$A$303,A134)&lt;&gt;1),"",IF(IF(M134+F134&gt;0,"1",IF(M134+F134=0,"X","2"))=G134&amp;"",1,0))</x:f>
      </x:c>
      <x:c r="K134" s="143"/>
      <x:c r="L134" s="143"/>
      <x:c r="M134" s="142" t="str">
        <x:f>IF(AND(A134&lt;&gt;"",COUNT(K134:L134)=2),K134-L134,"")</x:f>
      </x:c>
      <x:c r="N134" s="142" t="str">
        <x:f>IF(J134="","",IF(M134+F134=0,"YES","NO"))</x:f>
      </x:c>
      <x:c r="O134" t="str">
        <x:f>IF(J134="","",IF(J134=1,"WIN",IF(N134="YES","Exact margin M="&amp;ABS(F134),"Direction / tail")))</x:f>
      </x:c>
      <x:c r="P134" s="141"/>
      <x:c r="Q134" s="141"/>
      <x:c r="R134" s="144" t="str">
        <x:f>IF(OR(I134="",J134=""),"",(I134-J134)^2)</x:f>
      </x:c>
      <x:c r="S134" s="144" t="str">
        <x:f>IF(OR(I134="",J134=""),"",-(J134*LN(MAX(MIN(I134,0.999999),0.000001))+(1-J134)*LN(MAX(MIN(1-I134,0.999999),0.000001))))</x:f>
      </x:c>
      <x:c r="T134" t="str">
        <x:f>IF(J134="","",INDEX(Frozen_Predictions!$M$4:$M$303,MATCH(A134,Frozen_Predictions!$A$4:$A$303,0)))</x:f>
      </x:c>
      <x:c r="U134" t="str">
        <x:f>IF(J134="","",INDEX(Frozen_Predictions!$W$4:$W$303,MATCH(A134,Frozen_Predictions!$A$4:$A$303,0)))</x:f>
      </x:c>
      <x:c r="V134" t="str">
        <x:f>IF(J134="","",INDEX(Frozen_Predictions!$X$4:$X$303,MATCH(A134,Frozen_Predictions!$A$4:$A$303,0)))</x:f>
      </x:c>
      <x:c r="W134" t="str">
        <x:f>IF(A134="","",IF(COUNTIF($A$4:$A$303,A134)&lt;&gt;1,"ID DUPLICAT",IF(COUNTIF(Frozen_Predictions!$A$4:$A$303,A134)&lt;&gt;1,"ID INEXISTENT SAU DUPLICAT ÎN FROZEN",IF(COUNT(K134:L134)&lt;2,"COMPLETEAZĂ SCORUL","VERIFICAT"))))</x:f>
      </x:c>
    </x:row>
    <x:row r="135">
      <x:c r="A135" s="141"/>
      <x:c r="B135" t="str">
        <x:f>IF(OR(A135="",COUNTIF(Frozen_Predictions!$A$4:$A$303,A135)&lt;&gt;1),"",INDEX(Frozen_Predictions!$C$4:$C$303,MATCH(A135,Frozen_Predictions!$A$4:$A$303,0)))</x:f>
      </x:c>
      <x:c r="C135" t="str">
        <x:f>IF(OR(A135="",COUNTIF(Frozen_Predictions!$A$4:$A$303,A135)&lt;&gt;1),"",INDEX(Frozen_Predictions!$E$4:$E$303,MATCH(A135,Frozen_Predictions!$A$4:$A$303,0)))</x:f>
      </x:c>
      <x:c r="D135" t="str">
        <x:f>IF(OR(A135="",COUNTIF(Frozen_Predictions!$A$4:$A$303,A135)&lt;&gt;1),"",INDEX(Frozen_Predictions!$F$4:$F$303,MATCH(A135,Frozen_Predictions!$A$4:$A$303,0)))</x:f>
      </x:c>
      <x:c r="E135" t="str">
        <x:f>IF(OR(A135="",COUNTIF(Frozen_Predictions!$A$4:$A$303,A135)&lt;&gt;1),"",INDEX(Frozen_Predictions!$G$4:$G$303,MATCH(A135,Frozen_Predictions!$A$4:$A$303,0)))</x:f>
      </x:c>
      <x:c r="F135" t="str">
        <x:f>IF(OR(A135="",COUNTIF(Frozen_Predictions!$A$4:$A$303,A135)&lt;&gt;1),"",INDEX(Frozen_Predictions!$H$4:$H$303,MATCH(A135,Frozen_Predictions!$A$4:$A$303,0)))</x:f>
      </x:c>
      <x:c r="G135" t="str">
        <x:f>IF(OR(A135="",COUNTIF(Frozen_Predictions!$A$4:$A$303,A135)&lt;&gt;1),"",INDEX(Frozen_Predictions!$I$4:$I$303,MATCH(A135,Frozen_Predictions!$A$4:$A$303,0)))</x:f>
      </x:c>
      <x:c r="H135" t="str">
        <x:f>IF(OR(A135="",COUNTIF(Frozen_Predictions!$A$4:$A$303,A135)&lt;&gt;1),"",INDEX(Frozen_Predictions!$J$4:$J$303,MATCH(A135,Frozen_Predictions!$A$4:$A$303,0)))</x:f>
      </x:c>
      <x:c r="I135" t="str">
        <x:f>IF(OR(A135="",COUNTIF(Frozen_Predictions!$A$4:$A$303,A135)&lt;&gt;1),"",INDEX(Frozen_Predictions!$K$4:$K$303,MATCH(A135,Frozen_Predictions!$A$4:$A$303,0)))</x:f>
      </x:c>
      <x:c r="J135" s="142" t="str">
        <x:f>IF(OR(A135="",G135="",COUNT(K135:M135)&lt;3,COUNTIF($A$4:$A$303,A135)&lt;&gt;1),"",IF(IF(M135+F135&gt;0,"1",IF(M135+F135=0,"X","2"))=G135&amp;"",1,0))</x:f>
      </x:c>
      <x:c r="K135" s="143"/>
      <x:c r="L135" s="143"/>
      <x:c r="M135" s="142" t="str">
        <x:f>IF(AND(A135&lt;&gt;"",COUNT(K135:L135)=2),K135-L135,"")</x:f>
      </x:c>
      <x:c r="N135" s="142" t="str">
        <x:f>IF(J135="","",IF(M135+F135=0,"YES","NO"))</x:f>
      </x:c>
      <x:c r="O135" t="str">
        <x:f>IF(J135="","",IF(J135=1,"WIN",IF(N135="YES","Exact margin M="&amp;ABS(F135),"Direction / tail")))</x:f>
      </x:c>
      <x:c r="P135" s="141"/>
      <x:c r="Q135" s="141"/>
      <x:c r="R135" s="144" t="str">
        <x:f>IF(OR(I135="",J135=""),"",(I135-J135)^2)</x:f>
      </x:c>
      <x:c r="S135" s="144" t="str">
        <x:f>IF(OR(I135="",J135=""),"",-(J135*LN(MAX(MIN(I135,0.999999),0.000001))+(1-J135)*LN(MAX(MIN(1-I135,0.999999),0.000001))))</x:f>
      </x:c>
      <x:c r="T135" t="str">
        <x:f>IF(J135="","",INDEX(Frozen_Predictions!$M$4:$M$303,MATCH(A135,Frozen_Predictions!$A$4:$A$303,0)))</x:f>
      </x:c>
      <x:c r="U135" t="str">
        <x:f>IF(J135="","",INDEX(Frozen_Predictions!$W$4:$W$303,MATCH(A135,Frozen_Predictions!$A$4:$A$303,0)))</x:f>
      </x:c>
      <x:c r="V135" t="str">
        <x:f>IF(J135="","",INDEX(Frozen_Predictions!$X$4:$X$303,MATCH(A135,Frozen_Predictions!$A$4:$A$303,0)))</x:f>
      </x:c>
      <x:c r="W135" t="str">
        <x:f>IF(A135="","",IF(COUNTIF($A$4:$A$303,A135)&lt;&gt;1,"ID DUPLICAT",IF(COUNTIF(Frozen_Predictions!$A$4:$A$303,A135)&lt;&gt;1,"ID INEXISTENT SAU DUPLICAT ÎN FROZEN",IF(COUNT(K135:L135)&lt;2,"COMPLETEAZĂ SCORUL","VERIFICAT"))))</x:f>
      </x:c>
    </x:row>
    <x:row r="136">
      <x:c r="A136" s="141"/>
      <x:c r="B136" t="str">
        <x:f>IF(OR(A136="",COUNTIF(Frozen_Predictions!$A$4:$A$303,A136)&lt;&gt;1),"",INDEX(Frozen_Predictions!$C$4:$C$303,MATCH(A136,Frozen_Predictions!$A$4:$A$303,0)))</x:f>
      </x:c>
      <x:c r="C136" t="str">
        <x:f>IF(OR(A136="",COUNTIF(Frozen_Predictions!$A$4:$A$303,A136)&lt;&gt;1),"",INDEX(Frozen_Predictions!$E$4:$E$303,MATCH(A136,Frozen_Predictions!$A$4:$A$303,0)))</x:f>
      </x:c>
      <x:c r="D136" t="str">
        <x:f>IF(OR(A136="",COUNTIF(Frozen_Predictions!$A$4:$A$303,A136)&lt;&gt;1),"",INDEX(Frozen_Predictions!$F$4:$F$303,MATCH(A136,Frozen_Predictions!$A$4:$A$303,0)))</x:f>
      </x:c>
      <x:c r="E136" t="str">
        <x:f>IF(OR(A136="",COUNTIF(Frozen_Predictions!$A$4:$A$303,A136)&lt;&gt;1),"",INDEX(Frozen_Predictions!$G$4:$G$303,MATCH(A136,Frozen_Predictions!$A$4:$A$303,0)))</x:f>
      </x:c>
      <x:c r="F136" t="str">
        <x:f>IF(OR(A136="",COUNTIF(Frozen_Predictions!$A$4:$A$303,A136)&lt;&gt;1),"",INDEX(Frozen_Predictions!$H$4:$H$303,MATCH(A136,Frozen_Predictions!$A$4:$A$303,0)))</x:f>
      </x:c>
      <x:c r="G136" t="str">
        <x:f>IF(OR(A136="",COUNTIF(Frozen_Predictions!$A$4:$A$303,A136)&lt;&gt;1),"",INDEX(Frozen_Predictions!$I$4:$I$303,MATCH(A136,Frozen_Predictions!$A$4:$A$303,0)))</x:f>
      </x:c>
      <x:c r="H136" t="str">
        <x:f>IF(OR(A136="",COUNTIF(Frozen_Predictions!$A$4:$A$303,A136)&lt;&gt;1),"",INDEX(Frozen_Predictions!$J$4:$J$303,MATCH(A136,Frozen_Predictions!$A$4:$A$303,0)))</x:f>
      </x:c>
      <x:c r="I136" t="str">
        <x:f>IF(OR(A136="",COUNTIF(Frozen_Predictions!$A$4:$A$303,A136)&lt;&gt;1),"",INDEX(Frozen_Predictions!$K$4:$K$303,MATCH(A136,Frozen_Predictions!$A$4:$A$303,0)))</x:f>
      </x:c>
      <x:c r="J136" s="142" t="str">
        <x:f>IF(OR(A136="",G136="",COUNT(K136:M136)&lt;3,COUNTIF($A$4:$A$303,A136)&lt;&gt;1),"",IF(IF(M136+F136&gt;0,"1",IF(M136+F136=0,"X","2"))=G136&amp;"",1,0))</x:f>
      </x:c>
      <x:c r="K136" s="143"/>
      <x:c r="L136" s="143"/>
      <x:c r="M136" s="142" t="str">
        <x:f>IF(AND(A136&lt;&gt;"",COUNT(K136:L136)=2),K136-L136,"")</x:f>
      </x:c>
      <x:c r="N136" s="142" t="str">
        <x:f>IF(J136="","",IF(M136+F136=0,"YES","NO"))</x:f>
      </x:c>
      <x:c r="O136" t="str">
        <x:f>IF(J136="","",IF(J136=1,"WIN",IF(N136="YES","Exact margin M="&amp;ABS(F136),"Direction / tail")))</x:f>
      </x:c>
      <x:c r="P136" s="141"/>
      <x:c r="Q136" s="141"/>
      <x:c r="R136" s="144" t="str">
        <x:f>IF(OR(I136="",J136=""),"",(I136-J136)^2)</x:f>
      </x:c>
      <x:c r="S136" s="144" t="str">
        <x:f>IF(OR(I136="",J136=""),"",-(J136*LN(MAX(MIN(I136,0.999999),0.000001))+(1-J136)*LN(MAX(MIN(1-I136,0.999999),0.000001))))</x:f>
      </x:c>
      <x:c r="T136" t="str">
        <x:f>IF(J136="","",INDEX(Frozen_Predictions!$M$4:$M$303,MATCH(A136,Frozen_Predictions!$A$4:$A$303,0)))</x:f>
      </x:c>
      <x:c r="U136" t="str">
        <x:f>IF(J136="","",INDEX(Frozen_Predictions!$W$4:$W$303,MATCH(A136,Frozen_Predictions!$A$4:$A$303,0)))</x:f>
      </x:c>
      <x:c r="V136" t="str">
        <x:f>IF(J136="","",INDEX(Frozen_Predictions!$X$4:$X$303,MATCH(A136,Frozen_Predictions!$A$4:$A$303,0)))</x:f>
      </x:c>
      <x:c r="W136" t="str">
        <x:f>IF(A136="","",IF(COUNTIF($A$4:$A$303,A136)&lt;&gt;1,"ID DUPLICAT",IF(COUNTIF(Frozen_Predictions!$A$4:$A$303,A136)&lt;&gt;1,"ID INEXISTENT SAU DUPLICAT ÎN FROZEN",IF(COUNT(K136:L136)&lt;2,"COMPLETEAZĂ SCORUL","VERIFICAT"))))</x:f>
      </x:c>
    </x:row>
    <x:row r="137">
      <x:c r="A137" s="141"/>
      <x:c r="B137" t="str">
        <x:f>IF(OR(A137="",COUNTIF(Frozen_Predictions!$A$4:$A$303,A137)&lt;&gt;1),"",INDEX(Frozen_Predictions!$C$4:$C$303,MATCH(A137,Frozen_Predictions!$A$4:$A$303,0)))</x:f>
      </x:c>
      <x:c r="C137" t="str">
        <x:f>IF(OR(A137="",COUNTIF(Frozen_Predictions!$A$4:$A$303,A137)&lt;&gt;1),"",INDEX(Frozen_Predictions!$E$4:$E$303,MATCH(A137,Frozen_Predictions!$A$4:$A$303,0)))</x:f>
      </x:c>
      <x:c r="D137" t="str">
        <x:f>IF(OR(A137="",COUNTIF(Frozen_Predictions!$A$4:$A$303,A137)&lt;&gt;1),"",INDEX(Frozen_Predictions!$F$4:$F$303,MATCH(A137,Frozen_Predictions!$A$4:$A$303,0)))</x:f>
      </x:c>
      <x:c r="E137" t="str">
        <x:f>IF(OR(A137="",COUNTIF(Frozen_Predictions!$A$4:$A$303,A137)&lt;&gt;1),"",INDEX(Frozen_Predictions!$G$4:$G$303,MATCH(A137,Frozen_Predictions!$A$4:$A$303,0)))</x:f>
      </x:c>
      <x:c r="F137" t="str">
        <x:f>IF(OR(A137="",COUNTIF(Frozen_Predictions!$A$4:$A$303,A137)&lt;&gt;1),"",INDEX(Frozen_Predictions!$H$4:$H$303,MATCH(A137,Frozen_Predictions!$A$4:$A$303,0)))</x:f>
      </x:c>
      <x:c r="G137" t="str">
        <x:f>IF(OR(A137="",COUNTIF(Frozen_Predictions!$A$4:$A$303,A137)&lt;&gt;1),"",INDEX(Frozen_Predictions!$I$4:$I$303,MATCH(A137,Frozen_Predictions!$A$4:$A$303,0)))</x:f>
      </x:c>
      <x:c r="H137" t="str">
        <x:f>IF(OR(A137="",COUNTIF(Frozen_Predictions!$A$4:$A$303,A137)&lt;&gt;1),"",INDEX(Frozen_Predictions!$J$4:$J$303,MATCH(A137,Frozen_Predictions!$A$4:$A$303,0)))</x:f>
      </x:c>
      <x:c r="I137" t="str">
        <x:f>IF(OR(A137="",COUNTIF(Frozen_Predictions!$A$4:$A$303,A137)&lt;&gt;1),"",INDEX(Frozen_Predictions!$K$4:$K$303,MATCH(A137,Frozen_Predictions!$A$4:$A$303,0)))</x:f>
      </x:c>
      <x:c r="J137" s="142" t="str">
        <x:f>IF(OR(A137="",G137="",COUNT(K137:M137)&lt;3,COUNTIF($A$4:$A$303,A137)&lt;&gt;1),"",IF(IF(M137+F137&gt;0,"1",IF(M137+F137=0,"X","2"))=G137&amp;"",1,0))</x:f>
      </x:c>
      <x:c r="K137" s="143"/>
      <x:c r="L137" s="143"/>
      <x:c r="M137" s="142" t="str">
        <x:f>IF(AND(A137&lt;&gt;"",COUNT(K137:L137)=2),K137-L137,"")</x:f>
      </x:c>
      <x:c r="N137" s="142" t="str">
        <x:f>IF(J137="","",IF(M137+F137=0,"YES","NO"))</x:f>
      </x:c>
      <x:c r="O137" t="str">
        <x:f>IF(J137="","",IF(J137=1,"WIN",IF(N137="YES","Exact margin M="&amp;ABS(F137),"Direction / tail")))</x:f>
      </x:c>
      <x:c r="P137" s="141"/>
      <x:c r="Q137" s="141"/>
      <x:c r="R137" s="144" t="str">
        <x:f>IF(OR(I137="",J137=""),"",(I137-J137)^2)</x:f>
      </x:c>
      <x:c r="S137" s="144" t="str">
        <x:f>IF(OR(I137="",J137=""),"",-(J137*LN(MAX(MIN(I137,0.999999),0.000001))+(1-J137)*LN(MAX(MIN(1-I137,0.999999),0.000001))))</x:f>
      </x:c>
      <x:c r="T137" t="str">
        <x:f>IF(J137="","",INDEX(Frozen_Predictions!$M$4:$M$303,MATCH(A137,Frozen_Predictions!$A$4:$A$303,0)))</x:f>
      </x:c>
      <x:c r="U137" t="str">
        <x:f>IF(J137="","",INDEX(Frozen_Predictions!$W$4:$W$303,MATCH(A137,Frozen_Predictions!$A$4:$A$303,0)))</x:f>
      </x:c>
      <x:c r="V137" t="str">
        <x:f>IF(J137="","",INDEX(Frozen_Predictions!$X$4:$X$303,MATCH(A137,Frozen_Predictions!$A$4:$A$303,0)))</x:f>
      </x:c>
      <x:c r="W137" t="str">
        <x:f>IF(A137="","",IF(COUNTIF($A$4:$A$303,A137)&lt;&gt;1,"ID DUPLICAT",IF(COUNTIF(Frozen_Predictions!$A$4:$A$303,A137)&lt;&gt;1,"ID INEXISTENT SAU DUPLICAT ÎN FROZEN",IF(COUNT(K137:L137)&lt;2,"COMPLETEAZĂ SCORUL","VERIFICAT"))))</x:f>
      </x:c>
    </x:row>
    <x:row r="138">
      <x:c r="A138" s="141"/>
      <x:c r="B138" t="str">
        <x:f>IF(OR(A138="",COUNTIF(Frozen_Predictions!$A$4:$A$303,A138)&lt;&gt;1),"",INDEX(Frozen_Predictions!$C$4:$C$303,MATCH(A138,Frozen_Predictions!$A$4:$A$303,0)))</x:f>
      </x:c>
      <x:c r="C138" t="str">
        <x:f>IF(OR(A138="",COUNTIF(Frozen_Predictions!$A$4:$A$303,A138)&lt;&gt;1),"",INDEX(Frozen_Predictions!$E$4:$E$303,MATCH(A138,Frozen_Predictions!$A$4:$A$303,0)))</x:f>
      </x:c>
      <x:c r="D138" t="str">
        <x:f>IF(OR(A138="",COUNTIF(Frozen_Predictions!$A$4:$A$303,A138)&lt;&gt;1),"",INDEX(Frozen_Predictions!$F$4:$F$303,MATCH(A138,Frozen_Predictions!$A$4:$A$303,0)))</x:f>
      </x:c>
      <x:c r="E138" t="str">
        <x:f>IF(OR(A138="",COUNTIF(Frozen_Predictions!$A$4:$A$303,A138)&lt;&gt;1),"",INDEX(Frozen_Predictions!$G$4:$G$303,MATCH(A138,Frozen_Predictions!$A$4:$A$303,0)))</x:f>
      </x:c>
      <x:c r="F138" t="str">
        <x:f>IF(OR(A138="",COUNTIF(Frozen_Predictions!$A$4:$A$303,A138)&lt;&gt;1),"",INDEX(Frozen_Predictions!$H$4:$H$303,MATCH(A138,Frozen_Predictions!$A$4:$A$303,0)))</x:f>
      </x:c>
      <x:c r="G138" t="str">
        <x:f>IF(OR(A138="",COUNTIF(Frozen_Predictions!$A$4:$A$303,A138)&lt;&gt;1),"",INDEX(Frozen_Predictions!$I$4:$I$303,MATCH(A138,Frozen_Predictions!$A$4:$A$303,0)))</x:f>
      </x:c>
      <x:c r="H138" t="str">
        <x:f>IF(OR(A138="",COUNTIF(Frozen_Predictions!$A$4:$A$303,A138)&lt;&gt;1),"",INDEX(Frozen_Predictions!$J$4:$J$303,MATCH(A138,Frozen_Predictions!$A$4:$A$303,0)))</x:f>
      </x:c>
      <x:c r="I138" t="str">
        <x:f>IF(OR(A138="",COUNTIF(Frozen_Predictions!$A$4:$A$303,A138)&lt;&gt;1),"",INDEX(Frozen_Predictions!$K$4:$K$303,MATCH(A138,Frozen_Predictions!$A$4:$A$303,0)))</x:f>
      </x:c>
      <x:c r="J138" s="142" t="str">
        <x:f>IF(OR(A138="",G138="",COUNT(K138:M138)&lt;3,COUNTIF($A$4:$A$303,A138)&lt;&gt;1),"",IF(IF(M138+F138&gt;0,"1",IF(M138+F138=0,"X","2"))=G138&amp;"",1,0))</x:f>
      </x:c>
      <x:c r="K138" s="143"/>
      <x:c r="L138" s="143"/>
      <x:c r="M138" s="142" t="str">
        <x:f>IF(AND(A138&lt;&gt;"",COUNT(K138:L138)=2),K138-L138,"")</x:f>
      </x:c>
      <x:c r="N138" s="142" t="str">
        <x:f>IF(J138="","",IF(M138+F138=0,"YES","NO"))</x:f>
      </x:c>
      <x:c r="O138" t="str">
        <x:f>IF(J138="","",IF(J138=1,"WIN",IF(N138="YES","Exact margin M="&amp;ABS(F138),"Direction / tail")))</x:f>
      </x:c>
      <x:c r="P138" s="141"/>
      <x:c r="Q138" s="141"/>
      <x:c r="R138" s="144" t="str">
        <x:f>IF(OR(I138="",J138=""),"",(I138-J138)^2)</x:f>
      </x:c>
      <x:c r="S138" s="144" t="str">
        <x:f>IF(OR(I138="",J138=""),"",-(J138*LN(MAX(MIN(I138,0.999999),0.000001))+(1-J138)*LN(MAX(MIN(1-I138,0.999999),0.000001))))</x:f>
      </x:c>
      <x:c r="T138" t="str">
        <x:f>IF(J138="","",INDEX(Frozen_Predictions!$M$4:$M$303,MATCH(A138,Frozen_Predictions!$A$4:$A$303,0)))</x:f>
      </x:c>
      <x:c r="U138" t="str">
        <x:f>IF(J138="","",INDEX(Frozen_Predictions!$W$4:$W$303,MATCH(A138,Frozen_Predictions!$A$4:$A$303,0)))</x:f>
      </x:c>
      <x:c r="V138" t="str">
        <x:f>IF(J138="","",INDEX(Frozen_Predictions!$X$4:$X$303,MATCH(A138,Frozen_Predictions!$A$4:$A$303,0)))</x:f>
      </x:c>
      <x:c r="W138" t="str">
        <x:f>IF(A138="","",IF(COUNTIF($A$4:$A$303,A138)&lt;&gt;1,"ID DUPLICAT",IF(COUNTIF(Frozen_Predictions!$A$4:$A$303,A138)&lt;&gt;1,"ID INEXISTENT SAU DUPLICAT ÎN FROZEN",IF(COUNT(K138:L138)&lt;2,"COMPLETEAZĂ SCORUL","VERIFICAT"))))</x:f>
      </x:c>
    </x:row>
    <x:row r="139">
      <x:c r="A139" s="141"/>
      <x:c r="B139" t="str">
        <x:f>IF(OR(A139="",COUNTIF(Frozen_Predictions!$A$4:$A$303,A139)&lt;&gt;1),"",INDEX(Frozen_Predictions!$C$4:$C$303,MATCH(A139,Frozen_Predictions!$A$4:$A$303,0)))</x:f>
      </x:c>
      <x:c r="C139" t="str">
        <x:f>IF(OR(A139="",COUNTIF(Frozen_Predictions!$A$4:$A$303,A139)&lt;&gt;1),"",INDEX(Frozen_Predictions!$E$4:$E$303,MATCH(A139,Frozen_Predictions!$A$4:$A$303,0)))</x:f>
      </x:c>
      <x:c r="D139" t="str">
        <x:f>IF(OR(A139="",COUNTIF(Frozen_Predictions!$A$4:$A$303,A139)&lt;&gt;1),"",INDEX(Frozen_Predictions!$F$4:$F$303,MATCH(A139,Frozen_Predictions!$A$4:$A$303,0)))</x:f>
      </x:c>
      <x:c r="E139" t="str">
        <x:f>IF(OR(A139="",COUNTIF(Frozen_Predictions!$A$4:$A$303,A139)&lt;&gt;1),"",INDEX(Frozen_Predictions!$G$4:$G$303,MATCH(A139,Frozen_Predictions!$A$4:$A$303,0)))</x:f>
      </x:c>
      <x:c r="F139" t="str">
        <x:f>IF(OR(A139="",COUNTIF(Frozen_Predictions!$A$4:$A$303,A139)&lt;&gt;1),"",INDEX(Frozen_Predictions!$H$4:$H$303,MATCH(A139,Frozen_Predictions!$A$4:$A$303,0)))</x:f>
      </x:c>
      <x:c r="G139" t="str">
        <x:f>IF(OR(A139="",COUNTIF(Frozen_Predictions!$A$4:$A$303,A139)&lt;&gt;1),"",INDEX(Frozen_Predictions!$I$4:$I$303,MATCH(A139,Frozen_Predictions!$A$4:$A$303,0)))</x:f>
      </x:c>
      <x:c r="H139" t="str">
        <x:f>IF(OR(A139="",COUNTIF(Frozen_Predictions!$A$4:$A$303,A139)&lt;&gt;1),"",INDEX(Frozen_Predictions!$J$4:$J$303,MATCH(A139,Frozen_Predictions!$A$4:$A$303,0)))</x:f>
      </x:c>
      <x:c r="I139" t="str">
        <x:f>IF(OR(A139="",COUNTIF(Frozen_Predictions!$A$4:$A$303,A139)&lt;&gt;1),"",INDEX(Frozen_Predictions!$K$4:$K$303,MATCH(A139,Frozen_Predictions!$A$4:$A$303,0)))</x:f>
      </x:c>
      <x:c r="J139" s="142" t="str">
        <x:f>IF(OR(A139="",G139="",COUNT(K139:M139)&lt;3,COUNTIF($A$4:$A$303,A139)&lt;&gt;1),"",IF(IF(M139+F139&gt;0,"1",IF(M139+F139=0,"X","2"))=G139&amp;"",1,0))</x:f>
      </x:c>
      <x:c r="K139" s="143"/>
      <x:c r="L139" s="143"/>
      <x:c r="M139" s="142" t="str">
        <x:f>IF(AND(A139&lt;&gt;"",COUNT(K139:L139)=2),K139-L139,"")</x:f>
      </x:c>
      <x:c r="N139" s="142" t="str">
        <x:f>IF(J139="","",IF(M139+F139=0,"YES","NO"))</x:f>
      </x:c>
      <x:c r="O139" t="str">
        <x:f>IF(J139="","",IF(J139=1,"WIN",IF(N139="YES","Exact margin M="&amp;ABS(F139),"Direction / tail")))</x:f>
      </x:c>
      <x:c r="P139" s="141"/>
      <x:c r="Q139" s="141"/>
      <x:c r="R139" s="144" t="str">
        <x:f>IF(OR(I139="",J139=""),"",(I139-J139)^2)</x:f>
      </x:c>
      <x:c r="S139" s="144" t="str">
        <x:f>IF(OR(I139="",J139=""),"",-(J139*LN(MAX(MIN(I139,0.999999),0.000001))+(1-J139)*LN(MAX(MIN(1-I139,0.999999),0.000001))))</x:f>
      </x:c>
      <x:c r="T139" t="str">
        <x:f>IF(J139="","",INDEX(Frozen_Predictions!$M$4:$M$303,MATCH(A139,Frozen_Predictions!$A$4:$A$303,0)))</x:f>
      </x:c>
      <x:c r="U139" t="str">
        <x:f>IF(J139="","",INDEX(Frozen_Predictions!$W$4:$W$303,MATCH(A139,Frozen_Predictions!$A$4:$A$303,0)))</x:f>
      </x:c>
      <x:c r="V139" t="str">
        <x:f>IF(J139="","",INDEX(Frozen_Predictions!$X$4:$X$303,MATCH(A139,Frozen_Predictions!$A$4:$A$303,0)))</x:f>
      </x:c>
      <x:c r="W139" t="str">
        <x:f>IF(A139="","",IF(COUNTIF($A$4:$A$303,A139)&lt;&gt;1,"ID DUPLICAT",IF(COUNTIF(Frozen_Predictions!$A$4:$A$303,A139)&lt;&gt;1,"ID INEXISTENT SAU DUPLICAT ÎN FROZEN",IF(COUNT(K139:L139)&lt;2,"COMPLETEAZĂ SCORUL","VERIFICAT"))))</x:f>
      </x:c>
    </x:row>
    <x:row r="140">
      <x:c r="A140" s="141"/>
      <x:c r="B140" t="str">
        <x:f>IF(OR(A140="",COUNTIF(Frozen_Predictions!$A$4:$A$303,A140)&lt;&gt;1),"",INDEX(Frozen_Predictions!$C$4:$C$303,MATCH(A140,Frozen_Predictions!$A$4:$A$303,0)))</x:f>
      </x:c>
      <x:c r="C140" t="str">
        <x:f>IF(OR(A140="",COUNTIF(Frozen_Predictions!$A$4:$A$303,A140)&lt;&gt;1),"",INDEX(Frozen_Predictions!$E$4:$E$303,MATCH(A140,Frozen_Predictions!$A$4:$A$303,0)))</x:f>
      </x:c>
      <x:c r="D140" t="str">
        <x:f>IF(OR(A140="",COUNTIF(Frozen_Predictions!$A$4:$A$303,A140)&lt;&gt;1),"",INDEX(Frozen_Predictions!$F$4:$F$303,MATCH(A140,Frozen_Predictions!$A$4:$A$303,0)))</x:f>
      </x:c>
      <x:c r="E140" t="str">
        <x:f>IF(OR(A140="",COUNTIF(Frozen_Predictions!$A$4:$A$303,A140)&lt;&gt;1),"",INDEX(Frozen_Predictions!$G$4:$G$303,MATCH(A140,Frozen_Predictions!$A$4:$A$303,0)))</x:f>
      </x:c>
      <x:c r="F140" t="str">
        <x:f>IF(OR(A140="",COUNTIF(Frozen_Predictions!$A$4:$A$303,A140)&lt;&gt;1),"",INDEX(Frozen_Predictions!$H$4:$H$303,MATCH(A140,Frozen_Predictions!$A$4:$A$303,0)))</x:f>
      </x:c>
      <x:c r="G140" t="str">
        <x:f>IF(OR(A140="",COUNTIF(Frozen_Predictions!$A$4:$A$303,A140)&lt;&gt;1),"",INDEX(Frozen_Predictions!$I$4:$I$303,MATCH(A140,Frozen_Predictions!$A$4:$A$303,0)))</x:f>
      </x:c>
      <x:c r="H140" t="str">
        <x:f>IF(OR(A140="",COUNTIF(Frozen_Predictions!$A$4:$A$303,A140)&lt;&gt;1),"",INDEX(Frozen_Predictions!$J$4:$J$303,MATCH(A140,Frozen_Predictions!$A$4:$A$303,0)))</x:f>
      </x:c>
      <x:c r="I140" t="str">
        <x:f>IF(OR(A140="",COUNTIF(Frozen_Predictions!$A$4:$A$303,A140)&lt;&gt;1),"",INDEX(Frozen_Predictions!$K$4:$K$303,MATCH(A140,Frozen_Predictions!$A$4:$A$303,0)))</x:f>
      </x:c>
      <x:c r="J140" s="142" t="str">
        <x:f>IF(OR(A140="",G140="",COUNT(K140:M140)&lt;3,COUNTIF($A$4:$A$303,A140)&lt;&gt;1),"",IF(IF(M140+F140&gt;0,"1",IF(M140+F140=0,"X","2"))=G140&amp;"",1,0))</x:f>
      </x:c>
      <x:c r="K140" s="143"/>
      <x:c r="L140" s="143"/>
      <x:c r="M140" s="142" t="str">
        <x:f>IF(AND(A140&lt;&gt;"",COUNT(K140:L140)=2),K140-L140,"")</x:f>
      </x:c>
      <x:c r="N140" s="142" t="str">
        <x:f>IF(J140="","",IF(M140+F140=0,"YES","NO"))</x:f>
      </x:c>
      <x:c r="O140" t="str">
        <x:f>IF(J140="","",IF(J140=1,"WIN",IF(N140="YES","Exact margin M="&amp;ABS(F140),"Direction / tail")))</x:f>
      </x:c>
      <x:c r="P140" s="141"/>
      <x:c r="Q140" s="141"/>
      <x:c r="R140" s="144" t="str">
        <x:f>IF(OR(I140="",J140=""),"",(I140-J140)^2)</x:f>
      </x:c>
      <x:c r="S140" s="144" t="str">
        <x:f>IF(OR(I140="",J140=""),"",-(J140*LN(MAX(MIN(I140,0.999999),0.000001))+(1-J140)*LN(MAX(MIN(1-I140,0.999999),0.000001))))</x:f>
      </x:c>
      <x:c r="T140" t="str">
        <x:f>IF(J140="","",INDEX(Frozen_Predictions!$M$4:$M$303,MATCH(A140,Frozen_Predictions!$A$4:$A$303,0)))</x:f>
      </x:c>
      <x:c r="U140" t="str">
        <x:f>IF(J140="","",INDEX(Frozen_Predictions!$W$4:$W$303,MATCH(A140,Frozen_Predictions!$A$4:$A$303,0)))</x:f>
      </x:c>
      <x:c r="V140" t="str">
        <x:f>IF(J140="","",INDEX(Frozen_Predictions!$X$4:$X$303,MATCH(A140,Frozen_Predictions!$A$4:$A$303,0)))</x:f>
      </x:c>
      <x:c r="W140" t="str">
        <x:f>IF(A140="","",IF(COUNTIF($A$4:$A$303,A140)&lt;&gt;1,"ID DUPLICAT",IF(COUNTIF(Frozen_Predictions!$A$4:$A$303,A140)&lt;&gt;1,"ID INEXISTENT SAU DUPLICAT ÎN FROZEN",IF(COUNT(K140:L140)&lt;2,"COMPLETEAZĂ SCORUL","VERIFICAT"))))</x:f>
      </x:c>
    </x:row>
    <x:row r="141">
      <x:c r="A141" s="141"/>
      <x:c r="B141" t="str">
        <x:f>IF(OR(A141="",COUNTIF(Frozen_Predictions!$A$4:$A$303,A141)&lt;&gt;1),"",INDEX(Frozen_Predictions!$C$4:$C$303,MATCH(A141,Frozen_Predictions!$A$4:$A$303,0)))</x:f>
      </x:c>
      <x:c r="C141" t="str">
        <x:f>IF(OR(A141="",COUNTIF(Frozen_Predictions!$A$4:$A$303,A141)&lt;&gt;1),"",INDEX(Frozen_Predictions!$E$4:$E$303,MATCH(A141,Frozen_Predictions!$A$4:$A$303,0)))</x:f>
      </x:c>
      <x:c r="D141" t="str">
        <x:f>IF(OR(A141="",COUNTIF(Frozen_Predictions!$A$4:$A$303,A141)&lt;&gt;1),"",INDEX(Frozen_Predictions!$F$4:$F$303,MATCH(A141,Frozen_Predictions!$A$4:$A$303,0)))</x:f>
      </x:c>
      <x:c r="E141" t="str">
        <x:f>IF(OR(A141="",COUNTIF(Frozen_Predictions!$A$4:$A$303,A141)&lt;&gt;1),"",INDEX(Frozen_Predictions!$G$4:$G$303,MATCH(A141,Frozen_Predictions!$A$4:$A$303,0)))</x:f>
      </x:c>
      <x:c r="F141" t="str">
        <x:f>IF(OR(A141="",COUNTIF(Frozen_Predictions!$A$4:$A$303,A141)&lt;&gt;1),"",INDEX(Frozen_Predictions!$H$4:$H$303,MATCH(A141,Frozen_Predictions!$A$4:$A$303,0)))</x:f>
      </x:c>
      <x:c r="G141" t="str">
        <x:f>IF(OR(A141="",COUNTIF(Frozen_Predictions!$A$4:$A$303,A141)&lt;&gt;1),"",INDEX(Frozen_Predictions!$I$4:$I$303,MATCH(A141,Frozen_Predictions!$A$4:$A$303,0)))</x:f>
      </x:c>
      <x:c r="H141" t="str">
        <x:f>IF(OR(A141="",COUNTIF(Frozen_Predictions!$A$4:$A$303,A141)&lt;&gt;1),"",INDEX(Frozen_Predictions!$J$4:$J$303,MATCH(A141,Frozen_Predictions!$A$4:$A$303,0)))</x:f>
      </x:c>
      <x:c r="I141" t="str">
        <x:f>IF(OR(A141="",COUNTIF(Frozen_Predictions!$A$4:$A$303,A141)&lt;&gt;1),"",INDEX(Frozen_Predictions!$K$4:$K$303,MATCH(A141,Frozen_Predictions!$A$4:$A$303,0)))</x:f>
      </x:c>
      <x:c r="J141" s="142" t="str">
        <x:f>IF(OR(A141="",G141="",COUNT(K141:M141)&lt;3,COUNTIF($A$4:$A$303,A141)&lt;&gt;1),"",IF(IF(M141+F141&gt;0,"1",IF(M141+F141=0,"X","2"))=G141&amp;"",1,0))</x:f>
      </x:c>
      <x:c r="K141" s="143"/>
      <x:c r="L141" s="143"/>
      <x:c r="M141" s="142" t="str">
        <x:f>IF(AND(A141&lt;&gt;"",COUNT(K141:L141)=2),K141-L141,"")</x:f>
      </x:c>
      <x:c r="N141" s="142" t="str">
        <x:f>IF(J141="","",IF(M141+F141=0,"YES","NO"))</x:f>
      </x:c>
      <x:c r="O141" t="str">
        <x:f>IF(J141="","",IF(J141=1,"WIN",IF(N141="YES","Exact margin M="&amp;ABS(F141),"Direction / tail")))</x:f>
      </x:c>
      <x:c r="P141" s="141"/>
      <x:c r="Q141" s="141"/>
      <x:c r="R141" s="144" t="str">
        <x:f>IF(OR(I141="",J141=""),"",(I141-J141)^2)</x:f>
      </x:c>
      <x:c r="S141" s="144" t="str">
        <x:f>IF(OR(I141="",J141=""),"",-(J141*LN(MAX(MIN(I141,0.999999),0.000001))+(1-J141)*LN(MAX(MIN(1-I141,0.999999),0.000001))))</x:f>
      </x:c>
      <x:c r="T141" t="str">
        <x:f>IF(J141="","",INDEX(Frozen_Predictions!$M$4:$M$303,MATCH(A141,Frozen_Predictions!$A$4:$A$303,0)))</x:f>
      </x:c>
      <x:c r="U141" t="str">
        <x:f>IF(J141="","",INDEX(Frozen_Predictions!$W$4:$W$303,MATCH(A141,Frozen_Predictions!$A$4:$A$303,0)))</x:f>
      </x:c>
      <x:c r="V141" t="str">
        <x:f>IF(J141="","",INDEX(Frozen_Predictions!$X$4:$X$303,MATCH(A141,Frozen_Predictions!$A$4:$A$303,0)))</x:f>
      </x:c>
      <x:c r="W141" t="str">
        <x:f>IF(A141="","",IF(COUNTIF($A$4:$A$303,A141)&lt;&gt;1,"ID DUPLICAT",IF(COUNTIF(Frozen_Predictions!$A$4:$A$303,A141)&lt;&gt;1,"ID INEXISTENT SAU DUPLICAT ÎN FROZEN",IF(COUNT(K141:L141)&lt;2,"COMPLETEAZĂ SCORUL","VERIFICAT"))))</x:f>
      </x:c>
    </x:row>
    <x:row r="142">
      <x:c r="A142" s="141"/>
      <x:c r="B142" t="str">
        <x:f>IF(OR(A142="",COUNTIF(Frozen_Predictions!$A$4:$A$303,A142)&lt;&gt;1),"",INDEX(Frozen_Predictions!$C$4:$C$303,MATCH(A142,Frozen_Predictions!$A$4:$A$303,0)))</x:f>
      </x:c>
      <x:c r="C142" t="str">
        <x:f>IF(OR(A142="",COUNTIF(Frozen_Predictions!$A$4:$A$303,A142)&lt;&gt;1),"",INDEX(Frozen_Predictions!$E$4:$E$303,MATCH(A142,Frozen_Predictions!$A$4:$A$303,0)))</x:f>
      </x:c>
      <x:c r="D142" t="str">
        <x:f>IF(OR(A142="",COUNTIF(Frozen_Predictions!$A$4:$A$303,A142)&lt;&gt;1),"",INDEX(Frozen_Predictions!$F$4:$F$303,MATCH(A142,Frozen_Predictions!$A$4:$A$303,0)))</x:f>
      </x:c>
      <x:c r="E142" t="str">
        <x:f>IF(OR(A142="",COUNTIF(Frozen_Predictions!$A$4:$A$303,A142)&lt;&gt;1),"",INDEX(Frozen_Predictions!$G$4:$G$303,MATCH(A142,Frozen_Predictions!$A$4:$A$303,0)))</x:f>
      </x:c>
      <x:c r="F142" t="str">
        <x:f>IF(OR(A142="",COUNTIF(Frozen_Predictions!$A$4:$A$303,A142)&lt;&gt;1),"",INDEX(Frozen_Predictions!$H$4:$H$303,MATCH(A142,Frozen_Predictions!$A$4:$A$303,0)))</x:f>
      </x:c>
      <x:c r="G142" t="str">
        <x:f>IF(OR(A142="",COUNTIF(Frozen_Predictions!$A$4:$A$303,A142)&lt;&gt;1),"",INDEX(Frozen_Predictions!$I$4:$I$303,MATCH(A142,Frozen_Predictions!$A$4:$A$303,0)))</x:f>
      </x:c>
      <x:c r="H142" t="str">
        <x:f>IF(OR(A142="",COUNTIF(Frozen_Predictions!$A$4:$A$303,A142)&lt;&gt;1),"",INDEX(Frozen_Predictions!$J$4:$J$303,MATCH(A142,Frozen_Predictions!$A$4:$A$303,0)))</x:f>
      </x:c>
      <x:c r="I142" t="str">
        <x:f>IF(OR(A142="",COUNTIF(Frozen_Predictions!$A$4:$A$303,A142)&lt;&gt;1),"",INDEX(Frozen_Predictions!$K$4:$K$303,MATCH(A142,Frozen_Predictions!$A$4:$A$303,0)))</x:f>
      </x:c>
      <x:c r="J142" s="142" t="str">
        <x:f>IF(OR(A142="",G142="",COUNT(K142:M142)&lt;3,COUNTIF($A$4:$A$303,A142)&lt;&gt;1),"",IF(IF(M142+F142&gt;0,"1",IF(M142+F142=0,"X","2"))=G142&amp;"",1,0))</x:f>
      </x:c>
      <x:c r="K142" s="143"/>
      <x:c r="L142" s="143"/>
      <x:c r="M142" s="142" t="str">
        <x:f>IF(AND(A142&lt;&gt;"",COUNT(K142:L142)=2),K142-L142,"")</x:f>
      </x:c>
      <x:c r="N142" s="142" t="str">
        <x:f>IF(J142="","",IF(M142+F142=0,"YES","NO"))</x:f>
      </x:c>
      <x:c r="O142" t="str">
        <x:f>IF(J142="","",IF(J142=1,"WIN",IF(N142="YES","Exact margin M="&amp;ABS(F142),"Direction / tail")))</x:f>
      </x:c>
      <x:c r="P142" s="141"/>
      <x:c r="Q142" s="141"/>
      <x:c r="R142" s="144" t="str">
        <x:f>IF(OR(I142="",J142=""),"",(I142-J142)^2)</x:f>
      </x:c>
      <x:c r="S142" s="144" t="str">
        <x:f>IF(OR(I142="",J142=""),"",-(J142*LN(MAX(MIN(I142,0.999999),0.000001))+(1-J142)*LN(MAX(MIN(1-I142,0.999999),0.000001))))</x:f>
      </x:c>
      <x:c r="T142" t="str">
        <x:f>IF(J142="","",INDEX(Frozen_Predictions!$M$4:$M$303,MATCH(A142,Frozen_Predictions!$A$4:$A$303,0)))</x:f>
      </x:c>
      <x:c r="U142" t="str">
        <x:f>IF(J142="","",INDEX(Frozen_Predictions!$W$4:$W$303,MATCH(A142,Frozen_Predictions!$A$4:$A$303,0)))</x:f>
      </x:c>
      <x:c r="V142" t="str">
        <x:f>IF(J142="","",INDEX(Frozen_Predictions!$X$4:$X$303,MATCH(A142,Frozen_Predictions!$A$4:$A$303,0)))</x:f>
      </x:c>
      <x:c r="W142" t="str">
        <x:f>IF(A142="","",IF(COUNTIF($A$4:$A$303,A142)&lt;&gt;1,"ID DUPLICAT",IF(COUNTIF(Frozen_Predictions!$A$4:$A$303,A142)&lt;&gt;1,"ID INEXISTENT SAU DUPLICAT ÎN FROZEN",IF(COUNT(K142:L142)&lt;2,"COMPLETEAZĂ SCORUL","VERIFICAT"))))</x:f>
      </x:c>
    </x:row>
    <x:row r="143">
      <x:c r="A143" s="141"/>
      <x:c r="B143" t="str">
        <x:f>IF(OR(A143="",COUNTIF(Frozen_Predictions!$A$4:$A$303,A143)&lt;&gt;1),"",INDEX(Frozen_Predictions!$C$4:$C$303,MATCH(A143,Frozen_Predictions!$A$4:$A$303,0)))</x:f>
      </x:c>
      <x:c r="C143" t="str">
        <x:f>IF(OR(A143="",COUNTIF(Frozen_Predictions!$A$4:$A$303,A143)&lt;&gt;1),"",INDEX(Frozen_Predictions!$E$4:$E$303,MATCH(A143,Frozen_Predictions!$A$4:$A$303,0)))</x:f>
      </x:c>
      <x:c r="D143" t="str">
        <x:f>IF(OR(A143="",COUNTIF(Frozen_Predictions!$A$4:$A$303,A143)&lt;&gt;1),"",INDEX(Frozen_Predictions!$F$4:$F$303,MATCH(A143,Frozen_Predictions!$A$4:$A$303,0)))</x:f>
      </x:c>
      <x:c r="E143" t="str">
        <x:f>IF(OR(A143="",COUNTIF(Frozen_Predictions!$A$4:$A$303,A143)&lt;&gt;1),"",INDEX(Frozen_Predictions!$G$4:$G$303,MATCH(A143,Frozen_Predictions!$A$4:$A$303,0)))</x:f>
      </x:c>
      <x:c r="F143" t="str">
        <x:f>IF(OR(A143="",COUNTIF(Frozen_Predictions!$A$4:$A$303,A143)&lt;&gt;1),"",INDEX(Frozen_Predictions!$H$4:$H$303,MATCH(A143,Frozen_Predictions!$A$4:$A$303,0)))</x:f>
      </x:c>
      <x:c r="G143" t="str">
        <x:f>IF(OR(A143="",COUNTIF(Frozen_Predictions!$A$4:$A$303,A143)&lt;&gt;1),"",INDEX(Frozen_Predictions!$I$4:$I$303,MATCH(A143,Frozen_Predictions!$A$4:$A$303,0)))</x:f>
      </x:c>
      <x:c r="H143" t="str">
        <x:f>IF(OR(A143="",COUNTIF(Frozen_Predictions!$A$4:$A$303,A143)&lt;&gt;1),"",INDEX(Frozen_Predictions!$J$4:$J$303,MATCH(A143,Frozen_Predictions!$A$4:$A$303,0)))</x:f>
      </x:c>
      <x:c r="I143" t="str">
        <x:f>IF(OR(A143="",COUNTIF(Frozen_Predictions!$A$4:$A$303,A143)&lt;&gt;1),"",INDEX(Frozen_Predictions!$K$4:$K$303,MATCH(A143,Frozen_Predictions!$A$4:$A$303,0)))</x:f>
      </x:c>
      <x:c r="J143" s="142" t="str">
        <x:f>IF(OR(A143="",G143="",COUNT(K143:M143)&lt;3,COUNTIF($A$4:$A$303,A143)&lt;&gt;1),"",IF(IF(M143+F143&gt;0,"1",IF(M143+F143=0,"X","2"))=G143&amp;"",1,0))</x:f>
      </x:c>
      <x:c r="K143" s="143"/>
      <x:c r="L143" s="143"/>
      <x:c r="M143" s="142" t="str">
        <x:f>IF(AND(A143&lt;&gt;"",COUNT(K143:L143)=2),K143-L143,"")</x:f>
      </x:c>
      <x:c r="N143" s="142" t="str">
        <x:f>IF(J143="","",IF(M143+F143=0,"YES","NO"))</x:f>
      </x:c>
      <x:c r="O143" t="str">
        <x:f>IF(J143="","",IF(J143=1,"WIN",IF(N143="YES","Exact margin M="&amp;ABS(F143),"Direction / tail")))</x:f>
      </x:c>
      <x:c r="P143" s="141"/>
      <x:c r="Q143" s="141"/>
      <x:c r="R143" s="144" t="str">
        <x:f>IF(OR(I143="",J143=""),"",(I143-J143)^2)</x:f>
      </x:c>
      <x:c r="S143" s="144" t="str">
        <x:f>IF(OR(I143="",J143=""),"",-(J143*LN(MAX(MIN(I143,0.999999),0.000001))+(1-J143)*LN(MAX(MIN(1-I143,0.999999),0.000001))))</x:f>
      </x:c>
      <x:c r="T143" t="str">
        <x:f>IF(J143="","",INDEX(Frozen_Predictions!$M$4:$M$303,MATCH(A143,Frozen_Predictions!$A$4:$A$303,0)))</x:f>
      </x:c>
      <x:c r="U143" t="str">
        <x:f>IF(J143="","",INDEX(Frozen_Predictions!$W$4:$W$303,MATCH(A143,Frozen_Predictions!$A$4:$A$303,0)))</x:f>
      </x:c>
      <x:c r="V143" t="str">
        <x:f>IF(J143="","",INDEX(Frozen_Predictions!$X$4:$X$303,MATCH(A143,Frozen_Predictions!$A$4:$A$303,0)))</x:f>
      </x:c>
      <x:c r="W143" t="str">
        <x:f>IF(A143="","",IF(COUNTIF($A$4:$A$303,A143)&lt;&gt;1,"ID DUPLICAT",IF(COUNTIF(Frozen_Predictions!$A$4:$A$303,A143)&lt;&gt;1,"ID INEXISTENT SAU DUPLICAT ÎN FROZEN",IF(COUNT(K143:L143)&lt;2,"COMPLETEAZĂ SCORUL","VERIFICAT"))))</x:f>
      </x:c>
    </x:row>
    <x:row r="144">
      <x:c r="A144" s="141"/>
      <x:c r="B144" t="str">
        <x:f>IF(OR(A144="",COUNTIF(Frozen_Predictions!$A$4:$A$303,A144)&lt;&gt;1),"",INDEX(Frozen_Predictions!$C$4:$C$303,MATCH(A144,Frozen_Predictions!$A$4:$A$303,0)))</x:f>
      </x:c>
      <x:c r="C144" t="str">
        <x:f>IF(OR(A144="",COUNTIF(Frozen_Predictions!$A$4:$A$303,A144)&lt;&gt;1),"",INDEX(Frozen_Predictions!$E$4:$E$303,MATCH(A144,Frozen_Predictions!$A$4:$A$303,0)))</x:f>
      </x:c>
      <x:c r="D144" t="str">
        <x:f>IF(OR(A144="",COUNTIF(Frozen_Predictions!$A$4:$A$303,A144)&lt;&gt;1),"",INDEX(Frozen_Predictions!$F$4:$F$303,MATCH(A144,Frozen_Predictions!$A$4:$A$303,0)))</x:f>
      </x:c>
      <x:c r="E144" t="str">
        <x:f>IF(OR(A144="",COUNTIF(Frozen_Predictions!$A$4:$A$303,A144)&lt;&gt;1),"",INDEX(Frozen_Predictions!$G$4:$G$303,MATCH(A144,Frozen_Predictions!$A$4:$A$303,0)))</x:f>
      </x:c>
      <x:c r="F144" t="str">
        <x:f>IF(OR(A144="",COUNTIF(Frozen_Predictions!$A$4:$A$303,A144)&lt;&gt;1),"",INDEX(Frozen_Predictions!$H$4:$H$303,MATCH(A144,Frozen_Predictions!$A$4:$A$303,0)))</x:f>
      </x:c>
      <x:c r="G144" t="str">
        <x:f>IF(OR(A144="",COUNTIF(Frozen_Predictions!$A$4:$A$303,A144)&lt;&gt;1),"",INDEX(Frozen_Predictions!$I$4:$I$303,MATCH(A144,Frozen_Predictions!$A$4:$A$303,0)))</x:f>
      </x:c>
      <x:c r="H144" t="str">
        <x:f>IF(OR(A144="",COUNTIF(Frozen_Predictions!$A$4:$A$303,A144)&lt;&gt;1),"",INDEX(Frozen_Predictions!$J$4:$J$303,MATCH(A144,Frozen_Predictions!$A$4:$A$303,0)))</x:f>
      </x:c>
      <x:c r="I144" t="str">
        <x:f>IF(OR(A144="",COUNTIF(Frozen_Predictions!$A$4:$A$303,A144)&lt;&gt;1),"",INDEX(Frozen_Predictions!$K$4:$K$303,MATCH(A144,Frozen_Predictions!$A$4:$A$303,0)))</x:f>
      </x:c>
      <x:c r="J144" s="142" t="str">
        <x:f>IF(OR(A144="",G144="",COUNT(K144:M144)&lt;3,COUNTIF($A$4:$A$303,A144)&lt;&gt;1),"",IF(IF(M144+F144&gt;0,"1",IF(M144+F144=0,"X","2"))=G144&amp;"",1,0))</x:f>
      </x:c>
      <x:c r="K144" s="143"/>
      <x:c r="L144" s="143"/>
      <x:c r="M144" s="142" t="str">
        <x:f>IF(AND(A144&lt;&gt;"",COUNT(K144:L144)=2),K144-L144,"")</x:f>
      </x:c>
      <x:c r="N144" s="142" t="str">
        <x:f>IF(J144="","",IF(M144+F144=0,"YES","NO"))</x:f>
      </x:c>
      <x:c r="O144" t="str">
        <x:f>IF(J144="","",IF(J144=1,"WIN",IF(N144="YES","Exact margin M="&amp;ABS(F144),"Direction / tail")))</x:f>
      </x:c>
      <x:c r="P144" s="141"/>
      <x:c r="Q144" s="141"/>
      <x:c r="R144" s="144" t="str">
        <x:f>IF(OR(I144="",J144=""),"",(I144-J144)^2)</x:f>
      </x:c>
      <x:c r="S144" s="144" t="str">
        <x:f>IF(OR(I144="",J144=""),"",-(J144*LN(MAX(MIN(I144,0.999999),0.000001))+(1-J144)*LN(MAX(MIN(1-I144,0.999999),0.000001))))</x:f>
      </x:c>
      <x:c r="T144" t="str">
        <x:f>IF(J144="","",INDEX(Frozen_Predictions!$M$4:$M$303,MATCH(A144,Frozen_Predictions!$A$4:$A$303,0)))</x:f>
      </x:c>
      <x:c r="U144" t="str">
        <x:f>IF(J144="","",INDEX(Frozen_Predictions!$W$4:$W$303,MATCH(A144,Frozen_Predictions!$A$4:$A$303,0)))</x:f>
      </x:c>
      <x:c r="V144" t="str">
        <x:f>IF(J144="","",INDEX(Frozen_Predictions!$X$4:$X$303,MATCH(A144,Frozen_Predictions!$A$4:$A$303,0)))</x:f>
      </x:c>
      <x:c r="W144" t="str">
        <x:f>IF(A144="","",IF(COUNTIF($A$4:$A$303,A144)&lt;&gt;1,"ID DUPLICAT",IF(COUNTIF(Frozen_Predictions!$A$4:$A$303,A144)&lt;&gt;1,"ID INEXISTENT SAU DUPLICAT ÎN FROZEN",IF(COUNT(K144:L144)&lt;2,"COMPLETEAZĂ SCORUL","VERIFICAT"))))</x:f>
      </x:c>
    </x:row>
    <x:row r="145">
      <x:c r="A145" s="141"/>
      <x:c r="B145" t="str">
        <x:f>IF(OR(A145="",COUNTIF(Frozen_Predictions!$A$4:$A$303,A145)&lt;&gt;1),"",INDEX(Frozen_Predictions!$C$4:$C$303,MATCH(A145,Frozen_Predictions!$A$4:$A$303,0)))</x:f>
      </x:c>
      <x:c r="C145" t="str">
        <x:f>IF(OR(A145="",COUNTIF(Frozen_Predictions!$A$4:$A$303,A145)&lt;&gt;1),"",INDEX(Frozen_Predictions!$E$4:$E$303,MATCH(A145,Frozen_Predictions!$A$4:$A$303,0)))</x:f>
      </x:c>
      <x:c r="D145" t="str">
        <x:f>IF(OR(A145="",COUNTIF(Frozen_Predictions!$A$4:$A$303,A145)&lt;&gt;1),"",INDEX(Frozen_Predictions!$F$4:$F$303,MATCH(A145,Frozen_Predictions!$A$4:$A$303,0)))</x:f>
      </x:c>
      <x:c r="E145" t="str">
        <x:f>IF(OR(A145="",COUNTIF(Frozen_Predictions!$A$4:$A$303,A145)&lt;&gt;1),"",INDEX(Frozen_Predictions!$G$4:$G$303,MATCH(A145,Frozen_Predictions!$A$4:$A$303,0)))</x:f>
      </x:c>
      <x:c r="F145" t="str">
        <x:f>IF(OR(A145="",COUNTIF(Frozen_Predictions!$A$4:$A$303,A145)&lt;&gt;1),"",INDEX(Frozen_Predictions!$H$4:$H$303,MATCH(A145,Frozen_Predictions!$A$4:$A$303,0)))</x:f>
      </x:c>
      <x:c r="G145" t="str">
        <x:f>IF(OR(A145="",COUNTIF(Frozen_Predictions!$A$4:$A$303,A145)&lt;&gt;1),"",INDEX(Frozen_Predictions!$I$4:$I$303,MATCH(A145,Frozen_Predictions!$A$4:$A$303,0)))</x:f>
      </x:c>
      <x:c r="H145" t="str">
        <x:f>IF(OR(A145="",COUNTIF(Frozen_Predictions!$A$4:$A$303,A145)&lt;&gt;1),"",INDEX(Frozen_Predictions!$J$4:$J$303,MATCH(A145,Frozen_Predictions!$A$4:$A$303,0)))</x:f>
      </x:c>
      <x:c r="I145" t="str">
        <x:f>IF(OR(A145="",COUNTIF(Frozen_Predictions!$A$4:$A$303,A145)&lt;&gt;1),"",INDEX(Frozen_Predictions!$K$4:$K$303,MATCH(A145,Frozen_Predictions!$A$4:$A$303,0)))</x:f>
      </x:c>
      <x:c r="J145" s="142" t="str">
        <x:f>IF(OR(A145="",G145="",COUNT(K145:M145)&lt;3,COUNTIF($A$4:$A$303,A145)&lt;&gt;1),"",IF(IF(M145+F145&gt;0,"1",IF(M145+F145=0,"X","2"))=G145&amp;"",1,0))</x:f>
      </x:c>
      <x:c r="K145" s="143"/>
      <x:c r="L145" s="143"/>
      <x:c r="M145" s="142" t="str">
        <x:f>IF(AND(A145&lt;&gt;"",COUNT(K145:L145)=2),K145-L145,"")</x:f>
      </x:c>
      <x:c r="N145" s="142" t="str">
        <x:f>IF(J145="","",IF(M145+F145=0,"YES","NO"))</x:f>
      </x:c>
      <x:c r="O145" t="str">
        <x:f>IF(J145="","",IF(J145=1,"WIN",IF(N145="YES","Exact margin M="&amp;ABS(F145),"Direction / tail")))</x:f>
      </x:c>
      <x:c r="P145" s="141"/>
      <x:c r="Q145" s="141"/>
      <x:c r="R145" s="144" t="str">
        <x:f>IF(OR(I145="",J145=""),"",(I145-J145)^2)</x:f>
      </x:c>
      <x:c r="S145" s="144" t="str">
        <x:f>IF(OR(I145="",J145=""),"",-(J145*LN(MAX(MIN(I145,0.999999),0.000001))+(1-J145)*LN(MAX(MIN(1-I145,0.999999),0.000001))))</x:f>
      </x:c>
      <x:c r="T145" t="str">
        <x:f>IF(J145="","",INDEX(Frozen_Predictions!$M$4:$M$303,MATCH(A145,Frozen_Predictions!$A$4:$A$303,0)))</x:f>
      </x:c>
      <x:c r="U145" t="str">
        <x:f>IF(J145="","",INDEX(Frozen_Predictions!$W$4:$W$303,MATCH(A145,Frozen_Predictions!$A$4:$A$303,0)))</x:f>
      </x:c>
      <x:c r="V145" t="str">
        <x:f>IF(J145="","",INDEX(Frozen_Predictions!$X$4:$X$303,MATCH(A145,Frozen_Predictions!$A$4:$A$303,0)))</x:f>
      </x:c>
      <x:c r="W145" t="str">
        <x:f>IF(A145="","",IF(COUNTIF($A$4:$A$303,A145)&lt;&gt;1,"ID DUPLICAT",IF(COUNTIF(Frozen_Predictions!$A$4:$A$303,A145)&lt;&gt;1,"ID INEXISTENT SAU DUPLICAT ÎN FROZEN",IF(COUNT(K145:L145)&lt;2,"COMPLETEAZĂ SCORUL","VERIFICAT"))))</x:f>
      </x:c>
    </x:row>
    <x:row r="146">
      <x:c r="A146" s="141"/>
      <x:c r="B146" t="str">
        <x:f>IF(OR(A146="",COUNTIF(Frozen_Predictions!$A$4:$A$303,A146)&lt;&gt;1),"",INDEX(Frozen_Predictions!$C$4:$C$303,MATCH(A146,Frozen_Predictions!$A$4:$A$303,0)))</x:f>
      </x:c>
      <x:c r="C146" t="str">
        <x:f>IF(OR(A146="",COUNTIF(Frozen_Predictions!$A$4:$A$303,A146)&lt;&gt;1),"",INDEX(Frozen_Predictions!$E$4:$E$303,MATCH(A146,Frozen_Predictions!$A$4:$A$303,0)))</x:f>
      </x:c>
      <x:c r="D146" t="str">
        <x:f>IF(OR(A146="",COUNTIF(Frozen_Predictions!$A$4:$A$303,A146)&lt;&gt;1),"",INDEX(Frozen_Predictions!$F$4:$F$303,MATCH(A146,Frozen_Predictions!$A$4:$A$303,0)))</x:f>
      </x:c>
      <x:c r="E146" t="str">
        <x:f>IF(OR(A146="",COUNTIF(Frozen_Predictions!$A$4:$A$303,A146)&lt;&gt;1),"",INDEX(Frozen_Predictions!$G$4:$G$303,MATCH(A146,Frozen_Predictions!$A$4:$A$303,0)))</x:f>
      </x:c>
      <x:c r="F146" t="str">
        <x:f>IF(OR(A146="",COUNTIF(Frozen_Predictions!$A$4:$A$303,A146)&lt;&gt;1),"",INDEX(Frozen_Predictions!$H$4:$H$303,MATCH(A146,Frozen_Predictions!$A$4:$A$303,0)))</x:f>
      </x:c>
      <x:c r="G146" t="str">
        <x:f>IF(OR(A146="",COUNTIF(Frozen_Predictions!$A$4:$A$303,A146)&lt;&gt;1),"",INDEX(Frozen_Predictions!$I$4:$I$303,MATCH(A146,Frozen_Predictions!$A$4:$A$303,0)))</x:f>
      </x:c>
      <x:c r="H146" t="str">
        <x:f>IF(OR(A146="",COUNTIF(Frozen_Predictions!$A$4:$A$303,A146)&lt;&gt;1),"",INDEX(Frozen_Predictions!$J$4:$J$303,MATCH(A146,Frozen_Predictions!$A$4:$A$303,0)))</x:f>
      </x:c>
      <x:c r="I146" t="str">
        <x:f>IF(OR(A146="",COUNTIF(Frozen_Predictions!$A$4:$A$303,A146)&lt;&gt;1),"",INDEX(Frozen_Predictions!$K$4:$K$303,MATCH(A146,Frozen_Predictions!$A$4:$A$303,0)))</x:f>
      </x:c>
      <x:c r="J146" s="142" t="str">
        <x:f>IF(OR(A146="",G146="",COUNT(K146:M146)&lt;3,COUNTIF($A$4:$A$303,A146)&lt;&gt;1),"",IF(IF(M146+F146&gt;0,"1",IF(M146+F146=0,"X","2"))=G146&amp;"",1,0))</x:f>
      </x:c>
      <x:c r="K146" s="143"/>
      <x:c r="L146" s="143"/>
      <x:c r="M146" s="142" t="str">
        <x:f>IF(AND(A146&lt;&gt;"",COUNT(K146:L146)=2),K146-L146,"")</x:f>
      </x:c>
      <x:c r="N146" s="142" t="str">
        <x:f>IF(J146="","",IF(M146+F146=0,"YES","NO"))</x:f>
      </x:c>
      <x:c r="O146" t="str">
        <x:f>IF(J146="","",IF(J146=1,"WIN",IF(N146="YES","Exact margin M="&amp;ABS(F146),"Direction / tail")))</x:f>
      </x:c>
      <x:c r="P146" s="141"/>
      <x:c r="Q146" s="141"/>
      <x:c r="R146" s="144" t="str">
        <x:f>IF(OR(I146="",J146=""),"",(I146-J146)^2)</x:f>
      </x:c>
      <x:c r="S146" s="144" t="str">
        <x:f>IF(OR(I146="",J146=""),"",-(J146*LN(MAX(MIN(I146,0.999999),0.000001))+(1-J146)*LN(MAX(MIN(1-I146,0.999999),0.000001))))</x:f>
      </x:c>
      <x:c r="T146" t="str">
        <x:f>IF(J146="","",INDEX(Frozen_Predictions!$M$4:$M$303,MATCH(A146,Frozen_Predictions!$A$4:$A$303,0)))</x:f>
      </x:c>
      <x:c r="U146" t="str">
        <x:f>IF(J146="","",INDEX(Frozen_Predictions!$W$4:$W$303,MATCH(A146,Frozen_Predictions!$A$4:$A$303,0)))</x:f>
      </x:c>
      <x:c r="V146" t="str">
        <x:f>IF(J146="","",INDEX(Frozen_Predictions!$X$4:$X$303,MATCH(A146,Frozen_Predictions!$A$4:$A$303,0)))</x:f>
      </x:c>
      <x:c r="W146" t="str">
        <x:f>IF(A146="","",IF(COUNTIF($A$4:$A$303,A146)&lt;&gt;1,"ID DUPLICAT",IF(COUNTIF(Frozen_Predictions!$A$4:$A$303,A146)&lt;&gt;1,"ID INEXISTENT SAU DUPLICAT ÎN FROZEN",IF(COUNT(K146:L146)&lt;2,"COMPLETEAZĂ SCORUL","VERIFICAT"))))</x:f>
      </x:c>
    </x:row>
    <x:row r="147">
      <x:c r="A147" s="141"/>
      <x:c r="B147" t="str">
        <x:f>IF(OR(A147="",COUNTIF(Frozen_Predictions!$A$4:$A$303,A147)&lt;&gt;1),"",INDEX(Frozen_Predictions!$C$4:$C$303,MATCH(A147,Frozen_Predictions!$A$4:$A$303,0)))</x:f>
      </x:c>
      <x:c r="C147" t="str">
        <x:f>IF(OR(A147="",COUNTIF(Frozen_Predictions!$A$4:$A$303,A147)&lt;&gt;1),"",INDEX(Frozen_Predictions!$E$4:$E$303,MATCH(A147,Frozen_Predictions!$A$4:$A$303,0)))</x:f>
      </x:c>
      <x:c r="D147" t="str">
        <x:f>IF(OR(A147="",COUNTIF(Frozen_Predictions!$A$4:$A$303,A147)&lt;&gt;1),"",INDEX(Frozen_Predictions!$F$4:$F$303,MATCH(A147,Frozen_Predictions!$A$4:$A$303,0)))</x:f>
      </x:c>
      <x:c r="E147" t="str">
        <x:f>IF(OR(A147="",COUNTIF(Frozen_Predictions!$A$4:$A$303,A147)&lt;&gt;1),"",INDEX(Frozen_Predictions!$G$4:$G$303,MATCH(A147,Frozen_Predictions!$A$4:$A$303,0)))</x:f>
      </x:c>
      <x:c r="F147" t="str">
        <x:f>IF(OR(A147="",COUNTIF(Frozen_Predictions!$A$4:$A$303,A147)&lt;&gt;1),"",INDEX(Frozen_Predictions!$H$4:$H$303,MATCH(A147,Frozen_Predictions!$A$4:$A$303,0)))</x:f>
      </x:c>
      <x:c r="G147" t="str">
        <x:f>IF(OR(A147="",COUNTIF(Frozen_Predictions!$A$4:$A$303,A147)&lt;&gt;1),"",INDEX(Frozen_Predictions!$I$4:$I$303,MATCH(A147,Frozen_Predictions!$A$4:$A$303,0)))</x:f>
      </x:c>
      <x:c r="H147" t="str">
        <x:f>IF(OR(A147="",COUNTIF(Frozen_Predictions!$A$4:$A$303,A147)&lt;&gt;1),"",INDEX(Frozen_Predictions!$J$4:$J$303,MATCH(A147,Frozen_Predictions!$A$4:$A$303,0)))</x:f>
      </x:c>
      <x:c r="I147" t="str">
        <x:f>IF(OR(A147="",COUNTIF(Frozen_Predictions!$A$4:$A$303,A147)&lt;&gt;1),"",INDEX(Frozen_Predictions!$K$4:$K$303,MATCH(A147,Frozen_Predictions!$A$4:$A$303,0)))</x:f>
      </x:c>
      <x:c r="J147" s="142" t="str">
        <x:f>IF(OR(A147="",G147="",COUNT(K147:M147)&lt;3,COUNTIF($A$4:$A$303,A147)&lt;&gt;1),"",IF(IF(M147+F147&gt;0,"1",IF(M147+F147=0,"X","2"))=G147&amp;"",1,0))</x:f>
      </x:c>
      <x:c r="K147" s="143"/>
      <x:c r="L147" s="143"/>
      <x:c r="M147" s="142" t="str">
        <x:f>IF(AND(A147&lt;&gt;"",COUNT(K147:L147)=2),K147-L147,"")</x:f>
      </x:c>
      <x:c r="N147" s="142" t="str">
        <x:f>IF(J147="","",IF(M147+F147=0,"YES","NO"))</x:f>
      </x:c>
      <x:c r="O147" t="str">
        <x:f>IF(J147="","",IF(J147=1,"WIN",IF(N147="YES","Exact margin M="&amp;ABS(F147),"Direction / tail")))</x:f>
      </x:c>
      <x:c r="P147" s="141"/>
      <x:c r="Q147" s="141"/>
      <x:c r="R147" s="144" t="str">
        <x:f>IF(OR(I147="",J147=""),"",(I147-J147)^2)</x:f>
      </x:c>
      <x:c r="S147" s="144" t="str">
        <x:f>IF(OR(I147="",J147=""),"",-(J147*LN(MAX(MIN(I147,0.999999),0.000001))+(1-J147)*LN(MAX(MIN(1-I147,0.999999),0.000001))))</x:f>
      </x:c>
      <x:c r="T147" t="str">
        <x:f>IF(J147="","",INDEX(Frozen_Predictions!$M$4:$M$303,MATCH(A147,Frozen_Predictions!$A$4:$A$303,0)))</x:f>
      </x:c>
      <x:c r="U147" t="str">
        <x:f>IF(J147="","",INDEX(Frozen_Predictions!$W$4:$W$303,MATCH(A147,Frozen_Predictions!$A$4:$A$303,0)))</x:f>
      </x:c>
      <x:c r="V147" t="str">
        <x:f>IF(J147="","",INDEX(Frozen_Predictions!$X$4:$X$303,MATCH(A147,Frozen_Predictions!$A$4:$A$303,0)))</x:f>
      </x:c>
      <x:c r="W147" t="str">
        <x:f>IF(A147="","",IF(COUNTIF($A$4:$A$303,A147)&lt;&gt;1,"ID DUPLICAT",IF(COUNTIF(Frozen_Predictions!$A$4:$A$303,A147)&lt;&gt;1,"ID INEXISTENT SAU DUPLICAT ÎN FROZEN",IF(COUNT(K147:L147)&lt;2,"COMPLETEAZĂ SCORUL","VERIFICAT"))))</x:f>
      </x:c>
    </x:row>
    <x:row r="148">
      <x:c r="A148" s="141"/>
      <x:c r="B148" t="str">
        <x:f>IF(OR(A148="",COUNTIF(Frozen_Predictions!$A$4:$A$303,A148)&lt;&gt;1),"",INDEX(Frozen_Predictions!$C$4:$C$303,MATCH(A148,Frozen_Predictions!$A$4:$A$303,0)))</x:f>
      </x:c>
      <x:c r="C148" t="str">
        <x:f>IF(OR(A148="",COUNTIF(Frozen_Predictions!$A$4:$A$303,A148)&lt;&gt;1),"",INDEX(Frozen_Predictions!$E$4:$E$303,MATCH(A148,Frozen_Predictions!$A$4:$A$303,0)))</x:f>
      </x:c>
      <x:c r="D148" t="str">
        <x:f>IF(OR(A148="",COUNTIF(Frozen_Predictions!$A$4:$A$303,A148)&lt;&gt;1),"",INDEX(Frozen_Predictions!$F$4:$F$303,MATCH(A148,Frozen_Predictions!$A$4:$A$303,0)))</x:f>
      </x:c>
      <x:c r="E148" t="str">
        <x:f>IF(OR(A148="",COUNTIF(Frozen_Predictions!$A$4:$A$303,A148)&lt;&gt;1),"",INDEX(Frozen_Predictions!$G$4:$G$303,MATCH(A148,Frozen_Predictions!$A$4:$A$303,0)))</x:f>
      </x:c>
      <x:c r="F148" t="str">
        <x:f>IF(OR(A148="",COUNTIF(Frozen_Predictions!$A$4:$A$303,A148)&lt;&gt;1),"",INDEX(Frozen_Predictions!$H$4:$H$303,MATCH(A148,Frozen_Predictions!$A$4:$A$303,0)))</x:f>
      </x:c>
      <x:c r="G148" t="str">
        <x:f>IF(OR(A148="",COUNTIF(Frozen_Predictions!$A$4:$A$303,A148)&lt;&gt;1),"",INDEX(Frozen_Predictions!$I$4:$I$303,MATCH(A148,Frozen_Predictions!$A$4:$A$303,0)))</x:f>
      </x:c>
      <x:c r="H148" t="str">
        <x:f>IF(OR(A148="",COUNTIF(Frozen_Predictions!$A$4:$A$303,A148)&lt;&gt;1),"",INDEX(Frozen_Predictions!$J$4:$J$303,MATCH(A148,Frozen_Predictions!$A$4:$A$303,0)))</x:f>
      </x:c>
      <x:c r="I148" t="str">
        <x:f>IF(OR(A148="",COUNTIF(Frozen_Predictions!$A$4:$A$303,A148)&lt;&gt;1),"",INDEX(Frozen_Predictions!$K$4:$K$303,MATCH(A148,Frozen_Predictions!$A$4:$A$303,0)))</x:f>
      </x:c>
      <x:c r="J148" s="142" t="str">
        <x:f>IF(OR(A148="",G148="",COUNT(K148:M148)&lt;3,COUNTIF($A$4:$A$303,A148)&lt;&gt;1),"",IF(IF(M148+F148&gt;0,"1",IF(M148+F148=0,"X","2"))=G148&amp;"",1,0))</x:f>
      </x:c>
      <x:c r="K148" s="143"/>
      <x:c r="L148" s="143"/>
      <x:c r="M148" s="142" t="str">
        <x:f>IF(AND(A148&lt;&gt;"",COUNT(K148:L148)=2),K148-L148,"")</x:f>
      </x:c>
      <x:c r="N148" s="142" t="str">
        <x:f>IF(J148="","",IF(M148+F148=0,"YES","NO"))</x:f>
      </x:c>
      <x:c r="O148" t="str">
        <x:f>IF(J148="","",IF(J148=1,"WIN",IF(N148="YES","Exact margin M="&amp;ABS(F148),"Direction / tail")))</x:f>
      </x:c>
      <x:c r="P148" s="141"/>
      <x:c r="Q148" s="141"/>
      <x:c r="R148" s="144" t="str">
        <x:f>IF(OR(I148="",J148=""),"",(I148-J148)^2)</x:f>
      </x:c>
      <x:c r="S148" s="144" t="str">
        <x:f>IF(OR(I148="",J148=""),"",-(J148*LN(MAX(MIN(I148,0.999999),0.000001))+(1-J148)*LN(MAX(MIN(1-I148,0.999999),0.000001))))</x:f>
      </x:c>
      <x:c r="T148" t="str">
        <x:f>IF(J148="","",INDEX(Frozen_Predictions!$M$4:$M$303,MATCH(A148,Frozen_Predictions!$A$4:$A$303,0)))</x:f>
      </x:c>
      <x:c r="U148" t="str">
        <x:f>IF(J148="","",INDEX(Frozen_Predictions!$W$4:$W$303,MATCH(A148,Frozen_Predictions!$A$4:$A$303,0)))</x:f>
      </x:c>
      <x:c r="V148" t="str">
        <x:f>IF(J148="","",INDEX(Frozen_Predictions!$X$4:$X$303,MATCH(A148,Frozen_Predictions!$A$4:$A$303,0)))</x:f>
      </x:c>
      <x:c r="W148" t="str">
        <x:f>IF(A148="","",IF(COUNTIF($A$4:$A$303,A148)&lt;&gt;1,"ID DUPLICAT",IF(COUNTIF(Frozen_Predictions!$A$4:$A$303,A148)&lt;&gt;1,"ID INEXISTENT SAU DUPLICAT ÎN FROZEN",IF(COUNT(K148:L148)&lt;2,"COMPLETEAZĂ SCORUL","VERIFICAT"))))</x:f>
      </x:c>
    </x:row>
    <x:row r="149">
      <x:c r="A149" s="141"/>
      <x:c r="B149" t="str">
        <x:f>IF(OR(A149="",COUNTIF(Frozen_Predictions!$A$4:$A$303,A149)&lt;&gt;1),"",INDEX(Frozen_Predictions!$C$4:$C$303,MATCH(A149,Frozen_Predictions!$A$4:$A$303,0)))</x:f>
      </x:c>
      <x:c r="C149" t="str">
        <x:f>IF(OR(A149="",COUNTIF(Frozen_Predictions!$A$4:$A$303,A149)&lt;&gt;1),"",INDEX(Frozen_Predictions!$E$4:$E$303,MATCH(A149,Frozen_Predictions!$A$4:$A$303,0)))</x:f>
      </x:c>
      <x:c r="D149" t="str">
        <x:f>IF(OR(A149="",COUNTIF(Frozen_Predictions!$A$4:$A$303,A149)&lt;&gt;1),"",INDEX(Frozen_Predictions!$F$4:$F$303,MATCH(A149,Frozen_Predictions!$A$4:$A$303,0)))</x:f>
      </x:c>
      <x:c r="E149" t="str">
        <x:f>IF(OR(A149="",COUNTIF(Frozen_Predictions!$A$4:$A$303,A149)&lt;&gt;1),"",INDEX(Frozen_Predictions!$G$4:$G$303,MATCH(A149,Frozen_Predictions!$A$4:$A$303,0)))</x:f>
      </x:c>
      <x:c r="F149" t="str">
        <x:f>IF(OR(A149="",COUNTIF(Frozen_Predictions!$A$4:$A$303,A149)&lt;&gt;1),"",INDEX(Frozen_Predictions!$H$4:$H$303,MATCH(A149,Frozen_Predictions!$A$4:$A$303,0)))</x:f>
      </x:c>
      <x:c r="G149" t="str">
        <x:f>IF(OR(A149="",COUNTIF(Frozen_Predictions!$A$4:$A$303,A149)&lt;&gt;1),"",INDEX(Frozen_Predictions!$I$4:$I$303,MATCH(A149,Frozen_Predictions!$A$4:$A$303,0)))</x:f>
      </x:c>
      <x:c r="H149" t="str">
        <x:f>IF(OR(A149="",COUNTIF(Frozen_Predictions!$A$4:$A$303,A149)&lt;&gt;1),"",INDEX(Frozen_Predictions!$J$4:$J$303,MATCH(A149,Frozen_Predictions!$A$4:$A$303,0)))</x:f>
      </x:c>
      <x:c r="I149" t="str">
        <x:f>IF(OR(A149="",COUNTIF(Frozen_Predictions!$A$4:$A$303,A149)&lt;&gt;1),"",INDEX(Frozen_Predictions!$K$4:$K$303,MATCH(A149,Frozen_Predictions!$A$4:$A$303,0)))</x:f>
      </x:c>
      <x:c r="J149" s="142" t="str">
        <x:f>IF(OR(A149="",G149="",COUNT(K149:M149)&lt;3,COUNTIF($A$4:$A$303,A149)&lt;&gt;1),"",IF(IF(M149+F149&gt;0,"1",IF(M149+F149=0,"X","2"))=G149&amp;"",1,0))</x:f>
      </x:c>
      <x:c r="K149" s="143"/>
      <x:c r="L149" s="143"/>
      <x:c r="M149" s="142" t="str">
        <x:f>IF(AND(A149&lt;&gt;"",COUNT(K149:L149)=2),K149-L149,"")</x:f>
      </x:c>
      <x:c r="N149" s="142" t="str">
        <x:f>IF(J149="","",IF(M149+F149=0,"YES","NO"))</x:f>
      </x:c>
      <x:c r="O149" t="str">
        <x:f>IF(J149="","",IF(J149=1,"WIN",IF(N149="YES","Exact margin M="&amp;ABS(F149),"Direction / tail")))</x:f>
      </x:c>
      <x:c r="P149" s="141"/>
      <x:c r="Q149" s="141"/>
      <x:c r="R149" s="144" t="str">
        <x:f>IF(OR(I149="",J149=""),"",(I149-J149)^2)</x:f>
      </x:c>
      <x:c r="S149" s="144" t="str">
        <x:f>IF(OR(I149="",J149=""),"",-(J149*LN(MAX(MIN(I149,0.999999),0.000001))+(1-J149)*LN(MAX(MIN(1-I149,0.999999),0.000001))))</x:f>
      </x:c>
      <x:c r="T149" t="str">
        <x:f>IF(J149="","",INDEX(Frozen_Predictions!$M$4:$M$303,MATCH(A149,Frozen_Predictions!$A$4:$A$303,0)))</x:f>
      </x:c>
      <x:c r="U149" t="str">
        <x:f>IF(J149="","",INDEX(Frozen_Predictions!$W$4:$W$303,MATCH(A149,Frozen_Predictions!$A$4:$A$303,0)))</x:f>
      </x:c>
      <x:c r="V149" t="str">
        <x:f>IF(J149="","",INDEX(Frozen_Predictions!$X$4:$X$303,MATCH(A149,Frozen_Predictions!$A$4:$A$303,0)))</x:f>
      </x:c>
      <x:c r="W149" t="str">
        <x:f>IF(A149="","",IF(COUNTIF($A$4:$A$303,A149)&lt;&gt;1,"ID DUPLICAT",IF(COUNTIF(Frozen_Predictions!$A$4:$A$303,A149)&lt;&gt;1,"ID INEXISTENT SAU DUPLICAT ÎN FROZEN",IF(COUNT(K149:L149)&lt;2,"COMPLETEAZĂ SCORUL","VERIFICAT"))))</x:f>
      </x:c>
    </x:row>
    <x:row r="150">
      <x:c r="A150" s="141"/>
      <x:c r="B150" t="str">
        <x:f>IF(OR(A150="",COUNTIF(Frozen_Predictions!$A$4:$A$303,A150)&lt;&gt;1),"",INDEX(Frozen_Predictions!$C$4:$C$303,MATCH(A150,Frozen_Predictions!$A$4:$A$303,0)))</x:f>
      </x:c>
      <x:c r="C150" t="str">
        <x:f>IF(OR(A150="",COUNTIF(Frozen_Predictions!$A$4:$A$303,A150)&lt;&gt;1),"",INDEX(Frozen_Predictions!$E$4:$E$303,MATCH(A150,Frozen_Predictions!$A$4:$A$303,0)))</x:f>
      </x:c>
      <x:c r="D150" t="str">
        <x:f>IF(OR(A150="",COUNTIF(Frozen_Predictions!$A$4:$A$303,A150)&lt;&gt;1),"",INDEX(Frozen_Predictions!$F$4:$F$303,MATCH(A150,Frozen_Predictions!$A$4:$A$303,0)))</x:f>
      </x:c>
      <x:c r="E150" t="str">
        <x:f>IF(OR(A150="",COUNTIF(Frozen_Predictions!$A$4:$A$303,A150)&lt;&gt;1),"",INDEX(Frozen_Predictions!$G$4:$G$303,MATCH(A150,Frozen_Predictions!$A$4:$A$303,0)))</x:f>
      </x:c>
      <x:c r="F150" t="str">
        <x:f>IF(OR(A150="",COUNTIF(Frozen_Predictions!$A$4:$A$303,A150)&lt;&gt;1),"",INDEX(Frozen_Predictions!$H$4:$H$303,MATCH(A150,Frozen_Predictions!$A$4:$A$303,0)))</x:f>
      </x:c>
      <x:c r="G150" t="str">
        <x:f>IF(OR(A150="",COUNTIF(Frozen_Predictions!$A$4:$A$303,A150)&lt;&gt;1),"",INDEX(Frozen_Predictions!$I$4:$I$303,MATCH(A150,Frozen_Predictions!$A$4:$A$303,0)))</x:f>
      </x:c>
      <x:c r="H150" t="str">
        <x:f>IF(OR(A150="",COUNTIF(Frozen_Predictions!$A$4:$A$303,A150)&lt;&gt;1),"",INDEX(Frozen_Predictions!$J$4:$J$303,MATCH(A150,Frozen_Predictions!$A$4:$A$303,0)))</x:f>
      </x:c>
      <x:c r="I150" t="str">
        <x:f>IF(OR(A150="",COUNTIF(Frozen_Predictions!$A$4:$A$303,A150)&lt;&gt;1),"",INDEX(Frozen_Predictions!$K$4:$K$303,MATCH(A150,Frozen_Predictions!$A$4:$A$303,0)))</x:f>
      </x:c>
      <x:c r="J150" s="142" t="str">
        <x:f>IF(OR(A150="",G150="",COUNT(K150:M150)&lt;3,COUNTIF($A$4:$A$303,A150)&lt;&gt;1),"",IF(IF(M150+F150&gt;0,"1",IF(M150+F150=0,"X","2"))=G150&amp;"",1,0))</x:f>
      </x:c>
      <x:c r="K150" s="143"/>
      <x:c r="L150" s="143"/>
      <x:c r="M150" s="142" t="str">
        <x:f>IF(AND(A150&lt;&gt;"",COUNT(K150:L150)=2),K150-L150,"")</x:f>
      </x:c>
      <x:c r="N150" s="142" t="str">
        <x:f>IF(J150="","",IF(M150+F150=0,"YES","NO"))</x:f>
      </x:c>
      <x:c r="O150" t="str">
        <x:f>IF(J150="","",IF(J150=1,"WIN",IF(N150="YES","Exact margin M="&amp;ABS(F150),"Direction / tail")))</x:f>
      </x:c>
      <x:c r="P150" s="141"/>
      <x:c r="Q150" s="141"/>
      <x:c r="R150" s="144" t="str">
        <x:f>IF(OR(I150="",J150=""),"",(I150-J150)^2)</x:f>
      </x:c>
      <x:c r="S150" s="144" t="str">
        <x:f>IF(OR(I150="",J150=""),"",-(J150*LN(MAX(MIN(I150,0.999999),0.000001))+(1-J150)*LN(MAX(MIN(1-I150,0.999999),0.000001))))</x:f>
      </x:c>
      <x:c r="T150" t="str">
        <x:f>IF(J150="","",INDEX(Frozen_Predictions!$M$4:$M$303,MATCH(A150,Frozen_Predictions!$A$4:$A$303,0)))</x:f>
      </x:c>
      <x:c r="U150" t="str">
        <x:f>IF(J150="","",INDEX(Frozen_Predictions!$W$4:$W$303,MATCH(A150,Frozen_Predictions!$A$4:$A$303,0)))</x:f>
      </x:c>
      <x:c r="V150" t="str">
        <x:f>IF(J150="","",INDEX(Frozen_Predictions!$X$4:$X$303,MATCH(A150,Frozen_Predictions!$A$4:$A$303,0)))</x:f>
      </x:c>
      <x:c r="W150" t="str">
        <x:f>IF(A150="","",IF(COUNTIF($A$4:$A$303,A150)&lt;&gt;1,"ID DUPLICAT",IF(COUNTIF(Frozen_Predictions!$A$4:$A$303,A150)&lt;&gt;1,"ID INEXISTENT SAU DUPLICAT ÎN FROZEN",IF(COUNT(K150:L150)&lt;2,"COMPLETEAZĂ SCORUL","VERIFICAT"))))</x:f>
      </x:c>
    </x:row>
    <x:row r="151">
      <x:c r="A151" s="141"/>
      <x:c r="B151" t="str">
        <x:f>IF(OR(A151="",COUNTIF(Frozen_Predictions!$A$4:$A$303,A151)&lt;&gt;1),"",INDEX(Frozen_Predictions!$C$4:$C$303,MATCH(A151,Frozen_Predictions!$A$4:$A$303,0)))</x:f>
      </x:c>
      <x:c r="C151" t="str">
        <x:f>IF(OR(A151="",COUNTIF(Frozen_Predictions!$A$4:$A$303,A151)&lt;&gt;1),"",INDEX(Frozen_Predictions!$E$4:$E$303,MATCH(A151,Frozen_Predictions!$A$4:$A$303,0)))</x:f>
      </x:c>
      <x:c r="D151" t="str">
        <x:f>IF(OR(A151="",COUNTIF(Frozen_Predictions!$A$4:$A$303,A151)&lt;&gt;1),"",INDEX(Frozen_Predictions!$F$4:$F$303,MATCH(A151,Frozen_Predictions!$A$4:$A$303,0)))</x:f>
      </x:c>
      <x:c r="E151" t="str">
        <x:f>IF(OR(A151="",COUNTIF(Frozen_Predictions!$A$4:$A$303,A151)&lt;&gt;1),"",INDEX(Frozen_Predictions!$G$4:$G$303,MATCH(A151,Frozen_Predictions!$A$4:$A$303,0)))</x:f>
      </x:c>
      <x:c r="F151" t="str">
        <x:f>IF(OR(A151="",COUNTIF(Frozen_Predictions!$A$4:$A$303,A151)&lt;&gt;1),"",INDEX(Frozen_Predictions!$H$4:$H$303,MATCH(A151,Frozen_Predictions!$A$4:$A$303,0)))</x:f>
      </x:c>
      <x:c r="G151" t="str">
        <x:f>IF(OR(A151="",COUNTIF(Frozen_Predictions!$A$4:$A$303,A151)&lt;&gt;1),"",INDEX(Frozen_Predictions!$I$4:$I$303,MATCH(A151,Frozen_Predictions!$A$4:$A$303,0)))</x:f>
      </x:c>
      <x:c r="H151" t="str">
        <x:f>IF(OR(A151="",COUNTIF(Frozen_Predictions!$A$4:$A$303,A151)&lt;&gt;1),"",INDEX(Frozen_Predictions!$J$4:$J$303,MATCH(A151,Frozen_Predictions!$A$4:$A$303,0)))</x:f>
      </x:c>
      <x:c r="I151" t="str">
        <x:f>IF(OR(A151="",COUNTIF(Frozen_Predictions!$A$4:$A$303,A151)&lt;&gt;1),"",INDEX(Frozen_Predictions!$K$4:$K$303,MATCH(A151,Frozen_Predictions!$A$4:$A$303,0)))</x:f>
      </x:c>
      <x:c r="J151" s="142" t="str">
        <x:f>IF(OR(A151="",G151="",COUNT(K151:M151)&lt;3,COUNTIF($A$4:$A$303,A151)&lt;&gt;1),"",IF(IF(M151+F151&gt;0,"1",IF(M151+F151=0,"X","2"))=G151&amp;"",1,0))</x:f>
      </x:c>
      <x:c r="K151" s="143"/>
      <x:c r="L151" s="143"/>
      <x:c r="M151" s="142" t="str">
        <x:f>IF(AND(A151&lt;&gt;"",COUNT(K151:L151)=2),K151-L151,"")</x:f>
      </x:c>
      <x:c r="N151" s="142" t="str">
        <x:f>IF(J151="","",IF(M151+F151=0,"YES","NO"))</x:f>
      </x:c>
      <x:c r="O151" t="str">
        <x:f>IF(J151="","",IF(J151=1,"WIN",IF(N151="YES","Exact margin M="&amp;ABS(F151),"Direction / tail")))</x:f>
      </x:c>
      <x:c r="P151" s="141"/>
      <x:c r="Q151" s="141"/>
      <x:c r="R151" s="144" t="str">
        <x:f>IF(OR(I151="",J151=""),"",(I151-J151)^2)</x:f>
      </x:c>
      <x:c r="S151" s="144" t="str">
        <x:f>IF(OR(I151="",J151=""),"",-(J151*LN(MAX(MIN(I151,0.999999),0.000001))+(1-J151)*LN(MAX(MIN(1-I151,0.999999),0.000001))))</x:f>
      </x:c>
      <x:c r="T151" t="str">
        <x:f>IF(J151="","",INDEX(Frozen_Predictions!$M$4:$M$303,MATCH(A151,Frozen_Predictions!$A$4:$A$303,0)))</x:f>
      </x:c>
      <x:c r="U151" t="str">
        <x:f>IF(J151="","",INDEX(Frozen_Predictions!$W$4:$W$303,MATCH(A151,Frozen_Predictions!$A$4:$A$303,0)))</x:f>
      </x:c>
      <x:c r="V151" t="str">
        <x:f>IF(J151="","",INDEX(Frozen_Predictions!$X$4:$X$303,MATCH(A151,Frozen_Predictions!$A$4:$A$303,0)))</x:f>
      </x:c>
      <x:c r="W151" t="str">
        <x:f>IF(A151="","",IF(COUNTIF($A$4:$A$303,A151)&lt;&gt;1,"ID DUPLICAT",IF(COUNTIF(Frozen_Predictions!$A$4:$A$303,A151)&lt;&gt;1,"ID INEXISTENT SAU DUPLICAT ÎN FROZEN",IF(COUNT(K151:L151)&lt;2,"COMPLETEAZĂ SCORUL","VERIFICAT"))))</x:f>
      </x:c>
    </x:row>
    <x:row r="152">
      <x:c r="A152" s="141"/>
      <x:c r="B152" t="str">
        <x:f>IF(OR(A152="",COUNTIF(Frozen_Predictions!$A$4:$A$303,A152)&lt;&gt;1),"",INDEX(Frozen_Predictions!$C$4:$C$303,MATCH(A152,Frozen_Predictions!$A$4:$A$303,0)))</x:f>
      </x:c>
      <x:c r="C152" t="str">
        <x:f>IF(OR(A152="",COUNTIF(Frozen_Predictions!$A$4:$A$303,A152)&lt;&gt;1),"",INDEX(Frozen_Predictions!$E$4:$E$303,MATCH(A152,Frozen_Predictions!$A$4:$A$303,0)))</x:f>
      </x:c>
      <x:c r="D152" t="str">
        <x:f>IF(OR(A152="",COUNTIF(Frozen_Predictions!$A$4:$A$303,A152)&lt;&gt;1),"",INDEX(Frozen_Predictions!$F$4:$F$303,MATCH(A152,Frozen_Predictions!$A$4:$A$303,0)))</x:f>
      </x:c>
      <x:c r="E152" t="str">
        <x:f>IF(OR(A152="",COUNTIF(Frozen_Predictions!$A$4:$A$303,A152)&lt;&gt;1),"",INDEX(Frozen_Predictions!$G$4:$G$303,MATCH(A152,Frozen_Predictions!$A$4:$A$303,0)))</x:f>
      </x:c>
      <x:c r="F152" t="str">
        <x:f>IF(OR(A152="",COUNTIF(Frozen_Predictions!$A$4:$A$303,A152)&lt;&gt;1),"",INDEX(Frozen_Predictions!$H$4:$H$303,MATCH(A152,Frozen_Predictions!$A$4:$A$303,0)))</x:f>
      </x:c>
      <x:c r="G152" t="str">
        <x:f>IF(OR(A152="",COUNTIF(Frozen_Predictions!$A$4:$A$303,A152)&lt;&gt;1),"",INDEX(Frozen_Predictions!$I$4:$I$303,MATCH(A152,Frozen_Predictions!$A$4:$A$303,0)))</x:f>
      </x:c>
      <x:c r="H152" t="str">
        <x:f>IF(OR(A152="",COUNTIF(Frozen_Predictions!$A$4:$A$303,A152)&lt;&gt;1),"",INDEX(Frozen_Predictions!$J$4:$J$303,MATCH(A152,Frozen_Predictions!$A$4:$A$303,0)))</x:f>
      </x:c>
      <x:c r="I152" t="str">
        <x:f>IF(OR(A152="",COUNTIF(Frozen_Predictions!$A$4:$A$303,A152)&lt;&gt;1),"",INDEX(Frozen_Predictions!$K$4:$K$303,MATCH(A152,Frozen_Predictions!$A$4:$A$303,0)))</x:f>
      </x:c>
      <x:c r="J152" s="142" t="str">
        <x:f>IF(OR(A152="",G152="",COUNT(K152:M152)&lt;3,COUNTIF($A$4:$A$303,A152)&lt;&gt;1),"",IF(IF(M152+F152&gt;0,"1",IF(M152+F152=0,"X","2"))=G152&amp;"",1,0))</x:f>
      </x:c>
      <x:c r="K152" s="143"/>
      <x:c r="L152" s="143"/>
      <x:c r="M152" s="142" t="str">
        <x:f>IF(AND(A152&lt;&gt;"",COUNT(K152:L152)=2),K152-L152,"")</x:f>
      </x:c>
      <x:c r="N152" s="142" t="str">
        <x:f>IF(J152="","",IF(M152+F152=0,"YES","NO"))</x:f>
      </x:c>
      <x:c r="O152" t="str">
        <x:f>IF(J152="","",IF(J152=1,"WIN",IF(N152="YES","Exact margin M="&amp;ABS(F152),"Direction / tail")))</x:f>
      </x:c>
      <x:c r="P152" s="141"/>
      <x:c r="Q152" s="141"/>
      <x:c r="R152" s="144" t="str">
        <x:f>IF(OR(I152="",J152=""),"",(I152-J152)^2)</x:f>
      </x:c>
      <x:c r="S152" s="144" t="str">
        <x:f>IF(OR(I152="",J152=""),"",-(J152*LN(MAX(MIN(I152,0.999999),0.000001))+(1-J152)*LN(MAX(MIN(1-I152,0.999999),0.000001))))</x:f>
      </x:c>
      <x:c r="T152" t="str">
        <x:f>IF(J152="","",INDEX(Frozen_Predictions!$M$4:$M$303,MATCH(A152,Frozen_Predictions!$A$4:$A$303,0)))</x:f>
      </x:c>
      <x:c r="U152" t="str">
        <x:f>IF(J152="","",INDEX(Frozen_Predictions!$W$4:$W$303,MATCH(A152,Frozen_Predictions!$A$4:$A$303,0)))</x:f>
      </x:c>
      <x:c r="V152" t="str">
        <x:f>IF(J152="","",INDEX(Frozen_Predictions!$X$4:$X$303,MATCH(A152,Frozen_Predictions!$A$4:$A$303,0)))</x:f>
      </x:c>
      <x:c r="W152" t="str">
        <x:f>IF(A152="","",IF(COUNTIF($A$4:$A$303,A152)&lt;&gt;1,"ID DUPLICAT",IF(COUNTIF(Frozen_Predictions!$A$4:$A$303,A152)&lt;&gt;1,"ID INEXISTENT SAU DUPLICAT ÎN FROZEN",IF(COUNT(K152:L152)&lt;2,"COMPLETEAZĂ SCORUL","VERIFICAT"))))</x:f>
      </x:c>
    </x:row>
    <x:row r="153">
      <x:c r="A153" s="141"/>
      <x:c r="B153" t="str">
        <x:f>IF(OR(A153="",COUNTIF(Frozen_Predictions!$A$4:$A$303,A153)&lt;&gt;1),"",INDEX(Frozen_Predictions!$C$4:$C$303,MATCH(A153,Frozen_Predictions!$A$4:$A$303,0)))</x:f>
      </x:c>
      <x:c r="C153" t="str">
        <x:f>IF(OR(A153="",COUNTIF(Frozen_Predictions!$A$4:$A$303,A153)&lt;&gt;1),"",INDEX(Frozen_Predictions!$E$4:$E$303,MATCH(A153,Frozen_Predictions!$A$4:$A$303,0)))</x:f>
      </x:c>
      <x:c r="D153" t="str">
        <x:f>IF(OR(A153="",COUNTIF(Frozen_Predictions!$A$4:$A$303,A153)&lt;&gt;1),"",INDEX(Frozen_Predictions!$F$4:$F$303,MATCH(A153,Frozen_Predictions!$A$4:$A$303,0)))</x:f>
      </x:c>
      <x:c r="E153" t="str">
        <x:f>IF(OR(A153="",COUNTIF(Frozen_Predictions!$A$4:$A$303,A153)&lt;&gt;1),"",INDEX(Frozen_Predictions!$G$4:$G$303,MATCH(A153,Frozen_Predictions!$A$4:$A$303,0)))</x:f>
      </x:c>
      <x:c r="F153" t="str">
        <x:f>IF(OR(A153="",COUNTIF(Frozen_Predictions!$A$4:$A$303,A153)&lt;&gt;1),"",INDEX(Frozen_Predictions!$H$4:$H$303,MATCH(A153,Frozen_Predictions!$A$4:$A$303,0)))</x:f>
      </x:c>
      <x:c r="G153" t="str">
        <x:f>IF(OR(A153="",COUNTIF(Frozen_Predictions!$A$4:$A$303,A153)&lt;&gt;1),"",INDEX(Frozen_Predictions!$I$4:$I$303,MATCH(A153,Frozen_Predictions!$A$4:$A$303,0)))</x:f>
      </x:c>
      <x:c r="H153" t="str">
        <x:f>IF(OR(A153="",COUNTIF(Frozen_Predictions!$A$4:$A$303,A153)&lt;&gt;1),"",INDEX(Frozen_Predictions!$J$4:$J$303,MATCH(A153,Frozen_Predictions!$A$4:$A$303,0)))</x:f>
      </x:c>
      <x:c r="I153" t="str">
        <x:f>IF(OR(A153="",COUNTIF(Frozen_Predictions!$A$4:$A$303,A153)&lt;&gt;1),"",INDEX(Frozen_Predictions!$K$4:$K$303,MATCH(A153,Frozen_Predictions!$A$4:$A$303,0)))</x:f>
      </x:c>
      <x:c r="J153" s="142" t="str">
        <x:f>IF(OR(A153="",G153="",COUNT(K153:M153)&lt;3,COUNTIF($A$4:$A$303,A153)&lt;&gt;1),"",IF(IF(M153+F153&gt;0,"1",IF(M153+F153=0,"X","2"))=G153&amp;"",1,0))</x:f>
      </x:c>
      <x:c r="K153" s="143"/>
      <x:c r="L153" s="143"/>
      <x:c r="M153" s="142" t="str">
        <x:f>IF(AND(A153&lt;&gt;"",COUNT(K153:L153)=2),K153-L153,"")</x:f>
      </x:c>
      <x:c r="N153" s="142" t="str">
        <x:f>IF(J153="","",IF(M153+F153=0,"YES","NO"))</x:f>
      </x:c>
      <x:c r="O153" t="str">
        <x:f>IF(J153="","",IF(J153=1,"WIN",IF(N153="YES","Exact margin M="&amp;ABS(F153),"Direction / tail")))</x:f>
      </x:c>
      <x:c r="P153" s="141"/>
      <x:c r="Q153" s="141"/>
      <x:c r="R153" s="144" t="str">
        <x:f>IF(OR(I153="",J153=""),"",(I153-J153)^2)</x:f>
      </x:c>
      <x:c r="S153" s="144" t="str">
        <x:f>IF(OR(I153="",J153=""),"",-(J153*LN(MAX(MIN(I153,0.999999),0.000001))+(1-J153)*LN(MAX(MIN(1-I153,0.999999),0.000001))))</x:f>
      </x:c>
      <x:c r="T153" t="str">
        <x:f>IF(J153="","",INDEX(Frozen_Predictions!$M$4:$M$303,MATCH(A153,Frozen_Predictions!$A$4:$A$303,0)))</x:f>
      </x:c>
      <x:c r="U153" t="str">
        <x:f>IF(J153="","",INDEX(Frozen_Predictions!$W$4:$W$303,MATCH(A153,Frozen_Predictions!$A$4:$A$303,0)))</x:f>
      </x:c>
      <x:c r="V153" t="str">
        <x:f>IF(J153="","",INDEX(Frozen_Predictions!$X$4:$X$303,MATCH(A153,Frozen_Predictions!$A$4:$A$303,0)))</x:f>
      </x:c>
      <x:c r="W153" t="str">
        <x:f>IF(A153="","",IF(COUNTIF($A$4:$A$303,A153)&lt;&gt;1,"ID DUPLICAT",IF(COUNTIF(Frozen_Predictions!$A$4:$A$303,A153)&lt;&gt;1,"ID INEXISTENT SAU DUPLICAT ÎN FROZEN",IF(COUNT(K153:L153)&lt;2,"COMPLETEAZĂ SCORUL","VERIFICAT"))))</x:f>
      </x:c>
    </x:row>
    <x:row r="154">
      <x:c r="A154" s="141"/>
      <x:c r="B154" t="str">
        <x:f>IF(OR(A154="",COUNTIF(Frozen_Predictions!$A$4:$A$303,A154)&lt;&gt;1),"",INDEX(Frozen_Predictions!$C$4:$C$303,MATCH(A154,Frozen_Predictions!$A$4:$A$303,0)))</x:f>
      </x:c>
      <x:c r="C154" t="str">
        <x:f>IF(OR(A154="",COUNTIF(Frozen_Predictions!$A$4:$A$303,A154)&lt;&gt;1),"",INDEX(Frozen_Predictions!$E$4:$E$303,MATCH(A154,Frozen_Predictions!$A$4:$A$303,0)))</x:f>
      </x:c>
      <x:c r="D154" t="str">
        <x:f>IF(OR(A154="",COUNTIF(Frozen_Predictions!$A$4:$A$303,A154)&lt;&gt;1),"",INDEX(Frozen_Predictions!$F$4:$F$303,MATCH(A154,Frozen_Predictions!$A$4:$A$303,0)))</x:f>
      </x:c>
      <x:c r="E154" t="str">
        <x:f>IF(OR(A154="",COUNTIF(Frozen_Predictions!$A$4:$A$303,A154)&lt;&gt;1),"",INDEX(Frozen_Predictions!$G$4:$G$303,MATCH(A154,Frozen_Predictions!$A$4:$A$303,0)))</x:f>
      </x:c>
      <x:c r="F154" t="str">
        <x:f>IF(OR(A154="",COUNTIF(Frozen_Predictions!$A$4:$A$303,A154)&lt;&gt;1),"",INDEX(Frozen_Predictions!$H$4:$H$303,MATCH(A154,Frozen_Predictions!$A$4:$A$303,0)))</x:f>
      </x:c>
      <x:c r="G154" t="str">
        <x:f>IF(OR(A154="",COUNTIF(Frozen_Predictions!$A$4:$A$303,A154)&lt;&gt;1),"",INDEX(Frozen_Predictions!$I$4:$I$303,MATCH(A154,Frozen_Predictions!$A$4:$A$303,0)))</x:f>
      </x:c>
      <x:c r="H154" t="str">
        <x:f>IF(OR(A154="",COUNTIF(Frozen_Predictions!$A$4:$A$303,A154)&lt;&gt;1),"",INDEX(Frozen_Predictions!$J$4:$J$303,MATCH(A154,Frozen_Predictions!$A$4:$A$303,0)))</x:f>
      </x:c>
      <x:c r="I154" t="str">
        <x:f>IF(OR(A154="",COUNTIF(Frozen_Predictions!$A$4:$A$303,A154)&lt;&gt;1),"",INDEX(Frozen_Predictions!$K$4:$K$303,MATCH(A154,Frozen_Predictions!$A$4:$A$303,0)))</x:f>
      </x:c>
      <x:c r="J154" s="142" t="str">
        <x:f>IF(OR(A154="",G154="",COUNT(K154:M154)&lt;3,COUNTIF($A$4:$A$303,A154)&lt;&gt;1),"",IF(IF(M154+F154&gt;0,"1",IF(M154+F154=0,"X","2"))=G154&amp;"",1,0))</x:f>
      </x:c>
      <x:c r="K154" s="143"/>
      <x:c r="L154" s="143"/>
      <x:c r="M154" s="142" t="str">
        <x:f>IF(AND(A154&lt;&gt;"",COUNT(K154:L154)=2),K154-L154,"")</x:f>
      </x:c>
      <x:c r="N154" s="142" t="str">
        <x:f>IF(J154="","",IF(M154+F154=0,"YES","NO"))</x:f>
      </x:c>
      <x:c r="O154" t="str">
        <x:f>IF(J154="","",IF(J154=1,"WIN",IF(N154="YES","Exact margin M="&amp;ABS(F154),"Direction / tail")))</x:f>
      </x:c>
      <x:c r="P154" s="141"/>
      <x:c r="Q154" s="141"/>
      <x:c r="R154" s="144" t="str">
        <x:f>IF(OR(I154="",J154=""),"",(I154-J154)^2)</x:f>
      </x:c>
      <x:c r="S154" s="144" t="str">
        <x:f>IF(OR(I154="",J154=""),"",-(J154*LN(MAX(MIN(I154,0.999999),0.000001))+(1-J154)*LN(MAX(MIN(1-I154,0.999999),0.000001))))</x:f>
      </x:c>
      <x:c r="T154" t="str">
        <x:f>IF(J154="","",INDEX(Frozen_Predictions!$M$4:$M$303,MATCH(A154,Frozen_Predictions!$A$4:$A$303,0)))</x:f>
      </x:c>
      <x:c r="U154" t="str">
        <x:f>IF(J154="","",INDEX(Frozen_Predictions!$W$4:$W$303,MATCH(A154,Frozen_Predictions!$A$4:$A$303,0)))</x:f>
      </x:c>
      <x:c r="V154" t="str">
        <x:f>IF(J154="","",INDEX(Frozen_Predictions!$X$4:$X$303,MATCH(A154,Frozen_Predictions!$A$4:$A$303,0)))</x:f>
      </x:c>
      <x:c r="W154" t="str">
        <x:f>IF(A154="","",IF(COUNTIF($A$4:$A$303,A154)&lt;&gt;1,"ID DUPLICAT",IF(COUNTIF(Frozen_Predictions!$A$4:$A$303,A154)&lt;&gt;1,"ID INEXISTENT SAU DUPLICAT ÎN FROZEN",IF(COUNT(K154:L154)&lt;2,"COMPLETEAZĂ SCORUL","VERIFICAT"))))</x:f>
      </x:c>
    </x:row>
    <x:row r="155">
      <x:c r="A155" s="141"/>
      <x:c r="B155" t="str">
        <x:f>IF(OR(A155="",COUNTIF(Frozen_Predictions!$A$4:$A$303,A155)&lt;&gt;1),"",INDEX(Frozen_Predictions!$C$4:$C$303,MATCH(A155,Frozen_Predictions!$A$4:$A$303,0)))</x:f>
      </x:c>
      <x:c r="C155" t="str">
        <x:f>IF(OR(A155="",COUNTIF(Frozen_Predictions!$A$4:$A$303,A155)&lt;&gt;1),"",INDEX(Frozen_Predictions!$E$4:$E$303,MATCH(A155,Frozen_Predictions!$A$4:$A$303,0)))</x:f>
      </x:c>
      <x:c r="D155" t="str">
        <x:f>IF(OR(A155="",COUNTIF(Frozen_Predictions!$A$4:$A$303,A155)&lt;&gt;1),"",INDEX(Frozen_Predictions!$F$4:$F$303,MATCH(A155,Frozen_Predictions!$A$4:$A$303,0)))</x:f>
      </x:c>
      <x:c r="E155" t="str">
        <x:f>IF(OR(A155="",COUNTIF(Frozen_Predictions!$A$4:$A$303,A155)&lt;&gt;1),"",INDEX(Frozen_Predictions!$G$4:$G$303,MATCH(A155,Frozen_Predictions!$A$4:$A$303,0)))</x:f>
      </x:c>
      <x:c r="F155" t="str">
        <x:f>IF(OR(A155="",COUNTIF(Frozen_Predictions!$A$4:$A$303,A155)&lt;&gt;1),"",INDEX(Frozen_Predictions!$H$4:$H$303,MATCH(A155,Frozen_Predictions!$A$4:$A$303,0)))</x:f>
      </x:c>
      <x:c r="G155" t="str">
        <x:f>IF(OR(A155="",COUNTIF(Frozen_Predictions!$A$4:$A$303,A155)&lt;&gt;1),"",INDEX(Frozen_Predictions!$I$4:$I$303,MATCH(A155,Frozen_Predictions!$A$4:$A$303,0)))</x:f>
      </x:c>
      <x:c r="H155" t="str">
        <x:f>IF(OR(A155="",COUNTIF(Frozen_Predictions!$A$4:$A$303,A155)&lt;&gt;1),"",INDEX(Frozen_Predictions!$J$4:$J$303,MATCH(A155,Frozen_Predictions!$A$4:$A$303,0)))</x:f>
      </x:c>
      <x:c r="I155" t="str">
        <x:f>IF(OR(A155="",COUNTIF(Frozen_Predictions!$A$4:$A$303,A155)&lt;&gt;1),"",INDEX(Frozen_Predictions!$K$4:$K$303,MATCH(A155,Frozen_Predictions!$A$4:$A$303,0)))</x:f>
      </x:c>
      <x:c r="J155" s="142" t="str">
        <x:f>IF(OR(A155="",G155="",COUNT(K155:M155)&lt;3,COUNTIF($A$4:$A$303,A155)&lt;&gt;1),"",IF(IF(M155+F155&gt;0,"1",IF(M155+F155=0,"X","2"))=G155&amp;"",1,0))</x:f>
      </x:c>
      <x:c r="K155" s="143"/>
      <x:c r="L155" s="143"/>
      <x:c r="M155" s="142" t="str">
        <x:f>IF(AND(A155&lt;&gt;"",COUNT(K155:L155)=2),K155-L155,"")</x:f>
      </x:c>
      <x:c r="N155" s="142" t="str">
        <x:f>IF(J155="","",IF(M155+F155=0,"YES","NO"))</x:f>
      </x:c>
      <x:c r="O155" t="str">
        <x:f>IF(J155="","",IF(J155=1,"WIN",IF(N155="YES","Exact margin M="&amp;ABS(F155),"Direction / tail")))</x:f>
      </x:c>
      <x:c r="P155" s="141"/>
      <x:c r="Q155" s="141"/>
      <x:c r="R155" s="144" t="str">
        <x:f>IF(OR(I155="",J155=""),"",(I155-J155)^2)</x:f>
      </x:c>
      <x:c r="S155" s="144" t="str">
        <x:f>IF(OR(I155="",J155=""),"",-(J155*LN(MAX(MIN(I155,0.999999),0.000001))+(1-J155)*LN(MAX(MIN(1-I155,0.999999),0.000001))))</x:f>
      </x:c>
      <x:c r="T155" t="str">
        <x:f>IF(J155="","",INDEX(Frozen_Predictions!$M$4:$M$303,MATCH(A155,Frozen_Predictions!$A$4:$A$303,0)))</x:f>
      </x:c>
      <x:c r="U155" t="str">
        <x:f>IF(J155="","",INDEX(Frozen_Predictions!$W$4:$W$303,MATCH(A155,Frozen_Predictions!$A$4:$A$303,0)))</x:f>
      </x:c>
      <x:c r="V155" t="str">
        <x:f>IF(J155="","",INDEX(Frozen_Predictions!$X$4:$X$303,MATCH(A155,Frozen_Predictions!$A$4:$A$303,0)))</x:f>
      </x:c>
      <x:c r="W155" t="str">
        <x:f>IF(A155="","",IF(COUNTIF($A$4:$A$303,A155)&lt;&gt;1,"ID DUPLICAT",IF(COUNTIF(Frozen_Predictions!$A$4:$A$303,A155)&lt;&gt;1,"ID INEXISTENT SAU DUPLICAT ÎN FROZEN",IF(COUNT(K155:L155)&lt;2,"COMPLETEAZĂ SCORUL","VERIFICAT"))))</x:f>
      </x:c>
    </x:row>
    <x:row r="156">
      <x:c r="A156" s="141"/>
      <x:c r="B156" t="str">
        <x:f>IF(OR(A156="",COUNTIF(Frozen_Predictions!$A$4:$A$303,A156)&lt;&gt;1),"",INDEX(Frozen_Predictions!$C$4:$C$303,MATCH(A156,Frozen_Predictions!$A$4:$A$303,0)))</x:f>
      </x:c>
      <x:c r="C156" t="str">
        <x:f>IF(OR(A156="",COUNTIF(Frozen_Predictions!$A$4:$A$303,A156)&lt;&gt;1),"",INDEX(Frozen_Predictions!$E$4:$E$303,MATCH(A156,Frozen_Predictions!$A$4:$A$303,0)))</x:f>
      </x:c>
      <x:c r="D156" t="str">
        <x:f>IF(OR(A156="",COUNTIF(Frozen_Predictions!$A$4:$A$303,A156)&lt;&gt;1),"",INDEX(Frozen_Predictions!$F$4:$F$303,MATCH(A156,Frozen_Predictions!$A$4:$A$303,0)))</x:f>
      </x:c>
      <x:c r="E156" t="str">
        <x:f>IF(OR(A156="",COUNTIF(Frozen_Predictions!$A$4:$A$303,A156)&lt;&gt;1),"",INDEX(Frozen_Predictions!$G$4:$G$303,MATCH(A156,Frozen_Predictions!$A$4:$A$303,0)))</x:f>
      </x:c>
      <x:c r="F156" t="str">
        <x:f>IF(OR(A156="",COUNTIF(Frozen_Predictions!$A$4:$A$303,A156)&lt;&gt;1),"",INDEX(Frozen_Predictions!$H$4:$H$303,MATCH(A156,Frozen_Predictions!$A$4:$A$303,0)))</x:f>
      </x:c>
      <x:c r="G156" t="str">
        <x:f>IF(OR(A156="",COUNTIF(Frozen_Predictions!$A$4:$A$303,A156)&lt;&gt;1),"",INDEX(Frozen_Predictions!$I$4:$I$303,MATCH(A156,Frozen_Predictions!$A$4:$A$303,0)))</x:f>
      </x:c>
      <x:c r="H156" t="str">
        <x:f>IF(OR(A156="",COUNTIF(Frozen_Predictions!$A$4:$A$303,A156)&lt;&gt;1),"",INDEX(Frozen_Predictions!$J$4:$J$303,MATCH(A156,Frozen_Predictions!$A$4:$A$303,0)))</x:f>
      </x:c>
      <x:c r="I156" t="str">
        <x:f>IF(OR(A156="",COUNTIF(Frozen_Predictions!$A$4:$A$303,A156)&lt;&gt;1),"",INDEX(Frozen_Predictions!$K$4:$K$303,MATCH(A156,Frozen_Predictions!$A$4:$A$303,0)))</x:f>
      </x:c>
      <x:c r="J156" s="142" t="str">
        <x:f>IF(OR(A156="",G156="",COUNT(K156:M156)&lt;3,COUNTIF($A$4:$A$303,A156)&lt;&gt;1),"",IF(IF(M156+F156&gt;0,"1",IF(M156+F156=0,"X","2"))=G156&amp;"",1,0))</x:f>
      </x:c>
      <x:c r="K156" s="143"/>
      <x:c r="L156" s="143"/>
      <x:c r="M156" s="142" t="str">
        <x:f>IF(AND(A156&lt;&gt;"",COUNT(K156:L156)=2),K156-L156,"")</x:f>
      </x:c>
      <x:c r="N156" s="142" t="str">
        <x:f>IF(J156="","",IF(M156+F156=0,"YES","NO"))</x:f>
      </x:c>
      <x:c r="O156" t="str">
        <x:f>IF(J156="","",IF(J156=1,"WIN",IF(N156="YES","Exact margin M="&amp;ABS(F156),"Direction / tail")))</x:f>
      </x:c>
      <x:c r="P156" s="141"/>
      <x:c r="Q156" s="141"/>
      <x:c r="R156" s="144" t="str">
        <x:f>IF(OR(I156="",J156=""),"",(I156-J156)^2)</x:f>
      </x:c>
      <x:c r="S156" s="144" t="str">
        <x:f>IF(OR(I156="",J156=""),"",-(J156*LN(MAX(MIN(I156,0.999999),0.000001))+(1-J156)*LN(MAX(MIN(1-I156,0.999999),0.000001))))</x:f>
      </x:c>
      <x:c r="T156" t="str">
        <x:f>IF(J156="","",INDEX(Frozen_Predictions!$M$4:$M$303,MATCH(A156,Frozen_Predictions!$A$4:$A$303,0)))</x:f>
      </x:c>
      <x:c r="U156" t="str">
        <x:f>IF(J156="","",INDEX(Frozen_Predictions!$W$4:$W$303,MATCH(A156,Frozen_Predictions!$A$4:$A$303,0)))</x:f>
      </x:c>
      <x:c r="V156" t="str">
        <x:f>IF(J156="","",INDEX(Frozen_Predictions!$X$4:$X$303,MATCH(A156,Frozen_Predictions!$A$4:$A$303,0)))</x:f>
      </x:c>
      <x:c r="W156" t="str">
        <x:f>IF(A156="","",IF(COUNTIF($A$4:$A$303,A156)&lt;&gt;1,"ID DUPLICAT",IF(COUNTIF(Frozen_Predictions!$A$4:$A$303,A156)&lt;&gt;1,"ID INEXISTENT SAU DUPLICAT ÎN FROZEN",IF(COUNT(K156:L156)&lt;2,"COMPLETEAZĂ SCORUL","VERIFICAT"))))</x:f>
      </x:c>
    </x:row>
    <x:row r="157">
      <x:c r="A157" s="141"/>
      <x:c r="B157" t="str">
        <x:f>IF(OR(A157="",COUNTIF(Frozen_Predictions!$A$4:$A$303,A157)&lt;&gt;1),"",INDEX(Frozen_Predictions!$C$4:$C$303,MATCH(A157,Frozen_Predictions!$A$4:$A$303,0)))</x:f>
      </x:c>
      <x:c r="C157" t="str">
        <x:f>IF(OR(A157="",COUNTIF(Frozen_Predictions!$A$4:$A$303,A157)&lt;&gt;1),"",INDEX(Frozen_Predictions!$E$4:$E$303,MATCH(A157,Frozen_Predictions!$A$4:$A$303,0)))</x:f>
      </x:c>
      <x:c r="D157" t="str">
        <x:f>IF(OR(A157="",COUNTIF(Frozen_Predictions!$A$4:$A$303,A157)&lt;&gt;1),"",INDEX(Frozen_Predictions!$F$4:$F$303,MATCH(A157,Frozen_Predictions!$A$4:$A$303,0)))</x:f>
      </x:c>
      <x:c r="E157" t="str">
        <x:f>IF(OR(A157="",COUNTIF(Frozen_Predictions!$A$4:$A$303,A157)&lt;&gt;1),"",INDEX(Frozen_Predictions!$G$4:$G$303,MATCH(A157,Frozen_Predictions!$A$4:$A$303,0)))</x:f>
      </x:c>
      <x:c r="F157" t="str">
        <x:f>IF(OR(A157="",COUNTIF(Frozen_Predictions!$A$4:$A$303,A157)&lt;&gt;1),"",INDEX(Frozen_Predictions!$H$4:$H$303,MATCH(A157,Frozen_Predictions!$A$4:$A$303,0)))</x:f>
      </x:c>
      <x:c r="G157" t="str">
        <x:f>IF(OR(A157="",COUNTIF(Frozen_Predictions!$A$4:$A$303,A157)&lt;&gt;1),"",INDEX(Frozen_Predictions!$I$4:$I$303,MATCH(A157,Frozen_Predictions!$A$4:$A$303,0)))</x:f>
      </x:c>
      <x:c r="H157" t="str">
        <x:f>IF(OR(A157="",COUNTIF(Frozen_Predictions!$A$4:$A$303,A157)&lt;&gt;1),"",INDEX(Frozen_Predictions!$J$4:$J$303,MATCH(A157,Frozen_Predictions!$A$4:$A$303,0)))</x:f>
      </x:c>
      <x:c r="I157" t="str">
        <x:f>IF(OR(A157="",COUNTIF(Frozen_Predictions!$A$4:$A$303,A157)&lt;&gt;1),"",INDEX(Frozen_Predictions!$K$4:$K$303,MATCH(A157,Frozen_Predictions!$A$4:$A$303,0)))</x:f>
      </x:c>
      <x:c r="J157" s="142" t="str">
        <x:f>IF(OR(A157="",G157="",COUNT(K157:M157)&lt;3,COUNTIF($A$4:$A$303,A157)&lt;&gt;1),"",IF(IF(M157+F157&gt;0,"1",IF(M157+F157=0,"X","2"))=G157&amp;"",1,0))</x:f>
      </x:c>
      <x:c r="K157" s="143"/>
      <x:c r="L157" s="143"/>
      <x:c r="M157" s="142" t="str">
        <x:f>IF(AND(A157&lt;&gt;"",COUNT(K157:L157)=2),K157-L157,"")</x:f>
      </x:c>
      <x:c r="N157" s="142" t="str">
        <x:f>IF(J157="","",IF(M157+F157=0,"YES","NO"))</x:f>
      </x:c>
      <x:c r="O157" t="str">
        <x:f>IF(J157="","",IF(J157=1,"WIN",IF(N157="YES","Exact margin M="&amp;ABS(F157),"Direction / tail")))</x:f>
      </x:c>
      <x:c r="P157" s="141"/>
      <x:c r="Q157" s="141"/>
      <x:c r="R157" s="144" t="str">
        <x:f>IF(OR(I157="",J157=""),"",(I157-J157)^2)</x:f>
      </x:c>
      <x:c r="S157" s="144" t="str">
        <x:f>IF(OR(I157="",J157=""),"",-(J157*LN(MAX(MIN(I157,0.999999),0.000001))+(1-J157)*LN(MAX(MIN(1-I157,0.999999),0.000001))))</x:f>
      </x:c>
      <x:c r="T157" t="str">
        <x:f>IF(J157="","",INDEX(Frozen_Predictions!$M$4:$M$303,MATCH(A157,Frozen_Predictions!$A$4:$A$303,0)))</x:f>
      </x:c>
      <x:c r="U157" t="str">
        <x:f>IF(J157="","",INDEX(Frozen_Predictions!$W$4:$W$303,MATCH(A157,Frozen_Predictions!$A$4:$A$303,0)))</x:f>
      </x:c>
      <x:c r="V157" t="str">
        <x:f>IF(J157="","",INDEX(Frozen_Predictions!$X$4:$X$303,MATCH(A157,Frozen_Predictions!$A$4:$A$303,0)))</x:f>
      </x:c>
      <x:c r="W157" t="str">
        <x:f>IF(A157="","",IF(COUNTIF($A$4:$A$303,A157)&lt;&gt;1,"ID DUPLICAT",IF(COUNTIF(Frozen_Predictions!$A$4:$A$303,A157)&lt;&gt;1,"ID INEXISTENT SAU DUPLICAT ÎN FROZEN",IF(COUNT(K157:L157)&lt;2,"COMPLETEAZĂ SCORUL","VERIFICAT"))))</x:f>
      </x:c>
    </x:row>
    <x:row r="158">
      <x:c r="A158" s="141"/>
      <x:c r="B158" t="str">
        <x:f>IF(OR(A158="",COUNTIF(Frozen_Predictions!$A$4:$A$303,A158)&lt;&gt;1),"",INDEX(Frozen_Predictions!$C$4:$C$303,MATCH(A158,Frozen_Predictions!$A$4:$A$303,0)))</x:f>
      </x:c>
      <x:c r="C158" t="str">
        <x:f>IF(OR(A158="",COUNTIF(Frozen_Predictions!$A$4:$A$303,A158)&lt;&gt;1),"",INDEX(Frozen_Predictions!$E$4:$E$303,MATCH(A158,Frozen_Predictions!$A$4:$A$303,0)))</x:f>
      </x:c>
      <x:c r="D158" t="str">
        <x:f>IF(OR(A158="",COUNTIF(Frozen_Predictions!$A$4:$A$303,A158)&lt;&gt;1),"",INDEX(Frozen_Predictions!$F$4:$F$303,MATCH(A158,Frozen_Predictions!$A$4:$A$303,0)))</x:f>
      </x:c>
      <x:c r="E158" t="str">
        <x:f>IF(OR(A158="",COUNTIF(Frozen_Predictions!$A$4:$A$303,A158)&lt;&gt;1),"",INDEX(Frozen_Predictions!$G$4:$G$303,MATCH(A158,Frozen_Predictions!$A$4:$A$303,0)))</x:f>
      </x:c>
      <x:c r="F158" t="str">
        <x:f>IF(OR(A158="",COUNTIF(Frozen_Predictions!$A$4:$A$303,A158)&lt;&gt;1),"",INDEX(Frozen_Predictions!$H$4:$H$303,MATCH(A158,Frozen_Predictions!$A$4:$A$303,0)))</x:f>
      </x:c>
      <x:c r="G158" t="str">
        <x:f>IF(OR(A158="",COUNTIF(Frozen_Predictions!$A$4:$A$303,A158)&lt;&gt;1),"",INDEX(Frozen_Predictions!$I$4:$I$303,MATCH(A158,Frozen_Predictions!$A$4:$A$303,0)))</x:f>
      </x:c>
      <x:c r="H158" t="str">
        <x:f>IF(OR(A158="",COUNTIF(Frozen_Predictions!$A$4:$A$303,A158)&lt;&gt;1),"",INDEX(Frozen_Predictions!$J$4:$J$303,MATCH(A158,Frozen_Predictions!$A$4:$A$303,0)))</x:f>
      </x:c>
      <x:c r="I158" t="str">
        <x:f>IF(OR(A158="",COUNTIF(Frozen_Predictions!$A$4:$A$303,A158)&lt;&gt;1),"",INDEX(Frozen_Predictions!$K$4:$K$303,MATCH(A158,Frozen_Predictions!$A$4:$A$303,0)))</x:f>
      </x:c>
      <x:c r="J158" s="142" t="str">
        <x:f>IF(OR(A158="",G158="",COUNT(K158:M158)&lt;3,COUNTIF($A$4:$A$303,A158)&lt;&gt;1),"",IF(IF(M158+F158&gt;0,"1",IF(M158+F158=0,"X","2"))=G158&amp;"",1,0))</x:f>
      </x:c>
      <x:c r="K158" s="143"/>
      <x:c r="L158" s="143"/>
      <x:c r="M158" s="142" t="str">
        <x:f>IF(AND(A158&lt;&gt;"",COUNT(K158:L158)=2),K158-L158,"")</x:f>
      </x:c>
      <x:c r="N158" s="142" t="str">
        <x:f>IF(J158="","",IF(M158+F158=0,"YES","NO"))</x:f>
      </x:c>
      <x:c r="O158" t="str">
        <x:f>IF(J158="","",IF(J158=1,"WIN",IF(N158="YES","Exact margin M="&amp;ABS(F158),"Direction / tail")))</x:f>
      </x:c>
      <x:c r="P158" s="141"/>
      <x:c r="Q158" s="141"/>
      <x:c r="R158" s="144" t="str">
        <x:f>IF(OR(I158="",J158=""),"",(I158-J158)^2)</x:f>
      </x:c>
      <x:c r="S158" s="144" t="str">
        <x:f>IF(OR(I158="",J158=""),"",-(J158*LN(MAX(MIN(I158,0.999999),0.000001))+(1-J158)*LN(MAX(MIN(1-I158,0.999999),0.000001))))</x:f>
      </x:c>
      <x:c r="T158" t="str">
        <x:f>IF(J158="","",INDEX(Frozen_Predictions!$M$4:$M$303,MATCH(A158,Frozen_Predictions!$A$4:$A$303,0)))</x:f>
      </x:c>
      <x:c r="U158" t="str">
        <x:f>IF(J158="","",INDEX(Frozen_Predictions!$W$4:$W$303,MATCH(A158,Frozen_Predictions!$A$4:$A$303,0)))</x:f>
      </x:c>
      <x:c r="V158" t="str">
        <x:f>IF(J158="","",INDEX(Frozen_Predictions!$X$4:$X$303,MATCH(A158,Frozen_Predictions!$A$4:$A$303,0)))</x:f>
      </x:c>
      <x:c r="W158" t="str">
        <x:f>IF(A158="","",IF(COUNTIF($A$4:$A$303,A158)&lt;&gt;1,"ID DUPLICAT",IF(COUNTIF(Frozen_Predictions!$A$4:$A$303,A158)&lt;&gt;1,"ID INEXISTENT SAU DUPLICAT ÎN FROZEN",IF(COUNT(K158:L158)&lt;2,"COMPLETEAZĂ SCORUL","VERIFICAT"))))</x:f>
      </x:c>
    </x:row>
    <x:row r="159">
      <x:c r="A159" s="141"/>
      <x:c r="B159" t="str">
        <x:f>IF(OR(A159="",COUNTIF(Frozen_Predictions!$A$4:$A$303,A159)&lt;&gt;1),"",INDEX(Frozen_Predictions!$C$4:$C$303,MATCH(A159,Frozen_Predictions!$A$4:$A$303,0)))</x:f>
      </x:c>
      <x:c r="C159" t="str">
        <x:f>IF(OR(A159="",COUNTIF(Frozen_Predictions!$A$4:$A$303,A159)&lt;&gt;1),"",INDEX(Frozen_Predictions!$E$4:$E$303,MATCH(A159,Frozen_Predictions!$A$4:$A$303,0)))</x:f>
      </x:c>
      <x:c r="D159" t="str">
        <x:f>IF(OR(A159="",COUNTIF(Frozen_Predictions!$A$4:$A$303,A159)&lt;&gt;1),"",INDEX(Frozen_Predictions!$F$4:$F$303,MATCH(A159,Frozen_Predictions!$A$4:$A$303,0)))</x:f>
      </x:c>
      <x:c r="E159" t="str">
        <x:f>IF(OR(A159="",COUNTIF(Frozen_Predictions!$A$4:$A$303,A159)&lt;&gt;1),"",INDEX(Frozen_Predictions!$G$4:$G$303,MATCH(A159,Frozen_Predictions!$A$4:$A$303,0)))</x:f>
      </x:c>
      <x:c r="F159" t="str">
        <x:f>IF(OR(A159="",COUNTIF(Frozen_Predictions!$A$4:$A$303,A159)&lt;&gt;1),"",INDEX(Frozen_Predictions!$H$4:$H$303,MATCH(A159,Frozen_Predictions!$A$4:$A$303,0)))</x:f>
      </x:c>
      <x:c r="G159" t="str">
        <x:f>IF(OR(A159="",COUNTIF(Frozen_Predictions!$A$4:$A$303,A159)&lt;&gt;1),"",INDEX(Frozen_Predictions!$I$4:$I$303,MATCH(A159,Frozen_Predictions!$A$4:$A$303,0)))</x:f>
      </x:c>
      <x:c r="H159" t="str">
        <x:f>IF(OR(A159="",COUNTIF(Frozen_Predictions!$A$4:$A$303,A159)&lt;&gt;1),"",INDEX(Frozen_Predictions!$J$4:$J$303,MATCH(A159,Frozen_Predictions!$A$4:$A$303,0)))</x:f>
      </x:c>
      <x:c r="I159" t="str">
        <x:f>IF(OR(A159="",COUNTIF(Frozen_Predictions!$A$4:$A$303,A159)&lt;&gt;1),"",INDEX(Frozen_Predictions!$K$4:$K$303,MATCH(A159,Frozen_Predictions!$A$4:$A$303,0)))</x:f>
      </x:c>
      <x:c r="J159" s="142" t="str">
        <x:f>IF(OR(A159="",G159="",COUNT(K159:M159)&lt;3,COUNTIF($A$4:$A$303,A159)&lt;&gt;1),"",IF(IF(M159+F159&gt;0,"1",IF(M159+F159=0,"X","2"))=G159&amp;"",1,0))</x:f>
      </x:c>
      <x:c r="K159" s="143"/>
      <x:c r="L159" s="143"/>
      <x:c r="M159" s="142" t="str">
        <x:f>IF(AND(A159&lt;&gt;"",COUNT(K159:L159)=2),K159-L159,"")</x:f>
      </x:c>
      <x:c r="N159" s="142" t="str">
        <x:f>IF(J159="","",IF(M159+F159=0,"YES","NO"))</x:f>
      </x:c>
      <x:c r="O159" t="str">
        <x:f>IF(J159="","",IF(J159=1,"WIN",IF(N159="YES","Exact margin M="&amp;ABS(F159),"Direction / tail")))</x:f>
      </x:c>
      <x:c r="P159" s="141"/>
      <x:c r="Q159" s="141"/>
      <x:c r="R159" s="144" t="str">
        <x:f>IF(OR(I159="",J159=""),"",(I159-J159)^2)</x:f>
      </x:c>
      <x:c r="S159" s="144" t="str">
        <x:f>IF(OR(I159="",J159=""),"",-(J159*LN(MAX(MIN(I159,0.999999),0.000001))+(1-J159)*LN(MAX(MIN(1-I159,0.999999),0.000001))))</x:f>
      </x:c>
      <x:c r="T159" t="str">
        <x:f>IF(J159="","",INDEX(Frozen_Predictions!$M$4:$M$303,MATCH(A159,Frozen_Predictions!$A$4:$A$303,0)))</x:f>
      </x:c>
      <x:c r="U159" t="str">
        <x:f>IF(J159="","",INDEX(Frozen_Predictions!$W$4:$W$303,MATCH(A159,Frozen_Predictions!$A$4:$A$303,0)))</x:f>
      </x:c>
      <x:c r="V159" t="str">
        <x:f>IF(J159="","",INDEX(Frozen_Predictions!$X$4:$X$303,MATCH(A159,Frozen_Predictions!$A$4:$A$303,0)))</x:f>
      </x:c>
      <x:c r="W159" t="str">
        <x:f>IF(A159="","",IF(COUNTIF($A$4:$A$303,A159)&lt;&gt;1,"ID DUPLICAT",IF(COUNTIF(Frozen_Predictions!$A$4:$A$303,A159)&lt;&gt;1,"ID INEXISTENT SAU DUPLICAT ÎN FROZEN",IF(COUNT(K159:L159)&lt;2,"COMPLETEAZĂ SCORUL","VERIFICAT"))))</x:f>
      </x:c>
    </x:row>
    <x:row r="160">
      <x:c r="A160" s="141"/>
      <x:c r="B160" t="str">
        <x:f>IF(OR(A160="",COUNTIF(Frozen_Predictions!$A$4:$A$303,A160)&lt;&gt;1),"",INDEX(Frozen_Predictions!$C$4:$C$303,MATCH(A160,Frozen_Predictions!$A$4:$A$303,0)))</x:f>
      </x:c>
      <x:c r="C160" t="str">
        <x:f>IF(OR(A160="",COUNTIF(Frozen_Predictions!$A$4:$A$303,A160)&lt;&gt;1),"",INDEX(Frozen_Predictions!$E$4:$E$303,MATCH(A160,Frozen_Predictions!$A$4:$A$303,0)))</x:f>
      </x:c>
      <x:c r="D160" t="str">
        <x:f>IF(OR(A160="",COUNTIF(Frozen_Predictions!$A$4:$A$303,A160)&lt;&gt;1),"",INDEX(Frozen_Predictions!$F$4:$F$303,MATCH(A160,Frozen_Predictions!$A$4:$A$303,0)))</x:f>
      </x:c>
      <x:c r="E160" t="str">
        <x:f>IF(OR(A160="",COUNTIF(Frozen_Predictions!$A$4:$A$303,A160)&lt;&gt;1),"",INDEX(Frozen_Predictions!$G$4:$G$303,MATCH(A160,Frozen_Predictions!$A$4:$A$303,0)))</x:f>
      </x:c>
      <x:c r="F160" t="str">
        <x:f>IF(OR(A160="",COUNTIF(Frozen_Predictions!$A$4:$A$303,A160)&lt;&gt;1),"",INDEX(Frozen_Predictions!$H$4:$H$303,MATCH(A160,Frozen_Predictions!$A$4:$A$303,0)))</x:f>
      </x:c>
      <x:c r="G160" t="str">
        <x:f>IF(OR(A160="",COUNTIF(Frozen_Predictions!$A$4:$A$303,A160)&lt;&gt;1),"",INDEX(Frozen_Predictions!$I$4:$I$303,MATCH(A160,Frozen_Predictions!$A$4:$A$303,0)))</x:f>
      </x:c>
      <x:c r="H160" t="str">
        <x:f>IF(OR(A160="",COUNTIF(Frozen_Predictions!$A$4:$A$303,A160)&lt;&gt;1),"",INDEX(Frozen_Predictions!$J$4:$J$303,MATCH(A160,Frozen_Predictions!$A$4:$A$303,0)))</x:f>
      </x:c>
      <x:c r="I160" t="str">
        <x:f>IF(OR(A160="",COUNTIF(Frozen_Predictions!$A$4:$A$303,A160)&lt;&gt;1),"",INDEX(Frozen_Predictions!$K$4:$K$303,MATCH(A160,Frozen_Predictions!$A$4:$A$303,0)))</x:f>
      </x:c>
      <x:c r="J160" s="142" t="str">
        <x:f>IF(OR(A160="",G160="",COUNT(K160:M160)&lt;3,COUNTIF($A$4:$A$303,A160)&lt;&gt;1),"",IF(IF(M160+F160&gt;0,"1",IF(M160+F160=0,"X","2"))=G160&amp;"",1,0))</x:f>
      </x:c>
      <x:c r="K160" s="143"/>
      <x:c r="L160" s="143"/>
      <x:c r="M160" s="142" t="str">
        <x:f>IF(AND(A160&lt;&gt;"",COUNT(K160:L160)=2),K160-L160,"")</x:f>
      </x:c>
      <x:c r="N160" s="142" t="str">
        <x:f>IF(J160="","",IF(M160+F160=0,"YES","NO"))</x:f>
      </x:c>
      <x:c r="O160" t="str">
        <x:f>IF(J160="","",IF(J160=1,"WIN",IF(N160="YES","Exact margin M="&amp;ABS(F160),"Direction / tail")))</x:f>
      </x:c>
      <x:c r="P160" s="141"/>
      <x:c r="Q160" s="141"/>
      <x:c r="R160" s="144" t="str">
        <x:f>IF(OR(I160="",J160=""),"",(I160-J160)^2)</x:f>
      </x:c>
      <x:c r="S160" s="144" t="str">
        <x:f>IF(OR(I160="",J160=""),"",-(J160*LN(MAX(MIN(I160,0.999999),0.000001))+(1-J160)*LN(MAX(MIN(1-I160,0.999999),0.000001))))</x:f>
      </x:c>
      <x:c r="T160" t="str">
        <x:f>IF(J160="","",INDEX(Frozen_Predictions!$M$4:$M$303,MATCH(A160,Frozen_Predictions!$A$4:$A$303,0)))</x:f>
      </x:c>
      <x:c r="U160" t="str">
        <x:f>IF(J160="","",INDEX(Frozen_Predictions!$W$4:$W$303,MATCH(A160,Frozen_Predictions!$A$4:$A$303,0)))</x:f>
      </x:c>
      <x:c r="V160" t="str">
        <x:f>IF(J160="","",INDEX(Frozen_Predictions!$X$4:$X$303,MATCH(A160,Frozen_Predictions!$A$4:$A$303,0)))</x:f>
      </x:c>
      <x:c r="W160" t="str">
        <x:f>IF(A160="","",IF(COUNTIF($A$4:$A$303,A160)&lt;&gt;1,"ID DUPLICAT",IF(COUNTIF(Frozen_Predictions!$A$4:$A$303,A160)&lt;&gt;1,"ID INEXISTENT SAU DUPLICAT ÎN FROZEN",IF(COUNT(K160:L160)&lt;2,"COMPLETEAZĂ SCORUL","VERIFICAT"))))</x:f>
      </x:c>
    </x:row>
    <x:row r="161">
      <x:c r="A161" s="141"/>
      <x:c r="B161" t="str">
        <x:f>IF(OR(A161="",COUNTIF(Frozen_Predictions!$A$4:$A$303,A161)&lt;&gt;1),"",INDEX(Frozen_Predictions!$C$4:$C$303,MATCH(A161,Frozen_Predictions!$A$4:$A$303,0)))</x:f>
      </x:c>
      <x:c r="C161" t="str">
        <x:f>IF(OR(A161="",COUNTIF(Frozen_Predictions!$A$4:$A$303,A161)&lt;&gt;1),"",INDEX(Frozen_Predictions!$E$4:$E$303,MATCH(A161,Frozen_Predictions!$A$4:$A$303,0)))</x:f>
      </x:c>
      <x:c r="D161" t="str">
        <x:f>IF(OR(A161="",COUNTIF(Frozen_Predictions!$A$4:$A$303,A161)&lt;&gt;1),"",INDEX(Frozen_Predictions!$F$4:$F$303,MATCH(A161,Frozen_Predictions!$A$4:$A$303,0)))</x:f>
      </x:c>
      <x:c r="E161" t="str">
        <x:f>IF(OR(A161="",COUNTIF(Frozen_Predictions!$A$4:$A$303,A161)&lt;&gt;1),"",INDEX(Frozen_Predictions!$G$4:$G$303,MATCH(A161,Frozen_Predictions!$A$4:$A$303,0)))</x:f>
      </x:c>
      <x:c r="F161" t="str">
        <x:f>IF(OR(A161="",COUNTIF(Frozen_Predictions!$A$4:$A$303,A161)&lt;&gt;1),"",INDEX(Frozen_Predictions!$H$4:$H$303,MATCH(A161,Frozen_Predictions!$A$4:$A$303,0)))</x:f>
      </x:c>
      <x:c r="G161" t="str">
        <x:f>IF(OR(A161="",COUNTIF(Frozen_Predictions!$A$4:$A$303,A161)&lt;&gt;1),"",INDEX(Frozen_Predictions!$I$4:$I$303,MATCH(A161,Frozen_Predictions!$A$4:$A$303,0)))</x:f>
      </x:c>
      <x:c r="H161" t="str">
        <x:f>IF(OR(A161="",COUNTIF(Frozen_Predictions!$A$4:$A$303,A161)&lt;&gt;1),"",INDEX(Frozen_Predictions!$J$4:$J$303,MATCH(A161,Frozen_Predictions!$A$4:$A$303,0)))</x:f>
      </x:c>
      <x:c r="I161" t="str">
        <x:f>IF(OR(A161="",COUNTIF(Frozen_Predictions!$A$4:$A$303,A161)&lt;&gt;1),"",INDEX(Frozen_Predictions!$K$4:$K$303,MATCH(A161,Frozen_Predictions!$A$4:$A$303,0)))</x:f>
      </x:c>
      <x:c r="J161" s="142" t="str">
        <x:f>IF(OR(A161="",G161="",COUNT(K161:M161)&lt;3,COUNTIF($A$4:$A$303,A161)&lt;&gt;1),"",IF(IF(M161+F161&gt;0,"1",IF(M161+F161=0,"X","2"))=G161&amp;"",1,0))</x:f>
      </x:c>
      <x:c r="K161" s="143"/>
      <x:c r="L161" s="143"/>
      <x:c r="M161" s="142" t="str">
        <x:f>IF(AND(A161&lt;&gt;"",COUNT(K161:L161)=2),K161-L161,"")</x:f>
      </x:c>
      <x:c r="N161" s="142" t="str">
        <x:f>IF(J161="","",IF(M161+F161=0,"YES","NO"))</x:f>
      </x:c>
      <x:c r="O161" t="str">
        <x:f>IF(J161="","",IF(J161=1,"WIN",IF(N161="YES","Exact margin M="&amp;ABS(F161),"Direction / tail")))</x:f>
      </x:c>
      <x:c r="P161" s="141"/>
      <x:c r="Q161" s="141"/>
      <x:c r="R161" s="144" t="str">
        <x:f>IF(OR(I161="",J161=""),"",(I161-J161)^2)</x:f>
      </x:c>
      <x:c r="S161" s="144" t="str">
        <x:f>IF(OR(I161="",J161=""),"",-(J161*LN(MAX(MIN(I161,0.999999),0.000001))+(1-J161)*LN(MAX(MIN(1-I161,0.999999),0.000001))))</x:f>
      </x:c>
      <x:c r="T161" t="str">
        <x:f>IF(J161="","",INDEX(Frozen_Predictions!$M$4:$M$303,MATCH(A161,Frozen_Predictions!$A$4:$A$303,0)))</x:f>
      </x:c>
      <x:c r="U161" t="str">
        <x:f>IF(J161="","",INDEX(Frozen_Predictions!$W$4:$W$303,MATCH(A161,Frozen_Predictions!$A$4:$A$303,0)))</x:f>
      </x:c>
      <x:c r="V161" t="str">
        <x:f>IF(J161="","",INDEX(Frozen_Predictions!$X$4:$X$303,MATCH(A161,Frozen_Predictions!$A$4:$A$303,0)))</x:f>
      </x:c>
      <x:c r="W161" t="str">
        <x:f>IF(A161="","",IF(COUNTIF($A$4:$A$303,A161)&lt;&gt;1,"ID DUPLICAT",IF(COUNTIF(Frozen_Predictions!$A$4:$A$303,A161)&lt;&gt;1,"ID INEXISTENT SAU DUPLICAT ÎN FROZEN",IF(COUNT(K161:L161)&lt;2,"COMPLETEAZĂ SCORUL","VERIFICAT"))))</x:f>
      </x:c>
    </x:row>
    <x:row r="162">
      <x:c r="A162" s="141"/>
      <x:c r="B162" t="str">
        <x:f>IF(OR(A162="",COUNTIF(Frozen_Predictions!$A$4:$A$303,A162)&lt;&gt;1),"",INDEX(Frozen_Predictions!$C$4:$C$303,MATCH(A162,Frozen_Predictions!$A$4:$A$303,0)))</x:f>
      </x:c>
      <x:c r="C162" t="str">
        <x:f>IF(OR(A162="",COUNTIF(Frozen_Predictions!$A$4:$A$303,A162)&lt;&gt;1),"",INDEX(Frozen_Predictions!$E$4:$E$303,MATCH(A162,Frozen_Predictions!$A$4:$A$303,0)))</x:f>
      </x:c>
      <x:c r="D162" t="str">
        <x:f>IF(OR(A162="",COUNTIF(Frozen_Predictions!$A$4:$A$303,A162)&lt;&gt;1),"",INDEX(Frozen_Predictions!$F$4:$F$303,MATCH(A162,Frozen_Predictions!$A$4:$A$303,0)))</x:f>
      </x:c>
      <x:c r="E162" t="str">
        <x:f>IF(OR(A162="",COUNTIF(Frozen_Predictions!$A$4:$A$303,A162)&lt;&gt;1),"",INDEX(Frozen_Predictions!$G$4:$G$303,MATCH(A162,Frozen_Predictions!$A$4:$A$303,0)))</x:f>
      </x:c>
      <x:c r="F162" t="str">
        <x:f>IF(OR(A162="",COUNTIF(Frozen_Predictions!$A$4:$A$303,A162)&lt;&gt;1),"",INDEX(Frozen_Predictions!$H$4:$H$303,MATCH(A162,Frozen_Predictions!$A$4:$A$303,0)))</x:f>
      </x:c>
      <x:c r="G162" t="str">
        <x:f>IF(OR(A162="",COUNTIF(Frozen_Predictions!$A$4:$A$303,A162)&lt;&gt;1),"",INDEX(Frozen_Predictions!$I$4:$I$303,MATCH(A162,Frozen_Predictions!$A$4:$A$303,0)))</x:f>
      </x:c>
      <x:c r="H162" t="str">
        <x:f>IF(OR(A162="",COUNTIF(Frozen_Predictions!$A$4:$A$303,A162)&lt;&gt;1),"",INDEX(Frozen_Predictions!$J$4:$J$303,MATCH(A162,Frozen_Predictions!$A$4:$A$303,0)))</x:f>
      </x:c>
      <x:c r="I162" t="str">
        <x:f>IF(OR(A162="",COUNTIF(Frozen_Predictions!$A$4:$A$303,A162)&lt;&gt;1),"",INDEX(Frozen_Predictions!$K$4:$K$303,MATCH(A162,Frozen_Predictions!$A$4:$A$303,0)))</x:f>
      </x:c>
      <x:c r="J162" s="142" t="str">
        <x:f>IF(OR(A162="",G162="",COUNT(K162:M162)&lt;3,COUNTIF($A$4:$A$303,A162)&lt;&gt;1),"",IF(IF(M162+F162&gt;0,"1",IF(M162+F162=0,"X","2"))=G162&amp;"",1,0))</x:f>
      </x:c>
      <x:c r="K162" s="143"/>
      <x:c r="L162" s="143"/>
      <x:c r="M162" s="142" t="str">
        <x:f>IF(AND(A162&lt;&gt;"",COUNT(K162:L162)=2),K162-L162,"")</x:f>
      </x:c>
      <x:c r="N162" s="142" t="str">
        <x:f>IF(J162="","",IF(M162+F162=0,"YES","NO"))</x:f>
      </x:c>
      <x:c r="O162" t="str">
        <x:f>IF(J162="","",IF(J162=1,"WIN",IF(N162="YES","Exact margin M="&amp;ABS(F162),"Direction / tail")))</x:f>
      </x:c>
      <x:c r="P162" s="141"/>
      <x:c r="Q162" s="141"/>
      <x:c r="R162" s="144" t="str">
        <x:f>IF(OR(I162="",J162=""),"",(I162-J162)^2)</x:f>
      </x:c>
      <x:c r="S162" s="144" t="str">
        <x:f>IF(OR(I162="",J162=""),"",-(J162*LN(MAX(MIN(I162,0.999999),0.000001))+(1-J162)*LN(MAX(MIN(1-I162,0.999999),0.000001))))</x:f>
      </x:c>
      <x:c r="T162" t="str">
        <x:f>IF(J162="","",INDEX(Frozen_Predictions!$M$4:$M$303,MATCH(A162,Frozen_Predictions!$A$4:$A$303,0)))</x:f>
      </x:c>
      <x:c r="U162" t="str">
        <x:f>IF(J162="","",INDEX(Frozen_Predictions!$W$4:$W$303,MATCH(A162,Frozen_Predictions!$A$4:$A$303,0)))</x:f>
      </x:c>
      <x:c r="V162" t="str">
        <x:f>IF(J162="","",INDEX(Frozen_Predictions!$X$4:$X$303,MATCH(A162,Frozen_Predictions!$A$4:$A$303,0)))</x:f>
      </x:c>
      <x:c r="W162" t="str">
        <x:f>IF(A162="","",IF(COUNTIF($A$4:$A$303,A162)&lt;&gt;1,"ID DUPLICAT",IF(COUNTIF(Frozen_Predictions!$A$4:$A$303,A162)&lt;&gt;1,"ID INEXISTENT SAU DUPLICAT ÎN FROZEN",IF(COUNT(K162:L162)&lt;2,"COMPLETEAZĂ SCORUL","VERIFICAT"))))</x:f>
      </x:c>
    </x:row>
    <x:row r="163">
      <x:c r="A163" s="141"/>
      <x:c r="B163" t="str">
        <x:f>IF(OR(A163="",COUNTIF(Frozen_Predictions!$A$4:$A$303,A163)&lt;&gt;1),"",INDEX(Frozen_Predictions!$C$4:$C$303,MATCH(A163,Frozen_Predictions!$A$4:$A$303,0)))</x:f>
      </x:c>
      <x:c r="C163" t="str">
        <x:f>IF(OR(A163="",COUNTIF(Frozen_Predictions!$A$4:$A$303,A163)&lt;&gt;1),"",INDEX(Frozen_Predictions!$E$4:$E$303,MATCH(A163,Frozen_Predictions!$A$4:$A$303,0)))</x:f>
      </x:c>
      <x:c r="D163" t="str">
        <x:f>IF(OR(A163="",COUNTIF(Frozen_Predictions!$A$4:$A$303,A163)&lt;&gt;1),"",INDEX(Frozen_Predictions!$F$4:$F$303,MATCH(A163,Frozen_Predictions!$A$4:$A$303,0)))</x:f>
      </x:c>
      <x:c r="E163" t="str">
        <x:f>IF(OR(A163="",COUNTIF(Frozen_Predictions!$A$4:$A$303,A163)&lt;&gt;1),"",INDEX(Frozen_Predictions!$G$4:$G$303,MATCH(A163,Frozen_Predictions!$A$4:$A$303,0)))</x:f>
      </x:c>
      <x:c r="F163" t="str">
        <x:f>IF(OR(A163="",COUNTIF(Frozen_Predictions!$A$4:$A$303,A163)&lt;&gt;1),"",INDEX(Frozen_Predictions!$H$4:$H$303,MATCH(A163,Frozen_Predictions!$A$4:$A$303,0)))</x:f>
      </x:c>
      <x:c r="G163" t="str">
        <x:f>IF(OR(A163="",COUNTIF(Frozen_Predictions!$A$4:$A$303,A163)&lt;&gt;1),"",INDEX(Frozen_Predictions!$I$4:$I$303,MATCH(A163,Frozen_Predictions!$A$4:$A$303,0)))</x:f>
      </x:c>
      <x:c r="H163" t="str">
        <x:f>IF(OR(A163="",COUNTIF(Frozen_Predictions!$A$4:$A$303,A163)&lt;&gt;1),"",INDEX(Frozen_Predictions!$J$4:$J$303,MATCH(A163,Frozen_Predictions!$A$4:$A$303,0)))</x:f>
      </x:c>
      <x:c r="I163" t="str">
        <x:f>IF(OR(A163="",COUNTIF(Frozen_Predictions!$A$4:$A$303,A163)&lt;&gt;1),"",INDEX(Frozen_Predictions!$K$4:$K$303,MATCH(A163,Frozen_Predictions!$A$4:$A$303,0)))</x:f>
      </x:c>
      <x:c r="J163" s="142" t="str">
        <x:f>IF(OR(A163="",G163="",COUNT(K163:M163)&lt;3,COUNTIF($A$4:$A$303,A163)&lt;&gt;1),"",IF(IF(M163+F163&gt;0,"1",IF(M163+F163=0,"X","2"))=G163&amp;"",1,0))</x:f>
      </x:c>
      <x:c r="K163" s="143"/>
      <x:c r="L163" s="143"/>
      <x:c r="M163" s="142" t="str">
        <x:f>IF(AND(A163&lt;&gt;"",COUNT(K163:L163)=2),K163-L163,"")</x:f>
      </x:c>
      <x:c r="N163" s="142" t="str">
        <x:f>IF(J163="","",IF(M163+F163=0,"YES","NO"))</x:f>
      </x:c>
      <x:c r="O163" t="str">
        <x:f>IF(J163="","",IF(J163=1,"WIN",IF(N163="YES","Exact margin M="&amp;ABS(F163),"Direction / tail")))</x:f>
      </x:c>
      <x:c r="P163" s="141"/>
      <x:c r="Q163" s="141"/>
      <x:c r="R163" s="144" t="str">
        <x:f>IF(OR(I163="",J163=""),"",(I163-J163)^2)</x:f>
      </x:c>
      <x:c r="S163" s="144" t="str">
        <x:f>IF(OR(I163="",J163=""),"",-(J163*LN(MAX(MIN(I163,0.999999),0.000001))+(1-J163)*LN(MAX(MIN(1-I163,0.999999),0.000001))))</x:f>
      </x:c>
      <x:c r="T163" t="str">
        <x:f>IF(J163="","",INDEX(Frozen_Predictions!$M$4:$M$303,MATCH(A163,Frozen_Predictions!$A$4:$A$303,0)))</x:f>
      </x:c>
      <x:c r="U163" t="str">
        <x:f>IF(J163="","",INDEX(Frozen_Predictions!$W$4:$W$303,MATCH(A163,Frozen_Predictions!$A$4:$A$303,0)))</x:f>
      </x:c>
      <x:c r="V163" t="str">
        <x:f>IF(J163="","",INDEX(Frozen_Predictions!$X$4:$X$303,MATCH(A163,Frozen_Predictions!$A$4:$A$303,0)))</x:f>
      </x:c>
      <x:c r="W163" t="str">
        <x:f>IF(A163="","",IF(COUNTIF($A$4:$A$303,A163)&lt;&gt;1,"ID DUPLICAT",IF(COUNTIF(Frozen_Predictions!$A$4:$A$303,A163)&lt;&gt;1,"ID INEXISTENT SAU DUPLICAT ÎN FROZEN",IF(COUNT(K163:L163)&lt;2,"COMPLETEAZĂ SCORUL","VERIFICAT"))))</x:f>
      </x:c>
    </x:row>
    <x:row r="164">
      <x:c r="A164" s="141"/>
      <x:c r="B164" t="str">
        <x:f>IF(OR(A164="",COUNTIF(Frozen_Predictions!$A$4:$A$303,A164)&lt;&gt;1),"",INDEX(Frozen_Predictions!$C$4:$C$303,MATCH(A164,Frozen_Predictions!$A$4:$A$303,0)))</x:f>
      </x:c>
      <x:c r="C164" t="str">
        <x:f>IF(OR(A164="",COUNTIF(Frozen_Predictions!$A$4:$A$303,A164)&lt;&gt;1),"",INDEX(Frozen_Predictions!$E$4:$E$303,MATCH(A164,Frozen_Predictions!$A$4:$A$303,0)))</x:f>
      </x:c>
      <x:c r="D164" t="str">
        <x:f>IF(OR(A164="",COUNTIF(Frozen_Predictions!$A$4:$A$303,A164)&lt;&gt;1),"",INDEX(Frozen_Predictions!$F$4:$F$303,MATCH(A164,Frozen_Predictions!$A$4:$A$303,0)))</x:f>
      </x:c>
      <x:c r="E164" t="str">
        <x:f>IF(OR(A164="",COUNTIF(Frozen_Predictions!$A$4:$A$303,A164)&lt;&gt;1),"",INDEX(Frozen_Predictions!$G$4:$G$303,MATCH(A164,Frozen_Predictions!$A$4:$A$303,0)))</x:f>
      </x:c>
      <x:c r="F164" t="str">
        <x:f>IF(OR(A164="",COUNTIF(Frozen_Predictions!$A$4:$A$303,A164)&lt;&gt;1),"",INDEX(Frozen_Predictions!$H$4:$H$303,MATCH(A164,Frozen_Predictions!$A$4:$A$303,0)))</x:f>
      </x:c>
      <x:c r="G164" t="str">
        <x:f>IF(OR(A164="",COUNTIF(Frozen_Predictions!$A$4:$A$303,A164)&lt;&gt;1),"",INDEX(Frozen_Predictions!$I$4:$I$303,MATCH(A164,Frozen_Predictions!$A$4:$A$303,0)))</x:f>
      </x:c>
      <x:c r="H164" t="str">
        <x:f>IF(OR(A164="",COUNTIF(Frozen_Predictions!$A$4:$A$303,A164)&lt;&gt;1),"",INDEX(Frozen_Predictions!$J$4:$J$303,MATCH(A164,Frozen_Predictions!$A$4:$A$303,0)))</x:f>
      </x:c>
      <x:c r="I164" t="str">
        <x:f>IF(OR(A164="",COUNTIF(Frozen_Predictions!$A$4:$A$303,A164)&lt;&gt;1),"",INDEX(Frozen_Predictions!$K$4:$K$303,MATCH(A164,Frozen_Predictions!$A$4:$A$303,0)))</x:f>
      </x:c>
      <x:c r="J164" s="142" t="str">
        <x:f>IF(OR(A164="",G164="",COUNT(K164:M164)&lt;3,COUNTIF($A$4:$A$303,A164)&lt;&gt;1),"",IF(IF(M164+F164&gt;0,"1",IF(M164+F164=0,"X","2"))=G164&amp;"",1,0))</x:f>
      </x:c>
      <x:c r="K164" s="143"/>
      <x:c r="L164" s="143"/>
      <x:c r="M164" s="142" t="str">
        <x:f>IF(AND(A164&lt;&gt;"",COUNT(K164:L164)=2),K164-L164,"")</x:f>
      </x:c>
      <x:c r="N164" s="142" t="str">
        <x:f>IF(J164="","",IF(M164+F164=0,"YES","NO"))</x:f>
      </x:c>
      <x:c r="O164" t="str">
        <x:f>IF(J164="","",IF(J164=1,"WIN",IF(N164="YES","Exact margin M="&amp;ABS(F164),"Direction / tail")))</x:f>
      </x:c>
      <x:c r="P164" s="141"/>
      <x:c r="Q164" s="141"/>
      <x:c r="R164" s="144" t="str">
        <x:f>IF(OR(I164="",J164=""),"",(I164-J164)^2)</x:f>
      </x:c>
      <x:c r="S164" s="144" t="str">
        <x:f>IF(OR(I164="",J164=""),"",-(J164*LN(MAX(MIN(I164,0.999999),0.000001))+(1-J164)*LN(MAX(MIN(1-I164,0.999999),0.000001))))</x:f>
      </x:c>
      <x:c r="T164" t="str">
        <x:f>IF(J164="","",INDEX(Frozen_Predictions!$M$4:$M$303,MATCH(A164,Frozen_Predictions!$A$4:$A$303,0)))</x:f>
      </x:c>
      <x:c r="U164" t="str">
        <x:f>IF(J164="","",INDEX(Frozen_Predictions!$W$4:$W$303,MATCH(A164,Frozen_Predictions!$A$4:$A$303,0)))</x:f>
      </x:c>
      <x:c r="V164" t="str">
        <x:f>IF(J164="","",INDEX(Frozen_Predictions!$X$4:$X$303,MATCH(A164,Frozen_Predictions!$A$4:$A$303,0)))</x:f>
      </x:c>
      <x:c r="W164" t="str">
        <x:f>IF(A164="","",IF(COUNTIF($A$4:$A$303,A164)&lt;&gt;1,"ID DUPLICAT",IF(COUNTIF(Frozen_Predictions!$A$4:$A$303,A164)&lt;&gt;1,"ID INEXISTENT SAU DUPLICAT ÎN FROZEN",IF(COUNT(K164:L164)&lt;2,"COMPLETEAZĂ SCORUL","VERIFICAT"))))</x:f>
      </x:c>
    </x:row>
    <x:row r="165">
      <x:c r="A165" s="141"/>
      <x:c r="B165" t="str">
        <x:f>IF(OR(A165="",COUNTIF(Frozen_Predictions!$A$4:$A$303,A165)&lt;&gt;1),"",INDEX(Frozen_Predictions!$C$4:$C$303,MATCH(A165,Frozen_Predictions!$A$4:$A$303,0)))</x:f>
      </x:c>
      <x:c r="C165" t="str">
        <x:f>IF(OR(A165="",COUNTIF(Frozen_Predictions!$A$4:$A$303,A165)&lt;&gt;1),"",INDEX(Frozen_Predictions!$E$4:$E$303,MATCH(A165,Frozen_Predictions!$A$4:$A$303,0)))</x:f>
      </x:c>
      <x:c r="D165" t="str">
        <x:f>IF(OR(A165="",COUNTIF(Frozen_Predictions!$A$4:$A$303,A165)&lt;&gt;1),"",INDEX(Frozen_Predictions!$F$4:$F$303,MATCH(A165,Frozen_Predictions!$A$4:$A$303,0)))</x:f>
      </x:c>
      <x:c r="E165" t="str">
        <x:f>IF(OR(A165="",COUNTIF(Frozen_Predictions!$A$4:$A$303,A165)&lt;&gt;1),"",INDEX(Frozen_Predictions!$G$4:$G$303,MATCH(A165,Frozen_Predictions!$A$4:$A$303,0)))</x:f>
      </x:c>
      <x:c r="F165" t="str">
        <x:f>IF(OR(A165="",COUNTIF(Frozen_Predictions!$A$4:$A$303,A165)&lt;&gt;1),"",INDEX(Frozen_Predictions!$H$4:$H$303,MATCH(A165,Frozen_Predictions!$A$4:$A$303,0)))</x:f>
      </x:c>
      <x:c r="G165" t="str">
        <x:f>IF(OR(A165="",COUNTIF(Frozen_Predictions!$A$4:$A$303,A165)&lt;&gt;1),"",INDEX(Frozen_Predictions!$I$4:$I$303,MATCH(A165,Frozen_Predictions!$A$4:$A$303,0)))</x:f>
      </x:c>
      <x:c r="H165" t="str">
        <x:f>IF(OR(A165="",COUNTIF(Frozen_Predictions!$A$4:$A$303,A165)&lt;&gt;1),"",INDEX(Frozen_Predictions!$J$4:$J$303,MATCH(A165,Frozen_Predictions!$A$4:$A$303,0)))</x:f>
      </x:c>
      <x:c r="I165" t="str">
        <x:f>IF(OR(A165="",COUNTIF(Frozen_Predictions!$A$4:$A$303,A165)&lt;&gt;1),"",INDEX(Frozen_Predictions!$K$4:$K$303,MATCH(A165,Frozen_Predictions!$A$4:$A$303,0)))</x:f>
      </x:c>
      <x:c r="J165" s="142" t="str">
        <x:f>IF(OR(A165="",G165="",COUNT(K165:M165)&lt;3,COUNTIF($A$4:$A$303,A165)&lt;&gt;1),"",IF(IF(M165+F165&gt;0,"1",IF(M165+F165=0,"X","2"))=G165&amp;"",1,0))</x:f>
      </x:c>
      <x:c r="K165" s="143"/>
      <x:c r="L165" s="143"/>
      <x:c r="M165" s="142" t="str">
        <x:f>IF(AND(A165&lt;&gt;"",COUNT(K165:L165)=2),K165-L165,"")</x:f>
      </x:c>
      <x:c r="N165" s="142" t="str">
        <x:f>IF(J165="","",IF(M165+F165=0,"YES","NO"))</x:f>
      </x:c>
      <x:c r="O165" t="str">
        <x:f>IF(J165="","",IF(J165=1,"WIN",IF(N165="YES","Exact margin M="&amp;ABS(F165),"Direction / tail")))</x:f>
      </x:c>
      <x:c r="P165" s="141"/>
      <x:c r="Q165" s="141"/>
      <x:c r="R165" s="144" t="str">
        <x:f>IF(OR(I165="",J165=""),"",(I165-J165)^2)</x:f>
      </x:c>
      <x:c r="S165" s="144" t="str">
        <x:f>IF(OR(I165="",J165=""),"",-(J165*LN(MAX(MIN(I165,0.999999),0.000001))+(1-J165)*LN(MAX(MIN(1-I165,0.999999),0.000001))))</x:f>
      </x:c>
      <x:c r="T165" t="str">
        <x:f>IF(J165="","",INDEX(Frozen_Predictions!$M$4:$M$303,MATCH(A165,Frozen_Predictions!$A$4:$A$303,0)))</x:f>
      </x:c>
      <x:c r="U165" t="str">
        <x:f>IF(J165="","",INDEX(Frozen_Predictions!$W$4:$W$303,MATCH(A165,Frozen_Predictions!$A$4:$A$303,0)))</x:f>
      </x:c>
      <x:c r="V165" t="str">
        <x:f>IF(J165="","",INDEX(Frozen_Predictions!$X$4:$X$303,MATCH(A165,Frozen_Predictions!$A$4:$A$303,0)))</x:f>
      </x:c>
      <x:c r="W165" t="str">
        <x:f>IF(A165="","",IF(COUNTIF($A$4:$A$303,A165)&lt;&gt;1,"ID DUPLICAT",IF(COUNTIF(Frozen_Predictions!$A$4:$A$303,A165)&lt;&gt;1,"ID INEXISTENT SAU DUPLICAT ÎN FROZEN",IF(COUNT(K165:L165)&lt;2,"COMPLETEAZĂ SCORUL","VERIFICAT"))))</x:f>
      </x:c>
    </x:row>
    <x:row r="166">
      <x:c r="A166" s="141"/>
      <x:c r="B166" t="str">
        <x:f>IF(OR(A166="",COUNTIF(Frozen_Predictions!$A$4:$A$303,A166)&lt;&gt;1),"",INDEX(Frozen_Predictions!$C$4:$C$303,MATCH(A166,Frozen_Predictions!$A$4:$A$303,0)))</x:f>
      </x:c>
      <x:c r="C166" t="str">
        <x:f>IF(OR(A166="",COUNTIF(Frozen_Predictions!$A$4:$A$303,A166)&lt;&gt;1),"",INDEX(Frozen_Predictions!$E$4:$E$303,MATCH(A166,Frozen_Predictions!$A$4:$A$303,0)))</x:f>
      </x:c>
      <x:c r="D166" t="str">
        <x:f>IF(OR(A166="",COUNTIF(Frozen_Predictions!$A$4:$A$303,A166)&lt;&gt;1),"",INDEX(Frozen_Predictions!$F$4:$F$303,MATCH(A166,Frozen_Predictions!$A$4:$A$303,0)))</x:f>
      </x:c>
      <x:c r="E166" t="str">
        <x:f>IF(OR(A166="",COUNTIF(Frozen_Predictions!$A$4:$A$303,A166)&lt;&gt;1),"",INDEX(Frozen_Predictions!$G$4:$G$303,MATCH(A166,Frozen_Predictions!$A$4:$A$303,0)))</x:f>
      </x:c>
      <x:c r="F166" t="str">
        <x:f>IF(OR(A166="",COUNTIF(Frozen_Predictions!$A$4:$A$303,A166)&lt;&gt;1),"",INDEX(Frozen_Predictions!$H$4:$H$303,MATCH(A166,Frozen_Predictions!$A$4:$A$303,0)))</x:f>
      </x:c>
      <x:c r="G166" t="str">
        <x:f>IF(OR(A166="",COUNTIF(Frozen_Predictions!$A$4:$A$303,A166)&lt;&gt;1),"",INDEX(Frozen_Predictions!$I$4:$I$303,MATCH(A166,Frozen_Predictions!$A$4:$A$303,0)))</x:f>
      </x:c>
      <x:c r="H166" t="str">
        <x:f>IF(OR(A166="",COUNTIF(Frozen_Predictions!$A$4:$A$303,A166)&lt;&gt;1),"",INDEX(Frozen_Predictions!$J$4:$J$303,MATCH(A166,Frozen_Predictions!$A$4:$A$303,0)))</x:f>
      </x:c>
      <x:c r="I166" t="str">
        <x:f>IF(OR(A166="",COUNTIF(Frozen_Predictions!$A$4:$A$303,A166)&lt;&gt;1),"",INDEX(Frozen_Predictions!$K$4:$K$303,MATCH(A166,Frozen_Predictions!$A$4:$A$303,0)))</x:f>
      </x:c>
      <x:c r="J166" s="142" t="str">
        <x:f>IF(OR(A166="",G166="",COUNT(K166:M166)&lt;3,COUNTIF($A$4:$A$303,A166)&lt;&gt;1),"",IF(IF(M166+F166&gt;0,"1",IF(M166+F166=0,"X","2"))=G166&amp;"",1,0))</x:f>
      </x:c>
      <x:c r="K166" s="143"/>
      <x:c r="L166" s="143"/>
      <x:c r="M166" s="142" t="str">
        <x:f>IF(AND(A166&lt;&gt;"",COUNT(K166:L166)=2),K166-L166,"")</x:f>
      </x:c>
      <x:c r="N166" s="142" t="str">
        <x:f>IF(J166="","",IF(M166+F166=0,"YES","NO"))</x:f>
      </x:c>
      <x:c r="O166" t="str">
        <x:f>IF(J166="","",IF(J166=1,"WIN",IF(N166="YES","Exact margin M="&amp;ABS(F166),"Direction / tail")))</x:f>
      </x:c>
      <x:c r="P166" s="141"/>
      <x:c r="Q166" s="141"/>
      <x:c r="R166" s="144" t="str">
        <x:f>IF(OR(I166="",J166=""),"",(I166-J166)^2)</x:f>
      </x:c>
      <x:c r="S166" s="144" t="str">
        <x:f>IF(OR(I166="",J166=""),"",-(J166*LN(MAX(MIN(I166,0.999999),0.000001))+(1-J166)*LN(MAX(MIN(1-I166,0.999999),0.000001))))</x:f>
      </x:c>
      <x:c r="T166" t="str">
        <x:f>IF(J166="","",INDEX(Frozen_Predictions!$M$4:$M$303,MATCH(A166,Frozen_Predictions!$A$4:$A$303,0)))</x:f>
      </x:c>
      <x:c r="U166" t="str">
        <x:f>IF(J166="","",INDEX(Frozen_Predictions!$W$4:$W$303,MATCH(A166,Frozen_Predictions!$A$4:$A$303,0)))</x:f>
      </x:c>
      <x:c r="V166" t="str">
        <x:f>IF(J166="","",INDEX(Frozen_Predictions!$X$4:$X$303,MATCH(A166,Frozen_Predictions!$A$4:$A$303,0)))</x:f>
      </x:c>
      <x:c r="W166" t="str">
        <x:f>IF(A166="","",IF(COUNTIF($A$4:$A$303,A166)&lt;&gt;1,"ID DUPLICAT",IF(COUNTIF(Frozen_Predictions!$A$4:$A$303,A166)&lt;&gt;1,"ID INEXISTENT SAU DUPLICAT ÎN FROZEN",IF(COUNT(K166:L166)&lt;2,"COMPLETEAZĂ SCORUL","VERIFICAT"))))</x:f>
      </x:c>
    </x:row>
    <x:row r="167">
      <x:c r="A167" s="141"/>
      <x:c r="B167" t="str">
        <x:f>IF(OR(A167="",COUNTIF(Frozen_Predictions!$A$4:$A$303,A167)&lt;&gt;1),"",INDEX(Frozen_Predictions!$C$4:$C$303,MATCH(A167,Frozen_Predictions!$A$4:$A$303,0)))</x:f>
      </x:c>
      <x:c r="C167" t="str">
        <x:f>IF(OR(A167="",COUNTIF(Frozen_Predictions!$A$4:$A$303,A167)&lt;&gt;1),"",INDEX(Frozen_Predictions!$E$4:$E$303,MATCH(A167,Frozen_Predictions!$A$4:$A$303,0)))</x:f>
      </x:c>
      <x:c r="D167" t="str">
        <x:f>IF(OR(A167="",COUNTIF(Frozen_Predictions!$A$4:$A$303,A167)&lt;&gt;1),"",INDEX(Frozen_Predictions!$F$4:$F$303,MATCH(A167,Frozen_Predictions!$A$4:$A$303,0)))</x:f>
      </x:c>
      <x:c r="E167" t="str">
        <x:f>IF(OR(A167="",COUNTIF(Frozen_Predictions!$A$4:$A$303,A167)&lt;&gt;1),"",INDEX(Frozen_Predictions!$G$4:$G$303,MATCH(A167,Frozen_Predictions!$A$4:$A$303,0)))</x:f>
      </x:c>
      <x:c r="F167" t="str">
        <x:f>IF(OR(A167="",COUNTIF(Frozen_Predictions!$A$4:$A$303,A167)&lt;&gt;1),"",INDEX(Frozen_Predictions!$H$4:$H$303,MATCH(A167,Frozen_Predictions!$A$4:$A$303,0)))</x:f>
      </x:c>
      <x:c r="G167" t="str">
        <x:f>IF(OR(A167="",COUNTIF(Frozen_Predictions!$A$4:$A$303,A167)&lt;&gt;1),"",INDEX(Frozen_Predictions!$I$4:$I$303,MATCH(A167,Frozen_Predictions!$A$4:$A$303,0)))</x:f>
      </x:c>
      <x:c r="H167" t="str">
        <x:f>IF(OR(A167="",COUNTIF(Frozen_Predictions!$A$4:$A$303,A167)&lt;&gt;1),"",INDEX(Frozen_Predictions!$J$4:$J$303,MATCH(A167,Frozen_Predictions!$A$4:$A$303,0)))</x:f>
      </x:c>
      <x:c r="I167" t="str">
        <x:f>IF(OR(A167="",COUNTIF(Frozen_Predictions!$A$4:$A$303,A167)&lt;&gt;1),"",INDEX(Frozen_Predictions!$K$4:$K$303,MATCH(A167,Frozen_Predictions!$A$4:$A$303,0)))</x:f>
      </x:c>
      <x:c r="J167" s="142" t="str">
        <x:f>IF(OR(A167="",G167="",COUNT(K167:M167)&lt;3,COUNTIF($A$4:$A$303,A167)&lt;&gt;1),"",IF(IF(M167+F167&gt;0,"1",IF(M167+F167=0,"X","2"))=G167&amp;"",1,0))</x:f>
      </x:c>
      <x:c r="K167" s="143"/>
      <x:c r="L167" s="143"/>
      <x:c r="M167" s="142" t="str">
        <x:f>IF(AND(A167&lt;&gt;"",COUNT(K167:L167)=2),K167-L167,"")</x:f>
      </x:c>
      <x:c r="N167" s="142" t="str">
        <x:f>IF(J167="","",IF(M167+F167=0,"YES","NO"))</x:f>
      </x:c>
      <x:c r="O167" t="str">
        <x:f>IF(J167="","",IF(J167=1,"WIN",IF(N167="YES","Exact margin M="&amp;ABS(F167),"Direction / tail")))</x:f>
      </x:c>
      <x:c r="P167" s="141"/>
      <x:c r="Q167" s="141"/>
      <x:c r="R167" s="144" t="str">
        <x:f>IF(OR(I167="",J167=""),"",(I167-J167)^2)</x:f>
      </x:c>
      <x:c r="S167" s="144" t="str">
        <x:f>IF(OR(I167="",J167=""),"",-(J167*LN(MAX(MIN(I167,0.999999),0.000001))+(1-J167)*LN(MAX(MIN(1-I167,0.999999),0.000001))))</x:f>
      </x:c>
      <x:c r="T167" t="str">
        <x:f>IF(J167="","",INDEX(Frozen_Predictions!$M$4:$M$303,MATCH(A167,Frozen_Predictions!$A$4:$A$303,0)))</x:f>
      </x:c>
      <x:c r="U167" t="str">
        <x:f>IF(J167="","",INDEX(Frozen_Predictions!$W$4:$W$303,MATCH(A167,Frozen_Predictions!$A$4:$A$303,0)))</x:f>
      </x:c>
      <x:c r="V167" t="str">
        <x:f>IF(J167="","",INDEX(Frozen_Predictions!$X$4:$X$303,MATCH(A167,Frozen_Predictions!$A$4:$A$303,0)))</x:f>
      </x:c>
      <x:c r="W167" t="str">
        <x:f>IF(A167="","",IF(COUNTIF($A$4:$A$303,A167)&lt;&gt;1,"ID DUPLICAT",IF(COUNTIF(Frozen_Predictions!$A$4:$A$303,A167)&lt;&gt;1,"ID INEXISTENT SAU DUPLICAT ÎN FROZEN",IF(COUNT(K167:L167)&lt;2,"COMPLETEAZĂ SCORUL","VERIFICAT"))))</x:f>
      </x:c>
    </x:row>
    <x:row r="168">
      <x:c r="A168" s="141"/>
      <x:c r="B168" t="str">
        <x:f>IF(OR(A168="",COUNTIF(Frozen_Predictions!$A$4:$A$303,A168)&lt;&gt;1),"",INDEX(Frozen_Predictions!$C$4:$C$303,MATCH(A168,Frozen_Predictions!$A$4:$A$303,0)))</x:f>
      </x:c>
      <x:c r="C168" t="str">
        <x:f>IF(OR(A168="",COUNTIF(Frozen_Predictions!$A$4:$A$303,A168)&lt;&gt;1),"",INDEX(Frozen_Predictions!$E$4:$E$303,MATCH(A168,Frozen_Predictions!$A$4:$A$303,0)))</x:f>
      </x:c>
      <x:c r="D168" t="str">
        <x:f>IF(OR(A168="",COUNTIF(Frozen_Predictions!$A$4:$A$303,A168)&lt;&gt;1),"",INDEX(Frozen_Predictions!$F$4:$F$303,MATCH(A168,Frozen_Predictions!$A$4:$A$303,0)))</x:f>
      </x:c>
      <x:c r="E168" t="str">
        <x:f>IF(OR(A168="",COUNTIF(Frozen_Predictions!$A$4:$A$303,A168)&lt;&gt;1),"",INDEX(Frozen_Predictions!$G$4:$G$303,MATCH(A168,Frozen_Predictions!$A$4:$A$303,0)))</x:f>
      </x:c>
      <x:c r="F168" t="str">
        <x:f>IF(OR(A168="",COUNTIF(Frozen_Predictions!$A$4:$A$303,A168)&lt;&gt;1),"",INDEX(Frozen_Predictions!$H$4:$H$303,MATCH(A168,Frozen_Predictions!$A$4:$A$303,0)))</x:f>
      </x:c>
      <x:c r="G168" t="str">
        <x:f>IF(OR(A168="",COUNTIF(Frozen_Predictions!$A$4:$A$303,A168)&lt;&gt;1),"",INDEX(Frozen_Predictions!$I$4:$I$303,MATCH(A168,Frozen_Predictions!$A$4:$A$303,0)))</x:f>
      </x:c>
      <x:c r="H168" t="str">
        <x:f>IF(OR(A168="",COUNTIF(Frozen_Predictions!$A$4:$A$303,A168)&lt;&gt;1),"",INDEX(Frozen_Predictions!$J$4:$J$303,MATCH(A168,Frozen_Predictions!$A$4:$A$303,0)))</x:f>
      </x:c>
      <x:c r="I168" t="str">
        <x:f>IF(OR(A168="",COUNTIF(Frozen_Predictions!$A$4:$A$303,A168)&lt;&gt;1),"",INDEX(Frozen_Predictions!$K$4:$K$303,MATCH(A168,Frozen_Predictions!$A$4:$A$303,0)))</x:f>
      </x:c>
      <x:c r="J168" s="142" t="str">
        <x:f>IF(OR(A168="",G168="",COUNT(K168:M168)&lt;3,COUNTIF($A$4:$A$303,A168)&lt;&gt;1),"",IF(IF(M168+F168&gt;0,"1",IF(M168+F168=0,"X","2"))=G168&amp;"",1,0))</x:f>
      </x:c>
      <x:c r="K168" s="143"/>
      <x:c r="L168" s="143"/>
      <x:c r="M168" s="142" t="str">
        <x:f>IF(AND(A168&lt;&gt;"",COUNT(K168:L168)=2),K168-L168,"")</x:f>
      </x:c>
      <x:c r="N168" s="142" t="str">
        <x:f>IF(J168="","",IF(M168+F168=0,"YES","NO"))</x:f>
      </x:c>
      <x:c r="O168" t="str">
        <x:f>IF(J168="","",IF(J168=1,"WIN",IF(N168="YES","Exact margin M="&amp;ABS(F168),"Direction / tail")))</x:f>
      </x:c>
      <x:c r="P168" s="141"/>
      <x:c r="Q168" s="141"/>
      <x:c r="R168" s="144" t="str">
        <x:f>IF(OR(I168="",J168=""),"",(I168-J168)^2)</x:f>
      </x:c>
      <x:c r="S168" s="144" t="str">
        <x:f>IF(OR(I168="",J168=""),"",-(J168*LN(MAX(MIN(I168,0.999999),0.000001))+(1-J168)*LN(MAX(MIN(1-I168,0.999999),0.000001))))</x:f>
      </x:c>
      <x:c r="T168" t="str">
        <x:f>IF(J168="","",INDEX(Frozen_Predictions!$M$4:$M$303,MATCH(A168,Frozen_Predictions!$A$4:$A$303,0)))</x:f>
      </x:c>
      <x:c r="U168" t="str">
        <x:f>IF(J168="","",INDEX(Frozen_Predictions!$W$4:$W$303,MATCH(A168,Frozen_Predictions!$A$4:$A$303,0)))</x:f>
      </x:c>
      <x:c r="V168" t="str">
        <x:f>IF(J168="","",INDEX(Frozen_Predictions!$X$4:$X$303,MATCH(A168,Frozen_Predictions!$A$4:$A$303,0)))</x:f>
      </x:c>
      <x:c r="W168" t="str">
        <x:f>IF(A168="","",IF(COUNTIF($A$4:$A$303,A168)&lt;&gt;1,"ID DUPLICAT",IF(COUNTIF(Frozen_Predictions!$A$4:$A$303,A168)&lt;&gt;1,"ID INEXISTENT SAU DUPLICAT ÎN FROZEN",IF(COUNT(K168:L168)&lt;2,"COMPLETEAZĂ SCORUL","VERIFICAT"))))</x:f>
      </x:c>
    </x:row>
    <x:row r="169">
      <x:c r="A169" s="141"/>
      <x:c r="B169" t="str">
        <x:f>IF(OR(A169="",COUNTIF(Frozen_Predictions!$A$4:$A$303,A169)&lt;&gt;1),"",INDEX(Frozen_Predictions!$C$4:$C$303,MATCH(A169,Frozen_Predictions!$A$4:$A$303,0)))</x:f>
      </x:c>
      <x:c r="C169" t="str">
        <x:f>IF(OR(A169="",COUNTIF(Frozen_Predictions!$A$4:$A$303,A169)&lt;&gt;1),"",INDEX(Frozen_Predictions!$E$4:$E$303,MATCH(A169,Frozen_Predictions!$A$4:$A$303,0)))</x:f>
      </x:c>
      <x:c r="D169" t="str">
        <x:f>IF(OR(A169="",COUNTIF(Frozen_Predictions!$A$4:$A$303,A169)&lt;&gt;1),"",INDEX(Frozen_Predictions!$F$4:$F$303,MATCH(A169,Frozen_Predictions!$A$4:$A$303,0)))</x:f>
      </x:c>
      <x:c r="E169" t="str">
        <x:f>IF(OR(A169="",COUNTIF(Frozen_Predictions!$A$4:$A$303,A169)&lt;&gt;1),"",INDEX(Frozen_Predictions!$G$4:$G$303,MATCH(A169,Frozen_Predictions!$A$4:$A$303,0)))</x:f>
      </x:c>
      <x:c r="F169" t="str">
        <x:f>IF(OR(A169="",COUNTIF(Frozen_Predictions!$A$4:$A$303,A169)&lt;&gt;1),"",INDEX(Frozen_Predictions!$H$4:$H$303,MATCH(A169,Frozen_Predictions!$A$4:$A$303,0)))</x:f>
      </x:c>
      <x:c r="G169" t="str">
        <x:f>IF(OR(A169="",COUNTIF(Frozen_Predictions!$A$4:$A$303,A169)&lt;&gt;1),"",INDEX(Frozen_Predictions!$I$4:$I$303,MATCH(A169,Frozen_Predictions!$A$4:$A$303,0)))</x:f>
      </x:c>
      <x:c r="H169" t="str">
        <x:f>IF(OR(A169="",COUNTIF(Frozen_Predictions!$A$4:$A$303,A169)&lt;&gt;1),"",INDEX(Frozen_Predictions!$J$4:$J$303,MATCH(A169,Frozen_Predictions!$A$4:$A$303,0)))</x:f>
      </x:c>
      <x:c r="I169" t="str">
        <x:f>IF(OR(A169="",COUNTIF(Frozen_Predictions!$A$4:$A$303,A169)&lt;&gt;1),"",INDEX(Frozen_Predictions!$K$4:$K$303,MATCH(A169,Frozen_Predictions!$A$4:$A$303,0)))</x:f>
      </x:c>
      <x:c r="J169" s="142" t="str">
        <x:f>IF(OR(A169="",G169="",COUNT(K169:M169)&lt;3,COUNTIF($A$4:$A$303,A169)&lt;&gt;1),"",IF(IF(M169+F169&gt;0,"1",IF(M169+F169=0,"X","2"))=G169&amp;"",1,0))</x:f>
      </x:c>
      <x:c r="K169" s="143"/>
      <x:c r="L169" s="143"/>
      <x:c r="M169" s="142" t="str">
        <x:f>IF(AND(A169&lt;&gt;"",COUNT(K169:L169)=2),K169-L169,"")</x:f>
      </x:c>
      <x:c r="N169" s="142" t="str">
        <x:f>IF(J169="","",IF(M169+F169=0,"YES","NO"))</x:f>
      </x:c>
      <x:c r="O169" t="str">
        <x:f>IF(J169="","",IF(J169=1,"WIN",IF(N169="YES","Exact margin M="&amp;ABS(F169),"Direction / tail")))</x:f>
      </x:c>
      <x:c r="P169" s="141"/>
      <x:c r="Q169" s="141"/>
      <x:c r="R169" s="144" t="str">
        <x:f>IF(OR(I169="",J169=""),"",(I169-J169)^2)</x:f>
      </x:c>
      <x:c r="S169" s="144" t="str">
        <x:f>IF(OR(I169="",J169=""),"",-(J169*LN(MAX(MIN(I169,0.999999),0.000001))+(1-J169)*LN(MAX(MIN(1-I169,0.999999),0.000001))))</x:f>
      </x:c>
      <x:c r="T169" t="str">
        <x:f>IF(J169="","",INDEX(Frozen_Predictions!$M$4:$M$303,MATCH(A169,Frozen_Predictions!$A$4:$A$303,0)))</x:f>
      </x:c>
      <x:c r="U169" t="str">
        <x:f>IF(J169="","",INDEX(Frozen_Predictions!$W$4:$W$303,MATCH(A169,Frozen_Predictions!$A$4:$A$303,0)))</x:f>
      </x:c>
      <x:c r="V169" t="str">
        <x:f>IF(J169="","",INDEX(Frozen_Predictions!$X$4:$X$303,MATCH(A169,Frozen_Predictions!$A$4:$A$303,0)))</x:f>
      </x:c>
      <x:c r="W169" t="str">
        <x:f>IF(A169="","",IF(COUNTIF($A$4:$A$303,A169)&lt;&gt;1,"ID DUPLICAT",IF(COUNTIF(Frozen_Predictions!$A$4:$A$303,A169)&lt;&gt;1,"ID INEXISTENT SAU DUPLICAT ÎN FROZEN",IF(COUNT(K169:L169)&lt;2,"COMPLETEAZĂ SCORUL","VERIFICAT"))))</x:f>
      </x:c>
    </x:row>
    <x:row r="170">
      <x:c r="A170" s="141"/>
      <x:c r="B170" t="str">
        <x:f>IF(OR(A170="",COUNTIF(Frozen_Predictions!$A$4:$A$303,A170)&lt;&gt;1),"",INDEX(Frozen_Predictions!$C$4:$C$303,MATCH(A170,Frozen_Predictions!$A$4:$A$303,0)))</x:f>
      </x:c>
      <x:c r="C170" t="str">
        <x:f>IF(OR(A170="",COUNTIF(Frozen_Predictions!$A$4:$A$303,A170)&lt;&gt;1),"",INDEX(Frozen_Predictions!$E$4:$E$303,MATCH(A170,Frozen_Predictions!$A$4:$A$303,0)))</x:f>
      </x:c>
      <x:c r="D170" t="str">
        <x:f>IF(OR(A170="",COUNTIF(Frozen_Predictions!$A$4:$A$303,A170)&lt;&gt;1),"",INDEX(Frozen_Predictions!$F$4:$F$303,MATCH(A170,Frozen_Predictions!$A$4:$A$303,0)))</x:f>
      </x:c>
      <x:c r="E170" t="str">
        <x:f>IF(OR(A170="",COUNTIF(Frozen_Predictions!$A$4:$A$303,A170)&lt;&gt;1),"",INDEX(Frozen_Predictions!$G$4:$G$303,MATCH(A170,Frozen_Predictions!$A$4:$A$303,0)))</x:f>
      </x:c>
      <x:c r="F170" t="str">
        <x:f>IF(OR(A170="",COUNTIF(Frozen_Predictions!$A$4:$A$303,A170)&lt;&gt;1),"",INDEX(Frozen_Predictions!$H$4:$H$303,MATCH(A170,Frozen_Predictions!$A$4:$A$303,0)))</x:f>
      </x:c>
      <x:c r="G170" t="str">
        <x:f>IF(OR(A170="",COUNTIF(Frozen_Predictions!$A$4:$A$303,A170)&lt;&gt;1),"",INDEX(Frozen_Predictions!$I$4:$I$303,MATCH(A170,Frozen_Predictions!$A$4:$A$303,0)))</x:f>
      </x:c>
      <x:c r="H170" t="str">
        <x:f>IF(OR(A170="",COUNTIF(Frozen_Predictions!$A$4:$A$303,A170)&lt;&gt;1),"",INDEX(Frozen_Predictions!$J$4:$J$303,MATCH(A170,Frozen_Predictions!$A$4:$A$303,0)))</x:f>
      </x:c>
      <x:c r="I170" t="str">
        <x:f>IF(OR(A170="",COUNTIF(Frozen_Predictions!$A$4:$A$303,A170)&lt;&gt;1),"",INDEX(Frozen_Predictions!$K$4:$K$303,MATCH(A170,Frozen_Predictions!$A$4:$A$303,0)))</x:f>
      </x:c>
      <x:c r="J170" s="142" t="str">
        <x:f>IF(OR(A170="",G170="",COUNT(K170:M170)&lt;3,COUNTIF($A$4:$A$303,A170)&lt;&gt;1),"",IF(IF(M170+F170&gt;0,"1",IF(M170+F170=0,"X","2"))=G170&amp;"",1,0))</x:f>
      </x:c>
      <x:c r="K170" s="143"/>
      <x:c r="L170" s="143"/>
      <x:c r="M170" s="142" t="str">
        <x:f>IF(AND(A170&lt;&gt;"",COUNT(K170:L170)=2),K170-L170,"")</x:f>
      </x:c>
      <x:c r="N170" s="142" t="str">
        <x:f>IF(J170="","",IF(M170+F170=0,"YES","NO"))</x:f>
      </x:c>
      <x:c r="O170" t="str">
        <x:f>IF(J170="","",IF(J170=1,"WIN",IF(N170="YES","Exact margin M="&amp;ABS(F170),"Direction / tail")))</x:f>
      </x:c>
      <x:c r="P170" s="141"/>
      <x:c r="Q170" s="141"/>
      <x:c r="R170" s="144" t="str">
        <x:f>IF(OR(I170="",J170=""),"",(I170-J170)^2)</x:f>
      </x:c>
      <x:c r="S170" s="144" t="str">
        <x:f>IF(OR(I170="",J170=""),"",-(J170*LN(MAX(MIN(I170,0.999999),0.000001))+(1-J170)*LN(MAX(MIN(1-I170,0.999999),0.000001))))</x:f>
      </x:c>
      <x:c r="T170" t="str">
        <x:f>IF(J170="","",INDEX(Frozen_Predictions!$M$4:$M$303,MATCH(A170,Frozen_Predictions!$A$4:$A$303,0)))</x:f>
      </x:c>
      <x:c r="U170" t="str">
        <x:f>IF(J170="","",INDEX(Frozen_Predictions!$W$4:$W$303,MATCH(A170,Frozen_Predictions!$A$4:$A$303,0)))</x:f>
      </x:c>
      <x:c r="V170" t="str">
        <x:f>IF(J170="","",INDEX(Frozen_Predictions!$X$4:$X$303,MATCH(A170,Frozen_Predictions!$A$4:$A$303,0)))</x:f>
      </x:c>
      <x:c r="W170" t="str">
        <x:f>IF(A170="","",IF(COUNTIF($A$4:$A$303,A170)&lt;&gt;1,"ID DUPLICAT",IF(COUNTIF(Frozen_Predictions!$A$4:$A$303,A170)&lt;&gt;1,"ID INEXISTENT SAU DUPLICAT ÎN FROZEN",IF(COUNT(K170:L170)&lt;2,"COMPLETEAZĂ SCORUL","VERIFICAT"))))</x:f>
      </x:c>
    </x:row>
    <x:row r="171">
      <x:c r="A171" s="141"/>
      <x:c r="B171" t="str">
        <x:f>IF(OR(A171="",COUNTIF(Frozen_Predictions!$A$4:$A$303,A171)&lt;&gt;1),"",INDEX(Frozen_Predictions!$C$4:$C$303,MATCH(A171,Frozen_Predictions!$A$4:$A$303,0)))</x:f>
      </x:c>
      <x:c r="C171" t="str">
        <x:f>IF(OR(A171="",COUNTIF(Frozen_Predictions!$A$4:$A$303,A171)&lt;&gt;1),"",INDEX(Frozen_Predictions!$E$4:$E$303,MATCH(A171,Frozen_Predictions!$A$4:$A$303,0)))</x:f>
      </x:c>
      <x:c r="D171" t="str">
        <x:f>IF(OR(A171="",COUNTIF(Frozen_Predictions!$A$4:$A$303,A171)&lt;&gt;1),"",INDEX(Frozen_Predictions!$F$4:$F$303,MATCH(A171,Frozen_Predictions!$A$4:$A$303,0)))</x:f>
      </x:c>
      <x:c r="E171" t="str">
        <x:f>IF(OR(A171="",COUNTIF(Frozen_Predictions!$A$4:$A$303,A171)&lt;&gt;1),"",INDEX(Frozen_Predictions!$G$4:$G$303,MATCH(A171,Frozen_Predictions!$A$4:$A$303,0)))</x:f>
      </x:c>
      <x:c r="F171" t="str">
        <x:f>IF(OR(A171="",COUNTIF(Frozen_Predictions!$A$4:$A$303,A171)&lt;&gt;1),"",INDEX(Frozen_Predictions!$H$4:$H$303,MATCH(A171,Frozen_Predictions!$A$4:$A$303,0)))</x:f>
      </x:c>
      <x:c r="G171" t="str">
        <x:f>IF(OR(A171="",COUNTIF(Frozen_Predictions!$A$4:$A$303,A171)&lt;&gt;1),"",INDEX(Frozen_Predictions!$I$4:$I$303,MATCH(A171,Frozen_Predictions!$A$4:$A$303,0)))</x:f>
      </x:c>
      <x:c r="H171" t="str">
        <x:f>IF(OR(A171="",COUNTIF(Frozen_Predictions!$A$4:$A$303,A171)&lt;&gt;1),"",INDEX(Frozen_Predictions!$J$4:$J$303,MATCH(A171,Frozen_Predictions!$A$4:$A$303,0)))</x:f>
      </x:c>
      <x:c r="I171" t="str">
        <x:f>IF(OR(A171="",COUNTIF(Frozen_Predictions!$A$4:$A$303,A171)&lt;&gt;1),"",INDEX(Frozen_Predictions!$K$4:$K$303,MATCH(A171,Frozen_Predictions!$A$4:$A$303,0)))</x:f>
      </x:c>
      <x:c r="J171" s="142" t="str">
        <x:f>IF(OR(A171="",G171="",COUNT(K171:M171)&lt;3,COUNTIF($A$4:$A$303,A171)&lt;&gt;1),"",IF(IF(M171+F171&gt;0,"1",IF(M171+F171=0,"X","2"))=G171&amp;"",1,0))</x:f>
      </x:c>
      <x:c r="K171" s="143"/>
      <x:c r="L171" s="143"/>
      <x:c r="M171" s="142" t="str">
        <x:f>IF(AND(A171&lt;&gt;"",COUNT(K171:L171)=2),K171-L171,"")</x:f>
      </x:c>
      <x:c r="N171" s="142" t="str">
        <x:f>IF(J171="","",IF(M171+F171=0,"YES","NO"))</x:f>
      </x:c>
      <x:c r="O171" t="str">
        <x:f>IF(J171="","",IF(J171=1,"WIN",IF(N171="YES","Exact margin M="&amp;ABS(F171),"Direction / tail")))</x:f>
      </x:c>
      <x:c r="P171" s="141"/>
      <x:c r="Q171" s="141"/>
      <x:c r="R171" s="144" t="str">
        <x:f>IF(OR(I171="",J171=""),"",(I171-J171)^2)</x:f>
      </x:c>
      <x:c r="S171" s="144" t="str">
        <x:f>IF(OR(I171="",J171=""),"",-(J171*LN(MAX(MIN(I171,0.999999),0.000001))+(1-J171)*LN(MAX(MIN(1-I171,0.999999),0.000001))))</x:f>
      </x:c>
      <x:c r="T171" t="str">
        <x:f>IF(J171="","",INDEX(Frozen_Predictions!$M$4:$M$303,MATCH(A171,Frozen_Predictions!$A$4:$A$303,0)))</x:f>
      </x:c>
      <x:c r="U171" t="str">
        <x:f>IF(J171="","",INDEX(Frozen_Predictions!$W$4:$W$303,MATCH(A171,Frozen_Predictions!$A$4:$A$303,0)))</x:f>
      </x:c>
      <x:c r="V171" t="str">
        <x:f>IF(J171="","",INDEX(Frozen_Predictions!$X$4:$X$303,MATCH(A171,Frozen_Predictions!$A$4:$A$303,0)))</x:f>
      </x:c>
      <x:c r="W171" t="str">
        <x:f>IF(A171="","",IF(COUNTIF($A$4:$A$303,A171)&lt;&gt;1,"ID DUPLICAT",IF(COUNTIF(Frozen_Predictions!$A$4:$A$303,A171)&lt;&gt;1,"ID INEXISTENT SAU DUPLICAT ÎN FROZEN",IF(COUNT(K171:L171)&lt;2,"COMPLETEAZĂ SCORUL","VERIFICAT"))))</x:f>
      </x:c>
    </x:row>
    <x:row r="172">
      <x:c r="A172" s="141"/>
      <x:c r="B172" t="str">
        <x:f>IF(OR(A172="",COUNTIF(Frozen_Predictions!$A$4:$A$303,A172)&lt;&gt;1),"",INDEX(Frozen_Predictions!$C$4:$C$303,MATCH(A172,Frozen_Predictions!$A$4:$A$303,0)))</x:f>
      </x:c>
      <x:c r="C172" t="str">
        <x:f>IF(OR(A172="",COUNTIF(Frozen_Predictions!$A$4:$A$303,A172)&lt;&gt;1),"",INDEX(Frozen_Predictions!$E$4:$E$303,MATCH(A172,Frozen_Predictions!$A$4:$A$303,0)))</x:f>
      </x:c>
      <x:c r="D172" t="str">
        <x:f>IF(OR(A172="",COUNTIF(Frozen_Predictions!$A$4:$A$303,A172)&lt;&gt;1),"",INDEX(Frozen_Predictions!$F$4:$F$303,MATCH(A172,Frozen_Predictions!$A$4:$A$303,0)))</x:f>
      </x:c>
      <x:c r="E172" t="str">
        <x:f>IF(OR(A172="",COUNTIF(Frozen_Predictions!$A$4:$A$303,A172)&lt;&gt;1),"",INDEX(Frozen_Predictions!$G$4:$G$303,MATCH(A172,Frozen_Predictions!$A$4:$A$303,0)))</x:f>
      </x:c>
      <x:c r="F172" t="str">
        <x:f>IF(OR(A172="",COUNTIF(Frozen_Predictions!$A$4:$A$303,A172)&lt;&gt;1),"",INDEX(Frozen_Predictions!$H$4:$H$303,MATCH(A172,Frozen_Predictions!$A$4:$A$303,0)))</x:f>
      </x:c>
      <x:c r="G172" t="str">
        <x:f>IF(OR(A172="",COUNTIF(Frozen_Predictions!$A$4:$A$303,A172)&lt;&gt;1),"",INDEX(Frozen_Predictions!$I$4:$I$303,MATCH(A172,Frozen_Predictions!$A$4:$A$303,0)))</x:f>
      </x:c>
      <x:c r="H172" t="str">
        <x:f>IF(OR(A172="",COUNTIF(Frozen_Predictions!$A$4:$A$303,A172)&lt;&gt;1),"",INDEX(Frozen_Predictions!$J$4:$J$303,MATCH(A172,Frozen_Predictions!$A$4:$A$303,0)))</x:f>
      </x:c>
      <x:c r="I172" t="str">
        <x:f>IF(OR(A172="",COUNTIF(Frozen_Predictions!$A$4:$A$303,A172)&lt;&gt;1),"",INDEX(Frozen_Predictions!$K$4:$K$303,MATCH(A172,Frozen_Predictions!$A$4:$A$303,0)))</x:f>
      </x:c>
      <x:c r="J172" s="142" t="str">
        <x:f>IF(OR(A172="",G172="",COUNT(K172:M172)&lt;3,COUNTIF($A$4:$A$303,A172)&lt;&gt;1),"",IF(IF(M172+F172&gt;0,"1",IF(M172+F172=0,"X","2"))=G172&amp;"",1,0))</x:f>
      </x:c>
      <x:c r="K172" s="143"/>
      <x:c r="L172" s="143"/>
      <x:c r="M172" s="142" t="str">
        <x:f>IF(AND(A172&lt;&gt;"",COUNT(K172:L172)=2),K172-L172,"")</x:f>
      </x:c>
      <x:c r="N172" s="142" t="str">
        <x:f>IF(J172="","",IF(M172+F172=0,"YES","NO"))</x:f>
      </x:c>
      <x:c r="O172" t="str">
        <x:f>IF(J172="","",IF(J172=1,"WIN",IF(N172="YES","Exact margin M="&amp;ABS(F172),"Direction / tail")))</x:f>
      </x:c>
      <x:c r="P172" s="141"/>
      <x:c r="Q172" s="141"/>
      <x:c r="R172" s="144" t="str">
        <x:f>IF(OR(I172="",J172=""),"",(I172-J172)^2)</x:f>
      </x:c>
      <x:c r="S172" s="144" t="str">
        <x:f>IF(OR(I172="",J172=""),"",-(J172*LN(MAX(MIN(I172,0.999999),0.000001))+(1-J172)*LN(MAX(MIN(1-I172,0.999999),0.000001))))</x:f>
      </x:c>
      <x:c r="T172" t="str">
        <x:f>IF(J172="","",INDEX(Frozen_Predictions!$M$4:$M$303,MATCH(A172,Frozen_Predictions!$A$4:$A$303,0)))</x:f>
      </x:c>
      <x:c r="U172" t="str">
        <x:f>IF(J172="","",INDEX(Frozen_Predictions!$W$4:$W$303,MATCH(A172,Frozen_Predictions!$A$4:$A$303,0)))</x:f>
      </x:c>
      <x:c r="V172" t="str">
        <x:f>IF(J172="","",INDEX(Frozen_Predictions!$X$4:$X$303,MATCH(A172,Frozen_Predictions!$A$4:$A$303,0)))</x:f>
      </x:c>
      <x:c r="W172" t="str">
        <x:f>IF(A172="","",IF(COUNTIF($A$4:$A$303,A172)&lt;&gt;1,"ID DUPLICAT",IF(COUNTIF(Frozen_Predictions!$A$4:$A$303,A172)&lt;&gt;1,"ID INEXISTENT SAU DUPLICAT ÎN FROZEN",IF(COUNT(K172:L172)&lt;2,"COMPLETEAZĂ SCORUL","VERIFICAT"))))</x:f>
      </x:c>
    </x:row>
    <x:row r="173">
      <x:c r="A173" s="141"/>
      <x:c r="B173" t="str">
        <x:f>IF(OR(A173="",COUNTIF(Frozen_Predictions!$A$4:$A$303,A173)&lt;&gt;1),"",INDEX(Frozen_Predictions!$C$4:$C$303,MATCH(A173,Frozen_Predictions!$A$4:$A$303,0)))</x:f>
      </x:c>
      <x:c r="C173" t="str">
        <x:f>IF(OR(A173="",COUNTIF(Frozen_Predictions!$A$4:$A$303,A173)&lt;&gt;1),"",INDEX(Frozen_Predictions!$E$4:$E$303,MATCH(A173,Frozen_Predictions!$A$4:$A$303,0)))</x:f>
      </x:c>
      <x:c r="D173" t="str">
        <x:f>IF(OR(A173="",COUNTIF(Frozen_Predictions!$A$4:$A$303,A173)&lt;&gt;1),"",INDEX(Frozen_Predictions!$F$4:$F$303,MATCH(A173,Frozen_Predictions!$A$4:$A$303,0)))</x:f>
      </x:c>
      <x:c r="E173" t="str">
        <x:f>IF(OR(A173="",COUNTIF(Frozen_Predictions!$A$4:$A$303,A173)&lt;&gt;1),"",INDEX(Frozen_Predictions!$G$4:$G$303,MATCH(A173,Frozen_Predictions!$A$4:$A$303,0)))</x:f>
      </x:c>
      <x:c r="F173" t="str">
        <x:f>IF(OR(A173="",COUNTIF(Frozen_Predictions!$A$4:$A$303,A173)&lt;&gt;1),"",INDEX(Frozen_Predictions!$H$4:$H$303,MATCH(A173,Frozen_Predictions!$A$4:$A$303,0)))</x:f>
      </x:c>
      <x:c r="G173" t="str">
        <x:f>IF(OR(A173="",COUNTIF(Frozen_Predictions!$A$4:$A$303,A173)&lt;&gt;1),"",INDEX(Frozen_Predictions!$I$4:$I$303,MATCH(A173,Frozen_Predictions!$A$4:$A$303,0)))</x:f>
      </x:c>
      <x:c r="H173" t="str">
        <x:f>IF(OR(A173="",COUNTIF(Frozen_Predictions!$A$4:$A$303,A173)&lt;&gt;1),"",INDEX(Frozen_Predictions!$J$4:$J$303,MATCH(A173,Frozen_Predictions!$A$4:$A$303,0)))</x:f>
      </x:c>
      <x:c r="I173" t="str">
        <x:f>IF(OR(A173="",COUNTIF(Frozen_Predictions!$A$4:$A$303,A173)&lt;&gt;1),"",INDEX(Frozen_Predictions!$K$4:$K$303,MATCH(A173,Frozen_Predictions!$A$4:$A$303,0)))</x:f>
      </x:c>
      <x:c r="J173" s="142" t="str">
        <x:f>IF(OR(A173="",G173="",COUNT(K173:M173)&lt;3,COUNTIF($A$4:$A$303,A173)&lt;&gt;1),"",IF(IF(M173+F173&gt;0,"1",IF(M173+F173=0,"X","2"))=G173&amp;"",1,0))</x:f>
      </x:c>
      <x:c r="K173" s="143"/>
      <x:c r="L173" s="143"/>
      <x:c r="M173" s="142" t="str">
        <x:f>IF(AND(A173&lt;&gt;"",COUNT(K173:L173)=2),K173-L173,"")</x:f>
      </x:c>
      <x:c r="N173" s="142" t="str">
        <x:f>IF(J173="","",IF(M173+F173=0,"YES","NO"))</x:f>
      </x:c>
      <x:c r="O173" t="str">
        <x:f>IF(J173="","",IF(J173=1,"WIN",IF(N173="YES","Exact margin M="&amp;ABS(F173),"Direction / tail")))</x:f>
      </x:c>
      <x:c r="P173" s="141"/>
      <x:c r="Q173" s="141"/>
      <x:c r="R173" s="144" t="str">
        <x:f>IF(OR(I173="",J173=""),"",(I173-J173)^2)</x:f>
      </x:c>
      <x:c r="S173" s="144" t="str">
        <x:f>IF(OR(I173="",J173=""),"",-(J173*LN(MAX(MIN(I173,0.999999),0.000001))+(1-J173)*LN(MAX(MIN(1-I173,0.999999),0.000001))))</x:f>
      </x:c>
      <x:c r="T173" t="str">
        <x:f>IF(J173="","",INDEX(Frozen_Predictions!$M$4:$M$303,MATCH(A173,Frozen_Predictions!$A$4:$A$303,0)))</x:f>
      </x:c>
      <x:c r="U173" t="str">
        <x:f>IF(J173="","",INDEX(Frozen_Predictions!$W$4:$W$303,MATCH(A173,Frozen_Predictions!$A$4:$A$303,0)))</x:f>
      </x:c>
      <x:c r="V173" t="str">
        <x:f>IF(J173="","",INDEX(Frozen_Predictions!$X$4:$X$303,MATCH(A173,Frozen_Predictions!$A$4:$A$303,0)))</x:f>
      </x:c>
      <x:c r="W173" t="str">
        <x:f>IF(A173="","",IF(COUNTIF($A$4:$A$303,A173)&lt;&gt;1,"ID DUPLICAT",IF(COUNTIF(Frozen_Predictions!$A$4:$A$303,A173)&lt;&gt;1,"ID INEXISTENT SAU DUPLICAT ÎN FROZEN",IF(COUNT(K173:L173)&lt;2,"COMPLETEAZĂ SCORUL","VERIFICAT"))))</x:f>
      </x:c>
    </x:row>
    <x:row r="174">
      <x:c r="A174" s="141"/>
      <x:c r="B174" t="str">
        <x:f>IF(OR(A174="",COUNTIF(Frozen_Predictions!$A$4:$A$303,A174)&lt;&gt;1),"",INDEX(Frozen_Predictions!$C$4:$C$303,MATCH(A174,Frozen_Predictions!$A$4:$A$303,0)))</x:f>
      </x:c>
      <x:c r="C174" t="str">
        <x:f>IF(OR(A174="",COUNTIF(Frozen_Predictions!$A$4:$A$303,A174)&lt;&gt;1),"",INDEX(Frozen_Predictions!$E$4:$E$303,MATCH(A174,Frozen_Predictions!$A$4:$A$303,0)))</x:f>
      </x:c>
      <x:c r="D174" t="str">
        <x:f>IF(OR(A174="",COUNTIF(Frozen_Predictions!$A$4:$A$303,A174)&lt;&gt;1),"",INDEX(Frozen_Predictions!$F$4:$F$303,MATCH(A174,Frozen_Predictions!$A$4:$A$303,0)))</x:f>
      </x:c>
      <x:c r="E174" t="str">
        <x:f>IF(OR(A174="",COUNTIF(Frozen_Predictions!$A$4:$A$303,A174)&lt;&gt;1),"",INDEX(Frozen_Predictions!$G$4:$G$303,MATCH(A174,Frozen_Predictions!$A$4:$A$303,0)))</x:f>
      </x:c>
      <x:c r="F174" t="str">
        <x:f>IF(OR(A174="",COUNTIF(Frozen_Predictions!$A$4:$A$303,A174)&lt;&gt;1),"",INDEX(Frozen_Predictions!$H$4:$H$303,MATCH(A174,Frozen_Predictions!$A$4:$A$303,0)))</x:f>
      </x:c>
      <x:c r="G174" t="str">
        <x:f>IF(OR(A174="",COUNTIF(Frozen_Predictions!$A$4:$A$303,A174)&lt;&gt;1),"",INDEX(Frozen_Predictions!$I$4:$I$303,MATCH(A174,Frozen_Predictions!$A$4:$A$303,0)))</x:f>
      </x:c>
      <x:c r="H174" t="str">
        <x:f>IF(OR(A174="",COUNTIF(Frozen_Predictions!$A$4:$A$303,A174)&lt;&gt;1),"",INDEX(Frozen_Predictions!$J$4:$J$303,MATCH(A174,Frozen_Predictions!$A$4:$A$303,0)))</x:f>
      </x:c>
      <x:c r="I174" t="str">
        <x:f>IF(OR(A174="",COUNTIF(Frozen_Predictions!$A$4:$A$303,A174)&lt;&gt;1),"",INDEX(Frozen_Predictions!$K$4:$K$303,MATCH(A174,Frozen_Predictions!$A$4:$A$303,0)))</x:f>
      </x:c>
      <x:c r="J174" s="142" t="str">
        <x:f>IF(OR(A174="",G174="",COUNT(K174:M174)&lt;3,COUNTIF($A$4:$A$303,A174)&lt;&gt;1),"",IF(IF(M174+F174&gt;0,"1",IF(M174+F174=0,"X","2"))=G174&amp;"",1,0))</x:f>
      </x:c>
      <x:c r="K174" s="143"/>
      <x:c r="L174" s="143"/>
      <x:c r="M174" s="142" t="str">
        <x:f>IF(AND(A174&lt;&gt;"",COUNT(K174:L174)=2),K174-L174,"")</x:f>
      </x:c>
      <x:c r="N174" s="142" t="str">
        <x:f>IF(J174="","",IF(M174+F174=0,"YES","NO"))</x:f>
      </x:c>
      <x:c r="O174" t="str">
        <x:f>IF(J174="","",IF(J174=1,"WIN",IF(N174="YES","Exact margin M="&amp;ABS(F174),"Direction / tail")))</x:f>
      </x:c>
      <x:c r="P174" s="141"/>
      <x:c r="Q174" s="141"/>
      <x:c r="R174" s="144" t="str">
        <x:f>IF(OR(I174="",J174=""),"",(I174-J174)^2)</x:f>
      </x:c>
      <x:c r="S174" s="144" t="str">
        <x:f>IF(OR(I174="",J174=""),"",-(J174*LN(MAX(MIN(I174,0.999999),0.000001))+(1-J174)*LN(MAX(MIN(1-I174,0.999999),0.000001))))</x:f>
      </x:c>
      <x:c r="T174" t="str">
        <x:f>IF(J174="","",INDEX(Frozen_Predictions!$M$4:$M$303,MATCH(A174,Frozen_Predictions!$A$4:$A$303,0)))</x:f>
      </x:c>
      <x:c r="U174" t="str">
        <x:f>IF(J174="","",INDEX(Frozen_Predictions!$W$4:$W$303,MATCH(A174,Frozen_Predictions!$A$4:$A$303,0)))</x:f>
      </x:c>
      <x:c r="V174" t="str">
        <x:f>IF(J174="","",INDEX(Frozen_Predictions!$X$4:$X$303,MATCH(A174,Frozen_Predictions!$A$4:$A$303,0)))</x:f>
      </x:c>
      <x:c r="W174" t="str">
        <x:f>IF(A174="","",IF(COUNTIF($A$4:$A$303,A174)&lt;&gt;1,"ID DUPLICAT",IF(COUNTIF(Frozen_Predictions!$A$4:$A$303,A174)&lt;&gt;1,"ID INEXISTENT SAU DUPLICAT ÎN FROZEN",IF(COUNT(K174:L174)&lt;2,"COMPLETEAZĂ SCORUL","VERIFICAT"))))</x:f>
      </x:c>
    </x:row>
    <x:row r="175">
      <x:c r="A175" s="141"/>
      <x:c r="B175" t="str">
        <x:f>IF(OR(A175="",COUNTIF(Frozen_Predictions!$A$4:$A$303,A175)&lt;&gt;1),"",INDEX(Frozen_Predictions!$C$4:$C$303,MATCH(A175,Frozen_Predictions!$A$4:$A$303,0)))</x:f>
      </x:c>
      <x:c r="C175" t="str">
        <x:f>IF(OR(A175="",COUNTIF(Frozen_Predictions!$A$4:$A$303,A175)&lt;&gt;1),"",INDEX(Frozen_Predictions!$E$4:$E$303,MATCH(A175,Frozen_Predictions!$A$4:$A$303,0)))</x:f>
      </x:c>
      <x:c r="D175" t="str">
        <x:f>IF(OR(A175="",COUNTIF(Frozen_Predictions!$A$4:$A$303,A175)&lt;&gt;1),"",INDEX(Frozen_Predictions!$F$4:$F$303,MATCH(A175,Frozen_Predictions!$A$4:$A$303,0)))</x:f>
      </x:c>
      <x:c r="E175" t="str">
        <x:f>IF(OR(A175="",COUNTIF(Frozen_Predictions!$A$4:$A$303,A175)&lt;&gt;1),"",INDEX(Frozen_Predictions!$G$4:$G$303,MATCH(A175,Frozen_Predictions!$A$4:$A$303,0)))</x:f>
      </x:c>
      <x:c r="F175" t="str">
        <x:f>IF(OR(A175="",COUNTIF(Frozen_Predictions!$A$4:$A$303,A175)&lt;&gt;1),"",INDEX(Frozen_Predictions!$H$4:$H$303,MATCH(A175,Frozen_Predictions!$A$4:$A$303,0)))</x:f>
      </x:c>
      <x:c r="G175" t="str">
        <x:f>IF(OR(A175="",COUNTIF(Frozen_Predictions!$A$4:$A$303,A175)&lt;&gt;1),"",INDEX(Frozen_Predictions!$I$4:$I$303,MATCH(A175,Frozen_Predictions!$A$4:$A$303,0)))</x:f>
      </x:c>
      <x:c r="H175" t="str">
        <x:f>IF(OR(A175="",COUNTIF(Frozen_Predictions!$A$4:$A$303,A175)&lt;&gt;1),"",INDEX(Frozen_Predictions!$J$4:$J$303,MATCH(A175,Frozen_Predictions!$A$4:$A$303,0)))</x:f>
      </x:c>
      <x:c r="I175" t="str">
        <x:f>IF(OR(A175="",COUNTIF(Frozen_Predictions!$A$4:$A$303,A175)&lt;&gt;1),"",INDEX(Frozen_Predictions!$K$4:$K$303,MATCH(A175,Frozen_Predictions!$A$4:$A$303,0)))</x:f>
      </x:c>
      <x:c r="J175" s="142" t="str">
        <x:f>IF(OR(A175="",G175="",COUNT(K175:M175)&lt;3,COUNTIF($A$4:$A$303,A175)&lt;&gt;1),"",IF(IF(M175+F175&gt;0,"1",IF(M175+F175=0,"X","2"))=G175&amp;"",1,0))</x:f>
      </x:c>
      <x:c r="K175" s="143"/>
      <x:c r="L175" s="143"/>
      <x:c r="M175" s="142" t="str">
        <x:f>IF(AND(A175&lt;&gt;"",COUNT(K175:L175)=2),K175-L175,"")</x:f>
      </x:c>
      <x:c r="N175" s="142" t="str">
        <x:f>IF(J175="","",IF(M175+F175=0,"YES","NO"))</x:f>
      </x:c>
      <x:c r="O175" t="str">
        <x:f>IF(J175="","",IF(J175=1,"WIN",IF(N175="YES","Exact margin M="&amp;ABS(F175),"Direction / tail")))</x:f>
      </x:c>
      <x:c r="P175" s="141"/>
      <x:c r="Q175" s="141"/>
      <x:c r="R175" s="144" t="str">
        <x:f>IF(OR(I175="",J175=""),"",(I175-J175)^2)</x:f>
      </x:c>
      <x:c r="S175" s="144" t="str">
        <x:f>IF(OR(I175="",J175=""),"",-(J175*LN(MAX(MIN(I175,0.999999),0.000001))+(1-J175)*LN(MAX(MIN(1-I175,0.999999),0.000001))))</x:f>
      </x:c>
      <x:c r="T175" t="str">
        <x:f>IF(J175="","",INDEX(Frozen_Predictions!$M$4:$M$303,MATCH(A175,Frozen_Predictions!$A$4:$A$303,0)))</x:f>
      </x:c>
      <x:c r="U175" t="str">
        <x:f>IF(J175="","",INDEX(Frozen_Predictions!$W$4:$W$303,MATCH(A175,Frozen_Predictions!$A$4:$A$303,0)))</x:f>
      </x:c>
      <x:c r="V175" t="str">
        <x:f>IF(J175="","",INDEX(Frozen_Predictions!$X$4:$X$303,MATCH(A175,Frozen_Predictions!$A$4:$A$303,0)))</x:f>
      </x:c>
      <x:c r="W175" t="str">
        <x:f>IF(A175="","",IF(COUNTIF($A$4:$A$303,A175)&lt;&gt;1,"ID DUPLICAT",IF(COUNTIF(Frozen_Predictions!$A$4:$A$303,A175)&lt;&gt;1,"ID INEXISTENT SAU DUPLICAT ÎN FROZEN",IF(COUNT(K175:L175)&lt;2,"COMPLETEAZĂ SCORUL","VERIFICAT"))))</x:f>
      </x:c>
    </x:row>
    <x:row r="176">
      <x:c r="A176" s="141"/>
      <x:c r="B176" t="str">
        <x:f>IF(OR(A176="",COUNTIF(Frozen_Predictions!$A$4:$A$303,A176)&lt;&gt;1),"",INDEX(Frozen_Predictions!$C$4:$C$303,MATCH(A176,Frozen_Predictions!$A$4:$A$303,0)))</x:f>
      </x:c>
      <x:c r="C176" t="str">
        <x:f>IF(OR(A176="",COUNTIF(Frozen_Predictions!$A$4:$A$303,A176)&lt;&gt;1),"",INDEX(Frozen_Predictions!$E$4:$E$303,MATCH(A176,Frozen_Predictions!$A$4:$A$303,0)))</x:f>
      </x:c>
      <x:c r="D176" t="str">
        <x:f>IF(OR(A176="",COUNTIF(Frozen_Predictions!$A$4:$A$303,A176)&lt;&gt;1),"",INDEX(Frozen_Predictions!$F$4:$F$303,MATCH(A176,Frozen_Predictions!$A$4:$A$303,0)))</x:f>
      </x:c>
      <x:c r="E176" t="str">
        <x:f>IF(OR(A176="",COUNTIF(Frozen_Predictions!$A$4:$A$303,A176)&lt;&gt;1),"",INDEX(Frozen_Predictions!$G$4:$G$303,MATCH(A176,Frozen_Predictions!$A$4:$A$303,0)))</x:f>
      </x:c>
      <x:c r="F176" t="str">
        <x:f>IF(OR(A176="",COUNTIF(Frozen_Predictions!$A$4:$A$303,A176)&lt;&gt;1),"",INDEX(Frozen_Predictions!$H$4:$H$303,MATCH(A176,Frozen_Predictions!$A$4:$A$303,0)))</x:f>
      </x:c>
      <x:c r="G176" t="str">
        <x:f>IF(OR(A176="",COUNTIF(Frozen_Predictions!$A$4:$A$303,A176)&lt;&gt;1),"",INDEX(Frozen_Predictions!$I$4:$I$303,MATCH(A176,Frozen_Predictions!$A$4:$A$303,0)))</x:f>
      </x:c>
      <x:c r="H176" t="str">
        <x:f>IF(OR(A176="",COUNTIF(Frozen_Predictions!$A$4:$A$303,A176)&lt;&gt;1),"",INDEX(Frozen_Predictions!$J$4:$J$303,MATCH(A176,Frozen_Predictions!$A$4:$A$303,0)))</x:f>
      </x:c>
      <x:c r="I176" t="str">
        <x:f>IF(OR(A176="",COUNTIF(Frozen_Predictions!$A$4:$A$303,A176)&lt;&gt;1),"",INDEX(Frozen_Predictions!$K$4:$K$303,MATCH(A176,Frozen_Predictions!$A$4:$A$303,0)))</x:f>
      </x:c>
      <x:c r="J176" s="142" t="str">
        <x:f>IF(OR(A176="",G176="",COUNT(K176:M176)&lt;3,COUNTIF($A$4:$A$303,A176)&lt;&gt;1),"",IF(IF(M176+F176&gt;0,"1",IF(M176+F176=0,"X","2"))=G176&amp;"",1,0))</x:f>
      </x:c>
      <x:c r="K176" s="143"/>
      <x:c r="L176" s="143"/>
      <x:c r="M176" s="142" t="str">
        <x:f>IF(AND(A176&lt;&gt;"",COUNT(K176:L176)=2),K176-L176,"")</x:f>
      </x:c>
      <x:c r="N176" s="142" t="str">
        <x:f>IF(J176="","",IF(M176+F176=0,"YES","NO"))</x:f>
      </x:c>
      <x:c r="O176" t="str">
        <x:f>IF(J176="","",IF(J176=1,"WIN",IF(N176="YES","Exact margin M="&amp;ABS(F176),"Direction / tail")))</x:f>
      </x:c>
      <x:c r="P176" s="141"/>
      <x:c r="Q176" s="141"/>
      <x:c r="R176" s="144" t="str">
        <x:f>IF(OR(I176="",J176=""),"",(I176-J176)^2)</x:f>
      </x:c>
      <x:c r="S176" s="144" t="str">
        <x:f>IF(OR(I176="",J176=""),"",-(J176*LN(MAX(MIN(I176,0.999999),0.000001))+(1-J176)*LN(MAX(MIN(1-I176,0.999999),0.000001))))</x:f>
      </x:c>
      <x:c r="T176" t="str">
        <x:f>IF(J176="","",INDEX(Frozen_Predictions!$M$4:$M$303,MATCH(A176,Frozen_Predictions!$A$4:$A$303,0)))</x:f>
      </x:c>
      <x:c r="U176" t="str">
        <x:f>IF(J176="","",INDEX(Frozen_Predictions!$W$4:$W$303,MATCH(A176,Frozen_Predictions!$A$4:$A$303,0)))</x:f>
      </x:c>
      <x:c r="V176" t="str">
        <x:f>IF(J176="","",INDEX(Frozen_Predictions!$X$4:$X$303,MATCH(A176,Frozen_Predictions!$A$4:$A$303,0)))</x:f>
      </x:c>
      <x:c r="W176" t="str">
        <x:f>IF(A176="","",IF(COUNTIF($A$4:$A$303,A176)&lt;&gt;1,"ID DUPLICAT",IF(COUNTIF(Frozen_Predictions!$A$4:$A$303,A176)&lt;&gt;1,"ID INEXISTENT SAU DUPLICAT ÎN FROZEN",IF(COUNT(K176:L176)&lt;2,"COMPLETEAZĂ SCORUL","VERIFICAT"))))</x:f>
      </x:c>
    </x:row>
    <x:row r="177">
      <x:c r="A177" s="141"/>
      <x:c r="B177" t="str">
        <x:f>IF(OR(A177="",COUNTIF(Frozen_Predictions!$A$4:$A$303,A177)&lt;&gt;1),"",INDEX(Frozen_Predictions!$C$4:$C$303,MATCH(A177,Frozen_Predictions!$A$4:$A$303,0)))</x:f>
      </x:c>
      <x:c r="C177" t="str">
        <x:f>IF(OR(A177="",COUNTIF(Frozen_Predictions!$A$4:$A$303,A177)&lt;&gt;1),"",INDEX(Frozen_Predictions!$E$4:$E$303,MATCH(A177,Frozen_Predictions!$A$4:$A$303,0)))</x:f>
      </x:c>
      <x:c r="D177" t="str">
        <x:f>IF(OR(A177="",COUNTIF(Frozen_Predictions!$A$4:$A$303,A177)&lt;&gt;1),"",INDEX(Frozen_Predictions!$F$4:$F$303,MATCH(A177,Frozen_Predictions!$A$4:$A$303,0)))</x:f>
      </x:c>
      <x:c r="E177" t="str">
        <x:f>IF(OR(A177="",COUNTIF(Frozen_Predictions!$A$4:$A$303,A177)&lt;&gt;1),"",INDEX(Frozen_Predictions!$G$4:$G$303,MATCH(A177,Frozen_Predictions!$A$4:$A$303,0)))</x:f>
      </x:c>
      <x:c r="F177" t="str">
        <x:f>IF(OR(A177="",COUNTIF(Frozen_Predictions!$A$4:$A$303,A177)&lt;&gt;1),"",INDEX(Frozen_Predictions!$H$4:$H$303,MATCH(A177,Frozen_Predictions!$A$4:$A$303,0)))</x:f>
      </x:c>
      <x:c r="G177" t="str">
        <x:f>IF(OR(A177="",COUNTIF(Frozen_Predictions!$A$4:$A$303,A177)&lt;&gt;1),"",INDEX(Frozen_Predictions!$I$4:$I$303,MATCH(A177,Frozen_Predictions!$A$4:$A$303,0)))</x:f>
      </x:c>
      <x:c r="H177" t="str">
        <x:f>IF(OR(A177="",COUNTIF(Frozen_Predictions!$A$4:$A$303,A177)&lt;&gt;1),"",INDEX(Frozen_Predictions!$J$4:$J$303,MATCH(A177,Frozen_Predictions!$A$4:$A$303,0)))</x:f>
      </x:c>
      <x:c r="I177" t="str">
        <x:f>IF(OR(A177="",COUNTIF(Frozen_Predictions!$A$4:$A$303,A177)&lt;&gt;1),"",INDEX(Frozen_Predictions!$K$4:$K$303,MATCH(A177,Frozen_Predictions!$A$4:$A$303,0)))</x:f>
      </x:c>
      <x:c r="J177" s="142" t="str">
        <x:f>IF(OR(A177="",G177="",COUNT(K177:M177)&lt;3,COUNTIF($A$4:$A$303,A177)&lt;&gt;1),"",IF(IF(M177+F177&gt;0,"1",IF(M177+F177=0,"X","2"))=G177&amp;"",1,0))</x:f>
      </x:c>
      <x:c r="K177" s="143"/>
      <x:c r="L177" s="143"/>
      <x:c r="M177" s="142" t="str">
        <x:f>IF(AND(A177&lt;&gt;"",COUNT(K177:L177)=2),K177-L177,"")</x:f>
      </x:c>
      <x:c r="N177" s="142" t="str">
        <x:f>IF(J177="","",IF(M177+F177=0,"YES","NO"))</x:f>
      </x:c>
      <x:c r="O177" t="str">
        <x:f>IF(J177="","",IF(J177=1,"WIN",IF(N177="YES","Exact margin M="&amp;ABS(F177),"Direction / tail")))</x:f>
      </x:c>
      <x:c r="P177" s="141"/>
      <x:c r="Q177" s="141"/>
      <x:c r="R177" s="144" t="str">
        <x:f>IF(OR(I177="",J177=""),"",(I177-J177)^2)</x:f>
      </x:c>
      <x:c r="S177" s="144" t="str">
        <x:f>IF(OR(I177="",J177=""),"",-(J177*LN(MAX(MIN(I177,0.999999),0.000001))+(1-J177)*LN(MAX(MIN(1-I177,0.999999),0.000001))))</x:f>
      </x:c>
      <x:c r="T177" t="str">
        <x:f>IF(J177="","",INDEX(Frozen_Predictions!$M$4:$M$303,MATCH(A177,Frozen_Predictions!$A$4:$A$303,0)))</x:f>
      </x:c>
      <x:c r="U177" t="str">
        <x:f>IF(J177="","",INDEX(Frozen_Predictions!$W$4:$W$303,MATCH(A177,Frozen_Predictions!$A$4:$A$303,0)))</x:f>
      </x:c>
      <x:c r="V177" t="str">
        <x:f>IF(J177="","",INDEX(Frozen_Predictions!$X$4:$X$303,MATCH(A177,Frozen_Predictions!$A$4:$A$303,0)))</x:f>
      </x:c>
      <x:c r="W177" t="str">
        <x:f>IF(A177="","",IF(COUNTIF($A$4:$A$303,A177)&lt;&gt;1,"ID DUPLICAT",IF(COUNTIF(Frozen_Predictions!$A$4:$A$303,A177)&lt;&gt;1,"ID INEXISTENT SAU DUPLICAT ÎN FROZEN",IF(COUNT(K177:L177)&lt;2,"COMPLETEAZĂ SCORUL","VERIFICAT"))))</x:f>
      </x:c>
    </x:row>
    <x:row r="178">
      <x:c r="A178" s="141"/>
      <x:c r="B178" t="str">
        <x:f>IF(OR(A178="",COUNTIF(Frozen_Predictions!$A$4:$A$303,A178)&lt;&gt;1),"",INDEX(Frozen_Predictions!$C$4:$C$303,MATCH(A178,Frozen_Predictions!$A$4:$A$303,0)))</x:f>
      </x:c>
      <x:c r="C178" t="str">
        <x:f>IF(OR(A178="",COUNTIF(Frozen_Predictions!$A$4:$A$303,A178)&lt;&gt;1),"",INDEX(Frozen_Predictions!$E$4:$E$303,MATCH(A178,Frozen_Predictions!$A$4:$A$303,0)))</x:f>
      </x:c>
      <x:c r="D178" t="str">
        <x:f>IF(OR(A178="",COUNTIF(Frozen_Predictions!$A$4:$A$303,A178)&lt;&gt;1),"",INDEX(Frozen_Predictions!$F$4:$F$303,MATCH(A178,Frozen_Predictions!$A$4:$A$303,0)))</x:f>
      </x:c>
      <x:c r="E178" t="str">
        <x:f>IF(OR(A178="",COUNTIF(Frozen_Predictions!$A$4:$A$303,A178)&lt;&gt;1),"",INDEX(Frozen_Predictions!$G$4:$G$303,MATCH(A178,Frozen_Predictions!$A$4:$A$303,0)))</x:f>
      </x:c>
      <x:c r="F178" t="str">
        <x:f>IF(OR(A178="",COUNTIF(Frozen_Predictions!$A$4:$A$303,A178)&lt;&gt;1),"",INDEX(Frozen_Predictions!$H$4:$H$303,MATCH(A178,Frozen_Predictions!$A$4:$A$303,0)))</x:f>
      </x:c>
      <x:c r="G178" t="str">
        <x:f>IF(OR(A178="",COUNTIF(Frozen_Predictions!$A$4:$A$303,A178)&lt;&gt;1),"",INDEX(Frozen_Predictions!$I$4:$I$303,MATCH(A178,Frozen_Predictions!$A$4:$A$303,0)))</x:f>
      </x:c>
      <x:c r="H178" t="str">
        <x:f>IF(OR(A178="",COUNTIF(Frozen_Predictions!$A$4:$A$303,A178)&lt;&gt;1),"",INDEX(Frozen_Predictions!$J$4:$J$303,MATCH(A178,Frozen_Predictions!$A$4:$A$303,0)))</x:f>
      </x:c>
      <x:c r="I178" t="str">
        <x:f>IF(OR(A178="",COUNTIF(Frozen_Predictions!$A$4:$A$303,A178)&lt;&gt;1),"",INDEX(Frozen_Predictions!$K$4:$K$303,MATCH(A178,Frozen_Predictions!$A$4:$A$303,0)))</x:f>
      </x:c>
      <x:c r="J178" s="142" t="str">
        <x:f>IF(OR(A178="",G178="",COUNT(K178:M178)&lt;3,COUNTIF($A$4:$A$303,A178)&lt;&gt;1),"",IF(IF(M178+F178&gt;0,"1",IF(M178+F178=0,"X","2"))=G178&amp;"",1,0))</x:f>
      </x:c>
      <x:c r="K178" s="143"/>
      <x:c r="L178" s="143"/>
      <x:c r="M178" s="142" t="str">
        <x:f>IF(AND(A178&lt;&gt;"",COUNT(K178:L178)=2),K178-L178,"")</x:f>
      </x:c>
      <x:c r="N178" s="142" t="str">
        <x:f>IF(J178="","",IF(M178+F178=0,"YES","NO"))</x:f>
      </x:c>
      <x:c r="O178" t="str">
        <x:f>IF(J178="","",IF(J178=1,"WIN",IF(N178="YES","Exact margin M="&amp;ABS(F178),"Direction / tail")))</x:f>
      </x:c>
      <x:c r="P178" s="141"/>
      <x:c r="Q178" s="141"/>
      <x:c r="R178" s="144" t="str">
        <x:f>IF(OR(I178="",J178=""),"",(I178-J178)^2)</x:f>
      </x:c>
      <x:c r="S178" s="144" t="str">
        <x:f>IF(OR(I178="",J178=""),"",-(J178*LN(MAX(MIN(I178,0.999999),0.000001))+(1-J178)*LN(MAX(MIN(1-I178,0.999999),0.000001))))</x:f>
      </x:c>
      <x:c r="T178" t="str">
        <x:f>IF(J178="","",INDEX(Frozen_Predictions!$M$4:$M$303,MATCH(A178,Frozen_Predictions!$A$4:$A$303,0)))</x:f>
      </x:c>
      <x:c r="U178" t="str">
        <x:f>IF(J178="","",INDEX(Frozen_Predictions!$W$4:$W$303,MATCH(A178,Frozen_Predictions!$A$4:$A$303,0)))</x:f>
      </x:c>
      <x:c r="V178" t="str">
        <x:f>IF(J178="","",INDEX(Frozen_Predictions!$X$4:$X$303,MATCH(A178,Frozen_Predictions!$A$4:$A$303,0)))</x:f>
      </x:c>
      <x:c r="W178" t="str">
        <x:f>IF(A178="","",IF(COUNTIF($A$4:$A$303,A178)&lt;&gt;1,"ID DUPLICAT",IF(COUNTIF(Frozen_Predictions!$A$4:$A$303,A178)&lt;&gt;1,"ID INEXISTENT SAU DUPLICAT ÎN FROZEN",IF(COUNT(K178:L178)&lt;2,"COMPLETEAZĂ SCORUL","VERIFICAT"))))</x:f>
      </x:c>
    </x:row>
    <x:row r="179">
      <x:c r="A179" s="141"/>
      <x:c r="B179" t="str">
        <x:f>IF(OR(A179="",COUNTIF(Frozen_Predictions!$A$4:$A$303,A179)&lt;&gt;1),"",INDEX(Frozen_Predictions!$C$4:$C$303,MATCH(A179,Frozen_Predictions!$A$4:$A$303,0)))</x:f>
      </x:c>
      <x:c r="C179" t="str">
        <x:f>IF(OR(A179="",COUNTIF(Frozen_Predictions!$A$4:$A$303,A179)&lt;&gt;1),"",INDEX(Frozen_Predictions!$E$4:$E$303,MATCH(A179,Frozen_Predictions!$A$4:$A$303,0)))</x:f>
      </x:c>
      <x:c r="D179" t="str">
        <x:f>IF(OR(A179="",COUNTIF(Frozen_Predictions!$A$4:$A$303,A179)&lt;&gt;1),"",INDEX(Frozen_Predictions!$F$4:$F$303,MATCH(A179,Frozen_Predictions!$A$4:$A$303,0)))</x:f>
      </x:c>
      <x:c r="E179" t="str">
        <x:f>IF(OR(A179="",COUNTIF(Frozen_Predictions!$A$4:$A$303,A179)&lt;&gt;1),"",INDEX(Frozen_Predictions!$G$4:$G$303,MATCH(A179,Frozen_Predictions!$A$4:$A$303,0)))</x:f>
      </x:c>
      <x:c r="F179" t="str">
        <x:f>IF(OR(A179="",COUNTIF(Frozen_Predictions!$A$4:$A$303,A179)&lt;&gt;1),"",INDEX(Frozen_Predictions!$H$4:$H$303,MATCH(A179,Frozen_Predictions!$A$4:$A$303,0)))</x:f>
      </x:c>
      <x:c r="G179" t="str">
        <x:f>IF(OR(A179="",COUNTIF(Frozen_Predictions!$A$4:$A$303,A179)&lt;&gt;1),"",INDEX(Frozen_Predictions!$I$4:$I$303,MATCH(A179,Frozen_Predictions!$A$4:$A$303,0)))</x:f>
      </x:c>
      <x:c r="H179" t="str">
        <x:f>IF(OR(A179="",COUNTIF(Frozen_Predictions!$A$4:$A$303,A179)&lt;&gt;1),"",INDEX(Frozen_Predictions!$J$4:$J$303,MATCH(A179,Frozen_Predictions!$A$4:$A$303,0)))</x:f>
      </x:c>
      <x:c r="I179" t="str">
        <x:f>IF(OR(A179="",COUNTIF(Frozen_Predictions!$A$4:$A$303,A179)&lt;&gt;1),"",INDEX(Frozen_Predictions!$K$4:$K$303,MATCH(A179,Frozen_Predictions!$A$4:$A$303,0)))</x:f>
      </x:c>
      <x:c r="J179" s="142" t="str">
        <x:f>IF(OR(A179="",G179="",COUNT(K179:M179)&lt;3,COUNTIF($A$4:$A$303,A179)&lt;&gt;1),"",IF(IF(M179+F179&gt;0,"1",IF(M179+F179=0,"X","2"))=G179&amp;"",1,0))</x:f>
      </x:c>
      <x:c r="K179" s="143"/>
      <x:c r="L179" s="143"/>
      <x:c r="M179" s="142" t="str">
        <x:f>IF(AND(A179&lt;&gt;"",COUNT(K179:L179)=2),K179-L179,"")</x:f>
      </x:c>
      <x:c r="N179" s="142" t="str">
        <x:f>IF(J179="","",IF(M179+F179=0,"YES","NO"))</x:f>
      </x:c>
      <x:c r="O179" t="str">
        <x:f>IF(J179="","",IF(J179=1,"WIN",IF(N179="YES","Exact margin M="&amp;ABS(F179),"Direction / tail")))</x:f>
      </x:c>
      <x:c r="P179" s="141"/>
      <x:c r="Q179" s="141"/>
      <x:c r="R179" s="144" t="str">
        <x:f>IF(OR(I179="",J179=""),"",(I179-J179)^2)</x:f>
      </x:c>
      <x:c r="S179" s="144" t="str">
        <x:f>IF(OR(I179="",J179=""),"",-(J179*LN(MAX(MIN(I179,0.999999),0.000001))+(1-J179)*LN(MAX(MIN(1-I179,0.999999),0.000001))))</x:f>
      </x:c>
      <x:c r="T179" t="str">
        <x:f>IF(J179="","",INDEX(Frozen_Predictions!$M$4:$M$303,MATCH(A179,Frozen_Predictions!$A$4:$A$303,0)))</x:f>
      </x:c>
      <x:c r="U179" t="str">
        <x:f>IF(J179="","",INDEX(Frozen_Predictions!$W$4:$W$303,MATCH(A179,Frozen_Predictions!$A$4:$A$303,0)))</x:f>
      </x:c>
      <x:c r="V179" t="str">
        <x:f>IF(J179="","",INDEX(Frozen_Predictions!$X$4:$X$303,MATCH(A179,Frozen_Predictions!$A$4:$A$303,0)))</x:f>
      </x:c>
      <x:c r="W179" t="str">
        <x:f>IF(A179="","",IF(COUNTIF($A$4:$A$303,A179)&lt;&gt;1,"ID DUPLICAT",IF(COUNTIF(Frozen_Predictions!$A$4:$A$303,A179)&lt;&gt;1,"ID INEXISTENT SAU DUPLICAT ÎN FROZEN",IF(COUNT(K179:L179)&lt;2,"COMPLETEAZĂ SCORUL","VERIFICAT"))))</x:f>
      </x:c>
    </x:row>
    <x:row r="180">
      <x:c r="A180" s="141"/>
      <x:c r="B180" t="str">
        <x:f>IF(OR(A180="",COUNTIF(Frozen_Predictions!$A$4:$A$303,A180)&lt;&gt;1),"",INDEX(Frozen_Predictions!$C$4:$C$303,MATCH(A180,Frozen_Predictions!$A$4:$A$303,0)))</x:f>
      </x:c>
      <x:c r="C180" t="str">
        <x:f>IF(OR(A180="",COUNTIF(Frozen_Predictions!$A$4:$A$303,A180)&lt;&gt;1),"",INDEX(Frozen_Predictions!$E$4:$E$303,MATCH(A180,Frozen_Predictions!$A$4:$A$303,0)))</x:f>
      </x:c>
      <x:c r="D180" t="str">
        <x:f>IF(OR(A180="",COUNTIF(Frozen_Predictions!$A$4:$A$303,A180)&lt;&gt;1),"",INDEX(Frozen_Predictions!$F$4:$F$303,MATCH(A180,Frozen_Predictions!$A$4:$A$303,0)))</x:f>
      </x:c>
      <x:c r="E180" t="str">
        <x:f>IF(OR(A180="",COUNTIF(Frozen_Predictions!$A$4:$A$303,A180)&lt;&gt;1),"",INDEX(Frozen_Predictions!$G$4:$G$303,MATCH(A180,Frozen_Predictions!$A$4:$A$303,0)))</x:f>
      </x:c>
      <x:c r="F180" t="str">
        <x:f>IF(OR(A180="",COUNTIF(Frozen_Predictions!$A$4:$A$303,A180)&lt;&gt;1),"",INDEX(Frozen_Predictions!$H$4:$H$303,MATCH(A180,Frozen_Predictions!$A$4:$A$303,0)))</x:f>
      </x:c>
      <x:c r="G180" t="str">
        <x:f>IF(OR(A180="",COUNTIF(Frozen_Predictions!$A$4:$A$303,A180)&lt;&gt;1),"",INDEX(Frozen_Predictions!$I$4:$I$303,MATCH(A180,Frozen_Predictions!$A$4:$A$303,0)))</x:f>
      </x:c>
      <x:c r="H180" t="str">
        <x:f>IF(OR(A180="",COUNTIF(Frozen_Predictions!$A$4:$A$303,A180)&lt;&gt;1),"",INDEX(Frozen_Predictions!$J$4:$J$303,MATCH(A180,Frozen_Predictions!$A$4:$A$303,0)))</x:f>
      </x:c>
      <x:c r="I180" t="str">
        <x:f>IF(OR(A180="",COUNTIF(Frozen_Predictions!$A$4:$A$303,A180)&lt;&gt;1),"",INDEX(Frozen_Predictions!$K$4:$K$303,MATCH(A180,Frozen_Predictions!$A$4:$A$303,0)))</x:f>
      </x:c>
      <x:c r="J180" s="142" t="str">
        <x:f>IF(OR(A180="",G180="",COUNT(K180:M180)&lt;3,COUNTIF($A$4:$A$303,A180)&lt;&gt;1),"",IF(IF(M180+F180&gt;0,"1",IF(M180+F180=0,"X","2"))=G180&amp;"",1,0))</x:f>
      </x:c>
      <x:c r="K180" s="143"/>
      <x:c r="L180" s="143"/>
      <x:c r="M180" s="142" t="str">
        <x:f>IF(AND(A180&lt;&gt;"",COUNT(K180:L180)=2),K180-L180,"")</x:f>
      </x:c>
      <x:c r="N180" s="142" t="str">
        <x:f>IF(J180="","",IF(M180+F180=0,"YES","NO"))</x:f>
      </x:c>
      <x:c r="O180" t="str">
        <x:f>IF(J180="","",IF(J180=1,"WIN",IF(N180="YES","Exact margin M="&amp;ABS(F180),"Direction / tail")))</x:f>
      </x:c>
      <x:c r="P180" s="141"/>
      <x:c r="Q180" s="141"/>
      <x:c r="R180" s="144" t="str">
        <x:f>IF(OR(I180="",J180=""),"",(I180-J180)^2)</x:f>
      </x:c>
      <x:c r="S180" s="144" t="str">
        <x:f>IF(OR(I180="",J180=""),"",-(J180*LN(MAX(MIN(I180,0.999999),0.000001))+(1-J180)*LN(MAX(MIN(1-I180,0.999999),0.000001))))</x:f>
      </x:c>
      <x:c r="T180" t="str">
        <x:f>IF(J180="","",INDEX(Frozen_Predictions!$M$4:$M$303,MATCH(A180,Frozen_Predictions!$A$4:$A$303,0)))</x:f>
      </x:c>
      <x:c r="U180" t="str">
        <x:f>IF(J180="","",INDEX(Frozen_Predictions!$W$4:$W$303,MATCH(A180,Frozen_Predictions!$A$4:$A$303,0)))</x:f>
      </x:c>
      <x:c r="V180" t="str">
        <x:f>IF(J180="","",INDEX(Frozen_Predictions!$X$4:$X$303,MATCH(A180,Frozen_Predictions!$A$4:$A$303,0)))</x:f>
      </x:c>
      <x:c r="W180" t="str">
        <x:f>IF(A180="","",IF(COUNTIF($A$4:$A$303,A180)&lt;&gt;1,"ID DUPLICAT",IF(COUNTIF(Frozen_Predictions!$A$4:$A$303,A180)&lt;&gt;1,"ID INEXISTENT SAU DUPLICAT ÎN FROZEN",IF(COUNT(K180:L180)&lt;2,"COMPLETEAZĂ SCORUL","VERIFICAT"))))</x:f>
      </x:c>
    </x:row>
    <x:row r="181">
      <x:c r="A181" s="141"/>
      <x:c r="B181" t="str">
        <x:f>IF(OR(A181="",COUNTIF(Frozen_Predictions!$A$4:$A$303,A181)&lt;&gt;1),"",INDEX(Frozen_Predictions!$C$4:$C$303,MATCH(A181,Frozen_Predictions!$A$4:$A$303,0)))</x:f>
      </x:c>
      <x:c r="C181" t="str">
        <x:f>IF(OR(A181="",COUNTIF(Frozen_Predictions!$A$4:$A$303,A181)&lt;&gt;1),"",INDEX(Frozen_Predictions!$E$4:$E$303,MATCH(A181,Frozen_Predictions!$A$4:$A$303,0)))</x:f>
      </x:c>
      <x:c r="D181" t="str">
        <x:f>IF(OR(A181="",COUNTIF(Frozen_Predictions!$A$4:$A$303,A181)&lt;&gt;1),"",INDEX(Frozen_Predictions!$F$4:$F$303,MATCH(A181,Frozen_Predictions!$A$4:$A$303,0)))</x:f>
      </x:c>
      <x:c r="E181" t="str">
        <x:f>IF(OR(A181="",COUNTIF(Frozen_Predictions!$A$4:$A$303,A181)&lt;&gt;1),"",INDEX(Frozen_Predictions!$G$4:$G$303,MATCH(A181,Frozen_Predictions!$A$4:$A$303,0)))</x:f>
      </x:c>
      <x:c r="F181" t="str">
        <x:f>IF(OR(A181="",COUNTIF(Frozen_Predictions!$A$4:$A$303,A181)&lt;&gt;1),"",INDEX(Frozen_Predictions!$H$4:$H$303,MATCH(A181,Frozen_Predictions!$A$4:$A$303,0)))</x:f>
      </x:c>
      <x:c r="G181" t="str">
        <x:f>IF(OR(A181="",COUNTIF(Frozen_Predictions!$A$4:$A$303,A181)&lt;&gt;1),"",INDEX(Frozen_Predictions!$I$4:$I$303,MATCH(A181,Frozen_Predictions!$A$4:$A$303,0)))</x:f>
      </x:c>
      <x:c r="H181" t="str">
        <x:f>IF(OR(A181="",COUNTIF(Frozen_Predictions!$A$4:$A$303,A181)&lt;&gt;1),"",INDEX(Frozen_Predictions!$J$4:$J$303,MATCH(A181,Frozen_Predictions!$A$4:$A$303,0)))</x:f>
      </x:c>
      <x:c r="I181" t="str">
        <x:f>IF(OR(A181="",COUNTIF(Frozen_Predictions!$A$4:$A$303,A181)&lt;&gt;1),"",INDEX(Frozen_Predictions!$K$4:$K$303,MATCH(A181,Frozen_Predictions!$A$4:$A$303,0)))</x:f>
      </x:c>
      <x:c r="J181" s="142" t="str">
        <x:f>IF(OR(A181="",G181="",COUNT(K181:M181)&lt;3,COUNTIF($A$4:$A$303,A181)&lt;&gt;1),"",IF(IF(M181+F181&gt;0,"1",IF(M181+F181=0,"X","2"))=G181&amp;"",1,0))</x:f>
      </x:c>
      <x:c r="K181" s="143"/>
      <x:c r="L181" s="143"/>
      <x:c r="M181" s="142" t="str">
        <x:f>IF(AND(A181&lt;&gt;"",COUNT(K181:L181)=2),K181-L181,"")</x:f>
      </x:c>
      <x:c r="N181" s="142" t="str">
        <x:f>IF(J181="","",IF(M181+F181=0,"YES","NO"))</x:f>
      </x:c>
      <x:c r="O181" t="str">
        <x:f>IF(J181="","",IF(J181=1,"WIN",IF(N181="YES","Exact margin M="&amp;ABS(F181),"Direction / tail")))</x:f>
      </x:c>
      <x:c r="P181" s="141"/>
      <x:c r="Q181" s="141"/>
      <x:c r="R181" s="144" t="str">
        <x:f>IF(OR(I181="",J181=""),"",(I181-J181)^2)</x:f>
      </x:c>
      <x:c r="S181" s="144" t="str">
        <x:f>IF(OR(I181="",J181=""),"",-(J181*LN(MAX(MIN(I181,0.999999),0.000001))+(1-J181)*LN(MAX(MIN(1-I181,0.999999),0.000001))))</x:f>
      </x:c>
      <x:c r="T181" t="str">
        <x:f>IF(J181="","",INDEX(Frozen_Predictions!$M$4:$M$303,MATCH(A181,Frozen_Predictions!$A$4:$A$303,0)))</x:f>
      </x:c>
      <x:c r="U181" t="str">
        <x:f>IF(J181="","",INDEX(Frozen_Predictions!$W$4:$W$303,MATCH(A181,Frozen_Predictions!$A$4:$A$303,0)))</x:f>
      </x:c>
      <x:c r="V181" t="str">
        <x:f>IF(J181="","",INDEX(Frozen_Predictions!$X$4:$X$303,MATCH(A181,Frozen_Predictions!$A$4:$A$303,0)))</x:f>
      </x:c>
      <x:c r="W181" t="str">
        <x:f>IF(A181="","",IF(COUNTIF($A$4:$A$303,A181)&lt;&gt;1,"ID DUPLICAT",IF(COUNTIF(Frozen_Predictions!$A$4:$A$303,A181)&lt;&gt;1,"ID INEXISTENT SAU DUPLICAT ÎN FROZEN",IF(COUNT(K181:L181)&lt;2,"COMPLETEAZĂ SCORUL","VERIFICAT"))))</x:f>
      </x:c>
    </x:row>
    <x:row r="182">
      <x:c r="A182" s="141"/>
      <x:c r="B182" t="str">
        <x:f>IF(OR(A182="",COUNTIF(Frozen_Predictions!$A$4:$A$303,A182)&lt;&gt;1),"",INDEX(Frozen_Predictions!$C$4:$C$303,MATCH(A182,Frozen_Predictions!$A$4:$A$303,0)))</x:f>
      </x:c>
      <x:c r="C182" t="str">
        <x:f>IF(OR(A182="",COUNTIF(Frozen_Predictions!$A$4:$A$303,A182)&lt;&gt;1),"",INDEX(Frozen_Predictions!$E$4:$E$303,MATCH(A182,Frozen_Predictions!$A$4:$A$303,0)))</x:f>
      </x:c>
      <x:c r="D182" t="str">
        <x:f>IF(OR(A182="",COUNTIF(Frozen_Predictions!$A$4:$A$303,A182)&lt;&gt;1),"",INDEX(Frozen_Predictions!$F$4:$F$303,MATCH(A182,Frozen_Predictions!$A$4:$A$303,0)))</x:f>
      </x:c>
      <x:c r="E182" t="str">
        <x:f>IF(OR(A182="",COUNTIF(Frozen_Predictions!$A$4:$A$303,A182)&lt;&gt;1),"",INDEX(Frozen_Predictions!$G$4:$G$303,MATCH(A182,Frozen_Predictions!$A$4:$A$303,0)))</x:f>
      </x:c>
      <x:c r="F182" t="str">
        <x:f>IF(OR(A182="",COUNTIF(Frozen_Predictions!$A$4:$A$303,A182)&lt;&gt;1),"",INDEX(Frozen_Predictions!$H$4:$H$303,MATCH(A182,Frozen_Predictions!$A$4:$A$303,0)))</x:f>
      </x:c>
      <x:c r="G182" t="str">
        <x:f>IF(OR(A182="",COUNTIF(Frozen_Predictions!$A$4:$A$303,A182)&lt;&gt;1),"",INDEX(Frozen_Predictions!$I$4:$I$303,MATCH(A182,Frozen_Predictions!$A$4:$A$303,0)))</x:f>
      </x:c>
      <x:c r="H182" t="str">
        <x:f>IF(OR(A182="",COUNTIF(Frozen_Predictions!$A$4:$A$303,A182)&lt;&gt;1),"",INDEX(Frozen_Predictions!$J$4:$J$303,MATCH(A182,Frozen_Predictions!$A$4:$A$303,0)))</x:f>
      </x:c>
      <x:c r="I182" t="str">
        <x:f>IF(OR(A182="",COUNTIF(Frozen_Predictions!$A$4:$A$303,A182)&lt;&gt;1),"",INDEX(Frozen_Predictions!$K$4:$K$303,MATCH(A182,Frozen_Predictions!$A$4:$A$303,0)))</x:f>
      </x:c>
      <x:c r="J182" s="142" t="str">
        <x:f>IF(OR(A182="",G182="",COUNT(K182:M182)&lt;3,COUNTIF($A$4:$A$303,A182)&lt;&gt;1),"",IF(IF(M182+F182&gt;0,"1",IF(M182+F182=0,"X","2"))=G182&amp;"",1,0))</x:f>
      </x:c>
      <x:c r="K182" s="143"/>
      <x:c r="L182" s="143"/>
      <x:c r="M182" s="142" t="str">
        <x:f>IF(AND(A182&lt;&gt;"",COUNT(K182:L182)=2),K182-L182,"")</x:f>
      </x:c>
      <x:c r="N182" s="142" t="str">
        <x:f>IF(J182="","",IF(M182+F182=0,"YES","NO"))</x:f>
      </x:c>
      <x:c r="O182" t="str">
        <x:f>IF(J182="","",IF(J182=1,"WIN",IF(N182="YES","Exact margin M="&amp;ABS(F182),"Direction / tail")))</x:f>
      </x:c>
      <x:c r="P182" s="141"/>
      <x:c r="Q182" s="141"/>
      <x:c r="R182" s="144" t="str">
        <x:f>IF(OR(I182="",J182=""),"",(I182-J182)^2)</x:f>
      </x:c>
      <x:c r="S182" s="144" t="str">
        <x:f>IF(OR(I182="",J182=""),"",-(J182*LN(MAX(MIN(I182,0.999999),0.000001))+(1-J182)*LN(MAX(MIN(1-I182,0.999999),0.000001))))</x:f>
      </x:c>
      <x:c r="T182" t="str">
        <x:f>IF(J182="","",INDEX(Frozen_Predictions!$M$4:$M$303,MATCH(A182,Frozen_Predictions!$A$4:$A$303,0)))</x:f>
      </x:c>
      <x:c r="U182" t="str">
        <x:f>IF(J182="","",INDEX(Frozen_Predictions!$W$4:$W$303,MATCH(A182,Frozen_Predictions!$A$4:$A$303,0)))</x:f>
      </x:c>
      <x:c r="V182" t="str">
        <x:f>IF(J182="","",INDEX(Frozen_Predictions!$X$4:$X$303,MATCH(A182,Frozen_Predictions!$A$4:$A$303,0)))</x:f>
      </x:c>
      <x:c r="W182" t="str">
        <x:f>IF(A182="","",IF(COUNTIF($A$4:$A$303,A182)&lt;&gt;1,"ID DUPLICAT",IF(COUNTIF(Frozen_Predictions!$A$4:$A$303,A182)&lt;&gt;1,"ID INEXISTENT SAU DUPLICAT ÎN FROZEN",IF(COUNT(K182:L182)&lt;2,"COMPLETEAZĂ SCORUL","VERIFICAT"))))</x:f>
      </x:c>
    </x:row>
    <x:row r="183">
      <x:c r="A183" s="141"/>
      <x:c r="B183" t="str">
        <x:f>IF(OR(A183="",COUNTIF(Frozen_Predictions!$A$4:$A$303,A183)&lt;&gt;1),"",INDEX(Frozen_Predictions!$C$4:$C$303,MATCH(A183,Frozen_Predictions!$A$4:$A$303,0)))</x:f>
      </x:c>
      <x:c r="C183" t="str">
        <x:f>IF(OR(A183="",COUNTIF(Frozen_Predictions!$A$4:$A$303,A183)&lt;&gt;1),"",INDEX(Frozen_Predictions!$E$4:$E$303,MATCH(A183,Frozen_Predictions!$A$4:$A$303,0)))</x:f>
      </x:c>
      <x:c r="D183" t="str">
        <x:f>IF(OR(A183="",COUNTIF(Frozen_Predictions!$A$4:$A$303,A183)&lt;&gt;1),"",INDEX(Frozen_Predictions!$F$4:$F$303,MATCH(A183,Frozen_Predictions!$A$4:$A$303,0)))</x:f>
      </x:c>
      <x:c r="E183" t="str">
        <x:f>IF(OR(A183="",COUNTIF(Frozen_Predictions!$A$4:$A$303,A183)&lt;&gt;1),"",INDEX(Frozen_Predictions!$G$4:$G$303,MATCH(A183,Frozen_Predictions!$A$4:$A$303,0)))</x:f>
      </x:c>
      <x:c r="F183" t="str">
        <x:f>IF(OR(A183="",COUNTIF(Frozen_Predictions!$A$4:$A$303,A183)&lt;&gt;1),"",INDEX(Frozen_Predictions!$H$4:$H$303,MATCH(A183,Frozen_Predictions!$A$4:$A$303,0)))</x:f>
      </x:c>
      <x:c r="G183" t="str">
        <x:f>IF(OR(A183="",COUNTIF(Frozen_Predictions!$A$4:$A$303,A183)&lt;&gt;1),"",INDEX(Frozen_Predictions!$I$4:$I$303,MATCH(A183,Frozen_Predictions!$A$4:$A$303,0)))</x:f>
      </x:c>
      <x:c r="H183" t="str">
        <x:f>IF(OR(A183="",COUNTIF(Frozen_Predictions!$A$4:$A$303,A183)&lt;&gt;1),"",INDEX(Frozen_Predictions!$J$4:$J$303,MATCH(A183,Frozen_Predictions!$A$4:$A$303,0)))</x:f>
      </x:c>
      <x:c r="I183" t="str">
        <x:f>IF(OR(A183="",COUNTIF(Frozen_Predictions!$A$4:$A$303,A183)&lt;&gt;1),"",INDEX(Frozen_Predictions!$K$4:$K$303,MATCH(A183,Frozen_Predictions!$A$4:$A$303,0)))</x:f>
      </x:c>
      <x:c r="J183" s="142" t="str">
        <x:f>IF(OR(A183="",G183="",COUNT(K183:M183)&lt;3,COUNTIF($A$4:$A$303,A183)&lt;&gt;1),"",IF(IF(M183+F183&gt;0,"1",IF(M183+F183=0,"X","2"))=G183&amp;"",1,0))</x:f>
      </x:c>
      <x:c r="K183" s="143"/>
      <x:c r="L183" s="143"/>
      <x:c r="M183" s="142" t="str">
        <x:f>IF(AND(A183&lt;&gt;"",COUNT(K183:L183)=2),K183-L183,"")</x:f>
      </x:c>
      <x:c r="N183" s="142" t="str">
        <x:f>IF(J183="","",IF(M183+F183=0,"YES","NO"))</x:f>
      </x:c>
      <x:c r="O183" t="str">
        <x:f>IF(J183="","",IF(J183=1,"WIN",IF(N183="YES","Exact margin M="&amp;ABS(F183),"Direction / tail")))</x:f>
      </x:c>
      <x:c r="P183" s="141"/>
      <x:c r="Q183" s="141"/>
      <x:c r="R183" s="144" t="str">
        <x:f>IF(OR(I183="",J183=""),"",(I183-J183)^2)</x:f>
      </x:c>
      <x:c r="S183" s="144" t="str">
        <x:f>IF(OR(I183="",J183=""),"",-(J183*LN(MAX(MIN(I183,0.999999),0.000001))+(1-J183)*LN(MAX(MIN(1-I183,0.999999),0.000001))))</x:f>
      </x:c>
      <x:c r="T183" t="str">
        <x:f>IF(J183="","",INDEX(Frozen_Predictions!$M$4:$M$303,MATCH(A183,Frozen_Predictions!$A$4:$A$303,0)))</x:f>
      </x:c>
      <x:c r="U183" t="str">
        <x:f>IF(J183="","",INDEX(Frozen_Predictions!$W$4:$W$303,MATCH(A183,Frozen_Predictions!$A$4:$A$303,0)))</x:f>
      </x:c>
      <x:c r="V183" t="str">
        <x:f>IF(J183="","",INDEX(Frozen_Predictions!$X$4:$X$303,MATCH(A183,Frozen_Predictions!$A$4:$A$303,0)))</x:f>
      </x:c>
      <x:c r="W183" t="str">
        <x:f>IF(A183="","",IF(COUNTIF($A$4:$A$303,A183)&lt;&gt;1,"ID DUPLICAT",IF(COUNTIF(Frozen_Predictions!$A$4:$A$303,A183)&lt;&gt;1,"ID INEXISTENT SAU DUPLICAT ÎN FROZEN",IF(COUNT(K183:L183)&lt;2,"COMPLETEAZĂ SCORUL","VERIFICAT"))))</x:f>
      </x:c>
    </x:row>
    <x:row r="184">
      <x:c r="A184" s="141"/>
      <x:c r="B184" t="str">
        <x:f>IF(OR(A184="",COUNTIF(Frozen_Predictions!$A$4:$A$303,A184)&lt;&gt;1),"",INDEX(Frozen_Predictions!$C$4:$C$303,MATCH(A184,Frozen_Predictions!$A$4:$A$303,0)))</x:f>
      </x:c>
      <x:c r="C184" t="str">
        <x:f>IF(OR(A184="",COUNTIF(Frozen_Predictions!$A$4:$A$303,A184)&lt;&gt;1),"",INDEX(Frozen_Predictions!$E$4:$E$303,MATCH(A184,Frozen_Predictions!$A$4:$A$303,0)))</x:f>
      </x:c>
      <x:c r="D184" t="str">
        <x:f>IF(OR(A184="",COUNTIF(Frozen_Predictions!$A$4:$A$303,A184)&lt;&gt;1),"",INDEX(Frozen_Predictions!$F$4:$F$303,MATCH(A184,Frozen_Predictions!$A$4:$A$303,0)))</x:f>
      </x:c>
      <x:c r="E184" t="str">
        <x:f>IF(OR(A184="",COUNTIF(Frozen_Predictions!$A$4:$A$303,A184)&lt;&gt;1),"",INDEX(Frozen_Predictions!$G$4:$G$303,MATCH(A184,Frozen_Predictions!$A$4:$A$303,0)))</x:f>
      </x:c>
      <x:c r="F184" t="str">
        <x:f>IF(OR(A184="",COUNTIF(Frozen_Predictions!$A$4:$A$303,A184)&lt;&gt;1),"",INDEX(Frozen_Predictions!$H$4:$H$303,MATCH(A184,Frozen_Predictions!$A$4:$A$303,0)))</x:f>
      </x:c>
      <x:c r="G184" t="str">
        <x:f>IF(OR(A184="",COUNTIF(Frozen_Predictions!$A$4:$A$303,A184)&lt;&gt;1),"",INDEX(Frozen_Predictions!$I$4:$I$303,MATCH(A184,Frozen_Predictions!$A$4:$A$303,0)))</x:f>
      </x:c>
      <x:c r="H184" t="str">
        <x:f>IF(OR(A184="",COUNTIF(Frozen_Predictions!$A$4:$A$303,A184)&lt;&gt;1),"",INDEX(Frozen_Predictions!$J$4:$J$303,MATCH(A184,Frozen_Predictions!$A$4:$A$303,0)))</x:f>
      </x:c>
      <x:c r="I184" t="str">
        <x:f>IF(OR(A184="",COUNTIF(Frozen_Predictions!$A$4:$A$303,A184)&lt;&gt;1),"",INDEX(Frozen_Predictions!$K$4:$K$303,MATCH(A184,Frozen_Predictions!$A$4:$A$303,0)))</x:f>
      </x:c>
      <x:c r="J184" s="142" t="str">
        <x:f>IF(OR(A184="",G184="",COUNT(K184:M184)&lt;3,COUNTIF($A$4:$A$303,A184)&lt;&gt;1),"",IF(IF(M184+F184&gt;0,"1",IF(M184+F184=0,"X","2"))=G184&amp;"",1,0))</x:f>
      </x:c>
      <x:c r="K184" s="143"/>
      <x:c r="L184" s="143"/>
      <x:c r="M184" s="142" t="str">
        <x:f>IF(AND(A184&lt;&gt;"",COUNT(K184:L184)=2),K184-L184,"")</x:f>
      </x:c>
      <x:c r="N184" s="142" t="str">
        <x:f>IF(J184="","",IF(M184+F184=0,"YES","NO"))</x:f>
      </x:c>
      <x:c r="O184" t="str">
        <x:f>IF(J184="","",IF(J184=1,"WIN",IF(N184="YES","Exact margin M="&amp;ABS(F184),"Direction / tail")))</x:f>
      </x:c>
      <x:c r="P184" s="141"/>
      <x:c r="Q184" s="141"/>
      <x:c r="R184" s="144" t="str">
        <x:f>IF(OR(I184="",J184=""),"",(I184-J184)^2)</x:f>
      </x:c>
      <x:c r="S184" s="144" t="str">
        <x:f>IF(OR(I184="",J184=""),"",-(J184*LN(MAX(MIN(I184,0.999999),0.000001))+(1-J184)*LN(MAX(MIN(1-I184,0.999999),0.000001))))</x:f>
      </x:c>
      <x:c r="T184" t="str">
        <x:f>IF(J184="","",INDEX(Frozen_Predictions!$M$4:$M$303,MATCH(A184,Frozen_Predictions!$A$4:$A$303,0)))</x:f>
      </x:c>
      <x:c r="U184" t="str">
        <x:f>IF(J184="","",INDEX(Frozen_Predictions!$W$4:$W$303,MATCH(A184,Frozen_Predictions!$A$4:$A$303,0)))</x:f>
      </x:c>
      <x:c r="V184" t="str">
        <x:f>IF(J184="","",INDEX(Frozen_Predictions!$X$4:$X$303,MATCH(A184,Frozen_Predictions!$A$4:$A$303,0)))</x:f>
      </x:c>
      <x:c r="W184" t="str">
        <x:f>IF(A184="","",IF(COUNTIF($A$4:$A$303,A184)&lt;&gt;1,"ID DUPLICAT",IF(COUNTIF(Frozen_Predictions!$A$4:$A$303,A184)&lt;&gt;1,"ID INEXISTENT SAU DUPLICAT ÎN FROZEN",IF(COUNT(K184:L184)&lt;2,"COMPLETEAZĂ SCORUL","VERIFICAT"))))</x:f>
      </x:c>
    </x:row>
    <x:row r="185">
      <x:c r="A185" s="141"/>
      <x:c r="B185" t="str">
        <x:f>IF(OR(A185="",COUNTIF(Frozen_Predictions!$A$4:$A$303,A185)&lt;&gt;1),"",INDEX(Frozen_Predictions!$C$4:$C$303,MATCH(A185,Frozen_Predictions!$A$4:$A$303,0)))</x:f>
      </x:c>
      <x:c r="C185" t="str">
        <x:f>IF(OR(A185="",COUNTIF(Frozen_Predictions!$A$4:$A$303,A185)&lt;&gt;1),"",INDEX(Frozen_Predictions!$E$4:$E$303,MATCH(A185,Frozen_Predictions!$A$4:$A$303,0)))</x:f>
      </x:c>
      <x:c r="D185" t="str">
        <x:f>IF(OR(A185="",COUNTIF(Frozen_Predictions!$A$4:$A$303,A185)&lt;&gt;1),"",INDEX(Frozen_Predictions!$F$4:$F$303,MATCH(A185,Frozen_Predictions!$A$4:$A$303,0)))</x:f>
      </x:c>
      <x:c r="E185" t="str">
        <x:f>IF(OR(A185="",COUNTIF(Frozen_Predictions!$A$4:$A$303,A185)&lt;&gt;1),"",INDEX(Frozen_Predictions!$G$4:$G$303,MATCH(A185,Frozen_Predictions!$A$4:$A$303,0)))</x:f>
      </x:c>
      <x:c r="F185" t="str">
        <x:f>IF(OR(A185="",COUNTIF(Frozen_Predictions!$A$4:$A$303,A185)&lt;&gt;1),"",INDEX(Frozen_Predictions!$H$4:$H$303,MATCH(A185,Frozen_Predictions!$A$4:$A$303,0)))</x:f>
      </x:c>
      <x:c r="G185" t="str">
        <x:f>IF(OR(A185="",COUNTIF(Frozen_Predictions!$A$4:$A$303,A185)&lt;&gt;1),"",INDEX(Frozen_Predictions!$I$4:$I$303,MATCH(A185,Frozen_Predictions!$A$4:$A$303,0)))</x:f>
      </x:c>
      <x:c r="H185" t="str">
        <x:f>IF(OR(A185="",COUNTIF(Frozen_Predictions!$A$4:$A$303,A185)&lt;&gt;1),"",INDEX(Frozen_Predictions!$J$4:$J$303,MATCH(A185,Frozen_Predictions!$A$4:$A$303,0)))</x:f>
      </x:c>
      <x:c r="I185" t="str">
        <x:f>IF(OR(A185="",COUNTIF(Frozen_Predictions!$A$4:$A$303,A185)&lt;&gt;1),"",INDEX(Frozen_Predictions!$K$4:$K$303,MATCH(A185,Frozen_Predictions!$A$4:$A$303,0)))</x:f>
      </x:c>
      <x:c r="J185" s="142" t="str">
        <x:f>IF(OR(A185="",G185="",COUNT(K185:M185)&lt;3,COUNTIF($A$4:$A$303,A185)&lt;&gt;1),"",IF(IF(M185+F185&gt;0,"1",IF(M185+F185=0,"X","2"))=G185&amp;"",1,0))</x:f>
      </x:c>
      <x:c r="K185" s="143"/>
      <x:c r="L185" s="143"/>
      <x:c r="M185" s="142" t="str">
        <x:f>IF(AND(A185&lt;&gt;"",COUNT(K185:L185)=2),K185-L185,"")</x:f>
      </x:c>
      <x:c r="N185" s="142" t="str">
        <x:f>IF(J185="","",IF(M185+F185=0,"YES","NO"))</x:f>
      </x:c>
      <x:c r="O185" t="str">
        <x:f>IF(J185="","",IF(J185=1,"WIN",IF(N185="YES","Exact margin M="&amp;ABS(F185),"Direction / tail")))</x:f>
      </x:c>
      <x:c r="P185" s="141"/>
      <x:c r="Q185" s="141"/>
      <x:c r="R185" s="144" t="str">
        <x:f>IF(OR(I185="",J185=""),"",(I185-J185)^2)</x:f>
      </x:c>
      <x:c r="S185" s="144" t="str">
        <x:f>IF(OR(I185="",J185=""),"",-(J185*LN(MAX(MIN(I185,0.999999),0.000001))+(1-J185)*LN(MAX(MIN(1-I185,0.999999),0.000001))))</x:f>
      </x:c>
      <x:c r="T185" t="str">
        <x:f>IF(J185="","",INDEX(Frozen_Predictions!$M$4:$M$303,MATCH(A185,Frozen_Predictions!$A$4:$A$303,0)))</x:f>
      </x:c>
      <x:c r="U185" t="str">
        <x:f>IF(J185="","",INDEX(Frozen_Predictions!$W$4:$W$303,MATCH(A185,Frozen_Predictions!$A$4:$A$303,0)))</x:f>
      </x:c>
      <x:c r="V185" t="str">
        <x:f>IF(J185="","",INDEX(Frozen_Predictions!$X$4:$X$303,MATCH(A185,Frozen_Predictions!$A$4:$A$303,0)))</x:f>
      </x:c>
      <x:c r="W185" t="str">
        <x:f>IF(A185="","",IF(COUNTIF($A$4:$A$303,A185)&lt;&gt;1,"ID DUPLICAT",IF(COUNTIF(Frozen_Predictions!$A$4:$A$303,A185)&lt;&gt;1,"ID INEXISTENT SAU DUPLICAT ÎN FROZEN",IF(COUNT(K185:L185)&lt;2,"COMPLETEAZĂ SCORUL","VERIFICAT"))))</x:f>
      </x:c>
    </x:row>
    <x:row r="186">
      <x:c r="A186" s="141"/>
      <x:c r="B186" t="str">
        <x:f>IF(OR(A186="",COUNTIF(Frozen_Predictions!$A$4:$A$303,A186)&lt;&gt;1),"",INDEX(Frozen_Predictions!$C$4:$C$303,MATCH(A186,Frozen_Predictions!$A$4:$A$303,0)))</x:f>
      </x:c>
      <x:c r="C186" t="str">
        <x:f>IF(OR(A186="",COUNTIF(Frozen_Predictions!$A$4:$A$303,A186)&lt;&gt;1),"",INDEX(Frozen_Predictions!$E$4:$E$303,MATCH(A186,Frozen_Predictions!$A$4:$A$303,0)))</x:f>
      </x:c>
      <x:c r="D186" t="str">
        <x:f>IF(OR(A186="",COUNTIF(Frozen_Predictions!$A$4:$A$303,A186)&lt;&gt;1),"",INDEX(Frozen_Predictions!$F$4:$F$303,MATCH(A186,Frozen_Predictions!$A$4:$A$303,0)))</x:f>
      </x:c>
      <x:c r="E186" t="str">
        <x:f>IF(OR(A186="",COUNTIF(Frozen_Predictions!$A$4:$A$303,A186)&lt;&gt;1),"",INDEX(Frozen_Predictions!$G$4:$G$303,MATCH(A186,Frozen_Predictions!$A$4:$A$303,0)))</x:f>
      </x:c>
      <x:c r="F186" t="str">
        <x:f>IF(OR(A186="",COUNTIF(Frozen_Predictions!$A$4:$A$303,A186)&lt;&gt;1),"",INDEX(Frozen_Predictions!$H$4:$H$303,MATCH(A186,Frozen_Predictions!$A$4:$A$303,0)))</x:f>
      </x:c>
      <x:c r="G186" t="str">
        <x:f>IF(OR(A186="",COUNTIF(Frozen_Predictions!$A$4:$A$303,A186)&lt;&gt;1),"",INDEX(Frozen_Predictions!$I$4:$I$303,MATCH(A186,Frozen_Predictions!$A$4:$A$303,0)))</x:f>
      </x:c>
      <x:c r="H186" t="str">
        <x:f>IF(OR(A186="",COUNTIF(Frozen_Predictions!$A$4:$A$303,A186)&lt;&gt;1),"",INDEX(Frozen_Predictions!$J$4:$J$303,MATCH(A186,Frozen_Predictions!$A$4:$A$303,0)))</x:f>
      </x:c>
      <x:c r="I186" t="str">
        <x:f>IF(OR(A186="",COUNTIF(Frozen_Predictions!$A$4:$A$303,A186)&lt;&gt;1),"",INDEX(Frozen_Predictions!$K$4:$K$303,MATCH(A186,Frozen_Predictions!$A$4:$A$303,0)))</x:f>
      </x:c>
      <x:c r="J186" s="142" t="str">
        <x:f>IF(OR(A186="",G186="",COUNT(K186:M186)&lt;3,COUNTIF($A$4:$A$303,A186)&lt;&gt;1),"",IF(IF(M186+F186&gt;0,"1",IF(M186+F186=0,"X","2"))=G186&amp;"",1,0))</x:f>
      </x:c>
      <x:c r="K186" s="143"/>
      <x:c r="L186" s="143"/>
      <x:c r="M186" s="142" t="str">
        <x:f>IF(AND(A186&lt;&gt;"",COUNT(K186:L186)=2),K186-L186,"")</x:f>
      </x:c>
      <x:c r="N186" s="142" t="str">
        <x:f>IF(J186="","",IF(M186+F186=0,"YES","NO"))</x:f>
      </x:c>
      <x:c r="O186" t="str">
        <x:f>IF(J186="","",IF(J186=1,"WIN",IF(N186="YES","Exact margin M="&amp;ABS(F186),"Direction / tail")))</x:f>
      </x:c>
      <x:c r="P186" s="141"/>
      <x:c r="Q186" s="141"/>
      <x:c r="R186" s="144" t="str">
        <x:f>IF(OR(I186="",J186=""),"",(I186-J186)^2)</x:f>
      </x:c>
      <x:c r="S186" s="144" t="str">
        <x:f>IF(OR(I186="",J186=""),"",-(J186*LN(MAX(MIN(I186,0.999999),0.000001))+(1-J186)*LN(MAX(MIN(1-I186,0.999999),0.000001))))</x:f>
      </x:c>
      <x:c r="T186" t="str">
        <x:f>IF(J186="","",INDEX(Frozen_Predictions!$M$4:$M$303,MATCH(A186,Frozen_Predictions!$A$4:$A$303,0)))</x:f>
      </x:c>
      <x:c r="U186" t="str">
        <x:f>IF(J186="","",INDEX(Frozen_Predictions!$W$4:$W$303,MATCH(A186,Frozen_Predictions!$A$4:$A$303,0)))</x:f>
      </x:c>
      <x:c r="V186" t="str">
        <x:f>IF(J186="","",INDEX(Frozen_Predictions!$X$4:$X$303,MATCH(A186,Frozen_Predictions!$A$4:$A$303,0)))</x:f>
      </x:c>
      <x:c r="W186" t="str">
        <x:f>IF(A186="","",IF(COUNTIF($A$4:$A$303,A186)&lt;&gt;1,"ID DUPLICAT",IF(COUNTIF(Frozen_Predictions!$A$4:$A$303,A186)&lt;&gt;1,"ID INEXISTENT SAU DUPLICAT ÎN FROZEN",IF(COUNT(K186:L186)&lt;2,"COMPLETEAZĂ SCORUL","VERIFICAT"))))</x:f>
      </x:c>
    </x:row>
    <x:row r="187">
      <x:c r="A187" s="141"/>
      <x:c r="B187" t="str">
        <x:f>IF(OR(A187="",COUNTIF(Frozen_Predictions!$A$4:$A$303,A187)&lt;&gt;1),"",INDEX(Frozen_Predictions!$C$4:$C$303,MATCH(A187,Frozen_Predictions!$A$4:$A$303,0)))</x:f>
      </x:c>
      <x:c r="C187" t="str">
        <x:f>IF(OR(A187="",COUNTIF(Frozen_Predictions!$A$4:$A$303,A187)&lt;&gt;1),"",INDEX(Frozen_Predictions!$E$4:$E$303,MATCH(A187,Frozen_Predictions!$A$4:$A$303,0)))</x:f>
      </x:c>
      <x:c r="D187" t="str">
        <x:f>IF(OR(A187="",COUNTIF(Frozen_Predictions!$A$4:$A$303,A187)&lt;&gt;1),"",INDEX(Frozen_Predictions!$F$4:$F$303,MATCH(A187,Frozen_Predictions!$A$4:$A$303,0)))</x:f>
      </x:c>
      <x:c r="E187" t="str">
        <x:f>IF(OR(A187="",COUNTIF(Frozen_Predictions!$A$4:$A$303,A187)&lt;&gt;1),"",INDEX(Frozen_Predictions!$G$4:$G$303,MATCH(A187,Frozen_Predictions!$A$4:$A$303,0)))</x:f>
      </x:c>
      <x:c r="F187" t="str">
        <x:f>IF(OR(A187="",COUNTIF(Frozen_Predictions!$A$4:$A$303,A187)&lt;&gt;1),"",INDEX(Frozen_Predictions!$H$4:$H$303,MATCH(A187,Frozen_Predictions!$A$4:$A$303,0)))</x:f>
      </x:c>
      <x:c r="G187" t="str">
        <x:f>IF(OR(A187="",COUNTIF(Frozen_Predictions!$A$4:$A$303,A187)&lt;&gt;1),"",INDEX(Frozen_Predictions!$I$4:$I$303,MATCH(A187,Frozen_Predictions!$A$4:$A$303,0)))</x:f>
      </x:c>
      <x:c r="H187" t="str">
        <x:f>IF(OR(A187="",COUNTIF(Frozen_Predictions!$A$4:$A$303,A187)&lt;&gt;1),"",INDEX(Frozen_Predictions!$J$4:$J$303,MATCH(A187,Frozen_Predictions!$A$4:$A$303,0)))</x:f>
      </x:c>
      <x:c r="I187" t="str">
        <x:f>IF(OR(A187="",COUNTIF(Frozen_Predictions!$A$4:$A$303,A187)&lt;&gt;1),"",INDEX(Frozen_Predictions!$K$4:$K$303,MATCH(A187,Frozen_Predictions!$A$4:$A$303,0)))</x:f>
      </x:c>
      <x:c r="J187" s="142" t="str">
        <x:f>IF(OR(A187="",G187="",COUNT(K187:M187)&lt;3,COUNTIF($A$4:$A$303,A187)&lt;&gt;1),"",IF(IF(M187+F187&gt;0,"1",IF(M187+F187=0,"X","2"))=G187&amp;"",1,0))</x:f>
      </x:c>
      <x:c r="K187" s="143"/>
      <x:c r="L187" s="143"/>
      <x:c r="M187" s="142" t="str">
        <x:f>IF(AND(A187&lt;&gt;"",COUNT(K187:L187)=2),K187-L187,"")</x:f>
      </x:c>
      <x:c r="N187" s="142" t="str">
        <x:f>IF(J187="","",IF(M187+F187=0,"YES","NO"))</x:f>
      </x:c>
      <x:c r="O187" t="str">
        <x:f>IF(J187="","",IF(J187=1,"WIN",IF(N187="YES","Exact margin M="&amp;ABS(F187),"Direction / tail")))</x:f>
      </x:c>
      <x:c r="P187" s="141"/>
      <x:c r="Q187" s="141"/>
      <x:c r="R187" s="144" t="str">
        <x:f>IF(OR(I187="",J187=""),"",(I187-J187)^2)</x:f>
      </x:c>
      <x:c r="S187" s="144" t="str">
        <x:f>IF(OR(I187="",J187=""),"",-(J187*LN(MAX(MIN(I187,0.999999),0.000001))+(1-J187)*LN(MAX(MIN(1-I187,0.999999),0.000001))))</x:f>
      </x:c>
      <x:c r="T187" t="str">
        <x:f>IF(J187="","",INDEX(Frozen_Predictions!$M$4:$M$303,MATCH(A187,Frozen_Predictions!$A$4:$A$303,0)))</x:f>
      </x:c>
      <x:c r="U187" t="str">
        <x:f>IF(J187="","",INDEX(Frozen_Predictions!$W$4:$W$303,MATCH(A187,Frozen_Predictions!$A$4:$A$303,0)))</x:f>
      </x:c>
      <x:c r="V187" t="str">
        <x:f>IF(J187="","",INDEX(Frozen_Predictions!$X$4:$X$303,MATCH(A187,Frozen_Predictions!$A$4:$A$303,0)))</x:f>
      </x:c>
      <x:c r="W187" t="str">
        <x:f>IF(A187="","",IF(COUNTIF($A$4:$A$303,A187)&lt;&gt;1,"ID DUPLICAT",IF(COUNTIF(Frozen_Predictions!$A$4:$A$303,A187)&lt;&gt;1,"ID INEXISTENT SAU DUPLICAT ÎN FROZEN",IF(COUNT(K187:L187)&lt;2,"COMPLETEAZĂ SCORUL","VERIFICAT"))))</x:f>
      </x:c>
    </x:row>
    <x:row r="188">
      <x:c r="A188" s="141"/>
      <x:c r="B188" t="str">
        <x:f>IF(OR(A188="",COUNTIF(Frozen_Predictions!$A$4:$A$303,A188)&lt;&gt;1),"",INDEX(Frozen_Predictions!$C$4:$C$303,MATCH(A188,Frozen_Predictions!$A$4:$A$303,0)))</x:f>
      </x:c>
      <x:c r="C188" t="str">
        <x:f>IF(OR(A188="",COUNTIF(Frozen_Predictions!$A$4:$A$303,A188)&lt;&gt;1),"",INDEX(Frozen_Predictions!$E$4:$E$303,MATCH(A188,Frozen_Predictions!$A$4:$A$303,0)))</x:f>
      </x:c>
      <x:c r="D188" t="str">
        <x:f>IF(OR(A188="",COUNTIF(Frozen_Predictions!$A$4:$A$303,A188)&lt;&gt;1),"",INDEX(Frozen_Predictions!$F$4:$F$303,MATCH(A188,Frozen_Predictions!$A$4:$A$303,0)))</x:f>
      </x:c>
      <x:c r="E188" t="str">
        <x:f>IF(OR(A188="",COUNTIF(Frozen_Predictions!$A$4:$A$303,A188)&lt;&gt;1),"",INDEX(Frozen_Predictions!$G$4:$G$303,MATCH(A188,Frozen_Predictions!$A$4:$A$303,0)))</x:f>
      </x:c>
      <x:c r="F188" t="str">
        <x:f>IF(OR(A188="",COUNTIF(Frozen_Predictions!$A$4:$A$303,A188)&lt;&gt;1),"",INDEX(Frozen_Predictions!$H$4:$H$303,MATCH(A188,Frozen_Predictions!$A$4:$A$303,0)))</x:f>
      </x:c>
      <x:c r="G188" t="str">
        <x:f>IF(OR(A188="",COUNTIF(Frozen_Predictions!$A$4:$A$303,A188)&lt;&gt;1),"",INDEX(Frozen_Predictions!$I$4:$I$303,MATCH(A188,Frozen_Predictions!$A$4:$A$303,0)))</x:f>
      </x:c>
      <x:c r="H188" t="str">
        <x:f>IF(OR(A188="",COUNTIF(Frozen_Predictions!$A$4:$A$303,A188)&lt;&gt;1),"",INDEX(Frozen_Predictions!$J$4:$J$303,MATCH(A188,Frozen_Predictions!$A$4:$A$303,0)))</x:f>
      </x:c>
      <x:c r="I188" t="str">
        <x:f>IF(OR(A188="",COUNTIF(Frozen_Predictions!$A$4:$A$303,A188)&lt;&gt;1),"",INDEX(Frozen_Predictions!$K$4:$K$303,MATCH(A188,Frozen_Predictions!$A$4:$A$303,0)))</x:f>
      </x:c>
      <x:c r="J188" s="142" t="str">
        <x:f>IF(OR(A188="",G188="",COUNT(K188:M188)&lt;3,COUNTIF($A$4:$A$303,A188)&lt;&gt;1),"",IF(IF(M188+F188&gt;0,"1",IF(M188+F188=0,"X","2"))=G188&amp;"",1,0))</x:f>
      </x:c>
      <x:c r="K188" s="143"/>
      <x:c r="L188" s="143"/>
      <x:c r="M188" s="142" t="str">
        <x:f>IF(AND(A188&lt;&gt;"",COUNT(K188:L188)=2),K188-L188,"")</x:f>
      </x:c>
      <x:c r="N188" s="142" t="str">
        <x:f>IF(J188="","",IF(M188+F188=0,"YES","NO"))</x:f>
      </x:c>
      <x:c r="O188" t="str">
        <x:f>IF(J188="","",IF(J188=1,"WIN",IF(N188="YES","Exact margin M="&amp;ABS(F188),"Direction / tail")))</x:f>
      </x:c>
      <x:c r="P188" s="141"/>
      <x:c r="Q188" s="141"/>
      <x:c r="R188" s="144" t="str">
        <x:f>IF(OR(I188="",J188=""),"",(I188-J188)^2)</x:f>
      </x:c>
      <x:c r="S188" s="144" t="str">
        <x:f>IF(OR(I188="",J188=""),"",-(J188*LN(MAX(MIN(I188,0.999999),0.000001))+(1-J188)*LN(MAX(MIN(1-I188,0.999999),0.000001))))</x:f>
      </x:c>
      <x:c r="T188" t="str">
        <x:f>IF(J188="","",INDEX(Frozen_Predictions!$M$4:$M$303,MATCH(A188,Frozen_Predictions!$A$4:$A$303,0)))</x:f>
      </x:c>
      <x:c r="U188" t="str">
        <x:f>IF(J188="","",INDEX(Frozen_Predictions!$W$4:$W$303,MATCH(A188,Frozen_Predictions!$A$4:$A$303,0)))</x:f>
      </x:c>
      <x:c r="V188" t="str">
        <x:f>IF(J188="","",INDEX(Frozen_Predictions!$X$4:$X$303,MATCH(A188,Frozen_Predictions!$A$4:$A$303,0)))</x:f>
      </x:c>
      <x:c r="W188" t="str">
        <x:f>IF(A188="","",IF(COUNTIF($A$4:$A$303,A188)&lt;&gt;1,"ID DUPLICAT",IF(COUNTIF(Frozen_Predictions!$A$4:$A$303,A188)&lt;&gt;1,"ID INEXISTENT SAU DUPLICAT ÎN FROZEN",IF(COUNT(K188:L188)&lt;2,"COMPLETEAZĂ SCORUL","VERIFICAT"))))</x:f>
      </x:c>
    </x:row>
    <x:row r="189">
      <x:c r="A189" s="141"/>
      <x:c r="B189" t="str">
        <x:f>IF(OR(A189="",COUNTIF(Frozen_Predictions!$A$4:$A$303,A189)&lt;&gt;1),"",INDEX(Frozen_Predictions!$C$4:$C$303,MATCH(A189,Frozen_Predictions!$A$4:$A$303,0)))</x:f>
      </x:c>
      <x:c r="C189" t="str">
        <x:f>IF(OR(A189="",COUNTIF(Frozen_Predictions!$A$4:$A$303,A189)&lt;&gt;1),"",INDEX(Frozen_Predictions!$E$4:$E$303,MATCH(A189,Frozen_Predictions!$A$4:$A$303,0)))</x:f>
      </x:c>
      <x:c r="D189" t="str">
        <x:f>IF(OR(A189="",COUNTIF(Frozen_Predictions!$A$4:$A$303,A189)&lt;&gt;1),"",INDEX(Frozen_Predictions!$F$4:$F$303,MATCH(A189,Frozen_Predictions!$A$4:$A$303,0)))</x:f>
      </x:c>
      <x:c r="E189" t="str">
        <x:f>IF(OR(A189="",COUNTIF(Frozen_Predictions!$A$4:$A$303,A189)&lt;&gt;1),"",INDEX(Frozen_Predictions!$G$4:$G$303,MATCH(A189,Frozen_Predictions!$A$4:$A$303,0)))</x:f>
      </x:c>
      <x:c r="F189" t="str">
        <x:f>IF(OR(A189="",COUNTIF(Frozen_Predictions!$A$4:$A$303,A189)&lt;&gt;1),"",INDEX(Frozen_Predictions!$H$4:$H$303,MATCH(A189,Frozen_Predictions!$A$4:$A$303,0)))</x:f>
      </x:c>
      <x:c r="G189" t="str">
        <x:f>IF(OR(A189="",COUNTIF(Frozen_Predictions!$A$4:$A$303,A189)&lt;&gt;1),"",INDEX(Frozen_Predictions!$I$4:$I$303,MATCH(A189,Frozen_Predictions!$A$4:$A$303,0)))</x:f>
      </x:c>
      <x:c r="H189" t="str">
        <x:f>IF(OR(A189="",COUNTIF(Frozen_Predictions!$A$4:$A$303,A189)&lt;&gt;1),"",INDEX(Frozen_Predictions!$J$4:$J$303,MATCH(A189,Frozen_Predictions!$A$4:$A$303,0)))</x:f>
      </x:c>
      <x:c r="I189" t="str">
        <x:f>IF(OR(A189="",COUNTIF(Frozen_Predictions!$A$4:$A$303,A189)&lt;&gt;1),"",INDEX(Frozen_Predictions!$K$4:$K$303,MATCH(A189,Frozen_Predictions!$A$4:$A$303,0)))</x:f>
      </x:c>
      <x:c r="J189" s="142" t="str">
        <x:f>IF(OR(A189="",G189="",COUNT(K189:M189)&lt;3,COUNTIF($A$4:$A$303,A189)&lt;&gt;1),"",IF(IF(M189+F189&gt;0,"1",IF(M189+F189=0,"X","2"))=G189&amp;"",1,0))</x:f>
      </x:c>
      <x:c r="K189" s="143"/>
      <x:c r="L189" s="143"/>
      <x:c r="M189" s="142" t="str">
        <x:f>IF(AND(A189&lt;&gt;"",COUNT(K189:L189)=2),K189-L189,"")</x:f>
      </x:c>
      <x:c r="N189" s="142" t="str">
        <x:f>IF(J189="","",IF(M189+F189=0,"YES","NO"))</x:f>
      </x:c>
      <x:c r="O189" t="str">
        <x:f>IF(J189="","",IF(J189=1,"WIN",IF(N189="YES","Exact margin M="&amp;ABS(F189),"Direction / tail")))</x:f>
      </x:c>
      <x:c r="P189" s="141"/>
      <x:c r="Q189" s="141"/>
      <x:c r="R189" s="144" t="str">
        <x:f>IF(OR(I189="",J189=""),"",(I189-J189)^2)</x:f>
      </x:c>
      <x:c r="S189" s="144" t="str">
        <x:f>IF(OR(I189="",J189=""),"",-(J189*LN(MAX(MIN(I189,0.999999),0.000001))+(1-J189)*LN(MAX(MIN(1-I189,0.999999),0.000001))))</x:f>
      </x:c>
      <x:c r="T189" t="str">
        <x:f>IF(J189="","",INDEX(Frozen_Predictions!$M$4:$M$303,MATCH(A189,Frozen_Predictions!$A$4:$A$303,0)))</x:f>
      </x:c>
      <x:c r="U189" t="str">
        <x:f>IF(J189="","",INDEX(Frozen_Predictions!$W$4:$W$303,MATCH(A189,Frozen_Predictions!$A$4:$A$303,0)))</x:f>
      </x:c>
      <x:c r="V189" t="str">
        <x:f>IF(J189="","",INDEX(Frozen_Predictions!$X$4:$X$303,MATCH(A189,Frozen_Predictions!$A$4:$A$303,0)))</x:f>
      </x:c>
      <x:c r="W189" t="str">
        <x:f>IF(A189="","",IF(COUNTIF($A$4:$A$303,A189)&lt;&gt;1,"ID DUPLICAT",IF(COUNTIF(Frozen_Predictions!$A$4:$A$303,A189)&lt;&gt;1,"ID INEXISTENT SAU DUPLICAT ÎN FROZEN",IF(COUNT(K189:L189)&lt;2,"COMPLETEAZĂ SCORUL","VERIFICAT"))))</x:f>
      </x:c>
    </x:row>
    <x:row r="190">
      <x:c r="A190" s="141"/>
      <x:c r="B190" t="str">
        <x:f>IF(OR(A190="",COUNTIF(Frozen_Predictions!$A$4:$A$303,A190)&lt;&gt;1),"",INDEX(Frozen_Predictions!$C$4:$C$303,MATCH(A190,Frozen_Predictions!$A$4:$A$303,0)))</x:f>
      </x:c>
      <x:c r="C190" t="str">
        <x:f>IF(OR(A190="",COUNTIF(Frozen_Predictions!$A$4:$A$303,A190)&lt;&gt;1),"",INDEX(Frozen_Predictions!$E$4:$E$303,MATCH(A190,Frozen_Predictions!$A$4:$A$303,0)))</x:f>
      </x:c>
      <x:c r="D190" t="str">
        <x:f>IF(OR(A190="",COUNTIF(Frozen_Predictions!$A$4:$A$303,A190)&lt;&gt;1),"",INDEX(Frozen_Predictions!$F$4:$F$303,MATCH(A190,Frozen_Predictions!$A$4:$A$303,0)))</x:f>
      </x:c>
      <x:c r="E190" t="str">
        <x:f>IF(OR(A190="",COUNTIF(Frozen_Predictions!$A$4:$A$303,A190)&lt;&gt;1),"",INDEX(Frozen_Predictions!$G$4:$G$303,MATCH(A190,Frozen_Predictions!$A$4:$A$303,0)))</x:f>
      </x:c>
      <x:c r="F190" t="str">
        <x:f>IF(OR(A190="",COUNTIF(Frozen_Predictions!$A$4:$A$303,A190)&lt;&gt;1),"",INDEX(Frozen_Predictions!$H$4:$H$303,MATCH(A190,Frozen_Predictions!$A$4:$A$303,0)))</x:f>
      </x:c>
      <x:c r="G190" t="str">
        <x:f>IF(OR(A190="",COUNTIF(Frozen_Predictions!$A$4:$A$303,A190)&lt;&gt;1),"",INDEX(Frozen_Predictions!$I$4:$I$303,MATCH(A190,Frozen_Predictions!$A$4:$A$303,0)))</x:f>
      </x:c>
      <x:c r="H190" t="str">
        <x:f>IF(OR(A190="",COUNTIF(Frozen_Predictions!$A$4:$A$303,A190)&lt;&gt;1),"",INDEX(Frozen_Predictions!$J$4:$J$303,MATCH(A190,Frozen_Predictions!$A$4:$A$303,0)))</x:f>
      </x:c>
      <x:c r="I190" t="str">
        <x:f>IF(OR(A190="",COUNTIF(Frozen_Predictions!$A$4:$A$303,A190)&lt;&gt;1),"",INDEX(Frozen_Predictions!$K$4:$K$303,MATCH(A190,Frozen_Predictions!$A$4:$A$303,0)))</x:f>
      </x:c>
      <x:c r="J190" s="142" t="str">
        <x:f>IF(OR(A190="",G190="",COUNT(K190:M190)&lt;3,COUNTIF($A$4:$A$303,A190)&lt;&gt;1),"",IF(IF(M190+F190&gt;0,"1",IF(M190+F190=0,"X","2"))=G190&amp;"",1,0))</x:f>
      </x:c>
      <x:c r="K190" s="143"/>
      <x:c r="L190" s="143"/>
      <x:c r="M190" s="142" t="str">
        <x:f>IF(AND(A190&lt;&gt;"",COUNT(K190:L190)=2),K190-L190,"")</x:f>
      </x:c>
      <x:c r="N190" s="142" t="str">
        <x:f>IF(J190="","",IF(M190+F190=0,"YES","NO"))</x:f>
      </x:c>
      <x:c r="O190" t="str">
        <x:f>IF(J190="","",IF(J190=1,"WIN",IF(N190="YES","Exact margin M="&amp;ABS(F190),"Direction / tail")))</x:f>
      </x:c>
      <x:c r="P190" s="141"/>
      <x:c r="Q190" s="141"/>
      <x:c r="R190" s="144" t="str">
        <x:f>IF(OR(I190="",J190=""),"",(I190-J190)^2)</x:f>
      </x:c>
      <x:c r="S190" s="144" t="str">
        <x:f>IF(OR(I190="",J190=""),"",-(J190*LN(MAX(MIN(I190,0.999999),0.000001))+(1-J190)*LN(MAX(MIN(1-I190,0.999999),0.000001))))</x:f>
      </x:c>
      <x:c r="T190" t="str">
        <x:f>IF(J190="","",INDEX(Frozen_Predictions!$M$4:$M$303,MATCH(A190,Frozen_Predictions!$A$4:$A$303,0)))</x:f>
      </x:c>
      <x:c r="U190" t="str">
        <x:f>IF(J190="","",INDEX(Frozen_Predictions!$W$4:$W$303,MATCH(A190,Frozen_Predictions!$A$4:$A$303,0)))</x:f>
      </x:c>
      <x:c r="V190" t="str">
        <x:f>IF(J190="","",INDEX(Frozen_Predictions!$X$4:$X$303,MATCH(A190,Frozen_Predictions!$A$4:$A$303,0)))</x:f>
      </x:c>
      <x:c r="W190" t="str">
        <x:f>IF(A190="","",IF(COUNTIF($A$4:$A$303,A190)&lt;&gt;1,"ID DUPLICAT",IF(COUNTIF(Frozen_Predictions!$A$4:$A$303,A190)&lt;&gt;1,"ID INEXISTENT SAU DUPLICAT ÎN FROZEN",IF(COUNT(K190:L190)&lt;2,"COMPLETEAZĂ SCORUL","VERIFICAT"))))</x:f>
      </x:c>
    </x:row>
    <x:row r="191">
      <x:c r="A191" s="141"/>
      <x:c r="B191" t="str">
        <x:f>IF(OR(A191="",COUNTIF(Frozen_Predictions!$A$4:$A$303,A191)&lt;&gt;1),"",INDEX(Frozen_Predictions!$C$4:$C$303,MATCH(A191,Frozen_Predictions!$A$4:$A$303,0)))</x:f>
      </x:c>
      <x:c r="C191" t="str">
        <x:f>IF(OR(A191="",COUNTIF(Frozen_Predictions!$A$4:$A$303,A191)&lt;&gt;1),"",INDEX(Frozen_Predictions!$E$4:$E$303,MATCH(A191,Frozen_Predictions!$A$4:$A$303,0)))</x:f>
      </x:c>
      <x:c r="D191" t="str">
        <x:f>IF(OR(A191="",COUNTIF(Frozen_Predictions!$A$4:$A$303,A191)&lt;&gt;1),"",INDEX(Frozen_Predictions!$F$4:$F$303,MATCH(A191,Frozen_Predictions!$A$4:$A$303,0)))</x:f>
      </x:c>
      <x:c r="E191" t="str">
        <x:f>IF(OR(A191="",COUNTIF(Frozen_Predictions!$A$4:$A$303,A191)&lt;&gt;1),"",INDEX(Frozen_Predictions!$G$4:$G$303,MATCH(A191,Frozen_Predictions!$A$4:$A$303,0)))</x:f>
      </x:c>
      <x:c r="F191" t="str">
        <x:f>IF(OR(A191="",COUNTIF(Frozen_Predictions!$A$4:$A$303,A191)&lt;&gt;1),"",INDEX(Frozen_Predictions!$H$4:$H$303,MATCH(A191,Frozen_Predictions!$A$4:$A$303,0)))</x:f>
      </x:c>
      <x:c r="G191" t="str">
        <x:f>IF(OR(A191="",COUNTIF(Frozen_Predictions!$A$4:$A$303,A191)&lt;&gt;1),"",INDEX(Frozen_Predictions!$I$4:$I$303,MATCH(A191,Frozen_Predictions!$A$4:$A$303,0)))</x:f>
      </x:c>
      <x:c r="H191" t="str">
        <x:f>IF(OR(A191="",COUNTIF(Frozen_Predictions!$A$4:$A$303,A191)&lt;&gt;1),"",INDEX(Frozen_Predictions!$J$4:$J$303,MATCH(A191,Frozen_Predictions!$A$4:$A$303,0)))</x:f>
      </x:c>
      <x:c r="I191" t="str">
        <x:f>IF(OR(A191="",COUNTIF(Frozen_Predictions!$A$4:$A$303,A191)&lt;&gt;1),"",INDEX(Frozen_Predictions!$K$4:$K$303,MATCH(A191,Frozen_Predictions!$A$4:$A$303,0)))</x:f>
      </x:c>
      <x:c r="J191" s="142" t="str">
        <x:f>IF(OR(A191="",G191="",COUNT(K191:M191)&lt;3,COUNTIF($A$4:$A$303,A191)&lt;&gt;1),"",IF(IF(M191+F191&gt;0,"1",IF(M191+F191=0,"X","2"))=G191&amp;"",1,0))</x:f>
      </x:c>
      <x:c r="K191" s="143"/>
      <x:c r="L191" s="143"/>
      <x:c r="M191" s="142" t="str">
        <x:f>IF(AND(A191&lt;&gt;"",COUNT(K191:L191)=2),K191-L191,"")</x:f>
      </x:c>
      <x:c r="N191" s="142" t="str">
        <x:f>IF(J191="","",IF(M191+F191=0,"YES","NO"))</x:f>
      </x:c>
      <x:c r="O191" t="str">
        <x:f>IF(J191="","",IF(J191=1,"WIN",IF(N191="YES","Exact margin M="&amp;ABS(F191),"Direction / tail")))</x:f>
      </x:c>
      <x:c r="P191" s="141"/>
      <x:c r="Q191" s="141"/>
      <x:c r="R191" s="144" t="str">
        <x:f>IF(OR(I191="",J191=""),"",(I191-J191)^2)</x:f>
      </x:c>
      <x:c r="S191" s="144" t="str">
        <x:f>IF(OR(I191="",J191=""),"",-(J191*LN(MAX(MIN(I191,0.999999),0.000001))+(1-J191)*LN(MAX(MIN(1-I191,0.999999),0.000001))))</x:f>
      </x:c>
      <x:c r="T191" t="str">
        <x:f>IF(J191="","",INDEX(Frozen_Predictions!$M$4:$M$303,MATCH(A191,Frozen_Predictions!$A$4:$A$303,0)))</x:f>
      </x:c>
      <x:c r="U191" t="str">
        <x:f>IF(J191="","",INDEX(Frozen_Predictions!$W$4:$W$303,MATCH(A191,Frozen_Predictions!$A$4:$A$303,0)))</x:f>
      </x:c>
      <x:c r="V191" t="str">
        <x:f>IF(J191="","",INDEX(Frozen_Predictions!$X$4:$X$303,MATCH(A191,Frozen_Predictions!$A$4:$A$303,0)))</x:f>
      </x:c>
      <x:c r="W191" t="str">
        <x:f>IF(A191="","",IF(COUNTIF($A$4:$A$303,A191)&lt;&gt;1,"ID DUPLICAT",IF(COUNTIF(Frozen_Predictions!$A$4:$A$303,A191)&lt;&gt;1,"ID INEXISTENT SAU DUPLICAT ÎN FROZEN",IF(COUNT(K191:L191)&lt;2,"COMPLETEAZĂ SCORUL","VERIFICAT"))))</x:f>
      </x:c>
    </x:row>
    <x:row r="192">
      <x:c r="A192" s="141"/>
      <x:c r="B192" t="str">
        <x:f>IF(OR(A192="",COUNTIF(Frozen_Predictions!$A$4:$A$303,A192)&lt;&gt;1),"",INDEX(Frozen_Predictions!$C$4:$C$303,MATCH(A192,Frozen_Predictions!$A$4:$A$303,0)))</x:f>
      </x:c>
      <x:c r="C192" t="str">
        <x:f>IF(OR(A192="",COUNTIF(Frozen_Predictions!$A$4:$A$303,A192)&lt;&gt;1),"",INDEX(Frozen_Predictions!$E$4:$E$303,MATCH(A192,Frozen_Predictions!$A$4:$A$303,0)))</x:f>
      </x:c>
      <x:c r="D192" t="str">
        <x:f>IF(OR(A192="",COUNTIF(Frozen_Predictions!$A$4:$A$303,A192)&lt;&gt;1),"",INDEX(Frozen_Predictions!$F$4:$F$303,MATCH(A192,Frozen_Predictions!$A$4:$A$303,0)))</x:f>
      </x:c>
      <x:c r="E192" t="str">
        <x:f>IF(OR(A192="",COUNTIF(Frozen_Predictions!$A$4:$A$303,A192)&lt;&gt;1),"",INDEX(Frozen_Predictions!$G$4:$G$303,MATCH(A192,Frozen_Predictions!$A$4:$A$303,0)))</x:f>
      </x:c>
      <x:c r="F192" t="str">
        <x:f>IF(OR(A192="",COUNTIF(Frozen_Predictions!$A$4:$A$303,A192)&lt;&gt;1),"",INDEX(Frozen_Predictions!$H$4:$H$303,MATCH(A192,Frozen_Predictions!$A$4:$A$303,0)))</x:f>
      </x:c>
      <x:c r="G192" t="str">
        <x:f>IF(OR(A192="",COUNTIF(Frozen_Predictions!$A$4:$A$303,A192)&lt;&gt;1),"",INDEX(Frozen_Predictions!$I$4:$I$303,MATCH(A192,Frozen_Predictions!$A$4:$A$303,0)))</x:f>
      </x:c>
      <x:c r="H192" t="str">
        <x:f>IF(OR(A192="",COUNTIF(Frozen_Predictions!$A$4:$A$303,A192)&lt;&gt;1),"",INDEX(Frozen_Predictions!$J$4:$J$303,MATCH(A192,Frozen_Predictions!$A$4:$A$303,0)))</x:f>
      </x:c>
      <x:c r="I192" t="str">
        <x:f>IF(OR(A192="",COUNTIF(Frozen_Predictions!$A$4:$A$303,A192)&lt;&gt;1),"",INDEX(Frozen_Predictions!$K$4:$K$303,MATCH(A192,Frozen_Predictions!$A$4:$A$303,0)))</x:f>
      </x:c>
      <x:c r="J192" s="142" t="str">
        <x:f>IF(OR(A192="",G192="",COUNT(K192:M192)&lt;3,COUNTIF($A$4:$A$303,A192)&lt;&gt;1),"",IF(IF(M192+F192&gt;0,"1",IF(M192+F192=0,"X","2"))=G192&amp;"",1,0))</x:f>
      </x:c>
      <x:c r="K192" s="143"/>
      <x:c r="L192" s="143"/>
      <x:c r="M192" s="142" t="str">
        <x:f>IF(AND(A192&lt;&gt;"",COUNT(K192:L192)=2),K192-L192,"")</x:f>
      </x:c>
      <x:c r="N192" s="142" t="str">
        <x:f>IF(J192="","",IF(M192+F192=0,"YES","NO"))</x:f>
      </x:c>
      <x:c r="O192" t="str">
        <x:f>IF(J192="","",IF(J192=1,"WIN",IF(N192="YES","Exact margin M="&amp;ABS(F192),"Direction / tail")))</x:f>
      </x:c>
      <x:c r="P192" s="141"/>
      <x:c r="Q192" s="141"/>
      <x:c r="R192" s="144" t="str">
        <x:f>IF(OR(I192="",J192=""),"",(I192-J192)^2)</x:f>
      </x:c>
      <x:c r="S192" s="144" t="str">
        <x:f>IF(OR(I192="",J192=""),"",-(J192*LN(MAX(MIN(I192,0.999999),0.000001))+(1-J192)*LN(MAX(MIN(1-I192,0.999999),0.000001))))</x:f>
      </x:c>
      <x:c r="T192" t="str">
        <x:f>IF(J192="","",INDEX(Frozen_Predictions!$M$4:$M$303,MATCH(A192,Frozen_Predictions!$A$4:$A$303,0)))</x:f>
      </x:c>
      <x:c r="U192" t="str">
        <x:f>IF(J192="","",INDEX(Frozen_Predictions!$W$4:$W$303,MATCH(A192,Frozen_Predictions!$A$4:$A$303,0)))</x:f>
      </x:c>
      <x:c r="V192" t="str">
        <x:f>IF(J192="","",INDEX(Frozen_Predictions!$X$4:$X$303,MATCH(A192,Frozen_Predictions!$A$4:$A$303,0)))</x:f>
      </x:c>
      <x:c r="W192" t="str">
        <x:f>IF(A192="","",IF(COUNTIF($A$4:$A$303,A192)&lt;&gt;1,"ID DUPLICAT",IF(COUNTIF(Frozen_Predictions!$A$4:$A$303,A192)&lt;&gt;1,"ID INEXISTENT SAU DUPLICAT ÎN FROZEN",IF(COUNT(K192:L192)&lt;2,"COMPLETEAZĂ SCORUL","VERIFICAT"))))</x:f>
      </x:c>
    </x:row>
    <x:row r="193">
      <x:c r="A193" s="141"/>
      <x:c r="B193" t="str">
        <x:f>IF(OR(A193="",COUNTIF(Frozen_Predictions!$A$4:$A$303,A193)&lt;&gt;1),"",INDEX(Frozen_Predictions!$C$4:$C$303,MATCH(A193,Frozen_Predictions!$A$4:$A$303,0)))</x:f>
      </x:c>
      <x:c r="C193" t="str">
        <x:f>IF(OR(A193="",COUNTIF(Frozen_Predictions!$A$4:$A$303,A193)&lt;&gt;1),"",INDEX(Frozen_Predictions!$E$4:$E$303,MATCH(A193,Frozen_Predictions!$A$4:$A$303,0)))</x:f>
      </x:c>
      <x:c r="D193" t="str">
        <x:f>IF(OR(A193="",COUNTIF(Frozen_Predictions!$A$4:$A$303,A193)&lt;&gt;1),"",INDEX(Frozen_Predictions!$F$4:$F$303,MATCH(A193,Frozen_Predictions!$A$4:$A$303,0)))</x:f>
      </x:c>
      <x:c r="E193" t="str">
        <x:f>IF(OR(A193="",COUNTIF(Frozen_Predictions!$A$4:$A$303,A193)&lt;&gt;1),"",INDEX(Frozen_Predictions!$G$4:$G$303,MATCH(A193,Frozen_Predictions!$A$4:$A$303,0)))</x:f>
      </x:c>
      <x:c r="F193" t="str">
        <x:f>IF(OR(A193="",COUNTIF(Frozen_Predictions!$A$4:$A$303,A193)&lt;&gt;1),"",INDEX(Frozen_Predictions!$H$4:$H$303,MATCH(A193,Frozen_Predictions!$A$4:$A$303,0)))</x:f>
      </x:c>
      <x:c r="G193" t="str">
        <x:f>IF(OR(A193="",COUNTIF(Frozen_Predictions!$A$4:$A$303,A193)&lt;&gt;1),"",INDEX(Frozen_Predictions!$I$4:$I$303,MATCH(A193,Frozen_Predictions!$A$4:$A$303,0)))</x:f>
      </x:c>
      <x:c r="H193" t="str">
        <x:f>IF(OR(A193="",COUNTIF(Frozen_Predictions!$A$4:$A$303,A193)&lt;&gt;1),"",INDEX(Frozen_Predictions!$J$4:$J$303,MATCH(A193,Frozen_Predictions!$A$4:$A$303,0)))</x:f>
      </x:c>
      <x:c r="I193" t="str">
        <x:f>IF(OR(A193="",COUNTIF(Frozen_Predictions!$A$4:$A$303,A193)&lt;&gt;1),"",INDEX(Frozen_Predictions!$K$4:$K$303,MATCH(A193,Frozen_Predictions!$A$4:$A$303,0)))</x:f>
      </x:c>
      <x:c r="J193" s="142" t="str">
        <x:f>IF(OR(A193="",G193="",COUNT(K193:M193)&lt;3,COUNTIF($A$4:$A$303,A193)&lt;&gt;1),"",IF(IF(M193+F193&gt;0,"1",IF(M193+F193=0,"X","2"))=G193&amp;"",1,0))</x:f>
      </x:c>
      <x:c r="K193" s="143"/>
      <x:c r="L193" s="143"/>
      <x:c r="M193" s="142" t="str">
        <x:f>IF(AND(A193&lt;&gt;"",COUNT(K193:L193)=2),K193-L193,"")</x:f>
      </x:c>
      <x:c r="N193" s="142" t="str">
        <x:f>IF(J193="","",IF(M193+F193=0,"YES","NO"))</x:f>
      </x:c>
      <x:c r="O193" t="str">
        <x:f>IF(J193="","",IF(J193=1,"WIN",IF(N193="YES","Exact margin M="&amp;ABS(F193),"Direction / tail")))</x:f>
      </x:c>
      <x:c r="P193" s="141"/>
      <x:c r="Q193" s="141"/>
      <x:c r="R193" s="144" t="str">
        <x:f>IF(OR(I193="",J193=""),"",(I193-J193)^2)</x:f>
      </x:c>
      <x:c r="S193" s="144" t="str">
        <x:f>IF(OR(I193="",J193=""),"",-(J193*LN(MAX(MIN(I193,0.999999),0.000001))+(1-J193)*LN(MAX(MIN(1-I193,0.999999),0.000001))))</x:f>
      </x:c>
      <x:c r="T193" t="str">
        <x:f>IF(J193="","",INDEX(Frozen_Predictions!$M$4:$M$303,MATCH(A193,Frozen_Predictions!$A$4:$A$303,0)))</x:f>
      </x:c>
      <x:c r="U193" t="str">
        <x:f>IF(J193="","",INDEX(Frozen_Predictions!$W$4:$W$303,MATCH(A193,Frozen_Predictions!$A$4:$A$303,0)))</x:f>
      </x:c>
      <x:c r="V193" t="str">
        <x:f>IF(J193="","",INDEX(Frozen_Predictions!$X$4:$X$303,MATCH(A193,Frozen_Predictions!$A$4:$A$303,0)))</x:f>
      </x:c>
      <x:c r="W193" t="str">
        <x:f>IF(A193="","",IF(COUNTIF($A$4:$A$303,A193)&lt;&gt;1,"ID DUPLICAT",IF(COUNTIF(Frozen_Predictions!$A$4:$A$303,A193)&lt;&gt;1,"ID INEXISTENT SAU DUPLICAT ÎN FROZEN",IF(COUNT(K193:L193)&lt;2,"COMPLETEAZĂ SCORUL","VERIFICAT"))))</x:f>
      </x:c>
    </x:row>
    <x:row r="194">
      <x:c r="A194" s="141"/>
      <x:c r="B194" t="str">
        <x:f>IF(OR(A194="",COUNTIF(Frozen_Predictions!$A$4:$A$303,A194)&lt;&gt;1),"",INDEX(Frozen_Predictions!$C$4:$C$303,MATCH(A194,Frozen_Predictions!$A$4:$A$303,0)))</x:f>
      </x:c>
      <x:c r="C194" t="str">
        <x:f>IF(OR(A194="",COUNTIF(Frozen_Predictions!$A$4:$A$303,A194)&lt;&gt;1),"",INDEX(Frozen_Predictions!$E$4:$E$303,MATCH(A194,Frozen_Predictions!$A$4:$A$303,0)))</x:f>
      </x:c>
      <x:c r="D194" t="str">
        <x:f>IF(OR(A194="",COUNTIF(Frozen_Predictions!$A$4:$A$303,A194)&lt;&gt;1),"",INDEX(Frozen_Predictions!$F$4:$F$303,MATCH(A194,Frozen_Predictions!$A$4:$A$303,0)))</x:f>
      </x:c>
      <x:c r="E194" t="str">
        <x:f>IF(OR(A194="",COUNTIF(Frozen_Predictions!$A$4:$A$303,A194)&lt;&gt;1),"",INDEX(Frozen_Predictions!$G$4:$G$303,MATCH(A194,Frozen_Predictions!$A$4:$A$303,0)))</x:f>
      </x:c>
      <x:c r="F194" t="str">
        <x:f>IF(OR(A194="",COUNTIF(Frozen_Predictions!$A$4:$A$303,A194)&lt;&gt;1),"",INDEX(Frozen_Predictions!$H$4:$H$303,MATCH(A194,Frozen_Predictions!$A$4:$A$303,0)))</x:f>
      </x:c>
      <x:c r="G194" t="str">
        <x:f>IF(OR(A194="",COUNTIF(Frozen_Predictions!$A$4:$A$303,A194)&lt;&gt;1),"",INDEX(Frozen_Predictions!$I$4:$I$303,MATCH(A194,Frozen_Predictions!$A$4:$A$303,0)))</x:f>
      </x:c>
      <x:c r="H194" t="str">
        <x:f>IF(OR(A194="",COUNTIF(Frozen_Predictions!$A$4:$A$303,A194)&lt;&gt;1),"",INDEX(Frozen_Predictions!$J$4:$J$303,MATCH(A194,Frozen_Predictions!$A$4:$A$303,0)))</x:f>
      </x:c>
      <x:c r="I194" t="str">
        <x:f>IF(OR(A194="",COUNTIF(Frozen_Predictions!$A$4:$A$303,A194)&lt;&gt;1),"",INDEX(Frozen_Predictions!$K$4:$K$303,MATCH(A194,Frozen_Predictions!$A$4:$A$303,0)))</x:f>
      </x:c>
      <x:c r="J194" s="142" t="str">
        <x:f>IF(OR(A194="",G194="",COUNT(K194:M194)&lt;3,COUNTIF($A$4:$A$303,A194)&lt;&gt;1),"",IF(IF(M194+F194&gt;0,"1",IF(M194+F194=0,"X","2"))=G194&amp;"",1,0))</x:f>
      </x:c>
      <x:c r="K194" s="143"/>
      <x:c r="L194" s="143"/>
      <x:c r="M194" s="142" t="str">
        <x:f>IF(AND(A194&lt;&gt;"",COUNT(K194:L194)=2),K194-L194,"")</x:f>
      </x:c>
      <x:c r="N194" s="142" t="str">
        <x:f>IF(J194="","",IF(M194+F194=0,"YES","NO"))</x:f>
      </x:c>
      <x:c r="O194" t="str">
        <x:f>IF(J194="","",IF(J194=1,"WIN",IF(N194="YES","Exact margin M="&amp;ABS(F194),"Direction / tail")))</x:f>
      </x:c>
      <x:c r="P194" s="141"/>
      <x:c r="Q194" s="141"/>
      <x:c r="R194" s="144" t="str">
        <x:f>IF(OR(I194="",J194=""),"",(I194-J194)^2)</x:f>
      </x:c>
      <x:c r="S194" s="144" t="str">
        <x:f>IF(OR(I194="",J194=""),"",-(J194*LN(MAX(MIN(I194,0.999999),0.000001))+(1-J194)*LN(MAX(MIN(1-I194,0.999999),0.000001))))</x:f>
      </x:c>
      <x:c r="T194" t="str">
        <x:f>IF(J194="","",INDEX(Frozen_Predictions!$M$4:$M$303,MATCH(A194,Frozen_Predictions!$A$4:$A$303,0)))</x:f>
      </x:c>
      <x:c r="U194" t="str">
        <x:f>IF(J194="","",INDEX(Frozen_Predictions!$W$4:$W$303,MATCH(A194,Frozen_Predictions!$A$4:$A$303,0)))</x:f>
      </x:c>
      <x:c r="V194" t="str">
        <x:f>IF(J194="","",INDEX(Frozen_Predictions!$X$4:$X$303,MATCH(A194,Frozen_Predictions!$A$4:$A$303,0)))</x:f>
      </x:c>
      <x:c r="W194" t="str">
        <x:f>IF(A194="","",IF(COUNTIF($A$4:$A$303,A194)&lt;&gt;1,"ID DUPLICAT",IF(COUNTIF(Frozen_Predictions!$A$4:$A$303,A194)&lt;&gt;1,"ID INEXISTENT SAU DUPLICAT ÎN FROZEN",IF(COUNT(K194:L194)&lt;2,"COMPLETEAZĂ SCORUL","VERIFICAT"))))</x:f>
      </x:c>
    </x:row>
    <x:row r="195">
      <x:c r="A195" s="141"/>
      <x:c r="B195" t="str">
        <x:f>IF(OR(A195="",COUNTIF(Frozen_Predictions!$A$4:$A$303,A195)&lt;&gt;1),"",INDEX(Frozen_Predictions!$C$4:$C$303,MATCH(A195,Frozen_Predictions!$A$4:$A$303,0)))</x:f>
      </x:c>
      <x:c r="C195" t="str">
        <x:f>IF(OR(A195="",COUNTIF(Frozen_Predictions!$A$4:$A$303,A195)&lt;&gt;1),"",INDEX(Frozen_Predictions!$E$4:$E$303,MATCH(A195,Frozen_Predictions!$A$4:$A$303,0)))</x:f>
      </x:c>
      <x:c r="D195" t="str">
        <x:f>IF(OR(A195="",COUNTIF(Frozen_Predictions!$A$4:$A$303,A195)&lt;&gt;1),"",INDEX(Frozen_Predictions!$F$4:$F$303,MATCH(A195,Frozen_Predictions!$A$4:$A$303,0)))</x:f>
      </x:c>
      <x:c r="E195" t="str">
        <x:f>IF(OR(A195="",COUNTIF(Frozen_Predictions!$A$4:$A$303,A195)&lt;&gt;1),"",INDEX(Frozen_Predictions!$G$4:$G$303,MATCH(A195,Frozen_Predictions!$A$4:$A$303,0)))</x:f>
      </x:c>
      <x:c r="F195" t="str">
        <x:f>IF(OR(A195="",COUNTIF(Frozen_Predictions!$A$4:$A$303,A195)&lt;&gt;1),"",INDEX(Frozen_Predictions!$H$4:$H$303,MATCH(A195,Frozen_Predictions!$A$4:$A$303,0)))</x:f>
      </x:c>
      <x:c r="G195" t="str">
        <x:f>IF(OR(A195="",COUNTIF(Frozen_Predictions!$A$4:$A$303,A195)&lt;&gt;1),"",INDEX(Frozen_Predictions!$I$4:$I$303,MATCH(A195,Frozen_Predictions!$A$4:$A$303,0)))</x:f>
      </x:c>
      <x:c r="H195" t="str">
        <x:f>IF(OR(A195="",COUNTIF(Frozen_Predictions!$A$4:$A$303,A195)&lt;&gt;1),"",INDEX(Frozen_Predictions!$J$4:$J$303,MATCH(A195,Frozen_Predictions!$A$4:$A$303,0)))</x:f>
      </x:c>
      <x:c r="I195" t="str">
        <x:f>IF(OR(A195="",COUNTIF(Frozen_Predictions!$A$4:$A$303,A195)&lt;&gt;1),"",INDEX(Frozen_Predictions!$K$4:$K$303,MATCH(A195,Frozen_Predictions!$A$4:$A$303,0)))</x:f>
      </x:c>
      <x:c r="J195" s="142" t="str">
        <x:f>IF(OR(A195="",G195="",COUNT(K195:M195)&lt;3,COUNTIF($A$4:$A$303,A195)&lt;&gt;1),"",IF(IF(M195+F195&gt;0,"1",IF(M195+F195=0,"X","2"))=G195&amp;"",1,0))</x:f>
      </x:c>
      <x:c r="K195" s="143"/>
      <x:c r="L195" s="143"/>
      <x:c r="M195" s="142" t="str">
        <x:f>IF(AND(A195&lt;&gt;"",COUNT(K195:L195)=2),K195-L195,"")</x:f>
      </x:c>
      <x:c r="N195" s="142" t="str">
        <x:f>IF(J195="","",IF(M195+F195=0,"YES","NO"))</x:f>
      </x:c>
      <x:c r="O195" t="str">
        <x:f>IF(J195="","",IF(J195=1,"WIN",IF(N195="YES","Exact margin M="&amp;ABS(F195),"Direction / tail")))</x:f>
      </x:c>
      <x:c r="P195" s="141"/>
      <x:c r="Q195" s="141"/>
      <x:c r="R195" s="144" t="str">
        <x:f>IF(OR(I195="",J195=""),"",(I195-J195)^2)</x:f>
      </x:c>
      <x:c r="S195" s="144" t="str">
        <x:f>IF(OR(I195="",J195=""),"",-(J195*LN(MAX(MIN(I195,0.999999),0.000001))+(1-J195)*LN(MAX(MIN(1-I195,0.999999),0.000001))))</x:f>
      </x:c>
      <x:c r="T195" t="str">
        <x:f>IF(J195="","",INDEX(Frozen_Predictions!$M$4:$M$303,MATCH(A195,Frozen_Predictions!$A$4:$A$303,0)))</x:f>
      </x:c>
      <x:c r="U195" t="str">
        <x:f>IF(J195="","",INDEX(Frozen_Predictions!$W$4:$W$303,MATCH(A195,Frozen_Predictions!$A$4:$A$303,0)))</x:f>
      </x:c>
      <x:c r="V195" t="str">
        <x:f>IF(J195="","",INDEX(Frozen_Predictions!$X$4:$X$303,MATCH(A195,Frozen_Predictions!$A$4:$A$303,0)))</x:f>
      </x:c>
      <x:c r="W195" t="str">
        <x:f>IF(A195="","",IF(COUNTIF($A$4:$A$303,A195)&lt;&gt;1,"ID DUPLICAT",IF(COUNTIF(Frozen_Predictions!$A$4:$A$303,A195)&lt;&gt;1,"ID INEXISTENT SAU DUPLICAT ÎN FROZEN",IF(COUNT(K195:L195)&lt;2,"COMPLETEAZĂ SCORUL","VERIFICAT"))))</x:f>
      </x:c>
    </x:row>
    <x:row r="196">
      <x:c r="A196" s="141"/>
      <x:c r="B196" t="str">
        <x:f>IF(OR(A196="",COUNTIF(Frozen_Predictions!$A$4:$A$303,A196)&lt;&gt;1),"",INDEX(Frozen_Predictions!$C$4:$C$303,MATCH(A196,Frozen_Predictions!$A$4:$A$303,0)))</x:f>
      </x:c>
      <x:c r="C196" t="str">
        <x:f>IF(OR(A196="",COUNTIF(Frozen_Predictions!$A$4:$A$303,A196)&lt;&gt;1),"",INDEX(Frozen_Predictions!$E$4:$E$303,MATCH(A196,Frozen_Predictions!$A$4:$A$303,0)))</x:f>
      </x:c>
      <x:c r="D196" t="str">
        <x:f>IF(OR(A196="",COUNTIF(Frozen_Predictions!$A$4:$A$303,A196)&lt;&gt;1),"",INDEX(Frozen_Predictions!$F$4:$F$303,MATCH(A196,Frozen_Predictions!$A$4:$A$303,0)))</x:f>
      </x:c>
      <x:c r="E196" t="str">
        <x:f>IF(OR(A196="",COUNTIF(Frozen_Predictions!$A$4:$A$303,A196)&lt;&gt;1),"",INDEX(Frozen_Predictions!$G$4:$G$303,MATCH(A196,Frozen_Predictions!$A$4:$A$303,0)))</x:f>
      </x:c>
      <x:c r="F196" t="str">
        <x:f>IF(OR(A196="",COUNTIF(Frozen_Predictions!$A$4:$A$303,A196)&lt;&gt;1),"",INDEX(Frozen_Predictions!$H$4:$H$303,MATCH(A196,Frozen_Predictions!$A$4:$A$303,0)))</x:f>
      </x:c>
      <x:c r="G196" t="str">
        <x:f>IF(OR(A196="",COUNTIF(Frozen_Predictions!$A$4:$A$303,A196)&lt;&gt;1),"",INDEX(Frozen_Predictions!$I$4:$I$303,MATCH(A196,Frozen_Predictions!$A$4:$A$303,0)))</x:f>
      </x:c>
      <x:c r="H196" t="str">
        <x:f>IF(OR(A196="",COUNTIF(Frozen_Predictions!$A$4:$A$303,A196)&lt;&gt;1),"",INDEX(Frozen_Predictions!$J$4:$J$303,MATCH(A196,Frozen_Predictions!$A$4:$A$303,0)))</x:f>
      </x:c>
      <x:c r="I196" t="str">
        <x:f>IF(OR(A196="",COUNTIF(Frozen_Predictions!$A$4:$A$303,A196)&lt;&gt;1),"",INDEX(Frozen_Predictions!$K$4:$K$303,MATCH(A196,Frozen_Predictions!$A$4:$A$303,0)))</x:f>
      </x:c>
      <x:c r="J196" s="142" t="str">
        <x:f>IF(OR(A196="",G196="",COUNT(K196:M196)&lt;3,COUNTIF($A$4:$A$303,A196)&lt;&gt;1),"",IF(IF(M196+F196&gt;0,"1",IF(M196+F196=0,"X","2"))=G196&amp;"",1,0))</x:f>
      </x:c>
      <x:c r="K196" s="143"/>
      <x:c r="L196" s="143"/>
      <x:c r="M196" s="142" t="str">
        <x:f>IF(AND(A196&lt;&gt;"",COUNT(K196:L196)=2),K196-L196,"")</x:f>
      </x:c>
      <x:c r="N196" s="142" t="str">
        <x:f>IF(J196="","",IF(M196+F196=0,"YES","NO"))</x:f>
      </x:c>
      <x:c r="O196" t="str">
        <x:f>IF(J196="","",IF(J196=1,"WIN",IF(N196="YES","Exact margin M="&amp;ABS(F196),"Direction / tail")))</x:f>
      </x:c>
      <x:c r="P196" s="141"/>
      <x:c r="Q196" s="141"/>
      <x:c r="R196" s="144" t="str">
        <x:f>IF(OR(I196="",J196=""),"",(I196-J196)^2)</x:f>
      </x:c>
      <x:c r="S196" s="144" t="str">
        <x:f>IF(OR(I196="",J196=""),"",-(J196*LN(MAX(MIN(I196,0.999999),0.000001))+(1-J196)*LN(MAX(MIN(1-I196,0.999999),0.000001))))</x:f>
      </x:c>
      <x:c r="T196" t="str">
        <x:f>IF(J196="","",INDEX(Frozen_Predictions!$M$4:$M$303,MATCH(A196,Frozen_Predictions!$A$4:$A$303,0)))</x:f>
      </x:c>
      <x:c r="U196" t="str">
        <x:f>IF(J196="","",INDEX(Frozen_Predictions!$W$4:$W$303,MATCH(A196,Frozen_Predictions!$A$4:$A$303,0)))</x:f>
      </x:c>
      <x:c r="V196" t="str">
        <x:f>IF(J196="","",INDEX(Frozen_Predictions!$X$4:$X$303,MATCH(A196,Frozen_Predictions!$A$4:$A$303,0)))</x:f>
      </x:c>
      <x:c r="W196" t="str">
        <x:f>IF(A196="","",IF(COUNTIF($A$4:$A$303,A196)&lt;&gt;1,"ID DUPLICAT",IF(COUNTIF(Frozen_Predictions!$A$4:$A$303,A196)&lt;&gt;1,"ID INEXISTENT SAU DUPLICAT ÎN FROZEN",IF(COUNT(K196:L196)&lt;2,"COMPLETEAZĂ SCORUL","VERIFICAT"))))</x:f>
      </x:c>
    </x:row>
    <x:row r="197">
      <x:c r="A197" s="141"/>
      <x:c r="B197" t="str">
        <x:f>IF(OR(A197="",COUNTIF(Frozen_Predictions!$A$4:$A$303,A197)&lt;&gt;1),"",INDEX(Frozen_Predictions!$C$4:$C$303,MATCH(A197,Frozen_Predictions!$A$4:$A$303,0)))</x:f>
      </x:c>
      <x:c r="C197" t="str">
        <x:f>IF(OR(A197="",COUNTIF(Frozen_Predictions!$A$4:$A$303,A197)&lt;&gt;1),"",INDEX(Frozen_Predictions!$E$4:$E$303,MATCH(A197,Frozen_Predictions!$A$4:$A$303,0)))</x:f>
      </x:c>
      <x:c r="D197" t="str">
        <x:f>IF(OR(A197="",COUNTIF(Frozen_Predictions!$A$4:$A$303,A197)&lt;&gt;1),"",INDEX(Frozen_Predictions!$F$4:$F$303,MATCH(A197,Frozen_Predictions!$A$4:$A$303,0)))</x:f>
      </x:c>
      <x:c r="E197" t="str">
        <x:f>IF(OR(A197="",COUNTIF(Frozen_Predictions!$A$4:$A$303,A197)&lt;&gt;1),"",INDEX(Frozen_Predictions!$G$4:$G$303,MATCH(A197,Frozen_Predictions!$A$4:$A$303,0)))</x:f>
      </x:c>
      <x:c r="F197" t="str">
        <x:f>IF(OR(A197="",COUNTIF(Frozen_Predictions!$A$4:$A$303,A197)&lt;&gt;1),"",INDEX(Frozen_Predictions!$H$4:$H$303,MATCH(A197,Frozen_Predictions!$A$4:$A$303,0)))</x:f>
      </x:c>
      <x:c r="G197" t="str">
        <x:f>IF(OR(A197="",COUNTIF(Frozen_Predictions!$A$4:$A$303,A197)&lt;&gt;1),"",INDEX(Frozen_Predictions!$I$4:$I$303,MATCH(A197,Frozen_Predictions!$A$4:$A$303,0)))</x:f>
      </x:c>
      <x:c r="H197" t="str">
        <x:f>IF(OR(A197="",COUNTIF(Frozen_Predictions!$A$4:$A$303,A197)&lt;&gt;1),"",INDEX(Frozen_Predictions!$J$4:$J$303,MATCH(A197,Frozen_Predictions!$A$4:$A$303,0)))</x:f>
      </x:c>
      <x:c r="I197" t="str">
        <x:f>IF(OR(A197="",COUNTIF(Frozen_Predictions!$A$4:$A$303,A197)&lt;&gt;1),"",INDEX(Frozen_Predictions!$K$4:$K$303,MATCH(A197,Frozen_Predictions!$A$4:$A$303,0)))</x:f>
      </x:c>
      <x:c r="J197" s="142" t="str">
        <x:f>IF(OR(A197="",G197="",COUNT(K197:M197)&lt;3,COUNTIF($A$4:$A$303,A197)&lt;&gt;1),"",IF(IF(M197+F197&gt;0,"1",IF(M197+F197=0,"X","2"))=G197&amp;"",1,0))</x:f>
      </x:c>
      <x:c r="K197" s="143"/>
      <x:c r="L197" s="143"/>
      <x:c r="M197" s="142" t="str">
        <x:f>IF(AND(A197&lt;&gt;"",COUNT(K197:L197)=2),K197-L197,"")</x:f>
      </x:c>
      <x:c r="N197" s="142" t="str">
        <x:f>IF(J197="","",IF(M197+F197=0,"YES","NO"))</x:f>
      </x:c>
      <x:c r="O197" t="str">
        <x:f>IF(J197="","",IF(J197=1,"WIN",IF(N197="YES","Exact margin M="&amp;ABS(F197),"Direction / tail")))</x:f>
      </x:c>
      <x:c r="P197" s="141"/>
      <x:c r="Q197" s="141"/>
      <x:c r="R197" s="144" t="str">
        <x:f>IF(OR(I197="",J197=""),"",(I197-J197)^2)</x:f>
      </x:c>
      <x:c r="S197" s="144" t="str">
        <x:f>IF(OR(I197="",J197=""),"",-(J197*LN(MAX(MIN(I197,0.999999),0.000001))+(1-J197)*LN(MAX(MIN(1-I197,0.999999),0.000001))))</x:f>
      </x:c>
      <x:c r="T197" t="str">
        <x:f>IF(J197="","",INDEX(Frozen_Predictions!$M$4:$M$303,MATCH(A197,Frozen_Predictions!$A$4:$A$303,0)))</x:f>
      </x:c>
      <x:c r="U197" t="str">
        <x:f>IF(J197="","",INDEX(Frozen_Predictions!$W$4:$W$303,MATCH(A197,Frozen_Predictions!$A$4:$A$303,0)))</x:f>
      </x:c>
      <x:c r="V197" t="str">
        <x:f>IF(J197="","",INDEX(Frozen_Predictions!$X$4:$X$303,MATCH(A197,Frozen_Predictions!$A$4:$A$303,0)))</x:f>
      </x:c>
      <x:c r="W197" t="str">
        <x:f>IF(A197="","",IF(COUNTIF($A$4:$A$303,A197)&lt;&gt;1,"ID DUPLICAT",IF(COUNTIF(Frozen_Predictions!$A$4:$A$303,A197)&lt;&gt;1,"ID INEXISTENT SAU DUPLICAT ÎN FROZEN",IF(COUNT(K197:L197)&lt;2,"COMPLETEAZĂ SCORUL","VERIFICAT"))))</x:f>
      </x:c>
    </x:row>
    <x:row r="198">
      <x:c r="A198" s="141"/>
      <x:c r="B198" t="str">
        <x:f>IF(OR(A198="",COUNTIF(Frozen_Predictions!$A$4:$A$303,A198)&lt;&gt;1),"",INDEX(Frozen_Predictions!$C$4:$C$303,MATCH(A198,Frozen_Predictions!$A$4:$A$303,0)))</x:f>
      </x:c>
      <x:c r="C198" t="str">
        <x:f>IF(OR(A198="",COUNTIF(Frozen_Predictions!$A$4:$A$303,A198)&lt;&gt;1),"",INDEX(Frozen_Predictions!$E$4:$E$303,MATCH(A198,Frozen_Predictions!$A$4:$A$303,0)))</x:f>
      </x:c>
      <x:c r="D198" t="str">
        <x:f>IF(OR(A198="",COUNTIF(Frozen_Predictions!$A$4:$A$303,A198)&lt;&gt;1),"",INDEX(Frozen_Predictions!$F$4:$F$303,MATCH(A198,Frozen_Predictions!$A$4:$A$303,0)))</x:f>
      </x:c>
      <x:c r="E198" t="str">
        <x:f>IF(OR(A198="",COUNTIF(Frozen_Predictions!$A$4:$A$303,A198)&lt;&gt;1),"",INDEX(Frozen_Predictions!$G$4:$G$303,MATCH(A198,Frozen_Predictions!$A$4:$A$303,0)))</x:f>
      </x:c>
      <x:c r="F198" t="str">
        <x:f>IF(OR(A198="",COUNTIF(Frozen_Predictions!$A$4:$A$303,A198)&lt;&gt;1),"",INDEX(Frozen_Predictions!$H$4:$H$303,MATCH(A198,Frozen_Predictions!$A$4:$A$303,0)))</x:f>
      </x:c>
      <x:c r="G198" t="str">
        <x:f>IF(OR(A198="",COUNTIF(Frozen_Predictions!$A$4:$A$303,A198)&lt;&gt;1),"",INDEX(Frozen_Predictions!$I$4:$I$303,MATCH(A198,Frozen_Predictions!$A$4:$A$303,0)))</x:f>
      </x:c>
      <x:c r="H198" t="str">
        <x:f>IF(OR(A198="",COUNTIF(Frozen_Predictions!$A$4:$A$303,A198)&lt;&gt;1),"",INDEX(Frozen_Predictions!$J$4:$J$303,MATCH(A198,Frozen_Predictions!$A$4:$A$303,0)))</x:f>
      </x:c>
      <x:c r="I198" t="str">
        <x:f>IF(OR(A198="",COUNTIF(Frozen_Predictions!$A$4:$A$303,A198)&lt;&gt;1),"",INDEX(Frozen_Predictions!$K$4:$K$303,MATCH(A198,Frozen_Predictions!$A$4:$A$303,0)))</x:f>
      </x:c>
      <x:c r="J198" s="142" t="str">
        <x:f>IF(OR(A198="",G198="",COUNT(K198:M198)&lt;3,COUNTIF($A$4:$A$303,A198)&lt;&gt;1),"",IF(IF(M198+F198&gt;0,"1",IF(M198+F198=0,"X","2"))=G198&amp;"",1,0))</x:f>
      </x:c>
      <x:c r="K198" s="143"/>
      <x:c r="L198" s="143"/>
      <x:c r="M198" s="142" t="str">
        <x:f>IF(AND(A198&lt;&gt;"",COUNT(K198:L198)=2),K198-L198,"")</x:f>
      </x:c>
      <x:c r="N198" s="142" t="str">
        <x:f>IF(J198="","",IF(M198+F198=0,"YES","NO"))</x:f>
      </x:c>
      <x:c r="O198" t="str">
        <x:f>IF(J198="","",IF(J198=1,"WIN",IF(N198="YES","Exact margin M="&amp;ABS(F198),"Direction / tail")))</x:f>
      </x:c>
      <x:c r="P198" s="141"/>
      <x:c r="Q198" s="141"/>
      <x:c r="R198" s="144" t="str">
        <x:f>IF(OR(I198="",J198=""),"",(I198-J198)^2)</x:f>
      </x:c>
      <x:c r="S198" s="144" t="str">
        <x:f>IF(OR(I198="",J198=""),"",-(J198*LN(MAX(MIN(I198,0.999999),0.000001))+(1-J198)*LN(MAX(MIN(1-I198,0.999999),0.000001))))</x:f>
      </x:c>
      <x:c r="T198" t="str">
        <x:f>IF(J198="","",INDEX(Frozen_Predictions!$M$4:$M$303,MATCH(A198,Frozen_Predictions!$A$4:$A$303,0)))</x:f>
      </x:c>
      <x:c r="U198" t="str">
        <x:f>IF(J198="","",INDEX(Frozen_Predictions!$W$4:$W$303,MATCH(A198,Frozen_Predictions!$A$4:$A$303,0)))</x:f>
      </x:c>
      <x:c r="V198" t="str">
        <x:f>IF(J198="","",INDEX(Frozen_Predictions!$X$4:$X$303,MATCH(A198,Frozen_Predictions!$A$4:$A$303,0)))</x:f>
      </x:c>
      <x:c r="W198" t="str">
        <x:f>IF(A198="","",IF(COUNTIF($A$4:$A$303,A198)&lt;&gt;1,"ID DUPLICAT",IF(COUNTIF(Frozen_Predictions!$A$4:$A$303,A198)&lt;&gt;1,"ID INEXISTENT SAU DUPLICAT ÎN FROZEN",IF(COUNT(K198:L198)&lt;2,"COMPLETEAZĂ SCORUL","VERIFICAT"))))</x:f>
      </x:c>
    </x:row>
    <x:row r="199">
      <x:c r="A199" s="141"/>
      <x:c r="B199" t="str">
        <x:f>IF(OR(A199="",COUNTIF(Frozen_Predictions!$A$4:$A$303,A199)&lt;&gt;1),"",INDEX(Frozen_Predictions!$C$4:$C$303,MATCH(A199,Frozen_Predictions!$A$4:$A$303,0)))</x:f>
      </x:c>
      <x:c r="C199" t="str">
        <x:f>IF(OR(A199="",COUNTIF(Frozen_Predictions!$A$4:$A$303,A199)&lt;&gt;1),"",INDEX(Frozen_Predictions!$E$4:$E$303,MATCH(A199,Frozen_Predictions!$A$4:$A$303,0)))</x:f>
      </x:c>
      <x:c r="D199" t="str">
        <x:f>IF(OR(A199="",COUNTIF(Frozen_Predictions!$A$4:$A$303,A199)&lt;&gt;1),"",INDEX(Frozen_Predictions!$F$4:$F$303,MATCH(A199,Frozen_Predictions!$A$4:$A$303,0)))</x:f>
      </x:c>
      <x:c r="E199" t="str">
        <x:f>IF(OR(A199="",COUNTIF(Frozen_Predictions!$A$4:$A$303,A199)&lt;&gt;1),"",INDEX(Frozen_Predictions!$G$4:$G$303,MATCH(A199,Frozen_Predictions!$A$4:$A$303,0)))</x:f>
      </x:c>
      <x:c r="F199" t="str">
        <x:f>IF(OR(A199="",COUNTIF(Frozen_Predictions!$A$4:$A$303,A199)&lt;&gt;1),"",INDEX(Frozen_Predictions!$H$4:$H$303,MATCH(A199,Frozen_Predictions!$A$4:$A$303,0)))</x:f>
      </x:c>
      <x:c r="G199" t="str">
        <x:f>IF(OR(A199="",COUNTIF(Frozen_Predictions!$A$4:$A$303,A199)&lt;&gt;1),"",INDEX(Frozen_Predictions!$I$4:$I$303,MATCH(A199,Frozen_Predictions!$A$4:$A$303,0)))</x:f>
      </x:c>
      <x:c r="H199" t="str">
        <x:f>IF(OR(A199="",COUNTIF(Frozen_Predictions!$A$4:$A$303,A199)&lt;&gt;1),"",INDEX(Frozen_Predictions!$J$4:$J$303,MATCH(A199,Frozen_Predictions!$A$4:$A$303,0)))</x:f>
      </x:c>
      <x:c r="I199" t="str">
        <x:f>IF(OR(A199="",COUNTIF(Frozen_Predictions!$A$4:$A$303,A199)&lt;&gt;1),"",INDEX(Frozen_Predictions!$K$4:$K$303,MATCH(A199,Frozen_Predictions!$A$4:$A$303,0)))</x:f>
      </x:c>
      <x:c r="J199" s="142" t="str">
        <x:f>IF(OR(A199="",G199="",COUNT(K199:M199)&lt;3,COUNTIF($A$4:$A$303,A199)&lt;&gt;1),"",IF(IF(M199+F199&gt;0,"1",IF(M199+F199=0,"X","2"))=G199&amp;"",1,0))</x:f>
      </x:c>
      <x:c r="K199" s="143"/>
      <x:c r="L199" s="143"/>
      <x:c r="M199" s="142" t="str">
        <x:f>IF(AND(A199&lt;&gt;"",COUNT(K199:L199)=2),K199-L199,"")</x:f>
      </x:c>
      <x:c r="N199" s="142" t="str">
        <x:f>IF(J199="","",IF(M199+F199=0,"YES","NO"))</x:f>
      </x:c>
      <x:c r="O199" t="str">
        <x:f>IF(J199="","",IF(J199=1,"WIN",IF(N199="YES","Exact margin M="&amp;ABS(F199),"Direction / tail")))</x:f>
      </x:c>
      <x:c r="P199" s="141"/>
      <x:c r="Q199" s="141"/>
      <x:c r="R199" s="144" t="str">
        <x:f>IF(OR(I199="",J199=""),"",(I199-J199)^2)</x:f>
      </x:c>
      <x:c r="S199" s="144" t="str">
        <x:f>IF(OR(I199="",J199=""),"",-(J199*LN(MAX(MIN(I199,0.999999),0.000001))+(1-J199)*LN(MAX(MIN(1-I199,0.999999),0.000001))))</x:f>
      </x:c>
      <x:c r="T199" t="str">
        <x:f>IF(J199="","",INDEX(Frozen_Predictions!$M$4:$M$303,MATCH(A199,Frozen_Predictions!$A$4:$A$303,0)))</x:f>
      </x:c>
      <x:c r="U199" t="str">
        <x:f>IF(J199="","",INDEX(Frozen_Predictions!$W$4:$W$303,MATCH(A199,Frozen_Predictions!$A$4:$A$303,0)))</x:f>
      </x:c>
      <x:c r="V199" t="str">
        <x:f>IF(J199="","",INDEX(Frozen_Predictions!$X$4:$X$303,MATCH(A199,Frozen_Predictions!$A$4:$A$303,0)))</x:f>
      </x:c>
      <x:c r="W199" t="str">
        <x:f>IF(A199="","",IF(COUNTIF($A$4:$A$303,A199)&lt;&gt;1,"ID DUPLICAT",IF(COUNTIF(Frozen_Predictions!$A$4:$A$303,A199)&lt;&gt;1,"ID INEXISTENT SAU DUPLICAT ÎN FROZEN",IF(COUNT(K199:L199)&lt;2,"COMPLETEAZĂ SCORUL","VERIFICAT"))))</x:f>
      </x:c>
    </x:row>
    <x:row r="200">
      <x:c r="A200" s="141"/>
      <x:c r="B200" t="str">
        <x:f>IF(OR(A200="",COUNTIF(Frozen_Predictions!$A$4:$A$303,A200)&lt;&gt;1),"",INDEX(Frozen_Predictions!$C$4:$C$303,MATCH(A200,Frozen_Predictions!$A$4:$A$303,0)))</x:f>
      </x:c>
      <x:c r="C200" t="str">
        <x:f>IF(OR(A200="",COUNTIF(Frozen_Predictions!$A$4:$A$303,A200)&lt;&gt;1),"",INDEX(Frozen_Predictions!$E$4:$E$303,MATCH(A200,Frozen_Predictions!$A$4:$A$303,0)))</x:f>
      </x:c>
      <x:c r="D200" t="str">
        <x:f>IF(OR(A200="",COUNTIF(Frozen_Predictions!$A$4:$A$303,A200)&lt;&gt;1),"",INDEX(Frozen_Predictions!$F$4:$F$303,MATCH(A200,Frozen_Predictions!$A$4:$A$303,0)))</x:f>
      </x:c>
      <x:c r="E200" t="str">
        <x:f>IF(OR(A200="",COUNTIF(Frozen_Predictions!$A$4:$A$303,A200)&lt;&gt;1),"",INDEX(Frozen_Predictions!$G$4:$G$303,MATCH(A200,Frozen_Predictions!$A$4:$A$303,0)))</x:f>
      </x:c>
      <x:c r="F200" t="str">
        <x:f>IF(OR(A200="",COUNTIF(Frozen_Predictions!$A$4:$A$303,A200)&lt;&gt;1),"",INDEX(Frozen_Predictions!$H$4:$H$303,MATCH(A200,Frozen_Predictions!$A$4:$A$303,0)))</x:f>
      </x:c>
      <x:c r="G200" t="str">
        <x:f>IF(OR(A200="",COUNTIF(Frozen_Predictions!$A$4:$A$303,A200)&lt;&gt;1),"",INDEX(Frozen_Predictions!$I$4:$I$303,MATCH(A200,Frozen_Predictions!$A$4:$A$303,0)))</x:f>
      </x:c>
      <x:c r="H200" t="str">
        <x:f>IF(OR(A200="",COUNTIF(Frozen_Predictions!$A$4:$A$303,A200)&lt;&gt;1),"",INDEX(Frozen_Predictions!$J$4:$J$303,MATCH(A200,Frozen_Predictions!$A$4:$A$303,0)))</x:f>
      </x:c>
      <x:c r="I200" t="str">
        <x:f>IF(OR(A200="",COUNTIF(Frozen_Predictions!$A$4:$A$303,A200)&lt;&gt;1),"",INDEX(Frozen_Predictions!$K$4:$K$303,MATCH(A200,Frozen_Predictions!$A$4:$A$303,0)))</x:f>
      </x:c>
      <x:c r="J200" s="142" t="str">
        <x:f>IF(OR(A200="",G200="",COUNT(K200:M200)&lt;3,COUNTIF($A$4:$A$303,A200)&lt;&gt;1),"",IF(IF(M200+F200&gt;0,"1",IF(M200+F200=0,"X","2"))=G200&amp;"",1,0))</x:f>
      </x:c>
      <x:c r="K200" s="143"/>
      <x:c r="L200" s="143"/>
      <x:c r="M200" s="142" t="str">
        <x:f>IF(AND(A200&lt;&gt;"",COUNT(K200:L200)=2),K200-L200,"")</x:f>
      </x:c>
      <x:c r="N200" s="142" t="str">
        <x:f>IF(J200="","",IF(M200+F200=0,"YES","NO"))</x:f>
      </x:c>
      <x:c r="O200" t="str">
        <x:f>IF(J200="","",IF(J200=1,"WIN",IF(N200="YES","Exact margin M="&amp;ABS(F200),"Direction / tail")))</x:f>
      </x:c>
      <x:c r="P200" s="141"/>
      <x:c r="Q200" s="141"/>
      <x:c r="R200" s="144" t="str">
        <x:f>IF(OR(I200="",J200=""),"",(I200-J200)^2)</x:f>
      </x:c>
      <x:c r="S200" s="144" t="str">
        <x:f>IF(OR(I200="",J200=""),"",-(J200*LN(MAX(MIN(I200,0.999999),0.000001))+(1-J200)*LN(MAX(MIN(1-I200,0.999999),0.000001))))</x:f>
      </x:c>
      <x:c r="T200" t="str">
        <x:f>IF(J200="","",INDEX(Frozen_Predictions!$M$4:$M$303,MATCH(A200,Frozen_Predictions!$A$4:$A$303,0)))</x:f>
      </x:c>
      <x:c r="U200" t="str">
        <x:f>IF(J200="","",INDEX(Frozen_Predictions!$W$4:$W$303,MATCH(A200,Frozen_Predictions!$A$4:$A$303,0)))</x:f>
      </x:c>
      <x:c r="V200" t="str">
        <x:f>IF(J200="","",INDEX(Frozen_Predictions!$X$4:$X$303,MATCH(A200,Frozen_Predictions!$A$4:$A$303,0)))</x:f>
      </x:c>
      <x:c r="W200" t="str">
        <x:f>IF(A200="","",IF(COUNTIF($A$4:$A$303,A200)&lt;&gt;1,"ID DUPLICAT",IF(COUNTIF(Frozen_Predictions!$A$4:$A$303,A200)&lt;&gt;1,"ID INEXISTENT SAU DUPLICAT ÎN FROZEN",IF(COUNT(K200:L200)&lt;2,"COMPLETEAZĂ SCORUL","VERIFICAT"))))</x:f>
      </x:c>
    </x:row>
    <x:row r="201">
      <x:c r="A201" s="141"/>
      <x:c r="B201" t="str">
        <x:f>IF(OR(A201="",COUNTIF(Frozen_Predictions!$A$4:$A$303,A201)&lt;&gt;1),"",INDEX(Frozen_Predictions!$C$4:$C$303,MATCH(A201,Frozen_Predictions!$A$4:$A$303,0)))</x:f>
      </x:c>
      <x:c r="C201" t="str">
        <x:f>IF(OR(A201="",COUNTIF(Frozen_Predictions!$A$4:$A$303,A201)&lt;&gt;1),"",INDEX(Frozen_Predictions!$E$4:$E$303,MATCH(A201,Frozen_Predictions!$A$4:$A$303,0)))</x:f>
      </x:c>
      <x:c r="D201" t="str">
        <x:f>IF(OR(A201="",COUNTIF(Frozen_Predictions!$A$4:$A$303,A201)&lt;&gt;1),"",INDEX(Frozen_Predictions!$F$4:$F$303,MATCH(A201,Frozen_Predictions!$A$4:$A$303,0)))</x:f>
      </x:c>
      <x:c r="E201" t="str">
        <x:f>IF(OR(A201="",COUNTIF(Frozen_Predictions!$A$4:$A$303,A201)&lt;&gt;1),"",INDEX(Frozen_Predictions!$G$4:$G$303,MATCH(A201,Frozen_Predictions!$A$4:$A$303,0)))</x:f>
      </x:c>
      <x:c r="F201" t="str">
        <x:f>IF(OR(A201="",COUNTIF(Frozen_Predictions!$A$4:$A$303,A201)&lt;&gt;1),"",INDEX(Frozen_Predictions!$H$4:$H$303,MATCH(A201,Frozen_Predictions!$A$4:$A$303,0)))</x:f>
      </x:c>
      <x:c r="G201" t="str">
        <x:f>IF(OR(A201="",COUNTIF(Frozen_Predictions!$A$4:$A$303,A201)&lt;&gt;1),"",INDEX(Frozen_Predictions!$I$4:$I$303,MATCH(A201,Frozen_Predictions!$A$4:$A$303,0)))</x:f>
      </x:c>
      <x:c r="H201" t="str">
        <x:f>IF(OR(A201="",COUNTIF(Frozen_Predictions!$A$4:$A$303,A201)&lt;&gt;1),"",INDEX(Frozen_Predictions!$J$4:$J$303,MATCH(A201,Frozen_Predictions!$A$4:$A$303,0)))</x:f>
      </x:c>
      <x:c r="I201" t="str">
        <x:f>IF(OR(A201="",COUNTIF(Frozen_Predictions!$A$4:$A$303,A201)&lt;&gt;1),"",INDEX(Frozen_Predictions!$K$4:$K$303,MATCH(A201,Frozen_Predictions!$A$4:$A$303,0)))</x:f>
      </x:c>
      <x:c r="J201" s="142" t="str">
        <x:f>IF(OR(A201="",G201="",COUNT(K201:M201)&lt;3,COUNTIF($A$4:$A$303,A201)&lt;&gt;1),"",IF(IF(M201+F201&gt;0,"1",IF(M201+F201=0,"X","2"))=G201&amp;"",1,0))</x:f>
      </x:c>
      <x:c r="K201" s="143"/>
      <x:c r="L201" s="143"/>
      <x:c r="M201" s="142" t="str">
        <x:f>IF(AND(A201&lt;&gt;"",COUNT(K201:L201)=2),K201-L201,"")</x:f>
      </x:c>
      <x:c r="N201" s="142" t="str">
        <x:f>IF(J201="","",IF(M201+F201=0,"YES","NO"))</x:f>
      </x:c>
      <x:c r="O201" t="str">
        <x:f>IF(J201="","",IF(J201=1,"WIN",IF(N201="YES","Exact margin M="&amp;ABS(F201),"Direction / tail")))</x:f>
      </x:c>
      <x:c r="P201" s="141"/>
      <x:c r="Q201" s="141"/>
      <x:c r="R201" s="144" t="str">
        <x:f>IF(OR(I201="",J201=""),"",(I201-J201)^2)</x:f>
      </x:c>
      <x:c r="S201" s="144" t="str">
        <x:f>IF(OR(I201="",J201=""),"",-(J201*LN(MAX(MIN(I201,0.999999),0.000001))+(1-J201)*LN(MAX(MIN(1-I201,0.999999),0.000001))))</x:f>
      </x:c>
      <x:c r="T201" t="str">
        <x:f>IF(J201="","",INDEX(Frozen_Predictions!$M$4:$M$303,MATCH(A201,Frozen_Predictions!$A$4:$A$303,0)))</x:f>
      </x:c>
      <x:c r="U201" t="str">
        <x:f>IF(J201="","",INDEX(Frozen_Predictions!$W$4:$W$303,MATCH(A201,Frozen_Predictions!$A$4:$A$303,0)))</x:f>
      </x:c>
      <x:c r="V201" t="str">
        <x:f>IF(J201="","",INDEX(Frozen_Predictions!$X$4:$X$303,MATCH(A201,Frozen_Predictions!$A$4:$A$303,0)))</x:f>
      </x:c>
      <x:c r="W201" t="str">
        <x:f>IF(A201="","",IF(COUNTIF($A$4:$A$303,A201)&lt;&gt;1,"ID DUPLICAT",IF(COUNTIF(Frozen_Predictions!$A$4:$A$303,A201)&lt;&gt;1,"ID INEXISTENT SAU DUPLICAT ÎN FROZEN",IF(COUNT(K201:L201)&lt;2,"COMPLETEAZĂ SCORUL","VERIFICAT"))))</x:f>
      </x:c>
    </x:row>
    <x:row r="202">
      <x:c r="A202" s="141"/>
      <x:c r="B202" t="str">
        <x:f>IF(OR(A202="",COUNTIF(Frozen_Predictions!$A$4:$A$303,A202)&lt;&gt;1),"",INDEX(Frozen_Predictions!$C$4:$C$303,MATCH(A202,Frozen_Predictions!$A$4:$A$303,0)))</x:f>
      </x:c>
      <x:c r="C202" t="str">
        <x:f>IF(OR(A202="",COUNTIF(Frozen_Predictions!$A$4:$A$303,A202)&lt;&gt;1),"",INDEX(Frozen_Predictions!$E$4:$E$303,MATCH(A202,Frozen_Predictions!$A$4:$A$303,0)))</x:f>
      </x:c>
      <x:c r="D202" t="str">
        <x:f>IF(OR(A202="",COUNTIF(Frozen_Predictions!$A$4:$A$303,A202)&lt;&gt;1),"",INDEX(Frozen_Predictions!$F$4:$F$303,MATCH(A202,Frozen_Predictions!$A$4:$A$303,0)))</x:f>
      </x:c>
      <x:c r="E202" t="str">
        <x:f>IF(OR(A202="",COUNTIF(Frozen_Predictions!$A$4:$A$303,A202)&lt;&gt;1),"",INDEX(Frozen_Predictions!$G$4:$G$303,MATCH(A202,Frozen_Predictions!$A$4:$A$303,0)))</x:f>
      </x:c>
      <x:c r="F202" t="str">
        <x:f>IF(OR(A202="",COUNTIF(Frozen_Predictions!$A$4:$A$303,A202)&lt;&gt;1),"",INDEX(Frozen_Predictions!$H$4:$H$303,MATCH(A202,Frozen_Predictions!$A$4:$A$303,0)))</x:f>
      </x:c>
      <x:c r="G202" t="str">
        <x:f>IF(OR(A202="",COUNTIF(Frozen_Predictions!$A$4:$A$303,A202)&lt;&gt;1),"",INDEX(Frozen_Predictions!$I$4:$I$303,MATCH(A202,Frozen_Predictions!$A$4:$A$303,0)))</x:f>
      </x:c>
      <x:c r="H202" t="str">
        <x:f>IF(OR(A202="",COUNTIF(Frozen_Predictions!$A$4:$A$303,A202)&lt;&gt;1),"",INDEX(Frozen_Predictions!$J$4:$J$303,MATCH(A202,Frozen_Predictions!$A$4:$A$303,0)))</x:f>
      </x:c>
      <x:c r="I202" t="str">
        <x:f>IF(OR(A202="",COUNTIF(Frozen_Predictions!$A$4:$A$303,A202)&lt;&gt;1),"",INDEX(Frozen_Predictions!$K$4:$K$303,MATCH(A202,Frozen_Predictions!$A$4:$A$303,0)))</x:f>
      </x:c>
      <x:c r="J202" s="142" t="str">
        <x:f>IF(OR(A202="",G202="",COUNT(K202:M202)&lt;3,COUNTIF($A$4:$A$303,A202)&lt;&gt;1),"",IF(IF(M202+F202&gt;0,"1",IF(M202+F202=0,"X","2"))=G202&amp;"",1,0))</x:f>
      </x:c>
      <x:c r="K202" s="143"/>
      <x:c r="L202" s="143"/>
      <x:c r="M202" s="142" t="str">
        <x:f>IF(AND(A202&lt;&gt;"",COUNT(K202:L202)=2),K202-L202,"")</x:f>
      </x:c>
      <x:c r="N202" s="142" t="str">
        <x:f>IF(J202="","",IF(M202+F202=0,"YES","NO"))</x:f>
      </x:c>
      <x:c r="O202" t="str">
        <x:f>IF(J202="","",IF(J202=1,"WIN",IF(N202="YES","Exact margin M="&amp;ABS(F202),"Direction / tail")))</x:f>
      </x:c>
      <x:c r="P202" s="141"/>
      <x:c r="Q202" s="141"/>
      <x:c r="R202" s="144" t="str">
        <x:f>IF(OR(I202="",J202=""),"",(I202-J202)^2)</x:f>
      </x:c>
      <x:c r="S202" s="144" t="str">
        <x:f>IF(OR(I202="",J202=""),"",-(J202*LN(MAX(MIN(I202,0.999999),0.000001))+(1-J202)*LN(MAX(MIN(1-I202,0.999999),0.000001))))</x:f>
      </x:c>
      <x:c r="T202" t="str">
        <x:f>IF(J202="","",INDEX(Frozen_Predictions!$M$4:$M$303,MATCH(A202,Frozen_Predictions!$A$4:$A$303,0)))</x:f>
      </x:c>
      <x:c r="U202" t="str">
        <x:f>IF(J202="","",INDEX(Frozen_Predictions!$W$4:$W$303,MATCH(A202,Frozen_Predictions!$A$4:$A$303,0)))</x:f>
      </x:c>
      <x:c r="V202" t="str">
        <x:f>IF(J202="","",INDEX(Frozen_Predictions!$X$4:$X$303,MATCH(A202,Frozen_Predictions!$A$4:$A$303,0)))</x:f>
      </x:c>
      <x:c r="W202" t="str">
        <x:f>IF(A202="","",IF(COUNTIF($A$4:$A$303,A202)&lt;&gt;1,"ID DUPLICAT",IF(COUNTIF(Frozen_Predictions!$A$4:$A$303,A202)&lt;&gt;1,"ID INEXISTENT SAU DUPLICAT ÎN FROZEN",IF(COUNT(K202:L202)&lt;2,"COMPLETEAZĂ SCORUL","VERIFICAT"))))</x:f>
      </x:c>
    </x:row>
    <x:row r="203">
      <x:c r="A203" s="141"/>
      <x:c r="B203" t="str">
        <x:f>IF(OR(A203="",COUNTIF(Frozen_Predictions!$A$4:$A$303,A203)&lt;&gt;1),"",INDEX(Frozen_Predictions!$C$4:$C$303,MATCH(A203,Frozen_Predictions!$A$4:$A$303,0)))</x:f>
      </x:c>
      <x:c r="C203" t="str">
        <x:f>IF(OR(A203="",COUNTIF(Frozen_Predictions!$A$4:$A$303,A203)&lt;&gt;1),"",INDEX(Frozen_Predictions!$E$4:$E$303,MATCH(A203,Frozen_Predictions!$A$4:$A$303,0)))</x:f>
      </x:c>
      <x:c r="D203" t="str">
        <x:f>IF(OR(A203="",COUNTIF(Frozen_Predictions!$A$4:$A$303,A203)&lt;&gt;1),"",INDEX(Frozen_Predictions!$F$4:$F$303,MATCH(A203,Frozen_Predictions!$A$4:$A$303,0)))</x:f>
      </x:c>
      <x:c r="E203" t="str">
        <x:f>IF(OR(A203="",COUNTIF(Frozen_Predictions!$A$4:$A$303,A203)&lt;&gt;1),"",INDEX(Frozen_Predictions!$G$4:$G$303,MATCH(A203,Frozen_Predictions!$A$4:$A$303,0)))</x:f>
      </x:c>
      <x:c r="F203" t="str">
        <x:f>IF(OR(A203="",COUNTIF(Frozen_Predictions!$A$4:$A$303,A203)&lt;&gt;1),"",INDEX(Frozen_Predictions!$H$4:$H$303,MATCH(A203,Frozen_Predictions!$A$4:$A$303,0)))</x:f>
      </x:c>
      <x:c r="G203" t="str">
        <x:f>IF(OR(A203="",COUNTIF(Frozen_Predictions!$A$4:$A$303,A203)&lt;&gt;1),"",INDEX(Frozen_Predictions!$I$4:$I$303,MATCH(A203,Frozen_Predictions!$A$4:$A$303,0)))</x:f>
      </x:c>
      <x:c r="H203" t="str">
        <x:f>IF(OR(A203="",COUNTIF(Frozen_Predictions!$A$4:$A$303,A203)&lt;&gt;1),"",INDEX(Frozen_Predictions!$J$4:$J$303,MATCH(A203,Frozen_Predictions!$A$4:$A$303,0)))</x:f>
      </x:c>
      <x:c r="I203" t="str">
        <x:f>IF(OR(A203="",COUNTIF(Frozen_Predictions!$A$4:$A$303,A203)&lt;&gt;1),"",INDEX(Frozen_Predictions!$K$4:$K$303,MATCH(A203,Frozen_Predictions!$A$4:$A$303,0)))</x:f>
      </x:c>
      <x:c r="J203" s="142" t="str">
        <x:f>IF(OR(A203="",G203="",COUNT(K203:M203)&lt;3,COUNTIF($A$4:$A$303,A203)&lt;&gt;1),"",IF(IF(M203+F203&gt;0,"1",IF(M203+F203=0,"X","2"))=G203&amp;"",1,0))</x:f>
      </x:c>
      <x:c r="K203" s="143"/>
      <x:c r="L203" s="143"/>
      <x:c r="M203" s="142" t="str">
        <x:f>IF(AND(A203&lt;&gt;"",COUNT(K203:L203)=2),K203-L203,"")</x:f>
      </x:c>
      <x:c r="N203" s="142" t="str">
        <x:f>IF(J203="","",IF(M203+F203=0,"YES","NO"))</x:f>
      </x:c>
      <x:c r="O203" t="str">
        <x:f>IF(J203="","",IF(J203=1,"WIN",IF(N203="YES","Exact margin M="&amp;ABS(F203),"Direction / tail")))</x:f>
      </x:c>
      <x:c r="P203" s="141"/>
      <x:c r="Q203" s="141"/>
      <x:c r="R203" s="144" t="str">
        <x:f>IF(OR(I203="",J203=""),"",(I203-J203)^2)</x:f>
      </x:c>
      <x:c r="S203" s="144" t="str">
        <x:f>IF(OR(I203="",J203=""),"",-(J203*LN(MAX(MIN(I203,0.999999),0.000001))+(1-J203)*LN(MAX(MIN(1-I203,0.999999),0.000001))))</x:f>
      </x:c>
      <x:c r="T203" t="str">
        <x:f>IF(J203="","",INDEX(Frozen_Predictions!$M$4:$M$303,MATCH(A203,Frozen_Predictions!$A$4:$A$303,0)))</x:f>
      </x:c>
      <x:c r="U203" t="str">
        <x:f>IF(J203="","",INDEX(Frozen_Predictions!$W$4:$W$303,MATCH(A203,Frozen_Predictions!$A$4:$A$303,0)))</x:f>
      </x:c>
      <x:c r="V203" t="str">
        <x:f>IF(J203="","",INDEX(Frozen_Predictions!$X$4:$X$303,MATCH(A203,Frozen_Predictions!$A$4:$A$303,0)))</x:f>
      </x:c>
      <x:c r="W203" t="str">
        <x:f>IF(A203="","",IF(COUNTIF($A$4:$A$303,A203)&lt;&gt;1,"ID DUPLICAT",IF(COUNTIF(Frozen_Predictions!$A$4:$A$303,A203)&lt;&gt;1,"ID INEXISTENT SAU DUPLICAT ÎN FROZEN",IF(COUNT(K203:L203)&lt;2,"COMPLETEAZĂ SCORUL","VERIFICAT"))))</x:f>
      </x:c>
    </x:row>
    <x:row r="204">
      <x:c r="A204" s="141"/>
      <x:c r="B204" t="str">
        <x:f>IF(OR(A204="",COUNTIF(Frozen_Predictions!$A$4:$A$303,A204)&lt;&gt;1),"",INDEX(Frozen_Predictions!$C$4:$C$303,MATCH(A204,Frozen_Predictions!$A$4:$A$303,0)))</x:f>
      </x:c>
      <x:c r="C204" t="str">
        <x:f>IF(OR(A204="",COUNTIF(Frozen_Predictions!$A$4:$A$303,A204)&lt;&gt;1),"",INDEX(Frozen_Predictions!$E$4:$E$303,MATCH(A204,Frozen_Predictions!$A$4:$A$303,0)))</x:f>
      </x:c>
      <x:c r="D204" t="str">
        <x:f>IF(OR(A204="",COUNTIF(Frozen_Predictions!$A$4:$A$303,A204)&lt;&gt;1),"",INDEX(Frozen_Predictions!$F$4:$F$303,MATCH(A204,Frozen_Predictions!$A$4:$A$303,0)))</x:f>
      </x:c>
      <x:c r="E204" t="str">
        <x:f>IF(OR(A204="",COUNTIF(Frozen_Predictions!$A$4:$A$303,A204)&lt;&gt;1),"",INDEX(Frozen_Predictions!$G$4:$G$303,MATCH(A204,Frozen_Predictions!$A$4:$A$303,0)))</x:f>
      </x:c>
      <x:c r="F204" t="str">
        <x:f>IF(OR(A204="",COUNTIF(Frozen_Predictions!$A$4:$A$303,A204)&lt;&gt;1),"",INDEX(Frozen_Predictions!$H$4:$H$303,MATCH(A204,Frozen_Predictions!$A$4:$A$303,0)))</x:f>
      </x:c>
      <x:c r="G204" t="str">
        <x:f>IF(OR(A204="",COUNTIF(Frozen_Predictions!$A$4:$A$303,A204)&lt;&gt;1),"",INDEX(Frozen_Predictions!$I$4:$I$303,MATCH(A204,Frozen_Predictions!$A$4:$A$303,0)))</x:f>
      </x:c>
      <x:c r="H204" t="str">
        <x:f>IF(OR(A204="",COUNTIF(Frozen_Predictions!$A$4:$A$303,A204)&lt;&gt;1),"",INDEX(Frozen_Predictions!$J$4:$J$303,MATCH(A204,Frozen_Predictions!$A$4:$A$303,0)))</x:f>
      </x:c>
      <x:c r="I204" t="str">
        <x:f>IF(OR(A204="",COUNTIF(Frozen_Predictions!$A$4:$A$303,A204)&lt;&gt;1),"",INDEX(Frozen_Predictions!$K$4:$K$303,MATCH(A204,Frozen_Predictions!$A$4:$A$303,0)))</x:f>
      </x:c>
      <x:c r="J204" s="142" t="str">
        <x:f>IF(OR(A204="",G204="",COUNT(K204:M204)&lt;3,COUNTIF($A$4:$A$303,A204)&lt;&gt;1),"",IF(IF(M204+F204&gt;0,"1",IF(M204+F204=0,"X","2"))=G204&amp;"",1,0))</x:f>
      </x:c>
      <x:c r="K204" s="143"/>
      <x:c r="L204" s="143"/>
      <x:c r="M204" s="142" t="str">
        <x:f>IF(AND(A204&lt;&gt;"",COUNT(K204:L204)=2),K204-L204,"")</x:f>
      </x:c>
      <x:c r="N204" s="142" t="str">
        <x:f>IF(J204="","",IF(M204+F204=0,"YES","NO"))</x:f>
      </x:c>
      <x:c r="O204" t="str">
        <x:f>IF(J204="","",IF(J204=1,"WIN",IF(N204="YES","Exact margin M="&amp;ABS(F204),"Direction / tail")))</x:f>
      </x:c>
      <x:c r="P204" s="141"/>
      <x:c r="Q204" s="141"/>
      <x:c r="R204" s="144" t="str">
        <x:f>IF(OR(I204="",J204=""),"",(I204-J204)^2)</x:f>
      </x:c>
      <x:c r="S204" s="144" t="str">
        <x:f>IF(OR(I204="",J204=""),"",-(J204*LN(MAX(MIN(I204,0.999999),0.000001))+(1-J204)*LN(MAX(MIN(1-I204,0.999999),0.000001))))</x:f>
      </x:c>
      <x:c r="T204" t="str">
        <x:f>IF(J204="","",INDEX(Frozen_Predictions!$M$4:$M$303,MATCH(A204,Frozen_Predictions!$A$4:$A$303,0)))</x:f>
      </x:c>
      <x:c r="U204" t="str">
        <x:f>IF(J204="","",INDEX(Frozen_Predictions!$W$4:$W$303,MATCH(A204,Frozen_Predictions!$A$4:$A$303,0)))</x:f>
      </x:c>
      <x:c r="V204" t="str">
        <x:f>IF(J204="","",INDEX(Frozen_Predictions!$X$4:$X$303,MATCH(A204,Frozen_Predictions!$A$4:$A$303,0)))</x:f>
      </x:c>
      <x:c r="W204" t="str">
        <x:f>IF(A204="","",IF(COUNTIF($A$4:$A$303,A204)&lt;&gt;1,"ID DUPLICAT",IF(COUNTIF(Frozen_Predictions!$A$4:$A$303,A204)&lt;&gt;1,"ID INEXISTENT SAU DUPLICAT ÎN FROZEN",IF(COUNT(K204:L204)&lt;2,"COMPLETEAZĂ SCORUL","VERIFICAT"))))</x:f>
      </x:c>
    </x:row>
    <x:row r="205">
      <x:c r="A205" s="141"/>
      <x:c r="B205" t="str">
        <x:f>IF(OR(A205="",COUNTIF(Frozen_Predictions!$A$4:$A$303,A205)&lt;&gt;1),"",INDEX(Frozen_Predictions!$C$4:$C$303,MATCH(A205,Frozen_Predictions!$A$4:$A$303,0)))</x:f>
      </x:c>
      <x:c r="C205" t="str">
        <x:f>IF(OR(A205="",COUNTIF(Frozen_Predictions!$A$4:$A$303,A205)&lt;&gt;1),"",INDEX(Frozen_Predictions!$E$4:$E$303,MATCH(A205,Frozen_Predictions!$A$4:$A$303,0)))</x:f>
      </x:c>
      <x:c r="D205" t="str">
        <x:f>IF(OR(A205="",COUNTIF(Frozen_Predictions!$A$4:$A$303,A205)&lt;&gt;1),"",INDEX(Frozen_Predictions!$F$4:$F$303,MATCH(A205,Frozen_Predictions!$A$4:$A$303,0)))</x:f>
      </x:c>
      <x:c r="E205" t="str">
        <x:f>IF(OR(A205="",COUNTIF(Frozen_Predictions!$A$4:$A$303,A205)&lt;&gt;1),"",INDEX(Frozen_Predictions!$G$4:$G$303,MATCH(A205,Frozen_Predictions!$A$4:$A$303,0)))</x:f>
      </x:c>
      <x:c r="F205" t="str">
        <x:f>IF(OR(A205="",COUNTIF(Frozen_Predictions!$A$4:$A$303,A205)&lt;&gt;1),"",INDEX(Frozen_Predictions!$H$4:$H$303,MATCH(A205,Frozen_Predictions!$A$4:$A$303,0)))</x:f>
      </x:c>
      <x:c r="G205" t="str">
        <x:f>IF(OR(A205="",COUNTIF(Frozen_Predictions!$A$4:$A$303,A205)&lt;&gt;1),"",INDEX(Frozen_Predictions!$I$4:$I$303,MATCH(A205,Frozen_Predictions!$A$4:$A$303,0)))</x:f>
      </x:c>
      <x:c r="H205" t="str">
        <x:f>IF(OR(A205="",COUNTIF(Frozen_Predictions!$A$4:$A$303,A205)&lt;&gt;1),"",INDEX(Frozen_Predictions!$J$4:$J$303,MATCH(A205,Frozen_Predictions!$A$4:$A$303,0)))</x:f>
      </x:c>
      <x:c r="I205" t="str">
        <x:f>IF(OR(A205="",COUNTIF(Frozen_Predictions!$A$4:$A$303,A205)&lt;&gt;1),"",INDEX(Frozen_Predictions!$K$4:$K$303,MATCH(A205,Frozen_Predictions!$A$4:$A$303,0)))</x:f>
      </x:c>
      <x:c r="J205" s="142" t="str">
        <x:f>IF(OR(A205="",G205="",COUNT(K205:M205)&lt;3,COUNTIF($A$4:$A$303,A205)&lt;&gt;1),"",IF(IF(M205+F205&gt;0,"1",IF(M205+F205=0,"X","2"))=G205&amp;"",1,0))</x:f>
      </x:c>
      <x:c r="K205" s="143"/>
      <x:c r="L205" s="143"/>
      <x:c r="M205" s="142" t="str">
        <x:f>IF(AND(A205&lt;&gt;"",COUNT(K205:L205)=2),K205-L205,"")</x:f>
      </x:c>
      <x:c r="N205" s="142" t="str">
        <x:f>IF(J205="","",IF(M205+F205=0,"YES","NO"))</x:f>
      </x:c>
      <x:c r="O205" t="str">
        <x:f>IF(J205="","",IF(J205=1,"WIN",IF(N205="YES","Exact margin M="&amp;ABS(F205),"Direction / tail")))</x:f>
      </x:c>
      <x:c r="P205" s="141"/>
      <x:c r="Q205" s="141"/>
      <x:c r="R205" s="144" t="str">
        <x:f>IF(OR(I205="",J205=""),"",(I205-J205)^2)</x:f>
      </x:c>
      <x:c r="S205" s="144" t="str">
        <x:f>IF(OR(I205="",J205=""),"",-(J205*LN(MAX(MIN(I205,0.999999),0.000001))+(1-J205)*LN(MAX(MIN(1-I205,0.999999),0.000001))))</x:f>
      </x:c>
      <x:c r="T205" t="str">
        <x:f>IF(J205="","",INDEX(Frozen_Predictions!$M$4:$M$303,MATCH(A205,Frozen_Predictions!$A$4:$A$303,0)))</x:f>
      </x:c>
      <x:c r="U205" t="str">
        <x:f>IF(J205="","",INDEX(Frozen_Predictions!$W$4:$W$303,MATCH(A205,Frozen_Predictions!$A$4:$A$303,0)))</x:f>
      </x:c>
      <x:c r="V205" t="str">
        <x:f>IF(J205="","",INDEX(Frozen_Predictions!$X$4:$X$303,MATCH(A205,Frozen_Predictions!$A$4:$A$303,0)))</x:f>
      </x:c>
      <x:c r="W205" t="str">
        <x:f>IF(A205="","",IF(COUNTIF($A$4:$A$303,A205)&lt;&gt;1,"ID DUPLICAT",IF(COUNTIF(Frozen_Predictions!$A$4:$A$303,A205)&lt;&gt;1,"ID INEXISTENT SAU DUPLICAT ÎN FROZEN",IF(COUNT(K205:L205)&lt;2,"COMPLETEAZĂ SCORUL","VERIFICAT"))))</x:f>
      </x:c>
    </x:row>
    <x:row r="206">
      <x:c r="A206" s="141"/>
      <x:c r="B206" t="str">
        <x:f>IF(OR(A206="",COUNTIF(Frozen_Predictions!$A$4:$A$303,A206)&lt;&gt;1),"",INDEX(Frozen_Predictions!$C$4:$C$303,MATCH(A206,Frozen_Predictions!$A$4:$A$303,0)))</x:f>
      </x:c>
      <x:c r="C206" t="str">
        <x:f>IF(OR(A206="",COUNTIF(Frozen_Predictions!$A$4:$A$303,A206)&lt;&gt;1),"",INDEX(Frozen_Predictions!$E$4:$E$303,MATCH(A206,Frozen_Predictions!$A$4:$A$303,0)))</x:f>
      </x:c>
      <x:c r="D206" t="str">
        <x:f>IF(OR(A206="",COUNTIF(Frozen_Predictions!$A$4:$A$303,A206)&lt;&gt;1),"",INDEX(Frozen_Predictions!$F$4:$F$303,MATCH(A206,Frozen_Predictions!$A$4:$A$303,0)))</x:f>
      </x:c>
      <x:c r="E206" t="str">
        <x:f>IF(OR(A206="",COUNTIF(Frozen_Predictions!$A$4:$A$303,A206)&lt;&gt;1),"",INDEX(Frozen_Predictions!$G$4:$G$303,MATCH(A206,Frozen_Predictions!$A$4:$A$303,0)))</x:f>
      </x:c>
      <x:c r="F206" t="str">
        <x:f>IF(OR(A206="",COUNTIF(Frozen_Predictions!$A$4:$A$303,A206)&lt;&gt;1),"",INDEX(Frozen_Predictions!$H$4:$H$303,MATCH(A206,Frozen_Predictions!$A$4:$A$303,0)))</x:f>
      </x:c>
      <x:c r="G206" t="str">
        <x:f>IF(OR(A206="",COUNTIF(Frozen_Predictions!$A$4:$A$303,A206)&lt;&gt;1),"",INDEX(Frozen_Predictions!$I$4:$I$303,MATCH(A206,Frozen_Predictions!$A$4:$A$303,0)))</x:f>
      </x:c>
      <x:c r="H206" t="str">
        <x:f>IF(OR(A206="",COUNTIF(Frozen_Predictions!$A$4:$A$303,A206)&lt;&gt;1),"",INDEX(Frozen_Predictions!$J$4:$J$303,MATCH(A206,Frozen_Predictions!$A$4:$A$303,0)))</x:f>
      </x:c>
      <x:c r="I206" t="str">
        <x:f>IF(OR(A206="",COUNTIF(Frozen_Predictions!$A$4:$A$303,A206)&lt;&gt;1),"",INDEX(Frozen_Predictions!$K$4:$K$303,MATCH(A206,Frozen_Predictions!$A$4:$A$303,0)))</x:f>
      </x:c>
      <x:c r="J206" s="142" t="str">
        <x:f>IF(OR(A206="",G206="",COUNT(K206:M206)&lt;3,COUNTIF($A$4:$A$303,A206)&lt;&gt;1),"",IF(IF(M206+F206&gt;0,"1",IF(M206+F206=0,"X","2"))=G206&amp;"",1,0))</x:f>
      </x:c>
      <x:c r="K206" s="143"/>
      <x:c r="L206" s="143"/>
      <x:c r="M206" s="142" t="str">
        <x:f>IF(AND(A206&lt;&gt;"",COUNT(K206:L206)=2),K206-L206,"")</x:f>
      </x:c>
      <x:c r="N206" s="142" t="str">
        <x:f>IF(J206="","",IF(M206+F206=0,"YES","NO"))</x:f>
      </x:c>
      <x:c r="O206" t="str">
        <x:f>IF(J206="","",IF(J206=1,"WIN",IF(N206="YES","Exact margin M="&amp;ABS(F206),"Direction / tail")))</x:f>
      </x:c>
      <x:c r="P206" s="141"/>
      <x:c r="Q206" s="141"/>
      <x:c r="R206" s="144" t="str">
        <x:f>IF(OR(I206="",J206=""),"",(I206-J206)^2)</x:f>
      </x:c>
      <x:c r="S206" s="144" t="str">
        <x:f>IF(OR(I206="",J206=""),"",-(J206*LN(MAX(MIN(I206,0.999999),0.000001))+(1-J206)*LN(MAX(MIN(1-I206,0.999999),0.000001))))</x:f>
      </x:c>
      <x:c r="T206" t="str">
        <x:f>IF(J206="","",INDEX(Frozen_Predictions!$M$4:$M$303,MATCH(A206,Frozen_Predictions!$A$4:$A$303,0)))</x:f>
      </x:c>
      <x:c r="U206" t="str">
        <x:f>IF(J206="","",INDEX(Frozen_Predictions!$W$4:$W$303,MATCH(A206,Frozen_Predictions!$A$4:$A$303,0)))</x:f>
      </x:c>
      <x:c r="V206" t="str">
        <x:f>IF(J206="","",INDEX(Frozen_Predictions!$X$4:$X$303,MATCH(A206,Frozen_Predictions!$A$4:$A$303,0)))</x:f>
      </x:c>
      <x:c r="W206" t="str">
        <x:f>IF(A206="","",IF(COUNTIF($A$4:$A$303,A206)&lt;&gt;1,"ID DUPLICAT",IF(COUNTIF(Frozen_Predictions!$A$4:$A$303,A206)&lt;&gt;1,"ID INEXISTENT SAU DUPLICAT ÎN FROZEN",IF(COUNT(K206:L206)&lt;2,"COMPLETEAZĂ SCORUL","VERIFICAT"))))</x:f>
      </x:c>
    </x:row>
    <x:row r="207">
      <x:c r="A207" s="141"/>
      <x:c r="B207" t="str">
        <x:f>IF(OR(A207="",COUNTIF(Frozen_Predictions!$A$4:$A$303,A207)&lt;&gt;1),"",INDEX(Frozen_Predictions!$C$4:$C$303,MATCH(A207,Frozen_Predictions!$A$4:$A$303,0)))</x:f>
      </x:c>
      <x:c r="C207" t="str">
        <x:f>IF(OR(A207="",COUNTIF(Frozen_Predictions!$A$4:$A$303,A207)&lt;&gt;1),"",INDEX(Frozen_Predictions!$E$4:$E$303,MATCH(A207,Frozen_Predictions!$A$4:$A$303,0)))</x:f>
      </x:c>
      <x:c r="D207" t="str">
        <x:f>IF(OR(A207="",COUNTIF(Frozen_Predictions!$A$4:$A$303,A207)&lt;&gt;1),"",INDEX(Frozen_Predictions!$F$4:$F$303,MATCH(A207,Frozen_Predictions!$A$4:$A$303,0)))</x:f>
      </x:c>
      <x:c r="E207" t="str">
        <x:f>IF(OR(A207="",COUNTIF(Frozen_Predictions!$A$4:$A$303,A207)&lt;&gt;1),"",INDEX(Frozen_Predictions!$G$4:$G$303,MATCH(A207,Frozen_Predictions!$A$4:$A$303,0)))</x:f>
      </x:c>
      <x:c r="F207" t="str">
        <x:f>IF(OR(A207="",COUNTIF(Frozen_Predictions!$A$4:$A$303,A207)&lt;&gt;1),"",INDEX(Frozen_Predictions!$H$4:$H$303,MATCH(A207,Frozen_Predictions!$A$4:$A$303,0)))</x:f>
      </x:c>
      <x:c r="G207" t="str">
        <x:f>IF(OR(A207="",COUNTIF(Frozen_Predictions!$A$4:$A$303,A207)&lt;&gt;1),"",INDEX(Frozen_Predictions!$I$4:$I$303,MATCH(A207,Frozen_Predictions!$A$4:$A$303,0)))</x:f>
      </x:c>
      <x:c r="H207" t="str">
        <x:f>IF(OR(A207="",COUNTIF(Frozen_Predictions!$A$4:$A$303,A207)&lt;&gt;1),"",INDEX(Frozen_Predictions!$J$4:$J$303,MATCH(A207,Frozen_Predictions!$A$4:$A$303,0)))</x:f>
      </x:c>
      <x:c r="I207" t="str">
        <x:f>IF(OR(A207="",COUNTIF(Frozen_Predictions!$A$4:$A$303,A207)&lt;&gt;1),"",INDEX(Frozen_Predictions!$K$4:$K$303,MATCH(A207,Frozen_Predictions!$A$4:$A$303,0)))</x:f>
      </x:c>
      <x:c r="J207" s="142" t="str">
        <x:f>IF(OR(A207="",G207="",COUNT(K207:M207)&lt;3,COUNTIF($A$4:$A$303,A207)&lt;&gt;1),"",IF(IF(M207+F207&gt;0,"1",IF(M207+F207=0,"X","2"))=G207&amp;"",1,0))</x:f>
      </x:c>
      <x:c r="K207" s="143"/>
      <x:c r="L207" s="143"/>
      <x:c r="M207" s="142" t="str">
        <x:f>IF(AND(A207&lt;&gt;"",COUNT(K207:L207)=2),K207-L207,"")</x:f>
      </x:c>
      <x:c r="N207" s="142" t="str">
        <x:f>IF(J207="","",IF(M207+F207=0,"YES","NO"))</x:f>
      </x:c>
      <x:c r="O207" t="str">
        <x:f>IF(J207="","",IF(J207=1,"WIN",IF(N207="YES","Exact margin M="&amp;ABS(F207),"Direction / tail")))</x:f>
      </x:c>
      <x:c r="P207" s="141"/>
      <x:c r="Q207" s="141"/>
      <x:c r="R207" s="144" t="str">
        <x:f>IF(OR(I207="",J207=""),"",(I207-J207)^2)</x:f>
      </x:c>
      <x:c r="S207" s="144" t="str">
        <x:f>IF(OR(I207="",J207=""),"",-(J207*LN(MAX(MIN(I207,0.999999),0.000001))+(1-J207)*LN(MAX(MIN(1-I207,0.999999),0.000001))))</x:f>
      </x:c>
      <x:c r="T207" t="str">
        <x:f>IF(J207="","",INDEX(Frozen_Predictions!$M$4:$M$303,MATCH(A207,Frozen_Predictions!$A$4:$A$303,0)))</x:f>
      </x:c>
      <x:c r="U207" t="str">
        <x:f>IF(J207="","",INDEX(Frozen_Predictions!$W$4:$W$303,MATCH(A207,Frozen_Predictions!$A$4:$A$303,0)))</x:f>
      </x:c>
      <x:c r="V207" t="str">
        <x:f>IF(J207="","",INDEX(Frozen_Predictions!$X$4:$X$303,MATCH(A207,Frozen_Predictions!$A$4:$A$303,0)))</x:f>
      </x:c>
      <x:c r="W207" t="str">
        <x:f>IF(A207="","",IF(COUNTIF($A$4:$A$303,A207)&lt;&gt;1,"ID DUPLICAT",IF(COUNTIF(Frozen_Predictions!$A$4:$A$303,A207)&lt;&gt;1,"ID INEXISTENT SAU DUPLICAT ÎN FROZEN",IF(COUNT(K207:L207)&lt;2,"COMPLETEAZĂ SCORUL","VERIFICAT"))))</x:f>
      </x:c>
    </x:row>
    <x:row r="208">
      <x:c r="A208" s="141"/>
      <x:c r="B208" t="str">
        <x:f>IF(OR(A208="",COUNTIF(Frozen_Predictions!$A$4:$A$303,A208)&lt;&gt;1),"",INDEX(Frozen_Predictions!$C$4:$C$303,MATCH(A208,Frozen_Predictions!$A$4:$A$303,0)))</x:f>
      </x:c>
      <x:c r="C208" t="str">
        <x:f>IF(OR(A208="",COUNTIF(Frozen_Predictions!$A$4:$A$303,A208)&lt;&gt;1),"",INDEX(Frozen_Predictions!$E$4:$E$303,MATCH(A208,Frozen_Predictions!$A$4:$A$303,0)))</x:f>
      </x:c>
      <x:c r="D208" t="str">
        <x:f>IF(OR(A208="",COUNTIF(Frozen_Predictions!$A$4:$A$303,A208)&lt;&gt;1),"",INDEX(Frozen_Predictions!$F$4:$F$303,MATCH(A208,Frozen_Predictions!$A$4:$A$303,0)))</x:f>
      </x:c>
      <x:c r="E208" t="str">
        <x:f>IF(OR(A208="",COUNTIF(Frozen_Predictions!$A$4:$A$303,A208)&lt;&gt;1),"",INDEX(Frozen_Predictions!$G$4:$G$303,MATCH(A208,Frozen_Predictions!$A$4:$A$303,0)))</x:f>
      </x:c>
      <x:c r="F208" t="str">
        <x:f>IF(OR(A208="",COUNTIF(Frozen_Predictions!$A$4:$A$303,A208)&lt;&gt;1),"",INDEX(Frozen_Predictions!$H$4:$H$303,MATCH(A208,Frozen_Predictions!$A$4:$A$303,0)))</x:f>
      </x:c>
      <x:c r="G208" t="str">
        <x:f>IF(OR(A208="",COUNTIF(Frozen_Predictions!$A$4:$A$303,A208)&lt;&gt;1),"",INDEX(Frozen_Predictions!$I$4:$I$303,MATCH(A208,Frozen_Predictions!$A$4:$A$303,0)))</x:f>
      </x:c>
      <x:c r="H208" t="str">
        <x:f>IF(OR(A208="",COUNTIF(Frozen_Predictions!$A$4:$A$303,A208)&lt;&gt;1),"",INDEX(Frozen_Predictions!$J$4:$J$303,MATCH(A208,Frozen_Predictions!$A$4:$A$303,0)))</x:f>
      </x:c>
      <x:c r="I208" t="str">
        <x:f>IF(OR(A208="",COUNTIF(Frozen_Predictions!$A$4:$A$303,A208)&lt;&gt;1),"",INDEX(Frozen_Predictions!$K$4:$K$303,MATCH(A208,Frozen_Predictions!$A$4:$A$303,0)))</x:f>
      </x:c>
      <x:c r="J208" s="142" t="str">
        <x:f>IF(OR(A208="",G208="",COUNT(K208:M208)&lt;3,COUNTIF($A$4:$A$303,A208)&lt;&gt;1),"",IF(IF(M208+F208&gt;0,"1",IF(M208+F208=0,"X","2"))=G208&amp;"",1,0))</x:f>
      </x:c>
      <x:c r="K208" s="143"/>
      <x:c r="L208" s="143"/>
      <x:c r="M208" s="142" t="str">
        <x:f>IF(AND(A208&lt;&gt;"",COUNT(K208:L208)=2),K208-L208,"")</x:f>
      </x:c>
      <x:c r="N208" s="142" t="str">
        <x:f>IF(J208="","",IF(M208+F208=0,"YES","NO"))</x:f>
      </x:c>
      <x:c r="O208" t="str">
        <x:f>IF(J208="","",IF(J208=1,"WIN",IF(N208="YES","Exact margin M="&amp;ABS(F208),"Direction / tail")))</x:f>
      </x:c>
      <x:c r="P208" s="141"/>
      <x:c r="Q208" s="141"/>
      <x:c r="R208" s="144" t="str">
        <x:f>IF(OR(I208="",J208=""),"",(I208-J208)^2)</x:f>
      </x:c>
      <x:c r="S208" s="144" t="str">
        <x:f>IF(OR(I208="",J208=""),"",-(J208*LN(MAX(MIN(I208,0.999999),0.000001))+(1-J208)*LN(MAX(MIN(1-I208,0.999999),0.000001))))</x:f>
      </x:c>
      <x:c r="T208" t="str">
        <x:f>IF(J208="","",INDEX(Frozen_Predictions!$M$4:$M$303,MATCH(A208,Frozen_Predictions!$A$4:$A$303,0)))</x:f>
      </x:c>
      <x:c r="U208" t="str">
        <x:f>IF(J208="","",INDEX(Frozen_Predictions!$W$4:$W$303,MATCH(A208,Frozen_Predictions!$A$4:$A$303,0)))</x:f>
      </x:c>
      <x:c r="V208" t="str">
        <x:f>IF(J208="","",INDEX(Frozen_Predictions!$X$4:$X$303,MATCH(A208,Frozen_Predictions!$A$4:$A$303,0)))</x:f>
      </x:c>
      <x:c r="W208" t="str">
        <x:f>IF(A208="","",IF(COUNTIF($A$4:$A$303,A208)&lt;&gt;1,"ID DUPLICAT",IF(COUNTIF(Frozen_Predictions!$A$4:$A$303,A208)&lt;&gt;1,"ID INEXISTENT SAU DUPLICAT ÎN FROZEN",IF(COUNT(K208:L208)&lt;2,"COMPLETEAZĂ SCORUL","VERIFICAT"))))</x:f>
      </x:c>
    </x:row>
    <x:row r="209">
      <x:c r="A209" s="141"/>
      <x:c r="B209" t="str">
        <x:f>IF(OR(A209="",COUNTIF(Frozen_Predictions!$A$4:$A$303,A209)&lt;&gt;1),"",INDEX(Frozen_Predictions!$C$4:$C$303,MATCH(A209,Frozen_Predictions!$A$4:$A$303,0)))</x:f>
      </x:c>
      <x:c r="C209" t="str">
        <x:f>IF(OR(A209="",COUNTIF(Frozen_Predictions!$A$4:$A$303,A209)&lt;&gt;1),"",INDEX(Frozen_Predictions!$E$4:$E$303,MATCH(A209,Frozen_Predictions!$A$4:$A$303,0)))</x:f>
      </x:c>
      <x:c r="D209" t="str">
        <x:f>IF(OR(A209="",COUNTIF(Frozen_Predictions!$A$4:$A$303,A209)&lt;&gt;1),"",INDEX(Frozen_Predictions!$F$4:$F$303,MATCH(A209,Frozen_Predictions!$A$4:$A$303,0)))</x:f>
      </x:c>
      <x:c r="E209" t="str">
        <x:f>IF(OR(A209="",COUNTIF(Frozen_Predictions!$A$4:$A$303,A209)&lt;&gt;1),"",INDEX(Frozen_Predictions!$G$4:$G$303,MATCH(A209,Frozen_Predictions!$A$4:$A$303,0)))</x:f>
      </x:c>
      <x:c r="F209" t="str">
        <x:f>IF(OR(A209="",COUNTIF(Frozen_Predictions!$A$4:$A$303,A209)&lt;&gt;1),"",INDEX(Frozen_Predictions!$H$4:$H$303,MATCH(A209,Frozen_Predictions!$A$4:$A$303,0)))</x:f>
      </x:c>
      <x:c r="G209" t="str">
        <x:f>IF(OR(A209="",COUNTIF(Frozen_Predictions!$A$4:$A$303,A209)&lt;&gt;1),"",INDEX(Frozen_Predictions!$I$4:$I$303,MATCH(A209,Frozen_Predictions!$A$4:$A$303,0)))</x:f>
      </x:c>
      <x:c r="H209" t="str">
        <x:f>IF(OR(A209="",COUNTIF(Frozen_Predictions!$A$4:$A$303,A209)&lt;&gt;1),"",INDEX(Frozen_Predictions!$J$4:$J$303,MATCH(A209,Frozen_Predictions!$A$4:$A$303,0)))</x:f>
      </x:c>
      <x:c r="I209" t="str">
        <x:f>IF(OR(A209="",COUNTIF(Frozen_Predictions!$A$4:$A$303,A209)&lt;&gt;1),"",INDEX(Frozen_Predictions!$K$4:$K$303,MATCH(A209,Frozen_Predictions!$A$4:$A$303,0)))</x:f>
      </x:c>
      <x:c r="J209" s="142" t="str">
        <x:f>IF(OR(A209="",G209="",COUNT(K209:M209)&lt;3,COUNTIF($A$4:$A$303,A209)&lt;&gt;1),"",IF(IF(M209+F209&gt;0,"1",IF(M209+F209=0,"X","2"))=G209&amp;"",1,0))</x:f>
      </x:c>
      <x:c r="K209" s="143"/>
      <x:c r="L209" s="143"/>
      <x:c r="M209" s="142" t="str">
        <x:f>IF(AND(A209&lt;&gt;"",COUNT(K209:L209)=2),K209-L209,"")</x:f>
      </x:c>
      <x:c r="N209" s="142" t="str">
        <x:f>IF(J209="","",IF(M209+F209=0,"YES","NO"))</x:f>
      </x:c>
      <x:c r="O209" t="str">
        <x:f>IF(J209="","",IF(J209=1,"WIN",IF(N209="YES","Exact margin M="&amp;ABS(F209),"Direction / tail")))</x:f>
      </x:c>
      <x:c r="P209" s="141"/>
      <x:c r="Q209" s="141"/>
      <x:c r="R209" s="144" t="str">
        <x:f>IF(OR(I209="",J209=""),"",(I209-J209)^2)</x:f>
      </x:c>
      <x:c r="S209" s="144" t="str">
        <x:f>IF(OR(I209="",J209=""),"",-(J209*LN(MAX(MIN(I209,0.999999),0.000001))+(1-J209)*LN(MAX(MIN(1-I209,0.999999),0.000001))))</x:f>
      </x:c>
      <x:c r="T209" t="str">
        <x:f>IF(J209="","",INDEX(Frozen_Predictions!$M$4:$M$303,MATCH(A209,Frozen_Predictions!$A$4:$A$303,0)))</x:f>
      </x:c>
      <x:c r="U209" t="str">
        <x:f>IF(J209="","",INDEX(Frozen_Predictions!$W$4:$W$303,MATCH(A209,Frozen_Predictions!$A$4:$A$303,0)))</x:f>
      </x:c>
      <x:c r="V209" t="str">
        <x:f>IF(J209="","",INDEX(Frozen_Predictions!$X$4:$X$303,MATCH(A209,Frozen_Predictions!$A$4:$A$303,0)))</x:f>
      </x:c>
      <x:c r="W209" t="str">
        <x:f>IF(A209="","",IF(COUNTIF($A$4:$A$303,A209)&lt;&gt;1,"ID DUPLICAT",IF(COUNTIF(Frozen_Predictions!$A$4:$A$303,A209)&lt;&gt;1,"ID INEXISTENT SAU DUPLICAT ÎN FROZEN",IF(COUNT(K209:L209)&lt;2,"COMPLETEAZĂ SCORUL","VERIFICAT"))))</x:f>
      </x:c>
    </x:row>
    <x:row r="210">
      <x:c r="A210" s="141"/>
      <x:c r="B210" t="str">
        <x:f>IF(OR(A210="",COUNTIF(Frozen_Predictions!$A$4:$A$303,A210)&lt;&gt;1),"",INDEX(Frozen_Predictions!$C$4:$C$303,MATCH(A210,Frozen_Predictions!$A$4:$A$303,0)))</x:f>
      </x:c>
      <x:c r="C210" t="str">
        <x:f>IF(OR(A210="",COUNTIF(Frozen_Predictions!$A$4:$A$303,A210)&lt;&gt;1),"",INDEX(Frozen_Predictions!$E$4:$E$303,MATCH(A210,Frozen_Predictions!$A$4:$A$303,0)))</x:f>
      </x:c>
      <x:c r="D210" t="str">
        <x:f>IF(OR(A210="",COUNTIF(Frozen_Predictions!$A$4:$A$303,A210)&lt;&gt;1),"",INDEX(Frozen_Predictions!$F$4:$F$303,MATCH(A210,Frozen_Predictions!$A$4:$A$303,0)))</x:f>
      </x:c>
      <x:c r="E210" t="str">
        <x:f>IF(OR(A210="",COUNTIF(Frozen_Predictions!$A$4:$A$303,A210)&lt;&gt;1),"",INDEX(Frozen_Predictions!$G$4:$G$303,MATCH(A210,Frozen_Predictions!$A$4:$A$303,0)))</x:f>
      </x:c>
      <x:c r="F210" t="str">
        <x:f>IF(OR(A210="",COUNTIF(Frozen_Predictions!$A$4:$A$303,A210)&lt;&gt;1),"",INDEX(Frozen_Predictions!$H$4:$H$303,MATCH(A210,Frozen_Predictions!$A$4:$A$303,0)))</x:f>
      </x:c>
      <x:c r="G210" t="str">
        <x:f>IF(OR(A210="",COUNTIF(Frozen_Predictions!$A$4:$A$303,A210)&lt;&gt;1),"",INDEX(Frozen_Predictions!$I$4:$I$303,MATCH(A210,Frozen_Predictions!$A$4:$A$303,0)))</x:f>
      </x:c>
      <x:c r="H210" t="str">
        <x:f>IF(OR(A210="",COUNTIF(Frozen_Predictions!$A$4:$A$303,A210)&lt;&gt;1),"",INDEX(Frozen_Predictions!$J$4:$J$303,MATCH(A210,Frozen_Predictions!$A$4:$A$303,0)))</x:f>
      </x:c>
      <x:c r="I210" t="str">
        <x:f>IF(OR(A210="",COUNTIF(Frozen_Predictions!$A$4:$A$303,A210)&lt;&gt;1),"",INDEX(Frozen_Predictions!$K$4:$K$303,MATCH(A210,Frozen_Predictions!$A$4:$A$303,0)))</x:f>
      </x:c>
      <x:c r="J210" s="142" t="str">
        <x:f>IF(OR(A210="",G210="",COUNT(K210:M210)&lt;3,COUNTIF($A$4:$A$303,A210)&lt;&gt;1),"",IF(IF(M210+F210&gt;0,"1",IF(M210+F210=0,"X","2"))=G210&amp;"",1,0))</x:f>
      </x:c>
      <x:c r="K210" s="143"/>
      <x:c r="L210" s="143"/>
      <x:c r="M210" s="142" t="str">
        <x:f>IF(AND(A210&lt;&gt;"",COUNT(K210:L210)=2),K210-L210,"")</x:f>
      </x:c>
      <x:c r="N210" s="142" t="str">
        <x:f>IF(J210="","",IF(M210+F210=0,"YES","NO"))</x:f>
      </x:c>
      <x:c r="O210" t="str">
        <x:f>IF(J210="","",IF(J210=1,"WIN",IF(N210="YES","Exact margin M="&amp;ABS(F210),"Direction / tail")))</x:f>
      </x:c>
      <x:c r="P210" s="141"/>
      <x:c r="Q210" s="141"/>
      <x:c r="R210" s="144" t="str">
        <x:f>IF(OR(I210="",J210=""),"",(I210-J210)^2)</x:f>
      </x:c>
      <x:c r="S210" s="144" t="str">
        <x:f>IF(OR(I210="",J210=""),"",-(J210*LN(MAX(MIN(I210,0.999999),0.000001))+(1-J210)*LN(MAX(MIN(1-I210,0.999999),0.000001))))</x:f>
      </x:c>
      <x:c r="T210" t="str">
        <x:f>IF(J210="","",INDEX(Frozen_Predictions!$M$4:$M$303,MATCH(A210,Frozen_Predictions!$A$4:$A$303,0)))</x:f>
      </x:c>
      <x:c r="U210" t="str">
        <x:f>IF(J210="","",INDEX(Frozen_Predictions!$W$4:$W$303,MATCH(A210,Frozen_Predictions!$A$4:$A$303,0)))</x:f>
      </x:c>
      <x:c r="V210" t="str">
        <x:f>IF(J210="","",INDEX(Frozen_Predictions!$X$4:$X$303,MATCH(A210,Frozen_Predictions!$A$4:$A$303,0)))</x:f>
      </x:c>
      <x:c r="W210" t="str">
        <x:f>IF(A210="","",IF(COUNTIF($A$4:$A$303,A210)&lt;&gt;1,"ID DUPLICAT",IF(COUNTIF(Frozen_Predictions!$A$4:$A$303,A210)&lt;&gt;1,"ID INEXISTENT SAU DUPLICAT ÎN FROZEN",IF(COUNT(K210:L210)&lt;2,"COMPLETEAZĂ SCORUL","VERIFICAT"))))</x:f>
      </x:c>
    </x:row>
    <x:row r="211">
      <x:c r="A211" s="141"/>
      <x:c r="B211" t="str">
        <x:f>IF(OR(A211="",COUNTIF(Frozen_Predictions!$A$4:$A$303,A211)&lt;&gt;1),"",INDEX(Frozen_Predictions!$C$4:$C$303,MATCH(A211,Frozen_Predictions!$A$4:$A$303,0)))</x:f>
      </x:c>
      <x:c r="C211" t="str">
        <x:f>IF(OR(A211="",COUNTIF(Frozen_Predictions!$A$4:$A$303,A211)&lt;&gt;1),"",INDEX(Frozen_Predictions!$E$4:$E$303,MATCH(A211,Frozen_Predictions!$A$4:$A$303,0)))</x:f>
      </x:c>
      <x:c r="D211" t="str">
        <x:f>IF(OR(A211="",COUNTIF(Frozen_Predictions!$A$4:$A$303,A211)&lt;&gt;1),"",INDEX(Frozen_Predictions!$F$4:$F$303,MATCH(A211,Frozen_Predictions!$A$4:$A$303,0)))</x:f>
      </x:c>
      <x:c r="E211" t="str">
        <x:f>IF(OR(A211="",COUNTIF(Frozen_Predictions!$A$4:$A$303,A211)&lt;&gt;1),"",INDEX(Frozen_Predictions!$G$4:$G$303,MATCH(A211,Frozen_Predictions!$A$4:$A$303,0)))</x:f>
      </x:c>
      <x:c r="F211" t="str">
        <x:f>IF(OR(A211="",COUNTIF(Frozen_Predictions!$A$4:$A$303,A211)&lt;&gt;1),"",INDEX(Frozen_Predictions!$H$4:$H$303,MATCH(A211,Frozen_Predictions!$A$4:$A$303,0)))</x:f>
      </x:c>
      <x:c r="G211" t="str">
        <x:f>IF(OR(A211="",COUNTIF(Frozen_Predictions!$A$4:$A$303,A211)&lt;&gt;1),"",INDEX(Frozen_Predictions!$I$4:$I$303,MATCH(A211,Frozen_Predictions!$A$4:$A$303,0)))</x:f>
      </x:c>
      <x:c r="H211" t="str">
        <x:f>IF(OR(A211="",COUNTIF(Frozen_Predictions!$A$4:$A$303,A211)&lt;&gt;1),"",INDEX(Frozen_Predictions!$J$4:$J$303,MATCH(A211,Frozen_Predictions!$A$4:$A$303,0)))</x:f>
      </x:c>
      <x:c r="I211" t="str">
        <x:f>IF(OR(A211="",COUNTIF(Frozen_Predictions!$A$4:$A$303,A211)&lt;&gt;1),"",INDEX(Frozen_Predictions!$K$4:$K$303,MATCH(A211,Frozen_Predictions!$A$4:$A$303,0)))</x:f>
      </x:c>
      <x:c r="J211" s="142" t="str">
        <x:f>IF(OR(A211="",G211="",COUNT(K211:M211)&lt;3,COUNTIF($A$4:$A$303,A211)&lt;&gt;1),"",IF(IF(M211+F211&gt;0,"1",IF(M211+F211=0,"X","2"))=G211&amp;"",1,0))</x:f>
      </x:c>
      <x:c r="K211" s="143"/>
      <x:c r="L211" s="143"/>
      <x:c r="M211" s="142" t="str">
        <x:f>IF(AND(A211&lt;&gt;"",COUNT(K211:L211)=2),K211-L211,"")</x:f>
      </x:c>
      <x:c r="N211" s="142" t="str">
        <x:f>IF(J211="","",IF(M211+F211=0,"YES","NO"))</x:f>
      </x:c>
      <x:c r="O211" t="str">
        <x:f>IF(J211="","",IF(J211=1,"WIN",IF(N211="YES","Exact margin M="&amp;ABS(F211),"Direction / tail")))</x:f>
      </x:c>
      <x:c r="P211" s="141"/>
      <x:c r="Q211" s="141"/>
      <x:c r="R211" s="144" t="str">
        <x:f>IF(OR(I211="",J211=""),"",(I211-J211)^2)</x:f>
      </x:c>
      <x:c r="S211" s="144" t="str">
        <x:f>IF(OR(I211="",J211=""),"",-(J211*LN(MAX(MIN(I211,0.999999),0.000001))+(1-J211)*LN(MAX(MIN(1-I211,0.999999),0.000001))))</x:f>
      </x:c>
      <x:c r="T211" t="str">
        <x:f>IF(J211="","",INDEX(Frozen_Predictions!$M$4:$M$303,MATCH(A211,Frozen_Predictions!$A$4:$A$303,0)))</x:f>
      </x:c>
      <x:c r="U211" t="str">
        <x:f>IF(J211="","",INDEX(Frozen_Predictions!$W$4:$W$303,MATCH(A211,Frozen_Predictions!$A$4:$A$303,0)))</x:f>
      </x:c>
      <x:c r="V211" t="str">
        <x:f>IF(J211="","",INDEX(Frozen_Predictions!$X$4:$X$303,MATCH(A211,Frozen_Predictions!$A$4:$A$303,0)))</x:f>
      </x:c>
      <x:c r="W211" t="str">
        <x:f>IF(A211="","",IF(COUNTIF($A$4:$A$303,A211)&lt;&gt;1,"ID DUPLICAT",IF(COUNTIF(Frozen_Predictions!$A$4:$A$303,A211)&lt;&gt;1,"ID INEXISTENT SAU DUPLICAT ÎN FROZEN",IF(COUNT(K211:L211)&lt;2,"COMPLETEAZĂ SCORUL","VERIFICAT"))))</x:f>
      </x:c>
    </x:row>
    <x:row r="212">
      <x:c r="A212" s="141"/>
      <x:c r="B212" t="str">
        <x:f>IF(OR(A212="",COUNTIF(Frozen_Predictions!$A$4:$A$303,A212)&lt;&gt;1),"",INDEX(Frozen_Predictions!$C$4:$C$303,MATCH(A212,Frozen_Predictions!$A$4:$A$303,0)))</x:f>
      </x:c>
      <x:c r="C212" t="str">
        <x:f>IF(OR(A212="",COUNTIF(Frozen_Predictions!$A$4:$A$303,A212)&lt;&gt;1),"",INDEX(Frozen_Predictions!$E$4:$E$303,MATCH(A212,Frozen_Predictions!$A$4:$A$303,0)))</x:f>
      </x:c>
      <x:c r="D212" t="str">
        <x:f>IF(OR(A212="",COUNTIF(Frozen_Predictions!$A$4:$A$303,A212)&lt;&gt;1),"",INDEX(Frozen_Predictions!$F$4:$F$303,MATCH(A212,Frozen_Predictions!$A$4:$A$303,0)))</x:f>
      </x:c>
      <x:c r="E212" t="str">
        <x:f>IF(OR(A212="",COUNTIF(Frozen_Predictions!$A$4:$A$303,A212)&lt;&gt;1),"",INDEX(Frozen_Predictions!$G$4:$G$303,MATCH(A212,Frozen_Predictions!$A$4:$A$303,0)))</x:f>
      </x:c>
      <x:c r="F212" t="str">
        <x:f>IF(OR(A212="",COUNTIF(Frozen_Predictions!$A$4:$A$303,A212)&lt;&gt;1),"",INDEX(Frozen_Predictions!$H$4:$H$303,MATCH(A212,Frozen_Predictions!$A$4:$A$303,0)))</x:f>
      </x:c>
      <x:c r="G212" t="str">
        <x:f>IF(OR(A212="",COUNTIF(Frozen_Predictions!$A$4:$A$303,A212)&lt;&gt;1),"",INDEX(Frozen_Predictions!$I$4:$I$303,MATCH(A212,Frozen_Predictions!$A$4:$A$303,0)))</x:f>
      </x:c>
      <x:c r="H212" t="str">
        <x:f>IF(OR(A212="",COUNTIF(Frozen_Predictions!$A$4:$A$303,A212)&lt;&gt;1),"",INDEX(Frozen_Predictions!$J$4:$J$303,MATCH(A212,Frozen_Predictions!$A$4:$A$303,0)))</x:f>
      </x:c>
      <x:c r="I212" t="str">
        <x:f>IF(OR(A212="",COUNTIF(Frozen_Predictions!$A$4:$A$303,A212)&lt;&gt;1),"",INDEX(Frozen_Predictions!$K$4:$K$303,MATCH(A212,Frozen_Predictions!$A$4:$A$303,0)))</x:f>
      </x:c>
      <x:c r="J212" s="142" t="str">
        <x:f>IF(OR(A212="",G212="",COUNT(K212:M212)&lt;3,COUNTIF($A$4:$A$303,A212)&lt;&gt;1),"",IF(IF(M212+F212&gt;0,"1",IF(M212+F212=0,"X","2"))=G212&amp;"",1,0))</x:f>
      </x:c>
      <x:c r="K212" s="143"/>
      <x:c r="L212" s="143"/>
      <x:c r="M212" s="142" t="str">
        <x:f>IF(AND(A212&lt;&gt;"",COUNT(K212:L212)=2),K212-L212,"")</x:f>
      </x:c>
      <x:c r="N212" s="142" t="str">
        <x:f>IF(J212="","",IF(M212+F212=0,"YES","NO"))</x:f>
      </x:c>
      <x:c r="O212" t="str">
        <x:f>IF(J212="","",IF(J212=1,"WIN",IF(N212="YES","Exact margin M="&amp;ABS(F212),"Direction / tail")))</x:f>
      </x:c>
      <x:c r="P212" s="141"/>
      <x:c r="Q212" s="141"/>
      <x:c r="R212" s="144" t="str">
        <x:f>IF(OR(I212="",J212=""),"",(I212-J212)^2)</x:f>
      </x:c>
      <x:c r="S212" s="144" t="str">
        <x:f>IF(OR(I212="",J212=""),"",-(J212*LN(MAX(MIN(I212,0.999999),0.000001))+(1-J212)*LN(MAX(MIN(1-I212,0.999999),0.000001))))</x:f>
      </x:c>
      <x:c r="T212" t="str">
        <x:f>IF(J212="","",INDEX(Frozen_Predictions!$M$4:$M$303,MATCH(A212,Frozen_Predictions!$A$4:$A$303,0)))</x:f>
      </x:c>
      <x:c r="U212" t="str">
        <x:f>IF(J212="","",INDEX(Frozen_Predictions!$W$4:$W$303,MATCH(A212,Frozen_Predictions!$A$4:$A$303,0)))</x:f>
      </x:c>
      <x:c r="V212" t="str">
        <x:f>IF(J212="","",INDEX(Frozen_Predictions!$X$4:$X$303,MATCH(A212,Frozen_Predictions!$A$4:$A$303,0)))</x:f>
      </x:c>
      <x:c r="W212" t="str">
        <x:f>IF(A212="","",IF(COUNTIF($A$4:$A$303,A212)&lt;&gt;1,"ID DUPLICAT",IF(COUNTIF(Frozen_Predictions!$A$4:$A$303,A212)&lt;&gt;1,"ID INEXISTENT SAU DUPLICAT ÎN FROZEN",IF(COUNT(K212:L212)&lt;2,"COMPLETEAZĂ SCORUL","VERIFICAT"))))</x:f>
      </x:c>
    </x:row>
    <x:row r="213">
      <x:c r="A213" s="141"/>
      <x:c r="B213" t="str">
        <x:f>IF(OR(A213="",COUNTIF(Frozen_Predictions!$A$4:$A$303,A213)&lt;&gt;1),"",INDEX(Frozen_Predictions!$C$4:$C$303,MATCH(A213,Frozen_Predictions!$A$4:$A$303,0)))</x:f>
      </x:c>
      <x:c r="C213" t="str">
        <x:f>IF(OR(A213="",COUNTIF(Frozen_Predictions!$A$4:$A$303,A213)&lt;&gt;1),"",INDEX(Frozen_Predictions!$E$4:$E$303,MATCH(A213,Frozen_Predictions!$A$4:$A$303,0)))</x:f>
      </x:c>
      <x:c r="D213" t="str">
        <x:f>IF(OR(A213="",COUNTIF(Frozen_Predictions!$A$4:$A$303,A213)&lt;&gt;1),"",INDEX(Frozen_Predictions!$F$4:$F$303,MATCH(A213,Frozen_Predictions!$A$4:$A$303,0)))</x:f>
      </x:c>
      <x:c r="E213" t="str">
        <x:f>IF(OR(A213="",COUNTIF(Frozen_Predictions!$A$4:$A$303,A213)&lt;&gt;1),"",INDEX(Frozen_Predictions!$G$4:$G$303,MATCH(A213,Frozen_Predictions!$A$4:$A$303,0)))</x:f>
      </x:c>
      <x:c r="F213" t="str">
        <x:f>IF(OR(A213="",COUNTIF(Frozen_Predictions!$A$4:$A$303,A213)&lt;&gt;1),"",INDEX(Frozen_Predictions!$H$4:$H$303,MATCH(A213,Frozen_Predictions!$A$4:$A$303,0)))</x:f>
      </x:c>
      <x:c r="G213" t="str">
        <x:f>IF(OR(A213="",COUNTIF(Frozen_Predictions!$A$4:$A$303,A213)&lt;&gt;1),"",INDEX(Frozen_Predictions!$I$4:$I$303,MATCH(A213,Frozen_Predictions!$A$4:$A$303,0)))</x:f>
      </x:c>
      <x:c r="H213" t="str">
        <x:f>IF(OR(A213="",COUNTIF(Frozen_Predictions!$A$4:$A$303,A213)&lt;&gt;1),"",INDEX(Frozen_Predictions!$J$4:$J$303,MATCH(A213,Frozen_Predictions!$A$4:$A$303,0)))</x:f>
      </x:c>
      <x:c r="I213" t="str">
        <x:f>IF(OR(A213="",COUNTIF(Frozen_Predictions!$A$4:$A$303,A213)&lt;&gt;1),"",INDEX(Frozen_Predictions!$K$4:$K$303,MATCH(A213,Frozen_Predictions!$A$4:$A$303,0)))</x:f>
      </x:c>
      <x:c r="J213" s="142" t="str">
        <x:f>IF(OR(A213="",G213="",COUNT(K213:M213)&lt;3,COUNTIF($A$4:$A$303,A213)&lt;&gt;1),"",IF(IF(M213+F213&gt;0,"1",IF(M213+F213=0,"X","2"))=G213&amp;"",1,0))</x:f>
      </x:c>
      <x:c r="K213" s="143"/>
      <x:c r="L213" s="143"/>
      <x:c r="M213" s="142" t="str">
        <x:f>IF(AND(A213&lt;&gt;"",COUNT(K213:L213)=2),K213-L213,"")</x:f>
      </x:c>
      <x:c r="N213" s="142" t="str">
        <x:f>IF(J213="","",IF(M213+F213=0,"YES","NO"))</x:f>
      </x:c>
      <x:c r="O213" t="str">
        <x:f>IF(J213="","",IF(J213=1,"WIN",IF(N213="YES","Exact margin M="&amp;ABS(F213),"Direction / tail")))</x:f>
      </x:c>
      <x:c r="P213" s="141"/>
      <x:c r="Q213" s="141"/>
      <x:c r="R213" s="144" t="str">
        <x:f>IF(OR(I213="",J213=""),"",(I213-J213)^2)</x:f>
      </x:c>
      <x:c r="S213" s="144" t="str">
        <x:f>IF(OR(I213="",J213=""),"",-(J213*LN(MAX(MIN(I213,0.999999),0.000001))+(1-J213)*LN(MAX(MIN(1-I213,0.999999),0.000001))))</x:f>
      </x:c>
      <x:c r="T213" t="str">
        <x:f>IF(J213="","",INDEX(Frozen_Predictions!$M$4:$M$303,MATCH(A213,Frozen_Predictions!$A$4:$A$303,0)))</x:f>
      </x:c>
      <x:c r="U213" t="str">
        <x:f>IF(J213="","",INDEX(Frozen_Predictions!$W$4:$W$303,MATCH(A213,Frozen_Predictions!$A$4:$A$303,0)))</x:f>
      </x:c>
      <x:c r="V213" t="str">
        <x:f>IF(J213="","",INDEX(Frozen_Predictions!$X$4:$X$303,MATCH(A213,Frozen_Predictions!$A$4:$A$303,0)))</x:f>
      </x:c>
      <x:c r="W213" t="str">
        <x:f>IF(A213="","",IF(COUNTIF($A$4:$A$303,A213)&lt;&gt;1,"ID DUPLICAT",IF(COUNTIF(Frozen_Predictions!$A$4:$A$303,A213)&lt;&gt;1,"ID INEXISTENT SAU DUPLICAT ÎN FROZEN",IF(COUNT(K213:L213)&lt;2,"COMPLETEAZĂ SCORUL","VERIFICAT"))))</x:f>
      </x:c>
    </x:row>
    <x:row r="214">
      <x:c r="A214" s="141"/>
      <x:c r="B214" t="str">
        <x:f>IF(OR(A214="",COUNTIF(Frozen_Predictions!$A$4:$A$303,A214)&lt;&gt;1),"",INDEX(Frozen_Predictions!$C$4:$C$303,MATCH(A214,Frozen_Predictions!$A$4:$A$303,0)))</x:f>
      </x:c>
      <x:c r="C214" t="str">
        <x:f>IF(OR(A214="",COUNTIF(Frozen_Predictions!$A$4:$A$303,A214)&lt;&gt;1),"",INDEX(Frozen_Predictions!$E$4:$E$303,MATCH(A214,Frozen_Predictions!$A$4:$A$303,0)))</x:f>
      </x:c>
      <x:c r="D214" t="str">
        <x:f>IF(OR(A214="",COUNTIF(Frozen_Predictions!$A$4:$A$303,A214)&lt;&gt;1),"",INDEX(Frozen_Predictions!$F$4:$F$303,MATCH(A214,Frozen_Predictions!$A$4:$A$303,0)))</x:f>
      </x:c>
      <x:c r="E214" t="str">
        <x:f>IF(OR(A214="",COUNTIF(Frozen_Predictions!$A$4:$A$303,A214)&lt;&gt;1),"",INDEX(Frozen_Predictions!$G$4:$G$303,MATCH(A214,Frozen_Predictions!$A$4:$A$303,0)))</x:f>
      </x:c>
      <x:c r="F214" t="str">
        <x:f>IF(OR(A214="",COUNTIF(Frozen_Predictions!$A$4:$A$303,A214)&lt;&gt;1),"",INDEX(Frozen_Predictions!$H$4:$H$303,MATCH(A214,Frozen_Predictions!$A$4:$A$303,0)))</x:f>
      </x:c>
      <x:c r="G214" t="str">
        <x:f>IF(OR(A214="",COUNTIF(Frozen_Predictions!$A$4:$A$303,A214)&lt;&gt;1),"",INDEX(Frozen_Predictions!$I$4:$I$303,MATCH(A214,Frozen_Predictions!$A$4:$A$303,0)))</x:f>
      </x:c>
      <x:c r="H214" t="str">
        <x:f>IF(OR(A214="",COUNTIF(Frozen_Predictions!$A$4:$A$303,A214)&lt;&gt;1),"",INDEX(Frozen_Predictions!$J$4:$J$303,MATCH(A214,Frozen_Predictions!$A$4:$A$303,0)))</x:f>
      </x:c>
      <x:c r="I214" t="str">
        <x:f>IF(OR(A214="",COUNTIF(Frozen_Predictions!$A$4:$A$303,A214)&lt;&gt;1),"",INDEX(Frozen_Predictions!$K$4:$K$303,MATCH(A214,Frozen_Predictions!$A$4:$A$303,0)))</x:f>
      </x:c>
      <x:c r="J214" s="142" t="str">
        <x:f>IF(OR(A214="",G214="",COUNT(K214:M214)&lt;3,COUNTIF($A$4:$A$303,A214)&lt;&gt;1),"",IF(IF(M214+F214&gt;0,"1",IF(M214+F214=0,"X","2"))=G214&amp;"",1,0))</x:f>
      </x:c>
      <x:c r="K214" s="143"/>
      <x:c r="L214" s="143"/>
      <x:c r="M214" s="142" t="str">
        <x:f>IF(AND(A214&lt;&gt;"",COUNT(K214:L214)=2),K214-L214,"")</x:f>
      </x:c>
      <x:c r="N214" s="142" t="str">
        <x:f>IF(J214="","",IF(M214+F214=0,"YES","NO"))</x:f>
      </x:c>
      <x:c r="O214" t="str">
        <x:f>IF(J214="","",IF(J214=1,"WIN",IF(N214="YES","Exact margin M="&amp;ABS(F214),"Direction / tail")))</x:f>
      </x:c>
      <x:c r="P214" s="141"/>
      <x:c r="Q214" s="141"/>
      <x:c r="R214" s="144" t="str">
        <x:f>IF(OR(I214="",J214=""),"",(I214-J214)^2)</x:f>
      </x:c>
      <x:c r="S214" s="144" t="str">
        <x:f>IF(OR(I214="",J214=""),"",-(J214*LN(MAX(MIN(I214,0.999999),0.000001))+(1-J214)*LN(MAX(MIN(1-I214,0.999999),0.000001))))</x:f>
      </x:c>
      <x:c r="T214" t="str">
        <x:f>IF(J214="","",INDEX(Frozen_Predictions!$M$4:$M$303,MATCH(A214,Frozen_Predictions!$A$4:$A$303,0)))</x:f>
      </x:c>
      <x:c r="U214" t="str">
        <x:f>IF(J214="","",INDEX(Frozen_Predictions!$W$4:$W$303,MATCH(A214,Frozen_Predictions!$A$4:$A$303,0)))</x:f>
      </x:c>
      <x:c r="V214" t="str">
        <x:f>IF(J214="","",INDEX(Frozen_Predictions!$X$4:$X$303,MATCH(A214,Frozen_Predictions!$A$4:$A$303,0)))</x:f>
      </x:c>
      <x:c r="W214" t="str">
        <x:f>IF(A214="","",IF(COUNTIF($A$4:$A$303,A214)&lt;&gt;1,"ID DUPLICAT",IF(COUNTIF(Frozen_Predictions!$A$4:$A$303,A214)&lt;&gt;1,"ID INEXISTENT SAU DUPLICAT ÎN FROZEN",IF(COUNT(K214:L214)&lt;2,"COMPLETEAZĂ SCORUL","VERIFICAT"))))</x:f>
      </x:c>
    </x:row>
    <x:row r="215">
      <x:c r="A215" s="141"/>
      <x:c r="B215" t="str">
        <x:f>IF(OR(A215="",COUNTIF(Frozen_Predictions!$A$4:$A$303,A215)&lt;&gt;1),"",INDEX(Frozen_Predictions!$C$4:$C$303,MATCH(A215,Frozen_Predictions!$A$4:$A$303,0)))</x:f>
      </x:c>
      <x:c r="C215" t="str">
        <x:f>IF(OR(A215="",COUNTIF(Frozen_Predictions!$A$4:$A$303,A215)&lt;&gt;1),"",INDEX(Frozen_Predictions!$E$4:$E$303,MATCH(A215,Frozen_Predictions!$A$4:$A$303,0)))</x:f>
      </x:c>
      <x:c r="D215" t="str">
        <x:f>IF(OR(A215="",COUNTIF(Frozen_Predictions!$A$4:$A$303,A215)&lt;&gt;1),"",INDEX(Frozen_Predictions!$F$4:$F$303,MATCH(A215,Frozen_Predictions!$A$4:$A$303,0)))</x:f>
      </x:c>
      <x:c r="E215" t="str">
        <x:f>IF(OR(A215="",COUNTIF(Frozen_Predictions!$A$4:$A$303,A215)&lt;&gt;1),"",INDEX(Frozen_Predictions!$G$4:$G$303,MATCH(A215,Frozen_Predictions!$A$4:$A$303,0)))</x:f>
      </x:c>
      <x:c r="F215" t="str">
        <x:f>IF(OR(A215="",COUNTIF(Frozen_Predictions!$A$4:$A$303,A215)&lt;&gt;1),"",INDEX(Frozen_Predictions!$H$4:$H$303,MATCH(A215,Frozen_Predictions!$A$4:$A$303,0)))</x:f>
      </x:c>
      <x:c r="G215" t="str">
        <x:f>IF(OR(A215="",COUNTIF(Frozen_Predictions!$A$4:$A$303,A215)&lt;&gt;1),"",INDEX(Frozen_Predictions!$I$4:$I$303,MATCH(A215,Frozen_Predictions!$A$4:$A$303,0)))</x:f>
      </x:c>
      <x:c r="H215" t="str">
        <x:f>IF(OR(A215="",COUNTIF(Frozen_Predictions!$A$4:$A$303,A215)&lt;&gt;1),"",INDEX(Frozen_Predictions!$J$4:$J$303,MATCH(A215,Frozen_Predictions!$A$4:$A$303,0)))</x:f>
      </x:c>
      <x:c r="I215" t="str">
        <x:f>IF(OR(A215="",COUNTIF(Frozen_Predictions!$A$4:$A$303,A215)&lt;&gt;1),"",INDEX(Frozen_Predictions!$K$4:$K$303,MATCH(A215,Frozen_Predictions!$A$4:$A$303,0)))</x:f>
      </x:c>
      <x:c r="J215" s="142" t="str">
        <x:f>IF(OR(A215="",G215="",COUNT(K215:M215)&lt;3,COUNTIF($A$4:$A$303,A215)&lt;&gt;1),"",IF(IF(M215+F215&gt;0,"1",IF(M215+F215=0,"X","2"))=G215&amp;"",1,0))</x:f>
      </x:c>
      <x:c r="K215" s="143"/>
      <x:c r="L215" s="143"/>
      <x:c r="M215" s="142" t="str">
        <x:f>IF(AND(A215&lt;&gt;"",COUNT(K215:L215)=2),K215-L215,"")</x:f>
      </x:c>
      <x:c r="N215" s="142" t="str">
        <x:f>IF(J215="","",IF(M215+F215=0,"YES","NO"))</x:f>
      </x:c>
      <x:c r="O215" t="str">
        <x:f>IF(J215="","",IF(J215=1,"WIN",IF(N215="YES","Exact margin M="&amp;ABS(F215),"Direction / tail")))</x:f>
      </x:c>
      <x:c r="P215" s="141"/>
      <x:c r="Q215" s="141"/>
      <x:c r="R215" s="144" t="str">
        <x:f>IF(OR(I215="",J215=""),"",(I215-J215)^2)</x:f>
      </x:c>
      <x:c r="S215" s="144" t="str">
        <x:f>IF(OR(I215="",J215=""),"",-(J215*LN(MAX(MIN(I215,0.999999),0.000001))+(1-J215)*LN(MAX(MIN(1-I215,0.999999),0.000001))))</x:f>
      </x:c>
      <x:c r="T215" t="str">
        <x:f>IF(J215="","",INDEX(Frozen_Predictions!$M$4:$M$303,MATCH(A215,Frozen_Predictions!$A$4:$A$303,0)))</x:f>
      </x:c>
      <x:c r="U215" t="str">
        <x:f>IF(J215="","",INDEX(Frozen_Predictions!$W$4:$W$303,MATCH(A215,Frozen_Predictions!$A$4:$A$303,0)))</x:f>
      </x:c>
      <x:c r="V215" t="str">
        <x:f>IF(J215="","",INDEX(Frozen_Predictions!$X$4:$X$303,MATCH(A215,Frozen_Predictions!$A$4:$A$303,0)))</x:f>
      </x:c>
      <x:c r="W215" t="str">
        <x:f>IF(A215="","",IF(COUNTIF($A$4:$A$303,A215)&lt;&gt;1,"ID DUPLICAT",IF(COUNTIF(Frozen_Predictions!$A$4:$A$303,A215)&lt;&gt;1,"ID INEXISTENT SAU DUPLICAT ÎN FROZEN",IF(COUNT(K215:L215)&lt;2,"COMPLETEAZĂ SCORUL","VERIFICAT"))))</x:f>
      </x:c>
    </x:row>
    <x:row r="216">
      <x:c r="A216" s="141"/>
      <x:c r="B216" t="str">
        <x:f>IF(OR(A216="",COUNTIF(Frozen_Predictions!$A$4:$A$303,A216)&lt;&gt;1),"",INDEX(Frozen_Predictions!$C$4:$C$303,MATCH(A216,Frozen_Predictions!$A$4:$A$303,0)))</x:f>
      </x:c>
      <x:c r="C216" t="str">
        <x:f>IF(OR(A216="",COUNTIF(Frozen_Predictions!$A$4:$A$303,A216)&lt;&gt;1),"",INDEX(Frozen_Predictions!$E$4:$E$303,MATCH(A216,Frozen_Predictions!$A$4:$A$303,0)))</x:f>
      </x:c>
      <x:c r="D216" t="str">
        <x:f>IF(OR(A216="",COUNTIF(Frozen_Predictions!$A$4:$A$303,A216)&lt;&gt;1),"",INDEX(Frozen_Predictions!$F$4:$F$303,MATCH(A216,Frozen_Predictions!$A$4:$A$303,0)))</x:f>
      </x:c>
      <x:c r="E216" t="str">
        <x:f>IF(OR(A216="",COUNTIF(Frozen_Predictions!$A$4:$A$303,A216)&lt;&gt;1),"",INDEX(Frozen_Predictions!$G$4:$G$303,MATCH(A216,Frozen_Predictions!$A$4:$A$303,0)))</x:f>
      </x:c>
      <x:c r="F216" t="str">
        <x:f>IF(OR(A216="",COUNTIF(Frozen_Predictions!$A$4:$A$303,A216)&lt;&gt;1),"",INDEX(Frozen_Predictions!$H$4:$H$303,MATCH(A216,Frozen_Predictions!$A$4:$A$303,0)))</x:f>
      </x:c>
      <x:c r="G216" t="str">
        <x:f>IF(OR(A216="",COUNTIF(Frozen_Predictions!$A$4:$A$303,A216)&lt;&gt;1),"",INDEX(Frozen_Predictions!$I$4:$I$303,MATCH(A216,Frozen_Predictions!$A$4:$A$303,0)))</x:f>
      </x:c>
      <x:c r="H216" t="str">
        <x:f>IF(OR(A216="",COUNTIF(Frozen_Predictions!$A$4:$A$303,A216)&lt;&gt;1),"",INDEX(Frozen_Predictions!$J$4:$J$303,MATCH(A216,Frozen_Predictions!$A$4:$A$303,0)))</x:f>
      </x:c>
      <x:c r="I216" t="str">
        <x:f>IF(OR(A216="",COUNTIF(Frozen_Predictions!$A$4:$A$303,A216)&lt;&gt;1),"",INDEX(Frozen_Predictions!$K$4:$K$303,MATCH(A216,Frozen_Predictions!$A$4:$A$303,0)))</x:f>
      </x:c>
      <x:c r="J216" s="142" t="str">
        <x:f>IF(OR(A216="",G216="",COUNT(K216:M216)&lt;3,COUNTIF($A$4:$A$303,A216)&lt;&gt;1),"",IF(IF(M216+F216&gt;0,"1",IF(M216+F216=0,"X","2"))=G216&amp;"",1,0))</x:f>
      </x:c>
      <x:c r="K216" s="143"/>
      <x:c r="L216" s="143"/>
      <x:c r="M216" s="142" t="str">
        <x:f>IF(AND(A216&lt;&gt;"",COUNT(K216:L216)=2),K216-L216,"")</x:f>
      </x:c>
      <x:c r="N216" s="142" t="str">
        <x:f>IF(J216="","",IF(M216+F216=0,"YES","NO"))</x:f>
      </x:c>
      <x:c r="O216" t="str">
        <x:f>IF(J216="","",IF(J216=1,"WIN",IF(N216="YES","Exact margin M="&amp;ABS(F216),"Direction / tail")))</x:f>
      </x:c>
      <x:c r="P216" s="141"/>
      <x:c r="Q216" s="141"/>
      <x:c r="R216" s="144" t="str">
        <x:f>IF(OR(I216="",J216=""),"",(I216-J216)^2)</x:f>
      </x:c>
      <x:c r="S216" s="144" t="str">
        <x:f>IF(OR(I216="",J216=""),"",-(J216*LN(MAX(MIN(I216,0.999999),0.000001))+(1-J216)*LN(MAX(MIN(1-I216,0.999999),0.000001))))</x:f>
      </x:c>
      <x:c r="T216" t="str">
        <x:f>IF(J216="","",INDEX(Frozen_Predictions!$M$4:$M$303,MATCH(A216,Frozen_Predictions!$A$4:$A$303,0)))</x:f>
      </x:c>
      <x:c r="U216" t="str">
        <x:f>IF(J216="","",INDEX(Frozen_Predictions!$W$4:$W$303,MATCH(A216,Frozen_Predictions!$A$4:$A$303,0)))</x:f>
      </x:c>
      <x:c r="V216" t="str">
        <x:f>IF(J216="","",INDEX(Frozen_Predictions!$X$4:$X$303,MATCH(A216,Frozen_Predictions!$A$4:$A$303,0)))</x:f>
      </x:c>
      <x:c r="W216" t="str">
        <x:f>IF(A216="","",IF(COUNTIF($A$4:$A$303,A216)&lt;&gt;1,"ID DUPLICAT",IF(COUNTIF(Frozen_Predictions!$A$4:$A$303,A216)&lt;&gt;1,"ID INEXISTENT SAU DUPLICAT ÎN FROZEN",IF(COUNT(K216:L216)&lt;2,"COMPLETEAZĂ SCORUL","VERIFICAT"))))</x:f>
      </x:c>
    </x:row>
    <x:row r="217">
      <x:c r="A217" s="141"/>
      <x:c r="B217" t="str">
        <x:f>IF(OR(A217="",COUNTIF(Frozen_Predictions!$A$4:$A$303,A217)&lt;&gt;1),"",INDEX(Frozen_Predictions!$C$4:$C$303,MATCH(A217,Frozen_Predictions!$A$4:$A$303,0)))</x:f>
      </x:c>
      <x:c r="C217" t="str">
        <x:f>IF(OR(A217="",COUNTIF(Frozen_Predictions!$A$4:$A$303,A217)&lt;&gt;1),"",INDEX(Frozen_Predictions!$E$4:$E$303,MATCH(A217,Frozen_Predictions!$A$4:$A$303,0)))</x:f>
      </x:c>
      <x:c r="D217" t="str">
        <x:f>IF(OR(A217="",COUNTIF(Frozen_Predictions!$A$4:$A$303,A217)&lt;&gt;1),"",INDEX(Frozen_Predictions!$F$4:$F$303,MATCH(A217,Frozen_Predictions!$A$4:$A$303,0)))</x:f>
      </x:c>
      <x:c r="E217" t="str">
        <x:f>IF(OR(A217="",COUNTIF(Frozen_Predictions!$A$4:$A$303,A217)&lt;&gt;1),"",INDEX(Frozen_Predictions!$G$4:$G$303,MATCH(A217,Frozen_Predictions!$A$4:$A$303,0)))</x:f>
      </x:c>
      <x:c r="F217" t="str">
        <x:f>IF(OR(A217="",COUNTIF(Frozen_Predictions!$A$4:$A$303,A217)&lt;&gt;1),"",INDEX(Frozen_Predictions!$H$4:$H$303,MATCH(A217,Frozen_Predictions!$A$4:$A$303,0)))</x:f>
      </x:c>
      <x:c r="G217" t="str">
        <x:f>IF(OR(A217="",COUNTIF(Frozen_Predictions!$A$4:$A$303,A217)&lt;&gt;1),"",INDEX(Frozen_Predictions!$I$4:$I$303,MATCH(A217,Frozen_Predictions!$A$4:$A$303,0)))</x:f>
      </x:c>
      <x:c r="H217" t="str">
        <x:f>IF(OR(A217="",COUNTIF(Frozen_Predictions!$A$4:$A$303,A217)&lt;&gt;1),"",INDEX(Frozen_Predictions!$J$4:$J$303,MATCH(A217,Frozen_Predictions!$A$4:$A$303,0)))</x:f>
      </x:c>
      <x:c r="I217" t="str">
        <x:f>IF(OR(A217="",COUNTIF(Frozen_Predictions!$A$4:$A$303,A217)&lt;&gt;1),"",INDEX(Frozen_Predictions!$K$4:$K$303,MATCH(A217,Frozen_Predictions!$A$4:$A$303,0)))</x:f>
      </x:c>
      <x:c r="J217" s="142" t="str">
        <x:f>IF(OR(A217="",G217="",COUNT(K217:M217)&lt;3,COUNTIF($A$4:$A$303,A217)&lt;&gt;1),"",IF(IF(M217+F217&gt;0,"1",IF(M217+F217=0,"X","2"))=G217&amp;"",1,0))</x:f>
      </x:c>
      <x:c r="K217" s="143"/>
      <x:c r="L217" s="143"/>
      <x:c r="M217" s="142" t="str">
        <x:f>IF(AND(A217&lt;&gt;"",COUNT(K217:L217)=2),K217-L217,"")</x:f>
      </x:c>
      <x:c r="N217" s="142" t="str">
        <x:f>IF(J217="","",IF(M217+F217=0,"YES","NO"))</x:f>
      </x:c>
      <x:c r="O217" t="str">
        <x:f>IF(J217="","",IF(J217=1,"WIN",IF(N217="YES","Exact margin M="&amp;ABS(F217),"Direction / tail")))</x:f>
      </x:c>
      <x:c r="P217" s="141"/>
      <x:c r="Q217" s="141"/>
      <x:c r="R217" s="144" t="str">
        <x:f>IF(OR(I217="",J217=""),"",(I217-J217)^2)</x:f>
      </x:c>
      <x:c r="S217" s="144" t="str">
        <x:f>IF(OR(I217="",J217=""),"",-(J217*LN(MAX(MIN(I217,0.999999),0.000001))+(1-J217)*LN(MAX(MIN(1-I217,0.999999),0.000001))))</x:f>
      </x:c>
      <x:c r="T217" t="str">
        <x:f>IF(J217="","",INDEX(Frozen_Predictions!$M$4:$M$303,MATCH(A217,Frozen_Predictions!$A$4:$A$303,0)))</x:f>
      </x:c>
      <x:c r="U217" t="str">
        <x:f>IF(J217="","",INDEX(Frozen_Predictions!$W$4:$W$303,MATCH(A217,Frozen_Predictions!$A$4:$A$303,0)))</x:f>
      </x:c>
      <x:c r="V217" t="str">
        <x:f>IF(J217="","",INDEX(Frozen_Predictions!$X$4:$X$303,MATCH(A217,Frozen_Predictions!$A$4:$A$303,0)))</x:f>
      </x:c>
      <x:c r="W217" t="str">
        <x:f>IF(A217="","",IF(COUNTIF($A$4:$A$303,A217)&lt;&gt;1,"ID DUPLICAT",IF(COUNTIF(Frozen_Predictions!$A$4:$A$303,A217)&lt;&gt;1,"ID INEXISTENT SAU DUPLICAT ÎN FROZEN",IF(COUNT(K217:L217)&lt;2,"COMPLETEAZĂ SCORUL","VERIFICAT"))))</x:f>
      </x:c>
    </x:row>
    <x:row r="218">
      <x:c r="A218" s="141"/>
      <x:c r="B218" t="str">
        <x:f>IF(OR(A218="",COUNTIF(Frozen_Predictions!$A$4:$A$303,A218)&lt;&gt;1),"",INDEX(Frozen_Predictions!$C$4:$C$303,MATCH(A218,Frozen_Predictions!$A$4:$A$303,0)))</x:f>
      </x:c>
      <x:c r="C218" t="str">
        <x:f>IF(OR(A218="",COUNTIF(Frozen_Predictions!$A$4:$A$303,A218)&lt;&gt;1),"",INDEX(Frozen_Predictions!$E$4:$E$303,MATCH(A218,Frozen_Predictions!$A$4:$A$303,0)))</x:f>
      </x:c>
      <x:c r="D218" t="str">
        <x:f>IF(OR(A218="",COUNTIF(Frozen_Predictions!$A$4:$A$303,A218)&lt;&gt;1),"",INDEX(Frozen_Predictions!$F$4:$F$303,MATCH(A218,Frozen_Predictions!$A$4:$A$303,0)))</x:f>
      </x:c>
      <x:c r="E218" t="str">
        <x:f>IF(OR(A218="",COUNTIF(Frozen_Predictions!$A$4:$A$303,A218)&lt;&gt;1),"",INDEX(Frozen_Predictions!$G$4:$G$303,MATCH(A218,Frozen_Predictions!$A$4:$A$303,0)))</x:f>
      </x:c>
      <x:c r="F218" t="str">
        <x:f>IF(OR(A218="",COUNTIF(Frozen_Predictions!$A$4:$A$303,A218)&lt;&gt;1),"",INDEX(Frozen_Predictions!$H$4:$H$303,MATCH(A218,Frozen_Predictions!$A$4:$A$303,0)))</x:f>
      </x:c>
      <x:c r="G218" t="str">
        <x:f>IF(OR(A218="",COUNTIF(Frozen_Predictions!$A$4:$A$303,A218)&lt;&gt;1),"",INDEX(Frozen_Predictions!$I$4:$I$303,MATCH(A218,Frozen_Predictions!$A$4:$A$303,0)))</x:f>
      </x:c>
      <x:c r="H218" t="str">
        <x:f>IF(OR(A218="",COUNTIF(Frozen_Predictions!$A$4:$A$303,A218)&lt;&gt;1),"",INDEX(Frozen_Predictions!$J$4:$J$303,MATCH(A218,Frozen_Predictions!$A$4:$A$303,0)))</x:f>
      </x:c>
      <x:c r="I218" t="str">
        <x:f>IF(OR(A218="",COUNTIF(Frozen_Predictions!$A$4:$A$303,A218)&lt;&gt;1),"",INDEX(Frozen_Predictions!$K$4:$K$303,MATCH(A218,Frozen_Predictions!$A$4:$A$303,0)))</x:f>
      </x:c>
      <x:c r="J218" s="142" t="str">
        <x:f>IF(OR(A218="",G218="",COUNT(K218:M218)&lt;3,COUNTIF($A$4:$A$303,A218)&lt;&gt;1),"",IF(IF(M218+F218&gt;0,"1",IF(M218+F218=0,"X","2"))=G218&amp;"",1,0))</x:f>
      </x:c>
      <x:c r="K218" s="143"/>
      <x:c r="L218" s="143"/>
      <x:c r="M218" s="142" t="str">
        <x:f>IF(AND(A218&lt;&gt;"",COUNT(K218:L218)=2),K218-L218,"")</x:f>
      </x:c>
      <x:c r="N218" s="142" t="str">
        <x:f>IF(J218="","",IF(M218+F218=0,"YES","NO"))</x:f>
      </x:c>
      <x:c r="O218" t="str">
        <x:f>IF(J218="","",IF(J218=1,"WIN",IF(N218="YES","Exact margin M="&amp;ABS(F218),"Direction / tail")))</x:f>
      </x:c>
      <x:c r="P218" s="141"/>
      <x:c r="Q218" s="141"/>
      <x:c r="R218" s="144" t="str">
        <x:f>IF(OR(I218="",J218=""),"",(I218-J218)^2)</x:f>
      </x:c>
      <x:c r="S218" s="144" t="str">
        <x:f>IF(OR(I218="",J218=""),"",-(J218*LN(MAX(MIN(I218,0.999999),0.000001))+(1-J218)*LN(MAX(MIN(1-I218,0.999999),0.000001))))</x:f>
      </x:c>
      <x:c r="T218" t="str">
        <x:f>IF(J218="","",INDEX(Frozen_Predictions!$M$4:$M$303,MATCH(A218,Frozen_Predictions!$A$4:$A$303,0)))</x:f>
      </x:c>
      <x:c r="U218" t="str">
        <x:f>IF(J218="","",INDEX(Frozen_Predictions!$W$4:$W$303,MATCH(A218,Frozen_Predictions!$A$4:$A$303,0)))</x:f>
      </x:c>
      <x:c r="V218" t="str">
        <x:f>IF(J218="","",INDEX(Frozen_Predictions!$X$4:$X$303,MATCH(A218,Frozen_Predictions!$A$4:$A$303,0)))</x:f>
      </x:c>
      <x:c r="W218" t="str">
        <x:f>IF(A218="","",IF(COUNTIF($A$4:$A$303,A218)&lt;&gt;1,"ID DUPLICAT",IF(COUNTIF(Frozen_Predictions!$A$4:$A$303,A218)&lt;&gt;1,"ID INEXISTENT SAU DUPLICAT ÎN FROZEN",IF(COUNT(K218:L218)&lt;2,"COMPLETEAZĂ SCORUL","VERIFICAT"))))</x:f>
      </x:c>
    </x:row>
    <x:row r="219">
      <x:c r="A219" s="141"/>
      <x:c r="B219" t="str">
        <x:f>IF(OR(A219="",COUNTIF(Frozen_Predictions!$A$4:$A$303,A219)&lt;&gt;1),"",INDEX(Frozen_Predictions!$C$4:$C$303,MATCH(A219,Frozen_Predictions!$A$4:$A$303,0)))</x:f>
      </x:c>
      <x:c r="C219" t="str">
        <x:f>IF(OR(A219="",COUNTIF(Frozen_Predictions!$A$4:$A$303,A219)&lt;&gt;1),"",INDEX(Frozen_Predictions!$E$4:$E$303,MATCH(A219,Frozen_Predictions!$A$4:$A$303,0)))</x:f>
      </x:c>
      <x:c r="D219" t="str">
        <x:f>IF(OR(A219="",COUNTIF(Frozen_Predictions!$A$4:$A$303,A219)&lt;&gt;1),"",INDEX(Frozen_Predictions!$F$4:$F$303,MATCH(A219,Frozen_Predictions!$A$4:$A$303,0)))</x:f>
      </x:c>
      <x:c r="E219" t="str">
        <x:f>IF(OR(A219="",COUNTIF(Frozen_Predictions!$A$4:$A$303,A219)&lt;&gt;1),"",INDEX(Frozen_Predictions!$G$4:$G$303,MATCH(A219,Frozen_Predictions!$A$4:$A$303,0)))</x:f>
      </x:c>
      <x:c r="F219" t="str">
        <x:f>IF(OR(A219="",COUNTIF(Frozen_Predictions!$A$4:$A$303,A219)&lt;&gt;1),"",INDEX(Frozen_Predictions!$H$4:$H$303,MATCH(A219,Frozen_Predictions!$A$4:$A$303,0)))</x:f>
      </x:c>
      <x:c r="G219" t="str">
        <x:f>IF(OR(A219="",COUNTIF(Frozen_Predictions!$A$4:$A$303,A219)&lt;&gt;1),"",INDEX(Frozen_Predictions!$I$4:$I$303,MATCH(A219,Frozen_Predictions!$A$4:$A$303,0)))</x:f>
      </x:c>
      <x:c r="H219" t="str">
        <x:f>IF(OR(A219="",COUNTIF(Frozen_Predictions!$A$4:$A$303,A219)&lt;&gt;1),"",INDEX(Frozen_Predictions!$J$4:$J$303,MATCH(A219,Frozen_Predictions!$A$4:$A$303,0)))</x:f>
      </x:c>
      <x:c r="I219" t="str">
        <x:f>IF(OR(A219="",COUNTIF(Frozen_Predictions!$A$4:$A$303,A219)&lt;&gt;1),"",INDEX(Frozen_Predictions!$K$4:$K$303,MATCH(A219,Frozen_Predictions!$A$4:$A$303,0)))</x:f>
      </x:c>
      <x:c r="J219" s="142" t="str">
        <x:f>IF(OR(A219="",G219="",COUNT(K219:M219)&lt;3,COUNTIF($A$4:$A$303,A219)&lt;&gt;1),"",IF(IF(M219+F219&gt;0,"1",IF(M219+F219=0,"X","2"))=G219&amp;"",1,0))</x:f>
      </x:c>
      <x:c r="K219" s="143"/>
      <x:c r="L219" s="143"/>
      <x:c r="M219" s="142" t="str">
        <x:f>IF(AND(A219&lt;&gt;"",COUNT(K219:L219)=2),K219-L219,"")</x:f>
      </x:c>
      <x:c r="N219" s="142" t="str">
        <x:f>IF(J219="","",IF(M219+F219=0,"YES","NO"))</x:f>
      </x:c>
      <x:c r="O219" t="str">
        <x:f>IF(J219="","",IF(J219=1,"WIN",IF(N219="YES","Exact margin M="&amp;ABS(F219),"Direction / tail")))</x:f>
      </x:c>
      <x:c r="P219" s="141"/>
      <x:c r="Q219" s="141"/>
      <x:c r="R219" s="144" t="str">
        <x:f>IF(OR(I219="",J219=""),"",(I219-J219)^2)</x:f>
      </x:c>
      <x:c r="S219" s="144" t="str">
        <x:f>IF(OR(I219="",J219=""),"",-(J219*LN(MAX(MIN(I219,0.999999),0.000001))+(1-J219)*LN(MAX(MIN(1-I219,0.999999),0.000001))))</x:f>
      </x:c>
      <x:c r="T219" t="str">
        <x:f>IF(J219="","",INDEX(Frozen_Predictions!$M$4:$M$303,MATCH(A219,Frozen_Predictions!$A$4:$A$303,0)))</x:f>
      </x:c>
      <x:c r="U219" t="str">
        <x:f>IF(J219="","",INDEX(Frozen_Predictions!$W$4:$W$303,MATCH(A219,Frozen_Predictions!$A$4:$A$303,0)))</x:f>
      </x:c>
      <x:c r="V219" t="str">
        <x:f>IF(J219="","",INDEX(Frozen_Predictions!$X$4:$X$303,MATCH(A219,Frozen_Predictions!$A$4:$A$303,0)))</x:f>
      </x:c>
      <x:c r="W219" t="str">
        <x:f>IF(A219="","",IF(COUNTIF($A$4:$A$303,A219)&lt;&gt;1,"ID DUPLICAT",IF(COUNTIF(Frozen_Predictions!$A$4:$A$303,A219)&lt;&gt;1,"ID INEXISTENT SAU DUPLICAT ÎN FROZEN",IF(COUNT(K219:L219)&lt;2,"COMPLETEAZĂ SCORUL","VERIFICAT"))))</x:f>
      </x:c>
    </x:row>
    <x:row r="220">
      <x:c r="A220" s="141"/>
      <x:c r="B220" t="str">
        <x:f>IF(OR(A220="",COUNTIF(Frozen_Predictions!$A$4:$A$303,A220)&lt;&gt;1),"",INDEX(Frozen_Predictions!$C$4:$C$303,MATCH(A220,Frozen_Predictions!$A$4:$A$303,0)))</x:f>
      </x:c>
      <x:c r="C220" t="str">
        <x:f>IF(OR(A220="",COUNTIF(Frozen_Predictions!$A$4:$A$303,A220)&lt;&gt;1),"",INDEX(Frozen_Predictions!$E$4:$E$303,MATCH(A220,Frozen_Predictions!$A$4:$A$303,0)))</x:f>
      </x:c>
      <x:c r="D220" t="str">
        <x:f>IF(OR(A220="",COUNTIF(Frozen_Predictions!$A$4:$A$303,A220)&lt;&gt;1),"",INDEX(Frozen_Predictions!$F$4:$F$303,MATCH(A220,Frozen_Predictions!$A$4:$A$303,0)))</x:f>
      </x:c>
      <x:c r="E220" t="str">
        <x:f>IF(OR(A220="",COUNTIF(Frozen_Predictions!$A$4:$A$303,A220)&lt;&gt;1),"",INDEX(Frozen_Predictions!$G$4:$G$303,MATCH(A220,Frozen_Predictions!$A$4:$A$303,0)))</x:f>
      </x:c>
      <x:c r="F220" t="str">
        <x:f>IF(OR(A220="",COUNTIF(Frozen_Predictions!$A$4:$A$303,A220)&lt;&gt;1),"",INDEX(Frozen_Predictions!$H$4:$H$303,MATCH(A220,Frozen_Predictions!$A$4:$A$303,0)))</x:f>
      </x:c>
      <x:c r="G220" t="str">
        <x:f>IF(OR(A220="",COUNTIF(Frozen_Predictions!$A$4:$A$303,A220)&lt;&gt;1),"",INDEX(Frozen_Predictions!$I$4:$I$303,MATCH(A220,Frozen_Predictions!$A$4:$A$303,0)))</x:f>
      </x:c>
      <x:c r="H220" t="str">
        <x:f>IF(OR(A220="",COUNTIF(Frozen_Predictions!$A$4:$A$303,A220)&lt;&gt;1),"",INDEX(Frozen_Predictions!$J$4:$J$303,MATCH(A220,Frozen_Predictions!$A$4:$A$303,0)))</x:f>
      </x:c>
      <x:c r="I220" t="str">
        <x:f>IF(OR(A220="",COUNTIF(Frozen_Predictions!$A$4:$A$303,A220)&lt;&gt;1),"",INDEX(Frozen_Predictions!$K$4:$K$303,MATCH(A220,Frozen_Predictions!$A$4:$A$303,0)))</x:f>
      </x:c>
      <x:c r="J220" s="142" t="str">
        <x:f>IF(OR(A220="",G220="",COUNT(K220:M220)&lt;3,COUNTIF($A$4:$A$303,A220)&lt;&gt;1),"",IF(IF(M220+F220&gt;0,"1",IF(M220+F220=0,"X","2"))=G220&amp;"",1,0))</x:f>
      </x:c>
      <x:c r="K220" s="143"/>
      <x:c r="L220" s="143"/>
      <x:c r="M220" s="142" t="str">
        <x:f>IF(AND(A220&lt;&gt;"",COUNT(K220:L220)=2),K220-L220,"")</x:f>
      </x:c>
      <x:c r="N220" s="142" t="str">
        <x:f>IF(J220="","",IF(M220+F220=0,"YES","NO"))</x:f>
      </x:c>
      <x:c r="O220" t="str">
        <x:f>IF(J220="","",IF(J220=1,"WIN",IF(N220="YES","Exact margin M="&amp;ABS(F220),"Direction / tail")))</x:f>
      </x:c>
      <x:c r="P220" s="141"/>
      <x:c r="Q220" s="141"/>
      <x:c r="R220" s="144" t="str">
        <x:f>IF(OR(I220="",J220=""),"",(I220-J220)^2)</x:f>
      </x:c>
      <x:c r="S220" s="144" t="str">
        <x:f>IF(OR(I220="",J220=""),"",-(J220*LN(MAX(MIN(I220,0.999999),0.000001))+(1-J220)*LN(MAX(MIN(1-I220,0.999999),0.000001))))</x:f>
      </x:c>
      <x:c r="T220" t="str">
        <x:f>IF(J220="","",INDEX(Frozen_Predictions!$M$4:$M$303,MATCH(A220,Frozen_Predictions!$A$4:$A$303,0)))</x:f>
      </x:c>
      <x:c r="U220" t="str">
        <x:f>IF(J220="","",INDEX(Frozen_Predictions!$W$4:$W$303,MATCH(A220,Frozen_Predictions!$A$4:$A$303,0)))</x:f>
      </x:c>
      <x:c r="V220" t="str">
        <x:f>IF(J220="","",INDEX(Frozen_Predictions!$X$4:$X$303,MATCH(A220,Frozen_Predictions!$A$4:$A$303,0)))</x:f>
      </x:c>
      <x:c r="W220" t="str">
        <x:f>IF(A220="","",IF(COUNTIF($A$4:$A$303,A220)&lt;&gt;1,"ID DUPLICAT",IF(COUNTIF(Frozen_Predictions!$A$4:$A$303,A220)&lt;&gt;1,"ID INEXISTENT SAU DUPLICAT ÎN FROZEN",IF(COUNT(K220:L220)&lt;2,"COMPLETEAZĂ SCORUL","VERIFICAT"))))</x:f>
      </x:c>
    </x:row>
    <x:row r="221">
      <x:c r="A221" s="141"/>
      <x:c r="B221" t="str">
        <x:f>IF(OR(A221="",COUNTIF(Frozen_Predictions!$A$4:$A$303,A221)&lt;&gt;1),"",INDEX(Frozen_Predictions!$C$4:$C$303,MATCH(A221,Frozen_Predictions!$A$4:$A$303,0)))</x:f>
      </x:c>
      <x:c r="C221" t="str">
        <x:f>IF(OR(A221="",COUNTIF(Frozen_Predictions!$A$4:$A$303,A221)&lt;&gt;1),"",INDEX(Frozen_Predictions!$E$4:$E$303,MATCH(A221,Frozen_Predictions!$A$4:$A$303,0)))</x:f>
      </x:c>
      <x:c r="D221" t="str">
        <x:f>IF(OR(A221="",COUNTIF(Frozen_Predictions!$A$4:$A$303,A221)&lt;&gt;1),"",INDEX(Frozen_Predictions!$F$4:$F$303,MATCH(A221,Frozen_Predictions!$A$4:$A$303,0)))</x:f>
      </x:c>
      <x:c r="E221" t="str">
        <x:f>IF(OR(A221="",COUNTIF(Frozen_Predictions!$A$4:$A$303,A221)&lt;&gt;1),"",INDEX(Frozen_Predictions!$G$4:$G$303,MATCH(A221,Frozen_Predictions!$A$4:$A$303,0)))</x:f>
      </x:c>
      <x:c r="F221" t="str">
        <x:f>IF(OR(A221="",COUNTIF(Frozen_Predictions!$A$4:$A$303,A221)&lt;&gt;1),"",INDEX(Frozen_Predictions!$H$4:$H$303,MATCH(A221,Frozen_Predictions!$A$4:$A$303,0)))</x:f>
      </x:c>
      <x:c r="G221" t="str">
        <x:f>IF(OR(A221="",COUNTIF(Frozen_Predictions!$A$4:$A$303,A221)&lt;&gt;1),"",INDEX(Frozen_Predictions!$I$4:$I$303,MATCH(A221,Frozen_Predictions!$A$4:$A$303,0)))</x:f>
      </x:c>
      <x:c r="H221" t="str">
        <x:f>IF(OR(A221="",COUNTIF(Frozen_Predictions!$A$4:$A$303,A221)&lt;&gt;1),"",INDEX(Frozen_Predictions!$J$4:$J$303,MATCH(A221,Frozen_Predictions!$A$4:$A$303,0)))</x:f>
      </x:c>
      <x:c r="I221" t="str">
        <x:f>IF(OR(A221="",COUNTIF(Frozen_Predictions!$A$4:$A$303,A221)&lt;&gt;1),"",INDEX(Frozen_Predictions!$K$4:$K$303,MATCH(A221,Frozen_Predictions!$A$4:$A$303,0)))</x:f>
      </x:c>
      <x:c r="J221" s="142" t="str">
        <x:f>IF(OR(A221="",G221="",COUNT(K221:M221)&lt;3,COUNTIF($A$4:$A$303,A221)&lt;&gt;1),"",IF(IF(M221+F221&gt;0,"1",IF(M221+F221=0,"X","2"))=G221&amp;"",1,0))</x:f>
      </x:c>
      <x:c r="K221" s="143"/>
      <x:c r="L221" s="143"/>
      <x:c r="M221" s="142" t="str">
        <x:f>IF(AND(A221&lt;&gt;"",COUNT(K221:L221)=2),K221-L221,"")</x:f>
      </x:c>
      <x:c r="N221" s="142" t="str">
        <x:f>IF(J221="","",IF(M221+F221=0,"YES","NO"))</x:f>
      </x:c>
      <x:c r="O221" t="str">
        <x:f>IF(J221="","",IF(J221=1,"WIN",IF(N221="YES","Exact margin M="&amp;ABS(F221),"Direction / tail")))</x:f>
      </x:c>
      <x:c r="P221" s="141"/>
      <x:c r="Q221" s="141"/>
      <x:c r="R221" s="144" t="str">
        <x:f>IF(OR(I221="",J221=""),"",(I221-J221)^2)</x:f>
      </x:c>
      <x:c r="S221" s="144" t="str">
        <x:f>IF(OR(I221="",J221=""),"",-(J221*LN(MAX(MIN(I221,0.999999),0.000001))+(1-J221)*LN(MAX(MIN(1-I221,0.999999),0.000001))))</x:f>
      </x:c>
      <x:c r="T221" t="str">
        <x:f>IF(J221="","",INDEX(Frozen_Predictions!$M$4:$M$303,MATCH(A221,Frozen_Predictions!$A$4:$A$303,0)))</x:f>
      </x:c>
      <x:c r="U221" t="str">
        <x:f>IF(J221="","",INDEX(Frozen_Predictions!$W$4:$W$303,MATCH(A221,Frozen_Predictions!$A$4:$A$303,0)))</x:f>
      </x:c>
      <x:c r="V221" t="str">
        <x:f>IF(J221="","",INDEX(Frozen_Predictions!$X$4:$X$303,MATCH(A221,Frozen_Predictions!$A$4:$A$303,0)))</x:f>
      </x:c>
      <x:c r="W221" t="str">
        <x:f>IF(A221="","",IF(COUNTIF($A$4:$A$303,A221)&lt;&gt;1,"ID DUPLICAT",IF(COUNTIF(Frozen_Predictions!$A$4:$A$303,A221)&lt;&gt;1,"ID INEXISTENT SAU DUPLICAT ÎN FROZEN",IF(COUNT(K221:L221)&lt;2,"COMPLETEAZĂ SCORUL","VERIFICAT"))))</x:f>
      </x:c>
    </x:row>
    <x:row r="222">
      <x:c r="A222" s="141"/>
      <x:c r="B222" t="str">
        <x:f>IF(OR(A222="",COUNTIF(Frozen_Predictions!$A$4:$A$303,A222)&lt;&gt;1),"",INDEX(Frozen_Predictions!$C$4:$C$303,MATCH(A222,Frozen_Predictions!$A$4:$A$303,0)))</x:f>
      </x:c>
      <x:c r="C222" t="str">
        <x:f>IF(OR(A222="",COUNTIF(Frozen_Predictions!$A$4:$A$303,A222)&lt;&gt;1),"",INDEX(Frozen_Predictions!$E$4:$E$303,MATCH(A222,Frozen_Predictions!$A$4:$A$303,0)))</x:f>
      </x:c>
      <x:c r="D222" t="str">
        <x:f>IF(OR(A222="",COUNTIF(Frozen_Predictions!$A$4:$A$303,A222)&lt;&gt;1),"",INDEX(Frozen_Predictions!$F$4:$F$303,MATCH(A222,Frozen_Predictions!$A$4:$A$303,0)))</x:f>
      </x:c>
      <x:c r="E222" t="str">
        <x:f>IF(OR(A222="",COUNTIF(Frozen_Predictions!$A$4:$A$303,A222)&lt;&gt;1),"",INDEX(Frozen_Predictions!$G$4:$G$303,MATCH(A222,Frozen_Predictions!$A$4:$A$303,0)))</x:f>
      </x:c>
      <x:c r="F222" t="str">
        <x:f>IF(OR(A222="",COUNTIF(Frozen_Predictions!$A$4:$A$303,A222)&lt;&gt;1),"",INDEX(Frozen_Predictions!$H$4:$H$303,MATCH(A222,Frozen_Predictions!$A$4:$A$303,0)))</x:f>
      </x:c>
      <x:c r="G222" t="str">
        <x:f>IF(OR(A222="",COUNTIF(Frozen_Predictions!$A$4:$A$303,A222)&lt;&gt;1),"",INDEX(Frozen_Predictions!$I$4:$I$303,MATCH(A222,Frozen_Predictions!$A$4:$A$303,0)))</x:f>
      </x:c>
      <x:c r="H222" t="str">
        <x:f>IF(OR(A222="",COUNTIF(Frozen_Predictions!$A$4:$A$303,A222)&lt;&gt;1),"",INDEX(Frozen_Predictions!$J$4:$J$303,MATCH(A222,Frozen_Predictions!$A$4:$A$303,0)))</x:f>
      </x:c>
      <x:c r="I222" t="str">
        <x:f>IF(OR(A222="",COUNTIF(Frozen_Predictions!$A$4:$A$303,A222)&lt;&gt;1),"",INDEX(Frozen_Predictions!$K$4:$K$303,MATCH(A222,Frozen_Predictions!$A$4:$A$303,0)))</x:f>
      </x:c>
      <x:c r="J222" s="142" t="str">
        <x:f>IF(OR(A222="",G222="",COUNT(K222:M222)&lt;3,COUNTIF($A$4:$A$303,A222)&lt;&gt;1),"",IF(IF(M222+F222&gt;0,"1",IF(M222+F222=0,"X","2"))=G222&amp;"",1,0))</x:f>
      </x:c>
      <x:c r="K222" s="143"/>
      <x:c r="L222" s="143"/>
      <x:c r="M222" s="142" t="str">
        <x:f>IF(AND(A222&lt;&gt;"",COUNT(K222:L222)=2),K222-L222,"")</x:f>
      </x:c>
      <x:c r="N222" s="142" t="str">
        <x:f>IF(J222="","",IF(M222+F222=0,"YES","NO"))</x:f>
      </x:c>
      <x:c r="O222" t="str">
        <x:f>IF(J222="","",IF(J222=1,"WIN",IF(N222="YES","Exact margin M="&amp;ABS(F222),"Direction / tail")))</x:f>
      </x:c>
      <x:c r="P222" s="141"/>
      <x:c r="Q222" s="141"/>
      <x:c r="R222" s="144" t="str">
        <x:f>IF(OR(I222="",J222=""),"",(I222-J222)^2)</x:f>
      </x:c>
      <x:c r="S222" s="144" t="str">
        <x:f>IF(OR(I222="",J222=""),"",-(J222*LN(MAX(MIN(I222,0.999999),0.000001))+(1-J222)*LN(MAX(MIN(1-I222,0.999999),0.000001))))</x:f>
      </x:c>
      <x:c r="T222" t="str">
        <x:f>IF(J222="","",INDEX(Frozen_Predictions!$M$4:$M$303,MATCH(A222,Frozen_Predictions!$A$4:$A$303,0)))</x:f>
      </x:c>
      <x:c r="U222" t="str">
        <x:f>IF(J222="","",INDEX(Frozen_Predictions!$W$4:$W$303,MATCH(A222,Frozen_Predictions!$A$4:$A$303,0)))</x:f>
      </x:c>
      <x:c r="V222" t="str">
        <x:f>IF(J222="","",INDEX(Frozen_Predictions!$X$4:$X$303,MATCH(A222,Frozen_Predictions!$A$4:$A$303,0)))</x:f>
      </x:c>
      <x:c r="W222" t="str">
        <x:f>IF(A222="","",IF(COUNTIF($A$4:$A$303,A222)&lt;&gt;1,"ID DUPLICAT",IF(COUNTIF(Frozen_Predictions!$A$4:$A$303,A222)&lt;&gt;1,"ID INEXISTENT SAU DUPLICAT ÎN FROZEN",IF(COUNT(K222:L222)&lt;2,"COMPLETEAZĂ SCORUL","VERIFICAT"))))</x:f>
      </x:c>
    </x:row>
    <x:row r="223">
      <x:c r="A223" s="141"/>
      <x:c r="B223" t="str">
        <x:f>IF(OR(A223="",COUNTIF(Frozen_Predictions!$A$4:$A$303,A223)&lt;&gt;1),"",INDEX(Frozen_Predictions!$C$4:$C$303,MATCH(A223,Frozen_Predictions!$A$4:$A$303,0)))</x:f>
      </x:c>
      <x:c r="C223" t="str">
        <x:f>IF(OR(A223="",COUNTIF(Frozen_Predictions!$A$4:$A$303,A223)&lt;&gt;1),"",INDEX(Frozen_Predictions!$E$4:$E$303,MATCH(A223,Frozen_Predictions!$A$4:$A$303,0)))</x:f>
      </x:c>
      <x:c r="D223" t="str">
        <x:f>IF(OR(A223="",COUNTIF(Frozen_Predictions!$A$4:$A$303,A223)&lt;&gt;1),"",INDEX(Frozen_Predictions!$F$4:$F$303,MATCH(A223,Frozen_Predictions!$A$4:$A$303,0)))</x:f>
      </x:c>
      <x:c r="E223" t="str">
        <x:f>IF(OR(A223="",COUNTIF(Frozen_Predictions!$A$4:$A$303,A223)&lt;&gt;1),"",INDEX(Frozen_Predictions!$G$4:$G$303,MATCH(A223,Frozen_Predictions!$A$4:$A$303,0)))</x:f>
      </x:c>
      <x:c r="F223" t="str">
        <x:f>IF(OR(A223="",COUNTIF(Frozen_Predictions!$A$4:$A$303,A223)&lt;&gt;1),"",INDEX(Frozen_Predictions!$H$4:$H$303,MATCH(A223,Frozen_Predictions!$A$4:$A$303,0)))</x:f>
      </x:c>
      <x:c r="G223" t="str">
        <x:f>IF(OR(A223="",COUNTIF(Frozen_Predictions!$A$4:$A$303,A223)&lt;&gt;1),"",INDEX(Frozen_Predictions!$I$4:$I$303,MATCH(A223,Frozen_Predictions!$A$4:$A$303,0)))</x:f>
      </x:c>
      <x:c r="H223" t="str">
        <x:f>IF(OR(A223="",COUNTIF(Frozen_Predictions!$A$4:$A$303,A223)&lt;&gt;1),"",INDEX(Frozen_Predictions!$J$4:$J$303,MATCH(A223,Frozen_Predictions!$A$4:$A$303,0)))</x:f>
      </x:c>
      <x:c r="I223" t="str">
        <x:f>IF(OR(A223="",COUNTIF(Frozen_Predictions!$A$4:$A$303,A223)&lt;&gt;1),"",INDEX(Frozen_Predictions!$K$4:$K$303,MATCH(A223,Frozen_Predictions!$A$4:$A$303,0)))</x:f>
      </x:c>
      <x:c r="J223" s="142" t="str">
        <x:f>IF(OR(A223="",G223="",COUNT(K223:M223)&lt;3,COUNTIF($A$4:$A$303,A223)&lt;&gt;1),"",IF(IF(M223+F223&gt;0,"1",IF(M223+F223=0,"X","2"))=G223&amp;"",1,0))</x:f>
      </x:c>
      <x:c r="K223" s="143"/>
      <x:c r="L223" s="143"/>
      <x:c r="M223" s="142" t="str">
        <x:f>IF(AND(A223&lt;&gt;"",COUNT(K223:L223)=2),K223-L223,"")</x:f>
      </x:c>
      <x:c r="N223" s="142" t="str">
        <x:f>IF(J223="","",IF(M223+F223=0,"YES","NO"))</x:f>
      </x:c>
      <x:c r="O223" t="str">
        <x:f>IF(J223="","",IF(J223=1,"WIN",IF(N223="YES","Exact margin M="&amp;ABS(F223),"Direction / tail")))</x:f>
      </x:c>
      <x:c r="P223" s="141"/>
      <x:c r="Q223" s="141"/>
      <x:c r="R223" s="144" t="str">
        <x:f>IF(OR(I223="",J223=""),"",(I223-J223)^2)</x:f>
      </x:c>
      <x:c r="S223" s="144" t="str">
        <x:f>IF(OR(I223="",J223=""),"",-(J223*LN(MAX(MIN(I223,0.999999),0.000001))+(1-J223)*LN(MAX(MIN(1-I223,0.999999),0.000001))))</x:f>
      </x:c>
      <x:c r="T223" t="str">
        <x:f>IF(J223="","",INDEX(Frozen_Predictions!$M$4:$M$303,MATCH(A223,Frozen_Predictions!$A$4:$A$303,0)))</x:f>
      </x:c>
      <x:c r="U223" t="str">
        <x:f>IF(J223="","",INDEX(Frozen_Predictions!$W$4:$W$303,MATCH(A223,Frozen_Predictions!$A$4:$A$303,0)))</x:f>
      </x:c>
      <x:c r="V223" t="str">
        <x:f>IF(J223="","",INDEX(Frozen_Predictions!$X$4:$X$303,MATCH(A223,Frozen_Predictions!$A$4:$A$303,0)))</x:f>
      </x:c>
      <x:c r="W223" t="str">
        <x:f>IF(A223="","",IF(COUNTIF($A$4:$A$303,A223)&lt;&gt;1,"ID DUPLICAT",IF(COUNTIF(Frozen_Predictions!$A$4:$A$303,A223)&lt;&gt;1,"ID INEXISTENT SAU DUPLICAT ÎN FROZEN",IF(COUNT(K223:L223)&lt;2,"COMPLETEAZĂ SCORUL","VERIFICAT"))))</x:f>
      </x:c>
    </x:row>
    <x:row r="224">
      <x:c r="A224" s="141"/>
      <x:c r="B224" t="str">
        <x:f>IF(OR(A224="",COUNTIF(Frozen_Predictions!$A$4:$A$303,A224)&lt;&gt;1),"",INDEX(Frozen_Predictions!$C$4:$C$303,MATCH(A224,Frozen_Predictions!$A$4:$A$303,0)))</x:f>
      </x:c>
      <x:c r="C224" t="str">
        <x:f>IF(OR(A224="",COUNTIF(Frozen_Predictions!$A$4:$A$303,A224)&lt;&gt;1),"",INDEX(Frozen_Predictions!$E$4:$E$303,MATCH(A224,Frozen_Predictions!$A$4:$A$303,0)))</x:f>
      </x:c>
      <x:c r="D224" t="str">
        <x:f>IF(OR(A224="",COUNTIF(Frozen_Predictions!$A$4:$A$303,A224)&lt;&gt;1),"",INDEX(Frozen_Predictions!$F$4:$F$303,MATCH(A224,Frozen_Predictions!$A$4:$A$303,0)))</x:f>
      </x:c>
      <x:c r="E224" t="str">
        <x:f>IF(OR(A224="",COUNTIF(Frozen_Predictions!$A$4:$A$303,A224)&lt;&gt;1),"",INDEX(Frozen_Predictions!$G$4:$G$303,MATCH(A224,Frozen_Predictions!$A$4:$A$303,0)))</x:f>
      </x:c>
      <x:c r="F224" t="str">
        <x:f>IF(OR(A224="",COUNTIF(Frozen_Predictions!$A$4:$A$303,A224)&lt;&gt;1),"",INDEX(Frozen_Predictions!$H$4:$H$303,MATCH(A224,Frozen_Predictions!$A$4:$A$303,0)))</x:f>
      </x:c>
      <x:c r="G224" t="str">
        <x:f>IF(OR(A224="",COUNTIF(Frozen_Predictions!$A$4:$A$303,A224)&lt;&gt;1),"",INDEX(Frozen_Predictions!$I$4:$I$303,MATCH(A224,Frozen_Predictions!$A$4:$A$303,0)))</x:f>
      </x:c>
      <x:c r="H224" t="str">
        <x:f>IF(OR(A224="",COUNTIF(Frozen_Predictions!$A$4:$A$303,A224)&lt;&gt;1),"",INDEX(Frozen_Predictions!$J$4:$J$303,MATCH(A224,Frozen_Predictions!$A$4:$A$303,0)))</x:f>
      </x:c>
      <x:c r="I224" t="str">
        <x:f>IF(OR(A224="",COUNTIF(Frozen_Predictions!$A$4:$A$303,A224)&lt;&gt;1),"",INDEX(Frozen_Predictions!$K$4:$K$303,MATCH(A224,Frozen_Predictions!$A$4:$A$303,0)))</x:f>
      </x:c>
      <x:c r="J224" s="142" t="str">
        <x:f>IF(OR(A224="",G224="",COUNT(K224:M224)&lt;3,COUNTIF($A$4:$A$303,A224)&lt;&gt;1),"",IF(IF(M224+F224&gt;0,"1",IF(M224+F224=0,"X","2"))=G224&amp;"",1,0))</x:f>
      </x:c>
      <x:c r="K224" s="143"/>
      <x:c r="L224" s="143"/>
      <x:c r="M224" s="142" t="str">
        <x:f>IF(AND(A224&lt;&gt;"",COUNT(K224:L224)=2),K224-L224,"")</x:f>
      </x:c>
      <x:c r="N224" s="142" t="str">
        <x:f>IF(J224="","",IF(M224+F224=0,"YES","NO"))</x:f>
      </x:c>
      <x:c r="O224" t="str">
        <x:f>IF(J224="","",IF(J224=1,"WIN",IF(N224="YES","Exact margin M="&amp;ABS(F224),"Direction / tail")))</x:f>
      </x:c>
      <x:c r="P224" s="141"/>
      <x:c r="Q224" s="141"/>
      <x:c r="R224" s="144" t="str">
        <x:f>IF(OR(I224="",J224=""),"",(I224-J224)^2)</x:f>
      </x:c>
      <x:c r="S224" s="144" t="str">
        <x:f>IF(OR(I224="",J224=""),"",-(J224*LN(MAX(MIN(I224,0.999999),0.000001))+(1-J224)*LN(MAX(MIN(1-I224,0.999999),0.000001))))</x:f>
      </x:c>
      <x:c r="T224" t="str">
        <x:f>IF(J224="","",INDEX(Frozen_Predictions!$M$4:$M$303,MATCH(A224,Frozen_Predictions!$A$4:$A$303,0)))</x:f>
      </x:c>
      <x:c r="U224" t="str">
        <x:f>IF(J224="","",INDEX(Frozen_Predictions!$W$4:$W$303,MATCH(A224,Frozen_Predictions!$A$4:$A$303,0)))</x:f>
      </x:c>
      <x:c r="V224" t="str">
        <x:f>IF(J224="","",INDEX(Frozen_Predictions!$X$4:$X$303,MATCH(A224,Frozen_Predictions!$A$4:$A$303,0)))</x:f>
      </x:c>
      <x:c r="W224" t="str">
        <x:f>IF(A224="","",IF(COUNTIF($A$4:$A$303,A224)&lt;&gt;1,"ID DUPLICAT",IF(COUNTIF(Frozen_Predictions!$A$4:$A$303,A224)&lt;&gt;1,"ID INEXISTENT SAU DUPLICAT ÎN FROZEN",IF(COUNT(K224:L224)&lt;2,"COMPLETEAZĂ SCORUL","VERIFICAT"))))</x:f>
      </x:c>
    </x:row>
    <x:row r="225">
      <x:c r="A225" s="141"/>
      <x:c r="B225" t="str">
        <x:f>IF(OR(A225="",COUNTIF(Frozen_Predictions!$A$4:$A$303,A225)&lt;&gt;1),"",INDEX(Frozen_Predictions!$C$4:$C$303,MATCH(A225,Frozen_Predictions!$A$4:$A$303,0)))</x:f>
      </x:c>
      <x:c r="C225" t="str">
        <x:f>IF(OR(A225="",COUNTIF(Frozen_Predictions!$A$4:$A$303,A225)&lt;&gt;1),"",INDEX(Frozen_Predictions!$E$4:$E$303,MATCH(A225,Frozen_Predictions!$A$4:$A$303,0)))</x:f>
      </x:c>
      <x:c r="D225" t="str">
        <x:f>IF(OR(A225="",COUNTIF(Frozen_Predictions!$A$4:$A$303,A225)&lt;&gt;1),"",INDEX(Frozen_Predictions!$F$4:$F$303,MATCH(A225,Frozen_Predictions!$A$4:$A$303,0)))</x:f>
      </x:c>
      <x:c r="E225" t="str">
        <x:f>IF(OR(A225="",COUNTIF(Frozen_Predictions!$A$4:$A$303,A225)&lt;&gt;1),"",INDEX(Frozen_Predictions!$G$4:$G$303,MATCH(A225,Frozen_Predictions!$A$4:$A$303,0)))</x:f>
      </x:c>
      <x:c r="F225" t="str">
        <x:f>IF(OR(A225="",COUNTIF(Frozen_Predictions!$A$4:$A$303,A225)&lt;&gt;1),"",INDEX(Frozen_Predictions!$H$4:$H$303,MATCH(A225,Frozen_Predictions!$A$4:$A$303,0)))</x:f>
      </x:c>
      <x:c r="G225" t="str">
        <x:f>IF(OR(A225="",COUNTIF(Frozen_Predictions!$A$4:$A$303,A225)&lt;&gt;1),"",INDEX(Frozen_Predictions!$I$4:$I$303,MATCH(A225,Frozen_Predictions!$A$4:$A$303,0)))</x:f>
      </x:c>
      <x:c r="H225" t="str">
        <x:f>IF(OR(A225="",COUNTIF(Frozen_Predictions!$A$4:$A$303,A225)&lt;&gt;1),"",INDEX(Frozen_Predictions!$J$4:$J$303,MATCH(A225,Frozen_Predictions!$A$4:$A$303,0)))</x:f>
      </x:c>
      <x:c r="I225" t="str">
        <x:f>IF(OR(A225="",COUNTIF(Frozen_Predictions!$A$4:$A$303,A225)&lt;&gt;1),"",INDEX(Frozen_Predictions!$K$4:$K$303,MATCH(A225,Frozen_Predictions!$A$4:$A$303,0)))</x:f>
      </x:c>
      <x:c r="J225" s="142" t="str">
        <x:f>IF(OR(A225="",G225="",COUNT(K225:M225)&lt;3,COUNTIF($A$4:$A$303,A225)&lt;&gt;1),"",IF(IF(M225+F225&gt;0,"1",IF(M225+F225=0,"X","2"))=G225&amp;"",1,0))</x:f>
      </x:c>
      <x:c r="K225" s="143"/>
      <x:c r="L225" s="143"/>
      <x:c r="M225" s="142" t="str">
        <x:f>IF(AND(A225&lt;&gt;"",COUNT(K225:L225)=2),K225-L225,"")</x:f>
      </x:c>
      <x:c r="N225" s="142" t="str">
        <x:f>IF(J225="","",IF(M225+F225=0,"YES","NO"))</x:f>
      </x:c>
      <x:c r="O225" t="str">
        <x:f>IF(J225="","",IF(J225=1,"WIN",IF(N225="YES","Exact margin M="&amp;ABS(F225),"Direction / tail")))</x:f>
      </x:c>
      <x:c r="P225" s="141"/>
      <x:c r="Q225" s="141"/>
      <x:c r="R225" s="144" t="str">
        <x:f>IF(OR(I225="",J225=""),"",(I225-J225)^2)</x:f>
      </x:c>
      <x:c r="S225" s="144" t="str">
        <x:f>IF(OR(I225="",J225=""),"",-(J225*LN(MAX(MIN(I225,0.999999),0.000001))+(1-J225)*LN(MAX(MIN(1-I225,0.999999),0.000001))))</x:f>
      </x:c>
      <x:c r="T225" t="str">
        <x:f>IF(J225="","",INDEX(Frozen_Predictions!$M$4:$M$303,MATCH(A225,Frozen_Predictions!$A$4:$A$303,0)))</x:f>
      </x:c>
      <x:c r="U225" t="str">
        <x:f>IF(J225="","",INDEX(Frozen_Predictions!$W$4:$W$303,MATCH(A225,Frozen_Predictions!$A$4:$A$303,0)))</x:f>
      </x:c>
      <x:c r="V225" t="str">
        <x:f>IF(J225="","",INDEX(Frozen_Predictions!$X$4:$X$303,MATCH(A225,Frozen_Predictions!$A$4:$A$303,0)))</x:f>
      </x:c>
      <x:c r="W225" t="str">
        <x:f>IF(A225="","",IF(COUNTIF($A$4:$A$303,A225)&lt;&gt;1,"ID DUPLICAT",IF(COUNTIF(Frozen_Predictions!$A$4:$A$303,A225)&lt;&gt;1,"ID INEXISTENT SAU DUPLICAT ÎN FROZEN",IF(COUNT(K225:L225)&lt;2,"COMPLETEAZĂ SCORUL","VERIFICAT"))))</x:f>
      </x:c>
    </x:row>
    <x:row r="226">
      <x:c r="A226" s="141"/>
      <x:c r="B226" t="str">
        <x:f>IF(OR(A226="",COUNTIF(Frozen_Predictions!$A$4:$A$303,A226)&lt;&gt;1),"",INDEX(Frozen_Predictions!$C$4:$C$303,MATCH(A226,Frozen_Predictions!$A$4:$A$303,0)))</x:f>
      </x:c>
      <x:c r="C226" t="str">
        <x:f>IF(OR(A226="",COUNTIF(Frozen_Predictions!$A$4:$A$303,A226)&lt;&gt;1),"",INDEX(Frozen_Predictions!$E$4:$E$303,MATCH(A226,Frozen_Predictions!$A$4:$A$303,0)))</x:f>
      </x:c>
      <x:c r="D226" t="str">
        <x:f>IF(OR(A226="",COUNTIF(Frozen_Predictions!$A$4:$A$303,A226)&lt;&gt;1),"",INDEX(Frozen_Predictions!$F$4:$F$303,MATCH(A226,Frozen_Predictions!$A$4:$A$303,0)))</x:f>
      </x:c>
      <x:c r="E226" t="str">
        <x:f>IF(OR(A226="",COUNTIF(Frozen_Predictions!$A$4:$A$303,A226)&lt;&gt;1),"",INDEX(Frozen_Predictions!$G$4:$G$303,MATCH(A226,Frozen_Predictions!$A$4:$A$303,0)))</x:f>
      </x:c>
      <x:c r="F226" t="str">
        <x:f>IF(OR(A226="",COUNTIF(Frozen_Predictions!$A$4:$A$303,A226)&lt;&gt;1),"",INDEX(Frozen_Predictions!$H$4:$H$303,MATCH(A226,Frozen_Predictions!$A$4:$A$303,0)))</x:f>
      </x:c>
      <x:c r="G226" t="str">
        <x:f>IF(OR(A226="",COUNTIF(Frozen_Predictions!$A$4:$A$303,A226)&lt;&gt;1),"",INDEX(Frozen_Predictions!$I$4:$I$303,MATCH(A226,Frozen_Predictions!$A$4:$A$303,0)))</x:f>
      </x:c>
      <x:c r="H226" t="str">
        <x:f>IF(OR(A226="",COUNTIF(Frozen_Predictions!$A$4:$A$303,A226)&lt;&gt;1),"",INDEX(Frozen_Predictions!$J$4:$J$303,MATCH(A226,Frozen_Predictions!$A$4:$A$303,0)))</x:f>
      </x:c>
      <x:c r="I226" t="str">
        <x:f>IF(OR(A226="",COUNTIF(Frozen_Predictions!$A$4:$A$303,A226)&lt;&gt;1),"",INDEX(Frozen_Predictions!$K$4:$K$303,MATCH(A226,Frozen_Predictions!$A$4:$A$303,0)))</x:f>
      </x:c>
      <x:c r="J226" s="142" t="str">
        <x:f>IF(OR(A226="",G226="",COUNT(K226:M226)&lt;3,COUNTIF($A$4:$A$303,A226)&lt;&gt;1),"",IF(IF(M226+F226&gt;0,"1",IF(M226+F226=0,"X","2"))=G226&amp;"",1,0))</x:f>
      </x:c>
      <x:c r="K226" s="143"/>
      <x:c r="L226" s="143"/>
      <x:c r="M226" s="142" t="str">
        <x:f>IF(AND(A226&lt;&gt;"",COUNT(K226:L226)=2),K226-L226,"")</x:f>
      </x:c>
      <x:c r="N226" s="142" t="str">
        <x:f>IF(J226="","",IF(M226+F226=0,"YES","NO"))</x:f>
      </x:c>
      <x:c r="O226" t="str">
        <x:f>IF(J226="","",IF(J226=1,"WIN",IF(N226="YES","Exact margin M="&amp;ABS(F226),"Direction / tail")))</x:f>
      </x:c>
      <x:c r="P226" s="141"/>
      <x:c r="Q226" s="141"/>
      <x:c r="R226" s="144" t="str">
        <x:f>IF(OR(I226="",J226=""),"",(I226-J226)^2)</x:f>
      </x:c>
      <x:c r="S226" s="144" t="str">
        <x:f>IF(OR(I226="",J226=""),"",-(J226*LN(MAX(MIN(I226,0.999999),0.000001))+(1-J226)*LN(MAX(MIN(1-I226,0.999999),0.000001))))</x:f>
      </x:c>
      <x:c r="T226" t="str">
        <x:f>IF(J226="","",INDEX(Frozen_Predictions!$M$4:$M$303,MATCH(A226,Frozen_Predictions!$A$4:$A$303,0)))</x:f>
      </x:c>
      <x:c r="U226" t="str">
        <x:f>IF(J226="","",INDEX(Frozen_Predictions!$W$4:$W$303,MATCH(A226,Frozen_Predictions!$A$4:$A$303,0)))</x:f>
      </x:c>
      <x:c r="V226" t="str">
        <x:f>IF(J226="","",INDEX(Frozen_Predictions!$X$4:$X$303,MATCH(A226,Frozen_Predictions!$A$4:$A$303,0)))</x:f>
      </x:c>
      <x:c r="W226" t="str">
        <x:f>IF(A226="","",IF(COUNTIF($A$4:$A$303,A226)&lt;&gt;1,"ID DUPLICAT",IF(COUNTIF(Frozen_Predictions!$A$4:$A$303,A226)&lt;&gt;1,"ID INEXISTENT SAU DUPLICAT ÎN FROZEN",IF(COUNT(K226:L226)&lt;2,"COMPLETEAZĂ SCORUL","VERIFICAT"))))</x:f>
      </x:c>
    </x:row>
    <x:row r="227">
      <x:c r="A227" s="141"/>
      <x:c r="B227" t="str">
        <x:f>IF(OR(A227="",COUNTIF(Frozen_Predictions!$A$4:$A$303,A227)&lt;&gt;1),"",INDEX(Frozen_Predictions!$C$4:$C$303,MATCH(A227,Frozen_Predictions!$A$4:$A$303,0)))</x:f>
      </x:c>
      <x:c r="C227" t="str">
        <x:f>IF(OR(A227="",COUNTIF(Frozen_Predictions!$A$4:$A$303,A227)&lt;&gt;1),"",INDEX(Frozen_Predictions!$E$4:$E$303,MATCH(A227,Frozen_Predictions!$A$4:$A$303,0)))</x:f>
      </x:c>
      <x:c r="D227" t="str">
        <x:f>IF(OR(A227="",COUNTIF(Frozen_Predictions!$A$4:$A$303,A227)&lt;&gt;1),"",INDEX(Frozen_Predictions!$F$4:$F$303,MATCH(A227,Frozen_Predictions!$A$4:$A$303,0)))</x:f>
      </x:c>
      <x:c r="E227" t="str">
        <x:f>IF(OR(A227="",COUNTIF(Frozen_Predictions!$A$4:$A$303,A227)&lt;&gt;1),"",INDEX(Frozen_Predictions!$G$4:$G$303,MATCH(A227,Frozen_Predictions!$A$4:$A$303,0)))</x:f>
      </x:c>
      <x:c r="F227" t="str">
        <x:f>IF(OR(A227="",COUNTIF(Frozen_Predictions!$A$4:$A$303,A227)&lt;&gt;1),"",INDEX(Frozen_Predictions!$H$4:$H$303,MATCH(A227,Frozen_Predictions!$A$4:$A$303,0)))</x:f>
      </x:c>
      <x:c r="G227" t="str">
        <x:f>IF(OR(A227="",COUNTIF(Frozen_Predictions!$A$4:$A$303,A227)&lt;&gt;1),"",INDEX(Frozen_Predictions!$I$4:$I$303,MATCH(A227,Frozen_Predictions!$A$4:$A$303,0)))</x:f>
      </x:c>
      <x:c r="H227" t="str">
        <x:f>IF(OR(A227="",COUNTIF(Frozen_Predictions!$A$4:$A$303,A227)&lt;&gt;1),"",INDEX(Frozen_Predictions!$J$4:$J$303,MATCH(A227,Frozen_Predictions!$A$4:$A$303,0)))</x:f>
      </x:c>
      <x:c r="I227" t="str">
        <x:f>IF(OR(A227="",COUNTIF(Frozen_Predictions!$A$4:$A$303,A227)&lt;&gt;1),"",INDEX(Frozen_Predictions!$K$4:$K$303,MATCH(A227,Frozen_Predictions!$A$4:$A$303,0)))</x:f>
      </x:c>
      <x:c r="J227" s="142" t="str">
        <x:f>IF(OR(A227="",G227="",COUNT(K227:M227)&lt;3,COUNTIF($A$4:$A$303,A227)&lt;&gt;1),"",IF(IF(M227+F227&gt;0,"1",IF(M227+F227=0,"X","2"))=G227&amp;"",1,0))</x:f>
      </x:c>
      <x:c r="K227" s="143"/>
      <x:c r="L227" s="143"/>
      <x:c r="M227" s="142" t="str">
        <x:f>IF(AND(A227&lt;&gt;"",COUNT(K227:L227)=2),K227-L227,"")</x:f>
      </x:c>
      <x:c r="N227" s="142" t="str">
        <x:f>IF(J227="","",IF(M227+F227=0,"YES","NO"))</x:f>
      </x:c>
      <x:c r="O227" t="str">
        <x:f>IF(J227="","",IF(J227=1,"WIN",IF(N227="YES","Exact margin M="&amp;ABS(F227),"Direction / tail")))</x:f>
      </x:c>
      <x:c r="P227" s="141"/>
      <x:c r="Q227" s="141"/>
      <x:c r="R227" s="144" t="str">
        <x:f>IF(OR(I227="",J227=""),"",(I227-J227)^2)</x:f>
      </x:c>
      <x:c r="S227" s="144" t="str">
        <x:f>IF(OR(I227="",J227=""),"",-(J227*LN(MAX(MIN(I227,0.999999),0.000001))+(1-J227)*LN(MAX(MIN(1-I227,0.999999),0.000001))))</x:f>
      </x:c>
      <x:c r="T227" t="str">
        <x:f>IF(J227="","",INDEX(Frozen_Predictions!$M$4:$M$303,MATCH(A227,Frozen_Predictions!$A$4:$A$303,0)))</x:f>
      </x:c>
      <x:c r="U227" t="str">
        <x:f>IF(J227="","",INDEX(Frozen_Predictions!$W$4:$W$303,MATCH(A227,Frozen_Predictions!$A$4:$A$303,0)))</x:f>
      </x:c>
      <x:c r="V227" t="str">
        <x:f>IF(J227="","",INDEX(Frozen_Predictions!$X$4:$X$303,MATCH(A227,Frozen_Predictions!$A$4:$A$303,0)))</x:f>
      </x:c>
      <x:c r="W227" t="str">
        <x:f>IF(A227="","",IF(COUNTIF($A$4:$A$303,A227)&lt;&gt;1,"ID DUPLICAT",IF(COUNTIF(Frozen_Predictions!$A$4:$A$303,A227)&lt;&gt;1,"ID INEXISTENT SAU DUPLICAT ÎN FROZEN",IF(COUNT(K227:L227)&lt;2,"COMPLETEAZĂ SCORUL","VERIFICAT"))))</x:f>
      </x:c>
    </x:row>
    <x:row r="228">
      <x:c r="A228" s="141"/>
      <x:c r="B228" t="str">
        <x:f>IF(OR(A228="",COUNTIF(Frozen_Predictions!$A$4:$A$303,A228)&lt;&gt;1),"",INDEX(Frozen_Predictions!$C$4:$C$303,MATCH(A228,Frozen_Predictions!$A$4:$A$303,0)))</x:f>
      </x:c>
      <x:c r="C228" t="str">
        <x:f>IF(OR(A228="",COUNTIF(Frozen_Predictions!$A$4:$A$303,A228)&lt;&gt;1),"",INDEX(Frozen_Predictions!$E$4:$E$303,MATCH(A228,Frozen_Predictions!$A$4:$A$303,0)))</x:f>
      </x:c>
      <x:c r="D228" t="str">
        <x:f>IF(OR(A228="",COUNTIF(Frozen_Predictions!$A$4:$A$303,A228)&lt;&gt;1),"",INDEX(Frozen_Predictions!$F$4:$F$303,MATCH(A228,Frozen_Predictions!$A$4:$A$303,0)))</x:f>
      </x:c>
      <x:c r="E228" t="str">
        <x:f>IF(OR(A228="",COUNTIF(Frozen_Predictions!$A$4:$A$303,A228)&lt;&gt;1),"",INDEX(Frozen_Predictions!$G$4:$G$303,MATCH(A228,Frozen_Predictions!$A$4:$A$303,0)))</x:f>
      </x:c>
      <x:c r="F228" t="str">
        <x:f>IF(OR(A228="",COUNTIF(Frozen_Predictions!$A$4:$A$303,A228)&lt;&gt;1),"",INDEX(Frozen_Predictions!$H$4:$H$303,MATCH(A228,Frozen_Predictions!$A$4:$A$303,0)))</x:f>
      </x:c>
      <x:c r="G228" t="str">
        <x:f>IF(OR(A228="",COUNTIF(Frozen_Predictions!$A$4:$A$303,A228)&lt;&gt;1),"",INDEX(Frozen_Predictions!$I$4:$I$303,MATCH(A228,Frozen_Predictions!$A$4:$A$303,0)))</x:f>
      </x:c>
      <x:c r="H228" t="str">
        <x:f>IF(OR(A228="",COUNTIF(Frozen_Predictions!$A$4:$A$303,A228)&lt;&gt;1),"",INDEX(Frozen_Predictions!$J$4:$J$303,MATCH(A228,Frozen_Predictions!$A$4:$A$303,0)))</x:f>
      </x:c>
      <x:c r="I228" t="str">
        <x:f>IF(OR(A228="",COUNTIF(Frozen_Predictions!$A$4:$A$303,A228)&lt;&gt;1),"",INDEX(Frozen_Predictions!$K$4:$K$303,MATCH(A228,Frozen_Predictions!$A$4:$A$303,0)))</x:f>
      </x:c>
      <x:c r="J228" s="142" t="str">
        <x:f>IF(OR(A228="",G228="",COUNT(K228:M228)&lt;3,COUNTIF($A$4:$A$303,A228)&lt;&gt;1),"",IF(IF(M228+F228&gt;0,"1",IF(M228+F228=0,"X","2"))=G228&amp;"",1,0))</x:f>
      </x:c>
      <x:c r="K228" s="143"/>
      <x:c r="L228" s="143"/>
      <x:c r="M228" s="142" t="str">
        <x:f>IF(AND(A228&lt;&gt;"",COUNT(K228:L228)=2),K228-L228,"")</x:f>
      </x:c>
      <x:c r="N228" s="142" t="str">
        <x:f>IF(J228="","",IF(M228+F228=0,"YES","NO"))</x:f>
      </x:c>
      <x:c r="O228" t="str">
        <x:f>IF(J228="","",IF(J228=1,"WIN",IF(N228="YES","Exact margin M="&amp;ABS(F228),"Direction / tail")))</x:f>
      </x:c>
      <x:c r="P228" s="141"/>
      <x:c r="Q228" s="141"/>
      <x:c r="R228" s="144" t="str">
        <x:f>IF(OR(I228="",J228=""),"",(I228-J228)^2)</x:f>
      </x:c>
      <x:c r="S228" s="144" t="str">
        <x:f>IF(OR(I228="",J228=""),"",-(J228*LN(MAX(MIN(I228,0.999999),0.000001))+(1-J228)*LN(MAX(MIN(1-I228,0.999999),0.000001))))</x:f>
      </x:c>
      <x:c r="T228" t="str">
        <x:f>IF(J228="","",INDEX(Frozen_Predictions!$M$4:$M$303,MATCH(A228,Frozen_Predictions!$A$4:$A$303,0)))</x:f>
      </x:c>
      <x:c r="U228" t="str">
        <x:f>IF(J228="","",INDEX(Frozen_Predictions!$W$4:$W$303,MATCH(A228,Frozen_Predictions!$A$4:$A$303,0)))</x:f>
      </x:c>
      <x:c r="V228" t="str">
        <x:f>IF(J228="","",INDEX(Frozen_Predictions!$X$4:$X$303,MATCH(A228,Frozen_Predictions!$A$4:$A$303,0)))</x:f>
      </x:c>
      <x:c r="W228" t="str">
        <x:f>IF(A228="","",IF(COUNTIF($A$4:$A$303,A228)&lt;&gt;1,"ID DUPLICAT",IF(COUNTIF(Frozen_Predictions!$A$4:$A$303,A228)&lt;&gt;1,"ID INEXISTENT SAU DUPLICAT ÎN FROZEN",IF(COUNT(K228:L228)&lt;2,"COMPLETEAZĂ SCORUL","VERIFICAT"))))</x:f>
      </x:c>
    </x:row>
    <x:row r="229">
      <x:c r="A229" s="141"/>
      <x:c r="B229" t="str">
        <x:f>IF(OR(A229="",COUNTIF(Frozen_Predictions!$A$4:$A$303,A229)&lt;&gt;1),"",INDEX(Frozen_Predictions!$C$4:$C$303,MATCH(A229,Frozen_Predictions!$A$4:$A$303,0)))</x:f>
      </x:c>
      <x:c r="C229" t="str">
        <x:f>IF(OR(A229="",COUNTIF(Frozen_Predictions!$A$4:$A$303,A229)&lt;&gt;1),"",INDEX(Frozen_Predictions!$E$4:$E$303,MATCH(A229,Frozen_Predictions!$A$4:$A$303,0)))</x:f>
      </x:c>
      <x:c r="D229" t="str">
        <x:f>IF(OR(A229="",COUNTIF(Frozen_Predictions!$A$4:$A$303,A229)&lt;&gt;1),"",INDEX(Frozen_Predictions!$F$4:$F$303,MATCH(A229,Frozen_Predictions!$A$4:$A$303,0)))</x:f>
      </x:c>
      <x:c r="E229" t="str">
        <x:f>IF(OR(A229="",COUNTIF(Frozen_Predictions!$A$4:$A$303,A229)&lt;&gt;1),"",INDEX(Frozen_Predictions!$G$4:$G$303,MATCH(A229,Frozen_Predictions!$A$4:$A$303,0)))</x:f>
      </x:c>
      <x:c r="F229" t="str">
        <x:f>IF(OR(A229="",COUNTIF(Frozen_Predictions!$A$4:$A$303,A229)&lt;&gt;1),"",INDEX(Frozen_Predictions!$H$4:$H$303,MATCH(A229,Frozen_Predictions!$A$4:$A$303,0)))</x:f>
      </x:c>
      <x:c r="G229" t="str">
        <x:f>IF(OR(A229="",COUNTIF(Frozen_Predictions!$A$4:$A$303,A229)&lt;&gt;1),"",INDEX(Frozen_Predictions!$I$4:$I$303,MATCH(A229,Frozen_Predictions!$A$4:$A$303,0)))</x:f>
      </x:c>
      <x:c r="H229" t="str">
        <x:f>IF(OR(A229="",COUNTIF(Frozen_Predictions!$A$4:$A$303,A229)&lt;&gt;1),"",INDEX(Frozen_Predictions!$J$4:$J$303,MATCH(A229,Frozen_Predictions!$A$4:$A$303,0)))</x:f>
      </x:c>
      <x:c r="I229" t="str">
        <x:f>IF(OR(A229="",COUNTIF(Frozen_Predictions!$A$4:$A$303,A229)&lt;&gt;1),"",INDEX(Frozen_Predictions!$K$4:$K$303,MATCH(A229,Frozen_Predictions!$A$4:$A$303,0)))</x:f>
      </x:c>
      <x:c r="J229" s="142" t="str">
        <x:f>IF(OR(A229="",G229="",COUNT(K229:M229)&lt;3,COUNTIF($A$4:$A$303,A229)&lt;&gt;1),"",IF(IF(M229+F229&gt;0,"1",IF(M229+F229=0,"X","2"))=G229&amp;"",1,0))</x:f>
      </x:c>
      <x:c r="K229" s="143"/>
      <x:c r="L229" s="143"/>
      <x:c r="M229" s="142" t="str">
        <x:f>IF(AND(A229&lt;&gt;"",COUNT(K229:L229)=2),K229-L229,"")</x:f>
      </x:c>
      <x:c r="N229" s="142" t="str">
        <x:f>IF(J229="","",IF(M229+F229=0,"YES","NO"))</x:f>
      </x:c>
      <x:c r="O229" t="str">
        <x:f>IF(J229="","",IF(J229=1,"WIN",IF(N229="YES","Exact margin M="&amp;ABS(F229),"Direction / tail")))</x:f>
      </x:c>
      <x:c r="P229" s="141"/>
      <x:c r="Q229" s="141"/>
      <x:c r="R229" s="144" t="str">
        <x:f>IF(OR(I229="",J229=""),"",(I229-J229)^2)</x:f>
      </x:c>
      <x:c r="S229" s="144" t="str">
        <x:f>IF(OR(I229="",J229=""),"",-(J229*LN(MAX(MIN(I229,0.999999),0.000001))+(1-J229)*LN(MAX(MIN(1-I229,0.999999),0.000001))))</x:f>
      </x:c>
      <x:c r="T229" t="str">
        <x:f>IF(J229="","",INDEX(Frozen_Predictions!$M$4:$M$303,MATCH(A229,Frozen_Predictions!$A$4:$A$303,0)))</x:f>
      </x:c>
      <x:c r="U229" t="str">
        <x:f>IF(J229="","",INDEX(Frozen_Predictions!$W$4:$W$303,MATCH(A229,Frozen_Predictions!$A$4:$A$303,0)))</x:f>
      </x:c>
      <x:c r="V229" t="str">
        <x:f>IF(J229="","",INDEX(Frozen_Predictions!$X$4:$X$303,MATCH(A229,Frozen_Predictions!$A$4:$A$303,0)))</x:f>
      </x:c>
      <x:c r="W229" t="str">
        <x:f>IF(A229="","",IF(COUNTIF($A$4:$A$303,A229)&lt;&gt;1,"ID DUPLICAT",IF(COUNTIF(Frozen_Predictions!$A$4:$A$303,A229)&lt;&gt;1,"ID INEXISTENT SAU DUPLICAT ÎN FROZEN",IF(COUNT(K229:L229)&lt;2,"COMPLETEAZĂ SCORUL","VERIFICAT"))))</x:f>
      </x:c>
    </x:row>
    <x:row r="230">
      <x:c r="A230" s="141"/>
      <x:c r="B230" t="str">
        <x:f>IF(OR(A230="",COUNTIF(Frozen_Predictions!$A$4:$A$303,A230)&lt;&gt;1),"",INDEX(Frozen_Predictions!$C$4:$C$303,MATCH(A230,Frozen_Predictions!$A$4:$A$303,0)))</x:f>
      </x:c>
      <x:c r="C230" t="str">
        <x:f>IF(OR(A230="",COUNTIF(Frozen_Predictions!$A$4:$A$303,A230)&lt;&gt;1),"",INDEX(Frozen_Predictions!$E$4:$E$303,MATCH(A230,Frozen_Predictions!$A$4:$A$303,0)))</x:f>
      </x:c>
      <x:c r="D230" t="str">
        <x:f>IF(OR(A230="",COUNTIF(Frozen_Predictions!$A$4:$A$303,A230)&lt;&gt;1),"",INDEX(Frozen_Predictions!$F$4:$F$303,MATCH(A230,Frozen_Predictions!$A$4:$A$303,0)))</x:f>
      </x:c>
      <x:c r="E230" t="str">
        <x:f>IF(OR(A230="",COUNTIF(Frozen_Predictions!$A$4:$A$303,A230)&lt;&gt;1),"",INDEX(Frozen_Predictions!$G$4:$G$303,MATCH(A230,Frozen_Predictions!$A$4:$A$303,0)))</x:f>
      </x:c>
      <x:c r="F230" t="str">
        <x:f>IF(OR(A230="",COUNTIF(Frozen_Predictions!$A$4:$A$303,A230)&lt;&gt;1),"",INDEX(Frozen_Predictions!$H$4:$H$303,MATCH(A230,Frozen_Predictions!$A$4:$A$303,0)))</x:f>
      </x:c>
      <x:c r="G230" t="str">
        <x:f>IF(OR(A230="",COUNTIF(Frozen_Predictions!$A$4:$A$303,A230)&lt;&gt;1),"",INDEX(Frozen_Predictions!$I$4:$I$303,MATCH(A230,Frozen_Predictions!$A$4:$A$303,0)))</x:f>
      </x:c>
      <x:c r="H230" t="str">
        <x:f>IF(OR(A230="",COUNTIF(Frozen_Predictions!$A$4:$A$303,A230)&lt;&gt;1),"",INDEX(Frozen_Predictions!$J$4:$J$303,MATCH(A230,Frozen_Predictions!$A$4:$A$303,0)))</x:f>
      </x:c>
      <x:c r="I230" t="str">
        <x:f>IF(OR(A230="",COUNTIF(Frozen_Predictions!$A$4:$A$303,A230)&lt;&gt;1),"",INDEX(Frozen_Predictions!$K$4:$K$303,MATCH(A230,Frozen_Predictions!$A$4:$A$303,0)))</x:f>
      </x:c>
      <x:c r="J230" s="142" t="str">
        <x:f>IF(OR(A230="",G230="",COUNT(K230:M230)&lt;3,COUNTIF($A$4:$A$303,A230)&lt;&gt;1),"",IF(IF(M230+F230&gt;0,"1",IF(M230+F230=0,"X","2"))=G230&amp;"",1,0))</x:f>
      </x:c>
      <x:c r="K230" s="143"/>
      <x:c r="L230" s="143"/>
      <x:c r="M230" s="142" t="str">
        <x:f>IF(AND(A230&lt;&gt;"",COUNT(K230:L230)=2),K230-L230,"")</x:f>
      </x:c>
      <x:c r="N230" s="142" t="str">
        <x:f>IF(J230="","",IF(M230+F230=0,"YES","NO"))</x:f>
      </x:c>
      <x:c r="O230" t="str">
        <x:f>IF(J230="","",IF(J230=1,"WIN",IF(N230="YES","Exact margin M="&amp;ABS(F230),"Direction / tail")))</x:f>
      </x:c>
      <x:c r="P230" s="141"/>
      <x:c r="Q230" s="141"/>
      <x:c r="R230" s="144" t="str">
        <x:f>IF(OR(I230="",J230=""),"",(I230-J230)^2)</x:f>
      </x:c>
      <x:c r="S230" s="144" t="str">
        <x:f>IF(OR(I230="",J230=""),"",-(J230*LN(MAX(MIN(I230,0.999999),0.000001))+(1-J230)*LN(MAX(MIN(1-I230,0.999999),0.000001))))</x:f>
      </x:c>
      <x:c r="T230" t="str">
        <x:f>IF(J230="","",INDEX(Frozen_Predictions!$M$4:$M$303,MATCH(A230,Frozen_Predictions!$A$4:$A$303,0)))</x:f>
      </x:c>
      <x:c r="U230" t="str">
        <x:f>IF(J230="","",INDEX(Frozen_Predictions!$W$4:$W$303,MATCH(A230,Frozen_Predictions!$A$4:$A$303,0)))</x:f>
      </x:c>
      <x:c r="V230" t="str">
        <x:f>IF(J230="","",INDEX(Frozen_Predictions!$X$4:$X$303,MATCH(A230,Frozen_Predictions!$A$4:$A$303,0)))</x:f>
      </x:c>
      <x:c r="W230" t="str">
        <x:f>IF(A230="","",IF(COUNTIF($A$4:$A$303,A230)&lt;&gt;1,"ID DUPLICAT",IF(COUNTIF(Frozen_Predictions!$A$4:$A$303,A230)&lt;&gt;1,"ID INEXISTENT SAU DUPLICAT ÎN FROZEN",IF(COUNT(K230:L230)&lt;2,"COMPLETEAZĂ SCORUL","VERIFICAT"))))</x:f>
      </x:c>
    </x:row>
    <x:row r="231">
      <x:c r="A231" s="141"/>
      <x:c r="B231" t="str">
        <x:f>IF(OR(A231="",COUNTIF(Frozen_Predictions!$A$4:$A$303,A231)&lt;&gt;1),"",INDEX(Frozen_Predictions!$C$4:$C$303,MATCH(A231,Frozen_Predictions!$A$4:$A$303,0)))</x:f>
      </x:c>
      <x:c r="C231" t="str">
        <x:f>IF(OR(A231="",COUNTIF(Frozen_Predictions!$A$4:$A$303,A231)&lt;&gt;1),"",INDEX(Frozen_Predictions!$E$4:$E$303,MATCH(A231,Frozen_Predictions!$A$4:$A$303,0)))</x:f>
      </x:c>
      <x:c r="D231" t="str">
        <x:f>IF(OR(A231="",COUNTIF(Frozen_Predictions!$A$4:$A$303,A231)&lt;&gt;1),"",INDEX(Frozen_Predictions!$F$4:$F$303,MATCH(A231,Frozen_Predictions!$A$4:$A$303,0)))</x:f>
      </x:c>
      <x:c r="E231" t="str">
        <x:f>IF(OR(A231="",COUNTIF(Frozen_Predictions!$A$4:$A$303,A231)&lt;&gt;1),"",INDEX(Frozen_Predictions!$G$4:$G$303,MATCH(A231,Frozen_Predictions!$A$4:$A$303,0)))</x:f>
      </x:c>
      <x:c r="F231" t="str">
        <x:f>IF(OR(A231="",COUNTIF(Frozen_Predictions!$A$4:$A$303,A231)&lt;&gt;1),"",INDEX(Frozen_Predictions!$H$4:$H$303,MATCH(A231,Frozen_Predictions!$A$4:$A$303,0)))</x:f>
      </x:c>
      <x:c r="G231" t="str">
        <x:f>IF(OR(A231="",COUNTIF(Frozen_Predictions!$A$4:$A$303,A231)&lt;&gt;1),"",INDEX(Frozen_Predictions!$I$4:$I$303,MATCH(A231,Frozen_Predictions!$A$4:$A$303,0)))</x:f>
      </x:c>
      <x:c r="H231" t="str">
        <x:f>IF(OR(A231="",COUNTIF(Frozen_Predictions!$A$4:$A$303,A231)&lt;&gt;1),"",INDEX(Frozen_Predictions!$J$4:$J$303,MATCH(A231,Frozen_Predictions!$A$4:$A$303,0)))</x:f>
      </x:c>
      <x:c r="I231" t="str">
        <x:f>IF(OR(A231="",COUNTIF(Frozen_Predictions!$A$4:$A$303,A231)&lt;&gt;1),"",INDEX(Frozen_Predictions!$K$4:$K$303,MATCH(A231,Frozen_Predictions!$A$4:$A$303,0)))</x:f>
      </x:c>
      <x:c r="J231" s="142" t="str">
        <x:f>IF(OR(A231="",G231="",COUNT(K231:M231)&lt;3,COUNTIF($A$4:$A$303,A231)&lt;&gt;1),"",IF(IF(M231+F231&gt;0,"1",IF(M231+F231=0,"X","2"))=G231&amp;"",1,0))</x:f>
      </x:c>
      <x:c r="K231" s="143"/>
      <x:c r="L231" s="143"/>
      <x:c r="M231" s="142" t="str">
        <x:f>IF(AND(A231&lt;&gt;"",COUNT(K231:L231)=2),K231-L231,"")</x:f>
      </x:c>
      <x:c r="N231" s="142" t="str">
        <x:f>IF(J231="","",IF(M231+F231=0,"YES","NO"))</x:f>
      </x:c>
      <x:c r="O231" t="str">
        <x:f>IF(J231="","",IF(J231=1,"WIN",IF(N231="YES","Exact margin M="&amp;ABS(F231),"Direction / tail")))</x:f>
      </x:c>
      <x:c r="P231" s="141"/>
      <x:c r="Q231" s="141"/>
      <x:c r="R231" s="144" t="str">
        <x:f>IF(OR(I231="",J231=""),"",(I231-J231)^2)</x:f>
      </x:c>
      <x:c r="S231" s="144" t="str">
        <x:f>IF(OR(I231="",J231=""),"",-(J231*LN(MAX(MIN(I231,0.999999),0.000001))+(1-J231)*LN(MAX(MIN(1-I231,0.999999),0.000001))))</x:f>
      </x:c>
      <x:c r="T231" t="str">
        <x:f>IF(J231="","",INDEX(Frozen_Predictions!$M$4:$M$303,MATCH(A231,Frozen_Predictions!$A$4:$A$303,0)))</x:f>
      </x:c>
      <x:c r="U231" t="str">
        <x:f>IF(J231="","",INDEX(Frozen_Predictions!$W$4:$W$303,MATCH(A231,Frozen_Predictions!$A$4:$A$303,0)))</x:f>
      </x:c>
      <x:c r="V231" t="str">
        <x:f>IF(J231="","",INDEX(Frozen_Predictions!$X$4:$X$303,MATCH(A231,Frozen_Predictions!$A$4:$A$303,0)))</x:f>
      </x:c>
      <x:c r="W231" t="str">
        <x:f>IF(A231="","",IF(COUNTIF($A$4:$A$303,A231)&lt;&gt;1,"ID DUPLICAT",IF(COUNTIF(Frozen_Predictions!$A$4:$A$303,A231)&lt;&gt;1,"ID INEXISTENT SAU DUPLICAT ÎN FROZEN",IF(COUNT(K231:L231)&lt;2,"COMPLETEAZĂ SCORUL","VERIFICAT"))))</x:f>
      </x:c>
    </x:row>
    <x:row r="232">
      <x:c r="A232" s="141"/>
      <x:c r="B232" t="str">
        <x:f>IF(OR(A232="",COUNTIF(Frozen_Predictions!$A$4:$A$303,A232)&lt;&gt;1),"",INDEX(Frozen_Predictions!$C$4:$C$303,MATCH(A232,Frozen_Predictions!$A$4:$A$303,0)))</x:f>
      </x:c>
      <x:c r="C232" t="str">
        <x:f>IF(OR(A232="",COUNTIF(Frozen_Predictions!$A$4:$A$303,A232)&lt;&gt;1),"",INDEX(Frozen_Predictions!$E$4:$E$303,MATCH(A232,Frozen_Predictions!$A$4:$A$303,0)))</x:f>
      </x:c>
      <x:c r="D232" t="str">
        <x:f>IF(OR(A232="",COUNTIF(Frozen_Predictions!$A$4:$A$303,A232)&lt;&gt;1),"",INDEX(Frozen_Predictions!$F$4:$F$303,MATCH(A232,Frozen_Predictions!$A$4:$A$303,0)))</x:f>
      </x:c>
      <x:c r="E232" t="str">
        <x:f>IF(OR(A232="",COUNTIF(Frozen_Predictions!$A$4:$A$303,A232)&lt;&gt;1),"",INDEX(Frozen_Predictions!$G$4:$G$303,MATCH(A232,Frozen_Predictions!$A$4:$A$303,0)))</x:f>
      </x:c>
      <x:c r="F232" t="str">
        <x:f>IF(OR(A232="",COUNTIF(Frozen_Predictions!$A$4:$A$303,A232)&lt;&gt;1),"",INDEX(Frozen_Predictions!$H$4:$H$303,MATCH(A232,Frozen_Predictions!$A$4:$A$303,0)))</x:f>
      </x:c>
      <x:c r="G232" t="str">
        <x:f>IF(OR(A232="",COUNTIF(Frozen_Predictions!$A$4:$A$303,A232)&lt;&gt;1),"",INDEX(Frozen_Predictions!$I$4:$I$303,MATCH(A232,Frozen_Predictions!$A$4:$A$303,0)))</x:f>
      </x:c>
      <x:c r="H232" t="str">
        <x:f>IF(OR(A232="",COUNTIF(Frozen_Predictions!$A$4:$A$303,A232)&lt;&gt;1),"",INDEX(Frozen_Predictions!$J$4:$J$303,MATCH(A232,Frozen_Predictions!$A$4:$A$303,0)))</x:f>
      </x:c>
      <x:c r="I232" t="str">
        <x:f>IF(OR(A232="",COUNTIF(Frozen_Predictions!$A$4:$A$303,A232)&lt;&gt;1),"",INDEX(Frozen_Predictions!$K$4:$K$303,MATCH(A232,Frozen_Predictions!$A$4:$A$303,0)))</x:f>
      </x:c>
      <x:c r="J232" s="142" t="str">
        <x:f>IF(OR(A232="",G232="",COUNT(K232:M232)&lt;3,COUNTIF($A$4:$A$303,A232)&lt;&gt;1),"",IF(IF(M232+F232&gt;0,"1",IF(M232+F232=0,"X","2"))=G232&amp;"",1,0))</x:f>
      </x:c>
      <x:c r="K232" s="143"/>
      <x:c r="L232" s="143"/>
      <x:c r="M232" s="142" t="str">
        <x:f>IF(AND(A232&lt;&gt;"",COUNT(K232:L232)=2),K232-L232,"")</x:f>
      </x:c>
      <x:c r="N232" s="142" t="str">
        <x:f>IF(J232="","",IF(M232+F232=0,"YES","NO"))</x:f>
      </x:c>
      <x:c r="O232" t="str">
        <x:f>IF(J232="","",IF(J232=1,"WIN",IF(N232="YES","Exact margin M="&amp;ABS(F232),"Direction / tail")))</x:f>
      </x:c>
      <x:c r="P232" s="141"/>
      <x:c r="Q232" s="141"/>
      <x:c r="R232" s="144" t="str">
        <x:f>IF(OR(I232="",J232=""),"",(I232-J232)^2)</x:f>
      </x:c>
      <x:c r="S232" s="144" t="str">
        <x:f>IF(OR(I232="",J232=""),"",-(J232*LN(MAX(MIN(I232,0.999999),0.000001))+(1-J232)*LN(MAX(MIN(1-I232,0.999999),0.000001))))</x:f>
      </x:c>
      <x:c r="T232" t="str">
        <x:f>IF(J232="","",INDEX(Frozen_Predictions!$M$4:$M$303,MATCH(A232,Frozen_Predictions!$A$4:$A$303,0)))</x:f>
      </x:c>
      <x:c r="U232" t="str">
        <x:f>IF(J232="","",INDEX(Frozen_Predictions!$W$4:$W$303,MATCH(A232,Frozen_Predictions!$A$4:$A$303,0)))</x:f>
      </x:c>
      <x:c r="V232" t="str">
        <x:f>IF(J232="","",INDEX(Frozen_Predictions!$X$4:$X$303,MATCH(A232,Frozen_Predictions!$A$4:$A$303,0)))</x:f>
      </x:c>
      <x:c r="W232" t="str">
        <x:f>IF(A232="","",IF(COUNTIF($A$4:$A$303,A232)&lt;&gt;1,"ID DUPLICAT",IF(COUNTIF(Frozen_Predictions!$A$4:$A$303,A232)&lt;&gt;1,"ID INEXISTENT SAU DUPLICAT ÎN FROZEN",IF(COUNT(K232:L232)&lt;2,"COMPLETEAZĂ SCORUL","VERIFICAT"))))</x:f>
      </x:c>
    </x:row>
    <x:row r="233">
      <x:c r="A233" s="141"/>
      <x:c r="B233" t="str">
        <x:f>IF(OR(A233="",COUNTIF(Frozen_Predictions!$A$4:$A$303,A233)&lt;&gt;1),"",INDEX(Frozen_Predictions!$C$4:$C$303,MATCH(A233,Frozen_Predictions!$A$4:$A$303,0)))</x:f>
      </x:c>
      <x:c r="C233" t="str">
        <x:f>IF(OR(A233="",COUNTIF(Frozen_Predictions!$A$4:$A$303,A233)&lt;&gt;1),"",INDEX(Frozen_Predictions!$E$4:$E$303,MATCH(A233,Frozen_Predictions!$A$4:$A$303,0)))</x:f>
      </x:c>
      <x:c r="D233" t="str">
        <x:f>IF(OR(A233="",COUNTIF(Frozen_Predictions!$A$4:$A$303,A233)&lt;&gt;1),"",INDEX(Frozen_Predictions!$F$4:$F$303,MATCH(A233,Frozen_Predictions!$A$4:$A$303,0)))</x:f>
      </x:c>
      <x:c r="E233" t="str">
        <x:f>IF(OR(A233="",COUNTIF(Frozen_Predictions!$A$4:$A$303,A233)&lt;&gt;1),"",INDEX(Frozen_Predictions!$G$4:$G$303,MATCH(A233,Frozen_Predictions!$A$4:$A$303,0)))</x:f>
      </x:c>
      <x:c r="F233" t="str">
        <x:f>IF(OR(A233="",COUNTIF(Frozen_Predictions!$A$4:$A$303,A233)&lt;&gt;1),"",INDEX(Frozen_Predictions!$H$4:$H$303,MATCH(A233,Frozen_Predictions!$A$4:$A$303,0)))</x:f>
      </x:c>
      <x:c r="G233" t="str">
        <x:f>IF(OR(A233="",COUNTIF(Frozen_Predictions!$A$4:$A$303,A233)&lt;&gt;1),"",INDEX(Frozen_Predictions!$I$4:$I$303,MATCH(A233,Frozen_Predictions!$A$4:$A$303,0)))</x:f>
      </x:c>
      <x:c r="H233" t="str">
        <x:f>IF(OR(A233="",COUNTIF(Frozen_Predictions!$A$4:$A$303,A233)&lt;&gt;1),"",INDEX(Frozen_Predictions!$J$4:$J$303,MATCH(A233,Frozen_Predictions!$A$4:$A$303,0)))</x:f>
      </x:c>
      <x:c r="I233" t="str">
        <x:f>IF(OR(A233="",COUNTIF(Frozen_Predictions!$A$4:$A$303,A233)&lt;&gt;1),"",INDEX(Frozen_Predictions!$K$4:$K$303,MATCH(A233,Frozen_Predictions!$A$4:$A$303,0)))</x:f>
      </x:c>
      <x:c r="J233" s="142" t="str">
        <x:f>IF(OR(A233="",G233="",COUNT(K233:M233)&lt;3,COUNTIF($A$4:$A$303,A233)&lt;&gt;1),"",IF(IF(M233+F233&gt;0,"1",IF(M233+F233=0,"X","2"))=G233&amp;"",1,0))</x:f>
      </x:c>
      <x:c r="K233" s="143"/>
      <x:c r="L233" s="143"/>
      <x:c r="M233" s="142" t="str">
        <x:f>IF(AND(A233&lt;&gt;"",COUNT(K233:L233)=2),K233-L233,"")</x:f>
      </x:c>
      <x:c r="N233" s="142" t="str">
        <x:f>IF(J233="","",IF(M233+F233=0,"YES","NO"))</x:f>
      </x:c>
      <x:c r="O233" t="str">
        <x:f>IF(J233="","",IF(J233=1,"WIN",IF(N233="YES","Exact margin M="&amp;ABS(F233),"Direction / tail")))</x:f>
      </x:c>
      <x:c r="P233" s="141"/>
      <x:c r="Q233" s="141"/>
      <x:c r="R233" s="144" t="str">
        <x:f>IF(OR(I233="",J233=""),"",(I233-J233)^2)</x:f>
      </x:c>
      <x:c r="S233" s="144" t="str">
        <x:f>IF(OR(I233="",J233=""),"",-(J233*LN(MAX(MIN(I233,0.999999),0.000001))+(1-J233)*LN(MAX(MIN(1-I233,0.999999),0.000001))))</x:f>
      </x:c>
      <x:c r="T233" t="str">
        <x:f>IF(J233="","",INDEX(Frozen_Predictions!$M$4:$M$303,MATCH(A233,Frozen_Predictions!$A$4:$A$303,0)))</x:f>
      </x:c>
      <x:c r="U233" t="str">
        <x:f>IF(J233="","",INDEX(Frozen_Predictions!$W$4:$W$303,MATCH(A233,Frozen_Predictions!$A$4:$A$303,0)))</x:f>
      </x:c>
      <x:c r="V233" t="str">
        <x:f>IF(J233="","",INDEX(Frozen_Predictions!$X$4:$X$303,MATCH(A233,Frozen_Predictions!$A$4:$A$303,0)))</x:f>
      </x:c>
      <x:c r="W233" t="str">
        <x:f>IF(A233="","",IF(COUNTIF($A$4:$A$303,A233)&lt;&gt;1,"ID DUPLICAT",IF(COUNTIF(Frozen_Predictions!$A$4:$A$303,A233)&lt;&gt;1,"ID INEXISTENT SAU DUPLICAT ÎN FROZEN",IF(COUNT(K233:L233)&lt;2,"COMPLETEAZĂ SCORUL","VERIFICAT"))))</x:f>
      </x:c>
    </x:row>
    <x:row r="234">
      <x:c r="A234" s="141"/>
      <x:c r="B234" t="str">
        <x:f>IF(OR(A234="",COUNTIF(Frozen_Predictions!$A$4:$A$303,A234)&lt;&gt;1),"",INDEX(Frozen_Predictions!$C$4:$C$303,MATCH(A234,Frozen_Predictions!$A$4:$A$303,0)))</x:f>
      </x:c>
      <x:c r="C234" t="str">
        <x:f>IF(OR(A234="",COUNTIF(Frozen_Predictions!$A$4:$A$303,A234)&lt;&gt;1),"",INDEX(Frozen_Predictions!$E$4:$E$303,MATCH(A234,Frozen_Predictions!$A$4:$A$303,0)))</x:f>
      </x:c>
      <x:c r="D234" t="str">
        <x:f>IF(OR(A234="",COUNTIF(Frozen_Predictions!$A$4:$A$303,A234)&lt;&gt;1),"",INDEX(Frozen_Predictions!$F$4:$F$303,MATCH(A234,Frozen_Predictions!$A$4:$A$303,0)))</x:f>
      </x:c>
      <x:c r="E234" t="str">
        <x:f>IF(OR(A234="",COUNTIF(Frozen_Predictions!$A$4:$A$303,A234)&lt;&gt;1),"",INDEX(Frozen_Predictions!$G$4:$G$303,MATCH(A234,Frozen_Predictions!$A$4:$A$303,0)))</x:f>
      </x:c>
      <x:c r="F234" t="str">
        <x:f>IF(OR(A234="",COUNTIF(Frozen_Predictions!$A$4:$A$303,A234)&lt;&gt;1),"",INDEX(Frozen_Predictions!$H$4:$H$303,MATCH(A234,Frozen_Predictions!$A$4:$A$303,0)))</x:f>
      </x:c>
      <x:c r="G234" t="str">
        <x:f>IF(OR(A234="",COUNTIF(Frozen_Predictions!$A$4:$A$303,A234)&lt;&gt;1),"",INDEX(Frozen_Predictions!$I$4:$I$303,MATCH(A234,Frozen_Predictions!$A$4:$A$303,0)))</x:f>
      </x:c>
      <x:c r="H234" t="str">
        <x:f>IF(OR(A234="",COUNTIF(Frozen_Predictions!$A$4:$A$303,A234)&lt;&gt;1),"",INDEX(Frozen_Predictions!$J$4:$J$303,MATCH(A234,Frozen_Predictions!$A$4:$A$303,0)))</x:f>
      </x:c>
      <x:c r="I234" t="str">
        <x:f>IF(OR(A234="",COUNTIF(Frozen_Predictions!$A$4:$A$303,A234)&lt;&gt;1),"",INDEX(Frozen_Predictions!$K$4:$K$303,MATCH(A234,Frozen_Predictions!$A$4:$A$303,0)))</x:f>
      </x:c>
      <x:c r="J234" s="142" t="str">
        <x:f>IF(OR(A234="",G234="",COUNT(K234:M234)&lt;3,COUNTIF($A$4:$A$303,A234)&lt;&gt;1),"",IF(IF(M234+F234&gt;0,"1",IF(M234+F234=0,"X","2"))=G234&amp;"",1,0))</x:f>
      </x:c>
      <x:c r="K234" s="143"/>
      <x:c r="L234" s="143"/>
      <x:c r="M234" s="142" t="str">
        <x:f>IF(AND(A234&lt;&gt;"",COUNT(K234:L234)=2),K234-L234,"")</x:f>
      </x:c>
      <x:c r="N234" s="142" t="str">
        <x:f>IF(J234="","",IF(M234+F234=0,"YES","NO"))</x:f>
      </x:c>
      <x:c r="O234" t="str">
        <x:f>IF(J234="","",IF(J234=1,"WIN",IF(N234="YES","Exact margin M="&amp;ABS(F234),"Direction / tail")))</x:f>
      </x:c>
      <x:c r="P234" s="141"/>
      <x:c r="Q234" s="141"/>
      <x:c r="R234" s="144" t="str">
        <x:f>IF(OR(I234="",J234=""),"",(I234-J234)^2)</x:f>
      </x:c>
      <x:c r="S234" s="144" t="str">
        <x:f>IF(OR(I234="",J234=""),"",-(J234*LN(MAX(MIN(I234,0.999999),0.000001))+(1-J234)*LN(MAX(MIN(1-I234,0.999999),0.000001))))</x:f>
      </x:c>
      <x:c r="T234" t="str">
        <x:f>IF(J234="","",INDEX(Frozen_Predictions!$M$4:$M$303,MATCH(A234,Frozen_Predictions!$A$4:$A$303,0)))</x:f>
      </x:c>
      <x:c r="U234" t="str">
        <x:f>IF(J234="","",INDEX(Frozen_Predictions!$W$4:$W$303,MATCH(A234,Frozen_Predictions!$A$4:$A$303,0)))</x:f>
      </x:c>
      <x:c r="V234" t="str">
        <x:f>IF(J234="","",INDEX(Frozen_Predictions!$X$4:$X$303,MATCH(A234,Frozen_Predictions!$A$4:$A$303,0)))</x:f>
      </x:c>
      <x:c r="W234" t="str">
        <x:f>IF(A234="","",IF(COUNTIF($A$4:$A$303,A234)&lt;&gt;1,"ID DUPLICAT",IF(COUNTIF(Frozen_Predictions!$A$4:$A$303,A234)&lt;&gt;1,"ID INEXISTENT SAU DUPLICAT ÎN FROZEN",IF(COUNT(K234:L234)&lt;2,"COMPLETEAZĂ SCORUL","VERIFICAT"))))</x:f>
      </x:c>
    </x:row>
    <x:row r="235">
      <x:c r="A235" s="141"/>
      <x:c r="B235" t="str">
        <x:f>IF(OR(A235="",COUNTIF(Frozen_Predictions!$A$4:$A$303,A235)&lt;&gt;1),"",INDEX(Frozen_Predictions!$C$4:$C$303,MATCH(A235,Frozen_Predictions!$A$4:$A$303,0)))</x:f>
      </x:c>
      <x:c r="C235" t="str">
        <x:f>IF(OR(A235="",COUNTIF(Frozen_Predictions!$A$4:$A$303,A235)&lt;&gt;1),"",INDEX(Frozen_Predictions!$E$4:$E$303,MATCH(A235,Frozen_Predictions!$A$4:$A$303,0)))</x:f>
      </x:c>
      <x:c r="D235" t="str">
        <x:f>IF(OR(A235="",COUNTIF(Frozen_Predictions!$A$4:$A$303,A235)&lt;&gt;1),"",INDEX(Frozen_Predictions!$F$4:$F$303,MATCH(A235,Frozen_Predictions!$A$4:$A$303,0)))</x:f>
      </x:c>
      <x:c r="E235" t="str">
        <x:f>IF(OR(A235="",COUNTIF(Frozen_Predictions!$A$4:$A$303,A235)&lt;&gt;1),"",INDEX(Frozen_Predictions!$G$4:$G$303,MATCH(A235,Frozen_Predictions!$A$4:$A$303,0)))</x:f>
      </x:c>
      <x:c r="F235" t="str">
        <x:f>IF(OR(A235="",COUNTIF(Frozen_Predictions!$A$4:$A$303,A235)&lt;&gt;1),"",INDEX(Frozen_Predictions!$H$4:$H$303,MATCH(A235,Frozen_Predictions!$A$4:$A$303,0)))</x:f>
      </x:c>
      <x:c r="G235" t="str">
        <x:f>IF(OR(A235="",COUNTIF(Frozen_Predictions!$A$4:$A$303,A235)&lt;&gt;1),"",INDEX(Frozen_Predictions!$I$4:$I$303,MATCH(A235,Frozen_Predictions!$A$4:$A$303,0)))</x:f>
      </x:c>
      <x:c r="H235" t="str">
        <x:f>IF(OR(A235="",COUNTIF(Frozen_Predictions!$A$4:$A$303,A235)&lt;&gt;1),"",INDEX(Frozen_Predictions!$J$4:$J$303,MATCH(A235,Frozen_Predictions!$A$4:$A$303,0)))</x:f>
      </x:c>
      <x:c r="I235" t="str">
        <x:f>IF(OR(A235="",COUNTIF(Frozen_Predictions!$A$4:$A$303,A235)&lt;&gt;1),"",INDEX(Frozen_Predictions!$K$4:$K$303,MATCH(A235,Frozen_Predictions!$A$4:$A$303,0)))</x:f>
      </x:c>
      <x:c r="J235" s="142" t="str">
        <x:f>IF(OR(A235="",G235="",COUNT(K235:M235)&lt;3,COUNTIF($A$4:$A$303,A235)&lt;&gt;1),"",IF(IF(M235+F235&gt;0,"1",IF(M235+F235=0,"X","2"))=G235&amp;"",1,0))</x:f>
      </x:c>
      <x:c r="K235" s="143"/>
      <x:c r="L235" s="143"/>
      <x:c r="M235" s="142" t="str">
        <x:f>IF(AND(A235&lt;&gt;"",COUNT(K235:L235)=2),K235-L235,"")</x:f>
      </x:c>
      <x:c r="N235" s="142" t="str">
        <x:f>IF(J235="","",IF(M235+F235=0,"YES","NO"))</x:f>
      </x:c>
      <x:c r="O235" t="str">
        <x:f>IF(J235="","",IF(J235=1,"WIN",IF(N235="YES","Exact margin M="&amp;ABS(F235),"Direction / tail")))</x:f>
      </x:c>
      <x:c r="P235" s="141"/>
      <x:c r="Q235" s="141"/>
      <x:c r="R235" s="144" t="str">
        <x:f>IF(OR(I235="",J235=""),"",(I235-J235)^2)</x:f>
      </x:c>
      <x:c r="S235" s="144" t="str">
        <x:f>IF(OR(I235="",J235=""),"",-(J235*LN(MAX(MIN(I235,0.999999),0.000001))+(1-J235)*LN(MAX(MIN(1-I235,0.999999),0.000001))))</x:f>
      </x:c>
      <x:c r="T235" t="str">
        <x:f>IF(J235="","",INDEX(Frozen_Predictions!$M$4:$M$303,MATCH(A235,Frozen_Predictions!$A$4:$A$303,0)))</x:f>
      </x:c>
      <x:c r="U235" t="str">
        <x:f>IF(J235="","",INDEX(Frozen_Predictions!$W$4:$W$303,MATCH(A235,Frozen_Predictions!$A$4:$A$303,0)))</x:f>
      </x:c>
      <x:c r="V235" t="str">
        <x:f>IF(J235="","",INDEX(Frozen_Predictions!$X$4:$X$303,MATCH(A235,Frozen_Predictions!$A$4:$A$303,0)))</x:f>
      </x:c>
      <x:c r="W235" t="str">
        <x:f>IF(A235="","",IF(COUNTIF($A$4:$A$303,A235)&lt;&gt;1,"ID DUPLICAT",IF(COUNTIF(Frozen_Predictions!$A$4:$A$303,A235)&lt;&gt;1,"ID INEXISTENT SAU DUPLICAT ÎN FROZEN",IF(COUNT(K235:L235)&lt;2,"COMPLETEAZĂ SCORUL","VERIFICAT"))))</x:f>
      </x:c>
    </x:row>
    <x:row r="236">
      <x:c r="A236" s="141"/>
      <x:c r="B236" t="str">
        <x:f>IF(OR(A236="",COUNTIF(Frozen_Predictions!$A$4:$A$303,A236)&lt;&gt;1),"",INDEX(Frozen_Predictions!$C$4:$C$303,MATCH(A236,Frozen_Predictions!$A$4:$A$303,0)))</x:f>
      </x:c>
      <x:c r="C236" t="str">
        <x:f>IF(OR(A236="",COUNTIF(Frozen_Predictions!$A$4:$A$303,A236)&lt;&gt;1),"",INDEX(Frozen_Predictions!$E$4:$E$303,MATCH(A236,Frozen_Predictions!$A$4:$A$303,0)))</x:f>
      </x:c>
      <x:c r="D236" t="str">
        <x:f>IF(OR(A236="",COUNTIF(Frozen_Predictions!$A$4:$A$303,A236)&lt;&gt;1),"",INDEX(Frozen_Predictions!$F$4:$F$303,MATCH(A236,Frozen_Predictions!$A$4:$A$303,0)))</x:f>
      </x:c>
      <x:c r="E236" t="str">
        <x:f>IF(OR(A236="",COUNTIF(Frozen_Predictions!$A$4:$A$303,A236)&lt;&gt;1),"",INDEX(Frozen_Predictions!$G$4:$G$303,MATCH(A236,Frozen_Predictions!$A$4:$A$303,0)))</x:f>
      </x:c>
      <x:c r="F236" t="str">
        <x:f>IF(OR(A236="",COUNTIF(Frozen_Predictions!$A$4:$A$303,A236)&lt;&gt;1),"",INDEX(Frozen_Predictions!$H$4:$H$303,MATCH(A236,Frozen_Predictions!$A$4:$A$303,0)))</x:f>
      </x:c>
      <x:c r="G236" t="str">
        <x:f>IF(OR(A236="",COUNTIF(Frozen_Predictions!$A$4:$A$303,A236)&lt;&gt;1),"",INDEX(Frozen_Predictions!$I$4:$I$303,MATCH(A236,Frozen_Predictions!$A$4:$A$303,0)))</x:f>
      </x:c>
      <x:c r="H236" t="str">
        <x:f>IF(OR(A236="",COUNTIF(Frozen_Predictions!$A$4:$A$303,A236)&lt;&gt;1),"",INDEX(Frozen_Predictions!$J$4:$J$303,MATCH(A236,Frozen_Predictions!$A$4:$A$303,0)))</x:f>
      </x:c>
      <x:c r="I236" t="str">
        <x:f>IF(OR(A236="",COUNTIF(Frozen_Predictions!$A$4:$A$303,A236)&lt;&gt;1),"",INDEX(Frozen_Predictions!$K$4:$K$303,MATCH(A236,Frozen_Predictions!$A$4:$A$303,0)))</x:f>
      </x:c>
      <x:c r="J236" s="142" t="str">
        <x:f>IF(OR(A236="",G236="",COUNT(K236:M236)&lt;3,COUNTIF($A$4:$A$303,A236)&lt;&gt;1),"",IF(IF(M236+F236&gt;0,"1",IF(M236+F236=0,"X","2"))=G236&amp;"",1,0))</x:f>
      </x:c>
      <x:c r="K236" s="143"/>
      <x:c r="L236" s="143"/>
      <x:c r="M236" s="142" t="str">
        <x:f>IF(AND(A236&lt;&gt;"",COUNT(K236:L236)=2),K236-L236,"")</x:f>
      </x:c>
      <x:c r="N236" s="142" t="str">
        <x:f>IF(J236="","",IF(M236+F236=0,"YES","NO"))</x:f>
      </x:c>
      <x:c r="O236" t="str">
        <x:f>IF(J236="","",IF(J236=1,"WIN",IF(N236="YES","Exact margin M="&amp;ABS(F236),"Direction / tail")))</x:f>
      </x:c>
      <x:c r="P236" s="141"/>
      <x:c r="Q236" s="141"/>
      <x:c r="R236" s="144" t="str">
        <x:f>IF(OR(I236="",J236=""),"",(I236-J236)^2)</x:f>
      </x:c>
      <x:c r="S236" s="144" t="str">
        <x:f>IF(OR(I236="",J236=""),"",-(J236*LN(MAX(MIN(I236,0.999999),0.000001))+(1-J236)*LN(MAX(MIN(1-I236,0.999999),0.000001))))</x:f>
      </x:c>
      <x:c r="T236" t="str">
        <x:f>IF(J236="","",INDEX(Frozen_Predictions!$M$4:$M$303,MATCH(A236,Frozen_Predictions!$A$4:$A$303,0)))</x:f>
      </x:c>
      <x:c r="U236" t="str">
        <x:f>IF(J236="","",INDEX(Frozen_Predictions!$W$4:$W$303,MATCH(A236,Frozen_Predictions!$A$4:$A$303,0)))</x:f>
      </x:c>
      <x:c r="V236" t="str">
        <x:f>IF(J236="","",INDEX(Frozen_Predictions!$X$4:$X$303,MATCH(A236,Frozen_Predictions!$A$4:$A$303,0)))</x:f>
      </x:c>
      <x:c r="W236" t="str">
        <x:f>IF(A236="","",IF(COUNTIF($A$4:$A$303,A236)&lt;&gt;1,"ID DUPLICAT",IF(COUNTIF(Frozen_Predictions!$A$4:$A$303,A236)&lt;&gt;1,"ID INEXISTENT SAU DUPLICAT ÎN FROZEN",IF(COUNT(K236:L236)&lt;2,"COMPLETEAZĂ SCORUL","VERIFICAT"))))</x:f>
      </x:c>
    </x:row>
    <x:row r="237">
      <x:c r="A237" s="141"/>
      <x:c r="B237" t="str">
        <x:f>IF(OR(A237="",COUNTIF(Frozen_Predictions!$A$4:$A$303,A237)&lt;&gt;1),"",INDEX(Frozen_Predictions!$C$4:$C$303,MATCH(A237,Frozen_Predictions!$A$4:$A$303,0)))</x:f>
      </x:c>
      <x:c r="C237" t="str">
        <x:f>IF(OR(A237="",COUNTIF(Frozen_Predictions!$A$4:$A$303,A237)&lt;&gt;1),"",INDEX(Frozen_Predictions!$E$4:$E$303,MATCH(A237,Frozen_Predictions!$A$4:$A$303,0)))</x:f>
      </x:c>
      <x:c r="D237" t="str">
        <x:f>IF(OR(A237="",COUNTIF(Frozen_Predictions!$A$4:$A$303,A237)&lt;&gt;1),"",INDEX(Frozen_Predictions!$F$4:$F$303,MATCH(A237,Frozen_Predictions!$A$4:$A$303,0)))</x:f>
      </x:c>
      <x:c r="E237" t="str">
        <x:f>IF(OR(A237="",COUNTIF(Frozen_Predictions!$A$4:$A$303,A237)&lt;&gt;1),"",INDEX(Frozen_Predictions!$G$4:$G$303,MATCH(A237,Frozen_Predictions!$A$4:$A$303,0)))</x:f>
      </x:c>
      <x:c r="F237" t="str">
        <x:f>IF(OR(A237="",COUNTIF(Frozen_Predictions!$A$4:$A$303,A237)&lt;&gt;1),"",INDEX(Frozen_Predictions!$H$4:$H$303,MATCH(A237,Frozen_Predictions!$A$4:$A$303,0)))</x:f>
      </x:c>
      <x:c r="G237" t="str">
        <x:f>IF(OR(A237="",COUNTIF(Frozen_Predictions!$A$4:$A$303,A237)&lt;&gt;1),"",INDEX(Frozen_Predictions!$I$4:$I$303,MATCH(A237,Frozen_Predictions!$A$4:$A$303,0)))</x:f>
      </x:c>
      <x:c r="H237" t="str">
        <x:f>IF(OR(A237="",COUNTIF(Frozen_Predictions!$A$4:$A$303,A237)&lt;&gt;1),"",INDEX(Frozen_Predictions!$J$4:$J$303,MATCH(A237,Frozen_Predictions!$A$4:$A$303,0)))</x:f>
      </x:c>
      <x:c r="I237" t="str">
        <x:f>IF(OR(A237="",COUNTIF(Frozen_Predictions!$A$4:$A$303,A237)&lt;&gt;1),"",INDEX(Frozen_Predictions!$K$4:$K$303,MATCH(A237,Frozen_Predictions!$A$4:$A$303,0)))</x:f>
      </x:c>
      <x:c r="J237" s="142" t="str">
        <x:f>IF(OR(A237="",G237="",COUNT(K237:M237)&lt;3,COUNTIF($A$4:$A$303,A237)&lt;&gt;1),"",IF(IF(M237+F237&gt;0,"1",IF(M237+F237=0,"X","2"))=G237&amp;"",1,0))</x:f>
      </x:c>
      <x:c r="K237" s="143"/>
      <x:c r="L237" s="143"/>
      <x:c r="M237" s="142" t="str">
        <x:f>IF(AND(A237&lt;&gt;"",COUNT(K237:L237)=2),K237-L237,"")</x:f>
      </x:c>
      <x:c r="N237" s="142" t="str">
        <x:f>IF(J237="","",IF(M237+F237=0,"YES","NO"))</x:f>
      </x:c>
      <x:c r="O237" t="str">
        <x:f>IF(J237="","",IF(J237=1,"WIN",IF(N237="YES","Exact margin M="&amp;ABS(F237),"Direction / tail")))</x:f>
      </x:c>
      <x:c r="P237" s="141"/>
      <x:c r="Q237" s="141"/>
      <x:c r="R237" s="144" t="str">
        <x:f>IF(OR(I237="",J237=""),"",(I237-J237)^2)</x:f>
      </x:c>
      <x:c r="S237" s="144" t="str">
        <x:f>IF(OR(I237="",J237=""),"",-(J237*LN(MAX(MIN(I237,0.999999),0.000001))+(1-J237)*LN(MAX(MIN(1-I237,0.999999),0.000001))))</x:f>
      </x:c>
      <x:c r="T237" t="str">
        <x:f>IF(J237="","",INDEX(Frozen_Predictions!$M$4:$M$303,MATCH(A237,Frozen_Predictions!$A$4:$A$303,0)))</x:f>
      </x:c>
      <x:c r="U237" t="str">
        <x:f>IF(J237="","",INDEX(Frozen_Predictions!$W$4:$W$303,MATCH(A237,Frozen_Predictions!$A$4:$A$303,0)))</x:f>
      </x:c>
      <x:c r="V237" t="str">
        <x:f>IF(J237="","",INDEX(Frozen_Predictions!$X$4:$X$303,MATCH(A237,Frozen_Predictions!$A$4:$A$303,0)))</x:f>
      </x:c>
      <x:c r="W237" t="str">
        <x:f>IF(A237="","",IF(COUNTIF($A$4:$A$303,A237)&lt;&gt;1,"ID DUPLICAT",IF(COUNTIF(Frozen_Predictions!$A$4:$A$303,A237)&lt;&gt;1,"ID INEXISTENT SAU DUPLICAT ÎN FROZEN",IF(COUNT(K237:L237)&lt;2,"COMPLETEAZĂ SCORUL","VERIFICAT"))))</x:f>
      </x:c>
    </x:row>
    <x:row r="238">
      <x:c r="A238" s="141"/>
      <x:c r="B238" t="str">
        <x:f>IF(OR(A238="",COUNTIF(Frozen_Predictions!$A$4:$A$303,A238)&lt;&gt;1),"",INDEX(Frozen_Predictions!$C$4:$C$303,MATCH(A238,Frozen_Predictions!$A$4:$A$303,0)))</x:f>
      </x:c>
      <x:c r="C238" t="str">
        <x:f>IF(OR(A238="",COUNTIF(Frozen_Predictions!$A$4:$A$303,A238)&lt;&gt;1),"",INDEX(Frozen_Predictions!$E$4:$E$303,MATCH(A238,Frozen_Predictions!$A$4:$A$303,0)))</x:f>
      </x:c>
      <x:c r="D238" t="str">
        <x:f>IF(OR(A238="",COUNTIF(Frozen_Predictions!$A$4:$A$303,A238)&lt;&gt;1),"",INDEX(Frozen_Predictions!$F$4:$F$303,MATCH(A238,Frozen_Predictions!$A$4:$A$303,0)))</x:f>
      </x:c>
      <x:c r="E238" t="str">
        <x:f>IF(OR(A238="",COUNTIF(Frozen_Predictions!$A$4:$A$303,A238)&lt;&gt;1),"",INDEX(Frozen_Predictions!$G$4:$G$303,MATCH(A238,Frozen_Predictions!$A$4:$A$303,0)))</x:f>
      </x:c>
      <x:c r="F238" t="str">
        <x:f>IF(OR(A238="",COUNTIF(Frozen_Predictions!$A$4:$A$303,A238)&lt;&gt;1),"",INDEX(Frozen_Predictions!$H$4:$H$303,MATCH(A238,Frozen_Predictions!$A$4:$A$303,0)))</x:f>
      </x:c>
      <x:c r="G238" t="str">
        <x:f>IF(OR(A238="",COUNTIF(Frozen_Predictions!$A$4:$A$303,A238)&lt;&gt;1),"",INDEX(Frozen_Predictions!$I$4:$I$303,MATCH(A238,Frozen_Predictions!$A$4:$A$303,0)))</x:f>
      </x:c>
      <x:c r="H238" t="str">
        <x:f>IF(OR(A238="",COUNTIF(Frozen_Predictions!$A$4:$A$303,A238)&lt;&gt;1),"",INDEX(Frozen_Predictions!$J$4:$J$303,MATCH(A238,Frozen_Predictions!$A$4:$A$303,0)))</x:f>
      </x:c>
      <x:c r="I238" t="str">
        <x:f>IF(OR(A238="",COUNTIF(Frozen_Predictions!$A$4:$A$303,A238)&lt;&gt;1),"",INDEX(Frozen_Predictions!$K$4:$K$303,MATCH(A238,Frozen_Predictions!$A$4:$A$303,0)))</x:f>
      </x:c>
      <x:c r="J238" s="142" t="str">
        <x:f>IF(OR(A238="",G238="",COUNT(K238:M238)&lt;3,COUNTIF($A$4:$A$303,A238)&lt;&gt;1),"",IF(IF(M238+F238&gt;0,"1",IF(M238+F238=0,"X","2"))=G238&amp;"",1,0))</x:f>
      </x:c>
      <x:c r="K238" s="143"/>
      <x:c r="L238" s="143"/>
      <x:c r="M238" s="142" t="str">
        <x:f>IF(AND(A238&lt;&gt;"",COUNT(K238:L238)=2),K238-L238,"")</x:f>
      </x:c>
      <x:c r="N238" s="142" t="str">
        <x:f>IF(J238="","",IF(M238+F238=0,"YES","NO"))</x:f>
      </x:c>
      <x:c r="O238" t="str">
        <x:f>IF(J238="","",IF(J238=1,"WIN",IF(N238="YES","Exact margin M="&amp;ABS(F238),"Direction / tail")))</x:f>
      </x:c>
      <x:c r="P238" s="141"/>
      <x:c r="Q238" s="141"/>
      <x:c r="R238" s="144" t="str">
        <x:f>IF(OR(I238="",J238=""),"",(I238-J238)^2)</x:f>
      </x:c>
      <x:c r="S238" s="144" t="str">
        <x:f>IF(OR(I238="",J238=""),"",-(J238*LN(MAX(MIN(I238,0.999999),0.000001))+(1-J238)*LN(MAX(MIN(1-I238,0.999999),0.000001))))</x:f>
      </x:c>
      <x:c r="T238" t="str">
        <x:f>IF(J238="","",INDEX(Frozen_Predictions!$M$4:$M$303,MATCH(A238,Frozen_Predictions!$A$4:$A$303,0)))</x:f>
      </x:c>
      <x:c r="U238" t="str">
        <x:f>IF(J238="","",INDEX(Frozen_Predictions!$W$4:$W$303,MATCH(A238,Frozen_Predictions!$A$4:$A$303,0)))</x:f>
      </x:c>
      <x:c r="V238" t="str">
        <x:f>IF(J238="","",INDEX(Frozen_Predictions!$X$4:$X$303,MATCH(A238,Frozen_Predictions!$A$4:$A$303,0)))</x:f>
      </x:c>
      <x:c r="W238" t="str">
        <x:f>IF(A238="","",IF(COUNTIF($A$4:$A$303,A238)&lt;&gt;1,"ID DUPLICAT",IF(COUNTIF(Frozen_Predictions!$A$4:$A$303,A238)&lt;&gt;1,"ID INEXISTENT SAU DUPLICAT ÎN FROZEN",IF(COUNT(K238:L238)&lt;2,"COMPLETEAZĂ SCORUL","VERIFICAT"))))</x:f>
      </x:c>
    </x:row>
    <x:row r="239">
      <x:c r="A239" s="141"/>
      <x:c r="B239" t="str">
        <x:f>IF(OR(A239="",COUNTIF(Frozen_Predictions!$A$4:$A$303,A239)&lt;&gt;1),"",INDEX(Frozen_Predictions!$C$4:$C$303,MATCH(A239,Frozen_Predictions!$A$4:$A$303,0)))</x:f>
      </x:c>
      <x:c r="C239" t="str">
        <x:f>IF(OR(A239="",COUNTIF(Frozen_Predictions!$A$4:$A$303,A239)&lt;&gt;1),"",INDEX(Frozen_Predictions!$E$4:$E$303,MATCH(A239,Frozen_Predictions!$A$4:$A$303,0)))</x:f>
      </x:c>
      <x:c r="D239" t="str">
        <x:f>IF(OR(A239="",COUNTIF(Frozen_Predictions!$A$4:$A$303,A239)&lt;&gt;1),"",INDEX(Frozen_Predictions!$F$4:$F$303,MATCH(A239,Frozen_Predictions!$A$4:$A$303,0)))</x:f>
      </x:c>
      <x:c r="E239" t="str">
        <x:f>IF(OR(A239="",COUNTIF(Frozen_Predictions!$A$4:$A$303,A239)&lt;&gt;1),"",INDEX(Frozen_Predictions!$G$4:$G$303,MATCH(A239,Frozen_Predictions!$A$4:$A$303,0)))</x:f>
      </x:c>
      <x:c r="F239" t="str">
        <x:f>IF(OR(A239="",COUNTIF(Frozen_Predictions!$A$4:$A$303,A239)&lt;&gt;1),"",INDEX(Frozen_Predictions!$H$4:$H$303,MATCH(A239,Frozen_Predictions!$A$4:$A$303,0)))</x:f>
      </x:c>
      <x:c r="G239" t="str">
        <x:f>IF(OR(A239="",COUNTIF(Frozen_Predictions!$A$4:$A$303,A239)&lt;&gt;1),"",INDEX(Frozen_Predictions!$I$4:$I$303,MATCH(A239,Frozen_Predictions!$A$4:$A$303,0)))</x:f>
      </x:c>
      <x:c r="H239" t="str">
        <x:f>IF(OR(A239="",COUNTIF(Frozen_Predictions!$A$4:$A$303,A239)&lt;&gt;1),"",INDEX(Frozen_Predictions!$J$4:$J$303,MATCH(A239,Frozen_Predictions!$A$4:$A$303,0)))</x:f>
      </x:c>
      <x:c r="I239" t="str">
        <x:f>IF(OR(A239="",COUNTIF(Frozen_Predictions!$A$4:$A$303,A239)&lt;&gt;1),"",INDEX(Frozen_Predictions!$K$4:$K$303,MATCH(A239,Frozen_Predictions!$A$4:$A$303,0)))</x:f>
      </x:c>
      <x:c r="J239" s="142" t="str">
        <x:f>IF(OR(A239="",G239="",COUNT(K239:M239)&lt;3,COUNTIF($A$4:$A$303,A239)&lt;&gt;1),"",IF(IF(M239+F239&gt;0,"1",IF(M239+F239=0,"X","2"))=G239&amp;"",1,0))</x:f>
      </x:c>
      <x:c r="K239" s="143"/>
      <x:c r="L239" s="143"/>
      <x:c r="M239" s="142" t="str">
        <x:f>IF(AND(A239&lt;&gt;"",COUNT(K239:L239)=2),K239-L239,"")</x:f>
      </x:c>
      <x:c r="N239" s="142" t="str">
        <x:f>IF(J239="","",IF(M239+F239=0,"YES","NO"))</x:f>
      </x:c>
      <x:c r="O239" t="str">
        <x:f>IF(J239="","",IF(J239=1,"WIN",IF(N239="YES","Exact margin M="&amp;ABS(F239),"Direction / tail")))</x:f>
      </x:c>
      <x:c r="P239" s="141"/>
      <x:c r="Q239" s="141"/>
      <x:c r="R239" s="144" t="str">
        <x:f>IF(OR(I239="",J239=""),"",(I239-J239)^2)</x:f>
      </x:c>
      <x:c r="S239" s="144" t="str">
        <x:f>IF(OR(I239="",J239=""),"",-(J239*LN(MAX(MIN(I239,0.999999),0.000001))+(1-J239)*LN(MAX(MIN(1-I239,0.999999),0.000001))))</x:f>
      </x:c>
      <x:c r="T239" t="str">
        <x:f>IF(J239="","",INDEX(Frozen_Predictions!$M$4:$M$303,MATCH(A239,Frozen_Predictions!$A$4:$A$303,0)))</x:f>
      </x:c>
      <x:c r="U239" t="str">
        <x:f>IF(J239="","",INDEX(Frozen_Predictions!$W$4:$W$303,MATCH(A239,Frozen_Predictions!$A$4:$A$303,0)))</x:f>
      </x:c>
      <x:c r="V239" t="str">
        <x:f>IF(J239="","",INDEX(Frozen_Predictions!$X$4:$X$303,MATCH(A239,Frozen_Predictions!$A$4:$A$303,0)))</x:f>
      </x:c>
      <x:c r="W239" t="str">
        <x:f>IF(A239="","",IF(COUNTIF($A$4:$A$303,A239)&lt;&gt;1,"ID DUPLICAT",IF(COUNTIF(Frozen_Predictions!$A$4:$A$303,A239)&lt;&gt;1,"ID INEXISTENT SAU DUPLICAT ÎN FROZEN",IF(COUNT(K239:L239)&lt;2,"COMPLETEAZĂ SCORUL","VERIFICAT"))))</x:f>
      </x:c>
    </x:row>
    <x:row r="240">
      <x:c r="A240" s="141"/>
      <x:c r="B240" t="str">
        <x:f>IF(OR(A240="",COUNTIF(Frozen_Predictions!$A$4:$A$303,A240)&lt;&gt;1),"",INDEX(Frozen_Predictions!$C$4:$C$303,MATCH(A240,Frozen_Predictions!$A$4:$A$303,0)))</x:f>
      </x:c>
      <x:c r="C240" t="str">
        <x:f>IF(OR(A240="",COUNTIF(Frozen_Predictions!$A$4:$A$303,A240)&lt;&gt;1),"",INDEX(Frozen_Predictions!$E$4:$E$303,MATCH(A240,Frozen_Predictions!$A$4:$A$303,0)))</x:f>
      </x:c>
      <x:c r="D240" t="str">
        <x:f>IF(OR(A240="",COUNTIF(Frozen_Predictions!$A$4:$A$303,A240)&lt;&gt;1),"",INDEX(Frozen_Predictions!$F$4:$F$303,MATCH(A240,Frozen_Predictions!$A$4:$A$303,0)))</x:f>
      </x:c>
      <x:c r="E240" t="str">
        <x:f>IF(OR(A240="",COUNTIF(Frozen_Predictions!$A$4:$A$303,A240)&lt;&gt;1),"",INDEX(Frozen_Predictions!$G$4:$G$303,MATCH(A240,Frozen_Predictions!$A$4:$A$303,0)))</x:f>
      </x:c>
      <x:c r="F240" t="str">
        <x:f>IF(OR(A240="",COUNTIF(Frozen_Predictions!$A$4:$A$303,A240)&lt;&gt;1),"",INDEX(Frozen_Predictions!$H$4:$H$303,MATCH(A240,Frozen_Predictions!$A$4:$A$303,0)))</x:f>
      </x:c>
      <x:c r="G240" t="str">
        <x:f>IF(OR(A240="",COUNTIF(Frozen_Predictions!$A$4:$A$303,A240)&lt;&gt;1),"",INDEX(Frozen_Predictions!$I$4:$I$303,MATCH(A240,Frozen_Predictions!$A$4:$A$303,0)))</x:f>
      </x:c>
      <x:c r="H240" t="str">
        <x:f>IF(OR(A240="",COUNTIF(Frozen_Predictions!$A$4:$A$303,A240)&lt;&gt;1),"",INDEX(Frozen_Predictions!$J$4:$J$303,MATCH(A240,Frozen_Predictions!$A$4:$A$303,0)))</x:f>
      </x:c>
      <x:c r="I240" t="str">
        <x:f>IF(OR(A240="",COUNTIF(Frozen_Predictions!$A$4:$A$303,A240)&lt;&gt;1),"",INDEX(Frozen_Predictions!$K$4:$K$303,MATCH(A240,Frozen_Predictions!$A$4:$A$303,0)))</x:f>
      </x:c>
      <x:c r="J240" s="142" t="str">
        <x:f>IF(OR(A240="",G240="",COUNT(K240:M240)&lt;3,COUNTIF($A$4:$A$303,A240)&lt;&gt;1),"",IF(IF(M240+F240&gt;0,"1",IF(M240+F240=0,"X","2"))=G240&amp;"",1,0))</x:f>
      </x:c>
      <x:c r="K240" s="143"/>
      <x:c r="L240" s="143"/>
      <x:c r="M240" s="142" t="str">
        <x:f>IF(AND(A240&lt;&gt;"",COUNT(K240:L240)=2),K240-L240,"")</x:f>
      </x:c>
      <x:c r="N240" s="142" t="str">
        <x:f>IF(J240="","",IF(M240+F240=0,"YES","NO"))</x:f>
      </x:c>
      <x:c r="O240" t="str">
        <x:f>IF(J240="","",IF(J240=1,"WIN",IF(N240="YES","Exact margin M="&amp;ABS(F240),"Direction / tail")))</x:f>
      </x:c>
      <x:c r="P240" s="141"/>
      <x:c r="Q240" s="141"/>
      <x:c r="R240" s="144" t="str">
        <x:f>IF(OR(I240="",J240=""),"",(I240-J240)^2)</x:f>
      </x:c>
      <x:c r="S240" s="144" t="str">
        <x:f>IF(OR(I240="",J240=""),"",-(J240*LN(MAX(MIN(I240,0.999999),0.000001))+(1-J240)*LN(MAX(MIN(1-I240,0.999999),0.000001))))</x:f>
      </x:c>
      <x:c r="T240" t="str">
        <x:f>IF(J240="","",INDEX(Frozen_Predictions!$M$4:$M$303,MATCH(A240,Frozen_Predictions!$A$4:$A$303,0)))</x:f>
      </x:c>
      <x:c r="U240" t="str">
        <x:f>IF(J240="","",INDEX(Frozen_Predictions!$W$4:$W$303,MATCH(A240,Frozen_Predictions!$A$4:$A$303,0)))</x:f>
      </x:c>
      <x:c r="V240" t="str">
        <x:f>IF(J240="","",INDEX(Frozen_Predictions!$X$4:$X$303,MATCH(A240,Frozen_Predictions!$A$4:$A$303,0)))</x:f>
      </x:c>
      <x:c r="W240" t="str">
        <x:f>IF(A240="","",IF(COUNTIF($A$4:$A$303,A240)&lt;&gt;1,"ID DUPLICAT",IF(COUNTIF(Frozen_Predictions!$A$4:$A$303,A240)&lt;&gt;1,"ID INEXISTENT SAU DUPLICAT ÎN FROZEN",IF(COUNT(K240:L240)&lt;2,"COMPLETEAZĂ SCORUL","VERIFICAT"))))</x:f>
      </x:c>
    </x:row>
    <x:row r="241">
      <x:c r="A241" s="141"/>
      <x:c r="B241" t="str">
        <x:f>IF(OR(A241="",COUNTIF(Frozen_Predictions!$A$4:$A$303,A241)&lt;&gt;1),"",INDEX(Frozen_Predictions!$C$4:$C$303,MATCH(A241,Frozen_Predictions!$A$4:$A$303,0)))</x:f>
      </x:c>
      <x:c r="C241" t="str">
        <x:f>IF(OR(A241="",COUNTIF(Frozen_Predictions!$A$4:$A$303,A241)&lt;&gt;1),"",INDEX(Frozen_Predictions!$E$4:$E$303,MATCH(A241,Frozen_Predictions!$A$4:$A$303,0)))</x:f>
      </x:c>
      <x:c r="D241" t="str">
        <x:f>IF(OR(A241="",COUNTIF(Frozen_Predictions!$A$4:$A$303,A241)&lt;&gt;1),"",INDEX(Frozen_Predictions!$F$4:$F$303,MATCH(A241,Frozen_Predictions!$A$4:$A$303,0)))</x:f>
      </x:c>
      <x:c r="E241" t="str">
        <x:f>IF(OR(A241="",COUNTIF(Frozen_Predictions!$A$4:$A$303,A241)&lt;&gt;1),"",INDEX(Frozen_Predictions!$G$4:$G$303,MATCH(A241,Frozen_Predictions!$A$4:$A$303,0)))</x:f>
      </x:c>
      <x:c r="F241" t="str">
        <x:f>IF(OR(A241="",COUNTIF(Frozen_Predictions!$A$4:$A$303,A241)&lt;&gt;1),"",INDEX(Frozen_Predictions!$H$4:$H$303,MATCH(A241,Frozen_Predictions!$A$4:$A$303,0)))</x:f>
      </x:c>
      <x:c r="G241" t="str">
        <x:f>IF(OR(A241="",COUNTIF(Frozen_Predictions!$A$4:$A$303,A241)&lt;&gt;1),"",INDEX(Frozen_Predictions!$I$4:$I$303,MATCH(A241,Frozen_Predictions!$A$4:$A$303,0)))</x:f>
      </x:c>
      <x:c r="H241" t="str">
        <x:f>IF(OR(A241="",COUNTIF(Frozen_Predictions!$A$4:$A$303,A241)&lt;&gt;1),"",INDEX(Frozen_Predictions!$J$4:$J$303,MATCH(A241,Frozen_Predictions!$A$4:$A$303,0)))</x:f>
      </x:c>
      <x:c r="I241" t="str">
        <x:f>IF(OR(A241="",COUNTIF(Frozen_Predictions!$A$4:$A$303,A241)&lt;&gt;1),"",INDEX(Frozen_Predictions!$K$4:$K$303,MATCH(A241,Frozen_Predictions!$A$4:$A$303,0)))</x:f>
      </x:c>
      <x:c r="J241" s="142" t="str">
        <x:f>IF(OR(A241="",G241="",COUNT(K241:M241)&lt;3,COUNTIF($A$4:$A$303,A241)&lt;&gt;1),"",IF(IF(M241+F241&gt;0,"1",IF(M241+F241=0,"X","2"))=G241&amp;"",1,0))</x:f>
      </x:c>
      <x:c r="K241" s="143"/>
      <x:c r="L241" s="143"/>
      <x:c r="M241" s="142" t="str">
        <x:f>IF(AND(A241&lt;&gt;"",COUNT(K241:L241)=2),K241-L241,"")</x:f>
      </x:c>
      <x:c r="N241" s="142" t="str">
        <x:f>IF(J241="","",IF(M241+F241=0,"YES","NO"))</x:f>
      </x:c>
      <x:c r="O241" t="str">
        <x:f>IF(J241="","",IF(J241=1,"WIN",IF(N241="YES","Exact margin M="&amp;ABS(F241),"Direction / tail")))</x:f>
      </x:c>
      <x:c r="P241" s="141"/>
      <x:c r="Q241" s="141"/>
      <x:c r="R241" s="144" t="str">
        <x:f>IF(OR(I241="",J241=""),"",(I241-J241)^2)</x:f>
      </x:c>
      <x:c r="S241" s="144" t="str">
        <x:f>IF(OR(I241="",J241=""),"",-(J241*LN(MAX(MIN(I241,0.999999),0.000001))+(1-J241)*LN(MAX(MIN(1-I241,0.999999),0.000001))))</x:f>
      </x:c>
      <x:c r="T241" t="str">
        <x:f>IF(J241="","",INDEX(Frozen_Predictions!$M$4:$M$303,MATCH(A241,Frozen_Predictions!$A$4:$A$303,0)))</x:f>
      </x:c>
      <x:c r="U241" t="str">
        <x:f>IF(J241="","",INDEX(Frozen_Predictions!$W$4:$W$303,MATCH(A241,Frozen_Predictions!$A$4:$A$303,0)))</x:f>
      </x:c>
      <x:c r="V241" t="str">
        <x:f>IF(J241="","",INDEX(Frozen_Predictions!$X$4:$X$303,MATCH(A241,Frozen_Predictions!$A$4:$A$303,0)))</x:f>
      </x:c>
      <x:c r="W241" t="str">
        <x:f>IF(A241="","",IF(COUNTIF($A$4:$A$303,A241)&lt;&gt;1,"ID DUPLICAT",IF(COUNTIF(Frozen_Predictions!$A$4:$A$303,A241)&lt;&gt;1,"ID INEXISTENT SAU DUPLICAT ÎN FROZEN",IF(COUNT(K241:L241)&lt;2,"COMPLETEAZĂ SCORUL","VERIFICAT"))))</x:f>
      </x:c>
    </x:row>
    <x:row r="242">
      <x:c r="A242" s="141"/>
      <x:c r="B242" t="str">
        <x:f>IF(OR(A242="",COUNTIF(Frozen_Predictions!$A$4:$A$303,A242)&lt;&gt;1),"",INDEX(Frozen_Predictions!$C$4:$C$303,MATCH(A242,Frozen_Predictions!$A$4:$A$303,0)))</x:f>
      </x:c>
      <x:c r="C242" t="str">
        <x:f>IF(OR(A242="",COUNTIF(Frozen_Predictions!$A$4:$A$303,A242)&lt;&gt;1),"",INDEX(Frozen_Predictions!$E$4:$E$303,MATCH(A242,Frozen_Predictions!$A$4:$A$303,0)))</x:f>
      </x:c>
      <x:c r="D242" t="str">
        <x:f>IF(OR(A242="",COUNTIF(Frozen_Predictions!$A$4:$A$303,A242)&lt;&gt;1),"",INDEX(Frozen_Predictions!$F$4:$F$303,MATCH(A242,Frozen_Predictions!$A$4:$A$303,0)))</x:f>
      </x:c>
      <x:c r="E242" t="str">
        <x:f>IF(OR(A242="",COUNTIF(Frozen_Predictions!$A$4:$A$303,A242)&lt;&gt;1),"",INDEX(Frozen_Predictions!$G$4:$G$303,MATCH(A242,Frozen_Predictions!$A$4:$A$303,0)))</x:f>
      </x:c>
      <x:c r="F242" t="str">
        <x:f>IF(OR(A242="",COUNTIF(Frozen_Predictions!$A$4:$A$303,A242)&lt;&gt;1),"",INDEX(Frozen_Predictions!$H$4:$H$303,MATCH(A242,Frozen_Predictions!$A$4:$A$303,0)))</x:f>
      </x:c>
      <x:c r="G242" t="str">
        <x:f>IF(OR(A242="",COUNTIF(Frozen_Predictions!$A$4:$A$303,A242)&lt;&gt;1),"",INDEX(Frozen_Predictions!$I$4:$I$303,MATCH(A242,Frozen_Predictions!$A$4:$A$303,0)))</x:f>
      </x:c>
      <x:c r="H242" t="str">
        <x:f>IF(OR(A242="",COUNTIF(Frozen_Predictions!$A$4:$A$303,A242)&lt;&gt;1),"",INDEX(Frozen_Predictions!$J$4:$J$303,MATCH(A242,Frozen_Predictions!$A$4:$A$303,0)))</x:f>
      </x:c>
      <x:c r="I242" t="str">
        <x:f>IF(OR(A242="",COUNTIF(Frozen_Predictions!$A$4:$A$303,A242)&lt;&gt;1),"",INDEX(Frozen_Predictions!$K$4:$K$303,MATCH(A242,Frozen_Predictions!$A$4:$A$303,0)))</x:f>
      </x:c>
      <x:c r="J242" s="142" t="str">
        <x:f>IF(OR(A242="",G242="",COUNT(K242:M242)&lt;3,COUNTIF($A$4:$A$303,A242)&lt;&gt;1),"",IF(IF(M242+F242&gt;0,"1",IF(M242+F242=0,"X","2"))=G242&amp;"",1,0))</x:f>
      </x:c>
      <x:c r="K242" s="143"/>
      <x:c r="L242" s="143"/>
      <x:c r="M242" s="142" t="str">
        <x:f>IF(AND(A242&lt;&gt;"",COUNT(K242:L242)=2),K242-L242,"")</x:f>
      </x:c>
      <x:c r="N242" s="142" t="str">
        <x:f>IF(J242="","",IF(M242+F242=0,"YES","NO"))</x:f>
      </x:c>
      <x:c r="O242" t="str">
        <x:f>IF(J242="","",IF(J242=1,"WIN",IF(N242="YES","Exact margin M="&amp;ABS(F242),"Direction / tail")))</x:f>
      </x:c>
      <x:c r="P242" s="141"/>
      <x:c r="Q242" s="141"/>
      <x:c r="R242" s="144" t="str">
        <x:f>IF(OR(I242="",J242=""),"",(I242-J242)^2)</x:f>
      </x:c>
      <x:c r="S242" s="144" t="str">
        <x:f>IF(OR(I242="",J242=""),"",-(J242*LN(MAX(MIN(I242,0.999999),0.000001))+(1-J242)*LN(MAX(MIN(1-I242,0.999999),0.000001))))</x:f>
      </x:c>
      <x:c r="T242" t="str">
        <x:f>IF(J242="","",INDEX(Frozen_Predictions!$M$4:$M$303,MATCH(A242,Frozen_Predictions!$A$4:$A$303,0)))</x:f>
      </x:c>
      <x:c r="U242" t="str">
        <x:f>IF(J242="","",INDEX(Frozen_Predictions!$W$4:$W$303,MATCH(A242,Frozen_Predictions!$A$4:$A$303,0)))</x:f>
      </x:c>
      <x:c r="V242" t="str">
        <x:f>IF(J242="","",INDEX(Frozen_Predictions!$X$4:$X$303,MATCH(A242,Frozen_Predictions!$A$4:$A$303,0)))</x:f>
      </x:c>
      <x:c r="W242" t="str">
        <x:f>IF(A242="","",IF(COUNTIF($A$4:$A$303,A242)&lt;&gt;1,"ID DUPLICAT",IF(COUNTIF(Frozen_Predictions!$A$4:$A$303,A242)&lt;&gt;1,"ID INEXISTENT SAU DUPLICAT ÎN FROZEN",IF(COUNT(K242:L242)&lt;2,"COMPLETEAZĂ SCORUL","VERIFICAT"))))</x:f>
      </x:c>
    </x:row>
    <x:row r="243">
      <x:c r="A243" s="141"/>
      <x:c r="B243" t="str">
        <x:f>IF(OR(A243="",COUNTIF(Frozen_Predictions!$A$4:$A$303,A243)&lt;&gt;1),"",INDEX(Frozen_Predictions!$C$4:$C$303,MATCH(A243,Frozen_Predictions!$A$4:$A$303,0)))</x:f>
      </x:c>
      <x:c r="C243" t="str">
        <x:f>IF(OR(A243="",COUNTIF(Frozen_Predictions!$A$4:$A$303,A243)&lt;&gt;1),"",INDEX(Frozen_Predictions!$E$4:$E$303,MATCH(A243,Frozen_Predictions!$A$4:$A$303,0)))</x:f>
      </x:c>
      <x:c r="D243" t="str">
        <x:f>IF(OR(A243="",COUNTIF(Frozen_Predictions!$A$4:$A$303,A243)&lt;&gt;1),"",INDEX(Frozen_Predictions!$F$4:$F$303,MATCH(A243,Frozen_Predictions!$A$4:$A$303,0)))</x:f>
      </x:c>
      <x:c r="E243" t="str">
        <x:f>IF(OR(A243="",COUNTIF(Frozen_Predictions!$A$4:$A$303,A243)&lt;&gt;1),"",INDEX(Frozen_Predictions!$G$4:$G$303,MATCH(A243,Frozen_Predictions!$A$4:$A$303,0)))</x:f>
      </x:c>
      <x:c r="F243" t="str">
        <x:f>IF(OR(A243="",COUNTIF(Frozen_Predictions!$A$4:$A$303,A243)&lt;&gt;1),"",INDEX(Frozen_Predictions!$H$4:$H$303,MATCH(A243,Frozen_Predictions!$A$4:$A$303,0)))</x:f>
      </x:c>
      <x:c r="G243" t="str">
        <x:f>IF(OR(A243="",COUNTIF(Frozen_Predictions!$A$4:$A$303,A243)&lt;&gt;1),"",INDEX(Frozen_Predictions!$I$4:$I$303,MATCH(A243,Frozen_Predictions!$A$4:$A$303,0)))</x:f>
      </x:c>
      <x:c r="H243" t="str">
        <x:f>IF(OR(A243="",COUNTIF(Frozen_Predictions!$A$4:$A$303,A243)&lt;&gt;1),"",INDEX(Frozen_Predictions!$J$4:$J$303,MATCH(A243,Frozen_Predictions!$A$4:$A$303,0)))</x:f>
      </x:c>
      <x:c r="I243" t="str">
        <x:f>IF(OR(A243="",COUNTIF(Frozen_Predictions!$A$4:$A$303,A243)&lt;&gt;1),"",INDEX(Frozen_Predictions!$K$4:$K$303,MATCH(A243,Frozen_Predictions!$A$4:$A$303,0)))</x:f>
      </x:c>
      <x:c r="J243" s="142" t="str">
        <x:f>IF(OR(A243="",G243="",COUNT(K243:M243)&lt;3,COUNTIF($A$4:$A$303,A243)&lt;&gt;1),"",IF(IF(M243+F243&gt;0,"1",IF(M243+F243=0,"X","2"))=G243&amp;"",1,0))</x:f>
      </x:c>
      <x:c r="K243" s="143"/>
      <x:c r="L243" s="143"/>
      <x:c r="M243" s="142" t="str">
        <x:f>IF(AND(A243&lt;&gt;"",COUNT(K243:L243)=2),K243-L243,"")</x:f>
      </x:c>
      <x:c r="N243" s="142" t="str">
        <x:f>IF(J243="","",IF(M243+F243=0,"YES","NO"))</x:f>
      </x:c>
      <x:c r="O243" t="str">
        <x:f>IF(J243="","",IF(J243=1,"WIN",IF(N243="YES","Exact margin M="&amp;ABS(F243),"Direction / tail")))</x:f>
      </x:c>
      <x:c r="P243" s="141"/>
      <x:c r="Q243" s="141"/>
      <x:c r="R243" s="144" t="str">
        <x:f>IF(OR(I243="",J243=""),"",(I243-J243)^2)</x:f>
      </x:c>
      <x:c r="S243" s="144" t="str">
        <x:f>IF(OR(I243="",J243=""),"",-(J243*LN(MAX(MIN(I243,0.999999),0.000001))+(1-J243)*LN(MAX(MIN(1-I243,0.999999),0.000001))))</x:f>
      </x:c>
      <x:c r="T243" t="str">
        <x:f>IF(J243="","",INDEX(Frozen_Predictions!$M$4:$M$303,MATCH(A243,Frozen_Predictions!$A$4:$A$303,0)))</x:f>
      </x:c>
      <x:c r="U243" t="str">
        <x:f>IF(J243="","",INDEX(Frozen_Predictions!$W$4:$W$303,MATCH(A243,Frozen_Predictions!$A$4:$A$303,0)))</x:f>
      </x:c>
      <x:c r="V243" t="str">
        <x:f>IF(J243="","",INDEX(Frozen_Predictions!$X$4:$X$303,MATCH(A243,Frozen_Predictions!$A$4:$A$303,0)))</x:f>
      </x:c>
      <x:c r="W243" t="str">
        <x:f>IF(A243="","",IF(COUNTIF($A$4:$A$303,A243)&lt;&gt;1,"ID DUPLICAT",IF(COUNTIF(Frozen_Predictions!$A$4:$A$303,A243)&lt;&gt;1,"ID INEXISTENT SAU DUPLICAT ÎN FROZEN",IF(COUNT(K243:L243)&lt;2,"COMPLETEAZĂ SCORUL","VERIFICAT"))))</x:f>
      </x:c>
    </x:row>
    <x:row r="244">
      <x:c r="A244" s="141"/>
      <x:c r="B244" t="str">
        <x:f>IF(OR(A244="",COUNTIF(Frozen_Predictions!$A$4:$A$303,A244)&lt;&gt;1),"",INDEX(Frozen_Predictions!$C$4:$C$303,MATCH(A244,Frozen_Predictions!$A$4:$A$303,0)))</x:f>
      </x:c>
      <x:c r="C244" t="str">
        <x:f>IF(OR(A244="",COUNTIF(Frozen_Predictions!$A$4:$A$303,A244)&lt;&gt;1),"",INDEX(Frozen_Predictions!$E$4:$E$303,MATCH(A244,Frozen_Predictions!$A$4:$A$303,0)))</x:f>
      </x:c>
      <x:c r="D244" t="str">
        <x:f>IF(OR(A244="",COUNTIF(Frozen_Predictions!$A$4:$A$303,A244)&lt;&gt;1),"",INDEX(Frozen_Predictions!$F$4:$F$303,MATCH(A244,Frozen_Predictions!$A$4:$A$303,0)))</x:f>
      </x:c>
      <x:c r="E244" t="str">
        <x:f>IF(OR(A244="",COUNTIF(Frozen_Predictions!$A$4:$A$303,A244)&lt;&gt;1),"",INDEX(Frozen_Predictions!$G$4:$G$303,MATCH(A244,Frozen_Predictions!$A$4:$A$303,0)))</x:f>
      </x:c>
      <x:c r="F244" t="str">
        <x:f>IF(OR(A244="",COUNTIF(Frozen_Predictions!$A$4:$A$303,A244)&lt;&gt;1),"",INDEX(Frozen_Predictions!$H$4:$H$303,MATCH(A244,Frozen_Predictions!$A$4:$A$303,0)))</x:f>
      </x:c>
      <x:c r="G244" t="str">
        <x:f>IF(OR(A244="",COUNTIF(Frozen_Predictions!$A$4:$A$303,A244)&lt;&gt;1),"",INDEX(Frozen_Predictions!$I$4:$I$303,MATCH(A244,Frozen_Predictions!$A$4:$A$303,0)))</x:f>
      </x:c>
      <x:c r="H244" t="str">
        <x:f>IF(OR(A244="",COUNTIF(Frozen_Predictions!$A$4:$A$303,A244)&lt;&gt;1),"",INDEX(Frozen_Predictions!$J$4:$J$303,MATCH(A244,Frozen_Predictions!$A$4:$A$303,0)))</x:f>
      </x:c>
      <x:c r="I244" t="str">
        <x:f>IF(OR(A244="",COUNTIF(Frozen_Predictions!$A$4:$A$303,A244)&lt;&gt;1),"",INDEX(Frozen_Predictions!$K$4:$K$303,MATCH(A244,Frozen_Predictions!$A$4:$A$303,0)))</x:f>
      </x:c>
      <x:c r="J244" s="142" t="str">
        <x:f>IF(OR(A244="",G244="",COUNT(K244:M244)&lt;3,COUNTIF($A$4:$A$303,A244)&lt;&gt;1),"",IF(IF(M244+F244&gt;0,"1",IF(M244+F244=0,"X","2"))=G244&amp;"",1,0))</x:f>
      </x:c>
      <x:c r="K244" s="143"/>
      <x:c r="L244" s="143"/>
      <x:c r="M244" s="142" t="str">
        <x:f>IF(AND(A244&lt;&gt;"",COUNT(K244:L244)=2),K244-L244,"")</x:f>
      </x:c>
      <x:c r="N244" s="142" t="str">
        <x:f>IF(J244="","",IF(M244+F244=0,"YES","NO"))</x:f>
      </x:c>
      <x:c r="O244" t="str">
        <x:f>IF(J244="","",IF(J244=1,"WIN",IF(N244="YES","Exact margin M="&amp;ABS(F244),"Direction / tail")))</x:f>
      </x:c>
      <x:c r="P244" s="141"/>
      <x:c r="Q244" s="141"/>
      <x:c r="R244" s="144" t="str">
        <x:f>IF(OR(I244="",J244=""),"",(I244-J244)^2)</x:f>
      </x:c>
      <x:c r="S244" s="144" t="str">
        <x:f>IF(OR(I244="",J244=""),"",-(J244*LN(MAX(MIN(I244,0.999999),0.000001))+(1-J244)*LN(MAX(MIN(1-I244,0.999999),0.000001))))</x:f>
      </x:c>
      <x:c r="T244" t="str">
        <x:f>IF(J244="","",INDEX(Frozen_Predictions!$M$4:$M$303,MATCH(A244,Frozen_Predictions!$A$4:$A$303,0)))</x:f>
      </x:c>
      <x:c r="U244" t="str">
        <x:f>IF(J244="","",INDEX(Frozen_Predictions!$W$4:$W$303,MATCH(A244,Frozen_Predictions!$A$4:$A$303,0)))</x:f>
      </x:c>
      <x:c r="V244" t="str">
        <x:f>IF(J244="","",INDEX(Frozen_Predictions!$X$4:$X$303,MATCH(A244,Frozen_Predictions!$A$4:$A$303,0)))</x:f>
      </x:c>
      <x:c r="W244" t="str">
        <x:f>IF(A244="","",IF(COUNTIF($A$4:$A$303,A244)&lt;&gt;1,"ID DUPLICAT",IF(COUNTIF(Frozen_Predictions!$A$4:$A$303,A244)&lt;&gt;1,"ID INEXISTENT SAU DUPLICAT ÎN FROZEN",IF(COUNT(K244:L244)&lt;2,"COMPLETEAZĂ SCORUL","VERIFICAT"))))</x:f>
      </x:c>
    </x:row>
    <x:row r="245">
      <x:c r="A245" s="141"/>
      <x:c r="B245" t="str">
        <x:f>IF(OR(A245="",COUNTIF(Frozen_Predictions!$A$4:$A$303,A245)&lt;&gt;1),"",INDEX(Frozen_Predictions!$C$4:$C$303,MATCH(A245,Frozen_Predictions!$A$4:$A$303,0)))</x:f>
      </x:c>
      <x:c r="C245" t="str">
        <x:f>IF(OR(A245="",COUNTIF(Frozen_Predictions!$A$4:$A$303,A245)&lt;&gt;1),"",INDEX(Frozen_Predictions!$E$4:$E$303,MATCH(A245,Frozen_Predictions!$A$4:$A$303,0)))</x:f>
      </x:c>
      <x:c r="D245" t="str">
        <x:f>IF(OR(A245="",COUNTIF(Frozen_Predictions!$A$4:$A$303,A245)&lt;&gt;1),"",INDEX(Frozen_Predictions!$F$4:$F$303,MATCH(A245,Frozen_Predictions!$A$4:$A$303,0)))</x:f>
      </x:c>
      <x:c r="E245" t="str">
        <x:f>IF(OR(A245="",COUNTIF(Frozen_Predictions!$A$4:$A$303,A245)&lt;&gt;1),"",INDEX(Frozen_Predictions!$G$4:$G$303,MATCH(A245,Frozen_Predictions!$A$4:$A$303,0)))</x:f>
      </x:c>
      <x:c r="F245" t="str">
        <x:f>IF(OR(A245="",COUNTIF(Frozen_Predictions!$A$4:$A$303,A245)&lt;&gt;1),"",INDEX(Frozen_Predictions!$H$4:$H$303,MATCH(A245,Frozen_Predictions!$A$4:$A$303,0)))</x:f>
      </x:c>
      <x:c r="G245" t="str">
        <x:f>IF(OR(A245="",COUNTIF(Frozen_Predictions!$A$4:$A$303,A245)&lt;&gt;1),"",INDEX(Frozen_Predictions!$I$4:$I$303,MATCH(A245,Frozen_Predictions!$A$4:$A$303,0)))</x:f>
      </x:c>
      <x:c r="H245" t="str">
        <x:f>IF(OR(A245="",COUNTIF(Frozen_Predictions!$A$4:$A$303,A245)&lt;&gt;1),"",INDEX(Frozen_Predictions!$J$4:$J$303,MATCH(A245,Frozen_Predictions!$A$4:$A$303,0)))</x:f>
      </x:c>
      <x:c r="I245" t="str">
        <x:f>IF(OR(A245="",COUNTIF(Frozen_Predictions!$A$4:$A$303,A245)&lt;&gt;1),"",INDEX(Frozen_Predictions!$K$4:$K$303,MATCH(A245,Frozen_Predictions!$A$4:$A$303,0)))</x:f>
      </x:c>
      <x:c r="J245" s="142" t="str">
        <x:f>IF(OR(A245="",G245="",COUNT(K245:M245)&lt;3,COUNTIF($A$4:$A$303,A245)&lt;&gt;1),"",IF(IF(M245+F245&gt;0,"1",IF(M245+F245=0,"X","2"))=G245&amp;"",1,0))</x:f>
      </x:c>
      <x:c r="K245" s="143"/>
      <x:c r="L245" s="143"/>
      <x:c r="M245" s="142" t="str">
        <x:f>IF(AND(A245&lt;&gt;"",COUNT(K245:L245)=2),K245-L245,"")</x:f>
      </x:c>
      <x:c r="N245" s="142" t="str">
        <x:f>IF(J245="","",IF(M245+F245=0,"YES","NO"))</x:f>
      </x:c>
      <x:c r="O245" t="str">
        <x:f>IF(J245="","",IF(J245=1,"WIN",IF(N245="YES","Exact margin M="&amp;ABS(F245),"Direction / tail")))</x:f>
      </x:c>
      <x:c r="P245" s="141"/>
      <x:c r="Q245" s="141"/>
      <x:c r="R245" s="144" t="str">
        <x:f>IF(OR(I245="",J245=""),"",(I245-J245)^2)</x:f>
      </x:c>
      <x:c r="S245" s="144" t="str">
        <x:f>IF(OR(I245="",J245=""),"",-(J245*LN(MAX(MIN(I245,0.999999),0.000001))+(1-J245)*LN(MAX(MIN(1-I245,0.999999),0.000001))))</x:f>
      </x:c>
      <x:c r="T245" t="str">
        <x:f>IF(J245="","",INDEX(Frozen_Predictions!$M$4:$M$303,MATCH(A245,Frozen_Predictions!$A$4:$A$303,0)))</x:f>
      </x:c>
      <x:c r="U245" t="str">
        <x:f>IF(J245="","",INDEX(Frozen_Predictions!$W$4:$W$303,MATCH(A245,Frozen_Predictions!$A$4:$A$303,0)))</x:f>
      </x:c>
      <x:c r="V245" t="str">
        <x:f>IF(J245="","",INDEX(Frozen_Predictions!$X$4:$X$303,MATCH(A245,Frozen_Predictions!$A$4:$A$303,0)))</x:f>
      </x:c>
      <x:c r="W245" t="str">
        <x:f>IF(A245="","",IF(COUNTIF($A$4:$A$303,A245)&lt;&gt;1,"ID DUPLICAT",IF(COUNTIF(Frozen_Predictions!$A$4:$A$303,A245)&lt;&gt;1,"ID INEXISTENT SAU DUPLICAT ÎN FROZEN",IF(COUNT(K245:L245)&lt;2,"COMPLETEAZĂ SCORUL","VERIFICAT"))))</x:f>
      </x:c>
    </x:row>
    <x:row r="246">
      <x:c r="A246" s="141"/>
      <x:c r="B246" t="str">
        <x:f>IF(OR(A246="",COUNTIF(Frozen_Predictions!$A$4:$A$303,A246)&lt;&gt;1),"",INDEX(Frozen_Predictions!$C$4:$C$303,MATCH(A246,Frozen_Predictions!$A$4:$A$303,0)))</x:f>
      </x:c>
      <x:c r="C246" t="str">
        <x:f>IF(OR(A246="",COUNTIF(Frozen_Predictions!$A$4:$A$303,A246)&lt;&gt;1),"",INDEX(Frozen_Predictions!$E$4:$E$303,MATCH(A246,Frozen_Predictions!$A$4:$A$303,0)))</x:f>
      </x:c>
      <x:c r="D246" t="str">
        <x:f>IF(OR(A246="",COUNTIF(Frozen_Predictions!$A$4:$A$303,A246)&lt;&gt;1),"",INDEX(Frozen_Predictions!$F$4:$F$303,MATCH(A246,Frozen_Predictions!$A$4:$A$303,0)))</x:f>
      </x:c>
      <x:c r="E246" t="str">
        <x:f>IF(OR(A246="",COUNTIF(Frozen_Predictions!$A$4:$A$303,A246)&lt;&gt;1),"",INDEX(Frozen_Predictions!$G$4:$G$303,MATCH(A246,Frozen_Predictions!$A$4:$A$303,0)))</x:f>
      </x:c>
      <x:c r="F246" t="str">
        <x:f>IF(OR(A246="",COUNTIF(Frozen_Predictions!$A$4:$A$303,A246)&lt;&gt;1),"",INDEX(Frozen_Predictions!$H$4:$H$303,MATCH(A246,Frozen_Predictions!$A$4:$A$303,0)))</x:f>
      </x:c>
      <x:c r="G246" t="str">
        <x:f>IF(OR(A246="",COUNTIF(Frozen_Predictions!$A$4:$A$303,A246)&lt;&gt;1),"",INDEX(Frozen_Predictions!$I$4:$I$303,MATCH(A246,Frozen_Predictions!$A$4:$A$303,0)))</x:f>
      </x:c>
      <x:c r="H246" t="str">
        <x:f>IF(OR(A246="",COUNTIF(Frozen_Predictions!$A$4:$A$303,A246)&lt;&gt;1),"",INDEX(Frozen_Predictions!$J$4:$J$303,MATCH(A246,Frozen_Predictions!$A$4:$A$303,0)))</x:f>
      </x:c>
      <x:c r="I246" t="str">
        <x:f>IF(OR(A246="",COUNTIF(Frozen_Predictions!$A$4:$A$303,A246)&lt;&gt;1),"",INDEX(Frozen_Predictions!$K$4:$K$303,MATCH(A246,Frozen_Predictions!$A$4:$A$303,0)))</x:f>
      </x:c>
      <x:c r="J246" s="142" t="str">
        <x:f>IF(OR(A246="",G246="",COUNT(K246:M246)&lt;3,COUNTIF($A$4:$A$303,A246)&lt;&gt;1),"",IF(IF(M246+F246&gt;0,"1",IF(M246+F246=0,"X","2"))=G246&amp;"",1,0))</x:f>
      </x:c>
      <x:c r="K246" s="143"/>
      <x:c r="L246" s="143"/>
      <x:c r="M246" s="142" t="str">
        <x:f>IF(AND(A246&lt;&gt;"",COUNT(K246:L246)=2),K246-L246,"")</x:f>
      </x:c>
      <x:c r="N246" s="142" t="str">
        <x:f>IF(J246="","",IF(M246+F246=0,"YES","NO"))</x:f>
      </x:c>
      <x:c r="O246" t="str">
        <x:f>IF(J246="","",IF(J246=1,"WIN",IF(N246="YES","Exact margin M="&amp;ABS(F246),"Direction / tail")))</x:f>
      </x:c>
      <x:c r="P246" s="141"/>
      <x:c r="Q246" s="141"/>
      <x:c r="R246" s="144" t="str">
        <x:f>IF(OR(I246="",J246=""),"",(I246-J246)^2)</x:f>
      </x:c>
      <x:c r="S246" s="144" t="str">
        <x:f>IF(OR(I246="",J246=""),"",-(J246*LN(MAX(MIN(I246,0.999999),0.000001))+(1-J246)*LN(MAX(MIN(1-I246,0.999999),0.000001))))</x:f>
      </x:c>
      <x:c r="T246" t="str">
        <x:f>IF(J246="","",INDEX(Frozen_Predictions!$M$4:$M$303,MATCH(A246,Frozen_Predictions!$A$4:$A$303,0)))</x:f>
      </x:c>
      <x:c r="U246" t="str">
        <x:f>IF(J246="","",INDEX(Frozen_Predictions!$W$4:$W$303,MATCH(A246,Frozen_Predictions!$A$4:$A$303,0)))</x:f>
      </x:c>
      <x:c r="V246" t="str">
        <x:f>IF(J246="","",INDEX(Frozen_Predictions!$X$4:$X$303,MATCH(A246,Frozen_Predictions!$A$4:$A$303,0)))</x:f>
      </x:c>
      <x:c r="W246" t="str">
        <x:f>IF(A246="","",IF(COUNTIF($A$4:$A$303,A246)&lt;&gt;1,"ID DUPLICAT",IF(COUNTIF(Frozen_Predictions!$A$4:$A$303,A246)&lt;&gt;1,"ID INEXISTENT SAU DUPLICAT ÎN FROZEN",IF(COUNT(K246:L246)&lt;2,"COMPLETEAZĂ SCORUL","VERIFICAT"))))</x:f>
      </x:c>
    </x:row>
    <x:row r="247">
      <x:c r="A247" s="141"/>
      <x:c r="B247" t="str">
        <x:f>IF(OR(A247="",COUNTIF(Frozen_Predictions!$A$4:$A$303,A247)&lt;&gt;1),"",INDEX(Frozen_Predictions!$C$4:$C$303,MATCH(A247,Frozen_Predictions!$A$4:$A$303,0)))</x:f>
      </x:c>
      <x:c r="C247" t="str">
        <x:f>IF(OR(A247="",COUNTIF(Frozen_Predictions!$A$4:$A$303,A247)&lt;&gt;1),"",INDEX(Frozen_Predictions!$E$4:$E$303,MATCH(A247,Frozen_Predictions!$A$4:$A$303,0)))</x:f>
      </x:c>
      <x:c r="D247" t="str">
        <x:f>IF(OR(A247="",COUNTIF(Frozen_Predictions!$A$4:$A$303,A247)&lt;&gt;1),"",INDEX(Frozen_Predictions!$F$4:$F$303,MATCH(A247,Frozen_Predictions!$A$4:$A$303,0)))</x:f>
      </x:c>
      <x:c r="E247" t="str">
        <x:f>IF(OR(A247="",COUNTIF(Frozen_Predictions!$A$4:$A$303,A247)&lt;&gt;1),"",INDEX(Frozen_Predictions!$G$4:$G$303,MATCH(A247,Frozen_Predictions!$A$4:$A$303,0)))</x:f>
      </x:c>
      <x:c r="F247" t="str">
        <x:f>IF(OR(A247="",COUNTIF(Frozen_Predictions!$A$4:$A$303,A247)&lt;&gt;1),"",INDEX(Frozen_Predictions!$H$4:$H$303,MATCH(A247,Frozen_Predictions!$A$4:$A$303,0)))</x:f>
      </x:c>
      <x:c r="G247" t="str">
        <x:f>IF(OR(A247="",COUNTIF(Frozen_Predictions!$A$4:$A$303,A247)&lt;&gt;1),"",INDEX(Frozen_Predictions!$I$4:$I$303,MATCH(A247,Frozen_Predictions!$A$4:$A$303,0)))</x:f>
      </x:c>
      <x:c r="H247" t="str">
        <x:f>IF(OR(A247="",COUNTIF(Frozen_Predictions!$A$4:$A$303,A247)&lt;&gt;1),"",INDEX(Frozen_Predictions!$J$4:$J$303,MATCH(A247,Frozen_Predictions!$A$4:$A$303,0)))</x:f>
      </x:c>
      <x:c r="I247" t="str">
        <x:f>IF(OR(A247="",COUNTIF(Frozen_Predictions!$A$4:$A$303,A247)&lt;&gt;1),"",INDEX(Frozen_Predictions!$K$4:$K$303,MATCH(A247,Frozen_Predictions!$A$4:$A$303,0)))</x:f>
      </x:c>
      <x:c r="J247" s="142" t="str">
        <x:f>IF(OR(A247="",G247="",COUNT(K247:M247)&lt;3,COUNTIF($A$4:$A$303,A247)&lt;&gt;1),"",IF(IF(M247+F247&gt;0,"1",IF(M247+F247=0,"X","2"))=G247&amp;"",1,0))</x:f>
      </x:c>
      <x:c r="K247" s="143"/>
      <x:c r="L247" s="143"/>
      <x:c r="M247" s="142" t="str">
        <x:f>IF(AND(A247&lt;&gt;"",COUNT(K247:L247)=2),K247-L247,"")</x:f>
      </x:c>
      <x:c r="N247" s="142" t="str">
        <x:f>IF(J247="","",IF(M247+F247=0,"YES","NO"))</x:f>
      </x:c>
      <x:c r="O247" t="str">
        <x:f>IF(J247="","",IF(J247=1,"WIN",IF(N247="YES","Exact margin M="&amp;ABS(F247),"Direction / tail")))</x:f>
      </x:c>
      <x:c r="P247" s="141"/>
      <x:c r="Q247" s="141"/>
      <x:c r="R247" s="144" t="str">
        <x:f>IF(OR(I247="",J247=""),"",(I247-J247)^2)</x:f>
      </x:c>
      <x:c r="S247" s="144" t="str">
        <x:f>IF(OR(I247="",J247=""),"",-(J247*LN(MAX(MIN(I247,0.999999),0.000001))+(1-J247)*LN(MAX(MIN(1-I247,0.999999),0.000001))))</x:f>
      </x:c>
      <x:c r="T247" t="str">
        <x:f>IF(J247="","",INDEX(Frozen_Predictions!$M$4:$M$303,MATCH(A247,Frozen_Predictions!$A$4:$A$303,0)))</x:f>
      </x:c>
      <x:c r="U247" t="str">
        <x:f>IF(J247="","",INDEX(Frozen_Predictions!$W$4:$W$303,MATCH(A247,Frozen_Predictions!$A$4:$A$303,0)))</x:f>
      </x:c>
      <x:c r="V247" t="str">
        <x:f>IF(J247="","",INDEX(Frozen_Predictions!$X$4:$X$303,MATCH(A247,Frozen_Predictions!$A$4:$A$303,0)))</x:f>
      </x:c>
      <x:c r="W247" t="str">
        <x:f>IF(A247="","",IF(COUNTIF($A$4:$A$303,A247)&lt;&gt;1,"ID DUPLICAT",IF(COUNTIF(Frozen_Predictions!$A$4:$A$303,A247)&lt;&gt;1,"ID INEXISTENT SAU DUPLICAT ÎN FROZEN",IF(COUNT(K247:L247)&lt;2,"COMPLETEAZĂ SCORUL","VERIFICAT"))))</x:f>
      </x:c>
    </x:row>
    <x:row r="248">
      <x:c r="A248" s="141"/>
      <x:c r="B248" t="str">
        <x:f>IF(OR(A248="",COUNTIF(Frozen_Predictions!$A$4:$A$303,A248)&lt;&gt;1),"",INDEX(Frozen_Predictions!$C$4:$C$303,MATCH(A248,Frozen_Predictions!$A$4:$A$303,0)))</x:f>
      </x:c>
      <x:c r="C248" t="str">
        <x:f>IF(OR(A248="",COUNTIF(Frozen_Predictions!$A$4:$A$303,A248)&lt;&gt;1),"",INDEX(Frozen_Predictions!$E$4:$E$303,MATCH(A248,Frozen_Predictions!$A$4:$A$303,0)))</x:f>
      </x:c>
      <x:c r="D248" t="str">
        <x:f>IF(OR(A248="",COUNTIF(Frozen_Predictions!$A$4:$A$303,A248)&lt;&gt;1),"",INDEX(Frozen_Predictions!$F$4:$F$303,MATCH(A248,Frozen_Predictions!$A$4:$A$303,0)))</x:f>
      </x:c>
      <x:c r="E248" t="str">
        <x:f>IF(OR(A248="",COUNTIF(Frozen_Predictions!$A$4:$A$303,A248)&lt;&gt;1),"",INDEX(Frozen_Predictions!$G$4:$G$303,MATCH(A248,Frozen_Predictions!$A$4:$A$303,0)))</x:f>
      </x:c>
      <x:c r="F248" t="str">
        <x:f>IF(OR(A248="",COUNTIF(Frozen_Predictions!$A$4:$A$303,A248)&lt;&gt;1),"",INDEX(Frozen_Predictions!$H$4:$H$303,MATCH(A248,Frozen_Predictions!$A$4:$A$303,0)))</x:f>
      </x:c>
      <x:c r="G248" t="str">
        <x:f>IF(OR(A248="",COUNTIF(Frozen_Predictions!$A$4:$A$303,A248)&lt;&gt;1),"",INDEX(Frozen_Predictions!$I$4:$I$303,MATCH(A248,Frozen_Predictions!$A$4:$A$303,0)))</x:f>
      </x:c>
      <x:c r="H248" t="str">
        <x:f>IF(OR(A248="",COUNTIF(Frozen_Predictions!$A$4:$A$303,A248)&lt;&gt;1),"",INDEX(Frozen_Predictions!$J$4:$J$303,MATCH(A248,Frozen_Predictions!$A$4:$A$303,0)))</x:f>
      </x:c>
      <x:c r="I248" t="str">
        <x:f>IF(OR(A248="",COUNTIF(Frozen_Predictions!$A$4:$A$303,A248)&lt;&gt;1),"",INDEX(Frozen_Predictions!$K$4:$K$303,MATCH(A248,Frozen_Predictions!$A$4:$A$303,0)))</x:f>
      </x:c>
      <x:c r="J248" s="142" t="str">
        <x:f>IF(OR(A248="",G248="",COUNT(K248:M248)&lt;3,COUNTIF($A$4:$A$303,A248)&lt;&gt;1),"",IF(IF(M248+F248&gt;0,"1",IF(M248+F248=0,"X","2"))=G248&amp;"",1,0))</x:f>
      </x:c>
      <x:c r="K248" s="143"/>
      <x:c r="L248" s="143"/>
      <x:c r="M248" s="142" t="str">
        <x:f>IF(AND(A248&lt;&gt;"",COUNT(K248:L248)=2),K248-L248,"")</x:f>
      </x:c>
      <x:c r="N248" s="142" t="str">
        <x:f>IF(J248="","",IF(M248+F248=0,"YES","NO"))</x:f>
      </x:c>
      <x:c r="O248" t="str">
        <x:f>IF(J248="","",IF(J248=1,"WIN",IF(N248="YES","Exact margin M="&amp;ABS(F248),"Direction / tail")))</x:f>
      </x:c>
      <x:c r="P248" s="141"/>
      <x:c r="Q248" s="141"/>
      <x:c r="R248" s="144" t="str">
        <x:f>IF(OR(I248="",J248=""),"",(I248-J248)^2)</x:f>
      </x:c>
      <x:c r="S248" s="144" t="str">
        <x:f>IF(OR(I248="",J248=""),"",-(J248*LN(MAX(MIN(I248,0.999999),0.000001))+(1-J248)*LN(MAX(MIN(1-I248,0.999999),0.000001))))</x:f>
      </x:c>
      <x:c r="T248" t="str">
        <x:f>IF(J248="","",INDEX(Frozen_Predictions!$M$4:$M$303,MATCH(A248,Frozen_Predictions!$A$4:$A$303,0)))</x:f>
      </x:c>
      <x:c r="U248" t="str">
        <x:f>IF(J248="","",INDEX(Frozen_Predictions!$W$4:$W$303,MATCH(A248,Frozen_Predictions!$A$4:$A$303,0)))</x:f>
      </x:c>
      <x:c r="V248" t="str">
        <x:f>IF(J248="","",INDEX(Frozen_Predictions!$X$4:$X$303,MATCH(A248,Frozen_Predictions!$A$4:$A$303,0)))</x:f>
      </x:c>
      <x:c r="W248" t="str">
        <x:f>IF(A248="","",IF(COUNTIF($A$4:$A$303,A248)&lt;&gt;1,"ID DUPLICAT",IF(COUNTIF(Frozen_Predictions!$A$4:$A$303,A248)&lt;&gt;1,"ID INEXISTENT SAU DUPLICAT ÎN FROZEN",IF(COUNT(K248:L248)&lt;2,"COMPLETEAZĂ SCORUL","VERIFICAT"))))</x:f>
      </x:c>
    </x:row>
    <x:row r="249">
      <x:c r="A249" s="141"/>
      <x:c r="B249" t="str">
        <x:f>IF(OR(A249="",COUNTIF(Frozen_Predictions!$A$4:$A$303,A249)&lt;&gt;1),"",INDEX(Frozen_Predictions!$C$4:$C$303,MATCH(A249,Frozen_Predictions!$A$4:$A$303,0)))</x:f>
      </x:c>
      <x:c r="C249" t="str">
        <x:f>IF(OR(A249="",COUNTIF(Frozen_Predictions!$A$4:$A$303,A249)&lt;&gt;1),"",INDEX(Frozen_Predictions!$E$4:$E$303,MATCH(A249,Frozen_Predictions!$A$4:$A$303,0)))</x:f>
      </x:c>
      <x:c r="D249" t="str">
        <x:f>IF(OR(A249="",COUNTIF(Frozen_Predictions!$A$4:$A$303,A249)&lt;&gt;1),"",INDEX(Frozen_Predictions!$F$4:$F$303,MATCH(A249,Frozen_Predictions!$A$4:$A$303,0)))</x:f>
      </x:c>
      <x:c r="E249" t="str">
        <x:f>IF(OR(A249="",COUNTIF(Frozen_Predictions!$A$4:$A$303,A249)&lt;&gt;1),"",INDEX(Frozen_Predictions!$G$4:$G$303,MATCH(A249,Frozen_Predictions!$A$4:$A$303,0)))</x:f>
      </x:c>
      <x:c r="F249" t="str">
        <x:f>IF(OR(A249="",COUNTIF(Frozen_Predictions!$A$4:$A$303,A249)&lt;&gt;1),"",INDEX(Frozen_Predictions!$H$4:$H$303,MATCH(A249,Frozen_Predictions!$A$4:$A$303,0)))</x:f>
      </x:c>
      <x:c r="G249" t="str">
        <x:f>IF(OR(A249="",COUNTIF(Frozen_Predictions!$A$4:$A$303,A249)&lt;&gt;1),"",INDEX(Frozen_Predictions!$I$4:$I$303,MATCH(A249,Frozen_Predictions!$A$4:$A$303,0)))</x:f>
      </x:c>
      <x:c r="H249" t="str">
        <x:f>IF(OR(A249="",COUNTIF(Frozen_Predictions!$A$4:$A$303,A249)&lt;&gt;1),"",INDEX(Frozen_Predictions!$J$4:$J$303,MATCH(A249,Frozen_Predictions!$A$4:$A$303,0)))</x:f>
      </x:c>
      <x:c r="I249" t="str">
        <x:f>IF(OR(A249="",COUNTIF(Frozen_Predictions!$A$4:$A$303,A249)&lt;&gt;1),"",INDEX(Frozen_Predictions!$K$4:$K$303,MATCH(A249,Frozen_Predictions!$A$4:$A$303,0)))</x:f>
      </x:c>
      <x:c r="J249" s="142" t="str">
        <x:f>IF(OR(A249="",G249="",COUNT(K249:M249)&lt;3,COUNTIF($A$4:$A$303,A249)&lt;&gt;1),"",IF(IF(M249+F249&gt;0,"1",IF(M249+F249=0,"X","2"))=G249&amp;"",1,0))</x:f>
      </x:c>
      <x:c r="K249" s="143"/>
      <x:c r="L249" s="143"/>
      <x:c r="M249" s="142" t="str">
        <x:f>IF(AND(A249&lt;&gt;"",COUNT(K249:L249)=2),K249-L249,"")</x:f>
      </x:c>
      <x:c r="N249" s="142" t="str">
        <x:f>IF(J249="","",IF(M249+F249=0,"YES","NO"))</x:f>
      </x:c>
      <x:c r="O249" t="str">
        <x:f>IF(J249="","",IF(J249=1,"WIN",IF(N249="YES","Exact margin M="&amp;ABS(F249),"Direction / tail")))</x:f>
      </x:c>
      <x:c r="P249" s="141"/>
      <x:c r="Q249" s="141"/>
      <x:c r="R249" s="144" t="str">
        <x:f>IF(OR(I249="",J249=""),"",(I249-J249)^2)</x:f>
      </x:c>
      <x:c r="S249" s="144" t="str">
        <x:f>IF(OR(I249="",J249=""),"",-(J249*LN(MAX(MIN(I249,0.999999),0.000001))+(1-J249)*LN(MAX(MIN(1-I249,0.999999),0.000001))))</x:f>
      </x:c>
      <x:c r="T249" t="str">
        <x:f>IF(J249="","",INDEX(Frozen_Predictions!$M$4:$M$303,MATCH(A249,Frozen_Predictions!$A$4:$A$303,0)))</x:f>
      </x:c>
      <x:c r="U249" t="str">
        <x:f>IF(J249="","",INDEX(Frozen_Predictions!$W$4:$W$303,MATCH(A249,Frozen_Predictions!$A$4:$A$303,0)))</x:f>
      </x:c>
      <x:c r="V249" t="str">
        <x:f>IF(J249="","",INDEX(Frozen_Predictions!$X$4:$X$303,MATCH(A249,Frozen_Predictions!$A$4:$A$303,0)))</x:f>
      </x:c>
      <x:c r="W249" t="str">
        <x:f>IF(A249="","",IF(COUNTIF($A$4:$A$303,A249)&lt;&gt;1,"ID DUPLICAT",IF(COUNTIF(Frozen_Predictions!$A$4:$A$303,A249)&lt;&gt;1,"ID INEXISTENT SAU DUPLICAT ÎN FROZEN",IF(COUNT(K249:L249)&lt;2,"COMPLETEAZĂ SCORUL","VERIFICAT"))))</x:f>
      </x:c>
    </x:row>
    <x:row r="250">
      <x:c r="A250" s="141"/>
      <x:c r="B250" t="str">
        <x:f>IF(OR(A250="",COUNTIF(Frozen_Predictions!$A$4:$A$303,A250)&lt;&gt;1),"",INDEX(Frozen_Predictions!$C$4:$C$303,MATCH(A250,Frozen_Predictions!$A$4:$A$303,0)))</x:f>
      </x:c>
      <x:c r="C250" t="str">
        <x:f>IF(OR(A250="",COUNTIF(Frozen_Predictions!$A$4:$A$303,A250)&lt;&gt;1),"",INDEX(Frozen_Predictions!$E$4:$E$303,MATCH(A250,Frozen_Predictions!$A$4:$A$303,0)))</x:f>
      </x:c>
      <x:c r="D250" t="str">
        <x:f>IF(OR(A250="",COUNTIF(Frozen_Predictions!$A$4:$A$303,A250)&lt;&gt;1),"",INDEX(Frozen_Predictions!$F$4:$F$303,MATCH(A250,Frozen_Predictions!$A$4:$A$303,0)))</x:f>
      </x:c>
      <x:c r="E250" t="str">
        <x:f>IF(OR(A250="",COUNTIF(Frozen_Predictions!$A$4:$A$303,A250)&lt;&gt;1),"",INDEX(Frozen_Predictions!$G$4:$G$303,MATCH(A250,Frozen_Predictions!$A$4:$A$303,0)))</x:f>
      </x:c>
      <x:c r="F250" t="str">
        <x:f>IF(OR(A250="",COUNTIF(Frozen_Predictions!$A$4:$A$303,A250)&lt;&gt;1),"",INDEX(Frozen_Predictions!$H$4:$H$303,MATCH(A250,Frozen_Predictions!$A$4:$A$303,0)))</x:f>
      </x:c>
      <x:c r="G250" t="str">
        <x:f>IF(OR(A250="",COUNTIF(Frozen_Predictions!$A$4:$A$303,A250)&lt;&gt;1),"",INDEX(Frozen_Predictions!$I$4:$I$303,MATCH(A250,Frozen_Predictions!$A$4:$A$303,0)))</x:f>
      </x:c>
      <x:c r="H250" t="str">
        <x:f>IF(OR(A250="",COUNTIF(Frozen_Predictions!$A$4:$A$303,A250)&lt;&gt;1),"",INDEX(Frozen_Predictions!$J$4:$J$303,MATCH(A250,Frozen_Predictions!$A$4:$A$303,0)))</x:f>
      </x:c>
      <x:c r="I250" t="str">
        <x:f>IF(OR(A250="",COUNTIF(Frozen_Predictions!$A$4:$A$303,A250)&lt;&gt;1),"",INDEX(Frozen_Predictions!$K$4:$K$303,MATCH(A250,Frozen_Predictions!$A$4:$A$303,0)))</x:f>
      </x:c>
      <x:c r="J250" s="142" t="str">
        <x:f>IF(OR(A250="",G250="",COUNT(K250:M250)&lt;3,COUNTIF($A$4:$A$303,A250)&lt;&gt;1),"",IF(IF(M250+F250&gt;0,"1",IF(M250+F250=0,"X","2"))=G250&amp;"",1,0))</x:f>
      </x:c>
      <x:c r="K250" s="143"/>
      <x:c r="L250" s="143"/>
      <x:c r="M250" s="142" t="str">
        <x:f>IF(AND(A250&lt;&gt;"",COUNT(K250:L250)=2),K250-L250,"")</x:f>
      </x:c>
      <x:c r="N250" s="142" t="str">
        <x:f>IF(J250="","",IF(M250+F250=0,"YES","NO"))</x:f>
      </x:c>
      <x:c r="O250" t="str">
        <x:f>IF(J250="","",IF(J250=1,"WIN",IF(N250="YES","Exact margin M="&amp;ABS(F250),"Direction / tail")))</x:f>
      </x:c>
      <x:c r="P250" s="141"/>
      <x:c r="Q250" s="141"/>
      <x:c r="R250" s="144" t="str">
        <x:f>IF(OR(I250="",J250=""),"",(I250-J250)^2)</x:f>
      </x:c>
      <x:c r="S250" s="144" t="str">
        <x:f>IF(OR(I250="",J250=""),"",-(J250*LN(MAX(MIN(I250,0.999999),0.000001))+(1-J250)*LN(MAX(MIN(1-I250,0.999999),0.000001))))</x:f>
      </x:c>
      <x:c r="T250" t="str">
        <x:f>IF(J250="","",INDEX(Frozen_Predictions!$M$4:$M$303,MATCH(A250,Frozen_Predictions!$A$4:$A$303,0)))</x:f>
      </x:c>
      <x:c r="U250" t="str">
        <x:f>IF(J250="","",INDEX(Frozen_Predictions!$W$4:$W$303,MATCH(A250,Frozen_Predictions!$A$4:$A$303,0)))</x:f>
      </x:c>
      <x:c r="V250" t="str">
        <x:f>IF(J250="","",INDEX(Frozen_Predictions!$X$4:$X$303,MATCH(A250,Frozen_Predictions!$A$4:$A$303,0)))</x:f>
      </x:c>
      <x:c r="W250" t="str">
        <x:f>IF(A250="","",IF(COUNTIF($A$4:$A$303,A250)&lt;&gt;1,"ID DUPLICAT",IF(COUNTIF(Frozen_Predictions!$A$4:$A$303,A250)&lt;&gt;1,"ID INEXISTENT SAU DUPLICAT ÎN FROZEN",IF(COUNT(K250:L250)&lt;2,"COMPLETEAZĂ SCORUL","VERIFICAT"))))</x:f>
      </x:c>
    </x:row>
    <x:row r="251">
      <x:c r="A251" s="141"/>
      <x:c r="B251" t="str">
        <x:f>IF(OR(A251="",COUNTIF(Frozen_Predictions!$A$4:$A$303,A251)&lt;&gt;1),"",INDEX(Frozen_Predictions!$C$4:$C$303,MATCH(A251,Frozen_Predictions!$A$4:$A$303,0)))</x:f>
      </x:c>
      <x:c r="C251" t="str">
        <x:f>IF(OR(A251="",COUNTIF(Frozen_Predictions!$A$4:$A$303,A251)&lt;&gt;1),"",INDEX(Frozen_Predictions!$E$4:$E$303,MATCH(A251,Frozen_Predictions!$A$4:$A$303,0)))</x:f>
      </x:c>
      <x:c r="D251" t="str">
        <x:f>IF(OR(A251="",COUNTIF(Frozen_Predictions!$A$4:$A$303,A251)&lt;&gt;1),"",INDEX(Frozen_Predictions!$F$4:$F$303,MATCH(A251,Frozen_Predictions!$A$4:$A$303,0)))</x:f>
      </x:c>
      <x:c r="E251" t="str">
        <x:f>IF(OR(A251="",COUNTIF(Frozen_Predictions!$A$4:$A$303,A251)&lt;&gt;1),"",INDEX(Frozen_Predictions!$G$4:$G$303,MATCH(A251,Frozen_Predictions!$A$4:$A$303,0)))</x:f>
      </x:c>
      <x:c r="F251" t="str">
        <x:f>IF(OR(A251="",COUNTIF(Frozen_Predictions!$A$4:$A$303,A251)&lt;&gt;1),"",INDEX(Frozen_Predictions!$H$4:$H$303,MATCH(A251,Frozen_Predictions!$A$4:$A$303,0)))</x:f>
      </x:c>
      <x:c r="G251" t="str">
        <x:f>IF(OR(A251="",COUNTIF(Frozen_Predictions!$A$4:$A$303,A251)&lt;&gt;1),"",INDEX(Frozen_Predictions!$I$4:$I$303,MATCH(A251,Frozen_Predictions!$A$4:$A$303,0)))</x:f>
      </x:c>
      <x:c r="H251" t="str">
        <x:f>IF(OR(A251="",COUNTIF(Frozen_Predictions!$A$4:$A$303,A251)&lt;&gt;1),"",INDEX(Frozen_Predictions!$J$4:$J$303,MATCH(A251,Frozen_Predictions!$A$4:$A$303,0)))</x:f>
      </x:c>
      <x:c r="I251" t="str">
        <x:f>IF(OR(A251="",COUNTIF(Frozen_Predictions!$A$4:$A$303,A251)&lt;&gt;1),"",INDEX(Frozen_Predictions!$K$4:$K$303,MATCH(A251,Frozen_Predictions!$A$4:$A$303,0)))</x:f>
      </x:c>
      <x:c r="J251" s="142" t="str">
        <x:f>IF(OR(A251="",G251="",COUNT(K251:M251)&lt;3,COUNTIF($A$4:$A$303,A251)&lt;&gt;1),"",IF(IF(M251+F251&gt;0,"1",IF(M251+F251=0,"X","2"))=G251&amp;"",1,0))</x:f>
      </x:c>
      <x:c r="K251" s="143"/>
      <x:c r="L251" s="143"/>
      <x:c r="M251" s="142" t="str">
        <x:f>IF(AND(A251&lt;&gt;"",COUNT(K251:L251)=2),K251-L251,"")</x:f>
      </x:c>
      <x:c r="N251" s="142" t="str">
        <x:f>IF(J251="","",IF(M251+F251=0,"YES","NO"))</x:f>
      </x:c>
      <x:c r="O251" t="str">
        <x:f>IF(J251="","",IF(J251=1,"WIN",IF(N251="YES","Exact margin M="&amp;ABS(F251),"Direction / tail")))</x:f>
      </x:c>
      <x:c r="P251" s="141"/>
      <x:c r="Q251" s="141"/>
      <x:c r="R251" s="144" t="str">
        <x:f>IF(OR(I251="",J251=""),"",(I251-J251)^2)</x:f>
      </x:c>
      <x:c r="S251" s="144" t="str">
        <x:f>IF(OR(I251="",J251=""),"",-(J251*LN(MAX(MIN(I251,0.999999),0.000001))+(1-J251)*LN(MAX(MIN(1-I251,0.999999),0.000001))))</x:f>
      </x:c>
      <x:c r="T251" t="str">
        <x:f>IF(J251="","",INDEX(Frozen_Predictions!$M$4:$M$303,MATCH(A251,Frozen_Predictions!$A$4:$A$303,0)))</x:f>
      </x:c>
      <x:c r="U251" t="str">
        <x:f>IF(J251="","",INDEX(Frozen_Predictions!$W$4:$W$303,MATCH(A251,Frozen_Predictions!$A$4:$A$303,0)))</x:f>
      </x:c>
      <x:c r="V251" t="str">
        <x:f>IF(J251="","",INDEX(Frozen_Predictions!$X$4:$X$303,MATCH(A251,Frozen_Predictions!$A$4:$A$303,0)))</x:f>
      </x:c>
      <x:c r="W251" t="str">
        <x:f>IF(A251="","",IF(COUNTIF($A$4:$A$303,A251)&lt;&gt;1,"ID DUPLICAT",IF(COUNTIF(Frozen_Predictions!$A$4:$A$303,A251)&lt;&gt;1,"ID INEXISTENT SAU DUPLICAT ÎN FROZEN",IF(COUNT(K251:L251)&lt;2,"COMPLETEAZĂ SCORUL","VERIFICAT"))))</x:f>
      </x:c>
    </x:row>
    <x:row r="252">
      <x:c r="A252" s="141"/>
      <x:c r="B252" t="str">
        <x:f>IF(OR(A252="",COUNTIF(Frozen_Predictions!$A$4:$A$303,A252)&lt;&gt;1),"",INDEX(Frozen_Predictions!$C$4:$C$303,MATCH(A252,Frozen_Predictions!$A$4:$A$303,0)))</x:f>
      </x:c>
      <x:c r="C252" t="str">
        <x:f>IF(OR(A252="",COUNTIF(Frozen_Predictions!$A$4:$A$303,A252)&lt;&gt;1),"",INDEX(Frozen_Predictions!$E$4:$E$303,MATCH(A252,Frozen_Predictions!$A$4:$A$303,0)))</x:f>
      </x:c>
      <x:c r="D252" t="str">
        <x:f>IF(OR(A252="",COUNTIF(Frozen_Predictions!$A$4:$A$303,A252)&lt;&gt;1),"",INDEX(Frozen_Predictions!$F$4:$F$303,MATCH(A252,Frozen_Predictions!$A$4:$A$303,0)))</x:f>
      </x:c>
      <x:c r="E252" t="str">
        <x:f>IF(OR(A252="",COUNTIF(Frozen_Predictions!$A$4:$A$303,A252)&lt;&gt;1),"",INDEX(Frozen_Predictions!$G$4:$G$303,MATCH(A252,Frozen_Predictions!$A$4:$A$303,0)))</x:f>
      </x:c>
      <x:c r="F252" t="str">
        <x:f>IF(OR(A252="",COUNTIF(Frozen_Predictions!$A$4:$A$303,A252)&lt;&gt;1),"",INDEX(Frozen_Predictions!$H$4:$H$303,MATCH(A252,Frozen_Predictions!$A$4:$A$303,0)))</x:f>
      </x:c>
      <x:c r="G252" t="str">
        <x:f>IF(OR(A252="",COUNTIF(Frozen_Predictions!$A$4:$A$303,A252)&lt;&gt;1),"",INDEX(Frozen_Predictions!$I$4:$I$303,MATCH(A252,Frozen_Predictions!$A$4:$A$303,0)))</x:f>
      </x:c>
      <x:c r="H252" t="str">
        <x:f>IF(OR(A252="",COUNTIF(Frozen_Predictions!$A$4:$A$303,A252)&lt;&gt;1),"",INDEX(Frozen_Predictions!$J$4:$J$303,MATCH(A252,Frozen_Predictions!$A$4:$A$303,0)))</x:f>
      </x:c>
      <x:c r="I252" t="str">
        <x:f>IF(OR(A252="",COUNTIF(Frozen_Predictions!$A$4:$A$303,A252)&lt;&gt;1),"",INDEX(Frozen_Predictions!$K$4:$K$303,MATCH(A252,Frozen_Predictions!$A$4:$A$303,0)))</x:f>
      </x:c>
      <x:c r="J252" s="142" t="str">
        <x:f>IF(OR(A252="",G252="",COUNT(K252:M252)&lt;3,COUNTIF($A$4:$A$303,A252)&lt;&gt;1),"",IF(IF(M252+F252&gt;0,"1",IF(M252+F252=0,"X","2"))=G252&amp;"",1,0))</x:f>
      </x:c>
      <x:c r="K252" s="143"/>
      <x:c r="L252" s="143"/>
      <x:c r="M252" s="142" t="str">
        <x:f>IF(AND(A252&lt;&gt;"",COUNT(K252:L252)=2),K252-L252,"")</x:f>
      </x:c>
      <x:c r="N252" s="142" t="str">
        <x:f>IF(J252="","",IF(M252+F252=0,"YES","NO"))</x:f>
      </x:c>
      <x:c r="O252" t="str">
        <x:f>IF(J252="","",IF(J252=1,"WIN",IF(N252="YES","Exact margin M="&amp;ABS(F252),"Direction / tail")))</x:f>
      </x:c>
      <x:c r="P252" s="141"/>
      <x:c r="Q252" s="141"/>
      <x:c r="R252" s="144" t="str">
        <x:f>IF(OR(I252="",J252=""),"",(I252-J252)^2)</x:f>
      </x:c>
      <x:c r="S252" s="144" t="str">
        <x:f>IF(OR(I252="",J252=""),"",-(J252*LN(MAX(MIN(I252,0.999999),0.000001))+(1-J252)*LN(MAX(MIN(1-I252,0.999999),0.000001))))</x:f>
      </x:c>
      <x:c r="T252" t="str">
        <x:f>IF(J252="","",INDEX(Frozen_Predictions!$M$4:$M$303,MATCH(A252,Frozen_Predictions!$A$4:$A$303,0)))</x:f>
      </x:c>
      <x:c r="U252" t="str">
        <x:f>IF(J252="","",INDEX(Frozen_Predictions!$W$4:$W$303,MATCH(A252,Frozen_Predictions!$A$4:$A$303,0)))</x:f>
      </x:c>
      <x:c r="V252" t="str">
        <x:f>IF(J252="","",INDEX(Frozen_Predictions!$X$4:$X$303,MATCH(A252,Frozen_Predictions!$A$4:$A$303,0)))</x:f>
      </x:c>
      <x:c r="W252" t="str">
        <x:f>IF(A252="","",IF(COUNTIF($A$4:$A$303,A252)&lt;&gt;1,"ID DUPLICAT",IF(COUNTIF(Frozen_Predictions!$A$4:$A$303,A252)&lt;&gt;1,"ID INEXISTENT SAU DUPLICAT ÎN FROZEN",IF(COUNT(K252:L252)&lt;2,"COMPLETEAZĂ SCORUL","VERIFICAT"))))</x:f>
      </x:c>
    </x:row>
    <x:row r="253">
      <x:c r="A253" s="141"/>
      <x:c r="B253" t="str">
        <x:f>IF(OR(A253="",COUNTIF(Frozen_Predictions!$A$4:$A$303,A253)&lt;&gt;1),"",INDEX(Frozen_Predictions!$C$4:$C$303,MATCH(A253,Frozen_Predictions!$A$4:$A$303,0)))</x:f>
      </x:c>
      <x:c r="C253" t="str">
        <x:f>IF(OR(A253="",COUNTIF(Frozen_Predictions!$A$4:$A$303,A253)&lt;&gt;1),"",INDEX(Frozen_Predictions!$E$4:$E$303,MATCH(A253,Frozen_Predictions!$A$4:$A$303,0)))</x:f>
      </x:c>
      <x:c r="D253" t="str">
        <x:f>IF(OR(A253="",COUNTIF(Frozen_Predictions!$A$4:$A$303,A253)&lt;&gt;1),"",INDEX(Frozen_Predictions!$F$4:$F$303,MATCH(A253,Frozen_Predictions!$A$4:$A$303,0)))</x:f>
      </x:c>
      <x:c r="E253" t="str">
        <x:f>IF(OR(A253="",COUNTIF(Frozen_Predictions!$A$4:$A$303,A253)&lt;&gt;1),"",INDEX(Frozen_Predictions!$G$4:$G$303,MATCH(A253,Frozen_Predictions!$A$4:$A$303,0)))</x:f>
      </x:c>
      <x:c r="F253" t="str">
        <x:f>IF(OR(A253="",COUNTIF(Frozen_Predictions!$A$4:$A$303,A253)&lt;&gt;1),"",INDEX(Frozen_Predictions!$H$4:$H$303,MATCH(A253,Frozen_Predictions!$A$4:$A$303,0)))</x:f>
      </x:c>
      <x:c r="G253" t="str">
        <x:f>IF(OR(A253="",COUNTIF(Frozen_Predictions!$A$4:$A$303,A253)&lt;&gt;1),"",INDEX(Frozen_Predictions!$I$4:$I$303,MATCH(A253,Frozen_Predictions!$A$4:$A$303,0)))</x:f>
      </x:c>
      <x:c r="H253" t="str">
        <x:f>IF(OR(A253="",COUNTIF(Frozen_Predictions!$A$4:$A$303,A253)&lt;&gt;1),"",INDEX(Frozen_Predictions!$J$4:$J$303,MATCH(A253,Frozen_Predictions!$A$4:$A$303,0)))</x:f>
      </x:c>
      <x:c r="I253" t="str">
        <x:f>IF(OR(A253="",COUNTIF(Frozen_Predictions!$A$4:$A$303,A253)&lt;&gt;1),"",INDEX(Frozen_Predictions!$K$4:$K$303,MATCH(A253,Frozen_Predictions!$A$4:$A$303,0)))</x:f>
      </x:c>
      <x:c r="J253" s="142" t="str">
        <x:f>IF(OR(A253="",G253="",COUNT(K253:M253)&lt;3,COUNTIF($A$4:$A$303,A253)&lt;&gt;1),"",IF(IF(M253+F253&gt;0,"1",IF(M253+F253=0,"X","2"))=G253&amp;"",1,0))</x:f>
      </x:c>
      <x:c r="K253" s="143"/>
      <x:c r="L253" s="143"/>
      <x:c r="M253" s="142" t="str">
        <x:f>IF(AND(A253&lt;&gt;"",COUNT(K253:L253)=2),K253-L253,"")</x:f>
      </x:c>
      <x:c r="N253" s="142" t="str">
        <x:f>IF(J253="","",IF(M253+F253=0,"YES","NO"))</x:f>
      </x:c>
      <x:c r="O253" t="str">
        <x:f>IF(J253="","",IF(J253=1,"WIN",IF(N253="YES","Exact margin M="&amp;ABS(F253),"Direction / tail")))</x:f>
      </x:c>
      <x:c r="P253" s="141"/>
      <x:c r="Q253" s="141"/>
      <x:c r="R253" s="144" t="str">
        <x:f>IF(OR(I253="",J253=""),"",(I253-J253)^2)</x:f>
      </x:c>
      <x:c r="S253" s="144" t="str">
        <x:f>IF(OR(I253="",J253=""),"",-(J253*LN(MAX(MIN(I253,0.999999),0.000001))+(1-J253)*LN(MAX(MIN(1-I253,0.999999),0.000001))))</x:f>
      </x:c>
      <x:c r="T253" t="str">
        <x:f>IF(J253="","",INDEX(Frozen_Predictions!$M$4:$M$303,MATCH(A253,Frozen_Predictions!$A$4:$A$303,0)))</x:f>
      </x:c>
      <x:c r="U253" t="str">
        <x:f>IF(J253="","",INDEX(Frozen_Predictions!$W$4:$W$303,MATCH(A253,Frozen_Predictions!$A$4:$A$303,0)))</x:f>
      </x:c>
      <x:c r="V253" t="str">
        <x:f>IF(J253="","",INDEX(Frozen_Predictions!$X$4:$X$303,MATCH(A253,Frozen_Predictions!$A$4:$A$303,0)))</x:f>
      </x:c>
      <x:c r="W253" t="str">
        <x:f>IF(A253="","",IF(COUNTIF($A$4:$A$303,A253)&lt;&gt;1,"ID DUPLICAT",IF(COUNTIF(Frozen_Predictions!$A$4:$A$303,A253)&lt;&gt;1,"ID INEXISTENT SAU DUPLICAT ÎN FROZEN",IF(COUNT(K253:L253)&lt;2,"COMPLETEAZĂ SCORUL","VERIFICAT"))))</x:f>
      </x:c>
    </x:row>
    <x:row r="254">
      <x:c r="A254" s="141"/>
      <x:c r="B254" t="str">
        <x:f>IF(OR(A254="",COUNTIF(Frozen_Predictions!$A$4:$A$303,A254)&lt;&gt;1),"",INDEX(Frozen_Predictions!$C$4:$C$303,MATCH(A254,Frozen_Predictions!$A$4:$A$303,0)))</x:f>
      </x:c>
      <x:c r="C254" t="str">
        <x:f>IF(OR(A254="",COUNTIF(Frozen_Predictions!$A$4:$A$303,A254)&lt;&gt;1),"",INDEX(Frozen_Predictions!$E$4:$E$303,MATCH(A254,Frozen_Predictions!$A$4:$A$303,0)))</x:f>
      </x:c>
      <x:c r="D254" t="str">
        <x:f>IF(OR(A254="",COUNTIF(Frozen_Predictions!$A$4:$A$303,A254)&lt;&gt;1),"",INDEX(Frozen_Predictions!$F$4:$F$303,MATCH(A254,Frozen_Predictions!$A$4:$A$303,0)))</x:f>
      </x:c>
      <x:c r="E254" t="str">
        <x:f>IF(OR(A254="",COUNTIF(Frozen_Predictions!$A$4:$A$303,A254)&lt;&gt;1),"",INDEX(Frozen_Predictions!$G$4:$G$303,MATCH(A254,Frozen_Predictions!$A$4:$A$303,0)))</x:f>
      </x:c>
      <x:c r="F254" t="str">
        <x:f>IF(OR(A254="",COUNTIF(Frozen_Predictions!$A$4:$A$303,A254)&lt;&gt;1),"",INDEX(Frozen_Predictions!$H$4:$H$303,MATCH(A254,Frozen_Predictions!$A$4:$A$303,0)))</x:f>
      </x:c>
      <x:c r="G254" t="str">
        <x:f>IF(OR(A254="",COUNTIF(Frozen_Predictions!$A$4:$A$303,A254)&lt;&gt;1),"",INDEX(Frozen_Predictions!$I$4:$I$303,MATCH(A254,Frozen_Predictions!$A$4:$A$303,0)))</x:f>
      </x:c>
      <x:c r="H254" t="str">
        <x:f>IF(OR(A254="",COUNTIF(Frozen_Predictions!$A$4:$A$303,A254)&lt;&gt;1),"",INDEX(Frozen_Predictions!$J$4:$J$303,MATCH(A254,Frozen_Predictions!$A$4:$A$303,0)))</x:f>
      </x:c>
      <x:c r="I254" t="str">
        <x:f>IF(OR(A254="",COUNTIF(Frozen_Predictions!$A$4:$A$303,A254)&lt;&gt;1),"",INDEX(Frozen_Predictions!$K$4:$K$303,MATCH(A254,Frozen_Predictions!$A$4:$A$303,0)))</x:f>
      </x:c>
      <x:c r="J254" s="142" t="str">
        <x:f>IF(OR(A254="",G254="",COUNT(K254:M254)&lt;3,COUNTIF($A$4:$A$303,A254)&lt;&gt;1),"",IF(IF(M254+F254&gt;0,"1",IF(M254+F254=0,"X","2"))=G254&amp;"",1,0))</x:f>
      </x:c>
      <x:c r="K254" s="143"/>
      <x:c r="L254" s="143"/>
      <x:c r="M254" s="142" t="str">
        <x:f>IF(AND(A254&lt;&gt;"",COUNT(K254:L254)=2),K254-L254,"")</x:f>
      </x:c>
      <x:c r="N254" s="142" t="str">
        <x:f>IF(J254="","",IF(M254+F254=0,"YES","NO"))</x:f>
      </x:c>
      <x:c r="O254" t="str">
        <x:f>IF(J254="","",IF(J254=1,"WIN",IF(N254="YES","Exact margin M="&amp;ABS(F254),"Direction / tail")))</x:f>
      </x:c>
      <x:c r="P254" s="141"/>
      <x:c r="Q254" s="141"/>
      <x:c r="R254" s="144" t="str">
        <x:f>IF(OR(I254="",J254=""),"",(I254-J254)^2)</x:f>
      </x:c>
      <x:c r="S254" s="144" t="str">
        <x:f>IF(OR(I254="",J254=""),"",-(J254*LN(MAX(MIN(I254,0.999999),0.000001))+(1-J254)*LN(MAX(MIN(1-I254,0.999999),0.000001))))</x:f>
      </x:c>
      <x:c r="T254" t="str">
        <x:f>IF(J254="","",INDEX(Frozen_Predictions!$M$4:$M$303,MATCH(A254,Frozen_Predictions!$A$4:$A$303,0)))</x:f>
      </x:c>
      <x:c r="U254" t="str">
        <x:f>IF(J254="","",INDEX(Frozen_Predictions!$W$4:$W$303,MATCH(A254,Frozen_Predictions!$A$4:$A$303,0)))</x:f>
      </x:c>
      <x:c r="V254" t="str">
        <x:f>IF(J254="","",INDEX(Frozen_Predictions!$X$4:$X$303,MATCH(A254,Frozen_Predictions!$A$4:$A$303,0)))</x:f>
      </x:c>
      <x:c r="W254" t="str">
        <x:f>IF(A254="","",IF(COUNTIF($A$4:$A$303,A254)&lt;&gt;1,"ID DUPLICAT",IF(COUNTIF(Frozen_Predictions!$A$4:$A$303,A254)&lt;&gt;1,"ID INEXISTENT SAU DUPLICAT ÎN FROZEN",IF(COUNT(K254:L254)&lt;2,"COMPLETEAZĂ SCORUL","VERIFICAT"))))</x:f>
      </x:c>
    </x:row>
    <x:row r="255">
      <x:c r="A255" s="141"/>
      <x:c r="B255" t="str">
        <x:f>IF(OR(A255="",COUNTIF(Frozen_Predictions!$A$4:$A$303,A255)&lt;&gt;1),"",INDEX(Frozen_Predictions!$C$4:$C$303,MATCH(A255,Frozen_Predictions!$A$4:$A$303,0)))</x:f>
      </x:c>
      <x:c r="C255" t="str">
        <x:f>IF(OR(A255="",COUNTIF(Frozen_Predictions!$A$4:$A$303,A255)&lt;&gt;1),"",INDEX(Frozen_Predictions!$E$4:$E$303,MATCH(A255,Frozen_Predictions!$A$4:$A$303,0)))</x:f>
      </x:c>
      <x:c r="D255" t="str">
        <x:f>IF(OR(A255="",COUNTIF(Frozen_Predictions!$A$4:$A$303,A255)&lt;&gt;1),"",INDEX(Frozen_Predictions!$F$4:$F$303,MATCH(A255,Frozen_Predictions!$A$4:$A$303,0)))</x:f>
      </x:c>
      <x:c r="E255" t="str">
        <x:f>IF(OR(A255="",COUNTIF(Frozen_Predictions!$A$4:$A$303,A255)&lt;&gt;1),"",INDEX(Frozen_Predictions!$G$4:$G$303,MATCH(A255,Frozen_Predictions!$A$4:$A$303,0)))</x:f>
      </x:c>
      <x:c r="F255" t="str">
        <x:f>IF(OR(A255="",COUNTIF(Frozen_Predictions!$A$4:$A$303,A255)&lt;&gt;1),"",INDEX(Frozen_Predictions!$H$4:$H$303,MATCH(A255,Frozen_Predictions!$A$4:$A$303,0)))</x:f>
      </x:c>
      <x:c r="G255" t="str">
        <x:f>IF(OR(A255="",COUNTIF(Frozen_Predictions!$A$4:$A$303,A255)&lt;&gt;1),"",INDEX(Frozen_Predictions!$I$4:$I$303,MATCH(A255,Frozen_Predictions!$A$4:$A$303,0)))</x:f>
      </x:c>
      <x:c r="H255" t="str">
        <x:f>IF(OR(A255="",COUNTIF(Frozen_Predictions!$A$4:$A$303,A255)&lt;&gt;1),"",INDEX(Frozen_Predictions!$J$4:$J$303,MATCH(A255,Frozen_Predictions!$A$4:$A$303,0)))</x:f>
      </x:c>
      <x:c r="I255" t="str">
        <x:f>IF(OR(A255="",COUNTIF(Frozen_Predictions!$A$4:$A$303,A255)&lt;&gt;1),"",INDEX(Frozen_Predictions!$K$4:$K$303,MATCH(A255,Frozen_Predictions!$A$4:$A$303,0)))</x:f>
      </x:c>
      <x:c r="J255" s="142" t="str">
        <x:f>IF(OR(A255="",G255="",COUNT(K255:M255)&lt;3,COUNTIF($A$4:$A$303,A255)&lt;&gt;1),"",IF(IF(M255+F255&gt;0,"1",IF(M255+F255=0,"X","2"))=G255&amp;"",1,0))</x:f>
      </x:c>
      <x:c r="K255" s="143"/>
      <x:c r="L255" s="143"/>
      <x:c r="M255" s="142" t="str">
        <x:f>IF(AND(A255&lt;&gt;"",COUNT(K255:L255)=2),K255-L255,"")</x:f>
      </x:c>
      <x:c r="N255" s="142" t="str">
        <x:f>IF(J255="","",IF(M255+F255=0,"YES","NO"))</x:f>
      </x:c>
      <x:c r="O255" t="str">
        <x:f>IF(J255="","",IF(J255=1,"WIN",IF(N255="YES","Exact margin M="&amp;ABS(F255),"Direction / tail")))</x:f>
      </x:c>
      <x:c r="P255" s="141"/>
      <x:c r="Q255" s="141"/>
      <x:c r="R255" s="144" t="str">
        <x:f>IF(OR(I255="",J255=""),"",(I255-J255)^2)</x:f>
      </x:c>
      <x:c r="S255" s="144" t="str">
        <x:f>IF(OR(I255="",J255=""),"",-(J255*LN(MAX(MIN(I255,0.999999),0.000001))+(1-J255)*LN(MAX(MIN(1-I255,0.999999),0.000001))))</x:f>
      </x:c>
      <x:c r="T255" t="str">
        <x:f>IF(J255="","",INDEX(Frozen_Predictions!$M$4:$M$303,MATCH(A255,Frozen_Predictions!$A$4:$A$303,0)))</x:f>
      </x:c>
      <x:c r="U255" t="str">
        <x:f>IF(J255="","",INDEX(Frozen_Predictions!$W$4:$W$303,MATCH(A255,Frozen_Predictions!$A$4:$A$303,0)))</x:f>
      </x:c>
      <x:c r="V255" t="str">
        <x:f>IF(J255="","",INDEX(Frozen_Predictions!$X$4:$X$303,MATCH(A255,Frozen_Predictions!$A$4:$A$303,0)))</x:f>
      </x:c>
      <x:c r="W255" t="str">
        <x:f>IF(A255="","",IF(COUNTIF($A$4:$A$303,A255)&lt;&gt;1,"ID DUPLICAT",IF(COUNTIF(Frozen_Predictions!$A$4:$A$303,A255)&lt;&gt;1,"ID INEXISTENT SAU DUPLICAT ÎN FROZEN",IF(COUNT(K255:L255)&lt;2,"COMPLETEAZĂ SCORUL","VERIFICAT"))))</x:f>
      </x:c>
    </x:row>
    <x:row r="256">
      <x:c r="A256" s="141"/>
      <x:c r="B256" t="str">
        <x:f>IF(OR(A256="",COUNTIF(Frozen_Predictions!$A$4:$A$303,A256)&lt;&gt;1),"",INDEX(Frozen_Predictions!$C$4:$C$303,MATCH(A256,Frozen_Predictions!$A$4:$A$303,0)))</x:f>
      </x:c>
      <x:c r="C256" t="str">
        <x:f>IF(OR(A256="",COUNTIF(Frozen_Predictions!$A$4:$A$303,A256)&lt;&gt;1),"",INDEX(Frozen_Predictions!$E$4:$E$303,MATCH(A256,Frozen_Predictions!$A$4:$A$303,0)))</x:f>
      </x:c>
      <x:c r="D256" t="str">
        <x:f>IF(OR(A256="",COUNTIF(Frozen_Predictions!$A$4:$A$303,A256)&lt;&gt;1),"",INDEX(Frozen_Predictions!$F$4:$F$303,MATCH(A256,Frozen_Predictions!$A$4:$A$303,0)))</x:f>
      </x:c>
      <x:c r="E256" t="str">
        <x:f>IF(OR(A256="",COUNTIF(Frozen_Predictions!$A$4:$A$303,A256)&lt;&gt;1),"",INDEX(Frozen_Predictions!$G$4:$G$303,MATCH(A256,Frozen_Predictions!$A$4:$A$303,0)))</x:f>
      </x:c>
      <x:c r="F256" t="str">
        <x:f>IF(OR(A256="",COUNTIF(Frozen_Predictions!$A$4:$A$303,A256)&lt;&gt;1),"",INDEX(Frozen_Predictions!$H$4:$H$303,MATCH(A256,Frozen_Predictions!$A$4:$A$303,0)))</x:f>
      </x:c>
      <x:c r="G256" t="str">
        <x:f>IF(OR(A256="",COUNTIF(Frozen_Predictions!$A$4:$A$303,A256)&lt;&gt;1),"",INDEX(Frozen_Predictions!$I$4:$I$303,MATCH(A256,Frozen_Predictions!$A$4:$A$303,0)))</x:f>
      </x:c>
      <x:c r="H256" t="str">
        <x:f>IF(OR(A256="",COUNTIF(Frozen_Predictions!$A$4:$A$303,A256)&lt;&gt;1),"",INDEX(Frozen_Predictions!$J$4:$J$303,MATCH(A256,Frozen_Predictions!$A$4:$A$303,0)))</x:f>
      </x:c>
      <x:c r="I256" t="str">
        <x:f>IF(OR(A256="",COUNTIF(Frozen_Predictions!$A$4:$A$303,A256)&lt;&gt;1),"",INDEX(Frozen_Predictions!$K$4:$K$303,MATCH(A256,Frozen_Predictions!$A$4:$A$303,0)))</x:f>
      </x:c>
      <x:c r="J256" s="142" t="str">
        <x:f>IF(OR(A256="",G256="",COUNT(K256:M256)&lt;3,COUNTIF($A$4:$A$303,A256)&lt;&gt;1),"",IF(IF(M256+F256&gt;0,"1",IF(M256+F256=0,"X","2"))=G256&amp;"",1,0))</x:f>
      </x:c>
      <x:c r="K256" s="143"/>
      <x:c r="L256" s="143"/>
      <x:c r="M256" s="142" t="str">
        <x:f>IF(AND(A256&lt;&gt;"",COUNT(K256:L256)=2),K256-L256,"")</x:f>
      </x:c>
      <x:c r="N256" s="142" t="str">
        <x:f>IF(J256="","",IF(M256+F256=0,"YES","NO"))</x:f>
      </x:c>
      <x:c r="O256" t="str">
        <x:f>IF(J256="","",IF(J256=1,"WIN",IF(N256="YES","Exact margin M="&amp;ABS(F256),"Direction / tail")))</x:f>
      </x:c>
      <x:c r="P256" s="141"/>
      <x:c r="Q256" s="141"/>
      <x:c r="R256" s="144" t="str">
        <x:f>IF(OR(I256="",J256=""),"",(I256-J256)^2)</x:f>
      </x:c>
      <x:c r="S256" s="144" t="str">
        <x:f>IF(OR(I256="",J256=""),"",-(J256*LN(MAX(MIN(I256,0.999999),0.000001))+(1-J256)*LN(MAX(MIN(1-I256,0.999999),0.000001))))</x:f>
      </x:c>
      <x:c r="T256" t="str">
        <x:f>IF(J256="","",INDEX(Frozen_Predictions!$M$4:$M$303,MATCH(A256,Frozen_Predictions!$A$4:$A$303,0)))</x:f>
      </x:c>
      <x:c r="U256" t="str">
        <x:f>IF(J256="","",INDEX(Frozen_Predictions!$W$4:$W$303,MATCH(A256,Frozen_Predictions!$A$4:$A$303,0)))</x:f>
      </x:c>
      <x:c r="V256" t="str">
        <x:f>IF(J256="","",INDEX(Frozen_Predictions!$X$4:$X$303,MATCH(A256,Frozen_Predictions!$A$4:$A$303,0)))</x:f>
      </x:c>
      <x:c r="W256" t="str">
        <x:f>IF(A256="","",IF(COUNTIF($A$4:$A$303,A256)&lt;&gt;1,"ID DUPLICAT",IF(COUNTIF(Frozen_Predictions!$A$4:$A$303,A256)&lt;&gt;1,"ID INEXISTENT SAU DUPLICAT ÎN FROZEN",IF(COUNT(K256:L256)&lt;2,"COMPLETEAZĂ SCORUL","VERIFICAT"))))</x:f>
      </x:c>
    </x:row>
    <x:row r="257">
      <x:c r="A257" s="141"/>
      <x:c r="B257" t="str">
        <x:f>IF(OR(A257="",COUNTIF(Frozen_Predictions!$A$4:$A$303,A257)&lt;&gt;1),"",INDEX(Frozen_Predictions!$C$4:$C$303,MATCH(A257,Frozen_Predictions!$A$4:$A$303,0)))</x:f>
      </x:c>
      <x:c r="C257" t="str">
        <x:f>IF(OR(A257="",COUNTIF(Frozen_Predictions!$A$4:$A$303,A257)&lt;&gt;1),"",INDEX(Frozen_Predictions!$E$4:$E$303,MATCH(A257,Frozen_Predictions!$A$4:$A$303,0)))</x:f>
      </x:c>
      <x:c r="D257" t="str">
        <x:f>IF(OR(A257="",COUNTIF(Frozen_Predictions!$A$4:$A$303,A257)&lt;&gt;1),"",INDEX(Frozen_Predictions!$F$4:$F$303,MATCH(A257,Frozen_Predictions!$A$4:$A$303,0)))</x:f>
      </x:c>
      <x:c r="E257" t="str">
        <x:f>IF(OR(A257="",COUNTIF(Frozen_Predictions!$A$4:$A$303,A257)&lt;&gt;1),"",INDEX(Frozen_Predictions!$G$4:$G$303,MATCH(A257,Frozen_Predictions!$A$4:$A$303,0)))</x:f>
      </x:c>
      <x:c r="F257" t="str">
        <x:f>IF(OR(A257="",COUNTIF(Frozen_Predictions!$A$4:$A$303,A257)&lt;&gt;1),"",INDEX(Frozen_Predictions!$H$4:$H$303,MATCH(A257,Frozen_Predictions!$A$4:$A$303,0)))</x:f>
      </x:c>
      <x:c r="G257" t="str">
        <x:f>IF(OR(A257="",COUNTIF(Frozen_Predictions!$A$4:$A$303,A257)&lt;&gt;1),"",INDEX(Frozen_Predictions!$I$4:$I$303,MATCH(A257,Frozen_Predictions!$A$4:$A$303,0)))</x:f>
      </x:c>
      <x:c r="H257" t="str">
        <x:f>IF(OR(A257="",COUNTIF(Frozen_Predictions!$A$4:$A$303,A257)&lt;&gt;1),"",INDEX(Frozen_Predictions!$J$4:$J$303,MATCH(A257,Frozen_Predictions!$A$4:$A$303,0)))</x:f>
      </x:c>
      <x:c r="I257" t="str">
        <x:f>IF(OR(A257="",COUNTIF(Frozen_Predictions!$A$4:$A$303,A257)&lt;&gt;1),"",INDEX(Frozen_Predictions!$K$4:$K$303,MATCH(A257,Frozen_Predictions!$A$4:$A$303,0)))</x:f>
      </x:c>
      <x:c r="J257" s="142" t="str">
        <x:f>IF(OR(A257="",G257="",COUNT(K257:M257)&lt;3,COUNTIF($A$4:$A$303,A257)&lt;&gt;1),"",IF(IF(M257+F257&gt;0,"1",IF(M257+F257=0,"X","2"))=G257&amp;"",1,0))</x:f>
      </x:c>
      <x:c r="K257" s="143"/>
      <x:c r="L257" s="143"/>
      <x:c r="M257" s="142" t="str">
        <x:f>IF(AND(A257&lt;&gt;"",COUNT(K257:L257)=2),K257-L257,"")</x:f>
      </x:c>
      <x:c r="N257" s="142" t="str">
        <x:f>IF(J257="","",IF(M257+F257=0,"YES","NO"))</x:f>
      </x:c>
      <x:c r="O257" t="str">
        <x:f>IF(J257="","",IF(J257=1,"WIN",IF(N257="YES","Exact margin M="&amp;ABS(F257),"Direction / tail")))</x:f>
      </x:c>
      <x:c r="P257" s="141"/>
      <x:c r="Q257" s="141"/>
      <x:c r="R257" s="144" t="str">
        <x:f>IF(OR(I257="",J257=""),"",(I257-J257)^2)</x:f>
      </x:c>
      <x:c r="S257" s="144" t="str">
        <x:f>IF(OR(I257="",J257=""),"",-(J257*LN(MAX(MIN(I257,0.999999),0.000001))+(1-J257)*LN(MAX(MIN(1-I257,0.999999),0.000001))))</x:f>
      </x:c>
      <x:c r="T257" t="str">
        <x:f>IF(J257="","",INDEX(Frozen_Predictions!$M$4:$M$303,MATCH(A257,Frozen_Predictions!$A$4:$A$303,0)))</x:f>
      </x:c>
      <x:c r="U257" t="str">
        <x:f>IF(J257="","",INDEX(Frozen_Predictions!$W$4:$W$303,MATCH(A257,Frozen_Predictions!$A$4:$A$303,0)))</x:f>
      </x:c>
      <x:c r="V257" t="str">
        <x:f>IF(J257="","",INDEX(Frozen_Predictions!$X$4:$X$303,MATCH(A257,Frozen_Predictions!$A$4:$A$303,0)))</x:f>
      </x:c>
      <x:c r="W257" t="str">
        <x:f>IF(A257="","",IF(COUNTIF($A$4:$A$303,A257)&lt;&gt;1,"ID DUPLICAT",IF(COUNTIF(Frozen_Predictions!$A$4:$A$303,A257)&lt;&gt;1,"ID INEXISTENT SAU DUPLICAT ÎN FROZEN",IF(COUNT(K257:L257)&lt;2,"COMPLETEAZĂ SCORUL","VERIFICAT"))))</x:f>
      </x:c>
    </x:row>
    <x:row r="258">
      <x:c r="A258" s="141"/>
      <x:c r="B258" t="str">
        <x:f>IF(OR(A258="",COUNTIF(Frozen_Predictions!$A$4:$A$303,A258)&lt;&gt;1),"",INDEX(Frozen_Predictions!$C$4:$C$303,MATCH(A258,Frozen_Predictions!$A$4:$A$303,0)))</x:f>
      </x:c>
      <x:c r="C258" t="str">
        <x:f>IF(OR(A258="",COUNTIF(Frozen_Predictions!$A$4:$A$303,A258)&lt;&gt;1),"",INDEX(Frozen_Predictions!$E$4:$E$303,MATCH(A258,Frozen_Predictions!$A$4:$A$303,0)))</x:f>
      </x:c>
      <x:c r="D258" t="str">
        <x:f>IF(OR(A258="",COUNTIF(Frozen_Predictions!$A$4:$A$303,A258)&lt;&gt;1),"",INDEX(Frozen_Predictions!$F$4:$F$303,MATCH(A258,Frozen_Predictions!$A$4:$A$303,0)))</x:f>
      </x:c>
      <x:c r="E258" t="str">
        <x:f>IF(OR(A258="",COUNTIF(Frozen_Predictions!$A$4:$A$303,A258)&lt;&gt;1),"",INDEX(Frozen_Predictions!$G$4:$G$303,MATCH(A258,Frozen_Predictions!$A$4:$A$303,0)))</x:f>
      </x:c>
      <x:c r="F258" t="str">
        <x:f>IF(OR(A258="",COUNTIF(Frozen_Predictions!$A$4:$A$303,A258)&lt;&gt;1),"",INDEX(Frozen_Predictions!$H$4:$H$303,MATCH(A258,Frozen_Predictions!$A$4:$A$303,0)))</x:f>
      </x:c>
      <x:c r="G258" t="str">
        <x:f>IF(OR(A258="",COUNTIF(Frozen_Predictions!$A$4:$A$303,A258)&lt;&gt;1),"",INDEX(Frozen_Predictions!$I$4:$I$303,MATCH(A258,Frozen_Predictions!$A$4:$A$303,0)))</x:f>
      </x:c>
      <x:c r="H258" t="str">
        <x:f>IF(OR(A258="",COUNTIF(Frozen_Predictions!$A$4:$A$303,A258)&lt;&gt;1),"",INDEX(Frozen_Predictions!$J$4:$J$303,MATCH(A258,Frozen_Predictions!$A$4:$A$303,0)))</x:f>
      </x:c>
      <x:c r="I258" t="str">
        <x:f>IF(OR(A258="",COUNTIF(Frozen_Predictions!$A$4:$A$303,A258)&lt;&gt;1),"",INDEX(Frozen_Predictions!$K$4:$K$303,MATCH(A258,Frozen_Predictions!$A$4:$A$303,0)))</x:f>
      </x:c>
      <x:c r="J258" s="142" t="str">
        <x:f>IF(OR(A258="",G258="",COUNT(K258:M258)&lt;3,COUNTIF($A$4:$A$303,A258)&lt;&gt;1),"",IF(IF(M258+F258&gt;0,"1",IF(M258+F258=0,"X","2"))=G258&amp;"",1,0))</x:f>
      </x:c>
      <x:c r="K258" s="143"/>
      <x:c r="L258" s="143"/>
      <x:c r="M258" s="142" t="str">
        <x:f>IF(AND(A258&lt;&gt;"",COUNT(K258:L258)=2),K258-L258,"")</x:f>
      </x:c>
      <x:c r="N258" s="142" t="str">
        <x:f>IF(J258="","",IF(M258+F258=0,"YES","NO"))</x:f>
      </x:c>
      <x:c r="O258" t="str">
        <x:f>IF(J258="","",IF(J258=1,"WIN",IF(N258="YES","Exact margin M="&amp;ABS(F258),"Direction / tail")))</x:f>
      </x:c>
      <x:c r="P258" s="141"/>
      <x:c r="Q258" s="141"/>
      <x:c r="R258" s="144" t="str">
        <x:f>IF(OR(I258="",J258=""),"",(I258-J258)^2)</x:f>
      </x:c>
      <x:c r="S258" s="144" t="str">
        <x:f>IF(OR(I258="",J258=""),"",-(J258*LN(MAX(MIN(I258,0.999999),0.000001))+(1-J258)*LN(MAX(MIN(1-I258,0.999999),0.000001))))</x:f>
      </x:c>
      <x:c r="T258" t="str">
        <x:f>IF(J258="","",INDEX(Frozen_Predictions!$M$4:$M$303,MATCH(A258,Frozen_Predictions!$A$4:$A$303,0)))</x:f>
      </x:c>
      <x:c r="U258" t="str">
        <x:f>IF(J258="","",INDEX(Frozen_Predictions!$W$4:$W$303,MATCH(A258,Frozen_Predictions!$A$4:$A$303,0)))</x:f>
      </x:c>
      <x:c r="V258" t="str">
        <x:f>IF(J258="","",INDEX(Frozen_Predictions!$X$4:$X$303,MATCH(A258,Frozen_Predictions!$A$4:$A$303,0)))</x:f>
      </x:c>
      <x:c r="W258" t="str">
        <x:f>IF(A258="","",IF(COUNTIF($A$4:$A$303,A258)&lt;&gt;1,"ID DUPLICAT",IF(COUNTIF(Frozen_Predictions!$A$4:$A$303,A258)&lt;&gt;1,"ID INEXISTENT SAU DUPLICAT ÎN FROZEN",IF(COUNT(K258:L258)&lt;2,"COMPLETEAZĂ SCORUL","VERIFICAT"))))</x:f>
      </x:c>
    </x:row>
    <x:row r="259">
      <x:c r="A259" s="141"/>
      <x:c r="B259" t="str">
        <x:f>IF(OR(A259="",COUNTIF(Frozen_Predictions!$A$4:$A$303,A259)&lt;&gt;1),"",INDEX(Frozen_Predictions!$C$4:$C$303,MATCH(A259,Frozen_Predictions!$A$4:$A$303,0)))</x:f>
      </x:c>
      <x:c r="C259" t="str">
        <x:f>IF(OR(A259="",COUNTIF(Frozen_Predictions!$A$4:$A$303,A259)&lt;&gt;1),"",INDEX(Frozen_Predictions!$E$4:$E$303,MATCH(A259,Frozen_Predictions!$A$4:$A$303,0)))</x:f>
      </x:c>
      <x:c r="D259" t="str">
        <x:f>IF(OR(A259="",COUNTIF(Frozen_Predictions!$A$4:$A$303,A259)&lt;&gt;1),"",INDEX(Frozen_Predictions!$F$4:$F$303,MATCH(A259,Frozen_Predictions!$A$4:$A$303,0)))</x:f>
      </x:c>
      <x:c r="E259" t="str">
        <x:f>IF(OR(A259="",COUNTIF(Frozen_Predictions!$A$4:$A$303,A259)&lt;&gt;1),"",INDEX(Frozen_Predictions!$G$4:$G$303,MATCH(A259,Frozen_Predictions!$A$4:$A$303,0)))</x:f>
      </x:c>
      <x:c r="F259" t="str">
        <x:f>IF(OR(A259="",COUNTIF(Frozen_Predictions!$A$4:$A$303,A259)&lt;&gt;1),"",INDEX(Frozen_Predictions!$H$4:$H$303,MATCH(A259,Frozen_Predictions!$A$4:$A$303,0)))</x:f>
      </x:c>
      <x:c r="G259" t="str">
        <x:f>IF(OR(A259="",COUNTIF(Frozen_Predictions!$A$4:$A$303,A259)&lt;&gt;1),"",INDEX(Frozen_Predictions!$I$4:$I$303,MATCH(A259,Frozen_Predictions!$A$4:$A$303,0)))</x:f>
      </x:c>
      <x:c r="H259" t="str">
        <x:f>IF(OR(A259="",COUNTIF(Frozen_Predictions!$A$4:$A$303,A259)&lt;&gt;1),"",INDEX(Frozen_Predictions!$J$4:$J$303,MATCH(A259,Frozen_Predictions!$A$4:$A$303,0)))</x:f>
      </x:c>
      <x:c r="I259" t="str">
        <x:f>IF(OR(A259="",COUNTIF(Frozen_Predictions!$A$4:$A$303,A259)&lt;&gt;1),"",INDEX(Frozen_Predictions!$K$4:$K$303,MATCH(A259,Frozen_Predictions!$A$4:$A$303,0)))</x:f>
      </x:c>
      <x:c r="J259" s="142" t="str">
        <x:f>IF(OR(A259="",G259="",COUNT(K259:M259)&lt;3,COUNTIF($A$4:$A$303,A259)&lt;&gt;1),"",IF(IF(M259+F259&gt;0,"1",IF(M259+F259=0,"X","2"))=G259&amp;"",1,0))</x:f>
      </x:c>
      <x:c r="K259" s="143"/>
      <x:c r="L259" s="143"/>
      <x:c r="M259" s="142" t="str">
        <x:f>IF(AND(A259&lt;&gt;"",COUNT(K259:L259)=2),K259-L259,"")</x:f>
      </x:c>
      <x:c r="N259" s="142" t="str">
        <x:f>IF(J259="","",IF(M259+F259=0,"YES","NO"))</x:f>
      </x:c>
      <x:c r="O259" t="str">
        <x:f>IF(J259="","",IF(J259=1,"WIN",IF(N259="YES","Exact margin M="&amp;ABS(F259),"Direction / tail")))</x:f>
      </x:c>
      <x:c r="P259" s="141"/>
      <x:c r="Q259" s="141"/>
      <x:c r="R259" s="144" t="str">
        <x:f>IF(OR(I259="",J259=""),"",(I259-J259)^2)</x:f>
      </x:c>
      <x:c r="S259" s="144" t="str">
        <x:f>IF(OR(I259="",J259=""),"",-(J259*LN(MAX(MIN(I259,0.999999),0.000001))+(1-J259)*LN(MAX(MIN(1-I259,0.999999),0.000001))))</x:f>
      </x:c>
      <x:c r="T259" t="str">
        <x:f>IF(J259="","",INDEX(Frozen_Predictions!$M$4:$M$303,MATCH(A259,Frozen_Predictions!$A$4:$A$303,0)))</x:f>
      </x:c>
      <x:c r="U259" t="str">
        <x:f>IF(J259="","",INDEX(Frozen_Predictions!$W$4:$W$303,MATCH(A259,Frozen_Predictions!$A$4:$A$303,0)))</x:f>
      </x:c>
      <x:c r="V259" t="str">
        <x:f>IF(J259="","",INDEX(Frozen_Predictions!$X$4:$X$303,MATCH(A259,Frozen_Predictions!$A$4:$A$303,0)))</x:f>
      </x:c>
      <x:c r="W259" t="str">
        <x:f>IF(A259="","",IF(COUNTIF($A$4:$A$303,A259)&lt;&gt;1,"ID DUPLICAT",IF(COUNTIF(Frozen_Predictions!$A$4:$A$303,A259)&lt;&gt;1,"ID INEXISTENT SAU DUPLICAT ÎN FROZEN",IF(COUNT(K259:L259)&lt;2,"COMPLETEAZĂ SCORUL","VERIFICAT"))))</x:f>
      </x:c>
    </x:row>
    <x:row r="260">
      <x:c r="A260" s="141"/>
      <x:c r="B260" t="str">
        <x:f>IF(OR(A260="",COUNTIF(Frozen_Predictions!$A$4:$A$303,A260)&lt;&gt;1),"",INDEX(Frozen_Predictions!$C$4:$C$303,MATCH(A260,Frozen_Predictions!$A$4:$A$303,0)))</x:f>
      </x:c>
      <x:c r="C260" t="str">
        <x:f>IF(OR(A260="",COUNTIF(Frozen_Predictions!$A$4:$A$303,A260)&lt;&gt;1),"",INDEX(Frozen_Predictions!$E$4:$E$303,MATCH(A260,Frozen_Predictions!$A$4:$A$303,0)))</x:f>
      </x:c>
      <x:c r="D260" t="str">
        <x:f>IF(OR(A260="",COUNTIF(Frozen_Predictions!$A$4:$A$303,A260)&lt;&gt;1),"",INDEX(Frozen_Predictions!$F$4:$F$303,MATCH(A260,Frozen_Predictions!$A$4:$A$303,0)))</x:f>
      </x:c>
      <x:c r="E260" t="str">
        <x:f>IF(OR(A260="",COUNTIF(Frozen_Predictions!$A$4:$A$303,A260)&lt;&gt;1),"",INDEX(Frozen_Predictions!$G$4:$G$303,MATCH(A260,Frozen_Predictions!$A$4:$A$303,0)))</x:f>
      </x:c>
      <x:c r="F260" t="str">
        <x:f>IF(OR(A260="",COUNTIF(Frozen_Predictions!$A$4:$A$303,A260)&lt;&gt;1),"",INDEX(Frozen_Predictions!$H$4:$H$303,MATCH(A260,Frozen_Predictions!$A$4:$A$303,0)))</x:f>
      </x:c>
      <x:c r="G260" t="str">
        <x:f>IF(OR(A260="",COUNTIF(Frozen_Predictions!$A$4:$A$303,A260)&lt;&gt;1),"",INDEX(Frozen_Predictions!$I$4:$I$303,MATCH(A260,Frozen_Predictions!$A$4:$A$303,0)))</x:f>
      </x:c>
      <x:c r="H260" t="str">
        <x:f>IF(OR(A260="",COUNTIF(Frozen_Predictions!$A$4:$A$303,A260)&lt;&gt;1),"",INDEX(Frozen_Predictions!$J$4:$J$303,MATCH(A260,Frozen_Predictions!$A$4:$A$303,0)))</x:f>
      </x:c>
      <x:c r="I260" t="str">
        <x:f>IF(OR(A260="",COUNTIF(Frozen_Predictions!$A$4:$A$303,A260)&lt;&gt;1),"",INDEX(Frozen_Predictions!$K$4:$K$303,MATCH(A260,Frozen_Predictions!$A$4:$A$303,0)))</x:f>
      </x:c>
      <x:c r="J260" s="142" t="str">
        <x:f>IF(OR(A260="",G260="",COUNT(K260:M260)&lt;3,COUNTIF($A$4:$A$303,A260)&lt;&gt;1),"",IF(IF(M260+F260&gt;0,"1",IF(M260+F260=0,"X","2"))=G260&amp;"",1,0))</x:f>
      </x:c>
      <x:c r="K260" s="143"/>
      <x:c r="L260" s="143"/>
      <x:c r="M260" s="142" t="str">
        <x:f>IF(AND(A260&lt;&gt;"",COUNT(K260:L260)=2),K260-L260,"")</x:f>
      </x:c>
      <x:c r="N260" s="142" t="str">
        <x:f>IF(J260="","",IF(M260+F260=0,"YES","NO"))</x:f>
      </x:c>
      <x:c r="O260" t="str">
        <x:f>IF(J260="","",IF(J260=1,"WIN",IF(N260="YES","Exact margin M="&amp;ABS(F260),"Direction / tail")))</x:f>
      </x:c>
      <x:c r="P260" s="141"/>
      <x:c r="Q260" s="141"/>
      <x:c r="R260" s="144" t="str">
        <x:f>IF(OR(I260="",J260=""),"",(I260-J260)^2)</x:f>
      </x:c>
      <x:c r="S260" s="144" t="str">
        <x:f>IF(OR(I260="",J260=""),"",-(J260*LN(MAX(MIN(I260,0.999999),0.000001))+(1-J260)*LN(MAX(MIN(1-I260,0.999999),0.000001))))</x:f>
      </x:c>
      <x:c r="T260" t="str">
        <x:f>IF(J260="","",INDEX(Frozen_Predictions!$M$4:$M$303,MATCH(A260,Frozen_Predictions!$A$4:$A$303,0)))</x:f>
      </x:c>
      <x:c r="U260" t="str">
        <x:f>IF(J260="","",INDEX(Frozen_Predictions!$W$4:$W$303,MATCH(A260,Frozen_Predictions!$A$4:$A$303,0)))</x:f>
      </x:c>
      <x:c r="V260" t="str">
        <x:f>IF(J260="","",INDEX(Frozen_Predictions!$X$4:$X$303,MATCH(A260,Frozen_Predictions!$A$4:$A$303,0)))</x:f>
      </x:c>
      <x:c r="W260" t="str">
        <x:f>IF(A260="","",IF(COUNTIF($A$4:$A$303,A260)&lt;&gt;1,"ID DUPLICAT",IF(COUNTIF(Frozen_Predictions!$A$4:$A$303,A260)&lt;&gt;1,"ID INEXISTENT SAU DUPLICAT ÎN FROZEN",IF(COUNT(K260:L260)&lt;2,"COMPLETEAZĂ SCORUL","VERIFICAT"))))</x:f>
      </x:c>
    </x:row>
    <x:row r="261">
      <x:c r="A261" s="141"/>
      <x:c r="B261" t="str">
        <x:f>IF(OR(A261="",COUNTIF(Frozen_Predictions!$A$4:$A$303,A261)&lt;&gt;1),"",INDEX(Frozen_Predictions!$C$4:$C$303,MATCH(A261,Frozen_Predictions!$A$4:$A$303,0)))</x:f>
      </x:c>
      <x:c r="C261" t="str">
        <x:f>IF(OR(A261="",COUNTIF(Frozen_Predictions!$A$4:$A$303,A261)&lt;&gt;1),"",INDEX(Frozen_Predictions!$E$4:$E$303,MATCH(A261,Frozen_Predictions!$A$4:$A$303,0)))</x:f>
      </x:c>
      <x:c r="D261" t="str">
        <x:f>IF(OR(A261="",COUNTIF(Frozen_Predictions!$A$4:$A$303,A261)&lt;&gt;1),"",INDEX(Frozen_Predictions!$F$4:$F$303,MATCH(A261,Frozen_Predictions!$A$4:$A$303,0)))</x:f>
      </x:c>
      <x:c r="E261" t="str">
        <x:f>IF(OR(A261="",COUNTIF(Frozen_Predictions!$A$4:$A$303,A261)&lt;&gt;1),"",INDEX(Frozen_Predictions!$G$4:$G$303,MATCH(A261,Frozen_Predictions!$A$4:$A$303,0)))</x:f>
      </x:c>
      <x:c r="F261" t="str">
        <x:f>IF(OR(A261="",COUNTIF(Frozen_Predictions!$A$4:$A$303,A261)&lt;&gt;1),"",INDEX(Frozen_Predictions!$H$4:$H$303,MATCH(A261,Frozen_Predictions!$A$4:$A$303,0)))</x:f>
      </x:c>
      <x:c r="G261" t="str">
        <x:f>IF(OR(A261="",COUNTIF(Frozen_Predictions!$A$4:$A$303,A261)&lt;&gt;1),"",INDEX(Frozen_Predictions!$I$4:$I$303,MATCH(A261,Frozen_Predictions!$A$4:$A$303,0)))</x:f>
      </x:c>
      <x:c r="H261" t="str">
        <x:f>IF(OR(A261="",COUNTIF(Frozen_Predictions!$A$4:$A$303,A261)&lt;&gt;1),"",INDEX(Frozen_Predictions!$J$4:$J$303,MATCH(A261,Frozen_Predictions!$A$4:$A$303,0)))</x:f>
      </x:c>
      <x:c r="I261" t="str">
        <x:f>IF(OR(A261="",COUNTIF(Frozen_Predictions!$A$4:$A$303,A261)&lt;&gt;1),"",INDEX(Frozen_Predictions!$K$4:$K$303,MATCH(A261,Frozen_Predictions!$A$4:$A$303,0)))</x:f>
      </x:c>
      <x:c r="J261" s="142" t="str">
        <x:f>IF(OR(A261="",G261="",COUNT(K261:M261)&lt;3,COUNTIF($A$4:$A$303,A261)&lt;&gt;1),"",IF(IF(M261+F261&gt;0,"1",IF(M261+F261=0,"X","2"))=G261&amp;"",1,0))</x:f>
      </x:c>
      <x:c r="K261" s="143"/>
      <x:c r="L261" s="143"/>
      <x:c r="M261" s="142" t="str">
        <x:f>IF(AND(A261&lt;&gt;"",COUNT(K261:L261)=2),K261-L261,"")</x:f>
      </x:c>
      <x:c r="N261" s="142" t="str">
        <x:f>IF(J261="","",IF(M261+F261=0,"YES","NO"))</x:f>
      </x:c>
      <x:c r="O261" t="str">
        <x:f>IF(J261="","",IF(J261=1,"WIN",IF(N261="YES","Exact margin M="&amp;ABS(F261),"Direction / tail")))</x:f>
      </x:c>
      <x:c r="P261" s="141"/>
      <x:c r="Q261" s="141"/>
      <x:c r="R261" s="144" t="str">
        <x:f>IF(OR(I261="",J261=""),"",(I261-J261)^2)</x:f>
      </x:c>
      <x:c r="S261" s="144" t="str">
        <x:f>IF(OR(I261="",J261=""),"",-(J261*LN(MAX(MIN(I261,0.999999),0.000001))+(1-J261)*LN(MAX(MIN(1-I261,0.999999),0.000001))))</x:f>
      </x:c>
      <x:c r="T261" t="str">
        <x:f>IF(J261="","",INDEX(Frozen_Predictions!$M$4:$M$303,MATCH(A261,Frozen_Predictions!$A$4:$A$303,0)))</x:f>
      </x:c>
      <x:c r="U261" t="str">
        <x:f>IF(J261="","",INDEX(Frozen_Predictions!$W$4:$W$303,MATCH(A261,Frozen_Predictions!$A$4:$A$303,0)))</x:f>
      </x:c>
      <x:c r="V261" t="str">
        <x:f>IF(J261="","",INDEX(Frozen_Predictions!$X$4:$X$303,MATCH(A261,Frozen_Predictions!$A$4:$A$303,0)))</x:f>
      </x:c>
      <x:c r="W261" t="str">
        <x:f>IF(A261="","",IF(COUNTIF($A$4:$A$303,A261)&lt;&gt;1,"ID DUPLICAT",IF(COUNTIF(Frozen_Predictions!$A$4:$A$303,A261)&lt;&gt;1,"ID INEXISTENT SAU DUPLICAT ÎN FROZEN",IF(COUNT(K261:L261)&lt;2,"COMPLETEAZĂ SCORUL","VERIFICAT"))))</x:f>
      </x:c>
    </x:row>
    <x:row r="262">
      <x:c r="A262" s="141"/>
      <x:c r="B262" t="str">
        <x:f>IF(OR(A262="",COUNTIF(Frozen_Predictions!$A$4:$A$303,A262)&lt;&gt;1),"",INDEX(Frozen_Predictions!$C$4:$C$303,MATCH(A262,Frozen_Predictions!$A$4:$A$303,0)))</x:f>
      </x:c>
      <x:c r="C262" t="str">
        <x:f>IF(OR(A262="",COUNTIF(Frozen_Predictions!$A$4:$A$303,A262)&lt;&gt;1),"",INDEX(Frozen_Predictions!$E$4:$E$303,MATCH(A262,Frozen_Predictions!$A$4:$A$303,0)))</x:f>
      </x:c>
      <x:c r="D262" t="str">
        <x:f>IF(OR(A262="",COUNTIF(Frozen_Predictions!$A$4:$A$303,A262)&lt;&gt;1),"",INDEX(Frozen_Predictions!$F$4:$F$303,MATCH(A262,Frozen_Predictions!$A$4:$A$303,0)))</x:f>
      </x:c>
      <x:c r="E262" t="str">
        <x:f>IF(OR(A262="",COUNTIF(Frozen_Predictions!$A$4:$A$303,A262)&lt;&gt;1),"",INDEX(Frozen_Predictions!$G$4:$G$303,MATCH(A262,Frozen_Predictions!$A$4:$A$303,0)))</x:f>
      </x:c>
      <x:c r="F262" t="str">
        <x:f>IF(OR(A262="",COUNTIF(Frozen_Predictions!$A$4:$A$303,A262)&lt;&gt;1),"",INDEX(Frozen_Predictions!$H$4:$H$303,MATCH(A262,Frozen_Predictions!$A$4:$A$303,0)))</x:f>
      </x:c>
      <x:c r="G262" t="str">
        <x:f>IF(OR(A262="",COUNTIF(Frozen_Predictions!$A$4:$A$303,A262)&lt;&gt;1),"",INDEX(Frozen_Predictions!$I$4:$I$303,MATCH(A262,Frozen_Predictions!$A$4:$A$303,0)))</x:f>
      </x:c>
      <x:c r="H262" t="str">
        <x:f>IF(OR(A262="",COUNTIF(Frozen_Predictions!$A$4:$A$303,A262)&lt;&gt;1),"",INDEX(Frozen_Predictions!$J$4:$J$303,MATCH(A262,Frozen_Predictions!$A$4:$A$303,0)))</x:f>
      </x:c>
      <x:c r="I262" t="str">
        <x:f>IF(OR(A262="",COUNTIF(Frozen_Predictions!$A$4:$A$303,A262)&lt;&gt;1),"",INDEX(Frozen_Predictions!$K$4:$K$303,MATCH(A262,Frozen_Predictions!$A$4:$A$303,0)))</x:f>
      </x:c>
      <x:c r="J262" s="142" t="str">
        <x:f>IF(OR(A262="",G262="",COUNT(K262:M262)&lt;3,COUNTIF($A$4:$A$303,A262)&lt;&gt;1),"",IF(IF(M262+F262&gt;0,"1",IF(M262+F262=0,"X","2"))=G262&amp;"",1,0))</x:f>
      </x:c>
      <x:c r="K262" s="143"/>
      <x:c r="L262" s="143"/>
      <x:c r="M262" s="142" t="str">
        <x:f>IF(AND(A262&lt;&gt;"",COUNT(K262:L262)=2),K262-L262,"")</x:f>
      </x:c>
      <x:c r="N262" s="142" t="str">
        <x:f>IF(J262="","",IF(M262+F262=0,"YES","NO"))</x:f>
      </x:c>
      <x:c r="O262" t="str">
        <x:f>IF(J262="","",IF(J262=1,"WIN",IF(N262="YES","Exact margin M="&amp;ABS(F262),"Direction / tail")))</x:f>
      </x:c>
      <x:c r="P262" s="141"/>
      <x:c r="Q262" s="141"/>
      <x:c r="R262" s="144" t="str">
        <x:f>IF(OR(I262="",J262=""),"",(I262-J262)^2)</x:f>
      </x:c>
      <x:c r="S262" s="144" t="str">
        <x:f>IF(OR(I262="",J262=""),"",-(J262*LN(MAX(MIN(I262,0.999999),0.000001))+(1-J262)*LN(MAX(MIN(1-I262,0.999999),0.000001))))</x:f>
      </x:c>
      <x:c r="T262" t="str">
        <x:f>IF(J262="","",INDEX(Frozen_Predictions!$M$4:$M$303,MATCH(A262,Frozen_Predictions!$A$4:$A$303,0)))</x:f>
      </x:c>
      <x:c r="U262" t="str">
        <x:f>IF(J262="","",INDEX(Frozen_Predictions!$W$4:$W$303,MATCH(A262,Frozen_Predictions!$A$4:$A$303,0)))</x:f>
      </x:c>
      <x:c r="V262" t="str">
        <x:f>IF(J262="","",INDEX(Frozen_Predictions!$X$4:$X$303,MATCH(A262,Frozen_Predictions!$A$4:$A$303,0)))</x:f>
      </x:c>
      <x:c r="W262" t="str">
        <x:f>IF(A262="","",IF(COUNTIF($A$4:$A$303,A262)&lt;&gt;1,"ID DUPLICAT",IF(COUNTIF(Frozen_Predictions!$A$4:$A$303,A262)&lt;&gt;1,"ID INEXISTENT SAU DUPLICAT ÎN FROZEN",IF(COUNT(K262:L262)&lt;2,"COMPLETEAZĂ SCORUL","VERIFICAT"))))</x:f>
      </x:c>
    </x:row>
    <x:row r="263">
      <x:c r="A263" s="141"/>
      <x:c r="B263" t="str">
        <x:f>IF(OR(A263="",COUNTIF(Frozen_Predictions!$A$4:$A$303,A263)&lt;&gt;1),"",INDEX(Frozen_Predictions!$C$4:$C$303,MATCH(A263,Frozen_Predictions!$A$4:$A$303,0)))</x:f>
      </x:c>
      <x:c r="C263" t="str">
        <x:f>IF(OR(A263="",COUNTIF(Frozen_Predictions!$A$4:$A$303,A263)&lt;&gt;1),"",INDEX(Frozen_Predictions!$E$4:$E$303,MATCH(A263,Frozen_Predictions!$A$4:$A$303,0)))</x:f>
      </x:c>
      <x:c r="D263" t="str">
        <x:f>IF(OR(A263="",COUNTIF(Frozen_Predictions!$A$4:$A$303,A263)&lt;&gt;1),"",INDEX(Frozen_Predictions!$F$4:$F$303,MATCH(A263,Frozen_Predictions!$A$4:$A$303,0)))</x:f>
      </x:c>
      <x:c r="E263" t="str">
        <x:f>IF(OR(A263="",COUNTIF(Frozen_Predictions!$A$4:$A$303,A263)&lt;&gt;1),"",INDEX(Frozen_Predictions!$G$4:$G$303,MATCH(A263,Frozen_Predictions!$A$4:$A$303,0)))</x:f>
      </x:c>
      <x:c r="F263" t="str">
        <x:f>IF(OR(A263="",COUNTIF(Frozen_Predictions!$A$4:$A$303,A263)&lt;&gt;1),"",INDEX(Frozen_Predictions!$H$4:$H$303,MATCH(A263,Frozen_Predictions!$A$4:$A$303,0)))</x:f>
      </x:c>
      <x:c r="G263" t="str">
        <x:f>IF(OR(A263="",COUNTIF(Frozen_Predictions!$A$4:$A$303,A263)&lt;&gt;1),"",INDEX(Frozen_Predictions!$I$4:$I$303,MATCH(A263,Frozen_Predictions!$A$4:$A$303,0)))</x:f>
      </x:c>
      <x:c r="H263" t="str">
        <x:f>IF(OR(A263="",COUNTIF(Frozen_Predictions!$A$4:$A$303,A263)&lt;&gt;1),"",INDEX(Frozen_Predictions!$J$4:$J$303,MATCH(A263,Frozen_Predictions!$A$4:$A$303,0)))</x:f>
      </x:c>
      <x:c r="I263" t="str">
        <x:f>IF(OR(A263="",COUNTIF(Frozen_Predictions!$A$4:$A$303,A263)&lt;&gt;1),"",INDEX(Frozen_Predictions!$K$4:$K$303,MATCH(A263,Frozen_Predictions!$A$4:$A$303,0)))</x:f>
      </x:c>
      <x:c r="J263" s="142" t="str">
        <x:f>IF(OR(A263="",G263="",COUNT(K263:M263)&lt;3,COUNTIF($A$4:$A$303,A263)&lt;&gt;1),"",IF(IF(M263+F263&gt;0,"1",IF(M263+F263=0,"X","2"))=G263&amp;"",1,0))</x:f>
      </x:c>
      <x:c r="K263" s="143"/>
      <x:c r="L263" s="143"/>
      <x:c r="M263" s="142" t="str">
        <x:f>IF(AND(A263&lt;&gt;"",COUNT(K263:L263)=2),K263-L263,"")</x:f>
      </x:c>
      <x:c r="N263" s="142" t="str">
        <x:f>IF(J263="","",IF(M263+F263=0,"YES","NO"))</x:f>
      </x:c>
      <x:c r="O263" t="str">
        <x:f>IF(J263="","",IF(J263=1,"WIN",IF(N263="YES","Exact margin M="&amp;ABS(F263),"Direction / tail")))</x:f>
      </x:c>
      <x:c r="P263" s="141"/>
      <x:c r="Q263" s="141"/>
      <x:c r="R263" s="144" t="str">
        <x:f>IF(OR(I263="",J263=""),"",(I263-J263)^2)</x:f>
      </x:c>
      <x:c r="S263" s="144" t="str">
        <x:f>IF(OR(I263="",J263=""),"",-(J263*LN(MAX(MIN(I263,0.999999),0.000001))+(1-J263)*LN(MAX(MIN(1-I263,0.999999),0.000001))))</x:f>
      </x:c>
      <x:c r="T263" t="str">
        <x:f>IF(J263="","",INDEX(Frozen_Predictions!$M$4:$M$303,MATCH(A263,Frozen_Predictions!$A$4:$A$303,0)))</x:f>
      </x:c>
      <x:c r="U263" t="str">
        <x:f>IF(J263="","",INDEX(Frozen_Predictions!$W$4:$W$303,MATCH(A263,Frozen_Predictions!$A$4:$A$303,0)))</x:f>
      </x:c>
      <x:c r="V263" t="str">
        <x:f>IF(J263="","",INDEX(Frozen_Predictions!$X$4:$X$303,MATCH(A263,Frozen_Predictions!$A$4:$A$303,0)))</x:f>
      </x:c>
      <x:c r="W263" t="str">
        <x:f>IF(A263="","",IF(COUNTIF($A$4:$A$303,A263)&lt;&gt;1,"ID DUPLICAT",IF(COUNTIF(Frozen_Predictions!$A$4:$A$303,A263)&lt;&gt;1,"ID INEXISTENT SAU DUPLICAT ÎN FROZEN",IF(COUNT(K263:L263)&lt;2,"COMPLETEAZĂ SCORUL","VERIFICAT"))))</x:f>
      </x:c>
    </x:row>
    <x:row r="264">
      <x:c r="A264" s="141"/>
      <x:c r="B264" t="str">
        <x:f>IF(OR(A264="",COUNTIF(Frozen_Predictions!$A$4:$A$303,A264)&lt;&gt;1),"",INDEX(Frozen_Predictions!$C$4:$C$303,MATCH(A264,Frozen_Predictions!$A$4:$A$303,0)))</x:f>
      </x:c>
      <x:c r="C264" t="str">
        <x:f>IF(OR(A264="",COUNTIF(Frozen_Predictions!$A$4:$A$303,A264)&lt;&gt;1),"",INDEX(Frozen_Predictions!$E$4:$E$303,MATCH(A264,Frozen_Predictions!$A$4:$A$303,0)))</x:f>
      </x:c>
      <x:c r="D264" t="str">
        <x:f>IF(OR(A264="",COUNTIF(Frozen_Predictions!$A$4:$A$303,A264)&lt;&gt;1),"",INDEX(Frozen_Predictions!$F$4:$F$303,MATCH(A264,Frozen_Predictions!$A$4:$A$303,0)))</x:f>
      </x:c>
      <x:c r="E264" t="str">
        <x:f>IF(OR(A264="",COUNTIF(Frozen_Predictions!$A$4:$A$303,A264)&lt;&gt;1),"",INDEX(Frozen_Predictions!$G$4:$G$303,MATCH(A264,Frozen_Predictions!$A$4:$A$303,0)))</x:f>
      </x:c>
      <x:c r="F264" t="str">
        <x:f>IF(OR(A264="",COUNTIF(Frozen_Predictions!$A$4:$A$303,A264)&lt;&gt;1),"",INDEX(Frozen_Predictions!$H$4:$H$303,MATCH(A264,Frozen_Predictions!$A$4:$A$303,0)))</x:f>
      </x:c>
      <x:c r="G264" t="str">
        <x:f>IF(OR(A264="",COUNTIF(Frozen_Predictions!$A$4:$A$303,A264)&lt;&gt;1),"",INDEX(Frozen_Predictions!$I$4:$I$303,MATCH(A264,Frozen_Predictions!$A$4:$A$303,0)))</x:f>
      </x:c>
      <x:c r="H264" t="str">
        <x:f>IF(OR(A264="",COUNTIF(Frozen_Predictions!$A$4:$A$303,A264)&lt;&gt;1),"",INDEX(Frozen_Predictions!$J$4:$J$303,MATCH(A264,Frozen_Predictions!$A$4:$A$303,0)))</x:f>
      </x:c>
      <x:c r="I264" t="str">
        <x:f>IF(OR(A264="",COUNTIF(Frozen_Predictions!$A$4:$A$303,A264)&lt;&gt;1),"",INDEX(Frozen_Predictions!$K$4:$K$303,MATCH(A264,Frozen_Predictions!$A$4:$A$303,0)))</x:f>
      </x:c>
      <x:c r="J264" s="142" t="str">
        <x:f>IF(OR(A264="",G264="",COUNT(K264:M264)&lt;3,COUNTIF($A$4:$A$303,A264)&lt;&gt;1),"",IF(IF(M264+F264&gt;0,"1",IF(M264+F264=0,"X","2"))=G264&amp;"",1,0))</x:f>
      </x:c>
      <x:c r="K264" s="143"/>
      <x:c r="L264" s="143"/>
      <x:c r="M264" s="142" t="str">
        <x:f>IF(AND(A264&lt;&gt;"",COUNT(K264:L264)=2),K264-L264,"")</x:f>
      </x:c>
      <x:c r="N264" s="142" t="str">
        <x:f>IF(J264="","",IF(M264+F264=0,"YES","NO"))</x:f>
      </x:c>
      <x:c r="O264" t="str">
        <x:f>IF(J264="","",IF(J264=1,"WIN",IF(N264="YES","Exact margin M="&amp;ABS(F264),"Direction / tail")))</x:f>
      </x:c>
      <x:c r="P264" s="141"/>
      <x:c r="Q264" s="141"/>
      <x:c r="R264" s="144" t="str">
        <x:f>IF(OR(I264="",J264=""),"",(I264-J264)^2)</x:f>
      </x:c>
      <x:c r="S264" s="144" t="str">
        <x:f>IF(OR(I264="",J264=""),"",-(J264*LN(MAX(MIN(I264,0.999999),0.000001))+(1-J264)*LN(MAX(MIN(1-I264,0.999999),0.000001))))</x:f>
      </x:c>
      <x:c r="T264" t="str">
        <x:f>IF(J264="","",INDEX(Frozen_Predictions!$M$4:$M$303,MATCH(A264,Frozen_Predictions!$A$4:$A$303,0)))</x:f>
      </x:c>
      <x:c r="U264" t="str">
        <x:f>IF(J264="","",INDEX(Frozen_Predictions!$W$4:$W$303,MATCH(A264,Frozen_Predictions!$A$4:$A$303,0)))</x:f>
      </x:c>
      <x:c r="V264" t="str">
        <x:f>IF(J264="","",INDEX(Frozen_Predictions!$X$4:$X$303,MATCH(A264,Frozen_Predictions!$A$4:$A$303,0)))</x:f>
      </x:c>
      <x:c r="W264" t="str">
        <x:f>IF(A264="","",IF(COUNTIF($A$4:$A$303,A264)&lt;&gt;1,"ID DUPLICAT",IF(COUNTIF(Frozen_Predictions!$A$4:$A$303,A264)&lt;&gt;1,"ID INEXISTENT SAU DUPLICAT ÎN FROZEN",IF(COUNT(K264:L264)&lt;2,"COMPLETEAZĂ SCORUL","VERIFICAT"))))</x:f>
      </x:c>
    </x:row>
    <x:row r="265">
      <x:c r="A265" s="141"/>
      <x:c r="B265" t="str">
        <x:f>IF(OR(A265="",COUNTIF(Frozen_Predictions!$A$4:$A$303,A265)&lt;&gt;1),"",INDEX(Frozen_Predictions!$C$4:$C$303,MATCH(A265,Frozen_Predictions!$A$4:$A$303,0)))</x:f>
      </x:c>
      <x:c r="C265" t="str">
        <x:f>IF(OR(A265="",COUNTIF(Frozen_Predictions!$A$4:$A$303,A265)&lt;&gt;1),"",INDEX(Frozen_Predictions!$E$4:$E$303,MATCH(A265,Frozen_Predictions!$A$4:$A$303,0)))</x:f>
      </x:c>
      <x:c r="D265" t="str">
        <x:f>IF(OR(A265="",COUNTIF(Frozen_Predictions!$A$4:$A$303,A265)&lt;&gt;1),"",INDEX(Frozen_Predictions!$F$4:$F$303,MATCH(A265,Frozen_Predictions!$A$4:$A$303,0)))</x:f>
      </x:c>
      <x:c r="E265" t="str">
        <x:f>IF(OR(A265="",COUNTIF(Frozen_Predictions!$A$4:$A$303,A265)&lt;&gt;1),"",INDEX(Frozen_Predictions!$G$4:$G$303,MATCH(A265,Frozen_Predictions!$A$4:$A$303,0)))</x:f>
      </x:c>
      <x:c r="F265" t="str">
        <x:f>IF(OR(A265="",COUNTIF(Frozen_Predictions!$A$4:$A$303,A265)&lt;&gt;1),"",INDEX(Frozen_Predictions!$H$4:$H$303,MATCH(A265,Frozen_Predictions!$A$4:$A$303,0)))</x:f>
      </x:c>
      <x:c r="G265" t="str">
        <x:f>IF(OR(A265="",COUNTIF(Frozen_Predictions!$A$4:$A$303,A265)&lt;&gt;1),"",INDEX(Frozen_Predictions!$I$4:$I$303,MATCH(A265,Frozen_Predictions!$A$4:$A$303,0)))</x:f>
      </x:c>
      <x:c r="H265" t="str">
        <x:f>IF(OR(A265="",COUNTIF(Frozen_Predictions!$A$4:$A$303,A265)&lt;&gt;1),"",INDEX(Frozen_Predictions!$J$4:$J$303,MATCH(A265,Frozen_Predictions!$A$4:$A$303,0)))</x:f>
      </x:c>
      <x:c r="I265" t="str">
        <x:f>IF(OR(A265="",COUNTIF(Frozen_Predictions!$A$4:$A$303,A265)&lt;&gt;1),"",INDEX(Frozen_Predictions!$K$4:$K$303,MATCH(A265,Frozen_Predictions!$A$4:$A$303,0)))</x:f>
      </x:c>
      <x:c r="J265" s="142" t="str">
        <x:f>IF(OR(A265="",G265="",COUNT(K265:M265)&lt;3,COUNTIF($A$4:$A$303,A265)&lt;&gt;1),"",IF(IF(M265+F265&gt;0,"1",IF(M265+F265=0,"X","2"))=G265&amp;"",1,0))</x:f>
      </x:c>
      <x:c r="K265" s="143"/>
      <x:c r="L265" s="143"/>
      <x:c r="M265" s="142" t="str">
        <x:f>IF(AND(A265&lt;&gt;"",COUNT(K265:L265)=2),K265-L265,"")</x:f>
      </x:c>
      <x:c r="N265" s="142" t="str">
        <x:f>IF(J265="","",IF(M265+F265=0,"YES","NO"))</x:f>
      </x:c>
      <x:c r="O265" t="str">
        <x:f>IF(J265="","",IF(J265=1,"WIN",IF(N265="YES","Exact margin M="&amp;ABS(F265),"Direction / tail")))</x:f>
      </x:c>
      <x:c r="P265" s="141"/>
      <x:c r="Q265" s="141"/>
      <x:c r="R265" s="144" t="str">
        <x:f>IF(OR(I265="",J265=""),"",(I265-J265)^2)</x:f>
      </x:c>
      <x:c r="S265" s="144" t="str">
        <x:f>IF(OR(I265="",J265=""),"",-(J265*LN(MAX(MIN(I265,0.999999),0.000001))+(1-J265)*LN(MAX(MIN(1-I265,0.999999),0.000001))))</x:f>
      </x:c>
      <x:c r="T265" t="str">
        <x:f>IF(J265="","",INDEX(Frozen_Predictions!$M$4:$M$303,MATCH(A265,Frozen_Predictions!$A$4:$A$303,0)))</x:f>
      </x:c>
      <x:c r="U265" t="str">
        <x:f>IF(J265="","",INDEX(Frozen_Predictions!$W$4:$W$303,MATCH(A265,Frozen_Predictions!$A$4:$A$303,0)))</x:f>
      </x:c>
      <x:c r="V265" t="str">
        <x:f>IF(J265="","",INDEX(Frozen_Predictions!$X$4:$X$303,MATCH(A265,Frozen_Predictions!$A$4:$A$303,0)))</x:f>
      </x:c>
      <x:c r="W265" t="str">
        <x:f>IF(A265="","",IF(COUNTIF($A$4:$A$303,A265)&lt;&gt;1,"ID DUPLICAT",IF(COUNTIF(Frozen_Predictions!$A$4:$A$303,A265)&lt;&gt;1,"ID INEXISTENT SAU DUPLICAT ÎN FROZEN",IF(COUNT(K265:L265)&lt;2,"COMPLETEAZĂ SCORUL","VERIFICAT"))))</x:f>
      </x:c>
    </x:row>
    <x:row r="266">
      <x:c r="A266" s="141"/>
      <x:c r="B266" t="str">
        <x:f>IF(OR(A266="",COUNTIF(Frozen_Predictions!$A$4:$A$303,A266)&lt;&gt;1),"",INDEX(Frozen_Predictions!$C$4:$C$303,MATCH(A266,Frozen_Predictions!$A$4:$A$303,0)))</x:f>
      </x:c>
      <x:c r="C266" t="str">
        <x:f>IF(OR(A266="",COUNTIF(Frozen_Predictions!$A$4:$A$303,A266)&lt;&gt;1),"",INDEX(Frozen_Predictions!$E$4:$E$303,MATCH(A266,Frozen_Predictions!$A$4:$A$303,0)))</x:f>
      </x:c>
      <x:c r="D266" t="str">
        <x:f>IF(OR(A266="",COUNTIF(Frozen_Predictions!$A$4:$A$303,A266)&lt;&gt;1),"",INDEX(Frozen_Predictions!$F$4:$F$303,MATCH(A266,Frozen_Predictions!$A$4:$A$303,0)))</x:f>
      </x:c>
      <x:c r="E266" t="str">
        <x:f>IF(OR(A266="",COUNTIF(Frozen_Predictions!$A$4:$A$303,A266)&lt;&gt;1),"",INDEX(Frozen_Predictions!$G$4:$G$303,MATCH(A266,Frozen_Predictions!$A$4:$A$303,0)))</x:f>
      </x:c>
      <x:c r="F266" t="str">
        <x:f>IF(OR(A266="",COUNTIF(Frozen_Predictions!$A$4:$A$303,A266)&lt;&gt;1),"",INDEX(Frozen_Predictions!$H$4:$H$303,MATCH(A266,Frozen_Predictions!$A$4:$A$303,0)))</x:f>
      </x:c>
      <x:c r="G266" t="str">
        <x:f>IF(OR(A266="",COUNTIF(Frozen_Predictions!$A$4:$A$303,A266)&lt;&gt;1),"",INDEX(Frozen_Predictions!$I$4:$I$303,MATCH(A266,Frozen_Predictions!$A$4:$A$303,0)))</x:f>
      </x:c>
      <x:c r="H266" t="str">
        <x:f>IF(OR(A266="",COUNTIF(Frozen_Predictions!$A$4:$A$303,A266)&lt;&gt;1),"",INDEX(Frozen_Predictions!$J$4:$J$303,MATCH(A266,Frozen_Predictions!$A$4:$A$303,0)))</x:f>
      </x:c>
      <x:c r="I266" t="str">
        <x:f>IF(OR(A266="",COUNTIF(Frozen_Predictions!$A$4:$A$303,A266)&lt;&gt;1),"",INDEX(Frozen_Predictions!$K$4:$K$303,MATCH(A266,Frozen_Predictions!$A$4:$A$303,0)))</x:f>
      </x:c>
      <x:c r="J266" s="142" t="str">
        <x:f>IF(OR(A266="",G266="",COUNT(K266:M266)&lt;3,COUNTIF($A$4:$A$303,A266)&lt;&gt;1),"",IF(IF(M266+F266&gt;0,"1",IF(M266+F266=0,"X","2"))=G266&amp;"",1,0))</x:f>
      </x:c>
      <x:c r="K266" s="143"/>
      <x:c r="L266" s="143"/>
      <x:c r="M266" s="142" t="str">
        <x:f>IF(AND(A266&lt;&gt;"",COUNT(K266:L266)=2),K266-L266,"")</x:f>
      </x:c>
      <x:c r="N266" s="142" t="str">
        <x:f>IF(J266="","",IF(M266+F266=0,"YES","NO"))</x:f>
      </x:c>
      <x:c r="O266" t="str">
        <x:f>IF(J266="","",IF(J266=1,"WIN",IF(N266="YES","Exact margin M="&amp;ABS(F266),"Direction / tail")))</x:f>
      </x:c>
      <x:c r="P266" s="141"/>
      <x:c r="Q266" s="141"/>
      <x:c r="R266" s="144" t="str">
        <x:f>IF(OR(I266="",J266=""),"",(I266-J266)^2)</x:f>
      </x:c>
      <x:c r="S266" s="144" t="str">
        <x:f>IF(OR(I266="",J266=""),"",-(J266*LN(MAX(MIN(I266,0.999999),0.000001))+(1-J266)*LN(MAX(MIN(1-I266,0.999999),0.000001))))</x:f>
      </x:c>
      <x:c r="T266" t="str">
        <x:f>IF(J266="","",INDEX(Frozen_Predictions!$M$4:$M$303,MATCH(A266,Frozen_Predictions!$A$4:$A$303,0)))</x:f>
      </x:c>
      <x:c r="U266" t="str">
        <x:f>IF(J266="","",INDEX(Frozen_Predictions!$W$4:$W$303,MATCH(A266,Frozen_Predictions!$A$4:$A$303,0)))</x:f>
      </x:c>
      <x:c r="V266" t="str">
        <x:f>IF(J266="","",INDEX(Frozen_Predictions!$X$4:$X$303,MATCH(A266,Frozen_Predictions!$A$4:$A$303,0)))</x:f>
      </x:c>
      <x:c r="W266" t="str">
        <x:f>IF(A266="","",IF(COUNTIF($A$4:$A$303,A266)&lt;&gt;1,"ID DUPLICAT",IF(COUNTIF(Frozen_Predictions!$A$4:$A$303,A266)&lt;&gt;1,"ID INEXISTENT SAU DUPLICAT ÎN FROZEN",IF(COUNT(K266:L266)&lt;2,"COMPLETEAZĂ SCORUL","VERIFICAT"))))</x:f>
      </x:c>
    </x:row>
    <x:row r="267">
      <x:c r="A267" s="141"/>
      <x:c r="B267" t="str">
        <x:f>IF(OR(A267="",COUNTIF(Frozen_Predictions!$A$4:$A$303,A267)&lt;&gt;1),"",INDEX(Frozen_Predictions!$C$4:$C$303,MATCH(A267,Frozen_Predictions!$A$4:$A$303,0)))</x:f>
      </x:c>
      <x:c r="C267" t="str">
        <x:f>IF(OR(A267="",COUNTIF(Frozen_Predictions!$A$4:$A$303,A267)&lt;&gt;1),"",INDEX(Frozen_Predictions!$E$4:$E$303,MATCH(A267,Frozen_Predictions!$A$4:$A$303,0)))</x:f>
      </x:c>
      <x:c r="D267" t="str">
        <x:f>IF(OR(A267="",COUNTIF(Frozen_Predictions!$A$4:$A$303,A267)&lt;&gt;1),"",INDEX(Frozen_Predictions!$F$4:$F$303,MATCH(A267,Frozen_Predictions!$A$4:$A$303,0)))</x:f>
      </x:c>
      <x:c r="E267" t="str">
        <x:f>IF(OR(A267="",COUNTIF(Frozen_Predictions!$A$4:$A$303,A267)&lt;&gt;1),"",INDEX(Frozen_Predictions!$G$4:$G$303,MATCH(A267,Frozen_Predictions!$A$4:$A$303,0)))</x:f>
      </x:c>
      <x:c r="F267" t="str">
        <x:f>IF(OR(A267="",COUNTIF(Frozen_Predictions!$A$4:$A$303,A267)&lt;&gt;1),"",INDEX(Frozen_Predictions!$H$4:$H$303,MATCH(A267,Frozen_Predictions!$A$4:$A$303,0)))</x:f>
      </x:c>
      <x:c r="G267" t="str">
        <x:f>IF(OR(A267="",COUNTIF(Frozen_Predictions!$A$4:$A$303,A267)&lt;&gt;1),"",INDEX(Frozen_Predictions!$I$4:$I$303,MATCH(A267,Frozen_Predictions!$A$4:$A$303,0)))</x:f>
      </x:c>
      <x:c r="H267" t="str">
        <x:f>IF(OR(A267="",COUNTIF(Frozen_Predictions!$A$4:$A$303,A267)&lt;&gt;1),"",INDEX(Frozen_Predictions!$J$4:$J$303,MATCH(A267,Frozen_Predictions!$A$4:$A$303,0)))</x:f>
      </x:c>
      <x:c r="I267" t="str">
        <x:f>IF(OR(A267="",COUNTIF(Frozen_Predictions!$A$4:$A$303,A267)&lt;&gt;1),"",INDEX(Frozen_Predictions!$K$4:$K$303,MATCH(A267,Frozen_Predictions!$A$4:$A$303,0)))</x:f>
      </x:c>
      <x:c r="J267" s="142" t="str">
        <x:f>IF(OR(A267="",G267="",COUNT(K267:M267)&lt;3,COUNTIF($A$4:$A$303,A267)&lt;&gt;1),"",IF(IF(M267+F267&gt;0,"1",IF(M267+F267=0,"X","2"))=G267&amp;"",1,0))</x:f>
      </x:c>
      <x:c r="K267" s="143"/>
      <x:c r="L267" s="143"/>
      <x:c r="M267" s="142" t="str">
        <x:f>IF(AND(A267&lt;&gt;"",COUNT(K267:L267)=2),K267-L267,"")</x:f>
      </x:c>
      <x:c r="N267" s="142" t="str">
        <x:f>IF(J267="","",IF(M267+F267=0,"YES","NO"))</x:f>
      </x:c>
      <x:c r="O267" t="str">
        <x:f>IF(J267="","",IF(J267=1,"WIN",IF(N267="YES","Exact margin M="&amp;ABS(F267),"Direction / tail")))</x:f>
      </x:c>
      <x:c r="P267" s="141"/>
      <x:c r="Q267" s="141"/>
      <x:c r="R267" s="144" t="str">
        <x:f>IF(OR(I267="",J267=""),"",(I267-J267)^2)</x:f>
      </x:c>
      <x:c r="S267" s="144" t="str">
        <x:f>IF(OR(I267="",J267=""),"",-(J267*LN(MAX(MIN(I267,0.999999),0.000001))+(1-J267)*LN(MAX(MIN(1-I267,0.999999),0.000001))))</x:f>
      </x:c>
      <x:c r="T267" t="str">
        <x:f>IF(J267="","",INDEX(Frozen_Predictions!$M$4:$M$303,MATCH(A267,Frozen_Predictions!$A$4:$A$303,0)))</x:f>
      </x:c>
      <x:c r="U267" t="str">
        <x:f>IF(J267="","",INDEX(Frozen_Predictions!$W$4:$W$303,MATCH(A267,Frozen_Predictions!$A$4:$A$303,0)))</x:f>
      </x:c>
      <x:c r="V267" t="str">
        <x:f>IF(J267="","",INDEX(Frozen_Predictions!$X$4:$X$303,MATCH(A267,Frozen_Predictions!$A$4:$A$303,0)))</x:f>
      </x:c>
      <x:c r="W267" t="str">
        <x:f>IF(A267="","",IF(COUNTIF($A$4:$A$303,A267)&lt;&gt;1,"ID DUPLICAT",IF(COUNTIF(Frozen_Predictions!$A$4:$A$303,A267)&lt;&gt;1,"ID INEXISTENT SAU DUPLICAT ÎN FROZEN",IF(COUNT(K267:L267)&lt;2,"COMPLETEAZĂ SCORUL","VERIFICAT"))))</x:f>
      </x:c>
    </x:row>
    <x:row r="268">
      <x:c r="A268" s="141"/>
      <x:c r="B268" t="str">
        <x:f>IF(OR(A268="",COUNTIF(Frozen_Predictions!$A$4:$A$303,A268)&lt;&gt;1),"",INDEX(Frozen_Predictions!$C$4:$C$303,MATCH(A268,Frozen_Predictions!$A$4:$A$303,0)))</x:f>
      </x:c>
      <x:c r="C268" t="str">
        <x:f>IF(OR(A268="",COUNTIF(Frozen_Predictions!$A$4:$A$303,A268)&lt;&gt;1),"",INDEX(Frozen_Predictions!$E$4:$E$303,MATCH(A268,Frozen_Predictions!$A$4:$A$303,0)))</x:f>
      </x:c>
      <x:c r="D268" t="str">
        <x:f>IF(OR(A268="",COUNTIF(Frozen_Predictions!$A$4:$A$303,A268)&lt;&gt;1),"",INDEX(Frozen_Predictions!$F$4:$F$303,MATCH(A268,Frozen_Predictions!$A$4:$A$303,0)))</x:f>
      </x:c>
      <x:c r="E268" t="str">
        <x:f>IF(OR(A268="",COUNTIF(Frozen_Predictions!$A$4:$A$303,A268)&lt;&gt;1),"",INDEX(Frozen_Predictions!$G$4:$G$303,MATCH(A268,Frozen_Predictions!$A$4:$A$303,0)))</x:f>
      </x:c>
      <x:c r="F268" t="str">
        <x:f>IF(OR(A268="",COUNTIF(Frozen_Predictions!$A$4:$A$303,A268)&lt;&gt;1),"",INDEX(Frozen_Predictions!$H$4:$H$303,MATCH(A268,Frozen_Predictions!$A$4:$A$303,0)))</x:f>
      </x:c>
      <x:c r="G268" t="str">
        <x:f>IF(OR(A268="",COUNTIF(Frozen_Predictions!$A$4:$A$303,A268)&lt;&gt;1),"",INDEX(Frozen_Predictions!$I$4:$I$303,MATCH(A268,Frozen_Predictions!$A$4:$A$303,0)))</x:f>
      </x:c>
      <x:c r="H268" t="str">
        <x:f>IF(OR(A268="",COUNTIF(Frozen_Predictions!$A$4:$A$303,A268)&lt;&gt;1),"",INDEX(Frozen_Predictions!$J$4:$J$303,MATCH(A268,Frozen_Predictions!$A$4:$A$303,0)))</x:f>
      </x:c>
      <x:c r="I268" t="str">
        <x:f>IF(OR(A268="",COUNTIF(Frozen_Predictions!$A$4:$A$303,A268)&lt;&gt;1),"",INDEX(Frozen_Predictions!$K$4:$K$303,MATCH(A268,Frozen_Predictions!$A$4:$A$303,0)))</x:f>
      </x:c>
      <x:c r="J268" s="142" t="str">
        <x:f>IF(OR(A268="",G268="",COUNT(K268:M268)&lt;3,COUNTIF($A$4:$A$303,A268)&lt;&gt;1),"",IF(IF(M268+F268&gt;0,"1",IF(M268+F268=0,"X","2"))=G268&amp;"",1,0))</x:f>
      </x:c>
      <x:c r="K268" s="143"/>
      <x:c r="L268" s="143"/>
      <x:c r="M268" s="142" t="str">
        <x:f>IF(AND(A268&lt;&gt;"",COUNT(K268:L268)=2),K268-L268,"")</x:f>
      </x:c>
      <x:c r="N268" s="142" t="str">
        <x:f>IF(J268="","",IF(M268+F268=0,"YES","NO"))</x:f>
      </x:c>
      <x:c r="O268" t="str">
        <x:f>IF(J268="","",IF(J268=1,"WIN",IF(N268="YES","Exact margin M="&amp;ABS(F268),"Direction / tail")))</x:f>
      </x:c>
      <x:c r="P268" s="141"/>
      <x:c r="Q268" s="141"/>
      <x:c r="R268" s="144" t="str">
        <x:f>IF(OR(I268="",J268=""),"",(I268-J268)^2)</x:f>
      </x:c>
      <x:c r="S268" s="144" t="str">
        <x:f>IF(OR(I268="",J268=""),"",-(J268*LN(MAX(MIN(I268,0.999999),0.000001))+(1-J268)*LN(MAX(MIN(1-I268,0.999999),0.000001))))</x:f>
      </x:c>
      <x:c r="T268" t="str">
        <x:f>IF(J268="","",INDEX(Frozen_Predictions!$M$4:$M$303,MATCH(A268,Frozen_Predictions!$A$4:$A$303,0)))</x:f>
      </x:c>
      <x:c r="U268" t="str">
        <x:f>IF(J268="","",INDEX(Frozen_Predictions!$W$4:$W$303,MATCH(A268,Frozen_Predictions!$A$4:$A$303,0)))</x:f>
      </x:c>
      <x:c r="V268" t="str">
        <x:f>IF(J268="","",INDEX(Frozen_Predictions!$X$4:$X$303,MATCH(A268,Frozen_Predictions!$A$4:$A$303,0)))</x:f>
      </x:c>
      <x:c r="W268" t="str">
        <x:f>IF(A268="","",IF(COUNTIF($A$4:$A$303,A268)&lt;&gt;1,"ID DUPLICAT",IF(COUNTIF(Frozen_Predictions!$A$4:$A$303,A268)&lt;&gt;1,"ID INEXISTENT SAU DUPLICAT ÎN FROZEN",IF(COUNT(K268:L268)&lt;2,"COMPLETEAZĂ SCORUL","VERIFICAT"))))</x:f>
      </x:c>
    </x:row>
    <x:row r="269">
      <x:c r="A269" s="141"/>
      <x:c r="B269" t="str">
        <x:f>IF(OR(A269="",COUNTIF(Frozen_Predictions!$A$4:$A$303,A269)&lt;&gt;1),"",INDEX(Frozen_Predictions!$C$4:$C$303,MATCH(A269,Frozen_Predictions!$A$4:$A$303,0)))</x:f>
      </x:c>
      <x:c r="C269" t="str">
        <x:f>IF(OR(A269="",COUNTIF(Frozen_Predictions!$A$4:$A$303,A269)&lt;&gt;1),"",INDEX(Frozen_Predictions!$E$4:$E$303,MATCH(A269,Frozen_Predictions!$A$4:$A$303,0)))</x:f>
      </x:c>
      <x:c r="D269" t="str">
        <x:f>IF(OR(A269="",COUNTIF(Frozen_Predictions!$A$4:$A$303,A269)&lt;&gt;1),"",INDEX(Frozen_Predictions!$F$4:$F$303,MATCH(A269,Frozen_Predictions!$A$4:$A$303,0)))</x:f>
      </x:c>
      <x:c r="E269" t="str">
        <x:f>IF(OR(A269="",COUNTIF(Frozen_Predictions!$A$4:$A$303,A269)&lt;&gt;1),"",INDEX(Frozen_Predictions!$G$4:$G$303,MATCH(A269,Frozen_Predictions!$A$4:$A$303,0)))</x:f>
      </x:c>
      <x:c r="F269" t="str">
        <x:f>IF(OR(A269="",COUNTIF(Frozen_Predictions!$A$4:$A$303,A269)&lt;&gt;1),"",INDEX(Frozen_Predictions!$H$4:$H$303,MATCH(A269,Frozen_Predictions!$A$4:$A$303,0)))</x:f>
      </x:c>
      <x:c r="G269" t="str">
        <x:f>IF(OR(A269="",COUNTIF(Frozen_Predictions!$A$4:$A$303,A269)&lt;&gt;1),"",INDEX(Frozen_Predictions!$I$4:$I$303,MATCH(A269,Frozen_Predictions!$A$4:$A$303,0)))</x:f>
      </x:c>
      <x:c r="H269" t="str">
        <x:f>IF(OR(A269="",COUNTIF(Frozen_Predictions!$A$4:$A$303,A269)&lt;&gt;1),"",INDEX(Frozen_Predictions!$J$4:$J$303,MATCH(A269,Frozen_Predictions!$A$4:$A$303,0)))</x:f>
      </x:c>
      <x:c r="I269" t="str">
        <x:f>IF(OR(A269="",COUNTIF(Frozen_Predictions!$A$4:$A$303,A269)&lt;&gt;1),"",INDEX(Frozen_Predictions!$K$4:$K$303,MATCH(A269,Frozen_Predictions!$A$4:$A$303,0)))</x:f>
      </x:c>
      <x:c r="J269" s="142" t="str">
        <x:f>IF(OR(A269="",G269="",COUNT(K269:M269)&lt;3,COUNTIF($A$4:$A$303,A269)&lt;&gt;1),"",IF(IF(M269+F269&gt;0,"1",IF(M269+F269=0,"X","2"))=G269&amp;"",1,0))</x:f>
      </x:c>
      <x:c r="K269" s="143"/>
      <x:c r="L269" s="143"/>
      <x:c r="M269" s="142" t="str">
        <x:f>IF(AND(A269&lt;&gt;"",COUNT(K269:L269)=2),K269-L269,"")</x:f>
      </x:c>
      <x:c r="N269" s="142" t="str">
        <x:f>IF(J269="","",IF(M269+F269=0,"YES","NO"))</x:f>
      </x:c>
      <x:c r="O269" t="str">
        <x:f>IF(J269="","",IF(J269=1,"WIN",IF(N269="YES","Exact margin M="&amp;ABS(F269),"Direction / tail")))</x:f>
      </x:c>
      <x:c r="P269" s="141"/>
      <x:c r="Q269" s="141"/>
      <x:c r="R269" s="144" t="str">
        <x:f>IF(OR(I269="",J269=""),"",(I269-J269)^2)</x:f>
      </x:c>
      <x:c r="S269" s="144" t="str">
        <x:f>IF(OR(I269="",J269=""),"",-(J269*LN(MAX(MIN(I269,0.999999),0.000001))+(1-J269)*LN(MAX(MIN(1-I269,0.999999),0.000001))))</x:f>
      </x:c>
      <x:c r="T269" t="str">
        <x:f>IF(J269="","",INDEX(Frozen_Predictions!$M$4:$M$303,MATCH(A269,Frozen_Predictions!$A$4:$A$303,0)))</x:f>
      </x:c>
      <x:c r="U269" t="str">
        <x:f>IF(J269="","",INDEX(Frozen_Predictions!$W$4:$W$303,MATCH(A269,Frozen_Predictions!$A$4:$A$303,0)))</x:f>
      </x:c>
      <x:c r="V269" t="str">
        <x:f>IF(J269="","",INDEX(Frozen_Predictions!$X$4:$X$303,MATCH(A269,Frozen_Predictions!$A$4:$A$303,0)))</x:f>
      </x:c>
      <x:c r="W269" t="str">
        <x:f>IF(A269="","",IF(COUNTIF($A$4:$A$303,A269)&lt;&gt;1,"ID DUPLICAT",IF(COUNTIF(Frozen_Predictions!$A$4:$A$303,A269)&lt;&gt;1,"ID INEXISTENT SAU DUPLICAT ÎN FROZEN",IF(COUNT(K269:L269)&lt;2,"COMPLETEAZĂ SCORUL","VERIFICAT"))))</x:f>
      </x:c>
    </x:row>
    <x:row r="270">
      <x:c r="A270" s="141"/>
      <x:c r="B270" t="str">
        <x:f>IF(OR(A270="",COUNTIF(Frozen_Predictions!$A$4:$A$303,A270)&lt;&gt;1),"",INDEX(Frozen_Predictions!$C$4:$C$303,MATCH(A270,Frozen_Predictions!$A$4:$A$303,0)))</x:f>
      </x:c>
      <x:c r="C270" t="str">
        <x:f>IF(OR(A270="",COUNTIF(Frozen_Predictions!$A$4:$A$303,A270)&lt;&gt;1),"",INDEX(Frozen_Predictions!$E$4:$E$303,MATCH(A270,Frozen_Predictions!$A$4:$A$303,0)))</x:f>
      </x:c>
      <x:c r="D270" t="str">
        <x:f>IF(OR(A270="",COUNTIF(Frozen_Predictions!$A$4:$A$303,A270)&lt;&gt;1),"",INDEX(Frozen_Predictions!$F$4:$F$303,MATCH(A270,Frozen_Predictions!$A$4:$A$303,0)))</x:f>
      </x:c>
      <x:c r="E270" t="str">
        <x:f>IF(OR(A270="",COUNTIF(Frozen_Predictions!$A$4:$A$303,A270)&lt;&gt;1),"",INDEX(Frozen_Predictions!$G$4:$G$303,MATCH(A270,Frozen_Predictions!$A$4:$A$303,0)))</x:f>
      </x:c>
      <x:c r="F270" t="str">
        <x:f>IF(OR(A270="",COUNTIF(Frozen_Predictions!$A$4:$A$303,A270)&lt;&gt;1),"",INDEX(Frozen_Predictions!$H$4:$H$303,MATCH(A270,Frozen_Predictions!$A$4:$A$303,0)))</x:f>
      </x:c>
      <x:c r="G270" t="str">
        <x:f>IF(OR(A270="",COUNTIF(Frozen_Predictions!$A$4:$A$303,A270)&lt;&gt;1),"",INDEX(Frozen_Predictions!$I$4:$I$303,MATCH(A270,Frozen_Predictions!$A$4:$A$303,0)))</x:f>
      </x:c>
      <x:c r="H270" t="str">
        <x:f>IF(OR(A270="",COUNTIF(Frozen_Predictions!$A$4:$A$303,A270)&lt;&gt;1),"",INDEX(Frozen_Predictions!$J$4:$J$303,MATCH(A270,Frozen_Predictions!$A$4:$A$303,0)))</x:f>
      </x:c>
      <x:c r="I270" t="str">
        <x:f>IF(OR(A270="",COUNTIF(Frozen_Predictions!$A$4:$A$303,A270)&lt;&gt;1),"",INDEX(Frozen_Predictions!$K$4:$K$303,MATCH(A270,Frozen_Predictions!$A$4:$A$303,0)))</x:f>
      </x:c>
      <x:c r="J270" s="142" t="str">
        <x:f>IF(OR(A270="",G270="",COUNT(K270:M270)&lt;3,COUNTIF($A$4:$A$303,A270)&lt;&gt;1),"",IF(IF(M270+F270&gt;0,"1",IF(M270+F270=0,"X","2"))=G270&amp;"",1,0))</x:f>
      </x:c>
      <x:c r="K270" s="143"/>
      <x:c r="L270" s="143"/>
      <x:c r="M270" s="142" t="str">
        <x:f>IF(AND(A270&lt;&gt;"",COUNT(K270:L270)=2),K270-L270,"")</x:f>
      </x:c>
      <x:c r="N270" s="142" t="str">
        <x:f>IF(J270="","",IF(M270+F270=0,"YES","NO"))</x:f>
      </x:c>
      <x:c r="O270" t="str">
        <x:f>IF(J270="","",IF(J270=1,"WIN",IF(N270="YES","Exact margin M="&amp;ABS(F270),"Direction / tail")))</x:f>
      </x:c>
      <x:c r="P270" s="141"/>
      <x:c r="Q270" s="141"/>
      <x:c r="R270" s="144" t="str">
        <x:f>IF(OR(I270="",J270=""),"",(I270-J270)^2)</x:f>
      </x:c>
      <x:c r="S270" s="144" t="str">
        <x:f>IF(OR(I270="",J270=""),"",-(J270*LN(MAX(MIN(I270,0.999999),0.000001))+(1-J270)*LN(MAX(MIN(1-I270,0.999999),0.000001))))</x:f>
      </x:c>
      <x:c r="T270" t="str">
        <x:f>IF(J270="","",INDEX(Frozen_Predictions!$M$4:$M$303,MATCH(A270,Frozen_Predictions!$A$4:$A$303,0)))</x:f>
      </x:c>
      <x:c r="U270" t="str">
        <x:f>IF(J270="","",INDEX(Frozen_Predictions!$W$4:$W$303,MATCH(A270,Frozen_Predictions!$A$4:$A$303,0)))</x:f>
      </x:c>
      <x:c r="V270" t="str">
        <x:f>IF(J270="","",INDEX(Frozen_Predictions!$X$4:$X$303,MATCH(A270,Frozen_Predictions!$A$4:$A$303,0)))</x:f>
      </x:c>
      <x:c r="W270" t="str">
        <x:f>IF(A270="","",IF(COUNTIF($A$4:$A$303,A270)&lt;&gt;1,"ID DUPLICAT",IF(COUNTIF(Frozen_Predictions!$A$4:$A$303,A270)&lt;&gt;1,"ID INEXISTENT SAU DUPLICAT ÎN FROZEN",IF(COUNT(K270:L270)&lt;2,"COMPLETEAZĂ SCORUL","VERIFICAT"))))</x:f>
      </x:c>
    </x:row>
    <x:row r="271">
      <x:c r="A271" s="141"/>
      <x:c r="B271" t="str">
        <x:f>IF(OR(A271="",COUNTIF(Frozen_Predictions!$A$4:$A$303,A271)&lt;&gt;1),"",INDEX(Frozen_Predictions!$C$4:$C$303,MATCH(A271,Frozen_Predictions!$A$4:$A$303,0)))</x:f>
      </x:c>
      <x:c r="C271" t="str">
        <x:f>IF(OR(A271="",COUNTIF(Frozen_Predictions!$A$4:$A$303,A271)&lt;&gt;1),"",INDEX(Frozen_Predictions!$E$4:$E$303,MATCH(A271,Frozen_Predictions!$A$4:$A$303,0)))</x:f>
      </x:c>
      <x:c r="D271" t="str">
        <x:f>IF(OR(A271="",COUNTIF(Frozen_Predictions!$A$4:$A$303,A271)&lt;&gt;1),"",INDEX(Frozen_Predictions!$F$4:$F$303,MATCH(A271,Frozen_Predictions!$A$4:$A$303,0)))</x:f>
      </x:c>
      <x:c r="E271" t="str">
        <x:f>IF(OR(A271="",COUNTIF(Frozen_Predictions!$A$4:$A$303,A271)&lt;&gt;1),"",INDEX(Frozen_Predictions!$G$4:$G$303,MATCH(A271,Frozen_Predictions!$A$4:$A$303,0)))</x:f>
      </x:c>
      <x:c r="F271" t="str">
        <x:f>IF(OR(A271="",COUNTIF(Frozen_Predictions!$A$4:$A$303,A271)&lt;&gt;1),"",INDEX(Frozen_Predictions!$H$4:$H$303,MATCH(A271,Frozen_Predictions!$A$4:$A$303,0)))</x:f>
      </x:c>
      <x:c r="G271" t="str">
        <x:f>IF(OR(A271="",COUNTIF(Frozen_Predictions!$A$4:$A$303,A271)&lt;&gt;1),"",INDEX(Frozen_Predictions!$I$4:$I$303,MATCH(A271,Frozen_Predictions!$A$4:$A$303,0)))</x:f>
      </x:c>
      <x:c r="H271" t="str">
        <x:f>IF(OR(A271="",COUNTIF(Frozen_Predictions!$A$4:$A$303,A271)&lt;&gt;1),"",INDEX(Frozen_Predictions!$J$4:$J$303,MATCH(A271,Frozen_Predictions!$A$4:$A$303,0)))</x:f>
      </x:c>
      <x:c r="I271" t="str">
        <x:f>IF(OR(A271="",COUNTIF(Frozen_Predictions!$A$4:$A$303,A271)&lt;&gt;1),"",INDEX(Frozen_Predictions!$K$4:$K$303,MATCH(A271,Frozen_Predictions!$A$4:$A$303,0)))</x:f>
      </x:c>
      <x:c r="J271" s="142" t="str">
        <x:f>IF(OR(A271="",G271="",COUNT(K271:M271)&lt;3,COUNTIF($A$4:$A$303,A271)&lt;&gt;1),"",IF(IF(M271+F271&gt;0,"1",IF(M271+F271=0,"X","2"))=G271&amp;"",1,0))</x:f>
      </x:c>
      <x:c r="K271" s="143"/>
      <x:c r="L271" s="143"/>
      <x:c r="M271" s="142" t="str">
        <x:f>IF(AND(A271&lt;&gt;"",COUNT(K271:L271)=2),K271-L271,"")</x:f>
      </x:c>
      <x:c r="N271" s="142" t="str">
        <x:f>IF(J271="","",IF(M271+F271=0,"YES","NO"))</x:f>
      </x:c>
      <x:c r="O271" t="str">
        <x:f>IF(J271="","",IF(J271=1,"WIN",IF(N271="YES","Exact margin M="&amp;ABS(F271),"Direction / tail")))</x:f>
      </x:c>
      <x:c r="P271" s="141"/>
      <x:c r="Q271" s="141"/>
      <x:c r="R271" s="144" t="str">
        <x:f>IF(OR(I271="",J271=""),"",(I271-J271)^2)</x:f>
      </x:c>
      <x:c r="S271" s="144" t="str">
        <x:f>IF(OR(I271="",J271=""),"",-(J271*LN(MAX(MIN(I271,0.999999),0.000001))+(1-J271)*LN(MAX(MIN(1-I271,0.999999),0.000001))))</x:f>
      </x:c>
      <x:c r="T271" t="str">
        <x:f>IF(J271="","",INDEX(Frozen_Predictions!$M$4:$M$303,MATCH(A271,Frozen_Predictions!$A$4:$A$303,0)))</x:f>
      </x:c>
      <x:c r="U271" t="str">
        <x:f>IF(J271="","",INDEX(Frozen_Predictions!$W$4:$W$303,MATCH(A271,Frozen_Predictions!$A$4:$A$303,0)))</x:f>
      </x:c>
      <x:c r="V271" t="str">
        <x:f>IF(J271="","",INDEX(Frozen_Predictions!$X$4:$X$303,MATCH(A271,Frozen_Predictions!$A$4:$A$303,0)))</x:f>
      </x:c>
      <x:c r="W271" t="str">
        <x:f>IF(A271="","",IF(COUNTIF($A$4:$A$303,A271)&lt;&gt;1,"ID DUPLICAT",IF(COUNTIF(Frozen_Predictions!$A$4:$A$303,A271)&lt;&gt;1,"ID INEXISTENT SAU DUPLICAT ÎN FROZEN",IF(COUNT(K271:L271)&lt;2,"COMPLETEAZĂ SCORUL","VERIFICAT"))))</x:f>
      </x:c>
    </x:row>
    <x:row r="272">
      <x:c r="A272" s="141"/>
      <x:c r="B272" t="str">
        <x:f>IF(OR(A272="",COUNTIF(Frozen_Predictions!$A$4:$A$303,A272)&lt;&gt;1),"",INDEX(Frozen_Predictions!$C$4:$C$303,MATCH(A272,Frozen_Predictions!$A$4:$A$303,0)))</x:f>
      </x:c>
      <x:c r="C272" t="str">
        <x:f>IF(OR(A272="",COUNTIF(Frozen_Predictions!$A$4:$A$303,A272)&lt;&gt;1),"",INDEX(Frozen_Predictions!$E$4:$E$303,MATCH(A272,Frozen_Predictions!$A$4:$A$303,0)))</x:f>
      </x:c>
      <x:c r="D272" t="str">
        <x:f>IF(OR(A272="",COUNTIF(Frozen_Predictions!$A$4:$A$303,A272)&lt;&gt;1),"",INDEX(Frozen_Predictions!$F$4:$F$303,MATCH(A272,Frozen_Predictions!$A$4:$A$303,0)))</x:f>
      </x:c>
      <x:c r="E272" t="str">
        <x:f>IF(OR(A272="",COUNTIF(Frozen_Predictions!$A$4:$A$303,A272)&lt;&gt;1),"",INDEX(Frozen_Predictions!$G$4:$G$303,MATCH(A272,Frozen_Predictions!$A$4:$A$303,0)))</x:f>
      </x:c>
      <x:c r="F272" t="str">
        <x:f>IF(OR(A272="",COUNTIF(Frozen_Predictions!$A$4:$A$303,A272)&lt;&gt;1),"",INDEX(Frozen_Predictions!$H$4:$H$303,MATCH(A272,Frozen_Predictions!$A$4:$A$303,0)))</x:f>
      </x:c>
      <x:c r="G272" t="str">
        <x:f>IF(OR(A272="",COUNTIF(Frozen_Predictions!$A$4:$A$303,A272)&lt;&gt;1),"",INDEX(Frozen_Predictions!$I$4:$I$303,MATCH(A272,Frozen_Predictions!$A$4:$A$303,0)))</x:f>
      </x:c>
      <x:c r="H272" t="str">
        <x:f>IF(OR(A272="",COUNTIF(Frozen_Predictions!$A$4:$A$303,A272)&lt;&gt;1),"",INDEX(Frozen_Predictions!$J$4:$J$303,MATCH(A272,Frozen_Predictions!$A$4:$A$303,0)))</x:f>
      </x:c>
      <x:c r="I272" t="str">
        <x:f>IF(OR(A272="",COUNTIF(Frozen_Predictions!$A$4:$A$303,A272)&lt;&gt;1),"",INDEX(Frozen_Predictions!$K$4:$K$303,MATCH(A272,Frozen_Predictions!$A$4:$A$303,0)))</x:f>
      </x:c>
      <x:c r="J272" s="142" t="str">
        <x:f>IF(OR(A272="",G272="",COUNT(K272:M272)&lt;3,COUNTIF($A$4:$A$303,A272)&lt;&gt;1),"",IF(IF(M272+F272&gt;0,"1",IF(M272+F272=0,"X","2"))=G272&amp;"",1,0))</x:f>
      </x:c>
      <x:c r="K272" s="143"/>
      <x:c r="L272" s="143"/>
      <x:c r="M272" s="142" t="str">
        <x:f>IF(AND(A272&lt;&gt;"",COUNT(K272:L272)=2),K272-L272,"")</x:f>
      </x:c>
      <x:c r="N272" s="142" t="str">
        <x:f>IF(J272="","",IF(M272+F272=0,"YES","NO"))</x:f>
      </x:c>
      <x:c r="O272" t="str">
        <x:f>IF(J272="","",IF(J272=1,"WIN",IF(N272="YES","Exact margin M="&amp;ABS(F272),"Direction / tail")))</x:f>
      </x:c>
      <x:c r="P272" s="141"/>
      <x:c r="Q272" s="141"/>
      <x:c r="R272" s="144" t="str">
        <x:f>IF(OR(I272="",J272=""),"",(I272-J272)^2)</x:f>
      </x:c>
      <x:c r="S272" s="144" t="str">
        <x:f>IF(OR(I272="",J272=""),"",-(J272*LN(MAX(MIN(I272,0.999999),0.000001))+(1-J272)*LN(MAX(MIN(1-I272,0.999999),0.000001))))</x:f>
      </x:c>
      <x:c r="T272" t="str">
        <x:f>IF(J272="","",INDEX(Frozen_Predictions!$M$4:$M$303,MATCH(A272,Frozen_Predictions!$A$4:$A$303,0)))</x:f>
      </x:c>
      <x:c r="U272" t="str">
        <x:f>IF(J272="","",INDEX(Frozen_Predictions!$W$4:$W$303,MATCH(A272,Frozen_Predictions!$A$4:$A$303,0)))</x:f>
      </x:c>
      <x:c r="V272" t="str">
        <x:f>IF(J272="","",INDEX(Frozen_Predictions!$X$4:$X$303,MATCH(A272,Frozen_Predictions!$A$4:$A$303,0)))</x:f>
      </x:c>
      <x:c r="W272" t="str">
        <x:f>IF(A272="","",IF(COUNTIF($A$4:$A$303,A272)&lt;&gt;1,"ID DUPLICAT",IF(COUNTIF(Frozen_Predictions!$A$4:$A$303,A272)&lt;&gt;1,"ID INEXISTENT SAU DUPLICAT ÎN FROZEN",IF(COUNT(K272:L272)&lt;2,"COMPLETEAZĂ SCORUL","VERIFICAT"))))</x:f>
      </x:c>
    </x:row>
    <x:row r="273">
      <x:c r="A273" s="141"/>
      <x:c r="B273" t="str">
        <x:f>IF(OR(A273="",COUNTIF(Frozen_Predictions!$A$4:$A$303,A273)&lt;&gt;1),"",INDEX(Frozen_Predictions!$C$4:$C$303,MATCH(A273,Frozen_Predictions!$A$4:$A$303,0)))</x:f>
      </x:c>
      <x:c r="C273" t="str">
        <x:f>IF(OR(A273="",COUNTIF(Frozen_Predictions!$A$4:$A$303,A273)&lt;&gt;1),"",INDEX(Frozen_Predictions!$E$4:$E$303,MATCH(A273,Frozen_Predictions!$A$4:$A$303,0)))</x:f>
      </x:c>
      <x:c r="D273" t="str">
        <x:f>IF(OR(A273="",COUNTIF(Frozen_Predictions!$A$4:$A$303,A273)&lt;&gt;1),"",INDEX(Frozen_Predictions!$F$4:$F$303,MATCH(A273,Frozen_Predictions!$A$4:$A$303,0)))</x:f>
      </x:c>
      <x:c r="E273" t="str">
        <x:f>IF(OR(A273="",COUNTIF(Frozen_Predictions!$A$4:$A$303,A273)&lt;&gt;1),"",INDEX(Frozen_Predictions!$G$4:$G$303,MATCH(A273,Frozen_Predictions!$A$4:$A$303,0)))</x:f>
      </x:c>
      <x:c r="F273" t="str">
        <x:f>IF(OR(A273="",COUNTIF(Frozen_Predictions!$A$4:$A$303,A273)&lt;&gt;1),"",INDEX(Frozen_Predictions!$H$4:$H$303,MATCH(A273,Frozen_Predictions!$A$4:$A$303,0)))</x:f>
      </x:c>
      <x:c r="G273" t="str">
        <x:f>IF(OR(A273="",COUNTIF(Frozen_Predictions!$A$4:$A$303,A273)&lt;&gt;1),"",INDEX(Frozen_Predictions!$I$4:$I$303,MATCH(A273,Frozen_Predictions!$A$4:$A$303,0)))</x:f>
      </x:c>
      <x:c r="H273" t="str">
        <x:f>IF(OR(A273="",COUNTIF(Frozen_Predictions!$A$4:$A$303,A273)&lt;&gt;1),"",INDEX(Frozen_Predictions!$J$4:$J$303,MATCH(A273,Frozen_Predictions!$A$4:$A$303,0)))</x:f>
      </x:c>
      <x:c r="I273" t="str">
        <x:f>IF(OR(A273="",COUNTIF(Frozen_Predictions!$A$4:$A$303,A273)&lt;&gt;1),"",INDEX(Frozen_Predictions!$K$4:$K$303,MATCH(A273,Frozen_Predictions!$A$4:$A$303,0)))</x:f>
      </x:c>
      <x:c r="J273" s="142" t="str">
        <x:f>IF(OR(A273="",G273="",COUNT(K273:M273)&lt;3,COUNTIF($A$4:$A$303,A273)&lt;&gt;1),"",IF(IF(M273+F273&gt;0,"1",IF(M273+F273=0,"X","2"))=G273&amp;"",1,0))</x:f>
      </x:c>
      <x:c r="K273" s="143"/>
      <x:c r="L273" s="143"/>
      <x:c r="M273" s="142" t="str">
        <x:f>IF(AND(A273&lt;&gt;"",COUNT(K273:L273)=2),K273-L273,"")</x:f>
      </x:c>
      <x:c r="N273" s="142" t="str">
        <x:f>IF(J273="","",IF(M273+F273=0,"YES","NO"))</x:f>
      </x:c>
      <x:c r="O273" t="str">
        <x:f>IF(J273="","",IF(J273=1,"WIN",IF(N273="YES","Exact margin M="&amp;ABS(F273),"Direction / tail")))</x:f>
      </x:c>
      <x:c r="P273" s="141"/>
      <x:c r="Q273" s="141"/>
      <x:c r="R273" s="144" t="str">
        <x:f>IF(OR(I273="",J273=""),"",(I273-J273)^2)</x:f>
      </x:c>
      <x:c r="S273" s="144" t="str">
        <x:f>IF(OR(I273="",J273=""),"",-(J273*LN(MAX(MIN(I273,0.999999),0.000001))+(1-J273)*LN(MAX(MIN(1-I273,0.999999),0.000001))))</x:f>
      </x:c>
      <x:c r="T273" t="str">
        <x:f>IF(J273="","",INDEX(Frozen_Predictions!$M$4:$M$303,MATCH(A273,Frozen_Predictions!$A$4:$A$303,0)))</x:f>
      </x:c>
      <x:c r="U273" t="str">
        <x:f>IF(J273="","",INDEX(Frozen_Predictions!$W$4:$W$303,MATCH(A273,Frozen_Predictions!$A$4:$A$303,0)))</x:f>
      </x:c>
      <x:c r="V273" t="str">
        <x:f>IF(J273="","",INDEX(Frozen_Predictions!$X$4:$X$303,MATCH(A273,Frozen_Predictions!$A$4:$A$303,0)))</x:f>
      </x:c>
      <x:c r="W273" t="str">
        <x:f>IF(A273="","",IF(COUNTIF($A$4:$A$303,A273)&lt;&gt;1,"ID DUPLICAT",IF(COUNTIF(Frozen_Predictions!$A$4:$A$303,A273)&lt;&gt;1,"ID INEXISTENT SAU DUPLICAT ÎN FROZEN",IF(COUNT(K273:L273)&lt;2,"COMPLETEAZĂ SCORUL","VERIFICAT"))))</x:f>
      </x:c>
    </x:row>
    <x:row r="274">
      <x:c r="A274" s="141"/>
      <x:c r="B274" t="str">
        <x:f>IF(OR(A274="",COUNTIF(Frozen_Predictions!$A$4:$A$303,A274)&lt;&gt;1),"",INDEX(Frozen_Predictions!$C$4:$C$303,MATCH(A274,Frozen_Predictions!$A$4:$A$303,0)))</x:f>
      </x:c>
      <x:c r="C274" t="str">
        <x:f>IF(OR(A274="",COUNTIF(Frozen_Predictions!$A$4:$A$303,A274)&lt;&gt;1),"",INDEX(Frozen_Predictions!$E$4:$E$303,MATCH(A274,Frozen_Predictions!$A$4:$A$303,0)))</x:f>
      </x:c>
      <x:c r="D274" t="str">
        <x:f>IF(OR(A274="",COUNTIF(Frozen_Predictions!$A$4:$A$303,A274)&lt;&gt;1),"",INDEX(Frozen_Predictions!$F$4:$F$303,MATCH(A274,Frozen_Predictions!$A$4:$A$303,0)))</x:f>
      </x:c>
      <x:c r="E274" t="str">
        <x:f>IF(OR(A274="",COUNTIF(Frozen_Predictions!$A$4:$A$303,A274)&lt;&gt;1),"",INDEX(Frozen_Predictions!$G$4:$G$303,MATCH(A274,Frozen_Predictions!$A$4:$A$303,0)))</x:f>
      </x:c>
      <x:c r="F274" t="str">
        <x:f>IF(OR(A274="",COUNTIF(Frozen_Predictions!$A$4:$A$303,A274)&lt;&gt;1),"",INDEX(Frozen_Predictions!$H$4:$H$303,MATCH(A274,Frozen_Predictions!$A$4:$A$303,0)))</x:f>
      </x:c>
      <x:c r="G274" t="str">
        <x:f>IF(OR(A274="",COUNTIF(Frozen_Predictions!$A$4:$A$303,A274)&lt;&gt;1),"",INDEX(Frozen_Predictions!$I$4:$I$303,MATCH(A274,Frozen_Predictions!$A$4:$A$303,0)))</x:f>
      </x:c>
      <x:c r="H274" t="str">
        <x:f>IF(OR(A274="",COUNTIF(Frozen_Predictions!$A$4:$A$303,A274)&lt;&gt;1),"",INDEX(Frozen_Predictions!$J$4:$J$303,MATCH(A274,Frozen_Predictions!$A$4:$A$303,0)))</x:f>
      </x:c>
      <x:c r="I274" t="str">
        <x:f>IF(OR(A274="",COUNTIF(Frozen_Predictions!$A$4:$A$303,A274)&lt;&gt;1),"",INDEX(Frozen_Predictions!$K$4:$K$303,MATCH(A274,Frozen_Predictions!$A$4:$A$303,0)))</x:f>
      </x:c>
      <x:c r="J274" s="142" t="str">
        <x:f>IF(OR(A274="",G274="",COUNT(K274:M274)&lt;3,COUNTIF($A$4:$A$303,A274)&lt;&gt;1),"",IF(IF(M274+F274&gt;0,"1",IF(M274+F274=0,"X","2"))=G274&amp;"",1,0))</x:f>
      </x:c>
      <x:c r="K274" s="143"/>
      <x:c r="L274" s="143"/>
      <x:c r="M274" s="142" t="str">
        <x:f>IF(AND(A274&lt;&gt;"",COUNT(K274:L274)=2),K274-L274,"")</x:f>
      </x:c>
      <x:c r="N274" s="142" t="str">
        <x:f>IF(J274="","",IF(M274+F274=0,"YES","NO"))</x:f>
      </x:c>
      <x:c r="O274" t="str">
        <x:f>IF(J274="","",IF(J274=1,"WIN",IF(N274="YES","Exact margin M="&amp;ABS(F274),"Direction / tail")))</x:f>
      </x:c>
      <x:c r="P274" s="141"/>
      <x:c r="Q274" s="141"/>
      <x:c r="R274" s="144" t="str">
        <x:f>IF(OR(I274="",J274=""),"",(I274-J274)^2)</x:f>
      </x:c>
      <x:c r="S274" s="144" t="str">
        <x:f>IF(OR(I274="",J274=""),"",-(J274*LN(MAX(MIN(I274,0.999999),0.000001))+(1-J274)*LN(MAX(MIN(1-I274,0.999999),0.000001))))</x:f>
      </x:c>
      <x:c r="T274" t="str">
        <x:f>IF(J274="","",INDEX(Frozen_Predictions!$M$4:$M$303,MATCH(A274,Frozen_Predictions!$A$4:$A$303,0)))</x:f>
      </x:c>
      <x:c r="U274" t="str">
        <x:f>IF(J274="","",INDEX(Frozen_Predictions!$W$4:$W$303,MATCH(A274,Frozen_Predictions!$A$4:$A$303,0)))</x:f>
      </x:c>
      <x:c r="V274" t="str">
        <x:f>IF(J274="","",INDEX(Frozen_Predictions!$X$4:$X$303,MATCH(A274,Frozen_Predictions!$A$4:$A$303,0)))</x:f>
      </x:c>
      <x:c r="W274" t="str">
        <x:f>IF(A274="","",IF(COUNTIF($A$4:$A$303,A274)&lt;&gt;1,"ID DUPLICAT",IF(COUNTIF(Frozen_Predictions!$A$4:$A$303,A274)&lt;&gt;1,"ID INEXISTENT SAU DUPLICAT ÎN FROZEN",IF(COUNT(K274:L274)&lt;2,"COMPLETEAZĂ SCORUL","VERIFICAT"))))</x:f>
      </x:c>
    </x:row>
    <x:row r="275">
      <x:c r="A275" s="141"/>
      <x:c r="B275" t="str">
        <x:f>IF(OR(A275="",COUNTIF(Frozen_Predictions!$A$4:$A$303,A275)&lt;&gt;1),"",INDEX(Frozen_Predictions!$C$4:$C$303,MATCH(A275,Frozen_Predictions!$A$4:$A$303,0)))</x:f>
      </x:c>
      <x:c r="C275" t="str">
        <x:f>IF(OR(A275="",COUNTIF(Frozen_Predictions!$A$4:$A$303,A275)&lt;&gt;1),"",INDEX(Frozen_Predictions!$E$4:$E$303,MATCH(A275,Frozen_Predictions!$A$4:$A$303,0)))</x:f>
      </x:c>
      <x:c r="D275" t="str">
        <x:f>IF(OR(A275="",COUNTIF(Frozen_Predictions!$A$4:$A$303,A275)&lt;&gt;1),"",INDEX(Frozen_Predictions!$F$4:$F$303,MATCH(A275,Frozen_Predictions!$A$4:$A$303,0)))</x:f>
      </x:c>
      <x:c r="E275" t="str">
        <x:f>IF(OR(A275="",COUNTIF(Frozen_Predictions!$A$4:$A$303,A275)&lt;&gt;1),"",INDEX(Frozen_Predictions!$G$4:$G$303,MATCH(A275,Frozen_Predictions!$A$4:$A$303,0)))</x:f>
      </x:c>
      <x:c r="F275" t="str">
        <x:f>IF(OR(A275="",COUNTIF(Frozen_Predictions!$A$4:$A$303,A275)&lt;&gt;1),"",INDEX(Frozen_Predictions!$H$4:$H$303,MATCH(A275,Frozen_Predictions!$A$4:$A$303,0)))</x:f>
      </x:c>
      <x:c r="G275" t="str">
        <x:f>IF(OR(A275="",COUNTIF(Frozen_Predictions!$A$4:$A$303,A275)&lt;&gt;1),"",INDEX(Frozen_Predictions!$I$4:$I$303,MATCH(A275,Frozen_Predictions!$A$4:$A$303,0)))</x:f>
      </x:c>
      <x:c r="H275" t="str">
        <x:f>IF(OR(A275="",COUNTIF(Frozen_Predictions!$A$4:$A$303,A275)&lt;&gt;1),"",INDEX(Frozen_Predictions!$J$4:$J$303,MATCH(A275,Frozen_Predictions!$A$4:$A$303,0)))</x:f>
      </x:c>
      <x:c r="I275" t="str">
        <x:f>IF(OR(A275="",COUNTIF(Frozen_Predictions!$A$4:$A$303,A275)&lt;&gt;1),"",INDEX(Frozen_Predictions!$K$4:$K$303,MATCH(A275,Frozen_Predictions!$A$4:$A$303,0)))</x:f>
      </x:c>
      <x:c r="J275" s="142" t="str">
        <x:f>IF(OR(A275="",G275="",COUNT(K275:M275)&lt;3,COUNTIF($A$4:$A$303,A275)&lt;&gt;1),"",IF(IF(M275+F275&gt;0,"1",IF(M275+F275=0,"X","2"))=G275&amp;"",1,0))</x:f>
      </x:c>
      <x:c r="K275" s="143"/>
      <x:c r="L275" s="143"/>
      <x:c r="M275" s="142" t="str">
        <x:f>IF(AND(A275&lt;&gt;"",COUNT(K275:L275)=2),K275-L275,"")</x:f>
      </x:c>
      <x:c r="N275" s="142" t="str">
        <x:f>IF(J275="","",IF(M275+F275=0,"YES","NO"))</x:f>
      </x:c>
      <x:c r="O275" t="str">
        <x:f>IF(J275="","",IF(J275=1,"WIN",IF(N275="YES","Exact margin M="&amp;ABS(F275),"Direction / tail")))</x:f>
      </x:c>
      <x:c r="P275" s="141"/>
      <x:c r="Q275" s="141"/>
      <x:c r="R275" s="144" t="str">
        <x:f>IF(OR(I275="",J275=""),"",(I275-J275)^2)</x:f>
      </x:c>
      <x:c r="S275" s="144" t="str">
        <x:f>IF(OR(I275="",J275=""),"",-(J275*LN(MAX(MIN(I275,0.999999),0.000001))+(1-J275)*LN(MAX(MIN(1-I275,0.999999),0.000001))))</x:f>
      </x:c>
      <x:c r="T275" t="str">
        <x:f>IF(J275="","",INDEX(Frozen_Predictions!$M$4:$M$303,MATCH(A275,Frozen_Predictions!$A$4:$A$303,0)))</x:f>
      </x:c>
      <x:c r="U275" t="str">
        <x:f>IF(J275="","",INDEX(Frozen_Predictions!$W$4:$W$303,MATCH(A275,Frozen_Predictions!$A$4:$A$303,0)))</x:f>
      </x:c>
      <x:c r="V275" t="str">
        <x:f>IF(J275="","",INDEX(Frozen_Predictions!$X$4:$X$303,MATCH(A275,Frozen_Predictions!$A$4:$A$303,0)))</x:f>
      </x:c>
      <x:c r="W275" t="str">
        <x:f>IF(A275="","",IF(COUNTIF($A$4:$A$303,A275)&lt;&gt;1,"ID DUPLICAT",IF(COUNTIF(Frozen_Predictions!$A$4:$A$303,A275)&lt;&gt;1,"ID INEXISTENT SAU DUPLICAT ÎN FROZEN",IF(COUNT(K275:L275)&lt;2,"COMPLETEAZĂ SCORUL","VERIFICAT"))))</x:f>
      </x:c>
    </x:row>
    <x:row r="276">
      <x:c r="A276" s="141"/>
      <x:c r="B276" t="str">
        <x:f>IF(OR(A276="",COUNTIF(Frozen_Predictions!$A$4:$A$303,A276)&lt;&gt;1),"",INDEX(Frozen_Predictions!$C$4:$C$303,MATCH(A276,Frozen_Predictions!$A$4:$A$303,0)))</x:f>
      </x:c>
      <x:c r="C276" t="str">
        <x:f>IF(OR(A276="",COUNTIF(Frozen_Predictions!$A$4:$A$303,A276)&lt;&gt;1),"",INDEX(Frozen_Predictions!$E$4:$E$303,MATCH(A276,Frozen_Predictions!$A$4:$A$303,0)))</x:f>
      </x:c>
      <x:c r="D276" t="str">
        <x:f>IF(OR(A276="",COUNTIF(Frozen_Predictions!$A$4:$A$303,A276)&lt;&gt;1),"",INDEX(Frozen_Predictions!$F$4:$F$303,MATCH(A276,Frozen_Predictions!$A$4:$A$303,0)))</x:f>
      </x:c>
      <x:c r="E276" t="str">
        <x:f>IF(OR(A276="",COUNTIF(Frozen_Predictions!$A$4:$A$303,A276)&lt;&gt;1),"",INDEX(Frozen_Predictions!$G$4:$G$303,MATCH(A276,Frozen_Predictions!$A$4:$A$303,0)))</x:f>
      </x:c>
      <x:c r="F276" t="str">
        <x:f>IF(OR(A276="",COUNTIF(Frozen_Predictions!$A$4:$A$303,A276)&lt;&gt;1),"",INDEX(Frozen_Predictions!$H$4:$H$303,MATCH(A276,Frozen_Predictions!$A$4:$A$303,0)))</x:f>
      </x:c>
      <x:c r="G276" t="str">
        <x:f>IF(OR(A276="",COUNTIF(Frozen_Predictions!$A$4:$A$303,A276)&lt;&gt;1),"",INDEX(Frozen_Predictions!$I$4:$I$303,MATCH(A276,Frozen_Predictions!$A$4:$A$303,0)))</x:f>
      </x:c>
      <x:c r="H276" t="str">
        <x:f>IF(OR(A276="",COUNTIF(Frozen_Predictions!$A$4:$A$303,A276)&lt;&gt;1),"",INDEX(Frozen_Predictions!$J$4:$J$303,MATCH(A276,Frozen_Predictions!$A$4:$A$303,0)))</x:f>
      </x:c>
      <x:c r="I276" t="str">
        <x:f>IF(OR(A276="",COUNTIF(Frozen_Predictions!$A$4:$A$303,A276)&lt;&gt;1),"",INDEX(Frozen_Predictions!$K$4:$K$303,MATCH(A276,Frozen_Predictions!$A$4:$A$303,0)))</x:f>
      </x:c>
      <x:c r="J276" s="142" t="str">
        <x:f>IF(OR(A276="",G276="",COUNT(K276:M276)&lt;3,COUNTIF($A$4:$A$303,A276)&lt;&gt;1),"",IF(IF(M276+F276&gt;0,"1",IF(M276+F276=0,"X","2"))=G276&amp;"",1,0))</x:f>
      </x:c>
      <x:c r="K276" s="143"/>
      <x:c r="L276" s="143"/>
      <x:c r="M276" s="142" t="str">
        <x:f>IF(AND(A276&lt;&gt;"",COUNT(K276:L276)=2),K276-L276,"")</x:f>
      </x:c>
      <x:c r="N276" s="142" t="str">
        <x:f>IF(J276="","",IF(M276+F276=0,"YES","NO"))</x:f>
      </x:c>
      <x:c r="O276" t="str">
        <x:f>IF(J276="","",IF(J276=1,"WIN",IF(N276="YES","Exact margin M="&amp;ABS(F276),"Direction / tail")))</x:f>
      </x:c>
      <x:c r="P276" s="141"/>
      <x:c r="Q276" s="141"/>
      <x:c r="R276" s="144" t="str">
        <x:f>IF(OR(I276="",J276=""),"",(I276-J276)^2)</x:f>
      </x:c>
      <x:c r="S276" s="144" t="str">
        <x:f>IF(OR(I276="",J276=""),"",-(J276*LN(MAX(MIN(I276,0.999999),0.000001))+(1-J276)*LN(MAX(MIN(1-I276,0.999999),0.000001))))</x:f>
      </x:c>
      <x:c r="T276" t="str">
        <x:f>IF(J276="","",INDEX(Frozen_Predictions!$M$4:$M$303,MATCH(A276,Frozen_Predictions!$A$4:$A$303,0)))</x:f>
      </x:c>
      <x:c r="U276" t="str">
        <x:f>IF(J276="","",INDEX(Frozen_Predictions!$W$4:$W$303,MATCH(A276,Frozen_Predictions!$A$4:$A$303,0)))</x:f>
      </x:c>
      <x:c r="V276" t="str">
        <x:f>IF(J276="","",INDEX(Frozen_Predictions!$X$4:$X$303,MATCH(A276,Frozen_Predictions!$A$4:$A$303,0)))</x:f>
      </x:c>
      <x:c r="W276" t="str">
        <x:f>IF(A276="","",IF(COUNTIF($A$4:$A$303,A276)&lt;&gt;1,"ID DUPLICAT",IF(COUNTIF(Frozen_Predictions!$A$4:$A$303,A276)&lt;&gt;1,"ID INEXISTENT SAU DUPLICAT ÎN FROZEN",IF(COUNT(K276:L276)&lt;2,"COMPLETEAZĂ SCORUL","VERIFICAT"))))</x:f>
      </x:c>
    </x:row>
    <x:row r="277">
      <x:c r="A277" s="141"/>
      <x:c r="B277" t="str">
        <x:f>IF(OR(A277="",COUNTIF(Frozen_Predictions!$A$4:$A$303,A277)&lt;&gt;1),"",INDEX(Frozen_Predictions!$C$4:$C$303,MATCH(A277,Frozen_Predictions!$A$4:$A$303,0)))</x:f>
      </x:c>
      <x:c r="C277" t="str">
        <x:f>IF(OR(A277="",COUNTIF(Frozen_Predictions!$A$4:$A$303,A277)&lt;&gt;1),"",INDEX(Frozen_Predictions!$E$4:$E$303,MATCH(A277,Frozen_Predictions!$A$4:$A$303,0)))</x:f>
      </x:c>
      <x:c r="D277" t="str">
        <x:f>IF(OR(A277="",COUNTIF(Frozen_Predictions!$A$4:$A$303,A277)&lt;&gt;1),"",INDEX(Frozen_Predictions!$F$4:$F$303,MATCH(A277,Frozen_Predictions!$A$4:$A$303,0)))</x:f>
      </x:c>
      <x:c r="E277" t="str">
        <x:f>IF(OR(A277="",COUNTIF(Frozen_Predictions!$A$4:$A$303,A277)&lt;&gt;1),"",INDEX(Frozen_Predictions!$G$4:$G$303,MATCH(A277,Frozen_Predictions!$A$4:$A$303,0)))</x:f>
      </x:c>
      <x:c r="F277" t="str">
        <x:f>IF(OR(A277="",COUNTIF(Frozen_Predictions!$A$4:$A$303,A277)&lt;&gt;1),"",INDEX(Frozen_Predictions!$H$4:$H$303,MATCH(A277,Frozen_Predictions!$A$4:$A$303,0)))</x:f>
      </x:c>
      <x:c r="G277" t="str">
        <x:f>IF(OR(A277="",COUNTIF(Frozen_Predictions!$A$4:$A$303,A277)&lt;&gt;1),"",INDEX(Frozen_Predictions!$I$4:$I$303,MATCH(A277,Frozen_Predictions!$A$4:$A$303,0)))</x:f>
      </x:c>
      <x:c r="H277" t="str">
        <x:f>IF(OR(A277="",COUNTIF(Frozen_Predictions!$A$4:$A$303,A277)&lt;&gt;1),"",INDEX(Frozen_Predictions!$J$4:$J$303,MATCH(A277,Frozen_Predictions!$A$4:$A$303,0)))</x:f>
      </x:c>
      <x:c r="I277" t="str">
        <x:f>IF(OR(A277="",COUNTIF(Frozen_Predictions!$A$4:$A$303,A277)&lt;&gt;1),"",INDEX(Frozen_Predictions!$K$4:$K$303,MATCH(A277,Frozen_Predictions!$A$4:$A$303,0)))</x:f>
      </x:c>
      <x:c r="J277" s="142" t="str">
        <x:f>IF(OR(A277="",G277="",COUNT(K277:M277)&lt;3,COUNTIF($A$4:$A$303,A277)&lt;&gt;1),"",IF(IF(M277+F277&gt;0,"1",IF(M277+F277=0,"X","2"))=G277&amp;"",1,0))</x:f>
      </x:c>
      <x:c r="K277" s="143"/>
      <x:c r="L277" s="143"/>
      <x:c r="M277" s="142" t="str">
        <x:f>IF(AND(A277&lt;&gt;"",COUNT(K277:L277)=2),K277-L277,"")</x:f>
      </x:c>
      <x:c r="N277" s="142" t="str">
        <x:f>IF(J277="","",IF(M277+F277=0,"YES","NO"))</x:f>
      </x:c>
      <x:c r="O277" t="str">
        <x:f>IF(J277="","",IF(J277=1,"WIN",IF(N277="YES","Exact margin M="&amp;ABS(F277),"Direction / tail")))</x:f>
      </x:c>
      <x:c r="P277" s="141"/>
      <x:c r="Q277" s="141"/>
      <x:c r="R277" s="144" t="str">
        <x:f>IF(OR(I277="",J277=""),"",(I277-J277)^2)</x:f>
      </x:c>
      <x:c r="S277" s="144" t="str">
        <x:f>IF(OR(I277="",J277=""),"",-(J277*LN(MAX(MIN(I277,0.999999),0.000001))+(1-J277)*LN(MAX(MIN(1-I277,0.999999),0.000001))))</x:f>
      </x:c>
      <x:c r="T277" t="str">
        <x:f>IF(J277="","",INDEX(Frozen_Predictions!$M$4:$M$303,MATCH(A277,Frozen_Predictions!$A$4:$A$303,0)))</x:f>
      </x:c>
      <x:c r="U277" t="str">
        <x:f>IF(J277="","",INDEX(Frozen_Predictions!$W$4:$W$303,MATCH(A277,Frozen_Predictions!$A$4:$A$303,0)))</x:f>
      </x:c>
      <x:c r="V277" t="str">
        <x:f>IF(J277="","",INDEX(Frozen_Predictions!$X$4:$X$303,MATCH(A277,Frozen_Predictions!$A$4:$A$303,0)))</x:f>
      </x:c>
      <x:c r="W277" t="str">
        <x:f>IF(A277="","",IF(COUNTIF($A$4:$A$303,A277)&lt;&gt;1,"ID DUPLICAT",IF(COUNTIF(Frozen_Predictions!$A$4:$A$303,A277)&lt;&gt;1,"ID INEXISTENT SAU DUPLICAT ÎN FROZEN",IF(COUNT(K277:L277)&lt;2,"COMPLETEAZĂ SCORUL","VERIFICAT"))))</x:f>
      </x:c>
    </x:row>
    <x:row r="278">
      <x:c r="A278" s="141"/>
      <x:c r="B278" t="str">
        <x:f>IF(OR(A278="",COUNTIF(Frozen_Predictions!$A$4:$A$303,A278)&lt;&gt;1),"",INDEX(Frozen_Predictions!$C$4:$C$303,MATCH(A278,Frozen_Predictions!$A$4:$A$303,0)))</x:f>
      </x:c>
      <x:c r="C278" t="str">
        <x:f>IF(OR(A278="",COUNTIF(Frozen_Predictions!$A$4:$A$303,A278)&lt;&gt;1),"",INDEX(Frozen_Predictions!$E$4:$E$303,MATCH(A278,Frozen_Predictions!$A$4:$A$303,0)))</x:f>
      </x:c>
      <x:c r="D278" t="str">
        <x:f>IF(OR(A278="",COUNTIF(Frozen_Predictions!$A$4:$A$303,A278)&lt;&gt;1),"",INDEX(Frozen_Predictions!$F$4:$F$303,MATCH(A278,Frozen_Predictions!$A$4:$A$303,0)))</x:f>
      </x:c>
      <x:c r="E278" t="str">
        <x:f>IF(OR(A278="",COUNTIF(Frozen_Predictions!$A$4:$A$303,A278)&lt;&gt;1),"",INDEX(Frozen_Predictions!$G$4:$G$303,MATCH(A278,Frozen_Predictions!$A$4:$A$303,0)))</x:f>
      </x:c>
      <x:c r="F278" t="str">
        <x:f>IF(OR(A278="",COUNTIF(Frozen_Predictions!$A$4:$A$303,A278)&lt;&gt;1),"",INDEX(Frozen_Predictions!$H$4:$H$303,MATCH(A278,Frozen_Predictions!$A$4:$A$303,0)))</x:f>
      </x:c>
      <x:c r="G278" t="str">
        <x:f>IF(OR(A278="",COUNTIF(Frozen_Predictions!$A$4:$A$303,A278)&lt;&gt;1),"",INDEX(Frozen_Predictions!$I$4:$I$303,MATCH(A278,Frozen_Predictions!$A$4:$A$303,0)))</x:f>
      </x:c>
      <x:c r="H278" t="str">
        <x:f>IF(OR(A278="",COUNTIF(Frozen_Predictions!$A$4:$A$303,A278)&lt;&gt;1),"",INDEX(Frozen_Predictions!$J$4:$J$303,MATCH(A278,Frozen_Predictions!$A$4:$A$303,0)))</x:f>
      </x:c>
      <x:c r="I278" t="str">
        <x:f>IF(OR(A278="",COUNTIF(Frozen_Predictions!$A$4:$A$303,A278)&lt;&gt;1),"",INDEX(Frozen_Predictions!$K$4:$K$303,MATCH(A278,Frozen_Predictions!$A$4:$A$303,0)))</x:f>
      </x:c>
      <x:c r="J278" s="142" t="str">
        <x:f>IF(OR(A278="",G278="",COUNT(K278:M278)&lt;3,COUNTIF($A$4:$A$303,A278)&lt;&gt;1),"",IF(IF(M278+F278&gt;0,"1",IF(M278+F278=0,"X","2"))=G278&amp;"",1,0))</x:f>
      </x:c>
      <x:c r="K278" s="143"/>
      <x:c r="L278" s="143"/>
      <x:c r="M278" s="142" t="str">
        <x:f>IF(AND(A278&lt;&gt;"",COUNT(K278:L278)=2),K278-L278,"")</x:f>
      </x:c>
      <x:c r="N278" s="142" t="str">
        <x:f>IF(J278="","",IF(M278+F278=0,"YES","NO"))</x:f>
      </x:c>
      <x:c r="O278" t="str">
        <x:f>IF(J278="","",IF(J278=1,"WIN",IF(N278="YES","Exact margin M="&amp;ABS(F278),"Direction / tail")))</x:f>
      </x:c>
      <x:c r="P278" s="141"/>
      <x:c r="Q278" s="141"/>
      <x:c r="R278" s="144" t="str">
        <x:f>IF(OR(I278="",J278=""),"",(I278-J278)^2)</x:f>
      </x:c>
      <x:c r="S278" s="144" t="str">
        <x:f>IF(OR(I278="",J278=""),"",-(J278*LN(MAX(MIN(I278,0.999999),0.000001))+(1-J278)*LN(MAX(MIN(1-I278,0.999999),0.000001))))</x:f>
      </x:c>
      <x:c r="T278" t="str">
        <x:f>IF(J278="","",INDEX(Frozen_Predictions!$M$4:$M$303,MATCH(A278,Frozen_Predictions!$A$4:$A$303,0)))</x:f>
      </x:c>
      <x:c r="U278" t="str">
        <x:f>IF(J278="","",INDEX(Frozen_Predictions!$W$4:$W$303,MATCH(A278,Frozen_Predictions!$A$4:$A$303,0)))</x:f>
      </x:c>
      <x:c r="V278" t="str">
        <x:f>IF(J278="","",INDEX(Frozen_Predictions!$X$4:$X$303,MATCH(A278,Frozen_Predictions!$A$4:$A$303,0)))</x:f>
      </x:c>
      <x:c r="W278" t="str">
        <x:f>IF(A278="","",IF(COUNTIF($A$4:$A$303,A278)&lt;&gt;1,"ID DUPLICAT",IF(COUNTIF(Frozen_Predictions!$A$4:$A$303,A278)&lt;&gt;1,"ID INEXISTENT SAU DUPLICAT ÎN FROZEN",IF(COUNT(K278:L278)&lt;2,"COMPLETEAZĂ SCORUL","VERIFICAT"))))</x:f>
      </x:c>
    </x:row>
    <x:row r="279">
      <x:c r="A279" s="141"/>
      <x:c r="B279" t="str">
        <x:f>IF(OR(A279="",COUNTIF(Frozen_Predictions!$A$4:$A$303,A279)&lt;&gt;1),"",INDEX(Frozen_Predictions!$C$4:$C$303,MATCH(A279,Frozen_Predictions!$A$4:$A$303,0)))</x:f>
      </x:c>
      <x:c r="C279" t="str">
        <x:f>IF(OR(A279="",COUNTIF(Frozen_Predictions!$A$4:$A$303,A279)&lt;&gt;1),"",INDEX(Frozen_Predictions!$E$4:$E$303,MATCH(A279,Frozen_Predictions!$A$4:$A$303,0)))</x:f>
      </x:c>
      <x:c r="D279" t="str">
        <x:f>IF(OR(A279="",COUNTIF(Frozen_Predictions!$A$4:$A$303,A279)&lt;&gt;1),"",INDEX(Frozen_Predictions!$F$4:$F$303,MATCH(A279,Frozen_Predictions!$A$4:$A$303,0)))</x:f>
      </x:c>
      <x:c r="E279" t="str">
        <x:f>IF(OR(A279="",COUNTIF(Frozen_Predictions!$A$4:$A$303,A279)&lt;&gt;1),"",INDEX(Frozen_Predictions!$G$4:$G$303,MATCH(A279,Frozen_Predictions!$A$4:$A$303,0)))</x:f>
      </x:c>
      <x:c r="F279" t="str">
        <x:f>IF(OR(A279="",COUNTIF(Frozen_Predictions!$A$4:$A$303,A279)&lt;&gt;1),"",INDEX(Frozen_Predictions!$H$4:$H$303,MATCH(A279,Frozen_Predictions!$A$4:$A$303,0)))</x:f>
      </x:c>
      <x:c r="G279" t="str">
        <x:f>IF(OR(A279="",COUNTIF(Frozen_Predictions!$A$4:$A$303,A279)&lt;&gt;1),"",INDEX(Frozen_Predictions!$I$4:$I$303,MATCH(A279,Frozen_Predictions!$A$4:$A$303,0)))</x:f>
      </x:c>
      <x:c r="H279" t="str">
        <x:f>IF(OR(A279="",COUNTIF(Frozen_Predictions!$A$4:$A$303,A279)&lt;&gt;1),"",INDEX(Frozen_Predictions!$J$4:$J$303,MATCH(A279,Frozen_Predictions!$A$4:$A$303,0)))</x:f>
      </x:c>
      <x:c r="I279" t="str">
        <x:f>IF(OR(A279="",COUNTIF(Frozen_Predictions!$A$4:$A$303,A279)&lt;&gt;1),"",INDEX(Frozen_Predictions!$K$4:$K$303,MATCH(A279,Frozen_Predictions!$A$4:$A$303,0)))</x:f>
      </x:c>
      <x:c r="J279" s="142" t="str">
        <x:f>IF(OR(A279="",G279="",COUNT(K279:M279)&lt;3,COUNTIF($A$4:$A$303,A279)&lt;&gt;1),"",IF(IF(M279+F279&gt;0,"1",IF(M279+F279=0,"X","2"))=G279&amp;"",1,0))</x:f>
      </x:c>
      <x:c r="K279" s="143"/>
      <x:c r="L279" s="143"/>
      <x:c r="M279" s="142" t="str">
        <x:f>IF(AND(A279&lt;&gt;"",COUNT(K279:L279)=2),K279-L279,"")</x:f>
      </x:c>
      <x:c r="N279" s="142" t="str">
        <x:f>IF(J279="","",IF(M279+F279=0,"YES","NO"))</x:f>
      </x:c>
      <x:c r="O279" t="str">
        <x:f>IF(J279="","",IF(J279=1,"WIN",IF(N279="YES","Exact margin M="&amp;ABS(F279),"Direction / tail")))</x:f>
      </x:c>
      <x:c r="P279" s="141"/>
      <x:c r="Q279" s="141"/>
      <x:c r="R279" s="144" t="str">
        <x:f>IF(OR(I279="",J279=""),"",(I279-J279)^2)</x:f>
      </x:c>
      <x:c r="S279" s="144" t="str">
        <x:f>IF(OR(I279="",J279=""),"",-(J279*LN(MAX(MIN(I279,0.999999),0.000001))+(1-J279)*LN(MAX(MIN(1-I279,0.999999),0.000001))))</x:f>
      </x:c>
      <x:c r="T279" t="str">
        <x:f>IF(J279="","",INDEX(Frozen_Predictions!$M$4:$M$303,MATCH(A279,Frozen_Predictions!$A$4:$A$303,0)))</x:f>
      </x:c>
      <x:c r="U279" t="str">
        <x:f>IF(J279="","",INDEX(Frozen_Predictions!$W$4:$W$303,MATCH(A279,Frozen_Predictions!$A$4:$A$303,0)))</x:f>
      </x:c>
      <x:c r="V279" t="str">
        <x:f>IF(J279="","",INDEX(Frozen_Predictions!$X$4:$X$303,MATCH(A279,Frozen_Predictions!$A$4:$A$303,0)))</x:f>
      </x:c>
      <x:c r="W279" t="str">
        <x:f>IF(A279="","",IF(COUNTIF($A$4:$A$303,A279)&lt;&gt;1,"ID DUPLICAT",IF(COUNTIF(Frozen_Predictions!$A$4:$A$303,A279)&lt;&gt;1,"ID INEXISTENT SAU DUPLICAT ÎN FROZEN",IF(COUNT(K279:L279)&lt;2,"COMPLETEAZĂ SCORUL","VERIFICAT"))))</x:f>
      </x:c>
    </x:row>
    <x:row r="280">
      <x:c r="A280" s="141"/>
      <x:c r="B280" t="str">
        <x:f>IF(OR(A280="",COUNTIF(Frozen_Predictions!$A$4:$A$303,A280)&lt;&gt;1),"",INDEX(Frozen_Predictions!$C$4:$C$303,MATCH(A280,Frozen_Predictions!$A$4:$A$303,0)))</x:f>
      </x:c>
      <x:c r="C280" t="str">
        <x:f>IF(OR(A280="",COUNTIF(Frozen_Predictions!$A$4:$A$303,A280)&lt;&gt;1),"",INDEX(Frozen_Predictions!$E$4:$E$303,MATCH(A280,Frozen_Predictions!$A$4:$A$303,0)))</x:f>
      </x:c>
      <x:c r="D280" t="str">
        <x:f>IF(OR(A280="",COUNTIF(Frozen_Predictions!$A$4:$A$303,A280)&lt;&gt;1),"",INDEX(Frozen_Predictions!$F$4:$F$303,MATCH(A280,Frozen_Predictions!$A$4:$A$303,0)))</x:f>
      </x:c>
      <x:c r="E280" t="str">
        <x:f>IF(OR(A280="",COUNTIF(Frozen_Predictions!$A$4:$A$303,A280)&lt;&gt;1),"",INDEX(Frozen_Predictions!$G$4:$G$303,MATCH(A280,Frozen_Predictions!$A$4:$A$303,0)))</x:f>
      </x:c>
      <x:c r="F280" t="str">
        <x:f>IF(OR(A280="",COUNTIF(Frozen_Predictions!$A$4:$A$303,A280)&lt;&gt;1),"",INDEX(Frozen_Predictions!$H$4:$H$303,MATCH(A280,Frozen_Predictions!$A$4:$A$303,0)))</x:f>
      </x:c>
      <x:c r="G280" t="str">
        <x:f>IF(OR(A280="",COUNTIF(Frozen_Predictions!$A$4:$A$303,A280)&lt;&gt;1),"",INDEX(Frozen_Predictions!$I$4:$I$303,MATCH(A280,Frozen_Predictions!$A$4:$A$303,0)))</x:f>
      </x:c>
      <x:c r="H280" t="str">
        <x:f>IF(OR(A280="",COUNTIF(Frozen_Predictions!$A$4:$A$303,A280)&lt;&gt;1),"",INDEX(Frozen_Predictions!$J$4:$J$303,MATCH(A280,Frozen_Predictions!$A$4:$A$303,0)))</x:f>
      </x:c>
      <x:c r="I280" t="str">
        <x:f>IF(OR(A280="",COUNTIF(Frozen_Predictions!$A$4:$A$303,A280)&lt;&gt;1),"",INDEX(Frozen_Predictions!$K$4:$K$303,MATCH(A280,Frozen_Predictions!$A$4:$A$303,0)))</x:f>
      </x:c>
      <x:c r="J280" s="142" t="str">
        <x:f>IF(OR(A280="",G280="",COUNT(K280:M280)&lt;3,COUNTIF($A$4:$A$303,A280)&lt;&gt;1),"",IF(IF(M280+F280&gt;0,"1",IF(M280+F280=0,"X","2"))=G280&amp;"",1,0))</x:f>
      </x:c>
      <x:c r="K280" s="143"/>
      <x:c r="L280" s="143"/>
      <x:c r="M280" s="142" t="str">
        <x:f>IF(AND(A280&lt;&gt;"",COUNT(K280:L280)=2),K280-L280,"")</x:f>
      </x:c>
      <x:c r="N280" s="142" t="str">
        <x:f>IF(J280="","",IF(M280+F280=0,"YES","NO"))</x:f>
      </x:c>
      <x:c r="O280" t="str">
        <x:f>IF(J280="","",IF(J280=1,"WIN",IF(N280="YES","Exact margin M="&amp;ABS(F280),"Direction / tail")))</x:f>
      </x:c>
      <x:c r="P280" s="141"/>
      <x:c r="Q280" s="141"/>
      <x:c r="R280" s="144" t="str">
        <x:f>IF(OR(I280="",J280=""),"",(I280-J280)^2)</x:f>
      </x:c>
      <x:c r="S280" s="144" t="str">
        <x:f>IF(OR(I280="",J280=""),"",-(J280*LN(MAX(MIN(I280,0.999999),0.000001))+(1-J280)*LN(MAX(MIN(1-I280,0.999999),0.000001))))</x:f>
      </x:c>
      <x:c r="T280" t="str">
        <x:f>IF(J280="","",INDEX(Frozen_Predictions!$M$4:$M$303,MATCH(A280,Frozen_Predictions!$A$4:$A$303,0)))</x:f>
      </x:c>
      <x:c r="U280" t="str">
        <x:f>IF(J280="","",INDEX(Frozen_Predictions!$W$4:$W$303,MATCH(A280,Frozen_Predictions!$A$4:$A$303,0)))</x:f>
      </x:c>
      <x:c r="V280" t="str">
        <x:f>IF(J280="","",INDEX(Frozen_Predictions!$X$4:$X$303,MATCH(A280,Frozen_Predictions!$A$4:$A$303,0)))</x:f>
      </x:c>
      <x:c r="W280" t="str">
        <x:f>IF(A280="","",IF(COUNTIF($A$4:$A$303,A280)&lt;&gt;1,"ID DUPLICAT",IF(COUNTIF(Frozen_Predictions!$A$4:$A$303,A280)&lt;&gt;1,"ID INEXISTENT SAU DUPLICAT ÎN FROZEN",IF(COUNT(K280:L280)&lt;2,"COMPLETEAZĂ SCORUL","VERIFICAT"))))</x:f>
      </x:c>
    </x:row>
    <x:row r="281">
      <x:c r="A281" s="141"/>
      <x:c r="B281" t="str">
        <x:f>IF(OR(A281="",COUNTIF(Frozen_Predictions!$A$4:$A$303,A281)&lt;&gt;1),"",INDEX(Frozen_Predictions!$C$4:$C$303,MATCH(A281,Frozen_Predictions!$A$4:$A$303,0)))</x:f>
      </x:c>
      <x:c r="C281" t="str">
        <x:f>IF(OR(A281="",COUNTIF(Frozen_Predictions!$A$4:$A$303,A281)&lt;&gt;1),"",INDEX(Frozen_Predictions!$E$4:$E$303,MATCH(A281,Frozen_Predictions!$A$4:$A$303,0)))</x:f>
      </x:c>
      <x:c r="D281" t="str">
        <x:f>IF(OR(A281="",COUNTIF(Frozen_Predictions!$A$4:$A$303,A281)&lt;&gt;1),"",INDEX(Frozen_Predictions!$F$4:$F$303,MATCH(A281,Frozen_Predictions!$A$4:$A$303,0)))</x:f>
      </x:c>
      <x:c r="E281" t="str">
        <x:f>IF(OR(A281="",COUNTIF(Frozen_Predictions!$A$4:$A$303,A281)&lt;&gt;1),"",INDEX(Frozen_Predictions!$G$4:$G$303,MATCH(A281,Frozen_Predictions!$A$4:$A$303,0)))</x:f>
      </x:c>
      <x:c r="F281" t="str">
        <x:f>IF(OR(A281="",COUNTIF(Frozen_Predictions!$A$4:$A$303,A281)&lt;&gt;1),"",INDEX(Frozen_Predictions!$H$4:$H$303,MATCH(A281,Frozen_Predictions!$A$4:$A$303,0)))</x:f>
      </x:c>
      <x:c r="G281" t="str">
        <x:f>IF(OR(A281="",COUNTIF(Frozen_Predictions!$A$4:$A$303,A281)&lt;&gt;1),"",INDEX(Frozen_Predictions!$I$4:$I$303,MATCH(A281,Frozen_Predictions!$A$4:$A$303,0)))</x:f>
      </x:c>
      <x:c r="H281" t="str">
        <x:f>IF(OR(A281="",COUNTIF(Frozen_Predictions!$A$4:$A$303,A281)&lt;&gt;1),"",INDEX(Frozen_Predictions!$J$4:$J$303,MATCH(A281,Frozen_Predictions!$A$4:$A$303,0)))</x:f>
      </x:c>
      <x:c r="I281" t="str">
        <x:f>IF(OR(A281="",COUNTIF(Frozen_Predictions!$A$4:$A$303,A281)&lt;&gt;1),"",INDEX(Frozen_Predictions!$K$4:$K$303,MATCH(A281,Frozen_Predictions!$A$4:$A$303,0)))</x:f>
      </x:c>
      <x:c r="J281" s="142" t="str">
        <x:f>IF(OR(A281="",G281="",COUNT(K281:M281)&lt;3,COUNTIF($A$4:$A$303,A281)&lt;&gt;1),"",IF(IF(M281+F281&gt;0,"1",IF(M281+F281=0,"X","2"))=G281&amp;"",1,0))</x:f>
      </x:c>
      <x:c r="K281" s="143"/>
      <x:c r="L281" s="143"/>
      <x:c r="M281" s="142" t="str">
        <x:f>IF(AND(A281&lt;&gt;"",COUNT(K281:L281)=2),K281-L281,"")</x:f>
      </x:c>
      <x:c r="N281" s="142" t="str">
        <x:f>IF(J281="","",IF(M281+F281=0,"YES","NO"))</x:f>
      </x:c>
      <x:c r="O281" t="str">
        <x:f>IF(J281="","",IF(J281=1,"WIN",IF(N281="YES","Exact margin M="&amp;ABS(F281),"Direction / tail")))</x:f>
      </x:c>
      <x:c r="P281" s="141"/>
      <x:c r="Q281" s="141"/>
      <x:c r="R281" s="144" t="str">
        <x:f>IF(OR(I281="",J281=""),"",(I281-J281)^2)</x:f>
      </x:c>
      <x:c r="S281" s="144" t="str">
        <x:f>IF(OR(I281="",J281=""),"",-(J281*LN(MAX(MIN(I281,0.999999),0.000001))+(1-J281)*LN(MAX(MIN(1-I281,0.999999),0.000001))))</x:f>
      </x:c>
      <x:c r="T281" t="str">
        <x:f>IF(J281="","",INDEX(Frozen_Predictions!$M$4:$M$303,MATCH(A281,Frozen_Predictions!$A$4:$A$303,0)))</x:f>
      </x:c>
      <x:c r="U281" t="str">
        <x:f>IF(J281="","",INDEX(Frozen_Predictions!$W$4:$W$303,MATCH(A281,Frozen_Predictions!$A$4:$A$303,0)))</x:f>
      </x:c>
      <x:c r="V281" t="str">
        <x:f>IF(J281="","",INDEX(Frozen_Predictions!$X$4:$X$303,MATCH(A281,Frozen_Predictions!$A$4:$A$303,0)))</x:f>
      </x:c>
      <x:c r="W281" t="str">
        <x:f>IF(A281="","",IF(COUNTIF($A$4:$A$303,A281)&lt;&gt;1,"ID DUPLICAT",IF(COUNTIF(Frozen_Predictions!$A$4:$A$303,A281)&lt;&gt;1,"ID INEXISTENT SAU DUPLICAT ÎN FROZEN",IF(COUNT(K281:L281)&lt;2,"COMPLETEAZĂ SCORUL","VERIFICAT"))))</x:f>
      </x:c>
    </x:row>
    <x:row r="282">
      <x:c r="A282" s="141"/>
      <x:c r="B282" t="str">
        <x:f>IF(OR(A282="",COUNTIF(Frozen_Predictions!$A$4:$A$303,A282)&lt;&gt;1),"",INDEX(Frozen_Predictions!$C$4:$C$303,MATCH(A282,Frozen_Predictions!$A$4:$A$303,0)))</x:f>
      </x:c>
      <x:c r="C282" t="str">
        <x:f>IF(OR(A282="",COUNTIF(Frozen_Predictions!$A$4:$A$303,A282)&lt;&gt;1),"",INDEX(Frozen_Predictions!$E$4:$E$303,MATCH(A282,Frozen_Predictions!$A$4:$A$303,0)))</x:f>
      </x:c>
      <x:c r="D282" t="str">
        <x:f>IF(OR(A282="",COUNTIF(Frozen_Predictions!$A$4:$A$303,A282)&lt;&gt;1),"",INDEX(Frozen_Predictions!$F$4:$F$303,MATCH(A282,Frozen_Predictions!$A$4:$A$303,0)))</x:f>
      </x:c>
      <x:c r="E282" t="str">
        <x:f>IF(OR(A282="",COUNTIF(Frozen_Predictions!$A$4:$A$303,A282)&lt;&gt;1),"",INDEX(Frozen_Predictions!$G$4:$G$303,MATCH(A282,Frozen_Predictions!$A$4:$A$303,0)))</x:f>
      </x:c>
      <x:c r="F282" t="str">
        <x:f>IF(OR(A282="",COUNTIF(Frozen_Predictions!$A$4:$A$303,A282)&lt;&gt;1),"",INDEX(Frozen_Predictions!$H$4:$H$303,MATCH(A282,Frozen_Predictions!$A$4:$A$303,0)))</x:f>
      </x:c>
      <x:c r="G282" t="str">
        <x:f>IF(OR(A282="",COUNTIF(Frozen_Predictions!$A$4:$A$303,A282)&lt;&gt;1),"",INDEX(Frozen_Predictions!$I$4:$I$303,MATCH(A282,Frozen_Predictions!$A$4:$A$303,0)))</x:f>
      </x:c>
      <x:c r="H282" t="str">
        <x:f>IF(OR(A282="",COUNTIF(Frozen_Predictions!$A$4:$A$303,A282)&lt;&gt;1),"",INDEX(Frozen_Predictions!$J$4:$J$303,MATCH(A282,Frozen_Predictions!$A$4:$A$303,0)))</x:f>
      </x:c>
      <x:c r="I282" t="str">
        <x:f>IF(OR(A282="",COUNTIF(Frozen_Predictions!$A$4:$A$303,A282)&lt;&gt;1),"",INDEX(Frozen_Predictions!$K$4:$K$303,MATCH(A282,Frozen_Predictions!$A$4:$A$303,0)))</x:f>
      </x:c>
      <x:c r="J282" s="142" t="str">
        <x:f>IF(OR(A282="",G282="",COUNT(K282:M282)&lt;3,COUNTIF($A$4:$A$303,A282)&lt;&gt;1),"",IF(IF(M282+F282&gt;0,"1",IF(M282+F282=0,"X","2"))=G282&amp;"",1,0))</x:f>
      </x:c>
      <x:c r="K282" s="143"/>
      <x:c r="L282" s="143"/>
      <x:c r="M282" s="142" t="str">
        <x:f>IF(AND(A282&lt;&gt;"",COUNT(K282:L282)=2),K282-L282,"")</x:f>
      </x:c>
      <x:c r="N282" s="142" t="str">
        <x:f>IF(J282="","",IF(M282+F282=0,"YES","NO"))</x:f>
      </x:c>
      <x:c r="O282" t="str">
        <x:f>IF(J282="","",IF(J282=1,"WIN",IF(N282="YES","Exact margin M="&amp;ABS(F282),"Direction / tail")))</x:f>
      </x:c>
      <x:c r="P282" s="141"/>
      <x:c r="Q282" s="141"/>
      <x:c r="R282" s="144" t="str">
        <x:f>IF(OR(I282="",J282=""),"",(I282-J282)^2)</x:f>
      </x:c>
      <x:c r="S282" s="144" t="str">
        <x:f>IF(OR(I282="",J282=""),"",-(J282*LN(MAX(MIN(I282,0.999999),0.000001))+(1-J282)*LN(MAX(MIN(1-I282,0.999999),0.000001))))</x:f>
      </x:c>
      <x:c r="T282" t="str">
        <x:f>IF(J282="","",INDEX(Frozen_Predictions!$M$4:$M$303,MATCH(A282,Frozen_Predictions!$A$4:$A$303,0)))</x:f>
      </x:c>
      <x:c r="U282" t="str">
        <x:f>IF(J282="","",INDEX(Frozen_Predictions!$W$4:$W$303,MATCH(A282,Frozen_Predictions!$A$4:$A$303,0)))</x:f>
      </x:c>
      <x:c r="V282" t="str">
        <x:f>IF(J282="","",INDEX(Frozen_Predictions!$X$4:$X$303,MATCH(A282,Frozen_Predictions!$A$4:$A$303,0)))</x:f>
      </x:c>
      <x:c r="W282" t="str">
        <x:f>IF(A282="","",IF(COUNTIF($A$4:$A$303,A282)&lt;&gt;1,"ID DUPLICAT",IF(COUNTIF(Frozen_Predictions!$A$4:$A$303,A282)&lt;&gt;1,"ID INEXISTENT SAU DUPLICAT ÎN FROZEN",IF(COUNT(K282:L282)&lt;2,"COMPLETEAZĂ SCORUL","VERIFICAT"))))</x:f>
      </x:c>
    </x:row>
    <x:row r="283">
      <x:c r="A283" s="141"/>
      <x:c r="B283" t="str">
        <x:f>IF(OR(A283="",COUNTIF(Frozen_Predictions!$A$4:$A$303,A283)&lt;&gt;1),"",INDEX(Frozen_Predictions!$C$4:$C$303,MATCH(A283,Frozen_Predictions!$A$4:$A$303,0)))</x:f>
      </x:c>
      <x:c r="C283" t="str">
        <x:f>IF(OR(A283="",COUNTIF(Frozen_Predictions!$A$4:$A$303,A283)&lt;&gt;1),"",INDEX(Frozen_Predictions!$E$4:$E$303,MATCH(A283,Frozen_Predictions!$A$4:$A$303,0)))</x:f>
      </x:c>
      <x:c r="D283" t="str">
        <x:f>IF(OR(A283="",COUNTIF(Frozen_Predictions!$A$4:$A$303,A283)&lt;&gt;1),"",INDEX(Frozen_Predictions!$F$4:$F$303,MATCH(A283,Frozen_Predictions!$A$4:$A$303,0)))</x:f>
      </x:c>
      <x:c r="E283" t="str">
        <x:f>IF(OR(A283="",COUNTIF(Frozen_Predictions!$A$4:$A$303,A283)&lt;&gt;1),"",INDEX(Frozen_Predictions!$G$4:$G$303,MATCH(A283,Frozen_Predictions!$A$4:$A$303,0)))</x:f>
      </x:c>
      <x:c r="F283" t="str">
        <x:f>IF(OR(A283="",COUNTIF(Frozen_Predictions!$A$4:$A$303,A283)&lt;&gt;1),"",INDEX(Frozen_Predictions!$H$4:$H$303,MATCH(A283,Frozen_Predictions!$A$4:$A$303,0)))</x:f>
      </x:c>
      <x:c r="G283" t="str">
        <x:f>IF(OR(A283="",COUNTIF(Frozen_Predictions!$A$4:$A$303,A283)&lt;&gt;1),"",INDEX(Frozen_Predictions!$I$4:$I$303,MATCH(A283,Frozen_Predictions!$A$4:$A$303,0)))</x:f>
      </x:c>
      <x:c r="H283" t="str">
        <x:f>IF(OR(A283="",COUNTIF(Frozen_Predictions!$A$4:$A$303,A283)&lt;&gt;1),"",INDEX(Frozen_Predictions!$J$4:$J$303,MATCH(A283,Frozen_Predictions!$A$4:$A$303,0)))</x:f>
      </x:c>
      <x:c r="I283" t="str">
        <x:f>IF(OR(A283="",COUNTIF(Frozen_Predictions!$A$4:$A$303,A283)&lt;&gt;1),"",INDEX(Frozen_Predictions!$K$4:$K$303,MATCH(A283,Frozen_Predictions!$A$4:$A$303,0)))</x:f>
      </x:c>
      <x:c r="J283" s="142" t="str">
        <x:f>IF(OR(A283="",G283="",COUNT(K283:M283)&lt;3,COUNTIF($A$4:$A$303,A283)&lt;&gt;1),"",IF(IF(M283+F283&gt;0,"1",IF(M283+F283=0,"X","2"))=G283&amp;"",1,0))</x:f>
      </x:c>
      <x:c r="K283" s="143"/>
      <x:c r="L283" s="143"/>
      <x:c r="M283" s="142" t="str">
        <x:f>IF(AND(A283&lt;&gt;"",COUNT(K283:L283)=2),K283-L283,"")</x:f>
      </x:c>
      <x:c r="N283" s="142" t="str">
        <x:f>IF(J283="","",IF(M283+F283=0,"YES","NO"))</x:f>
      </x:c>
      <x:c r="O283" t="str">
        <x:f>IF(J283="","",IF(J283=1,"WIN",IF(N283="YES","Exact margin M="&amp;ABS(F283),"Direction / tail")))</x:f>
      </x:c>
      <x:c r="P283" s="141"/>
      <x:c r="Q283" s="141"/>
      <x:c r="R283" s="144" t="str">
        <x:f>IF(OR(I283="",J283=""),"",(I283-J283)^2)</x:f>
      </x:c>
      <x:c r="S283" s="144" t="str">
        <x:f>IF(OR(I283="",J283=""),"",-(J283*LN(MAX(MIN(I283,0.999999),0.000001))+(1-J283)*LN(MAX(MIN(1-I283,0.999999),0.000001))))</x:f>
      </x:c>
      <x:c r="T283" t="str">
        <x:f>IF(J283="","",INDEX(Frozen_Predictions!$M$4:$M$303,MATCH(A283,Frozen_Predictions!$A$4:$A$303,0)))</x:f>
      </x:c>
      <x:c r="U283" t="str">
        <x:f>IF(J283="","",INDEX(Frozen_Predictions!$W$4:$W$303,MATCH(A283,Frozen_Predictions!$A$4:$A$303,0)))</x:f>
      </x:c>
      <x:c r="V283" t="str">
        <x:f>IF(J283="","",INDEX(Frozen_Predictions!$X$4:$X$303,MATCH(A283,Frozen_Predictions!$A$4:$A$303,0)))</x:f>
      </x:c>
      <x:c r="W283" t="str">
        <x:f>IF(A283="","",IF(COUNTIF($A$4:$A$303,A283)&lt;&gt;1,"ID DUPLICAT",IF(COUNTIF(Frozen_Predictions!$A$4:$A$303,A283)&lt;&gt;1,"ID INEXISTENT SAU DUPLICAT ÎN FROZEN",IF(COUNT(K283:L283)&lt;2,"COMPLETEAZĂ SCORUL","VERIFICAT"))))</x:f>
      </x:c>
    </x:row>
    <x:row r="284">
      <x:c r="A284" s="141"/>
      <x:c r="B284" t="str">
        <x:f>IF(OR(A284="",COUNTIF(Frozen_Predictions!$A$4:$A$303,A284)&lt;&gt;1),"",INDEX(Frozen_Predictions!$C$4:$C$303,MATCH(A284,Frozen_Predictions!$A$4:$A$303,0)))</x:f>
      </x:c>
      <x:c r="C284" t="str">
        <x:f>IF(OR(A284="",COUNTIF(Frozen_Predictions!$A$4:$A$303,A284)&lt;&gt;1),"",INDEX(Frozen_Predictions!$E$4:$E$303,MATCH(A284,Frozen_Predictions!$A$4:$A$303,0)))</x:f>
      </x:c>
      <x:c r="D284" t="str">
        <x:f>IF(OR(A284="",COUNTIF(Frozen_Predictions!$A$4:$A$303,A284)&lt;&gt;1),"",INDEX(Frozen_Predictions!$F$4:$F$303,MATCH(A284,Frozen_Predictions!$A$4:$A$303,0)))</x:f>
      </x:c>
      <x:c r="E284" t="str">
        <x:f>IF(OR(A284="",COUNTIF(Frozen_Predictions!$A$4:$A$303,A284)&lt;&gt;1),"",INDEX(Frozen_Predictions!$G$4:$G$303,MATCH(A284,Frozen_Predictions!$A$4:$A$303,0)))</x:f>
      </x:c>
      <x:c r="F284" t="str">
        <x:f>IF(OR(A284="",COUNTIF(Frozen_Predictions!$A$4:$A$303,A284)&lt;&gt;1),"",INDEX(Frozen_Predictions!$H$4:$H$303,MATCH(A284,Frozen_Predictions!$A$4:$A$303,0)))</x:f>
      </x:c>
      <x:c r="G284" t="str">
        <x:f>IF(OR(A284="",COUNTIF(Frozen_Predictions!$A$4:$A$303,A284)&lt;&gt;1),"",INDEX(Frozen_Predictions!$I$4:$I$303,MATCH(A284,Frozen_Predictions!$A$4:$A$303,0)))</x:f>
      </x:c>
      <x:c r="H284" t="str">
        <x:f>IF(OR(A284="",COUNTIF(Frozen_Predictions!$A$4:$A$303,A284)&lt;&gt;1),"",INDEX(Frozen_Predictions!$J$4:$J$303,MATCH(A284,Frozen_Predictions!$A$4:$A$303,0)))</x:f>
      </x:c>
      <x:c r="I284" t="str">
        <x:f>IF(OR(A284="",COUNTIF(Frozen_Predictions!$A$4:$A$303,A284)&lt;&gt;1),"",INDEX(Frozen_Predictions!$K$4:$K$303,MATCH(A284,Frozen_Predictions!$A$4:$A$303,0)))</x:f>
      </x:c>
      <x:c r="J284" s="142" t="str">
        <x:f>IF(OR(A284="",G284="",COUNT(K284:M284)&lt;3,COUNTIF($A$4:$A$303,A284)&lt;&gt;1),"",IF(IF(M284+F284&gt;0,"1",IF(M284+F284=0,"X","2"))=G284&amp;"",1,0))</x:f>
      </x:c>
      <x:c r="K284" s="143"/>
      <x:c r="L284" s="143"/>
      <x:c r="M284" s="142" t="str">
        <x:f>IF(AND(A284&lt;&gt;"",COUNT(K284:L284)=2),K284-L284,"")</x:f>
      </x:c>
      <x:c r="N284" s="142" t="str">
        <x:f>IF(J284="","",IF(M284+F284=0,"YES","NO"))</x:f>
      </x:c>
      <x:c r="O284" t="str">
        <x:f>IF(J284="","",IF(J284=1,"WIN",IF(N284="YES","Exact margin M="&amp;ABS(F284),"Direction / tail")))</x:f>
      </x:c>
      <x:c r="P284" s="141"/>
      <x:c r="Q284" s="141"/>
      <x:c r="R284" s="144" t="str">
        <x:f>IF(OR(I284="",J284=""),"",(I284-J284)^2)</x:f>
      </x:c>
      <x:c r="S284" s="144" t="str">
        <x:f>IF(OR(I284="",J284=""),"",-(J284*LN(MAX(MIN(I284,0.999999),0.000001))+(1-J284)*LN(MAX(MIN(1-I284,0.999999),0.000001))))</x:f>
      </x:c>
      <x:c r="T284" t="str">
        <x:f>IF(J284="","",INDEX(Frozen_Predictions!$M$4:$M$303,MATCH(A284,Frozen_Predictions!$A$4:$A$303,0)))</x:f>
      </x:c>
      <x:c r="U284" t="str">
        <x:f>IF(J284="","",INDEX(Frozen_Predictions!$W$4:$W$303,MATCH(A284,Frozen_Predictions!$A$4:$A$303,0)))</x:f>
      </x:c>
      <x:c r="V284" t="str">
        <x:f>IF(J284="","",INDEX(Frozen_Predictions!$X$4:$X$303,MATCH(A284,Frozen_Predictions!$A$4:$A$303,0)))</x:f>
      </x:c>
      <x:c r="W284" t="str">
        <x:f>IF(A284="","",IF(COUNTIF($A$4:$A$303,A284)&lt;&gt;1,"ID DUPLICAT",IF(COUNTIF(Frozen_Predictions!$A$4:$A$303,A284)&lt;&gt;1,"ID INEXISTENT SAU DUPLICAT ÎN FROZEN",IF(COUNT(K284:L284)&lt;2,"COMPLETEAZĂ SCORUL","VERIFICAT"))))</x:f>
      </x:c>
    </x:row>
    <x:row r="285">
      <x:c r="A285" s="141"/>
      <x:c r="B285" t="str">
        <x:f>IF(OR(A285="",COUNTIF(Frozen_Predictions!$A$4:$A$303,A285)&lt;&gt;1),"",INDEX(Frozen_Predictions!$C$4:$C$303,MATCH(A285,Frozen_Predictions!$A$4:$A$303,0)))</x:f>
      </x:c>
      <x:c r="C285" t="str">
        <x:f>IF(OR(A285="",COUNTIF(Frozen_Predictions!$A$4:$A$303,A285)&lt;&gt;1),"",INDEX(Frozen_Predictions!$E$4:$E$303,MATCH(A285,Frozen_Predictions!$A$4:$A$303,0)))</x:f>
      </x:c>
      <x:c r="D285" t="str">
        <x:f>IF(OR(A285="",COUNTIF(Frozen_Predictions!$A$4:$A$303,A285)&lt;&gt;1),"",INDEX(Frozen_Predictions!$F$4:$F$303,MATCH(A285,Frozen_Predictions!$A$4:$A$303,0)))</x:f>
      </x:c>
      <x:c r="E285" t="str">
        <x:f>IF(OR(A285="",COUNTIF(Frozen_Predictions!$A$4:$A$303,A285)&lt;&gt;1),"",INDEX(Frozen_Predictions!$G$4:$G$303,MATCH(A285,Frozen_Predictions!$A$4:$A$303,0)))</x:f>
      </x:c>
      <x:c r="F285" t="str">
        <x:f>IF(OR(A285="",COUNTIF(Frozen_Predictions!$A$4:$A$303,A285)&lt;&gt;1),"",INDEX(Frozen_Predictions!$H$4:$H$303,MATCH(A285,Frozen_Predictions!$A$4:$A$303,0)))</x:f>
      </x:c>
      <x:c r="G285" t="str">
        <x:f>IF(OR(A285="",COUNTIF(Frozen_Predictions!$A$4:$A$303,A285)&lt;&gt;1),"",INDEX(Frozen_Predictions!$I$4:$I$303,MATCH(A285,Frozen_Predictions!$A$4:$A$303,0)))</x:f>
      </x:c>
      <x:c r="H285" t="str">
        <x:f>IF(OR(A285="",COUNTIF(Frozen_Predictions!$A$4:$A$303,A285)&lt;&gt;1),"",INDEX(Frozen_Predictions!$J$4:$J$303,MATCH(A285,Frozen_Predictions!$A$4:$A$303,0)))</x:f>
      </x:c>
      <x:c r="I285" t="str">
        <x:f>IF(OR(A285="",COUNTIF(Frozen_Predictions!$A$4:$A$303,A285)&lt;&gt;1),"",INDEX(Frozen_Predictions!$K$4:$K$303,MATCH(A285,Frozen_Predictions!$A$4:$A$303,0)))</x:f>
      </x:c>
      <x:c r="J285" s="142" t="str">
        <x:f>IF(OR(A285="",G285="",COUNT(K285:M285)&lt;3,COUNTIF($A$4:$A$303,A285)&lt;&gt;1),"",IF(IF(M285+F285&gt;0,"1",IF(M285+F285=0,"X","2"))=G285&amp;"",1,0))</x:f>
      </x:c>
      <x:c r="K285" s="143"/>
      <x:c r="L285" s="143"/>
      <x:c r="M285" s="142" t="str">
        <x:f>IF(AND(A285&lt;&gt;"",COUNT(K285:L285)=2),K285-L285,"")</x:f>
      </x:c>
      <x:c r="N285" s="142" t="str">
        <x:f>IF(J285="","",IF(M285+F285=0,"YES","NO"))</x:f>
      </x:c>
      <x:c r="O285" t="str">
        <x:f>IF(J285="","",IF(J285=1,"WIN",IF(N285="YES","Exact margin M="&amp;ABS(F285),"Direction / tail")))</x:f>
      </x:c>
      <x:c r="P285" s="141"/>
      <x:c r="Q285" s="141"/>
      <x:c r="R285" s="144" t="str">
        <x:f>IF(OR(I285="",J285=""),"",(I285-J285)^2)</x:f>
      </x:c>
      <x:c r="S285" s="144" t="str">
        <x:f>IF(OR(I285="",J285=""),"",-(J285*LN(MAX(MIN(I285,0.999999),0.000001))+(1-J285)*LN(MAX(MIN(1-I285,0.999999),0.000001))))</x:f>
      </x:c>
      <x:c r="T285" t="str">
        <x:f>IF(J285="","",INDEX(Frozen_Predictions!$M$4:$M$303,MATCH(A285,Frozen_Predictions!$A$4:$A$303,0)))</x:f>
      </x:c>
      <x:c r="U285" t="str">
        <x:f>IF(J285="","",INDEX(Frozen_Predictions!$W$4:$W$303,MATCH(A285,Frozen_Predictions!$A$4:$A$303,0)))</x:f>
      </x:c>
      <x:c r="V285" t="str">
        <x:f>IF(J285="","",INDEX(Frozen_Predictions!$X$4:$X$303,MATCH(A285,Frozen_Predictions!$A$4:$A$303,0)))</x:f>
      </x:c>
      <x:c r="W285" t="str">
        <x:f>IF(A285="","",IF(COUNTIF($A$4:$A$303,A285)&lt;&gt;1,"ID DUPLICAT",IF(COUNTIF(Frozen_Predictions!$A$4:$A$303,A285)&lt;&gt;1,"ID INEXISTENT SAU DUPLICAT ÎN FROZEN",IF(COUNT(K285:L285)&lt;2,"COMPLETEAZĂ SCORUL","VERIFICAT"))))</x:f>
      </x:c>
    </x:row>
    <x:row r="286">
      <x:c r="A286" s="141"/>
      <x:c r="B286" t="str">
        <x:f>IF(OR(A286="",COUNTIF(Frozen_Predictions!$A$4:$A$303,A286)&lt;&gt;1),"",INDEX(Frozen_Predictions!$C$4:$C$303,MATCH(A286,Frozen_Predictions!$A$4:$A$303,0)))</x:f>
      </x:c>
      <x:c r="C286" t="str">
        <x:f>IF(OR(A286="",COUNTIF(Frozen_Predictions!$A$4:$A$303,A286)&lt;&gt;1),"",INDEX(Frozen_Predictions!$E$4:$E$303,MATCH(A286,Frozen_Predictions!$A$4:$A$303,0)))</x:f>
      </x:c>
      <x:c r="D286" t="str">
        <x:f>IF(OR(A286="",COUNTIF(Frozen_Predictions!$A$4:$A$303,A286)&lt;&gt;1),"",INDEX(Frozen_Predictions!$F$4:$F$303,MATCH(A286,Frozen_Predictions!$A$4:$A$303,0)))</x:f>
      </x:c>
      <x:c r="E286" t="str">
        <x:f>IF(OR(A286="",COUNTIF(Frozen_Predictions!$A$4:$A$303,A286)&lt;&gt;1),"",INDEX(Frozen_Predictions!$G$4:$G$303,MATCH(A286,Frozen_Predictions!$A$4:$A$303,0)))</x:f>
      </x:c>
      <x:c r="F286" t="str">
        <x:f>IF(OR(A286="",COUNTIF(Frozen_Predictions!$A$4:$A$303,A286)&lt;&gt;1),"",INDEX(Frozen_Predictions!$H$4:$H$303,MATCH(A286,Frozen_Predictions!$A$4:$A$303,0)))</x:f>
      </x:c>
      <x:c r="G286" t="str">
        <x:f>IF(OR(A286="",COUNTIF(Frozen_Predictions!$A$4:$A$303,A286)&lt;&gt;1),"",INDEX(Frozen_Predictions!$I$4:$I$303,MATCH(A286,Frozen_Predictions!$A$4:$A$303,0)))</x:f>
      </x:c>
      <x:c r="H286" t="str">
        <x:f>IF(OR(A286="",COUNTIF(Frozen_Predictions!$A$4:$A$303,A286)&lt;&gt;1),"",INDEX(Frozen_Predictions!$J$4:$J$303,MATCH(A286,Frozen_Predictions!$A$4:$A$303,0)))</x:f>
      </x:c>
      <x:c r="I286" t="str">
        <x:f>IF(OR(A286="",COUNTIF(Frozen_Predictions!$A$4:$A$303,A286)&lt;&gt;1),"",INDEX(Frozen_Predictions!$K$4:$K$303,MATCH(A286,Frozen_Predictions!$A$4:$A$303,0)))</x:f>
      </x:c>
      <x:c r="J286" s="142" t="str">
        <x:f>IF(OR(A286="",G286="",COUNT(K286:M286)&lt;3,COUNTIF($A$4:$A$303,A286)&lt;&gt;1),"",IF(IF(M286+F286&gt;0,"1",IF(M286+F286=0,"X","2"))=G286&amp;"",1,0))</x:f>
      </x:c>
      <x:c r="K286" s="143"/>
      <x:c r="L286" s="143"/>
      <x:c r="M286" s="142" t="str">
        <x:f>IF(AND(A286&lt;&gt;"",COUNT(K286:L286)=2),K286-L286,"")</x:f>
      </x:c>
      <x:c r="N286" s="142" t="str">
        <x:f>IF(J286="","",IF(M286+F286=0,"YES","NO"))</x:f>
      </x:c>
      <x:c r="O286" t="str">
        <x:f>IF(J286="","",IF(J286=1,"WIN",IF(N286="YES","Exact margin M="&amp;ABS(F286),"Direction / tail")))</x:f>
      </x:c>
      <x:c r="P286" s="141"/>
      <x:c r="Q286" s="141"/>
      <x:c r="R286" s="144" t="str">
        <x:f>IF(OR(I286="",J286=""),"",(I286-J286)^2)</x:f>
      </x:c>
      <x:c r="S286" s="144" t="str">
        <x:f>IF(OR(I286="",J286=""),"",-(J286*LN(MAX(MIN(I286,0.999999),0.000001))+(1-J286)*LN(MAX(MIN(1-I286,0.999999),0.000001))))</x:f>
      </x:c>
      <x:c r="T286" t="str">
        <x:f>IF(J286="","",INDEX(Frozen_Predictions!$M$4:$M$303,MATCH(A286,Frozen_Predictions!$A$4:$A$303,0)))</x:f>
      </x:c>
      <x:c r="U286" t="str">
        <x:f>IF(J286="","",INDEX(Frozen_Predictions!$W$4:$W$303,MATCH(A286,Frozen_Predictions!$A$4:$A$303,0)))</x:f>
      </x:c>
      <x:c r="V286" t="str">
        <x:f>IF(J286="","",INDEX(Frozen_Predictions!$X$4:$X$303,MATCH(A286,Frozen_Predictions!$A$4:$A$303,0)))</x:f>
      </x:c>
      <x:c r="W286" t="str">
        <x:f>IF(A286="","",IF(COUNTIF($A$4:$A$303,A286)&lt;&gt;1,"ID DUPLICAT",IF(COUNTIF(Frozen_Predictions!$A$4:$A$303,A286)&lt;&gt;1,"ID INEXISTENT SAU DUPLICAT ÎN FROZEN",IF(COUNT(K286:L286)&lt;2,"COMPLETEAZĂ SCORUL","VERIFICAT"))))</x:f>
      </x:c>
    </x:row>
    <x:row r="287">
      <x:c r="A287" s="141"/>
      <x:c r="B287" t="str">
        <x:f>IF(OR(A287="",COUNTIF(Frozen_Predictions!$A$4:$A$303,A287)&lt;&gt;1),"",INDEX(Frozen_Predictions!$C$4:$C$303,MATCH(A287,Frozen_Predictions!$A$4:$A$303,0)))</x:f>
      </x:c>
      <x:c r="C287" t="str">
        <x:f>IF(OR(A287="",COUNTIF(Frozen_Predictions!$A$4:$A$303,A287)&lt;&gt;1),"",INDEX(Frozen_Predictions!$E$4:$E$303,MATCH(A287,Frozen_Predictions!$A$4:$A$303,0)))</x:f>
      </x:c>
      <x:c r="D287" t="str">
        <x:f>IF(OR(A287="",COUNTIF(Frozen_Predictions!$A$4:$A$303,A287)&lt;&gt;1),"",INDEX(Frozen_Predictions!$F$4:$F$303,MATCH(A287,Frozen_Predictions!$A$4:$A$303,0)))</x:f>
      </x:c>
      <x:c r="E287" t="str">
        <x:f>IF(OR(A287="",COUNTIF(Frozen_Predictions!$A$4:$A$303,A287)&lt;&gt;1),"",INDEX(Frozen_Predictions!$G$4:$G$303,MATCH(A287,Frozen_Predictions!$A$4:$A$303,0)))</x:f>
      </x:c>
      <x:c r="F287" t="str">
        <x:f>IF(OR(A287="",COUNTIF(Frozen_Predictions!$A$4:$A$303,A287)&lt;&gt;1),"",INDEX(Frozen_Predictions!$H$4:$H$303,MATCH(A287,Frozen_Predictions!$A$4:$A$303,0)))</x:f>
      </x:c>
      <x:c r="G287" t="str">
        <x:f>IF(OR(A287="",COUNTIF(Frozen_Predictions!$A$4:$A$303,A287)&lt;&gt;1),"",INDEX(Frozen_Predictions!$I$4:$I$303,MATCH(A287,Frozen_Predictions!$A$4:$A$303,0)))</x:f>
      </x:c>
      <x:c r="H287" t="str">
        <x:f>IF(OR(A287="",COUNTIF(Frozen_Predictions!$A$4:$A$303,A287)&lt;&gt;1),"",INDEX(Frozen_Predictions!$J$4:$J$303,MATCH(A287,Frozen_Predictions!$A$4:$A$303,0)))</x:f>
      </x:c>
      <x:c r="I287" t="str">
        <x:f>IF(OR(A287="",COUNTIF(Frozen_Predictions!$A$4:$A$303,A287)&lt;&gt;1),"",INDEX(Frozen_Predictions!$K$4:$K$303,MATCH(A287,Frozen_Predictions!$A$4:$A$303,0)))</x:f>
      </x:c>
      <x:c r="J287" s="142" t="str">
        <x:f>IF(OR(A287="",G287="",COUNT(K287:M287)&lt;3,COUNTIF($A$4:$A$303,A287)&lt;&gt;1),"",IF(IF(M287+F287&gt;0,"1",IF(M287+F287=0,"X","2"))=G287&amp;"",1,0))</x:f>
      </x:c>
      <x:c r="K287" s="143"/>
      <x:c r="L287" s="143"/>
      <x:c r="M287" s="142" t="str">
        <x:f>IF(AND(A287&lt;&gt;"",COUNT(K287:L287)=2),K287-L287,"")</x:f>
      </x:c>
      <x:c r="N287" s="142" t="str">
        <x:f>IF(J287="","",IF(M287+F287=0,"YES","NO"))</x:f>
      </x:c>
      <x:c r="O287" t="str">
        <x:f>IF(J287="","",IF(J287=1,"WIN",IF(N287="YES","Exact margin M="&amp;ABS(F287),"Direction / tail")))</x:f>
      </x:c>
      <x:c r="P287" s="141"/>
      <x:c r="Q287" s="141"/>
      <x:c r="R287" s="144" t="str">
        <x:f>IF(OR(I287="",J287=""),"",(I287-J287)^2)</x:f>
      </x:c>
      <x:c r="S287" s="144" t="str">
        <x:f>IF(OR(I287="",J287=""),"",-(J287*LN(MAX(MIN(I287,0.999999),0.000001))+(1-J287)*LN(MAX(MIN(1-I287,0.999999),0.000001))))</x:f>
      </x:c>
      <x:c r="T287" t="str">
        <x:f>IF(J287="","",INDEX(Frozen_Predictions!$M$4:$M$303,MATCH(A287,Frozen_Predictions!$A$4:$A$303,0)))</x:f>
      </x:c>
      <x:c r="U287" t="str">
        <x:f>IF(J287="","",INDEX(Frozen_Predictions!$W$4:$W$303,MATCH(A287,Frozen_Predictions!$A$4:$A$303,0)))</x:f>
      </x:c>
      <x:c r="V287" t="str">
        <x:f>IF(J287="","",INDEX(Frozen_Predictions!$X$4:$X$303,MATCH(A287,Frozen_Predictions!$A$4:$A$303,0)))</x:f>
      </x:c>
      <x:c r="W287" t="str">
        <x:f>IF(A287="","",IF(COUNTIF($A$4:$A$303,A287)&lt;&gt;1,"ID DUPLICAT",IF(COUNTIF(Frozen_Predictions!$A$4:$A$303,A287)&lt;&gt;1,"ID INEXISTENT SAU DUPLICAT ÎN FROZEN",IF(COUNT(K287:L287)&lt;2,"COMPLETEAZĂ SCORUL","VERIFICAT"))))</x:f>
      </x:c>
    </x:row>
    <x:row r="288">
      <x:c r="A288" s="141"/>
      <x:c r="B288" t="str">
        <x:f>IF(OR(A288="",COUNTIF(Frozen_Predictions!$A$4:$A$303,A288)&lt;&gt;1),"",INDEX(Frozen_Predictions!$C$4:$C$303,MATCH(A288,Frozen_Predictions!$A$4:$A$303,0)))</x:f>
      </x:c>
      <x:c r="C288" t="str">
        <x:f>IF(OR(A288="",COUNTIF(Frozen_Predictions!$A$4:$A$303,A288)&lt;&gt;1),"",INDEX(Frozen_Predictions!$E$4:$E$303,MATCH(A288,Frozen_Predictions!$A$4:$A$303,0)))</x:f>
      </x:c>
      <x:c r="D288" t="str">
        <x:f>IF(OR(A288="",COUNTIF(Frozen_Predictions!$A$4:$A$303,A288)&lt;&gt;1),"",INDEX(Frozen_Predictions!$F$4:$F$303,MATCH(A288,Frozen_Predictions!$A$4:$A$303,0)))</x:f>
      </x:c>
      <x:c r="E288" t="str">
        <x:f>IF(OR(A288="",COUNTIF(Frozen_Predictions!$A$4:$A$303,A288)&lt;&gt;1),"",INDEX(Frozen_Predictions!$G$4:$G$303,MATCH(A288,Frozen_Predictions!$A$4:$A$303,0)))</x:f>
      </x:c>
      <x:c r="F288" t="str">
        <x:f>IF(OR(A288="",COUNTIF(Frozen_Predictions!$A$4:$A$303,A288)&lt;&gt;1),"",INDEX(Frozen_Predictions!$H$4:$H$303,MATCH(A288,Frozen_Predictions!$A$4:$A$303,0)))</x:f>
      </x:c>
      <x:c r="G288" t="str">
        <x:f>IF(OR(A288="",COUNTIF(Frozen_Predictions!$A$4:$A$303,A288)&lt;&gt;1),"",INDEX(Frozen_Predictions!$I$4:$I$303,MATCH(A288,Frozen_Predictions!$A$4:$A$303,0)))</x:f>
      </x:c>
      <x:c r="H288" t="str">
        <x:f>IF(OR(A288="",COUNTIF(Frozen_Predictions!$A$4:$A$303,A288)&lt;&gt;1),"",INDEX(Frozen_Predictions!$J$4:$J$303,MATCH(A288,Frozen_Predictions!$A$4:$A$303,0)))</x:f>
      </x:c>
      <x:c r="I288" t="str">
        <x:f>IF(OR(A288="",COUNTIF(Frozen_Predictions!$A$4:$A$303,A288)&lt;&gt;1),"",INDEX(Frozen_Predictions!$K$4:$K$303,MATCH(A288,Frozen_Predictions!$A$4:$A$303,0)))</x:f>
      </x:c>
      <x:c r="J288" s="142" t="str">
        <x:f>IF(OR(A288="",G288="",COUNT(K288:M288)&lt;3,COUNTIF($A$4:$A$303,A288)&lt;&gt;1),"",IF(IF(M288+F288&gt;0,"1",IF(M288+F288=0,"X","2"))=G288&amp;"",1,0))</x:f>
      </x:c>
      <x:c r="K288" s="143"/>
      <x:c r="L288" s="143"/>
      <x:c r="M288" s="142" t="str">
        <x:f>IF(AND(A288&lt;&gt;"",COUNT(K288:L288)=2),K288-L288,"")</x:f>
      </x:c>
      <x:c r="N288" s="142" t="str">
        <x:f>IF(J288="","",IF(M288+F288=0,"YES","NO"))</x:f>
      </x:c>
      <x:c r="O288" t="str">
        <x:f>IF(J288="","",IF(J288=1,"WIN",IF(N288="YES","Exact margin M="&amp;ABS(F288),"Direction / tail")))</x:f>
      </x:c>
      <x:c r="P288" s="141"/>
      <x:c r="Q288" s="141"/>
      <x:c r="R288" s="144" t="str">
        <x:f>IF(OR(I288="",J288=""),"",(I288-J288)^2)</x:f>
      </x:c>
      <x:c r="S288" s="144" t="str">
        <x:f>IF(OR(I288="",J288=""),"",-(J288*LN(MAX(MIN(I288,0.999999),0.000001))+(1-J288)*LN(MAX(MIN(1-I288,0.999999),0.000001))))</x:f>
      </x:c>
      <x:c r="T288" t="str">
        <x:f>IF(J288="","",INDEX(Frozen_Predictions!$M$4:$M$303,MATCH(A288,Frozen_Predictions!$A$4:$A$303,0)))</x:f>
      </x:c>
      <x:c r="U288" t="str">
        <x:f>IF(J288="","",INDEX(Frozen_Predictions!$W$4:$W$303,MATCH(A288,Frozen_Predictions!$A$4:$A$303,0)))</x:f>
      </x:c>
      <x:c r="V288" t="str">
        <x:f>IF(J288="","",INDEX(Frozen_Predictions!$X$4:$X$303,MATCH(A288,Frozen_Predictions!$A$4:$A$303,0)))</x:f>
      </x:c>
      <x:c r="W288" t="str">
        <x:f>IF(A288="","",IF(COUNTIF($A$4:$A$303,A288)&lt;&gt;1,"ID DUPLICAT",IF(COUNTIF(Frozen_Predictions!$A$4:$A$303,A288)&lt;&gt;1,"ID INEXISTENT SAU DUPLICAT ÎN FROZEN",IF(COUNT(K288:L288)&lt;2,"COMPLETEAZĂ SCORUL","VERIFICAT"))))</x:f>
      </x:c>
    </x:row>
    <x:row r="289">
      <x:c r="A289" s="141"/>
      <x:c r="B289" t="str">
        <x:f>IF(OR(A289="",COUNTIF(Frozen_Predictions!$A$4:$A$303,A289)&lt;&gt;1),"",INDEX(Frozen_Predictions!$C$4:$C$303,MATCH(A289,Frozen_Predictions!$A$4:$A$303,0)))</x:f>
      </x:c>
      <x:c r="C289" t="str">
        <x:f>IF(OR(A289="",COUNTIF(Frozen_Predictions!$A$4:$A$303,A289)&lt;&gt;1),"",INDEX(Frozen_Predictions!$E$4:$E$303,MATCH(A289,Frozen_Predictions!$A$4:$A$303,0)))</x:f>
      </x:c>
      <x:c r="D289" t="str">
        <x:f>IF(OR(A289="",COUNTIF(Frozen_Predictions!$A$4:$A$303,A289)&lt;&gt;1),"",INDEX(Frozen_Predictions!$F$4:$F$303,MATCH(A289,Frozen_Predictions!$A$4:$A$303,0)))</x:f>
      </x:c>
      <x:c r="E289" t="str">
        <x:f>IF(OR(A289="",COUNTIF(Frozen_Predictions!$A$4:$A$303,A289)&lt;&gt;1),"",INDEX(Frozen_Predictions!$G$4:$G$303,MATCH(A289,Frozen_Predictions!$A$4:$A$303,0)))</x:f>
      </x:c>
      <x:c r="F289" t="str">
        <x:f>IF(OR(A289="",COUNTIF(Frozen_Predictions!$A$4:$A$303,A289)&lt;&gt;1),"",INDEX(Frozen_Predictions!$H$4:$H$303,MATCH(A289,Frozen_Predictions!$A$4:$A$303,0)))</x:f>
      </x:c>
      <x:c r="G289" t="str">
        <x:f>IF(OR(A289="",COUNTIF(Frozen_Predictions!$A$4:$A$303,A289)&lt;&gt;1),"",INDEX(Frozen_Predictions!$I$4:$I$303,MATCH(A289,Frozen_Predictions!$A$4:$A$303,0)))</x:f>
      </x:c>
      <x:c r="H289" t="str">
        <x:f>IF(OR(A289="",COUNTIF(Frozen_Predictions!$A$4:$A$303,A289)&lt;&gt;1),"",INDEX(Frozen_Predictions!$J$4:$J$303,MATCH(A289,Frozen_Predictions!$A$4:$A$303,0)))</x:f>
      </x:c>
      <x:c r="I289" t="str">
        <x:f>IF(OR(A289="",COUNTIF(Frozen_Predictions!$A$4:$A$303,A289)&lt;&gt;1),"",INDEX(Frozen_Predictions!$K$4:$K$303,MATCH(A289,Frozen_Predictions!$A$4:$A$303,0)))</x:f>
      </x:c>
      <x:c r="J289" s="142" t="str">
        <x:f>IF(OR(A289="",G289="",COUNT(K289:M289)&lt;3,COUNTIF($A$4:$A$303,A289)&lt;&gt;1),"",IF(IF(M289+F289&gt;0,"1",IF(M289+F289=0,"X","2"))=G289&amp;"",1,0))</x:f>
      </x:c>
      <x:c r="K289" s="143"/>
      <x:c r="L289" s="143"/>
      <x:c r="M289" s="142" t="str">
        <x:f>IF(AND(A289&lt;&gt;"",COUNT(K289:L289)=2),K289-L289,"")</x:f>
      </x:c>
      <x:c r="N289" s="142" t="str">
        <x:f>IF(J289="","",IF(M289+F289=0,"YES","NO"))</x:f>
      </x:c>
      <x:c r="O289" t="str">
        <x:f>IF(J289="","",IF(J289=1,"WIN",IF(N289="YES","Exact margin M="&amp;ABS(F289),"Direction / tail")))</x:f>
      </x:c>
      <x:c r="P289" s="141"/>
      <x:c r="Q289" s="141"/>
      <x:c r="R289" s="144" t="str">
        <x:f>IF(OR(I289="",J289=""),"",(I289-J289)^2)</x:f>
      </x:c>
      <x:c r="S289" s="144" t="str">
        <x:f>IF(OR(I289="",J289=""),"",-(J289*LN(MAX(MIN(I289,0.999999),0.000001))+(1-J289)*LN(MAX(MIN(1-I289,0.999999),0.000001))))</x:f>
      </x:c>
      <x:c r="T289" t="str">
        <x:f>IF(J289="","",INDEX(Frozen_Predictions!$M$4:$M$303,MATCH(A289,Frozen_Predictions!$A$4:$A$303,0)))</x:f>
      </x:c>
      <x:c r="U289" t="str">
        <x:f>IF(J289="","",INDEX(Frozen_Predictions!$W$4:$W$303,MATCH(A289,Frozen_Predictions!$A$4:$A$303,0)))</x:f>
      </x:c>
      <x:c r="V289" t="str">
        <x:f>IF(J289="","",INDEX(Frozen_Predictions!$X$4:$X$303,MATCH(A289,Frozen_Predictions!$A$4:$A$303,0)))</x:f>
      </x:c>
      <x:c r="W289" t="str">
        <x:f>IF(A289="","",IF(COUNTIF($A$4:$A$303,A289)&lt;&gt;1,"ID DUPLICAT",IF(COUNTIF(Frozen_Predictions!$A$4:$A$303,A289)&lt;&gt;1,"ID INEXISTENT SAU DUPLICAT ÎN FROZEN",IF(COUNT(K289:L289)&lt;2,"COMPLETEAZĂ SCORUL","VERIFICAT"))))</x:f>
      </x:c>
    </x:row>
    <x:row r="290">
      <x:c r="A290" s="141"/>
      <x:c r="B290" t="str">
        <x:f>IF(OR(A290="",COUNTIF(Frozen_Predictions!$A$4:$A$303,A290)&lt;&gt;1),"",INDEX(Frozen_Predictions!$C$4:$C$303,MATCH(A290,Frozen_Predictions!$A$4:$A$303,0)))</x:f>
      </x:c>
      <x:c r="C290" t="str">
        <x:f>IF(OR(A290="",COUNTIF(Frozen_Predictions!$A$4:$A$303,A290)&lt;&gt;1),"",INDEX(Frozen_Predictions!$E$4:$E$303,MATCH(A290,Frozen_Predictions!$A$4:$A$303,0)))</x:f>
      </x:c>
      <x:c r="D290" t="str">
        <x:f>IF(OR(A290="",COUNTIF(Frozen_Predictions!$A$4:$A$303,A290)&lt;&gt;1),"",INDEX(Frozen_Predictions!$F$4:$F$303,MATCH(A290,Frozen_Predictions!$A$4:$A$303,0)))</x:f>
      </x:c>
      <x:c r="E290" t="str">
        <x:f>IF(OR(A290="",COUNTIF(Frozen_Predictions!$A$4:$A$303,A290)&lt;&gt;1),"",INDEX(Frozen_Predictions!$G$4:$G$303,MATCH(A290,Frozen_Predictions!$A$4:$A$303,0)))</x:f>
      </x:c>
      <x:c r="F290" t="str">
        <x:f>IF(OR(A290="",COUNTIF(Frozen_Predictions!$A$4:$A$303,A290)&lt;&gt;1),"",INDEX(Frozen_Predictions!$H$4:$H$303,MATCH(A290,Frozen_Predictions!$A$4:$A$303,0)))</x:f>
      </x:c>
      <x:c r="G290" t="str">
        <x:f>IF(OR(A290="",COUNTIF(Frozen_Predictions!$A$4:$A$303,A290)&lt;&gt;1),"",INDEX(Frozen_Predictions!$I$4:$I$303,MATCH(A290,Frozen_Predictions!$A$4:$A$303,0)))</x:f>
      </x:c>
      <x:c r="H290" t="str">
        <x:f>IF(OR(A290="",COUNTIF(Frozen_Predictions!$A$4:$A$303,A290)&lt;&gt;1),"",INDEX(Frozen_Predictions!$J$4:$J$303,MATCH(A290,Frozen_Predictions!$A$4:$A$303,0)))</x:f>
      </x:c>
      <x:c r="I290" t="str">
        <x:f>IF(OR(A290="",COUNTIF(Frozen_Predictions!$A$4:$A$303,A290)&lt;&gt;1),"",INDEX(Frozen_Predictions!$K$4:$K$303,MATCH(A290,Frozen_Predictions!$A$4:$A$303,0)))</x:f>
      </x:c>
      <x:c r="J290" s="142" t="str">
        <x:f>IF(OR(A290="",G290="",COUNT(K290:M290)&lt;3,COUNTIF($A$4:$A$303,A290)&lt;&gt;1),"",IF(IF(M290+F290&gt;0,"1",IF(M290+F290=0,"X","2"))=G290&amp;"",1,0))</x:f>
      </x:c>
      <x:c r="K290" s="143"/>
      <x:c r="L290" s="143"/>
      <x:c r="M290" s="142" t="str">
        <x:f>IF(AND(A290&lt;&gt;"",COUNT(K290:L290)=2),K290-L290,"")</x:f>
      </x:c>
      <x:c r="N290" s="142" t="str">
        <x:f>IF(J290="","",IF(M290+F290=0,"YES","NO"))</x:f>
      </x:c>
      <x:c r="O290" t="str">
        <x:f>IF(J290="","",IF(J290=1,"WIN",IF(N290="YES","Exact margin M="&amp;ABS(F290),"Direction / tail")))</x:f>
      </x:c>
      <x:c r="P290" s="141"/>
      <x:c r="Q290" s="141"/>
      <x:c r="R290" s="144" t="str">
        <x:f>IF(OR(I290="",J290=""),"",(I290-J290)^2)</x:f>
      </x:c>
      <x:c r="S290" s="144" t="str">
        <x:f>IF(OR(I290="",J290=""),"",-(J290*LN(MAX(MIN(I290,0.999999),0.000001))+(1-J290)*LN(MAX(MIN(1-I290,0.999999),0.000001))))</x:f>
      </x:c>
      <x:c r="T290" t="str">
        <x:f>IF(J290="","",INDEX(Frozen_Predictions!$M$4:$M$303,MATCH(A290,Frozen_Predictions!$A$4:$A$303,0)))</x:f>
      </x:c>
      <x:c r="U290" t="str">
        <x:f>IF(J290="","",INDEX(Frozen_Predictions!$W$4:$W$303,MATCH(A290,Frozen_Predictions!$A$4:$A$303,0)))</x:f>
      </x:c>
      <x:c r="V290" t="str">
        <x:f>IF(J290="","",INDEX(Frozen_Predictions!$X$4:$X$303,MATCH(A290,Frozen_Predictions!$A$4:$A$303,0)))</x:f>
      </x:c>
      <x:c r="W290" t="str">
        <x:f>IF(A290="","",IF(COUNTIF($A$4:$A$303,A290)&lt;&gt;1,"ID DUPLICAT",IF(COUNTIF(Frozen_Predictions!$A$4:$A$303,A290)&lt;&gt;1,"ID INEXISTENT SAU DUPLICAT ÎN FROZEN",IF(COUNT(K290:L290)&lt;2,"COMPLETEAZĂ SCORUL","VERIFICAT"))))</x:f>
      </x:c>
    </x:row>
    <x:row r="291">
      <x:c r="A291" s="141"/>
      <x:c r="B291" t="str">
        <x:f>IF(OR(A291="",COUNTIF(Frozen_Predictions!$A$4:$A$303,A291)&lt;&gt;1),"",INDEX(Frozen_Predictions!$C$4:$C$303,MATCH(A291,Frozen_Predictions!$A$4:$A$303,0)))</x:f>
      </x:c>
      <x:c r="C291" t="str">
        <x:f>IF(OR(A291="",COUNTIF(Frozen_Predictions!$A$4:$A$303,A291)&lt;&gt;1),"",INDEX(Frozen_Predictions!$E$4:$E$303,MATCH(A291,Frozen_Predictions!$A$4:$A$303,0)))</x:f>
      </x:c>
      <x:c r="D291" t="str">
        <x:f>IF(OR(A291="",COUNTIF(Frozen_Predictions!$A$4:$A$303,A291)&lt;&gt;1),"",INDEX(Frozen_Predictions!$F$4:$F$303,MATCH(A291,Frozen_Predictions!$A$4:$A$303,0)))</x:f>
      </x:c>
      <x:c r="E291" t="str">
        <x:f>IF(OR(A291="",COUNTIF(Frozen_Predictions!$A$4:$A$303,A291)&lt;&gt;1),"",INDEX(Frozen_Predictions!$G$4:$G$303,MATCH(A291,Frozen_Predictions!$A$4:$A$303,0)))</x:f>
      </x:c>
      <x:c r="F291" t="str">
        <x:f>IF(OR(A291="",COUNTIF(Frozen_Predictions!$A$4:$A$303,A291)&lt;&gt;1),"",INDEX(Frozen_Predictions!$H$4:$H$303,MATCH(A291,Frozen_Predictions!$A$4:$A$303,0)))</x:f>
      </x:c>
      <x:c r="G291" t="str">
        <x:f>IF(OR(A291="",COUNTIF(Frozen_Predictions!$A$4:$A$303,A291)&lt;&gt;1),"",INDEX(Frozen_Predictions!$I$4:$I$303,MATCH(A291,Frozen_Predictions!$A$4:$A$303,0)))</x:f>
      </x:c>
      <x:c r="H291" t="str">
        <x:f>IF(OR(A291="",COUNTIF(Frozen_Predictions!$A$4:$A$303,A291)&lt;&gt;1),"",INDEX(Frozen_Predictions!$J$4:$J$303,MATCH(A291,Frozen_Predictions!$A$4:$A$303,0)))</x:f>
      </x:c>
      <x:c r="I291" t="str">
        <x:f>IF(OR(A291="",COUNTIF(Frozen_Predictions!$A$4:$A$303,A291)&lt;&gt;1),"",INDEX(Frozen_Predictions!$K$4:$K$303,MATCH(A291,Frozen_Predictions!$A$4:$A$303,0)))</x:f>
      </x:c>
      <x:c r="J291" s="142" t="str">
        <x:f>IF(OR(A291="",G291="",COUNT(K291:M291)&lt;3,COUNTIF($A$4:$A$303,A291)&lt;&gt;1),"",IF(IF(M291+F291&gt;0,"1",IF(M291+F291=0,"X","2"))=G291&amp;"",1,0))</x:f>
      </x:c>
      <x:c r="K291" s="143"/>
      <x:c r="L291" s="143"/>
      <x:c r="M291" s="142" t="str">
        <x:f>IF(AND(A291&lt;&gt;"",COUNT(K291:L291)=2),K291-L291,"")</x:f>
      </x:c>
      <x:c r="N291" s="142" t="str">
        <x:f>IF(J291="","",IF(M291+F291=0,"YES","NO"))</x:f>
      </x:c>
      <x:c r="O291" t="str">
        <x:f>IF(J291="","",IF(J291=1,"WIN",IF(N291="YES","Exact margin M="&amp;ABS(F291),"Direction / tail")))</x:f>
      </x:c>
      <x:c r="P291" s="141"/>
      <x:c r="Q291" s="141"/>
      <x:c r="R291" s="144" t="str">
        <x:f>IF(OR(I291="",J291=""),"",(I291-J291)^2)</x:f>
      </x:c>
      <x:c r="S291" s="144" t="str">
        <x:f>IF(OR(I291="",J291=""),"",-(J291*LN(MAX(MIN(I291,0.999999),0.000001))+(1-J291)*LN(MAX(MIN(1-I291,0.999999),0.000001))))</x:f>
      </x:c>
      <x:c r="T291" t="str">
        <x:f>IF(J291="","",INDEX(Frozen_Predictions!$M$4:$M$303,MATCH(A291,Frozen_Predictions!$A$4:$A$303,0)))</x:f>
      </x:c>
      <x:c r="U291" t="str">
        <x:f>IF(J291="","",INDEX(Frozen_Predictions!$W$4:$W$303,MATCH(A291,Frozen_Predictions!$A$4:$A$303,0)))</x:f>
      </x:c>
      <x:c r="V291" t="str">
        <x:f>IF(J291="","",INDEX(Frozen_Predictions!$X$4:$X$303,MATCH(A291,Frozen_Predictions!$A$4:$A$303,0)))</x:f>
      </x:c>
      <x:c r="W291" t="str">
        <x:f>IF(A291="","",IF(COUNTIF($A$4:$A$303,A291)&lt;&gt;1,"ID DUPLICAT",IF(COUNTIF(Frozen_Predictions!$A$4:$A$303,A291)&lt;&gt;1,"ID INEXISTENT SAU DUPLICAT ÎN FROZEN",IF(COUNT(K291:L291)&lt;2,"COMPLETEAZĂ SCORUL","VERIFICAT"))))</x:f>
      </x:c>
    </x:row>
    <x:row r="292">
      <x:c r="A292" s="141"/>
      <x:c r="B292" t="str">
        <x:f>IF(OR(A292="",COUNTIF(Frozen_Predictions!$A$4:$A$303,A292)&lt;&gt;1),"",INDEX(Frozen_Predictions!$C$4:$C$303,MATCH(A292,Frozen_Predictions!$A$4:$A$303,0)))</x:f>
      </x:c>
      <x:c r="C292" t="str">
        <x:f>IF(OR(A292="",COUNTIF(Frozen_Predictions!$A$4:$A$303,A292)&lt;&gt;1),"",INDEX(Frozen_Predictions!$E$4:$E$303,MATCH(A292,Frozen_Predictions!$A$4:$A$303,0)))</x:f>
      </x:c>
      <x:c r="D292" t="str">
        <x:f>IF(OR(A292="",COUNTIF(Frozen_Predictions!$A$4:$A$303,A292)&lt;&gt;1),"",INDEX(Frozen_Predictions!$F$4:$F$303,MATCH(A292,Frozen_Predictions!$A$4:$A$303,0)))</x:f>
      </x:c>
      <x:c r="E292" t="str">
        <x:f>IF(OR(A292="",COUNTIF(Frozen_Predictions!$A$4:$A$303,A292)&lt;&gt;1),"",INDEX(Frozen_Predictions!$G$4:$G$303,MATCH(A292,Frozen_Predictions!$A$4:$A$303,0)))</x:f>
      </x:c>
      <x:c r="F292" t="str">
        <x:f>IF(OR(A292="",COUNTIF(Frozen_Predictions!$A$4:$A$303,A292)&lt;&gt;1),"",INDEX(Frozen_Predictions!$H$4:$H$303,MATCH(A292,Frozen_Predictions!$A$4:$A$303,0)))</x:f>
      </x:c>
      <x:c r="G292" t="str">
        <x:f>IF(OR(A292="",COUNTIF(Frozen_Predictions!$A$4:$A$303,A292)&lt;&gt;1),"",INDEX(Frozen_Predictions!$I$4:$I$303,MATCH(A292,Frozen_Predictions!$A$4:$A$303,0)))</x:f>
      </x:c>
      <x:c r="H292" t="str">
        <x:f>IF(OR(A292="",COUNTIF(Frozen_Predictions!$A$4:$A$303,A292)&lt;&gt;1),"",INDEX(Frozen_Predictions!$J$4:$J$303,MATCH(A292,Frozen_Predictions!$A$4:$A$303,0)))</x:f>
      </x:c>
      <x:c r="I292" t="str">
        <x:f>IF(OR(A292="",COUNTIF(Frozen_Predictions!$A$4:$A$303,A292)&lt;&gt;1),"",INDEX(Frozen_Predictions!$K$4:$K$303,MATCH(A292,Frozen_Predictions!$A$4:$A$303,0)))</x:f>
      </x:c>
      <x:c r="J292" s="142" t="str">
        <x:f>IF(OR(A292="",G292="",COUNT(K292:M292)&lt;3,COUNTIF($A$4:$A$303,A292)&lt;&gt;1),"",IF(IF(M292+F292&gt;0,"1",IF(M292+F292=0,"X","2"))=G292&amp;"",1,0))</x:f>
      </x:c>
      <x:c r="K292" s="143"/>
      <x:c r="L292" s="143"/>
      <x:c r="M292" s="142" t="str">
        <x:f>IF(AND(A292&lt;&gt;"",COUNT(K292:L292)=2),K292-L292,"")</x:f>
      </x:c>
      <x:c r="N292" s="142" t="str">
        <x:f>IF(J292="","",IF(M292+F292=0,"YES","NO"))</x:f>
      </x:c>
      <x:c r="O292" t="str">
        <x:f>IF(J292="","",IF(J292=1,"WIN",IF(N292="YES","Exact margin M="&amp;ABS(F292),"Direction / tail")))</x:f>
      </x:c>
      <x:c r="P292" s="141"/>
      <x:c r="Q292" s="141"/>
      <x:c r="R292" s="144" t="str">
        <x:f>IF(OR(I292="",J292=""),"",(I292-J292)^2)</x:f>
      </x:c>
      <x:c r="S292" s="144" t="str">
        <x:f>IF(OR(I292="",J292=""),"",-(J292*LN(MAX(MIN(I292,0.999999),0.000001))+(1-J292)*LN(MAX(MIN(1-I292,0.999999),0.000001))))</x:f>
      </x:c>
      <x:c r="T292" t="str">
        <x:f>IF(J292="","",INDEX(Frozen_Predictions!$M$4:$M$303,MATCH(A292,Frozen_Predictions!$A$4:$A$303,0)))</x:f>
      </x:c>
      <x:c r="U292" t="str">
        <x:f>IF(J292="","",INDEX(Frozen_Predictions!$W$4:$W$303,MATCH(A292,Frozen_Predictions!$A$4:$A$303,0)))</x:f>
      </x:c>
      <x:c r="V292" t="str">
        <x:f>IF(J292="","",INDEX(Frozen_Predictions!$X$4:$X$303,MATCH(A292,Frozen_Predictions!$A$4:$A$303,0)))</x:f>
      </x:c>
      <x:c r="W292" t="str">
        <x:f>IF(A292="","",IF(COUNTIF($A$4:$A$303,A292)&lt;&gt;1,"ID DUPLICAT",IF(COUNTIF(Frozen_Predictions!$A$4:$A$303,A292)&lt;&gt;1,"ID INEXISTENT SAU DUPLICAT ÎN FROZEN",IF(COUNT(K292:L292)&lt;2,"COMPLETEAZĂ SCORUL","VERIFICAT"))))</x:f>
      </x:c>
    </x:row>
    <x:row r="293">
      <x:c r="A293" s="141"/>
      <x:c r="B293" t="str">
        <x:f>IF(OR(A293="",COUNTIF(Frozen_Predictions!$A$4:$A$303,A293)&lt;&gt;1),"",INDEX(Frozen_Predictions!$C$4:$C$303,MATCH(A293,Frozen_Predictions!$A$4:$A$303,0)))</x:f>
      </x:c>
      <x:c r="C293" t="str">
        <x:f>IF(OR(A293="",COUNTIF(Frozen_Predictions!$A$4:$A$303,A293)&lt;&gt;1),"",INDEX(Frozen_Predictions!$E$4:$E$303,MATCH(A293,Frozen_Predictions!$A$4:$A$303,0)))</x:f>
      </x:c>
      <x:c r="D293" t="str">
        <x:f>IF(OR(A293="",COUNTIF(Frozen_Predictions!$A$4:$A$303,A293)&lt;&gt;1),"",INDEX(Frozen_Predictions!$F$4:$F$303,MATCH(A293,Frozen_Predictions!$A$4:$A$303,0)))</x:f>
      </x:c>
      <x:c r="E293" t="str">
        <x:f>IF(OR(A293="",COUNTIF(Frozen_Predictions!$A$4:$A$303,A293)&lt;&gt;1),"",INDEX(Frozen_Predictions!$G$4:$G$303,MATCH(A293,Frozen_Predictions!$A$4:$A$303,0)))</x:f>
      </x:c>
      <x:c r="F293" t="str">
        <x:f>IF(OR(A293="",COUNTIF(Frozen_Predictions!$A$4:$A$303,A293)&lt;&gt;1),"",INDEX(Frozen_Predictions!$H$4:$H$303,MATCH(A293,Frozen_Predictions!$A$4:$A$303,0)))</x:f>
      </x:c>
      <x:c r="G293" t="str">
        <x:f>IF(OR(A293="",COUNTIF(Frozen_Predictions!$A$4:$A$303,A293)&lt;&gt;1),"",INDEX(Frozen_Predictions!$I$4:$I$303,MATCH(A293,Frozen_Predictions!$A$4:$A$303,0)))</x:f>
      </x:c>
      <x:c r="H293" t="str">
        <x:f>IF(OR(A293="",COUNTIF(Frozen_Predictions!$A$4:$A$303,A293)&lt;&gt;1),"",INDEX(Frozen_Predictions!$J$4:$J$303,MATCH(A293,Frozen_Predictions!$A$4:$A$303,0)))</x:f>
      </x:c>
      <x:c r="I293" t="str">
        <x:f>IF(OR(A293="",COUNTIF(Frozen_Predictions!$A$4:$A$303,A293)&lt;&gt;1),"",INDEX(Frozen_Predictions!$K$4:$K$303,MATCH(A293,Frozen_Predictions!$A$4:$A$303,0)))</x:f>
      </x:c>
      <x:c r="J293" s="142" t="str">
        <x:f>IF(OR(A293="",G293="",COUNT(K293:M293)&lt;3,COUNTIF($A$4:$A$303,A293)&lt;&gt;1),"",IF(IF(M293+F293&gt;0,"1",IF(M293+F293=0,"X","2"))=G293&amp;"",1,0))</x:f>
      </x:c>
      <x:c r="K293" s="143"/>
      <x:c r="L293" s="143"/>
      <x:c r="M293" s="142" t="str">
        <x:f>IF(AND(A293&lt;&gt;"",COUNT(K293:L293)=2),K293-L293,"")</x:f>
      </x:c>
      <x:c r="N293" s="142" t="str">
        <x:f>IF(J293="","",IF(M293+F293=0,"YES","NO"))</x:f>
      </x:c>
      <x:c r="O293" t="str">
        <x:f>IF(J293="","",IF(J293=1,"WIN",IF(N293="YES","Exact margin M="&amp;ABS(F293),"Direction / tail")))</x:f>
      </x:c>
      <x:c r="P293" s="141"/>
      <x:c r="Q293" s="141"/>
      <x:c r="R293" s="144" t="str">
        <x:f>IF(OR(I293="",J293=""),"",(I293-J293)^2)</x:f>
      </x:c>
      <x:c r="S293" s="144" t="str">
        <x:f>IF(OR(I293="",J293=""),"",-(J293*LN(MAX(MIN(I293,0.999999),0.000001))+(1-J293)*LN(MAX(MIN(1-I293,0.999999),0.000001))))</x:f>
      </x:c>
      <x:c r="T293" t="str">
        <x:f>IF(J293="","",INDEX(Frozen_Predictions!$M$4:$M$303,MATCH(A293,Frozen_Predictions!$A$4:$A$303,0)))</x:f>
      </x:c>
      <x:c r="U293" t="str">
        <x:f>IF(J293="","",INDEX(Frozen_Predictions!$W$4:$W$303,MATCH(A293,Frozen_Predictions!$A$4:$A$303,0)))</x:f>
      </x:c>
      <x:c r="V293" t="str">
        <x:f>IF(J293="","",INDEX(Frozen_Predictions!$X$4:$X$303,MATCH(A293,Frozen_Predictions!$A$4:$A$303,0)))</x:f>
      </x:c>
      <x:c r="W293" t="str">
        <x:f>IF(A293="","",IF(COUNTIF($A$4:$A$303,A293)&lt;&gt;1,"ID DUPLICAT",IF(COUNTIF(Frozen_Predictions!$A$4:$A$303,A293)&lt;&gt;1,"ID INEXISTENT SAU DUPLICAT ÎN FROZEN",IF(COUNT(K293:L293)&lt;2,"COMPLETEAZĂ SCORUL","VERIFICAT"))))</x:f>
      </x:c>
    </x:row>
    <x:row r="294">
      <x:c r="A294" s="141"/>
      <x:c r="B294" t="str">
        <x:f>IF(OR(A294="",COUNTIF(Frozen_Predictions!$A$4:$A$303,A294)&lt;&gt;1),"",INDEX(Frozen_Predictions!$C$4:$C$303,MATCH(A294,Frozen_Predictions!$A$4:$A$303,0)))</x:f>
      </x:c>
      <x:c r="C294" t="str">
        <x:f>IF(OR(A294="",COUNTIF(Frozen_Predictions!$A$4:$A$303,A294)&lt;&gt;1),"",INDEX(Frozen_Predictions!$E$4:$E$303,MATCH(A294,Frozen_Predictions!$A$4:$A$303,0)))</x:f>
      </x:c>
      <x:c r="D294" t="str">
        <x:f>IF(OR(A294="",COUNTIF(Frozen_Predictions!$A$4:$A$303,A294)&lt;&gt;1),"",INDEX(Frozen_Predictions!$F$4:$F$303,MATCH(A294,Frozen_Predictions!$A$4:$A$303,0)))</x:f>
      </x:c>
      <x:c r="E294" t="str">
        <x:f>IF(OR(A294="",COUNTIF(Frozen_Predictions!$A$4:$A$303,A294)&lt;&gt;1),"",INDEX(Frozen_Predictions!$G$4:$G$303,MATCH(A294,Frozen_Predictions!$A$4:$A$303,0)))</x:f>
      </x:c>
      <x:c r="F294" t="str">
        <x:f>IF(OR(A294="",COUNTIF(Frozen_Predictions!$A$4:$A$303,A294)&lt;&gt;1),"",INDEX(Frozen_Predictions!$H$4:$H$303,MATCH(A294,Frozen_Predictions!$A$4:$A$303,0)))</x:f>
      </x:c>
      <x:c r="G294" t="str">
        <x:f>IF(OR(A294="",COUNTIF(Frozen_Predictions!$A$4:$A$303,A294)&lt;&gt;1),"",INDEX(Frozen_Predictions!$I$4:$I$303,MATCH(A294,Frozen_Predictions!$A$4:$A$303,0)))</x:f>
      </x:c>
      <x:c r="H294" t="str">
        <x:f>IF(OR(A294="",COUNTIF(Frozen_Predictions!$A$4:$A$303,A294)&lt;&gt;1),"",INDEX(Frozen_Predictions!$J$4:$J$303,MATCH(A294,Frozen_Predictions!$A$4:$A$303,0)))</x:f>
      </x:c>
      <x:c r="I294" t="str">
        <x:f>IF(OR(A294="",COUNTIF(Frozen_Predictions!$A$4:$A$303,A294)&lt;&gt;1),"",INDEX(Frozen_Predictions!$K$4:$K$303,MATCH(A294,Frozen_Predictions!$A$4:$A$303,0)))</x:f>
      </x:c>
      <x:c r="J294" s="142" t="str">
        <x:f>IF(OR(A294="",G294="",COUNT(K294:M294)&lt;3,COUNTIF($A$4:$A$303,A294)&lt;&gt;1),"",IF(IF(M294+F294&gt;0,"1",IF(M294+F294=0,"X","2"))=G294&amp;"",1,0))</x:f>
      </x:c>
      <x:c r="K294" s="143"/>
      <x:c r="L294" s="143"/>
      <x:c r="M294" s="142" t="str">
        <x:f>IF(AND(A294&lt;&gt;"",COUNT(K294:L294)=2),K294-L294,"")</x:f>
      </x:c>
      <x:c r="N294" s="142" t="str">
        <x:f>IF(J294="","",IF(M294+F294=0,"YES","NO"))</x:f>
      </x:c>
      <x:c r="O294" t="str">
        <x:f>IF(J294="","",IF(J294=1,"WIN",IF(N294="YES","Exact margin M="&amp;ABS(F294),"Direction / tail")))</x:f>
      </x:c>
      <x:c r="P294" s="141"/>
      <x:c r="Q294" s="141"/>
      <x:c r="R294" s="144" t="str">
        <x:f>IF(OR(I294="",J294=""),"",(I294-J294)^2)</x:f>
      </x:c>
      <x:c r="S294" s="144" t="str">
        <x:f>IF(OR(I294="",J294=""),"",-(J294*LN(MAX(MIN(I294,0.999999),0.000001))+(1-J294)*LN(MAX(MIN(1-I294,0.999999),0.000001))))</x:f>
      </x:c>
      <x:c r="T294" t="str">
        <x:f>IF(J294="","",INDEX(Frozen_Predictions!$M$4:$M$303,MATCH(A294,Frozen_Predictions!$A$4:$A$303,0)))</x:f>
      </x:c>
      <x:c r="U294" t="str">
        <x:f>IF(J294="","",INDEX(Frozen_Predictions!$W$4:$W$303,MATCH(A294,Frozen_Predictions!$A$4:$A$303,0)))</x:f>
      </x:c>
      <x:c r="V294" t="str">
        <x:f>IF(J294="","",INDEX(Frozen_Predictions!$X$4:$X$303,MATCH(A294,Frozen_Predictions!$A$4:$A$303,0)))</x:f>
      </x:c>
      <x:c r="W294" t="str">
        <x:f>IF(A294="","",IF(COUNTIF($A$4:$A$303,A294)&lt;&gt;1,"ID DUPLICAT",IF(COUNTIF(Frozen_Predictions!$A$4:$A$303,A294)&lt;&gt;1,"ID INEXISTENT SAU DUPLICAT ÎN FROZEN",IF(COUNT(K294:L294)&lt;2,"COMPLETEAZĂ SCORUL","VERIFICAT"))))</x:f>
      </x:c>
    </x:row>
    <x:row r="295">
      <x:c r="A295" s="141"/>
      <x:c r="B295" t="str">
        <x:f>IF(OR(A295="",COUNTIF(Frozen_Predictions!$A$4:$A$303,A295)&lt;&gt;1),"",INDEX(Frozen_Predictions!$C$4:$C$303,MATCH(A295,Frozen_Predictions!$A$4:$A$303,0)))</x:f>
      </x:c>
      <x:c r="C295" t="str">
        <x:f>IF(OR(A295="",COUNTIF(Frozen_Predictions!$A$4:$A$303,A295)&lt;&gt;1),"",INDEX(Frozen_Predictions!$E$4:$E$303,MATCH(A295,Frozen_Predictions!$A$4:$A$303,0)))</x:f>
      </x:c>
      <x:c r="D295" t="str">
        <x:f>IF(OR(A295="",COUNTIF(Frozen_Predictions!$A$4:$A$303,A295)&lt;&gt;1),"",INDEX(Frozen_Predictions!$F$4:$F$303,MATCH(A295,Frozen_Predictions!$A$4:$A$303,0)))</x:f>
      </x:c>
      <x:c r="E295" t="str">
        <x:f>IF(OR(A295="",COUNTIF(Frozen_Predictions!$A$4:$A$303,A295)&lt;&gt;1),"",INDEX(Frozen_Predictions!$G$4:$G$303,MATCH(A295,Frozen_Predictions!$A$4:$A$303,0)))</x:f>
      </x:c>
      <x:c r="F295" t="str">
        <x:f>IF(OR(A295="",COUNTIF(Frozen_Predictions!$A$4:$A$303,A295)&lt;&gt;1),"",INDEX(Frozen_Predictions!$H$4:$H$303,MATCH(A295,Frozen_Predictions!$A$4:$A$303,0)))</x:f>
      </x:c>
      <x:c r="G295" t="str">
        <x:f>IF(OR(A295="",COUNTIF(Frozen_Predictions!$A$4:$A$303,A295)&lt;&gt;1),"",INDEX(Frozen_Predictions!$I$4:$I$303,MATCH(A295,Frozen_Predictions!$A$4:$A$303,0)))</x:f>
      </x:c>
      <x:c r="H295" t="str">
        <x:f>IF(OR(A295="",COUNTIF(Frozen_Predictions!$A$4:$A$303,A295)&lt;&gt;1),"",INDEX(Frozen_Predictions!$J$4:$J$303,MATCH(A295,Frozen_Predictions!$A$4:$A$303,0)))</x:f>
      </x:c>
      <x:c r="I295" t="str">
        <x:f>IF(OR(A295="",COUNTIF(Frozen_Predictions!$A$4:$A$303,A295)&lt;&gt;1),"",INDEX(Frozen_Predictions!$K$4:$K$303,MATCH(A295,Frozen_Predictions!$A$4:$A$303,0)))</x:f>
      </x:c>
      <x:c r="J295" s="142" t="str">
        <x:f>IF(OR(A295="",G295="",COUNT(K295:M295)&lt;3,COUNTIF($A$4:$A$303,A295)&lt;&gt;1),"",IF(IF(M295+F295&gt;0,"1",IF(M295+F295=0,"X","2"))=G295&amp;"",1,0))</x:f>
      </x:c>
      <x:c r="K295" s="143"/>
      <x:c r="L295" s="143"/>
      <x:c r="M295" s="142" t="str">
        <x:f>IF(AND(A295&lt;&gt;"",COUNT(K295:L295)=2),K295-L295,"")</x:f>
      </x:c>
      <x:c r="N295" s="142" t="str">
        <x:f>IF(J295="","",IF(M295+F295=0,"YES","NO"))</x:f>
      </x:c>
      <x:c r="O295" t="str">
        <x:f>IF(J295="","",IF(J295=1,"WIN",IF(N295="YES","Exact margin M="&amp;ABS(F295),"Direction / tail")))</x:f>
      </x:c>
      <x:c r="P295" s="141"/>
      <x:c r="Q295" s="141"/>
      <x:c r="R295" s="144" t="str">
        <x:f>IF(OR(I295="",J295=""),"",(I295-J295)^2)</x:f>
      </x:c>
      <x:c r="S295" s="144" t="str">
        <x:f>IF(OR(I295="",J295=""),"",-(J295*LN(MAX(MIN(I295,0.999999),0.000001))+(1-J295)*LN(MAX(MIN(1-I295,0.999999),0.000001))))</x:f>
      </x:c>
      <x:c r="T295" t="str">
        <x:f>IF(J295="","",INDEX(Frozen_Predictions!$M$4:$M$303,MATCH(A295,Frozen_Predictions!$A$4:$A$303,0)))</x:f>
      </x:c>
      <x:c r="U295" t="str">
        <x:f>IF(J295="","",INDEX(Frozen_Predictions!$W$4:$W$303,MATCH(A295,Frozen_Predictions!$A$4:$A$303,0)))</x:f>
      </x:c>
      <x:c r="V295" t="str">
        <x:f>IF(J295="","",INDEX(Frozen_Predictions!$X$4:$X$303,MATCH(A295,Frozen_Predictions!$A$4:$A$303,0)))</x:f>
      </x:c>
      <x:c r="W295" t="str">
        <x:f>IF(A295="","",IF(COUNTIF($A$4:$A$303,A295)&lt;&gt;1,"ID DUPLICAT",IF(COUNTIF(Frozen_Predictions!$A$4:$A$303,A295)&lt;&gt;1,"ID INEXISTENT SAU DUPLICAT ÎN FROZEN",IF(COUNT(K295:L295)&lt;2,"COMPLETEAZĂ SCORUL","VERIFICAT"))))</x:f>
      </x:c>
    </x:row>
    <x:row r="296">
      <x:c r="A296" s="141"/>
      <x:c r="B296" t="str">
        <x:f>IF(OR(A296="",COUNTIF(Frozen_Predictions!$A$4:$A$303,A296)&lt;&gt;1),"",INDEX(Frozen_Predictions!$C$4:$C$303,MATCH(A296,Frozen_Predictions!$A$4:$A$303,0)))</x:f>
      </x:c>
      <x:c r="C296" t="str">
        <x:f>IF(OR(A296="",COUNTIF(Frozen_Predictions!$A$4:$A$303,A296)&lt;&gt;1),"",INDEX(Frozen_Predictions!$E$4:$E$303,MATCH(A296,Frozen_Predictions!$A$4:$A$303,0)))</x:f>
      </x:c>
      <x:c r="D296" t="str">
        <x:f>IF(OR(A296="",COUNTIF(Frozen_Predictions!$A$4:$A$303,A296)&lt;&gt;1),"",INDEX(Frozen_Predictions!$F$4:$F$303,MATCH(A296,Frozen_Predictions!$A$4:$A$303,0)))</x:f>
      </x:c>
      <x:c r="E296" t="str">
        <x:f>IF(OR(A296="",COUNTIF(Frozen_Predictions!$A$4:$A$303,A296)&lt;&gt;1),"",INDEX(Frozen_Predictions!$G$4:$G$303,MATCH(A296,Frozen_Predictions!$A$4:$A$303,0)))</x:f>
      </x:c>
      <x:c r="F296" t="str">
        <x:f>IF(OR(A296="",COUNTIF(Frozen_Predictions!$A$4:$A$303,A296)&lt;&gt;1),"",INDEX(Frozen_Predictions!$H$4:$H$303,MATCH(A296,Frozen_Predictions!$A$4:$A$303,0)))</x:f>
      </x:c>
      <x:c r="G296" t="str">
        <x:f>IF(OR(A296="",COUNTIF(Frozen_Predictions!$A$4:$A$303,A296)&lt;&gt;1),"",INDEX(Frozen_Predictions!$I$4:$I$303,MATCH(A296,Frozen_Predictions!$A$4:$A$303,0)))</x:f>
      </x:c>
      <x:c r="H296" t="str">
        <x:f>IF(OR(A296="",COUNTIF(Frozen_Predictions!$A$4:$A$303,A296)&lt;&gt;1),"",INDEX(Frozen_Predictions!$J$4:$J$303,MATCH(A296,Frozen_Predictions!$A$4:$A$303,0)))</x:f>
      </x:c>
      <x:c r="I296" t="str">
        <x:f>IF(OR(A296="",COUNTIF(Frozen_Predictions!$A$4:$A$303,A296)&lt;&gt;1),"",INDEX(Frozen_Predictions!$K$4:$K$303,MATCH(A296,Frozen_Predictions!$A$4:$A$303,0)))</x:f>
      </x:c>
      <x:c r="J296" s="142" t="str">
        <x:f>IF(OR(A296="",G296="",COUNT(K296:M296)&lt;3,COUNTIF($A$4:$A$303,A296)&lt;&gt;1),"",IF(IF(M296+F296&gt;0,"1",IF(M296+F296=0,"X","2"))=G296&amp;"",1,0))</x:f>
      </x:c>
      <x:c r="K296" s="143"/>
      <x:c r="L296" s="143"/>
      <x:c r="M296" s="142" t="str">
        <x:f>IF(AND(A296&lt;&gt;"",COUNT(K296:L296)=2),K296-L296,"")</x:f>
      </x:c>
      <x:c r="N296" s="142" t="str">
        <x:f>IF(J296="","",IF(M296+F296=0,"YES","NO"))</x:f>
      </x:c>
      <x:c r="O296" t="str">
        <x:f>IF(J296="","",IF(J296=1,"WIN",IF(N296="YES","Exact margin M="&amp;ABS(F296),"Direction / tail")))</x:f>
      </x:c>
      <x:c r="P296" s="141"/>
      <x:c r="Q296" s="141"/>
      <x:c r="R296" s="144" t="str">
        <x:f>IF(OR(I296="",J296=""),"",(I296-J296)^2)</x:f>
      </x:c>
      <x:c r="S296" s="144" t="str">
        <x:f>IF(OR(I296="",J296=""),"",-(J296*LN(MAX(MIN(I296,0.999999),0.000001))+(1-J296)*LN(MAX(MIN(1-I296,0.999999),0.000001))))</x:f>
      </x:c>
      <x:c r="T296" t="str">
        <x:f>IF(J296="","",INDEX(Frozen_Predictions!$M$4:$M$303,MATCH(A296,Frozen_Predictions!$A$4:$A$303,0)))</x:f>
      </x:c>
      <x:c r="U296" t="str">
        <x:f>IF(J296="","",INDEX(Frozen_Predictions!$W$4:$W$303,MATCH(A296,Frozen_Predictions!$A$4:$A$303,0)))</x:f>
      </x:c>
      <x:c r="V296" t="str">
        <x:f>IF(J296="","",INDEX(Frozen_Predictions!$X$4:$X$303,MATCH(A296,Frozen_Predictions!$A$4:$A$303,0)))</x:f>
      </x:c>
      <x:c r="W296" t="str">
        <x:f>IF(A296="","",IF(COUNTIF($A$4:$A$303,A296)&lt;&gt;1,"ID DUPLICAT",IF(COUNTIF(Frozen_Predictions!$A$4:$A$303,A296)&lt;&gt;1,"ID INEXISTENT SAU DUPLICAT ÎN FROZEN",IF(COUNT(K296:L296)&lt;2,"COMPLETEAZĂ SCORUL","VERIFICAT"))))</x:f>
      </x:c>
    </x:row>
    <x:row r="297">
      <x:c r="A297" s="141"/>
      <x:c r="B297" t="str">
        <x:f>IF(OR(A297="",COUNTIF(Frozen_Predictions!$A$4:$A$303,A297)&lt;&gt;1),"",INDEX(Frozen_Predictions!$C$4:$C$303,MATCH(A297,Frozen_Predictions!$A$4:$A$303,0)))</x:f>
      </x:c>
      <x:c r="C297" t="str">
        <x:f>IF(OR(A297="",COUNTIF(Frozen_Predictions!$A$4:$A$303,A297)&lt;&gt;1),"",INDEX(Frozen_Predictions!$E$4:$E$303,MATCH(A297,Frozen_Predictions!$A$4:$A$303,0)))</x:f>
      </x:c>
      <x:c r="D297" t="str">
        <x:f>IF(OR(A297="",COUNTIF(Frozen_Predictions!$A$4:$A$303,A297)&lt;&gt;1),"",INDEX(Frozen_Predictions!$F$4:$F$303,MATCH(A297,Frozen_Predictions!$A$4:$A$303,0)))</x:f>
      </x:c>
      <x:c r="E297" t="str">
        <x:f>IF(OR(A297="",COUNTIF(Frozen_Predictions!$A$4:$A$303,A297)&lt;&gt;1),"",INDEX(Frozen_Predictions!$G$4:$G$303,MATCH(A297,Frozen_Predictions!$A$4:$A$303,0)))</x:f>
      </x:c>
      <x:c r="F297" t="str">
        <x:f>IF(OR(A297="",COUNTIF(Frozen_Predictions!$A$4:$A$303,A297)&lt;&gt;1),"",INDEX(Frozen_Predictions!$H$4:$H$303,MATCH(A297,Frozen_Predictions!$A$4:$A$303,0)))</x:f>
      </x:c>
      <x:c r="G297" t="str">
        <x:f>IF(OR(A297="",COUNTIF(Frozen_Predictions!$A$4:$A$303,A297)&lt;&gt;1),"",INDEX(Frozen_Predictions!$I$4:$I$303,MATCH(A297,Frozen_Predictions!$A$4:$A$303,0)))</x:f>
      </x:c>
      <x:c r="H297" t="str">
        <x:f>IF(OR(A297="",COUNTIF(Frozen_Predictions!$A$4:$A$303,A297)&lt;&gt;1),"",INDEX(Frozen_Predictions!$J$4:$J$303,MATCH(A297,Frozen_Predictions!$A$4:$A$303,0)))</x:f>
      </x:c>
      <x:c r="I297" t="str">
        <x:f>IF(OR(A297="",COUNTIF(Frozen_Predictions!$A$4:$A$303,A297)&lt;&gt;1),"",INDEX(Frozen_Predictions!$K$4:$K$303,MATCH(A297,Frozen_Predictions!$A$4:$A$303,0)))</x:f>
      </x:c>
      <x:c r="J297" s="142" t="str">
        <x:f>IF(OR(A297="",G297="",COUNT(K297:M297)&lt;3,COUNTIF($A$4:$A$303,A297)&lt;&gt;1),"",IF(IF(M297+F297&gt;0,"1",IF(M297+F297=0,"X","2"))=G297&amp;"",1,0))</x:f>
      </x:c>
      <x:c r="K297" s="143"/>
      <x:c r="L297" s="143"/>
      <x:c r="M297" s="142" t="str">
        <x:f>IF(AND(A297&lt;&gt;"",COUNT(K297:L297)=2),K297-L297,"")</x:f>
      </x:c>
      <x:c r="N297" s="142" t="str">
        <x:f>IF(J297="","",IF(M297+F297=0,"YES","NO"))</x:f>
      </x:c>
      <x:c r="O297" t="str">
        <x:f>IF(J297="","",IF(J297=1,"WIN",IF(N297="YES","Exact margin M="&amp;ABS(F297),"Direction / tail")))</x:f>
      </x:c>
      <x:c r="P297" s="141"/>
      <x:c r="Q297" s="141"/>
      <x:c r="R297" s="144" t="str">
        <x:f>IF(OR(I297="",J297=""),"",(I297-J297)^2)</x:f>
      </x:c>
      <x:c r="S297" s="144" t="str">
        <x:f>IF(OR(I297="",J297=""),"",-(J297*LN(MAX(MIN(I297,0.999999),0.000001))+(1-J297)*LN(MAX(MIN(1-I297,0.999999),0.000001))))</x:f>
      </x:c>
      <x:c r="T297" t="str">
        <x:f>IF(J297="","",INDEX(Frozen_Predictions!$M$4:$M$303,MATCH(A297,Frozen_Predictions!$A$4:$A$303,0)))</x:f>
      </x:c>
      <x:c r="U297" t="str">
        <x:f>IF(J297="","",INDEX(Frozen_Predictions!$W$4:$W$303,MATCH(A297,Frozen_Predictions!$A$4:$A$303,0)))</x:f>
      </x:c>
      <x:c r="V297" t="str">
        <x:f>IF(J297="","",INDEX(Frozen_Predictions!$X$4:$X$303,MATCH(A297,Frozen_Predictions!$A$4:$A$303,0)))</x:f>
      </x:c>
      <x:c r="W297" t="str">
        <x:f>IF(A297="","",IF(COUNTIF($A$4:$A$303,A297)&lt;&gt;1,"ID DUPLICAT",IF(COUNTIF(Frozen_Predictions!$A$4:$A$303,A297)&lt;&gt;1,"ID INEXISTENT SAU DUPLICAT ÎN FROZEN",IF(COUNT(K297:L297)&lt;2,"COMPLETEAZĂ SCORUL","VERIFICAT"))))</x:f>
      </x:c>
    </x:row>
    <x:row r="298">
      <x:c r="A298" s="141"/>
      <x:c r="B298" t="str">
        <x:f>IF(OR(A298="",COUNTIF(Frozen_Predictions!$A$4:$A$303,A298)&lt;&gt;1),"",INDEX(Frozen_Predictions!$C$4:$C$303,MATCH(A298,Frozen_Predictions!$A$4:$A$303,0)))</x:f>
      </x:c>
      <x:c r="C298" t="str">
        <x:f>IF(OR(A298="",COUNTIF(Frozen_Predictions!$A$4:$A$303,A298)&lt;&gt;1),"",INDEX(Frozen_Predictions!$E$4:$E$303,MATCH(A298,Frozen_Predictions!$A$4:$A$303,0)))</x:f>
      </x:c>
      <x:c r="D298" t="str">
        <x:f>IF(OR(A298="",COUNTIF(Frozen_Predictions!$A$4:$A$303,A298)&lt;&gt;1),"",INDEX(Frozen_Predictions!$F$4:$F$303,MATCH(A298,Frozen_Predictions!$A$4:$A$303,0)))</x:f>
      </x:c>
      <x:c r="E298" t="str">
        <x:f>IF(OR(A298="",COUNTIF(Frozen_Predictions!$A$4:$A$303,A298)&lt;&gt;1),"",INDEX(Frozen_Predictions!$G$4:$G$303,MATCH(A298,Frozen_Predictions!$A$4:$A$303,0)))</x:f>
      </x:c>
      <x:c r="F298" t="str">
        <x:f>IF(OR(A298="",COUNTIF(Frozen_Predictions!$A$4:$A$303,A298)&lt;&gt;1),"",INDEX(Frozen_Predictions!$H$4:$H$303,MATCH(A298,Frozen_Predictions!$A$4:$A$303,0)))</x:f>
      </x:c>
      <x:c r="G298" t="str">
        <x:f>IF(OR(A298="",COUNTIF(Frozen_Predictions!$A$4:$A$303,A298)&lt;&gt;1),"",INDEX(Frozen_Predictions!$I$4:$I$303,MATCH(A298,Frozen_Predictions!$A$4:$A$303,0)))</x:f>
      </x:c>
      <x:c r="H298" t="str">
        <x:f>IF(OR(A298="",COUNTIF(Frozen_Predictions!$A$4:$A$303,A298)&lt;&gt;1),"",INDEX(Frozen_Predictions!$J$4:$J$303,MATCH(A298,Frozen_Predictions!$A$4:$A$303,0)))</x:f>
      </x:c>
      <x:c r="I298" t="str">
        <x:f>IF(OR(A298="",COUNTIF(Frozen_Predictions!$A$4:$A$303,A298)&lt;&gt;1),"",INDEX(Frozen_Predictions!$K$4:$K$303,MATCH(A298,Frozen_Predictions!$A$4:$A$303,0)))</x:f>
      </x:c>
      <x:c r="J298" s="142" t="str">
        <x:f>IF(OR(A298="",G298="",COUNT(K298:M298)&lt;3,COUNTIF($A$4:$A$303,A298)&lt;&gt;1),"",IF(IF(M298+F298&gt;0,"1",IF(M298+F298=0,"X","2"))=G298&amp;"",1,0))</x:f>
      </x:c>
      <x:c r="K298" s="143"/>
      <x:c r="L298" s="143"/>
      <x:c r="M298" s="142" t="str">
        <x:f>IF(AND(A298&lt;&gt;"",COUNT(K298:L298)=2),K298-L298,"")</x:f>
      </x:c>
      <x:c r="N298" s="142" t="str">
        <x:f>IF(J298="","",IF(M298+F298=0,"YES","NO"))</x:f>
      </x:c>
      <x:c r="O298" t="str">
        <x:f>IF(J298="","",IF(J298=1,"WIN",IF(N298="YES","Exact margin M="&amp;ABS(F298),"Direction / tail")))</x:f>
      </x:c>
      <x:c r="P298" s="141"/>
      <x:c r="Q298" s="141"/>
      <x:c r="R298" s="144" t="str">
        <x:f>IF(OR(I298="",J298=""),"",(I298-J298)^2)</x:f>
      </x:c>
      <x:c r="S298" s="144" t="str">
        <x:f>IF(OR(I298="",J298=""),"",-(J298*LN(MAX(MIN(I298,0.999999),0.000001))+(1-J298)*LN(MAX(MIN(1-I298,0.999999),0.000001))))</x:f>
      </x:c>
      <x:c r="T298" t="str">
        <x:f>IF(J298="","",INDEX(Frozen_Predictions!$M$4:$M$303,MATCH(A298,Frozen_Predictions!$A$4:$A$303,0)))</x:f>
      </x:c>
      <x:c r="U298" t="str">
        <x:f>IF(J298="","",INDEX(Frozen_Predictions!$W$4:$W$303,MATCH(A298,Frozen_Predictions!$A$4:$A$303,0)))</x:f>
      </x:c>
      <x:c r="V298" t="str">
        <x:f>IF(J298="","",INDEX(Frozen_Predictions!$X$4:$X$303,MATCH(A298,Frozen_Predictions!$A$4:$A$303,0)))</x:f>
      </x:c>
      <x:c r="W298" t="str">
        <x:f>IF(A298="","",IF(COUNTIF($A$4:$A$303,A298)&lt;&gt;1,"ID DUPLICAT",IF(COUNTIF(Frozen_Predictions!$A$4:$A$303,A298)&lt;&gt;1,"ID INEXISTENT SAU DUPLICAT ÎN FROZEN",IF(COUNT(K298:L298)&lt;2,"COMPLETEAZĂ SCORUL","VERIFICAT"))))</x:f>
      </x:c>
    </x:row>
    <x:row r="299">
      <x:c r="A299" s="141"/>
      <x:c r="B299" t="str">
        <x:f>IF(OR(A299="",COUNTIF(Frozen_Predictions!$A$4:$A$303,A299)&lt;&gt;1),"",INDEX(Frozen_Predictions!$C$4:$C$303,MATCH(A299,Frozen_Predictions!$A$4:$A$303,0)))</x:f>
      </x:c>
      <x:c r="C299" t="str">
        <x:f>IF(OR(A299="",COUNTIF(Frozen_Predictions!$A$4:$A$303,A299)&lt;&gt;1),"",INDEX(Frozen_Predictions!$E$4:$E$303,MATCH(A299,Frozen_Predictions!$A$4:$A$303,0)))</x:f>
      </x:c>
      <x:c r="D299" t="str">
        <x:f>IF(OR(A299="",COUNTIF(Frozen_Predictions!$A$4:$A$303,A299)&lt;&gt;1),"",INDEX(Frozen_Predictions!$F$4:$F$303,MATCH(A299,Frozen_Predictions!$A$4:$A$303,0)))</x:f>
      </x:c>
      <x:c r="E299" t="str">
        <x:f>IF(OR(A299="",COUNTIF(Frozen_Predictions!$A$4:$A$303,A299)&lt;&gt;1),"",INDEX(Frozen_Predictions!$G$4:$G$303,MATCH(A299,Frozen_Predictions!$A$4:$A$303,0)))</x:f>
      </x:c>
      <x:c r="F299" t="str">
        <x:f>IF(OR(A299="",COUNTIF(Frozen_Predictions!$A$4:$A$303,A299)&lt;&gt;1),"",INDEX(Frozen_Predictions!$H$4:$H$303,MATCH(A299,Frozen_Predictions!$A$4:$A$303,0)))</x:f>
      </x:c>
      <x:c r="G299" t="str">
        <x:f>IF(OR(A299="",COUNTIF(Frozen_Predictions!$A$4:$A$303,A299)&lt;&gt;1),"",INDEX(Frozen_Predictions!$I$4:$I$303,MATCH(A299,Frozen_Predictions!$A$4:$A$303,0)))</x:f>
      </x:c>
      <x:c r="H299" t="str">
        <x:f>IF(OR(A299="",COUNTIF(Frozen_Predictions!$A$4:$A$303,A299)&lt;&gt;1),"",INDEX(Frozen_Predictions!$J$4:$J$303,MATCH(A299,Frozen_Predictions!$A$4:$A$303,0)))</x:f>
      </x:c>
      <x:c r="I299" t="str">
        <x:f>IF(OR(A299="",COUNTIF(Frozen_Predictions!$A$4:$A$303,A299)&lt;&gt;1),"",INDEX(Frozen_Predictions!$K$4:$K$303,MATCH(A299,Frozen_Predictions!$A$4:$A$303,0)))</x:f>
      </x:c>
      <x:c r="J299" s="142" t="str">
        <x:f>IF(OR(A299="",G299="",COUNT(K299:M299)&lt;3,COUNTIF($A$4:$A$303,A299)&lt;&gt;1),"",IF(IF(M299+F299&gt;0,"1",IF(M299+F299=0,"X","2"))=G299&amp;"",1,0))</x:f>
      </x:c>
      <x:c r="K299" s="143"/>
      <x:c r="L299" s="143"/>
      <x:c r="M299" s="142" t="str">
        <x:f>IF(AND(A299&lt;&gt;"",COUNT(K299:L299)=2),K299-L299,"")</x:f>
      </x:c>
      <x:c r="N299" s="142" t="str">
        <x:f>IF(J299="","",IF(M299+F299=0,"YES","NO"))</x:f>
      </x:c>
      <x:c r="O299" t="str">
        <x:f>IF(J299="","",IF(J299=1,"WIN",IF(N299="YES","Exact margin M="&amp;ABS(F299),"Direction / tail")))</x:f>
      </x:c>
      <x:c r="P299" s="141"/>
      <x:c r="Q299" s="141"/>
      <x:c r="R299" s="144" t="str">
        <x:f>IF(OR(I299="",J299=""),"",(I299-J299)^2)</x:f>
      </x:c>
      <x:c r="S299" s="144" t="str">
        <x:f>IF(OR(I299="",J299=""),"",-(J299*LN(MAX(MIN(I299,0.999999),0.000001))+(1-J299)*LN(MAX(MIN(1-I299,0.999999),0.000001))))</x:f>
      </x:c>
      <x:c r="T299" t="str">
        <x:f>IF(J299="","",INDEX(Frozen_Predictions!$M$4:$M$303,MATCH(A299,Frozen_Predictions!$A$4:$A$303,0)))</x:f>
      </x:c>
      <x:c r="U299" t="str">
        <x:f>IF(J299="","",INDEX(Frozen_Predictions!$W$4:$W$303,MATCH(A299,Frozen_Predictions!$A$4:$A$303,0)))</x:f>
      </x:c>
      <x:c r="V299" t="str">
        <x:f>IF(J299="","",INDEX(Frozen_Predictions!$X$4:$X$303,MATCH(A299,Frozen_Predictions!$A$4:$A$303,0)))</x:f>
      </x:c>
      <x:c r="W299" t="str">
        <x:f>IF(A299="","",IF(COUNTIF($A$4:$A$303,A299)&lt;&gt;1,"ID DUPLICAT",IF(COUNTIF(Frozen_Predictions!$A$4:$A$303,A299)&lt;&gt;1,"ID INEXISTENT SAU DUPLICAT ÎN FROZEN",IF(COUNT(K299:L299)&lt;2,"COMPLETEAZĂ SCORUL","VERIFICAT"))))</x:f>
      </x:c>
    </x:row>
    <x:row r="300">
      <x:c r="A300" s="141"/>
      <x:c r="B300" t="str">
        <x:f>IF(OR(A300="",COUNTIF(Frozen_Predictions!$A$4:$A$303,A300)&lt;&gt;1),"",INDEX(Frozen_Predictions!$C$4:$C$303,MATCH(A300,Frozen_Predictions!$A$4:$A$303,0)))</x:f>
      </x:c>
      <x:c r="C300" t="str">
        <x:f>IF(OR(A300="",COUNTIF(Frozen_Predictions!$A$4:$A$303,A300)&lt;&gt;1),"",INDEX(Frozen_Predictions!$E$4:$E$303,MATCH(A300,Frozen_Predictions!$A$4:$A$303,0)))</x:f>
      </x:c>
      <x:c r="D300" t="str">
        <x:f>IF(OR(A300="",COUNTIF(Frozen_Predictions!$A$4:$A$303,A300)&lt;&gt;1),"",INDEX(Frozen_Predictions!$F$4:$F$303,MATCH(A300,Frozen_Predictions!$A$4:$A$303,0)))</x:f>
      </x:c>
      <x:c r="E300" t="str">
        <x:f>IF(OR(A300="",COUNTIF(Frozen_Predictions!$A$4:$A$303,A300)&lt;&gt;1),"",INDEX(Frozen_Predictions!$G$4:$G$303,MATCH(A300,Frozen_Predictions!$A$4:$A$303,0)))</x:f>
      </x:c>
      <x:c r="F300" t="str">
        <x:f>IF(OR(A300="",COUNTIF(Frozen_Predictions!$A$4:$A$303,A300)&lt;&gt;1),"",INDEX(Frozen_Predictions!$H$4:$H$303,MATCH(A300,Frozen_Predictions!$A$4:$A$303,0)))</x:f>
      </x:c>
      <x:c r="G300" t="str">
        <x:f>IF(OR(A300="",COUNTIF(Frozen_Predictions!$A$4:$A$303,A300)&lt;&gt;1),"",INDEX(Frozen_Predictions!$I$4:$I$303,MATCH(A300,Frozen_Predictions!$A$4:$A$303,0)))</x:f>
      </x:c>
      <x:c r="H300" t="str">
        <x:f>IF(OR(A300="",COUNTIF(Frozen_Predictions!$A$4:$A$303,A300)&lt;&gt;1),"",INDEX(Frozen_Predictions!$J$4:$J$303,MATCH(A300,Frozen_Predictions!$A$4:$A$303,0)))</x:f>
      </x:c>
      <x:c r="I300" t="str">
        <x:f>IF(OR(A300="",COUNTIF(Frozen_Predictions!$A$4:$A$303,A300)&lt;&gt;1),"",INDEX(Frozen_Predictions!$K$4:$K$303,MATCH(A300,Frozen_Predictions!$A$4:$A$303,0)))</x:f>
      </x:c>
      <x:c r="J300" s="142" t="str">
        <x:f>IF(OR(A300="",G300="",COUNT(K300:M300)&lt;3,COUNTIF($A$4:$A$303,A300)&lt;&gt;1),"",IF(IF(M300+F300&gt;0,"1",IF(M300+F300=0,"X","2"))=G300&amp;"",1,0))</x:f>
      </x:c>
      <x:c r="K300" s="143"/>
      <x:c r="L300" s="143"/>
      <x:c r="M300" s="142" t="str">
        <x:f>IF(AND(A300&lt;&gt;"",COUNT(K300:L300)=2),K300-L300,"")</x:f>
      </x:c>
      <x:c r="N300" s="142" t="str">
        <x:f>IF(J300="","",IF(M300+F300=0,"YES","NO"))</x:f>
      </x:c>
      <x:c r="O300" t="str">
        <x:f>IF(J300="","",IF(J300=1,"WIN",IF(N300="YES","Exact margin M="&amp;ABS(F300),"Direction / tail")))</x:f>
      </x:c>
      <x:c r="P300" s="141"/>
      <x:c r="Q300" s="141"/>
      <x:c r="R300" s="144" t="str">
        <x:f>IF(OR(I300="",J300=""),"",(I300-J300)^2)</x:f>
      </x:c>
      <x:c r="S300" s="144" t="str">
        <x:f>IF(OR(I300="",J300=""),"",-(J300*LN(MAX(MIN(I300,0.999999),0.000001))+(1-J300)*LN(MAX(MIN(1-I300,0.999999),0.000001))))</x:f>
      </x:c>
      <x:c r="T300" t="str">
        <x:f>IF(J300="","",INDEX(Frozen_Predictions!$M$4:$M$303,MATCH(A300,Frozen_Predictions!$A$4:$A$303,0)))</x:f>
      </x:c>
      <x:c r="U300" t="str">
        <x:f>IF(J300="","",INDEX(Frozen_Predictions!$W$4:$W$303,MATCH(A300,Frozen_Predictions!$A$4:$A$303,0)))</x:f>
      </x:c>
      <x:c r="V300" t="str">
        <x:f>IF(J300="","",INDEX(Frozen_Predictions!$X$4:$X$303,MATCH(A300,Frozen_Predictions!$A$4:$A$303,0)))</x:f>
      </x:c>
      <x:c r="W300" t="str">
        <x:f>IF(A300="","",IF(COUNTIF($A$4:$A$303,A300)&lt;&gt;1,"ID DUPLICAT",IF(COUNTIF(Frozen_Predictions!$A$4:$A$303,A300)&lt;&gt;1,"ID INEXISTENT SAU DUPLICAT ÎN FROZEN",IF(COUNT(K300:L300)&lt;2,"COMPLETEAZĂ SCORUL","VERIFICAT"))))</x:f>
      </x:c>
    </x:row>
    <x:row r="301">
      <x:c r="A301" s="141"/>
      <x:c r="B301" t="str">
        <x:f>IF(OR(A301="",COUNTIF(Frozen_Predictions!$A$4:$A$303,A301)&lt;&gt;1),"",INDEX(Frozen_Predictions!$C$4:$C$303,MATCH(A301,Frozen_Predictions!$A$4:$A$303,0)))</x:f>
      </x:c>
      <x:c r="C301" t="str">
        <x:f>IF(OR(A301="",COUNTIF(Frozen_Predictions!$A$4:$A$303,A301)&lt;&gt;1),"",INDEX(Frozen_Predictions!$E$4:$E$303,MATCH(A301,Frozen_Predictions!$A$4:$A$303,0)))</x:f>
      </x:c>
      <x:c r="D301" t="str">
        <x:f>IF(OR(A301="",COUNTIF(Frozen_Predictions!$A$4:$A$303,A301)&lt;&gt;1),"",INDEX(Frozen_Predictions!$F$4:$F$303,MATCH(A301,Frozen_Predictions!$A$4:$A$303,0)))</x:f>
      </x:c>
      <x:c r="E301" t="str">
        <x:f>IF(OR(A301="",COUNTIF(Frozen_Predictions!$A$4:$A$303,A301)&lt;&gt;1),"",INDEX(Frozen_Predictions!$G$4:$G$303,MATCH(A301,Frozen_Predictions!$A$4:$A$303,0)))</x:f>
      </x:c>
      <x:c r="F301" t="str">
        <x:f>IF(OR(A301="",COUNTIF(Frozen_Predictions!$A$4:$A$303,A301)&lt;&gt;1),"",INDEX(Frozen_Predictions!$H$4:$H$303,MATCH(A301,Frozen_Predictions!$A$4:$A$303,0)))</x:f>
      </x:c>
      <x:c r="G301" t="str">
        <x:f>IF(OR(A301="",COUNTIF(Frozen_Predictions!$A$4:$A$303,A301)&lt;&gt;1),"",INDEX(Frozen_Predictions!$I$4:$I$303,MATCH(A301,Frozen_Predictions!$A$4:$A$303,0)))</x:f>
      </x:c>
      <x:c r="H301" t="str">
        <x:f>IF(OR(A301="",COUNTIF(Frozen_Predictions!$A$4:$A$303,A301)&lt;&gt;1),"",INDEX(Frozen_Predictions!$J$4:$J$303,MATCH(A301,Frozen_Predictions!$A$4:$A$303,0)))</x:f>
      </x:c>
      <x:c r="I301" t="str">
        <x:f>IF(OR(A301="",COUNTIF(Frozen_Predictions!$A$4:$A$303,A301)&lt;&gt;1),"",INDEX(Frozen_Predictions!$K$4:$K$303,MATCH(A301,Frozen_Predictions!$A$4:$A$303,0)))</x:f>
      </x:c>
      <x:c r="J301" s="142" t="str">
        <x:f>IF(OR(A301="",G301="",COUNT(K301:M301)&lt;3,COUNTIF($A$4:$A$303,A301)&lt;&gt;1),"",IF(IF(M301+F301&gt;0,"1",IF(M301+F301=0,"X","2"))=G301&amp;"",1,0))</x:f>
      </x:c>
      <x:c r="K301" s="143"/>
      <x:c r="L301" s="143"/>
      <x:c r="M301" s="142" t="str">
        <x:f>IF(AND(A301&lt;&gt;"",COUNT(K301:L301)=2),K301-L301,"")</x:f>
      </x:c>
      <x:c r="N301" s="142" t="str">
        <x:f>IF(J301="","",IF(M301+F301=0,"YES","NO"))</x:f>
      </x:c>
      <x:c r="O301" t="str">
        <x:f>IF(J301="","",IF(J301=1,"WIN",IF(N301="YES","Exact margin M="&amp;ABS(F301),"Direction / tail")))</x:f>
      </x:c>
      <x:c r="P301" s="141"/>
      <x:c r="Q301" s="141"/>
      <x:c r="R301" s="144" t="str">
        <x:f>IF(OR(I301="",J301=""),"",(I301-J301)^2)</x:f>
      </x:c>
      <x:c r="S301" s="144" t="str">
        <x:f>IF(OR(I301="",J301=""),"",-(J301*LN(MAX(MIN(I301,0.999999),0.000001))+(1-J301)*LN(MAX(MIN(1-I301,0.999999),0.000001))))</x:f>
      </x:c>
      <x:c r="T301" t="str">
        <x:f>IF(J301="","",INDEX(Frozen_Predictions!$M$4:$M$303,MATCH(A301,Frozen_Predictions!$A$4:$A$303,0)))</x:f>
      </x:c>
      <x:c r="U301" t="str">
        <x:f>IF(J301="","",INDEX(Frozen_Predictions!$W$4:$W$303,MATCH(A301,Frozen_Predictions!$A$4:$A$303,0)))</x:f>
      </x:c>
      <x:c r="V301" t="str">
        <x:f>IF(J301="","",INDEX(Frozen_Predictions!$X$4:$X$303,MATCH(A301,Frozen_Predictions!$A$4:$A$303,0)))</x:f>
      </x:c>
      <x:c r="W301" t="str">
        <x:f>IF(A301="","",IF(COUNTIF($A$4:$A$303,A301)&lt;&gt;1,"ID DUPLICAT",IF(COUNTIF(Frozen_Predictions!$A$4:$A$303,A301)&lt;&gt;1,"ID INEXISTENT SAU DUPLICAT ÎN FROZEN",IF(COUNT(K301:L301)&lt;2,"COMPLETEAZĂ SCORUL","VERIFICAT"))))</x:f>
      </x:c>
    </x:row>
    <x:row r="302">
      <x:c r="A302" s="141"/>
      <x:c r="B302" t="str">
        <x:f>IF(OR(A302="",COUNTIF(Frozen_Predictions!$A$4:$A$303,A302)&lt;&gt;1),"",INDEX(Frozen_Predictions!$C$4:$C$303,MATCH(A302,Frozen_Predictions!$A$4:$A$303,0)))</x:f>
      </x:c>
      <x:c r="C302" t="str">
        <x:f>IF(OR(A302="",COUNTIF(Frozen_Predictions!$A$4:$A$303,A302)&lt;&gt;1),"",INDEX(Frozen_Predictions!$E$4:$E$303,MATCH(A302,Frozen_Predictions!$A$4:$A$303,0)))</x:f>
      </x:c>
      <x:c r="D302" t="str">
        <x:f>IF(OR(A302="",COUNTIF(Frozen_Predictions!$A$4:$A$303,A302)&lt;&gt;1),"",INDEX(Frozen_Predictions!$F$4:$F$303,MATCH(A302,Frozen_Predictions!$A$4:$A$303,0)))</x:f>
      </x:c>
      <x:c r="E302" t="str">
        <x:f>IF(OR(A302="",COUNTIF(Frozen_Predictions!$A$4:$A$303,A302)&lt;&gt;1),"",INDEX(Frozen_Predictions!$G$4:$G$303,MATCH(A302,Frozen_Predictions!$A$4:$A$303,0)))</x:f>
      </x:c>
      <x:c r="F302" t="str">
        <x:f>IF(OR(A302="",COUNTIF(Frozen_Predictions!$A$4:$A$303,A302)&lt;&gt;1),"",INDEX(Frozen_Predictions!$H$4:$H$303,MATCH(A302,Frozen_Predictions!$A$4:$A$303,0)))</x:f>
      </x:c>
      <x:c r="G302" t="str">
        <x:f>IF(OR(A302="",COUNTIF(Frozen_Predictions!$A$4:$A$303,A302)&lt;&gt;1),"",INDEX(Frozen_Predictions!$I$4:$I$303,MATCH(A302,Frozen_Predictions!$A$4:$A$303,0)))</x:f>
      </x:c>
      <x:c r="H302" t="str">
        <x:f>IF(OR(A302="",COUNTIF(Frozen_Predictions!$A$4:$A$303,A302)&lt;&gt;1),"",INDEX(Frozen_Predictions!$J$4:$J$303,MATCH(A302,Frozen_Predictions!$A$4:$A$303,0)))</x:f>
      </x:c>
      <x:c r="I302" t="str">
        <x:f>IF(OR(A302="",COUNTIF(Frozen_Predictions!$A$4:$A$303,A302)&lt;&gt;1),"",INDEX(Frozen_Predictions!$K$4:$K$303,MATCH(A302,Frozen_Predictions!$A$4:$A$303,0)))</x:f>
      </x:c>
      <x:c r="J302" s="142" t="str">
        <x:f>IF(OR(A302="",G302="",COUNT(K302:M302)&lt;3,COUNTIF($A$4:$A$303,A302)&lt;&gt;1),"",IF(IF(M302+F302&gt;0,"1",IF(M302+F302=0,"X","2"))=G302&amp;"",1,0))</x:f>
      </x:c>
      <x:c r="K302" s="143"/>
      <x:c r="L302" s="143"/>
      <x:c r="M302" s="142" t="str">
        <x:f>IF(AND(A302&lt;&gt;"",COUNT(K302:L302)=2),K302-L302,"")</x:f>
      </x:c>
      <x:c r="N302" s="142" t="str">
        <x:f>IF(J302="","",IF(M302+F302=0,"YES","NO"))</x:f>
      </x:c>
      <x:c r="O302" t="str">
        <x:f>IF(J302="","",IF(J302=1,"WIN",IF(N302="YES","Exact margin M="&amp;ABS(F302),"Direction / tail")))</x:f>
      </x:c>
      <x:c r="P302" s="141"/>
      <x:c r="Q302" s="141"/>
      <x:c r="R302" s="144" t="str">
        <x:f>IF(OR(I302="",J302=""),"",(I302-J302)^2)</x:f>
      </x:c>
      <x:c r="S302" s="144" t="str">
        <x:f>IF(OR(I302="",J302=""),"",-(J302*LN(MAX(MIN(I302,0.999999),0.000001))+(1-J302)*LN(MAX(MIN(1-I302,0.999999),0.000001))))</x:f>
      </x:c>
      <x:c r="T302" t="str">
        <x:f>IF(J302="","",INDEX(Frozen_Predictions!$M$4:$M$303,MATCH(A302,Frozen_Predictions!$A$4:$A$303,0)))</x:f>
      </x:c>
      <x:c r="U302" t="str">
        <x:f>IF(J302="","",INDEX(Frozen_Predictions!$W$4:$W$303,MATCH(A302,Frozen_Predictions!$A$4:$A$303,0)))</x:f>
      </x:c>
      <x:c r="V302" t="str">
        <x:f>IF(J302="","",INDEX(Frozen_Predictions!$X$4:$X$303,MATCH(A302,Frozen_Predictions!$A$4:$A$303,0)))</x:f>
      </x:c>
      <x:c r="W302" t="str">
        <x:f>IF(A302="","",IF(COUNTIF($A$4:$A$303,A302)&lt;&gt;1,"ID DUPLICAT",IF(COUNTIF(Frozen_Predictions!$A$4:$A$303,A302)&lt;&gt;1,"ID INEXISTENT SAU DUPLICAT ÎN FROZEN",IF(COUNT(K302:L302)&lt;2,"COMPLETEAZĂ SCORUL","VERIFICAT"))))</x:f>
      </x:c>
    </x:row>
    <x:row r="303">
      <x:c r="A303" s="141"/>
      <x:c r="B303" t="str">
        <x:f>IF(OR(A303="",COUNTIF(Frozen_Predictions!$A$4:$A$303,A303)&lt;&gt;1),"",INDEX(Frozen_Predictions!$C$4:$C$303,MATCH(A303,Frozen_Predictions!$A$4:$A$303,0)))</x:f>
      </x:c>
      <x:c r="C303" t="str">
        <x:f>IF(OR(A303="",COUNTIF(Frozen_Predictions!$A$4:$A$303,A303)&lt;&gt;1),"",INDEX(Frozen_Predictions!$E$4:$E$303,MATCH(A303,Frozen_Predictions!$A$4:$A$303,0)))</x:f>
      </x:c>
      <x:c r="D303" t="str">
        <x:f>IF(OR(A303="",COUNTIF(Frozen_Predictions!$A$4:$A$303,A303)&lt;&gt;1),"",INDEX(Frozen_Predictions!$F$4:$F$303,MATCH(A303,Frozen_Predictions!$A$4:$A$303,0)))</x:f>
      </x:c>
      <x:c r="E303" t="str">
        <x:f>IF(OR(A303="",COUNTIF(Frozen_Predictions!$A$4:$A$303,A303)&lt;&gt;1),"",INDEX(Frozen_Predictions!$G$4:$G$303,MATCH(A303,Frozen_Predictions!$A$4:$A$303,0)))</x:f>
      </x:c>
      <x:c r="F303" t="str">
        <x:f>IF(OR(A303="",COUNTIF(Frozen_Predictions!$A$4:$A$303,A303)&lt;&gt;1),"",INDEX(Frozen_Predictions!$H$4:$H$303,MATCH(A303,Frozen_Predictions!$A$4:$A$303,0)))</x:f>
      </x:c>
      <x:c r="G303" t="str">
        <x:f>IF(OR(A303="",COUNTIF(Frozen_Predictions!$A$4:$A$303,A303)&lt;&gt;1),"",INDEX(Frozen_Predictions!$I$4:$I$303,MATCH(A303,Frozen_Predictions!$A$4:$A$303,0)))</x:f>
      </x:c>
      <x:c r="H303" t="str">
        <x:f>IF(OR(A303="",COUNTIF(Frozen_Predictions!$A$4:$A$303,A303)&lt;&gt;1),"",INDEX(Frozen_Predictions!$J$4:$J$303,MATCH(A303,Frozen_Predictions!$A$4:$A$303,0)))</x:f>
      </x:c>
      <x:c r="I303" t="str">
        <x:f>IF(OR(A303="",COUNTIF(Frozen_Predictions!$A$4:$A$303,A303)&lt;&gt;1),"",INDEX(Frozen_Predictions!$K$4:$K$303,MATCH(A303,Frozen_Predictions!$A$4:$A$303,0)))</x:f>
      </x:c>
      <x:c r="J303" s="142" t="str">
        <x:f>IF(OR(A303="",G303="",COUNT(K303:M303)&lt;3,COUNTIF($A$4:$A$303,A303)&lt;&gt;1),"",IF(IF(M303+F303&gt;0,"1",IF(M303+F303=0,"X","2"))=G303&amp;"",1,0))</x:f>
      </x:c>
      <x:c r="K303" s="143"/>
      <x:c r="L303" s="143"/>
      <x:c r="M303" s="142" t="str">
        <x:f>IF(AND(A303&lt;&gt;"",COUNT(K303:L303)=2),K303-L303,"")</x:f>
      </x:c>
      <x:c r="N303" s="142" t="str">
        <x:f>IF(J303="","",IF(M303+F303=0,"YES","NO"))</x:f>
      </x:c>
      <x:c r="O303" t="str">
        <x:f>IF(J303="","",IF(J303=1,"WIN",IF(N303="YES","Exact margin M="&amp;ABS(F303),"Direction / tail")))</x:f>
      </x:c>
      <x:c r="P303" s="141"/>
      <x:c r="Q303" s="141"/>
      <x:c r="R303" s="144" t="str">
        <x:f>IF(OR(I303="",J303=""),"",(I303-J303)^2)</x:f>
      </x:c>
      <x:c r="S303" s="144" t="str">
        <x:f>IF(OR(I303="",J303=""),"",-(J303*LN(MAX(MIN(I303,0.999999),0.000001))+(1-J303)*LN(MAX(MIN(1-I303,0.999999),0.000001))))</x:f>
      </x:c>
      <x:c r="T303" t="str">
        <x:f>IF(J303="","",INDEX(Frozen_Predictions!$M$4:$M$303,MATCH(A303,Frozen_Predictions!$A$4:$A$303,0)))</x:f>
      </x:c>
      <x:c r="U303" t="str">
        <x:f>IF(J303="","",INDEX(Frozen_Predictions!$W$4:$W$303,MATCH(A303,Frozen_Predictions!$A$4:$A$303,0)))</x:f>
      </x:c>
      <x:c r="V303" t="str">
        <x:f>IF(J303="","",INDEX(Frozen_Predictions!$X$4:$X$303,MATCH(A303,Frozen_Predictions!$A$4:$A$303,0)))</x:f>
      </x:c>
      <x:c r="W303" t="str">
        <x:f>IF(A303="","",IF(COUNTIF($A$4:$A$303,A303)&lt;&gt;1,"ID DUPLICAT",IF(COUNTIF(Frozen_Predictions!$A$4:$A$303,A303)&lt;&gt;1,"ID INEXISTENT SAU DUPLICAT ÎN FROZEN",IF(COUNT(K303:L303)&lt;2,"COMPLETEAZĂ SCORUL","VERIFICAT"))))</x:f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7.350000381469727" hidden="0">
      <x:c r="A1" s="67" t="str">
        <x:v>BACKTEST – HANDICAP EUROPEAN</x:v>
      </x:c>
      <x:c r="B1" s="67"/>
      <x:c r="C1" s="67"/>
      <x:c r="D1" s="67"/>
      <x:c r="E1" s="67"/>
      <x:c r="F1" s="67"/>
      <x:c r="G1" s="67"/>
      <x:c r="H1" s="67"/>
    </x:row>
    <x:row r="2" ht="35.04999923706055" hidden="0" customHeight="1">
      <x:c r="A2" s="65" t="s">
        <x:v>928</x:v>
      </x:c>
      <x:c r="B2" s="65"/>
      <x:c r="C2" s="65"/>
      <x:c r="D2" s="65"/>
      <x:c r="E2" s="65"/>
      <x:c r="F2" s="65"/>
      <x:c r="G2" s="65"/>
      <x:c r="H2" s="65"/>
    </x:row>
    <x:row r="3" ht="23.850000381469727" hidden="0">
      <x:c r="A3" s="5" t="s">
        <x:v>929</x:v>
      </x:c>
      <x:c r="B3" s="5" t="s">
        <x:v>930</x:v>
      </x:c>
      <x:c r="C3" s="5" t="s">
        <x:v>931</x:v>
      </x:c>
      <x:c r="D3" s="5" t="s">
        <x:v>932</x:v>
      </x:c>
      <x:c r="E3" s="5" t="s">
        <x:v>933</x:v>
      </x:c>
      <x:c r="F3" s="5" t="s">
        <x:v>934</x:v>
      </x:c>
      <x:c r="G3" s="5" t="s">
        <x:v>935</x:v>
      </x:c>
      <x:c r="H3" s="5" t="s">
        <x:v>212</x:v>
      </x:c>
    </x:row>
    <x:row r="4" ht="15" hidden="0">
      <x:c r="A4" t="s">
        <x:v>936</x:v>
      </x:c>
      <x:c r="B4" t="n">
        <x:f aca="0">COUNT(Settlement!$J$4:$J$303)</x:f>
        <x:v>0</x:v>
      </x:c>
      <x:c r="C4" t="s">
        <x:v>937</x:v>
      </x:c>
      <x:c r="D4" t="s">
        <x:v>938</x:v>
      </x:c>
      <x:c r="E4" t="s">
        <x:v>939</x:v>
      </x:c>
      <x:c r="F4" t="n">
        <x:v>21</x:v>
      </x:c>
      <x:c r="G4" t="s">
        <x:v>940</x:v>
      </x:c>
      <x:c r="H4" t="s">
        <x:v>941</x:v>
      </x:c>
    </x:row>
    <x:row r="5" ht="15" hidden="0">
      <x:c r="A5" t="s">
        <x:v>942</x:v>
      </x:c>
      <x:c r="B5" t="n">
        <x:f aca="0">SUM(Settlement!$J$4:$J$303)</x:f>
        <x:v>0</x:v>
      </x:c>
      <x:c r="C5" t="s">
        <x:v>942</x:v>
      </x:c>
      <x:c r="D5" t="s">
        <x:v>943</x:v>
      </x:c>
      <x:c r="E5" t="s">
        <x:v>944</x:v>
      </x:c>
      <x:c r="F5" t="n">
        <x:v>12</x:v>
      </x:c>
      <x:c r="G5" t="s">
        <x:v>945</x:v>
      </x:c>
      <x:c r="H5" t="s">
        <x:v>941</x:v>
      </x:c>
    </x:row>
    <x:row r="6" ht="15" hidden="0">
      <x:c r="A6" t="s">
        <x:v>946</x:v>
      </x:c>
      <x:c r="B6" t="str">
        <x:f aca="0">IFERROR(B5/B4,"")</x:f>
      </x:c>
      <x:c r="C6" t="s">
        <x:v>947</x:v>
      </x:c>
      <x:c r="D6" t="s">
        <x:v>948</x:v>
      </x:c>
    </x:row>
    <x:row r="7" ht="15" hidden="0">
      <x:c r="A7" t="s">
        <x:v>924</x:v>
      </x:c>
      <x:c r="B7" t="str">
        <x:f aca="0">IFERROR(AVERAGE(Settlement!$R$4:$R$303),"")</x:f>
      </x:c>
      <x:c r="C7" t="s">
        <x:v>949</x:v>
      </x:c>
      <x:c r="D7" t="s">
        <x:v>950</x:v>
      </x:c>
      <x:c r="G7" t="s">
        <x:v>951</x:v>
      </x:c>
    </x:row>
    <x:row r="8" ht="15" hidden="0">
      <x:c r="A8" t="s">
        <x:v>925</x:v>
      </x:c>
      <x:c r="B8" t="str">
        <x:f aca="0">IFERROR(AVERAGE(Settlement!$S$4:$S$303),"")</x:f>
      </x:c>
      <x:c r="C8" t="s">
        <x:v>949</x:v>
      </x:c>
      <x:c r="D8" t="s">
        <x:v>950</x:v>
      </x:c>
      <x:c r="G8" t="s">
        <x:v>951</x:v>
      </x:c>
    </x:row>
    <x:row r="9" ht="15" hidden="0">
      <x:c r="A9" t="s">
        <x:v>952</x:v>
      </x:c>
      <x:c r="B9" t="n">
        <x:f aca="0">COUNTIF(League_Summary!$H$4:$H$23,"STABLE")</x:f>
        <x:v>0</x:v>
      </x:c>
      <x:c r="C9" t="s">
        <x:v>953</x:v>
      </x:c>
      <x:c r="D9" t="s">
        <x:v>950</x:v>
      </x:c>
    </x:row>
    <x:row r="10" ht="15" hidden="0">
      <x:c r="A10" t="s">
        <x:v>954</x:v>
      </x:c>
      <x:c r="B10" t="s">
        <x:v>955</x:v>
      </x:c>
      <x:c r="C10" t="s">
        <x:v>956</x:v>
      </x:c>
      <x:c r="D10" t="s">
        <x:v>950</x:v>
      </x:c>
    </x:row>
    <x:row r="11" ht="15" hidden="0">
      <x:c r="A11" t="s">
        <x:v>957</x:v>
      </x:c>
      <x:c r="B11" t="s">
        <x:v>958</x:v>
      </x:c>
      <x:c r="C11" t="str">
        <x:v>Pragurile active rămân cele din Parametri_v2</x:v>
      </x:c>
      <x:c r="D11" t="s">
        <x:v>959</x:v>
      </x:c>
      <x:c r="H11" t="s">
        <x:v>960</x:v>
      </x:c>
    </x:row>
    <x:row r="12" ht="15" hidden="0">
      <x:c r="A12" t="s">
        <x:v>961</x:v>
      </x:c>
      <x:c r="B12" t="s">
        <x:v>962</x:v>
      </x:c>
      <x:c r="C12" t="s">
        <x:v>963</x:v>
      </x:c>
      <x:c r="D12" t="s">
        <x:v>964</x:v>
      </x:c>
      <x:c r="H12" t="s">
        <x:v>965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7.350000381469727" hidden="0">
      <x:c r="A1" s="67" t="s">
        <x:v>966</x:v>
      </x:c>
      <x:c r="B1" s="67"/>
      <x:c r="C1" s="67"/>
      <x:c r="D1" s="67"/>
      <x:c r="E1" s="67"/>
      <x:c r="F1" s="67"/>
    </x:row>
    <x:row r="2" ht="23.850000381469727" hidden="0" customHeight="1">
      <x:c r="A2" s="65" t="s">
        <x:v>967</x:v>
      </x:c>
      <x:c r="B2" s="65"/>
      <x:c r="C2" s="65"/>
      <x:c r="D2" s="65"/>
      <x:c r="E2" s="65"/>
      <x:c r="F2" s="65"/>
    </x:row>
    <x:row r="3" ht="23.850000381469727" hidden="0">
      <x:c r="A3" s="5" t="s">
        <x:v>968</x:v>
      </x:c>
      <x:c r="B3" s="5" t="s">
        <x:v>969</x:v>
      </x:c>
      <x:c r="C3" s="5" t="s">
        <x:v>942</x:v>
      </x:c>
      <x:c r="D3" s="5" t="s">
        <x:v>946</x:v>
      </x:c>
      <x:c r="E3" s="5" t="s">
        <x:v>924</x:v>
      </x:c>
      <x:c r="F3" s="5" t="s">
        <x:v>970</x:v>
      </x:c>
    </x:row>
    <x:row r="4" ht="15" hidden="0">
      <x:c r="A4" t="n">
        <x:v>1</x:v>
      </x:c>
      <x:c r="B4" t="n">
        <x:f aca="0">COUNTIF(Settlement!$T$4:$T$303,A4)</x:f>
        <x:v>0</x:v>
      </x:c>
      <x:c r="C4" t="n">
        <x:f aca="0">SUMIF(Settlement!$T$4:$T$303,A4,Settlement!$J$4:$J$303)</x:f>
        <x:v>0</x:v>
      </x:c>
      <x:c r="D4" t="str">
        <x:f aca="0">IFERROR(C4/B4,"")</x:f>
      </x:c>
      <x:c r="E4" t="str">
        <x:f aca="0">IFERROR(SUMIF(Settlement!$T$4:$T$303,A4,Settlement!$R$4:$R$303)/B4,"")</x:f>
      </x:c>
      <x:c r="F4" t="str">
        <x:f aca="0">IF(D4="","",1-D4)</x:f>
      </x:c>
    </x:row>
    <x:row r="5" ht="15" hidden="0">
      <x:c r="A5" t="n">
        <x:v>2</x:v>
      </x:c>
      <x:c r="B5" t="n">
        <x:f aca="0">COUNTIF(Settlement!$T$4:$T$303,A5)</x:f>
        <x:v>0</x:v>
      </x:c>
      <x:c r="C5" t="n">
        <x:f aca="0">SUMIF(Settlement!$T$4:$T$303,A5,Settlement!$J$4:$J$303)</x:f>
        <x:v>0</x:v>
      </x:c>
      <x:c r="D5" t="str">
        <x:f aca="0">IFERROR(C5/B5,"")</x:f>
      </x:c>
      <x:c r="E5" t="str">
        <x:f aca="0">IFERROR(SUMIF(Settlement!$T$4:$T$303,A5,Settlement!$R$4:$R$303)/B5,"")</x:f>
      </x:c>
      <x:c r="F5" t="str">
        <x:f aca="0">IF(D5="","",1-D5)</x:f>
      </x:c>
    </x:row>
    <x:row r="6" ht="15" hidden="0">
      <x:c r="A6" t="n">
        <x:v>3</x:v>
      </x:c>
      <x:c r="B6" t="n">
        <x:f aca="0">COUNTIF(Settlement!$T$4:$T$303,A6)</x:f>
        <x:v>0</x:v>
      </x:c>
      <x:c r="C6" t="n">
        <x:f aca="0">SUMIF(Settlement!$T$4:$T$303,A6,Settlement!$J$4:$J$303)</x:f>
        <x:v>0</x:v>
      </x:c>
      <x:c r="D6" t="str">
        <x:f aca="0">IFERROR(C6/B6,"")</x:f>
      </x:c>
      <x:c r="E6" t="str">
        <x:f aca="0">IFERROR(SUMIF(Settlement!$T$4:$T$303,A6,Settlement!$R$4:$R$303)/B6,"")</x:f>
      </x:c>
      <x:c r="F6" t="str">
        <x:f aca="0">IF(D6="","",1-D6)</x:f>
      </x:c>
    </x:row>
    <x:row r="7" ht="15" hidden="0">
      <x:c r="A7" t="n">
        <x:v>4</x:v>
      </x:c>
      <x:c r="B7" t="n">
        <x:f aca="0">COUNTIF(Settlement!$T$4:$T$303,A7)</x:f>
        <x:v>0</x:v>
      </x:c>
      <x:c r="C7" t="n">
        <x:f aca="0">SUMIF(Settlement!$T$4:$T$303,A7,Settlement!$J$4:$J$303)</x:f>
        <x:v>0</x:v>
      </x:c>
      <x:c r="D7" t="str">
        <x:f aca="0">IFERROR(C7/B7,"")</x:f>
      </x:c>
      <x:c r="E7" t="str">
        <x:f aca="0">IFERROR(SUMIF(Settlement!$T$4:$T$303,A7,Settlement!$R$4:$R$303)/B7,"")</x:f>
      </x:c>
      <x:c r="F7" t="str">
        <x:f aca="0">IF(D7="","",1-D7)</x:f>
      </x:c>
    </x:row>
    <x:row r="8" ht="15" hidden="0">
      <x:c r="A8" t="n">
        <x:v>5</x:v>
      </x:c>
      <x:c r="B8" t="n">
        <x:f aca="0">COUNTIF(Settlement!$T$4:$T$303,A8)</x:f>
        <x:v>0</x:v>
      </x:c>
      <x:c r="C8" t="n">
        <x:f aca="0">SUMIF(Settlement!$T$4:$T$303,A8,Settlement!$J$4:$J$303)</x:f>
        <x:v>0</x:v>
      </x:c>
      <x:c r="D8" t="str">
        <x:f aca="0">IFERROR(C8/B8,"")</x:f>
      </x:c>
      <x:c r="E8" t="str">
        <x:f aca="0">IFERROR(SUMIF(Settlement!$T$4:$T$303,A8,Settlement!$R$4:$R$303)/B8,"")</x:f>
      </x:c>
      <x:c r="F8" t="str">
        <x:f aca="0">IF(D8="","",1-D8)</x:f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7.350000381469727" hidden="0">
      <x:c r="A1" s="67" t="s">
        <x:v>971</x:v>
      </x:c>
      <x:c r="B1" s="67"/>
      <x:c r="C1" s="67"/>
      <x:c r="D1" s="67"/>
      <x:c r="E1" s="67"/>
      <x:c r="F1" s="67"/>
      <x:c r="G1" s="67"/>
      <x:c r="H1" s="67"/>
    </x:row>
    <x:row r="2" ht="23.850000381469727" hidden="0" customHeight="1">
      <x:c r="A2" s="65" t="s">
        <x:v>972</x:v>
      </x:c>
      <x:c r="B2" s="65"/>
      <x:c r="C2" s="65"/>
      <x:c r="D2" s="65"/>
      <x:c r="E2" s="65"/>
      <x:c r="F2" s="65"/>
      <x:c r="G2" s="65"/>
      <x:c r="H2" s="65"/>
    </x:row>
    <x:row r="3" ht="35.04999923706055" hidden="0">
      <x:c r="A3" s="5" t="s">
        <x:v>973</x:v>
      </x:c>
      <x:c r="B3" s="5" t="s">
        <x:v>974</x:v>
      </x:c>
      <x:c r="C3" s="5" t="s">
        <x:v>975</x:v>
      </x:c>
      <x:c r="D3" s="5" t="s">
        <x:v>976</x:v>
      </x:c>
      <x:c r="E3" s="5" t="s">
        <x:v>977</x:v>
      </x:c>
      <x:c r="F3" s="5" t="s">
        <x:v>978</x:v>
      </x:c>
      <x:c r="G3" s="5" t="s">
        <x:v>979</x:v>
      </x:c>
      <x:c r="H3" s="5" t="s">
        <x:v>980</x:v>
      </x:c>
    </x:row>
    <x:row r="4" ht="15" hidden="0">
      <x:c r="A4" t="n">
        <x:v>2</x:v>
      </x:c>
      <x:c r="B4" t="n">
        <x:f aca="0">COUNTIF(Frozen_Predictions!$H$4:$H$303,2)</x:f>
        <x:v>0</x:v>
      </x:c>
      <x:c r="C4" t="str">
        <x:f aca="0">IFERROR(AVERAGEIF(Frozen_Predictions!$H$4:$H$303,2,Frozen_Predictions!$O$4:$O$303),"")</x:f>
      </x:c>
      <x:c r="D4" t="str">
        <x:f aca="0">IFERROR(COUNTIFS(Settlement!$F$4:$F$303,2,Settlement!$N$4:$N$303,"YES")/COUNTIF(Settlement!$F$4:$F$303,2),"")</x:f>
      </x:c>
      <x:c r="E4" t="str">
        <x:f aca="0">IF(OR(C4="",D4=""),"",C4-D4)</x:f>
      </x:c>
      <x:c r="H4" t="str">
        <x:f aca="0">IF(B4&lt;20,"LOW N",IF(ABS(E4)&lt;=0.03,"STABLE","WATCH"))</x:f>
        <x:v>LOW N</x:v>
      </x:c>
    </x:row>
    <x:row r="5" ht="15" hidden="0">
      <x:c r="A5" t="n">
        <x:v>3</x:v>
      </x:c>
      <x:c r="B5" t="n">
        <x:f aca="0">COUNTIF(Frozen_Predictions!$H$4:$H$303,3)</x:f>
        <x:v>0</x:v>
      </x:c>
      <x:c r="C5" t="str">
        <x:f aca="0">IFERROR(AVERAGEIF(Frozen_Predictions!$H$4:$H$303,3,Frozen_Predictions!$P$4:$P$303),"")</x:f>
      </x:c>
      <x:c r="D5" t="str">
        <x:f aca="0">IFERROR(COUNTIFS(Settlement!$F$4:$F$303,3,Settlement!$N$4:$N$303,"YES")/COUNTIF(Settlement!$F$4:$F$303,3),"")</x:f>
      </x:c>
      <x:c r="E5" t="str">
        <x:f aca="0">IF(OR(C5="",D5=""),"",C5-D5)</x:f>
      </x:c>
      <x:c r="H5" t="str">
        <x:f aca="0">IF(B5&lt;20,"LOW N",IF(ABS(E5)&lt;=0.03,"STABLE","WATCH"))</x:f>
        <x:v>LOW N</x:v>
      </x:c>
    </x:row>
    <x:row r="6" ht="15" hidden="0">
      <x:c r="A6" t="n">
        <x:v>4</x:v>
      </x:c>
      <x:c r="B6" t="n">
        <x:f aca="0">COUNTIF(Frozen_Predictions!$H$4:$H$303,4)</x:f>
        <x:v>0</x:v>
      </x:c>
      <x:c r="C6" t="str">
        <x:f aca="0">IFERROR(AVERAGEIF(Frozen_Predictions!$H$4:$H$303,4,Frozen_Predictions!$Q$4:$Q$303),"")</x:f>
      </x:c>
      <x:c r="D6" t="str">
        <x:f aca="0">IFERROR(COUNTIFS(Settlement!$F$4:$F$303,4,Settlement!$N$4:$N$303,"YES")/COUNTIF(Settlement!$F$4:$F$303,4),"")</x:f>
      </x:c>
      <x:c r="E6" t="str">
        <x:f aca="0">IF(OR(C6="",D6=""),"",C6-D6)</x:f>
      </x:c>
      <x:c r="H6" t="str">
        <x:f aca="0">IF(B6&lt;20,"LOW N",IF(ABS(E6)&lt;=0.03,"STABLE","WATCH"))</x:f>
        <x:v>LOW 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7.350000381469727" hidden="0">
      <x:c r="A1" s="67" t="s">
        <x:v>981</x:v>
      </x:c>
      <x:c r="B1" s="67"/>
      <x:c r="C1" s="67"/>
      <x:c r="D1" s="67"/>
    </x:row>
    <x:row r="2" ht="35.04999923706055" hidden="0" customHeight="1">
      <x:c r="A2" s="65" t="s">
        <x:v>982</x:v>
      </x:c>
      <x:c r="B2" s="65"/>
      <x:c r="C2" s="65"/>
      <x:c r="D2" s="65"/>
    </x:row>
    <x:row r="3" ht="23.850000381469727" hidden="0">
      <x:c r="A3" s="5" t="s">
        <x:v>983</x:v>
      </x:c>
      <x:c r="B3" s="5" t="s">
        <x:v>984</x:v>
      </x:c>
      <x:c r="C3" s="5" t="s">
        <x:v>985</x:v>
      </x:c>
      <x:c r="D3" s="5" t="s">
        <x:v>986</x:v>
      </x:c>
    </x:row>
    <x:row r="4" ht="15" hidden="0">
      <x:c r="A4" t="s">
        <x:v>987</x:v>
      </x:c>
      <x:c r="B4" t="n">
        <x:f aca="0">COUNTIFS(Settlement!$J$4:$J$303,0,Settlement!$O$4:$O$303,A4)</x:f>
        <x:v>0</x:v>
      </x:c>
      <x:c r="C4" t="n">
        <x:f aca="0">IFERROR(B4/COUNTIF(Settlement!$J$4:$J$303,0),"")</x:f>
        <x:v>0</x:v>
      </x:c>
    </x:row>
    <x:row r="5" ht="15" hidden="0">
      <x:c r="A5" t="s">
        <x:v>988</x:v>
      </x:c>
      <x:c r="B5" t="n">
        <x:f aca="0">COUNTIFS(Settlement!$J$4:$J$303,0,Settlement!$O$4:$O$303,A5)</x:f>
        <x:v>0</x:v>
      </x:c>
      <x:c r="C5" t="n">
        <x:f aca="0">IFERROR(B5/COUNTIF(Settlement!$J$4:$J$303,0),"")</x:f>
        <x:v>0</x:v>
      </x:c>
    </x:row>
    <x:row r="6" ht="15" hidden="0">
      <x:c r="A6" t="s">
        <x:v>989</x:v>
      </x:c>
      <x:c r="B6" t="n">
        <x:f aca="0">COUNTIFS(Settlement!$J$4:$J$303,0,Settlement!$O$4:$O$303,A6)</x:f>
        <x:v>0</x:v>
      </x:c>
      <x:c r="C6" t="n">
        <x:f aca="0">IFERROR(B6/COUNTIF(Settlement!$J$4:$J$303,0),"")</x:f>
        <x:v>0</x:v>
      </x:c>
    </x:row>
    <x:row r="7" ht="15" hidden="0">
      <x:c r="A7" t="s">
        <x:v>990</x:v>
      </x:c>
      <x:c r="B7" t="n">
        <x:f aca="0">COUNTIFS(Settlement!$J$4:$J$303,0,Settlement!$O$4:$O$303,A7)</x:f>
        <x:v>0</x:v>
      </x:c>
      <x:c r="C7" t="n">
        <x:f aca="0">IFERROR(B7/COUNTIF(Settlement!$J$4:$J$303,0),"")</x:f>
        <x:v>0</x:v>
      </x:c>
    </x:row>
    <x:row r="8" ht="15" hidden="0">
      <x:c r="A8" t="s">
        <x:v>991</x:v>
      </x:c>
      <x:c r="B8" t="n">
        <x:f aca="0">COUNTIFS(Settlement!$J$4:$J$303,0,Settlement!$O$4:$O$303,A8)</x:f>
        <x:v>0</x:v>
      </x:c>
      <x:c r="C8" t="n">
        <x:f aca="0">IFERROR(B8/COUNTIF(Settlement!$J$4:$J$303,0),"")</x:f>
        <x:v>0</x:v>
      </x:c>
    </x:row>
    <x:row r="9" ht="15" hidden="0">
      <x:c r="A9" t="s">
        <x:v>992</x:v>
      </x:c>
      <x:c r="B9" t="n">
        <x:f aca="0">COUNTIFS(Settlement!$J$4:$J$303,0,Settlement!$O$4:$O$303,A9)</x:f>
        <x:v>0</x:v>
      </x:c>
      <x:c r="C9" t="n">
        <x:f aca="0">IFERROR(B9/COUNTIF(Settlement!$J$4:$J$303,0),"")</x:f>
        <x:v>0</x:v>
      </x:c>
    </x:row>
    <x:row r="10" ht="15" hidden="0">
      <x:c r="A10" t="s">
        <x:v>993</x:v>
      </x:c>
      <x:c r="B10" t="n">
        <x:f aca="0">COUNTIFS(Settlement!$J$4:$J$303,0,Settlement!$O$4:$O$303,A10)</x:f>
        <x:v>0</x:v>
      </x:c>
      <x:c r="C10" t="n">
        <x:f aca="0">IFERROR(B10/COUNTIF(Settlement!$J$4:$J$303,0),"")</x:f>
        <x:v>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7.350000381469727" hidden="0">
      <x:c r="A1" s="67" t="s">
        <x:v>994</x:v>
      </x:c>
      <x:c r="B1" s="67"/>
      <x:c r="C1" s="67"/>
      <x:c r="D1" s="67"/>
      <x:c r="E1" s="67"/>
      <x:c r="F1" s="67"/>
      <x:c r="G1" s="67"/>
      <x:c r="H1" s="67"/>
    </x:row>
    <x:row r="2" ht="23.850000381469727" hidden="0" customHeight="1">
      <x:c r="A2" s="65" t="s">
        <x:v>995</x:v>
      </x:c>
      <x:c r="B2" s="65"/>
      <x:c r="C2" s="65"/>
      <x:c r="D2" s="65"/>
      <x:c r="E2" s="65"/>
      <x:c r="F2" s="65"/>
      <x:c r="G2" s="65"/>
      <x:c r="H2" s="65"/>
    </x:row>
    <x:row r="3" ht="15" hidden="0">
      <x:c r="A3" s="5" t="s">
        <x:v>895</x:v>
      </x:c>
      <x:c r="B3" s="5" t="s">
        <x:v>969</x:v>
      </x:c>
      <x:c r="C3" s="5" t="s">
        <x:v>942</x:v>
      </x:c>
      <x:c r="D3" s="5" t="s">
        <x:v>946</x:v>
      </x:c>
      <x:c r="E3" s="5" t="s">
        <x:v>996</x:v>
      </x:c>
      <x:c r="F3" s="5" t="s">
        <x:v>997</x:v>
      </x:c>
      <x:c r="G3" s="5" t="s">
        <x:v>924</x:v>
      </x:c>
      <x:c r="H3" s="5" t="s">
        <x:v>998</x:v>
      </x:c>
    </x:row>
    <x:row r="4" ht="15" hidden="0">
      <x:c r="B4" t="str">
        <x:f aca="0">IF(A4="","",COUNTIF(Settlement!$C$4:$C$303,A4))</x:f>
      </x:c>
      <x:c r="C4" t="str">
        <x:f aca="0">IF(A4="","",SUMIF(Settlement!$C$4:$C$303,A4,Settlement!$J$4:$J$303))</x:f>
      </x:c>
      <x:c r="D4" t="str">
        <x:f aca="0">IFERROR(C4/B4,"")</x:f>
      </x:c>
      <x:c r="E4" t="str">
        <x:f aca="0">IFERROR(SUMIF(Settlement!$C$4:$C$303,A4,Settlement!$I$4:$I$303)/B4,"")</x:f>
      </x:c>
      <x:c r="F4" t="str">
        <x:f aca="0">IF(OR(D4="",E4=""),"",E4-D4)</x:f>
      </x:c>
      <x:c r="G4" t="str">
        <x:f aca="0">IFERROR(SUMIF(Settlement!$C$4:$C$303,A4,Settlement!$R$4:$R$303)/B4,"")</x:f>
      </x:c>
      <x:c r="H4" t="str">
        <x:f aca="0">IF(A4="","",IF(B4&lt;10,"LOW N",IF(ABS(F4)&lt;=0.05,"STABLE","WATCH")))</x:f>
      </x:c>
    </x:row>
    <x:row r="5" ht="15" hidden="0">
      <x:c r="B5" t="str">
        <x:f aca="0">IF(A5="","",COUNTIF(Settlement!$C$4:$C$303,A5))</x:f>
      </x:c>
      <x:c r="C5" t="str">
        <x:f aca="0">IF(A5="","",SUMIF(Settlement!$C$4:$C$303,A5,Settlement!$J$4:$J$303))</x:f>
      </x:c>
      <x:c r="D5" t="str">
        <x:f aca="0">IFERROR(C5/B5,"")</x:f>
      </x:c>
      <x:c r="E5" t="str">
        <x:f aca="0">IFERROR(SUMIF(Settlement!$C$4:$C$303,A5,Settlement!$I$4:$I$303)/B5,"")</x:f>
      </x:c>
      <x:c r="F5" t="str">
        <x:f aca="0">IF(OR(D5="",E5=""),"",E5-D5)</x:f>
      </x:c>
      <x:c r="G5" t="str">
        <x:f aca="0">IFERROR(SUMIF(Settlement!$C$4:$C$303,A5,Settlement!$R$4:$R$303)/B5,"")</x:f>
      </x:c>
      <x:c r="H5" t="str">
        <x:f aca="0">IF(A5="","",IF(B5&lt;10,"LOW N",IF(ABS(F5)&lt;=0.05,"STABLE","WATCH")))</x:f>
      </x:c>
    </x:row>
    <x:row r="6" ht="15" hidden="0">
      <x:c r="B6" t="str">
        <x:f aca="0">IF(A6="","",COUNTIF(Settlement!$C$4:$C$303,A6))</x:f>
      </x:c>
      <x:c r="C6" t="str">
        <x:f aca="0">IF(A6="","",SUMIF(Settlement!$C$4:$C$303,A6,Settlement!$J$4:$J$303))</x:f>
      </x:c>
      <x:c r="D6" t="str">
        <x:f aca="0">IFERROR(C6/B6,"")</x:f>
      </x:c>
      <x:c r="E6" t="str">
        <x:f aca="0">IFERROR(SUMIF(Settlement!$C$4:$C$303,A6,Settlement!$I$4:$I$303)/B6,"")</x:f>
      </x:c>
      <x:c r="F6" t="str">
        <x:f aca="0">IF(OR(D6="",E6=""),"",E6-D6)</x:f>
      </x:c>
      <x:c r="G6" t="str">
        <x:f aca="0">IFERROR(SUMIF(Settlement!$C$4:$C$303,A6,Settlement!$R$4:$R$303)/B6,"")</x:f>
      </x:c>
      <x:c r="H6" t="str">
        <x:f aca="0">IF(A6="","",IF(B6&lt;10,"LOW N",IF(ABS(F6)&lt;=0.05,"STABLE","WATCH")))</x:f>
      </x:c>
    </x:row>
    <x:row r="7" ht="15" hidden="0">
      <x:c r="B7" t="str">
        <x:f aca="0">IF(A7="","",COUNTIF(Settlement!$C$4:$C$303,A7))</x:f>
      </x:c>
      <x:c r="C7" t="str">
        <x:f aca="0">IF(A7="","",SUMIF(Settlement!$C$4:$C$303,A7,Settlement!$J$4:$J$303))</x:f>
      </x:c>
      <x:c r="D7" t="str">
        <x:f aca="0">IFERROR(C7/B7,"")</x:f>
      </x:c>
      <x:c r="E7" t="str">
        <x:f aca="0">IFERROR(SUMIF(Settlement!$C$4:$C$303,A7,Settlement!$I$4:$I$303)/B7,"")</x:f>
      </x:c>
      <x:c r="F7" t="str">
        <x:f aca="0">IF(OR(D7="",E7=""),"",E7-D7)</x:f>
      </x:c>
      <x:c r="G7" t="str">
        <x:f aca="0">IFERROR(SUMIF(Settlement!$C$4:$C$303,A7,Settlement!$R$4:$R$303)/B7,"")</x:f>
      </x:c>
      <x:c r="H7" t="str">
        <x:f aca="0">IF(A7="","",IF(B7&lt;10,"LOW N",IF(ABS(F7)&lt;=0.05,"STABLE","WATCH")))</x:f>
      </x:c>
    </x:row>
    <x:row r="8" ht="15" hidden="0">
      <x:c r="B8" t="str">
        <x:f aca="0">IF(A8="","",COUNTIF(Settlement!$C$4:$C$303,A8))</x:f>
      </x:c>
      <x:c r="C8" t="str">
        <x:f aca="0">IF(A8="","",SUMIF(Settlement!$C$4:$C$303,A8,Settlement!$J$4:$J$303))</x:f>
      </x:c>
      <x:c r="D8" t="str">
        <x:f aca="0">IFERROR(C8/B8,"")</x:f>
      </x:c>
      <x:c r="E8" t="str">
        <x:f aca="0">IFERROR(SUMIF(Settlement!$C$4:$C$303,A8,Settlement!$I$4:$I$303)/B8,"")</x:f>
      </x:c>
      <x:c r="F8" t="str">
        <x:f aca="0">IF(OR(D8="",E8=""),"",E8-D8)</x:f>
      </x:c>
      <x:c r="G8" t="str">
        <x:f aca="0">IFERROR(SUMIF(Settlement!$C$4:$C$303,A8,Settlement!$R$4:$R$303)/B8,"")</x:f>
      </x:c>
      <x:c r="H8" t="str">
        <x:f aca="0">IF(A8="","",IF(B8&lt;10,"LOW N",IF(ABS(F8)&lt;=0.05,"STABLE","WATCH")))</x:f>
      </x:c>
    </x:row>
    <x:row r="9" ht="15" hidden="0">
      <x:c r="B9" t="str">
        <x:f aca="0">IF(A9="","",COUNTIF(Settlement!$C$4:$C$303,A9))</x:f>
      </x:c>
      <x:c r="C9" t="str">
        <x:f aca="0">IF(A9="","",SUMIF(Settlement!$C$4:$C$303,A9,Settlement!$J$4:$J$303))</x:f>
      </x:c>
      <x:c r="D9" t="str">
        <x:f aca="0">IFERROR(C9/B9,"")</x:f>
      </x:c>
      <x:c r="E9" t="str">
        <x:f aca="0">IFERROR(SUMIF(Settlement!$C$4:$C$303,A9,Settlement!$I$4:$I$303)/B9,"")</x:f>
      </x:c>
      <x:c r="F9" t="str">
        <x:f aca="0">IF(OR(D9="",E9=""),"",E9-D9)</x:f>
      </x:c>
      <x:c r="G9" t="str">
        <x:f aca="0">IFERROR(SUMIF(Settlement!$C$4:$C$303,A9,Settlement!$R$4:$R$303)/B9,"")</x:f>
      </x:c>
      <x:c r="H9" t="str">
        <x:f aca="0">IF(A9="","",IF(B9&lt;10,"LOW N",IF(ABS(F9)&lt;=0.05,"STABLE","WATCH")))</x:f>
      </x:c>
    </x:row>
    <x:row r="10" ht="15" hidden="0">
      <x:c r="B10" t="str">
        <x:f aca="0">IF(A10="","",COUNTIF(Settlement!$C$4:$C$303,A10))</x:f>
      </x:c>
      <x:c r="C10" t="str">
        <x:f aca="0">IF(A10="","",SUMIF(Settlement!$C$4:$C$303,A10,Settlement!$J$4:$J$303))</x:f>
      </x:c>
      <x:c r="D10" t="str">
        <x:f aca="0">IFERROR(C10/B10,"")</x:f>
      </x:c>
      <x:c r="E10" t="str">
        <x:f aca="0">IFERROR(SUMIF(Settlement!$C$4:$C$303,A10,Settlement!$I$4:$I$303)/B10,"")</x:f>
      </x:c>
      <x:c r="F10" t="str">
        <x:f aca="0">IF(OR(D10="",E10=""),"",E10-D10)</x:f>
      </x:c>
      <x:c r="G10" t="str">
        <x:f aca="0">IFERROR(SUMIF(Settlement!$C$4:$C$303,A10,Settlement!$R$4:$R$303)/B10,"")</x:f>
      </x:c>
      <x:c r="H10" t="str">
        <x:f aca="0">IF(A10="","",IF(B10&lt;10,"LOW N",IF(ABS(F10)&lt;=0.05,"STABLE","WATCH")))</x:f>
      </x:c>
    </x:row>
    <x:row r="11" ht="15" hidden="0">
      <x:c r="B11" t="str">
        <x:f aca="0">IF(A11="","",COUNTIF(Settlement!$C$4:$C$303,A11))</x:f>
      </x:c>
      <x:c r="C11" t="str">
        <x:f aca="0">IF(A11="","",SUMIF(Settlement!$C$4:$C$303,A11,Settlement!$J$4:$J$303))</x:f>
      </x:c>
      <x:c r="D11" t="str">
        <x:f aca="0">IFERROR(C11/B11,"")</x:f>
      </x:c>
      <x:c r="E11" t="str">
        <x:f aca="0">IFERROR(SUMIF(Settlement!$C$4:$C$303,A11,Settlement!$I$4:$I$303)/B11,"")</x:f>
      </x:c>
      <x:c r="F11" t="str">
        <x:f aca="0">IF(OR(D11="",E11=""),"",E11-D11)</x:f>
      </x:c>
      <x:c r="G11" t="str">
        <x:f aca="0">IFERROR(SUMIF(Settlement!$C$4:$C$303,A11,Settlement!$R$4:$R$303)/B11,"")</x:f>
      </x:c>
      <x:c r="H11" t="str">
        <x:f aca="0">IF(A11="","",IF(B11&lt;10,"LOW N",IF(ABS(F11)&lt;=0.05,"STABLE","WATCH")))</x:f>
      </x:c>
    </x:row>
    <x:row r="12" ht="15" hidden="0">
      <x:c r="B12" t="str">
        <x:f aca="0">IF(A12="","",COUNTIF(Settlement!$C$4:$C$303,A12))</x:f>
      </x:c>
      <x:c r="C12" t="str">
        <x:f aca="0">IF(A12="","",SUMIF(Settlement!$C$4:$C$303,A12,Settlement!$J$4:$J$303))</x:f>
      </x:c>
      <x:c r="D12" t="str">
        <x:f aca="0">IFERROR(C12/B12,"")</x:f>
      </x:c>
      <x:c r="E12" t="str">
        <x:f aca="0">IFERROR(SUMIF(Settlement!$C$4:$C$303,A12,Settlement!$I$4:$I$303)/B12,"")</x:f>
      </x:c>
      <x:c r="F12" t="str">
        <x:f aca="0">IF(OR(D12="",E12=""),"",E12-D12)</x:f>
      </x:c>
      <x:c r="G12" t="str">
        <x:f aca="0">IFERROR(SUMIF(Settlement!$C$4:$C$303,A12,Settlement!$R$4:$R$303)/B12,"")</x:f>
      </x:c>
      <x:c r="H12" t="str">
        <x:f aca="0">IF(A12="","",IF(B12&lt;10,"LOW N",IF(ABS(F12)&lt;=0.05,"STABLE","WATCH")))</x:f>
      </x:c>
    </x:row>
    <x:row r="13" ht="15" hidden="0">
      <x:c r="B13" t="str">
        <x:f aca="0">IF(A13="","",COUNTIF(Settlement!$C$4:$C$303,A13))</x:f>
      </x:c>
      <x:c r="C13" t="str">
        <x:f aca="0">IF(A13="","",SUMIF(Settlement!$C$4:$C$303,A13,Settlement!$J$4:$J$303))</x:f>
      </x:c>
      <x:c r="D13" t="str">
        <x:f aca="0">IFERROR(C13/B13,"")</x:f>
      </x:c>
      <x:c r="E13" t="str">
        <x:f aca="0">IFERROR(SUMIF(Settlement!$C$4:$C$303,A13,Settlement!$I$4:$I$303)/B13,"")</x:f>
      </x:c>
      <x:c r="F13" t="str">
        <x:f aca="0">IF(OR(D13="",E13=""),"",E13-D13)</x:f>
      </x:c>
      <x:c r="G13" t="str">
        <x:f aca="0">IFERROR(SUMIF(Settlement!$C$4:$C$303,A13,Settlement!$R$4:$R$303)/B13,"")</x:f>
      </x:c>
      <x:c r="H13" t="str">
        <x:f aca="0">IF(A13="","",IF(B13&lt;10,"LOW N",IF(ABS(F13)&lt;=0.05,"STABLE","WATCH")))</x:f>
      </x:c>
    </x:row>
    <x:row r="14" ht="15" hidden="0">
      <x:c r="B14" t="str">
        <x:f aca="0">IF(A14="","",COUNTIF(Settlement!$C$4:$C$303,A14))</x:f>
      </x:c>
      <x:c r="C14" t="str">
        <x:f aca="0">IF(A14="","",SUMIF(Settlement!$C$4:$C$303,A14,Settlement!$J$4:$J$303))</x:f>
      </x:c>
      <x:c r="D14" t="str">
        <x:f aca="0">IFERROR(C14/B14,"")</x:f>
      </x:c>
      <x:c r="E14" t="str">
        <x:f aca="0">IFERROR(SUMIF(Settlement!$C$4:$C$303,A14,Settlement!$I$4:$I$303)/B14,"")</x:f>
      </x:c>
      <x:c r="F14" t="str">
        <x:f aca="0">IF(OR(D14="",E14=""),"",E14-D14)</x:f>
      </x:c>
      <x:c r="G14" t="str">
        <x:f aca="0">IFERROR(SUMIF(Settlement!$C$4:$C$303,A14,Settlement!$R$4:$R$303)/B14,"")</x:f>
      </x:c>
      <x:c r="H14" t="str">
        <x:f aca="0">IF(A14="","",IF(B14&lt;10,"LOW N",IF(ABS(F14)&lt;=0.05,"STABLE","WATCH")))</x:f>
      </x:c>
    </x:row>
    <x:row r="15" ht="15" hidden="0">
      <x:c r="B15" t="str">
        <x:f aca="0">IF(A15="","",COUNTIF(Settlement!$C$4:$C$303,A15))</x:f>
      </x:c>
      <x:c r="C15" t="str">
        <x:f aca="0">IF(A15="","",SUMIF(Settlement!$C$4:$C$303,A15,Settlement!$J$4:$J$303))</x:f>
      </x:c>
      <x:c r="D15" t="str">
        <x:f aca="0">IFERROR(C15/B15,"")</x:f>
      </x:c>
      <x:c r="E15" t="str">
        <x:f aca="0">IFERROR(SUMIF(Settlement!$C$4:$C$303,A15,Settlement!$I$4:$I$303)/B15,"")</x:f>
      </x:c>
      <x:c r="F15" t="str">
        <x:f aca="0">IF(OR(D15="",E15=""),"",E15-D15)</x:f>
      </x:c>
      <x:c r="G15" t="str">
        <x:f aca="0">IFERROR(SUMIF(Settlement!$C$4:$C$303,A15,Settlement!$R$4:$R$303)/B15,"")</x:f>
      </x:c>
      <x:c r="H15" t="str">
        <x:f aca="0">IF(A15="","",IF(B15&lt;10,"LOW N",IF(ABS(F15)&lt;=0.05,"STABLE","WATCH")))</x:f>
      </x:c>
    </x:row>
    <x:row r="16" ht="15" hidden="0">
      <x:c r="B16" t="str">
        <x:f aca="0">IF(A16="","",COUNTIF(Settlement!$C$4:$C$303,A16))</x:f>
      </x:c>
      <x:c r="C16" t="str">
        <x:f aca="0">IF(A16="","",SUMIF(Settlement!$C$4:$C$303,A16,Settlement!$J$4:$J$303))</x:f>
      </x:c>
      <x:c r="D16" t="str">
        <x:f aca="0">IFERROR(C16/B16,"")</x:f>
      </x:c>
      <x:c r="E16" t="str">
        <x:f aca="0">IFERROR(SUMIF(Settlement!$C$4:$C$303,A16,Settlement!$I$4:$I$303)/B16,"")</x:f>
      </x:c>
      <x:c r="F16" t="str">
        <x:f aca="0">IF(OR(D16="",E16=""),"",E16-D16)</x:f>
      </x:c>
      <x:c r="G16" t="str">
        <x:f aca="0">IFERROR(SUMIF(Settlement!$C$4:$C$303,A16,Settlement!$R$4:$R$303)/B16,"")</x:f>
      </x:c>
      <x:c r="H16" t="str">
        <x:f aca="0">IF(A16="","",IF(B16&lt;10,"LOW N",IF(ABS(F16)&lt;=0.05,"STABLE","WATCH")))</x:f>
      </x:c>
    </x:row>
    <x:row r="17" ht="15" hidden="0">
      <x:c r="B17" t="str">
        <x:f aca="0">IF(A17="","",COUNTIF(Settlement!$C$4:$C$303,A17))</x:f>
      </x:c>
      <x:c r="C17" t="str">
        <x:f aca="0">IF(A17="","",SUMIF(Settlement!$C$4:$C$303,A17,Settlement!$J$4:$J$303))</x:f>
      </x:c>
      <x:c r="D17" t="str">
        <x:f aca="0">IFERROR(C17/B17,"")</x:f>
      </x:c>
      <x:c r="E17" t="str">
        <x:f aca="0">IFERROR(SUMIF(Settlement!$C$4:$C$303,A17,Settlement!$I$4:$I$303)/B17,"")</x:f>
      </x:c>
      <x:c r="F17" t="str">
        <x:f aca="0">IF(OR(D17="",E17=""),"",E17-D17)</x:f>
      </x:c>
      <x:c r="G17" t="str">
        <x:f aca="0">IFERROR(SUMIF(Settlement!$C$4:$C$303,A17,Settlement!$R$4:$R$303)/B17,"")</x:f>
      </x:c>
      <x:c r="H17" t="str">
        <x:f aca="0">IF(A17="","",IF(B17&lt;10,"LOW N",IF(ABS(F17)&lt;=0.05,"STABLE","WATCH")))</x:f>
      </x:c>
    </x:row>
    <x:row r="18" ht="15" hidden="0">
      <x:c r="B18" t="str">
        <x:f aca="0">IF(A18="","",COUNTIF(Settlement!$C$4:$C$303,A18))</x:f>
      </x:c>
      <x:c r="C18" t="str">
        <x:f aca="0">IF(A18="","",SUMIF(Settlement!$C$4:$C$303,A18,Settlement!$J$4:$J$303))</x:f>
      </x:c>
      <x:c r="D18" t="str">
        <x:f aca="0">IFERROR(C18/B18,"")</x:f>
      </x:c>
      <x:c r="E18" t="str">
        <x:f aca="0">IFERROR(SUMIF(Settlement!$C$4:$C$303,A18,Settlement!$I$4:$I$303)/B18,"")</x:f>
      </x:c>
      <x:c r="F18" t="str">
        <x:f aca="0">IF(OR(D18="",E18=""),"",E18-D18)</x:f>
      </x:c>
      <x:c r="G18" t="str">
        <x:f aca="0">IFERROR(SUMIF(Settlement!$C$4:$C$303,A18,Settlement!$R$4:$R$303)/B18,"")</x:f>
      </x:c>
      <x:c r="H18" t="str">
        <x:f aca="0">IF(A18="","",IF(B18&lt;10,"LOW N",IF(ABS(F18)&lt;=0.05,"STABLE","WATCH")))</x:f>
      </x:c>
    </x:row>
    <x:row r="19" ht="15" hidden="0">
      <x:c r="B19" t="str">
        <x:f aca="0">IF(A19="","",COUNTIF(Settlement!$C$4:$C$303,A19))</x:f>
      </x:c>
      <x:c r="C19" t="str">
        <x:f aca="0">IF(A19="","",SUMIF(Settlement!$C$4:$C$303,A19,Settlement!$J$4:$J$303))</x:f>
      </x:c>
      <x:c r="D19" t="str">
        <x:f aca="0">IFERROR(C19/B19,"")</x:f>
      </x:c>
      <x:c r="E19" t="str">
        <x:f aca="0">IFERROR(SUMIF(Settlement!$C$4:$C$303,A19,Settlement!$I$4:$I$303)/B19,"")</x:f>
      </x:c>
      <x:c r="F19" t="str">
        <x:f aca="0">IF(OR(D19="",E19=""),"",E19-D19)</x:f>
      </x:c>
      <x:c r="G19" t="str">
        <x:f aca="0">IFERROR(SUMIF(Settlement!$C$4:$C$303,A19,Settlement!$R$4:$R$303)/B19,"")</x:f>
      </x:c>
      <x:c r="H19" t="str">
        <x:f aca="0">IF(A19="","",IF(B19&lt;10,"LOW N",IF(ABS(F19)&lt;=0.05,"STABLE","WATCH")))</x:f>
      </x:c>
    </x:row>
    <x:row r="20" ht="15" hidden="0">
      <x:c r="B20" t="str">
        <x:f aca="0">IF(A20="","",COUNTIF(Settlement!$C$4:$C$303,A20))</x:f>
      </x:c>
      <x:c r="C20" t="str">
        <x:f aca="0">IF(A20="","",SUMIF(Settlement!$C$4:$C$303,A20,Settlement!$J$4:$J$303))</x:f>
      </x:c>
      <x:c r="D20" t="str">
        <x:f aca="0">IFERROR(C20/B20,"")</x:f>
      </x:c>
      <x:c r="E20" t="str">
        <x:f aca="0">IFERROR(SUMIF(Settlement!$C$4:$C$303,A20,Settlement!$I$4:$I$303)/B20,"")</x:f>
      </x:c>
      <x:c r="F20" t="str">
        <x:f aca="0">IF(OR(D20="",E20=""),"",E20-D20)</x:f>
      </x:c>
      <x:c r="G20" t="str">
        <x:f aca="0">IFERROR(SUMIF(Settlement!$C$4:$C$303,A20,Settlement!$R$4:$R$303)/B20,"")</x:f>
      </x:c>
      <x:c r="H20" t="str">
        <x:f aca="0">IF(A20="","",IF(B20&lt;10,"LOW N",IF(ABS(F20)&lt;=0.05,"STABLE","WATCH")))</x:f>
      </x:c>
    </x:row>
    <x:row r="21" ht="15" hidden="0">
      <x:c r="B21" t="str">
        <x:f aca="0">IF(A21="","",COUNTIF(Settlement!$C$4:$C$303,A21))</x:f>
      </x:c>
      <x:c r="C21" t="str">
        <x:f aca="0">IF(A21="","",SUMIF(Settlement!$C$4:$C$303,A21,Settlement!$J$4:$J$303))</x:f>
      </x:c>
      <x:c r="D21" t="str">
        <x:f aca="0">IFERROR(C21/B21,"")</x:f>
      </x:c>
      <x:c r="E21" t="str">
        <x:f aca="0">IFERROR(SUMIF(Settlement!$C$4:$C$303,A21,Settlement!$I$4:$I$303)/B21,"")</x:f>
      </x:c>
      <x:c r="F21" t="str">
        <x:f aca="0">IF(OR(D21="",E21=""),"",E21-D21)</x:f>
      </x:c>
      <x:c r="G21" t="str">
        <x:f aca="0">IFERROR(SUMIF(Settlement!$C$4:$C$303,A21,Settlement!$R$4:$R$303)/B21,"")</x:f>
      </x:c>
      <x:c r="H21" t="str">
        <x:f aca="0">IF(A21="","",IF(B21&lt;10,"LOW N",IF(ABS(F21)&lt;=0.05,"STABLE","WATCH")))</x:f>
      </x:c>
    </x:row>
    <x:row r="22" ht="15" hidden="0">
      <x:c r="B22" t="str">
        <x:f aca="0">IF(A22="","",COUNTIF(Settlement!$C$4:$C$303,A22))</x:f>
      </x:c>
      <x:c r="C22" t="str">
        <x:f aca="0">IF(A22="","",SUMIF(Settlement!$C$4:$C$303,A22,Settlement!$J$4:$J$303))</x:f>
      </x:c>
      <x:c r="D22" t="str">
        <x:f aca="0">IFERROR(C22/B22,"")</x:f>
      </x:c>
      <x:c r="E22" t="str">
        <x:f aca="0">IFERROR(SUMIF(Settlement!$C$4:$C$303,A22,Settlement!$I$4:$I$303)/B22,"")</x:f>
      </x:c>
      <x:c r="F22" t="str">
        <x:f aca="0">IF(OR(D22="",E22=""),"",E22-D22)</x:f>
      </x:c>
      <x:c r="G22" t="str">
        <x:f aca="0">IFERROR(SUMIF(Settlement!$C$4:$C$303,A22,Settlement!$R$4:$R$303)/B22,"")</x:f>
      </x:c>
      <x:c r="H22" t="str">
        <x:f aca="0">IF(A22="","",IF(B22&lt;10,"LOW N",IF(ABS(F22)&lt;=0.05,"STABLE","WATCH")))</x:f>
      </x:c>
    </x:row>
    <x:row r="23" ht="15" hidden="0">
      <x:c r="B23" t="str">
        <x:f aca="0">IF(A23="","",COUNTIF(Settlement!$C$4:$C$303,A23))</x:f>
      </x:c>
      <x:c r="C23" t="str">
        <x:f aca="0">IF(A23="","",SUMIF(Settlement!$C$4:$C$303,A23,Settlement!$J$4:$J$303))</x:f>
      </x:c>
      <x:c r="D23" t="str">
        <x:f aca="0">IFERROR(C23/B23,"")</x:f>
      </x:c>
      <x:c r="E23" t="str">
        <x:f aca="0">IFERROR(SUMIF(Settlement!$C$4:$C$303,A23,Settlement!$I$4:$I$303)/B23,"")</x:f>
      </x:c>
      <x:c r="F23" t="str">
        <x:f aca="0">IF(OR(D23="",E23=""),"",E23-D23)</x:f>
      </x:c>
      <x:c r="G23" t="str">
        <x:f aca="0">IFERROR(SUMIF(Settlement!$C$4:$C$303,A23,Settlement!$R$4:$R$303)/B23,"")</x:f>
      </x:c>
      <x:c r="H23" t="str">
        <x:f aca="0">IF(A23="","",IF(B23&lt;10,"LOW N",IF(ABS(F23)&lt;=0.05,"STABLE","WATCH")))</x:f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7.350000381469727" hidden="0">
      <x:c r="A1" s="67" t="s">
        <x:v>999</x:v>
      </x:c>
      <x:c r="B1" s="67"/>
      <x:c r="C1" s="67"/>
      <x:c r="D1" s="67"/>
      <x:c r="E1" s="67"/>
      <x:c r="F1" s="67"/>
      <x:c r="G1" s="67"/>
    </x:row>
    <x:row r="2" ht="15" hidden="0" customHeight="1">
      <x:c r="A2" s="65" t="s">
        <x:v>1000</x:v>
      </x:c>
      <x:c r="B2" s="65"/>
      <x:c r="C2" s="65"/>
      <x:c r="D2" s="65"/>
      <x:c r="E2" s="65"/>
      <x:c r="F2" s="65"/>
      <x:c r="G2" s="65"/>
    </x:row>
    <x:row r="3" ht="23.850000381469727" hidden="0">
      <x:c r="A3" s="5" t="s">
        <x:v>1001</x:v>
      </x:c>
      <x:c r="B3" s="5" t="s">
        <x:v>969</x:v>
      </x:c>
      <x:c r="C3" s="5" t="s">
        <x:v>942</x:v>
      </x:c>
      <x:c r="D3" s="5" t="s">
        <x:v>946</x:v>
      </x:c>
      <x:c r="E3" s="5" t="s">
        <x:v>996</x:v>
      </x:c>
      <x:c r="F3" s="5" t="s">
        <x:v>997</x:v>
      </x:c>
      <x:c r="G3" s="5" t="s">
        <x:v>924</x:v>
      </x:c>
    </x:row>
    <x:row r="4" ht="15" hidden="0">
      <x:c r="A4" t="n">
        <x:v>46235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7.350000381469727" hidden="0">
      <x:c r="A1" s="67" t="s">
        <x:v>1002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</x:row>
    <x:row r="2" ht="12.649999618530273" hidden="0" customHeight="1">
      <x:c r="A2" s="65" t="s">
        <x:v>1003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</x:row>
    <x:row r="3" ht="35.04999923706055" hidden="0">
      <x:c r="A3" s="5" t="s">
        <x:v>1004</x:v>
      </x:c>
      <x:c r="B3" s="5" t="s">
        <x:v>1005</x:v>
      </x:c>
      <x:c r="C3" s="5" t="s">
        <x:v>1006</x:v>
      </x:c>
      <x:c r="D3" s="5" t="s">
        <x:v>898</x:v>
      </x:c>
      <x:c r="E3" s="5" t="s">
        <x:v>1007</x:v>
      </x:c>
      <x:c r="F3" s="5" t="s">
        <x:v>238</x:v>
      </x:c>
      <x:c r="G3" s="5" t="s">
        <x:v>241</x:v>
      </x:c>
      <x:c r="H3" s="5" t="s">
        <x:v>1008</x:v>
      </x:c>
      <x:c r="I3" s="5" t="s">
        <x:v>1009</x:v>
      </x:c>
      <x:c r="J3" s="5" t="s">
        <x:v>1010</x:v>
      </x:c>
      <x:c r="K3" s="5" t="s">
        <x:v>1011</x:v>
      </x:c>
      <x:c r="L3" s="5" t="s">
        <x:v>914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hidden="0" customWidth="1"/>
    <x:col min="2" max="2" width="18" hidden="0" customWidth="1"/>
    <x:col min="3" max="4" width="32" hidden="0" customWidth="1"/>
  </x:cols>
  <x:sheetData>
    <x:row r="1" ht="32" hidden="0" customHeight="1">
      <x:c r="A1" s="116" t="str">
        <x:v>EXACT-MARGIN ȘI CONCENTRATION234</x:v>
      </x:c>
      <x:c r="B1" s="116"/>
      <x:c r="C1" s="116"/>
      <x:c r="D1" s="116"/>
      <x:c r="E1" s="116"/>
      <x:c r="F1" s="116"/>
      <x:c r="G1" s="116"/>
    </x:row>
    <x:row r="2" ht="32" hidden="0" customHeight="1">
      <x:c r="A2" s="136" t="s">
        <x:v>1012</x:v>
      </x:c>
      <x:c r="B2" s="136"/>
      <x:c r="C2" s="136"/>
      <x:c r="D2" s="136"/>
      <x:c r="E2" s="136"/>
      <x:c r="F2" s="136"/>
      <x:c r="G2" s="136"/>
    </x:row>
    <x:row r="3" ht="15" hidden="0">
      <x:c r="A3" s="17" t="s">
        <x:v>63</x:v>
      </x:c>
      <x:c r="B3" s="17" t="s">
        <x:v>1013</x:v>
      </x:c>
      <x:c r="C3" s="17" t="s">
        <x:v>1014</x:v>
      </x:c>
      <x:c r="D3" s="17" t="s">
        <x:v>1015</x:v>
      </x:c>
      <x:c r="E3" s="5"/>
      <x:c r="F3" s="5"/>
      <x:c r="G3" s="5"/>
    </x:row>
    <x:row r="4" ht="15" hidden="0">
      <x:c r="A4" s="59" t="s">
        <x:v>1016</x:v>
      </x:c>
      <x:c r="B4" s="59" t="n">
        <x:f aca="0">ABS(Input_Meci!C7)</x:f>
        <x:v>1</x:v>
      </x:c>
      <x:c r="C4" s="59" t="s">
        <x:v>1017</x:v>
      </x:c>
      <x:c r="D4" s="59"/>
      <x:c r="E4" s="59"/>
      <x:c r="F4" s="59"/>
      <x:c r="G4" s="59"/>
    </x:row>
    <x:row r="5" ht="15" hidden="0">
      <x:c r="A5" s="59" t="s">
        <x:v>347</x:v>
      </x:c>
      <x:c r="B5" s="20" t="n">
        <x:f aca="0">IFERROR(INDEX(Selector_Linii_v2!$K$4:$K$12,MATCH(Input_Meci!$C$7,Selector_Linii_v2!$A$4:$A$12,0)),"")</x:f>
        <x:v>0.2137019393617132</x:v>
      </x:c>
      <x:c r="C5" s="59" t="s">
        <x:v>1018</x:v>
      </x:c>
      <x:c r="D5" s="59"/>
      <x:c r="E5" s="59"/>
      <x:c r="F5" s="59"/>
      <x:c r="G5" s="59"/>
    </x:row>
    <x:row r="6" ht="15" hidden="0">
      <x:c r="A6" s="59" t="s">
        <x:v>348</x:v>
      </x:c>
      <x:c r="B6" s="20" t="n">
        <x:f aca="0">IFERROR(INDEX(Selector_Linii_v2!$L$4:$L$12,MATCH(Input_Meci!$C$7,Selector_Linii_v2!$A$4:$A$12,0)),"")</x:f>
        <x:v>0.13587661950227048</x:v>
      </x:c>
      <x:c r="C6" s="59" t="s">
        <x:v>1018</x:v>
      </x:c>
      <x:c r="D6" s="59"/>
      <x:c r="E6" s="59"/>
      <x:c r="F6" s="59"/>
      <x:c r="G6" s="59"/>
    </x:row>
    <x:row r="7" ht="15" hidden="0">
      <x:c r="A7" s="59" t="s">
        <x:v>349</x:v>
      </x:c>
      <x:c r="B7" s="20" t="n">
        <x:f aca="0">IFERROR(INDEX(Selector_Linii_v2!$M$4:$M$12,MATCH(Input_Meci!$C$7,Selector_Linii_v2!$A$4:$A$12,0)),"")</x:f>
        <x:v>0.06752725018255235</x:v>
      </x:c>
      <x:c r="C7" s="59" t="s">
        <x:v>1018</x:v>
      </x:c>
      <x:c r="D7" s="59"/>
      <x:c r="E7" s="59"/>
      <x:c r="F7" s="59"/>
      <x:c r="G7" s="59"/>
    </x:row>
    <x:row r="8" ht="15" hidden="0">
      <x:c r="A8" s="59" t="s">
        <x:v>1019</x:v>
      </x:c>
      <x:c r="B8" s="20" t="n">
        <x:f aca="0">IFERROR(INDEX(Selector_Linii_v2!$S$4:$S$12,MATCH(Input_Meci!$C$7,Selector_Linii_v2!$A$4:$A$12,0)),"")</x:f>
        <x:v>0.29668459152105703</x:v>
      </x:c>
      <x:c r="C8" s="59" t="s">
        <x:v>1020</x:v>
      </x:c>
      <x:c r="D8" s="59"/>
      <x:c r="E8" s="59"/>
      <x:c r="F8" s="59"/>
      <x:c r="G8" s="59"/>
    </x:row>
    <x:row r="9" ht="15" hidden="0">
      <x:c r="A9" s="59" t="s">
        <x:v>238</x:v>
      </x:c>
      <x:c r="B9" s="20" t="n">
        <x:f aca="0">IFERROR(INDEX(Selector_Linii_v2!$N$4:$N$12,MATCH(Input_Meci!$C$7,Selector_Linii_v2!$A$4:$A$12,0)),"")</x:f>
        <x:v>0.41710580904653605</x:v>
      </x:c>
      <x:c r="C9" s="59" t="s">
        <x:v>1021</x:v>
      </x:c>
      <x:c r="D9" s="59"/>
      <x:c r="E9" s="59"/>
      <x:c r="F9" s="59"/>
      <x:c r="G9" s="59"/>
    </x:row>
    <x:row r="10" ht="15" hidden="0">
      <x:c r="A10" s="59" t="s">
        <x:v>909</x:v>
      </x:c>
      <x:c r="B10" s="20" t="n">
        <x:f aca="0">IFERROR(INDEX(Selector_Linii_v2!$R$4:$R$12,MATCH(Input_Meci!$C$7,Selector_Linii_v2!$A$4:$A$12,0)),"")</x:f>
        <x:v>0.24561621453674673</x:v>
      </x:c>
      <x:c r="C10" s="59" t="s">
        <x:v>236</x:v>
      </x:c>
      <x:c r="D10" s="59"/>
      <x:c r="E10" s="59"/>
      <x:c r="F10" s="59"/>
      <x:c r="G10" s="59"/>
    </x:row>
    <x:row r="11" ht="15" hidden="0">
      <x:c r="A11" s="59" t="s">
        <x:v>184</x:v>
      </x:c>
      <x:c r="B11" s="59" t="str">
        <x:f aca="0">IF(COUNT(B10)&lt;1,"MISSING",IF(B4&lt;2,"N/A",IF(B4=4,IF(B10&lt;=Parametri_v2!$B$5,"PASS","FAIL"),IF(B10&lt;=Parametri_v2!$B$18,"PASS",IF(B10&lt;=Parametri_v2!$B$19,"PENALTY","FAIL")))))</x:f>
        <x:v>N/A</x:v>
      </x:c>
      <x:c r="C11" s="59" t="s">
        <x:v>1022</x:v>
      </x:c>
      <x:c r="D11" s="59" t="s">
        <x:v>1023</x:v>
      </x:c>
      <x:c r="E11" s="59"/>
      <x:c r="F11" s="59"/>
      <x:c r="G11" s="59"/>
    </x:row>
    <x:row r="12" ht="15" hidden="0">
      <x:c r="A12" s="59" t="s">
        <x:v>911</x:v>
      </x:c>
      <x:c r="B12" s="59" t="str">
        <x:f aca="0">IF(COUNT(B5:B7)&lt;3,"MISSING",IF(B4&lt;2,"N/A",IF(B9&lt;=Parametri_v2!$B$22,"PASS",IF(B9&lt;=Parametri_v2!$B$23,"PENALTY","FAIL"))))</x:f>
        <x:v>N/A</x:v>
      </x:c>
      <x:c r="C12" s="59" t="s">
        <x:v>1022</x:v>
      </x:c>
      <x:c r="D12" s="59" t="s">
        <x:v>330</x:v>
      </x:c>
      <x:c r="E12" s="59"/>
      <x:c r="F12" s="59"/>
      <x:c r="G12" s="59"/>
    </x:row>
    <x:row r="13" ht="15" hidden="0">
      <x:c r="A13" s="59" t="s">
        <x:v>241</x:v>
      </x:c>
      <x:c r="B13" s="59" t="str">
        <x:f aca="0">IFERROR(INDEX(Selector_Linii_v2!$T$4:$T$12,MATCH(Input_Meci!$C$7,Selector_Linii_v2!$A$4:$A$12,0)),"")</x:f>
        <x:v>N/A</x:v>
      </x:c>
      <x:c r="C13" s="59" t="s">
        <x:v>242</x:v>
      </x:c>
      <x:c r="D13" s="59" t="s">
        <x:v>1024</x:v>
      </x:c>
      <x:c r="E13" s="59"/>
      <x:c r="F13" s="59"/>
      <x:c r="G13" s="59"/>
    </x:row>
    <x:row r="14" ht="15" hidden="0">
      <x:c r="A14" s="59" t="s">
        <x:v>1025</x:v>
      </x:c>
      <x:c r="B14" s="59" t="str">
        <x:f aca="0">IF(AND(B13="PASS",Analiza_Selectata!B19&lt;5),"YES","NO")</x:f>
        <x:v>NO</x:v>
      </x:c>
      <x:c r="C14" s="59" t="str">
        <x:v>PASS și fără hard fail</x:v>
      </x:c>
      <x:c r="D14" s="59" t="s">
        <x:v>1026</x:v>
      </x:c>
      <x:c r="E14" s="59"/>
      <x:c r="F14" s="59"/>
      <x:c r="G14" s="59"/>
    </x:row>
  </x:sheetData>
  <x:mergeCells>
    <x:mergeCell ref="A2:G2"/>
    <x:mergeCell ref="A1:G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hidden="0" customWidth="1"/>
    <x:col min="2" max="2" width="10" hidden="0" customWidth="1"/>
    <x:col min="3" max="3" width="42" hidden="0" customWidth="1"/>
    <x:col min="4" max="4" width="20" hidden="0" customWidth="1"/>
    <x:col min="5" max="5" width="42" hidden="0" customWidth="1"/>
  </x:cols>
  <x:sheetData>
    <x:row r="1" ht="16.149999618530273" hidden="0">
      <x:c r="A1" s="68" t="s">
        <x:v>1027</x:v>
      </x:c>
      <x:c r="B1" s="68"/>
      <x:c r="C1" s="68"/>
      <x:c r="D1" s="68"/>
      <x:c r="E1" s="68"/>
    </x:row>
    <x:row r="2" ht="15" hidden="0">
      <x:c r="A2" s="69" t="s">
        <x:v>1028</x:v>
      </x:c>
      <x:c r="B2" s="69" t="s">
        <x:v>259</x:v>
      </x:c>
      <x:c r="C2" s="69" t="s">
        <x:v>1029</x:v>
      </x:c>
      <x:c r="D2" s="69" t="s">
        <x:v>1030</x:v>
      </x:c>
      <x:c r="E2" s="69" t="s">
        <x:v>281</x:v>
      </x:c>
    </x:row>
    <x:row r="3" ht="23.850000381469727" hidden="0">
      <x:c r="A3" s="59" t="s">
        <x:v>1031</x:v>
      </x:c>
      <x:c r="B3" s="59" t="n">
        <x:v>1</x:v>
      </x:c>
      <x:c r="C3" s="59" t="s">
        <x:v>1032</x:v>
      </x:c>
      <x:c r="D3" s="59" t="s">
        <x:v>1033</x:v>
      </x:c>
      <x:c r="E3" s="59" t="s">
        <x:v>1034</x:v>
      </x:c>
    </x:row>
    <x:row r="4" ht="15" hidden="0">
      <x:c r="A4" s="59" t="s">
        <x:v>1035</x:v>
      </x:c>
      <x:c r="B4" s="59" t="n">
        <x:v>2</x:v>
      </x:c>
      <x:c r="C4" s="59" t="s">
        <x:v>1036</x:v>
      </x:c>
      <x:c r="D4" s="59" t="s">
        <x:v>1037</x:v>
      </x:c>
      <x:c r="E4" s="59" t="s">
        <x:v>1038</x:v>
      </x:c>
    </x:row>
    <x:row r="5" ht="23.850000381469727" hidden="0">
      <x:c r="A5" s="59" t="s">
        <x:v>1039</x:v>
      </x:c>
      <x:c r="B5" s="59" t="n">
        <x:v>3</x:v>
      </x:c>
      <x:c r="C5" s="59" t="s">
        <x:v>1040</x:v>
      </x:c>
      <x:c r="D5" s="59" t="s">
        <x:v>1041</x:v>
      </x:c>
      <x:c r="E5" s="59" t="s">
        <x:v>1042</x:v>
      </x:c>
    </x:row>
    <x:row r="6" ht="15" hidden="0">
      <x:c r="A6" s="59" t="s">
        <x:v>1043</x:v>
      </x:c>
      <x:c r="B6" s="59" t="n">
        <x:v>4</x:v>
      </x:c>
      <x:c r="C6" s="59" t="s">
        <x:v>1044</x:v>
      </x:c>
      <x:c r="D6" s="59" t="s">
        <x:v>1045</x:v>
      </x:c>
      <x:c r="E6" s="59" t="s">
        <x:v>1046</x:v>
      </x:c>
    </x:row>
    <x:row r="7" ht="15" hidden="0">
      <x:c r="A7" s="59" t="s">
        <x:v>1047</x:v>
      </x:c>
      <x:c r="B7" s="59" t="n">
        <x:v>5</x:v>
      </x:c>
      <x:c r="C7" s="59" t="str">
        <x:v>Fixture / date critice / exact-margin / concentration / risc ±4</x:v>
      </x:c>
      <x:c r="D7" s="59" t="s">
        <x:v>1048</x:v>
      </x:c>
      <x:c r="E7" s="59" t="s">
        <x:v>1049</x:v>
      </x:c>
    </x:row>
  </x:sheetData>
  <x:mergeCells>
    <x:mergeCell ref="A1:E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hidden="0" customWidth="1"/>
    <x:col min="2" max="8" width="30" hidden="0" customWidth="1"/>
  </x:cols>
  <x:sheetData>
    <x:row r="1" ht="24" hidden="0" customHeight="1">
      <x:c r="A1" s="70" t="s">
        <x:v>1050</x:v>
      </x:c>
      <x:c r="B1" s="70"/>
      <x:c r="C1" s="70"/>
      <x:c r="D1" s="70"/>
      <x:c r="E1" s="70"/>
      <x:c r="F1" s="70"/>
      <x:c r="G1" s="70"/>
      <x:c r="H1" s="70"/>
    </x:row>
    <x:row r="2" ht="15" hidden="0">
      <x:c r="A2" s="71" t="str">
        <x:v>Istoricul schimbărilor. Pentru reguli active consultă DOCUMENTATIE_MODEL și Parametri_v2.</x:v>
      </x:c>
      <x:c r="B2" s="71"/>
      <x:c r="C2" s="71"/>
      <x:c r="D2" s="71"/>
      <x:c r="E2" s="71"/>
      <x:c r="F2" s="71"/>
      <x:c r="G2" s="71"/>
      <x:c r="H2" s="71"/>
    </x:row>
    <x:row r="4" ht="15" hidden="0">
      <x:c r="A4" s="72" t="s">
        <x:v>1051</x:v>
      </x:c>
      <x:c r="B4" s="72"/>
      <x:c r="C4" s="72"/>
      <x:c r="D4" s="72"/>
      <x:c r="E4" s="72"/>
      <x:c r="F4" s="72"/>
      <x:c r="G4" s="72"/>
      <x:c r="H4" s="72"/>
    </x:row>
    <x:row r="5" ht="23.850000381469727" hidden="0">
      <x:c r="A5" s="59" t="s">
        <x:v>1052</x:v>
      </x:c>
      <x:c r="B5" s="59"/>
      <x:c r="C5" s="59"/>
      <x:c r="D5" s="59"/>
      <x:c r="E5" s="59"/>
      <x:c r="F5" s="59"/>
    </x:row>
    <x:row r="6" ht="15" hidden="0">
      <x:c r="A6" s="59"/>
      <x:c r="B6" s="59"/>
      <x:c r="C6" s="59"/>
      <x:c r="D6" s="59"/>
      <x:c r="E6" s="59"/>
      <x:c r="F6" s="59"/>
    </x:row>
    <x:row r="7" ht="15" hidden="0">
      <x:c r="A7" s="59" t="s">
        <x:v>1053</x:v>
      </x:c>
      <x:c r="B7" s="59" t="s">
        <x:v>1054</x:v>
      </x:c>
      <x:c r="C7" s="59" t="s">
        <x:v>1055</x:v>
      </x:c>
      <x:c r="D7" s="59" t="s">
        <x:v>1056</x:v>
      </x:c>
      <x:c r="E7" s="59" t="s">
        <x:v>1057</x:v>
      </x:c>
      <x:c r="F7" s="59" t="s">
        <x:v>1058</x:v>
      </x:c>
    </x:row>
    <x:row r="8" ht="35.04999923706055" hidden="0">
      <x:c r="A8" s="59" t="s">
        <x:v>1059</x:v>
      </x:c>
      <x:c r="B8" s="59" t="s">
        <x:v>1060</x:v>
      </x:c>
      <x:c r="C8" s="59" t="s">
        <x:v>1061</x:v>
      </x:c>
      <x:c r="D8" s="59" t="s">
        <x:v>1062</x:v>
      </x:c>
      <x:c r="E8" s="59" t="s">
        <x:v>1063</x:v>
      </x:c>
      <x:c r="F8" s="59" t="s">
        <x:v>1064</x:v>
      </x:c>
    </x:row>
    <x:row r="9" ht="35.04999923706055" hidden="0">
      <x:c r="A9" s="59" t="s">
        <x:v>1065</x:v>
      </x:c>
      <x:c r="B9" s="59" t="s">
        <x:v>1066</x:v>
      </x:c>
      <x:c r="C9" s="59" t="s">
        <x:v>1067</x:v>
      </x:c>
      <x:c r="D9" s="59" t="s">
        <x:v>1068</x:v>
      </x:c>
      <x:c r="E9" s="59" t="s">
        <x:v>1063</x:v>
      </x:c>
      <x:c r="F9" s="59" t="s">
        <x:v>1069</x:v>
      </x:c>
    </x:row>
    <x:row r="10" ht="23.850000381469727" hidden="0">
      <x:c r="A10" s="59" t="s">
        <x:v>177</x:v>
      </x:c>
      <x:c r="B10" s="59" t="s">
        <x:v>1070</x:v>
      </x:c>
      <x:c r="C10" s="59" t="s">
        <x:v>1071</x:v>
      </x:c>
      <x:c r="D10" s="59" t="s">
        <x:v>1072</x:v>
      </x:c>
      <x:c r="E10" s="59" t="s">
        <x:v>254</x:v>
      </x:c>
      <x:c r="F10" s="59" t="s">
        <x:v>1073</x:v>
      </x:c>
    </x:row>
    <x:row r="13" ht="15" hidden="0">
      <x:c r="A13" s="72" t="s">
        <x:v>1074</x:v>
      </x:c>
      <x:c r="B13" s="72"/>
      <x:c r="C13" s="72"/>
      <x:c r="D13" s="72"/>
      <x:c r="E13" s="72"/>
      <x:c r="F13" s="72"/>
      <x:c r="G13" s="72"/>
      <x:c r="H13" s="72"/>
    </x:row>
    <x:row r="14" ht="23.850000381469727" hidden="0">
      <x:c r="A14" s="59" t="s">
        <x:v>1075</x:v>
      </x:c>
      <x:c r="B14" s="59"/>
      <x:c r="C14" s="59"/>
      <x:c r="D14" s="59"/>
      <x:c r="E14" s="59"/>
      <x:c r="F14" s="59"/>
      <x:c r="G14" s="59"/>
    </x:row>
    <x:row r="15" ht="46.25" hidden="0">
      <x:c r="A15" s="59" t="s">
        <x:v>1076</x:v>
      </x:c>
      <x:c r="B15" s="59"/>
      <x:c r="C15" s="59"/>
      <x:c r="D15" s="59"/>
      <x:c r="E15" s="59"/>
      <x:c r="F15" s="59"/>
      <x:c r="G15" s="59"/>
    </x:row>
    <x:row r="16" ht="15" hidden="0">
      <x:c r="A16" s="59" t="s">
        <x:v>1077</x:v>
      </x:c>
      <x:c r="B16" s="59" t="s">
        <x:v>1078</x:v>
      </x:c>
      <x:c r="C16" s="59" t="s">
        <x:v>1079</x:v>
      </x:c>
      <x:c r="D16" s="59" t="s">
        <x:v>1080</x:v>
      </x:c>
      <x:c r="E16" s="59" t="s">
        <x:v>1081</x:v>
      </x:c>
      <x:c r="F16" s="59" t="s">
        <x:v>1082</x:v>
      </x:c>
      <x:c r="G16" s="59" t="s">
        <x:v>1083</x:v>
      </x:c>
    </x:row>
    <x:row r="17" ht="23.850000381469727" hidden="0">
      <x:c r="A17" s="59" t="s">
        <x:v>1059</x:v>
      </x:c>
      <x:c r="B17" s="59" t="s">
        <x:v>1084</x:v>
      </x:c>
      <x:c r="C17" s="59" t="s">
        <x:v>1085</x:v>
      </x:c>
      <x:c r="D17" s="59" t="s">
        <x:v>1086</x:v>
      </x:c>
      <x:c r="E17" s="59" t="s">
        <x:v>1087</x:v>
      </x:c>
      <x:c r="F17" s="59" t="s">
        <x:v>962</x:v>
      </x:c>
      <x:c r="G17" s="59" t="s">
        <x:v>1088</x:v>
      </x:c>
    </x:row>
    <x:row r="18" ht="23.850000381469727" hidden="0">
      <x:c r="A18" s="59" t="s">
        <x:v>177</x:v>
      </x:c>
      <x:c r="B18" s="59" t="s">
        <x:v>1089</x:v>
      </x:c>
      <x:c r="C18" s="59" t="s">
        <x:v>1090</x:v>
      </x:c>
      <x:c r="D18" s="59" t="s">
        <x:v>1091</x:v>
      </x:c>
      <x:c r="E18" s="59" t="s">
        <x:v>1092</x:v>
      </x:c>
      <x:c r="F18" s="59" t="s">
        <x:v>1093</x:v>
      </x:c>
      <x:c r="G18" s="59" t="s">
        <x:v>1094</x:v>
      </x:c>
    </x:row>
    <x:row r="21" ht="15" hidden="0">
      <x:c r="A21" s="72" t="s">
        <x:v>1095</x:v>
      </x:c>
      <x:c r="B21" s="72"/>
      <x:c r="C21" s="72"/>
      <x:c r="D21" s="72"/>
      <x:c r="E21" s="72"/>
      <x:c r="F21" s="72"/>
      <x:c r="G21" s="72"/>
      <x:c r="H21" s="72"/>
    </x:row>
    <x:row r="22" ht="23.850000381469727" hidden="0">
      <x:c r="A22" s="59" t="s">
        <x:v>1096</x:v>
      </x:c>
      <x:c r="B22" s="59"/>
      <x:c r="C22" s="59"/>
      <x:c r="D22" s="59"/>
      <x:c r="E22" s="59"/>
      <x:c r="F22" s="59"/>
    </x:row>
    <x:row r="23" ht="15" hidden="0">
      <x:c r="A23" s="59"/>
      <x:c r="B23" s="59"/>
      <x:c r="C23" s="59"/>
      <x:c r="D23" s="59"/>
      <x:c r="E23" s="59"/>
      <x:c r="F23" s="59"/>
    </x:row>
    <x:row r="24" ht="15" hidden="0">
      <x:c r="A24" s="59" t="s">
        <x:v>1053</x:v>
      </x:c>
      <x:c r="B24" s="59" t="s">
        <x:v>1097</x:v>
      </x:c>
      <x:c r="C24" s="59" t="s">
        <x:v>1057</x:v>
      </x:c>
      <x:c r="D24" s="59" t="s">
        <x:v>1098</x:v>
      </x:c>
      <x:c r="E24" s="59" t="s">
        <x:v>1099</x:v>
      </x:c>
      <x:c r="F24" s="59" t="s">
        <x:v>281</x:v>
      </x:c>
    </x:row>
    <x:row r="25" ht="23.850000381469727" hidden="0">
      <x:c r="A25" s="59" t="s">
        <x:v>177</x:v>
      </x:c>
      <x:c r="B25" s="59" t="s">
        <x:v>1100</x:v>
      </x:c>
      <x:c r="C25" s="59" t="s">
        <x:v>1101</x:v>
      </x:c>
      <x:c r="D25" s="59" t="s">
        <x:v>1102</x:v>
      </x:c>
      <x:c r="E25" s="59" t="s">
        <x:v>1103</x:v>
      </x:c>
      <x:c r="F25" s="59"/>
    </x:row>
    <x:row r="26" ht="23.850000381469727" hidden="0">
      <x:c r="A26" s="59" t="s">
        <x:v>179</x:v>
      </x:c>
      <x:c r="B26" s="59" t="s">
        <x:v>1104</x:v>
      </x:c>
      <x:c r="C26" s="59" t="s">
        <x:v>1105</x:v>
      </x:c>
      <x:c r="D26" s="59" t="s">
        <x:v>1106</x:v>
      </x:c>
      <x:c r="E26" s="59" t="s">
        <x:v>1107</x:v>
      </x:c>
      <x:c r="F26" s="59"/>
    </x:row>
    <x:row r="27" ht="15" hidden="0">
      <x:c r="A27" s="59" t="s">
        <x:v>1108</x:v>
      </x:c>
      <x:c r="B27" s="59" t="s">
        <x:v>1109</x:v>
      </x:c>
      <x:c r="C27" s="59" t="s">
        <x:v>1110</x:v>
      </x:c>
      <x:c r="D27" s="59" t="s">
        <x:v>1111</x:v>
      </x:c>
      <x:c r="E27" s="59" t="s">
        <x:v>1112</x:v>
      </x:c>
      <x:c r="F27" s="59"/>
    </x:row>
    <x:row r="28" ht="23.850000381469727" hidden="0">
      <x:c r="A28" s="59" t="s">
        <x:v>1113</x:v>
      </x:c>
      <x:c r="B28" s="59" t="s">
        <x:v>1114</x:v>
      </x:c>
      <x:c r="C28" s="59" t="s">
        <x:v>1115</x:v>
      </x:c>
      <x:c r="D28" s="59" t="s">
        <x:v>1116</x:v>
      </x:c>
      <x:c r="E28" s="59" t="s">
        <x:v>1107</x:v>
      </x:c>
      <x:c r="F28" s="59"/>
    </x:row>
    <x:row r="29" ht="15" hidden="0">
      <x:c r="A29" s="59" t="s">
        <x:v>1117</x:v>
      </x:c>
      <x:c r="B29" s="59" t="s">
        <x:v>1118</x:v>
      </x:c>
      <x:c r="C29" s="59" t="s">
        <x:v>1119</x:v>
      </x:c>
      <x:c r="D29" s="59" t="s">
        <x:v>1120</x:v>
      </x:c>
      <x:c r="E29" s="59" t="s">
        <x:v>1107</x:v>
      </x:c>
      <x:c r="F29" s="59"/>
    </x:row>
    <x:row r="32" ht="15" hidden="0">
      <x:c r="A32" s="72" t="s">
        <x:v>1121</x:v>
      </x:c>
      <x:c r="B32" s="72"/>
      <x:c r="C32" s="72"/>
      <x:c r="D32" s="72"/>
      <x:c r="E32" s="72"/>
      <x:c r="F32" s="72"/>
      <x:c r="G32" s="72"/>
      <x:c r="H32" s="72"/>
    </x:row>
    <x:row r="33" ht="23.850000381469727" hidden="0">
      <x:c r="A33" s="59" t="s">
        <x:v>1122</x:v>
      </x:c>
      <x:c r="B33" s="59"/>
      <x:c r="C33" s="59"/>
      <x:c r="D33" s="59"/>
      <x:c r="E33" s="59"/>
      <x:c r="F33" s="59"/>
    </x:row>
    <x:row r="34" ht="15" hidden="0">
      <x:c r="A34" s="59" t="s">
        <x:v>269</x:v>
      </x:c>
      <x:c r="B34" s="59" t="s">
        <x:v>1123</x:v>
      </x:c>
      <x:c r="C34" s="59" t="s">
        <x:v>1054</x:v>
      </x:c>
      <x:c r="D34" s="59" t="s">
        <x:v>1124</x:v>
      </x:c>
      <x:c r="E34" s="59" t="s">
        <x:v>1098</x:v>
      </x:c>
      <x:c r="F34" s="59" t="s">
        <x:v>212</x:v>
      </x:c>
    </x:row>
    <x:row r="35" ht="23.850000381469727" hidden="0">
      <x:c r="A35" s="59" t="s">
        <x:v>257</x:v>
      </x:c>
      <x:c r="B35" s="59" t="s">
        <x:v>1125</x:v>
      </x:c>
      <x:c r="C35" s="59" t="s">
        <x:v>1126</x:v>
      </x:c>
      <x:c r="D35" s="59" t="s">
        <x:v>1127</x:v>
      </x:c>
      <x:c r="E35" s="59" t="s">
        <x:v>1128</x:v>
      </x:c>
      <x:c r="F35" s="59" t="s">
        <x:v>876</x:v>
      </x:c>
    </x:row>
    <x:row r="36" ht="15" hidden="0">
      <x:c r="A36" s="59" t="s">
        <x:v>1129</x:v>
      </x:c>
      <x:c r="B36" s="59" t="s">
        <x:v>1130</x:v>
      </x:c>
      <x:c r="C36" s="59" t="s">
        <x:v>1131</x:v>
      </x:c>
      <x:c r="D36" s="59" t="s">
        <x:v>1132</x:v>
      </x:c>
      <x:c r="E36" s="59" t="s">
        <x:v>1133</x:v>
      </x:c>
      <x:c r="F36" s="59" t="s">
        <x:v>876</x:v>
      </x:c>
    </x:row>
    <x:row r="37" ht="23.850000381469727" hidden="0">
      <x:c r="A37" s="59" t="s">
        <x:v>902</x:v>
      </x:c>
      <x:c r="B37" s="59" t="s">
        <x:v>1134</x:v>
      </x:c>
      <x:c r="C37" s="59" t="s">
        <x:v>1135</x:v>
      </x:c>
      <x:c r="D37" s="59" t="s">
        <x:v>1136</x:v>
      </x:c>
      <x:c r="E37" s="59" t="s">
        <x:v>1137</x:v>
      </x:c>
      <x:c r="F37" s="59" t="s">
        <x:v>876</x:v>
      </x:c>
    </x:row>
    <x:row r="38" ht="15" hidden="0">
      <x:c r="A38" s="59" t="s">
        <x:v>1138</x:v>
      </x:c>
      <x:c r="B38" s="59" t="s">
        <x:v>1139</x:v>
      </x:c>
      <x:c r="C38" s="59" t="s">
        <x:v>1140</x:v>
      </x:c>
      <x:c r="D38" s="59" t="s">
        <x:v>1141</x:v>
      </x:c>
      <x:c r="E38" s="59" t="s">
        <x:v>1142</x:v>
      </x:c>
      <x:c r="F38" s="59" t="s">
        <x:v>876</x:v>
      </x:c>
    </x:row>
    <x:row r="40" ht="28" hidden="0" customHeight="1">
      <x:c r="A40" s="5" t="s">
        <x:v>1143</x:v>
      </x:c>
      <x:c r="B40" s="5"/>
      <x:c r="C40" s="5"/>
      <x:c r="D40" s="5"/>
      <x:c r="E40" s="5"/>
      <x:c r="F40" s="5"/>
      <x:c r="G40" s="5"/>
    </x:row>
    <x:row r="41" ht="15" hidden="0">
      <x:c r="A41" s="17" t="s">
        <x:v>63</x:v>
      </x:c>
      <x:c r="B41" s="17" t="s">
        <x:v>1144</x:v>
      </x:c>
      <x:c r="C41" s="17" t="s">
        <x:v>1057</x:v>
      </x:c>
      <x:c r="D41" s="17" t="s">
        <x:v>1015</x:v>
      </x:c>
      <x:c r="E41" s="17" t="s">
        <x:v>1145</x:v>
      </x:c>
      <x:c r="F41" s="17" t="s">
        <x:v>212</x:v>
      </x:c>
      <x:c r="G41" s="17"/>
    </x:row>
    <x:row r="42" ht="35.04999923706055" hidden="0">
      <x:c r="A42" s="59" t="s">
        <x:v>277</x:v>
      </x:c>
      <x:c r="B42" s="59" t="s">
        <x:v>1146</x:v>
      </x:c>
      <x:c r="C42" s="59" t="s">
        <x:v>1147</x:v>
      </x:c>
      <x:c r="D42" s="59" t="s">
        <x:v>801</x:v>
      </x:c>
      <x:c r="E42" s="59" t="s">
        <x:v>1148</x:v>
      </x:c>
      <x:c r="F42" s="59" t="s">
        <x:v>876</x:v>
      </x:c>
      <x:c r="G42" s="59"/>
    </x:row>
    <x:row r="43" ht="23.850000381469727" hidden="0">
      <x:c r="A43" s="59" t="s">
        <x:v>856</x:v>
      </x:c>
      <x:c r="B43" s="59" t="s">
        <x:v>1149</x:v>
      </x:c>
      <x:c r="C43" s="59" t="s">
        <x:v>1150</x:v>
      </x:c>
      <x:c r="D43" s="59" t="s">
        <x:v>858</x:v>
      </x:c>
      <x:c r="E43" s="59" t="s">
        <x:v>1151</x:v>
      </x:c>
      <x:c r="F43" s="59" t="s">
        <x:v>876</x:v>
      </x:c>
      <x:c r="G43" s="59"/>
    </x:row>
    <x:row r="44" ht="15" hidden="0">
      <x:c r="A44" s="59" t="s">
        <x:v>1152</x:v>
      </x:c>
      <x:c r="B44" s="59" t="s">
        <x:v>1153</x:v>
      </x:c>
      <x:c r="C44" s="59" t="s">
        <x:v>1154</x:v>
      </x:c>
      <x:c r="D44" s="59" t="s">
        <x:v>1155</x:v>
      </x:c>
      <x:c r="E44" s="59" t="s">
        <x:v>1148</x:v>
      </x:c>
      <x:c r="F44" s="59" t="s">
        <x:v>876</x:v>
      </x:c>
      <x:c r="G44" s="59"/>
    </x:row>
    <x:row r="45" ht="23.850000381469727" hidden="0">
      <x:c r="A45" s="59" t="s">
        <x:v>238</x:v>
      </x:c>
      <x:c r="B45" s="59" t="s">
        <x:v>1156</x:v>
      </x:c>
      <x:c r="C45" s="59" t="s">
        <x:v>1157</x:v>
      </x:c>
      <x:c r="D45" s="59" t="s">
        <x:v>1158</x:v>
      </x:c>
      <x:c r="E45" s="59" t="s">
        <x:v>1148</x:v>
      </x:c>
      <x:c r="F45" s="59" t="s">
        <x:v>876</x:v>
      </x:c>
      <x:c r="G45" s="59"/>
    </x:row>
    <x:row r="46" ht="23.850000381469727" hidden="0">
      <x:c r="A46" s="59" t="s">
        <x:v>252</x:v>
      </x:c>
      <x:c r="B46" s="59" t="s">
        <x:v>1159</x:v>
      </x:c>
      <x:c r="C46" s="59" t="s">
        <x:v>1160</x:v>
      </x:c>
      <x:c r="D46" s="59" t="s">
        <x:v>1161</x:v>
      </x:c>
      <x:c r="E46" s="59" t="s">
        <x:v>1148</x:v>
      </x:c>
      <x:c r="F46" s="59" t="s">
        <x:v>876</x:v>
      </x:c>
      <x:c r="G46" s="59"/>
    </x:row>
    <x:row r="47" ht="23.850000381469727" hidden="0">
      <x:c r="A47" s="59" t="s">
        <x:v>1162</x:v>
      </x:c>
      <x:c r="B47" s="59" t="s">
        <x:v>1163</x:v>
      </x:c>
      <x:c r="C47" s="59" t="s">
        <x:v>1164</x:v>
      </x:c>
      <x:c r="D47" s="59" t="s">
        <x:v>1165</x:v>
      </x:c>
      <x:c r="E47" s="59" t="s">
        <x:v>1148</x:v>
      </x:c>
      <x:c r="F47" s="59" t="s">
        <x:v>876</x:v>
      </x:c>
      <x:c r="G47" s="5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36" hidden="0" customWidth="1"/>
    <x:col min="3" max="3" width="59" hidden="0" customWidth="1"/>
    <x:col min="4" max="4" width="40" hidden="0" customWidth="1"/>
    <x:col min="5" max="12" width="30" hidden="0" customWidth="1"/>
  </x:cols>
  <x:sheetData>
    <x:row r="1" ht="32" hidden="0" customHeight="1">
      <x:c r="A1" s="116" t="str">
        <x:v>HANDICAP EUROPEAN – REGULI DE ANALIZĂ</x:v>
      </x:c>
      <x:c r="B1" s="116"/>
      <x:c r="C1" s="116"/>
      <x:c r="D1" s="116"/>
      <x:c r="E1" s="22"/>
      <x:c r="F1" s="22"/>
      <x:c r="G1" s="22"/>
      <x:c r="H1" s="22"/>
      <x:c r="I1" s="22"/>
      <x:c r="J1" s="22"/>
      <x:c r="K1" s="22"/>
      <x:c r="L1" s="22"/>
    </x:row>
    <x:row r="2" ht="15" hidden="0">
      <x:c r="A2" s="73"/>
      <x:c r="B2" s="73"/>
      <x:c r="C2" s="73"/>
      <x:c r="D2" s="73"/>
      <x:c r="E2" s="73"/>
      <x:c r="F2" s="73"/>
      <x:c r="G2" s="73"/>
      <x:c r="H2" s="73"/>
      <x:c r="I2" s="59"/>
      <x:c r="J2" s="59"/>
      <x:c r="K2" s="59"/>
      <x:c r="L2" s="59"/>
    </x:row>
    <x:row r="3" ht="48" hidden="0" customHeight="1">
      <x:c r="A3" s="150" t="s">
        <x:v>1166</x:v>
      </x:c>
      <x:c r="B3" s="150" t="s">
        <x:v>63</x:v>
      </x:c>
      <x:c r="C3" s="150" t="s">
        <x:v>209</x:v>
      </x:c>
      <x:c r="D3" s="150" t="s">
        <x:v>1015</x:v>
      </x:c>
      <x:c r="E3" s="59"/>
      <x:c r="F3" s="59"/>
      <x:c r="G3" s="59"/>
      <x:c r="H3" s="59"/>
      <x:c r="I3" s="59"/>
      <x:c r="J3" s="59"/>
      <x:c r="K3" s="59"/>
      <x:c r="L3" s="59"/>
    </x:row>
    <x:row r="4" ht="48" hidden="0" customHeight="1">
      <x:c r="A4" s="148" t="n">
        <x:v>1</x:v>
      </x:c>
      <x:c r="B4" s="148" t="s">
        <x:v>1167</x:v>
      </x:c>
      <x:c r="C4" s="148" t="s">
        <x:v>1168</x:v>
      </x:c>
      <x:c r="D4" s="148" t="s">
        <x:v>1169</x:v>
      </x:c>
      <x:c r="E4" s="74"/>
      <x:c r="F4" s="74"/>
      <x:c r="G4" s="74"/>
      <x:c r="H4" s="74"/>
      <x:c r="I4" s="59"/>
      <x:c r="J4" s="59"/>
      <x:c r="K4" s="59"/>
      <x:c r="L4" s="59"/>
    </x:row>
    <x:row r="5" ht="48" hidden="0" customHeight="1">
      <x:c r="A5" s="149" t="n">
        <x:v>2</x:v>
      </x:c>
      <x:c r="B5" s="149" t="s">
        <x:v>1170</x:v>
      </x:c>
      <x:c r="C5" s="149" t="s">
        <x:v>1171</x:v>
      </x:c>
      <x:c r="D5" s="149" t="s">
        <x:v>1172</x:v>
      </x:c>
      <x:c r="E5" s="59"/>
      <x:c r="F5" s="59"/>
      <x:c r="G5" s="59"/>
      <x:c r="H5" s="59"/>
      <x:c r="I5" s="59"/>
      <x:c r="J5" s="59"/>
      <x:c r="K5" s="59"/>
      <x:c r="L5" s="59"/>
    </x:row>
    <x:row r="6" ht="48" hidden="0" customHeight="1">
      <x:c r="A6" s="149" t="n">
        <x:v>3</x:v>
      </x:c>
      <x:c r="B6" s="149" t="s">
        <x:v>845</x:v>
      </x:c>
      <x:c r="C6" s="149" t="s">
        <x:v>1173</x:v>
      </x:c>
      <x:c r="D6" s="149" t="s">
        <x:v>1174</x:v>
      </x:c>
      <x:c r="E6" s="59"/>
      <x:c r="F6" s="59"/>
      <x:c r="G6" s="59"/>
      <x:c r="H6" s="59"/>
      <x:c r="I6" s="59"/>
      <x:c r="J6" s="59"/>
      <x:c r="K6" s="59"/>
      <x:c r="L6" s="59"/>
    </x:row>
    <x:row r="7" ht="48" hidden="0" customHeight="1">
      <x:c r="A7" s="149" t="n">
        <x:v>4</x:v>
      </x:c>
      <x:c r="B7" s="149" t="s">
        <x:v>848</x:v>
      </x:c>
      <x:c r="C7" s="149" t="s">
        <x:v>1175</x:v>
      </x:c>
      <x:c r="D7" s="149" t="s">
        <x:v>850</x:v>
      </x:c>
      <x:c r="E7" s="59"/>
      <x:c r="F7" s="59"/>
      <x:c r="G7" s="59"/>
      <x:c r="H7" s="59"/>
      <x:c r="I7" s="59"/>
      <x:c r="J7" s="59"/>
      <x:c r="K7" s="59"/>
      <x:c r="L7" s="59"/>
    </x:row>
    <x:row r="8" ht="48" hidden="0" customHeight="1">
      <x:c r="A8" s="149" t="n">
        <x:v>5</x:v>
      </x:c>
      <x:c r="B8" s="149" t="s">
        <x:v>238</x:v>
      </x:c>
      <x:c r="C8" s="149" t="s">
        <x:v>1176</x:v>
      </x:c>
      <x:c r="D8" s="149" t="s">
        <x:v>330</x:v>
      </x:c>
      <x:c r="E8" s="59"/>
      <x:c r="F8" s="59"/>
      <x:c r="G8" s="59"/>
      <x:c r="H8" s="59"/>
      <x:c r="I8" s="59"/>
      <x:c r="J8" s="59"/>
      <x:c r="K8" s="59"/>
      <x:c r="L8" s="59"/>
    </x:row>
    <x:row r="9" ht="48" hidden="0" customHeight="1">
      <x:c r="A9" s="149" t="n">
        <x:v>6</x:v>
      </x:c>
      <x:c r="B9" s="149" t="s">
        <x:v>241</x:v>
      </x:c>
      <x:c r="C9" s="149" t="s">
        <x:v>1177</x:v>
      </x:c>
      <x:c r="D9" s="149" t="s">
        <x:v>1178</x:v>
      </x:c>
      <x:c r="E9" s="59"/>
      <x:c r="F9" s="59"/>
      <x:c r="G9" s="59"/>
      <x:c r="H9" s="59"/>
      <x:c r="I9" s="59"/>
      <x:c r="J9" s="59"/>
      <x:c r="K9" s="59"/>
      <x:c r="L9" s="59"/>
    </x:row>
    <x:row r="10" ht="48" hidden="0" customHeight="1">
      <x:c r="A10" s="149" t="n">
        <x:v>7</x:v>
      </x:c>
      <x:c r="B10" s="149" t="s">
        <x:v>1179</x:v>
      </x:c>
      <x:c r="C10" s="149" t="s">
        <x:v>1180</x:v>
      </x:c>
      <x:c r="D10" s="149" t="s">
        <x:v>1181</x:v>
      </x:c>
      <x:c r="E10" s="59"/>
      <x:c r="F10" s="59"/>
      <x:c r="G10" s="59"/>
      <x:c r="H10" s="59"/>
      <x:c r="I10" s="59"/>
      <x:c r="J10" s="59"/>
      <x:c r="K10" s="59"/>
      <x:c r="L10" s="59"/>
    </x:row>
    <x:row r="11" ht="48" hidden="0" customHeight="1">
      <x:c r="A11" s="149" t="n">
        <x:v>8</x:v>
      </x:c>
      <x:c r="B11" s="149" t="s">
        <x:v>252</x:v>
      </x:c>
      <x:c r="C11" s="149" t="s">
        <x:v>1182</x:v>
      </x:c>
      <x:c r="D11" s="149" t="s">
        <x:v>1183</x:v>
      </x:c>
      <x:c r="E11" s="59"/>
      <x:c r="F11" s="59"/>
      <x:c r="G11" s="59"/>
      <x:c r="H11" s="59"/>
      <x:c r="I11" s="59"/>
      <x:c r="J11" s="59"/>
      <x:c r="K11" s="59"/>
      <x:c r="L11" s="59"/>
    </x:row>
    <x:row r="12" ht="48" hidden="0" customHeight="1">
      <x:c r="A12" s="149" t="n">
        <x:v>9</x:v>
      </x:c>
      <x:c r="B12" s="149" t="s">
        <x:v>257</x:v>
      </x:c>
      <x:c r="C12" s="149" t="s">
        <x:v>1184</x:v>
      </x:c>
      <x:c r="D12" s="149" t="s">
        <x:v>1185</x:v>
      </x:c>
      <x:c r="E12" s="59"/>
      <x:c r="F12" s="59"/>
      <x:c r="G12" s="59"/>
      <x:c r="H12" s="59"/>
      <x:c r="I12" s="59"/>
      <x:c r="J12" s="59"/>
      <x:c r="K12" s="59"/>
      <x:c r="L12" s="59"/>
    </x:row>
    <x:row r="13" ht="48" hidden="0" customHeight="1">
      <x:c r="A13" s="149" t="n">
        <x:v>10</x:v>
      </x:c>
      <x:c r="B13" s="149" t="s">
        <x:v>856</x:v>
      </x:c>
      <x:c r="C13" s="149" t="s">
        <x:v>1186</x:v>
      </x:c>
      <x:c r="D13" s="149" t="s">
        <x:v>858</x:v>
      </x:c>
      <x:c r="E13" s="59"/>
      <x:c r="F13" s="59"/>
      <x:c r="G13" s="59"/>
      <x:c r="H13" s="59"/>
      <x:c r="I13" s="59"/>
      <x:c r="J13" s="59"/>
      <x:c r="K13" s="59"/>
      <x:c r="L13" s="59"/>
    </x:row>
    <x:row r="14" ht="48" hidden="0" customHeight="1">
      <x:c r="A14" s="149" t="n">
        <x:v>11</x:v>
      </x:c>
      <x:c r="B14" s="149" t="s">
        <x:v>1187</x:v>
      </x:c>
      <x:c r="C14" s="149" t="s">
        <x:v>1188</x:v>
      </x:c>
      <x:c r="D14" s="149" t="s">
        <x:v>855</x:v>
      </x:c>
      <x:c r="E14" s="59"/>
      <x:c r="F14" s="59"/>
      <x:c r="G14" s="59"/>
      <x:c r="H14" s="59"/>
      <x:c r="I14" s="59"/>
      <x:c r="J14" s="59"/>
      <x:c r="K14" s="59"/>
      <x:c r="L14" s="59"/>
    </x:row>
    <x:row r="15" ht="48" hidden="0" customHeight="1">
      <x:c r="A15" s="149" t="n">
        <x:v>12</x:v>
      </x:c>
      <x:c r="B15" s="149" t="s">
        <x:v>1138</x:v>
      </x:c>
      <x:c r="C15" s="149" t="s">
        <x:v>1189</x:v>
      </x:c>
      <x:c r="D15" s="149" t="s">
        <x:v>1190</x:v>
      </x:c>
      <x:c r="E15" s="59"/>
      <x:c r="F15" s="59"/>
      <x:c r="G15" s="59"/>
      <x:c r="H15" s="59"/>
      <x:c r="I15" s="59"/>
      <x:c r="J15" s="59"/>
      <x:c r="K15" s="59"/>
      <x:c r="L15" s="59"/>
    </x:row>
    <x:row r="16" ht="48" hidden="0" customHeight="1">
      <x:c r="A16" s="149"/>
      <x:c r="B16" s="149"/>
      <x:c r="C16" s="149"/>
      <x:c r="D16" s="149"/>
      <x:c r="E16" s="59"/>
      <x:c r="F16" s="59"/>
      <x:c r="G16" s="59"/>
      <x:c r="H16" s="59"/>
      <x:c r="I16" s="59"/>
      <x:c r="J16" s="59"/>
      <x:c r="K16" s="59"/>
      <x:c r="L16" s="59"/>
    </x:row>
    <x:row r="17" ht="48" hidden="0" customHeight="1">
      <x:c r="A17" s="150" t="s">
        <x:v>902</x:v>
      </x:c>
      <x:c r="B17" s="150" t="s">
        <x:v>828</x:v>
      </x:c>
      <x:c r="C17" s="150" t="s">
        <x:v>1191</x:v>
      </x:c>
      <x:c r="D17" s="150" t="s">
        <x:v>1192</x:v>
      </x:c>
      <x:c r="E17" s="59"/>
      <x:c r="F17" s="59"/>
      <x:c r="G17" s="59"/>
      <x:c r="H17" s="59"/>
      <x:c r="I17" s="59"/>
      <x:c r="J17" s="59"/>
      <x:c r="K17" s="59"/>
      <x:c r="L17" s="59"/>
    </x:row>
    <x:row r="18" ht="48" hidden="0" customHeight="1">
      <x:c r="A18" s="149" t="s">
        <x:v>831</x:v>
      </x:c>
      <x:c r="B18" s="149" t="n">
        <x:v>1</x:v>
      </x:c>
      <x:c r="C18" s="149" t="s">
        <x:v>1193</x:v>
      </x:c>
      <x:c r="D18" s="149" t="s">
        <x:v>1194</x:v>
      </x:c>
      <x:c r="E18" s="59"/>
      <x:c r="F18" s="59"/>
      <x:c r="G18" s="59"/>
      <x:c r="H18" s="59"/>
      <x:c r="I18" s="59"/>
      <x:c r="J18" s="59"/>
      <x:c r="K18" s="59"/>
      <x:c r="L18" s="59"/>
    </x:row>
    <x:row r="19" ht="48" hidden="0" customHeight="1">
      <x:c r="A19" s="149" t="s">
        <x:v>834</x:v>
      </x:c>
      <x:c r="B19" s="149" t="n">
        <x:v>2</x:v>
      </x:c>
      <x:c r="C19" s="149" t="s">
        <x:v>1195</x:v>
      </x:c>
      <x:c r="D19" s="149" t="s">
        <x:v>837</x:v>
      </x:c>
      <x:c r="E19" s="59"/>
      <x:c r="F19" s="59"/>
      <x:c r="G19" s="59"/>
      <x:c r="H19" s="59"/>
      <x:c r="I19" s="59"/>
      <x:c r="J19" s="59"/>
      <x:c r="K19" s="59"/>
      <x:c r="L19" s="59"/>
    </x:row>
    <x:row r="20" ht="48" hidden="0" customHeight="1">
      <x:c r="A20" s="149" t="s">
        <x:v>836</x:v>
      </x:c>
      <x:c r="B20" s="149" t="n">
        <x:v>3</x:v>
      </x:c>
      <x:c r="C20" s="149" t="s">
        <x:v>1196</x:v>
      </x:c>
      <x:c r="D20" s="149" t="s">
        <x:v>1197</x:v>
      </x:c>
      <x:c r="E20" s="59"/>
      <x:c r="F20" s="59"/>
      <x:c r="G20" s="59"/>
      <x:c r="H20" s="59"/>
      <x:c r="I20" s="59"/>
      <x:c r="J20" s="59"/>
      <x:c r="K20" s="59"/>
      <x:c r="L20" s="59"/>
    </x:row>
    <x:row r="21" ht="48" hidden="0" customHeight="1">
      <x:c r="A21" s="149" t="s">
        <x:v>839</x:v>
      </x:c>
      <x:c r="B21" s="149" t="n">
        <x:v>4</x:v>
      </x:c>
      <x:c r="C21" s="149" t="s">
        <x:v>1198</x:v>
      </x:c>
      <x:c r="D21" s="149" t="s">
        <x:v>840</x:v>
      </x:c>
      <x:c r="E21" s="59"/>
      <x:c r="F21" s="59"/>
      <x:c r="G21" s="59"/>
      <x:c r="H21" s="59"/>
      <x:c r="I21" s="59"/>
      <x:c r="J21" s="59"/>
      <x:c r="K21" s="59"/>
      <x:c r="L21" s="59"/>
    </x:row>
    <x:row r="22" ht="48" hidden="0" customHeight="1">
      <x:c r="A22" s="149" t="s">
        <x:v>842</x:v>
      </x:c>
      <x:c r="B22" s="149" t="n">
        <x:v>5</x:v>
      </x:c>
      <x:c r="C22" s="149" t="s">
        <x:v>1199</x:v>
      </x:c>
      <x:c r="D22" s="149" t="s">
        <x:v>1200</x:v>
      </x:c>
      <x:c r="E22" s="59"/>
      <x:c r="F22" s="59"/>
      <x:c r="G22" s="59"/>
      <x:c r="H22" s="59"/>
      <x:c r="I22" s="59"/>
      <x:c r="J22" s="59"/>
      <x:c r="K22" s="59"/>
      <x:c r="L22" s="59"/>
    </x:row>
    <x:row r="23" ht="48" hidden="0" customHeight="1">
      <x:c r="A23" s="149"/>
      <x:c r="B23" s="149"/>
      <x:c r="C23" s="149"/>
      <x:c r="D23" s="149"/>
      <x:c r="E23" s="59"/>
      <x:c r="F23" s="59"/>
      <x:c r="G23" s="59"/>
      <x:c r="H23" s="59"/>
      <x:c r="I23" s="59"/>
      <x:c r="J23" s="59"/>
      <x:c r="K23" s="59"/>
      <x:c r="L23" s="59"/>
    </x:row>
    <x:row r="24" ht="48" hidden="0" customHeight="1">
      <x:c r="A24" s="150" t="s">
        <x:v>1201</x:v>
      </x:c>
      <x:c r="B24" s="150" t="s">
        <x:v>210</x:v>
      </x:c>
      <x:c r="C24" s="150" t="s">
        <x:v>1202</x:v>
      </x:c>
      <x:c r="D24" s="150" t="s">
        <x:v>1203</x:v>
      </x:c>
      <x:c r="E24" s="59"/>
      <x:c r="F24" s="59"/>
      <x:c r="G24" s="59"/>
      <x:c r="H24" s="59"/>
      <x:c r="I24" s="59"/>
      <x:c r="J24" s="59"/>
      <x:c r="K24" s="59"/>
      <x:c r="L24" s="59"/>
    </x:row>
    <x:row r="25" ht="48" hidden="0" customHeight="1">
      <x:c r="A25" s="149" t="s">
        <x:v>1204</x:v>
      </x:c>
      <x:c r="B25" s="149" t="s">
        <x:v>1205</x:v>
      </x:c>
      <x:c r="C25" s="149" t="str">
        <x:v>sample influențează gradual Confidence și incertitudinea; păstrează datele estimate cu prior în câmpurile motorului</x:v>
      </x:c>
      <x:c r="D25" s="149" t="str">
        <x:v>NU prin simpla etichetă</x:v>
      </x:c>
      <x:c r="E25" s="59"/>
      <x:c r="F25" s="59"/>
      <x:c r="G25" s="59"/>
      <x:c r="H25" s="59"/>
      <x:c r="I25" s="59"/>
      <x:c r="J25" s="59"/>
      <x:c r="K25" s="59"/>
      <x:c r="L25" s="59"/>
    </x:row>
    <x:row r="26" ht="48" hidden="0" customHeight="1">
      <x:c r="A26" s="149" t="s">
        <x:v>1206</x:v>
      </x:c>
      <x:c r="B26" s="149" t="s">
        <x:v>250</x:v>
      </x:c>
      <x:c r="C26" s="149" t="s">
        <x:v>1207</x:v>
      </x:c>
      <x:c r="D26" s="149" t="s">
        <x:v>1208</x:v>
      </x:c>
      <x:c r="E26" s="59"/>
      <x:c r="F26" s="59"/>
      <x:c r="G26" s="59"/>
      <x:c r="H26" s="59"/>
      <x:c r="I26" s="59"/>
      <x:c r="J26" s="59"/>
      <x:c r="K26" s="59"/>
      <x:c r="L26" s="59"/>
    </x:row>
    <x:row r="27" ht="48" hidden="0" customHeight="1">
      <x:c r="A27" s="149" t="s">
        <x:v>1209</x:v>
      </x:c>
      <x:c r="B27" s="149" t="s">
        <x:v>243</x:v>
      </x:c>
      <x:c r="C27" s="149" t="s">
        <x:v>1210</x:v>
      </x:c>
      <x:c r="D27" s="149" t="s">
        <x:v>102</x:v>
      </x:c>
      <x:c r="E27" s="59"/>
      <x:c r="F27" s="59"/>
      <x:c r="G27" s="59"/>
      <x:c r="H27" s="59"/>
      <x:c r="I27" s="59"/>
      <x:c r="J27" s="59"/>
      <x:c r="K27" s="59"/>
      <x:c r="L27" s="59"/>
    </x:row>
    <x:row r="28" ht="15" hidden="0">
      <x:c r="A28" s="149"/>
      <x:c r="B28" s="149"/>
      <x:c r="C28" s="149"/>
      <x:c r="D28" s="149"/>
      <x:c r="E28" s="59"/>
      <x:c r="F28" s="59"/>
      <x:c r="G28" s="59"/>
      <x:c r="H28" s="59"/>
    </x:row>
    <x:row r="29">
      <x:c r="A29" s="146" t="str">
        <x:v>Calcul automat</x:v>
      </x:c>
      <x:c r="B29" s="146" t="str">
        <x:v>Date utilizate</x:v>
      </x:c>
      <x:c r="C29" s="146" t="str">
        <x:v>Calcul</x:v>
      </x:c>
      <x:c r="D29" s="146" t="str">
        <x:v>Observație</x:v>
      </x:c>
    </x:row>
    <x:row r="30" ht="62" customHeight="1">
      <x:c r="A30" s="147" t="str">
        <x:v>Data Quality</x:v>
      </x:c>
      <x:c r="B30" s="147" t="str">
        <x:v>C41:C45 și D42 din Input_Meci</x:v>
      </x:c>
      <x:c r="C30" s="147" t="str">
        <x:v>100 minus scorul de calitate înainte de penalizarea lineup</x:v>
      </x:c>
      <x:c r="D30" s="147" t="str">
        <x:v>ponderile de calitate existente în Model</x:v>
      </x:c>
    </x:row>
    <x:row r="31" ht="62" hidden="0" customHeight="1">
      <x:c r="A31" s="148" t="str">
        <x:v>Distribution / Tail</x:v>
      </x:c>
      <x:c r="B31" s="148" t="str">
        <x:v>P1 / PX / P2</x:v>
      </x:c>
      <x:c r="C31" s="148" t="str">
        <x:v>100 × suma probabilităților celorlalte două rezultate</x:v>
      </x:c>
      <x:c r="D31" s="148" t="str">
        <x:v>pentru 1/2 include PX plus rezultatul advers</x:v>
      </x:c>
      <x:c r="E31" s="72"/>
      <x:c r="F31" s="72"/>
      <x:c r="G31" s="72"/>
      <x:c r="H31" s="72"/>
    </x:row>
    <x:row r="32" ht="62" hidden="0" customHeight="1">
      <x:c r="A32" s="149" t="str">
        <x:v>Market Structure</x:v>
      </x:c>
      <x:c r="B32" s="149" t="str">
        <x:v>P(M=2), P(M=3), P(M=4)</x:v>
      </x:c>
      <x:c r="C32" s="149" t="str">
        <x:v>100 × Concentration234</x:v>
      </x:c>
      <x:c r="D32" s="149" t="str">
        <x:v>direcția handicapului semnat</x:v>
      </x:c>
      <x:c r="E32" s="59"/>
      <x:c r="F32" s="59"/>
      <x:c r="G32" s="59"/>
      <x:c r="H32" s="59"/>
    </x:row>
    <x:row r="33" ht="62" hidden="0" customHeight="1">
      <x:c r="A33" s="149" t="str">
        <x:v>Context</x:v>
      </x:c>
      <x:c r="B33" s="149" t="str">
        <x:v>filtrul calitativ existent</x:v>
      </x:c>
      <x:c r="C33" s="149" t="str">
        <x:v>50 − 25 × scorul calitativ; limitat 0–100</x:v>
      </x:c>
      <x:c r="D33" s="149" t="str">
        <x:v>Piață/cote are greutate zero</x:v>
      </x:c>
      <x:c r="E33" s="59"/>
      <x:c r="F33" s="59"/>
      <x:c r="G33" s="59"/>
      <x:c r="H33" s="59"/>
    </x:row>
    <x:row r="34" ht="62" hidden="0" customHeight="1">
      <x:c r="A34" s="149" t="str">
        <x:v>Model Uncertainty</x:v>
      </x:c>
      <x:c r="B34" s="149" t="str">
        <x:v>sample și stabilitate λ</x:v>
      </x:c>
      <x:c r="C34" s="149" t="str">
        <x:v>100 × (1 − media(sample/ideal, stabilitate))</x:v>
      </x:c>
      <x:c r="D34" s="149" t="str">
        <x:v>sample/ideal limitat la 1</x:v>
      </x:c>
      <x:c r="E34" s="59"/>
      <x:c r="F34" s="59"/>
      <x:c r="G34" s="59"/>
      <x:c r="H34" s="59"/>
    </x:row>
    <x:row r="35" ht="62" hidden="0" customHeight="1">
      <x:c r="A35" s="149" t="str">
        <x:v>Market / Price</x:v>
      </x:c>
      <x:c r="B35" s="149" t="str">
        <x:v>cota și EV</x:v>
      </x:c>
      <x:c r="C35" s="149" t="str">
        <x:v>0</x:v>
      </x:c>
      <x:c r="D35" s="149" t="str">
        <x:v>pondere 0%</x:v>
      </x:c>
      <x:c r="E35" s="59"/>
      <x:c r="F35" s="59"/>
      <x:c r="G35" s="59"/>
      <x:c r="H35" s="59"/>
    </x:row>
    <x:row r="36" ht="62" hidden="0" customHeight="1">
      <x:c r="A36" s="149" t="str">
        <x:v>Compound</x:v>
      </x:c>
      <x:c r="B36" s="149" t="str">
        <x:v>Distribution și Market Structure</x:v>
      </x:c>
      <x:c r="C36" s="149" t="str">
        <x:v>Distribution × Market Structure / 100</x:v>
      </x:c>
      <x:c r="D36" s="149" t="str">
        <x:v>interacțiune calculată, limitată 0–100</x:v>
      </x:c>
      <x:c r="E36" s="59"/>
      <x:c r="F36" s="59"/>
      <x:c r="G36" s="59"/>
      <x:c r="H36" s="59"/>
    </x:row>
    <x:row r="37" ht="62" hidden="0" customHeight="1">
      <x:c r="A37" s="149" t="str">
        <x:v>Ponderi</x:v>
      </x:c>
      <x:c r="B37" s="149" t="str">
        <x:v>25 / 30 / 15 / 15 / 10 / 0 / 5</x:v>
      </x:c>
      <x:c r="C37" s="149" t="str">
        <x:v>suma ponderată a celor 7 componente</x:v>
      </x:c>
      <x:c r="D37" s="149" t="str">
        <x:v>pragurile de nivel rămân 20 / 40 / 60 / 80</x:v>
      </x:c>
      <x:c r="E37" s="59"/>
      <x:c r="F37" s="59"/>
      <x:c r="G37" s="59"/>
      <x:c r="H37" s="59"/>
    </x:row>
    <x:row r="38" ht="62" hidden="0" customHeight="1">
      <x:c r="A38" s="149" t="str">
        <x:v>Backtest</x:v>
      </x:c>
      <x:c r="B38" s="149" t="str">
        <x:v>Frozen_Predictions și Settlement</x:v>
      </x:c>
      <x:c r="C38" s="149" t="str">
        <x:v>se introduc snapshoturi ca valori înainte de meci</x:v>
      </x:c>
      <x:c r="D38" s="149" t="str">
        <x:v>registrul economic vechi nu clasifică selecțiile</x:v>
      </x:c>
      <x:c r="E38" s="59"/>
      <x:c r="F38" s="59"/>
      <x:c r="G38" s="59"/>
      <x:c r="H38" s="59"/>
    </x:row>
    <x:row r="39" ht="15" hidden="0">
      <x:c r="A39" s="59"/>
      <x:c r="B39" s="59"/>
      <x:c r="C39" s="59"/>
      <x:c r="D39" s="59"/>
      <x:c r="E39" s="59"/>
      <x:c r="F39" s="59"/>
      <x:c r="G39" s="59"/>
      <x:c r="H39" s="59"/>
    </x:row>
    <x:row r="40" ht="15" hidden="0">
      <x:c r="A40" s="59"/>
      <x:c r="B40" s="59"/>
      <x:c r="C40" s="59"/>
      <x:c r="D40" s="59"/>
      <x:c r="E40" s="59"/>
      <x:c r="F40" s="59"/>
      <x:c r="G40" s="59"/>
      <x:c r="H40" s="59"/>
    </x:row>
    <x:row r="41" ht="15" hidden="0">
      <x:c r="A41" s="59"/>
      <x:c r="B41" s="59"/>
      <x:c r="C41" s="59"/>
      <x:c r="D41" s="59"/>
      <x:c r="E41" s="59"/>
      <x:c r="F41" s="59"/>
      <x:c r="G41" s="59"/>
      <x:c r="H41" s="59"/>
    </x:row>
    <x:row r="42" ht="15" hidden="0">
      <x:c r="A42" s="59"/>
      <x:c r="B42" s="59"/>
      <x:c r="C42" s="59"/>
      <x:c r="D42" s="59"/>
      <x:c r="E42" s="59"/>
      <x:c r="F42" s="59"/>
      <x:c r="G42" s="59"/>
      <x:c r="H42" s="59"/>
    </x:row>
    <x:row r="43" ht="15" hidden="0">
      <x:c r="A43" s="59"/>
      <x:c r="B43" s="59"/>
      <x:c r="C43" s="59"/>
      <x:c r="D43" s="59"/>
      <x:c r="E43" s="59"/>
      <x:c r="F43" s="59"/>
      <x:c r="G43" s="59"/>
      <x:c r="H43" s="59"/>
    </x:row>
    <x:row r="44" ht="15" hidden="0">
      <x:c r="A44" s="59"/>
      <x:c r="B44" s="59"/>
      <x:c r="C44" s="59"/>
      <x:c r="D44" s="59"/>
      <x:c r="E44" s="59"/>
      <x:c r="F44" s="59"/>
      <x:c r="G44" s="59"/>
      <x:c r="H44" s="59"/>
    </x:row>
    <x:row r="45" ht="15" hidden="0">
      <x:c r="A45" s="59"/>
      <x:c r="B45" s="59"/>
      <x:c r="C45" s="59"/>
      <x:c r="D45" s="59"/>
      <x:c r="E45" s="59"/>
      <x:c r="F45" s="59"/>
      <x:c r="G45" s="59"/>
      <x:c r="H45" s="59"/>
    </x:row>
    <x:row r="46" ht="15" hidden="0">
      <x:c r="A46" s="59"/>
      <x:c r="B46" s="59"/>
      <x:c r="C46" s="59"/>
      <x:c r="D46" s="59"/>
      <x:c r="E46" s="59"/>
      <x:c r="F46" s="59"/>
      <x:c r="G46" s="59"/>
      <x:c r="H46" s="59"/>
    </x:row>
    <x:row r="47" ht="15" hidden="0">
      <x:c r="A47" s="59"/>
      <x:c r="B47" s="59"/>
      <x:c r="C47" s="59"/>
      <x:c r="D47" s="59"/>
      <x:c r="E47" s="59"/>
      <x:c r="F47" s="59"/>
      <x:c r="G47" s="59"/>
      <x:c r="H47" s="59"/>
    </x:row>
    <x:row r="48" ht="15" hidden="0">
      <x:c r="A48" s="59"/>
      <x:c r="B48" s="59"/>
      <x:c r="C48" s="59"/>
      <x:c r="D48" s="59"/>
      <x:c r="E48" s="59"/>
      <x:c r="F48" s="59"/>
      <x:c r="G48" s="59"/>
      <x:c r="H48" s="59"/>
    </x:row>
    <x:row r="49" ht="15" hidden="0">
      <x:c r="A49" s="59"/>
      <x:c r="B49" s="59"/>
      <x:c r="C49" s="59"/>
      <x:c r="D49" s="59"/>
      <x:c r="E49" s="59"/>
      <x:c r="F49" s="59"/>
      <x:c r="G49" s="59"/>
      <x:c r="H49" s="59"/>
    </x:row>
    <x:row r="50" ht="15" hidden="0">
      <x:c r="A50" s="59"/>
      <x:c r="B50" s="59"/>
      <x:c r="C50" s="59"/>
      <x:c r="D50" s="59"/>
      <x:c r="E50" s="59"/>
      <x:c r="F50" s="59"/>
      <x:c r="G50" s="59"/>
      <x:c r="H50" s="59"/>
    </x:row>
    <x:row r="51" ht="15" hidden="0">
      <x:c r="A51" s="59"/>
      <x:c r="B51" s="59"/>
      <x:c r="C51" s="59"/>
      <x:c r="D51" s="59"/>
      <x:c r="E51" s="59"/>
      <x:c r="F51" s="59"/>
      <x:c r="G51" s="59"/>
      <x:c r="H51" s="59"/>
    </x:row>
    <x:row r="52" ht="15" hidden="0">
      <x:c r="A52" s="59"/>
      <x:c r="B52" s="59"/>
      <x:c r="C52" s="59"/>
      <x:c r="D52" s="59"/>
      <x:c r="E52" s="59"/>
      <x:c r="F52" s="59"/>
      <x:c r="G52" s="59"/>
      <x:c r="H52" s="59"/>
    </x:row>
    <x:row r="53" ht="15" hidden="0">
      <x:c r="A53" s="59"/>
      <x:c r="B53" s="59"/>
      <x:c r="C53" s="59"/>
      <x:c r="D53" s="59"/>
      <x:c r="E53" s="59"/>
      <x:c r="F53" s="59"/>
      <x:c r="G53" s="59"/>
      <x:c r="H53" s="59"/>
    </x:row>
    <x:row r="54" ht="15" hidden="0">
      <x:c r="A54" s="59"/>
      <x:c r="B54" s="59"/>
      <x:c r="C54" s="59"/>
      <x:c r="D54" s="59"/>
      <x:c r="E54" s="59"/>
      <x:c r="F54" s="59"/>
      <x:c r="G54" s="59"/>
      <x:c r="H54" s="59"/>
    </x:row>
    <x:row r="55" ht="15" hidden="0">
      <x:c r="A55" s="59"/>
      <x:c r="B55" s="59"/>
      <x:c r="C55" s="59"/>
      <x:c r="D55" s="59"/>
      <x:c r="E55" s="59"/>
      <x:c r="F55" s="59"/>
      <x:c r="G55" s="59"/>
      <x:c r="H55" s="59"/>
    </x:row>
    <x:row r="56" ht="15" hidden="0">
      <x:c r="A56" s="59"/>
      <x:c r="B56" s="59"/>
      <x:c r="C56" s="59"/>
      <x:c r="D56" s="59"/>
      <x:c r="E56" s="59"/>
      <x:c r="F56" s="59"/>
      <x:c r="G56" s="59"/>
      <x:c r="H56" s="59"/>
    </x:row>
    <x:row r="57" ht="15" hidden="0">
      <x:c r="A57" s="59"/>
      <x:c r="B57" s="59"/>
      <x:c r="C57" s="59"/>
      <x:c r="D57" s="59"/>
      <x:c r="E57" s="59"/>
      <x:c r="F57" s="59"/>
      <x:c r="G57" s="59"/>
      <x:c r="H57" s="59"/>
    </x:row>
    <x:row r="58" ht="15" hidden="0">
      <x:c r="A58" s="59"/>
      <x:c r="B58" s="59"/>
      <x:c r="C58" s="59"/>
      <x:c r="D58" s="59"/>
      <x:c r="E58" s="59"/>
      <x:c r="F58" s="59"/>
      <x:c r="G58" s="59"/>
      <x:c r="H58" s="59"/>
    </x:row>
    <x:row r="59" ht="15" hidden="0">
      <x:c r="A59" s="59"/>
      <x:c r="B59" s="59"/>
      <x:c r="C59" s="59"/>
      <x:c r="D59" s="59"/>
      <x:c r="E59" s="59"/>
      <x:c r="F59" s="59"/>
      <x:c r="G59" s="59"/>
      <x:c r="H59" s="59"/>
    </x:row>
    <x:row r="60" ht="15" hidden="0">
      <x:c r="A60" s="59"/>
      <x:c r="B60" s="59"/>
      <x:c r="C60" s="59"/>
      <x:c r="D60" s="59"/>
      <x:c r="E60" s="59"/>
      <x:c r="F60" s="59"/>
      <x:c r="G60" s="59"/>
      <x:c r="H60" s="59"/>
    </x:row>
    <x:row r="61" ht="15" hidden="0">
      <x:c r="A61" s="59"/>
      <x:c r="B61" s="59"/>
      <x:c r="C61" s="59"/>
      <x:c r="D61" s="59"/>
      <x:c r="E61" s="59"/>
      <x:c r="F61" s="59"/>
      <x:c r="G61" s="59"/>
      <x:c r="H61" s="59"/>
    </x:row>
    <x:row r="62" ht="15" hidden="0">
      <x:c r="A62" s="59"/>
      <x:c r="B62" s="59"/>
      <x:c r="C62" s="59"/>
      <x:c r="D62" s="59"/>
      <x:c r="E62" s="59"/>
      <x:c r="F62" s="59"/>
      <x:c r="G62" s="59"/>
      <x:c r="H62" s="59"/>
    </x:row>
    <x:row r="63" ht="15" hidden="0">
      <x:c r="A63" s="59"/>
      <x:c r="B63" s="59"/>
      <x:c r="C63" s="59"/>
      <x:c r="D63" s="59"/>
      <x:c r="E63" s="59"/>
      <x:c r="F63" s="59"/>
      <x:c r="G63" s="59"/>
      <x:c r="H63" s="59"/>
    </x:row>
    <x:row r="66" ht="15" hidden="0">
      <x:c r="A66" s="72"/>
      <x:c r="B66" s="72"/>
      <x:c r="C66" s="72"/>
      <x:c r="D66" s="72"/>
      <x:c r="E66" s="72"/>
      <x:c r="F66" s="72"/>
      <x:c r="G66" s="72"/>
      <x:c r="H66" s="72"/>
    </x:row>
    <x:row r="67" ht="15" hidden="0">
      <x:c r="A67" s="59"/>
      <x:c r="B67" s="59"/>
      <x:c r="C67" s="59"/>
      <x:c r="D67" s="59"/>
    </x:row>
    <x:row r="68" ht="15" hidden="0">
      <x:c r="A68" s="59"/>
      <x:c r="B68" s="59"/>
      <x:c r="C68" s="59"/>
      <x:c r="D68" s="59"/>
    </x:row>
    <x:row r="69" ht="15" hidden="0">
      <x:c r="A69" s="59"/>
      <x:c r="B69" s="59"/>
      <x:c r="C69" s="59"/>
      <x:c r="D69" s="59"/>
    </x:row>
    <x:row r="70" ht="15" hidden="0">
      <x:c r="A70" s="59"/>
      <x:c r="B70" s="59"/>
      <x:c r="C70" s="59"/>
      <x:c r="D70" s="59"/>
    </x:row>
    <x:row r="71" ht="15" hidden="0">
      <x:c r="A71" s="59"/>
      <x:c r="B71" s="59"/>
      <x:c r="C71" s="59"/>
      <x:c r="D71" s="59"/>
    </x:row>
    <x:row r="72" ht="15" hidden="0">
      <x:c r="A72" s="59"/>
      <x:c r="B72" s="59"/>
      <x:c r="C72" s="59"/>
      <x:c r="D72" s="59"/>
    </x:row>
    <x:row r="73" ht="15" hidden="0">
      <x:c r="A73" s="59"/>
      <x:c r="B73" s="59"/>
      <x:c r="C73" s="59"/>
      <x:c r="D73" s="59"/>
    </x:row>
    <x:row r="74" ht="15" hidden="0">
      <x:c r="A74" s="59"/>
      <x:c r="B74" s="59"/>
      <x:c r="C74" s="59"/>
      <x:c r="D74" s="59"/>
    </x:row>
    <x:row r="75" ht="15" hidden="0">
      <x:c r="A75" s="59"/>
      <x:c r="B75" s="59"/>
      <x:c r="C75" s="59"/>
      <x:c r="D75" s="59"/>
    </x:row>
    <x:row r="76" ht="15" hidden="0">
      <x:c r="A76" s="59"/>
      <x:c r="B76" s="59"/>
      <x:c r="C76" s="59"/>
      <x:c r="D76" s="59"/>
    </x:row>
    <x:row r="77" ht="15" hidden="0">
      <x:c r="A77" s="59"/>
      <x:c r="B77" s="59"/>
      <x:c r="C77" s="59"/>
      <x:c r="D77" s="59"/>
    </x:row>
    <x:row r="78" ht="15" hidden="0">
      <x:c r="A78" s="59"/>
      <x:c r="B78" s="59"/>
      <x:c r="C78" s="59"/>
      <x:c r="D78" s="59"/>
    </x:row>
    <x:row r="79" ht="15" hidden="0">
      <x:c r="A79" s="59"/>
      <x:c r="B79" s="59"/>
      <x:c r="C79" s="59"/>
      <x:c r="D79" s="59"/>
    </x:row>
    <x:row r="82" ht="15" hidden="0">
      <x:c r="A82" s="72"/>
      <x:c r="B82" s="72"/>
      <x:c r="C82" s="72"/>
      <x:c r="D82" s="72"/>
      <x:c r="E82" s="72"/>
      <x:c r="F82" s="72"/>
      <x:c r="G82" s="72"/>
      <x:c r="H82" s="72"/>
    </x:row>
    <x:row r="83" ht="15" hidden="0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</x:row>
    <x:row r="84" ht="15" hidden="0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</x:row>
    <x:row r="85" ht="15" hidden="0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</x:row>
    <x:row r="86" ht="15" hidden="0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</x:row>
    <x:row r="87" ht="15" hidden="0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</x:row>
    <x:row r="88" ht="15" hidden="0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</x:row>
    <x:row r="89" ht="15" hidden="0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</x:row>
    <x:row r="90" ht="15" hidden="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</x:row>
    <x:row r="91" ht="15" hidden="0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</x:row>
    <x:row r="92" ht="15" hidden="0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</x:row>
    <x:row r="93" ht="15" hidden="0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</x:row>
    <x:row r="94" ht="15" hidden="0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</x:row>
    <x:row r="95" ht="15" hidden="0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</x:row>
    <x:row r="96" ht="15" hidden="0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</x:row>
    <x:row r="97" ht="15" hidden="0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</x:row>
    <x:row r="98" ht="15" hidden="0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</x:row>
    <x:row r="99" ht="15" hidden="0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</x:row>
    <x:row r="100" ht="15" hidden="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</x:row>
    <x:row r="101" ht="15" hidden="0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</x:row>
    <x:row r="102" ht="15" hidden="0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</x:row>
    <x:row r="103" ht="15" hidden="0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</x:row>
    <x:row r="104" ht="15" hidden="0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</x:row>
    <x:row r="105" ht="15" hidden="0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</x:row>
    <x:row r="106" ht="15" hidden="0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</x:row>
    <x:row r="107" ht="15" hidden="0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</x:row>
    <x:row r="108" ht="15" hidden="0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</x:row>
    <x:row r="109" ht="15" hidden="0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</x:row>
    <x:row r="110" ht="15" hidden="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</x:row>
    <x:row r="111" ht="15" hidden="0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</x:row>
    <x:row r="112" ht="15" hidden="0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</x:row>
    <x:row r="113" ht="15" hidden="0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</x:row>
    <x:row r="114" ht="15" hidden="0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</x:row>
    <x:row r="115" ht="15" hidden="0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</x:row>
    <x:row r="116" ht="15" hidden="0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</x:row>
    <x:row r="117" ht="15" hidden="0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</x:row>
    <x:row r="118" ht="15" hidden="0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</x:row>
    <x:row r="119" ht="15" hidden="0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</x:row>
    <x:row r="120" ht="15" hidden="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</x:row>
    <x:row r="121" ht="15" hidden="0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</x:row>
    <x:row r="122" ht="15" hidden="0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</x:row>
    <x:row r="123" ht="15" hidden="0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</x:row>
    <x:row r="124" ht="15" hidden="0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</x:row>
    <x:row r="125" ht="15" hidden="0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</x:row>
    <x:row r="126" ht="15" hidden="0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</x:row>
    <x:row r="127" ht="15" hidden="0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</x:row>
    <x:row r="128" ht="15" hidden="0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</x:row>
    <x:row r="129" ht="15" hidden="0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</x:row>
    <x:row r="130" ht="15" hidden="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</x:row>
    <x:row r="131" ht="15" hidden="0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</x:row>
    <x:row r="132" ht="15" hidden="0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</x:row>
    <x:row r="133" ht="15" hidden="0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</x:row>
    <x:row r="134" ht="15" hidden="0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</x:row>
    <x:row r="135" ht="15" hidden="0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</x:row>
    <x:row r="136" ht="15" hidden="0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</x:row>
    <x:row r="137" ht="15" hidden="0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</x:row>
    <x:row r="138" ht="15" hidden="0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</x:row>
    <x:row r="139" ht="15" hidden="0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</x:row>
    <x:row r="140" ht="15" hidden="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</x:row>
    <x:row r="141" ht="15" hidden="0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</x:row>
    <x:row r="142" ht="15" hidden="0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</x:row>
    <x:row r="143" ht="15" hidden="0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</x:row>
    <x:row r="144" ht="15" hidden="0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</x:row>
    <x:row r="145" ht="15" hidden="0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</x:row>
    <x:row r="146" ht="15" hidden="0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</x:row>
    <x:row r="147" ht="15" hidden="0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</x:row>
    <x:row r="148" ht="15" hidden="0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</x:row>
    <x:row r="149" ht="15" hidden="0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</x:row>
    <x:row r="150" ht="15" hidden="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</x:row>
    <x:row r="151" ht="15" hidden="0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</x:row>
    <x:row r="152" ht="15" hidden="0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</x:row>
    <x:row r="155" ht="15" hidden="0">
      <x:c r="A155" s="72"/>
      <x:c r="B155" s="72"/>
      <x:c r="C155" s="72"/>
      <x:c r="D155" s="72"/>
      <x:c r="E155" s="72"/>
      <x:c r="F155" s="72"/>
      <x:c r="G155" s="72"/>
      <x:c r="H155" s="72"/>
    </x:row>
    <x:row r="156" ht="15" hidden="0">
      <x:c r="A156" s="59"/>
      <x:c r="B156" s="59"/>
      <x:c r="C156" s="59"/>
      <x:c r="D156" s="59"/>
      <x:c r="E156" s="59"/>
      <x:c r="F156" s="59"/>
      <x:c r="G156" s="59"/>
      <x:c r="H156" s="59"/>
      <x:c r="I156" s="59"/>
    </x:row>
    <x:row r="157" ht="15" hidden="0">
      <x:c r="A157" s="59"/>
      <x:c r="B157" s="59"/>
      <x:c r="C157" s="59"/>
      <x:c r="D157" s="59"/>
      <x:c r="E157" s="59"/>
      <x:c r="F157" s="59"/>
      <x:c r="G157" s="59"/>
      <x:c r="H157" s="59"/>
      <x:c r="I157" s="59"/>
    </x:row>
    <x:row r="158" ht="15" hidden="0">
      <x:c r="A158" s="59"/>
      <x:c r="B158" s="59"/>
      <x:c r="C158" s="59"/>
      <x:c r="D158" s="59"/>
      <x:c r="E158" s="59"/>
      <x:c r="F158" s="59"/>
      <x:c r="G158" s="59"/>
      <x:c r="H158" s="59"/>
      <x:c r="I158" s="59"/>
    </x:row>
    <x:row r="159" ht="15" hidden="0">
      <x:c r="A159" s="59"/>
      <x:c r="B159" s="59"/>
      <x:c r="C159" s="59"/>
      <x:c r="D159" s="59"/>
      <x:c r="E159" s="59"/>
      <x:c r="F159" s="59"/>
      <x:c r="G159" s="59"/>
      <x:c r="H159" s="59"/>
      <x:c r="I159" s="59"/>
    </x:row>
    <x:row r="160" ht="15" hidden="0">
      <x:c r="A160" s="59"/>
      <x:c r="B160" s="59"/>
      <x:c r="C160" s="59"/>
      <x:c r="D160" s="59"/>
      <x:c r="E160" s="59"/>
      <x:c r="F160" s="59"/>
      <x:c r="G160" s="59"/>
      <x:c r="H160" s="59"/>
      <x:c r="I160" s="59"/>
    </x:row>
    <x:row r="161" ht="15" hidden="0">
      <x:c r="A161" s="59"/>
      <x:c r="B161" s="59"/>
      <x:c r="C161" s="59"/>
      <x:c r="D161" s="59"/>
      <x:c r="E161" s="59"/>
      <x:c r="F161" s="59"/>
      <x:c r="G161" s="59"/>
      <x:c r="H161" s="59"/>
      <x:c r="I161" s="59"/>
    </x:row>
    <x:row r="162" ht="15" hidden="0">
      <x:c r="A162" s="59"/>
      <x:c r="B162" s="59"/>
      <x:c r="C162" s="59"/>
      <x:c r="D162" s="59"/>
      <x:c r="E162" s="59"/>
      <x:c r="F162" s="59"/>
      <x:c r="G162" s="59"/>
      <x:c r="H162" s="59"/>
      <x:c r="I162" s="59"/>
    </x:row>
    <x:row r="163" ht="15" hidden="0">
      <x:c r="A163" s="59"/>
      <x:c r="B163" s="59"/>
      <x:c r="C163" s="59"/>
      <x:c r="D163" s="59"/>
      <x:c r="E163" s="59"/>
      <x:c r="F163" s="59"/>
      <x:c r="G163" s="59"/>
      <x:c r="H163" s="59"/>
      <x:c r="I163" s="59"/>
    </x:row>
    <x:row r="164" ht="15" hidden="0">
      <x:c r="A164" s="59"/>
      <x:c r="B164" s="59"/>
      <x:c r="C164" s="59"/>
      <x:c r="D164" s="59"/>
      <x:c r="E164" s="59"/>
      <x:c r="F164" s="59"/>
      <x:c r="G164" s="59"/>
      <x:c r="H164" s="59"/>
      <x:c r="I164" s="59"/>
    </x:row>
    <x:row r="165" ht="15" hidden="0">
      <x:c r="A165" s="59"/>
      <x:c r="B165" s="59"/>
      <x:c r="C165" s="59"/>
      <x:c r="D165" s="59"/>
      <x:c r="E165" s="59"/>
      <x:c r="F165" s="59"/>
      <x:c r="G165" s="59"/>
      <x:c r="H165" s="59"/>
      <x:c r="I165" s="59"/>
    </x:row>
    <x:row r="166" ht="15" hidden="0">
      <x:c r="A166" s="59"/>
      <x:c r="B166" s="59"/>
      <x:c r="C166" s="59"/>
      <x:c r="D166" s="59"/>
      <x:c r="E166" s="59"/>
      <x:c r="F166" s="59"/>
      <x:c r="G166" s="59"/>
      <x:c r="H166" s="59"/>
      <x:c r="I166" s="59"/>
    </x:row>
    <x:row r="167" ht="15" hidden="0">
      <x:c r="A167" s="59"/>
      <x:c r="B167" s="59"/>
      <x:c r="C167" s="59"/>
      <x:c r="D167" s="59"/>
      <x:c r="E167" s="59"/>
      <x:c r="F167" s="59"/>
      <x:c r="G167" s="59"/>
      <x:c r="H167" s="59"/>
      <x:c r="I167" s="59"/>
    </x:row>
    <x:row r="168" ht="15" hidden="0">
      <x:c r="A168" s="59"/>
      <x:c r="B168" s="59"/>
      <x:c r="C168" s="59"/>
      <x:c r="D168" s="59"/>
      <x:c r="E168" s="59"/>
      <x:c r="F168" s="59"/>
      <x:c r="G168" s="59"/>
      <x:c r="H168" s="59"/>
      <x:c r="I168" s="59"/>
    </x:row>
    <x:row r="169" ht="15" hidden="0">
      <x:c r="A169" s="59"/>
      <x:c r="B169" s="59"/>
      <x:c r="C169" s="59"/>
      <x:c r="D169" s="59"/>
      <x:c r="E169" s="59"/>
      <x:c r="F169" s="59"/>
      <x:c r="G169" s="59"/>
      <x:c r="H169" s="59"/>
      <x:c r="I169" s="59"/>
    </x:row>
    <x:row r="170" ht="15" hidden="0">
      <x:c r="A170" s="59"/>
      <x:c r="B170" s="59"/>
      <x:c r="C170" s="59"/>
      <x:c r="D170" s="59"/>
      <x:c r="E170" s="59"/>
      <x:c r="F170" s="59"/>
      <x:c r="G170" s="59"/>
      <x:c r="H170" s="59"/>
      <x:c r="I170" s="59"/>
    </x:row>
    <x:row r="171" ht="15" hidden="0">
      <x:c r="A171" s="59"/>
      <x:c r="B171" s="59"/>
      <x:c r="C171" s="59"/>
      <x:c r="D171" s="59"/>
      <x:c r="E171" s="59"/>
      <x:c r="F171" s="59"/>
      <x:c r="G171" s="59"/>
      <x:c r="H171" s="59"/>
      <x:c r="I171" s="59"/>
    </x:row>
    <x:row r="172" ht="15" hidden="0">
      <x:c r="A172" s="59"/>
      <x:c r="B172" s="59"/>
      <x:c r="C172" s="59"/>
      <x:c r="D172" s="59"/>
      <x:c r="E172" s="59"/>
      <x:c r="F172" s="59"/>
      <x:c r="G172" s="59"/>
      <x:c r="H172" s="59"/>
      <x:c r="I172" s="59"/>
    </x:row>
    <x:row r="173" ht="15" hidden="0">
      <x:c r="A173" s="59"/>
      <x:c r="B173" s="59"/>
      <x:c r="C173" s="59"/>
      <x:c r="D173" s="59"/>
      <x:c r="E173" s="59"/>
      <x:c r="F173" s="59"/>
      <x:c r="G173" s="59"/>
      <x:c r="H173" s="59"/>
      <x:c r="I173" s="59"/>
    </x:row>
    <x:row r="174" ht="15" hidden="0">
      <x:c r="A174" s="59"/>
      <x:c r="B174" s="59"/>
      <x:c r="C174" s="59"/>
      <x:c r="D174" s="59"/>
      <x:c r="E174" s="59"/>
      <x:c r="F174" s="59"/>
      <x:c r="G174" s="59"/>
      <x:c r="H174" s="59"/>
      <x:c r="I174" s="59"/>
    </x:row>
    <x:row r="175" ht="15" hidden="0">
      <x:c r="A175" s="59"/>
      <x:c r="B175" s="59"/>
      <x:c r="C175" s="59"/>
      <x:c r="D175" s="59"/>
      <x:c r="E175" s="59"/>
      <x:c r="F175" s="59"/>
      <x:c r="G175" s="59"/>
      <x:c r="H175" s="59"/>
      <x:c r="I175" s="59"/>
    </x:row>
    <x:row r="176" ht="15" hidden="0">
      <x:c r="A176" s="59"/>
      <x:c r="B176" s="59"/>
      <x:c r="C176" s="59"/>
      <x:c r="D176" s="59"/>
      <x:c r="E176" s="59"/>
      <x:c r="F176" s="59"/>
      <x:c r="G176" s="59"/>
      <x:c r="H176" s="59"/>
      <x:c r="I176" s="59"/>
    </x:row>
    <x:row r="177" ht="15" hidden="0">
      <x:c r="A177" s="59"/>
      <x:c r="B177" s="59"/>
      <x:c r="C177" s="59"/>
      <x:c r="D177" s="59"/>
      <x:c r="E177" s="59"/>
      <x:c r="F177" s="59"/>
      <x:c r="G177" s="59"/>
      <x:c r="H177" s="59"/>
      <x:c r="I177" s="59"/>
    </x:row>
    <x:row r="178" ht="15" hidden="0">
      <x:c r="A178" s="59"/>
      <x:c r="B178" s="59"/>
      <x:c r="C178" s="59"/>
      <x:c r="D178" s="59"/>
      <x:c r="E178" s="59"/>
      <x:c r="F178" s="59"/>
      <x:c r="G178" s="59"/>
      <x:c r="H178" s="59"/>
      <x:c r="I178" s="59"/>
    </x:row>
    <x:row r="179" ht="15" hidden="0">
      <x:c r="A179" s="59"/>
      <x:c r="B179" s="59"/>
      <x:c r="C179" s="59"/>
      <x:c r="D179" s="59"/>
      <x:c r="E179" s="59"/>
      <x:c r="F179" s="59"/>
      <x:c r="G179" s="59"/>
      <x:c r="H179" s="59"/>
      <x:c r="I179" s="59"/>
    </x:row>
    <x:row r="180" ht="15" hidden="0">
      <x:c r="A180" s="59"/>
      <x:c r="B180" s="59"/>
      <x:c r="C180" s="59"/>
      <x:c r="D180" s="59"/>
      <x:c r="E180" s="59"/>
      <x:c r="F180" s="59"/>
      <x:c r="G180" s="59"/>
      <x:c r="H180" s="59"/>
      <x:c r="I180" s="59"/>
    </x:row>
    <x:row r="181" ht="15" hidden="0">
      <x:c r="A181" s="59"/>
      <x:c r="B181" s="59"/>
      <x:c r="C181" s="59"/>
      <x:c r="D181" s="59"/>
      <x:c r="E181" s="59"/>
      <x:c r="F181" s="59"/>
      <x:c r="G181" s="59"/>
      <x:c r="H181" s="59"/>
      <x:c r="I181" s="59"/>
    </x:row>
    <x:row r="182" ht="15" hidden="0">
      <x:c r="A182" s="59"/>
      <x:c r="B182" s="59"/>
      <x:c r="C182" s="59"/>
      <x:c r="D182" s="59"/>
      <x:c r="E182" s="59"/>
      <x:c r="F182" s="59"/>
      <x:c r="G182" s="59"/>
      <x:c r="H182" s="59"/>
      <x:c r="I182" s="59"/>
    </x:row>
    <x:row r="183" ht="15" hidden="0">
      <x:c r="A183" s="59"/>
      <x:c r="B183" s="59"/>
      <x:c r="C183" s="59"/>
      <x:c r="D183" s="59"/>
      <x:c r="E183" s="59"/>
      <x:c r="F183" s="59"/>
      <x:c r="G183" s="59"/>
      <x:c r="H183" s="59"/>
      <x:c r="I183" s="59"/>
    </x:row>
    <x:row r="184" ht="15" hidden="0">
      <x:c r="A184" s="59"/>
      <x:c r="B184" s="59"/>
      <x:c r="C184" s="59"/>
      <x:c r="D184" s="59"/>
      <x:c r="E184" s="59"/>
      <x:c r="F184" s="59"/>
      <x:c r="G184" s="59"/>
      <x:c r="H184" s="59"/>
      <x:c r="I184" s="59"/>
    </x:row>
    <x:row r="185" ht="15" hidden="0">
      <x:c r="A185" s="59"/>
      <x:c r="B185" s="59"/>
      <x:c r="C185" s="59"/>
      <x:c r="D185" s="59"/>
      <x:c r="E185" s="59"/>
      <x:c r="F185" s="59"/>
      <x:c r="G185" s="59"/>
      <x:c r="H185" s="59"/>
      <x:c r="I185" s="59"/>
    </x:row>
    <x:row r="186" ht="15" hidden="0">
      <x:c r="A186" s="59"/>
      <x:c r="B186" s="59"/>
      <x:c r="C186" s="59"/>
      <x:c r="D186" s="59"/>
      <x:c r="E186" s="59"/>
      <x:c r="F186" s="59"/>
      <x:c r="G186" s="59"/>
      <x:c r="H186" s="59"/>
      <x:c r="I186" s="59"/>
    </x:row>
    <x:row r="187" ht="15" hidden="0">
      <x:c r="A187" s="59"/>
      <x:c r="B187" s="59"/>
      <x:c r="C187" s="59"/>
      <x:c r="D187" s="59"/>
      <x:c r="E187" s="59"/>
      <x:c r="F187" s="59"/>
      <x:c r="G187" s="59"/>
      <x:c r="H187" s="59"/>
      <x:c r="I187" s="59"/>
    </x:row>
    <x:row r="188" ht="15" hidden="0">
      <x:c r="A188" s="59"/>
      <x:c r="B188" s="59"/>
      <x:c r="C188" s="59"/>
      <x:c r="D188" s="59"/>
      <x:c r="E188" s="59"/>
      <x:c r="F188" s="59"/>
      <x:c r="G188" s="59"/>
      <x:c r="H188" s="59"/>
      <x:c r="I188" s="59"/>
    </x:row>
    <x:row r="189" ht="15" hidden="0">
      <x:c r="A189" s="59"/>
      <x:c r="B189" s="59"/>
      <x:c r="C189" s="59"/>
      <x:c r="D189" s="59"/>
      <x:c r="E189" s="59"/>
      <x:c r="F189" s="59"/>
      <x:c r="G189" s="59"/>
      <x:c r="H189" s="59"/>
      <x:c r="I189" s="59"/>
    </x:row>
    <x:row r="190" ht="15" hidden="0">
      <x:c r="A190" s="59"/>
      <x:c r="B190" s="59"/>
      <x:c r="C190" s="59"/>
      <x:c r="D190" s="59"/>
      <x:c r="E190" s="59"/>
      <x:c r="F190" s="59"/>
      <x:c r="G190" s="59"/>
      <x:c r="H190" s="59"/>
      <x:c r="I190" s="59"/>
    </x:row>
    <x:row r="191" ht="15" hidden="0">
      <x:c r="A191" s="59"/>
      <x:c r="B191" s="59"/>
      <x:c r="C191" s="59"/>
      <x:c r="D191" s="59"/>
      <x:c r="E191" s="59"/>
      <x:c r="F191" s="59"/>
      <x:c r="G191" s="59"/>
      <x:c r="H191" s="59"/>
      <x:c r="I191" s="59"/>
    </x:row>
    <x:row r="194" ht="15" hidden="0">
      <x:c r="A194" s="72"/>
      <x:c r="B194" s="72"/>
      <x:c r="C194" s="72"/>
      <x:c r="D194" s="72"/>
      <x:c r="E194" s="72"/>
      <x:c r="F194" s="72"/>
      <x:c r="G194" s="72"/>
      <x:c r="H194" s="72"/>
    </x:row>
    <x:row r="195" ht="15" hidden="0">
      <x:c r="A195" s="59"/>
      <x:c r="B195" s="59"/>
      <x:c r="C195" s="59"/>
      <x:c r="D195" s="59"/>
      <x:c r="E195" s="59"/>
      <x:c r="F195" s="59"/>
      <x:c r="G195" s="59"/>
      <x:c r="H195" s="59"/>
      <x:c r="I195" s="59"/>
    </x:row>
    <x:row r="196" ht="15" hidden="0">
      <x:c r="A196" s="59"/>
      <x:c r="B196" s="59"/>
      <x:c r="C196" s="59"/>
      <x:c r="D196" s="59"/>
      <x:c r="E196" s="59"/>
      <x:c r="F196" s="59"/>
      <x:c r="G196" s="59"/>
      <x:c r="H196" s="59"/>
      <x:c r="I196" s="59"/>
    </x:row>
    <x:row r="197" ht="15" hidden="0">
      <x:c r="A197" s="59"/>
      <x:c r="B197" s="59"/>
      <x:c r="C197" s="59"/>
      <x:c r="D197" s="59"/>
      <x:c r="E197" s="59"/>
      <x:c r="F197" s="59"/>
      <x:c r="G197" s="59"/>
      <x:c r="H197" s="59"/>
      <x:c r="I197" s="59"/>
    </x:row>
    <x:row r="198" ht="15" hidden="0">
      <x:c r="A198" s="59"/>
      <x:c r="B198" s="59"/>
      <x:c r="C198" s="59"/>
      <x:c r="D198" s="59"/>
      <x:c r="E198" s="59"/>
      <x:c r="F198" s="59"/>
      <x:c r="G198" s="59"/>
      <x:c r="H198" s="59"/>
      <x:c r="I198" s="59"/>
    </x:row>
    <x:row r="199" ht="15" hidden="0">
      <x:c r="A199" s="59"/>
      <x:c r="B199" s="59"/>
      <x:c r="C199" s="59"/>
      <x:c r="D199" s="59"/>
      <x:c r="E199" s="59"/>
      <x:c r="F199" s="59"/>
      <x:c r="G199" s="59"/>
      <x:c r="H199" s="59"/>
      <x:c r="I199" s="59"/>
    </x:row>
    <x:row r="200" ht="15" hidden="0">
      <x:c r="A200" s="59"/>
      <x:c r="B200" s="59"/>
      <x:c r="C200" s="59"/>
      <x:c r="D200" s="59"/>
      <x:c r="E200" s="59"/>
      <x:c r="F200" s="59"/>
      <x:c r="G200" s="59"/>
      <x:c r="H200" s="59"/>
      <x:c r="I200" s="59"/>
    </x:row>
    <x:row r="201" ht="15" hidden="0">
      <x:c r="A201" s="59"/>
      <x:c r="B201" s="59"/>
      <x:c r="C201" s="59"/>
      <x:c r="D201" s="59"/>
      <x:c r="E201" s="59"/>
      <x:c r="F201" s="59"/>
      <x:c r="G201" s="59"/>
      <x:c r="H201" s="59"/>
      <x:c r="I201" s="59"/>
    </x:row>
    <x:row r="202" ht="15" hidden="0">
      <x:c r="A202" s="59"/>
      <x:c r="B202" s="59"/>
      <x:c r="C202" s="59"/>
      <x:c r="D202" s="59"/>
      <x:c r="E202" s="59"/>
      <x:c r="F202" s="59"/>
      <x:c r="G202" s="59"/>
      <x:c r="H202" s="59"/>
      <x:c r="I202" s="59"/>
    </x:row>
    <x:row r="203" ht="15" hidden="0">
      <x:c r="A203" s="59"/>
      <x:c r="B203" s="59"/>
      <x:c r="C203" s="59"/>
      <x:c r="D203" s="59"/>
      <x:c r="E203" s="59"/>
      <x:c r="F203" s="59"/>
      <x:c r="G203" s="59"/>
      <x:c r="H203" s="59"/>
      <x:c r="I203" s="59"/>
    </x:row>
    <x:row r="204" ht="15" hidden="0">
      <x:c r="A204" s="59"/>
      <x:c r="B204" s="59"/>
      <x:c r="C204" s="59"/>
      <x:c r="D204" s="59"/>
      <x:c r="E204" s="59"/>
      <x:c r="F204" s="59"/>
      <x:c r="G204" s="59"/>
      <x:c r="H204" s="59"/>
      <x:c r="I204" s="59"/>
    </x:row>
    <x:row r="205" ht="15" hidden="0">
      <x:c r="A205" s="59"/>
      <x:c r="B205" s="59"/>
      <x:c r="C205" s="59"/>
      <x:c r="D205" s="59"/>
      <x:c r="E205" s="59"/>
      <x:c r="F205" s="59"/>
      <x:c r="G205" s="59"/>
      <x:c r="H205" s="59"/>
      <x:c r="I205" s="59"/>
    </x:row>
    <x:row r="206" ht="15" hidden="0">
      <x:c r="A206" s="59"/>
      <x:c r="B206" s="59"/>
      <x:c r="C206" s="59"/>
      <x:c r="D206" s="59"/>
      <x:c r="E206" s="59"/>
      <x:c r="F206" s="59"/>
      <x:c r="G206" s="59"/>
      <x:c r="H206" s="59"/>
      <x:c r="I206" s="59"/>
    </x:row>
    <x:row r="207" ht="15" hidden="0">
      <x:c r="A207" s="59"/>
      <x:c r="B207" s="59"/>
      <x:c r="C207" s="59"/>
      <x:c r="D207" s="59"/>
      <x:c r="E207" s="59"/>
      <x:c r="F207" s="59"/>
      <x:c r="G207" s="59"/>
      <x:c r="H207" s="59"/>
      <x:c r="I207" s="59"/>
    </x:row>
    <x:row r="208" ht="15" hidden="0">
      <x:c r="A208" s="59"/>
      <x:c r="B208" s="59"/>
      <x:c r="C208" s="59"/>
      <x:c r="D208" s="59"/>
      <x:c r="E208" s="59"/>
      <x:c r="F208" s="59"/>
      <x:c r="G208" s="59"/>
      <x:c r="H208" s="59"/>
      <x:c r="I208" s="59"/>
    </x:row>
    <x:row r="209" ht="15" hidden="0">
      <x:c r="A209" s="59"/>
      <x:c r="B209" s="59"/>
      <x:c r="C209" s="59"/>
      <x:c r="D209" s="59"/>
      <x:c r="E209" s="59"/>
      <x:c r="F209" s="59"/>
      <x:c r="G209" s="59"/>
      <x:c r="H209" s="59"/>
      <x:c r="I209" s="59"/>
    </x:row>
    <x:row r="210" ht="15" hidden="0">
      <x:c r="A210" s="59"/>
      <x:c r="B210" s="59"/>
      <x:c r="C210" s="59"/>
      <x:c r="D210" s="59"/>
      <x:c r="E210" s="59"/>
      <x:c r="F210" s="59"/>
      <x:c r="G210" s="59"/>
      <x:c r="H210" s="59"/>
      <x:c r="I210" s="59"/>
    </x:row>
    <x:row r="211" ht="15" hidden="0">
      <x:c r="A211" s="59"/>
      <x:c r="B211" s="59"/>
      <x:c r="C211" s="59"/>
      <x:c r="D211" s="59"/>
      <x:c r="E211" s="59"/>
      <x:c r="F211" s="59"/>
      <x:c r="G211" s="59"/>
      <x:c r="H211" s="59"/>
      <x:c r="I211" s="59"/>
    </x:row>
    <x:row r="212" ht="15" hidden="0">
      <x:c r="A212" s="59"/>
      <x:c r="B212" s="59"/>
      <x:c r="C212" s="59"/>
      <x:c r="D212" s="59"/>
      <x:c r="E212" s="59"/>
      <x:c r="F212" s="59"/>
      <x:c r="G212" s="59"/>
      <x:c r="H212" s="59"/>
      <x:c r="I212" s="59"/>
    </x:row>
    <x:row r="213" ht="15" hidden="0">
      <x:c r="A213" s="59"/>
      <x:c r="B213" s="59"/>
      <x:c r="C213" s="59"/>
      <x:c r="D213" s="59"/>
      <x:c r="E213" s="59"/>
      <x:c r="F213" s="59"/>
      <x:c r="G213" s="59"/>
      <x:c r="H213" s="59"/>
      <x:c r="I213" s="59"/>
    </x:row>
    <x:row r="214" ht="15" hidden="0">
      <x:c r="A214" s="59"/>
      <x:c r="B214" s="59"/>
      <x:c r="C214" s="59"/>
      <x:c r="D214" s="59"/>
      <x:c r="E214" s="59"/>
      <x:c r="F214" s="59"/>
      <x:c r="G214" s="59"/>
      <x:c r="H214" s="59"/>
      <x:c r="I214" s="59"/>
    </x:row>
    <x:row r="215" ht="15" hidden="0">
      <x:c r="A215" s="59"/>
      <x:c r="B215" s="59"/>
      <x:c r="C215" s="59"/>
      <x:c r="D215" s="59"/>
      <x:c r="E215" s="59"/>
      <x:c r="F215" s="59"/>
      <x:c r="G215" s="59"/>
      <x:c r="H215" s="59"/>
      <x:c r="I215" s="59"/>
    </x:row>
    <x:row r="216" ht="15" hidden="0">
      <x:c r="A216" s="59"/>
      <x:c r="B216" s="59"/>
      <x:c r="C216" s="59"/>
      <x:c r="D216" s="59"/>
      <x:c r="E216" s="59"/>
      <x:c r="F216" s="59"/>
      <x:c r="G216" s="59"/>
      <x:c r="H216" s="59"/>
      <x:c r="I216" s="59"/>
    </x:row>
    <x:row r="217" ht="15" hidden="0">
      <x:c r="A217" s="59"/>
      <x:c r="B217" s="59"/>
      <x:c r="C217" s="59"/>
      <x:c r="D217" s="59"/>
      <x:c r="E217" s="59"/>
      <x:c r="F217" s="59"/>
      <x:c r="G217" s="59"/>
      <x:c r="H217" s="59"/>
      <x:c r="I217" s="59"/>
    </x:row>
    <x:row r="218" ht="15" hidden="0">
      <x:c r="A218" s="59"/>
      <x:c r="B218" s="59"/>
      <x:c r="C218" s="59"/>
      <x:c r="D218" s="59"/>
      <x:c r="E218" s="59"/>
      <x:c r="F218" s="59"/>
      <x:c r="G218" s="59"/>
      <x:c r="H218" s="59"/>
      <x:c r="I218" s="59"/>
    </x:row>
    <x:row r="219" ht="15" hidden="0">
      <x:c r="A219" s="59"/>
      <x:c r="B219" s="59"/>
      <x:c r="C219" s="59"/>
      <x:c r="D219" s="59"/>
      <x:c r="E219" s="59"/>
      <x:c r="F219" s="59"/>
      <x:c r="G219" s="59"/>
      <x:c r="H219" s="59"/>
      <x:c r="I219" s="59"/>
    </x:row>
    <x:row r="220" ht="15" hidden="0">
      <x:c r="A220" s="59"/>
      <x:c r="B220" s="59"/>
      <x:c r="C220" s="59"/>
      <x:c r="D220" s="59"/>
      <x:c r="E220" s="59"/>
      <x:c r="F220" s="59"/>
      <x:c r="G220" s="59"/>
      <x:c r="H220" s="59"/>
      <x:c r="I220" s="59"/>
    </x:row>
    <x:row r="221" ht="15" hidden="0">
      <x:c r="A221" s="59"/>
      <x:c r="B221" s="59"/>
      <x:c r="C221" s="59"/>
      <x:c r="D221" s="59"/>
      <x:c r="E221" s="59"/>
      <x:c r="F221" s="59"/>
      <x:c r="G221" s="59"/>
      <x:c r="H221" s="59"/>
      <x:c r="I221" s="59"/>
    </x:row>
    <x:row r="222" ht="15" hidden="0">
      <x:c r="A222" s="59"/>
      <x:c r="B222" s="59"/>
      <x:c r="C222" s="59"/>
      <x:c r="D222" s="59"/>
      <x:c r="E222" s="59"/>
      <x:c r="F222" s="59"/>
      <x:c r="G222" s="59"/>
      <x:c r="H222" s="59"/>
      <x:c r="I222" s="59"/>
    </x:row>
    <x:row r="223" ht="15" hidden="0">
      <x:c r="A223" s="59"/>
      <x:c r="B223" s="59"/>
      <x:c r="C223" s="59"/>
      <x:c r="D223" s="59"/>
      <x:c r="E223" s="59"/>
      <x:c r="F223" s="59"/>
      <x:c r="G223" s="59"/>
      <x:c r="H223" s="59"/>
      <x:c r="I223" s="59"/>
    </x:row>
    <x:row r="224" ht="15" hidden="0">
      <x:c r="A224" s="59"/>
      <x:c r="B224" s="59"/>
      <x:c r="C224" s="59"/>
      <x:c r="D224" s="59"/>
      <x:c r="E224" s="59"/>
      <x:c r="F224" s="59"/>
      <x:c r="G224" s="59"/>
      <x:c r="H224" s="59"/>
      <x:c r="I224" s="59"/>
    </x:row>
    <x:row r="225" ht="15" hidden="0">
      <x:c r="A225" s="59"/>
      <x:c r="B225" s="59"/>
      <x:c r="C225" s="59"/>
      <x:c r="D225" s="59"/>
      <x:c r="E225" s="59"/>
      <x:c r="F225" s="59"/>
      <x:c r="G225" s="59"/>
      <x:c r="H225" s="59"/>
      <x:c r="I225" s="59"/>
    </x:row>
    <x:row r="226" ht="15" hidden="0">
      <x:c r="A226" s="59"/>
      <x:c r="B226" s="59"/>
      <x:c r="C226" s="59"/>
      <x:c r="D226" s="59"/>
      <x:c r="E226" s="59"/>
      <x:c r="F226" s="59"/>
      <x:c r="G226" s="59"/>
      <x:c r="H226" s="59"/>
      <x:c r="I226" s="59"/>
    </x:row>
    <x:row r="227" ht="15" hidden="0">
      <x:c r="A227" s="59"/>
      <x:c r="B227" s="59"/>
      <x:c r="C227" s="59"/>
      <x:c r="D227" s="59"/>
      <x:c r="E227" s="59"/>
      <x:c r="F227" s="59"/>
      <x:c r="G227" s="59"/>
      <x:c r="H227" s="59"/>
      <x:c r="I227" s="59"/>
    </x:row>
    <x:row r="228" ht="15" hidden="0">
      <x:c r="A228" s="59"/>
      <x:c r="B228" s="59"/>
      <x:c r="C228" s="59"/>
      <x:c r="D228" s="59"/>
      <x:c r="E228" s="59"/>
      <x:c r="F228" s="59"/>
      <x:c r="G228" s="59"/>
      <x:c r="H228" s="59"/>
      <x:c r="I228" s="59"/>
    </x:row>
    <x:row r="229" ht="15" hidden="0">
      <x:c r="A229" s="59"/>
      <x:c r="B229" s="59"/>
      <x:c r="C229" s="59"/>
      <x:c r="D229" s="59"/>
      <x:c r="E229" s="59"/>
      <x:c r="F229" s="59"/>
      <x:c r="G229" s="59"/>
      <x:c r="H229" s="59"/>
      <x:c r="I229" s="59"/>
    </x:row>
    <x:row r="230" ht="15" hidden="0">
      <x:c r="A230" s="59"/>
      <x:c r="B230" s="59"/>
      <x:c r="C230" s="59"/>
      <x:c r="D230" s="59"/>
      <x:c r="E230" s="59"/>
      <x:c r="F230" s="59"/>
      <x:c r="G230" s="59"/>
      <x:c r="H230" s="59"/>
      <x:c r="I230" s="59"/>
    </x:row>
    <x:row r="231" ht="15" hidden="0">
      <x:c r="A231" s="59"/>
      <x:c r="B231" s="59"/>
      <x:c r="C231" s="59"/>
      <x:c r="D231" s="59"/>
      <x:c r="E231" s="59"/>
      <x:c r="F231" s="59"/>
      <x:c r="G231" s="59"/>
      <x:c r="H231" s="59"/>
      <x:c r="I231" s="59"/>
    </x:row>
    <x:row r="232" ht="15" hidden="0">
      <x:c r="A232" s="59"/>
      <x:c r="B232" s="59"/>
      <x:c r="C232" s="59"/>
      <x:c r="D232" s="59"/>
      <x:c r="E232" s="59"/>
      <x:c r="F232" s="59"/>
      <x:c r="G232" s="59"/>
      <x:c r="H232" s="59"/>
      <x:c r="I232" s="59"/>
    </x:row>
    <x:row r="233" ht="15" hidden="0">
      <x:c r="A233" s="59"/>
      <x:c r="B233" s="59"/>
      <x:c r="C233" s="59"/>
      <x:c r="D233" s="59"/>
      <x:c r="E233" s="59"/>
      <x:c r="F233" s="59"/>
      <x:c r="G233" s="59"/>
      <x:c r="H233" s="59"/>
      <x:c r="I233" s="59"/>
    </x:row>
    <x:row r="234" ht="15" hidden="0">
      <x:c r="A234" s="59"/>
      <x:c r="B234" s="59"/>
      <x:c r="C234" s="59"/>
      <x:c r="D234" s="59"/>
      <x:c r="E234" s="59"/>
      <x:c r="F234" s="59"/>
      <x:c r="G234" s="59"/>
      <x:c r="H234" s="59"/>
      <x:c r="I234" s="59"/>
    </x:row>
    <x:row r="237" ht="15" hidden="0">
      <x:c r="A237" s="72"/>
      <x:c r="B237" s="72"/>
      <x:c r="C237" s="72"/>
      <x:c r="D237" s="72"/>
      <x:c r="E237" s="72"/>
      <x:c r="F237" s="72"/>
      <x:c r="G237" s="72"/>
      <x:c r="H237" s="72"/>
    </x:row>
    <x:row r="238" ht="15" hidden="0">
      <x:c r="A238" s="59"/>
      <x:c r="B238" s="59"/>
    </x:row>
    <x:row r="241" ht="15" hidden="0">
      <x:c r="A241" s="72"/>
      <x:c r="B241" s="72"/>
      <x:c r="C241" s="72"/>
      <x:c r="D241" s="72"/>
      <x:c r="E241" s="72"/>
      <x:c r="F241" s="72"/>
      <x:c r="G241" s="72"/>
      <x:c r="H241" s="72"/>
    </x:row>
    <x:row r="242" ht="15" hidden="0">
      <x:c r="A242" s="59"/>
      <x:c r="B242" s="59"/>
      <x:c r="C242" s="59"/>
      <x:c r="D242" s="59"/>
      <x:c r="E242" s="59"/>
      <x:c r="F242" s="59"/>
    </x:row>
    <x:row r="243" ht="15" hidden="0">
      <x:c r="A243" s="59"/>
      <x:c r="B243" s="59"/>
      <x:c r="C243" s="59"/>
      <x:c r="D243" s="59"/>
      <x:c r="E243" s="59"/>
      <x:c r="F243" s="59"/>
    </x:row>
    <x:row r="244" ht="15" hidden="0">
      <x:c r="A244" s="59"/>
      <x:c r="B244" s="59"/>
      <x:c r="C244" s="59"/>
      <x:c r="D244" s="59"/>
      <x:c r="E244" s="59"/>
      <x:c r="F244" s="59"/>
    </x:row>
    <x:row r="245" ht="15" hidden="0">
      <x:c r="A245" s="59"/>
      <x:c r="B245" s="59"/>
      <x:c r="C245" s="59"/>
      <x:c r="D245" s="59"/>
      <x:c r="E245" s="59"/>
      <x:c r="F245" s="59"/>
    </x:row>
    <x:row r="246" ht="15" hidden="0">
      <x:c r="A246" s="59"/>
      <x:c r="B246" s="59"/>
      <x:c r="C246" s="59"/>
      <x:c r="D246" s="59"/>
      <x:c r="E246" s="59"/>
      <x:c r="F246" s="59"/>
    </x:row>
    <x:row r="247" ht="15" hidden="0">
      <x:c r="A247" s="59"/>
      <x:c r="B247" s="59"/>
      <x:c r="C247" s="59"/>
      <x:c r="D247" s="59"/>
      <x:c r="E247" s="59"/>
      <x:c r="F247" s="59"/>
    </x:row>
    <x:row r="248" ht="15" hidden="0">
      <x:c r="A248" s="59"/>
      <x:c r="B248" s="59"/>
      <x:c r="C248" s="59"/>
      <x:c r="D248" s="59"/>
      <x:c r="E248" s="59"/>
      <x:c r="F248" s="59"/>
    </x:row>
    <x:row r="249" ht="15" hidden="0">
      <x:c r="A249" s="59"/>
      <x:c r="B249" s="59"/>
      <x:c r="C249" s="59"/>
      <x:c r="D249" s="59"/>
      <x:c r="E249" s="59"/>
      <x:c r="F249" s="59"/>
    </x:row>
    <x:row r="250" ht="15" hidden="0">
      <x:c r="A250" s="59"/>
      <x:c r="B250" s="59"/>
      <x:c r="C250" s="59"/>
      <x:c r="D250" s="59"/>
      <x:c r="E250" s="59"/>
      <x:c r="F250" s="59"/>
    </x:row>
    <x:row r="251" ht="15" hidden="0">
      <x:c r="A251" s="59"/>
      <x:c r="B251" s="59"/>
      <x:c r="C251" s="59"/>
      <x:c r="D251" s="59"/>
      <x:c r="E251" s="59"/>
      <x:c r="F251" s="59"/>
    </x:row>
    <x:row r="252" ht="15" hidden="0">
      <x:c r="A252" s="59"/>
      <x:c r="B252" s="59"/>
      <x:c r="C252" s="59"/>
      <x:c r="D252" s="59"/>
      <x:c r="E252" s="59"/>
      <x:c r="F252" s="59"/>
    </x:row>
    <x:row r="253" ht="15" hidden="0">
      <x:c r="A253" s="59"/>
      <x:c r="B253" s="59"/>
      <x:c r="C253" s="59"/>
      <x:c r="D253" s="59"/>
      <x:c r="E253" s="59"/>
      <x:c r="F253" s="59"/>
    </x:row>
    <x:row r="254" ht="15" hidden="0">
      <x:c r="A254" s="59"/>
      <x:c r="B254" s="59"/>
      <x:c r="C254" s="59"/>
      <x:c r="D254" s="59"/>
      <x:c r="E254" s="59"/>
      <x:c r="F254" s="59"/>
    </x:row>
    <x:row r="255" ht="15" hidden="0">
      <x:c r="A255" s="59"/>
      <x:c r="B255" s="59"/>
      <x:c r="C255" s="59"/>
      <x:c r="D255" s="59"/>
      <x:c r="E255" s="59"/>
      <x:c r="F255" s="59"/>
    </x:row>
    <x:row r="256" ht="15" hidden="0">
      <x:c r="A256" s="59"/>
      <x:c r="B256" s="59"/>
      <x:c r="C256" s="59"/>
      <x:c r="D256" s="59"/>
      <x:c r="E256" s="59"/>
      <x:c r="F256" s="59"/>
    </x:row>
    <x:row r="257" ht="15" hidden="0">
      <x:c r="A257" s="59"/>
      <x:c r="B257" s="59"/>
      <x:c r="C257" s="59"/>
      <x:c r="D257" s="59"/>
      <x:c r="E257" s="59"/>
      <x:c r="F257" s="59"/>
    </x:row>
    <x:row r="258" ht="15" hidden="0">
      <x:c r="A258" s="59"/>
      <x:c r="B258" s="59"/>
      <x:c r="C258" s="59"/>
      <x:c r="D258" s="59"/>
      <x:c r="E258" s="59"/>
      <x:c r="F258" s="59"/>
    </x:row>
    <x:row r="259" ht="15" hidden="0">
      <x:c r="A259" s="59"/>
      <x:c r="B259" s="59"/>
      <x:c r="C259" s="59"/>
      <x:c r="D259" s="59"/>
      <x:c r="E259" s="59"/>
      <x:c r="F259" s="59"/>
    </x:row>
    <x:row r="260" ht="15" hidden="0">
      <x:c r="A260" s="59"/>
      <x:c r="B260" s="59"/>
      <x:c r="C260" s="59"/>
      <x:c r="D260" s="59"/>
      <x:c r="E260" s="59"/>
      <x:c r="F260" s="59"/>
    </x:row>
    <x:row r="261" ht="15" hidden="0">
      <x:c r="A261" s="59"/>
      <x:c r="B261" s="59"/>
      <x:c r="C261" s="59"/>
      <x:c r="D261" s="59"/>
      <x:c r="E261" s="59"/>
      <x:c r="F261" s="59"/>
    </x:row>
    <x:row r="262" ht="15" hidden="0">
      <x:c r="A262" s="59"/>
      <x:c r="B262" s="59"/>
      <x:c r="C262" s="59"/>
      <x:c r="D262" s="59"/>
      <x:c r="E262" s="59"/>
      <x:c r="F262" s="59"/>
    </x:row>
    <x:row r="263" ht="15" hidden="0">
      <x:c r="A263" s="59"/>
      <x:c r="B263" s="59"/>
      <x:c r="C263" s="59"/>
      <x:c r="D263" s="59"/>
      <x:c r="E263" s="59"/>
      <x:c r="F263" s="59"/>
    </x:row>
    <x:row r="264" ht="15" hidden="0">
      <x:c r="A264" s="59"/>
      <x:c r="B264" s="59"/>
      <x:c r="C264" s="59"/>
      <x:c r="D264" s="59"/>
      <x:c r="E264" s="59"/>
      <x:c r="F264" s="59"/>
    </x:row>
    <x:row r="265" ht="15" hidden="0">
      <x:c r="A265" s="59"/>
      <x:c r="B265" s="59"/>
      <x:c r="C265" s="59"/>
      <x:c r="D265" s="59"/>
      <x:c r="E265" s="59"/>
      <x:c r="F265" s="59"/>
    </x:row>
    <x:row r="266" ht="15" hidden="0">
      <x:c r="A266" s="59"/>
      <x:c r="B266" s="59"/>
      <x:c r="C266" s="59"/>
      <x:c r="D266" s="59"/>
      <x:c r="E266" s="59"/>
      <x:c r="F266" s="59"/>
    </x:row>
    <x:row r="267" ht="15" hidden="0">
      <x:c r="A267" s="59"/>
      <x:c r="B267" s="59"/>
      <x:c r="C267" s="59"/>
      <x:c r="D267" s="59"/>
      <x:c r="E267" s="59"/>
      <x:c r="F267" s="59"/>
    </x:row>
    <x:row r="268" ht="15" hidden="0">
      <x:c r="A268" s="59"/>
      <x:c r="B268" s="59"/>
      <x:c r="C268" s="59"/>
      <x:c r="D268" s="59"/>
      <x:c r="E268" s="59"/>
      <x:c r="F268" s="59"/>
    </x:row>
    <x:row r="269" ht="15" hidden="0">
      <x:c r="A269" s="59"/>
      <x:c r="B269" s="59"/>
      <x:c r="C269" s="59"/>
      <x:c r="D269" s="59"/>
      <x:c r="E269" s="59"/>
      <x:c r="F269" s="59"/>
    </x:row>
  </x:sheetData>
  <x:mergeCells>
    <x:mergeCell ref="A2:H2"/>
    <x:mergeCell ref="A1:D1"/>
  </x:mergeCells>
  <x:pageMargins left="0.7" right="0.7" top="0.75" bottom="0.75" header="0.3" footer="0.3"/>
</x:worksheet>
</file>