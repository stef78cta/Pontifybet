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78c79c95d645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37474d4afd0e4088"/>
    <x:sheet xmlns:r="http://schemas.openxmlformats.org/officeDocument/2006/relationships" name="Date statistice" sheetId="2" r:id="R06c8e719400049c2"/>
    <x:sheet xmlns:r="http://schemas.openxmlformats.org/officeDocument/2006/relationships" name="Factori contextuali" sheetId="3" r:id="Rf2234a91a6134fad"/>
    <x:sheet xmlns:r="http://schemas.openxmlformats.org/officeDocument/2006/relationships" name="Filtru &amp; metodologie" sheetId="4" r:id="Re7af6cd71ca746b0"/>
    <x:sheet xmlns:r="http://schemas.openxmlformats.org/officeDocument/2006/relationships" name="Model adaptiv" sheetId="5" r:id="R78cd2e2ac48e4161"/>
    <x:sheet xmlns:r="http://schemas.openxmlformats.org/officeDocument/2006/relationships" name="Analiza 83 meciuri" sheetId="6" r:id="Reb5e8068a2c94a44"/>
    <x:sheet xmlns:r="http://schemas.openxmlformats.org/officeDocument/2006/relationships" name="Rezumat 83" sheetId="7" r:id="R2502862ef14b4f0e"/>
    <x:sheet xmlns:r="http://schemas.openxmlformats.org/officeDocument/2006/relationships" name="Rezultate &amp; Comparatie" sheetId="8" r:id="R3785bd4f852545e5"/>
    <x:sheet xmlns:r="http://schemas.openxmlformats.org/officeDocument/2006/relationships" name="Statistici Backtest" sheetId="9" r:id="R1a1112bde422441a"/>
    <x:sheet xmlns:r="http://schemas.openxmlformats.org/officeDocument/2006/relationships" name="Calibrare v2" sheetId="10" r:id="Ra98e743c47654413"/>
    <x:sheet xmlns:r="http://schemas.openxmlformats.org/officeDocument/2006/relationships" name="Tail Risk v3" sheetId="11" r:id="R26ef1501572e4824"/>
    <x:sheet xmlns:r="http://schemas.openxmlformats.org/officeDocument/2006/relationships" name="Risk_Classification" sheetId="12" r:id="R70dbef36cf214a6c"/>
    <x:sheet xmlns:r="http://schemas.openxmlformats.org/officeDocument/2006/relationships" name="Frozen_Predictions" sheetId="13" r:id="Re00c2a8b62f94d38"/>
    <x:sheet xmlns:r="http://schemas.openxmlformats.org/officeDocument/2006/relationships" name="Settlement" sheetId="14" r:id="R9220048a92834429"/>
    <x:sheet xmlns:r="http://schemas.openxmlformats.org/officeDocument/2006/relationships" name="Risk_Level_Summary" sheetId="15" r:id="R2d4b8df8e0654c80"/>
    <x:sheet xmlns:r="http://schemas.openxmlformats.org/officeDocument/2006/relationships" name="Calibration" sheetId="16" r:id="R443a2413627f48d7"/>
    <x:sheet xmlns:r="http://schemas.openxmlformats.org/officeDocument/2006/relationships" name="Fail_Distribution" sheetId="17" r:id="R1dea62f1cbf545a3"/>
    <x:sheet xmlns:r="http://schemas.openxmlformats.org/officeDocument/2006/relationships" name="League_Summary" sheetId="18" r:id="Rdfb43baa8f274dee"/>
    <x:sheet xmlns:r="http://schemas.openxmlformats.org/officeDocument/2006/relationships" name="Monthly_Summary" sheetId="19" r:id="Rfe7102ffb2ac4a5d"/>
    <x:sheet xmlns:r="http://schemas.openxmlformats.org/officeDocument/2006/relationships" name="Builder_Marginal_Fails" sheetId="20" r:id="Rbe53fd94de94450b"/>
    <x:sheet xmlns:r="http://schemas.openxmlformats.org/officeDocument/2006/relationships" name="Backtest_Summary" sheetId="21" r:id="R67fc9d976629445e"/>
    <x:sheet xmlns:r="http://schemas.openxmlformats.org/officeDocument/2006/relationships" name="NearTail_Gate_v4" sheetId="22" r:id="R8ecf3e073345492d"/>
    <x:sheet xmlns:r="http://schemas.openxmlformats.org/officeDocument/2006/relationships" name="NearTail_Surcharge_v6" sheetId="23" r:id="Rb31164bb8b634cfe"/>
    <x:sheet xmlns:r="http://schemas.openxmlformats.org/officeDocument/2006/relationships" name="Tail_Data_v7" sheetId="24" r:id="R6bbbce4b81844fbf"/>
    <x:sheet xmlns:r="http://schemas.openxmlformats.org/officeDocument/2006/relationships" name="NearTail_Ranking_v8" sheetId="25" r:id="Rf963dbf7af33449f"/>
    <x:sheet xmlns:r="http://schemas.openxmlformats.org/officeDocument/2006/relationships" name="Goals_Distribution_v9" sheetId="26" r:id="R3cb2b8d9da094faf"/>
    <x:sheet xmlns:r="http://schemas.openxmlformats.org/officeDocument/2006/relationships" name="Under_LineCal_v9" sheetId="27" r:id="Re3af1d5ba6d94018"/>
    <x:sheet xmlns:r="http://schemas.openxmlformats.org/officeDocument/2006/relationships" name="Under_MultiLine_v9" sheetId="28" r:id="R2bd71dffe94b4560"/>
    <x:sheet xmlns:r="http://schemas.openxmlformats.org/officeDocument/2006/relationships" name="CHANGELOG_VERSIUNI" sheetId="29" r:id="R59813b5592d549f4"/>
    <x:sheet xmlns:r="http://schemas.openxmlformats.org/officeDocument/2006/relationships" name="DOCUMENTATIE_MODEL" sheetId="30" r:id="R6abd0331bb8c44e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2">
    <x:numFmt numFmtId="200" formatCode="General"/>
    <x:numFmt numFmtId="201" formatCode="0.00"/>
    <x:numFmt numFmtId="202" formatCode="0.0%"/>
    <x:numFmt numFmtId="203" formatCode="0"/>
    <x:numFmt numFmtId="204" formatCode="0.000"/>
    <x:numFmt numFmtId="205" formatCode="dd\.mm\.yyyy"/>
    <x:numFmt numFmtId="206" formatCode="dd/mm/yyyy"/>
    <x:numFmt numFmtId="207" formatCode="dd/mm/yyyy hh:mm"/>
    <x:numFmt numFmtId="208" formatCode="0%"/>
    <x:numFmt numFmtId="209" formatCode="0.00%"/>
    <x:numFmt numFmtId="210" formatCode="0.0"/>
    <x:numFmt numFmtId="211" formatCode="0.0000"/>
  </x:numFmts>
  <x:fonts count="20">
    <x:font>
      <x:sz val="11"/>
      <x:name val="Carlito"/>
    </x:font>
    <x:font>
      <x:b/>
      <x:sz val="11"/>
      <x:color rgb="FFFFFFFF"/>
      <x:name val="Carlito"/>
    </x:font>
    <x:font>
      <x:sz val="11"/>
      <x:color rgb="FFFF0000"/>
      <x:name val="Carlito"/>
    </x:font>
    <x:font>
      <x:b/>
      <x:sz val="11"/>
      <x:color rgb="FFFF0000"/>
      <x:name val="Carlito"/>
    </x:font>
    <x:font>
      <x:b/>
      <x:sz val="14"/>
      <x:color rgb="FFFFFFFF"/>
      <x:name val="Carlito"/>
    </x:font>
    <x:font>
      <x:sz val="10"/>
      <x:color rgb="FF000000"/>
      <x:name val="Carlito"/>
    </x:font>
    <x:font>
      <x:b/>
      <x:sz val="10"/>
      <x:color rgb="FFFFFFFF"/>
      <x:name val="Carlito"/>
    </x:font>
    <x:font>
      <x:sz val="11"/>
      <x:color rgb="FF000000"/>
      <x:name val="Carlito"/>
    </x:font>
    <x:font>
      <x:b/>
      <x:sz val="10"/>
      <x:color rgb="FF000000"/>
      <x:name val="Carlito"/>
    </x:font>
    <x:font>
      <x:i/>
      <x:sz val="11"/>
      <x:name val="Carlito"/>
    </x:font>
    <x:font>
      <x:i/>
      <x:sz val="11"/>
      <x:color rgb="FF7F6000"/>
      <x:name val="Carlito"/>
    </x:font>
    <x:font>
      <x:i/>
      <x:sz val="11"/>
      <x:color rgb="FF666666"/>
      <x:name val="Carlito"/>
    </x:font>
    <x:font>
      <x:b/>
      <x:sz val="11"/>
      <x:color rgb="FF17365D"/>
      <x:name val="Carlito"/>
    </x:font>
    <x:font>
      <x:sz val="10"/>
      <x:color rgb="FF233545"/>
      <x:name val="Arial"/>
    </x:font>
    <x:font>
      <x:b/>
      <x:sz val="16"/>
      <x:color rgb="FF233545"/>
      <x:name val="Arial"/>
    </x:font>
    <x:font>
      <x:sz val="10"/>
      <x:color rgb="FF64748B"/>
      <x:name val="Arial"/>
    </x:font>
    <x:font>
      <x:b/>
      <x:sz val="10"/>
      <x:color rgb="FFFFFFFF"/>
      <x:name val="Arial"/>
    </x:font>
    <x:font>
      <x:b/>
      <x:sz val="14"/>
      <x:color rgb="FF233545"/>
      <x:name val="Arial"/>
    </x:font>
    <x:font>
      <x:sz val="11"/>
      <x:color rgb="FF233545"/>
      <x:name val="Arial"/>
    </x:font>
    <x:font>
      <x:sz val="9"/>
      <x:color rgb="FF233545"/>
      <x:name val="Arial"/>
    </x:font>
  </x:fonts>
  <x:fills count="1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F00"/>
      </x:patternFill>
    </x:fill>
    <x:fill>
      <x:patternFill patternType="solid">
        <x:fgColor rgb="FF9C0006"/>
      </x:patternFill>
    </x:fill>
    <x:fill>
      <x:patternFill patternType="solid">
        <x:fgColor rgb="FFFFF2CC"/>
      </x:patternFill>
    </x:fill>
    <x:fill>
      <x:patternFill patternType="solid">
        <x:fgColor rgb="FFEAF3F8"/>
      </x:patternFill>
    </x:fill>
    <x:fill>
      <x:patternFill patternType="solid">
        <x:fgColor rgb="FFE2F0D9"/>
      </x:patternFill>
    </x:fill>
    <x:fill>
      <x:patternFill patternType="solid">
        <x:fgColor rgb="FF5B9BD5"/>
      </x:patternFill>
    </x:fill>
    <x:fill>
      <x:patternFill patternType="solid">
        <x:fgColor rgb="FFFFFFFF"/>
      </x:patternFill>
    </x:fill>
    <x:fill>
      <x:patternFill patternType="solid">
        <x:fgColor rgb="FF0F243E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117E80"/>
      </x:patternFill>
    </x:fill>
    <x:fill>
      <x:patternFill patternType="solid">
        <x:fgColor rgb="FFEAF2F8"/>
      </x:patternFill>
    </x:fill>
    <x:fill>
      <x:patternFill patternType="solid">
        <x:fgColor rgb="FFF3F4F6"/>
      </x:patternFill>
    </x:fill>
  </x:fills>
  <x:borders count="1">
    <x:border/>
  </x:borders>
  <x:cellStyleXfs count="1">
    <x:xf numFmtId="0" fontId="0" fillId="0" borderId="0"/>
  </x:cellStyleXfs>
  <x:cellXfs count="2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200" fontId="1" fillId="2" borderId="0" xfId="0" applyNumberFormat="1" applyFont="1" applyFill="1" applyBorder="1"/>
    <x:xf numFmtId="200" fontId="1" fillId="2" borderId="0" xfId="0" applyNumberFormat="1" applyFont="1" applyFill="1" applyBorder="1" applyAlignment="1">
      <x:alignment wrapText="1"/>
    </x:xf>
    <x:xf numFmtId="200" fontId="1" fillId="2" borderId="0" xfId="0" applyNumberFormat="1" applyFont="1" applyFill="1" applyBorder="1" applyAlignment="1">
      <x:alignment horizontal="center" wrapText="1"/>
    </x:xf>
    <x:xf numFmtId="20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200" fontId="0" fillId="0" borderId="0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200" fontId="2" fillId="0" borderId="0" xfId="0" applyNumberFormat="1" applyFont="1" applyFill="1" applyBorder="1"/>
    <x:xf numFmtId="200" fontId="2" fillId="0" borderId="0" xfId="0" applyNumberFormat="1" applyFont="1" applyFill="1" applyBorder="1" applyAlignment="1">
      <x:alignment wrapText="1"/>
    </x:xf>
    <x:xf numFmtId="200" fontId="2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vertical="top" wrapText="1"/>
    </x:xf>
    <x:xf numFmtId="201" fontId="2" fillId="0" borderId="0" xfId="0" applyNumberFormat="1" applyFont="1" applyFill="1" applyBorder="1"/>
    <x:xf numFmtId="201" fontId="2" fillId="0" borderId="0" xfId="0" applyNumberFormat="1" applyFont="1" applyFill="1" applyBorder="1" applyAlignment="1">
      <x:alignment wrapText="1"/>
    </x:xf>
    <x:xf numFmtId="201" fontId="2" fillId="0" borderId="0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200" fontId="3" fillId="3" borderId="0" xfId="0" applyNumberFormat="1" applyFont="1" applyFill="1" applyBorder="1"/>
    <x:xf numFmtId="200" fontId="3" fillId="3" borderId="0" xfId="0" applyNumberFormat="1" applyFont="1" applyFill="1" applyBorder="1" applyAlignment="1">
      <x:alignment wrapText="1"/>
    </x:xf>
    <x:xf numFmtId="200" fontId="3" fillId="3" borderId="0" xfId="0" applyNumberFormat="1" applyFont="1" applyFill="1" applyBorder="1" applyAlignment="1">
      <x:alignment horizontal="center" wrapText="1"/>
    </x:xf>
    <x:xf numFmtId="200" fontId="3" fillId="3" borderId="0" xfId="0" applyNumberFormat="1" applyFont="1" applyFill="1" applyBorder="1" applyAlignment="1">
      <x:alignment horizontal="center" vertical="center" wrapText="1"/>
    </x:xf>
    <x:xf numFmtId="202" fontId="0" fillId="0" borderId="0" xfId="0" applyNumberFormat="1" applyFont="1" applyFill="1" applyBorder="1"/>
    <x:xf numFmtId="202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vertical="top" wrapText="1"/>
    </x:xf>
    <x:xf numFmtId="202" fontId="2" fillId="0" borderId="0" xfId="0" applyNumberFormat="1" applyFont="1" applyFill="1" applyBorder="1"/>
    <x:xf numFmtId="202" fontId="2" fillId="0" borderId="0" xfId="0" applyNumberFormat="1" applyFont="1" applyFill="1" applyBorder="1" applyAlignment="1">
      <x:alignment wrapText="1"/>
    </x:xf>
    <x:xf numFmtId="202" fontId="2" fillId="0" borderId="0" xfId="0" applyNumberFormat="1" applyFont="1" applyFill="1" applyBorder="1" applyAlignment="1">
      <x:alignment vertical="top" wrapText="1"/>
    </x:xf>
    <x:xf numFmtId="203" fontId="0" fillId="0" borderId="0" xfId="0" applyNumberFormat="1" applyFont="1" applyFill="1" applyBorder="1"/>
    <x:xf numFmtId="203" fontId="0" fillId="0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vertical="top" wrapText="1"/>
    </x:xf>
    <x:xf numFmtId="203" fontId="2" fillId="0" borderId="0" xfId="0" applyNumberFormat="1" applyFont="1" applyFill="1" applyBorder="1"/>
    <x:xf numFmtId="203" fontId="2" fillId="0" borderId="0" xfId="0" applyNumberFormat="1" applyFont="1" applyFill="1" applyBorder="1" applyAlignment="1">
      <x:alignment wrapText="1"/>
    </x:xf>
    <x:xf numFmtId="203" fontId="2" fillId="0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/>
    <x:xf numFmtId="200" fontId="4" fillId="2" borderId="0" xfId="0" applyNumberFormat="1" applyFont="1" applyFill="1" applyBorder="1"/>
    <x:xf numFmtId="200" fontId="4" fillId="2" borderId="0" xfId="0" applyNumberFormat="1" applyFont="1" applyFill="1" applyBorder="1" applyAlignment="1">
      <x:alignment horizontal="center"/>
    </x:xf>
    <x:xf numFmtId="200" fontId="4" fillId="2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200" fontId="1" fillId="4" borderId="0" xfId="0" applyNumberFormat="1" applyFont="1" applyFill="1" applyBorder="1"/>
    <x:xf numFmtId="200" fontId="1" fillId="4" borderId="0" xfId="0" applyNumberFormat="1" applyFont="1" applyFill="1" applyBorder="1" applyAlignment="1">
      <x:alignment wrapText="1"/>
    </x:xf>
    <x:xf numFmtId="200" fontId="1" fillId="4" borderId="0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 applyAlignment="1">
      <x:alignment horizontal="center" wrapText="1"/>
    </x:xf>
    <x:xf numFmtId="0" fontId="0" fillId="5" borderId="0" xfId="0" applyNumberFormat="1" applyFont="1" applyFill="1" applyBorder="1"/>
    <x:xf numFmtId="200" fontId="0" fillId="5" borderId="0" xfId="0" applyNumberFormat="1" applyFont="1" applyFill="1" applyBorder="1"/>
    <x:xf numFmtId="200" fontId="0" fillId="5" borderId="0" xfId="0" applyNumberFormat="1" applyFont="1" applyFill="1" applyBorder="1" applyAlignment="1">
      <x:alignment wrapText="1"/>
    </x:xf>
    <x:xf numFmtId="203" fontId="0" fillId="5" borderId="0" xfId="0" applyNumberFormat="1" applyFont="1" applyFill="1" applyBorder="1"/>
    <x:xf numFmtId="203" fontId="0" fillId="5" borderId="0" xfId="0" applyNumberFormat="1" applyFont="1" applyFill="1" applyBorder="1" applyAlignment="1">
      <x:alignment wrapText="1"/>
    </x:xf>
    <x:xf numFmtId="204" fontId="0" fillId="0" borderId="0" xfId="0" applyNumberFormat="1" applyFont="1" applyFill="1" applyBorder="1"/>
    <x:xf numFmtId="204" fontId="0" fillId="0" borderId="0" xfId="0" applyNumberFormat="1" applyFont="1" applyFill="1" applyBorder="1" applyAlignment="1">
      <x:alignment wrapText="1"/>
    </x:xf>
    <x:xf numFmtId="204" fontId="0" fillId="0" borderId="0" xfId="0" applyNumberFormat="1" applyFont="1" applyFill="1" applyBorder="1" applyAlignment="1">
      <x:alignment vertical="top" wrapText="1"/>
    </x:xf>
    <x:xf numFmtId="205" fontId="0" fillId="0" borderId="0" xfId="0" applyNumberFormat="1" applyFont="1" applyFill="1" applyBorder="1"/>
    <x:xf numFmtId="205" fontId="0" fillId="0" borderId="0" xfId="0" applyNumberFormat="1" applyFont="1" applyFill="1" applyBorder="1" applyAlignment="1">
      <x:alignment wrapText="1"/>
    </x:xf>
    <x:xf numFmtId="205" fontId="0" fillId="0" borderId="0" xfId="0" applyNumberFormat="1" applyFont="1" applyFill="1" applyBorder="1" applyAlignment="1">
      <x:alignment vertical="top" wrapText="1"/>
    </x:xf>
    <x:xf numFmtId="201" fontId="0" fillId="5" borderId="0" xfId="0" applyNumberFormat="1" applyFont="1" applyFill="1" applyBorder="1"/>
    <x:xf numFmtId="201" fontId="0" fillId="5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202" fontId="0" fillId="6" borderId="0" xfId="0" applyNumberFormat="1" applyFont="1" applyFill="1" applyBorder="1"/>
    <x:xf numFmtId="202" fontId="0" fillId="6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202" fontId="0" fillId="7" borderId="0" xfId="0" applyNumberFormat="1" applyFont="1" applyFill="1" applyBorder="1"/>
    <x:xf numFmtId="202" fontId="0" fillId="7" borderId="0" xfId="0" applyNumberFormat="1" applyFont="1" applyFill="1" applyBorder="1" applyAlignment="1">
      <x:alignment wrapText="1"/>
    </x:xf>
    <x:xf numFmtId="203" fontId="0" fillId="6" borderId="0" xfId="0" applyNumberFormat="1" applyFont="1" applyFill="1" applyBorder="1"/>
    <x:xf numFmtId="203" fontId="0" fillId="6" borderId="0" xfId="0" applyNumberFormat="1" applyFont="1" applyFill="1" applyBorder="1" applyAlignment="1">
      <x:alignment wrapText="1"/>
    </x:xf>
    <x:xf numFmtId="203" fontId="0" fillId="7" borderId="0" xfId="0" applyNumberFormat="1" applyFont="1" applyFill="1" applyBorder="1"/>
    <x:xf numFmtId="203" fontId="0" fillId="7" borderId="0" xfId="0" applyNumberFormat="1" applyFont="1" applyFill="1" applyBorder="1" applyAlignment="1">
      <x:alignment wrapText="1"/>
    </x:xf>
    <x:xf numFmtId="201" fontId="0" fillId="6" borderId="0" xfId="0" applyNumberFormat="1" applyFont="1" applyFill="1" applyBorder="1"/>
    <x:xf numFmtId="201" fontId="0" fillId="6" borderId="0" xfId="0" applyNumberFormat="1" applyFont="1" applyFill="1" applyBorder="1" applyAlignment="1">
      <x:alignment wrapText="1"/>
    </x:xf>
    <x:xf numFmtId="200" fontId="0" fillId="6" borderId="0" xfId="0" applyNumberFormat="1" applyFont="1" applyFill="1" applyBorder="1"/>
    <x:xf numFmtId="200" fontId="0" fillId="6" borderId="0" xfId="0" applyNumberFormat="1" applyFont="1" applyFill="1" applyBorder="1" applyAlignment="1">
      <x:alignment wrapText="1"/>
    </x:xf>
    <x:xf numFmtId="200" fontId="0" fillId="7" borderId="0" xfId="0" applyNumberFormat="1" applyFont="1" applyFill="1" applyBorder="1"/>
    <x:xf numFmtId="200" fontId="0" fillId="7" borderId="0" xfId="0" applyNumberFormat="1" applyFont="1" applyFill="1" applyBorder="1" applyAlignment="1">
      <x:alignment wrapText="1"/>
    </x:xf>
    <x:xf numFmtId="200" fontId="4" fillId="2" borderId="0" xfId="0" applyNumberFormat="1" applyFont="1" applyFill="1" applyBorder="1" applyAlignment="1">
      <x:alignment wrapText="1"/>
    </x:xf>
    <x:xf numFmtId="200" fontId="4" fillId="2" borderId="0" xfId="0" applyNumberFormat="1" applyFont="1" applyFill="1" applyBorder="1" applyAlignment="1">
      <x:alignment horizontal="center" wrapText="1"/>
    </x:xf>
    <x:xf numFmtId="200" fontId="4" fillId="2" borderId="0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200" fontId="5" fillId="0" borderId="0" xfId="0" applyNumberFormat="1" applyFont="1" applyFill="1" applyBorder="1"/>
    <x:xf numFmtId="200" fontId="5" fillId="0" borderId="0" xfId="0" applyNumberFormat="1" applyFont="1" applyFill="1" applyBorder="1" applyAlignment="1">
      <x:alignment wrapText="1"/>
    </x:xf>
    <x:xf numFmtId="200" fontId="5" fillId="0" borderId="0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200" fontId="6" fillId="8" borderId="0" xfId="0" applyNumberFormat="1" applyFont="1" applyFill="1" applyBorder="1"/>
    <x:xf numFmtId="200" fontId="6" fillId="8" borderId="0" xfId="0" applyNumberFormat="1" applyFont="1" applyFill="1" applyBorder="1" applyAlignment="1">
      <x:alignment wrapText="1"/>
    </x:xf>
    <x:xf numFmtId="200" fontId="6" fillId="8" borderId="0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200" fontId="5" fillId="9" borderId="0" xfId="0" applyNumberFormat="1" applyFont="1" applyFill="1" applyBorder="1"/>
    <x:xf numFmtId="200" fontId="5" fillId="9" borderId="0" xfId="0" applyNumberFormat="1" applyFont="1" applyFill="1" applyBorder="1" applyAlignment="1">
      <x:alignment wrapText="1"/>
    </x:xf>
    <x:xf numFmtId="200" fontId="5" fillId="9" borderId="0" xfId="0" applyNumberFormat="1" applyFont="1" applyFill="1" applyBorder="1" applyAlignment="1">
      <x:alignment horizontal="center" wrapText="1"/>
    </x:xf>
    <x:xf numFmtId="200" fontId="5" fillId="9" borderId="0" xfId="0" applyNumberFormat="1" applyFont="1" applyFill="1" applyBorder="1" applyAlignment="1">
      <x:alignment horizontal="center" vertical="center" wrapText="1"/>
    </x:xf>
    <x:xf numFmtId="200" fontId="5" fillId="9" borderId="0" xfId="0" applyNumberFormat="1" applyFont="1" applyFill="1" applyBorder="1" applyAlignment="1">
      <x:alignment vertical="center" wrapText="1"/>
    </x:xf>
    <x:xf numFmtId="0" fontId="7" fillId="9" borderId="0" xfId="0" applyNumberFormat="1" applyFont="1" applyFill="1" applyBorder="1"/>
    <x:xf numFmtId="200" fontId="7" fillId="9" borderId="0" xfId="0" applyNumberFormat="1" applyFont="1" applyFill="1" applyBorder="1"/>
    <x:xf numFmtId="200" fontId="7" fillId="9" borderId="0" xfId="0" applyNumberFormat="1" applyFont="1" applyFill="1" applyBorder="1" applyAlignment="1">
      <x:alignment wrapText="1"/>
    </x:xf>
    <x:xf numFmtId="200" fontId="7" fillId="9" borderId="0" xfId="0" applyNumberFormat="1" applyFont="1" applyFill="1" applyBorder="1" applyAlignment="1">
      <x:alignment vertical="center" wrapText="1"/>
    </x:xf>
    <x:xf numFmtId="203" fontId="5" fillId="0" borderId="0" xfId="0" applyNumberFormat="1" applyFont="1" applyFill="1" applyBorder="1"/>
    <x:xf numFmtId="203" fontId="5" fillId="0" borderId="0" xfId="0" applyNumberFormat="1" applyFont="1" applyFill="1" applyBorder="1" applyAlignment="1">
      <x:alignment wrapText="1"/>
    </x:xf>
    <x:xf numFmtId="203" fontId="5" fillId="0" borderId="0" xfId="0" applyNumberFormat="1" applyFont="1" applyFill="1" applyBorder="1" applyAlignment="1">
      <x:alignment vertical="top" wrapText="1"/>
    </x:xf>
    <x:xf numFmtId="202" fontId="5" fillId="0" borderId="0" xfId="0" applyNumberFormat="1" applyFont="1" applyFill="1" applyBorder="1"/>
    <x:xf numFmtId="202" fontId="5" fillId="0" borderId="0" xfId="0" applyNumberFormat="1" applyFont="1" applyFill="1" applyBorder="1" applyAlignment="1">
      <x:alignment wrapText="1"/>
    </x:xf>
    <x:xf numFmtId="202" fontId="5" fillId="0" borderId="0" xfId="0" applyNumberFormat="1" applyFont="1" applyFill="1" applyBorder="1" applyAlignment="1">
      <x:alignment vertical="top" wrapText="1"/>
    </x:xf>
    <x:xf numFmtId="204" fontId="5" fillId="0" borderId="0" xfId="0" applyNumberFormat="1" applyFont="1" applyFill="1" applyBorder="1"/>
    <x:xf numFmtId="204" fontId="5" fillId="0" borderId="0" xfId="0" applyNumberFormat="1" applyFont="1" applyFill="1" applyBorder="1" applyAlignment="1">
      <x:alignment wrapText="1"/>
    </x:xf>
    <x:xf numFmtId="204" fontId="5" fillId="0" borderId="0" xfId="0" applyNumberFormat="1" applyFont="1" applyFill="1" applyBorder="1" applyAlignment="1">
      <x:alignment vertical="top" wrapText="1"/>
    </x:xf>
    <x:xf numFmtId="202" fontId="6" fillId="8" borderId="0" xfId="0" applyNumberFormat="1" applyFont="1" applyFill="1" applyBorder="1"/>
    <x:xf numFmtId="202" fontId="6" fillId="8" borderId="0" xfId="0" applyNumberFormat="1" applyFont="1" applyFill="1" applyBorder="1" applyAlignment="1">
      <x:alignment wrapText="1"/>
    </x:xf>
    <x:xf numFmtId="202" fontId="6" fillId="8" borderId="0" xfId="0" applyNumberFormat="1" applyFont="1" applyFill="1" applyBorder="1" applyAlignment="1">
      <x:alignment vertical="top" wrapText="1"/>
    </x:xf>
    <x:xf numFmtId="201" fontId="5" fillId="0" borderId="0" xfId="0" applyNumberFormat="1" applyFont="1" applyFill="1" applyBorder="1"/>
    <x:xf numFmtId="201" fontId="5" fillId="0" borderId="0" xfId="0" applyNumberFormat="1" applyFont="1" applyFill="1" applyBorder="1" applyAlignment="1">
      <x:alignment wrapText="1"/>
    </x:xf>
    <x:xf numFmtId="201" fontId="5" fillId="0" borderId="0" xfId="0" applyNumberFormat="1" applyFont="1" applyFill="1" applyBorder="1" applyAlignment="1">
      <x:alignment vertical="top" wrapText="1"/>
    </x:xf>
    <x:xf numFmtId="202" fontId="5" fillId="9" borderId="0" xfId="0" applyNumberFormat="1" applyFont="1" applyFill="1" applyBorder="1"/>
    <x:xf numFmtId="202" fontId="5" fillId="9" borderId="0" xfId="0" applyNumberFormat="1" applyFont="1" applyFill="1" applyBorder="1" applyAlignment="1">
      <x:alignment wrapText="1"/>
    </x:xf>
    <x:xf numFmtId="202" fontId="5" fillId="9" borderId="0" xfId="0" applyNumberFormat="1" applyFont="1" applyFill="1" applyBorder="1" applyAlignment="1">
      <x:alignment horizontal="center" wrapText="1"/>
    </x:xf>
    <x:xf numFmtId="202" fontId="5" fillId="9" borderId="0" xfId="0" applyNumberFormat="1" applyFont="1" applyFill="1" applyBorder="1" applyAlignment="1">
      <x:alignment horizontal="center" vertical="center" wrapText="1"/>
    </x:xf>
    <x:xf numFmtId="204" fontId="5" fillId="9" borderId="0" xfId="0" applyNumberFormat="1" applyFont="1" applyFill="1" applyBorder="1"/>
    <x:xf numFmtId="204" fontId="5" fillId="9" borderId="0" xfId="0" applyNumberFormat="1" applyFont="1" applyFill="1" applyBorder="1" applyAlignment="1">
      <x:alignment wrapText="1"/>
    </x:xf>
    <x:xf numFmtId="204" fontId="5" fillId="9" borderId="0" xfId="0" applyNumberFormat="1" applyFont="1" applyFill="1" applyBorder="1" applyAlignment="1">
      <x:alignment vertical="center" wrapText="1"/>
    </x:xf>
    <x:xf numFmtId="202" fontId="5" fillId="9" borderId="0" xfId="0" applyNumberFormat="1" applyFont="1" applyFill="1" applyBorder="1" applyAlignment="1">
      <x:alignment vertical="center" wrapText="1"/>
    </x:xf>
    <x:xf numFmtId="202" fontId="7" fillId="9" borderId="0" xfId="0" applyNumberFormat="1" applyFont="1" applyFill="1" applyBorder="1"/>
    <x:xf numFmtId="202" fontId="7" fillId="9" borderId="0" xfId="0" applyNumberFormat="1" applyFont="1" applyFill="1" applyBorder="1" applyAlignment="1">
      <x:alignment wrapText="1"/>
    </x:xf>
    <x:xf numFmtId="202" fontId="7" fillId="9" borderId="0" xfId="0" applyNumberFormat="1" applyFont="1" applyFill="1" applyBorder="1" applyAlignment="1">
      <x:alignment vertical="center" wrapText="1"/>
    </x:xf>
    <x:xf numFmtId="200" fontId="5" fillId="9" borderId="0" xfId="0" applyNumberFormat="1" applyFont="1" applyFill="1" applyBorder="1" applyAlignment="1">
      <x:alignment vertical="top" wrapText="1"/>
    </x:xf>
    <x:xf numFmtId="200" fontId="5" fillId="9" borderId="0" xfId="0" applyNumberFormat="1" applyFont="1" applyFill="1" applyBorder="1" applyAlignment="1">
      <x:alignment horizontal="center" vertical="top" wrapText="1"/>
    </x:xf>
    <x:xf numFmtId="0" fontId="8" fillId="2" borderId="0" xfId="0" applyNumberFormat="1" applyFont="1" applyFill="1" applyBorder="1"/>
    <x:xf numFmtId="200" fontId="8" fillId="2" borderId="0" xfId="0" applyNumberFormat="1" applyFont="1" applyFill="1" applyBorder="1"/>
    <x:xf numFmtId="200" fontId="8" fillId="2" borderId="0" xfId="0" applyNumberFormat="1" applyFont="1" applyFill="1" applyBorder="1" applyAlignment="1">
      <x:alignment wrapText="1"/>
    </x:xf>
    <x:xf numFmtId="200" fontId="8" fillId="2" borderId="0" xfId="0" applyNumberFormat="1" applyFont="1" applyFill="1" applyBorder="1" applyAlignment="1">
      <x:alignment horizontal="center" wrapText="1"/>
    </x:xf>
    <x:xf numFmtId="200" fontId="8" fillId="2" borderId="0" xfId="0" applyNumberFormat="1" applyFont="1" applyFill="1" applyBorder="1" applyAlignment="1">
      <x:alignment horizontal="center" vertical="top" wrapText="1"/>
    </x:xf>
    <x:xf numFmtId="200" fontId="0" fillId="6" borderId="0" xfId="0" applyNumberFormat="1" applyFont="1" applyFill="1" applyBorder="1" applyAlignment="1">
      <x:alignment vertical="top" wrapText="1"/>
    </x:xf>
    <x:xf numFmtId="202" fontId="8" fillId="2" borderId="0" xfId="0" applyNumberFormat="1" applyFont="1" applyFill="1" applyBorder="1"/>
    <x:xf numFmtId="202" fontId="8" fillId="2" borderId="0" xfId="0" applyNumberFormat="1" applyFont="1" applyFill="1" applyBorder="1" applyAlignment="1">
      <x:alignment wrapText="1"/>
    </x:xf>
    <x:xf numFmtId="202" fontId="8" fillId="2" borderId="0" xfId="0" applyNumberFormat="1" applyFont="1" applyFill="1" applyBorder="1" applyAlignment="1">
      <x:alignment horizontal="center" wrapText="1"/>
    </x:xf>
    <x:xf numFmtId="202" fontId="8" fillId="2" borderId="0" xfId="0" applyNumberFormat="1" applyFont="1" applyFill="1" applyBorder="1" applyAlignment="1">
      <x:alignment horizontal="center" vertical="top" wrapText="1"/>
    </x:xf>
    <x:xf numFmtId="203" fontId="6" fillId="8" borderId="0" xfId="0" applyNumberFormat="1" applyFont="1" applyFill="1" applyBorder="1"/>
    <x:xf numFmtId="203" fontId="6" fillId="8" borderId="0" xfId="0" applyNumberFormat="1" applyFont="1" applyFill="1" applyBorder="1" applyAlignment="1">
      <x:alignment wrapText="1"/>
    </x:xf>
    <x:xf numFmtId="203" fontId="6" fillId="8" borderId="0" xfId="0" applyNumberFormat="1" applyFont="1" applyFill="1" applyBorder="1" applyAlignment="1">
      <x:alignment vertical="top" wrapText="1"/>
    </x:xf>
    <x:xf numFmtId="201" fontId="6" fillId="8" borderId="0" xfId="0" applyNumberFormat="1" applyFont="1" applyFill="1" applyBorder="1"/>
    <x:xf numFmtId="201" fontId="6" fillId="8" borderId="0" xfId="0" applyNumberFormat="1" applyFont="1" applyFill="1" applyBorder="1" applyAlignment="1">
      <x:alignment wrapText="1"/>
    </x:xf>
    <x:xf numFmtId="201" fontId="6" fillId="8" borderId="0" xfId="0" applyNumberFormat="1" applyFont="1" applyFill="1" applyBorder="1" applyAlignment="1">
      <x:alignment vertical="top" wrapText="1"/>
    </x:xf>
    <x:xf numFmtId="202" fontId="5" fillId="9" borderId="0" xfId="0" applyNumberFormat="1" applyFont="1" applyFill="1" applyBorder="1" applyAlignment="1">
      <x:alignment vertical="top" wrapText="1"/>
    </x:xf>
    <x:xf numFmtId="202" fontId="5" fillId="9" borderId="0" xfId="0" applyNumberFormat="1" applyFont="1" applyFill="1" applyBorder="1" applyAlignment="1">
      <x:alignment horizontal="center" vertical="top" wrapText="1"/>
    </x:xf>
    <x:xf numFmtId="0" fontId="9" fillId="6" borderId="0" xfId="0" applyNumberFormat="1" applyFont="1" applyFill="1" applyBorder="1"/>
    <x:xf numFmtId="200" fontId="9" fillId="6" borderId="0" xfId="0" applyNumberFormat="1" applyFont="1" applyFill="1" applyBorder="1"/>
    <x:xf numFmtId="200" fontId="9" fillId="6" borderId="0" xfId="0" applyNumberFormat="1" applyFont="1" applyFill="1" applyBorder="1" applyAlignment="1">
      <x:alignment wrapText="1"/>
    </x:xf>
    <x:xf numFmtId="202" fontId="0" fillId="5" borderId="0" xfId="0" applyNumberFormat="1" applyFont="1" applyFill="1" applyBorder="1"/>
    <x:xf numFmtId="202" fontId="0" fillId="5" borderId="0" xfId="0" applyNumberFormat="1" applyFont="1" applyFill="1" applyBorder="1" applyAlignment="1">
      <x:alignment wrapText="1"/>
    </x:xf>
    <x:xf numFmtId="0" fontId="0" fillId="10" borderId="0" xfId="0" applyNumberFormat="1" applyFont="1" applyFill="1" applyBorder="1"/>
    <x:xf numFmtId="0" fontId="4" fillId="10" borderId="0" xfId="0" applyNumberFormat="1" applyFont="1" applyFill="1" applyBorder="1"/>
    <x:xf numFmtId="200" fontId="4" fillId="10" borderId="0" xfId="0" applyNumberFormat="1" applyFont="1" applyFill="1" applyBorder="1"/>
    <x:xf numFmtId="200" fontId="4" fillId="10" borderId="0" xfId="0" applyNumberFormat="1" applyFont="1" applyFill="1" applyBorder="1" applyAlignment="1">
      <x:alignment vertical="center"/>
    </x:xf>
    <x:xf numFmtId="0" fontId="10" fillId="5" borderId="0" xfId="0" applyNumberFormat="1" applyFont="1" applyFill="1" applyBorder="1"/>
    <x:xf numFmtId="200" fontId="10" fillId="5" borderId="0" xfId="0" applyNumberFormat="1" applyFont="1" applyFill="1" applyBorder="1"/>
    <x:xf numFmtId="200" fontId="10" fillId="5" borderId="0" xfId="0" applyNumberFormat="1" applyFont="1" applyFill="1" applyBorder="1" applyAlignment="1">
      <x:alignment wrapText="1"/>
    </x:xf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200" fontId="1" fillId="11" borderId="0" xfId="0" applyNumberFormat="1" applyFont="1" applyFill="1" applyBorder="1"/>
    <x:xf numFmtId="200" fontId="1" fillId="11" borderId="0" xfId="0" applyNumberFormat="1" applyFont="1" applyFill="1" applyBorder="1" applyAlignment="1">
      <x:alignment wrapText="1"/>
    </x:xf>
    <x:xf numFmtId="200" fontId="1" fillId="11" borderId="0" xfId="0" applyNumberFormat="1" applyFont="1" applyFill="1" applyBorder="1" applyAlignment="1">
      <x:alignment horizontal="center" wrapText="1"/>
    </x:xf>
    <x:xf numFmtId="200" fontId="1" fillId="11" borderId="0" xfId="0" applyNumberFormat="1" applyFont="1" applyFill="1" applyBorder="1" applyAlignment="1">
      <x:alignment horizontal="center" vertical="center" wrapText="1"/>
    </x:xf>
    <x:xf numFmtId="200" fontId="1" fillId="11" borderId="0" xfId="0" applyNumberFormat="1" applyFont="1" applyFill="1" applyBorder="1" applyAlignment="1">
      <x:alignment vertical="center"/>
    </x:xf>
    <x:xf numFmtId="0" fontId="11" fillId="0" borderId="0" xfId="0" applyNumberFormat="1" applyFont="1" applyFill="1" applyBorder="1"/>
    <x:xf numFmtId="200" fontId="11" fillId="0" borderId="0" xfId="0" applyNumberFormat="1" applyFont="1" applyFill="1" applyBorder="1"/>
    <x:xf numFmtId="0" fontId="0" fillId="12" borderId="0" xfId="0" applyNumberFormat="1" applyFont="1" applyFill="1" applyBorder="1"/>
    <x:xf numFmtId="0" fontId="12" fillId="12" borderId="0" xfId="0" applyNumberFormat="1" applyFont="1" applyFill="1" applyBorder="1"/>
    <x:xf numFmtId="200" fontId="12" fillId="12" borderId="0" xfId="0" applyNumberFormat="1" applyFont="1" applyFill="1" applyBorder="1"/>
    <x:xf numFmtId="0" fontId="13" fillId="0" borderId="0" xfId="0" applyNumberFormat="1" applyFont="1" applyFill="1" applyBorder="1"/>
    <x:xf numFmtId="0" fontId="13" fillId="0" borderId="0" xfId="0" applyNumberFormat="1" applyFont="1" applyFill="1" applyBorder="1" applyAlignment="1">
      <x:alignment vertical="center"/>
    </x:xf>
    <x:xf numFmtId="0" fontId="14" fillId="0" borderId="0" xfId="0" applyNumberFormat="1" applyFont="1" applyFill="1" applyBorder="1" applyAlignment="1">
      <x:alignment vertical="center"/>
    </x:xf>
    <x:xf numFmtId="0" fontId="15" fillId="0" borderId="0" xfId="0" applyNumberFormat="1" applyFont="1" applyFill="1" applyBorder="1" applyAlignment="1">
      <x:alignment vertical="center"/>
    </x:xf>
    <x:xf numFmtId="0" fontId="13" fillId="5" borderId="0" xfId="0" applyNumberFormat="1" applyFont="1" applyFill="1" applyBorder="1" applyAlignment="1">
      <x:alignment vertical="center"/>
    </x:xf>
    <x:xf numFmtId="206" fontId="13" fillId="5" borderId="0" xfId="0" applyNumberFormat="1" applyFont="1" applyFill="1" applyBorder="1" applyAlignment="1">
      <x:alignment vertical="center"/>
    </x:xf>
    <x:xf numFmtId="207" fontId="13" fillId="5" borderId="0" xfId="0" applyNumberFormat="1" applyFont="1" applyFill="1" applyBorder="1" applyAlignment="1">
      <x:alignment vertical="center"/>
    </x:xf>
    <x:xf numFmtId="0" fontId="13" fillId="13" borderId="0" xfId="0" applyNumberFormat="1" applyFont="1" applyFill="1" applyBorder="1" applyAlignment="1">
      <x:alignment vertical="center"/>
    </x:xf>
    <x:xf numFmtId="0" fontId="16" fillId="13" borderId="0" xfId="0" applyNumberFormat="1" applyFont="1" applyFill="1" applyBorder="1" applyAlignment="1">
      <x:alignment vertical="center"/>
    </x:xf>
    <x:xf numFmtId="0" fontId="16" fillId="13" borderId="0" xfId="0" applyNumberFormat="1" applyFont="1" applyFill="1" applyBorder="1" applyAlignment="1">
      <x:alignment vertical="center" wrapText="1"/>
    </x:xf>
    <x:xf numFmtId="0" fontId="16" fillId="13" borderId="0" xfId="0" applyNumberFormat="1" applyFont="1" applyFill="1" applyBorder="1" applyAlignment="1">
      <x:alignment horizontal="center" vertical="center" wrapText="1"/>
    </x:xf>
    <x:xf numFmtId="201" fontId="13" fillId="5" borderId="0" xfId="0" applyNumberFormat="1" applyFont="1" applyFill="1" applyBorder="1" applyAlignment="1">
      <x:alignment vertical="center"/>
    </x:xf>
    <x:xf numFmtId="203" fontId="13" fillId="5" borderId="0" xfId="0" applyNumberFormat="1" applyFont="1" applyFill="1" applyBorder="1" applyAlignment="1">
      <x:alignment vertical="center"/>
    </x:xf>
    <x:xf numFmtId="202" fontId="13" fillId="5" borderId="0" xfId="0" applyNumberFormat="1" applyFont="1" applyFill="1" applyBorder="1" applyAlignment="1">
      <x:alignment vertical="center"/>
    </x:xf>
    <x:xf numFmtId="0" fontId="13" fillId="5" borderId="0" xfId="0" applyNumberFormat="1" applyFont="1" applyFill="1" applyBorder="1" applyAlignment="1">
      <x:alignment vertical="center" wrapText="1"/>
    </x:xf>
    <x:xf numFmtId="207" fontId="13" fillId="5" borderId="0" xfId="0" applyNumberFormat="1" applyFont="1" applyFill="1" applyBorder="1" applyAlignment="1">
      <x:alignment vertical="center" wrapText="1"/>
    </x:xf>
    <x:xf numFmtId="0" fontId="13" fillId="0" borderId="0" xfId="0" applyNumberFormat="1" applyFont="1" applyFill="1" applyBorder="1" applyAlignment="1">
      <x:alignment vertical="center" wrapText="1"/>
    </x:xf>
    <x:xf numFmtId="206" fontId="13" fillId="0" borderId="0" xfId="0" applyNumberFormat="1" applyFont="1" applyFill="1" applyBorder="1" applyAlignment="1">
      <x:alignment vertical="center"/>
    </x:xf>
    <x:xf numFmtId="204" fontId="13" fillId="0" borderId="0" xfId="0" applyNumberFormat="1" applyFont="1" applyFill="1" applyBorder="1" applyAlignment="1">
      <x:alignment vertical="center"/>
    </x:xf>
    <x:xf numFmtId="203" fontId="13" fillId="0" borderId="0" xfId="0" applyNumberFormat="1" applyFont="1" applyFill="1" applyBorder="1" applyAlignment="1">
      <x:alignment vertical="center"/>
    </x:xf>
    <x:xf numFmtId="208" fontId="13" fillId="0" borderId="0" xfId="0" applyNumberFormat="1" applyFont="1" applyFill="1" applyBorder="1" applyAlignment="1">
      <x:alignment vertical="center"/>
    </x:xf>
    <x:xf numFmtId="202" fontId="13" fillId="0" borderId="0" xfId="0" applyNumberFormat="1" applyFont="1" applyFill="1" applyBorder="1" applyAlignment="1">
      <x:alignment vertical="center"/>
    </x:xf>
    <x:xf numFmtId="209" fontId="13" fillId="0" borderId="0" xfId="0" applyNumberFormat="1" applyFont="1" applyFill="1" applyBorder="1" applyAlignment="1">
      <x:alignment vertical="center"/>
    </x:xf>
    <x:xf numFmtId="0" fontId="15" fillId="13" borderId="0" xfId="0" applyNumberFormat="1" applyFont="1" applyFill="1" applyBorder="1" applyAlignment="1">
      <x:alignment vertical="center"/>
    </x:xf>
    <x:xf numFmtId="201" fontId="13" fillId="0" borderId="0" xfId="0" applyNumberFormat="1" applyFont="1" applyFill="1" applyBorder="1" applyAlignment="1">
      <x:alignment vertical="center"/>
    </x:xf>
    <x:xf numFmtId="210" fontId="13" fillId="0" borderId="0" xfId="0" applyNumberFormat="1" applyFont="1" applyFill="1" applyBorder="1" applyAlignment="1">
      <x:alignment vertical="center"/>
    </x:xf>
    <x:xf numFmtId="202" fontId="13" fillId="0" borderId="0" xfId="0" applyNumberFormat="1" applyFont="1" applyFill="1" applyBorder="1" applyAlignment="1">
      <x:alignment vertical="center" wrapText="1"/>
    </x:xf>
    <x:xf numFmtId="210" fontId="13" fillId="0" borderId="0" xfId="0" applyNumberFormat="1" applyFont="1" applyFill="1" applyBorder="1" applyAlignment="1">
      <x:alignment vertical="center" wrapText="1"/>
    </x:xf>
    <x:xf numFmtId="203" fontId="13" fillId="0" borderId="0" xfId="0" applyNumberFormat="1" applyFont="1" applyFill="1" applyBorder="1" applyAlignment="1">
      <x:alignment vertical="center" wrapText="1"/>
    </x:xf>
    <x:xf numFmtId="207" fontId="13" fillId="0" borderId="0" xfId="0" applyNumberFormat="1" applyFont="1" applyFill="1" applyBorder="1" applyAlignment="1">
      <x:alignment vertical="center"/>
    </x:xf>
    <x:xf numFmtId="0" fontId="13" fillId="14" borderId="0" xfId="0" applyNumberFormat="1" applyFont="1" applyFill="1" applyBorder="1" applyAlignment="1">
      <x:alignment vertical="center"/>
    </x:xf>
    <x:xf numFmtId="0" fontId="17" fillId="14" borderId="0" xfId="0" applyNumberFormat="1" applyFont="1" applyFill="1" applyBorder="1" applyAlignment="1">
      <x:alignment vertical="center"/>
    </x:xf>
    <x:xf numFmtId="0" fontId="17" fillId="14" borderId="0" xfId="0" applyNumberFormat="1" applyFont="1" applyFill="1" applyBorder="1" applyAlignment="1">
      <x:alignment horizontal="center" vertical="center"/>
    </x:xf>
    <x:xf numFmtId="202" fontId="13" fillId="14" borderId="0" xfId="0" applyNumberFormat="1" applyFont="1" applyFill="1" applyBorder="1" applyAlignment="1">
      <x:alignment vertical="center"/>
    </x:xf>
    <x:xf numFmtId="203" fontId="13" fillId="14" borderId="0" xfId="0" applyNumberFormat="1" applyFont="1" applyFill="1" applyBorder="1" applyAlignment="1">
      <x:alignment vertical="center"/>
    </x:xf>
    <x:xf numFmtId="210" fontId="13" fillId="14" borderId="0" xfId="0" applyNumberFormat="1" applyFont="1" applyFill="1" applyBorder="1" applyAlignment="1">
      <x:alignment vertical="center"/>
    </x:xf>
    <x:xf numFmtId="0" fontId="18" fillId="14" borderId="0" xfId="0" applyNumberFormat="1" applyFont="1" applyFill="1" applyBorder="1" applyAlignment="1">
      <x:alignment vertical="center"/>
    </x:xf>
    <x:xf numFmtId="202" fontId="18" fillId="14" borderId="0" xfId="0" applyNumberFormat="1" applyFont="1" applyFill="1" applyBorder="1" applyAlignment="1">
      <x:alignment vertical="center"/>
    </x:xf>
    <x:xf numFmtId="203" fontId="18" fillId="14" borderId="0" xfId="0" applyNumberFormat="1" applyFont="1" applyFill="1" applyBorder="1" applyAlignment="1">
      <x:alignment vertical="center"/>
    </x:xf>
    <x:xf numFmtId="210" fontId="18" fillId="14" borderId="0" xfId="0" applyNumberFormat="1" applyFont="1" applyFill="1" applyBorder="1" applyAlignment="1">
      <x:alignment vertical="center"/>
    </x:xf>
    <x:xf numFmtId="0" fontId="18" fillId="14" borderId="0" xfId="0" applyNumberFormat="1" applyFont="1" applyFill="1" applyBorder="1" applyAlignment="1">
      <x:alignment vertical="center" wrapText="1"/>
    </x:xf>
    <x:xf numFmtId="209" fontId="13" fillId="5" borderId="0" xfId="0" applyNumberFormat="1" applyFont="1" applyFill="1" applyBorder="1" applyAlignment="1">
      <x:alignment vertical="center"/>
    </x:xf>
    <x:xf numFmtId="211" fontId="13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200" fontId="13" fillId="5" borderId="0" xfId="0" applyNumberFormat="1" applyFont="1" applyFill="1" applyBorder="1" applyAlignment="1">
      <x:alignment vertical="center"/>
    </x:xf>
    <x:xf numFmtId="0" fontId="0" fillId="13" borderId="0" xfId="0" applyNumberFormat="1" applyFont="1" applyFill="1" applyBorder="1"/>
    <x:xf numFmtId="0" fontId="16" fillId="13" borderId="0" xfId="0" applyNumberFormat="1" applyFont="1" applyFill="1" applyBorder="1"/>
    <x:xf numFmtId="0" fontId="16" fillId="13" borderId="0" xfId="0" applyNumberFormat="1" applyFont="1" applyFill="1" applyBorder="1" applyAlignment="1">
      <x:alignment wrapText="1"/>
    </x:xf>
    <x:xf numFmtId="0" fontId="16" fillId="13" borderId="0" xfId="0" applyNumberFormat="1" applyFont="1" applyFill="1" applyBorder="1" applyAlignment="1">
      <x:alignment horizontal="center" wrapText="1"/>
    </x:xf>
    <x:xf numFmtId="211" fontId="0" fillId="0" borderId="0" xfId="0" applyNumberFormat="1" applyFont="1" applyFill="1" applyBorder="1"/>
    <x:xf numFmtId="0" fontId="19" fillId="5" borderId="0" xfId="0" applyNumberFormat="1" applyFont="1" applyFill="1" applyBorder="1" applyAlignment="1">
      <x:alignment vertical="center" wrapText="1"/>
    </x:xf>
    <x:xf numFmtId="0" fontId="13" fillId="0" borderId="0" xfId="0" applyNumberFormat="1" applyFont="1" applyFill="1" applyBorder="1" applyAlignment="1">
      <x:alignment horizontal="center" vertical="center"/>
    </x:xf>
    <x:xf numFmtId="0" fontId="19" fillId="15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d29f21db1cc4bd1" /><Relationship Type="http://schemas.openxmlformats.org/officeDocument/2006/relationships/theme" Target="/xl/theme/theme1.xml" Id="R98d09cc4dc73468a" /><Relationship Type="http://schemas.openxmlformats.org/officeDocument/2006/relationships/sharedStrings" Target="/xl/sharedStrings.xml" Id="Rfb7ca62f5f6b4652" /><Relationship Type="http://schemas.openxmlformats.org/officeDocument/2006/relationships/worksheet" Target="/xl/worksheets/sheet1.xml" Id="R37474d4afd0e4088" /><Relationship Type="http://schemas.openxmlformats.org/officeDocument/2006/relationships/worksheet" Target="/xl/worksheets/sheet2.xml" Id="R06c8e719400049c2" /><Relationship Type="http://schemas.openxmlformats.org/officeDocument/2006/relationships/worksheet" Target="/xl/worksheets/sheet3.xml" Id="Rf2234a91a6134fad" /><Relationship Type="http://schemas.openxmlformats.org/officeDocument/2006/relationships/worksheet" Target="/xl/worksheets/sheet4.xml" Id="Re7af6cd71ca746b0" /><Relationship Type="http://schemas.openxmlformats.org/officeDocument/2006/relationships/worksheet" Target="/xl/worksheets/sheet5.xml" Id="R78cd2e2ac48e4161" /><Relationship Type="http://schemas.openxmlformats.org/officeDocument/2006/relationships/worksheet" Target="/xl/worksheets/sheet6.xml" Id="Reb5e8068a2c94a44" /><Relationship Type="http://schemas.openxmlformats.org/officeDocument/2006/relationships/worksheet" Target="/xl/worksheets/sheet7.xml" Id="R2502862ef14b4f0e" /><Relationship Type="http://schemas.openxmlformats.org/officeDocument/2006/relationships/worksheet" Target="/xl/worksheets/sheet8.xml" Id="R3785bd4f852545e5" /><Relationship Type="http://schemas.openxmlformats.org/officeDocument/2006/relationships/worksheet" Target="/xl/worksheets/sheet9.xml" Id="R1a1112bde422441a" /><Relationship Type="http://schemas.openxmlformats.org/officeDocument/2006/relationships/worksheet" Target="/xl/worksheets/sheet10.xml" Id="Ra98e743c47654413" /><Relationship Type="http://schemas.openxmlformats.org/officeDocument/2006/relationships/worksheet" Target="/xl/worksheets/sheet11.xml" Id="R26ef1501572e4824" /><Relationship Type="http://schemas.openxmlformats.org/officeDocument/2006/relationships/worksheet" Target="/xl/worksheets/sheet12.xml" Id="R70dbef36cf214a6c" /><Relationship Type="http://schemas.openxmlformats.org/officeDocument/2006/relationships/worksheet" Target="/xl/worksheets/sheet13.xml" Id="Re00c2a8b62f94d38" /><Relationship Type="http://schemas.openxmlformats.org/officeDocument/2006/relationships/worksheet" Target="/xl/worksheets/sheet14.xml" Id="R9220048a92834429" /><Relationship Type="http://schemas.openxmlformats.org/officeDocument/2006/relationships/worksheet" Target="/xl/worksheets/sheet15.xml" Id="R2d4b8df8e0654c80" /><Relationship Type="http://schemas.openxmlformats.org/officeDocument/2006/relationships/worksheet" Target="/xl/worksheets/sheet16.xml" Id="R443a2413627f48d7" /><Relationship Type="http://schemas.openxmlformats.org/officeDocument/2006/relationships/worksheet" Target="/xl/worksheets/sheet17.xml" Id="R1dea62f1cbf545a3" /><Relationship Type="http://schemas.openxmlformats.org/officeDocument/2006/relationships/worksheet" Target="/xl/worksheets/sheet18.xml" Id="Rdfb43baa8f274dee" /><Relationship Type="http://schemas.openxmlformats.org/officeDocument/2006/relationships/worksheet" Target="/xl/worksheets/sheet19.xml" Id="Rfe7102ffb2ac4a5d" /><Relationship Type="http://schemas.openxmlformats.org/officeDocument/2006/relationships/worksheet" Target="/xl/worksheets/sheet20.xml" Id="Rbe53fd94de94450b" /><Relationship Type="http://schemas.openxmlformats.org/officeDocument/2006/relationships/worksheet" Target="/xl/worksheets/sheet21.xml" Id="R67fc9d976629445e" /><Relationship Type="http://schemas.openxmlformats.org/officeDocument/2006/relationships/worksheet" Target="/xl/worksheets/sheet22.xml" Id="R8ecf3e073345492d" /><Relationship Type="http://schemas.openxmlformats.org/officeDocument/2006/relationships/worksheet" Target="/xl/worksheets/sheet23.xml" Id="Rb31164bb8b634cfe" /><Relationship Type="http://schemas.openxmlformats.org/officeDocument/2006/relationships/worksheet" Target="/xl/worksheets/sheet24.xml" Id="R6bbbce4b81844fbf" /><Relationship Type="http://schemas.openxmlformats.org/officeDocument/2006/relationships/worksheet" Target="/xl/worksheets/sheet25.xml" Id="Rf963dbf7af33449f" /><Relationship Type="http://schemas.openxmlformats.org/officeDocument/2006/relationships/worksheet" Target="/xl/worksheets/sheet26.xml" Id="R3cb2b8d9da094faf" /><Relationship Type="http://schemas.openxmlformats.org/officeDocument/2006/relationships/worksheet" Target="/xl/worksheets/sheet27.xml" Id="Re3af1d5ba6d94018" /><Relationship Type="http://schemas.openxmlformats.org/officeDocument/2006/relationships/worksheet" Target="/xl/worksheets/sheet28.xml" Id="R2bd71dffe94b4560" /><Relationship Type="http://schemas.openxmlformats.org/officeDocument/2006/relationships/worksheet" Target="/xl/worksheets/sheet29.xml" Id="R59813b5592d549f4" /><Relationship Type="http://schemas.openxmlformats.org/officeDocument/2006/relationships/worksheet" Target="/xl/worksheets/sheet30.xml" Id="R6abd0331bb8c44e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17E80"/>
  </x:sheetPr>
  <x:sheetViews>
    <x:sheetView showGridLines="0" workbookViewId="0">
      <x:pane ySplit="10" topLeftCell="A11" activePane="bottomLeft" state="frozen"/>
    </x:sheetView>
  </x:sheetViews>
  <x:sheetFormatPr defaultRowHeight="15"/>
  <x:cols>
    <x:col min="1" max="1" width="24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24" hidden="0" customWidth="1"/>
    <x:col min="9" max="9" width="23" hidden="0" customWidth="1"/>
    <x:col min="10" max="10" width="12" hidden="0" customWidth="1"/>
    <x:col min="11" max="11" width="15" hidden="0" customWidth="1"/>
  </x:cols>
  <x:sheetData>
    <x:row r="1" ht="23" customHeight="1">
      <x:c r="A1" s="173" t="str">
        <x:v>UNDER TOTAL GOALS MULTI-LINE</x:v>
      </x:c>
      <x:c r="B1" s="172"/>
      <x:c r="C1" s="172"/>
      <x:c r="D1" s="172"/>
      <x:c r="E1" s="172"/>
      <x:c r="F1" s="172"/>
      <x:c r="G1" s="172"/>
      <x:c r="H1" s="172"/>
      <x:c r="I1" s="172"/>
      <x:c r="J1" s="172"/>
      <x:c r="K1" s="172"/>
    </x:row>
    <x:row r="2" ht="23" customHeight="1">
      <x:c r="A2" s="172"/>
      <x:c r="B2" s="172"/>
      <x:c r="C2" s="172"/>
      <x:c r="D2" s="172"/>
      <x:c r="E2" s="172"/>
      <x:c r="F2" s="172"/>
      <x:c r="G2" s="172"/>
      <x:c r="H2" s="172"/>
      <x:c r="I2" s="172"/>
      <x:c r="J2" s="172"/>
      <x:c r="K2" s="172"/>
    </x:row>
    <x:row r="3" ht="23" customHeight="1">
      <x:c r="A3" s="174" t="str">
        <x:v>Under 3,5 / 4,5 / 5,5 · workbook optimizat_V2 · metodologie statistică v11</x:v>
      </x:c>
      <x:c r="B3" s="172"/>
      <x:c r="C3" s="172"/>
      <x:c r="D3" s="172"/>
      <x:c r="E3" s="172"/>
      <x:c r="F3" s="172"/>
      <x:c r="G3" s="172"/>
      <x:c r="H3" s="172"/>
      <x:c r="I3" s="172"/>
      <x:c r="J3" s="172"/>
      <x:c r="K3" s="172"/>
    </x:row>
    <x:row r="4" ht="23" customHeight="1">
      <x:c r="A4" s="172"/>
      <x:c r="B4" s="172"/>
      <x:c r="C4" s="172"/>
      <x:c r="D4" s="172"/>
      <x:c r="E4" s="172"/>
      <x:c r="F4" s="172"/>
      <x:c r="G4" s="172"/>
      <x:c r="H4" s="172"/>
      <x:c r="I4" s="172"/>
      <x:c r="J4" s="172"/>
      <x:c r="K4" s="172"/>
    </x:row>
    <x:row r="5" ht="23" customHeight="1">
      <x:c r="A5" s="172" t="str">
        <x:v>Meci</x:v>
      </x:c>
      <x:c r="B5" s="172" t="str">
        <x:f>'Date statistice'!B7&amp;" – "&amp;'Date statistice'!B8</x:f>
        <x:v>FC København – FC Inter Turku</x:v>
      </x:c>
      <x:c r="C5" s="172"/>
      <x:c r="D5" s="172"/>
      <x:c r="E5" s="172"/>
      <x:c r="F5" s="172"/>
      <x:c r="G5" s="172"/>
      <x:c r="H5" s="172"/>
      <x:c r="I5" s="172"/>
      <x:c r="J5" s="172"/>
      <x:c r="K5" s="172"/>
    </x:row>
    <x:row r="6" ht="23" customHeight="1">
      <x:c r="A6" s="172" t="str">
        <x:v>Competiție</x:v>
      </x:c>
      <x:c r="B6" s="172" t="str">
        <x:f>'Date statistice'!B9</x:f>
        <x:v>UEFA Conference League 2026/27 – play-off, retur</x:v>
      </x:c>
      <x:c r="C6" s="172"/>
      <x:c r="D6" s="172"/>
      <x:c r="E6" s="172"/>
      <x:c r="F6" s="172"/>
      <x:c r="G6" s="172"/>
      <x:c r="H6" s="172"/>
      <x:c r="I6" s="172"/>
      <x:c r="J6" s="172"/>
      <x:c r="K6" s="172"/>
    </x:row>
    <x:row r="7" ht="23" customHeight="1">
      <x:c r="A7" s="172" t="str">
        <x:v>Kickoff</x:v>
      </x:c>
      <x:c r="B7" s="200" t="str">
        <x:f>IF('Date statistice'!B6="AVAILABLE – NOT CHECKED",TEXT('Date statistice'!B10,"dd/mm/yyyy")&amp;" · ora de verificat",TEXT('Date statistice'!B10,"dd/mm/yyyy hh:mm"))</x:f>
        <x:v>27/08/2026 · ora de verificat</x:v>
      </x:c>
      <x:c r="C7" s="172"/>
      <x:c r="D7" s="172"/>
      <x:c r="E7" s="172"/>
      <x:c r="F7" s="172"/>
      <x:c r="G7" s="172"/>
      <x:c r="H7" s="172"/>
      <x:c r="I7" s="172"/>
      <x:c r="J7" s="172"/>
      <x:c r="K7" s="172"/>
    </x:row>
    <x:row r="8" ht="23" customHeight="1">
      <x:c r="A8" s="172"/>
      <x:c r="B8" s="172"/>
      <x:c r="C8" s="172"/>
      <x:c r="D8" s="172"/>
      <x:c r="E8" s="172"/>
      <x:c r="F8" s="172"/>
      <x:c r="G8" s="172"/>
      <x:c r="H8" s="172"/>
      <x:c r="I8" s="172"/>
      <x:c r="J8" s="172"/>
      <x:c r="K8" s="172"/>
    </x:row>
    <x:row r="9" ht="23" customHeight="1">
      <x:c r="A9" s="172"/>
      <x:c r="B9" s="172"/>
      <x:c r="C9" s="172"/>
      <x:c r="D9" s="172"/>
      <x:c r="E9" s="172"/>
      <x:c r="F9" s="172"/>
      <x:c r="G9" s="172"/>
      <x:c r="H9" s="172"/>
      <x:c r="I9" s="172"/>
      <x:c r="J9" s="172"/>
      <x:c r="K9" s="172"/>
    </x:row>
    <x:row r="10" ht="36" customHeight="1">
      <x:c r="A10" s="181" t="str">
        <x:v>Linie</x:v>
      </x:c>
      <x:c r="B10" s="181" t="str">
        <x:v>P ajustată</x:v>
      </x:c>
      <x:c r="C10" s="181" t="str">
        <x:v>Failure</x:v>
      </x:c>
      <x:c r="D10" s="181" t="str">
        <x:v>Exact prag+1</x:v>
      </x:c>
      <x:c r="E10" s="181" t="str">
        <x:v>Severe tail</x:v>
      </x:c>
      <x:c r="F10" s="181" t="str">
        <x:v>Nivel risc</x:v>
      </x:c>
      <x:c r="G10" s="181" t="str">
        <x:v>Confidence</x:v>
      </x:c>
      <x:c r="H10" s="181" t="str">
        <x:v>Recomandare</x:v>
      </x:c>
      <x:c r="I10" s="181" t="str">
        <x:v>Release</x:v>
      </x:c>
      <x:c r="J10" s="181" t="str">
        <x:v>Poziție</x:v>
      </x:c>
      <x:c r="K10" s="172"/>
    </x:row>
    <x:row r="11" ht="38" customHeight="1">
      <x:c r="A11" s="207" t="str">
        <x:f>IF(Under_MultiLine_v9!A5="","",Under_MultiLine_v9!A5)</x:f>
        <x:v>U3.5</x:v>
      </x:c>
      <x:c r="B11" s="208" t="str">
        <x:f>IF(Under_MultiLine_v9!G5="","",Under_MultiLine_v9!G5)</x:f>
      </x:c>
      <x:c r="C11" s="208" t="str">
        <x:f>IF(Under_MultiLine_v9!C5="","",Under_MultiLine_v9!C5)</x:f>
      </x:c>
      <x:c r="D11" s="208" t="str">
        <x:f>IF(Under_MultiLine_v9!D5="","",Under_MultiLine_v9!D5)</x:f>
      </x:c>
      <x:c r="E11" s="208" t="str">
        <x:f>IF(Under_MultiLine_v9!E5="","",Under_MultiLine_v9!E5)</x:f>
      </x:c>
      <x:c r="F11" s="209" t="str">
        <x:f>IF(Under_MultiLine_v9!N5="","",Under_MultiLine_v9!N5)</x:f>
      </x:c>
      <x:c r="G11" s="210" t="str">
        <x:f>IF(Under_MultiLine_v9!O5="","",Under_MultiLine_v9!O5)</x:f>
      </x:c>
      <x:c r="H11" s="211" t="str">
        <x:f>IF(Under_MultiLine_v9!P5="","",Under_MultiLine_v9!P5)</x:f>
        <x:v>NEELIBERAT</x:v>
      </x:c>
      <x:c r="I11" s="211" t="str">
        <x:f>IF(Under_MultiLine_v9!V5="","",Under_MultiLine_v9!V5)</x:f>
        <x:v>NOT RELEASED</x:v>
      </x:c>
      <x:c r="J11" s="207" t="str">
        <x:f>IF(Under_MultiLine_v9!Q5="","",Under_MultiLine_v9!Q5)</x:f>
      </x:c>
      <x:c r="K11" s="172"/>
    </x:row>
    <x:row r="12" ht="38" customHeight="1">
      <x:c r="A12" s="207" t="str">
        <x:f>IF(Under_MultiLine_v9!A6="","",Under_MultiLine_v9!A6)</x:f>
        <x:v>U4.5</x:v>
      </x:c>
      <x:c r="B12" s="208" t="str">
        <x:f>IF(Under_MultiLine_v9!G6="","",Under_MultiLine_v9!G6)</x:f>
      </x:c>
      <x:c r="C12" s="208" t="str">
        <x:f>IF(Under_MultiLine_v9!C6="","",Under_MultiLine_v9!C6)</x:f>
      </x:c>
      <x:c r="D12" s="208" t="str">
        <x:f>IF(Under_MultiLine_v9!D6="","",Under_MultiLine_v9!D6)</x:f>
      </x:c>
      <x:c r="E12" s="208" t="str">
        <x:f>IF(Under_MultiLine_v9!E6="","",Under_MultiLine_v9!E6)</x:f>
      </x:c>
      <x:c r="F12" s="209" t="str">
        <x:f>IF(Under_MultiLine_v9!N6="","",Under_MultiLine_v9!N6)</x:f>
      </x:c>
      <x:c r="G12" s="210" t="str">
        <x:f>IF(Under_MultiLine_v9!O6="","",Under_MultiLine_v9!O6)</x:f>
      </x:c>
      <x:c r="H12" s="211" t="str">
        <x:f>IF(Under_MultiLine_v9!P6="","",Under_MultiLine_v9!P6)</x:f>
        <x:v>NEELIBERAT</x:v>
      </x:c>
      <x:c r="I12" s="211" t="str">
        <x:f>IF(Under_MultiLine_v9!V6="","",Under_MultiLine_v9!V6)</x:f>
        <x:v>NOT RELEASED</x:v>
      </x:c>
      <x:c r="J12" s="207" t="str">
        <x:f>IF(Under_MultiLine_v9!Q6="","",Under_MultiLine_v9!Q6)</x:f>
      </x:c>
      <x:c r="K12" s="172"/>
    </x:row>
    <x:row r="13" ht="38" customHeight="1">
      <x:c r="A13" s="207" t="str">
        <x:f>IF(Under_MultiLine_v9!A7="","",Under_MultiLine_v9!A7)</x:f>
        <x:v>U5.5</x:v>
      </x:c>
      <x:c r="B13" s="208" t="str">
        <x:f>IF(Under_MultiLine_v9!G7="","",Under_MultiLine_v9!G7)</x:f>
      </x:c>
      <x:c r="C13" s="208" t="str">
        <x:f>IF(Under_MultiLine_v9!C7="","",Under_MultiLine_v9!C7)</x:f>
      </x:c>
      <x:c r="D13" s="208" t="str">
        <x:f>IF(Under_MultiLine_v9!D7="","",Under_MultiLine_v9!D7)</x:f>
      </x:c>
      <x:c r="E13" s="208" t="str">
        <x:f>IF(Under_MultiLine_v9!E7="","",Under_MultiLine_v9!E7)</x:f>
      </x:c>
      <x:c r="F13" s="209" t="str">
        <x:f>IF(Under_MultiLine_v9!N7="","",Under_MultiLine_v9!N7)</x:f>
      </x:c>
      <x:c r="G13" s="210" t="str">
        <x:f>IF(Under_MultiLine_v9!O7="","",Under_MultiLine_v9!O7)</x:f>
      </x:c>
      <x:c r="H13" s="211" t="str">
        <x:f>IF(Under_MultiLine_v9!P7="","",Under_MultiLine_v9!P7)</x:f>
        <x:v>NEELIBERAT</x:v>
      </x:c>
      <x:c r="I13" s="211" t="str">
        <x:f>IF(Under_MultiLine_v9!V7="","",Under_MultiLine_v9!V7)</x:f>
        <x:v>NOT RELEASED</x:v>
      </x:c>
      <x:c r="J13" s="207" t="str">
        <x:f>IF(Under_MultiLine_v9!Q7="","",Under_MultiLine_v9!Q7)</x:f>
      </x:c>
      <x:c r="K13" s="172"/>
    </x:row>
    <x:row r="14" ht="23" customHeight="1">
      <x:c r="A14" s="172"/>
      <x:c r="B14" s="172"/>
      <x:c r="C14" s="172"/>
      <x:c r="D14" s="172"/>
      <x:c r="E14" s="172"/>
      <x:c r="F14" s="172"/>
      <x:c r="G14" s="172"/>
      <x:c r="H14" s="172"/>
      <x:c r="I14" s="172"/>
      <x:c r="J14" s="172"/>
      <x:c r="K14" s="172"/>
    </x:row>
    <x:row r="15" ht="23" customHeight="1">
      <x:c r="A15" s="172"/>
      <x:c r="B15" s="172"/>
      <x:c r="C15" s="172"/>
      <x:c r="D15" s="172"/>
      <x:c r="E15" s="172"/>
      <x:c r="F15" s="172"/>
      <x:c r="G15" s="172"/>
      <x:c r="H15" s="172"/>
      <x:c r="I15" s="172"/>
      <x:c r="J15" s="172"/>
      <x:c r="K15" s="172"/>
    </x:row>
    <x:row r="16" ht="23" customHeight="1">
      <x:c r="A16" s="172"/>
      <x:c r="B16" s="172"/>
      <x:c r="C16" s="172"/>
      <x:c r="D16" s="172"/>
      <x:c r="E16" s="172"/>
      <x:c r="F16" s="172"/>
      <x:c r="G16" s="172"/>
      <x:c r="H16" s="172"/>
      <x:c r="I16" s="172"/>
      <x:c r="J16" s="172"/>
      <x:c r="K16" s="172"/>
    </x:row>
    <x:row r="17" ht="34" customHeight="1">
      <x:c r="A17" s="172" t="str">
        <x:v>Verdict unic U4,5</x:v>
      </x:c>
      <x:c r="B17" s="172"/>
      <x:c r="C17" s="172"/>
      <x:c r="D17" s="172"/>
      <x:c r="E17" s="172"/>
      <x:c r="F17" s="172"/>
      <x:c r="G17" s="203" t="str">
        <x:f>Under_MultiLine_v9!P6</x:f>
        <x:v>NEELIBERAT</x:v>
      </x:c>
      <x:c r="H17" s="203"/>
      <x:c r="I17" s="203"/>
      <x:c r="J17" s="203"/>
      <x:c r="K17" s="172"/>
    </x:row>
    <x:row r="18" ht="23" customHeight="1">
      <x:c r="A18" s="172"/>
      <x:c r="B18" s="172"/>
      <x:c r="C18" s="172"/>
      <x:c r="D18" s="172"/>
      <x:c r="E18" s="172"/>
      <x:c r="F18" s="172"/>
      <x:c r="G18" s="172"/>
      <x:c r="H18" s="172"/>
      <x:c r="I18" s="172"/>
      <x:c r="J18" s="172"/>
      <x:c r="K18" s="172"/>
    </x:row>
    <x:row r="19" ht="23" customHeight="1">
      <x:c r="A19" s="172"/>
      <x:c r="B19" s="172"/>
      <x:c r="C19" s="172"/>
      <x:c r="D19" s="172"/>
      <x:c r="E19" s="172"/>
      <x:c r="F19" s="172"/>
      <x:c r="G19" s="172"/>
      <x:c r="H19" s="172"/>
      <x:c r="I19" s="172"/>
      <x:c r="J19" s="172"/>
      <x:c r="K19" s="172"/>
    </x:row>
    <x:row r="20" ht="36" customHeight="1">
      <x:c r="A20" s="181" t="str">
        <x:v>Linie</x:v>
      </x:c>
      <x:c r="B20" s="181" t="str">
        <x:v>Motiv / următorul pas</x:v>
      </x:c>
      <x:c r="C20" s="181"/>
      <x:c r="D20" s="181"/>
      <x:c r="E20" s="181"/>
      <x:c r="F20" s="181"/>
      <x:c r="G20" s="181"/>
      <x:c r="H20" s="181"/>
      <x:c r="I20" s="181"/>
      <x:c r="J20" s="181"/>
      <x:c r="K20" s="172"/>
    </x:row>
    <x:row r="21" ht="42" customHeight="1">
      <x:c r="A21" s="172" t="str">
        <x:f>Under_MultiLine_v9!A5</x:f>
        <x:v>U3.5</x:v>
      </x:c>
      <x:c r="B21" s="187" t="str">
        <x:f>Under_MultiLine_v9!S5</x:f>
        <x:v>Închide verificarea datelor relevante; nu este NO BET automat</x:v>
      </x:c>
      <x:c r="C21" s="187"/>
      <x:c r="D21" s="187"/>
      <x:c r="E21" s="187"/>
      <x:c r="F21" s="187"/>
      <x:c r="G21" s="187"/>
      <x:c r="H21" s="187"/>
      <x:c r="I21" s="187"/>
      <x:c r="J21" s="187"/>
      <x:c r="K21" s="172"/>
    </x:row>
    <x:row r="22" ht="42" customHeight="1">
      <x:c r="A22" s="172" t="str">
        <x:f>Under_MultiLine_v9!A6</x:f>
        <x:v>U4.5</x:v>
      </x:c>
      <x:c r="B22" s="187" t="str">
        <x:f>Under_MultiLine_v9!S6</x:f>
        <x:v>Închide verificarea datelor relevante; nu este NO BET automat</x:v>
      </x:c>
      <x:c r="C22" s="187"/>
      <x:c r="D22" s="187"/>
      <x:c r="E22" s="187"/>
      <x:c r="F22" s="187"/>
      <x:c r="G22" s="187"/>
      <x:c r="H22" s="187"/>
      <x:c r="I22" s="187"/>
      <x:c r="J22" s="187"/>
      <x:c r="K22" s="172"/>
    </x:row>
    <x:row r="23" ht="42" customHeight="1">
      <x:c r="A23" s="172" t="str">
        <x:f>Under_MultiLine_v9!A7</x:f>
        <x:v>U5.5</x:v>
      </x:c>
      <x:c r="B23" s="187" t="str">
        <x:f>Under_MultiLine_v9!S7</x:f>
        <x:v>Închide verificarea datelor relevante; nu este NO BET automat</x:v>
      </x:c>
      <x:c r="C23" s="187"/>
      <x:c r="D23" s="187"/>
      <x:c r="E23" s="187"/>
      <x:c r="F23" s="187"/>
      <x:c r="G23" s="187"/>
      <x:c r="H23" s="187"/>
      <x:c r="I23" s="187"/>
      <x:c r="J23" s="187"/>
      <x:c r="K23" s="172"/>
    </x:row>
    <x:row r="24" ht="23" customHeight="1">
      <x:c r="A24" s="172"/>
      <x:c r="B24" s="172"/>
      <x:c r="C24" s="172"/>
      <x:c r="D24" s="172"/>
      <x:c r="E24" s="172"/>
      <x:c r="F24" s="172"/>
      <x:c r="G24" s="172"/>
      <x:c r="H24" s="172"/>
      <x:c r="I24" s="172"/>
      <x:c r="J24" s="172"/>
      <x:c r="K24" s="172"/>
    </x:row>
    <x:row r="25" ht="23" customHeight="1">
      <x:c r="A25" s="172"/>
      <x:c r="B25" s="172"/>
      <x:c r="C25" s="172"/>
      <x:c r="D25" s="172"/>
      <x:c r="E25" s="172"/>
      <x:c r="F25" s="172"/>
      <x:c r="G25" s="172"/>
      <x:c r="H25" s="172"/>
      <x:c r="I25" s="172"/>
      <x:c r="J25" s="172"/>
      <x:c r="K25" s="172"/>
    </x:row>
    <x:row r="26" ht="23" customHeight="1">
      <x:c r="A26" s="172" t="str">
        <x:v>NEELIBERAT = verificarea datelor sau a parametrilor trebuie închisă. Nu înseamnă NO BET.</x:v>
      </x:c>
      <x:c r="B26" s="172"/>
      <x:c r="C26" s="172"/>
      <x:c r="D26" s="172"/>
      <x:c r="E26" s="172"/>
      <x:c r="F26" s="172"/>
      <x:c r="G26" s="172"/>
      <x:c r="H26" s="172"/>
      <x:c r="I26" s="172"/>
      <x:c r="J26" s="172"/>
      <x:c r="K26" s="172"/>
    </x:row>
    <x:row r="27" ht="23" customHeight="1">
      <x:c r="A27" s="172" t="str">
        <x:v>WATCH = analiza este calculabilă, dar criteriile pentru o recomandare nu sunt îndeplinite.</x:v>
      </x:c>
      <x:c r="B27" s="172"/>
      <x:c r="C27" s="172"/>
      <x:c r="D27" s="172"/>
      <x:c r="E27" s="172"/>
      <x:c r="F27" s="172"/>
      <x:c r="G27" s="172"/>
      <x:c r="H27" s="172"/>
      <x:c r="I27" s="172"/>
      <x:c r="J27" s="172"/>
      <x:c r="K27" s="172"/>
    </x:row>
    <x:row r="28" ht="23" customHeight="1">
      <x:c r="A28" s="172" t="str">
        <x:v>NO BET = blocaj critic sau nivel 5. Un procent mare nu anulează blocajul.</x:v>
      </x:c>
      <x:c r="B28" s="172"/>
      <x:c r="C28" s="172"/>
      <x:c r="D28" s="172"/>
      <x:c r="E28" s="172"/>
      <x:c r="F28" s="172"/>
      <x:c r="G28" s="172"/>
      <x:c r="H28" s="172"/>
      <x:c r="I28" s="172"/>
      <x:c r="J28" s="172"/>
      <x:c r="K28" s="172"/>
    </x:row>
    <x:row r="29" ht="23" customHeight="1">
      <x:c r="A29" s="172"/>
      <x:c r="B29" s="172"/>
      <x:c r="C29" s="172"/>
      <x:c r="D29" s="172"/>
      <x:c r="E29" s="172"/>
      <x:c r="F29" s="172"/>
      <x:c r="G29" s="172"/>
      <x:c r="H29" s="172"/>
      <x:c r="I29" s="172"/>
      <x:c r="J29" s="172"/>
      <x:c r="K29" s="172"/>
    </x:row>
    <x:row r="30" ht="23" customHeight="1">
      <x:c r="A30" s="172" t="str">
        <x:v>U3,5 și U5,5 sunt evaluate separat. Pragurile near/severe rămân în așteptarea validării OOS.</x:v>
      </x:c>
      <x:c r="B30" s="172"/>
      <x:c r="C30" s="172"/>
      <x:c r="D30" s="172"/>
      <x:c r="E30" s="172"/>
      <x:c r="F30" s="172"/>
      <x:c r="G30" s="172"/>
      <x:c r="H30" s="172"/>
      <x:c r="I30" s="172"/>
      <x:c r="J30" s="172"/>
      <x:c r="K30" s="172"/>
    </x:row>
    <x:row r="31" ht="23" customHeight="1">
      <x:c r="A31" s="172"/>
      <x:c r="B31" s="172"/>
      <x:c r="C31" s="172"/>
      <x:c r="D31" s="172"/>
      <x:c r="E31" s="172"/>
      <x:c r="F31" s="172"/>
      <x:c r="G31" s="172"/>
      <x:c r="H31" s="172"/>
      <x:c r="I31" s="172"/>
      <x:c r="J31" s="172"/>
      <x:c r="K31" s="172"/>
    </x:row>
    <x:row r="32" ht="23" customHeight="1">
      <x:c r="A32" s="172" t="str">
        <x:v>Introduce și verifică datele în Date statistice. Parametrii și pragurile sunt în Under_LineCal_v9.</x:v>
      </x:c>
      <x:c r="B32" s="172"/>
      <x:c r="C32" s="172"/>
      <x:c r="D32" s="172"/>
      <x:c r="E32" s="172"/>
      <x:c r="F32" s="172"/>
      <x:c r="G32" s="172"/>
      <x:c r="H32" s="172"/>
      <x:c r="I32" s="172"/>
      <x:c r="J32" s="172"/>
      <x:c r="K32" s="172"/>
    </x:row>
    <x:row r="33" ht="23" customHeight="1">
      <x:c r="A33" s="172" t="str">
        <x:v>Exemplul importat este istoric; nu s-a efectuat o nouă căutare a meciului.</x:v>
      </x:c>
      <x:c r="B33" s="172"/>
      <x:c r="C33" s="172"/>
      <x:c r="D33" s="172"/>
      <x:c r="E33" s="172"/>
      <x:c r="F33" s="172"/>
      <x:c r="G33" s="172"/>
      <x:c r="H33" s="172"/>
      <x:c r="I33" s="172"/>
      <x:c r="J33" s="172"/>
      <x:c r="K33" s="172"/>
    </x:row>
    <x:row r="34" ht="23" customHeight="1">
      <x:c r="A34" s="172"/>
      <x:c r="B34" s="172"/>
      <x:c r="C34" s="172"/>
      <x:c r="D34" s="172"/>
      <x:c r="E34" s="172"/>
      <x:c r="F34" s="172"/>
      <x:c r="G34" s="172"/>
      <x:c r="H34" s="172"/>
      <x:c r="I34" s="172"/>
      <x:c r="J34" s="172"/>
      <x:c r="K34" s="172"/>
    </x:row>
    <x:row r="35" ht="23" customHeight="1">
      <x:c r="A35" s="172"/>
      <x:c r="B35" s="172"/>
      <x:c r="C35" s="172"/>
      <x:c r="D35" s="172"/>
      <x:c r="E35" s="172"/>
      <x:c r="F35" s="172"/>
      <x:c r="G35" s="172"/>
      <x:c r="H35" s="172"/>
      <x:c r="I35" s="172"/>
      <x:c r="J35" s="172"/>
      <x:c r="K35" s="172"/>
    </x:row>
    <x:row r="36" ht="23" customHeight="1">
      <x:c r="A36" s="172"/>
      <x:c r="B36" s="172"/>
      <x:c r="C36" s="172"/>
      <x:c r="D36" s="172"/>
      <x:c r="E36" s="172"/>
      <x:c r="F36" s="172"/>
      <x:c r="G36" s="172"/>
      <x:c r="H36" s="172"/>
      <x:c r="I36" s="172"/>
      <x:c r="J36" s="172"/>
      <x:c r="K36" s="172"/>
    </x:row>
    <x:row r="37" ht="23" customHeight="1">
      <x:c r="A37" s="172"/>
      <x:c r="B37" s="172"/>
      <x:c r="C37" s="172"/>
      <x:c r="D37" s="172"/>
      <x:c r="E37" s="172"/>
      <x:c r="F37" s="172"/>
      <x:c r="G37" s="172"/>
      <x:c r="H37" s="172"/>
      <x:c r="I37" s="172"/>
      <x:c r="J37" s="172"/>
      <x:c r="K37" s="172"/>
    </x:row>
    <x:row r="38" ht="23" customHeight="1">
      <x:c r="A38" s="172"/>
      <x:c r="B38" s="172"/>
      <x:c r="C38" s="172"/>
      <x:c r="D38" s="172"/>
      <x:c r="E38" s="172"/>
      <x:c r="F38" s="172"/>
      <x:c r="G38" s="172"/>
      <x:c r="H38" s="172"/>
      <x:c r="I38" s="172"/>
      <x:c r="J38" s="172"/>
      <x:c r="K38" s="172"/>
    </x:row>
    <x:row r="39" ht="23" customHeight="1">
      <x:c r="A39" s="172"/>
      <x:c r="B39" s="172"/>
      <x:c r="C39" s="172"/>
      <x:c r="D39" s="172"/>
      <x:c r="E39" s="172"/>
      <x:c r="F39" s="172"/>
      <x:c r="G39" s="172"/>
      <x:c r="H39" s="172"/>
      <x:c r="I39" s="172"/>
      <x:c r="J39" s="172"/>
      <x:c r="K39" s="172"/>
    </x:row>
    <x:row r="40" ht="23" customHeight="1">
      <x:c r="A40" s="172"/>
      <x:c r="B40" s="172"/>
      <x:c r="C40" s="172"/>
      <x:c r="D40" s="172"/>
      <x:c r="E40" s="172"/>
      <x:c r="F40" s="172"/>
      <x:c r="G40" s="172"/>
      <x:c r="H40" s="172"/>
      <x:c r="I40" s="172"/>
      <x:c r="J40" s="172"/>
      <x:c r="K40" s="172"/>
    </x:row>
    <x:row r="41" ht="23" customHeight="1">
      <x:c r="A41" s="172"/>
      <x:c r="B41" s="172"/>
      <x:c r="C41" s="172"/>
      <x:c r="D41" s="172"/>
      <x:c r="E41" s="172"/>
      <x:c r="F41" s="172"/>
      <x:c r="G41" s="172"/>
      <x:c r="H41" s="172"/>
      <x:c r="I41" s="172"/>
      <x:c r="J41" s="172"/>
      <x:c r="K41" s="172"/>
    </x:row>
    <x:row r="42" ht="23" customHeight="1">
      <x:c r="A42" s="172"/>
      <x:c r="B42" s="172"/>
      <x:c r="C42" s="172"/>
      <x:c r="D42" s="172"/>
      <x:c r="E42" s="172"/>
      <x:c r="F42" s="172"/>
      <x:c r="G42" s="172"/>
      <x:c r="H42" s="172"/>
      <x:c r="I42" s="172"/>
      <x:c r="J42" s="172"/>
      <x:c r="K42" s="172"/>
    </x:row>
    <x:row r="43" ht="23" customHeight="1">
      <x:c r="A43" s="172"/>
      <x:c r="B43" s="172"/>
      <x:c r="C43" s="172"/>
      <x:c r="D43" s="172"/>
      <x:c r="E43" s="172"/>
      <x:c r="F43" s="172"/>
      <x:c r="G43" s="172"/>
      <x:c r="H43" s="172"/>
      <x:c r="I43" s="172"/>
      <x:c r="J43" s="172"/>
      <x:c r="K43" s="172"/>
    </x:row>
    <x:row r="44" ht="23" customHeight="1">
      <x:c r="A44" s="172"/>
      <x:c r="B44" s="172"/>
      <x:c r="C44" s="172"/>
      <x:c r="D44" s="172"/>
      <x:c r="E44" s="172"/>
      <x:c r="F44" s="172"/>
      <x:c r="G44" s="172"/>
      <x:c r="H44" s="172"/>
      <x:c r="I44" s="172"/>
      <x:c r="J44" s="172"/>
      <x:c r="K44" s="172"/>
    </x:row>
    <x:row r="45" ht="23" customHeight="1">
      <x:c r="A45" s="172"/>
      <x:c r="B45" s="172"/>
      <x:c r="C45" s="172"/>
      <x:c r="D45" s="172"/>
      <x:c r="E45" s="172"/>
      <x:c r="F45" s="172"/>
      <x:c r="G45" s="172"/>
      <x:c r="H45" s="172"/>
      <x:c r="I45" s="172"/>
      <x:c r="J45" s="172"/>
      <x:c r="K45" s="172"/>
    </x:row>
    <x:row r="46" ht="23" customHeight="1">
      <x:c r="A46" s="172"/>
      <x:c r="B46" s="172"/>
      <x:c r="C46" s="172"/>
      <x:c r="D46" s="172"/>
      <x:c r="E46" s="172"/>
      <x:c r="F46" s="172"/>
      <x:c r="G46" s="172"/>
      <x:c r="H46" s="172"/>
      <x:c r="I46" s="172"/>
      <x:c r="J46" s="172"/>
      <x:c r="K46" s="172"/>
    </x:row>
    <x:row r="47" ht="23" customHeight="1">
      <x:c r="A47" s="172"/>
      <x:c r="B47" s="172"/>
      <x:c r="C47" s="172"/>
      <x:c r="D47" s="172"/>
      <x:c r="E47" s="172"/>
      <x:c r="F47" s="172"/>
      <x:c r="G47" s="172"/>
      <x:c r="H47" s="172"/>
      <x:c r="I47" s="172"/>
      <x:c r="J47" s="172"/>
      <x:c r="K47" s="172"/>
    </x:row>
    <x:row r="48" ht="23" customHeight="1">
      <x:c r="A48" s="172"/>
      <x:c r="B48" s="172"/>
      <x:c r="C48" s="172"/>
      <x:c r="D48" s="172"/>
      <x:c r="E48" s="172"/>
      <x:c r="F48" s="172"/>
      <x:c r="G48" s="172"/>
      <x:c r="H48" s="172"/>
      <x:c r="I48" s="172"/>
      <x:c r="J48" s="172"/>
      <x:c r="K48" s="172"/>
    </x:row>
    <x:row r="49" ht="23" customHeight="1">
      <x:c r="A49" s="172"/>
      <x:c r="B49" s="172"/>
      <x:c r="C49" s="172"/>
      <x:c r="D49" s="172"/>
      <x:c r="E49" s="172"/>
      <x:c r="F49" s="172"/>
      <x:c r="G49" s="172"/>
      <x:c r="H49" s="172"/>
      <x:c r="I49" s="172"/>
      <x:c r="J49" s="172"/>
      <x:c r="K49" s="172"/>
    </x:row>
    <x:row r="50" ht="23" customHeight="1">
      <x:c r="A50" s="172"/>
      <x:c r="B50" s="172"/>
      <x:c r="C50" s="172"/>
      <x:c r="D50" s="172"/>
      <x:c r="E50" s="172"/>
      <x:c r="F50" s="172"/>
      <x:c r="G50" s="172"/>
      <x:c r="H50" s="172"/>
      <x:c r="I50" s="172"/>
      <x:c r="J50" s="172"/>
      <x:c r="K50" s="172"/>
    </x:row>
    <x:row r="51" ht="23" customHeight="1">
      <x:c r="A51" s="172"/>
      <x:c r="B51" s="172"/>
      <x:c r="C51" s="172"/>
      <x:c r="D51" s="172"/>
      <x:c r="E51" s="172"/>
      <x:c r="F51" s="172"/>
      <x:c r="G51" s="172"/>
      <x:c r="H51" s="172"/>
      <x:c r="I51" s="172"/>
      <x:c r="J51" s="172"/>
      <x:c r="K51" s="172"/>
    </x:row>
    <x:row r="52" ht="23" customHeight="1">
      <x:c r="A52" s="172"/>
      <x:c r="B52" s="172"/>
      <x:c r="C52" s="172"/>
      <x:c r="D52" s="172"/>
      <x:c r="E52" s="172"/>
      <x:c r="F52" s="172"/>
      <x:c r="G52" s="172"/>
      <x:c r="H52" s="172"/>
      <x:c r="I52" s="172"/>
      <x:c r="J52" s="172"/>
      <x:c r="K52" s="172"/>
    </x:row>
    <x:row r="53" ht="23" customHeight="1">
      <x:c r="A53" s="172"/>
      <x:c r="B53" s="172"/>
      <x:c r="C53" s="172"/>
      <x:c r="D53" s="172"/>
      <x:c r="E53" s="172"/>
      <x:c r="F53" s="172"/>
      <x:c r="G53" s="172"/>
      <x:c r="H53" s="172"/>
      <x:c r="I53" s="172"/>
      <x:c r="J53" s="172"/>
      <x:c r="K53" s="172"/>
    </x:row>
    <x:row r="54" ht="23" customHeight="1">
      <x:c r="A54" s="172"/>
      <x:c r="B54" s="172"/>
      <x:c r="C54" s="172"/>
      <x:c r="D54" s="172"/>
      <x:c r="E54" s="172"/>
      <x:c r="F54" s="172"/>
      <x:c r="G54" s="172"/>
      <x:c r="H54" s="172"/>
      <x:c r="I54" s="172"/>
      <x:c r="J54" s="172"/>
      <x:c r="K54" s="172"/>
    </x:row>
    <x:row r="55" ht="23" customHeight="1">
      <x:c r="A55" s="172"/>
      <x:c r="B55" s="172"/>
      <x:c r="C55" s="172"/>
      <x:c r="D55" s="172"/>
      <x:c r="E55" s="172"/>
      <x:c r="F55" s="172"/>
      <x:c r="G55" s="172"/>
      <x:c r="H55" s="172"/>
      <x:c r="I55" s="172"/>
      <x:c r="J55" s="172"/>
      <x:c r="K55" s="172"/>
    </x:row>
    <x:row r="56" ht="23" customHeight="1">
      <x:c r="A56" s="172"/>
      <x:c r="B56" s="172"/>
      <x:c r="C56" s="172"/>
      <x:c r="D56" s="172"/>
      <x:c r="E56" s="172"/>
      <x:c r="F56" s="172"/>
      <x:c r="G56" s="172"/>
      <x:c r="H56" s="172"/>
      <x:c r="I56" s="172"/>
      <x:c r="J56" s="172"/>
      <x:c r="K56" s="172"/>
    </x:row>
    <x:row r="57" ht="23" customHeight="1">
      <x:c r="A57" s="172"/>
      <x:c r="B57" s="172"/>
      <x:c r="C57" s="172"/>
      <x:c r="D57" s="172"/>
      <x:c r="E57" s="172"/>
      <x:c r="F57" s="172"/>
      <x:c r="G57" s="172"/>
      <x:c r="H57" s="172"/>
      <x:c r="I57" s="172"/>
      <x:c r="J57" s="172"/>
      <x:c r="K57" s="172"/>
    </x:row>
    <x:row r="58" ht="23" customHeight="1">
      <x:c r="A58" s="172"/>
      <x:c r="B58" s="172"/>
      <x:c r="C58" s="172"/>
      <x:c r="D58" s="172"/>
      <x:c r="E58" s="172"/>
      <x:c r="F58" s="172"/>
      <x:c r="G58" s="172"/>
      <x:c r="H58" s="172"/>
      <x:c r="I58" s="172"/>
      <x:c r="J58" s="172"/>
      <x:c r="K58" s="172"/>
    </x:row>
    <x:row r="59" ht="23" customHeight="1">
      <x:c r="A59" s="172"/>
      <x:c r="B59" s="172"/>
      <x:c r="C59" s="172"/>
      <x:c r="D59" s="172"/>
      <x:c r="E59" s="172"/>
      <x:c r="F59" s="172"/>
      <x:c r="G59" s="172"/>
      <x:c r="H59" s="172"/>
      <x:c r="I59" s="172"/>
      <x:c r="J59" s="172"/>
      <x:c r="K59" s="172"/>
    </x:row>
    <x:row r="60" ht="23" customHeight="1">
      <x:c r="A60" s="172"/>
      <x:c r="B60" s="172"/>
      <x:c r="C60" s="172"/>
      <x:c r="D60" s="172"/>
      <x:c r="E60" s="172"/>
      <x:c r="F60" s="172"/>
      <x:c r="G60" s="172"/>
      <x:c r="H60" s="172"/>
      <x:c r="I60" s="172"/>
      <x:c r="J60" s="172"/>
      <x:c r="K60" s="172"/>
    </x:row>
    <x:row r="61" ht="23" customHeight="1">
      <x:c r="A61" s="172"/>
      <x:c r="B61" s="172"/>
      <x:c r="C61" s="172"/>
      <x:c r="D61" s="172"/>
      <x:c r="E61" s="172"/>
      <x:c r="F61" s="172"/>
      <x:c r="G61" s="172"/>
      <x:c r="H61" s="172"/>
      <x:c r="I61" s="172"/>
      <x:c r="J61" s="172"/>
      <x:c r="K61" s="172"/>
    </x:row>
    <x:row r="62" ht="23" customHeight="1">
      <x:c r="A62" s="172"/>
      <x:c r="B62" s="172"/>
      <x:c r="C62" s="172"/>
      <x:c r="D62" s="172"/>
      <x:c r="E62" s="172"/>
      <x:c r="F62" s="172"/>
      <x:c r="G62" s="172"/>
      <x:c r="H62" s="172"/>
      <x:c r="I62" s="172"/>
      <x:c r="J62" s="172"/>
      <x:c r="K62" s="172"/>
    </x:row>
    <x:row r="63" ht="23" customHeight="1">
      <x:c r="A63" s="172"/>
      <x:c r="B63" s="172"/>
      <x:c r="C63" s="172"/>
      <x:c r="D63" s="172"/>
      <x:c r="E63" s="172"/>
      <x:c r="F63" s="172"/>
      <x:c r="G63" s="172"/>
      <x:c r="H63" s="172"/>
      <x:c r="I63" s="172"/>
      <x:c r="J63" s="172"/>
      <x:c r="K63" s="172"/>
    </x:row>
    <x:row r="64" ht="23" customHeight="1">
      <x:c r="A64" s="172"/>
      <x:c r="B64" s="172"/>
      <x:c r="C64" s="172"/>
      <x:c r="D64" s="172"/>
      <x:c r="E64" s="172"/>
      <x:c r="F64" s="172"/>
      <x:c r="G64" s="172"/>
      <x:c r="H64" s="172"/>
      <x:c r="I64" s="172"/>
      <x:c r="J64" s="172"/>
      <x:c r="K64" s="172"/>
    </x:row>
    <x:row r="65" ht="23" customHeight="1">
      <x:c r="A65" s="172"/>
      <x:c r="B65" s="172"/>
      <x:c r="C65" s="172"/>
      <x:c r="D65" s="172"/>
      <x:c r="E65" s="172"/>
      <x:c r="F65" s="172"/>
      <x:c r="G65" s="172"/>
      <x:c r="H65" s="172"/>
      <x:c r="I65" s="172"/>
      <x:c r="J65" s="172"/>
      <x:c r="K65" s="172"/>
    </x:row>
  </x:sheetData>
  <x:mergeCells>
    <x:mergeCell ref="G17:J17"/>
    <x:mergeCell ref="B21:J21"/>
    <x:mergeCell ref="B22:J22"/>
    <x:mergeCell ref="B23:J23"/>
    <x:mergeCell ref="B20:J20"/>
    <x:mergeCell ref="B7:D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117E80"/>
  </x:sheetPr>
  <x:sheetViews>
    <x:sheetView showGridLines="0" workbookViewId="0">
      <x:pane ySplit="15" topLeftCell="A16" activePane="bottomLeft" state="frozen"/>
    </x:sheetView>
  </x:sheetViews>
  <x:sheetFormatPr defaultRowHeight="15"/>
  <x:cols>
    <x:col min="1" max="1" width="31" hidden="0" customWidth="1"/>
    <x:col min="2" max="2" width="20" hidden="0" customWidth="1"/>
    <x:col min="3" max="3" width="15" hidden="0" customWidth="1"/>
    <x:col min="4" max="4" width="15" hidden="0" customWidth="1"/>
    <x:col min="5" max="5" width="23" hidden="0" customWidth="1"/>
    <x:col min="6" max="6" width="15" hidden="0" customWidth="1"/>
    <x:col min="7" max="7" width="28" hidden="0" customWidth="1"/>
    <x:col min="8" max="8" width="42" hidden="0" customWidth="1"/>
    <x:col min="9" max="9" width="21" hidden="0" customWidth="1"/>
    <x:col min="10" max="10" width="49" hidden="0" customWidth="1"/>
    <x:col min="11" max="11" width="12" hidden="0" customWidth="1"/>
    <x:col min="12" max="12" width="15" hidden="0" customWidth="1"/>
  </x:cols>
  <x:sheetData>
    <x:row r="1" ht="23" customHeight="1">
      <x:c r="A1" s="173" t="str">
        <x:v>DATELE MECIULUI ȘI TRASABILITATE</x:v>
      </x:c>
      <x:c r="B1" s="172"/>
      <x:c r="C1" s="172"/>
      <x:c r="D1" s="172"/>
      <x:c r="E1" s="172"/>
      <x:c r="F1" s="172"/>
      <x:c r="G1" s="172"/>
      <x:c r="H1" s="172"/>
      <x:c r="I1" s="172"/>
      <x:c r="J1" s="172"/>
      <x:c r="K1" s="172"/>
      <x:c r="L1" s="172"/>
    </x:row>
    <x:row r="2" ht="23" customHeight="1">
      <x:c r="A2" s="172"/>
      <x:c r="B2" s="172"/>
      <x:c r="C2" s="172"/>
      <x:c r="D2" s="172"/>
      <x:c r="E2" s="172"/>
      <x:c r="F2" s="172"/>
      <x:c r="G2" s="172"/>
      <x:c r="H2" s="172"/>
      <x:c r="I2" s="172"/>
      <x:c r="J2" s="172"/>
      <x:c r="K2" s="172"/>
      <x:c r="L2" s="172"/>
    </x:row>
    <x:row r="3" ht="23" customHeight="1">
      <x:c r="A3" s="174" t="str">
        <x:v>Celulele galbene sunt editabile. Exemplul istoric nu este o predicție nouă.</x:v>
      </x:c>
      <x:c r="B3" s="172"/>
      <x:c r="C3" s="172"/>
      <x:c r="D3" s="172"/>
      <x:c r="E3" s="172"/>
      <x:c r="F3" s="172"/>
      <x:c r="G3" s="172"/>
      <x:c r="H3" s="172"/>
      <x:c r="I3" s="172"/>
      <x:c r="J3" s="172"/>
      <x:c r="K3" s="172"/>
      <x:c r="L3" s="172"/>
    </x:row>
    <x:row r="4" ht="23" customHeight="1">
      <x:c r="A4" s="172"/>
      <x:c r="B4" s="172"/>
      <x:c r="C4" s="172"/>
      <x:c r="D4" s="172"/>
      <x:c r="E4" s="172"/>
      <x:c r="F4" s="172"/>
      <x:c r="G4" s="172"/>
      <x:c r="H4" s="172"/>
      <x:c r="I4" s="172"/>
      <x:c r="J4" s="172"/>
      <x:c r="K4" s="172"/>
      <x:c r="L4" s="172"/>
    </x:row>
    <x:row r="5" ht="23" customHeight="1">
      <x:c r="A5" s="172" t="str">
        <x:v>Tip meci</x:v>
      </x:c>
      <x:c r="B5" s="175" t="str">
        <x:v>Cupe / Europa</x:v>
      </x:c>
      <x:c r="C5" s="172"/>
      <x:c r="D5" s="172"/>
      <x:c r="E5" s="172"/>
      <x:c r="F5" s="172"/>
      <x:c r="G5" s="172"/>
      <x:c r="H5" s="172"/>
      <x:c r="I5" s="172"/>
      <x:c r="J5" s="172"/>
      <x:c r="K5" s="172"/>
      <x:c r="L5" s="172"/>
    </x:row>
    <x:row r="6" ht="23" customHeight="1">
      <x:c r="A6" s="172" t="str">
        <x:v>Statut fixture</x:v>
      </x:c>
      <x:c r="B6" s="175" t="str">
        <x:v>AVAILABLE – NOT CHECKED</x:v>
      </x:c>
      <x:c r="C6" s="172"/>
      <x:c r="D6" s="172"/>
      <x:c r="E6" s="172"/>
      <x:c r="F6" s="172"/>
      <x:c r="G6" s="172"/>
      <x:c r="H6" s="172"/>
      <x:c r="I6" s="172"/>
      <x:c r="J6" s="172"/>
      <x:c r="K6" s="172"/>
      <x:c r="L6" s="172"/>
    </x:row>
    <x:row r="7" ht="23" customHeight="1">
      <x:c r="A7" s="172" t="str">
        <x:v>Gazde</x:v>
      </x:c>
      <x:c r="B7" s="175" t="str">
        <x:v>FC København</x:v>
      </x:c>
      <x:c r="C7" s="172"/>
      <x:c r="D7" s="172"/>
      <x:c r="E7" s="172"/>
      <x:c r="F7" s="172"/>
      <x:c r="G7" s="172"/>
      <x:c r="H7" s="172"/>
      <x:c r="I7" s="172"/>
      <x:c r="J7" s="172"/>
      <x:c r="K7" s="172"/>
      <x:c r="L7" s="172"/>
    </x:row>
    <x:row r="8" ht="23" customHeight="1">
      <x:c r="A8" s="172" t="str">
        <x:v>Oaspeți</x:v>
      </x:c>
      <x:c r="B8" s="175" t="str">
        <x:v>FC Inter Turku</x:v>
      </x:c>
      <x:c r="C8" s="172"/>
      <x:c r="D8" s="172"/>
      <x:c r="E8" s="172"/>
      <x:c r="F8" s="172"/>
      <x:c r="G8" s="172"/>
      <x:c r="H8" s="172"/>
      <x:c r="I8" s="172"/>
      <x:c r="J8" s="172"/>
      <x:c r="K8" s="172"/>
      <x:c r="L8" s="172"/>
    </x:row>
    <x:row r="9" ht="23" customHeight="1">
      <x:c r="A9" s="172" t="str">
        <x:v>Competiție</x:v>
      </x:c>
      <x:c r="B9" s="175" t="str">
        <x:v>UEFA Conference League 2026/27 – play-off, retur</x:v>
      </x:c>
      <x:c r="C9" s="172"/>
      <x:c r="D9" s="172"/>
      <x:c r="E9" s="172"/>
      <x:c r="F9" s="172"/>
      <x:c r="G9" s="172"/>
      <x:c r="H9" s="172"/>
      <x:c r="I9" s="172"/>
      <x:c r="J9" s="172"/>
      <x:c r="K9" s="172"/>
      <x:c r="L9" s="172"/>
    </x:row>
    <x:row r="10" ht="23" customHeight="1">
      <x:c r="A10" s="172" t="str">
        <x:v>Kickoff exact (data + ora)</x:v>
      </x:c>
      <x:c r="B10" s="177" t="n">
        <x:v>46261</x:v>
      </x:c>
      <x:c r="C10" s="172"/>
      <x:c r="D10" s="172"/>
      <x:c r="E10" s="172"/>
      <x:c r="F10" s="172"/>
      <x:c r="G10" s="172"/>
      <x:c r="H10" s="172"/>
      <x:c r="I10" s="172"/>
      <x:c r="J10" s="172"/>
      <x:c r="K10" s="172"/>
      <x:c r="L10" s="172"/>
    </x:row>
    <x:row r="11" ht="23" customHeight="1">
      <x:c r="A11" s="172" t="str">
        <x:v>Sursa fixture</x:v>
      </x:c>
      <x:c r="B11" s="215" t="str">
        <x:v>Exemplu importat din optimizat_V1; de reverificat</x:v>
      </x:c>
      <x:c r="C11" s="172"/>
      <x:c r="D11" s="172"/>
      <x:c r="E11" s="172"/>
      <x:c r="F11" s="172"/>
      <x:c r="G11" s="172"/>
      <x:c r="H11" s="172"/>
      <x:c r="I11" s="172"/>
      <x:c r="J11" s="172"/>
      <x:c r="K11" s="172"/>
      <x:c r="L11" s="172"/>
    </x:row>
    <x:row r="12" ht="23" customHeight="1">
      <x:c r="A12" s="172" t="str">
        <x:v>Cutoff fixture</x:v>
      </x:c>
      <x:c r="B12" s="177" t="n">
        <x:v>46261</x:v>
      </x:c>
      <x:c r="C12" s="172"/>
      <x:c r="D12" s="172"/>
      <x:c r="E12" s="172"/>
      <x:c r="F12" s="172"/>
      <x:c r="G12" s="172"/>
      <x:c r="H12" s="172"/>
      <x:c r="I12" s="172"/>
      <x:c r="J12" s="172"/>
      <x:c r="K12" s="172"/>
      <x:c r="L12" s="172"/>
    </x:row>
    <x:row r="13" ht="23" customHeight="1">
      <x:c r="A13" s="172"/>
      <x:c r="B13" s="172"/>
      <x:c r="C13" s="172"/>
      <x:c r="D13" s="172"/>
      <x:c r="E13" s="172"/>
      <x:c r="F13" s="172"/>
      <x:c r="G13" s="172"/>
      <x:c r="H13" s="172"/>
      <x:c r="I13" s="172"/>
      <x:c r="J13" s="172"/>
      <x:c r="K13" s="172"/>
      <x:c r="L13" s="172"/>
    </x:row>
    <x:row r="14" ht="23" customHeight="1">
      <x:c r="A14" s="172"/>
      <x:c r="B14" s="172"/>
      <x:c r="C14" s="172"/>
      <x:c r="D14" s="172"/>
      <x:c r="E14" s="172"/>
      <x:c r="F14" s="172"/>
      <x:c r="G14" s="172"/>
      <x:c r="H14" s="172"/>
      <x:c r="I14" s="172"/>
      <x:c r="J14" s="172"/>
      <x:c r="K14" s="172"/>
      <x:c r="L14" s="172"/>
    </x:row>
    <x:row r="15" ht="36" customHeight="1">
      <x:c r="A15" s="181" t="str">
        <x:v>Indicator</x:v>
      </x:c>
      <x:c r="B15" s="181" t="str">
        <x:v>Echipă</x:v>
      </x:c>
      <x:c r="C15" s="181" t="str">
        <x:v>Valoare curentă</x:v>
      </x:c>
      <x:c r="D15" s="181" t="str">
        <x:v>N curent</x:v>
      </x:c>
      <x:c r="E15" s="181" t="str">
        <x:v>Valoare prior</x:v>
      </x:c>
      <x:c r="F15" s="181" t="str">
        <x:v>N prior</x:v>
      </x:c>
      <x:c r="G15" s="181" t="str">
        <x:v>Data Status</x:v>
      </x:c>
      <x:c r="H15" s="181" t="str">
        <x:v>Sursă / URL</x:v>
      </x:c>
      <x:c r="I15" s="181" t="str">
        <x:v>Cutoff</x:v>
      </x:c>
      <x:c r="J15" s="181" t="str">
        <x:v>Metodă / observație</x:v>
      </x:c>
      <x:c r="K15" s="181" t="str">
        <x:v>Tip</x:v>
      </x:c>
      <x:c r="L15" s="172"/>
    </x:row>
    <x:row r="16" ht="42" customHeight="1">
      <x:c r="A16" s="172" t="str">
        <x:v>xG domestic H</x:v>
      </x:c>
      <x:c r="B16" s="172" t="str">
        <x:v>Gazde</x:v>
      </x:c>
      <x:c r="C16" s="182" t="n">
        <x:v>1.41</x:v>
      </x:c>
      <x:c r="D16" s="183" t="n">
        <x:v>4</x:v>
      </x:c>
      <x:c r="E16" s="182"/>
      <x:c r="F16" s="183"/>
      <x:c r="G16" s="175" t="str">
        <x:v>AVAILABLE – NOT CHECKED</x:v>
      </x:c>
      <x:c r="H16" s="185" t="str">
        <x:v>FootyStats; referință din exemplul sursă</x:v>
      </x:c>
      <x:c r="I16" s="186" t="n">
        <x:v>46261</x:v>
      </x:c>
      <x:c r="J16" s="185" t="str">
        <x:v>Verifică splitul H/A și fereastra; xG recent/Europa poate avea suprapunere.</x:v>
      </x:c>
      <x:c r="K16" s="175" t="str">
        <x:v>PROXY</x:v>
      </x:c>
      <x:c r="L16" s="172"/>
    </x:row>
    <x:row r="17" ht="42" customHeight="1">
      <x:c r="A17" s="172" t="str">
        <x:v>xG domestic A</x:v>
      </x:c>
      <x:c r="B17" s="172" t="str">
        <x:v>Oaspeți</x:v>
      </x:c>
      <x:c r="C17" s="182" t="n">
        <x:v>1.49</x:v>
      </x:c>
      <x:c r="D17" s="183" t="n">
        <x:v>11</x:v>
      </x:c>
      <x:c r="E17" s="182"/>
      <x:c r="F17" s="183"/>
      <x:c r="G17" s="175" t="str">
        <x:v>AVAILABLE – NOT CHECKED</x:v>
      </x:c>
      <x:c r="H17" s="185" t="str">
        <x:v>FootyStats; referință din exemplul sursă</x:v>
      </x:c>
      <x:c r="I17" s="186" t="n">
        <x:v>46261</x:v>
      </x:c>
      <x:c r="J17" s="185" t="str">
        <x:v>Verifică splitul H/A și fereastra; xG recent/Europa poate avea suprapunere.</x:v>
      </x:c>
      <x:c r="K17" s="175" t="str">
        <x:v>NATIVE</x:v>
      </x:c>
      <x:c r="L17" s="172"/>
    </x:row>
    <x:row r="18" ht="42" customHeight="1">
      <x:c r="A18" s="172" t="str">
        <x:v>xGA domestic H</x:v>
      </x:c>
      <x:c r="B18" s="172" t="str">
        <x:v>Gazde</x:v>
      </x:c>
      <x:c r="C18" s="182" t="n">
        <x:v>1.45</x:v>
      </x:c>
      <x:c r="D18" s="183" t="n">
        <x:v>4</x:v>
      </x:c>
      <x:c r="E18" s="182"/>
      <x:c r="F18" s="183"/>
      <x:c r="G18" s="175" t="str">
        <x:v>AVAILABLE – NOT CHECKED</x:v>
      </x:c>
      <x:c r="H18" s="185" t="str">
        <x:v>FootyStats; referință din exemplul sursă</x:v>
      </x:c>
      <x:c r="I18" s="186" t="n">
        <x:v>46261</x:v>
      </x:c>
      <x:c r="J18" s="185" t="str">
        <x:v>Verifică splitul H/A și fereastra; xG recent/Europa poate avea suprapunere.</x:v>
      </x:c>
      <x:c r="K18" s="175" t="str">
        <x:v>PROXY</x:v>
      </x:c>
      <x:c r="L18" s="172"/>
    </x:row>
    <x:row r="19" ht="42" customHeight="1">
      <x:c r="A19" s="172" t="str">
        <x:v>xGA domestic A</x:v>
      </x:c>
      <x:c r="B19" s="172" t="str">
        <x:v>Oaspeți</x:v>
      </x:c>
      <x:c r="C19" s="182" t="n">
        <x:v>1.17</x:v>
      </x:c>
      <x:c r="D19" s="183" t="n">
        <x:v>11</x:v>
      </x:c>
      <x:c r="E19" s="182"/>
      <x:c r="F19" s="183"/>
      <x:c r="G19" s="175" t="str">
        <x:v>AVAILABLE – NOT CHECKED</x:v>
      </x:c>
      <x:c r="H19" s="185" t="str">
        <x:v>FootyStats; referință din exemplul sursă</x:v>
      </x:c>
      <x:c r="I19" s="186" t="n">
        <x:v>46261</x:v>
      </x:c>
      <x:c r="J19" s="185" t="str">
        <x:v>Verifică splitul H/A și fereastra; xG recent/Europa poate avea suprapunere.</x:v>
      </x:c>
      <x:c r="K19" s="175" t="str">
        <x:v>NATIVE</x:v>
      </x:c>
      <x:c r="L19" s="172"/>
    </x:row>
    <x:row r="20" ht="42" customHeight="1">
      <x:c r="A20" s="172" t="str">
        <x:v>xG recent H</x:v>
      </x:c>
      <x:c r="B20" s="172" t="str">
        <x:v>Gazde</x:v>
      </x:c>
      <x:c r="C20" s="182" t="n">
        <x:v>1.51</x:v>
      </x:c>
      <x:c r="D20" s="183" t="n">
        <x:v>3</x:v>
      </x:c>
      <x:c r="E20" s="182"/>
      <x:c r="F20" s="183"/>
      <x:c r="G20" s="175" t="str">
        <x:v>AVAILABLE – NOT CHECKED</x:v>
      </x:c>
      <x:c r="H20" s="185" t="str">
        <x:v>FootyStats; referință din exemplul sursă</x:v>
      </x:c>
      <x:c r="I20" s="186" t="n">
        <x:v>46261</x:v>
      </x:c>
      <x:c r="J20" s="185" t="str">
        <x:v>ACELAȘI EȘANTION EUROPA</x:v>
      </x:c>
      <x:c r="K20" s="175" t="str">
        <x:v>PROXY</x:v>
      </x:c>
      <x:c r="L20" s="172"/>
    </x:row>
    <x:row r="21" ht="42" customHeight="1">
      <x:c r="A21" s="172" t="str">
        <x:v>xG recent A</x:v>
      </x:c>
      <x:c r="B21" s="172" t="str">
        <x:v>Oaspeți</x:v>
      </x:c>
      <x:c r="C21" s="182" t="n">
        <x:v>1.52</x:v>
      </x:c>
      <x:c r="D21" s="183" t="n">
        <x:v>5</x:v>
      </x:c>
      <x:c r="E21" s="182"/>
      <x:c r="F21" s="183"/>
      <x:c r="G21" s="175" t="str">
        <x:v>AVAILABLE – NOT CHECKED</x:v>
      </x:c>
      <x:c r="H21" s="185" t="str">
        <x:v>FootyStats; referință din exemplul sursă</x:v>
      </x:c>
      <x:c r="I21" s="186" t="n">
        <x:v>46261</x:v>
      </x:c>
      <x:c r="J21" s="185" t="str">
        <x:v>ACELAȘI EȘANTION EUROPA</x:v>
      </x:c>
      <x:c r="K21" s="175" t="str">
        <x:v>PROXY</x:v>
      </x:c>
      <x:c r="L21" s="172"/>
    </x:row>
    <x:row r="22" ht="42" customHeight="1">
      <x:c r="A22" s="172" t="str">
        <x:v>xG Europa H</x:v>
      </x:c>
      <x:c r="B22" s="172" t="str">
        <x:v>Gazde</x:v>
      </x:c>
      <x:c r="C22" s="182" t="n">
        <x:v>1.51</x:v>
      </x:c>
      <x:c r="D22" s="183" t="n">
        <x:v>3</x:v>
      </x:c>
      <x:c r="E22" s="182"/>
      <x:c r="F22" s="183"/>
      <x:c r="G22" s="175" t="str">
        <x:v>AVAILABLE – NOT CHECKED</x:v>
      </x:c>
      <x:c r="H22" s="185" t="str">
        <x:v>FootyStats; referință din exemplul sursă</x:v>
      </x:c>
      <x:c r="I22" s="186" t="n">
        <x:v>46261</x:v>
      </x:c>
      <x:c r="J22" s="185" t="str">
        <x:v>Verifică splitul H/A și fereastra; xG recent/Europa poate avea suprapunere.</x:v>
      </x:c>
      <x:c r="K22" s="175" t="str">
        <x:v>NATIVE</x:v>
      </x:c>
      <x:c r="L22" s="172"/>
    </x:row>
    <x:row r="23" ht="42" customHeight="1">
      <x:c r="A23" s="172" t="str">
        <x:v>xG Europa A</x:v>
      </x:c>
      <x:c r="B23" s="172" t="str">
        <x:v>Oaspeți</x:v>
      </x:c>
      <x:c r="C23" s="182" t="n">
        <x:v>1.52</x:v>
      </x:c>
      <x:c r="D23" s="183" t="n">
        <x:v>5</x:v>
      </x:c>
      <x:c r="E23" s="182"/>
      <x:c r="F23" s="183"/>
      <x:c r="G23" s="175" t="str">
        <x:v>AVAILABLE – NOT CHECKED</x:v>
      </x:c>
      <x:c r="H23" s="185" t="str">
        <x:v>FootyStats; referință din exemplul sursă</x:v>
      </x:c>
      <x:c r="I23" s="186" t="n">
        <x:v>46261</x:v>
      </x:c>
      <x:c r="J23" s="185" t="str">
        <x:v>Verifică splitul H/A și fereastra; xG recent/Europa poate avea suprapunere.</x:v>
      </x:c>
      <x:c r="K23" s="175" t="str">
        <x:v>NATIVE</x:v>
      </x:c>
      <x:c r="L23" s="172"/>
    </x:row>
    <x:row r="24" ht="42" customHeight="1">
      <x:c r="A24" s="172" t="str">
        <x:v>xGA Europa H</x:v>
      </x:c>
      <x:c r="B24" s="172" t="str">
        <x:v>Gazde</x:v>
      </x:c>
      <x:c r="C24" s="182" t="n">
        <x:v>1.89</x:v>
      </x:c>
      <x:c r="D24" s="183" t="n">
        <x:v>3</x:v>
      </x:c>
      <x:c r="E24" s="182"/>
      <x:c r="F24" s="183"/>
      <x:c r="G24" s="175" t="str">
        <x:v>AVAILABLE – NOT CHECKED</x:v>
      </x:c>
      <x:c r="H24" s="185" t="str">
        <x:v>FootyStats; referință din exemplul sursă</x:v>
      </x:c>
      <x:c r="I24" s="186" t="n">
        <x:v>46261</x:v>
      </x:c>
      <x:c r="J24" s="185" t="str">
        <x:v>Verifică splitul H/A și fereastra; xG recent/Europa poate avea suprapunere.</x:v>
      </x:c>
      <x:c r="K24" s="175" t="str">
        <x:v>NATIVE</x:v>
      </x:c>
      <x:c r="L24" s="172"/>
    </x:row>
    <x:row r="25" ht="42" customHeight="1">
      <x:c r="A25" s="172" t="str">
        <x:v>xGA Europa A</x:v>
      </x:c>
      <x:c r="B25" s="172" t="str">
        <x:v>Oaspeți</x:v>
      </x:c>
      <x:c r="C25" s="182" t="n">
        <x:v>1.71</x:v>
      </x:c>
      <x:c r="D25" s="183" t="n">
        <x:v>5</x:v>
      </x:c>
      <x:c r="E25" s="182"/>
      <x:c r="F25" s="183"/>
      <x:c r="G25" s="175" t="str">
        <x:v>AVAILABLE – NOT CHECKED</x:v>
      </x:c>
      <x:c r="H25" s="185" t="str">
        <x:v>FootyStats; referință din exemplul sursă</x:v>
      </x:c>
      <x:c r="I25" s="186" t="n">
        <x:v>46261</x:v>
      </x:c>
      <x:c r="J25" s="185" t="str">
        <x:v>Verifică splitul H/A și fereastra; xG recent/Europa poate avea suprapunere.</x:v>
      </x:c>
      <x:c r="K25" s="175" t="str">
        <x:v>NATIVE</x:v>
      </x:c>
      <x:c r="L25" s="172"/>
    </x:row>
    <x:row r="26" ht="23" customHeight="1">
      <x:c r="A26" s="172"/>
      <x:c r="B26" s="172"/>
      <x:c r="C26" s="172"/>
      <x:c r="D26" s="172"/>
      <x:c r="E26" s="172"/>
      <x:c r="F26" s="172"/>
      <x:c r="G26" s="172"/>
      <x:c r="H26" s="172"/>
      <x:c r="I26" s="172"/>
      <x:c r="J26" s="172"/>
      <x:c r="K26" s="172"/>
      <x:c r="L26" s="172"/>
    </x:row>
    <x:row r="27" ht="23" customHeight="1">
      <x:c r="A27" s="172"/>
      <x:c r="B27" s="172"/>
      <x:c r="C27" s="172"/>
      <x:c r="D27" s="172"/>
      <x:c r="E27" s="172"/>
      <x:c r="F27" s="172"/>
      <x:c r="G27" s="172"/>
      <x:c r="H27" s="172"/>
      <x:c r="I27" s="172"/>
      <x:c r="J27" s="172"/>
      <x:c r="K27" s="172"/>
      <x:c r="L27" s="172"/>
    </x:row>
    <x:row r="28" ht="36" customHeight="1">
      <x:c r="A28" s="181" t="str">
        <x:v>CONTEXT ȘI IPOTEZE</x:v>
      </x:c>
      <x:c r="B28" s="181" t="str">
        <x:v>Valoare</x:v>
      </x:c>
      <x:c r="C28" s="181" t="str">
        <x:v>Data Status</x:v>
      </x:c>
      <x:c r="D28" s="181" t="str">
        <x:v>Sursă / justificare</x:v>
      </x:c>
      <x:c r="E28" s="181" t="str">
        <x:v>Cutoff</x:v>
      </x:c>
      <x:c r="F28" s="181" t="str">
        <x:v>Observație</x:v>
      </x:c>
      <x:c r="G28" s="172"/>
      <x:c r="H28" s="172"/>
      <x:c r="I28" s="172"/>
      <x:c r="J28" s="172"/>
      <x:c r="K28" s="172"/>
      <x:c r="L28" s="172"/>
    </x:row>
    <x:row r="29" ht="23" customHeight="1">
      <x:c r="A29" s="172"/>
      <x:c r="B29" s="172"/>
      <x:c r="C29" s="172"/>
      <x:c r="D29" s="172"/>
      <x:c r="E29" s="172"/>
      <x:c r="F29" s="172"/>
      <x:c r="G29" s="172"/>
      <x:c r="H29" s="172"/>
      <x:c r="I29" s="172"/>
      <x:c r="J29" s="172"/>
      <x:c r="K29" s="172"/>
      <x:c r="L29" s="172"/>
    </x:row>
    <x:row r="30" ht="62" customHeight="1">
      <x:c r="A30" s="172" t="str">
        <x:v>Forță ligă gazde</x:v>
      </x:c>
      <x:c r="B30" s="175" t="n">
        <x:v>1.15</x:v>
      </x:c>
      <x:c r="C30" s="221" t="str">
        <x:v>PRIOR / SHRINKAGE</x:v>
      </x:c>
      <x:c r="D30" s="185" t="str">
        <x:v>Ipoteză moștenită</x:v>
      </x:c>
      <x:c r="E30" s="186"/>
      <x:c r="F30" s="187" t="str">
        <x:v>1,00 în aceeași ligă</x:v>
      </x:c>
      <x:c r="G30" s="187"/>
      <x:c r="H30" s="187"/>
      <x:c r="I30" s="187"/>
      <x:c r="J30" s="187"/>
      <x:c r="K30" s="187"/>
      <x:c r="L30" s="172"/>
    </x:row>
    <x:row r="31" ht="62" customHeight="1">
      <x:c r="A31" s="172" t="str">
        <x:v>Forță ligă oaspeți</x:v>
      </x:c>
      <x:c r="B31" s="175" t="n">
        <x:v>0.85</x:v>
      </x:c>
      <x:c r="C31" s="221" t="str">
        <x:v>PRIOR / SHRINKAGE</x:v>
      </x:c>
      <x:c r="D31" s="185" t="str">
        <x:v>Ipoteză moștenită</x:v>
      </x:c>
      <x:c r="E31" s="186"/>
      <x:c r="F31" s="187" t="str">
        <x:v>1,00 în aceeași ligă</x:v>
      </x:c>
      <x:c r="G31" s="187"/>
      <x:c r="H31" s="187"/>
      <x:c r="I31" s="187"/>
      <x:c r="J31" s="187"/>
      <x:c r="K31" s="187"/>
      <x:c r="L31" s="172"/>
    </x:row>
    <x:row r="32" ht="62" customHeight="1">
      <x:c r="A32" s="172" t="str">
        <x:v>Ajustare context H</x:v>
      </x:c>
      <x:c r="B32" s="184" t="n">
        <x:v>-0.05</x:v>
      </x:c>
      <x:c r="C32" s="221" t="str">
        <x:v>AVAILABLE – NOT CHECKED</x:v>
      </x:c>
      <x:c r="D32" s="185" t="str">
        <x:v>Exemplu istoric</x:v>
      </x:c>
      <x:c r="E32" s="186"/>
      <x:c r="F32" s="187" t="str">
        <x:v>Aplicată numai dacă justificată; altfel 0, cu avertizare G1</x:v>
      </x:c>
      <x:c r="G32" s="187"/>
      <x:c r="H32" s="187"/>
      <x:c r="I32" s="187"/>
      <x:c r="J32" s="187"/>
      <x:c r="K32" s="187"/>
      <x:c r="L32" s="172"/>
    </x:row>
    <x:row r="33" ht="62" customHeight="1">
      <x:c r="A33" s="172" t="str">
        <x:v>Ajustare context A</x:v>
      </x:c>
      <x:c r="B33" s="184" t="n">
        <x:v>-0.1</x:v>
      </x:c>
      <x:c r="C33" s="221" t="str">
        <x:v>AVAILABLE – NOT CHECKED</x:v>
      </x:c>
      <x:c r="D33" s="185" t="str">
        <x:v>Exemplu istoric</x:v>
      </x:c>
      <x:c r="E33" s="186"/>
      <x:c r="F33" s="187" t="str">
        <x:v>Aplicată pe lambda statistic</x:v>
      </x:c>
      <x:c r="G33" s="187"/>
      <x:c r="H33" s="187"/>
      <x:c r="I33" s="187"/>
      <x:c r="J33" s="187"/>
      <x:c r="K33" s="187"/>
      <x:c r="L33" s="172"/>
    </x:row>
    <x:row r="34" ht="62" customHeight="1">
      <x:c r="A34" s="172" t="str">
        <x:v>Ajustare lot H</x:v>
      </x:c>
      <x:c r="B34" s="184" t="n">
        <x:v>-0.03</x:v>
      </x:c>
      <x:c r="C34" s="221" t="str">
        <x:v>PENDING OFFICIAL</x:v>
      </x:c>
      <x:c r="D34" s="185" t="str">
        <x:v>Exemplu istoric</x:v>
      </x:c>
      <x:c r="E34" s="186"/>
      <x:c r="F34" s="187" t="str">
        <x:v>Fără hard fail doar pentru XI nepublicat</x:v>
      </x:c>
      <x:c r="G34" s="187"/>
      <x:c r="H34" s="187"/>
      <x:c r="I34" s="187"/>
      <x:c r="J34" s="187"/>
      <x:c r="K34" s="187"/>
      <x:c r="L34" s="172"/>
    </x:row>
    <x:row r="35" ht="62" customHeight="1">
      <x:c r="A35" s="172" t="str">
        <x:v>Ajustare lot A</x:v>
      </x:c>
      <x:c r="B35" s="184" t="n">
        <x:v>-0.05</x:v>
      </x:c>
      <x:c r="C35" s="221" t="str">
        <x:v>PENDING OFFICIAL</x:v>
      </x:c>
      <x:c r="D35" s="185" t="str">
        <x:v>Exemplu istoric</x:v>
      </x:c>
      <x:c r="E35" s="186"/>
      <x:c r="F35" s="187" t="str">
        <x:v>Refresh înainte de start</x:v>
      </x:c>
      <x:c r="G35" s="187"/>
      <x:c r="H35" s="187"/>
      <x:c r="I35" s="187"/>
      <x:c r="J35" s="187"/>
      <x:c r="K35" s="187"/>
      <x:c r="L35" s="172"/>
    </x:row>
    <x:row r="36" ht="62" customHeight="1">
      <x:c r="A36" s="172" t="str">
        <x:v>Confidence inițial</x:v>
      </x:c>
      <x:c r="B36" s="175" t="n">
        <x:v>76</x:v>
      </x:c>
      <x:c r="C36" s="221" t="str">
        <x:v>PRIOR / SHRINKAGE</x:v>
      </x:c>
      <x:c r="D36" s="185" t="str">
        <x:v>Scor inițial moștenit</x:v>
      </x:c>
      <x:c r="E36" s="186"/>
      <x:c r="F36" s="187" t="str">
        <x:v>Scor de fiabilitate, nu probabilitate</x:v>
      </x:c>
      <x:c r="G36" s="187"/>
      <x:c r="H36" s="187"/>
      <x:c r="I36" s="187"/>
      <x:c r="J36" s="187"/>
      <x:c r="K36" s="187"/>
      <x:c r="L36" s="172"/>
    </x:row>
    <x:row r="37" ht="62" customHeight="1">
      <x:c r="A37" s="172" t="str">
        <x:v>Start de sezon?</x:v>
      </x:c>
      <x:c r="B37" s="175" t="str">
        <x:v>DA</x:v>
      </x:c>
      <x:c r="C37" s="221" t="str">
        <x:v>VERIFIED</x:v>
      </x:c>
      <x:c r="D37" s="185" t="str">
        <x:v>Opțiune de analiză</x:v>
      </x:c>
      <x:c r="E37" s="186"/>
      <x:c r="F37" s="187" t="str">
        <x:v>Penalizarea existentă este 10 puncte</x:v>
      </x:c>
      <x:c r="G37" s="187"/>
      <x:c r="H37" s="187"/>
      <x:c r="I37" s="187"/>
      <x:c r="J37" s="187"/>
      <x:c r="K37" s="187"/>
      <x:c r="L37" s="172"/>
    </x:row>
    <x:row r="38" ht="62" customHeight="1">
      <x:c r="A38" s="172" t="str">
        <x:v>XI / disponibilitate</x:v>
      </x:c>
      <x:c r="B38" s="175" t="str">
        <x:v>PENDING OFFICIAL</x:v>
      </x:c>
      <x:c r="C38" s="223"/>
      <x:c r="D38" s="185" t="str">
        <x:v>Refresh pre-match</x:v>
      </x:c>
      <x:c r="E38" s="186"/>
      <x:c r="F38" s="187" t="str">
        <x:v>Stare normală înainte de XI</x:v>
      </x:c>
      <x:c r="G38" s="187"/>
      <x:c r="H38" s="187"/>
      <x:c r="I38" s="187"/>
      <x:c r="J38" s="187"/>
      <x:c r="K38" s="187"/>
      <x:c r="L38" s="172"/>
    </x:row>
    <x:row r="39" ht="62" customHeight="1">
      <x:c r="A39" s="172" t="str">
        <x:v>Informație lot critică?</x:v>
      </x:c>
      <x:c r="B39" s="175" t="str">
        <x:v>NU</x:v>
      </x:c>
      <x:c r="C39" s="221" t="str">
        <x:v>VERIFIED</x:v>
      </x:c>
      <x:c r="D39" s="185" t="str">
        <x:v>Implicit G1</x:v>
      </x:c>
      <x:c r="E39" s="186"/>
      <x:c r="F39" s="187" t="str">
        <x:v>DA numai cu motiv documentat pentru piața afectată</x:v>
      </x:c>
      <x:c r="G39" s="187"/>
      <x:c r="H39" s="187"/>
      <x:c r="I39" s="187"/>
      <x:c r="J39" s="187"/>
      <x:c r="K39" s="187"/>
      <x:c r="L39" s="172"/>
    </x:row>
    <x:row r="40" ht="62" customHeight="1">
      <x:c r="A40" s="172" t="str">
        <x:v>Motiv critic lot</x:v>
      </x:c>
      <x:c r="B40" s="175"/>
      <x:c r="C40" s="221"/>
      <x:c r="D40" s="185"/>
      <x:c r="E40" s="186"/>
      <x:c r="F40" s="187" t="str">
        <x:v>Obligatoriu dacă rândul anterior este DA</x:v>
      </x:c>
      <x:c r="G40" s="187"/>
      <x:c r="H40" s="187"/>
      <x:c r="I40" s="187"/>
      <x:c r="J40" s="187"/>
      <x:c r="K40" s="187"/>
      <x:c r="L40" s="172"/>
    </x:row>
    <x:row r="41" ht="62" customHeight="1">
      <x:c r="A41" s="172" t="str">
        <x:v>Linie afectată de lot critic</x:v>
      </x:c>
      <x:c r="B41" s="175" t="str">
        <x:v>U4.5</x:v>
      </x:c>
      <x:c r="C41" s="187"/>
      <x:c r="D41" s="187"/>
      <x:c r="E41" s="187"/>
      <x:c r="F41" s="187" t="str">
        <x:v>Folosit numai dacă informația de lot este critică.</x:v>
      </x:c>
      <x:c r="G41" s="187"/>
      <x:c r="H41" s="187"/>
      <x:c r="I41" s="187"/>
      <x:c r="J41" s="187"/>
      <x:c r="K41" s="187"/>
      <x:c r="L41" s="172"/>
    </x:row>
    <x:row r="42" ht="62" customHeight="1">
      <x:c r="A42" s="172" t="str">
        <x:v>Refresh XI planificat</x:v>
      </x:c>
      <x:c r="B42" s="177"/>
      <x:c r="C42" s="187"/>
      <x:c r="D42" s="187"/>
      <x:c r="E42" s="187"/>
      <x:c r="F42" s="187" t="str">
        <x:v>La PENDING OFFICIAL, programează recheck înainte de kickoff.</x:v>
      </x:c>
      <x:c r="G42" s="187"/>
      <x:c r="H42" s="187"/>
      <x:c r="I42" s="187"/>
      <x:c r="J42" s="187"/>
      <x:c r="K42" s="187"/>
      <x:c r="L42" s="172"/>
    </x:row>
    <x:row r="43" ht="23" customHeight="1">
      <x:c r="A43" s="172"/>
      <x:c r="B43" s="172"/>
      <x:c r="C43" s="172"/>
      <x:c r="D43" s="172"/>
      <x:c r="E43" s="172"/>
      <x:c r="F43" s="172"/>
      <x:c r="G43" s="172"/>
      <x:c r="H43" s="172"/>
      <x:c r="I43" s="172"/>
      <x:c r="J43" s="172"/>
      <x:c r="K43" s="172"/>
      <x:c r="L43" s="172"/>
    </x:row>
    <x:row r="44" ht="36" customHeight="1">
      <x:c r="A44" s="181" t="str">
        <x:v>INPUT TAIL</x:v>
      </x:c>
      <x:c r="B44" s="181" t="str">
        <x:v>Unitate</x:v>
      </x:c>
      <x:c r="C44" s="181" t="str">
        <x:v>Valoare curentă</x:v>
      </x:c>
      <x:c r="D44" s="181" t="str">
        <x:v>N curent</x:v>
      </x:c>
      <x:c r="E44" s="181" t="str">
        <x:v>Valoare prior</x:v>
      </x:c>
      <x:c r="F44" s="181" t="str">
        <x:v>N prior</x:v>
      </x:c>
      <x:c r="G44" s="181" t="str">
        <x:v>Data Status</x:v>
      </x:c>
      <x:c r="H44" s="181" t="str">
        <x:v>Sursă / URL</x:v>
      </x:c>
      <x:c r="I44" s="181" t="str">
        <x:v>Cutoff</x:v>
      </x:c>
      <x:c r="J44" s="181" t="str">
        <x:v>Metodă / fereastră</x:v>
      </x:c>
      <x:c r="K44" s="172"/>
      <x:c r="L44" s="172"/>
    </x:row>
    <x:row r="45" ht="36" customHeight="1">
      <x:c r="A45" s="172" t="str">
        <x:v>Liga: rată 5+</x:v>
      </x:c>
      <x:c r="B45" s="172" t="str">
        <x:v>proporție 0–1</x:v>
      </x:c>
      <x:c r="C45" s="184"/>
      <x:c r="D45" s="175"/>
      <x:c r="E45" s="184"/>
      <x:c r="F45" s="175"/>
      <x:c r="G45" s="175" t="str">
        <x:v>AVAILABLE – NOT CHECKED</x:v>
      </x:c>
      <x:c r="H45" s="185"/>
      <x:c r="I45" s="186"/>
      <x:c r="J45" s="185" t="str">
        <x:v>Derivă din istoricul relevant și documentează metoda.</x:v>
      </x:c>
      <x:c r="K45" s="172"/>
      <x:c r="L45" s="172"/>
    </x:row>
    <x:row r="46" ht="36" customHeight="1">
      <x:c r="A46" s="172" t="str">
        <x:v>Gazde H: rată 5+</x:v>
      </x:c>
      <x:c r="B46" s="172" t="str">
        <x:v>proporție 0–1</x:v>
      </x:c>
      <x:c r="C46" s="184"/>
      <x:c r="D46" s="175"/>
      <x:c r="E46" s="184"/>
      <x:c r="F46" s="175"/>
      <x:c r="G46" s="175" t="str">
        <x:v>AVAILABLE – NOT CHECKED</x:v>
      </x:c>
      <x:c r="H46" s="185"/>
      <x:c r="I46" s="186"/>
      <x:c r="J46" s="185" t="str">
        <x:v>Derivă din istoricul relevant și documentează metoda.</x:v>
      </x:c>
      <x:c r="K46" s="172"/>
      <x:c r="L46" s="172"/>
    </x:row>
    <x:row r="47" ht="36" customHeight="1">
      <x:c r="A47" s="172" t="str">
        <x:v>Oaspeți A: rată 5+</x:v>
      </x:c>
      <x:c r="B47" s="172" t="str">
        <x:v>proporție 0–1</x:v>
      </x:c>
      <x:c r="C47" s="184"/>
      <x:c r="D47" s="175"/>
      <x:c r="E47" s="184"/>
      <x:c r="F47" s="175"/>
      <x:c r="G47" s="175" t="str">
        <x:v>AVAILABLE – NOT CHECKED</x:v>
      </x:c>
      <x:c r="H47" s="185"/>
      <x:c r="I47" s="186"/>
      <x:c r="J47" s="185" t="str">
        <x:v>Derivă din istoricul relevant și documentează metoda.</x:v>
      </x:c>
      <x:c r="K47" s="172"/>
      <x:c r="L47" s="172"/>
    </x:row>
    <x:row r="48" ht="36" customHeight="1">
      <x:c r="A48" s="172" t="str">
        <x:v>Gazde: rată 4+ marcate</x:v>
      </x:c>
      <x:c r="B48" s="172" t="str">
        <x:v>proporție 0–1</x:v>
      </x:c>
      <x:c r="C48" s="184"/>
      <x:c r="D48" s="175"/>
      <x:c r="E48" s="184"/>
      <x:c r="F48" s="175"/>
      <x:c r="G48" s="175" t="str">
        <x:v>AVAILABLE – NOT CHECKED</x:v>
      </x:c>
      <x:c r="H48" s="185"/>
      <x:c r="I48" s="186"/>
      <x:c r="J48" s="185" t="str">
        <x:v>Derivă din istoricul relevant și documentează metoda.</x:v>
      </x:c>
      <x:c r="K48" s="172"/>
      <x:c r="L48" s="172"/>
    </x:row>
    <x:row r="49" ht="36" customHeight="1">
      <x:c r="A49" s="172" t="str">
        <x:v>Oaspeți: rată 4+ marcate</x:v>
      </x:c>
      <x:c r="B49" s="172" t="str">
        <x:v>proporție 0–1</x:v>
      </x:c>
      <x:c r="C49" s="184"/>
      <x:c r="D49" s="175"/>
      <x:c r="E49" s="184"/>
      <x:c r="F49" s="175"/>
      <x:c r="G49" s="175" t="str">
        <x:v>AVAILABLE – NOT CHECKED</x:v>
      </x:c>
      <x:c r="H49" s="185"/>
      <x:c r="I49" s="186"/>
      <x:c r="J49" s="185" t="str">
        <x:v>Derivă din istoricul relevant și documentează metoda.</x:v>
      </x:c>
      <x:c r="K49" s="172"/>
      <x:c r="L49" s="172"/>
    </x:row>
    <x:row r="50" ht="36" customHeight="1">
      <x:c r="A50" s="172" t="str">
        <x:v>Gazde: rată 3+ primite</x:v>
      </x:c>
      <x:c r="B50" s="172" t="str">
        <x:v>proporție 0–1</x:v>
      </x:c>
      <x:c r="C50" s="184"/>
      <x:c r="D50" s="175"/>
      <x:c r="E50" s="184"/>
      <x:c r="F50" s="175"/>
      <x:c r="G50" s="175" t="str">
        <x:v>AVAILABLE – NOT CHECKED</x:v>
      </x:c>
      <x:c r="H50" s="185"/>
      <x:c r="I50" s="186"/>
      <x:c r="J50" s="185" t="str">
        <x:v>Derivă din istoricul relevant și documentează metoda.</x:v>
      </x:c>
      <x:c r="K50" s="172"/>
      <x:c r="L50" s="172"/>
    </x:row>
    <x:row r="51" ht="36" customHeight="1">
      <x:c r="A51" s="172" t="str">
        <x:v>Oaspeți: rată 3+ primite</x:v>
      </x:c>
      <x:c r="B51" s="172" t="str">
        <x:v>proporție 0–1</x:v>
      </x:c>
      <x:c r="C51" s="184"/>
      <x:c r="D51" s="175"/>
      <x:c r="E51" s="184"/>
      <x:c r="F51" s="175"/>
      <x:c r="G51" s="175" t="str">
        <x:v>AVAILABLE – NOT CHECKED</x:v>
      </x:c>
      <x:c r="H51" s="185"/>
      <x:c r="I51" s="186"/>
      <x:c r="J51" s="185" t="str">
        <x:v>Derivă din istoricul relevant și documentează metoda.</x:v>
      </x:c>
      <x:c r="K51" s="172"/>
      <x:c r="L51" s="172"/>
    </x:row>
    <x:row r="52" ht="36" customHeight="1">
      <x:c r="A52" s="172" t="str">
        <x:v>Volatilitate defensivă</x:v>
      </x:c>
      <x:c r="B52" s="172" t="str">
        <x:v>scor 0–100</x:v>
      </x:c>
      <x:c r="C52" s="175"/>
      <x:c r="D52" s="175"/>
      <x:c r="E52" s="175"/>
      <x:c r="F52" s="175"/>
      <x:c r="G52" s="175" t="str">
        <x:v>AVAILABLE – NOT CHECKED</x:v>
      </x:c>
      <x:c r="H52" s="185"/>
      <x:c r="I52" s="186"/>
      <x:c r="J52" s="185" t="str">
        <x:v>Derivă din istoricul relevant și documentează metoda.</x:v>
      </x:c>
      <x:c r="K52" s="172"/>
      <x:c r="L52" s="172"/>
    </x:row>
    <x:row r="53" ht="36" customHeight="1">
      <x:c r="A53" s="172" t="str">
        <x:v>Context haotic</x:v>
      </x:c>
      <x:c r="B53" s="172" t="str">
        <x:v>scor 0–100</x:v>
      </x:c>
      <x:c r="C53" s="175"/>
      <x:c r="D53" s="175"/>
      <x:c r="E53" s="175"/>
      <x:c r="F53" s="175"/>
      <x:c r="G53" s="175" t="str">
        <x:v>AVAILABLE – NOT CHECKED</x:v>
      </x:c>
      <x:c r="H53" s="185"/>
      <x:c r="I53" s="186"/>
      <x:c r="J53" s="185" t="str">
        <x:v>Derivă din istoricul relevant și documentează metoda.</x:v>
      </x:c>
      <x:c r="K53" s="172"/>
      <x:c r="L53" s="172"/>
    </x:row>
    <x:row r="54" ht="23" customHeight="1">
      <x:c r="A54" s="172"/>
      <x:c r="B54" s="172"/>
      <x:c r="C54" s="172"/>
      <x:c r="D54" s="172"/>
      <x:c r="E54" s="172"/>
      <x:c r="F54" s="172"/>
      <x:c r="G54" s="172"/>
      <x:c r="H54" s="172"/>
      <x:c r="I54" s="172"/>
      <x:c r="J54" s="172"/>
      <x:c r="K54" s="172"/>
      <x:c r="L54" s="172"/>
    </x:row>
    <x:row r="55" ht="23" customHeight="1">
      <x:c r="A55" s="172"/>
      <x:c r="B55" s="172"/>
      <x:c r="C55" s="172"/>
      <x:c r="D55" s="172"/>
      <x:c r="E55" s="172"/>
      <x:c r="F55" s="172"/>
      <x:c r="G55" s="172"/>
      <x:c r="H55" s="172"/>
      <x:c r="I55" s="172"/>
      <x:c r="J55" s="172"/>
      <x:c r="K55" s="172"/>
      <x:c r="L55" s="172"/>
    </x:row>
    <x:row r="56" ht="23" customHeight="1">
      <x:c r="A56" s="172"/>
      <x:c r="B56" s="172"/>
      <x:c r="C56" s="172"/>
      <x:c r="D56" s="172"/>
      <x:c r="E56" s="172"/>
      <x:c r="F56" s="172"/>
      <x:c r="G56" s="172"/>
      <x:c r="H56" s="172"/>
      <x:c r="I56" s="172"/>
      <x:c r="J56" s="172"/>
      <x:c r="K56" s="172"/>
      <x:c r="L56" s="172"/>
    </x:row>
    <x:row r="57" ht="36" customHeight="1">
      <x:c r="A57" s="181" t="str">
        <x:v>COTE INDEPENDENTE DE ANALIZA TEHNICĂ</x:v>
      </x:c>
      <x:c r="B57" s="181" t="str">
        <x:v>Cotă</x:v>
      </x:c>
      <x:c r="C57" s="172"/>
      <x:c r="D57" s="172"/>
      <x:c r="E57" s="172"/>
      <x:c r="F57" s="172"/>
      <x:c r="G57" s="172"/>
      <x:c r="H57" s="172"/>
      <x:c r="I57" s="172"/>
      <x:c r="J57" s="172"/>
      <x:c r="K57" s="172"/>
      <x:c r="L57" s="172"/>
    </x:row>
    <x:row r="58" ht="23" customHeight="1">
      <x:c r="A58" s="172" t="str">
        <x:v>U3.5</x:v>
      </x:c>
      <x:c r="B58" s="182"/>
      <x:c r="C58" s="172"/>
      <x:c r="D58" s="172"/>
      <x:c r="E58" s="172"/>
      <x:c r="F58" s="172"/>
      <x:c r="G58" s="172"/>
      <x:c r="H58" s="172"/>
      <x:c r="I58" s="172"/>
      <x:c r="J58" s="172"/>
      <x:c r="K58" s="172"/>
      <x:c r="L58" s="172"/>
    </x:row>
    <x:row r="59" ht="23" customHeight="1">
      <x:c r="A59" s="172" t="str">
        <x:v>U4.5</x:v>
      </x:c>
      <x:c r="B59" s="182" t="n">
        <x:v>1.08</x:v>
      </x:c>
      <x:c r="C59" s="172"/>
      <x:c r="D59" s="172"/>
      <x:c r="E59" s="172"/>
      <x:c r="F59" s="172"/>
      <x:c r="G59" s="172"/>
      <x:c r="H59" s="172"/>
      <x:c r="I59" s="172"/>
      <x:c r="J59" s="172"/>
      <x:c r="K59" s="172"/>
      <x:c r="L59" s="172"/>
    </x:row>
    <x:row r="60" ht="23" customHeight="1">
      <x:c r="A60" s="172" t="str">
        <x:v>U5.5</x:v>
      </x:c>
      <x:c r="B60" s="182"/>
      <x:c r="C60" s="172"/>
      <x:c r="D60" s="172"/>
      <x:c r="E60" s="172"/>
      <x:c r="F60" s="172"/>
      <x:c r="G60" s="172"/>
      <x:c r="H60" s="172"/>
      <x:c r="I60" s="172"/>
      <x:c r="J60" s="172"/>
      <x:c r="K60" s="172"/>
      <x:c r="L60" s="172"/>
    </x:row>
    <x:row r="61" ht="23" customHeight="1">
      <x:c r="A61" s="172" t="str">
        <x:v>1</x:v>
      </x:c>
      <x:c r="B61" s="182" t="n">
        <x:v>1.25</x:v>
      </x:c>
      <x:c r="C61" s="172"/>
      <x:c r="D61" s="172"/>
      <x:c r="E61" s="172"/>
      <x:c r="F61" s="172"/>
      <x:c r="G61" s="172"/>
      <x:c r="H61" s="172"/>
      <x:c r="I61" s="172"/>
      <x:c r="J61" s="172"/>
      <x:c r="K61" s="172"/>
      <x:c r="L61" s="172"/>
    </x:row>
    <x:row r="62" ht="23" customHeight="1">
      <x:c r="A62" s="172" t="str">
        <x:v>X</x:v>
      </x:c>
      <x:c r="B62" s="182" t="n">
        <x:v>6</x:v>
      </x:c>
      <x:c r="C62" s="172"/>
      <x:c r="D62" s="172"/>
      <x:c r="E62" s="172"/>
      <x:c r="F62" s="172"/>
      <x:c r="G62" s="172"/>
      <x:c r="H62" s="172"/>
      <x:c r="I62" s="172"/>
      <x:c r="J62" s="172"/>
      <x:c r="K62" s="172"/>
      <x:c r="L62" s="172"/>
    </x:row>
    <x:row r="63" ht="23" customHeight="1">
      <x:c r="A63" s="172" t="str">
        <x:v>2</x:v>
      </x:c>
      <x:c r="B63" s="182" t="n">
        <x:v>11</x:v>
      </x:c>
      <x:c r="C63" s="172"/>
      <x:c r="D63" s="172"/>
      <x:c r="E63" s="172"/>
      <x:c r="F63" s="172"/>
      <x:c r="G63" s="172"/>
      <x:c r="H63" s="172"/>
      <x:c r="I63" s="172"/>
      <x:c r="J63" s="172"/>
      <x:c r="K63" s="172"/>
      <x:c r="L63" s="172"/>
    </x:row>
    <x:row r="64" ht="23" customHeight="1">
      <x:c r="A64" s="172"/>
      <x:c r="B64" s="172"/>
      <x:c r="C64" s="172"/>
      <x:c r="D64" s="172"/>
      <x:c r="E64" s="172"/>
      <x:c r="F64" s="172"/>
      <x:c r="G64" s="172"/>
      <x:c r="H64" s="172"/>
      <x:c r="I64" s="172"/>
      <x:c r="J64" s="172"/>
      <x:c r="K64" s="172"/>
      <x:c r="L64" s="172"/>
    </x:row>
    <x:row r="65" ht="23" customHeight="1">
      <x:c r="A65" s="172"/>
      <x:c r="B65" s="172"/>
      <x:c r="C65" s="172"/>
      <x:c r="D65" s="172"/>
      <x:c r="E65" s="172"/>
      <x:c r="F65" s="172"/>
      <x:c r="G65" s="172"/>
      <x:c r="H65" s="172"/>
      <x:c r="I65" s="172"/>
      <x:c r="J65" s="172"/>
      <x:c r="K65" s="172"/>
      <x:c r="L65" s="172"/>
    </x:row>
    <x:row r="66" ht="23" customHeight="1">
      <x:c r="A66" s="172" t="str">
        <x:v>N este numărul de meciuri. Priorul se completează numai cu istoric justificat. Nu introduce zero pentru o valoare necunoscută.</x:v>
      </x:c>
      <x:c r="B66" s="172"/>
      <x:c r="C66" s="172"/>
      <x:c r="D66" s="172"/>
      <x:c r="E66" s="172"/>
      <x:c r="F66" s="172"/>
      <x:c r="G66" s="172"/>
      <x:c r="H66" s="172"/>
      <x:c r="I66" s="172"/>
      <x:c r="J66" s="172"/>
      <x:c r="K66" s="172"/>
      <x:c r="L66" s="172"/>
    </x:row>
    <x:row r="67" ht="23" customHeight="1">
      <x:c r="A67" s="172"/>
      <x:c r="B67" s="172"/>
      <x:c r="C67" s="172"/>
      <x:c r="D67" s="172"/>
      <x:c r="E67" s="172"/>
      <x:c r="F67" s="172"/>
      <x:c r="G67" s="172"/>
      <x:c r="H67" s="172"/>
      <x:c r="I67" s="172"/>
      <x:c r="J67" s="172"/>
      <x:c r="K67" s="172"/>
      <x:c r="L67" s="172"/>
    </x:row>
    <x:row r="68" ht="23" customHeight="1">
      <x:c r="A68" s="172"/>
      <x:c r="B68" s="172"/>
      <x:c r="C68" s="172"/>
      <x:c r="D68" s="172"/>
      <x:c r="E68" s="172"/>
      <x:c r="F68" s="172"/>
      <x:c r="G68" s="172"/>
      <x:c r="H68" s="172"/>
      <x:c r="I68" s="172"/>
      <x:c r="J68" s="172"/>
      <x:c r="K68" s="172"/>
      <x:c r="L68" s="172"/>
    </x:row>
    <x:row r="69" ht="36" customHeight="1">
      <x:c r="A69" s="181" t="str">
        <x:v>P5 EMPIRIC OPȚIONAL</x:v>
      </x:c>
      <x:c r="B69" s="181" t="str">
        <x:v>Segment</x:v>
      </x:c>
      <x:c r="C69" s="181" t="str">
        <x:v>P5 curent</x:v>
      </x:c>
      <x:c r="D69" s="181" t="str">
        <x:v>N curent</x:v>
      </x:c>
      <x:c r="E69" s="181" t="str">
        <x:v>P5 prior</x:v>
      </x:c>
      <x:c r="F69" s="181" t="str">
        <x:v>N prior</x:v>
      </x:c>
      <x:c r="G69" s="181" t="str">
        <x:v>Data Status</x:v>
      </x:c>
      <x:c r="H69" s="181" t="str">
        <x:v>Sursă / URL</x:v>
      </x:c>
      <x:c r="I69" s="181" t="str">
        <x:v>Cutoff</x:v>
      </x:c>
      <x:c r="J69" s="181" t="str">
        <x:v>Metodă</x:v>
      </x:c>
      <x:c r="K69" s="172"/>
      <x:c r="L69" s="172"/>
    </x:row>
    <x:row r="70" ht="23" customHeight="1">
      <x:c r="A70" s="172" t="str">
        <x:v>League/match profile</x:v>
      </x:c>
      <x:c r="B70" s="172" t="str">
        <x:v>exact 5</x:v>
      </x:c>
      <x:c r="C70" s="184"/>
      <x:c r="D70" s="175"/>
      <x:c r="E70" s="184"/>
      <x:c r="F70" s="175"/>
      <x:c r="G70" s="175" t="str">
        <x:v>AVAILABLE – NOT CHECKED</x:v>
      </x:c>
      <x:c r="H70" s="175"/>
      <x:c r="I70" s="177"/>
      <x:c r="J70" s="175" t="str">
        <x:v>Segment diagnostic; nu cumula eșantioane suprapuse.</x:v>
      </x:c>
      <x:c r="K70" s="172"/>
      <x:c r="L70" s="172"/>
    </x:row>
    <x:row r="71" ht="23" customHeight="1">
      <x:c r="A71" s="172" t="str">
        <x:v>Favorite team tail</x:v>
      </x:c>
      <x:c r="B71" s="172" t="str">
        <x:v>exact 5</x:v>
      </x:c>
      <x:c r="C71" s="184"/>
      <x:c r="D71" s="175"/>
      <x:c r="E71" s="184"/>
      <x:c r="F71" s="175"/>
      <x:c r="G71" s="175" t="str">
        <x:v>AVAILABLE – NOT CHECKED</x:v>
      </x:c>
      <x:c r="H71" s="175"/>
      <x:c r="I71" s="177"/>
      <x:c r="J71" s="175" t="str">
        <x:v>Segment diagnostic; nu cumula eșantioane suprapuse.</x:v>
      </x:c>
      <x:c r="K71" s="172"/>
      <x:c r="L71" s="172"/>
    </x:row>
    <x:row r="72" ht="23" customHeight="1">
      <x:c r="A72" s="172" t="str">
        <x:v>Opponent defensive collapse</x:v>
      </x:c>
      <x:c r="B72" s="172" t="str">
        <x:v>exact 5</x:v>
      </x:c>
      <x:c r="C72" s="184"/>
      <x:c r="D72" s="175"/>
      <x:c r="E72" s="184"/>
      <x:c r="F72" s="175"/>
      <x:c r="G72" s="175" t="str">
        <x:v>AVAILABLE – NOT CHECKED</x:v>
      </x:c>
      <x:c r="H72" s="175"/>
      <x:c r="I72" s="177"/>
      <x:c r="J72" s="175" t="str">
        <x:v>Segment diagnostic; nu cumula eșantioane suprapuse.</x:v>
      </x:c>
      <x:c r="K72" s="172"/>
      <x:c r="L72" s="172"/>
    </x:row>
    <x:row r="73" ht="23" customHeight="1">
      <x:c r="A73" s="172" t="str">
        <x:v>Recent L10</x:v>
      </x:c>
      <x:c r="B73" s="172" t="str">
        <x:v>exact 5</x:v>
      </x:c>
      <x:c r="C73" s="184"/>
      <x:c r="D73" s="175"/>
      <x:c r="E73" s="184"/>
      <x:c r="F73" s="175"/>
      <x:c r="G73" s="175" t="str">
        <x:v>AVAILABLE – NOT CHECKED</x:v>
      </x:c>
      <x:c r="H73" s="175"/>
      <x:c r="I73" s="177"/>
      <x:c r="J73" s="175" t="str">
        <x:v>Segment diagnostic; nu cumula eșantioane suprapuse.</x:v>
      </x:c>
      <x:c r="K73" s="172"/>
      <x:c r="L73" s="172"/>
    </x:row>
    <x:row r="74" ht="23" customHeight="1">
      <x:c r="A74" s="172"/>
      <x:c r="B74" s="172"/>
      <x:c r="C74" s="172"/>
      <x:c r="D74" s="172"/>
      <x:c r="E74" s="172"/>
      <x:c r="F74" s="172"/>
      <x:c r="G74" s="172"/>
      <x:c r="H74" s="172"/>
      <x:c r="I74" s="172"/>
      <x:c r="J74" s="172"/>
      <x:c r="K74" s="172"/>
      <x:c r="L74" s="172"/>
    </x:row>
    <x:row r="75" ht="23" customHeight="1">
      <x:c r="A75" s="172"/>
      <x:c r="B75" s="172"/>
      <x:c r="C75" s="172"/>
      <x:c r="D75" s="172"/>
      <x:c r="E75" s="172"/>
      <x:c r="F75" s="172"/>
      <x:c r="G75" s="172"/>
      <x:c r="H75" s="172"/>
      <x:c r="I75" s="172"/>
      <x:c r="J75" s="172"/>
      <x:c r="K75" s="172"/>
      <x:c r="L75" s="172"/>
    </x:row>
    <x:row r="76" ht="23" customHeight="1">
      <x:c r="A76" s="172" t="str">
        <x:v>Segment empiric utilizat</x:v>
      </x:c>
      <x:c r="B76" s="175" t="str">
        <x:v>League/match profile</x:v>
      </x:c>
      <x:c r="C76" s="172"/>
      <x:c r="D76" s="172"/>
      <x:c r="E76" s="172"/>
      <x:c r="F76" s="172"/>
      <x:c r="G76" s="172"/>
      <x:c r="H76" s="172"/>
      <x:c r="I76" s="172"/>
      <x:c r="J76" s="172"/>
      <x:c r="K76" s="172"/>
      <x:c r="L76" s="172"/>
    </x:row>
    <x:row r="77" ht="23" customHeight="1">
      <x:c r="A77" s="172"/>
      <x:c r="B77" s="172"/>
      <x:c r="C77" s="172"/>
      <x:c r="D77" s="172"/>
      <x:c r="E77" s="172"/>
      <x:c r="F77" s="172"/>
      <x:c r="G77" s="172"/>
      <x:c r="H77" s="172"/>
      <x:c r="I77" s="172"/>
      <x:c r="J77" s="172"/>
      <x:c r="K77" s="172"/>
      <x:c r="L77" s="172"/>
    </x:row>
    <x:row r="78" ht="23" customHeight="1">
      <x:c r="A78" s="172"/>
      <x:c r="B78" s="172"/>
      <x:c r="C78" s="172"/>
      <x:c r="D78" s="172"/>
      <x:c r="E78" s="172"/>
      <x:c r="F78" s="172"/>
      <x:c r="G78" s="172"/>
      <x:c r="H78" s="172"/>
      <x:c r="I78" s="172"/>
      <x:c r="J78" s="172"/>
      <x:c r="K78" s="172"/>
      <x:c r="L78" s="172"/>
    </x:row>
    <x:row r="79" ht="23" customHeight="1">
      <x:c r="A79" s="172"/>
      <x:c r="B79" s="172"/>
      <x:c r="C79" s="172"/>
      <x:c r="D79" s="172"/>
      <x:c r="E79" s="172"/>
      <x:c r="F79" s="172"/>
      <x:c r="G79" s="172"/>
      <x:c r="H79" s="172"/>
      <x:c r="I79" s="172"/>
      <x:c r="J79" s="172"/>
      <x:c r="K79" s="172"/>
      <x:c r="L79" s="172"/>
    </x:row>
    <x:row r="80" ht="23" customHeight="1">
      <x:c r="A80" s="172"/>
      <x:c r="B80" s="172"/>
      <x:c r="C80" s="172"/>
      <x:c r="D80" s="172"/>
      <x:c r="E80" s="172"/>
      <x:c r="F80" s="172"/>
      <x:c r="G80" s="172"/>
      <x:c r="H80" s="172"/>
      <x:c r="I80" s="172"/>
      <x:c r="J80" s="172"/>
      <x:c r="K80" s="172"/>
      <x:c r="L80" s="172"/>
    </x:row>
    <x:row r="81" ht="23" customHeight="1">
      <x:c r="A81" s="172"/>
      <x:c r="B81" s="172"/>
      <x:c r="C81" s="172"/>
      <x:c r="D81" s="172"/>
      <x:c r="E81" s="172"/>
      <x:c r="F81" s="172"/>
      <x:c r="G81" s="172"/>
      <x:c r="H81" s="172"/>
      <x:c r="I81" s="172"/>
      <x:c r="J81" s="172"/>
      <x:c r="K81" s="172"/>
      <x:c r="L81" s="172"/>
    </x:row>
    <x:row r="82" ht="23" customHeight="1">
      <x:c r="A82" s="172"/>
      <x:c r="B82" s="172"/>
      <x:c r="C82" s="172"/>
      <x:c r="D82" s="172"/>
      <x:c r="E82" s="172"/>
      <x:c r="F82" s="172"/>
      <x:c r="G82" s="172"/>
      <x:c r="H82" s="172"/>
      <x:c r="I82" s="172"/>
      <x:c r="J82" s="172"/>
      <x:c r="K82" s="172"/>
      <x:c r="L82" s="172"/>
    </x:row>
    <x:row r="83" ht="23" customHeight="1">
      <x:c r="A83" s="172"/>
      <x:c r="B83" s="172"/>
      <x:c r="C83" s="172"/>
      <x:c r="D83" s="172"/>
      <x:c r="E83" s="172"/>
      <x:c r="F83" s="172"/>
      <x:c r="G83" s="172"/>
      <x:c r="H83" s="172"/>
      <x:c r="I83" s="172"/>
      <x:c r="J83" s="172"/>
      <x:c r="K83" s="172"/>
      <x:c r="L83" s="172"/>
    </x:row>
    <x:row r="84" ht="23" customHeight="1">
      <x:c r="A84" s="172"/>
      <x:c r="B84" s="172"/>
      <x:c r="C84" s="172"/>
      <x:c r="D84" s="172"/>
      <x:c r="E84" s="172"/>
      <x:c r="F84" s="172"/>
      <x:c r="G84" s="172"/>
      <x:c r="H84" s="172"/>
      <x:c r="I84" s="172"/>
      <x:c r="J84" s="172"/>
      <x:c r="K84" s="172"/>
      <x:c r="L84" s="172"/>
    </x:row>
    <x:row r="85" ht="23" customHeight="1">
      <x:c r="A85" s="172"/>
      <x:c r="B85" s="172"/>
      <x:c r="C85" s="172"/>
      <x:c r="D85" s="172"/>
      <x:c r="E85" s="172"/>
      <x:c r="F85" s="172"/>
      <x:c r="G85" s="172"/>
      <x:c r="H85" s="172"/>
      <x:c r="I85" s="172"/>
      <x:c r="J85" s="172"/>
      <x:c r="K85" s="172"/>
      <x:c r="L85" s="172"/>
    </x:row>
    <x:row r="86" ht="23" customHeight="1">
      <x:c r="A86" s="172"/>
      <x:c r="B86" s="172"/>
      <x:c r="C86" s="172"/>
      <x:c r="D86" s="172"/>
      <x:c r="E86" s="172"/>
      <x:c r="F86" s="172"/>
      <x:c r="G86" s="172"/>
      <x:c r="H86" s="172"/>
      <x:c r="I86" s="172"/>
      <x:c r="J86" s="172"/>
      <x:c r="K86" s="172"/>
      <x:c r="L86" s="172"/>
    </x:row>
    <x:row r="87" ht="23" customHeight="1">
      <x:c r="A87" s="172"/>
      <x:c r="B87" s="172"/>
      <x:c r="C87" s="172"/>
      <x:c r="D87" s="172"/>
      <x:c r="E87" s="172"/>
      <x:c r="F87" s="172"/>
      <x:c r="G87" s="172"/>
      <x:c r="H87" s="172"/>
      <x:c r="I87" s="172"/>
      <x:c r="J87" s="172"/>
      <x:c r="K87" s="172"/>
      <x:c r="L87" s="172"/>
    </x:row>
    <x:row r="88" ht="23" customHeight="1">
      <x:c r="A88" s="172"/>
      <x:c r="B88" s="172"/>
      <x:c r="C88" s="172"/>
      <x:c r="D88" s="172"/>
      <x:c r="E88" s="172"/>
      <x:c r="F88" s="172"/>
      <x:c r="G88" s="172"/>
      <x:c r="H88" s="172"/>
      <x:c r="I88" s="172"/>
      <x:c r="J88" s="172"/>
      <x:c r="K88" s="172"/>
      <x:c r="L88" s="172"/>
    </x:row>
    <x:row r="89" ht="23" customHeight="1">
      <x:c r="A89" s="172"/>
      <x:c r="B89" s="172"/>
      <x:c r="C89" s="172"/>
      <x:c r="D89" s="172"/>
      <x:c r="E89" s="172"/>
      <x:c r="F89" s="172"/>
      <x:c r="G89" s="172"/>
      <x:c r="H89" s="172"/>
      <x:c r="I89" s="172"/>
      <x:c r="J89" s="172"/>
      <x:c r="K89" s="172"/>
      <x:c r="L89" s="172"/>
    </x:row>
    <x:row r="90" ht="23" customHeight="1">
      <x:c r="A90" s="172"/>
      <x:c r="B90" s="172"/>
      <x:c r="C90" s="172"/>
      <x:c r="D90" s="172"/>
      <x:c r="E90" s="172"/>
      <x:c r="F90" s="172"/>
      <x:c r="G90" s="172"/>
      <x:c r="H90" s="172"/>
      <x:c r="I90" s="172"/>
      <x:c r="J90" s="172"/>
      <x:c r="K90" s="172"/>
      <x:c r="L90" s="172"/>
    </x:row>
    <x:row r="91" ht="23" customHeight="1">
      <x:c r="A91" s="172"/>
      <x:c r="B91" s="172"/>
      <x:c r="C91" s="172"/>
      <x:c r="D91" s="172"/>
      <x:c r="E91" s="172"/>
      <x:c r="F91" s="172"/>
      <x:c r="G91" s="172"/>
      <x:c r="H91" s="172"/>
      <x:c r="I91" s="172"/>
      <x:c r="J91" s="172"/>
      <x:c r="K91" s="172"/>
      <x:c r="L91" s="172"/>
    </x:row>
    <x:row r="92" ht="23" customHeight="1">
      <x:c r="A92" s="172"/>
      <x:c r="B92" s="172"/>
      <x:c r="C92" s="172"/>
      <x:c r="D92" s="172"/>
      <x:c r="E92" s="172"/>
      <x:c r="F92" s="172"/>
      <x:c r="G92" s="172"/>
      <x:c r="H92" s="172"/>
      <x:c r="I92" s="172"/>
      <x:c r="J92" s="172"/>
      <x:c r="K92" s="172"/>
      <x:c r="L92" s="172"/>
    </x:row>
    <x:row r="93" ht="23" customHeight="1">
      <x:c r="A93" s="172"/>
      <x:c r="B93" s="172"/>
      <x:c r="C93" s="172"/>
      <x:c r="D93" s="172"/>
      <x:c r="E93" s="172"/>
      <x:c r="F93" s="172"/>
      <x:c r="G93" s="172"/>
      <x:c r="H93" s="172"/>
      <x:c r="I93" s="172"/>
      <x:c r="J93" s="172"/>
      <x:c r="K93" s="172"/>
      <x:c r="L93" s="172"/>
    </x:row>
    <x:row r="94" ht="23" customHeight="1">
      <x:c r="A94" s="172"/>
      <x:c r="B94" s="172"/>
      <x:c r="C94" s="172"/>
      <x:c r="D94" s="172"/>
      <x:c r="E94" s="172"/>
      <x:c r="F94" s="172"/>
      <x:c r="G94" s="172"/>
      <x:c r="H94" s="172"/>
      <x:c r="I94" s="172"/>
      <x:c r="J94" s="172"/>
      <x:c r="K94" s="172"/>
      <x:c r="L94" s="172"/>
    </x:row>
    <x:row r="95" ht="23" customHeight="1">
      <x:c r="A95" s="172"/>
      <x:c r="B95" s="172"/>
      <x:c r="C95" s="172"/>
      <x:c r="D95" s="172"/>
      <x:c r="E95" s="172"/>
      <x:c r="F95" s="172"/>
      <x:c r="G95" s="172"/>
      <x:c r="H95" s="172"/>
      <x:c r="I95" s="172"/>
      <x:c r="J95" s="172"/>
      <x:c r="K95" s="172"/>
      <x:c r="L95" s="172"/>
    </x:row>
    <x:row r="96" ht="23" customHeight="1">
      <x:c r="A96" s="172"/>
      <x:c r="B96" s="172"/>
      <x:c r="C96" s="172"/>
      <x:c r="D96" s="172"/>
      <x:c r="E96" s="172"/>
      <x:c r="F96" s="172"/>
      <x:c r="G96" s="172"/>
      <x:c r="H96" s="172"/>
      <x:c r="I96" s="172"/>
      <x:c r="J96" s="172"/>
      <x:c r="K96" s="172"/>
      <x:c r="L96" s="172"/>
    </x:row>
    <x:row r="97" ht="23" customHeight="1">
      <x:c r="A97" s="172"/>
      <x:c r="B97" s="172"/>
      <x:c r="C97" s="172"/>
      <x:c r="D97" s="172"/>
      <x:c r="E97" s="172"/>
      <x:c r="F97" s="172"/>
      <x:c r="G97" s="172"/>
      <x:c r="H97" s="172"/>
      <x:c r="I97" s="172"/>
      <x:c r="J97" s="172"/>
      <x:c r="K97" s="172"/>
      <x:c r="L97" s="172"/>
    </x:row>
    <x:row r="98" ht="23" customHeight="1">
      <x:c r="A98" s="172"/>
      <x:c r="B98" s="172"/>
      <x:c r="C98" s="172"/>
      <x:c r="D98" s="172"/>
      <x:c r="E98" s="172"/>
      <x:c r="F98" s="172"/>
      <x:c r="G98" s="172"/>
      <x:c r="H98" s="172"/>
      <x:c r="I98" s="172"/>
      <x:c r="J98" s="172"/>
      <x:c r="K98" s="172"/>
      <x:c r="L98" s="172"/>
    </x:row>
    <x:row r="99" ht="23" customHeight="1">
      <x:c r="A99" s="172"/>
      <x:c r="B99" s="172"/>
      <x:c r="C99" s="172"/>
      <x:c r="D99" s="172"/>
      <x:c r="E99" s="172"/>
      <x:c r="F99" s="172"/>
      <x:c r="G99" s="172"/>
      <x:c r="H99" s="172"/>
      <x:c r="I99" s="172"/>
      <x:c r="J99" s="172"/>
      <x:c r="K99" s="172"/>
      <x:c r="L99" s="172"/>
    </x:row>
    <x:row r="100" ht="23" customHeight="1">
      <x:c r="A100" s="172"/>
      <x:c r="B100" s="172"/>
      <x:c r="C100" s="172"/>
      <x:c r="D100" s="172"/>
      <x:c r="E100" s="172"/>
      <x:c r="F100" s="172"/>
      <x:c r="G100" s="172"/>
      <x:c r="H100" s="172"/>
      <x:c r="I100" s="172"/>
      <x:c r="J100" s="172"/>
      <x:c r="K100" s="172"/>
      <x:c r="L100" s="172"/>
    </x:row>
  </x:sheetData>
  <x:mergeCells>
    <x:mergeCell ref="F42:K42"/>
    <x:mergeCell ref="F30:K30"/>
    <x:mergeCell ref="F31:K31"/>
    <x:mergeCell ref="F32:K32"/>
    <x:mergeCell ref="F33:K33"/>
    <x:mergeCell ref="F34:K34"/>
    <x:mergeCell ref="F35:K35"/>
    <x:mergeCell ref="F36:K36"/>
    <x:mergeCell ref="F37:K37"/>
    <x:mergeCell ref="F38:K38"/>
    <x:mergeCell ref="F39:K39"/>
    <x:mergeCell ref="F40:K40"/>
    <x:mergeCell ref="F41:K41"/>
  </x:mergeCells>
  <x:dataValidations count="12">
    <x:dataValidation type="list" sqref="B5">
      <x:formula1>"Campionat intern,Cupe / Europa"</x:formula1>
    </x:dataValidation>
    <x:dataValidation type="list" sqref="B6">
      <x:formula1>"VERIFIED,DERIVED,SMALL SAMPLE,PRIOR / SHRINKAGE,PROXY ONLY,AVAILABLE – NOT CHECKED,PENDING OFFICIAL,NOT AVAILABLE,SOURCE CONFLICT"</x:formula1>
    </x:dataValidation>
    <x:dataValidation type="list" sqref="G16:G25">
      <x:formula1>"VERIFIED,DERIVED,SMALL SAMPLE,PRIOR / SHRINKAGE,PROXY ONLY,AVAILABLE – NOT CHECKED,PENDING OFFICIAL,NOT AVAILABLE,SOURCE CONFLICT"</x:formula1>
    </x:dataValidation>
    <x:dataValidation type="list" sqref="K16:K25">
      <x:formula1>"NATIVE,PROXY"</x:formula1>
    </x:dataValidation>
    <x:dataValidation type="list" sqref="C30:C38">
      <x:formula1>"VERIFIED,DERIVED,SMALL SAMPLE,PRIOR / SHRINKAGE,PROXY ONLY,AVAILABLE – NOT CHECKED,PENDING OFFICIAL,NOT AVAILABLE,SOURCE CONFLICT"</x:formula1>
    </x:dataValidation>
    <x:dataValidation type="list" sqref="B37">
      <x:formula1>"DA,NU"</x:formula1>
    </x:dataValidation>
    <x:dataValidation type="list" sqref="B38">
      <x:formula1>"VERIFIED,DERIVED,SMALL SAMPLE,PRIOR / SHRINKAGE,PROXY ONLY,AVAILABLE – NOT CHECKED,PENDING OFFICIAL,NOT AVAILABLE,SOURCE CONFLICT"</x:formula1>
    </x:dataValidation>
    <x:dataValidation type="list" sqref="B39">
      <x:formula1>"DA,NU"</x:formula1>
    </x:dataValidation>
    <x:dataValidation type="list" sqref="G45:G53">
      <x:formula1>"VERIFIED,DERIVED,SMALL SAMPLE,PRIOR / SHRINKAGE,PROXY ONLY,AVAILABLE – NOT CHECKED,PENDING OFFICIAL,NOT AVAILABLE,SOURCE CONFLICT"</x:formula1>
    </x:dataValidation>
    <x:dataValidation type="list" sqref="B41">
      <x:formula1>"U3.5,U4.5,U5.5,TOATE"</x:formula1>
    </x:dataValidation>
    <x:dataValidation type="list" sqref="B76">
      <x:formula1>"League/match profile,Favorite team tail,Opponent defensive collapse,Recent L10"</x:formula1>
    </x:dataValidation>
    <x:dataValidation type="list" sqref="G70:G73">
      <x:formula1>"VERIFIED,DERIVED,SMALL SAMPLE,PRIOR / SHRINKAGE,PROXY ONLY,AVAILABLE – NOT CHECKED,PENDING OFFICIAL,NOT AVAILABLE,SOURCE CONFLICT"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117E80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4" hidden="0" customWidth="1"/>
    <x:col min="2" max="2" width="28" hidden="0" customWidth="1"/>
    <x:col min="3" max="3" width="29" hidden="0" customWidth="1"/>
    <x:col min="4" max="4" width="70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65" hidden="0" customWidth="1"/>
    <x:col min="10" max="10" width="15" hidden="0" customWidth="1"/>
    <x:col min="11" max="11" width="15" hidden="0" customWidth="1"/>
    <x:col min="12" max="12" width="15" hidden="0" customWidth="1"/>
  </x:cols>
  <x:sheetData>
    <x:row r="1" ht="23" customHeight="1">
      <x:c r="A1" s="173" t="str">
        <x:v>CONTEXT ȘI DISPONIBILITATEA JUCĂTORILOR</x:v>
      </x:c>
      <x:c r="B1" s="172"/>
      <x:c r="C1" s="172"/>
      <x:c r="D1" s="172"/>
      <x:c r="E1" s="172"/>
      <x:c r="F1" s="172"/>
      <x:c r="G1" s="172"/>
      <x:c r="H1" s="172"/>
      <x:c r="I1" s="172"/>
      <x:c r="J1" s="172"/>
      <x:c r="K1" s="172"/>
      <x:c r="L1" s="172"/>
    </x:row>
    <x:row r="2" ht="23" customHeight="1">
      <x:c r="A2" s="172"/>
      <x:c r="B2" s="172"/>
      <x:c r="C2" s="172"/>
      <x:c r="D2" s="172"/>
      <x:c r="E2" s="172"/>
      <x:c r="F2" s="172"/>
      <x:c r="G2" s="172"/>
      <x:c r="H2" s="172"/>
      <x:c r="I2" s="172"/>
      <x:c r="J2" s="172"/>
      <x:c r="K2" s="172"/>
      <x:c r="L2" s="172"/>
    </x:row>
    <x:row r="3" ht="23" customHeight="1">
      <x:c r="A3" s="174" t="str">
        <x:v>Valorile active se editează numai în Date statistice. Observațiile vechi sunt arhivate mai jos.</x:v>
      </x:c>
      <x:c r="B3" s="172"/>
      <x:c r="C3" s="172"/>
      <x:c r="D3" s="172"/>
      <x:c r="E3" s="172"/>
      <x:c r="F3" s="172"/>
      <x:c r="G3" s="172"/>
      <x:c r="H3" s="172"/>
      <x:c r="I3" s="172"/>
      <x:c r="J3" s="172"/>
      <x:c r="K3" s="172"/>
      <x:c r="L3" s="172"/>
    </x:row>
    <x:row r="4" ht="23" customHeight="1">
      <x:c r="A4" s="172"/>
      <x:c r="B4" s="172"/>
      <x:c r="C4" s="172"/>
      <x:c r="D4" s="172"/>
      <x:c r="E4" s="172"/>
      <x:c r="F4" s="172"/>
      <x:c r="G4" s="172"/>
      <x:c r="H4" s="172"/>
      <x:c r="I4" s="172"/>
      <x:c r="J4" s="172"/>
      <x:c r="K4" s="172"/>
      <x:c r="L4" s="172"/>
    </x:row>
    <x:row r="5" ht="36" customHeight="1">
      <x:c r="A5" s="181" t="str">
        <x:v>Factor</x:v>
      </x:c>
      <x:c r="B5" s="181" t="str">
        <x:v>Valoare</x:v>
      </x:c>
      <x:c r="C5" s="181" t="str">
        <x:v>Data Status</x:v>
      </x:c>
      <x:c r="D5" s="181" t="str">
        <x:v>Tratament</x:v>
      </x:c>
      <x:c r="E5" s="172"/>
      <x:c r="F5" s="172"/>
      <x:c r="G5" s="172"/>
      <x:c r="H5" s="172"/>
      <x:c r="I5" s="172"/>
      <x:c r="J5" s="172"/>
      <x:c r="K5" s="172"/>
      <x:c r="L5" s="172"/>
    </x:row>
    <x:row r="6" ht="38" customHeight="1">
      <x:c r="A6" s="172" t="str">
        <x:v>Ajustare context H</x:v>
      </x:c>
      <x:c r="B6" s="172" t="n">
        <x:f>IF('Date statistice'!B32="","",'Date statistice'!B32)</x:f>
        <x:v>-0.05</x:v>
      </x:c>
      <x:c r="C6" s="172" t="str">
        <x:f>IF('Date statistice'!C32="","",'Date statistice'!C32)</x:f>
        <x:v>AVAILABLE – NOT CHECKED</x:v>
      </x:c>
      <x:c r="D6" s="187" t="str">
        <x:v>Aplicată numai dacă justificată; altfel 0, cu avertizare G1</x:v>
      </x:c>
      <x:c r="E6" s="172"/>
      <x:c r="F6" s="172"/>
      <x:c r="G6" s="172"/>
      <x:c r="H6" s="172"/>
      <x:c r="I6" s="172"/>
      <x:c r="J6" s="172"/>
      <x:c r="K6" s="172"/>
      <x:c r="L6" s="172"/>
    </x:row>
    <x:row r="7" ht="38" customHeight="1">
      <x:c r="A7" s="172" t="str">
        <x:v>Ajustare context A</x:v>
      </x:c>
      <x:c r="B7" s="172" t="n">
        <x:f>IF('Date statistice'!B33="","",'Date statistice'!B33)</x:f>
        <x:v>-0.1</x:v>
      </x:c>
      <x:c r="C7" s="172" t="str">
        <x:f>IF('Date statistice'!C33="","",'Date statistice'!C33)</x:f>
        <x:v>AVAILABLE – NOT CHECKED</x:v>
      </x:c>
      <x:c r="D7" s="187" t="str">
        <x:v>Aplicată pe lambda statistic</x:v>
      </x:c>
      <x:c r="E7" s="172"/>
      <x:c r="F7" s="172"/>
      <x:c r="G7" s="172"/>
      <x:c r="H7" s="172"/>
      <x:c r="I7" s="172"/>
      <x:c r="J7" s="172"/>
      <x:c r="K7" s="172"/>
      <x:c r="L7" s="172"/>
    </x:row>
    <x:row r="8" ht="38" customHeight="1">
      <x:c r="A8" s="172" t="str">
        <x:v>Ajustare lot H</x:v>
      </x:c>
      <x:c r="B8" s="172" t="n">
        <x:f>IF('Date statistice'!B34="","",'Date statistice'!B34)</x:f>
        <x:v>-0.03</x:v>
      </x:c>
      <x:c r="C8" s="172" t="str">
        <x:f>IF('Date statistice'!C34="","",'Date statistice'!C34)</x:f>
        <x:v>PENDING OFFICIAL</x:v>
      </x:c>
      <x:c r="D8" s="187" t="str">
        <x:v>Fără hard fail doar pentru XI nepublicat</x:v>
      </x:c>
      <x:c r="E8" s="172"/>
      <x:c r="F8" s="172"/>
      <x:c r="G8" s="172"/>
      <x:c r="H8" s="172"/>
      <x:c r="I8" s="172"/>
      <x:c r="J8" s="172"/>
      <x:c r="K8" s="172"/>
      <x:c r="L8" s="172"/>
    </x:row>
    <x:row r="9" ht="38" customHeight="1">
      <x:c r="A9" s="172" t="str">
        <x:v>Ajustare lot A</x:v>
      </x:c>
      <x:c r="B9" s="172" t="n">
        <x:f>IF('Date statistice'!B35="","",'Date statistice'!B35)</x:f>
        <x:v>-0.05</x:v>
      </x:c>
      <x:c r="C9" s="172" t="str">
        <x:f>IF('Date statistice'!C35="","",'Date statistice'!C35)</x:f>
        <x:v>PENDING OFFICIAL</x:v>
      </x:c>
      <x:c r="D9" s="187" t="str">
        <x:v>Refresh înainte de start</x:v>
      </x:c>
      <x:c r="E9" s="172"/>
      <x:c r="F9" s="172"/>
      <x:c r="G9" s="172"/>
      <x:c r="H9" s="172"/>
      <x:c r="I9" s="172"/>
      <x:c r="J9" s="172"/>
      <x:c r="K9" s="172"/>
      <x:c r="L9" s="172"/>
    </x:row>
    <x:row r="10" ht="38" customHeight="1">
      <x:c r="A10" s="172" t="str">
        <x:v>Confidence inițial</x:v>
      </x:c>
      <x:c r="B10" s="172" t="n">
        <x:f>IF('Date statistice'!B36="","",'Date statistice'!B36)</x:f>
        <x:v>76</x:v>
      </x:c>
      <x:c r="C10" s="172" t="str">
        <x:f>IF('Date statistice'!C36="","",'Date statistice'!C36)</x:f>
        <x:v>PRIOR / SHRINKAGE</x:v>
      </x:c>
      <x:c r="D10" s="187" t="str">
        <x:v>Scor de fiabilitate, nu probabilitate</x:v>
      </x:c>
      <x:c r="E10" s="172"/>
      <x:c r="F10" s="172"/>
      <x:c r="G10" s="172"/>
      <x:c r="H10" s="172"/>
      <x:c r="I10" s="172"/>
      <x:c r="J10" s="172"/>
      <x:c r="K10" s="172"/>
      <x:c r="L10" s="172"/>
    </x:row>
    <x:row r="11" ht="38" customHeight="1">
      <x:c r="A11" s="172" t="str">
        <x:v>Start de sezon?</x:v>
      </x:c>
      <x:c r="B11" s="172" t="str">
        <x:f>IF('Date statistice'!B37="","",'Date statistice'!B37)</x:f>
        <x:v>DA</x:v>
      </x:c>
      <x:c r="C11" s="172" t="str">
        <x:f>IF('Date statistice'!C37="","",'Date statistice'!C37)</x:f>
        <x:v>VERIFIED</x:v>
      </x:c>
      <x:c r="D11" s="187" t="str">
        <x:v>Penalizarea existentă este 10 puncte</x:v>
      </x:c>
      <x:c r="E11" s="172"/>
      <x:c r="F11" s="172"/>
      <x:c r="G11" s="172"/>
      <x:c r="H11" s="172"/>
      <x:c r="I11" s="172"/>
      <x:c r="J11" s="172"/>
      <x:c r="K11" s="172"/>
      <x:c r="L11" s="172"/>
    </x:row>
    <x:row r="12" ht="38" customHeight="1">
      <x:c r="A12" s="172" t="str">
        <x:v>XI / disponibilitate</x:v>
      </x:c>
      <x:c r="B12" s="172" t="str">
        <x:f>IF('Date statistice'!B38="","",'Date statistice'!B38)</x:f>
        <x:v>PENDING OFFICIAL</x:v>
      </x:c>
      <x:c r="C12" s="172" t="str">
        <x:f>IF('Date statistice'!C38="","",'Date statistice'!C38)</x:f>
      </x:c>
      <x:c r="D12" s="187" t="str">
        <x:v>Stare normală înainte de XI</x:v>
      </x:c>
      <x:c r="E12" s="172"/>
      <x:c r="F12" s="172"/>
      <x:c r="G12" s="172"/>
      <x:c r="H12" s="172"/>
      <x:c r="I12" s="172"/>
      <x:c r="J12" s="172"/>
      <x:c r="K12" s="172"/>
      <x:c r="L12" s="172"/>
    </x:row>
    <x:row r="13" ht="38" customHeight="1">
      <x:c r="A13" s="172" t="str">
        <x:v>Informație lot critică?</x:v>
      </x:c>
      <x:c r="B13" s="172" t="str">
        <x:f>IF('Date statistice'!B39="","",'Date statistice'!B39)</x:f>
        <x:v>NU</x:v>
      </x:c>
      <x:c r="C13" s="172" t="str">
        <x:f>IF('Date statistice'!C39="","",'Date statistice'!C39)</x:f>
        <x:v>VERIFIED</x:v>
      </x:c>
      <x:c r="D13" s="187" t="str">
        <x:v>DA numai cu motiv documentat pentru piața afectată</x:v>
      </x:c>
      <x:c r="E13" s="172"/>
      <x:c r="F13" s="172"/>
      <x:c r="G13" s="172"/>
      <x:c r="H13" s="172"/>
      <x:c r="I13" s="172"/>
      <x:c r="J13" s="172"/>
      <x:c r="K13" s="172"/>
      <x:c r="L13" s="172"/>
    </x:row>
    <x:row r="14" ht="38" customHeight="1">
      <x:c r="A14" s="172" t="str">
        <x:v>Motiv critic lot</x:v>
      </x:c>
      <x:c r="B14" s="172" t="str">
        <x:f>IF('Date statistice'!B40="","",'Date statistice'!B40)</x:f>
      </x:c>
      <x:c r="C14" s="172" t="str">
        <x:f>IF('Date statistice'!C40="","",'Date statistice'!C40)</x:f>
      </x:c>
      <x:c r="D14" s="187" t="str">
        <x:v>Obligatoriu dacă rândul anterior este DA</x:v>
      </x:c>
      <x:c r="E14" s="172"/>
      <x:c r="F14" s="172"/>
      <x:c r="G14" s="172"/>
      <x:c r="H14" s="172"/>
      <x:c r="I14" s="172"/>
      <x:c r="J14" s="172"/>
      <x:c r="K14" s="172"/>
      <x:c r="L14" s="172"/>
    </x:row>
    <x:row r="15" ht="23" customHeight="1">
      <x:c r="A15" s="172"/>
      <x:c r="B15" s="172"/>
      <x:c r="C15" s="172"/>
      <x:c r="D15" s="172"/>
      <x:c r="E15" s="172"/>
      <x:c r="F15" s="172"/>
      <x:c r="G15" s="172"/>
      <x:c r="H15" s="172"/>
      <x:c r="I15" s="172"/>
      <x:c r="J15" s="172"/>
      <x:c r="K15" s="172"/>
      <x:c r="L15" s="172"/>
    </x:row>
    <x:row r="16" ht="23" customHeight="1">
      <x:c r="A16" s="172"/>
      <x:c r="B16" s="172"/>
      <x:c r="C16" s="172"/>
      <x:c r="D16" s="172"/>
      <x:c r="E16" s="172"/>
      <x:c r="F16" s="172"/>
      <x:c r="G16" s="172"/>
      <x:c r="H16" s="172"/>
      <x:c r="I16" s="172"/>
      <x:c r="J16" s="172"/>
      <x:c r="K16" s="172"/>
      <x:c r="L16" s="172"/>
    </x:row>
    <x:row r="17" ht="23" customHeight="1">
      <x:c r="A17" s="172"/>
      <x:c r="B17" s="172"/>
      <x:c r="C17" s="172"/>
      <x:c r="D17" s="172"/>
      <x:c r="E17" s="172"/>
      <x:c r="F17" s="172"/>
      <x:c r="G17" s="172"/>
      <x:c r="H17" s="172"/>
      <x:c r="I17" s="172"/>
      <x:c r="J17" s="172"/>
      <x:c r="K17" s="172"/>
      <x:c r="L17" s="172"/>
    </x:row>
    <x:row r="18" ht="23" customHeight="1">
      <x:c r="A18" s="172" t="str">
        <x:v>Ajustare totală H</x:v>
      </x:c>
      <x:c r="B18" s="192" t="n">
        <x:f>'Model adaptiv'!B22</x:f>
        <x:v>0</x:v>
      </x:c>
      <x:c r="C18" s="172"/>
      <x:c r="D18" s="172"/>
      <x:c r="E18" s="172"/>
      <x:c r="F18" s="172"/>
      <x:c r="G18" s="172"/>
      <x:c r="H18" s="172"/>
      <x:c r="I18" s="172"/>
      <x:c r="J18" s="172"/>
      <x:c r="K18" s="172"/>
      <x:c r="L18" s="172"/>
    </x:row>
    <x:row r="19" ht="23" customHeight="1">
      <x:c r="A19" s="172" t="str">
        <x:v>Ajustare totală A</x:v>
      </x:c>
      <x:c r="B19" s="192" t="n">
        <x:f>'Model adaptiv'!B23</x:f>
        <x:v>0</x:v>
      </x:c>
      <x:c r="C19" s="172"/>
      <x:c r="D19" s="172"/>
      <x:c r="E19" s="172"/>
      <x:c r="F19" s="172"/>
      <x:c r="G19" s="172"/>
      <x:c r="H19" s="172"/>
      <x:c r="I19" s="172"/>
      <x:c r="J19" s="172"/>
      <x:c r="K19" s="172"/>
      <x:c r="L19" s="172"/>
    </x:row>
    <x:row r="20" ht="23" customHeight="1">
      <x:c r="A20" s="172"/>
      <x:c r="B20" s="172"/>
      <x:c r="C20" s="172"/>
      <x:c r="D20" s="172"/>
      <x:c r="E20" s="172"/>
      <x:c r="F20" s="172"/>
      <x:c r="G20" s="172"/>
      <x:c r="H20" s="172"/>
      <x:c r="I20" s="172"/>
      <x:c r="J20" s="172"/>
      <x:c r="K20" s="172"/>
      <x:c r="L20" s="172"/>
    </x:row>
    <x:row r="21" ht="23" customHeight="1">
      <x:c r="A21" s="172"/>
      <x:c r="B21" s="172"/>
      <x:c r="C21" s="172"/>
      <x:c r="D21" s="172"/>
      <x:c r="E21" s="172"/>
      <x:c r="F21" s="172"/>
      <x:c r="G21" s="172"/>
      <x:c r="H21" s="172"/>
      <x:c r="I21" s="172"/>
      <x:c r="J21" s="172"/>
      <x:c r="K21" s="172"/>
      <x:c r="L21" s="172"/>
    </x:row>
    <x:row r="22" ht="23" customHeight="1">
      <x:c r="A22" s="172" t="str">
        <x:v>XI nepublicat = PENDING OFFICIAL. Pentru lot critic, se precizează linia și motivul; lipsa necritică afectează Confidence.</x:v>
      </x:c>
      <x:c r="B22" s="172"/>
      <x:c r="C22" s="172"/>
      <x:c r="D22" s="172"/>
      <x:c r="E22" s="172"/>
      <x:c r="F22" s="172"/>
      <x:c r="G22" s="172"/>
      <x:c r="H22" s="172"/>
      <x:c r="I22" s="172"/>
      <x:c r="J22" s="172"/>
      <x:c r="K22" s="172"/>
      <x:c r="L22" s="172"/>
    </x:row>
    <x:row r="23" ht="23" customHeight="1">
      <x:c r="A23" s="172"/>
      <x:c r="B23" s="172"/>
      <x:c r="C23" s="172"/>
      <x:c r="D23" s="172"/>
      <x:c r="E23" s="172"/>
      <x:c r="F23" s="172"/>
      <x:c r="G23" s="172"/>
      <x:c r="H23" s="172"/>
      <x:c r="I23" s="172"/>
      <x:c r="J23" s="172"/>
      <x:c r="K23" s="172"/>
      <x:c r="L23" s="172"/>
    </x:row>
    <x:row r="24" ht="23" customHeight="1">
      <x:c r="A24" s="172"/>
      <x:c r="B24" s="172"/>
      <x:c r="C24" s="172"/>
      <x:c r="D24" s="172"/>
      <x:c r="E24" s="172"/>
      <x:c r="F24" s="172"/>
      <x:c r="G24" s="172"/>
      <x:c r="H24" s="172"/>
      <x:c r="I24" s="172"/>
      <x:c r="J24" s="172"/>
      <x:c r="K24" s="172"/>
      <x:c r="L24" s="172"/>
    </x:row>
    <x:row r="25" ht="23" customHeight="1">
      <x:c r="A25" s="172" t="str">
        <x:v>OBSERVAȚII DIN EXEMPLUL ISTORIC – INACTIVE</x:v>
      </x:c>
      <x:c r="B25" s="172"/>
      <x:c r="C25" s="172"/>
      <x:c r="D25" s="172"/>
      <x:c r="E25" s="172"/>
      <x:c r="F25" s="172"/>
      <x:c r="G25" s="172"/>
      <x:c r="H25" s="172"/>
      <x:c r="I25" s="172"/>
      <x:c r="J25" s="172"/>
      <x:c r="K25" s="172"/>
      <x:c r="L25" s="172"/>
    </x:row>
    <x:row r="26" ht="23" customHeight="1">
      <x:c r="A26" s="172"/>
      <x:c r="B26" s="172"/>
      <x:c r="C26" s="172"/>
      <x:c r="D26" s="172"/>
      <x:c r="E26" s="172"/>
      <x:c r="F26" s="172"/>
      <x:c r="G26" s="172"/>
      <x:c r="H26" s="172"/>
      <x:c r="I26" s="172"/>
      <x:c r="J26" s="172"/>
      <x:c r="K26" s="172"/>
      <x:c r="L26" s="172"/>
    </x:row>
    <x:row r="27" ht="74" customHeight="1">
      <x:c r="A27" s="187" t="str">
        <x:v>Categorie</x:v>
      </x:c>
      <x:c r="B27" s="187" t="str">
        <x:v>Factor</x:v>
      </x:c>
      <x:c r="C27" s="187" t="str">
        <x:v>Se aplică</x:v>
      </x:c>
      <x:c r="D27" s="187" t="str">
        <x:v>Ce trebuie verificat</x:v>
      </x:c>
      <x:c r="E27" s="187" t="str">
        <x:v>Evaluare</x:v>
      </x:c>
      <x:c r="F27" s="187" t="str">
        <x:v>Pondere</x:v>
      </x:c>
      <x:c r="G27" s="187" t="str">
        <x:v>Scor</x:v>
      </x:c>
      <x:c r="H27" s="187" t="str">
        <x:v>Critic?</x:v>
      </x:c>
      <x:c r="I27" s="187" t="str">
        <x:v>Observație / sursă</x:v>
      </x:c>
      <x:c r="J27" s="172"/>
      <x:c r="K27" s="172"/>
      <x:c r="L27" s="172"/>
    </x:row>
    <x:row r="28" ht="74" customHeight="1">
      <x:c r="A28" s="187" t="str">
        <x:v>A. Atacul și apărarea</x:v>
      </x:c>
      <x:c r="B28" s="187" t="str">
        <x:v>npxG produs și npxGA permis</x:v>
      </x:c>
      <x:c r="C28" s="187" t="str">
        <x:v>Ambele</x:v>
      </x:c>
      <x:c r="D28" s="187" t="str">
        <x:v>Sunt valorile sub media ligii și stabile pe eșantion?</x:v>
      </x:c>
      <x:c r="E28" s="187" t="str">
        <x:v>Neutru</x:v>
      </x:c>
      <x:c r="F28" s="187" t="n">
        <x:v>3</x:v>
      </x:c>
      <x:c r="G28" s="187" t="n">
        <x:v>0</x:v>
      </x:c>
      <x:c r="H28" s="187" t="str">
        <x:v>Nu</x:v>
      </x:c>
      <x:c r="I28" s="187" t="str">
        <x:v>xG recent: FCK acasă 1,51 / xGA 1,89; Inter deplasare 1,52 / xGA 1,71. npxG nu este public comparabil.</x:v>
      </x:c>
      <x:c r="J28" s="172"/>
      <x:c r="K28" s="172"/>
      <x:c r="L28" s="172"/>
    </x:row>
    <x:row r="29" ht="74" customHeight="1">
      <x:c r="A29" s="187" t="str">
        <x:v>A. Atacul și apărarea</x:v>
      </x:c>
      <x:c r="B29" s="187" t="str">
        <x:v>Șuturi din interiorul careului</x:v>
      </x:c>
      <x:c r="C29" s="187" t="str">
        <x:v>Ambele</x:v>
      </x:c>
      <x:c r="D29" s="187" t="str">
        <x:v>Câte șuturi periculoase creează și permit echipele?</x:v>
      </x:c>
      <x:c r="E29" s="187" t="str">
        <x:v>Neutru</x:v>
      </x:c>
      <x:c r="F29" s="187" t="n">
        <x:v>2</x:v>
      </x:c>
      <x:c r="G29" s="187" t="n">
        <x:v>0</x:v>
      </x:c>
      <x:c r="H29" s="187" t="str">
        <x:v>Nu</x:v>
      </x:c>
      <x:c r="I29" s="187" t="str">
        <x:v>Nu am identificat un set public comparabil pentru șuturi din careu.</x:v>
      </x:c>
      <x:c r="J29" s="172"/>
      <x:c r="K29" s="172"/>
      <x:c r="L29" s="172"/>
    </x:row>
    <x:row r="30" ht="74" customHeight="1">
      <x:c r="A30" s="187" t="str">
        <x:v>A. Atacul și apărarea</x:v>
      </x:c>
      <x:c r="B30" s="187" t="str">
        <x:v>Ocazii mari create și permise</x:v>
      </x:c>
      <x:c r="C30" s="187" t="str">
        <x:v>Ambele</x:v>
      </x:c>
      <x:c r="D30" s="187" t="str">
        <x:v>Există multe ocazii cu probabilitate ridicată?</x:v>
      </x:c>
      <x:c r="E30" s="187" t="str">
        <x:v>Neutru</x:v>
      </x:c>
      <x:c r="F30" s="187" t="n">
        <x:v>3</x:v>
      </x:c>
      <x:c r="G30" s="187" t="n">
        <x:v>0</x:v>
      </x:c>
      <x:c r="H30" s="187" t="str">
        <x:v>Nu</x:v>
      </x:c>
      <x:c r="I30" s="187" t="str">
        <x:v>Nu am identificat un set public comparabil pentru ocazii mari.</x:v>
      </x:c>
      <x:c r="J30" s="172"/>
      <x:c r="K30" s="172"/>
      <x:c r="L30" s="172"/>
    </x:row>
    <x:row r="31" ht="74" customHeight="1">
      <x:c r="A31" s="187" t="str">
        <x:v>A. Atacul și apărarea</x:v>
      </x:c>
      <x:c r="B31" s="187" t="str">
        <x:v>xG mediu pe șut</x:v>
      </x:c>
      <x:c r="C31" s="187" t="str">
        <x:v>Ambele</x:v>
      </x:c>
      <x:c r="D31" s="187" t="str">
        <x:v>Șuturile provin din poziții bune sau dificile?</x:v>
      </x:c>
      <x:c r="E31" s="187" t="str">
        <x:v>Neutru</x:v>
      </x:c>
      <x:c r="F31" s="187" t="n">
        <x:v>2</x:v>
      </x:c>
      <x:c r="G31" s="187" t="n">
        <x:v>0</x:v>
      </x:c>
      <x:c r="H31" s="187" t="str">
        <x:v>Nu</x:v>
      </x:c>
      <x:c r="I31" s="187" t="str">
        <x:v>Nu am identificat xG/șut comparabil.</x:v>
      </x:c>
      <x:c r="J31" s="172"/>
      <x:c r="K31" s="172"/>
      <x:c r="L31" s="172"/>
    </x:row>
    <x:row r="32" ht="74" customHeight="1">
      <x:c r="A32" s="187" t="str">
        <x:v>A. Atacul și apărarea</x:v>
      </x:c>
      <x:c r="B32" s="187" t="str">
        <x:v>Faze fixe</x:v>
      </x:c>
      <x:c r="C32" s="187" t="str">
        <x:v>Ambele</x:v>
      </x:c>
      <x:c r="D32" s="187" t="str">
        <x:v>Există avantaj evident la cornere / lovituri libere?</x:v>
      </x:c>
      <x:c r="E32" s="187" t="str">
        <x:v>Neutru</x:v>
      </x:c>
      <x:c r="F32" s="187" t="n">
        <x:v>2</x:v>
      </x:c>
      <x:c r="G32" s="187" t="n">
        <x:v>0</x:v>
      </x:c>
      <x:c r="H32" s="187" t="str">
        <x:v>Nu</x:v>
      </x:c>
      <x:c r="I32" s="187" t="str">
        <x:v>Nu am identificat xG faze fixe comparabil.</x:v>
      </x:c>
      <x:c r="J32" s="172"/>
      <x:c r="K32" s="172"/>
      <x:c r="L32" s="172"/>
    </x:row>
    <x:row r="33" ht="74" customHeight="1">
      <x:c r="A33" s="187" t="str">
        <x:v>A. Atacul și apărarea</x:v>
      </x:c>
      <x:c r="B33" s="187" t="str">
        <x:v>Goluri comparativ cu xG</x:v>
      </x:c>
      <x:c r="C33" s="187" t="str">
        <x:v>Ambele</x:v>
      </x:c>
      <x:c r="D33" s="187" t="str">
        <x:v>Există o supra-performanță nesustenabilă sau o sub-performanță?</x:v>
      </x:c>
      <x:c r="E33" s="187" t="str">
        <x:v>Neutru</x:v>
      </x:c>
      <x:c r="F33" s="187" t="n">
        <x:v>2</x:v>
      </x:c>
      <x:c r="G33" s="187" t="n">
        <x:v>0</x:v>
      </x:c>
      <x:c r="H33" s="187" t="str">
        <x:v>Nu</x:v>
      </x:c>
      <x:c r="I33" s="187" t="str">
        <x:v>FCK are 3,33 goluri/meci acasă în eșantionul recent vs xG 1,51: supra-performanță evidentă; Inter 1,40 vs xG 1,52.</x:v>
      </x:c>
      <x:c r="J33" s="172"/>
      <x:c r="K33" s="172"/>
      <x:c r="L33" s="172"/>
    </x:row>
    <x:row r="34" ht="74" customHeight="1">
      <x:c r="A34" s="187" t="str">
        <x:v>A. Atacul și apărarea</x:v>
      </x:c>
      <x:c r="B34" s="187" t="str">
        <x:v>Calitatea portarilor</x:v>
      </x:c>
      <x:c r="C34" s="187" t="str">
        <x:v>Ambele</x:v>
      </x:c>
      <x:c r="D34" s="187" t="str">
        <x:v>Portarii titulari previn sau permit mai multe goluri decât media?</x:v>
      </x:c>
      <x:c r="E34" s="187" t="str">
        <x:v>Neutru</x:v>
      </x:c>
      <x:c r="F34" s="187" t="n">
        <x:v>2</x:v>
      </x:c>
      <x:c r="G34" s="187" t="n">
        <x:v>0</x:v>
      </x:c>
      <x:c r="H34" s="187" t="str">
        <x:v>Nu</x:v>
      </x:c>
      <x:c r="I34" s="187" t="str">
        <x:v>Date PSxG/goluri prevenite neidentificate public.</x:v>
      </x:c>
      <x:c r="J34" s="172"/>
      <x:c r="K34" s="172"/>
      <x:c r="L34" s="172"/>
    </x:row>
    <x:row r="35" ht="74" customHeight="1">
      <x:c r="A35" s="187" t="str">
        <x:v>B. Riscul de dezechilibru mare</x:v>
      </x:c>
      <x:c r="B35" s="187" t="str">
        <x:v>Diferență de valoare / risc de 5–0</x:v>
      </x:c>
      <x:c r="C35" s="187" t="str">
        <x:v>Meci</x:v>
      </x:c>
      <x:c r="D35" s="187" t="str">
        <x:v>Poate favorita să producă singură 5 goluri?</x:v>
      </x:c>
      <x:c r="E35" s="187" t="str">
        <x:v>Nefavorabil</x:v>
      </x:c>
      <x:c r="F35" s="187" t="n">
        <x:v>3</x:v>
      </x:c>
      <x:c r="G35" s="187" t="n">
        <x:v>-3</x:v>
      </x:c>
      <x:c r="H35" s="187" t="str">
        <x:v>Da</x:v>
      </x:c>
      <x:c r="I35" s="187" t="str">
        <x:v>Dezechilibru valoric important: piața 1X2 indică FCK favorit foarte clar (~1,16–1,28). Risc ca favorita să marcheze multe.</x:v>
      </x:c>
      <x:c r="J35" s="172"/>
      <x:c r="K35" s="172"/>
      <x:c r="L35" s="172"/>
    </x:row>
    <x:row r="36" ht="74" customHeight="1">
      <x:c r="A36" s="187" t="str">
        <x:v>B. Riscul de dezechilibru mare</x:v>
      </x:c>
      <x:c r="B36" s="187" t="str">
        <x:v>Cota și handicapul favoritei</x:v>
      </x:c>
      <x:c r="C36" s="187" t="str">
        <x:v>Meci</x:v>
      </x:c>
      <x:c r="D36" s="187" t="str">
        <x:v>O cotă extrem de mică sau handicap mare indică dezechilibru?</x:v>
      </x:c>
      <x:c r="E36" s="187" t="str">
        <x:v>Nefavorabil</x:v>
      </x:c>
      <x:c r="F36" s="187" t="n">
        <x:v>3</x:v>
      </x:c>
      <x:c r="G36" s="187" t="n">
        <x:v>-3</x:v>
      </x:c>
      <x:c r="H36" s="187" t="str">
        <x:v>Da</x:v>
      </x:c>
      <x:c r="I36" s="187" t="str">
        <x:v>Cota foarte mică a lui FCK este un semnal critic împotriva filtrului Under 4,5.</x:v>
      </x:c>
      <x:c r="J36" s="172"/>
      <x:c r="K36" s="172"/>
      <x:c r="L36" s="172"/>
    </x:row>
    <x:row r="37" ht="74" customHeight="1">
      <x:c r="A37" s="187" t="str">
        <x:v>B. Riscul de dezechilibru mare</x:v>
      </x:c>
      <x:c r="B37" s="187" t="str">
        <x:v>Comportamentul favoritei după avantaj</x:v>
      </x:c>
      <x:c r="C37" s="187" t="str">
        <x:v>Favorită</x:v>
      </x:c>
      <x:c r="D37" s="187" t="str">
        <x:v>Reduce ritmul după 2–0 sau continuă să atace?</x:v>
      </x:c>
      <x:c r="E37" s="187" t="str">
        <x:v>Favorabil</x:v>
      </x:c>
      <x:c r="F37" s="187" t="n">
        <x:v>2</x:v>
      </x:c>
      <x:c r="G37" s="187" t="n">
        <x:v>2</x:v>
      </x:c>
      <x:c r="H37" s="187" t="str">
        <x:v>Nu</x:v>
      </x:c>
      <x:c r="I37" s="187" t="str">
        <x:v>Prima manșă 0-0; FCK a arătat că poate gestiona prudent un adversar compact.</x:v>
      </x:c>
      <x:c r="J37" s="172"/>
      <x:c r="K37" s="172"/>
      <x:c r="L37" s="172"/>
    </x:row>
    <x:row r="38" ht="74" customHeight="1">
      <x:c r="A38" s="187" t="str">
        <x:v>B. Riscul de dezechilibru mare</x:v>
      </x:c>
      <x:c r="B38" s="187" t="str">
        <x:v>Vulnerabilitatea outsiderului</x:v>
      </x:c>
      <x:c r="C38" s="187" t="str">
        <x:v>Outsider</x:v>
      </x:c>
      <x:c r="D38" s="187" t="str">
        <x:v>Primește frecvent ocazii mari și goluri în serie?</x:v>
      </x:c>
      <x:c r="E38" s="187" t="str">
        <x:v>Favorabil</x:v>
      </x:c>
      <x:c r="F38" s="187" t="n">
        <x:v>3</x:v>
      </x:c>
      <x:c r="G38" s="187" t="n">
        <x:v>3</x:v>
      </x:c>
      <x:c r="H38" s="187" t="str">
        <x:v>Da</x:v>
      </x:c>
      <x:c r="I38" s="187" t="str">
        <x:v>Inter are profil defensiv bun: 40% clean sheet în deplasare în eșantionul FootyStats și 0-0 în tur.</x:v>
      </x:c>
      <x:c r="J38" s="172"/>
      <x:c r="K38" s="172"/>
      <x:c r="L38" s="172"/>
    </x:row>
    <x:row r="39" ht="74" customHeight="1">
      <x:c r="A39" s="187" t="str">
        <x:v>C. Stilul de joc</x:v>
      </x:c>
      <x:c r="B39" s="187" t="str">
        <x:v>Ritmul și numărul de posesii</x:v>
      </x:c>
      <x:c r="C39" s="187" t="str">
        <x:v>Meci</x:v>
      </x:c>
      <x:c r="D39" s="187" t="str">
        <x:v>Se anticipează un meci lent sau cu atacuri rapide repetate?</x:v>
      </x:c>
      <x:c r="E39" s="187" t="str">
        <x:v>Favorabil</x:v>
      </x:c>
      <x:c r="F39" s="187" t="n">
        <x:v>2</x:v>
      </x:c>
      <x:c r="G39" s="187" t="n">
        <x:v>2</x:v>
      </x:c>
      <x:c r="H39" s="187" t="str">
        <x:v>Nu</x:v>
      </x:c>
      <x:c r="I39" s="187" t="str">
        <x:v>Inter este probabil să joace compact și reactiv în Parken.</x:v>
      </x:c>
      <x:c r="J39" s="172"/>
      <x:c r="K39" s="172"/>
      <x:c r="L39" s="172"/>
    </x:row>
    <x:row r="40" ht="74" customHeight="1">
      <x:c r="A40" s="187" t="str">
        <x:v>C. Stilul de joc</x:v>
      </x:c>
      <x:c r="B40" s="187" t="str">
        <x:v>Tranziții și contraatacuri</x:v>
      </x:c>
      <x:c r="C40" s="187" t="str">
        <x:v>Ambele</x:v>
      </x:c>
      <x:c r="D40" s="187" t="str">
        <x:v>Echipele permit contraatacuri cu spații mari?</x:v>
      </x:c>
      <x:c r="E40" s="187" t="str">
        <x:v>Favorabil</x:v>
      </x:c>
      <x:c r="F40" s="187" t="n">
        <x:v>3</x:v>
      </x:c>
      <x:c r="G40" s="187" t="n">
        <x:v>3</x:v>
      </x:c>
      <x:c r="H40" s="187" t="str">
        <x:v>Nu</x:v>
      </x:c>
      <x:c r="I40" s="187" t="str">
        <x:v>Inter poate contraataca, dar a marcat 0 în ultimele două meciuri înaintea returului.</x:v>
      </x:c>
      <x:c r="J40" s="172"/>
      <x:c r="K40" s="172"/>
      <x:c r="L40" s="172"/>
    </x:row>
    <x:row r="41" ht="74" customHeight="1">
      <x:c r="A41" s="187" t="str">
        <x:v>C. Stilul de joc</x:v>
      </x:c>
      <x:c r="B41" s="187" t="str">
        <x:v>Pressing vs construcție vulnerabilă</x:v>
      </x:c>
      <x:c r="C41" s="187" t="str">
        <x:v>Meci</x:v>
      </x:c>
      <x:c r="D41" s="187" t="str">
        <x:v>Pressingul poate forța erori aproape de poartă?</x:v>
      </x:c>
      <x:c r="E41" s="187" t="str">
        <x:v>Neutru</x:v>
      </x:c>
      <x:c r="F41" s="187" t="n">
        <x:v>2</x:v>
      </x:c>
      <x:c r="G41" s="187" t="n">
        <x:v>0</x:v>
      </x:c>
      <x:c r="H41" s="187" t="str">
        <x:v>Nu</x:v>
      </x:c>
      <x:c r="I41" s="187" t="str">
        <x:v>Fără dovadă clară de mismatch de pressing care să impună ajustare.</x:v>
      </x:c>
      <x:c r="J41" s="172"/>
      <x:c r="K41" s="172"/>
      <x:c r="L41" s="172"/>
    </x:row>
    <x:row r="42" ht="74" customHeight="1">
      <x:c r="A42" s="187" t="str">
        <x:v>C. Stilul de joc</x:v>
      </x:c>
      <x:c r="B42" s="187" t="str">
        <x:v>Linie defensivă înaltă</x:v>
      </x:c>
      <x:c r="C42" s="187" t="str">
        <x:v>Ambele</x:v>
      </x:c>
      <x:c r="D42" s="187" t="str">
        <x:v>Există spațiu constant în spatele apărării?</x:v>
      </x:c>
      <x:c r="E42" s="187" t="str">
        <x:v>Neutru</x:v>
      </x:c>
      <x:c r="F42" s="187" t="n">
        <x:v>2</x:v>
      </x:c>
      <x:c r="G42" s="187" t="n">
        <x:v>0</x:v>
      </x:c>
      <x:c r="H42" s="187" t="str">
        <x:v>Nu</x:v>
      </x:c>
      <x:c r="I42" s="187" t="str">
        <x:v>Fără date suficiente pentru a penaliza linia defensivă.</x:v>
      </x:c>
      <x:c r="J42" s="172"/>
      <x:c r="K42" s="172"/>
      <x:c r="L42" s="172"/>
    </x:row>
    <x:row r="43" ht="74" customHeight="1">
      <x:c r="A43" s="187" t="str">
        <x:v>C. Stilul de joc</x:v>
      </x:c>
      <x:c r="B43" s="187" t="str">
        <x:v>Gestionarea avantajului</x:v>
      </x:c>
      <x:c r="C43" s="187" t="str">
        <x:v>Ambele</x:v>
      </x:c>
      <x:c r="D43" s="187" t="str">
        <x:v>Echipa care conduce închide jocul sau caută alte goluri?</x:v>
      </x:c>
      <x:c r="E43" s="187" t="str">
        <x:v>Favorabil</x:v>
      </x:c>
      <x:c r="F43" s="187" t="n">
        <x:v>2</x:v>
      </x:c>
      <x:c r="G43" s="187" t="n">
        <x:v>2</x:v>
      </x:c>
      <x:c r="H43" s="187" t="str">
        <x:v>Nu</x:v>
      </x:c>
      <x:c r="I43" s="187" t="str">
        <x:v>Scenariul de avantaj FCK poate duce la control, nu neapărat la cursă de goluri.</x:v>
      </x:c>
      <x:c r="J43" s="172"/>
      <x:c r="K43" s="172"/>
      <x:c r="L43" s="172"/>
    </x:row>
    <x:row r="44" ht="74" customHeight="1">
      <x:c r="A44" s="187" t="str">
        <x:v>D. Jucătorii disponibili</x:v>
      </x:c>
      <x:c r="B44" s="187" t="str">
        <x:v>Atacantul principal</x:v>
      </x:c>
      <x:c r="C44" s="187" t="str">
        <x:v>Ambele</x:v>
      </x:c>
      <x:c r="D44" s="187" t="str">
        <x:v>Este disponibil și în formă?</x:v>
      </x:c>
      <x:c r="E44" s="187" t="str">
        <x:v>Favorabil</x:v>
      </x:c>
      <x:c r="F44" s="187" t="n">
        <x:v>2</x:v>
      </x:c>
      <x:c r="G44" s="187" t="n">
        <x:v>2</x:v>
      </x:c>
      <x:c r="H44" s="187" t="str">
        <x:v>Nu</x:v>
      </x:c>
      <x:c r="I44" s="187" t="str">
        <x:v>FCK are Moukoko/Elyounoussi disponibili; Cornelius este absent/neeligibil în lotul anunțat.</x:v>
      </x:c>
      <x:c r="J44" s="172"/>
      <x:c r="K44" s="172"/>
      <x:c r="L44" s="172"/>
    </x:row>
    <x:row r="45" ht="74" customHeight="1">
      <x:c r="A45" s="187" t="str">
        <x:v>D. Jucătorii disponibili</x:v>
      </x:c>
      <x:c r="B45" s="187" t="str">
        <x:v>Creatorul principal</x:v>
      </x:c>
      <x:c r="C45" s="187" t="str">
        <x:v>Ambele</x:v>
      </x:c>
      <x:c r="D45" s="187" t="str">
        <x:v>Este disponibil jucătorul cu cele mai multe pase decisive / xA?</x:v>
      </x:c>
      <x:c r="E45" s="187" t="str">
        <x:v>Neutru</x:v>
      </x:c>
      <x:c r="F45" s="187" t="n">
        <x:v>2</x:v>
      </x:c>
      <x:c r="G45" s="187" t="n">
        <x:v>0</x:v>
      </x:c>
      <x:c r="H45" s="187" t="str">
        <x:v>Nu</x:v>
      </x:c>
      <x:c r="I45" s="187" t="str">
        <x:v>Creatorii principali relevanți sunt în lot; fără ajustare certă.</x:v>
      </x:c>
      <x:c r="J45" s="172"/>
      <x:c r="K45" s="172"/>
      <x:c r="L45" s="172"/>
    </x:row>
    <x:row r="46" ht="74" customHeight="1">
      <x:c r="A46" s="187" t="str">
        <x:v>D. Jucătorii disponibili</x:v>
      </x:c>
      <x:c r="B46" s="187" t="str">
        <x:v>Fundașii centrali titulari</x:v>
      </x:c>
      <x:c r="C46" s="187" t="str">
        <x:v>Ambele</x:v>
      </x:c>
      <x:c r="D46" s="187" t="str">
        <x:v>Există absențe sau improvizații în centrul apărării?</x:v>
      </x:c>
      <x:c r="E46" s="187" t="str">
        <x:v>Neutru</x:v>
      </x:c>
      <x:c r="F46" s="187" t="n">
        <x:v>3</x:v>
      </x:c>
      <x:c r="G46" s="187" t="n">
        <x:v>0</x:v>
      </x:c>
      <x:c r="H46" s="187" t="str">
        <x:v>Da</x:v>
      </x:c>
      <x:c r="I46" s="187" t="str">
        <x:v>Nu rezultă absențe critice în centrul apărării din lotul oficial FCK; Inter are XI stabil estimat.</x:v>
      </x:c>
      <x:c r="J46" s="172"/>
      <x:c r="K46" s="172"/>
      <x:c r="L46" s="172"/>
    </x:row>
    <x:row r="47" ht="74" customHeight="1">
      <x:c r="A47" s="187" t="str">
        <x:v>D. Jucătorii disponibili</x:v>
      </x:c>
      <x:c r="B47" s="187" t="str">
        <x:v>Portarul titular</x:v>
      </x:c>
      <x:c r="C47" s="187" t="str">
        <x:v>Ambele</x:v>
      </x:c>
      <x:c r="D47" s="187" t="str">
        <x:v>Joacă portarul titular sau o rezervă neexperimentată?</x:v>
      </x:c>
      <x:c r="E47" s="187" t="str">
        <x:v>Neutru</x:v>
      </x:c>
      <x:c r="F47" s="187" t="n">
        <x:v>3</x:v>
      </x:c>
      <x:c r="G47" s="187" t="n">
        <x:v>0</x:v>
      </x:c>
      <x:c r="H47" s="187" t="str">
        <x:v>Da</x:v>
      </x:c>
      <x:c r="I47" s="187" t="str">
        <x:v>Rúnarsson este disponibil; Ramaj revine în lot. Kotarski este accidentat, dar Rúnarsson a fost titular în tur.</x:v>
      </x:c>
      <x:c r="J47" s="172"/>
      <x:c r="K47" s="172"/>
      <x:c r="L47" s="172"/>
    </x:row>
    <x:row r="48" ht="74" customHeight="1">
      <x:c r="A48" s="187" t="str">
        <x:v>D. Jucătorii disponibili</x:v>
      </x:c>
      <x:c r="B48" s="187" t="str">
        <x:v>Rotația și coeziunea</x:v>
      </x:c>
      <x:c r="C48" s="187" t="str">
        <x:v>Ambele</x:v>
      </x:c>
      <x:c r="D48" s="187" t="str">
        <x:v>Schimbările afectează mai mult atacul sau apărarea?</x:v>
      </x:c>
      <x:c r="E48" s="187" t="str">
        <x:v>Neutru</x:v>
      </x:c>
      <x:c r="F48" s="187" t="n">
        <x:v>2</x:v>
      </x:c>
      <x:c r="G48" s="187" t="n">
        <x:v>0</x:v>
      </x:c>
      <x:c r="H48" s="187" t="str">
        <x:v>Nu</x:v>
      </x:c>
      <x:c r="I48" s="187" t="str">
        <x:v>FCK are mai multe absențe (Mattsson, Huescas, Németh); efectul net asupra golurilor este incert.</x:v>
      </x:c>
      <x:c r="J48" s="172"/>
      <x:c r="K48" s="172"/>
      <x:c r="L48" s="172"/>
    </x:row>
    <x:row r="49" ht="74" customHeight="1">
      <x:c r="A49" s="187" t="str">
        <x:v>E. Miza meciului</x:v>
      </x:c>
      <x:c r="B49" s="187" t="str">
        <x:v>Egalul convine ambelor echipe</x:v>
      </x:c>
      <x:c r="C49" s="187" t="str">
        <x:v>Meci</x:v>
      </x:c>
      <x:c r="D49" s="187" t="str">
        <x:v>Un rezultat egal satisface obiectivele ambelor echipe?</x:v>
      </x:c>
      <x:c r="E49" s="187" t="str">
        <x:v>Favorabil</x:v>
      </x:c>
      <x:c r="F49" s="187" t="n">
        <x:v>2</x:v>
      </x:c>
      <x:c r="G49" s="187" t="n">
        <x:v>2</x:v>
      </x:c>
      <x:c r="H49" s="187" t="str">
        <x:v>Nu</x:v>
      </x:c>
      <x:c r="I49" s="187" t="str">
        <x:v>La 0-0 după tur, egalul după 90 min nu califică direct pe nimeni; prudența inițială este posibilă.</x:v>
      </x:c>
      <x:c r="J49" s="172"/>
      <x:c r="K49" s="172"/>
      <x:c r="L49" s="172"/>
    </x:row>
    <x:row r="50" ht="74" customHeight="1">
      <x:c r="A50" s="187" t="str">
        <x:v>E. Miza meciului</x:v>
      </x:c>
      <x:c r="B50" s="187" t="str">
        <x:v>Obligația de a câștiga</x:v>
      </x:c>
      <x:c r="C50" s="187" t="str">
        <x:v>Meci</x:v>
      </x:c>
      <x:c r="D50" s="187" t="str">
        <x:v>Una sau ambele echipe trebuie neapărat să câștige?</x:v>
      </x:c>
      <x:c r="E50" s="187" t="str">
        <x:v>Nefavorabil</x:v>
      </x:c>
      <x:c r="F50" s="187" t="n">
        <x:v>3</x:v>
      </x:c>
      <x:c r="G50" s="187" t="n">
        <x:v>-3</x:v>
      </x:c>
      <x:c r="H50" s="187" t="str">
        <x:v>Da</x:v>
      </x:c>
      <x:c r="I50" s="187" t="str">
        <x:v>Ambele trebuie să câștige manșa/decidă calificarea; dacă rămâne egal se poate ajunge la prelungiri. Crește deschiderea târzie.</x:v>
      </x:c>
      <x:c r="J50" s="172"/>
      <x:c r="K50" s="172"/>
      <x:c r="L50" s="172"/>
    </x:row>
    <x:row r="51" ht="74" customHeight="1">
      <x:c r="A51" s="187" t="str">
        <x:v>E. Miza meciului</x:v>
      </x:c>
      <x:c r="B51" s="187" t="str">
        <x:v>Necesitate victorie la scor</x:v>
      </x:c>
      <x:c r="C51" s="187" t="str">
        <x:v>Meci</x:v>
      </x:c>
      <x:c r="D51" s="187" t="str">
        <x:v>Există obiectiv de golaveraj sau recuperare a unui handicap?</x:v>
      </x:c>
      <x:c r="E51" s="187" t="str">
        <x:v>Favorabil</x:v>
      </x:c>
      <x:c r="F51" s="187" t="n">
        <x:v>3</x:v>
      </x:c>
      <x:c r="G51" s="187" t="n">
        <x:v>3</x:v>
      </x:c>
      <x:c r="H51" s="187" t="str">
        <x:v>Da</x:v>
      </x:c>
      <x:c r="I51" s="187" t="str">
        <x:v>Nu există handicap de recuperat; 0-0 în tur.</x:v>
      </x:c>
      <x:c r="J51" s="172"/>
      <x:c r="K51" s="172"/>
      <x:c r="L51" s="172"/>
    </x:row>
    <x:row r="52" ht="74" customHeight="1">
      <x:c r="A52" s="187" t="str">
        <x:v>E. Miza meciului</x:v>
      </x:c>
      <x:c r="B52" s="187" t="str">
        <x:v>Retur și scor agregat</x:v>
      </x:c>
      <x:c r="C52" s="187" t="str">
        <x:v>Meci</x:v>
      </x:c>
      <x:c r="D52" s="187" t="str">
        <x:v>Scorul primei manșe obligă o echipă să atace?</x:v>
      </x:c>
      <x:c r="E52" s="187" t="str">
        <x:v>Neutru</x:v>
      </x:c>
      <x:c r="F52" s="187" t="n">
        <x:v>3</x:v>
      </x:c>
      <x:c r="G52" s="187" t="n">
        <x:v>0</x:v>
      </x:c>
      <x:c r="H52" s="187" t="str">
        <x:v>Da</x:v>
      </x:c>
      <x:c r="I52" s="187" t="str">
        <x:v>Retur după 0-0: nu există echipă obligată să atace din primul minut pentru recuperarea unui deficit.</x:v>
      </x:c>
      <x:c r="J52" s="172"/>
      <x:c r="K52" s="172"/>
      <x:c r="L52" s="172"/>
    </x:row>
    <x:row r="53" ht="74" customHeight="1">
      <x:c r="A53" s="187" t="str">
        <x:v>E. Miza meciului</x:v>
      </x:c>
      <x:c r="B53" s="187" t="str">
        <x:v>Meci amical / schimbări multe</x:v>
      </x:c>
      <x:c r="C53" s="187" t="str">
        <x:v>Meci</x:v>
      </x:c>
      <x:c r="D53" s="187" t="str">
        <x:v>Sunt permise multe schimbări și experimente?</x:v>
      </x:c>
      <x:c r="E53" s="187" t="str">
        <x:v>Neutru</x:v>
      </x:c>
      <x:c r="F53" s="187" t="n">
        <x:v>2</x:v>
      </x:c>
      <x:c r="G53" s="187" t="n">
        <x:v>0</x:v>
      </x:c>
      <x:c r="H53" s="187" t="str">
        <x:v>Nu</x:v>
      </x:c>
      <x:c r="I53" s="187" t="str">
        <x:v>Nu este amical; schimbări standard UEFA.</x:v>
      </x:c>
      <x:c r="J53" s="172"/>
      <x:c r="K53" s="172"/>
      <x:c r="L53" s="172"/>
    </x:row>
    <x:row r="54" ht="74" customHeight="1">
      <x:c r="A54" s="187" t="str">
        <x:v>F. Cartonașe și penalty-uri</x:v>
      </x:c>
      <x:c r="B54" s="187" t="str">
        <x:v>Risc de cartonaș roșu</x:v>
      </x:c>
      <x:c r="C54" s="187" t="str">
        <x:v>Meci</x:v>
      </x:c>
      <x:c r="D54" s="187" t="str">
        <x:v>Arbitrul și echipele au frecvență ridicată de eliminări?</x:v>
      </x:c>
      <x:c r="E54" s="187" t="str">
        <x:v>Favorabil</x:v>
      </x:c>
      <x:c r="F54" s="187" t="n">
        <x:v>3</x:v>
      </x:c>
      <x:c r="G54" s="187" t="n">
        <x:v>3</x:v>
      </x:c>
      <x:c r="H54" s="187" t="str">
        <x:v>Da</x:v>
      </x:c>
      <x:c r="I54" s="187" t="str">
        <x:v>Nu am identificat un risc neobișnuit de eliminare înainte de meci.</x:v>
      </x:c>
      <x:c r="J54" s="172"/>
      <x:c r="K54" s="172"/>
      <x:c r="L54" s="172"/>
    </x:row>
    <x:row r="55" ht="74" customHeight="1">
      <x:c r="A55" s="187" t="str">
        <x:v>F. Cartonașe și penalty-uri</x:v>
      </x:c>
      <x:c r="B55" s="187" t="str">
        <x:v>Risc de penalty</x:v>
      </x:c>
      <x:c r="C55" s="187" t="str">
        <x:v>Meci</x:v>
      </x:c>
      <x:c r="D55" s="187" t="str">
        <x:v>Arbitrul și echipele au frecvență neobișnuită de penalty-uri?</x:v>
      </x:c>
      <x:c r="E55" s="187" t="str">
        <x:v>Favorabil</x:v>
      </x:c>
      <x:c r="F55" s="187" t="n">
        <x:v>3</x:v>
      </x:c>
      <x:c r="G55" s="187" t="n">
        <x:v>3</x:v>
      </x:c>
      <x:c r="H55" s="187" t="str">
        <x:v>Da</x:v>
      </x:c>
      <x:c r="I55" s="187" t="str">
        <x:v>Nu am identificat un risc neobișnuit de penalty înainte de meci.</x:v>
      </x:c>
      <x:c r="J55" s="172"/>
      <x:c r="K55" s="172"/>
      <x:c r="L55" s="172"/>
    </x:row>
    <x:row r="56" ht="74" customHeight="1">
      <x:c r="A56" s="187" t="str">
        <x:v>F. Cartonașe și penalty-uri</x:v>
      </x:c>
      <x:c r="B56" s="187" t="str">
        <x:v>Rivalitate și agresivitate</x:v>
      </x:c>
      <x:c r="C56" s="187" t="str">
        <x:v>Meci</x:v>
      </x:c>
      <x:c r="D56" s="187" t="str">
        <x:v>Este derby sau meci cu istoric disciplinar dificil?</x:v>
      </x:c>
      <x:c r="E56" s="187" t="str">
        <x:v>Favorabil</x:v>
      </x:c>
      <x:c r="F56" s="187" t="n">
        <x:v>2</x:v>
      </x:c>
      <x:c r="G56" s="187" t="n">
        <x:v>2</x:v>
      </x:c>
      <x:c r="H56" s="187" t="str">
        <x:v>Nu</x:v>
      </x:c>
      <x:c r="I56" s="187" t="str">
        <x:v>Nu este derby; fără rivalitate istorică relevantă.</x:v>
      </x:c>
      <x:c r="J56" s="172"/>
      <x:c r="K56" s="172"/>
      <x:c r="L56" s="172"/>
    </x:row>
    <x:row r="57" ht="74" customHeight="1">
      <x:c r="A57" s="187" t="str">
        <x:v>F. Cartonașe și penalty-uri</x:v>
      </x:c>
      <x:c r="B57" s="187" t="str">
        <x:v>Disciplina echipelor</x:v>
      </x:c>
      <x:c r="C57" s="187" t="str">
        <x:v>Ambele</x:v>
      </x:c>
      <x:c r="D57" s="187" t="str">
        <x:v>Faulturile și cartonașele provin din situații periculoase?</x:v>
      </x:c>
      <x:c r="E57" s="187" t="str">
        <x:v>Neutru</x:v>
      </x:c>
      <x:c r="F57" s="187" t="n">
        <x:v>2</x:v>
      </x:c>
      <x:c r="G57" s="187" t="n">
        <x:v>0</x:v>
      </x:c>
      <x:c r="H57" s="187" t="str">
        <x:v>Nu</x:v>
      </x:c>
      <x:c r="I57" s="187" t="str">
        <x:v>Fără semnale publice suficiente pentru risc disciplinar special.</x:v>
      </x:c>
      <x:c r="J57" s="172"/>
      <x:c r="K57" s="172"/>
      <x:c r="L57" s="172"/>
    </x:row>
    <x:row r="58" ht="74" customHeight="1">
      <x:c r="A58" s="187" t="str">
        <x:v>G. Condiții externe</x:v>
      </x:c>
      <x:c r="B58" s="187" t="str">
        <x:v>Vremea</x:v>
      </x:c>
      <x:c r="C58" s="187" t="str">
        <x:v>Meci</x:v>
      </x:c>
      <x:c r="D58" s="187" t="str">
        <x:v>Ploaie, vânt sau temperatură extremă afectează jocul?</x:v>
      </x:c>
      <x:c r="E58" s="187" t="str">
        <x:v>Neutru</x:v>
      </x:c>
      <x:c r="F58" s="187" t="n">
        <x:v>1</x:v>
      </x:c>
      <x:c r="G58" s="187" t="n">
        <x:v>0</x:v>
      </x:c>
      <x:c r="H58" s="187" t="str">
        <x:v>Nu</x:v>
      </x:c>
      <x:c r="I58" s="187" t="str">
        <x:v>Condiții normale de stadion; fără ajustare meteo aplicată.</x:v>
      </x:c>
      <x:c r="J58" s="172"/>
      <x:c r="K58" s="172"/>
      <x:c r="L58" s="172"/>
    </x:row>
    <x:row r="59" ht="74" customHeight="1">
      <x:c r="A59" s="187" t="str">
        <x:v>G. Condiții externe</x:v>
      </x:c>
      <x:c r="B59" s="187" t="str">
        <x:v>Starea terenului</x:v>
      </x:c>
      <x:c r="C59" s="187" t="str">
        <x:v>Meci</x:v>
      </x:c>
      <x:c r="D59" s="187" t="str">
        <x:v>Terenul încetinește jocul sau produce erori defensive?</x:v>
      </x:c>
      <x:c r="E59" s="187" t="str">
        <x:v>Neutru</x:v>
      </x:c>
      <x:c r="F59" s="187" t="n">
        <x:v>1</x:v>
      </x:c>
      <x:c r="G59" s="187" t="n">
        <x:v>0</x:v>
      </x:c>
      <x:c r="H59" s="187" t="str">
        <x:v>Nu</x:v>
      </x:c>
      <x:c r="I59" s="187" t="str">
        <x:v>Parken oferă suprafață bună; nu există motiv de ajustare negativă.</x:v>
      </x:c>
      <x:c r="J59" s="172"/>
      <x:c r="K59" s="172"/>
      <x:c r="L59" s="172"/>
    </x:row>
    <x:row r="60" ht="74" customHeight="1">
      <x:c r="A60" s="187" t="str">
        <x:v>G. Condiții externe</x:v>
      </x:c>
      <x:c r="B60" s="187" t="str">
        <x:v>Odihnă și oboseală</x:v>
      </x:c>
      <x:c r="C60" s="187" t="str">
        <x:v>Ambele</x:v>
      </x:c>
      <x:c r="D60" s="187" t="str">
        <x:v>Câte zile de pauză au avut echipele?</x:v>
      </x:c>
      <x:c r="E60" s="187" t="str">
        <x:v>Neutru</x:v>
      </x:c>
      <x:c r="F60" s="187" t="n">
        <x:v>2</x:v>
      </x:c>
      <x:c r="G60" s="187" t="n">
        <x:v>0</x:v>
      </x:c>
      <x:c r="H60" s="187" t="str">
        <x:v>Nu</x:v>
      </x:c>
      <x:c r="I60" s="187" t="str">
        <x:v>FCK a jucat pe 23 aug, Inter pe 23 aug: odihnă comparabilă.</x:v>
      </x:c>
      <x:c r="J60" s="172"/>
      <x:c r="K60" s="172"/>
      <x:c r="L60" s="172"/>
    </x:row>
    <x:row r="61" ht="74" customHeight="1">
      <x:c r="A61" s="187" t="str">
        <x:v>G. Condiții externe</x:v>
      </x:c>
      <x:c r="B61" s="187" t="str">
        <x:v>Deplasare și fus orar</x:v>
      </x:c>
      <x:c r="C61" s="187" t="str">
        <x:v>Oaspeți</x:v>
      </x:c>
      <x:c r="D61" s="187" t="str">
        <x:v>Deplasarea este lungă sau neobișnuită?</x:v>
      </x:c>
      <x:c r="E61" s="187" t="str">
        <x:v>Neutru</x:v>
      </x:c>
      <x:c r="F61" s="187" t="n">
        <x:v>1</x:v>
      </x:c>
      <x:c r="G61" s="187" t="n">
        <x:v>0</x:v>
      </x:c>
      <x:c r="H61" s="187" t="str">
        <x:v>Nu</x:v>
      </x:c>
      <x:c r="I61" s="187" t="str">
        <x:v>Turku–Copenhaga este o deplasare europeană moderată, fără fus orar semnificativ.</x:v>
      </x:c>
      <x:c r="J61" s="172"/>
      <x:c r="K61" s="172"/>
      <x:c r="L61" s="172"/>
    </x:row>
    <x:row r="62" ht="23" customHeight="1">
      <x:c r="A62" s="172"/>
      <x:c r="B62" s="172"/>
      <x:c r="C62" s="172"/>
      <x:c r="D62" s="172"/>
      <x:c r="E62" s="172"/>
      <x:c r="F62" s="172"/>
      <x:c r="G62" s="172"/>
      <x:c r="H62" s="172"/>
      <x:c r="I62" s="172"/>
      <x:c r="J62" s="172"/>
      <x:c r="K62" s="172"/>
      <x:c r="L62" s="172"/>
    </x:row>
    <x:row r="63" ht="23" customHeight="1">
      <x:c r="A63" s="172"/>
      <x:c r="B63" s="172"/>
      <x:c r="C63" s="172"/>
      <x:c r="D63" s="172"/>
      <x:c r="E63" s="172"/>
      <x:c r="F63" s="172"/>
      <x:c r="G63" s="172"/>
      <x:c r="H63" s="172"/>
      <x:c r="I63" s="172"/>
      <x:c r="J63" s="172"/>
      <x:c r="K63" s="172"/>
      <x:c r="L63" s="172"/>
    </x:row>
    <x:row r="64" ht="23" customHeight="1">
      <x:c r="A64" s="172"/>
      <x:c r="B64" s="172"/>
      <x:c r="C64" s="172"/>
      <x:c r="D64" s="172"/>
      <x:c r="E64" s="172"/>
      <x:c r="F64" s="172"/>
      <x:c r="G64" s="172"/>
      <x:c r="H64" s="172"/>
      <x:c r="I64" s="172"/>
      <x:c r="J64" s="172"/>
      <x:c r="K64" s="172"/>
      <x:c r="L64" s="172"/>
    </x:row>
    <x:row r="65" ht="23" customHeight="1">
      <x:c r="A65" s="172"/>
      <x:c r="B65" s="172"/>
      <x:c r="C65" s="172"/>
      <x:c r="D65" s="172"/>
      <x:c r="E65" s="172"/>
      <x:c r="F65" s="172"/>
      <x:c r="G65" s="172"/>
      <x:c r="H65" s="172"/>
      <x:c r="I65" s="172"/>
      <x:c r="J65" s="172"/>
      <x:c r="K65" s="172"/>
      <x:c r="L65" s="172"/>
    </x:row>
    <x:row r="66" ht="23" customHeight="1">
      <x:c r="A66" s="172"/>
      <x:c r="B66" s="172"/>
      <x:c r="C66" s="172"/>
      <x:c r="D66" s="172"/>
      <x:c r="E66" s="172"/>
      <x:c r="F66" s="172"/>
      <x:c r="G66" s="172"/>
      <x:c r="H66" s="172"/>
      <x:c r="I66" s="172"/>
      <x:c r="J66" s="172"/>
      <x:c r="K66" s="172"/>
      <x:c r="L66" s="172"/>
    </x:row>
    <x:row r="67" ht="23" customHeight="1">
      <x:c r="A67" s="172"/>
      <x:c r="B67" s="172"/>
      <x:c r="C67" s="172"/>
      <x:c r="D67" s="172"/>
      <x:c r="E67" s="172"/>
      <x:c r="F67" s="172"/>
      <x:c r="G67" s="172"/>
      <x:c r="H67" s="172"/>
      <x:c r="I67" s="172"/>
      <x:c r="J67" s="172"/>
      <x:c r="K67" s="172"/>
      <x:c r="L67" s="172"/>
    </x:row>
    <x:row r="68" ht="23" customHeight="1">
      <x:c r="A68" s="172"/>
      <x:c r="B68" s="172"/>
      <x:c r="C68" s="172"/>
      <x:c r="D68" s="172"/>
      <x:c r="E68" s="172"/>
      <x:c r="F68" s="172"/>
      <x:c r="G68" s="172"/>
      <x:c r="H68" s="172"/>
      <x:c r="I68" s="172"/>
      <x:c r="J68" s="172"/>
      <x:c r="K68" s="172"/>
      <x:c r="L68" s="172"/>
    </x:row>
    <x:row r="69" ht="23" customHeight="1">
      <x:c r="A69" s="172"/>
      <x:c r="B69" s="172"/>
      <x:c r="C69" s="172"/>
      <x:c r="D69" s="172"/>
      <x:c r="E69" s="172"/>
      <x:c r="F69" s="172"/>
      <x:c r="G69" s="172"/>
      <x:c r="H69" s="172"/>
      <x:c r="I69" s="172"/>
      <x:c r="J69" s="172"/>
      <x:c r="K69" s="172"/>
      <x:c r="L69" s="172"/>
    </x:row>
    <x:row r="70" ht="23" customHeight="1">
      <x:c r="A70" s="172"/>
      <x:c r="B70" s="172"/>
      <x:c r="C70" s="172"/>
      <x:c r="D70" s="172"/>
      <x:c r="E70" s="172"/>
      <x:c r="F70" s="172"/>
      <x:c r="G70" s="172"/>
      <x:c r="H70" s="172"/>
      <x:c r="I70" s="172"/>
      <x:c r="J70" s="172"/>
      <x:c r="K70" s="172"/>
      <x:c r="L70" s="172"/>
    </x:row>
    <x:row r="71" ht="23" customHeight="1">
      <x:c r="A71" s="172"/>
      <x:c r="B71" s="172"/>
      <x:c r="C71" s="172"/>
      <x:c r="D71" s="172"/>
      <x:c r="E71" s="172"/>
      <x:c r="F71" s="172"/>
      <x:c r="G71" s="172"/>
      <x:c r="H71" s="172"/>
      <x:c r="I71" s="172"/>
      <x:c r="J71" s="172"/>
      <x:c r="K71" s="172"/>
      <x:c r="L71" s="172"/>
    </x:row>
    <x:row r="72" ht="23" customHeight="1">
      <x:c r="A72" s="172"/>
      <x:c r="B72" s="172"/>
      <x:c r="C72" s="172"/>
      <x:c r="D72" s="172"/>
      <x:c r="E72" s="172"/>
      <x:c r="F72" s="172"/>
      <x:c r="G72" s="172"/>
      <x:c r="H72" s="172"/>
      <x:c r="I72" s="172"/>
      <x:c r="J72" s="172"/>
      <x:c r="K72" s="172"/>
      <x:c r="L72" s="172"/>
    </x:row>
    <x:row r="73" ht="23" customHeight="1">
      <x:c r="A73" s="172"/>
      <x:c r="B73" s="172"/>
      <x:c r="C73" s="172"/>
      <x:c r="D73" s="172"/>
      <x:c r="E73" s="172"/>
      <x:c r="F73" s="172"/>
      <x:c r="G73" s="172"/>
      <x:c r="H73" s="172"/>
      <x:c r="I73" s="172"/>
      <x:c r="J73" s="172"/>
      <x:c r="K73" s="172"/>
      <x:c r="L73" s="172"/>
    </x:row>
    <x:row r="74" ht="23" customHeight="1">
      <x:c r="A74" s="172"/>
      <x:c r="B74" s="172"/>
      <x:c r="C74" s="172"/>
      <x:c r="D74" s="172"/>
      <x:c r="E74" s="172"/>
      <x:c r="F74" s="172"/>
      <x:c r="G74" s="172"/>
      <x:c r="H74" s="172"/>
      <x:c r="I74" s="172"/>
      <x:c r="J74" s="172"/>
      <x:c r="K74" s="172"/>
      <x:c r="L74" s="172"/>
    </x:row>
    <x:row r="75" ht="23" customHeight="1">
      <x:c r="A75" s="172"/>
      <x:c r="B75" s="172"/>
      <x:c r="C75" s="172"/>
      <x:c r="D75" s="172"/>
      <x:c r="E75" s="172"/>
      <x:c r="F75" s="172"/>
      <x:c r="G75" s="172"/>
      <x:c r="H75" s="172"/>
      <x:c r="I75" s="172"/>
      <x:c r="J75" s="172"/>
      <x:c r="K75" s="172"/>
      <x:c r="L75" s="172"/>
    </x:row>
    <x:row r="76" ht="23" customHeight="1">
      <x:c r="A76" s="172"/>
      <x:c r="B76" s="172"/>
      <x:c r="C76" s="172"/>
      <x:c r="D76" s="172"/>
      <x:c r="E76" s="172"/>
      <x:c r="F76" s="172"/>
      <x:c r="G76" s="172"/>
      <x:c r="H76" s="172"/>
      <x:c r="I76" s="172"/>
      <x:c r="J76" s="172"/>
      <x:c r="K76" s="172"/>
      <x:c r="L76" s="172"/>
    </x:row>
    <x:row r="77" ht="23" customHeight="1">
      <x:c r="A77" s="172"/>
      <x:c r="B77" s="172"/>
      <x:c r="C77" s="172"/>
      <x:c r="D77" s="172"/>
      <x:c r="E77" s="172"/>
      <x:c r="F77" s="172"/>
      <x:c r="G77" s="172"/>
      <x:c r="H77" s="172"/>
      <x:c r="I77" s="172"/>
      <x:c r="J77" s="172"/>
      <x:c r="K77" s="172"/>
      <x:c r="L77" s="172"/>
    </x:row>
    <x:row r="78" ht="23" customHeight="1">
      <x:c r="A78" s="172"/>
      <x:c r="B78" s="172"/>
      <x:c r="C78" s="172"/>
      <x:c r="D78" s="172"/>
      <x:c r="E78" s="172"/>
      <x:c r="F78" s="172"/>
      <x:c r="G78" s="172"/>
      <x:c r="H78" s="172"/>
      <x:c r="I78" s="172"/>
      <x:c r="J78" s="172"/>
      <x:c r="K78" s="172"/>
      <x:c r="L78" s="172"/>
    </x:row>
    <x:row r="79" ht="23" customHeight="1">
      <x:c r="A79" s="172"/>
      <x:c r="B79" s="172"/>
      <x:c r="C79" s="172"/>
      <x:c r="D79" s="172"/>
      <x:c r="E79" s="172"/>
      <x:c r="F79" s="172"/>
      <x:c r="G79" s="172"/>
      <x:c r="H79" s="172"/>
      <x:c r="I79" s="172"/>
      <x:c r="J79" s="172"/>
      <x:c r="K79" s="172"/>
      <x:c r="L79" s="172"/>
    </x:row>
    <x:row r="80" ht="23" customHeight="1">
      <x:c r="A80" s="172"/>
      <x:c r="B80" s="172"/>
      <x:c r="C80" s="172"/>
      <x:c r="D80" s="172"/>
      <x:c r="E80" s="172"/>
      <x:c r="F80" s="172"/>
      <x:c r="G80" s="172"/>
      <x:c r="H80" s="172"/>
      <x:c r="I80" s="172"/>
      <x:c r="J80" s="172"/>
      <x:c r="K80" s="172"/>
      <x:c r="L80" s="172"/>
    </x:row>
    <x:row r="81" ht="23" customHeight="1">
      <x:c r="A81" s="172"/>
      <x:c r="B81" s="172"/>
      <x:c r="C81" s="172"/>
      <x:c r="D81" s="172"/>
      <x:c r="E81" s="172"/>
      <x:c r="F81" s="172"/>
      <x:c r="G81" s="172"/>
      <x:c r="H81" s="172"/>
      <x:c r="I81" s="172"/>
      <x:c r="J81" s="172"/>
      <x:c r="K81" s="172"/>
      <x:c r="L81" s="172"/>
    </x:row>
    <x:row r="82" ht="23" customHeight="1">
      <x:c r="A82" s="172"/>
      <x:c r="B82" s="172"/>
      <x:c r="C82" s="172"/>
      <x:c r="D82" s="172"/>
      <x:c r="E82" s="172"/>
      <x:c r="F82" s="172"/>
      <x:c r="G82" s="172"/>
      <x:c r="H82" s="172"/>
      <x:c r="I82" s="172"/>
      <x:c r="J82" s="172"/>
      <x:c r="K82" s="172"/>
      <x:c r="L82" s="172"/>
    </x:row>
    <x:row r="83" ht="23" customHeight="1">
      <x:c r="A83" s="172"/>
      <x:c r="B83" s="172"/>
      <x:c r="C83" s="172"/>
      <x:c r="D83" s="172"/>
      <x:c r="E83" s="172"/>
      <x:c r="F83" s="172"/>
      <x:c r="G83" s="172"/>
      <x:c r="H83" s="172"/>
      <x:c r="I83" s="172"/>
      <x:c r="J83" s="172"/>
      <x:c r="K83" s="172"/>
      <x:c r="L83" s="172"/>
    </x:row>
    <x:row r="84" ht="23" customHeight="1">
      <x:c r="A84" s="172"/>
      <x:c r="B84" s="172"/>
      <x:c r="C84" s="172"/>
      <x:c r="D84" s="172"/>
      <x:c r="E84" s="172"/>
      <x:c r="F84" s="172"/>
      <x:c r="G84" s="172"/>
      <x:c r="H84" s="172"/>
      <x:c r="I84" s="172"/>
      <x:c r="J84" s="172"/>
      <x:c r="K84" s="172"/>
      <x:c r="L84" s="172"/>
    </x:row>
    <x:row r="85" ht="23" customHeight="1">
      <x:c r="A85" s="172"/>
      <x:c r="B85" s="172"/>
      <x:c r="C85" s="172"/>
      <x:c r="D85" s="172"/>
      <x:c r="E85" s="172"/>
      <x:c r="F85" s="172"/>
      <x:c r="G85" s="172"/>
      <x:c r="H85" s="172"/>
      <x:c r="I85" s="172"/>
      <x:c r="J85" s="172"/>
      <x:c r="K85" s="172"/>
      <x:c r="L85" s="172"/>
    </x:row>
    <x:row r="86" ht="23" customHeight="1">
      <x:c r="A86" s="172"/>
      <x:c r="B86" s="172"/>
      <x:c r="C86" s="172"/>
      <x:c r="D86" s="172"/>
      <x:c r="E86" s="172"/>
      <x:c r="F86" s="172"/>
      <x:c r="G86" s="172"/>
      <x:c r="H86" s="172"/>
      <x:c r="I86" s="172"/>
      <x:c r="J86" s="172"/>
      <x:c r="K86" s="172"/>
      <x:c r="L86" s="172"/>
    </x:row>
    <x:row r="87" ht="23" customHeight="1">
      <x:c r="A87" s="172"/>
      <x:c r="B87" s="172"/>
      <x:c r="C87" s="172"/>
      <x:c r="D87" s="172"/>
      <x:c r="E87" s="172"/>
      <x:c r="F87" s="172"/>
      <x:c r="G87" s="172"/>
      <x:c r="H87" s="172"/>
      <x:c r="I87" s="172"/>
      <x:c r="J87" s="172"/>
      <x:c r="K87" s="172"/>
      <x:c r="L87" s="172"/>
    </x:row>
    <x:row r="88" ht="23" customHeight="1">
      <x:c r="A88" s="172"/>
      <x:c r="B88" s="172"/>
      <x:c r="C88" s="172"/>
      <x:c r="D88" s="172"/>
      <x:c r="E88" s="172"/>
      <x:c r="F88" s="172"/>
      <x:c r="G88" s="172"/>
      <x:c r="H88" s="172"/>
      <x:c r="I88" s="172"/>
      <x:c r="J88" s="172"/>
      <x:c r="K88" s="172"/>
      <x:c r="L88" s="172"/>
    </x:row>
    <x:row r="89" ht="23" customHeight="1">
      <x:c r="A89" s="172"/>
      <x:c r="B89" s="172"/>
      <x:c r="C89" s="172"/>
      <x:c r="D89" s="172"/>
      <x:c r="E89" s="172"/>
      <x:c r="F89" s="172"/>
      <x:c r="G89" s="172"/>
      <x:c r="H89" s="172"/>
      <x:c r="I89" s="172"/>
      <x:c r="J89" s="172"/>
      <x:c r="K89" s="172"/>
      <x:c r="L89" s="172"/>
    </x:row>
    <x:row r="90" ht="23" customHeight="1">
      <x:c r="A90" s="172"/>
      <x:c r="B90" s="172"/>
      <x:c r="C90" s="172"/>
      <x:c r="D90" s="172"/>
      <x:c r="E90" s="172"/>
      <x:c r="F90" s="172"/>
      <x:c r="G90" s="172"/>
      <x:c r="H90" s="172"/>
      <x:c r="I90" s="172"/>
      <x:c r="J90" s="172"/>
      <x:c r="K90" s="172"/>
      <x:c r="L90" s="172"/>
    </x:row>
    <x:row r="91" ht="23" customHeight="1">
      <x:c r="A91" s="172"/>
      <x:c r="B91" s="172"/>
      <x:c r="C91" s="172"/>
      <x:c r="D91" s="172"/>
      <x:c r="E91" s="172"/>
      <x:c r="F91" s="172"/>
      <x:c r="G91" s="172"/>
      <x:c r="H91" s="172"/>
      <x:c r="I91" s="172"/>
      <x:c r="J91" s="172"/>
      <x:c r="K91" s="172"/>
      <x:c r="L91" s="172"/>
    </x:row>
    <x:row r="92" ht="23" customHeight="1">
      <x:c r="A92" s="172"/>
      <x:c r="B92" s="172"/>
      <x:c r="C92" s="172"/>
      <x:c r="D92" s="172"/>
      <x:c r="E92" s="172"/>
      <x:c r="F92" s="172"/>
      <x:c r="G92" s="172"/>
      <x:c r="H92" s="172"/>
      <x:c r="I92" s="172"/>
      <x:c r="J92" s="172"/>
      <x:c r="K92" s="172"/>
      <x:c r="L92" s="172"/>
    </x:row>
    <x:row r="93" ht="23" customHeight="1">
      <x:c r="A93" s="172"/>
      <x:c r="B93" s="172"/>
      <x:c r="C93" s="172"/>
      <x:c r="D93" s="172"/>
      <x:c r="E93" s="172"/>
      <x:c r="F93" s="172"/>
      <x:c r="G93" s="172"/>
      <x:c r="H93" s="172"/>
      <x:c r="I93" s="172"/>
      <x:c r="J93" s="172"/>
      <x:c r="K93" s="172"/>
      <x:c r="L93" s="172"/>
    </x:row>
    <x:row r="94" ht="23" customHeight="1">
      <x:c r="A94" s="172"/>
      <x:c r="B94" s="172"/>
      <x:c r="C94" s="172"/>
      <x:c r="D94" s="172"/>
      <x:c r="E94" s="172"/>
      <x:c r="F94" s="172"/>
      <x:c r="G94" s="172"/>
      <x:c r="H94" s="172"/>
      <x:c r="I94" s="172"/>
      <x:c r="J94" s="172"/>
      <x:c r="K94" s="172"/>
      <x:c r="L94" s="172"/>
    </x:row>
    <x:row r="95" ht="23" customHeight="1">
      <x:c r="A95" s="172"/>
      <x:c r="B95" s="172"/>
      <x:c r="C95" s="172"/>
      <x:c r="D95" s="172"/>
      <x:c r="E95" s="172"/>
      <x:c r="F95" s="172"/>
      <x:c r="G95" s="172"/>
      <x:c r="H95" s="172"/>
      <x:c r="I95" s="172"/>
      <x:c r="J95" s="172"/>
      <x:c r="K95" s="172"/>
      <x:c r="L95" s="172"/>
    </x:row>
    <x:row r="96" ht="23" customHeight="1">
      <x:c r="A96" s="172"/>
      <x:c r="B96" s="172"/>
      <x:c r="C96" s="172"/>
      <x:c r="D96" s="172"/>
      <x:c r="E96" s="172"/>
      <x:c r="F96" s="172"/>
      <x:c r="G96" s="172"/>
      <x:c r="H96" s="172"/>
      <x:c r="I96" s="172"/>
      <x:c r="J96" s="172"/>
      <x:c r="K96" s="172"/>
      <x:c r="L96" s="172"/>
    </x:row>
    <x:row r="97" ht="23" customHeight="1">
      <x:c r="A97" s="172"/>
      <x:c r="B97" s="172"/>
      <x:c r="C97" s="172"/>
      <x:c r="D97" s="172"/>
      <x:c r="E97" s="172"/>
      <x:c r="F97" s="172"/>
      <x:c r="G97" s="172"/>
      <x:c r="H97" s="172"/>
      <x:c r="I97" s="172"/>
      <x:c r="J97" s="172"/>
      <x:c r="K97" s="172"/>
      <x:c r="L97" s="172"/>
    </x:row>
    <x:row r="98" ht="23" customHeight="1">
      <x:c r="A98" s="172"/>
      <x:c r="B98" s="172"/>
      <x:c r="C98" s="172"/>
      <x:c r="D98" s="172"/>
      <x:c r="E98" s="172"/>
      <x:c r="F98" s="172"/>
      <x:c r="G98" s="172"/>
      <x:c r="H98" s="172"/>
      <x:c r="I98" s="172"/>
      <x:c r="J98" s="172"/>
      <x:c r="K98" s="172"/>
      <x:c r="L98" s="172"/>
    </x:row>
    <x:row r="99" ht="23" customHeight="1">
      <x:c r="A99" s="172"/>
      <x:c r="B99" s="172"/>
      <x:c r="C99" s="172"/>
      <x:c r="D99" s="172"/>
      <x:c r="E99" s="172"/>
      <x:c r="F99" s="172"/>
      <x:c r="G99" s="172"/>
      <x:c r="H99" s="172"/>
      <x:c r="I99" s="172"/>
      <x:c r="J99" s="172"/>
      <x:c r="K99" s="172"/>
      <x:c r="L99" s="172"/>
    </x:row>
    <x:row r="100" ht="23" customHeight="1">
      <x:c r="A100" s="172"/>
      <x:c r="B100" s="172"/>
      <x:c r="C100" s="172"/>
      <x:c r="D100" s="172"/>
      <x:c r="E100" s="172"/>
      <x:c r="F100" s="172"/>
      <x:c r="G100" s="172"/>
      <x:c r="H100" s="172"/>
      <x:c r="I100" s="172"/>
      <x:c r="J100" s="172"/>
      <x:c r="K100" s="172"/>
      <x:c r="L100" s="172"/>
    </x:row>
    <x:row r="101" ht="23" customHeight="1">
      <x:c r="A101" s="172"/>
      <x:c r="B101" s="172"/>
      <x:c r="C101" s="172"/>
      <x:c r="D101" s="172"/>
      <x:c r="E101" s="172"/>
      <x:c r="F101" s="172"/>
      <x:c r="G101" s="172"/>
      <x:c r="H101" s="172"/>
      <x:c r="I101" s="172"/>
      <x:c r="J101" s="172"/>
      <x:c r="K101" s="172"/>
      <x:c r="L101" s="172"/>
    </x:row>
    <x:row r="102" ht="23" customHeight="1">
      <x:c r="A102" s="172"/>
      <x:c r="B102" s="172"/>
      <x:c r="C102" s="172"/>
      <x:c r="D102" s="172"/>
      <x:c r="E102" s="172"/>
      <x:c r="F102" s="172"/>
      <x:c r="G102" s="172"/>
      <x:c r="H102" s="172"/>
      <x:c r="I102" s="172"/>
      <x:c r="J102" s="172"/>
      <x:c r="K102" s="172"/>
      <x:c r="L102" s="172"/>
    </x:row>
    <x:row r="103" ht="23" customHeight="1">
      <x:c r="A103" s="172"/>
      <x:c r="B103" s="172"/>
      <x:c r="C103" s="172"/>
      <x:c r="D103" s="172"/>
      <x:c r="E103" s="172"/>
      <x:c r="F103" s="172"/>
      <x:c r="G103" s="172"/>
      <x:c r="H103" s="172"/>
      <x:c r="I103" s="172"/>
      <x:c r="J103" s="172"/>
      <x:c r="K103" s="172"/>
      <x:c r="L103" s="172"/>
    </x:row>
    <x:row r="104" ht="23" customHeight="1">
      <x:c r="A104" s="172"/>
      <x:c r="B104" s="172"/>
      <x:c r="C104" s="172"/>
      <x:c r="D104" s="172"/>
      <x:c r="E104" s="172"/>
      <x:c r="F104" s="172"/>
      <x:c r="G104" s="172"/>
      <x:c r="H104" s="172"/>
      <x:c r="I104" s="172"/>
      <x:c r="J104" s="172"/>
      <x:c r="K104" s="172"/>
      <x:c r="L104" s="172"/>
    </x:row>
    <x:row r="105" ht="23" customHeight="1">
      <x:c r="A105" s="172"/>
      <x:c r="B105" s="172"/>
      <x:c r="C105" s="172"/>
      <x:c r="D105" s="172"/>
      <x:c r="E105" s="172"/>
      <x:c r="F105" s="172"/>
      <x:c r="G105" s="172"/>
      <x:c r="H105" s="172"/>
      <x:c r="I105" s="172"/>
      <x:c r="J105" s="172"/>
      <x:c r="K105" s="172"/>
      <x:c r="L105" s="172"/>
    </x:row>
    <x:row r="106" ht="23" customHeight="1">
      <x:c r="A106" s="172"/>
      <x:c r="B106" s="172"/>
      <x:c r="C106" s="172"/>
      <x:c r="D106" s="172"/>
      <x:c r="E106" s="172"/>
      <x:c r="F106" s="172"/>
      <x:c r="G106" s="172"/>
      <x:c r="H106" s="172"/>
      <x:c r="I106" s="172"/>
      <x:c r="J106" s="172"/>
      <x:c r="K106" s="172"/>
      <x:c r="L106" s="172"/>
    </x:row>
    <x:row r="107" ht="23" customHeight="1">
      <x:c r="A107" s="172"/>
      <x:c r="B107" s="172"/>
      <x:c r="C107" s="172"/>
      <x:c r="D107" s="172"/>
      <x:c r="E107" s="172"/>
      <x:c r="F107" s="172"/>
      <x:c r="G107" s="172"/>
      <x:c r="H107" s="172"/>
      <x:c r="I107" s="172"/>
      <x:c r="J107" s="172"/>
      <x:c r="K107" s="172"/>
      <x:c r="L107" s="172"/>
    </x:row>
    <x:row r="108" ht="23" customHeight="1">
      <x:c r="A108" s="172"/>
      <x:c r="B108" s="172"/>
      <x:c r="C108" s="172"/>
      <x:c r="D108" s="172"/>
      <x:c r="E108" s="172"/>
      <x:c r="F108" s="172"/>
      <x:c r="G108" s="172"/>
      <x:c r="H108" s="172"/>
      <x:c r="I108" s="172"/>
      <x:c r="J108" s="172"/>
      <x:c r="K108" s="172"/>
      <x:c r="L108" s="172"/>
    </x:row>
    <x:row r="109" ht="23" customHeight="1">
      <x:c r="A109" s="172"/>
      <x:c r="B109" s="172"/>
      <x:c r="C109" s="172"/>
      <x:c r="D109" s="172"/>
      <x:c r="E109" s="172"/>
      <x:c r="F109" s="172"/>
      <x:c r="G109" s="172"/>
      <x:c r="H109" s="172"/>
      <x:c r="I109" s="172"/>
      <x:c r="J109" s="172"/>
      <x:c r="K109" s="172"/>
      <x:c r="L109" s="172"/>
    </x:row>
    <x:row r="110" ht="23" customHeight="1">
      <x:c r="A110" s="172"/>
      <x:c r="B110" s="172"/>
      <x:c r="C110" s="172"/>
      <x:c r="D110" s="172"/>
      <x:c r="E110" s="172"/>
      <x:c r="F110" s="172"/>
      <x:c r="G110" s="172"/>
      <x:c r="H110" s="172"/>
      <x:c r="I110" s="172"/>
      <x:c r="J110" s="172"/>
      <x:c r="K110" s="172"/>
      <x:c r="L110" s="172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117E80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0" hidden="0" customWidth="1"/>
    <x:col min="2" max="2" width="69" hidden="0" customWidth="1"/>
    <x:col min="3" max="3" width="34" hidden="0" customWidth="1"/>
    <x:col min="4" max="4" width="34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23" customHeight="1">
      <x:c r="A1" s="173" t="str">
        <x:v>REGULILE DE ELIGIBILITATE</x:v>
      </x:c>
      <x:c r="B1" s="172"/>
      <x:c r="C1" s="172"/>
      <x:c r="D1" s="172"/>
      <x:c r="E1" s="172"/>
      <x:c r="F1" s="172"/>
      <x:c r="G1" s="172"/>
      <x:c r="H1" s="172"/>
    </x:row>
    <x:row r="2" ht="23" customHeight="1">
      <x:c r="A2" s="172"/>
      <x:c r="B2" s="172"/>
      <x:c r="C2" s="172"/>
      <x:c r="D2" s="172"/>
      <x:c r="E2" s="172"/>
      <x:c r="F2" s="172"/>
      <x:c r="G2" s="172"/>
      <x:c r="H2" s="172"/>
    </x:row>
    <x:row r="3" ht="23" customHeight="1">
      <x:c r="A3" s="174" t="str">
        <x:v>Regulile sunt executate de selectorul Multi-Line. Această foaie explică rezultatele.</x:v>
      </x:c>
      <x:c r="B3" s="172"/>
      <x:c r="C3" s="172"/>
      <x:c r="D3" s="172"/>
      <x:c r="E3" s="172"/>
      <x:c r="F3" s="172"/>
      <x:c r="G3" s="172"/>
      <x:c r="H3" s="172"/>
    </x:row>
    <x:row r="4" ht="23" customHeight="1">
      <x:c r="A4" s="172"/>
      <x:c r="B4" s="172"/>
      <x:c r="C4" s="172"/>
      <x:c r="D4" s="172"/>
      <x:c r="E4" s="172"/>
      <x:c r="F4" s="172"/>
      <x:c r="G4" s="172"/>
      <x:c r="H4" s="172"/>
    </x:row>
    <x:row r="5" ht="36" customHeight="1">
      <x:c r="A5" s="181" t="str">
        <x:v>Control</x:v>
      </x:c>
      <x:c r="B5" s="181" t="str">
        <x:v>Regulă</x:v>
      </x:c>
      <x:c r="C5" s="181" t="str">
        <x:v>Rezultat U4,5</x:v>
      </x:c>
      <x:c r="D5" s="172"/>
      <x:c r="E5" s="172"/>
      <x:c r="F5" s="172"/>
      <x:c r="G5" s="172"/>
      <x:c r="H5" s="172"/>
    </x:row>
    <x:row r="6" ht="37" customHeight="1">
      <x:c r="A6" s="172" t="str">
        <x:v>Data Readiness</x:v>
      </x:c>
      <x:c r="B6" s="187" t="str">
        <x:v>Neverificat =&gt; sourcing de reluat</x:v>
      </x:c>
      <x:c r="C6" s="187" t="str">
        <x:f>IF(Under_MultiLine_v9!T6="","",Under_MultiLine_v9!T6)</x:f>
        <x:v>SOURCING INCOMPLETE</x:v>
      </x:c>
      <x:c r="D6" s="172"/>
      <x:c r="E6" s="172"/>
      <x:c r="F6" s="172"/>
      <x:c r="G6" s="172"/>
      <x:c r="H6" s="172"/>
    </x:row>
    <x:row r="7" ht="37" customHeight="1">
      <x:c r="A7" s="172" t="str">
        <x:v>G0</x:v>
      </x:c>
      <x:c r="B7" s="187" t="str">
        <x:v>Input critic absent/conflict =&gt; FAIL</x:v>
      </x:c>
      <x:c r="C7" s="187" t="str">
        <x:f>IF(Under_MultiLine_v9!U6="","",Under_MultiLine_v9!U6)</x:f>
        <x:v>INCOMPLETE</x:v>
      </x:c>
      <x:c r="D7" s="172"/>
      <x:c r="E7" s="172"/>
      <x:c r="F7" s="172"/>
      <x:c r="G7" s="172"/>
      <x:c r="H7" s="172"/>
    </x:row>
    <x:row r="8" ht="37" customHeight="1">
      <x:c r="A8" s="172" t="str">
        <x:v>Tail Risk</x:v>
      </x:c>
      <x:c r="B8" s="187" t="str">
        <x:v>&gt;40: NO BET; &gt;30 până la 40: maxim PRUDENT</x:v>
      </x:c>
      <x:c r="C8" s="187" t="str">
        <x:f>IF('Tail Risk v3'!B20="","",'Tail Risk v3'!B20)</x:f>
      </x:c>
      <x:c r="D8" s="172"/>
      <x:c r="E8" s="172"/>
      <x:c r="F8" s="172"/>
      <x:c r="G8" s="172"/>
      <x:c r="H8" s="172"/>
    </x:row>
    <x:row r="9" ht="37" customHeight="1">
      <x:c r="A9" s="172" t="str">
        <x:v>Volatilitate</x:v>
      </x:c>
      <x:c r="B9" s="187" t="str">
        <x:v>≥70: NO BET; 50–&lt;70: maxim PRUDENT</x:v>
      </x:c>
      <x:c r="C9" s="187" t="str">
        <x:f>IF('Tail Risk v3'!B10="","",'Tail Risk v3'!B10)</x:f>
      </x:c>
      <x:c r="D9" s="172"/>
      <x:c r="E9" s="172"/>
      <x:c r="F9" s="172"/>
      <x:c r="G9" s="172"/>
      <x:c r="H9" s="172"/>
    </x:row>
    <x:row r="10" ht="37" customHeight="1">
      <x:c r="A10" s="172" t="str">
        <x:v>Gate tail</x:v>
      </x:c>
      <x:c r="B10" s="187" t="str">
        <x:v>Aplicat înainte de risc și probabilitate</x:v>
      </x:c>
      <x:c r="C10" s="187" t="str">
        <x:f>IF(Under_MultiLine_v9!Y6="","",Under_MultiLine_v9!Y6)</x:f>
        <x:v>PENDING</x:v>
      </x:c>
      <x:c r="D10" s="172"/>
      <x:c r="E10" s="172"/>
      <x:c r="F10" s="172"/>
      <x:c r="G10" s="172"/>
      <x:c r="H10" s="172"/>
    </x:row>
    <x:row r="11" ht="37" customHeight="1">
      <x:c r="A11" s="172" t="str">
        <x:v>Near-tail</x:v>
      </x:c>
      <x:c r="B11" s="187" t="str">
        <x:v>HIGH: cel mult PRUDENT și downgrade maximum o clasă</x:v>
      </x:c>
      <x:c r="C11" s="187" t="str">
        <x:f>IF(Under_MultiLine_v9!J6="","",Under_MultiLine_v9!J6)</x:f>
        <x:v>PENDING</x:v>
      </x:c>
      <x:c r="D11" s="172"/>
      <x:c r="E11" s="172"/>
      <x:c r="F11" s="172"/>
      <x:c r="G11" s="172"/>
      <x:c r="H11" s="172"/>
    </x:row>
    <x:row r="12" ht="37" customHeight="1">
      <x:c r="A12" s="172" t="str">
        <x:v>Severe-tail</x:v>
      </x:c>
      <x:c r="B12" s="187" t="str">
        <x:v>Prag activ numai după validare OOS</x:v>
      </x:c>
      <x:c r="C12" s="187" t="str">
        <x:f>IF(Under_MultiLine_v9!K6="","",Under_MultiLine_v9!K6)</x:f>
        <x:v>PENDING</x:v>
      </x:c>
      <x:c r="D12" s="172"/>
      <x:c r="E12" s="172"/>
      <x:c r="F12" s="172"/>
      <x:c r="G12" s="172"/>
      <x:c r="H12" s="172"/>
    </x:row>
    <x:row r="13" ht="37" customHeight="1">
      <x:c r="A13" s="172" t="str">
        <x:v>Risk Level</x:v>
      </x:c>
      <x:c r="B13" s="187" t="str">
        <x:v>Verdictul nu poate fi mai bun decât nivelul de risc</x:v>
      </x:c>
      <x:c r="C13" s="187" t="str">
        <x:f>IF(Under_MultiLine_v9!N6="","",Under_MultiLine_v9!N6)</x:f>
      </x:c>
      <x:c r="D13" s="172"/>
      <x:c r="E13" s="172"/>
      <x:c r="F13" s="172"/>
      <x:c r="G13" s="172"/>
      <x:c r="H13" s="172"/>
    </x:row>
    <x:row r="14" ht="37" customHeight="1">
      <x:c r="A14" s="172" t="str">
        <x:v>Confidence</x:v>
      </x:c>
      <x:c r="B14" s="187" t="str">
        <x:v>70 defensiv; 60 prudent/moderat/ridicat</x:v>
      </x:c>
      <x:c r="C14" s="187" t="str">
        <x:f>IF(Under_MultiLine_v9!O6="","",Under_MultiLine_v9!O6)</x:f>
      </x:c>
      <x:c r="D14" s="172"/>
      <x:c r="E14" s="172"/>
      <x:c r="F14" s="172"/>
      <x:c r="G14" s="172"/>
      <x:c r="H14" s="172"/>
    </x:row>
    <x:row r="15" ht="37" customHeight="1">
      <x:c r="A15" s="172" t="str">
        <x:v>Probabilitate ajustată</x:v>
      </x:c>
      <x:c r="B15" s="187" t="str">
        <x:v>88% defensiv; 82% prudent; 76% moderat</x:v>
      </x:c>
      <x:c r="C15" s="187" t="str">
        <x:f>IF(Under_MultiLine_v9!G6="","",Under_MultiLine_v9!G6)</x:f>
      </x:c>
      <x:c r="D15" s="172"/>
      <x:c r="E15" s="172"/>
      <x:c r="F15" s="172"/>
      <x:c r="G15" s="172"/>
      <x:c r="H15" s="172"/>
    </x:row>
    <x:row r="16" ht="37" customHeight="1">
      <x:c r="A16" s="172" t="str">
        <x:v>Preț / EV</x:v>
      </x:c>
      <x:c r="B16" s="187" t="str">
        <x:v>Informativ, fără dependențe în motor</x:v>
      </x:c>
      <x:c r="C16" s="187" t="str">
        <x:f>IF("EXCLUS TEHNIC"="","","EXCLUS TEHNIC")</x:f>
        <x:v>EXCLUS TEHNIC</x:v>
      </x:c>
      <x:c r="D16" s="172"/>
      <x:c r="E16" s="172"/>
      <x:c r="F16" s="172"/>
      <x:c r="G16" s="172"/>
      <x:c r="H16" s="172"/>
    </x:row>
    <x:row r="17" ht="37" customHeight="1">
      <x:c r="A17" s="172" t="str">
        <x:v>Verdict unic</x:v>
      </x:c>
      <x:c r="B17" s="187" t="str">
        <x:v>Același rezultat în Dashboard și export</x:v>
      </x:c>
      <x:c r="C17" s="187" t="str">
        <x:f>IF(Under_MultiLine_v9!P6="","",Under_MultiLine_v9!P6)</x:f>
        <x:v>NEELIBERAT</x:v>
      </x:c>
      <x:c r="D17" s="172"/>
      <x:c r="E17" s="172"/>
      <x:c r="F17" s="172"/>
      <x:c r="G17" s="172"/>
      <x:c r="H17" s="172"/>
    </x:row>
    <x:row r="18" ht="23" customHeight="1">
      <x:c r="A18" s="172" t="str">
        <x:v>Verdict de referință</x:v>
      </x:c>
      <x:c r="B18" s="172"/>
      <x:c r="C18" s="172"/>
      <x:c r="D18" s="172" t="str">
        <x:f>Under_MultiLine_v9!P6</x:f>
        <x:v>NEELIBERAT</x:v>
      </x:c>
      <x:c r="E18" s="172"/>
      <x:c r="F18" s="172"/>
      <x:c r="G18" s="172"/>
      <x:c r="H18" s="172"/>
    </x:row>
    <x:row r="19" ht="23" customHeight="1">
      <x:c r="A19" s="172"/>
      <x:c r="B19" s="172"/>
      <x:c r="C19" s="172"/>
      <x:c r="D19" s="172"/>
      <x:c r="E19" s="172"/>
      <x:c r="F19" s="172"/>
      <x:c r="G19" s="172"/>
      <x:c r="H19" s="172"/>
    </x:row>
    <x:row r="20" ht="23" customHeight="1">
      <x:c r="A20" s="172"/>
      <x:c r="B20" s="172"/>
      <x:c r="C20" s="172"/>
      <x:c r="D20" s="172"/>
      <x:c r="E20" s="172"/>
      <x:c r="F20" s="172"/>
      <x:c r="G20" s="172"/>
      <x:c r="H20" s="172"/>
    </x:row>
    <x:row r="21" ht="23" customHeight="1">
      <x:c r="A21" s="172"/>
      <x:c r="B21" s="172"/>
      <x:c r="C21" s="172"/>
      <x:c r="D21" s="172"/>
      <x:c r="E21" s="172"/>
      <x:c r="F21" s="172"/>
      <x:c r="G21" s="172"/>
      <x:c r="H21" s="172"/>
    </x:row>
    <x:row r="22" ht="23" customHeight="1">
      <x:c r="A22" s="172" t="str">
        <x:v>Lambda 2,70 / 2,80 și favorite share 65% rămân diagnostice. Nu înlocuiesc distribuția și hard gate-urile.</x:v>
      </x:c>
      <x:c r="B22" s="172"/>
      <x:c r="C22" s="172"/>
      <x:c r="D22" s="172"/>
      <x:c r="E22" s="172"/>
      <x:c r="F22" s="172"/>
      <x:c r="G22" s="172"/>
      <x:c r="H22" s="172"/>
    </x:row>
    <x:row r="23" ht="23" customHeight="1">
      <x:c r="A23" s="172" t="str">
        <x:v>SMALL SAMPLE se tratează prin ponderare, prior și Confidence; nu impune automat o clasă de risc.</x:v>
      </x:c>
      <x:c r="B23" s="172"/>
      <x:c r="C23" s="172"/>
      <x:c r="D23" s="172"/>
      <x:c r="E23" s="172"/>
      <x:c r="F23" s="172"/>
      <x:c r="G23" s="172"/>
      <x:c r="H23" s="172"/>
    </x:row>
    <x:row r="24" ht="23" customHeight="1">
      <x:c r="A24" s="172"/>
      <x:c r="B24" s="172"/>
      <x:c r="C24" s="172"/>
      <x:c r="D24" s="172"/>
      <x:c r="E24" s="172"/>
      <x:c r="F24" s="172"/>
      <x:c r="G24" s="172"/>
      <x:c r="H24" s="172"/>
    </x:row>
    <x:row r="25" ht="23" customHeight="1">
      <x:c r="A25" s="172"/>
      <x:c r="B25" s="172"/>
      <x:c r="C25" s="172"/>
      <x:c r="D25" s="172"/>
      <x:c r="E25" s="172"/>
      <x:c r="F25" s="172"/>
      <x:c r="G25" s="172"/>
      <x:c r="H25" s="172"/>
    </x:row>
    <x:row r="26" ht="23" customHeight="1">
      <x:c r="A26" s="172"/>
      <x:c r="B26" s="172"/>
      <x:c r="C26" s="172"/>
      <x:c r="D26" s="172"/>
      <x:c r="E26" s="172"/>
      <x:c r="F26" s="172"/>
      <x:c r="G26" s="172"/>
      <x:c r="H26" s="172"/>
    </x:row>
    <x:row r="27" ht="23" customHeight="1">
      <x:c r="A27" s="172"/>
      <x:c r="B27" s="172"/>
      <x:c r="C27" s="172"/>
      <x:c r="D27" s="172"/>
      <x:c r="E27" s="172"/>
      <x:c r="F27" s="172"/>
      <x:c r="G27" s="172"/>
      <x:c r="H27" s="172"/>
    </x:row>
    <x:row r="28" ht="23" customHeight="1">
      <x:c r="A28" s="172"/>
      <x:c r="B28" s="172"/>
      <x:c r="C28" s="172"/>
      <x:c r="D28" s="172"/>
      <x:c r="E28" s="172"/>
      <x:c r="F28" s="172"/>
      <x:c r="G28" s="172"/>
      <x:c r="H28" s="172"/>
    </x:row>
    <x:row r="29" ht="23" customHeight="1">
      <x:c r="A29" s="172"/>
      <x:c r="B29" s="172"/>
      <x:c r="C29" s="172"/>
      <x:c r="D29" s="172"/>
      <x:c r="E29" s="172"/>
      <x:c r="F29" s="172"/>
      <x:c r="G29" s="172"/>
      <x:c r="H29" s="172"/>
    </x:row>
    <x:row r="30" ht="23" customHeight="1">
      <x:c r="A30" s="172"/>
      <x:c r="B30" s="172"/>
      <x:c r="C30" s="172"/>
      <x:c r="D30" s="172"/>
      <x:c r="E30" s="172"/>
      <x:c r="F30" s="172"/>
      <x:c r="G30" s="172"/>
      <x:c r="H30" s="172"/>
    </x:row>
    <x:row r="31" ht="23" customHeight="1">
      <x:c r="A31" s="172"/>
      <x:c r="B31" s="172"/>
      <x:c r="C31" s="172"/>
      <x:c r="D31" s="172"/>
      <x:c r="E31" s="172"/>
      <x:c r="F31" s="172"/>
      <x:c r="G31" s="172"/>
      <x:c r="H31" s="172"/>
    </x:row>
    <x:row r="32" ht="23" customHeight="1">
      <x:c r="A32" s="172"/>
      <x:c r="B32" s="172"/>
      <x:c r="C32" s="172"/>
      <x:c r="D32" s="172"/>
      <x:c r="E32" s="172"/>
      <x:c r="F32" s="172"/>
      <x:c r="G32" s="172"/>
      <x:c r="H32" s="172"/>
    </x:row>
    <x:row r="33" ht="23" customHeight="1">
      <x:c r="A33" s="172"/>
      <x:c r="B33" s="172"/>
      <x:c r="C33" s="172"/>
      <x:c r="D33" s="172"/>
      <x:c r="E33" s="172"/>
      <x:c r="F33" s="172"/>
      <x:c r="G33" s="172"/>
      <x:c r="H33" s="172"/>
    </x:row>
    <x:row r="34" ht="23" customHeight="1">
      <x:c r="A34" s="172"/>
      <x:c r="B34" s="172"/>
      <x:c r="C34" s="172"/>
      <x:c r="D34" s="172"/>
      <x:c r="E34" s="172"/>
      <x:c r="F34" s="172"/>
      <x:c r="G34" s="172"/>
      <x:c r="H34" s="172"/>
    </x:row>
    <x:row r="35" ht="23" customHeight="1">
      <x:c r="A35" s="172"/>
      <x:c r="B35" s="172"/>
      <x:c r="C35" s="172"/>
      <x:c r="D35" s="172"/>
      <x:c r="E35" s="172"/>
      <x:c r="F35" s="172"/>
      <x:c r="G35" s="172"/>
      <x:c r="H35" s="172"/>
    </x:row>
    <x:row r="36" ht="23" customHeight="1">
      <x:c r="A36" s="172"/>
      <x:c r="B36" s="172"/>
      <x:c r="C36" s="172"/>
      <x:c r="D36" s="172"/>
      <x:c r="E36" s="172"/>
      <x:c r="F36" s="172"/>
      <x:c r="G36" s="172"/>
      <x:c r="H36" s="172"/>
    </x:row>
    <x:row r="37" ht="23" customHeight="1">
      <x:c r="A37" s="172"/>
      <x:c r="B37" s="172"/>
      <x:c r="C37" s="172"/>
      <x:c r="D37" s="172"/>
      <x:c r="E37" s="172"/>
      <x:c r="F37" s="172"/>
      <x:c r="G37" s="172"/>
      <x:c r="H37" s="172"/>
    </x:row>
    <x:row r="38" ht="23" customHeight="1">
      <x:c r="A38" s="172"/>
      <x:c r="B38" s="172"/>
      <x:c r="C38" s="172"/>
      <x:c r="D38" s="172"/>
      <x:c r="E38" s="172"/>
      <x:c r="F38" s="172"/>
      <x:c r="G38" s="172"/>
      <x:c r="H38" s="172"/>
    </x:row>
    <x:row r="39" ht="23" customHeight="1">
      <x:c r="A39" s="172"/>
      <x:c r="B39" s="172"/>
      <x:c r="C39" s="172"/>
      <x:c r="D39" s="172"/>
      <x:c r="E39" s="172"/>
      <x:c r="F39" s="172"/>
      <x:c r="G39" s="172"/>
      <x:c r="H39" s="172"/>
    </x:row>
    <x:row r="40" ht="23" customHeight="1">
      <x:c r="A40" s="172"/>
      <x:c r="B40" s="172"/>
      <x:c r="C40" s="172"/>
      <x:c r="D40" s="172"/>
      <x:c r="E40" s="172"/>
      <x:c r="F40" s="172"/>
      <x:c r="G40" s="172"/>
      <x:c r="H40" s="172"/>
    </x:row>
    <x:row r="41" ht="23" customHeight="1">
      <x:c r="A41" s="172"/>
      <x:c r="B41" s="172"/>
      <x:c r="C41" s="172"/>
      <x:c r="D41" s="172"/>
      <x:c r="E41" s="172"/>
      <x:c r="F41" s="172"/>
      <x:c r="G41" s="172"/>
      <x:c r="H41" s="172"/>
    </x:row>
    <x:row r="42" ht="23" customHeight="1">
      <x:c r="A42" s="172"/>
      <x:c r="B42" s="172"/>
      <x:c r="C42" s="172"/>
      <x:c r="D42" s="172"/>
      <x:c r="E42" s="172"/>
      <x:c r="F42" s="172"/>
      <x:c r="G42" s="172"/>
      <x:c r="H42" s="172"/>
    </x:row>
    <x:row r="43" ht="23" customHeight="1">
      <x:c r="A43" s="172"/>
      <x:c r="B43" s="172"/>
      <x:c r="C43" s="172"/>
      <x:c r="D43" s="172"/>
      <x:c r="E43" s="172"/>
      <x:c r="F43" s="172"/>
      <x:c r="G43" s="172"/>
      <x:c r="H43" s="172"/>
    </x:row>
    <x:row r="44" ht="23" customHeight="1">
      <x:c r="A44" s="172"/>
      <x:c r="B44" s="172"/>
      <x:c r="C44" s="172"/>
      <x:c r="D44" s="172"/>
      <x:c r="E44" s="172"/>
      <x:c r="F44" s="172"/>
      <x:c r="G44" s="172"/>
      <x:c r="H44" s="172"/>
    </x:row>
    <x:row r="45" ht="23" customHeight="1">
      <x:c r="A45" s="172"/>
      <x:c r="B45" s="172"/>
      <x:c r="C45" s="172"/>
      <x:c r="D45" s="172"/>
      <x:c r="E45" s="172"/>
      <x:c r="F45" s="172"/>
      <x:c r="G45" s="172"/>
      <x:c r="H45" s="172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117E80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2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29" hidden="0" customWidth="1"/>
    <x:col min="10" max="10" width="29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</x:cols>
  <x:sheetData>
    <x:row r="1" ht="23" customHeight="1">
      <x:c r="A1" s="173" t="str">
        <x:v>MOTOR STATISTIC FĂRĂ COTE</x:v>
      </x:c>
      <x:c r="B1" s="172"/>
      <x:c r="C1" s="172"/>
      <x:c r="D1" s="172"/>
      <x:c r="E1" s="172"/>
      <x:c r="F1" s="172"/>
      <x:c r="G1" s="172"/>
      <x:c r="H1" s="222"/>
      <x:c r="I1" s="172"/>
      <x:c r="J1" s="172"/>
      <x:c r="K1" s="172"/>
      <x:c r="L1" s="172"/>
      <x:c r="M1" s="172"/>
      <x:c r="N1" s="172"/>
      <x:c r="O1" s="172"/>
      <x:c r="P1" s="172"/>
      <x:c r="Q1" s="172"/>
      <x:c r="R1" s="172"/>
      <x:c r="S1" s="172"/>
    </x:row>
    <x:row r="2" ht="23" customHeight="1">
      <x:c r="A2" s="172"/>
      <x:c r="B2" s="172"/>
      <x:c r="C2" s="172"/>
      <x:c r="D2" s="172"/>
      <x:c r="E2" s="172"/>
      <x:c r="F2" s="172"/>
      <x:c r="G2" s="172"/>
      <x:c r="H2" s="222"/>
      <x:c r="I2" s="172"/>
      <x:c r="J2" s="172"/>
      <x:c r="K2" s="172"/>
      <x:c r="L2" s="172"/>
      <x:c r="M2" s="172"/>
      <x:c r="N2" s="172"/>
      <x:c r="O2" s="172"/>
      <x:c r="P2" s="172"/>
      <x:c r="Q2" s="172"/>
      <x:c r="R2" s="172"/>
      <x:c r="S2" s="172"/>
    </x:row>
    <x:row r="3" ht="23" customHeight="1">
      <x:c r="A3" s="174" t="str">
        <x:v>Inputurile sunt citite exclusiv din Date statistice; ponderile sunt renormalizate pe datele eligibile.</x:v>
      </x:c>
      <x:c r="B3" s="172"/>
      <x:c r="C3" s="172"/>
      <x:c r="D3" s="172"/>
      <x:c r="E3" s="172"/>
      <x:c r="F3" s="172"/>
      <x:c r="G3" s="172"/>
      <x:c r="H3" s="222"/>
      <x:c r="I3" s="172"/>
      <x:c r="J3" s="172"/>
      <x:c r="K3" s="172"/>
      <x:c r="L3" s="172"/>
      <x:c r="M3" s="172"/>
      <x:c r="N3" s="172"/>
      <x:c r="O3" s="172"/>
      <x:c r="P3" s="172"/>
      <x:c r="Q3" s="172"/>
      <x:c r="R3" s="172"/>
      <x:c r="S3" s="172"/>
    </x:row>
    <x:row r="4" ht="23" customHeight="1">
      <x:c r="A4" s="172"/>
      <x:c r="B4" s="172"/>
      <x:c r="C4" s="172"/>
      <x:c r="D4" s="172"/>
      <x:c r="E4" s="172"/>
      <x:c r="F4" s="172"/>
      <x:c r="G4" s="172"/>
      <x:c r="H4" s="222"/>
      <x:c r="I4" s="172"/>
      <x:c r="J4" s="172"/>
      <x:c r="K4" s="172"/>
      <x:c r="L4" s="172"/>
      <x:c r="M4" s="172"/>
      <x:c r="N4" s="172"/>
      <x:c r="O4" s="172"/>
      <x:c r="P4" s="172"/>
      <x:c r="Q4" s="172"/>
      <x:c r="R4" s="172"/>
      <x:c r="S4" s="172"/>
    </x:row>
    <x:row r="5" ht="23" customHeight="1">
      <x:c r="A5" s="172" t="str">
        <x:v>Tip meci</x:v>
      </x:c>
      <x:c r="B5" s="172" t="str">
        <x:f>'Date statistice'!B5</x:f>
        <x:v>Cupe / Europa</x:v>
      </x:c>
      <x:c r="C5" s="172"/>
      <x:c r="D5" s="172"/>
      <x:c r="E5" s="172"/>
      <x:c r="F5" s="172"/>
      <x:c r="G5" s="172"/>
      <x:c r="H5" s="222"/>
      <x:c r="I5" s="172" t="str">
        <x:v>G0 statistic</x:v>
      </x:c>
      <x:c r="J5" s="172" t="str">
        <x:f>IF(OR(COUNTIFS(E10:E19,"SOURCE CONFLICT",H10:H19,1)&gt;0,'Date statistice'!B6="NOT AVAILABLE",'Date statistice'!B6="SOURCE CONFLICT"),"FAIL",IF(AND(ISNUMBER('Date statistice'!B12),ISNUMBER('Date statistice'!B10),'Date statistice'!B12&gt;='Date statistice'!B10),"INCOMPLETE",IF(OR('Date statistice'!B6="NOT AVAILABLE",'Date statistice'!B6="SOURCE CONFLICT"),"FAIL",IF(OR(NOT(OR('Date statistice'!B6="VERIFIED",'Date statistice'!B6="DERIVED",'Date statistice'!B6="SMALL SAMPLE",'Date statistice'!B6="PRIOR / SHRINKAGE",'Date statistice'!B6="PROXY ONLY")),'Date statistice'!B7="",'Date statistice'!B8="",'Date statistice'!B9="",NOT(ISNUMBER('Date statistice'!B10)),'Date statistice'!B11="",NOT(ISNUMBER('Date statistice'!B12))),"INCOMPLETE",IF(OR(COUNTIFS(E10:E19,"INCOMPLETE",H10:H19,1)&gt;0,COUNTIFS(E10:E19,"INVALID",H10:H19,1)&gt;0),"INCOMPLETE",IF(OR(COUNTIFS(E10:E19,"SOURCE CONFLICT",H10:H19,1)&gt;0,NOT(AND(OR(E10="READY",AND(H14=1,E14="READY"),AND(H16=1,E16="READY")),OR(E11="READY",AND(H15=1,E15="READY"),AND(H17=1,E17="READY")),OR(E12="READY",AND(H18=1,E18="READY")),OR(E13="READY",AND(H19=1,E19="READY"))))),"FAIL",IF(OR(NOT(ISNUMBER('Date statistice'!B30)),NOT(ISNUMBER('Date statistice'!B31)),'Date statistice'!B30&lt;=0,'Date statistice'!B31&lt;=0),"INCOMPLETE","PASS")))))))</x:f>
        <x:v>INCOMPLETE</x:v>
      </x:c>
      <x:c r="K5" s="172"/>
      <x:c r="L5" s="172"/>
      <x:c r="M5" s="172"/>
      <x:c r="N5" s="172"/>
      <x:c r="O5" s="172"/>
      <x:c r="P5" s="172"/>
      <x:c r="Q5" s="172"/>
      <x:c r="R5" s="172"/>
      <x:c r="S5" s="172"/>
    </x:row>
    <x:row r="6" ht="23" customHeight="1">
      <x:c r="A6" s="172"/>
      <x:c r="B6" s="172"/>
      <x:c r="C6" s="172"/>
      <x:c r="D6" s="172"/>
      <x:c r="E6" s="172"/>
      <x:c r="F6" s="172"/>
      <x:c r="G6" s="172"/>
      <x:c r="H6" s="222"/>
      <x:c r="I6" s="172" t="str">
        <x:v>Stare statistică</x:v>
      </x:c>
      <x:c r="J6" s="172" t="str">
        <x:f>IF(J5="PASS","READY",IF(J5="FAIL","CRITICAL INPUT FAIL","SOURCING INCOMPLETE"))</x:f>
        <x:v>SOURCING INCOMPLETE</x:v>
      </x:c>
      <x:c r="K6" s="172"/>
      <x:c r="L6" s="172"/>
      <x:c r="M6" s="172"/>
      <x:c r="N6" s="172"/>
      <x:c r="O6" s="172"/>
      <x:c r="P6" s="172"/>
      <x:c r="Q6" s="172"/>
      <x:c r="R6" s="172"/>
      <x:c r="S6" s="172"/>
    </x:row>
    <x:row r="7" ht="23" customHeight="1">
      <x:c r="A7" s="172"/>
      <x:c r="B7" s="172"/>
      <x:c r="C7" s="172"/>
      <x:c r="D7" s="172"/>
      <x:c r="E7" s="172"/>
      <x:c r="F7" s="172"/>
      <x:c r="G7" s="172"/>
      <x:c r="H7" s="222"/>
      <x:c r="I7" s="172" t="str">
        <x:v>Tail Score</x:v>
      </x:c>
      <x:c r="J7" s="172" t="str">
        <x:f>IF(COUNT(J31:J39)=9,J41,"")</x:f>
      </x:c>
      <x:c r="K7" s="172"/>
      <x:c r="L7" s="172"/>
      <x:c r="M7" s="172"/>
      <x:c r="N7" s="172"/>
      <x:c r="O7" s="172"/>
      <x:c r="P7" s="172"/>
      <x:c r="Q7" s="172"/>
      <x:c r="R7" s="172"/>
      <x:c r="S7" s="172"/>
    </x:row>
    <x:row r="8" ht="23" customHeight="1">
      <x:c r="A8" s="172"/>
      <x:c r="B8" s="172"/>
      <x:c r="C8" s="172"/>
      <x:c r="D8" s="172"/>
      <x:c r="E8" s="172"/>
      <x:c r="F8" s="172"/>
      <x:c r="G8" s="172"/>
      <x:c r="H8" s="222"/>
      <x:c r="I8" s="172" t="str">
        <x:v>G1 pending</x:v>
      </x:c>
      <x:c r="J8" s="172" t="str">
        <x:f>IF(AND(AND(OR('Date statistice'!C32="VERIFIED",'Date statistice'!C32="DERIVED",'Date statistice'!C32="SMALL SAMPLE",'Date statistice'!C32="PRIOR / SHRINKAGE",'Date statistice'!C32="PROXY ONLY"),ISNUMBER('Date statistice'!B32),'Date statistice'!D32&lt;&gt;"",ISNUMBER('Date statistice'!E32),'Date statistice'!E32&lt;'Date statistice'!$B$10),AND(OR('Date statistice'!C33="VERIFIED",'Date statistice'!C33="DERIVED",'Date statistice'!C33="SMALL SAMPLE",'Date statistice'!C33="PRIOR / SHRINKAGE",'Date statistice'!C33="PROXY ONLY"),ISNUMBER('Date statistice'!B33),'Date statistice'!D33&lt;&gt;"",ISNUMBER('Date statistice'!E33),'Date statistice'!E33&lt;'Date statistice'!$B$10),AND(OR('Date statistice'!C34="VERIFIED",'Date statistice'!C34="DERIVED",'Date statistice'!C34="SMALL SAMPLE",'Date statistice'!C34="PRIOR / SHRINKAGE",'Date statistice'!C34="PROXY ONLY"),ISNUMBER('Date statistice'!B34),'Date statistice'!D34&lt;&gt;"",ISNUMBER('Date statistice'!E34),'Date statistice'!E34&lt;'Date statistice'!$B$10),AND(OR('Date statistice'!C35="VERIFIED",'Date statistice'!C35="DERIVED",'Date statistice'!C35="SMALL SAMPLE",'Date statistice'!C35="PRIOR / SHRINKAGE",'Date statistice'!C35="PROXY ONLY"),ISNUMBER('Date statistice'!B35),'Date statistice'!D35&lt;&gt;"",ISNUMBER('Date statistice'!E35),'Date statistice'!E35&lt;'Date statistice'!$B$10),OR('Date statistice'!B38="VERIFIED",'Date statistice'!B38="DERIVED",'Date statistice'!B38="SMALL SAMPLE",'Date statistice'!B38="PRIOR / SHRINKAGE",'Date statistice'!B38="PROXY ONLY")),"NU","DA")</x:f>
        <x:v>DA</x:v>
      </x:c>
      <x:c r="K8" s="172"/>
      <x:c r="L8" s="172"/>
      <x:c r="M8" s="172"/>
      <x:c r="N8" s="172"/>
      <x:c r="O8" s="172"/>
      <x:c r="P8" s="172"/>
      <x:c r="Q8" s="172"/>
      <x:c r="R8" s="172"/>
      <x:c r="S8" s="172"/>
    </x:row>
    <x:row r="9" ht="36" customHeight="1">
      <x:c r="A9" s="181" t="str">
        <x:v>Indicator</x:v>
      </x:c>
      <x:c r="B9" s="181" t="str">
        <x:v>Valoare utilizată</x:v>
      </x:c>
      <x:c r="C9" s="181" t="str">
        <x:v>N efectiv</x:v>
      </x:c>
      <x:c r="D9" s="181" t="str">
        <x:v>Fiabilitate</x:v>
      </x:c>
      <x:c r="E9" s="181" t="str">
        <x:v>Stare input</x:v>
      </x:c>
      <x:c r="F9" s="181" t="str">
        <x:v>Tip utilizat</x:v>
      </x:c>
      <x:c r="G9" s="181" t="str">
        <x:v>Prag N</x:v>
      </x:c>
      <x:c r="H9" s="181" t="str">
        <x:v>Componentă activă</x:v>
      </x:c>
      <x:c r="I9" s="172" t="str">
        <x:v>Confidence inițial</x:v>
      </x:c>
      <x:c r="J9" s="172" t="n">
        <x:f>'Date statistice'!B36</x:f>
        <x:v>76</x:v>
      </x:c>
      <x:c r="K9" s="172"/>
      <x:c r="L9" s="172"/>
      <x:c r="M9" s="172"/>
      <x:c r="N9" s="172"/>
      <x:c r="O9" s="172"/>
      <x:c r="P9" s="172"/>
      <x:c r="Q9" s="172"/>
      <x:c r="R9" s="172"/>
      <x:c r="S9" s="172"/>
    </x:row>
    <x:row r="10" ht="32" customHeight="1">
      <x:c r="A10" s="172" t="str">
        <x:v>xG domestic H</x:v>
      </x:c>
      <x:c r="B10" s="189" t="str">
        <x:f>IF(E10&lt;&gt;"READY","",(IF(ISNUMBER('Date statistice'!C16),'Date statistice'!C16,0)*MIN(IF(ISNUMBER('Date statistice'!D16),'Date statistice'!D16,0),G10)+IF(ISNUMBER('Date statistice'!E16),'Date statistice'!E16,0)*MIN(IF(ISNUMBER('Date statistice'!F16),'Date statistice'!F16,0),MAX(0,G10-MIN(IF(ISNUMBER('Date statistice'!D16),'Date statistice'!D16,0),G10))))/C10)</x:f>
      </x:c>
      <x:c r="C10" s="190" t="str">
        <x:f>IF(E10&lt;&gt;"READY","",MIN(IF(ISNUMBER('Date statistice'!D16),'Date statistice'!D16,0),G10)+MIN(IF(ISNUMBER('Date statistice'!F16),'Date statistice'!F16,0),MAX(0,G10-MIN(IF(ISNUMBER('Date statistice'!D16),'Date statistice'!D16,0),G10))))</x:f>
      </x:c>
      <x:c r="D10" s="191" t="str">
        <x:f>IF(E10&lt;&gt;"READY","",MIN(1,C10/G10))</x:f>
      </x:c>
      <x:c r="E10" s="172" t="str">
        <x:f>IFERROR(IF('Date statistice'!G16="SOURCE CONFLICT","SOURCE CONFLICT",IF('Date statistice'!G16="NOT AVAILABLE","NOT AVAILABLE",IF(NOT(OR('Date statistice'!G16="VERIFIED",'Date statistice'!G16="DERIVED",'Date statistice'!G16="SMALL SAMPLE",'Date statistice'!G16="PRIOR / SHRINKAGE",'Date statistice'!G16="PROXY ONLY")),"INCOMPLETE",IF(AND(AND(OR(AND('Date statistice'!C16="",'Date statistice'!D16=""),AND(ISNUMBER('Date statistice'!C16),'Date statistice'!C16&gt;=0,ISNUMBER('Date statistice'!D16),'Date statistice'!D16&gt;0,INT('Date statistice'!D16)='Date statistice'!D16)),OR(AND('Date statistice'!E16="",'Date statistice'!F16=""),AND(ISNUMBER('Date statistice'!E16),'Date statistice'!E16&gt;=0,ISNUMBER('Date statistice'!F16),'Date statistice'!F16&gt;0,INT('Date statistice'!F16)='Date statistice'!F16))),OR(AND(ISNUMBER('Date statistice'!C16),'Date statistice'!C16&gt;=0,ISNUMBER('Date statistice'!D16),'Date statistice'!D16&gt;0,INT('Date statistice'!D16)='Date statistice'!D16),AND(ISNUMBER('Date statistice'!E16),'Date statistice'!E16&gt;=0,ISNUMBER('Date statistice'!F16),'Date statistice'!F16&gt;0,INT('Date statistice'!F16)='Date statistice'!F16)),'Date statistice'!H16&lt;&gt;"",ISNUMBER('Date statistice'!I16),'Date statistice'!I16&lt;'Date statistice'!$B$10,'Date statistice'!J16&lt;&gt;""),"READY","INVALID")))),"INVALID")</x:f>
        <x:v>INCOMPLETE</x:v>
      </x:c>
      <x:c r="F10" s="172" t="str">
        <x:f>IF(E10&lt;&gt;"READY","",IF(OR('Date statistice'!K16="PROXY",'Date statistice'!G16="PROXY ONLY"),"PROXY","NATIVE"))</x:f>
      </x:c>
      <x:c r="G10" s="172" t="n">
        <x:f>Under_LineCal_v9!$B$14</x:f>
        <x:v>8</x:v>
      </x:c>
      <x:c r="H10" s="222" t="n">
        <x:f>1</x:f>
        <x:v>1</x:v>
      </x:c>
      <x:c r="I10" s="172"/>
      <x:c r="J10" s="172"/>
      <x:c r="K10" s="172"/>
      <x:c r="L10" s="172"/>
      <x:c r="M10" s="172"/>
      <x:c r="N10" s="172"/>
      <x:c r="O10" s="172"/>
      <x:c r="P10" s="172"/>
      <x:c r="Q10" s="172"/>
      <x:c r="R10" s="172"/>
      <x:c r="S10" s="172"/>
    </x:row>
    <x:row r="11" ht="32" customHeight="1">
      <x:c r="A11" s="172" t="str">
        <x:v>xG domestic A</x:v>
      </x:c>
      <x:c r="B11" s="189" t="str">
        <x:f>IF(E11&lt;&gt;"READY","",(IF(ISNUMBER('Date statistice'!C17),'Date statistice'!C17,0)*MIN(IF(ISNUMBER('Date statistice'!D17),'Date statistice'!D17,0),G11)+IF(ISNUMBER('Date statistice'!E17),'Date statistice'!E17,0)*MIN(IF(ISNUMBER('Date statistice'!F17),'Date statistice'!F17,0),MAX(0,G11-MIN(IF(ISNUMBER('Date statistice'!D17),'Date statistice'!D17,0),G11))))/C11)</x:f>
      </x:c>
      <x:c r="C11" s="190" t="str">
        <x:f>IF(E11&lt;&gt;"READY","",MIN(IF(ISNUMBER('Date statistice'!D17),'Date statistice'!D17,0),G11)+MIN(IF(ISNUMBER('Date statistice'!F17),'Date statistice'!F17,0),MAX(0,G11-MIN(IF(ISNUMBER('Date statistice'!D17),'Date statistice'!D17,0),G11))))</x:f>
      </x:c>
      <x:c r="D11" s="191" t="str">
        <x:f>IF(E11&lt;&gt;"READY","",MIN(1,C11/G11))</x:f>
      </x:c>
      <x:c r="E11" s="172" t="str">
        <x:f>IFERROR(IF('Date statistice'!G17="SOURCE CONFLICT","SOURCE CONFLICT",IF('Date statistice'!G17="NOT AVAILABLE","NOT AVAILABLE",IF(NOT(OR('Date statistice'!G17="VERIFIED",'Date statistice'!G17="DERIVED",'Date statistice'!G17="SMALL SAMPLE",'Date statistice'!G17="PRIOR / SHRINKAGE",'Date statistice'!G17="PROXY ONLY")),"INCOMPLETE",IF(AND(AND(OR(AND('Date statistice'!C17="",'Date statistice'!D17=""),AND(ISNUMBER('Date statistice'!C17),'Date statistice'!C17&gt;=0,ISNUMBER('Date statistice'!D17),'Date statistice'!D17&gt;0,INT('Date statistice'!D17)='Date statistice'!D17)),OR(AND('Date statistice'!E17="",'Date statistice'!F17=""),AND(ISNUMBER('Date statistice'!E17),'Date statistice'!E17&gt;=0,ISNUMBER('Date statistice'!F17),'Date statistice'!F17&gt;0,INT('Date statistice'!F17)='Date statistice'!F17))),OR(AND(ISNUMBER('Date statistice'!C17),'Date statistice'!C17&gt;=0,ISNUMBER('Date statistice'!D17),'Date statistice'!D17&gt;0,INT('Date statistice'!D17)='Date statistice'!D17),AND(ISNUMBER('Date statistice'!E17),'Date statistice'!E17&gt;=0,ISNUMBER('Date statistice'!F17),'Date statistice'!F17&gt;0,INT('Date statistice'!F17)='Date statistice'!F17)),'Date statistice'!H17&lt;&gt;"",ISNUMBER('Date statistice'!I17),'Date statistice'!I17&lt;'Date statistice'!$B$10,'Date statistice'!J17&lt;&gt;""),"READY","INVALID")))),"INVALID")</x:f>
        <x:v>INCOMPLETE</x:v>
      </x:c>
      <x:c r="F11" s="172" t="str">
        <x:f>IF(E11&lt;&gt;"READY","",IF(OR('Date statistice'!K17="PROXY",'Date statistice'!G17="PROXY ONLY"),"PROXY","NATIVE"))</x:f>
      </x:c>
      <x:c r="G11" s="172" t="n">
        <x:f>Under_LineCal_v9!$B$14</x:f>
        <x:v>8</x:v>
      </x:c>
      <x:c r="H11" s="222" t="n">
        <x:f>1</x:f>
        <x:v>1</x:v>
      </x:c>
      <x:c r="I11" s="172"/>
      <x:c r="J11" s="172"/>
      <x:c r="K11" s="172"/>
      <x:c r="L11" s="172"/>
      <x:c r="M11" s="172"/>
      <x:c r="N11" s="172"/>
      <x:c r="O11" s="172"/>
      <x:c r="P11" s="172"/>
      <x:c r="Q11" s="172"/>
      <x:c r="R11" s="172"/>
      <x:c r="S11" s="172"/>
    </x:row>
    <x:row r="12" ht="32" customHeight="1">
      <x:c r="A12" s="172" t="str">
        <x:v>xGA domestic H</x:v>
      </x:c>
      <x:c r="B12" s="189" t="str">
        <x:f>IF(E12&lt;&gt;"READY","",(IF(ISNUMBER('Date statistice'!C18),'Date statistice'!C18,0)*MIN(IF(ISNUMBER('Date statistice'!D18),'Date statistice'!D18,0),G12)+IF(ISNUMBER('Date statistice'!E18),'Date statistice'!E18,0)*MIN(IF(ISNUMBER('Date statistice'!F18),'Date statistice'!F18,0),MAX(0,G12-MIN(IF(ISNUMBER('Date statistice'!D18),'Date statistice'!D18,0),G12))))/C12)</x:f>
      </x:c>
      <x:c r="C12" s="190" t="str">
        <x:f>IF(E12&lt;&gt;"READY","",MIN(IF(ISNUMBER('Date statistice'!D18),'Date statistice'!D18,0),G12)+MIN(IF(ISNUMBER('Date statistice'!F18),'Date statistice'!F18,0),MAX(0,G12-MIN(IF(ISNUMBER('Date statistice'!D18),'Date statistice'!D18,0),G12))))</x:f>
      </x:c>
      <x:c r="D12" s="191" t="str">
        <x:f>IF(E12&lt;&gt;"READY","",MIN(1,C12/G12))</x:f>
      </x:c>
      <x:c r="E12" s="172" t="str">
        <x:f>IFERROR(IF('Date statistice'!G18="SOURCE CONFLICT","SOURCE CONFLICT",IF('Date statistice'!G18="NOT AVAILABLE","NOT AVAILABLE",IF(NOT(OR('Date statistice'!G18="VERIFIED",'Date statistice'!G18="DERIVED",'Date statistice'!G18="SMALL SAMPLE",'Date statistice'!G18="PRIOR / SHRINKAGE",'Date statistice'!G18="PROXY ONLY")),"INCOMPLETE",IF(AND(AND(OR(AND('Date statistice'!C18="",'Date statistice'!D18=""),AND(ISNUMBER('Date statistice'!C18),'Date statistice'!C18&gt;=0,ISNUMBER('Date statistice'!D18),'Date statistice'!D18&gt;0,INT('Date statistice'!D18)='Date statistice'!D18)),OR(AND('Date statistice'!E18="",'Date statistice'!F18=""),AND(ISNUMBER('Date statistice'!E18),'Date statistice'!E18&gt;=0,ISNUMBER('Date statistice'!F18),'Date statistice'!F18&gt;0,INT('Date statistice'!F18)='Date statistice'!F18))),OR(AND(ISNUMBER('Date statistice'!C18),'Date statistice'!C18&gt;=0,ISNUMBER('Date statistice'!D18),'Date statistice'!D18&gt;0,INT('Date statistice'!D18)='Date statistice'!D18),AND(ISNUMBER('Date statistice'!E18),'Date statistice'!E18&gt;=0,ISNUMBER('Date statistice'!F18),'Date statistice'!F18&gt;0,INT('Date statistice'!F18)='Date statistice'!F18)),'Date statistice'!H18&lt;&gt;"",ISNUMBER('Date statistice'!I18),'Date statistice'!I18&lt;'Date statistice'!$B$10,'Date statistice'!J18&lt;&gt;""),"READY","INVALID")))),"INVALID")</x:f>
        <x:v>INCOMPLETE</x:v>
      </x:c>
      <x:c r="F12" s="172" t="str">
        <x:f>IF(E12&lt;&gt;"READY","",IF(OR('Date statistice'!K18="PROXY",'Date statistice'!G18="PROXY ONLY"),"PROXY","NATIVE"))</x:f>
      </x:c>
      <x:c r="G12" s="172" t="n">
        <x:f>Under_LineCal_v9!$B$14</x:f>
        <x:v>8</x:v>
      </x:c>
      <x:c r="H12" s="222" t="n">
        <x:f>1</x:f>
        <x:v>1</x:v>
      </x:c>
      <x:c r="I12" s="172"/>
      <x:c r="J12" s="172"/>
      <x:c r="K12" s="172"/>
      <x:c r="L12" s="172"/>
      <x:c r="M12" s="172"/>
      <x:c r="N12" s="172"/>
      <x:c r="O12" s="172"/>
      <x:c r="P12" s="172"/>
      <x:c r="Q12" s="172"/>
      <x:c r="R12" s="172"/>
      <x:c r="S12" s="172"/>
    </x:row>
    <x:row r="13" ht="32" customHeight="1">
      <x:c r="A13" s="172" t="str">
        <x:v>xGA domestic A</x:v>
      </x:c>
      <x:c r="B13" s="189" t="str">
        <x:f>IF(E13&lt;&gt;"READY","",(IF(ISNUMBER('Date statistice'!C19),'Date statistice'!C19,0)*MIN(IF(ISNUMBER('Date statistice'!D19),'Date statistice'!D19,0),G13)+IF(ISNUMBER('Date statistice'!E19),'Date statistice'!E19,0)*MIN(IF(ISNUMBER('Date statistice'!F19),'Date statistice'!F19,0),MAX(0,G13-MIN(IF(ISNUMBER('Date statistice'!D19),'Date statistice'!D19,0),G13))))/C13)</x:f>
      </x:c>
      <x:c r="C13" s="190" t="str">
        <x:f>IF(E13&lt;&gt;"READY","",MIN(IF(ISNUMBER('Date statistice'!D19),'Date statistice'!D19,0),G13)+MIN(IF(ISNUMBER('Date statistice'!F19),'Date statistice'!F19,0),MAX(0,G13-MIN(IF(ISNUMBER('Date statistice'!D19),'Date statistice'!D19,0),G13))))</x:f>
      </x:c>
      <x:c r="D13" s="191" t="str">
        <x:f>IF(E13&lt;&gt;"READY","",MIN(1,C13/G13))</x:f>
      </x:c>
      <x:c r="E13" s="172" t="str">
        <x:f>IFERROR(IF('Date statistice'!G19="SOURCE CONFLICT","SOURCE CONFLICT",IF('Date statistice'!G19="NOT AVAILABLE","NOT AVAILABLE",IF(NOT(OR('Date statistice'!G19="VERIFIED",'Date statistice'!G19="DERIVED",'Date statistice'!G19="SMALL SAMPLE",'Date statistice'!G19="PRIOR / SHRINKAGE",'Date statistice'!G19="PROXY ONLY")),"INCOMPLETE",IF(AND(AND(OR(AND('Date statistice'!C19="",'Date statistice'!D19=""),AND(ISNUMBER('Date statistice'!C19),'Date statistice'!C19&gt;=0,ISNUMBER('Date statistice'!D19),'Date statistice'!D19&gt;0,INT('Date statistice'!D19)='Date statistice'!D19)),OR(AND('Date statistice'!E19="",'Date statistice'!F19=""),AND(ISNUMBER('Date statistice'!E19),'Date statistice'!E19&gt;=0,ISNUMBER('Date statistice'!F19),'Date statistice'!F19&gt;0,INT('Date statistice'!F19)='Date statistice'!F19))),OR(AND(ISNUMBER('Date statistice'!C19),'Date statistice'!C19&gt;=0,ISNUMBER('Date statistice'!D19),'Date statistice'!D19&gt;0,INT('Date statistice'!D19)='Date statistice'!D19),AND(ISNUMBER('Date statistice'!E19),'Date statistice'!E19&gt;=0,ISNUMBER('Date statistice'!F19),'Date statistice'!F19&gt;0,INT('Date statistice'!F19)='Date statistice'!F19)),'Date statistice'!H19&lt;&gt;"",ISNUMBER('Date statistice'!I19),'Date statistice'!I19&lt;'Date statistice'!$B$10,'Date statistice'!J19&lt;&gt;""),"READY","INVALID")))),"INVALID")</x:f>
        <x:v>INCOMPLETE</x:v>
      </x:c>
      <x:c r="F13" s="172" t="str">
        <x:f>IF(E13&lt;&gt;"READY","",IF(OR('Date statistice'!K19="PROXY",'Date statistice'!G19="PROXY ONLY"),"PROXY","NATIVE"))</x:f>
      </x:c>
      <x:c r="G13" s="172" t="n">
        <x:f>Under_LineCal_v9!$B$14</x:f>
        <x:v>8</x:v>
      </x:c>
      <x:c r="H13" s="222" t="n">
        <x:f>1</x:f>
        <x:v>1</x:v>
      </x:c>
      <x:c r="I13" s="172"/>
      <x:c r="J13" s="172"/>
      <x:c r="K13" s="172"/>
      <x:c r="L13" s="172"/>
      <x:c r="M13" s="172"/>
      <x:c r="N13" s="172"/>
      <x:c r="O13" s="172"/>
      <x:c r="P13" s="172"/>
      <x:c r="Q13" s="172"/>
      <x:c r="R13" s="172"/>
      <x:c r="S13" s="172"/>
    </x:row>
    <x:row r="14" ht="32" customHeight="1">
      <x:c r="A14" s="172" t="str">
        <x:v>xG recent H</x:v>
      </x:c>
      <x:c r="B14" s="189" t="str">
        <x:f>IF(E14&lt;&gt;"READY","",(IF(ISNUMBER('Date statistice'!C20),'Date statistice'!C20,0)*MIN(IF(ISNUMBER('Date statistice'!D20),'Date statistice'!D20,0),G14)+IF(ISNUMBER('Date statistice'!E20),'Date statistice'!E20,0)*MIN(IF(ISNUMBER('Date statistice'!F20),'Date statistice'!F20,0),MAX(0,G14-MIN(IF(ISNUMBER('Date statistice'!D20),'Date statistice'!D20,0),G14))))/C14)</x:f>
      </x:c>
      <x:c r="C14" s="190" t="str">
        <x:f>IF(E14&lt;&gt;"READY","",MIN(IF(ISNUMBER('Date statistice'!D20),'Date statistice'!D20,0),G14)+MIN(IF(ISNUMBER('Date statistice'!F20),'Date statistice'!F20,0),MAX(0,G14-MIN(IF(ISNUMBER('Date statistice'!D20),'Date statistice'!D20,0),G14))))</x:f>
      </x:c>
      <x:c r="D14" s="191" t="str">
        <x:f>IF(E14&lt;&gt;"READY","",MIN(1,C14/G14))</x:f>
      </x:c>
      <x:c r="E14" s="172" t="str">
        <x:f>IFERROR(IF('Date statistice'!G20="SOURCE CONFLICT","SOURCE CONFLICT",IF('Date statistice'!G20="NOT AVAILABLE","NOT AVAILABLE",IF(NOT(OR('Date statistice'!G20="VERIFIED",'Date statistice'!G20="DERIVED",'Date statistice'!G20="SMALL SAMPLE",'Date statistice'!G20="PRIOR / SHRINKAGE",'Date statistice'!G20="PROXY ONLY")),"INCOMPLETE",IF(AND(AND(OR(AND('Date statistice'!C20="",'Date statistice'!D20=""),AND(ISNUMBER('Date statistice'!C20),'Date statistice'!C20&gt;=0,ISNUMBER('Date statistice'!D20),'Date statistice'!D20&gt;0,INT('Date statistice'!D20)='Date statistice'!D20)),OR(AND('Date statistice'!E20="",'Date statistice'!F20=""),AND(ISNUMBER('Date statistice'!E20),'Date statistice'!E20&gt;=0,ISNUMBER('Date statistice'!F20),'Date statistice'!F20&gt;0,INT('Date statistice'!F20)='Date statistice'!F20))),OR(AND(ISNUMBER('Date statistice'!C20),'Date statistice'!C20&gt;=0,ISNUMBER('Date statistice'!D20),'Date statistice'!D20&gt;0,INT('Date statistice'!D20)='Date statistice'!D20),AND(ISNUMBER('Date statistice'!E20),'Date statistice'!E20&gt;=0,ISNUMBER('Date statistice'!F20),'Date statistice'!F20&gt;0,INT('Date statistice'!F20)='Date statistice'!F20)),'Date statistice'!H20&lt;&gt;"",ISNUMBER('Date statistice'!I20),'Date statistice'!I20&lt;'Date statistice'!$B$10,'Date statistice'!J20&lt;&gt;""),"READY","INVALID")))),"INVALID")</x:f>
        <x:v>INCOMPLETE</x:v>
      </x:c>
      <x:c r="F14" s="172" t="str">
        <x:f>IF(E14&lt;&gt;"READY","",IF(OR('Date statistice'!K20="PROXY",'Date statistice'!G20="PROXY ONLY"),"PROXY","NATIVE"))</x:f>
      </x:c>
      <x:c r="G14" s="172" t="n">
        <x:f>Under_LineCal_v9!$B$15</x:f>
        <x:v>5</x:v>
      </x:c>
      <x:c r="H14" s="222" t="n">
        <x:f>IF(AND($B$5="Cupe / Europa",'Date statistice'!J20="ACELAȘI EȘANTION EUROPA"),0,1)</x:f>
        <x:v>0</x:v>
      </x:c>
      <x:c r="I14" s="172" t="str">
        <x:v>P U4,5 ajustată</x:v>
      </x:c>
      <x:c r="J14" s="172" t="str">
        <x:f>Under_MultiLine_v9!G6</x:f>
      </x:c>
      <x:c r="K14" s="172"/>
      <x:c r="L14" s="172"/>
      <x:c r="M14" s="172"/>
      <x:c r="N14" s="172"/>
      <x:c r="O14" s="172"/>
      <x:c r="P14" s="172"/>
      <x:c r="Q14" s="172"/>
      <x:c r="R14" s="172"/>
      <x:c r="S14" s="172"/>
    </x:row>
    <x:row r="15" ht="32" customHeight="1">
      <x:c r="A15" s="172" t="str">
        <x:v>xG recent A</x:v>
      </x:c>
      <x:c r="B15" s="189" t="str">
        <x:f>IF(E15&lt;&gt;"READY","",(IF(ISNUMBER('Date statistice'!C21),'Date statistice'!C21,0)*MIN(IF(ISNUMBER('Date statistice'!D21),'Date statistice'!D21,0),G15)+IF(ISNUMBER('Date statistice'!E21),'Date statistice'!E21,0)*MIN(IF(ISNUMBER('Date statistice'!F21),'Date statistice'!F21,0),MAX(0,G15-MIN(IF(ISNUMBER('Date statistice'!D21),'Date statistice'!D21,0),G15))))/C15)</x:f>
      </x:c>
      <x:c r="C15" s="190" t="str">
        <x:f>IF(E15&lt;&gt;"READY","",MIN(IF(ISNUMBER('Date statistice'!D21),'Date statistice'!D21,0),G15)+MIN(IF(ISNUMBER('Date statistice'!F21),'Date statistice'!F21,0),MAX(0,G15-MIN(IF(ISNUMBER('Date statistice'!D21),'Date statistice'!D21,0),G15))))</x:f>
      </x:c>
      <x:c r="D15" s="191" t="str">
        <x:f>IF(E15&lt;&gt;"READY","",MIN(1,C15/G15))</x:f>
      </x:c>
      <x:c r="E15" s="172" t="str">
        <x:f>IFERROR(IF('Date statistice'!G21="SOURCE CONFLICT","SOURCE CONFLICT",IF('Date statistice'!G21="NOT AVAILABLE","NOT AVAILABLE",IF(NOT(OR('Date statistice'!G21="VERIFIED",'Date statistice'!G21="DERIVED",'Date statistice'!G21="SMALL SAMPLE",'Date statistice'!G21="PRIOR / SHRINKAGE",'Date statistice'!G21="PROXY ONLY")),"INCOMPLETE",IF(AND(AND(OR(AND('Date statistice'!C21="",'Date statistice'!D21=""),AND(ISNUMBER('Date statistice'!C21),'Date statistice'!C21&gt;=0,ISNUMBER('Date statistice'!D21),'Date statistice'!D21&gt;0,INT('Date statistice'!D21)='Date statistice'!D21)),OR(AND('Date statistice'!E21="",'Date statistice'!F21=""),AND(ISNUMBER('Date statistice'!E21),'Date statistice'!E21&gt;=0,ISNUMBER('Date statistice'!F21),'Date statistice'!F21&gt;0,INT('Date statistice'!F21)='Date statistice'!F21))),OR(AND(ISNUMBER('Date statistice'!C21),'Date statistice'!C21&gt;=0,ISNUMBER('Date statistice'!D21),'Date statistice'!D21&gt;0,INT('Date statistice'!D21)='Date statistice'!D21),AND(ISNUMBER('Date statistice'!E21),'Date statistice'!E21&gt;=0,ISNUMBER('Date statistice'!F21),'Date statistice'!F21&gt;0,INT('Date statistice'!F21)='Date statistice'!F21)),'Date statistice'!H21&lt;&gt;"",ISNUMBER('Date statistice'!I21),'Date statistice'!I21&lt;'Date statistice'!$B$10,'Date statistice'!J21&lt;&gt;""),"READY","INVALID")))),"INVALID")</x:f>
        <x:v>INCOMPLETE</x:v>
      </x:c>
      <x:c r="F15" s="172" t="str">
        <x:f>IF(E15&lt;&gt;"READY","",IF(OR('Date statistice'!K21="PROXY",'Date statistice'!G21="PROXY ONLY"),"PROXY","NATIVE"))</x:f>
      </x:c>
      <x:c r="G15" s="172" t="n">
        <x:f>Under_LineCal_v9!$B$15</x:f>
        <x:v>5</x:v>
      </x:c>
      <x:c r="H15" s="222" t="n">
        <x:f>IF(AND($B$5="Cupe / Europa",'Date statistice'!J21="ACELAȘI EȘANTION EUROPA"),0,1)</x:f>
        <x:v>0</x:v>
      </x:c>
      <x:c r="I15" s="172" t="str">
        <x:v>Confidence statistic</x:v>
      </x:c>
      <x:c r="J15" s="172" t="str">
        <x:f>IF(OR(J5&lt;&gt;"PASS",NOT(ISNUMBER(J9)),J9&lt;0,J9&gt;100),"",MAX(0,MIN(J9,Under_LineCal_v9!$B$17+(Under_LineCal_v9!$B$18-Under_LineCal_v9!$B$17)*J16,Under_LineCal_v9!$B$18,IF(COUNTIFS(F10:F19,"PROXY",H10:H19,1)&gt;0,Under_LineCal_v9!$B$17,Under_LineCal_v9!$B$18),IF(OR(J8="DA",COUNTIFS(E10:E19,"NOT AVAILABLE",H10:H19,1)&gt;0),Under_LineCal_v9!$B$44,Under_LineCal_v9!$B$18))-IF('Date statistice'!B37="DA",Under_LineCal_v9!$B$19,0)))</x:f>
      </x:c>
      <x:c r="K15" s="172"/>
      <x:c r="L15" s="172"/>
      <x:c r="M15" s="172"/>
      <x:c r="N15" s="172"/>
      <x:c r="O15" s="172"/>
      <x:c r="P15" s="172"/>
      <x:c r="Q15" s="172"/>
      <x:c r="R15" s="172"/>
      <x:c r="S15" s="172"/>
    </x:row>
    <x:row r="16" ht="32" customHeight="1">
      <x:c r="A16" s="172" t="str">
        <x:v>xG Europa H</x:v>
      </x:c>
      <x:c r="B16" s="189" t="str">
        <x:f>IF(E16&lt;&gt;"READY","",(IF(ISNUMBER('Date statistice'!C22),'Date statistice'!C22,0)*MIN(IF(ISNUMBER('Date statistice'!D22),'Date statistice'!D22,0),G16)+IF(ISNUMBER('Date statistice'!E22),'Date statistice'!E22,0)*MIN(IF(ISNUMBER('Date statistice'!F22),'Date statistice'!F22,0),MAX(0,G16-MIN(IF(ISNUMBER('Date statistice'!D22),'Date statistice'!D22,0),G16))))/C16)</x:f>
      </x:c>
      <x:c r="C16" s="190" t="str">
        <x:f>IF(E16&lt;&gt;"READY","",MIN(IF(ISNUMBER('Date statistice'!D22),'Date statistice'!D22,0),G16)+MIN(IF(ISNUMBER('Date statistice'!F22),'Date statistice'!F22,0),MAX(0,G16-MIN(IF(ISNUMBER('Date statistice'!D22),'Date statistice'!D22,0),G16))))</x:f>
      </x:c>
      <x:c r="D16" s="191" t="str">
        <x:f>IF(E16&lt;&gt;"READY","",MIN(1,C16/G16))</x:f>
      </x:c>
      <x:c r="E16" s="172" t="str">
        <x:f>IFERROR(IF('Date statistice'!G22="SOURCE CONFLICT","SOURCE CONFLICT",IF('Date statistice'!G22="NOT AVAILABLE","NOT AVAILABLE",IF(NOT(OR('Date statistice'!G22="VERIFIED",'Date statistice'!G22="DERIVED",'Date statistice'!G22="SMALL SAMPLE",'Date statistice'!G22="PRIOR / SHRINKAGE",'Date statistice'!G22="PROXY ONLY")),"INCOMPLETE",IF(AND(AND(OR(AND('Date statistice'!C22="",'Date statistice'!D22=""),AND(ISNUMBER('Date statistice'!C22),'Date statistice'!C22&gt;=0,ISNUMBER('Date statistice'!D22),'Date statistice'!D22&gt;0,INT('Date statistice'!D22)='Date statistice'!D22)),OR(AND('Date statistice'!E22="",'Date statistice'!F22=""),AND(ISNUMBER('Date statistice'!E22),'Date statistice'!E22&gt;=0,ISNUMBER('Date statistice'!F22),'Date statistice'!F22&gt;0,INT('Date statistice'!F22)='Date statistice'!F22))),OR(AND(ISNUMBER('Date statistice'!C22),'Date statistice'!C22&gt;=0,ISNUMBER('Date statistice'!D22),'Date statistice'!D22&gt;0,INT('Date statistice'!D22)='Date statistice'!D22),AND(ISNUMBER('Date statistice'!E22),'Date statistice'!E22&gt;=0,ISNUMBER('Date statistice'!F22),'Date statistice'!F22&gt;0,INT('Date statistice'!F22)='Date statistice'!F22)),'Date statistice'!H22&lt;&gt;"",ISNUMBER('Date statistice'!I22),'Date statistice'!I22&lt;'Date statistice'!$B$10,'Date statistice'!J22&lt;&gt;""),"READY","INVALID")))),"INVALID")</x:f>
        <x:v>INCOMPLETE</x:v>
      </x:c>
      <x:c r="F16" s="172" t="str">
        <x:f>IF(E16&lt;&gt;"READY","",IF(OR('Date statistice'!K22="PROXY",'Date statistice'!G22="PROXY ONLY"),"PROXY","NATIVE"))</x:f>
      </x:c>
      <x:c r="G16" s="172" t="n">
        <x:f>Under_LineCal_v9!$B$16</x:f>
        <x:v>5</x:v>
      </x:c>
      <x:c r="H16" s="222" t="n">
        <x:f>IF($B$5="Cupe / Europa",1,0)</x:f>
        <x:v>1</x:v>
      </x:c>
      <x:c r="I16" s="172" t="str">
        <x:v>Fiabilitate minimă activă</x:v>
      </x:c>
      <x:c r="J16" s="172" t="str">
        <x:f>IF(J5&lt;&gt;"PASS","",MIN(IF(AND(H10=1,E10="READY"),D10,1),IF(AND(H11=1,E11="READY"),D11,1),IF(AND(H12=1,E12="READY"),D12,1),IF(AND(H13=1,E13="READY"),D13,1),IF(AND(H14=1,E14="READY"),D14,1),IF(AND(H15=1,E15="READY"),D15,1),IF(AND(H16=1,E16="READY"),D16,1),IF(AND(H17=1,E17="READY"),D17,1),IF(AND(H18=1,E18="READY"),D18,1),IF(AND(H19=1,E19="READY"),D19,1)))</x:f>
      </x:c>
      <x:c r="K16" s="172"/>
      <x:c r="L16" s="172"/>
      <x:c r="M16" s="172"/>
      <x:c r="N16" s="172"/>
      <x:c r="O16" s="172"/>
      <x:c r="P16" s="172"/>
      <x:c r="Q16" s="172"/>
      <x:c r="R16" s="172"/>
      <x:c r="S16" s="172"/>
    </x:row>
    <x:row r="17" ht="32" customHeight="1">
      <x:c r="A17" s="172" t="str">
        <x:v>xG Europa A</x:v>
      </x:c>
      <x:c r="B17" s="189" t="str">
        <x:f>IF(E17&lt;&gt;"READY","",(IF(ISNUMBER('Date statistice'!C23),'Date statistice'!C23,0)*MIN(IF(ISNUMBER('Date statistice'!D23),'Date statistice'!D23,0),G17)+IF(ISNUMBER('Date statistice'!E23),'Date statistice'!E23,0)*MIN(IF(ISNUMBER('Date statistice'!F23),'Date statistice'!F23,0),MAX(0,G17-MIN(IF(ISNUMBER('Date statistice'!D23),'Date statistice'!D23,0),G17))))/C17)</x:f>
      </x:c>
      <x:c r="C17" s="190" t="str">
        <x:f>IF(E17&lt;&gt;"READY","",MIN(IF(ISNUMBER('Date statistice'!D23),'Date statistice'!D23,0),G17)+MIN(IF(ISNUMBER('Date statistice'!F23),'Date statistice'!F23,0),MAX(0,G17-MIN(IF(ISNUMBER('Date statistice'!D23),'Date statistice'!D23,0),G17))))</x:f>
      </x:c>
      <x:c r="D17" s="191" t="str">
        <x:f>IF(E17&lt;&gt;"READY","",MIN(1,C17/G17))</x:f>
      </x:c>
      <x:c r="E17" s="172" t="str">
        <x:f>IFERROR(IF('Date statistice'!G23="SOURCE CONFLICT","SOURCE CONFLICT",IF('Date statistice'!G23="NOT AVAILABLE","NOT AVAILABLE",IF(NOT(OR('Date statistice'!G23="VERIFIED",'Date statistice'!G23="DERIVED",'Date statistice'!G23="SMALL SAMPLE",'Date statistice'!G23="PRIOR / SHRINKAGE",'Date statistice'!G23="PROXY ONLY")),"INCOMPLETE",IF(AND(AND(OR(AND('Date statistice'!C23="",'Date statistice'!D23=""),AND(ISNUMBER('Date statistice'!C23),'Date statistice'!C23&gt;=0,ISNUMBER('Date statistice'!D23),'Date statistice'!D23&gt;0,INT('Date statistice'!D23)='Date statistice'!D23)),OR(AND('Date statistice'!E23="",'Date statistice'!F23=""),AND(ISNUMBER('Date statistice'!E23),'Date statistice'!E23&gt;=0,ISNUMBER('Date statistice'!F23),'Date statistice'!F23&gt;0,INT('Date statistice'!F23)='Date statistice'!F23))),OR(AND(ISNUMBER('Date statistice'!C23),'Date statistice'!C23&gt;=0,ISNUMBER('Date statistice'!D23),'Date statistice'!D23&gt;0,INT('Date statistice'!D23)='Date statistice'!D23),AND(ISNUMBER('Date statistice'!E23),'Date statistice'!E23&gt;=0,ISNUMBER('Date statistice'!F23),'Date statistice'!F23&gt;0,INT('Date statistice'!F23)='Date statistice'!F23)),'Date statistice'!H23&lt;&gt;"",ISNUMBER('Date statistice'!I23),'Date statistice'!I23&lt;'Date statistice'!$B$10,'Date statistice'!J23&lt;&gt;""),"READY","INVALID")))),"INVALID")</x:f>
        <x:v>INCOMPLETE</x:v>
      </x:c>
      <x:c r="F17" s="172" t="str">
        <x:f>IF(E17&lt;&gt;"READY","",IF(OR('Date statistice'!K23="PROXY",'Date statistice'!G23="PROXY ONLY"),"PROXY","NATIVE"))</x:f>
      </x:c>
      <x:c r="G17" s="172" t="n">
        <x:f>Under_LineCal_v9!$B$16</x:f>
        <x:v>5</x:v>
      </x:c>
      <x:c r="H17" s="222" t="n">
        <x:f>IF($B$5="Cupe / Europa",1,0)</x:f>
        <x:v>1</x:v>
      </x:c>
      <x:c r="I17" s="172"/>
      <x:c r="J17" s="172"/>
      <x:c r="K17" s="172"/>
      <x:c r="L17" s="172"/>
      <x:c r="M17" s="172"/>
      <x:c r="N17" s="172"/>
      <x:c r="O17" s="172"/>
      <x:c r="P17" s="172"/>
      <x:c r="Q17" s="172"/>
      <x:c r="R17" s="172"/>
      <x:c r="S17" s="172"/>
    </x:row>
    <x:row r="18" ht="32" customHeight="1">
      <x:c r="A18" s="172" t="str">
        <x:v>xGA Europa H</x:v>
      </x:c>
      <x:c r="B18" s="189" t="str">
        <x:f>IF(E18&lt;&gt;"READY","",(IF(ISNUMBER('Date statistice'!C24),'Date statistice'!C24,0)*MIN(IF(ISNUMBER('Date statistice'!D24),'Date statistice'!D24,0),G18)+IF(ISNUMBER('Date statistice'!E24),'Date statistice'!E24,0)*MIN(IF(ISNUMBER('Date statistice'!F24),'Date statistice'!F24,0),MAX(0,G18-MIN(IF(ISNUMBER('Date statistice'!D24),'Date statistice'!D24,0),G18))))/C18)</x:f>
      </x:c>
      <x:c r="C18" s="190" t="str">
        <x:f>IF(E18&lt;&gt;"READY","",MIN(IF(ISNUMBER('Date statistice'!D24),'Date statistice'!D24,0),G18)+MIN(IF(ISNUMBER('Date statistice'!F24),'Date statistice'!F24,0),MAX(0,G18-MIN(IF(ISNUMBER('Date statistice'!D24),'Date statistice'!D24,0),G18))))</x:f>
      </x:c>
      <x:c r="D18" s="191" t="str">
        <x:f>IF(E18&lt;&gt;"READY","",MIN(1,C18/G18))</x:f>
      </x:c>
      <x:c r="E18" s="172" t="str">
        <x:f>IFERROR(IF('Date statistice'!G24="SOURCE CONFLICT","SOURCE CONFLICT",IF('Date statistice'!G24="NOT AVAILABLE","NOT AVAILABLE",IF(NOT(OR('Date statistice'!G24="VERIFIED",'Date statistice'!G24="DERIVED",'Date statistice'!G24="SMALL SAMPLE",'Date statistice'!G24="PRIOR / SHRINKAGE",'Date statistice'!G24="PROXY ONLY")),"INCOMPLETE",IF(AND(AND(OR(AND('Date statistice'!C24="",'Date statistice'!D24=""),AND(ISNUMBER('Date statistice'!C24),'Date statistice'!C24&gt;=0,ISNUMBER('Date statistice'!D24),'Date statistice'!D24&gt;0,INT('Date statistice'!D24)='Date statistice'!D24)),OR(AND('Date statistice'!E24="",'Date statistice'!F24=""),AND(ISNUMBER('Date statistice'!E24),'Date statistice'!E24&gt;=0,ISNUMBER('Date statistice'!F24),'Date statistice'!F24&gt;0,INT('Date statistice'!F24)='Date statistice'!F24))),OR(AND(ISNUMBER('Date statistice'!C24),'Date statistice'!C24&gt;=0,ISNUMBER('Date statistice'!D24),'Date statistice'!D24&gt;0,INT('Date statistice'!D24)='Date statistice'!D24),AND(ISNUMBER('Date statistice'!E24),'Date statistice'!E24&gt;=0,ISNUMBER('Date statistice'!F24),'Date statistice'!F24&gt;0,INT('Date statistice'!F24)='Date statistice'!F24)),'Date statistice'!H24&lt;&gt;"",ISNUMBER('Date statistice'!I24),'Date statistice'!I24&lt;'Date statistice'!$B$10,'Date statistice'!J24&lt;&gt;""),"READY","INVALID")))),"INVALID")</x:f>
        <x:v>INCOMPLETE</x:v>
      </x:c>
      <x:c r="F18" s="172" t="str">
        <x:f>IF(E18&lt;&gt;"READY","",IF(OR('Date statistice'!K24="PROXY",'Date statistice'!G24="PROXY ONLY"),"PROXY","NATIVE"))</x:f>
      </x:c>
      <x:c r="G18" s="172" t="n">
        <x:f>Under_LineCal_v9!$B$16</x:f>
        <x:v>5</x:v>
      </x:c>
      <x:c r="H18" s="222" t="n">
        <x:f>IF($B$5="Cupe / Europa",1,0)</x:f>
        <x:v>1</x:v>
      </x:c>
      <x:c r="I18" s="172"/>
      <x:c r="J18" s="172"/>
      <x:c r="K18" s="172"/>
      <x:c r="L18" s="172"/>
      <x:c r="M18" s="172"/>
      <x:c r="N18" s="172"/>
      <x:c r="O18" s="172"/>
      <x:c r="P18" s="172"/>
      <x:c r="Q18" s="172"/>
      <x:c r="R18" s="172"/>
      <x:c r="S18" s="172"/>
    </x:row>
    <x:row r="19" ht="32" customHeight="1">
      <x:c r="A19" s="172" t="str">
        <x:v>xGA Europa A</x:v>
      </x:c>
      <x:c r="B19" s="189" t="str">
        <x:f>IF(E19&lt;&gt;"READY","",(IF(ISNUMBER('Date statistice'!C25),'Date statistice'!C25,0)*MIN(IF(ISNUMBER('Date statistice'!D25),'Date statistice'!D25,0),G19)+IF(ISNUMBER('Date statistice'!E25),'Date statistice'!E25,0)*MIN(IF(ISNUMBER('Date statistice'!F25),'Date statistice'!F25,0),MAX(0,G19-MIN(IF(ISNUMBER('Date statistice'!D25),'Date statistice'!D25,0),G19))))/C19)</x:f>
      </x:c>
      <x:c r="C19" s="190" t="str">
        <x:f>IF(E19&lt;&gt;"READY","",MIN(IF(ISNUMBER('Date statistice'!D25),'Date statistice'!D25,0),G19)+MIN(IF(ISNUMBER('Date statistice'!F25),'Date statistice'!F25,0),MAX(0,G19-MIN(IF(ISNUMBER('Date statistice'!D25),'Date statistice'!D25,0),G19))))</x:f>
      </x:c>
      <x:c r="D19" s="191" t="str">
        <x:f>IF(E19&lt;&gt;"READY","",MIN(1,C19/G19))</x:f>
      </x:c>
      <x:c r="E19" s="172" t="str">
        <x:f>IFERROR(IF('Date statistice'!G25="SOURCE CONFLICT","SOURCE CONFLICT",IF('Date statistice'!G25="NOT AVAILABLE","NOT AVAILABLE",IF(NOT(OR('Date statistice'!G25="VERIFIED",'Date statistice'!G25="DERIVED",'Date statistice'!G25="SMALL SAMPLE",'Date statistice'!G25="PRIOR / SHRINKAGE",'Date statistice'!G25="PROXY ONLY")),"INCOMPLETE",IF(AND(AND(OR(AND('Date statistice'!C25="",'Date statistice'!D25=""),AND(ISNUMBER('Date statistice'!C25),'Date statistice'!C25&gt;=0,ISNUMBER('Date statistice'!D25),'Date statistice'!D25&gt;0,INT('Date statistice'!D25)='Date statistice'!D25)),OR(AND('Date statistice'!E25="",'Date statistice'!F25=""),AND(ISNUMBER('Date statistice'!E25),'Date statistice'!E25&gt;=0,ISNUMBER('Date statistice'!F25),'Date statistice'!F25&gt;0,INT('Date statistice'!F25)='Date statistice'!F25))),OR(AND(ISNUMBER('Date statistice'!C25),'Date statistice'!C25&gt;=0,ISNUMBER('Date statistice'!D25),'Date statistice'!D25&gt;0,INT('Date statistice'!D25)='Date statistice'!D25),AND(ISNUMBER('Date statistice'!E25),'Date statistice'!E25&gt;=0,ISNUMBER('Date statistice'!F25),'Date statistice'!F25&gt;0,INT('Date statistice'!F25)='Date statistice'!F25)),'Date statistice'!H25&lt;&gt;"",ISNUMBER('Date statistice'!I25),'Date statistice'!I25&lt;'Date statistice'!$B$10,'Date statistice'!J25&lt;&gt;""),"READY","INVALID")))),"INVALID")</x:f>
        <x:v>INCOMPLETE</x:v>
      </x:c>
      <x:c r="F19" s="172" t="str">
        <x:f>IF(E19&lt;&gt;"READY","",IF(OR('Date statistice'!K25="PROXY",'Date statistice'!G25="PROXY ONLY"),"PROXY","NATIVE"))</x:f>
      </x:c>
      <x:c r="G19" s="172" t="n">
        <x:f>Under_LineCal_v9!$B$16</x:f>
        <x:v>5</x:v>
      </x:c>
      <x:c r="H19" s="222" t="n">
        <x:f>IF($B$5="Cupe / Europa",1,0)</x:f>
        <x:v>1</x:v>
      </x:c>
      <x:c r="I19" s="172" t="str">
        <x:v>Verdict unic U4,5</x:v>
      </x:c>
      <x:c r="J19" s="172" t="str">
        <x:f>Under_MultiLine_v9!P6</x:f>
        <x:v>NEELIBERAT</x:v>
      </x:c>
      <x:c r="K19" s="172"/>
      <x:c r="L19" s="172"/>
      <x:c r="M19" s="172"/>
      <x:c r="N19" s="172"/>
      <x:c r="O19" s="172"/>
      <x:c r="P19" s="172"/>
      <x:c r="Q19" s="172"/>
      <x:c r="R19" s="172"/>
      <x:c r="S19" s="172"/>
    </x:row>
    <x:row r="20" ht="23" customHeight="1">
      <x:c r="A20" s="172"/>
      <x:c r="B20" s="172"/>
      <x:c r="C20" s="172"/>
      <x:c r="D20" s="172"/>
      <x:c r="E20" s="172"/>
      <x:c r="F20" s="172"/>
      <x:c r="G20" s="172"/>
      <x:c r="H20" s="222"/>
      <x:c r="I20" s="172" t="str">
        <x:v>Acțiune U4,5</x:v>
      </x:c>
      <x:c r="J20" s="172" t="str">
        <x:f>IF(Under_MultiLine_v9!AA6=1,"PARIU U4,5",IF(Under_MultiLine_v9!P6="NEELIBERAT","NEELIBERAT","NO BET"))</x:f>
        <x:v>NEELIBERAT</x:v>
      </x:c>
      <x:c r="K20" s="172"/>
      <x:c r="L20" s="172"/>
      <x:c r="M20" s="172"/>
      <x:c r="N20" s="172"/>
      <x:c r="O20" s="172"/>
      <x:c r="P20" s="172"/>
      <x:c r="Q20" s="172"/>
      <x:c r="R20" s="172"/>
      <x:c r="S20" s="172"/>
    </x:row>
    <x:row r="21" ht="23" customHeight="1">
      <x:c r="A21" s="172"/>
      <x:c r="B21" s="172"/>
      <x:c r="C21" s="172"/>
      <x:c r="D21" s="172"/>
      <x:c r="E21" s="172"/>
      <x:c r="F21" s="172"/>
      <x:c r="G21" s="172"/>
      <x:c r="H21" s="222"/>
      <x:c r="I21" s="172"/>
      <x:c r="J21" s="172"/>
      <x:c r="K21" s="172"/>
      <x:c r="L21" s="172"/>
      <x:c r="M21" s="172"/>
      <x:c r="N21" s="172"/>
      <x:c r="O21" s="172"/>
      <x:c r="P21" s="172"/>
      <x:c r="Q21" s="172"/>
      <x:c r="R21" s="172"/>
      <x:c r="S21" s="172"/>
    </x:row>
    <x:row r="22" ht="23" customHeight="1">
      <x:c r="A22" s="172" t="str">
        <x:v>Ajustare totală H</x:v>
      </x:c>
      <x:c r="B22" s="192" t="n">
        <x:f>MAX(-Under_LineCal_v9!$B$23,MIN(Under_LineCal_v9!$B$23,IF(AND(OR('Date statistice'!C32="VERIFIED",'Date statistice'!C32="DERIVED",'Date statistice'!C32="SMALL SAMPLE",'Date statistice'!C32="PRIOR / SHRINKAGE",'Date statistice'!C32="PROXY ONLY"),ISNUMBER('Date statistice'!B32),'Date statistice'!D32&lt;&gt;"",ISNUMBER('Date statistice'!E32),'Date statistice'!E32&lt;'Date statistice'!$B$10),'Date statistice'!B32,0)+IF(AND(OR('Date statistice'!C34="VERIFIED",'Date statistice'!C34="DERIVED",'Date statistice'!C34="SMALL SAMPLE",'Date statistice'!C34="PRIOR / SHRINKAGE",'Date statistice'!C34="PROXY ONLY"),ISNUMBER('Date statistice'!B34),'Date statistice'!D34&lt;&gt;"",ISNUMBER('Date statistice'!E34),'Date statistice'!E34&lt;'Date statistice'!$B$10),'Date statistice'!B34,0)))</x:f>
        <x:v>0</x:v>
      </x:c>
      <x:c r="C22" s="172"/>
      <x:c r="D22" s="172"/>
      <x:c r="E22" s="172"/>
      <x:c r="F22" s="172"/>
      <x:c r="G22" s="172"/>
      <x:c r="H22" s="222"/>
      <x:c r="I22" s="172"/>
      <x:c r="J22" s="172"/>
      <x:c r="K22" s="172"/>
      <x:c r="L22" s="172"/>
      <x:c r="M22" s="172"/>
      <x:c r="N22" s="172"/>
      <x:c r="O22" s="172"/>
      <x:c r="P22" s="172"/>
      <x:c r="Q22" s="172"/>
      <x:c r="R22" s="172"/>
      <x:c r="S22" s="172"/>
    </x:row>
    <x:row r="23" ht="23" customHeight="1">
      <x:c r="A23" s="172" t="str">
        <x:v>Ajustare totală A</x:v>
      </x:c>
      <x:c r="B23" s="192" t="n">
        <x:f>MAX(-Under_LineCal_v9!$B$23,MIN(Under_LineCal_v9!$B$23,IF(AND(OR('Date statistice'!C33="VERIFIED",'Date statistice'!C33="DERIVED",'Date statistice'!C33="SMALL SAMPLE",'Date statistice'!C33="PRIOR / SHRINKAGE",'Date statistice'!C33="PROXY ONLY"),ISNUMBER('Date statistice'!B33),'Date statistice'!D33&lt;&gt;"",ISNUMBER('Date statistice'!E33),'Date statistice'!E33&lt;'Date statistice'!$B$10),'Date statistice'!B33,0)+IF(AND(OR('Date statistice'!C35="VERIFIED",'Date statistice'!C35="DERIVED",'Date statistice'!C35="SMALL SAMPLE",'Date statistice'!C35="PRIOR / SHRINKAGE",'Date statistice'!C35="PROXY ONLY"),ISNUMBER('Date statistice'!B35),'Date statistice'!D35&lt;&gt;"",ISNUMBER('Date statistice'!E35),'Date statistice'!E35&lt;'Date statistice'!$B$10),'Date statistice'!B35,0)))</x:f>
        <x:v>0</x:v>
      </x:c>
      <x:c r="C23" s="172"/>
      <x:c r="D23" s="172"/>
      <x:c r="E23" s="172"/>
      <x:c r="F23" s="172"/>
      <x:c r="G23" s="172"/>
      <x:c r="H23" s="222"/>
      <x:c r="I23" s="172"/>
      <x:c r="J23" s="172"/>
      <x:c r="K23" s="172"/>
      <x:c r="L23" s="172"/>
      <x:c r="M23" s="172"/>
      <x:c r="N23" s="172"/>
      <x:c r="O23" s="172"/>
      <x:c r="P23" s="172"/>
      <x:c r="Q23" s="172"/>
      <x:c r="R23" s="172"/>
      <x:c r="S23" s="172"/>
    </x:row>
    <x:row r="24" ht="23" customHeight="1">
      <x:c r="A24" s="172"/>
      <x:c r="B24" s="172"/>
      <x:c r="C24" s="172"/>
      <x:c r="D24" s="172"/>
      <x:c r="E24" s="172"/>
      <x:c r="F24" s="172"/>
      <x:c r="G24" s="172"/>
      <x:c r="H24" s="222"/>
      <x:c r="I24" s="172"/>
      <x:c r="J24" s="172"/>
      <x:c r="K24" s="172"/>
      <x:c r="L24" s="172"/>
      <x:c r="M24" s="172"/>
      <x:c r="N24" s="172"/>
      <x:c r="O24" s="172"/>
      <x:c r="P24" s="172"/>
      <x:c r="Q24" s="172"/>
      <x:c r="R24" s="172"/>
      <x:c r="S24" s="172"/>
    </x:row>
    <x:row r="25" ht="23" customHeight="1">
      <x:c r="A25" s="172"/>
      <x:c r="B25" s="172"/>
      <x:c r="C25" s="172"/>
      <x:c r="D25" s="172"/>
      <x:c r="E25" s="172"/>
      <x:c r="F25" s="172"/>
      <x:c r="G25" s="172"/>
      <x:c r="H25" s="222"/>
      <x:c r="I25" s="172"/>
      <x:c r="J25" s="172"/>
      <x:c r="K25" s="172"/>
      <x:c r="L25" s="172"/>
      <x:c r="M25" s="172"/>
      <x:c r="N25" s="172"/>
      <x:c r="O25" s="172"/>
      <x:c r="P25" s="172"/>
      <x:c r="Q25" s="172"/>
      <x:c r="R25" s="172"/>
      <x:c r="S25" s="172"/>
    </x:row>
    <x:row r="26" ht="23" customHeight="1">
      <x:c r="A26" s="172"/>
      <x:c r="B26" s="172"/>
      <x:c r="C26" s="172"/>
      <x:c r="D26" s="172"/>
      <x:c r="E26" s="172"/>
      <x:c r="F26" s="172"/>
      <x:c r="G26" s="172"/>
      <x:c r="H26" s="222"/>
      <x:c r="I26" s="172"/>
      <x:c r="J26" s="172"/>
      <x:c r="K26" s="172"/>
      <x:c r="L26" s="172"/>
      <x:c r="M26" s="172"/>
      <x:c r="N26" s="172"/>
      <x:c r="O26" s="172"/>
      <x:c r="P26" s="172"/>
      <x:c r="Q26" s="172"/>
      <x:c r="R26" s="172"/>
      <x:c r="S26" s="172"/>
    </x:row>
    <x:row r="27" ht="23" customHeight="1">
      <x:c r="A27" s="172" t="str">
        <x:v>Lambda total diagnostic</x:v>
      </x:c>
      <x:c r="B27" s="172" t="n">
        <x:f>Under_LineCal_v9!$B$42</x:f>
        <x:v>2.7</x:v>
      </x:c>
      <x:c r="C27" s="172"/>
      <x:c r="D27" s="172"/>
      <x:c r="E27" s="172"/>
      <x:c r="F27" s="172"/>
      <x:c r="G27" s="172"/>
      <x:c r="H27" s="222"/>
      <x:c r="I27" s="172"/>
      <x:c r="J27" s="172"/>
      <x:c r="K27" s="172"/>
      <x:c r="L27" s="172"/>
      <x:c r="M27" s="172"/>
      <x:c r="N27" s="172"/>
      <x:c r="O27" s="172"/>
      <x:c r="P27" s="172"/>
      <x:c r="Q27" s="172"/>
      <x:c r="R27" s="172"/>
      <x:c r="S27" s="172"/>
    </x:row>
    <x:row r="28" ht="23" customHeight="1">
      <x:c r="A28" s="172" t="str">
        <x:v>Lambda echipă diagnostic</x:v>
      </x:c>
      <x:c r="B28" s="172" t="n">
        <x:f>Under_LineCal_v9!$B$43</x:f>
        <x:v>2.8</x:v>
      </x:c>
      <x:c r="C28" s="172"/>
      <x:c r="D28" s="172"/>
      <x:c r="E28" s="172"/>
      <x:c r="F28" s="172"/>
      <x:c r="G28" s="172"/>
      <x:c r="H28" s="222"/>
      <x:c r="I28" s="172"/>
      <x:c r="J28" s="172"/>
      <x:c r="K28" s="172"/>
      <x:c r="L28" s="172"/>
      <x:c r="M28" s="172"/>
      <x:c r="N28" s="172"/>
      <x:c r="O28" s="172"/>
      <x:c r="P28" s="172"/>
      <x:c r="Q28" s="172"/>
      <x:c r="R28" s="172"/>
      <x:c r="S28" s="172"/>
    </x:row>
    <x:row r="29" ht="23" customHeight="1">
      <x:c r="A29" s="172"/>
      <x:c r="B29" s="172"/>
      <x:c r="C29" s="172"/>
      <x:c r="D29" s="172"/>
      <x:c r="E29" s="172"/>
      <x:c r="F29" s="172"/>
      <x:c r="G29" s="172"/>
      <x:c r="H29" s="222"/>
      <x:c r="I29" s="172"/>
      <x:c r="J29" s="172"/>
      <x:c r="K29" s="172"/>
      <x:c r="L29" s="172"/>
      <x:c r="M29" s="172"/>
      <x:c r="N29" s="172"/>
      <x:c r="O29" s="172"/>
      <x:c r="P29" s="172"/>
      <x:c r="Q29" s="172"/>
      <x:c r="R29" s="172"/>
      <x:c r="S29" s="172"/>
    </x:row>
    <x:row r="30" ht="36" customHeight="1">
      <x:c r="A30" s="172"/>
      <x:c r="B30" s="172"/>
      <x:c r="C30" s="172"/>
      <x:c r="D30" s="172"/>
      <x:c r="E30" s="172"/>
      <x:c r="F30" s="172"/>
      <x:c r="G30" s="172"/>
      <x:c r="H30" s="222"/>
      <x:c r="I30" s="181" t="str">
        <x:v>INPUT TAIL UTILIZAT</x:v>
      </x:c>
      <x:c r="J30" s="181"/>
      <x:c r="K30" s="181"/>
      <x:c r="L30" s="181"/>
      <x:c r="M30" s="172"/>
      <x:c r="N30" s="172"/>
      <x:c r="O30" s="172"/>
      <x:c r="P30" s="172"/>
      <x:c r="Q30" s="172"/>
      <x:c r="R30" s="172"/>
      <x:c r="S30" s="172"/>
    </x:row>
    <x:row r="31" ht="23" customHeight="1">
      <x:c r="A31" s="172"/>
      <x:c r="B31" s="172"/>
      <x:c r="C31" s="172"/>
      <x:c r="D31" s="172"/>
      <x:c r="E31" s="172"/>
      <x:c r="F31" s="172"/>
      <x:c r="G31" s="172"/>
      <x:c r="H31" s="222"/>
      <x:c r="I31" s="172" t="str">
        <x:v>Liga: rată 5+</x:v>
      </x:c>
      <x:c r="J31" s="172" t="str">
        <x:f>IF(D75="READY",B75,"")</x:f>
      </x:c>
      <x:c r="K31" s="172"/>
      <x:c r="L31" s="172"/>
      <x:c r="M31" s="172"/>
      <x:c r="N31" s="172"/>
      <x:c r="O31" s="172"/>
      <x:c r="P31" s="172"/>
      <x:c r="Q31" s="172"/>
      <x:c r="R31" s="172"/>
      <x:c r="S31" s="172"/>
    </x:row>
    <x:row r="32" ht="23" customHeight="1">
      <x:c r="A32" s="172"/>
      <x:c r="B32" s="172"/>
      <x:c r="C32" s="172"/>
      <x:c r="D32" s="172"/>
      <x:c r="E32" s="172"/>
      <x:c r="F32" s="172"/>
      <x:c r="G32" s="172"/>
      <x:c r="H32" s="222"/>
      <x:c r="I32" s="172" t="str">
        <x:v>Gazde H: rată 5+</x:v>
      </x:c>
      <x:c r="J32" s="172" t="str">
        <x:f>IF(D76="READY",B76,"")</x:f>
      </x:c>
      <x:c r="K32" s="172"/>
      <x:c r="L32" s="172"/>
      <x:c r="M32" s="172"/>
      <x:c r="N32" s="172"/>
      <x:c r="O32" s="172"/>
      <x:c r="P32" s="172"/>
      <x:c r="Q32" s="172"/>
      <x:c r="R32" s="172"/>
      <x:c r="S32" s="172"/>
    </x:row>
    <x:row r="33" ht="23" customHeight="1">
      <x:c r="A33" s="172"/>
      <x:c r="B33" s="172"/>
      <x:c r="C33" s="172"/>
      <x:c r="D33" s="172"/>
      <x:c r="E33" s="172"/>
      <x:c r="F33" s="172"/>
      <x:c r="G33" s="172"/>
      <x:c r="H33" s="222"/>
      <x:c r="I33" s="172" t="str">
        <x:v>Oaspeți A: rată 5+</x:v>
      </x:c>
      <x:c r="J33" s="172" t="str">
        <x:f>IF(D77="READY",B77,"")</x:f>
      </x:c>
      <x:c r="K33" s="172"/>
      <x:c r="L33" s="172"/>
      <x:c r="M33" s="172"/>
      <x:c r="N33" s="172"/>
      <x:c r="O33" s="172"/>
      <x:c r="P33" s="172"/>
      <x:c r="Q33" s="172"/>
      <x:c r="R33" s="172"/>
      <x:c r="S33" s="172"/>
    </x:row>
    <x:row r="34" ht="23" customHeight="1">
      <x:c r="A34" s="172" t="str">
        <x:v>Share H / A statistic</x:v>
      </x:c>
      <x:c r="B34" s="172" t="str">
        <x:f>IF(OR(B60="",C60=""),"",B60/(B60+C60))</x:f>
      </x:c>
      <x:c r="C34" s="172" t="str">
        <x:f>IF(B34="","",1-B34)</x:f>
      </x:c>
      <x:c r="D34" s="172"/>
      <x:c r="E34" s="172"/>
      <x:c r="F34" s="172"/>
      <x:c r="G34" s="172"/>
      <x:c r="H34" s="222"/>
      <x:c r="I34" s="172" t="str">
        <x:v>Gazde: rată 4+ marcate</x:v>
      </x:c>
      <x:c r="J34" s="172" t="str">
        <x:f>IF(D78="READY",B78,"")</x:f>
      </x:c>
      <x:c r="K34" s="172"/>
      <x:c r="L34" s="172"/>
      <x:c r="M34" s="172"/>
      <x:c r="N34" s="172"/>
      <x:c r="O34" s="172"/>
      <x:c r="P34" s="172"/>
      <x:c r="Q34" s="172"/>
      <x:c r="R34" s="172"/>
      <x:c r="S34" s="172"/>
    </x:row>
    <x:row r="35" ht="23" customHeight="1">
      <x:c r="A35" s="172"/>
      <x:c r="B35" s="172"/>
      <x:c r="C35" s="172"/>
      <x:c r="D35" s="172"/>
      <x:c r="E35" s="172"/>
      <x:c r="F35" s="172"/>
      <x:c r="G35" s="172"/>
      <x:c r="H35" s="222"/>
      <x:c r="I35" s="172" t="str">
        <x:v>Oaspeți: rată 4+ marcate</x:v>
      </x:c>
      <x:c r="J35" s="172" t="str">
        <x:f>IF(D79="READY",B79,"")</x:f>
      </x:c>
      <x:c r="K35" s="172"/>
      <x:c r="L35" s="172"/>
      <x:c r="M35" s="172"/>
      <x:c r="N35" s="172"/>
      <x:c r="O35" s="172"/>
      <x:c r="P35" s="172"/>
      <x:c r="Q35" s="172"/>
      <x:c r="R35" s="172"/>
      <x:c r="S35" s="172"/>
    </x:row>
    <x:row r="36" ht="23" customHeight="1">
      <x:c r="A36" s="172"/>
      <x:c r="B36" s="172"/>
      <x:c r="C36" s="172"/>
      <x:c r="D36" s="172"/>
      <x:c r="E36" s="172"/>
      <x:c r="F36" s="172"/>
      <x:c r="G36" s="172"/>
      <x:c r="H36" s="222"/>
      <x:c r="I36" s="172" t="str">
        <x:v>Gazde: rată 3+ primite</x:v>
      </x:c>
      <x:c r="J36" s="172" t="str">
        <x:f>IF(D80="READY",B80,"")</x:f>
      </x:c>
      <x:c r="K36" s="172"/>
      <x:c r="L36" s="172"/>
      <x:c r="M36" s="172"/>
      <x:c r="N36" s="172"/>
      <x:c r="O36" s="172"/>
      <x:c r="P36" s="172"/>
      <x:c r="Q36" s="172"/>
      <x:c r="R36" s="172"/>
      <x:c r="S36" s="172"/>
    </x:row>
    <x:row r="37" ht="23" customHeight="1">
      <x:c r="A37" s="172"/>
      <x:c r="B37" s="172"/>
      <x:c r="C37" s="172"/>
      <x:c r="D37" s="172"/>
      <x:c r="E37" s="172"/>
      <x:c r="F37" s="172"/>
      <x:c r="G37" s="172"/>
      <x:c r="H37" s="222"/>
      <x:c r="I37" s="172" t="str">
        <x:v>Oaspeți: rată 3+ primite</x:v>
      </x:c>
      <x:c r="J37" s="172" t="str">
        <x:f>IF(D81="READY",B81,"")</x:f>
      </x:c>
      <x:c r="K37" s="172"/>
      <x:c r="L37" s="172"/>
      <x:c r="M37" s="172"/>
      <x:c r="N37" s="172"/>
      <x:c r="O37" s="172"/>
      <x:c r="P37" s="172"/>
      <x:c r="Q37" s="172"/>
      <x:c r="R37" s="172"/>
      <x:c r="S37" s="172"/>
    </x:row>
    <x:row r="38" ht="23" customHeight="1">
      <x:c r="A38" s="172"/>
      <x:c r="B38" s="172"/>
      <x:c r="C38" s="172"/>
      <x:c r="D38" s="172"/>
      <x:c r="E38" s="172"/>
      <x:c r="F38" s="172"/>
      <x:c r="G38" s="172"/>
      <x:c r="H38" s="222"/>
      <x:c r="I38" s="172" t="str">
        <x:v>Volatilitate defensivă</x:v>
      </x:c>
      <x:c r="J38" s="172" t="str">
        <x:f>IF(D82="READY",B82,"")</x:f>
      </x:c>
      <x:c r="K38" s="172"/>
      <x:c r="L38" s="172"/>
      <x:c r="M38" s="172"/>
      <x:c r="N38" s="172"/>
      <x:c r="O38" s="172"/>
      <x:c r="P38" s="172"/>
      <x:c r="Q38" s="172"/>
      <x:c r="R38" s="172"/>
      <x:c r="S38" s="172"/>
    </x:row>
    <x:row r="39" ht="23" customHeight="1">
      <x:c r="A39" s="172"/>
      <x:c r="B39" s="172"/>
      <x:c r="C39" s="172"/>
      <x:c r="D39" s="172"/>
      <x:c r="E39" s="172"/>
      <x:c r="F39" s="172"/>
      <x:c r="G39" s="172"/>
      <x:c r="H39" s="222"/>
      <x:c r="I39" s="172" t="str">
        <x:v>Context haotic</x:v>
      </x:c>
      <x:c r="J39" s="172" t="str">
        <x:f>IF(D83="READY",B83,"")</x:f>
      </x:c>
      <x:c r="K39" s="172"/>
      <x:c r="L39" s="172"/>
      <x:c r="M39" s="172"/>
      <x:c r="N39" s="172"/>
      <x:c r="O39" s="172"/>
      <x:c r="P39" s="172"/>
      <x:c r="Q39" s="172"/>
      <x:c r="R39" s="172"/>
      <x:c r="S39" s="172"/>
    </x:row>
    <x:row r="40" ht="23" customHeight="1">
      <x:c r="A40" s="172"/>
      <x:c r="B40" s="172"/>
      <x:c r="C40" s="172"/>
      <x:c r="D40" s="172"/>
      <x:c r="E40" s="172"/>
      <x:c r="F40" s="172"/>
      <x:c r="G40" s="172"/>
      <x:c r="H40" s="222"/>
      <x:c r="I40" s="172"/>
      <x:c r="J40" s="172"/>
      <x:c r="K40" s="172"/>
      <x:c r="L40" s="172"/>
      <x:c r="M40" s="172"/>
      <x:c r="N40" s="172"/>
      <x:c r="O40" s="172"/>
      <x:c r="P40" s="172"/>
      <x:c r="Q40" s="172"/>
      <x:c r="R40" s="172"/>
      <x:c r="S40" s="172"/>
    </x:row>
    <x:row r="41" ht="23" customHeight="1">
      <x:c r="A41" s="172"/>
      <x:c r="B41" s="172"/>
      <x:c r="C41" s="172"/>
      <x:c r="D41" s="172"/>
      <x:c r="E41" s="172"/>
      <x:c r="F41" s="172"/>
      <x:c r="G41" s="172"/>
      <x:c r="H41" s="222"/>
      <x:c r="I41" s="172" t="str">
        <x:v>Tail Risk complet</x:v>
      </x:c>
      <x:c r="J41" s="172" t="str">
        <x:f>IF(COUNT(B75:B83)=9,MIN(100,SUM(G75:G83)),"")</x:f>
      </x:c>
      <x:c r="K41" s="172"/>
      <x:c r="L41" s="172"/>
      <x:c r="M41" s="172"/>
      <x:c r="N41" s="172"/>
      <x:c r="O41" s="172"/>
      <x:c r="P41" s="172"/>
      <x:c r="Q41" s="172"/>
      <x:c r="R41" s="172"/>
      <x:c r="S41" s="172"/>
    </x:row>
    <x:row r="42" ht="23" customHeight="1">
      <x:c r="A42" s="172"/>
      <x:c r="B42" s="172"/>
      <x:c r="C42" s="172"/>
      <x:c r="D42" s="172"/>
      <x:c r="E42" s="172"/>
      <x:c r="F42" s="172"/>
      <x:c r="G42" s="172"/>
      <x:c r="H42" s="222"/>
      <x:c r="I42" s="172" t="str">
        <x:v>Stare tail U4,5</x:v>
      </x:c>
      <x:c r="J42" s="172" t="str">
        <x:f>IF(OR(COUNTIFS(D75:D83,"SOURCE CONFLICT")&gt;0,COUNTIFS(D75:D83,"NOT AVAILABLE")&gt;0),"FAIL",IF(COUNT(B75:B83)=9,"PASS","INCOMPLETE"))</x:f>
        <x:v>INCOMPLETE</x:v>
      </x:c>
      <x:c r="K42" s="172"/>
      <x:c r="L42" s="172"/>
      <x:c r="M42" s="172"/>
      <x:c r="N42" s="172"/>
      <x:c r="O42" s="172"/>
      <x:c r="P42" s="172"/>
      <x:c r="Q42" s="172"/>
      <x:c r="R42" s="172"/>
      <x:c r="S42" s="172"/>
    </x:row>
    <x:row r="43" ht="23" customHeight="1">
      <x:c r="A43" s="172"/>
      <x:c r="B43" s="172"/>
      <x:c r="C43" s="172"/>
      <x:c r="D43" s="172"/>
      <x:c r="E43" s="172"/>
      <x:c r="F43" s="172"/>
      <x:c r="G43" s="172"/>
      <x:c r="H43" s="222"/>
      <x:c r="I43" s="172" t="str">
        <x:v>Stare volatilitate</x:v>
      </x:c>
      <x:c r="J43" s="172" t="str">
        <x:f>IF(OR(D82="SOURCE CONFLICT",D82="NOT AVAILABLE"),"FAIL",IF(D82="READY","PASS","INCOMPLETE"))</x:f>
        <x:v>INCOMPLETE</x:v>
      </x:c>
      <x:c r="K43" s="172"/>
      <x:c r="L43" s="172"/>
      <x:c r="M43" s="172"/>
      <x:c r="N43" s="172"/>
      <x:c r="O43" s="172"/>
      <x:c r="P43" s="172"/>
      <x:c r="Q43" s="172"/>
      <x:c r="R43" s="172"/>
      <x:c r="S43" s="172"/>
    </x:row>
    <x:row r="44" ht="23" customHeight="1">
      <x:c r="A44" s="172"/>
      <x:c r="B44" s="172"/>
      <x:c r="C44" s="172"/>
      <x:c r="D44" s="172"/>
      <x:c r="E44" s="172"/>
      <x:c r="F44" s="172"/>
      <x:c r="G44" s="172"/>
      <x:c r="H44" s="222"/>
      <x:c r="I44" s="172"/>
      <x:c r="J44" s="172"/>
      <x:c r="K44" s="172"/>
      <x:c r="L44" s="172"/>
      <x:c r="M44" s="172"/>
      <x:c r="N44" s="172"/>
      <x:c r="O44" s="172"/>
      <x:c r="P44" s="172"/>
      <x:c r="Q44" s="172"/>
      <x:c r="R44" s="172"/>
      <x:c r="S44" s="172"/>
    </x:row>
    <x:row r="45" ht="23" customHeight="1">
      <x:c r="A45" s="172"/>
      <x:c r="B45" s="172"/>
      <x:c r="C45" s="172"/>
      <x:c r="D45" s="172"/>
      <x:c r="E45" s="172"/>
      <x:c r="F45" s="172"/>
      <x:c r="G45" s="172"/>
      <x:c r="H45" s="222"/>
      <x:c r="I45" s="172"/>
      <x:c r="J45" s="172"/>
      <x:c r="K45" s="172"/>
      <x:c r="L45" s="172"/>
      <x:c r="M45" s="172"/>
      <x:c r="N45" s="172"/>
      <x:c r="O45" s="172"/>
      <x:c r="P45" s="172"/>
      <x:c r="Q45" s="172"/>
      <x:c r="R45" s="172"/>
      <x:c r="S45" s="172"/>
    </x:row>
    <x:row r="46" ht="36" customHeight="1">
      <x:c r="A46" s="181" t="str">
        <x:v>Componentă</x:v>
      </x:c>
      <x:c r="B46" s="181" t="str">
        <x:v>Lambda H</x:v>
      </x:c>
      <x:c r="C46" s="181" t="str">
        <x:v>Pondere bază H</x:v>
      </x:c>
      <x:c r="D46" s="181" t="str">
        <x:v>Pondere efectivă H</x:v>
      </x:c>
      <x:c r="E46" s="181" t="str">
        <x:v>Lambda A</x:v>
      </x:c>
      <x:c r="F46" s="181" t="str">
        <x:v>Pondere bază A</x:v>
      </x:c>
      <x:c r="G46" s="181" t="str">
        <x:v>Pondere efectivă A</x:v>
      </x:c>
      <x:c r="H46" s="222"/>
      <x:c r="I46" s="172"/>
      <x:c r="J46" s="172"/>
      <x:c r="K46" s="172"/>
      <x:c r="L46" s="172"/>
      <x:c r="M46" s="172"/>
      <x:c r="N46" s="172"/>
      <x:c r="O46" s="172"/>
      <x:c r="P46" s="172"/>
      <x:c r="Q46" s="172"/>
      <x:c r="R46" s="172"/>
      <x:c r="S46" s="172"/>
    </x:row>
    <x:row r="47" ht="23" customHeight="1">
      <x:c r="A47" s="172" t="str">
        <x:v>xG domestic</x:v>
      </x:c>
      <x:c r="B47" s="189" t="str">
        <x:f>IF(AND(E10="READY",H10=1),B10*MAX(0.75,MIN(1.35,SQRT('Date statistice'!$B$30/'Date statistice'!$B$31))),"")</x:f>
      </x:c>
      <x:c r="C47" s="189" t="n">
        <x:f>IF($B$5="Campionat intern",Under_LineCal_v9!B52,Under_LineCal_v9!C52)</x:f>
        <x:v>0.2</x:v>
      </x:c>
      <x:c r="D47" s="189" t="n">
        <x:f>IF(AND(E10="READY",H10=1),C47*D10,0)</x:f>
        <x:v>0</x:v>
      </x:c>
      <x:c r="E47" s="189" t="str">
        <x:f>IF(AND(E11="READY",H11=1),B11*MAX(0.75,MIN(1.35,SQRT('Date statistice'!$B$31/'Date statistice'!$B$30))),"")</x:f>
      </x:c>
      <x:c r="F47" s="189" t="n">
        <x:f>C47</x:f>
        <x:v>0.2</x:v>
      </x:c>
      <x:c r="G47" s="189" t="n">
        <x:f>IF(AND(E11="READY",H11=1),F47*D11,0)</x:f>
        <x:v>0</x:v>
      </x:c>
      <x:c r="H47" s="222"/>
      <x:c r="I47" s="172"/>
      <x:c r="J47" s="172"/>
      <x:c r="K47" s="172"/>
      <x:c r="L47" s="172"/>
      <x:c r="M47" s="172"/>
      <x:c r="N47" s="172"/>
      <x:c r="O47" s="172"/>
      <x:c r="P47" s="172"/>
      <x:c r="Q47" s="172"/>
      <x:c r="R47" s="172"/>
      <x:c r="S47" s="172"/>
    </x:row>
    <x:row r="48" ht="23" customHeight="1">
      <x:c r="A48" s="172" t="str">
        <x:v>xGA adversar domestic</x:v>
      </x:c>
      <x:c r="B48" s="189" t="str">
        <x:f>IF(AND(E13="READY",H13=1),B13*MAX(0.75,MIN(1.35,SQRT('Date statistice'!$B$30/'Date statistice'!$B$31))),"")</x:f>
      </x:c>
      <x:c r="C48" s="189" t="n">
        <x:f>IF($B$5="Campionat intern",Under_LineCal_v9!B53,Under_LineCal_v9!C53)</x:f>
        <x:v>0.15</x:v>
      </x:c>
      <x:c r="D48" s="189" t="n">
        <x:f>IF(AND(E13="READY",H13=1),C48*D13,0)</x:f>
        <x:v>0</x:v>
      </x:c>
      <x:c r="E48" s="189" t="str">
        <x:f>IF(AND(E12="READY",H12=1),B12*MAX(0.75,MIN(1.35,SQRT('Date statistice'!$B$31/'Date statistice'!$B$30))),"")</x:f>
      </x:c>
      <x:c r="F48" s="189" t="n">
        <x:f>C48</x:f>
        <x:v>0.15</x:v>
      </x:c>
      <x:c r="G48" s="189" t="n">
        <x:f>IF(AND(E12="READY",H12=1),F48*D12,0)</x:f>
        <x:v>0</x:v>
      </x:c>
      <x:c r="H48" s="222"/>
      <x:c r="I48" s="172"/>
      <x:c r="J48" s="172"/>
      <x:c r="K48" s="172"/>
      <x:c r="L48" s="172"/>
      <x:c r="M48" s="172"/>
      <x:c r="N48" s="172"/>
      <x:c r="O48" s="172"/>
      <x:c r="P48" s="172"/>
      <x:c r="Q48" s="172"/>
      <x:c r="R48" s="172"/>
      <x:c r="S48" s="172"/>
    </x:row>
    <x:row r="49" ht="23" customHeight="1">
      <x:c r="A49" s="172" t="str">
        <x:v>xG recent</x:v>
      </x:c>
      <x:c r="B49" s="189" t="str">
        <x:f>IF(AND(E14="READY",H14=1),B14,"")</x:f>
      </x:c>
      <x:c r="C49" s="189" t="n">
        <x:f>IF($B$5="Campionat intern",Under_LineCal_v9!B54,Under_LineCal_v9!C54)</x:f>
        <x:v>0.1</x:v>
      </x:c>
      <x:c r="D49" s="189" t="n">
        <x:f>IF(AND(E14="READY",H14=1),C49*D14,0)</x:f>
        <x:v>0</x:v>
      </x:c>
      <x:c r="E49" s="189" t="str">
        <x:f>IF(AND(E15="READY",H15=1),B15,"")</x:f>
      </x:c>
      <x:c r="F49" s="189" t="n">
        <x:f>C49</x:f>
        <x:v>0.1</x:v>
      </x:c>
      <x:c r="G49" s="189" t="n">
        <x:f>IF(AND(E15="READY",H15=1),F49*D15,0)</x:f>
        <x:v>0</x:v>
      </x:c>
      <x:c r="H49" s="222"/>
      <x:c r="I49" s="172"/>
      <x:c r="J49" s="172"/>
      <x:c r="K49" s="172"/>
      <x:c r="L49" s="172"/>
      <x:c r="M49" s="172"/>
      <x:c r="N49" s="172"/>
      <x:c r="O49" s="172"/>
      <x:c r="P49" s="172"/>
      <x:c r="Q49" s="172"/>
      <x:c r="R49" s="172"/>
      <x:c r="S49" s="172"/>
    </x:row>
    <x:row r="50" ht="23" customHeight="1">
      <x:c r="A50" s="172" t="str">
        <x:v>xG Europa</x:v>
      </x:c>
      <x:c r="B50" s="189" t="str">
        <x:f>IF(AND(E16="READY",H16=1),B16,"")</x:f>
      </x:c>
      <x:c r="C50" s="189" t="n">
        <x:f>IF($B$5="Campionat intern",Under_LineCal_v9!B55,Under_LineCal_v9!C55)</x:f>
        <x:v>0.15</x:v>
      </x:c>
      <x:c r="D50" s="189" t="n">
        <x:f>IF(AND(E16="READY",H16=1),C50*D16,0)</x:f>
        <x:v>0</x:v>
      </x:c>
      <x:c r="E50" s="189" t="str">
        <x:f>IF(AND(E17="READY",H17=1),B17,"")</x:f>
      </x:c>
      <x:c r="F50" s="189" t="n">
        <x:f>C50</x:f>
        <x:v>0.15</x:v>
      </x:c>
      <x:c r="G50" s="189" t="n">
        <x:f>IF(AND(E17="READY",H17=1),F50*D17,0)</x:f>
        <x:v>0</x:v>
      </x:c>
      <x:c r="H50" s="222"/>
      <x:c r="I50" s="172"/>
      <x:c r="J50" s="172"/>
      <x:c r="K50" s="172"/>
      <x:c r="L50" s="172"/>
      <x:c r="M50" s="172"/>
      <x:c r="N50" s="172"/>
      <x:c r="O50" s="172"/>
      <x:c r="P50" s="172"/>
      <x:c r="Q50" s="172"/>
      <x:c r="R50" s="172"/>
      <x:c r="S50" s="172"/>
    </x:row>
    <x:row r="51" ht="23" customHeight="1">
      <x:c r="A51" s="172" t="str">
        <x:v>xGA adversar Europa</x:v>
      </x:c>
      <x:c r="B51" s="189" t="str">
        <x:f>IF(AND(E19="READY",H19=1),B19,"")</x:f>
      </x:c>
      <x:c r="C51" s="189" t="n">
        <x:f>IF($B$5="Campionat intern",Under_LineCal_v9!B56,Under_LineCal_v9!C56)</x:f>
        <x:v>0.1</x:v>
      </x:c>
      <x:c r="D51" s="189" t="n">
        <x:f>IF(AND(E19="READY",H19=1),C51*D19,0)</x:f>
        <x:v>0</x:v>
      </x:c>
      <x:c r="E51" s="189" t="str">
        <x:f>IF(AND(E18="READY",H18=1),B18,"")</x:f>
      </x:c>
      <x:c r="F51" s="189" t="n">
        <x:f>C51</x:f>
        <x:v>0.1</x:v>
      </x:c>
      <x:c r="G51" s="189" t="n">
        <x:f>IF(AND(E18="READY",H18=1),F51*D18,0)</x:f>
        <x:v>0</x:v>
      </x:c>
      <x:c r="H51" s="222"/>
      <x:c r="I51" s="172"/>
      <x:c r="J51" s="172"/>
      <x:c r="K51" s="172"/>
      <x:c r="L51" s="172"/>
      <x:c r="M51" s="172"/>
      <x:c r="N51" s="172"/>
      <x:c r="O51" s="172"/>
      <x:c r="P51" s="172"/>
      <x:c r="Q51" s="172"/>
      <x:c r="R51" s="172"/>
      <x:c r="S51" s="172"/>
    </x:row>
    <x:row r="52" ht="23" customHeight="1">
      <x:c r="A52" s="172"/>
      <x:c r="B52" s="172"/>
      <x:c r="C52" s="172"/>
      <x:c r="D52" s="172"/>
      <x:c r="E52" s="172"/>
      <x:c r="F52" s="172"/>
      <x:c r="G52" s="172"/>
      <x:c r="H52" s="222"/>
      <x:c r="I52" s="172"/>
      <x:c r="J52" s="172"/>
      <x:c r="K52" s="172"/>
      <x:c r="L52" s="172"/>
      <x:c r="M52" s="172"/>
      <x:c r="N52" s="172"/>
      <x:c r="O52" s="172"/>
      <x:c r="P52" s="172"/>
      <x:c r="Q52" s="172"/>
      <x:c r="R52" s="172"/>
      <x:c r="S52" s="172"/>
    </x:row>
    <x:row r="53" ht="23" customHeight="1">
      <x:c r="A53" s="172"/>
      <x:c r="B53" s="172"/>
      <x:c r="C53" s="172"/>
      <x:c r="D53" s="172"/>
      <x:c r="E53" s="172"/>
      <x:c r="F53" s="172"/>
      <x:c r="G53" s="172"/>
      <x:c r="H53" s="222"/>
      <x:c r="I53" s="172"/>
      <x:c r="J53" s="172"/>
      <x:c r="K53" s="172"/>
      <x:c r="L53" s="172"/>
      <x:c r="M53" s="172"/>
      <x:c r="N53" s="172"/>
      <x:c r="O53" s="172"/>
      <x:c r="P53" s="172"/>
      <x:c r="Q53" s="172"/>
      <x:c r="R53" s="172"/>
      <x:c r="S53" s="172"/>
    </x:row>
    <x:row r="54" ht="23" customHeight="1">
      <x:c r="A54" s="172"/>
      <x:c r="B54" s="172"/>
      <x:c r="C54" s="172"/>
      <x:c r="D54" s="172"/>
      <x:c r="E54" s="172"/>
      <x:c r="F54" s="172"/>
      <x:c r="G54" s="172"/>
      <x:c r="H54" s="222"/>
      <x:c r="I54" s="172"/>
      <x:c r="J54" s="172"/>
      <x:c r="K54" s="172"/>
      <x:c r="L54" s="172"/>
      <x:c r="M54" s="172"/>
      <x:c r="N54" s="172"/>
      <x:c r="O54" s="172"/>
      <x:c r="P54" s="172"/>
      <x:c r="Q54" s="172"/>
      <x:c r="R54" s="172"/>
      <x:c r="S54" s="172"/>
    </x:row>
    <x:row r="55" ht="23" customHeight="1">
      <x:c r="A55" s="172"/>
      <x:c r="B55" s="172"/>
      <x:c r="C55" s="172"/>
      <x:c r="D55" s="172"/>
      <x:c r="E55" s="172"/>
      <x:c r="F55" s="172"/>
      <x:c r="G55" s="172"/>
      <x:c r="H55" s="222"/>
      <x:c r="I55" s="172"/>
      <x:c r="J55" s="172"/>
      <x:c r="K55" s="172"/>
      <x:c r="L55" s="172"/>
      <x:c r="M55" s="172"/>
      <x:c r="N55" s="172"/>
      <x:c r="O55" s="172"/>
      <x:c r="P55" s="172"/>
      <x:c r="Q55" s="172"/>
      <x:c r="R55" s="172"/>
      <x:c r="S55" s="172"/>
    </x:row>
    <x:row r="56" ht="23" customHeight="1">
      <x:c r="A56" s="172"/>
      <x:c r="B56" s="172"/>
      <x:c r="C56" s="172"/>
      <x:c r="D56" s="172"/>
      <x:c r="E56" s="172"/>
      <x:c r="F56" s="172"/>
      <x:c r="G56" s="172"/>
      <x:c r="H56" s="222"/>
      <x:c r="I56" s="172"/>
      <x:c r="J56" s="172"/>
      <x:c r="K56" s="172"/>
      <x:c r="L56" s="172"/>
      <x:c r="M56" s="172"/>
      <x:c r="N56" s="172"/>
      <x:c r="O56" s="172"/>
      <x:c r="P56" s="172"/>
      <x:c r="Q56" s="172"/>
      <x:c r="R56" s="172"/>
      <x:c r="S56" s="172"/>
    </x:row>
    <x:row r="57" ht="23" customHeight="1">
      <x:c r="A57" s="172"/>
      <x:c r="B57" s="172"/>
      <x:c r="C57" s="172"/>
      <x:c r="D57" s="172"/>
      <x:c r="E57" s="172"/>
      <x:c r="F57" s="172"/>
      <x:c r="G57" s="172"/>
      <x:c r="H57" s="222"/>
      <x:c r="I57" s="172"/>
      <x:c r="J57" s="172"/>
      <x:c r="K57" s="172"/>
      <x:c r="L57" s="172"/>
      <x:c r="M57" s="172"/>
      <x:c r="N57" s="172"/>
      <x:c r="O57" s="172"/>
      <x:c r="P57" s="172"/>
      <x:c r="Q57" s="172"/>
      <x:c r="R57" s="172"/>
      <x:c r="S57" s="172"/>
    </x:row>
    <x:row r="58" ht="36" customHeight="1">
      <x:c r="A58" s="181" t="str">
        <x:v>REZULTAT</x:v>
      </x:c>
      <x:c r="B58" s="181" t="str">
        <x:v>Gazde</x:v>
      </x:c>
      <x:c r="C58" s="181" t="str">
        <x:v>Oaspeți</x:v>
      </x:c>
      <x:c r="D58" s="172"/>
      <x:c r="E58" s="172"/>
      <x:c r="F58" s="172"/>
      <x:c r="G58" s="172"/>
      <x:c r="H58" s="222"/>
      <x:c r="I58" s="172"/>
      <x:c r="J58" s="172"/>
      <x:c r="K58" s="172"/>
      <x:c r="L58" s="172"/>
      <x:c r="M58" s="172"/>
      <x:c r="N58" s="172"/>
      <x:c r="O58" s="172"/>
      <x:c r="P58" s="172"/>
      <x:c r="Q58" s="172"/>
      <x:c r="R58" s="172"/>
      <x:c r="S58" s="172"/>
    </x:row>
    <x:row r="59" ht="23" customHeight="1">
      <x:c r="A59" s="172" t="str">
        <x:v>Sumă ponderi disponibile</x:v>
      </x:c>
      <x:c r="B59" s="172" t="n">
        <x:f>SUM(D47:D51)</x:f>
        <x:v>0</x:v>
      </x:c>
      <x:c r="C59" s="172" t="n">
        <x:f>SUM(G47:G51)</x:f>
        <x:v>0</x:v>
      </x:c>
      <x:c r="D59" s="172"/>
      <x:c r="E59" s="172"/>
      <x:c r="F59" s="172"/>
      <x:c r="G59" s="172"/>
      <x:c r="H59" s="222"/>
      <x:c r="I59" s="172"/>
      <x:c r="J59" s="172"/>
      <x:c r="K59" s="172"/>
      <x:c r="L59" s="172"/>
      <x:c r="M59" s="172"/>
      <x:c r="N59" s="172"/>
      <x:c r="O59" s="172"/>
      <x:c r="P59" s="172"/>
      <x:c r="Q59" s="172"/>
      <x:c r="R59" s="172"/>
      <x:c r="S59" s="172"/>
    </x:row>
    <x:row r="60" ht="23" customHeight="1">
      <x:c r="A60" s="172" t="str">
        <x:v>Lambda statistic</x:v>
      </x:c>
      <x:c r="B60" s="189" t="str">
        <x:f>IF(OR(J5&lt;&gt;"PASS",B59&lt;=0),"",SUMPRODUCT(B47:B51,D47:D51)/B59)</x:f>
      </x:c>
      <x:c r="C60" s="189" t="str">
        <x:f>IF(OR(J5&lt;&gt;"PASS",C59&lt;=0),"",SUMPRODUCT(E47:E51,G47:G51)/C59)</x:f>
      </x:c>
      <x:c r="D60" s="172"/>
      <x:c r="E60" s="172"/>
      <x:c r="F60" s="172"/>
      <x:c r="G60" s="172"/>
      <x:c r="H60" s="222"/>
      <x:c r="I60" s="172"/>
      <x:c r="J60" s="172"/>
      <x:c r="K60" s="172"/>
      <x:c r="L60" s="172"/>
      <x:c r="M60" s="172"/>
      <x:c r="N60" s="172"/>
      <x:c r="O60" s="172"/>
      <x:c r="P60" s="172"/>
      <x:c r="Q60" s="172"/>
      <x:c r="R60" s="172"/>
      <x:c r="S60" s="172"/>
    </x:row>
    <x:row r="61" ht="23" customHeight="1">
      <x:c r="A61" s="172" t="str">
        <x:v>Lambda după context</x:v>
      </x:c>
      <x:c r="B61" s="189" t="str">
        <x:f>IF(B60="","",MAX(Under_LineCal_v9!$B$24,MIN(Under_LineCal_v9!$B$25,B60*(1+B22))))</x:f>
      </x:c>
      <x:c r="C61" s="189" t="str">
        <x:f>IF(C60="","",MAX(Under_LineCal_v9!$B$24,MIN(Under_LineCal_v9!$B$25,C60*(1+B23))))</x:f>
      </x:c>
      <x:c r="D61" s="172"/>
      <x:c r="E61" s="172"/>
      <x:c r="F61" s="172"/>
      <x:c r="G61" s="172"/>
      <x:c r="H61" s="222"/>
      <x:c r="I61" s="172"/>
      <x:c r="J61" s="172"/>
      <x:c r="K61" s="172"/>
      <x:c r="L61" s="172"/>
      <x:c r="M61" s="172"/>
      <x:c r="N61" s="172"/>
      <x:c r="O61" s="172"/>
      <x:c r="P61" s="172"/>
      <x:c r="Q61" s="172"/>
      <x:c r="R61" s="172"/>
      <x:c r="S61" s="172"/>
    </x:row>
    <x:row r="62" ht="23" customHeight="1">
      <x:c r="A62" s="172" t="str">
        <x:v>Lambda total</x:v>
      </x:c>
      <x:c r="B62" s="189" t="str">
        <x:f>IF(OR(B61="",C61=""),"",B61+C61)</x:f>
      </x:c>
      <x:c r="C62" s="189"/>
      <x:c r="D62" s="172"/>
      <x:c r="E62" s="172"/>
      <x:c r="F62" s="172"/>
      <x:c r="G62" s="172"/>
      <x:c r="H62" s="222"/>
      <x:c r="I62" s="172"/>
      <x:c r="J62" s="172"/>
      <x:c r="K62" s="172"/>
      <x:c r="L62" s="172"/>
      <x:c r="M62" s="172"/>
      <x:c r="N62" s="172"/>
      <x:c r="O62" s="172"/>
      <x:c r="P62" s="172"/>
      <x:c r="Q62" s="172"/>
      <x:c r="R62" s="172"/>
      <x:c r="S62" s="172"/>
    </x:row>
    <x:row r="63" ht="23" customHeight="1">
      <x:c r="A63" s="172" t="str">
        <x:v>P U4,5 Poisson</x:v>
      </x:c>
      <x:c r="B63" s="192" t="str">
        <x:f>IF(B62="","",EXP(-B62)*(1+B62+B62^2/2+B62^3/6+B62^4/24))</x:f>
      </x:c>
      <x:c r="C63" s="172"/>
      <x:c r="D63" s="172"/>
      <x:c r="E63" s="172"/>
      <x:c r="F63" s="172"/>
      <x:c r="G63" s="172"/>
      <x:c r="H63" s="222"/>
      <x:c r="I63" s="172"/>
      <x:c r="J63" s="172"/>
      <x:c r="K63" s="172"/>
      <x:c r="L63" s="172"/>
      <x:c r="M63" s="172"/>
      <x:c r="N63" s="172"/>
      <x:c r="O63" s="172"/>
      <x:c r="P63" s="172"/>
      <x:c r="Q63" s="172"/>
      <x:c r="R63" s="172"/>
      <x:c r="S63" s="172"/>
    </x:row>
    <x:row r="64" ht="23" customHeight="1">
      <x:c r="A64" s="172" t="str">
        <x:v>P 5+ Poisson</x:v>
      </x:c>
      <x:c r="B64" s="192" t="str">
        <x:f>IF(B63="","",1-B63)</x:f>
      </x:c>
      <x:c r="C64" s="172"/>
      <x:c r="D64" s="172"/>
      <x:c r="E64" s="172"/>
      <x:c r="F64" s="172"/>
      <x:c r="G64" s="172"/>
      <x:c r="H64" s="222"/>
      <x:c r="I64" s="172"/>
      <x:c r="J64" s="172"/>
      <x:c r="K64" s="172"/>
      <x:c r="L64" s="172"/>
      <x:c r="M64" s="172"/>
      <x:c r="N64" s="172"/>
      <x:c r="O64" s="172"/>
      <x:c r="P64" s="172"/>
      <x:c r="Q64" s="172"/>
      <x:c r="R64" s="172"/>
      <x:c r="S64" s="172"/>
    </x:row>
    <x:row r="65" ht="23" customHeight="1">
      <x:c r="A65" s="172" t="str">
        <x:v>Cotă fair Poisson</x:v>
      </x:c>
      <x:c r="B65" s="172" t="str">
        <x:f>IF(OR(B63="",B63&lt;=0),"",1/B63)</x:f>
      </x:c>
      <x:c r="C65" s="172"/>
      <x:c r="D65" s="172"/>
      <x:c r="E65" s="172"/>
      <x:c r="F65" s="172"/>
      <x:c r="G65" s="172"/>
      <x:c r="H65" s="222"/>
      <x:c r="I65" s="172"/>
      <x:c r="J65" s="172"/>
      <x:c r="K65" s="172"/>
      <x:c r="L65" s="172"/>
      <x:c r="M65" s="172"/>
      <x:c r="N65" s="172"/>
      <x:c r="O65" s="172"/>
      <x:c r="P65" s="172"/>
      <x:c r="Q65" s="172"/>
      <x:c r="R65" s="172"/>
      <x:c r="S65" s="172"/>
    </x:row>
    <x:row r="66" ht="23" customHeight="1">
      <x:c r="A66" s="172"/>
      <x:c r="B66" s="172"/>
      <x:c r="C66" s="172"/>
      <x:c r="D66" s="172"/>
      <x:c r="E66" s="172"/>
      <x:c r="F66" s="172"/>
      <x:c r="G66" s="172"/>
      <x:c r="H66" s="222"/>
      <x:c r="I66" s="172"/>
      <x:c r="J66" s="172"/>
      <x:c r="K66" s="172"/>
      <x:c r="L66" s="172"/>
      <x:c r="M66" s="172"/>
      <x:c r="N66" s="172"/>
      <x:c r="O66" s="172"/>
      <x:c r="P66" s="172"/>
      <x:c r="Q66" s="172"/>
      <x:c r="R66" s="172"/>
      <x:c r="S66" s="172"/>
    </x:row>
    <x:row r="67" ht="23" customHeight="1">
      <x:c r="A67" s="172"/>
      <x:c r="B67" s="172"/>
      <x:c r="C67" s="172"/>
      <x:c r="D67" s="172"/>
      <x:c r="E67" s="172"/>
      <x:c r="F67" s="172"/>
      <x:c r="G67" s="172"/>
      <x:c r="H67" s="222"/>
      <x:c r="I67" s="172"/>
      <x:c r="J67" s="172"/>
      <x:c r="K67" s="172"/>
      <x:c r="L67" s="172"/>
      <x:c r="M67" s="172"/>
      <x:c r="N67" s="172"/>
      <x:c r="O67" s="172"/>
      <x:c r="P67" s="172"/>
      <x:c r="Q67" s="172"/>
      <x:c r="R67" s="172"/>
      <x:c r="S67" s="172"/>
    </x:row>
    <x:row r="68" ht="23" customHeight="1">
      <x:c r="A68" s="172" t="str">
        <x:v>EV tehnic</x:v>
      </x:c>
      <x:c r="B68" s="172" t="str">
        <x:v>NEUTILIZAT</x:v>
      </x:c>
      <x:c r="C68" s="172"/>
      <x:c r="D68" s="172"/>
      <x:c r="E68" s="172"/>
      <x:c r="F68" s="172"/>
      <x:c r="G68" s="172"/>
      <x:c r="H68" s="222"/>
      <x:c r="I68" s="172"/>
      <x:c r="J68" s="172"/>
      <x:c r="K68" s="172"/>
      <x:c r="L68" s="172"/>
      <x:c r="M68" s="172"/>
      <x:c r="N68" s="172"/>
      <x:c r="O68" s="172"/>
      <x:c r="P68" s="172"/>
      <x:c r="Q68" s="172"/>
      <x:c r="R68" s="172"/>
      <x:c r="S68" s="172"/>
    </x:row>
    <x:row r="69" ht="23" customHeight="1">
      <x:c r="A69" s="172"/>
      <x:c r="B69" s="172"/>
      <x:c r="C69" s="172"/>
      <x:c r="D69" s="172"/>
      <x:c r="E69" s="172"/>
      <x:c r="F69" s="172"/>
      <x:c r="G69" s="172"/>
      <x:c r="H69" s="222"/>
      <x:c r="I69" s="172"/>
      <x:c r="J69" s="172"/>
      <x:c r="K69" s="172"/>
      <x:c r="L69" s="172"/>
      <x:c r="M69" s="172"/>
      <x:c r="N69" s="172"/>
      <x:c r="O69" s="172"/>
      <x:c r="P69" s="172"/>
      <x:c r="Q69" s="172"/>
      <x:c r="R69" s="172"/>
      <x:c r="S69" s="172"/>
    </x:row>
    <x:row r="70" ht="23" customHeight="1">
      <x:c r="A70" s="172"/>
      <x:c r="B70" s="172"/>
      <x:c r="C70" s="172"/>
      <x:c r="D70" s="172"/>
      <x:c r="E70" s="172"/>
      <x:c r="F70" s="172"/>
      <x:c r="G70" s="172"/>
      <x:c r="H70" s="222"/>
      <x:c r="I70" s="172"/>
      <x:c r="J70" s="172"/>
      <x:c r="K70" s="172"/>
      <x:c r="L70" s="172"/>
      <x:c r="M70" s="172"/>
      <x:c r="N70" s="172"/>
      <x:c r="O70" s="172"/>
      <x:c r="P70" s="172"/>
      <x:c r="Q70" s="172"/>
      <x:c r="R70" s="172"/>
      <x:c r="S70" s="172"/>
    </x:row>
    <x:row r="71" ht="23" customHeight="1">
      <x:c r="A71" s="172"/>
      <x:c r="B71" s="172"/>
      <x:c r="C71" s="172"/>
      <x:c r="D71" s="172"/>
      <x:c r="E71" s="172"/>
      <x:c r="F71" s="172"/>
      <x:c r="G71" s="172"/>
      <x:c r="H71" s="222"/>
      <x:c r="I71" s="172"/>
      <x:c r="J71" s="172"/>
      <x:c r="K71" s="172"/>
      <x:c r="L71" s="172"/>
      <x:c r="M71" s="172"/>
      <x:c r="N71" s="172"/>
      <x:c r="O71" s="172"/>
      <x:c r="P71" s="172"/>
      <x:c r="Q71" s="172"/>
      <x:c r="R71" s="172"/>
      <x:c r="S71" s="172"/>
    </x:row>
    <x:row r="72" ht="23" customHeight="1">
      <x:c r="A72" s="172"/>
      <x:c r="B72" s="172"/>
      <x:c r="C72" s="172"/>
      <x:c r="D72" s="172"/>
      <x:c r="E72" s="172"/>
      <x:c r="F72" s="172"/>
      <x:c r="G72" s="172"/>
      <x:c r="H72" s="222"/>
      <x:c r="I72" s="172"/>
      <x:c r="J72" s="172"/>
      <x:c r="K72" s="172"/>
      <x:c r="L72" s="172"/>
      <x:c r="M72" s="172"/>
      <x:c r="N72" s="172"/>
      <x:c r="O72" s="172"/>
      <x:c r="P72" s="172"/>
      <x:c r="Q72" s="172"/>
      <x:c r="R72" s="172"/>
      <x:c r="S72" s="172"/>
    </x:row>
    <x:row r="73" ht="23" customHeight="1">
      <x:c r="A73" s="172"/>
      <x:c r="B73" s="172"/>
      <x:c r="C73" s="172"/>
      <x:c r="D73" s="172"/>
      <x:c r="E73" s="172"/>
      <x:c r="F73" s="172"/>
      <x:c r="G73" s="172"/>
      <x:c r="H73" s="222"/>
      <x:c r="I73" s="172"/>
      <x:c r="J73" s="172"/>
      <x:c r="K73" s="172"/>
      <x:c r="L73" s="172"/>
      <x:c r="M73" s="172"/>
      <x:c r="N73" s="172"/>
      <x:c r="O73" s="172"/>
      <x:c r="P73" s="172"/>
      <x:c r="Q73" s="172"/>
      <x:c r="R73" s="172"/>
      <x:c r="S73" s="172"/>
    </x:row>
    <x:row r="74" ht="36" customHeight="1">
      <x:c r="A74" s="181" t="str">
        <x:v>Input tail</x:v>
      </x:c>
      <x:c r="B74" s="181" t="str">
        <x:v>Valoare utilizată</x:v>
      </x:c>
      <x:c r="C74" s="181" t="str">
        <x:v>N total</x:v>
      </x:c>
      <x:c r="D74" s="181" t="str">
        <x:v>Stare</x:v>
      </x:c>
      <x:c r="E74" s="181" t="str">
        <x:v>Scală</x:v>
      </x:c>
      <x:c r="F74" s="181" t="str">
        <x:v>Pondere</x:v>
      </x:c>
      <x:c r="G74" s="181" t="str">
        <x:v>Contribuție</x:v>
      </x:c>
      <x:c r="H74" s="222"/>
      <x:c r="I74" s="172"/>
      <x:c r="J74" s="172"/>
      <x:c r="K74" s="172"/>
      <x:c r="L74" s="172"/>
      <x:c r="M74" s="172"/>
      <x:c r="N74" s="172"/>
      <x:c r="O74" s="172"/>
      <x:c r="P74" s="172"/>
      <x:c r="Q74" s="172"/>
      <x:c r="R74" s="172"/>
      <x:c r="S74" s="172"/>
    </x:row>
    <x:row r="75" ht="32" customHeight="1">
      <x:c r="A75" s="172" t="str">
        <x:v>Liga: rată 5+</x:v>
      </x:c>
      <x:c r="B75" s="172" t="str">
        <x:f>IF(D75&lt;&gt;"READY","",(IF(ISNUMBER('Date statistice'!C45),'Date statistice'!C45,0)*IF(ISNUMBER('Date statistice'!D45),'Date statistice'!D45,0)+IF(ISNUMBER('Date statistice'!E45),'Date statistice'!E45,0)*IF(ISNUMBER('Date statistice'!F45),'Date statistice'!F45,0))/C75)</x:f>
      </x:c>
      <x:c r="C75" s="172" t="str">
        <x:f>IF(D75&lt;&gt;"READY","",IF(ISNUMBER('Date statistice'!D45),'Date statistice'!D45,0)+IF(ISNUMBER('Date statistice'!F45),'Date statistice'!F45,0))</x:f>
      </x:c>
      <x:c r="D75" s="172" t="str">
        <x:f>IFERROR(IF('Date statistice'!G45="SOURCE CONFLICT","SOURCE CONFLICT",IF('Date statistice'!G45="NOT AVAILABLE","NOT AVAILABLE",IF(NOT(OR('Date statistice'!G45="VERIFIED",'Date statistice'!G45="DERIVED",'Date statistice'!G45="SMALL SAMPLE",'Date statistice'!G45="PRIOR / SHRINKAGE",'Date statistice'!G45="PROXY ONLY")),"INCOMPLETE",IF(AND(AND(OR(AND('Date statistice'!C45="",'Date statistice'!D45=""),AND(ISNUMBER('Date statistice'!C45),'Date statistice'!C45&gt;=0,'Date statistice'!C45&lt;=1,ISNUMBER('Date statistice'!D45),'Date statistice'!D45&gt;0,INT('Date statistice'!D45)='Date statistice'!D45)),OR(AND('Date statistice'!E45="",'Date statistice'!F45=""),AND(ISNUMBER('Date statistice'!E45),'Date statistice'!E45&gt;=0,'Date statistice'!E45&lt;=1,ISNUMBER('Date statistice'!F45),'Date statistice'!F45&gt;0,INT('Date statistice'!F45)='Date statistice'!F45))),OR(AND(ISNUMBER('Date statistice'!C45),'Date statistice'!C45&gt;=0,'Date statistice'!C45&lt;=1,ISNUMBER('Date statistice'!D45),'Date statistice'!D45&gt;0,INT('Date statistice'!D45)='Date statistice'!D45),AND(ISNUMBER('Date statistice'!E45),'Date statistice'!E45&gt;=0,'Date statistice'!E45&lt;=1,ISNUMBER('Date statistice'!F45),'Date statistice'!F45&gt;0,INT('Date statistice'!F45)='Date statistice'!F45)),'Date statistice'!H45&lt;&gt;"",ISNUMBER('Date statistice'!I45),'Date statistice'!I45&lt;'Date statistice'!$B$10,'Date statistice'!J45&lt;&gt;""),"READY","INVALID")))),"INVALID")</x:f>
        <x:v>INCOMPLETE</x:v>
      </x:c>
      <x:c r="E75" s="172" t="n">
        <x:v>0.25</x:v>
      </x:c>
      <x:c r="F75" s="172" t="n">
        <x:v>0.2</x:v>
      </x:c>
      <x:c r="G75" s="172" t="str">
        <x:f>IF(D75&lt;&gt;"READY","",MIN(100,B75/E75*100)*F75)</x:f>
      </x:c>
      <x:c r="H75" s="222"/>
      <x:c r="I75" s="172"/>
      <x:c r="J75" s="172"/>
      <x:c r="K75" s="172"/>
      <x:c r="L75" s="172"/>
      <x:c r="M75" s="172"/>
      <x:c r="N75" s="172"/>
      <x:c r="O75" s="172"/>
      <x:c r="P75" s="172"/>
      <x:c r="Q75" s="172"/>
      <x:c r="R75" s="172"/>
      <x:c r="S75" s="172"/>
    </x:row>
    <x:row r="76" ht="32" customHeight="1">
      <x:c r="A76" s="172" t="str">
        <x:v>Gazde H: rată 5+</x:v>
      </x:c>
      <x:c r="B76" s="172" t="str">
        <x:f>IF(D76&lt;&gt;"READY","",(IF(ISNUMBER('Date statistice'!C46),'Date statistice'!C46,0)*IF(ISNUMBER('Date statistice'!D46),'Date statistice'!D46,0)+IF(ISNUMBER('Date statistice'!E46),'Date statistice'!E46,0)*IF(ISNUMBER('Date statistice'!F46),'Date statistice'!F46,0))/C76)</x:f>
      </x:c>
      <x:c r="C76" s="172" t="str">
        <x:f>IF(D76&lt;&gt;"READY","",IF(ISNUMBER('Date statistice'!D46),'Date statistice'!D46,0)+IF(ISNUMBER('Date statistice'!F46),'Date statistice'!F46,0))</x:f>
      </x:c>
      <x:c r="D76" s="172" t="str">
        <x:f>IFERROR(IF('Date statistice'!G46="SOURCE CONFLICT","SOURCE CONFLICT",IF('Date statistice'!G46="NOT AVAILABLE","NOT AVAILABLE",IF(NOT(OR('Date statistice'!G46="VERIFIED",'Date statistice'!G46="DERIVED",'Date statistice'!G46="SMALL SAMPLE",'Date statistice'!G46="PRIOR / SHRINKAGE",'Date statistice'!G46="PROXY ONLY")),"INCOMPLETE",IF(AND(AND(OR(AND('Date statistice'!C46="",'Date statistice'!D46=""),AND(ISNUMBER('Date statistice'!C46),'Date statistice'!C46&gt;=0,'Date statistice'!C46&lt;=1,ISNUMBER('Date statistice'!D46),'Date statistice'!D46&gt;0,INT('Date statistice'!D46)='Date statistice'!D46)),OR(AND('Date statistice'!E46="",'Date statistice'!F46=""),AND(ISNUMBER('Date statistice'!E46),'Date statistice'!E46&gt;=0,'Date statistice'!E46&lt;=1,ISNUMBER('Date statistice'!F46),'Date statistice'!F46&gt;0,INT('Date statistice'!F46)='Date statistice'!F46))),OR(AND(ISNUMBER('Date statistice'!C46),'Date statistice'!C46&gt;=0,'Date statistice'!C46&lt;=1,ISNUMBER('Date statistice'!D46),'Date statistice'!D46&gt;0,INT('Date statistice'!D46)='Date statistice'!D46),AND(ISNUMBER('Date statistice'!E46),'Date statistice'!E46&gt;=0,'Date statistice'!E46&lt;=1,ISNUMBER('Date statistice'!F46),'Date statistice'!F46&gt;0,INT('Date statistice'!F46)='Date statistice'!F46)),'Date statistice'!H46&lt;&gt;"",ISNUMBER('Date statistice'!I46),'Date statistice'!I46&lt;'Date statistice'!$B$10,'Date statistice'!J46&lt;&gt;""),"READY","INVALID")))),"INVALID")</x:f>
        <x:v>INCOMPLETE</x:v>
      </x:c>
      <x:c r="E76" s="172" t="n">
        <x:v>0.3</x:v>
      </x:c>
      <x:c r="F76" s="172" t="n">
        <x:v>0.125</x:v>
      </x:c>
      <x:c r="G76" s="172" t="str">
        <x:f>IF(D76&lt;&gt;"READY","",MIN(100,B76/E76*100)*F76)</x:f>
      </x:c>
      <x:c r="H76" s="222"/>
      <x:c r="I76" s="172"/>
      <x:c r="J76" s="172"/>
      <x:c r="K76" s="172"/>
      <x:c r="L76" s="172"/>
      <x:c r="M76" s="172"/>
      <x:c r="N76" s="172"/>
      <x:c r="O76" s="172"/>
      <x:c r="P76" s="172"/>
      <x:c r="Q76" s="172"/>
      <x:c r="R76" s="172"/>
      <x:c r="S76" s="172"/>
    </x:row>
    <x:row r="77" ht="32" customHeight="1">
      <x:c r="A77" s="172" t="str">
        <x:v>Oaspeți A: rată 5+</x:v>
      </x:c>
      <x:c r="B77" s="172" t="str">
        <x:f>IF(D77&lt;&gt;"READY","",(IF(ISNUMBER('Date statistice'!C47),'Date statistice'!C47,0)*IF(ISNUMBER('Date statistice'!D47),'Date statistice'!D47,0)+IF(ISNUMBER('Date statistice'!E47),'Date statistice'!E47,0)*IF(ISNUMBER('Date statistice'!F47),'Date statistice'!F47,0))/C77)</x:f>
      </x:c>
      <x:c r="C77" s="172" t="str">
        <x:f>IF(D77&lt;&gt;"READY","",IF(ISNUMBER('Date statistice'!D47),'Date statistice'!D47,0)+IF(ISNUMBER('Date statistice'!F47),'Date statistice'!F47,0))</x:f>
      </x:c>
      <x:c r="D77" s="172" t="str">
        <x:f>IFERROR(IF('Date statistice'!G47="SOURCE CONFLICT","SOURCE CONFLICT",IF('Date statistice'!G47="NOT AVAILABLE","NOT AVAILABLE",IF(NOT(OR('Date statistice'!G47="VERIFIED",'Date statistice'!G47="DERIVED",'Date statistice'!G47="SMALL SAMPLE",'Date statistice'!G47="PRIOR / SHRINKAGE",'Date statistice'!G47="PROXY ONLY")),"INCOMPLETE",IF(AND(AND(OR(AND('Date statistice'!C47="",'Date statistice'!D47=""),AND(ISNUMBER('Date statistice'!C47),'Date statistice'!C47&gt;=0,'Date statistice'!C47&lt;=1,ISNUMBER('Date statistice'!D47),'Date statistice'!D47&gt;0,INT('Date statistice'!D47)='Date statistice'!D47)),OR(AND('Date statistice'!E47="",'Date statistice'!F47=""),AND(ISNUMBER('Date statistice'!E47),'Date statistice'!E47&gt;=0,'Date statistice'!E47&lt;=1,ISNUMBER('Date statistice'!F47),'Date statistice'!F47&gt;0,INT('Date statistice'!F47)='Date statistice'!F47))),OR(AND(ISNUMBER('Date statistice'!C47),'Date statistice'!C47&gt;=0,'Date statistice'!C47&lt;=1,ISNUMBER('Date statistice'!D47),'Date statistice'!D47&gt;0,INT('Date statistice'!D47)='Date statistice'!D47),AND(ISNUMBER('Date statistice'!E47),'Date statistice'!E47&gt;=0,'Date statistice'!E47&lt;=1,ISNUMBER('Date statistice'!F47),'Date statistice'!F47&gt;0,INT('Date statistice'!F47)='Date statistice'!F47)),'Date statistice'!H47&lt;&gt;"",ISNUMBER('Date statistice'!I47),'Date statistice'!I47&lt;'Date statistice'!$B$10,'Date statistice'!J47&lt;&gt;""),"READY","INVALID")))),"INVALID")</x:f>
        <x:v>INCOMPLETE</x:v>
      </x:c>
      <x:c r="E77" s="172" t="n">
        <x:v>0.3</x:v>
      </x:c>
      <x:c r="F77" s="172" t="n">
        <x:v>0.125</x:v>
      </x:c>
      <x:c r="G77" s="172" t="str">
        <x:f>IF(D77&lt;&gt;"READY","",MIN(100,B77/E77*100)*F77)</x:f>
      </x:c>
      <x:c r="H77" s="222"/>
      <x:c r="I77" s="172"/>
      <x:c r="J77" s="172"/>
      <x:c r="K77" s="172"/>
      <x:c r="L77" s="172"/>
      <x:c r="M77" s="172"/>
      <x:c r="N77" s="172"/>
      <x:c r="O77" s="172"/>
      <x:c r="P77" s="172"/>
      <x:c r="Q77" s="172"/>
      <x:c r="R77" s="172"/>
      <x:c r="S77" s="172"/>
    </x:row>
    <x:row r="78" ht="32" customHeight="1">
      <x:c r="A78" s="172" t="str">
        <x:v>Gazde: rată 4+ marcate</x:v>
      </x:c>
      <x:c r="B78" s="172" t="str">
        <x:f>IF(D78&lt;&gt;"READY","",(IF(ISNUMBER('Date statistice'!C48),'Date statistice'!C48,0)*IF(ISNUMBER('Date statistice'!D48),'Date statistice'!D48,0)+IF(ISNUMBER('Date statistice'!E48),'Date statistice'!E48,0)*IF(ISNUMBER('Date statistice'!F48),'Date statistice'!F48,0))/C78)</x:f>
      </x:c>
      <x:c r="C78" s="172" t="str">
        <x:f>IF(D78&lt;&gt;"READY","",IF(ISNUMBER('Date statistice'!D48),'Date statistice'!D48,0)+IF(ISNUMBER('Date statistice'!F48),'Date statistice'!F48,0))</x:f>
      </x:c>
      <x:c r="D78" s="172" t="str">
        <x:f>IFERROR(IF('Date statistice'!G48="SOURCE CONFLICT","SOURCE CONFLICT",IF('Date statistice'!G48="NOT AVAILABLE","NOT AVAILABLE",IF(NOT(OR('Date statistice'!G48="VERIFIED",'Date statistice'!G48="DERIVED",'Date statistice'!G48="SMALL SAMPLE",'Date statistice'!G48="PRIOR / SHRINKAGE",'Date statistice'!G48="PROXY ONLY")),"INCOMPLETE",IF(AND(AND(OR(AND('Date statistice'!C48="",'Date statistice'!D48=""),AND(ISNUMBER('Date statistice'!C48),'Date statistice'!C48&gt;=0,'Date statistice'!C48&lt;=1,ISNUMBER('Date statistice'!D48),'Date statistice'!D48&gt;0,INT('Date statistice'!D48)='Date statistice'!D48)),OR(AND('Date statistice'!E48="",'Date statistice'!F48=""),AND(ISNUMBER('Date statistice'!E48),'Date statistice'!E48&gt;=0,'Date statistice'!E48&lt;=1,ISNUMBER('Date statistice'!F48),'Date statistice'!F48&gt;0,INT('Date statistice'!F48)='Date statistice'!F48))),OR(AND(ISNUMBER('Date statistice'!C48),'Date statistice'!C48&gt;=0,'Date statistice'!C48&lt;=1,ISNUMBER('Date statistice'!D48),'Date statistice'!D48&gt;0,INT('Date statistice'!D48)='Date statistice'!D48),AND(ISNUMBER('Date statistice'!E48),'Date statistice'!E48&gt;=0,'Date statistice'!E48&lt;=1,ISNUMBER('Date statistice'!F48),'Date statistice'!F48&gt;0,INT('Date statistice'!F48)='Date statistice'!F48)),'Date statistice'!H48&lt;&gt;"",ISNUMBER('Date statistice'!I48),'Date statistice'!I48&lt;'Date statistice'!$B$10,'Date statistice'!J48&lt;&gt;""),"READY","INVALID")))),"INVALID")</x:f>
        <x:v>INCOMPLETE</x:v>
      </x:c>
      <x:c r="E78" s="172" t="n">
        <x:v>0.2</x:v>
      </x:c>
      <x:c r="F78" s="172" t="n">
        <x:v>0.075</x:v>
      </x:c>
      <x:c r="G78" s="172" t="str">
        <x:f>IF(D78&lt;&gt;"READY","",MIN(100,B78/E78*100)*F78)</x:f>
      </x:c>
      <x:c r="H78" s="222"/>
      <x:c r="I78" s="172"/>
      <x:c r="J78" s="172"/>
      <x:c r="K78" s="172"/>
      <x:c r="L78" s="172"/>
      <x:c r="M78" s="172"/>
      <x:c r="N78" s="172"/>
      <x:c r="O78" s="172"/>
      <x:c r="P78" s="172"/>
      <x:c r="Q78" s="172"/>
      <x:c r="R78" s="172"/>
      <x:c r="S78" s="172"/>
    </x:row>
    <x:row r="79" ht="32" customHeight="1">
      <x:c r="A79" s="172" t="str">
        <x:v>Oaspeți: rată 4+ marcate</x:v>
      </x:c>
      <x:c r="B79" s="172" t="str">
        <x:f>IF(D79&lt;&gt;"READY","",(IF(ISNUMBER('Date statistice'!C49),'Date statistice'!C49,0)*IF(ISNUMBER('Date statistice'!D49),'Date statistice'!D49,0)+IF(ISNUMBER('Date statistice'!E49),'Date statistice'!E49,0)*IF(ISNUMBER('Date statistice'!F49),'Date statistice'!F49,0))/C79)</x:f>
      </x:c>
      <x:c r="C79" s="172" t="str">
        <x:f>IF(D79&lt;&gt;"READY","",IF(ISNUMBER('Date statistice'!D49),'Date statistice'!D49,0)+IF(ISNUMBER('Date statistice'!F49),'Date statistice'!F49,0))</x:f>
      </x:c>
      <x:c r="D79" s="172" t="str">
        <x:f>IFERROR(IF('Date statistice'!G49="SOURCE CONFLICT","SOURCE CONFLICT",IF('Date statistice'!G49="NOT AVAILABLE","NOT AVAILABLE",IF(NOT(OR('Date statistice'!G49="VERIFIED",'Date statistice'!G49="DERIVED",'Date statistice'!G49="SMALL SAMPLE",'Date statistice'!G49="PRIOR / SHRINKAGE",'Date statistice'!G49="PROXY ONLY")),"INCOMPLETE",IF(AND(AND(OR(AND('Date statistice'!C49="",'Date statistice'!D49=""),AND(ISNUMBER('Date statistice'!C49),'Date statistice'!C49&gt;=0,'Date statistice'!C49&lt;=1,ISNUMBER('Date statistice'!D49),'Date statistice'!D49&gt;0,INT('Date statistice'!D49)='Date statistice'!D49)),OR(AND('Date statistice'!E49="",'Date statistice'!F49=""),AND(ISNUMBER('Date statistice'!E49),'Date statistice'!E49&gt;=0,'Date statistice'!E49&lt;=1,ISNUMBER('Date statistice'!F49),'Date statistice'!F49&gt;0,INT('Date statistice'!F49)='Date statistice'!F49))),OR(AND(ISNUMBER('Date statistice'!C49),'Date statistice'!C49&gt;=0,'Date statistice'!C49&lt;=1,ISNUMBER('Date statistice'!D49),'Date statistice'!D49&gt;0,INT('Date statistice'!D49)='Date statistice'!D49),AND(ISNUMBER('Date statistice'!E49),'Date statistice'!E49&gt;=0,'Date statistice'!E49&lt;=1,ISNUMBER('Date statistice'!F49),'Date statistice'!F49&gt;0,INT('Date statistice'!F49)='Date statistice'!F49)),'Date statistice'!H49&lt;&gt;"",ISNUMBER('Date statistice'!I49),'Date statistice'!I49&lt;'Date statistice'!$B$10,'Date statistice'!J49&lt;&gt;""),"READY","INVALID")))),"INVALID")</x:f>
        <x:v>INCOMPLETE</x:v>
      </x:c>
      <x:c r="E79" s="172" t="n">
        <x:v>0.2</x:v>
      </x:c>
      <x:c r="F79" s="172" t="n">
        <x:v>0.075</x:v>
      </x:c>
      <x:c r="G79" s="172" t="str">
        <x:f>IF(D79&lt;&gt;"READY","",MIN(100,B79/E79*100)*F79)</x:f>
      </x:c>
      <x:c r="H79" s="222"/>
      <x:c r="I79" s="172"/>
      <x:c r="J79" s="172"/>
      <x:c r="K79" s="172"/>
      <x:c r="L79" s="172"/>
      <x:c r="M79" s="172"/>
      <x:c r="N79" s="172"/>
      <x:c r="O79" s="172"/>
      <x:c r="P79" s="172"/>
      <x:c r="Q79" s="172"/>
      <x:c r="R79" s="172"/>
      <x:c r="S79" s="172"/>
    </x:row>
    <x:row r="80" ht="32" customHeight="1">
      <x:c r="A80" s="172" t="str">
        <x:v>Gazde: rată 3+ primite</x:v>
      </x:c>
      <x:c r="B80" s="172" t="str">
        <x:f>IF(D80&lt;&gt;"READY","",(IF(ISNUMBER('Date statistice'!C50),'Date statistice'!C50,0)*IF(ISNUMBER('Date statistice'!D50),'Date statistice'!D50,0)+IF(ISNUMBER('Date statistice'!E50),'Date statistice'!E50,0)*IF(ISNUMBER('Date statistice'!F50),'Date statistice'!F50,0))/C80)</x:f>
      </x:c>
      <x:c r="C80" s="172" t="str">
        <x:f>IF(D80&lt;&gt;"READY","",IF(ISNUMBER('Date statistice'!D50),'Date statistice'!D50,0)+IF(ISNUMBER('Date statistice'!F50),'Date statistice'!F50,0))</x:f>
      </x:c>
      <x:c r="D80" s="172" t="str">
        <x:f>IFERROR(IF('Date statistice'!G50="SOURCE CONFLICT","SOURCE CONFLICT",IF('Date statistice'!G50="NOT AVAILABLE","NOT AVAILABLE",IF(NOT(OR('Date statistice'!G50="VERIFIED",'Date statistice'!G50="DERIVED",'Date statistice'!G50="SMALL SAMPLE",'Date statistice'!G50="PRIOR / SHRINKAGE",'Date statistice'!G50="PROXY ONLY")),"INCOMPLETE",IF(AND(AND(OR(AND('Date statistice'!C50="",'Date statistice'!D50=""),AND(ISNUMBER('Date statistice'!C50),'Date statistice'!C50&gt;=0,'Date statistice'!C50&lt;=1,ISNUMBER('Date statistice'!D50),'Date statistice'!D50&gt;0,INT('Date statistice'!D50)='Date statistice'!D50)),OR(AND('Date statistice'!E50="",'Date statistice'!F50=""),AND(ISNUMBER('Date statistice'!E50),'Date statistice'!E50&gt;=0,'Date statistice'!E50&lt;=1,ISNUMBER('Date statistice'!F50),'Date statistice'!F50&gt;0,INT('Date statistice'!F50)='Date statistice'!F50))),OR(AND(ISNUMBER('Date statistice'!C50),'Date statistice'!C50&gt;=0,'Date statistice'!C50&lt;=1,ISNUMBER('Date statistice'!D50),'Date statistice'!D50&gt;0,INT('Date statistice'!D50)='Date statistice'!D50),AND(ISNUMBER('Date statistice'!E50),'Date statistice'!E50&gt;=0,'Date statistice'!E50&lt;=1,ISNUMBER('Date statistice'!F50),'Date statistice'!F50&gt;0,INT('Date statistice'!F50)='Date statistice'!F50)),'Date statistice'!H50&lt;&gt;"",ISNUMBER('Date statistice'!I50),'Date statistice'!I50&lt;'Date statistice'!$B$10,'Date statistice'!J50&lt;&gt;""),"READY","INVALID")))),"INVALID")</x:f>
        <x:v>INCOMPLETE</x:v>
      </x:c>
      <x:c r="E80" s="172" t="n">
        <x:v>0.25</x:v>
      </x:c>
      <x:c r="F80" s="172" t="n">
        <x:v>0.1</x:v>
      </x:c>
      <x:c r="G80" s="172" t="str">
        <x:f>IF(D80&lt;&gt;"READY","",MIN(100,B80/E80*100)*F80)</x:f>
      </x:c>
      <x:c r="H80" s="222"/>
      <x:c r="I80" s="172"/>
      <x:c r="J80" s="172"/>
      <x:c r="K80" s="172"/>
      <x:c r="L80" s="172"/>
      <x:c r="M80" s="172"/>
      <x:c r="N80" s="172"/>
      <x:c r="O80" s="172"/>
      <x:c r="P80" s="172"/>
      <x:c r="Q80" s="172"/>
      <x:c r="R80" s="172"/>
      <x:c r="S80" s="172"/>
    </x:row>
    <x:row r="81" ht="32" customHeight="1">
      <x:c r="A81" s="172" t="str">
        <x:v>Oaspeți: rată 3+ primite</x:v>
      </x:c>
      <x:c r="B81" s="172" t="str">
        <x:f>IF(D81&lt;&gt;"READY","",(IF(ISNUMBER('Date statistice'!C51),'Date statistice'!C51,0)*IF(ISNUMBER('Date statistice'!D51),'Date statistice'!D51,0)+IF(ISNUMBER('Date statistice'!E51),'Date statistice'!E51,0)*IF(ISNUMBER('Date statistice'!F51),'Date statistice'!F51,0))/C81)</x:f>
      </x:c>
      <x:c r="C81" s="172" t="str">
        <x:f>IF(D81&lt;&gt;"READY","",IF(ISNUMBER('Date statistice'!D51),'Date statistice'!D51,0)+IF(ISNUMBER('Date statistice'!F51),'Date statistice'!F51,0))</x:f>
      </x:c>
      <x:c r="D81" s="172" t="str">
        <x:f>IFERROR(IF('Date statistice'!G51="SOURCE CONFLICT","SOURCE CONFLICT",IF('Date statistice'!G51="NOT AVAILABLE","NOT AVAILABLE",IF(NOT(OR('Date statistice'!G51="VERIFIED",'Date statistice'!G51="DERIVED",'Date statistice'!G51="SMALL SAMPLE",'Date statistice'!G51="PRIOR / SHRINKAGE",'Date statistice'!G51="PROXY ONLY")),"INCOMPLETE",IF(AND(AND(OR(AND('Date statistice'!C51="",'Date statistice'!D51=""),AND(ISNUMBER('Date statistice'!C51),'Date statistice'!C51&gt;=0,'Date statistice'!C51&lt;=1,ISNUMBER('Date statistice'!D51),'Date statistice'!D51&gt;0,INT('Date statistice'!D51)='Date statistice'!D51)),OR(AND('Date statistice'!E51="",'Date statistice'!F51=""),AND(ISNUMBER('Date statistice'!E51),'Date statistice'!E51&gt;=0,'Date statistice'!E51&lt;=1,ISNUMBER('Date statistice'!F51),'Date statistice'!F51&gt;0,INT('Date statistice'!F51)='Date statistice'!F51))),OR(AND(ISNUMBER('Date statistice'!C51),'Date statistice'!C51&gt;=0,'Date statistice'!C51&lt;=1,ISNUMBER('Date statistice'!D51),'Date statistice'!D51&gt;0,INT('Date statistice'!D51)='Date statistice'!D51),AND(ISNUMBER('Date statistice'!E51),'Date statistice'!E51&gt;=0,'Date statistice'!E51&lt;=1,ISNUMBER('Date statistice'!F51),'Date statistice'!F51&gt;0,INT('Date statistice'!F51)='Date statistice'!F51)),'Date statistice'!H51&lt;&gt;"",ISNUMBER('Date statistice'!I51),'Date statistice'!I51&lt;'Date statistice'!$B$10,'Date statistice'!J51&lt;&gt;""),"READY","INVALID")))),"INVALID")</x:f>
        <x:v>INCOMPLETE</x:v>
      </x:c>
      <x:c r="E81" s="172" t="n">
        <x:v>0.25</x:v>
      </x:c>
      <x:c r="F81" s="172" t="n">
        <x:v>0.1</x:v>
      </x:c>
      <x:c r="G81" s="172" t="str">
        <x:f>IF(D81&lt;&gt;"READY","",MIN(100,B81/E81*100)*F81)</x:f>
      </x:c>
      <x:c r="H81" s="222"/>
      <x:c r="I81" s="172"/>
      <x:c r="J81" s="172"/>
      <x:c r="K81" s="172"/>
      <x:c r="L81" s="172"/>
      <x:c r="M81" s="172"/>
      <x:c r="N81" s="172"/>
      <x:c r="O81" s="172"/>
      <x:c r="P81" s="172"/>
      <x:c r="Q81" s="172"/>
      <x:c r="R81" s="172"/>
      <x:c r="S81" s="172"/>
    </x:row>
    <x:row r="82" ht="32" customHeight="1">
      <x:c r="A82" s="172" t="str">
        <x:v>Volatilitate defensivă</x:v>
      </x:c>
      <x:c r="B82" s="172" t="str">
        <x:f>IF(D82&lt;&gt;"READY","",(IF(ISNUMBER('Date statistice'!C52),'Date statistice'!C52,0)*IF(ISNUMBER('Date statistice'!D52),'Date statistice'!D52,0)+IF(ISNUMBER('Date statistice'!E52),'Date statistice'!E52,0)*IF(ISNUMBER('Date statistice'!F52),'Date statistice'!F52,0))/C82)</x:f>
      </x:c>
      <x:c r="C82" s="172" t="str">
        <x:f>IF(D82&lt;&gt;"READY","",IF(ISNUMBER('Date statistice'!D52),'Date statistice'!D52,0)+IF(ISNUMBER('Date statistice'!F52),'Date statistice'!F52,0))</x:f>
      </x:c>
      <x:c r="D82" s="172" t="str">
        <x:f>IFERROR(IF('Date statistice'!G52="SOURCE CONFLICT","SOURCE CONFLICT",IF('Date statistice'!G52="NOT AVAILABLE","NOT AVAILABLE",IF(NOT(OR('Date statistice'!G52="VERIFIED",'Date statistice'!G52="DERIVED",'Date statistice'!G52="SMALL SAMPLE",'Date statistice'!G52="PRIOR / SHRINKAGE",'Date statistice'!G52="PROXY ONLY")),"INCOMPLETE",IF(AND(AND(OR(AND('Date statistice'!C52="",'Date statistice'!D52=""),AND(ISNUMBER('Date statistice'!C52),'Date statistice'!C52&gt;=0,'Date statistice'!C52&lt;=100,ISNUMBER('Date statistice'!D52),'Date statistice'!D52&gt;0,INT('Date statistice'!D52)='Date statistice'!D52)),OR(AND('Date statistice'!E52="",'Date statistice'!F52=""),AND(ISNUMBER('Date statistice'!E52),'Date statistice'!E52&gt;=0,'Date statistice'!E52&lt;=100,ISNUMBER('Date statistice'!F52),'Date statistice'!F52&gt;0,INT('Date statistice'!F52)='Date statistice'!F52))),OR(AND(ISNUMBER('Date statistice'!C52),'Date statistice'!C52&gt;=0,'Date statistice'!C52&lt;=100,ISNUMBER('Date statistice'!D52),'Date statistice'!D52&gt;0,INT('Date statistice'!D52)='Date statistice'!D52),AND(ISNUMBER('Date statistice'!E52),'Date statistice'!E52&gt;=0,'Date statistice'!E52&lt;=100,ISNUMBER('Date statistice'!F52),'Date statistice'!F52&gt;0,INT('Date statistice'!F52)='Date statistice'!F52)),'Date statistice'!H52&lt;&gt;"",ISNUMBER('Date statistice'!I52),'Date statistice'!I52&lt;'Date statistice'!$B$10,'Date statistice'!J52&lt;&gt;""),"READY","INVALID")))),"INVALID")</x:f>
        <x:v>INCOMPLETE</x:v>
      </x:c>
      <x:c r="E82" s="172" t="n">
        <x:v>100</x:v>
      </x:c>
      <x:c r="F82" s="172" t="n">
        <x:v>0.1</x:v>
      </x:c>
      <x:c r="G82" s="172" t="str">
        <x:f>IF(D82&lt;&gt;"READY","",MIN(100,B82/E82*100)*F82)</x:f>
      </x:c>
      <x:c r="H82" s="222"/>
      <x:c r="I82" s="172"/>
      <x:c r="J82" s="172"/>
      <x:c r="K82" s="172"/>
      <x:c r="L82" s="172"/>
      <x:c r="M82" s="172"/>
      <x:c r="N82" s="172"/>
      <x:c r="O82" s="172"/>
      <x:c r="P82" s="172"/>
      <x:c r="Q82" s="172"/>
      <x:c r="R82" s="172"/>
      <x:c r="S82" s="172"/>
    </x:row>
    <x:row r="83" ht="32" customHeight="1">
      <x:c r="A83" s="172" t="str">
        <x:v>Context haotic</x:v>
      </x:c>
      <x:c r="B83" s="172" t="str">
        <x:f>IF(D83&lt;&gt;"READY","",(IF(ISNUMBER('Date statistice'!C53),'Date statistice'!C53,0)*IF(ISNUMBER('Date statistice'!D53),'Date statistice'!D53,0)+IF(ISNUMBER('Date statistice'!E53),'Date statistice'!E53,0)*IF(ISNUMBER('Date statistice'!F53),'Date statistice'!F53,0))/C83)</x:f>
      </x:c>
      <x:c r="C83" s="172" t="str">
        <x:f>IF(D83&lt;&gt;"READY","",IF(ISNUMBER('Date statistice'!D53),'Date statistice'!D53,0)+IF(ISNUMBER('Date statistice'!F53),'Date statistice'!F53,0))</x:f>
      </x:c>
      <x:c r="D83" s="172" t="str">
        <x:f>IFERROR(IF('Date statistice'!G53="SOURCE CONFLICT","SOURCE CONFLICT",IF('Date statistice'!G53="NOT AVAILABLE","NOT AVAILABLE",IF(NOT(OR('Date statistice'!G53="VERIFIED",'Date statistice'!G53="DERIVED",'Date statistice'!G53="SMALL SAMPLE",'Date statistice'!G53="PRIOR / SHRINKAGE",'Date statistice'!G53="PROXY ONLY")),"INCOMPLETE",IF(AND(AND(OR(AND('Date statistice'!C53="",'Date statistice'!D53=""),AND(ISNUMBER('Date statistice'!C53),'Date statistice'!C53&gt;=0,'Date statistice'!C53&lt;=100,ISNUMBER('Date statistice'!D53),'Date statistice'!D53&gt;0,INT('Date statistice'!D53)='Date statistice'!D53)),OR(AND('Date statistice'!E53="",'Date statistice'!F53=""),AND(ISNUMBER('Date statistice'!E53),'Date statistice'!E53&gt;=0,'Date statistice'!E53&lt;=100,ISNUMBER('Date statistice'!F53),'Date statistice'!F53&gt;0,INT('Date statistice'!F53)='Date statistice'!F53))),OR(AND(ISNUMBER('Date statistice'!C53),'Date statistice'!C53&gt;=0,'Date statistice'!C53&lt;=100,ISNUMBER('Date statistice'!D53),'Date statistice'!D53&gt;0,INT('Date statistice'!D53)='Date statistice'!D53),AND(ISNUMBER('Date statistice'!E53),'Date statistice'!E53&gt;=0,'Date statistice'!E53&lt;=100,ISNUMBER('Date statistice'!F53),'Date statistice'!F53&gt;0,INT('Date statistice'!F53)='Date statistice'!F53)),'Date statistice'!H53&lt;&gt;"",ISNUMBER('Date statistice'!I53),'Date statistice'!I53&lt;'Date statistice'!$B$10,'Date statistice'!J53&lt;&gt;""),"READY","INVALID")))),"INVALID")</x:f>
        <x:v>INCOMPLETE</x:v>
      </x:c>
      <x:c r="E83" s="172" t="n">
        <x:v>100</x:v>
      </x:c>
      <x:c r="F83" s="172" t="n">
        <x:v>0.1</x:v>
      </x:c>
      <x:c r="G83" s="172" t="str">
        <x:f>IF(D83&lt;&gt;"READY","",MIN(100,B83/E83*100)*F83)</x:f>
      </x:c>
      <x:c r="H83" s="222"/>
      <x:c r="I83" s="172"/>
      <x:c r="J83" s="172"/>
      <x:c r="K83" s="172"/>
      <x:c r="L83" s="172"/>
      <x:c r="M83" s="172"/>
      <x:c r="N83" s="172"/>
      <x:c r="O83" s="172"/>
      <x:c r="P83" s="172"/>
      <x:c r="Q83" s="172"/>
      <x:c r="R83" s="172"/>
      <x:c r="S83" s="172"/>
    </x:row>
    <x:row r="84" ht="23" customHeight="1">
      <x:c r="A84" s="172"/>
      <x:c r="B84" s="172"/>
      <x:c r="C84" s="172"/>
      <x:c r="D84" s="172"/>
      <x:c r="E84" s="172"/>
      <x:c r="F84" s="172"/>
      <x:c r="G84" s="172"/>
      <x:c r="H84" s="222"/>
      <x:c r="I84" s="172"/>
      <x:c r="J84" s="172"/>
      <x:c r="K84" s="172"/>
      <x:c r="L84" s="172"/>
      <x:c r="M84" s="172"/>
      <x:c r="N84" s="172"/>
      <x:c r="O84" s="172"/>
      <x:c r="P84" s="172"/>
      <x:c r="Q84" s="172"/>
      <x:c r="R84" s="172"/>
      <x:c r="S84" s="172"/>
    </x:row>
    <x:row r="85" ht="23" customHeight="1">
      <x:c r="A85" s="172"/>
      <x:c r="B85" s="172"/>
      <x:c r="C85" s="172"/>
      <x:c r="D85" s="172"/>
      <x:c r="E85" s="172"/>
      <x:c r="F85" s="172"/>
      <x:c r="G85" s="172"/>
      <x:c r="H85" s="222"/>
      <x:c r="I85" s="172"/>
      <x:c r="J85" s="172"/>
      <x:c r="K85" s="172"/>
      <x:c r="L85" s="172"/>
      <x:c r="M85" s="172"/>
      <x:c r="N85" s="172"/>
      <x:c r="O85" s="172"/>
      <x:c r="P85" s="172"/>
      <x:c r="Q85" s="172"/>
      <x:c r="R85" s="172"/>
      <x:c r="S85" s="172"/>
    </x:row>
    <x:row r="86" ht="23" customHeight="1">
      <x:c r="A86" s="172"/>
      <x:c r="B86" s="172"/>
      <x:c r="C86" s="172"/>
      <x:c r="D86" s="172"/>
      <x:c r="E86" s="172"/>
      <x:c r="F86" s="172"/>
      <x:c r="G86" s="172"/>
      <x:c r="H86" s="222"/>
      <x:c r="I86" s="172"/>
      <x:c r="J86" s="172"/>
      <x:c r="K86" s="172"/>
      <x:c r="L86" s="172"/>
      <x:c r="M86" s="172"/>
      <x:c r="N86" s="172"/>
      <x:c r="O86" s="172"/>
      <x:c r="P86" s="172"/>
      <x:c r="Q86" s="172"/>
      <x:c r="R86" s="172"/>
      <x:c r="S86" s="172"/>
    </x:row>
    <x:row r="87" ht="23" customHeight="1">
      <x:c r="A87" s="172" t="str">
        <x:v>Pragul de eșantion schimbă ponderea, nu introduce automat PRUDENT. Ratele tail lipsă nu sunt înlocuite cu zero.</x:v>
      </x:c>
      <x:c r="B87" s="172"/>
      <x:c r="C87" s="172"/>
      <x:c r="D87" s="172"/>
      <x:c r="E87" s="172"/>
      <x:c r="F87" s="172"/>
      <x:c r="G87" s="172"/>
      <x:c r="H87" s="222"/>
      <x:c r="I87" s="172"/>
      <x:c r="J87" s="172"/>
      <x:c r="K87" s="172"/>
      <x:c r="L87" s="172"/>
      <x:c r="M87" s="172"/>
      <x:c r="N87" s="172"/>
      <x:c r="O87" s="172"/>
      <x:c r="P87" s="172"/>
      <x:c r="Q87" s="172"/>
      <x:c r="R87" s="172"/>
      <x:c r="S87" s="172"/>
    </x:row>
    <x:row r="88" ht="23" customHeight="1">
      <x:c r="A88" s="172"/>
      <x:c r="B88" s="172"/>
      <x:c r="C88" s="172"/>
      <x:c r="D88" s="172"/>
      <x:c r="E88" s="172"/>
      <x:c r="F88" s="172"/>
      <x:c r="G88" s="172"/>
      <x:c r="H88" s="222"/>
      <x:c r="I88" s="172"/>
      <x:c r="J88" s="172"/>
      <x:c r="K88" s="172"/>
      <x:c r="L88" s="172"/>
      <x:c r="M88" s="172"/>
      <x:c r="N88" s="172"/>
      <x:c r="O88" s="172"/>
      <x:c r="P88" s="172"/>
      <x:c r="Q88" s="172"/>
      <x:c r="R88" s="172"/>
      <x:c r="S88" s="172"/>
    </x:row>
    <x:row r="89" ht="23" customHeight="1">
      <x:c r="A89" s="172"/>
      <x:c r="B89" s="172"/>
      <x:c r="C89" s="172"/>
      <x:c r="D89" s="172"/>
      <x:c r="E89" s="172"/>
      <x:c r="F89" s="172"/>
      <x:c r="G89" s="172"/>
      <x:c r="H89" s="222"/>
      <x:c r="I89" s="172"/>
      <x:c r="J89" s="172"/>
      <x:c r="K89" s="172"/>
      <x:c r="L89" s="172"/>
      <x:c r="M89" s="172"/>
      <x:c r="N89" s="172"/>
      <x:c r="O89" s="172"/>
      <x:c r="P89" s="172"/>
      <x:c r="Q89" s="172"/>
      <x:c r="R89" s="172"/>
      <x:c r="S89" s="172"/>
    </x:row>
    <x:row r="90" ht="23" customHeight="1">
      <x:c r="A90" s="172"/>
      <x:c r="B90" s="172"/>
      <x:c r="C90" s="172"/>
      <x:c r="D90" s="172"/>
      <x:c r="E90" s="172"/>
      <x:c r="F90" s="172"/>
      <x:c r="G90" s="172"/>
      <x:c r="H90" s="222"/>
      <x:c r="I90" s="172"/>
      <x:c r="J90" s="172"/>
      <x:c r="K90" s="172"/>
      <x:c r="L90" s="172"/>
      <x:c r="M90" s="172"/>
      <x:c r="N90" s="172"/>
      <x:c r="O90" s="172"/>
      <x:c r="P90" s="172"/>
      <x:c r="Q90" s="172"/>
      <x:c r="R90" s="172"/>
      <x:c r="S90" s="172"/>
    </x:row>
    <x:row r="91" ht="23" customHeight="1">
      <x:c r="A91" s="172"/>
      <x:c r="B91" s="172"/>
      <x:c r="C91" s="172"/>
      <x:c r="D91" s="172"/>
      <x:c r="E91" s="172"/>
      <x:c r="F91" s="172"/>
      <x:c r="G91" s="172"/>
      <x:c r="H91" s="222"/>
      <x:c r="I91" s="172"/>
      <x:c r="J91" s="172"/>
      <x:c r="K91" s="172"/>
      <x:c r="L91" s="172"/>
      <x:c r="M91" s="172"/>
      <x:c r="N91" s="172"/>
      <x:c r="O91" s="172"/>
      <x:c r="P91" s="172"/>
      <x:c r="Q91" s="172"/>
      <x:c r="R91" s="172"/>
      <x:c r="S91" s="172"/>
    </x:row>
    <x:row r="92" ht="23" customHeight="1">
      <x:c r="A92" s="172"/>
      <x:c r="B92" s="172"/>
      <x:c r="C92" s="172"/>
      <x:c r="D92" s="172"/>
      <x:c r="E92" s="172"/>
      <x:c r="F92" s="172"/>
      <x:c r="G92" s="172"/>
      <x:c r="H92" s="222"/>
      <x:c r="I92" s="172"/>
      <x:c r="J92" s="172"/>
      <x:c r="K92" s="172"/>
      <x:c r="L92" s="172"/>
      <x:c r="M92" s="172"/>
      <x:c r="N92" s="172"/>
      <x:c r="O92" s="172"/>
      <x:c r="P92" s="172"/>
      <x:c r="Q92" s="172"/>
      <x:c r="R92" s="172"/>
      <x:c r="S92" s="172"/>
    </x:row>
    <x:row r="93" ht="23" customHeight="1">
      <x:c r="A93" s="172"/>
      <x:c r="B93" s="172"/>
      <x:c r="C93" s="172"/>
      <x:c r="D93" s="172"/>
      <x:c r="E93" s="172"/>
      <x:c r="F93" s="172"/>
      <x:c r="G93" s="172"/>
      <x:c r="H93" s="222"/>
      <x:c r="I93" s="172"/>
      <x:c r="J93" s="172"/>
      <x:c r="K93" s="172"/>
      <x:c r="L93" s="172"/>
      <x:c r="M93" s="172"/>
      <x:c r="N93" s="172"/>
      <x:c r="O93" s="172"/>
      <x:c r="P93" s="172"/>
      <x:c r="Q93" s="172"/>
      <x:c r="R93" s="172"/>
      <x:c r="S93" s="172"/>
    </x:row>
    <x:row r="94" ht="23" customHeight="1">
      <x:c r="A94" s="172"/>
      <x:c r="B94" s="172"/>
      <x:c r="C94" s="172"/>
      <x:c r="D94" s="172"/>
      <x:c r="E94" s="172"/>
      <x:c r="F94" s="172"/>
      <x:c r="G94" s="172"/>
      <x:c r="H94" s="222"/>
      <x:c r="I94" s="172"/>
      <x:c r="J94" s="172"/>
      <x:c r="K94" s="172"/>
      <x:c r="L94" s="172"/>
      <x:c r="M94" s="172"/>
      <x:c r="N94" s="172"/>
      <x:c r="O94" s="172"/>
      <x:c r="P94" s="172"/>
      <x:c r="Q94" s="172"/>
      <x:c r="R94" s="172"/>
      <x:c r="S94" s="172"/>
    </x:row>
    <x:row r="95" ht="23" customHeight="1">
      <x:c r="A95" s="172"/>
      <x:c r="B95" s="172"/>
      <x:c r="C95" s="172"/>
      <x:c r="D95" s="172"/>
      <x:c r="E95" s="172"/>
      <x:c r="F95" s="172"/>
      <x:c r="G95" s="172"/>
      <x:c r="H95" s="222"/>
      <x:c r="I95" s="172"/>
      <x:c r="J95" s="172"/>
      <x:c r="K95" s="172"/>
      <x:c r="L95" s="172"/>
      <x:c r="M95" s="172"/>
      <x:c r="N95" s="172"/>
      <x:c r="O95" s="172"/>
      <x:c r="P95" s="172"/>
      <x:c r="Q95" s="172"/>
      <x:c r="R95" s="172"/>
      <x:c r="S95" s="172"/>
    </x:row>
    <x:row r="96" ht="23" customHeight="1">
      <x:c r="A96" s="172"/>
      <x:c r="B96" s="172"/>
      <x:c r="C96" s="172"/>
      <x:c r="D96" s="172"/>
      <x:c r="E96" s="172"/>
      <x:c r="F96" s="172"/>
      <x:c r="G96" s="172"/>
      <x:c r="H96" s="222"/>
      <x:c r="I96" s="172"/>
      <x:c r="J96" s="172"/>
      <x:c r="K96" s="172"/>
      <x:c r="L96" s="172"/>
      <x:c r="M96" s="172"/>
      <x:c r="N96" s="172"/>
      <x:c r="O96" s="172"/>
      <x:c r="P96" s="172"/>
      <x:c r="Q96" s="172"/>
      <x:c r="R96" s="172"/>
      <x:c r="S96" s="172"/>
    </x:row>
    <x:row r="97" ht="23" customHeight="1">
      <x:c r="A97" s="172"/>
      <x:c r="B97" s="172"/>
      <x:c r="C97" s="172"/>
      <x:c r="D97" s="172"/>
      <x:c r="E97" s="172"/>
      <x:c r="F97" s="172"/>
      <x:c r="G97" s="172"/>
      <x:c r="H97" s="222"/>
      <x:c r="I97" s="172"/>
      <x:c r="J97" s="172"/>
      <x:c r="K97" s="172"/>
      <x:c r="L97" s="172"/>
      <x:c r="M97" s="172"/>
      <x:c r="N97" s="172"/>
      <x:c r="O97" s="172"/>
      <x:c r="P97" s="172"/>
      <x:c r="Q97" s="172"/>
      <x:c r="R97" s="172"/>
      <x:c r="S97" s="172"/>
    </x:row>
    <x:row r="98" ht="23" customHeight="1">
      <x:c r="A98" s="172"/>
      <x:c r="B98" s="172"/>
      <x:c r="C98" s="172"/>
      <x:c r="D98" s="172"/>
      <x:c r="E98" s="172"/>
      <x:c r="F98" s="172"/>
      <x:c r="G98" s="172"/>
      <x:c r="H98" s="222"/>
      <x:c r="I98" s="172"/>
      <x:c r="J98" s="172"/>
      <x:c r="K98" s="172"/>
      <x:c r="L98" s="172"/>
      <x:c r="M98" s="172"/>
      <x:c r="N98" s="172"/>
      <x:c r="O98" s="172"/>
      <x:c r="P98" s="172"/>
      <x:c r="Q98" s="172"/>
      <x:c r="R98" s="172"/>
      <x:c r="S98" s="172"/>
    </x:row>
    <x:row r="99" ht="23" customHeight="1">
      <x:c r="A99" s="172"/>
      <x:c r="B99" s="172"/>
      <x:c r="C99" s="172"/>
      <x:c r="D99" s="172"/>
      <x:c r="E99" s="172"/>
      <x:c r="F99" s="172"/>
      <x:c r="G99" s="172"/>
      <x:c r="H99" s="222"/>
      <x:c r="I99" s="172"/>
      <x:c r="J99" s="172"/>
      <x:c r="K99" s="172"/>
      <x:c r="L99" s="172"/>
      <x:c r="M99" s="172"/>
      <x:c r="N99" s="172"/>
      <x:c r="O99" s="172"/>
      <x:c r="P99" s="172"/>
      <x:c r="Q99" s="172"/>
      <x:c r="R99" s="172"/>
      <x:c r="S99" s="172"/>
    </x:row>
    <x:row r="100" ht="23" customHeight="1">
      <x:c r="A100" s="172"/>
      <x:c r="B100" s="172"/>
      <x:c r="C100" s="172"/>
      <x:c r="D100" s="172"/>
      <x:c r="E100" s="172"/>
      <x:c r="F100" s="172"/>
      <x:c r="G100" s="172"/>
      <x:c r="H100" s="222"/>
      <x:c r="I100" s="172"/>
      <x:c r="J100" s="172"/>
      <x:c r="K100" s="172"/>
      <x:c r="L100" s="172"/>
      <x:c r="M100" s="172"/>
      <x:c r="N100" s="172"/>
      <x:c r="O100" s="172"/>
      <x:c r="P100" s="172"/>
      <x:c r="Q100" s="172"/>
      <x:c r="R100" s="172"/>
      <x:c r="S100" s="172"/>
    </x:row>
    <x:row r="101" ht="23" customHeight="1">
      <x:c r="A101" s="172"/>
      <x:c r="B101" s="172"/>
      <x:c r="C101" s="172"/>
      <x:c r="D101" s="172"/>
      <x:c r="E101" s="172"/>
      <x:c r="F101" s="172"/>
      <x:c r="G101" s="172"/>
      <x:c r="H101" s="172"/>
      <x:c r="I101" s="172"/>
      <x:c r="J101" s="172"/>
      <x:c r="K101" s="172"/>
      <x:c r="L101" s="172"/>
      <x:c r="M101" s="172"/>
      <x:c r="N101" s="172"/>
      <x:c r="O101" s="172"/>
      <x:c r="P101" s="172"/>
      <x:c r="Q101" s="172"/>
      <x:c r="R101" s="172"/>
      <x:c r="S101" s="172"/>
    </x:row>
    <x:row r="102" ht="23" customHeight="1">
      <x:c r="A102" s="172"/>
      <x:c r="B102" s="172"/>
      <x:c r="C102" s="172"/>
      <x:c r="D102" s="172"/>
      <x:c r="E102" s="172"/>
      <x:c r="F102" s="172"/>
      <x:c r="G102" s="172"/>
      <x:c r="H102" s="172"/>
      <x:c r="I102" s="172"/>
      <x:c r="J102" s="172"/>
      <x:c r="K102" s="172"/>
      <x:c r="L102" s="172"/>
      <x:c r="M102" s="172"/>
      <x:c r="N102" s="172"/>
      <x:c r="O102" s="172"/>
      <x:c r="P102" s="172"/>
      <x:c r="Q102" s="172"/>
      <x:c r="R102" s="172"/>
      <x:c r="S102" s="172"/>
    </x:row>
    <x:row r="103" ht="23" customHeight="1">
      <x:c r="A103" s="172"/>
      <x:c r="B103" s="172"/>
      <x:c r="C103" s="172"/>
      <x:c r="D103" s="172"/>
      <x:c r="E103" s="172"/>
      <x:c r="F103" s="172"/>
      <x:c r="G103" s="172"/>
      <x:c r="H103" s="172"/>
      <x:c r="I103" s="172"/>
      <x:c r="J103" s="172"/>
      <x:c r="K103" s="172"/>
      <x:c r="L103" s="172"/>
      <x:c r="M103" s="172"/>
      <x:c r="N103" s="172"/>
      <x:c r="O103" s="172"/>
      <x:c r="P103" s="172"/>
      <x:c r="Q103" s="172"/>
      <x:c r="R103" s="172"/>
      <x:c r="S103" s="172"/>
    </x:row>
    <x:row r="104" ht="23" customHeight="1">
      <x:c r="A104" s="172"/>
      <x:c r="B104" s="172"/>
      <x:c r="C104" s="172"/>
      <x:c r="D104" s="172"/>
      <x:c r="E104" s="172"/>
      <x:c r="F104" s="172"/>
      <x:c r="G104" s="172"/>
      <x:c r="H104" s="172"/>
      <x:c r="I104" s="172"/>
      <x:c r="J104" s="172"/>
      <x:c r="K104" s="172"/>
      <x:c r="L104" s="172"/>
      <x:c r="M104" s="172"/>
      <x:c r="N104" s="172"/>
      <x:c r="O104" s="172"/>
      <x:c r="P104" s="172"/>
      <x:c r="Q104" s="172"/>
      <x:c r="R104" s="172"/>
      <x:c r="S104" s="172"/>
    </x:row>
    <x:row r="105" ht="23" customHeight="1">
      <x:c r="A105" s="172"/>
      <x:c r="B105" s="172"/>
      <x:c r="C105" s="172"/>
      <x:c r="D105" s="172"/>
      <x:c r="E105" s="172"/>
      <x:c r="F105" s="172"/>
      <x:c r="G105" s="172"/>
      <x:c r="H105" s="172"/>
      <x:c r="I105" s="172"/>
      <x:c r="J105" s="172"/>
      <x:c r="K105" s="172"/>
      <x:c r="L105" s="172"/>
      <x:c r="M105" s="172"/>
      <x:c r="N105" s="172"/>
      <x:c r="O105" s="172"/>
      <x:c r="P105" s="172"/>
      <x:c r="Q105" s="172"/>
      <x:c r="R105" s="172"/>
      <x:c r="S105" s="172"/>
    </x:row>
    <x:row r="106" ht="23" customHeight="1">
      <x:c r="A106" s="172"/>
      <x:c r="B106" s="172"/>
      <x:c r="C106" s="172"/>
      <x:c r="D106" s="172"/>
      <x:c r="E106" s="172"/>
      <x:c r="F106" s="172"/>
      <x:c r="G106" s="172"/>
      <x:c r="H106" s="172"/>
      <x:c r="I106" s="172"/>
      <x:c r="J106" s="172"/>
      <x:c r="K106" s="172"/>
      <x:c r="L106" s="172"/>
      <x:c r="M106" s="172"/>
      <x:c r="N106" s="172"/>
      <x:c r="O106" s="172"/>
      <x:c r="P106" s="172"/>
      <x:c r="Q106" s="172"/>
      <x:c r="R106" s="172"/>
      <x:c r="S106" s="172"/>
    </x:row>
    <x:row r="107" ht="23" customHeight="1">
      <x:c r="A107" s="172"/>
      <x:c r="B107" s="172"/>
      <x:c r="C107" s="172"/>
      <x:c r="D107" s="172"/>
      <x:c r="E107" s="172"/>
      <x:c r="F107" s="172"/>
      <x:c r="G107" s="172"/>
      <x:c r="H107" s="172"/>
      <x:c r="I107" s="172"/>
      <x:c r="J107" s="172"/>
      <x:c r="K107" s="172"/>
      <x:c r="L107" s="172"/>
      <x:c r="M107" s="172"/>
      <x:c r="N107" s="172"/>
      <x:c r="O107" s="172"/>
      <x:c r="P107" s="172"/>
      <x:c r="Q107" s="172"/>
      <x:c r="R107" s="172"/>
      <x:c r="S107" s="172"/>
    </x:row>
    <x:row r="108" ht="23" customHeight="1">
      <x:c r="A108" s="172"/>
      <x:c r="B108" s="172"/>
      <x:c r="C108" s="172"/>
      <x:c r="D108" s="172"/>
      <x:c r="E108" s="172"/>
      <x:c r="F108" s="172"/>
      <x:c r="G108" s="172"/>
      <x:c r="H108" s="172"/>
      <x:c r="I108" s="172"/>
      <x:c r="J108" s="172"/>
      <x:c r="K108" s="172"/>
      <x:c r="L108" s="172"/>
      <x:c r="M108" s="172"/>
      <x:c r="N108" s="172"/>
      <x:c r="O108" s="172"/>
      <x:c r="P108" s="172"/>
      <x:c r="Q108" s="172"/>
      <x:c r="R108" s="172"/>
      <x:c r="S108" s="172"/>
    </x:row>
    <x:row r="109" ht="23" customHeight="1">
      <x:c r="A109" s="172"/>
      <x:c r="B109" s="172"/>
      <x:c r="C109" s="172"/>
      <x:c r="D109" s="172"/>
      <x:c r="E109" s="172"/>
      <x:c r="F109" s="172"/>
      <x:c r="G109" s="172"/>
      <x:c r="H109" s="172"/>
      <x:c r="I109" s="172"/>
      <x:c r="J109" s="172"/>
      <x:c r="K109" s="172"/>
      <x:c r="L109" s="172"/>
      <x:c r="M109" s="172"/>
      <x:c r="N109" s="172"/>
      <x:c r="O109" s="172"/>
      <x:c r="P109" s="172"/>
      <x:c r="Q109" s="172"/>
      <x:c r="R109" s="172"/>
      <x:c r="S109" s="172"/>
    </x:row>
    <x:row r="110" ht="23" customHeight="1">
      <x:c r="A110" s="172"/>
      <x:c r="B110" s="172"/>
      <x:c r="C110" s="172"/>
      <x:c r="D110" s="172"/>
      <x:c r="E110" s="172"/>
      <x:c r="F110" s="172"/>
      <x:c r="G110" s="172"/>
      <x:c r="H110" s="172"/>
      <x:c r="I110" s="172"/>
      <x:c r="J110" s="172"/>
      <x:c r="K110" s="172"/>
      <x:c r="L110" s="172"/>
      <x:c r="M110" s="172"/>
      <x:c r="N110" s="172"/>
      <x:c r="O110" s="172"/>
      <x:c r="P110" s="172"/>
      <x:c r="Q110" s="172"/>
      <x:c r="R110" s="172"/>
      <x:c r="S110" s="172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5" hidden="0" customWidth="1"/>
    <x:col min="2" max="2" width="12" hidden="0" customWidth="1"/>
    <x:col min="3" max="3" width="18" hidden="0" customWidth="1"/>
    <x:col min="4" max="4" width="34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2" hidden="0" customWidth="1"/>
    <x:col min="12" max="12" width="12" hidden="0" customWidth="1"/>
    <x:col min="13" max="13" width="12" hidden="0" customWidth="1"/>
    <x:col min="14" max="14" width="18" hidden="0" customWidth="1"/>
    <x:col min="15" max="15" width="14" hidden="0" customWidth="1"/>
    <x:col min="16" max="16" width="14" hidden="0" customWidth="1"/>
    <x:col min="17" max="17" width="16" hidden="0" customWidth="1"/>
    <x:col min="18" max="18" width="55" hidden="0" customWidth="1"/>
    <x:col min="19" max="19" width="34" hidden="0" customWidth="1"/>
    <x:col min="20" max="20" width="20" hidden="0" customWidth="1"/>
    <x:col min="21" max="21" width="12" hidden="0" customWidth="1"/>
    <x:col min="22" max="22" width="18" hidden="0" customWidth="1"/>
  </x:cols>
  <x:sheetData>
    <x:row r="1" ht="33.95000076293945" customHeight="1">
      <x:c r="A1" s="6" t="str">
        <x:v>#</x:v>
      </x:c>
      <x:c r="B1" s="6" t="str">
        <x:v>Țară</x:v>
      </x:c>
      <x:c r="C1" s="6" t="str">
        <x:v>Competiție</x:v>
      </x:c>
      <x:c r="D1" s="6" t="str">
        <x:v>Meci</x:v>
      </x:c>
      <x:c r="E1" s="6" t="str">
        <x:v>Cotă 1</x:v>
      </x:c>
      <x:c r="F1" s="6" t="str">
        <x:v>Cotă X</x:v>
      </x:c>
      <x:c r="G1" s="6" t="str">
        <x:v>Cotă 2</x:v>
      </x:c>
      <x:c r="H1" s="6" t="str">
        <x:v>λ gazde</x:v>
      </x:c>
      <x:c r="I1" s="6" t="str">
        <x:v>λ oaspeți</x:v>
      </x:c>
      <x:c r="J1" s="26" t="str">
        <x:v>λ total</x:v>
      </x:c>
      <x:c r="K1" s="26" t="str">
        <x:v>P Under 4,5</x:v>
      </x:c>
      <x:c r="L1" s="6" t="str">
        <x:v>Cotă fair U4,5</x:v>
      </x:c>
      <x:c r="M1" s="6" t="str">
        <x:v>Prob. favorit</x:v>
      </x:c>
      <x:c r="N1" s="6" t="str">
        <x:v>Risc dezechilibru</x:v>
      </x:c>
      <x:c r="O1" s="26" t="str">
        <x:v>Confidence</x:v>
      </x:c>
      <x:c r="P1" s="26" t="str">
        <x:v>Filtru λ model</x:v>
      </x:c>
      <x:c r="Q1" s="6" t="str">
        <x:v>Concluzie</x:v>
      </x:c>
      <x:c r="R1" s="6" t="str">
        <x:v>Argument principal</x:v>
      </x:c>
      <x:c r="S1" s="6" t="str">
        <x:v>Bază estimare λ</x:v>
      </x:c>
      <x:c r="T1" s="6" t="str">
        <x:v>Cotă U4,5 bookmaker (manual)</x:v>
      </x:c>
      <x:c r="U1" s="6" t="str">
        <x:v>EV U4,5</x:v>
      </x:c>
      <x:c r="V1" s="6" t="str">
        <x:v>Evaluare economică istorică</x:v>
      </x:c>
    </x:row>
    <x:row r="2" ht="28.5" customHeight="1">
      <x:c r="A2" s="10" t="n">
        <x:v>1</x:v>
      </x:c>
      <x:c r="B2" s="10" t="str">
        <x:v>Anglia</x:v>
      </x:c>
      <x:c r="C2" s="10" t="str">
        <x:v>Premier League</x:v>
      </x:c>
      <x:c r="D2" s="10" t="str">
        <x:v>Liverpool – Nottingham Forest</x:v>
      </x:c>
      <x:c r="E2" s="17" t="n">
        <x:v>1.58</x:v>
      </x:c>
      <x:c r="F2" s="17" t="n">
        <x:v>4.68</x:v>
      </x:c>
      <x:c r="G2" s="17" t="n">
        <x:v>5.75</x:v>
      </x:c>
      <x:c r="H2" s="17" t="n">
        <x:v>1.9412223182079726</x:v>
      </x:c>
      <x:c r="I2" s="17" t="n">
        <x:v>1.1223683586489415</x:v>
      </x:c>
      <x:c r="J2" s="17" t="n">
        <x:v>3.063590676856914</x:v>
      </x:c>
      <x:c r="K2" s="29" t="n">
        <x:v>0.8044671826812142</x:v>
      </x:c>
      <x:c r="L2" s="17" t="n">
        <x:v>1.2430587866457063</x:v>
      </x:c>
      <x:c r="M2" s="29" t="n">
        <x:v>0.6201975597726634</x:v>
      </x:c>
      <x:c r="N2" s="10" t="str">
        <x:v>Moderat</x:v>
      </x:c>
      <x:c r="O2" s="35" t="n">
        <x:v>78</x:v>
      </x:c>
      <x:c r="P2" s="10" t="str">
        <x:v>FAIL</x:v>
      </x:c>
      <x:c r="Q2" s="10" t="str">
        <x:v>DA – PRUDENT</x:v>
      </x:c>
      <x:c r="R2" s="10" t="str">
        <x:v>λ total 3.06 &gt; 2,70; P(U4,5) 80.4%; favorită clară</x:v>
      </x:c>
      <x:c r="S2" s="10" t="str">
        <x:v>CompactStats + piață 1X2 + model U4.5 independent</x:v>
      </x:c>
      <x:c r="T2" s="17"/>
      <x:c r="U2" s="29" t="str">
        <x:f>IF(T2="","",K2*T2-1)</x:f>
      </x:c>
      <x:c r="V2" s="10" t="str">
        <x:f>IF(T2="","COTĂ NECOMPLETATĂ",IF(U2&gt;=0.04,"VALUE ≥4%",IF(U2&gt;0,"VALUE MIC","FĂRĂ VALUE")))</x:f>
        <x:v>COTĂ NECOMPLETATĂ</x:v>
      </x:c>
    </x:row>
    <x:row r="3" ht="28.5" customHeight="1">
      <x:c r="A3" s="10" t="n">
        <x:v>2</x:v>
      </x:c>
      <x:c r="B3" s="10" t="str">
        <x:v>Anglia</x:v>
      </x:c>
      <x:c r="C3" s="10" t="str">
        <x:v>Premier League</x:v>
      </x:c>
      <x:c r="D3" s="10" t="str">
        <x:v>Bournemouth – Everton</x:v>
      </x:c>
      <x:c r="E3" s="17" t="n">
        <x:v>2.14</x:v>
      </x:c>
      <x:c r="F3" s="17" t="n">
        <x:v>3.59</x:v>
      </x:c>
      <x:c r="G3" s="17" t="n">
        <x:v>3.63</x:v>
      </x:c>
      <x:c r="H3" s="17" t="n">
        <x:v>1.563599574589757</x:v>
      </x:c>
      <x:c r="I3" s="17" t="n">
        <x:v>1.0667904981456464</x:v>
      </x:c>
      <x:c r="J3" s="17" t="n">
        <x:v>2.6303900727354037</x:v>
      </x:c>
      <x:c r="K3" s="29" t="n">
        <x:v>0.8730907055718012</x:v>
      </x:c>
      <x:c r="L3" s="17" t="n">
        <x:v>1.1453563686090138</x:v>
      </x:c>
      <x:c r="M3" s="29" t="n">
        <x:v>0.4575335732467304</x:v>
      </x:c>
      <x:c r="N3" s="10" t="str">
        <x:v>Scăzut</x:v>
      </x:c>
      <x:c r="O3" s="35" t="n">
        <x:v>76</x:v>
      </x:c>
      <x:c r="P3" s="10" t="str">
        <x:v>PASS</x:v>
      </x:c>
      <x:c r="Q3" s="10" t="str">
        <x:v>DA – FEZABIL</x:v>
      </x:c>
      <x:c r="R3" s="10" t="str">
        <x:v>λ total 2.63 ≤ 2,70; P(U4,5) 87.3%</x:v>
      </x:c>
      <x:c r="S3" s="10" t="str">
        <x:v>CompactStats + piață 1X2</x:v>
      </x:c>
      <x:c r="T3" s="17"/>
      <x:c r="U3" s="29" t="str">
        <x:f>IF(T3="","",K3*T3-1)</x:f>
      </x:c>
      <x:c r="V3" s="10" t="str">
        <x:f>IF(T3="","COTĂ NECOMPLETATĂ",IF(U3&gt;=0.04,"VALUE ≥4%",IF(U3&gt;0,"VALUE MIC","FĂRĂ VALUE")))</x:f>
        <x:v>COTĂ NECOMPLETATĂ</x:v>
      </x:c>
    </x:row>
    <x:row r="4" ht="28.5" customHeight="1">
      <x:c r="A4" s="10" t="n">
        <x:v>3</x:v>
      </x:c>
      <x:c r="B4" s="10" t="str">
        <x:v>Anglia</x:v>
      </x:c>
      <x:c r="C4" s="10" t="str">
        <x:v>Premier League</x:v>
      </x:c>
      <x:c r="D4" s="10" t="str">
        <x:v>Coventry – Hull</x:v>
      </x:c>
      <x:c r="E4" s="17" t="n">
        <x:v>1.95</x:v>
      </x:c>
      <x:c r="F4" s="17" t="n">
        <x:v>3.67</x:v>
      </x:c>
      <x:c r="G4" s="17" t="n">
        <x:v>4.26</x:v>
      </x:c>
      <x:c r="H4" s="17" t="n">
        <x:v>1.4493074947068947</x:v>
      </x:c>
      <x:c r="I4" s="17" t="n">
        <x:v>0.8858744351029221</x:v>
      </x:c>
      <x:c r="J4" s="17" t="n">
        <x:v>2.3351819298098166</x:v>
      </x:c>
      <x:c r="K4" s="29" t="n">
        <x:v>0.9120831419818028</x:v>
      </x:c>
      <x:c r="L4" s="17" t="n">
        <x:v>1.096391276158409</x:v>
      </x:c>
      <x:c r="M4" s="29" t="n">
        <x:v>0.5027445759654251</x:v>
      </x:c>
      <x:c r="N4" s="10" t="str">
        <x:v>Scăzut</x:v>
      </x:c>
      <x:c r="O4" s="35" t="n">
        <x:v>62</x:v>
      </x:c>
      <x:c r="P4" s="10" t="str">
        <x:v>PASS</x:v>
      </x:c>
      <x:c r="Q4" s="10" t="str">
        <x:v>DA – FEZABIL</x:v>
      </x:c>
      <x:c r="R4" s="10" t="str">
        <x:v>λ total 2.34 ≤ 2,70; P(U4,5) 91.2%; estimare predominant din piață</x:v>
      </x:c>
      <x:c r="S4" s="10" t="str">
        <x:v>Proxy piață 1X2 (Poisson)</x:v>
      </x:c>
      <x:c r="T4" s="17"/>
      <x:c r="U4" s="29" t="str">
        <x:f>IF(T4="","",K4*T4-1)</x:f>
      </x:c>
      <x:c r="V4" s="10" t="str">
        <x:f>IF(T4="","COTĂ NECOMPLETATĂ",IF(U4&gt;=0.04,"VALUE ≥4%",IF(U4&gt;0,"VALUE MIC","FĂRĂ VALUE")))</x:f>
        <x:v>COTĂ NECOMPLETATĂ</x:v>
      </x:c>
    </x:row>
    <x:row r="5" ht="28.5" customHeight="1">
      <x:c r="A5" s="10" t="n">
        <x:v>4</x:v>
      </x:c>
      <x:c r="B5" s="10" t="str">
        <x:v>Anglia</x:v>
      </x:c>
      <x:c r="C5" s="10" t="str">
        <x:v>Premier League</x:v>
      </x:c>
      <x:c r="D5" s="10" t="str">
        <x:v>Tottenham – Newcastle</x:v>
      </x:c>
      <x:c r="E5" s="17" t="n">
        <x:v>2.37</x:v>
      </x:c>
      <x:c r="F5" s="17" t="n">
        <x:v>3.78</x:v>
      </x:c>
      <x:c r="G5" s="17" t="n">
        <x:v>3</x:v>
      </x:c>
      <x:c r="H5" s="17" t="n">
        <x:v>1.7135124496528014</x:v>
      </x:c>
      <x:c r="I5" s="17" t="n">
        <x:v>1.261988356247481</x:v>
      </x:c>
      <x:c r="J5" s="17" t="n">
        <x:v>2.9755008059002823</x:v>
      </x:c>
      <x:c r="K5" s="29" t="n">
        <x:v>0.8193629313079593</x:v>
      </x:c>
      <x:c r="L5" s="17" t="n">
        <x:v>1.2204603867100596</x:v>
      </x:c>
      <x:c r="M5" s="29" t="n">
        <x:v>0.41373875352991396</x:v>
      </x:c>
      <x:c r="N5" s="10" t="str">
        <x:v>Scăzut</x:v>
      </x:c>
      <x:c r="O5" s="35" t="n">
        <x:v>78</x:v>
      </x:c>
      <x:c r="P5" s="10" t="str">
        <x:v>FAIL</x:v>
      </x:c>
      <x:c r="Q5" s="10" t="str">
        <x:v>DA – PRUDENT</x:v>
      </x:c>
      <x:c r="R5" s="10" t="str">
        <x:v>λ total 2.98 &gt; 2,70; P(U4,5) 81.9%</x:v>
      </x:c>
      <x:c r="S5" s="10" t="str">
        <x:v>CompactStats + piață 1X2 + model U4.5 independent</x:v>
      </x:c>
      <x:c r="T5" s="17"/>
      <x:c r="U5" s="29" t="str">
        <x:f>IF(T5="","",K5*T5-1)</x:f>
      </x:c>
      <x:c r="V5" s="10" t="str">
        <x:f>IF(T5="","COTĂ NECOMPLETATĂ",IF(U5&gt;=0.04,"VALUE ≥4%",IF(U5&gt;0,"VALUE MIC","FĂRĂ VALUE")))</x:f>
        <x:v>COTĂ NECOMPLETATĂ</x:v>
      </x:c>
    </x:row>
    <x:row r="6" ht="28.5" customHeight="1">
      <x:c r="A6" s="10" t="n">
        <x:v>5</x:v>
      </x:c>
      <x:c r="B6" s="10" t="str">
        <x:v>Anglia</x:v>
      </x:c>
      <x:c r="C6" s="10" t="str">
        <x:v>Championship</x:v>
      </x:c>
      <x:c r="D6" s="10" t="str">
        <x:v>Wolves – Stoke</x:v>
      </x:c>
      <x:c r="E6" s="17" t="n">
        <x:v>1.55</x:v>
      </x:c>
      <x:c r="F6" s="17" t="n">
        <x:v>4.52</x:v>
      </x:c>
      <x:c r="G6" s="17" t="n">
        <x:v>6.1</x:v>
      </x:c>
      <x:c r="H6" s="17" t="n">
        <x:v>1.7709741503257084</x:v>
      </x:c>
      <x:c r="I6" s="17" t="n">
        <x:v>1.1432701597291843</x:v>
      </x:c>
      <x:c r="J6" s="17" t="n">
        <x:v>2.914244310054893</x:v>
      </x:c>
      <x:c r="K6" s="29" t="n">
        <x:v>0.8294610954317087</x:v>
      </x:c>
      <x:c r="L6" s="17" t="n">
        <x:v>1.2056020535592826</x:v>
      </x:c>
      <x:c r="M6" s="29" t="n">
        <x:v>0.6261667385824268</x:v>
      </x:c>
      <x:c r="N6" s="10" t="str">
        <x:v>Moderat</x:v>
      </x:c>
      <x:c r="O6" s="35" t="n">
        <x:v>76</x:v>
      </x:c>
      <x:c r="P6" s="10" t="str">
        <x:v>FAIL</x:v>
      </x:c>
      <x:c r="Q6" s="10" t="str">
        <x:v>DA – PRUDENT</x:v>
      </x:c>
      <x:c r="R6" s="10" t="str">
        <x:v>λ total 2.91 &gt; 2,70; P(U4,5) 82.9%; favorită clară</x:v>
      </x:c>
      <x:c r="S6" s="10" t="str">
        <x:v>CompactStats + piață 1X2</x:v>
      </x:c>
      <x:c r="T6" s="17"/>
      <x:c r="U6" s="29" t="str">
        <x:f>IF(T6="","",K6*T6-1)</x:f>
      </x:c>
      <x:c r="V6" s="10" t="str">
        <x:f>IF(T6="","COTĂ NECOMPLETATĂ",IF(U6&gt;=0.04,"VALUE ≥4%",IF(U6&gt;0,"VALUE MIC","FĂRĂ VALUE")))</x:f>
        <x:v>COTĂ NECOMPLETATĂ</x:v>
      </x:c>
    </x:row>
    <x:row r="7" ht="28.5" customHeight="1">
      <x:c r="A7" s="10" t="n">
        <x:v>6</x:v>
      </x:c>
      <x:c r="B7" s="10" t="str">
        <x:v>Anglia</x:v>
      </x:c>
      <x:c r="C7" s="10" t="str">
        <x:v>Championship</x:v>
      </x:c>
      <x:c r="D7" s="10" t="str">
        <x:v>Derby – Swansea</x:v>
      </x:c>
      <x:c r="E7" s="17" t="n">
        <x:v>2.12</x:v>
      </x:c>
      <x:c r="F7" s="17" t="n">
        <x:v>3.35</x:v>
      </x:c>
      <x:c r="G7" s="17" t="n">
        <x:v>2.82</x:v>
      </x:c>
      <x:c r="H7" s="17" t="n">
        <x:v>1.4167452735617196</x:v>
      </x:c>
      <x:c r="I7" s="17" t="n">
        <x:v>1.3405506671695595</x:v>
      </x:c>
      <x:c r="J7" s="17" t="n">
        <x:v>2.757295940731279</x:v>
      </x:c>
      <x:c r="K7" s="29" t="n">
        <x:v>0.8542652136297665</x:v>
      </x:c>
      <x:c r="L7" s="17" t="n">
        <x:v>1.1705966531763683</x:v>
      </x:c>
      <x:c r="M7" s="29" t="n">
        <x:v>0.4193559842680469</x:v>
      </x:c>
      <x:c r="N7" s="10" t="str">
        <x:v>Scăzut</x:v>
      </x:c>
      <x:c r="O7" s="35" t="n">
        <x:v>76</x:v>
      </x:c>
      <x:c r="P7" s="10" t="str">
        <x:v>FAIL</x:v>
      </x:c>
      <x:c r="Q7" s="10" t="str">
        <x:v>DA – PRUDENT</x:v>
      </x:c>
      <x:c r="R7" s="10" t="str">
        <x:v>λ total 2.76 &gt; 2,70; P(U4,5) 85.4%</x:v>
      </x:c>
      <x:c r="S7" s="10" t="str">
        <x:v>CompactStats + piață 1X2</x:v>
      </x:c>
      <x:c r="T7" s="17"/>
      <x:c r="U7" s="29" t="str">
        <x:f>IF(T7="","",K7*T7-1)</x:f>
      </x:c>
      <x:c r="V7" s="10" t="str">
        <x:f>IF(T7="","COTĂ NECOMPLETATĂ",IF(U7&gt;=0.04,"VALUE ≥4%",IF(U7&gt;0,"VALUE MIC","FĂRĂ VALUE")))</x:f>
        <x:v>COTĂ NECOMPLETATĂ</x:v>
      </x:c>
    </x:row>
    <x:row r="8" ht="28.5" customHeight="1">
      <x:c r="A8" s="10" t="n">
        <x:v>7</x:v>
      </x:c>
      <x:c r="B8" s="10" t="str">
        <x:v>Anglia</x:v>
      </x:c>
      <x:c r="C8" s="10" t="str">
        <x:v>Championship</x:v>
      </x:c>
      <x:c r="D8" s="10" t="str">
        <x:v>Middlesbrough – West Brom</x:v>
      </x:c>
      <x:c r="E8" s="17" t="n">
        <x:v>1.81</x:v>
      </x:c>
      <x:c r="F8" s="17" t="n">
        <x:v>3.86</x:v>
      </x:c>
      <x:c r="G8" s="17" t="n">
        <x:v>4.59</x:v>
      </x:c>
      <x:c r="H8" s="17" t="n">
        <x:v>1.4989301100747907</x:v>
      </x:c>
      <x:c r="I8" s="17" t="n">
        <x:v>1.1612682367068259</x:v>
      </x:c>
      <x:c r="J8" s="17" t="n">
        <x:v>2.6601983467816166</x:v>
      </x:c>
      <x:c r="K8" s="29" t="n">
        <x:v>0.8687737273121456</x:v>
      </x:c>
      <x:c r="L8" s="17" t="n">
        <x:v>1.151047699259793</x:v>
      </x:c>
      <x:c r="M8" s="29" t="n">
        <x:v>0.5366973727655785</x:v>
      </x:c>
      <x:c r="N8" s="10" t="str">
        <x:v>Scăzut</x:v>
      </x:c>
      <x:c r="O8" s="35" t="n">
        <x:v>76</x:v>
      </x:c>
      <x:c r="P8" s="10" t="str">
        <x:v>PASS</x:v>
      </x:c>
      <x:c r="Q8" s="10" t="str">
        <x:v>DA – FEZABIL</x:v>
      </x:c>
      <x:c r="R8" s="10" t="str">
        <x:v>λ total 2.66 ≤ 2,70; P(U4,5) 86.9%</x:v>
      </x:c>
      <x:c r="S8" s="10" t="str">
        <x:v>CompactStats + piață 1X2</x:v>
      </x:c>
      <x:c r="T8" s="17"/>
      <x:c r="U8" s="29" t="str">
        <x:f>IF(T8="","",K8*T8-1)</x:f>
      </x:c>
      <x:c r="V8" s="10" t="str">
        <x:f>IF(T8="","COTĂ NECOMPLETATĂ",IF(U8&gt;=0.04,"VALUE ≥4%",IF(U8&gt;0,"VALUE MIC","FĂRĂ VALUE")))</x:f>
        <x:v>COTĂ NECOMPLETATĂ</x:v>
      </x:c>
    </x:row>
    <x:row r="9" ht="28.5" customHeight="1">
      <x:c r="A9" s="10" t="n">
        <x:v>8</x:v>
      </x:c>
      <x:c r="B9" s="10" t="str">
        <x:v>Anglia</x:v>
      </x:c>
      <x:c r="C9" s="10" t="str">
        <x:v>Championship</x:v>
      </x:c>
      <x:c r="D9" s="10" t="str">
        <x:v>Blackburn – QPR</x:v>
      </x:c>
      <x:c r="E9" s="17" t="n">
        <x:v>2.57</x:v>
      </x:c>
      <x:c r="F9" s="17" t="n">
        <x:v>3.43</x:v>
      </x:c>
      <x:c r="G9" s="17" t="n">
        <x:v>2.86</x:v>
      </x:c>
      <x:c r="H9" s="17" t="n">
        <x:v>1.3406802912553903</x:v>
      </x:c>
      <x:c r="I9" s="17" t="n">
        <x:v>1.3156296843220163</x:v>
      </x:c>
      <x:c r="J9" s="17" t="n">
        <x:v>2.6563099755774067</x:v>
      </x:c>
      <x:c r="K9" s="29" t="n">
        <x:v>0.8693405892370832</x:v>
      </x:c>
      <x:c r="L9" s="17" t="n">
        <x:v>1.1502971474938044</x:v>
      </x:c>
      <x:c r="M9" s="29" t="n">
        <x:v>0.37766168368937947</x:v>
      </x:c>
      <x:c r="N9" s="10" t="str">
        <x:v>Scăzut</x:v>
      </x:c>
      <x:c r="O9" s="35" t="n">
        <x:v>76</x:v>
      </x:c>
      <x:c r="P9" s="10" t="str">
        <x:v>PASS</x:v>
      </x:c>
      <x:c r="Q9" s="10" t="str">
        <x:v>DA – FEZABIL</x:v>
      </x:c>
      <x:c r="R9" s="10" t="str">
        <x:v>λ total 2.66 ≤ 2,70; P(U4,5) 86.9%</x:v>
      </x:c>
      <x:c r="S9" s="10" t="str">
        <x:v>CompactStats + piață 1X2</x:v>
      </x:c>
      <x:c r="T9" s="17"/>
      <x:c r="U9" s="29" t="str">
        <x:f>IF(T9="","",K9*T9-1)</x:f>
      </x:c>
      <x:c r="V9" s="10" t="str">
        <x:f>IF(T9="","COTĂ NECOMPLETATĂ",IF(U9&gt;=0.04,"VALUE ≥4%",IF(U9&gt;0,"VALUE MIC","FĂRĂ VALUE")))</x:f>
        <x:v>COTĂ NECOMPLETATĂ</x:v>
      </x:c>
    </x:row>
    <x:row r="10" ht="28.5" customHeight="1">
      <x:c r="A10" s="10" t="n">
        <x:v>9</x:v>
      </x:c>
      <x:c r="B10" s="10" t="str">
        <x:v>Anglia</x:v>
      </x:c>
      <x:c r="C10" s="10" t="str">
        <x:v>Championship</x:v>
      </x:c>
      <x:c r="D10" s="10" t="str">
        <x:v>Bolton – Lincoln</x:v>
      </x:c>
      <x:c r="E10" s="17" t="n">
        <x:v>2.52</x:v>
      </x:c>
      <x:c r="F10" s="17" t="n">
        <x:v>3.39</x:v>
      </x:c>
      <x:c r="G10" s="17" t="n">
        <x:v>2.95</x:v>
      </x:c>
      <x:c r="H10" s="17" t="n">
        <x:v>1.416314094907148</x:v>
      </x:c>
      <x:c r="I10" s="17" t="n">
        <x:v>1.1672019916978358</x:v>
      </x:c>
      <x:c r="J10" s="17" t="n">
        <x:v>2.583516086604984</x:v>
      </x:c>
      <x:c r="K10" s="29" t="n">
        <x:v>0.8797442968592551</x:v>
      </x:c>
      <x:c r="L10" s="17" t="n">
        <x:v>1.136693927508329</x:v>
      </x:c>
      <x:c r="M10" s="29" t="n">
        <x:v>0.38497072444018426</x:v>
      </x:c>
      <x:c r="N10" s="10" t="str">
        <x:v>Scăzut</x:v>
      </x:c>
      <x:c r="O10" s="35" t="n">
        <x:v>76</x:v>
      </x:c>
      <x:c r="P10" s="10" t="str">
        <x:v>PASS</x:v>
      </x:c>
      <x:c r="Q10" s="10" t="str">
        <x:v>DA – FEZABIL</x:v>
      </x:c>
      <x:c r="R10" s="10" t="str">
        <x:v>λ total 2.58 ≤ 2,70; P(U4,5) 88.0%</x:v>
      </x:c>
      <x:c r="S10" s="10" t="str">
        <x:v>CompactStats + piață 1X2</x:v>
      </x:c>
      <x:c r="T10" s="17"/>
      <x:c r="U10" s="29" t="str">
        <x:f>IF(T10="","",K10*T10-1)</x:f>
      </x:c>
      <x:c r="V10" s="10" t="str">
        <x:f>IF(T10="","COTĂ NECOMPLETATĂ",IF(U10&gt;=0.04,"VALUE ≥4%",IF(U10&gt;0,"VALUE MIC","FĂRĂ VALUE")))</x:f>
        <x:v>COTĂ NECOMPLETATĂ</x:v>
      </x:c>
    </x:row>
    <x:row r="11" ht="28.5" customHeight="1">
      <x:c r="A11" s="10" t="n">
        <x:v>10</x:v>
      </x:c>
      <x:c r="B11" s="10" t="str">
        <x:v>Anglia</x:v>
      </x:c>
      <x:c r="C11" s="10" t="str">
        <x:v>Championship</x:v>
      </x:c>
      <x:c r="D11" s="10" t="str">
        <x:v>Bristol City – Portsmouth</x:v>
      </x:c>
      <x:c r="E11" s="17" t="n">
        <x:v>2.29</x:v>
      </x:c>
      <x:c r="F11" s="17" t="n">
        <x:v>3.41</x:v>
      </x:c>
      <x:c r="G11" s="17" t="n">
        <x:v>3.34</x:v>
      </x:c>
      <x:c r="H11" s="17" t="n">
        <x:v>1.3953703392813084</x:v>
      </x:c>
      <x:c r="I11" s="17" t="n">
        <x:v>1.3362529581604004</x:v>
      </x:c>
      <x:c r="J11" s="17" t="n">
        <x:v>2.7316232974417085</x:v>
      </x:c>
      <x:c r="K11" s="29" t="n">
        <x:v>0.8581662429932765</x:v>
      </x:c>
      <x:c r="L11" s="17" t="n">
        <x:v>1.1652753859345581</x:v>
      </x:c>
      <x:c r="M11" s="29" t="n">
        <x:v>0.424235200339704</x:v>
      </x:c>
      <x:c r="N11" s="10" t="str">
        <x:v>Scăzut</x:v>
      </x:c>
      <x:c r="O11" s="35" t="n">
        <x:v>76</x:v>
      </x:c>
      <x:c r="P11" s="10" t="str">
        <x:v>FAIL</x:v>
      </x:c>
      <x:c r="Q11" s="10" t="str">
        <x:v>DA – PRUDENT</x:v>
      </x:c>
      <x:c r="R11" s="10" t="str">
        <x:v>λ total 2.73 &gt; 2,70; P(U4,5) 85.8%</x:v>
      </x:c>
      <x:c r="S11" s="10" t="str">
        <x:v>CompactStats + piață 1X2</x:v>
      </x:c>
      <x:c r="T11" s="17"/>
      <x:c r="U11" s="29" t="str">
        <x:f>IF(T11="","",K11*T11-1)</x:f>
      </x:c>
      <x:c r="V11" s="10" t="str">
        <x:f>IF(T11="","COTĂ NECOMPLETATĂ",IF(U11&gt;=0.04,"VALUE ≥4%",IF(U11&gt;0,"VALUE MIC","FĂRĂ VALUE")))</x:f>
        <x:v>COTĂ NECOMPLETATĂ</x:v>
      </x:c>
    </x:row>
    <x:row r="12" ht="28.5" customHeight="1">
      <x:c r="A12" s="10" t="n">
        <x:v>11</x:v>
      </x:c>
      <x:c r="B12" s="10" t="str">
        <x:v>Anglia</x:v>
      </x:c>
      <x:c r="C12" s="10" t="str">
        <x:v>Championship</x:v>
      </x:c>
      <x:c r="D12" s="10" t="str">
        <x:v>Cardiff – Sheffield United</x:v>
      </x:c>
      <x:c r="E12" s="17" t="n">
        <x:v>2.69</x:v>
      </x:c>
      <x:c r="F12" s="17" t="n">
        <x:v>3.62</x:v>
      </x:c>
      <x:c r="G12" s="17" t="n">
        <x:v>2.62</x:v>
      </x:c>
      <x:c r="H12" s="17" t="n">
        <x:v>1.2537287131386736</x:v>
      </x:c>
      <x:c r="I12" s="17" t="n">
        <x:v>1.2740343853354281</x:v>
      </x:c>
      <x:c r="J12" s="17" t="n">
        <x:v>2.527763098474102</x:v>
      </x:c>
      <x:c r="K12" s="29" t="n">
        <x:v>0.8874380577303074</x:v>
      </x:c>
      <x:c r="L12" s="17" t="n">
        <x:v>1.1268392101163418</x:v>
      </x:c>
      <x:c r="M12" s="29" t="n">
        <x:v>0.37068138561096303</x:v>
      </x:c>
      <x:c r="N12" s="10" t="str">
        <x:v>Scăzut</x:v>
      </x:c>
      <x:c r="O12" s="35" t="n">
        <x:v>62</x:v>
      </x:c>
      <x:c r="P12" s="10" t="str">
        <x:v>PASS</x:v>
      </x:c>
      <x:c r="Q12" s="10" t="str">
        <x:v>DA – FEZABIL</x:v>
      </x:c>
      <x:c r="R12" s="10" t="str">
        <x:v>λ total 2.53 ≤ 2,70; P(U4,5) 88.7%; estimare predominant din piață</x:v>
      </x:c>
      <x:c r="S12" s="10" t="str">
        <x:v>Proxy piață 1X2 (Poisson)</x:v>
      </x:c>
      <x:c r="T12" s="17"/>
      <x:c r="U12" s="29" t="str">
        <x:f>IF(T12="","",K12*T12-1)</x:f>
      </x:c>
      <x:c r="V12" s="10" t="str">
        <x:f>IF(T12="","COTĂ NECOMPLETATĂ",IF(U12&gt;=0.04,"VALUE ≥4%",IF(U12&gt;0,"VALUE MIC","FĂRĂ VALUE")))</x:f>
        <x:v>COTĂ NECOMPLETATĂ</x:v>
      </x:c>
    </x:row>
    <x:row r="13" ht="28.5" customHeight="1">
      <x:c r="A13" s="10" t="n">
        <x:v>12</x:v>
      </x:c>
      <x:c r="B13" s="10" t="str">
        <x:v>Anglia</x:v>
      </x:c>
      <x:c r="C13" s="10" t="str">
        <x:v>Championship</x:v>
      </x:c>
      <x:c r="D13" s="10" t="str">
        <x:v>Charlton – Preston</x:v>
      </x:c>
      <x:c r="E13" s="17" t="n">
        <x:v>2.16</x:v>
      </x:c>
      <x:c r="F13" s="17" t="n">
        <x:v>3.36</x:v>
      </x:c>
      <x:c r="G13" s="17" t="n">
        <x:v>3.69</x:v>
      </x:c>
      <x:c r="H13" s="17" t="n">
        <x:v>1.4341572906957056</x:v>
      </x:c>
      <x:c r="I13" s="17" t="n">
        <x:v>1.0947141883044362</x:v>
      </x:c>
      <x:c r="J13" s="17" t="n">
        <x:v>2.528871479000142</x:v>
      </x:c>
      <x:c r="K13" s="29" t="n">
        <x:v>0.887287476899407</x:v>
      </x:c>
      <x:c r="L13" s="17" t="n">
        <x:v>1.127030445075662</x:v>
      </x:c>
      <x:c r="M13" s="29" t="n">
        <x:v>0.44878811571540267</x:v>
      </x:c>
      <x:c r="N13" s="10" t="str">
        <x:v>Scăzut</x:v>
      </x:c>
      <x:c r="O13" s="35" t="n">
        <x:v>76</x:v>
      </x:c>
      <x:c r="P13" s="10" t="str">
        <x:v>PASS</x:v>
      </x:c>
      <x:c r="Q13" s="10" t="str">
        <x:v>DA – FEZABIL</x:v>
      </x:c>
      <x:c r="R13" s="10" t="str">
        <x:v>λ total 2.53 ≤ 2,70; P(U4,5) 88.7%</x:v>
      </x:c>
      <x:c r="S13" s="10" t="str">
        <x:v>CompactStats + piață 1X2</x:v>
      </x:c>
      <x:c r="T13" s="17"/>
      <x:c r="U13" s="29" t="str">
        <x:f>IF(T13="","",K13*T13-1)</x:f>
      </x:c>
      <x:c r="V13" s="10" t="str">
        <x:f>IF(T13="","COTĂ NECOMPLETATĂ",IF(U13&gt;=0.04,"VALUE ≥4%",IF(U13&gt;0,"VALUE MIC","FĂRĂ VALUE")))</x:f>
        <x:v>COTĂ NECOMPLETATĂ</x:v>
      </x:c>
    </x:row>
    <x:row r="14" ht="28.5" customHeight="1">
      <x:c r="A14" s="10" t="n">
        <x:v>13</x:v>
      </x:c>
      <x:c r="B14" s="10" t="str">
        <x:v>Anglia</x:v>
      </x:c>
      <x:c r="C14" s="10" t="str">
        <x:v>Championship</x:v>
      </x:c>
      <x:c r="D14" s="10" t="str">
        <x:v>Norwich – Burnley</x:v>
      </x:c>
      <x:c r="E14" s="17" t="n">
        <x:v>2.3</x:v>
      </x:c>
      <x:c r="F14" s="17" t="n">
        <x:v>3.62</x:v>
      </x:c>
      <x:c r="G14" s="17" t="n">
        <x:v>3.13</x:v>
      </x:c>
      <x:c r="H14" s="17" t="n">
        <x:v>1.4761362056262919</x:v>
      </x:c>
      <x:c r="I14" s="17" t="n">
        <x:v>1.2560843661171683</x:v>
      </x:c>
      <x:c r="J14" s="17" t="n">
        <x:v>2.7322205717434604</x:v>
      </x:c>
      <x:c r="K14" s="29" t="n">
        <x:v>0.8580760075606834</x:v>
      </x:c>
      <x:c r="L14" s="17" t="n">
        <x:v>1.1653979265109329</x:v>
      </x:c>
      <x:c r="M14" s="29" t="n">
        <x:v>0.4219082798373524</x:v>
      </x:c>
      <x:c r="N14" s="10" t="str">
        <x:v>Scăzut</x:v>
      </x:c>
      <x:c r="O14" s="35" t="n">
        <x:v>76</x:v>
      </x:c>
      <x:c r="P14" s="10" t="str">
        <x:v>FAIL</x:v>
      </x:c>
      <x:c r="Q14" s="10" t="str">
        <x:v>DA – PRUDENT</x:v>
      </x:c>
      <x:c r="R14" s="10" t="str">
        <x:v>λ total 2.73 &gt; 2,70; P(U4,5) 85.8%</x:v>
      </x:c>
      <x:c r="S14" s="10" t="str">
        <x:v>CompactStats + piață 1X2</x:v>
      </x:c>
      <x:c r="T14" s="17"/>
      <x:c r="U14" s="29" t="str">
        <x:f>IF(T14="","",K14*T14-1)</x:f>
      </x:c>
      <x:c r="V14" s="10" t="str">
        <x:f>IF(T14="","COTĂ NECOMPLETATĂ",IF(U14&gt;=0.04,"VALUE ≥4%",IF(U14&gt;0,"VALUE MIC","FĂRĂ VALUE")))</x:f>
        <x:v>COTĂ NECOMPLETATĂ</x:v>
      </x:c>
    </x:row>
    <x:row r="15" ht="28.5" customHeight="1">
      <x:c r="A15" s="10" t="n">
        <x:v>14</x:v>
      </x:c>
      <x:c r="B15" s="10" t="str">
        <x:v>Anglia</x:v>
      </x:c>
      <x:c r="C15" s="10" t="str">
        <x:v>Championship</x:v>
      </x:c>
      <x:c r="D15" s="10" t="str">
        <x:v>Southampton – Millwall</x:v>
      </x:c>
      <x:c r="E15" s="17" t="n">
        <x:v>2.03</x:v>
      </x:c>
      <x:c r="F15" s="17" t="n">
        <x:v>3.67</x:v>
      </x:c>
      <x:c r="G15" s="17" t="n">
        <x:v>3.79</x:v>
      </x:c>
      <x:c r="H15" s="17" t="n">
        <x:v>1.433152920314476</x:v>
      </x:c>
      <x:c r="I15" s="17" t="n">
        <x:v>1.1987553853716333</x:v>
      </x:c>
      <x:c r="J15" s="17" t="n">
        <x:v>2.6319083056861095</x:v>
      </x:c>
      <x:c r="K15" s="29" t="n">
        <x:v>0.8728724248006008</x:v>
      </x:c>
      <x:c r="L15" s="17" t="n">
        <x:v>1.1456427899282535</x:v>
      </x:c>
      <x:c r="M15" s="29" t="n">
        <x:v>0.47875441863346774</x:v>
      </x:c>
      <x:c r="N15" s="10" t="str">
        <x:v>Scăzut</x:v>
      </x:c>
      <x:c r="O15" s="35" t="n">
        <x:v>76</x:v>
      </x:c>
      <x:c r="P15" s="10" t="str">
        <x:v>PASS</x:v>
      </x:c>
      <x:c r="Q15" s="10" t="str">
        <x:v>DA – FEZABIL</x:v>
      </x:c>
      <x:c r="R15" s="10" t="str">
        <x:v>λ total 2.63 ≤ 2,70; P(U4,5) 87.3%</x:v>
      </x:c>
      <x:c r="S15" s="10" t="str">
        <x:v>CompactStats + piață 1X2</x:v>
      </x:c>
      <x:c r="T15" s="17"/>
      <x:c r="U15" s="29" t="str">
        <x:f>IF(T15="","",K15*T15-1)</x:f>
      </x:c>
      <x:c r="V15" s="10" t="str">
        <x:f>IF(T15="","COTĂ NECOMPLETATĂ",IF(U15&gt;=0.04,"VALUE ≥4%",IF(U15&gt;0,"VALUE MIC","FĂRĂ VALUE")))</x:f>
        <x:v>COTĂ NECOMPLETATĂ</x:v>
      </x:c>
    </x:row>
    <x:row r="16" ht="28.5" customHeight="1">
      <x:c r="A16" s="10" t="n">
        <x:v>15</x:v>
      </x:c>
      <x:c r="B16" s="10" t="str">
        <x:v>Anglia</x:v>
      </x:c>
      <x:c r="C16" s="10" t="str">
        <x:v>Championship</x:v>
      </x:c>
      <x:c r="D16" s="10" t="str">
        <x:v>Watford – West Ham</x:v>
      </x:c>
      <x:c r="E16" s="17" t="n">
        <x:v>3.95</x:v>
      </x:c>
      <x:c r="F16" s="17" t="n">
        <x:v>3.9</x:v>
      </x:c>
      <x:c r="G16" s="17" t="n">
        <x:v>1.92</x:v>
      </x:c>
      <x:c r="H16" s="17" t="n">
        <x:v>1.3527052297153548</x:v>
      </x:c>
      <x:c r="I16" s="17" t="n">
        <x:v>1.4473560260208973</x:v>
      </x:c>
      <x:c r="J16" s="17" t="n">
        <x:v>2.800061255736252</x:v>
      </x:c>
      <x:c r="K16" s="29" t="n">
        <x:v>0.8476665169695179</x:v>
      </x:c>
      <x:c r="L16" s="17" t="n">
        <x:v>1.1797092134476275</x:v>
      </x:c>
      <x:c r="M16" s="29" t="n">
        <x:v>0.5054631361354464</x:v>
      </x:c>
      <x:c r="N16" s="10" t="str">
        <x:v>Scăzut</x:v>
      </x:c>
      <x:c r="O16" s="35" t="n">
        <x:v>76</x:v>
      </x:c>
      <x:c r="P16" s="10" t="str">
        <x:v>FAIL</x:v>
      </x:c>
      <x:c r="Q16" s="10" t="str">
        <x:v>DA – PRUDENT</x:v>
      </x:c>
      <x:c r="R16" s="10" t="str">
        <x:v>λ total 2.80 &gt; 2,70; P(U4,5) 84.8%</x:v>
      </x:c>
      <x:c r="S16" s="10" t="str">
        <x:v>CompactStats + piață 1X2</x:v>
      </x:c>
      <x:c r="T16" s="17"/>
      <x:c r="U16" s="29" t="str">
        <x:f>IF(T16="","",K16*T16-1)</x:f>
      </x:c>
      <x:c r="V16" s="10" t="str">
        <x:f>IF(T16="","COTĂ NECOMPLETATĂ",IF(U16&gt;=0.04,"VALUE ≥4%",IF(U16&gt;0,"VALUE MIC","FĂRĂ VALUE")))</x:f>
        <x:v>COTĂ NECOMPLETATĂ</x:v>
      </x:c>
    </x:row>
    <x:row r="17" ht="28.5" customHeight="1">
      <x:c r="A17" s="10" t="n">
        <x:v>16</x:v>
      </x:c>
      <x:c r="B17" s="10" t="str">
        <x:v>Elveția</x:v>
      </x:c>
      <x:c r="C17" s="10" t="str">
        <x:v>Super League</x:v>
      </x:c>
      <x:c r="D17" s="10" t="str">
        <x:v>Lausanne – FC Zürich</x:v>
      </x:c>
      <x:c r="E17" s="17" t="n">
        <x:v>1.82</x:v>
      </x:c>
      <x:c r="F17" s="17" t="n">
        <x:v>3.8</x:v>
      </x:c>
      <x:c r="G17" s="17" t="n">
        <x:v>4</x:v>
      </x:c>
      <x:c r="H17" s="17" t="n">
        <x:v>1.6233825035918303</x:v>
      </x:c>
      <x:c r="I17" s="17" t="n">
        <x:v>1.008968907285291</x:v>
      </x:c>
      <x:c r="J17" s="17" t="n">
        <x:v>2.6323514108771215</x:v>
      </x:c>
      <x:c r="K17" s="29" t="n">
        <x:v>0.8728086857824943</x:v>
      </x:c>
      <x:c r="L17" s="17" t="n">
        <x:v>1.1457264533332132</x:v>
      </x:c>
      <x:c r="M17" s="29" t="n">
        <x:v>0.5170771533541978</x:v>
      </x:c>
      <x:c r="N17" s="10" t="str">
        <x:v>Scăzut</x:v>
      </x:c>
      <x:c r="O17" s="35" t="n">
        <x:v>62</x:v>
      </x:c>
      <x:c r="P17" s="10" t="str">
        <x:v>PASS</x:v>
      </x:c>
      <x:c r="Q17" s="10" t="str">
        <x:v>DA – FEZABIL</x:v>
      </x:c>
      <x:c r="R17" s="10" t="str">
        <x:v>λ total 2.63 ≤ 2,70; P(U4,5) 87.3%; estimare predominant din piață</x:v>
      </x:c>
      <x:c r="S17" s="10" t="str">
        <x:v>Proxy piață 1X2 (Poisson)</x:v>
      </x:c>
      <x:c r="T17" s="17"/>
      <x:c r="U17" s="29" t="str">
        <x:f>IF(T17="","",K17*T17-1)</x:f>
      </x:c>
      <x:c r="V17" s="10" t="str">
        <x:f>IF(T17="","COTĂ NECOMPLETATĂ",IF(U17&gt;=0.04,"VALUE ≥4%",IF(U17&gt;0,"VALUE MIC","FĂRĂ VALUE")))</x:f>
        <x:v>COTĂ NECOMPLETATĂ</x:v>
      </x:c>
    </x:row>
    <x:row r="18" ht="28.5" customHeight="1">
      <x:c r="A18" s="10" t="n">
        <x:v>17</x:v>
      </x:c>
      <x:c r="B18" s="10" t="str">
        <x:v>Elveția</x:v>
      </x:c>
      <x:c r="C18" s="10" t="str">
        <x:v>Super League</x:v>
      </x:c>
      <x:c r="D18" s="10" t="str">
        <x:v>Servette – Luzern</x:v>
      </x:c>
      <x:c r="E18" s="17" t="n">
        <x:v>1.89</x:v>
      </x:c>
      <x:c r="F18" s="17" t="n">
        <x:v>3.9</x:v>
      </x:c>
      <x:c r="G18" s="17" t="n">
        <x:v>3.6</x:v>
      </x:c>
      <x:c r="H18" s="17" t="n">
        <x:v>1.6833466598110427</x:v>
      </x:c>
      <x:c r="I18" s="17" t="n">
        <x:v>1.1532216126176507</x:v>
      </x:c>
      <x:c r="J18" s="17" t="n">
        <x:v>2.8365682724286936</x:v>
      </x:c>
      <x:c r="K18" s="29" t="n">
        <x:v>0.8419367543458438</x:v>
      </x:c>
      <x:c r="L18" s="17" t="n">
        <x:v>1.1877376713135253</x:v>
      </x:c>
      <x:c r="M18" s="29" t="n">
        <x:v>0.4976076555023924</x:v>
      </x:c>
      <x:c r="N18" s="10" t="str">
        <x:v>Scăzut</x:v>
      </x:c>
      <x:c r="O18" s="35" t="n">
        <x:v>62</x:v>
      </x:c>
      <x:c r="P18" s="10" t="str">
        <x:v>FAIL</x:v>
      </x:c>
      <x:c r="Q18" s="10" t="str">
        <x:v>DA – PRUDENT</x:v>
      </x:c>
      <x:c r="R18" s="10" t="str">
        <x:v>λ total 2.84 &gt; 2,70; P(U4,5) 84.2%; estimare predominant din piață</x:v>
      </x:c>
      <x:c r="S18" s="10" t="str">
        <x:v>Proxy piață 1X2 (Poisson)</x:v>
      </x:c>
      <x:c r="T18" s="17"/>
      <x:c r="U18" s="29" t="str">
        <x:f>IF(T18="","",K18*T18-1)</x:f>
      </x:c>
      <x:c r="V18" s="10" t="str">
        <x:f>IF(T18="","COTĂ NECOMPLETATĂ",IF(U18&gt;=0.04,"VALUE ≥4%",IF(U18&gt;0,"VALUE MIC","FĂRĂ VALUE")))</x:f>
        <x:v>COTĂ NECOMPLETATĂ</x:v>
      </x:c>
    </x:row>
    <x:row r="19" ht="28.5" customHeight="1">
      <x:c r="A19" s="10" t="n">
        <x:v>18</x:v>
      </x:c>
      <x:c r="B19" s="10" t="str">
        <x:v>Elveția</x:v>
      </x:c>
      <x:c r="C19" s="10" t="str">
        <x:v>Super League</x:v>
      </x:c>
      <x:c r="D19" s="10" t="str">
        <x:v>Young Boys – Basel</x:v>
      </x:c>
      <x:c r="E19" s="17" t="n">
        <x:v>1.64</x:v>
      </x:c>
      <x:c r="F19" s="17" t="n">
        <x:v>4.5</x:v>
      </x:c>
      <x:c r="G19" s="17" t="n">
        <x:v>4.4</x:v>
      </x:c>
      <x:c r="H19" s="17" t="n">
        <x:v>2.0713526527906048</x:v>
      </x:c>
      <x:c r="I19" s="17" t="n">
        <x:v>1.1940286100627615</x:v>
      </x:c>
      <x:c r="J19" s="17" t="n">
        <x:v>3.2653812628533663</x:v>
      </x:c>
      <x:c r="K19" s="29" t="n">
        <x:v>0.768876143864429</x:v>
      </x:c>
      <x:c r="L19" s="17" t="n">
        <x:v>1.300599593289402</x:v>
      </x:c>
      <x:c r="M19" s="29" t="n">
        <x:v>0.5756483312013024</x:v>
      </x:c>
      <x:c r="N19" s="10" t="str">
        <x:v>Scăzut</x:v>
      </x:c>
      <x:c r="O19" s="35" t="n">
        <x:v>62</x:v>
      </x:c>
      <x:c r="P19" s="10" t="str">
        <x:v>FAIL</x:v>
      </x:c>
      <x:c r="Q19" s="10" t="str">
        <x:v>NU – EVITĂ</x:v>
      </x:c>
      <x:c r="R19" s="10" t="str">
        <x:v>λ total 3.27 &gt; 2,70; P(U4,5) 76.9%; estimare predominant din piață</x:v>
      </x:c>
      <x:c r="S19" s="10" t="str">
        <x:v>Proxy piață 1X2 (Poisson)</x:v>
      </x:c>
      <x:c r="T19" s="17"/>
      <x:c r="U19" s="29" t="str">
        <x:f>IF(T19="","",K19*T19-1)</x:f>
      </x:c>
      <x:c r="V19" s="10" t="str">
        <x:f>IF(T19="","COTĂ NECOMPLETATĂ",IF(U19&gt;=0.04,"VALUE ≥4%",IF(U19&gt;0,"VALUE MIC","FĂRĂ VALUE")))</x:f>
        <x:v>COTĂ NECOMPLETATĂ</x:v>
      </x:c>
    </x:row>
    <x:row r="20" ht="28.5" customHeight="1">
      <x:c r="A20" s="10" t="n">
        <x:v>19</x:v>
      </x:c>
      <x:c r="B20" s="10" t="str">
        <x:v>Franța</x:v>
      </x:c>
      <x:c r="C20" s="10" t="str">
        <x:v>Ligue 1</x:v>
      </x:c>
      <x:c r="D20" s="10" t="str">
        <x:v>Strasbourg – Lens</x:v>
      </x:c>
      <x:c r="E20" s="17" t="n">
        <x:v>3.54</x:v>
      </x:c>
      <x:c r="F20" s="17" t="n">
        <x:v>3.68</x:v>
      </x:c>
      <x:c r="G20" s="17" t="n">
        <x:v>2.15</x:v>
      </x:c>
      <x:c r="H20" s="17" t="n">
        <x:v>1.3472713150370372</x:v>
      </x:c>
      <x:c r="I20" s="17" t="n">
        <x:v>1.3115635183264804</x:v>
      </x:c>
      <x:c r="J20" s="17" t="n">
        <x:v>2.6588348333635174</x:v>
      </x:c>
      <x:c r="K20" s="29" t="n">
        <x:v>0.8689726322659396</x:v>
      </x:c>
      <x:c r="L20" s="17" t="n">
        <x:v>1.150784228258596</x:v>
      </x:c>
      <x:c r="M20" s="29" t="n">
        <x:v>0.4562910242310037</x:v>
      </x:c>
      <x:c r="N20" s="10" t="str">
        <x:v>Scăzut</x:v>
      </x:c>
      <x:c r="O20" s="35" t="n">
        <x:v>76</x:v>
      </x:c>
      <x:c r="P20" s="10" t="str">
        <x:v>PASS</x:v>
      </x:c>
      <x:c r="Q20" s="10" t="str">
        <x:v>DA – FEZABIL</x:v>
      </x:c>
      <x:c r="R20" s="10" t="str">
        <x:v>λ total 2.66 ≤ 2,70; P(U4,5) 86.9%</x:v>
      </x:c>
      <x:c r="S20" s="10" t="str">
        <x:v>CompactStats + piață 1X2</x:v>
      </x:c>
      <x:c r="T20" s="17"/>
      <x:c r="U20" s="29" t="str">
        <x:f>IF(T20="","",K20*T20-1)</x:f>
      </x:c>
      <x:c r="V20" s="10" t="str">
        <x:f>IF(T20="","COTĂ NECOMPLETATĂ",IF(U20&gt;=0.04,"VALUE ≥4%",IF(U20&gt;0,"VALUE MIC","FĂRĂ VALUE")))</x:f>
        <x:v>COTĂ NECOMPLETATĂ</x:v>
      </x:c>
    </x:row>
    <x:row r="21" ht="28.5" customHeight="1">
      <x:c r="A21" s="10" t="n">
        <x:v>20</x:v>
      </x:c>
      <x:c r="B21" s="10" t="str">
        <x:v>Franța</x:v>
      </x:c>
      <x:c r="C21" s="10" t="str">
        <x:v>Ligue 1</x:v>
      </x:c>
      <x:c r="D21" s="10" t="str">
        <x:v>Auxerre – Angers</x:v>
      </x:c>
      <x:c r="E21" s="17" t="n">
        <x:v>2</x:v>
      </x:c>
      <x:c r="F21" s="17" t="n">
        <x:v>3.52</x:v>
      </x:c>
      <x:c r="G21" s="17" t="n">
        <x:v>4.07</x:v>
      </x:c>
      <x:c r="H21" s="17" t="n">
        <x:v>1.3750221075519422</x:v>
      </x:c>
      <x:c r="I21" s="17" t="n">
        <x:v>0.8741117244651041</x:v>
      </x:c>
      <x:c r="J21" s="17" t="n">
        <x:v>2.2491338320170464</x:v>
      </x:c>
      <x:c r="K21" s="29" t="n">
        <x:v>0.9220833493687048</x:v>
      </x:c>
      <x:c r="L21" s="17" t="n">
        <x:v>1.0845006589530546</x:v>
      </x:c>
      <x:c r="M21" s="29" t="n">
        <x:v>0.485535341485237</x:v>
      </x:c>
      <x:c r="N21" s="10" t="str">
        <x:v>Scăzut</x:v>
      </x:c>
      <x:c r="O21" s="35" t="n">
        <x:v>62</x:v>
      </x:c>
      <x:c r="P21" s="10" t="str">
        <x:v>PASS</x:v>
      </x:c>
      <x:c r="Q21" s="10" t="str">
        <x:v>DA – FEZABIL</x:v>
      </x:c>
      <x:c r="R21" s="10" t="str">
        <x:v>λ total 2.25 ≤ 2,70; P(U4,5) 92.2%; estimare predominant din piață</x:v>
      </x:c>
      <x:c r="S21" s="10" t="str">
        <x:v>Proxy piață 1X2 (Poisson)</x:v>
      </x:c>
      <x:c r="T21" s="17"/>
      <x:c r="U21" s="29" t="str">
        <x:f>IF(T21="","",K21*T21-1)</x:f>
      </x:c>
      <x:c r="V21" s="10" t="str">
        <x:f>IF(T21="","COTĂ NECOMPLETATĂ",IF(U21&gt;=0.04,"VALUE ≥4%",IF(U21&gt;0,"VALUE MIC","FĂRĂ VALUE")))</x:f>
        <x:v>COTĂ NECOMPLETATĂ</x:v>
      </x:c>
    </x:row>
    <x:row r="22" ht="28.5" customHeight="1">
      <x:c r="A22" s="10" t="n">
        <x:v>21</x:v>
      </x:c>
      <x:c r="B22" s="10" t="str">
        <x:v>Franța</x:v>
      </x:c>
      <x:c r="C22" s="10" t="str">
        <x:v>Ligue 1</x:v>
      </x:c>
      <x:c r="D22" s="10" t="str">
        <x:v>Brest – Toulouse</x:v>
      </x:c>
      <x:c r="E22" s="17" t="n">
        <x:v>2.71</x:v>
      </x:c>
      <x:c r="F22" s="17" t="n">
        <x:v>3.45</x:v>
      </x:c>
      <x:c r="G22" s="17" t="n">
        <x:v>2.69</x:v>
      </x:c>
      <x:c r="H22" s="17" t="n">
        <x:v>1.1641473374731293</x:v>
      </x:c>
      <x:c r="I22" s="17" t="n">
        <x:v>1.1695703394230268</x:v>
      </x:c>
      <x:c r="J22" s="17" t="n">
        <x:v>2.333717676896156</x:v>
      </x:c>
      <x:c r="K22" s="29" t="n">
        <x:v>0.9122586529808255</x:v>
      </x:c>
      <x:c r="L22" s="17" t="n">
        <x:v>1.0961803395697893</x:v>
      </x:c>
      <x:c r="M22" s="29" t="n">
        <x:v>0.36070741013661317</x:v>
      </x:c>
      <x:c r="N22" s="10" t="str">
        <x:v>Scăzut</x:v>
      </x:c>
      <x:c r="O22" s="35" t="n">
        <x:v>62</x:v>
      </x:c>
      <x:c r="P22" s="10" t="str">
        <x:v>PASS</x:v>
      </x:c>
      <x:c r="Q22" s="10" t="str">
        <x:v>DA – FEZABIL</x:v>
      </x:c>
      <x:c r="R22" s="10" t="str">
        <x:v>λ total 2.33 ≤ 2,70; P(U4,5) 91.2%; estimare predominant din piață</x:v>
      </x:c>
      <x:c r="S22" s="10" t="str">
        <x:v>Proxy piață 1X2 (Poisson)</x:v>
      </x:c>
      <x:c r="T22" s="17"/>
      <x:c r="U22" s="29" t="str">
        <x:f>IF(T22="","",K22*T22-1)</x:f>
      </x:c>
      <x:c r="V22" s="10" t="str">
        <x:f>IF(T22="","COTĂ NECOMPLETATĂ",IF(U22&gt;=0.04,"VALUE ≥4%",IF(U22&gt;0,"VALUE MIC","FĂRĂ VALUE")))</x:f>
        <x:v>COTĂ NECOMPLETATĂ</x:v>
      </x:c>
    </x:row>
    <x:row r="23" ht="28.5" customHeight="1">
      <x:c r="A23" s="10" t="n">
        <x:v>22</x:v>
      </x:c>
      <x:c r="B23" s="10" t="str">
        <x:v>Franța</x:v>
      </x:c>
      <x:c r="C23" s="10" t="str">
        <x:v>Ligue 1</x:v>
      </x:c>
      <x:c r="D23" s="10" t="str">
        <x:v>Lorient – Troyes</x:v>
      </x:c>
      <x:c r="E23" s="17" t="n">
        <x:v>1.9</x:v>
      </x:c>
      <x:c r="F23" s="17" t="n">
        <x:v>3.63</x:v>
      </x:c>
      <x:c r="G23" s="17" t="n">
        <x:v>4.41</x:v>
      </x:c>
      <x:c r="H23" s="17" t="n">
        <x:v>1.44766824899376</x:v>
      </x:c>
      <x:c r="I23" s="17" t="n">
        <x:v>0.848793765523356</x:v>
      </x:c>
      <x:c r="J23" s="17" t="n">
        <x:v>2.296462014517116</x:v>
      </x:c>
      <x:c r="K23" s="29" t="n">
        <x:v>0.916662338144326</x:v>
      </x:c>
      <x:c r="L23" s="17" t="n">
        <x:v>1.09091424223273</x:v>
      </x:c>
      <x:c r="M23" s="29" t="n">
        <x:v>0.5117039537403746</x:v>
      </x:c>
      <x:c r="N23" s="10" t="str">
        <x:v>Scăzut</x:v>
      </x:c>
      <x:c r="O23" s="35" t="n">
        <x:v>62</x:v>
      </x:c>
      <x:c r="P23" s="10" t="str">
        <x:v>PASS</x:v>
      </x:c>
      <x:c r="Q23" s="10" t="str">
        <x:v>DA – FEZABIL</x:v>
      </x:c>
      <x:c r="R23" s="10" t="str">
        <x:v>λ total 2.30 ≤ 2,70; P(U4,5) 91.7%; estimare predominant din piață</x:v>
      </x:c>
      <x:c r="S23" s="10" t="str">
        <x:v>Proxy piață 1X2 (Poisson)</x:v>
      </x:c>
      <x:c r="T23" s="17"/>
      <x:c r="U23" s="29" t="str">
        <x:f>IF(T23="","",K23*T23-1)</x:f>
      </x:c>
      <x:c r="V23" s="10" t="str">
        <x:f>IF(T23="","COTĂ NECOMPLETATĂ",IF(U23&gt;=0.04,"VALUE ≥4%",IF(U23&gt;0,"VALUE MIC","FĂRĂ VALUE")))</x:f>
        <x:v>COTĂ NECOMPLETATĂ</x:v>
      </x:c>
    </x:row>
    <x:row r="24" ht="28.5" customHeight="1">
      <x:c r="A24" s="10" t="n">
        <x:v>23</x:v>
      </x:c>
      <x:c r="B24" s="10" t="str">
        <x:v>Franța</x:v>
      </x:c>
      <x:c r="C24" s="10" t="str">
        <x:v>Ligue 1</x:v>
      </x:c>
      <x:c r="D24" s="10" t="str">
        <x:v>Lyon – Le Havre</x:v>
      </x:c>
      <x:c r="E24" s="17" t="n">
        <x:v>1.5</x:v>
      </x:c>
      <x:c r="F24" s="17" t="n">
        <x:v>4.71</x:v>
      </x:c>
      <x:c r="G24" s="17" t="n">
        <x:v>6.61</x:v>
      </x:c>
      <x:c r="H24" s="17" t="n">
        <x:v>1.9981830388546697</x:v>
      </x:c>
      <x:c r="I24" s="17" t="n">
        <x:v>0.8281208919420963</x:v>
      </x:c>
      <x:c r="J24" s="17" t="n">
        <x:v>2.826303930796766</x:v>
      </x:c>
      <x:c r="K24" s="29" t="n">
        <x:v>0.8435565835175364</x:v>
      </x:c>
      <x:c r="L24" s="17" t="n">
        <x:v>1.1854569326341005</x:v>
      </x:c>
      <x:c r="M24" s="29" t="n">
        <x:v>0.6470815640646727</x:v>
      </x:c>
      <x:c r="N24" s="10" t="str">
        <x:v>Moderat</x:v>
      </x:c>
      <x:c r="O24" s="35" t="n">
        <x:v>62</x:v>
      </x:c>
      <x:c r="P24" s="10" t="str">
        <x:v>FAIL</x:v>
      </x:c>
      <x:c r="Q24" s="10" t="str">
        <x:v>DA – PRUDENT</x:v>
      </x:c>
      <x:c r="R24" s="10" t="str">
        <x:v>λ total 2.83 &gt; 2,70; P(U4,5) 84.4%; favorită clară; estimare predominant din piață</x:v>
      </x:c>
      <x:c r="S24" s="10" t="str">
        <x:v>Proxy piață 1X2 (Poisson)</x:v>
      </x:c>
      <x:c r="T24" s="17"/>
      <x:c r="U24" s="29" t="str">
        <x:f>IF(T24="","",K24*T24-1)</x:f>
      </x:c>
      <x:c r="V24" s="10" t="str">
        <x:f>IF(T24="","COTĂ NECOMPLETATĂ",IF(U24&gt;=0.04,"VALUE ≥4%",IF(U24&gt;0,"VALUE MIC","FĂRĂ VALUE")))</x:f>
        <x:v>COTĂ NECOMPLETATĂ</x:v>
      </x:c>
    </x:row>
    <x:row r="25" ht="28.5" customHeight="1">
      <x:c r="A25" s="10" t="n">
        <x:v>24</x:v>
      </x:c>
      <x:c r="B25" s="10" t="str">
        <x:v>Franța</x:v>
      </x:c>
      <x:c r="C25" s="10" t="str">
        <x:v>Ligue 2</x:v>
      </x:c>
      <x:c r="D25" s="10" t="str">
        <x:v>Annecy – Metz</x:v>
      </x:c>
      <x:c r="E25" s="17" t="n">
        <x:v>2.6</x:v>
      </x:c>
      <x:c r="F25" s="17" t="n">
        <x:v>3.2</x:v>
      </x:c>
      <x:c r="G25" s="17" t="n">
        <x:v>2.75</x:v>
      </x:c>
      <x:c r="H25" s="17" t="n">
        <x:v>1.0986110560088873</x:v>
      </x:c>
      <x:c r="I25" s="17" t="n">
        <x:v>1.0596691200846282</x:v>
      </x:c>
      <x:c r="J25" s="17" t="n">
        <x:v>2.1582801760935153</x:v>
      </x:c>
      <x:c r="K25" s="29" t="n">
        <x:v>0.9319385394610106</x:v>
      </x:c>
      <x:c r="L25" s="17" t="n">
        <x:v>1.073032134263224</x:v>
      </x:c>
      <x:c r="M25" s="29" t="n">
        <x:v>0.36258755665430564</x:v>
      </x:c>
      <x:c r="N25" s="10" t="str">
        <x:v>Scăzut</x:v>
      </x:c>
      <x:c r="O25" s="35" t="n">
        <x:v>62</x:v>
      </x:c>
      <x:c r="P25" s="10" t="str">
        <x:v>PASS</x:v>
      </x:c>
      <x:c r="Q25" s="10" t="str">
        <x:v>DA – FEZABIL</x:v>
      </x:c>
      <x:c r="R25" s="10" t="str">
        <x:v>λ total 2.16 ≤ 2,70; P(U4,5) 93.2%; estimare predominant din piață</x:v>
      </x:c>
      <x:c r="S25" s="10" t="str">
        <x:v>Proxy piață 1X2 (Poisson)</x:v>
      </x:c>
      <x:c r="T25" s="17"/>
      <x:c r="U25" s="29" t="str">
        <x:f>IF(T25="","",K25*T25-1)</x:f>
      </x:c>
      <x:c r="V25" s="10" t="str">
        <x:f>IF(T25="","COTĂ NECOMPLETATĂ",IF(U25&gt;=0.04,"VALUE ≥4%",IF(U25&gt;0,"VALUE MIC","FĂRĂ VALUE")))</x:f>
        <x:v>COTĂ NECOMPLETATĂ</x:v>
      </x:c>
    </x:row>
    <x:row r="26" ht="28.5" customHeight="1">
      <x:c r="A26" s="14" t="n">
        <x:v>25</x:v>
      </x:c>
      <x:c r="B26" s="14" t="str">
        <x:v>Franța</x:v>
      </x:c>
      <x:c r="C26" s="14" t="str">
        <x:v>Ligue 2</x:v>
      </x:c>
      <x:c r="D26" s="14" t="str">
        <x:v>Red Star – Reims</x:v>
      </x:c>
      <x:c r="E26" s="20" t="n">
        <x:v>2.9</x:v>
      </x:c>
      <x:c r="F26" s="20" t="n">
        <x:v>3.2</x:v>
      </x:c>
      <x:c r="G26" s="20" t="n">
        <x:v>2.5</x:v>
      </x:c>
      <x:c r="H26" s="20" t="n">
        <x:v>1.019566342959043</x:v>
      </x:c>
      <x:c r="I26" s="20" t="n">
        <x:v>1.1221048793090123</x:v>
      </x:c>
      <x:c r="J26" s="20" t="n">
        <x:v>2.141671222268055</x:v>
      </x:c>
      <x:c r="K26" s="32" t="n">
        <x:v>0.9336609712604852</x:v>
      </x:c>
      <x:c r="L26" s="20" t="n">
        <x:v>1.071052588446483</x:v>
      </x:c>
      <x:c r="M26" s="32" t="n">
        <x:v>0.3783122706889523</x:v>
      </x:c>
      <x:c r="N26" s="14" t="str">
        <x:v>Scăzut</x:v>
      </x:c>
      <x:c r="O26" s="38" t="n">
        <x:v>62</x:v>
      </x:c>
      <x:c r="P26" s="14" t="str">
        <x:v>PASS</x:v>
      </x:c>
      <x:c r="Q26" s="14" t="str">
        <x:v>DA – FEZABIL</x:v>
      </x:c>
      <x:c r="R26" s="14" t="str">
        <x:v>λ total 2.14 ≤ 2,70; P(U4,5) 93.4%; estimare predominant din piață</x:v>
      </x:c>
      <x:c r="S26" s="14" t="str">
        <x:v>Proxy piață 1X2 (Poisson)</x:v>
      </x:c>
      <x:c r="T26" s="20"/>
      <x:c r="U26" s="32" t="str">
        <x:f>IF(T26="","",K26*T26-1)</x:f>
      </x:c>
      <x:c r="V26" s="14" t="str">
        <x:f>IF(T26="","COTĂ NECOMPLETATĂ",IF(U26&gt;=0.04,"VALUE ≥4%",IF(U26&gt;0,"VALUE MIC","FĂRĂ VALUE")))</x:f>
        <x:v>COTĂ NECOMPLETATĂ</x:v>
      </x:c>
    </x:row>
    <x:row r="27" ht="28.5" customHeight="1">
      <x:c r="A27" s="10" t="n">
        <x:v>26</x:v>
      </x:c>
      <x:c r="B27" s="10" t="str">
        <x:v>Franța</x:v>
      </x:c>
      <x:c r="C27" s="10" t="str">
        <x:v>Ligue 2</x:v>
      </x:c>
      <x:c r="D27" s="10" t="str">
        <x:v>Guingamp – Nantes</x:v>
      </x:c>
      <x:c r="E27" s="17" t="n">
        <x:v>2.95</x:v>
      </x:c>
      <x:c r="F27" s="17" t="n">
        <x:v>3.33</x:v>
      </x:c>
      <x:c r="G27" s="17" t="n">
        <x:v>2.4</x:v>
      </x:c>
      <x:c r="H27" s="17" t="n">
        <x:v>1.0643887781914452</x:v>
      </x:c>
      <x:c r="I27" s="17" t="n">
        <x:v>1.212826991814633</x:v>
      </x:c>
      <x:c r="J27" s="17" t="n">
        <x:v>2.2772157700060784</x:v>
      </x:c>
      <x:c r="K27" s="29" t="n">
        <x:v>0.9188903328719618</x:v>
      </x:c>
      <x:c r="L27" s="17" t="n">
        <x:v>1.0882691483700047</x:v>
      </x:c>
      <x:c r="M27" s="29" t="n">
        <x:v>0.39458938362354645</x:v>
      </x:c>
      <x:c r="N27" s="10" t="str">
        <x:v>Scăzut</x:v>
      </x:c>
      <x:c r="O27" s="35" t="n">
        <x:v>62</x:v>
      </x:c>
      <x:c r="P27" s="10" t="str">
        <x:v>PASS</x:v>
      </x:c>
      <x:c r="Q27" s="10" t="str">
        <x:v>DA – FEZABIL</x:v>
      </x:c>
      <x:c r="R27" s="10" t="str">
        <x:v>λ total 2.28 ≤ 2,70; P(U4,5) 91.9%; estimare predominant din piață</x:v>
      </x:c>
      <x:c r="S27" s="10" t="str">
        <x:v>Proxy piață 1X2 (Poisson)</x:v>
      </x:c>
      <x:c r="T27" s="17"/>
      <x:c r="U27" s="29" t="str">
        <x:f>IF(T27="","",K27*T27-1)</x:f>
      </x:c>
      <x:c r="V27" s="10" t="str">
        <x:f>IF(T27="","COTĂ NECOMPLETATĂ",IF(U27&gt;=0.04,"VALUE ≥4%",IF(U27&gt;0,"VALUE MIC","FĂRĂ VALUE")))</x:f>
        <x:v>COTĂ NECOMPLETATĂ</x:v>
      </x:c>
    </x:row>
    <x:row r="28" ht="28.5" customHeight="1">
      <x:c r="A28" s="10" t="n">
        <x:v>27</x:v>
      </x:c>
      <x:c r="B28" s="10" t="str">
        <x:v>Austria</x:v>
      </x:c>
      <x:c r="C28" s="10" t="str">
        <x:v>Bundesliga</x:v>
      </x:c>
      <x:c r="D28" s="10" t="str">
        <x:v>Grazer AK – Wolfsberger AC</x:v>
      </x:c>
      <x:c r="E28" s="17" t="n">
        <x:v>2.95</x:v>
      </x:c>
      <x:c r="F28" s="17" t="n">
        <x:v>3.5</x:v>
      </x:c>
      <x:c r="G28" s="17" t="n">
        <x:v>2.3</x:v>
      </x:c>
      <x:c r="H28" s="17" t="n">
        <x:v>1.4426003689108913</x:v>
      </x:c>
      <x:c r="I28" s="17" t="n">
        <x:v>1.2063695557702665</x:v>
      </x:c>
      <x:c r="J28" s="17" t="n">
        <x:v>2.6489699246811576</x:v>
      </x:c>
      <x:c r="K28" s="29" t="n">
        <x:v>0.8704076124272752</x:v>
      </x:c>
      <x:c r="L28" s="17" t="n">
        <x:v>1.1488870107780136</x:v>
      </x:c>
      <x:c r="M28" s="29" t="n">
        <x:v>0.4103736089030207</x:v>
      </x:c>
      <x:c r="N28" s="10" t="str">
        <x:v>Scăzut</x:v>
      </x:c>
      <x:c r="O28" s="35" t="n">
        <x:v>76</x:v>
      </x:c>
      <x:c r="P28" s="10" t="str">
        <x:v>PASS</x:v>
      </x:c>
      <x:c r="Q28" s="10" t="str">
        <x:v>DA – FEZABIL</x:v>
      </x:c>
      <x:c r="R28" s="10" t="str">
        <x:v>λ total 2.65 ≤ 2,70; P(U4,5) 87.0%</x:v>
      </x:c>
      <x:c r="S28" s="10" t="str">
        <x:v>CompactStats + piață 1X2</x:v>
      </x:c>
      <x:c r="T28" s="17"/>
      <x:c r="U28" s="29" t="str">
        <x:f>IF(T28="","",K28*T28-1)</x:f>
      </x:c>
      <x:c r="V28" s="10" t="str">
        <x:f>IF(T28="","COTĂ NECOMPLETATĂ",IF(U28&gt;=0.04,"VALUE ≥4%",IF(U28&gt;0,"VALUE MIC","FĂRĂ VALUE")))</x:f>
        <x:v>COTĂ NECOMPLETATĂ</x:v>
      </x:c>
    </x:row>
    <x:row r="29" ht="28.5" customHeight="1">
      <x:c r="A29" s="10" t="n">
        <x:v>28</x:v>
      </x:c>
      <x:c r="B29" s="10" t="str">
        <x:v>Austria</x:v>
      </x:c>
      <x:c r="C29" s="10" t="str">
        <x:v>Bundesliga</x:v>
      </x:c>
      <x:c r="D29" s="10" t="str">
        <x:v>LASK – Altach</x:v>
      </x:c>
      <x:c r="E29" s="17" t="n">
        <x:v>1.4</x:v>
      </x:c>
      <x:c r="F29" s="17" t="n">
        <x:v>4.75</x:v>
      </x:c>
      <x:c r="G29" s="17" t="n">
        <x:v>7.4</x:v>
      </x:c>
      <x:c r="H29" s="17" t="n">
        <x:v>1.8880421393474707</x:v>
      </x:c>
      <x:c r="I29" s="17" t="n">
        <x:v>0.7920877281911063</x:v>
      </x:c>
      <x:c r="J29" s="17" t="n">
        <x:v>2.680129867538577</x:v>
      </x:c>
      <x:c r="K29" s="29" t="n">
        <x:v>0.8658506438086517</x:v>
      </x:c>
      <x:c r="L29" s="17" t="n">
        <x:v>1.1549335987108125</x:v>
      </x:c>
      <x:c r="M29" s="29" t="n">
        <x:v>0.6738880368098159</x:v>
      </x:c>
      <x:c r="N29" s="10" t="str">
        <x:v>Moderat</x:v>
      </x:c>
      <x:c r="O29" s="35" t="n">
        <x:v>76</x:v>
      </x:c>
      <x:c r="P29" s="10" t="str">
        <x:v>PASS</x:v>
      </x:c>
      <x:c r="Q29" s="10" t="str">
        <x:v>DA – FEZABIL</x:v>
      </x:c>
      <x:c r="R29" s="10" t="str">
        <x:v>λ total 2.68 ≤ 2,70; P(U4,5) 86.6%; favorită clară</x:v>
      </x:c>
      <x:c r="S29" s="10" t="str">
        <x:v>CompactStats + piață 1X2</x:v>
      </x:c>
      <x:c r="T29" s="17"/>
      <x:c r="U29" s="29" t="str">
        <x:f>IF(T29="","",K29*T29-1)</x:f>
      </x:c>
      <x:c r="V29" s="10" t="str">
        <x:f>IF(T29="","COTĂ NECOMPLETATĂ",IF(U29&gt;=0.04,"VALUE ≥4%",IF(U29&gt;0,"VALUE MIC","FĂRĂ VALUE")))</x:f>
        <x:v>COTĂ NECOMPLETATĂ</x:v>
      </x:c>
    </x:row>
    <x:row r="30" ht="28.5" customHeight="1">
      <x:c r="A30" s="10" t="n">
        <x:v>29</x:v>
      </x:c>
      <x:c r="B30" s="10" t="str">
        <x:v>Belgia</x:v>
      </x:c>
      <x:c r="C30" s="10" t="str">
        <x:v>Pro League</x:v>
      </x:c>
      <x:c r="D30" s="10" t="str">
        <x:v>RAAL La Louvière – Mechelen</x:v>
      </x:c>
      <x:c r="E30" s="17" t="n">
        <x:v>2.43</x:v>
      </x:c>
      <x:c r="F30" s="17" t="n">
        <x:v>3.28</x:v>
      </x:c>
      <x:c r="G30" s="17" t="n">
        <x:v>3.09</x:v>
      </x:c>
      <x:c r="H30" s="17" t="n">
        <x:v>1.1635596680078164</x:v>
      </x:c>
      <x:c r="I30" s="17" t="n">
        <x:v>0.9967342344495631</x:v>
      </x:c>
      <x:c r="J30" s="17" t="n">
        <x:v>2.1602939024573793</x:v>
      </x:c>
      <x:c r="K30" s="29" t="n">
        <x:v>0.9317280335620164</x:v>
      </x:c>
      <x:c r="L30" s="17" t="n">
        <x:v>1.0732745650863142</x:v>
      </x:c>
      <x:c r="M30" s="29" t="n">
        <x:v>0.3956852227076282</x:v>
      </x:c>
      <x:c r="N30" s="10" t="str">
        <x:v>Scăzut</x:v>
      </x:c>
      <x:c r="O30" s="35" t="n">
        <x:v>62</x:v>
      </x:c>
      <x:c r="P30" s="10" t="str">
        <x:v>PASS</x:v>
      </x:c>
      <x:c r="Q30" s="10" t="str">
        <x:v>DA – FEZABIL</x:v>
      </x:c>
      <x:c r="R30" s="10" t="str">
        <x:v>λ total 2.16 ≤ 2,70; P(U4,5) 93.2%; estimare predominant din piață</x:v>
      </x:c>
      <x:c r="S30" s="10" t="str">
        <x:v>Proxy piață 1X2 (Poisson)</x:v>
      </x:c>
      <x:c r="T30" s="17"/>
      <x:c r="U30" s="29" t="str">
        <x:f>IF(T30="","",K30*T30-1)</x:f>
      </x:c>
      <x:c r="V30" s="10" t="str">
        <x:f>IF(T30="","COTĂ NECOMPLETATĂ",IF(U30&gt;=0.04,"VALUE ≥4%",IF(U30&gt;0,"VALUE MIC","FĂRĂ VALUE")))</x:f>
        <x:v>COTĂ NECOMPLETATĂ</x:v>
      </x:c>
    </x:row>
    <x:row r="31" ht="28.5" customHeight="1">
      <x:c r="A31" s="10" t="n">
        <x:v>30</x:v>
      </x:c>
      <x:c r="B31" s="10" t="str">
        <x:v>Belgia</x:v>
      </x:c>
      <x:c r="C31" s="10" t="str">
        <x:v>Pro League</x:v>
      </x:c>
      <x:c r="D31" s="10" t="str">
        <x:v>Kortrijk – Charleroi</x:v>
      </x:c>
      <x:c r="E31" s="17" t="n">
        <x:v>3.78</x:v>
      </x:c>
      <x:c r="F31" s="17" t="n">
        <x:v>3.58</x:v>
      </x:c>
      <x:c r="G31" s="17" t="n">
        <x:v>2.02</x:v>
      </x:c>
      <x:c r="H31" s="17" t="n">
        <x:v>0.9596145318812965</x:v>
      </x:c>
      <x:c r="I31" s="17" t="n">
        <x:v>1.4195951679106047</x:v>
      </x:c>
      <x:c r="J31" s="17" t="n">
        <x:v>2.3792096997919012</x:v>
      </x:c>
      <x:c r="K31" s="29" t="n">
        <x:v>0.9067205748324936</x:v>
      </x:c>
      <x:c r="L31" s="17" t="n">
        <x:v>1.1028756022049446</x:v>
      </x:c>
      <x:c r="M31" s="29" t="n">
        <x:v>0.4764996690094227</x:v>
      </x:c>
      <x:c r="N31" s="10" t="str">
        <x:v>Scăzut</x:v>
      </x:c>
      <x:c r="O31" s="35" t="n">
        <x:v>62</x:v>
      </x:c>
      <x:c r="P31" s="10" t="str">
        <x:v>PASS</x:v>
      </x:c>
      <x:c r="Q31" s="10" t="str">
        <x:v>DA – FEZABIL</x:v>
      </x:c>
      <x:c r="R31" s="10" t="str">
        <x:v>λ total 2.38 ≤ 2,70; P(U4,5) 90.7%; estimare predominant din piață</x:v>
      </x:c>
      <x:c r="S31" s="10" t="str">
        <x:v>Proxy piață 1X2 (Poisson)</x:v>
      </x:c>
      <x:c r="T31" s="17"/>
      <x:c r="U31" s="29" t="str">
        <x:f>IF(T31="","",K31*T31-1)</x:f>
      </x:c>
      <x:c r="V31" s="10" t="str">
        <x:f>IF(T31="","COTĂ NECOMPLETATĂ",IF(U31&gt;=0.04,"VALUE ≥4%",IF(U31&gt;0,"VALUE MIC","FĂRĂ VALUE")))</x:f>
        <x:v>COTĂ NECOMPLETATĂ</x:v>
      </x:c>
    </x:row>
    <x:row r="32" ht="28.5" customHeight="1">
      <x:c r="A32" s="10" t="n">
        <x:v>31</x:v>
      </x:c>
      <x:c r="B32" s="10" t="str">
        <x:v>Belgia</x:v>
      </x:c>
      <x:c r="C32" s="10" t="str">
        <x:v>Pro League</x:v>
      </x:c>
      <x:c r="D32" s="10" t="str">
        <x:v>Cercle Brugge – Lommel</x:v>
      </x:c>
      <x:c r="E32" s="17" t="n">
        <x:v>1.55</x:v>
      </x:c>
      <x:c r="F32" s="17" t="n">
        <x:v>4.68</x:v>
      </x:c>
      <x:c r="G32" s="17" t="n">
        <x:v>5.49</x:v>
      </x:c>
      <x:c r="H32" s="17" t="n">
        <x:v>2.071353517741827</x:v>
      </x:c>
      <x:c r="I32" s="17" t="n">
        <x:v>1.0034995030624583</x:v>
      </x:c>
      <x:c r="J32" s="17" t="n">
        <x:v>3.0748530208042855</x:v>
      </x:c>
      <x:c r="K32" s="29" t="n">
        <x:v>0.8025326156020338</x:v>
      </x:c>
      <x:c r="L32" s="17" t="n">
        <x:v>1.2460552762080985</x:v>
      </x:c>
      <x:c r="M32" s="29" t="n">
        <x:v>0.6197598940581378</x:v>
      </x:c>
      <x:c r="N32" s="10" t="str">
        <x:v>Scăzut</x:v>
      </x:c>
      <x:c r="O32" s="35" t="n">
        <x:v>62</x:v>
      </x:c>
      <x:c r="P32" s="10" t="str">
        <x:v>FAIL</x:v>
      </x:c>
      <x:c r="Q32" s="10" t="str">
        <x:v>DA – PRUDENT</x:v>
      </x:c>
      <x:c r="R32" s="10" t="str">
        <x:v>λ total 3.07 &gt; 2,70; P(U4,5) 80.3%; estimare predominant din piață</x:v>
      </x:c>
      <x:c r="S32" s="10" t="str">
        <x:v>Proxy piață 1X2 (Poisson)</x:v>
      </x:c>
      <x:c r="T32" s="17"/>
      <x:c r="U32" s="29" t="str">
        <x:f>IF(T32="","",K32*T32-1)</x:f>
      </x:c>
      <x:c r="V32" s="10" t="str">
        <x:f>IF(T32="","COTĂ NECOMPLETATĂ",IF(U32&gt;=0.04,"VALUE ≥4%",IF(U32&gt;0,"VALUE MIC","FĂRĂ VALUE")))</x:f>
        <x:v>COTĂ NECOMPLETATĂ</x:v>
      </x:c>
    </x:row>
    <x:row r="33" ht="28.5" customHeight="1">
      <x:c r="A33" s="10" t="n">
        <x:v>32</x:v>
      </x:c>
      <x:c r="B33" s="10" t="str">
        <x:v>Belgia</x:v>
      </x:c>
      <x:c r="C33" s="10" t="str">
        <x:v>Pro League</x:v>
      </x:c>
      <x:c r="D33" s="10" t="str">
        <x:v>OH Leuven – Standard Liège</x:v>
      </x:c>
      <x:c r="E33" s="17" t="n">
        <x:v>2.96</x:v>
      </x:c>
      <x:c r="F33" s="17" t="n">
        <x:v>3.52</x:v>
      </x:c>
      <x:c r="G33" s="17" t="n">
        <x:v>2.39</x:v>
      </x:c>
      <x:c r="H33" s="17" t="n">
        <x:v>1.1377590621693041</x:v>
      </x:c>
      <x:c r="I33" s="17" t="n">
        <x:v>1.298628538380038</x:v>
      </x:c>
      <x:c r="J33" s="17" t="n">
        <x:v>2.436387600549342</x:v>
      </x:c>
      <x:c r="K33" s="29" t="n">
        <x:v>0.899513002377212</x:v>
      </x:c>
      <x:c r="L33" s="17" t="n">
        <x:v>1.1117126682518466</x:v>
      </x:c>
      <x:c r="M33" s="29" t="n">
        <x:v>0.40218633233486706</x:v>
      </x:c>
      <x:c r="N33" s="10" t="str">
        <x:v>Scăzut</x:v>
      </x:c>
      <x:c r="O33" s="35" t="n">
        <x:v>62</x:v>
      </x:c>
      <x:c r="P33" s="10" t="str">
        <x:v>PASS</x:v>
      </x:c>
      <x:c r="Q33" s="10" t="str">
        <x:v>DA – FEZABIL</x:v>
      </x:c>
      <x:c r="R33" s="10" t="str">
        <x:v>λ total 2.44 ≤ 2,70; P(U4,5) 90.0%; estimare predominant din piață</x:v>
      </x:c>
      <x:c r="S33" s="10" t="str">
        <x:v>Proxy piață 1X2 (Poisson)</x:v>
      </x:c>
      <x:c r="T33" s="17"/>
      <x:c r="U33" s="29" t="str">
        <x:f>IF(T33="","",K33*T33-1)</x:f>
      </x:c>
      <x:c r="V33" s="10" t="str">
        <x:f>IF(T33="","COTĂ NECOMPLETATĂ",IF(U33&gt;=0.04,"VALUE ≥4%",IF(U33&gt;0,"VALUE MIC","FĂRĂ VALUE")))</x:f>
        <x:v>COTĂ NECOMPLETATĂ</x:v>
      </x:c>
    </x:row>
    <x:row r="34" ht="28.5" customHeight="1">
      <x:c r="A34" s="10" t="n">
        <x:v>33</x:v>
      </x:c>
      <x:c r="B34" s="10" t="str">
        <x:v>Germania</x:v>
      </x:c>
      <x:c r="C34" s="10" t="str">
        <x:v>Bundesliga</x:v>
      </x:c>
      <x:c r="D34" s="10" t="str">
        <x:v>Elversberg – Bayer Leverkusen</x:v>
      </x:c>
      <x:c r="E34" s="17" t="n">
        <x:v>5.21</x:v>
      </x:c>
      <x:c r="F34" s="17" t="n">
        <x:v>4.72</x:v>
      </x:c>
      <x:c r="G34" s="17" t="n">
        <x:v>1.62</x:v>
      </x:c>
      <x:c r="H34" s="17" t="n">
        <x:v>1.0632031863926026</x:v>
      </x:c>
      <x:c r="I34" s="17" t="n">
        <x:v>2.0655678022155985</x:v>
      </x:c>
      <x:c r="J34" s="17" t="n">
        <x:v>3.128770988608201</x:v>
      </x:c>
      <x:c r="K34" s="29" t="n">
        <x:v>0.7931814259285671</x:v>
      </x:c>
      <x:c r="L34" s="17" t="n">
        <x:v>1.2607456091515419</x:v>
      </x:c>
      <x:c r="M34" s="29" t="n">
        <x:v>0.6045361351892187</x:v>
      </x:c>
      <x:c r="N34" s="10" t="str">
        <x:v>Scăzut</x:v>
      </x:c>
      <x:c r="O34" s="35" t="n">
        <x:v>62</x:v>
      </x:c>
      <x:c r="P34" s="10" t="str">
        <x:v>FAIL</x:v>
      </x:c>
      <x:c r="Q34" s="10" t="str">
        <x:v>NU – EVITĂ</x:v>
      </x:c>
      <x:c r="R34" s="10" t="str">
        <x:v>λ total 3.13 &gt; 2,70; P(U4,5) 79.3%; estimare predominant din piață</x:v>
      </x:c>
      <x:c r="S34" s="10" t="str">
        <x:v>Proxy piață 1X2 (Poisson)</x:v>
      </x:c>
      <x:c r="T34" s="17"/>
      <x:c r="U34" s="29" t="str">
        <x:f>IF(T34="","",K34*T34-1)</x:f>
      </x:c>
      <x:c r="V34" s="10" t="str">
        <x:f>IF(T34="","COTĂ NECOMPLETATĂ",IF(U34&gt;=0.04,"VALUE ≥4%",IF(U34&gt;0,"VALUE MIC","FĂRĂ VALUE")))</x:f>
        <x:v>COTĂ NECOMPLETATĂ</x:v>
      </x:c>
    </x:row>
    <x:row r="35" ht="28.5" customHeight="1">
      <x:c r="A35" s="10" t="n">
        <x:v>34</x:v>
      </x:c>
      <x:c r="B35" s="10" t="str">
        <x:v>Germania</x:v>
      </x:c>
      <x:c r="C35" s="10" t="str">
        <x:v>Bundesliga</x:v>
      </x:c>
      <x:c r="D35" s="10" t="str">
        <x:v>Köln – Hoffenheim</x:v>
      </x:c>
      <x:c r="E35" s="17" t="n">
        <x:v>2.96</x:v>
      </x:c>
      <x:c r="F35" s="17" t="n">
        <x:v>3.62</x:v>
      </x:c>
      <x:c r="G35" s="17" t="n">
        <x:v>2.275</x:v>
      </x:c>
      <x:c r="H35" s="17" t="n">
        <x:v>1.1971950627853345</x:v>
      </x:c>
      <x:c r="I35" s="17" t="n">
        <x:v>1.4036081693219173</x:v>
      </x:c>
      <x:c r="J35" s="17" t="n">
        <x:v>2.6008032321072516</x:v>
      </x:c>
      <x:c r="K35" s="29" t="n">
        <x:v>0.8773098697493662</x:v>
      </x:c>
      <x:c r="L35" s="17" t="n">
        <x:v>1.139848113512828</x:v>
      </x:c>
      <x:c r="M35" s="29" t="n">
        <x:v>0.41718221353568463</x:v>
      </x:c>
      <x:c r="N35" s="10" t="str">
        <x:v>Scăzut</x:v>
      </x:c>
      <x:c r="O35" s="35" t="n">
        <x:v>62</x:v>
      </x:c>
      <x:c r="P35" s="10" t="str">
        <x:v>PASS</x:v>
      </x:c>
      <x:c r="Q35" s="10" t="str">
        <x:v>DA – FEZABIL</x:v>
      </x:c>
      <x:c r="R35" s="10" t="str">
        <x:v>λ total 2.60 ≤ 2,70; P(U4,5) 87.7%; estimare predominant din piață</x:v>
      </x:c>
      <x:c r="S35" s="10" t="str">
        <x:v>Proxy piață 1X2 (Poisson)</x:v>
      </x:c>
      <x:c r="T35" s="17"/>
      <x:c r="U35" s="29" t="str">
        <x:f>IF(T35="","",K35*T35-1)</x:f>
      </x:c>
      <x:c r="V35" s="10" t="str">
        <x:f>IF(T35="","COTĂ NECOMPLETATĂ",IF(U35&gt;=0.04,"VALUE ≥4%",IF(U35&gt;0,"VALUE MIC","FĂRĂ VALUE")))</x:f>
        <x:v>COTĂ NECOMPLETATĂ</x:v>
      </x:c>
    </x:row>
    <x:row r="36" ht="28.5" customHeight="1">
      <x:c r="A36" s="10" t="n">
        <x:v>35</x:v>
      </x:c>
      <x:c r="B36" s="10" t="str">
        <x:v>Germania</x:v>
      </x:c>
      <x:c r="C36" s="10" t="str">
        <x:v>Bundesliga</x:v>
      </x:c>
      <x:c r="D36" s="10" t="str">
        <x:v>Mainz – Paderborn</x:v>
      </x:c>
      <x:c r="E36" s="17" t="n">
        <x:v>1.73</x:v>
      </x:c>
      <x:c r="F36" s="17" t="n">
        <x:v>4.16</x:v>
      </x:c>
      <x:c r="G36" s="17" t="n">
        <x:v>4.95</x:v>
      </x:c>
      <x:c r="H36" s="17" t="n">
        <x:v>1.7402224314935852</x:v>
      </x:c>
      <x:c r="I36" s="17" t="n">
        <x:v>0.922988386617705</x:v>
      </x:c>
      <x:c r="J36" s="17" t="n">
        <x:v>2.66321081811129</x:v>
      </x:c>
      <x:c r="K36" s="29" t="n">
        <x:v>0.8683337934149241</x:v>
      </x:c>
      <x:c r="L36" s="17" t="n">
        <x:v>1.1516308677418483</x:v>
      </x:c>
      <x:c r="M36" s="29" t="n">
        <x:v>0.5664565928428188</x:v>
      </x:c>
      <x:c r="N36" s="10" t="str">
        <x:v>Scăzut</x:v>
      </x:c>
      <x:c r="O36" s="35" t="n">
        <x:v>62</x:v>
      </x:c>
      <x:c r="P36" s="10" t="str">
        <x:v>PASS</x:v>
      </x:c>
      <x:c r="Q36" s="10" t="str">
        <x:v>DA – FEZABIL</x:v>
      </x:c>
      <x:c r="R36" s="10" t="str">
        <x:v>λ total 2.66 ≤ 2,70; P(U4,5) 86.8%; estimare predominant din piață</x:v>
      </x:c>
      <x:c r="S36" s="10" t="str">
        <x:v>Proxy piață 1X2 (Poisson)</x:v>
      </x:c>
      <x:c r="T36" s="17"/>
      <x:c r="U36" s="29" t="str">
        <x:f>IF(T36="","",K36*T36-1)</x:f>
      </x:c>
      <x:c r="V36" s="10" t="str">
        <x:f>IF(T36="","COTĂ NECOMPLETATĂ",IF(U36&gt;=0.04,"VALUE ≥4%",IF(U36&gt;0,"VALUE MIC","FĂRĂ VALUE")))</x:f>
        <x:v>COTĂ NECOMPLETATĂ</x:v>
      </x:c>
    </x:row>
    <x:row r="37" ht="28.5" customHeight="1">
      <x:c r="A37" s="10" t="n">
        <x:v>36</x:v>
      </x:c>
      <x:c r="B37" s="10" t="str">
        <x:v>Germania</x:v>
      </x:c>
      <x:c r="C37" s="10" t="str">
        <x:v>Bundesliga</x:v>
      </x:c>
      <x:c r="D37" s="10" t="str">
        <x:v>RB Leipzig – M'gladbach</x:v>
      </x:c>
      <x:c r="E37" s="17" t="n">
        <x:v>1.61</x:v>
      </x:c>
      <x:c r="F37" s="17" t="n">
        <x:v>4.71</x:v>
      </x:c>
      <x:c r="G37" s="17" t="n">
        <x:v>5.37</x:v>
      </x:c>
      <x:c r="H37" s="17" t="n">
        <x:v>2.0459962786326145</x:v>
      </x:c>
      <x:c r="I37" s="17" t="n">
        <x:v>1.0262172042605464</x:v>
      </x:c>
      <x:c r="J37" s="17" t="n">
        <x:v>3.0722134828931607</x:v>
      </x:c>
      <x:c r="K37" s="29" t="n">
        <x:v>0.8029866092257149</x:v>
      </x:c>
      <x:c r="L37" s="17" t="n">
        <x:v>1.2453507798395997</x:v>
      </x:c>
      <x:c r="M37" s="29" t="n">
        <x:v>0.6091470683862577</x:v>
      </x:c>
      <x:c r="N37" s="10" t="str">
        <x:v>Scăzut</x:v>
      </x:c>
      <x:c r="O37" s="35" t="n">
        <x:v>62</x:v>
      </x:c>
      <x:c r="P37" s="10" t="str">
        <x:v>FAIL</x:v>
      </x:c>
      <x:c r="Q37" s="10" t="str">
        <x:v>DA – PRUDENT</x:v>
      </x:c>
      <x:c r="R37" s="10" t="str">
        <x:v>λ total 3.07 &gt; 2,70; P(U4,5) 80.3%; estimare predominant din piață</x:v>
      </x:c>
      <x:c r="S37" s="10" t="str">
        <x:v>Proxy piață 1X2 (Poisson)</x:v>
      </x:c>
      <x:c r="T37" s="17"/>
      <x:c r="U37" s="29" t="str">
        <x:f>IF(T37="","",K37*T37-1)</x:f>
      </x:c>
      <x:c r="V37" s="10" t="str">
        <x:f>IF(T37="","COTĂ NECOMPLETATĂ",IF(U37&gt;=0.04,"VALUE ≥4%",IF(U37&gt;0,"VALUE MIC","FĂRĂ VALUE")))</x:f>
        <x:v>COTĂ NECOMPLETATĂ</x:v>
      </x:c>
    </x:row>
    <x:row r="38" ht="28.5" customHeight="1">
      <x:c r="A38" s="10" t="n">
        <x:v>37</x:v>
      </x:c>
      <x:c r="B38" s="10" t="str">
        <x:v>Germania</x:v>
      </x:c>
      <x:c r="C38" s="10" t="str">
        <x:v>Bundesliga</x:v>
      </x:c>
      <x:c r="D38" s="10" t="str">
        <x:v>Union Berlin – Eintracht Frankfurt</x:v>
      </x:c>
      <x:c r="E38" s="17" t="n">
        <x:v>2.65</x:v>
      </x:c>
      <x:c r="F38" s="17" t="n">
        <x:v>3.7</x:v>
      </x:c>
      <x:c r="G38" s="17" t="n">
        <x:v>2.68</x:v>
      </x:c>
      <x:c r="H38" s="17" t="n">
        <x:v>1.2971559132667263</x:v>
      </x:c>
      <x:c r="I38" s="17" t="n">
        <x:v>1.2883453195794812</x:v>
      </x:c>
      <x:c r="J38" s="17" t="n">
        <x:v>2.5855012328462075</x:v>
      </x:c>
      <x:c r="K38" s="29" t="n">
        <x:v>0.879465905750901</x:v>
      </x:c>
      <x:c r="L38" s="17" t="n">
        <x:v>1.1370537430284864</x:v>
      </x:c>
      <x:c r="M38" s="29" t="n">
        <x:v>0.3696827349662603</x:v>
      </x:c>
      <x:c r="N38" s="10" t="str">
        <x:v>Scăzut</x:v>
      </x:c>
      <x:c r="O38" s="35" t="n">
        <x:v>62</x:v>
      </x:c>
      <x:c r="P38" s="10" t="str">
        <x:v>PASS</x:v>
      </x:c>
      <x:c r="Q38" s="10" t="str">
        <x:v>DA – FEZABIL</x:v>
      </x:c>
      <x:c r="R38" s="10" t="str">
        <x:v>λ total 2.59 ≤ 2,70; P(U4,5) 87.9%; estimare predominant din piață</x:v>
      </x:c>
      <x:c r="S38" s="10" t="str">
        <x:v>Proxy piață 1X2 (Poisson)</x:v>
      </x:c>
      <x:c r="T38" s="17"/>
      <x:c r="U38" s="29" t="str">
        <x:f>IF(T38="","",K38*T38-1)</x:f>
      </x:c>
      <x:c r="V38" s="10" t="str">
        <x:f>IF(T38="","COTĂ NECOMPLETATĂ",IF(U38&gt;=0.04,"VALUE ≥4%",IF(U38&gt;0,"VALUE MIC","FĂRĂ VALUE")))</x:f>
        <x:v>COTĂ NECOMPLETATĂ</x:v>
      </x:c>
    </x:row>
    <x:row r="39" ht="28.5" customHeight="1">
      <x:c r="A39" s="10" t="n">
        <x:v>38</x:v>
      </x:c>
      <x:c r="B39" s="10" t="str">
        <x:v>Germania</x:v>
      </x:c>
      <x:c r="C39" s="10" t="str">
        <x:v>Bundesliga</x:v>
      </x:c>
      <x:c r="D39" s="10" t="str">
        <x:v>Borussia Dortmund – Hamburg</x:v>
      </x:c>
      <x:c r="E39" s="17" t="n">
        <x:v>1.35</x:v>
      </x:c>
      <x:c r="F39" s="17" t="n">
        <x:v>6.05</x:v>
      </x:c>
      <x:c r="G39" s="17" t="n">
        <x:v>8.82</x:v>
      </x:c>
      <x:c r="H39" s="17" t="n">
        <x:v>2.4910600048719305</x:v>
      </x:c>
      <x:c r="I39" s="17" t="n">
        <x:v>0.8740559108941561</x:v>
      </x:c>
      <x:c r="J39" s="17" t="n">
        <x:v>3.3651159157660864</x:v>
      </x:c>
      <x:c r="K39" s="29" t="n">
        <x:v>0.7506436011425054</x:v>
      </x:c>
      <x:c r="L39" s="17" t="n">
        <x:v>1.3321901345431648</x:v>
      </x:c>
      <x:c r="M39" s="29" t="n">
        <x:v>0.7266376616214228</x:v>
      </x:c>
      <x:c r="N39" s="10" t="str">
        <x:v>Ridicat</x:v>
      </x:c>
      <x:c r="O39" s="35" t="n">
        <x:v>62</x:v>
      </x:c>
      <x:c r="P39" s="10" t="str">
        <x:v>FAIL</x:v>
      </x:c>
      <x:c r="Q39" s="10" t="str">
        <x:v>NU – EVITĂ</x:v>
      </x:c>
      <x:c r="R39" s="10" t="str">
        <x:v>λ total 3.37 &gt; 2,70; P(U4,5) 75.1%; risc de scor unilateral mare; estimare predominant din piață</x:v>
      </x:c>
      <x:c r="S39" s="10" t="str">
        <x:v>Proxy piață 1X2 (Poisson)</x:v>
      </x:c>
      <x:c r="T39" s="17"/>
      <x:c r="U39" s="29" t="str">
        <x:f>IF(T39="","",K39*T39-1)</x:f>
      </x:c>
      <x:c r="V39" s="10" t="str">
        <x:f>IF(T39="","COTĂ NECOMPLETATĂ",IF(U39&gt;=0.04,"VALUE ≥4%",IF(U39&gt;0,"VALUE MIC","FĂRĂ VALUE")))</x:f>
        <x:v>COTĂ NECOMPLETATĂ</x:v>
      </x:c>
    </x:row>
    <x:row r="40" ht="28.5" customHeight="1">
      <x:c r="A40" s="10" t="n">
        <x:v>39</x:v>
      </x:c>
      <x:c r="B40" s="10" t="str">
        <x:v>Italia</x:v>
      </x:c>
      <x:c r="C40" s="10" t="str">
        <x:v>Serie A</x:v>
      </x:c>
      <x:c r="D40" s="10" t="str">
        <x:v>Fiorentina – Frosinone</x:v>
      </x:c>
      <x:c r="E40" s="17" t="n">
        <x:v>1.67</x:v>
      </x:c>
      <x:c r="F40" s="17" t="n">
        <x:v>4.22</x:v>
      </x:c>
      <x:c r="G40" s="17" t="n">
        <x:v>5.42</x:v>
      </x:c>
      <x:c r="H40" s="17" t="n">
        <x:v>1.7616400799818737</x:v>
      </x:c>
      <x:c r="I40" s="17" t="n">
        <x:v>0.8614344220446027</x:v>
      </x:c>
      <x:c r="J40" s="17" t="n">
        <x:v>2.6230745020264763</x:v>
      </x:c>
      <x:c r="K40" s="29" t="n">
        <x:v>0.8741400657653948</x:v>
      </x:c>
      <x:c r="L40" s="17" t="n">
        <x:v>1.1439814271919941</x:v>
      </x:c>
      <x:c r="M40" s="29" t="n">
        <x:v>0.5869052017900399</x:v>
      </x:c>
      <x:c r="N40" s="10" t="str">
        <x:v>Scăzut</x:v>
      </x:c>
      <x:c r="O40" s="35" t="n">
        <x:v>62</x:v>
      </x:c>
      <x:c r="P40" s="10" t="str">
        <x:v>PASS</x:v>
      </x:c>
      <x:c r="Q40" s="10" t="str">
        <x:v>DA – FEZABIL</x:v>
      </x:c>
      <x:c r="R40" s="10" t="str">
        <x:v>λ total 2.62 ≤ 2,70; P(U4,5) 87.4%; estimare predominant din piață</x:v>
      </x:c>
      <x:c r="S40" s="10" t="str">
        <x:v>Proxy piață 1X2 (Poisson)</x:v>
      </x:c>
      <x:c r="T40" s="17"/>
      <x:c r="U40" s="29" t="str">
        <x:f>IF(T40="","",K40*T40-1)</x:f>
      </x:c>
      <x:c r="V40" s="10" t="str">
        <x:f>IF(T40="","COTĂ NECOMPLETATĂ",IF(U40&gt;=0.04,"VALUE ≥4%",IF(U40&gt;0,"VALUE MIC","FĂRĂ VALUE")))</x:f>
        <x:v>COTĂ NECOMPLETATĂ</x:v>
      </x:c>
    </x:row>
    <x:row r="41" ht="28.5" customHeight="1">
      <x:c r="A41" s="14" t="n">
        <x:v>40</x:v>
      </x:c>
      <x:c r="B41" s="14" t="str">
        <x:v>Italia</x:v>
      </x:c>
      <x:c r="C41" s="14" t="str">
        <x:v>Serie A</x:v>
      </x:c>
      <x:c r="D41" s="14" t="str">
        <x:v>Monza – Udinese</x:v>
      </x:c>
      <x:c r="E41" s="20" t="n">
        <x:v>3.25</x:v>
      </x:c>
      <x:c r="F41" s="20" t="n">
        <x:v>3.27</x:v>
      </x:c>
      <x:c r="G41" s="20" t="n">
        <x:v>2.46</x:v>
      </x:c>
      <x:c r="H41" s="20" t="n">
        <x:v>0.9441405743471667</x:v>
      </x:c>
      <x:c r="I41" s="20" t="n">
        <x:v>1.1322855019213913</x:v>
      </x:c>
      <x:c r="J41" s="20" t="n">
        <x:v>2.0764260762685582</x:v>
      </x:c>
      <x:c r="K41" s="32" t="n">
        <x:v>0.9401881847877224</x:v>
      </x:c>
      <x:c r="L41" s="20" t="n">
        <x:v>1.0636168547744322</x:v>
      </x:c>
      <x:c r="M41" s="32" t="n">
        <x:v>0.39853075183656017</x:v>
      </x:c>
      <x:c r="N41" s="14" t="str">
        <x:v>Scăzut</x:v>
      </x:c>
      <x:c r="O41" s="38" t="n">
        <x:v>62</x:v>
      </x:c>
      <x:c r="P41" s="14" t="str">
        <x:v>PASS</x:v>
      </x:c>
      <x:c r="Q41" s="14" t="str">
        <x:v>DA – FEZABIL</x:v>
      </x:c>
      <x:c r="R41" s="14" t="str">
        <x:v>λ total 2.08 ≤ 2,70; P(U4,5) 94.0%; estimare predominant din piață</x:v>
      </x:c>
      <x:c r="S41" s="14" t="str">
        <x:v>Proxy piață 1X2 (Poisson)</x:v>
      </x:c>
      <x:c r="T41" s="20"/>
      <x:c r="U41" s="32" t="str">
        <x:f>IF(T41="","",K41*T41-1)</x:f>
      </x:c>
      <x:c r="V41" s="14" t="str">
        <x:f>IF(T41="","COTĂ NECOMPLETATĂ",IF(U41&gt;=0.04,"VALUE ≥4%",IF(U41&gt;0,"VALUE MIC","FĂRĂ VALUE")))</x:f>
        <x:v>COTĂ NECOMPLETATĂ</x:v>
      </x:c>
    </x:row>
    <x:row r="42" ht="28.5" customHeight="1">
      <x:c r="A42" s="10" t="n">
        <x:v>41</x:v>
      </x:c>
      <x:c r="B42" s="10" t="str">
        <x:v>Italia</x:v>
      </x:c>
      <x:c r="C42" s="10" t="str">
        <x:v>Serie A</x:v>
      </x:c>
      <x:c r="D42" s="10" t="str">
        <x:v>Sassuolo – Torino</x:v>
      </x:c>
      <x:c r="E42" s="17" t="n">
        <x:v>2.35</x:v>
      </x:c>
      <x:c r="F42" s="17" t="n">
        <x:v>3.4</x:v>
      </x:c>
      <x:c r="G42" s="17" t="n">
        <x:v>3.34</x:v>
      </x:c>
      <x:c r="H42" s="17" t="n">
        <x:v>1.2218370067001698</x:v>
      </x:c>
      <x:c r="I42" s="17" t="n">
        <x:v>0.9754259356152453</x:v>
      </x:c>
      <x:c r="J42" s="17" t="n">
        <x:v>2.1972629423154153</x:v>
      </x:c>
      <x:c r="K42" s="29" t="n">
        <x:v>0.9277993758964505</x:v>
      </x:c>
      <x:c r="L42" s="17" t="n">
        <x:v>1.0778192203824113</x:v>
      </x:c>
      <x:c r="M42" s="29" t="n">
        <x:v>0.41757676043390335</x:v>
      </x:c>
      <x:c r="N42" s="10" t="str">
        <x:v>Scăzut</x:v>
      </x:c>
      <x:c r="O42" s="35" t="n">
        <x:v>62</x:v>
      </x:c>
      <x:c r="P42" s="10" t="str">
        <x:v>PASS</x:v>
      </x:c>
      <x:c r="Q42" s="10" t="str">
        <x:v>DA – FEZABIL</x:v>
      </x:c>
      <x:c r="R42" s="10" t="str">
        <x:v>λ total 2.20 ≤ 2,70; P(U4,5) 92.8%; estimare predominant din piață</x:v>
      </x:c>
      <x:c r="S42" s="10" t="str">
        <x:v>Proxy piață 1X2 (Poisson)</x:v>
      </x:c>
      <x:c r="T42" s="17"/>
      <x:c r="U42" s="29" t="str">
        <x:f>IF(T42="","",K42*T42-1)</x:f>
      </x:c>
      <x:c r="V42" s="10" t="str">
        <x:f>IF(T42="","COTĂ NECOMPLETATĂ",IF(U42&gt;=0.04,"VALUE ≥4%",IF(U42&gt;0,"VALUE MIC","FĂRĂ VALUE")))</x:f>
        <x:v>COTĂ NECOMPLETATĂ</x:v>
      </x:c>
    </x:row>
    <x:row r="43" ht="28.5" customHeight="1">
      <x:c r="A43" s="10" t="n">
        <x:v>42</x:v>
      </x:c>
      <x:c r="B43" s="10" t="str">
        <x:v>Italia</x:v>
      </x:c>
      <x:c r="C43" s="10" t="str">
        <x:v>Serie A</x:v>
      </x:c>
      <x:c r="D43" s="10" t="str">
        <x:v>Juventus – Parma</x:v>
      </x:c>
      <x:c r="E43" s="17" t="n">
        <x:v>1.23</x:v>
      </x:c>
      <x:c r="F43" s="17" t="n">
        <x:v>6.85</x:v>
      </x:c>
      <x:c r="G43" s="17" t="n">
        <x:v>14</x:v>
      </x:c>
      <x:c r="H43" s="17" t="n">
        <x:v>2.5425975280386766</x:v>
      </x:c>
      <x:c r="I43" s="17" t="n">
        <x:v>0.6170611880013994</x:v>
      </x:c>
      <x:c r="J43" s="17" t="n">
        <x:v>3.159658716040076</x:v>
      </x:c>
      <x:c r="K43" s="29" t="n">
        <x:v>0.7877601350820588</x:v>
      </x:c>
      <x:c r="L43" s="17" t="n">
        <x:v>1.2694219413576098</x:v>
      </x:c>
      <x:c r="M43" s="29" t="n">
        <x:v>0.7890049405366715</x:v>
      </x:c>
      <x:c r="N43" s="10" t="str">
        <x:v>Ridicat</x:v>
      </x:c>
      <x:c r="O43" s="35" t="n">
        <x:v>78</x:v>
      </x:c>
      <x:c r="P43" s="10" t="str">
        <x:v>FAIL</x:v>
      </x:c>
      <x:c r="Q43" s="10" t="str">
        <x:v>NU – EVITĂ</x:v>
      </x:c>
      <x:c r="R43" s="10" t="str">
        <x:v>λ total 3.16 &gt; 2,70; P(U4,5) 78.8%; risc de scor unilateral mare</x:v>
      </x:c>
      <x:c r="S43" s="10" t="str">
        <x:v>Proxy piață 1X2 (Poisson) + model U4.5 independent</x:v>
      </x:c>
      <x:c r="T43" s="17"/>
      <x:c r="U43" s="29" t="str">
        <x:f>IF(T43="","",K43*T43-1)</x:f>
      </x:c>
      <x:c r="V43" s="10" t="str">
        <x:f>IF(T43="","COTĂ NECOMPLETATĂ",IF(U43&gt;=0.04,"VALUE ≥4%",IF(U43&gt;0,"VALUE MIC","FĂRĂ VALUE")))</x:f>
        <x:v>COTĂ NECOMPLETATĂ</x:v>
      </x:c>
    </x:row>
    <x:row r="44" ht="28.5" customHeight="1">
      <x:c r="A44" s="14" t="n">
        <x:v>43</x:v>
      </x:c>
      <x:c r="B44" s="14" t="str">
        <x:v>Italia</x:v>
      </x:c>
      <x:c r="C44" s="14" t="str">
        <x:v>Serie B</x:v>
      </x:c>
      <x:c r="D44" s="14" t="str">
        <x:v>Sampdoria – Juve Stabia</x:v>
      </x:c>
      <x:c r="E44" s="20" t="n">
        <x:v>1.94</x:v>
      </x:c>
      <x:c r="F44" s="20" t="n">
        <x:v>3.2</x:v>
      </x:c>
      <x:c r="G44" s="20" t="n">
        <x:v>4.3</x:v>
      </x:c>
      <x:c r="H44" s="20" t="n">
        <x:v>1.2562806939674642</x:v>
      </x:c>
      <x:c r="I44" s="20" t="n">
        <x:v>0.7406205522905862</x:v>
      </x:c>
      <x:c r="J44" s="20" t="n">
        <x:v>1.9969012462580504</x:v>
      </x:c>
      <x:c r="K44" s="32" t="n">
        <x:v>0.9476261299580092</x:v>
      </x:c>
      <x:c r="L44" s="20" t="n">
        <x:v>1.0552684950174511</x:v>
      </x:c>
      <x:c r="M44" s="32" t="n">
        <x:v>0.48604733309784526</x:v>
      </x:c>
      <x:c r="N44" s="14" t="str">
        <x:v>Scăzut</x:v>
      </x:c>
      <x:c r="O44" s="38" t="n">
        <x:v>62</x:v>
      </x:c>
      <x:c r="P44" s="14" t="str">
        <x:v>PASS</x:v>
      </x:c>
      <x:c r="Q44" s="14" t="str">
        <x:v>DA – FEZABIL</x:v>
      </x:c>
      <x:c r="R44" s="14" t="str">
        <x:v>λ total 2.00 ≤ 2,70; P(U4,5) 94.8%; estimare predominant din piață</x:v>
      </x:c>
      <x:c r="S44" s="14" t="str">
        <x:v>Proxy piață 1X2 (Poisson)</x:v>
      </x:c>
      <x:c r="T44" s="20"/>
      <x:c r="U44" s="32" t="str">
        <x:f>IF(T44="","",K44*T44-1)</x:f>
      </x:c>
      <x:c r="V44" s="14" t="str">
        <x:f>IF(T44="","COTĂ NECOMPLETATĂ",IF(U44&gt;=0.04,"VALUE ≥4%",IF(U44&gt;0,"VALUE MIC","FĂRĂ VALUE")))</x:f>
        <x:v>COTĂ NECOMPLETATĂ</x:v>
      </x:c>
    </x:row>
    <x:row r="45" ht="28.5" customHeight="1">
      <x:c r="A45" s="14" t="n">
        <x:v>44</x:v>
      </x:c>
      <x:c r="B45" s="14" t="str">
        <x:v>Italia</x:v>
      </x:c>
      <x:c r="C45" s="14" t="str">
        <x:v>Serie B</x:v>
      </x:c>
      <x:c r="D45" s="14" t="str">
        <x:v>Virtus Entella – Cesena</x:v>
      </x:c>
      <x:c r="E45" s="20" t="n">
        <x:v>2.25</x:v>
      </x:c>
      <x:c r="F45" s="20" t="n">
        <x:v>3.25</x:v>
      </x:c>
      <x:c r="G45" s="20" t="n">
        <x:v>3.3</x:v>
      </x:c>
      <x:c r="H45" s="20" t="n">
        <x:v>1.2091905833934</x:v>
      </x:c>
      <x:c r="I45" s="20" t="n">
        <x:v>0.9444650527633285</x:v>
      </x:c>
      <x:c r="J45" s="20" t="n">
        <x:v>2.1536556361567287</x:v>
      </x:c>
      <x:c r="K45" s="32" t="n">
        <x:v>0.93242059984724</x:v>
      </x:c>
      <x:c r="L45" s="20" t="n">
        <x:v>1.0724773778741392</x:v>
      </x:c>
      <x:c r="M45" s="32" t="n">
        <x:v>0.4212076583210604</x:v>
      </x:c>
      <x:c r="N45" s="14" t="str">
        <x:v>Scăzut</x:v>
      </x:c>
      <x:c r="O45" s="38" t="n">
        <x:v>62</x:v>
      </x:c>
      <x:c r="P45" s="14" t="str">
        <x:v>PASS</x:v>
      </x:c>
      <x:c r="Q45" s="14" t="str">
        <x:v>DA – FEZABIL</x:v>
      </x:c>
      <x:c r="R45" s="14" t="str">
        <x:v>λ total 2.15 ≤ 2,70; P(U4,5) 93.2%; estimare predominant din piață</x:v>
      </x:c>
      <x:c r="S45" s="14" t="str">
        <x:v>Proxy piață 1X2 (Poisson)</x:v>
      </x:c>
      <x:c r="T45" s="20"/>
      <x:c r="U45" s="32" t="str">
        <x:f>IF(T45="","",K45*T45-1)</x:f>
      </x:c>
      <x:c r="V45" s="14" t="str">
        <x:f>IF(T45="","COTĂ NECOMPLETATĂ",IF(U45&gt;=0.04,"VALUE ≥4%",IF(U45&gt;0,"VALUE MIC","FĂRĂ VALUE")))</x:f>
        <x:v>COTĂ NECOMPLETATĂ</x:v>
      </x:c>
    </x:row>
    <x:row r="46" ht="28.5" customHeight="1">
      <x:c r="A46" s="14" t="n">
        <x:v>45</x:v>
      </x:c>
      <x:c r="B46" s="14" t="str">
        <x:v>Italia</x:v>
      </x:c>
      <x:c r="C46" s="14" t="str">
        <x:v>Serie B</x:v>
      </x:c>
      <x:c r="D46" s="14" t="str">
        <x:v>Ascoli – Carrarese</x:v>
      </x:c>
      <x:c r="E46" s="20" t="n">
        <x:v>1.99</x:v>
      </x:c>
      <x:c r="F46" s="20" t="n">
        <x:v>3.2</x:v>
      </x:c>
      <x:c r="G46" s="20" t="n">
        <x:v>4.1</x:v>
      </x:c>
      <x:c r="H46" s="20" t="n">
        <x:v>1.2452499731390743</x:v>
      </x:c>
      <x:c r="I46" s="20" t="n">
        <x:v>0.7721635413084352</x:v>
      </x:c>
      <x:c r="J46" s="20" t="n">
        <x:v>2.0174135144475094</x:v>
      </x:c>
      <x:c r="K46" s="32" t="n">
        <x:v>0.945762195133537</x:v>
      </x:c>
      <x:c r="L46" s="20" t="n">
        <x:v>1.057348247948106</x:v>
      </x:c>
      <x:c r="M46" s="32" t="n">
        <x:v>0.4745542011791514</x:v>
      </x:c>
      <x:c r="N46" s="14" t="str">
        <x:v>Scăzut</x:v>
      </x:c>
      <x:c r="O46" s="38" t="n">
        <x:v>62</x:v>
      </x:c>
      <x:c r="P46" s="14" t="str">
        <x:v>PASS</x:v>
      </x:c>
      <x:c r="Q46" s="14" t="str">
        <x:v>DA – FEZABIL</x:v>
      </x:c>
      <x:c r="R46" s="14" t="str">
        <x:v>λ total 2.02 ≤ 2,70; P(U4,5) 94.6%; estimare predominant din piață</x:v>
      </x:c>
      <x:c r="S46" s="14" t="str">
        <x:v>Proxy piață 1X2 (Poisson)</x:v>
      </x:c>
      <x:c r="T46" s="20"/>
      <x:c r="U46" s="32" t="str">
        <x:f>IF(T46="","",K46*T46-1)</x:f>
      </x:c>
      <x:c r="V46" s="14" t="str">
        <x:f>IF(T46="","COTĂ NECOMPLETATĂ",IF(U46&gt;=0.04,"VALUE ≥4%",IF(U46&gt;0,"VALUE MIC","FĂRĂ VALUE")))</x:f>
        <x:v>COTĂ NECOMPLETATĂ</x:v>
      </x:c>
    </x:row>
    <x:row r="47" ht="28.5" customHeight="1">
      <x:c r="A47" s="14" t="n">
        <x:v>46</x:v>
      </x:c>
      <x:c r="B47" s="14" t="str">
        <x:v>Italia</x:v>
      </x:c>
      <x:c r="C47" s="14" t="str">
        <x:v>Serie B</x:v>
      </x:c>
      <x:c r="D47" s="14" t="str">
        <x:v>Avellino – L.R. Vicenza</x:v>
      </x:c>
      <x:c r="E47" s="20" t="n">
        <x:v>2.25</x:v>
      </x:c>
      <x:c r="F47" s="20" t="n">
        <x:v>3.2</x:v>
      </x:c>
      <x:c r="G47" s="20" t="n">
        <x:v>3.3</x:v>
      </x:c>
      <x:c r="H47" s="20" t="n">
        <x:v>1.188411560581598</x:v>
      </x:c>
      <x:c r="I47" s="20" t="n">
        <x:v>0.9268852275724164</x:v>
      </x:c>
      <x:c r="J47" s="20" t="n">
        <x:v>2.1152967881540143</x:v>
      </x:c>
      <x:c r="K47" s="32" t="n">
        <x:v>0.9363454701712638</x:v>
      </x:c>
      <x:c r="L47" s="20" t="n">
        <x:v>1.067981884738646</x:v>
      </x:c>
      <x:c r="M47" s="32" t="n">
        <x:v>0.41929720071471116</x:v>
      </x:c>
      <x:c r="N47" s="14" t="str">
        <x:v>Scăzut</x:v>
      </x:c>
      <x:c r="O47" s="38" t="n">
        <x:v>62</x:v>
      </x:c>
      <x:c r="P47" s="14" t="str">
        <x:v>PASS</x:v>
      </x:c>
      <x:c r="Q47" s="14" t="str">
        <x:v>DA – FEZABIL</x:v>
      </x:c>
      <x:c r="R47" s="14" t="str">
        <x:v>λ total 2.12 ≤ 2,70; P(U4,5) 93.6%; estimare predominant din piață</x:v>
      </x:c>
      <x:c r="S47" s="14" t="str">
        <x:v>Proxy piață 1X2 (Poisson)</x:v>
      </x:c>
      <x:c r="T47" s="20"/>
      <x:c r="U47" s="32" t="str">
        <x:f>IF(T47="","",K47*T47-1)</x:f>
      </x:c>
      <x:c r="V47" s="14" t="str">
        <x:f>IF(T47="","COTĂ NECOMPLETATĂ",IF(U47&gt;=0.04,"VALUE ≥4%",IF(U47&gt;0,"VALUE MIC","FĂRĂ VALUE")))</x:f>
        <x:v>COTĂ NECOMPLETATĂ</x:v>
      </x:c>
    </x:row>
    <x:row r="48" ht="28.5" customHeight="1">
      <x:c r="A48" s="14" t="n">
        <x:v>47</x:v>
      </x:c>
      <x:c r="B48" s="14" t="str">
        <x:v>Italia</x:v>
      </x:c>
      <x:c r="C48" s="14" t="str">
        <x:v>Serie B</x:v>
      </x:c>
      <x:c r="D48" s="14" t="str">
        <x:v>Padova – Hellas Verona</x:v>
      </x:c>
      <x:c r="E48" s="20" t="n">
        <x:v>2.95</x:v>
      </x:c>
      <x:c r="F48" s="20" t="n">
        <x:v>3.1</x:v>
      </x:c>
      <x:c r="G48" s="20" t="n">
        <x:v>2.5</x:v>
      </x:c>
      <x:c r="H48" s="20" t="n">
        <x:v>0.9663939466119892</x:v>
      </x:c>
      <x:c r="I48" s="20" t="n">
        <x:v>1.0771850559877452</x:v>
      </x:c>
      <x:c r="J48" s="20" t="n">
        <x:v>2.0435790025997345</x:v>
      </x:c>
      <x:c r="K48" s="32" t="n">
        <x:v>0.943329471973152</x:v>
      </x:c>
      <x:c r="L48" s="20" t="n">
        <x:v>1.0600750105986945</x:v>
      </x:c>
      <x:c r="M48" s="32" t="n">
        <x:v>0.37680263700041206</x:v>
      </x:c>
      <x:c r="N48" s="14" t="str">
        <x:v>Scăzut</x:v>
      </x:c>
      <x:c r="O48" s="38" t="n">
        <x:v>62</x:v>
      </x:c>
      <x:c r="P48" s="14" t="str">
        <x:v>PASS</x:v>
      </x:c>
      <x:c r="Q48" s="14" t="str">
        <x:v>DA – FEZABIL</x:v>
      </x:c>
      <x:c r="R48" s="14" t="str">
        <x:v>λ total 2.04 ≤ 2,70; P(U4,5) 94.3%; estimare predominant din piață</x:v>
      </x:c>
      <x:c r="S48" s="14" t="str">
        <x:v>Proxy piață 1X2 (Poisson)</x:v>
      </x:c>
      <x:c r="T48" s="20"/>
      <x:c r="U48" s="32" t="str">
        <x:f>IF(T48="","",K48*T48-1)</x:f>
      </x:c>
      <x:c r="V48" s="14" t="str">
        <x:f>IF(T48="","COTĂ NECOMPLETATĂ",IF(U48&gt;=0.04,"VALUE ≥4%",IF(U48&gt;0,"VALUE MIC","FĂRĂ VALUE")))</x:f>
        <x:v>COTĂ NECOMPLETATĂ</x:v>
      </x:c>
    </x:row>
    <x:row r="49" ht="28.5" customHeight="1">
      <x:c r="A49" s="10" t="n">
        <x:v>48</x:v>
      </x:c>
      <x:c r="B49" s="10" t="str">
        <x:v>Polonia</x:v>
      </x:c>
      <x:c r="C49" s="10" t="str">
        <x:v>Ekstraklasa</x:v>
      </x:c>
      <x:c r="D49" s="10" t="str">
        <x:v>Radomiak – Cracovia</x:v>
      </x:c>
      <x:c r="E49" s="17" t="n">
        <x:v>3</x:v>
      </x:c>
      <x:c r="F49" s="17" t="n">
        <x:v>3.4</x:v>
      </x:c>
      <x:c r="G49" s="17" t="n">
        <x:v>2.3</x:v>
      </x:c>
      <x:c r="H49" s="17" t="n">
        <x:v>1.0876716911657869</x:v>
      </x:c>
      <x:c r="I49" s="17" t="n">
        <x:v>1.2838860681828579</x:v>
      </x:c>
      <x:c r="J49" s="17" t="n">
        <x:v>2.3715577593486445</x:v>
      </x:c>
      <x:c r="K49" s="29" t="n">
        <x:v>0.9076643730383118</x:v>
      </x:c>
      <x:c r="L49" s="17" t="n">
        <x:v>1.1017288214724175</x:v>
      </x:c>
      <x:c r="M49" s="29" t="n">
        <x:v>0.40930979133226325</x:v>
      </x:c>
      <x:c r="N49" s="10" t="str">
        <x:v>Scăzut</x:v>
      </x:c>
      <x:c r="O49" s="35" t="n">
        <x:v>62</x:v>
      </x:c>
      <x:c r="P49" s="10" t="str">
        <x:v>PASS</x:v>
      </x:c>
      <x:c r="Q49" s="10" t="str">
        <x:v>DA – FEZABIL</x:v>
      </x:c>
      <x:c r="R49" s="10" t="str">
        <x:v>λ total 2.37 ≤ 2,70; P(U4,5) 90.8%; estimare predominant din piață</x:v>
      </x:c>
      <x:c r="S49" s="10" t="str">
        <x:v>Proxy piață 1X2 (Poisson)</x:v>
      </x:c>
      <x:c r="T49" s="17"/>
      <x:c r="U49" s="29" t="str">
        <x:f>IF(T49="","",K49*T49-1)</x:f>
      </x:c>
      <x:c r="V49" s="10" t="str">
        <x:f>IF(T49="","COTĂ NECOMPLETATĂ",IF(U49&gt;=0.04,"VALUE ≥4%",IF(U49&gt;0,"VALUE MIC","FĂRĂ VALUE")))</x:f>
        <x:v>COTĂ NECOMPLETATĂ</x:v>
      </x:c>
    </x:row>
    <x:row r="50" ht="28.5" customHeight="1">
      <x:c r="A50" s="10" t="n">
        <x:v>49</x:v>
      </x:c>
      <x:c r="B50" s="10" t="str">
        <x:v>Polonia</x:v>
      </x:c>
      <x:c r="C50" s="10" t="str">
        <x:v>Ekstraklasa</x:v>
      </x:c>
      <x:c r="D50" s="10" t="str">
        <x:v>Motor Lublin – Piast</x:v>
      </x:c>
      <x:c r="E50" s="17" t="n">
        <x:v>2.4</x:v>
      </x:c>
      <x:c r="F50" s="17" t="n">
        <x:v>3.5</x:v>
      </x:c>
      <x:c r="G50" s="17" t="n">
        <x:v>2.8</x:v>
      </x:c>
      <x:c r="H50" s="17" t="n">
        <x:v>1.3075036916688052</x:v>
      </x:c>
      <x:c r="I50" s="17" t="n">
        <x:v>1.1896263686756818</x:v>
      </x:c>
      <x:c r="J50" s="17" t="n">
        <x:v>2.497130060344487</x:v>
      </x:c>
      <x:c r="K50" s="29" t="n">
        <x:v>0.891561117991257</x:v>
      </x:c>
      <x:c r="L50" s="17" t="n">
        <x:v>1.1216280968522523</x:v>
      </x:c>
      <x:c r="M50" s="29" t="n">
        <x:v>0.39325842696629215</x:v>
      </x:c>
      <x:c r="N50" s="10" t="str">
        <x:v>Scăzut</x:v>
      </x:c>
      <x:c r="O50" s="35" t="n">
        <x:v>62</x:v>
      </x:c>
      <x:c r="P50" s="10" t="str">
        <x:v>PASS</x:v>
      </x:c>
      <x:c r="Q50" s="10" t="str">
        <x:v>DA – FEZABIL</x:v>
      </x:c>
      <x:c r="R50" s="10" t="str">
        <x:v>λ total 2.50 ≤ 2,70; P(U4,5) 89.2%; estimare predominant din piață</x:v>
      </x:c>
      <x:c r="S50" s="10" t="str">
        <x:v>Proxy piață 1X2 (Poisson)</x:v>
      </x:c>
      <x:c r="T50" s="17"/>
      <x:c r="U50" s="29" t="str">
        <x:f>IF(T50="","",K50*T50-1)</x:f>
      </x:c>
      <x:c r="V50" s="10" t="str">
        <x:f>IF(T50="","COTĂ NECOMPLETATĂ",IF(U50&gt;=0.04,"VALUE ≥4%",IF(U50&gt;0,"VALUE MIC","FĂRĂ VALUE")))</x:f>
        <x:v>COTĂ NECOMPLETATĂ</x:v>
      </x:c>
    </x:row>
    <x:row r="51" ht="28.5" customHeight="1">
      <x:c r="A51" s="10" t="n">
        <x:v>50</x:v>
      </x:c>
      <x:c r="B51" s="10" t="str">
        <x:v>Polonia</x:v>
      </x:c>
      <x:c r="C51" s="10" t="str">
        <x:v>Ekstraklasa</x:v>
      </x:c>
      <x:c r="D51" s="10" t="str">
        <x:v>Wisła Kraków – Wieczysta Kraków</x:v>
      </x:c>
      <x:c r="E51" s="17" t="n">
        <x:v>1.84</x:v>
      </x:c>
      <x:c r="F51" s="17" t="n">
        <x:v>3.9</x:v>
      </x:c>
      <x:c r="G51" s="17" t="n">
        <x:v>3.8</x:v>
      </x:c>
      <x:c r="H51" s="17" t="n">
        <x:v>1.6878243982337755</x:v>
      </x:c>
      <x:c r="I51" s="17" t="n">
        <x:v>1.099350422814901</x:v>
      </x:c>
      <x:c r="J51" s="17" t="n">
        <x:v>2.7871748210486764</x:v>
      </x:c>
      <x:c r="K51" s="29" t="n">
        <x:v>0.8496679255710616</x:v>
      </x:c>
      <x:c r="L51" s="17" t="n">
        <x:v>1.1769303864540963</x:v>
      </x:c>
      <x:c r="M51" s="29" t="n">
        <x:v>0.5112460328411756</x:v>
      </x:c>
      <x:c r="N51" s="10" t="str">
        <x:v>Scăzut</x:v>
      </x:c>
      <x:c r="O51" s="35" t="n">
        <x:v>62</x:v>
      </x:c>
      <x:c r="P51" s="10" t="str">
        <x:v>FAIL</x:v>
      </x:c>
      <x:c r="Q51" s="10" t="str">
        <x:v>DA – PRUDENT</x:v>
      </x:c>
      <x:c r="R51" s="10" t="str">
        <x:v>λ total 2.79 &gt; 2,70; P(U4,5) 85.0%; estimare predominant din piață</x:v>
      </x:c>
      <x:c r="S51" s="10" t="str">
        <x:v>Proxy piață 1X2 (Poisson)</x:v>
      </x:c>
      <x:c r="T51" s="17"/>
      <x:c r="U51" s="29" t="str">
        <x:f>IF(T51="","",K51*T51-1)</x:f>
      </x:c>
      <x:c r="V51" s="10" t="str">
        <x:f>IF(T51="","COTĂ NECOMPLETATĂ",IF(U51&gt;=0.04,"VALUE ≥4%",IF(U51&gt;0,"VALUE MIC","FĂRĂ VALUE")))</x:f>
        <x:v>COTĂ NECOMPLETATĂ</x:v>
      </x:c>
    </x:row>
    <x:row r="52" ht="28.5" customHeight="1">
      <x:c r="A52" s="10" t="n">
        <x:v>51</x:v>
      </x:c>
      <x:c r="B52" s="10" t="str">
        <x:v>Polonia</x:v>
      </x:c>
      <x:c r="C52" s="10" t="str">
        <x:v>Ekstraklasa</x:v>
      </x:c>
      <x:c r="D52" s="10" t="str">
        <x:v>Zagłębie Lubin – Pogoń Szczecin</x:v>
      </x:c>
      <x:c r="E52" s="17" t="n">
        <x:v>2.55</x:v>
      </x:c>
      <x:c r="F52" s="17" t="n">
        <x:v>3.3</x:v>
      </x:c>
      <x:c r="G52" s="17" t="n">
        <x:v>2.75</x:v>
      </x:c>
      <x:c r="H52" s="17" t="n">
        <x:v>1.1593620286000081</x:v>
      </x:c>
      <x:c r="I52" s="17" t="n">
        <x:v>1.1051969993368935</x:v>
      </x:c>
      <x:c r="J52" s="17" t="n">
        <x:v>2.264559027936902</x:v>
      </x:c>
      <x:c r="K52" s="29" t="n">
        <x:v>0.9203379664749495</x:v>
      </x:c>
      <x:c r="L52" s="17" t="n">
        <x:v>1.0865573696043092</x:v>
      </x:c>
      <x:c r="M52" s="29" t="n">
        <x:v>0.37037037037037035</x:v>
      </x:c>
      <x:c r="N52" s="10" t="str">
        <x:v>Scăzut</x:v>
      </x:c>
      <x:c r="O52" s="35" t="n">
        <x:v>62</x:v>
      </x:c>
      <x:c r="P52" s="10" t="str">
        <x:v>PASS</x:v>
      </x:c>
      <x:c r="Q52" s="10" t="str">
        <x:v>DA – FEZABIL</x:v>
      </x:c>
      <x:c r="R52" s="10" t="str">
        <x:v>λ total 2.26 ≤ 2,70; P(U4,5) 92.0%; estimare predominant din piață</x:v>
      </x:c>
      <x:c r="S52" s="10" t="str">
        <x:v>Proxy piață 1X2 (Poisson)</x:v>
      </x:c>
      <x:c r="T52" s="17"/>
      <x:c r="U52" s="29" t="str">
        <x:f>IF(T52="","",K52*T52-1)</x:f>
      </x:c>
      <x:c r="V52" s="10" t="str">
        <x:f>IF(T52="","COTĂ NECOMPLETATĂ",IF(U52&gt;=0.04,"VALUE ≥4%",IF(U52&gt;0,"VALUE MIC","FĂRĂ VALUE")))</x:f>
        <x:v>COTĂ NECOMPLETATĂ</x:v>
      </x:c>
    </x:row>
    <x:row r="53" ht="28.5" customHeight="1">
      <x:c r="A53" s="10" t="n">
        <x:v>52</x:v>
      </x:c>
      <x:c r="B53" s="10" t="str">
        <x:v>Scoția</x:v>
      </x:c>
      <x:c r="C53" s="10" t="str">
        <x:v>Premiership</x:v>
      </x:c>
      <x:c r="D53" s="10" t="str">
        <x:v>Celtic – Falkirk</x:v>
      </x:c>
      <x:c r="E53" s="17" t="n">
        <x:v>1.23</x:v>
      </x:c>
      <x:c r="F53" s="17" t="n">
        <x:v>7.11</x:v>
      </x:c>
      <x:c r="G53" s="17" t="n">
        <x:v>11.3</x:v>
      </x:c>
      <x:c r="H53" s="17" t="n">
        <x:v>2.8173979968977725</x:v>
      </x:c>
      <x:c r="I53" s="17" t="n">
        <x:v>0.8458632210530554</x:v>
      </x:c>
      <x:c r="J53" s="17" t="n">
        <x:v>3.663261217950828</x:v>
      </x:c>
      <x:c r="K53" s="29" t="n">
        <x:v>0.6943013581267131</x:v>
      </x:c>
      <x:c r="L53" s="17" t="n">
        <x:v>1.4402967649351703</x:v>
      </x:c>
      <x:c r="M53" s="29" t="n">
        <x:v>0.7801253164225103</x:v>
      </x:c>
      <x:c r="N53" s="10" t="str">
        <x:v>Ridicat</x:v>
      </x:c>
      <x:c r="O53" s="35" t="n">
        <x:v>72</x:v>
      </x:c>
      <x:c r="P53" s="10" t="str">
        <x:v>FAIL</x:v>
      </x:c>
      <x:c r="Q53" s="10" t="str">
        <x:v>NU – EVITĂ</x:v>
      </x:c>
      <x:c r="R53" s="10" t="str">
        <x:v>λ total 3.66 &gt; 2,70; P(U4,5) 69.4%; risc de scor unilateral mare</x:v>
      </x:c>
      <x:c r="S53" s="10" t="str">
        <x:v>Piață 1X2 + piață directă U/O 4.5</x:v>
      </x:c>
      <x:c r="T53" s="17"/>
      <x:c r="U53" s="29" t="str">
        <x:f>IF(T53="","",K53*T53-1)</x:f>
      </x:c>
      <x:c r="V53" s="10" t="str">
        <x:f>IF(T53="","COTĂ NECOMPLETATĂ",IF(U53&gt;=0.04,"VALUE ≥4%",IF(U53&gt;0,"VALUE MIC","FĂRĂ VALUE")))</x:f>
        <x:v>COTĂ NECOMPLETATĂ</x:v>
      </x:c>
    </x:row>
    <x:row r="54" ht="28.5" customHeight="1">
      <x:c r="A54" s="10" t="n">
        <x:v>53</x:v>
      </x:c>
      <x:c r="B54" s="10" t="str">
        <x:v>Scoția</x:v>
      </x:c>
      <x:c r="C54" s="10" t="str">
        <x:v>Premiership</x:v>
      </x:c>
      <x:c r="D54" s="10" t="str">
        <x:v>Hearts – St Johnstone</x:v>
      </x:c>
      <x:c r="E54" s="17" t="n">
        <x:v>1.75</x:v>
      </x:c>
      <x:c r="F54" s="17" t="n">
        <x:v>3.98</x:v>
      </x:c>
      <x:c r="G54" s="17" t="n">
        <x:v>4.6</x:v>
      </x:c>
      <x:c r="H54" s="17" t="n">
        <x:v>1.6835477103184635</x:v>
      </x:c>
      <x:c r="I54" s="17" t="n">
        <x:v>0.9371857711461655</x:v>
      </x:c>
      <x:c r="J54" s="17" t="n">
        <x:v>2.620733481464629</x:v>
      </x:c>
      <x:c r="K54" s="29" t="n">
        <x:v>0.8744750178303624</x:v>
      </x:c>
      <x:c r="L54" s="17" t="n">
        <x:v>1.1435432455018262</x:v>
      </x:c>
      <x:c r="M54" s="29" t="n">
        <x:v>0.5494103171983314</x:v>
      </x:c>
      <x:c r="N54" s="10" t="str">
        <x:v>Scăzut</x:v>
      </x:c>
      <x:c r="O54" s="35" t="n">
        <x:v>62</x:v>
      </x:c>
      <x:c r="P54" s="10" t="str">
        <x:v>PASS</x:v>
      </x:c>
      <x:c r="Q54" s="10" t="str">
        <x:v>DA – FEZABIL</x:v>
      </x:c>
      <x:c r="R54" s="10" t="str">
        <x:v>λ total 2.62 ≤ 2,70; P(U4,5) 87.4%; estimare predominant din piață</x:v>
      </x:c>
      <x:c r="S54" s="10" t="str">
        <x:v>Proxy piață 1X2 (Poisson)</x:v>
      </x:c>
      <x:c r="T54" s="17"/>
      <x:c r="U54" s="29" t="str">
        <x:f>IF(T54="","",K54*T54-1)</x:f>
      </x:c>
      <x:c r="V54" s="10" t="str">
        <x:f>IF(T54="","COTĂ NECOMPLETATĂ",IF(U54&gt;=0.04,"VALUE ≥4%",IF(U54&gt;0,"VALUE MIC","FĂRĂ VALUE")))</x:f>
        <x:v>COTĂ NECOMPLETATĂ</x:v>
      </x:c>
    </x:row>
    <x:row r="55" ht="28.5" customHeight="1">
      <x:c r="A55" s="10" t="n">
        <x:v>54</x:v>
      </x:c>
      <x:c r="B55" s="10" t="str">
        <x:v>Scoția</x:v>
      </x:c>
      <x:c r="C55" s="10" t="str">
        <x:v>Premiership</x:v>
      </x:c>
      <x:c r="D55" s="10" t="str">
        <x:v>Kilmarnock – Dundee United</x:v>
      </x:c>
      <x:c r="E55" s="17" t="n">
        <x:v>2.48</x:v>
      </x:c>
      <x:c r="F55" s="17" t="n">
        <x:v>3.55</x:v>
      </x:c>
      <x:c r="G55" s="17" t="n">
        <x:v>2.81</x:v>
      </x:c>
      <x:c r="H55" s="17" t="n">
        <x:v>1.2899949318991129</x:v>
      </x:c>
      <x:c r="I55" s="17" t="n">
        <x:v>1.1947469112177673</x:v>
      </x:c>
      <x:c r="J55" s="17" t="n">
        <x:v>2.48474184311688</x:v>
      </x:c>
      <x:c r="K55" s="29" t="n">
        <x:v>0.8932071842175326</x:v>
      </x:c>
      <x:c r="L55" s="17" t="n">
        <x:v>1.1195610801944231</x:v>
      </x:c>
      <x:c r="M55" s="29" t="n">
        <x:v>0.38742363573517474</x:v>
      </x:c>
      <x:c r="N55" s="10" t="str">
        <x:v>Scăzut</x:v>
      </x:c>
      <x:c r="O55" s="35" t="n">
        <x:v>62</x:v>
      </x:c>
      <x:c r="P55" s="10" t="str">
        <x:v>PASS</x:v>
      </x:c>
      <x:c r="Q55" s="10" t="str">
        <x:v>DA – FEZABIL</x:v>
      </x:c>
      <x:c r="R55" s="10" t="str">
        <x:v>λ total 2.48 ≤ 2,70; P(U4,5) 89.3%; estimare predominant din piață</x:v>
      </x:c>
      <x:c r="S55" s="10" t="str">
        <x:v>Proxy piață 1X2 (Poisson)</x:v>
      </x:c>
      <x:c r="T55" s="17"/>
      <x:c r="U55" s="29" t="str">
        <x:f>IF(T55="","",K55*T55-1)</x:f>
      </x:c>
      <x:c r="V55" s="10" t="str">
        <x:f>IF(T55="","COTĂ NECOMPLETATĂ",IF(U55&gt;=0.04,"VALUE ≥4%",IF(U55&gt;0,"VALUE MIC","FĂRĂ VALUE")))</x:f>
        <x:v>COTĂ NECOMPLETATĂ</x:v>
      </x:c>
    </x:row>
    <x:row r="56" ht="28.5" customHeight="1">
      <x:c r="A56" s="10" t="n">
        <x:v>55</x:v>
      </x:c>
      <x:c r="B56" s="10" t="str">
        <x:v>Cehia</x:v>
      </x:c>
      <x:c r="C56" s="10" t="str">
        <x:v>1. Liga</x:v>
      </x:c>
      <x:c r="D56" s="10" t="str">
        <x:v>Pardubice – SK Artis Brno</x:v>
      </x:c>
      <x:c r="E56" s="17" t="n">
        <x:v>1.43</x:v>
      </x:c>
      <x:c r="F56" s="17" t="n">
        <x:v>4.6</x:v>
      </x:c>
      <x:c r="G56" s="17" t="n">
        <x:v>7</x:v>
      </x:c>
      <x:c r="H56" s="17" t="n">
        <x:v>1.9786918493123553</x:v>
      </x:c>
      <x:c r="I56" s="17" t="n">
        <x:v>0.760234907485419</x:v>
      </x:c>
      <x:c r="J56" s="17" t="n">
        <x:v>2.7389267567977744</x:v>
      </x:c>
      <x:c r="K56" s="29" t="n">
        <x:v>0.857061131193114</x:v>
      </x:c>
      <x:c r="L56" s="17" t="n">
        <x:v>1.166777915372152</x:v>
      </x:c>
      <x:c r="M56" s="29" t="n">
        <x:v>0.6599983602525211</x:v>
      </x:c>
      <x:c r="N56" s="10" t="str">
        <x:v>Moderat</x:v>
      </x:c>
      <x:c r="O56" s="35" t="n">
        <x:v>62</x:v>
      </x:c>
      <x:c r="P56" s="10" t="str">
        <x:v>FAIL</x:v>
      </x:c>
      <x:c r="Q56" s="10" t="str">
        <x:v>DA – PRUDENT</x:v>
      </x:c>
      <x:c r="R56" s="10" t="str">
        <x:v>λ total 2.74 &gt; 2,70; P(U4,5) 85.7%; favorită clară; estimare predominant din piață</x:v>
      </x:c>
      <x:c r="S56" s="10" t="str">
        <x:v>Proxy piață 1X2 (Poisson)</x:v>
      </x:c>
      <x:c r="T56" s="17"/>
      <x:c r="U56" s="29" t="str">
        <x:f>IF(T56="","",K56*T56-1)</x:f>
      </x:c>
      <x:c r="V56" s="10" t="str">
        <x:f>IF(T56="","COTĂ NECOMPLETATĂ",IF(U56&gt;=0.04,"VALUE ≥4%",IF(U56&gt;0,"VALUE MIC","FĂRĂ VALUE")))</x:f>
        <x:v>COTĂ NECOMPLETATĂ</x:v>
      </x:c>
    </x:row>
    <x:row r="57" ht="28.5" customHeight="1">
      <x:c r="A57" s="10" t="n">
        <x:v>56</x:v>
      </x:c>
      <x:c r="B57" s="10" t="str">
        <x:v>Cehia</x:v>
      </x:c>
      <x:c r="C57" s="10" t="str">
        <x:v>1. Liga</x:v>
      </x:c>
      <x:c r="D57" s="10" t="str">
        <x:v>Zbrojovka Brno – Zlín</x:v>
      </x:c>
      <x:c r="E57" s="17" t="n">
        <x:v>1.62</x:v>
      </x:c>
      <x:c r="F57" s="17" t="n">
        <x:v>3.9</x:v>
      </x:c>
      <x:c r="G57" s="17" t="n">
        <x:v>5.3</x:v>
      </x:c>
      <x:c r="H57" s="17" t="n">
        <x:v>1.6706649200072283</x:v>
      </x:c>
      <x:c r="I57" s="17" t="n">
        <x:v>0.8001910513153074</x:v>
      </x:c>
      <x:c r="J57" s="17" t="n">
        <x:v>2.4708559713225355</x:v>
      </x:c>
      <x:c r="K57" s="29" t="n">
        <x:v>0.8950375200782462</x:v>
      </x:c>
      <x:c r="L57" s="17" t="n">
        <x:v>1.1172715976337815</x:v>
      </x:c>
      <x:c r="M57" s="29" t="n">
        <x:v>0.5810423342890875</x:v>
      </x:c>
      <x:c r="N57" s="10" t="str">
        <x:v>Scăzut</x:v>
      </x:c>
      <x:c r="O57" s="35" t="n">
        <x:v>62</x:v>
      </x:c>
      <x:c r="P57" s="10" t="str">
        <x:v>PASS</x:v>
      </x:c>
      <x:c r="Q57" s="10" t="str">
        <x:v>DA – FEZABIL</x:v>
      </x:c>
      <x:c r="R57" s="10" t="str">
        <x:v>λ total 2.47 ≤ 2,70; P(U4,5) 89.5%; estimare predominant din piață</x:v>
      </x:c>
      <x:c r="S57" s="10" t="str">
        <x:v>Proxy piață 1X2 (Poisson)</x:v>
      </x:c>
      <x:c r="T57" s="17"/>
      <x:c r="U57" s="29" t="str">
        <x:f>IF(T57="","",K57*T57-1)</x:f>
      </x:c>
      <x:c r="V57" s="10" t="str">
        <x:f>IF(T57="","COTĂ NECOMPLETATĂ",IF(U57&gt;=0.04,"VALUE ≥4%",IF(U57&gt;0,"VALUE MIC","FĂRĂ VALUE")))</x:f>
        <x:v>COTĂ NECOMPLETATĂ</x:v>
      </x:c>
    </x:row>
    <x:row r="58" ht="28.5" customHeight="1">
      <x:c r="A58" s="10" t="n">
        <x:v>57</x:v>
      </x:c>
      <x:c r="B58" s="10" t="str">
        <x:v>Cehia</x:v>
      </x:c>
      <x:c r="C58" s="10" t="str">
        <x:v>1. Liga</x:v>
      </x:c>
      <x:c r="D58" s="10" t="str">
        <x:v>Baník Ostrava – Sigma Olomouc</x:v>
      </x:c>
      <x:c r="E58" s="17" t="n">
        <x:v>2.45</x:v>
      </x:c>
      <x:c r="F58" s="17" t="n">
        <x:v>3.4</x:v>
      </x:c>
      <x:c r="G58" s="17" t="n">
        <x:v>2.8</x:v>
      </x:c>
      <x:c r="H58" s="17" t="n">
        <x:v>1.2390523495185621</x:v>
      </x:c>
      <x:c r="I58" s="17" t="n">
        <x:v>1.1401039264522699</x:v>
      </x:c>
      <x:c r="J58" s="17" t="n">
        <x:v>2.379156275970832</x:v>
      </x:c>
      <x:c r="K58" s="29" t="n">
        <x:v>0.9067271812960798</x:v>
      </x:c>
      <x:c r="L58" s="17" t="n">
        <x:v>1.1028675665932897</x:v>
      </x:c>
      <x:c r="M58" s="29" t="n">
        <x:v>0.38526912181303113</x:v>
      </x:c>
      <x:c r="N58" s="10" t="str">
        <x:v>Scăzut</x:v>
      </x:c>
      <x:c r="O58" s="35" t="n">
        <x:v>62</x:v>
      </x:c>
      <x:c r="P58" s="10" t="str">
        <x:v>PASS</x:v>
      </x:c>
      <x:c r="Q58" s="10" t="str">
        <x:v>DA – FEZABIL</x:v>
      </x:c>
      <x:c r="R58" s="10" t="str">
        <x:v>λ total 2.38 ≤ 2,70; P(U4,5) 90.7%; estimare predominant din piață</x:v>
      </x:c>
      <x:c r="S58" s="10" t="str">
        <x:v>Proxy piață 1X2 (Poisson)</x:v>
      </x:c>
      <x:c r="T58" s="17"/>
      <x:c r="U58" s="29" t="str">
        <x:f>IF(T58="","",K58*T58-1)</x:f>
      </x:c>
      <x:c r="V58" s="10" t="str">
        <x:f>IF(T58="","COTĂ NECOMPLETATĂ",IF(U58&gt;=0.04,"VALUE ≥4%",IF(U58&gt;0,"VALUE MIC","FĂRĂ VALUE")))</x:f>
        <x:v>COTĂ NECOMPLETATĂ</x:v>
      </x:c>
    </x:row>
    <x:row r="59" ht="28.5" customHeight="1">
      <x:c r="A59" s="10" t="n">
        <x:v>58</x:v>
      </x:c>
      <x:c r="B59" s="10" t="str">
        <x:v>România</x:v>
      </x:c>
      <x:c r="C59" s="10" t="str">
        <x:v>SuperLiga</x:v>
      </x:c>
      <x:c r="D59" s="10" t="str">
        <x:v>Csikszereda – CFR Cluj</x:v>
      </x:c>
      <x:c r="E59" s="17" t="n">
        <x:v>3.75</x:v>
      </x:c>
      <x:c r="F59" s="17" t="n">
        <x:v>3.5</x:v>
      </x:c>
      <x:c r="G59" s="17" t="n">
        <x:v>1.97</x:v>
      </x:c>
      <x:c r="H59" s="17" t="n">
        <x:v>0.9462028557946496</x:v>
      </x:c>
      <x:c r="I59" s="17" t="n">
        <x:v>1.4162705497628092</x:v>
      </x:c>
      <x:c r="J59" s="17" t="n">
        <x:v>2.3624734055574588</x:v>
      </x:c>
      <x:c r="K59" s="29" t="n">
        <x:v>0.9087784241190162</x:v>
      </x:c>
      <x:c r="L59" s="17" t="n">
        <x:v>1.1003782368286477</x:v>
      </x:c>
      <x:c r="M59" s="29" t="n">
        <x:v>0.47888351728541456</x:v>
      </x:c>
      <x:c r="N59" s="10" t="str">
        <x:v>Scăzut</x:v>
      </x:c>
      <x:c r="O59" s="35" t="n">
        <x:v>62</x:v>
      </x:c>
      <x:c r="P59" s="10" t="str">
        <x:v>PASS</x:v>
      </x:c>
      <x:c r="Q59" s="10" t="str">
        <x:v>DA – FEZABIL</x:v>
      </x:c>
      <x:c r="R59" s="10" t="str">
        <x:v>λ total 2.36 ≤ 2,70; P(U4,5) 90.9%; estimare predominant din piață</x:v>
      </x:c>
      <x:c r="S59" s="10" t="str">
        <x:v>Proxy piață 1X2 (Poisson)</x:v>
      </x:c>
      <x:c r="T59" s="17"/>
      <x:c r="U59" s="29" t="str">
        <x:f>IF(T59="","",K59*T59-1)</x:f>
      </x:c>
      <x:c r="V59" s="10" t="str">
        <x:f>IF(T59="","COTĂ NECOMPLETATĂ",IF(U59&gt;=0.04,"VALUE ≥4%",IF(U59&gt;0,"VALUE MIC","FĂRĂ VALUE")))</x:f>
        <x:v>COTĂ NECOMPLETATĂ</x:v>
      </x:c>
    </x:row>
    <x:row r="60" ht="28.5" customHeight="1">
      <x:c r="A60" s="14" t="n">
        <x:v>59</x:v>
      </x:c>
      <x:c r="B60" s="14" t="str">
        <x:v>România</x:v>
      </x:c>
      <x:c r="C60" s="14" t="str">
        <x:v>SuperLiga</x:v>
      </x:c>
      <x:c r="D60" s="14" t="str">
        <x:v>FC Argeș – Sepsi</x:v>
      </x:c>
      <x:c r="E60" s="20" t="n">
        <x:v>2.2</x:v>
      </x:c>
      <x:c r="F60" s="20" t="n">
        <x:v>3</x:v>
      </x:c>
      <x:c r="G60" s="20" t="n">
        <x:v>3.7</x:v>
      </x:c>
      <x:c r="H60" s="20" t="n">
        <x:v>1.0988077135963066</x:v>
      </x:c>
      <x:c r="I60" s="20" t="n">
        <x:v>0.7733872801803817</x:v>
      </x:c>
      <x:c r="J60" s="20" t="n">
        <x:v>1.8721949937766884</x:v>
      </x:c>
      <x:c r="K60" s="32" t="n">
        <x:v>0.9581421545278304</x:v>
      </x:c>
      <x:c r="L60" s="20" t="n">
        <x:v>1.043686466850837</x:v>
      </x:c>
      <x:c r="M60" s="32" t="n">
        <x:v>0.4295665634674923</x:v>
      </x:c>
      <x:c r="N60" s="14" t="str">
        <x:v>Scăzut</x:v>
      </x:c>
      <x:c r="O60" s="38" t="n">
        <x:v>62</x:v>
      </x:c>
      <x:c r="P60" s="14" t="str">
        <x:v>PASS</x:v>
      </x:c>
      <x:c r="Q60" s="14" t="str">
        <x:v>DA – FEZABIL</x:v>
      </x:c>
      <x:c r="R60" s="14" t="str">
        <x:v>λ total 1.87 ≤ 2,70; P(U4,5) 95.8%; estimare predominant din piață</x:v>
      </x:c>
      <x:c r="S60" s="14" t="str">
        <x:v>Proxy piață 1X2 (Poisson)</x:v>
      </x:c>
      <x:c r="T60" s="20"/>
      <x:c r="U60" s="32" t="str">
        <x:f>IF(T60="","",K60*T60-1)</x:f>
      </x:c>
      <x:c r="V60" s="14" t="str">
        <x:f>IF(T60="","COTĂ NECOMPLETATĂ",IF(U60&gt;=0.04,"VALUE ≥4%",IF(U60&gt;0,"VALUE MIC","FĂRĂ VALUE")))</x:f>
        <x:v>COTĂ NECOMPLETATĂ</x:v>
      </x:c>
    </x:row>
    <x:row r="61" ht="28.5" customHeight="1">
      <x:c r="A61" s="14" t="n">
        <x:v>60</x:v>
      </x:c>
      <x:c r="B61" s="14" t="str">
        <x:v>România</x:v>
      </x:c>
      <x:c r="C61" s="14" t="str">
        <x:v>SuperLiga</x:v>
      </x:c>
      <x:c r="D61" s="14" t="str">
        <x:v>Corvinul – Dinamo București</x:v>
      </x:c>
      <x:c r="E61" s="20" t="n">
        <x:v>3.25</x:v>
      </x:c>
      <x:c r="F61" s="20" t="n">
        <x:v>3.25</x:v>
      </x:c>
      <x:c r="G61" s="20" t="n">
        <x:v>2.25</x:v>
      </x:c>
      <x:c r="H61" s="20" t="n">
        <x:v>1.1573738851238011</x:v>
      </x:c>
      <x:c r="I61" s="20" t="n">
        <x:v>0.9536771493739047</x:v>
      </x:c>
      <x:c r="J61" s="20" t="n">
        <x:v>2.111051034497706</x:v>
      </x:c>
      <x:c r="K61" s="32" t="n">
        <x:v>0.9367717990097022</x:v>
      </x:c>
      <x:c r="L61" s="20" t="n">
        <x:v>1.0674958416309488</x:v>
      </x:c>
      <x:c r="M61" s="32" t="n">
        <x:v>0.4193548387096774</x:v>
      </x:c>
      <x:c r="N61" s="14" t="str">
        <x:v>Scăzut</x:v>
      </x:c>
      <x:c r="O61" s="38" t="n">
        <x:v>76</x:v>
      </x:c>
      <x:c r="P61" s="14" t="str">
        <x:v>PASS</x:v>
      </x:c>
      <x:c r="Q61" s="14" t="str">
        <x:v>DA – FEZABIL</x:v>
      </x:c>
      <x:c r="R61" s="14" t="str">
        <x:v>λ total 2.11 ≤ 2,70; P(U4,5) 93.7%</x:v>
      </x:c>
      <x:c r="S61" s="14" t="str">
        <x:v>CompactStats + piață 1X2</x:v>
      </x:c>
      <x:c r="T61" s="20"/>
      <x:c r="U61" s="32" t="str">
        <x:f>IF(T61="","",K61*T61-1)</x:f>
      </x:c>
      <x:c r="V61" s="14" t="str">
        <x:f>IF(T61="","COTĂ NECOMPLETATĂ",IF(U61&gt;=0.04,"VALUE ≥4%",IF(U61&gt;0,"VALUE MIC","FĂRĂ VALUE")))</x:f>
        <x:v>COTĂ NECOMPLETATĂ</x:v>
      </x:c>
    </x:row>
    <x:row r="62" ht="28.5" customHeight="1">
      <x:c r="A62" s="10" t="n">
        <x:v>61</x:v>
      </x:c>
      <x:c r="B62" s="10" t="str">
        <x:v>Ungaria</x:v>
      </x:c>
      <x:c r="C62" s="10" t="str">
        <x:v>NB I</x:v>
      </x:c>
      <x:c r="D62" s="10" t="str">
        <x:v>Nyíregyháza – Paks</x:v>
      </x:c>
      <x:c r="E62" s="17" t="n">
        <x:v>2.3</x:v>
      </x:c>
      <x:c r="F62" s="17" t="n">
        <x:v>3.75</x:v>
      </x:c>
      <x:c r="G62" s="17" t="n">
        <x:v>2.7</x:v>
      </x:c>
      <x:c r="H62" s="17" t="n">
        <x:v>1.5001410724998976</x:v>
      </x:c>
      <x:c r="I62" s="17" t="n">
        <x:v>1.3661591456941096</x:v>
      </x:c>
      <x:c r="J62" s="17" t="n">
        <x:v>2.866300218194007</x:v>
      </x:c>
      <x:c r="K62" s="29" t="n">
        <x:v>0.8372063517723569</x:v>
      </x:c>
      <x:c r="L62" s="17" t="n">
        <x:v>1.1944486540062802</x:v>
      </x:c>
      <x:c r="M62" s="29" t="n">
        <x:v>0.4056490384615385</x:v>
      </x:c>
      <x:c r="N62" s="10" t="str">
        <x:v>Scăzut</x:v>
      </x:c>
      <x:c r="O62" s="35" t="n">
        <x:v>62</x:v>
      </x:c>
      <x:c r="P62" s="10" t="str">
        <x:v>FAIL</x:v>
      </x:c>
      <x:c r="Q62" s="10" t="str">
        <x:v>DA – PRUDENT</x:v>
      </x:c>
      <x:c r="R62" s="10" t="str">
        <x:v>λ total 2.87 &gt; 2,70; P(U4,5) 83.7%; estimare predominant din piață</x:v>
      </x:c>
      <x:c r="S62" s="10" t="str">
        <x:v>Proxy piață 1X2 (Poisson)</x:v>
      </x:c>
      <x:c r="T62" s="17"/>
      <x:c r="U62" s="29" t="str">
        <x:f>IF(T62="","",K62*T62-1)</x:f>
      </x:c>
      <x:c r="V62" s="10" t="str">
        <x:f>IF(T62="","COTĂ NECOMPLETATĂ",IF(U62&gt;=0.04,"VALUE ≥4%",IF(U62&gt;0,"VALUE MIC","FĂRĂ VALUE")))</x:f>
        <x:v>COTĂ NECOMPLETATĂ</x:v>
      </x:c>
    </x:row>
    <x:row r="63" ht="28.5" customHeight="1">
      <x:c r="A63" s="10" t="n">
        <x:v>62</x:v>
      </x:c>
      <x:c r="B63" s="10" t="str">
        <x:v>Ungaria</x:v>
      </x:c>
      <x:c r="C63" s="10" t="str">
        <x:v>NB I</x:v>
      </x:c>
      <x:c r="D63" s="10" t="str">
        <x:v>Honvéd – Zalaegerszeg</x:v>
      </x:c>
      <x:c r="E63" s="17" t="n">
        <x:v>2</x:v>
      </x:c>
      <x:c r="F63" s="17" t="n">
        <x:v>3.6</x:v>
      </x:c>
      <x:c r="G63" s="17" t="n">
        <x:v>3.4</x:v>
      </x:c>
      <x:c r="H63" s="17" t="n">
        <x:v>1.48935886328575</x:v>
      </x:c>
      <x:c r="I63" s="17" t="n">
        <x:v>1.0786931035313478</x:v>
      </x:c>
      <x:c r="J63" s="17" t="n">
        <x:v>2.568051966817098</x:v>
      </x:c>
      <x:c r="K63" s="29" t="n">
        <x:v>0.8819025464677042</x:v>
      </x:c>
      <x:c r="L63" s="17" t="n">
        <x:v>1.1339121357629742</x:v>
      </x:c>
      <x:c r="M63" s="29" t="n">
        <x:v>0.46646341463414637</x:v>
      </x:c>
      <x:c r="N63" s="10" t="str">
        <x:v>Scăzut</x:v>
      </x:c>
      <x:c r="O63" s="35" t="n">
        <x:v>62</x:v>
      </x:c>
      <x:c r="P63" s="10" t="str">
        <x:v>PASS</x:v>
      </x:c>
      <x:c r="Q63" s="10" t="str">
        <x:v>DA – FEZABIL</x:v>
      </x:c>
      <x:c r="R63" s="10" t="str">
        <x:v>λ total 2.57 ≤ 2,70; P(U4,5) 88.2%; estimare predominant din piață</x:v>
      </x:c>
      <x:c r="S63" s="10" t="str">
        <x:v>Proxy piață 1X2 (Poisson)</x:v>
      </x:c>
      <x:c r="T63" s="17"/>
      <x:c r="U63" s="29" t="str">
        <x:f>IF(T63="","",K63*T63-1)</x:f>
      </x:c>
      <x:c r="V63" s="10" t="str">
        <x:f>IF(T63="","COTĂ NECOMPLETATĂ",IF(U63&gt;=0.04,"VALUE ≥4%",IF(U63&gt;0,"VALUE MIC","FĂRĂ VALUE")))</x:f>
        <x:v>COTĂ NECOMPLETATĂ</x:v>
      </x:c>
    </x:row>
    <x:row r="64" ht="28.5" customHeight="1">
      <x:c r="A64" s="10" t="n">
        <x:v>63</x:v>
      </x:c>
      <x:c r="B64" s="10" t="str">
        <x:v>Ungaria</x:v>
      </x:c>
      <x:c r="C64" s="10" t="str">
        <x:v>NB I</x:v>
      </x:c>
      <x:c r="D64" s="10" t="str">
        <x:v>Újpest – Vasas</x:v>
      </x:c>
      <x:c r="E64" s="17" t="n">
        <x:v>2.25</x:v>
      </x:c>
      <x:c r="F64" s="17" t="n">
        <x:v>3.6</x:v>
      </x:c>
      <x:c r="G64" s="17" t="n">
        <x:v>2.9</x:v>
      </x:c>
      <x:c r="H64" s="17" t="n">
        <x:v>1.4177576331312802</x:v>
      </x:c>
      <x:c r="I64" s="17" t="n">
        <x:v>1.2170362698664237</x:v>
      </x:c>
      <x:c r="J64" s="17" t="n">
        <x:v>2.634793902997704</x:v>
      </x:c>
      <x:c r="K64" s="29" t="n">
        <x:v>0.8724570791636899</x:v>
      </x:c>
      <x:c r="L64" s="17" t="n">
        <x:v>1.1461881895193844</x:v>
      </x:c>
      <x:c r="M64" s="29" t="n">
        <x:v>0.41651705565529623</x:v>
      </x:c>
      <x:c r="N64" s="10" t="str">
        <x:v>Scăzut</x:v>
      </x:c>
      <x:c r="O64" s="35" t="n">
        <x:v>62</x:v>
      </x:c>
      <x:c r="P64" s="10" t="str">
        <x:v>PASS</x:v>
      </x:c>
      <x:c r="Q64" s="10" t="str">
        <x:v>DA – FEZABIL</x:v>
      </x:c>
      <x:c r="R64" s="10" t="str">
        <x:v>λ total 2.63 ≤ 2,70; P(U4,5) 87.2%; estimare predominant din piață</x:v>
      </x:c>
      <x:c r="S64" s="10" t="str">
        <x:v>Proxy piață 1X2 (Poisson)</x:v>
      </x:c>
      <x:c r="T64" s="17"/>
      <x:c r="U64" s="29" t="str">
        <x:f>IF(T64="","",K64*T64-1)</x:f>
      </x:c>
      <x:c r="V64" s="10" t="str">
        <x:f>IF(T64="","COTĂ NECOMPLETATĂ",IF(U64&gt;=0.04,"VALUE ≥4%",IF(U64&gt;0,"VALUE MIC","FĂRĂ VALUE")))</x:f>
        <x:v>COTĂ NECOMPLETATĂ</x:v>
      </x:c>
    </x:row>
    <x:row r="65" ht="28.5" customHeight="1">
      <x:c r="A65" s="10" t="n">
        <x:v>64</x:v>
      </x:c>
      <x:c r="B65" s="10" t="str">
        <x:v>Norvegia</x:v>
      </x:c>
      <x:c r="C65" s="10" t="str">
        <x:v>Eliteserien</x:v>
      </x:c>
      <x:c r="D65" s="10" t="str">
        <x:v>Vålerenga – Molde</x:v>
      </x:c>
      <x:c r="E65" s="17" t="n">
        <x:v>2.69</x:v>
      </x:c>
      <x:c r="F65" s="17" t="n">
        <x:v>4</x:v>
      </x:c>
      <x:c r="G65" s="17" t="n">
        <x:v>2.45</x:v>
      </x:c>
      <x:c r="H65" s="17" t="n">
        <x:v>1.4603889683825717</x:v>
      </x:c>
      <x:c r="I65" s="17" t="n">
        <x:v>1.540801814349075</x:v>
      </x:c>
      <x:c r="J65" s="17" t="n">
        <x:v>3.001190782731647</x:v>
      </x:c>
      <x:c r="K65" s="29" t="n">
        <x:v>0.8150631159923548</x:v>
      </x:c>
      <x:c r="L65" s="17" t="n">
        <x:v>1.2268988503822567</x:v>
      </x:c>
      <x:c r="M65" s="29" t="n">
        <x:v>0.3963094602309349</x:v>
      </x:c>
      <x:c r="N65" s="10" t="str">
        <x:v>Scăzut</x:v>
      </x:c>
      <x:c r="O65" s="35" t="n">
        <x:v>62</x:v>
      </x:c>
      <x:c r="P65" s="10" t="str">
        <x:v>FAIL</x:v>
      </x:c>
      <x:c r="Q65" s="10" t="str">
        <x:v>DA – PRUDENT</x:v>
      </x:c>
      <x:c r="R65" s="10" t="str">
        <x:v>λ total 3.00 &gt; 2,70; P(U4,5) 81.5%; estimare predominant din piață</x:v>
      </x:c>
      <x:c r="S65" s="10" t="str">
        <x:v>Proxy piață 1X2 (Poisson)</x:v>
      </x:c>
      <x:c r="T65" s="17"/>
      <x:c r="U65" s="29" t="str">
        <x:f>IF(T65="","",K65*T65-1)</x:f>
      </x:c>
      <x:c r="V65" s="10" t="str">
        <x:f>IF(T65="","COTĂ NECOMPLETATĂ",IF(U65&gt;=0.04,"VALUE ≥4%",IF(U65&gt;0,"VALUE MIC","FĂRĂ VALUE")))</x:f>
        <x:v>COTĂ NECOMPLETATĂ</x:v>
      </x:c>
    </x:row>
    <x:row r="66" ht="28.5" customHeight="1">
      <x:c r="A66" s="10" t="n">
        <x:v>65</x:v>
      </x:c>
      <x:c r="B66" s="10" t="str">
        <x:v>Norvegia</x:v>
      </x:c>
      <x:c r="C66" s="10" t="str">
        <x:v>Eliteserien</x:v>
      </x:c>
      <x:c r="D66" s="10" t="str">
        <x:v>Viking – Aalesund</x:v>
      </x:c>
      <x:c r="E66" s="17" t="n">
        <x:v>1.31</x:v>
      </x:c>
      <x:c r="F66" s="17" t="n">
        <x:v>6.61</x:v>
      </x:c>
      <x:c r="G66" s="17" t="n">
        <x:v>8.46</x:v>
      </x:c>
      <x:c r="H66" s="17" t="n">
        <x:v>3.19430316110095</x:v>
      </x:c>
      <x:c r="I66" s="17" t="n">
        <x:v>1.1171169509780239</x:v>
      </x:c>
      <x:c r="J66" s="17" t="n">
        <x:v>4.311420112078974</x:v>
      </x:c>
      <x:c r="K66" s="29" t="n">
        <x:v>0.5682316698714247</x:v>
      </x:c>
      <x:c r="L66" s="17" t="n">
        <x:v>1.7598455929537906</x:v>
      </x:c>
      <x:c r="M66" s="29" t="n">
        <x:v>0.73908141835498</x:v>
      </x:c>
      <x:c r="N66" s="10" t="str">
        <x:v>Ridicat</x:v>
      </x:c>
      <x:c r="O66" s="35" t="n">
        <x:v>82</x:v>
      </x:c>
      <x:c r="P66" s="10" t="str">
        <x:v>FAIL</x:v>
      </x:c>
      <x:c r="Q66" s="10" t="str">
        <x:v>NU – EVITĂ</x:v>
      </x:c>
      <x:c r="R66" s="10" t="str">
        <x:v>λ total 4.31 &gt; 2,70; P(U4,5) 56.8%; risc de scor unilateral mare</x:v>
      </x:c>
      <x:c r="S66" s="10" t="str">
        <x:v>1x2.expert + piață 1X2</x:v>
      </x:c>
      <x:c r="T66" s="17"/>
      <x:c r="U66" s="29" t="str">
        <x:f>IF(T66="","",K66*T66-1)</x:f>
      </x:c>
      <x:c r="V66" s="10" t="str">
        <x:f>IF(T66="","COTĂ NECOMPLETATĂ",IF(U66&gt;=0.04,"VALUE ≥4%",IF(U66&gt;0,"VALUE MIC","FĂRĂ VALUE")))</x:f>
        <x:v>COTĂ NECOMPLETATĂ</x:v>
      </x:c>
    </x:row>
    <x:row r="67" ht="28.5" customHeight="1">
      <x:c r="A67" s="10" t="n">
        <x:v>66</x:v>
      </x:c>
      <x:c r="B67" s="10" t="str">
        <x:v>Grecia</x:v>
      </x:c>
      <x:c r="C67" s="10" t="str">
        <x:v>Super League</x:v>
      </x:c>
      <x:c r="D67" s="10" t="str">
        <x:v>Volos – Iraklis</x:v>
      </x:c>
      <x:c r="E67" s="17" t="n">
        <x:v>1.94</x:v>
      </x:c>
      <x:c r="F67" s="17" t="n">
        <x:v>3.5</x:v>
      </x:c>
      <x:c r="G67" s="17" t="n">
        <x:v>4.1</x:v>
      </x:c>
      <x:c r="H67" s="17" t="n">
        <x:v>1.3975259759746286</x:v>
      </x:c>
      <x:c r="I67" s="17" t="n">
        <x:v>0.8681145241840372</x:v>
      </x:c>
      <x:c r="J67" s="17" t="n">
        <x:v>2.265640500158666</x:v>
      </x:c>
      <x:c r="K67" s="29" t="n">
        <x:v>0.9202148168385629</x:v>
      </x:c>
      <x:c r="L67" s="17" t="n">
        <x:v>1.0867027803741984</x:v>
      </x:c>
      <x:c r="M67" s="29" t="n">
        <x:v>0.4932288444352788</x:v>
      </x:c>
      <x:c r="N67" s="10" t="str">
        <x:v>Scăzut</x:v>
      </x:c>
      <x:c r="O67" s="35" t="n">
        <x:v>62</x:v>
      </x:c>
      <x:c r="P67" s="10" t="str">
        <x:v>PASS</x:v>
      </x:c>
      <x:c r="Q67" s="10" t="str">
        <x:v>DA – FEZABIL</x:v>
      </x:c>
      <x:c r="R67" s="10" t="str">
        <x:v>λ total 2.27 ≤ 2,70; P(U4,5) 92.0%; estimare predominant din piață</x:v>
      </x:c>
      <x:c r="S67" s="10" t="str">
        <x:v>Proxy piață 1X2 (Poisson)</x:v>
      </x:c>
      <x:c r="T67" s="17"/>
      <x:c r="U67" s="29" t="str">
        <x:f>IF(T67="","",K67*T67-1)</x:f>
      </x:c>
      <x:c r="V67" s="10" t="str">
        <x:f>IF(T67="","COTĂ NECOMPLETATĂ",IF(U67&gt;=0.04,"VALUE ≥4%",IF(U67&gt;0,"VALUE MIC","FĂRĂ VALUE")))</x:f>
        <x:v>COTĂ NECOMPLETATĂ</x:v>
      </x:c>
    </x:row>
    <x:row r="68" ht="28.5" customHeight="1">
      <x:c r="A68" s="14" t="n">
        <x:v>67</x:v>
      </x:c>
      <x:c r="B68" s="14" t="str">
        <x:v>Grecia</x:v>
      </x:c>
      <x:c r="C68" s="14" t="str">
        <x:v>Super League</x:v>
      </x:c>
      <x:c r="D68" s="14" t="str">
        <x:v>Panetolikos – Kalamata</x:v>
      </x:c>
      <x:c r="E68" s="20" t="n">
        <x:v>2.35</x:v>
      </x:c>
      <x:c r="F68" s="20" t="n">
        <x:v>3.1</x:v>
      </x:c>
      <x:c r="G68" s="20" t="n">
        <x:v>3.3</x:v>
      </x:c>
      <x:c r="H68" s="20" t="n">
        <x:v>1.1056714335952613</x:v>
      </x:c>
      <x:c r="I68" s="20" t="n">
        <x:v>0.8831528154714311</x:v>
      </x:c>
      <x:c r="J68" s="20" t="n">
        <x:v>1.9888242490666923</x:v>
      </x:c>
      <x:c r="K68" s="32" t="n">
        <x:v>0.9483496639848867</x:v>
      </x:c>
      <x:c r="L68" s="20" t="n">
        <x:v>1.0544633883224916</x:v>
      </x:c>
      <x:c r="M68" s="32" t="n">
        <x:v>0.4048278591214879</x:v>
      </x:c>
      <x:c r="N68" s="14" t="str">
        <x:v>Scăzut</x:v>
      </x:c>
      <x:c r="O68" s="38" t="n">
        <x:v>62</x:v>
      </x:c>
      <x:c r="P68" s="14" t="str">
        <x:v>PASS</x:v>
      </x:c>
      <x:c r="Q68" s="14" t="str">
        <x:v>DA – FEZABIL</x:v>
      </x:c>
      <x:c r="R68" s="14" t="str">
        <x:v>λ total 1.99 ≤ 2,70; P(U4,5) 94.8%; estimare predominant din piață</x:v>
      </x:c>
      <x:c r="S68" s="14" t="str">
        <x:v>Proxy piață 1X2 (Poisson)</x:v>
      </x:c>
      <x:c r="T68" s="20"/>
      <x:c r="U68" s="32" t="str">
        <x:f>IF(T68="","",K68*T68-1)</x:f>
      </x:c>
      <x:c r="V68" s="14" t="str">
        <x:f>IF(T68="","COTĂ NECOMPLETATĂ",IF(U68&gt;=0.04,"VALUE ≥4%",IF(U68&gt;0,"VALUE MIC","FĂRĂ VALUE")))</x:f>
        <x:v>COTĂ NECOMPLETATĂ</x:v>
      </x:c>
    </x:row>
    <x:row r="69" ht="28.5" customHeight="1">
      <x:c r="A69" s="10" t="n">
        <x:v>68</x:v>
      </x:c>
      <x:c r="B69" s="10" t="str">
        <x:v>Turcia</x:v>
      </x:c>
      <x:c r="C69" s="10" t="str">
        <x:v>Süper Lig</x:v>
      </x:c>
      <x:c r="D69" s="10" t="str">
        <x:v>Konyaspor – Kocaelispor</x:v>
      </x:c>
      <x:c r="E69" s="17" t="n">
        <x:v>2.04</x:v>
      </x:c>
      <x:c r="F69" s="17" t="n">
        <x:v>3.5</x:v>
      </x:c>
      <x:c r="G69" s="17" t="n">
        <x:v>3.96</x:v>
      </x:c>
      <x:c r="H69" s="17" t="n">
        <x:v>1.3550877632681584</x:v>
      </x:c>
      <x:c r="I69" s="17" t="n">
        <x:v>0.8875792990518933</x:v>
      </x:c>
      <x:c r="J69" s="17" t="n">
        <x:v>2.2426670623200518</x:v>
      </x:c>
      <x:c r="K69" s="29" t="n">
        <x:v>0.9228088801620261</x:v>
      </x:c>
      <x:c r="L69" s="17" t="n">
        <x:v>1.08364800285019</x:v>
      </x:c>
      <x:c r="M69" s="29" t="n">
        <x:v>0.4766424562561902</x:v>
      </x:c>
      <x:c r="N69" s="10" t="str">
        <x:v>Scăzut</x:v>
      </x:c>
      <x:c r="O69" s="35" t="n">
        <x:v>62</x:v>
      </x:c>
      <x:c r="P69" s="10" t="str">
        <x:v>PASS</x:v>
      </x:c>
      <x:c r="Q69" s="10" t="str">
        <x:v>DA – FEZABIL</x:v>
      </x:c>
      <x:c r="R69" s="10" t="str">
        <x:v>λ total 2.24 ≤ 2,70; P(U4,5) 92.3%; estimare predominant din piață</x:v>
      </x:c>
      <x:c r="S69" s="10" t="str">
        <x:v>Proxy piață 1X2 (Poisson)</x:v>
      </x:c>
      <x:c r="T69" s="17"/>
      <x:c r="U69" s="29" t="str">
        <x:f>IF(T69="","",K69*T69-1)</x:f>
      </x:c>
      <x:c r="V69" s="10" t="str">
        <x:f>IF(T69="","COTĂ NECOMPLETATĂ",IF(U69&gt;=0.04,"VALUE ≥4%",IF(U69&gt;0,"VALUE MIC","FĂRĂ VALUE")))</x:f>
        <x:v>COTĂ NECOMPLETATĂ</x:v>
      </x:c>
    </x:row>
    <x:row r="70" ht="28.5" customHeight="1">
      <x:c r="A70" s="10" t="n">
        <x:v>69</x:v>
      </x:c>
      <x:c r="B70" s="10" t="str">
        <x:v>Turcia</x:v>
      </x:c>
      <x:c r="C70" s="10" t="str">
        <x:v>Süper Lig</x:v>
      </x:c>
      <x:c r="D70" s="10" t="str">
        <x:v>Galatasaray – Göztepe</x:v>
      </x:c>
      <x:c r="E70" s="17" t="n">
        <x:v>1.43</x:v>
      </x:c>
      <x:c r="F70" s="17" t="n">
        <x:v>5.09</x:v>
      </x:c>
      <x:c r="G70" s="17" t="n">
        <x:v>7.42</x:v>
      </x:c>
      <x:c r="H70" s="17" t="n">
        <x:v>2.7932157194416556</x:v>
      </x:c>
      <x:c r="I70" s="17" t="n">
        <x:v>1.1770702999225957</x:v>
      </x:c>
      <x:c r="J70" s="17" t="n">
        <x:v>3.9702860193642513</x:v>
      </x:c>
      <x:c r="K70" s="29" t="n">
        <x:v>0.6346418465814003</x:v>
      </x:c>
      <x:c r="L70" s="17" t="n">
        <x:v>1.5756918731197127</x:v>
      </x:c>
      <x:c r="M70" s="29" t="n">
        <x:v>0.6785800913091052</x:v>
      </x:c>
      <x:c r="N70" s="10" t="str">
        <x:v>Moderat</x:v>
      </x:c>
      <x:c r="O70" s="35" t="n">
        <x:v>82</x:v>
      </x:c>
      <x:c r="P70" s="10" t="str">
        <x:v>FAIL</x:v>
      </x:c>
      <x:c r="Q70" s="10" t="str">
        <x:v>NU – EVITĂ</x:v>
      </x:c>
      <x:c r="R70" s="10" t="str">
        <x:v>λ total 3.97 &gt; 2,70; P(U4,5) 63.5%; favorită clară</x:v>
      </x:c>
      <x:c r="S70" s="10" t="str">
        <x:v>FulltimeStats + piață 1X2</x:v>
      </x:c>
      <x:c r="T70" s="17"/>
      <x:c r="U70" s="29" t="str">
        <x:f>IF(T70="","",K70*T70-1)</x:f>
      </x:c>
      <x:c r="V70" s="10" t="str">
        <x:f>IF(T70="","COTĂ NECOMPLETATĂ",IF(U70&gt;=0.04,"VALUE ≥4%",IF(U70&gt;0,"VALUE MIC","FĂRĂ VALUE")))</x:f>
        <x:v>COTĂ NECOMPLETATĂ</x:v>
      </x:c>
    </x:row>
    <x:row r="71" ht="28.5" customHeight="1">
      <x:c r="A71" s="10" t="n">
        <x:v>70</x:v>
      </x:c>
      <x:c r="B71" s="10" t="str">
        <x:v>Turcia</x:v>
      </x:c>
      <x:c r="C71" s="10" t="str">
        <x:v>Süper Lig</x:v>
      </x:c>
      <x:c r="D71" s="10" t="str">
        <x:v>Gaziantep – Rizespor</x:v>
      </x:c>
      <x:c r="E71" s="17" t="n">
        <x:v>2.57</x:v>
      </x:c>
      <x:c r="F71" s="17" t="n">
        <x:v>3.65</x:v>
      </x:c>
      <x:c r="G71" s="17" t="n">
        <x:v>2.73</x:v>
      </x:c>
      <x:c r="H71" s="17" t="n">
        <x:v>1.304045278509243</x:v>
      </x:c>
      <x:c r="I71" s="17" t="n">
        <x:v>1.257050597462774</x:v>
      </x:c>
      <x:c r="J71" s="17" t="n">
        <x:v>2.5610958759720166</x:v>
      </x:c>
      <x:c r="K71" s="29" t="n">
        <x:v>0.8828673398803737</x:v>
      </x:c>
      <x:c r="L71" s="17" t="n">
        <x:v>1.1326730017394204</x:v>
      </x:c>
      <x:c r="M71" s="29" t="n">
        <x:v>0.37800015932567305</x:v>
      </x:c>
      <x:c r="N71" s="10" t="str">
        <x:v>Scăzut</x:v>
      </x:c>
      <x:c r="O71" s="35" t="n">
        <x:v>62</x:v>
      </x:c>
      <x:c r="P71" s="10" t="str">
        <x:v>PASS</x:v>
      </x:c>
      <x:c r="Q71" s="10" t="str">
        <x:v>DA – FEZABIL</x:v>
      </x:c>
      <x:c r="R71" s="10" t="str">
        <x:v>λ total 2.56 ≤ 2,70; P(U4,5) 88.3%; estimare predominant din piață</x:v>
      </x:c>
      <x:c r="S71" s="10" t="str">
        <x:v>Proxy piață 1X2 (Poisson)</x:v>
      </x:c>
      <x:c r="T71" s="17"/>
      <x:c r="U71" s="29" t="str">
        <x:f>IF(T71="","",K71*T71-1)</x:f>
      </x:c>
      <x:c r="V71" s="10" t="str">
        <x:f>IF(T71="","COTĂ NECOMPLETATĂ",IF(U71&gt;=0.04,"VALUE ≥4%",IF(U71&gt;0,"VALUE MIC","FĂRĂ VALUE")))</x:f>
        <x:v>COTĂ NECOMPLETATĂ</x:v>
      </x:c>
    </x:row>
    <x:row r="72" ht="28.5" customHeight="1">
      <x:c r="A72" s="10" t="n">
        <x:v>71</x:v>
      </x:c>
      <x:c r="B72" s="10" t="str">
        <x:v>Olanda</x:v>
      </x:c>
      <x:c r="C72" s="10" t="str">
        <x:v>Eredivisie</x:v>
      </x:c>
      <x:c r="D72" s="10" t="str">
        <x:v>Excelsior – Sparta Rotterdam</x:v>
      </x:c>
      <x:c r="E72" s="17" t="n">
        <x:v>2.43</x:v>
      </x:c>
      <x:c r="F72" s="17" t="n">
        <x:v>3.8</x:v>
      </x:c>
      <x:c r="G72" s="17" t="n">
        <x:v>2.81</x:v>
      </x:c>
      <x:c r="H72" s="17" t="n">
        <x:v>1.4302043872420958</x:v>
      </x:c>
      <x:c r="I72" s="17" t="n">
        <x:v>1.3121490771566509</x:v>
      </x:c>
      <x:c r="J72" s="17" t="n">
        <x:v>2.7423534643987466</x:v>
      </x:c>
      <x:c r="K72" s="29" t="n">
        <x:v>0.8565413400212343</x:v>
      </x:c>
      <x:c r="L72" s="17" t="n">
        <x:v>1.1674859732692053</x:v>
      </x:c>
      <x:c r="M72" s="29" t="n">
        <x:v>0.39932237110279234</x:v>
      </x:c>
      <x:c r="N72" s="10" t="str">
        <x:v>Scăzut</x:v>
      </x:c>
      <x:c r="O72" s="35" t="n">
        <x:v>62</x:v>
      </x:c>
      <x:c r="P72" s="10" t="str">
        <x:v>FAIL</x:v>
      </x:c>
      <x:c r="Q72" s="10" t="str">
        <x:v>DA – PRUDENT</x:v>
      </x:c>
      <x:c r="R72" s="10" t="str">
        <x:v>λ total 2.74 &gt; 2,70; P(U4,5) 85.7%; estimare predominant din piață</x:v>
      </x:c>
      <x:c r="S72" s="10" t="str">
        <x:v>Proxy piață 1X2 (Poisson)</x:v>
      </x:c>
      <x:c r="T72" s="17"/>
      <x:c r="U72" s="29" t="str">
        <x:f>IF(T72="","",K72*T72-1)</x:f>
      </x:c>
      <x:c r="V72" s="10" t="str">
        <x:f>IF(T72="","COTĂ NECOMPLETATĂ",IF(U72&gt;=0.04,"VALUE ≥4%",IF(U72&gt;0,"VALUE MIC","FĂRĂ VALUE")))</x:f>
        <x:v>COTĂ NECOMPLETATĂ</x:v>
      </x:c>
    </x:row>
    <x:row r="73" ht="28.5" customHeight="1">
      <x:c r="A73" s="10" t="n">
        <x:v>72</x:v>
      </x:c>
      <x:c r="B73" s="10" t="str">
        <x:v>Olanda</x:v>
      </x:c>
      <x:c r="C73" s="10" t="str">
        <x:v>Eredivisie</x:v>
      </x:c>
      <x:c r="D73" s="10" t="str">
        <x:v>AZ Alkmaar – Go Ahead Eagles</x:v>
      </x:c>
      <x:c r="E73" s="17" t="n">
        <x:v>1.42</x:v>
      </x:c>
      <x:c r="F73" s="17" t="n">
        <x:v>5.46</x:v>
      </x:c>
      <x:c r="G73" s="17" t="n">
        <x:v>7.02</x:v>
      </x:c>
      <x:c r="H73" s="17" t="n">
        <x:v>2.3054898589560997</x:v>
      </x:c>
      <x:c r="I73" s="17" t="n">
        <x:v>0.9462548109325052</x:v>
      </x:c>
      <x:c r="J73" s="17" t="n">
        <x:v>3.251744669888605</x:v>
      </x:c>
      <x:c r="K73" s="29" t="n">
        <x:v>0.7713389038970695</x:v>
      </x:c>
      <x:c r="L73" s="17" t="n">
        <x:v>1.2964469897053759</x:v>
      </x:c>
      <x:c r="M73" s="29" t="n">
        <x:v>0.6838296688004454</x:v>
      </x:c>
      <x:c r="N73" s="10" t="str">
        <x:v>Moderat</x:v>
      </x:c>
      <x:c r="O73" s="35" t="n">
        <x:v>74</x:v>
      </x:c>
      <x:c r="P73" s="10" t="str">
        <x:v>FAIL</x:v>
      </x:c>
      <x:c r="Q73" s="10" t="str">
        <x:v>NU – EVITĂ</x:v>
      </x:c>
      <x:c r="R73" s="10" t="str">
        <x:v>λ total 3.25 &gt; 2,70; P(U4,5) 77.1%; favorită clară</x:v>
      </x:c>
      <x:c r="S73" s="10" t="str">
        <x:v>Piață 1X2 + Forebet total proiectat</x:v>
      </x:c>
      <x:c r="T73" s="17"/>
      <x:c r="U73" s="29" t="str">
        <x:f>IF(T73="","",K73*T73-1)</x:f>
      </x:c>
      <x:c r="V73" s="10" t="str">
        <x:f>IF(T73="","COTĂ NECOMPLETATĂ",IF(U73&gt;=0.04,"VALUE ≥4%",IF(U73&gt;0,"VALUE MIC","FĂRĂ VALUE")))</x:f>
        <x:v>COTĂ NECOMPLETATĂ</x:v>
      </x:c>
    </x:row>
    <x:row r="74" ht="28.5" customHeight="1">
      <x:c r="A74" s="10" t="n">
        <x:v>73</x:v>
      </x:c>
      <x:c r="B74" s="10" t="str">
        <x:v>Olanda</x:v>
      </x:c>
      <x:c r="C74" s="10" t="str">
        <x:v>Eredivisie</x:v>
      </x:c>
      <x:c r="D74" s="10" t="str">
        <x:v>PEC Zwolle – NEC</x:v>
      </x:c>
      <x:c r="E74" s="17" t="n">
        <x:v>4.43</x:v>
      </x:c>
      <x:c r="F74" s="17" t="n">
        <x:v>4.47</x:v>
      </x:c>
      <x:c r="G74" s="17" t="n">
        <x:v>1.72</x:v>
      </x:c>
      <x:c r="H74" s="17" t="n">
        <x:v>1.1545925147738358</x:v>
      </x:c>
      <x:c r="I74" s="17" t="n">
        <x:v>1.9745702759296397</x:v>
      </x:c>
      <x:c r="J74" s="17" t="n">
        <x:v>3.1291627907034756</x:v>
      </x:c>
      <x:c r="K74" s="29" t="n">
        <x:v>0.7931129455224234</x:v>
      </x:c>
      <x:c r="L74" s="17" t="n">
        <x:v>1.2608544667510124</x:v>
      </x:c>
      <x:c r="M74" s="29" t="n">
        <x:v>0.5640001025345982</x:v>
      </x:c>
      <x:c r="N74" s="10" t="str">
        <x:v>Scăzut</x:v>
      </x:c>
      <x:c r="O74" s="35" t="n">
        <x:v>62</x:v>
      </x:c>
      <x:c r="P74" s="10" t="str">
        <x:v>FAIL</x:v>
      </x:c>
      <x:c r="Q74" s="10" t="str">
        <x:v>NU – EVITĂ</x:v>
      </x:c>
      <x:c r="R74" s="10" t="str">
        <x:v>λ total 3.13 &gt; 2,70; P(U4,5) 79.3%; estimare predominant din piață</x:v>
      </x:c>
      <x:c r="S74" s="10" t="str">
        <x:v>Proxy piață 1X2 (Poisson)</x:v>
      </x:c>
      <x:c r="T74" s="17"/>
      <x:c r="U74" s="29" t="str">
        <x:f>IF(T74="","",K74*T74-1)</x:f>
      </x:c>
      <x:c r="V74" s="10" t="str">
        <x:f>IF(T74="","COTĂ NECOMPLETATĂ",IF(U74&gt;=0.04,"VALUE ≥4%",IF(U74&gt;0,"VALUE MIC","FĂRĂ VALUE")))</x:f>
        <x:v>COTĂ NECOMPLETATĂ</x:v>
      </x:c>
    </x:row>
    <x:row r="75" ht="28.5" customHeight="1">
      <x:c r="A75" s="10" t="n">
        <x:v>74</x:v>
      </x:c>
      <x:c r="B75" s="10" t="str">
        <x:v>Spania</x:v>
      </x:c>
      <x:c r="C75" s="10" t="str">
        <x:v>La Liga</x:v>
      </x:c>
      <x:c r="D75" s="10" t="str">
        <x:v>Levante – Real Betis</x:v>
      </x:c>
      <x:c r="E75" s="17" t="n">
        <x:v>3.4</x:v>
      </x:c>
      <x:c r="F75" s="17" t="n">
        <x:v>3.48</x:v>
      </x:c>
      <x:c r="G75" s="17" t="n">
        <x:v>2.28</x:v>
      </x:c>
      <x:c r="H75" s="17" t="n">
        <x:v>0.9946049625527175</x:v>
      </x:c>
      <x:c r="I75" s="17" t="n">
        <x:v>1.2811133281155362</x:v>
      </x:c>
      <x:c r="J75" s="17" t="n">
        <x:v>2.275718290668254</x:v>
      </x:c>
      <x:c r="K75" s="29" t="n">
        <x:v>0.9190623366471219</x:v>
      </x:c>
      <x:c r="L75" s="17" t="n">
        <x:v>1.088065477308265</x:v>
      </x:c>
      <x:c r="M75" s="29" t="n">
        <x:v>0.4299668585382871</x:v>
      </x:c>
      <x:c r="N75" s="10" t="str">
        <x:v>Scăzut</x:v>
      </x:c>
      <x:c r="O75" s="35" t="n">
        <x:v>62</x:v>
      </x:c>
      <x:c r="P75" s="10" t="str">
        <x:v>PASS</x:v>
      </x:c>
      <x:c r="Q75" s="10" t="str">
        <x:v>DA – FEZABIL</x:v>
      </x:c>
      <x:c r="R75" s="10" t="str">
        <x:v>λ total 2.28 ≤ 2,70; P(U4,5) 91.9%; estimare predominant din piață</x:v>
      </x:c>
      <x:c r="S75" s="10" t="str">
        <x:v>Proxy piață 1X2 (Poisson)</x:v>
      </x:c>
      <x:c r="T75" s="17"/>
      <x:c r="U75" s="29" t="str">
        <x:f>IF(T75="","",K75*T75-1)</x:f>
      </x:c>
      <x:c r="V75" s="10" t="str">
        <x:f>IF(T75="","COTĂ NECOMPLETATĂ",IF(U75&gt;=0.04,"VALUE ≥4%",IF(U75&gt;0,"VALUE MIC","FĂRĂ VALUE")))</x:f>
        <x:v>COTĂ NECOMPLETATĂ</x:v>
      </x:c>
    </x:row>
    <x:row r="76" ht="28.5" customHeight="1">
      <x:c r="A76" s="10" t="n">
        <x:v>75</x:v>
      </x:c>
      <x:c r="B76" s="10" t="str">
        <x:v>Spania</x:v>
      </x:c>
      <x:c r="C76" s="10" t="str">
        <x:v>La Liga</x:v>
      </x:c>
      <x:c r="D76" s="10" t="str">
        <x:v>Real Sociedad – Espanyol</x:v>
      </x:c>
      <x:c r="E76" s="17" t="n">
        <x:v>1.94</x:v>
      </x:c>
      <x:c r="F76" s="17" t="n">
        <x:v>3.76</x:v>
      </x:c>
      <x:c r="G76" s="17" t="n">
        <x:v>4.17</x:v>
      </x:c>
      <x:c r="H76" s="17" t="n">
        <x:v>1.5040680082688438</x:v>
      </x:c>
      <x:c r="I76" s="17" t="n">
        <x:v>0.9356587269848069</x:v>
      </x:c>
      <x:c r="J76" s="17" t="n">
        <x:v>2.4397267352536507</x:v>
      </x:c>
      <x:c r="K76" s="29" t="n">
        <x:v>0.8990836998854197</x:v>
      </x:c>
      <x:c r="L76" s="17" t="n">
        <x:v>1.1122434987170173</x:v>
      </x:c>
      <x:c r="M76" s="29" t="n">
        <x:v>0.5047483533676288</x:v>
      </x:c>
      <x:c r="N76" s="10" t="str">
        <x:v>Scăzut</x:v>
      </x:c>
      <x:c r="O76" s="35" t="n">
        <x:v>62</x:v>
      </x:c>
      <x:c r="P76" s="10" t="str">
        <x:v>PASS</x:v>
      </x:c>
      <x:c r="Q76" s="10" t="str">
        <x:v>DA – FEZABIL</x:v>
      </x:c>
      <x:c r="R76" s="10" t="str">
        <x:v>λ total 2.44 ≤ 2,70; P(U4,5) 89.9%; estimare predominant din piață</x:v>
      </x:c>
      <x:c r="S76" s="10" t="str">
        <x:v>Proxy piață 1X2 (Poisson)</x:v>
      </x:c>
      <x:c r="T76" s="17"/>
      <x:c r="U76" s="29" t="str">
        <x:f>IF(T76="","",K76*T76-1)</x:f>
      </x:c>
      <x:c r="V76" s="10" t="str">
        <x:f>IF(T76="","COTĂ NECOMPLETATĂ",IF(U76&gt;=0.04,"VALUE ≥4%",IF(U76&gt;0,"VALUE MIC","FĂRĂ VALUE")))</x:f>
        <x:v>COTĂ NECOMPLETATĂ</x:v>
      </x:c>
    </x:row>
    <x:row r="77" ht="28.5" customHeight="1">
      <x:c r="A77" s="10" t="n">
        <x:v>76</x:v>
      </x:c>
      <x:c r="B77" s="10" t="str">
        <x:v>Spania</x:v>
      </x:c>
      <x:c r="C77" s="10" t="str">
        <x:v>La Liga</x:v>
      </x:c>
      <x:c r="D77" s="10" t="str">
        <x:v>Sevilla – Atlético Madrid</x:v>
      </x:c>
      <x:c r="E77" s="17" t="n">
        <x:v>3.58</x:v>
      </x:c>
      <x:c r="F77" s="17" t="n">
        <x:v>3.43</x:v>
      </x:c>
      <x:c r="G77" s="17" t="n">
        <x:v>2.18</x:v>
      </x:c>
      <x:c r="H77" s="17" t="n">
        <x:v>0.9400661144087936</x:v>
      </x:c>
      <x:c r="I77" s="17" t="n">
        <x:v>1.2901782250385452</x:v>
      </x:c>
      <x:c r="J77" s="17" t="n">
        <x:v>2.2302443394473386</x:v>
      </x:c>
      <x:c r="K77" s="29" t="n">
        <x:v>0.9241923378763736</x:v>
      </x:c>
      <x:c r="L77" s="17" t="n">
        <x:v>1.082025850049589</x:v>
      </x:c>
      <x:c r="M77" s="29" t="n">
        <x:v>0.4455321248711958</x:v>
      </x:c>
      <x:c r="N77" s="10" t="str">
        <x:v>Scăzut</x:v>
      </x:c>
      <x:c r="O77" s="35" t="n">
        <x:v>62</x:v>
      </x:c>
      <x:c r="P77" s="10" t="str">
        <x:v>PASS</x:v>
      </x:c>
      <x:c r="Q77" s="10" t="str">
        <x:v>DA – FEZABIL</x:v>
      </x:c>
      <x:c r="R77" s="10" t="str">
        <x:v>λ total 2.23 ≤ 2,70; P(U4,5) 92.4%; estimare predominant din piață</x:v>
      </x:c>
      <x:c r="S77" s="10" t="str">
        <x:v>Proxy piață 1X2 (Poisson)</x:v>
      </x:c>
      <x:c r="T77" s="17"/>
      <x:c r="U77" s="29" t="str">
        <x:f>IF(T77="","",K77*T77-1)</x:f>
      </x:c>
      <x:c r="V77" s="10" t="str">
        <x:f>IF(T77="","COTĂ NECOMPLETATĂ",IF(U77&gt;=0.04,"VALUE ≥4%",IF(U77&gt;0,"VALUE MIC","FĂRĂ VALUE")))</x:f>
        <x:v>COTĂ NECOMPLETATĂ</x:v>
      </x:c>
    </x:row>
    <x:row r="78" ht="28.5" customHeight="1">
      <x:c r="A78" s="14" t="n">
        <x:v>77</x:v>
      </x:c>
      <x:c r="B78" s="14" t="str">
        <x:v>Spania</x:v>
      </x:c>
      <x:c r="C78" s="14" t="str">
        <x:v>LaLiga 2</x:v>
      </x:c>
      <x:c r="D78" s="14" t="str">
        <x:v>Sabadell – Almería</x:v>
      </x:c>
      <x:c r="E78" s="20" t="n">
        <x:v>2.65</x:v>
      </x:c>
      <x:c r="F78" s="20" t="n">
        <x:v>3.2</x:v>
      </x:c>
      <x:c r="G78" s="20" t="n">
        <x:v>2.7</x:v>
      </x:c>
      <x:c r="H78" s="20" t="n">
        <x:v>1.0851458204266975</x:v>
      </x:c>
      <x:c r="I78" s="20" t="n">
        <x:v>1.0721793697384678</x:v>
      </x:c>
      <x:c r="J78" s="20" t="n">
        <x:v>2.1573251901651656</x:v>
      </x:c>
      <x:c r="K78" s="32" t="n">
        <x:v>0.9320382430623022</x:v>
      </x:c>
      <x:c r="L78" s="20" t="n">
        <x:v>1.072917348020402</x:v>
      </x:c>
      <x:c r="M78" s="32" t="n">
        <x:v>0.3559217301750773</x:v>
      </x:c>
      <x:c r="N78" s="14" t="str">
        <x:v>Scăzut</x:v>
      </x:c>
      <x:c r="O78" s="38" t="n">
        <x:v>62</x:v>
      </x:c>
      <x:c r="P78" s="14" t="str">
        <x:v>PASS</x:v>
      </x:c>
      <x:c r="Q78" s="14" t="str">
        <x:v>DA – FEZABIL</x:v>
      </x:c>
      <x:c r="R78" s="14" t="str">
        <x:v>λ total 2.16 ≤ 2,70; P(U4,5) 93.2%; estimare predominant din piață</x:v>
      </x:c>
      <x:c r="S78" s="14" t="str">
        <x:v>Proxy piață 1X2 (Poisson)</x:v>
      </x:c>
      <x:c r="T78" s="20"/>
      <x:c r="U78" s="32" t="str">
        <x:f>IF(T78="","",K78*T78-1)</x:f>
      </x:c>
      <x:c r="V78" s="14" t="str">
        <x:f>IF(T78="","COTĂ NECOMPLETATĂ",IF(U78&gt;=0.04,"VALUE ≥4%",IF(U78&gt;0,"VALUE MIC","FĂRĂ VALUE")))</x:f>
        <x:v>COTĂ NECOMPLETATĂ</x:v>
      </x:c>
    </x:row>
    <x:row r="79" ht="28.5" customHeight="1">
      <x:c r="A79" s="14" t="n">
        <x:v>78</x:v>
      </x:c>
      <x:c r="B79" s="14" t="str">
        <x:v>Spania</x:v>
      </x:c>
      <x:c r="C79" s="14" t="str">
        <x:v>LaLiga 2</x:v>
      </x:c>
      <x:c r="D79" s="14" t="str">
        <x:v>Albacete – Real Oviedo</x:v>
      </x:c>
      <x:c r="E79" s="20" t="n">
        <x:v>2.45</x:v>
      </x:c>
      <x:c r="F79" s="20" t="n">
        <x:v>3.1</x:v>
      </x:c>
      <x:c r="G79" s="20" t="n">
        <x:v>3</x:v>
      </x:c>
      <x:c r="H79" s="20" t="n">
        <x:v>1.0918675850197561</x:v>
      </x:c>
      <x:c r="I79" s="20" t="n">
        <x:v>0.9561652832561793</x:v>
      </x:c>
      <x:c r="J79" s="20" t="n">
        <x:v>2.0480328682759357</x:v>
      </x:c>
      <x:c r="K79" s="32" t="n">
        <x:v>0.942909228123563</x:v>
      </x:c>
      <x:c r="L79" s="20" t="n">
        <x:v>1.0605474738963478</x:v>
      </x:c>
      <x:c r="M79" s="32" t="n">
        <x:v>0.3835842441740565</x:v>
      </x:c>
      <x:c r="N79" s="14" t="str">
        <x:v>Scăzut</x:v>
      </x:c>
      <x:c r="O79" s="38" t="n">
        <x:v>62</x:v>
      </x:c>
      <x:c r="P79" s="14" t="str">
        <x:v>PASS</x:v>
      </x:c>
      <x:c r="Q79" s="14" t="str">
        <x:v>DA – FEZABIL</x:v>
      </x:c>
      <x:c r="R79" s="14" t="str">
        <x:v>λ total 2.05 ≤ 2,70; P(U4,5) 94.3%; estimare predominant din piață</x:v>
      </x:c>
      <x:c r="S79" s="14" t="str">
        <x:v>Proxy piață 1X2 (Poisson)</x:v>
      </x:c>
      <x:c r="T79" s="20"/>
      <x:c r="U79" s="32" t="str">
        <x:f>IF(T79="","",K79*T79-1)</x:f>
      </x:c>
      <x:c r="V79" s="14" t="str">
        <x:f>IF(T79="","COTĂ NECOMPLETATĂ",IF(U79&gt;=0.04,"VALUE ≥4%",IF(U79&gt;0,"VALUE MIC","FĂRĂ VALUE")))</x:f>
        <x:v>COTĂ NECOMPLETATĂ</x:v>
      </x:c>
    </x:row>
    <x:row r="80" ht="28.5" customHeight="1">
      <x:c r="A80" s="10" t="n">
        <x:v>79</x:v>
      </x:c>
      <x:c r="B80" s="10" t="str">
        <x:v>Spania</x:v>
      </x:c>
      <x:c r="C80" s="10" t="str">
        <x:v>LaLiga 2</x:v>
      </x:c>
      <x:c r="D80" s="10" t="str">
        <x:v>Leganés – Eldense</x:v>
      </x:c>
      <x:c r="E80" s="17" t="n">
        <x:v>1.96</x:v>
      </x:c>
      <x:c r="F80" s="17" t="n">
        <x:v>3.5</x:v>
      </x:c>
      <x:c r="G80" s="17" t="n">
        <x:v>3.8</x:v>
      </x:c>
      <x:c r="H80" s="17" t="n">
        <x:v>1.4166456449765765</x:v>
      </x:c>
      <x:c r="I80" s="17" t="n">
        <x:v>0.9349752181981913</x:v>
      </x:c>
      <x:c r="J80" s="17" t="n">
        <x:v>2.3516208631747677</x:v>
      </x:c>
      <x:c r="K80" s="29" t="n">
        <x:v>0.9101001465333274</x:v>
      </x:c>
      <x:c r="L80" s="17" t="n">
        <x:v>1.0987801768949397</x:v>
      </x:c>
      <x:c r="M80" s="29" t="n">
        <x:v>0.48174442190669375</x:v>
      </x:c>
      <x:c r="N80" s="10" t="str">
        <x:v>Scăzut</x:v>
      </x:c>
      <x:c r="O80" s="35" t="n">
        <x:v>62</x:v>
      </x:c>
      <x:c r="P80" s="10" t="str">
        <x:v>PASS</x:v>
      </x:c>
      <x:c r="Q80" s="10" t="str">
        <x:v>DA – FEZABIL</x:v>
      </x:c>
      <x:c r="R80" s="10" t="str">
        <x:v>λ total 2.35 ≤ 2,70; P(U4,5) 91.0%; estimare predominant din piață</x:v>
      </x:c>
      <x:c r="S80" s="10" t="str">
        <x:v>Proxy piață 1X2 (Poisson)</x:v>
      </x:c>
      <x:c r="T80" s="17"/>
      <x:c r="U80" s="29" t="str">
        <x:f>IF(T80="","",K80*T80-1)</x:f>
      </x:c>
      <x:c r="V80" s="10" t="str">
        <x:f>IF(T80="","COTĂ NECOMPLETATĂ",IF(U80&gt;=0.04,"VALUE ≥4%",IF(U80&gt;0,"VALUE MIC","FĂRĂ VALUE")))</x:f>
        <x:v>COTĂ NECOMPLETATĂ</x:v>
      </x:c>
    </x:row>
    <x:row r="81" ht="28.5" customHeight="1">
      <x:c r="A81" s="10" t="n">
        <x:v>80</x:v>
      </x:c>
      <x:c r="B81" s="10" t="str">
        <x:v>Spania</x:v>
      </x:c>
      <x:c r="C81" s="10" t="str">
        <x:v>LaLiga 2</x:v>
      </x:c>
      <x:c r="D81" s="10" t="str">
        <x:v>Girona – Las Palmas</x:v>
      </x:c>
      <x:c r="E81" s="17" t="n">
        <x:v>1.73</x:v>
      </x:c>
      <x:c r="F81" s="17" t="n">
        <x:v>3.7</x:v>
      </x:c>
      <x:c r="G81" s="17" t="n">
        <x:v>4.75</x:v>
      </x:c>
      <x:c r="H81" s="17" t="n">
        <x:v>1.5550902127645543</x:v>
      </x:c>
      <x:c r="I81" s="17" t="n">
        <x:v>0.8249951447391138</x:v>
      </x:c>
      <x:c r="J81" s="17" t="n">
        <x:v>2.3800853575036682</x:v>
      </x:c>
      <x:c r="K81" s="29" t="n">
        <x:v>0.9066122555239292</x:v>
      </x:c>
      <x:c r="L81" s="17" t="n">
        <x:v>1.1030073704685386</x:v>
      </x:c>
      <x:c r="M81" s="29" t="n">
        <x:v>0.5459176541848509</x:v>
      </x:c>
      <x:c r="N81" s="10" t="str">
        <x:v>Scăzut</x:v>
      </x:c>
      <x:c r="O81" s="35" t="n">
        <x:v>62</x:v>
      </x:c>
      <x:c r="P81" s="10" t="str">
        <x:v>PASS</x:v>
      </x:c>
      <x:c r="Q81" s="10" t="str">
        <x:v>DA – FEZABIL</x:v>
      </x:c>
      <x:c r="R81" s="10" t="str">
        <x:v>λ total 2.38 ≤ 2,70; P(U4,5) 90.7%; estimare predominant din piață</x:v>
      </x:c>
      <x:c r="S81" s="10" t="str">
        <x:v>Proxy piață 1X2 (Poisson)</x:v>
      </x:c>
      <x:c r="T81" s="17"/>
      <x:c r="U81" s="29" t="str">
        <x:f>IF(T81="","",K81*T81-1)</x:f>
      </x:c>
      <x:c r="V81" s="10" t="str">
        <x:f>IF(T81="","COTĂ NECOMPLETATĂ",IF(U81&gt;=0.04,"VALUE ≥4%",IF(U81&gt;0,"VALUE MIC","FĂRĂ VALUE")))</x:f>
        <x:v>COTĂ NECOMPLETATĂ</x:v>
      </x:c>
    </x:row>
    <x:row r="82" ht="28.5" customHeight="1">
      <x:c r="A82" s="10" t="n">
        <x:v>81</x:v>
      </x:c>
      <x:c r="B82" s="10" t="str">
        <x:v>Portugalia</x:v>
      </x:c>
      <x:c r="C82" s="10" t="str">
        <x:v>Primeira Liga</x:v>
      </x:c>
      <x:c r="D82" s="10" t="str">
        <x:v>Arouca – Marítimo</x:v>
      </x:c>
      <x:c r="E82" s="17" t="n">
        <x:v>2.23</x:v>
      </x:c>
      <x:c r="F82" s="17" t="n">
        <x:v>3.36</x:v>
      </x:c>
      <x:c r="G82" s="17" t="n">
        <x:v>3.52</x:v>
      </x:c>
      <x:c r="H82" s="17" t="n">
        <x:v>1.242810905239169</x:v>
      </x:c>
      <x:c r="I82" s="17" t="n">
        <x:v>0.9262973106335025</x:v>
      </x:c>
      <x:c r="J82" s="17" t="n">
        <x:v>2.1691082158726713</x:v>
      </x:c>
      <x:c r="K82" s="29" t="n">
        <x:v>0.9308023745125416</x:v>
      </x:c>
      <x:c r="L82" s="17" t="n">
        <x:v>1.0743419090692554</x:v>
      </x:c>
      <x:c r="M82" s="29" t="n">
        <x:v>0.4353100524115187</x:v>
      </x:c>
      <x:c r="N82" s="10" t="str">
        <x:v>Scăzut</x:v>
      </x:c>
      <x:c r="O82" s="35" t="n">
        <x:v>62</x:v>
      </x:c>
      <x:c r="P82" s="10" t="str">
        <x:v>PASS</x:v>
      </x:c>
      <x:c r="Q82" s="10" t="str">
        <x:v>DA – FEZABIL</x:v>
      </x:c>
      <x:c r="R82" s="10" t="str">
        <x:v>λ total 2.17 ≤ 2,70; P(U4,5) 93.1%; estimare predominant din piață</x:v>
      </x:c>
      <x:c r="S82" s="10" t="str">
        <x:v>Proxy piață 1X2 (Poisson)</x:v>
      </x:c>
      <x:c r="T82" s="17"/>
      <x:c r="U82" s="29" t="str">
        <x:f>IF(T82="","",K82*T82-1)</x:f>
      </x:c>
      <x:c r="V82" s="10" t="str">
        <x:f>IF(T82="","COTĂ NECOMPLETATĂ",IF(U82&gt;=0.04,"VALUE ≥4%",IF(U82&gt;0,"VALUE MIC","FĂRĂ VALUE")))</x:f>
        <x:v>COTĂ NECOMPLETATĂ</x:v>
      </x:c>
    </x:row>
    <x:row r="83" ht="28.5" customHeight="1">
      <x:c r="A83" s="14" t="n">
        <x:v>82</x:v>
      </x:c>
      <x:c r="B83" s="14" t="str">
        <x:v>Portugalia</x:v>
      </x:c>
      <x:c r="C83" s="14" t="str">
        <x:v>Primeira Liga</x:v>
      </x:c>
      <x:c r="D83" s="14" t="str">
        <x:v>Alverca – Santa Clara</x:v>
      </x:c>
      <x:c r="E83" s="20" t="n">
        <x:v>2.73</x:v>
      </x:c>
      <x:c r="F83" s="20" t="n">
        <x:v>3.19</x:v>
      </x:c>
      <x:c r="G83" s="20" t="n">
        <x:v>2.86</x:v>
      </x:c>
      <x:c r="H83" s="20" t="n">
        <x:v>1.0370823694743037</x:v>
      </x:c>
      <x:c r="I83" s="20" t="n">
        <x:v>1.0059214415768467</x:v>
      </x:c>
      <x:c r="J83" s="20" t="n">
        <x:v>2.0430038110511504</x:v>
      </x:c>
      <x:c r="K83" s="32" t="n">
        <x:v>0.9433836137252003</x:v>
      </x:c>
      <x:c r="L83" s="20" t="n">
        <x:v>1.0600141718078342</x:v>
      </x:c>
      <x:c r="M83" s="32" t="n">
        <x:v>0.35582822085889565</x:v>
      </x:c>
      <x:c r="N83" s="14" t="str">
        <x:v>Scăzut</x:v>
      </x:c>
      <x:c r="O83" s="38" t="n">
        <x:v>62</x:v>
      </x:c>
      <x:c r="P83" s="14" t="str">
        <x:v>PASS</x:v>
      </x:c>
      <x:c r="Q83" s="14" t="str">
        <x:v>DA – FEZABIL</x:v>
      </x:c>
      <x:c r="R83" s="14" t="str">
        <x:v>λ total 2.04 ≤ 2,70; P(U4,5) 94.3%; estimare predominant din piață</x:v>
      </x:c>
      <x:c r="S83" s="14" t="str">
        <x:v>Proxy piață 1X2 (Poisson)</x:v>
      </x:c>
      <x:c r="T83" s="20"/>
      <x:c r="U83" s="32" t="str">
        <x:f>IF(T83="","",K83*T83-1)</x:f>
      </x:c>
      <x:c r="V83" s="14" t="str">
        <x:f>IF(T83="","COTĂ NECOMPLETATĂ",IF(U83&gt;=0.04,"VALUE ≥4%",IF(U83&gt;0,"VALUE MIC","FĂRĂ VALUE")))</x:f>
        <x:v>COTĂ NECOMPLETATĂ</x:v>
      </x:c>
    </x:row>
    <x:row r="84" ht="28.5" customHeight="1">
      <x:c r="A84" s="10" t="n">
        <x:v>83</x:v>
      </x:c>
      <x:c r="B84" s="10" t="str">
        <x:v>Portugalia</x:v>
      </x:c>
      <x:c r="C84" s="10" t="str">
        <x:v>Primeira Liga</x:v>
      </x:c>
      <x:c r="D84" s="10" t="str">
        <x:v>Académico Viseu – FC Porto</x:v>
      </x:c>
      <x:c r="E84" s="17" t="n">
        <x:v>9.26</x:v>
      </x:c>
      <x:c r="F84" s="17" t="n">
        <x:v>5.34</x:v>
      </x:c>
      <x:c r="G84" s="17" t="n">
        <x:v>1.36</x:v>
      </x:c>
      <x:c r="H84" s="17" t="n">
        <x:v>0.9205390284424619</x:v>
      </x:c>
      <x:c r="I84" s="17" t="n">
        <x:v>2.895935020255763</x:v>
      </x:c>
      <x:c r="J84" s="17" t="n">
        <x:v>3.816474048698225</x:v>
      </x:c>
      <x:c r="K84" s="29" t="n">
        <x:v>0.6646403764534546</x:v>
      </x:c>
      <x:c r="L84" s="17" t="n">
        <x:v>1.504573052476945</x:v>
      </x:c>
      <x:c r="M84" s="29" t="n">
        <x:v>0.7134958242189529</x:v>
      </x:c>
      <x:c r="N84" s="10" t="str">
        <x:v>Moderat</x:v>
      </x:c>
      <x:c r="O84" s="35" t="n">
        <x:v>45</x:v>
      </x:c>
      <x:c r="P84" s="10" t="str">
        <x:v>FAIL</x:v>
      </x:c>
      <x:c r="Q84" s="10" t="str">
        <x:v>NU – EVITĂ</x:v>
      </x:c>
      <x:c r="R84" s="10" t="str">
        <x:v>λ total 3.82 &gt; 2,70; P(U4,5) 66.5%; favorită clară; date contradictorii / confidence redus</x:v>
      </x:c>
      <x:c r="S84" s="10" t="str">
        <x:v>Piață 1X2 + model extern contradictoriu (5.0 xG total)</x:v>
      </x:c>
      <x:c r="T84" s="17"/>
      <x:c r="U84" s="29" t="str">
        <x:f>IF(T84="","",K84*T84-1)</x:f>
      </x:c>
      <x:c r="V84" s="10" t="str">
        <x:f>IF(T84="","COTĂ NECOMPLETATĂ",IF(U84&gt;=0.04,"VALUE ≥4%",IF(U84&gt;0,"VALUE MIC","FĂRĂ VALUE")))</x:f>
        <x:v>COTĂ NECOMPLETATĂ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1" hidden="0" customWidth="1"/>
    <x:col min="2" max="2" width="38" hidden="0" customWidth="1"/>
    <x:col min="3" max="3" width="11" hidden="0" customWidth="1"/>
    <x:col min="4" max="4" width="13" hidden="0" customWidth="1"/>
    <x:col min="5" max="5" width="45.75" hidden="0" customWidth="1"/>
    <x:col min="6" max="6" width="55" hidden="0" customWidth="1"/>
    <x:col min="7" max="7" width="13" hidden="0" customWidth="1"/>
    <x:col min="8" max="8" width="12" hidden="0" customWidth="1"/>
  </x:cols>
  <x:sheetData>
    <x:row r="1" ht="18" customHeight="1">
      <x:c r="A1" s="42" t="str">
        <x:v>ARHIVĂ – REZUMATUL CELOR 83 DE MECIURI</x:v>
      </x:c>
      <x:c r="B1" s="42"/>
      <x:c r="C1" s="42"/>
      <x:c r="D1" s="42"/>
      <x:c r="E1" s="42"/>
      <x:c r="F1" s="42"/>
      <x:c r="G1" s="42"/>
      <x:c r="H1" s="42"/>
    </x:row>
    <x:row r="2">
      <x:c r="A2" s="8"/>
      <x:c r="B2" s="8"/>
      <x:c r="C2" s="8"/>
      <x:c r="D2" s="8"/>
      <x:c r="E2" s="8"/>
      <x:c r="F2" s="8"/>
      <x:c r="G2" s="8"/>
      <x:c r="H2" s="8"/>
    </x:row>
    <x:row r="3" ht="15" customHeight="1">
      <x:c r="A3" s="6" t="str">
        <x:v>Indicator</x:v>
      </x:c>
      <x:c r="B3" s="6" t="str">
        <x:v>Valoare</x:v>
      </x:c>
      <x:c r="C3" s="9"/>
      <x:c r="D3" s="6" t="str">
        <x:v>#</x:v>
      </x:c>
      <x:c r="E3" s="6" t="str">
        <x:v>Meci</x:v>
      </x:c>
      <x:c r="F3" s="6" t="str">
        <x:v>λ total</x:v>
      </x:c>
      <x:c r="G3" s="6" t="str">
        <x:v>P Under 4,5</x:v>
      </x:c>
      <x:c r="H3" s="6" t="str">
        <x:v>Confidence</x:v>
      </x:c>
    </x:row>
    <x:row r="4">
      <x:c r="A4" s="34" t="str">
        <x:v>Total meciuri</x:v>
      </x:c>
      <x:c r="B4" s="34" t="n">
        <x:v>83</x:v>
      </x:c>
      <x:c r="C4" s="9"/>
      <x:c r="D4" s="9" t="n">
        <x:v>59</x:v>
      </x:c>
      <x:c r="E4" s="9" t="str">
        <x:v>FC Argeș – Sepsi</x:v>
      </x:c>
      <x:c r="F4" s="16" t="n">
        <x:v>1.8721949937766884</x:v>
      </x:c>
      <x:c r="G4" s="28" t="n">
        <x:v>0.9581421545278304</x:v>
      </x:c>
      <x:c r="H4" s="9" t="n">
        <x:v>62</x:v>
      </x:c>
    </x:row>
    <x:row r="5">
      <x:c r="A5" s="34" t="str">
        <x:v>DA – FEZABIL</x:v>
      </x:c>
      <x:c r="B5" s="34" t="n">
        <x:v>57</x:v>
      </x:c>
      <x:c r="C5" s="9"/>
      <x:c r="D5" s="9" t="n">
        <x:v>67</x:v>
      </x:c>
      <x:c r="E5" s="9" t="str">
        <x:v>Panetolikos – Kalamata</x:v>
      </x:c>
      <x:c r="F5" s="16" t="n">
        <x:v>1.9888242490666923</x:v>
      </x:c>
      <x:c r="G5" s="28" t="n">
        <x:v>0.9483496639848867</x:v>
      </x:c>
      <x:c r="H5" s="9" t="n">
        <x:v>62</x:v>
      </x:c>
    </x:row>
    <x:row r="6">
      <x:c r="A6" s="34" t="str">
        <x:v>DA – PRUDENT</x:v>
      </x:c>
      <x:c r="B6" s="34" t="n">
        <x:v>16</x:v>
      </x:c>
      <x:c r="C6" s="9"/>
      <x:c r="D6" s="9" t="n">
        <x:v>43</x:v>
      </x:c>
      <x:c r="E6" s="9" t="str">
        <x:v>Sampdoria – Juve Stabia</x:v>
      </x:c>
      <x:c r="F6" s="16" t="n">
        <x:v>1.9969012462580504</x:v>
      </x:c>
      <x:c r="G6" s="28" t="n">
        <x:v>0.9476261299580092</x:v>
      </x:c>
      <x:c r="H6" s="9" t="n">
        <x:v>62</x:v>
      </x:c>
    </x:row>
    <x:row r="7">
      <x:c r="A7" s="34" t="str">
        <x:v>NU – EVITĂ</x:v>
      </x:c>
      <x:c r="B7" s="34" t="n">
        <x:v>10</x:v>
      </x:c>
      <x:c r="C7" s="9"/>
      <x:c r="D7" s="9" t="n">
        <x:v>45</x:v>
      </x:c>
      <x:c r="E7" s="9" t="str">
        <x:v>Ascoli – Carrarese</x:v>
      </x:c>
      <x:c r="F7" s="16" t="n">
        <x:v>2.0174135144475094</x:v>
      </x:c>
      <x:c r="G7" s="28" t="n">
        <x:v>0.945762195133537</x:v>
      </x:c>
      <x:c r="H7" s="9" t="n">
        <x:v>62</x:v>
      </x:c>
    </x:row>
    <x:row r="8">
      <x:c r="A8" s="9"/>
      <x:c r="B8" s="9"/>
      <x:c r="C8" s="9"/>
      <x:c r="D8" s="9" t="n">
        <x:v>82</x:v>
      </x:c>
      <x:c r="E8" s="9" t="str">
        <x:v>Alverca – Santa Clara</x:v>
      </x:c>
      <x:c r="F8" s="16" t="n">
        <x:v>2.0430038110511504</x:v>
      </x:c>
      <x:c r="G8" s="28" t="n">
        <x:v>0.9433836137252003</x:v>
      </x:c>
      <x:c r="H8" s="9" t="n">
        <x:v>62</x:v>
      </x:c>
    </x:row>
    <x:row r="9">
      <x:c r="A9" s="9"/>
      <x:c r="B9" s="9"/>
      <x:c r="C9" s="9"/>
      <x:c r="D9" s="9" t="n">
        <x:v>47</x:v>
      </x:c>
      <x:c r="E9" s="9" t="str">
        <x:v>Padova – Hellas Verona</x:v>
      </x:c>
      <x:c r="F9" s="16" t="n">
        <x:v>2.0435790025997345</x:v>
      </x:c>
      <x:c r="G9" s="28" t="n">
        <x:v>0.943329471973152</x:v>
      </x:c>
      <x:c r="H9" s="9" t="n">
        <x:v>62</x:v>
      </x:c>
    </x:row>
    <x:row r="10">
      <x:c r="A10" s="9"/>
      <x:c r="B10" s="9"/>
      <x:c r="C10" s="9"/>
      <x:c r="D10" s="9" t="n">
        <x:v>78</x:v>
      </x:c>
      <x:c r="E10" s="9" t="str">
        <x:v>Albacete – Real Oviedo</x:v>
      </x:c>
      <x:c r="F10" s="16" t="n">
        <x:v>2.0480328682759357</x:v>
      </x:c>
      <x:c r="G10" s="28" t="n">
        <x:v>0.942909228123563</x:v>
      </x:c>
      <x:c r="H10" s="9" t="n">
        <x:v>62</x:v>
      </x:c>
    </x:row>
    <x:row r="11">
      <x:c r="A11" s="9"/>
      <x:c r="B11" s="9"/>
      <x:c r="C11" s="9"/>
      <x:c r="D11" s="9" t="n">
        <x:v>40</x:v>
      </x:c>
      <x:c r="E11" s="9" t="str">
        <x:v>Monza – Udinese</x:v>
      </x:c>
      <x:c r="F11" s="16" t="n">
        <x:v>2.0764260762685582</x:v>
      </x:c>
      <x:c r="G11" s="28" t="n">
        <x:v>0.9401881847877224</x:v>
      </x:c>
      <x:c r="H11" s="9" t="n">
        <x:v>62</x:v>
      </x:c>
    </x:row>
    <x:row r="12">
      <x:c r="A12" s="9"/>
      <x:c r="B12" s="9"/>
      <x:c r="C12" s="9"/>
      <x:c r="D12" s="9" t="n">
        <x:v>60</x:v>
      </x:c>
      <x:c r="E12" s="9" t="str">
        <x:v>Corvinul – Dinamo București</x:v>
      </x:c>
      <x:c r="F12" s="16" t="n">
        <x:v>2.111051034497706</x:v>
      </x:c>
      <x:c r="G12" s="28" t="n">
        <x:v>0.9367717990097022</x:v>
      </x:c>
      <x:c r="H12" s="9" t="n">
        <x:v>76</x:v>
      </x:c>
    </x:row>
    <x:row r="13">
      <x:c r="A13" s="9"/>
      <x:c r="B13" s="9"/>
      <x:c r="C13" s="9"/>
      <x:c r="D13" s="9" t="n">
        <x:v>46</x:v>
      </x:c>
      <x:c r="E13" s="9" t="str">
        <x:v>Avellino – L.R. Vicenza</x:v>
      </x:c>
      <x:c r="F13" s="16" t="n">
        <x:v>2.1152967881540143</x:v>
      </x:c>
      <x:c r="G13" s="28" t="n">
        <x:v>0.9363454701712638</x:v>
      </x:c>
      <x:c r="H13" s="9" t="n">
        <x:v>62</x:v>
      </x:c>
    </x:row>
    <x:row r="14">
      <x:c r="A14" s="9"/>
      <x:c r="B14" s="9"/>
      <x:c r="C14" s="9"/>
      <x:c r="D14" s="9" t="n">
        <x:v>25</x:v>
      </x:c>
      <x:c r="E14" s="9" t="str">
        <x:v>Red Star – Reims</x:v>
      </x:c>
      <x:c r="F14" s="16" t="n">
        <x:v>2.141671222268055</x:v>
      </x:c>
      <x:c r="G14" s="28" t="n">
        <x:v>0.9336609712604852</x:v>
      </x:c>
      <x:c r="H14" s="9" t="n">
        <x:v>62</x:v>
      </x:c>
    </x:row>
    <x:row r="15">
      <x:c r="A15" s="9"/>
      <x:c r="B15" s="9"/>
      <x:c r="C15" s="9"/>
      <x:c r="D15" s="9" t="n">
        <x:v>44</x:v>
      </x:c>
      <x:c r="E15" s="9" t="str">
        <x:v>Virtus Entella – Cesena</x:v>
      </x:c>
      <x:c r="F15" s="16" t="n">
        <x:v>2.1536556361567287</x:v>
      </x:c>
      <x:c r="G15" s="28" t="n">
        <x:v>0.93242059984724</x:v>
      </x:c>
      <x:c r="H15" s="9" t="n">
        <x:v>62</x:v>
      </x:c>
    </x:row>
    <x:row r="16">
      <x:c r="A16" s="9"/>
      <x:c r="B16" s="9"/>
      <x:c r="C16" s="9"/>
      <x:c r="D16" s="9" t="n">
        <x:v>77</x:v>
      </x:c>
      <x:c r="E16" s="9" t="str">
        <x:v>Sabadell – Almería</x:v>
      </x:c>
      <x:c r="F16" s="16" t="n">
        <x:v>2.1573251901651656</x:v>
      </x:c>
      <x:c r="G16" s="28" t="n">
        <x:v>0.9320382430623022</x:v>
      </x:c>
      <x:c r="H16" s="9" t="n">
        <x:v>62</x:v>
      </x:c>
    </x:row>
    <x:row r="17">
      <x:c r="A17" s="9"/>
      <x:c r="B17" s="9"/>
      <x:c r="C17" s="9"/>
      <x:c r="D17" s="9" t="n">
        <x:v>24</x:v>
      </x:c>
      <x:c r="E17" s="9" t="str">
        <x:v>Annecy – Metz</x:v>
      </x:c>
      <x:c r="F17" s="16" t="n">
        <x:v>2.1582801760935153</x:v>
      </x:c>
      <x:c r="G17" s="28" t="n">
        <x:v>0.9319385394610106</x:v>
      </x:c>
      <x:c r="H17" s="9" t="n">
        <x:v>62</x:v>
      </x:c>
    </x:row>
    <x:row r="18">
      <x:c r="A18" s="9"/>
      <x:c r="B18" s="9"/>
      <x:c r="C18" s="9"/>
      <x:c r="D18" s="9" t="n">
        <x:v>29</x:v>
      </x:c>
      <x:c r="E18" s="9" t="str">
        <x:v>RAAL La Louvière – Mechelen</x:v>
      </x:c>
      <x:c r="F18" s="16" t="n">
        <x:v>2.1602939024573793</x:v>
      </x:c>
      <x:c r="G18" s="28" t="n">
        <x:v>0.9317280335620164</x:v>
      </x:c>
      <x:c r="H18" s="9" t="n">
        <x:v>62</x:v>
      </x:c>
    </x:row>
    <x:row r="19">
      <x:c r="A19" s="9"/>
      <x:c r="B19" s="9"/>
      <x:c r="C19" s="9"/>
      <x:c r="D19" s="9"/>
      <x:c r="E19" s="9"/>
      <x:c r="F19" s="9"/>
      <x:c r="G19" s="9"/>
      <x:c r="H19" s="9"/>
    </x:row>
    <x:row r="20">
      <x:c r="A20" s="9"/>
      <x:c r="B20" s="9"/>
      <x:c r="C20" s="9"/>
      <x:c r="D20" s="9"/>
      <x:c r="E20" s="9"/>
      <x:c r="F20" s="9"/>
      <x:c r="G20" s="9"/>
      <x:c r="H20" s="9"/>
    </x:row>
    <x:row r="21">
      <x:c r="A21" s="9"/>
      <x:c r="B21" s="9"/>
      <x:c r="C21" s="9"/>
      <x:c r="D21" s="9"/>
      <x:c r="E21" s="9"/>
      <x:c r="F21" s="9"/>
      <x:c r="G21" s="9"/>
      <x:c r="H21" s="9"/>
    </x:row>
    <x:row r="22" ht="15" customHeight="1">
      <x:c r="A22" s="47" t="str">
        <x:v>#</x:v>
      </x:c>
      <x:c r="B22" s="47" t="str">
        <x:v>Meci</x:v>
      </x:c>
      <x:c r="C22" s="47" t="str">
        <x:v>λ total</x:v>
      </x:c>
      <x:c r="D22" s="47" t="str">
        <x:v>P Under 4,5</x:v>
      </x:c>
      <x:c r="E22" s="47" t="str">
        <x:v>Confidence</x:v>
      </x:c>
      <x:c r="F22" s="47" t="str">
        <x:v>Motiv</x:v>
      </x:c>
      <x:c r="G22" s="9"/>
      <x:c r="H22" s="9"/>
    </x:row>
    <x:row r="23">
      <x:c r="A23" s="9" t="n">
        <x:v>65</x:v>
      </x:c>
      <x:c r="B23" s="9" t="str">
        <x:v>Viking – Aalesund</x:v>
      </x:c>
      <x:c r="C23" s="16" t="n">
        <x:v>4.311420112078974</x:v>
      </x:c>
      <x:c r="D23" s="28" t="n">
        <x:v>0.5682316698714247</x:v>
      </x:c>
      <x:c r="E23" s="48" t="n">
        <x:v>82</x:v>
      </x:c>
      <x:c r="F23" s="9" t="str">
        <x:v>λ total 4.31 &gt; 2,70; P(U4,5) 56.8%; risc de scor unilateral mare</x:v>
      </x:c>
      <x:c r="G23" s="9"/>
      <x:c r="H23" s="9"/>
    </x:row>
    <x:row r="24">
      <x:c r="A24" s="9" t="n">
        <x:v>69</x:v>
      </x:c>
      <x:c r="B24" s="9" t="str">
        <x:v>Galatasaray – Göztepe</x:v>
      </x:c>
      <x:c r="C24" s="16" t="n">
        <x:v>3.9702860193642513</x:v>
      </x:c>
      <x:c r="D24" s="28" t="n">
        <x:v>0.6346418465814003</x:v>
      </x:c>
      <x:c r="E24" s="48" t="n">
        <x:v>82</x:v>
      </x:c>
      <x:c r="F24" s="9" t="str">
        <x:v>λ total 3.97 &gt; 2,70; P(U4,5) 63.5%; favorită clară</x:v>
      </x:c>
      <x:c r="G24" s="9"/>
      <x:c r="H24" s="9"/>
    </x:row>
    <x:row r="25" ht="28.5" customHeight="1">
      <x:c r="A25" s="9" t="n">
        <x:v>83</x:v>
      </x:c>
      <x:c r="B25" s="9" t="str">
        <x:v>Académico Viseu – FC Porto</x:v>
      </x:c>
      <x:c r="C25" s="16" t="n">
        <x:v>3.816474048698225</x:v>
      </x:c>
      <x:c r="D25" s="28" t="n">
        <x:v>0.6646403764534546</x:v>
      </x:c>
      <x:c r="E25" s="48" t="n">
        <x:v>45</x:v>
      </x:c>
      <x:c r="F25" s="9" t="str">
        <x:v>λ total 3.82 &gt; 2,70; P(U4,5) 66.5%; favorită clară; date contradictorii / confidence redus</x:v>
      </x:c>
      <x:c r="G25" s="9"/>
      <x:c r="H25" s="9"/>
    </x:row>
    <x:row r="26">
      <x:c r="A26" s="9" t="n">
        <x:v>52</x:v>
      </x:c>
      <x:c r="B26" s="9" t="str">
        <x:v>Celtic – Falkirk</x:v>
      </x:c>
      <x:c r="C26" s="16" t="n">
        <x:v>3.663261217950828</x:v>
      </x:c>
      <x:c r="D26" s="28" t="n">
        <x:v>0.6943013581267131</x:v>
      </x:c>
      <x:c r="E26" s="48" t="n">
        <x:v>72</x:v>
      </x:c>
      <x:c r="F26" s="9" t="str">
        <x:v>λ total 3.66 &gt; 2,70; P(U4,5) 69.4%; risc de scor unilateral mare</x:v>
      </x:c>
      <x:c r="G26" s="9"/>
      <x:c r="H26" s="9"/>
    </x:row>
    <x:row r="27" ht="28.5" customHeight="1">
      <x:c r="A27" s="9" t="n">
        <x:v>38</x:v>
      </x:c>
      <x:c r="B27" s="9" t="str">
        <x:v>Borussia Dortmund – Hamburg</x:v>
      </x:c>
      <x:c r="C27" s="16" t="n">
        <x:v>3.3651159157660864</x:v>
      </x:c>
      <x:c r="D27" s="28" t="n">
        <x:v>0.7506436011425054</x:v>
      </x:c>
      <x:c r="E27" s="48" t="n">
        <x:v>62</x:v>
      </x:c>
      <x:c r="F27" s="9" t="str">
        <x:v>λ total 3.37 &gt; 2,70; P(U4,5) 75.1%; risc de scor unilateral mare; estimare predominant din piață</x:v>
      </x:c>
      <x:c r="G27" s="9"/>
      <x:c r="H27" s="9"/>
    </x:row>
    <x:row r="28" ht="28.5" customHeight="1">
      <x:c r="A28" s="9" t="n">
        <x:v>18</x:v>
      </x:c>
      <x:c r="B28" s="9" t="str">
        <x:v>Young Boys – Basel</x:v>
      </x:c>
      <x:c r="C28" s="16" t="n">
        <x:v>3.2653812628533663</x:v>
      </x:c>
      <x:c r="D28" s="28" t="n">
        <x:v>0.768876143864429</x:v>
      </x:c>
      <x:c r="E28" s="48" t="n">
        <x:v>62</x:v>
      </x:c>
      <x:c r="F28" s="9" t="str">
        <x:v>λ total 3.27 &gt; 2,70; P(U4,5) 76.9%; estimare predominant din piață</x:v>
      </x:c>
      <x:c r="G28" s="9"/>
      <x:c r="H28" s="9"/>
    </x:row>
    <x:row r="29">
      <x:c r="A29" s="9" t="n">
        <x:v>72</x:v>
      </x:c>
      <x:c r="B29" s="9" t="str">
        <x:v>AZ Alkmaar – Go Ahead Eagles</x:v>
      </x:c>
      <x:c r="C29" s="16" t="n">
        <x:v>3.251744669888605</x:v>
      </x:c>
      <x:c r="D29" s="28" t="n">
        <x:v>0.7713389038970695</x:v>
      </x:c>
      <x:c r="E29" s="48" t="n">
        <x:v>74</x:v>
      </x:c>
      <x:c r="F29" s="9" t="str">
        <x:v>λ total 3.25 &gt; 2,70; P(U4,5) 77.1%; favorită clară</x:v>
      </x:c>
      <x:c r="G29" s="9"/>
      <x:c r="H29" s="9"/>
    </x:row>
    <x:row r="30">
      <x:c r="A30" s="9" t="n">
        <x:v>42</x:v>
      </x:c>
      <x:c r="B30" s="9" t="str">
        <x:v>Juventus – Parma</x:v>
      </x:c>
      <x:c r="C30" s="16" t="n">
        <x:v>3.159658716040076</x:v>
      </x:c>
      <x:c r="D30" s="28" t="n">
        <x:v>0.7877601350820588</x:v>
      </x:c>
      <x:c r="E30" s="48" t="n">
        <x:v>78</x:v>
      </x:c>
      <x:c r="F30" s="9" t="str">
        <x:v>λ total 3.16 &gt; 2,70; P(U4,5) 78.8%; risc de scor unilateral mare</x:v>
      </x:c>
      <x:c r="G30" s="9"/>
      <x:c r="H30" s="9"/>
    </x:row>
    <x:row r="31" ht="28.5" customHeight="1">
      <x:c r="A31" s="9" t="n">
        <x:v>73</x:v>
      </x:c>
      <x:c r="B31" s="9" t="str">
        <x:v>PEC Zwolle – NEC</x:v>
      </x:c>
      <x:c r="C31" s="16" t="n">
        <x:v>3.1291627907034756</x:v>
      </x:c>
      <x:c r="D31" s="28" t="n">
        <x:v>0.7931129455224234</x:v>
      </x:c>
      <x:c r="E31" s="48" t="n">
        <x:v>62</x:v>
      </x:c>
      <x:c r="F31" s="9" t="str">
        <x:v>λ total 3.13 &gt; 2,70; P(U4,5) 79.3%; estimare predominant din piață</x:v>
      </x:c>
      <x:c r="G31" s="9"/>
      <x:c r="H31" s="9"/>
    </x:row>
    <x:row r="32" ht="28.5" customHeight="1">
      <x:c r="A32" s="9" t="n">
        <x:v>33</x:v>
      </x:c>
      <x:c r="B32" s="9" t="str">
        <x:v>Elversberg – Bayer Leverkusen</x:v>
      </x:c>
      <x:c r="C32" s="16" t="n">
        <x:v>3.128770988608201</x:v>
      </x:c>
      <x:c r="D32" s="28" t="n">
        <x:v>0.7931814259285671</x:v>
      </x:c>
      <x:c r="E32" s="48" t="n">
        <x:v>62</x:v>
      </x:c>
      <x:c r="F32" s="9" t="str">
        <x:v>λ total 3.13 &gt; 2,70; P(U4,5) 79.3%; estimare predominant din piață</x:v>
      </x:c>
      <x:c r="G32" s="9"/>
      <x:c r="H32" s="9"/>
    </x:row>
    <x:row r="33">
      <x:c r="A33" s="9"/>
      <x:c r="B33" s="9"/>
      <x:c r="C33" s="9"/>
      <x:c r="D33" s="9"/>
      <x:c r="E33" s="9"/>
      <x:c r="F33" s="9"/>
      <x:c r="G33" s="9"/>
      <x:c r="H33" s="9"/>
    </x:row>
    <x:row r="34">
      <x:c r="A34" s="9"/>
      <x:c r="B34" s="9"/>
      <x:c r="C34" s="9"/>
      <x:c r="D34" s="9"/>
      <x:c r="E34" s="9"/>
      <x:c r="F34" s="9"/>
      <x:c r="G34" s="9"/>
      <x:c r="H34" s="9"/>
    </x:row>
    <x:row r="35">
      <x:c r="A35" s="9"/>
      <x:c r="B35" s="9"/>
      <x:c r="C35" s="9"/>
      <x:c r="D35" s="9"/>
      <x:c r="E35" s="9"/>
      <x:c r="F35" s="9"/>
      <x:c r="G35" s="9"/>
      <x:c r="H35" s="9"/>
    </x:row>
    <x:row r="36" ht="15" customHeight="1">
      <x:c r="A36" s="6" t="str">
        <x:v>NOTĂ METODOLOGICĂ</x:v>
      </x:c>
      <x:c r="B36" s="6"/>
      <x:c r="C36" s="6"/>
      <x:c r="D36" s="6"/>
      <x:c r="E36" s="6"/>
      <x:c r="F36" s="6"/>
      <x:c r="G36" s="6"/>
      <x:c r="H36" s="6"/>
    </x:row>
    <x:row r="37">
      <x:c r="A37" s="10" t="str">
        <x:v>Concluzia „fezabil” evaluează riscul de a se ajunge la minimum 5 goluri. Modelul original are λ total preferat ≤ 2,70 și λ individual ≤ 2,80. Pentru toate cele 83 de partide s-au folosit cote 1X2 curente ca proxy Poisson pentru λ; acolo unde au existat proiecții xG/Under 4,5 publice curente, acestea au fost integrate. Testul complet de VALUE/EV necesită cota bookmakerului pentru Under 4,5; introduce această cotă în coloana T din «Analiza 83 meciuri», iar EV se calculează automat.</x:v>
      </x:c>
      <x:c r="B37" s="10"/>
      <x:c r="C37" s="10"/>
      <x:c r="D37" s="10"/>
      <x:c r="E37" s="10"/>
      <x:c r="F37" s="10"/>
      <x:c r="G37" s="10"/>
      <x:c r="H37" s="10"/>
    </x:row>
  </x:sheetData>
  <x:mergeCells>
    <x:mergeCell ref="A1:H1"/>
    <x:mergeCell ref="A36:H36"/>
    <x:mergeCell ref="A37:H4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5" hidden="0" customWidth="1"/>
    <x:col min="2" max="2" width="12" hidden="0" customWidth="1"/>
    <x:col min="3" max="3" width="18" hidden="0" customWidth="1"/>
    <x:col min="4" max="4" width="34" hidden="0" customWidth="1"/>
    <x:col min="5" max="5" width="17" hidden="0" customWidth="1"/>
    <x:col min="6" max="6" width="10" hidden="0" customWidth="1"/>
    <x:col min="7" max="7" width="12" hidden="0" customWidth="1"/>
    <x:col min="8" max="8" width="11" hidden="0" customWidth="1"/>
    <x:col min="9" max="9" width="10" hidden="0" customWidth="1"/>
    <x:col min="10" max="10" width="11" hidden="0" customWidth="1"/>
    <x:col min="11" max="11" width="11" hidden="0" customWidth="1"/>
    <x:col min="12" max="12" width="11" hidden="0" customWidth="1"/>
    <x:col min="13" max="13" width="12" hidden="0" customWidth="1"/>
    <x:col min="14" max="14" width="13" hidden="0" customWidth="1"/>
    <x:col min="15" max="15" width="18" hidden="0" customWidth="1"/>
    <x:col min="16" max="16" width="14" hidden="0" customWidth="1"/>
    <x:col min="17" max="17" width="14" hidden="0" customWidth="1"/>
    <x:col min="18" max="18" width="14" hidden="0" customWidth="1"/>
    <x:col min="19" max="19" width="62" hidden="0" customWidth="1"/>
    <x:col min="20" max="20" width="42" hidden="0" customWidth="1"/>
    <x:col min="21" max="21" width="55" hidden="0" customWidth="1"/>
    <x:col min="22" max="22" width="12" hidden="0" customWidth="1"/>
    <x:col min="23" max="23" width="10" hidden="0" customWidth="1"/>
    <x:col min="24" max="24" width="10" hidden="0" customWidth="1"/>
    <x:col min="25" max="25" width="24" hidden="0" customWidth="1"/>
    <x:col min="26" max="26" width="14" hidden="0" customWidth="1"/>
    <x:col min="27" max="27" width="12" hidden="0" customWidth="1"/>
    <x:col min="28" max="28" width="19" hidden="0" customWidth="1"/>
    <x:col min="29" max="29" width="19" hidden="0" customWidth="1"/>
    <x:col min="30" max="30" width="18" hidden="0" customWidth="1"/>
    <x:col min="31" max="31" width="18" hidden="0" customWidth="1"/>
    <x:col min="32" max="32" width="16" hidden="0" customWidth="1"/>
    <x:col min="33" max="33" width="16" hidden="0" customWidth="1"/>
    <x:col min="34" max="34" width="16" hidden="0" customWidth="1"/>
    <x:col min="35" max="35" width="14" hidden="0" customWidth="1"/>
    <x:col min="36" max="36" width="15" hidden="0" customWidth="1"/>
    <x:col min="37" max="37" width="18" hidden="0" customWidth="1"/>
    <x:col min="38" max="38" width="18" hidden="0" customWidth="1"/>
    <x:col min="39" max="39" width="18" hidden="0" customWidth="1"/>
    <x:col min="40" max="40" width="14" hidden="0" customWidth="1"/>
    <x:col min="41" max="41" width="14" hidden="0" customWidth="1"/>
    <x:col min="42" max="42" width="12" hidden="0" customWidth="1"/>
    <x:col min="43" max="43" width="12" hidden="0" customWidth="1"/>
    <x:col min="44" max="44" width="42" hidden="0" customWidth="1"/>
  </x:cols>
  <x:sheetData>
    <x:row r="1" ht="36" customHeight="1">
      <x:c r="A1" s="6" t="str">
        <x:v>#</x:v>
      </x:c>
      <x:c r="B1" s="6" t="str">
        <x:v>Țară</x:v>
      </x:c>
      <x:c r="C1" s="6" t="str">
        <x:v>Competiție</x:v>
      </x:c>
      <x:c r="D1" s="6" t="str">
        <x:v>Meci</x:v>
      </x:c>
      <x:c r="E1" s="6" t="str">
        <x:v>Concluzie model inițial</x:v>
      </x:c>
      <x:c r="F1" s="6" t="str">
        <x:v>λ total</x:v>
      </x:c>
      <x:c r="G1" s="6" t="str">
        <x:v>P Under 4,5 raw</x:v>
      </x:c>
      <x:c r="H1" s="6" t="str">
        <x:v>Confidence inițial</x:v>
      </x:c>
      <x:c r="I1" s="6" t="str">
        <x:v>Filtru λ</x:v>
      </x:c>
      <x:c r="J1" s="6" t="str">
        <x:v>Goluri gazde</x:v>
      </x:c>
      <x:c r="K1" s="6" t="str">
        <x:v>Goluri oaspeți</x:v>
      </x:c>
      <x:c r="L1" s="6" t="str">
        <x:v>Goluri totale</x:v>
      </x:c>
      <x:c r="M1" s="6" t="str">
        <x:v>Rezultat U4,5</x:v>
      </x:c>
      <x:c r="N1" s="6" t="str">
        <x:v>Acțiune model inițial</x:v>
      </x:c>
      <x:c r="O1" s="6" t="str">
        <x:v>Rezultat backtest</x:v>
      </x:c>
      <x:c r="P1" s="6" t="str">
        <x:v>Actual U4,5 (1/0)</x:v>
      </x:c>
      <x:c r="Q1" s="6" t="str">
        <x:v>Brier raw</x:v>
      </x:c>
      <x:c r="R1" s="6" t="str">
        <x:v>Eroare goluri (real-λ)</x:v>
      </x:c>
      <x:c r="S1" s="6" t="str">
        <x:v>Diagnostic</x:v>
      </x:c>
      <x:c r="T1" s="6" t="str">
        <x:v>Bază estimare λ</x:v>
      </x:c>
      <x:c r="U1" s="6" t="str">
        <x:v>Sursă rezultat</x:v>
      </x:c>
      <x:c r="V1" s="6" t="str">
        <x:v>Data</x:v>
      </x:c>
      <x:c r="W1" s="6" t="str">
        <x:v>λ gazde</x:v>
      </x:c>
      <x:c r="X1" s="6" t="str">
        <x:v>λ oaspeți</x:v>
      </x:c>
      <x:c r="Y1" s="6" t="str">
        <x:v>Sursă λ clasă</x:v>
      </x:c>
      <x:c r="Z1" s="6" t="str">
        <x:v>Tail Risk Score</x:v>
      </x:c>
      <x:c r="AA1" s="6" t="str">
        <x:v>Start sezon?</x:v>
      </x:c>
      <x:c r="AB1" s="6" t="str">
        <x:v>P: istoric / snapshot nou</x:v>
      </x:c>
      <x:c r="AC1" s="6" t="str">
        <x:v>P U4,5 calibrată SNAPSHOT</x:v>
      </x:c>
      <x:c r="AD1" s="6" t="str">
        <x:v>Confidence: istoric / snapshot</x:v>
      </x:c>
      <x:c r="AE1" s="6" t="str">
        <x:v>Confidence v2 SNAPSHOT</x:v>
      </x:c>
      <x:c r="AF1" s="6" t="str">
        <x:v>Cotă fair v2 SNAPSHOT</x:v>
      </x:c>
      <x:c r="AG1" s="6" t="str">
        <x:v>Cotă U4,5 pre-match</x:v>
      </x:c>
      <x:c r="AH1" s="6" t="str">
        <x:v>Cotă U4,5 closing</x:v>
      </x:c>
      <x:c r="AI1" s="6" t="str">
        <x:v>EV v2 SNAPSHOT</x:v>
      </x:c>
      <x:c r="AJ1" s="6" t="str">
        <x:v>Rule challenger</x:v>
      </x:c>
      <x:c r="AK1" s="6" t="str">
        <x:v>Verdict: istoric / snapshot</x:v>
      </x:c>
      <x:c r="AL1" s="6" t="str">
        <x:v>Verdict v2 SNAPSHOT</x:v>
      </x:c>
      <x:c r="AM1" s="6" t="str">
        <x:v>Acțiune v2 SNAPSHOT</x:v>
      </x:c>
      <x:c r="AN1" s="6" t="str">
        <x:v>Brier calibrat</x:v>
      </x:c>
      <x:c r="AO1" s="6" t="str">
        <x:v>CLV</x:v>
      </x:c>
      <x:c r="AP1" s="6" t="str">
        <x:v>Stake unit</x:v>
      </x:c>
      <x:c r="AQ1" s="6" t="str">
        <x:v>Profit unit</x:v>
      </x:c>
      <x:c r="AR1" s="6" t="str">
        <x:v>Observații v2</x:v>
      </x:c>
      <x:c r="AX1" t="str">
        <x:v>Metodologie snapshot</x:v>
      </x:c>
    </x:row>
    <x:row r="2" ht="43.5" customHeight="1">
      <x:c r="A2" s="10" t="n">
        <x:v>1</x:v>
      </x:c>
      <x:c r="B2" s="10" t="str">
        <x:v>Anglia</x:v>
      </x:c>
      <x:c r="C2" s="10" t="str">
        <x:v>Premier League</x:v>
      </x:c>
      <x:c r="D2" s="10" t="str">
        <x:v>Liverpool – Nottingham Forest</x:v>
      </x:c>
      <x:c r="E2" s="10" t="str">
        <x:v>DA – PRUDENT</x:v>
      </x:c>
      <x:c r="F2" s="17" t="n">
        <x:v>3.063590676856914</x:v>
      </x:c>
      <x:c r="G2" s="29" t="n">
        <x:v>0.8044671826812142</x:v>
      </x:c>
      <x:c r="H2" s="35" t="n">
        <x:v>78</x:v>
      </x:c>
      <x:c r="I2" s="10" t="str">
        <x:v>FAIL</x:v>
      </x:c>
      <x:c r="J2" s="10" t="n">
        <x:v>2</x:v>
      </x:c>
      <x:c r="K2" s="10" t="n">
        <x:v>2</x:v>
      </x:c>
      <x:c r="L2" s="10" t="n">
        <x:v>4</x:v>
      </x:c>
      <x:c r="M2" s="10" t="str">
        <x:v>UNDER</x:v>
      </x:c>
      <x:c r="N2" s="10" t="str">
        <x:v>PARIU U4,5</x:v>
      </x:c>
      <x:c r="O2" s="10" t="str">
        <x:v>SUCCES</x:v>
      </x:c>
      <x:c r="P2" s="10" t="n">
        <x:v>1</x:v>
      </x:c>
      <x:c r="Q2" s="56" t="n">
        <x:v>0.03823308264862166</x:v>
      </x:c>
      <x:c r="R2" s="17" t="n">
        <x:v>0.9364093231430859</x:v>
      </x:c>
      <x:c r="S2" s="10" t="str">
        <x:v>Succes la limită: exact 4 goluri. Pariul a câștigat, dar marja de siguranță a fost minimă; λ=3.06.</x:v>
      </x:c>
      <x:c r="T2" s="10" t="str">
        <x:v>CompactStats + piață 1X2 + model U4.5 independent</x:v>
      </x:c>
      <x:c r="U2" s="10" t="str">
        <x:v>https://www.gsp.ro/rezultate-live/meciuri-29-08-2026</x:v>
      </x:c>
      <x:c r="V2" s="59" t="n">
        <x:v>46263</x:v>
      </x:c>
      <x:c r="W2" s="16" t="n">
        <x:v>1.9412223182079726</x:v>
      </x:c>
      <x:c r="X2" s="16" t="n">
        <x:v>1.1223683586489415</x:v>
      </x:c>
      <x:c r="Y2" s="9" t="str">
        <x:v>CompactStats + piață</x:v>
      </x:c>
      <x:c r="Z2" s="34"/>
      <x:c r="AA2" s="9"/>
      <x:c r="AB2" s="64" t="n">
        <x:f>IF(G2="","",MAX(0.5,MIN(0.995,G2-'Calibrare v2'!$B$20-IF(Y2="Proxy 1X2",'Calibrare v2'!$B$21,IF(Y2="Model extern contradictoriu",'Calibrare v2'!$B$22,0))-MAX(0,(IF(Z2="",'Calibrare v2'!$B$26,Z2)-'Calibrare v2'!$B$26)*'Calibrare v2'!$B$27))))</x:f>
        <x:v>0.7729217817950167</x:v>
      </x:c>
      <x:c r="AC2" s="28"/>
      <x:c r="AD2" s="69" t="n">
        <x:f>IF(H2="","",MAX(0,MIN(H2,IF(Y2="Proxy 1X2",'Calibrare v2'!$B$23,'Calibrare v2'!$B$24))-IF(AA2="DA",'Calibrare v2'!$B$25,0)-MAX(0,(IF(Z2="",'Calibrare v2'!$B$26,Z2)-'Calibrare v2'!$B$26)*'Calibrare v2'!$B$37)))</x:f>
        <x:v>78</x:v>
      </x:c>
      <x:c r="AE2" s="34"/>
      <x:c r="AF2" s="73"/>
      <x:c r="AG2" s="16"/>
      <x:c r="AH2" s="16"/>
      <x:c r="AI2" s="64"/>
      <x:c r="AJ2" s="75" t="str">
        <x:f>IF(OR(G2="",F2=""),"",IF(AND(G2&gt;='Calibrare v2'!$B$35,F2&lt;='Calibrare v2'!$B$34),"PASS","FAIL"))</x:f>
        <x:v>FAIL</x:v>
      </x:c>
      <x:c r="AK2" s="75" t="str">
        <x:f>IF(OR(AB2="",AD2="",F2=""),"",IF(AND(AB2&gt;='Calibrare v2'!$B$29,F2&lt;='Calibrare v2'!$B$33,IF(Z2="",'Calibrare v2'!$B$26,Z2)&lt;='Calibrare v2'!$B$26,AD2&gt;='Calibrare v2'!$B$31,OR(AG2="",AB2*AG2-1&gt;='Calibrare v2'!$B$36)),"DA – FEZABIL",IF(AND(AB2&gt;='Calibrare v2'!$B$30,IF(Z2="",'Calibrare v2'!$B$26,Z2)&lt;='Calibrare v2'!$B$28,AD2&gt;='Calibrare v2'!$B$32),"DA – PRUDENT","NU – NO BET")))</x:f>
        <x:v>NU – NO BET</x:v>
      </x:c>
      <x:c r="AL2" s="9"/>
      <x:c r="AM2" s="9"/>
      <x:c r="AN2" s="64"/>
      <x:c r="AO2" s="64"/>
      <x:c r="AP2" s="16"/>
      <x:c r="AQ2" s="73"/>
      <x:c r="AR2" s="9" t="str">
        <x:v>Backtest inițial 29.08.2026; coloanele v2 LIVE sunt retrospective. Snapshot v2 nu a existat pre-match.</x:v>
      </x:c>
    </x:row>
    <x:row r="3" ht="42.75" customHeight="1">
      <x:c r="A3" s="10" t="n">
        <x:v>2</x:v>
      </x:c>
      <x:c r="B3" s="10" t="str">
        <x:v>Anglia</x:v>
      </x:c>
      <x:c r="C3" s="10" t="str">
        <x:v>Premier League</x:v>
      </x:c>
      <x:c r="D3" s="10" t="str">
        <x:v>Bournemouth – Everton</x:v>
      </x:c>
      <x:c r="E3" s="10" t="str">
        <x:v>DA – FEZABIL</x:v>
      </x:c>
      <x:c r="F3" s="17" t="n">
        <x:v>2.6303900727354037</x:v>
      </x:c>
      <x:c r="G3" s="29" t="n">
        <x:v>0.8730907055718012</x:v>
      </x:c>
      <x:c r="H3" s="35" t="n">
        <x:v>76</x:v>
      </x:c>
      <x:c r="I3" s="10" t="str">
        <x:v>PASS</x:v>
      </x:c>
      <x:c r="J3" s="10" t="n">
        <x:v>1</x:v>
      </x:c>
      <x:c r="K3" s="10" t="n">
        <x:v>1</x:v>
      </x:c>
      <x:c r="L3" s="10" t="n">
        <x:v>2</x:v>
      </x:c>
      <x:c r="M3" s="10" t="str">
        <x:v>UNDER</x:v>
      </x:c>
      <x:c r="N3" s="10" t="str">
        <x:v>PARIU U4,5</x:v>
      </x:c>
      <x:c r="O3" s="10" t="str">
        <x:v>SUCCES</x:v>
      </x:c>
      <x:c r="P3" s="10" t="n">
        <x:v>1</x:v>
      </x:c>
      <x:c r="Q3" s="56" t="n">
        <x:v>0.01610596901226324</x:v>
      </x:c>
      <x:c r="R3" s="17" t="n">
        <x:v>-0.6303900727354037</x:v>
      </x:c>
      <x:c r="S3" s="10" t="str">
        <x:v>Succes solid: 2 goluri, cu 2 gol(uri) sub limita de 4; λ=2.63. Riscul de coadă 5+ nu s-a materializat.</x:v>
      </x:c>
      <x:c r="T3" s="10" t="str">
        <x:v>CompactStats + piață 1X2</x:v>
      </x:c>
      <x:c r="U3" s="10" t="str">
        <x:v>https://www.gsp.ro/rezultate-live/meciuri-29-08-2026</x:v>
      </x:c>
      <x:c r="V3" s="59" t="n">
        <x:v>46263</x:v>
      </x:c>
      <x:c r="W3" s="16" t="n">
        <x:v>1.563599574589757</x:v>
      </x:c>
      <x:c r="X3" s="16" t="n">
        <x:v>1.0667904981456464</x:v>
      </x:c>
      <x:c r="Y3" s="9" t="str">
        <x:v>CompactStats + piață</x:v>
      </x:c>
      <x:c r="Z3" s="34"/>
      <x:c r="AA3" s="9"/>
      <x:c r="AB3" s="64" t="n">
        <x:f>IF(G3="","",MAX(0.5,MIN(0.995,G3-'Calibrare v2'!$B$20-IF(Y3="Proxy 1X2",'Calibrare v2'!$B$21,IF(Y3="Model extern contradictoriu",'Calibrare v2'!$B$22,0))-MAX(0,(IF(Z3="",'Calibrare v2'!$B$26,Z3)-'Calibrare v2'!$B$26)*'Calibrare v2'!$B$27))))</x:f>
        <x:v>0.8415453046856037</x:v>
      </x:c>
      <x:c r="AC3" s="28"/>
      <x:c r="AD3" s="69" t="n">
        <x:f>IF(H3="","",MAX(0,MIN(H3,IF(Y3="Proxy 1X2",'Calibrare v2'!$B$23,'Calibrare v2'!$B$24))-IF(AA3="DA",'Calibrare v2'!$B$25,0)-MAX(0,(IF(Z3="",'Calibrare v2'!$B$26,Z3)-'Calibrare v2'!$B$26)*'Calibrare v2'!$B$37)))</x:f>
        <x:v>76</x:v>
      </x:c>
      <x:c r="AE3" s="34"/>
      <x:c r="AF3" s="73"/>
      <x:c r="AG3" s="16"/>
      <x:c r="AH3" s="16"/>
      <x:c r="AI3" s="64"/>
      <x:c r="AJ3" s="75" t="str">
        <x:f>IF(OR(G3="",F3=""),"",IF(AND(G3&gt;='Calibrare v2'!$B$35,F3&lt;='Calibrare v2'!$B$34),"PASS","FAIL"))</x:f>
        <x:v>FAIL</x:v>
      </x:c>
      <x:c r="AK3" s="75" t="str">
        <x:f>IF(OR(AB3="",AD3="",F3=""),"",IF(AND(AB3&gt;='Calibrare v2'!$B$29,F3&lt;='Calibrare v2'!$B$33,IF(Z3="",'Calibrare v2'!$B$26,Z3)&lt;='Calibrare v2'!$B$26,AD3&gt;='Calibrare v2'!$B$31,OR(AG3="",AB3*AG3-1&gt;='Calibrare v2'!$B$36)),"DA – FEZABIL",IF(AND(AB3&gt;='Calibrare v2'!$B$30,IF(Z3="",'Calibrare v2'!$B$26,Z3)&lt;='Calibrare v2'!$B$28,AD3&gt;='Calibrare v2'!$B$32),"DA – PRUDENT","NU – NO BET")))</x:f>
        <x:v>DA – PRUDENT</x:v>
      </x:c>
      <x:c r="AL3" s="9"/>
      <x:c r="AM3" s="9"/>
      <x:c r="AN3" s="64"/>
      <x:c r="AO3" s="64"/>
      <x:c r="AP3" s="16"/>
      <x:c r="AQ3" s="73"/>
      <x:c r="AR3" s="9" t="str">
        <x:v>Backtest inițial 29.08.2026; coloanele v2 LIVE sunt retrospective. Snapshot v2 nu a existat pre-match.</x:v>
      </x:c>
    </x:row>
    <x:row r="4" ht="42.75" customHeight="1">
      <x:c r="A4" s="10" t="n">
        <x:v>3</x:v>
      </x:c>
      <x:c r="B4" s="10" t="str">
        <x:v>Anglia</x:v>
      </x:c>
      <x:c r="C4" s="10" t="str">
        <x:v>Premier League</x:v>
      </x:c>
      <x:c r="D4" s="10" t="str">
        <x:v>Coventry – Hull</x:v>
      </x:c>
      <x:c r="E4" s="10" t="str">
        <x:v>DA – FEZABIL</x:v>
      </x:c>
      <x:c r="F4" s="17" t="n">
        <x:v>2.3351819298098166</x:v>
      </x:c>
      <x:c r="G4" s="29" t="n">
        <x:v>0.9120831419818028</x:v>
      </x:c>
      <x:c r="H4" s="35" t="n">
        <x:v>62</x:v>
      </x:c>
      <x:c r="I4" s="10" t="str">
        <x:v>PASS</x:v>
      </x:c>
      <x:c r="J4" s="10" t="n">
        <x:v>0</x:v>
      </x:c>
      <x:c r="K4" s="10" t="n">
        <x:v>1</x:v>
      </x:c>
      <x:c r="L4" s="10" t="n">
        <x:v>1</x:v>
      </x:c>
      <x:c r="M4" s="10" t="str">
        <x:v>UNDER</x:v>
      </x:c>
      <x:c r="N4" s="10" t="str">
        <x:v>PARIU U4,5</x:v>
      </x:c>
      <x:c r="O4" s="10" t="str">
        <x:v>SUCCES</x:v>
      </x:c>
      <x:c r="P4" s="10" t="n">
        <x:v>1</x:v>
      </x:c>
      <x:c r="Q4" s="56" t="n">
        <x:v>0.007729373923791837</x:v>
      </x:c>
      <x:c r="R4" s="17" t="n">
        <x:v>-1.3351819298098166</x:v>
      </x:c>
      <x:c r="S4" s="10" t="str">
        <x:v>Succes solid: 1 goluri, cu 3 gol(uri) sub limita de 4; λ=2.34. Riscul de coadă 5+ nu s-a materializat.</x:v>
      </x:c>
      <x:c r="T4" s="10" t="str">
        <x:v>Proxy piață 1X2 (Poisson)</x:v>
      </x:c>
      <x:c r="U4" s="10" t="str">
        <x:v>https://www.gsp.ro/rezultate-live/meciuri-29-08-2026</x:v>
      </x:c>
      <x:c r="V4" s="59" t="n">
        <x:v>46263</x:v>
      </x:c>
      <x:c r="W4" s="16" t="n">
        <x:v>1.4493074947068947</x:v>
      </x:c>
      <x:c r="X4" s="16" t="n">
        <x:v>0.8858744351029221</x:v>
      </x:c>
      <x:c r="Y4" s="9" t="str">
        <x:v>Proxy 1X2</x:v>
      </x:c>
      <x:c r="Z4" s="34"/>
      <x:c r="AA4" s="9"/>
      <x:c r="AB4" s="64" t="n">
        <x:f>IF(G4="","",MAX(0.5,MIN(0.995,G4-'Calibrare v2'!$B$20-IF(Y4="Proxy 1X2",'Calibrare v2'!$B$21,IF(Y4="Model extern contradictoriu",'Calibrare v2'!$B$22,0))-MAX(0,(IF(Z4="",'Calibrare v2'!$B$26,Z4)-'Calibrare v2'!$B$26)*'Calibrare v2'!$B$27))))</x:f>
        <x:v>0.8605377410956053</x:v>
      </x:c>
      <x:c r="AC4" s="28"/>
      <x:c r="AD4" s="69" t="n">
        <x:f>IF(H4="","",MAX(0,MIN(H4,IF(Y4="Proxy 1X2",'Calibrare v2'!$B$23,'Calibrare v2'!$B$24))-IF(AA4="DA",'Calibrare v2'!$B$25,0)-MAX(0,(IF(Z4="",'Calibrare v2'!$B$26,Z4)-'Calibrare v2'!$B$26)*'Calibrare v2'!$B$37)))</x:f>
        <x:v>60</x:v>
      </x:c>
      <x:c r="AE4" s="34"/>
      <x:c r="AF4" s="73"/>
      <x:c r="AG4" s="16"/>
      <x:c r="AH4" s="16"/>
      <x:c r="AI4" s="64"/>
      <x:c r="AJ4" s="75" t="str">
        <x:f>IF(OR(G4="",F4=""),"",IF(AND(G4&gt;='Calibrare v2'!$B$35,F4&lt;='Calibrare v2'!$B$34),"PASS","FAIL"))</x:f>
        <x:v>FAIL</x:v>
      </x:c>
      <x:c r="AK4" s="75" t="str">
        <x:f>IF(OR(AB4="",AD4="",F4=""),"",IF(AND(AB4&gt;='Calibrare v2'!$B$29,F4&lt;='Calibrare v2'!$B$33,IF(Z4="",'Calibrare v2'!$B$26,Z4)&lt;='Calibrare v2'!$B$26,AD4&gt;='Calibrare v2'!$B$31,OR(AG4="",AB4*AG4-1&gt;='Calibrare v2'!$B$36)),"DA – FEZABIL",IF(AND(AB4&gt;='Calibrare v2'!$B$30,IF(Z4="",'Calibrare v2'!$B$26,Z4)&lt;='Calibrare v2'!$B$28,AD4&gt;='Calibrare v2'!$B$32),"DA – PRUDENT","NU – NO BET")))</x:f>
        <x:v>DA – PRUDENT</x:v>
      </x:c>
      <x:c r="AL4" s="9"/>
      <x:c r="AM4" s="9"/>
      <x:c r="AN4" s="64"/>
      <x:c r="AO4" s="64"/>
      <x:c r="AP4" s="16"/>
      <x:c r="AQ4" s="73"/>
      <x:c r="AR4" s="9" t="str">
        <x:v>Backtest inițial 29.08.2026; coloanele v2 LIVE sunt retrospective. Snapshot v2 nu a existat pre-match.</x:v>
      </x:c>
    </x:row>
    <x:row r="5" ht="43.5" customHeight="1">
      <x:c r="A5" s="10" t="n">
        <x:v>4</x:v>
      </x:c>
      <x:c r="B5" s="10" t="str">
        <x:v>Anglia</x:v>
      </x:c>
      <x:c r="C5" s="10" t="str">
        <x:v>Premier League</x:v>
      </x:c>
      <x:c r="D5" s="10" t="str">
        <x:v>Tottenham – Newcastle</x:v>
      </x:c>
      <x:c r="E5" s="10" t="str">
        <x:v>DA – PRUDENT</x:v>
      </x:c>
      <x:c r="F5" s="17" t="n">
        <x:v>2.9755008059002823</x:v>
      </x:c>
      <x:c r="G5" s="29" t="n">
        <x:v>0.8193629313079593</x:v>
      </x:c>
      <x:c r="H5" s="35" t="n">
        <x:v>78</x:v>
      </x:c>
      <x:c r="I5" s="10" t="str">
        <x:v>FAIL</x:v>
      </x:c>
      <x:c r="J5" s="10" t="n">
        <x:v>0</x:v>
      </x:c>
      <x:c r="K5" s="10" t="n">
        <x:v>2</x:v>
      </x:c>
      <x:c r="L5" s="10" t="n">
        <x:v>2</x:v>
      </x:c>
      <x:c r="M5" s="10" t="str">
        <x:v>UNDER</x:v>
      </x:c>
      <x:c r="N5" s="10" t="str">
        <x:v>PARIU U4,5</x:v>
      </x:c>
      <x:c r="O5" s="10" t="str">
        <x:v>SUCCES</x:v>
      </x:c>
      <x:c r="P5" s="10" t="n">
        <x:v>1</x:v>
      </x:c>
      <x:c r="Q5" s="56" t="n">
        <x:v>0.03262975058565302</x:v>
      </x:c>
      <x:c r="R5" s="17" t="n">
        <x:v>-0.9755008059002823</x:v>
      </x:c>
      <x:c r="S5" s="10" t="str">
        <x:v>Succes solid: 2 goluri, cu 2 gol(uri) sub limita de 4; λ=2.98. Riscul de coadă 5+ nu s-a materializat.</x:v>
      </x:c>
      <x:c r="T5" s="10" t="str">
        <x:v>CompactStats + piață 1X2 + model U4.5 independent</x:v>
      </x:c>
      <x:c r="U5" s="10" t="str">
        <x:v>https://www.gsp.ro/rezultate-live/meciuri-29-08-2026</x:v>
      </x:c>
      <x:c r="V5" s="59" t="n">
        <x:v>46263</x:v>
      </x:c>
      <x:c r="W5" s="16" t="n">
        <x:v>1.7135124496528014</x:v>
      </x:c>
      <x:c r="X5" s="16" t="n">
        <x:v>1.261988356247481</x:v>
      </x:c>
      <x:c r="Y5" s="9" t="str">
        <x:v>CompactStats + piață</x:v>
      </x:c>
      <x:c r="Z5" s="34"/>
      <x:c r="AA5" s="9"/>
      <x:c r="AB5" s="64" t="n">
        <x:f>IF(G5="","",MAX(0.5,MIN(0.995,G5-'Calibrare v2'!$B$20-IF(Y5="Proxy 1X2",'Calibrare v2'!$B$21,IF(Y5="Model extern contradictoriu",'Calibrare v2'!$B$22,0))-MAX(0,(IF(Z5="",'Calibrare v2'!$B$26,Z5)-'Calibrare v2'!$B$26)*'Calibrare v2'!$B$27))))</x:f>
        <x:v>0.7878175304217618</x:v>
      </x:c>
      <x:c r="AC5" s="28"/>
      <x:c r="AD5" s="69" t="n">
        <x:f>IF(H5="","",MAX(0,MIN(H5,IF(Y5="Proxy 1X2",'Calibrare v2'!$B$23,'Calibrare v2'!$B$24))-IF(AA5="DA",'Calibrare v2'!$B$25,0)-MAX(0,(IF(Z5="",'Calibrare v2'!$B$26,Z5)-'Calibrare v2'!$B$26)*'Calibrare v2'!$B$37)))</x:f>
        <x:v>78</x:v>
      </x:c>
      <x:c r="AE5" s="34"/>
      <x:c r="AF5" s="73"/>
      <x:c r="AG5" s="16"/>
      <x:c r="AH5" s="16"/>
      <x:c r="AI5" s="64"/>
      <x:c r="AJ5" s="75" t="str">
        <x:f>IF(OR(G5="",F5=""),"",IF(AND(G5&gt;='Calibrare v2'!$B$35,F5&lt;='Calibrare v2'!$B$34),"PASS","FAIL"))</x:f>
        <x:v>FAIL</x:v>
      </x:c>
      <x:c r="AK5" s="75" t="str">
        <x:f>IF(OR(AB5="",AD5="",F5=""),"",IF(AND(AB5&gt;='Calibrare v2'!$B$29,F5&lt;='Calibrare v2'!$B$33,IF(Z5="",'Calibrare v2'!$B$26,Z5)&lt;='Calibrare v2'!$B$26,AD5&gt;='Calibrare v2'!$B$31,OR(AG5="",AB5*AG5-1&gt;='Calibrare v2'!$B$36)),"DA – FEZABIL",IF(AND(AB5&gt;='Calibrare v2'!$B$30,IF(Z5="",'Calibrare v2'!$B$26,Z5)&lt;='Calibrare v2'!$B$28,AD5&gt;='Calibrare v2'!$B$32),"DA – PRUDENT","NU – NO BET")))</x:f>
        <x:v>NU – NO BET</x:v>
      </x:c>
      <x:c r="AL5" s="9"/>
      <x:c r="AM5" s="9"/>
      <x:c r="AN5" s="64"/>
      <x:c r="AO5" s="64"/>
      <x:c r="AP5" s="16"/>
      <x:c r="AQ5" s="73"/>
      <x:c r="AR5" s="9" t="str">
        <x:v>Backtest inițial 29.08.2026; coloanele v2 LIVE sunt retrospective. Snapshot v2 nu a existat pre-match.</x:v>
      </x:c>
    </x:row>
    <x:row r="6" ht="43.5" customHeight="1">
      <x:c r="A6" s="10" t="n">
        <x:v>5</x:v>
      </x:c>
      <x:c r="B6" s="10" t="str">
        <x:v>Anglia</x:v>
      </x:c>
      <x:c r="C6" s="10" t="str">
        <x:v>Championship</x:v>
      </x:c>
      <x:c r="D6" s="10" t="str">
        <x:v>Wolves – Stoke</x:v>
      </x:c>
      <x:c r="E6" s="10" t="str">
        <x:v>DA – PRUDENT</x:v>
      </x:c>
      <x:c r="F6" s="17" t="n">
        <x:v>2.914244310054893</x:v>
      </x:c>
      <x:c r="G6" s="29" t="n">
        <x:v>0.8294610954317087</x:v>
      </x:c>
      <x:c r="H6" s="35" t="n">
        <x:v>76</x:v>
      </x:c>
      <x:c r="I6" s="10" t="str">
        <x:v>FAIL</x:v>
      </x:c>
      <x:c r="J6" s="10" t="n">
        <x:v>4</x:v>
      </x:c>
      <x:c r="K6" s="10" t="n">
        <x:v>1</x:v>
      </x:c>
      <x:c r="L6" s="10" t="n">
        <x:v>5</x:v>
      </x:c>
      <x:c r="M6" s="10" t="str">
        <x:v>OVER</x:v>
      </x:c>
      <x:c r="N6" s="10" t="str">
        <x:v>PARIU U4,5</x:v>
      </x:c>
      <x:c r="O6" s="10" t="str">
        <x:v>EȘEC</x:v>
      </x:c>
      <x:c r="P6" s="10" t="n">
        <x:v>0</x:v>
      </x:c>
      <x:c r="Q6" s="56" t="n">
        <x:v>0.6880057088347701</x:v>
      </x:c>
      <x:c r="R6" s="17" t="n">
        <x:v>2.085755689945107</x:v>
      </x:c>
      <x:c r="S6" s="10" t="str">
        <x:v>Eșec: 5 goluri vs λ=2.91 (abatere +2.09). Eveniment de coadă la 5 goluri, insuficient penalizat de model.</x:v>
      </x:c>
      <x:c r="T6" s="10" t="str">
        <x:v>CompactStats + piață 1X2</x:v>
      </x:c>
      <x:c r="U6" s="10" t="str">
        <x:v>https://www.gsp.ro/rezultate-live/meciuri-29-08-2026</x:v>
      </x:c>
      <x:c r="V6" s="59" t="n">
        <x:v>46263</x:v>
      </x:c>
      <x:c r="W6" s="16" t="n">
        <x:v>1.7709741503257084</x:v>
      </x:c>
      <x:c r="X6" s="16" t="n">
        <x:v>1.1432701597291843</x:v>
      </x:c>
      <x:c r="Y6" s="9" t="str">
        <x:v>CompactStats + piață</x:v>
      </x:c>
      <x:c r="Z6" s="34"/>
      <x:c r="AA6" s="9"/>
      <x:c r="AB6" s="64" t="n">
        <x:f>IF(G6="","",MAX(0.5,MIN(0.995,G6-'Calibrare v2'!$B$20-IF(Y6="Proxy 1X2",'Calibrare v2'!$B$21,IF(Y6="Model extern contradictoriu",'Calibrare v2'!$B$22,0))-MAX(0,(IF(Z6="",'Calibrare v2'!$B$26,Z6)-'Calibrare v2'!$B$26)*'Calibrare v2'!$B$27))))</x:f>
        <x:v>0.7979156945455111</x:v>
      </x:c>
      <x:c r="AC6" s="28"/>
      <x:c r="AD6" s="69" t="n">
        <x:f>IF(H6="","",MAX(0,MIN(H6,IF(Y6="Proxy 1X2",'Calibrare v2'!$B$23,'Calibrare v2'!$B$24))-IF(AA6="DA",'Calibrare v2'!$B$25,0)-MAX(0,(IF(Z6="",'Calibrare v2'!$B$26,Z6)-'Calibrare v2'!$B$26)*'Calibrare v2'!$B$37)))</x:f>
        <x:v>76</x:v>
      </x:c>
      <x:c r="AE6" s="34"/>
      <x:c r="AF6" s="73"/>
      <x:c r="AG6" s="16"/>
      <x:c r="AH6" s="16"/>
      <x:c r="AI6" s="64"/>
      <x:c r="AJ6" s="75" t="str">
        <x:f>IF(OR(G6="",F6=""),"",IF(AND(G6&gt;='Calibrare v2'!$B$35,F6&lt;='Calibrare v2'!$B$34),"PASS","FAIL"))</x:f>
        <x:v>FAIL</x:v>
      </x:c>
      <x:c r="AK6" s="75" t="str">
        <x:f>IF(OR(AB6="",AD6="",F6=""),"",IF(AND(AB6&gt;='Calibrare v2'!$B$29,F6&lt;='Calibrare v2'!$B$33,IF(Z6="",'Calibrare v2'!$B$26,Z6)&lt;='Calibrare v2'!$B$26,AD6&gt;='Calibrare v2'!$B$31,OR(AG6="",AB6*AG6-1&gt;='Calibrare v2'!$B$36)),"DA – FEZABIL",IF(AND(AB6&gt;='Calibrare v2'!$B$30,IF(Z6="",'Calibrare v2'!$B$26,Z6)&lt;='Calibrare v2'!$B$28,AD6&gt;='Calibrare v2'!$B$32),"DA – PRUDENT","NU – NO BET")))</x:f>
        <x:v>NU – NO BET</x:v>
      </x:c>
      <x:c r="AL6" s="9"/>
      <x:c r="AM6" s="9"/>
      <x:c r="AN6" s="64"/>
      <x:c r="AO6" s="64"/>
      <x:c r="AP6" s="16"/>
      <x:c r="AQ6" s="73"/>
      <x:c r="AR6" s="9" t="str">
        <x:v>Backtest inițial 29.08.2026; coloanele v2 LIVE sunt retrospective. Snapshot v2 nu a existat pre-match.</x:v>
      </x:c>
    </x:row>
    <x:row r="7" ht="42.75" customHeight="1">
      <x:c r="A7" s="10" t="n">
        <x:v>6</x:v>
      </x:c>
      <x:c r="B7" s="10" t="str">
        <x:v>Anglia</x:v>
      </x:c>
      <x:c r="C7" s="10" t="str">
        <x:v>Championship</x:v>
      </x:c>
      <x:c r="D7" s="10" t="str">
        <x:v>Derby – Swansea</x:v>
      </x:c>
      <x:c r="E7" s="10" t="str">
        <x:v>DA – PRUDENT</x:v>
      </x:c>
      <x:c r="F7" s="17" t="n">
        <x:v>2.757295940731279</x:v>
      </x:c>
      <x:c r="G7" s="29" t="n">
        <x:v>0.8542652136297665</x:v>
      </x:c>
      <x:c r="H7" s="35" t="n">
        <x:v>76</x:v>
      </x:c>
      <x:c r="I7" s="10" t="str">
        <x:v>FAIL</x:v>
      </x:c>
      <x:c r="J7" s="10" t="n">
        <x:v>0</x:v>
      </x:c>
      <x:c r="K7" s="10" t="n">
        <x:v>3</x:v>
      </x:c>
      <x:c r="L7" s="10" t="n">
        <x:v>3</x:v>
      </x:c>
      <x:c r="M7" s="10" t="str">
        <x:v>UNDER</x:v>
      </x:c>
      <x:c r="N7" s="10" t="str">
        <x:v>PARIU U4,5</x:v>
      </x:c>
      <x:c r="O7" s="10" t="str">
        <x:v>SUCCES</x:v>
      </x:c>
      <x:c r="P7" s="10" t="n">
        <x:v>1</x:v>
      </x:c>
      <x:c r="Q7" s="56" t="n">
        <x:v>0.0212386279583776</x:v>
      </x:c>
      <x:c r="R7" s="17" t="n">
        <x:v>0.24270405926872085</x:v>
      </x:c>
      <x:c r="S7" s="10" t="str">
        <x:v>Succes solid: 3 goluri, cu 1 gol(uri) sub limita de 4; λ=2.76. Riscul de coadă 5+ nu s-a materializat.</x:v>
      </x:c>
      <x:c r="T7" s="10" t="str">
        <x:v>CompactStats + piață 1X2</x:v>
      </x:c>
      <x:c r="U7" s="10" t="str">
        <x:v>https://www.gsp.ro/rezultate-live/meciuri-29-08-2026</x:v>
      </x:c>
      <x:c r="V7" s="59" t="n">
        <x:v>46263</x:v>
      </x:c>
      <x:c r="W7" s="16" t="n">
        <x:v>1.4167452735617196</x:v>
      </x:c>
      <x:c r="X7" s="16" t="n">
        <x:v>1.3405506671695595</x:v>
      </x:c>
      <x:c r="Y7" s="9" t="str">
        <x:v>CompactStats + piață</x:v>
      </x:c>
      <x:c r="Z7" s="34"/>
      <x:c r="AA7" s="9"/>
      <x:c r="AB7" s="64" t="n">
        <x:f>IF(G7="","",MAX(0.5,MIN(0.995,G7-'Calibrare v2'!$B$20-IF(Y7="Proxy 1X2",'Calibrare v2'!$B$21,IF(Y7="Model extern contradictoriu",'Calibrare v2'!$B$22,0))-MAX(0,(IF(Z7="",'Calibrare v2'!$B$26,Z7)-'Calibrare v2'!$B$26)*'Calibrare v2'!$B$27))))</x:f>
        <x:v>0.822719812743569</x:v>
      </x:c>
      <x:c r="AC7" s="28"/>
      <x:c r="AD7" s="69" t="n">
        <x:f>IF(H7="","",MAX(0,MIN(H7,IF(Y7="Proxy 1X2",'Calibrare v2'!$B$23,'Calibrare v2'!$B$24))-IF(AA7="DA",'Calibrare v2'!$B$25,0)-MAX(0,(IF(Z7="",'Calibrare v2'!$B$26,Z7)-'Calibrare v2'!$B$26)*'Calibrare v2'!$B$37)))</x:f>
        <x:v>76</x:v>
      </x:c>
      <x:c r="AE7" s="34"/>
      <x:c r="AF7" s="73"/>
      <x:c r="AG7" s="16"/>
      <x:c r="AH7" s="16"/>
      <x:c r="AI7" s="64"/>
      <x:c r="AJ7" s="75" t="str">
        <x:f>IF(OR(G7="",F7=""),"",IF(AND(G7&gt;='Calibrare v2'!$B$35,F7&lt;='Calibrare v2'!$B$34),"PASS","FAIL"))</x:f>
        <x:v>FAIL</x:v>
      </x:c>
      <x:c r="AK7" s="75" t="str">
        <x:f>IF(OR(AB7="",AD7="",F7=""),"",IF(AND(AB7&gt;='Calibrare v2'!$B$29,F7&lt;='Calibrare v2'!$B$33,IF(Z7="",'Calibrare v2'!$B$26,Z7)&lt;='Calibrare v2'!$B$26,AD7&gt;='Calibrare v2'!$B$31,OR(AG7="",AB7*AG7-1&gt;='Calibrare v2'!$B$36)),"DA – FEZABIL",IF(AND(AB7&gt;='Calibrare v2'!$B$30,IF(Z7="",'Calibrare v2'!$B$26,Z7)&lt;='Calibrare v2'!$B$28,AD7&gt;='Calibrare v2'!$B$32),"DA – PRUDENT","NU – NO BET")))</x:f>
        <x:v>DA – PRUDENT</x:v>
      </x:c>
      <x:c r="AL7" s="9"/>
      <x:c r="AM7" s="9"/>
      <x:c r="AN7" s="64"/>
      <x:c r="AO7" s="64"/>
      <x:c r="AP7" s="16"/>
      <x:c r="AQ7" s="73"/>
      <x:c r="AR7" s="9" t="str">
        <x:v>Backtest inițial 29.08.2026; coloanele v2 LIVE sunt retrospective. Snapshot v2 nu a existat pre-match.</x:v>
      </x:c>
    </x:row>
    <x:row r="8" ht="42.75" customHeight="1">
      <x:c r="A8" s="10" t="n">
        <x:v>7</x:v>
      </x:c>
      <x:c r="B8" s="10" t="str">
        <x:v>Anglia</x:v>
      </x:c>
      <x:c r="C8" s="10" t="str">
        <x:v>Championship</x:v>
      </x:c>
      <x:c r="D8" s="10" t="str">
        <x:v>Middlesbrough – West Brom</x:v>
      </x:c>
      <x:c r="E8" s="10" t="str">
        <x:v>DA – FEZABIL</x:v>
      </x:c>
      <x:c r="F8" s="17" t="n">
        <x:v>2.6601983467816166</x:v>
      </x:c>
      <x:c r="G8" s="29" t="n">
        <x:v>0.8687737273121456</x:v>
      </x:c>
      <x:c r="H8" s="35" t="n">
        <x:v>76</x:v>
      </x:c>
      <x:c r="I8" s="10" t="str">
        <x:v>PASS</x:v>
      </x:c>
      <x:c r="J8" s="10" t="n">
        <x:v>3</x:v>
      </x:c>
      <x:c r="K8" s="10" t="n">
        <x:v>1</x:v>
      </x:c>
      <x:c r="L8" s="10" t="n">
        <x:v>4</x:v>
      </x:c>
      <x:c r="M8" s="10" t="str">
        <x:v>UNDER</x:v>
      </x:c>
      <x:c r="N8" s="10" t="str">
        <x:v>PARIU U4,5</x:v>
      </x:c>
      <x:c r="O8" s="10" t="str">
        <x:v>SUCCES</x:v>
      </x:c>
      <x:c r="P8" s="10" t="n">
        <x:v>1</x:v>
      </x:c>
      <x:c r="Q8" s="56" t="n">
        <x:v>0.017220334643547112</x:v>
      </x:c>
      <x:c r="R8" s="17" t="n">
        <x:v>1.3398016532183834</x:v>
      </x:c>
      <x:c r="S8" s="10" t="str">
        <x:v>Succes la limită: exact 4 goluri. Pariul a câștigat, dar marja de siguranță a fost minimă; λ=2.66.</x:v>
      </x:c>
      <x:c r="T8" s="10" t="str">
        <x:v>CompactStats + piață 1X2</x:v>
      </x:c>
      <x:c r="U8" s="10" t="str">
        <x:v>https://www.gsp.ro/rezultate-live/meciuri-29-08-2026</x:v>
      </x:c>
      <x:c r="V8" s="59" t="n">
        <x:v>46263</x:v>
      </x:c>
      <x:c r="W8" s="16" t="n">
        <x:v>1.4989301100747907</x:v>
      </x:c>
      <x:c r="X8" s="16" t="n">
        <x:v>1.1612682367068259</x:v>
      </x:c>
      <x:c r="Y8" s="9" t="str">
        <x:v>CompactStats + piață</x:v>
      </x:c>
      <x:c r="Z8" s="34"/>
      <x:c r="AA8" s="9"/>
      <x:c r="AB8" s="64" t="n">
        <x:f>IF(G8="","",MAX(0.5,MIN(0.995,G8-'Calibrare v2'!$B$20-IF(Y8="Proxy 1X2",'Calibrare v2'!$B$21,IF(Y8="Model extern contradictoriu",'Calibrare v2'!$B$22,0))-MAX(0,(IF(Z8="",'Calibrare v2'!$B$26,Z8)-'Calibrare v2'!$B$26)*'Calibrare v2'!$B$27))))</x:f>
        <x:v>0.8372283264259481</x:v>
      </x:c>
      <x:c r="AC8" s="28"/>
      <x:c r="AD8" s="69" t="n">
        <x:f>IF(H8="","",MAX(0,MIN(H8,IF(Y8="Proxy 1X2",'Calibrare v2'!$B$23,'Calibrare v2'!$B$24))-IF(AA8="DA",'Calibrare v2'!$B$25,0)-MAX(0,(IF(Z8="",'Calibrare v2'!$B$26,Z8)-'Calibrare v2'!$B$26)*'Calibrare v2'!$B$37)))</x:f>
        <x:v>76</x:v>
      </x:c>
      <x:c r="AE8" s="34"/>
      <x:c r="AF8" s="73"/>
      <x:c r="AG8" s="16"/>
      <x:c r="AH8" s="16"/>
      <x:c r="AI8" s="64"/>
      <x:c r="AJ8" s="75" t="str">
        <x:f>IF(OR(G8="",F8=""),"",IF(AND(G8&gt;='Calibrare v2'!$B$35,F8&lt;='Calibrare v2'!$B$34),"PASS","FAIL"))</x:f>
        <x:v>FAIL</x:v>
      </x:c>
      <x:c r="AK8" s="75" t="str">
        <x:f>IF(OR(AB8="",AD8="",F8=""),"",IF(AND(AB8&gt;='Calibrare v2'!$B$29,F8&lt;='Calibrare v2'!$B$33,IF(Z8="",'Calibrare v2'!$B$26,Z8)&lt;='Calibrare v2'!$B$26,AD8&gt;='Calibrare v2'!$B$31,OR(AG8="",AB8*AG8-1&gt;='Calibrare v2'!$B$36)),"DA – FEZABIL",IF(AND(AB8&gt;='Calibrare v2'!$B$30,IF(Z8="",'Calibrare v2'!$B$26,Z8)&lt;='Calibrare v2'!$B$28,AD8&gt;='Calibrare v2'!$B$32),"DA – PRUDENT","NU – NO BET")))</x:f>
        <x:v>DA – PRUDENT</x:v>
      </x:c>
      <x:c r="AL8" s="9"/>
      <x:c r="AM8" s="9"/>
      <x:c r="AN8" s="64"/>
      <x:c r="AO8" s="64"/>
      <x:c r="AP8" s="16"/>
      <x:c r="AQ8" s="73"/>
      <x:c r="AR8" s="9" t="str">
        <x:v>Backtest inițial 29.08.2026; coloanele v2 LIVE sunt retrospective. Snapshot v2 nu a existat pre-match.</x:v>
      </x:c>
    </x:row>
    <x:row r="9" ht="42.75" customHeight="1">
      <x:c r="A9" s="10" t="n">
        <x:v>8</x:v>
      </x:c>
      <x:c r="B9" s="10" t="str">
        <x:v>Anglia</x:v>
      </x:c>
      <x:c r="C9" s="10" t="str">
        <x:v>Championship</x:v>
      </x:c>
      <x:c r="D9" s="10" t="str">
        <x:v>Blackburn – QPR</x:v>
      </x:c>
      <x:c r="E9" s="10" t="str">
        <x:v>DA – FEZABIL</x:v>
      </x:c>
      <x:c r="F9" s="17" t="n">
        <x:v>2.6563099755774067</x:v>
      </x:c>
      <x:c r="G9" s="29" t="n">
        <x:v>0.8693405892370832</x:v>
      </x:c>
      <x:c r="H9" s="35" t="n">
        <x:v>76</x:v>
      </x:c>
      <x:c r="I9" s="10" t="str">
        <x:v>PASS</x:v>
      </x:c>
      <x:c r="J9" s="10" t="n">
        <x:v>1</x:v>
      </x:c>
      <x:c r="K9" s="10" t="n">
        <x:v>2</x:v>
      </x:c>
      <x:c r="L9" s="10" t="n">
        <x:v>3</x:v>
      </x:c>
      <x:c r="M9" s="10" t="str">
        <x:v>UNDER</x:v>
      </x:c>
      <x:c r="N9" s="10" t="str">
        <x:v>PARIU U4,5</x:v>
      </x:c>
      <x:c r="O9" s="10" t="str">
        <x:v>SUCCES</x:v>
      </x:c>
      <x:c r="P9" s="10" t="n">
        <x:v>1</x:v>
      </x:c>
      <x:c r="Q9" s="56" t="n">
        <x:v>0.01707188162091261</x:v>
      </x:c>
      <x:c r="R9" s="17" t="n">
        <x:v>0.34369002442259333</x:v>
      </x:c>
      <x:c r="S9" s="10" t="str">
        <x:v>Succes solid: 3 goluri, cu 1 gol(uri) sub limita de 4; λ=2.66. Riscul de coadă 5+ nu s-a materializat.</x:v>
      </x:c>
      <x:c r="T9" s="10" t="str">
        <x:v>CompactStats + piață 1X2</x:v>
      </x:c>
      <x:c r="U9" s="10" t="str">
        <x:v>https://www.gsp.ro/rezultate-live/meciuri-29-08-2026</x:v>
      </x:c>
      <x:c r="V9" s="59" t="n">
        <x:v>46263</x:v>
      </x:c>
      <x:c r="W9" s="16" t="n">
        <x:v>1.3406802912553903</x:v>
      </x:c>
      <x:c r="X9" s="16" t="n">
        <x:v>1.3156296843220163</x:v>
      </x:c>
      <x:c r="Y9" s="9" t="str">
        <x:v>CompactStats + piață</x:v>
      </x:c>
      <x:c r="Z9" s="34"/>
      <x:c r="AA9" s="9"/>
      <x:c r="AB9" s="64" t="n">
        <x:f>IF(G9="","",MAX(0.5,MIN(0.995,G9-'Calibrare v2'!$B$20-IF(Y9="Proxy 1X2",'Calibrare v2'!$B$21,IF(Y9="Model extern contradictoriu",'Calibrare v2'!$B$22,0))-MAX(0,(IF(Z9="",'Calibrare v2'!$B$26,Z9)-'Calibrare v2'!$B$26)*'Calibrare v2'!$B$27))))</x:f>
        <x:v>0.8377951883508857</x:v>
      </x:c>
      <x:c r="AC9" s="28"/>
      <x:c r="AD9" s="69" t="n">
        <x:f>IF(H9="","",MAX(0,MIN(H9,IF(Y9="Proxy 1X2",'Calibrare v2'!$B$23,'Calibrare v2'!$B$24))-IF(AA9="DA",'Calibrare v2'!$B$25,0)-MAX(0,(IF(Z9="",'Calibrare v2'!$B$26,Z9)-'Calibrare v2'!$B$26)*'Calibrare v2'!$B$37)))</x:f>
        <x:v>76</x:v>
      </x:c>
      <x:c r="AE9" s="34"/>
      <x:c r="AF9" s="73"/>
      <x:c r="AG9" s="16"/>
      <x:c r="AH9" s="16"/>
      <x:c r="AI9" s="64"/>
      <x:c r="AJ9" s="75" t="str">
        <x:f>IF(OR(G9="",F9=""),"",IF(AND(G9&gt;='Calibrare v2'!$B$35,F9&lt;='Calibrare v2'!$B$34),"PASS","FAIL"))</x:f>
        <x:v>FAIL</x:v>
      </x:c>
      <x:c r="AK9" s="75" t="str">
        <x:f>IF(OR(AB9="",AD9="",F9=""),"",IF(AND(AB9&gt;='Calibrare v2'!$B$29,F9&lt;='Calibrare v2'!$B$33,IF(Z9="",'Calibrare v2'!$B$26,Z9)&lt;='Calibrare v2'!$B$26,AD9&gt;='Calibrare v2'!$B$31,OR(AG9="",AB9*AG9-1&gt;='Calibrare v2'!$B$36)),"DA – FEZABIL",IF(AND(AB9&gt;='Calibrare v2'!$B$30,IF(Z9="",'Calibrare v2'!$B$26,Z9)&lt;='Calibrare v2'!$B$28,AD9&gt;='Calibrare v2'!$B$32),"DA – PRUDENT","NU – NO BET")))</x:f>
        <x:v>DA – PRUDENT</x:v>
      </x:c>
      <x:c r="AL9" s="9"/>
      <x:c r="AM9" s="9"/>
      <x:c r="AN9" s="64"/>
      <x:c r="AO9" s="64"/>
      <x:c r="AP9" s="16"/>
      <x:c r="AQ9" s="73"/>
      <x:c r="AR9" s="9" t="str">
        <x:v>Backtest inițial 29.08.2026; coloanele v2 LIVE sunt retrospective. Snapshot v2 nu a existat pre-match.</x:v>
      </x:c>
    </x:row>
    <x:row r="10" ht="42.75" customHeight="1">
      <x:c r="A10" s="10" t="n">
        <x:v>9</x:v>
      </x:c>
      <x:c r="B10" s="10" t="str">
        <x:v>Anglia</x:v>
      </x:c>
      <x:c r="C10" s="10" t="str">
        <x:v>Championship</x:v>
      </x:c>
      <x:c r="D10" s="10" t="str">
        <x:v>Bolton – Lincoln</x:v>
      </x:c>
      <x:c r="E10" s="10" t="str">
        <x:v>DA – FEZABIL</x:v>
      </x:c>
      <x:c r="F10" s="17" t="n">
        <x:v>2.583516086604984</x:v>
      </x:c>
      <x:c r="G10" s="29" t="n">
        <x:v>0.8797442968592551</x:v>
      </x:c>
      <x:c r="H10" s="35" t="n">
        <x:v>76</x:v>
      </x:c>
      <x:c r="I10" s="10" t="str">
        <x:v>PASS</x:v>
      </x:c>
      <x:c r="J10" s="10" t="n">
        <x:v>0</x:v>
      </x:c>
      <x:c r="K10" s="10" t="n">
        <x:v>1</x:v>
      </x:c>
      <x:c r="L10" s="10" t="n">
        <x:v>1</x:v>
      </x:c>
      <x:c r="M10" s="10" t="str">
        <x:v>UNDER</x:v>
      </x:c>
      <x:c r="N10" s="10" t="str">
        <x:v>PARIU U4,5</x:v>
      </x:c>
      <x:c r="O10" s="10" t="str">
        <x:v>SUCCES</x:v>
      </x:c>
      <x:c r="P10" s="10" t="n">
        <x:v>1</x:v>
      </x:c>
      <x:c r="Q10" s="56" t="n">
        <x:v>0.014461434137874951</x:v>
      </x:c>
      <x:c r="R10" s="17" t="n">
        <x:v>-1.583516086604984</x:v>
      </x:c>
      <x:c r="S10" s="10" t="str">
        <x:v>Succes solid: 1 goluri, cu 3 gol(uri) sub limita de 4; λ=2.58. Riscul de coadă 5+ nu s-a materializat.</x:v>
      </x:c>
      <x:c r="T10" s="10" t="str">
        <x:v>CompactStats + piață 1X2</x:v>
      </x:c>
      <x:c r="U10" s="10" t="str">
        <x:v>https://www.gsp.ro/rezultate-live/meciuri-29-08-2026</x:v>
      </x:c>
      <x:c r="V10" s="59" t="n">
        <x:v>46263</x:v>
      </x:c>
      <x:c r="W10" s="16" t="n">
        <x:v>1.416314094907148</x:v>
      </x:c>
      <x:c r="X10" s="16" t="n">
        <x:v>1.1672019916978358</x:v>
      </x:c>
      <x:c r="Y10" s="9" t="str">
        <x:v>CompactStats + piață</x:v>
      </x:c>
      <x:c r="Z10" s="34"/>
      <x:c r="AA10" s="9"/>
      <x:c r="AB10" s="64" t="n">
        <x:f>IF(G10="","",MAX(0.5,MIN(0.995,G10-'Calibrare v2'!$B$20-IF(Y10="Proxy 1X2",'Calibrare v2'!$B$21,IF(Y10="Model extern contradictoriu",'Calibrare v2'!$B$22,0))-MAX(0,(IF(Z10="",'Calibrare v2'!$B$26,Z10)-'Calibrare v2'!$B$26)*'Calibrare v2'!$B$27))))</x:f>
        <x:v>0.8481988959730576</x:v>
      </x:c>
      <x:c r="AC10" s="28"/>
      <x:c r="AD10" s="69" t="n">
        <x:f>IF(H10="","",MAX(0,MIN(H10,IF(Y10="Proxy 1X2",'Calibrare v2'!$B$23,'Calibrare v2'!$B$24))-IF(AA10="DA",'Calibrare v2'!$B$25,0)-MAX(0,(IF(Z10="",'Calibrare v2'!$B$26,Z10)-'Calibrare v2'!$B$26)*'Calibrare v2'!$B$37)))</x:f>
        <x:v>76</x:v>
      </x:c>
      <x:c r="AE10" s="34"/>
      <x:c r="AF10" s="73"/>
      <x:c r="AG10" s="16"/>
      <x:c r="AH10" s="16"/>
      <x:c r="AI10" s="64"/>
      <x:c r="AJ10" s="75" t="str">
        <x:f>IF(OR(G10="",F10=""),"",IF(AND(G10&gt;='Calibrare v2'!$B$35,F10&lt;='Calibrare v2'!$B$34),"PASS","FAIL"))</x:f>
        <x:v>FAIL</x:v>
      </x:c>
      <x:c r="AK10" s="75" t="str">
        <x:f>IF(OR(AB10="",AD10="",F10=""),"",IF(AND(AB10&gt;='Calibrare v2'!$B$29,F10&lt;='Calibrare v2'!$B$33,IF(Z10="",'Calibrare v2'!$B$26,Z10)&lt;='Calibrare v2'!$B$26,AD10&gt;='Calibrare v2'!$B$31,OR(AG10="",AB10*AG10-1&gt;='Calibrare v2'!$B$36)),"DA – FEZABIL",IF(AND(AB10&gt;='Calibrare v2'!$B$30,IF(Z10="",'Calibrare v2'!$B$26,Z10)&lt;='Calibrare v2'!$B$28,AD10&gt;='Calibrare v2'!$B$32),"DA – PRUDENT","NU – NO BET")))</x:f>
        <x:v>DA – PRUDENT</x:v>
      </x:c>
      <x:c r="AL10" s="9"/>
      <x:c r="AM10" s="9"/>
      <x:c r="AN10" s="64"/>
      <x:c r="AO10" s="64"/>
      <x:c r="AP10" s="16"/>
      <x:c r="AQ10" s="73"/>
      <x:c r="AR10" s="9" t="str">
        <x:v>Backtest inițial 29.08.2026; coloanele v2 LIVE sunt retrospective. Snapshot v2 nu a existat pre-match.</x:v>
      </x:c>
    </x:row>
    <x:row r="11" ht="42.75" customHeight="1">
      <x:c r="A11" s="10" t="n">
        <x:v>10</x:v>
      </x:c>
      <x:c r="B11" s="10" t="str">
        <x:v>Anglia</x:v>
      </x:c>
      <x:c r="C11" s="10" t="str">
        <x:v>Championship</x:v>
      </x:c>
      <x:c r="D11" s="10" t="str">
        <x:v>Bristol City – Portsmouth</x:v>
      </x:c>
      <x:c r="E11" s="10" t="str">
        <x:v>DA – PRUDENT</x:v>
      </x:c>
      <x:c r="F11" s="17" t="n">
        <x:v>2.7316232974417085</x:v>
      </x:c>
      <x:c r="G11" s="29" t="n">
        <x:v>0.8581662429932765</x:v>
      </x:c>
      <x:c r="H11" s="35" t="n">
        <x:v>76</x:v>
      </x:c>
      <x:c r="I11" s="10" t="str">
        <x:v>FAIL</x:v>
      </x:c>
      <x:c r="J11" s="10" t="n">
        <x:v>2</x:v>
      </x:c>
      <x:c r="K11" s="10" t="n">
        <x:v>1</x:v>
      </x:c>
      <x:c r="L11" s="10" t="n">
        <x:v>3</x:v>
      </x:c>
      <x:c r="M11" s="10" t="str">
        <x:v>UNDER</x:v>
      </x:c>
      <x:c r="N11" s="10" t="str">
        <x:v>PARIU U4,5</x:v>
      </x:c>
      <x:c r="O11" s="10" t="str">
        <x:v>SUCCES</x:v>
      </x:c>
      <x:c r="P11" s="10" t="n">
        <x:v>1</x:v>
      </x:c>
      <x:c r="Q11" s="56" t="n">
        <x:v>0.02011681462664229</x:v>
      </x:c>
      <x:c r="R11" s="17" t="n">
        <x:v>0.2683767025582915</x:v>
      </x:c>
      <x:c r="S11" s="10" t="str">
        <x:v>Succes solid: 3 goluri, cu 1 gol(uri) sub limita de 4; λ=2.73. Riscul de coadă 5+ nu s-a materializat.</x:v>
      </x:c>
      <x:c r="T11" s="10" t="str">
        <x:v>CompactStats + piață 1X2</x:v>
      </x:c>
      <x:c r="U11" s="10" t="str">
        <x:v>https://www.gsp.ro/rezultate-live/meciuri-29-08-2026</x:v>
      </x:c>
      <x:c r="V11" s="59" t="n">
        <x:v>46263</x:v>
      </x:c>
      <x:c r="W11" s="16" t="n">
        <x:v>1.3953703392813084</x:v>
      </x:c>
      <x:c r="X11" s="16" t="n">
        <x:v>1.3362529581604004</x:v>
      </x:c>
      <x:c r="Y11" s="9" t="str">
        <x:v>CompactStats + piață</x:v>
      </x:c>
      <x:c r="Z11" s="34"/>
      <x:c r="AA11" s="9"/>
      <x:c r="AB11" s="64" t="n">
        <x:f>IF(G11="","",MAX(0.5,MIN(0.995,G11-'Calibrare v2'!$B$20-IF(Y11="Proxy 1X2",'Calibrare v2'!$B$21,IF(Y11="Model extern contradictoriu",'Calibrare v2'!$B$22,0))-MAX(0,(IF(Z11="",'Calibrare v2'!$B$26,Z11)-'Calibrare v2'!$B$26)*'Calibrare v2'!$B$27))))</x:f>
        <x:v>0.826620842107079</x:v>
      </x:c>
      <x:c r="AC11" s="28"/>
      <x:c r="AD11" s="69" t="n">
        <x:f>IF(H11="","",MAX(0,MIN(H11,IF(Y11="Proxy 1X2",'Calibrare v2'!$B$23,'Calibrare v2'!$B$24))-IF(AA11="DA",'Calibrare v2'!$B$25,0)-MAX(0,(IF(Z11="",'Calibrare v2'!$B$26,Z11)-'Calibrare v2'!$B$26)*'Calibrare v2'!$B$37)))</x:f>
        <x:v>76</x:v>
      </x:c>
      <x:c r="AE11" s="34"/>
      <x:c r="AF11" s="73"/>
      <x:c r="AG11" s="16"/>
      <x:c r="AH11" s="16"/>
      <x:c r="AI11" s="64"/>
      <x:c r="AJ11" s="75" t="str">
        <x:f>IF(OR(G11="",F11=""),"",IF(AND(G11&gt;='Calibrare v2'!$B$35,F11&lt;='Calibrare v2'!$B$34),"PASS","FAIL"))</x:f>
        <x:v>FAIL</x:v>
      </x:c>
      <x:c r="AK11" s="75" t="str">
        <x:f>IF(OR(AB11="",AD11="",F11=""),"",IF(AND(AB11&gt;='Calibrare v2'!$B$29,F11&lt;='Calibrare v2'!$B$33,IF(Z11="",'Calibrare v2'!$B$26,Z11)&lt;='Calibrare v2'!$B$26,AD11&gt;='Calibrare v2'!$B$31,OR(AG11="",AB11*AG11-1&gt;='Calibrare v2'!$B$36)),"DA – FEZABIL",IF(AND(AB11&gt;='Calibrare v2'!$B$30,IF(Z11="",'Calibrare v2'!$B$26,Z11)&lt;='Calibrare v2'!$B$28,AD11&gt;='Calibrare v2'!$B$32),"DA – PRUDENT","NU – NO BET")))</x:f>
        <x:v>DA – PRUDENT</x:v>
      </x:c>
      <x:c r="AL11" s="9"/>
      <x:c r="AM11" s="9"/>
      <x:c r="AN11" s="64"/>
      <x:c r="AO11" s="64"/>
      <x:c r="AP11" s="16"/>
      <x:c r="AQ11" s="73"/>
      <x:c r="AR11" s="9" t="str">
        <x:v>Backtest inițial 29.08.2026; coloanele v2 LIVE sunt retrospective. Snapshot v2 nu a existat pre-match.</x:v>
      </x:c>
    </x:row>
    <x:row r="12" ht="42.75" customHeight="1">
      <x:c r="A12" s="10" t="n">
        <x:v>11</x:v>
      </x:c>
      <x:c r="B12" s="10" t="str">
        <x:v>Anglia</x:v>
      </x:c>
      <x:c r="C12" s="10" t="str">
        <x:v>Championship</x:v>
      </x:c>
      <x:c r="D12" s="10" t="str">
        <x:v>Cardiff – Sheffield United</x:v>
      </x:c>
      <x:c r="E12" s="10" t="str">
        <x:v>DA – FEZABIL</x:v>
      </x:c>
      <x:c r="F12" s="17" t="n">
        <x:v>2.527763098474102</x:v>
      </x:c>
      <x:c r="G12" s="29" t="n">
        <x:v>0.8874380577303074</x:v>
      </x:c>
      <x:c r="H12" s="35" t="n">
        <x:v>62</x:v>
      </x:c>
      <x:c r="I12" s="10" t="str">
        <x:v>PASS</x:v>
      </x:c>
      <x:c r="J12" s="10" t="n">
        <x:v>2</x:v>
      </x:c>
      <x:c r="K12" s="10" t="n">
        <x:v>2</x:v>
      </x:c>
      <x:c r="L12" s="10" t="n">
        <x:v>4</x:v>
      </x:c>
      <x:c r="M12" s="10" t="str">
        <x:v>UNDER</x:v>
      </x:c>
      <x:c r="N12" s="10" t="str">
        <x:v>PARIU U4,5</x:v>
      </x:c>
      <x:c r="O12" s="10" t="str">
        <x:v>SUCCES</x:v>
      </x:c>
      <x:c r="P12" s="10" t="n">
        <x:v>1</x:v>
      </x:c>
      <x:c r="Q12" s="56" t="n">
        <x:v>0.012670190847525615</x:v>
      </x:c>
      <x:c r="R12" s="17" t="n">
        <x:v>1.472236901525898</x:v>
      </x:c>
      <x:c r="S12" s="10" t="str">
        <x:v>Succes la limită: exact 4 goluri. Pariul a câștigat, dar marja de siguranță a fost minimă; λ=2.53.</x:v>
      </x:c>
      <x:c r="T12" s="10" t="str">
        <x:v>Proxy piață 1X2 (Poisson)</x:v>
      </x:c>
      <x:c r="U12" s="10" t="str">
        <x:v>https://www.gsp.ro/rezultate-live/meciuri-29-08-2026</x:v>
      </x:c>
      <x:c r="V12" s="59" t="n">
        <x:v>46263</x:v>
      </x:c>
      <x:c r="W12" s="16" t="n">
        <x:v>1.2537287131386736</x:v>
      </x:c>
      <x:c r="X12" s="16" t="n">
        <x:v>1.2740343853354281</x:v>
      </x:c>
      <x:c r="Y12" s="9" t="str">
        <x:v>Proxy 1X2</x:v>
      </x:c>
      <x:c r="Z12" s="34"/>
      <x:c r="AA12" s="9"/>
      <x:c r="AB12" s="64" t="n">
        <x:f>IF(G12="","",MAX(0.5,MIN(0.995,G12-'Calibrare v2'!$B$20-IF(Y12="Proxy 1X2",'Calibrare v2'!$B$21,IF(Y12="Model extern contradictoriu",'Calibrare v2'!$B$22,0))-MAX(0,(IF(Z12="",'Calibrare v2'!$B$26,Z12)-'Calibrare v2'!$B$26)*'Calibrare v2'!$B$27))))</x:f>
        <x:v>0.8358926568441098</x:v>
      </x:c>
      <x:c r="AC12" s="28"/>
      <x:c r="AD12" s="69" t="n">
        <x:f>IF(H12="","",MAX(0,MIN(H12,IF(Y12="Proxy 1X2",'Calibrare v2'!$B$23,'Calibrare v2'!$B$24))-IF(AA12="DA",'Calibrare v2'!$B$25,0)-MAX(0,(IF(Z12="",'Calibrare v2'!$B$26,Z12)-'Calibrare v2'!$B$26)*'Calibrare v2'!$B$37)))</x:f>
        <x:v>60</x:v>
      </x:c>
      <x:c r="AE12" s="34"/>
      <x:c r="AF12" s="73"/>
      <x:c r="AG12" s="16"/>
      <x:c r="AH12" s="16"/>
      <x:c r="AI12" s="64"/>
      <x:c r="AJ12" s="75" t="str">
        <x:f>IF(OR(G12="",F12=""),"",IF(AND(G12&gt;='Calibrare v2'!$B$35,F12&lt;='Calibrare v2'!$B$34),"PASS","FAIL"))</x:f>
        <x:v>FAIL</x:v>
      </x:c>
      <x:c r="AK12" s="75" t="str">
        <x:f>IF(OR(AB12="",AD12="",F12=""),"",IF(AND(AB12&gt;='Calibrare v2'!$B$29,F12&lt;='Calibrare v2'!$B$33,IF(Z12="",'Calibrare v2'!$B$26,Z12)&lt;='Calibrare v2'!$B$26,AD12&gt;='Calibrare v2'!$B$31,OR(AG12="",AB12*AG12-1&gt;='Calibrare v2'!$B$36)),"DA – FEZABIL",IF(AND(AB12&gt;='Calibrare v2'!$B$30,IF(Z12="",'Calibrare v2'!$B$26,Z12)&lt;='Calibrare v2'!$B$28,AD12&gt;='Calibrare v2'!$B$32),"DA – PRUDENT","NU – NO BET")))</x:f>
        <x:v>DA – PRUDENT</x:v>
      </x:c>
      <x:c r="AL12" s="9"/>
      <x:c r="AM12" s="9"/>
      <x:c r="AN12" s="64"/>
      <x:c r="AO12" s="64"/>
      <x:c r="AP12" s="16"/>
      <x:c r="AQ12" s="73"/>
      <x:c r="AR12" s="9" t="str">
        <x:v>Backtest inițial 29.08.2026; coloanele v2 LIVE sunt retrospective. Snapshot v2 nu a existat pre-match.</x:v>
      </x:c>
    </x:row>
    <x:row r="13" ht="42.75" customHeight="1">
      <x:c r="A13" s="10" t="n">
        <x:v>12</x:v>
      </x:c>
      <x:c r="B13" s="10" t="str">
        <x:v>Anglia</x:v>
      </x:c>
      <x:c r="C13" s="10" t="str">
        <x:v>Championship</x:v>
      </x:c>
      <x:c r="D13" s="10" t="str">
        <x:v>Charlton – Preston</x:v>
      </x:c>
      <x:c r="E13" s="10" t="str">
        <x:v>DA – FEZABIL</x:v>
      </x:c>
      <x:c r="F13" s="17" t="n">
        <x:v>2.528871479000142</x:v>
      </x:c>
      <x:c r="G13" s="29" t="n">
        <x:v>0.887287476899407</x:v>
      </x:c>
      <x:c r="H13" s="35" t="n">
        <x:v>76</x:v>
      </x:c>
      <x:c r="I13" s="10" t="str">
        <x:v>PASS</x:v>
      </x:c>
      <x:c r="J13" s="10" t="n">
        <x:v>1</x:v>
      </x:c>
      <x:c r="K13" s="10" t="n">
        <x:v>0</x:v>
      </x:c>
      <x:c r="L13" s="10" t="n">
        <x:v>1</x:v>
      </x:c>
      <x:c r="M13" s="10" t="str">
        <x:v>UNDER</x:v>
      </x:c>
      <x:c r="N13" s="10" t="str">
        <x:v>PARIU U4,5</x:v>
      </x:c>
      <x:c r="O13" s="10" t="str">
        <x:v>SUCCES</x:v>
      </x:c>
      <x:c r="P13" s="10" t="n">
        <x:v>1</x:v>
      </x:c>
      <x:c r="Q13" s="56" t="n">
        <x:v>0.012704112863701707</x:v>
      </x:c>
      <x:c r="R13" s="17" t="n">
        <x:v>-1.5288714790001419</x:v>
      </x:c>
      <x:c r="S13" s="10" t="str">
        <x:v>Succes solid: 1 goluri, cu 3 gol(uri) sub limita de 4; λ=2.53. Riscul de coadă 5+ nu s-a materializat.</x:v>
      </x:c>
      <x:c r="T13" s="10" t="str">
        <x:v>CompactStats + piață 1X2</x:v>
      </x:c>
      <x:c r="U13" s="10" t="str">
        <x:v>https://www.gsp.ro/rezultate-live/meciuri-29-08-2026</x:v>
      </x:c>
      <x:c r="V13" s="59" t="n">
        <x:v>46263</x:v>
      </x:c>
      <x:c r="W13" s="16" t="n">
        <x:v>1.4341572906957056</x:v>
      </x:c>
      <x:c r="X13" s="16" t="n">
        <x:v>1.0947141883044362</x:v>
      </x:c>
      <x:c r="Y13" s="9" t="str">
        <x:v>CompactStats + piață</x:v>
      </x:c>
      <x:c r="Z13" s="34"/>
      <x:c r="AA13" s="9"/>
      <x:c r="AB13" s="64" t="n">
        <x:f>IF(G13="","",MAX(0.5,MIN(0.995,G13-'Calibrare v2'!$B$20-IF(Y13="Proxy 1X2",'Calibrare v2'!$B$21,IF(Y13="Model extern contradictoriu",'Calibrare v2'!$B$22,0))-MAX(0,(IF(Z13="",'Calibrare v2'!$B$26,Z13)-'Calibrare v2'!$B$26)*'Calibrare v2'!$B$27))))</x:f>
        <x:v>0.8557420760132095</x:v>
      </x:c>
      <x:c r="AC13" s="28"/>
      <x:c r="AD13" s="69" t="n">
        <x:f>IF(H13="","",MAX(0,MIN(H13,IF(Y13="Proxy 1X2",'Calibrare v2'!$B$23,'Calibrare v2'!$B$24))-IF(AA13="DA",'Calibrare v2'!$B$25,0)-MAX(0,(IF(Z13="",'Calibrare v2'!$B$26,Z13)-'Calibrare v2'!$B$26)*'Calibrare v2'!$B$37)))</x:f>
        <x:v>76</x:v>
      </x:c>
      <x:c r="AE13" s="34"/>
      <x:c r="AF13" s="73"/>
      <x:c r="AG13" s="16"/>
      <x:c r="AH13" s="16"/>
      <x:c r="AI13" s="64"/>
      <x:c r="AJ13" s="75" t="str">
        <x:f>IF(OR(G13="",F13=""),"",IF(AND(G13&gt;='Calibrare v2'!$B$35,F13&lt;='Calibrare v2'!$B$34),"PASS","FAIL"))</x:f>
        <x:v>FAIL</x:v>
      </x:c>
      <x:c r="AK13" s="75" t="str">
        <x:f>IF(OR(AB13="",AD13="",F13=""),"",IF(AND(AB13&gt;='Calibrare v2'!$B$29,F13&lt;='Calibrare v2'!$B$33,IF(Z13="",'Calibrare v2'!$B$26,Z13)&lt;='Calibrare v2'!$B$26,AD13&gt;='Calibrare v2'!$B$31,OR(AG13="",AB13*AG13-1&gt;='Calibrare v2'!$B$36)),"DA – FEZABIL",IF(AND(AB13&gt;='Calibrare v2'!$B$30,IF(Z13="",'Calibrare v2'!$B$26,Z13)&lt;='Calibrare v2'!$B$28,AD13&gt;='Calibrare v2'!$B$32),"DA – PRUDENT","NU – NO BET")))</x:f>
        <x:v>DA – PRUDENT</x:v>
      </x:c>
      <x:c r="AL13" s="9"/>
      <x:c r="AM13" s="9"/>
      <x:c r="AN13" s="64"/>
      <x:c r="AO13" s="64"/>
      <x:c r="AP13" s="16"/>
      <x:c r="AQ13" s="73"/>
      <x:c r="AR13" s="9" t="str">
        <x:v>Backtest inițial 29.08.2026; coloanele v2 LIVE sunt retrospective. Snapshot v2 nu a existat pre-match.</x:v>
      </x:c>
    </x:row>
    <x:row r="14" ht="42.75" customHeight="1">
      <x:c r="A14" s="10" t="n">
        <x:v>13</x:v>
      </x:c>
      <x:c r="B14" s="10" t="str">
        <x:v>Anglia</x:v>
      </x:c>
      <x:c r="C14" s="10" t="str">
        <x:v>Championship</x:v>
      </x:c>
      <x:c r="D14" s="10" t="str">
        <x:v>Norwich – Burnley</x:v>
      </x:c>
      <x:c r="E14" s="10" t="str">
        <x:v>DA – PRUDENT</x:v>
      </x:c>
      <x:c r="F14" s="17" t="n">
        <x:v>2.7322205717434604</x:v>
      </x:c>
      <x:c r="G14" s="29" t="n">
        <x:v>0.8580760075606834</x:v>
      </x:c>
      <x:c r="H14" s="35" t="n">
        <x:v>76</x:v>
      </x:c>
      <x:c r="I14" s="10" t="str">
        <x:v>FAIL</x:v>
      </x:c>
      <x:c r="J14" s="10" t="n">
        <x:v>4</x:v>
      </x:c>
      <x:c r="K14" s="10" t="n">
        <x:v>1</x:v>
      </x:c>
      <x:c r="L14" s="10" t="n">
        <x:v>5</x:v>
      </x:c>
      <x:c r="M14" s="10" t="str">
        <x:v>OVER</x:v>
      </x:c>
      <x:c r="N14" s="10" t="str">
        <x:v>PARIU U4,5</x:v>
      </x:c>
      <x:c r="O14" s="10" t="str">
        <x:v>EȘEC</x:v>
      </x:c>
      <x:c r="P14" s="10" t="n">
        <x:v>0</x:v>
      </x:c>
      <x:c r="Q14" s="56" t="n">
        <x:v>0.736294434751282</x:v>
      </x:c>
      <x:c r="R14" s="17" t="n">
        <x:v>2.2677794282565396</x:v>
      </x:c>
      <x:c r="S14" s="10" t="str">
        <x:v>Eșec: 5 goluri vs λ=2.73 (abatere +2.27). Eveniment de coadă la 5 goluri, insuficient penalizat de model.</x:v>
      </x:c>
      <x:c r="T14" s="10" t="str">
        <x:v>CompactStats + piață 1X2</x:v>
      </x:c>
      <x:c r="U14" s="10" t="str">
        <x:v>https://www.gsp.ro/rezultate-live/meciuri-29-08-2026</x:v>
      </x:c>
      <x:c r="V14" s="59" t="n">
        <x:v>46263</x:v>
      </x:c>
      <x:c r="W14" s="16" t="n">
        <x:v>1.4761362056262919</x:v>
      </x:c>
      <x:c r="X14" s="16" t="n">
        <x:v>1.2560843661171683</x:v>
      </x:c>
      <x:c r="Y14" s="9" t="str">
        <x:v>CompactStats + piață</x:v>
      </x:c>
      <x:c r="Z14" s="34"/>
      <x:c r="AA14" s="9"/>
      <x:c r="AB14" s="64" t="n">
        <x:f>IF(G14="","",MAX(0.5,MIN(0.995,G14-'Calibrare v2'!$B$20-IF(Y14="Proxy 1X2",'Calibrare v2'!$B$21,IF(Y14="Model extern contradictoriu",'Calibrare v2'!$B$22,0))-MAX(0,(IF(Z14="",'Calibrare v2'!$B$26,Z14)-'Calibrare v2'!$B$26)*'Calibrare v2'!$B$27))))</x:f>
        <x:v>0.8265306066744859</x:v>
      </x:c>
      <x:c r="AC14" s="28"/>
      <x:c r="AD14" s="69" t="n">
        <x:f>IF(H14="","",MAX(0,MIN(H14,IF(Y14="Proxy 1X2",'Calibrare v2'!$B$23,'Calibrare v2'!$B$24))-IF(AA14="DA",'Calibrare v2'!$B$25,0)-MAX(0,(IF(Z14="",'Calibrare v2'!$B$26,Z14)-'Calibrare v2'!$B$26)*'Calibrare v2'!$B$37)))</x:f>
        <x:v>76</x:v>
      </x:c>
      <x:c r="AE14" s="34"/>
      <x:c r="AF14" s="73"/>
      <x:c r="AG14" s="16"/>
      <x:c r="AH14" s="16"/>
      <x:c r="AI14" s="64"/>
      <x:c r="AJ14" s="75" t="str">
        <x:f>IF(OR(G14="",F14=""),"",IF(AND(G14&gt;='Calibrare v2'!$B$35,F14&lt;='Calibrare v2'!$B$34),"PASS","FAIL"))</x:f>
        <x:v>FAIL</x:v>
      </x:c>
      <x:c r="AK14" s="75" t="str">
        <x:f>IF(OR(AB14="",AD14="",F14=""),"",IF(AND(AB14&gt;='Calibrare v2'!$B$29,F14&lt;='Calibrare v2'!$B$33,IF(Z14="",'Calibrare v2'!$B$26,Z14)&lt;='Calibrare v2'!$B$26,AD14&gt;='Calibrare v2'!$B$31,OR(AG14="",AB14*AG14-1&gt;='Calibrare v2'!$B$36)),"DA – FEZABIL",IF(AND(AB14&gt;='Calibrare v2'!$B$30,IF(Z14="",'Calibrare v2'!$B$26,Z14)&lt;='Calibrare v2'!$B$28,AD14&gt;='Calibrare v2'!$B$32),"DA – PRUDENT","NU – NO BET")))</x:f>
        <x:v>DA – PRUDENT</x:v>
      </x:c>
      <x:c r="AL14" s="9"/>
      <x:c r="AM14" s="9"/>
      <x:c r="AN14" s="64"/>
      <x:c r="AO14" s="64"/>
      <x:c r="AP14" s="16"/>
      <x:c r="AQ14" s="73"/>
      <x:c r="AR14" s="9" t="str">
        <x:v>Backtest inițial 29.08.2026; coloanele v2 LIVE sunt retrospective. Snapshot v2 nu a existat pre-match.</x:v>
      </x:c>
    </x:row>
    <x:row r="15" ht="42.75" customHeight="1">
      <x:c r="A15" s="10" t="n">
        <x:v>14</x:v>
      </x:c>
      <x:c r="B15" s="10" t="str">
        <x:v>Anglia</x:v>
      </x:c>
      <x:c r="C15" s="10" t="str">
        <x:v>Championship</x:v>
      </x:c>
      <x:c r="D15" s="10" t="str">
        <x:v>Southampton – Millwall</x:v>
      </x:c>
      <x:c r="E15" s="10" t="str">
        <x:v>DA – FEZABIL</x:v>
      </x:c>
      <x:c r="F15" s="17" t="n">
        <x:v>2.6319083056861095</x:v>
      </x:c>
      <x:c r="G15" s="29" t="n">
        <x:v>0.8728724248006008</x:v>
      </x:c>
      <x:c r="H15" s="35" t="n">
        <x:v>76</x:v>
      </x:c>
      <x:c r="I15" s="10" t="str">
        <x:v>PASS</x:v>
      </x:c>
      <x:c r="J15" s="10" t="n">
        <x:v>5</x:v>
      </x:c>
      <x:c r="K15" s="10" t="n">
        <x:v>1</x:v>
      </x:c>
      <x:c r="L15" s="10" t="n">
        <x:v>6</x:v>
      </x:c>
      <x:c r="M15" s="10" t="str">
        <x:v>OVER</x:v>
      </x:c>
      <x:c r="N15" s="10" t="str">
        <x:v>PARIU U4,5</x:v>
      </x:c>
      <x:c r="O15" s="10" t="str">
        <x:v>EȘEC</x:v>
      </x:c>
      <x:c r="P15" s="10" t="n">
        <x:v>0</x:v>
      </x:c>
      <x:c r="Q15" s="56" t="n">
        <x:v>0.7619062699772805</x:v>
      </x:c>
      <x:c r="R15" s="17" t="n">
        <x:v>3.3680916943138905</x:v>
      </x:c>
      <x:c r="S15" s="10" t="str">
        <x:v>Eșec: 6 goluri vs λ=2.63 (abatere +3.37). Scor extrem/overdispersion: modelul Poisson simplu a subestimat coada distribuției.</x:v>
      </x:c>
      <x:c r="T15" s="10" t="str">
        <x:v>CompactStats + piață 1X2</x:v>
      </x:c>
      <x:c r="U15" s="10" t="str">
        <x:v>https://www.gsp.ro/rezultate-live/meciuri-29-08-2026</x:v>
      </x:c>
      <x:c r="V15" s="59" t="n">
        <x:v>46263</x:v>
      </x:c>
      <x:c r="W15" s="16" t="n">
        <x:v>1.433152920314476</x:v>
      </x:c>
      <x:c r="X15" s="16" t="n">
        <x:v>1.1987553853716333</x:v>
      </x:c>
      <x:c r="Y15" s="9" t="str">
        <x:v>CompactStats + piață</x:v>
      </x:c>
      <x:c r="Z15" s="34"/>
      <x:c r="AA15" s="9"/>
      <x:c r="AB15" s="64" t="n">
        <x:f>IF(G15="","",MAX(0.5,MIN(0.995,G15-'Calibrare v2'!$B$20-IF(Y15="Proxy 1X2",'Calibrare v2'!$B$21,IF(Y15="Model extern contradictoriu",'Calibrare v2'!$B$22,0))-MAX(0,(IF(Z15="",'Calibrare v2'!$B$26,Z15)-'Calibrare v2'!$B$26)*'Calibrare v2'!$B$27))))</x:f>
        <x:v>0.8413270239144033</x:v>
      </x:c>
      <x:c r="AC15" s="28"/>
      <x:c r="AD15" s="69" t="n">
        <x:f>IF(H15="","",MAX(0,MIN(H15,IF(Y15="Proxy 1X2",'Calibrare v2'!$B$23,'Calibrare v2'!$B$24))-IF(AA15="DA",'Calibrare v2'!$B$25,0)-MAX(0,(IF(Z15="",'Calibrare v2'!$B$26,Z15)-'Calibrare v2'!$B$26)*'Calibrare v2'!$B$37)))</x:f>
        <x:v>76</x:v>
      </x:c>
      <x:c r="AE15" s="34"/>
      <x:c r="AF15" s="73"/>
      <x:c r="AG15" s="16"/>
      <x:c r="AH15" s="16"/>
      <x:c r="AI15" s="64"/>
      <x:c r="AJ15" s="75" t="str">
        <x:f>IF(OR(G15="",F15=""),"",IF(AND(G15&gt;='Calibrare v2'!$B$35,F15&lt;='Calibrare v2'!$B$34),"PASS","FAIL"))</x:f>
        <x:v>FAIL</x:v>
      </x:c>
      <x:c r="AK15" s="75" t="str">
        <x:f>IF(OR(AB15="",AD15="",F15=""),"",IF(AND(AB15&gt;='Calibrare v2'!$B$29,F15&lt;='Calibrare v2'!$B$33,IF(Z15="",'Calibrare v2'!$B$26,Z15)&lt;='Calibrare v2'!$B$26,AD15&gt;='Calibrare v2'!$B$31,OR(AG15="",AB15*AG15-1&gt;='Calibrare v2'!$B$36)),"DA – FEZABIL",IF(AND(AB15&gt;='Calibrare v2'!$B$30,IF(Z15="",'Calibrare v2'!$B$26,Z15)&lt;='Calibrare v2'!$B$28,AD15&gt;='Calibrare v2'!$B$32),"DA – PRUDENT","NU – NO BET")))</x:f>
        <x:v>DA – PRUDENT</x:v>
      </x:c>
      <x:c r="AL15" s="9"/>
      <x:c r="AM15" s="9"/>
      <x:c r="AN15" s="64"/>
      <x:c r="AO15" s="64"/>
      <x:c r="AP15" s="16"/>
      <x:c r="AQ15" s="73"/>
      <x:c r="AR15" s="9" t="str">
        <x:v>Backtest inițial 29.08.2026; coloanele v2 LIVE sunt retrospective. Snapshot v2 nu a existat pre-match.</x:v>
      </x:c>
    </x:row>
    <x:row r="16" ht="43.5" customHeight="1">
      <x:c r="A16" s="10" t="n">
        <x:v>15</x:v>
      </x:c>
      <x:c r="B16" s="10" t="str">
        <x:v>Anglia</x:v>
      </x:c>
      <x:c r="C16" s="10" t="str">
        <x:v>Championship</x:v>
      </x:c>
      <x:c r="D16" s="10" t="str">
        <x:v>Watford – West Ham</x:v>
      </x:c>
      <x:c r="E16" s="10" t="str">
        <x:v>DA – PRUDENT</x:v>
      </x:c>
      <x:c r="F16" s="17" t="n">
        <x:v>2.800061255736252</x:v>
      </x:c>
      <x:c r="G16" s="29" t="n">
        <x:v>0.8476665169695179</x:v>
      </x:c>
      <x:c r="H16" s="35" t="n">
        <x:v>76</x:v>
      </x:c>
      <x:c r="I16" s="10" t="str">
        <x:v>FAIL</x:v>
      </x:c>
      <x:c r="J16" s="10" t="n">
        <x:v>1</x:v>
      </x:c>
      <x:c r="K16" s="10" t="n">
        <x:v>1</x:v>
      </x:c>
      <x:c r="L16" s="10" t="n">
        <x:v>2</x:v>
      </x:c>
      <x:c r="M16" s="10" t="str">
        <x:v>UNDER</x:v>
      </x:c>
      <x:c r="N16" s="10" t="str">
        <x:v>PARIU U4,5</x:v>
      </x:c>
      <x:c r="O16" s="10" t="str">
        <x:v>SUCCES</x:v>
      </x:c>
      <x:c r="P16" s="10" t="n">
        <x:v>1</x:v>
      </x:c>
      <x:c r="Q16" s="56" t="n">
        <x:v>0.023205490052198182</x:v>
      </x:c>
      <x:c r="R16" s="17" t="n">
        <x:v>-0.8000612557362521</x:v>
      </x:c>
      <x:c r="S16" s="10" t="str">
        <x:v>Succes solid: 2 goluri, cu 2 gol(uri) sub limita de 4; λ=2.80. Riscul de coadă 5+ nu s-a materializat.</x:v>
      </x:c>
      <x:c r="T16" s="10" t="str">
        <x:v>CompactStats + piață 1X2</x:v>
      </x:c>
      <x:c r="U16" s="10" t="str">
        <x:v>https://www.gsp.ro/rezultate-live/meciuri-29-08-2026</x:v>
      </x:c>
      <x:c r="V16" s="59" t="n">
        <x:v>46263</x:v>
      </x:c>
      <x:c r="W16" s="16" t="n">
        <x:v>1.3527052297153548</x:v>
      </x:c>
      <x:c r="X16" s="16" t="n">
        <x:v>1.4473560260208973</x:v>
      </x:c>
      <x:c r="Y16" s="9" t="str">
        <x:v>CompactStats + piață</x:v>
      </x:c>
      <x:c r="Z16" s="34"/>
      <x:c r="AA16" s="9"/>
      <x:c r="AB16" s="64" t="n">
        <x:f>IF(G16="","",MAX(0.5,MIN(0.995,G16-'Calibrare v2'!$B$20-IF(Y16="Proxy 1X2",'Calibrare v2'!$B$21,IF(Y16="Model extern contradictoriu",'Calibrare v2'!$B$22,0))-MAX(0,(IF(Z16="",'Calibrare v2'!$B$26,Z16)-'Calibrare v2'!$B$26)*'Calibrare v2'!$B$27))))</x:f>
        <x:v>0.8161211160833204</x:v>
      </x:c>
      <x:c r="AC16" s="28"/>
      <x:c r="AD16" s="69" t="n">
        <x:f>IF(H16="","",MAX(0,MIN(H16,IF(Y16="Proxy 1X2",'Calibrare v2'!$B$23,'Calibrare v2'!$B$24))-IF(AA16="DA",'Calibrare v2'!$B$25,0)-MAX(0,(IF(Z16="",'Calibrare v2'!$B$26,Z16)-'Calibrare v2'!$B$26)*'Calibrare v2'!$B$37)))</x:f>
        <x:v>76</x:v>
      </x:c>
      <x:c r="AE16" s="34"/>
      <x:c r="AF16" s="73"/>
      <x:c r="AG16" s="16"/>
      <x:c r="AH16" s="16"/>
      <x:c r="AI16" s="64"/>
      <x:c r="AJ16" s="75" t="str">
        <x:f>IF(OR(G16="",F16=""),"",IF(AND(G16&gt;='Calibrare v2'!$B$35,F16&lt;='Calibrare v2'!$B$34),"PASS","FAIL"))</x:f>
        <x:v>FAIL</x:v>
      </x:c>
      <x:c r="AK16" s="75" t="str">
        <x:f>IF(OR(AB16="",AD16="",F16=""),"",IF(AND(AB16&gt;='Calibrare v2'!$B$29,F16&lt;='Calibrare v2'!$B$33,IF(Z16="",'Calibrare v2'!$B$26,Z16)&lt;='Calibrare v2'!$B$26,AD16&gt;='Calibrare v2'!$B$31,OR(AG16="",AB16*AG16-1&gt;='Calibrare v2'!$B$36)),"DA – FEZABIL",IF(AND(AB16&gt;='Calibrare v2'!$B$30,IF(Z16="",'Calibrare v2'!$B$26,Z16)&lt;='Calibrare v2'!$B$28,AD16&gt;='Calibrare v2'!$B$32),"DA – PRUDENT","NU – NO BET")))</x:f>
        <x:v>NU – NO BET</x:v>
      </x:c>
      <x:c r="AL16" s="9"/>
      <x:c r="AM16" s="9"/>
      <x:c r="AN16" s="64"/>
      <x:c r="AO16" s="64"/>
      <x:c r="AP16" s="16"/>
      <x:c r="AQ16" s="73"/>
      <x:c r="AR16" s="9" t="str">
        <x:v>Backtest inițial 29.08.2026; coloanele v2 LIVE sunt retrospective. Snapshot v2 nu a existat pre-match.</x:v>
      </x:c>
    </x:row>
    <x:row r="17" ht="42.75" customHeight="1">
      <x:c r="A17" s="10" t="n">
        <x:v>16</x:v>
      </x:c>
      <x:c r="B17" s="10" t="str">
        <x:v>Elveția</x:v>
      </x:c>
      <x:c r="C17" s="10" t="str">
        <x:v>Super League</x:v>
      </x:c>
      <x:c r="D17" s="10" t="str">
        <x:v>Lausanne – FC Zürich</x:v>
      </x:c>
      <x:c r="E17" s="10" t="str">
        <x:v>DA – FEZABIL</x:v>
      </x:c>
      <x:c r="F17" s="17" t="n">
        <x:v>2.6323514108771215</x:v>
      </x:c>
      <x:c r="G17" s="29" t="n">
        <x:v>0.8728086857824943</x:v>
      </x:c>
      <x:c r="H17" s="35" t="n">
        <x:v>62</x:v>
      </x:c>
      <x:c r="I17" s="10" t="str">
        <x:v>PASS</x:v>
      </x:c>
      <x:c r="J17" s="10" t="n">
        <x:v>2</x:v>
      </x:c>
      <x:c r="K17" s="10" t="n">
        <x:v>3</x:v>
      </x:c>
      <x:c r="L17" s="10" t="n">
        <x:v>5</x:v>
      </x:c>
      <x:c r="M17" s="10" t="str">
        <x:v>OVER</x:v>
      </x:c>
      <x:c r="N17" s="10" t="str">
        <x:v>PARIU U4,5</x:v>
      </x:c>
      <x:c r="O17" s="10" t="str">
        <x:v>EȘEC</x:v>
      </x:c>
      <x:c r="P17" s="10" t="n">
        <x:v>0</x:v>
      </x:c>
      <x:c r="Q17" s="56" t="n">
        <x:v>0.7617950019773648</x:v>
      </x:c>
      <x:c r="R17" s="17" t="n">
        <x:v>2.3676485891228785</x:v>
      </x:c>
      <x:c r="S17" s="10" t="str">
        <x:v>Eșec: 5 goluri vs λ=2.63 (abatere +2.37). Eveniment de coadă la 5 goluri, insuficient penalizat de model. Estimarea λ a fost predominant proxy din 1X2, fără o piață directă U/O suficientă.</x:v>
      </x:c>
      <x:c r="T17" s="10" t="str">
        <x:v>Proxy piață 1X2 (Poisson)</x:v>
      </x:c>
      <x:c r="U17" s="10" t="str">
        <x:v>https://tipsterarea.com/leagues/switzerland/swiss-super-league/all</x:v>
      </x:c>
      <x:c r="V17" s="59" t="n">
        <x:v>46263</x:v>
      </x:c>
      <x:c r="W17" s="16" t="n">
        <x:v>1.6233825035918303</x:v>
      </x:c>
      <x:c r="X17" s="16" t="n">
        <x:v>1.008968907285291</x:v>
      </x:c>
      <x:c r="Y17" s="9" t="str">
        <x:v>Proxy 1X2</x:v>
      </x:c>
      <x:c r="Z17" s="34"/>
      <x:c r="AA17" s="9"/>
      <x:c r="AB17" s="64" t="n">
        <x:f>IF(G17="","",MAX(0.5,MIN(0.995,G17-'Calibrare v2'!$B$20-IF(Y17="Proxy 1X2",'Calibrare v2'!$B$21,IF(Y17="Model extern contradictoriu",'Calibrare v2'!$B$22,0))-MAX(0,(IF(Z17="",'Calibrare v2'!$B$26,Z17)-'Calibrare v2'!$B$26)*'Calibrare v2'!$B$27))))</x:f>
        <x:v>0.8212632848962967</x:v>
      </x:c>
      <x:c r="AC17" s="28"/>
      <x:c r="AD17" s="69" t="n">
        <x:f>IF(H17="","",MAX(0,MIN(H17,IF(Y17="Proxy 1X2",'Calibrare v2'!$B$23,'Calibrare v2'!$B$24))-IF(AA17="DA",'Calibrare v2'!$B$25,0)-MAX(0,(IF(Z17="",'Calibrare v2'!$B$26,Z17)-'Calibrare v2'!$B$26)*'Calibrare v2'!$B$37)))</x:f>
        <x:v>60</x:v>
      </x:c>
      <x:c r="AE17" s="34"/>
      <x:c r="AF17" s="73"/>
      <x:c r="AG17" s="16"/>
      <x:c r="AH17" s="16"/>
      <x:c r="AI17" s="64"/>
      <x:c r="AJ17" s="75" t="str">
        <x:f>IF(OR(G17="",F17=""),"",IF(AND(G17&gt;='Calibrare v2'!$B$35,F17&lt;='Calibrare v2'!$B$34),"PASS","FAIL"))</x:f>
        <x:v>FAIL</x:v>
      </x:c>
      <x:c r="AK17" s="75" t="str">
        <x:f>IF(OR(AB17="",AD17="",F17=""),"",IF(AND(AB17&gt;='Calibrare v2'!$B$29,F17&lt;='Calibrare v2'!$B$33,IF(Z17="",'Calibrare v2'!$B$26,Z17)&lt;='Calibrare v2'!$B$26,AD17&gt;='Calibrare v2'!$B$31,OR(AG17="",AB17*AG17-1&gt;='Calibrare v2'!$B$36)),"DA – FEZABIL",IF(AND(AB17&gt;='Calibrare v2'!$B$30,IF(Z17="",'Calibrare v2'!$B$26,Z17)&lt;='Calibrare v2'!$B$28,AD17&gt;='Calibrare v2'!$B$32),"DA – PRUDENT","NU – NO BET")))</x:f>
        <x:v>DA – PRUDENT</x:v>
      </x:c>
      <x:c r="AL17" s="9"/>
      <x:c r="AM17" s="9"/>
      <x:c r="AN17" s="64"/>
      <x:c r="AO17" s="64"/>
      <x:c r="AP17" s="16"/>
      <x:c r="AQ17" s="73"/>
      <x:c r="AR17" s="9" t="str">
        <x:v>Backtest inițial 29.08.2026; coloanele v2 LIVE sunt retrospective. Snapshot v2 nu a existat pre-match.</x:v>
      </x:c>
    </x:row>
    <x:row r="18" ht="43.5" customHeight="1">
      <x:c r="A18" s="10" t="n">
        <x:v>17</x:v>
      </x:c>
      <x:c r="B18" s="10" t="str">
        <x:v>Elveția</x:v>
      </x:c>
      <x:c r="C18" s="10" t="str">
        <x:v>Super League</x:v>
      </x:c>
      <x:c r="D18" s="10" t="str">
        <x:v>Servette – Luzern</x:v>
      </x:c>
      <x:c r="E18" s="10" t="str">
        <x:v>DA – PRUDENT</x:v>
      </x:c>
      <x:c r="F18" s="17" t="n">
        <x:v>2.8365682724286936</x:v>
      </x:c>
      <x:c r="G18" s="29" t="n">
        <x:v>0.8419367543458438</x:v>
      </x:c>
      <x:c r="H18" s="35" t="n">
        <x:v>62</x:v>
      </x:c>
      <x:c r="I18" s="10" t="str">
        <x:v>FAIL</x:v>
      </x:c>
      <x:c r="J18" s="10" t="n">
        <x:v>1</x:v>
      </x:c>
      <x:c r="K18" s="10" t="n">
        <x:v>1</x:v>
      </x:c>
      <x:c r="L18" s="10" t="n">
        <x:v>2</x:v>
      </x:c>
      <x:c r="M18" s="10" t="str">
        <x:v>UNDER</x:v>
      </x:c>
      <x:c r="N18" s="10" t="str">
        <x:v>PARIU U4,5</x:v>
      </x:c>
      <x:c r="O18" s="10" t="str">
        <x:v>SUCCES</x:v>
      </x:c>
      <x:c r="P18" s="10" t="n">
        <x:v>1</x:v>
      </x:c>
      <x:c r="Q18" s="56" t="n">
        <x:v>0.024983989626726127</x:v>
      </x:c>
      <x:c r="R18" s="17" t="n">
        <x:v>-0.8365682724286936</x:v>
      </x:c>
      <x:c r="S18" s="10" t="str">
        <x:v>Succes solid: 2 goluri, cu 2 gol(uri) sub limita de 4; λ=2.84. Riscul de coadă 5+ nu s-a materializat.</x:v>
      </x:c>
      <x:c r="T18" s="10" t="str">
        <x:v>Proxy piață 1X2 (Poisson)</x:v>
      </x:c>
      <x:c r="U18" s="10" t="str">
        <x:v>https://tipsterarea.com/leagues/switzerland/swiss-super-league/all</x:v>
      </x:c>
      <x:c r="V18" s="59" t="n">
        <x:v>46263</x:v>
      </x:c>
      <x:c r="W18" s="16" t="n">
        <x:v>1.6833466598110427</x:v>
      </x:c>
      <x:c r="X18" s="16" t="n">
        <x:v>1.1532216126176507</x:v>
      </x:c>
      <x:c r="Y18" s="9" t="str">
        <x:v>Proxy 1X2</x:v>
      </x:c>
      <x:c r="Z18" s="34"/>
      <x:c r="AA18" s="9"/>
      <x:c r="AB18" s="64" t="n">
        <x:f>IF(G18="","",MAX(0.5,MIN(0.995,G18-'Calibrare v2'!$B$20-IF(Y18="Proxy 1X2",'Calibrare v2'!$B$21,IF(Y18="Model extern contradictoriu",'Calibrare v2'!$B$22,0))-MAX(0,(IF(Z18="",'Calibrare v2'!$B$26,Z18)-'Calibrare v2'!$B$26)*'Calibrare v2'!$B$27))))</x:f>
        <x:v>0.7903913534596463</x:v>
      </x:c>
      <x:c r="AC18" s="28"/>
      <x:c r="AD18" s="69" t="n">
        <x:f>IF(H18="","",MAX(0,MIN(H18,IF(Y18="Proxy 1X2",'Calibrare v2'!$B$23,'Calibrare v2'!$B$24))-IF(AA18="DA",'Calibrare v2'!$B$25,0)-MAX(0,(IF(Z18="",'Calibrare v2'!$B$26,Z18)-'Calibrare v2'!$B$26)*'Calibrare v2'!$B$37)))</x:f>
        <x:v>60</x:v>
      </x:c>
      <x:c r="AE18" s="34"/>
      <x:c r="AF18" s="73"/>
      <x:c r="AG18" s="16"/>
      <x:c r="AH18" s="16"/>
      <x:c r="AI18" s="64"/>
      <x:c r="AJ18" s="75" t="str">
        <x:f>IF(OR(G18="",F18=""),"",IF(AND(G18&gt;='Calibrare v2'!$B$35,F18&lt;='Calibrare v2'!$B$34),"PASS","FAIL"))</x:f>
        <x:v>FAIL</x:v>
      </x:c>
      <x:c r="AK18" s="75" t="str">
        <x:f>IF(OR(AB18="",AD18="",F18=""),"",IF(AND(AB18&gt;='Calibrare v2'!$B$29,F18&lt;='Calibrare v2'!$B$33,IF(Z18="",'Calibrare v2'!$B$26,Z18)&lt;='Calibrare v2'!$B$26,AD18&gt;='Calibrare v2'!$B$31,OR(AG18="",AB18*AG18-1&gt;='Calibrare v2'!$B$36)),"DA – FEZABIL",IF(AND(AB18&gt;='Calibrare v2'!$B$30,IF(Z18="",'Calibrare v2'!$B$26,Z18)&lt;='Calibrare v2'!$B$28,AD18&gt;='Calibrare v2'!$B$32),"DA – PRUDENT","NU – NO BET")))</x:f>
        <x:v>NU – NO BET</x:v>
      </x:c>
      <x:c r="AL18" s="9"/>
      <x:c r="AM18" s="9"/>
      <x:c r="AN18" s="64"/>
      <x:c r="AO18" s="64"/>
      <x:c r="AP18" s="16"/>
      <x:c r="AQ18" s="73"/>
      <x:c r="AR18" s="9" t="str">
        <x:v>Backtest inițial 29.08.2026; coloanele v2 LIVE sunt retrospective. Snapshot v2 nu a existat pre-match.</x:v>
      </x:c>
    </x:row>
    <x:row r="19" ht="43.5" customHeight="1">
      <x:c r="A19" s="10" t="n">
        <x:v>18</x:v>
      </x:c>
      <x:c r="B19" s="10" t="str">
        <x:v>Elveția</x:v>
      </x:c>
      <x:c r="C19" s="10" t="str">
        <x:v>Super League</x:v>
      </x:c>
      <x:c r="D19" s="10" t="str">
        <x:v>Young Boys – Basel</x:v>
      </x:c>
      <x:c r="E19" s="10" t="str">
        <x:v>NU – EVITĂ</x:v>
      </x:c>
      <x:c r="F19" s="17" t="n">
        <x:v>3.2653812628533663</x:v>
      </x:c>
      <x:c r="G19" s="29" t="n">
        <x:v>0.768876143864429</x:v>
      </x:c>
      <x:c r="H19" s="35" t="n">
        <x:v>62</x:v>
      </x:c>
      <x:c r="I19" s="10" t="str">
        <x:v>FAIL</x:v>
      </x:c>
      <x:c r="J19" s="10" t="n">
        <x:v>3</x:v>
      </x:c>
      <x:c r="K19" s="10" t="n">
        <x:v>3</x:v>
      </x:c>
      <x:c r="L19" s="10" t="n">
        <x:v>6</x:v>
      </x:c>
      <x:c r="M19" s="10" t="str">
        <x:v>OVER</x:v>
      </x:c>
      <x:c r="N19" s="10" t="str">
        <x:v>NO BET</x:v>
      </x:c>
      <x:c r="O19" s="10" t="str">
        <x:v>EVITARE CORECTĂ</x:v>
      </x:c>
      <x:c r="P19" s="10" t="n">
        <x:v>0</x:v>
      </x:c>
      <x:c r="Q19" s="56" t="n">
        <x:v>0.5911705246038342</x:v>
      </x:c>
      <x:c r="R19" s="17" t="n">
        <x:v>2.7346187371466337</x:v>
      </x:c>
      <x:c r="S19" s="10" t="str">
        <x:v>Evitare corectă: 6 goluri. Semnalul de risc ridicat/λ mare a justificat NO BET.</x:v>
      </x:c>
      <x:c r="T19" s="10" t="str">
        <x:v>Proxy piață 1X2 (Poisson)</x:v>
      </x:c>
      <x:c r="U19" s="10" t="str">
        <x:v>https://tipsterarea.com/leagues/switzerland/swiss-super-league/all</x:v>
      </x:c>
      <x:c r="V19" s="59" t="n">
        <x:v>46263</x:v>
      </x:c>
      <x:c r="W19" s="16" t="n">
        <x:v>2.0713526527906048</x:v>
      </x:c>
      <x:c r="X19" s="16" t="n">
        <x:v>1.1940286100627615</x:v>
      </x:c>
      <x:c r="Y19" s="9" t="str">
        <x:v>Proxy 1X2</x:v>
      </x:c>
      <x:c r="Z19" s="34"/>
      <x:c r="AA19" s="9"/>
      <x:c r="AB19" s="64" t="n">
        <x:f>IF(G19="","",MAX(0.5,MIN(0.995,G19-'Calibrare v2'!$B$20-IF(Y19="Proxy 1X2",'Calibrare v2'!$B$21,IF(Y19="Model extern contradictoriu",'Calibrare v2'!$B$22,0))-MAX(0,(IF(Z19="",'Calibrare v2'!$B$26,Z19)-'Calibrare v2'!$B$26)*'Calibrare v2'!$B$27))))</x:f>
        <x:v>0.7173307429782315</x:v>
      </x:c>
      <x:c r="AC19" s="28"/>
      <x:c r="AD19" s="69" t="n">
        <x:f>IF(H19="","",MAX(0,MIN(H19,IF(Y19="Proxy 1X2",'Calibrare v2'!$B$23,'Calibrare v2'!$B$24))-IF(AA19="DA",'Calibrare v2'!$B$25,0)-MAX(0,(IF(Z19="",'Calibrare v2'!$B$26,Z19)-'Calibrare v2'!$B$26)*'Calibrare v2'!$B$37)))</x:f>
        <x:v>60</x:v>
      </x:c>
      <x:c r="AE19" s="34"/>
      <x:c r="AF19" s="73"/>
      <x:c r="AG19" s="16"/>
      <x:c r="AH19" s="16"/>
      <x:c r="AI19" s="64"/>
      <x:c r="AJ19" s="75" t="str">
        <x:f>IF(OR(G19="",F19=""),"",IF(AND(G19&gt;='Calibrare v2'!$B$35,F19&lt;='Calibrare v2'!$B$34),"PASS","FAIL"))</x:f>
        <x:v>FAIL</x:v>
      </x:c>
      <x:c r="AK19" s="75" t="str">
        <x:f>IF(OR(AB19="",AD19="",F19=""),"",IF(AND(AB19&gt;='Calibrare v2'!$B$29,F19&lt;='Calibrare v2'!$B$33,IF(Z19="",'Calibrare v2'!$B$26,Z19)&lt;='Calibrare v2'!$B$26,AD19&gt;='Calibrare v2'!$B$31,OR(AG19="",AB19*AG19-1&gt;='Calibrare v2'!$B$36)),"DA – FEZABIL",IF(AND(AB19&gt;='Calibrare v2'!$B$30,IF(Z19="",'Calibrare v2'!$B$26,Z19)&lt;='Calibrare v2'!$B$28,AD19&gt;='Calibrare v2'!$B$32),"DA – PRUDENT","NU – NO BET")))</x:f>
        <x:v>NU – NO BET</x:v>
      </x:c>
      <x:c r="AL19" s="9"/>
      <x:c r="AM19" s="9"/>
      <x:c r="AN19" s="64"/>
      <x:c r="AO19" s="64"/>
      <x:c r="AP19" s="16"/>
      <x:c r="AQ19" s="73"/>
      <x:c r="AR19" s="9" t="str">
        <x:v>Backtest inițial 29.08.2026; coloanele v2 LIVE sunt retrospective. Snapshot v2 nu a existat pre-match.</x:v>
      </x:c>
    </x:row>
    <x:row r="20" ht="42.75" customHeight="1">
      <x:c r="A20" s="10" t="n">
        <x:v>19</x:v>
      </x:c>
      <x:c r="B20" s="10" t="str">
        <x:v>Franța</x:v>
      </x:c>
      <x:c r="C20" s="10" t="str">
        <x:v>Ligue 1</x:v>
      </x:c>
      <x:c r="D20" s="10" t="str">
        <x:v>Strasbourg – Lens</x:v>
      </x:c>
      <x:c r="E20" s="10" t="str">
        <x:v>DA – FEZABIL</x:v>
      </x:c>
      <x:c r="F20" s="17" t="n">
        <x:v>2.6588348333635174</x:v>
      </x:c>
      <x:c r="G20" s="29" t="n">
        <x:v>0.8689726322659396</x:v>
      </x:c>
      <x:c r="H20" s="35" t="n">
        <x:v>76</x:v>
      </x:c>
      <x:c r="I20" s="10" t="str">
        <x:v>PASS</x:v>
      </x:c>
      <x:c r="J20" s="10" t="n">
        <x:v>2</x:v>
      </x:c>
      <x:c r="K20" s="10" t="n">
        <x:v>1</x:v>
      </x:c>
      <x:c r="L20" s="10" t="n">
        <x:v>3</x:v>
      </x:c>
      <x:c r="M20" s="10" t="str">
        <x:v>UNDER</x:v>
      </x:c>
      <x:c r="N20" s="10" t="str">
        <x:v>PARIU U4,5</x:v>
      </x:c>
      <x:c r="O20" s="10" t="str">
        <x:v>SUCCES</x:v>
      </x:c>
      <x:c r="P20" s="10" t="n">
        <x:v>1</x:v>
      </x:c>
      <x:c r="Q20" s="56" t="n">
        <x:v>0.0171681710953167</x:v>
      </x:c>
      <x:c r="R20" s="17" t="n">
        <x:v>0.34116516663648255</x:v>
      </x:c>
      <x:c r="S20" s="10" t="str">
        <x:v>Succes solid: 3 goluri, cu 1 gol(uri) sub limita de 4; λ=2.66. Riscul de coadă 5+ nu s-a materializat.</x:v>
      </x:c>
      <x:c r="T20" s="10" t="str">
        <x:v>CompactStats + piață 1X2</x:v>
      </x:c>
      <x:c r="U20" s="10" t="str">
        <x:v>https://www.gsp.ro/rezultate-live/meciuri-29-08-2026</x:v>
      </x:c>
      <x:c r="V20" s="59" t="n">
        <x:v>46263</x:v>
      </x:c>
      <x:c r="W20" s="16" t="n">
        <x:v>1.3472713150370372</x:v>
      </x:c>
      <x:c r="X20" s="16" t="n">
        <x:v>1.3115635183264804</x:v>
      </x:c>
      <x:c r="Y20" s="9" t="str">
        <x:v>CompactStats + piață</x:v>
      </x:c>
      <x:c r="Z20" s="34"/>
      <x:c r="AA20" s="9"/>
      <x:c r="AB20" s="64" t="n">
        <x:f>IF(G20="","",MAX(0.5,MIN(0.995,G20-'Calibrare v2'!$B$20-IF(Y20="Proxy 1X2",'Calibrare v2'!$B$21,IF(Y20="Model extern contradictoriu",'Calibrare v2'!$B$22,0))-MAX(0,(IF(Z20="",'Calibrare v2'!$B$26,Z20)-'Calibrare v2'!$B$26)*'Calibrare v2'!$B$27))))</x:f>
        <x:v>0.8374272313797421</x:v>
      </x:c>
      <x:c r="AC20" s="28"/>
      <x:c r="AD20" s="69" t="n">
        <x:f>IF(H20="","",MAX(0,MIN(H20,IF(Y20="Proxy 1X2",'Calibrare v2'!$B$23,'Calibrare v2'!$B$24))-IF(AA20="DA",'Calibrare v2'!$B$25,0)-MAX(0,(IF(Z20="",'Calibrare v2'!$B$26,Z20)-'Calibrare v2'!$B$26)*'Calibrare v2'!$B$37)))</x:f>
        <x:v>76</x:v>
      </x:c>
      <x:c r="AE20" s="34"/>
      <x:c r="AF20" s="73"/>
      <x:c r="AG20" s="16"/>
      <x:c r="AH20" s="16"/>
      <x:c r="AI20" s="64"/>
      <x:c r="AJ20" s="75" t="str">
        <x:f>IF(OR(G20="",F20=""),"",IF(AND(G20&gt;='Calibrare v2'!$B$35,F20&lt;='Calibrare v2'!$B$34),"PASS","FAIL"))</x:f>
        <x:v>FAIL</x:v>
      </x:c>
      <x:c r="AK20" s="75" t="str">
        <x:f>IF(OR(AB20="",AD20="",F20=""),"",IF(AND(AB20&gt;='Calibrare v2'!$B$29,F20&lt;='Calibrare v2'!$B$33,IF(Z20="",'Calibrare v2'!$B$26,Z20)&lt;='Calibrare v2'!$B$26,AD20&gt;='Calibrare v2'!$B$31,OR(AG20="",AB20*AG20-1&gt;='Calibrare v2'!$B$36)),"DA – FEZABIL",IF(AND(AB20&gt;='Calibrare v2'!$B$30,IF(Z20="",'Calibrare v2'!$B$26,Z20)&lt;='Calibrare v2'!$B$28,AD20&gt;='Calibrare v2'!$B$32),"DA – PRUDENT","NU – NO BET")))</x:f>
        <x:v>DA – PRUDENT</x:v>
      </x:c>
      <x:c r="AL20" s="9"/>
      <x:c r="AM20" s="9"/>
      <x:c r="AN20" s="64"/>
      <x:c r="AO20" s="64"/>
      <x:c r="AP20" s="16"/>
      <x:c r="AQ20" s="73"/>
      <x:c r="AR20" s="9" t="str">
        <x:v>Backtest inițial 29.08.2026; coloanele v2 LIVE sunt retrospective. Snapshot v2 nu a existat pre-match.</x:v>
      </x:c>
    </x:row>
    <x:row r="21" ht="42.75" customHeight="1">
      <x:c r="A21" s="10" t="n">
        <x:v>20</x:v>
      </x:c>
      <x:c r="B21" s="10" t="str">
        <x:v>Franța</x:v>
      </x:c>
      <x:c r="C21" s="10" t="str">
        <x:v>Ligue 1</x:v>
      </x:c>
      <x:c r="D21" s="10" t="str">
        <x:v>Auxerre – Angers</x:v>
      </x:c>
      <x:c r="E21" s="10" t="str">
        <x:v>DA – FEZABIL</x:v>
      </x:c>
      <x:c r="F21" s="17" t="n">
        <x:v>2.2491338320170464</x:v>
      </x:c>
      <x:c r="G21" s="29" t="n">
        <x:v>0.9220833493687048</x:v>
      </x:c>
      <x:c r="H21" s="35" t="n">
        <x:v>62</x:v>
      </x:c>
      <x:c r="I21" s="10" t="str">
        <x:v>PASS</x:v>
      </x:c>
      <x:c r="J21" s="10" t="n">
        <x:v>1</x:v>
      </x:c>
      <x:c r="K21" s="10" t="n">
        <x:v>3</x:v>
      </x:c>
      <x:c r="L21" s="10" t="n">
        <x:v>4</x:v>
      </x:c>
      <x:c r="M21" s="10" t="str">
        <x:v>UNDER</x:v>
      </x:c>
      <x:c r="N21" s="10" t="str">
        <x:v>PARIU U4,5</x:v>
      </x:c>
      <x:c r="O21" s="10" t="str">
        <x:v>SUCCES</x:v>
      </x:c>
      <x:c r="P21" s="10" t="n">
        <x:v>1</x:v>
      </x:c>
      <x:c r="Q21" s="56" t="n">
        <x:v>0.006071004445599308</x:v>
      </x:c>
      <x:c r="R21" s="17" t="n">
        <x:v>1.7508661679829536</x:v>
      </x:c>
      <x:c r="S21" s="10" t="str">
        <x:v>Succes la limită: exact 4 goluri. Pariul a câștigat, dar marja de siguranță a fost minimă; λ=2.25.</x:v>
      </x:c>
      <x:c r="T21" s="10" t="str">
        <x:v>Proxy piață 1X2 (Poisson)</x:v>
      </x:c>
      <x:c r="U21" s="10" t="str">
        <x:v>https://www.gsp.ro/rezultate-live/meciuri-29-08-2026</x:v>
      </x:c>
      <x:c r="V21" s="59" t="n">
        <x:v>46263</x:v>
      </x:c>
      <x:c r="W21" s="16" t="n">
        <x:v>1.3750221075519422</x:v>
      </x:c>
      <x:c r="X21" s="16" t="n">
        <x:v>0.8741117244651041</x:v>
      </x:c>
      <x:c r="Y21" s="9" t="str">
        <x:v>Proxy 1X2</x:v>
      </x:c>
      <x:c r="Z21" s="34"/>
      <x:c r="AA21" s="9"/>
      <x:c r="AB21" s="64" t="n">
        <x:f>IF(G21="","",MAX(0.5,MIN(0.995,G21-'Calibrare v2'!$B$20-IF(Y21="Proxy 1X2",'Calibrare v2'!$B$21,IF(Y21="Model extern contradictoriu",'Calibrare v2'!$B$22,0))-MAX(0,(IF(Z21="",'Calibrare v2'!$B$26,Z21)-'Calibrare v2'!$B$26)*'Calibrare v2'!$B$27))))</x:f>
        <x:v>0.8705379484825073</x:v>
      </x:c>
      <x:c r="AC21" s="28"/>
      <x:c r="AD21" s="69" t="n">
        <x:f>IF(H21="","",MAX(0,MIN(H21,IF(Y21="Proxy 1X2",'Calibrare v2'!$B$23,'Calibrare v2'!$B$24))-IF(AA21="DA",'Calibrare v2'!$B$25,0)-MAX(0,(IF(Z21="",'Calibrare v2'!$B$26,Z21)-'Calibrare v2'!$B$26)*'Calibrare v2'!$B$37)))</x:f>
        <x:v>60</x:v>
      </x:c>
      <x:c r="AE21" s="34"/>
      <x:c r="AF21" s="73"/>
      <x:c r="AG21" s="16"/>
      <x:c r="AH21" s="16"/>
      <x:c r="AI21" s="64"/>
      <x:c r="AJ21" s="75" t="str">
        <x:f>IF(OR(G21="",F21=""),"",IF(AND(G21&gt;='Calibrare v2'!$B$35,F21&lt;='Calibrare v2'!$B$34),"PASS","FAIL"))</x:f>
        <x:v>PASS</x:v>
      </x:c>
      <x:c r="AK21" s="75" t="str">
        <x:f>IF(OR(AB21="",AD21="",F21=""),"",IF(AND(AB21&gt;='Calibrare v2'!$B$29,F21&lt;='Calibrare v2'!$B$33,IF(Z21="",'Calibrare v2'!$B$26,Z21)&lt;='Calibrare v2'!$B$26,AD21&gt;='Calibrare v2'!$B$31,OR(AG21="",AB21*AG21-1&gt;='Calibrare v2'!$B$36)),"DA – FEZABIL",IF(AND(AB21&gt;='Calibrare v2'!$B$30,IF(Z21="",'Calibrare v2'!$B$26,Z21)&lt;='Calibrare v2'!$B$28,AD21&gt;='Calibrare v2'!$B$32),"DA – PRUDENT","NU – NO BET")))</x:f>
        <x:v>DA – PRUDENT</x:v>
      </x:c>
      <x:c r="AL21" s="9"/>
      <x:c r="AM21" s="9"/>
      <x:c r="AN21" s="64"/>
      <x:c r="AO21" s="64"/>
      <x:c r="AP21" s="16"/>
      <x:c r="AQ21" s="73"/>
      <x:c r="AR21" s="9" t="str">
        <x:v>Backtest inițial 29.08.2026; coloanele v2 LIVE sunt retrospective. Snapshot v2 nu a existat pre-match.</x:v>
      </x:c>
    </x:row>
    <x:row r="22" ht="42.75" customHeight="1">
      <x:c r="A22" s="10" t="n">
        <x:v>21</x:v>
      </x:c>
      <x:c r="B22" s="10" t="str">
        <x:v>Franța</x:v>
      </x:c>
      <x:c r="C22" s="10" t="str">
        <x:v>Ligue 1</x:v>
      </x:c>
      <x:c r="D22" s="10" t="str">
        <x:v>Brest – Toulouse</x:v>
      </x:c>
      <x:c r="E22" s="10" t="str">
        <x:v>DA – FEZABIL</x:v>
      </x:c>
      <x:c r="F22" s="17" t="n">
        <x:v>2.333717676896156</x:v>
      </x:c>
      <x:c r="G22" s="29" t="n">
        <x:v>0.9122586529808255</x:v>
      </x:c>
      <x:c r="H22" s="35" t="n">
        <x:v>62</x:v>
      </x:c>
      <x:c r="I22" s="10" t="str">
        <x:v>PASS</x:v>
      </x:c>
      <x:c r="J22" s="10" t="n">
        <x:v>2</x:v>
      </x:c>
      <x:c r="K22" s="10" t="n">
        <x:v>2</x:v>
      </x:c>
      <x:c r="L22" s="10" t="n">
        <x:v>4</x:v>
      </x:c>
      <x:c r="M22" s="10" t="str">
        <x:v>UNDER</x:v>
      </x:c>
      <x:c r="N22" s="10" t="str">
        <x:v>PARIU U4,5</x:v>
      </x:c>
      <x:c r="O22" s="10" t="str">
        <x:v>SUCCES</x:v>
      </x:c>
      <x:c r="P22" s="10" t="n">
        <x:v>1</x:v>
      </x:c>
      <x:c r="Q22" s="56" t="n">
        <x:v>0.007698543976739196</x:v>
      </x:c>
      <x:c r="R22" s="17" t="n">
        <x:v>1.666282323103844</x:v>
      </x:c>
      <x:c r="S22" s="10" t="str">
        <x:v>Succes la limită: exact 4 goluri. Pariul a câștigat, dar marja de siguranță a fost minimă; λ=2.33.</x:v>
      </x:c>
      <x:c r="T22" s="10" t="str">
        <x:v>Proxy piață 1X2 (Poisson)</x:v>
      </x:c>
      <x:c r="U22" s="10" t="str">
        <x:v>https://www.gsp.ro/rezultate-live/meciuri-29-08-2026</x:v>
      </x:c>
      <x:c r="V22" s="59" t="n">
        <x:v>46263</x:v>
      </x:c>
      <x:c r="W22" s="16" t="n">
        <x:v>1.1641473374731293</x:v>
      </x:c>
      <x:c r="X22" s="16" t="n">
        <x:v>1.1695703394230268</x:v>
      </x:c>
      <x:c r="Y22" s="9" t="str">
        <x:v>Proxy 1X2</x:v>
      </x:c>
      <x:c r="Z22" s="34"/>
      <x:c r="AA22" s="9"/>
      <x:c r="AB22" s="64" t="n">
        <x:f>IF(G22="","",MAX(0.5,MIN(0.995,G22-'Calibrare v2'!$B$20-IF(Y22="Proxy 1X2",'Calibrare v2'!$B$21,IF(Y22="Model extern contradictoriu",'Calibrare v2'!$B$22,0))-MAX(0,(IF(Z22="",'Calibrare v2'!$B$26,Z22)-'Calibrare v2'!$B$26)*'Calibrare v2'!$B$27))))</x:f>
        <x:v>0.860713252094628</x:v>
      </x:c>
      <x:c r="AC22" s="28"/>
      <x:c r="AD22" s="69" t="n">
        <x:f>IF(H22="","",MAX(0,MIN(H22,IF(Y22="Proxy 1X2",'Calibrare v2'!$B$23,'Calibrare v2'!$B$24))-IF(AA22="DA",'Calibrare v2'!$B$25,0)-MAX(0,(IF(Z22="",'Calibrare v2'!$B$26,Z22)-'Calibrare v2'!$B$26)*'Calibrare v2'!$B$37)))</x:f>
        <x:v>60</x:v>
      </x:c>
      <x:c r="AE22" s="34"/>
      <x:c r="AF22" s="73"/>
      <x:c r="AG22" s="16"/>
      <x:c r="AH22" s="16"/>
      <x:c r="AI22" s="64"/>
      <x:c r="AJ22" s="75" t="str">
        <x:f>IF(OR(G22="",F22=""),"",IF(AND(G22&gt;='Calibrare v2'!$B$35,F22&lt;='Calibrare v2'!$B$34),"PASS","FAIL"))</x:f>
        <x:v>FAIL</x:v>
      </x:c>
      <x:c r="AK22" s="75" t="str">
        <x:f>IF(OR(AB22="",AD22="",F22=""),"",IF(AND(AB22&gt;='Calibrare v2'!$B$29,F22&lt;='Calibrare v2'!$B$33,IF(Z22="",'Calibrare v2'!$B$26,Z22)&lt;='Calibrare v2'!$B$26,AD22&gt;='Calibrare v2'!$B$31,OR(AG22="",AB22*AG22-1&gt;='Calibrare v2'!$B$36)),"DA – FEZABIL",IF(AND(AB22&gt;='Calibrare v2'!$B$30,IF(Z22="",'Calibrare v2'!$B$26,Z22)&lt;='Calibrare v2'!$B$28,AD22&gt;='Calibrare v2'!$B$32),"DA – PRUDENT","NU – NO BET")))</x:f>
        <x:v>DA – PRUDENT</x:v>
      </x:c>
      <x:c r="AL22" s="9"/>
      <x:c r="AM22" s="9"/>
      <x:c r="AN22" s="64"/>
      <x:c r="AO22" s="64"/>
      <x:c r="AP22" s="16"/>
      <x:c r="AQ22" s="73"/>
      <x:c r="AR22" s="9" t="str">
        <x:v>Backtest inițial 29.08.2026; coloanele v2 LIVE sunt retrospective. Snapshot v2 nu a existat pre-match.</x:v>
      </x:c>
    </x:row>
    <x:row r="23" ht="42.75" customHeight="1">
      <x:c r="A23" s="10" t="n">
        <x:v>22</x:v>
      </x:c>
      <x:c r="B23" s="10" t="str">
        <x:v>Franța</x:v>
      </x:c>
      <x:c r="C23" s="10" t="str">
        <x:v>Ligue 1</x:v>
      </x:c>
      <x:c r="D23" s="10" t="str">
        <x:v>Lorient – Troyes</x:v>
      </x:c>
      <x:c r="E23" s="10" t="str">
        <x:v>DA – FEZABIL</x:v>
      </x:c>
      <x:c r="F23" s="17" t="n">
        <x:v>2.296462014517116</x:v>
      </x:c>
      <x:c r="G23" s="29" t="n">
        <x:v>0.916662338144326</x:v>
      </x:c>
      <x:c r="H23" s="35" t="n">
        <x:v>62</x:v>
      </x:c>
      <x:c r="I23" s="10" t="str">
        <x:v>PASS</x:v>
      </x:c>
      <x:c r="J23" s="10" t="n">
        <x:v>1</x:v>
      </x:c>
      <x:c r="K23" s="10" t="n">
        <x:v>2</x:v>
      </x:c>
      <x:c r="L23" s="10" t="n">
        <x:v>3</x:v>
      </x:c>
      <x:c r="M23" s="10" t="str">
        <x:v>UNDER</x:v>
      </x:c>
      <x:c r="N23" s="10" t="str">
        <x:v>PARIU U4,5</x:v>
      </x:c>
      <x:c r="O23" s="10" t="str">
        <x:v>SUCCES</x:v>
      </x:c>
      <x:c r="P23" s="10" t="n">
        <x:v>1</x:v>
      </x:c>
      <x:c r="Q23" s="56" t="n">
        <x:v>0.006945165883570668</x:v>
      </x:c>
      <x:c r="R23" s="17" t="n">
        <x:v>0.703537985482884</x:v>
      </x:c>
      <x:c r="S23" s="10" t="str">
        <x:v>Succes solid: 3 goluri, cu 1 gol(uri) sub limita de 4; λ=2.30. Riscul de coadă 5+ nu s-a materializat.</x:v>
      </x:c>
      <x:c r="T23" s="10" t="str">
        <x:v>Proxy piață 1X2 (Poisson)</x:v>
      </x:c>
      <x:c r="U23" s="10" t="str">
        <x:v>https://www.gsp.ro/rezultate-live/meciuri-29-08-2026</x:v>
      </x:c>
      <x:c r="V23" s="59" t="n">
        <x:v>46263</x:v>
      </x:c>
      <x:c r="W23" s="16" t="n">
        <x:v>1.44766824899376</x:v>
      </x:c>
      <x:c r="X23" s="16" t="n">
        <x:v>0.848793765523356</x:v>
      </x:c>
      <x:c r="Y23" s="9" t="str">
        <x:v>Proxy 1X2</x:v>
      </x:c>
      <x:c r="Z23" s="34"/>
      <x:c r="AA23" s="9"/>
      <x:c r="AB23" s="64" t="n">
        <x:f>IF(G23="","",MAX(0.5,MIN(0.995,G23-'Calibrare v2'!$B$20-IF(Y23="Proxy 1X2",'Calibrare v2'!$B$21,IF(Y23="Model extern contradictoriu",'Calibrare v2'!$B$22,0))-MAX(0,(IF(Z23="",'Calibrare v2'!$B$26,Z23)-'Calibrare v2'!$B$26)*'Calibrare v2'!$B$27))))</x:f>
        <x:v>0.8651169372581284</x:v>
      </x:c>
      <x:c r="AC23" s="28"/>
      <x:c r="AD23" s="69" t="n">
        <x:f>IF(H23="","",MAX(0,MIN(H23,IF(Y23="Proxy 1X2",'Calibrare v2'!$B$23,'Calibrare v2'!$B$24))-IF(AA23="DA",'Calibrare v2'!$B$25,0)-MAX(0,(IF(Z23="",'Calibrare v2'!$B$26,Z23)-'Calibrare v2'!$B$26)*'Calibrare v2'!$B$37)))</x:f>
        <x:v>60</x:v>
      </x:c>
      <x:c r="AE23" s="34"/>
      <x:c r="AF23" s="73"/>
      <x:c r="AG23" s="16"/>
      <x:c r="AH23" s="16"/>
      <x:c r="AI23" s="64"/>
      <x:c r="AJ23" s="75" t="str">
        <x:f>IF(OR(G23="",F23=""),"",IF(AND(G23&gt;='Calibrare v2'!$B$35,F23&lt;='Calibrare v2'!$B$34),"PASS","FAIL"))</x:f>
        <x:v>FAIL</x:v>
      </x:c>
      <x:c r="AK23" s="75" t="str">
        <x:f>IF(OR(AB23="",AD23="",F23=""),"",IF(AND(AB23&gt;='Calibrare v2'!$B$29,F23&lt;='Calibrare v2'!$B$33,IF(Z23="",'Calibrare v2'!$B$26,Z23)&lt;='Calibrare v2'!$B$26,AD23&gt;='Calibrare v2'!$B$31,OR(AG23="",AB23*AG23-1&gt;='Calibrare v2'!$B$36)),"DA – FEZABIL",IF(AND(AB23&gt;='Calibrare v2'!$B$30,IF(Z23="",'Calibrare v2'!$B$26,Z23)&lt;='Calibrare v2'!$B$28,AD23&gt;='Calibrare v2'!$B$32),"DA – PRUDENT","NU – NO BET")))</x:f>
        <x:v>DA – PRUDENT</x:v>
      </x:c>
      <x:c r="AL23" s="9"/>
      <x:c r="AM23" s="9"/>
      <x:c r="AN23" s="64"/>
      <x:c r="AO23" s="64"/>
      <x:c r="AP23" s="16"/>
      <x:c r="AQ23" s="73"/>
      <x:c r="AR23" s="9" t="str">
        <x:v>Backtest inițial 29.08.2026; coloanele v2 LIVE sunt retrospective. Snapshot v2 nu a existat pre-match.</x:v>
      </x:c>
    </x:row>
    <x:row r="24" ht="43.5" customHeight="1">
      <x:c r="A24" s="10" t="n">
        <x:v>23</x:v>
      </x:c>
      <x:c r="B24" s="10" t="str">
        <x:v>Franța</x:v>
      </x:c>
      <x:c r="C24" s="10" t="str">
        <x:v>Ligue 1</x:v>
      </x:c>
      <x:c r="D24" s="10" t="str">
        <x:v>Lyon – Le Havre</x:v>
      </x:c>
      <x:c r="E24" s="10" t="str">
        <x:v>DA – PRUDENT</x:v>
      </x:c>
      <x:c r="F24" s="17" t="n">
        <x:v>2.826303930796766</x:v>
      </x:c>
      <x:c r="G24" s="29" t="n">
        <x:v>0.8435565835175364</x:v>
      </x:c>
      <x:c r="H24" s="35" t="n">
        <x:v>62</x:v>
      </x:c>
      <x:c r="I24" s="10" t="str">
        <x:v>FAIL</x:v>
      </x:c>
      <x:c r="J24" s="10" t="n">
        <x:v>1</x:v>
      </x:c>
      <x:c r="K24" s="10" t="n">
        <x:v>1</x:v>
      </x:c>
      <x:c r="L24" s="10" t="n">
        <x:v>2</x:v>
      </x:c>
      <x:c r="M24" s="10" t="str">
        <x:v>UNDER</x:v>
      </x:c>
      <x:c r="N24" s="10" t="str">
        <x:v>PARIU U4,5</x:v>
      </x:c>
      <x:c r="O24" s="10" t="str">
        <x:v>SUCCES</x:v>
      </x:c>
      <x:c r="P24" s="10" t="n">
        <x:v>1</x:v>
      </x:c>
      <x:c r="Q24" s="56" t="n">
        <x:v>0.02447454256070557</x:v>
      </x:c>
      <x:c r="R24" s="17" t="n">
        <x:v>-0.8263039307967661</x:v>
      </x:c>
      <x:c r="S24" s="10" t="str">
        <x:v>Succes solid: 2 goluri, cu 2 gol(uri) sub limita de 4; λ=2.83. Riscul de coadă 5+ nu s-a materializat.</x:v>
      </x:c>
      <x:c r="T24" s="10" t="str">
        <x:v>Proxy piață 1X2 (Poisson)</x:v>
      </x:c>
      <x:c r="U24" s="10" t="str">
        <x:v>https://www.gsp.ro/rezultate-live/meciuri-29-08-2026</x:v>
      </x:c>
      <x:c r="V24" s="59" t="n">
        <x:v>46263</x:v>
      </x:c>
      <x:c r="W24" s="16" t="n">
        <x:v>1.9981830388546697</x:v>
      </x:c>
      <x:c r="X24" s="16" t="n">
        <x:v>0.8281208919420963</x:v>
      </x:c>
      <x:c r="Y24" s="9" t="str">
        <x:v>Proxy 1X2</x:v>
      </x:c>
      <x:c r="Z24" s="34"/>
      <x:c r="AA24" s="9"/>
      <x:c r="AB24" s="64" t="n">
        <x:f>IF(G24="","",MAX(0.5,MIN(0.995,G24-'Calibrare v2'!$B$20-IF(Y24="Proxy 1X2",'Calibrare v2'!$B$21,IF(Y24="Model extern contradictoriu",'Calibrare v2'!$B$22,0))-MAX(0,(IF(Z24="",'Calibrare v2'!$B$26,Z24)-'Calibrare v2'!$B$26)*'Calibrare v2'!$B$27))))</x:f>
        <x:v>0.7920111826313389</x:v>
      </x:c>
      <x:c r="AC24" s="28"/>
      <x:c r="AD24" s="69" t="n">
        <x:f>IF(H24="","",MAX(0,MIN(H24,IF(Y24="Proxy 1X2",'Calibrare v2'!$B$23,'Calibrare v2'!$B$24))-IF(AA24="DA",'Calibrare v2'!$B$25,0)-MAX(0,(IF(Z24="",'Calibrare v2'!$B$26,Z24)-'Calibrare v2'!$B$26)*'Calibrare v2'!$B$37)))</x:f>
        <x:v>60</x:v>
      </x:c>
      <x:c r="AE24" s="34"/>
      <x:c r="AF24" s="73"/>
      <x:c r="AG24" s="16"/>
      <x:c r="AH24" s="16"/>
      <x:c r="AI24" s="64"/>
      <x:c r="AJ24" s="75" t="str">
        <x:f>IF(OR(G24="",F24=""),"",IF(AND(G24&gt;='Calibrare v2'!$B$35,F24&lt;='Calibrare v2'!$B$34),"PASS","FAIL"))</x:f>
        <x:v>FAIL</x:v>
      </x:c>
      <x:c r="AK24" s="75" t="str">
        <x:f>IF(OR(AB24="",AD24="",F24=""),"",IF(AND(AB24&gt;='Calibrare v2'!$B$29,F24&lt;='Calibrare v2'!$B$33,IF(Z24="",'Calibrare v2'!$B$26,Z24)&lt;='Calibrare v2'!$B$26,AD24&gt;='Calibrare v2'!$B$31,OR(AG24="",AB24*AG24-1&gt;='Calibrare v2'!$B$36)),"DA – FEZABIL",IF(AND(AB24&gt;='Calibrare v2'!$B$30,IF(Z24="",'Calibrare v2'!$B$26,Z24)&lt;='Calibrare v2'!$B$28,AD24&gt;='Calibrare v2'!$B$32),"DA – PRUDENT","NU – NO BET")))</x:f>
        <x:v>NU – NO BET</x:v>
      </x:c>
      <x:c r="AL24" s="9"/>
      <x:c r="AM24" s="9"/>
      <x:c r="AN24" s="64"/>
      <x:c r="AO24" s="64"/>
      <x:c r="AP24" s="16"/>
      <x:c r="AQ24" s="73"/>
      <x:c r="AR24" s="9" t="str">
        <x:v>Backtest inițial 29.08.2026; coloanele v2 LIVE sunt retrospective. Snapshot v2 nu a existat pre-match.</x:v>
      </x:c>
    </x:row>
    <x:row r="25" ht="42.75" customHeight="1">
      <x:c r="A25" s="10" t="n">
        <x:v>24</x:v>
      </x:c>
      <x:c r="B25" s="10" t="str">
        <x:v>Franța</x:v>
      </x:c>
      <x:c r="C25" s="10" t="str">
        <x:v>Ligue 2</x:v>
      </x:c>
      <x:c r="D25" s="10" t="str">
        <x:v>Annecy – Metz</x:v>
      </x:c>
      <x:c r="E25" s="10" t="str">
        <x:v>DA – FEZABIL</x:v>
      </x:c>
      <x:c r="F25" s="17" t="n">
        <x:v>2.1582801760935153</x:v>
      </x:c>
      <x:c r="G25" s="29" t="n">
        <x:v>0.9319385394610106</x:v>
      </x:c>
      <x:c r="H25" s="35" t="n">
        <x:v>62</x:v>
      </x:c>
      <x:c r="I25" s="10" t="str">
        <x:v>PASS</x:v>
      </x:c>
      <x:c r="J25" s="10" t="n">
        <x:v>1</x:v>
      </x:c>
      <x:c r="K25" s="10" t="n">
        <x:v>1</x:v>
      </x:c>
      <x:c r="L25" s="10" t="n">
        <x:v>2</x:v>
      </x:c>
      <x:c r="M25" s="10" t="str">
        <x:v>UNDER</x:v>
      </x:c>
      <x:c r="N25" s="10" t="str">
        <x:v>PARIU U4,5</x:v>
      </x:c>
      <x:c r="O25" s="10" t="str">
        <x:v>SUCCES</x:v>
      </x:c>
      <x:c r="P25" s="10" t="n">
        <x:v>1</x:v>
      </x:c>
      <x:c r="Q25" s="56" t="n">
        <x:v>0.004632362410700415</x:v>
      </x:c>
      <x:c r="R25" s="17" t="n">
        <x:v>-0.1582801760935153</x:v>
      </x:c>
      <x:c r="S25" s="10" t="str">
        <x:v>Succes solid: 2 goluri, cu 2 gol(uri) sub limita de 4; λ=2.16. Riscul de coadă 5+ nu s-a materializat.</x:v>
      </x:c>
      <x:c r="T25" s="10" t="str">
        <x:v>Proxy piață 1X2 (Poisson)</x:v>
      </x:c>
      <x:c r="U25" s="10" t="str">
        <x:v>https://www.gsp.ro/rezultate-live/meciuri-29-08-2026</x:v>
      </x:c>
      <x:c r="V25" s="59" t="n">
        <x:v>46263</x:v>
      </x:c>
      <x:c r="W25" s="16" t="n">
        <x:v>1.0986110560088873</x:v>
      </x:c>
      <x:c r="X25" s="16" t="n">
        <x:v>1.0596691200846282</x:v>
      </x:c>
      <x:c r="Y25" s="9" t="str">
        <x:v>Proxy 1X2</x:v>
      </x:c>
      <x:c r="Z25" s="34"/>
      <x:c r="AA25" s="9"/>
      <x:c r="AB25" s="64" t="n">
        <x:f>IF(G25="","",MAX(0.5,MIN(0.995,G25-'Calibrare v2'!$B$20-IF(Y25="Proxy 1X2",'Calibrare v2'!$B$21,IF(Y25="Model extern contradictoriu",'Calibrare v2'!$B$22,0))-MAX(0,(IF(Z25="",'Calibrare v2'!$B$26,Z25)-'Calibrare v2'!$B$26)*'Calibrare v2'!$B$27))))</x:f>
        <x:v>0.880393138574813</x:v>
      </x:c>
      <x:c r="AC25" s="28"/>
      <x:c r="AD25" s="69" t="n">
        <x:f>IF(H25="","",MAX(0,MIN(H25,IF(Y25="Proxy 1X2",'Calibrare v2'!$B$23,'Calibrare v2'!$B$24))-IF(AA25="DA",'Calibrare v2'!$B$25,0)-MAX(0,(IF(Z25="",'Calibrare v2'!$B$26,Z25)-'Calibrare v2'!$B$26)*'Calibrare v2'!$B$37)))</x:f>
        <x:v>60</x:v>
      </x:c>
      <x:c r="AE25" s="34"/>
      <x:c r="AF25" s="73"/>
      <x:c r="AG25" s="16"/>
      <x:c r="AH25" s="16"/>
      <x:c r="AI25" s="64"/>
      <x:c r="AJ25" s="75" t="str">
        <x:f>IF(OR(G25="",F25=""),"",IF(AND(G25&gt;='Calibrare v2'!$B$35,F25&lt;='Calibrare v2'!$B$34),"PASS","FAIL"))</x:f>
        <x:v>PASS</x:v>
      </x:c>
      <x:c r="AK25" s="75" t="str">
        <x:f>IF(OR(AB25="",AD25="",F25=""),"",IF(AND(AB25&gt;='Calibrare v2'!$B$29,F25&lt;='Calibrare v2'!$B$33,IF(Z25="",'Calibrare v2'!$B$26,Z25)&lt;='Calibrare v2'!$B$26,AD25&gt;='Calibrare v2'!$B$31,OR(AG25="",AB25*AG25-1&gt;='Calibrare v2'!$B$36)),"DA – FEZABIL",IF(AND(AB25&gt;='Calibrare v2'!$B$30,IF(Z25="",'Calibrare v2'!$B$26,Z25)&lt;='Calibrare v2'!$B$28,AD25&gt;='Calibrare v2'!$B$32),"DA – PRUDENT","NU – NO BET")))</x:f>
        <x:v>DA – PRUDENT</x:v>
      </x:c>
      <x:c r="AL25" s="9"/>
      <x:c r="AM25" s="9"/>
      <x:c r="AN25" s="64"/>
      <x:c r="AO25" s="64"/>
      <x:c r="AP25" s="16"/>
      <x:c r="AQ25" s="73"/>
      <x:c r="AR25" s="9" t="str">
        <x:v>Backtest inițial 29.08.2026; coloanele v2 LIVE sunt retrospective. Snapshot v2 nu a existat pre-match.</x:v>
      </x:c>
    </x:row>
    <x:row r="26" ht="42.75" customHeight="1">
      <x:c r="A26" s="10" t="n">
        <x:v>25</x:v>
      </x:c>
      <x:c r="B26" s="10" t="str">
        <x:v>Franța</x:v>
      </x:c>
      <x:c r="C26" s="10" t="str">
        <x:v>Ligue 2</x:v>
      </x:c>
      <x:c r="D26" s="10" t="str">
        <x:v>Red Star – Reims</x:v>
      </x:c>
      <x:c r="E26" s="10" t="str">
        <x:v>DA – FEZABIL</x:v>
      </x:c>
      <x:c r="F26" s="17" t="n">
        <x:v>2.141671222268055</x:v>
      </x:c>
      <x:c r="G26" s="29" t="n">
        <x:v>0.9336609712604852</x:v>
      </x:c>
      <x:c r="H26" s="35" t="n">
        <x:v>62</x:v>
      </x:c>
      <x:c r="I26" s="10" t="str">
        <x:v>PASS</x:v>
      </x:c>
      <x:c r="J26" s="10" t="n">
        <x:v>1</x:v>
      </x:c>
      <x:c r="K26" s="10" t="n">
        <x:v>4</x:v>
      </x:c>
      <x:c r="L26" s="10" t="n">
        <x:v>5</x:v>
      </x:c>
      <x:c r="M26" s="10" t="str">
        <x:v>OVER</x:v>
      </x:c>
      <x:c r="N26" s="10" t="str">
        <x:v>PARIU U4,5</x:v>
      </x:c>
      <x:c r="O26" s="10" t="str">
        <x:v>EȘEC</x:v>
      </x:c>
      <x:c r="P26" s="10" t="n">
        <x:v>0</x:v>
      </x:c>
      <x:c r="Q26" s="56" t="n">
        <x:v>0.8717228092550725</x:v>
      </x:c>
      <x:c r="R26" s="17" t="n">
        <x:v>2.858328777731945</x:v>
      </x:c>
      <x:c r="S26" s="10" t="str">
        <x:v>Eșec: 5 goluri vs λ=2.14 (abatere +2.86). Eveniment de coadă la 5 goluri, insuficient penalizat de model. Estimarea λ a fost predominant proxy din 1X2, fără o piață directă U/O suficientă.</x:v>
      </x:c>
      <x:c r="T26" s="10" t="str">
        <x:v>Proxy piață 1X2 (Poisson)</x:v>
      </x:c>
      <x:c r="U26" s="10" t="str">
        <x:v>https://www.gsp.ro/rezultate-live/meciuri-29-08-2026</x:v>
      </x:c>
      <x:c r="V26" s="59" t="n">
        <x:v>46263</x:v>
      </x:c>
      <x:c r="W26" s="16" t="n">
        <x:v>1.019566342959043</x:v>
      </x:c>
      <x:c r="X26" s="16" t="n">
        <x:v>1.1221048793090123</x:v>
      </x:c>
      <x:c r="Y26" s="9" t="str">
        <x:v>Proxy 1X2</x:v>
      </x:c>
      <x:c r="Z26" s="34"/>
      <x:c r="AA26" s="9"/>
      <x:c r="AB26" s="64" t="n">
        <x:f>IF(G26="","",MAX(0.5,MIN(0.995,G26-'Calibrare v2'!$B$20-IF(Y26="Proxy 1X2",'Calibrare v2'!$B$21,IF(Y26="Model extern contradictoriu",'Calibrare v2'!$B$22,0))-MAX(0,(IF(Z26="",'Calibrare v2'!$B$26,Z26)-'Calibrare v2'!$B$26)*'Calibrare v2'!$B$27))))</x:f>
        <x:v>0.8821155703742877</x:v>
      </x:c>
      <x:c r="AC26" s="28"/>
      <x:c r="AD26" s="69" t="n">
        <x:f>IF(H26="","",MAX(0,MIN(H26,IF(Y26="Proxy 1X2",'Calibrare v2'!$B$23,'Calibrare v2'!$B$24))-IF(AA26="DA",'Calibrare v2'!$B$25,0)-MAX(0,(IF(Z26="",'Calibrare v2'!$B$26,Z26)-'Calibrare v2'!$B$26)*'Calibrare v2'!$B$37)))</x:f>
        <x:v>60</x:v>
      </x:c>
      <x:c r="AE26" s="34"/>
      <x:c r="AF26" s="73"/>
      <x:c r="AG26" s="16"/>
      <x:c r="AH26" s="16"/>
      <x:c r="AI26" s="64"/>
      <x:c r="AJ26" s="75" t="str">
        <x:f>IF(OR(G26="",F26=""),"",IF(AND(G26&gt;='Calibrare v2'!$B$35,F26&lt;='Calibrare v2'!$B$34),"PASS","FAIL"))</x:f>
        <x:v>PASS</x:v>
      </x:c>
      <x:c r="AK26" s="75" t="str">
        <x:f>IF(OR(AB26="",AD26="",F26=""),"",IF(AND(AB26&gt;='Calibrare v2'!$B$29,F26&lt;='Calibrare v2'!$B$33,IF(Z26="",'Calibrare v2'!$B$26,Z26)&lt;='Calibrare v2'!$B$26,AD26&gt;='Calibrare v2'!$B$31,OR(AG26="",AB26*AG26-1&gt;='Calibrare v2'!$B$36)),"DA – FEZABIL",IF(AND(AB26&gt;='Calibrare v2'!$B$30,IF(Z26="",'Calibrare v2'!$B$26,Z26)&lt;='Calibrare v2'!$B$28,AD26&gt;='Calibrare v2'!$B$32),"DA – PRUDENT","NU – NO BET")))</x:f>
        <x:v>DA – PRUDENT</x:v>
      </x:c>
      <x:c r="AL26" s="9"/>
      <x:c r="AM26" s="9"/>
      <x:c r="AN26" s="64"/>
      <x:c r="AO26" s="64"/>
      <x:c r="AP26" s="16"/>
      <x:c r="AQ26" s="73"/>
      <x:c r="AR26" s="9" t="str">
        <x:v>Backtest inițial 29.08.2026; coloanele v2 LIVE sunt retrospective. Snapshot v2 nu a existat pre-match.</x:v>
      </x:c>
    </x:row>
    <x:row r="27" ht="42.75" customHeight="1">
      <x:c r="A27" s="10" t="n">
        <x:v>26</x:v>
      </x:c>
      <x:c r="B27" s="10" t="str">
        <x:v>Franța</x:v>
      </x:c>
      <x:c r="C27" s="10" t="str">
        <x:v>Ligue 2</x:v>
      </x:c>
      <x:c r="D27" s="10" t="str">
        <x:v>Guingamp – Nantes</x:v>
      </x:c>
      <x:c r="E27" s="10" t="str">
        <x:v>DA – FEZABIL</x:v>
      </x:c>
      <x:c r="F27" s="17" t="n">
        <x:v>2.2772157700060784</x:v>
      </x:c>
      <x:c r="G27" s="29" t="n">
        <x:v>0.9188903328719618</x:v>
      </x:c>
      <x:c r="H27" s="35" t="n">
        <x:v>62</x:v>
      </x:c>
      <x:c r="I27" s="10" t="str">
        <x:v>PASS</x:v>
      </x:c>
      <x:c r="J27" s="10" t="n">
        <x:v>3</x:v>
      </x:c>
      <x:c r="K27" s="10" t="n">
        <x:v>3</x:v>
      </x:c>
      <x:c r="L27" s="10" t="n">
        <x:v>6</x:v>
      </x:c>
      <x:c r="M27" s="10" t="str">
        <x:v>OVER</x:v>
      </x:c>
      <x:c r="N27" s="10" t="str">
        <x:v>PARIU U4,5</x:v>
      </x:c>
      <x:c r="O27" s="10" t="str">
        <x:v>EȘEC</x:v>
      </x:c>
      <x:c r="P27" s="10" t="n">
        <x:v>0</x:v>
      </x:c>
      <x:c r="Q27" s="56" t="n">
        <x:v>0.8443594438455447</x:v>
      </x:c>
      <x:c r="R27" s="17" t="n">
        <x:v>3.7227842299939216</x:v>
      </x:c>
      <x:c r="S27" s="10" t="str">
        <x:v>Eșec: 6 goluri vs λ=2.28 (abatere +3.72). Scor extrem/overdispersion: modelul Poisson simplu a subestimat coada distribuției. Estimarea λ a fost predominant proxy din 1X2, fără o piață directă U/O suficientă.</x:v>
      </x:c>
      <x:c r="T27" s="10" t="str">
        <x:v>Proxy piață 1X2 (Poisson)</x:v>
      </x:c>
      <x:c r="U27" s="10" t="str">
        <x:v>https://www.gsp.ro/rezultate-live/meciuri-29-08-2026</x:v>
      </x:c>
      <x:c r="V27" s="59" t="n">
        <x:v>46263</x:v>
      </x:c>
      <x:c r="W27" s="16" t="n">
        <x:v>1.0643887781914452</x:v>
      </x:c>
      <x:c r="X27" s="16" t="n">
        <x:v>1.212826991814633</x:v>
      </x:c>
      <x:c r="Y27" s="9" t="str">
        <x:v>Proxy 1X2</x:v>
      </x:c>
      <x:c r="Z27" s="34"/>
      <x:c r="AA27" s="9"/>
      <x:c r="AB27" s="64" t="n">
        <x:f>IF(G27="","",MAX(0.5,MIN(0.995,G27-'Calibrare v2'!$B$20-IF(Y27="Proxy 1X2",'Calibrare v2'!$B$21,IF(Y27="Model extern contradictoriu",'Calibrare v2'!$B$22,0))-MAX(0,(IF(Z27="",'Calibrare v2'!$B$26,Z27)-'Calibrare v2'!$B$26)*'Calibrare v2'!$B$27))))</x:f>
        <x:v>0.8673449319857642</x:v>
      </x:c>
      <x:c r="AC27" s="28"/>
      <x:c r="AD27" s="69" t="n">
        <x:f>IF(H27="","",MAX(0,MIN(H27,IF(Y27="Proxy 1X2",'Calibrare v2'!$B$23,'Calibrare v2'!$B$24))-IF(AA27="DA",'Calibrare v2'!$B$25,0)-MAX(0,(IF(Z27="",'Calibrare v2'!$B$26,Z27)-'Calibrare v2'!$B$26)*'Calibrare v2'!$B$37)))</x:f>
        <x:v>60</x:v>
      </x:c>
      <x:c r="AE27" s="34"/>
      <x:c r="AF27" s="73"/>
      <x:c r="AG27" s="16"/>
      <x:c r="AH27" s="16"/>
      <x:c r="AI27" s="64"/>
      <x:c r="AJ27" s="75" t="str">
        <x:f>IF(OR(G27="",F27=""),"",IF(AND(G27&gt;='Calibrare v2'!$B$35,F27&lt;='Calibrare v2'!$B$34),"PASS","FAIL"))</x:f>
        <x:v>FAIL</x:v>
      </x:c>
      <x:c r="AK27" s="75" t="str">
        <x:f>IF(OR(AB27="",AD27="",F27=""),"",IF(AND(AB27&gt;='Calibrare v2'!$B$29,F27&lt;='Calibrare v2'!$B$33,IF(Z27="",'Calibrare v2'!$B$26,Z27)&lt;='Calibrare v2'!$B$26,AD27&gt;='Calibrare v2'!$B$31,OR(AG27="",AB27*AG27-1&gt;='Calibrare v2'!$B$36)),"DA – FEZABIL",IF(AND(AB27&gt;='Calibrare v2'!$B$30,IF(Z27="",'Calibrare v2'!$B$26,Z27)&lt;='Calibrare v2'!$B$28,AD27&gt;='Calibrare v2'!$B$32),"DA – PRUDENT","NU – NO BET")))</x:f>
        <x:v>DA – PRUDENT</x:v>
      </x:c>
      <x:c r="AL27" s="9"/>
      <x:c r="AM27" s="9"/>
      <x:c r="AN27" s="64"/>
      <x:c r="AO27" s="64"/>
      <x:c r="AP27" s="16"/>
      <x:c r="AQ27" s="73"/>
      <x:c r="AR27" s="9" t="str">
        <x:v>Backtest inițial 29.08.2026; coloanele v2 LIVE sunt retrospective. Snapshot v2 nu a existat pre-match.</x:v>
      </x:c>
    </x:row>
    <x:row r="28" ht="42.75" customHeight="1">
      <x:c r="A28" s="10" t="n">
        <x:v>27</x:v>
      </x:c>
      <x:c r="B28" s="10" t="str">
        <x:v>Austria</x:v>
      </x:c>
      <x:c r="C28" s="10" t="str">
        <x:v>Bundesliga</x:v>
      </x:c>
      <x:c r="D28" s="10" t="str">
        <x:v>Grazer AK – Wolfsberger AC</x:v>
      </x:c>
      <x:c r="E28" s="10" t="str">
        <x:v>DA – FEZABIL</x:v>
      </x:c>
      <x:c r="F28" s="17" t="n">
        <x:v>2.6489699246811576</x:v>
      </x:c>
      <x:c r="G28" s="29" t="n">
        <x:v>0.8704076124272752</x:v>
      </x:c>
      <x:c r="H28" s="35" t="n">
        <x:v>76</x:v>
      </x:c>
      <x:c r="I28" s="10" t="str">
        <x:v>PASS</x:v>
      </x:c>
      <x:c r="J28" s="10" t="n">
        <x:v>0</x:v>
      </x:c>
      <x:c r="K28" s="10" t="n">
        <x:v>0</x:v>
      </x:c>
      <x:c r="L28" s="10" t="n">
        <x:v>0</x:v>
      </x:c>
      <x:c r="M28" s="10" t="str">
        <x:v>UNDER</x:v>
      </x:c>
      <x:c r="N28" s="10" t="str">
        <x:v>PARIU U4,5</x:v>
      </x:c>
      <x:c r="O28" s="10" t="str">
        <x:v>SUCCES</x:v>
      </x:c>
      <x:c r="P28" s="10" t="n">
        <x:v>1</x:v>
      </x:c>
      <x:c r="Q28" s="56" t="n">
        <x:v>0.01679418691679933</x:v>
      </x:c>
      <x:c r="R28" s="17" t="n">
        <x:v>-2.6489699246811576</x:v>
      </x:c>
      <x:c r="S28" s="10" t="str">
        <x:v>Succes solid: 0 goluri, cu 4 gol(uri) sub limita de 4; λ=2.65. Riscul de coadă 5+ nu s-a materializat.</x:v>
      </x:c>
      <x:c r="T28" s="10" t="str">
        <x:v>CompactStats + piață 1X2</x:v>
      </x:c>
      <x:c r="U28" s="10" t="str">
        <x:v>https://www.gsp.ro/rezultate-live/meciuri-29-08-2026</x:v>
      </x:c>
      <x:c r="V28" s="59" t="n">
        <x:v>46263</x:v>
      </x:c>
      <x:c r="W28" s="16" t="n">
        <x:v>1.4426003689108913</x:v>
      </x:c>
      <x:c r="X28" s="16" t="n">
        <x:v>1.2063695557702665</x:v>
      </x:c>
      <x:c r="Y28" s="9" t="str">
        <x:v>CompactStats + piață</x:v>
      </x:c>
      <x:c r="Z28" s="34"/>
      <x:c r="AA28" s="9"/>
      <x:c r="AB28" s="64" t="n">
        <x:f>IF(G28="","",MAX(0.5,MIN(0.995,G28-'Calibrare v2'!$B$20-IF(Y28="Proxy 1X2",'Calibrare v2'!$B$21,IF(Y28="Model extern contradictoriu",'Calibrare v2'!$B$22,0))-MAX(0,(IF(Z28="",'Calibrare v2'!$B$26,Z28)-'Calibrare v2'!$B$26)*'Calibrare v2'!$B$27))))</x:f>
        <x:v>0.8388622115410777</x:v>
      </x:c>
      <x:c r="AC28" s="28"/>
      <x:c r="AD28" s="69" t="n">
        <x:f>IF(H28="","",MAX(0,MIN(H28,IF(Y28="Proxy 1X2",'Calibrare v2'!$B$23,'Calibrare v2'!$B$24))-IF(AA28="DA",'Calibrare v2'!$B$25,0)-MAX(0,(IF(Z28="",'Calibrare v2'!$B$26,Z28)-'Calibrare v2'!$B$26)*'Calibrare v2'!$B$37)))</x:f>
        <x:v>76</x:v>
      </x:c>
      <x:c r="AE28" s="34"/>
      <x:c r="AF28" s="73"/>
      <x:c r="AG28" s="16"/>
      <x:c r="AH28" s="16"/>
      <x:c r="AI28" s="64"/>
      <x:c r="AJ28" s="75" t="str">
        <x:f>IF(OR(G28="",F28=""),"",IF(AND(G28&gt;='Calibrare v2'!$B$35,F28&lt;='Calibrare v2'!$B$34),"PASS","FAIL"))</x:f>
        <x:v>FAIL</x:v>
      </x:c>
      <x:c r="AK28" s="75" t="str">
        <x:f>IF(OR(AB28="",AD28="",F28=""),"",IF(AND(AB28&gt;='Calibrare v2'!$B$29,F28&lt;='Calibrare v2'!$B$33,IF(Z28="",'Calibrare v2'!$B$26,Z28)&lt;='Calibrare v2'!$B$26,AD28&gt;='Calibrare v2'!$B$31,OR(AG28="",AB28*AG28-1&gt;='Calibrare v2'!$B$36)),"DA – FEZABIL",IF(AND(AB28&gt;='Calibrare v2'!$B$30,IF(Z28="",'Calibrare v2'!$B$26,Z28)&lt;='Calibrare v2'!$B$28,AD28&gt;='Calibrare v2'!$B$32),"DA – PRUDENT","NU – NO BET")))</x:f>
        <x:v>DA – PRUDENT</x:v>
      </x:c>
      <x:c r="AL28" s="9"/>
      <x:c r="AM28" s="9"/>
      <x:c r="AN28" s="64"/>
      <x:c r="AO28" s="64"/>
      <x:c r="AP28" s="16"/>
      <x:c r="AQ28" s="73"/>
      <x:c r="AR28" s="9" t="str">
        <x:v>Backtest inițial 29.08.2026; coloanele v2 LIVE sunt retrospective. Snapshot v2 nu a existat pre-match.</x:v>
      </x:c>
    </x:row>
    <x:row r="29" ht="42.75" customHeight="1">
      <x:c r="A29" s="10" t="n">
        <x:v>28</x:v>
      </x:c>
      <x:c r="B29" s="10" t="str">
        <x:v>Austria</x:v>
      </x:c>
      <x:c r="C29" s="10" t="str">
        <x:v>Bundesliga</x:v>
      </x:c>
      <x:c r="D29" s="10" t="str">
        <x:v>LASK – Altach</x:v>
      </x:c>
      <x:c r="E29" s="10" t="str">
        <x:v>DA – FEZABIL</x:v>
      </x:c>
      <x:c r="F29" s="17" t="n">
        <x:v>2.680129867538577</x:v>
      </x:c>
      <x:c r="G29" s="29" t="n">
        <x:v>0.8658506438086517</x:v>
      </x:c>
      <x:c r="H29" s="35" t="n">
        <x:v>76</x:v>
      </x:c>
      <x:c r="I29" s="10" t="str">
        <x:v>PASS</x:v>
      </x:c>
      <x:c r="J29" s="10" t="n">
        <x:v>3</x:v>
      </x:c>
      <x:c r="K29" s="10" t="n">
        <x:v>0</x:v>
      </x:c>
      <x:c r="L29" s="10" t="n">
        <x:v>3</x:v>
      </x:c>
      <x:c r="M29" s="10" t="str">
        <x:v>UNDER</x:v>
      </x:c>
      <x:c r="N29" s="10" t="str">
        <x:v>PARIU U4,5</x:v>
      </x:c>
      <x:c r="O29" s="10" t="str">
        <x:v>SUCCES</x:v>
      </x:c>
      <x:c r="P29" s="10" t="n">
        <x:v>1</x:v>
      </x:c>
      <x:c r="Q29" s="56" t="n">
        <x:v>0.01799604976655323</x:v>
      </x:c>
      <x:c r="R29" s="17" t="n">
        <x:v>0.31987013246142304</x:v>
      </x:c>
      <x:c r="S29" s="10" t="str">
        <x:v>Succes solid: 3 goluri, cu 1 gol(uri) sub limita de 4; λ=2.68. Riscul de coadă 5+ nu s-a materializat.</x:v>
      </x:c>
      <x:c r="T29" s="10" t="str">
        <x:v>CompactStats + piață 1X2</x:v>
      </x:c>
      <x:c r="U29" s="10" t="str">
        <x:v>https://www.gsp.ro/rezultate-live/meciuri-29-08-2026</x:v>
      </x:c>
      <x:c r="V29" s="59" t="n">
        <x:v>46263</x:v>
      </x:c>
      <x:c r="W29" s="16" t="n">
        <x:v>1.8880421393474707</x:v>
      </x:c>
      <x:c r="X29" s="16" t="n">
        <x:v>0.7920877281911063</x:v>
      </x:c>
      <x:c r="Y29" s="9" t="str">
        <x:v>CompactStats + piață</x:v>
      </x:c>
      <x:c r="Z29" s="34"/>
      <x:c r="AA29" s="9"/>
      <x:c r="AB29" s="64" t="n">
        <x:f>IF(G29="","",MAX(0.5,MIN(0.995,G29-'Calibrare v2'!$B$20-IF(Y29="Proxy 1X2",'Calibrare v2'!$B$21,IF(Y29="Model extern contradictoriu",'Calibrare v2'!$B$22,0))-MAX(0,(IF(Z29="",'Calibrare v2'!$B$26,Z29)-'Calibrare v2'!$B$26)*'Calibrare v2'!$B$27))))</x:f>
        <x:v>0.8343052429224542</x:v>
      </x:c>
      <x:c r="AC29" s="28"/>
      <x:c r="AD29" s="69" t="n">
        <x:f>IF(H29="","",MAX(0,MIN(H29,IF(Y29="Proxy 1X2",'Calibrare v2'!$B$23,'Calibrare v2'!$B$24))-IF(AA29="DA",'Calibrare v2'!$B$25,0)-MAX(0,(IF(Z29="",'Calibrare v2'!$B$26,Z29)-'Calibrare v2'!$B$26)*'Calibrare v2'!$B$37)))</x:f>
        <x:v>76</x:v>
      </x:c>
      <x:c r="AE29" s="34"/>
      <x:c r="AF29" s="73"/>
      <x:c r="AG29" s="16"/>
      <x:c r="AH29" s="16"/>
      <x:c r="AI29" s="64"/>
      <x:c r="AJ29" s="75" t="str">
        <x:f>IF(OR(G29="",F29=""),"",IF(AND(G29&gt;='Calibrare v2'!$B$35,F29&lt;='Calibrare v2'!$B$34),"PASS","FAIL"))</x:f>
        <x:v>FAIL</x:v>
      </x:c>
      <x:c r="AK29" s="75" t="str">
        <x:f>IF(OR(AB29="",AD29="",F29=""),"",IF(AND(AB29&gt;='Calibrare v2'!$B$29,F29&lt;='Calibrare v2'!$B$33,IF(Z29="",'Calibrare v2'!$B$26,Z29)&lt;='Calibrare v2'!$B$26,AD29&gt;='Calibrare v2'!$B$31,OR(AG29="",AB29*AG29-1&gt;='Calibrare v2'!$B$36)),"DA – FEZABIL",IF(AND(AB29&gt;='Calibrare v2'!$B$30,IF(Z29="",'Calibrare v2'!$B$26,Z29)&lt;='Calibrare v2'!$B$28,AD29&gt;='Calibrare v2'!$B$32),"DA – PRUDENT","NU – NO BET")))</x:f>
        <x:v>DA – PRUDENT</x:v>
      </x:c>
      <x:c r="AL29" s="9"/>
      <x:c r="AM29" s="9"/>
      <x:c r="AN29" s="64"/>
      <x:c r="AO29" s="64"/>
      <x:c r="AP29" s="16"/>
      <x:c r="AQ29" s="73"/>
      <x:c r="AR29" s="9" t="str">
        <x:v>Backtest inițial 29.08.2026; coloanele v2 LIVE sunt retrospective. Snapshot v2 nu a existat pre-match.</x:v>
      </x:c>
    </x:row>
    <x:row r="30" ht="42.75" customHeight="1">
      <x:c r="A30" s="10" t="n">
        <x:v>29</x:v>
      </x:c>
      <x:c r="B30" s="10" t="str">
        <x:v>Belgia</x:v>
      </x:c>
      <x:c r="C30" s="10" t="str">
        <x:v>Pro League</x:v>
      </x:c>
      <x:c r="D30" s="10" t="str">
        <x:v>RAAL La Louvière – Mechelen</x:v>
      </x:c>
      <x:c r="E30" s="10" t="str">
        <x:v>DA – FEZABIL</x:v>
      </x:c>
      <x:c r="F30" s="17" t="n">
        <x:v>2.1602939024573793</x:v>
      </x:c>
      <x:c r="G30" s="29" t="n">
        <x:v>0.9317280335620164</x:v>
      </x:c>
      <x:c r="H30" s="35" t="n">
        <x:v>62</x:v>
      </x:c>
      <x:c r="I30" s="10" t="str">
        <x:v>PASS</x:v>
      </x:c>
      <x:c r="J30" s="10" t="n">
        <x:v>2</x:v>
      </x:c>
      <x:c r="K30" s="10" t="n">
        <x:v>2</x:v>
      </x:c>
      <x:c r="L30" s="10" t="n">
        <x:v>4</x:v>
      </x:c>
      <x:c r="M30" s="10" t="str">
        <x:v>UNDER</x:v>
      </x:c>
      <x:c r="N30" s="10" t="str">
        <x:v>PARIU U4,5</x:v>
      </x:c>
      <x:c r="O30" s="10" t="str">
        <x:v>SUCCES</x:v>
      </x:c>
      <x:c r="P30" s="10" t="n">
        <x:v>1</x:v>
      </x:c>
      <x:c r="Q30" s="56" t="n">
        <x:v>0.004661061401309161</x:v>
      </x:c>
      <x:c r="R30" s="17" t="n">
        <x:v>1.8397060975426207</x:v>
      </x:c>
      <x:c r="S30" s="10" t="str">
        <x:v>Succes la limită: exact 4 goluri. Pariul a câștigat, dar marja de siguranță a fost minimă; λ=2.16.</x:v>
      </x:c>
      <x:c r="T30" s="10" t="str">
        <x:v>Proxy piață 1X2 (Poisson)</x:v>
      </x:c>
      <x:c r="U30" s="10" t="str">
        <x:v>https://www.gsp.ro/rezultate-live/meciuri-29-08-2026</x:v>
      </x:c>
      <x:c r="V30" s="59" t="n">
        <x:v>46263</x:v>
      </x:c>
      <x:c r="W30" s="16" t="n">
        <x:v>1.1635596680078164</x:v>
      </x:c>
      <x:c r="X30" s="16" t="n">
        <x:v>0.9967342344495631</x:v>
      </x:c>
      <x:c r="Y30" s="9" t="str">
        <x:v>Proxy 1X2</x:v>
      </x:c>
      <x:c r="Z30" s="34"/>
      <x:c r="AA30" s="9"/>
      <x:c r="AB30" s="64" t="n">
        <x:f>IF(G30="","",MAX(0.5,MIN(0.995,G30-'Calibrare v2'!$B$20-IF(Y30="Proxy 1X2",'Calibrare v2'!$B$21,IF(Y30="Model extern contradictoriu",'Calibrare v2'!$B$22,0))-MAX(0,(IF(Z30="",'Calibrare v2'!$B$26,Z30)-'Calibrare v2'!$B$26)*'Calibrare v2'!$B$27))))</x:f>
        <x:v>0.8801826326758189</x:v>
      </x:c>
      <x:c r="AC30" s="28"/>
      <x:c r="AD30" s="69" t="n">
        <x:f>IF(H30="","",MAX(0,MIN(H30,IF(Y30="Proxy 1X2",'Calibrare v2'!$B$23,'Calibrare v2'!$B$24))-IF(AA30="DA",'Calibrare v2'!$B$25,0)-MAX(0,(IF(Z30="",'Calibrare v2'!$B$26,Z30)-'Calibrare v2'!$B$26)*'Calibrare v2'!$B$37)))</x:f>
        <x:v>60</x:v>
      </x:c>
      <x:c r="AE30" s="34"/>
      <x:c r="AF30" s="73"/>
      <x:c r="AG30" s="16"/>
      <x:c r="AH30" s="16"/>
      <x:c r="AI30" s="64"/>
      <x:c r="AJ30" s="75" t="str">
        <x:f>IF(OR(G30="",F30=""),"",IF(AND(G30&gt;='Calibrare v2'!$B$35,F30&lt;='Calibrare v2'!$B$34),"PASS","FAIL"))</x:f>
        <x:v>PASS</x:v>
      </x:c>
      <x:c r="AK30" s="75" t="str">
        <x:f>IF(OR(AB30="",AD30="",F30=""),"",IF(AND(AB30&gt;='Calibrare v2'!$B$29,F30&lt;='Calibrare v2'!$B$33,IF(Z30="",'Calibrare v2'!$B$26,Z30)&lt;='Calibrare v2'!$B$26,AD30&gt;='Calibrare v2'!$B$31,OR(AG30="",AB30*AG30-1&gt;='Calibrare v2'!$B$36)),"DA – FEZABIL",IF(AND(AB30&gt;='Calibrare v2'!$B$30,IF(Z30="",'Calibrare v2'!$B$26,Z30)&lt;='Calibrare v2'!$B$28,AD30&gt;='Calibrare v2'!$B$32),"DA – PRUDENT","NU – NO BET")))</x:f>
        <x:v>DA – PRUDENT</x:v>
      </x:c>
      <x:c r="AL30" s="9"/>
      <x:c r="AM30" s="9"/>
      <x:c r="AN30" s="64"/>
      <x:c r="AO30" s="64"/>
      <x:c r="AP30" s="16"/>
      <x:c r="AQ30" s="73"/>
      <x:c r="AR30" s="9" t="str">
        <x:v>Backtest inițial 29.08.2026; coloanele v2 LIVE sunt retrospective. Snapshot v2 nu a existat pre-match.</x:v>
      </x:c>
    </x:row>
    <x:row r="31" ht="42.75" customHeight="1">
      <x:c r="A31" s="10" t="n">
        <x:v>30</x:v>
      </x:c>
      <x:c r="B31" s="10" t="str">
        <x:v>Belgia</x:v>
      </x:c>
      <x:c r="C31" s="10" t="str">
        <x:v>Pro League</x:v>
      </x:c>
      <x:c r="D31" s="10" t="str">
        <x:v>Kortrijk – Charleroi</x:v>
      </x:c>
      <x:c r="E31" s="10" t="str">
        <x:v>DA – FEZABIL</x:v>
      </x:c>
      <x:c r="F31" s="17" t="n">
        <x:v>2.3792096997919012</x:v>
      </x:c>
      <x:c r="G31" s="29" t="n">
        <x:v>0.9067205748324936</x:v>
      </x:c>
      <x:c r="H31" s="35" t="n">
        <x:v>62</x:v>
      </x:c>
      <x:c r="I31" s="10" t="str">
        <x:v>PASS</x:v>
      </x:c>
      <x:c r="J31" s="10" t="n">
        <x:v>1</x:v>
      </x:c>
      <x:c r="K31" s="10" t="n">
        <x:v>3</x:v>
      </x:c>
      <x:c r="L31" s="10" t="n">
        <x:v>4</x:v>
      </x:c>
      <x:c r="M31" s="10" t="str">
        <x:v>UNDER</x:v>
      </x:c>
      <x:c r="N31" s="10" t="str">
        <x:v>PARIU U4,5</x:v>
      </x:c>
      <x:c r="O31" s="10" t="str">
        <x:v>SUCCES</x:v>
      </x:c>
      <x:c r="P31" s="10" t="n">
        <x:v>1</x:v>
      </x:c>
      <x:c r="Q31" s="56" t="n">
        <x:v>0.008701051159580432</x:v>
      </x:c>
      <x:c r="R31" s="17" t="n">
        <x:v>1.6207903002080988</x:v>
      </x:c>
      <x:c r="S31" s="10" t="str">
        <x:v>Succes la limită: exact 4 goluri. Pariul a câștigat, dar marja de siguranță a fost minimă; λ=2.38.</x:v>
      </x:c>
      <x:c r="T31" s="10" t="str">
        <x:v>Proxy piață 1X2 (Poisson)</x:v>
      </x:c>
      <x:c r="U31" s="10" t="str">
        <x:v>https://www.gsp.ro/rezultate-live/meciuri-29-08-2026</x:v>
      </x:c>
      <x:c r="V31" s="59" t="n">
        <x:v>46263</x:v>
      </x:c>
      <x:c r="W31" s="16" t="n">
        <x:v>0.9596145318812965</x:v>
      </x:c>
      <x:c r="X31" s="16" t="n">
        <x:v>1.4195951679106047</x:v>
      </x:c>
      <x:c r="Y31" s="9" t="str">
        <x:v>Proxy 1X2</x:v>
      </x:c>
      <x:c r="Z31" s="34"/>
      <x:c r="AA31" s="9"/>
      <x:c r="AB31" s="64" t="n">
        <x:f>IF(G31="","",MAX(0.5,MIN(0.995,G31-'Calibrare v2'!$B$20-IF(Y31="Proxy 1X2",'Calibrare v2'!$B$21,IF(Y31="Model extern contradictoriu",'Calibrare v2'!$B$22,0))-MAX(0,(IF(Z31="",'Calibrare v2'!$B$26,Z31)-'Calibrare v2'!$B$26)*'Calibrare v2'!$B$27))))</x:f>
        <x:v>0.855175173946296</x:v>
      </x:c>
      <x:c r="AC31" s="28"/>
      <x:c r="AD31" s="69" t="n">
        <x:f>IF(H31="","",MAX(0,MIN(H31,IF(Y31="Proxy 1X2",'Calibrare v2'!$B$23,'Calibrare v2'!$B$24))-IF(AA31="DA",'Calibrare v2'!$B$25,0)-MAX(0,(IF(Z31="",'Calibrare v2'!$B$26,Z31)-'Calibrare v2'!$B$26)*'Calibrare v2'!$B$37)))</x:f>
        <x:v>60</x:v>
      </x:c>
      <x:c r="AE31" s="34"/>
      <x:c r="AF31" s="73"/>
      <x:c r="AG31" s="16"/>
      <x:c r="AH31" s="16"/>
      <x:c r="AI31" s="64"/>
      <x:c r="AJ31" s="75" t="str">
        <x:f>IF(OR(G31="",F31=""),"",IF(AND(G31&gt;='Calibrare v2'!$B$35,F31&lt;='Calibrare v2'!$B$34),"PASS","FAIL"))</x:f>
        <x:v>FAIL</x:v>
      </x:c>
      <x:c r="AK31" s="75" t="str">
        <x:f>IF(OR(AB31="",AD31="",F31=""),"",IF(AND(AB31&gt;='Calibrare v2'!$B$29,F31&lt;='Calibrare v2'!$B$33,IF(Z31="",'Calibrare v2'!$B$26,Z31)&lt;='Calibrare v2'!$B$26,AD31&gt;='Calibrare v2'!$B$31,OR(AG31="",AB31*AG31-1&gt;='Calibrare v2'!$B$36)),"DA – FEZABIL",IF(AND(AB31&gt;='Calibrare v2'!$B$30,IF(Z31="",'Calibrare v2'!$B$26,Z31)&lt;='Calibrare v2'!$B$28,AD31&gt;='Calibrare v2'!$B$32),"DA – PRUDENT","NU – NO BET")))</x:f>
        <x:v>DA – PRUDENT</x:v>
      </x:c>
      <x:c r="AL31" s="9"/>
      <x:c r="AM31" s="9"/>
      <x:c r="AN31" s="64"/>
      <x:c r="AO31" s="64"/>
      <x:c r="AP31" s="16"/>
      <x:c r="AQ31" s="73"/>
      <x:c r="AR31" s="9" t="str">
        <x:v>Backtest inițial 29.08.2026; coloanele v2 LIVE sunt retrospective. Snapshot v2 nu a existat pre-match.</x:v>
      </x:c>
    </x:row>
    <x:row r="32" ht="43.5" customHeight="1">
      <x:c r="A32" s="10" t="n">
        <x:v>31</x:v>
      </x:c>
      <x:c r="B32" s="10" t="str">
        <x:v>Belgia</x:v>
      </x:c>
      <x:c r="C32" s="10" t="str">
        <x:v>Pro League</x:v>
      </x:c>
      <x:c r="D32" s="10" t="str">
        <x:v>Cercle Brugge – Lommel</x:v>
      </x:c>
      <x:c r="E32" s="10" t="str">
        <x:v>DA – PRUDENT</x:v>
      </x:c>
      <x:c r="F32" s="17" t="n">
        <x:v>3.0748530208042855</x:v>
      </x:c>
      <x:c r="G32" s="29" t="n">
        <x:v>0.8025326156020338</x:v>
      </x:c>
      <x:c r="H32" s="35" t="n">
        <x:v>62</x:v>
      </x:c>
      <x:c r="I32" s="10" t="str">
        <x:v>FAIL</x:v>
      </x:c>
      <x:c r="J32" s="10" t="n">
        <x:v>0</x:v>
      </x:c>
      <x:c r="K32" s="10" t="n">
        <x:v>1</x:v>
      </x:c>
      <x:c r="L32" s="10" t="n">
        <x:v>1</x:v>
      </x:c>
      <x:c r="M32" s="10" t="str">
        <x:v>UNDER</x:v>
      </x:c>
      <x:c r="N32" s="10" t="str">
        <x:v>PARIU U4,5</x:v>
      </x:c>
      <x:c r="O32" s="10" t="str">
        <x:v>SUCCES</x:v>
      </x:c>
      <x:c r="P32" s="10" t="n">
        <x:v>1</x:v>
      </x:c>
      <x:c r="Q32" s="56" t="n">
        <x:v>0.03899336790097414</x:v>
      </x:c>
      <x:c r="R32" s="17" t="n">
        <x:v>-2.0748530208042855</x:v>
      </x:c>
      <x:c r="S32" s="10" t="str">
        <x:v>Succes solid: 1 goluri, cu 3 gol(uri) sub limita de 4; λ=3.07. Riscul de coadă 5+ nu s-a materializat.</x:v>
      </x:c>
      <x:c r="T32" s="10" t="str">
        <x:v>Proxy piață 1X2 (Poisson)</x:v>
      </x:c>
      <x:c r="U32" s="10" t="str">
        <x:v>https://www.gsp.ro/rezultate-live/meciuri-29-08-2026</x:v>
      </x:c>
      <x:c r="V32" s="59" t="n">
        <x:v>46263</x:v>
      </x:c>
      <x:c r="W32" s="16" t="n">
        <x:v>2.071353517741827</x:v>
      </x:c>
      <x:c r="X32" s="16" t="n">
        <x:v>1.0034995030624583</x:v>
      </x:c>
      <x:c r="Y32" s="9" t="str">
        <x:v>Proxy 1X2</x:v>
      </x:c>
      <x:c r="Z32" s="34"/>
      <x:c r="AA32" s="9"/>
      <x:c r="AB32" s="64" t="n">
        <x:f>IF(G32="","",MAX(0.5,MIN(0.995,G32-'Calibrare v2'!$B$20-IF(Y32="Proxy 1X2",'Calibrare v2'!$B$21,IF(Y32="Model extern contradictoriu",'Calibrare v2'!$B$22,0))-MAX(0,(IF(Z32="",'Calibrare v2'!$B$26,Z32)-'Calibrare v2'!$B$26)*'Calibrare v2'!$B$27))))</x:f>
        <x:v>0.7509872147158363</x:v>
      </x:c>
      <x:c r="AC32" s="28"/>
      <x:c r="AD32" s="69" t="n">
        <x:f>IF(H32="","",MAX(0,MIN(H32,IF(Y32="Proxy 1X2",'Calibrare v2'!$B$23,'Calibrare v2'!$B$24))-IF(AA32="DA",'Calibrare v2'!$B$25,0)-MAX(0,(IF(Z32="",'Calibrare v2'!$B$26,Z32)-'Calibrare v2'!$B$26)*'Calibrare v2'!$B$37)))</x:f>
        <x:v>60</x:v>
      </x:c>
      <x:c r="AE32" s="34"/>
      <x:c r="AF32" s="73"/>
      <x:c r="AG32" s="16"/>
      <x:c r="AH32" s="16"/>
      <x:c r="AI32" s="64"/>
      <x:c r="AJ32" s="75" t="str">
        <x:f>IF(OR(G32="",F32=""),"",IF(AND(G32&gt;='Calibrare v2'!$B$35,F32&lt;='Calibrare v2'!$B$34),"PASS","FAIL"))</x:f>
        <x:v>FAIL</x:v>
      </x:c>
      <x:c r="AK32" s="75" t="str">
        <x:f>IF(OR(AB32="",AD32="",F32=""),"",IF(AND(AB32&gt;='Calibrare v2'!$B$29,F32&lt;='Calibrare v2'!$B$33,IF(Z32="",'Calibrare v2'!$B$26,Z32)&lt;='Calibrare v2'!$B$26,AD32&gt;='Calibrare v2'!$B$31,OR(AG32="",AB32*AG32-1&gt;='Calibrare v2'!$B$36)),"DA – FEZABIL",IF(AND(AB32&gt;='Calibrare v2'!$B$30,IF(Z32="",'Calibrare v2'!$B$26,Z32)&lt;='Calibrare v2'!$B$28,AD32&gt;='Calibrare v2'!$B$32),"DA – PRUDENT","NU – NO BET")))</x:f>
        <x:v>NU – NO BET</x:v>
      </x:c>
      <x:c r="AL32" s="9"/>
      <x:c r="AM32" s="9"/>
      <x:c r="AN32" s="64"/>
      <x:c r="AO32" s="64"/>
      <x:c r="AP32" s="16"/>
      <x:c r="AQ32" s="73"/>
      <x:c r="AR32" s="9" t="str">
        <x:v>Backtest inițial 29.08.2026; coloanele v2 LIVE sunt retrospective. Snapshot v2 nu a existat pre-match.</x:v>
      </x:c>
    </x:row>
    <x:row r="33" ht="42.75" customHeight="1">
      <x:c r="A33" s="10" t="n">
        <x:v>32</x:v>
      </x:c>
      <x:c r="B33" s="10" t="str">
        <x:v>Belgia</x:v>
      </x:c>
      <x:c r="C33" s="10" t="str">
        <x:v>Pro League</x:v>
      </x:c>
      <x:c r="D33" s="10" t="str">
        <x:v>OH Leuven – Standard Liège</x:v>
      </x:c>
      <x:c r="E33" s="10" t="str">
        <x:v>DA – FEZABIL</x:v>
      </x:c>
      <x:c r="F33" s="17" t="n">
        <x:v>2.436387600549342</x:v>
      </x:c>
      <x:c r="G33" s="29" t="n">
        <x:v>0.899513002377212</x:v>
      </x:c>
      <x:c r="H33" s="35" t="n">
        <x:v>62</x:v>
      </x:c>
      <x:c r="I33" s="10" t="str">
        <x:v>PASS</x:v>
      </x:c>
      <x:c r="J33" s="10" t="n">
        <x:v>1</x:v>
      </x:c>
      <x:c r="K33" s="10" t="n">
        <x:v>2</x:v>
      </x:c>
      <x:c r="L33" s="10" t="n">
        <x:v>3</x:v>
      </x:c>
      <x:c r="M33" s="10" t="str">
        <x:v>UNDER</x:v>
      </x:c>
      <x:c r="N33" s="10" t="str">
        <x:v>PARIU U4,5</x:v>
      </x:c>
      <x:c r="O33" s="10" t="str">
        <x:v>SUCCES</x:v>
      </x:c>
      <x:c r="P33" s="10" t="n">
        <x:v>1</x:v>
      </x:c>
      <x:c r="Q33" s="56" t="n">
        <x:v>0.010097636691242202</x:v>
      </x:c>
      <x:c r="R33" s="17" t="n">
        <x:v>0.5636123994506579</x:v>
      </x:c>
      <x:c r="S33" s="10" t="str">
        <x:v>Succes solid: 3 goluri, cu 1 gol(uri) sub limita de 4; λ=2.44. Riscul de coadă 5+ nu s-a materializat.</x:v>
      </x:c>
      <x:c r="T33" s="10" t="str">
        <x:v>Proxy piață 1X2 (Poisson)</x:v>
      </x:c>
      <x:c r="U33" s="10" t="str">
        <x:v>https://www.gsp.ro/rezultate-live/meciuri-29-08-2026</x:v>
      </x:c>
      <x:c r="V33" s="59" t="n">
        <x:v>46263</x:v>
      </x:c>
      <x:c r="W33" s="16" t="n">
        <x:v>1.1377590621693041</x:v>
      </x:c>
      <x:c r="X33" s="16" t="n">
        <x:v>1.298628538380038</x:v>
      </x:c>
      <x:c r="Y33" s="9" t="str">
        <x:v>Proxy 1X2</x:v>
      </x:c>
      <x:c r="Z33" s="34"/>
      <x:c r="AA33" s="9"/>
      <x:c r="AB33" s="64" t="n">
        <x:f>IF(G33="","",MAX(0.5,MIN(0.995,G33-'Calibrare v2'!$B$20-IF(Y33="Proxy 1X2",'Calibrare v2'!$B$21,IF(Y33="Model extern contradictoriu",'Calibrare v2'!$B$22,0))-MAX(0,(IF(Z33="",'Calibrare v2'!$B$26,Z33)-'Calibrare v2'!$B$26)*'Calibrare v2'!$B$27))))</x:f>
        <x:v>0.8479676014910145</x:v>
      </x:c>
      <x:c r="AC33" s="28"/>
      <x:c r="AD33" s="69" t="n">
        <x:f>IF(H33="","",MAX(0,MIN(H33,IF(Y33="Proxy 1X2",'Calibrare v2'!$B$23,'Calibrare v2'!$B$24))-IF(AA33="DA",'Calibrare v2'!$B$25,0)-MAX(0,(IF(Z33="",'Calibrare v2'!$B$26,Z33)-'Calibrare v2'!$B$26)*'Calibrare v2'!$B$37)))</x:f>
        <x:v>60</x:v>
      </x:c>
      <x:c r="AE33" s="34"/>
      <x:c r="AF33" s="73"/>
      <x:c r="AG33" s="16"/>
      <x:c r="AH33" s="16"/>
      <x:c r="AI33" s="64"/>
      <x:c r="AJ33" s="75" t="str">
        <x:f>IF(OR(G33="",F33=""),"",IF(AND(G33&gt;='Calibrare v2'!$B$35,F33&lt;='Calibrare v2'!$B$34),"PASS","FAIL"))</x:f>
        <x:v>FAIL</x:v>
      </x:c>
      <x:c r="AK33" s="75" t="str">
        <x:f>IF(OR(AB33="",AD33="",F33=""),"",IF(AND(AB33&gt;='Calibrare v2'!$B$29,F33&lt;='Calibrare v2'!$B$33,IF(Z33="",'Calibrare v2'!$B$26,Z33)&lt;='Calibrare v2'!$B$26,AD33&gt;='Calibrare v2'!$B$31,OR(AG33="",AB33*AG33-1&gt;='Calibrare v2'!$B$36)),"DA – FEZABIL",IF(AND(AB33&gt;='Calibrare v2'!$B$30,IF(Z33="",'Calibrare v2'!$B$26,Z33)&lt;='Calibrare v2'!$B$28,AD33&gt;='Calibrare v2'!$B$32),"DA – PRUDENT","NU – NO BET")))</x:f>
        <x:v>DA – PRUDENT</x:v>
      </x:c>
      <x:c r="AL33" s="9"/>
      <x:c r="AM33" s="9"/>
      <x:c r="AN33" s="64"/>
      <x:c r="AO33" s="64"/>
      <x:c r="AP33" s="16"/>
      <x:c r="AQ33" s="73"/>
      <x:c r="AR33" s="9" t="str">
        <x:v>Backtest inițial 29.08.2026; coloanele v2 LIVE sunt retrospective. Snapshot v2 nu a existat pre-match.</x:v>
      </x:c>
    </x:row>
    <x:row r="34" ht="43.5" customHeight="1">
      <x:c r="A34" s="10" t="n">
        <x:v>33</x:v>
      </x:c>
      <x:c r="B34" s="10" t="str">
        <x:v>Germania</x:v>
      </x:c>
      <x:c r="C34" s="10" t="str">
        <x:v>Bundesliga</x:v>
      </x:c>
      <x:c r="D34" s="10" t="str">
        <x:v>Elversberg – Bayer Leverkusen</x:v>
      </x:c>
      <x:c r="E34" s="10" t="str">
        <x:v>NU – EVITĂ</x:v>
      </x:c>
      <x:c r="F34" s="17" t="n">
        <x:v>3.128770988608201</x:v>
      </x:c>
      <x:c r="G34" s="29" t="n">
        <x:v>0.7931814259285671</x:v>
      </x:c>
      <x:c r="H34" s="35" t="n">
        <x:v>62</x:v>
      </x:c>
      <x:c r="I34" s="10" t="str">
        <x:v>FAIL</x:v>
      </x:c>
      <x:c r="J34" s="10" t="n">
        <x:v>3</x:v>
      </x:c>
      <x:c r="K34" s="10" t="n">
        <x:v>2</x:v>
      </x:c>
      <x:c r="L34" s="10" t="n">
        <x:v>5</x:v>
      </x:c>
      <x:c r="M34" s="10" t="str">
        <x:v>OVER</x:v>
      </x:c>
      <x:c r="N34" s="10" t="str">
        <x:v>NO BET</x:v>
      </x:c>
      <x:c r="O34" s="10" t="str">
        <x:v>EVITARE CORECTĂ</x:v>
      </x:c>
      <x:c r="P34" s="10" t="n">
        <x:v>0</x:v>
      </x:c>
      <x:c r="Q34" s="56" t="n">
        <x:v>0.629136774438075</x:v>
      </x:c>
      <x:c r="R34" s="17" t="n">
        <x:v>1.871229011391799</x:v>
      </x:c>
      <x:c r="S34" s="10" t="str">
        <x:v>Evitare corectă: 5 goluri. Semnalul de risc ridicat/λ mare a justificat NO BET.</x:v>
      </x:c>
      <x:c r="T34" s="10" t="str">
        <x:v>Proxy piață 1X2 (Poisson)</x:v>
      </x:c>
      <x:c r="U34" s="10" t="str">
        <x:v>https://www.gsp.ro/rezultate-live/meciuri-29-08-2026</x:v>
      </x:c>
      <x:c r="V34" s="59" t="n">
        <x:v>46263</x:v>
      </x:c>
      <x:c r="W34" s="16" t="n">
        <x:v>1.0632031863926026</x:v>
      </x:c>
      <x:c r="X34" s="16" t="n">
        <x:v>2.0655678022155985</x:v>
      </x:c>
      <x:c r="Y34" s="9" t="str">
        <x:v>Proxy 1X2</x:v>
      </x:c>
      <x:c r="Z34" s="34"/>
      <x:c r="AA34" s="9"/>
      <x:c r="AB34" s="64" t="n">
        <x:f>IF(G34="","",MAX(0.5,MIN(0.995,G34-'Calibrare v2'!$B$20-IF(Y34="Proxy 1X2",'Calibrare v2'!$B$21,IF(Y34="Model extern contradictoriu",'Calibrare v2'!$B$22,0))-MAX(0,(IF(Z34="",'Calibrare v2'!$B$26,Z34)-'Calibrare v2'!$B$26)*'Calibrare v2'!$B$27))))</x:f>
        <x:v>0.7416360250423696</x:v>
      </x:c>
      <x:c r="AC34" s="28"/>
      <x:c r="AD34" s="69" t="n">
        <x:f>IF(H34="","",MAX(0,MIN(H34,IF(Y34="Proxy 1X2",'Calibrare v2'!$B$23,'Calibrare v2'!$B$24))-IF(AA34="DA",'Calibrare v2'!$B$25,0)-MAX(0,(IF(Z34="",'Calibrare v2'!$B$26,Z34)-'Calibrare v2'!$B$26)*'Calibrare v2'!$B$37)))</x:f>
        <x:v>60</x:v>
      </x:c>
      <x:c r="AE34" s="34"/>
      <x:c r="AF34" s="73"/>
      <x:c r="AG34" s="16"/>
      <x:c r="AH34" s="16"/>
      <x:c r="AI34" s="64"/>
      <x:c r="AJ34" s="75" t="str">
        <x:f>IF(OR(G34="",F34=""),"",IF(AND(G34&gt;='Calibrare v2'!$B$35,F34&lt;='Calibrare v2'!$B$34),"PASS","FAIL"))</x:f>
        <x:v>FAIL</x:v>
      </x:c>
      <x:c r="AK34" s="75" t="str">
        <x:f>IF(OR(AB34="",AD34="",F34=""),"",IF(AND(AB34&gt;='Calibrare v2'!$B$29,F34&lt;='Calibrare v2'!$B$33,IF(Z34="",'Calibrare v2'!$B$26,Z34)&lt;='Calibrare v2'!$B$26,AD34&gt;='Calibrare v2'!$B$31,OR(AG34="",AB34*AG34-1&gt;='Calibrare v2'!$B$36)),"DA – FEZABIL",IF(AND(AB34&gt;='Calibrare v2'!$B$30,IF(Z34="",'Calibrare v2'!$B$26,Z34)&lt;='Calibrare v2'!$B$28,AD34&gt;='Calibrare v2'!$B$32),"DA – PRUDENT","NU – NO BET")))</x:f>
        <x:v>NU – NO BET</x:v>
      </x:c>
      <x:c r="AL34" s="9"/>
      <x:c r="AM34" s="9"/>
      <x:c r="AN34" s="64"/>
      <x:c r="AO34" s="64"/>
      <x:c r="AP34" s="16"/>
      <x:c r="AQ34" s="73"/>
      <x:c r="AR34" s="9" t="str">
        <x:v>Backtest inițial 29.08.2026; coloanele v2 LIVE sunt retrospective. Snapshot v2 nu a existat pre-match.</x:v>
      </x:c>
    </x:row>
    <x:row r="35" ht="42.75" customHeight="1">
      <x:c r="A35" s="10" t="n">
        <x:v>34</x:v>
      </x:c>
      <x:c r="B35" s="10" t="str">
        <x:v>Germania</x:v>
      </x:c>
      <x:c r="C35" s="10" t="str">
        <x:v>Bundesliga</x:v>
      </x:c>
      <x:c r="D35" s="10" t="str">
        <x:v>Köln – Hoffenheim</x:v>
      </x:c>
      <x:c r="E35" s="10" t="str">
        <x:v>DA – FEZABIL</x:v>
      </x:c>
      <x:c r="F35" s="17" t="n">
        <x:v>2.6008032321072516</x:v>
      </x:c>
      <x:c r="G35" s="29" t="n">
        <x:v>0.8773098697493662</x:v>
      </x:c>
      <x:c r="H35" s="35" t="n">
        <x:v>62</x:v>
      </x:c>
      <x:c r="I35" s="10" t="str">
        <x:v>PASS</x:v>
      </x:c>
      <x:c r="J35" s="10" t="n">
        <x:v>3</x:v>
      </x:c>
      <x:c r="K35" s="10" t="n">
        <x:v>2</x:v>
      </x:c>
      <x:c r="L35" s="10" t="n">
        <x:v>5</x:v>
      </x:c>
      <x:c r="M35" s="10" t="str">
        <x:v>OVER</x:v>
      </x:c>
      <x:c r="N35" s="10" t="str">
        <x:v>PARIU U4,5</x:v>
      </x:c>
      <x:c r="O35" s="10" t="str">
        <x:v>EȘEC</x:v>
      </x:c>
      <x:c r="P35" s="10" t="n">
        <x:v>0</x:v>
      </x:c>
      <x:c r="Q35" s="56" t="n">
        <x:v>0.7696726075596498</x:v>
      </x:c>
      <x:c r="R35" s="17" t="n">
        <x:v>2.3991967678927484</x:v>
      </x:c>
      <x:c r="S35" s="10" t="str">
        <x:v>Eșec: 5 goluri vs λ=2.60 (abatere +2.40). Eveniment de coadă la 5 goluri, insuficient penalizat de model. Estimarea λ a fost predominant proxy din 1X2, fără o piață directă U/O suficientă.</x:v>
      </x:c>
      <x:c r="T35" s="10" t="str">
        <x:v>Proxy piață 1X2 (Poisson)</x:v>
      </x:c>
      <x:c r="U35" s="10" t="str">
        <x:v>https://www.gsp.ro/rezultate-live/meciuri-29-08-2026</x:v>
      </x:c>
      <x:c r="V35" s="59" t="n">
        <x:v>46263</x:v>
      </x:c>
      <x:c r="W35" s="16" t="n">
        <x:v>1.1971950627853345</x:v>
      </x:c>
      <x:c r="X35" s="16" t="n">
        <x:v>1.4036081693219173</x:v>
      </x:c>
      <x:c r="Y35" s="9" t="str">
        <x:v>Proxy 1X2</x:v>
      </x:c>
      <x:c r="Z35" s="34"/>
      <x:c r="AA35" s="9"/>
      <x:c r="AB35" s="64" t="n">
        <x:f>IF(G35="","",MAX(0.5,MIN(0.995,G35-'Calibrare v2'!$B$20-IF(Y35="Proxy 1X2",'Calibrare v2'!$B$21,IF(Y35="Model extern contradictoriu",'Calibrare v2'!$B$22,0))-MAX(0,(IF(Z35="",'Calibrare v2'!$B$26,Z35)-'Calibrare v2'!$B$26)*'Calibrare v2'!$B$27))))</x:f>
        <x:v>0.8257644688631687</x:v>
      </x:c>
      <x:c r="AC35" s="28"/>
      <x:c r="AD35" s="69" t="n">
        <x:f>IF(H35="","",MAX(0,MIN(H35,IF(Y35="Proxy 1X2",'Calibrare v2'!$B$23,'Calibrare v2'!$B$24))-IF(AA35="DA",'Calibrare v2'!$B$25,0)-MAX(0,(IF(Z35="",'Calibrare v2'!$B$26,Z35)-'Calibrare v2'!$B$26)*'Calibrare v2'!$B$37)))</x:f>
        <x:v>60</x:v>
      </x:c>
      <x:c r="AE35" s="34"/>
      <x:c r="AF35" s="73"/>
      <x:c r="AG35" s="16"/>
      <x:c r="AH35" s="16"/>
      <x:c r="AI35" s="64"/>
      <x:c r="AJ35" s="75" t="str">
        <x:f>IF(OR(G35="",F35=""),"",IF(AND(G35&gt;='Calibrare v2'!$B$35,F35&lt;='Calibrare v2'!$B$34),"PASS","FAIL"))</x:f>
        <x:v>FAIL</x:v>
      </x:c>
      <x:c r="AK35" s="75" t="str">
        <x:f>IF(OR(AB35="",AD35="",F35=""),"",IF(AND(AB35&gt;='Calibrare v2'!$B$29,F35&lt;='Calibrare v2'!$B$33,IF(Z35="",'Calibrare v2'!$B$26,Z35)&lt;='Calibrare v2'!$B$26,AD35&gt;='Calibrare v2'!$B$31,OR(AG35="",AB35*AG35-1&gt;='Calibrare v2'!$B$36)),"DA – FEZABIL",IF(AND(AB35&gt;='Calibrare v2'!$B$30,IF(Z35="",'Calibrare v2'!$B$26,Z35)&lt;='Calibrare v2'!$B$28,AD35&gt;='Calibrare v2'!$B$32),"DA – PRUDENT","NU – NO BET")))</x:f>
        <x:v>DA – PRUDENT</x:v>
      </x:c>
      <x:c r="AL35" s="9"/>
      <x:c r="AM35" s="9"/>
      <x:c r="AN35" s="64"/>
      <x:c r="AO35" s="64"/>
      <x:c r="AP35" s="16"/>
      <x:c r="AQ35" s="73"/>
      <x:c r="AR35" s="9" t="str">
        <x:v>Backtest inițial 29.08.2026; coloanele v2 LIVE sunt retrospective. Snapshot v2 nu a existat pre-match.</x:v>
      </x:c>
    </x:row>
    <x:row r="36" ht="43.5" customHeight="1">
      <x:c r="A36" s="10" t="n">
        <x:v>35</x:v>
      </x:c>
      <x:c r="B36" s="10" t="str">
        <x:v>Germania</x:v>
      </x:c>
      <x:c r="C36" s="10" t="str">
        <x:v>Bundesliga</x:v>
      </x:c>
      <x:c r="D36" s="10" t="str">
        <x:v>Mainz – Paderborn</x:v>
      </x:c>
      <x:c r="E36" s="10" t="str">
        <x:v>DA – FEZABIL</x:v>
      </x:c>
      <x:c r="F36" s="17" t="n">
        <x:v>2.66321081811129</x:v>
      </x:c>
      <x:c r="G36" s="29" t="n">
        <x:v>0.8683337934149241</x:v>
      </x:c>
      <x:c r="H36" s="35" t="n">
        <x:v>62</x:v>
      </x:c>
      <x:c r="I36" s="10" t="str">
        <x:v>PASS</x:v>
      </x:c>
      <x:c r="J36" s="10" t="n">
        <x:v>0</x:v>
      </x:c>
      <x:c r="K36" s="10" t="n">
        <x:v>0</x:v>
      </x:c>
      <x:c r="L36" s="10" t="n">
        <x:v>0</x:v>
      </x:c>
      <x:c r="M36" s="10" t="str">
        <x:v>UNDER</x:v>
      </x:c>
      <x:c r="N36" s="10" t="str">
        <x:v>PARIU U4,5</x:v>
      </x:c>
      <x:c r="O36" s="10" t="str">
        <x:v>SUCCES</x:v>
      </x:c>
      <x:c r="P36" s="10" t="n">
        <x:v>1</x:v>
      </x:c>
      <x:c r="Q36" s="56" t="n">
        <x:v>0.01733598995650388</x:v>
      </x:c>
      <x:c r="R36" s="17" t="n">
        <x:v>-2.66321081811129</x:v>
      </x:c>
      <x:c r="S36" s="10" t="str">
        <x:v>Succes solid: 0 goluri, cu 4 gol(uri) sub limita de 4; λ=2.66. Riscul de coadă 5+ nu s-a materializat.</x:v>
      </x:c>
      <x:c r="T36" s="10" t="str">
        <x:v>Proxy piață 1X2 (Poisson)</x:v>
      </x:c>
      <x:c r="U36" s="10" t="str">
        <x:v>https://www.gsp.ro/rezultate-live/meciuri-29-08-2026</x:v>
      </x:c>
      <x:c r="V36" s="59" t="n">
        <x:v>46263</x:v>
      </x:c>
      <x:c r="W36" s="16" t="n">
        <x:v>1.7402224314935852</x:v>
      </x:c>
      <x:c r="X36" s="16" t="n">
        <x:v>0.922988386617705</x:v>
      </x:c>
      <x:c r="Y36" s="9" t="str">
        <x:v>Proxy 1X2</x:v>
      </x:c>
      <x:c r="Z36" s="34"/>
      <x:c r="AA36" s="9"/>
      <x:c r="AB36" s="64" t="n">
        <x:f>IF(G36="","",MAX(0.5,MIN(0.995,G36-'Calibrare v2'!$B$20-IF(Y36="Proxy 1X2",'Calibrare v2'!$B$21,IF(Y36="Model extern contradictoriu",'Calibrare v2'!$B$22,0))-MAX(0,(IF(Z36="",'Calibrare v2'!$B$26,Z36)-'Calibrare v2'!$B$26)*'Calibrare v2'!$B$27))))</x:f>
        <x:v>0.8167883925287266</x:v>
      </x:c>
      <x:c r="AC36" s="28"/>
      <x:c r="AD36" s="69" t="n">
        <x:f>IF(H36="","",MAX(0,MIN(H36,IF(Y36="Proxy 1X2",'Calibrare v2'!$B$23,'Calibrare v2'!$B$24))-IF(AA36="DA",'Calibrare v2'!$B$25,0)-MAX(0,(IF(Z36="",'Calibrare v2'!$B$26,Z36)-'Calibrare v2'!$B$26)*'Calibrare v2'!$B$37)))</x:f>
        <x:v>60</x:v>
      </x:c>
      <x:c r="AE36" s="34"/>
      <x:c r="AF36" s="73"/>
      <x:c r="AG36" s="16"/>
      <x:c r="AH36" s="16"/>
      <x:c r="AI36" s="64"/>
      <x:c r="AJ36" s="75" t="str">
        <x:f>IF(OR(G36="",F36=""),"",IF(AND(G36&gt;='Calibrare v2'!$B$35,F36&lt;='Calibrare v2'!$B$34),"PASS","FAIL"))</x:f>
        <x:v>FAIL</x:v>
      </x:c>
      <x:c r="AK36" s="75" t="str">
        <x:f>IF(OR(AB36="",AD36="",F36=""),"",IF(AND(AB36&gt;='Calibrare v2'!$B$29,F36&lt;='Calibrare v2'!$B$33,IF(Z36="",'Calibrare v2'!$B$26,Z36)&lt;='Calibrare v2'!$B$26,AD36&gt;='Calibrare v2'!$B$31,OR(AG36="",AB36*AG36-1&gt;='Calibrare v2'!$B$36)),"DA – FEZABIL",IF(AND(AB36&gt;='Calibrare v2'!$B$30,IF(Z36="",'Calibrare v2'!$B$26,Z36)&lt;='Calibrare v2'!$B$28,AD36&gt;='Calibrare v2'!$B$32),"DA – PRUDENT","NU – NO BET")))</x:f>
        <x:v>NU – NO BET</x:v>
      </x:c>
      <x:c r="AL36" s="9"/>
      <x:c r="AM36" s="9"/>
      <x:c r="AN36" s="64"/>
      <x:c r="AO36" s="64"/>
      <x:c r="AP36" s="16"/>
      <x:c r="AQ36" s="73"/>
      <x:c r="AR36" s="9" t="str">
        <x:v>Backtest inițial 29.08.2026; coloanele v2 LIVE sunt retrospective. Snapshot v2 nu a existat pre-match.</x:v>
      </x:c>
    </x:row>
    <x:row r="37" ht="43.5" customHeight="1">
      <x:c r="A37" s="10" t="n">
        <x:v>36</x:v>
      </x:c>
      <x:c r="B37" s="10" t="str">
        <x:v>Germania</x:v>
      </x:c>
      <x:c r="C37" s="10" t="str">
        <x:v>Bundesliga</x:v>
      </x:c>
      <x:c r="D37" s="10" t="str">
        <x:v>RB Leipzig – M'gladbach</x:v>
      </x:c>
      <x:c r="E37" s="10" t="str">
        <x:v>DA – PRUDENT</x:v>
      </x:c>
      <x:c r="F37" s="17" t="n">
        <x:v>3.0722134828931607</x:v>
      </x:c>
      <x:c r="G37" s="29" t="n">
        <x:v>0.8029866092257149</x:v>
      </x:c>
      <x:c r="H37" s="35" t="n">
        <x:v>62</x:v>
      </x:c>
      <x:c r="I37" s="10" t="str">
        <x:v>FAIL</x:v>
      </x:c>
      <x:c r="J37" s="10" t="n">
        <x:v>3</x:v>
      </x:c>
      <x:c r="K37" s="10" t="n">
        <x:v>1</x:v>
      </x:c>
      <x:c r="L37" s="10" t="n">
        <x:v>4</x:v>
      </x:c>
      <x:c r="M37" s="10" t="str">
        <x:v>UNDER</x:v>
      </x:c>
      <x:c r="N37" s="10" t="str">
        <x:v>PARIU U4,5</x:v>
      </x:c>
      <x:c r="O37" s="10" t="str">
        <x:v>SUCCES</x:v>
      </x:c>
      <x:c r="P37" s="10" t="n">
        <x:v>1</x:v>
      </x:c>
      <x:c r="Q37" s="56" t="n">
        <x:v>0.03881427614438118</x:v>
      </x:c>
      <x:c r="R37" s="17" t="n">
        <x:v>0.9277865171068393</x:v>
      </x:c>
      <x:c r="S37" s="10" t="str">
        <x:v>Succes la limită: exact 4 goluri. Pariul a câștigat, dar marja de siguranță a fost minimă; λ=3.07.</x:v>
      </x:c>
      <x:c r="T37" s="10" t="str">
        <x:v>Proxy piață 1X2 (Poisson)</x:v>
      </x:c>
      <x:c r="U37" s="10" t="str">
        <x:v>https://www.gsp.ro/rezultate-live/meciuri-29-08-2026</x:v>
      </x:c>
      <x:c r="V37" s="59" t="n">
        <x:v>46263</x:v>
      </x:c>
      <x:c r="W37" s="16" t="n">
        <x:v>2.0459962786326145</x:v>
      </x:c>
      <x:c r="X37" s="16" t="n">
        <x:v>1.0262172042605464</x:v>
      </x:c>
      <x:c r="Y37" s="9" t="str">
        <x:v>Proxy 1X2</x:v>
      </x:c>
      <x:c r="Z37" s="34"/>
      <x:c r="AA37" s="9"/>
      <x:c r="AB37" s="64" t="n">
        <x:f>IF(G37="","",MAX(0.5,MIN(0.995,G37-'Calibrare v2'!$B$20-IF(Y37="Proxy 1X2",'Calibrare v2'!$B$21,IF(Y37="Model extern contradictoriu",'Calibrare v2'!$B$22,0))-MAX(0,(IF(Z37="",'Calibrare v2'!$B$26,Z37)-'Calibrare v2'!$B$26)*'Calibrare v2'!$B$27))))</x:f>
        <x:v>0.7514412083395173</x:v>
      </x:c>
      <x:c r="AC37" s="28"/>
      <x:c r="AD37" s="69" t="n">
        <x:f>IF(H37="","",MAX(0,MIN(H37,IF(Y37="Proxy 1X2",'Calibrare v2'!$B$23,'Calibrare v2'!$B$24))-IF(AA37="DA",'Calibrare v2'!$B$25,0)-MAX(0,(IF(Z37="",'Calibrare v2'!$B$26,Z37)-'Calibrare v2'!$B$26)*'Calibrare v2'!$B$37)))</x:f>
        <x:v>60</x:v>
      </x:c>
      <x:c r="AE37" s="34"/>
      <x:c r="AF37" s="73"/>
      <x:c r="AG37" s="16"/>
      <x:c r="AH37" s="16"/>
      <x:c r="AI37" s="64"/>
      <x:c r="AJ37" s="75" t="str">
        <x:f>IF(OR(G37="",F37=""),"",IF(AND(G37&gt;='Calibrare v2'!$B$35,F37&lt;='Calibrare v2'!$B$34),"PASS","FAIL"))</x:f>
        <x:v>FAIL</x:v>
      </x:c>
      <x:c r="AK37" s="75" t="str">
        <x:f>IF(OR(AB37="",AD37="",F37=""),"",IF(AND(AB37&gt;='Calibrare v2'!$B$29,F37&lt;='Calibrare v2'!$B$33,IF(Z37="",'Calibrare v2'!$B$26,Z37)&lt;='Calibrare v2'!$B$26,AD37&gt;='Calibrare v2'!$B$31,OR(AG37="",AB37*AG37-1&gt;='Calibrare v2'!$B$36)),"DA – FEZABIL",IF(AND(AB37&gt;='Calibrare v2'!$B$30,IF(Z37="",'Calibrare v2'!$B$26,Z37)&lt;='Calibrare v2'!$B$28,AD37&gt;='Calibrare v2'!$B$32),"DA – PRUDENT","NU – NO BET")))</x:f>
        <x:v>NU – NO BET</x:v>
      </x:c>
      <x:c r="AL37" s="9"/>
      <x:c r="AM37" s="9"/>
      <x:c r="AN37" s="64"/>
      <x:c r="AO37" s="64"/>
      <x:c r="AP37" s="16"/>
      <x:c r="AQ37" s="73"/>
      <x:c r="AR37" s="9" t="str">
        <x:v>Backtest inițial 29.08.2026; coloanele v2 LIVE sunt retrospective. Snapshot v2 nu a existat pre-match.</x:v>
      </x:c>
    </x:row>
    <x:row r="38" ht="42.75" customHeight="1">
      <x:c r="A38" s="10" t="n">
        <x:v>37</x:v>
      </x:c>
      <x:c r="B38" s="10" t="str">
        <x:v>Germania</x:v>
      </x:c>
      <x:c r="C38" s="10" t="str">
        <x:v>Bundesliga</x:v>
      </x:c>
      <x:c r="D38" s="10" t="str">
        <x:v>Union Berlin – Eintracht Frankfurt</x:v>
      </x:c>
      <x:c r="E38" s="10" t="str">
        <x:v>DA – FEZABIL</x:v>
      </x:c>
      <x:c r="F38" s="17" t="n">
        <x:v>2.5855012328462075</x:v>
      </x:c>
      <x:c r="G38" s="29" t="n">
        <x:v>0.879465905750901</x:v>
      </x:c>
      <x:c r="H38" s="35" t="n">
        <x:v>62</x:v>
      </x:c>
      <x:c r="I38" s="10" t="str">
        <x:v>PASS</x:v>
      </x:c>
      <x:c r="J38" s="10" t="n">
        <x:v>3</x:v>
      </x:c>
      <x:c r="K38" s="10" t="n">
        <x:v>3</x:v>
      </x:c>
      <x:c r="L38" s="10" t="n">
        <x:v>6</x:v>
      </x:c>
      <x:c r="M38" s="10" t="str">
        <x:v>OVER</x:v>
      </x:c>
      <x:c r="N38" s="10" t="str">
        <x:v>PARIU U4,5</x:v>
      </x:c>
      <x:c r="O38" s="10" t="str">
        <x:v>EȘEC</x:v>
      </x:c>
      <x:c r="P38" s="10" t="n">
        <x:v>0</x:v>
      </x:c>
      <x:c r="Q38" s="56" t="n">
        <x:v>0.7734602793782527</x:v>
      </x:c>
      <x:c r="R38" s="17" t="n">
        <x:v>3.4144987671537925</x:v>
      </x:c>
      <x:c r="S38" s="10" t="str">
        <x:v>Eșec: 6 goluri vs λ=2.59 (abatere +3.41). Scor extrem/overdispersion: modelul Poisson simplu a subestimat coada distribuției. Estimarea λ a fost predominant proxy din 1X2, fără o piață directă U/O suficientă.</x:v>
      </x:c>
      <x:c r="T38" s="10" t="str">
        <x:v>Proxy piață 1X2 (Poisson)</x:v>
      </x:c>
      <x:c r="U38" s="10" t="str">
        <x:v>https://www.gsp.ro/rezultate-live/meciuri-29-08-2026</x:v>
      </x:c>
      <x:c r="V38" s="59" t="n">
        <x:v>46263</x:v>
      </x:c>
      <x:c r="W38" s="16" t="n">
        <x:v>1.2971559132667263</x:v>
      </x:c>
      <x:c r="X38" s="16" t="n">
        <x:v>1.2883453195794812</x:v>
      </x:c>
      <x:c r="Y38" s="9" t="str">
        <x:v>Proxy 1X2</x:v>
      </x:c>
      <x:c r="Z38" s="34"/>
      <x:c r="AA38" s="9"/>
      <x:c r="AB38" s="64" t="n">
        <x:f>IF(G38="","",MAX(0.5,MIN(0.995,G38-'Calibrare v2'!$B$20-IF(Y38="Proxy 1X2",'Calibrare v2'!$B$21,IF(Y38="Model extern contradictoriu",'Calibrare v2'!$B$22,0))-MAX(0,(IF(Z38="",'Calibrare v2'!$B$26,Z38)-'Calibrare v2'!$B$26)*'Calibrare v2'!$B$27))))</x:f>
        <x:v>0.8279205048647035</x:v>
      </x:c>
      <x:c r="AC38" s="28"/>
      <x:c r="AD38" s="69" t="n">
        <x:f>IF(H38="","",MAX(0,MIN(H38,IF(Y38="Proxy 1X2",'Calibrare v2'!$B$23,'Calibrare v2'!$B$24))-IF(AA38="DA",'Calibrare v2'!$B$25,0)-MAX(0,(IF(Z38="",'Calibrare v2'!$B$26,Z38)-'Calibrare v2'!$B$26)*'Calibrare v2'!$B$37)))</x:f>
        <x:v>60</x:v>
      </x:c>
      <x:c r="AE38" s="34"/>
      <x:c r="AF38" s="73"/>
      <x:c r="AG38" s="16"/>
      <x:c r="AH38" s="16"/>
      <x:c r="AI38" s="64"/>
      <x:c r="AJ38" s="75" t="str">
        <x:f>IF(OR(G38="",F38=""),"",IF(AND(G38&gt;='Calibrare v2'!$B$35,F38&lt;='Calibrare v2'!$B$34),"PASS","FAIL"))</x:f>
        <x:v>FAIL</x:v>
      </x:c>
      <x:c r="AK38" s="75" t="str">
        <x:f>IF(OR(AB38="",AD38="",F38=""),"",IF(AND(AB38&gt;='Calibrare v2'!$B$29,F38&lt;='Calibrare v2'!$B$33,IF(Z38="",'Calibrare v2'!$B$26,Z38)&lt;='Calibrare v2'!$B$26,AD38&gt;='Calibrare v2'!$B$31,OR(AG38="",AB38*AG38-1&gt;='Calibrare v2'!$B$36)),"DA – FEZABIL",IF(AND(AB38&gt;='Calibrare v2'!$B$30,IF(Z38="",'Calibrare v2'!$B$26,Z38)&lt;='Calibrare v2'!$B$28,AD38&gt;='Calibrare v2'!$B$32),"DA – PRUDENT","NU – NO BET")))</x:f>
        <x:v>DA – PRUDENT</x:v>
      </x:c>
      <x:c r="AL38" s="9"/>
      <x:c r="AM38" s="9"/>
      <x:c r="AN38" s="64"/>
      <x:c r="AO38" s="64"/>
      <x:c r="AP38" s="16"/>
      <x:c r="AQ38" s="73"/>
      <x:c r="AR38" s="9" t="str">
        <x:v>Backtest inițial 29.08.2026; coloanele v2 LIVE sunt retrospective. Snapshot v2 nu a existat pre-match.</x:v>
      </x:c>
    </x:row>
    <x:row r="39" ht="43.5" customHeight="1">
      <x:c r="A39" s="10" t="n">
        <x:v>38</x:v>
      </x:c>
      <x:c r="B39" s="10" t="str">
        <x:v>Germania</x:v>
      </x:c>
      <x:c r="C39" s="10" t="str">
        <x:v>Bundesliga</x:v>
      </x:c>
      <x:c r="D39" s="10" t="str">
        <x:v>Borussia Dortmund – Hamburg</x:v>
      </x:c>
      <x:c r="E39" s="10" t="str">
        <x:v>NU – EVITĂ</x:v>
      </x:c>
      <x:c r="F39" s="17" t="n">
        <x:v>3.3651159157660864</x:v>
      </x:c>
      <x:c r="G39" s="29" t="n">
        <x:v>0.7506436011425054</x:v>
      </x:c>
      <x:c r="H39" s="35" t="n">
        <x:v>62</x:v>
      </x:c>
      <x:c r="I39" s="10" t="str">
        <x:v>FAIL</x:v>
      </x:c>
      <x:c r="J39" s="10" t="n">
        <x:v>2</x:v>
      </x:c>
      <x:c r="K39" s="10" t="n">
        <x:v>0</x:v>
      </x:c>
      <x:c r="L39" s="10" t="n">
        <x:v>2</x:v>
      </x:c>
      <x:c r="M39" s="10" t="str">
        <x:v>UNDER</x:v>
      </x:c>
      <x:c r="N39" s="10" t="str">
        <x:v>NO BET</x:v>
      </x:c>
      <x:c r="O39" s="10" t="str">
        <x:v>FALS NEGATIV</x:v>
      </x:c>
      <x:c r="P39" s="10" t="n">
        <x:v>1</x:v>
      </x:c>
      <x:c r="Q39" s="56" t="n">
        <x:v>0.06217861365117794</x:v>
      </x:c>
      <x:c r="R39" s="17" t="n">
        <x:v>-1.3651159157660864</x:v>
      </x:c>
      <x:c r="S39" s="10" t="str">
        <x:v>Fals negativ: modelul a evitat pariul, dar meciul a avut doar 2 goluri. λ=3.37 a fost prea conservator pentru decizia AVOID.</x:v>
      </x:c>
      <x:c r="T39" s="10" t="str">
        <x:v>Proxy piață 1X2 (Poisson)</x:v>
      </x:c>
      <x:c r="U39" s="10" t="str">
        <x:v>https://www.gsp.ro/rezultate-live/meciuri-29-08-2026</x:v>
      </x:c>
      <x:c r="V39" s="59" t="n">
        <x:v>46263</x:v>
      </x:c>
      <x:c r="W39" s="16" t="n">
        <x:v>2.4910600048719305</x:v>
      </x:c>
      <x:c r="X39" s="16" t="n">
        <x:v>0.8740559108941561</x:v>
      </x:c>
      <x:c r="Y39" s="9" t="str">
        <x:v>Proxy 1X2</x:v>
      </x:c>
      <x:c r="Z39" s="34"/>
      <x:c r="AA39" s="9"/>
      <x:c r="AB39" s="64" t="n">
        <x:f>IF(G39="","",MAX(0.5,MIN(0.995,G39-'Calibrare v2'!$B$20-IF(Y39="Proxy 1X2",'Calibrare v2'!$B$21,IF(Y39="Model extern contradictoriu",'Calibrare v2'!$B$22,0))-MAX(0,(IF(Z39="",'Calibrare v2'!$B$26,Z39)-'Calibrare v2'!$B$26)*'Calibrare v2'!$B$27))))</x:f>
        <x:v>0.6990982002563079</x:v>
      </x:c>
      <x:c r="AC39" s="28"/>
      <x:c r="AD39" s="69" t="n">
        <x:f>IF(H39="","",MAX(0,MIN(H39,IF(Y39="Proxy 1X2",'Calibrare v2'!$B$23,'Calibrare v2'!$B$24))-IF(AA39="DA",'Calibrare v2'!$B$25,0)-MAX(0,(IF(Z39="",'Calibrare v2'!$B$26,Z39)-'Calibrare v2'!$B$26)*'Calibrare v2'!$B$37)))</x:f>
        <x:v>60</x:v>
      </x:c>
      <x:c r="AE39" s="34"/>
      <x:c r="AF39" s="73"/>
      <x:c r="AG39" s="16"/>
      <x:c r="AH39" s="16"/>
      <x:c r="AI39" s="64"/>
      <x:c r="AJ39" s="75" t="str">
        <x:f>IF(OR(G39="",F39=""),"",IF(AND(G39&gt;='Calibrare v2'!$B$35,F39&lt;='Calibrare v2'!$B$34),"PASS","FAIL"))</x:f>
        <x:v>FAIL</x:v>
      </x:c>
      <x:c r="AK39" s="75" t="str">
        <x:f>IF(OR(AB39="",AD39="",F39=""),"",IF(AND(AB39&gt;='Calibrare v2'!$B$29,F39&lt;='Calibrare v2'!$B$33,IF(Z39="",'Calibrare v2'!$B$26,Z39)&lt;='Calibrare v2'!$B$26,AD39&gt;='Calibrare v2'!$B$31,OR(AG39="",AB39*AG39-1&gt;='Calibrare v2'!$B$36)),"DA – FEZABIL",IF(AND(AB39&gt;='Calibrare v2'!$B$30,IF(Z39="",'Calibrare v2'!$B$26,Z39)&lt;='Calibrare v2'!$B$28,AD39&gt;='Calibrare v2'!$B$32),"DA – PRUDENT","NU – NO BET")))</x:f>
        <x:v>NU – NO BET</x:v>
      </x:c>
      <x:c r="AL39" s="9"/>
      <x:c r="AM39" s="9"/>
      <x:c r="AN39" s="64"/>
      <x:c r="AO39" s="64"/>
      <x:c r="AP39" s="16"/>
      <x:c r="AQ39" s="73"/>
      <x:c r="AR39" s="9" t="str">
        <x:v>Backtest inițial 29.08.2026; coloanele v2 LIVE sunt retrospective. Snapshot v2 nu a existat pre-match.</x:v>
      </x:c>
    </x:row>
    <x:row r="40" ht="42.75" customHeight="1">
      <x:c r="A40" s="10" t="n">
        <x:v>39</x:v>
      </x:c>
      <x:c r="B40" s="10" t="str">
        <x:v>Italia</x:v>
      </x:c>
      <x:c r="C40" s="10" t="str">
        <x:v>Serie A</x:v>
      </x:c>
      <x:c r="D40" s="10" t="str">
        <x:v>Fiorentina – Frosinone</x:v>
      </x:c>
      <x:c r="E40" s="10" t="str">
        <x:v>DA – FEZABIL</x:v>
      </x:c>
      <x:c r="F40" s="17" t="n">
        <x:v>2.6230745020264763</x:v>
      </x:c>
      <x:c r="G40" s="29" t="n">
        <x:v>0.8741400657653948</x:v>
      </x:c>
      <x:c r="H40" s="35" t="n">
        <x:v>62</x:v>
      </x:c>
      <x:c r="I40" s="10" t="str">
        <x:v>PASS</x:v>
      </x:c>
      <x:c r="J40" s="10" t="n">
        <x:v>0</x:v>
      </x:c>
      <x:c r="K40" s="10" t="n">
        <x:v>3</x:v>
      </x:c>
      <x:c r="L40" s="10" t="n">
        <x:v>3</x:v>
      </x:c>
      <x:c r="M40" s="10" t="str">
        <x:v>UNDER</x:v>
      </x:c>
      <x:c r="N40" s="10" t="str">
        <x:v>PARIU U4,5</x:v>
      </x:c>
      <x:c r="O40" s="10" t="str">
        <x:v>SUCCES</x:v>
      </x:c>
      <x:c r="P40" s="10" t="n">
        <x:v>1</x:v>
      </x:c>
      <x:c r="Q40" s="56" t="n">
        <x:v>0.01584072304553914</x:v>
      </x:c>
      <x:c r="R40" s="17" t="n">
        <x:v>0.3769254979735237</x:v>
      </x:c>
      <x:c r="S40" s="10" t="str">
        <x:v>Succes solid: 3 goluri, cu 1 gol(uri) sub limita de 4; λ=2.62. Riscul de coadă 5+ nu s-a materializat.</x:v>
      </x:c>
      <x:c r="T40" s="10" t="str">
        <x:v>Proxy piață 1X2 (Poisson)</x:v>
      </x:c>
      <x:c r="U40" s="10" t="str">
        <x:v>https://www.gsp.ro/rezultate-live/meciuri-29-08-2026</x:v>
      </x:c>
      <x:c r="V40" s="59" t="n">
        <x:v>46263</x:v>
      </x:c>
      <x:c r="W40" s="16" t="n">
        <x:v>1.7616400799818737</x:v>
      </x:c>
      <x:c r="X40" s="16" t="n">
        <x:v>0.8614344220446027</x:v>
      </x:c>
      <x:c r="Y40" s="9" t="str">
        <x:v>Proxy 1X2</x:v>
      </x:c>
      <x:c r="Z40" s="34"/>
      <x:c r="AA40" s="9"/>
      <x:c r="AB40" s="64" t="n">
        <x:f>IF(G40="","",MAX(0.5,MIN(0.995,G40-'Calibrare v2'!$B$20-IF(Y40="Proxy 1X2",'Calibrare v2'!$B$21,IF(Y40="Model extern contradictoriu",'Calibrare v2'!$B$22,0))-MAX(0,(IF(Z40="",'Calibrare v2'!$B$26,Z40)-'Calibrare v2'!$B$26)*'Calibrare v2'!$B$27))))</x:f>
        <x:v>0.8225946648791973</x:v>
      </x:c>
      <x:c r="AC40" s="28"/>
      <x:c r="AD40" s="69" t="n">
        <x:f>IF(H40="","",MAX(0,MIN(H40,IF(Y40="Proxy 1X2",'Calibrare v2'!$B$23,'Calibrare v2'!$B$24))-IF(AA40="DA",'Calibrare v2'!$B$25,0)-MAX(0,(IF(Z40="",'Calibrare v2'!$B$26,Z40)-'Calibrare v2'!$B$26)*'Calibrare v2'!$B$37)))</x:f>
        <x:v>60</x:v>
      </x:c>
      <x:c r="AE40" s="34"/>
      <x:c r="AF40" s="73"/>
      <x:c r="AG40" s="16"/>
      <x:c r="AH40" s="16"/>
      <x:c r="AI40" s="64"/>
      <x:c r="AJ40" s="75" t="str">
        <x:f>IF(OR(G40="",F40=""),"",IF(AND(G40&gt;='Calibrare v2'!$B$35,F40&lt;='Calibrare v2'!$B$34),"PASS","FAIL"))</x:f>
        <x:v>FAIL</x:v>
      </x:c>
      <x:c r="AK40" s="75" t="str">
        <x:f>IF(OR(AB40="",AD40="",F40=""),"",IF(AND(AB40&gt;='Calibrare v2'!$B$29,F40&lt;='Calibrare v2'!$B$33,IF(Z40="",'Calibrare v2'!$B$26,Z40)&lt;='Calibrare v2'!$B$26,AD40&gt;='Calibrare v2'!$B$31,OR(AG40="",AB40*AG40-1&gt;='Calibrare v2'!$B$36)),"DA – FEZABIL",IF(AND(AB40&gt;='Calibrare v2'!$B$30,IF(Z40="",'Calibrare v2'!$B$26,Z40)&lt;='Calibrare v2'!$B$28,AD40&gt;='Calibrare v2'!$B$32),"DA – PRUDENT","NU – NO BET")))</x:f>
        <x:v>DA – PRUDENT</x:v>
      </x:c>
      <x:c r="AL40" s="9"/>
      <x:c r="AM40" s="9"/>
      <x:c r="AN40" s="64"/>
      <x:c r="AO40" s="64"/>
      <x:c r="AP40" s="16"/>
      <x:c r="AQ40" s="73"/>
      <x:c r="AR40" s="9" t="str">
        <x:v>Backtest inițial 29.08.2026; coloanele v2 LIVE sunt retrospective. Snapshot v2 nu a existat pre-match.</x:v>
      </x:c>
    </x:row>
    <x:row r="41" ht="42.75" customHeight="1">
      <x:c r="A41" s="10" t="n">
        <x:v>40</x:v>
      </x:c>
      <x:c r="B41" s="10" t="str">
        <x:v>Italia</x:v>
      </x:c>
      <x:c r="C41" s="10" t="str">
        <x:v>Serie A</x:v>
      </x:c>
      <x:c r="D41" s="10" t="str">
        <x:v>Monza – Udinese</x:v>
      </x:c>
      <x:c r="E41" s="10" t="str">
        <x:v>DA – FEZABIL</x:v>
      </x:c>
      <x:c r="F41" s="17" t="n">
        <x:v>2.0764260762685582</x:v>
      </x:c>
      <x:c r="G41" s="29" t="n">
        <x:v>0.9401881847877224</x:v>
      </x:c>
      <x:c r="H41" s="35" t="n">
        <x:v>62</x:v>
      </x:c>
      <x:c r="I41" s="10" t="str">
        <x:v>PASS</x:v>
      </x:c>
      <x:c r="J41" s="10" t="n">
        <x:v>2</x:v>
      </x:c>
      <x:c r="K41" s="10" t="n">
        <x:v>3</x:v>
      </x:c>
      <x:c r="L41" s="10" t="n">
        <x:v>5</x:v>
      </x:c>
      <x:c r="M41" s="10" t="str">
        <x:v>OVER</x:v>
      </x:c>
      <x:c r="N41" s="10" t="str">
        <x:v>PARIU U4,5</x:v>
      </x:c>
      <x:c r="O41" s="10" t="str">
        <x:v>EȘEC</x:v>
      </x:c>
      <x:c r="P41" s="10" t="n">
        <x:v>0</x:v>
      </x:c>
      <x:c r="Q41" s="56" t="n">
        <x:v>0.8839538228144324</x:v>
      </x:c>
      <x:c r="R41" s="17" t="n">
        <x:v>2.9235739237314418</x:v>
      </x:c>
      <x:c r="S41" s="10" t="str">
        <x:v>Eșec: 5 goluri vs λ=2.08 (abatere +2.92). Eveniment de coadă la 5 goluri, insuficient penalizat de model. Estimarea λ a fost predominant proxy din 1X2, fără o piață directă U/O suficientă.</x:v>
      </x:c>
      <x:c r="T41" s="10" t="str">
        <x:v>Proxy piață 1X2 (Poisson)</x:v>
      </x:c>
      <x:c r="U41" s="10" t="str">
        <x:v>https://www.gsp.ro/rezultate-live/meciuri-29-08-2026</x:v>
      </x:c>
      <x:c r="V41" s="59" t="n">
        <x:v>46263</x:v>
      </x:c>
      <x:c r="W41" s="16" t="n">
        <x:v>0.9441405743471667</x:v>
      </x:c>
      <x:c r="X41" s="16" t="n">
        <x:v>1.1322855019213913</x:v>
      </x:c>
      <x:c r="Y41" s="9" t="str">
        <x:v>Proxy 1X2</x:v>
      </x:c>
      <x:c r="Z41" s="34"/>
      <x:c r="AA41" s="9"/>
      <x:c r="AB41" s="64" t="n">
        <x:f>IF(G41="","",MAX(0.5,MIN(0.995,G41-'Calibrare v2'!$B$20-IF(Y41="Proxy 1X2",'Calibrare v2'!$B$21,IF(Y41="Model extern contradictoriu",'Calibrare v2'!$B$22,0))-MAX(0,(IF(Z41="",'Calibrare v2'!$B$26,Z41)-'Calibrare v2'!$B$26)*'Calibrare v2'!$B$27))))</x:f>
        <x:v>0.8886427839015248</x:v>
      </x:c>
      <x:c r="AC41" s="28"/>
      <x:c r="AD41" s="69" t="n">
        <x:f>IF(H41="","",MAX(0,MIN(H41,IF(Y41="Proxy 1X2",'Calibrare v2'!$B$23,'Calibrare v2'!$B$24))-IF(AA41="DA",'Calibrare v2'!$B$25,0)-MAX(0,(IF(Z41="",'Calibrare v2'!$B$26,Z41)-'Calibrare v2'!$B$26)*'Calibrare v2'!$B$37)))</x:f>
        <x:v>60</x:v>
      </x:c>
      <x:c r="AE41" s="34"/>
      <x:c r="AF41" s="73"/>
      <x:c r="AG41" s="16"/>
      <x:c r="AH41" s="16"/>
      <x:c r="AI41" s="64"/>
      <x:c r="AJ41" s="75" t="str">
        <x:f>IF(OR(G41="",F41=""),"",IF(AND(G41&gt;='Calibrare v2'!$B$35,F41&lt;='Calibrare v2'!$B$34),"PASS","FAIL"))</x:f>
        <x:v>PASS</x:v>
      </x:c>
      <x:c r="AK41" s="75" t="str">
        <x:f>IF(OR(AB41="",AD41="",F41=""),"",IF(AND(AB41&gt;='Calibrare v2'!$B$29,F41&lt;='Calibrare v2'!$B$33,IF(Z41="",'Calibrare v2'!$B$26,Z41)&lt;='Calibrare v2'!$B$26,AD41&gt;='Calibrare v2'!$B$31,OR(AG41="",AB41*AG41-1&gt;='Calibrare v2'!$B$36)),"DA – FEZABIL",IF(AND(AB41&gt;='Calibrare v2'!$B$30,IF(Z41="",'Calibrare v2'!$B$26,Z41)&lt;='Calibrare v2'!$B$28,AD41&gt;='Calibrare v2'!$B$32),"DA – PRUDENT","NU – NO BET")))</x:f>
        <x:v>DA – PRUDENT</x:v>
      </x:c>
      <x:c r="AL41" s="9"/>
      <x:c r="AM41" s="9"/>
      <x:c r="AN41" s="64"/>
      <x:c r="AO41" s="64"/>
      <x:c r="AP41" s="16"/>
      <x:c r="AQ41" s="73"/>
      <x:c r="AR41" s="9" t="str">
        <x:v>Backtest inițial 29.08.2026; coloanele v2 LIVE sunt retrospective. Snapshot v2 nu a existat pre-match.</x:v>
      </x:c>
    </x:row>
    <x:row r="42" ht="42.75" customHeight="1">
      <x:c r="A42" s="10" t="n">
        <x:v>41</x:v>
      </x:c>
      <x:c r="B42" s="10" t="str">
        <x:v>Italia</x:v>
      </x:c>
      <x:c r="C42" s="10" t="str">
        <x:v>Serie A</x:v>
      </x:c>
      <x:c r="D42" s="10" t="str">
        <x:v>Sassuolo – Torino</x:v>
      </x:c>
      <x:c r="E42" s="10" t="str">
        <x:v>DA – FEZABIL</x:v>
      </x:c>
      <x:c r="F42" s="17" t="n">
        <x:v>2.1972629423154153</x:v>
      </x:c>
      <x:c r="G42" s="29" t="n">
        <x:v>0.9277993758964505</x:v>
      </x:c>
      <x:c r="H42" s="35" t="n">
        <x:v>62</x:v>
      </x:c>
      <x:c r="I42" s="10" t="str">
        <x:v>PASS</x:v>
      </x:c>
      <x:c r="J42" s="10" t="n">
        <x:v>2</x:v>
      </x:c>
      <x:c r="K42" s="10" t="n">
        <x:v>1</x:v>
      </x:c>
      <x:c r="L42" s="10" t="n">
        <x:v>3</x:v>
      </x:c>
      <x:c r="M42" s="10" t="str">
        <x:v>UNDER</x:v>
      </x:c>
      <x:c r="N42" s="10" t="str">
        <x:v>PARIU U4,5</x:v>
      </x:c>
      <x:c r="O42" s="10" t="str">
        <x:v>SUCCES</x:v>
      </x:c>
      <x:c r="P42" s="10" t="n">
        <x:v>1</x:v>
      </x:c>
      <x:c r="Q42" s="56" t="n">
        <x:v>0.00521293012094206</x:v>
      </x:c>
      <x:c r="R42" s="17" t="n">
        <x:v>0.8027370576845847</x:v>
      </x:c>
      <x:c r="S42" s="10" t="str">
        <x:v>Succes solid: 3 goluri, cu 1 gol(uri) sub limita de 4; λ=2.20. Riscul de coadă 5+ nu s-a materializat.</x:v>
      </x:c>
      <x:c r="T42" s="10" t="str">
        <x:v>Proxy piață 1X2 (Poisson)</x:v>
      </x:c>
      <x:c r="U42" s="10" t="str">
        <x:v>https://www.gsp.ro/rezultate-live/meciuri-29-08-2026</x:v>
      </x:c>
      <x:c r="V42" s="59" t="n">
        <x:v>46263</x:v>
      </x:c>
      <x:c r="W42" s="16" t="n">
        <x:v>1.2218370067001698</x:v>
      </x:c>
      <x:c r="X42" s="16" t="n">
        <x:v>0.9754259356152453</x:v>
      </x:c>
      <x:c r="Y42" s="9" t="str">
        <x:v>Proxy 1X2</x:v>
      </x:c>
      <x:c r="Z42" s="34"/>
      <x:c r="AA42" s="9"/>
      <x:c r="AB42" s="64" t="n">
        <x:f>IF(G42="","",MAX(0.5,MIN(0.995,G42-'Calibrare v2'!$B$20-IF(Y42="Proxy 1X2",'Calibrare v2'!$B$21,IF(Y42="Model extern contradictoriu",'Calibrare v2'!$B$22,0))-MAX(0,(IF(Z42="",'Calibrare v2'!$B$26,Z42)-'Calibrare v2'!$B$26)*'Calibrare v2'!$B$27))))</x:f>
        <x:v>0.8762539750102529</x:v>
      </x:c>
      <x:c r="AC42" s="28"/>
      <x:c r="AD42" s="69" t="n">
        <x:f>IF(H42="","",MAX(0,MIN(H42,IF(Y42="Proxy 1X2",'Calibrare v2'!$B$23,'Calibrare v2'!$B$24))-IF(AA42="DA",'Calibrare v2'!$B$25,0)-MAX(0,(IF(Z42="",'Calibrare v2'!$B$26,Z42)-'Calibrare v2'!$B$26)*'Calibrare v2'!$B$37)))</x:f>
        <x:v>60</x:v>
      </x:c>
      <x:c r="AE42" s="34"/>
      <x:c r="AF42" s="73"/>
      <x:c r="AG42" s="16"/>
      <x:c r="AH42" s="16"/>
      <x:c r="AI42" s="64"/>
      <x:c r="AJ42" s="75" t="str">
        <x:f>IF(OR(G42="",F42=""),"",IF(AND(G42&gt;='Calibrare v2'!$B$35,F42&lt;='Calibrare v2'!$B$34),"PASS","FAIL"))</x:f>
        <x:v>PASS</x:v>
      </x:c>
      <x:c r="AK42" s="75" t="str">
        <x:f>IF(OR(AB42="",AD42="",F42=""),"",IF(AND(AB42&gt;='Calibrare v2'!$B$29,F42&lt;='Calibrare v2'!$B$33,IF(Z42="",'Calibrare v2'!$B$26,Z42)&lt;='Calibrare v2'!$B$26,AD42&gt;='Calibrare v2'!$B$31,OR(AG42="",AB42*AG42-1&gt;='Calibrare v2'!$B$36)),"DA – FEZABIL",IF(AND(AB42&gt;='Calibrare v2'!$B$30,IF(Z42="",'Calibrare v2'!$B$26,Z42)&lt;='Calibrare v2'!$B$28,AD42&gt;='Calibrare v2'!$B$32),"DA – PRUDENT","NU – NO BET")))</x:f>
        <x:v>DA – PRUDENT</x:v>
      </x:c>
      <x:c r="AL42" s="9"/>
      <x:c r="AM42" s="9"/>
      <x:c r="AN42" s="64"/>
      <x:c r="AO42" s="64"/>
      <x:c r="AP42" s="16"/>
      <x:c r="AQ42" s="73"/>
      <x:c r="AR42" s="9" t="str">
        <x:v>Backtest inițial 29.08.2026; coloanele v2 LIVE sunt retrospective. Snapshot v2 nu a existat pre-match.</x:v>
      </x:c>
    </x:row>
    <x:row r="43" ht="43.5" customHeight="1">
      <x:c r="A43" s="10" t="n">
        <x:v>42</x:v>
      </x:c>
      <x:c r="B43" s="10" t="str">
        <x:v>Italia</x:v>
      </x:c>
      <x:c r="C43" s="10" t="str">
        <x:v>Serie A</x:v>
      </x:c>
      <x:c r="D43" s="10" t="str">
        <x:v>Juventus – Parma</x:v>
      </x:c>
      <x:c r="E43" s="10" t="str">
        <x:v>NU – EVITĂ</x:v>
      </x:c>
      <x:c r="F43" s="17" t="n">
        <x:v>3.159658716040076</x:v>
      </x:c>
      <x:c r="G43" s="29" t="n">
        <x:v>0.7877601350820588</x:v>
      </x:c>
      <x:c r="H43" s="35" t="n">
        <x:v>78</x:v>
      </x:c>
      <x:c r="I43" s="10" t="str">
        <x:v>FAIL</x:v>
      </x:c>
      <x:c r="J43" s="10" t="n">
        <x:v>2</x:v>
      </x:c>
      <x:c r="K43" s="10" t="n">
        <x:v>0</x:v>
      </x:c>
      <x:c r="L43" s="10" t="n">
        <x:v>2</x:v>
      </x:c>
      <x:c r="M43" s="10" t="str">
        <x:v>UNDER</x:v>
      </x:c>
      <x:c r="N43" s="10" t="str">
        <x:v>NO BET</x:v>
      </x:c>
      <x:c r="O43" s="10" t="str">
        <x:v>FALS NEGATIV</x:v>
      </x:c>
      <x:c r="P43" s="10" t="n">
        <x:v>1</x:v>
      </x:c>
      <x:c r="Q43" s="56" t="n">
        <x:v>0.04504576026038594</x:v>
      </x:c>
      <x:c r="R43" s="17" t="n">
        <x:v>-1.159658716040076</x:v>
      </x:c>
      <x:c r="S43" s="10" t="str">
        <x:v>Fals negativ: modelul a evitat pariul, dar meciul a avut doar 2 goluri. λ=3.16 a fost prea conservator pentru decizia AVOID.</x:v>
      </x:c>
      <x:c r="T43" s="10" t="str">
        <x:v>Proxy piață 1X2 (Poisson) + model U4.5 independent</x:v>
      </x:c>
      <x:c r="U43" s="10" t="str">
        <x:v>https://www.gsp.ro/rezultate-live/meciuri-29-08-2026</x:v>
      </x:c>
      <x:c r="V43" s="59" t="n">
        <x:v>46263</x:v>
      </x:c>
      <x:c r="W43" s="16" t="n">
        <x:v>2.5425975280386766</x:v>
      </x:c>
      <x:c r="X43" s="16" t="n">
        <x:v>0.6170611880013994</x:v>
      </x:c>
      <x:c r="Y43" s="9" t="str">
        <x:v>Proxy 1X2</x:v>
      </x:c>
      <x:c r="Z43" s="34"/>
      <x:c r="AA43" s="9"/>
      <x:c r="AB43" s="64" t="n">
        <x:f>IF(G43="","",MAX(0.5,MIN(0.995,G43-'Calibrare v2'!$B$20-IF(Y43="Proxy 1X2",'Calibrare v2'!$B$21,IF(Y43="Model extern contradictoriu",'Calibrare v2'!$B$22,0))-MAX(0,(IF(Z43="",'Calibrare v2'!$B$26,Z43)-'Calibrare v2'!$B$26)*'Calibrare v2'!$B$27))))</x:f>
        <x:v>0.7362147341958613</x:v>
      </x:c>
      <x:c r="AC43" s="28"/>
      <x:c r="AD43" s="69" t="n">
        <x:f>IF(H43="","",MAX(0,MIN(H43,IF(Y43="Proxy 1X2",'Calibrare v2'!$B$23,'Calibrare v2'!$B$24))-IF(AA43="DA",'Calibrare v2'!$B$25,0)-MAX(0,(IF(Z43="",'Calibrare v2'!$B$26,Z43)-'Calibrare v2'!$B$26)*'Calibrare v2'!$B$37)))</x:f>
        <x:v>60</x:v>
      </x:c>
      <x:c r="AE43" s="34"/>
      <x:c r="AF43" s="73"/>
      <x:c r="AG43" s="16"/>
      <x:c r="AH43" s="16"/>
      <x:c r="AI43" s="64"/>
      <x:c r="AJ43" s="75" t="str">
        <x:f>IF(OR(G43="",F43=""),"",IF(AND(G43&gt;='Calibrare v2'!$B$35,F43&lt;='Calibrare v2'!$B$34),"PASS","FAIL"))</x:f>
        <x:v>FAIL</x:v>
      </x:c>
      <x:c r="AK43" s="75" t="str">
        <x:f>IF(OR(AB43="",AD43="",F43=""),"",IF(AND(AB43&gt;='Calibrare v2'!$B$29,F43&lt;='Calibrare v2'!$B$33,IF(Z43="",'Calibrare v2'!$B$26,Z43)&lt;='Calibrare v2'!$B$26,AD43&gt;='Calibrare v2'!$B$31,OR(AG43="",AB43*AG43-1&gt;='Calibrare v2'!$B$36)),"DA – FEZABIL",IF(AND(AB43&gt;='Calibrare v2'!$B$30,IF(Z43="",'Calibrare v2'!$B$26,Z43)&lt;='Calibrare v2'!$B$28,AD43&gt;='Calibrare v2'!$B$32),"DA – PRUDENT","NU – NO BET")))</x:f>
        <x:v>NU – NO BET</x:v>
      </x:c>
      <x:c r="AL43" s="9"/>
      <x:c r="AM43" s="9"/>
      <x:c r="AN43" s="64"/>
      <x:c r="AO43" s="64"/>
      <x:c r="AP43" s="16"/>
      <x:c r="AQ43" s="73"/>
      <x:c r="AR43" s="9" t="str">
        <x:v>Backtest inițial 29.08.2026; coloanele v2 LIVE sunt retrospective. Snapshot v2 nu a existat pre-match.</x:v>
      </x:c>
    </x:row>
    <x:row r="44" ht="42.75" customHeight="1">
      <x:c r="A44" s="10" t="n">
        <x:v>43</x:v>
      </x:c>
      <x:c r="B44" s="10" t="str">
        <x:v>Italia</x:v>
      </x:c>
      <x:c r="C44" s="10" t="str">
        <x:v>Serie B</x:v>
      </x:c>
      <x:c r="D44" s="10" t="str">
        <x:v>Sampdoria – Juve Stabia</x:v>
      </x:c>
      <x:c r="E44" s="10" t="str">
        <x:v>DA – FEZABIL</x:v>
      </x:c>
      <x:c r="F44" s="17" t="n">
        <x:v>1.9969012462580504</x:v>
      </x:c>
      <x:c r="G44" s="29" t="n">
        <x:v>0.9476261299580092</x:v>
      </x:c>
      <x:c r="H44" s="35" t="n">
        <x:v>62</x:v>
      </x:c>
      <x:c r="I44" s="10" t="str">
        <x:v>PASS</x:v>
      </x:c>
      <x:c r="J44" s="10" t="n">
        <x:v>1</x:v>
      </x:c>
      <x:c r="K44" s="10" t="n">
        <x:v>2</x:v>
      </x:c>
      <x:c r="L44" s="10" t="n">
        <x:v>3</x:v>
      </x:c>
      <x:c r="M44" s="10" t="str">
        <x:v>UNDER</x:v>
      </x:c>
      <x:c r="N44" s="10" t="str">
        <x:v>PARIU U4,5</x:v>
      </x:c>
      <x:c r="O44" s="10" t="str">
        <x:v>SUCCES</x:v>
      </x:c>
      <x:c r="P44" s="10" t="n">
        <x:v>1</x:v>
      </x:c>
      <x:c r="Q44" s="56" t="n">
        <x:v>0.0027430222631753404</x:v>
      </x:c>
      <x:c r="R44" s="17" t="n">
        <x:v>1.0030987537419496</x:v>
      </x:c>
      <x:c r="S44" s="10" t="str">
        <x:v>Succes solid: 3 goluri, cu 1 gol(uri) sub limita de 4; λ=2.00. Riscul de coadă 5+ nu s-a materializat.</x:v>
      </x:c>
      <x:c r="T44" s="10" t="str">
        <x:v>Proxy piață 1X2 (Poisson)</x:v>
      </x:c>
      <x:c r="U44" s="10" t="str">
        <x:v>https://www.gsp.ro/rezultate-live/meciuri-29-08-2026</x:v>
      </x:c>
      <x:c r="V44" s="59" t="n">
        <x:v>46263</x:v>
      </x:c>
      <x:c r="W44" s="16" t="n">
        <x:v>1.2562806939674642</x:v>
      </x:c>
      <x:c r="X44" s="16" t="n">
        <x:v>0.7406205522905862</x:v>
      </x:c>
      <x:c r="Y44" s="9" t="str">
        <x:v>Proxy 1X2</x:v>
      </x:c>
      <x:c r="Z44" s="34"/>
      <x:c r="AA44" s="9"/>
      <x:c r="AB44" s="64" t="n">
        <x:f>IF(G44="","",MAX(0.5,MIN(0.995,G44-'Calibrare v2'!$B$20-IF(Y44="Proxy 1X2",'Calibrare v2'!$B$21,IF(Y44="Model extern contradictoriu",'Calibrare v2'!$B$22,0))-MAX(0,(IF(Z44="",'Calibrare v2'!$B$26,Z44)-'Calibrare v2'!$B$26)*'Calibrare v2'!$B$27))))</x:f>
        <x:v>0.8960807290718117</x:v>
      </x:c>
      <x:c r="AC44" s="28"/>
      <x:c r="AD44" s="69" t="n">
        <x:f>IF(H44="","",MAX(0,MIN(H44,IF(Y44="Proxy 1X2",'Calibrare v2'!$B$23,'Calibrare v2'!$B$24))-IF(AA44="DA",'Calibrare v2'!$B$25,0)-MAX(0,(IF(Z44="",'Calibrare v2'!$B$26,Z44)-'Calibrare v2'!$B$26)*'Calibrare v2'!$B$37)))</x:f>
        <x:v>60</x:v>
      </x:c>
      <x:c r="AE44" s="34"/>
      <x:c r="AF44" s="73"/>
      <x:c r="AG44" s="16"/>
      <x:c r="AH44" s="16"/>
      <x:c r="AI44" s="64"/>
      <x:c r="AJ44" s="75" t="str">
        <x:f>IF(OR(G44="",F44=""),"",IF(AND(G44&gt;='Calibrare v2'!$B$35,F44&lt;='Calibrare v2'!$B$34),"PASS","FAIL"))</x:f>
        <x:v>PASS</x:v>
      </x:c>
      <x:c r="AK44" s="75" t="str">
        <x:f>IF(OR(AB44="",AD44="",F44=""),"",IF(AND(AB44&gt;='Calibrare v2'!$B$29,F44&lt;='Calibrare v2'!$B$33,IF(Z44="",'Calibrare v2'!$B$26,Z44)&lt;='Calibrare v2'!$B$26,AD44&gt;='Calibrare v2'!$B$31,OR(AG44="",AB44*AG44-1&gt;='Calibrare v2'!$B$36)),"DA – FEZABIL",IF(AND(AB44&gt;='Calibrare v2'!$B$30,IF(Z44="",'Calibrare v2'!$B$26,Z44)&lt;='Calibrare v2'!$B$28,AD44&gt;='Calibrare v2'!$B$32),"DA – PRUDENT","NU – NO BET")))</x:f>
        <x:v>DA – PRUDENT</x:v>
      </x:c>
      <x:c r="AL44" s="9"/>
      <x:c r="AM44" s="9"/>
      <x:c r="AN44" s="64"/>
      <x:c r="AO44" s="64"/>
      <x:c r="AP44" s="16"/>
      <x:c r="AQ44" s="73"/>
      <x:c r="AR44" s="9" t="str">
        <x:v>Backtest inițial 29.08.2026; coloanele v2 LIVE sunt retrospective. Snapshot v2 nu a existat pre-match.</x:v>
      </x:c>
    </x:row>
    <x:row r="45" ht="42.75" customHeight="1">
      <x:c r="A45" s="10" t="n">
        <x:v>44</x:v>
      </x:c>
      <x:c r="B45" s="10" t="str">
        <x:v>Italia</x:v>
      </x:c>
      <x:c r="C45" s="10" t="str">
        <x:v>Serie B</x:v>
      </x:c>
      <x:c r="D45" s="10" t="str">
        <x:v>Virtus Entella – Cesena</x:v>
      </x:c>
      <x:c r="E45" s="10" t="str">
        <x:v>DA – FEZABIL</x:v>
      </x:c>
      <x:c r="F45" s="17" t="n">
        <x:v>2.1536556361567287</x:v>
      </x:c>
      <x:c r="G45" s="29" t="n">
        <x:v>0.93242059984724</x:v>
      </x:c>
      <x:c r="H45" s="35" t="n">
        <x:v>62</x:v>
      </x:c>
      <x:c r="I45" s="10" t="str">
        <x:v>PASS</x:v>
      </x:c>
      <x:c r="J45" s="10" t="n">
        <x:v>1</x:v>
      </x:c>
      <x:c r="K45" s="10" t="n">
        <x:v>2</x:v>
      </x:c>
      <x:c r="L45" s="10" t="n">
        <x:v>3</x:v>
      </x:c>
      <x:c r="M45" s="10" t="str">
        <x:v>UNDER</x:v>
      </x:c>
      <x:c r="N45" s="10" t="str">
        <x:v>PARIU U4,5</x:v>
      </x:c>
      <x:c r="O45" s="10" t="str">
        <x:v>SUCCES</x:v>
      </x:c>
      <x:c r="P45" s="10" t="n">
        <x:v>1</x:v>
      </x:c>
      <x:c r="Q45" s="56" t="n">
        <x:v>0.004566975325006856</x:v>
      </x:c>
      <x:c r="R45" s="17" t="n">
        <x:v>0.8463443638432713</x:v>
      </x:c>
      <x:c r="S45" s="10" t="str">
        <x:v>Succes solid: 3 goluri, cu 1 gol(uri) sub limita de 4; λ=2.15. Riscul de coadă 5+ nu s-a materializat.</x:v>
      </x:c>
      <x:c r="T45" s="10" t="str">
        <x:v>Proxy piață 1X2 (Poisson)</x:v>
      </x:c>
      <x:c r="U45" s="10" t="str">
        <x:v>https://www.gsp.ro/rezultate-live/meciuri-29-08-2026</x:v>
      </x:c>
      <x:c r="V45" s="59" t="n">
        <x:v>46263</x:v>
      </x:c>
      <x:c r="W45" s="16" t="n">
        <x:v>1.2091905833934</x:v>
      </x:c>
      <x:c r="X45" s="16" t="n">
        <x:v>0.9444650527633285</x:v>
      </x:c>
      <x:c r="Y45" s="9" t="str">
        <x:v>Proxy 1X2</x:v>
      </x:c>
      <x:c r="Z45" s="34"/>
      <x:c r="AA45" s="9"/>
      <x:c r="AB45" s="64" t="n">
        <x:f>IF(G45="","",MAX(0.5,MIN(0.995,G45-'Calibrare v2'!$B$20-IF(Y45="Proxy 1X2",'Calibrare v2'!$B$21,IF(Y45="Model extern contradictoriu",'Calibrare v2'!$B$22,0))-MAX(0,(IF(Z45="",'Calibrare v2'!$B$26,Z45)-'Calibrare v2'!$B$26)*'Calibrare v2'!$B$27))))</x:f>
        <x:v>0.8808751989610425</x:v>
      </x:c>
      <x:c r="AC45" s="28"/>
      <x:c r="AD45" s="69" t="n">
        <x:f>IF(H45="","",MAX(0,MIN(H45,IF(Y45="Proxy 1X2",'Calibrare v2'!$B$23,'Calibrare v2'!$B$24))-IF(AA45="DA",'Calibrare v2'!$B$25,0)-MAX(0,(IF(Z45="",'Calibrare v2'!$B$26,Z45)-'Calibrare v2'!$B$26)*'Calibrare v2'!$B$37)))</x:f>
        <x:v>60</x:v>
      </x:c>
      <x:c r="AE45" s="34"/>
      <x:c r="AF45" s="73"/>
      <x:c r="AG45" s="16"/>
      <x:c r="AH45" s="16"/>
      <x:c r="AI45" s="64"/>
      <x:c r="AJ45" s="75" t="str">
        <x:f>IF(OR(G45="",F45=""),"",IF(AND(G45&gt;='Calibrare v2'!$B$35,F45&lt;='Calibrare v2'!$B$34),"PASS","FAIL"))</x:f>
        <x:v>PASS</x:v>
      </x:c>
      <x:c r="AK45" s="75" t="str">
        <x:f>IF(OR(AB45="",AD45="",F45=""),"",IF(AND(AB45&gt;='Calibrare v2'!$B$29,F45&lt;='Calibrare v2'!$B$33,IF(Z45="",'Calibrare v2'!$B$26,Z45)&lt;='Calibrare v2'!$B$26,AD45&gt;='Calibrare v2'!$B$31,OR(AG45="",AB45*AG45-1&gt;='Calibrare v2'!$B$36)),"DA – FEZABIL",IF(AND(AB45&gt;='Calibrare v2'!$B$30,IF(Z45="",'Calibrare v2'!$B$26,Z45)&lt;='Calibrare v2'!$B$28,AD45&gt;='Calibrare v2'!$B$32),"DA – PRUDENT","NU – NO BET")))</x:f>
        <x:v>DA – PRUDENT</x:v>
      </x:c>
      <x:c r="AL45" s="9"/>
      <x:c r="AM45" s="9"/>
      <x:c r="AN45" s="64"/>
      <x:c r="AO45" s="64"/>
      <x:c r="AP45" s="16"/>
      <x:c r="AQ45" s="73"/>
      <x:c r="AR45" s="9" t="str">
        <x:v>Backtest inițial 29.08.2026; coloanele v2 LIVE sunt retrospective. Snapshot v2 nu a existat pre-match.</x:v>
      </x:c>
    </x:row>
    <x:row r="46" ht="42.75" customHeight="1">
      <x:c r="A46" s="10" t="n">
        <x:v>45</x:v>
      </x:c>
      <x:c r="B46" s="10" t="str">
        <x:v>Italia</x:v>
      </x:c>
      <x:c r="C46" s="10" t="str">
        <x:v>Serie B</x:v>
      </x:c>
      <x:c r="D46" s="10" t="str">
        <x:v>Ascoli – Carrarese</x:v>
      </x:c>
      <x:c r="E46" s="10" t="str">
        <x:v>DA – FEZABIL</x:v>
      </x:c>
      <x:c r="F46" s="17" t="n">
        <x:v>2.0174135144475094</x:v>
      </x:c>
      <x:c r="G46" s="29" t="n">
        <x:v>0.945762195133537</x:v>
      </x:c>
      <x:c r="H46" s="35" t="n">
        <x:v>62</x:v>
      </x:c>
      <x:c r="I46" s="10" t="str">
        <x:v>PASS</x:v>
      </x:c>
      <x:c r="J46" s="10" t="n">
        <x:v>1</x:v>
      </x:c>
      <x:c r="K46" s="10" t="n">
        <x:v>1</x:v>
      </x:c>
      <x:c r="L46" s="10" t="n">
        <x:v>2</x:v>
      </x:c>
      <x:c r="M46" s="10" t="str">
        <x:v>UNDER</x:v>
      </x:c>
      <x:c r="N46" s="10" t="str">
        <x:v>PARIU U4,5</x:v>
      </x:c>
      <x:c r="O46" s="10" t="str">
        <x:v>SUCCES</x:v>
      </x:c>
      <x:c r="P46" s="10" t="n">
        <x:v>1</x:v>
      </x:c>
      <x:c r="Q46" s="56" t="n">
        <x:v>0.002941739476732519</x:v>
      </x:c>
      <x:c r="R46" s="17" t="n">
        <x:v>-0.01741351444750938</x:v>
      </x:c>
      <x:c r="S46" s="10" t="str">
        <x:v>Succes solid: 2 goluri, cu 2 gol(uri) sub limita de 4; λ=2.02. Riscul de coadă 5+ nu s-a materializat.</x:v>
      </x:c>
      <x:c r="T46" s="10" t="str">
        <x:v>Proxy piață 1X2 (Poisson)</x:v>
      </x:c>
      <x:c r="U46" s="10" t="str">
        <x:v>https://www.gsp.ro/rezultate-live/meciuri-29-08-2026</x:v>
      </x:c>
      <x:c r="V46" s="59" t="n">
        <x:v>46263</x:v>
      </x:c>
      <x:c r="W46" s="16" t="n">
        <x:v>1.2452499731390743</x:v>
      </x:c>
      <x:c r="X46" s="16" t="n">
        <x:v>0.7721635413084352</x:v>
      </x:c>
      <x:c r="Y46" s="9" t="str">
        <x:v>Proxy 1X2</x:v>
      </x:c>
      <x:c r="Z46" s="34"/>
      <x:c r="AA46" s="9"/>
      <x:c r="AB46" s="64" t="n">
        <x:f>IF(G46="","",MAX(0.5,MIN(0.995,G46-'Calibrare v2'!$B$20-IF(Y46="Proxy 1X2",'Calibrare v2'!$B$21,IF(Y46="Model extern contradictoriu",'Calibrare v2'!$B$22,0))-MAX(0,(IF(Z46="",'Calibrare v2'!$B$26,Z46)-'Calibrare v2'!$B$26)*'Calibrare v2'!$B$27))))</x:f>
        <x:v>0.8942167942473395</x:v>
      </x:c>
      <x:c r="AC46" s="28"/>
      <x:c r="AD46" s="69" t="n">
        <x:f>IF(H46="","",MAX(0,MIN(H46,IF(Y46="Proxy 1X2",'Calibrare v2'!$B$23,'Calibrare v2'!$B$24))-IF(AA46="DA",'Calibrare v2'!$B$25,0)-MAX(0,(IF(Z46="",'Calibrare v2'!$B$26,Z46)-'Calibrare v2'!$B$26)*'Calibrare v2'!$B$37)))</x:f>
        <x:v>60</x:v>
      </x:c>
      <x:c r="AE46" s="34"/>
      <x:c r="AF46" s="73"/>
      <x:c r="AG46" s="16"/>
      <x:c r="AH46" s="16"/>
      <x:c r="AI46" s="64"/>
      <x:c r="AJ46" s="75" t="str">
        <x:f>IF(OR(G46="",F46=""),"",IF(AND(G46&gt;='Calibrare v2'!$B$35,F46&lt;='Calibrare v2'!$B$34),"PASS","FAIL"))</x:f>
        <x:v>PASS</x:v>
      </x:c>
      <x:c r="AK46" s="75" t="str">
        <x:f>IF(OR(AB46="",AD46="",F46=""),"",IF(AND(AB46&gt;='Calibrare v2'!$B$29,F46&lt;='Calibrare v2'!$B$33,IF(Z46="",'Calibrare v2'!$B$26,Z46)&lt;='Calibrare v2'!$B$26,AD46&gt;='Calibrare v2'!$B$31,OR(AG46="",AB46*AG46-1&gt;='Calibrare v2'!$B$36)),"DA – FEZABIL",IF(AND(AB46&gt;='Calibrare v2'!$B$30,IF(Z46="",'Calibrare v2'!$B$26,Z46)&lt;='Calibrare v2'!$B$28,AD46&gt;='Calibrare v2'!$B$32),"DA – PRUDENT","NU – NO BET")))</x:f>
        <x:v>DA – PRUDENT</x:v>
      </x:c>
      <x:c r="AL46" s="9"/>
      <x:c r="AM46" s="9"/>
      <x:c r="AN46" s="64"/>
      <x:c r="AO46" s="64"/>
      <x:c r="AP46" s="16"/>
      <x:c r="AQ46" s="73"/>
      <x:c r="AR46" s="9" t="str">
        <x:v>Backtest inițial 29.08.2026; coloanele v2 LIVE sunt retrospective. Snapshot v2 nu a existat pre-match.</x:v>
      </x:c>
    </x:row>
    <x:row r="47" ht="42.75" customHeight="1">
      <x:c r="A47" s="10" t="n">
        <x:v>46</x:v>
      </x:c>
      <x:c r="B47" s="10" t="str">
        <x:v>Italia</x:v>
      </x:c>
      <x:c r="C47" s="10" t="str">
        <x:v>Serie B</x:v>
      </x:c>
      <x:c r="D47" s="10" t="str">
        <x:v>Avellino – L.R. Vicenza</x:v>
      </x:c>
      <x:c r="E47" s="10" t="str">
        <x:v>DA – FEZABIL</x:v>
      </x:c>
      <x:c r="F47" s="17" t="n">
        <x:v>2.1152967881540143</x:v>
      </x:c>
      <x:c r="G47" s="29" t="n">
        <x:v>0.9363454701712638</x:v>
      </x:c>
      <x:c r="H47" s="35" t="n">
        <x:v>62</x:v>
      </x:c>
      <x:c r="I47" s="10" t="str">
        <x:v>PASS</x:v>
      </x:c>
      <x:c r="J47" s="10" t="n">
        <x:v>3</x:v>
      </x:c>
      <x:c r="K47" s="10" t="n">
        <x:v>0</x:v>
      </x:c>
      <x:c r="L47" s="10" t="n">
        <x:v>3</x:v>
      </x:c>
      <x:c r="M47" s="10" t="str">
        <x:v>UNDER</x:v>
      </x:c>
      <x:c r="N47" s="10" t="str">
        <x:v>PARIU U4,5</x:v>
      </x:c>
      <x:c r="O47" s="10" t="str">
        <x:v>SUCCES</x:v>
      </x:c>
      <x:c r="P47" s="10" t="n">
        <x:v>1</x:v>
      </x:c>
      <x:c r="Q47" s="56" t="n">
        <x:v>0.004051899167717468</x:v>
      </x:c>
      <x:c r="R47" s="17" t="n">
        <x:v>0.8847032118459857</x:v>
      </x:c>
      <x:c r="S47" s="10" t="str">
        <x:v>Succes solid: 3 goluri, cu 1 gol(uri) sub limita de 4; λ=2.12. Riscul de coadă 5+ nu s-a materializat.</x:v>
      </x:c>
      <x:c r="T47" s="10" t="str">
        <x:v>Proxy piață 1X2 (Poisson)</x:v>
      </x:c>
      <x:c r="U47" s="10" t="str">
        <x:v>https://www.gsp.ro/rezultate-live/meciuri-29-08-2026</x:v>
      </x:c>
      <x:c r="V47" s="59" t="n">
        <x:v>46263</x:v>
      </x:c>
      <x:c r="W47" s="16" t="n">
        <x:v>1.188411560581598</x:v>
      </x:c>
      <x:c r="X47" s="16" t="n">
        <x:v>0.9268852275724164</x:v>
      </x:c>
      <x:c r="Y47" s="9" t="str">
        <x:v>Proxy 1X2</x:v>
      </x:c>
      <x:c r="Z47" s="34"/>
      <x:c r="AA47" s="9"/>
      <x:c r="AB47" s="64" t="n">
        <x:f>IF(G47="","",MAX(0.5,MIN(0.995,G47-'Calibrare v2'!$B$20-IF(Y47="Proxy 1X2",'Calibrare v2'!$B$21,IF(Y47="Model extern contradictoriu",'Calibrare v2'!$B$22,0))-MAX(0,(IF(Z47="",'Calibrare v2'!$B$26,Z47)-'Calibrare v2'!$B$26)*'Calibrare v2'!$B$27))))</x:f>
        <x:v>0.8848000692850663</x:v>
      </x:c>
      <x:c r="AC47" s="28"/>
      <x:c r="AD47" s="69" t="n">
        <x:f>IF(H47="","",MAX(0,MIN(H47,IF(Y47="Proxy 1X2",'Calibrare v2'!$B$23,'Calibrare v2'!$B$24))-IF(AA47="DA",'Calibrare v2'!$B$25,0)-MAX(0,(IF(Z47="",'Calibrare v2'!$B$26,Z47)-'Calibrare v2'!$B$26)*'Calibrare v2'!$B$37)))</x:f>
        <x:v>60</x:v>
      </x:c>
      <x:c r="AE47" s="34"/>
      <x:c r="AF47" s="73"/>
      <x:c r="AG47" s="16"/>
      <x:c r="AH47" s="16"/>
      <x:c r="AI47" s="64"/>
      <x:c r="AJ47" s="75" t="str">
        <x:f>IF(OR(G47="",F47=""),"",IF(AND(G47&gt;='Calibrare v2'!$B$35,F47&lt;='Calibrare v2'!$B$34),"PASS","FAIL"))</x:f>
        <x:v>PASS</x:v>
      </x:c>
      <x:c r="AK47" s="75" t="str">
        <x:f>IF(OR(AB47="",AD47="",F47=""),"",IF(AND(AB47&gt;='Calibrare v2'!$B$29,F47&lt;='Calibrare v2'!$B$33,IF(Z47="",'Calibrare v2'!$B$26,Z47)&lt;='Calibrare v2'!$B$26,AD47&gt;='Calibrare v2'!$B$31,OR(AG47="",AB47*AG47-1&gt;='Calibrare v2'!$B$36)),"DA – FEZABIL",IF(AND(AB47&gt;='Calibrare v2'!$B$30,IF(Z47="",'Calibrare v2'!$B$26,Z47)&lt;='Calibrare v2'!$B$28,AD47&gt;='Calibrare v2'!$B$32),"DA – PRUDENT","NU – NO BET")))</x:f>
        <x:v>DA – PRUDENT</x:v>
      </x:c>
      <x:c r="AL47" s="9"/>
      <x:c r="AM47" s="9"/>
      <x:c r="AN47" s="64"/>
      <x:c r="AO47" s="64"/>
      <x:c r="AP47" s="16"/>
      <x:c r="AQ47" s="73"/>
      <x:c r="AR47" s="9" t="str">
        <x:v>Backtest inițial 29.08.2026; coloanele v2 LIVE sunt retrospective. Snapshot v2 nu a existat pre-match.</x:v>
      </x:c>
    </x:row>
    <x:row r="48" ht="42.75" customHeight="1">
      <x:c r="A48" s="10" t="n">
        <x:v>47</x:v>
      </x:c>
      <x:c r="B48" s="10" t="str">
        <x:v>Italia</x:v>
      </x:c>
      <x:c r="C48" s="10" t="str">
        <x:v>Serie B</x:v>
      </x:c>
      <x:c r="D48" s="10" t="str">
        <x:v>Padova – Hellas Verona</x:v>
      </x:c>
      <x:c r="E48" s="10" t="str">
        <x:v>DA – FEZABIL</x:v>
      </x:c>
      <x:c r="F48" s="17" t="n">
        <x:v>2.0435790025997345</x:v>
      </x:c>
      <x:c r="G48" s="29" t="n">
        <x:v>0.943329471973152</x:v>
      </x:c>
      <x:c r="H48" s="35" t="n">
        <x:v>62</x:v>
      </x:c>
      <x:c r="I48" s="10" t="str">
        <x:v>PASS</x:v>
      </x:c>
      <x:c r="J48" s="10" t="n">
        <x:v>1</x:v>
      </x:c>
      <x:c r="K48" s="10" t="n">
        <x:v>1</x:v>
      </x:c>
      <x:c r="L48" s="10" t="n">
        <x:v>2</x:v>
      </x:c>
      <x:c r="M48" s="10" t="str">
        <x:v>UNDER</x:v>
      </x:c>
      <x:c r="N48" s="10" t="str">
        <x:v>PARIU U4,5</x:v>
      </x:c>
      <x:c r="O48" s="10" t="str">
        <x:v>SUCCES</x:v>
      </x:c>
      <x:c r="P48" s="10" t="n">
        <x:v>1</x:v>
      </x:c>
      <x:c r="Q48" s="56" t="n">
        <x:v>0.003211548746841767</x:v>
      </x:c>
      <x:c r="R48" s="17" t="n">
        <x:v>-0.04357900259973446</x:v>
      </x:c>
      <x:c r="S48" s="10" t="str">
        <x:v>Succes solid: 2 goluri, cu 2 gol(uri) sub limita de 4; λ=2.04. Riscul de coadă 5+ nu s-a materializat.</x:v>
      </x:c>
      <x:c r="T48" s="10" t="str">
        <x:v>Proxy piață 1X2 (Poisson)</x:v>
      </x:c>
      <x:c r="U48" s="10" t="str">
        <x:v>https://www.gsp.ro/rezultate-live/meciuri-29-08-2026</x:v>
      </x:c>
      <x:c r="V48" s="59" t="n">
        <x:v>46263</x:v>
      </x:c>
      <x:c r="W48" s="16" t="n">
        <x:v>0.9663939466119892</x:v>
      </x:c>
      <x:c r="X48" s="16" t="n">
        <x:v>1.0771850559877452</x:v>
      </x:c>
      <x:c r="Y48" s="9" t="str">
        <x:v>Proxy 1X2</x:v>
      </x:c>
      <x:c r="Z48" s="34"/>
      <x:c r="AA48" s="9"/>
      <x:c r="AB48" s="64" t="n">
        <x:f>IF(G48="","",MAX(0.5,MIN(0.995,G48-'Calibrare v2'!$B$20-IF(Y48="Proxy 1X2",'Calibrare v2'!$B$21,IF(Y48="Model extern contradictoriu",'Calibrare v2'!$B$22,0))-MAX(0,(IF(Z48="",'Calibrare v2'!$B$26,Z48)-'Calibrare v2'!$B$26)*'Calibrare v2'!$B$27))))</x:f>
        <x:v>0.8917840710869545</x:v>
      </x:c>
      <x:c r="AC48" s="28"/>
      <x:c r="AD48" s="69" t="n">
        <x:f>IF(H48="","",MAX(0,MIN(H48,IF(Y48="Proxy 1X2",'Calibrare v2'!$B$23,'Calibrare v2'!$B$24))-IF(AA48="DA",'Calibrare v2'!$B$25,0)-MAX(0,(IF(Z48="",'Calibrare v2'!$B$26,Z48)-'Calibrare v2'!$B$26)*'Calibrare v2'!$B$37)))</x:f>
        <x:v>60</x:v>
      </x:c>
      <x:c r="AE48" s="34"/>
      <x:c r="AF48" s="73"/>
      <x:c r="AG48" s="16"/>
      <x:c r="AH48" s="16"/>
      <x:c r="AI48" s="64"/>
      <x:c r="AJ48" s="75" t="str">
        <x:f>IF(OR(G48="",F48=""),"",IF(AND(G48&gt;='Calibrare v2'!$B$35,F48&lt;='Calibrare v2'!$B$34),"PASS","FAIL"))</x:f>
        <x:v>PASS</x:v>
      </x:c>
      <x:c r="AK48" s="75" t="str">
        <x:f>IF(OR(AB48="",AD48="",F48=""),"",IF(AND(AB48&gt;='Calibrare v2'!$B$29,F48&lt;='Calibrare v2'!$B$33,IF(Z48="",'Calibrare v2'!$B$26,Z48)&lt;='Calibrare v2'!$B$26,AD48&gt;='Calibrare v2'!$B$31,OR(AG48="",AB48*AG48-1&gt;='Calibrare v2'!$B$36)),"DA – FEZABIL",IF(AND(AB48&gt;='Calibrare v2'!$B$30,IF(Z48="",'Calibrare v2'!$B$26,Z48)&lt;='Calibrare v2'!$B$28,AD48&gt;='Calibrare v2'!$B$32),"DA – PRUDENT","NU – NO BET")))</x:f>
        <x:v>DA – PRUDENT</x:v>
      </x:c>
      <x:c r="AL48" s="9"/>
      <x:c r="AM48" s="9"/>
      <x:c r="AN48" s="64"/>
      <x:c r="AO48" s="64"/>
      <x:c r="AP48" s="16"/>
      <x:c r="AQ48" s="73"/>
      <x:c r="AR48" s="9" t="str">
        <x:v>Backtest inițial 29.08.2026; coloanele v2 LIVE sunt retrospective. Snapshot v2 nu a existat pre-match.</x:v>
      </x:c>
    </x:row>
    <x:row r="49" ht="42.75" customHeight="1">
      <x:c r="A49" s="10" t="n">
        <x:v>48</x:v>
      </x:c>
      <x:c r="B49" s="10" t="str">
        <x:v>Polonia</x:v>
      </x:c>
      <x:c r="C49" s="10" t="str">
        <x:v>Ekstraklasa</x:v>
      </x:c>
      <x:c r="D49" s="10" t="str">
        <x:v>Radomiak – Cracovia</x:v>
      </x:c>
      <x:c r="E49" s="10" t="str">
        <x:v>DA – FEZABIL</x:v>
      </x:c>
      <x:c r="F49" s="17" t="n">
        <x:v>2.3715577593486445</x:v>
      </x:c>
      <x:c r="G49" s="29" t="n">
        <x:v>0.9076643730383118</x:v>
      </x:c>
      <x:c r="H49" s="35" t="n">
        <x:v>62</x:v>
      </x:c>
      <x:c r="I49" s="10" t="str">
        <x:v>PASS</x:v>
      </x:c>
      <x:c r="J49" s="10" t="n">
        <x:v>2</x:v>
      </x:c>
      <x:c r="K49" s="10" t="n">
        <x:v>1</x:v>
      </x:c>
      <x:c r="L49" s="10" t="n">
        <x:v>3</x:v>
      </x:c>
      <x:c r="M49" s="10" t="str">
        <x:v>UNDER</x:v>
      </x:c>
      <x:c r="N49" s="10" t="str">
        <x:v>PARIU U4,5</x:v>
      </x:c>
      <x:c r="O49" s="10" t="str">
        <x:v>SUCCES</x:v>
      </x:c>
      <x:c r="P49" s="10" t="n">
        <x:v>1</x:v>
      </x:c>
      <x:c r="Q49" s="56" t="n">
        <x:v>0.008525868006408036</x:v>
      </x:c>
      <x:c r="R49" s="17" t="n">
        <x:v>0.6284422406513555</x:v>
      </x:c>
      <x:c r="S49" s="10" t="str">
        <x:v>Succes solid: 3 goluri, cu 1 gol(uri) sub limita de 4; λ=2.37. Riscul de coadă 5+ nu s-a materializat.</x:v>
      </x:c>
      <x:c r="T49" s="10" t="str">
        <x:v>Proxy piață 1X2 (Poisson)</x:v>
      </x:c>
      <x:c r="U49" s="10" t="str">
        <x:v>https://www.gsp.ro/rezultate-live/meciuri-29-08-2026</x:v>
      </x:c>
      <x:c r="V49" s="59" t="n">
        <x:v>46263</x:v>
      </x:c>
      <x:c r="W49" s="16" t="n">
        <x:v>1.0876716911657869</x:v>
      </x:c>
      <x:c r="X49" s="16" t="n">
        <x:v>1.2838860681828579</x:v>
      </x:c>
      <x:c r="Y49" s="9" t="str">
        <x:v>Proxy 1X2</x:v>
      </x:c>
      <x:c r="Z49" s="34"/>
      <x:c r="AA49" s="9"/>
      <x:c r="AB49" s="64" t="n">
        <x:f>IF(G49="","",MAX(0.5,MIN(0.995,G49-'Calibrare v2'!$B$20-IF(Y49="Proxy 1X2",'Calibrare v2'!$B$21,IF(Y49="Model extern contradictoriu",'Calibrare v2'!$B$22,0))-MAX(0,(IF(Z49="",'Calibrare v2'!$B$26,Z49)-'Calibrare v2'!$B$26)*'Calibrare v2'!$B$27))))</x:f>
        <x:v>0.8561189721521143</x:v>
      </x:c>
      <x:c r="AC49" s="28"/>
      <x:c r="AD49" s="69" t="n">
        <x:f>IF(H49="","",MAX(0,MIN(H49,IF(Y49="Proxy 1X2",'Calibrare v2'!$B$23,'Calibrare v2'!$B$24))-IF(AA49="DA",'Calibrare v2'!$B$25,0)-MAX(0,(IF(Z49="",'Calibrare v2'!$B$26,Z49)-'Calibrare v2'!$B$26)*'Calibrare v2'!$B$37)))</x:f>
        <x:v>60</x:v>
      </x:c>
      <x:c r="AE49" s="34"/>
      <x:c r="AF49" s="73"/>
      <x:c r="AG49" s="16"/>
      <x:c r="AH49" s="16"/>
      <x:c r="AI49" s="64"/>
      <x:c r="AJ49" s="75" t="str">
        <x:f>IF(OR(G49="",F49=""),"",IF(AND(G49&gt;='Calibrare v2'!$B$35,F49&lt;='Calibrare v2'!$B$34),"PASS","FAIL"))</x:f>
        <x:v>FAIL</x:v>
      </x:c>
      <x:c r="AK49" s="75" t="str">
        <x:f>IF(OR(AB49="",AD49="",F49=""),"",IF(AND(AB49&gt;='Calibrare v2'!$B$29,F49&lt;='Calibrare v2'!$B$33,IF(Z49="",'Calibrare v2'!$B$26,Z49)&lt;='Calibrare v2'!$B$26,AD49&gt;='Calibrare v2'!$B$31,OR(AG49="",AB49*AG49-1&gt;='Calibrare v2'!$B$36)),"DA – FEZABIL",IF(AND(AB49&gt;='Calibrare v2'!$B$30,IF(Z49="",'Calibrare v2'!$B$26,Z49)&lt;='Calibrare v2'!$B$28,AD49&gt;='Calibrare v2'!$B$32),"DA – PRUDENT","NU – NO BET")))</x:f>
        <x:v>DA – PRUDENT</x:v>
      </x:c>
      <x:c r="AL49" s="9"/>
      <x:c r="AM49" s="9"/>
      <x:c r="AN49" s="64"/>
      <x:c r="AO49" s="64"/>
      <x:c r="AP49" s="16"/>
      <x:c r="AQ49" s="73"/>
      <x:c r="AR49" s="9" t="str">
        <x:v>Backtest inițial 29.08.2026; coloanele v2 LIVE sunt retrospective. Snapshot v2 nu a existat pre-match.</x:v>
      </x:c>
    </x:row>
    <x:row r="50" ht="42.75" customHeight="1">
      <x:c r="A50" s="10" t="n">
        <x:v>49</x:v>
      </x:c>
      <x:c r="B50" s="10" t="str">
        <x:v>Polonia</x:v>
      </x:c>
      <x:c r="C50" s="10" t="str">
        <x:v>Ekstraklasa</x:v>
      </x:c>
      <x:c r="D50" s="10" t="str">
        <x:v>Motor Lublin – Piast</x:v>
      </x:c>
      <x:c r="E50" s="10" t="str">
        <x:v>DA – FEZABIL</x:v>
      </x:c>
      <x:c r="F50" s="17" t="n">
        <x:v>2.497130060344487</x:v>
      </x:c>
      <x:c r="G50" s="29" t="n">
        <x:v>0.891561117991257</x:v>
      </x:c>
      <x:c r="H50" s="35" t="n">
        <x:v>62</x:v>
      </x:c>
      <x:c r="I50" s="10" t="str">
        <x:v>PASS</x:v>
      </x:c>
      <x:c r="J50" s="10" t="n">
        <x:v>0</x:v>
      </x:c>
      <x:c r="K50" s="10" t="n">
        <x:v>2</x:v>
      </x:c>
      <x:c r="L50" s="10" t="n">
        <x:v>2</x:v>
      </x:c>
      <x:c r="M50" s="10" t="str">
        <x:v>UNDER</x:v>
      </x:c>
      <x:c r="N50" s="10" t="str">
        <x:v>PARIU U4,5</x:v>
      </x:c>
      <x:c r="O50" s="10" t="str">
        <x:v>SUCCES</x:v>
      </x:c>
      <x:c r="P50" s="10" t="n">
        <x:v>1</x:v>
      </x:c>
      <x:c r="Q50" s="56" t="n">
        <x:v>0.011758991131306079</x:v>
      </x:c>
      <x:c r="R50" s="17" t="n">
        <x:v>-0.49713006034448703</x:v>
      </x:c>
      <x:c r="S50" s="10" t="str">
        <x:v>Succes solid: 2 goluri, cu 2 gol(uri) sub limita de 4; λ=2.50. Riscul de coadă 5+ nu s-a materializat.</x:v>
      </x:c>
      <x:c r="T50" s="10" t="str">
        <x:v>Proxy piață 1X2 (Poisson)</x:v>
      </x:c>
      <x:c r="U50" s="10" t="str">
        <x:v>https://www.gsp.ro/rezultate-live/meciuri-29-08-2026</x:v>
      </x:c>
      <x:c r="V50" s="59" t="n">
        <x:v>46263</x:v>
      </x:c>
      <x:c r="W50" s="16" t="n">
        <x:v>1.3075036916688052</x:v>
      </x:c>
      <x:c r="X50" s="16" t="n">
        <x:v>1.1896263686756818</x:v>
      </x:c>
      <x:c r="Y50" s="9" t="str">
        <x:v>Proxy 1X2</x:v>
      </x:c>
      <x:c r="Z50" s="34"/>
      <x:c r="AA50" s="9"/>
      <x:c r="AB50" s="64" t="n">
        <x:f>IF(G50="","",MAX(0.5,MIN(0.995,G50-'Calibrare v2'!$B$20-IF(Y50="Proxy 1X2",'Calibrare v2'!$B$21,IF(Y50="Model extern contradictoriu",'Calibrare v2'!$B$22,0))-MAX(0,(IF(Z50="",'Calibrare v2'!$B$26,Z50)-'Calibrare v2'!$B$26)*'Calibrare v2'!$B$27))))</x:f>
        <x:v>0.8400157171050595</x:v>
      </x:c>
      <x:c r="AC50" s="28"/>
      <x:c r="AD50" s="69" t="n">
        <x:f>IF(H50="","",MAX(0,MIN(H50,IF(Y50="Proxy 1X2",'Calibrare v2'!$B$23,'Calibrare v2'!$B$24))-IF(AA50="DA",'Calibrare v2'!$B$25,0)-MAX(0,(IF(Z50="",'Calibrare v2'!$B$26,Z50)-'Calibrare v2'!$B$26)*'Calibrare v2'!$B$37)))</x:f>
        <x:v>60</x:v>
      </x:c>
      <x:c r="AE50" s="34"/>
      <x:c r="AF50" s="73"/>
      <x:c r="AG50" s="16"/>
      <x:c r="AH50" s="16"/>
      <x:c r="AI50" s="64"/>
      <x:c r="AJ50" s="75" t="str">
        <x:f>IF(OR(G50="",F50=""),"",IF(AND(G50&gt;='Calibrare v2'!$B$35,F50&lt;='Calibrare v2'!$B$34),"PASS","FAIL"))</x:f>
        <x:v>FAIL</x:v>
      </x:c>
      <x:c r="AK50" s="75" t="str">
        <x:f>IF(OR(AB50="",AD50="",F50=""),"",IF(AND(AB50&gt;='Calibrare v2'!$B$29,F50&lt;='Calibrare v2'!$B$33,IF(Z50="",'Calibrare v2'!$B$26,Z50)&lt;='Calibrare v2'!$B$26,AD50&gt;='Calibrare v2'!$B$31,OR(AG50="",AB50*AG50-1&gt;='Calibrare v2'!$B$36)),"DA – FEZABIL",IF(AND(AB50&gt;='Calibrare v2'!$B$30,IF(Z50="",'Calibrare v2'!$B$26,Z50)&lt;='Calibrare v2'!$B$28,AD50&gt;='Calibrare v2'!$B$32),"DA – PRUDENT","NU – NO BET")))</x:f>
        <x:v>DA – PRUDENT</x:v>
      </x:c>
      <x:c r="AL50" s="9"/>
      <x:c r="AM50" s="9"/>
      <x:c r="AN50" s="64"/>
      <x:c r="AO50" s="64"/>
      <x:c r="AP50" s="16"/>
      <x:c r="AQ50" s="73"/>
      <x:c r="AR50" s="9" t="str">
        <x:v>Backtest inițial 29.08.2026; coloanele v2 LIVE sunt retrospective. Snapshot v2 nu a existat pre-match.</x:v>
      </x:c>
    </x:row>
    <x:row r="51" ht="43.5" customHeight="1">
      <x:c r="A51" s="10" t="n">
        <x:v>50</x:v>
      </x:c>
      <x:c r="B51" s="10" t="str">
        <x:v>Polonia</x:v>
      </x:c>
      <x:c r="C51" s="10" t="str">
        <x:v>Ekstraklasa</x:v>
      </x:c>
      <x:c r="D51" s="10" t="str">
        <x:v>Wisła Kraków – Wieczysta Kraków</x:v>
      </x:c>
      <x:c r="E51" s="10" t="str">
        <x:v>DA – PRUDENT</x:v>
      </x:c>
      <x:c r="F51" s="17" t="n">
        <x:v>2.7871748210486764</x:v>
      </x:c>
      <x:c r="G51" s="29" t="n">
        <x:v>0.8496679255710616</x:v>
      </x:c>
      <x:c r="H51" s="35" t="n">
        <x:v>62</x:v>
      </x:c>
      <x:c r="I51" s="10" t="str">
        <x:v>FAIL</x:v>
      </x:c>
      <x:c r="J51" s="10" t="n">
        <x:v>2</x:v>
      </x:c>
      <x:c r="K51" s="10" t="n">
        <x:v>0</x:v>
      </x:c>
      <x:c r="L51" s="10" t="n">
        <x:v>2</x:v>
      </x:c>
      <x:c r="M51" s="10" t="str">
        <x:v>UNDER</x:v>
      </x:c>
      <x:c r="N51" s="10" t="str">
        <x:v>PARIU U4,5</x:v>
      </x:c>
      <x:c r="O51" s="10" t="str">
        <x:v>SUCCES</x:v>
      </x:c>
      <x:c r="P51" s="10" t="n">
        <x:v>1</x:v>
      </x:c>
      <x:c r="Q51" s="56" t="n">
        <x:v>0.022599732602107864</x:v>
      </x:c>
      <x:c r="R51" s="17" t="n">
        <x:v>-0.7871748210486764</x:v>
      </x:c>
      <x:c r="S51" s="10" t="str">
        <x:v>Succes solid: 2 goluri, cu 2 gol(uri) sub limita de 4; λ=2.79. Riscul de coadă 5+ nu s-a materializat.</x:v>
      </x:c>
      <x:c r="T51" s="10" t="str">
        <x:v>Proxy piață 1X2 (Poisson)</x:v>
      </x:c>
      <x:c r="U51" s="10" t="str">
        <x:v>https://www.gsp.ro/rezultate-live/meciuri-29-08-2026</x:v>
      </x:c>
      <x:c r="V51" s="59" t="n">
        <x:v>46263</x:v>
      </x:c>
      <x:c r="W51" s="16" t="n">
        <x:v>1.6878243982337755</x:v>
      </x:c>
      <x:c r="X51" s="16" t="n">
        <x:v>1.099350422814901</x:v>
      </x:c>
      <x:c r="Y51" s="9" t="str">
        <x:v>Proxy 1X2</x:v>
      </x:c>
      <x:c r="Z51" s="34"/>
      <x:c r="AA51" s="9"/>
      <x:c r="AB51" s="64" t="n">
        <x:f>IF(G51="","",MAX(0.5,MIN(0.995,G51-'Calibrare v2'!$B$20-IF(Y51="Proxy 1X2",'Calibrare v2'!$B$21,IF(Y51="Model extern contradictoriu",'Calibrare v2'!$B$22,0))-MAX(0,(IF(Z51="",'Calibrare v2'!$B$26,Z51)-'Calibrare v2'!$B$26)*'Calibrare v2'!$B$27))))</x:f>
        <x:v>0.7981225246848641</x:v>
      </x:c>
      <x:c r="AC51" s="28"/>
      <x:c r="AD51" s="69" t="n">
        <x:f>IF(H51="","",MAX(0,MIN(H51,IF(Y51="Proxy 1X2",'Calibrare v2'!$B$23,'Calibrare v2'!$B$24))-IF(AA51="DA",'Calibrare v2'!$B$25,0)-MAX(0,(IF(Z51="",'Calibrare v2'!$B$26,Z51)-'Calibrare v2'!$B$26)*'Calibrare v2'!$B$37)))</x:f>
        <x:v>60</x:v>
      </x:c>
      <x:c r="AE51" s="34"/>
      <x:c r="AF51" s="73"/>
      <x:c r="AG51" s="16"/>
      <x:c r="AH51" s="16"/>
      <x:c r="AI51" s="64"/>
      <x:c r="AJ51" s="75" t="str">
        <x:f>IF(OR(G51="",F51=""),"",IF(AND(G51&gt;='Calibrare v2'!$B$35,F51&lt;='Calibrare v2'!$B$34),"PASS","FAIL"))</x:f>
        <x:v>FAIL</x:v>
      </x:c>
      <x:c r="AK51" s="75" t="str">
        <x:f>IF(OR(AB51="",AD51="",F51=""),"",IF(AND(AB51&gt;='Calibrare v2'!$B$29,F51&lt;='Calibrare v2'!$B$33,IF(Z51="",'Calibrare v2'!$B$26,Z51)&lt;='Calibrare v2'!$B$26,AD51&gt;='Calibrare v2'!$B$31,OR(AG51="",AB51*AG51-1&gt;='Calibrare v2'!$B$36)),"DA – FEZABIL",IF(AND(AB51&gt;='Calibrare v2'!$B$30,IF(Z51="",'Calibrare v2'!$B$26,Z51)&lt;='Calibrare v2'!$B$28,AD51&gt;='Calibrare v2'!$B$32),"DA – PRUDENT","NU – NO BET")))</x:f>
        <x:v>NU – NO BET</x:v>
      </x:c>
      <x:c r="AL51" s="9"/>
      <x:c r="AM51" s="9"/>
      <x:c r="AN51" s="64"/>
      <x:c r="AO51" s="64"/>
      <x:c r="AP51" s="16"/>
      <x:c r="AQ51" s="73"/>
      <x:c r="AR51" s="9" t="str">
        <x:v>Backtest inițial 29.08.2026; coloanele v2 LIVE sunt retrospective. Snapshot v2 nu a existat pre-match.</x:v>
      </x:c>
    </x:row>
    <x:row r="52" ht="42.75" customHeight="1">
      <x:c r="A52" s="10" t="n">
        <x:v>51</x:v>
      </x:c>
      <x:c r="B52" s="10" t="str">
        <x:v>Polonia</x:v>
      </x:c>
      <x:c r="C52" s="10" t="str">
        <x:v>Ekstraklasa</x:v>
      </x:c>
      <x:c r="D52" s="10" t="str">
        <x:v>Zagłębie Lubin – Pogoń Szczecin</x:v>
      </x:c>
      <x:c r="E52" s="10" t="str">
        <x:v>DA – FEZABIL</x:v>
      </x:c>
      <x:c r="F52" s="17" t="n">
        <x:v>2.264559027936902</x:v>
      </x:c>
      <x:c r="G52" s="29" t="n">
        <x:v>0.9203379664749495</x:v>
      </x:c>
      <x:c r="H52" s="35" t="n">
        <x:v>62</x:v>
      </x:c>
      <x:c r="I52" s="10" t="str">
        <x:v>PASS</x:v>
      </x:c>
      <x:c r="J52" s="10" t="n">
        <x:v>0</x:v>
      </x:c>
      <x:c r="K52" s="10" t="n">
        <x:v>0</x:v>
      </x:c>
      <x:c r="L52" s="10" t="n">
        <x:v>0</x:v>
      </x:c>
      <x:c r="M52" s="10" t="str">
        <x:v>UNDER</x:v>
      </x:c>
      <x:c r="N52" s="10" t="str">
        <x:v>PARIU U4,5</x:v>
      </x:c>
      <x:c r="O52" s="10" t="str">
        <x:v>SUCCES</x:v>
      </x:c>
      <x:c r="P52" s="10" t="n">
        <x:v>1</x:v>
      </x:c>
      <x:c r="Q52" s="56" t="n">
        <x:v>0.0063460395853462736</x:v>
      </x:c>
      <x:c r="R52" s="17" t="n">
        <x:v>-2.264559027936902</x:v>
      </x:c>
      <x:c r="S52" s="10" t="str">
        <x:v>Succes solid: 0 goluri, cu 4 gol(uri) sub limita de 4; λ=2.26. Riscul de coadă 5+ nu s-a materializat.</x:v>
      </x:c>
      <x:c r="T52" s="10" t="str">
        <x:v>Proxy piață 1X2 (Poisson)</x:v>
      </x:c>
      <x:c r="U52" s="10" t="str">
        <x:v>https://www.gsp.ro/rezultate-live/meciuri-29-08-2026</x:v>
      </x:c>
      <x:c r="V52" s="59" t="n">
        <x:v>46263</x:v>
      </x:c>
      <x:c r="W52" s="16" t="n">
        <x:v>1.1593620286000081</x:v>
      </x:c>
      <x:c r="X52" s="16" t="n">
        <x:v>1.1051969993368935</x:v>
      </x:c>
      <x:c r="Y52" s="9" t="str">
        <x:v>Proxy 1X2</x:v>
      </x:c>
      <x:c r="Z52" s="34"/>
      <x:c r="AA52" s="9"/>
      <x:c r="AB52" s="64" t="n">
        <x:f>IF(G52="","",MAX(0.5,MIN(0.995,G52-'Calibrare v2'!$B$20-IF(Y52="Proxy 1X2",'Calibrare v2'!$B$21,IF(Y52="Model extern contradictoriu",'Calibrare v2'!$B$22,0))-MAX(0,(IF(Z52="",'Calibrare v2'!$B$26,Z52)-'Calibrare v2'!$B$26)*'Calibrare v2'!$B$27))))</x:f>
        <x:v>0.868792565588752</x:v>
      </x:c>
      <x:c r="AC52" s="28"/>
      <x:c r="AD52" s="69" t="n">
        <x:f>IF(H52="","",MAX(0,MIN(H52,IF(Y52="Proxy 1X2",'Calibrare v2'!$B$23,'Calibrare v2'!$B$24))-IF(AA52="DA",'Calibrare v2'!$B$25,0)-MAX(0,(IF(Z52="",'Calibrare v2'!$B$26,Z52)-'Calibrare v2'!$B$26)*'Calibrare v2'!$B$37)))</x:f>
        <x:v>60</x:v>
      </x:c>
      <x:c r="AE52" s="34"/>
      <x:c r="AF52" s="73"/>
      <x:c r="AG52" s="16"/>
      <x:c r="AH52" s="16"/>
      <x:c r="AI52" s="64"/>
      <x:c r="AJ52" s="75" t="str">
        <x:f>IF(OR(G52="",F52=""),"",IF(AND(G52&gt;='Calibrare v2'!$B$35,F52&lt;='Calibrare v2'!$B$34),"PASS","FAIL"))</x:f>
        <x:v>PASS</x:v>
      </x:c>
      <x:c r="AK52" s="75" t="str">
        <x:f>IF(OR(AB52="",AD52="",F52=""),"",IF(AND(AB52&gt;='Calibrare v2'!$B$29,F52&lt;='Calibrare v2'!$B$33,IF(Z52="",'Calibrare v2'!$B$26,Z52)&lt;='Calibrare v2'!$B$26,AD52&gt;='Calibrare v2'!$B$31,OR(AG52="",AB52*AG52-1&gt;='Calibrare v2'!$B$36)),"DA – FEZABIL",IF(AND(AB52&gt;='Calibrare v2'!$B$30,IF(Z52="",'Calibrare v2'!$B$26,Z52)&lt;='Calibrare v2'!$B$28,AD52&gt;='Calibrare v2'!$B$32),"DA – PRUDENT","NU – NO BET")))</x:f>
        <x:v>DA – PRUDENT</x:v>
      </x:c>
      <x:c r="AL52" s="9"/>
      <x:c r="AM52" s="9"/>
      <x:c r="AN52" s="64"/>
      <x:c r="AO52" s="64"/>
      <x:c r="AP52" s="16"/>
      <x:c r="AQ52" s="73"/>
      <x:c r="AR52" s="9" t="str">
        <x:v>Backtest inițial 29.08.2026; coloanele v2 LIVE sunt retrospective. Snapshot v2 nu a existat pre-match.</x:v>
      </x:c>
    </x:row>
    <x:row r="53" ht="43.5" customHeight="1">
      <x:c r="A53" s="10" t="n">
        <x:v>52</x:v>
      </x:c>
      <x:c r="B53" s="10" t="str">
        <x:v>Scoția</x:v>
      </x:c>
      <x:c r="C53" s="10" t="str">
        <x:v>Premiership</x:v>
      </x:c>
      <x:c r="D53" s="10" t="str">
        <x:v>Celtic – Falkirk</x:v>
      </x:c>
      <x:c r="E53" s="10" t="str">
        <x:v>NU – EVITĂ</x:v>
      </x:c>
      <x:c r="F53" s="17" t="n">
        <x:v>3.663261217950828</x:v>
      </x:c>
      <x:c r="G53" s="29" t="n">
        <x:v>0.6943013581267131</x:v>
      </x:c>
      <x:c r="H53" s="35" t="n">
        <x:v>72</x:v>
      </x:c>
      <x:c r="I53" s="10" t="str">
        <x:v>FAIL</x:v>
      </x:c>
      <x:c r="J53" s="10" t="n">
        <x:v>2</x:v>
      </x:c>
      <x:c r="K53" s="10" t="n">
        <x:v>1</x:v>
      </x:c>
      <x:c r="L53" s="10" t="n">
        <x:v>3</x:v>
      </x:c>
      <x:c r="M53" s="10" t="str">
        <x:v>UNDER</x:v>
      </x:c>
      <x:c r="N53" s="10" t="str">
        <x:v>NO BET</x:v>
      </x:c>
      <x:c r="O53" s="10" t="str">
        <x:v>FALS NEGATIV</x:v>
      </x:c>
      <x:c r="P53" s="10" t="n">
        <x:v>1</x:v>
      </x:c>
      <x:c r="Q53" s="56" t="n">
        <x:v>0.0934516596431721</x:v>
      </x:c>
      <x:c r="R53" s="17" t="n">
        <x:v>-0.6632612179508279</x:v>
      </x:c>
      <x:c r="S53" s="10" t="str">
        <x:v>Fals negativ: modelul a evitat pariul, dar meciul a avut doar 3 goluri. λ=3.66 a fost prea conservator pentru decizia AVOID.</x:v>
      </x:c>
      <x:c r="T53" s="10" t="str">
        <x:v>Piață 1X2 + piață directă U/O 4.5</x:v>
      </x:c>
      <x:c r="U53" s="10" t="str">
        <x:v>https://spfl.co.uk/league/premiership/results/2093406</x:v>
      </x:c>
      <x:c r="V53" s="59" t="n">
        <x:v>46263</x:v>
      </x:c>
      <x:c r="W53" s="16" t="n">
        <x:v>2.8173979968977725</x:v>
      </x:c>
      <x:c r="X53" s="16" t="n">
        <x:v>0.8458632210530554</x:v>
      </x:c>
      <x:c r="Y53" s="9" t="str">
        <x:v>xG / O-U direct</x:v>
      </x:c>
      <x:c r="Z53" s="34"/>
      <x:c r="AA53" s="9"/>
      <x:c r="AB53" s="64" t="n">
        <x:f>IF(G53="","",MAX(0.5,MIN(0.995,G53-'Calibrare v2'!$B$20-IF(Y53="Proxy 1X2",'Calibrare v2'!$B$21,IF(Y53="Model extern contradictoriu",'Calibrare v2'!$B$22,0))-MAX(0,(IF(Z53="",'Calibrare v2'!$B$26,Z53)-'Calibrare v2'!$B$26)*'Calibrare v2'!$B$27))))</x:f>
        <x:v>0.6627559572405156</x:v>
      </x:c>
      <x:c r="AC53" s="28"/>
      <x:c r="AD53" s="69" t="n">
        <x:f>IF(H53="","",MAX(0,MIN(H53,IF(Y53="Proxy 1X2",'Calibrare v2'!$B$23,'Calibrare v2'!$B$24))-IF(AA53="DA",'Calibrare v2'!$B$25,0)-MAX(0,(IF(Z53="",'Calibrare v2'!$B$26,Z53)-'Calibrare v2'!$B$26)*'Calibrare v2'!$B$37)))</x:f>
        <x:v>72</x:v>
      </x:c>
      <x:c r="AE53" s="34"/>
      <x:c r="AF53" s="73"/>
      <x:c r="AG53" s="16"/>
      <x:c r="AH53" s="16"/>
      <x:c r="AI53" s="64"/>
      <x:c r="AJ53" s="75" t="str">
        <x:f>IF(OR(G53="",F53=""),"",IF(AND(G53&gt;='Calibrare v2'!$B$35,F53&lt;='Calibrare v2'!$B$34),"PASS","FAIL"))</x:f>
        <x:v>FAIL</x:v>
      </x:c>
      <x:c r="AK53" s="75" t="str">
        <x:f>IF(OR(AB53="",AD53="",F53=""),"",IF(AND(AB53&gt;='Calibrare v2'!$B$29,F53&lt;='Calibrare v2'!$B$33,IF(Z53="",'Calibrare v2'!$B$26,Z53)&lt;='Calibrare v2'!$B$26,AD53&gt;='Calibrare v2'!$B$31,OR(AG53="",AB53*AG53-1&gt;='Calibrare v2'!$B$36)),"DA – FEZABIL",IF(AND(AB53&gt;='Calibrare v2'!$B$30,IF(Z53="",'Calibrare v2'!$B$26,Z53)&lt;='Calibrare v2'!$B$28,AD53&gt;='Calibrare v2'!$B$32),"DA – PRUDENT","NU – NO BET")))</x:f>
        <x:v>NU – NO BET</x:v>
      </x:c>
      <x:c r="AL53" s="9"/>
      <x:c r="AM53" s="9"/>
      <x:c r="AN53" s="64"/>
      <x:c r="AO53" s="64"/>
      <x:c r="AP53" s="16"/>
      <x:c r="AQ53" s="73"/>
      <x:c r="AR53" s="9" t="str">
        <x:v>Backtest inițial 29.08.2026; coloanele v2 LIVE sunt retrospective. Snapshot v2 nu a existat pre-match.</x:v>
      </x:c>
    </x:row>
    <x:row r="54" ht="42.75" customHeight="1">
      <x:c r="A54" s="10" t="n">
        <x:v>53</x:v>
      </x:c>
      <x:c r="B54" s="10" t="str">
        <x:v>Scoția</x:v>
      </x:c>
      <x:c r="C54" s="10" t="str">
        <x:v>Premiership</x:v>
      </x:c>
      <x:c r="D54" s="10" t="str">
        <x:v>Hearts – St Johnstone</x:v>
      </x:c>
      <x:c r="E54" s="10" t="str">
        <x:v>DA – FEZABIL</x:v>
      </x:c>
      <x:c r="F54" s="17" t="n">
        <x:v>2.620733481464629</x:v>
      </x:c>
      <x:c r="G54" s="29" t="n">
        <x:v>0.8744750178303624</x:v>
      </x:c>
      <x:c r="H54" s="35" t="n">
        <x:v>62</x:v>
      </x:c>
      <x:c r="I54" s="10" t="str">
        <x:v>PASS</x:v>
      </x:c>
      <x:c r="J54" s="10" t="n">
        <x:v>2</x:v>
      </x:c>
      <x:c r="K54" s="10" t="n">
        <x:v>1</x:v>
      </x:c>
      <x:c r="L54" s="10" t="n">
        <x:v>3</x:v>
      </x:c>
      <x:c r="M54" s="10" t="str">
        <x:v>UNDER</x:v>
      </x:c>
      <x:c r="N54" s="10" t="str">
        <x:v>PARIU U4,5</x:v>
      </x:c>
      <x:c r="O54" s="10" t="str">
        <x:v>SUCCES</x:v>
      </x:c>
      <x:c r="P54" s="10" t="n">
        <x:v>1</x:v>
      </x:c>
      <x:c r="Q54" s="56" t="n">
        <x:v>0.015756521148687835</x:v>
      </x:c>
      <x:c r="R54" s="17" t="n">
        <x:v>0.37926651853537097</x:v>
      </x:c>
      <x:c r="S54" s="10" t="str">
        <x:v>Succes solid: 3 goluri, cu 1 gol(uri) sub limita de 4; λ=2.62. Riscul de coadă 5+ nu s-a materializat.</x:v>
      </x:c>
      <x:c r="T54" s="10" t="str">
        <x:v>Proxy piață 1X2 (Poisson)</x:v>
      </x:c>
      <x:c r="U54" s="10" t="str">
        <x:v>https://spfl.co.uk/league/premiership/results/2093406</x:v>
      </x:c>
      <x:c r="V54" s="59" t="n">
        <x:v>46263</x:v>
      </x:c>
      <x:c r="W54" s="16" t="n">
        <x:v>1.6835477103184635</x:v>
      </x:c>
      <x:c r="X54" s="16" t="n">
        <x:v>0.9371857711461655</x:v>
      </x:c>
      <x:c r="Y54" s="9" t="str">
        <x:v>Proxy 1X2</x:v>
      </x:c>
      <x:c r="Z54" s="34"/>
      <x:c r="AA54" s="9"/>
      <x:c r="AB54" s="64" t="n">
        <x:f>IF(G54="","",MAX(0.5,MIN(0.995,G54-'Calibrare v2'!$B$20-IF(Y54="Proxy 1X2",'Calibrare v2'!$B$21,IF(Y54="Model extern contradictoriu",'Calibrare v2'!$B$22,0))-MAX(0,(IF(Z54="",'Calibrare v2'!$B$26,Z54)-'Calibrare v2'!$B$26)*'Calibrare v2'!$B$27))))</x:f>
        <x:v>0.8229296169441649</x:v>
      </x:c>
      <x:c r="AC54" s="28"/>
      <x:c r="AD54" s="69" t="n">
        <x:f>IF(H54="","",MAX(0,MIN(H54,IF(Y54="Proxy 1X2",'Calibrare v2'!$B$23,'Calibrare v2'!$B$24))-IF(AA54="DA",'Calibrare v2'!$B$25,0)-MAX(0,(IF(Z54="",'Calibrare v2'!$B$26,Z54)-'Calibrare v2'!$B$26)*'Calibrare v2'!$B$37)))</x:f>
        <x:v>60</x:v>
      </x:c>
      <x:c r="AE54" s="34"/>
      <x:c r="AF54" s="73"/>
      <x:c r="AG54" s="16"/>
      <x:c r="AH54" s="16"/>
      <x:c r="AI54" s="64"/>
      <x:c r="AJ54" s="75" t="str">
        <x:f>IF(OR(G54="",F54=""),"",IF(AND(G54&gt;='Calibrare v2'!$B$35,F54&lt;='Calibrare v2'!$B$34),"PASS","FAIL"))</x:f>
        <x:v>FAIL</x:v>
      </x:c>
      <x:c r="AK54" s="75" t="str">
        <x:f>IF(OR(AB54="",AD54="",F54=""),"",IF(AND(AB54&gt;='Calibrare v2'!$B$29,F54&lt;='Calibrare v2'!$B$33,IF(Z54="",'Calibrare v2'!$B$26,Z54)&lt;='Calibrare v2'!$B$26,AD54&gt;='Calibrare v2'!$B$31,OR(AG54="",AB54*AG54-1&gt;='Calibrare v2'!$B$36)),"DA – FEZABIL",IF(AND(AB54&gt;='Calibrare v2'!$B$30,IF(Z54="",'Calibrare v2'!$B$26,Z54)&lt;='Calibrare v2'!$B$28,AD54&gt;='Calibrare v2'!$B$32),"DA – PRUDENT","NU – NO BET")))</x:f>
        <x:v>DA – PRUDENT</x:v>
      </x:c>
      <x:c r="AL54" s="9"/>
      <x:c r="AM54" s="9"/>
      <x:c r="AN54" s="64"/>
      <x:c r="AO54" s="64"/>
      <x:c r="AP54" s="16"/>
      <x:c r="AQ54" s="73"/>
      <x:c r="AR54" s="9" t="str">
        <x:v>Backtest inițial 29.08.2026; coloanele v2 LIVE sunt retrospective. Snapshot v2 nu a existat pre-match.</x:v>
      </x:c>
    </x:row>
    <x:row r="55" ht="42.75" customHeight="1">
      <x:c r="A55" s="10" t="n">
        <x:v>54</x:v>
      </x:c>
      <x:c r="B55" s="10" t="str">
        <x:v>Scoția</x:v>
      </x:c>
      <x:c r="C55" s="10" t="str">
        <x:v>Premiership</x:v>
      </x:c>
      <x:c r="D55" s="10" t="str">
        <x:v>Kilmarnock – Dundee United</x:v>
      </x:c>
      <x:c r="E55" s="10" t="str">
        <x:v>DA – FEZABIL</x:v>
      </x:c>
      <x:c r="F55" s="17" t="n">
        <x:v>2.48474184311688</x:v>
      </x:c>
      <x:c r="G55" s="29" t="n">
        <x:v>0.8932071842175326</x:v>
      </x:c>
      <x:c r="H55" s="35" t="n">
        <x:v>62</x:v>
      </x:c>
      <x:c r="I55" s="10" t="str">
        <x:v>PASS</x:v>
      </x:c>
      <x:c r="J55" s="10" t="n">
        <x:v>0</x:v>
      </x:c>
      <x:c r="K55" s="10" t="n">
        <x:v>4</x:v>
      </x:c>
      <x:c r="L55" s="10" t="n">
        <x:v>4</x:v>
      </x:c>
      <x:c r="M55" s="10" t="str">
        <x:v>UNDER</x:v>
      </x:c>
      <x:c r="N55" s="10" t="str">
        <x:v>PARIU U4,5</x:v>
      </x:c>
      <x:c r="O55" s="10" t="str">
        <x:v>SUCCES</x:v>
      </x:c>
      <x:c r="P55" s="10" t="n">
        <x:v>1</x:v>
      </x:c>
      <x:c r="Q55" s="56" t="n">
        <x:v>0.01140470550274801</x:v>
      </x:c>
      <x:c r="R55" s="17" t="n">
        <x:v>1.51525815688312</x:v>
      </x:c>
      <x:c r="S55" s="10" t="str">
        <x:v>Succes la limită: exact 4 goluri. Pariul a câștigat, dar marja de siguranță a fost minimă; λ=2.48.</x:v>
      </x:c>
      <x:c r="T55" s="10" t="str">
        <x:v>Proxy piață 1X2 (Poisson)</x:v>
      </x:c>
      <x:c r="U55" s="10" t="str">
        <x:v>https://spfl.co.uk/league/premiership/results/2093406</x:v>
      </x:c>
      <x:c r="V55" s="59" t="n">
        <x:v>46263</x:v>
      </x:c>
      <x:c r="W55" s="16" t="n">
        <x:v>1.2899949318991129</x:v>
      </x:c>
      <x:c r="X55" s="16" t="n">
        <x:v>1.1947469112177673</x:v>
      </x:c>
      <x:c r="Y55" s="9" t="str">
        <x:v>Proxy 1X2</x:v>
      </x:c>
      <x:c r="Z55" s="34"/>
      <x:c r="AA55" s="9"/>
      <x:c r="AB55" s="64" t="n">
        <x:f>IF(G55="","",MAX(0.5,MIN(0.995,G55-'Calibrare v2'!$B$20-IF(Y55="Proxy 1X2",'Calibrare v2'!$B$21,IF(Y55="Model extern contradictoriu",'Calibrare v2'!$B$22,0))-MAX(0,(IF(Z55="",'Calibrare v2'!$B$26,Z55)-'Calibrare v2'!$B$26)*'Calibrare v2'!$B$27))))</x:f>
        <x:v>0.8416617833313351</x:v>
      </x:c>
      <x:c r="AC55" s="28"/>
      <x:c r="AD55" s="69" t="n">
        <x:f>IF(H55="","",MAX(0,MIN(H55,IF(Y55="Proxy 1X2",'Calibrare v2'!$B$23,'Calibrare v2'!$B$24))-IF(AA55="DA",'Calibrare v2'!$B$25,0)-MAX(0,(IF(Z55="",'Calibrare v2'!$B$26,Z55)-'Calibrare v2'!$B$26)*'Calibrare v2'!$B$37)))</x:f>
        <x:v>60</x:v>
      </x:c>
      <x:c r="AE55" s="34"/>
      <x:c r="AF55" s="73"/>
      <x:c r="AG55" s="16"/>
      <x:c r="AH55" s="16"/>
      <x:c r="AI55" s="64"/>
      <x:c r="AJ55" s="75" t="str">
        <x:f>IF(OR(G55="",F55=""),"",IF(AND(G55&gt;='Calibrare v2'!$B$35,F55&lt;='Calibrare v2'!$B$34),"PASS","FAIL"))</x:f>
        <x:v>FAIL</x:v>
      </x:c>
      <x:c r="AK55" s="75" t="str">
        <x:f>IF(OR(AB55="",AD55="",F55=""),"",IF(AND(AB55&gt;='Calibrare v2'!$B$29,F55&lt;='Calibrare v2'!$B$33,IF(Z55="",'Calibrare v2'!$B$26,Z55)&lt;='Calibrare v2'!$B$26,AD55&gt;='Calibrare v2'!$B$31,OR(AG55="",AB55*AG55-1&gt;='Calibrare v2'!$B$36)),"DA – FEZABIL",IF(AND(AB55&gt;='Calibrare v2'!$B$30,IF(Z55="",'Calibrare v2'!$B$26,Z55)&lt;='Calibrare v2'!$B$28,AD55&gt;='Calibrare v2'!$B$32),"DA – PRUDENT","NU – NO BET")))</x:f>
        <x:v>DA – PRUDENT</x:v>
      </x:c>
      <x:c r="AL55" s="9"/>
      <x:c r="AM55" s="9"/>
      <x:c r="AN55" s="64"/>
      <x:c r="AO55" s="64"/>
      <x:c r="AP55" s="16"/>
      <x:c r="AQ55" s="73"/>
      <x:c r="AR55" s="9" t="str">
        <x:v>Backtest inițial 29.08.2026; coloanele v2 LIVE sunt retrospective. Snapshot v2 nu a existat pre-match.</x:v>
      </x:c>
    </x:row>
    <x:row r="56" ht="43.5" customHeight="1">
      <x:c r="A56" s="10" t="n">
        <x:v>55</x:v>
      </x:c>
      <x:c r="B56" s="10" t="str">
        <x:v>Cehia</x:v>
      </x:c>
      <x:c r="C56" s="10" t="str">
        <x:v>1. Liga</x:v>
      </x:c>
      <x:c r="D56" s="10" t="str">
        <x:v>Pardubice – SK Artis Brno</x:v>
      </x:c>
      <x:c r="E56" s="10" t="str">
        <x:v>DA – PRUDENT</x:v>
      </x:c>
      <x:c r="F56" s="17" t="n">
        <x:v>2.7389267567977744</x:v>
      </x:c>
      <x:c r="G56" s="29" t="n">
        <x:v>0.857061131193114</x:v>
      </x:c>
      <x:c r="H56" s="35" t="n">
        <x:v>62</x:v>
      </x:c>
      <x:c r="I56" s="10" t="str">
        <x:v>FAIL</x:v>
      </x:c>
      <x:c r="J56" s="10" t="n">
        <x:v>1</x:v>
      </x:c>
      <x:c r="K56" s="10" t="n">
        <x:v>2</x:v>
      </x:c>
      <x:c r="L56" s="10" t="n">
        <x:v>3</x:v>
      </x:c>
      <x:c r="M56" s="10" t="str">
        <x:v>UNDER</x:v>
      </x:c>
      <x:c r="N56" s="10" t="str">
        <x:v>PARIU U4,5</x:v>
      </x:c>
      <x:c r="O56" s="10" t="str">
        <x:v>SUCCES</x:v>
      </x:c>
      <x:c r="P56" s="10" t="n">
        <x:v>1</x:v>
      </x:c>
      <x:c r="Q56" s="56" t="n">
        <x:v>0.020431520215792167</x:v>
      </x:c>
      <x:c r="R56" s="17" t="n">
        <x:v>0.2610732432022256</x:v>
      </x:c>
      <x:c r="S56" s="10" t="str">
        <x:v>Succes solid: 3 goluri, cu 1 gol(uri) sub limita de 4; λ=2.74. Riscul de coadă 5+ nu s-a materializat.</x:v>
      </x:c>
      <x:c r="T56" s="10" t="str">
        <x:v>Proxy piață 1X2 (Poisson)</x:v>
      </x:c>
      <x:c r="U56" s="10" t="str">
        <x:v>https://www.gsp.ro/rezultate-live/meciuri-29-08-2026</x:v>
      </x:c>
      <x:c r="V56" s="59" t="n">
        <x:v>46263</x:v>
      </x:c>
      <x:c r="W56" s="16" t="n">
        <x:v>1.9786918493123553</x:v>
      </x:c>
      <x:c r="X56" s="16" t="n">
        <x:v>0.760234907485419</x:v>
      </x:c>
      <x:c r="Y56" s="9" t="str">
        <x:v>Proxy 1X2</x:v>
      </x:c>
      <x:c r="Z56" s="34"/>
      <x:c r="AA56" s="9"/>
      <x:c r="AB56" s="64" t="n">
        <x:f>IF(G56="","",MAX(0.5,MIN(0.995,G56-'Calibrare v2'!$B$20-IF(Y56="Proxy 1X2",'Calibrare v2'!$B$21,IF(Y56="Model extern contradictoriu",'Calibrare v2'!$B$22,0))-MAX(0,(IF(Z56="",'Calibrare v2'!$B$26,Z56)-'Calibrare v2'!$B$26)*'Calibrare v2'!$B$27))))</x:f>
        <x:v>0.8055157303069165</x:v>
      </x:c>
      <x:c r="AC56" s="28"/>
      <x:c r="AD56" s="69" t="n">
        <x:f>IF(H56="","",MAX(0,MIN(H56,IF(Y56="Proxy 1X2",'Calibrare v2'!$B$23,'Calibrare v2'!$B$24))-IF(AA56="DA",'Calibrare v2'!$B$25,0)-MAX(0,(IF(Z56="",'Calibrare v2'!$B$26,Z56)-'Calibrare v2'!$B$26)*'Calibrare v2'!$B$37)))</x:f>
        <x:v>60</x:v>
      </x:c>
      <x:c r="AE56" s="34"/>
      <x:c r="AF56" s="73"/>
      <x:c r="AG56" s="16"/>
      <x:c r="AH56" s="16"/>
      <x:c r="AI56" s="64"/>
      <x:c r="AJ56" s="75" t="str">
        <x:f>IF(OR(G56="",F56=""),"",IF(AND(G56&gt;='Calibrare v2'!$B$35,F56&lt;='Calibrare v2'!$B$34),"PASS","FAIL"))</x:f>
        <x:v>FAIL</x:v>
      </x:c>
      <x:c r="AK56" s="75" t="str">
        <x:f>IF(OR(AB56="",AD56="",F56=""),"",IF(AND(AB56&gt;='Calibrare v2'!$B$29,F56&lt;='Calibrare v2'!$B$33,IF(Z56="",'Calibrare v2'!$B$26,Z56)&lt;='Calibrare v2'!$B$26,AD56&gt;='Calibrare v2'!$B$31,OR(AG56="",AB56*AG56-1&gt;='Calibrare v2'!$B$36)),"DA – FEZABIL",IF(AND(AB56&gt;='Calibrare v2'!$B$30,IF(Z56="",'Calibrare v2'!$B$26,Z56)&lt;='Calibrare v2'!$B$28,AD56&gt;='Calibrare v2'!$B$32),"DA – PRUDENT","NU – NO BET")))</x:f>
        <x:v>NU – NO BET</x:v>
      </x:c>
      <x:c r="AL56" s="9"/>
      <x:c r="AM56" s="9"/>
      <x:c r="AN56" s="64"/>
      <x:c r="AO56" s="64"/>
      <x:c r="AP56" s="16"/>
      <x:c r="AQ56" s="73"/>
      <x:c r="AR56" s="9" t="str">
        <x:v>Backtest inițial 29.08.2026; coloanele v2 LIVE sunt retrospective. Snapshot v2 nu a existat pre-match.</x:v>
      </x:c>
    </x:row>
    <x:row r="57" ht="42.75" customHeight="1">
      <x:c r="A57" s="10" t="n">
        <x:v>56</x:v>
      </x:c>
      <x:c r="B57" s="10" t="str">
        <x:v>Cehia</x:v>
      </x:c>
      <x:c r="C57" s="10" t="str">
        <x:v>1. Liga</x:v>
      </x:c>
      <x:c r="D57" s="10" t="str">
        <x:v>Zbrojovka Brno – Zlín</x:v>
      </x:c>
      <x:c r="E57" s="10" t="str">
        <x:v>DA – FEZABIL</x:v>
      </x:c>
      <x:c r="F57" s="17" t="n">
        <x:v>2.4708559713225355</x:v>
      </x:c>
      <x:c r="G57" s="29" t="n">
        <x:v>0.8950375200782462</x:v>
      </x:c>
      <x:c r="H57" s="35" t="n">
        <x:v>62</x:v>
      </x:c>
      <x:c r="I57" s="10" t="str">
        <x:v>PASS</x:v>
      </x:c>
      <x:c r="J57" s="10" t="n">
        <x:v>3</x:v>
      </x:c>
      <x:c r="K57" s="10" t="n">
        <x:v>2</x:v>
      </x:c>
      <x:c r="L57" s="10" t="n">
        <x:v>5</x:v>
      </x:c>
      <x:c r="M57" s="10" t="str">
        <x:v>OVER</x:v>
      </x:c>
      <x:c r="N57" s="10" t="str">
        <x:v>PARIU U4,5</x:v>
      </x:c>
      <x:c r="O57" s="10" t="str">
        <x:v>EȘEC</x:v>
      </x:c>
      <x:c r="P57" s="10" t="n">
        <x:v>0</x:v>
      </x:c>
      <x:c r="Q57" s="56" t="n">
        <x:v>0.801092162347817</x:v>
      </x:c>
      <x:c r="R57" s="17" t="n">
        <x:v>2.5291440286774645</x:v>
      </x:c>
      <x:c r="S57" s="10" t="str">
        <x:v>Eșec: 5 goluri vs λ=2.47 (abatere +2.53). Eveniment de coadă la 5 goluri, insuficient penalizat de model. Estimarea λ a fost predominant proxy din 1X2, fără o piață directă U/O suficientă.</x:v>
      </x:c>
      <x:c r="T57" s="10" t="str">
        <x:v>Proxy piață 1X2 (Poisson)</x:v>
      </x:c>
      <x:c r="U57" s="10" t="str">
        <x:v>https://www.gsp.ro/rezultate-live/meciuri-29-08-2026</x:v>
      </x:c>
      <x:c r="V57" s="59" t="n">
        <x:v>46263</x:v>
      </x:c>
      <x:c r="W57" s="16" t="n">
        <x:v>1.6706649200072283</x:v>
      </x:c>
      <x:c r="X57" s="16" t="n">
        <x:v>0.8001910513153074</x:v>
      </x:c>
      <x:c r="Y57" s="9" t="str">
        <x:v>Proxy 1X2</x:v>
      </x:c>
      <x:c r="Z57" s="34"/>
      <x:c r="AA57" s="9"/>
      <x:c r="AB57" s="64" t="n">
        <x:f>IF(G57="","",MAX(0.5,MIN(0.995,G57-'Calibrare v2'!$B$20-IF(Y57="Proxy 1X2",'Calibrare v2'!$B$21,IF(Y57="Model extern contradictoriu",'Calibrare v2'!$B$22,0))-MAX(0,(IF(Z57="",'Calibrare v2'!$B$26,Z57)-'Calibrare v2'!$B$26)*'Calibrare v2'!$B$27))))</x:f>
        <x:v>0.8434921191920487</x:v>
      </x:c>
      <x:c r="AC57" s="28"/>
      <x:c r="AD57" s="69" t="n">
        <x:f>IF(H57="","",MAX(0,MIN(H57,IF(Y57="Proxy 1X2",'Calibrare v2'!$B$23,'Calibrare v2'!$B$24))-IF(AA57="DA",'Calibrare v2'!$B$25,0)-MAX(0,(IF(Z57="",'Calibrare v2'!$B$26,Z57)-'Calibrare v2'!$B$26)*'Calibrare v2'!$B$37)))</x:f>
        <x:v>60</x:v>
      </x:c>
      <x:c r="AE57" s="34"/>
      <x:c r="AF57" s="73"/>
      <x:c r="AG57" s="16"/>
      <x:c r="AH57" s="16"/>
      <x:c r="AI57" s="64"/>
      <x:c r="AJ57" s="75" t="str">
        <x:f>IF(OR(G57="",F57=""),"",IF(AND(G57&gt;='Calibrare v2'!$B$35,F57&lt;='Calibrare v2'!$B$34),"PASS","FAIL"))</x:f>
        <x:v>FAIL</x:v>
      </x:c>
      <x:c r="AK57" s="75" t="str">
        <x:f>IF(OR(AB57="",AD57="",F57=""),"",IF(AND(AB57&gt;='Calibrare v2'!$B$29,F57&lt;='Calibrare v2'!$B$33,IF(Z57="",'Calibrare v2'!$B$26,Z57)&lt;='Calibrare v2'!$B$26,AD57&gt;='Calibrare v2'!$B$31,OR(AG57="",AB57*AG57-1&gt;='Calibrare v2'!$B$36)),"DA – FEZABIL",IF(AND(AB57&gt;='Calibrare v2'!$B$30,IF(Z57="",'Calibrare v2'!$B$26,Z57)&lt;='Calibrare v2'!$B$28,AD57&gt;='Calibrare v2'!$B$32),"DA – PRUDENT","NU – NO BET")))</x:f>
        <x:v>DA – PRUDENT</x:v>
      </x:c>
      <x:c r="AL57" s="9"/>
      <x:c r="AM57" s="9"/>
      <x:c r="AN57" s="64"/>
      <x:c r="AO57" s="64"/>
      <x:c r="AP57" s="16"/>
      <x:c r="AQ57" s="73"/>
      <x:c r="AR57" s="9" t="str">
        <x:v>Backtest inițial 29.08.2026; coloanele v2 LIVE sunt retrospective. Snapshot v2 nu a existat pre-match.</x:v>
      </x:c>
    </x:row>
    <x:row r="58" ht="42.75" customHeight="1">
      <x:c r="A58" s="10" t="n">
        <x:v>57</x:v>
      </x:c>
      <x:c r="B58" s="10" t="str">
        <x:v>Cehia</x:v>
      </x:c>
      <x:c r="C58" s="10" t="str">
        <x:v>1. Liga</x:v>
      </x:c>
      <x:c r="D58" s="10" t="str">
        <x:v>Baník Ostrava – Sigma Olomouc</x:v>
      </x:c>
      <x:c r="E58" s="10" t="str">
        <x:v>DA – FEZABIL</x:v>
      </x:c>
      <x:c r="F58" s="17" t="n">
        <x:v>2.379156275970832</x:v>
      </x:c>
      <x:c r="G58" s="29" t="n">
        <x:v>0.9067271812960798</x:v>
      </x:c>
      <x:c r="H58" s="35" t="n">
        <x:v>62</x:v>
      </x:c>
      <x:c r="I58" s="10" t="str">
        <x:v>PASS</x:v>
      </x:c>
      <x:c r="J58" s="10" t="n">
        <x:v>1</x:v>
      </x:c>
      <x:c r="K58" s="10" t="n">
        <x:v>0</x:v>
      </x:c>
      <x:c r="L58" s="10" t="n">
        <x:v>1</x:v>
      </x:c>
      <x:c r="M58" s="10" t="str">
        <x:v>UNDER</x:v>
      </x:c>
      <x:c r="N58" s="10" t="str">
        <x:v>PARIU U4,5</x:v>
      </x:c>
      <x:c r="O58" s="10" t="str">
        <x:v>SUCCES</x:v>
      </x:c>
      <x:c r="P58" s="10" t="n">
        <x:v>1</x:v>
      </x:c>
      <x:c r="Q58" s="56" t="n">
        <x:v>0.008699818708974372</x:v>
      </x:c>
      <x:c r="R58" s="17" t="n">
        <x:v>-1.379156275970832</x:v>
      </x:c>
      <x:c r="S58" s="10" t="str">
        <x:v>Succes solid: 1 goluri, cu 3 gol(uri) sub limita de 4; λ=2.38. Riscul de coadă 5+ nu s-a materializat.</x:v>
      </x:c>
      <x:c r="T58" s="10" t="str">
        <x:v>Proxy piață 1X2 (Poisson)</x:v>
      </x:c>
      <x:c r="U58" s="10" t="str">
        <x:v>https://www.gsp.ro/rezultate-live/meciuri-29-08-2026</x:v>
      </x:c>
      <x:c r="V58" s="59" t="n">
        <x:v>46263</x:v>
      </x:c>
      <x:c r="W58" s="16" t="n">
        <x:v>1.2390523495185621</x:v>
      </x:c>
      <x:c r="X58" s="16" t="n">
        <x:v>1.1401039264522699</x:v>
      </x:c>
      <x:c r="Y58" s="9" t="str">
        <x:v>Proxy 1X2</x:v>
      </x:c>
      <x:c r="Z58" s="34"/>
      <x:c r="AA58" s="9"/>
      <x:c r="AB58" s="64" t="n">
        <x:f>IF(G58="","",MAX(0.5,MIN(0.995,G58-'Calibrare v2'!$B$20-IF(Y58="Proxy 1X2",'Calibrare v2'!$B$21,IF(Y58="Model extern contradictoriu",'Calibrare v2'!$B$22,0))-MAX(0,(IF(Z58="",'Calibrare v2'!$B$26,Z58)-'Calibrare v2'!$B$26)*'Calibrare v2'!$B$27))))</x:f>
        <x:v>0.8551817804098822</x:v>
      </x:c>
      <x:c r="AC58" s="28"/>
      <x:c r="AD58" s="69" t="n">
        <x:f>IF(H58="","",MAX(0,MIN(H58,IF(Y58="Proxy 1X2",'Calibrare v2'!$B$23,'Calibrare v2'!$B$24))-IF(AA58="DA",'Calibrare v2'!$B$25,0)-MAX(0,(IF(Z58="",'Calibrare v2'!$B$26,Z58)-'Calibrare v2'!$B$26)*'Calibrare v2'!$B$37)))</x:f>
        <x:v>60</x:v>
      </x:c>
      <x:c r="AE58" s="34"/>
      <x:c r="AF58" s="73"/>
      <x:c r="AG58" s="16"/>
      <x:c r="AH58" s="16"/>
      <x:c r="AI58" s="64"/>
      <x:c r="AJ58" s="75" t="str">
        <x:f>IF(OR(G58="",F58=""),"",IF(AND(G58&gt;='Calibrare v2'!$B$35,F58&lt;='Calibrare v2'!$B$34),"PASS","FAIL"))</x:f>
        <x:v>FAIL</x:v>
      </x:c>
      <x:c r="AK58" s="75" t="str">
        <x:f>IF(OR(AB58="",AD58="",F58=""),"",IF(AND(AB58&gt;='Calibrare v2'!$B$29,F58&lt;='Calibrare v2'!$B$33,IF(Z58="",'Calibrare v2'!$B$26,Z58)&lt;='Calibrare v2'!$B$26,AD58&gt;='Calibrare v2'!$B$31,OR(AG58="",AB58*AG58-1&gt;='Calibrare v2'!$B$36)),"DA – FEZABIL",IF(AND(AB58&gt;='Calibrare v2'!$B$30,IF(Z58="",'Calibrare v2'!$B$26,Z58)&lt;='Calibrare v2'!$B$28,AD58&gt;='Calibrare v2'!$B$32),"DA – PRUDENT","NU – NO BET")))</x:f>
        <x:v>DA – PRUDENT</x:v>
      </x:c>
      <x:c r="AL58" s="9"/>
      <x:c r="AM58" s="9"/>
      <x:c r="AN58" s="64"/>
      <x:c r="AO58" s="64"/>
      <x:c r="AP58" s="16"/>
      <x:c r="AQ58" s="73"/>
      <x:c r="AR58" s="9" t="str">
        <x:v>Backtest inițial 29.08.2026; coloanele v2 LIVE sunt retrospective. Snapshot v2 nu a existat pre-match.</x:v>
      </x:c>
    </x:row>
    <x:row r="59" ht="42.75" customHeight="1">
      <x:c r="A59" s="10" t="n">
        <x:v>58</x:v>
      </x:c>
      <x:c r="B59" s="10" t="str">
        <x:v>România</x:v>
      </x:c>
      <x:c r="C59" s="10" t="str">
        <x:v>SuperLiga</x:v>
      </x:c>
      <x:c r="D59" s="10" t="str">
        <x:v>Csikszereda – CFR Cluj</x:v>
      </x:c>
      <x:c r="E59" s="10" t="str">
        <x:v>DA – FEZABIL</x:v>
      </x:c>
      <x:c r="F59" s="17" t="n">
        <x:v>2.3624734055574588</x:v>
      </x:c>
      <x:c r="G59" s="29" t="n">
        <x:v>0.9087784241190162</x:v>
      </x:c>
      <x:c r="H59" s="35" t="n">
        <x:v>62</x:v>
      </x:c>
      <x:c r="I59" s="10" t="str">
        <x:v>PASS</x:v>
      </x:c>
      <x:c r="J59" s="10" t="n">
        <x:v>2</x:v>
      </x:c>
      <x:c r="K59" s="10" t="n">
        <x:v>3</x:v>
      </x:c>
      <x:c r="L59" s="10" t="n">
        <x:v>5</x:v>
      </x:c>
      <x:c r="M59" s="10" t="str">
        <x:v>OVER</x:v>
      </x:c>
      <x:c r="N59" s="10" t="str">
        <x:v>PARIU U4,5</x:v>
      </x:c>
      <x:c r="O59" s="10" t="str">
        <x:v>EȘEC</x:v>
      </x:c>
      <x:c r="P59" s="10" t="n">
        <x:v>0</x:v>
      </x:c>
      <x:c r="Q59" s="56" t="n">
        <x:v>0.8258782241442425</x:v>
      </x:c>
      <x:c r="R59" s="17" t="n">
        <x:v>2.6375265944425412</x:v>
      </x:c>
      <x:c r="S59" s="10" t="str">
        <x:v>Eșec: 5 goluri vs λ=2.36 (abatere +2.64). Eveniment de coadă la 5 goluri, insuficient penalizat de model. Estimarea λ a fost predominant proxy din 1X2, fără o piață directă U/O suficientă.</x:v>
      </x:c>
      <x:c r="T59" s="10" t="str">
        <x:v>Proxy piață 1X2 (Poisson)</x:v>
      </x:c>
      <x:c r="U59" s="10" t="str">
        <x:v>https://www.gsp.ro/rezultate-live/meciuri-29-08-2026</x:v>
      </x:c>
      <x:c r="V59" s="59" t="n">
        <x:v>46263</x:v>
      </x:c>
      <x:c r="W59" s="16" t="n">
        <x:v>0.9462028557946496</x:v>
      </x:c>
      <x:c r="X59" s="16" t="n">
        <x:v>1.4162705497628092</x:v>
      </x:c>
      <x:c r="Y59" s="9" t="str">
        <x:v>Proxy 1X2</x:v>
      </x:c>
      <x:c r="Z59" s="34"/>
      <x:c r="AA59" s="9"/>
      <x:c r="AB59" s="64" t="n">
        <x:f>IF(G59="","",MAX(0.5,MIN(0.995,G59-'Calibrare v2'!$B$20-IF(Y59="Proxy 1X2",'Calibrare v2'!$B$21,IF(Y59="Model extern contradictoriu",'Calibrare v2'!$B$22,0))-MAX(0,(IF(Z59="",'Calibrare v2'!$B$26,Z59)-'Calibrare v2'!$B$26)*'Calibrare v2'!$B$27))))</x:f>
        <x:v>0.8572330232328187</x:v>
      </x:c>
      <x:c r="AC59" s="28"/>
      <x:c r="AD59" s="69" t="n">
        <x:f>IF(H59="","",MAX(0,MIN(H59,IF(Y59="Proxy 1X2",'Calibrare v2'!$B$23,'Calibrare v2'!$B$24))-IF(AA59="DA",'Calibrare v2'!$B$25,0)-MAX(0,(IF(Z59="",'Calibrare v2'!$B$26,Z59)-'Calibrare v2'!$B$26)*'Calibrare v2'!$B$37)))</x:f>
        <x:v>60</x:v>
      </x:c>
      <x:c r="AE59" s="34"/>
      <x:c r="AF59" s="73"/>
      <x:c r="AG59" s="16"/>
      <x:c r="AH59" s="16"/>
      <x:c r="AI59" s="64"/>
      <x:c r="AJ59" s="75" t="str">
        <x:f>IF(OR(G59="",F59=""),"",IF(AND(G59&gt;='Calibrare v2'!$B$35,F59&lt;='Calibrare v2'!$B$34),"PASS","FAIL"))</x:f>
        <x:v>FAIL</x:v>
      </x:c>
      <x:c r="AK59" s="75" t="str">
        <x:f>IF(OR(AB59="",AD59="",F59=""),"",IF(AND(AB59&gt;='Calibrare v2'!$B$29,F59&lt;='Calibrare v2'!$B$33,IF(Z59="",'Calibrare v2'!$B$26,Z59)&lt;='Calibrare v2'!$B$26,AD59&gt;='Calibrare v2'!$B$31,OR(AG59="",AB59*AG59-1&gt;='Calibrare v2'!$B$36)),"DA – FEZABIL",IF(AND(AB59&gt;='Calibrare v2'!$B$30,IF(Z59="",'Calibrare v2'!$B$26,Z59)&lt;='Calibrare v2'!$B$28,AD59&gt;='Calibrare v2'!$B$32),"DA – PRUDENT","NU – NO BET")))</x:f>
        <x:v>DA – PRUDENT</x:v>
      </x:c>
      <x:c r="AL59" s="9"/>
      <x:c r="AM59" s="9"/>
      <x:c r="AN59" s="64"/>
      <x:c r="AO59" s="64"/>
      <x:c r="AP59" s="16"/>
      <x:c r="AQ59" s="73"/>
      <x:c r="AR59" s="9" t="str">
        <x:v>Backtest inițial 29.08.2026; coloanele v2 LIVE sunt retrospective. Snapshot v2 nu a existat pre-match.</x:v>
      </x:c>
    </x:row>
    <x:row r="60" ht="42.75" customHeight="1">
      <x:c r="A60" s="10" t="n">
        <x:v>59</x:v>
      </x:c>
      <x:c r="B60" s="10" t="str">
        <x:v>România</x:v>
      </x:c>
      <x:c r="C60" s="10" t="str">
        <x:v>SuperLiga</x:v>
      </x:c>
      <x:c r="D60" s="10" t="str">
        <x:v>FC Argeș – Sepsi</x:v>
      </x:c>
      <x:c r="E60" s="10" t="str">
        <x:v>DA – FEZABIL</x:v>
      </x:c>
      <x:c r="F60" s="17" t="n">
        <x:v>1.8721949937766884</x:v>
      </x:c>
      <x:c r="G60" s="29" t="n">
        <x:v>0.9581421545278304</x:v>
      </x:c>
      <x:c r="H60" s="35" t="n">
        <x:v>62</x:v>
      </x:c>
      <x:c r="I60" s="10" t="str">
        <x:v>PASS</x:v>
      </x:c>
      <x:c r="J60" s="10" t="n">
        <x:v>0</x:v>
      </x:c>
      <x:c r="K60" s="10" t="n">
        <x:v>1</x:v>
      </x:c>
      <x:c r="L60" s="10" t="n">
        <x:v>1</x:v>
      </x:c>
      <x:c r="M60" s="10" t="str">
        <x:v>UNDER</x:v>
      </x:c>
      <x:c r="N60" s="10" t="str">
        <x:v>PARIU U4,5</x:v>
      </x:c>
      <x:c r="O60" s="10" t="str">
        <x:v>SUCCES</x:v>
      </x:c>
      <x:c r="P60" s="10" t="n">
        <x:v>1</x:v>
      </x:c>
      <x:c r="Q60" s="56" t="n">
        <x:v>0.0017520792275720325</x:v>
      </x:c>
      <x:c r="R60" s="17" t="n">
        <x:v>-0.8721949937766884</x:v>
      </x:c>
      <x:c r="S60" s="10" t="str">
        <x:v>Succes solid: 1 goluri, cu 3 gol(uri) sub limita de 4; λ=1.87. Riscul de coadă 5+ nu s-a materializat.</x:v>
      </x:c>
      <x:c r="T60" s="10" t="str">
        <x:v>Proxy piață 1X2 (Poisson)</x:v>
      </x:c>
      <x:c r="U60" s="10" t="str">
        <x:v>https://www.gsp.ro/rezultate-live/meciuri-29-08-2026</x:v>
      </x:c>
      <x:c r="V60" s="59" t="n">
        <x:v>46263</x:v>
      </x:c>
      <x:c r="W60" s="16" t="n">
        <x:v>1.0988077135963066</x:v>
      </x:c>
      <x:c r="X60" s="16" t="n">
        <x:v>0.7733872801803817</x:v>
      </x:c>
      <x:c r="Y60" s="9" t="str">
        <x:v>Proxy 1X2</x:v>
      </x:c>
      <x:c r="Z60" s="34"/>
      <x:c r="AA60" s="9"/>
      <x:c r="AB60" s="64" t="n">
        <x:f>IF(G60="","",MAX(0.5,MIN(0.995,G60-'Calibrare v2'!$B$20-IF(Y60="Proxy 1X2",'Calibrare v2'!$B$21,IF(Y60="Model extern contradictoriu",'Calibrare v2'!$B$22,0))-MAX(0,(IF(Z60="",'Calibrare v2'!$B$26,Z60)-'Calibrare v2'!$B$26)*'Calibrare v2'!$B$27))))</x:f>
        <x:v>0.9065967536416328</x:v>
      </x:c>
      <x:c r="AC60" s="28"/>
      <x:c r="AD60" s="69" t="n">
        <x:f>IF(H60="","",MAX(0,MIN(H60,IF(Y60="Proxy 1X2",'Calibrare v2'!$B$23,'Calibrare v2'!$B$24))-IF(AA60="DA",'Calibrare v2'!$B$25,0)-MAX(0,(IF(Z60="",'Calibrare v2'!$B$26,Z60)-'Calibrare v2'!$B$26)*'Calibrare v2'!$B$37)))</x:f>
        <x:v>60</x:v>
      </x:c>
      <x:c r="AE60" s="34"/>
      <x:c r="AF60" s="73"/>
      <x:c r="AG60" s="16"/>
      <x:c r="AH60" s="16"/>
      <x:c r="AI60" s="64"/>
      <x:c r="AJ60" s="75" t="str">
        <x:f>IF(OR(G60="",F60=""),"",IF(AND(G60&gt;='Calibrare v2'!$B$35,F60&lt;='Calibrare v2'!$B$34),"PASS","FAIL"))</x:f>
        <x:v>PASS</x:v>
      </x:c>
      <x:c r="AK60" s="75" t="str">
        <x:f>IF(OR(AB60="",AD60="",F60=""),"",IF(AND(AB60&gt;='Calibrare v2'!$B$29,F60&lt;='Calibrare v2'!$B$33,IF(Z60="",'Calibrare v2'!$B$26,Z60)&lt;='Calibrare v2'!$B$26,AD60&gt;='Calibrare v2'!$B$31,OR(AG60="",AB60*AG60-1&gt;='Calibrare v2'!$B$36)),"DA – FEZABIL",IF(AND(AB60&gt;='Calibrare v2'!$B$30,IF(Z60="",'Calibrare v2'!$B$26,Z60)&lt;='Calibrare v2'!$B$28,AD60&gt;='Calibrare v2'!$B$32),"DA – PRUDENT","NU – NO BET")))</x:f>
        <x:v>DA – PRUDENT</x:v>
      </x:c>
      <x:c r="AL60" s="9"/>
      <x:c r="AM60" s="9"/>
      <x:c r="AN60" s="64"/>
      <x:c r="AO60" s="64"/>
      <x:c r="AP60" s="16"/>
      <x:c r="AQ60" s="73"/>
      <x:c r="AR60" s="9" t="str">
        <x:v>Backtest inițial 29.08.2026; coloanele v2 LIVE sunt retrospective. Snapshot v2 nu a existat pre-match.</x:v>
      </x:c>
    </x:row>
    <x:row r="61" ht="43.5" customHeight="1">
      <x:c r="A61" s="10" t="n">
        <x:v>60</x:v>
      </x:c>
      <x:c r="B61" s="10" t="str">
        <x:v>România</x:v>
      </x:c>
      <x:c r="C61" s="10" t="str">
        <x:v>SuperLiga</x:v>
      </x:c>
      <x:c r="D61" s="10" t="str">
        <x:v>Corvinul – Dinamo București</x:v>
      </x:c>
      <x:c r="E61" s="10" t="str">
        <x:v>DA – FEZABIL</x:v>
      </x:c>
      <x:c r="F61" s="17" t="n">
        <x:v>2.111051034497706</x:v>
      </x:c>
      <x:c r="G61" s="29" t="n">
        <x:v>0.9367717990097022</x:v>
      </x:c>
      <x:c r="H61" s="35" t="n">
        <x:v>76</x:v>
      </x:c>
      <x:c r="I61" s="10" t="str">
        <x:v>PASS</x:v>
      </x:c>
      <x:c r="J61" s="10" t="n">
        <x:v>1</x:v>
      </x:c>
      <x:c r="K61" s="10" t="n">
        <x:v>1</x:v>
      </x:c>
      <x:c r="L61" s="10" t="n">
        <x:v>2</x:v>
      </x:c>
      <x:c r="M61" s="10" t="str">
        <x:v>UNDER</x:v>
      </x:c>
      <x:c r="N61" s="10" t="str">
        <x:v>PARIU U4,5</x:v>
      </x:c>
      <x:c r="O61" s="10" t="str">
        <x:v>SUCCES</x:v>
      </x:c>
      <x:c r="P61" s="10" t="n">
        <x:v>1</x:v>
      </x:c>
      <x:c r="Q61" s="56" t="n">
        <x:v>0.003997805400469495</x:v>
      </x:c>
      <x:c r="R61" s="17" t="n">
        <x:v>-0.11105103449770581</x:v>
      </x:c>
      <x:c r="S61" s="10" t="str">
        <x:v>Succes solid: 2 goluri, cu 2 gol(uri) sub limita de 4; λ=2.11. Riscul de coadă 5+ nu s-a materializat.</x:v>
      </x:c>
      <x:c r="T61" s="10" t="str">
        <x:v>CompactStats + piață 1X2</x:v>
      </x:c>
      <x:c r="U61" s="10" t="str">
        <x:v>https://www.gsp.ro/rezultate-live/meciuri-29-08-2026</x:v>
      </x:c>
      <x:c r="V61" s="59" t="n">
        <x:v>46263</x:v>
      </x:c>
      <x:c r="W61" s="16" t="n">
        <x:v>1.1573738851238011</x:v>
      </x:c>
      <x:c r="X61" s="16" t="n">
        <x:v>0.9536771493739047</x:v>
      </x:c>
      <x:c r="Y61" s="9" t="str">
        <x:v>CompactStats + piață</x:v>
      </x:c>
      <x:c r="Z61" s="34"/>
      <x:c r="AA61" s="9"/>
      <x:c r="AB61" s="64" t="n">
        <x:f>IF(G61="","",MAX(0.5,MIN(0.995,G61-'Calibrare v2'!$B$20-IF(Y61="Proxy 1X2",'Calibrare v2'!$B$21,IF(Y61="Model extern contradictoriu",'Calibrare v2'!$B$22,0))-MAX(0,(IF(Z61="",'Calibrare v2'!$B$26,Z61)-'Calibrare v2'!$B$26)*'Calibrare v2'!$B$27))))</x:f>
        <x:v>0.9052263981235047</x:v>
      </x:c>
      <x:c r="AC61" s="28"/>
      <x:c r="AD61" s="69" t="n">
        <x:f>IF(H61="","",MAX(0,MIN(H61,IF(Y61="Proxy 1X2",'Calibrare v2'!$B$23,'Calibrare v2'!$B$24))-IF(AA61="DA",'Calibrare v2'!$B$25,0)-MAX(0,(IF(Z61="",'Calibrare v2'!$B$26,Z61)-'Calibrare v2'!$B$26)*'Calibrare v2'!$B$37)))</x:f>
        <x:v>76</x:v>
      </x:c>
      <x:c r="AE61" s="34"/>
      <x:c r="AF61" s="73"/>
      <x:c r="AG61" s="16"/>
      <x:c r="AH61" s="16"/>
      <x:c r="AI61" s="64"/>
      <x:c r="AJ61" s="75" t="str">
        <x:f>IF(OR(G61="",F61=""),"",IF(AND(G61&gt;='Calibrare v2'!$B$35,F61&lt;='Calibrare v2'!$B$34),"PASS","FAIL"))</x:f>
        <x:v>PASS</x:v>
      </x:c>
      <x:c r="AK61" s="75" t="str">
        <x:f>IF(OR(AB61="",AD61="",F61=""),"",IF(AND(AB61&gt;='Calibrare v2'!$B$29,F61&lt;='Calibrare v2'!$B$33,IF(Z61="",'Calibrare v2'!$B$26,Z61)&lt;='Calibrare v2'!$B$26,AD61&gt;='Calibrare v2'!$B$31,OR(AG61="",AB61*AG61-1&gt;='Calibrare v2'!$B$36)),"DA – FEZABIL",IF(AND(AB61&gt;='Calibrare v2'!$B$30,IF(Z61="",'Calibrare v2'!$B$26,Z61)&lt;='Calibrare v2'!$B$28,AD61&gt;='Calibrare v2'!$B$32),"DA – PRUDENT","NU – NO BET")))</x:f>
        <x:v>DA – FEZABIL</x:v>
      </x:c>
      <x:c r="AL61" s="9"/>
      <x:c r="AM61" s="9"/>
      <x:c r="AN61" s="64"/>
      <x:c r="AO61" s="64"/>
      <x:c r="AP61" s="16"/>
      <x:c r="AQ61" s="73"/>
      <x:c r="AR61" s="9" t="str">
        <x:v>Backtest inițial 29.08.2026; coloanele v2 LIVE sunt retrospective. Snapshot v2 nu a existat pre-match.</x:v>
      </x:c>
    </x:row>
    <x:row r="62" ht="43.5" customHeight="1">
      <x:c r="A62" s="10" t="n">
        <x:v>61</x:v>
      </x:c>
      <x:c r="B62" s="10" t="str">
        <x:v>Ungaria</x:v>
      </x:c>
      <x:c r="C62" s="10" t="str">
        <x:v>NB I</x:v>
      </x:c>
      <x:c r="D62" s="10" t="str">
        <x:v>Nyíregyháza – Paks</x:v>
      </x:c>
      <x:c r="E62" s="10" t="str">
        <x:v>DA – PRUDENT</x:v>
      </x:c>
      <x:c r="F62" s="17" t="n">
        <x:v>2.866300218194007</x:v>
      </x:c>
      <x:c r="G62" s="29" t="n">
        <x:v>0.8372063517723569</x:v>
      </x:c>
      <x:c r="H62" s="35" t="n">
        <x:v>62</x:v>
      </x:c>
      <x:c r="I62" s="10" t="str">
        <x:v>FAIL</x:v>
      </x:c>
      <x:c r="J62" s="10" t="n">
        <x:v>1</x:v>
      </x:c>
      <x:c r="K62" s="10" t="n">
        <x:v>1</x:v>
      </x:c>
      <x:c r="L62" s="10" t="n">
        <x:v>2</x:v>
      </x:c>
      <x:c r="M62" s="10" t="str">
        <x:v>UNDER</x:v>
      </x:c>
      <x:c r="N62" s="10" t="str">
        <x:v>PARIU U4,5</x:v>
      </x:c>
      <x:c r="O62" s="10" t="str">
        <x:v>SUCCES</x:v>
      </x:c>
      <x:c r="P62" s="10" t="n">
        <x:v>1</x:v>
      </x:c>
      <x:c r="Q62" s="56" t="n">
        <x:v>0.0265017719032656</x:v>
      </x:c>
      <x:c r="R62" s="17" t="n">
        <x:v>-0.8663002181940072</x:v>
      </x:c>
      <x:c r="S62" s="10" t="str">
        <x:v>Succes solid: 2 goluri, cu 2 gol(uri) sub limita de 4; λ=2.87. Riscul de coadă 5+ nu s-a materializat.</x:v>
      </x:c>
      <x:c r="T62" s="10" t="str">
        <x:v>Proxy piață 1X2 (Poisson)</x:v>
      </x:c>
      <x:c r="U62" s="10" t="str">
        <x:v>https://www.gsp.ro/rezultate-live/meciuri-29-08-2026</x:v>
      </x:c>
      <x:c r="V62" s="59" t="n">
        <x:v>46263</x:v>
      </x:c>
      <x:c r="W62" s="16" t="n">
        <x:v>1.5001410724998976</x:v>
      </x:c>
      <x:c r="X62" s="16" t="n">
        <x:v>1.3661591456941096</x:v>
      </x:c>
      <x:c r="Y62" s="9" t="str">
        <x:v>Proxy 1X2</x:v>
      </x:c>
      <x:c r="Z62" s="34"/>
      <x:c r="AA62" s="9"/>
      <x:c r="AB62" s="64" t="n">
        <x:f>IF(G62="","",MAX(0.5,MIN(0.995,G62-'Calibrare v2'!$B$20-IF(Y62="Proxy 1X2",'Calibrare v2'!$B$21,IF(Y62="Model extern contradictoriu",'Calibrare v2'!$B$22,0))-MAX(0,(IF(Z62="",'Calibrare v2'!$B$26,Z62)-'Calibrare v2'!$B$26)*'Calibrare v2'!$B$27))))</x:f>
        <x:v>0.7856609508861594</x:v>
      </x:c>
      <x:c r="AC62" s="28"/>
      <x:c r="AD62" s="69" t="n">
        <x:f>IF(H62="","",MAX(0,MIN(H62,IF(Y62="Proxy 1X2",'Calibrare v2'!$B$23,'Calibrare v2'!$B$24))-IF(AA62="DA",'Calibrare v2'!$B$25,0)-MAX(0,(IF(Z62="",'Calibrare v2'!$B$26,Z62)-'Calibrare v2'!$B$26)*'Calibrare v2'!$B$37)))</x:f>
        <x:v>60</x:v>
      </x:c>
      <x:c r="AE62" s="34"/>
      <x:c r="AF62" s="73"/>
      <x:c r="AG62" s="16"/>
      <x:c r="AH62" s="16"/>
      <x:c r="AI62" s="64"/>
      <x:c r="AJ62" s="75" t="str">
        <x:f>IF(OR(G62="",F62=""),"",IF(AND(G62&gt;='Calibrare v2'!$B$35,F62&lt;='Calibrare v2'!$B$34),"PASS","FAIL"))</x:f>
        <x:v>FAIL</x:v>
      </x:c>
      <x:c r="AK62" s="75" t="str">
        <x:f>IF(OR(AB62="",AD62="",F62=""),"",IF(AND(AB62&gt;='Calibrare v2'!$B$29,F62&lt;='Calibrare v2'!$B$33,IF(Z62="",'Calibrare v2'!$B$26,Z62)&lt;='Calibrare v2'!$B$26,AD62&gt;='Calibrare v2'!$B$31,OR(AG62="",AB62*AG62-1&gt;='Calibrare v2'!$B$36)),"DA – FEZABIL",IF(AND(AB62&gt;='Calibrare v2'!$B$30,IF(Z62="",'Calibrare v2'!$B$26,Z62)&lt;='Calibrare v2'!$B$28,AD62&gt;='Calibrare v2'!$B$32),"DA – PRUDENT","NU – NO BET")))</x:f>
        <x:v>NU – NO BET</x:v>
      </x:c>
      <x:c r="AL62" s="9"/>
      <x:c r="AM62" s="9"/>
      <x:c r="AN62" s="64"/>
      <x:c r="AO62" s="64"/>
      <x:c r="AP62" s="16"/>
      <x:c r="AQ62" s="73"/>
      <x:c r="AR62" s="9" t="str">
        <x:v>Backtest inițial 29.08.2026; coloanele v2 LIVE sunt retrospective. Snapshot v2 nu a existat pre-match.</x:v>
      </x:c>
    </x:row>
    <x:row r="63" ht="42.75" customHeight="1">
      <x:c r="A63" s="10" t="n">
        <x:v>62</x:v>
      </x:c>
      <x:c r="B63" s="10" t="str">
        <x:v>Ungaria</x:v>
      </x:c>
      <x:c r="C63" s="10" t="str">
        <x:v>NB I</x:v>
      </x:c>
      <x:c r="D63" s="10" t="str">
        <x:v>Honvéd – Zalaegerszeg</x:v>
      </x:c>
      <x:c r="E63" s="10" t="str">
        <x:v>DA – FEZABIL</x:v>
      </x:c>
      <x:c r="F63" s="17" t="n">
        <x:v>2.568051966817098</x:v>
      </x:c>
      <x:c r="G63" s="29" t="n">
        <x:v>0.8819025464677042</x:v>
      </x:c>
      <x:c r="H63" s="35" t="n">
        <x:v>62</x:v>
      </x:c>
      <x:c r="I63" s="10" t="str">
        <x:v>PASS</x:v>
      </x:c>
      <x:c r="J63" s="10" t="n">
        <x:v>1</x:v>
      </x:c>
      <x:c r="K63" s="10" t="n">
        <x:v>0</x:v>
      </x:c>
      <x:c r="L63" s="10" t="n">
        <x:v>1</x:v>
      </x:c>
      <x:c r="M63" s="10" t="str">
        <x:v>UNDER</x:v>
      </x:c>
      <x:c r="N63" s="10" t="str">
        <x:v>PARIU U4,5</x:v>
      </x:c>
      <x:c r="O63" s="10" t="str">
        <x:v>SUCCES</x:v>
      </x:c>
      <x:c r="P63" s="10" t="n">
        <x:v>1</x:v>
      </x:c>
      <x:c r="Q63" s="56" t="n">
        <x:v>0.013947008530812774</x:v>
      </x:c>
      <x:c r="R63" s="17" t="n">
        <x:v>-1.568051966817098</x:v>
      </x:c>
      <x:c r="S63" s="10" t="str">
        <x:v>Succes solid: 1 goluri, cu 3 gol(uri) sub limita de 4; λ=2.57. Riscul de coadă 5+ nu s-a materializat.</x:v>
      </x:c>
      <x:c r="T63" s="10" t="str">
        <x:v>Proxy piață 1X2 (Poisson)</x:v>
      </x:c>
      <x:c r="U63" s="10" t="str">
        <x:v>https://www.gsp.ro/rezultate-live/meciuri-29-08-2026</x:v>
      </x:c>
      <x:c r="V63" s="59" t="n">
        <x:v>46263</x:v>
      </x:c>
      <x:c r="W63" s="16" t="n">
        <x:v>1.48935886328575</x:v>
      </x:c>
      <x:c r="X63" s="16" t="n">
        <x:v>1.0786931035313478</x:v>
      </x:c>
      <x:c r="Y63" s="9" t="str">
        <x:v>Proxy 1X2</x:v>
      </x:c>
      <x:c r="Z63" s="34"/>
      <x:c r="AA63" s="9"/>
      <x:c r="AB63" s="64" t="n">
        <x:f>IF(G63="","",MAX(0.5,MIN(0.995,G63-'Calibrare v2'!$B$20-IF(Y63="Proxy 1X2",'Calibrare v2'!$B$21,IF(Y63="Model extern contradictoriu",'Calibrare v2'!$B$22,0))-MAX(0,(IF(Z63="",'Calibrare v2'!$B$26,Z63)-'Calibrare v2'!$B$26)*'Calibrare v2'!$B$27))))</x:f>
        <x:v>0.8303571455815066</x:v>
      </x:c>
      <x:c r="AC63" s="28"/>
      <x:c r="AD63" s="69" t="n">
        <x:f>IF(H63="","",MAX(0,MIN(H63,IF(Y63="Proxy 1X2",'Calibrare v2'!$B$23,'Calibrare v2'!$B$24))-IF(AA63="DA",'Calibrare v2'!$B$25,0)-MAX(0,(IF(Z63="",'Calibrare v2'!$B$26,Z63)-'Calibrare v2'!$B$26)*'Calibrare v2'!$B$37)))</x:f>
        <x:v>60</x:v>
      </x:c>
      <x:c r="AE63" s="34"/>
      <x:c r="AF63" s="73"/>
      <x:c r="AG63" s="16"/>
      <x:c r="AH63" s="16"/>
      <x:c r="AI63" s="64"/>
      <x:c r="AJ63" s="75" t="str">
        <x:f>IF(OR(G63="",F63=""),"",IF(AND(G63&gt;='Calibrare v2'!$B$35,F63&lt;='Calibrare v2'!$B$34),"PASS","FAIL"))</x:f>
        <x:v>FAIL</x:v>
      </x:c>
      <x:c r="AK63" s="75" t="str">
        <x:f>IF(OR(AB63="",AD63="",F63=""),"",IF(AND(AB63&gt;='Calibrare v2'!$B$29,F63&lt;='Calibrare v2'!$B$33,IF(Z63="",'Calibrare v2'!$B$26,Z63)&lt;='Calibrare v2'!$B$26,AD63&gt;='Calibrare v2'!$B$31,OR(AG63="",AB63*AG63-1&gt;='Calibrare v2'!$B$36)),"DA – FEZABIL",IF(AND(AB63&gt;='Calibrare v2'!$B$30,IF(Z63="",'Calibrare v2'!$B$26,Z63)&lt;='Calibrare v2'!$B$28,AD63&gt;='Calibrare v2'!$B$32),"DA – PRUDENT","NU – NO BET")))</x:f>
        <x:v>DA – PRUDENT</x:v>
      </x:c>
      <x:c r="AL63" s="9"/>
      <x:c r="AM63" s="9"/>
      <x:c r="AN63" s="64"/>
      <x:c r="AO63" s="64"/>
      <x:c r="AP63" s="16"/>
      <x:c r="AQ63" s="73"/>
      <x:c r="AR63" s="9" t="str">
        <x:v>Backtest inițial 29.08.2026; coloanele v2 LIVE sunt retrospective. Snapshot v2 nu a existat pre-match.</x:v>
      </x:c>
    </x:row>
    <x:row r="64" ht="42.75" customHeight="1">
      <x:c r="A64" s="10" t="n">
        <x:v>63</x:v>
      </x:c>
      <x:c r="B64" s="10" t="str">
        <x:v>Ungaria</x:v>
      </x:c>
      <x:c r="C64" s="10" t="str">
        <x:v>NB I</x:v>
      </x:c>
      <x:c r="D64" s="10" t="str">
        <x:v>Újpest – Vasas</x:v>
      </x:c>
      <x:c r="E64" s="10" t="str">
        <x:v>DA – FEZABIL</x:v>
      </x:c>
      <x:c r="F64" s="17" t="n">
        <x:v>2.634793902997704</x:v>
      </x:c>
      <x:c r="G64" s="29" t="n">
        <x:v>0.8724570791636899</x:v>
      </x:c>
      <x:c r="H64" s="35" t="n">
        <x:v>62</x:v>
      </x:c>
      <x:c r="I64" s="10" t="str">
        <x:v>PASS</x:v>
      </x:c>
      <x:c r="J64" s="10" t="n">
        <x:v>3</x:v>
      </x:c>
      <x:c r="K64" s="10" t="n">
        <x:v>1</x:v>
      </x:c>
      <x:c r="L64" s="10" t="n">
        <x:v>4</x:v>
      </x:c>
      <x:c r="M64" s="10" t="str">
        <x:v>UNDER</x:v>
      </x:c>
      <x:c r="N64" s="10" t="str">
        <x:v>PARIU U4,5</x:v>
      </x:c>
      <x:c r="O64" s="10" t="str">
        <x:v>SUCCES</x:v>
      </x:c>
      <x:c r="P64" s="10" t="n">
        <x:v>1</x:v>
      </x:c>
      <x:c r="Q64" s="56" t="n">
        <x:v>0.016267196655457273</x:v>
      </x:c>
      <x:c r="R64" s="17" t="n">
        <x:v>1.3652060970022961</x:v>
      </x:c>
      <x:c r="S64" s="10" t="str">
        <x:v>Succes la limită: exact 4 goluri. Pariul a câștigat, dar marja de siguranță a fost minimă; λ=2.63.</x:v>
      </x:c>
      <x:c r="T64" s="10" t="str">
        <x:v>Proxy piață 1X2 (Poisson)</x:v>
      </x:c>
      <x:c r="U64" s="10" t="str">
        <x:v>https://www.gsp.ro/rezultate-live/meciuri-29-08-2026</x:v>
      </x:c>
      <x:c r="V64" s="59" t="n">
        <x:v>46263</x:v>
      </x:c>
      <x:c r="W64" s="16" t="n">
        <x:v>1.4177576331312802</x:v>
      </x:c>
      <x:c r="X64" s="16" t="n">
        <x:v>1.2170362698664237</x:v>
      </x:c>
      <x:c r="Y64" s="9" t="str">
        <x:v>Proxy 1X2</x:v>
      </x:c>
      <x:c r="Z64" s="34"/>
      <x:c r="AA64" s="9"/>
      <x:c r="AB64" s="64" t="n">
        <x:f>IF(G64="","",MAX(0.5,MIN(0.995,G64-'Calibrare v2'!$B$20-IF(Y64="Proxy 1X2",'Calibrare v2'!$B$21,IF(Y64="Model extern contradictoriu",'Calibrare v2'!$B$22,0))-MAX(0,(IF(Z64="",'Calibrare v2'!$B$26,Z64)-'Calibrare v2'!$B$26)*'Calibrare v2'!$B$27))))</x:f>
        <x:v>0.8209116782774923</x:v>
      </x:c>
      <x:c r="AC64" s="28"/>
      <x:c r="AD64" s="69" t="n">
        <x:f>IF(H64="","",MAX(0,MIN(H64,IF(Y64="Proxy 1X2",'Calibrare v2'!$B$23,'Calibrare v2'!$B$24))-IF(AA64="DA",'Calibrare v2'!$B$25,0)-MAX(0,(IF(Z64="",'Calibrare v2'!$B$26,Z64)-'Calibrare v2'!$B$26)*'Calibrare v2'!$B$37)))</x:f>
        <x:v>60</x:v>
      </x:c>
      <x:c r="AE64" s="34"/>
      <x:c r="AF64" s="73"/>
      <x:c r="AG64" s="16"/>
      <x:c r="AH64" s="16"/>
      <x:c r="AI64" s="64"/>
      <x:c r="AJ64" s="75" t="str">
        <x:f>IF(OR(G64="",F64=""),"",IF(AND(G64&gt;='Calibrare v2'!$B$35,F64&lt;='Calibrare v2'!$B$34),"PASS","FAIL"))</x:f>
        <x:v>FAIL</x:v>
      </x:c>
      <x:c r="AK64" s="75" t="str">
        <x:f>IF(OR(AB64="",AD64="",F64=""),"",IF(AND(AB64&gt;='Calibrare v2'!$B$29,F64&lt;='Calibrare v2'!$B$33,IF(Z64="",'Calibrare v2'!$B$26,Z64)&lt;='Calibrare v2'!$B$26,AD64&gt;='Calibrare v2'!$B$31,OR(AG64="",AB64*AG64-1&gt;='Calibrare v2'!$B$36)),"DA – FEZABIL",IF(AND(AB64&gt;='Calibrare v2'!$B$30,IF(Z64="",'Calibrare v2'!$B$26,Z64)&lt;='Calibrare v2'!$B$28,AD64&gt;='Calibrare v2'!$B$32),"DA – PRUDENT","NU – NO BET")))</x:f>
        <x:v>DA – PRUDENT</x:v>
      </x:c>
      <x:c r="AL64" s="9"/>
      <x:c r="AM64" s="9"/>
      <x:c r="AN64" s="64"/>
      <x:c r="AO64" s="64"/>
      <x:c r="AP64" s="16"/>
      <x:c r="AQ64" s="73"/>
      <x:c r="AR64" s="9" t="str">
        <x:v>Backtest inițial 29.08.2026; coloanele v2 LIVE sunt retrospective. Snapshot v2 nu a existat pre-match.</x:v>
      </x:c>
    </x:row>
    <x:row r="65" ht="43.5" customHeight="1">
      <x:c r="A65" s="10" t="n">
        <x:v>64</x:v>
      </x:c>
      <x:c r="B65" s="10" t="str">
        <x:v>Norvegia</x:v>
      </x:c>
      <x:c r="C65" s="10" t="str">
        <x:v>Eliteserien</x:v>
      </x:c>
      <x:c r="D65" s="10" t="str">
        <x:v>Vålerenga – Molde</x:v>
      </x:c>
      <x:c r="E65" s="10" t="str">
        <x:v>DA – PRUDENT</x:v>
      </x:c>
      <x:c r="F65" s="17" t="n">
        <x:v>3.001190782731647</x:v>
      </x:c>
      <x:c r="G65" s="29" t="n">
        <x:v>0.8150631159923548</x:v>
      </x:c>
      <x:c r="H65" s="35" t="n">
        <x:v>62</x:v>
      </x:c>
      <x:c r="I65" s="10" t="str">
        <x:v>FAIL</x:v>
      </x:c>
      <x:c r="J65" s="10" t="n">
        <x:v>1</x:v>
      </x:c>
      <x:c r="K65" s="10" t="n">
        <x:v>3</x:v>
      </x:c>
      <x:c r="L65" s="10" t="n">
        <x:v>4</x:v>
      </x:c>
      <x:c r="M65" s="10" t="str">
        <x:v>UNDER</x:v>
      </x:c>
      <x:c r="N65" s="10" t="str">
        <x:v>PARIU U4,5</x:v>
      </x:c>
      <x:c r="O65" s="10" t="str">
        <x:v>SUCCES</x:v>
      </x:c>
      <x:c r="P65" s="10" t="n">
        <x:v>1</x:v>
      </x:c>
      <x:c r="Q65" s="56" t="n">
        <x:v>0.03420165106645721</x:v>
      </x:c>
      <x:c r="R65" s="17" t="n">
        <x:v>0.9988092172683531</x:v>
      </x:c>
      <x:c r="S65" s="10" t="str">
        <x:v>Succes la limită: exact 4 goluri. Pariul a câștigat, dar marja de siguranță a fost minimă; λ=3.00.</x:v>
      </x:c>
      <x:c r="T65" s="10" t="str">
        <x:v>Proxy piață 1X2 (Poisson)</x:v>
      </x:c>
      <x:c r="U65" s="10" t="str">
        <x:v>https://www.forebet.com/en/football/matches/valerenga-molde-2438500</x:v>
      </x:c>
      <x:c r="V65" s="59" t="n">
        <x:v>46263</x:v>
      </x:c>
      <x:c r="W65" s="16" t="n">
        <x:v>1.4603889683825717</x:v>
      </x:c>
      <x:c r="X65" s="16" t="n">
        <x:v>1.540801814349075</x:v>
      </x:c>
      <x:c r="Y65" s="9" t="str">
        <x:v>Proxy 1X2</x:v>
      </x:c>
      <x:c r="Z65" s="34"/>
      <x:c r="AA65" s="9"/>
      <x:c r="AB65" s="64" t="n">
        <x:f>IF(G65="","",MAX(0.5,MIN(0.995,G65-'Calibrare v2'!$B$20-IF(Y65="Proxy 1X2",'Calibrare v2'!$B$21,IF(Y65="Model extern contradictoriu",'Calibrare v2'!$B$22,0))-MAX(0,(IF(Z65="",'Calibrare v2'!$B$26,Z65)-'Calibrare v2'!$B$26)*'Calibrare v2'!$B$27))))</x:f>
        <x:v>0.7635177151061573</x:v>
      </x:c>
      <x:c r="AC65" s="28"/>
      <x:c r="AD65" s="69" t="n">
        <x:f>IF(H65="","",MAX(0,MIN(H65,IF(Y65="Proxy 1X2",'Calibrare v2'!$B$23,'Calibrare v2'!$B$24))-IF(AA65="DA",'Calibrare v2'!$B$25,0)-MAX(0,(IF(Z65="",'Calibrare v2'!$B$26,Z65)-'Calibrare v2'!$B$26)*'Calibrare v2'!$B$37)))</x:f>
        <x:v>60</x:v>
      </x:c>
      <x:c r="AE65" s="34"/>
      <x:c r="AF65" s="73"/>
      <x:c r="AG65" s="16"/>
      <x:c r="AH65" s="16"/>
      <x:c r="AI65" s="64"/>
      <x:c r="AJ65" s="75" t="str">
        <x:f>IF(OR(G65="",F65=""),"",IF(AND(G65&gt;='Calibrare v2'!$B$35,F65&lt;='Calibrare v2'!$B$34),"PASS","FAIL"))</x:f>
        <x:v>FAIL</x:v>
      </x:c>
      <x:c r="AK65" s="75" t="str">
        <x:f>IF(OR(AB65="",AD65="",F65=""),"",IF(AND(AB65&gt;='Calibrare v2'!$B$29,F65&lt;='Calibrare v2'!$B$33,IF(Z65="",'Calibrare v2'!$B$26,Z65)&lt;='Calibrare v2'!$B$26,AD65&gt;='Calibrare v2'!$B$31,OR(AG65="",AB65*AG65-1&gt;='Calibrare v2'!$B$36)),"DA – FEZABIL",IF(AND(AB65&gt;='Calibrare v2'!$B$30,IF(Z65="",'Calibrare v2'!$B$26,Z65)&lt;='Calibrare v2'!$B$28,AD65&gt;='Calibrare v2'!$B$32),"DA – PRUDENT","NU – NO BET")))</x:f>
        <x:v>NU – NO BET</x:v>
      </x:c>
      <x:c r="AL65" s="9"/>
      <x:c r="AM65" s="9"/>
      <x:c r="AN65" s="64"/>
      <x:c r="AO65" s="64"/>
      <x:c r="AP65" s="16"/>
      <x:c r="AQ65" s="73"/>
      <x:c r="AR65" s="9" t="str">
        <x:v>Backtest inițial 29.08.2026; coloanele v2 LIVE sunt retrospective. Snapshot v2 nu a existat pre-match.</x:v>
      </x:c>
    </x:row>
    <x:row r="66" ht="43.5" customHeight="1">
      <x:c r="A66" s="10" t="n">
        <x:v>65</x:v>
      </x:c>
      <x:c r="B66" s="10" t="str">
        <x:v>Norvegia</x:v>
      </x:c>
      <x:c r="C66" s="10" t="str">
        <x:v>Eliteserien</x:v>
      </x:c>
      <x:c r="D66" s="10" t="str">
        <x:v>Viking – Aalesund</x:v>
      </x:c>
      <x:c r="E66" s="10" t="str">
        <x:v>NU – EVITĂ</x:v>
      </x:c>
      <x:c r="F66" s="17" t="n">
        <x:v>4.311420112078974</x:v>
      </x:c>
      <x:c r="G66" s="29" t="n">
        <x:v>0.5682316698714247</x:v>
      </x:c>
      <x:c r="H66" s="35" t="n">
        <x:v>82</x:v>
      </x:c>
      <x:c r="I66" s="10" t="str">
        <x:v>FAIL</x:v>
      </x:c>
      <x:c r="J66" s="10" t="n">
        <x:v>2</x:v>
      </x:c>
      <x:c r="K66" s="10" t="n">
        <x:v>1</x:v>
      </x:c>
      <x:c r="L66" s="10" t="n">
        <x:v>3</x:v>
      </x:c>
      <x:c r="M66" s="10" t="str">
        <x:v>UNDER</x:v>
      </x:c>
      <x:c r="N66" s="10" t="str">
        <x:v>NO BET</x:v>
      </x:c>
      <x:c r="O66" s="10" t="str">
        <x:v>FALS NEGATIV</x:v>
      </x:c>
      <x:c r="P66" s="10" t="n">
        <x:v>1</x:v>
      </x:c>
      <x:c r="Q66" s="56" t="n">
        <x:v>0.18642389090201839</x:v>
      </x:c>
      <x:c r="R66" s="17" t="n">
        <x:v>-1.3114201120789737</x:v>
      </x:c>
      <x:c r="S66" s="10" t="str">
        <x:v>Fals negativ: modelul a evitat pariul, dar meciul a avut doar 3 goluri. λ=4.31 a fost prea conservator pentru decizia AVOID.</x:v>
      </x:c>
      <x:c r="T66" s="10" t="str">
        <x:v>1x2.expert + piață 1X2</x:v>
      </x:c>
      <x:c r="U66" s="10" t="str">
        <x:v>https://www.forebet.com/ro/football/matches/viking-fk-aalesund-fk-2438503</x:v>
      </x:c>
      <x:c r="V66" s="59" t="n">
        <x:v>46263</x:v>
      </x:c>
      <x:c r="W66" s="16" t="n">
        <x:v>3.19430316110095</x:v>
      </x:c>
      <x:c r="X66" s="16" t="n">
        <x:v>1.1171169509780239</x:v>
      </x:c>
      <x:c r="Y66" s="9" t="str">
        <x:v>xG / O-U direct</x:v>
      </x:c>
      <x:c r="Z66" s="34"/>
      <x:c r="AA66" s="9"/>
      <x:c r="AB66" s="64" t="n">
        <x:f>IF(G66="","",MAX(0.5,MIN(0.995,G66-'Calibrare v2'!$B$20-IF(Y66="Proxy 1X2",'Calibrare v2'!$B$21,IF(Y66="Model extern contradictoriu",'Calibrare v2'!$B$22,0))-MAX(0,(IF(Z66="",'Calibrare v2'!$B$26,Z66)-'Calibrare v2'!$B$26)*'Calibrare v2'!$B$27))))</x:f>
        <x:v>0.5366862689852272</x:v>
      </x:c>
      <x:c r="AC66" s="28"/>
      <x:c r="AD66" s="69" t="n">
        <x:f>IF(H66="","",MAX(0,MIN(H66,IF(Y66="Proxy 1X2",'Calibrare v2'!$B$23,'Calibrare v2'!$B$24))-IF(AA66="DA",'Calibrare v2'!$B$25,0)-MAX(0,(IF(Z66="",'Calibrare v2'!$B$26,Z66)-'Calibrare v2'!$B$26)*'Calibrare v2'!$B$37)))</x:f>
        <x:v>82</x:v>
      </x:c>
      <x:c r="AE66" s="34"/>
      <x:c r="AF66" s="73"/>
      <x:c r="AG66" s="16"/>
      <x:c r="AH66" s="16"/>
      <x:c r="AI66" s="64"/>
      <x:c r="AJ66" s="75" t="str">
        <x:f>IF(OR(G66="",F66=""),"",IF(AND(G66&gt;='Calibrare v2'!$B$35,F66&lt;='Calibrare v2'!$B$34),"PASS","FAIL"))</x:f>
        <x:v>FAIL</x:v>
      </x:c>
      <x:c r="AK66" s="75" t="str">
        <x:f>IF(OR(AB66="",AD66="",F66=""),"",IF(AND(AB66&gt;='Calibrare v2'!$B$29,F66&lt;='Calibrare v2'!$B$33,IF(Z66="",'Calibrare v2'!$B$26,Z66)&lt;='Calibrare v2'!$B$26,AD66&gt;='Calibrare v2'!$B$31,OR(AG66="",AB66*AG66-1&gt;='Calibrare v2'!$B$36)),"DA – FEZABIL",IF(AND(AB66&gt;='Calibrare v2'!$B$30,IF(Z66="",'Calibrare v2'!$B$26,Z66)&lt;='Calibrare v2'!$B$28,AD66&gt;='Calibrare v2'!$B$32),"DA – PRUDENT","NU – NO BET")))</x:f>
        <x:v>NU – NO BET</x:v>
      </x:c>
      <x:c r="AL66" s="9"/>
      <x:c r="AM66" s="9"/>
      <x:c r="AN66" s="64"/>
      <x:c r="AO66" s="64"/>
      <x:c r="AP66" s="16"/>
      <x:c r="AQ66" s="73"/>
      <x:c r="AR66" s="9" t="str">
        <x:v>Backtest inițial 29.08.2026; coloanele v2 LIVE sunt retrospective. Snapshot v2 nu a existat pre-match.</x:v>
      </x:c>
    </x:row>
    <x:row r="67" ht="42.75" customHeight="1">
      <x:c r="A67" s="10" t="n">
        <x:v>66</x:v>
      </x:c>
      <x:c r="B67" s="10" t="str">
        <x:v>Grecia</x:v>
      </x:c>
      <x:c r="C67" s="10" t="str">
        <x:v>Super League</x:v>
      </x:c>
      <x:c r="D67" s="10" t="str">
        <x:v>Volos – Iraklis</x:v>
      </x:c>
      <x:c r="E67" s="10" t="str">
        <x:v>DA – FEZABIL</x:v>
      </x:c>
      <x:c r="F67" s="17" t="n">
        <x:v>2.265640500158666</x:v>
      </x:c>
      <x:c r="G67" s="29" t="n">
        <x:v>0.9202148168385629</x:v>
      </x:c>
      <x:c r="H67" s="35" t="n">
        <x:v>62</x:v>
      </x:c>
      <x:c r="I67" s="10" t="str">
        <x:v>PASS</x:v>
      </x:c>
      <x:c r="J67" s="10" t="n">
        <x:v>1</x:v>
      </x:c>
      <x:c r="K67" s="10" t="n">
        <x:v>1</x:v>
      </x:c>
      <x:c r="L67" s="10" t="n">
        <x:v>2</x:v>
      </x:c>
      <x:c r="M67" s="10" t="str">
        <x:v>UNDER</x:v>
      </x:c>
      <x:c r="N67" s="10" t="str">
        <x:v>PARIU U4,5</x:v>
      </x:c>
      <x:c r="O67" s="10" t="str">
        <x:v>SUCCES</x:v>
      </x:c>
      <x:c r="P67" s="10" t="n">
        <x:v>1</x:v>
      </x:c>
      <x:c r="Q67" s="56" t="n">
        <x:v>0.00636567545210407</x:v>
      </x:c>
      <x:c r="R67" s="17" t="n">
        <x:v>-0.2656405001586659</x:v>
      </x:c>
      <x:c r="S67" s="10" t="str">
        <x:v>Succes solid: 2 goluri, cu 2 gol(uri) sub limita de 4; λ=2.27. Riscul de coadă 5+ nu s-a materializat.</x:v>
      </x:c>
      <x:c r="T67" s="10" t="str">
        <x:v>Proxy piață 1X2 (Poisson)</x:v>
      </x:c>
      <x:c r="U67" s="10" t="str">
        <x:v>https://www.gsp.ro/rezultate-live/meciuri-29-08-2026</x:v>
      </x:c>
      <x:c r="V67" s="59" t="n">
        <x:v>46263</x:v>
      </x:c>
      <x:c r="W67" s="16" t="n">
        <x:v>1.3975259759746286</x:v>
      </x:c>
      <x:c r="X67" s="16" t="n">
        <x:v>0.8681145241840372</x:v>
      </x:c>
      <x:c r="Y67" s="9" t="str">
        <x:v>Proxy 1X2</x:v>
      </x:c>
      <x:c r="Z67" s="34"/>
      <x:c r="AA67" s="9"/>
      <x:c r="AB67" s="64" t="n">
        <x:f>IF(G67="","",MAX(0.5,MIN(0.995,G67-'Calibrare v2'!$B$20-IF(Y67="Proxy 1X2",'Calibrare v2'!$B$21,IF(Y67="Model extern contradictoriu",'Calibrare v2'!$B$22,0))-MAX(0,(IF(Z67="",'Calibrare v2'!$B$26,Z67)-'Calibrare v2'!$B$26)*'Calibrare v2'!$B$27))))</x:f>
        <x:v>0.8686694159523654</x:v>
      </x:c>
      <x:c r="AC67" s="28"/>
      <x:c r="AD67" s="69" t="n">
        <x:f>IF(H67="","",MAX(0,MIN(H67,IF(Y67="Proxy 1X2",'Calibrare v2'!$B$23,'Calibrare v2'!$B$24))-IF(AA67="DA",'Calibrare v2'!$B$25,0)-MAX(0,(IF(Z67="",'Calibrare v2'!$B$26,Z67)-'Calibrare v2'!$B$26)*'Calibrare v2'!$B$37)))</x:f>
        <x:v>60</x:v>
      </x:c>
      <x:c r="AE67" s="34"/>
      <x:c r="AF67" s="73"/>
      <x:c r="AG67" s="16"/>
      <x:c r="AH67" s="16"/>
      <x:c r="AI67" s="64"/>
      <x:c r="AJ67" s="75" t="str">
        <x:f>IF(OR(G67="",F67=""),"",IF(AND(G67&gt;='Calibrare v2'!$B$35,F67&lt;='Calibrare v2'!$B$34),"PASS","FAIL"))</x:f>
        <x:v>PASS</x:v>
      </x:c>
      <x:c r="AK67" s="75" t="str">
        <x:f>IF(OR(AB67="",AD67="",F67=""),"",IF(AND(AB67&gt;='Calibrare v2'!$B$29,F67&lt;='Calibrare v2'!$B$33,IF(Z67="",'Calibrare v2'!$B$26,Z67)&lt;='Calibrare v2'!$B$26,AD67&gt;='Calibrare v2'!$B$31,OR(AG67="",AB67*AG67-1&gt;='Calibrare v2'!$B$36)),"DA – FEZABIL",IF(AND(AB67&gt;='Calibrare v2'!$B$30,IF(Z67="",'Calibrare v2'!$B$26,Z67)&lt;='Calibrare v2'!$B$28,AD67&gt;='Calibrare v2'!$B$32),"DA – PRUDENT","NU – NO BET")))</x:f>
        <x:v>DA – PRUDENT</x:v>
      </x:c>
      <x:c r="AL67" s="9"/>
      <x:c r="AM67" s="9"/>
      <x:c r="AN67" s="64"/>
      <x:c r="AO67" s="64"/>
      <x:c r="AP67" s="16"/>
      <x:c r="AQ67" s="73"/>
      <x:c r="AR67" s="9" t="str">
        <x:v>Backtest inițial 29.08.2026; coloanele v2 LIVE sunt retrospective. Snapshot v2 nu a existat pre-match.</x:v>
      </x:c>
    </x:row>
    <x:row r="68" ht="42.75" customHeight="1">
      <x:c r="A68" s="10" t="n">
        <x:v>67</x:v>
      </x:c>
      <x:c r="B68" s="10" t="str">
        <x:v>Grecia</x:v>
      </x:c>
      <x:c r="C68" s="10" t="str">
        <x:v>Super League</x:v>
      </x:c>
      <x:c r="D68" s="10" t="str">
        <x:v>Panetolikos – Kalamata</x:v>
      </x:c>
      <x:c r="E68" s="10" t="str">
        <x:v>DA – FEZABIL</x:v>
      </x:c>
      <x:c r="F68" s="17" t="n">
        <x:v>1.9888242490666923</x:v>
      </x:c>
      <x:c r="G68" s="29" t="n">
        <x:v>0.9483496639848867</x:v>
      </x:c>
      <x:c r="H68" s="35" t="n">
        <x:v>62</x:v>
      </x:c>
      <x:c r="I68" s="10" t="str">
        <x:v>PASS</x:v>
      </x:c>
      <x:c r="J68" s="10" t="n">
        <x:v>2</x:v>
      </x:c>
      <x:c r="K68" s="10" t="n">
        <x:v>0</x:v>
      </x:c>
      <x:c r="L68" s="10" t="n">
        <x:v>2</x:v>
      </x:c>
      <x:c r="M68" s="10" t="str">
        <x:v>UNDER</x:v>
      </x:c>
      <x:c r="N68" s="10" t="str">
        <x:v>PARIU U4,5</x:v>
      </x:c>
      <x:c r="O68" s="10" t="str">
        <x:v>SUCCES</x:v>
      </x:c>
      <x:c r="P68" s="10" t="n">
        <x:v>1</x:v>
      </x:c>
      <x:c r="Q68" s="56" t="n">
        <x:v>0.0026677572104741062</x:v>
      </x:c>
      <x:c r="R68" s="17" t="n">
        <x:v>0.011175750933307693</x:v>
      </x:c>
      <x:c r="S68" s="10" t="str">
        <x:v>Succes solid: 2 goluri, cu 2 gol(uri) sub limita de 4; λ=1.99. Riscul de coadă 5+ nu s-a materializat.</x:v>
      </x:c>
      <x:c r="T68" s="10" t="str">
        <x:v>Proxy piață 1X2 (Poisson)</x:v>
      </x:c>
      <x:c r="U68" s="10" t="str">
        <x:v>https://www.gsp.ro/rezultate-live/meciuri-29-08-2026</x:v>
      </x:c>
      <x:c r="V68" s="59" t="n">
        <x:v>46263</x:v>
      </x:c>
      <x:c r="W68" s="16" t="n">
        <x:v>1.1056714335952613</x:v>
      </x:c>
      <x:c r="X68" s="16" t="n">
        <x:v>0.8831528154714311</x:v>
      </x:c>
      <x:c r="Y68" s="9" t="str">
        <x:v>Proxy 1X2</x:v>
      </x:c>
      <x:c r="Z68" s="34"/>
      <x:c r="AA68" s="9"/>
      <x:c r="AB68" s="64" t="n">
        <x:f>IF(G68="","",MAX(0.5,MIN(0.995,G68-'Calibrare v2'!$B$20-IF(Y68="Proxy 1X2",'Calibrare v2'!$B$21,IF(Y68="Model extern contradictoriu",'Calibrare v2'!$B$22,0))-MAX(0,(IF(Z68="",'Calibrare v2'!$B$26,Z68)-'Calibrare v2'!$B$26)*'Calibrare v2'!$B$27))))</x:f>
        <x:v>0.8968042630986892</x:v>
      </x:c>
      <x:c r="AC68" s="28"/>
      <x:c r="AD68" s="69" t="n">
        <x:f>IF(H68="","",MAX(0,MIN(H68,IF(Y68="Proxy 1X2",'Calibrare v2'!$B$23,'Calibrare v2'!$B$24))-IF(AA68="DA",'Calibrare v2'!$B$25,0)-MAX(0,(IF(Z68="",'Calibrare v2'!$B$26,Z68)-'Calibrare v2'!$B$26)*'Calibrare v2'!$B$37)))</x:f>
        <x:v>60</x:v>
      </x:c>
      <x:c r="AE68" s="34"/>
      <x:c r="AF68" s="73"/>
      <x:c r="AG68" s="16"/>
      <x:c r="AH68" s="16"/>
      <x:c r="AI68" s="64"/>
      <x:c r="AJ68" s="75" t="str">
        <x:f>IF(OR(G68="",F68=""),"",IF(AND(G68&gt;='Calibrare v2'!$B$35,F68&lt;='Calibrare v2'!$B$34),"PASS","FAIL"))</x:f>
        <x:v>PASS</x:v>
      </x:c>
      <x:c r="AK68" s="75" t="str">
        <x:f>IF(OR(AB68="",AD68="",F68=""),"",IF(AND(AB68&gt;='Calibrare v2'!$B$29,F68&lt;='Calibrare v2'!$B$33,IF(Z68="",'Calibrare v2'!$B$26,Z68)&lt;='Calibrare v2'!$B$26,AD68&gt;='Calibrare v2'!$B$31,OR(AG68="",AB68*AG68-1&gt;='Calibrare v2'!$B$36)),"DA – FEZABIL",IF(AND(AB68&gt;='Calibrare v2'!$B$30,IF(Z68="",'Calibrare v2'!$B$26,Z68)&lt;='Calibrare v2'!$B$28,AD68&gt;='Calibrare v2'!$B$32),"DA – PRUDENT","NU – NO BET")))</x:f>
        <x:v>DA – PRUDENT</x:v>
      </x:c>
      <x:c r="AL68" s="9"/>
      <x:c r="AM68" s="9"/>
      <x:c r="AN68" s="64"/>
      <x:c r="AO68" s="64"/>
      <x:c r="AP68" s="16"/>
      <x:c r="AQ68" s="73"/>
      <x:c r="AR68" s="9" t="str">
        <x:v>Backtest inițial 29.08.2026; coloanele v2 LIVE sunt retrospective. Snapshot v2 nu a existat pre-match.</x:v>
      </x:c>
    </x:row>
    <x:row r="69" ht="42.75" customHeight="1">
      <x:c r="A69" s="10" t="n">
        <x:v>68</x:v>
      </x:c>
      <x:c r="B69" s="10" t="str">
        <x:v>Turcia</x:v>
      </x:c>
      <x:c r="C69" s="10" t="str">
        <x:v>Süper Lig</x:v>
      </x:c>
      <x:c r="D69" s="10" t="str">
        <x:v>Konyaspor – Kocaelispor</x:v>
      </x:c>
      <x:c r="E69" s="10" t="str">
        <x:v>DA – FEZABIL</x:v>
      </x:c>
      <x:c r="F69" s="17" t="n">
        <x:v>2.2426670623200518</x:v>
      </x:c>
      <x:c r="G69" s="29" t="n">
        <x:v>0.9228088801620261</x:v>
      </x:c>
      <x:c r="H69" s="35" t="n">
        <x:v>62</x:v>
      </x:c>
      <x:c r="I69" s="10" t="str">
        <x:v>PASS</x:v>
      </x:c>
      <x:c r="J69" s="10" t="n">
        <x:v>1</x:v>
      </x:c>
      <x:c r="K69" s="10" t="n">
        <x:v>2</x:v>
      </x:c>
      <x:c r="L69" s="10" t="n">
        <x:v>3</x:v>
      </x:c>
      <x:c r="M69" s="10" t="str">
        <x:v>UNDER</x:v>
      </x:c>
      <x:c r="N69" s="10" t="str">
        <x:v>PARIU U4,5</x:v>
      </x:c>
      <x:c r="O69" s="10" t="str">
        <x:v>SUCCES</x:v>
      </x:c>
      <x:c r="P69" s="10" t="n">
        <x:v>1</x:v>
      </x:c>
      <x:c r="Q69" s="56" t="n">
        <x:v>0.0059584689818404455</x:v>
      </x:c>
      <x:c r="R69" s="17" t="n">
        <x:v>0.7573329376799482</x:v>
      </x:c>
      <x:c r="S69" s="10" t="str">
        <x:v>Succes solid: 3 goluri, cu 1 gol(uri) sub limita de 4; λ=2.24. Riscul de coadă 5+ nu s-a materializat.</x:v>
      </x:c>
      <x:c r="T69" s="10" t="str">
        <x:v>Proxy piață 1X2 (Poisson)</x:v>
      </x:c>
      <x:c r="U69" s="10" t="str">
        <x:v>https://www.gsp.ro/rezultate-live/meciuri-29-08-2026</x:v>
      </x:c>
      <x:c r="V69" s="59" t="n">
        <x:v>46263</x:v>
      </x:c>
      <x:c r="W69" s="16" t="n">
        <x:v>1.3550877632681584</x:v>
      </x:c>
      <x:c r="X69" s="16" t="n">
        <x:v>0.8875792990518933</x:v>
      </x:c>
      <x:c r="Y69" s="9" t="str">
        <x:v>Proxy 1X2</x:v>
      </x:c>
      <x:c r="Z69" s="34"/>
      <x:c r="AA69" s="9"/>
      <x:c r="AB69" s="64" t="n">
        <x:f>IF(G69="","",MAX(0.5,MIN(0.995,G69-'Calibrare v2'!$B$20-IF(Y69="Proxy 1X2",'Calibrare v2'!$B$21,IF(Y69="Model extern contradictoriu",'Calibrare v2'!$B$22,0))-MAX(0,(IF(Z69="",'Calibrare v2'!$B$26,Z69)-'Calibrare v2'!$B$26)*'Calibrare v2'!$B$27))))</x:f>
        <x:v>0.8712634792758286</x:v>
      </x:c>
      <x:c r="AC69" s="28"/>
      <x:c r="AD69" s="69" t="n">
        <x:f>IF(H69="","",MAX(0,MIN(H69,IF(Y69="Proxy 1X2",'Calibrare v2'!$B$23,'Calibrare v2'!$B$24))-IF(AA69="DA",'Calibrare v2'!$B$25,0)-MAX(0,(IF(Z69="",'Calibrare v2'!$B$26,Z69)-'Calibrare v2'!$B$26)*'Calibrare v2'!$B$37)))</x:f>
        <x:v>60</x:v>
      </x:c>
      <x:c r="AE69" s="34"/>
      <x:c r="AF69" s="73"/>
      <x:c r="AG69" s="16"/>
      <x:c r="AH69" s="16"/>
      <x:c r="AI69" s="64"/>
      <x:c r="AJ69" s="75" t="str">
        <x:f>IF(OR(G69="",F69=""),"",IF(AND(G69&gt;='Calibrare v2'!$B$35,F69&lt;='Calibrare v2'!$B$34),"PASS","FAIL"))</x:f>
        <x:v>PASS</x:v>
      </x:c>
      <x:c r="AK69" s="75" t="str">
        <x:f>IF(OR(AB69="",AD69="",F69=""),"",IF(AND(AB69&gt;='Calibrare v2'!$B$29,F69&lt;='Calibrare v2'!$B$33,IF(Z69="",'Calibrare v2'!$B$26,Z69)&lt;='Calibrare v2'!$B$26,AD69&gt;='Calibrare v2'!$B$31,OR(AG69="",AB69*AG69-1&gt;='Calibrare v2'!$B$36)),"DA – FEZABIL",IF(AND(AB69&gt;='Calibrare v2'!$B$30,IF(Z69="",'Calibrare v2'!$B$26,Z69)&lt;='Calibrare v2'!$B$28,AD69&gt;='Calibrare v2'!$B$32),"DA – PRUDENT","NU – NO BET")))</x:f>
        <x:v>DA – PRUDENT</x:v>
      </x:c>
      <x:c r="AL69" s="9"/>
      <x:c r="AM69" s="9"/>
      <x:c r="AN69" s="64"/>
      <x:c r="AO69" s="64"/>
      <x:c r="AP69" s="16"/>
      <x:c r="AQ69" s="73"/>
      <x:c r="AR69" s="9" t="str">
        <x:v>Backtest inițial 29.08.2026; coloanele v2 LIVE sunt retrospective. Snapshot v2 nu a existat pre-match.</x:v>
      </x:c>
    </x:row>
    <x:row r="70" ht="43.5" customHeight="1">
      <x:c r="A70" s="10" t="n">
        <x:v>69</x:v>
      </x:c>
      <x:c r="B70" s="10" t="str">
        <x:v>Turcia</x:v>
      </x:c>
      <x:c r="C70" s="10" t="str">
        <x:v>Süper Lig</x:v>
      </x:c>
      <x:c r="D70" s="10" t="str">
        <x:v>Galatasaray – Göztepe</x:v>
      </x:c>
      <x:c r="E70" s="10" t="str">
        <x:v>NU – EVITĂ</x:v>
      </x:c>
      <x:c r="F70" s="17" t="n">
        <x:v>3.9702860193642513</x:v>
      </x:c>
      <x:c r="G70" s="29" t="n">
        <x:v>0.6346418465814003</x:v>
      </x:c>
      <x:c r="H70" s="35" t="n">
        <x:v>82</x:v>
      </x:c>
      <x:c r="I70" s="10" t="str">
        <x:v>FAIL</x:v>
      </x:c>
      <x:c r="J70" s="10" t="n">
        <x:v>3</x:v>
      </x:c>
      <x:c r="K70" s="10" t="n">
        <x:v>2</x:v>
      </x:c>
      <x:c r="L70" s="10" t="n">
        <x:v>5</x:v>
      </x:c>
      <x:c r="M70" s="10" t="str">
        <x:v>OVER</x:v>
      </x:c>
      <x:c r="N70" s="10" t="str">
        <x:v>NO BET</x:v>
      </x:c>
      <x:c r="O70" s="10" t="str">
        <x:v>EVITARE CORECTĂ</x:v>
      </x:c>
      <x:c r="P70" s="10" t="n">
        <x:v>0</x:v>
      </x:c>
      <x:c r="Q70" s="56" t="n">
        <x:v>0.4027702734322497</x:v>
      </x:c>
      <x:c r="R70" s="17" t="n">
        <x:v>1.0297139806357487</x:v>
      </x:c>
      <x:c r="S70" s="10" t="str">
        <x:v>Evitare corectă: 5 goluri. Semnalul de risc ridicat/λ mare a justificat NO BET.</x:v>
      </x:c>
      <x:c r="T70" s="10" t="str">
        <x:v>FulltimeStats + piață 1X2</x:v>
      </x:c>
      <x:c r="U70" s="10" t="str">
        <x:v>https://www.gsp.ro/rezultate-live/meciuri-29-08-2026</x:v>
      </x:c>
      <x:c r="V70" s="59" t="n">
        <x:v>46263</x:v>
      </x:c>
      <x:c r="W70" s="16" t="n">
        <x:v>2.7932157194416556</x:v>
      </x:c>
      <x:c r="X70" s="16" t="n">
        <x:v>1.1770702999225957</x:v>
      </x:c>
      <x:c r="Y70" s="9" t="str">
        <x:v>Altă sursă</x:v>
      </x:c>
      <x:c r="Z70" s="34"/>
      <x:c r="AA70" s="9"/>
      <x:c r="AB70" s="64" t="n">
        <x:f>IF(G70="","",MAX(0.5,MIN(0.995,G70-'Calibrare v2'!$B$20-IF(Y70="Proxy 1X2",'Calibrare v2'!$B$21,IF(Y70="Model extern contradictoriu",'Calibrare v2'!$B$22,0))-MAX(0,(IF(Z70="",'Calibrare v2'!$B$26,Z70)-'Calibrare v2'!$B$26)*'Calibrare v2'!$B$27))))</x:f>
        <x:v>0.6030964456952028</x:v>
      </x:c>
      <x:c r="AC70" s="28"/>
      <x:c r="AD70" s="69" t="n">
        <x:f>IF(H70="","",MAX(0,MIN(H70,IF(Y70="Proxy 1X2",'Calibrare v2'!$B$23,'Calibrare v2'!$B$24))-IF(AA70="DA",'Calibrare v2'!$B$25,0)-MAX(0,(IF(Z70="",'Calibrare v2'!$B$26,Z70)-'Calibrare v2'!$B$26)*'Calibrare v2'!$B$37)))</x:f>
        <x:v>82</x:v>
      </x:c>
      <x:c r="AE70" s="34"/>
      <x:c r="AF70" s="73"/>
      <x:c r="AG70" s="16"/>
      <x:c r="AH70" s="16"/>
      <x:c r="AI70" s="64"/>
      <x:c r="AJ70" s="75" t="str">
        <x:f>IF(OR(G70="",F70=""),"",IF(AND(G70&gt;='Calibrare v2'!$B$35,F70&lt;='Calibrare v2'!$B$34),"PASS","FAIL"))</x:f>
        <x:v>FAIL</x:v>
      </x:c>
      <x:c r="AK70" s="75" t="str">
        <x:f>IF(OR(AB70="",AD70="",F70=""),"",IF(AND(AB70&gt;='Calibrare v2'!$B$29,F70&lt;='Calibrare v2'!$B$33,IF(Z70="",'Calibrare v2'!$B$26,Z70)&lt;='Calibrare v2'!$B$26,AD70&gt;='Calibrare v2'!$B$31,OR(AG70="",AB70*AG70-1&gt;='Calibrare v2'!$B$36)),"DA – FEZABIL",IF(AND(AB70&gt;='Calibrare v2'!$B$30,IF(Z70="",'Calibrare v2'!$B$26,Z70)&lt;='Calibrare v2'!$B$28,AD70&gt;='Calibrare v2'!$B$32),"DA – PRUDENT","NU – NO BET")))</x:f>
        <x:v>NU – NO BET</x:v>
      </x:c>
      <x:c r="AL70" s="9"/>
      <x:c r="AM70" s="9"/>
      <x:c r="AN70" s="64"/>
      <x:c r="AO70" s="64"/>
      <x:c r="AP70" s="16"/>
      <x:c r="AQ70" s="73"/>
      <x:c r="AR70" s="9" t="str">
        <x:v>Backtest inițial 29.08.2026; coloanele v2 LIVE sunt retrospective. Snapshot v2 nu a existat pre-match.</x:v>
      </x:c>
    </x:row>
    <x:row r="71" ht="42.75" customHeight="1">
      <x:c r="A71" s="10" t="n">
        <x:v>70</x:v>
      </x:c>
      <x:c r="B71" s="10" t="str">
        <x:v>Turcia</x:v>
      </x:c>
      <x:c r="C71" s="10" t="str">
        <x:v>Süper Lig</x:v>
      </x:c>
      <x:c r="D71" s="10" t="str">
        <x:v>Gaziantep – Rizespor</x:v>
      </x:c>
      <x:c r="E71" s="10" t="str">
        <x:v>DA – FEZABIL</x:v>
      </x:c>
      <x:c r="F71" s="17" t="n">
        <x:v>2.5610958759720166</x:v>
      </x:c>
      <x:c r="G71" s="29" t="n">
        <x:v>0.8828673398803737</x:v>
      </x:c>
      <x:c r="H71" s="35" t="n">
        <x:v>62</x:v>
      </x:c>
      <x:c r="I71" s="10" t="str">
        <x:v>PASS</x:v>
      </x:c>
      <x:c r="J71" s="10" t="n">
        <x:v>1</x:v>
      </x:c>
      <x:c r="K71" s="10" t="n">
        <x:v>2</x:v>
      </x:c>
      <x:c r="L71" s="10" t="n">
        <x:v>3</x:v>
      </x:c>
      <x:c r="M71" s="10" t="str">
        <x:v>UNDER</x:v>
      </x:c>
      <x:c r="N71" s="10" t="str">
        <x:v>PARIU U4,5</x:v>
      </x:c>
      <x:c r="O71" s="10" t="str">
        <x:v>SUCCES</x:v>
      </x:c>
      <x:c r="P71" s="10" t="n">
        <x:v>1</x:v>
      </x:c>
      <x:c r="Q71" s="56" t="n">
        <x:v>0.013720060066699895</x:v>
      </x:c>
      <x:c r="R71" s="17" t="n">
        <x:v>0.4389041240279834</x:v>
      </x:c>
      <x:c r="S71" s="10" t="str">
        <x:v>Succes solid: 3 goluri, cu 1 gol(uri) sub limita de 4; λ=2.56. Riscul de coadă 5+ nu s-a materializat.</x:v>
      </x:c>
      <x:c r="T71" s="10" t="str">
        <x:v>Proxy piață 1X2 (Poisson)</x:v>
      </x:c>
      <x:c r="U71" s="10" t="str">
        <x:v>https://www.gsp.ro/rezultate-live/meciuri-29-08-2026</x:v>
      </x:c>
      <x:c r="V71" s="59" t="n">
        <x:v>46263</x:v>
      </x:c>
      <x:c r="W71" s="16" t="n">
        <x:v>1.304045278509243</x:v>
      </x:c>
      <x:c r="X71" s="16" t="n">
        <x:v>1.257050597462774</x:v>
      </x:c>
      <x:c r="Y71" s="9" t="str">
        <x:v>Proxy 1X2</x:v>
      </x:c>
      <x:c r="Z71" s="34"/>
      <x:c r="AA71" s="9"/>
      <x:c r="AB71" s="64" t="n">
        <x:f>IF(G71="","",MAX(0.5,MIN(0.995,G71-'Calibrare v2'!$B$20-IF(Y71="Proxy 1X2",'Calibrare v2'!$B$21,IF(Y71="Model extern contradictoriu",'Calibrare v2'!$B$22,0))-MAX(0,(IF(Z71="",'Calibrare v2'!$B$26,Z71)-'Calibrare v2'!$B$26)*'Calibrare v2'!$B$27))))</x:f>
        <x:v>0.8313219389941762</x:v>
      </x:c>
      <x:c r="AC71" s="28"/>
      <x:c r="AD71" s="69" t="n">
        <x:f>IF(H71="","",MAX(0,MIN(H71,IF(Y71="Proxy 1X2",'Calibrare v2'!$B$23,'Calibrare v2'!$B$24))-IF(AA71="DA",'Calibrare v2'!$B$25,0)-MAX(0,(IF(Z71="",'Calibrare v2'!$B$26,Z71)-'Calibrare v2'!$B$26)*'Calibrare v2'!$B$37)))</x:f>
        <x:v>60</x:v>
      </x:c>
      <x:c r="AE71" s="34"/>
      <x:c r="AF71" s="73"/>
      <x:c r="AG71" s="16"/>
      <x:c r="AH71" s="16"/>
      <x:c r="AI71" s="64"/>
      <x:c r="AJ71" s="75" t="str">
        <x:f>IF(OR(G71="",F71=""),"",IF(AND(G71&gt;='Calibrare v2'!$B$35,F71&lt;='Calibrare v2'!$B$34),"PASS","FAIL"))</x:f>
        <x:v>FAIL</x:v>
      </x:c>
      <x:c r="AK71" s="75" t="str">
        <x:f>IF(OR(AB71="",AD71="",F71=""),"",IF(AND(AB71&gt;='Calibrare v2'!$B$29,F71&lt;='Calibrare v2'!$B$33,IF(Z71="",'Calibrare v2'!$B$26,Z71)&lt;='Calibrare v2'!$B$26,AD71&gt;='Calibrare v2'!$B$31,OR(AG71="",AB71*AG71-1&gt;='Calibrare v2'!$B$36)),"DA – FEZABIL",IF(AND(AB71&gt;='Calibrare v2'!$B$30,IF(Z71="",'Calibrare v2'!$B$26,Z71)&lt;='Calibrare v2'!$B$28,AD71&gt;='Calibrare v2'!$B$32),"DA – PRUDENT","NU – NO BET")))</x:f>
        <x:v>DA – PRUDENT</x:v>
      </x:c>
      <x:c r="AL71" s="9"/>
      <x:c r="AM71" s="9"/>
      <x:c r="AN71" s="64"/>
      <x:c r="AO71" s="64"/>
      <x:c r="AP71" s="16"/>
      <x:c r="AQ71" s="73"/>
      <x:c r="AR71" s="9" t="str">
        <x:v>Backtest inițial 29.08.2026; coloanele v2 LIVE sunt retrospective. Snapshot v2 nu a existat pre-match.</x:v>
      </x:c>
    </x:row>
    <x:row r="72" ht="43.5" customHeight="1">
      <x:c r="A72" s="10" t="n">
        <x:v>71</x:v>
      </x:c>
      <x:c r="B72" s="10" t="str">
        <x:v>Olanda</x:v>
      </x:c>
      <x:c r="C72" s="10" t="str">
        <x:v>Eredivisie</x:v>
      </x:c>
      <x:c r="D72" s="10" t="str">
        <x:v>Excelsior – Sparta Rotterdam</x:v>
      </x:c>
      <x:c r="E72" s="10" t="str">
        <x:v>DA – PRUDENT</x:v>
      </x:c>
      <x:c r="F72" s="17" t="n">
        <x:v>2.7423534643987466</x:v>
      </x:c>
      <x:c r="G72" s="29" t="n">
        <x:v>0.8565413400212343</x:v>
      </x:c>
      <x:c r="H72" s="35" t="n">
        <x:v>62</x:v>
      </x:c>
      <x:c r="I72" s="10" t="str">
        <x:v>FAIL</x:v>
      </x:c>
      <x:c r="J72" s="10" t="n">
        <x:v>2</x:v>
      </x:c>
      <x:c r="K72" s="10" t="n">
        <x:v>1</x:v>
      </x:c>
      <x:c r="L72" s="10" t="n">
        <x:v>3</x:v>
      </x:c>
      <x:c r="M72" s="10" t="str">
        <x:v>UNDER</x:v>
      </x:c>
      <x:c r="N72" s="10" t="str">
        <x:v>PARIU U4,5</x:v>
      </x:c>
      <x:c r="O72" s="10" t="str">
        <x:v>SUCCES</x:v>
      </x:c>
      <x:c r="P72" s="10" t="n">
        <x:v>1</x:v>
      </x:c>
      <x:c r="Q72" s="56" t="n">
        <x:v>0.020580387122903117</x:v>
      </x:c>
      <x:c r="R72" s="17" t="n">
        <x:v>0.2576465356012534</x:v>
      </x:c>
      <x:c r="S72" s="10" t="str">
        <x:v>Succes solid: 3 goluri, cu 1 gol(uri) sub limita de 4; λ=2.74. Riscul de coadă 5+ nu s-a materializat.</x:v>
      </x:c>
      <x:c r="T72" s="10" t="str">
        <x:v>Proxy piață 1X2 (Poisson)</x:v>
      </x:c>
      <x:c r="U72" s="10" t="str">
        <x:v>https://www.gsp.ro/rezultate-live/meciuri-29-08-2026</x:v>
      </x:c>
      <x:c r="V72" s="59" t="n">
        <x:v>46263</x:v>
      </x:c>
      <x:c r="W72" s="16" t="n">
        <x:v>1.4302043872420958</x:v>
      </x:c>
      <x:c r="X72" s="16" t="n">
        <x:v>1.3121490771566509</x:v>
      </x:c>
      <x:c r="Y72" s="9" t="str">
        <x:v>Proxy 1X2</x:v>
      </x:c>
      <x:c r="Z72" s="34"/>
      <x:c r="AA72" s="9"/>
      <x:c r="AB72" s="64" t="n">
        <x:f>IF(G72="","",MAX(0.5,MIN(0.995,G72-'Calibrare v2'!$B$20-IF(Y72="Proxy 1X2",'Calibrare v2'!$B$21,IF(Y72="Model extern contradictoriu",'Calibrare v2'!$B$22,0))-MAX(0,(IF(Z72="",'Calibrare v2'!$B$26,Z72)-'Calibrare v2'!$B$26)*'Calibrare v2'!$B$27))))</x:f>
        <x:v>0.8049959391350368</x:v>
      </x:c>
      <x:c r="AC72" s="28"/>
      <x:c r="AD72" s="69" t="n">
        <x:f>IF(H72="","",MAX(0,MIN(H72,IF(Y72="Proxy 1X2",'Calibrare v2'!$B$23,'Calibrare v2'!$B$24))-IF(AA72="DA",'Calibrare v2'!$B$25,0)-MAX(0,(IF(Z72="",'Calibrare v2'!$B$26,Z72)-'Calibrare v2'!$B$26)*'Calibrare v2'!$B$37)))</x:f>
        <x:v>60</x:v>
      </x:c>
      <x:c r="AE72" s="34"/>
      <x:c r="AF72" s="73"/>
      <x:c r="AG72" s="16"/>
      <x:c r="AH72" s="16"/>
      <x:c r="AI72" s="64"/>
      <x:c r="AJ72" s="75" t="str">
        <x:f>IF(OR(G72="",F72=""),"",IF(AND(G72&gt;='Calibrare v2'!$B$35,F72&lt;='Calibrare v2'!$B$34),"PASS","FAIL"))</x:f>
        <x:v>FAIL</x:v>
      </x:c>
      <x:c r="AK72" s="75" t="str">
        <x:f>IF(OR(AB72="",AD72="",F72=""),"",IF(AND(AB72&gt;='Calibrare v2'!$B$29,F72&lt;='Calibrare v2'!$B$33,IF(Z72="",'Calibrare v2'!$B$26,Z72)&lt;='Calibrare v2'!$B$26,AD72&gt;='Calibrare v2'!$B$31,OR(AG72="",AB72*AG72-1&gt;='Calibrare v2'!$B$36)),"DA – FEZABIL",IF(AND(AB72&gt;='Calibrare v2'!$B$30,IF(Z72="",'Calibrare v2'!$B$26,Z72)&lt;='Calibrare v2'!$B$28,AD72&gt;='Calibrare v2'!$B$32),"DA – PRUDENT","NU – NO BET")))</x:f>
        <x:v>NU – NO BET</x:v>
      </x:c>
      <x:c r="AL72" s="9"/>
      <x:c r="AM72" s="9"/>
      <x:c r="AN72" s="64"/>
      <x:c r="AO72" s="64"/>
      <x:c r="AP72" s="16"/>
      <x:c r="AQ72" s="73"/>
      <x:c r="AR72" s="9" t="str">
        <x:v>Backtest inițial 29.08.2026; coloanele v2 LIVE sunt retrospective. Snapshot v2 nu a existat pre-match.</x:v>
      </x:c>
    </x:row>
    <x:row r="73" ht="43.5" customHeight="1">
      <x:c r="A73" s="10" t="n">
        <x:v>72</x:v>
      </x:c>
      <x:c r="B73" s="10" t="str">
        <x:v>Olanda</x:v>
      </x:c>
      <x:c r="C73" s="10" t="str">
        <x:v>Eredivisie</x:v>
      </x:c>
      <x:c r="D73" s="10" t="str">
        <x:v>AZ Alkmaar – Go Ahead Eagles</x:v>
      </x:c>
      <x:c r="E73" s="10" t="str">
        <x:v>NU – EVITĂ</x:v>
      </x:c>
      <x:c r="F73" s="17" t="n">
        <x:v>3.251744669888605</x:v>
      </x:c>
      <x:c r="G73" s="29" t="n">
        <x:v>0.7713389038970695</x:v>
      </x:c>
      <x:c r="H73" s="35" t="n">
        <x:v>74</x:v>
      </x:c>
      <x:c r="I73" s="10" t="str">
        <x:v>FAIL</x:v>
      </x:c>
      <x:c r="J73" s="10" t="n">
        <x:v>5</x:v>
      </x:c>
      <x:c r="K73" s="10" t="n">
        <x:v>2</x:v>
      </x:c>
      <x:c r="L73" s="10" t="n">
        <x:v>7</x:v>
      </x:c>
      <x:c r="M73" s="10" t="str">
        <x:v>OVER</x:v>
      </x:c>
      <x:c r="N73" s="10" t="str">
        <x:v>NO BET</x:v>
      </x:c>
      <x:c r="O73" s="10" t="str">
        <x:v>EVITARE CORECTĂ</x:v>
      </x:c>
      <x:c r="P73" s="10" t="n">
        <x:v>0</x:v>
      </x:c>
      <x:c r="Q73" s="56" t="n">
        <x:v>0.5949637046651326</x:v>
      </x:c>
      <x:c r="R73" s="17" t="n">
        <x:v>3.748255330111395</x:v>
      </x:c>
      <x:c r="S73" s="10" t="str">
        <x:v>Evitare corectă: 7 goluri. Semnalul de risc ridicat/λ mare a justificat NO BET.</x:v>
      </x:c>
      <x:c r="T73" s="10" t="str">
        <x:v>Piață 1X2 + Forebet total proiectat</x:v>
      </x:c>
      <x:c r="U73" s="10" t="str">
        <x:v>https://www.gsp.ro/rezultate-live/meciuri-29-08-2026</x:v>
      </x:c>
      <x:c r="V73" s="59" t="n">
        <x:v>46263</x:v>
      </x:c>
      <x:c r="W73" s="16" t="n">
        <x:v>2.3054898589560997</x:v>
      </x:c>
      <x:c r="X73" s="16" t="n">
        <x:v>0.9462548109325052</x:v>
      </x:c>
      <x:c r="Y73" s="9" t="str">
        <x:v>Altă sursă</x:v>
      </x:c>
      <x:c r="Z73" s="34"/>
      <x:c r="AA73" s="9"/>
      <x:c r="AB73" s="64" t="n">
        <x:f>IF(G73="","",MAX(0.5,MIN(0.995,G73-'Calibrare v2'!$B$20-IF(Y73="Proxy 1X2",'Calibrare v2'!$B$21,IF(Y73="Model extern contradictoriu",'Calibrare v2'!$B$22,0))-MAX(0,(IF(Z73="",'Calibrare v2'!$B$26,Z73)-'Calibrare v2'!$B$26)*'Calibrare v2'!$B$27))))</x:f>
        <x:v>0.739793503010872</x:v>
      </x:c>
      <x:c r="AC73" s="28"/>
      <x:c r="AD73" s="69" t="n">
        <x:f>IF(H73="","",MAX(0,MIN(H73,IF(Y73="Proxy 1X2",'Calibrare v2'!$B$23,'Calibrare v2'!$B$24))-IF(AA73="DA",'Calibrare v2'!$B$25,0)-MAX(0,(IF(Z73="",'Calibrare v2'!$B$26,Z73)-'Calibrare v2'!$B$26)*'Calibrare v2'!$B$37)))</x:f>
        <x:v>74</x:v>
      </x:c>
      <x:c r="AE73" s="34"/>
      <x:c r="AF73" s="73"/>
      <x:c r="AG73" s="16"/>
      <x:c r="AH73" s="16"/>
      <x:c r="AI73" s="64"/>
      <x:c r="AJ73" s="75" t="str">
        <x:f>IF(OR(G73="",F73=""),"",IF(AND(G73&gt;='Calibrare v2'!$B$35,F73&lt;='Calibrare v2'!$B$34),"PASS","FAIL"))</x:f>
        <x:v>FAIL</x:v>
      </x:c>
      <x:c r="AK73" s="75" t="str">
        <x:f>IF(OR(AB73="",AD73="",F73=""),"",IF(AND(AB73&gt;='Calibrare v2'!$B$29,F73&lt;='Calibrare v2'!$B$33,IF(Z73="",'Calibrare v2'!$B$26,Z73)&lt;='Calibrare v2'!$B$26,AD73&gt;='Calibrare v2'!$B$31,OR(AG73="",AB73*AG73-1&gt;='Calibrare v2'!$B$36)),"DA – FEZABIL",IF(AND(AB73&gt;='Calibrare v2'!$B$30,IF(Z73="",'Calibrare v2'!$B$26,Z73)&lt;='Calibrare v2'!$B$28,AD73&gt;='Calibrare v2'!$B$32),"DA – PRUDENT","NU – NO BET")))</x:f>
        <x:v>NU – NO BET</x:v>
      </x:c>
      <x:c r="AL73" s="9"/>
      <x:c r="AM73" s="9"/>
      <x:c r="AN73" s="64"/>
      <x:c r="AO73" s="64"/>
      <x:c r="AP73" s="16"/>
      <x:c r="AQ73" s="73"/>
      <x:c r="AR73" s="9" t="str">
        <x:v>Backtest inițial 29.08.2026; coloanele v2 LIVE sunt retrospective. Snapshot v2 nu a existat pre-match.</x:v>
      </x:c>
    </x:row>
    <x:row r="74" ht="43.5" customHeight="1">
      <x:c r="A74" s="10" t="n">
        <x:v>73</x:v>
      </x:c>
      <x:c r="B74" s="10" t="str">
        <x:v>Olanda</x:v>
      </x:c>
      <x:c r="C74" s="10" t="str">
        <x:v>Eredivisie</x:v>
      </x:c>
      <x:c r="D74" s="10" t="str">
        <x:v>PEC Zwolle – NEC</x:v>
      </x:c>
      <x:c r="E74" s="10" t="str">
        <x:v>NU – EVITĂ</x:v>
      </x:c>
      <x:c r="F74" s="17" t="n">
        <x:v>3.1291627907034756</x:v>
      </x:c>
      <x:c r="G74" s="29" t="n">
        <x:v>0.7931129455224234</x:v>
      </x:c>
      <x:c r="H74" s="35" t="n">
        <x:v>62</x:v>
      </x:c>
      <x:c r="I74" s="10" t="str">
        <x:v>FAIL</x:v>
      </x:c>
      <x:c r="J74" s="10" t="n">
        <x:v>1</x:v>
      </x:c>
      <x:c r="K74" s="10" t="n">
        <x:v>3</x:v>
      </x:c>
      <x:c r="L74" s="10" t="n">
        <x:v>4</x:v>
      </x:c>
      <x:c r="M74" s="10" t="str">
        <x:v>UNDER</x:v>
      </x:c>
      <x:c r="N74" s="10" t="str">
        <x:v>NO BET</x:v>
      </x:c>
      <x:c r="O74" s="10" t="str">
        <x:v>FALS NEGATIV</x:v>
      </x:c>
      <x:c r="P74" s="10" t="n">
        <x:v>1</x:v>
      </x:c>
      <x:c r="Q74" s="56" t="n">
        <x:v>0.04280225331040775</x:v>
      </x:c>
      <x:c r="R74" s="17" t="n">
        <x:v>0.8708372092965244</x:v>
      </x:c>
      <x:c r="S74" s="10" t="str">
        <x:v>Fals negativ: modelul a evitat pariul, dar meciul a avut doar 4 goluri. λ=3.13 a fost prea conservator pentru decizia AVOID.</x:v>
      </x:c>
      <x:c r="T74" s="10" t="str">
        <x:v>Proxy piață 1X2 (Poisson)</x:v>
      </x:c>
      <x:c r="U74" s="10" t="str">
        <x:v>https://www.gsp.ro/rezultate-live/meciuri-29-08-2026</x:v>
      </x:c>
      <x:c r="V74" s="59" t="n">
        <x:v>46263</x:v>
      </x:c>
      <x:c r="W74" s="16" t="n">
        <x:v>1.1545925147738358</x:v>
      </x:c>
      <x:c r="X74" s="16" t="n">
        <x:v>1.9745702759296397</x:v>
      </x:c>
      <x:c r="Y74" s="9" t="str">
        <x:v>Proxy 1X2</x:v>
      </x:c>
      <x:c r="Z74" s="34"/>
      <x:c r="AA74" s="9"/>
      <x:c r="AB74" s="64" t="n">
        <x:f>IF(G74="","",MAX(0.5,MIN(0.995,G74-'Calibrare v2'!$B$20-IF(Y74="Proxy 1X2",'Calibrare v2'!$B$21,IF(Y74="Model extern contradictoriu",'Calibrare v2'!$B$22,0))-MAX(0,(IF(Z74="",'Calibrare v2'!$B$26,Z74)-'Calibrare v2'!$B$26)*'Calibrare v2'!$B$27))))</x:f>
        <x:v>0.7415675446362259</x:v>
      </x:c>
      <x:c r="AC74" s="28"/>
      <x:c r="AD74" s="69" t="n">
        <x:f>IF(H74="","",MAX(0,MIN(H74,IF(Y74="Proxy 1X2",'Calibrare v2'!$B$23,'Calibrare v2'!$B$24))-IF(AA74="DA",'Calibrare v2'!$B$25,0)-MAX(0,(IF(Z74="",'Calibrare v2'!$B$26,Z74)-'Calibrare v2'!$B$26)*'Calibrare v2'!$B$37)))</x:f>
        <x:v>60</x:v>
      </x:c>
      <x:c r="AE74" s="34"/>
      <x:c r="AF74" s="73"/>
      <x:c r="AG74" s="16"/>
      <x:c r="AH74" s="16"/>
      <x:c r="AI74" s="64"/>
      <x:c r="AJ74" s="75" t="str">
        <x:f>IF(OR(G74="",F74=""),"",IF(AND(G74&gt;='Calibrare v2'!$B$35,F74&lt;='Calibrare v2'!$B$34),"PASS","FAIL"))</x:f>
        <x:v>FAIL</x:v>
      </x:c>
      <x:c r="AK74" s="75" t="str">
        <x:f>IF(OR(AB74="",AD74="",F74=""),"",IF(AND(AB74&gt;='Calibrare v2'!$B$29,F74&lt;='Calibrare v2'!$B$33,IF(Z74="",'Calibrare v2'!$B$26,Z74)&lt;='Calibrare v2'!$B$26,AD74&gt;='Calibrare v2'!$B$31,OR(AG74="",AB74*AG74-1&gt;='Calibrare v2'!$B$36)),"DA – FEZABIL",IF(AND(AB74&gt;='Calibrare v2'!$B$30,IF(Z74="",'Calibrare v2'!$B$26,Z74)&lt;='Calibrare v2'!$B$28,AD74&gt;='Calibrare v2'!$B$32),"DA – PRUDENT","NU – NO BET")))</x:f>
        <x:v>NU – NO BET</x:v>
      </x:c>
      <x:c r="AL74" s="9"/>
      <x:c r="AM74" s="9"/>
      <x:c r="AN74" s="64"/>
      <x:c r="AO74" s="64"/>
      <x:c r="AP74" s="16"/>
      <x:c r="AQ74" s="73"/>
      <x:c r="AR74" s="9" t="str">
        <x:v>Backtest inițial 29.08.2026; coloanele v2 LIVE sunt retrospective. Snapshot v2 nu a existat pre-match.</x:v>
      </x:c>
    </x:row>
    <x:row r="75" ht="42.75" customHeight="1">
      <x:c r="A75" s="10" t="n">
        <x:v>74</x:v>
      </x:c>
      <x:c r="B75" s="10" t="str">
        <x:v>Spania</x:v>
      </x:c>
      <x:c r="C75" s="10" t="str">
        <x:v>La Liga</x:v>
      </x:c>
      <x:c r="D75" s="10" t="str">
        <x:v>Levante – Real Betis</x:v>
      </x:c>
      <x:c r="E75" s="10" t="str">
        <x:v>DA – FEZABIL</x:v>
      </x:c>
      <x:c r="F75" s="17" t="n">
        <x:v>2.275718290668254</x:v>
      </x:c>
      <x:c r="G75" s="29" t="n">
        <x:v>0.9190623366471219</x:v>
      </x:c>
      <x:c r="H75" s="35" t="n">
        <x:v>62</x:v>
      </x:c>
      <x:c r="I75" s="10" t="str">
        <x:v>PASS</x:v>
      </x:c>
      <x:c r="J75" s="10" t="n">
        <x:v>5</x:v>
      </x:c>
      <x:c r="K75" s="10" t="n">
        <x:v>2</x:v>
      </x:c>
      <x:c r="L75" s="10" t="n">
        <x:v>7</x:v>
      </x:c>
      <x:c r="M75" s="10" t="str">
        <x:v>OVER</x:v>
      </x:c>
      <x:c r="N75" s="10" t="str">
        <x:v>PARIU U4,5</x:v>
      </x:c>
      <x:c r="O75" s="10" t="str">
        <x:v>EȘEC</x:v>
      </x:c>
      <x:c r="P75" s="10" t="n">
        <x:v>0</x:v>
      </x:c>
      <x:c r="Q75" s="56" t="n">
        <x:v>0.8446755786432676</x:v>
      </x:c>
      <x:c r="R75" s="17" t="n">
        <x:v>4.724281709331747</x:v>
      </x:c>
      <x:c r="S75" s="10" t="str">
        <x:v>Eșec: 7 goluri vs λ=2.28 (abatere +4.72). Scor extrem/overdispersion: modelul Poisson simplu a subestimat coada distribuției. Estimarea λ a fost predominant proxy din 1X2, fără o piață directă U/O suficientă.</x:v>
      </x:c>
      <x:c r="T75" s="10" t="str">
        <x:v>Proxy piață 1X2 (Poisson)</x:v>
      </x:c>
      <x:c r="U75" s="10" t="str">
        <x:v>https://www.gsp.ro/rezultate-live/meciuri-29-08-2026</x:v>
      </x:c>
      <x:c r="V75" s="59" t="n">
        <x:v>46263</x:v>
      </x:c>
      <x:c r="W75" s="16" t="n">
        <x:v>0.9946049625527175</x:v>
      </x:c>
      <x:c r="X75" s="16" t="n">
        <x:v>1.2811133281155362</x:v>
      </x:c>
      <x:c r="Y75" s="9" t="str">
        <x:v>Proxy 1X2</x:v>
      </x:c>
      <x:c r="Z75" s="34"/>
      <x:c r="AA75" s="9"/>
      <x:c r="AB75" s="64" t="n">
        <x:f>IF(G75="","",MAX(0.5,MIN(0.995,G75-'Calibrare v2'!$B$20-IF(Y75="Proxy 1X2",'Calibrare v2'!$B$21,IF(Y75="Model extern contradictoriu",'Calibrare v2'!$B$22,0))-MAX(0,(IF(Z75="",'Calibrare v2'!$B$26,Z75)-'Calibrare v2'!$B$26)*'Calibrare v2'!$B$27))))</x:f>
        <x:v>0.8675169357609244</x:v>
      </x:c>
      <x:c r="AC75" s="28"/>
      <x:c r="AD75" s="69" t="n">
        <x:f>IF(H75="","",MAX(0,MIN(H75,IF(Y75="Proxy 1X2",'Calibrare v2'!$B$23,'Calibrare v2'!$B$24))-IF(AA75="DA",'Calibrare v2'!$B$25,0)-MAX(0,(IF(Z75="",'Calibrare v2'!$B$26,Z75)-'Calibrare v2'!$B$26)*'Calibrare v2'!$B$37)))</x:f>
        <x:v>60</x:v>
      </x:c>
      <x:c r="AE75" s="34"/>
      <x:c r="AF75" s="73"/>
      <x:c r="AG75" s="16"/>
      <x:c r="AH75" s="16"/>
      <x:c r="AI75" s="64"/>
      <x:c r="AJ75" s="75" t="str">
        <x:f>IF(OR(G75="",F75=""),"",IF(AND(G75&gt;='Calibrare v2'!$B$35,F75&lt;='Calibrare v2'!$B$34),"PASS","FAIL"))</x:f>
        <x:v>FAIL</x:v>
      </x:c>
      <x:c r="AK75" s="75" t="str">
        <x:f>IF(OR(AB75="",AD75="",F75=""),"",IF(AND(AB75&gt;='Calibrare v2'!$B$29,F75&lt;='Calibrare v2'!$B$33,IF(Z75="",'Calibrare v2'!$B$26,Z75)&lt;='Calibrare v2'!$B$26,AD75&gt;='Calibrare v2'!$B$31,OR(AG75="",AB75*AG75-1&gt;='Calibrare v2'!$B$36)),"DA – FEZABIL",IF(AND(AB75&gt;='Calibrare v2'!$B$30,IF(Z75="",'Calibrare v2'!$B$26,Z75)&lt;='Calibrare v2'!$B$28,AD75&gt;='Calibrare v2'!$B$32),"DA – PRUDENT","NU – NO BET")))</x:f>
        <x:v>DA – PRUDENT</x:v>
      </x:c>
      <x:c r="AL75" s="9"/>
      <x:c r="AM75" s="9"/>
      <x:c r="AN75" s="64"/>
      <x:c r="AO75" s="64"/>
      <x:c r="AP75" s="16"/>
      <x:c r="AQ75" s="73"/>
      <x:c r="AR75" s="9" t="str">
        <x:v>Backtest inițial 29.08.2026; coloanele v2 LIVE sunt retrospective. Snapshot v2 nu a existat pre-match.</x:v>
      </x:c>
    </x:row>
    <x:row r="76" ht="42.75" customHeight="1">
      <x:c r="A76" s="10" t="n">
        <x:v>75</x:v>
      </x:c>
      <x:c r="B76" s="10" t="str">
        <x:v>Spania</x:v>
      </x:c>
      <x:c r="C76" s="10" t="str">
        <x:v>La Liga</x:v>
      </x:c>
      <x:c r="D76" s="10" t="str">
        <x:v>Real Sociedad – Espanyol</x:v>
      </x:c>
      <x:c r="E76" s="10" t="str">
        <x:v>DA – FEZABIL</x:v>
      </x:c>
      <x:c r="F76" s="17" t="n">
        <x:v>2.4397267352536507</x:v>
      </x:c>
      <x:c r="G76" s="29" t="n">
        <x:v>0.8990836998854197</x:v>
      </x:c>
      <x:c r="H76" s="35" t="n">
        <x:v>62</x:v>
      </x:c>
      <x:c r="I76" s="10" t="str">
        <x:v>PASS</x:v>
      </x:c>
      <x:c r="J76" s="10" t="n">
        <x:v>2</x:v>
      </x:c>
      <x:c r="K76" s="10" t="n">
        <x:v>1</x:v>
      </x:c>
      <x:c r="L76" s="10" t="n">
        <x:v>3</x:v>
      </x:c>
      <x:c r="M76" s="10" t="str">
        <x:v>UNDER</x:v>
      </x:c>
      <x:c r="N76" s="10" t="str">
        <x:v>PARIU U4,5</x:v>
      </x:c>
      <x:c r="O76" s="10" t="str">
        <x:v>SUCCES</x:v>
      </x:c>
      <x:c r="P76" s="10" t="n">
        <x:v>1</x:v>
      </x:c>
      <x:c r="Q76" s="56" t="n">
        <x:v>0.010184099628816041</x:v>
      </x:c>
      <x:c r="R76" s="17" t="n">
        <x:v>0.5602732647463493</x:v>
      </x:c>
      <x:c r="S76" s="10" t="str">
        <x:v>Succes solid: 3 goluri, cu 1 gol(uri) sub limita de 4; λ=2.44. Riscul de coadă 5+ nu s-a materializat.</x:v>
      </x:c>
      <x:c r="T76" s="10" t="str">
        <x:v>Proxy piață 1X2 (Poisson)</x:v>
      </x:c>
      <x:c r="U76" s="10" t="str">
        <x:v>https://www.gsp.ro/rezultate-live/meciuri-29-08-2026</x:v>
      </x:c>
      <x:c r="V76" s="59" t="n">
        <x:v>46263</x:v>
      </x:c>
      <x:c r="W76" s="16" t="n">
        <x:v>1.5040680082688438</x:v>
      </x:c>
      <x:c r="X76" s="16" t="n">
        <x:v>0.9356587269848069</x:v>
      </x:c>
      <x:c r="Y76" s="9" t="str">
        <x:v>Proxy 1X2</x:v>
      </x:c>
      <x:c r="Z76" s="34"/>
      <x:c r="AA76" s="9"/>
      <x:c r="AB76" s="64" t="n">
        <x:f>IF(G76="","",MAX(0.5,MIN(0.995,G76-'Calibrare v2'!$B$20-IF(Y76="Proxy 1X2",'Calibrare v2'!$B$21,IF(Y76="Model extern contradictoriu",'Calibrare v2'!$B$22,0))-MAX(0,(IF(Z76="",'Calibrare v2'!$B$26,Z76)-'Calibrare v2'!$B$26)*'Calibrare v2'!$B$27))))</x:f>
        <x:v>0.8475382989992222</x:v>
      </x:c>
      <x:c r="AC76" s="28"/>
      <x:c r="AD76" s="69" t="n">
        <x:f>IF(H76="","",MAX(0,MIN(H76,IF(Y76="Proxy 1X2",'Calibrare v2'!$B$23,'Calibrare v2'!$B$24))-IF(AA76="DA",'Calibrare v2'!$B$25,0)-MAX(0,(IF(Z76="",'Calibrare v2'!$B$26,Z76)-'Calibrare v2'!$B$26)*'Calibrare v2'!$B$37)))</x:f>
        <x:v>60</x:v>
      </x:c>
      <x:c r="AE76" s="34"/>
      <x:c r="AF76" s="73"/>
      <x:c r="AG76" s="16"/>
      <x:c r="AH76" s="16"/>
      <x:c r="AI76" s="64"/>
      <x:c r="AJ76" s="75" t="str">
        <x:f>IF(OR(G76="",F76=""),"",IF(AND(G76&gt;='Calibrare v2'!$B$35,F76&lt;='Calibrare v2'!$B$34),"PASS","FAIL"))</x:f>
        <x:v>FAIL</x:v>
      </x:c>
      <x:c r="AK76" s="75" t="str">
        <x:f>IF(OR(AB76="",AD76="",F76=""),"",IF(AND(AB76&gt;='Calibrare v2'!$B$29,F76&lt;='Calibrare v2'!$B$33,IF(Z76="",'Calibrare v2'!$B$26,Z76)&lt;='Calibrare v2'!$B$26,AD76&gt;='Calibrare v2'!$B$31,OR(AG76="",AB76*AG76-1&gt;='Calibrare v2'!$B$36)),"DA – FEZABIL",IF(AND(AB76&gt;='Calibrare v2'!$B$30,IF(Z76="",'Calibrare v2'!$B$26,Z76)&lt;='Calibrare v2'!$B$28,AD76&gt;='Calibrare v2'!$B$32),"DA – PRUDENT","NU – NO BET")))</x:f>
        <x:v>DA – PRUDENT</x:v>
      </x:c>
      <x:c r="AL76" s="9"/>
      <x:c r="AM76" s="9"/>
      <x:c r="AN76" s="64"/>
      <x:c r="AO76" s="64"/>
      <x:c r="AP76" s="16"/>
      <x:c r="AQ76" s="73"/>
      <x:c r="AR76" s="9" t="str">
        <x:v>Backtest inițial 29.08.2026; coloanele v2 LIVE sunt retrospective. Snapshot v2 nu a existat pre-match.</x:v>
      </x:c>
    </x:row>
    <x:row r="77" ht="42.75" customHeight="1">
      <x:c r="A77" s="10" t="n">
        <x:v>76</x:v>
      </x:c>
      <x:c r="B77" s="10" t="str">
        <x:v>Spania</x:v>
      </x:c>
      <x:c r="C77" s="10" t="str">
        <x:v>La Liga</x:v>
      </x:c>
      <x:c r="D77" s="10" t="str">
        <x:v>Sevilla – Atlético Madrid</x:v>
      </x:c>
      <x:c r="E77" s="10" t="str">
        <x:v>DA – FEZABIL</x:v>
      </x:c>
      <x:c r="F77" s="17" t="n">
        <x:v>2.2302443394473386</x:v>
      </x:c>
      <x:c r="G77" s="29" t="n">
        <x:v>0.9241923378763736</x:v>
      </x:c>
      <x:c r="H77" s="35" t="n">
        <x:v>62</x:v>
      </x:c>
      <x:c r="I77" s="10" t="str">
        <x:v>PASS</x:v>
      </x:c>
      <x:c r="J77" s="10" t="n">
        <x:v>1</x:v>
      </x:c>
      <x:c r="K77" s="10" t="n">
        <x:v>3</x:v>
      </x:c>
      <x:c r="L77" s="10" t="n">
        <x:v>4</x:v>
      </x:c>
      <x:c r="M77" s="10" t="str">
        <x:v>UNDER</x:v>
      </x:c>
      <x:c r="N77" s="10" t="str">
        <x:v>PARIU U4,5</x:v>
      </x:c>
      <x:c r="O77" s="10" t="str">
        <x:v>SUCCES</x:v>
      </x:c>
      <x:c r="P77" s="10" t="n">
        <x:v>1</x:v>
      </x:c>
      <x:c r="Q77" s="56" t="n">
        <x:v>0.005746801636649907</x:v>
      </x:c>
      <x:c r="R77" s="17" t="n">
        <x:v>1.7697556605526614</x:v>
      </x:c>
      <x:c r="S77" s="10" t="str">
        <x:v>Succes la limită: exact 4 goluri. Pariul a câștigat, dar marja de siguranță a fost minimă; λ=2.23.</x:v>
      </x:c>
      <x:c r="T77" s="10" t="str">
        <x:v>Proxy piață 1X2 (Poisson)</x:v>
      </x:c>
      <x:c r="U77" s="10" t="str">
        <x:v>https://www.gsp.ro/rezultate-live/meciuri-29-08-2026</x:v>
      </x:c>
      <x:c r="V77" s="59" t="n">
        <x:v>46263</x:v>
      </x:c>
      <x:c r="W77" s="16" t="n">
        <x:v>0.9400661144087936</x:v>
      </x:c>
      <x:c r="X77" s="16" t="n">
        <x:v>1.2901782250385452</x:v>
      </x:c>
      <x:c r="Y77" s="9" t="str">
        <x:v>Proxy 1X2</x:v>
      </x:c>
      <x:c r="Z77" s="34"/>
      <x:c r="AA77" s="9"/>
      <x:c r="AB77" s="64" t="n">
        <x:f>IF(G77="","",MAX(0.5,MIN(0.995,G77-'Calibrare v2'!$B$20-IF(Y77="Proxy 1X2",'Calibrare v2'!$B$21,IF(Y77="Model extern contradictoriu",'Calibrare v2'!$B$22,0))-MAX(0,(IF(Z77="",'Calibrare v2'!$B$26,Z77)-'Calibrare v2'!$B$26)*'Calibrare v2'!$B$27))))</x:f>
        <x:v>0.872646936990176</x:v>
      </x:c>
      <x:c r="AC77" s="28"/>
      <x:c r="AD77" s="69" t="n">
        <x:f>IF(H77="","",MAX(0,MIN(H77,IF(Y77="Proxy 1X2",'Calibrare v2'!$B$23,'Calibrare v2'!$B$24))-IF(AA77="DA",'Calibrare v2'!$B$25,0)-MAX(0,(IF(Z77="",'Calibrare v2'!$B$26,Z77)-'Calibrare v2'!$B$26)*'Calibrare v2'!$B$37)))</x:f>
        <x:v>60</x:v>
      </x:c>
      <x:c r="AE77" s="34"/>
      <x:c r="AF77" s="73"/>
      <x:c r="AG77" s="16"/>
      <x:c r="AH77" s="16"/>
      <x:c r="AI77" s="64"/>
      <x:c r="AJ77" s="75" t="str">
        <x:f>IF(OR(G77="",F77=""),"",IF(AND(G77&gt;='Calibrare v2'!$B$35,F77&lt;='Calibrare v2'!$B$34),"PASS","FAIL"))</x:f>
        <x:v>PASS</x:v>
      </x:c>
      <x:c r="AK77" s="75" t="str">
        <x:f>IF(OR(AB77="",AD77="",F77=""),"",IF(AND(AB77&gt;='Calibrare v2'!$B$29,F77&lt;='Calibrare v2'!$B$33,IF(Z77="",'Calibrare v2'!$B$26,Z77)&lt;='Calibrare v2'!$B$26,AD77&gt;='Calibrare v2'!$B$31,OR(AG77="",AB77*AG77-1&gt;='Calibrare v2'!$B$36)),"DA – FEZABIL",IF(AND(AB77&gt;='Calibrare v2'!$B$30,IF(Z77="",'Calibrare v2'!$B$26,Z77)&lt;='Calibrare v2'!$B$28,AD77&gt;='Calibrare v2'!$B$32),"DA – PRUDENT","NU – NO BET")))</x:f>
        <x:v>DA – PRUDENT</x:v>
      </x:c>
      <x:c r="AL77" s="9"/>
      <x:c r="AM77" s="9"/>
      <x:c r="AN77" s="64"/>
      <x:c r="AO77" s="64"/>
      <x:c r="AP77" s="16"/>
      <x:c r="AQ77" s="73"/>
      <x:c r="AR77" s="9" t="str">
        <x:v>Backtest inițial 29.08.2026; coloanele v2 LIVE sunt retrospective. Snapshot v2 nu a existat pre-match.</x:v>
      </x:c>
    </x:row>
    <x:row r="78" ht="42.75" customHeight="1">
      <x:c r="A78" s="10" t="n">
        <x:v>77</x:v>
      </x:c>
      <x:c r="B78" s="10" t="str">
        <x:v>Spania</x:v>
      </x:c>
      <x:c r="C78" s="10" t="str">
        <x:v>LaLiga 2</x:v>
      </x:c>
      <x:c r="D78" s="10" t="str">
        <x:v>Sabadell – Almería</x:v>
      </x:c>
      <x:c r="E78" s="10" t="str">
        <x:v>DA – FEZABIL</x:v>
      </x:c>
      <x:c r="F78" s="17" t="n">
        <x:v>2.1573251901651656</x:v>
      </x:c>
      <x:c r="G78" s="29" t="n">
        <x:v>0.9320382430623022</x:v>
      </x:c>
      <x:c r="H78" s="35" t="n">
        <x:v>62</x:v>
      </x:c>
      <x:c r="I78" s="10" t="str">
        <x:v>PASS</x:v>
      </x:c>
      <x:c r="J78" s="10" t="n">
        <x:v>1</x:v>
      </x:c>
      <x:c r="K78" s="10" t="n">
        <x:v>0</x:v>
      </x:c>
      <x:c r="L78" s="10" t="n">
        <x:v>1</x:v>
      </x:c>
      <x:c r="M78" s="10" t="str">
        <x:v>UNDER</x:v>
      </x:c>
      <x:c r="N78" s="10" t="str">
        <x:v>PARIU U4,5</x:v>
      </x:c>
      <x:c r="O78" s="10" t="str">
        <x:v>SUCCES</x:v>
      </x:c>
      <x:c r="P78" s="10" t="n">
        <x:v>1</x:v>
      </x:c>
      <x:c r="Q78" s="56" t="n">
        <x:v>0.004618800406058714</x:v>
      </x:c>
      <x:c r="R78" s="17" t="n">
        <x:v>-1.1573251901651656</x:v>
      </x:c>
      <x:c r="S78" s="10" t="str">
        <x:v>Succes solid: 1 goluri, cu 3 gol(uri) sub limita de 4; λ=2.16. Riscul de coadă 5+ nu s-a materializat.</x:v>
      </x:c>
      <x:c r="T78" s="10" t="str">
        <x:v>Proxy piață 1X2 (Poisson)</x:v>
      </x:c>
      <x:c r="U78" s="10" t="str">
        <x:v>https://www.gsp.ro/rezultate-live/meciuri-29-08-2026</x:v>
      </x:c>
      <x:c r="V78" s="59" t="n">
        <x:v>46263</x:v>
      </x:c>
      <x:c r="W78" s="16" t="n">
        <x:v>1.0851458204266975</x:v>
      </x:c>
      <x:c r="X78" s="16" t="n">
        <x:v>1.0721793697384678</x:v>
      </x:c>
      <x:c r="Y78" s="9" t="str">
        <x:v>Proxy 1X2</x:v>
      </x:c>
      <x:c r="Z78" s="34"/>
      <x:c r="AA78" s="9"/>
      <x:c r="AB78" s="64" t="n">
        <x:f>IF(G78="","",MAX(0.5,MIN(0.995,G78-'Calibrare v2'!$B$20-IF(Y78="Proxy 1X2",'Calibrare v2'!$B$21,IF(Y78="Model extern contradictoriu",'Calibrare v2'!$B$22,0))-MAX(0,(IF(Z78="",'Calibrare v2'!$B$26,Z78)-'Calibrare v2'!$B$26)*'Calibrare v2'!$B$27))))</x:f>
        <x:v>0.8804928421761047</x:v>
      </x:c>
      <x:c r="AC78" s="28"/>
      <x:c r="AD78" s="69" t="n">
        <x:f>IF(H78="","",MAX(0,MIN(H78,IF(Y78="Proxy 1X2",'Calibrare v2'!$B$23,'Calibrare v2'!$B$24))-IF(AA78="DA",'Calibrare v2'!$B$25,0)-MAX(0,(IF(Z78="",'Calibrare v2'!$B$26,Z78)-'Calibrare v2'!$B$26)*'Calibrare v2'!$B$37)))</x:f>
        <x:v>60</x:v>
      </x:c>
      <x:c r="AE78" s="34"/>
      <x:c r="AF78" s="73"/>
      <x:c r="AG78" s="16"/>
      <x:c r="AH78" s="16"/>
      <x:c r="AI78" s="64"/>
      <x:c r="AJ78" s="75" t="str">
        <x:f>IF(OR(G78="",F78=""),"",IF(AND(G78&gt;='Calibrare v2'!$B$35,F78&lt;='Calibrare v2'!$B$34),"PASS","FAIL"))</x:f>
        <x:v>PASS</x:v>
      </x:c>
      <x:c r="AK78" s="75" t="str">
        <x:f>IF(OR(AB78="",AD78="",F78=""),"",IF(AND(AB78&gt;='Calibrare v2'!$B$29,F78&lt;='Calibrare v2'!$B$33,IF(Z78="",'Calibrare v2'!$B$26,Z78)&lt;='Calibrare v2'!$B$26,AD78&gt;='Calibrare v2'!$B$31,OR(AG78="",AB78*AG78-1&gt;='Calibrare v2'!$B$36)),"DA – FEZABIL",IF(AND(AB78&gt;='Calibrare v2'!$B$30,IF(Z78="",'Calibrare v2'!$B$26,Z78)&lt;='Calibrare v2'!$B$28,AD78&gt;='Calibrare v2'!$B$32),"DA – PRUDENT","NU – NO BET")))</x:f>
        <x:v>DA – PRUDENT</x:v>
      </x:c>
      <x:c r="AL78" s="9"/>
      <x:c r="AM78" s="9"/>
      <x:c r="AN78" s="64"/>
      <x:c r="AO78" s="64"/>
      <x:c r="AP78" s="16"/>
      <x:c r="AQ78" s="73"/>
      <x:c r="AR78" s="9" t="str">
        <x:v>Backtest inițial 29.08.2026; coloanele v2 LIVE sunt retrospective. Snapshot v2 nu a existat pre-match.</x:v>
      </x:c>
    </x:row>
    <x:row r="79" ht="42.75" customHeight="1">
      <x:c r="A79" s="10" t="n">
        <x:v>78</x:v>
      </x:c>
      <x:c r="B79" s="10" t="str">
        <x:v>Spania</x:v>
      </x:c>
      <x:c r="C79" s="10" t="str">
        <x:v>LaLiga 2</x:v>
      </x:c>
      <x:c r="D79" s="10" t="str">
        <x:v>Albacete – Real Oviedo</x:v>
      </x:c>
      <x:c r="E79" s="10" t="str">
        <x:v>DA – FEZABIL</x:v>
      </x:c>
      <x:c r="F79" s="17" t="n">
        <x:v>2.0480328682759357</x:v>
      </x:c>
      <x:c r="G79" s="29" t="n">
        <x:v>0.942909228123563</x:v>
      </x:c>
      <x:c r="H79" s="35" t="n">
        <x:v>62</x:v>
      </x:c>
      <x:c r="I79" s="10" t="str">
        <x:v>PASS</x:v>
      </x:c>
      <x:c r="J79" s="10" t="n">
        <x:v>0</x:v>
      </x:c>
      <x:c r="K79" s="10" t="n">
        <x:v>1</x:v>
      </x:c>
      <x:c r="L79" s="10" t="n">
        <x:v>1</x:v>
      </x:c>
      <x:c r="M79" s="10" t="str">
        <x:v>UNDER</x:v>
      </x:c>
      <x:c r="N79" s="10" t="str">
        <x:v>PARIU U4,5</x:v>
      </x:c>
      <x:c r="O79" s="10" t="str">
        <x:v>SUCCES</x:v>
      </x:c>
      <x:c r="P79" s="10" t="n">
        <x:v>1</x:v>
      </x:c>
      <x:c r="Q79" s="56" t="n">
        <x:v>0.0032593562334473658</x:v>
      </x:c>
      <x:c r="R79" s="17" t="n">
        <x:v>-1.0480328682759357</x:v>
      </x:c>
      <x:c r="S79" s="10" t="str">
        <x:v>Succes solid: 1 goluri, cu 3 gol(uri) sub limita de 4; λ=2.05. Riscul de coadă 5+ nu s-a materializat.</x:v>
      </x:c>
      <x:c r="T79" s="10" t="str">
        <x:v>Proxy piață 1X2 (Poisson)</x:v>
      </x:c>
      <x:c r="U79" s="10" t="str">
        <x:v>https://www.gsp.ro/rezultate-live/meciuri-29-08-2026</x:v>
      </x:c>
      <x:c r="V79" s="59" t="n">
        <x:v>46263</x:v>
      </x:c>
      <x:c r="W79" s="16" t="n">
        <x:v>1.0918675850197561</x:v>
      </x:c>
      <x:c r="X79" s="16" t="n">
        <x:v>0.9561652832561793</x:v>
      </x:c>
      <x:c r="Y79" s="9" t="str">
        <x:v>Proxy 1X2</x:v>
      </x:c>
      <x:c r="Z79" s="34"/>
      <x:c r="AA79" s="9"/>
      <x:c r="AB79" s="64" t="n">
        <x:f>IF(G79="","",MAX(0.5,MIN(0.995,G79-'Calibrare v2'!$B$20-IF(Y79="Proxy 1X2",'Calibrare v2'!$B$21,IF(Y79="Model extern contradictoriu",'Calibrare v2'!$B$22,0))-MAX(0,(IF(Z79="",'Calibrare v2'!$B$26,Z79)-'Calibrare v2'!$B$26)*'Calibrare v2'!$B$27))))</x:f>
        <x:v>0.8913638272373655</x:v>
      </x:c>
      <x:c r="AC79" s="28"/>
      <x:c r="AD79" s="69" t="n">
        <x:f>IF(H79="","",MAX(0,MIN(H79,IF(Y79="Proxy 1X2",'Calibrare v2'!$B$23,'Calibrare v2'!$B$24))-IF(AA79="DA",'Calibrare v2'!$B$25,0)-MAX(0,(IF(Z79="",'Calibrare v2'!$B$26,Z79)-'Calibrare v2'!$B$26)*'Calibrare v2'!$B$37)))</x:f>
        <x:v>60</x:v>
      </x:c>
      <x:c r="AE79" s="34"/>
      <x:c r="AF79" s="73"/>
      <x:c r="AG79" s="16"/>
      <x:c r="AH79" s="16"/>
      <x:c r="AI79" s="64"/>
      <x:c r="AJ79" s="75" t="str">
        <x:f>IF(OR(G79="",F79=""),"",IF(AND(G79&gt;='Calibrare v2'!$B$35,F79&lt;='Calibrare v2'!$B$34),"PASS","FAIL"))</x:f>
        <x:v>PASS</x:v>
      </x:c>
      <x:c r="AK79" s="75" t="str">
        <x:f>IF(OR(AB79="",AD79="",F79=""),"",IF(AND(AB79&gt;='Calibrare v2'!$B$29,F79&lt;='Calibrare v2'!$B$33,IF(Z79="",'Calibrare v2'!$B$26,Z79)&lt;='Calibrare v2'!$B$26,AD79&gt;='Calibrare v2'!$B$31,OR(AG79="",AB79*AG79-1&gt;='Calibrare v2'!$B$36)),"DA – FEZABIL",IF(AND(AB79&gt;='Calibrare v2'!$B$30,IF(Z79="",'Calibrare v2'!$B$26,Z79)&lt;='Calibrare v2'!$B$28,AD79&gt;='Calibrare v2'!$B$32),"DA – PRUDENT","NU – NO BET")))</x:f>
        <x:v>DA – PRUDENT</x:v>
      </x:c>
      <x:c r="AL79" s="9"/>
      <x:c r="AM79" s="9"/>
      <x:c r="AN79" s="64"/>
      <x:c r="AO79" s="64"/>
      <x:c r="AP79" s="16"/>
      <x:c r="AQ79" s="73"/>
      <x:c r="AR79" s="9" t="str">
        <x:v>Backtest inițial 29.08.2026; coloanele v2 LIVE sunt retrospective. Snapshot v2 nu a existat pre-match.</x:v>
      </x:c>
    </x:row>
    <x:row r="80" ht="42.75" customHeight="1">
      <x:c r="A80" s="10" t="n">
        <x:v>79</x:v>
      </x:c>
      <x:c r="B80" s="10" t="str">
        <x:v>Spania</x:v>
      </x:c>
      <x:c r="C80" s="10" t="str">
        <x:v>LaLiga 2</x:v>
      </x:c>
      <x:c r="D80" s="10" t="str">
        <x:v>Leganés – Eldense</x:v>
      </x:c>
      <x:c r="E80" s="10" t="str">
        <x:v>DA – FEZABIL</x:v>
      </x:c>
      <x:c r="F80" s="17" t="n">
        <x:v>2.3516208631747677</x:v>
      </x:c>
      <x:c r="G80" s="29" t="n">
        <x:v>0.9101001465333274</x:v>
      </x:c>
      <x:c r="H80" s="35" t="n">
        <x:v>62</x:v>
      </x:c>
      <x:c r="I80" s="10" t="str">
        <x:v>PASS</x:v>
      </x:c>
      <x:c r="J80" s="10" t="n">
        <x:v>1</x:v>
      </x:c>
      <x:c r="K80" s="10" t="n">
        <x:v>0</x:v>
      </x:c>
      <x:c r="L80" s="10" t="n">
        <x:v>1</x:v>
      </x:c>
      <x:c r="M80" s="10" t="str">
        <x:v>UNDER</x:v>
      </x:c>
      <x:c r="N80" s="10" t="str">
        <x:v>PARIU U4,5</x:v>
      </x:c>
      <x:c r="O80" s="10" t="str">
        <x:v>SUCCES</x:v>
      </x:c>
      <x:c r="P80" s="10" t="n">
        <x:v>1</x:v>
      </x:c>
      <x:c r="Q80" s="56" t="n">
        <x:v>0.00808198365332921</x:v>
      </x:c>
      <x:c r="R80" s="17" t="n">
        <x:v>-1.3516208631747677</x:v>
      </x:c>
      <x:c r="S80" s="10" t="str">
        <x:v>Succes solid: 1 goluri, cu 3 gol(uri) sub limita de 4; λ=2.35. Riscul de coadă 5+ nu s-a materializat.</x:v>
      </x:c>
      <x:c r="T80" s="10" t="str">
        <x:v>Proxy piață 1X2 (Poisson)</x:v>
      </x:c>
      <x:c r="U80" s="10" t="str">
        <x:v>https://www.gsp.ro/rezultate-live/meciuri-29-08-2026</x:v>
      </x:c>
      <x:c r="V80" s="59" t="n">
        <x:v>46263</x:v>
      </x:c>
      <x:c r="W80" s="16" t="n">
        <x:v>1.4166456449765765</x:v>
      </x:c>
      <x:c r="X80" s="16" t="n">
        <x:v>0.9349752181981913</x:v>
      </x:c>
      <x:c r="Y80" s="9" t="str">
        <x:v>Proxy 1X2</x:v>
      </x:c>
      <x:c r="Z80" s="34"/>
      <x:c r="AA80" s="9"/>
      <x:c r="AB80" s="64" t="n">
        <x:f>IF(G80="","",MAX(0.5,MIN(0.995,G80-'Calibrare v2'!$B$20-IF(Y80="Proxy 1X2",'Calibrare v2'!$B$21,IF(Y80="Model extern contradictoriu",'Calibrare v2'!$B$22,0))-MAX(0,(IF(Z80="",'Calibrare v2'!$B$26,Z80)-'Calibrare v2'!$B$26)*'Calibrare v2'!$B$27))))</x:f>
        <x:v>0.8585547456471299</x:v>
      </x:c>
      <x:c r="AC80" s="28"/>
      <x:c r="AD80" s="69" t="n">
        <x:f>IF(H80="","",MAX(0,MIN(H80,IF(Y80="Proxy 1X2",'Calibrare v2'!$B$23,'Calibrare v2'!$B$24))-IF(AA80="DA",'Calibrare v2'!$B$25,0)-MAX(0,(IF(Z80="",'Calibrare v2'!$B$26,Z80)-'Calibrare v2'!$B$26)*'Calibrare v2'!$B$37)))</x:f>
        <x:v>60</x:v>
      </x:c>
      <x:c r="AE80" s="34"/>
      <x:c r="AF80" s="73"/>
      <x:c r="AG80" s="16"/>
      <x:c r="AH80" s="16"/>
      <x:c r="AI80" s="64"/>
      <x:c r="AJ80" s="75" t="str">
        <x:f>IF(OR(G80="",F80=""),"",IF(AND(G80&gt;='Calibrare v2'!$B$35,F80&lt;='Calibrare v2'!$B$34),"PASS","FAIL"))</x:f>
        <x:v>FAIL</x:v>
      </x:c>
      <x:c r="AK80" s="75" t="str">
        <x:f>IF(OR(AB80="",AD80="",F80=""),"",IF(AND(AB80&gt;='Calibrare v2'!$B$29,F80&lt;='Calibrare v2'!$B$33,IF(Z80="",'Calibrare v2'!$B$26,Z80)&lt;='Calibrare v2'!$B$26,AD80&gt;='Calibrare v2'!$B$31,OR(AG80="",AB80*AG80-1&gt;='Calibrare v2'!$B$36)),"DA – FEZABIL",IF(AND(AB80&gt;='Calibrare v2'!$B$30,IF(Z80="",'Calibrare v2'!$B$26,Z80)&lt;='Calibrare v2'!$B$28,AD80&gt;='Calibrare v2'!$B$32),"DA – PRUDENT","NU – NO BET")))</x:f>
        <x:v>DA – PRUDENT</x:v>
      </x:c>
      <x:c r="AL80" s="9"/>
      <x:c r="AM80" s="9"/>
      <x:c r="AN80" s="64"/>
      <x:c r="AO80" s="64"/>
      <x:c r="AP80" s="16"/>
      <x:c r="AQ80" s="73"/>
      <x:c r="AR80" s="9" t="str">
        <x:v>Backtest inițial 29.08.2026; coloanele v2 LIVE sunt retrospective. Snapshot v2 nu a existat pre-match.</x:v>
      </x:c>
    </x:row>
    <x:row r="81" ht="42.75" customHeight="1">
      <x:c r="A81" s="10" t="n">
        <x:v>80</x:v>
      </x:c>
      <x:c r="B81" s="10" t="str">
        <x:v>Spania</x:v>
      </x:c>
      <x:c r="C81" s="10" t="str">
        <x:v>LaLiga 2</x:v>
      </x:c>
      <x:c r="D81" s="10" t="str">
        <x:v>Girona – Las Palmas</x:v>
      </x:c>
      <x:c r="E81" s="10" t="str">
        <x:v>DA – FEZABIL</x:v>
      </x:c>
      <x:c r="F81" s="17" t="n">
        <x:v>2.3800853575036682</x:v>
      </x:c>
      <x:c r="G81" s="29" t="n">
        <x:v>0.9066122555239292</x:v>
      </x:c>
      <x:c r="H81" s="35" t="n">
        <x:v>62</x:v>
      </x:c>
      <x:c r="I81" s="10" t="str">
        <x:v>PASS</x:v>
      </x:c>
      <x:c r="J81" s="10" t="n">
        <x:v>5</x:v>
      </x:c>
      <x:c r="K81" s="10" t="n">
        <x:v>2</x:v>
      </x:c>
      <x:c r="L81" s="10" t="n">
        <x:v>7</x:v>
      </x:c>
      <x:c r="M81" s="10" t="str">
        <x:v>OVER</x:v>
      </x:c>
      <x:c r="N81" s="10" t="str">
        <x:v>PARIU U4,5</x:v>
      </x:c>
      <x:c r="O81" s="10" t="str">
        <x:v>EȘEC</x:v>
      </x:c>
      <x:c r="P81" s="10" t="n">
        <x:v>0</x:v>
      </x:c>
      <x:c r="Q81" s="56" t="n">
        <x:v>0.8219457818661863</x:v>
      </x:c>
      <x:c r="R81" s="17" t="n">
        <x:v>4.619914642496331</x:v>
      </x:c>
      <x:c r="S81" s="10" t="str">
        <x:v>Eșec: 7 goluri vs λ=2.38 (abatere +4.62). Scor extrem/overdispersion: modelul Poisson simplu a subestimat coada distribuției. Estimarea λ a fost predominant proxy din 1X2, fără o piață directă U/O suficientă.</x:v>
      </x:c>
      <x:c r="T81" s="10" t="str">
        <x:v>Proxy piață 1X2 (Poisson)</x:v>
      </x:c>
      <x:c r="U81" s="10" t="str">
        <x:v>https://www.gsp.ro/rezultate-live/meciuri-29-08-2026</x:v>
      </x:c>
      <x:c r="V81" s="59" t="n">
        <x:v>46263</x:v>
      </x:c>
      <x:c r="W81" s="16" t="n">
        <x:v>1.5550902127645543</x:v>
      </x:c>
      <x:c r="X81" s="16" t="n">
        <x:v>0.8249951447391138</x:v>
      </x:c>
      <x:c r="Y81" s="9" t="str">
        <x:v>Proxy 1X2</x:v>
      </x:c>
      <x:c r="Z81" s="34"/>
      <x:c r="AA81" s="9"/>
      <x:c r="AB81" s="64" t="n">
        <x:f>IF(G81="","",MAX(0.5,MIN(0.995,G81-'Calibrare v2'!$B$20-IF(Y81="Proxy 1X2",'Calibrare v2'!$B$21,IF(Y81="Model extern contradictoriu",'Calibrare v2'!$B$22,0))-MAX(0,(IF(Z81="",'Calibrare v2'!$B$26,Z81)-'Calibrare v2'!$B$26)*'Calibrare v2'!$B$27))))</x:f>
        <x:v>0.8550668546377317</x:v>
      </x:c>
      <x:c r="AC81" s="28"/>
      <x:c r="AD81" s="69" t="n">
        <x:f>IF(H81="","",MAX(0,MIN(H81,IF(Y81="Proxy 1X2",'Calibrare v2'!$B$23,'Calibrare v2'!$B$24))-IF(AA81="DA",'Calibrare v2'!$B$25,0)-MAX(0,(IF(Z81="",'Calibrare v2'!$B$26,Z81)-'Calibrare v2'!$B$26)*'Calibrare v2'!$B$37)))</x:f>
        <x:v>60</x:v>
      </x:c>
      <x:c r="AE81" s="34"/>
      <x:c r="AF81" s="73"/>
      <x:c r="AG81" s="16"/>
      <x:c r="AH81" s="16"/>
      <x:c r="AI81" s="64"/>
      <x:c r="AJ81" s="75" t="str">
        <x:f>IF(OR(G81="",F81=""),"",IF(AND(G81&gt;='Calibrare v2'!$B$35,F81&lt;='Calibrare v2'!$B$34),"PASS","FAIL"))</x:f>
        <x:v>FAIL</x:v>
      </x:c>
      <x:c r="AK81" s="75" t="str">
        <x:f>IF(OR(AB81="",AD81="",F81=""),"",IF(AND(AB81&gt;='Calibrare v2'!$B$29,F81&lt;='Calibrare v2'!$B$33,IF(Z81="",'Calibrare v2'!$B$26,Z81)&lt;='Calibrare v2'!$B$26,AD81&gt;='Calibrare v2'!$B$31,OR(AG81="",AB81*AG81-1&gt;='Calibrare v2'!$B$36)),"DA – FEZABIL",IF(AND(AB81&gt;='Calibrare v2'!$B$30,IF(Z81="",'Calibrare v2'!$B$26,Z81)&lt;='Calibrare v2'!$B$28,AD81&gt;='Calibrare v2'!$B$32),"DA – PRUDENT","NU – NO BET")))</x:f>
        <x:v>DA – PRUDENT</x:v>
      </x:c>
      <x:c r="AL81" s="9"/>
      <x:c r="AM81" s="9"/>
      <x:c r="AN81" s="64"/>
      <x:c r="AO81" s="64"/>
      <x:c r="AP81" s="16"/>
      <x:c r="AQ81" s="73"/>
      <x:c r="AR81" s="9" t="str">
        <x:v>Backtest inițial 29.08.2026; coloanele v2 LIVE sunt retrospective. Snapshot v2 nu a existat pre-match.</x:v>
      </x:c>
    </x:row>
    <x:row r="82" ht="42.75" customHeight="1">
      <x:c r="A82" s="10" t="n">
        <x:v>81</x:v>
      </x:c>
      <x:c r="B82" s="10" t="str">
        <x:v>Portugalia</x:v>
      </x:c>
      <x:c r="C82" s="10" t="str">
        <x:v>Primeira Liga</x:v>
      </x:c>
      <x:c r="D82" s="10" t="str">
        <x:v>Arouca – Marítimo</x:v>
      </x:c>
      <x:c r="E82" s="10" t="str">
        <x:v>DA – FEZABIL</x:v>
      </x:c>
      <x:c r="F82" s="17" t="n">
        <x:v>2.1691082158726713</x:v>
      </x:c>
      <x:c r="G82" s="29" t="n">
        <x:v>0.9308023745125416</x:v>
      </x:c>
      <x:c r="H82" s="35" t="n">
        <x:v>62</x:v>
      </x:c>
      <x:c r="I82" s="10" t="str">
        <x:v>PASS</x:v>
      </x:c>
      <x:c r="J82" s="10" t="n">
        <x:v>2</x:v>
      </x:c>
      <x:c r="K82" s="10" t="n">
        <x:v>1</x:v>
      </x:c>
      <x:c r="L82" s="10" t="n">
        <x:v>3</x:v>
      </x:c>
      <x:c r="M82" s="10" t="str">
        <x:v>UNDER</x:v>
      </x:c>
      <x:c r="N82" s="10" t="str">
        <x:v>PARIU U4,5</x:v>
      </x:c>
      <x:c r="O82" s="10" t="str">
        <x:v>SUCCES</x:v>
      </x:c>
      <x:c r="P82" s="10" t="n">
        <x:v>1</x:v>
      </x:c>
      <x:c r="Q82" s="56" t="n">
        <x:v>0.004788311373102559</x:v>
      </x:c>
      <x:c r="R82" s="17" t="n">
        <x:v>0.8308917841273287</x:v>
      </x:c>
      <x:c r="S82" s="10" t="str">
        <x:v>Succes solid: 3 goluri, cu 1 gol(uri) sub limita de 4; λ=2.17. Riscul de coadă 5+ nu s-a materializat.</x:v>
      </x:c>
      <x:c r="T82" s="10" t="str">
        <x:v>Proxy piață 1X2 (Poisson)</x:v>
      </x:c>
      <x:c r="U82" s="10" t="str">
        <x:v>https://www.gsp.ro/rezultate-live/meciuri-29-08-2026</x:v>
      </x:c>
      <x:c r="V82" s="59" t="n">
        <x:v>46263</x:v>
      </x:c>
      <x:c r="W82" s="16" t="n">
        <x:v>1.242810905239169</x:v>
      </x:c>
      <x:c r="X82" s="16" t="n">
        <x:v>0.9262973106335025</x:v>
      </x:c>
      <x:c r="Y82" s="9" t="str">
        <x:v>Proxy 1X2</x:v>
      </x:c>
      <x:c r="Z82" s="34"/>
      <x:c r="AA82" s="9"/>
      <x:c r="AB82" s="64" t="n">
        <x:f>IF(G82="","",MAX(0.5,MIN(0.995,G82-'Calibrare v2'!$B$20-IF(Y82="Proxy 1X2",'Calibrare v2'!$B$21,IF(Y82="Model extern contradictoriu",'Calibrare v2'!$B$22,0))-MAX(0,(IF(Z82="",'Calibrare v2'!$B$26,Z82)-'Calibrare v2'!$B$26)*'Calibrare v2'!$B$27))))</x:f>
        <x:v>0.879256973626344</x:v>
      </x:c>
      <x:c r="AC82" s="28"/>
      <x:c r="AD82" s="69" t="n">
        <x:f>IF(H82="","",MAX(0,MIN(H82,IF(Y82="Proxy 1X2",'Calibrare v2'!$B$23,'Calibrare v2'!$B$24))-IF(AA82="DA",'Calibrare v2'!$B$25,0)-MAX(0,(IF(Z82="",'Calibrare v2'!$B$26,Z82)-'Calibrare v2'!$B$26)*'Calibrare v2'!$B$37)))</x:f>
        <x:v>60</x:v>
      </x:c>
      <x:c r="AE82" s="34"/>
      <x:c r="AF82" s="73"/>
      <x:c r="AG82" s="16"/>
      <x:c r="AH82" s="16"/>
      <x:c r="AI82" s="64"/>
      <x:c r="AJ82" s="75" t="str">
        <x:f>IF(OR(G82="",F82=""),"",IF(AND(G82&gt;='Calibrare v2'!$B$35,F82&lt;='Calibrare v2'!$B$34),"PASS","FAIL"))</x:f>
        <x:v>PASS</x:v>
      </x:c>
      <x:c r="AK82" s="75" t="str">
        <x:f>IF(OR(AB82="",AD82="",F82=""),"",IF(AND(AB82&gt;='Calibrare v2'!$B$29,F82&lt;='Calibrare v2'!$B$33,IF(Z82="",'Calibrare v2'!$B$26,Z82)&lt;='Calibrare v2'!$B$26,AD82&gt;='Calibrare v2'!$B$31,OR(AG82="",AB82*AG82-1&gt;='Calibrare v2'!$B$36)),"DA – FEZABIL",IF(AND(AB82&gt;='Calibrare v2'!$B$30,IF(Z82="",'Calibrare v2'!$B$26,Z82)&lt;='Calibrare v2'!$B$28,AD82&gt;='Calibrare v2'!$B$32),"DA – PRUDENT","NU – NO BET")))</x:f>
        <x:v>DA – PRUDENT</x:v>
      </x:c>
      <x:c r="AL82" s="9"/>
      <x:c r="AM82" s="9"/>
      <x:c r="AN82" s="64"/>
      <x:c r="AO82" s="64"/>
      <x:c r="AP82" s="16"/>
      <x:c r="AQ82" s="73"/>
      <x:c r="AR82" s="9" t="str">
        <x:v>Backtest inițial 29.08.2026; coloanele v2 LIVE sunt retrospective. Snapshot v2 nu a existat pre-match.</x:v>
      </x:c>
    </x:row>
    <x:row r="83" ht="42.75" customHeight="1">
      <x:c r="A83" s="10" t="n">
        <x:v>82</x:v>
      </x:c>
      <x:c r="B83" s="10" t="str">
        <x:v>Portugalia</x:v>
      </x:c>
      <x:c r="C83" s="10" t="str">
        <x:v>Primeira Liga</x:v>
      </x:c>
      <x:c r="D83" s="10" t="str">
        <x:v>Alverca – Santa Clara</x:v>
      </x:c>
      <x:c r="E83" s="10" t="str">
        <x:v>DA – FEZABIL</x:v>
      </x:c>
      <x:c r="F83" s="17" t="n">
        <x:v>2.0430038110511504</x:v>
      </x:c>
      <x:c r="G83" s="29" t="n">
        <x:v>0.9433836137252003</x:v>
      </x:c>
      <x:c r="H83" s="35" t="n">
        <x:v>62</x:v>
      </x:c>
      <x:c r="I83" s="10" t="str">
        <x:v>PASS</x:v>
      </x:c>
      <x:c r="J83" s="10" t="n">
        <x:v>1</x:v>
      </x:c>
      <x:c r="K83" s="10" t="n">
        <x:v>1</x:v>
      </x:c>
      <x:c r="L83" s="10" t="n">
        <x:v>2</x:v>
      </x:c>
      <x:c r="M83" s="10" t="str">
        <x:v>UNDER</x:v>
      </x:c>
      <x:c r="N83" s="10" t="str">
        <x:v>PARIU U4,5</x:v>
      </x:c>
      <x:c r="O83" s="10" t="str">
        <x:v>SUCCES</x:v>
      </x:c>
      <x:c r="P83" s="10" t="n">
        <x:v>1</x:v>
      </x:c>
      <x:c r="Q83" s="56" t="n">
        <x:v>0.003205415194817328</x:v>
      </x:c>
      <x:c r="R83" s="17" t="n">
        <x:v>-0.043003811051150365</x:v>
      </x:c>
      <x:c r="S83" s="10" t="str">
        <x:v>Succes solid: 2 goluri, cu 2 gol(uri) sub limita de 4; λ=2.04. Riscul de coadă 5+ nu s-a materializat.</x:v>
      </x:c>
      <x:c r="T83" s="10" t="str">
        <x:v>Proxy piață 1X2 (Poisson)</x:v>
      </x:c>
      <x:c r="U83" s="10" t="str">
        <x:v>https://www.gsp.ro/rezultate-live/meciuri-29-08-2026</x:v>
      </x:c>
      <x:c r="V83" s="59" t="n">
        <x:v>46263</x:v>
      </x:c>
      <x:c r="W83" s="16" t="n">
        <x:v>1.0370823694743037</x:v>
      </x:c>
      <x:c r="X83" s="16" t="n">
        <x:v>1.0059214415768467</x:v>
      </x:c>
      <x:c r="Y83" s="9" t="str">
        <x:v>Proxy 1X2</x:v>
      </x:c>
      <x:c r="Z83" s="34"/>
      <x:c r="AA83" s="9"/>
      <x:c r="AB83" s="64" t="n">
        <x:f>IF(G83="","",MAX(0.5,MIN(0.995,G83-'Calibrare v2'!$B$20-IF(Y83="Proxy 1X2",'Calibrare v2'!$B$21,IF(Y83="Model extern contradictoriu",'Calibrare v2'!$B$22,0))-MAX(0,(IF(Z83="",'Calibrare v2'!$B$26,Z83)-'Calibrare v2'!$B$26)*'Calibrare v2'!$B$27))))</x:f>
        <x:v>0.8918382128390028</x:v>
      </x:c>
      <x:c r="AC83" s="28"/>
      <x:c r="AD83" s="69" t="n">
        <x:f>IF(H83="","",MAX(0,MIN(H83,IF(Y83="Proxy 1X2",'Calibrare v2'!$B$23,'Calibrare v2'!$B$24))-IF(AA83="DA",'Calibrare v2'!$B$25,0)-MAX(0,(IF(Z83="",'Calibrare v2'!$B$26,Z83)-'Calibrare v2'!$B$26)*'Calibrare v2'!$B$37)))</x:f>
        <x:v>60</x:v>
      </x:c>
      <x:c r="AE83" s="34"/>
      <x:c r="AF83" s="73"/>
      <x:c r="AG83" s="16"/>
      <x:c r="AH83" s="16"/>
      <x:c r="AI83" s="64"/>
      <x:c r="AJ83" s="75" t="str">
        <x:f>IF(OR(G83="",F83=""),"",IF(AND(G83&gt;='Calibrare v2'!$B$35,F83&lt;='Calibrare v2'!$B$34),"PASS","FAIL"))</x:f>
        <x:v>PASS</x:v>
      </x:c>
      <x:c r="AK83" s="75" t="str">
        <x:f>IF(OR(AB83="",AD83="",F83=""),"",IF(AND(AB83&gt;='Calibrare v2'!$B$29,F83&lt;='Calibrare v2'!$B$33,IF(Z83="",'Calibrare v2'!$B$26,Z83)&lt;='Calibrare v2'!$B$26,AD83&gt;='Calibrare v2'!$B$31,OR(AG83="",AB83*AG83-1&gt;='Calibrare v2'!$B$36)),"DA – FEZABIL",IF(AND(AB83&gt;='Calibrare v2'!$B$30,IF(Z83="",'Calibrare v2'!$B$26,Z83)&lt;='Calibrare v2'!$B$28,AD83&gt;='Calibrare v2'!$B$32),"DA – PRUDENT","NU – NO BET")))</x:f>
        <x:v>DA – PRUDENT</x:v>
      </x:c>
      <x:c r="AL83" s="9"/>
      <x:c r="AM83" s="9"/>
      <x:c r="AN83" s="64"/>
      <x:c r="AO83" s="64"/>
      <x:c r="AP83" s="16"/>
      <x:c r="AQ83" s="73"/>
      <x:c r="AR83" s="9" t="str">
        <x:v>Backtest inițial 29.08.2026; coloanele v2 LIVE sunt retrospective. Snapshot v2 nu a existat pre-match.</x:v>
      </x:c>
    </x:row>
    <x:row r="84" ht="43.5" customHeight="1">
      <x:c r="A84" s="10" t="n">
        <x:v>83</x:v>
      </x:c>
      <x:c r="B84" s="10" t="str">
        <x:v>Portugalia</x:v>
      </x:c>
      <x:c r="C84" s="10" t="str">
        <x:v>Primeira Liga</x:v>
      </x:c>
      <x:c r="D84" s="10" t="str">
        <x:v>Académico Viseu – FC Porto</x:v>
      </x:c>
      <x:c r="E84" s="10" t="str">
        <x:v>NU – EVITĂ</x:v>
      </x:c>
      <x:c r="F84" s="17" t="n">
        <x:v>3.816474048698225</x:v>
      </x:c>
      <x:c r="G84" s="29" t="n">
        <x:v>0.6646403764534546</x:v>
      </x:c>
      <x:c r="H84" s="35" t="n">
        <x:v>45</x:v>
      </x:c>
      <x:c r="I84" s="10" t="str">
        <x:v>FAIL</x:v>
      </x:c>
      <x:c r="J84" s="10" t="n">
        <x:v>0</x:v>
      </x:c>
      <x:c r="K84" s="10" t="n">
        <x:v>3</x:v>
      </x:c>
      <x:c r="L84" s="10" t="n">
        <x:v>3</x:v>
      </x:c>
      <x:c r="M84" s="10" t="str">
        <x:v>UNDER</x:v>
      </x:c>
      <x:c r="N84" s="10" t="str">
        <x:v>NO BET</x:v>
      </x:c>
      <x:c r="O84" s="10" t="str">
        <x:v>FALS NEGATIV</x:v>
      </x:c>
      <x:c r="P84" s="10" t="n">
        <x:v>1</x:v>
      </x:c>
      <x:c r="Q84" s="56" t="n">
        <x:v>0.11246607710528062</x:v>
      </x:c>
      <x:c r="R84" s="17" t="n">
        <x:v>-0.8164740486982249</x:v>
      </x:c>
      <x:c r="S84" s="10" t="str">
        <x:v>Fals negativ: modelul a evitat pariul, dar meciul a avut doar 3 goluri. λ=3.82 a fost prea conservator pentru decizia AVOID.</x:v>
      </x:c>
      <x:c r="T84" s="10" t="str">
        <x:v>Piață 1X2 + model extern contradictoriu (5.0 xG total)</x:v>
      </x:c>
      <x:c r="U84" s="10" t="str">
        <x:v>https://www.gsp.ro/rezultate-live/meciuri-29-08-2026</x:v>
      </x:c>
      <x:c r="V84" s="59" t="n">
        <x:v>46263</x:v>
      </x:c>
      <x:c r="W84" s="16" t="n">
        <x:v>0.9205390284424619</x:v>
      </x:c>
      <x:c r="X84" s="16" t="n">
        <x:v>2.895935020255763</x:v>
      </x:c>
      <x:c r="Y84" s="9" t="str">
        <x:v>Model extern contradictoriu</x:v>
      </x:c>
      <x:c r="Z84" s="34"/>
      <x:c r="AA84" s="9"/>
      <x:c r="AB84" s="64" t="n">
        <x:f>IF(G84="","",MAX(0.5,MIN(0.995,G84-'Calibrare v2'!$B$20-IF(Y84="Proxy 1X2",'Calibrare v2'!$B$21,IF(Y84="Model extern contradictoriu",'Calibrare v2'!$B$22,0))-MAX(0,(IF(Z84="",'Calibrare v2'!$B$26,Z84)-'Calibrare v2'!$B$26)*'Calibrare v2'!$B$27))))</x:f>
        <x:v>0.6030949755672571</x:v>
      </x:c>
      <x:c r="AC84" s="28"/>
      <x:c r="AD84" s="69" t="n">
        <x:f>IF(H84="","",MAX(0,MIN(H84,IF(Y84="Proxy 1X2",'Calibrare v2'!$B$23,'Calibrare v2'!$B$24))-IF(AA84="DA",'Calibrare v2'!$B$25,0)-MAX(0,(IF(Z84="",'Calibrare v2'!$B$26,Z84)-'Calibrare v2'!$B$26)*'Calibrare v2'!$B$37)))</x:f>
        <x:v>45</x:v>
      </x:c>
      <x:c r="AE84" s="34"/>
      <x:c r="AF84" s="73"/>
      <x:c r="AG84" s="16"/>
      <x:c r="AH84" s="16"/>
      <x:c r="AI84" s="64"/>
      <x:c r="AJ84" s="75" t="str">
        <x:f>IF(OR(G84="",F84=""),"",IF(AND(G84&gt;='Calibrare v2'!$B$35,F84&lt;='Calibrare v2'!$B$34),"PASS","FAIL"))</x:f>
        <x:v>FAIL</x:v>
      </x:c>
      <x:c r="AK84" s="75" t="str">
        <x:f>IF(OR(AB84="",AD84="",F84=""),"",IF(AND(AB84&gt;='Calibrare v2'!$B$29,F84&lt;='Calibrare v2'!$B$33,IF(Z84="",'Calibrare v2'!$B$26,Z84)&lt;='Calibrare v2'!$B$26,AD84&gt;='Calibrare v2'!$B$31,OR(AG84="",AB84*AG84-1&gt;='Calibrare v2'!$B$36)),"DA – FEZABIL",IF(AND(AB84&gt;='Calibrare v2'!$B$30,IF(Z84="",'Calibrare v2'!$B$26,Z84)&lt;='Calibrare v2'!$B$28,AD84&gt;='Calibrare v2'!$B$32),"DA – PRUDENT","NU – NO BET")))</x:f>
        <x:v>NU – NO BET</x:v>
      </x:c>
      <x:c r="AL84" s="9"/>
      <x:c r="AM84" s="9"/>
      <x:c r="AN84" s="64"/>
      <x:c r="AO84" s="64"/>
      <x:c r="AP84" s="16"/>
      <x:c r="AQ84" s="73"/>
      <x:c r="AR84" s="9" t="str">
        <x:v>Backtest inițial 29.08.2026; coloanele v2 LIVE sunt retrospective. Snapshot v2 nu a existat pre-match.</x:v>
      </x:c>
    </x:row>
    <x:row r="85">
      <x:c r="A85" s="9" t="str">
        <x:f>IF(D85="","",ROW()-1)</x:f>
      </x:c>
      <x:c r="B85" s="51"/>
      <x:c r="C85" s="51"/>
      <x:c r="D85" s="51"/>
      <x:c r="E85" s="9" t="str">
        <x:f>IF(D85="","",IF(AND(F85&lt;='Calibrare v2'!$B$33,G85&gt;=0.86),"DA – FEZABIL",IF(G85&gt;=0.8,"DA – PRUDENT","NU – EVITĂ")))</x:f>
      </x:c>
      <x:c r="F85" s="16" t="str">
        <x:f>IF(OR(W85="",X85=""),"",W85+X85)</x:f>
      </x:c>
      <x:c r="G85" s="28" t="str">
        <x:f>IF(F85="","",EXP(-F85)*(1+F85+F85^2/2+F85^3/6+F85^4/24))</x:f>
      </x:c>
      <x:c r="H85" s="53"/>
      <x:c r="I85" s="9" t="str">
        <x:f>IF(F85="","",IF(F85&lt;='Calibrare v2'!$B$33,"PASS","FAIL"))</x:f>
      </x:c>
      <x:c r="J85" s="51"/>
      <x:c r="K85" s="51"/>
      <x:c r="L85" s="9" t="str">
        <x:f>IF(OR(J85="",K85=""),"",J85+K85)</x:f>
      </x:c>
      <x:c r="M85" s="9" t="str">
        <x:f>IF(L85="","",IF(L85&lt;=4,"UNDER","OVER"))</x:f>
      </x:c>
      <x:c r="N85" s="9" t="str">
        <x:f>IF(E85="","",IF(LEFT(E85,2)="DA","PARIU U4,5","NO BET"))</x:f>
      </x:c>
      <x:c r="O85" s="9" t="str">
        <x:f>IF(M85="","",IF(AM85="PARIU U4,5",IF(M85="UNDER","SUCCES","EȘEC"),IF(M85="UNDER","FALS NEGATIV","EVITARE CORECTĂ")))</x:f>
      </x:c>
      <x:c r="P85" s="9" t="str">
        <x:f>IF(M85="","",IF(M85="UNDER",1,0))</x:f>
      </x:c>
      <x:c r="Q85" s="9" t="str">
        <x:f>IF(P85="","",(G85-P85)^2)</x:f>
      </x:c>
      <x:c r="R85" s="9" t="str">
        <x:f>IF(L85="","",L85-F85)</x:f>
      </x:c>
      <x:c r="S85" s="9" t="str">
        <x:f>IF(L85="","",IF(M85="UNDER","U4,5 reușit; total final "&amp;L85&amp;" vs λ="&amp;TEXT(F85,"0.00")&amp;".","Eșec U4,5; total final "&amp;L85&amp;" vs λ="&amp;TEXT(F85,"0.00")&amp;". Revizuiește Tail Risk, sursa λ și calibrarea."))</x:f>
      </x:c>
      <x:c r="T85" s="51"/>
      <x:c r="U85" s="51"/>
      <x:c r="V85" s="51"/>
      <x:c r="W85" s="61"/>
      <x:c r="X85" s="61"/>
      <x:c r="Y85" s="51"/>
      <x:c r="Z85" s="53"/>
      <x:c r="AA85" s="51"/>
      <x:c r="AB85" s="64" t="str">
        <x:f>IF(AC85="","",AC85)</x:f>
      </x:c>
      <x:c r="AC85" s="67"/>
      <x:c r="AD85" s="69" t="str">
        <x:f>IF(AE85="","",AE85)</x:f>
      </x:c>
      <x:c r="AE85" s="71"/>
      <x:c r="AF85" s="73" t="str">
        <x:f>IF(AC85="","",1/AC85)</x:f>
      </x:c>
      <x:c r="AG85" s="61"/>
      <x:c r="AH85" s="61"/>
      <x:c r="AI85" s="64" t="str">
        <x:f>IF(OR(AC85="",AG85=""),"",AC85*AG85-1)</x:f>
      </x:c>
      <x:c r="AJ85" s="75" t="str">
        <x:f>IF(OR(G85="",F85=""),"",IF(AND(G85&gt;='Calibrare v2'!$B$35,F85&lt;='Calibrare v2'!$B$34),"PASS","FAIL"))</x:f>
      </x:c>
      <x:c r="AK85" s="75" t="str">
        <x:f>IF(AL85="","",AL85)</x:f>
      </x:c>
      <x:c r="AL85" s="77"/>
      <x:c r="AM85" s="77"/>
      <x:c r="AN85" s="64" t="str">
        <x:f>IF(OR(AC85="",P85=""),"",(AC85-P85)^2)</x:f>
      </x:c>
      <x:c r="AO85" s="64" t="str">
        <x:f>IF(OR(AG85="",AH85=""),"",AG85/AH85-1)</x:f>
      </x:c>
      <x:c r="AP85" s="61"/>
      <x:c r="AQ85" s="73" t="n">
        <x:f>IF(OR(AM85&lt;&gt;"PARIU U4,5",M85="",AP85="",AG85=""),0,IF(M85="UNDER",AP85*(AG85-1),-AP85))</x:f>
        <x:v>0</x:v>
      </x:c>
      <x:c r="AR85" s="51" t="str">
        <x:v>Rândurile noi citesc snapshotul din AC/AE/AL. Folosește PARIU U4,5 în AM. Nu recalcula retrospectiv forecastul.</x:v>
      </x:c>
    </x:row>
    <x:row r="86">
      <x:c r="A86" s="9" t="str">
        <x:f>IF(D86="","",ROW()-1)</x:f>
      </x:c>
      <x:c r="B86" s="51"/>
      <x:c r="C86" s="51"/>
      <x:c r="D86" s="51"/>
      <x:c r="E86" s="9" t="str">
        <x:f>IF(D86="","",IF(AND(F86&lt;='Calibrare v2'!$B$33,G86&gt;=0.86),"DA – FEZABIL",IF(G86&gt;=0.8,"DA – PRUDENT","NU – EVITĂ")))</x:f>
      </x:c>
      <x:c r="F86" s="16" t="str">
        <x:f>IF(OR(W86="",X86=""),"",W86+X86)</x:f>
      </x:c>
      <x:c r="G86" s="28" t="str">
        <x:f>IF(F86="","",EXP(-F86)*(1+F86+F86^2/2+F86^3/6+F86^4/24))</x:f>
      </x:c>
      <x:c r="H86" s="53"/>
      <x:c r="I86" s="9" t="str">
        <x:f>IF(F86="","",IF(F86&lt;='Calibrare v2'!$B$33,"PASS","FAIL"))</x:f>
      </x:c>
      <x:c r="J86" s="51"/>
      <x:c r="K86" s="51"/>
      <x:c r="L86" s="9" t="str">
        <x:f>IF(OR(J86="",K86=""),"",J86+K86)</x:f>
      </x:c>
      <x:c r="M86" s="9" t="str">
        <x:f>IF(L86="","",IF(L86&lt;=4,"UNDER","OVER"))</x:f>
      </x:c>
      <x:c r="N86" s="9" t="str">
        <x:f>IF(E86="","",IF(LEFT(E86,2)="DA","PARIU U5,5","NO BET"))</x:f>
      </x:c>
      <x:c r="O86" s="9" t="str">
        <x:f>IF(M86="","",IF(AM86="PARIU U5,5",IF(M86="UNDER","SUCCES","EȘEC"),IF(M86="UNDER","FALS NEGATIV","EVITARE CORECTĂ")))</x:f>
      </x:c>
      <x:c r="P86" s="9" t="str">
        <x:f>IF(M86="","",IF(M86="UNDER",1,0))</x:f>
      </x:c>
      <x:c r="Q86" s="9" t="str">
        <x:f>IF(P86="","",(G86-P86)^2)</x:f>
      </x:c>
      <x:c r="R86" s="9" t="str">
        <x:f>IF(L86="","",L86-F86)</x:f>
      </x:c>
      <x:c r="S86" s="9" t="str">
        <x:f>IF(L86="","",IF(M86="UNDER","U5,5 reușit; total final "&amp;L86&amp;" vs λ="&amp;TEXT(F86,"0.00")&amp;".","Eșec U5,5; total final "&amp;L86&amp;" vs λ="&amp;TEXT(F86,"0.00")&amp;". Revizuiește Tail Risk, sursa λ și calibrarea."))</x:f>
      </x:c>
      <x:c r="T86" s="51"/>
      <x:c r="U86" s="51"/>
      <x:c r="V86" s="51"/>
      <x:c r="W86" s="61"/>
      <x:c r="X86" s="61"/>
      <x:c r="Y86" s="51"/>
      <x:c r="Z86" s="53"/>
      <x:c r="AA86" s="51"/>
      <x:c r="AB86" s="64" t="str">
        <x:f>IF(AC86="","",AC86)</x:f>
      </x:c>
      <x:c r="AC86" s="67"/>
      <x:c r="AD86" s="69" t="str">
        <x:f>IF(AE86="","",AE86)</x:f>
      </x:c>
      <x:c r="AE86" s="71"/>
      <x:c r="AF86" s="73" t="str">
        <x:f>IF(AC86="","",1/AC86)</x:f>
      </x:c>
      <x:c r="AG86" s="61"/>
      <x:c r="AH86" s="61"/>
      <x:c r="AI86" s="64" t="str">
        <x:f>IF(OR(AC86="",AG86=""),"",AC86*AG86-1)</x:f>
      </x:c>
      <x:c r="AJ86" s="75" t="str">
        <x:f>IF(OR(G86="",F86=""),"",IF(AND(G86&gt;='Calibrare v2'!$B$35,F86&lt;='Calibrare v2'!$B$34),"PASS","FAIL"))</x:f>
      </x:c>
      <x:c r="AK86" s="75" t="str">
        <x:f>IF(AL86="","",AL86)</x:f>
      </x:c>
      <x:c r="AL86" s="77"/>
      <x:c r="AM86" s="77"/>
      <x:c r="AN86" s="64" t="str">
        <x:f>IF(OR(AC86="",P86=""),"",(AC86-P86)^2)</x:f>
      </x:c>
      <x:c r="AO86" s="64" t="str">
        <x:f>IF(OR(AG86="",AH86=""),"",AG86/AH86-1)</x:f>
      </x:c>
      <x:c r="AP86" s="61"/>
      <x:c r="AQ86" s="73" t="n">
        <x:f>IF(OR(AM86&lt;&gt;"PARIU U4,5",M86="",AP86="",AG86=""),0,IF(M86="UNDER",AP86*(AG86-1),-AP86))</x:f>
        <x:v>0</x:v>
      </x:c>
      <x:c r="AR86" s="51"/>
    </x:row>
    <x:row r="87">
      <x:c r="A87" s="9" t="str">
        <x:f>IF(D87="","",ROW()-1)</x:f>
      </x:c>
      <x:c r="B87" s="51"/>
      <x:c r="C87" s="51"/>
      <x:c r="D87" s="51"/>
      <x:c r="E87" s="9" t="str">
        <x:f>IF(D87="","",IF(AND(F87&lt;='Calibrare v2'!$B$33,G87&gt;=0.86),"DA – FEZABIL",IF(G87&gt;=0.8,"DA – PRUDENT","NU – EVITĂ")))</x:f>
      </x:c>
      <x:c r="F87" s="16" t="str">
        <x:f>IF(OR(W87="",X87=""),"",W87+X87)</x:f>
      </x:c>
      <x:c r="G87" s="28" t="str">
        <x:f>IF(F87="","",EXP(-F87)*(1+F87+F87^2/2+F87^3/6+F87^4/24))</x:f>
      </x:c>
      <x:c r="H87" s="53"/>
      <x:c r="I87" s="9" t="str">
        <x:f>IF(F87="","",IF(F87&lt;='Calibrare v2'!$B$33,"PASS","FAIL"))</x:f>
      </x:c>
      <x:c r="J87" s="51"/>
      <x:c r="K87" s="51"/>
      <x:c r="L87" s="9" t="str">
        <x:f>IF(OR(J87="",K87=""),"",J87+K87)</x:f>
      </x:c>
      <x:c r="M87" s="9" t="str">
        <x:f>IF(L87="","",IF(L87&lt;=4,"UNDER","OVER"))</x:f>
      </x:c>
      <x:c r="N87" s="9" t="str">
        <x:f>IF(E87="","",IF(LEFT(E87,2)="DA","PARIU U6,5","NO BET"))</x:f>
      </x:c>
      <x:c r="O87" s="9" t="str">
        <x:f>IF(M87="","",IF(AM87="PARIU U6,5",IF(M87="UNDER","SUCCES","EȘEC"),IF(M87="UNDER","FALS NEGATIV","EVITARE CORECTĂ")))</x:f>
      </x:c>
      <x:c r="P87" s="9" t="str">
        <x:f>IF(M87="","",IF(M87="UNDER",1,0))</x:f>
      </x:c>
      <x:c r="Q87" s="9" t="str">
        <x:f>IF(P87="","",(G87-P87)^2)</x:f>
      </x:c>
      <x:c r="R87" s="9" t="str">
        <x:f>IF(L87="","",L87-F87)</x:f>
      </x:c>
      <x:c r="S87" s="9" t="str">
        <x:f>IF(L87="","",IF(M87="UNDER","U6,5 reușit; total final "&amp;L87&amp;" vs λ="&amp;TEXT(F87,"0.00")&amp;".","Eșec U6,5; total final "&amp;L87&amp;" vs λ="&amp;TEXT(F87,"0.00")&amp;". Revizuiește Tail Risk, sursa λ și calibrarea."))</x:f>
      </x:c>
      <x:c r="T87" s="51"/>
      <x:c r="U87" s="51"/>
      <x:c r="V87" s="51"/>
      <x:c r="W87" s="61"/>
      <x:c r="X87" s="61"/>
      <x:c r="Y87" s="51"/>
      <x:c r="Z87" s="53"/>
      <x:c r="AA87" s="51"/>
      <x:c r="AB87" s="64" t="str">
        <x:f>IF(AC87="","",AC87)</x:f>
      </x:c>
      <x:c r="AC87" s="67"/>
      <x:c r="AD87" s="69" t="str">
        <x:f>IF(AE87="","",AE87)</x:f>
      </x:c>
      <x:c r="AE87" s="71"/>
      <x:c r="AF87" s="73" t="str">
        <x:f>IF(AC87="","",1/AC87)</x:f>
      </x:c>
      <x:c r="AG87" s="61"/>
      <x:c r="AH87" s="61"/>
      <x:c r="AI87" s="64" t="str">
        <x:f>IF(OR(AC87="",AG87=""),"",AC87*AG87-1)</x:f>
      </x:c>
      <x:c r="AJ87" s="75" t="str">
        <x:f>IF(OR(G87="",F87=""),"",IF(AND(G87&gt;='Calibrare v2'!$B$35,F87&lt;='Calibrare v2'!$B$34),"PASS","FAIL"))</x:f>
      </x:c>
      <x:c r="AK87" s="75" t="str">
        <x:f>IF(AL87="","",AL87)</x:f>
      </x:c>
      <x:c r="AL87" s="77"/>
      <x:c r="AM87" s="77"/>
      <x:c r="AN87" s="64" t="str">
        <x:f>IF(OR(AC87="",P87=""),"",(AC87-P87)^2)</x:f>
      </x:c>
      <x:c r="AO87" s="64" t="str">
        <x:f>IF(OR(AG87="",AH87=""),"",AG87/AH87-1)</x:f>
      </x:c>
      <x:c r="AP87" s="61"/>
      <x:c r="AQ87" s="73" t="n">
        <x:f>IF(OR(AM87&lt;&gt;"PARIU U4,5",M87="",AP87="",AG87=""),0,IF(M87="UNDER",AP87*(AG87-1),-AP87))</x:f>
        <x:v>0</x:v>
      </x:c>
      <x:c r="AR87" s="51"/>
    </x:row>
    <x:row r="88">
      <x:c r="A88" s="9" t="str">
        <x:f>IF(D88="","",ROW()-1)</x:f>
      </x:c>
      <x:c r="B88" s="51"/>
      <x:c r="C88" s="51"/>
      <x:c r="D88" s="51"/>
      <x:c r="E88" s="9" t="str">
        <x:f>IF(D88="","",IF(AND(F88&lt;='Calibrare v2'!$B$33,G88&gt;=0.86),"DA – FEZABIL",IF(G88&gt;=0.8,"DA – PRUDENT","NU – EVITĂ")))</x:f>
      </x:c>
      <x:c r="F88" s="16" t="str">
        <x:f>IF(OR(W88="",X88=""),"",W88+X88)</x:f>
      </x:c>
      <x:c r="G88" s="28" t="str">
        <x:f>IF(F88="","",EXP(-F88)*(1+F88+F88^2/2+F88^3/6+F88^4/24))</x:f>
      </x:c>
      <x:c r="H88" s="53"/>
      <x:c r="I88" s="9" t="str">
        <x:f>IF(F88="","",IF(F88&lt;='Calibrare v2'!$B$33,"PASS","FAIL"))</x:f>
      </x:c>
      <x:c r="J88" s="51"/>
      <x:c r="K88" s="51"/>
      <x:c r="L88" s="9" t="str">
        <x:f>IF(OR(J88="",K88=""),"",J88+K88)</x:f>
      </x:c>
      <x:c r="M88" s="9" t="str">
        <x:f>IF(L88="","",IF(L88&lt;=4,"UNDER","OVER"))</x:f>
      </x:c>
      <x:c r="N88" s="9" t="str">
        <x:f>IF(E88="","",IF(LEFT(E88,2)="DA","PARIU U7,5","NO BET"))</x:f>
      </x:c>
      <x:c r="O88" s="9" t="str">
        <x:f>IF(M88="","",IF(AM88="PARIU U7,5",IF(M88="UNDER","SUCCES","EȘEC"),IF(M88="UNDER","FALS NEGATIV","EVITARE CORECTĂ")))</x:f>
      </x:c>
      <x:c r="P88" s="9" t="str">
        <x:f>IF(M88="","",IF(M88="UNDER",1,0))</x:f>
      </x:c>
      <x:c r="Q88" s="9" t="str">
        <x:f>IF(P88="","",(G88-P88)^2)</x:f>
      </x:c>
      <x:c r="R88" s="9" t="str">
        <x:f>IF(L88="","",L88-F88)</x:f>
      </x:c>
      <x:c r="S88" s="9" t="str">
        <x:f>IF(L88="","",IF(M88="UNDER","U7,5 reușit; total final "&amp;L88&amp;" vs λ="&amp;TEXT(F88,"0.00")&amp;".","Eșec U7,5; total final "&amp;L88&amp;" vs λ="&amp;TEXT(F88,"0.00")&amp;". Revizuiește Tail Risk, sursa λ și calibrarea."))</x:f>
      </x:c>
      <x:c r="T88" s="51"/>
      <x:c r="U88" s="51"/>
      <x:c r="V88" s="51"/>
      <x:c r="W88" s="61"/>
      <x:c r="X88" s="61"/>
      <x:c r="Y88" s="51"/>
      <x:c r="Z88" s="53"/>
      <x:c r="AA88" s="51"/>
      <x:c r="AB88" s="64" t="str">
        <x:f>IF(AC88="","",AC88)</x:f>
      </x:c>
      <x:c r="AC88" s="67"/>
      <x:c r="AD88" s="69" t="str">
        <x:f>IF(AE88="","",AE88)</x:f>
      </x:c>
      <x:c r="AE88" s="71"/>
      <x:c r="AF88" s="73" t="str">
        <x:f>IF(AC88="","",1/AC88)</x:f>
      </x:c>
      <x:c r="AG88" s="61"/>
      <x:c r="AH88" s="61"/>
      <x:c r="AI88" s="64" t="str">
        <x:f>IF(OR(AC88="",AG88=""),"",AC88*AG88-1)</x:f>
      </x:c>
      <x:c r="AJ88" s="75" t="str">
        <x:f>IF(OR(G88="",F88=""),"",IF(AND(G88&gt;='Calibrare v2'!$B$35,F88&lt;='Calibrare v2'!$B$34),"PASS","FAIL"))</x:f>
      </x:c>
      <x:c r="AK88" s="75" t="str">
        <x:f>IF(AL88="","",AL88)</x:f>
      </x:c>
      <x:c r="AL88" s="77"/>
      <x:c r="AM88" s="77"/>
      <x:c r="AN88" s="64" t="str">
        <x:f>IF(OR(AC88="",P88=""),"",(AC88-P88)^2)</x:f>
      </x:c>
      <x:c r="AO88" s="64" t="str">
        <x:f>IF(OR(AG88="",AH88=""),"",AG88/AH88-1)</x:f>
      </x:c>
      <x:c r="AP88" s="61"/>
      <x:c r="AQ88" s="73" t="n">
        <x:f>IF(OR(AM88&lt;&gt;"PARIU U4,5",M88="",AP88="",AG88=""),0,IF(M88="UNDER",AP88*(AG88-1),-AP88))</x:f>
        <x:v>0</x:v>
      </x:c>
      <x:c r="AR88" s="51"/>
    </x:row>
    <x:row r="89">
      <x:c r="A89" s="9" t="str">
        <x:f>IF(D89="","",ROW()-1)</x:f>
      </x:c>
      <x:c r="B89" s="51"/>
      <x:c r="C89" s="51"/>
      <x:c r="D89" s="51"/>
      <x:c r="E89" s="9" t="str">
        <x:f>IF(D89="","",IF(AND(F89&lt;='Calibrare v2'!$B$33,G89&gt;=0.86),"DA – FEZABIL",IF(G89&gt;=0.8,"DA – PRUDENT","NU – EVITĂ")))</x:f>
      </x:c>
      <x:c r="F89" s="16" t="str">
        <x:f>IF(OR(W89="",X89=""),"",W89+X89)</x:f>
      </x:c>
      <x:c r="G89" s="28" t="str">
        <x:f>IF(F89="","",EXP(-F89)*(1+F89+F89^2/2+F89^3/6+F89^4/24))</x:f>
      </x:c>
      <x:c r="H89" s="53"/>
      <x:c r="I89" s="9" t="str">
        <x:f>IF(F89="","",IF(F89&lt;='Calibrare v2'!$B$33,"PASS","FAIL"))</x:f>
      </x:c>
      <x:c r="J89" s="51"/>
      <x:c r="K89" s="51"/>
      <x:c r="L89" s="9" t="str">
        <x:f>IF(OR(J89="",K89=""),"",J89+K89)</x:f>
      </x:c>
      <x:c r="M89" s="9" t="str">
        <x:f>IF(L89="","",IF(L89&lt;=4,"UNDER","OVER"))</x:f>
      </x:c>
      <x:c r="N89" s="9" t="str">
        <x:f>IF(E89="","",IF(LEFT(E89,2)="DA","PARIU U8,5","NO BET"))</x:f>
      </x:c>
      <x:c r="O89" s="9" t="str">
        <x:f>IF(M89="","",IF(AM89="PARIU U8,5",IF(M89="UNDER","SUCCES","EȘEC"),IF(M89="UNDER","FALS NEGATIV","EVITARE CORECTĂ")))</x:f>
      </x:c>
      <x:c r="P89" s="9" t="str">
        <x:f>IF(M89="","",IF(M89="UNDER",1,0))</x:f>
      </x:c>
      <x:c r="Q89" s="9" t="str">
        <x:f>IF(P89="","",(G89-P89)^2)</x:f>
      </x:c>
      <x:c r="R89" s="9" t="str">
        <x:f>IF(L89="","",L89-F89)</x:f>
      </x:c>
      <x:c r="S89" s="9" t="str">
        <x:f>IF(L89="","",IF(M89="UNDER","U8,5 reușit; total final "&amp;L89&amp;" vs λ="&amp;TEXT(F89,"0.00")&amp;".","Eșec U8,5; total final "&amp;L89&amp;" vs λ="&amp;TEXT(F89,"0.00")&amp;". Revizuiește Tail Risk, sursa λ și calibrarea."))</x:f>
      </x:c>
      <x:c r="T89" s="51"/>
      <x:c r="U89" s="51"/>
      <x:c r="V89" s="51"/>
      <x:c r="W89" s="61"/>
      <x:c r="X89" s="61"/>
      <x:c r="Y89" s="51"/>
      <x:c r="Z89" s="53"/>
      <x:c r="AA89" s="51"/>
      <x:c r="AB89" s="64" t="str">
        <x:f>IF(AC89="","",AC89)</x:f>
      </x:c>
      <x:c r="AC89" s="67"/>
      <x:c r="AD89" s="69" t="str">
        <x:f>IF(AE89="","",AE89)</x:f>
      </x:c>
      <x:c r="AE89" s="71"/>
      <x:c r="AF89" s="73" t="str">
        <x:f>IF(AC89="","",1/AC89)</x:f>
      </x:c>
      <x:c r="AG89" s="61"/>
      <x:c r="AH89" s="61"/>
      <x:c r="AI89" s="64" t="str">
        <x:f>IF(OR(AC89="",AG89=""),"",AC89*AG89-1)</x:f>
      </x:c>
      <x:c r="AJ89" s="75" t="str">
        <x:f>IF(OR(G89="",F89=""),"",IF(AND(G89&gt;='Calibrare v2'!$B$35,F89&lt;='Calibrare v2'!$B$34),"PASS","FAIL"))</x:f>
      </x:c>
      <x:c r="AK89" s="75" t="str">
        <x:f>IF(AL89="","",AL89)</x:f>
      </x:c>
      <x:c r="AL89" s="77"/>
      <x:c r="AM89" s="77"/>
      <x:c r="AN89" s="64" t="str">
        <x:f>IF(OR(AC89="",P89=""),"",(AC89-P89)^2)</x:f>
      </x:c>
      <x:c r="AO89" s="64" t="str">
        <x:f>IF(OR(AG89="",AH89=""),"",AG89/AH89-1)</x:f>
      </x:c>
      <x:c r="AP89" s="61"/>
      <x:c r="AQ89" s="73" t="n">
        <x:f>IF(OR(AM89&lt;&gt;"PARIU U4,5",M89="",AP89="",AG89=""),0,IF(M89="UNDER",AP89*(AG89-1),-AP89))</x:f>
        <x:v>0</x:v>
      </x:c>
      <x:c r="AR89" s="51"/>
    </x:row>
    <x:row r="90">
      <x:c r="A90" s="9" t="str">
        <x:f>IF(D90="","",ROW()-1)</x:f>
      </x:c>
      <x:c r="B90" s="51"/>
      <x:c r="C90" s="51"/>
      <x:c r="D90" s="51"/>
      <x:c r="E90" s="9" t="str">
        <x:f>IF(D90="","",IF(AND(F90&lt;='Calibrare v2'!$B$33,G90&gt;=0.86),"DA – FEZABIL",IF(G90&gt;=0.8,"DA – PRUDENT","NU – EVITĂ")))</x:f>
      </x:c>
      <x:c r="F90" s="16" t="str">
        <x:f>IF(OR(W90="",X90=""),"",W90+X90)</x:f>
      </x:c>
      <x:c r="G90" s="28" t="str">
        <x:f>IF(F90="","",EXP(-F90)*(1+F90+F90^2/2+F90^3/6+F90^4/24))</x:f>
      </x:c>
      <x:c r="H90" s="53"/>
      <x:c r="I90" s="9" t="str">
        <x:f>IF(F90="","",IF(F90&lt;='Calibrare v2'!$B$33,"PASS","FAIL"))</x:f>
      </x:c>
      <x:c r="J90" s="51"/>
      <x:c r="K90" s="51"/>
      <x:c r="L90" s="9" t="str">
        <x:f>IF(OR(J90="",K90=""),"",J90+K90)</x:f>
      </x:c>
      <x:c r="M90" s="9" t="str">
        <x:f>IF(L90="","",IF(L90&lt;=4,"UNDER","OVER"))</x:f>
      </x:c>
      <x:c r="N90" s="9" t="str">
        <x:f>IF(E90="","",IF(LEFT(E90,2)="DA","PARIU U9,5","NO BET"))</x:f>
      </x:c>
      <x:c r="O90" s="9" t="str">
        <x:f>IF(M90="","",IF(AM90="PARIU U9,5",IF(M90="UNDER","SUCCES","EȘEC"),IF(M90="UNDER","FALS NEGATIV","EVITARE CORECTĂ")))</x:f>
      </x:c>
      <x:c r="P90" s="9" t="str">
        <x:f>IF(M90="","",IF(M90="UNDER",1,0))</x:f>
      </x:c>
      <x:c r="Q90" s="9" t="str">
        <x:f>IF(P90="","",(G90-P90)^2)</x:f>
      </x:c>
      <x:c r="R90" s="9" t="str">
        <x:f>IF(L90="","",L90-F90)</x:f>
      </x:c>
      <x:c r="S90" s="9" t="str">
        <x:f>IF(L90="","",IF(M90="UNDER","U9,5 reușit; total final "&amp;L90&amp;" vs λ="&amp;TEXT(F90,"0.00")&amp;".","Eșec U9,5; total final "&amp;L90&amp;" vs λ="&amp;TEXT(F90,"0.00")&amp;". Revizuiește Tail Risk, sursa λ și calibrarea."))</x:f>
      </x:c>
      <x:c r="T90" s="51"/>
      <x:c r="U90" s="51"/>
      <x:c r="V90" s="51"/>
      <x:c r="W90" s="61"/>
      <x:c r="X90" s="61"/>
      <x:c r="Y90" s="51"/>
      <x:c r="Z90" s="53"/>
      <x:c r="AA90" s="51"/>
      <x:c r="AB90" s="64" t="str">
        <x:f>IF(AC90="","",AC90)</x:f>
      </x:c>
      <x:c r="AC90" s="67"/>
      <x:c r="AD90" s="69" t="str">
        <x:f>IF(AE90="","",AE90)</x:f>
      </x:c>
      <x:c r="AE90" s="71"/>
      <x:c r="AF90" s="73" t="str">
        <x:f>IF(AC90="","",1/AC90)</x:f>
      </x:c>
      <x:c r="AG90" s="61"/>
      <x:c r="AH90" s="61"/>
      <x:c r="AI90" s="64" t="str">
        <x:f>IF(OR(AC90="",AG90=""),"",AC90*AG90-1)</x:f>
      </x:c>
      <x:c r="AJ90" s="75" t="str">
        <x:f>IF(OR(G90="",F90=""),"",IF(AND(G90&gt;='Calibrare v2'!$B$35,F90&lt;='Calibrare v2'!$B$34),"PASS","FAIL"))</x:f>
      </x:c>
      <x:c r="AK90" s="75" t="str">
        <x:f>IF(AL90="","",AL90)</x:f>
      </x:c>
      <x:c r="AL90" s="77"/>
      <x:c r="AM90" s="77"/>
      <x:c r="AN90" s="64" t="str">
        <x:f>IF(OR(AC90="",P90=""),"",(AC90-P90)^2)</x:f>
      </x:c>
      <x:c r="AO90" s="64" t="str">
        <x:f>IF(OR(AG90="",AH90=""),"",AG90/AH90-1)</x:f>
      </x:c>
      <x:c r="AP90" s="61"/>
      <x:c r="AQ90" s="73" t="n">
        <x:f>IF(OR(AM90&lt;&gt;"PARIU U4,5",M90="",AP90="",AG90=""),0,IF(M90="UNDER",AP90*(AG90-1),-AP90))</x:f>
        <x:v>0</x:v>
      </x:c>
      <x:c r="AR90" s="51"/>
    </x:row>
    <x:row r="91">
      <x:c r="A91" s="9" t="str">
        <x:f>IF(D91="","",ROW()-1)</x:f>
      </x:c>
      <x:c r="B91" s="51"/>
      <x:c r="C91" s="51"/>
      <x:c r="D91" s="51"/>
      <x:c r="E91" s="9" t="str">
        <x:f>IF(D91="","",IF(AND(F91&lt;='Calibrare v2'!$B$33,G91&gt;=0.86),"DA – FEZABIL",IF(G91&gt;=0.8,"DA – PRUDENT","NU – EVITĂ")))</x:f>
      </x:c>
      <x:c r="F91" s="16" t="str">
        <x:f>IF(OR(W91="",X91=""),"",W91+X91)</x:f>
      </x:c>
      <x:c r="G91" s="28" t="str">
        <x:f>IF(F91="","",EXP(-F91)*(1+F91+F91^2/2+F91^3/6+F91^4/24))</x:f>
      </x:c>
      <x:c r="H91" s="53"/>
      <x:c r="I91" s="9" t="str">
        <x:f>IF(F91="","",IF(F91&lt;='Calibrare v2'!$B$33,"PASS","FAIL"))</x:f>
      </x:c>
      <x:c r="J91" s="51"/>
      <x:c r="K91" s="51"/>
      <x:c r="L91" s="9" t="str">
        <x:f>IF(OR(J91="",K91=""),"",J91+K91)</x:f>
      </x:c>
      <x:c r="M91" s="9" t="str">
        <x:f>IF(L91="","",IF(L91&lt;=4,"UNDER","OVER"))</x:f>
      </x:c>
      <x:c r="N91" s="9" t="str">
        <x:f>IF(E91="","",IF(LEFT(E91,2)="DA","PARIU U10,5","NO BET"))</x:f>
      </x:c>
      <x:c r="O91" s="9" t="str">
        <x:f>IF(M91="","",IF(AM91="PARIU U10,5",IF(M91="UNDER","SUCCES","EȘEC"),IF(M91="UNDER","FALS NEGATIV","EVITARE CORECTĂ")))</x:f>
      </x:c>
      <x:c r="P91" s="9" t="str">
        <x:f>IF(M91="","",IF(M91="UNDER",1,0))</x:f>
      </x:c>
      <x:c r="Q91" s="9" t="str">
        <x:f>IF(P91="","",(G91-P91)^2)</x:f>
      </x:c>
      <x:c r="R91" s="9" t="str">
        <x:f>IF(L91="","",L91-F91)</x:f>
      </x:c>
      <x:c r="S91" s="9" t="str">
        <x:f>IF(L91="","",IF(M91="UNDER","U10,5 reușit; total final "&amp;L91&amp;" vs λ="&amp;TEXT(F91,"0.00")&amp;".","Eșec U10,5; total final "&amp;L91&amp;" vs λ="&amp;TEXT(F91,"0.00")&amp;". Revizuiește Tail Risk, sursa λ și calibrarea."))</x:f>
      </x:c>
      <x:c r="T91" s="51"/>
      <x:c r="U91" s="51"/>
      <x:c r="V91" s="51"/>
      <x:c r="W91" s="61"/>
      <x:c r="X91" s="61"/>
      <x:c r="Y91" s="51"/>
      <x:c r="Z91" s="53"/>
      <x:c r="AA91" s="51"/>
      <x:c r="AB91" s="64" t="str">
        <x:f>IF(AC91="","",AC91)</x:f>
      </x:c>
      <x:c r="AC91" s="67"/>
      <x:c r="AD91" s="69" t="str">
        <x:f>IF(AE91="","",AE91)</x:f>
      </x:c>
      <x:c r="AE91" s="71"/>
      <x:c r="AF91" s="73" t="str">
        <x:f>IF(AC91="","",1/AC91)</x:f>
      </x:c>
      <x:c r="AG91" s="61"/>
      <x:c r="AH91" s="61"/>
      <x:c r="AI91" s="64" t="str">
        <x:f>IF(OR(AC91="",AG91=""),"",AC91*AG91-1)</x:f>
      </x:c>
      <x:c r="AJ91" s="75" t="str">
        <x:f>IF(OR(G91="",F91=""),"",IF(AND(G91&gt;='Calibrare v2'!$B$35,F91&lt;='Calibrare v2'!$B$34),"PASS","FAIL"))</x:f>
      </x:c>
      <x:c r="AK91" s="75" t="str">
        <x:f>IF(AL91="","",AL91)</x:f>
      </x:c>
      <x:c r="AL91" s="77"/>
      <x:c r="AM91" s="77"/>
      <x:c r="AN91" s="64" t="str">
        <x:f>IF(OR(AC91="",P91=""),"",(AC91-P91)^2)</x:f>
      </x:c>
      <x:c r="AO91" s="64" t="str">
        <x:f>IF(OR(AG91="",AH91=""),"",AG91/AH91-1)</x:f>
      </x:c>
      <x:c r="AP91" s="61"/>
      <x:c r="AQ91" s="73" t="n">
        <x:f>IF(OR(AM91&lt;&gt;"PARIU U4,5",M91="",AP91="",AG91=""),0,IF(M91="UNDER",AP91*(AG91-1),-AP91))</x:f>
        <x:v>0</x:v>
      </x:c>
      <x:c r="AR91" s="51"/>
    </x:row>
    <x:row r="92">
      <x:c r="A92" s="9" t="str">
        <x:f>IF(D92="","",ROW()-1)</x:f>
      </x:c>
      <x:c r="B92" s="51"/>
      <x:c r="C92" s="51"/>
      <x:c r="D92" s="51"/>
      <x:c r="E92" s="9" t="str">
        <x:f>IF(D92="","",IF(AND(F92&lt;='Calibrare v2'!$B$33,G92&gt;=0.86),"DA – FEZABIL",IF(G92&gt;=0.8,"DA – PRUDENT","NU – EVITĂ")))</x:f>
      </x:c>
      <x:c r="F92" s="16" t="str">
        <x:f>IF(OR(W92="",X92=""),"",W92+X92)</x:f>
      </x:c>
      <x:c r="G92" s="28" t="str">
        <x:f>IF(F92="","",EXP(-F92)*(1+F92+F92^2/2+F92^3/6+F92^4/24))</x:f>
      </x:c>
      <x:c r="H92" s="53"/>
      <x:c r="I92" s="9" t="str">
        <x:f>IF(F92="","",IF(F92&lt;='Calibrare v2'!$B$33,"PASS","FAIL"))</x:f>
      </x:c>
      <x:c r="J92" s="51"/>
      <x:c r="K92" s="51"/>
      <x:c r="L92" s="9" t="str">
        <x:f>IF(OR(J92="",K92=""),"",J92+K92)</x:f>
      </x:c>
      <x:c r="M92" s="9" t="str">
        <x:f>IF(L92="","",IF(L92&lt;=4,"UNDER","OVER"))</x:f>
      </x:c>
      <x:c r="N92" s="9" t="str">
        <x:f>IF(E92="","",IF(LEFT(E92,2)="DA","PARIU U11,5","NO BET"))</x:f>
      </x:c>
      <x:c r="O92" s="9" t="str">
        <x:f>IF(M92="","",IF(AM92="PARIU U11,5",IF(M92="UNDER","SUCCES","EȘEC"),IF(M92="UNDER","FALS NEGATIV","EVITARE CORECTĂ")))</x:f>
      </x:c>
      <x:c r="P92" s="9" t="str">
        <x:f>IF(M92="","",IF(M92="UNDER",1,0))</x:f>
      </x:c>
      <x:c r="Q92" s="9" t="str">
        <x:f>IF(P92="","",(G92-P92)^2)</x:f>
      </x:c>
      <x:c r="R92" s="9" t="str">
        <x:f>IF(L92="","",L92-F92)</x:f>
      </x:c>
      <x:c r="S92" s="9" t="str">
        <x:f>IF(L92="","",IF(M92="UNDER","U11,5 reușit; total final "&amp;L92&amp;" vs λ="&amp;TEXT(F92,"0.00")&amp;".","Eșec U11,5; total final "&amp;L92&amp;" vs λ="&amp;TEXT(F92,"0.00")&amp;". Revizuiește Tail Risk, sursa λ și calibrarea."))</x:f>
      </x:c>
      <x:c r="T92" s="51"/>
      <x:c r="U92" s="51"/>
      <x:c r="V92" s="51"/>
      <x:c r="W92" s="61"/>
      <x:c r="X92" s="61"/>
      <x:c r="Y92" s="51"/>
      <x:c r="Z92" s="53"/>
      <x:c r="AA92" s="51"/>
      <x:c r="AB92" s="64" t="str">
        <x:f>IF(AC92="","",AC92)</x:f>
      </x:c>
      <x:c r="AC92" s="67"/>
      <x:c r="AD92" s="69" t="str">
        <x:f>IF(AE92="","",AE92)</x:f>
      </x:c>
      <x:c r="AE92" s="71"/>
      <x:c r="AF92" s="73" t="str">
        <x:f>IF(AC92="","",1/AC92)</x:f>
      </x:c>
      <x:c r="AG92" s="61"/>
      <x:c r="AH92" s="61"/>
      <x:c r="AI92" s="64" t="str">
        <x:f>IF(OR(AC92="",AG92=""),"",AC92*AG92-1)</x:f>
      </x:c>
      <x:c r="AJ92" s="75" t="str">
        <x:f>IF(OR(G92="",F92=""),"",IF(AND(G92&gt;='Calibrare v2'!$B$35,F92&lt;='Calibrare v2'!$B$34),"PASS","FAIL"))</x:f>
      </x:c>
      <x:c r="AK92" s="75" t="str">
        <x:f>IF(AL92="","",AL92)</x:f>
      </x:c>
      <x:c r="AL92" s="77"/>
      <x:c r="AM92" s="77"/>
      <x:c r="AN92" s="64" t="str">
        <x:f>IF(OR(AC92="",P92=""),"",(AC92-P92)^2)</x:f>
      </x:c>
      <x:c r="AO92" s="64" t="str">
        <x:f>IF(OR(AG92="",AH92=""),"",AG92/AH92-1)</x:f>
      </x:c>
      <x:c r="AP92" s="61"/>
      <x:c r="AQ92" s="73" t="n">
        <x:f>IF(OR(AM92&lt;&gt;"PARIU U4,5",M92="",AP92="",AG92=""),0,IF(M92="UNDER",AP92*(AG92-1),-AP92))</x:f>
        <x:v>0</x:v>
      </x:c>
      <x:c r="AR92" s="51"/>
    </x:row>
    <x:row r="93">
      <x:c r="A93" s="9" t="str">
        <x:f>IF(D93="","",ROW()-1)</x:f>
      </x:c>
      <x:c r="B93" s="51"/>
      <x:c r="C93" s="51"/>
      <x:c r="D93" s="51"/>
      <x:c r="E93" s="9" t="str">
        <x:f>IF(D93="","",IF(AND(F93&lt;='Calibrare v2'!$B$33,G93&gt;=0.86),"DA – FEZABIL",IF(G93&gt;=0.8,"DA – PRUDENT","NU – EVITĂ")))</x:f>
      </x:c>
      <x:c r="F93" s="16" t="str">
        <x:f>IF(OR(W93="",X93=""),"",W93+X93)</x:f>
      </x:c>
      <x:c r="G93" s="28" t="str">
        <x:f>IF(F93="","",EXP(-F93)*(1+F93+F93^2/2+F93^3/6+F93^4/24))</x:f>
      </x:c>
      <x:c r="H93" s="53"/>
      <x:c r="I93" s="9" t="str">
        <x:f>IF(F93="","",IF(F93&lt;='Calibrare v2'!$B$33,"PASS","FAIL"))</x:f>
      </x:c>
      <x:c r="J93" s="51"/>
      <x:c r="K93" s="51"/>
      <x:c r="L93" s="9" t="str">
        <x:f>IF(OR(J93="",K93=""),"",J93+K93)</x:f>
      </x:c>
      <x:c r="M93" s="9" t="str">
        <x:f>IF(L93="","",IF(L93&lt;=4,"UNDER","OVER"))</x:f>
      </x:c>
      <x:c r="N93" s="9" t="str">
        <x:f>IF(E93="","",IF(LEFT(E93,2)="DA","PARIU U12,5","NO BET"))</x:f>
      </x:c>
      <x:c r="O93" s="9" t="str">
        <x:f>IF(M93="","",IF(AM93="PARIU U12,5",IF(M93="UNDER","SUCCES","EȘEC"),IF(M93="UNDER","FALS NEGATIV","EVITARE CORECTĂ")))</x:f>
      </x:c>
      <x:c r="P93" s="9" t="str">
        <x:f>IF(M93="","",IF(M93="UNDER",1,0))</x:f>
      </x:c>
      <x:c r="Q93" s="9" t="str">
        <x:f>IF(P93="","",(G93-P93)^2)</x:f>
      </x:c>
      <x:c r="R93" s="9" t="str">
        <x:f>IF(L93="","",L93-F93)</x:f>
      </x:c>
      <x:c r="S93" s="9" t="str">
        <x:f>IF(L93="","",IF(M93="UNDER","U12,5 reușit; total final "&amp;L93&amp;" vs λ="&amp;TEXT(F93,"0.00")&amp;".","Eșec U12,5; total final "&amp;L93&amp;" vs λ="&amp;TEXT(F93,"0.00")&amp;". Revizuiește Tail Risk, sursa λ și calibrarea."))</x:f>
      </x:c>
      <x:c r="T93" s="51"/>
      <x:c r="U93" s="51"/>
      <x:c r="V93" s="51"/>
      <x:c r="W93" s="61"/>
      <x:c r="X93" s="61"/>
      <x:c r="Y93" s="51"/>
      <x:c r="Z93" s="53"/>
      <x:c r="AA93" s="51"/>
      <x:c r="AB93" s="64" t="str">
        <x:f>IF(AC93="","",AC93)</x:f>
      </x:c>
      <x:c r="AC93" s="67"/>
      <x:c r="AD93" s="69" t="str">
        <x:f>IF(AE93="","",AE93)</x:f>
      </x:c>
      <x:c r="AE93" s="71"/>
      <x:c r="AF93" s="73" t="str">
        <x:f>IF(AC93="","",1/AC93)</x:f>
      </x:c>
      <x:c r="AG93" s="61"/>
      <x:c r="AH93" s="61"/>
      <x:c r="AI93" s="64" t="str">
        <x:f>IF(OR(AC93="",AG93=""),"",AC93*AG93-1)</x:f>
      </x:c>
      <x:c r="AJ93" s="75" t="str">
        <x:f>IF(OR(G93="",F93=""),"",IF(AND(G93&gt;='Calibrare v2'!$B$35,F93&lt;='Calibrare v2'!$B$34),"PASS","FAIL"))</x:f>
      </x:c>
      <x:c r="AK93" s="75" t="str">
        <x:f>IF(AL93="","",AL93)</x:f>
      </x:c>
      <x:c r="AL93" s="77"/>
      <x:c r="AM93" s="77"/>
      <x:c r="AN93" s="64" t="str">
        <x:f>IF(OR(AC93="",P93=""),"",(AC93-P93)^2)</x:f>
      </x:c>
      <x:c r="AO93" s="64" t="str">
        <x:f>IF(OR(AG93="",AH93=""),"",AG93/AH93-1)</x:f>
      </x:c>
      <x:c r="AP93" s="61"/>
      <x:c r="AQ93" s="73" t="n">
        <x:f>IF(OR(AM93&lt;&gt;"PARIU U4,5",M93="",AP93="",AG93=""),0,IF(M93="UNDER",AP93*(AG93-1),-AP93))</x:f>
        <x:v>0</x:v>
      </x:c>
      <x:c r="AR93" s="51"/>
    </x:row>
    <x:row r="94">
      <x:c r="A94" s="9" t="str">
        <x:f>IF(D94="","",ROW()-1)</x:f>
      </x:c>
      <x:c r="B94" s="51"/>
      <x:c r="C94" s="51"/>
      <x:c r="D94" s="51"/>
      <x:c r="E94" s="9" t="str">
        <x:f>IF(D94="","",IF(AND(F94&lt;='Calibrare v2'!$B$33,G94&gt;=0.86),"DA – FEZABIL",IF(G94&gt;=0.8,"DA – PRUDENT","NU – EVITĂ")))</x:f>
      </x:c>
      <x:c r="F94" s="16" t="str">
        <x:f>IF(OR(W94="",X94=""),"",W94+X94)</x:f>
      </x:c>
      <x:c r="G94" s="28" t="str">
        <x:f>IF(F94="","",EXP(-F94)*(1+F94+F94^2/2+F94^3/6+F94^4/24))</x:f>
      </x:c>
      <x:c r="H94" s="53"/>
      <x:c r="I94" s="9" t="str">
        <x:f>IF(F94="","",IF(F94&lt;='Calibrare v2'!$B$33,"PASS","FAIL"))</x:f>
      </x:c>
      <x:c r="J94" s="51"/>
      <x:c r="K94" s="51"/>
      <x:c r="L94" s="9" t="str">
        <x:f>IF(OR(J94="",K94=""),"",J94+K94)</x:f>
      </x:c>
      <x:c r="M94" s="9" t="str">
        <x:f>IF(L94="","",IF(L94&lt;=4,"UNDER","OVER"))</x:f>
      </x:c>
      <x:c r="N94" s="9" t="str">
        <x:f>IF(E94="","",IF(LEFT(E94,2)="DA","PARIU U13,5","NO BET"))</x:f>
      </x:c>
      <x:c r="O94" s="9" t="str">
        <x:f>IF(M94="","",IF(AM94="PARIU U13,5",IF(M94="UNDER","SUCCES","EȘEC"),IF(M94="UNDER","FALS NEGATIV","EVITARE CORECTĂ")))</x:f>
      </x:c>
      <x:c r="P94" s="9" t="str">
        <x:f>IF(M94="","",IF(M94="UNDER",1,0))</x:f>
      </x:c>
      <x:c r="Q94" s="9" t="str">
        <x:f>IF(P94="","",(G94-P94)^2)</x:f>
      </x:c>
      <x:c r="R94" s="9" t="str">
        <x:f>IF(L94="","",L94-F94)</x:f>
      </x:c>
      <x:c r="S94" s="9" t="str">
        <x:f>IF(L94="","",IF(M94="UNDER","U13,5 reușit; total final "&amp;L94&amp;" vs λ="&amp;TEXT(F94,"0.00")&amp;".","Eșec U13,5; total final "&amp;L94&amp;" vs λ="&amp;TEXT(F94,"0.00")&amp;". Revizuiește Tail Risk, sursa λ și calibrarea."))</x:f>
      </x:c>
      <x:c r="T94" s="51"/>
      <x:c r="U94" s="51"/>
      <x:c r="V94" s="51"/>
      <x:c r="W94" s="61"/>
      <x:c r="X94" s="61"/>
      <x:c r="Y94" s="51"/>
      <x:c r="Z94" s="53"/>
      <x:c r="AA94" s="51"/>
      <x:c r="AB94" s="64" t="str">
        <x:f>IF(AC94="","",AC94)</x:f>
      </x:c>
      <x:c r="AC94" s="67"/>
      <x:c r="AD94" s="69" t="str">
        <x:f>IF(AE94="","",AE94)</x:f>
      </x:c>
      <x:c r="AE94" s="71"/>
      <x:c r="AF94" s="73" t="str">
        <x:f>IF(AC94="","",1/AC94)</x:f>
      </x:c>
      <x:c r="AG94" s="61"/>
      <x:c r="AH94" s="61"/>
      <x:c r="AI94" s="64" t="str">
        <x:f>IF(OR(AC94="",AG94=""),"",AC94*AG94-1)</x:f>
      </x:c>
      <x:c r="AJ94" s="75" t="str">
        <x:f>IF(OR(G94="",F94=""),"",IF(AND(G94&gt;='Calibrare v2'!$B$35,F94&lt;='Calibrare v2'!$B$34),"PASS","FAIL"))</x:f>
      </x:c>
      <x:c r="AK94" s="75" t="str">
        <x:f>IF(AL94="","",AL94)</x:f>
      </x:c>
      <x:c r="AL94" s="77"/>
      <x:c r="AM94" s="77"/>
      <x:c r="AN94" s="64" t="str">
        <x:f>IF(OR(AC94="",P94=""),"",(AC94-P94)^2)</x:f>
      </x:c>
      <x:c r="AO94" s="64" t="str">
        <x:f>IF(OR(AG94="",AH94=""),"",AG94/AH94-1)</x:f>
      </x:c>
      <x:c r="AP94" s="61"/>
      <x:c r="AQ94" s="73" t="n">
        <x:f>IF(OR(AM94&lt;&gt;"PARIU U4,5",M94="",AP94="",AG94=""),0,IF(M94="UNDER",AP94*(AG94-1),-AP94))</x:f>
        <x:v>0</x:v>
      </x:c>
      <x:c r="AR94" s="51"/>
    </x:row>
    <x:row r="95">
      <x:c r="A95" s="9" t="str">
        <x:f>IF(D95="","",ROW()-1)</x:f>
      </x:c>
      <x:c r="B95" s="51"/>
      <x:c r="C95" s="51"/>
      <x:c r="D95" s="51"/>
      <x:c r="E95" s="9" t="str">
        <x:f>IF(D95="","",IF(AND(F95&lt;='Calibrare v2'!$B$33,G95&gt;=0.86),"DA – FEZABIL",IF(G95&gt;=0.8,"DA – PRUDENT","NU – EVITĂ")))</x:f>
      </x:c>
      <x:c r="F95" s="16" t="str">
        <x:f>IF(OR(W95="",X95=""),"",W95+X95)</x:f>
      </x:c>
      <x:c r="G95" s="28" t="str">
        <x:f>IF(F95="","",EXP(-F95)*(1+F95+F95^2/2+F95^3/6+F95^4/24))</x:f>
      </x:c>
      <x:c r="H95" s="53"/>
      <x:c r="I95" s="9" t="str">
        <x:f>IF(F95="","",IF(F95&lt;='Calibrare v2'!$B$33,"PASS","FAIL"))</x:f>
      </x:c>
      <x:c r="J95" s="51"/>
      <x:c r="K95" s="51"/>
      <x:c r="L95" s="9" t="str">
        <x:f>IF(OR(J95="",K95=""),"",J95+K95)</x:f>
      </x:c>
      <x:c r="M95" s="9" t="str">
        <x:f>IF(L95="","",IF(L95&lt;=4,"UNDER","OVER"))</x:f>
      </x:c>
      <x:c r="N95" s="9" t="str">
        <x:f>IF(E95="","",IF(LEFT(E95,2)="DA","PARIU U14,5","NO BET"))</x:f>
      </x:c>
      <x:c r="O95" s="9" t="str">
        <x:f>IF(M95="","",IF(AM95="PARIU U14,5",IF(M95="UNDER","SUCCES","EȘEC"),IF(M95="UNDER","FALS NEGATIV","EVITARE CORECTĂ")))</x:f>
      </x:c>
      <x:c r="P95" s="9" t="str">
        <x:f>IF(M95="","",IF(M95="UNDER",1,0))</x:f>
      </x:c>
      <x:c r="Q95" s="9" t="str">
        <x:f>IF(P95="","",(G95-P95)^2)</x:f>
      </x:c>
      <x:c r="R95" s="9" t="str">
        <x:f>IF(L95="","",L95-F95)</x:f>
      </x:c>
      <x:c r="S95" s="9" t="str">
        <x:f>IF(L95="","",IF(M95="UNDER","U14,5 reușit; total final "&amp;L95&amp;" vs λ="&amp;TEXT(F95,"0.00")&amp;".","Eșec U14,5; total final "&amp;L95&amp;" vs λ="&amp;TEXT(F95,"0.00")&amp;". Revizuiește Tail Risk, sursa λ și calibrarea."))</x:f>
      </x:c>
      <x:c r="T95" s="51"/>
      <x:c r="U95" s="51"/>
      <x:c r="V95" s="51"/>
      <x:c r="W95" s="61"/>
      <x:c r="X95" s="61"/>
      <x:c r="Y95" s="51"/>
      <x:c r="Z95" s="53"/>
      <x:c r="AA95" s="51"/>
      <x:c r="AB95" s="64" t="str">
        <x:f>IF(AC95="","",AC95)</x:f>
      </x:c>
      <x:c r="AC95" s="67"/>
      <x:c r="AD95" s="69" t="str">
        <x:f>IF(AE95="","",AE95)</x:f>
      </x:c>
      <x:c r="AE95" s="71"/>
      <x:c r="AF95" s="73" t="str">
        <x:f>IF(AC95="","",1/AC95)</x:f>
      </x:c>
      <x:c r="AG95" s="61"/>
      <x:c r="AH95" s="61"/>
      <x:c r="AI95" s="64" t="str">
        <x:f>IF(OR(AC95="",AG95=""),"",AC95*AG95-1)</x:f>
      </x:c>
      <x:c r="AJ95" s="75" t="str">
        <x:f>IF(OR(G95="",F95=""),"",IF(AND(G95&gt;='Calibrare v2'!$B$35,F95&lt;='Calibrare v2'!$B$34),"PASS","FAIL"))</x:f>
      </x:c>
      <x:c r="AK95" s="75" t="str">
        <x:f>IF(AL95="","",AL95)</x:f>
      </x:c>
      <x:c r="AL95" s="77"/>
      <x:c r="AM95" s="77"/>
      <x:c r="AN95" s="64" t="str">
        <x:f>IF(OR(AC95="",P95=""),"",(AC95-P95)^2)</x:f>
      </x:c>
      <x:c r="AO95" s="64" t="str">
        <x:f>IF(OR(AG95="",AH95=""),"",AG95/AH95-1)</x:f>
      </x:c>
      <x:c r="AP95" s="61"/>
      <x:c r="AQ95" s="73" t="n">
        <x:f>IF(OR(AM95&lt;&gt;"PARIU U4,5",M95="",AP95="",AG95=""),0,IF(M95="UNDER",AP95*(AG95-1),-AP95))</x:f>
        <x:v>0</x:v>
      </x:c>
      <x:c r="AR95" s="51"/>
    </x:row>
    <x:row r="96">
      <x:c r="A96" s="9" t="str">
        <x:f>IF(D96="","",ROW()-1)</x:f>
      </x:c>
      <x:c r="B96" s="51"/>
      <x:c r="C96" s="51"/>
      <x:c r="D96" s="51"/>
      <x:c r="E96" s="9" t="str">
        <x:f>IF(D96="","",IF(AND(F96&lt;='Calibrare v2'!$B$33,G96&gt;=0.86),"DA – FEZABIL",IF(G96&gt;=0.8,"DA – PRUDENT","NU – EVITĂ")))</x:f>
      </x:c>
      <x:c r="F96" s="16" t="str">
        <x:f>IF(OR(W96="",X96=""),"",W96+X96)</x:f>
      </x:c>
      <x:c r="G96" s="28" t="str">
        <x:f>IF(F96="","",EXP(-F96)*(1+F96+F96^2/2+F96^3/6+F96^4/24))</x:f>
      </x:c>
      <x:c r="H96" s="53"/>
      <x:c r="I96" s="9" t="str">
        <x:f>IF(F96="","",IF(F96&lt;='Calibrare v2'!$B$33,"PASS","FAIL"))</x:f>
      </x:c>
      <x:c r="J96" s="51"/>
      <x:c r="K96" s="51"/>
      <x:c r="L96" s="9" t="str">
        <x:f>IF(OR(J96="",K96=""),"",J96+K96)</x:f>
      </x:c>
      <x:c r="M96" s="9" t="str">
        <x:f>IF(L96="","",IF(L96&lt;=4,"UNDER","OVER"))</x:f>
      </x:c>
      <x:c r="N96" s="9" t="str">
        <x:f>IF(E96="","",IF(LEFT(E96,2)="DA","PARIU U15,5","NO BET"))</x:f>
      </x:c>
      <x:c r="O96" s="9" t="str">
        <x:f>IF(M96="","",IF(AM96="PARIU U15,5",IF(M96="UNDER","SUCCES","EȘEC"),IF(M96="UNDER","FALS NEGATIV","EVITARE CORECTĂ")))</x:f>
      </x:c>
      <x:c r="P96" s="9" t="str">
        <x:f>IF(M96="","",IF(M96="UNDER",1,0))</x:f>
      </x:c>
      <x:c r="Q96" s="9" t="str">
        <x:f>IF(P96="","",(G96-P96)^2)</x:f>
      </x:c>
      <x:c r="R96" s="9" t="str">
        <x:f>IF(L96="","",L96-F96)</x:f>
      </x:c>
      <x:c r="S96" s="9" t="str">
        <x:f>IF(L96="","",IF(M96="UNDER","U15,5 reușit; total final "&amp;L96&amp;" vs λ="&amp;TEXT(F96,"0.00")&amp;".","Eșec U15,5; total final "&amp;L96&amp;" vs λ="&amp;TEXT(F96,"0.00")&amp;". Revizuiește Tail Risk, sursa λ și calibrarea."))</x:f>
      </x:c>
      <x:c r="T96" s="51"/>
      <x:c r="U96" s="51"/>
      <x:c r="V96" s="51"/>
      <x:c r="W96" s="61"/>
      <x:c r="X96" s="61"/>
      <x:c r="Y96" s="51"/>
      <x:c r="Z96" s="53"/>
      <x:c r="AA96" s="51"/>
      <x:c r="AB96" s="64" t="str">
        <x:f>IF(AC96="","",AC96)</x:f>
      </x:c>
      <x:c r="AC96" s="67"/>
      <x:c r="AD96" s="69" t="str">
        <x:f>IF(AE96="","",AE96)</x:f>
      </x:c>
      <x:c r="AE96" s="71"/>
      <x:c r="AF96" s="73" t="str">
        <x:f>IF(AC96="","",1/AC96)</x:f>
      </x:c>
      <x:c r="AG96" s="61"/>
      <x:c r="AH96" s="61"/>
      <x:c r="AI96" s="64" t="str">
        <x:f>IF(OR(AC96="",AG96=""),"",AC96*AG96-1)</x:f>
      </x:c>
      <x:c r="AJ96" s="75" t="str">
        <x:f>IF(OR(G96="",F96=""),"",IF(AND(G96&gt;='Calibrare v2'!$B$35,F96&lt;='Calibrare v2'!$B$34),"PASS","FAIL"))</x:f>
      </x:c>
      <x:c r="AK96" s="75" t="str">
        <x:f>IF(AL96="","",AL96)</x:f>
      </x:c>
      <x:c r="AL96" s="77"/>
      <x:c r="AM96" s="77"/>
      <x:c r="AN96" s="64" t="str">
        <x:f>IF(OR(AC96="",P96=""),"",(AC96-P96)^2)</x:f>
      </x:c>
      <x:c r="AO96" s="64" t="str">
        <x:f>IF(OR(AG96="",AH96=""),"",AG96/AH96-1)</x:f>
      </x:c>
      <x:c r="AP96" s="61"/>
      <x:c r="AQ96" s="73" t="n">
        <x:f>IF(OR(AM96&lt;&gt;"PARIU U4,5",M96="",AP96="",AG96=""),0,IF(M96="UNDER",AP96*(AG96-1),-AP96))</x:f>
        <x:v>0</x:v>
      </x:c>
      <x:c r="AR96" s="51"/>
    </x:row>
    <x:row r="97">
      <x:c r="A97" s="9" t="str">
        <x:f>IF(D97="","",ROW()-1)</x:f>
      </x:c>
      <x:c r="B97" s="51"/>
      <x:c r="C97" s="51"/>
      <x:c r="D97" s="51"/>
      <x:c r="E97" s="9" t="str">
        <x:f>IF(D97="","",IF(AND(F97&lt;='Calibrare v2'!$B$33,G97&gt;=0.86),"DA – FEZABIL",IF(G97&gt;=0.8,"DA – PRUDENT","NU – EVITĂ")))</x:f>
      </x:c>
      <x:c r="F97" s="16" t="str">
        <x:f>IF(OR(W97="",X97=""),"",W97+X97)</x:f>
      </x:c>
      <x:c r="G97" s="28" t="str">
        <x:f>IF(F97="","",EXP(-F97)*(1+F97+F97^2/2+F97^3/6+F97^4/24))</x:f>
      </x:c>
      <x:c r="H97" s="53"/>
      <x:c r="I97" s="9" t="str">
        <x:f>IF(F97="","",IF(F97&lt;='Calibrare v2'!$B$33,"PASS","FAIL"))</x:f>
      </x:c>
      <x:c r="J97" s="51"/>
      <x:c r="K97" s="51"/>
      <x:c r="L97" s="9" t="str">
        <x:f>IF(OR(J97="",K97=""),"",J97+K97)</x:f>
      </x:c>
      <x:c r="M97" s="9" t="str">
        <x:f>IF(L97="","",IF(L97&lt;=4,"UNDER","OVER"))</x:f>
      </x:c>
      <x:c r="N97" s="9" t="str">
        <x:f>IF(E97="","",IF(LEFT(E97,2)="DA","PARIU U16,5","NO BET"))</x:f>
      </x:c>
      <x:c r="O97" s="9" t="str">
        <x:f>IF(M97="","",IF(AM97="PARIU U16,5",IF(M97="UNDER","SUCCES","EȘEC"),IF(M97="UNDER","FALS NEGATIV","EVITARE CORECTĂ")))</x:f>
      </x:c>
      <x:c r="P97" s="9" t="str">
        <x:f>IF(M97="","",IF(M97="UNDER",1,0))</x:f>
      </x:c>
      <x:c r="Q97" s="9" t="str">
        <x:f>IF(P97="","",(G97-P97)^2)</x:f>
      </x:c>
      <x:c r="R97" s="9" t="str">
        <x:f>IF(L97="","",L97-F97)</x:f>
      </x:c>
      <x:c r="S97" s="9" t="str">
        <x:f>IF(L97="","",IF(M97="UNDER","U16,5 reușit; total final "&amp;L97&amp;" vs λ="&amp;TEXT(F97,"0.00")&amp;".","Eșec U16,5; total final "&amp;L97&amp;" vs λ="&amp;TEXT(F97,"0.00")&amp;". Revizuiește Tail Risk, sursa λ și calibrarea."))</x:f>
      </x:c>
      <x:c r="T97" s="51"/>
      <x:c r="U97" s="51"/>
      <x:c r="V97" s="51"/>
      <x:c r="W97" s="61"/>
      <x:c r="X97" s="61"/>
      <x:c r="Y97" s="51"/>
      <x:c r="Z97" s="53"/>
      <x:c r="AA97" s="51"/>
      <x:c r="AB97" s="64" t="str">
        <x:f>IF(AC97="","",AC97)</x:f>
      </x:c>
      <x:c r="AC97" s="67"/>
      <x:c r="AD97" s="69" t="str">
        <x:f>IF(AE97="","",AE97)</x:f>
      </x:c>
      <x:c r="AE97" s="71"/>
      <x:c r="AF97" s="73" t="str">
        <x:f>IF(AC97="","",1/AC97)</x:f>
      </x:c>
      <x:c r="AG97" s="61"/>
      <x:c r="AH97" s="61"/>
      <x:c r="AI97" s="64" t="str">
        <x:f>IF(OR(AC97="",AG97=""),"",AC97*AG97-1)</x:f>
      </x:c>
      <x:c r="AJ97" s="75" t="str">
        <x:f>IF(OR(G97="",F97=""),"",IF(AND(G97&gt;='Calibrare v2'!$B$35,F97&lt;='Calibrare v2'!$B$34),"PASS","FAIL"))</x:f>
      </x:c>
      <x:c r="AK97" s="75" t="str">
        <x:f>IF(AL97="","",AL97)</x:f>
      </x:c>
      <x:c r="AL97" s="77"/>
      <x:c r="AM97" s="77"/>
      <x:c r="AN97" s="64" t="str">
        <x:f>IF(OR(AC97="",P97=""),"",(AC97-P97)^2)</x:f>
      </x:c>
      <x:c r="AO97" s="64" t="str">
        <x:f>IF(OR(AG97="",AH97=""),"",AG97/AH97-1)</x:f>
      </x:c>
      <x:c r="AP97" s="61"/>
      <x:c r="AQ97" s="73" t="n">
        <x:f>IF(OR(AM97&lt;&gt;"PARIU U4,5",M97="",AP97="",AG97=""),0,IF(M97="UNDER",AP97*(AG97-1),-AP97))</x:f>
        <x:v>0</x:v>
      </x:c>
      <x:c r="AR97" s="51"/>
    </x:row>
    <x:row r="98">
      <x:c r="A98" s="9" t="str">
        <x:f>IF(D98="","",ROW()-1)</x:f>
      </x:c>
      <x:c r="B98" s="51"/>
      <x:c r="C98" s="51"/>
      <x:c r="D98" s="51"/>
      <x:c r="E98" s="9" t="str">
        <x:f>IF(D98="","",IF(AND(F98&lt;='Calibrare v2'!$B$33,G98&gt;=0.86),"DA – FEZABIL",IF(G98&gt;=0.8,"DA – PRUDENT","NU – EVITĂ")))</x:f>
      </x:c>
      <x:c r="F98" s="16" t="str">
        <x:f>IF(OR(W98="",X98=""),"",W98+X98)</x:f>
      </x:c>
      <x:c r="G98" s="28" t="str">
        <x:f>IF(F98="","",EXP(-F98)*(1+F98+F98^2/2+F98^3/6+F98^4/24))</x:f>
      </x:c>
      <x:c r="H98" s="53"/>
      <x:c r="I98" s="9" t="str">
        <x:f>IF(F98="","",IF(F98&lt;='Calibrare v2'!$B$33,"PASS","FAIL"))</x:f>
      </x:c>
      <x:c r="J98" s="51"/>
      <x:c r="K98" s="51"/>
      <x:c r="L98" s="9" t="str">
        <x:f>IF(OR(J98="",K98=""),"",J98+K98)</x:f>
      </x:c>
      <x:c r="M98" s="9" t="str">
        <x:f>IF(L98="","",IF(L98&lt;=4,"UNDER","OVER"))</x:f>
      </x:c>
      <x:c r="N98" s="9" t="str">
        <x:f>IF(E98="","",IF(LEFT(E98,2)="DA","PARIU U17,5","NO BET"))</x:f>
      </x:c>
      <x:c r="O98" s="9" t="str">
        <x:f>IF(M98="","",IF(AM98="PARIU U17,5",IF(M98="UNDER","SUCCES","EȘEC"),IF(M98="UNDER","FALS NEGATIV","EVITARE CORECTĂ")))</x:f>
      </x:c>
      <x:c r="P98" s="9" t="str">
        <x:f>IF(M98="","",IF(M98="UNDER",1,0))</x:f>
      </x:c>
      <x:c r="Q98" s="9" t="str">
        <x:f>IF(P98="","",(G98-P98)^2)</x:f>
      </x:c>
      <x:c r="R98" s="9" t="str">
        <x:f>IF(L98="","",L98-F98)</x:f>
      </x:c>
      <x:c r="S98" s="9" t="str">
        <x:f>IF(L98="","",IF(M98="UNDER","U17,5 reușit; total final "&amp;L98&amp;" vs λ="&amp;TEXT(F98,"0.00")&amp;".","Eșec U17,5; total final "&amp;L98&amp;" vs λ="&amp;TEXT(F98,"0.00")&amp;". Revizuiește Tail Risk, sursa λ și calibrarea."))</x:f>
      </x:c>
      <x:c r="T98" s="51"/>
      <x:c r="U98" s="51"/>
      <x:c r="V98" s="51"/>
      <x:c r="W98" s="61"/>
      <x:c r="X98" s="61"/>
      <x:c r="Y98" s="51"/>
      <x:c r="Z98" s="53"/>
      <x:c r="AA98" s="51"/>
      <x:c r="AB98" s="64" t="str">
        <x:f>IF(AC98="","",AC98)</x:f>
      </x:c>
      <x:c r="AC98" s="67"/>
      <x:c r="AD98" s="69" t="str">
        <x:f>IF(AE98="","",AE98)</x:f>
      </x:c>
      <x:c r="AE98" s="71"/>
      <x:c r="AF98" s="73" t="str">
        <x:f>IF(AC98="","",1/AC98)</x:f>
      </x:c>
      <x:c r="AG98" s="61"/>
      <x:c r="AH98" s="61"/>
      <x:c r="AI98" s="64" t="str">
        <x:f>IF(OR(AC98="",AG98=""),"",AC98*AG98-1)</x:f>
      </x:c>
      <x:c r="AJ98" s="75" t="str">
        <x:f>IF(OR(G98="",F98=""),"",IF(AND(G98&gt;='Calibrare v2'!$B$35,F98&lt;='Calibrare v2'!$B$34),"PASS","FAIL"))</x:f>
      </x:c>
      <x:c r="AK98" s="75" t="str">
        <x:f>IF(AL98="","",AL98)</x:f>
      </x:c>
      <x:c r="AL98" s="77"/>
      <x:c r="AM98" s="77"/>
      <x:c r="AN98" s="64" t="str">
        <x:f>IF(OR(AC98="",P98=""),"",(AC98-P98)^2)</x:f>
      </x:c>
      <x:c r="AO98" s="64" t="str">
        <x:f>IF(OR(AG98="",AH98=""),"",AG98/AH98-1)</x:f>
      </x:c>
      <x:c r="AP98" s="61"/>
      <x:c r="AQ98" s="73" t="n">
        <x:f>IF(OR(AM98&lt;&gt;"PARIU U4,5",M98="",AP98="",AG98=""),0,IF(M98="UNDER",AP98*(AG98-1),-AP98))</x:f>
        <x:v>0</x:v>
      </x:c>
      <x:c r="AR98" s="51"/>
    </x:row>
    <x:row r="99">
      <x:c r="A99" s="9" t="str">
        <x:f>IF(D99="","",ROW()-1)</x:f>
      </x:c>
      <x:c r="B99" s="51"/>
      <x:c r="C99" s="51"/>
      <x:c r="D99" s="51"/>
      <x:c r="E99" s="9" t="str">
        <x:f>IF(D99="","",IF(AND(F99&lt;='Calibrare v2'!$B$33,G99&gt;=0.86),"DA – FEZABIL",IF(G99&gt;=0.8,"DA – PRUDENT","NU – EVITĂ")))</x:f>
      </x:c>
      <x:c r="F99" s="16" t="str">
        <x:f>IF(OR(W99="",X99=""),"",W99+X99)</x:f>
      </x:c>
      <x:c r="G99" s="28" t="str">
        <x:f>IF(F99="","",EXP(-F99)*(1+F99+F99^2/2+F99^3/6+F99^4/24))</x:f>
      </x:c>
      <x:c r="H99" s="53"/>
      <x:c r="I99" s="9" t="str">
        <x:f>IF(F99="","",IF(F99&lt;='Calibrare v2'!$B$33,"PASS","FAIL"))</x:f>
      </x:c>
      <x:c r="J99" s="51"/>
      <x:c r="K99" s="51"/>
      <x:c r="L99" s="9" t="str">
        <x:f>IF(OR(J99="",K99=""),"",J99+K99)</x:f>
      </x:c>
      <x:c r="M99" s="9" t="str">
        <x:f>IF(L99="","",IF(L99&lt;=4,"UNDER","OVER"))</x:f>
      </x:c>
      <x:c r="N99" s="9" t="str">
        <x:f>IF(E99="","",IF(LEFT(E99,2)="DA","PARIU U18,5","NO BET"))</x:f>
      </x:c>
      <x:c r="O99" s="9" t="str">
        <x:f>IF(M99="","",IF(AM99="PARIU U18,5",IF(M99="UNDER","SUCCES","EȘEC"),IF(M99="UNDER","FALS NEGATIV","EVITARE CORECTĂ")))</x:f>
      </x:c>
      <x:c r="P99" s="9" t="str">
        <x:f>IF(M99="","",IF(M99="UNDER",1,0))</x:f>
      </x:c>
      <x:c r="Q99" s="9" t="str">
        <x:f>IF(P99="","",(G99-P99)^2)</x:f>
      </x:c>
      <x:c r="R99" s="9" t="str">
        <x:f>IF(L99="","",L99-F99)</x:f>
      </x:c>
      <x:c r="S99" s="9" t="str">
        <x:f>IF(L99="","",IF(M99="UNDER","U18,5 reușit; total final "&amp;L99&amp;" vs λ="&amp;TEXT(F99,"0.00")&amp;".","Eșec U18,5; total final "&amp;L99&amp;" vs λ="&amp;TEXT(F99,"0.00")&amp;". Revizuiește Tail Risk, sursa λ și calibrarea."))</x:f>
      </x:c>
      <x:c r="T99" s="51"/>
      <x:c r="U99" s="51"/>
      <x:c r="V99" s="51"/>
      <x:c r="W99" s="61"/>
      <x:c r="X99" s="61"/>
      <x:c r="Y99" s="51"/>
      <x:c r="Z99" s="53"/>
      <x:c r="AA99" s="51"/>
      <x:c r="AB99" s="64" t="str">
        <x:f>IF(AC99="","",AC99)</x:f>
      </x:c>
      <x:c r="AC99" s="67"/>
      <x:c r="AD99" s="69" t="str">
        <x:f>IF(AE99="","",AE99)</x:f>
      </x:c>
      <x:c r="AE99" s="71"/>
      <x:c r="AF99" s="73" t="str">
        <x:f>IF(AC99="","",1/AC99)</x:f>
      </x:c>
      <x:c r="AG99" s="61"/>
      <x:c r="AH99" s="61"/>
      <x:c r="AI99" s="64" t="str">
        <x:f>IF(OR(AC99="",AG99=""),"",AC99*AG99-1)</x:f>
      </x:c>
      <x:c r="AJ99" s="75" t="str">
        <x:f>IF(OR(G99="",F99=""),"",IF(AND(G99&gt;='Calibrare v2'!$B$35,F99&lt;='Calibrare v2'!$B$34),"PASS","FAIL"))</x:f>
      </x:c>
      <x:c r="AK99" s="75" t="str">
        <x:f>IF(AL99="","",AL99)</x:f>
      </x:c>
      <x:c r="AL99" s="77"/>
      <x:c r="AM99" s="77"/>
      <x:c r="AN99" s="64" t="str">
        <x:f>IF(OR(AC99="",P99=""),"",(AC99-P99)^2)</x:f>
      </x:c>
      <x:c r="AO99" s="64" t="str">
        <x:f>IF(OR(AG99="",AH99=""),"",AG99/AH99-1)</x:f>
      </x:c>
      <x:c r="AP99" s="61"/>
      <x:c r="AQ99" s="73" t="n">
        <x:f>IF(OR(AM99&lt;&gt;"PARIU U4,5",M99="",AP99="",AG99=""),0,IF(M99="UNDER",AP99*(AG99-1),-AP99))</x:f>
        <x:v>0</x:v>
      </x:c>
      <x:c r="AR99" s="51"/>
    </x:row>
    <x:row r="100">
      <x:c r="A100" s="9" t="str">
        <x:f>IF(D100="","",ROW()-1)</x:f>
      </x:c>
      <x:c r="B100" s="51"/>
      <x:c r="C100" s="51"/>
      <x:c r="D100" s="51"/>
      <x:c r="E100" s="9" t="str">
        <x:f>IF(D100="","",IF(AND(F100&lt;='Calibrare v2'!$B$33,G100&gt;=0.86),"DA – FEZABIL",IF(G100&gt;=0.8,"DA – PRUDENT","NU – EVITĂ")))</x:f>
      </x:c>
      <x:c r="F100" s="16" t="str">
        <x:f>IF(OR(W100="",X100=""),"",W100+X100)</x:f>
      </x:c>
      <x:c r="G100" s="28" t="str">
        <x:f>IF(F100="","",EXP(-F100)*(1+F100+F100^2/2+F100^3/6+F100^4/24))</x:f>
      </x:c>
      <x:c r="H100" s="53"/>
      <x:c r="I100" s="9" t="str">
        <x:f>IF(F100="","",IF(F100&lt;='Calibrare v2'!$B$33,"PASS","FAIL"))</x:f>
      </x:c>
      <x:c r="J100" s="51"/>
      <x:c r="K100" s="51"/>
      <x:c r="L100" s="9" t="str">
        <x:f>IF(OR(J100="",K100=""),"",J100+K100)</x:f>
      </x:c>
      <x:c r="M100" s="9" t="str">
        <x:f>IF(L100="","",IF(L100&lt;=4,"UNDER","OVER"))</x:f>
      </x:c>
      <x:c r="N100" s="9" t="str">
        <x:f>IF(E100="","",IF(LEFT(E100,2)="DA","PARIU U19,5","NO BET"))</x:f>
      </x:c>
      <x:c r="O100" s="9" t="str">
        <x:f>IF(M100="","",IF(AM100="PARIU U19,5",IF(M100="UNDER","SUCCES","EȘEC"),IF(M100="UNDER","FALS NEGATIV","EVITARE CORECTĂ")))</x:f>
      </x:c>
      <x:c r="P100" s="9" t="str">
        <x:f>IF(M100="","",IF(M100="UNDER",1,0))</x:f>
      </x:c>
      <x:c r="Q100" s="9" t="str">
        <x:f>IF(P100="","",(G100-P100)^2)</x:f>
      </x:c>
      <x:c r="R100" s="9" t="str">
        <x:f>IF(L100="","",L100-F100)</x:f>
      </x:c>
      <x:c r="S100" s="9" t="str">
        <x:f>IF(L100="","",IF(M100="UNDER","U19,5 reușit; total final "&amp;L100&amp;" vs λ="&amp;TEXT(F100,"0.00")&amp;".","Eșec U19,5; total final "&amp;L100&amp;" vs λ="&amp;TEXT(F100,"0.00")&amp;". Revizuiește Tail Risk, sursa λ și calibrarea."))</x:f>
      </x:c>
      <x:c r="T100" s="51"/>
      <x:c r="U100" s="51"/>
      <x:c r="V100" s="51"/>
      <x:c r="W100" s="61"/>
      <x:c r="X100" s="61"/>
      <x:c r="Y100" s="51"/>
      <x:c r="Z100" s="53"/>
      <x:c r="AA100" s="51"/>
      <x:c r="AB100" s="64" t="str">
        <x:f>IF(AC100="","",AC100)</x:f>
      </x:c>
      <x:c r="AC100" s="67"/>
      <x:c r="AD100" s="69" t="str">
        <x:f>IF(AE100="","",AE100)</x:f>
      </x:c>
      <x:c r="AE100" s="71"/>
      <x:c r="AF100" s="73" t="str">
        <x:f>IF(AC100="","",1/AC100)</x:f>
      </x:c>
      <x:c r="AG100" s="61"/>
      <x:c r="AH100" s="61"/>
      <x:c r="AI100" s="64" t="str">
        <x:f>IF(OR(AC100="",AG100=""),"",AC100*AG100-1)</x:f>
      </x:c>
      <x:c r="AJ100" s="75" t="str">
        <x:f>IF(OR(G100="",F100=""),"",IF(AND(G100&gt;='Calibrare v2'!$B$35,F100&lt;='Calibrare v2'!$B$34),"PASS","FAIL"))</x:f>
      </x:c>
      <x:c r="AK100" s="75" t="str">
        <x:f>IF(AL100="","",AL100)</x:f>
      </x:c>
      <x:c r="AL100" s="77"/>
      <x:c r="AM100" s="77"/>
      <x:c r="AN100" s="64" t="str">
        <x:f>IF(OR(AC100="",P100=""),"",(AC100-P100)^2)</x:f>
      </x:c>
      <x:c r="AO100" s="64" t="str">
        <x:f>IF(OR(AG100="",AH100=""),"",AG100/AH100-1)</x:f>
      </x:c>
      <x:c r="AP100" s="61"/>
      <x:c r="AQ100" s="73" t="n">
        <x:f>IF(OR(AM100&lt;&gt;"PARIU U4,5",M100="",AP100="",AG100=""),0,IF(M100="UNDER",AP100*(AG100-1),-AP100))</x:f>
        <x:v>0</x:v>
      </x:c>
      <x:c r="AR100" s="51"/>
    </x:row>
    <x:row r="101">
      <x:c r="A101" s="9" t="str">
        <x:f>IF(D101="","",ROW()-1)</x:f>
      </x:c>
      <x:c r="B101" s="51"/>
      <x:c r="C101" s="51"/>
      <x:c r="D101" s="51"/>
      <x:c r="E101" s="9" t="str">
        <x:f>IF(D101="","",IF(AND(F101&lt;='Calibrare v2'!$B$33,G101&gt;=0.86),"DA – FEZABIL",IF(G101&gt;=0.8,"DA – PRUDENT","NU – EVITĂ")))</x:f>
      </x:c>
      <x:c r="F101" s="16" t="str">
        <x:f>IF(OR(W101="",X101=""),"",W101+X101)</x:f>
      </x:c>
      <x:c r="G101" s="28" t="str">
        <x:f>IF(F101="","",EXP(-F101)*(1+F101+F101^2/2+F101^3/6+F101^4/24))</x:f>
      </x:c>
      <x:c r="H101" s="53"/>
      <x:c r="I101" s="9" t="str">
        <x:f>IF(F101="","",IF(F101&lt;='Calibrare v2'!$B$33,"PASS","FAIL"))</x:f>
      </x:c>
      <x:c r="J101" s="51"/>
      <x:c r="K101" s="51"/>
      <x:c r="L101" s="9" t="str">
        <x:f>IF(OR(J101="",K101=""),"",J101+K101)</x:f>
      </x:c>
      <x:c r="M101" s="9" t="str">
        <x:f>IF(L101="","",IF(L101&lt;=4,"UNDER","OVER"))</x:f>
      </x:c>
      <x:c r="N101" s="9" t="str">
        <x:f>IF(E101="","",IF(LEFT(E101,2)="DA","PARIU U20,5","NO BET"))</x:f>
      </x:c>
      <x:c r="O101" s="9" t="str">
        <x:f>IF(M101="","",IF(AM101="PARIU U20,5",IF(M101="UNDER","SUCCES","EȘEC"),IF(M101="UNDER","FALS NEGATIV","EVITARE CORECTĂ")))</x:f>
      </x:c>
      <x:c r="P101" s="9" t="str">
        <x:f>IF(M101="","",IF(M101="UNDER",1,0))</x:f>
      </x:c>
      <x:c r="Q101" s="9" t="str">
        <x:f>IF(P101="","",(G101-P101)^2)</x:f>
      </x:c>
      <x:c r="R101" s="9" t="str">
        <x:f>IF(L101="","",L101-F101)</x:f>
      </x:c>
      <x:c r="S101" s="9" t="str">
        <x:f>IF(L101="","",IF(M101="UNDER","U20,5 reușit; total final "&amp;L101&amp;" vs λ="&amp;TEXT(F101,"0.00")&amp;".","Eșec U20,5; total final "&amp;L101&amp;" vs λ="&amp;TEXT(F101,"0.00")&amp;". Revizuiește Tail Risk, sursa λ și calibrarea."))</x:f>
      </x:c>
      <x:c r="T101" s="51"/>
      <x:c r="U101" s="51"/>
      <x:c r="V101" s="51"/>
      <x:c r="W101" s="61"/>
      <x:c r="X101" s="61"/>
      <x:c r="Y101" s="51"/>
      <x:c r="Z101" s="53"/>
      <x:c r="AA101" s="51"/>
      <x:c r="AB101" s="64" t="str">
        <x:f>IF(AC101="","",AC101)</x:f>
      </x:c>
      <x:c r="AC101" s="67"/>
      <x:c r="AD101" s="69" t="str">
        <x:f>IF(AE101="","",AE101)</x:f>
      </x:c>
      <x:c r="AE101" s="71"/>
      <x:c r="AF101" s="73" t="str">
        <x:f>IF(AC101="","",1/AC101)</x:f>
      </x:c>
      <x:c r="AG101" s="61"/>
      <x:c r="AH101" s="61"/>
      <x:c r="AI101" s="64" t="str">
        <x:f>IF(OR(AC101="",AG101=""),"",AC101*AG101-1)</x:f>
      </x:c>
      <x:c r="AJ101" s="75" t="str">
        <x:f>IF(OR(G101="",F101=""),"",IF(AND(G101&gt;='Calibrare v2'!$B$35,F101&lt;='Calibrare v2'!$B$34),"PASS","FAIL"))</x:f>
      </x:c>
      <x:c r="AK101" s="75" t="str">
        <x:f>IF(AL101="","",AL101)</x:f>
      </x:c>
      <x:c r="AL101" s="77"/>
      <x:c r="AM101" s="77"/>
      <x:c r="AN101" s="64" t="str">
        <x:f>IF(OR(AC101="",P101=""),"",(AC101-P101)^2)</x:f>
      </x:c>
      <x:c r="AO101" s="64" t="str">
        <x:f>IF(OR(AG101="",AH101=""),"",AG101/AH101-1)</x:f>
      </x:c>
      <x:c r="AP101" s="61"/>
      <x:c r="AQ101" s="73" t="n">
        <x:f>IF(OR(AM101&lt;&gt;"PARIU U4,5",M101="",AP101="",AG101=""),0,IF(M101="UNDER",AP101*(AG101-1),-AP101))</x:f>
        <x:v>0</x:v>
      </x:c>
      <x:c r="AR101" s="51"/>
    </x:row>
    <x:row r="102">
      <x:c r="A102" s="9" t="str">
        <x:f>IF(D102="","",ROW()-1)</x:f>
      </x:c>
      <x:c r="B102" s="51"/>
      <x:c r="C102" s="51"/>
      <x:c r="D102" s="51"/>
      <x:c r="E102" s="9" t="str">
        <x:f>IF(D102="","",IF(AND(F102&lt;='Calibrare v2'!$B$33,G102&gt;=0.86),"DA – FEZABIL",IF(G102&gt;=0.8,"DA – PRUDENT","NU – EVITĂ")))</x:f>
      </x:c>
      <x:c r="F102" s="16" t="str">
        <x:f>IF(OR(W102="",X102=""),"",W102+X102)</x:f>
      </x:c>
      <x:c r="G102" s="28" t="str">
        <x:f>IF(F102="","",EXP(-F102)*(1+F102+F102^2/2+F102^3/6+F102^4/24))</x:f>
      </x:c>
      <x:c r="H102" s="53"/>
      <x:c r="I102" s="9" t="str">
        <x:f>IF(F102="","",IF(F102&lt;='Calibrare v2'!$B$33,"PASS","FAIL"))</x:f>
      </x:c>
      <x:c r="J102" s="51"/>
      <x:c r="K102" s="51"/>
      <x:c r="L102" s="9" t="str">
        <x:f>IF(OR(J102="",K102=""),"",J102+K102)</x:f>
      </x:c>
      <x:c r="M102" s="9" t="str">
        <x:f>IF(L102="","",IF(L102&lt;=4,"UNDER","OVER"))</x:f>
      </x:c>
      <x:c r="N102" s="9" t="str">
        <x:f>IF(E102="","",IF(LEFT(E102,2)="DA","PARIU U21,5","NO BET"))</x:f>
      </x:c>
      <x:c r="O102" s="9" t="str">
        <x:f>IF(M102="","",IF(AM102="PARIU U21,5",IF(M102="UNDER","SUCCES","EȘEC"),IF(M102="UNDER","FALS NEGATIV","EVITARE CORECTĂ")))</x:f>
      </x:c>
      <x:c r="P102" s="9" t="str">
        <x:f>IF(M102="","",IF(M102="UNDER",1,0))</x:f>
      </x:c>
      <x:c r="Q102" s="9" t="str">
        <x:f>IF(P102="","",(G102-P102)^2)</x:f>
      </x:c>
      <x:c r="R102" s="9" t="str">
        <x:f>IF(L102="","",L102-F102)</x:f>
      </x:c>
      <x:c r="S102" s="9" t="str">
        <x:f>IF(L102="","",IF(M102="UNDER","U21,5 reușit; total final "&amp;L102&amp;" vs λ="&amp;TEXT(F102,"0.00")&amp;".","Eșec U21,5; total final "&amp;L102&amp;" vs λ="&amp;TEXT(F102,"0.00")&amp;". Revizuiește Tail Risk, sursa λ și calibrarea."))</x:f>
      </x:c>
      <x:c r="T102" s="51"/>
      <x:c r="U102" s="51"/>
      <x:c r="V102" s="51"/>
      <x:c r="W102" s="61"/>
      <x:c r="X102" s="61"/>
      <x:c r="Y102" s="51"/>
      <x:c r="Z102" s="53"/>
      <x:c r="AA102" s="51"/>
      <x:c r="AB102" s="64" t="str">
        <x:f>IF(AC102="","",AC102)</x:f>
      </x:c>
      <x:c r="AC102" s="67"/>
      <x:c r="AD102" s="69" t="str">
        <x:f>IF(AE102="","",AE102)</x:f>
      </x:c>
      <x:c r="AE102" s="71"/>
      <x:c r="AF102" s="73" t="str">
        <x:f>IF(AC102="","",1/AC102)</x:f>
      </x:c>
      <x:c r="AG102" s="61"/>
      <x:c r="AH102" s="61"/>
      <x:c r="AI102" s="64" t="str">
        <x:f>IF(OR(AC102="",AG102=""),"",AC102*AG102-1)</x:f>
      </x:c>
      <x:c r="AJ102" s="75" t="str">
        <x:f>IF(OR(G102="",F102=""),"",IF(AND(G102&gt;='Calibrare v2'!$B$35,F102&lt;='Calibrare v2'!$B$34),"PASS","FAIL"))</x:f>
      </x:c>
      <x:c r="AK102" s="75" t="str">
        <x:f>IF(AL102="","",AL102)</x:f>
      </x:c>
      <x:c r="AL102" s="77"/>
      <x:c r="AM102" s="77"/>
      <x:c r="AN102" s="64" t="str">
        <x:f>IF(OR(AC102="",P102=""),"",(AC102-P102)^2)</x:f>
      </x:c>
      <x:c r="AO102" s="64" t="str">
        <x:f>IF(OR(AG102="",AH102=""),"",AG102/AH102-1)</x:f>
      </x:c>
      <x:c r="AP102" s="61"/>
      <x:c r="AQ102" s="73" t="n">
        <x:f>IF(OR(AM102&lt;&gt;"PARIU U4,5",M102="",AP102="",AG102=""),0,IF(M102="UNDER",AP102*(AG102-1),-AP102))</x:f>
        <x:v>0</x:v>
      </x:c>
      <x:c r="AR102" s="51"/>
    </x:row>
    <x:row r="103">
      <x:c r="A103" s="9" t="str">
        <x:f>IF(D103="","",ROW()-1)</x:f>
      </x:c>
      <x:c r="B103" s="51"/>
      <x:c r="C103" s="51"/>
      <x:c r="D103" s="51"/>
      <x:c r="E103" s="9" t="str">
        <x:f>IF(D103="","",IF(AND(F103&lt;='Calibrare v2'!$B$33,G103&gt;=0.86),"DA – FEZABIL",IF(G103&gt;=0.8,"DA – PRUDENT","NU – EVITĂ")))</x:f>
      </x:c>
      <x:c r="F103" s="16" t="str">
        <x:f>IF(OR(W103="",X103=""),"",W103+X103)</x:f>
      </x:c>
      <x:c r="G103" s="28" t="str">
        <x:f>IF(F103="","",EXP(-F103)*(1+F103+F103^2/2+F103^3/6+F103^4/24))</x:f>
      </x:c>
      <x:c r="H103" s="53"/>
      <x:c r="I103" s="9" t="str">
        <x:f>IF(F103="","",IF(F103&lt;='Calibrare v2'!$B$33,"PASS","FAIL"))</x:f>
      </x:c>
      <x:c r="J103" s="51"/>
      <x:c r="K103" s="51"/>
      <x:c r="L103" s="9" t="str">
        <x:f>IF(OR(J103="",K103=""),"",J103+K103)</x:f>
      </x:c>
      <x:c r="M103" s="9" t="str">
        <x:f>IF(L103="","",IF(L103&lt;=4,"UNDER","OVER"))</x:f>
      </x:c>
      <x:c r="N103" s="9" t="str">
        <x:f>IF(E103="","",IF(LEFT(E103,2)="DA","PARIU U22,5","NO BET"))</x:f>
      </x:c>
      <x:c r="O103" s="9" t="str">
        <x:f>IF(M103="","",IF(AM103="PARIU U22,5",IF(M103="UNDER","SUCCES","EȘEC"),IF(M103="UNDER","FALS NEGATIV","EVITARE CORECTĂ")))</x:f>
      </x:c>
      <x:c r="P103" s="9" t="str">
        <x:f>IF(M103="","",IF(M103="UNDER",1,0))</x:f>
      </x:c>
      <x:c r="Q103" s="9" t="str">
        <x:f>IF(P103="","",(G103-P103)^2)</x:f>
      </x:c>
      <x:c r="R103" s="9" t="str">
        <x:f>IF(L103="","",L103-F103)</x:f>
      </x:c>
      <x:c r="S103" s="9" t="str">
        <x:f>IF(L103="","",IF(M103="UNDER","U22,5 reușit; total final "&amp;L103&amp;" vs λ="&amp;TEXT(F103,"0.00")&amp;".","Eșec U22,5; total final "&amp;L103&amp;" vs λ="&amp;TEXT(F103,"0.00")&amp;". Revizuiește Tail Risk, sursa λ și calibrarea."))</x:f>
      </x:c>
      <x:c r="T103" s="51"/>
      <x:c r="U103" s="51"/>
      <x:c r="V103" s="51"/>
      <x:c r="W103" s="61"/>
      <x:c r="X103" s="61"/>
      <x:c r="Y103" s="51"/>
      <x:c r="Z103" s="53"/>
      <x:c r="AA103" s="51"/>
      <x:c r="AB103" s="64" t="str">
        <x:f>IF(AC103="","",AC103)</x:f>
      </x:c>
      <x:c r="AC103" s="67"/>
      <x:c r="AD103" s="69" t="str">
        <x:f>IF(AE103="","",AE103)</x:f>
      </x:c>
      <x:c r="AE103" s="71"/>
      <x:c r="AF103" s="73" t="str">
        <x:f>IF(AC103="","",1/AC103)</x:f>
      </x:c>
      <x:c r="AG103" s="61"/>
      <x:c r="AH103" s="61"/>
      <x:c r="AI103" s="64" t="str">
        <x:f>IF(OR(AC103="",AG103=""),"",AC103*AG103-1)</x:f>
      </x:c>
      <x:c r="AJ103" s="75" t="str">
        <x:f>IF(OR(G103="",F103=""),"",IF(AND(G103&gt;='Calibrare v2'!$B$35,F103&lt;='Calibrare v2'!$B$34),"PASS","FAIL"))</x:f>
      </x:c>
      <x:c r="AK103" s="75" t="str">
        <x:f>IF(AL103="","",AL103)</x:f>
      </x:c>
      <x:c r="AL103" s="77"/>
      <x:c r="AM103" s="77"/>
      <x:c r="AN103" s="64" t="str">
        <x:f>IF(OR(AC103="",P103=""),"",(AC103-P103)^2)</x:f>
      </x:c>
      <x:c r="AO103" s="64" t="str">
        <x:f>IF(OR(AG103="",AH103=""),"",AG103/AH103-1)</x:f>
      </x:c>
      <x:c r="AP103" s="61"/>
      <x:c r="AQ103" s="73" t="n">
        <x:f>IF(OR(AM103&lt;&gt;"PARIU U4,5",M103="",AP103="",AG103=""),0,IF(M103="UNDER",AP103*(AG103-1),-AP103))</x:f>
        <x:v>0</x:v>
      </x:c>
      <x:c r="AR103" s="51"/>
    </x:row>
    <x:row r="104">
      <x:c r="A104" s="9" t="str">
        <x:f>IF(D104="","",ROW()-1)</x:f>
      </x:c>
      <x:c r="B104" s="51"/>
      <x:c r="C104" s="51"/>
      <x:c r="D104" s="51"/>
      <x:c r="E104" s="9" t="str">
        <x:f>IF(D104="","",IF(AND(F104&lt;='Calibrare v2'!$B$33,G104&gt;=0.86),"DA – FEZABIL",IF(G104&gt;=0.8,"DA – PRUDENT","NU – EVITĂ")))</x:f>
      </x:c>
      <x:c r="F104" s="16" t="str">
        <x:f>IF(OR(W104="",X104=""),"",W104+X104)</x:f>
      </x:c>
      <x:c r="G104" s="28" t="str">
        <x:f>IF(F104="","",EXP(-F104)*(1+F104+F104^2/2+F104^3/6+F104^4/24))</x:f>
      </x:c>
      <x:c r="H104" s="53"/>
      <x:c r="I104" s="9" t="str">
        <x:f>IF(F104="","",IF(F104&lt;='Calibrare v2'!$B$33,"PASS","FAIL"))</x:f>
      </x:c>
      <x:c r="J104" s="51"/>
      <x:c r="K104" s="51"/>
      <x:c r="L104" s="9" t="str">
        <x:f>IF(OR(J104="",K104=""),"",J104+K104)</x:f>
      </x:c>
      <x:c r="M104" s="9" t="str">
        <x:f>IF(L104="","",IF(L104&lt;=4,"UNDER","OVER"))</x:f>
      </x:c>
      <x:c r="N104" s="9" t="str">
        <x:f>IF(E104="","",IF(LEFT(E104,2)="DA","PARIU U23,5","NO BET"))</x:f>
      </x:c>
      <x:c r="O104" s="9" t="str">
        <x:f>IF(M104="","",IF(AM104="PARIU U23,5",IF(M104="UNDER","SUCCES","EȘEC"),IF(M104="UNDER","FALS NEGATIV","EVITARE CORECTĂ")))</x:f>
      </x:c>
      <x:c r="P104" s="9" t="str">
        <x:f>IF(M104="","",IF(M104="UNDER",1,0))</x:f>
      </x:c>
      <x:c r="Q104" s="9" t="str">
        <x:f>IF(P104="","",(G104-P104)^2)</x:f>
      </x:c>
      <x:c r="R104" s="9" t="str">
        <x:f>IF(L104="","",L104-F104)</x:f>
      </x:c>
      <x:c r="S104" s="9" t="str">
        <x:f>IF(L104="","",IF(M104="UNDER","U23,5 reușit; total final "&amp;L104&amp;" vs λ="&amp;TEXT(F104,"0.00")&amp;".","Eșec U23,5; total final "&amp;L104&amp;" vs λ="&amp;TEXT(F104,"0.00")&amp;". Revizuiește Tail Risk, sursa λ și calibrarea."))</x:f>
      </x:c>
      <x:c r="T104" s="51"/>
      <x:c r="U104" s="51"/>
      <x:c r="V104" s="51"/>
      <x:c r="W104" s="61"/>
      <x:c r="X104" s="61"/>
      <x:c r="Y104" s="51"/>
      <x:c r="Z104" s="53"/>
      <x:c r="AA104" s="51"/>
      <x:c r="AB104" s="64" t="str">
        <x:f>IF(AC104="","",AC104)</x:f>
      </x:c>
      <x:c r="AC104" s="67"/>
      <x:c r="AD104" s="69" t="str">
        <x:f>IF(AE104="","",AE104)</x:f>
      </x:c>
      <x:c r="AE104" s="71"/>
      <x:c r="AF104" s="73" t="str">
        <x:f>IF(AC104="","",1/AC104)</x:f>
      </x:c>
      <x:c r="AG104" s="61"/>
      <x:c r="AH104" s="61"/>
      <x:c r="AI104" s="64" t="str">
        <x:f>IF(OR(AC104="",AG104=""),"",AC104*AG104-1)</x:f>
      </x:c>
      <x:c r="AJ104" s="75" t="str">
        <x:f>IF(OR(G104="",F104=""),"",IF(AND(G104&gt;='Calibrare v2'!$B$35,F104&lt;='Calibrare v2'!$B$34),"PASS","FAIL"))</x:f>
      </x:c>
      <x:c r="AK104" s="75" t="str">
        <x:f>IF(AL104="","",AL104)</x:f>
      </x:c>
      <x:c r="AL104" s="77"/>
      <x:c r="AM104" s="77"/>
      <x:c r="AN104" s="64" t="str">
        <x:f>IF(OR(AC104="",P104=""),"",(AC104-P104)^2)</x:f>
      </x:c>
      <x:c r="AO104" s="64" t="str">
        <x:f>IF(OR(AG104="",AH104=""),"",AG104/AH104-1)</x:f>
      </x:c>
      <x:c r="AP104" s="61"/>
      <x:c r="AQ104" s="73" t="n">
        <x:f>IF(OR(AM104&lt;&gt;"PARIU U4,5",M104="",AP104="",AG104=""),0,IF(M104="UNDER",AP104*(AG104-1),-AP104))</x:f>
        <x:v>0</x:v>
      </x:c>
      <x:c r="AR104" s="51"/>
    </x:row>
    <x:row r="105">
      <x:c r="A105" s="9" t="str">
        <x:f>IF(D105="","",ROW()-1)</x:f>
      </x:c>
      <x:c r="B105" s="51"/>
      <x:c r="C105" s="51"/>
      <x:c r="D105" s="51"/>
      <x:c r="E105" s="9" t="str">
        <x:f>IF(D105="","",IF(AND(F105&lt;='Calibrare v2'!$B$33,G105&gt;=0.86),"DA – FEZABIL",IF(G105&gt;=0.8,"DA – PRUDENT","NU – EVITĂ")))</x:f>
      </x:c>
      <x:c r="F105" s="16" t="str">
        <x:f>IF(OR(W105="",X105=""),"",W105+X105)</x:f>
      </x:c>
      <x:c r="G105" s="28" t="str">
        <x:f>IF(F105="","",EXP(-F105)*(1+F105+F105^2/2+F105^3/6+F105^4/24))</x:f>
      </x:c>
      <x:c r="H105" s="53"/>
      <x:c r="I105" s="9" t="str">
        <x:f>IF(F105="","",IF(F105&lt;='Calibrare v2'!$B$33,"PASS","FAIL"))</x:f>
      </x:c>
      <x:c r="J105" s="51"/>
      <x:c r="K105" s="51"/>
      <x:c r="L105" s="9" t="str">
        <x:f>IF(OR(J105="",K105=""),"",J105+K105)</x:f>
      </x:c>
      <x:c r="M105" s="9" t="str">
        <x:f>IF(L105="","",IF(L105&lt;=4,"UNDER","OVER"))</x:f>
      </x:c>
      <x:c r="N105" s="9" t="str">
        <x:f>IF(E105="","",IF(LEFT(E105,2)="DA","PARIU U24,5","NO BET"))</x:f>
      </x:c>
      <x:c r="O105" s="9" t="str">
        <x:f>IF(M105="","",IF(AM105="PARIU U24,5",IF(M105="UNDER","SUCCES","EȘEC"),IF(M105="UNDER","FALS NEGATIV","EVITARE CORECTĂ")))</x:f>
      </x:c>
      <x:c r="P105" s="9" t="str">
        <x:f>IF(M105="","",IF(M105="UNDER",1,0))</x:f>
      </x:c>
      <x:c r="Q105" s="9" t="str">
        <x:f>IF(P105="","",(G105-P105)^2)</x:f>
      </x:c>
      <x:c r="R105" s="9" t="str">
        <x:f>IF(L105="","",L105-F105)</x:f>
      </x:c>
      <x:c r="S105" s="9" t="str">
        <x:f>IF(L105="","",IF(M105="UNDER","U24,5 reușit; total final "&amp;L105&amp;" vs λ="&amp;TEXT(F105,"0.00")&amp;".","Eșec U24,5; total final "&amp;L105&amp;" vs λ="&amp;TEXT(F105,"0.00")&amp;". Revizuiește Tail Risk, sursa λ și calibrarea."))</x:f>
      </x:c>
      <x:c r="T105" s="51"/>
      <x:c r="U105" s="51"/>
      <x:c r="V105" s="51"/>
      <x:c r="W105" s="61"/>
      <x:c r="X105" s="61"/>
      <x:c r="Y105" s="51"/>
      <x:c r="Z105" s="53"/>
      <x:c r="AA105" s="51"/>
      <x:c r="AB105" s="64" t="str">
        <x:f>IF(AC105="","",AC105)</x:f>
      </x:c>
      <x:c r="AC105" s="67"/>
      <x:c r="AD105" s="69" t="str">
        <x:f>IF(AE105="","",AE105)</x:f>
      </x:c>
      <x:c r="AE105" s="71"/>
      <x:c r="AF105" s="73" t="str">
        <x:f>IF(AC105="","",1/AC105)</x:f>
      </x:c>
      <x:c r="AG105" s="61"/>
      <x:c r="AH105" s="61"/>
      <x:c r="AI105" s="64" t="str">
        <x:f>IF(OR(AC105="",AG105=""),"",AC105*AG105-1)</x:f>
      </x:c>
      <x:c r="AJ105" s="75" t="str">
        <x:f>IF(OR(G105="",F105=""),"",IF(AND(G105&gt;='Calibrare v2'!$B$35,F105&lt;='Calibrare v2'!$B$34),"PASS","FAIL"))</x:f>
      </x:c>
      <x:c r="AK105" s="75" t="str">
        <x:f>IF(AL105="","",AL105)</x:f>
      </x:c>
      <x:c r="AL105" s="77"/>
      <x:c r="AM105" s="77"/>
      <x:c r="AN105" s="64" t="str">
        <x:f>IF(OR(AC105="",P105=""),"",(AC105-P105)^2)</x:f>
      </x:c>
      <x:c r="AO105" s="64" t="str">
        <x:f>IF(OR(AG105="",AH105=""),"",AG105/AH105-1)</x:f>
      </x:c>
      <x:c r="AP105" s="61"/>
      <x:c r="AQ105" s="73" t="n">
        <x:f>IF(OR(AM105&lt;&gt;"PARIU U4,5",M105="",AP105="",AG105=""),0,IF(M105="UNDER",AP105*(AG105-1),-AP105))</x:f>
        <x:v>0</x:v>
      </x:c>
      <x:c r="AR105" s="51"/>
    </x:row>
    <x:row r="106">
      <x:c r="A106" s="9" t="str">
        <x:f>IF(D106="","",ROW()-1)</x:f>
      </x:c>
      <x:c r="B106" s="51"/>
      <x:c r="C106" s="51"/>
      <x:c r="D106" s="51"/>
      <x:c r="E106" s="9" t="str">
        <x:f>IF(D106="","",IF(AND(F106&lt;='Calibrare v2'!$B$33,G106&gt;=0.86),"DA – FEZABIL",IF(G106&gt;=0.8,"DA – PRUDENT","NU – EVITĂ")))</x:f>
      </x:c>
      <x:c r="F106" s="16" t="str">
        <x:f>IF(OR(W106="",X106=""),"",W106+X106)</x:f>
      </x:c>
      <x:c r="G106" s="28" t="str">
        <x:f>IF(F106="","",EXP(-F106)*(1+F106+F106^2/2+F106^3/6+F106^4/24))</x:f>
      </x:c>
      <x:c r="H106" s="53"/>
      <x:c r="I106" s="9" t="str">
        <x:f>IF(F106="","",IF(F106&lt;='Calibrare v2'!$B$33,"PASS","FAIL"))</x:f>
      </x:c>
      <x:c r="J106" s="51"/>
      <x:c r="K106" s="51"/>
      <x:c r="L106" s="9" t="str">
        <x:f>IF(OR(J106="",K106=""),"",J106+K106)</x:f>
      </x:c>
      <x:c r="M106" s="9" t="str">
        <x:f>IF(L106="","",IF(L106&lt;=4,"UNDER","OVER"))</x:f>
      </x:c>
      <x:c r="N106" s="9" t="str">
        <x:f>IF(E106="","",IF(LEFT(E106,2)="DA","PARIU U25,5","NO BET"))</x:f>
      </x:c>
      <x:c r="O106" s="9" t="str">
        <x:f>IF(M106="","",IF(AM106="PARIU U25,5",IF(M106="UNDER","SUCCES","EȘEC"),IF(M106="UNDER","FALS NEGATIV","EVITARE CORECTĂ")))</x:f>
      </x:c>
      <x:c r="P106" s="9" t="str">
        <x:f>IF(M106="","",IF(M106="UNDER",1,0))</x:f>
      </x:c>
      <x:c r="Q106" s="9" t="str">
        <x:f>IF(P106="","",(G106-P106)^2)</x:f>
      </x:c>
      <x:c r="R106" s="9" t="str">
        <x:f>IF(L106="","",L106-F106)</x:f>
      </x:c>
      <x:c r="S106" s="9" t="str">
        <x:f>IF(L106="","",IF(M106="UNDER","U25,5 reușit; total final "&amp;L106&amp;" vs λ="&amp;TEXT(F106,"0.00")&amp;".","Eșec U25,5; total final "&amp;L106&amp;" vs λ="&amp;TEXT(F106,"0.00")&amp;". Revizuiește Tail Risk, sursa λ și calibrarea."))</x:f>
      </x:c>
      <x:c r="T106" s="51"/>
      <x:c r="U106" s="51"/>
      <x:c r="V106" s="51"/>
      <x:c r="W106" s="61"/>
      <x:c r="X106" s="61"/>
      <x:c r="Y106" s="51"/>
      <x:c r="Z106" s="53"/>
      <x:c r="AA106" s="51"/>
      <x:c r="AB106" s="64" t="str">
        <x:f>IF(AC106="","",AC106)</x:f>
      </x:c>
      <x:c r="AC106" s="67"/>
      <x:c r="AD106" s="69" t="str">
        <x:f>IF(AE106="","",AE106)</x:f>
      </x:c>
      <x:c r="AE106" s="71"/>
      <x:c r="AF106" s="73" t="str">
        <x:f>IF(AC106="","",1/AC106)</x:f>
      </x:c>
      <x:c r="AG106" s="61"/>
      <x:c r="AH106" s="61"/>
      <x:c r="AI106" s="64" t="str">
        <x:f>IF(OR(AC106="",AG106=""),"",AC106*AG106-1)</x:f>
      </x:c>
      <x:c r="AJ106" s="75" t="str">
        <x:f>IF(OR(G106="",F106=""),"",IF(AND(G106&gt;='Calibrare v2'!$B$35,F106&lt;='Calibrare v2'!$B$34),"PASS","FAIL"))</x:f>
      </x:c>
      <x:c r="AK106" s="75" t="str">
        <x:f>IF(AL106="","",AL106)</x:f>
      </x:c>
      <x:c r="AL106" s="77"/>
      <x:c r="AM106" s="77"/>
      <x:c r="AN106" s="64" t="str">
        <x:f>IF(OR(AC106="",P106=""),"",(AC106-P106)^2)</x:f>
      </x:c>
      <x:c r="AO106" s="64" t="str">
        <x:f>IF(OR(AG106="",AH106=""),"",AG106/AH106-1)</x:f>
      </x:c>
      <x:c r="AP106" s="61"/>
      <x:c r="AQ106" s="73" t="n">
        <x:f>IF(OR(AM106&lt;&gt;"PARIU U4,5",M106="",AP106="",AG106=""),0,IF(M106="UNDER",AP106*(AG106-1),-AP106))</x:f>
        <x:v>0</x:v>
      </x:c>
      <x:c r="AR106" s="51"/>
    </x:row>
    <x:row r="107">
      <x:c r="A107" s="9" t="str">
        <x:f>IF(D107="","",ROW()-1)</x:f>
      </x:c>
      <x:c r="B107" s="51"/>
      <x:c r="C107" s="51"/>
      <x:c r="D107" s="51"/>
      <x:c r="E107" s="9" t="str">
        <x:f>IF(D107="","",IF(AND(F107&lt;='Calibrare v2'!$B$33,G107&gt;=0.86),"DA – FEZABIL",IF(G107&gt;=0.8,"DA – PRUDENT","NU – EVITĂ")))</x:f>
      </x:c>
      <x:c r="F107" s="16" t="str">
        <x:f>IF(OR(W107="",X107=""),"",W107+X107)</x:f>
      </x:c>
      <x:c r="G107" s="28" t="str">
        <x:f>IF(F107="","",EXP(-F107)*(1+F107+F107^2/2+F107^3/6+F107^4/24))</x:f>
      </x:c>
      <x:c r="H107" s="53"/>
      <x:c r="I107" s="9" t="str">
        <x:f>IF(F107="","",IF(F107&lt;='Calibrare v2'!$B$33,"PASS","FAIL"))</x:f>
      </x:c>
      <x:c r="J107" s="51"/>
      <x:c r="K107" s="51"/>
      <x:c r="L107" s="9" t="str">
        <x:f>IF(OR(J107="",K107=""),"",J107+K107)</x:f>
      </x:c>
      <x:c r="M107" s="9" t="str">
        <x:f>IF(L107="","",IF(L107&lt;=4,"UNDER","OVER"))</x:f>
      </x:c>
      <x:c r="N107" s="9" t="str">
        <x:f>IF(E107="","",IF(LEFT(E107,2)="DA","PARIU U26,5","NO BET"))</x:f>
      </x:c>
      <x:c r="O107" s="9" t="str">
        <x:f>IF(M107="","",IF(AM107="PARIU U26,5",IF(M107="UNDER","SUCCES","EȘEC"),IF(M107="UNDER","FALS NEGATIV","EVITARE CORECTĂ")))</x:f>
      </x:c>
      <x:c r="P107" s="9" t="str">
        <x:f>IF(M107="","",IF(M107="UNDER",1,0))</x:f>
      </x:c>
      <x:c r="Q107" s="9" t="str">
        <x:f>IF(P107="","",(G107-P107)^2)</x:f>
      </x:c>
      <x:c r="R107" s="9" t="str">
        <x:f>IF(L107="","",L107-F107)</x:f>
      </x:c>
      <x:c r="S107" s="9" t="str">
        <x:f>IF(L107="","",IF(M107="UNDER","U26,5 reușit; total final "&amp;L107&amp;" vs λ="&amp;TEXT(F107,"0.00")&amp;".","Eșec U26,5; total final "&amp;L107&amp;" vs λ="&amp;TEXT(F107,"0.00")&amp;". Revizuiește Tail Risk, sursa λ și calibrarea."))</x:f>
      </x:c>
      <x:c r="T107" s="51"/>
      <x:c r="U107" s="51"/>
      <x:c r="V107" s="51"/>
      <x:c r="W107" s="61"/>
      <x:c r="X107" s="61"/>
      <x:c r="Y107" s="51"/>
      <x:c r="Z107" s="53"/>
      <x:c r="AA107" s="51"/>
      <x:c r="AB107" s="64" t="str">
        <x:f>IF(AC107="","",AC107)</x:f>
      </x:c>
      <x:c r="AC107" s="67"/>
      <x:c r="AD107" s="69" t="str">
        <x:f>IF(AE107="","",AE107)</x:f>
      </x:c>
      <x:c r="AE107" s="71"/>
      <x:c r="AF107" s="73" t="str">
        <x:f>IF(AC107="","",1/AC107)</x:f>
      </x:c>
      <x:c r="AG107" s="61"/>
      <x:c r="AH107" s="61"/>
      <x:c r="AI107" s="64" t="str">
        <x:f>IF(OR(AC107="",AG107=""),"",AC107*AG107-1)</x:f>
      </x:c>
      <x:c r="AJ107" s="75" t="str">
        <x:f>IF(OR(G107="",F107=""),"",IF(AND(G107&gt;='Calibrare v2'!$B$35,F107&lt;='Calibrare v2'!$B$34),"PASS","FAIL"))</x:f>
      </x:c>
      <x:c r="AK107" s="75" t="str">
        <x:f>IF(AL107="","",AL107)</x:f>
      </x:c>
      <x:c r="AL107" s="77"/>
      <x:c r="AM107" s="77"/>
      <x:c r="AN107" s="64" t="str">
        <x:f>IF(OR(AC107="",P107=""),"",(AC107-P107)^2)</x:f>
      </x:c>
      <x:c r="AO107" s="64" t="str">
        <x:f>IF(OR(AG107="",AH107=""),"",AG107/AH107-1)</x:f>
      </x:c>
      <x:c r="AP107" s="61"/>
      <x:c r="AQ107" s="73" t="n">
        <x:f>IF(OR(AM107&lt;&gt;"PARIU U4,5",M107="",AP107="",AG107=""),0,IF(M107="UNDER",AP107*(AG107-1),-AP107))</x:f>
        <x:v>0</x:v>
      </x:c>
      <x:c r="AR107" s="51"/>
    </x:row>
    <x:row r="108">
      <x:c r="A108" s="9" t="str">
        <x:f>IF(D108="","",ROW()-1)</x:f>
      </x:c>
      <x:c r="B108" s="51"/>
      <x:c r="C108" s="51"/>
      <x:c r="D108" s="51"/>
      <x:c r="E108" s="9" t="str">
        <x:f>IF(D108="","",IF(AND(F108&lt;='Calibrare v2'!$B$33,G108&gt;=0.86),"DA – FEZABIL",IF(G108&gt;=0.8,"DA – PRUDENT","NU – EVITĂ")))</x:f>
      </x:c>
      <x:c r="F108" s="16" t="str">
        <x:f>IF(OR(W108="",X108=""),"",W108+X108)</x:f>
      </x:c>
      <x:c r="G108" s="28" t="str">
        <x:f>IF(F108="","",EXP(-F108)*(1+F108+F108^2/2+F108^3/6+F108^4/24))</x:f>
      </x:c>
      <x:c r="H108" s="53"/>
      <x:c r="I108" s="9" t="str">
        <x:f>IF(F108="","",IF(F108&lt;='Calibrare v2'!$B$33,"PASS","FAIL"))</x:f>
      </x:c>
      <x:c r="J108" s="51"/>
      <x:c r="K108" s="51"/>
      <x:c r="L108" s="9" t="str">
        <x:f>IF(OR(J108="",K108=""),"",J108+K108)</x:f>
      </x:c>
      <x:c r="M108" s="9" t="str">
        <x:f>IF(L108="","",IF(L108&lt;=4,"UNDER","OVER"))</x:f>
      </x:c>
      <x:c r="N108" s="9" t="str">
        <x:f>IF(E108="","",IF(LEFT(E108,2)="DA","PARIU U27,5","NO BET"))</x:f>
      </x:c>
      <x:c r="O108" s="9" t="str">
        <x:f>IF(M108="","",IF(AM108="PARIU U27,5",IF(M108="UNDER","SUCCES","EȘEC"),IF(M108="UNDER","FALS NEGATIV","EVITARE CORECTĂ")))</x:f>
      </x:c>
      <x:c r="P108" s="9" t="str">
        <x:f>IF(M108="","",IF(M108="UNDER",1,0))</x:f>
      </x:c>
      <x:c r="Q108" s="9" t="str">
        <x:f>IF(P108="","",(G108-P108)^2)</x:f>
      </x:c>
      <x:c r="R108" s="9" t="str">
        <x:f>IF(L108="","",L108-F108)</x:f>
      </x:c>
      <x:c r="S108" s="9" t="str">
        <x:f>IF(L108="","",IF(M108="UNDER","U27,5 reușit; total final "&amp;L108&amp;" vs λ="&amp;TEXT(F108,"0.00")&amp;".","Eșec U27,5; total final "&amp;L108&amp;" vs λ="&amp;TEXT(F108,"0.00")&amp;". Revizuiește Tail Risk, sursa λ și calibrarea."))</x:f>
      </x:c>
      <x:c r="T108" s="51"/>
      <x:c r="U108" s="51"/>
      <x:c r="V108" s="51"/>
      <x:c r="W108" s="61"/>
      <x:c r="X108" s="61"/>
      <x:c r="Y108" s="51"/>
      <x:c r="Z108" s="53"/>
      <x:c r="AA108" s="51"/>
      <x:c r="AB108" s="64" t="str">
        <x:f>IF(AC108="","",AC108)</x:f>
      </x:c>
      <x:c r="AC108" s="67"/>
      <x:c r="AD108" s="69" t="str">
        <x:f>IF(AE108="","",AE108)</x:f>
      </x:c>
      <x:c r="AE108" s="71"/>
      <x:c r="AF108" s="73" t="str">
        <x:f>IF(AC108="","",1/AC108)</x:f>
      </x:c>
      <x:c r="AG108" s="61"/>
      <x:c r="AH108" s="61"/>
      <x:c r="AI108" s="64" t="str">
        <x:f>IF(OR(AC108="",AG108=""),"",AC108*AG108-1)</x:f>
      </x:c>
      <x:c r="AJ108" s="75" t="str">
        <x:f>IF(OR(G108="",F108=""),"",IF(AND(G108&gt;='Calibrare v2'!$B$35,F108&lt;='Calibrare v2'!$B$34),"PASS","FAIL"))</x:f>
      </x:c>
      <x:c r="AK108" s="75" t="str">
        <x:f>IF(AL108="","",AL108)</x:f>
      </x:c>
      <x:c r="AL108" s="77"/>
      <x:c r="AM108" s="77"/>
      <x:c r="AN108" s="64" t="str">
        <x:f>IF(OR(AC108="",P108=""),"",(AC108-P108)^2)</x:f>
      </x:c>
      <x:c r="AO108" s="64" t="str">
        <x:f>IF(OR(AG108="",AH108=""),"",AG108/AH108-1)</x:f>
      </x:c>
      <x:c r="AP108" s="61"/>
      <x:c r="AQ108" s="73" t="n">
        <x:f>IF(OR(AM108&lt;&gt;"PARIU U4,5",M108="",AP108="",AG108=""),0,IF(M108="UNDER",AP108*(AG108-1),-AP108))</x:f>
        <x:v>0</x:v>
      </x:c>
      <x:c r="AR108" s="51"/>
    </x:row>
    <x:row r="109">
      <x:c r="A109" s="9" t="str">
        <x:f>IF(D109="","",ROW()-1)</x:f>
      </x:c>
      <x:c r="B109" s="51"/>
      <x:c r="C109" s="51"/>
      <x:c r="D109" s="51"/>
      <x:c r="E109" s="9" t="str">
        <x:f>IF(D109="","",IF(AND(F109&lt;='Calibrare v2'!$B$33,G109&gt;=0.86),"DA – FEZABIL",IF(G109&gt;=0.8,"DA – PRUDENT","NU – EVITĂ")))</x:f>
      </x:c>
      <x:c r="F109" s="16" t="str">
        <x:f>IF(OR(W109="",X109=""),"",W109+X109)</x:f>
      </x:c>
      <x:c r="G109" s="28" t="str">
        <x:f>IF(F109="","",EXP(-F109)*(1+F109+F109^2/2+F109^3/6+F109^4/24))</x:f>
      </x:c>
      <x:c r="H109" s="53"/>
      <x:c r="I109" s="9" t="str">
        <x:f>IF(F109="","",IF(F109&lt;='Calibrare v2'!$B$33,"PASS","FAIL"))</x:f>
      </x:c>
      <x:c r="J109" s="51"/>
      <x:c r="K109" s="51"/>
      <x:c r="L109" s="9" t="str">
        <x:f>IF(OR(J109="",K109=""),"",J109+K109)</x:f>
      </x:c>
      <x:c r="M109" s="9" t="str">
        <x:f>IF(L109="","",IF(L109&lt;=4,"UNDER","OVER"))</x:f>
      </x:c>
      <x:c r="N109" s="9" t="str">
        <x:f>IF(E109="","",IF(LEFT(E109,2)="DA","PARIU U28,5","NO BET"))</x:f>
      </x:c>
      <x:c r="O109" s="9" t="str">
        <x:f>IF(M109="","",IF(AM109="PARIU U28,5",IF(M109="UNDER","SUCCES","EȘEC"),IF(M109="UNDER","FALS NEGATIV","EVITARE CORECTĂ")))</x:f>
      </x:c>
      <x:c r="P109" s="9" t="str">
        <x:f>IF(M109="","",IF(M109="UNDER",1,0))</x:f>
      </x:c>
      <x:c r="Q109" s="9" t="str">
        <x:f>IF(P109="","",(G109-P109)^2)</x:f>
      </x:c>
      <x:c r="R109" s="9" t="str">
        <x:f>IF(L109="","",L109-F109)</x:f>
      </x:c>
      <x:c r="S109" s="9" t="str">
        <x:f>IF(L109="","",IF(M109="UNDER","U28,5 reușit; total final "&amp;L109&amp;" vs λ="&amp;TEXT(F109,"0.00")&amp;".","Eșec U28,5; total final "&amp;L109&amp;" vs λ="&amp;TEXT(F109,"0.00")&amp;". Revizuiește Tail Risk, sursa λ și calibrarea."))</x:f>
      </x:c>
      <x:c r="T109" s="51"/>
      <x:c r="U109" s="51"/>
      <x:c r="V109" s="51"/>
      <x:c r="W109" s="61"/>
      <x:c r="X109" s="61"/>
      <x:c r="Y109" s="51"/>
      <x:c r="Z109" s="53"/>
      <x:c r="AA109" s="51"/>
      <x:c r="AB109" s="64" t="str">
        <x:f>IF(AC109="","",AC109)</x:f>
      </x:c>
      <x:c r="AC109" s="67"/>
      <x:c r="AD109" s="69" t="str">
        <x:f>IF(AE109="","",AE109)</x:f>
      </x:c>
      <x:c r="AE109" s="71"/>
      <x:c r="AF109" s="73" t="str">
        <x:f>IF(AC109="","",1/AC109)</x:f>
      </x:c>
      <x:c r="AG109" s="61"/>
      <x:c r="AH109" s="61"/>
      <x:c r="AI109" s="64" t="str">
        <x:f>IF(OR(AC109="",AG109=""),"",AC109*AG109-1)</x:f>
      </x:c>
      <x:c r="AJ109" s="75" t="str">
        <x:f>IF(OR(G109="",F109=""),"",IF(AND(G109&gt;='Calibrare v2'!$B$35,F109&lt;='Calibrare v2'!$B$34),"PASS","FAIL"))</x:f>
      </x:c>
      <x:c r="AK109" s="75" t="str">
        <x:f>IF(AL109="","",AL109)</x:f>
      </x:c>
      <x:c r="AL109" s="77"/>
      <x:c r="AM109" s="77"/>
      <x:c r="AN109" s="64" t="str">
        <x:f>IF(OR(AC109="",P109=""),"",(AC109-P109)^2)</x:f>
      </x:c>
      <x:c r="AO109" s="64" t="str">
        <x:f>IF(OR(AG109="",AH109=""),"",AG109/AH109-1)</x:f>
      </x:c>
      <x:c r="AP109" s="61"/>
      <x:c r="AQ109" s="73" t="n">
        <x:f>IF(OR(AM109&lt;&gt;"PARIU U4,5",M109="",AP109="",AG109=""),0,IF(M109="UNDER",AP109*(AG109-1),-AP109))</x:f>
        <x:v>0</x:v>
      </x:c>
      <x:c r="AR109" s="51"/>
    </x:row>
    <x:row r="110">
      <x:c r="A110" s="9" t="str">
        <x:f>IF(D110="","",ROW()-1)</x:f>
      </x:c>
      <x:c r="B110" s="51"/>
      <x:c r="C110" s="51"/>
      <x:c r="D110" s="51"/>
      <x:c r="E110" s="9" t="str">
        <x:f>IF(D110="","",IF(AND(F110&lt;='Calibrare v2'!$B$33,G110&gt;=0.86),"DA – FEZABIL",IF(G110&gt;=0.8,"DA – PRUDENT","NU – EVITĂ")))</x:f>
      </x:c>
      <x:c r="F110" s="16" t="str">
        <x:f>IF(OR(W110="",X110=""),"",W110+X110)</x:f>
      </x:c>
      <x:c r="G110" s="28" t="str">
        <x:f>IF(F110="","",EXP(-F110)*(1+F110+F110^2/2+F110^3/6+F110^4/24))</x:f>
      </x:c>
      <x:c r="H110" s="53"/>
      <x:c r="I110" s="9" t="str">
        <x:f>IF(F110="","",IF(F110&lt;='Calibrare v2'!$B$33,"PASS","FAIL"))</x:f>
      </x:c>
      <x:c r="J110" s="51"/>
      <x:c r="K110" s="51"/>
      <x:c r="L110" s="9" t="str">
        <x:f>IF(OR(J110="",K110=""),"",J110+K110)</x:f>
      </x:c>
      <x:c r="M110" s="9" t="str">
        <x:f>IF(L110="","",IF(L110&lt;=4,"UNDER","OVER"))</x:f>
      </x:c>
      <x:c r="N110" s="9" t="str">
        <x:f>IF(E110="","",IF(LEFT(E110,2)="DA","PARIU U29,5","NO BET"))</x:f>
      </x:c>
      <x:c r="O110" s="9" t="str">
        <x:f>IF(M110="","",IF(AM110="PARIU U29,5",IF(M110="UNDER","SUCCES","EȘEC"),IF(M110="UNDER","FALS NEGATIV","EVITARE CORECTĂ")))</x:f>
      </x:c>
      <x:c r="P110" s="9" t="str">
        <x:f>IF(M110="","",IF(M110="UNDER",1,0))</x:f>
      </x:c>
      <x:c r="Q110" s="9" t="str">
        <x:f>IF(P110="","",(G110-P110)^2)</x:f>
      </x:c>
      <x:c r="R110" s="9" t="str">
        <x:f>IF(L110="","",L110-F110)</x:f>
      </x:c>
      <x:c r="S110" s="9" t="str">
        <x:f>IF(L110="","",IF(M110="UNDER","U29,5 reușit; total final "&amp;L110&amp;" vs λ="&amp;TEXT(F110,"0.00")&amp;".","Eșec U29,5; total final "&amp;L110&amp;" vs λ="&amp;TEXT(F110,"0.00")&amp;". Revizuiește Tail Risk, sursa λ și calibrarea."))</x:f>
      </x:c>
      <x:c r="T110" s="51"/>
      <x:c r="U110" s="51"/>
      <x:c r="V110" s="51"/>
      <x:c r="W110" s="61"/>
      <x:c r="X110" s="61"/>
      <x:c r="Y110" s="51"/>
      <x:c r="Z110" s="53"/>
      <x:c r="AA110" s="51"/>
      <x:c r="AB110" s="64" t="str">
        <x:f>IF(AC110="","",AC110)</x:f>
      </x:c>
      <x:c r="AC110" s="67"/>
      <x:c r="AD110" s="69" t="str">
        <x:f>IF(AE110="","",AE110)</x:f>
      </x:c>
      <x:c r="AE110" s="71"/>
      <x:c r="AF110" s="73" t="str">
        <x:f>IF(AC110="","",1/AC110)</x:f>
      </x:c>
      <x:c r="AG110" s="61"/>
      <x:c r="AH110" s="61"/>
      <x:c r="AI110" s="64" t="str">
        <x:f>IF(OR(AC110="",AG110=""),"",AC110*AG110-1)</x:f>
      </x:c>
      <x:c r="AJ110" s="75" t="str">
        <x:f>IF(OR(G110="",F110=""),"",IF(AND(G110&gt;='Calibrare v2'!$B$35,F110&lt;='Calibrare v2'!$B$34),"PASS","FAIL"))</x:f>
      </x:c>
      <x:c r="AK110" s="75" t="str">
        <x:f>IF(AL110="","",AL110)</x:f>
      </x:c>
      <x:c r="AL110" s="77"/>
      <x:c r="AM110" s="77"/>
      <x:c r="AN110" s="64" t="str">
        <x:f>IF(OR(AC110="",P110=""),"",(AC110-P110)^2)</x:f>
      </x:c>
      <x:c r="AO110" s="64" t="str">
        <x:f>IF(OR(AG110="",AH110=""),"",AG110/AH110-1)</x:f>
      </x:c>
      <x:c r="AP110" s="61"/>
      <x:c r="AQ110" s="73" t="n">
        <x:f>IF(OR(AM110&lt;&gt;"PARIU U4,5",M110="",AP110="",AG110=""),0,IF(M110="UNDER",AP110*(AG110-1),-AP110))</x:f>
        <x:v>0</x:v>
      </x:c>
      <x:c r="AR110" s="51"/>
    </x:row>
    <x:row r="111">
      <x:c r="A111" s="9" t="str">
        <x:f>IF(D111="","",ROW()-1)</x:f>
      </x:c>
      <x:c r="B111" s="51"/>
      <x:c r="C111" s="51"/>
      <x:c r="D111" s="51"/>
      <x:c r="E111" s="9" t="str">
        <x:f>IF(D111="","",IF(AND(F111&lt;='Calibrare v2'!$B$33,G111&gt;=0.86),"DA – FEZABIL",IF(G111&gt;=0.8,"DA – PRUDENT","NU – EVITĂ")))</x:f>
      </x:c>
      <x:c r="F111" s="16" t="str">
        <x:f>IF(OR(W111="",X111=""),"",W111+X111)</x:f>
      </x:c>
      <x:c r="G111" s="28" t="str">
        <x:f>IF(F111="","",EXP(-F111)*(1+F111+F111^2/2+F111^3/6+F111^4/24))</x:f>
      </x:c>
      <x:c r="H111" s="53"/>
      <x:c r="I111" s="9" t="str">
        <x:f>IF(F111="","",IF(F111&lt;='Calibrare v2'!$B$33,"PASS","FAIL"))</x:f>
      </x:c>
      <x:c r="J111" s="51"/>
      <x:c r="K111" s="51"/>
      <x:c r="L111" s="9" t="str">
        <x:f>IF(OR(J111="",K111=""),"",J111+K111)</x:f>
      </x:c>
      <x:c r="M111" s="9" t="str">
        <x:f>IF(L111="","",IF(L111&lt;=4,"UNDER","OVER"))</x:f>
      </x:c>
      <x:c r="N111" s="9" t="str">
        <x:f>IF(E111="","",IF(LEFT(E111,2)="DA","PARIU U30,5","NO BET"))</x:f>
      </x:c>
      <x:c r="O111" s="9" t="str">
        <x:f>IF(M111="","",IF(AM111="PARIU U30,5",IF(M111="UNDER","SUCCES","EȘEC"),IF(M111="UNDER","FALS NEGATIV","EVITARE CORECTĂ")))</x:f>
      </x:c>
      <x:c r="P111" s="9" t="str">
        <x:f>IF(M111="","",IF(M111="UNDER",1,0))</x:f>
      </x:c>
      <x:c r="Q111" s="9" t="str">
        <x:f>IF(P111="","",(G111-P111)^2)</x:f>
      </x:c>
      <x:c r="R111" s="9" t="str">
        <x:f>IF(L111="","",L111-F111)</x:f>
      </x:c>
      <x:c r="S111" s="9" t="str">
        <x:f>IF(L111="","",IF(M111="UNDER","U30,5 reușit; total final "&amp;L111&amp;" vs λ="&amp;TEXT(F111,"0.00")&amp;".","Eșec U30,5; total final "&amp;L111&amp;" vs λ="&amp;TEXT(F111,"0.00")&amp;". Revizuiește Tail Risk, sursa λ și calibrarea."))</x:f>
      </x:c>
      <x:c r="T111" s="51"/>
      <x:c r="U111" s="51"/>
      <x:c r="V111" s="51"/>
      <x:c r="W111" s="61"/>
      <x:c r="X111" s="61"/>
      <x:c r="Y111" s="51"/>
      <x:c r="Z111" s="53"/>
      <x:c r="AA111" s="51"/>
      <x:c r="AB111" s="64" t="str">
        <x:f>IF(AC111="","",AC111)</x:f>
      </x:c>
      <x:c r="AC111" s="67"/>
      <x:c r="AD111" s="69" t="str">
        <x:f>IF(AE111="","",AE111)</x:f>
      </x:c>
      <x:c r="AE111" s="71"/>
      <x:c r="AF111" s="73" t="str">
        <x:f>IF(AC111="","",1/AC111)</x:f>
      </x:c>
      <x:c r="AG111" s="61"/>
      <x:c r="AH111" s="61"/>
      <x:c r="AI111" s="64" t="str">
        <x:f>IF(OR(AC111="",AG111=""),"",AC111*AG111-1)</x:f>
      </x:c>
      <x:c r="AJ111" s="75" t="str">
        <x:f>IF(OR(G111="",F111=""),"",IF(AND(G111&gt;='Calibrare v2'!$B$35,F111&lt;='Calibrare v2'!$B$34),"PASS","FAIL"))</x:f>
      </x:c>
      <x:c r="AK111" s="75" t="str">
        <x:f>IF(AL111="","",AL111)</x:f>
      </x:c>
      <x:c r="AL111" s="77"/>
      <x:c r="AM111" s="77"/>
      <x:c r="AN111" s="64" t="str">
        <x:f>IF(OR(AC111="",P111=""),"",(AC111-P111)^2)</x:f>
      </x:c>
      <x:c r="AO111" s="64" t="str">
        <x:f>IF(OR(AG111="",AH111=""),"",AG111/AH111-1)</x:f>
      </x:c>
      <x:c r="AP111" s="61"/>
      <x:c r="AQ111" s="73" t="n">
        <x:f>IF(OR(AM111&lt;&gt;"PARIU U4,5",M111="",AP111="",AG111=""),0,IF(M111="UNDER",AP111*(AG111-1),-AP111))</x:f>
        <x:v>0</x:v>
      </x:c>
      <x:c r="AR111" s="51"/>
    </x:row>
    <x:row r="112">
      <x:c r="A112" s="9" t="str">
        <x:f>IF(D112="","",ROW()-1)</x:f>
      </x:c>
      <x:c r="B112" s="51"/>
      <x:c r="C112" s="51"/>
      <x:c r="D112" s="51"/>
      <x:c r="E112" s="9" t="str">
        <x:f>IF(D112="","",IF(AND(F112&lt;='Calibrare v2'!$B$33,G112&gt;=0.86),"DA – FEZABIL",IF(G112&gt;=0.8,"DA – PRUDENT","NU – EVITĂ")))</x:f>
      </x:c>
      <x:c r="F112" s="16" t="str">
        <x:f>IF(OR(W112="",X112=""),"",W112+X112)</x:f>
      </x:c>
      <x:c r="G112" s="28" t="str">
        <x:f>IF(F112="","",EXP(-F112)*(1+F112+F112^2/2+F112^3/6+F112^4/24))</x:f>
      </x:c>
      <x:c r="H112" s="53"/>
      <x:c r="I112" s="9" t="str">
        <x:f>IF(F112="","",IF(F112&lt;='Calibrare v2'!$B$33,"PASS","FAIL"))</x:f>
      </x:c>
      <x:c r="J112" s="51"/>
      <x:c r="K112" s="51"/>
      <x:c r="L112" s="9" t="str">
        <x:f>IF(OR(J112="",K112=""),"",J112+K112)</x:f>
      </x:c>
      <x:c r="M112" s="9" t="str">
        <x:f>IF(L112="","",IF(L112&lt;=4,"UNDER","OVER"))</x:f>
      </x:c>
      <x:c r="N112" s="9" t="str">
        <x:f>IF(E112="","",IF(LEFT(E112,2)="DA","PARIU U31,5","NO BET"))</x:f>
      </x:c>
      <x:c r="O112" s="9" t="str">
        <x:f>IF(M112="","",IF(AM112="PARIU U31,5",IF(M112="UNDER","SUCCES","EȘEC"),IF(M112="UNDER","FALS NEGATIV","EVITARE CORECTĂ")))</x:f>
      </x:c>
      <x:c r="P112" s="9" t="str">
        <x:f>IF(M112="","",IF(M112="UNDER",1,0))</x:f>
      </x:c>
      <x:c r="Q112" s="9" t="str">
        <x:f>IF(P112="","",(G112-P112)^2)</x:f>
      </x:c>
      <x:c r="R112" s="9" t="str">
        <x:f>IF(L112="","",L112-F112)</x:f>
      </x:c>
      <x:c r="S112" s="9" t="str">
        <x:f>IF(L112="","",IF(M112="UNDER","U31,5 reușit; total final "&amp;L112&amp;" vs λ="&amp;TEXT(F112,"0.00")&amp;".","Eșec U31,5; total final "&amp;L112&amp;" vs λ="&amp;TEXT(F112,"0.00")&amp;". Revizuiește Tail Risk, sursa λ și calibrarea."))</x:f>
      </x:c>
      <x:c r="T112" s="51"/>
      <x:c r="U112" s="51"/>
      <x:c r="V112" s="51"/>
      <x:c r="W112" s="61"/>
      <x:c r="X112" s="61"/>
      <x:c r="Y112" s="51"/>
      <x:c r="Z112" s="53"/>
      <x:c r="AA112" s="51"/>
      <x:c r="AB112" s="64" t="str">
        <x:f>IF(AC112="","",AC112)</x:f>
      </x:c>
      <x:c r="AC112" s="67"/>
      <x:c r="AD112" s="69" t="str">
        <x:f>IF(AE112="","",AE112)</x:f>
      </x:c>
      <x:c r="AE112" s="71"/>
      <x:c r="AF112" s="73" t="str">
        <x:f>IF(AC112="","",1/AC112)</x:f>
      </x:c>
      <x:c r="AG112" s="61"/>
      <x:c r="AH112" s="61"/>
      <x:c r="AI112" s="64" t="str">
        <x:f>IF(OR(AC112="",AG112=""),"",AC112*AG112-1)</x:f>
      </x:c>
      <x:c r="AJ112" s="75" t="str">
        <x:f>IF(OR(G112="",F112=""),"",IF(AND(G112&gt;='Calibrare v2'!$B$35,F112&lt;='Calibrare v2'!$B$34),"PASS","FAIL"))</x:f>
      </x:c>
      <x:c r="AK112" s="75" t="str">
        <x:f>IF(AL112="","",AL112)</x:f>
      </x:c>
      <x:c r="AL112" s="77"/>
      <x:c r="AM112" s="77"/>
      <x:c r="AN112" s="64" t="str">
        <x:f>IF(OR(AC112="",P112=""),"",(AC112-P112)^2)</x:f>
      </x:c>
      <x:c r="AO112" s="64" t="str">
        <x:f>IF(OR(AG112="",AH112=""),"",AG112/AH112-1)</x:f>
      </x:c>
      <x:c r="AP112" s="61"/>
      <x:c r="AQ112" s="73" t="n">
        <x:f>IF(OR(AM112&lt;&gt;"PARIU U4,5",M112="",AP112="",AG112=""),0,IF(M112="UNDER",AP112*(AG112-1),-AP112))</x:f>
        <x:v>0</x:v>
      </x:c>
      <x:c r="AR112" s="51"/>
    </x:row>
    <x:row r="113">
      <x:c r="A113" s="9" t="str">
        <x:f>IF(D113="","",ROW()-1)</x:f>
      </x:c>
      <x:c r="B113" s="51"/>
      <x:c r="C113" s="51"/>
      <x:c r="D113" s="51"/>
      <x:c r="E113" s="9" t="str">
        <x:f>IF(D113="","",IF(AND(F113&lt;='Calibrare v2'!$B$33,G113&gt;=0.86),"DA – FEZABIL",IF(G113&gt;=0.8,"DA – PRUDENT","NU – EVITĂ")))</x:f>
      </x:c>
      <x:c r="F113" s="16" t="str">
        <x:f>IF(OR(W113="",X113=""),"",W113+X113)</x:f>
      </x:c>
      <x:c r="G113" s="28" t="str">
        <x:f>IF(F113="","",EXP(-F113)*(1+F113+F113^2/2+F113^3/6+F113^4/24))</x:f>
      </x:c>
      <x:c r="H113" s="53"/>
      <x:c r="I113" s="9" t="str">
        <x:f>IF(F113="","",IF(F113&lt;='Calibrare v2'!$B$33,"PASS","FAIL"))</x:f>
      </x:c>
      <x:c r="J113" s="51"/>
      <x:c r="K113" s="51"/>
      <x:c r="L113" s="9" t="str">
        <x:f>IF(OR(J113="",K113=""),"",J113+K113)</x:f>
      </x:c>
      <x:c r="M113" s="9" t="str">
        <x:f>IF(L113="","",IF(L113&lt;=4,"UNDER","OVER"))</x:f>
      </x:c>
      <x:c r="N113" s="9" t="str">
        <x:f>IF(E113="","",IF(LEFT(E113,2)="DA","PARIU U32,5","NO BET"))</x:f>
      </x:c>
      <x:c r="O113" s="9" t="str">
        <x:f>IF(M113="","",IF(AM113="PARIU U32,5",IF(M113="UNDER","SUCCES","EȘEC"),IF(M113="UNDER","FALS NEGATIV","EVITARE CORECTĂ")))</x:f>
      </x:c>
      <x:c r="P113" s="9" t="str">
        <x:f>IF(M113="","",IF(M113="UNDER",1,0))</x:f>
      </x:c>
      <x:c r="Q113" s="9" t="str">
        <x:f>IF(P113="","",(G113-P113)^2)</x:f>
      </x:c>
      <x:c r="R113" s="9" t="str">
        <x:f>IF(L113="","",L113-F113)</x:f>
      </x:c>
      <x:c r="S113" s="9" t="str">
        <x:f>IF(L113="","",IF(M113="UNDER","U32,5 reușit; total final "&amp;L113&amp;" vs λ="&amp;TEXT(F113,"0.00")&amp;".","Eșec U32,5; total final "&amp;L113&amp;" vs λ="&amp;TEXT(F113,"0.00")&amp;". Revizuiește Tail Risk, sursa λ și calibrarea."))</x:f>
      </x:c>
      <x:c r="T113" s="51"/>
      <x:c r="U113" s="51"/>
      <x:c r="V113" s="51"/>
      <x:c r="W113" s="61"/>
      <x:c r="X113" s="61"/>
      <x:c r="Y113" s="51"/>
      <x:c r="Z113" s="53"/>
      <x:c r="AA113" s="51"/>
      <x:c r="AB113" s="64" t="str">
        <x:f>IF(AC113="","",AC113)</x:f>
      </x:c>
      <x:c r="AC113" s="67"/>
      <x:c r="AD113" s="69" t="str">
        <x:f>IF(AE113="","",AE113)</x:f>
      </x:c>
      <x:c r="AE113" s="71"/>
      <x:c r="AF113" s="73" t="str">
        <x:f>IF(AC113="","",1/AC113)</x:f>
      </x:c>
      <x:c r="AG113" s="61"/>
      <x:c r="AH113" s="61"/>
      <x:c r="AI113" s="64" t="str">
        <x:f>IF(OR(AC113="",AG113=""),"",AC113*AG113-1)</x:f>
      </x:c>
      <x:c r="AJ113" s="75" t="str">
        <x:f>IF(OR(G113="",F113=""),"",IF(AND(G113&gt;='Calibrare v2'!$B$35,F113&lt;='Calibrare v2'!$B$34),"PASS","FAIL"))</x:f>
      </x:c>
      <x:c r="AK113" s="75" t="str">
        <x:f>IF(AL113="","",AL113)</x:f>
      </x:c>
      <x:c r="AL113" s="77"/>
      <x:c r="AM113" s="77"/>
      <x:c r="AN113" s="64" t="str">
        <x:f>IF(OR(AC113="",P113=""),"",(AC113-P113)^2)</x:f>
      </x:c>
      <x:c r="AO113" s="64" t="str">
        <x:f>IF(OR(AG113="",AH113=""),"",AG113/AH113-1)</x:f>
      </x:c>
      <x:c r="AP113" s="61"/>
      <x:c r="AQ113" s="73" t="n">
        <x:f>IF(OR(AM113&lt;&gt;"PARIU U4,5",M113="",AP113="",AG113=""),0,IF(M113="UNDER",AP113*(AG113-1),-AP113))</x:f>
        <x:v>0</x:v>
      </x:c>
      <x:c r="AR113" s="51"/>
    </x:row>
    <x:row r="114">
      <x:c r="A114" s="9" t="str">
        <x:f>IF(D114="","",ROW()-1)</x:f>
      </x:c>
      <x:c r="B114" s="51"/>
      <x:c r="C114" s="51"/>
      <x:c r="D114" s="51"/>
      <x:c r="E114" s="9" t="str">
        <x:f>IF(D114="","",IF(AND(F114&lt;='Calibrare v2'!$B$33,G114&gt;=0.86),"DA – FEZABIL",IF(G114&gt;=0.8,"DA – PRUDENT","NU – EVITĂ")))</x:f>
      </x:c>
      <x:c r="F114" s="16" t="str">
        <x:f>IF(OR(W114="",X114=""),"",W114+X114)</x:f>
      </x:c>
      <x:c r="G114" s="28" t="str">
        <x:f>IF(F114="","",EXP(-F114)*(1+F114+F114^2/2+F114^3/6+F114^4/24))</x:f>
      </x:c>
      <x:c r="H114" s="53"/>
      <x:c r="I114" s="9" t="str">
        <x:f>IF(F114="","",IF(F114&lt;='Calibrare v2'!$B$33,"PASS","FAIL"))</x:f>
      </x:c>
      <x:c r="J114" s="51"/>
      <x:c r="K114" s="51"/>
      <x:c r="L114" s="9" t="str">
        <x:f>IF(OR(J114="",K114=""),"",J114+K114)</x:f>
      </x:c>
      <x:c r="M114" s="9" t="str">
        <x:f>IF(L114="","",IF(L114&lt;=4,"UNDER","OVER"))</x:f>
      </x:c>
      <x:c r="N114" s="9" t="str">
        <x:f>IF(E114="","",IF(LEFT(E114,2)="DA","PARIU U33,5","NO BET"))</x:f>
      </x:c>
      <x:c r="O114" s="9" t="str">
        <x:f>IF(M114="","",IF(AM114="PARIU U33,5",IF(M114="UNDER","SUCCES","EȘEC"),IF(M114="UNDER","FALS NEGATIV","EVITARE CORECTĂ")))</x:f>
      </x:c>
      <x:c r="P114" s="9" t="str">
        <x:f>IF(M114="","",IF(M114="UNDER",1,0))</x:f>
      </x:c>
      <x:c r="Q114" s="9" t="str">
        <x:f>IF(P114="","",(G114-P114)^2)</x:f>
      </x:c>
      <x:c r="R114" s="9" t="str">
        <x:f>IF(L114="","",L114-F114)</x:f>
      </x:c>
      <x:c r="S114" s="9" t="str">
        <x:f>IF(L114="","",IF(M114="UNDER","U33,5 reușit; total final "&amp;L114&amp;" vs λ="&amp;TEXT(F114,"0.00")&amp;".","Eșec U33,5; total final "&amp;L114&amp;" vs λ="&amp;TEXT(F114,"0.00")&amp;". Revizuiește Tail Risk, sursa λ și calibrarea."))</x:f>
      </x:c>
      <x:c r="T114" s="51"/>
      <x:c r="U114" s="51"/>
      <x:c r="V114" s="51"/>
      <x:c r="W114" s="61"/>
      <x:c r="X114" s="61"/>
      <x:c r="Y114" s="51"/>
      <x:c r="Z114" s="53"/>
      <x:c r="AA114" s="51"/>
      <x:c r="AB114" s="64" t="str">
        <x:f>IF(AC114="","",AC114)</x:f>
      </x:c>
      <x:c r="AC114" s="67"/>
      <x:c r="AD114" s="69" t="str">
        <x:f>IF(AE114="","",AE114)</x:f>
      </x:c>
      <x:c r="AE114" s="71"/>
      <x:c r="AF114" s="73" t="str">
        <x:f>IF(AC114="","",1/AC114)</x:f>
      </x:c>
      <x:c r="AG114" s="61"/>
      <x:c r="AH114" s="61"/>
      <x:c r="AI114" s="64" t="str">
        <x:f>IF(OR(AC114="",AG114=""),"",AC114*AG114-1)</x:f>
      </x:c>
      <x:c r="AJ114" s="75" t="str">
        <x:f>IF(OR(G114="",F114=""),"",IF(AND(G114&gt;='Calibrare v2'!$B$35,F114&lt;='Calibrare v2'!$B$34),"PASS","FAIL"))</x:f>
      </x:c>
      <x:c r="AK114" s="75" t="str">
        <x:f>IF(AL114="","",AL114)</x:f>
      </x:c>
      <x:c r="AL114" s="77"/>
      <x:c r="AM114" s="77"/>
      <x:c r="AN114" s="64" t="str">
        <x:f>IF(OR(AC114="",P114=""),"",(AC114-P114)^2)</x:f>
      </x:c>
      <x:c r="AO114" s="64" t="str">
        <x:f>IF(OR(AG114="",AH114=""),"",AG114/AH114-1)</x:f>
      </x:c>
      <x:c r="AP114" s="61"/>
      <x:c r="AQ114" s="73" t="n">
        <x:f>IF(OR(AM114&lt;&gt;"PARIU U4,5",M114="",AP114="",AG114=""),0,IF(M114="UNDER",AP114*(AG114-1),-AP114))</x:f>
        <x:v>0</x:v>
      </x:c>
      <x:c r="AR114" s="51"/>
    </x:row>
    <x:row r="115">
      <x:c r="A115" s="9" t="str">
        <x:f>IF(D115="","",ROW()-1)</x:f>
      </x:c>
      <x:c r="B115" s="51"/>
      <x:c r="C115" s="51"/>
      <x:c r="D115" s="51"/>
      <x:c r="E115" s="9" t="str">
        <x:f>IF(D115="","",IF(AND(F115&lt;='Calibrare v2'!$B$33,G115&gt;=0.86),"DA – FEZABIL",IF(G115&gt;=0.8,"DA – PRUDENT","NU – EVITĂ")))</x:f>
      </x:c>
      <x:c r="F115" s="16" t="str">
        <x:f>IF(OR(W115="",X115=""),"",W115+X115)</x:f>
      </x:c>
      <x:c r="G115" s="28" t="str">
        <x:f>IF(F115="","",EXP(-F115)*(1+F115+F115^2/2+F115^3/6+F115^4/24))</x:f>
      </x:c>
      <x:c r="H115" s="53"/>
      <x:c r="I115" s="9" t="str">
        <x:f>IF(F115="","",IF(F115&lt;='Calibrare v2'!$B$33,"PASS","FAIL"))</x:f>
      </x:c>
      <x:c r="J115" s="51"/>
      <x:c r="K115" s="51"/>
      <x:c r="L115" s="9" t="str">
        <x:f>IF(OR(J115="",K115=""),"",J115+K115)</x:f>
      </x:c>
      <x:c r="M115" s="9" t="str">
        <x:f>IF(L115="","",IF(L115&lt;=4,"UNDER","OVER"))</x:f>
      </x:c>
      <x:c r="N115" s="9" t="str">
        <x:f>IF(E115="","",IF(LEFT(E115,2)="DA","PARIU U34,5","NO BET"))</x:f>
      </x:c>
      <x:c r="O115" s="9" t="str">
        <x:f>IF(M115="","",IF(AM115="PARIU U34,5",IF(M115="UNDER","SUCCES","EȘEC"),IF(M115="UNDER","FALS NEGATIV","EVITARE CORECTĂ")))</x:f>
      </x:c>
      <x:c r="P115" s="9" t="str">
        <x:f>IF(M115="","",IF(M115="UNDER",1,0))</x:f>
      </x:c>
      <x:c r="Q115" s="9" t="str">
        <x:f>IF(P115="","",(G115-P115)^2)</x:f>
      </x:c>
      <x:c r="R115" s="9" t="str">
        <x:f>IF(L115="","",L115-F115)</x:f>
      </x:c>
      <x:c r="S115" s="9" t="str">
        <x:f>IF(L115="","",IF(M115="UNDER","U34,5 reușit; total final "&amp;L115&amp;" vs λ="&amp;TEXT(F115,"0.00")&amp;".","Eșec U34,5; total final "&amp;L115&amp;" vs λ="&amp;TEXT(F115,"0.00")&amp;". Revizuiește Tail Risk, sursa λ și calibrarea."))</x:f>
      </x:c>
      <x:c r="T115" s="51"/>
      <x:c r="U115" s="51"/>
      <x:c r="V115" s="51"/>
      <x:c r="W115" s="61"/>
      <x:c r="X115" s="61"/>
      <x:c r="Y115" s="51"/>
      <x:c r="Z115" s="53"/>
      <x:c r="AA115" s="51"/>
      <x:c r="AB115" s="64" t="str">
        <x:f>IF(AC115="","",AC115)</x:f>
      </x:c>
      <x:c r="AC115" s="67"/>
      <x:c r="AD115" s="69" t="str">
        <x:f>IF(AE115="","",AE115)</x:f>
      </x:c>
      <x:c r="AE115" s="71"/>
      <x:c r="AF115" s="73" t="str">
        <x:f>IF(AC115="","",1/AC115)</x:f>
      </x:c>
      <x:c r="AG115" s="61"/>
      <x:c r="AH115" s="61"/>
      <x:c r="AI115" s="64" t="str">
        <x:f>IF(OR(AC115="",AG115=""),"",AC115*AG115-1)</x:f>
      </x:c>
      <x:c r="AJ115" s="75" t="str">
        <x:f>IF(OR(G115="",F115=""),"",IF(AND(G115&gt;='Calibrare v2'!$B$35,F115&lt;='Calibrare v2'!$B$34),"PASS","FAIL"))</x:f>
      </x:c>
      <x:c r="AK115" s="75" t="str">
        <x:f>IF(AL115="","",AL115)</x:f>
      </x:c>
      <x:c r="AL115" s="77"/>
      <x:c r="AM115" s="77"/>
      <x:c r="AN115" s="64" t="str">
        <x:f>IF(OR(AC115="",P115=""),"",(AC115-P115)^2)</x:f>
      </x:c>
      <x:c r="AO115" s="64" t="str">
        <x:f>IF(OR(AG115="",AH115=""),"",AG115/AH115-1)</x:f>
      </x:c>
      <x:c r="AP115" s="61"/>
      <x:c r="AQ115" s="73" t="n">
        <x:f>IF(OR(AM115&lt;&gt;"PARIU U4,5",M115="",AP115="",AG115=""),0,IF(M115="UNDER",AP115*(AG115-1),-AP115))</x:f>
        <x:v>0</x:v>
      </x:c>
      <x:c r="AR115" s="51"/>
    </x:row>
    <x:row r="116">
      <x:c r="A116" s="9" t="str">
        <x:f>IF(D116="","",ROW()-1)</x:f>
      </x:c>
      <x:c r="B116" s="51"/>
      <x:c r="C116" s="51"/>
      <x:c r="D116" s="51"/>
      <x:c r="E116" s="9" t="str">
        <x:f>IF(D116="","",IF(AND(F116&lt;='Calibrare v2'!$B$33,G116&gt;=0.86),"DA – FEZABIL",IF(G116&gt;=0.8,"DA – PRUDENT","NU – EVITĂ")))</x:f>
      </x:c>
      <x:c r="F116" s="16" t="str">
        <x:f>IF(OR(W116="",X116=""),"",W116+X116)</x:f>
      </x:c>
      <x:c r="G116" s="28" t="str">
        <x:f>IF(F116="","",EXP(-F116)*(1+F116+F116^2/2+F116^3/6+F116^4/24))</x:f>
      </x:c>
      <x:c r="H116" s="53"/>
      <x:c r="I116" s="9" t="str">
        <x:f>IF(F116="","",IF(F116&lt;='Calibrare v2'!$B$33,"PASS","FAIL"))</x:f>
      </x:c>
      <x:c r="J116" s="51"/>
      <x:c r="K116" s="51"/>
      <x:c r="L116" s="9" t="str">
        <x:f>IF(OR(J116="",K116=""),"",J116+K116)</x:f>
      </x:c>
      <x:c r="M116" s="9" t="str">
        <x:f>IF(L116="","",IF(L116&lt;=4,"UNDER","OVER"))</x:f>
      </x:c>
      <x:c r="N116" s="9" t="str">
        <x:f>IF(E116="","",IF(LEFT(E116,2)="DA","PARIU U35,5","NO BET"))</x:f>
      </x:c>
      <x:c r="O116" s="9" t="str">
        <x:f>IF(M116="","",IF(AM116="PARIU U35,5",IF(M116="UNDER","SUCCES","EȘEC"),IF(M116="UNDER","FALS NEGATIV","EVITARE CORECTĂ")))</x:f>
      </x:c>
      <x:c r="P116" s="9" t="str">
        <x:f>IF(M116="","",IF(M116="UNDER",1,0))</x:f>
      </x:c>
      <x:c r="Q116" s="9" t="str">
        <x:f>IF(P116="","",(G116-P116)^2)</x:f>
      </x:c>
      <x:c r="R116" s="9" t="str">
        <x:f>IF(L116="","",L116-F116)</x:f>
      </x:c>
      <x:c r="S116" s="9" t="str">
        <x:f>IF(L116="","",IF(M116="UNDER","U35,5 reușit; total final "&amp;L116&amp;" vs λ="&amp;TEXT(F116,"0.00")&amp;".","Eșec U35,5; total final "&amp;L116&amp;" vs λ="&amp;TEXT(F116,"0.00")&amp;". Revizuiește Tail Risk, sursa λ și calibrarea."))</x:f>
      </x:c>
      <x:c r="T116" s="51"/>
      <x:c r="U116" s="51"/>
      <x:c r="V116" s="51"/>
      <x:c r="W116" s="61"/>
      <x:c r="X116" s="61"/>
      <x:c r="Y116" s="51"/>
      <x:c r="Z116" s="53"/>
      <x:c r="AA116" s="51"/>
      <x:c r="AB116" s="64" t="str">
        <x:f>IF(AC116="","",AC116)</x:f>
      </x:c>
      <x:c r="AC116" s="67"/>
      <x:c r="AD116" s="69" t="str">
        <x:f>IF(AE116="","",AE116)</x:f>
      </x:c>
      <x:c r="AE116" s="71"/>
      <x:c r="AF116" s="73" t="str">
        <x:f>IF(AC116="","",1/AC116)</x:f>
      </x:c>
      <x:c r="AG116" s="61"/>
      <x:c r="AH116" s="61"/>
      <x:c r="AI116" s="64" t="str">
        <x:f>IF(OR(AC116="",AG116=""),"",AC116*AG116-1)</x:f>
      </x:c>
      <x:c r="AJ116" s="75" t="str">
        <x:f>IF(OR(G116="",F116=""),"",IF(AND(G116&gt;='Calibrare v2'!$B$35,F116&lt;='Calibrare v2'!$B$34),"PASS","FAIL"))</x:f>
      </x:c>
      <x:c r="AK116" s="75" t="str">
        <x:f>IF(AL116="","",AL116)</x:f>
      </x:c>
      <x:c r="AL116" s="77"/>
      <x:c r="AM116" s="77"/>
      <x:c r="AN116" s="64" t="str">
        <x:f>IF(OR(AC116="",P116=""),"",(AC116-P116)^2)</x:f>
      </x:c>
      <x:c r="AO116" s="64" t="str">
        <x:f>IF(OR(AG116="",AH116=""),"",AG116/AH116-1)</x:f>
      </x:c>
      <x:c r="AP116" s="61"/>
      <x:c r="AQ116" s="73" t="n">
        <x:f>IF(OR(AM116&lt;&gt;"PARIU U4,5",M116="",AP116="",AG116=""),0,IF(M116="UNDER",AP116*(AG116-1),-AP116))</x:f>
        <x:v>0</x:v>
      </x:c>
      <x:c r="AR116" s="51"/>
    </x:row>
    <x:row r="117">
      <x:c r="A117" s="9" t="str">
        <x:f>IF(D117="","",ROW()-1)</x:f>
      </x:c>
      <x:c r="B117" s="51"/>
      <x:c r="C117" s="51"/>
      <x:c r="D117" s="51"/>
      <x:c r="E117" s="9" t="str">
        <x:f>IF(D117="","",IF(AND(F117&lt;='Calibrare v2'!$B$33,G117&gt;=0.86),"DA – FEZABIL",IF(G117&gt;=0.8,"DA – PRUDENT","NU – EVITĂ")))</x:f>
      </x:c>
      <x:c r="F117" s="16" t="str">
        <x:f>IF(OR(W117="",X117=""),"",W117+X117)</x:f>
      </x:c>
      <x:c r="G117" s="28" t="str">
        <x:f>IF(F117="","",EXP(-F117)*(1+F117+F117^2/2+F117^3/6+F117^4/24))</x:f>
      </x:c>
      <x:c r="H117" s="53"/>
      <x:c r="I117" s="9" t="str">
        <x:f>IF(F117="","",IF(F117&lt;='Calibrare v2'!$B$33,"PASS","FAIL"))</x:f>
      </x:c>
      <x:c r="J117" s="51"/>
      <x:c r="K117" s="51"/>
      <x:c r="L117" s="9" t="str">
        <x:f>IF(OR(J117="",K117=""),"",J117+K117)</x:f>
      </x:c>
      <x:c r="M117" s="9" t="str">
        <x:f>IF(L117="","",IF(L117&lt;=4,"UNDER","OVER"))</x:f>
      </x:c>
      <x:c r="N117" s="9" t="str">
        <x:f>IF(E117="","",IF(LEFT(E117,2)="DA","PARIU U36,5","NO BET"))</x:f>
      </x:c>
      <x:c r="O117" s="9" t="str">
        <x:f>IF(M117="","",IF(AM117="PARIU U36,5",IF(M117="UNDER","SUCCES","EȘEC"),IF(M117="UNDER","FALS NEGATIV","EVITARE CORECTĂ")))</x:f>
      </x:c>
      <x:c r="P117" s="9" t="str">
        <x:f>IF(M117="","",IF(M117="UNDER",1,0))</x:f>
      </x:c>
      <x:c r="Q117" s="9" t="str">
        <x:f>IF(P117="","",(G117-P117)^2)</x:f>
      </x:c>
      <x:c r="R117" s="9" t="str">
        <x:f>IF(L117="","",L117-F117)</x:f>
      </x:c>
      <x:c r="S117" s="9" t="str">
        <x:f>IF(L117="","",IF(M117="UNDER","U36,5 reușit; total final "&amp;L117&amp;" vs λ="&amp;TEXT(F117,"0.00")&amp;".","Eșec U36,5; total final "&amp;L117&amp;" vs λ="&amp;TEXT(F117,"0.00")&amp;". Revizuiește Tail Risk, sursa λ și calibrarea."))</x:f>
      </x:c>
      <x:c r="T117" s="51"/>
      <x:c r="U117" s="51"/>
      <x:c r="V117" s="51"/>
      <x:c r="W117" s="61"/>
      <x:c r="X117" s="61"/>
      <x:c r="Y117" s="51"/>
      <x:c r="Z117" s="53"/>
      <x:c r="AA117" s="51"/>
      <x:c r="AB117" s="64" t="str">
        <x:f>IF(AC117="","",AC117)</x:f>
      </x:c>
      <x:c r="AC117" s="67"/>
      <x:c r="AD117" s="69" t="str">
        <x:f>IF(AE117="","",AE117)</x:f>
      </x:c>
      <x:c r="AE117" s="71"/>
      <x:c r="AF117" s="73" t="str">
        <x:f>IF(AC117="","",1/AC117)</x:f>
      </x:c>
      <x:c r="AG117" s="61"/>
      <x:c r="AH117" s="61"/>
      <x:c r="AI117" s="64" t="str">
        <x:f>IF(OR(AC117="",AG117=""),"",AC117*AG117-1)</x:f>
      </x:c>
      <x:c r="AJ117" s="75" t="str">
        <x:f>IF(OR(G117="",F117=""),"",IF(AND(G117&gt;='Calibrare v2'!$B$35,F117&lt;='Calibrare v2'!$B$34),"PASS","FAIL"))</x:f>
      </x:c>
      <x:c r="AK117" s="75" t="str">
        <x:f>IF(AL117="","",AL117)</x:f>
      </x:c>
      <x:c r="AL117" s="77"/>
      <x:c r="AM117" s="77"/>
      <x:c r="AN117" s="64" t="str">
        <x:f>IF(OR(AC117="",P117=""),"",(AC117-P117)^2)</x:f>
      </x:c>
      <x:c r="AO117" s="64" t="str">
        <x:f>IF(OR(AG117="",AH117=""),"",AG117/AH117-1)</x:f>
      </x:c>
      <x:c r="AP117" s="61"/>
      <x:c r="AQ117" s="73" t="n">
        <x:f>IF(OR(AM117&lt;&gt;"PARIU U4,5",M117="",AP117="",AG117=""),0,IF(M117="UNDER",AP117*(AG117-1),-AP117))</x:f>
        <x:v>0</x:v>
      </x:c>
      <x:c r="AR117" s="51"/>
    </x:row>
    <x:row r="118">
      <x:c r="A118" s="9" t="str">
        <x:f>IF(D118="","",ROW()-1)</x:f>
      </x:c>
      <x:c r="B118" s="51"/>
      <x:c r="C118" s="51"/>
      <x:c r="D118" s="51"/>
      <x:c r="E118" s="9" t="str">
        <x:f>IF(D118="","",IF(AND(F118&lt;='Calibrare v2'!$B$33,G118&gt;=0.86),"DA – FEZABIL",IF(G118&gt;=0.8,"DA – PRUDENT","NU – EVITĂ")))</x:f>
      </x:c>
      <x:c r="F118" s="16" t="str">
        <x:f>IF(OR(W118="",X118=""),"",W118+X118)</x:f>
      </x:c>
      <x:c r="G118" s="28" t="str">
        <x:f>IF(F118="","",EXP(-F118)*(1+F118+F118^2/2+F118^3/6+F118^4/24))</x:f>
      </x:c>
      <x:c r="H118" s="53"/>
      <x:c r="I118" s="9" t="str">
        <x:f>IF(F118="","",IF(F118&lt;='Calibrare v2'!$B$33,"PASS","FAIL"))</x:f>
      </x:c>
      <x:c r="J118" s="51"/>
      <x:c r="K118" s="51"/>
      <x:c r="L118" s="9" t="str">
        <x:f>IF(OR(J118="",K118=""),"",J118+K118)</x:f>
      </x:c>
      <x:c r="M118" s="9" t="str">
        <x:f>IF(L118="","",IF(L118&lt;=4,"UNDER","OVER"))</x:f>
      </x:c>
      <x:c r="N118" s="9" t="str">
        <x:f>IF(E118="","",IF(LEFT(E118,2)="DA","PARIU U37,5","NO BET"))</x:f>
      </x:c>
      <x:c r="O118" s="9" t="str">
        <x:f>IF(M118="","",IF(AM118="PARIU U37,5",IF(M118="UNDER","SUCCES","EȘEC"),IF(M118="UNDER","FALS NEGATIV","EVITARE CORECTĂ")))</x:f>
      </x:c>
      <x:c r="P118" s="9" t="str">
        <x:f>IF(M118="","",IF(M118="UNDER",1,0))</x:f>
      </x:c>
      <x:c r="Q118" s="9" t="str">
        <x:f>IF(P118="","",(G118-P118)^2)</x:f>
      </x:c>
      <x:c r="R118" s="9" t="str">
        <x:f>IF(L118="","",L118-F118)</x:f>
      </x:c>
      <x:c r="S118" s="9" t="str">
        <x:f>IF(L118="","",IF(M118="UNDER","U37,5 reușit; total final "&amp;L118&amp;" vs λ="&amp;TEXT(F118,"0.00")&amp;".","Eșec U37,5; total final "&amp;L118&amp;" vs λ="&amp;TEXT(F118,"0.00")&amp;". Revizuiește Tail Risk, sursa λ și calibrarea."))</x:f>
      </x:c>
      <x:c r="T118" s="51"/>
      <x:c r="U118" s="51"/>
      <x:c r="V118" s="51"/>
      <x:c r="W118" s="61"/>
      <x:c r="X118" s="61"/>
      <x:c r="Y118" s="51"/>
      <x:c r="Z118" s="53"/>
      <x:c r="AA118" s="51"/>
      <x:c r="AB118" s="64" t="str">
        <x:f>IF(AC118="","",AC118)</x:f>
      </x:c>
      <x:c r="AC118" s="67"/>
      <x:c r="AD118" s="69" t="str">
        <x:f>IF(AE118="","",AE118)</x:f>
      </x:c>
      <x:c r="AE118" s="71"/>
      <x:c r="AF118" s="73" t="str">
        <x:f>IF(AC118="","",1/AC118)</x:f>
      </x:c>
      <x:c r="AG118" s="61"/>
      <x:c r="AH118" s="61"/>
      <x:c r="AI118" s="64" t="str">
        <x:f>IF(OR(AC118="",AG118=""),"",AC118*AG118-1)</x:f>
      </x:c>
      <x:c r="AJ118" s="75" t="str">
        <x:f>IF(OR(G118="",F118=""),"",IF(AND(G118&gt;='Calibrare v2'!$B$35,F118&lt;='Calibrare v2'!$B$34),"PASS","FAIL"))</x:f>
      </x:c>
      <x:c r="AK118" s="75" t="str">
        <x:f>IF(AL118="","",AL118)</x:f>
      </x:c>
      <x:c r="AL118" s="77"/>
      <x:c r="AM118" s="77"/>
      <x:c r="AN118" s="64" t="str">
        <x:f>IF(OR(AC118="",P118=""),"",(AC118-P118)^2)</x:f>
      </x:c>
      <x:c r="AO118" s="64" t="str">
        <x:f>IF(OR(AG118="",AH118=""),"",AG118/AH118-1)</x:f>
      </x:c>
      <x:c r="AP118" s="61"/>
      <x:c r="AQ118" s="73" t="n">
        <x:f>IF(OR(AM118&lt;&gt;"PARIU U4,5",M118="",AP118="",AG118=""),0,IF(M118="UNDER",AP118*(AG118-1),-AP118))</x:f>
        <x:v>0</x:v>
      </x:c>
      <x:c r="AR118" s="51"/>
    </x:row>
    <x:row r="119">
      <x:c r="A119" s="9" t="str">
        <x:f>IF(D119="","",ROW()-1)</x:f>
      </x:c>
      <x:c r="B119" s="51"/>
      <x:c r="C119" s="51"/>
      <x:c r="D119" s="51"/>
      <x:c r="E119" s="9" t="str">
        <x:f>IF(D119="","",IF(AND(F119&lt;='Calibrare v2'!$B$33,G119&gt;=0.86),"DA – FEZABIL",IF(G119&gt;=0.8,"DA – PRUDENT","NU – EVITĂ")))</x:f>
      </x:c>
      <x:c r="F119" s="16" t="str">
        <x:f>IF(OR(W119="",X119=""),"",W119+X119)</x:f>
      </x:c>
      <x:c r="G119" s="28" t="str">
        <x:f>IF(F119="","",EXP(-F119)*(1+F119+F119^2/2+F119^3/6+F119^4/24))</x:f>
      </x:c>
      <x:c r="H119" s="53"/>
      <x:c r="I119" s="9" t="str">
        <x:f>IF(F119="","",IF(F119&lt;='Calibrare v2'!$B$33,"PASS","FAIL"))</x:f>
      </x:c>
      <x:c r="J119" s="51"/>
      <x:c r="K119" s="51"/>
      <x:c r="L119" s="9" t="str">
        <x:f>IF(OR(J119="",K119=""),"",J119+K119)</x:f>
      </x:c>
      <x:c r="M119" s="9" t="str">
        <x:f>IF(L119="","",IF(L119&lt;=4,"UNDER","OVER"))</x:f>
      </x:c>
      <x:c r="N119" s="9" t="str">
        <x:f>IF(E119="","",IF(LEFT(E119,2)="DA","PARIU U38,5","NO BET"))</x:f>
      </x:c>
      <x:c r="O119" s="9" t="str">
        <x:f>IF(M119="","",IF(AM119="PARIU U38,5",IF(M119="UNDER","SUCCES","EȘEC"),IF(M119="UNDER","FALS NEGATIV","EVITARE CORECTĂ")))</x:f>
      </x:c>
      <x:c r="P119" s="9" t="str">
        <x:f>IF(M119="","",IF(M119="UNDER",1,0))</x:f>
      </x:c>
      <x:c r="Q119" s="9" t="str">
        <x:f>IF(P119="","",(G119-P119)^2)</x:f>
      </x:c>
      <x:c r="R119" s="9" t="str">
        <x:f>IF(L119="","",L119-F119)</x:f>
      </x:c>
      <x:c r="S119" s="9" t="str">
        <x:f>IF(L119="","",IF(M119="UNDER","U38,5 reușit; total final "&amp;L119&amp;" vs λ="&amp;TEXT(F119,"0.00")&amp;".","Eșec U38,5; total final "&amp;L119&amp;" vs λ="&amp;TEXT(F119,"0.00")&amp;". Revizuiește Tail Risk, sursa λ și calibrarea."))</x:f>
      </x:c>
      <x:c r="T119" s="51"/>
      <x:c r="U119" s="51"/>
      <x:c r="V119" s="51"/>
      <x:c r="W119" s="61"/>
      <x:c r="X119" s="61"/>
      <x:c r="Y119" s="51"/>
      <x:c r="Z119" s="53"/>
      <x:c r="AA119" s="51"/>
      <x:c r="AB119" s="64" t="str">
        <x:f>IF(AC119="","",AC119)</x:f>
      </x:c>
      <x:c r="AC119" s="67"/>
      <x:c r="AD119" s="69" t="str">
        <x:f>IF(AE119="","",AE119)</x:f>
      </x:c>
      <x:c r="AE119" s="71"/>
      <x:c r="AF119" s="73" t="str">
        <x:f>IF(AC119="","",1/AC119)</x:f>
      </x:c>
      <x:c r="AG119" s="61"/>
      <x:c r="AH119" s="61"/>
      <x:c r="AI119" s="64" t="str">
        <x:f>IF(OR(AC119="",AG119=""),"",AC119*AG119-1)</x:f>
      </x:c>
      <x:c r="AJ119" s="75" t="str">
        <x:f>IF(OR(G119="",F119=""),"",IF(AND(G119&gt;='Calibrare v2'!$B$35,F119&lt;='Calibrare v2'!$B$34),"PASS","FAIL"))</x:f>
      </x:c>
      <x:c r="AK119" s="75" t="str">
        <x:f>IF(AL119="","",AL119)</x:f>
      </x:c>
      <x:c r="AL119" s="77"/>
      <x:c r="AM119" s="77"/>
      <x:c r="AN119" s="64" t="str">
        <x:f>IF(OR(AC119="",P119=""),"",(AC119-P119)^2)</x:f>
      </x:c>
      <x:c r="AO119" s="64" t="str">
        <x:f>IF(OR(AG119="",AH119=""),"",AG119/AH119-1)</x:f>
      </x:c>
      <x:c r="AP119" s="61"/>
      <x:c r="AQ119" s="73" t="n">
        <x:f>IF(OR(AM119&lt;&gt;"PARIU U4,5",M119="",AP119="",AG119=""),0,IF(M119="UNDER",AP119*(AG119-1),-AP119))</x:f>
        <x:v>0</x:v>
      </x:c>
      <x:c r="AR119" s="51"/>
    </x:row>
    <x:row r="120">
      <x:c r="A120" s="9" t="str">
        <x:f>IF(D120="","",ROW()-1)</x:f>
      </x:c>
      <x:c r="B120" s="51"/>
      <x:c r="C120" s="51"/>
      <x:c r="D120" s="51"/>
      <x:c r="E120" s="9" t="str">
        <x:f>IF(D120="","",IF(AND(F120&lt;='Calibrare v2'!$B$33,G120&gt;=0.86),"DA – FEZABIL",IF(G120&gt;=0.8,"DA – PRUDENT","NU – EVITĂ")))</x:f>
      </x:c>
      <x:c r="F120" s="16" t="str">
        <x:f>IF(OR(W120="",X120=""),"",W120+X120)</x:f>
      </x:c>
      <x:c r="G120" s="28" t="str">
        <x:f>IF(F120="","",EXP(-F120)*(1+F120+F120^2/2+F120^3/6+F120^4/24))</x:f>
      </x:c>
      <x:c r="H120" s="53"/>
      <x:c r="I120" s="9" t="str">
        <x:f>IF(F120="","",IF(F120&lt;='Calibrare v2'!$B$33,"PASS","FAIL"))</x:f>
      </x:c>
      <x:c r="J120" s="51"/>
      <x:c r="K120" s="51"/>
      <x:c r="L120" s="9" t="str">
        <x:f>IF(OR(J120="",K120=""),"",J120+K120)</x:f>
      </x:c>
      <x:c r="M120" s="9" t="str">
        <x:f>IF(L120="","",IF(L120&lt;=4,"UNDER","OVER"))</x:f>
      </x:c>
      <x:c r="N120" s="9" t="str">
        <x:f>IF(E120="","",IF(LEFT(E120,2)="DA","PARIU U39,5","NO BET"))</x:f>
      </x:c>
      <x:c r="O120" s="9" t="str">
        <x:f>IF(M120="","",IF(AM120="PARIU U39,5",IF(M120="UNDER","SUCCES","EȘEC"),IF(M120="UNDER","FALS NEGATIV","EVITARE CORECTĂ")))</x:f>
      </x:c>
      <x:c r="P120" s="9" t="str">
        <x:f>IF(M120="","",IF(M120="UNDER",1,0))</x:f>
      </x:c>
      <x:c r="Q120" s="9" t="str">
        <x:f>IF(P120="","",(G120-P120)^2)</x:f>
      </x:c>
      <x:c r="R120" s="9" t="str">
        <x:f>IF(L120="","",L120-F120)</x:f>
      </x:c>
      <x:c r="S120" s="9" t="str">
        <x:f>IF(L120="","",IF(M120="UNDER","U39,5 reușit; total final "&amp;L120&amp;" vs λ="&amp;TEXT(F120,"0.00")&amp;".","Eșec U39,5; total final "&amp;L120&amp;" vs λ="&amp;TEXT(F120,"0.00")&amp;". Revizuiește Tail Risk, sursa λ și calibrarea."))</x:f>
      </x:c>
      <x:c r="T120" s="51"/>
      <x:c r="U120" s="51"/>
      <x:c r="V120" s="51"/>
      <x:c r="W120" s="61"/>
      <x:c r="X120" s="61"/>
      <x:c r="Y120" s="51"/>
      <x:c r="Z120" s="53"/>
      <x:c r="AA120" s="51"/>
      <x:c r="AB120" s="64" t="str">
        <x:f>IF(AC120="","",AC120)</x:f>
      </x:c>
      <x:c r="AC120" s="67"/>
      <x:c r="AD120" s="69" t="str">
        <x:f>IF(AE120="","",AE120)</x:f>
      </x:c>
      <x:c r="AE120" s="71"/>
      <x:c r="AF120" s="73" t="str">
        <x:f>IF(AC120="","",1/AC120)</x:f>
      </x:c>
      <x:c r="AG120" s="61"/>
      <x:c r="AH120" s="61"/>
      <x:c r="AI120" s="64" t="str">
        <x:f>IF(OR(AC120="",AG120=""),"",AC120*AG120-1)</x:f>
      </x:c>
      <x:c r="AJ120" s="75" t="str">
        <x:f>IF(OR(G120="",F120=""),"",IF(AND(G120&gt;='Calibrare v2'!$B$35,F120&lt;='Calibrare v2'!$B$34),"PASS","FAIL"))</x:f>
      </x:c>
      <x:c r="AK120" s="75" t="str">
        <x:f>IF(AL120="","",AL120)</x:f>
      </x:c>
      <x:c r="AL120" s="77"/>
      <x:c r="AM120" s="77"/>
      <x:c r="AN120" s="64" t="str">
        <x:f>IF(OR(AC120="",P120=""),"",(AC120-P120)^2)</x:f>
      </x:c>
      <x:c r="AO120" s="64" t="str">
        <x:f>IF(OR(AG120="",AH120=""),"",AG120/AH120-1)</x:f>
      </x:c>
      <x:c r="AP120" s="61"/>
      <x:c r="AQ120" s="73" t="n">
        <x:f>IF(OR(AM120&lt;&gt;"PARIU U4,5",M120="",AP120="",AG120=""),0,IF(M120="UNDER",AP120*(AG120-1),-AP120))</x:f>
        <x:v>0</x:v>
      </x:c>
      <x:c r="AR120" s="51"/>
    </x:row>
    <x:row r="121">
      <x:c r="A121" s="9" t="str">
        <x:f>IF(D121="","",ROW()-1)</x:f>
      </x:c>
      <x:c r="B121" s="51"/>
      <x:c r="C121" s="51"/>
      <x:c r="D121" s="51"/>
      <x:c r="E121" s="9" t="str">
        <x:f>IF(D121="","",IF(AND(F121&lt;='Calibrare v2'!$B$33,G121&gt;=0.86),"DA – FEZABIL",IF(G121&gt;=0.8,"DA – PRUDENT","NU – EVITĂ")))</x:f>
      </x:c>
      <x:c r="F121" s="16" t="str">
        <x:f>IF(OR(W121="",X121=""),"",W121+X121)</x:f>
      </x:c>
      <x:c r="G121" s="28" t="str">
        <x:f>IF(F121="","",EXP(-F121)*(1+F121+F121^2/2+F121^3/6+F121^4/24))</x:f>
      </x:c>
      <x:c r="H121" s="53"/>
      <x:c r="I121" s="9" t="str">
        <x:f>IF(F121="","",IF(F121&lt;='Calibrare v2'!$B$33,"PASS","FAIL"))</x:f>
      </x:c>
      <x:c r="J121" s="51"/>
      <x:c r="K121" s="51"/>
      <x:c r="L121" s="9" t="str">
        <x:f>IF(OR(J121="",K121=""),"",J121+K121)</x:f>
      </x:c>
      <x:c r="M121" s="9" t="str">
        <x:f>IF(L121="","",IF(L121&lt;=4,"UNDER","OVER"))</x:f>
      </x:c>
      <x:c r="N121" s="9" t="str">
        <x:f>IF(E121="","",IF(LEFT(E121,2)="DA","PARIU U40,5","NO BET"))</x:f>
      </x:c>
      <x:c r="O121" s="9" t="str">
        <x:f>IF(M121="","",IF(AM121="PARIU U40,5",IF(M121="UNDER","SUCCES","EȘEC"),IF(M121="UNDER","FALS NEGATIV","EVITARE CORECTĂ")))</x:f>
      </x:c>
      <x:c r="P121" s="9" t="str">
        <x:f>IF(M121="","",IF(M121="UNDER",1,0))</x:f>
      </x:c>
      <x:c r="Q121" s="9" t="str">
        <x:f>IF(P121="","",(G121-P121)^2)</x:f>
      </x:c>
      <x:c r="R121" s="9" t="str">
        <x:f>IF(L121="","",L121-F121)</x:f>
      </x:c>
      <x:c r="S121" s="9" t="str">
        <x:f>IF(L121="","",IF(M121="UNDER","U40,5 reușit; total final "&amp;L121&amp;" vs λ="&amp;TEXT(F121,"0.00")&amp;".","Eșec U40,5; total final "&amp;L121&amp;" vs λ="&amp;TEXT(F121,"0.00")&amp;". Revizuiește Tail Risk, sursa λ și calibrarea."))</x:f>
      </x:c>
      <x:c r="T121" s="51"/>
      <x:c r="U121" s="51"/>
      <x:c r="V121" s="51"/>
      <x:c r="W121" s="61"/>
      <x:c r="X121" s="61"/>
      <x:c r="Y121" s="51"/>
      <x:c r="Z121" s="53"/>
      <x:c r="AA121" s="51"/>
      <x:c r="AB121" s="64" t="str">
        <x:f>IF(AC121="","",AC121)</x:f>
      </x:c>
      <x:c r="AC121" s="67"/>
      <x:c r="AD121" s="69" t="str">
        <x:f>IF(AE121="","",AE121)</x:f>
      </x:c>
      <x:c r="AE121" s="71"/>
      <x:c r="AF121" s="73" t="str">
        <x:f>IF(AC121="","",1/AC121)</x:f>
      </x:c>
      <x:c r="AG121" s="61"/>
      <x:c r="AH121" s="61"/>
      <x:c r="AI121" s="64" t="str">
        <x:f>IF(OR(AC121="",AG121=""),"",AC121*AG121-1)</x:f>
      </x:c>
      <x:c r="AJ121" s="75" t="str">
        <x:f>IF(OR(G121="",F121=""),"",IF(AND(G121&gt;='Calibrare v2'!$B$35,F121&lt;='Calibrare v2'!$B$34),"PASS","FAIL"))</x:f>
      </x:c>
      <x:c r="AK121" s="75" t="str">
        <x:f>IF(AL121="","",AL121)</x:f>
      </x:c>
      <x:c r="AL121" s="77"/>
      <x:c r="AM121" s="77"/>
      <x:c r="AN121" s="64" t="str">
        <x:f>IF(OR(AC121="",P121=""),"",(AC121-P121)^2)</x:f>
      </x:c>
      <x:c r="AO121" s="64" t="str">
        <x:f>IF(OR(AG121="",AH121=""),"",AG121/AH121-1)</x:f>
      </x:c>
      <x:c r="AP121" s="61"/>
      <x:c r="AQ121" s="73" t="n">
        <x:f>IF(OR(AM121&lt;&gt;"PARIU U4,5",M121="",AP121="",AG121=""),0,IF(M121="UNDER",AP121*(AG121-1),-AP121))</x:f>
        <x:v>0</x:v>
      </x:c>
      <x:c r="AR121" s="51"/>
    </x:row>
    <x:row r="122">
      <x:c r="A122" s="9" t="str">
        <x:f>IF(D122="","",ROW()-1)</x:f>
      </x:c>
      <x:c r="B122" s="51"/>
      <x:c r="C122" s="51"/>
      <x:c r="D122" s="51"/>
      <x:c r="E122" s="9" t="str">
        <x:f>IF(D122="","",IF(AND(F122&lt;='Calibrare v2'!$B$33,G122&gt;=0.86),"DA – FEZABIL",IF(G122&gt;=0.8,"DA – PRUDENT","NU – EVITĂ")))</x:f>
      </x:c>
      <x:c r="F122" s="16" t="str">
        <x:f>IF(OR(W122="",X122=""),"",W122+X122)</x:f>
      </x:c>
      <x:c r="G122" s="28" t="str">
        <x:f>IF(F122="","",EXP(-F122)*(1+F122+F122^2/2+F122^3/6+F122^4/24))</x:f>
      </x:c>
      <x:c r="H122" s="53"/>
      <x:c r="I122" s="9" t="str">
        <x:f>IF(F122="","",IF(F122&lt;='Calibrare v2'!$B$33,"PASS","FAIL"))</x:f>
      </x:c>
      <x:c r="J122" s="51"/>
      <x:c r="K122" s="51"/>
      <x:c r="L122" s="9" t="str">
        <x:f>IF(OR(J122="",K122=""),"",J122+K122)</x:f>
      </x:c>
      <x:c r="M122" s="9" t="str">
        <x:f>IF(L122="","",IF(L122&lt;=4,"UNDER","OVER"))</x:f>
      </x:c>
      <x:c r="N122" s="9" t="str">
        <x:f>IF(E122="","",IF(LEFT(E122,2)="DA","PARIU U41,5","NO BET"))</x:f>
      </x:c>
      <x:c r="O122" s="9" t="str">
        <x:f>IF(M122="","",IF(AM122="PARIU U41,5",IF(M122="UNDER","SUCCES","EȘEC"),IF(M122="UNDER","FALS NEGATIV","EVITARE CORECTĂ")))</x:f>
      </x:c>
      <x:c r="P122" s="9" t="str">
        <x:f>IF(M122="","",IF(M122="UNDER",1,0))</x:f>
      </x:c>
      <x:c r="Q122" s="9" t="str">
        <x:f>IF(P122="","",(G122-P122)^2)</x:f>
      </x:c>
      <x:c r="R122" s="9" t="str">
        <x:f>IF(L122="","",L122-F122)</x:f>
      </x:c>
      <x:c r="S122" s="9" t="str">
        <x:f>IF(L122="","",IF(M122="UNDER","U41,5 reușit; total final "&amp;L122&amp;" vs λ="&amp;TEXT(F122,"0.00")&amp;".","Eșec U41,5; total final "&amp;L122&amp;" vs λ="&amp;TEXT(F122,"0.00")&amp;". Revizuiește Tail Risk, sursa λ și calibrarea."))</x:f>
      </x:c>
      <x:c r="T122" s="51"/>
      <x:c r="U122" s="51"/>
      <x:c r="V122" s="51"/>
      <x:c r="W122" s="61"/>
      <x:c r="X122" s="61"/>
      <x:c r="Y122" s="51"/>
      <x:c r="Z122" s="53"/>
      <x:c r="AA122" s="51"/>
      <x:c r="AB122" s="64" t="str">
        <x:f>IF(AC122="","",AC122)</x:f>
      </x:c>
      <x:c r="AC122" s="67"/>
      <x:c r="AD122" s="69" t="str">
        <x:f>IF(AE122="","",AE122)</x:f>
      </x:c>
      <x:c r="AE122" s="71"/>
      <x:c r="AF122" s="73" t="str">
        <x:f>IF(AC122="","",1/AC122)</x:f>
      </x:c>
      <x:c r="AG122" s="61"/>
      <x:c r="AH122" s="61"/>
      <x:c r="AI122" s="64" t="str">
        <x:f>IF(OR(AC122="",AG122=""),"",AC122*AG122-1)</x:f>
      </x:c>
      <x:c r="AJ122" s="75" t="str">
        <x:f>IF(OR(G122="",F122=""),"",IF(AND(G122&gt;='Calibrare v2'!$B$35,F122&lt;='Calibrare v2'!$B$34),"PASS","FAIL"))</x:f>
      </x:c>
      <x:c r="AK122" s="75" t="str">
        <x:f>IF(AL122="","",AL122)</x:f>
      </x:c>
      <x:c r="AL122" s="77"/>
      <x:c r="AM122" s="77"/>
      <x:c r="AN122" s="64" t="str">
        <x:f>IF(OR(AC122="",P122=""),"",(AC122-P122)^2)</x:f>
      </x:c>
      <x:c r="AO122" s="64" t="str">
        <x:f>IF(OR(AG122="",AH122=""),"",AG122/AH122-1)</x:f>
      </x:c>
      <x:c r="AP122" s="61"/>
      <x:c r="AQ122" s="73" t="n">
        <x:f>IF(OR(AM122&lt;&gt;"PARIU U4,5",M122="",AP122="",AG122=""),0,IF(M122="UNDER",AP122*(AG122-1),-AP122))</x:f>
        <x:v>0</x:v>
      </x:c>
      <x:c r="AR122" s="51"/>
    </x:row>
    <x:row r="123">
      <x:c r="A123" s="9" t="str">
        <x:f>IF(D123="","",ROW()-1)</x:f>
      </x:c>
      <x:c r="B123" s="51"/>
      <x:c r="C123" s="51"/>
      <x:c r="D123" s="51"/>
      <x:c r="E123" s="9" t="str">
        <x:f>IF(D123="","",IF(AND(F123&lt;='Calibrare v2'!$B$33,G123&gt;=0.86),"DA – FEZABIL",IF(G123&gt;=0.8,"DA – PRUDENT","NU – EVITĂ")))</x:f>
      </x:c>
      <x:c r="F123" s="16" t="str">
        <x:f>IF(OR(W123="",X123=""),"",W123+X123)</x:f>
      </x:c>
      <x:c r="G123" s="28" t="str">
        <x:f>IF(F123="","",EXP(-F123)*(1+F123+F123^2/2+F123^3/6+F123^4/24))</x:f>
      </x:c>
      <x:c r="H123" s="53"/>
      <x:c r="I123" s="9" t="str">
        <x:f>IF(F123="","",IF(F123&lt;='Calibrare v2'!$B$33,"PASS","FAIL"))</x:f>
      </x:c>
      <x:c r="J123" s="51"/>
      <x:c r="K123" s="51"/>
      <x:c r="L123" s="9" t="str">
        <x:f>IF(OR(J123="",K123=""),"",J123+K123)</x:f>
      </x:c>
      <x:c r="M123" s="9" t="str">
        <x:f>IF(L123="","",IF(L123&lt;=4,"UNDER","OVER"))</x:f>
      </x:c>
      <x:c r="N123" s="9" t="str">
        <x:f>IF(E123="","",IF(LEFT(E123,2)="DA","PARIU U42,5","NO BET"))</x:f>
      </x:c>
      <x:c r="O123" s="9" t="str">
        <x:f>IF(M123="","",IF(AM123="PARIU U42,5",IF(M123="UNDER","SUCCES","EȘEC"),IF(M123="UNDER","FALS NEGATIV","EVITARE CORECTĂ")))</x:f>
      </x:c>
      <x:c r="P123" s="9" t="str">
        <x:f>IF(M123="","",IF(M123="UNDER",1,0))</x:f>
      </x:c>
      <x:c r="Q123" s="9" t="str">
        <x:f>IF(P123="","",(G123-P123)^2)</x:f>
      </x:c>
      <x:c r="R123" s="9" t="str">
        <x:f>IF(L123="","",L123-F123)</x:f>
      </x:c>
      <x:c r="S123" s="9" t="str">
        <x:f>IF(L123="","",IF(M123="UNDER","U42,5 reușit; total final "&amp;L123&amp;" vs λ="&amp;TEXT(F123,"0.00")&amp;".","Eșec U42,5; total final "&amp;L123&amp;" vs λ="&amp;TEXT(F123,"0.00")&amp;". Revizuiește Tail Risk, sursa λ și calibrarea."))</x:f>
      </x:c>
      <x:c r="T123" s="51"/>
      <x:c r="U123" s="51"/>
      <x:c r="V123" s="51"/>
      <x:c r="W123" s="61"/>
      <x:c r="X123" s="61"/>
      <x:c r="Y123" s="51"/>
      <x:c r="Z123" s="53"/>
      <x:c r="AA123" s="51"/>
      <x:c r="AB123" s="64" t="str">
        <x:f>IF(AC123="","",AC123)</x:f>
      </x:c>
      <x:c r="AC123" s="67"/>
      <x:c r="AD123" s="69" t="str">
        <x:f>IF(AE123="","",AE123)</x:f>
      </x:c>
      <x:c r="AE123" s="71"/>
      <x:c r="AF123" s="73" t="str">
        <x:f>IF(AC123="","",1/AC123)</x:f>
      </x:c>
      <x:c r="AG123" s="61"/>
      <x:c r="AH123" s="61"/>
      <x:c r="AI123" s="64" t="str">
        <x:f>IF(OR(AC123="",AG123=""),"",AC123*AG123-1)</x:f>
      </x:c>
      <x:c r="AJ123" s="75" t="str">
        <x:f>IF(OR(G123="",F123=""),"",IF(AND(G123&gt;='Calibrare v2'!$B$35,F123&lt;='Calibrare v2'!$B$34),"PASS","FAIL"))</x:f>
      </x:c>
      <x:c r="AK123" s="75" t="str">
        <x:f>IF(AL123="","",AL123)</x:f>
      </x:c>
      <x:c r="AL123" s="77"/>
      <x:c r="AM123" s="77"/>
      <x:c r="AN123" s="64" t="str">
        <x:f>IF(OR(AC123="",P123=""),"",(AC123-P123)^2)</x:f>
      </x:c>
      <x:c r="AO123" s="64" t="str">
        <x:f>IF(OR(AG123="",AH123=""),"",AG123/AH123-1)</x:f>
      </x:c>
      <x:c r="AP123" s="61"/>
      <x:c r="AQ123" s="73" t="n">
        <x:f>IF(OR(AM123&lt;&gt;"PARIU U4,5",M123="",AP123="",AG123=""),0,IF(M123="UNDER",AP123*(AG123-1),-AP123))</x:f>
        <x:v>0</x:v>
      </x:c>
      <x:c r="AR123" s="51"/>
    </x:row>
    <x:row r="124">
      <x:c r="A124" s="9" t="str">
        <x:f>IF(D124="","",ROW()-1)</x:f>
      </x:c>
      <x:c r="B124" s="51"/>
      <x:c r="C124" s="51"/>
      <x:c r="D124" s="51"/>
      <x:c r="E124" s="9" t="str">
        <x:f>IF(D124="","",IF(AND(F124&lt;='Calibrare v2'!$B$33,G124&gt;=0.86),"DA – FEZABIL",IF(G124&gt;=0.8,"DA – PRUDENT","NU – EVITĂ")))</x:f>
      </x:c>
      <x:c r="F124" s="16" t="str">
        <x:f>IF(OR(W124="",X124=""),"",W124+X124)</x:f>
      </x:c>
      <x:c r="G124" s="28" t="str">
        <x:f>IF(F124="","",EXP(-F124)*(1+F124+F124^2/2+F124^3/6+F124^4/24))</x:f>
      </x:c>
      <x:c r="H124" s="53"/>
      <x:c r="I124" s="9" t="str">
        <x:f>IF(F124="","",IF(F124&lt;='Calibrare v2'!$B$33,"PASS","FAIL"))</x:f>
      </x:c>
      <x:c r="J124" s="51"/>
      <x:c r="K124" s="51"/>
      <x:c r="L124" s="9" t="str">
        <x:f>IF(OR(J124="",K124=""),"",J124+K124)</x:f>
      </x:c>
      <x:c r="M124" s="9" t="str">
        <x:f>IF(L124="","",IF(L124&lt;=4,"UNDER","OVER"))</x:f>
      </x:c>
      <x:c r="N124" s="9" t="str">
        <x:f>IF(E124="","",IF(LEFT(E124,2)="DA","PARIU U43,5","NO BET"))</x:f>
      </x:c>
      <x:c r="O124" s="9" t="str">
        <x:f>IF(M124="","",IF(AM124="PARIU U43,5",IF(M124="UNDER","SUCCES","EȘEC"),IF(M124="UNDER","FALS NEGATIV","EVITARE CORECTĂ")))</x:f>
      </x:c>
      <x:c r="P124" s="9" t="str">
        <x:f>IF(M124="","",IF(M124="UNDER",1,0))</x:f>
      </x:c>
      <x:c r="Q124" s="9" t="str">
        <x:f>IF(P124="","",(G124-P124)^2)</x:f>
      </x:c>
      <x:c r="R124" s="9" t="str">
        <x:f>IF(L124="","",L124-F124)</x:f>
      </x:c>
      <x:c r="S124" s="9" t="str">
        <x:f>IF(L124="","",IF(M124="UNDER","U43,5 reușit; total final "&amp;L124&amp;" vs λ="&amp;TEXT(F124,"0.00")&amp;".","Eșec U43,5; total final "&amp;L124&amp;" vs λ="&amp;TEXT(F124,"0.00")&amp;". Revizuiește Tail Risk, sursa λ și calibrarea."))</x:f>
      </x:c>
      <x:c r="T124" s="51"/>
      <x:c r="U124" s="51"/>
      <x:c r="V124" s="51"/>
      <x:c r="W124" s="61"/>
      <x:c r="X124" s="61"/>
      <x:c r="Y124" s="51"/>
      <x:c r="Z124" s="53"/>
      <x:c r="AA124" s="51"/>
      <x:c r="AB124" s="64" t="str">
        <x:f>IF(AC124="","",AC124)</x:f>
      </x:c>
      <x:c r="AC124" s="67"/>
      <x:c r="AD124" s="69" t="str">
        <x:f>IF(AE124="","",AE124)</x:f>
      </x:c>
      <x:c r="AE124" s="71"/>
      <x:c r="AF124" s="73" t="str">
        <x:f>IF(AC124="","",1/AC124)</x:f>
      </x:c>
      <x:c r="AG124" s="61"/>
      <x:c r="AH124" s="61"/>
      <x:c r="AI124" s="64" t="str">
        <x:f>IF(OR(AC124="",AG124=""),"",AC124*AG124-1)</x:f>
      </x:c>
      <x:c r="AJ124" s="75" t="str">
        <x:f>IF(OR(G124="",F124=""),"",IF(AND(G124&gt;='Calibrare v2'!$B$35,F124&lt;='Calibrare v2'!$B$34),"PASS","FAIL"))</x:f>
      </x:c>
      <x:c r="AK124" s="75" t="str">
        <x:f>IF(AL124="","",AL124)</x:f>
      </x:c>
      <x:c r="AL124" s="77"/>
      <x:c r="AM124" s="77"/>
      <x:c r="AN124" s="64" t="str">
        <x:f>IF(OR(AC124="",P124=""),"",(AC124-P124)^2)</x:f>
      </x:c>
      <x:c r="AO124" s="64" t="str">
        <x:f>IF(OR(AG124="",AH124=""),"",AG124/AH124-1)</x:f>
      </x:c>
      <x:c r="AP124" s="61"/>
      <x:c r="AQ124" s="73" t="n">
        <x:f>IF(OR(AM124&lt;&gt;"PARIU U4,5",M124="",AP124="",AG124=""),0,IF(M124="UNDER",AP124*(AG124-1),-AP124))</x:f>
        <x:v>0</x:v>
      </x:c>
      <x:c r="AR124" s="51"/>
    </x:row>
    <x:row r="125">
      <x:c r="A125" s="9" t="str">
        <x:f>IF(D125="","",ROW()-1)</x:f>
      </x:c>
      <x:c r="B125" s="51"/>
      <x:c r="C125" s="51"/>
      <x:c r="D125" s="51"/>
      <x:c r="E125" s="9" t="str">
        <x:f>IF(D125="","",IF(AND(F125&lt;='Calibrare v2'!$B$33,G125&gt;=0.86),"DA – FEZABIL",IF(G125&gt;=0.8,"DA – PRUDENT","NU – EVITĂ")))</x:f>
      </x:c>
      <x:c r="F125" s="16" t="str">
        <x:f>IF(OR(W125="",X125=""),"",W125+X125)</x:f>
      </x:c>
      <x:c r="G125" s="28" t="str">
        <x:f>IF(F125="","",EXP(-F125)*(1+F125+F125^2/2+F125^3/6+F125^4/24))</x:f>
      </x:c>
      <x:c r="H125" s="53"/>
      <x:c r="I125" s="9" t="str">
        <x:f>IF(F125="","",IF(F125&lt;='Calibrare v2'!$B$33,"PASS","FAIL"))</x:f>
      </x:c>
      <x:c r="J125" s="51"/>
      <x:c r="K125" s="51"/>
      <x:c r="L125" s="9" t="str">
        <x:f>IF(OR(J125="",K125=""),"",J125+K125)</x:f>
      </x:c>
      <x:c r="M125" s="9" t="str">
        <x:f>IF(L125="","",IF(L125&lt;=4,"UNDER","OVER"))</x:f>
      </x:c>
      <x:c r="N125" s="9" t="str">
        <x:f>IF(E125="","",IF(LEFT(E125,2)="DA","PARIU U44,5","NO BET"))</x:f>
      </x:c>
      <x:c r="O125" s="9" t="str">
        <x:f>IF(M125="","",IF(AM125="PARIU U44,5",IF(M125="UNDER","SUCCES","EȘEC"),IF(M125="UNDER","FALS NEGATIV","EVITARE CORECTĂ")))</x:f>
      </x:c>
      <x:c r="P125" s="9" t="str">
        <x:f>IF(M125="","",IF(M125="UNDER",1,0))</x:f>
      </x:c>
      <x:c r="Q125" s="9" t="str">
        <x:f>IF(P125="","",(G125-P125)^2)</x:f>
      </x:c>
      <x:c r="R125" s="9" t="str">
        <x:f>IF(L125="","",L125-F125)</x:f>
      </x:c>
      <x:c r="S125" s="9" t="str">
        <x:f>IF(L125="","",IF(M125="UNDER","U44,5 reușit; total final "&amp;L125&amp;" vs λ="&amp;TEXT(F125,"0.00")&amp;".","Eșec U44,5; total final "&amp;L125&amp;" vs λ="&amp;TEXT(F125,"0.00")&amp;". Revizuiește Tail Risk, sursa λ și calibrarea."))</x:f>
      </x:c>
      <x:c r="T125" s="51"/>
      <x:c r="U125" s="51"/>
      <x:c r="V125" s="51"/>
      <x:c r="W125" s="61"/>
      <x:c r="X125" s="61"/>
      <x:c r="Y125" s="51"/>
      <x:c r="Z125" s="53"/>
      <x:c r="AA125" s="51"/>
      <x:c r="AB125" s="64" t="str">
        <x:f>IF(AC125="","",AC125)</x:f>
      </x:c>
      <x:c r="AC125" s="67"/>
      <x:c r="AD125" s="69" t="str">
        <x:f>IF(AE125="","",AE125)</x:f>
      </x:c>
      <x:c r="AE125" s="71"/>
      <x:c r="AF125" s="73" t="str">
        <x:f>IF(AC125="","",1/AC125)</x:f>
      </x:c>
      <x:c r="AG125" s="61"/>
      <x:c r="AH125" s="61"/>
      <x:c r="AI125" s="64" t="str">
        <x:f>IF(OR(AC125="",AG125=""),"",AC125*AG125-1)</x:f>
      </x:c>
      <x:c r="AJ125" s="75" t="str">
        <x:f>IF(OR(G125="",F125=""),"",IF(AND(G125&gt;='Calibrare v2'!$B$35,F125&lt;='Calibrare v2'!$B$34),"PASS","FAIL"))</x:f>
      </x:c>
      <x:c r="AK125" s="75" t="str">
        <x:f>IF(AL125="","",AL125)</x:f>
      </x:c>
      <x:c r="AL125" s="77"/>
      <x:c r="AM125" s="77"/>
      <x:c r="AN125" s="64" t="str">
        <x:f>IF(OR(AC125="",P125=""),"",(AC125-P125)^2)</x:f>
      </x:c>
      <x:c r="AO125" s="64" t="str">
        <x:f>IF(OR(AG125="",AH125=""),"",AG125/AH125-1)</x:f>
      </x:c>
      <x:c r="AP125" s="61"/>
      <x:c r="AQ125" s="73" t="n">
        <x:f>IF(OR(AM125&lt;&gt;"PARIU U4,5",M125="",AP125="",AG125=""),0,IF(M125="UNDER",AP125*(AG125-1),-AP125))</x:f>
        <x:v>0</x:v>
      </x:c>
      <x:c r="AR125" s="51"/>
    </x:row>
    <x:row r="126">
      <x:c r="A126" s="9" t="str">
        <x:f>IF(D126="","",ROW()-1)</x:f>
      </x:c>
      <x:c r="B126" s="51"/>
      <x:c r="C126" s="51"/>
      <x:c r="D126" s="51"/>
      <x:c r="E126" s="9" t="str">
        <x:f>IF(D126="","",IF(AND(F126&lt;='Calibrare v2'!$B$33,G126&gt;=0.86),"DA – FEZABIL",IF(G126&gt;=0.8,"DA – PRUDENT","NU – EVITĂ")))</x:f>
      </x:c>
      <x:c r="F126" s="16" t="str">
        <x:f>IF(OR(W126="",X126=""),"",W126+X126)</x:f>
      </x:c>
      <x:c r="G126" s="28" t="str">
        <x:f>IF(F126="","",EXP(-F126)*(1+F126+F126^2/2+F126^3/6+F126^4/24))</x:f>
      </x:c>
      <x:c r="H126" s="53"/>
      <x:c r="I126" s="9" t="str">
        <x:f>IF(F126="","",IF(F126&lt;='Calibrare v2'!$B$33,"PASS","FAIL"))</x:f>
      </x:c>
      <x:c r="J126" s="51"/>
      <x:c r="K126" s="51"/>
      <x:c r="L126" s="9" t="str">
        <x:f>IF(OR(J126="",K126=""),"",J126+K126)</x:f>
      </x:c>
      <x:c r="M126" s="9" t="str">
        <x:f>IF(L126="","",IF(L126&lt;=4,"UNDER","OVER"))</x:f>
      </x:c>
      <x:c r="N126" s="9" t="str">
        <x:f>IF(E126="","",IF(LEFT(E126,2)="DA","PARIU U45,5","NO BET"))</x:f>
      </x:c>
      <x:c r="O126" s="9" t="str">
        <x:f>IF(M126="","",IF(AM126="PARIU U45,5",IF(M126="UNDER","SUCCES","EȘEC"),IF(M126="UNDER","FALS NEGATIV","EVITARE CORECTĂ")))</x:f>
      </x:c>
      <x:c r="P126" s="9" t="str">
        <x:f>IF(M126="","",IF(M126="UNDER",1,0))</x:f>
      </x:c>
      <x:c r="Q126" s="9" t="str">
        <x:f>IF(P126="","",(G126-P126)^2)</x:f>
      </x:c>
      <x:c r="R126" s="9" t="str">
        <x:f>IF(L126="","",L126-F126)</x:f>
      </x:c>
      <x:c r="S126" s="9" t="str">
        <x:f>IF(L126="","",IF(M126="UNDER","U45,5 reușit; total final "&amp;L126&amp;" vs λ="&amp;TEXT(F126,"0.00")&amp;".","Eșec U45,5; total final "&amp;L126&amp;" vs λ="&amp;TEXT(F126,"0.00")&amp;". Revizuiește Tail Risk, sursa λ și calibrarea."))</x:f>
      </x:c>
      <x:c r="T126" s="51"/>
      <x:c r="U126" s="51"/>
      <x:c r="V126" s="51"/>
      <x:c r="W126" s="61"/>
      <x:c r="X126" s="61"/>
      <x:c r="Y126" s="51"/>
      <x:c r="Z126" s="53"/>
      <x:c r="AA126" s="51"/>
      <x:c r="AB126" s="64" t="str">
        <x:f>IF(AC126="","",AC126)</x:f>
      </x:c>
      <x:c r="AC126" s="67"/>
      <x:c r="AD126" s="69" t="str">
        <x:f>IF(AE126="","",AE126)</x:f>
      </x:c>
      <x:c r="AE126" s="71"/>
      <x:c r="AF126" s="73" t="str">
        <x:f>IF(AC126="","",1/AC126)</x:f>
      </x:c>
      <x:c r="AG126" s="61"/>
      <x:c r="AH126" s="61"/>
      <x:c r="AI126" s="64" t="str">
        <x:f>IF(OR(AC126="",AG126=""),"",AC126*AG126-1)</x:f>
      </x:c>
      <x:c r="AJ126" s="75" t="str">
        <x:f>IF(OR(G126="",F126=""),"",IF(AND(G126&gt;='Calibrare v2'!$B$35,F126&lt;='Calibrare v2'!$B$34),"PASS","FAIL"))</x:f>
      </x:c>
      <x:c r="AK126" s="75" t="str">
        <x:f>IF(AL126="","",AL126)</x:f>
      </x:c>
      <x:c r="AL126" s="77"/>
      <x:c r="AM126" s="77"/>
      <x:c r="AN126" s="64" t="str">
        <x:f>IF(OR(AC126="",P126=""),"",(AC126-P126)^2)</x:f>
      </x:c>
      <x:c r="AO126" s="64" t="str">
        <x:f>IF(OR(AG126="",AH126=""),"",AG126/AH126-1)</x:f>
      </x:c>
      <x:c r="AP126" s="61"/>
      <x:c r="AQ126" s="73" t="n">
        <x:f>IF(OR(AM126&lt;&gt;"PARIU U4,5",M126="",AP126="",AG126=""),0,IF(M126="UNDER",AP126*(AG126-1),-AP126))</x:f>
        <x:v>0</x:v>
      </x:c>
      <x:c r="AR126" s="51"/>
    </x:row>
    <x:row r="127">
      <x:c r="A127" s="9" t="str">
        <x:f>IF(D127="","",ROW()-1)</x:f>
      </x:c>
      <x:c r="B127" s="51"/>
      <x:c r="C127" s="51"/>
      <x:c r="D127" s="51"/>
      <x:c r="E127" s="9" t="str">
        <x:f>IF(D127="","",IF(AND(F127&lt;='Calibrare v2'!$B$33,G127&gt;=0.86),"DA – FEZABIL",IF(G127&gt;=0.8,"DA – PRUDENT","NU – EVITĂ")))</x:f>
      </x:c>
      <x:c r="F127" s="16" t="str">
        <x:f>IF(OR(W127="",X127=""),"",W127+X127)</x:f>
      </x:c>
      <x:c r="G127" s="28" t="str">
        <x:f>IF(F127="","",EXP(-F127)*(1+F127+F127^2/2+F127^3/6+F127^4/24))</x:f>
      </x:c>
      <x:c r="H127" s="53"/>
      <x:c r="I127" s="9" t="str">
        <x:f>IF(F127="","",IF(F127&lt;='Calibrare v2'!$B$33,"PASS","FAIL"))</x:f>
      </x:c>
      <x:c r="J127" s="51"/>
      <x:c r="K127" s="51"/>
      <x:c r="L127" s="9" t="str">
        <x:f>IF(OR(J127="",K127=""),"",J127+K127)</x:f>
      </x:c>
      <x:c r="M127" s="9" t="str">
        <x:f>IF(L127="","",IF(L127&lt;=4,"UNDER","OVER"))</x:f>
      </x:c>
      <x:c r="N127" s="9" t="str">
        <x:f>IF(E127="","",IF(LEFT(E127,2)="DA","PARIU U46,5","NO BET"))</x:f>
      </x:c>
      <x:c r="O127" s="9" t="str">
        <x:f>IF(M127="","",IF(AM127="PARIU U46,5",IF(M127="UNDER","SUCCES","EȘEC"),IF(M127="UNDER","FALS NEGATIV","EVITARE CORECTĂ")))</x:f>
      </x:c>
      <x:c r="P127" s="9" t="str">
        <x:f>IF(M127="","",IF(M127="UNDER",1,0))</x:f>
      </x:c>
      <x:c r="Q127" s="9" t="str">
        <x:f>IF(P127="","",(G127-P127)^2)</x:f>
      </x:c>
      <x:c r="R127" s="9" t="str">
        <x:f>IF(L127="","",L127-F127)</x:f>
      </x:c>
      <x:c r="S127" s="9" t="str">
        <x:f>IF(L127="","",IF(M127="UNDER","U46,5 reușit; total final "&amp;L127&amp;" vs λ="&amp;TEXT(F127,"0.00")&amp;".","Eșec U46,5; total final "&amp;L127&amp;" vs λ="&amp;TEXT(F127,"0.00")&amp;". Revizuiește Tail Risk, sursa λ și calibrarea."))</x:f>
      </x:c>
      <x:c r="T127" s="51"/>
      <x:c r="U127" s="51"/>
      <x:c r="V127" s="51"/>
      <x:c r="W127" s="61"/>
      <x:c r="X127" s="61"/>
      <x:c r="Y127" s="51"/>
      <x:c r="Z127" s="53"/>
      <x:c r="AA127" s="51"/>
      <x:c r="AB127" s="64" t="str">
        <x:f>IF(AC127="","",AC127)</x:f>
      </x:c>
      <x:c r="AC127" s="67"/>
      <x:c r="AD127" s="69" t="str">
        <x:f>IF(AE127="","",AE127)</x:f>
      </x:c>
      <x:c r="AE127" s="71"/>
      <x:c r="AF127" s="73" t="str">
        <x:f>IF(AC127="","",1/AC127)</x:f>
      </x:c>
      <x:c r="AG127" s="61"/>
      <x:c r="AH127" s="61"/>
      <x:c r="AI127" s="64" t="str">
        <x:f>IF(OR(AC127="",AG127=""),"",AC127*AG127-1)</x:f>
      </x:c>
      <x:c r="AJ127" s="75" t="str">
        <x:f>IF(OR(G127="",F127=""),"",IF(AND(G127&gt;='Calibrare v2'!$B$35,F127&lt;='Calibrare v2'!$B$34),"PASS","FAIL"))</x:f>
      </x:c>
      <x:c r="AK127" s="75" t="str">
        <x:f>IF(AL127="","",AL127)</x:f>
      </x:c>
      <x:c r="AL127" s="77"/>
      <x:c r="AM127" s="77"/>
      <x:c r="AN127" s="64" t="str">
        <x:f>IF(OR(AC127="",P127=""),"",(AC127-P127)^2)</x:f>
      </x:c>
      <x:c r="AO127" s="64" t="str">
        <x:f>IF(OR(AG127="",AH127=""),"",AG127/AH127-1)</x:f>
      </x:c>
      <x:c r="AP127" s="61"/>
      <x:c r="AQ127" s="73" t="n">
        <x:f>IF(OR(AM127&lt;&gt;"PARIU U4,5",M127="",AP127="",AG127=""),0,IF(M127="UNDER",AP127*(AG127-1),-AP127))</x:f>
        <x:v>0</x:v>
      </x:c>
      <x:c r="AR127" s="51"/>
    </x:row>
    <x:row r="128">
      <x:c r="A128" s="9" t="str">
        <x:f>IF(D128="","",ROW()-1)</x:f>
      </x:c>
      <x:c r="B128" s="51"/>
      <x:c r="C128" s="51"/>
      <x:c r="D128" s="51"/>
      <x:c r="E128" s="9" t="str">
        <x:f>IF(D128="","",IF(AND(F128&lt;='Calibrare v2'!$B$33,G128&gt;=0.86),"DA – FEZABIL",IF(G128&gt;=0.8,"DA – PRUDENT","NU – EVITĂ")))</x:f>
      </x:c>
      <x:c r="F128" s="16" t="str">
        <x:f>IF(OR(W128="",X128=""),"",W128+X128)</x:f>
      </x:c>
      <x:c r="G128" s="28" t="str">
        <x:f>IF(F128="","",EXP(-F128)*(1+F128+F128^2/2+F128^3/6+F128^4/24))</x:f>
      </x:c>
      <x:c r="H128" s="53"/>
      <x:c r="I128" s="9" t="str">
        <x:f>IF(F128="","",IF(F128&lt;='Calibrare v2'!$B$33,"PASS","FAIL"))</x:f>
      </x:c>
      <x:c r="J128" s="51"/>
      <x:c r="K128" s="51"/>
      <x:c r="L128" s="9" t="str">
        <x:f>IF(OR(J128="",K128=""),"",J128+K128)</x:f>
      </x:c>
      <x:c r="M128" s="9" t="str">
        <x:f>IF(L128="","",IF(L128&lt;=4,"UNDER","OVER"))</x:f>
      </x:c>
      <x:c r="N128" s="9" t="str">
        <x:f>IF(E128="","",IF(LEFT(E128,2)="DA","PARIU U47,5","NO BET"))</x:f>
      </x:c>
      <x:c r="O128" s="9" t="str">
        <x:f>IF(M128="","",IF(AM128="PARIU U47,5",IF(M128="UNDER","SUCCES","EȘEC"),IF(M128="UNDER","FALS NEGATIV","EVITARE CORECTĂ")))</x:f>
      </x:c>
      <x:c r="P128" s="9" t="str">
        <x:f>IF(M128="","",IF(M128="UNDER",1,0))</x:f>
      </x:c>
      <x:c r="Q128" s="9" t="str">
        <x:f>IF(P128="","",(G128-P128)^2)</x:f>
      </x:c>
      <x:c r="R128" s="9" t="str">
        <x:f>IF(L128="","",L128-F128)</x:f>
      </x:c>
      <x:c r="S128" s="9" t="str">
        <x:f>IF(L128="","",IF(M128="UNDER","U47,5 reușit; total final "&amp;L128&amp;" vs λ="&amp;TEXT(F128,"0.00")&amp;".","Eșec U47,5; total final "&amp;L128&amp;" vs λ="&amp;TEXT(F128,"0.00")&amp;". Revizuiește Tail Risk, sursa λ și calibrarea."))</x:f>
      </x:c>
      <x:c r="T128" s="51"/>
      <x:c r="U128" s="51"/>
      <x:c r="V128" s="51"/>
      <x:c r="W128" s="61"/>
      <x:c r="X128" s="61"/>
      <x:c r="Y128" s="51"/>
      <x:c r="Z128" s="53"/>
      <x:c r="AA128" s="51"/>
      <x:c r="AB128" s="64" t="str">
        <x:f>IF(AC128="","",AC128)</x:f>
      </x:c>
      <x:c r="AC128" s="67"/>
      <x:c r="AD128" s="69" t="str">
        <x:f>IF(AE128="","",AE128)</x:f>
      </x:c>
      <x:c r="AE128" s="71"/>
      <x:c r="AF128" s="73" t="str">
        <x:f>IF(AC128="","",1/AC128)</x:f>
      </x:c>
      <x:c r="AG128" s="61"/>
      <x:c r="AH128" s="61"/>
      <x:c r="AI128" s="64" t="str">
        <x:f>IF(OR(AC128="",AG128=""),"",AC128*AG128-1)</x:f>
      </x:c>
      <x:c r="AJ128" s="75" t="str">
        <x:f>IF(OR(G128="",F128=""),"",IF(AND(G128&gt;='Calibrare v2'!$B$35,F128&lt;='Calibrare v2'!$B$34),"PASS","FAIL"))</x:f>
      </x:c>
      <x:c r="AK128" s="75" t="str">
        <x:f>IF(AL128="","",AL128)</x:f>
      </x:c>
      <x:c r="AL128" s="77"/>
      <x:c r="AM128" s="77"/>
      <x:c r="AN128" s="64" t="str">
        <x:f>IF(OR(AC128="",P128=""),"",(AC128-P128)^2)</x:f>
      </x:c>
      <x:c r="AO128" s="64" t="str">
        <x:f>IF(OR(AG128="",AH128=""),"",AG128/AH128-1)</x:f>
      </x:c>
      <x:c r="AP128" s="61"/>
      <x:c r="AQ128" s="73" t="n">
        <x:f>IF(OR(AM128&lt;&gt;"PARIU U4,5",M128="",AP128="",AG128=""),0,IF(M128="UNDER",AP128*(AG128-1),-AP128))</x:f>
        <x:v>0</x:v>
      </x:c>
      <x:c r="AR128" s="51"/>
    </x:row>
    <x:row r="129">
      <x:c r="A129" s="9" t="str">
        <x:f>IF(D129="","",ROW()-1)</x:f>
      </x:c>
      <x:c r="B129" s="51"/>
      <x:c r="C129" s="51"/>
      <x:c r="D129" s="51"/>
      <x:c r="E129" s="9" t="str">
        <x:f>IF(D129="","",IF(AND(F129&lt;='Calibrare v2'!$B$33,G129&gt;=0.86),"DA – FEZABIL",IF(G129&gt;=0.8,"DA – PRUDENT","NU – EVITĂ")))</x:f>
      </x:c>
      <x:c r="F129" s="16" t="str">
        <x:f>IF(OR(W129="",X129=""),"",W129+X129)</x:f>
      </x:c>
      <x:c r="G129" s="28" t="str">
        <x:f>IF(F129="","",EXP(-F129)*(1+F129+F129^2/2+F129^3/6+F129^4/24))</x:f>
      </x:c>
      <x:c r="H129" s="53"/>
      <x:c r="I129" s="9" t="str">
        <x:f>IF(F129="","",IF(F129&lt;='Calibrare v2'!$B$33,"PASS","FAIL"))</x:f>
      </x:c>
      <x:c r="J129" s="51"/>
      <x:c r="K129" s="51"/>
      <x:c r="L129" s="9" t="str">
        <x:f>IF(OR(J129="",K129=""),"",J129+K129)</x:f>
      </x:c>
      <x:c r="M129" s="9" t="str">
        <x:f>IF(L129="","",IF(L129&lt;=4,"UNDER","OVER"))</x:f>
      </x:c>
      <x:c r="N129" s="9" t="str">
        <x:f>IF(E129="","",IF(LEFT(E129,2)="DA","PARIU U48,5","NO BET"))</x:f>
      </x:c>
      <x:c r="O129" s="9" t="str">
        <x:f>IF(M129="","",IF(AM129="PARIU U48,5",IF(M129="UNDER","SUCCES","EȘEC"),IF(M129="UNDER","FALS NEGATIV","EVITARE CORECTĂ")))</x:f>
      </x:c>
      <x:c r="P129" s="9" t="str">
        <x:f>IF(M129="","",IF(M129="UNDER",1,0))</x:f>
      </x:c>
      <x:c r="Q129" s="9" t="str">
        <x:f>IF(P129="","",(G129-P129)^2)</x:f>
      </x:c>
      <x:c r="R129" s="9" t="str">
        <x:f>IF(L129="","",L129-F129)</x:f>
      </x:c>
      <x:c r="S129" s="9" t="str">
        <x:f>IF(L129="","",IF(M129="UNDER","U48,5 reușit; total final "&amp;L129&amp;" vs λ="&amp;TEXT(F129,"0.00")&amp;".","Eșec U48,5; total final "&amp;L129&amp;" vs λ="&amp;TEXT(F129,"0.00")&amp;". Revizuiește Tail Risk, sursa λ și calibrarea."))</x:f>
      </x:c>
      <x:c r="T129" s="51"/>
      <x:c r="U129" s="51"/>
      <x:c r="V129" s="51"/>
      <x:c r="W129" s="61"/>
      <x:c r="X129" s="61"/>
      <x:c r="Y129" s="51"/>
      <x:c r="Z129" s="53"/>
      <x:c r="AA129" s="51"/>
      <x:c r="AB129" s="64" t="str">
        <x:f>IF(AC129="","",AC129)</x:f>
      </x:c>
      <x:c r="AC129" s="67"/>
      <x:c r="AD129" s="69" t="str">
        <x:f>IF(AE129="","",AE129)</x:f>
      </x:c>
      <x:c r="AE129" s="71"/>
      <x:c r="AF129" s="73" t="str">
        <x:f>IF(AC129="","",1/AC129)</x:f>
      </x:c>
      <x:c r="AG129" s="61"/>
      <x:c r="AH129" s="61"/>
      <x:c r="AI129" s="64" t="str">
        <x:f>IF(OR(AC129="",AG129=""),"",AC129*AG129-1)</x:f>
      </x:c>
      <x:c r="AJ129" s="75" t="str">
        <x:f>IF(OR(G129="",F129=""),"",IF(AND(G129&gt;='Calibrare v2'!$B$35,F129&lt;='Calibrare v2'!$B$34),"PASS","FAIL"))</x:f>
      </x:c>
      <x:c r="AK129" s="75" t="str">
        <x:f>IF(AL129="","",AL129)</x:f>
      </x:c>
      <x:c r="AL129" s="77"/>
      <x:c r="AM129" s="77"/>
      <x:c r="AN129" s="64" t="str">
        <x:f>IF(OR(AC129="",P129=""),"",(AC129-P129)^2)</x:f>
      </x:c>
      <x:c r="AO129" s="64" t="str">
        <x:f>IF(OR(AG129="",AH129=""),"",AG129/AH129-1)</x:f>
      </x:c>
      <x:c r="AP129" s="61"/>
      <x:c r="AQ129" s="73" t="n">
        <x:f>IF(OR(AM129&lt;&gt;"PARIU U4,5",M129="",AP129="",AG129=""),0,IF(M129="UNDER",AP129*(AG129-1),-AP129))</x:f>
        <x:v>0</x:v>
      </x:c>
      <x:c r="AR129" s="51"/>
    </x:row>
    <x:row r="130">
      <x:c r="A130" s="9" t="str">
        <x:f>IF(D130="","",ROW()-1)</x:f>
      </x:c>
      <x:c r="B130" s="51"/>
      <x:c r="C130" s="51"/>
      <x:c r="D130" s="51"/>
      <x:c r="E130" s="9" t="str">
        <x:f>IF(D130="","",IF(AND(F130&lt;='Calibrare v2'!$B$33,G130&gt;=0.86),"DA – FEZABIL",IF(G130&gt;=0.8,"DA – PRUDENT","NU – EVITĂ")))</x:f>
      </x:c>
      <x:c r="F130" s="16" t="str">
        <x:f>IF(OR(W130="",X130=""),"",W130+X130)</x:f>
      </x:c>
      <x:c r="G130" s="28" t="str">
        <x:f>IF(F130="","",EXP(-F130)*(1+F130+F130^2/2+F130^3/6+F130^4/24))</x:f>
      </x:c>
      <x:c r="H130" s="53"/>
      <x:c r="I130" s="9" t="str">
        <x:f>IF(F130="","",IF(F130&lt;='Calibrare v2'!$B$33,"PASS","FAIL"))</x:f>
      </x:c>
      <x:c r="J130" s="51"/>
      <x:c r="K130" s="51"/>
      <x:c r="L130" s="9" t="str">
        <x:f>IF(OR(J130="",K130=""),"",J130+K130)</x:f>
      </x:c>
      <x:c r="M130" s="9" t="str">
        <x:f>IF(L130="","",IF(L130&lt;=4,"UNDER","OVER"))</x:f>
      </x:c>
      <x:c r="N130" s="9" t="str">
        <x:f>IF(E130="","",IF(LEFT(E130,2)="DA","PARIU U49,5","NO BET"))</x:f>
      </x:c>
      <x:c r="O130" s="9" t="str">
        <x:f>IF(M130="","",IF(AM130="PARIU U49,5",IF(M130="UNDER","SUCCES","EȘEC"),IF(M130="UNDER","FALS NEGATIV","EVITARE CORECTĂ")))</x:f>
      </x:c>
      <x:c r="P130" s="9" t="str">
        <x:f>IF(M130="","",IF(M130="UNDER",1,0))</x:f>
      </x:c>
      <x:c r="Q130" s="9" t="str">
        <x:f>IF(P130="","",(G130-P130)^2)</x:f>
      </x:c>
      <x:c r="R130" s="9" t="str">
        <x:f>IF(L130="","",L130-F130)</x:f>
      </x:c>
      <x:c r="S130" s="9" t="str">
        <x:f>IF(L130="","",IF(M130="UNDER","U49,5 reușit; total final "&amp;L130&amp;" vs λ="&amp;TEXT(F130,"0.00")&amp;".","Eșec U49,5; total final "&amp;L130&amp;" vs λ="&amp;TEXT(F130,"0.00")&amp;". Revizuiește Tail Risk, sursa λ și calibrarea."))</x:f>
      </x:c>
      <x:c r="T130" s="51"/>
      <x:c r="U130" s="51"/>
      <x:c r="V130" s="51"/>
      <x:c r="W130" s="61"/>
      <x:c r="X130" s="61"/>
      <x:c r="Y130" s="51"/>
      <x:c r="Z130" s="53"/>
      <x:c r="AA130" s="51"/>
      <x:c r="AB130" s="64" t="str">
        <x:f>IF(AC130="","",AC130)</x:f>
      </x:c>
      <x:c r="AC130" s="67"/>
      <x:c r="AD130" s="69" t="str">
        <x:f>IF(AE130="","",AE130)</x:f>
      </x:c>
      <x:c r="AE130" s="71"/>
      <x:c r="AF130" s="73" t="str">
        <x:f>IF(AC130="","",1/AC130)</x:f>
      </x:c>
      <x:c r="AG130" s="61"/>
      <x:c r="AH130" s="61"/>
      <x:c r="AI130" s="64" t="str">
        <x:f>IF(OR(AC130="",AG130=""),"",AC130*AG130-1)</x:f>
      </x:c>
      <x:c r="AJ130" s="75" t="str">
        <x:f>IF(OR(G130="",F130=""),"",IF(AND(G130&gt;='Calibrare v2'!$B$35,F130&lt;='Calibrare v2'!$B$34),"PASS","FAIL"))</x:f>
      </x:c>
      <x:c r="AK130" s="75" t="str">
        <x:f>IF(AL130="","",AL130)</x:f>
      </x:c>
      <x:c r="AL130" s="77"/>
      <x:c r="AM130" s="77"/>
      <x:c r="AN130" s="64" t="str">
        <x:f>IF(OR(AC130="",P130=""),"",(AC130-P130)^2)</x:f>
      </x:c>
      <x:c r="AO130" s="64" t="str">
        <x:f>IF(OR(AG130="",AH130=""),"",AG130/AH130-1)</x:f>
      </x:c>
      <x:c r="AP130" s="61"/>
      <x:c r="AQ130" s="73" t="n">
        <x:f>IF(OR(AM130&lt;&gt;"PARIU U4,5",M130="",AP130="",AG130=""),0,IF(M130="UNDER",AP130*(AG130-1),-AP130))</x:f>
        <x:v>0</x:v>
      </x:c>
      <x:c r="AR130" s="51"/>
    </x:row>
    <x:row r="131">
      <x:c r="A131" s="9" t="str">
        <x:f>IF(D131="","",ROW()-1)</x:f>
      </x:c>
      <x:c r="B131" s="51"/>
      <x:c r="C131" s="51"/>
      <x:c r="D131" s="51"/>
      <x:c r="E131" s="9" t="str">
        <x:f>IF(D131="","",IF(AND(F131&lt;='Calibrare v2'!$B$33,G131&gt;=0.86),"DA – FEZABIL",IF(G131&gt;=0.8,"DA – PRUDENT","NU – EVITĂ")))</x:f>
      </x:c>
      <x:c r="F131" s="16" t="str">
        <x:f>IF(OR(W131="",X131=""),"",W131+X131)</x:f>
      </x:c>
      <x:c r="G131" s="28" t="str">
        <x:f>IF(F131="","",EXP(-F131)*(1+F131+F131^2/2+F131^3/6+F131^4/24))</x:f>
      </x:c>
      <x:c r="H131" s="53"/>
      <x:c r="I131" s="9" t="str">
        <x:f>IF(F131="","",IF(F131&lt;='Calibrare v2'!$B$33,"PASS","FAIL"))</x:f>
      </x:c>
      <x:c r="J131" s="51"/>
      <x:c r="K131" s="51"/>
      <x:c r="L131" s="9" t="str">
        <x:f>IF(OR(J131="",K131=""),"",J131+K131)</x:f>
      </x:c>
      <x:c r="M131" s="9" t="str">
        <x:f>IF(L131="","",IF(L131&lt;=4,"UNDER","OVER"))</x:f>
      </x:c>
      <x:c r="N131" s="9" t="str">
        <x:f>IF(E131="","",IF(LEFT(E131,2)="DA","PARIU U50,5","NO BET"))</x:f>
      </x:c>
      <x:c r="O131" s="9" t="str">
        <x:f>IF(M131="","",IF(AM131="PARIU U50,5",IF(M131="UNDER","SUCCES","EȘEC"),IF(M131="UNDER","FALS NEGATIV","EVITARE CORECTĂ")))</x:f>
      </x:c>
      <x:c r="P131" s="9" t="str">
        <x:f>IF(M131="","",IF(M131="UNDER",1,0))</x:f>
      </x:c>
      <x:c r="Q131" s="9" t="str">
        <x:f>IF(P131="","",(G131-P131)^2)</x:f>
      </x:c>
      <x:c r="R131" s="9" t="str">
        <x:f>IF(L131="","",L131-F131)</x:f>
      </x:c>
      <x:c r="S131" s="9" t="str">
        <x:f>IF(L131="","",IF(M131="UNDER","U50,5 reușit; total final "&amp;L131&amp;" vs λ="&amp;TEXT(F131,"0.00")&amp;".","Eșec U50,5; total final "&amp;L131&amp;" vs λ="&amp;TEXT(F131,"0.00")&amp;". Revizuiește Tail Risk, sursa λ și calibrarea."))</x:f>
      </x:c>
      <x:c r="T131" s="51"/>
      <x:c r="U131" s="51"/>
      <x:c r="V131" s="51"/>
      <x:c r="W131" s="61"/>
      <x:c r="X131" s="61"/>
      <x:c r="Y131" s="51"/>
      <x:c r="Z131" s="53"/>
      <x:c r="AA131" s="51"/>
      <x:c r="AB131" s="64" t="str">
        <x:f>IF(AC131="","",AC131)</x:f>
      </x:c>
      <x:c r="AC131" s="67"/>
      <x:c r="AD131" s="69" t="str">
        <x:f>IF(AE131="","",AE131)</x:f>
      </x:c>
      <x:c r="AE131" s="71"/>
      <x:c r="AF131" s="73" t="str">
        <x:f>IF(AC131="","",1/AC131)</x:f>
      </x:c>
      <x:c r="AG131" s="61"/>
      <x:c r="AH131" s="61"/>
      <x:c r="AI131" s="64" t="str">
        <x:f>IF(OR(AC131="",AG131=""),"",AC131*AG131-1)</x:f>
      </x:c>
      <x:c r="AJ131" s="75" t="str">
        <x:f>IF(OR(G131="",F131=""),"",IF(AND(G131&gt;='Calibrare v2'!$B$35,F131&lt;='Calibrare v2'!$B$34),"PASS","FAIL"))</x:f>
      </x:c>
      <x:c r="AK131" s="75" t="str">
        <x:f>IF(AL131="","",AL131)</x:f>
      </x:c>
      <x:c r="AL131" s="77"/>
      <x:c r="AM131" s="77"/>
      <x:c r="AN131" s="64" t="str">
        <x:f>IF(OR(AC131="",P131=""),"",(AC131-P131)^2)</x:f>
      </x:c>
      <x:c r="AO131" s="64" t="str">
        <x:f>IF(OR(AG131="",AH131=""),"",AG131/AH131-1)</x:f>
      </x:c>
      <x:c r="AP131" s="61"/>
      <x:c r="AQ131" s="73" t="n">
        <x:f>IF(OR(AM131&lt;&gt;"PARIU U4,5",M131="",AP131="",AG131=""),0,IF(M131="UNDER",AP131*(AG131-1),-AP131))</x:f>
        <x:v>0</x:v>
      </x:c>
      <x:c r="AR131" s="51"/>
    </x:row>
    <x:row r="132">
      <x:c r="A132" s="9" t="str">
        <x:f>IF(D132="","",ROW()-1)</x:f>
      </x:c>
      <x:c r="B132" s="51"/>
      <x:c r="C132" s="51"/>
      <x:c r="D132" s="51"/>
      <x:c r="E132" s="9" t="str">
        <x:f>IF(D132="","",IF(AND(F132&lt;='Calibrare v2'!$B$33,G132&gt;=0.86),"DA – FEZABIL",IF(G132&gt;=0.8,"DA – PRUDENT","NU – EVITĂ")))</x:f>
      </x:c>
      <x:c r="F132" s="16" t="str">
        <x:f>IF(OR(W132="",X132=""),"",W132+X132)</x:f>
      </x:c>
      <x:c r="G132" s="28" t="str">
        <x:f>IF(F132="","",EXP(-F132)*(1+F132+F132^2/2+F132^3/6+F132^4/24))</x:f>
      </x:c>
      <x:c r="H132" s="53"/>
      <x:c r="I132" s="9" t="str">
        <x:f>IF(F132="","",IF(F132&lt;='Calibrare v2'!$B$33,"PASS","FAIL"))</x:f>
      </x:c>
      <x:c r="J132" s="51"/>
      <x:c r="K132" s="51"/>
      <x:c r="L132" s="9" t="str">
        <x:f>IF(OR(J132="",K132=""),"",J132+K132)</x:f>
      </x:c>
      <x:c r="M132" s="9" t="str">
        <x:f>IF(L132="","",IF(L132&lt;=4,"UNDER","OVER"))</x:f>
      </x:c>
      <x:c r="N132" s="9" t="str">
        <x:f>IF(E132="","",IF(LEFT(E132,2)="DA","PARIU U51,5","NO BET"))</x:f>
      </x:c>
      <x:c r="O132" s="9" t="str">
        <x:f>IF(M132="","",IF(AM132="PARIU U51,5",IF(M132="UNDER","SUCCES","EȘEC"),IF(M132="UNDER","FALS NEGATIV","EVITARE CORECTĂ")))</x:f>
      </x:c>
      <x:c r="P132" s="9" t="str">
        <x:f>IF(M132="","",IF(M132="UNDER",1,0))</x:f>
      </x:c>
      <x:c r="Q132" s="9" t="str">
        <x:f>IF(P132="","",(G132-P132)^2)</x:f>
      </x:c>
      <x:c r="R132" s="9" t="str">
        <x:f>IF(L132="","",L132-F132)</x:f>
      </x:c>
      <x:c r="S132" s="9" t="str">
        <x:f>IF(L132="","",IF(M132="UNDER","U51,5 reușit; total final "&amp;L132&amp;" vs λ="&amp;TEXT(F132,"0.00")&amp;".","Eșec U51,5; total final "&amp;L132&amp;" vs λ="&amp;TEXT(F132,"0.00")&amp;". Revizuiește Tail Risk, sursa λ și calibrarea."))</x:f>
      </x:c>
      <x:c r="T132" s="51"/>
      <x:c r="U132" s="51"/>
      <x:c r="V132" s="51"/>
      <x:c r="W132" s="61"/>
      <x:c r="X132" s="61"/>
      <x:c r="Y132" s="51"/>
      <x:c r="Z132" s="53"/>
      <x:c r="AA132" s="51"/>
      <x:c r="AB132" s="64" t="str">
        <x:f>IF(AC132="","",AC132)</x:f>
      </x:c>
      <x:c r="AC132" s="67"/>
      <x:c r="AD132" s="69" t="str">
        <x:f>IF(AE132="","",AE132)</x:f>
      </x:c>
      <x:c r="AE132" s="71"/>
      <x:c r="AF132" s="73" t="str">
        <x:f>IF(AC132="","",1/AC132)</x:f>
      </x:c>
      <x:c r="AG132" s="61"/>
      <x:c r="AH132" s="61"/>
      <x:c r="AI132" s="64" t="str">
        <x:f>IF(OR(AC132="",AG132=""),"",AC132*AG132-1)</x:f>
      </x:c>
      <x:c r="AJ132" s="75" t="str">
        <x:f>IF(OR(G132="",F132=""),"",IF(AND(G132&gt;='Calibrare v2'!$B$35,F132&lt;='Calibrare v2'!$B$34),"PASS","FAIL"))</x:f>
      </x:c>
      <x:c r="AK132" s="75" t="str">
        <x:f>IF(AL132="","",AL132)</x:f>
      </x:c>
      <x:c r="AL132" s="77"/>
      <x:c r="AM132" s="77"/>
      <x:c r="AN132" s="64" t="str">
        <x:f>IF(OR(AC132="",P132=""),"",(AC132-P132)^2)</x:f>
      </x:c>
      <x:c r="AO132" s="64" t="str">
        <x:f>IF(OR(AG132="",AH132=""),"",AG132/AH132-1)</x:f>
      </x:c>
      <x:c r="AP132" s="61"/>
      <x:c r="AQ132" s="73" t="n">
        <x:f>IF(OR(AM132&lt;&gt;"PARIU U4,5",M132="",AP132="",AG132=""),0,IF(M132="UNDER",AP132*(AG132-1),-AP132))</x:f>
        <x:v>0</x:v>
      </x:c>
      <x:c r="AR132" s="51"/>
    </x:row>
    <x:row r="133">
      <x:c r="A133" s="9" t="str">
        <x:f>IF(D133="","",ROW()-1)</x:f>
      </x:c>
      <x:c r="B133" s="51"/>
      <x:c r="C133" s="51"/>
      <x:c r="D133" s="51"/>
      <x:c r="E133" s="9" t="str">
        <x:f>IF(D133="","",IF(AND(F133&lt;='Calibrare v2'!$B$33,G133&gt;=0.86),"DA – FEZABIL",IF(G133&gt;=0.8,"DA – PRUDENT","NU – EVITĂ")))</x:f>
      </x:c>
      <x:c r="F133" s="16" t="str">
        <x:f>IF(OR(W133="",X133=""),"",W133+X133)</x:f>
      </x:c>
      <x:c r="G133" s="28" t="str">
        <x:f>IF(F133="","",EXP(-F133)*(1+F133+F133^2/2+F133^3/6+F133^4/24))</x:f>
      </x:c>
      <x:c r="H133" s="53"/>
      <x:c r="I133" s="9" t="str">
        <x:f>IF(F133="","",IF(F133&lt;='Calibrare v2'!$B$33,"PASS","FAIL"))</x:f>
      </x:c>
      <x:c r="J133" s="51"/>
      <x:c r="K133" s="51"/>
      <x:c r="L133" s="9" t="str">
        <x:f>IF(OR(J133="",K133=""),"",J133+K133)</x:f>
      </x:c>
      <x:c r="M133" s="9" t="str">
        <x:f>IF(L133="","",IF(L133&lt;=4,"UNDER","OVER"))</x:f>
      </x:c>
      <x:c r="N133" s="9" t="str">
        <x:f>IF(E133="","",IF(LEFT(E133,2)="DA","PARIU U52,5","NO BET"))</x:f>
      </x:c>
      <x:c r="O133" s="9" t="str">
        <x:f>IF(M133="","",IF(AM133="PARIU U52,5",IF(M133="UNDER","SUCCES","EȘEC"),IF(M133="UNDER","FALS NEGATIV","EVITARE CORECTĂ")))</x:f>
      </x:c>
      <x:c r="P133" s="9" t="str">
        <x:f>IF(M133="","",IF(M133="UNDER",1,0))</x:f>
      </x:c>
      <x:c r="Q133" s="9" t="str">
        <x:f>IF(P133="","",(G133-P133)^2)</x:f>
      </x:c>
      <x:c r="R133" s="9" t="str">
        <x:f>IF(L133="","",L133-F133)</x:f>
      </x:c>
      <x:c r="S133" s="9" t="str">
        <x:f>IF(L133="","",IF(M133="UNDER","U52,5 reușit; total final "&amp;L133&amp;" vs λ="&amp;TEXT(F133,"0.00")&amp;".","Eșec U52,5; total final "&amp;L133&amp;" vs λ="&amp;TEXT(F133,"0.00")&amp;". Revizuiește Tail Risk, sursa λ și calibrarea."))</x:f>
      </x:c>
      <x:c r="T133" s="51"/>
      <x:c r="U133" s="51"/>
      <x:c r="V133" s="51"/>
      <x:c r="W133" s="61"/>
      <x:c r="X133" s="61"/>
      <x:c r="Y133" s="51"/>
      <x:c r="Z133" s="53"/>
      <x:c r="AA133" s="51"/>
      <x:c r="AB133" s="64" t="str">
        <x:f>IF(AC133="","",AC133)</x:f>
      </x:c>
      <x:c r="AC133" s="67"/>
      <x:c r="AD133" s="69" t="str">
        <x:f>IF(AE133="","",AE133)</x:f>
      </x:c>
      <x:c r="AE133" s="71"/>
      <x:c r="AF133" s="73" t="str">
        <x:f>IF(AC133="","",1/AC133)</x:f>
      </x:c>
      <x:c r="AG133" s="61"/>
      <x:c r="AH133" s="61"/>
      <x:c r="AI133" s="64" t="str">
        <x:f>IF(OR(AC133="",AG133=""),"",AC133*AG133-1)</x:f>
      </x:c>
      <x:c r="AJ133" s="75" t="str">
        <x:f>IF(OR(G133="",F133=""),"",IF(AND(G133&gt;='Calibrare v2'!$B$35,F133&lt;='Calibrare v2'!$B$34),"PASS","FAIL"))</x:f>
      </x:c>
      <x:c r="AK133" s="75" t="str">
        <x:f>IF(AL133="","",AL133)</x:f>
      </x:c>
      <x:c r="AL133" s="77"/>
      <x:c r="AM133" s="77"/>
      <x:c r="AN133" s="64" t="str">
        <x:f>IF(OR(AC133="",P133=""),"",(AC133-P133)^2)</x:f>
      </x:c>
      <x:c r="AO133" s="64" t="str">
        <x:f>IF(OR(AG133="",AH133=""),"",AG133/AH133-1)</x:f>
      </x:c>
      <x:c r="AP133" s="61"/>
      <x:c r="AQ133" s="73" t="n">
        <x:f>IF(OR(AM133&lt;&gt;"PARIU U4,5",M133="",AP133="",AG133=""),0,IF(M133="UNDER",AP133*(AG133-1),-AP133))</x:f>
        <x:v>0</x:v>
      </x:c>
      <x:c r="AR133" s="51"/>
    </x:row>
    <x:row r="134">
      <x:c r="A134" s="9" t="str">
        <x:f>IF(D134="","",ROW()-1)</x:f>
      </x:c>
      <x:c r="B134" s="51"/>
      <x:c r="C134" s="51"/>
      <x:c r="D134" s="51"/>
      <x:c r="E134" s="9" t="str">
        <x:f>IF(D134="","",IF(AND(F134&lt;='Calibrare v2'!$B$33,G134&gt;=0.86),"DA – FEZABIL",IF(G134&gt;=0.8,"DA – PRUDENT","NU – EVITĂ")))</x:f>
      </x:c>
      <x:c r="F134" s="16" t="str">
        <x:f>IF(OR(W134="",X134=""),"",W134+X134)</x:f>
      </x:c>
      <x:c r="G134" s="28" t="str">
        <x:f>IF(F134="","",EXP(-F134)*(1+F134+F134^2/2+F134^3/6+F134^4/24))</x:f>
      </x:c>
      <x:c r="H134" s="53"/>
      <x:c r="I134" s="9" t="str">
        <x:f>IF(F134="","",IF(F134&lt;='Calibrare v2'!$B$33,"PASS","FAIL"))</x:f>
      </x:c>
      <x:c r="J134" s="51"/>
      <x:c r="K134" s="51"/>
      <x:c r="L134" s="9" t="str">
        <x:f>IF(OR(J134="",K134=""),"",J134+K134)</x:f>
      </x:c>
      <x:c r="M134" s="9" t="str">
        <x:f>IF(L134="","",IF(L134&lt;=4,"UNDER","OVER"))</x:f>
      </x:c>
      <x:c r="N134" s="9" t="str">
        <x:f>IF(E134="","",IF(LEFT(E134,2)="DA","PARIU U53,5","NO BET"))</x:f>
      </x:c>
      <x:c r="O134" s="9" t="str">
        <x:f>IF(M134="","",IF(AM134="PARIU U53,5",IF(M134="UNDER","SUCCES","EȘEC"),IF(M134="UNDER","FALS NEGATIV","EVITARE CORECTĂ")))</x:f>
      </x:c>
      <x:c r="P134" s="9" t="str">
        <x:f>IF(M134="","",IF(M134="UNDER",1,0))</x:f>
      </x:c>
      <x:c r="Q134" s="9" t="str">
        <x:f>IF(P134="","",(G134-P134)^2)</x:f>
      </x:c>
      <x:c r="R134" s="9" t="str">
        <x:f>IF(L134="","",L134-F134)</x:f>
      </x:c>
      <x:c r="S134" s="9" t="str">
        <x:f>IF(L134="","",IF(M134="UNDER","U53,5 reușit; total final "&amp;L134&amp;" vs λ="&amp;TEXT(F134,"0.00")&amp;".","Eșec U53,5; total final "&amp;L134&amp;" vs λ="&amp;TEXT(F134,"0.00")&amp;". Revizuiește Tail Risk, sursa λ și calibrarea."))</x:f>
      </x:c>
      <x:c r="T134" s="51"/>
      <x:c r="U134" s="51"/>
      <x:c r="V134" s="51"/>
      <x:c r="W134" s="61"/>
      <x:c r="X134" s="61"/>
      <x:c r="Y134" s="51"/>
      <x:c r="Z134" s="53"/>
      <x:c r="AA134" s="51"/>
      <x:c r="AB134" s="64" t="str">
        <x:f>IF(AC134="","",AC134)</x:f>
      </x:c>
      <x:c r="AC134" s="67"/>
      <x:c r="AD134" s="69" t="str">
        <x:f>IF(AE134="","",AE134)</x:f>
      </x:c>
      <x:c r="AE134" s="71"/>
      <x:c r="AF134" s="73" t="str">
        <x:f>IF(AC134="","",1/AC134)</x:f>
      </x:c>
      <x:c r="AG134" s="61"/>
      <x:c r="AH134" s="61"/>
      <x:c r="AI134" s="64" t="str">
        <x:f>IF(OR(AC134="",AG134=""),"",AC134*AG134-1)</x:f>
      </x:c>
      <x:c r="AJ134" s="75" t="str">
        <x:f>IF(OR(G134="",F134=""),"",IF(AND(G134&gt;='Calibrare v2'!$B$35,F134&lt;='Calibrare v2'!$B$34),"PASS","FAIL"))</x:f>
      </x:c>
      <x:c r="AK134" s="75" t="str">
        <x:f>IF(AL134="","",AL134)</x:f>
      </x:c>
      <x:c r="AL134" s="77"/>
      <x:c r="AM134" s="77"/>
      <x:c r="AN134" s="64" t="str">
        <x:f>IF(OR(AC134="",P134=""),"",(AC134-P134)^2)</x:f>
      </x:c>
      <x:c r="AO134" s="64" t="str">
        <x:f>IF(OR(AG134="",AH134=""),"",AG134/AH134-1)</x:f>
      </x:c>
      <x:c r="AP134" s="61"/>
      <x:c r="AQ134" s="73" t="n">
        <x:f>IF(OR(AM134&lt;&gt;"PARIU U4,5",M134="",AP134="",AG134=""),0,IF(M134="UNDER",AP134*(AG134-1),-AP134))</x:f>
        <x:v>0</x:v>
      </x:c>
      <x:c r="AR134" s="51"/>
    </x:row>
    <x:row r="135">
      <x:c r="A135" s="9" t="str">
        <x:f>IF(D135="","",ROW()-1)</x:f>
      </x:c>
      <x:c r="B135" s="51"/>
      <x:c r="C135" s="51"/>
      <x:c r="D135" s="51"/>
      <x:c r="E135" s="9" t="str">
        <x:f>IF(D135="","",IF(AND(F135&lt;='Calibrare v2'!$B$33,G135&gt;=0.86),"DA – FEZABIL",IF(G135&gt;=0.8,"DA – PRUDENT","NU – EVITĂ")))</x:f>
      </x:c>
      <x:c r="F135" s="16" t="str">
        <x:f>IF(OR(W135="",X135=""),"",W135+X135)</x:f>
      </x:c>
      <x:c r="G135" s="28" t="str">
        <x:f>IF(F135="","",EXP(-F135)*(1+F135+F135^2/2+F135^3/6+F135^4/24))</x:f>
      </x:c>
      <x:c r="H135" s="53"/>
      <x:c r="I135" s="9" t="str">
        <x:f>IF(F135="","",IF(F135&lt;='Calibrare v2'!$B$33,"PASS","FAIL"))</x:f>
      </x:c>
      <x:c r="J135" s="51"/>
      <x:c r="K135" s="51"/>
      <x:c r="L135" s="9" t="str">
        <x:f>IF(OR(J135="",K135=""),"",J135+K135)</x:f>
      </x:c>
      <x:c r="M135" s="9" t="str">
        <x:f>IF(L135="","",IF(L135&lt;=4,"UNDER","OVER"))</x:f>
      </x:c>
      <x:c r="N135" s="9" t="str">
        <x:f>IF(E135="","",IF(LEFT(E135,2)="DA","PARIU U54,5","NO BET"))</x:f>
      </x:c>
      <x:c r="O135" s="9" t="str">
        <x:f>IF(M135="","",IF(AM135="PARIU U54,5",IF(M135="UNDER","SUCCES","EȘEC"),IF(M135="UNDER","FALS NEGATIV","EVITARE CORECTĂ")))</x:f>
      </x:c>
      <x:c r="P135" s="9" t="str">
        <x:f>IF(M135="","",IF(M135="UNDER",1,0))</x:f>
      </x:c>
      <x:c r="Q135" s="9" t="str">
        <x:f>IF(P135="","",(G135-P135)^2)</x:f>
      </x:c>
      <x:c r="R135" s="9" t="str">
        <x:f>IF(L135="","",L135-F135)</x:f>
      </x:c>
      <x:c r="S135" s="9" t="str">
        <x:f>IF(L135="","",IF(M135="UNDER","U54,5 reușit; total final "&amp;L135&amp;" vs λ="&amp;TEXT(F135,"0.00")&amp;".","Eșec U54,5; total final "&amp;L135&amp;" vs λ="&amp;TEXT(F135,"0.00")&amp;". Revizuiește Tail Risk, sursa λ și calibrarea."))</x:f>
      </x:c>
      <x:c r="T135" s="51"/>
      <x:c r="U135" s="51"/>
      <x:c r="V135" s="51"/>
      <x:c r="W135" s="61"/>
      <x:c r="X135" s="61"/>
      <x:c r="Y135" s="51"/>
      <x:c r="Z135" s="53"/>
      <x:c r="AA135" s="51"/>
      <x:c r="AB135" s="64" t="str">
        <x:f>IF(AC135="","",AC135)</x:f>
      </x:c>
      <x:c r="AC135" s="67"/>
      <x:c r="AD135" s="69" t="str">
        <x:f>IF(AE135="","",AE135)</x:f>
      </x:c>
      <x:c r="AE135" s="71"/>
      <x:c r="AF135" s="73" t="str">
        <x:f>IF(AC135="","",1/AC135)</x:f>
      </x:c>
      <x:c r="AG135" s="61"/>
      <x:c r="AH135" s="61"/>
      <x:c r="AI135" s="64" t="str">
        <x:f>IF(OR(AC135="",AG135=""),"",AC135*AG135-1)</x:f>
      </x:c>
      <x:c r="AJ135" s="75" t="str">
        <x:f>IF(OR(G135="",F135=""),"",IF(AND(G135&gt;='Calibrare v2'!$B$35,F135&lt;='Calibrare v2'!$B$34),"PASS","FAIL"))</x:f>
      </x:c>
      <x:c r="AK135" s="75" t="str">
        <x:f>IF(AL135="","",AL135)</x:f>
      </x:c>
      <x:c r="AL135" s="77"/>
      <x:c r="AM135" s="77"/>
      <x:c r="AN135" s="64" t="str">
        <x:f>IF(OR(AC135="",P135=""),"",(AC135-P135)^2)</x:f>
      </x:c>
      <x:c r="AO135" s="64" t="str">
        <x:f>IF(OR(AG135="",AH135=""),"",AG135/AH135-1)</x:f>
      </x:c>
      <x:c r="AP135" s="61"/>
      <x:c r="AQ135" s="73" t="n">
        <x:f>IF(OR(AM135&lt;&gt;"PARIU U4,5",M135="",AP135="",AG135=""),0,IF(M135="UNDER",AP135*(AG135-1),-AP135))</x:f>
        <x:v>0</x:v>
      </x:c>
      <x:c r="AR135" s="51"/>
    </x:row>
    <x:row r="136">
      <x:c r="A136" s="9" t="str">
        <x:f>IF(D136="","",ROW()-1)</x:f>
      </x:c>
      <x:c r="B136" s="51"/>
      <x:c r="C136" s="51"/>
      <x:c r="D136" s="51"/>
      <x:c r="E136" s="9" t="str">
        <x:f>IF(D136="","",IF(AND(F136&lt;='Calibrare v2'!$B$33,G136&gt;=0.86),"DA – FEZABIL",IF(G136&gt;=0.8,"DA – PRUDENT","NU – EVITĂ")))</x:f>
      </x:c>
      <x:c r="F136" s="16" t="str">
        <x:f>IF(OR(W136="",X136=""),"",W136+X136)</x:f>
      </x:c>
      <x:c r="G136" s="28" t="str">
        <x:f>IF(F136="","",EXP(-F136)*(1+F136+F136^2/2+F136^3/6+F136^4/24))</x:f>
      </x:c>
      <x:c r="H136" s="53"/>
      <x:c r="I136" s="9" t="str">
        <x:f>IF(F136="","",IF(F136&lt;='Calibrare v2'!$B$33,"PASS","FAIL"))</x:f>
      </x:c>
      <x:c r="J136" s="51"/>
      <x:c r="K136" s="51"/>
      <x:c r="L136" s="9" t="str">
        <x:f>IF(OR(J136="",K136=""),"",J136+K136)</x:f>
      </x:c>
      <x:c r="M136" s="9" t="str">
        <x:f>IF(L136="","",IF(L136&lt;=4,"UNDER","OVER"))</x:f>
      </x:c>
      <x:c r="N136" s="9" t="str">
        <x:f>IF(E136="","",IF(LEFT(E136,2)="DA","PARIU U55,5","NO BET"))</x:f>
      </x:c>
      <x:c r="O136" s="9" t="str">
        <x:f>IF(M136="","",IF(AM136="PARIU U55,5",IF(M136="UNDER","SUCCES","EȘEC"),IF(M136="UNDER","FALS NEGATIV","EVITARE CORECTĂ")))</x:f>
      </x:c>
      <x:c r="P136" s="9" t="str">
        <x:f>IF(M136="","",IF(M136="UNDER",1,0))</x:f>
      </x:c>
      <x:c r="Q136" s="9" t="str">
        <x:f>IF(P136="","",(G136-P136)^2)</x:f>
      </x:c>
      <x:c r="R136" s="9" t="str">
        <x:f>IF(L136="","",L136-F136)</x:f>
      </x:c>
      <x:c r="S136" s="9" t="str">
        <x:f>IF(L136="","",IF(M136="UNDER","U55,5 reușit; total final "&amp;L136&amp;" vs λ="&amp;TEXT(F136,"0.00")&amp;".","Eșec U55,5; total final "&amp;L136&amp;" vs λ="&amp;TEXT(F136,"0.00")&amp;". Revizuiește Tail Risk, sursa λ și calibrarea."))</x:f>
      </x:c>
      <x:c r="T136" s="51"/>
      <x:c r="U136" s="51"/>
      <x:c r="V136" s="51"/>
      <x:c r="W136" s="61"/>
      <x:c r="X136" s="61"/>
      <x:c r="Y136" s="51"/>
      <x:c r="Z136" s="53"/>
      <x:c r="AA136" s="51"/>
      <x:c r="AB136" s="64" t="str">
        <x:f>IF(AC136="","",AC136)</x:f>
      </x:c>
      <x:c r="AC136" s="67"/>
      <x:c r="AD136" s="69" t="str">
        <x:f>IF(AE136="","",AE136)</x:f>
      </x:c>
      <x:c r="AE136" s="71"/>
      <x:c r="AF136" s="73" t="str">
        <x:f>IF(AC136="","",1/AC136)</x:f>
      </x:c>
      <x:c r="AG136" s="61"/>
      <x:c r="AH136" s="61"/>
      <x:c r="AI136" s="64" t="str">
        <x:f>IF(OR(AC136="",AG136=""),"",AC136*AG136-1)</x:f>
      </x:c>
      <x:c r="AJ136" s="75" t="str">
        <x:f>IF(OR(G136="",F136=""),"",IF(AND(G136&gt;='Calibrare v2'!$B$35,F136&lt;='Calibrare v2'!$B$34),"PASS","FAIL"))</x:f>
      </x:c>
      <x:c r="AK136" s="75" t="str">
        <x:f>IF(AL136="","",AL136)</x:f>
      </x:c>
      <x:c r="AL136" s="77"/>
      <x:c r="AM136" s="77"/>
      <x:c r="AN136" s="64" t="str">
        <x:f>IF(OR(AC136="",P136=""),"",(AC136-P136)^2)</x:f>
      </x:c>
      <x:c r="AO136" s="64" t="str">
        <x:f>IF(OR(AG136="",AH136=""),"",AG136/AH136-1)</x:f>
      </x:c>
      <x:c r="AP136" s="61"/>
      <x:c r="AQ136" s="73" t="n">
        <x:f>IF(OR(AM136&lt;&gt;"PARIU U4,5",M136="",AP136="",AG136=""),0,IF(M136="UNDER",AP136*(AG136-1),-AP136))</x:f>
        <x:v>0</x:v>
      </x:c>
      <x:c r="AR136" s="51"/>
    </x:row>
    <x:row r="137">
      <x:c r="A137" s="9" t="str">
        <x:f>IF(D137="","",ROW()-1)</x:f>
      </x:c>
      <x:c r="B137" s="51"/>
      <x:c r="C137" s="51"/>
      <x:c r="D137" s="51"/>
      <x:c r="E137" s="9" t="str">
        <x:f>IF(D137="","",IF(AND(F137&lt;='Calibrare v2'!$B$33,G137&gt;=0.86),"DA – FEZABIL",IF(G137&gt;=0.8,"DA – PRUDENT","NU – EVITĂ")))</x:f>
      </x:c>
      <x:c r="F137" s="16" t="str">
        <x:f>IF(OR(W137="",X137=""),"",W137+X137)</x:f>
      </x:c>
      <x:c r="G137" s="28" t="str">
        <x:f>IF(F137="","",EXP(-F137)*(1+F137+F137^2/2+F137^3/6+F137^4/24))</x:f>
      </x:c>
      <x:c r="H137" s="53"/>
      <x:c r="I137" s="9" t="str">
        <x:f>IF(F137="","",IF(F137&lt;='Calibrare v2'!$B$33,"PASS","FAIL"))</x:f>
      </x:c>
      <x:c r="J137" s="51"/>
      <x:c r="K137" s="51"/>
      <x:c r="L137" s="9" t="str">
        <x:f>IF(OR(J137="",K137=""),"",J137+K137)</x:f>
      </x:c>
      <x:c r="M137" s="9" t="str">
        <x:f>IF(L137="","",IF(L137&lt;=4,"UNDER","OVER"))</x:f>
      </x:c>
      <x:c r="N137" s="9" t="str">
        <x:f>IF(E137="","",IF(LEFT(E137,2)="DA","PARIU U56,5","NO BET"))</x:f>
      </x:c>
      <x:c r="O137" s="9" t="str">
        <x:f>IF(M137="","",IF(AM137="PARIU U56,5",IF(M137="UNDER","SUCCES","EȘEC"),IF(M137="UNDER","FALS NEGATIV","EVITARE CORECTĂ")))</x:f>
      </x:c>
      <x:c r="P137" s="9" t="str">
        <x:f>IF(M137="","",IF(M137="UNDER",1,0))</x:f>
      </x:c>
      <x:c r="Q137" s="9" t="str">
        <x:f>IF(P137="","",(G137-P137)^2)</x:f>
      </x:c>
      <x:c r="R137" s="9" t="str">
        <x:f>IF(L137="","",L137-F137)</x:f>
      </x:c>
      <x:c r="S137" s="9" t="str">
        <x:f>IF(L137="","",IF(M137="UNDER","U56,5 reușit; total final "&amp;L137&amp;" vs λ="&amp;TEXT(F137,"0.00")&amp;".","Eșec U56,5; total final "&amp;L137&amp;" vs λ="&amp;TEXT(F137,"0.00")&amp;". Revizuiește Tail Risk, sursa λ și calibrarea."))</x:f>
      </x:c>
      <x:c r="T137" s="51"/>
      <x:c r="U137" s="51"/>
      <x:c r="V137" s="51"/>
      <x:c r="W137" s="61"/>
      <x:c r="X137" s="61"/>
      <x:c r="Y137" s="51"/>
      <x:c r="Z137" s="53"/>
      <x:c r="AA137" s="51"/>
      <x:c r="AB137" s="64" t="str">
        <x:f>IF(AC137="","",AC137)</x:f>
      </x:c>
      <x:c r="AC137" s="67"/>
      <x:c r="AD137" s="69" t="str">
        <x:f>IF(AE137="","",AE137)</x:f>
      </x:c>
      <x:c r="AE137" s="71"/>
      <x:c r="AF137" s="73" t="str">
        <x:f>IF(AC137="","",1/AC137)</x:f>
      </x:c>
      <x:c r="AG137" s="61"/>
      <x:c r="AH137" s="61"/>
      <x:c r="AI137" s="64" t="str">
        <x:f>IF(OR(AC137="",AG137=""),"",AC137*AG137-1)</x:f>
      </x:c>
      <x:c r="AJ137" s="75" t="str">
        <x:f>IF(OR(G137="",F137=""),"",IF(AND(G137&gt;='Calibrare v2'!$B$35,F137&lt;='Calibrare v2'!$B$34),"PASS","FAIL"))</x:f>
      </x:c>
      <x:c r="AK137" s="75" t="str">
        <x:f>IF(AL137="","",AL137)</x:f>
      </x:c>
      <x:c r="AL137" s="77"/>
      <x:c r="AM137" s="77"/>
      <x:c r="AN137" s="64" t="str">
        <x:f>IF(OR(AC137="",P137=""),"",(AC137-P137)^2)</x:f>
      </x:c>
      <x:c r="AO137" s="64" t="str">
        <x:f>IF(OR(AG137="",AH137=""),"",AG137/AH137-1)</x:f>
      </x:c>
      <x:c r="AP137" s="61"/>
      <x:c r="AQ137" s="73" t="n">
        <x:f>IF(OR(AM137&lt;&gt;"PARIU U4,5",M137="",AP137="",AG137=""),0,IF(M137="UNDER",AP137*(AG137-1),-AP137))</x:f>
        <x:v>0</x:v>
      </x:c>
      <x:c r="AR137" s="51"/>
    </x:row>
    <x:row r="138">
      <x:c r="A138" s="9" t="str">
        <x:f>IF(D138="","",ROW()-1)</x:f>
      </x:c>
      <x:c r="B138" s="51"/>
      <x:c r="C138" s="51"/>
      <x:c r="D138" s="51"/>
      <x:c r="E138" s="9" t="str">
        <x:f>IF(D138="","",IF(AND(F138&lt;='Calibrare v2'!$B$33,G138&gt;=0.86),"DA – FEZABIL",IF(G138&gt;=0.8,"DA – PRUDENT","NU – EVITĂ")))</x:f>
      </x:c>
      <x:c r="F138" s="16" t="str">
        <x:f>IF(OR(W138="",X138=""),"",W138+X138)</x:f>
      </x:c>
      <x:c r="G138" s="28" t="str">
        <x:f>IF(F138="","",EXP(-F138)*(1+F138+F138^2/2+F138^3/6+F138^4/24))</x:f>
      </x:c>
      <x:c r="H138" s="53"/>
      <x:c r="I138" s="9" t="str">
        <x:f>IF(F138="","",IF(F138&lt;='Calibrare v2'!$B$33,"PASS","FAIL"))</x:f>
      </x:c>
      <x:c r="J138" s="51"/>
      <x:c r="K138" s="51"/>
      <x:c r="L138" s="9" t="str">
        <x:f>IF(OR(J138="",K138=""),"",J138+K138)</x:f>
      </x:c>
      <x:c r="M138" s="9" t="str">
        <x:f>IF(L138="","",IF(L138&lt;=4,"UNDER","OVER"))</x:f>
      </x:c>
      <x:c r="N138" s="9" t="str">
        <x:f>IF(E138="","",IF(LEFT(E138,2)="DA","PARIU U57,5","NO BET"))</x:f>
      </x:c>
      <x:c r="O138" s="9" t="str">
        <x:f>IF(M138="","",IF(AM138="PARIU U57,5",IF(M138="UNDER","SUCCES","EȘEC"),IF(M138="UNDER","FALS NEGATIV","EVITARE CORECTĂ")))</x:f>
      </x:c>
      <x:c r="P138" s="9" t="str">
        <x:f>IF(M138="","",IF(M138="UNDER",1,0))</x:f>
      </x:c>
      <x:c r="Q138" s="9" t="str">
        <x:f>IF(P138="","",(G138-P138)^2)</x:f>
      </x:c>
      <x:c r="R138" s="9" t="str">
        <x:f>IF(L138="","",L138-F138)</x:f>
      </x:c>
      <x:c r="S138" s="9" t="str">
        <x:f>IF(L138="","",IF(M138="UNDER","U57,5 reușit; total final "&amp;L138&amp;" vs λ="&amp;TEXT(F138,"0.00")&amp;".","Eșec U57,5; total final "&amp;L138&amp;" vs λ="&amp;TEXT(F138,"0.00")&amp;". Revizuiește Tail Risk, sursa λ și calibrarea."))</x:f>
      </x:c>
      <x:c r="T138" s="51"/>
      <x:c r="U138" s="51"/>
      <x:c r="V138" s="51"/>
      <x:c r="W138" s="61"/>
      <x:c r="X138" s="61"/>
      <x:c r="Y138" s="51"/>
      <x:c r="Z138" s="53"/>
      <x:c r="AA138" s="51"/>
      <x:c r="AB138" s="64" t="str">
        <x:f>IF(AC138="","",AC138)</x:f>
      </x:c>
      <x:c r="AC138" s="67"/>
      <x:c r="AD138" s="69" t="str">
        <x:f>IF(AE138="","",AE138)</x:f>
      </x:c>
      <x:c r="AE138" s="71"/>
      <x:c r="AF138" s="73" t="str">
        <x:f>IF(AC138="","",1/AC138)</x:f>
      </x:c>
      <x:c r="AG138" s="61"/>
      <x:c r="AH138" s="61"/>
      <x:c r="AI138" s="64" t="str">
        <x:f>IF(OR(AC138="",AG138=""),"",AC138*AG138-1)</x:f>
      </x:c>
      <x:c r="AJ138" s="75" t="str">
        <x:f>IF(OR(G138="",F138=""),"",IF(AND(G138&gt;='Calibrare v2'!$B$35,F138&lt;='Calibrare v2'!$B$34),"PASS","FAIL"))</x:f>
      </x:c>
      <x:c r="AK138" s="75" t="str">
        <x:f>IF(AL138="","",AL138)</x:f>
      </x:c>
      <x:c r="AL138" s="77"/>
      <x:c r="AM138" s="77"/>
      <x:c r="AN138" s="64" t="str">
        <x:f>IF(OR(AC138="",P138=""),"",(AC138-P138)^2)</x:f>
      </x:c>
      <x:c r="AO138" s="64" t="str">
        <x:f>IF(OR(AG138="",AH138=""),"",AG138/AH138-1)</x:f>
      </x:c>
      <x:c r="AP138" s="61"/>
      <x:c r="AQ138" s="73" t="n">
        <x:f>IF(OR(AM138&lt;&gt;"PARIU U4,5",M138="",AP138="",AG138=""),0,IF(M138="UNDER",AP138*(AG138-1),-AP138))</x:f>
        <x:v>0</x:v>
      </x:c>
      <x:c r="AR138" s="51"/>
    </x:row>
    <x:row r="139">
      <x:c r="A139" s="9" t="str">
        <x:f>IF(D139="","",ROW()-1)</x:f>
      </x:c>
      <x:c r="B139" s="51"/>
      <x:c r="C139" s="51"/>
      <x:c r="D139" s="51"/>
      <x:c r="E139" s="9" t="str">
        <x:f>IF(D139="","",IF(AND(F139&lt;='Calibrare v2'!$B$33,G139&gt;=0.86),"DA – FEZABIL",IF(G139&gt;=0.8,"DA – PRUDENT","NU – EVITĂ")))</x:f>
      </x:c>
      <x:c r="F139" s="16" t="str">
        <x:f>IF(OR(W139="",X139=""),"",W139+X139)</x:f>
      </x:c>
      <x:c r="G139" s="28" t="str">
        <x:f>IF(F139="","",EXP(-F139)*(1+F139+F139^2/2+F139^3/6+F139^4/24))</x:f>
      </x:c>
      <x:c r="H139" s="53"/>
      <x:c r="I139" s="9" t="str">
        <x:f>IF(F139="","",IF(F139&lt;='Calibrare v2'!$B$33,"PASS","FAIL"))</x:f>
      </x:c>
      <x:c r="J139" s="51"/>
      <x:c r="K139" s="51"/>
      <x:c r="L139" s="9" t="str">
        <x:f>IF(OR(J139="",K139=""),"",J139+K139)</x:f>
      </x:c>
      <x:c r="M139" s="9" t="str">
        <x:f>IF(L139="","",IF(L139&lt;=4,"UNDER","OVER"))</x:f>
      </x:c>
      <x:c r="N139" s="9" t="str">
        <x:f>IF(E139="","",IF(LEFT(E139,2)="DA","PARIU U58,5","NO BET"))</x:f>
      </x:c>
      <x:c r="O139" s="9" t="str">
        <x:f>IF(M139="","",IF(AM139="PARIU U58,5",IF(M139="UNDER","SUCCES","EȘEC"),IF(M139="UNDER","FALS NEGATIV","EVITARE CORECTĂ")))</x:f>
      </x:c>
      <x:c r="P139" s="9" t="str">
        <x:f>IF(M139="","",IF(M139="UNDER",1,0))</x:f>
      </x:c>
      <x:c r="Q139" s="9" t="str">
        <x:f>IF(P139="","",(G139-P139)^2)</x:f>
      </x:c>
      <x:c r="R139" s="9" t="str">
        <x:f>IF(L139="","",L139-F139)</x:f>
      </x:c>
      <x:c r="S139" s="9" t="str">
        <x:f>IF(L139="","",IF(M139="UNDER","U58,5 reușit; total final "&amp;L139&amp;" vs λ="&amp;TEXT(F139,"0.00")&amp;".","Eșec U58,5; total final "&amp;L139&amp;" vs λ="&amp;TEXT(F139,"0.00")&amp;". Revizuiește Tail Risk, sursa λ și calibrarea."))</x:f>
      </x:c>
      <x:c r="T139" s="51"/>
      <x:c r="U139" s="51"/>
      <x:c r="V139" s="51"/>
      <x:c r="W139" s="61"/>
      <x:c r="X139" s="61"/>
      <x:c r="Y139" s="51"/>
      <x:c r="Z139" s="53"/>
      <x:c r="AA139" s="51"/>
      <x:c r="AB139" s="64" t="str">
        <x:f>IF(AC139="","",AC139)</x:f>
      </x:c>
      <x:c r="AC139" s="67"/>
      <x:c r="AD139" s="69" t="str">
        <x:f>IF(AE139="","",AE139)</x:f>
      </x:c>
      <x:c r="AE139" s="71"/>
      <x:c r="AF139" s="73" t="str">
        <x:f>IF(AC139="","",1/AC139)</x:f>
      </x:c>
      <x:c r="AG139" s="61"/>
      <x:c r="AH139" s="61"/>
      <x:c r="AI139" s="64" t="str">
        <x:f>IF(OR(AC139="",AG139=""),"",AC139*AG139-1)</x:f>
      </x:c>
      <x:c r="AJ139" s="75" t="str">
        <x:f>IF(OR(G139="",F139=""),"",IF(AND(G139&gt;='Calibrare v2'!$B$35,F139&lt;='Calibrare v2'!$B$34),"PASS","FAIL"))</x:f>
      </x:c>
      <x:c r="AK139" s="75" t="str">
        <x:f>IF(AL139="","",AL139)</x:f>
      </x:c>
      <x:c r="AL139" s="77"/>
      <x:c r="AM139" s="77"/>
      <x:c r="AN139" s="64" t="str">
        <x:f>IF(OR(AC139="",P139=""),"",(AC139-P139)^2)</x:f>
      </x:c>
      <x:c r="AO139" s="64" t="str">
        <x:f>IF(OR(AG139="",AH139=""),"",AG139/AH139-1)</x:f>
      </x:c>
      <x:c r="AP139" s="61"/>
      <x:c r="AQ139" s="73" t="n">
        <x:f>IF(OR(AM139&lt;&gt;"PARIU U4,5",M139="",AP139="",AG139=""),0,IF(M139="UNDER",AP139*(AG139-1),-AP139))</x:f>
        <x:v>0</x:v>
      </x:c>
      <x:c r="AR139" s="51"/>
    </x:row>
    <x:row r="140">
      <x:c r="A140" s="9" t="str">
        <x:f>IF(D140="","",ROW()-1)</x:f>
      </x:c>
      <x:c r="B140" s="51"/>
      <x:c r="C140" s="51"/>
      <x:c r="D140" s="51"/>
      <x:c r="E140" s="9" t="str">
        <x:f>IF(D140="","",IF(AND(F140&lt;='Calibrare v2'!$B$33,G140&gt;=0.86),"DA – FEZABIL",IF(G140&gt;=0.8,"DA – PRUDENT","NU – EVITĂ")))</x:f>
      </x:c>
      <x:c r="F140" s="16" t="str">
        <x:f>IF(OR(W140="",X140=""),"",W140+X140)</x:f>
      </x:c>
      <x:c r="G140" s="28" t="str">
        <x:f>IF(F140="","",EXP(-F140)*(1+F140+F140^2/2+F140^3/6+F140^4/24))</x:f>
      </x:c>
      <x:c r="H140" s="53"/>
      <x:c r="I140" s="9" t="str">
        <x:f>IF(F140="","",IF(F140&lt;='Calibrare v2'!$B$33,"PASS","FAIL"))</x:f>
      </x:c>
      <x:c r="J140" s="51"/>
      <x:c r="K140" s="51"/>
      <x:c r="L140" s="9" t="str">
        <x:f>IF(OR(J140="",K140=""),"",J140+K140)</x:f>
      </x:c>
      <x:c r="M140" s="9" t="str">
        <x:f>IF(L140="","",IF(L140&lt;=4,"UNDER","OVER"))</x:f>
      </x:c>
      <x:c r="N140" s="9" t="str">
        <x:f>IF(E140="","",IF(LEFT(E140,2)="DA","PARIU U59,5","NO BET"))</x:f>
      </x:c>
      <x:c r="O140" s="9" t="str">
        <x:f>IF(M140="","",IF(AM140="PARIU U59,5",IF(M140="UNDER","SUCCES","EȘEC"),IF(M140="UNDER","FALS NEGATIV","EVITARE CORECTĂ")))</x:f>
      </x:c>
      <x:c r="P140" s="9" t="str">
        <x:f>IF(M140="","",IF(M140="UNDER",1,0))</x:f>
      </x:c>
      <x:c r="Q140" s="9" t="str">
        <x:f>IF(P140="","",(G140-P140)^2)</x:f>
      </x:c>
      <x:c r="R140" s="9" t="str">
        <x:f>IF(L140="","",L140-F140)</x:f>
      </x:c>
      <x:c r="S140" s="9" t="str">
        <x:f>IF(L140="","",IF(M140="UNDER","U59,5 reușit; total final "&amp;L140&amp;" vs λ="&amp;TEXT(F140,"0.00")&amp;".","Eșec U59,5; total final "&amp;L140&amp;" vs λ="&amp;TEXT(F140,"0.00")&amp;". Revizuiește Tail Risk, sursa λ și calibrarea."))</x:f>
      </x:c>
      <x:c r="T140" s="51"/>
      <x:c r="U140" s="51"/>
      <x:c r="V140" s="51"/>
      <x:c r="W140" s="61"/>
      <x:c r="X140" s="61"/>
      <x:c r="Y140" s="51"/>
      <x:c r="Z140" s="53"/>
      <x:c r="AA140" s="51"/>
      <x:c r="AB140" s="64" t="str">
        <x:f>IF(AC140="","",AC140)</x:f>
      </x:c>
      <x:c r="AC140" s="67"/>
      <x:c r="AD140" s="69" t="str">
        <x:f>IF(AE140="","",AE140)</x:f>
      </x:c>
      <x:c r="AE140" s="71"/>
      <x:c r="AF140" s="73" t="str">
        <x:f>IF(AC140="","",1/AC140)</x:f>
      </x:c>
      <x:c r="AG140" s="61"/>
      <x:c r="AH140" s="61"/>
      <x:c r="AI140" s="64" t="str">
        <x:f>IF(OR(AC140="",AG140=""),"",AC140*AG140-1)</x:f>
      </x:c>
      <x:c r="AJ140" s="75" t="str">
        <x:f>IF(OR(G140="",F140=""),"",IF(AND(G140&gt;='Calibrare v2'!$B$35,F140&lt;='Calibrare v2'!$B$34),"PASS","FAIL"))</x:f>
      </x:c>
      <x:c r="AK140" s="75" t="str">
        <x:f>IF(AL140="","",AL140)</x:f>
      </x:c>
      <x:c r="AL140" s="77"/>
      <x:c r="AM140" s="77"/>
      <x:c r="AN140" s="64" t="str">
        <x:f>IF(OR(AC140="",P140=""),"",(AC140-P140)^2)</x:f>
      </x:c>
      <x:c r="AO140" s="64" t="str">
        <x:f>IF(OR(AG140="",AH140=""),"",AG140/AH140-1)</x:f>
      </x:c>
      <x:c r="AP140" s="61"/>
      <x:c r="AQ140" s="73" t="n">
        <x:f>IF(OR(AM140&lt;&gt;"PARIU U4,5",M140="",AP140="",AG140=""),0,IF(M140="UNDER",AP140*(AG140-1),-AP140))</x:f>
        <x:v>0</x:v>
      </x:c>
      <x:c r="AR140" s="51"/>
    </x:row>
    <x:row r="141">
      <x:c r="A141" s="9" t="str">
        <x:f>IF(D141="","",ROW()-1)</x:f>
      </x:c>
      <x:c r="B141" s="51"/>
      <x:c r="C141" s="51"/>
      <x:c r="D141" s="51"/>
      <x:c r="E141" s="9" t="str">
        <x:f>IF(D141="","",IF(AND(F141&lt;='Calibrare v2'!$B$33,G141&gt;=0.86),"DA – FEZABIL",IF(G141&gt;=0.8,"DA – PRUDENT","NU – EVITĂ")))</x:f>
      </x:c>
      <x:c r="F141" s="16" t="str">
        <x:f>IF(OR(W141="",X141=""),"",W141+X141)</x:f>
      </x:c>
      <x:c r="G141" s="28" t="str">
        <x:f>IF(F141="","",EXP(-F141)*(1+F141+F141^2/2+F141^3/6+F141^4/24))</x:f>
      </x:c>
      <x:c r="H141" s="53"/>
      <x:c r="I141" s="9" t="str">
        <x:f>IF(F141="","",IF(F141&lt;='Calibrare v2'!$B$33,"PASS","FAIL"))</x:f>
      </x:c>
      <x:c r="J141" s="51"/>
      <x:c r="K141" s="51"/>
      <x:c r="L141" s="9" t="str">
        <x:f>IF(OR(J141="",K141=""),"",J141+K141)</x:f>
      </x:c>
      <x:c r="M141" s="9" t="str">
        <x:f>IF(L141="","",IF(L141&lt;=4,"UNDER","OVER"))</x:f>
      </x:c>
      <x:c r="N141" s="9" t="str">
        <x:f>IF(E141="","",IF(LEFT(E141,2)="DA","PARIU U60,5","NO BET"))</x:f>
      </x:c>
      <x:c r="O141" s="9" t="str">
        <x:f>IF(M141="","",IF(AM141="PARIU U60,5",IF(M141="UNDER","SUCCES","EȘEC"),IF(M141="UNDER","FALS NEGATIV","EVITARE CORECTĂ")))</x:f>
      </x:c>
      <x:c r="P141" s="9" t="str">
        <x:f>IF(M141="","",IF(M141="UNDER",1,0))</x:f>
      </x:c>
      <x:c r="Q141" s="9" t="str">
        <x:f>IF(P141="","",(G141-P141)^2)</x:f>
      </x:c>
      <x:c r="R141" s="9" t="str">
        <x:f>IF(L141="","",L141-F141)</x:f>
      </x:c>
      <x:c r="S141" s="9" t="str">
        <x:f>IF(L141="","",IF(M141="UNDER","U60,5 reușit; total final "&amp;L141&amp;" vs λ="&amp;TEXT(F141,"0.00")&amp;".","Eșec U60,5; total final "&amp;L141&amp;" vs λ="&amp;TEXT(F141,"0.00")&amp;". Revizuiește Tail Risk, sursa λ și calibrarea."))</x:f>
      </x:c>
      <x:c r="T141" s="51"/>
      <x:c r="U141" s="51"/>
      <x:c r="V141" s="51"/>
      <x:c r="W141" s="61"/>
      <x:c r="X141" s="61"/>
      <x:c r="Y141" s="51"/>
      <x:c r="Z141" s="53"/>
      <x:c r="AA141" s="51"/>
      <x:c r="AB141" s="64" t="str">
        <x:f>IF(AC141="","",AC141)</x:f>
      </x:c>
      <x:c r="AC141" s="67"/>
      <x:c r="AD141" s="69" t="str">
        <x:f>IF(AE141="","",AE141)</x:f>
      </x:c>
      <x:c r="AE141" s="71"/>
      <x:c r="AF141" s="73" t="str">
        <x:f>IF(AC141="","",1/AC141)</x:f>
      </x:c>
      <x:c r="AG141" s="61"/>
      <x:c r="AH141" s="61"/>
      <x:c r="AI141" s="64" t="str">
        <x:f>IF(OR(AC141="",AG141=""),"",AC141*AG141-1)</x:f>
      </x:c>
      <x:c r="AJ141" s="75" t="str">
        <x:f>IF(OR(G141="",F141=""),"",IF(AND(G141&gt;='Calibrare v2'!$B$35,F141&lt;='Calibrare v2'!$B$34),"PASS","FAIL"))</x:f>
      </x:c>
      <x:c r="AK141" s="75" t="str">
        <x:f>IF(AL141="","",AL141)</x:f>
      </x:c>
      <x:c r="AL141" s="77"/>
      <x:c r="AM141" s="77"/>
      <x:c r="AN141" s="64" t="str">
        <x:f>IF(OR(AC141="",P141=""),"",(AC141-P141)^2)</x:f>
      </x:c>
      <x:c r="AO141" s="64" t="str">
        <x:f>IF(OR(AG141="",AH141=""),"",AG141/AH141-1)</x:f>
      </x:c>
      <x:c r="AP141" s="61"/>
      <x:c r="AQ141" s="73" t="n">
        <x:f>IF(OR(AM141&lt;&gt;"PARIU U4,5",M141="",AP141="",AG141=""),0,IF(M141="UNDER",AP141*(AG141-1),-AP141))</x:f>
        <x:v>0</x:v>
      </x:c>
      <x:c r="AR141" s="51"/>
    </x:row>
    <x:row r="142">
      <x:c r="A142" s="9" t="str">
        <x:f>IF(D142="","",ROW()-1)</x:f>
      </x:c>
      <x:c r="B142" s="51"/>
      <x:c r="C142" s="51"/>
      <x:c r="D142" s="51"/>
      <x:c r="E142" s="9" t="str">
        <x:f>IF(D142="","",IF(AND(F142&lt;='Calibrare v2'!$B$33,G142&gt;=0.86),"DA – FEZABIL",IF(G142&gt;=0.8,"DA – PRUDENT","NU – EVITĂ")))</x:f>
      </x:c>
      <x:c r="F142" s="16" t="str">
        <x:f>IF(OR(W142="",X142=""),"",W142+X142)</x:f>
      </x:c>
      <x:c r="G142" s="28" t="str">
        <x:f>IF(F142="","",EXP(-F142)*(1+F142+F142^2/2+F142^3/6+F142^4/24))</x:f>
      </x:c>
      <x:c r="H142" s="53"/>
      <x:c r="I142" s="9" t="str">
        <x:f>IF(F142="","",IF(F142&lt;='Calibrare v2'!$B$33,"PASS","FAIL"))</x:f>
      </x:c>
      <x:c r="J142" s="51"/>
      <x:c r="K142" s="51"/>
      <x:c r="L142" s="9" t="str">
        <x:f>IF(OR(J142="",K142=""),"",J142+K142)</x:f>
      </x:c>
      <x:c r="M142" s="9" t="str">
        <x:f>IF(L142="","",IF(L142&lt;=4,"UNDER","OVER"))</x:f>
      </x:c>
      <x:c r="N142" s="9" t="str">
        <x:f>IF(E142="","",IF(LEFT(E142,2)="DA","PARIU U61,5","NO BET"))</x:f>
      </x:c>
      <x:c r="O142" s="9" t="str">
        <x:f>IF(M142="","",IF(AM142="PARIU U61,5",IF(M142="UNDER","SUCCES","EȘEC"),IF(M142="UNDER","FALS NEGATIV","EVITARE CORECTĂ")))</x:f>
      </x:c>
      <x:c r="P142" s="9" t="str">
        <x:f>IF(M142="","",IF(M142="UNDER",1,0))</x:f>
      </x:c>
      <x:c r="Q142" s="9" t="str">
        <x:f>IF(P142="","",(G142-P142)^2)</x:f>
      </x:c>
      <x:c r="R142" s="9" t="str">
        <x:f>IF(L142="","",L142-F142)</x:f>
      </x:c>
      <x:c r="S142" s="9" t="str">
        <x:f>IF(L142="","",IF(M142="UNDER","U61,5 reușit; total final "&amp;L142&amp;" vs λ="&amp;TEXT(F142,"0.00")&amp;".","Eșec U61,5; total final "&amp;L142&amp;" vs λ="&amp;TEXT(F142,"0.00")&amp;". Revizuiește Tail Risk, sursa λ și calibrarea."))</x:f>
      </x:c>
      <x:c r="T142" s="51"/>
      <x:c r="U142" s="51"/>
      <x:c r="V142" s="51"/>
      <x:c r="W142" s="61"/>
      <x:c r="X142" s="61"/>
      <x:c r="Y142" s="51"/>
      <x:c r="Z142" s="53"/>
      <x:c r="AA142" s="51"/>
      <x:c r="AB142" s="64" t="str">
        <x:f>IF(AC142="","",AC142)</x:f>
      </x:c>
      <x:c r="AC142" s="67"/>
      <x:c r="AD142" s="69" t="str">
        <x:f>IF(AE142="","",AE142)</x:f>
      </x:c>
      <x:c r="AE142" s="71"/>
      <x:c r="AF142" s="73" t="str">
        <x:f>IF(AC142="","",1/AC142)</x:f>
      </x:c>
      <x:c r="AG142" s="61"/>
      <x:c r="AH142" s="61"/>
      <x:c r="AI142" s="64" t="str">
        <x:f>IF(OR(AC142="",AG142=""),"",AC142*AG142-1)</x:f>
      </x:c>
      <x:c r="AJ142" s="75" t="str">
        <x:f>IF(OR(G142="",F142=""),"",IF(AND(G142&gt;='Calibrare v2'!$B$35,F142&lt;='Calibrare v2'!$B$34),"PASS","FAIL"))</x:f>
      </x:c>
      <x:c r="AK142" s="75" t="str">
        <x:f>IF(AL142="","",AL142)</x:f>
      </x:c>
      <x:c r="AL142" s="77"/>
      <x:c r="AM142" s="77"/>
      <x:c r="AN142" s="64" t="str">
        <x:f>IF(OR(AC142="",P142=""),"",(AC142-P142)^2)</x:f>
      </x:c>
      <x:c r="AO142" s="64" t="str">
        <x:f>IF(OR(AG142="",AH142=""),"",AG142/AH142-1)</x:f>
      </x:c>
      <x:c r="AP142" s="61"/>
      <x:c r="AQ142" s="73" t="n">
        <x:f>IF(OR(AM142&lt;&gt;"PARIU U4,5",M142="",AP142="",AG142=""),0,IF(M142="UNDER",AP142*(AG142-1),-AP142))</x:f>
        <x:v>0</x:v>
      </x:c>
      <x:c r="AR142" s="51"/>
    </x:row>
    <x:row r="143">
      <x:c r="A143" s="9" t="str">
        <x:f>IF(D143="","",ROW()-1)</x:f>
      </x:c>
      <x:c r="B143" s="51"/>
      <x:c r="C143" s="51"/>
      <x:c r="D143" s="51"/>
      <x:c r="E143" s="9" t="str">
        <x:f>IF(D143="","",IF(AND(F143&lt;='Calibrare v2'!$B$33,G143&gt;=0.86),"DA – FEZABIL",IF(G143&gt;=0.8,"DA – PRUDENT","NU – EVITĂ")))</x:f>
      </x:c>
      <x:c r="F143" s="16" t="str">
        <x:f>IF(OR(W143="",X143=""),"",W143+X143)</x:f>
      </x:c>
      <x:c r="G143" s="28" t="str">
        <x:f>IF(F143="","",EXP(-F143)*(1+F143+F143^2/2+F143^3/6+F143^4/24))</x:f>
      </x:c>
      <x:c r="H143" s="53"/>
      <x:c r="I143" s="9" t="str">
        <x:f>IF(F143="","",IF(F143&lt;='Calibrare v2'!$B$33,"PASS","FAIL"))</x:f>
      </x:c>
      <x:c r="J143" s="51"/>
      <x:c r="K143" s="51"/>
      <x:c r="L143" s="9" t="str">
        <x:f>IF(OR(J143="",K143=""),"",J143+K143)</x:f>
      </x:c>
      <x:c r="M143" s="9" t="str">
        <x:f>IF(L143="","",IF(L143&lt;=4,"UNDER","OVER"))</x:f>
      </x:c>
      <x:c r="N143" s="9" t="str">
        <x:f>IF(E143="","",IF(LEFT(E143,2)="DA","PARIU U62,5","NO BET"))</x:f>
      </x:c>
      <x:c r="O143" s="9" t="str">
        <x:f>IF(M143="","",IF(AM143="PARIU U62,5",IF(M143="UNDER","SUCCES","EȘEC"),IF(M143="UNDER","FALS NEGATIV","EVITARE CORECTĂ")))</x:f>
      </x:c>
      <x:c r="P143" s="9" t="str">
        <x:f>IF(M143="","",IF(M143="UNDER",1,0))</x:f>
      </x:c>
      <x:c r="Q143" s="9" t="str">
        <x:f>IF(P143="","",(G143-P143)^2)</x:f>
      </x:c>
      <x:c r="R143" s="9" t="str">
        <x:f>IF(L143="","",L143-F143)</x:f>
      </x:c>
      <x:c r="S143" s="9" t="str">
        <x:f>IF(L143="","",IF(M143="UNDER","U62,5 reușit; total final "&amp;L143&amp;" vs λ="&amp;TEXT(F143,"0.00")&amp;".","Eșec U62,5; total final "&amp;L143&amp;" vs λ="&amp;TEXT(F143,"0.00")&amp;". Revizuiește Tail Risk, sursa λ și calibrarea."))</x:f>
      </x:c>
      <x:c r="T143" s="51"/>
      <x:c r="U143" s="51"/>
      <x:c r="V143" s="51"/>
      <x:c r="W143" s="61"/>
      <x:c r="X143" s="61"/>
      <x:c r="Y143" s="51"/>
      <x:c r="Z143" s="53"/>
      <x:c r="AA143" s="51"/>
      <x:c r="AB143" s="64" t="str">
        <x:f>IF(AC143="","",AC143)</x:f>
      </x:c>
      <x:c r="AC143" s="67"/>
      <x:c r="AD143" s="69" t="str">
        <x:f>IF(AE143="","",AE143)</x:f>
      </x:c>
      <x:c r="AE143" s="71"/>
      <x:c r="AF143" s="73" t="str">
        <x:f>IF(AC143="","",1/AC143)</x:f>
      </x:c>
      <x:c r="AG143" s="61"/>
      <x:c r="AH143" s="61"/>
      <x:c r="AI143" s="64" t="str">
        <x:f>IF(OR(AC143="",AG143=""),"",AC143*AG143-1)</x:f>
      </x:c>
      <x:c r="AJ143" s="75" t="str">
        <x:f>IF(OR(G143="",F143=""),"",IF(AND(G143&gt;='Calibrare v2'!$B$35,F143&lt;='Calibrare v2'!$B$34),"PASS","FAIL"))</x:f>
      </x:c>
      <x:c r="AK143" s="75" t="str">
        <x:f>IF(AL143="","",AL143)</x:f>
      </x:c>
      <x:c r="AL143" s="77"/>
      <x:c r="AM143" s="77"/>
      <x:c r="AN143" s="64" t="str">
        <x:f>IF(OR(AC143="",P143=""),"",(AC143-P143)^2)</x:f>
      </x:c>
      <x:c r="AO143" s="64" t="str">
        <x:f>IF(OR(AG143="",AH143=""),"",AG143/AH143-1)</x:f>
      </x:c>
      <x:c r="AP143" s="61"/>
      <x:c r="AQ143" s="73" t="n">
        <x:f>IF(OR(AM143&lt;&gt;"PARIU U4,5",M143="",AP143="",AG143=""),0,IF(M143="UNDER",AP143*(AG143-1),-AP143))</x:f>
        <x:v>0</x:v>
      </x:c>
      <x:c r="AR143" s="51"/>
    </x:row>
    <x:row r="144">
      <x:c r="A144" s="9" t="str">
        <x:f>IF(D144="","",ROW()-1)</x:f>
      </x:c>
      <x:c r="B144" s="51"/>
      <x:c r="C144" s="51"/>
      <x:c r="D144" s="51"/>
      <x:c r="E144" s="9" t="str">
        <x:f>IF(D144="","",IF(AND(F144&lt;='Calibrare v2'!$B$33,G144&gt;=0.86),"DA – FEZABIL",IF(G144&gt;=0.8,"DA – PRUDENT","NU – EVITĂ")))</x:f>
      </x:c>
      <x:c r="F144" s="16" t="str">
        <x:f>IF(OR(W144="",X144=""),"",W144+X144)</x:f>
      </x:c>
      <x:c r="G144" s="28" t="str">
        <x:f>IF(F144="","",EXP(-F144)*(1+F144+F144^2/2+F144^3/6+F144^4/24))</x:f>
      </x:c>
      <x:c r="H144" s="53"/>
      <x:c r="I144" s="9" t="str">
        <x:f>IF(F144="","",IF(F144&lt;='Calibrare v2'!$B$33,"PASS","FAIL"))</x:f>
      </x:c>
      <x:c r="J144" s="51"/>
      <x:c r="K144" s="51"/>
      <x:c r="L144" s="9" t="str">
        <x:f>IF(OR(J144="",K144=""),"",J144+K144)</x:f>
      </x:c>
      <x:c r="M144" s="9" t="str">
        <x:f>IF(L144="","",IF(L144&lt;=4,"UNDER","OVER"))</x:f>
      </x:c>
      <x:c r="N144" s="9" t="str">
        <x:f>IF(E144="","",IF(LEFT(E144,2)="DA","PARIU U63,5","NO BET"))</x:f>
      </x:c>
      <x:c r="O144" s="9" t="str">
        <x:f>IF(M144="","",IF(AM144="PARIU U63,5",IF(M144="UNDER","SUCCES","EȘEC"),IF(M144="UNDER","FALS NEGATIV","EVITARE CORECTĂ")))</x:f>
      </x:c>
      <x:c r="P144" s="9" t="str">
        <x:f>IF(M144="","",IF(M144="UNDER",1,0))</x:f>
      </x:c>
      <x:c r="Q144" s="9" t="str">
        <x:f>IF(P144="","",(G144-P144)^2)</x:f>
      </x:c>
      <x:c r="R144" s="9" t="str">
        <x:f>IF(L144="","",L144-F144)</x:f>
      </x:c>
      <x:c r="S144" s="9" t="str">
        <x:f>IF(L144="","",IF(M144="UNDER","U63,5 reușit; total final "&amp;L144&amp;" vs λ="&amp;TEXT(F144,"0.00")&amp;".","Eșec U63,5; total final "&amp;L144&amp;" vs λ="&amp;TEXT(F144,"0.00")&amp;". Revizuiește Tail Risk, sursa λ și calibrarea."))</x:f>
      </x:c>
      <x:c r="T144" s="51"/>
      <x:c r="U144" s="51"/>
      <x:c r="V144" s="51"/>
      <x:c r="W144" s="61"/>
      <x:c r="X144" s="61"/>
      <x:c r="Y144" s="51"/>
      <x:c r="Z144" s="53"/>
      <x:c r="AA144" s="51"/>
      <x:c r="AB144" s="64" t="str">
        <x:f>IF(AC144="","",AC144)</x:f>
      </x:c>
      <x:c r="AC144" s="67"/>
      <x:c r="AD144" s="69" t="str">
        <x:f>IF(AE144="","",AE144)</x:f>
      </x:c>
      <x:c r="AE144" s="71"/>
      <x:c r="AF144" s="73" t="str">
        <x:f>IF(AC144="","",1/AC144)</x:f>
      </x:c>
      <x:c r="AG144" s="61"/>
      <x:c r="AH144" s="61"/>
      <x:c r="AI144" s="64" t="str">
        <x:f>IF(OR(AC144="",AG144=""),"",AC144*AG144-1)</x:f>
      </x:c>
      <x:c r="AJ144" s="75" t="str">
        <x:f>IF(OR(G144="",F144=""),"",IF(AND(G144&gt;='Calibrare v2'!$B$35,F144&lt;='Calibrare v2'!$B$34),"PASS","FAIL"))</x:f>
      </x:c>
      <x:c r="AK144" s="75" t="str">
        <x:f>IF(AL144="","",AL144)</x:f>
      </x:c>
      <x:c r="AL144" s="77"/>
      <x:c r="AM144" s="77"/>
      <x:c r="AN144" s="64" t="str">
        <x:f>IF(OR(AC144="",P144=""),"",(AC144-P144)^2)</x:f>
      </x:c>
      <x:c r="AO144" s="64" t="str">
        <x:f>IF(OR(AG144="",AH144=""),"",AG144/AH144-1)</x:f>
      </x:c>
      <x:c r="AP144" s="61"/>
      <x:c r="AQ144" s="73" t="n">
        <x:f>IF(OR(AM144&lt;&gt;"PARIU U4,5",M144="",AP144="",AG144=""),0,IF(M144="UNDER",AP144*(AG144-1),-AP144))</x:f>
        <x:v>0</x:v>
      </x:c>
      <x:c r="AR144" s="51"/>
    </x:row>
    <x:row r="145">
      <x:c r="A145" s="9" t="str">
        <x:f>IF(D145="","",ROW()-1)</x:f>
      </x:c>
      <x:c r="B145" s="51"/>
      <x:c r="C145" s="51"/>
      <x:c r="D145" s="51"/>
      <x:c r="E145" s="9" t="str">
        <x:f>IF(D145="","",IF(AND(F145&lt;='Calibrare v2'!$B$33,G145&gt;=0.86),"DA – FEZABIL",IF(G145&gt;=0.8,"DA – PRUDENT","NU – EVITĂ")))</x:f>
      </x:c>
      <x:c r="F145" s="16" t="str">
        <x:f>IF(OR(W145="",X145=""),"",W145+X145)</x:f>
      </x:c>
      <x:c r="G145" s="28" t="str">
        <x:f>IF(F145="","",EXP(-F145)*(1+F145+F145^2/2+F145^3/6+F145^4/24))</x:f>
      </x:c>
      <x:c r="H145" s="53"/>
      <x:c r="I145" s="9" t="str">
        <x:f>IF(F145="","",IF(F145&lt;='Calibrare v2'!$B$33,"PASS","FAIL"))</x:f>
      </x:c>
      <x:c r="J145" s="51"/>
      <x:c r="K145" s="51"/>
      <x:c r="L145" s="9" t="str">
        <x:f>IF(OR(J145="",K145=""),"",J145+K145)</x:f>
      </x:c>
      <x:c r="M145" s="9" t="str">
        <x:f>IF(L145="","",IF(L145&lt;=4,"UNDER","OVER"))</x:f>
      </x:c>
      <x:c r="N145" s="9" t="str">
        <x:f>IF(E145="","",IF(LEFT(E145,2)="DA","PARIU U64,5","NO BET"))</x:f>
      </x:c>
      <x:c r="O145" s="9" t="str">
        <x:f>IF(M145="","",IF(AM145="PARIU U64,5",IF(M145="UNDER","SUCCES","EȘEC"),IF(M145="UNDER","FALS NEGATIV","EVITARE CORECTĂ")))</x:f>
      </x:c>
      <x:c r="P145" s="9" t="str">
        <x:f>IF(M145="","",IF(M145="UNDER",1,0))</x:f>
      </x:c>
      <x:c r="Q145" s="9" t="str">
        <x:f>IF(P145="","",(G145-P145)^2)</x:f>
      </x:c>
      <x:c r="R145" s="9" t="str">
        <x:f>IF(L145="","",L145-F145)</x:f>
      </x:c>
      <x:c r="S145" s="9" t="str">
        <x:f>IF(L145="","",IF(M145="UNDER","U64,5 reușit; total final "&amp;L145&amp;" vs λ="&amp;TEXT(F145,"0.00")&amp;".","Eșec U64,5; total final "&amp;L145&amp;" vs λ="&amp;TEXT(F145,"0.00")&amp;". Revizuiește Tail Risk, sursa λ și calibrarea."))</x:f>
      </x:c>
      <x:c r="T145" s="51"/>
      <x:c r="U145" s="51"/>
      <x:c r="V145" s="51"/>
      <x:c r="W145" s="61"/>
      <x:c r="X145" s="61"/>
      <x:c r="Y145" s="51"/>
      <x:c r="Z145" s="53"/>
      <x:c r="AA145" s="51"/>
      <x:c r="AB145" s="64" t="str">
        <x:f>IF(AC145="","",AC145)</x:f>
      </x:c>
      <x:c r="AC145" s="67"/>
      <x:c r="AD145" s="69" t="str">
        <x:f>IF(AE145="","",AE145)</x:f>
      </x:c>
      <x:c r="AE145" s="71"/>
      <x:c r="AF145" s="73" t="str">
        <x:f>IF(AC145="","",1/AC145)</x:f>
      </x:c>
      <x:c r="AG145" s="61"/>
      <x:c r="AH145" s="61"/>
      <x:c r="AI145" s="64" t="str">
        <x:f>IF(OR(AC145="",AG145=""),"",AC145*AG145-1)</x:f>
      </x:c>
      <x:c r="AJ145" s="75" t="str">
        <x:f>IF(OR(G145="",F145=""),"",IF(AND(G145&gt;='Calibrare v2'!$B$35,F145&lt;='Calibrare v2'!$B$34),"PASS","FAIL"))</x:f>
      </x:c>
      <x:c r="AK145" s="75" t="str">
        <x:f>IF(AL145="","",AL145)</x:f>
      </x:c>
      <x:c r="AL145" s="77"/>
      <x:c r="AM145" s="77"/>
      <x:c r="AN145" s="64" t="str">
        <x:f>IF(OR(AC145="",P145=""),"",(AC145-P145)^2)</x:f>
      </x:c>
      <x:c r="AO145" s="64" t="str">
        <x:f>IF(OR(AG145="",AH145=""),"",AG145/AH145-1)</x:f>
      </x:c>
      <x:c r="AP145" s="61"/>
      <x:c r="AQ145" s="73" t="n">
        <x:f>IF(OR(AM145&lt;&gt;"PARIU U4,5",M145="",AP145="",AG145=""),0,IF(M145="UNDER",AP145*(AG145-1),-AP145))</x:f>
        <x:v>0</x:v>
      </x:c>
      <x:c r="AR145" s="51"/>
    </x:row>
    <x:row r="146">
      <x:c r="A146" s="9" t="str">
        <x:f>IF(D146="","",ROW()-1)</x:f>
      </x:c>
      <x:c r="B146" s="51"/>
      <x:c r="C146" s="51"/>
      <x:c r="D146" s="51"/>
      <x:c r="E146" s="9" t="str">
        <x:f>IF(D146="","",IF(AND(F146&lt;='Calibrare v2'!$B$33,G146&gt;=0.86),"DA – FEZABIL",IF(G146&gt;=0.8,"DA – PRUDENT","NU – EVITĂ")))</x:f>
      </x:c>
      <x:c r="F146" s="16" t="str">
        <x:f>IF(OR(W146="",X146=""),"",W146+X146)</x:f>
      </x:c>
      <x:c r="G146" s="28" t="str">
        <x:f>IF(F146="","",EXP(-F146)*(1+F146+F146^2/2+F146^3/6+F146^4/24))</x:f>
      </x:c>
      <x:c r="H146" s="53"/>
      <x:c r="I146" s="9" t="str">
        <x:f>IF(F146="","",IF(F146&lt;='Calibrare v2'!$B$33,"PASS","FAIL"))</x:f>
      </x:c>
      <x:c r="J146" s="51"/>
      <x:c r="K146" s="51"/>
      <x:c r="L146" s="9" t="str">
        <x:f>IF(OR(J146="",K146=""),"",J146+K146)</x:f>
      </x:c>
      <x:c r="M146" s="9" t="str">
        <x:f>IF(L146="","",IF(L146&lt;=4,"UNDER","OVER"))</x:f>
      </x:c>
      <x:c r="N146" s="9" t="str">
        <x:f>IF(E146="","",IF(LEFT(E146,2)="DA","PARIU U65,5","NO BET"))</x:f>
      </x:c>
      <x:c r="O146" s="9" t="str">
        <x:f>IF(M146="","",IF(AM146="PARIU U65,5",IF(M146="UNDER","SUCCES","EȘEC"),IF(M146="UNDER","FALS NEGATIV","EVITARE CORECTĂ")))</x:f>
      </x:c>
      <x:c r="P146" s="9" t="str">
        <x:f>IF(M146="","",IF(M146="UNDER",1,0))</x:f>
      </x:c>
      <x:c r="Q146" s="9" t="str">
        <x:f>IF(P146="","",(G146-P146)^2)</x:f>
      </x:c>
      <x:c r="R146" s="9" t="str">
        <x:f>IF(L146="","",L146-F146)</x:f>
      </x:c>
      <x:c r="S146" s="9" t="str">
        <x:f>IF(L146="","",IF(M146="UNDER","U65,5 reușit; total final "&amp;L146&amp;" vs λ="&amp;TEXT(F146,"0.00")&amp;".","Eșec U65,5; total final "&amp;L146&amp;" vs λ="&amp;TEXT(F146,"0.00")&amp;". Revizuiește Tail Risk, sursa λ și calibrarea."))</x:f>
      </x:c>
      <x:c r="T146" s="51"/>
      <x:c r="U146" s="51"/>
      <x:c r="V146" s="51"/>
      <x:c r="W146" s="61"/>
      <x:c r="X146" s="61"/>
      <x:c r="Y146" s="51"/>
      <x:c r="Z146" s="53"/>
      <x:c r="AA146" s="51"/>
      <x:c r="AB146" s="64" t="str">
        <x:f>IF(AC146="","",AC146)</x:f>
      </x:c>
      <x:c r="AC146" s="67"/>
      <x:c r="AD146" s="69" t="str">
        <x:f>IF(AE146="","",AE146)</x:f>
      </x:c>
      <x:c r="AE146" s="71"/>
      <x:c r="AF146" s="73" t="str">
        <x:f>IF(AC146="","",1/AC146)</x:f>
      </x:c>
      <x:c r="AG146" s="61"/>
      <x:c r="AH146" s="61"/>
      <x:c r="AI146" s="64" t="str">
        <x:f>IF(OR(AC146="",AG146=""),"",AC146*AG146-1)</x:f>
      </x:c>
      <x:c r="AJ146" s="75" t="str">
        <x:f>IF(OR(G146="",F146=""),"",IF(AND(G146&gt;='Calibrare v2'!$B$35,F146&lt;='Calibrare v2'!$B$34),"PASS","FAIL"))</x:f>
      </x:c>
      <x:c r="AK146" s="75" t="str">
        <x:f>IF(AL146="","",AL146)</x:f>
      </x:c>
      <x:c r="AL146" s="77"/>
      <x:c r="AM146" s="77"/>
      <x:c r="AN146" s="64" t="str">
        <x:f>IF(OR(AC146="",P146=""),"",(AC146-P146)^2)</x:f>
      </x:c>
      <x:c r="AO146" s="64" t="str">
        <x:f>IF(OR(AG146="",AH146=""),"",AG146/AH146-1)</x:f>
      </x:c>
      <x:c r="AP146" s="61"/>
      <x:c r="AQ146" s="73" t="n">
        <x:f>IF(OR(AM146&lt;&gt;"PARIU U4,5",M146="",AP146="",AG146=""),0,IF(M146="UNDER",AP146*(AG146-1),-AP146))</x:f>
        <x:v>0</x:v>
      </x:c>
      <x:c r="AR146" s="51"/>
    </x:row>
    <x:row r="147">
      <x:c r="A147" s="9" t="str">
        <x:f>IF(D147="","",ROW()-1)</x:f>
      </x:c>
      <x:c r="B147" s="51"/>
      <x:c r="C147" s="51"/>
      <x:c r="D147" s="51"/>
      <x:c r="E147" s="9" t="str">
        <x:f>IF(D147="","",IF(AND(F147&lt;='Calibrare v2'!$B$33,G147&gt;=0.86),"DA – FEZABIL",IF(G147&gt;=0.8,"DA – PRUDENT","NU – EVITĂ")))</x:f>
      </x:c>
      <x:c r="F147" s="16" t="str">
        <x:f>IF(OR(W147="",X147=""),"",W147+X147)</x:f>
      </x:c>
      <x:c r="G147" s="28" t="str">
        <x:f>IF(F147="","",EXP(-F147)*(1+F147+F147^2/2+F147^3/6+F147^4/24))</x:f>
      </x:c>
      <x:c r="H147" s="53"/>
      <x:c r="I147" s="9" t="str">
        <x:f>IF(F147="","",IF(F147&lt;='Calibrare v2'!$B$33,"PASS","FAIL"))</x:f>
      </x:c>
      <x:c r="J147" s="51"/>
      <x:c r="K147" s="51"/>
      <x:c r="L147" s="9" t="str">
        <x:f>IF(OR(J147="",K147=""),"",J147+K147)</x:f>
      </x:c>
      <x:c r="M147" s="9" t="str">
        <x:f>IF(L147="","",IF(L147&lt;=4,"UNDER","OVER"))</x:f>
      </x:c>
      <x:c r="N147" s="9" t="str">
        <x:f>IF(E147="","",IF(LEFT(E147,2)="DA","PARIU U66,5","NO BET"))</x:f>
      </x:c>
      <x:c r="O147" s="9" t="str">
        <x:f>IF(M147="","",IF(AM147="PARIU U66,5",IF(M147="UNDER","SUCCES","EȘEC"),IF(M147="UNDER","FALS NEGATIV","EVITARE CORECTĂ")))</x:f>
      </x:c>
      <x:c r="P147" s="9" t="str">
        <x:f>IF(M147="","",IF(M147="UNDER",1,0))</x:f>
      </x:c>
      <x:c r="Q147" s="9" t="str">
        <x:f>IF(P147="","",(G147-P147)^2)</x:f>
      </x:c>
      <x:c r="R147" s="9" t="str">
        <x:f>IF(L147="","",L147-F147)</x:f>
      </x:c>
      <x:c r="S147" s="9" t="str">
        <x:f>IF(L147="","",IF(M147="UNDER","U66,5 reușit; total final "&amp;L147&amp;" vs λ="&amp;TEXT(F147,"0.00")&amp;".","Eșec U66,5; total final "&amp;L147&amp;" vs λ="&amp;TEXT(F147,"0.00")&amp;". Revizuiește Tail Risk, sursa λ și calibrarea."))</x:f>
      </x:c>
      <x:c r="T147" s="51"/>
      <x:c r="U147" s="51"/>
      <x:c r="V147" s="51"/>
      <x:c r="W147" s="61"/>
      <x:c r="X147" s="61"/>
      <x:c r="Y147" s="51"/>
      <x:c r="Z147" s="53"/>
      <x:c r="AA147" s="51"/>
      <x:c r="AB147" s="64" t="str">
        <x:f>IF(AC147="","",AC147)</x:f>
      </x:c>
      <x:c r="AC147" s="67"/>
      <x:c r="AD147" s="69" t="str">
        <x:f>IF(AE147="","",AE147)</x:f>
      </x:c>
      <x:c r="AE147" s="71"/>
      <x:c r="AF147" s="73" t="str">
        <x:f>IF(AC147="","",1/AC147)</x:f>
      </x:c>
      <x:c r="AG147" s="61"/>
      <x:c r="AH147" s="61"/>
      <x:c r="AI147" s="64" t="str">
        <x:f>IF(OR(AC147="",AG147=""),"",AC147*AG147-1)</x:f>
      </x:c>
      <x:c r="AJ147" s="75" t="str">
        <x:f>IF(OR(G147="",F147=""),"",IF(AND(G147&gt;='Calibrare v2'!$B$35,F147&lt;='Calibrare v2'!$B$34),"PASS","FAIL"))</x:f>
      </x:c>
      <x:c r="AK147" s="75" t="str">
        <x:f>IF(AL147="","",AL147)</x:f>
      </x:c>
      <x:c r="AL147" s="77"/>
      <x:c r="AM147" s="77"/>
      <x:c r="AN147" s="64" t="str">
        <x:f>IF(OR(AC147="",P147=""),"",(AC147-P147)^2)</x:f>
      </x:c>
      <x:c r="AO147" s="64" t="str">
        <x:f>IF(OR(AG147="",AH147=""),"",AG147/AH147-1)</x:f>
      </x:c>
      <x:c r="AP147" s="61"/>
      <x:c r="AQ147" s="73" t="n">
        <x:f>IF(OR(AM147&lt;&gt;"PARIU U4,5",M147="",AP147="",AG147=""),0,IF(M147="UNDER",AP147*(AG147-1),-AP147))</x:f>
        <x:v>0</x:v>
      </x:c>
      <x:c r="AR147" s="51"/>
    </x:row>
    <x:row r="148">
      <x:c r="A148" s="9" t="str">
        <x:f>IF(D148="","",ROW()-1)</x:f>
      </x:c>
      <x:c r="B148" s="51"/>
      <x:c r="C148" s="51"/>
      <x:c r="D148" s="51"/>
      <x:c r="E148" s="9" t="str">
        <x:f>IF(D148="","",IF(AND(F148&lt;='Calibrare v2'!$B$33,G148&gt;=0.86),"DA – FEZABIL",IF(G148&gt;=0.8,"DA – PRUDENT","NU – EVITĂ")))</x:f>
      </x:c>
      <x:c r="F148" s="16" t="str">
        <x:f>IF(OR(W148="",X148=""),"",W148+X148)</x:f>
      </x:c>
      <x:c r="G148" s="28" t="str">
        <x:f>IF(F148="","",EXP(-F148)*(1+F148+F148^2/2+F148^3/6+F148^4/24))</x:f>
      </x:c>
      <x:c r="H148" s="53"/>
      <x:c r="I148" s="9" t="str">
        <x:f>IF(F148="","",IF(F148&lt;='Calibrare v2'!$B$33,"PASS","FAIL"))</x:f>
      </x:c>
      <x:c r="J148" s="51"/>
      <x:c r="K148" s="51"/>
      <x:c r="L148" s="9" t="str">
        <x:f>IF(OR(J148="",K148=""),"",J148+K148)</x:f>
      </x:c>
      <x:c r="M148" s="9" t="str">
        <x:f>IF(L148="","",IF(L148&lt;=4,"UNDER","OVER"))</x:f>
      </x:c>
      <x:c r="N148" s="9" t="str">
        <x:f>IF(E148="","",IF(LEFT(E148,2)="DA","PARIU U67,5","NO BET"))</x:f>
      </x:c>
      <x:c r="O148" s="9" t="str">
        <x:f>IF(M148="","",IF(AM148="PARIU U67,5",IF(M148="UNDER","SUCCES","EȘEC"),IF(M148="UNDER","FALS NEGATIV","EVITARE CORECTĂ")))</x:f>
      </x:c>
      <x:c r="P148" s="9" t="str">
        <x:f>IF(M148="","",IF(M148="UNDER",1,0))</x:f>
      </x:c>
      <x:c r="Q148" s="9" t="str">
        <x:f>IF(P148="","",(G148-P148)^2)</x:f>
      </x:c>
      <x:c r="R148" s="9" t="str">
        <x:f>IF(L148="","",L148-F148)</x:f>
      </x:c>
      <x:c r="S148" s="9" t="str">
        <x:f>IF(L148="","",IF(M148="UNDER","U67,5 reușit; total final "&amp;L148&amp;" vs λ="&amp;TEXT(F148,"0.00")&amp;".","Eșec U67,5; total final "&amp;L148&amp;" vs λ="&amp;TEXT(F148,"0.00")&amp;". Revizuiește Tail Risk, sursa λ și calibrarea."))</x:f>
      </x:c>
      <x:c r="T148" s="51"/>
      <x:c r="U148" s="51"/>
      <x:c r="V148" s="51"/>
      <x:c r="W148" s="61"/>
      <x:c r="X148" s="61"/>
      <x:c r="Y148" s="51"/>
      <x:c r="Z148" s="53"/>
      <x:c r="AA148" s="51"/>
      <x:c r="AB148" s="64" t="str">
        <x:f>IF(AC148="","",AC148)</x:f>
      </x:c>
      <x:c r="AC148" s="67"/>
      <x:c r="AD148" s="69" t="str">
        <x:f>IF(AE148="","",AE148)</x:f>
      </x:c>
      <x:c r="AE148" s="71"/>
      <x:c r="AF148" s="73" t="str">
        <x:f>IF(AC148="","",1/AC148)</x:f>
      </x:c>
      <x:c r="AG148" s="61"/>
      <x:c r="AH148" s="61"/>
      <x:c r="AI148" s="64" t="str">
        <x:f>IF(OR(AC148="",AG148=""),"",AC148*AG148-1)</x:f>
      </x:c>
      <x:c r="AJ148" s="75" t="str">
        <x:f>IF(OR(G148="",F148=""),"",IF(AND(G148&gt;='Calibrare v2'!$B$35,F148&lt;='Calibrare v2'!$B$34),"PASS","FAIL"))</x:f>
      </x:c>
      <x:c r="AK148" s="75" t="str">
        <x:f>IF(AL148="","",AL148)</x:f>
      </x:c>
      <x:c r="AL148" s="77"/>
      <x:c r="AM148" s="77"/>
      <x:c r="AN148" s="64" t="str">
        <x:f>IF(OR(AC148="",P148=""),"",(AC148-P148)^2)</x:f>
      </x:c>
      <x:c r="AO148" s="64" t="str">
        <x:f>IF(OR(AG148="",AH148=""),"",AG148/AH148-1)</x:f>
      </x:c>
      <x:c r="AP148" s="61"/>
      <x:c r="AQ148" s="73" t="n">
        <x:f>IF(OR(AM148&lt;&gt;"PARIU U4,5",M148="",AP148="",AG148=""),0,IF(M148="UNDER",AP148*(AG148-1),-AP148))</x:f>
        <x:v>0</x:v>
      </x:c>
      <x:c r="AR148" s="51"/>
    </x:row>
    <x:row r="149">
      <x:c r="A149" s="9" t="str">
        <x:f>IF(D149="","",ROW()-1)</x:f>
      </x:c>
      <x:c r="B149" s="51"/>
      <x:c r="C149" s="51"/>
      <x:c r="D149" s="51"/>
      <x:c r="E149" s="9" t="str">
        <x:f>IF(D149="","",IF(AND(F149&lt;='Calibrare v2'!$B$33,G149&gt;=0.86),"DA – FEZABIL",IF(G149&gt;=0.8,"DA – PRUDENT","NU – EVITĂ")))</x:f>
      </x:c>
      <x:c r="F149" s="16" t="str">
        <x:f>IF(OR(W149="",X149=""),"",W149+X149)</x:f>
      </x:c>
      <x:c r="G149" s="28" t="str">
        <x:f>IF(F149="","",EXP(-F149)*(1+F149+F149^2/2+F149^3/6+F149^4/24))</x:f>
      </x:c>
      <x:c r="H149" s="53"/>
      <x:c r="I149" s="9" t="str">
        <x:f>IF(F149="","",IF(F149&lt;='Calibrare v2'!$B$33,"PASS","FAIL"))</x:f>
      </x:c>
      <x:c r="J149" s="51"/>
      <x:c r="K149" s="51"/>
      <x:c r="L149" s="9" t="str">
        <x:f>IF(OR(J149="",K149=""),"",J149+K149)</x:f>
      </x:c>
      <x:c r="M149" s="9" t="str">
        <x:f>IF(L149="","",IF(L149&lt;=4,"UNDER","OVER"))</x:f>
      </x:c>
      <x:c r="N149" s="9" t="str">
        <x:f>IF(E149="","",IF(LEFT(E149,2)="DA","PARIU U68,5","NO BET"))</x:f>
      </x:c>
      <x:c r="O149" s="9" t="str">
        <x:f>IF(M149="","",IF(AM149="PARIU U68,5",IF(M149="UNDER","SUCCES","EȘEC"),IF(M149="UNDER","FALS NEGATIV","EVITARE CORECTĂ")))</x:f>
      </x:c>
      <x:c r="P149" s="9" t="str">
        <x:f>IF(M149="","",IF(M149="UNDER",1,0))</x:f>
      </x:c>
      <x:c r="Q149" s="9" t="str">
        <x:f>IF(P149="","",(G149-P149)^2)</x:f>
      </x:c>
      <x:c r="R149" s="9" t="str">
        <x:f>IF(L149="","",L149-F149)</x:f>
      </x:c>
      <x:c r="S149" s="9" t="str">
        <x:f>IF(L149="","",IF(M149="UNDER","U68,5 reușit; total final "&amp;L149&amp;" vs λ="&amp;TEXT(F149,"0.00")&amp;".","Eșec U68,5; total final "&amp;L149&amp;" vs λ="&amp;TEXT(F149,"0.00")&amp;". Revizuiește Tail Risk, sursa λ și calibrarea."))</x:f>
      </x:c>
      <x:c r="T149" s="51"/>
      <x:c r="U149" s="51"/>
      <x:c r="V149" s="51"/>
      <x:c r="W149" s="61"/>
      <x:c r="X149" s="61"/>
      <x:c r="Y149" s="51"/>
      <x:c r="Z149" s="53"/>
      <x:c r="AA149" s="51"/>
      <x:c r="AB149" s="64" t="str">
        <x:f>IF(AC149="","",AC149)</x:f>
      </x:c>
      <x:c r="AC149" s="67"/>
      <x:c r="AD149" s="69" t="str">
        <x:f>IF(AE149="","",AE149)</x:f>
      </x:c>
      <x:c r="AE149" s="71"/>
      <x:c r="AF149" s="73" t="str">
        <x:f>IF(AC149="","",1/AC149)</x:f>
      </x:c>
      <x:c r="AG149" s="61"/>
      <x:c r="AH149" s="61"/>
      <x:c r="AI149" s="64" t="str">
        <x:f>IF(OR(AC149="",AG149=""),"",AC149*AG149-1)</x:f>
      </x:c>
      <x:c r="AJ149" s="75" t="str">
        <x:f>IF(OR(G149="",F149=""),"",IF(AND(G149&gt;='Calibrare v2'!$B$35,F149&lt;='Calibrare v2'!$B$34),"PASS","FAIL"))</x:f>
      </x:c>
      <x:c r="AK149" s="75" t="str">
        <x:f>IF(AL149="","",AL149)</x:f>
      </x:c>
      <x:c r="AL149" s="77"/>
      <x:c r="AM149" s="77"/>
      <x:c r="AN149" s="64" t="str">
        <x:f>IF(OR(AC149="",P149=""),"",(AC149-P149)^2)</x:f>
      </x:c>
      <x:c r="AO149" s="64" t="str">
        <x:f>IF(OR(AG149="",AH149=""),"",AG149/AH149-1)</x:f>
      </x:c>
      <x:c r="AP149" s="61"/>
      <x:c r="AQ149" s="73" t="n">
        <x:f>IF(OR(AM149&lt;&gt;"PARIU U4,5",M149="",AP149="",AG149=""),0,IF(M149="UNDER",AP149*(AG149-1),-AP149))</x:f>
        <x:v>0</x:v>
      </x:c>
      <x:c r="AR149" s="51"/>
    </x:row>
    <x:row r="150">
      <x:c r="A150" s="9" t="str">
        <x:f>IF(D150="","",ROW()-1)</x:f>
      </x:c>
      <x:c r="B150" s="51"/>
      <x:c r="C150" s="51"/>
      <x:c r="D150" s="51"/>
      <x:c r="E150" s="9" t="str">
        <x:f>IF(D150="","",IF(AND(F150&lt;='Calibrare v2'!$B$33,G150&gt;=0.86),"DA – FEZABIL",IF(G150&gt;=0.8,"DA – PRUDENT","NU – EVITĂ")))</x:f>
      </x:c>
      <x:c r="F150" s="16" t="str">
        <x:f>IF(OR(W150="",X150=""),"",W150+X150)</x:f>
      </x:c>
      <x:c r="G150" s="28" t="str">
        <x:f>IF(F150="","",EXP(-F150)*(1+F150+F150^2/2+F150^3/6+F150^4/24))</x:f>
      </x:c>
      <x:c r="H150" s="53"/>
      <x:c r="I150" s="9" t="str">
        <x:f>IF(F150="","",IF(F150&lt;='Calibrare v2'!$B$33,"PASS","FAIL"))</x:f>
      </x:c>
      <x:c r="J150" s="51"/>
      <x:c r="K150" s="51"/>
      <x:c r="L150" s="9" t="str">
        <x:f>IF(OR(J150="",K150=""),"",J150+K150)</x:f>
      </x:c>
      <x:c r="M150" s="9" t="str">
        <x:f>IF(L150="","",IF(L150&lt;=4,"UNDER","OVER"))</x:f>
      </x:c>
      <x:c r="N150" s="9" t="str">
        <x:f>IF(E150="","",IF(LEFT(E150,2)="DA","PARIU U69,5","NO BET"))</x:f>
      </x:c>
      <x:c r="O150" s="9" t="str">
        <x:f>IF(M150="","",IF(AM150="PARIU U69,5",IF(M150="UNDER","SUCCES","EȘEC"),IF(M150="UNDER","FALS NEGATIV","EVITARE CORECTĂ")))</x:f>
      </x:c>
      <x:c r="P150" s="9" t="str">
        <x:f>IF(M150="","",IF(M150="UNDER",1,0))</x:f>
      </x:c>
      <x:c r="Q150" s="9" t="str">
        <x:f>IF(P150="","",(G150-P150)^2)</x:f>
      </x:c>
      <x:c r="R150" s="9" t="str">
        <x:f>IF(L150="","",L150-F150)</x:f>
      </x:c>
      <x:c r="S150" s="9" t="str">
        <x:f>IF(L150="","",IF(M150="UNDER","U69,5 reușit; total final "&amp;L150&amp;" vs λ="&amp;TEXT(F150,"0.00")&amp;".","Eșec U69,5; total final "&amp;L150&amp;" vs λ="&amp;TEXT(F150,"0.00")&amp;". Revizuiește Tail Risk, sursa λ și calibrarea."))</x:f>
      </x:c>
      <x:c r="T150" s="51"/>
      <x:c r="U150" s="51"/>
      <x:c r="V150" s="51"/>
      <x:c r="W150" s="61"/>
      <x:c r="X150" s="61"/>
      <x:c r="Y150" s="51"/>
      <x:c r="Z150" s="53"/>
      <x:c r="AA150" s="51"/>
      <x:c r="AB150" s="64" t="str">
        <x:f>IF(AC150="","",AC150)</x:f>
      </x:c>
      <x:c r="AC150" s="67"/>
      <x:c r="AD150" s="69" t="str">
        <x:f>IF(AE150="","",AE150)</x:f>
      </x:c>
      <x:c r="AE150" s="71"/>
      <x:c r="AF150" s="73" t="str">
        <x:f>IF(AC150="","",1/AC150)</x:f>
      </x:c>
      <x:c r="AG150" s="61"/>
      <x:c r="AH150" s="61"/>
      <x:c r="AI150" s="64" t="str">
        <x:f>IF(OR(AC150="",AG150=""),"",AC150*AG150-1)</x:f>
      </x:c>
      <x:c r="AJ150" s="75" t="str">
        <x:f>IF(OR(G150="",F150=""),"",IF(AND(G150&gt;='Calibrare v2'!$B$35,F150&lt;='Calibrare v2'!$B$34),"PASS","FAIL"))</x:f>
      </x:c>
      <x:c r="AK150" s="75" t="str">
        <x:f>IF(AL150="","",AL150)</x:f>
      </x:c>
      <x:c r="AL150" s="77"/>
      <x:c r="AM150" s="77"/>
      <x:c r="AN150" s="64" t="str">
        <x:f>IF(OR(AC150="",P150=""),"",(AC150-P150)^2)</x:f>
      </x:c>
      <x:c r="AO150" s="64" t="str">
        <x:f>IF(OR(AG150="",AH150=""),"",AG150/AH150-1)</x:f>
      </x:c>
      <x:c r="AP150" s="61"/>
      <x:c r="AQ150" s="73" t="n">
        <x:f>IF(OR(AM150&lt;&gt;"PARIU U4,5",M150="",AP150="",AG150=""),0,IF(M150="UNDER",AP150*(AG150-1),-AP150))</x:f>
        <x:v>0</x:v>
      </x:c>
      <x:c r="AR150" s="51"/>
    </x:row>
    <x:row r="151">
      <x:c r="A151" s="9" t="str">
        <x:f>IF(D151="","",ROW()-1)</x:f>
      </x:c>
      <x:c r="B151" s="51"/>
      <x:c r="C151" s="51"/>
      <x:c r="D151" s="51"/>
      <x:c r="E151" s="9" t="str">
        <x:f>IF(D151="","",IF(AND(F151&lt;='Calibrare v2'!$B$33,G151&gt;=0.86),"DA – FEZABIL",IF(G151&gt;=0.8,"DA – PRUDENT","NU – EVITĂ")))</x:f>
      </x:c>
      <x:c r="F151" s="16" t="str">
        <x:f>IF(OR(W151="",X151=""),"",W151+X151)</x:f>
      </x:c>
      <x:c r="G151" s="28" t="str">
        <x:f>IF(F151="","",EXP(-F151)*(1+F151+F151^2/2+F151^3/6+F151^4/24))</x:f>
      </x:c>
      <x:c r="H151" s="53"/>
      <x:c r="I151" s="9" t="str">
        <x:f>IF(F151="","",IF(F151&lt;='Calibrare v2'!$B$33,"PASS","FAIL"))</x:f>
      </x:c>
      <x:c r="J151" s="51"/>
      <x:c r="K151" s="51"/>
      <x:c r="L151" s="9" t="str">
        <x:f>IF(OR(J151="",K151=""),"",J151+K151)</x:f>
      </x:c>
      <x:c r="M151" s="9" t="str">
        <x:f>IF(L151="","",IF(L151&lt;=4,"UNDER","OVER"))</x:f>
      </x:c>
      <x:c r="N151" s="9" t="str">
        <x:f>IF(E151="","",IF(LEFT(E151,2)="DA","PARIU U70,5","NO BET"))</x:f>
      </x:c>
      <x:c r="O151" s="9" t="str">
        <x:f>IF(M151="","",IF(AM151="PARIU U70,5",IF(M151="UNDER","SUCCES","EȘEC"),IF(M151="UNDER","FALS NEGATIV","EVITARE CORECTĂ")))</x:f>
      </x:c>
      <x:c r="P151" s="9" t="str">
        <x:f>IF(M151="","",IF(M151="UNDER",1,0))</x:f>
      </x:c>
      <x:c r="Q151" s="9" t="str">
        <x:f>IF(P151="","",(G151-P151)^2)</x:f>
      </x:c>
      <x:c r="R151" s="9" t="str">
        <x:f>IF(L151="","",L151-F151)</x:f>
      </x:c>
      <x:c r="S151" s="9" t="str">
        <x:f>IF(L151="","",IF(M151="UNDER","U70,5 reușit; total final "&amp;L151&amp;" vs λ="&amp;TEXT(F151,"0.00")&amp;".","Eșec U70,5; total final "&amp;L151&amp;" vs λ="&amp;TEXT(F151,"0.00")&amp;". Revizuiește Tail Risk, sursa λ și calibrarea."))</x:f>
      </x:c>
      <x:c r="T151" s="51"/>
      <x:c r="U151" s="51"/>
      <x:c r="V151" s="51"/>
      <x:c r="W151" s="61"/>
      <x:c r="X151" s="61"/>
      <x:c r="Y151" s="51"/>
      <x:c r="Z151" s="53"/>
      <x:c r="AA151" s="51"/>
      <x:c r="AB151" s="64" t="str">
        <x:f>IF(AC151="","",AC151)</x:f>
      </x:c>
      <x:c r="AC151" s="67"/>
      <x:c r="AD151" s="69" t="str">
        <x:f>IF(AE151="","",AE151)</x:f>
      </x:c>
      <x:c r="AE151" s="71"/>
      <x:c r="AF151" s="73" t="str">
        <x:f>IF(AC151="","",1/AC151)</x:f>
      </x:c>
      <x:c r="AG151" s="61"/>
      <x:c r="AH151" s="61"/>
      <x:c r="AI151" s="64" t="str">
        <x:f>IF(OR(AC151="",AG151=""),"",AC151*AG151-1)</x:f>
      </x:c>
      <x:c r="AJ151" s="75" t="str">
        <x:f>IF(OR(G151="",F151=""),"",IF(AND(G151&gt;='Calibrare v2'!$B$35,F151&lt;='Calibrare v2'!$B$34),"PASS","FAIL"))</x:f>
      </x:c>
      <x:c r="AK151" s="75" t="str">
        <x:f>IF(AL151="","",AL151)</x:f>
      </x:c>
      <x:c r="AL151" s="77"/>
      <x:c r="AM151" s="77"/>
      <x:c r="AN151" s="64" t="str">
        <x:f>IF(OR(AC151="",P151=""),"",(AC151-P151)^2)</x:f>
      </x:c>
      <x:c r="AO151" s="64" t="str">
        <x:f>IF(OR(AG151="",AH151=""),"",AG151/AH151-1)</x:f>
      </x:c>
      <x:c r="AP151" s="61"/>
      <x:c r="AQ151" s="73" t="n">
        <x:f>IF(OR(AM151&lt;&gt;"PARIU U4,5",M151="",AP151="",AG151=""),0,IF(M151="UNDER",AP151*(AG151-1),-AP151))</x:f>
        <x:v>0</x:v>
      </x:c>
      <x:c r="AR151" s="51"/>
    </x:row>
    <x:row r="152">
      <x:c r="A152" s="9" t="str">
        <x:f>IF(D152="","",ROW()-1)</x:f>
      </x:c>
      <x:c r="B152" s="51"/>
      <x:c r="C152" s="51"/>
      <x:c r="D152" s="51"/>
      <x:c r="E152" s="9" t="str">
        <x:f>IF(D152="","",IF(AND(F152&lt;='Calibrare v2'!$B$33,G152&gt;=0.86),"DA – FEZABIL",IF(G152&gt;=0.8,"DA – PRUDENT","NU – EVITĂ")))</x:f>
      </x:c>
      <x:c r="F152" s="16" t="str">
        <x:f>IF(OR(W152="",X152=""),"",W152+X152)</x:f>
      </x:c>
      <x:c r="G152" s="28" t="str">
        <x:f>IF(F152="","",EXP(-F152)*(1+F152+F152^2/2+F152^3/6+F152^4/24))</x:f>
      </x:c>
      <x:c r="H152" s="53"/>
      <x:c r="I152" s="9" t="str">
        <x:f>IF(F152="","",IF(F152&lt;='Calibrare v2'!$B$33,"PASS","FAIL"))</x:f>
      </x:c>
      <x:c r="J152" s="51"/>
      <x:c r="K152" s="51"/>
      <x:c r="L152" s="9" t="str">
        <x:f>IF(OR(J152="",K152=""),"",J152+K152)</x:f>
      </x:c>
      <x:c r="M152" s="9" t="str">
        <x:f>IF(L152="","",IF(L152&lt;=4,"UNDER","OVER"))</x:f>
      </x:c>
      <x:c r="N152" s="9" t="str">
        <x:f>IF(E152="","",IF(LEFT(E152,2)="DA","PARIU U71,5","NO BET"))</x:f>
      </x:c>
      <x:c r="O152" s="9" t="str">
        <x:f>IF(M152="","",IF(AM152="PARIU U71,5",IF(M152="UNDER","SUCCES","EȘEC"),IF(M152="UNDER","FALS NEGATIV","EVITARE CORECTĂ")))</x:f>
      </x:c>
      <x:c r="P152" s="9" t="str">
        <x:f>IF(M152="","",IF(M152="UNDER",1,0))</x:f>
      </x:c>
      <x:c r="Q152" s="9" t="str">
        <x:f>IF(P152="","",(G152-P152)^2)</x:f>
      </x:c>
      <x:c r="R152" s="9" t="str">
        <x:f>IF(L152="","",L152-F152)</x:f>
      </x:c>
      <x:c r="S152" s="9" t="str">
        <x:f>IF(L152="","",IF(M152="UNDER","U71,5 reușit; total final "&amp;L152&amp;" vs λ="&amp;TEXT(F152,"0.00")&amp;".","Eșec U71,5; total final "&amp;L152&amp;" vs λ="&amp;TEXT(F152,"0.00")&amp;". Revizuiește Tail Risk, sursa λ și calibrarea."))</x:f>
      </x:c>
      <x:c r="T152" s="51"/>
      <x:c r="U152" s="51"/>
      <x:c r="V152" s="51"/>
      <x:c r="W152" s="61"/>
      <x:c r="X152" s="61"/>
      <x:c r="Y152" s="51"/>
      <x:c r="Z152" s="53"/>
      <x:c r="AA152" s="51"/>
      <x:c r="AB152" s="64" t="str">
        <x:f>IF(AC152="","",AC152)</x:f>
      </x:c>
      <x:c r="AC152" s="67"/>
      <x:c r="AD152" s="69" t="str">
        <x:f>IF(AE152="","",AE152)</x:f>
      </x:c>
      <x:c r="AE152" s="71"/>
      <x:c r="AF152" s="73" t="str">
        <x:f>IF(AC152="","",1/AC152)</x:f>
      </x:c>
      <x:c r="AG152" s="61"/>
      <x:c r="AH152" s="61"/>
      <x:c r="AI152" s="64" t="str">
        <x:f>IF(OR(AC152="",AG152=""),"",AC152*AG152-1)</x:f>
      </x:c>
      <x:c r="AJ152" s="75" t="str">
        <x:f>IF(OR(G152="",F152=""),"",IF(AND(G152&gt;='Calibrare v2'!$B$35,F152&lt;='Calibrare v2'!$B$34),"PASS","FAIL"))</x:f>
      </x:c>
      <x:c r="AK152" s="75" t="str">
        <x:f>IF(AL152="","",AL152)</x:f>
      </x:c>
      <x:c r="AL152" s="77"/>
      <x:c r="AM152" s="77"/>
      <x:c r="AN152" s="64" t="str">
        <x:f>IF(OR(AC152="",P152=""),"",(AC152-P152)^2)</x:f>
      </x:c>
      <x:c r="AO152" s="64" t="str">
        <x:f>IF(OR(AG152="",AH152=""),"",AG152/AH152-1)</x:f>
      </x:c>
      <x:c r="AP152" s="61"/>
      <x:c r="AQ152" s="73" t="n">
        <x:f>IF(OR(AM152&lt;&gt;"PARIU U4,5",M152="",AP152="",AG152=""),0,IF(M152="UNDER",AP152*(AG152-1),-AP152))</x:f>
        <x:v>0</x:v>
      </x:c>
      <x:c r="AR152" s="51"/>
    </x:row>
    <x:row r="153">
      <x:c r="A153" s="9" t="str">
        <x:f>IF(D153="","",ROW()-1)</x:f>
      </x:c>
      <x:c r="B153" s="51"/>
      <x:c r="C153" s="51"/>
      <x:c r="D153" s="51"/>
      <x:c r="E153" s="9" t="str">
        <x:f>IF(D153="","",IF(AND(F153&lt;='Calibrare v2'!$B$33,G153&gt;=0.86),"DA – FEZABIL",IF(G153&gt;=0.8,"DA – PRUDENT","NU – EVITĂ")))</x:f>
      </x:c>
      <x:c r="F153" s="16" t="str">
        <x:f>IF(OR(W153="",X153=""),"",W153+X153)</x:f>
      </x:c>
      <x:c r="G153" s="28" t="str">
        <x:f>IF(F153="","",EXP(-F153)*(1+F153+F153^2/2+F153^3/6+F153^4/24))</x:f>
      </x:c>
      <x:c r="H153" s="53"/>
      <x:c r="I153" s="9" t="str">
        <x:f>IF(F153="","",IF(F153&lt;='Calibrare v2'!$B$33,"PASS","FAIL"))</x:f>
      </x:c>
      <x:c r="J153" s="51"/>
      <x:c r="K153" s="51"/>
      <x:c r="L153" s="9" t="str">
        <x:f>IF(OR(J153="",K153=""),"",J153+K153)</x:f>
      </x:c>
      <x:c r="M153" s="9" t="str">
        <x:f>IF(L153="","",IF(L153&lt;=4,"UNDER","OVER"))</x:f>
      </x:c>
      <x:c r="N153" s="9" t="str">
        <x:f>IF(E153="","",IF(LEFT(E153,2)="DA","PARIU U72,5","NO BET"))</x:f>
      </x:c>
      <x:c r="O153" s="9" t="str">
        <x:f>IF(M153="","",IF(AM153="PARIU U72,5",IF(M153="UNDER","SUCCES","EȘEC"),IF(M153="UNDER","FALS NEGATIV","EVITARE CORECTĂ")))</x:f>
      </x:c>
      <x:c r="P153" s="9" t="str">
        <x:f>IF(M153="","",IF(M153="UNDER",1,0))</x:f>
      </x:c>
      <x:c r="Q153" s="9" t="str">
        <x:f>IF(P153="","",(G153-P153)^2)</x:f>
      </x:c>
      <x:c r="R153" s="9" t="str">
        <x:f>IF(L153="","",L153-F153)</x:f>
      </x:c>
      <x:c r="S153" s="9" t="str">
        <x:f>IF(L153="","",IF(M153="UNDER","U72,5 reușit; total final "&amp;L153&amp;" vs λ="&amp;TEXT(F153,"0.00")&amp;".","Eșec U72,5; total final "&amp;L153&amp;" vs λ="&amp;TEXT(F153,"0.00")&amp;". Revizuiește Tail Risk, sursa λ și calibrarea."))</x:f>
      </x:c>
      <x:c r="T153" s="51"/>
      <x:c r="U153" s="51"/>
      <x:c r="V153" s="51"/>
      <x:c r="W153" s="61"/>
      <x:c r="X153" s="61"/>
      <x:c r="Y153" s="51"/>
      <x:c r="Z153" s="53"/>
      <x:c r="AA153" s="51"/>
      <x:c r="AB153" s="64" t="str">
        <x:f>IF(AC153="","",AC153)</x:f>
      </x:c>
      <x:c r="AC153" s="67"/>
      <x:c r="AD153" s="69" t="str">
        <x:f>IF(AE153="","",AE153)</x:f>
      </x:c>
      <x:c r="AE153" s="71"/>
      <x:c r="AF153" s="73" t="str">
        <x:f>IF(AC153="","",1/AC153)</x:f>
      </x:c>
      <x:c r="AG153" s="61"/>
      <x:c r="AH153" s="61"/>
      <x:c r="AI153" s="64" t="str">
        <x:f>IF(OR(AC153="",AG153=""),"",AC153*AG153-1)</x:f>
      </x:c>
      <x:c r="AJ153" s="75" t="str">
        <x:f>IF(OR(G153="",F153=""),"",IF(AND(G153&gt;='Calibrare v2'!$B$35,F153&lt;='Calibrare v2'!$B$34),"PASS","FAIL"))</x:f>
      </x:c>
      <x:c r="AK153" s="75" t="str">
        <x:f>IF(AL153="","",AL153)</x:f>
      </x:c>
      <x:c r="AL153" s="77"/>
      <x:c r="AM153" s="77"/>
      <x:c r="AN153" s="64" t="str">
        <x:f>IF(OR(AC153="",P153=""),"",(AC153-P153)^2)</x:f>
      </x:c>
      <x:c r="AO153" s="64" t="str">
        <x:f>IF(OR(AG153="",AH153=""),"",AG153/AH153-1)</x:f>
      </x:c>
      <x:c r="AP153" s="61"/>
      <x:c r="AQ153" s="73" t="n">
        <x:f>IF(OR(AM153&lt;&gt;"PARIU U4,5",M153="",AP153="",AG153=""),0,IF(M153="UNDER",AP153*(AG153-1),-AP153))</x:f>
        <x:v>0</x:v>
      </x:c>
      <x:c r="AR153" s="51"/>
    </x:row>
    <x:row r="154">
      <x:c r="A154" s="9" t="str">
        <x:f>IF(D154="","",ROW()-1)</x:f>
      </x:c>
      <x:c r="B154" s="51"/>
      <x:c r="C154" s="51"/>
      <x:c r="D154" s="51"/>
      <x:c r="E154" s="9" t="str">
        <x:f>IF(D154="","",IF(AND(F154&lt;='Calibrare v2'!$B$33,G154&gt;=0.86),"DA – FEZABIL",IF(G154&gt;=0.8,"DA – PRUDENT","NU – EVITĂ")))</x:f>
      </x:c>
      <x:c r="F154" s="16" t="str">
        <x:f>IF(OR(W154="",X154=""),"",W154+X154)</x:f>
      </x:c>
      <x:c r="G154" s="28" t="str">
        <x:f>IF(F154="","",EXP(-F154)*(1+F154+F154^2/2+F154^3/6+F154^4/24))</x:f>
      </x:c>
      <x:c r="H154" s="53"/>
      <x:c r="I154" s="9" t="str">
        <x:f>IF(F154="","",IF(F154&lt;='Calibrare v2'!$B$33,"PASS","FAIL"))</x:f>
      </x:c>
      <x:c r="J154" s="51"/>
      <x:c r="K154" s="51"/>
      <x:c r="L154" s="9" t="str">
        <x:f>IF(OR(J154="",K154=""),"",J154+K154)</x:f>
      </x:c>
      <x:c r="M154" s="9" t="str">
        <x:f>IF(L154="","",IF(L154&lt;=4,"UNDER","OVER"))</x:f>
      </x:c>
      <x:c r="N154" s="9" t="str">
        <x:f>IF(E154="","",IF(LEFT(E154,2)="DA","PARIU U73,5","NO BET"))</x:f>
      </x:c>
      <x:c r="O154" s="9" t="str">
        <x:f>IF(M154="","",IF(AM154="PARIU U73,5",IF(M154="UNDER","SUCCES","EȘEC"),IF(M154="UNDER","FALS NEGATIV","EVITARE CORECTĂ")))</x:f>
      </x:c>
      <x:c r="P154" s="9" t="str">
        <x:f>IF(M154="","",IF(M154="UNDER",1,0))</x:f>
      </x:c>
      <x:c r="Q154" s="9" t="str">
        <x:f>IF(P154="","",(G154-P154)^2)</x:f>
      </x:c>
      <x:c r="R154" s="9" t="str">
        <x:f>IF(L154="","",L154-F154)</x:f>
      </x:c>
      <x:c r="S154" s="9" t="str">
        <x:f>IF(L154="","",IF(M154="UNDER","U73,5 reușit; total final "&amp;L154&amp;" vs λ="&amp;TEXT(F154,"0.00")&amp;".","Eșec U73,5; total final "&amp;L154&amp;" vs λ="&amp;TEXT(F154,"0.00")&amp;". Revizuiește Tail Risk, sursa λ și calibrarea."))</x:f>
      </x:c>
      <x:c r="T154" s="51"/>
      <x:c r="U154" s="51"/>
      <x:c r="V154" s="51"/>
      <x:c r="W154" s="61"/>
      <x:c r="X154" s="61"/>
      <x:c r="Y154" s="51"/>
      <x:c r="Z154" s="53"/>
      <x:c r="AA154" s="51"/>
      <x:c r="AB154" s="64" t="str">
        <x:f>IF(AC154="","",AC154)</x:f>
      </x:c>
      <x:c r="AC154" s="67"/>
      <x:c r="AD154" s="69" t="str">
        <x:f>IF(AE154="","",AE154)</x:f>
      </x:c>
      <x:c r="AE154" s="71"/>
      <x:c r="AF154" s="73" t="str">
        <x:f>IF(AC154="","",1/AC154)</x:f>
      </x:c>
      <x:c r="AG154" s="61"/>
      <x:c r="AH154" s="61"/>
      <x:c r="AI154" s="64" t="str">
        <x:f>IF(OR(AC154="",AG154=""),"",AC154*AG154-1)</x:f>
      </x:c>
      <x:c r="AJ154" s="75" t="str">
        <x:f>IF(OR(G154="",F154=""),"",IF(AND(G154&gt;='Calibrare v2'!$B$35,F154&lt;='Calibrare v2'!$B$34),"PASS","FAIL"))</x:f>
      </x:c>
      <x:c r="AK154" s="75" t="str">
        <x:f>IF(AL154="","",AL154)</x:f>
      </x:c>
      <x:c r="AL154" s="77"/>
      <x:c r="AM154" s="77"/>
      <x:c r="AN154" s="64" t="str">
        <x:f>IF(OR(AC154="",P154=""),"",(AC154-P154)^2)</x:f>
      </x:c>
      <x:c r="AO154" s="64" t="str">
        <x:f>IF(OR(AG154="",AH154=""),"",AG154/AH154-1)</x:f>
      </x:c>
      <x:c r="AP154" s="61"/>
      <x:c r="AQ154" s="73" t="n">
        <x:f>IF(OR(AM154&lt;&gt;"PARIU U4,5",M154="",AP154="",AG154=""),0,IF(M154="UNDER",AP154*(AG154-1),-AP154))</x:f>
        <x:v>0</x:v>
      </x:c>
      <x:c r="AR154" s="51"/>
    </x:row>
    <x:row r="155">
      <x:c r="A155" s="9" t="str">
        <x:f>IF(D155="","",ROW()-1)</x:f>
      </x:c>
      <x:c r="B155" s="51"/>
      <x:c r="C155" s="51"/>
      <x:c r="D155" s="51"/>
      <x:c r="E155" s="9" t="str">
        <x:f>IF(D155="","",IF(AND(F155&lt;='Calibrare v2'!$B$33,G155&gt;=0.86),"DA – FEZABIL",IF(G155&gt;=0.8,"DA – PRUDENT","NU – EVITĂ")))</x:f>
      </x:c>
      <x:c r="F155" s="16" t="str">
        <x:f>IF(OR(W155="",X155=""),"",W155+X155)</x:f>
      </x:c>
      <x:c r="G155" s="28" t="str">
        <x:f>IF(F155="","",EXP(-F155)*(1+F155+F155^2/2+F155^3/6+F155^4/24))</x:f>
      </x:c>
      <x:c r="H155" s="53"/>
      <x:c r="I155" s="9" t="str">
        <x:f>IF(F155="","",IF(F155&lt;='Calibrare v2'!$B$33,"PASS","FAIL"))</x:f>
      </x:c>
      <x:c r="J155" s="51"/>
      <x:c r="K155" s="51"/>
      <x:c r="L155" s="9" t="str">
        <x:f>IF(OR(J155="",K155=""),"",J155+K155)</x:f>
      </x:c>
      <x:c r="M155" s="9" t="str">
        <x:f>IF(L155="","",IF(L155&lt;=4,"UNDER","OVER"))</x:f>
      </x:c>
      <x:c r="N155" s="9" t="str">
        <x:f>IF(E155="","",IF(LEFT(E155,2)="DA","PARIU U74,5","NO BET"))</x:f>
      </x:c>
      <x:c r="O155" s="9" t="str">
        <x:f>IF(M155="","",IF(AM155="PARIU U74,5",IF(M155="UNDER","SUCCES","EȘEC"),IF(M155="UNDER","FALS NEGATIV","EVITARE CORECTĂ")))</x:f>
      </x:c>
      <x:c r="P155" s="9" t="str">
        <x:f>IF(M155="","",IF(M155="UNDER",1,0))</x:f>
      </x:c>
      <x:c r="Q155" s="9" t="str">
        <x:f>IF(P155="","",(G155-P155)^2)</x:f>
      </x:c>
      <x:c r="R155" s="9" t="str">
        <x:f>IF(L155="","",L155-F155)</x:f>
      </x:c>
      <x:c r="S155" s="9" t="str">
        <x:f>IF(L155="","",IF(M155="UNDER","U74,5 reușit; total final "&amp;L155&amp;" vs λ="&amp;TEXT(F155,"0.00")&amp;".","Eșec U74,5; total final "&amp;L155&amp;" vs λ="&amp;TEXT(F155,"0.00")&amp;". Revizuiește Tail Risk, sursa λ și calibrarea."))</x:f>
      </x:c>
      <x:c r="T155" s="51"/>
      <x:c r="U155" s="51"/>
      <x:c r="V155" s="51"/>
      <x:c r="W155" s="61"/>
      <x:c r="X155" s="61"/>
      <x:c r="Y155" s="51"/>
      <x:c r="Z155" s="53"/>
      <x:c r="AA155" s="51"/>
      <x:c r="AB155" s="64" t="str">
        <x:f>IF(AC155="","",AC155)</x:f>
      </x:c>
      <x:c r="AC155" s="67"/>
      <x:c r="AD155" s="69" t="str">
        <x:f>IF(AE155="","",AE155)</x:f>
      </x:c>
      <x:c r="AE155" s="71"/>
      <x:c r="AF155" s="73" t="str">
        <x:f>IF(AC155="","",1/AC155)</x:f>
      </x:c>
      <x:c r="AG155" s="61"/>
      <x:c r="AH155" s="61"/>
      <x:c r="AI155" s="64" t="str">
        <x:f>IF(OR(AC155="",AG155=""),"",AC155*AG155-1)</x:f>
      </x:c>
      <x:c r="AJ155" s="75" t="str">
        <x:f>IF(OR(G155="",F155=""),"",IF(AND(G155&gt;='Calibrare v2'!$B$35,F155&lt;='Calibrare v2'!$B$34),"PASS","FAIL"))</x:f>
      </x:c>
      <x:c r="AK155" s="75" t="str">
        <x:f>IF(AL155="","",AL155)</x:f>
      </x:c>
      <x:c r="AL155" s="77"/>
      <x:c r="AM155" s="77"/>
      <x:c r="AN155" s="64" t="str">
        <x:f>IF(OR(AC155="",P155=""),"",(AC155-P155)^2)</x:f>
      </x:c>
      <x:c r="AO155" s="64" t="str">
        <x:f>IF(OR(AG155="",AH155=""),"",AG155/AH155-1)</x:f>
      </x:c>
      <x:c r="AP155" s="61"/>
      <x:c r="AQ155" s="73" t="n">
        <x:f>IF(OR(AM155&lt;&gt;"PARIU U4,5",M155="",AP155="",AG155=""),0,IF(M155="UNDER",AP155*(AG155-1),-AP155))</x:f>
        <x:v>0</x:v>
      </x:c>
      <x:c r="AR155" s="51"/>
    </x:row>
    <x:row r="156">
      <x:c r="A156" s="9" t="str">
        <x:f>IF(D156="","",ROW()-1)</x:f>
      </x:c>
      <x:c r="B156" s="51"/>
      <x:c r="C156" s="51"/>
      <x:c r="D156" s="51"/>
      <x:c r="E156" s="9" t="str">
        <x:f>IF(D156="","",IF(AND(F156&lt;='Calibrare v2'!$B$33,G156&gt;=0.86),"DA – FEZABIL",IF(G156&gt;=0.8,"DA – PRUDENT","NU – EVITĂ")))</x:f>
      </x:c>
      <x:c r="F156" s="16" t="str">
        <x:f>IF(OR(W156="",X156=""),"",W156+X156)</x:f>
      </x:c>
      <x:c r="G156" s="28" t="str">
        <x:f>IF(F156="","",EXP(-F156)*(1+F156+F156^2/2+F156^3/6+F156^4/24))</x:f>
      </x:c>
      <x:c r="H156" s="53"/>
      <x:c r="I156" s="9" t="str">
        <x:f>IF(F156="","",IF(F156&lt;='Calibrare v2'!$B$33,"PASS","FAIL"))</x:f>
      </x:c>
      <x:c r="J156" s="51"/>
      <x:c r="K156" s="51"/>
      <x:c r="L156" s="9" t="str">
        <x:f>IF(OR(J156="",K156=""),"",J156+K156)</x:f>
      </x:c>
      <x:c r="M156" s="9" t="str">
        <x:f>IF(L156="","",IF(L156&lt;=4,"UNDER","OVER"))</x:f>
      </x:c>
      <x:c r="N156" s="9" t="str">
        <x:f>IF(E156="","",IF(LEFT(E156,2)="DA","PARIU U75,5","NO BET"))</x:f>
      </x:c>
      <x:c r="O156" s="9" t="str">
        <x:f>IF(M156="","",IF(AM156="PARIU U75,5",IF(M156="UNDER","SUCCES","EȘEC"),IF(M156="UNDER","FALS NEGATIV","EVITARE CORECTĂ")))</x:f>
      </x:c>
      <x:c r="P156" s="9" t="str">
        <x:f>IF(M156="","",IF(M156="UNDER",1,0))</x:f>
      </x:c>
      <x:c r="Q156" s="9" t="str">
        <x:f>IF(P156="","",(G156-P156)^2)</x:f>
      </x:c>
      <x:c r="R156" s="9" t="str">
        <x:f>IF(L156="","",L156-F156)</x:f>
      </x:c>
      <x:c r="S156" s="9" t="str">
        <x:f>IF(L156="","",IF(M156="UNDER","U75,5 reușit; total final "&amp;L156&amp;" vs λ="&amp;TEXT(F156,"0.00")&amp;".","Eșec U75,5; total final "&amp;L156&amp;" vs λ="&amp;TEXT(F156,"0.00")&amp;". Revizuiește Tail Risk, sursa λ și calibrarea."))</x:f>
      </x:c>
      <x:c r="T156" s="51"/>
      <x:c r="U156" s="51"/>
      <x:c r="V156" s="51"/>
      <x:c r="W156" s="61"/>
      <x:c r="X156" s="61"/>
      <x:c r="Y156" s="51"/>
      <x:c r="Z156" s="53"/>
      <x:c r="AA156" s="51"/>
      <x:c r="AB156" s="64" t="str">
        <x:f>IF(AC156="","",AC156)</x:f>
      </x:c>
      <x:c r="AC156" s="67"/>
      <x:c r="AD156" s="69" t="str">
        <x:f>IF(AE156="","",AE156)</x:f>
      </x:c>
      <x:c r="AE156" s="71"/>
      <x:c r="AF156" s="73" t="str">
        <x:f>IF(AC156="","",1/AC156)</x:f>
      </x:c>
      <x:c r="AG156" s="61"/>
      <x:c r="AH156" s="61"/>
      <x:c r="AI156" s="64" t="str">
        <x:f>IF(OR(AC156="",AG156=""),"",AC156*AG156-1)</x:f>
      </x:c>
      <x:c r="AJ156" s="75" t="str">
        <x:f>IF(OR(G156="",F156=""),"",IF(AND(G156&gt;='Calibrare v2'!$B$35,F156&lt;='Calibrare v2'!$B$34),"PASS","FAIL"))</x:f>
      </x:c>
      <x:c r="AK156" s="75" t="str">
        <x:f>IF(AL156="","",AL156)</x:f>
      </x:c>
      <x:c r="AL156" s="77"/>
      <x:c r="AM156" s="77"/>
      <x:c r="AN156" s="64" t="str">
        <x:f>IF(OR(AC156="",P156=""),"",(AC156-P156)^2)</x:f>
      </x:c>
      <x:c r="AO156" s="64" t="str">
        <x:f>IF(OR(AG156="",AH156=""),"",AG156/AH156-1)</x:f>
      </x:c>
      <x:c r="AP156" s="61"/>
      <x:c r="AQ156" s="73" t="n">
        <x:f>IF(OR(AM156&lt;&gt;"PARIU U4,5",M156="",AP156="",AG156=""),0,IF(M156="UNDER",AP156*(AG156-1),-AP156))</x:f>
        <x:v>0</x:v>
      </x:c>
      <x:c r="AR156" s="51"/>
    </x:row>
    <x:row r="157">
      <x:c r="A157" s="9" t="str">
        <x:f>IF(D157="","",ROW()-1)</x:f>
      </x:c>
      <x:c r="B157" s="51"/>
      <x:c r="C157" s="51"/>
      <x:c r="D157" s="51"/>
      <x:c r="E157" s="9" t="str">
        <x:f>IF(D157="","",IF(AND(F157&lt;='Calibrare v2'!$B$33,G157&gt;=0.86),"DA – FEZABIL",IF(G157&gt;=0.8,"DA – PRUDENT","NU – EVITĂ")))</x:f>
      </x:c>
      <x:c r="F157" s="16" t="str">
        <x:f>IF(OR(W157="",X157=""),"",W157+X157)</x:f>
      </x:c>
      <x:c r="G157" s="28" t="str">
        <x:f>IF(F157="","",EXP(-F157)*(1+F157+F157^2/2+F157^3/6+F157^4/24))</x:f>
      </x:c>
      <x:c r="H157" s="53"/>
      <x:c r="I157" s="9" t="str">
        <x:f>IF(F157="","",IF(F157&lt;='Calibrare v2'!$B$33,"PASS","FAIL"))</x:f>
      </x:c>
      <x:c r="J157" s="51"/>
      <x:c r="K157" s="51"/>
      <x:c r="L157" s="9" t="str">
        <x:f>IF(OR(J157="",K157=""),"",J157+K157)</x:f>
      </x:c>
      <x:c r="M157" s="9" t="str">
        <x:f>IF(L157="","",IF(L157&lt;=4,"UNDER","OVER"))</x:f>
      </x:c>
      <x:c r="N157" s="9" t="str">
        <x:f>IF(E157="","",IF(LEFT(E157,2)="DA","PARIU U76,5","NO BET"))</x:f>
      </x:c>
      <x:c r="O157" s="9" t="str">
        <x:f>IF(M157="","",IF(AM157="PARIU U76,5",IF(M157="UNDER","SUCCES","EȘEC"),IF(M157="UNDER","FALS NEGATIV","EVITARE CORECTĂ")))</x:f>
      </x:c>
      <x:c r="P157" s="9" t="str">
        <x:f>IF(M157="","",IF(M157="UNDER",1,0))</x:f>
      </x:c>
      <x:c r="Q157" s="9" t="str">
        <x:f>IF(P157="","",(G157-P157)^2)</x:f>
      </x:c>
      <x:c r="R157" s="9" t="str">
        <x:f>IF(L157="","",L157-F157)</x:f>
      </x:c>
      <x:c r="S157" s="9" t="str">
        <x:f>IF(L157="","",IF(M157="UNDER","U76,5 reușit; total final "&amp;L157&amp;" vs λ="&amp;TEXT(F157,"0.00")&amp;".","Eșec U76,5; total final "&amp;L157&amp;" vs λ="&amp;TEXT(F157,"0.00")&amp;". Revizuiește Tail Risk, sursa λ și calibrarea."))</x:f>
      </x:c>
      <x:c r="T157" s="51"/>
      <x:c r="U157" s="51"/>
      <x:c r="V157" s="51"/>
      <x:c r="W157" s="61"/>
      <x:c r="X157" s="61"/>
      <x:c r="Y157" s="51"/>
      <x:c r="Z157" s="53"/>
      <x:c r="AA157" s="51"/>
      <x:c r="AB157" s="64" t="str">
        <x:f>IF(AC157="","",AC157)</x:f>
      </x:c>
      <x:c r="AC157" s="67"/>
      <x:c r="AD157" s="69" t="str">
        <x:f>IF(AE157="","",AE157)</x:f>
      </x:c>
      <x:c r="AE157" s="71"/>
      <x:c r="AF157" s="73" t="str">
        <x:f>IF(AC157="","",1/AC157)</x:f>
      </x:c>
      <x:c r="AG157" s="61"/>
      <x:c r="AH157" s="61"/>
      <x:c r="AI157" s="64" t="str">
        <x:f>IF(OR(AC157="",AG157=""),"",AC157*AG157-1)</x:f>
      </x:c>
      <x:c r="AJ157" s="75" t="str">
        <x:f>IF(OR(G157="",F157=""),"",IF(AND(G157&gt;='Calibrare v2'!$B$35,F157&lt;='Calibrare v2'!$B$34),"PASS","FAIL"))</x:f>
      </x:c>
      <x:c r="AK157" s="75" t="str">
        <x:f>IF(AL157="","",AL157)</x:f>
      </x:c>
      <x:c r="AL157" s="77"/>
      <x:c r="AM157" s="77"/>
      <x:c r="AN157" s="64" t="str">
        <x:f>IF(OR(AC157="",P157=""),"",(AC157-P157)^2)</x:f>
      </x:c>
      <x:c r="AO157" s="64" t="str">
        <x:f>IF(OR(AG157="",AH157=""),"",AG157/AH157-1)</x:f>
      </x:c>
      <x:c r="AP157" s="61"/>
      <x:c r="AQ157" s="73" t="n">
        <x:f>IF(OR(AM157&lt;&gt;"PARIU U4,5",M157="",AP157="",AG157=""),0,IF(M157="UNDER",AP157*(AG157-1),-AP157))</x:f>
        <x:v>0</x:v>
      </x:c>
      <x:c r="AR157" s="51"/>
    </x:row>
    <x:row r="158">
      <x:c r="A158" s="9" t="str">
        <x:f>IF(D158="","",ROW()-1)</x:f>
      </x:c>
      <x:c r="B158" s="51"/>
      <x:c r="C158" s="51"/>
      <x:c r="D158" s="51"/>
      <x:c r="E158" s="9" t="str">
        <x:f>IF(D158="","",IF(AND(F158&lt;='Calibrare v2'!$B$33,G158&gt;=0.86),"DA – FEZABIL",IF(G158&gt;=0.8,"DA – PRUDENT","NU – EVITĂ")))</x:f>
      </x:c>
      <x:c r="F158" s="16" t="str">
        <x:f>IF(OR(W158="",X158=""),"",W158+X158)</x:f>
      </x:c>
      <x:c r="G158" s="28" t="str">
        <x:f>IF(F158="","",EXP(-F158)*(1+F158+F158^2/2+F158^3/6+F158^4/24))</x:f>
      </x:c>
      <x:c r="H158" s="53"/>
      <x:c r="I158" s="9" t="str">
        <x:f>IF(F158="","",IF(F158&lt;='Calibrare v2'!$B$33,"PASS","FAIL"))</x:f>
      </x:c>
      <x:c r="J158" s="51"/>
      <x:c r="K158" s="51"/>
      <x:c r="L158" s="9" t="str">
        <x:f>IF(OR(J158="",K158=""),"",J158+K158)</x:f>
      </x:c>
      <x:c r="M158" s="9" t="str">
        <x:f>IF(L158="","",IF(L158&lt;=4,"UNDER","OVER"))</x:f>
      </x:c>
      <x:c r="N158" s="9" t="str">
        <x:f>IF(E158="","",IF(LEFT(E158,2)="DA","PARIU U77,5","NO BET"))</x:f>
      </x:c>
      <x:c r="O158" s="9" t="str">
        <x:f>IF(M158="","",IF(AM158="PARIU U77,5",IF(M158="UNDER","SUCCES","EȘEC"),IF(M158="UNDER","FALS NEGATIV","EVITARE CORECTĂ")))</x:f>
      </x:c>
      <x:c r="P158" s="9" t="str">
        <x:f>IF(M158="","",IF(M158="UNDER",1,0))</x:f>
      </x:c>
      <x:c r="Q158" s="9" t="str">
        <x:f>IF(P158="","",(G158-P158)^2)</x:f>
      </x:c>
      <x:c r="R158" s="9" t="str">
        <x:f>IF(L158="","",L158-F158)</x:f>
      </x:c>
      <x:c r="S158" s="9" t="str">
        <x:f>IF(L158="","",IF(M158="UNDER","U77,5 reușit; total final "&amp;L158&amp;" vs λ="&amp;TEXT(F158,"0.00")&amp;".","Eșec U77,5; total final "&amp;L158&amp;" vs λ="&amp;TEXT(F158,"0.00")&amp;". Revizuiește Tail Risk, sursa λ și calibrarea."))</x:f>
      </x:c>
      <x:c r="T158" s="51"/>
      <x:c r="U158" s="51"/>
      <x:c r="V158" s="51"/>
      <x:c r="W158" s="61"/>
      <x:c r="X158" s="61"/>
      <x:c r="Y158" s="51"/>
      <x:c r="Z158" s="53"/>
      <x:c r="AA158" s="51"/>
      <x:c r="AB158" s="64" t="str">
        <x:f>IF(AC158="","",AC158)</x:f>
      </x:c>
      <x:c r="AC158" s="67"/>
      <x:c r="AD158" s="69" t="str">
        <x:f>IF(AE158="","",AE158)</x:f>
      </x:c>
      <x:c r="AE158" s="71"/>
      <x:c r="AF158" s="73" t="str">
        <x:f>IF(AC158="","",1/AC158)</x:f>
      </x:c>
      <x:c r="AG158" s="61"/>
      <x:c r="AH158" s="61"/>
      <x:c r="AI158" s="64" t="str">
        <x:f>IF(OR(AC158="",AG158=""),"",AC158*AG158-1)</x:f>
      </x:c>
      <x:c r="AJ158" s="75" t="str">
        <x:f>IF(OR(G158="",F158=""),"",IF(AND(G158&gt;='Calibrare v2'!$B$35,F158&lt;='Calibrare v2'!$B$34),"PASS","FAIL"))</x:f>
      </x:c>
      <x:c r="AK158" s="75" t="str">
        <x:f>IF(AL158="","",AL158)</x:f>
      </x:c>
      <x:c r="AL158" s="77"/>
      <x:c r="AM158" s="77"/>
      <x:c r="AN158" s="64" t="str">
        <x:f>IF(OR(AC158="",P158=""),"",(AC158-P158)^2)</x:f>
      </x:c>
      <x:c r="AO158" s="64" t="str">
        <x:f>IF(OR(AG158="",AH158=""),"",AG158/AH158-1)</x:f>
      </x:c>
      <x:c r="AP158" s="61"/>
      <x:c r="AQ158" s="73" t="n">
        <x:f>IF(OR(AM158&lt;&gt;"PARIU U4,5",M158="",AP158="",AG158=""),0,IF(M158="UNDER",AP158*(AG158-1),-AP158))</x:f>
        <x:v>0</x:v>
      </x:c>
      <x:c r="AR158" s="51"/>
    </x:row>
    <x:row r="159">
      <x:c r="A159" s="9" t="str">
        <x:f>IF(D159="","",ROW()-1)</x:f>
      </x:c>
      <x:c r="B159" s="51"/>
      <x:c r="C159" s="51"/>
      <x:c r="D159" s="51"/>
      <x:c r="E159" s="9" t="str">
        <x:f>IF(D159="","",IF(AND(F159&lt;='Calibrare v2'!$B$33,G159&gt;=0.86),"DA – FEZABIL",IF(G159&gt;=0.8,"DA – PRUDENT","NU – EVITĂ")))</x:f>
      </x:c>
      <x:c r="F159" s="16" t="str">
        <x:f>IF(OR(W159="",X159=""),"",W159+X159)</x:f>
      </x:c>
      <x:c r="G159" s="28" t="str">
        <x:f>IF(F159="","",EXP(-F159)*(1+F159+F159^2/2+F159^3/6+F159^4/24))</x:f>
      </x:c>
      <x:c r="H159" s="53"/>
      <x:c r="I159" s="9" t="str">
        <x:f>IF(F159="","",IF(F159&lt;='Calibrare v2'!$B$33,"PASS","FAIL"))</x:f>
      </x:c>
      <x:c r="J159" s="51"/>
      <x:c r="K159" s="51"/>
      <x:c r="L159" s="9" t="str">
        <x:f>IF(OR(J159="",K159=""),"",J159+K159)</x:f>
      </x:c>
      <x:c r="M159" s="9" t="str">
        <x:f>IF(L159="","",IF(L159&lt;=4,"UNDER","OVER"))</x:f>
      </x:c>
      <x:c r="N159" s="9" t="str">
        <x:f>IF(E159="","",IF(LEFT(E159,2)="DA","PARIU U78,5","NO BET"))</x:f>
      </x:c>
      <x:c r="O159" s="9" t="str">
        <x:f>IF(M159="","",IF(AM159="PARIU U78,5",IF(M159="UNDER","SUCCES","EȘEC"),IF(M159="UNDER","FALS NEGATIV","EVITARE CORECTĂ")))</x:f>
      </x:c>
      <x:c r="P159" s="9" t="str">
        <x:f>IF(M159="","",IF(M159="UNDER",1,0))</x:f>
      </x:c>
      <x:c r="Q159" s="9" t="str">
        <x:f>IF(P159="","",(G159-P159)^2)</x:f>
      </x:c>
      <x:c r="R159" s="9" t="str">
        <x:f>IF(L159="","",L159-F159)</x:f>
      </x:c>
      <x:c r="S159" s="9" t="str">
        <x:f>IF(L159="","",IF(M159="UNDER","U78,5 reușit; total final "&amp;L159&amp;" vs λ="&amp;TEXT(F159,"0.00")&amp;".","Eșec U78,5; total final "&amp;L159&amp;" vs λ="&amp;TEXT(F159,"0.00")&amp;". Revizuiește Tail Risk, sursa λ și calibrarea."))</x:f>
      </x:c>
      <x:c r="T159" s="51"/>
      <x:c r="U159" s="51"/>
      <x:c r="V159" s="51"/>
      <x:c r="W159" s="61"/>
      <x:c r="X159" s="61"/>
      <x:c r="Y159" s="51"/>
      <x:c r="Z159" s="53"/>
      <x:c r="AA159" s="51"/>
      <x:c r="AB159" s="64" t="str">
        <x:f>IF(AC159="","",AC159)</x:f>
      </x:c>
      <x:c r="AC159" s="67"/>
      <x:c r="AD159" s="69" t="str">
        <x:f>IF(AE159="","",AE159)</x:f>
      </x:c>
      <x:c r="AE159" s="71"/>
      <x:c r="AF159" s="73" t="str">
        <x:f>IF(AC159="","",1/AC159)</x:f>
      </x:c>
      <x:c r="AG159" s="61"/>
      <x:c r="AH159" s="61"/>
      <x:c r="AI159" s="64" t="str">
        <x:f>IF(OR(AC159="",AG159=""),"",AC159*AG159-1)</x:f>
      </x:c>
      <x:c r="AJ159" s="75" t="str">
        <x:f>IF(OR(G159="",F159=""),"",IF(AND(G159&gt;='Calibrare v2'!$B$35,F159&lt;='Calibrare v2'!$B$34),"PASS","FAIL"))</x:f>
      </x:c>
      <x:c r="AK159" s="75" t="str">
        <x:f>IF(AL159="","",AL159)</x:f>
      </x:c>
      <x:c r="AL159" s="77"/>
      <x:c r="AM159" s="77"/>
      <x:c r="AN159" s="64" t="str">
        <x:f>IF(OR(AC159="",P159=""),"",(AC159-P159)^2)</x:f>
      </x:c>
      <x:c r="AO159" s="64" t="str">
        <x:f>IF(OR(AG159="",AH159=""),"",AG159/AH159-1)</x:f>
      </x:c>
      <x:c r="AP159" s="61"/>
      <x:c r="AQ159" s="73" t="n">
        <x:f>IF(OR(AM159&lt;&gt;"PARIU U4,5",M159="",AP159="",AG159=""),0,IF(M159="UNDER",AP159*(AG159-1),-AP159))</x:f>
        <x:v>0</x:v>
      </x:c>
      <x:c r="AR159" s="51"/>
    </x:row>
    <x:row r="160">
      <x:c r="A160" s="9" t="str">
        <x:f>IF(D160="","",ROW()-1)</x:f>
      </x:c>
      <x:c r="B160" s="51"/>
      <x:c r="C160" s="51"/>
      <x:c r="D160" s="51"/>
      <x:c r="E160" s="9" t="str">
        <x:f>IF(D160="","",IF(AND(F160&lt;='Calibrare v2'!$B$33,G160&gt;=0.86),"DA – FEZABIL",IF(G160&gt;=0.8,"DA – PRUDENT","NU – EVITĂ")))</x:f>
      </x:c>
      <x:c r="F160" s="16" t="str">
        <x:f>IF(OR(W160="",X160=""),"",W160+X160)</x:f>
      </x:c>
      <x:c r="G160" s="28" t="str">
        <x:f>IF(F160="","",EXP(-F160)*(1+F160+F160^2/2+F160^3/6+F160^4/24))</x:f>
      </x:c>
      <x:c r="H160" s="53"/>
      <x:c r="I160" s="9" t="str">
        <x:f>IF(F160="","",IF(F160&lt;='Calibrare v2'!$B$33,"PASS","FAIL"))</x:f>
      </x:c>
      <x:c r="J160" s="51"/>
      <x:c r="K160" s="51"/>
      <x:c r="L160" s="9" t="str">
        <x:f>IF(OR(J160="",K160=""),"",J160+K160)</x:f>
      </x:c>
      <x:c r="M160" s="9" t="str">
        <x:f>IF(L160="","",IF(L160&lt;=4,"UNDER","OVER"))</x:f>
      </x:c>
      <x:c r="N160" s="9" t="str">
        <x:f>IF(E160="","",IF(LEFT(E160,2)="DA","PARIU U79,5","NO BET"))</x:f>
      </x:c>
      <x:c r="O160" s="9" t="str">
        <x:f>IF(M160="","",IF(AM160="PARIU U79,5",IF(M160="UNDER","SUCCES","EȘEC"),IF(M160="UNDER","FALS NEGATIV","EVITARE CORECTĂ")))</x:f>
      </x:c>
      <x:c r="P160" s="9" t="str">
        <x:f>IF(M160="","",IF(M160="UNDER",1,0))</x:f>
      </x:c>
      <x:c r="Q160" s="9" t="str">
        <x:f>IF(P160="","",(G160-P160)^2)</x:f>
      </x:c>
      <x:c r="R160" s="9" t="str">
        <x:f>IF(L160="","",L160-F160)</x:f>
      </x:c>
      <x:c r="S160" s="9" t="str">
        <x:f>IF(L160="","",IF(M160="UNDER","U79,5 reușit; total final "&amp;L160&amp;" vs λ="&amp;TEXT(F160,"0.00")&amp;".","Eșec U79,5; total final "&amp;L160&amp;" vs λ="&amp;TEXT(F160,"0.00")&amp;". Revizuiește Tail Risk, sursa λ și calibrarea."))</x:f>
      </x:c>
      <x:c r="T160" s="51"/>
      <x:c r="U160" s="51"/>
      <x:c r="V160" s="51"/>
      <x:c r="W160" s="61"/>
      <x:c r="X160" s="61"/>
      <x:c r="Y160" s="51"/>
      <x:c r="Z160" s="53"/>
      <x:c r="AA160" s="51"/>
      <x:c r="AB160" s="64" t="str">
        <x:f>IF(AC160="","",AC160)</x:f>
      </x:c>
      <x:c r="AC160" s="67"/>
      <x:c r="AD160" s="69" t="str">
        <x:f>IF(AE160="","",AE160)</x:f>
      </x:c>
      <x:c r="AE160" s="71"/>
      <x:c r="AF160" s="73" t="str">
        <x:f>IF(AC160="","",1/AC160)</x:f>
      </x:c>
      <x:c r="AG160" s="61"/>
      <x:c r="AH160" s="61"/>
      <x:c r="AI160" s="64" t="str">
        <x:f>IF(OR(AC160="",AG160=""),"",AC160*AG160-1)</x:f>
      </x:c>
      <x:c r="AJ160" s="75" t="str">
        <x:f>IF(OR(G160="",F160=""),"",IF(AND(G160&gt;='Calibrare v2'!$B$35,F160&lt;='Calibrare v2'!$B$34),"PASS","FAIL"))</x:f>
      </x:c>
      <x:c r="AK160" s="75" t="str">
        <x:f>IF(AL160="","",AL160)</x:f>
      </x:c>
      <x:c r="AL160" s="77"/>
      <x:c r="AM160" s="77"/>
      <x:c r="AN160" s="64" t="str">
        <x:f>IF(OR(AC160="",P160=""),"",(AC160-P160)^2)</x:f>
      </x:c>
      <x:c r="AO160" s="64" t="str">
        <x:f>IF(OR(AG160="",AH160=""),"",AG160/AH160-1)</x:f>
      </x:c>
      <x:c r="AP160" s="61"/>
      <x:c r="AQ160" s="73" t="n">
        <x:f>IF(OR(AM160&lt;&gt;"PARIU U4,5",M160="",AP160="",AG160=""),0,IF(M160="UNDER",AP160*(AG160-1),-AP160))</x:f>
        <x:v>0</x:v>
      </x:c>
      <x:c r="AR160" s="51"/>
    </x:row>
    <x:row r="161">
      <x:c r="A161" s="9" t="str">
        <x:f>IF(D161="","",ROW()-1)</x:f>
      </x:c>
      <x:c r="B161" s="51"/>
      <x:c r="C161" s="51"/>
      <x:c r="D161" s="51"/>
      <x:c r="E161" s="9" t="str">
        <x:f>IF(D161="","",IF(AND(F161&lt;='Calibrare v2'!$B$33,G161&gt;=0.86),"DA – FEZABIL",IF(G161&gt;=0.8,"DA – PRUDENT","NU – EVITĂ")))</x:f>
      </x:c>
      <x:c r="F161" s="16" t="str">
        <x:f>IF(OR(W161="",X161=""),"",W161+X161)</x:f>
      </x:c>
      <x:c r="G161" s="28" t="str">
        <x:f>IF(F161="","",EXP(-F161)*(1+F161+F161^2/2+F161^3/6+F161^4/24))</x:f>
      </x:c>
      <x:c r="H161" s="53"/>
      <x:c r="I161" s="9" t="str">
        <x:f>IF(F161="","",IF(F161&lt;='Calibrare v2'!$B$33,"PASS","FAIL"))</x:f>
      </x:c>
      <x:c r="J161" s="51"/>
      <x:c r="K161" s="51"/>
      <x:c r="L161" s="9" t="str">
        <x:f>IF(OR(J161="",K161=""),"",J161+K161)</x:f>
      </x:c>
      <x:c r="M161" s="9" t="str">
        <x:f>IF(L161="","",IF(L161&lt;=4,"UNDER","OVER"))</x:f>
      </x:c>
      <x:c r="N161" s="9" t="str">
        <x:f>IF(E161="","",IF(LEFT(E161,2)="DA","PARIU U80,5","NO BET"))</x:f>
      </x:c>
      <x:c r="O161" s="9" t="str">
        <x:f>IF(M161="","",IF(AM161="PARIU U80,5",IF(M161="UNDER","SUCCES","EȘEC"),IF(M161="UNDER","FALS NEGATIV","EVITARE CORECTĂ")))</x:f>
      </x:c>
      <x:c r="P161" s="9" t="str">
        <x:f>IF(M161="","",IF(M161="UNDER",1,0))</x:f>
      </x:c>
      <x:c r="Q161" s="9" t="str">
        <x:f>IF(P161="","",(G161-P161)^2)</x:f>
      </x:c>
      <x:c r="R161" s="9" t="str">
        <x:f>IF(L161="","",L161-F161)</x:f>
      </x:c>
      <x:c r="S161" s="9" t="str">
        <x:f>IF(L161="","",IF(M161="UNDER","U80,5 reușit; total final "&amp;L161&amp;" vs λ="&amp;TEXT(F161,"0.00")&amp;".","Eșec U80,5; total final "&amp;L161&amp;" vs λ="&amp;TEXT(F161,"0.00")&amp;". Revizuiește Tail Risk, sursa λ și calibrarea."))</x:f>
      </x:c>
      <x:c r="T161" s="51"/>
      <x:c r="U161" s="51"/>
      <x:c r="V161" s="51"/>
      <x:c r="W161" s="61"/>
      <x:c r="X161" s="61"/>
      <x:c r="Y161" s="51"/>
      <x:c r="Z161" s="53"/>
      <x:c r="AA161" s="51"/>
      <x:c r="AB161" s="64" t="str">
        <x:f>IF(AC161="","",AC161)</x:f>
      </x:c>
      <x:c r="AC161" s="67"/>
      <x:c r="AD161" s="69" t="str">
        <x:f>IF(AE161="","",AE161)</x:f>
      </x:c>
      <x:c r="AE161" s="71"/>
      <x:c r="AF161" s="73" t="str">
        <x:f>IF(AC161="","",1/AC161)</x:f>
      </x:c>
      <x:c r="AG161" s="61"/>
      <x:c r="AH161" s="61"/>
      <x:c r="AI161" s="64" t="str">
        <x:f>IF(OR(AC161="",AG161=""),"",AC161*AG161-1)</x:f>
      </x:c>
      <x:c r="AJ161" s="75" t="str">
        <x:f>IF(OR(G161="",F161=""),"",IF(AND(G161&gt;='Calibrare v2'!$B$35,F161&lt;='Calibrare v2'!$B$34),"PASS","FAIL"))</x:f>
      </x:c>
      <x:c r="AK161" s="75" t="str">
        <x:f>IF(AL161="","",AL161)</x:f>
      </x:c>
      <x:c r="AL161" s="77"/>
      <x:c r="AM161" s="77"/>
      <x:c r="AN161" s="64" t="str">
        <x:f>IF(OR(AC161="",P161=""),"",(AC161-P161)^2)</x:f>
      </x:c>
      <x:c r="AO161" s="64" t="str">
        <x:f>IF(OR(AG161="",AH161=""),"",AG161/AH161-1)</x:f>
      </x:c>
      <x:c r="AP161" s="61"/>
      <x:c r="AQ161" s="73" t="n">
        <x:f>IF(OR(AM161&lt;&gt;"PARIU U4,5",M161="",AP161="",AG161=""),0,IF(M161="UNDER",AP161*(AG161-1),-AP161))</x:f>
        <x:v>0</x:v>
      </x:c>
      <x:c r="AR161" s="51"/>
    </x:row>
    <x:row r="162">
      <x:c r="A162" s="9" t="str">
        <x:f>IF(D162="","",ROW()-1)</x:f>
      </x:c>
      <x:c r="B162" s="51"/>
      <x:c r="C162" s="51"/>
      <x:c r="D162" s="51"/>
      <x:c r="E162" s="9" t="str">
        <x:f>IF(D162="","",IF(AND(F162&lt;='Calibrare v2'!$B$33,G162&gt;=0.86),"DA – FEZABIL",IF(G162&gt;=0.8,"DA – PRUDENT","NU – EVITĂ")))</x:f>
      </x:c>
      <x:c r="F162" s="16" t="str">
        <x:f>IF(OR(W162="",X162=""),"",W162+X162)</x:f>
      </x:c>
      <x:c r="G162" s="28" t="str">
        <x:f>IF(F162="","",EXP(-F162)*(1+F162+F162^2/2+F162^3/6+F162^4/24))</x:f>
      </x:c>
      <x:c r="H162" s="53"/>
      <x:c r="I162" s="9" t="str">
        <x:f>IF(F162="","",IF(F162&lt;='Calibrare v2'!$B$33,"PASS","FAIL"))</x:f>
      </x:c>
      <x:c r="J162" s="51"/>
      <x:c r="K162" s="51"/>
      <x:c r="L162" s="9" t="str">
        <x:f>IF(OR(J162="",K162=""),"",J162+K162)</x:f>
      </x:c>
      <x:c r="M162" s="9" t="str">
        <x:f>IF(L162="","",IF(L162&lt;=4,"UNDER","OVER"))</x:f>
      </x:c>
      <x:c r="N162" s="9" t="str">
        <x:f>IF(E162="","",IF(LEFT(E162,2)="DA","PARIU U81,5","NO BET"))</x:f>
      </x:c>
      <x:c r="O162" s="9" t="str">
        <x:f>IF(M162="","",IF(AM162="PARIU U81,5",IF(M162="UNDER","SUCCES","EȘEC"),IF(M162="UNDER","FALS NEGATIV","EVITARE CORECTĂ")))</x:f>
      </x:c>
      <x:c r="P162" s="9" t="str">
        <x:f>IF(M162="","",IF(M162="UNDER",1,0))</x:f>
      </x:c>
      <x:c r="Q162" s="9" t="str">
        <x:f>IF(P162="","",(G162-P162)^2)</x:f>
      </x:c>
      <x:c r="R162" s="9" t="str">
        <x:f>IF(L162="","",L162-F162)</x:f>
      </x:c>
      <x:c r="S162" s="9" t="str">
        <x:f>IF(L162="","",IF(M162="UNDER","U81,5 reușit; total final "&amp;L162&amp;" vs λ="&amp;TEXT(F162,"0.00")&amp;".","Eșec U81,5; total final "&amp;L162&amp;" vs λ="&amp;TEXT(F162,"0.00")&amp;". Revizuiește Tail Risk, sursa λ și calibrarea."))</x:f>
      </x:c>
      <x:c r="T162" s="51"/>
      <x:c r="U162" s="51"/>
      <x:c r="V162" s="51"/>
      <x:c r="W162" s="61"/>
      <x:c r="X162" s="61"/>
      <x:c r="Y162" s="51"/>
      <x:c r="Z162" s="53"/>
      <x:c r="AA162" s="51"/>
      <x:c r="AB162" s="64" t="str">
        <x:f>IF(AC162="","",AC162)</x:f>
      </x:c>
      <x:c r="AC162" s="67"/>
      <x:c r="AD162" s="69" t="str">
        <x:f>IF(AE162="","",AE162)</x:f>
      </x:c>
      <x:c r="AE162" s="71"/>
      <x:c r="AF162" s="73" t="str">
        <x:f>IF(AC162="","",1/AC162)</x:f>
      </x:c>
      <x:c r="AG162" s="61"/>
      <x:c r="AH162" s="61"/>
      <x:c r="AI162" s="64" t="str">
        <x:f>IF(OR(AC162="",AG162=""),"",AC162*AG162-1)</x:f>
      </x:c>
      <x:c r="AJ162" s="75" t="str">
        <x:f>IF(OR(G162="",F162=""),"",IF(AND(G162&gt;='Calibrare v2'!$B$35,F162&lt;='Calibrare v2'!$B$34),"PASS","FAIL"))</x:f>
      </x:c>
      <x:c r="AK162" s="75" t="str">
        <x:f>IF(AL162="","",AL162)</x:f>
      </x:c>
      <x:c r="AL162" s="77"/>
      <x:c r="AM162" s="77"/>
      <x:c r="AN162" s="64" t="str">
        <x:f>IF(OR(AC162="",P162=""),"",(AC162-P162)^2)</x:f>
      </x:c>
      <x:c r="AO162" s="64" t="str">
        <x:f>IF(OR(AG162="",AH162=""),"",AG162/AH162-1)</x:f>
      </x:c>
      <x:c r="AP162" s="61"/>
      <x:c r="AQ162" s="73" t="n">
        <x:f>IF(OR(AM162&lt;&gt;"PARIU U4,5",M162="",AP162="",AG162=""),0,IF(M162="UNDER",AP162*(AG162-1),-AP162))</x:f>
        <x:v>0</x:v>
      </x:c>
      <x:c r="AR162" s="51"/>
    </x:row>
    <x:row r="163">
      <x:c r="A163" s="9" t="str">
        <x:f>IF(D163="","",ROW()-1)</x:f>
      </x:c>
      <x:c r="B163" s="51"/>
      <x:c r="C163" s="51"/>
      <x:c r="D163" s="51"/>
      <x:c r="E163" s="9" t="str">
        <x:f>IF(D163="","",IF(AND(F163&lt;='Calibrare v2'!$B$33,G163&gt;=0.86),"DA – FEZABIL",IF(G163&gt;=0.8,"DA – PRUDENT","NU – EVITĂ")))</x:f>
      </x:c>
      <x:c r="F163" s="16" t="str">
        <x:f>IF(OR(W163="",X163=""),"",W163+X163)</x:f>
      </x:c>
      <x:c r="G163" s="28" t="str">
        <x:f>IF(F163="","",EXP(-F163)*(1+F163+F163^2/2+F163^3/6+F163^4/24))</x:f>
      </x:c>
      <x:c r="H163" s="53"/>
      <x:c r="I163" s="9" t="str">
        <x:f>IF(F163="","",IF(F163&lt;='Calibrare v2'!$B$33,"PASS","FAIL"))</x:f>
      </x:c>
      <x:c r="J163" s="51"/>
      <x:c r="K163" s="51"/>
      <x:c r="L163" s="9" t="str">
        <x:f>IF(OR(J163="",K163=""),"",J163+K163)</x:f>
      </x:c>
      <x:c r="M163" s="9" t="str">
        <x:f>IF(L163="","",IF(L163&lt;=4,"UNDER","OVER"))</x:f>
      </x:c>
      <x:c r="N163" s="9" t="str">
        <x:f>IF(E163="","",IF(LEFT(E163,2)="DA","PARIU U82,5","NO BET"))</x:f>
      </x:c>
      <x:c r="O163" s="9" t="str">
        <x:f>IF(M163="","",IF(AM163="PARIU U82,5",IF(M163="UNDER","SUCCES","EȘEC"),IF(M163="UNDER","FALS NEGATIV","EVITARE CORECTĂ")))</x:f>
      </x:c>
      <x:c r="P163" s="9" t="str">
        <x:f>IF(M163="","",IF(M163="UNDER",1,0))</x:f>
      </x:c>
      <x:c r="Q163" s="9" t="str">
        <x:f>IF(P163="","",(G163-P163)^2)</x:f>
      </x:c>
      <x:c r="R163" s="9" t="str">
        <x:f>IF(L163="","",L163-F163)</x:f>
      </x:c>
      <x:c r="S163" s="9" t="str">
        <x:f>IF(L163="","",IF(M163="UNDER","U82,5 reușit; total final "&amp;L163&amp;" vs λ="&amp;TEXT(F163,"0.00")&amp;".","Eșec U82,5; total final "&amp;L163&amp;" vs λ="&amp;TEXT(F163,"0.00")&amp;". Revizuiește Tail Risk, sursa λ și calibrarea."))</x:f>
      </x:c>
      <x:c r="T163" s="51"/>
      <x:c r="U163" s="51"/>
      <x:c r="V163" s="51"/>
      <x:c r="W163" s="61"/>
      <x:c r="X163" s="61"/>
      <x:c r="Y163" s="51"/>
      <x:c r="Z163" s="53"/>
      <x:c r="AA163" s="51"/>
      <x:c r="AB163" s="64" t="str">
        <x:f>IF(AC163="","",AC163)</x:f>
      </x:c>
      <x:c r="AC163" s="67"/>
      <x:c r="AD163" s="69" t="str">
        <x:f>IF(AE163="","",AE163)</x:f>
      </x:c>
      <x:c r="AE163" s="71"/>
      <x:c r="AF163" s="73" t="str">
        <x:f>IF(AC163="","",1/AC163)</x:f>
      </x:c>
      <x:c r="AG163" s="61"/>
      <x:c r="AH163" s="61"/>
      <x:c r="AI163" s="64" t="str">
        <x:f>IF(OR(AC163="",AG163=""),"",AC163*AG163-1)</x:f>
      </x:c>
      <x:c r="AJ163" s="75" t="str">
        <x:f>IF(OR(G163="",F163=""),"",IF(AND(G163&gt;='Calibrare v2'!$B$35,F163&lt;='Calibrare v2'!$B$34),"PASS","FAIL"))</x:f>
      </x:c>
      <x:c r="AK163" s="75" t="str">
        <x:f>IF(AL163="","",AL163)</x:f>
      </x:c>
      <x:c r="AL163" s="77"/>
      <x:c r="AM163" s="77"/>
      <x:c r="AN163" s="64" t="str">
        <x:f>IF(OR(AC163="",P163=""),"",(AC163-P163)^2)</x:f>
      </x:c>
      <x:c r="AO163" s="64" t="str">
        <x:f>IF(OR(AG163="",AH163=""),"",AG163/AH163-1)</x:f>
      </x:c>
      <x:c r="AP163" s="61"/>
      <x:c r="AQ163" s="73" t="n">
        <x:f>IF(OR(AM163&lt;&gt;"PARIU U4,5",M163="",AP163="",AG163=""),0,IF(M163="UNDER",AP163*(AG163-1),-AP163))</x:f>
        <x:v>0</x:v>
      </x:c>
      <x:c r="AR163" s="51"/>
    </x:row>
    <x:row r="164">
      <x:c r="A164" s="9" t="str">
        <x:f>IF(D164="","",ROW()-1)</x:f>
      </x:c>
      <x:c r="B164" s="51"/>
      <x:c r="C164" s="51"/>
      <x:c r="D164" s="51"/>
      <x:c r="E164" s="9" t="str">
        <x:f>IF(D164="","",IF(AND(F164&lt;='Calibrare v2'!$B$33,G164&gt;=0.86),"DA – FEZABIL",IF(G164&gt;=0.8,"DA – PRUDENT","NU – EVITĂ")))</x:f>
      </x:c>
      <x:c r="F164" s="16" t="str">
        <x:f>IF(OR(W164="",X164=""),"",W164+X164)</x:f>
      </x:c>
      <x:c r="G164" s="28" t="str">
        <x:f>IF(F164="","",EXP(-F164)*(1+F164+F164^2/2+F164^3/6+F164^4/24))</x:f>
      </x:c>
      <x:c r="H164" s="53"/>
      <x:c r="I164" s="9" t="str">
        <x:f>IF(F164="","",IF(F164&lt;='Calibrare v2'!$B$33,"PASS","FAIL"))</x:f>
      </x:c>
      <x:c r="J164" s="51"/>
      <x:c r="K164" s="51"/>
      <x:c r="L164" s="9" t="str">
        <x:f>IF(OR(J164="",K164=""),"",J164+K164)</x:f>
      </x:c>
      <x:c r="M164" s="9" t="str">
        <x:f>IF(L164="","",IF(L164&lt;=4,"UNDER","OVER"))</x:f>
      </x:c>
      <x:c r="N164" s="9" t="str">
        <x:f>IF(E164="","",IF(LEFT(E164,2)="DA","PARIU U83,5","NO BET"))</x:f>
      </x:c>
      <x:c r="O164" s="9" t="str">
        <x:f>IF(M164="","",IF(AM164="PARIU U83,5",IF(M164="UNDER","SUCCES","EȘEC"),IF(M164="UNDER","FALS NEGATIV","EVITARE CORECTĂ")))</x:f>
      </x:c>
      <x:c r="P164" s="9" t="str">
        <x:f>IF(M164="","",IF(M164="UNDER",1,0))</x:f>
      </x:c>
      <x:c r="Q164" s="9" t="str">
        <x:f>IF(P164="","",(G164-P164)^2)</x:f>
      </x:c>
      <x:c r="R164" s="9" t="str">
        <x:f>IF(L164="","",L164-F164)</x:f>
      </x:c>
      <x:c r="S164" s="9" t="str">
        <x:f>IF(L164="","",IF(M164="UNDER","U83,5 reușit; total final "&amp;L164&amp;" vs λ="&amp;TEXT(F164,"0.00")&amp;".","Eșec U83,5; total final "&amp;L164&amp;" vs λ="&amp;TEXT(F164,"0.00")&amp;". Revizuiește Tail Risk, sursa λ și calibrarea."))</x:f>
      </x:c>
      <x:c r="T164" s="51"/>
      <x:c r="U164" s="51"/>
      <x:c r="V164" s="51"/>
      <x:c r="W164" s="61"/>
      <x:c r="X164" s="61"/>
      <x:c r="Y164" s="51"/>
      <x:c r="Z164" s="53"/>
      <x:c r="AA164" s="51"/>
      <x:c r="AB164" s="64" t="str">
        <x:f>IF(AC164="","",AC164)</x:f>
      </x:c>
      <x:c r="AC164" s="67"/>
      <x:c r="AD164" s="69" t="str">
        <x:f>IF(AE164="","",AE164)</x:f>
      </x:c>
      <x:c r="AE164" s="71"/>
      <x:c r="AF164" s="73" t="str">
        <x:f>IF(AC164="","",1/AC164)</x:f>
      </x:c>
      <x:c r="AG164" s="61"/>
      <x:c r="AH164" s="61"/>
      <x:c r="AI164" s="64" t="str">
        <x:f>IF(OR(AC164="",AG164=""),"",AC164*AG164-1)</x:f>
      </x:c>
      <x:c r="AJ164" s="75" t="str">
        <x:f>IF(OR(G164="",F164=""),"",IF(AND(G164&gt;='Calibrare v2'!$B$35,F164&lt;='Calibrare v2'!$B$34),"PASS","FAIL"))</x:f>
      </x:c>
      <x:c r="AK164" s="75" t="str">
        <x:f>IF(AL164="","",AL164)</x:f>
      </x:c>
      <x:c r="AL164" s="77"/>
      <x:c r="AM164" s="77"/>
      <x:c r="AN164" s="64" t="str">
        <x:f>IF(OR(AC164="",P164=""),"",(AC164-P164)^2)</x:f>
      </x:c>
      <x:c r="AO164" s="64" t="str">
        <x:f>IF(OR(AG164="",AH164=""),"",AG164/AH164-1)</x:f>
      </x:c>
      <x:c r="AP164" s="61"/>
      <x:c r="AQ164" s="73" t="n">
        <x:f>IF(OR(AM164&lt;&gt;"PARIU U4,5",M164="",AP164="",AG164=""),0,IF(M164="UNDER",AP164*(AG164-1),-AP164))</x:f>
        <x:v>0</x:v>
      </x:c>
      <x:c r="AR164" s="51"/>
    </x:row>
    <x:row r="165">
      <x:c r="A165" s="9" t="str">
        <x:f>IF(D165="","",ROW()-1)</x:f>
      </x:c>
      <x:c r="B165" s="51"/>
      <x:c r="C165" s="51"/>
      <x:c r="D165" s="51"/>
      <x:c r="E165" s="9" t="str">
        <x:f>IF(D165="","",IF(AND(F165&lt;='Calibrare v2'!$B$33,G165&gt;=0.86),"DA – FEZABIL",IF(G165&gt;=0.8,"DA – PRUDENT","NU – EVITĂ")))</x:f>
      </x:c>
      <x:c r="F165" s="16" t="str">
        <x:f>IF(OR(W165="",X165=""),"",W165+X165)</x:f>
      </x:c>
      <x:c r="G165" s="28" t="str">
        <x:f>IF(F165="","",EXP(-F165)*(1+F165+F165^2/2+F165^3/6+F165^4/24))</x:f>
      </x:c>
      <x:c r="H165" s="53"/>
      <x:c r="I165" s="9" t="str">
        <x:f>IF(F165="","",IF(F165&lt;='Calibrare v2'!$B$33,"PASS","FAIL"))</x:f>
      </x:c>
      <x:c r="J165" s="51"/>
      <x:c r="K165" s="51"/>
      <x:c r="L165" s="9" t="str">
        <x:f>IF(OR(J165="",K165=""),"",J165+K165)</x:f>
      </x:c>
      <x:c r="M165" s="9" t="str">
        <x:f>IF(L165="","",IF(L165&lt;=4,"UNDER","OVER"))</x:f>
      </x:c>
      <x:c r="N165" s="9" t="str">
        <x:f>IF(E165="","",IF(LEFT(E165,2)="DA","PARIU U84,5","NO BET"))</x:f>
      </x:c>
      <x:c r="O165" s="9" t="str">
        <x:f>IF(M165="","",IF(AM165="PARIU U84,5",IF(M165="UNDER","SUCCES","EȘEC"),IF(M165="UNDER","FALS NEGATIV","EVITARE CORECTĂ")))</x:f>
      </x:c>
      <x:c r="P165" s="9" t="str">
        <x:f>IF(M165="","",IF(M165="UNDER",1,0))</x:f>
      </x:c>
      <x:c r="Q165" s="9" t="str">
        <x:f>IF(P165="","",(G165-P165)^2)</x:f>
      </x:c>
      <x:c r="R165" s="9" t="str">
        <x:f>IF(L165="","",L165-F165)</x:f>
      </x:c>
      <x:c r="S165" s="9" t="str">
        <x:f>IF(L165="","",IF(M165="UNDER","U84,5 reușit; total final "&amp;L165&amp;" vs λ="&amp;TEXT(F165,"0.00")&amp;".","Eșec U84,5; total final "&amp;L165&amp;" vs λ="&amp;TEXT(F165,"0.00")&amp;". Revizuiește Tail Risk, sursa λ și calibrarea."))</x:f>
      </x:c>
      <x:c r="T165" s="51"/>
      <x:c r="U165" s="51"/>
      <x:c r="V165" s="51"/>
      <x:c r="W165" s="61"/>
      <x:c r="X165" s="61"/>
      <x:c r="Y165" s="51"/>
      <x:c r="Z165" s="53"/>
      <x:c r="AA165" s="51"/>
      <x:c r="AB165" s="64" t="str">
        <x:f>IF(AC165="","",AC165)</x:f>
      </x:c>
      <x:c r="AC165" s="67"/>
      <x:c r="AD165" s="69" t="str">
        <x:f>IF(AE165="","",AE165)</x:f>
      </x:c>
      <x:c r="AE165" s="71"/>
      <x:c r="AF165" s="73" t="str">
        <x:f>IF(AC165="","",1/AC165)</x:f>
      </x:c>
      <x:c r="AG165" s="61"/>
      <x:c r="AH165" s="61"/>
      <x:c r="AI165" s="64" t="str">
        <x:f>IF(OR(AC165="",AG165=""),"",AC165*AG165-1)</x:f>
      </x:c>
      <x:c r="AJ165" s="75" t="str">
        <x:f>IF(OR(G165="",F165=""),"",IF(AND(G165&gt;='Calibrare v2'!$B$35,F165&lt;='Calibrare v2'!$B$34),"PASS","FAIL"))</x:f>
      </x:c>
      <x:c r="AK165" s="75" t="str">
        <x:f>IF(AL165="","",AL165)</x:f>
      </x:c>
      <x:c r="AL165" s="77"/>
      <x:c r="AM165" s="77"/>
      <x:c r="AN165" s="64" t="str">
        <x:f>IF(OR(AC165="",P165=""),"",(AC165-P165)^2)</x:f>
      </x:c>
      <x:c r="AO165" s="64" t="str">
        <x:f>IF(OR(AG165="",AH165=""),"",AG165/AH165-1)</x:f>
      </x:c>
      <x:c r="AP165" s="61"/>
      <x:c r="AQ165" s="73" t="n">
        <x:f>IF(OR(AM165&lt;&gt;"PARIU U4,5",M165="",AP165="",AG165=""),0,IF(M165="UNDER",AP165*(AG165-1),-AP165))</x:f>
        <x:v>0</x:v>
      </x:c>
      <x:c r="AR165" s="51"/>
    </x:row>
    <x:row r="166">
      <x:c r="A166" s="9" t="str">
        <x:f>IF(D166="","",ROW()-1)</x:f>
      </x:c>
      <x:c r="B166" s="51"/>
      <x:c r="C166" s="51"/>
      <x:c r="D166" s="51"/>
      <x:c r="E166" s="9" t="str">
        <x:f>IF(D166="","",IF(AND(F166&lt;='Calibrare v2'!$B$33,G166&gt;=0.86),"DA – FEZABIL",IF(G166&gt;=0.8,"DA – PRUDENT","NU – EVITĂ")))</x:f>
      </x:c>
      <x:c r="F166" s="16" t="str">
        <x:f>IF(OR(W166="",X166=""),"",W166+X166)</x:f>
      </x:c>
      <x:c r="G166" s="28" t="str">
        <x:f>IF(F166="","",EXP(-F166)*(1+F166+F166^2/2+F166^3/6+F166^4/24))</x:f>
      </x:c>
      <x:c r="H166" s="53"/>
      <x:c r="I166" s="9" t="str">
        <x:f>IF(F166="","",IF(F166&lt;='Calibrare v2'!$B$33,"PASS","FAIL"))</x:f>
      </x:c>
      <x:c r="J166" s="51"/>
      <x:c r="K166" s="51"/>
      <x:c r="L166" s="9" t="str">
        <x:f>IF(OR(J166="",K166=""),"",J166+K166)</x:f>
      </x:c>
      <x:c r="M166" s="9" t="str">
        <x:f>IF(L166="","",IF(L166&lt;=4,"UNDER","OVER"))</x:f>
      </x:c>
      <x:c r="N166" s="9" t="str">
        <x:f>IF(E166="","",IF(LEFT(E166,2)="DA","PARIU U85,5","NO BET"))</x:f>
      </x:c>
      <x:c r="O166" s="9" t="str">
        <x:f>IF(M166="","",IF(AM166="PARIU U85,5",IF(M166="UNDER","SUCCES","EȘEC"),IF(M166="UNDER","FALS NEGATIV","EVITARE CORECTĂ")))</x:f>
      </x:c>
      <x:c r="P166" s="9" t="str">
        <x:f>IF(M166="","",IF(M166="UNDER",1,0))</x:f>
      </x:c>
      <x:c r="Q166" s="9" t="str">
        <x:f>IF(P166="","",(G166-P166)^2)</x:f>
      </x:c>
      <x:c r="R166" s="9" t="str">
        <x:f>IF(L166="","",L166-F166)</x:f>
      </x:c>
      <x:c r="S166" s="9" t="str">
        <x:f>IF(L166="","",IF(M166="UNDER","U85,5 reușit; total final "&amp;L166&amp;" vs λ="&amp;TEXT(F166,"0.00")&amp;".","Eșec U85,5; total final "&amp;L166&amp;" vs λ="&amp;TEXT(F166,"0.00")&amp;". Revizuiește Tail Risk, sursa λ și calibrarea."))</x:f>
      </x:c>
      <x:c r="T166" s="51"/>
      <x:c r="U166" s="51"/>
      <x:c r="V166" s="51"/>
      <x:c r="W166" s="61"/>
      <x:c r="X166" s="61"/>
      <x:c r="Y166" s="51"/>
      <x:c r="Z166" s="53"/>
      <x:c r="AA166" s="51"/>
      <x:c r="AB166" s="64" t="str">
        <x:f>IF(AC166="","",AC166)</x:f>
      </x:c>
      <x:c r="AC166" s="67"/>
      <x:c r="AD166" s="69" t="str">
        <x:f>IF(AE166="","",AE166)</x:f>
      </x:c>
      <x:c r="AE166" s="71"/>
      <x:c r="AF166" s="73" t="str">
        <x:f>IF(AC166="","",1/AC166)</x:f>
      </x:c>
      <x:c r="AG166" s="61"/>
      <x:c r="AH166" s="61"/>
      <x:c r="AI166" s="64" t="str">
        <x:f>IF(OR(AC166="",AG166=""),"",AC166*AG166-1)</x:f>
      </x:c>
      <x:c r="AJ166" s="75" t="str">
        <x:f>IF(OR(G166="",F166=""),"",IF(AND(G166&gt;='Calibrare v2'!$B$35,F166&lt;='Calibrare v2'!$B$34),"PASS","FAIL"))</x:f>
      </x:c>
      <x:c r="AK166" s="75" t="str">
        <x:f>IF(AL166="","",AL166)</x:f>
      </x:c>
      <x:c r="AL166" s="77"/>
      <x:c r="AM166" s="77"/>
      <x:c r="AN166" s="64" t="str">
        <x:f>IF(OR(AC166="",P166=""),"",(AC166-P166)^2)</x:f>
      </x:c>
      <x:c r="AO166" s="64" t="str">
        <x:f>IF(OR(AG166="",AH166=""),"",AG166/AH166-1)</x:f>
      </x:c>
      <x:c r="AP166" s="61"/>
      <x:c r="AQ166" s="73" t="n">
        <x:f>IF(OR(AM166&lt;&gt;"PARIU U4,5",M166="",AP166="",AG166=""),0,IF(M166="UNDER",AP166*(AG166-1),-AP166))</x:f>
        <x:v>0</x:v>
      </x:c>
      <x:c r="AR166" s="51"/>
    </x:row>
    <x:row r="167">
      <x:c r="A167" s="9" t="str">
        <x:f>IF(D167="","",ROW()-1)</x:f>
      </x:c>
      <x:c r="B167" s="51"/>
      <x:c r="C167" s="51"/>
      <x:c r="D167" s="51"/>
      <x:c r="E167" s="9" t="str">
        <x:f>IF(D167="","",IF(AND(F167&lt;='Calibrare v2'!$B$33,G167&gt;=0.86),"DA – FEZABIL",IF(G167&gt;=0.8,"DA – PRUDENT","NU – EVITĂ")))</x:f>
      </x:c>
      <x:c r="F167" s="16" t="str">
        <x:f>IF(OR(W167="",X167=""),"",W167+X167)</x:f>
      </x:c>
      <x:c r="G167" s="28" t="str">
        <x:f>IF(F167="","",EXP(-F167)*(1+F167+F167^2/2+F167^3/6+F167^4/24))</x:f>
      </x:c>
      <x:c r="H167" s="53"/>
      <x:c r="I167" s="9" t="str">
        <x:f>IF(F167="","",IF(F167&lt;='Calibrare v2'!$B$33,"PASS","FAIL"))</x:f>
      </x:c>
      <x:c r="J167" s="51"/>
      <x:c r="K167" s="51"/>
      <x:c r="L167" s="9" t="str">
        <x:f>IF(OR(J167="",K167=""),"",J167+K167)</x:f>
      </x:c>
      <x:c r="M167" s="9" t="str">
        <x:f>IF(L167="","",IF(L167&lt;=4,"UNDER","OVER"))</x:f>
      </x:c>
      <x:c r="N167" s="9" t="str">
        <x:f>IF(E167="","",IF(LEFT(E167,2)="DA","PARIU U86,5","NO BET"))</x:f>
      </x:c>
      <x:c r="O167" s="9" t="str">
        <x:f>IF(M167="","",IF(AM167="PARIU U86,5",IF(M167="UNDER","SUCCES","EȘEC"),IF(M167="UNDER","FALS NEGATIV","EVITARE CORECTĂ")))</x:f>
      </x:c>
      <x:c r="P167" s="9" t="str">
        <x:f>IF(M167="","",IF(M167="UNDER",1,0))</x:f>
      </x:c>
      <x:c r="Q167" s="9" t="str">
        <x:f>IF(P167="","",(G167-P167)^2)</x:f>
      </x:c>
      <x:c r="R167" s="9" t="str">
        <x:f>IF(L167="","",L167-F167)</x:f>
      </x:c>
      <x:c r="S167" s="9" t="str">
        <x:f>IF(L167="","",IF(M167="UNDER","U86,5 reușit; total final "&amp;L167&amp;" vs λ="&amp;TEXT(F167,"0.00")&amp;".","Eșec U86,5; total final "&amp;L167&amp;" vs λ="&amp;TEXT(F167,"0.00")&amp;". Revizuiește Tail Risk, sursa λ și calibrarea."))</x:f>
      </x:c>
      <x:c r="T167" s="51"/>
      <x:c r="U167" s="51"/>
      <x:c r="V167" s="51"/>
      <x:c r="W167" s="61"/>
      <x:c r="X167" s="61"/>
      <x:c r="Y167" s="51"/>
      <x:c r="Z167" s="53"/>
      <x:c r="AA167" s="51"/>
      <x:c r="AB167" s="64" t="str">
        <x:f>IF(AC167="","",AC167)</x:f>
      </x:c>
      <x:c r="AC167" s="67"/>
      <x:c r="AD167" s="69" t="str">
        <x:f>IF(AE167="","",AE167)</x:f>
      </x:c>
      <x:c r="AE167" s="71"/>
      <x:c r="AF167" s="73" t="str">
        <x:f>IF(AC167="","",1/AC167)</x:f>
      </x:c>
      <x:c r="AG167" s="61"/>
      <x:c r="AH167" s="61"/>
      <x:c r="AI167" s="64" t="str">
        <x:f>IF(OR(AC167="",AG167=""),"",AC167*AG167-1)</x:f>
      </x:c>
      <x:c r="AJ167" s="75" t="str">
        <x:f>IF(OR(G167="",F167=""),"",IF(AND(G167&gt;='Calibrare v2'!$B$35,F167&lt;='Calibrare v2'!$B$34),"PASS","FAIL"))</x:f>
      </x:c>
      <x:c r="AK167" s="75" t="str">
        <x:f>IF(AL167="","",AL167)</x:f>
      </x:c>
      <x:c r="AL167" s="77"/>
      <x:c r="AM167" s="77"/>
      <x:c r="AN167" s="64" t="str">
        <x:f>IF(OR(AC167="",P167=""),"",(AC167-P167)^2)</x:f>
      </x:c>
      <x:c r="AO167" s="64" t="str">
        <x:f>IF(OR(AG167="",AH167=""),"",AG167/AH167-1)</x:f>
      </x:c>
      <x:c r="AP167" s="61"/>
      <x:c r="AQ167" s="73" t="n">
        <x:f>IF(OR(AM167&lt;&gt;"PARIU U4,5",M167="",AP167="",AG167=""),0,IF(M167="UNDER",AP167*(AG167-1),-AP167))</x:f>
        <x:v>0</x:v>
      </x:c>
      <x:c r="AR167" s="51"/>
    </x:row>
    <x:row r="168">
      <x:c r="A168" s="9" t="str">
        <x:f>IF(D168="","",ROW()-1)</x:f>
      </x:c>
      <x:c r="B168" s="51"/>
      <x:c r="C168" s="51"/>
      <x:c r="D168" s="51"/>
      <x:c r="E168" s="9" t="str">
        <x:f>IF(D168="","",IF(AND(F168&lt;='Calibrare v2'!$B$33,G168&gt;=0.86),"DA – FEZABIL",IF(G168&gt;=0.8,"DA – PRUDENT","NU – EVITĂ")))</x:f>
      </x:c>
      <x:c r="F168" s="16" t="str">
        <x:f>IF(OR(W168="",X168=""),"",W168+X168)</x:f>
      </x:c>
      <x:c r="G168" s="28" t="str">
        <x:f>IF(F168="","",EXP(-F168)*(1+F168+F168^2/2+F168^3/6+F168^4/24))</x:f>
      </x:c>
      <x:c r="H168" s="53"/>
      <x:c r="I168" s="9" t="str">
        <x:f>IF(F168="","",IF(F168&lt;='Calibrare v2'!$B$33,"PASS","FAIL"))</x:f>
      </x:c>
      <x:c r="J168" s="51"/>
      <x:c r="K168" s="51"/>
      <x:c r="L168" s="9" t="str">
        <x:f>IF(OR(J168="",K168=""),"",J168+K168)</x:f>
      </x:c>
      <x:c r="M168" s="9" t="str">
        <x:f>IF(L168="","",IF(L168&lt;=4,"UNDER","OVER"))</x:f>
      </x:c>
      <x:c r="N168" s="9" t="str">
        <x:f>IF(E168="","",IF(LEFT(E168,2)="DA","PARIU U87,5","NO BET"))</x:f>
      </x:c>
      <x:c r="O168" s="9" t="str">
        <x:f>IF(M168="","",IF(AM168="PARIU U87,5",IF(M168="UNDER","SUCCES","EȘEC"),IF(M168="UNDER","FALS NEGATIV","EVITARE CORECTĂ")))</x:f>
      </x:c>
      <x:c r="P168" s="9" t="str">
        <x:f>IF(M168="","",IF(M168="UNDER",1,0))</x:f>
      </x:c>
      <x:c r="Q168" s="9" t="str">
        <x:f>IF(P168="","",(G168-P168)^2)</x:f>
      </x:c>
      <x:c r="R168" s="9" t="str">
        <x:f>IF(L168="","",L168-F168)</x:f>
      </x:c>
      <x:c r="S168" s="9" t="str">
        <x:f>IF(L168="","",IF(M168="UNDER","U87,5 reușit; total final "&amp;L168&amp;" vs λ="&amp;TEXT(F168,"0.00")&amp;".","Eșec U87,5; total final "&amp;L168&amp;" vs λ="&amp;TEXT(F168,"0.00")&amp;". Revizuiește Tail Risk, sursa λ și calibrarea."))</x:f>
      </x:c>
      <x:c r="T168" s="51"/>
      <x:c r="U168" s="51"/>
      <x:c r="V168" s="51"/>
      <x:c r="W168" s="61"/>
      <x:c r="X168" s="61"/>
      <x:c r="Y168" s="51"/>
      <x:c r="Z168" s="53"/>
      <x:c r="AA168" s="51"/>
      <x:c r="AB168" s="64" t="str">
        <x:f>IF(AC168="","",AC168)</x:f>
      </x:c>
      <x:c r="AC168" s="67"/>
      <x:c r="AD168" s="69" t="str">
        <x:f>IF(AE168="","",AE168)</x:f>
      </x:c>
      <x:c r="AE168" s="71"/>
      <x:c r="AF168" s="73" t="str">
        <x:f>IF(AC168="","",1/AC168)</x:f>
      </x:c>
      <x:c r="AG168" s="61"/>
      <x:c r="AH168" s="61"/>
      <x:c r="AI168" s="64" t="str">
        <x:f>IF(OR(AC168="",AG168=""),"",AC168*AG168-1)</x:f>
      </x:c>
      <x:c r="AJ168" s="75" t="str">
        <x:f>IF(OR(G168="",F168=""),"",IF(AND(G168&gt;='Calibrare v2'!$B$35,F168&lt;='Calibrare v2'!$B$34),"PASS","FAIL"))</x:f>
      </x:c>
      <x:c r="AK168" s="75" t="str">
        <x:f>IF(AL168="","",AL168)</x:f>
      </x:c>
      <x:c r="AL168" s="77"/>
      <x:c r="AM168" s="77"/>
      <x:c r="AN168" s="64" t="str">
        <x:f>IF(OR(AC168="",P168=""),"",(AC168-P168)^2)</x:f>
      </x:c>
      <x:c r="AO168" s="64" t="str">
        <x:f>IF(OR(AG168="",AH168=""),"",AG168/AH168-1)</x:f>
      </x:c>
      <x:c r="AP168" s="61"/>
      <x:c r="AQ168" s="73" t="n">
        <x:f>IF(OR(AM168&lt;&gt;"PARIU U4,5",M168="",AP168="",AG168=""),0,IF(M168="UNDER",AP168*(AG168-1),-AP168))</x:f>
        <x:v>0</x:v>
      </x:c>
      <x:c r="AR168" s="51"/>
    </x:row>
    <x:row r="169">
      <x:c r="A169" s="9" t="str">
        <x:f>IF(D169="","",ROW()-1)</x:f>
      </x:c>
      <x:c r="B169" s="51"/>
      <x:c r="C169" s="51"/>
      <x:c r="D169" s="51"/>
      <x:c r="E169" s="9" t="str">
        <x:f>IF(D169="","",IF(AND(F169&lt;='Calibrare v2'!$B$33,G169&gt;=0.86),"DA – FEZABIL",IF(G169&gt;=0.8,"DA – PRUDENT","NU – EVITĂ")))</x:f>
      </x:c>
      <x:c r="F169" s="16" t="str">
        <x:f>IF(OR(W169="",X169=""),"",W169+X169)</x:f>
      </x:c>
      <x:c r="G169" s="28" t="str">
        <x:f>IF(F169="","",EXP(-F169)*(1+F169+F169^2/2+F169^3/6+F169^4/24))</x:f>
      </x:c>
      <x:c r="H169" s="53"/>
      <x:c r="I169" s="9" t="str">
        <x:f>IF(F169="","",IF(F169&lt;='Calibrare v2'!$B$33,"PASS","FAIL"))</x:f>
      </x:c>
      <x:c r="J169" s="51"/>
      <x:c r="K169" s="51"/>
      <x:c r="L169" s="9" t="str">
        <x:f>IF(OR(J169="",K169=""),"",J169+K169)</x:f>
      </x:c>
      <x:c r="M169" s="9" t="str">
        <x:f>IF(L169="","",IF(L169&lt;=4,"UNDER","OVER"))</x:f>
      </x:c>
      <x:c r="N169" s="9" t="str">
        <x:f>IF(E169="","",IF(LEFT(E169,2)="DA","PARIU U88,5","NO BET"))</x:f>
      </x:c>
      <x:c r="O169" s="9" t="str">
        <x:f>IF(M169="","",IF(AM169="PARIU U88,5",IF(M169="UNDER","SUCCES","EȘEC"),IF(M169="UNDER","FALS NEGATIV","EVITARE CORECTĂ")))</x:f>
      </x:c>
      <x:c r="P169" s="9" t="str">
        <x:f>IF(M169="","",IF(M169="UNDER",1,0))</x:f>
      </x:c>
      <x:c r="Q169" s="9" t="str">
        <x:f>IF(P169="","",(G169-P169)^2)</x:f>
      </x:c>
      <x:c r="R169" s="9" t="str">
        <x:f>IF(L169="","",L169-F169)</x:f>
      </x:c>
      <x:c r="S169" s="9" t="str">
        <x:f>IF(L169="","",IF(M169="UNDER","U88,5 reușit; total final "&amp;L169&amp;" vs λ="&amp;TEXT(F169,"0.00")&amp;".","Eșec U88,5; total final "&amp;L169&amp;" vs λ="&amp;TEXT(F169,"0.00")&amp;". Revizuiește Tail Risk, sursa λ și calibrarea."))</x:f>
      </x:c>
      <x:c r="T169" s="51"/>
      <x:c r="U169" s="51"/>
      <x:c r="V169" s="51"/>
      <x:c r="W169" s="61"/>
      <x:c r="X169" s="61"/>
      <x:c r="Y169" s="51"/>
      <x:c r="Z169" s="53"/>
      <x:c r="AA169" s="51"/>
      <x:c r="AB169" s="64" t="str">
        <x:f>IF(AC169="","",AC169)</x:f>
      </x:c>
      <x:c r="AC169" s="67"/>
      <x:c r="AD169" s="69" t="str">
        <x:f>IF(AE169="","",AE169)</x:f>
      </x:c>
      <x:c r="AE169" s="71"/>
      <x:c r="AF169" s="73" t="str">
        <x:f>IF(AC169="","",1/AC169)</x:f>
      </x:c>
      <x:c r="AG169" s="61"/>
      <x:c r="AH169" s="61"/>
      <x:c r="AI169" s="64" t="str">
        <x:f>IF(OR(AC169="",AG169=""),"",AC169*AG169-1)</x:f>
      </x:c>
      <x:c r="AJ169" s="75" t="str">
        <x:f>IF(OR(G169="",F169=""),"",IF(AND(G169&gt;='Calibrare v2'!$B$35,F169&lt;='Calibrare v2'!$B$34),"PASS","FAIL"))</x:f>
      </x:c>
      <x:c r="AK169" s="75" t="str">
        <x:f>IF(AL169="","",AL169)</x:f>
      </x:c>
      <x:c r="AL169" s="77"/>
      <x:c r="AM169" s="77"/>
      <x:c r="AN169" s="64" t="str">
        <x:f>IF(OR(AC169="",P169=""),"",(AC169-P169)^2)</x:f>
      </x:c>
      <x:c r="AO169" s="64" t="str">
        <x:f>IF(OR(AG169="",AH169=""),"",AG169/AH169-1)</x:f>
      </x:c>
      <x:c r="AP169" s="61"/>
      <x:c r="AQ169" s="73" t="n">
        <x:f>IF(OR(AM169&lt;&gt;"PARIU U4,5",M169="",AP169="",AG169=""),0,IF(M169="UNDER",AP169*(AG169-1),-AP169))</x:f>
        <x:v>0</x:v>
      </x:c>
      <x:c r="AR169" s="51"/>
    </x:row>
    <x:row r="170">
      <x:c r="A170" s="9" t="str">
        <x:f>IF(D170="","",ROW()-1)</x:f>
      </x:c>
      <x:c r="B170" s="51"/>
      <x:c r="C170" s="51"/>
      <x:c r="D170" s="51"/>
      <x:c r="E170" s="9" t="str">
        <x:f>IF(D170="","",IF(AND(F170&lt;='Calibrare v2'!$B$33,G170&gt;=0.86),"DA – FEZABIL",IF(G170&gt;=0.8,"DA – PRUDENT","NU – EVITĂ")))</x:f>
      </x:c>
      <x:c r="F170" s="16" t="str">
        <x:f>IF(OR(W170="",X170=""),"",W170+X170)</x:f>
      </x:c>
      <x:c r="G170" s="28" t="str">
        <x:f>IF(F170="","",EXP(-F170)*(1+F170+F170^2/2+F170^3/6+F170^4/24))</x:f>
      </x:c>
      <x:c r="H170" s="53"/>
      <x:c r="I170" s="9" t="str">
        <x:f>IF(F170="","",IF(F170&lt;='Calibrare v2'!$B$33,"PASS","FAIL"))</x:f>
      </x:c>
      <x:c r="J170" s="51"/>
      <x:c r="K170" s="51"/>
      <x:c r="L170" s="9" t="str">
        <x:f>IF(OR(J170="",K170=""),"",J170+K170)</x:f>
      </x:c>
      <x:c r="M170" s="9" t="str">
        <x:f>IF(L170="","",IF(L170&lt;=4,"UNDER","OVER"))</x:f>
      </x:c>
      <x:c r="N170" s="9" t="str">
        <x:f>IF(E170="","",IF(LEFT(E170,2)="DA","PARIU U89,5","NO BET"))</x:f>
      </x:c>
      <x:c r="O170" s="9" t="str">
        <x:f>IF(M170="","",IF(AM170="PARIU U89,5",IF(M170="UNDER","SUCCES","EȘEC"),IF(M170="UNDER","FALS NEGATIV","EVITARE CORECTĂ")))</x:f>
      </x:c>
      <x:c r="P170" s="9" t="str">
        <x:f>IF(M170="","",IF(M170="UNDER",1,0))</x:f>
      </x:c>
      <x:c r="Q170" s="9" t="str">
        <x:f>IF(P170="","",(G170-P170)^2)</x:f>
      </x:c>
      <x:c r="R170" s="9" t="str">
        <x:f>IF(L170="","",L170-F170)</x:f>
      </x:c>
      <x:c r="S170" s="9" t="str">
        <x:f>IF(L170="","",IF(M170="UNDER","U89,5 reușit; total final "&amp;L170&amp;" vs λ="&amp;TEXT(F170,"0.00")&amp;".","Eșec U89,5; total final "&amp;L170&amp;" vs λ="&amp;TEXT(F170,"0.00")&amp;". Revizuiește Tail Risk, sursa λ și calibrarea."))</x:f>
      </x:c>
      <x:c r="T170" s="51"/>
      <x:c r="U170" s="51"/>
      <x:c r="V170" s="51"/>
      <x:c r="W170" s="61"/>
      <x:c r="X170" s="61"/>
      <x:c r="Y170" s="51"/>
      <x:c r="Z170" s="53"/>
      <x:c r="AA170" s="51"/>
      <x:c r="AB170" s="64" t="str">
        <x:f>IF(AC170="","",AC170)</x:f>
      </x:c>
      <x:c r="AC170" s="67"/>
      <x:c r="AD170" s="69" t="str">
        <x:f>IF(AE170="","",AE170)</x:f>
      </x:c>
      <x:c r="AE170" s="71"/>
      <x:c r="AF170" s="73" t="str">
        <x:f>IF(AC170="","",1/AC170)</x:f>
      </x:c>
      <x:c r="AG170" s="61"/>
      <x:c r="AH170" s="61"/>
      <x:c r="AI170" s="64" t="str">
        <x:f>IF(OR(AC170="",AG170=""),"",AC170*AG170-1)</x:f>
      </x:c>
      <x:c r="AJ170" s="75" t="str">
        <x:f>IF(OR(G170="",F170=""),"",IF(AND(G170&gt;='Calibrare v2'!$B$35,F170&lt;='Calibrare v2'!$B$34),"PASS","FAIL"))</x:f>
      </x:c>
      <x:c r="AK170" s="75" t="str">
        <x:f>IF(AL170="","",AL170)</x:f>
      </x:c>
      <x:c r="AL170" s="77"/>
      <x:c r="AM170" s="77"/>
      <x:c r="AN170" s="64" t="str">
        <x:f>IF(OR(AC170="",P170=""),"",(AC170-P170)^2)</x:f>
      </x:c>
      <x:c r="AO170" s="64" t="str">
        <x:f>IF(OR(AG170="",AH170=""),"",AG170/AH170-1)</x:f>
      </x:c>
      <x:c r="AP170" s="61"/>
      <x:c r="AQ170" s="73" t="n">
        <x:f>IF(OR(AM170&lt;&gt;"PARIU U4,5",M170="",AP170="",AG170=""),0,IF(M170="UNDER",AP170*(AG170-1),-AP170))</x:f>
        <x:v>0</x:v>
      </x:c>
      <x:c r="AR170" s="51"/>
    </x:row>
    <x:row r="171">
      <x:c r="A171" s="9" t="str">
        <x:f>IF(D171="","",ROW()-1)</x:f>
      </x:c>
      <x:c r="B171" s="51"/>
      <x:c r="C171" s="51"/>
      <x:c r="D171" s="51"/>
      <x:c r="E171" s="9" t="str">
        <x:f>IF(D171="","",IF(AND(F171&lt;='Calibrare v2'!$B$33,G171&gt;=0.86),"DA – FEZABIL",IF(G171&gt;=0.8,"DA – PRUDENT","NU – EVITĂ")))</x:f>
      </x:c>
      <x:c r="F171" s="16" t="str">
        <x:f>IF(OR(W171="",X171=""),"",W171+X171)</x:f>
      </x:c>
      <x:c r="G171" s="28" t="str">
        <x:f>IF(F171="","",EXP(-F171)*(1+F171+F171^2/2+F171^3/6+F171^4/24))</x:f>
      </x:c>
      <x:c r="H171" s="53"/>
      <x:c r="I171" s="9" t="str">
        <x:f>IF(F171="","",IF(F171&lt;='Calibrare v2'!$B$33,"PASS","FAIL"))</x:f>
      </x:c>
      <x:c r="J171" s="51"/>
      <x:c r="K171" s="51"/>
      <x:c r="L171" s="9" t="str">
        <x:f>IF(OR(J171="",K171=""),"",J171+K171)</x:f>
      </x:c>
      <x:c r="M171" s="9" t="str">
        <x:f>IF(L171="","",IF(L171&lt;=4,"UNDER","OVER"))</x:f>
      </x:c>
      <x:c r="N171" s="9" t="str">
        <x:f>IF(E171="","",IF(LEFT(E171,2)="DA","PARIU U90,5","NO BET"))</x:f>
      </x:c>
      <x:c r="O171" s="9" t="str">
        <x:f>IF(M171="","",IF(AM171="PARIU U90,5",IF(M171="UNDER","SUCCES","EȘEC"),IF(M171="UNDER","FALS NEGATIV","EVITARE CORECTĂ")))</x:f>
      </x:c>
      <x:c r="P171" s="9" t="str">
        <x:f>IF(M171="","",IF(M171="UNDER",1,0))</x:f>
      </x:c>
      <x:c r="Q171" s="9" t="str">
        <x:f>IF(P171="","",(G171-P171)^2)</x:f>
      </x:c>
      <x:c r="R171" s="9" t="str">
        <x:f>IF(L171="","",L171-F171)</x:f>
      </x:c>
      <x:c r="S171" s="9" t="str">
        <x:f>IF(L171="","",IF(M171="UNDER","U90,5 reușit; total final "&amp;L171&amp;" vs λ="&amp;TEXT(F171,"0.00")&amp;".","Eșec U90,5; total final "&amp;L171&amp;" vs λ="&amp;TEXT(F171,"0.00")&amp;". Revizuiește Tail Risk, sursa λ și calibrarea."))</x:f>
      </x:c>
      <x:c r="T171" s="51"/>
      <x:c r="U171" s="51"/>
      <x:c r="V171" s="51"/>
      <x:c r="W171" s="61"/>
      <x:c r="X171" s="61"/>
      <x:c r="Y171" s="51"/>
      <x:c r="Z171" s="53"/>
      <x:c r="AA171" s="51"/>
      <x:c r="AB171" s="64" t="str">
        <x:f>IF(AC171="","",AC171)</x:f>
      </x:c>
      <x:c r="AC171" s="67"/>
      <x:c r="AD171" s="69" t="str">
        <x:f>IF(AE171="","",AE171)</x:f>
      </x:c>
      <x:c r="AE171" s="71"/>
      <x:c r="AF171" s="73" t="str">
        <x:f>IF(AC171="","",1/AC171)</x:f>
      </x:c>
      <x:c r="AG171" s="61"/>
      <x:c r="AH171" s="61"/>
      <x:c r="AI171" s="64" t="str">
        <x:f>IF(OR(AC171="",AG171=""),"",AC171*AG171-1)</x:f>
      </x:c>
      <x:c r="AJ171" s="75" t="str">
        <x:f>IF(OR(G171="",F171=""),"",IF(AND(G171&gt;='Calibrare v2'!$B$35,F171&lt;='Calibrare v2'!$B$34),"PASS","FAIL"))</x:f>
      </x:c>
      <x:c r="AK171" s="75" t="str">
        <x:f>IF(AL171="","",AL171)</x:f>
      </x:c>
      <x:c r="AL171" s="77"/>
      <x:c r="AM171" s="77"/>
      <x:c r="AN171" s="64" t="str">
        <x:f>IF(OR(AC171="",P171=""),"",(AC171-P171)^2)</x:f>
      </x:c>
      <x:c r="AO171" s="64" t="str">
        <x:f>IF(OR(AG171="",AH171=""),"",AG171/AH171-1)</x:f>
      </x:c>
      <x:c r="AP171" s="61"/>
      <x:c r="AQ171" s="73" t="n">
        <x:f>IF(OR(AM171&lt;&gt;"PARIU U4,5",M171="",AP171="",AG171=""),0,IF(M171="UNDER",AP171*(AG171-1),-AP171))</x:f>
        <x:v>0</x:v>
      </x:c>
      <x:c r="AR171" s="51"/>
    </x:row>
    <x:row r="172">
      <x:c r="A172" s="9" t="str">
        <x:f>IF(D172="","",ROW()-1)</x:f>
      </x:c>
      <x:c r="B172" s="51"/>
      <x:c r="C172" s="51"/>
      <x:c r="D172" s="51"/>
      <x:c r="E172" s="9" t="str">
        <x:f>IF(D172="","",IF(AND(F172&lt;='Calibrare v2'!$B$33,G172&gt;=0.86),"DA – FEZABIL",IF(G172&gt;=0.8,"DA – PRUDENT","NU – EVITĂ")))</x:f>
      </x:c>
      <x:c r="F172" s="16" t="str">
        <x:f>IF(OR(W172="",X172=""),"",W172+X172)</x:f>
      </x:c>
      <x:c r="G172" s="28" t="str">
        <x:f>IF(F172="","",EXP(-F172)*(1+F172+F172^2/2+F172^3/6+F172^4/24))</x:f>
      </x:c>
      <x:c r="H172" s="53"/>
      <x:c r="I172" s="9" t="str">
        <x:f>IF(F172="","",IF(F172&lt;='Calibrare v2'!$B$33,"PASS","FAIL"))</x:f>
      </x:c>
      <x:c r="J172" s="51"/>
      <x:c r="K172" s="51"/>
      <x:c r="L172" s="9" t="str">
        <x:f>IF(OR(J172="",K172=""),"",J172+K172)</x:f>
      </x:c>
      <x:c r="M172" s="9" t="str">
        <x:f>IF(L172="","",IF(L172&lt;=4,"UNDER","OVER"))</x:f>
      </x:c>
      <x:c r="N172" s="9" t="str">
        <x:f>IF(E172="","",IF(LEFT(E172,2)="DA","PARIU U91,5","NO BET"))</x:f>
      </x:c>
      <x:c r="O172" s="9" t="str">
        <x:f>IF(M172="","",IF(AM172="PARIU U91,5",IF(M172="UNDER","SUCCES","EȘEC"),IF(M172="UNDER","FALS NEGATIV","EVITARE CORECTĂ")))</x:f>
      </x:c>
      <x:c r="P172" s="9" t="str">
        <x:f>IF(M172="","",IF(M172="UNDER",1,0))</x:f>
      </x:c>
      <x:c r="Q172" s="9" t="str">
        <x:f>IF(P172="","",(G172-P172)^2)</x:f>
      </x:c>
      <x:c r="R172" s="9" t="str">
        <x:f>IF(L172="","",L172-F172)</x:f>
      </x:c>
      <x:c r="S172" s="9" t="str">
        <x:f>IF(L172="","",IF(M172="UNDER","U91,5 reușit; total final "&amp;L172&amp;" vs λ="&amp;TEXT(F172,"0.00")&amp;".","Eșec U91,5; total final "&amp;L172&amp;" vs λ="&amp;TEXT(F172,"0.00")&amp;". Revizuiește Tail Risk, sursa λ și calibrarea."))</x:f>
      </x:c>
      <x:c r="T172" s="51"/>
      <x:c r="U172" s="51"/>
      <x:c r="V172" s="51"/>
      <x:c r="W172" s="61"/>
      <x:c r="X172" s="61"/>
      <x:c r="Y172" s="51"/>
      <x:c r="Z172" s="53"/>
      <x:c r="AA172" s="51"/>
      <x:c r="AB172" s="64" t="str">
        <x:f>IF(AC172="","",AC172)</x:f>
      </x:c>
      <x:c r="AC172" s="67"/>
      <x:c r="AD172" s="69" t="str">
        <x:f>IF(AE172="","",AE172)</x:f>
      </x:c>
      <x:c r="AE172" s="71"/>
      <x:c r="AF172" s="73" t="str">
        <x:f>IF(AC172="","",1/AC172)</x:f>
      </x:c>
      <x:c r="AG172" s="61"/>
      <x:c r="AH172" s="61"/>
      <x:c r="AI172" s="64" t="str">
        <x:f>IF(OR(AC172="",AG172=""),"",AC172*AG172-1)</x:f>
      </x:c>
      <x:c r="AJ172" s="75" t="str">
        <x:f>IF(OR(G172="",F172=""),"",IF(AND(G172&gt;='Calibrare v2'!$B$35,F172&lt;='Calibrare v2'!$B$34),"PASS","FAIL"))</x:f>
      </x:c>
      <x:c r="AK172" s="75" t="str">
        <x:f>IF(AL172="","",AL172)</x:f>
      </x:c>
      <x:c r="AL172" s="77"/>
      <x:c r="AM172" s="77"/>
      <x:c r="AN172" s="64" t="str">
        <x:f>IF(OR(AC172="",P172=""),"",(AC172-P172)^2)</x:f>
      </x:c>
      <x:c r="AO172" s="64" t="str">
        <x:f>IF(OR(AG172="",AH172=""),"",AG172/AH172-1)</x:f>
      </x:c>
      <x:c r="AP172" s="61"/>
      <x:c r="AQ172" s="73" t="n">
        <x:f>IF(OR(AM172&lt;&gt;"PARIU U4,5",M172="",AP172="",AG172=""),0,IF(M172="UNDER",AP172*(AG172-1),-AP172))</x:f>
        <x:v>0</x:v>
      </x:c>
      <x:c r="AR172" s="51"/>
    </x:row>
    <x:row r="173">
      <x:c r="A173" s="9" t="str">
        <x:f>IF(D173="","",ROW()-1)</x:f>
      </x:c>
      <x:c r="B173" s="51"/>
      <x:c r="C173" s="51"/>
      <x:c r="D173" s="51"/>
      <x:c r="E173" s="9" t="str">
        <x:f>IF(D173="","",IF(AND(F173&lt;='Calibrare v2'!$B$33,G173&gt;=0.86),"DA – FEZABIL",IF(G173&gt;=0.8,"DA – PRUDENT","NU – EVITĂ")))</x:f>
      </x:c>
      <x:c r="F173" s="16" t="str">
        <x:f>IF(OR(W173="",X173=""),"",W173+X173)</x:f>
      </x:c>
      <x:c r="G173" s="28" t="str">
        <x:f>IF(F173="","",EXP(-F173)*(1+F173+F173^2/2+F173^3/6+F173^4/24))</x:f>
      </x:c>
      <x:c r="H173" s="53"/>
      <x:c r="I173" s="9" t="str">
        <x:f>IF(F173="","",IF(F173&lt;='Calibrare v2'!$B$33,"PASS","FAIL"))</x:f>
      </x:c>
      <x:c r="J173" s="51"/>
      <x:c r="K173" s="51"/>
      <x:c r="L173" s="9" t="str">
        <x:f>IF(OR(J173="",K173=""),"",J173+K173)</x:f>
      </x:c>
      <x:c r="M173" s="9" t="str">
        <x:f>IF(L173="","",IF(L173&lt;=4,"UNDER","OVER"))</x:f>
      </x:c>
      <x:c r="N173" s="9" t="str">
        <x:f>IF(E173="","",IF(LEFT(E173,2)="DA","PARIU U92,5","NO BET"))</x:f>
      </x:c>
      <x:c r="O173" s="9" t="str">
        <x:f>IF(M173="","",IF(AM173="PARIU U92,5",IF(M173="UNDER","SUCCES","EȘEC"),IF(M173="UNDER","FALS NEGATIV","EVITARE CORECTĂ")))</x:f>
      </x:c>
      <x:c r="P173" s="9" t="str">
        <x:f>IF(M173="","",IF(M173="UNDER",1,0))</x:f>
      </x:c>
      <x:c r="Q173" s="9" t="str">
        <x:f>IF(P173="","",(G173-P173)^2)</x:f>
      </x:c>
      <x:c r="R173" s="9" t="str">
        <x:f>IF(L173="","",L173-F173)</x:f>
      </x:c>
      <x:c r="S173" s="9" t="str">
        <x:f>IF(L173="","",IF(M173="UNDER","U92,5 reușit; total final "&amp;L173&amp;" vs λ="&amp;TEXT(F173,"0.00")&amp;".","Eșec U92,5; total final "&amp;L173&amp;" vs λ="&amp;TEXT(F173,"0.00")&amp;". Revizuiește Tail Risk, sursa λ și calibrarea."))</x:f>
      </x:c>
      <x:c r="T173" s="51"/>
      <x:c r="U173" s="51"/>
      <x:c r="V173" s="51"/>
      <x:c r="W173" s="61"/>
      <x:c r="X173" s="61"/>
      <x:c r="Y173" s="51"/>
      <x:c r="Z173" s="53"/>
      <x:c r="AA173" s="51"/>
      <x:c r="AB173" s="64" t="str">
        <x:f>IF(AC173="","",AC173)</x:f>
      </x:c>
      <x:c r="AC173" s="67"/>
      <x:c r="AD173" s="69" t="str">
        <x:f>IF(AE173="","",AE173)</x:f>
      </x:c>
      <x:c r="AE173" s="71"/>
      <x:c r="AF173" s="73" t="str">
        <x:f>IF(AC173="","",1/AC173)</x:f>
      </x:c>
      <x:c r="AG173" s="61"/>
      <x:c r="AH173" s="61"/>
      <x:c r="AI173" s="64" t="str">
        <x:f>IF(OR(AC173="",AG173=""),"",AC173*AG173-1)</x:f>
      </x:c>
      <x:c r="AJ173" s="75" t="str">
        <x:f>IF(OR(G173="",F173=""),"",IF(AND(G173&gt;='Calibrare v2'!$B$35,F173&lt;='Calibrare v2'!$B$34),"PASS","FAIL"))</x:f>
      </x:c>
      <x:c r="AK173" s="75" t="str">
        <x:f>IF(AL173="","",AL173)</x:f>
      </x:c>
      <x:c r="AL173" s="77"/>
      <x:c r="AM173" s="77"/>
      <x:c r="AN173" s="64" t="str">
        <x:f>IF(OR(AC173="",P173=""),"",(AC173-P173)^2)</x:f>
      </x:c>
      <x:c r="AO173" s="64" t="str">
        <x:f>IF(OR(AG173="",AH173=""),"",AG173/AH173-1)</x:f>
      </x:c>
      <x:c r="AP173" s="61"/>
      <x:c r="AQ173" s="73" t="n">
        <x:f>IF(OR(AM173&lt;&gt;"PARIU U4,5",M173="",AP173="",AG173=""),0,IF(M173="UNDER",AP173*(AG173-1),-AP173))</x:f>
        <x:v>0</x:v>
      </x:c>
      <x:c r="AR173" s="51"/>
    </x:row>
    <x:row r="174">
      <x:c r="A174" s="9" t="str">
        <x:f>IF(D174="","",ROW()-1)</x:f>
      </x:c>
      <x:c r="B174" s="51"/>
      <x:c r="C174" s="51"/>
      <x:c r="D174" s="51"/>
      <x:c r="E174" s="9" t="str">
        <x:f>IF(D174="","",IF(AND(F174&lt;='Calibrare v2'!$B$33,G174&gt;=0.86),"DA – FEZABIL",IF(G174&gt;=0.8,"DA – PRUDENT","NU – EVITĂ")))</x:f>
      </x:c>
      <x:c r="F174" s="16" t="str">
        <x:f>IF(OR(W174="",X174=""),"",W174+X174)</x:f>
      </x:c>
      <x:c r="G174" s="28" t="str">
        <x:f>IF(F174="","",EXP(-F174)*(1+F174+F174^2/2+F174^3/6+F174^4/24))</x:f>
      </x:c>
      <x:c r="H174" s="53"/>
      <x:c r="I174" s="9" t="str">
        <x:f>IF(F174="","",IF(F174&lt;='Calibrare v2'!$B$33,"PASS","FAIL"))</x:f>
      </x:c>
      <x:c r="J174" s="51"/>
      <x:c r="K174" s="51"/>
      <x:c r="L174" s="9" t="str">
        <x:f>IF(OR(J174="",K174=""),"",J174+K174)</x:f>
      </x:c>
      <x:c r="M174" s="9" t="str">
        <x:f>IF(L174="","",IF(L174&lt;=4,"UNDER","OVER"))</x:f>
      </x:c>
      <x:c r="N174" s="9" t="str">
        <x:f>IF(E174="","",IF(LEFT(E174,2)="DA","PARIU U93,5","NO BET"))</x:f>
      </x:c>
      <x:c r="O174" s="9" t="str">
        <x:f>IF(M174="","",IF(AM174="PARIU U93,5",IF(M174="UNDER","SUCCES","EȘEC"),IF(M174="UNDER","FALS NEGATIV","EVITARE CORECTĂ")))</x:f>
      </x:c>
      <x:c r="P174" s="9" t="str">
        <x:f>IF(M174="","",IF(M174="UNDER",1,0))</x:f>
      </x:c>
      <x:c r="Q174" s="9" t="str">
        <x:f>IF(P174="","",(G174-P174)^2)</x:f>
      </x:c>
      <x:c r="R174" s="9" t="str">
        <x:f>IF(L174="","",L174-F174)</x:f>
      </x:c>
      <x:c r="S174" s="9" t="str">
        <x:f>IF(L174="","",IF(M174="UNDER","U93,5 reușit; total final "&amp;L174&amp;" vs λ="&amp;TEXT(F174,"0.00")&amp;".","Eșec U93,5; total final "&amp;L174&amp;" vs λ="&amp;TEXT(F174,"0.00")&amp;". Revizuiește Tail Risk, sursa λ și calibrarea."))</x:f>
      </x:c>
      <x:c r="T174" s="51"/>
      <x:c r="U174" s="51"/>
      <x:c r="V174" s="51"/>
      <x:c r="W174" s="61"/>
      <x:c r="X174" s="61"/>
      <x:c r="Y174" s="51"/>
      <x:c r="Z174" s="53"/>
      <x:c r="AA174" s="51"/>
      <x:c r="AB174" s="64" t="str">
        <x:f>IF(AC174="","",AC174)</x:f>
      </x:c>
      <x:c r="AC174" s="67"/>
      <x:c r="AD174" s="69" t="str">
        <x:f>IF(AE174="","",AE174)</x:f>
      </x:c>
      <x:c r="AE174" s="71"/>
      <x:c r="AF174" s="73" t="str">
        <x:f>IF(AC174="","",1/AC174)</x:f>
      </x:c>
      <x:c r="AG174" s="61"/>
      <x:c r="AH174" s="61"/>
      <x:c r="AI174" s="64" t="str">
        <x:f>IF(OR(AC174="",AG174=""),"",AC174*AG174-1)</x:f>
      </x:c>
      <x:c r="AJ174" s="75" t="str">
        <x:f>IF(OR(G174="",F174=""),"",IF(AND(G174&gt;='Calibrare v2'!$B$35,F174&lt;='Calibrare v2'!$B$34),"PASS","FAIL"))</x:f>
      </x:c>
      <x:c r="AK174" s="75" t="str">
        <x:f>IF(AL174="","",AL174)</x:f>
      </x:c>
      <x:c r="AL174" s="77"/>
      <x:c r="AM174" s="77"/>
      <x:c r="AN174" s="64" t="str">
        <x:f>IF(OR(AC174="",P174=""),"",(AC174-P174)^2)</x:f>
      </x:c>
      <x:c r="AO174" s="64" t="str">
        <x:f>IF(OR(AG174="",AH174=""),"",AG174/AH174-1)</x:f>
      </x:c>
      <x:c r="AP174" s="61"/>
      <x:c r="AQ174" s="73" t="n">
        <x:f>IF(OR(AM174&lt;&gt;"PARIU U4,5",M174="",AP174="",AG174=""),0,IF(M174="UNDER",AP174*(AG174-1),-AP174))</x:f>
        <x:v>0</x:v>
      </x:c>
      <x:c r="AR174" s="51"/>
    </x:row>
    <x:row r="175">
      <x:c r="A175" s="9" t="str">
        <x:f>IF(D175="","",ROW()-1)</x:f>
      </x:c>
      <x:c r="B175" s="51"/>
      <x:c r="C175" s="51"/>
      <x:c r="D175" s="51"/>
      <x:c r="E175" s="9" t="str">
        <x:f>IF(D175="","",IF(AND(F175&lt;='Calibrare v2'!$B$33,G175&gt;=0.86),"DA – FEZABIL",IF(G175&gt;=0.8,"DA – PRUDENT","NU – EVITĂ")))</x:f>
      </x:c>
      <x:c r="F175" s="16" t="str">
        <x:f>IF(OR(W175="",X175=""),"",W175+X175)</x:f>
      </x:c>
      <x:c r="G175" s="28" t="str">
        <x:f>IF(F175="","",EXP(-F175)*(1+F175+F175^2/2+F175^3/6+F175^4/24))</x:f>
      </x:c>
      <x:c r="H175" s="53"/>
      <x:c r="I175" s="9" t="str">
        <x:f>IF(F175="","",IF(F175&lt;='Calibrare v2'!$B$33,"PASS","FAIL"))</x:f>
      </x:c>
      <x:c r="J175" s="51"/>
      <x:c r="K175" s="51"/>
      <x:c r="L175" s="9" t="str">
        <x:f>IF(OR(J175="",K175=""),"",J175+K175)</x:f>
      </x:c>
      <x:c r="M175" s="9" t="str">
        <x:f>IF(L175="","",IF(L175&lt;=4,"UNDER","OVER"))</x:f>
      </x:c>
      <x:c r="N175" s="9" t="str">
        <x:f>IF(E175="","",IF(LEFT(E175,2)="DA","PARIU U94,5","NO BET"))</x:f>
      </x:c>
      <x:c r="O175" s="9" t="str">
        <x:f>IF(M175="","",IF(AM175="PARIU U94,5",IF(M175="UNDER","SUCCES","EȘEC"),IF(M175="UNDER","FALS NEGATIV","EVITARE CORECTĂ")))</x:f>
      </x:c>
      <x:c r="P175" s="9" t="str">
        <x:f>IF(M175="","",IF(M175="UNDER",1,0))</x:f>
      </x:c>
      <x:c r="Q175" s="9" t="str">
        <x:f>IF(P175="","",(G175-P175)^2)</x:f>
      </x:c>
      <x:c r="R175" s="9" t="str">
        <x:f>IF(L175="","",L175-F175)</x:f>
      </x:c>
      <x:c r="S175" s="9" t="str">
        <x:f>IF(L175="","",IF(M175="UNDER","U94,5 reușit; total final "&amp;L175&amp;" vs λ="&amp;TEXT(F175,"0.00")&amp;".","Eșec U94,5; total final "&amp;L175&amp;" vs λ="&amp;TEXT(F175,"0.00")&amp;". Revizuiește Tail Risk, sursa λ și calibrarea."))</x:f>
      </x:c>
      <x:c r="T175" s="51"/>
      <x:c r="U175" s="51"/>
      <x:c r="V175" s="51"/>
      <x:c r="W175" s="61"/>
      <x:c r="X175" s="61"/>
      <x:c r="Y175" s="51"/>
      <x:c r="Z175" s="53"/>
      <x:c r="AA175" s="51"/>
      <x:c r="AB175" s="64" t="str">
        <x:f>IF(AC175="","",AC175)</x:f>
      </x:c>
      <x:c r="AC175" s="67"/>
      <x:c r="AD175" s="69" t="str">
        <x:f>IF(AE175="","",AE175)</x:f>
      </x:c>
      <x:c r="AE175" s="71"/>
      <x:c r="AF175" s="73" t="str">
        <x:f>IF(AC175="","",1/AC175)</x:f>
      </x:c>
      <x:c r="AG175" s="61"/>
      <x:c r="AH175" s="61"/>
      <x:c r="AI175" s="64" t="str">
        <x:f>IF(OR(AC175="",AG175=""),"",AC175*AG175-1)</x:f>
      </x:c>
      <x:c r="AJ175" s="75" t="str">
        <x:f>IF(OR(G175="",F175=""),"",IF(AND(G175&gt;='Calibrare v2'!$B$35,F175&lt;='Calibrare v2'!$B$34),"PASS","FAIL"))</x:f>
      </x:c>
      <x:c r="AK175" s="75" t="str">
        <x:f>IF(AL175="","",AL175)</x:f>
      </x:c>
      <x:c r="AL175" s="77"/>
      <x:c r="AM175" s="77"/>
      <x:c r="AN175" s="64" t="str">
        <x:f>IF(OR(AC175="",P175=""),"",(AC175-P175)^2)</x:f>
      </x:c>
      <x:c r="AO175" s="64" t="str">
        <x:f>IF(OR(AG175="",AH175=""),"",AG175/AH175-1)</x:f>
      </x:c>
      <x:c r="AP175" s="61"/>
      <x:c r="AQ175" s="73" t="n">
        <x:f>IF(OR(AM175&lt;&gt;"PARIU U4,5",M175="",AP175="",AG175=""),0,IF(M175="UNDER",AP175*(AG175-1),-AP175))</x:f>
        <x:v>0</x:v>
      </x:c>
      <x:c r="AR175" s="51"/>
    </x:row>
    <x:row r="176">
      <x:c r="A176" s="9" t="str">
        <x:f>IF(D176="","",ROW()-1)</x:f>
      </x:c>
      <x:c r="B176" s="51"/>
      <x:c r="C176" s="51"/>
      <x:c r="D176" s="51"/>
      <x:c r="E176" s="9" t="str">
        <x:f>IF(D176="","",IF(AND(F176&lt;='Calibrare v2'!$B$33,G176&gt;=0.86),"DA – FEZABIL",IF(G176&gt;=0.8,"DA – PRUDENT","NU – EVITĂ")))</x:f>
      </x:c>
      <x:c r="F176" s="16" t="str">
        <x:f>IF(OR(W176="",X176=""),"",W176+X176)</x:f>
      </x:c>
      <x:c r="G176" s="28" t="str">
        <x:f>IF(F176="","",EXP(-F176)*(1+F176+F176^2/2+F176^3/6+F176^4/24))</x:f>
      </x:c>
      <x:c r="H176" s="53"/>
      <x:c r="I176" s="9" t="str">
        <x:f>IF(F176="","",IF(F176&lt;='Calibrare v2'!$B$33,"PASS","FAIL"))</x:f>
      </x:c>
      <x:c r="J176" s="51"/>
      <x:c r="K176" s="51"/>
      <x:c r="L176" s="9" t="str">
        <x:f>IF(OR(J176="",K176=""),"",J176+K176)</x:f>
      </x:c>
      <x:c r="M176" s="9" t="str">
        <x:f>IF(L176="","",IF(L176&lt;=4,"UNDER","OVER"))</x:f>
      </x:c>
      <x:c r="N176" s="9" t="str">
        <x:f>IF(E176="","",IF(LEFT(E176,2)="DA","PARIU U95,5","NO BET"))</x:f>
      </x:c>
      <x:c r="O176" s="9" t="str">
        <x:f>IF(M176="","",IF(AM176="PARIU U95,5",IF(M176="UNDER","SUCCES","EȘEC"),IF(M176="UNDER","FALS NEGATIV","EVITARE CORECTĂ")))</x:f>
      </x:c>
      <x:c r="P176" s="9" t="str">
        <x:f>IF(M176="","",IF(M176="UNDER",1,0))</x:f>
      </x:c>
      <x:c r="Q176" s="9" t="str">
        <x:f>IF(P176="","",(G176-P176)^2)</x:f>
      </x:c>
      <x:c r="R176" s="9" t="str">
        <x:f>IF(L176="","",L176-F176)</x:f>
      </x:c>
      <x:c r="S176" s="9" t="str">
        <x:f>IF(L176="","",IF(M176="UNDER","U95,5 reușit; total final "&amp;L176&amp;" vs λ="&amp;TEXT(F176,"0.00")&amp;".","Eșec U95,5; total final "&amp;L176&amp;" vs λ="&amp;TEXT(F176,"0.00")&amp;". Revizuiește Tail Risk, sursa λ și calibrarea."))</x:f>
      </x:c>
      <x:c r="T176" s="51"/>
      <x:c r="U176" s="51"/>
      <x:c r="V176" s="51"/>
      <x:c r="W176" s="61"/>
      <x:c r="X176" s="61"/>
      <x:c r="Y176" s="51"/>
      <x:c r="Z176" s="53"/>
      <x:c r="AA176" s="51"/>
      <x:c r="AB176" s="64" t="str">
        <x:f>IF(AC176="","",AC176)</x:f>
      </x:c>
      <x:c r="AC176" s="67"/>
      <x:c r="AD176" s="69" t="str">
        <x:f>IF(AE176="","",AE176)</x:f>
      </x:c>
      <x:c r="AE176" s="71"/>
      <x:c r="AF176" s="73" t="str">
        <x:f>IF(AC176="","",1/AC176)</x:f>
      </x:c>
      <x:c r="AG176" s="61"/>
      <x:c r="AH176" s="61"/>
      <x:c r="AI176" s="64" t="str">
        <x:f>IF(OR(AC176="",AG176=""),"",AC176*AG176-1)</x:f>
      </x:c>
      <x:c r="AJ176" s="75" t="str">
        <x:f>IF(OR(G176="",F176=""),"",IF(AND(G176&gt;='Calibrare v2'!$B$35,F176&lt;='Calibrare v2'!$B$34),"PASS","FAIL"))</x:f>
      </x:c>
      <x:c r="AK176" s="75" t="str">
        <x:f>IF(AL176="","",AL176)</x:f>
      </x:c>
      <x:c r="AL176" s="77"/>
      <x:c r="AM176" s="77"/>
      <x:c r="AN176" s="64" t="str">
        <x:f>IF(OR(AC176="",P176=""),"",(AC176-P176)^2)</x:f>
      </x:c>
      <x:c r="AO176" s="64" t="str">
        <x:f>IF(OR(AG176="",AH176=""),"",AG176/AH176-1)</x:f>
      </x:c>
      <x:c r="AP176" s="61"/>
      <x:c r="AQ176" s="73" t="n">
        <x:f>IF(OR(AM176&lt;&gt;"PARIU U4,5",M176="",AP176="",AG176=""),0,IF(M176="UNDER",AP176*(AG176-1),-AP176))</x:f>
        <x:v>0</x:v>
      </x:c>
      <x:c r="AR176" s="51"/>
    </x:row>
    <x:row r="177">
      <x:c r="A177" s="9" t="str">
        <x:f>IF(D177="","",ROW()-1)</x:f>
      </x:c>
      <x:c r="B177" s="51"/>
      <x:c r="C177" s="51"/>
      <x:c r="D177" s="51"/>
      <x:c r="E177" s="9" t="str">
        <x:f>IF(D177="","",IF(AND(F177&lt;='Calibrare v2'!$B$33,G177&gt;=0.86),"DA – FEZABIL",IF(G177&gt;=0.8,"DA – PRUDENT","NU – EVITĂ")))</x:f>
      </x:c>
      <x:c r="F177" s="16" t="str">
        <x:f>IF(OR(W177="",X177=""),"",W177+X177)</x:f>
      </x:c>
      <x:c r="G177" s="28" t="str">
        <x:f>IF(F177="","",EXP(-F177)*(1+F177+F177^2/2+F177^3/6+F177^4/24))</x:f>
      </x:c>
      <x:c r="H177" s="53"/>
      <x:c r="I177" s="9" t="str">
        <x:f>IF(F177="","",IF(F177&lt;='Calibrare v2'!$B$33,"PASS","FAIL"))</x:f>
      </x:c>
      <x:c r="J177" s="51"/>
      <x:c r="K177" s="51"/>
      <x:c r="L177" s="9" t="str">
        <x:f>IF(OR(J177="",K177=""),"",J177+K177)</x:f>
      </x:c>
      <x:c r="M177" s="9" t="str">
        <x:f>IF(L177="","",IF(L177&lt;=4,"UNDER","OVER"))</x:f>
      </x:c>
      <x:c r="N177" s="9" t="str">
        <x:f>IF(E177="","",IF(LEFT(E177,2)="DA","PARIU U96,5","NO BET"))</x:f>
      </x:c>
      <x:c r="O177" s="9" t="str">
        <x:f>IF(M177="","",IF(AM177="PARIU U96,5",IF(M177="UNDER","SUCCES","EȘEC"),IF(M177="UNDER","FALS NEGATIV","EVITARE CORECTĂ")))</x:f>
      </x:c>
      <x:c r="P177" s="9" t="str">
        <x:f>IF(M177="","",IF(M177="UNDER",1,0))</x:f>
      </x:c>
      <x:c r="Q177" s="9" t="str">
        <x:f>IF(P177="","",(G177-P177)^2)</x:f>
      </x:c>
      <x:c r="R177" s="9" t="str">
        <x:f>IF(L177="","",L177-F177)</x:f>
      </x:c>
      <x:c r="S177" s="9" t="str">
        <x:f>IF(L177="","",IF(M177="UNDER","U96,5 reușit; total final "&amp;L177&amp;" vs λ="&amp;TEXT(F177,"0.00")&amp;".","Eșec U96,5; total final "&amp;L177&amp;" vs λ="&amp;TEXT(F177,"0.00")&amp;". Revizuiește Tail Risk, sursa λ și calibrarea."))</x:f>
      </x:c>
      <x:c r="T177" s="51"/>
      <x:c r="U177" s="51"/>
      <x:c r="V177" s="51"/>
      <x:c r="W177" s="61"/>
      <x:c r="X177" s="61"/>
      <x:c r="Y177" s="51"/>
      <x:c r="Z177" s="53"/>
      <x:c r="AA177" s="51"/>
      <x:c r="AB177" s="64" t="str">
        <x:f>IF(AC177="","",AC177)</x:f>
      </x:c>
      <x:c r="AC177" s="67"/>
      <x:c r="AD177" s="69" t="str">
        <x:f>IF(AE177="","",AE177)</x:f>
      </x:c>
      <x:c r="AE177" s="71"/>
      <x:c r="AF177" s="73" t="str">
        <x:f>IF(AC177="","",1/AC177)</x:f>
      </x:c>
      <x:c r="AG177" s="61"/>
      <x:c r="AH177" s="61"/>
      <x:c r="AI177" s="64" t="str">
        <x:f>IF(OR(AC177="",AG177=""),"",AC177*AG177-1)</x:f>
      </x:c>
      <x:c r="AJ177" s="75" t="str">
        <x:f>IF(OR(G177="",F177=""),"",IF(AND(G177&gt;='Calibrare v2'!$B$35,F177&lt;='Calibrare v2'!$B$34),"PASS","FAIL"))</x:f>
      </x:c>
      <x:c r="AK177" s="75" t="str">
        <x:f>IF(AL177="","",AL177)</x:f>
      </x:c>
      <x:c r="AL177" s="77"/>
      <x:c r="AM177" s="77"/>
      <x:c r="AN177" s="64" t="str">
        <x:f>IF(OR(AC177="",P177=""),"",(AC177-P177)^2)</x:f>
      </x:c>
      <x:c r="AO177" s="64" t="str">
        <x:f>IF(OR(AG177="",AH177=""),"",AG177/AH177-1)</x:f>
      </x:c>
      <x:c r="AP177" s="61"/>
      <x:c r="AQ177" s="73" t="n">
        <x:f>IF(OR(AM177&lt;&gt;"PARIU U4,5",M177="",AP177="",AG177=""),0,IF(M177="UNDER",AP177*(AG177-1),-AP177))</x:f>
        <x:v>0</x:v>
      </x:c>
      <x:c r="AR177" s="51"/>
    </x:row>
    <x:row r="178">
      <x:c r="A178" s="9" t="str">
        <x:f>IF(D178="","",ROW()-1)</x:f>
      </x:c>
      <x:c r="B178" s="51"/>
      <x:c r="C178" s="51"/>
      <x:c r="D178" s="51"/>
      <x:c r="E178" s="9" t="str">
        <x:f>IF(D178="","",IF(AND(F178&lt;='Calibrare v2'!$B$33,G178&gt;=0.86),"DA – FEZABIL",IF(G178&gt;=0.8,"DA – PRUDENT","NU – EVITĂ")))</x:f>
      </x:c>
      <x:c r="F178" s="16" t="str">
        <x:f>IF(OR(W178="",X178=""),"",W178+X178)</x:f>
      </x:c>
      <x:c r="G178" s="28" t="str">
        <x:f>IF(F178="","",EXP(-F178)*(1+F178+F178^2/2+F178^3/6+F178^4/24))</x:f>
      </x:c>
      <x:c r="H178" s="53"/>
      <x:c r="I178" s="9" t="str">
        <x:f>IF(F178="","",IF(F178&lt;='Calibrare v2'!$B$33,"PASS","FAIL"))</x:f>
      </x:c>
      <x:c r="J178" s="51"/>
      <x:c r="K178" s="51"/>
      <x:c r="L178" s="9" t="str">
        <x:f>IF(OR(J178="",K178=""),"",J178+K178)</x:f>
      </x:c>
      <x:c r="M178" s="9" t="str">
        <x:f>IF(L178="","",IF(L178&lt;=4,"UNDER","OVER"))</x:f>
      </x:c>
      <x:c r="N178" s="9" t="str">
        <x:f>IF(E178="","",IF(LEFT(E178,2)="DA","PARIU U97,5","NO BET"))</x:f>
      </x:c>
      <x:c r="O178" s="9" t="str">
        <x:f>IF(M178="","",IF(AM178="PARIU U97,5",IF(M178="UNDER","SUCCES","EȘEC"),IF(M178="UNDER","FALS NEGATIV","EVITARE CORECTĂ")))</x:f>
      </x:c>
      <x:c r="P178" s="9" t="str">
        <x:f>IF(M178="","",IF(M178="UNDER",1,0))</x:f>
      </x:c>
      <x:c r="Q178" s="9" t="str">
        <x:f>IF(P178="","",(G178-P178)^2)</x:f>
      </x:c>
      <x:c r="R178" s="9" t="str">
        <x:f>IF(L178="","",L178-F178)</x:f>
      </x:c>
      <x:c r="S178" s="9" t="str">
        <x:f>IF(L178="","",IF(M178="UNDER","U97,5 reușit; total final "&amp;L178&amp;" vs λ="&amp;TEXT(F178,"0.00")&amp;".","Eșec U97,5; total final "&amp;L178&amp;" vs λ="&amp;TEXT(F178,"0.00")&amp;". Revizuiește Tail Risk, sursa λ și calibrarea."))</x:f>
      </x:c>
      <x:c r="T178" s="51"/>
      <x:c r="U178" s="51"/>
      <x:c r="V178" s="51"/>
      <x:c r="W178" s="61"/>
      <x:c r="X178" s="61"/>
      <x:c r="Y178" s="51"/>
      <x:c r="Z178" s="53"/>
      <x:c r="AA178" s="51"/>
      <x:c r="AB178" s="64" t="str">
        <x:f>IF(AC178="","",AC178)</x:f>
      </x:c>
      <x:c r="AC178" s="67"/>
      <x:c r="AD178" s="69" t="str">
        <x:f>IF(AE178="","",AE178)</x:f>
      </x:c>
      <x:c r="AE178" s="71"/>
      <x:c r="AF178" s="73" t="str">
        <x:f>IF(AC178="","",1/AC178)</x:f>
      </x:c>
      <x:c r="AG178" s="61"/>
      <x:c r="AH178" s="61"/>
      <x:c r="AI178" s="64" t="str">
        <x:f>IF(OR(AC178="",AG178=""),"",AC178*AG178-1)</x:f>
      </x:c>
      <x:c r="AJ178" s="75" t="str">
        <x:f>IF(OR(G178="",F178=""),"",IF(AND(G178&gt;='Calibrare v2'!$B$35,F178&lt;='Calibrare v2'!$B$34),"PASS","FAIL"))</x:f>
      </x:c>
      <x:c r="AK178" s="75" t="str">
        <x:f>IF(AL178="","",AL178)</x:f>
      </x:c>
      <x:c r="AL178" s="77"/>
      <x:c r="AM178" s="77"/>
      <x:c r="AN178" s="64" t="str">
        <x:f>IF(OR(AC178="",P178=""),"",(AC178-P178)^2)</x:f>
      </x:c>
      <x:c r="AO178" s="64" t="str">
        <x:f>IF(OR(AG178="",AH178=""),"",AG178/AH178-1)</x:f>
      </x:c>
      <x:c r="AP178" s="61"/>
      <x:c r="AQ178" s="73" t="n">
        <x:f>IF(OR(AM178&lt;&gt;"PARIU U4,5",M178="",AP178="",AG178=""),0,IF(M178="UNDER",AP178*(AG178-1),-AP178))</x:f>
        <x:v>0</x:v>
      </x:c>
      <x:c r="AR178" s="51"/>
    </x:row>
    <x:row r="179">
      <x:c r="A179" s="9" t="str">
        <x:f>IF(D179="","",ROW()-1)</x:f>
      </x:c>
      <x:c r="B179" s="51"/>
      <x:c r="C179" s="51"/>
      <x:c r="D179" s="51"/>
      <x:c r="E179" s="9" t="str">
        <x:f>IF(D179="","",IF(AND(F179&lt;='Calibrare v2'!$B$33,G179&gt;=0.86),"DA – FEZABIL",IF(G179&gt;=0.8,"DA – PRUDENT","NU – EVITĂ")))</x:f>
      </x:c>
      <x:c r="F179" s="16" t="str">
        <x:f>IF(OR(W179="",X179=""),"",W179+X179)</x:f>
      </x:c>
      <x:c r="G179" s="28" t="str">
        <x:f>IF(F179="","",EXP(-F179)*(1+F179+F179^2/2+F179^3/6+F179^4/24))</x:f>
      </x:c>
      <x:c r="H179" s="53"/>
      <x:c r="I179" s="9" t="str">
        <x:f>IF(F179="","",IF(F179&lt;='Calibrare v2'!$B$33,"PASS","FAIL"))</x:f>
      </x:c>
      <x:c r="J179" s="51"/>
      <x:c r="K179" s="51"/>
      <x:c r="L179" s="9" t="str">
        <x:f>IF(OR(J179="",K179=""),"",J179+K179)</x:f>
      </x:c>
      <x:c r="M179" s="9" t="str">
        <x:f>IF(L179="","",IF(L179&lt;=4,"UNDER","OVER"))</x:f>
      </x:c>
      <x:c r="N179" s="9" t="str">
        <x:f>IF(E179="","",IF(LEFT(E179,2)="DA","PARIU U98,5","NO BET"))</x:f>
      </x:c>
      <x:c r="O179" s="9" t="str">
        <x:f>IF(M179="","",IF(AM179="PARIU U98,5",IF(M179="UNDER","SUCCES","EȘEC"),IF(M179="UNDER","FALS NEGATIV","EVITARE CORECTĂ")))</x:f>
      </x:c>
      <x:c r="P179" s="9" t="str">
        <x:f>IF(M179="","",IF(M179="UNDER",1,0))</x:f>
      </x:c>
      <x:c r="Q179" s="9" t="str">
        <x:f>IF(P179="","",(G179-P179)^2)</x:f>
      </x:c>
      <x:c r="R179" s="9" t="str">
        <x:f>IF(L179="","",L179-F179)</x:f>
      </x:c>
      <x:c r="S179" s="9" t="str">
        <x:f>IF(L179="","",IF(M179="UNDER","U98,5 reușit; total final "&amp;L179&amp;" vs λ="&amp;TEXT(F179,"0.00")&amp;".","Eșec U98,5; total final "&amp;L179&amp;" vs λ="&amp;TEXT(F179,"0.00")&amp;". Revizuiește Tail Risk, sursa λ și calibrarea."))</x:f>
      </x:c>
      <x:c r="T179" s="51"/>
      <x:c r="U179" s="51"/>
      <x:c r="V179" s="51"/>
      <x:c r="W179" s="61"/>
      <x:c r="X179" s="61"/>
      <x:c r="Y179" s="51"/>
      <x:c r="Z179" s="53"/>
      <x:c r="AA179" s="51"/>
      <x:c r="AB179" s="64" t="str">
        <x:f>IF(AC179="","",AC179)</x:f>
      </x:c>
      <x:c r="AC179" s="67"/>
      <x:c r="AD179" s="69" t="str">
        <x:f>IF(AE179="","",AE179)</x:f>
      </x:c>
      <x:c r="AE179" s="71"/>
      <x:c r="AF179" s="73" t="str">
        <x:f>IF(AC179="","",1/AC179)</x:f>
      </x:c>
      <x:c r="AG179" s="61"/>
      <x:c r="AH179" s="61"/>
      <x:c r="AI179" s="64" t="str">
        <x:f>IF(OR(AC179="",AG179=""),"",AC179*AG179-1)</x:f>
      </x:c>
      <x:c r="AJ179" s="75" t="str">
        <x:f>IF(OR(G179="",F179=""),"",IF(AND(G179&gt;='Calibrare v2'!$B$35,F179&lt;='Calibrare v2'!$B$34),"PASS","FAIL"))</x:f>
      </x:c>
      <x:c r="AK179" s="75" t="str">
        <x:f>IF(AL179="","",AL179)</x:f>
      </x:c>
      <x:c r="AL179" s="77"/>
      <x:c r="AM179" s="77"/>
      <x:c r="AN179" s="64" t="str">
        <x:f>IF(OR(AC179="",P179=""),"",(AC179-P179)^2)</x:f>
      </x:c>
      <x:c r="AO179" s="64" t="str">
        <x:f>IF(OR(AG179="",AH179=""),"",AG179/AH179-1)</x:f>
      </x:c>
      <x:c r="AP179" s="61"/>
      <x:c r="AQ179" s="73" t="n">
        <x:f>IF(OR(AM179&lt;&gt;"PARIU U4,5",M179="",AP179="",AG179=""),0,IF(M179="UNDER",AP179*(AG179-1),-AP179))</x:f>
        <x:v>0</x:v>
      </x:c>
      <x:c r="AR179" s="51"/>
    </x:row>
    <x:row r="180">
      <x:c r="A180" s="9" t="str">
        <x:f>IF(D180="","",ROW()-1)</x:f>
      </x:c>
      <x:c r="B180" s="51"/>
      <x:c r="C180" s="51"/>
      <x:c r="D180" s="51"/>
      <x:c r="E180" s="9" t="str">
        <x:f>IF(D180="","",IF(AND(F180&lt;='Calibrare v2'!$B$33,G180&gt;=0.86),"DA – FEZABIL",IF(G180&gt;=0.8,"DA – PRUDENT","NU – EVITĂ")))</x:f>
      </x:c>
      <x:c r="F180" s="16" t="str">
        <x:f>IF(OR(W180="",X180=""),"",W180+X180)</x:f>
      </x:c>
      <x:c r="G180" s="28" t="str">
        <x:f>IF(F180="","",EXP(-F180)*(1+F180+F180^2/2+F180^3/6+F180^4/24))</x:f>
      </x:c>
      <x:c r="H180" s="53"/>
      <x:c r="I180" s="9" t="str">
        <x:f>IF(F180="","",IF(F180&lt;='Calibrare v2'!$B$33,"PASS","FAIL"))</x:f>
      </x:c>
      <x:c r="J180" s="51"/>
      <x:c r="K180" s="51"/>
      <x:c r="L180" s="9" t="str">
        <x:f>IF(OR(J180="",K180=""),"",J180+K180)</x:f>
      </x:c>
      <x:c r="M180" s="9" t="str">
        <x:f>IF(L180="","",IF(L180&lt;=4,"UNDER","OVER"))</x:f>
      </x:c>
      <x:c r="N180" s="9" t="str">
        <x:f>IF(E180="","",IF(LEFT(E180,2)="DA","PARIU U99,5","NO BET"))</x:f>
      </x:c>
      <x:c r="O180" s="9" t="str">
        <x:f>IF(M180="","",IF(AM180="PARIU U99,5",IF(M180="UNDER","SUCCES","EȘEC"),IF(M180="UNDER","FALS NEGATIV","EVITARE CORECTĂ")))</x:f>
      </x:c>
      <x:c r="P180" s="9" t="str">
        <x:f>IF(M180="","",IF(M180="UNDER",1,0))</x:f>
      </x:c>
      <x:c r="Q180" s="9" t="str">
        <x:f>IF(P180="","",(G180-P180)^2)</x:f>
      </x:c>
      <x:c r="R180" s="9" t="str">
        <x:f>IF(L180="","",L180-F180)</x:f>
      </x:c>
      <x:c r="S180" s="9" t="str">
        <x:f>IF(L180="","",IF(M180="UNDER","U99,5 reușit; total final "&amp;L180&amp;" vs λ="&amp;TEXT(F180,"0.00")&amp;".","Eșec U99,5; total final "&amp;L180&amp;" vs λ="&amp;TEXT(F180,"0.00")&amp;". Revizuiește Tail Risk, sursa λ și calibrarea."))</x:f>
      </x:c>
      <x:c r="T180" s="51"/>
      <x:c r="U180" s="51"/>
      <x:c r="V180" s="51"/>
      <x:c r="W180" s="61"/>
      <x:c r="X180" s="61"/>
      <x:c r="Y180" s="51"/>
      <x:c r="Z180" s="53"/>
      <x:c r="AA180" s="51"/>
      <x:c r="AB180" s="64" t="str">
        <x:f>IF(AC180="","",AC180)</x:f>
      </x:c>
      <x:c r="AC180" s="67"/>
      <x:c r="AD180" s="69" t="str">
        <x:f>IF(AE180="","",AE180)</x:f>
      </x:c>
      <x:c r="AE180" s="71"/>
      <x:c r="AF180" s="73" t="str">
        <x:f>IF(AC180="","",1/AC180)</x:f>
      </x:c>
      <x:c r="AG180" s="61"/>
      <x:c r="AH180" s="61"/>
      <x:c r="AI180" s="64" t="str">
        <x:f>IF(OR(AC180="",AG180=""),"",AC180*AG180-1)</x:f>
      </x:c>
      <x:c r="AJ180" s="75" t="str">
        <x:f>IF(OR(G180="",F180=""),"",IF(AND(G180&gt;='Calibrare v2'!$B$35,F180&lt;='Calibrare v2'!$B$34),"PASS","FAIL"))</x:f>
      </x:c>
      <x:c r="AK180" s="75" t="str">
        <x:f>IF(AL180="","",AL180)</x:f>
      </x:c>
      <x:c r="AL180" s="77"/>
      <x:c r="AM180" s="77"/>
      <x:c r="AN180" s="64" t="str">
        <x:f>IF(OR(AC180="",P180=""),"",(AC180-P180)^2)</x:f>
      </x:c>
      <x:c r="AO180" s="64" t="str">
        <x:f>IF(OR(AG180="",AH180=""),"",AG180/AH180-1)</x:f>
      </x:c>
      <x:c r="AP180" s="61"/>
      <x:c r="AQ180" s="73" t="n">
        <x:f>IF(OR(AM180&lt;&gt;"PARIU U4,5",M180="",AP180="",AG180=""),0,IF(M180="UNDER",AP180*(AG180-1),-AP180))</x:f>
        <x:v>0</x:v>
      </x:c>
      <x:c r="AR180" s="51"/>
    </x:row>
    <x:row r="181">
      <x:c r="A181" s="9" t="str">
        <x:f>IF(D181="","",ROW()-1)</x:f>
      </x:c>
      <x:c r="B181" s="51"/>
      <x:c r="C181" s="51"/>
      <x:c r="D181" s="51"/>
      <x:c r="E181" s="9" t="str">
        <x:f>IF(D181="","",IF(AND(F181&lt;='Calibrare v2'!$B$33,G181&gt;=0.86),"DA – FEZABIL",IF(G181&gt;=0.8,"DA – PRUDENT","NU – EVITĂ")))</x:f>
      </x:c>
      <x:c r="F181" s="16" t="str">
        <x:f>IF(OR(W181="",X181=""),"",W181+X181)</x:f>
      </x:c>
      <x:c r="G181" s="28" t="str">
        <x:f>IF(F181="","",EXP(-F181)*(1+F181+F181^2/2+F181^3/6+F181^4/24))</x:f>
      </x:c>
      <x:c r="H181" s="53"/>
      <x:c r="I181" s="9" t="str">
        <x:f>IF(F181="","",IF(F181&lt;='Calibrare v2'!$B$33,"PASS","FAIL"))</x:f>
      </x:c>
      <x:c r="J181" s="51"/>
      <x:c r="K181" s="51"/>
      <x:c r="L181" s="9" t="str">
        <x:f>IF(OR(J181="",K181=""),"",J181+K181)</x:f>
      </x:c>
      <x:c r="M181" s="9" t="str">
        <x:f>IF(L181="","",IF(L181&lt;=4,"UNDER","OVER"))</x:f>
      </x:c>
      <x:c r="N181" s="9" t="str">
        <x:f>IF(E181="","",IF(LEFT(E181,2)="DA","PARIU U100,5","NO BET"))</x:f>
      </x:c>
      <x:c r="O181" s="9" t="str">
        <x:f>IF(M181="","",IF(AM181="PARIU U100,5",IF(M181="UNDER","SUCCES","EȘEC"),IF(M181="UNDER","FALS NEGATIV","EVITARE CORECTĂ")))</x:f>
      </x:c>
      <x:c r="P181" s="9" t="str">
        <x:f>IF(M181="","",IF(M181="UNDER",1,0))</x:f>
      </x:c>
      <x:c r="Q181" s="9" t="str">
        <x:f>IF(P181="","",(G181-P181)^2)</x:f>
      </x:c>
      <x:c r="R181" s="9" t="str">
        <x:f>IF(L181="","",L181-F181)</x:f>
      </x:c>
      <x:c r="S181" s="9" t="str">
        <x:f>IF(L181="","",IF(M181="UNDER","U100,5 reușit; total final "&amp;L181&amp;" vs λ="&amp;TEXT(F181,"0.00")&amp;".","Eșec U100,5; total final "&amp;L181&amp;" vs λ="&amp;TEXT(F181,"0.00")&amp;". Revizuiește Tail Risk, sursa λ și calibrarea."))</x:f>
      </x:c>
      <x:c r="T181" s="51"/>
      <x:c r="U181" s="51"/>
      <x:c r="V181" s="51"/>
      <x:c r="W181" s="61"/>
      <x:c r="X181" s="61"/>
      <x:c r="Y181" s="51"/>
      <x:c r="Z181" s="53"/>
      <x:c r="AA181" s="51"/>
      <x:c r="AB181" s="64" t="str">
        <x:f>IF(AC181="","",AC181)</x:f>
      </x:c>
      <x:c r="AC181" s="67"/>
      <x:c r="AD181" s="69" t="str">
        <x:f>IF(AE181="","",AE181)</x:f>
      </x:c>
      <x:c r="AE181" s="71"/>
      <x:c r="AF181" s="73" t="str">
        <x:f>IF(AC181="","",1/AC181)</x:f>
      </x:c>
      <x:c r="AG181" s="61"/>
      <x:c r="AH181" s="61"/>
      <x:c r="AI181" s="64" t="str">
        <x:f>IF(OR(AC181="",AG181=""),"",AC181*AG181-1)</x:f>
      </x:c>
      <x:c r="AJ181" s="75" t="str">
        <x:f>IF(OR(G181="",F181=""),"",IF(AND(G181&gt;='Calibrare v2'!$B$35,F181&lt;='Calibrare v2'!$B$34),"PASS","FAIL"))</x:f>
      </x:c>
      <x:c r="AK181" s="75" t="str">
        <x:f>IF(AL181="","",AL181)</x:f>
      </x:c>
      <x:c r="AL181" s="77"/>
      <x:c r="AM181" s="77"/>
      <x:c r="AN181" s="64" t="str">
        <x:f>IF(OR(AC181="",P181=""),"",(AC181-P181)^2)</x:f>
      </x:c>
      <x:c r="AO181" s="64" t="str">
        <x:f>IF(OR(AG181="",AH181=""),"",AG181/AH181-1)</x:f>
      </x:c>
      <x:c r="AP181" s="61"/>
      <x:c r="AQ181" s="73" t="n">
        <x:f>IF(OR(AM181&lt;&gt;"PARIU U4,5",M181="",AP181="",AG181=""),0,IF(M181="UNDER",AP181*(AG181-1),-AP181))</x:f>
        <x:v>0</x:v>
      </x:c>
      <x:c r="AR181" s="51"/>
    </x:row>
    <x:row r="182">
      <x:c r="A182" s="9" t="str">
        <x:f>IF(D182="","",ROW()-1)</x:f>
      </x:c>
      <x:c r="B182" s="51"/>
      <x:c r="C182" s="51"/>
      <x:c r="D182" s="51"/>
      <x:c r="E182" s="9" t="str">
        <x:f>IF(D182="","",IF(AND(F182&lt;='Calibrare v2'!$B$33,G182&gt;=0.86),"DA – FEZABIL",IF(G182&gt;=0.8,"DA – PRUDENT","NU – EVITĂ")))</x:f>
      </x:c>
      <x:c r="F182" s="16" t="str">
        <x:f>IF(OR(W182="",X182=""),"",W182+X182)</x:f>
      </x:c>
      <x:c r="G182" s="28" t="str">
        <x:f>IF(F182="","",EXP(-F182)*(1+F182+F182^2/2+F182^3/6+F182^4/24))</x:f>
      </x:c>
      <x:c r="H182" s="53"/>
      <x:c r="I182" s="9" t="str">
        <x:f>IF(F182="","",IF(F182&lt;='Calibrare v2'!$B$33,"PASS","FAIL"))</x:f>
      </x:c>
      <x:c r="J182" s="51"/>
      <x:c r="K182" s="51"/>
      <x:c r="L182" s="9" t="str">
        <x:f>IF(OR(J182="",K182=""),"",J182+K182)</x:f>
      </x:c>
      <x:c r="M182" s="9" t="str">
        <x:f>IF(L182="","",IF(L182&lt;=4,"UNDER","OVER"))</x:f>
      </x:c>
      <x:c r="N182" s="9" t="str">
        <x:f>IF(E182="","",IF(LEFT(E182,2)="DA","PARIU U101,5","NO BET"))</x:f>
      </x:c>
      <x:c r="O182" s="9" t="str">
        <x:f>IF(M182="","",IF(AM182="PARIU U101,5",IF(M182="UNDER","SUCCES","EȘEC"),IF(M182="UNDER","FALS NEGATIV","EVITARE CORECTĂ")))</x:f>
      </x:c>
      <x:c r="P182" s="9" t="str">
        <x:f>IF(M182="","",IF(M182="UNDER",1,0))</x:f>
      </x:c>
      <x:c r="Q182" s="9" t="str">
        <x:f>IF(P182="","",(G182-P182)^2)</x:f>
      </x:c>
      <x:c r="R182" s="9" t="str">
        <x:f>IF(L182="","",L182-F182)</x:f>
      </x:c>
      <x:c r="S182" s="9" t="str">
        <x:f>IF(L182="","",IF(M182="UNDER","U101,5 reușit; total final "&amp;L182&amp;" vs λ="&amp;TEXT(F182,"0.00")&amp;".","Eșec U101,5; total final "&amp;L182&amp;" vs λ="&amp;TEXT(F182,"0.00")&amp;". Revizuiește Tail Risk, sursa λ și calibrarea."))</x:f>
      </x:c>
      <x:c r="T182" s="51"/>
      <x:c r="U182" s="51"/>
      <x:c r="V182" s="51"/>
      <x:c r="W182" s="61"/>
      <x:c r="X182" s="61"/>
      <x:c r="Y182" s="51"/>
      <x:c r="Z182" s="53"/>
      <x:c r="AA182" s="51"/>
      <x:c r="AB182" s="64" t="str">
        <x:f>IF(AC182="","",AC182)</x:f>
      </x:c>
      <x:c r="AC182" s="67"/>
      <x:c r="AD182" s="69" t="str">
        <x:f>IF(AE182="","",AE182)</x:f>
      </x:c>
      <x:c r="AE182" s="71"/>
      <x:c r="AF182" s="73" t="str">
        <x:f>IF(AC182="","",1/AC182)</x:f>
      </x:c>
      <x:c r="AG182" s="61"/>
      <x:c r="AH182" s="61"/>
      <x:c r="AI182" s="64" t="str">
        <x:f>IF(OR(AC182="",AG182=""),"",AC182*AG182-1)</x:f>
      </x:c>
      <x:c r="AJ182" s="75" t="str">
        <x:f>IF(OR(G182="",F182=""),"",IF(AND(G182&gt;='Calibrare v2'!$B$35,F182&lt;='Calibrare v2'!$B$34),"PASS","FAIL"))</x:f>
      </x:c>
      <x:c r="AK182" s="75" t="str">
        <x:f>IF(AL182="","",AL182)</x:f>
      </x:c>
      <x:c r="AL182" s="77"/>
      <x:c r="AM182" s="77"/>
      <x:c r="AN182" s="64" t="str">
        <x:f>IF(OR(AC182="",P182=""),"",(AC182-P182)^2)</x:f>
      </x:c>
      <x:c r="AO182" s="64" t="str">
        <x:f>IF(OR(AG182="",AH182=""),"",AG182/AH182-1)</x:f>
      </x:c>
      <x:c r="AP182" s="61"/>
      <x:c r="AQ182" s="73" t="n">
        <x:f>IF(OR(AM182&lt;&gt;"PARIU U4,5",M182="",AP182="",AG182=""),0,IF(M182="UNDER",AP182*(AG182-1),-AP182))</x:f>
        <x:v>0</x:v>
      </x:c>
      <x:c r="AR182" s="51"/>
    </x:row>
    <x:row r="183">
      <x:c r="A183" s="9" t="str">
        <x:f>IF(D183="","",ROW()-1)</x:f>
      </x:c>
      <x:c r="B183" s="51"/>
      <x:c r="C183" s="51"/>
      <x:c r="D183" s="51"/>
      <x:c r="E183" s="9" t="str">
        <x:f>IF(D183="","",IF(AND(F183&lt;='Calibrare v2'!$B$33,G183&gt;=0.86),"DA – FEZABIL",IF(G183&gt;=0.8,"DA – PRUDENT","NU – EVITĂ")))</x:f>
      </x:c>
      <x:c r="F183" s="16" t="str">
        <x:f>IF(OR(W183="",X183=""),"",W183+X183)</x:f>
      </x:c>
      <x:c r="G183" s="28" t="str">
        <x:f>IF(F183="","",EXP(-F183)*(1+F183+F183^2/2+F183^3/6+F183^4/24))</x:f>
      </x:c>
      <x:c r="H183" s="53"/>
      <x:c r="I183" s="9" t="str">
        <x:f>IF(F183="","",IF(F183&lt;='Calibrare v2'!$B$33,"PASS","FAIL"))</x:f>
      </x:c>
      <x:c r="J183" s="51"/>
      <x:c r="K183" s="51"/>
      <x:c r="L183" s="9" t="str">
        <x:f>IF(OR(J183="",K183=""),"",J183+K183)</x:f>
      </x:c>
      <x:c r="M183" s="9" t="str">
        <x:f>IF(L183="","",IF(L183&lt;=4,"UNDER","OVER"))</x:f>
      </x:c>
      <x:c r="N183" s="9" t="str">
        <x:f>IF(E183="","",IF(LEFT(E183,2)="DA","PARIU U102,5","NO BET"))</x:f>
      </x:c>
      <x:c r="O183" s="9" t="str">
        <x:f>IF(M183="","",IF(AM183="PARIU U102,5",IF(M183="UNDER","SUCCES","EȘEC"),IF(M183="UNDER","FALS NEGATIV","EVITARE CORECTĂ")))</x:f>
      </x:c>
      <x:c r="P183" s="9" t="str">
        <x:f>IF(M183="","",IF(M183="UNDER",1,0))</x:f>
      </x:c>
      <x:c r="Q183" s="9" t="str">
        <x:f>IF(P183="","",(G183-P183)^2)</x:f>
      </x:c>
      <x:c r="R183" s="9" t="str">
        <x:f>IF(L183="","",L183-F183)</x:f>
      </x:c>
      <x:c r="S183" s="9" t="str">
        <x:f>IF(L183="","",IF(M183="UNDER","U102,5 reușit; total final "&amp;L183&amp;" vs λ="&amp;TEXT(F183,"0.00")&amp;".","Eșec U102,5; total final "&amp;L183&amp;" vs λ="&amp;TEXT(F183,"0.00")&amp;". Revizuiește Tail Risk, sursa λ și calibrarea."))</x:f>
      </x:c>
      <x:c r="T183" s="51"/>
      <x:c r="U183" s="51"/>
      <x:c r="V183" s="51"/>
      <x:c r="W183" s="61"/>
      <x:c r="X183" s="61"/>
      <x:c r="Y183" s="51"/>
      <x:c r="Z183" s="53"/>
      <x:c r="AA183" s="51"/>
      <x:c r="AB183" s="64" t="str">
        <x:f>IF(AC183="","",AC183)</x:f>
      </x:c>
      <x:c r="AC183" s="67"/>
      <x:c r="AD183" s="69" t="str">
        <x:f>IF(AE183="","",AE183)</x:f>
      </x:c>
      <x:c r="AE183" s="71"/>
      <x:c r="AF183" s="73" t="str">
        <x:f>IF(AC183="","",1/AC183)</x:f>
      </x:c>
      <x:c r="AG183" s="61"/>
      <x:c r="AH183" s="61"/>
      <x:c r="AI183" s="64" t="str">
        <x:f>IF(OR(AC183="",AG183=""),"",AC183*AG183-1)</x:f>
      </x:c>
      <x:c r="AJ183" s="75" t="str">
        <x:f>IF(OR(G183="",F183=""),"",IF(AND(G183&gt;='Calibrare v2'!$B$35,F183&lt;='Calibrare v2'!$B$34),"PASS","FAIL"))</x:f>
      </x:c>
      <x:c r="AK183" s="75" t="str">
        <x:f>IF(AL183="","",AL183)</x:f>
      </x:c>
      <x:c r="AL183" s="77"/>
      <x:c r="AM183" s="77"/>
      <x:c r="AN183" s="64" t="str">
        <x:f>IF(OR(AC183="",P183=""),"",(AC183-P183)^2)</x:f>
      </x:c>
      <x:c r="AO183" s="64" t="str">
        <x:f>IF(OR(AG183="",AH183=""),"",AG183/AH183-1)</x:f>
      </x:c>
      <x:c r="AP183" s="61"/>
      <x:c r="AQ183" s="73" t="n">
        <x:f>IF(OR(AM183&lt;&gt;"PARIU U4,5",M183="",AP183="",AG183=""),0,IF(M183="UNDER",AP183*(AG183-1),-AP183))</x:f>
        <x:v>0</x:v>
      </x:c>
      <x:c r="AR183" s="51"/>
    </x:row>
    <x:row r="184">
      <x:c r="A184" s="9" t="str">
        <x:f>IF(D184="","",ROW()-1)</x:f>
      </x:c>
      <x:c r="B184" s="51"/>
      <x:c r="C184" s="51"/>
      <x:c r="D184" s="51"/>
      <x:c r="E184" s="9" t="str">
        <x:f>IF(D184="","",IF(AND(F184&lt;='Calibrare v2'!$B$33,G184&gt;=0.86),"DA – FEZABIL",IF(G184&gt;=0.8,"DA – PRUDENT","NU – EVITĂ")))</x:f>
      </x:c>
      <x:c r="F184" s="16" t="str">
        <x:f>IF(OR(W184="",X184=""),"",W184+X184)</x:f>
      </x:c>
      <x:c r="G184" s="28" t="str">
        <x:f>IF(F184="","",EXP(-F184)*(1+F184+F184^2/2+F184^3/6+F184^4/24))</x:f>
      </x:c>
      <x:c r="H184" s="53"/>
      <x:c r="I184" s="9" t="str">
        <x:f>IF(F184="","",IF(F184&lt;='Calibrare v2'!$B$33,"PASS","FAIL"))</x:f>
      </x:c>
      <x:c r="J184" s="51"/>
      <x:c r="K184" s="51"/>
      <x:c r="L184" s="9" t="str">
        <x:f>IF(OR(J184="",K184=""),"",J184+K184)</x:f>
      </x:c>
      <x:c r="M184" s="9" t="str">
        <x:f>IF(L184="","",IF(L184&lt;=4,"UNDER","OVER"))</x:f>
      </x:c>
      <x:c r="N184" s="9" t="str">
        <x:f>IF(E184="","",IF(LEFT(E184,2)="DA","PARIU U103,5","NO BET"))</x:f>
      </x:c>
      <x:c r="O184" s="9" t="str">
        <x:f>IF(M184="","",IF(AM184="PARIU U103,5",IF(M184="UNDER","SUCCES","EȘEC"),IF(M184="UNDER","FALS NEGATIV","EVITARE CORECTĂ")))</x:f>
      </x:c>
      <x:c r="P184" s="9" t="str">
        <x:f>IF(M184="","",IF(M184="UNDER",1,0))</x:f>
      </x:c>
      <x:c r="Q184" s="9" t="str">
        <x:f>IF(P184="","",(G184-P184)^2)</x:f>
      </x:c>
      <x:c r="R184" s="9" t="str">
        <x:f>IF(L184="","",L184-F184)</x:f>
      </x:c>
      <x:c r="S184" s="9" t="str">
        <x:f>IF(L184="","",IF(M184="UNDER","U103,5 reușit; total final "&amp;L184&amp;" vs λ="&amp;TEXT(F184,"0.00")&amp;".","Eșec U103,5; total final "&amp;L184&amp;" vs λ="&amp;TEXT(F184,"0.00")&amp;". Revizuiește Tail Risk, sursa λ și calibrarea."))</x:f>
      </x:c>
      <x:c r="T184" s="51"/>
      <x:c r="U184" s="51"/>
      <x:c r="V184" s="51"/>
      <x:c r="W184" s="61"/>
      <x:c r="X184" s="61"/>
      <x:c r="Y184" s="51"/>
      <x:c r="Z184" s="53"/>
      <x:c r="AA184" s="51"/>
      <x:c r="AB184" s="64" t="str">
        <x:f>IF(AC184="","",AC184)</x:f>
      </x:c>
      <x:c r="AC184" s="67"/>
      <x:c r="AD184" s="69" t="str">
        <x:f>IF(AE184="","",AE184)</x:f>
      </x:c>
      <x:c r="AE184" s="71"/>
      <x:c r="AF184" s="73" t="str">
        <x:f>IF(AC184="","",1/AC184)</x:f>
      </x:c>
      <x:c r="AG184" s="61"/>
      <x:c r="AH184" s="61"/>
      <x:c r="AI184" s="64" t="str">
        <x:f>IF(OR(AC184="",AG184=""),"",AC184*AG184-1)</x:f>
      </x:c>
      <x:c r="AJ184" s="75" t="str">
        <x:f>IF(OR(G184="",F184=""),"",IF(AND(G184&gt;='Calibrare v2'!$B$35,F184&lt;='Calibrare v2'!$B$34),"PASS","FAIL"))</x:f>
      </x:c>
      <x:c r="AK184" s="75" t="str">
        <x:f>IF(AL184="","",AL184)</x:f>
      </x:c>
      <x:c r="AL184" s="77"/>
      <x:c r="AM184" s="77"/>
      <x:c r="AN184" s="64" t="str">
        <x:f>IF(OR(AC184="",P184=""),"",(AC184-P184)^2)</x:f>
      </x:c>
      <x:c r="AO184" s="64" t="str">
        <x:f>IF(OR(AG184="",AH184=""),"",AG184/AH184-1)</x:f>
      </x:c>
      <x:c r="AP184" s="61"/>
      <x:c r="AQ184" s="73" t="n">
        <x:f>IF(OR(AM184&lt;&gt;"PARIU U4,5",M184="",AP184="",AG184=""),0,IF(M184="UNDER",AP184*(AG184-1),-AP184))</x:f>
        <x:v>0</x:v>
      </x:c>
      <x:c r="AR184" s="51"/>
    </x:row>
    <x:row r="185">
      <x:c r="A185" s="9" t="str">
        <x:f>IF(D185="","",ROW()-1)</x:f>
      </x:c>
      <x:c r="B185" s="51"/>
      <x:c r="C185" s="51"/>
      <x:c r="D185" s="51"/>
      <x:c r="E185" s="9" t="str">
        <x:f>IF(D185="","",IF(AND(F185&lt;='Calibrare v2'!$B$33,G185&gt;=0.86),"DA – FEZABIL",IF(G185&gt;=0.8,"DA – PRUDENT","NU – EVITĂ")))</x:f>
      </x:c>
      <x:c r="F185" s="16" t="str">
        <x:f>IF(OR(W185="",X185=""),"",W185+X185)</x:f>
      </x:c>
      <x:c r="G185" s="28" t="str">
        <x:f>IF(F185="","",EXP(-F185)*(1+F185+F185^2/2+F185^3/6+F185^4/24))</x:f>
      </x:c>
      <x:c r="H185" s="53"/>
      <x:c r="I185" s="9" t="str">
        <x:f>IF(F185="","",IF(F185&lt;='Calibrare v2'!$B$33,"PASS","FAIL"))</x:f>
      </x:c>
      <x:c r="J185" s="51"/>
      <x:c r="K185" s="51"/>
      <x:c r="L185" s="9" t="str">
        <x:f>IF(OR(J185="",K185=""),"",J185+K185)</x:f>
      </x:c>
      <x:c r="M185" s="9" t="str">
        <x:f>IF(L185="","",IF(L185&lt;=4,"UNDER","OVER"))</x:f>
      </x:c>
      <x:c r="N185" s="9" t="str">
        <x:f>IF(E185="","",IF(LEFT(E185,2)="DA","PARIU U104,5","NO BET"))</x:f>
      </x:c>
      <x:c r="O185" s="9" t="str">
        <x:f>IF(M185="","",IF(AM185="PARIU U104,5",IF(M185="UNDER","SUCCES","EȘEC"),IF(M185="UNDER","FALS NEGATIV","EVITARE CORECTĂ")))</x:f>
      </x:c>
      <x:c r="P185" s="9" t="str">
        <x:f>IF(M185="","",IF(M185="UNDER",1,0))</x:f>
      </x:c>
      <x:c r="Q185" s="9" t="str">
        <x:f>IF(P185="","",(G185-P185)^2)</x:f>
      </x:c>
      <x:c r="R185" s="9" t="str">
        <x:f>IF(L185="","",L185-F185)</x:f>
      </x:c>
      <x:c r="S185" s="9" t="str">
        <x:f>IF(L185="","",IF(M185="UNDER","U104,5 reușit; total final "&amp;L185&amp;" vs λ="&amp;TEXT(F185,"0.00")&amp;".","Eșec U104,5; total final "&amp;L185&amp;" vs λ="&amp;TEXT(F185,"0.00")&amp;". Revizuiește Tail Risk, sursa λ și calibrarea."))</x:f>
      </x:c>
      <x:c r="T185" s="51"/>
      <x:c r="U185" s="51"/>
      <x:c r="V185" s="51"/>
      <x:c r="W185" s="61"/>
      <x:c r="X185" s="61"/>
      <x:c r="Y185" s="51"/>
      <x:c r="Z185" s="53"/>
      <x:c r="AA185" s="51"/>
      <x:c r="AB185" s="64" t="str">
        <x:f>IF(AC185="","",AC185)</x:f>
      </x:c>
      <x:c r="AC185" s="67"/>
      <x:c r="AD185" s="69" t="str">
        <x:f>IF(AE185="","",AE185)</x:f>
      </x:c>
      <x:c r="AE185" s="71"/>
      <x:c r="AF185" s="73" t="str">
        <x:f>IF(AC185="","",1/AC185)</x:f>
      </x:c>
      <x:c r="AG185" s="61"/>
      <x:c r="AH185" s="61"/>
      <x:c r="AI185" s="64" t="str">
        <x:f>IF(OR(AC185="",AG185=""),"",AC185*AG185-1)</x:f>
      </x:c>
      <x:c r="AJ185" s="75" t="str">
        <x:f>IF(OR(G185="",F185=""),"",IF(AND(G185&gt;='Calibrare v2'!$B$35,F185&lt;='Calibrare v2'!$B$34),"PASS","FAIL"))</x:f>
      </x:c>
      <x:c r="AK185" s="75" t="str">
        <x:f>IF(AL185="","",AL185)</x:f>
      </x:c>
      <x:c r="AL185" s="77"/>
      <x:c r="AM185" s="77"/>
      <x:c r="AN185" s="64" t="str">
        <x:f>IF(OR(AC185="",P185=""),"",(AC185-P185)^2)</x:f>
      </x:c>
      <x:c r="AO185" s="64" t="str">
        <x:f>IF(OR(AG185="",AH185=""),"",AG185/AH185-1)</x:f>
      </x:c>
      <x:c r="AP185" s="61"/>
      <x:c r="AQ185" s="73" t="n">
        <x:f>IF(OR(AM185&lt;&gt;"PARIU U4,5",M185="",AP185="",AG185=""),0,IF(M185="UNDER",AP185*(AG185-1),-AP185))</x:f>
        <x:v>0</x:v>
      </x:c>
      <x:c r="AR185" s="51"/>
    </x:row>
    <x:row r="186">
      <x:c r="A186" s="9" t="str">
        <x:f>IF(D186="","",ROW()-1)</x:f>
      </x:c>
      <x:c r="B186" s="51"/>
      <x:c r="C186" s="51"/>
      <x:c r="D186" s="51"/>
      <x:c r="E186" s="9" t="str">
        <x:f>IF(D186="","",IF(AND(F186&lt;='Calibrare v2'!$B$33,G186&gt;=0.86),"DA – FEZABIL",IF(G186&gt;=0.8,"DA – PRUDENT","NU – EVITĂ")))</x:f>
      </x:c>
      <x:c r="F186" s="16" t="str">
        <x:f>IF(OR(W186="",X186=""),"",W186+X186)</x:f>
      </x:c>
      <x:c r="G186" s="28" t="str">
        <x:f>IF(F186="","",EXP(-F186)*(1+F186+F186^2/2+F186^3/6+F186^4/24))</x:f>
      </x:c>
      <x:c r="H186" s="53"/>
      <x:c r="I186" s="9" t="str">
        <x:f>IF(F186="","",IF(F186&lt;='Calibrare v2'!$B$33,"PASS","FAIL"))</x:f>
      </x:c>
      <x:c r="J186" s="51"/>
      <x:c r="K186" s="51"/>
      <x:c r="L186" s="9" t="str">
        <x:f>IF(OR(J186="",K186=""),"",J186+K186)</x:f>
      </x:c>
      <x:c r="M186" s="9" t="str">
        <x:f>IF(L186="","",IF(L186&lt;=4,"UNDER","OVER"))</x:f>
      </x:c>
      <x:c r="N186" s="9" t="str">
        <x:f>IF(E186="","",IF(LEFT(E186,2)="DA","PARIU U105,5","NO BET"))</x:f>
      </x:c>
      <x:c r="O186" s="9" t="str">
        <x:f>IF(M186="","",IF(AM186="PARIU U105,5",IF(M186="UNDER","SUCCES","EȘEC"),IF(M186="UNDER","FALS NEGATIV","EVITARE CORECTĂ")))</x:f>
      </x:c>
      <x:c r="P186" s="9" t="str">
        <x:f>IF(M186="","",IF(M186="UNDER",1,0))</x:f>
      </x:c>
      <x:c r="Q186" s="9" t="str">
        <x:f>IF(P186="","",(G186-P186)^2)</x:f>
      </x:c>
      <x:c r="R186" s="9" t="str">
        <x:f>IF(L186="","",L186-F186)</x:f>
      </x:c>
      <x:c r="S186" s="9" t="str">
        <x:f>IF(L186="","",IF(M186="UNDER","U105,5 reușit; total final "&amp;L186&amp;" vs λ="&amp;TEXT(F186,"0.00")&amp;".","Eșec U105,5; total final "&amp;L186&amp;" vs λ="&amp;TEXT(F186,"0.00")&amp;". Revizuiește Tail Risk, sursa λ și calibrarea."))</x:f>
      </x:c>
      <x:c r="T186" s="51"/>
      <x:c r="U186" s="51"/>
      <x:c r="V186" s="51"/>
      <x:c r="W186" s="61"/>
      <x:c r="X186" s="61"/>
      <x:c r="Y186" s="51"/>
      <x:c r="Z186" s="53"/>
      <x:c r="AA186" s="51"/>
      <x:c r="AB186" s="64" t="str">
        <x:f>IF(AC186="","",AC186)</x:f>
      </x:c>
      <x:c r="AC186" s="67"/>
      <x:c r="AD186" s="69" t="str">
        <x:f>IF(AE186="","",AE186)</x:f>
      </x:c>
      <x:c r="AE186" s="71"/>
      <x:c r="AF186" s="73" t="str">
        <x:f>IF(AC186="","",1/AC186)</x:f>
      </x:c>
      <x:c r="AG186" s="61"/>
      <x:c r="AH186" s="61"/>
      <x:c r="AI186" s="64" t="str">
        <x:f>IF(OR(AC186="",AG186=""),"",AC186*AG186-1)</x:f>
      </x:c>
      <x:c r="AJ186" s="75" t="str">
        <x:f>IF(OR(G186="",F186=""),"",IF(AND(G186&gt;='Calibrare v2'!$B$35,F186&lt;='Calibrare v2'!$B$34),"PASS","FAIL"))</x:f>
      </x:c>
      <x:c r="AK186" s="75" t="str">
        <x:f>IF(AL186="","",AL186)</x:f>
      </x:c>
      <x:c r="AL186" s="77"/>
      <x:c r="AM186" s="77"/>
      <x:c r="AN186" s="64" t="str">
        <x:f>IF(OR(AC186="",P186=""),"",(AC186-P186)^2)</x:f>
      </x:c>
      <x:c r="AO186" s="64" t="str">
        <x:f>IF(OR(AG186="",AH186=""),"",AG186/AH186-1)</x:f>
      </x:c>
      <x:c r="AP186" s="61"/>
      <x:c r="AQ186" s="73" t="n">
        <x:f>IF(OR(AM186&lt;&gt;"PARIU U4,5",M186="",AP186="",AG186=""),0,IF(M186="UNDER",AP186*(AG186-1),-AP186))</x:f>
        <x:v>0</x:v>
      </x:c>
      <x:c r="AR186" s="51"/>
    </x:row>
    <x:row r="187">
      <x:c r="A187" s="9" t="str">
        <x:f>IF(D187="","",ROW()-1)</x:f>
      </x:c>
      <x:c r="B187" s="51"/>
      <x:c r="C187" s="51"/>
      <x:c r="D187" s="51"/>
      <x:c r="E187" s="9" t="str">
        <x:f>IF(D187="","",IF(AND(F187&lt;='Calibrare v2'!$B$33,G187&gt;=0.86),"DA – FEZABIL",IF(G187&gt;=0.8,"DA – PRUDENT","NU – EVITĂ")))</x:f>
      </x:c>
      <x:c r="F187" s="16" t="str">
        <x:f>IF(OR(W187="",X187=""),"",W187+X187)</x:f>
      </x:c>
      <x:c r="G187" s="28" t="str">
        <x:f>IF(F187="","",EXP(-F187)*(1+F187+F187^2/2+F187^3/6+F187^4/24))</x:f>
      </x:c>
      <x:c r="H187" s="53"/>
      <x:c r="I187" s="9" t="str">
        <x:f>IF(F187="","",IF(F187&lt;='Calibrare v2'!$B$33,"PASS","FAIL"))</x:f>
      </x:c>
      <x:c r="J187" s="51"/>
      <x:c r="K187" s="51"/>
      <x:c r="L187" s="9" t="str">
        <x:f>IF(OR(J187="",K187=""),"",J187+K187)</x:f>
      </x:c>
      <x:c r="M187" s="9" t="str">
        <x:f>IF(L187="","",IF(L187&lt;=4,"UNDER","OVER"))</x:f>
      </x:c>
      <x:c r="N187" s="9" t="str">
        <x:f>IF(E187="","",IF(LEFT(E187,2)="DA","PARIU U106,5","NO BET"))</x:f>
      </x:c>
      <x:c r="O187" s="9" t="str">
        <x:f>IF(M187="","",IF(AM187="PARIU U106,5",IF(M187="UNDER","SUCCES","EȘEC"),IF(M187="UNDER","FALS NEGATIV","EVITARE CORECTĂ")))</x:f>
      </x:c>
      <x:c r="P187" s="9" t="str">
        <x:f>IF(M187="","",IF(M187="UNDER",1,0))</x:f>
      </x:c>
      <x:c r="Q187" s="9" t="str">
        <x:f>IF(P187="","",(G187-P187)^2)</x:f>
      </x:c>
      <x:c r="R187" s="9" t="str">
        <x:f>IF(L187="","",L187-F187)</x:f>
      </x:c>
      <x:c r="S187" s="9" t="str">
        <x:f>IF(L187="","",IF(M187="UNDER","U106,5 reușit; total final "&amp;L187&amp;" vs λ="&amp;TEXT(F187,"0.00")&amp;".","Eșec U106,5; total final "&amp;L187&amp;" vs λ="&amp;TEXT(F187,"0.00")&amp;". Revizuiește Tail Risk, sursa λ și calibrarea."))</x:f>
      </x:c>
      <x:c r="T187" s="51"/>
      <x:c r="U187" s="51"/>
      <x:c r="V187" s="51"/>
      <x:c r="W187" s="61"/>
      <x:c r="X187" s="61"/>
      <x:c r="Y187" s="51"/>
      <x:c r="Z187" s="53"/>
      <x:c r="AA187" s="51"/>
      <x:c r="AB187" s="64" t="str">
        <x:f>IF(AC187="","",AC187)</x:f>
      </x:c>
      <x:c r="AC187" s="67"/>
      <x:c r="AD187" s="69" t="str">
        <x:f>IF(AE187="","",AE187)</x:f>
      </x:c>
      <x:c r="AE187" s="71"/>
      <x:c r="AF187" s="73" t="str">
        <x:f>IF(AC187="","",1/AC187)</x:f>
      </x:c>
      <x:c r="AG187" s="61"/>
      <x:c r="AH187" s="61"/>
      <x:c r="AI187" s="64" t="str">
        <x:f>IF(OR(AC187="",AG187=""),"",AC187*AG187-1)</x:f>
      </x:c>
      <x:c r="AJ187" s="75" t="str">
        <x:f>IF(OR(G187="",F187=""),"",IF(AND(G187&gt;='Calibrare v2'!$B$35,F187&lt;='Calibrare v2'!$B$34),"PASS","FAIL"))</x:f>
      </x:c>
      <x:c r="AK187" s="75" t="str">
        <x:f>IF(AL187="","",AL187)</x:f>
      </x:c>
      <x:c r="AL187" s="77"/>
      <x:c r="AM187" s="77"/>
      <x:c r="AN187" s="64" t="str">
        <x:f>IF(OR(AC187="",P187=""),"",(AC187-P187)^2)</x:f>
      </x:c>
      <x:c r="AO187" s="64" t="str">
        <x:f>IF(OR(AG187="",AH187=""),"",AG187/AH187-1)</x:f>
      </x:c>
      <x:c r="AP187" s="61"/>
      <x:c r="AQ187" s="73" t="n">
        <x:f>IF(OR(AM187&lt;&gt;"PARIU U4,5",M187="",AP187="",AG187=""),0,IF(M187="UNDER",AP187*(AG187-1),-AP187))</x:f>
        <x:v>0</x:v>
      </x:c>
      <x:c r="AR187" s="51"/>
    </x:row>
    <x:row r="188">
      <x:c r="A188" s="9" t="str">
        <x:f>IF(D188="","",ROW()-1)</x:f>
      </x:c>
      <x:c r="B188" s="51"/>
      <x:c r="C188" s="51"/>
      <x:c r="D188" s="51"/>
      <x:c r="E188" s="9" t="str">
        <x:f>IF(D188="","",IF(AND(F188&lt;='Calibrare v2'!$B$33,G188&gt;=0.86),"DA – FEZABIL",IF(G188&gt;=0.8,"DA – PRUDENT","NU – EVITĂ")))</x:f>
      </x:c>
      <x:c r="F188" s="16" t="str">
        <x:f>IF(OR(W188="",X188=""),"",W188+X188)</x:f>
      </x:c>
      <x:c r="G188" s="28" t="str">
        <x:f>IF(F188="","",EXP(-F188)*(1+F188+F188^2/2+F188^3/6+F188^4/24))</x:f>
      </x:c>
      <x:c r="H188" s="53"/>
      <x:c r="I188" s="9" t="str">
        <x:f>IF(F188="","",IF(F188&lt;='Calibrare v2'!$B$33,"PASS","FAIL"))</x:f>
      </x:c>
      <x:c r="J188" s="51"/>
      <x:c r="K188" s="51"/>
      <x:c r="L188" s="9" t="str">
        <x:f>IF(OR(J188="",K188=""),"",J188+K188)</x:f>
      </x:c>
      <x:c r="M188" s="9" t="str">
        <x:f>IF(L188="","",IF(L188&lt;=4,"UNDER","OVER"))</x:f>
      </x:c>
      <x:c r="N188" s="9" t="str">
        <x:f>IF(E188="","",IF(LEFT(E188,2)="DA","PARIU U107,5","NO BET"))</x:f>
      </x:c>
      <x:c r="O188" s="9" t="str">
        <x:f>IF(M188="","",IF(AM188="PARIU U107,5",IF(M188="UNDER","SUCCES","EȘEC"),IF(M188="UNDER","FALS NEGATIV","EVITARE CORECTĂ")))</x:f>
      </x:c>
      <x:c r="P188" s="9" t="str">
        <x:f>IF(M188="","",IF(M188="UNDER",1,0))</x:f>
      </x:c>
      <x:c r="Q188" s="9" t="str">
        <x:f>IF(P188="","",(G188-P188)^2)</x:f>
      </x:c>
      <x:c r="R188" s="9" t="str">
        <x:f>IF(L188="","",L188-F188)</x:f>
      </x:c>
      <x:c r="S188" s="9" t="str">
        <x:f>IF(L188="","",IF(M188="UNDER","U107,5 reușit; total final "&amp;L188&amp;" vs λ="&amp;TEXT(F188,"0.00")&amp;".","Eșec U107,5; total final "&amp;L188&amp;" vs λ="&amp;TEXT(F188,"0.00")&amp;". Revizuiește Tail Risk, sursa λ și calibrarea."))</x:f>
      </x:c>
      <x:c r="T188" s="51"/>
      <x:c r="U188" s="51"/>
      <x:c r="V188" s="51"/>
      <x:c r="W188" s="61"/>
      <x:c r="X188" s="61"/>
      <x:c r="Y188" s="51"/>
      <x:c r="Z188" s="53"/>
      <x:c r="AA188" s="51"/>
      <x:c r="AB188" s="64" t="str">
        <x:f>IF(AC188="","",AC188)</x:f>
      </x:c>
      <x:c r="AC188" s="67"/>
      <x:c r="AD188" s="69" t="str">
        <x:f>IF(AE188="","",AE188)</x:f>
      </x:c>
      <x:c r="AE188" s="71"/>
      <x:c r="AF188" s="73" t="str">
        <x:f>IF(AC188="","",1/AC188)</x:f>
      </x:c>
      <x:c r="AG188" s="61"/>
      <x:c r="AH188" s="61"/>
      <x:c r="AI188" s="64" t="str">
        <x:f>IF(OR(AC188="",AG188=""),"",AC188*AG188-1)</x:f>
      </x:c>
      <x:c r="AJ188" s="75" t="str">
        <x:f>IF(OR(G188="",F188=""),"",IF(AND(G188&gt;='Calibrare v2'!$B$35,F188&lt;='Calibrare v2'!$B$34),"PASS","FAIL"))</x:f>
      </x:c>
      <x:c r="AK188" s="75" t="str">
        <x:f>IF(AL188="","",AL188)</x:f>
      </x:c>
      <x:c r="AL188" s="77"/>
      <x:c r="AM188" s="77"/>
      <x:c r="AN188" s="64" t="str">
        <x:f>IF(OR(AC188="",P188=""),"",(AC188-P188)^2)</x:f>
      </x:c>
      <x:c r="AO188" s="64" t="str">
        <x:f>IF(OR(AG188="",AH188=""),"",AG188/AH188-1)</x:f>
      </x:c>
      <x:c r="AP188" s="61"/>
      <x:c r="AQ188" s="73" t="n">
        <x:f>IF(OR(AM188&lt;&gt;"PARIU U4,5",M188="",AP188="",AG188=""),0,IF(M188="UNDER",AP188*(AG188-1),-AP188))</x:f>
        <x:v>0</x:v>
      </x:c>
      <x:c r="AR188" s="51"/>
    </x:row>
    <x:row r="189">
      <x:c r="A189" s="9" t="str">
        <x:f>IF(D189="","",ROW()-1)</x:f>
      </x:c>
      <x:c r="B189" s="51"/>
      <x:c r="C189" s="51"/>
      <x:c r="D189" s="51"/>
      <x:c r="E189" s="9" t="str">
        <x:f>IF(D189="","",IF(AND(F189&lt;='Calibrare v2'!$B$33,G189&gt;=0.86),"DA – FEZABIL",IF(G189&gt;=0.8,"DA – PRUDENT","NU – EVITĂ")))</x:f>
      </x:c>
      <x:c r="F189" s="16" t="str">
        <x:f>IF(OR(W189="",X189=""),"",W189+X189)</x:f>
      </x:c>
      <x:c r="G189" s="28" t="str">
        <x:f>IF(F189="","",EXP(-F189)*(1+F189+F189^2/2+F189^3/6+F189^4/24))</x:f>
      </x:c>
      <x:c r="H189" s="53"/>
      <x:c r="I189" s="9" t="str">
        <x:f>IF(F189="","",IF(F189&lt;='Calibrare v2'!$B$33,"PASS","FAIL"))</x:f>
      </x:c>
      <x:c r="J189" s="51"/>
      <x:c r="K189" s="51"/>
      <x:c r="L189" s="9" t="str">
        <x:f>IF(OR(J189="",K189=""),"",J189+K189)</x:f>
      </x:c>
      <x:c r="M189" s="9" t="str">
        <x:f>IF(L189="","",IF(L189&lt;=4,"UNDER","OVER"))</x:f>
      </x:c>
      <x:c r="N189" s="9" t="str">
        <x:f>IF(E189="","",IF(LEFT(E189,2)="DA","PARIU U108,5","NO BET"))</x:f>
      </x:c>
      <x:c r="O189" s="9" t="str">
        <x:f>IF(M189="","",IF(AM189="PARIU U108,5",IF(M189="UNDER","SUCCES","EȘEC"),IF(M189="UNDER","FALS NEGATIV","EVITARE CORECTĂ")))</x:f>
      </x:c>
      <x:c r="P189" s="9" t="str">
        <x:f>IF(M189="","",IF(M189="UNDER",1,0))</x:f>
      </x:c>
      <x:c r="Q189" s="9" t="str">
        <x:f>IF(P189="","",(G189-P189)^2)</x:f>
      </x:c>
      <x:c r="R189" s="9" t="str">
        <x:f>IF(L189="","",L189-F189)</x:f>
      </x:c>
      <x:c r="S189" s="9" t="str">
        <x:f>IF(L189="","",IF(M189="UNDER","U108,5 reușit; total final "&amp;L189&amp;" vs λ="&amp;TEXT(F189,"0.00")&amp;".","Eșec U108,5; total final "&amp;L189&amp;" vs λ="&amp;TEXT(F189,"0.00")&amp;". Revizuiește Tail Risk, sursa λ și calibrarea."))</x:f>
      </x:c>
      <x:c r="T189" s="51"/>
      <x:c r="U189" s="51"/>
      <x:c r="V189" s="51"/>
      <x:c r="W189" s="61"/>
      <x:c r="X189" s="61"/>
      <x:c r="Y189" s="51"/>
      <x:c r="Z189" s="53"/>
      <x:c r="AA189" s="51"/>
      <x:c r="AB189" s="64" t="str">
        <x:f>IF(AC189="","",AC189)</x:f>
      </x:c>
      <x:c r="AC189" s="67"/>
      <x:c r="AD189" s="69" t="str">
        <x:f>IF(AE189="","",AE189)</x:f>
      </x:c>
      <x:c r="AE189" s="71"/>
      <x:c r="AF189" s="73" t="str">
        <x:f>IF(AC189="","",1/AC189)</x:f>
      </x:c>
      <x:c r="AG189" s="61"/>
      <x:c r="AH189" s="61"/>
      <x:c r="AI189" s="64" t="str">
        <x:f>IF(OR(AC189="",AG189=""),"",AC189*AG189-1)</x:f>
      </x:c>
      <x:c r="AJ189" s="75" t="str">
        <x:f>IF(OR(G189="",F189=""),"",IF(AND(G189&gt;='Calibrare v2'!$B$35,F189&lt;='Calibrare v2'!$B$34),"PASS","FAIL"))</x:f>
      </x:c>
      <x:c r="AK189" s="75" t="str">
        <x:f>IF(AL189="","",AL189)</x:f>
      </x:c>
      <x:c r="AL189" s="77"/>
      <x:c r="AM189" s="77"/>
      <x:c r="AN189" s="64" t="str">
        <x:f>IF(OR(AC189="",P189=""),"",(AC189-P189)^2)</x:f>
      </x:c>
      <x:c r="AO189" s="64" t="str">
        <x:f>IF(OR(AG189="",AH189=""),"",AG189/AH189-1)</x:f>
      </x:c>
      <x:c r="AP189" s="61"/>
      <x:c r="AQ189" s="73" t="n">
        <x:f>IF(OR(AM189&lt;&gt;"PARIU U4,5",M189="",AP189="",AG189=""),0,IF(M189="UNDER",AP189*(AG189-1),-AP189))</x:f>
        <x:v>0</x:v>
      </x:c>
      <x:c r="AR189" s="51"/>
    </x:row>
    <x:row r="190">
      <x:c r="A190" s="9" t="str">
        <x:f>IF(D190="","",ROW()-1)</x:f>
      </x:c>
      <x:c r="B190" s="51"/>
      <x:c r="C190" s="51"/>
      <x:c r="D190" s="51"/>
      <x:c r="E190" s="9" t="str">
        <x:f>IF(D190="","",IF(AND(F190&lt;='Calibrare v2'!$B$33,G190&gt;=0.86),"DA – FEZABIL",IF(G190&gt;=0.8,"DA – PRUDENT","NU – EVITĂ")))</x:f>
      </x:c>
      <x:c r="F190" s="16" t="str">
        <x:f>IF(OR(W190="",X190=""),"",W190+X190)</x:f>
      </x:c>
      <x:c r="G190" s="28" t="str">
        <x:f>IF(F190="","",EXP(-F190)*(1+F190+F190^2/2+F190^3/6+F190^4/24))</x:f>
      </x:c>
      <x:c r="H190" s="53"/>
      <x:c r="I190" s="9" t="str">
        <x:f>IF(F190="","",IF(F190&lt;='Calibrare v2'!$B$33,"PASS","FAIL"))</x:f>
      </x:c>
      <x:c r="J190" s="51"/>
      <x:c r="K190" s="51"/>
      <x:c r="L190" s="9" t="str">
        <x:f>IF(OR(J190="",K190=""),"",J190+K190)</x:f>
      </x:c>
      <x:c r="M190" s="9" t="str">
        <x:f>IF(L190="","",IF(L190&lt;=4,"UNDER","OVER"))</x:f>
      </x:c>
      <x:c r="N190" s="9" t="str">
        <x:f>IF(E190="","",IF(LEFT(E190,2)="DA","PARIU U109,5","NO BET"))</x:f>
      </x:c>
      <x:c r="O190" s="9" t="str">
        <x:f>IF(M190="","",IF(AM190="PARIU U109,5",IF(M190="UNDER","SUCCES","EȘEC"),IF(M190="UNDER","FALS NEGATIV","EVITARE CORECTĂ")))</x:f>
      </x:c>
      <x:c r="P190" s="9" t="str">
        <x:f>IF(M190="","",IF(M190="UNDER",1,0))</x:f>
      </x:c>
      <x:c r="Q190" s="9" t="str">
        <x:f>IF(P190="","",(G190-P190)^2)</x:f>
      </x:c>
      <x:c r="R190" s="9" t="str">
        <x:f>IF(L190="","",L190-F190)</x:f>
      </x:c>
      <x:c r="S190" s="9" t="str">
        <x:f>IF(L190="","",IF(M190="UNDER","U109,5 reușit; total final "&amp;L190&amp;" vs λ="&amp;TEXT(F190,"0.00")&amp;".","Eșec U109,5; total final "&amp;L190&amp;" vs λ="&amp;TEXT(F190,"0.00")&amp;". Revizuiește Tail Risk, sursa λ și calibrarea."))</x:f>
      </x:c>
      <x:c r="T190" s="51"/>
      <x:c r="U190" s="51"/>
      <x:c r="V190" s="51"/>
      <x:c r="W190" s="61"/>
      <x:c r="X190" s="61"/>
      <x:c r="Y190" s="51"/>
      <x:c r="Z190" s="53"/>
      <x:c r="AA190" s="51"/>
      <x:c r="AB190" s="64" t="str">
        <x:f>IF(AC190="","",AC190)</x:f>
      </x:c>
      <x:c r="AC190" s="67"/>
      <x:c r="AD190" s="69" t="str">
        <x:f>IF(AE190="","",AE190)</x:f>
      </x:c>
      <x:c r="AE190" s="71"/>
      <x:c r="AF190" s="73" t="str">
        <x:f>IF(AC190="","",1/AC190)</x:f>
      </x:c>
      <x:c r="AG190" s="61"/>
      <x:c r="AH190" s="61"/>
      <x:c r="AI190" s="64" t="str">
        <x:f>IF(OR(AC190="",AG190=""),"",AC190*AG190-1)</x:f>
      </x:c>
      <x:c r="AJ190" s="75" t="str">
        <x:f>IF(OR(G190="",F190=""),"",IF(AND(G190&gt;='Calibrare v2'!$B$35,F190&lt;='Calibrare v2'!$B$34),"PASS","FAIL"))</x:f>
      </x:c>
      <x:c r="AK190" s="75" t="str">
        <x:f>IF(AL190="","",AL190)</x:f>
      </x:c>
      <x:c r="AL190" s="77"/>
      <x:c r="AM190" s="77"/>
      <x:c r="AN190" s="64" t="str">
        <x:f>IF(OR(AC190="",P190=""),"",(AC190-P190)^2)</x:f>
      </x:c>
      <x:c r="AO190" s="64" t="str">
        <x:f>IF(OR(AG190="",AH190=""),"",AG190/AH190-1)</x:f>
      </x:c>
      <x:c r="AP190" s="61"/>
      <x:c r="AQ190" s="73" t="n">
        <x:f>IF(OR(AM190&lt;&gt;"PARIU U4,5",M190="",AP190="",AG190=""),0,IF(M190="UNDER",AP190*(AG190-1),-AP190))</x:f>
        <x:v>0</x:v>
      </x:c>
      <x:c r="AR190" s="51"/>
    </x:row>
    <x:row r="191">
      <x:c r="A191" s="9" t="str">
        <x:f>IF(D191="","",ROW()-1)</x:f>
      </x:c>
      <x:c r="B191" s="51"/>
      <x:c r="C191" s="51"/>
      <x:c r="D191" s="51"/>
      <x:c r="E191" s="9" t="str">
        <x:f>IF(D191="","",IF(AND(F191&lt;='Calibrare v2'!$B$33,G191&gt;=0.86),"DA – FEZABIL",IF(G191&gt;=0.8,"DA – PRUDENT","NU – EVITĂ")))</x:f>
      </x:c>
      <x:c r="F191" s="16" t="str">
        <x:f>IF(OR(W191="",X191=""),"",W191+X191)</x:f>
      </x:c>
      <x:c r="G191" s="28" t="str">
        <x:f>IF(F191="","",EXP(-F191)*(1+F191+F191^2/2+F191^3/6+F191^4/24))</x:f>
      </x:c>
      <x:c r="H191" s="53"/>
      <x:c r="I191" s="9" t="str">
        <x:f>IF(F191="","",IF(F191&lt;='Calibrare v2'!$B$33,"PASS","FAIL"))</x:f>
      </x:c>
      <x:c r="J191" s="51"/>
      <x:c r="K191" s="51"/>
      <x:c r="L191" s="9" t="str">
        <x:f>IF(OR(J191="",K191=""),"",J191+K191)</x:f>
      </x:c>
      <x:c r="M191" s="9" t="str">
        <x:f>IF(L191="","",IF(L191&lt;=4,"UNDER","OVER"))</x:f>
      </x:c>
      <x:c r="N191" s="9" t="str">
        <x:f>IF(E191="","",IF(LEFT(E191,2)="DA","PARIU U110,5","NO BET"))</x:f>
      </x:c>
      <x:c r="O191" s="9" t="str">
        <x:f>IF(M191="","",IF(AM191="PARIU U110,5",IF(M191="UNDER","SUCCES","EȘEC"),IF(M191="UNDER","FALS NEGATIV","EVITARE CORECTĂ")))</x:f>
      </x:c>
      <x:c r="P191" s="9" t="str">
        <x:f>IF(M191="","",IF(M191="UNDER",1,0))</x:f>
      </x:c>
      <x:c r="Q191" s="9" t="str">
        <x:f>IF(P191="","",(G191-P191)^2)</x:f>
      </x:c>
      <x:c r="R191" s="9" t="str">
        <x:f>IF(L191="","",L191-F191)</x:f>
      </x:c>
      <x:c r="S191" s="9" t="str">
        <x:f>IF(L191="","",IF(M191="UNDER","U110,5 reușit; total final "&amp;L191&amp;" vs λ="&amp;TEXT(F191,"0.00")&amp;".","Eșec U110,5; total final "&amp;L191&amp;" vs λ="&amp;TEXT(F191,"0.00")&amp;". Revizuiește Tail Risk, sursa λ și calibrarea."))</x:f>
      </x:c>
      <x:c r="T191" s="51"/>
      <x:c r="U191" s="51"/>
      <x:c r="V191" s="51"/>
      <x:c r="W191" s="61"/>
      <x:c r="X191" s="61"/>
      <x:c r="Y191" s="51"/>
      <x:c r="Z191" s="53"/>
      <x:c r="AA191" s="51"/>
      <x:c r="AB191" s="64" t="str">
        <x:f>IF(AC191="","",AC191)</x:f>
      </x:c>
      <x:c r="AC191" s="67"/>
      <x:c r="AD191" s="69" t="str">
        <x:f>IF(AE191="","",AE191)</x:f>
      </x:c>
      <x:c r="AE191" s="71"/>
      <x:c r="AF191" s="73" t="str">
        <x:f>IF(AC191="","",1/AC191)</x:f>
      </x:c>
      <x:c r="AG191" s="61"/>
      <x:c r="AH191" s="61"/>
      <x:c r="AI191" s="64" t="str">
        <x:f>IF(OR(AC191="",AG191=""),"",AC191*AG191-1)</x:f>
      </x:c>
      <x:c r="AJ191" s="75" t="str">
        <x:f>IF(OR(G191="",F191=""),"",IF(AND(G191&gt;='Calibrare v2'!$B$35,F191&lt;='Calibrare v2'!$B$34),"PASS","FAIL"))</x:f>
      </x:c>
      <x:c r="AK191" s="75" t="str">
        <x:f>IF(AL191="","",AL191)</x:f>
      </x:c>
      <x:c r="AL191" s="77"/>
      <x:c r="AM191" s="77"/>
      <x:c r="AN191" s="64" t="str">
        <x:f>IF(OR(AC191="",P191=""),"",(AC191-P191)^2)</x:f>
      </x:c>
      <x:c r="AO191" s="64" t="str">
        <x:f>IF(OR(AG191="",AH191=""),"",AG191/AH191-1)</x:f>
      </x:c>
      <x:c r="AP191" s="61"/>
      <x:c r="AQ191" s="73" t="n">
        <x:f>IF(OR(AM191&lt;&gt;"PARIU U4,5",M191="",AP191="",AG191=""),0,IF(M191="UNDER",AP191*(AG191-1),-AP191))</x:f>
        <x:v>0</x:v>
      </x:c>
      <x:c r="AR191" s="51"/>
    </x:row>
    <x:row r="192">
      <x:c r="A192" s="9" t="str">
        <x:f>IF(D192="","",ROW()-1)</x:f>
      </x:c>
      <x:c r="B192" s="51"/>
      <x:c r="C192" s="51"/>
      <x:c r="D192" s="51"/>
      <x:c r="E192" s="9" t="str">
        <x:f>IF(D192="","",IF(AND(F192&lt;='Calibrare v2'!$B$33,G192&gt;=0.86),"DA – FEZABIL",IF(G192&gt;=0.8,"DA – PRUDENT","NU – EVITĂ")))</x:f>
      </x:c>
      <x:c r="F192" s="16" t="str">
        <x:f>IF(OR(W192="",X192=""),"",W192+X192)</x:f>
      </x:c>
      <x:c r="G192" s="28" t="str">
        <x:f>IF(F192="","",EXP(-F192)*(1+F192+F192^2/2+F192^3/6+F192^4/24))</x:f>
      </x:c>
      <x:c r="H192" s="53"/>
      <x:c r="I192" s="9" t="str">
        <x:f>IF(F192="","",IF(F192&lt;='Calibrare v2'!$B$33,"PASS","FAIL"))</x:f>
      </x:c>
      <x:c r="J192" s="51"/>
      <x:c r="K192" s="51"/>
      <x:c r="L192" s="9" t="str">
        <x:f>IF(OR(J192="",K192=""),"",J192+K192)</x:f>
      </x:c>
      <x:c r="M192" s="9" t="str">
        <x:f>IF(L192="","",IF(L192&lt;=4,"UNDER","OVER"))</x:f>
      </x:c>
      <x:c r="N192" s="9" t="str">
        <x:f>IF(E192="","",IF(LEFT(E192,2)="DA","PARIU U111,5","NO BET"))</x:f>
      </x:c>
      <x:c r="O192" s="9" t="str">
        <x:f>IF(M192="","",IF(AM192="PARIU U111,5",IF(M192="UNDER","SUCCES","EȘEC"),IF(M192="UNDER","FALS NEGATIV","EVITARE CORECTĂ")))</x:f>
      </x:c>
      <x:c r="P192" s="9" t="str">
        <x:f>IF(M192="","",IF(M192="UNDER",1,0))</x:f>
      </x:c>
      <x:c r="Q192" s="9" t="str">
        <x:f>IF(P192="","",(G192-P192)^2)</x:f>
      </x:c>
      <x:c r="R192" s="9" t="str">
        <x:f>IF(L192="","",L192-F192)</x:f>
      </x:c>
      <x:c r="S192" s="9" t="str">
        <x:f>IF(L192="","",IF(M192="UNDER","U111,5 reușit; total final "&amp;L192&amp;" vs λ="&amp;TEXT(F192,"0.00")&amp;".","Eșec U111,5; total final "&amp;L192&amp;" vs λ="&amp;TEXT(F192,"0.00")&amp;". Revizuiește Tail Risk, sursa λ și calibrarea."))</x:f>
      </x:c>
      <x:c r="T192" s="51"/>
      <x:c r="U192" s="51"/>
      <x:c r="V192" s="51"/>
      <x:c r="W192" s="61"/>
      <x:c r="X192" s="61"/>
      <x:c r="Y192" s="51"/>
      <x:c r="Z192" s="53"/>
      <x:c r="AA192" s="51"/>
      <x:c r="AB192" s="64" t="str">
        <x:f>IF(AC192="","",AC192)</x:f>
      </x:c>
      <x:c r="AC192" s="67"/>
      <x:c r="AD192" s="69" t="str">
        <x:f>IF(AE192="","",AE192)</x:f>
      </x:c>
      <x:c r="AE192" s="71"/>
      <x:c r="AF192" s="73" t="str">
        <x:f>IF(AC192="","",1/AC192)</x:f>
      </x:c>
      <x:c r="AG192" s="61"/>
      <x:c r="AH192" s="61"/>
      <x:c r="AI192" s="64" t="str">
        <x:f>IF(OR(AC192="",AG192=""),"",AC192*AG192-1)</x:f>
      </x:c>
      <x:c r="AJ192" s="75" t="str">
        <x:f>IF(OR(G192="",F192=""),"",IF(AND(G192&gt;='Calibrare v2'!$B$35,F192&lt;='Calibrare v2'!$B$34),"PASS","FAIL"))</x:f>
      </x:c>
      <x:c r="AK192" s="75" t="str">
        <x:f>IF(AL192="","",AL192)</x:f>
      </x:c>
      <x:c r="AL192" s="77"/>
      <x:c r="AM192" s="77"/>
      <x:c r="AN192" s="64" t="str">
        <x:f>IF(OR(AC192="",P192=""),"",(AC192-P192)^2)</x:f>
      </x:c>
      <x:c r="AO192" s="64" t="str">
        <x:f>IF(OR(AG192="",AH192=""),"",AG192/AH192-1)</x:f>
      </x:c>
      <x:c r="AP192" s="61"/>
      <x:c r="AQ192" s="73" t="n">
        <x:f>IF(OR(AM192&lt;&gt;"PARIU U4,5",M192="",AP192="",AG192=""),0,IF(M192="UNDER",AP192*(AG192-1),-AP192))</x:f>
        <x:v>0</x:v>
      </x:c>
      <x:c r="AR192" s="51"/>
    </x:row>
    <x:row r="193">
      <x:c r="A193" s="9" t="str">
        <x:f>IF(D193="","",ROW()-1)</x:f>
      </x:c>
      <x:c r="B193" s="51"/>
      <x:c r="C193" s="51"/>
      <x:c r="D193" s="51"/>
      <x:c r="E193" s="9" t="str">
        <x:f>IF(D193="","",IF(AND(F193&lt;='Calibrare v2'!$B$33,G193&gt;=0.86),"DA – FEZABIL",IF(G193&gt;=0.8,"DA – PRUDENT","NU – EVITĂ")))</x:f>
      </x:c>
      <x:c r="F193" s="16" t="str">
        <x:f>IF(OR(W193="",X193=""),"",W193+X193)</x:f>
      </x:c>
      <x:c r="G193" s="28" t="str">
        <x:f>IF(F193="","",EXP(-F193)*(1+F193+F193^2/2+F193^3/6+F193^4/24))</x:f>
      </x:c>
      <x:c r="H193" s="53"/>
      <x:c r="I193" s="9" t="str">
        <x:f>IF(F193="","",IF(F193&lt;='Calibrare v2'!$B$33,"PASS","FAIL"))</x:f>
      </x:c>
      <x:c r="J193" s="51"/>
      <x:c r="K193" s="51"/>
      <x:c r="L193" s="9" t="str">
        <x:f>IF(OR(J193="",K193=""),"",J193+K193)</x:f>
      </x:c>
      <x:c r="M193" s="9" t="str">
        <x:f>IF(L193="","",IF(L193&lt;=4,"UNDER","OVER"))</x:f>
      </x:c>
      <x:c r="N193" s="9" t="str">
        <x:f>IF(E193="","",IF(LEFT(E193,2)="DA","PARIU U112,5","NO BET"))</x:f>
      </x:c>
      <x:c r="O193" s="9" t="str">
        <x:f>IF(M193="","",IF(AM193="PARIU U112,5",IF(M193="UNDER","SUCCES","EȘEC"),IF(M193="UNDER","FALS NEGATIV","EVITARE CORECTĂ")))</x:f>
      </x:c>
      <x:c r="P193" s="9" t="str">
        <x:f>IF(M193="","",IF(M193="UNDER",1,0))</x:f>
      </x:c>
      <x:c r="Q193" s="9" t="str">
        <x:f>IF(P193="","",(G193-P193)^2)</x:f>
      </x:c>
      <x:c r="R193" s="9" t="str">
        <x:f>IF(L193="","",L193-F193)</x:f>
      </x:c>
      <x:c r="S193" s="9" t="str">
        <x:f>IF(L193="","",IF(M193="UNDER","U112,5 reușit; total final "&amp;L193&amp;" vs λ="&amp;TEXT(F193,"0.00")&amp;".","Eșec U112,5; total final "&amp;L193&amp;" vs λ="&amp;TEXT(F193,"0.00")&amp;". Revizuiește Tail Risk, sursa λ și calibrarea."))</x:f>
      </x:c>
      <x:c r="T193" s="51"/>
      <x:c r="U193" s="51"/>
      <x:c r="V193" s="51"/>
      <x:c r="W193" s="61"/>
      <x:c r="X193" s="61"/>
      <x:c r="Y193" s="51"/>
      <x:c r="Z193" s="53"/>
      <x:c r="AA193" s="51"/>
      <x:c r="AB193" s="64" t="str">
        <x:f>IF(AC193="","",AC193)</x:f>
      </x:c>
      <x:c r="AC193" s="67"/>
      <x:c r="AD193" s="69" t="str">
        <x:f>IF(AE193="","",AE193)</x:f>
      </x:c>
      <x:c r="AE193" s="71"/>
      <x:c r="AF193" s="73" t="str">
        <x:f>IF(AC193="","",1/AC193)</x:f>
      </x:c>
      <x:c r="AG193" s="61"/>
      <x:c r="AH193" s="61"/>
      <x:c r="AI193" s="64" t="str">
        <x:f>IF(OR(AC193="",AG193=""),"",AC193*AG193-1)</x:f>
      </x:c>
      <x:c r="AJ193" s="75" t="str">
        <x:f>IF(OR(G193="",F193=""),"",IF(AND(G193&gt;='Calibrare v2'!$B$35,F193&lt;='Calibrare v2'!$B$34),"PASS","FAIL"))</x:f>
      </x:c>
      <x:c r="AK193" s="75" t="str">
        <x:f>IF(AL193="","",AL193)</x:f>
      </x:c>
      <x:c r="AL193" s="77"/>
      <x:c r="AM193" s="77"/>
      <x:c r="AN193" s="64" t="str">
        <x:f>IF(OR(AC193="",P193=""),"",(AC193-P193)^2)</x:f>
      </x:c>
      <x:c r="AO193" s="64" t="str">
        <x:f>IF(OR(AG193="",AH193=""),"",AG193/AH193-1)</x:f>
      </x:c>
      <x:c r="AP193" s="61"/>
      <x:c r="AQ193" s="73" t="n">
        <x:f>IF(OR(AM193&lt;&gt;"PARIU U4,5",M193="",AP193="",AG193=""),0,IF(M193="UNDER",AP193*(AG193-1),-AP193))</x:f>
        <x:v>0</x:v>
      </x:c>
      <x:c r="AR193" s="51"/>
    </x:row>
    <x:row r="194">
      <x:c r="A194" s="9" t="str">
        <x:f>IF(D194="","",ROW()-1)</x:f>
      </x:c>
      <x:c r="B194" s="51"/>
      <x:c r="C194" s="51"/>
      <x:c r="D194" s="51"/>
      <x:c r="E194" s="9" t="str">
        <x:f>IF(D194="","",IF(AND(F194&lt;='Calibrare v2'!$B$33,G194&gt;=0.86),"DA – FEZABIL",IF(G194&gt;=0.8,"DA – PRUDENT","NU – EVITĂ")))</x:f>
      </x:c>
      <x:c r="F194" s="16" t="str">
        <x:f>IF(OR(W194="",X194=""),"",W194+X194)</x:f>
      </x:c>
      <x:c r="G194" s="28" t="str">
        <x:f>IF(F194="","",EXP(-F194)*(1+F194+F194^2/2+F194^3/6+F194^4/24))</x:f>
      </x:c>
      <x:c r="H194" s="53"/>
      <x:c r="I194" s="9" t="str">
        <x:f>IF(F194="","",IF(F194&lt;='Calibrare v2'!$B$33,"PASS","FAIL"))</x:f>
      </x:c>
      <x:c r="J194" s="51"/>
      <x:c r="K194" s="51"/>
      <x:c r="L194" s="9" t="str">
        <x:f>IF(OR(J194="",K194=""),"",J194+K194)</x:f>
      </x:c>
      <x:c r="M194" s="9" t="str">
        <x:f>IF(L194="","",IF(L194&lt;=4,"UNDER","OVER"))</x:f>
      </x:c>
      <x:c r="N194" s="9" t="str">
        <x:f>IF(E194="","",IF(LEFT(E194,2)="DA","PARIU U113,5","NO BET"))</x:f>
      </x:c>
      <x:c r="O194" s="9" t="str">
        <x:f>IF(M194="","",IF(AM194="PARIU U113,5",IF(M194="UNDER","SUCCES","EȘEC"),IF(M194="UNDER","FALS NEGATIV","EVITARE CORECTĂ")))</x:f>
      </x:c>
      <x:c r="P194" s="9" t="str">
        <x:f>IF(M194="","",IF(M194="UNDER",1,0))</x:f>
      </x:c>
      <x:c r="Q194" s="9" t="str">
        <x:f>IF(P194="","",(G194-P194)^2)</x:f>
      </x:c>
      <x:c r="R194" s="9" t="str">
        <x:f>IF(L194="","",L194-F194)</x:f>
      </x:c>
      <x:c r="S194" s="9" t="str">
        <x:f>IF(L194="","",IF(M194="UNDER","U113,5 reușit; total final "&amp;L194&amp;" vs λ="&amp;TEXT(F194,"0.00")&amp;".","Eșec U113,5; total final "&amp;L194&amp;" vs λ="&amp;TEXT(F194,"0.00")&amp;". Revizuiește Tail Risk, sursa λ și calibrarea."))</x:f>
      </x:c>
      <x:c r="T194" s="51"/>
      <x:c r="U194" s="51"/>
      <x:c r="V194" s="51"/>
      <x:c r="W194" s="61"/>
      <x:c r="X194" s="61"/>
      <x:c r="Y194" s="51"/>
      <x:c r="Z194" s="53"/>
      <x:c r="AA194" s="51"/>
      <x:c r="AB194" s="64" t="str">
        <x:f>IF(AC194="","",AC194)</x:f>
      </x:c>
      <x:c r="AC194" s="67"/>
      <x:c r="AD194" s="69" t="str">
        <x:f>IF(AE194="","",AE194)</x:f>
      </x:c>
      <x:c r="AE194" s="71"/>
      <x:c r="AF194" s="73" t="str">
        <x:f>IF(AC194="","",1/AC194)</x:f>
      </x:c>
      <x:c r="AG194" s="61"/>
      <x:c r="AH194" s="61"/>
      <x:c r="AI194" s="64" t="str">
        <x:f>IF(OR(AC194="",AG194=""),"",AC194*AG194-1)</x:f>
      </x:c>
      <x:c r="AJ194" s="75" t="str">
        <x:f>IF(OR(G194="",F194=""),"",IF(AND(G194&gt;='Calibrare v2'!$B$35,F194&lt;='Calibrare v2'!$B$34),"PASS","FAIL"))</x:f>
      </x:c>
      <x:c r="AK194" s="75" t="str">
        <x:f>IF(AL194="","",AL194)</x:f>
      </x:c>
      <x:c r="AL194" s="77"/>
      <x:c r="AM194" s="77"/>
      <x:c r="AN194" s="64" t="str">
        <x:f>IF(OR(AC194="",P194=""),"",(AC194-P194)^2)</x:f>
      </x:c>
      <x:c r="AO194" s="64" t="str">
        <x:f>IF(OR(AG194="",AH194=""),"",AG194/AH194-1)</x:f>
      </x:c>
      <x:c r="AP194" s="61"/>
      <x:c r="AQ194" s="73" t="n">
        <x:f>IF(OR(AM194&lt;&gt;"PARIU U4,5",M194="",AP194="",AG194=""),0,IF(M194="UNDER",AP194*(AG194-1),-AP194))</x:f>
        <x:v>0</x:v>
      </x:c>
      <x:c r="AR194" s="51"/>
    </x:row>
    <x:row r="195">
      <x:c r="A195" s="9" t="str">
        <x:f>IF(D195="","",ROW()-1)</x:f>
      </x:c>
      <x:c r="B195" s="51"/>
      <x:c r="C195" s="51"/>
      <x:c r="D195" s="51"/>
      <x:c r="E195" s="9" t="str">
        <x:f>IF(D195="","",IF(AND(F195&lt;='Calibrare v2'!$B$33,G195&gt;=0.86),"DA – FEZABIL",IF(G195&gt;=0.8,"DA – PRUDENT","NU – EVITĂ")))</x:f>
      </x:c>
      <x:c r="F195" s="16" t="str">
        <x:f>IF(OR(W195="",X195=""),"",W195+X195)</x:f>
      </x:c>
      <x:c r="G195" s="28" t="str">
        <x:f>IF(F195="","",EXP(-F195)*(1+F195+F195^2/2+F195^3/6+F195^4/24))</x:f>
      </x:c>
      <x:c r="H195" s="53"/>
      <x:c r="I195" s="9" t="str">
        <x:f>IF(F195="","",IF(F195&lt;='Calibrare v2'!$B$33,"PASS","FAIL"))</x:f>
      </x:c>
      <x:c r="J195" s="51"/>
      <x:c r="K195" s="51"/>
      <x:c r="L195" s="9" t="str">
        <x:f>IF(OR(J195="",K195=""),"",J195+K195)</x:f>
      </x:c>
      <x:c r="M195" s="9" t="str">
        <x:f>IF(L195="","",IF(L195&lt;=4,"UNDER","OVER"))</x:f>
      </x:c>
      <x:c r="N195" s="9" t="str">
        <x:f>IF(E195="","",IF(LEFT(E195,2)="DA","PARIU U114,5","NO BET"))</x:f>
      </x:c>
      <x:c r="O195" s="9" t="str">
        <x:f>IF(M195="","",IF(AM195="PARIU U114,5",IF(M195="UNDER","SUCCES","EȘEC"),IF(M195="UNDER","FALS NEGATIV","EVITARE CORECTĂ")))</x:f>
      </x:c>
      <x:c r="P195" s="9" t="str">
        <x:f>IF(M195="","",IF(M195="UNDER",1,0))</x:f>
      </x:c>
      <x:c r="Q195" s="9" t="str">
        <x:f>IF(P195="","",(G195-P195)^2)</x:f>
      </x:c>
      <x:c r="R195" s="9" t="str">
        <x:f>IF(L195="","",L195-F195)</x:f>
      </x:c>
      <x:c r="S195" s="9" t="str">
        <x:f>IF(L195="","",IF(M195="UNDER","U114,5 reușit; total final "&amp;L195&amp;" vs λ="&amp;TEXT(F195,"0.00")&amp;".","Eșec U114,5; total final "&amp;L195&amp;" vs λ="&amp;TEXT(F195,"0.00")&amp;". Revizuiește Tail Risk, sursa λ și calibrarea."))</x:f>
      </x:c>
      <x:c r="T195" s="51"/>
      <x:c r="U195" s="51"/>
      <x:c r="V195" s="51"/>
      <x:c r="W195" s="61"/>
      <x:c r="X195" s="61"/>
      <x:c r="Y195" s="51"/>
      <x:c r="Z195" s="53"/>
      <x:c r="AA195" s="51"/>
      <x:c r="AB195" s="64" t="str">
        <x:f>IF(AC195="","",AC195)</x:f>
      </x:c>
      <x:c r="AC195" s="67"/>
      <x:c r="AD195" s="69" t="str">
        <x:f>IF(AE195="","",AE195)</x:f>
      </x:c>
      <x:c r="AE195" s="71"/>
      <x:c r="AF195" s="73" t="str">
        <x:f>IF(AC195="","",1/AC195)</x:f>
      </x:c>
      <x:c r="AG195" s="61"/>
      <x:c r="AH195" s="61"/>
      <x:c r="AI195" s="64" t="str">
        <x:f>IF(OR(AC195="",AG195=""),"",AC195*AG195-1)</x:f>
      </x:c>
      <x:c r="AJ195" s="75" t="str">
        <x:f>IF(OR(G195="",F195=""),"",IF(AND(G195&gt;='Calibrare v2'!$B$35,F195&lt;='Calibrare v2'!$B$34),"PASS","FAIL"))</x:f>
      </x:c>
      <x:c r="AK195" s="75" t="str">
        <x:f>IF(AL195="","",AL195)</x:f>
      </x:c>
      <x:c r="AL195" s="77"/>
      <x:c r="AM195" s="77"/>
      <x:c r="AN195" s="64" t="str">
        <x:f>IF(OR(AC195="",P195=""),"",(AC195-P195)^2)</x:f>
      </x:c>
      <x:c r="AO195" s="64" t="str">
        <x:f>IF(OR(AG195="",AH195=""),"",AG195/AH195-1)</x:f>
      </x:c>
      <x:c r="AP195" s="61"/>
      <x:c r="AQ195" s="73" t="n">
        <x:f>IF(OR(AM195&lt;&gt;"PARIU U4,5",M195="",AP195="",AG195=""),0,IF(M195="UNDER",AP195*(AG195-1),-AP195))</x:f>
        <x:v>0</x:v>
      </x:c>
      <x:c r="AR195" s="51"/>
    </x:row>
    <x:row r="196">
      <x:c r="A196" s="9" t="str">
        <x:f>IF(D196="","",ROW()-1)</x:f>
      </x:c>
      <x:c r="B196" s="51"/>
      <x:c r="C196" s="51"/>
      <x:c r="D196" s="51"/>
      <x:c r="E196" s="9" t="str">
        <x:f>IF(D196="","",IF(AND(F196&lt;='Calibrare v2'!$B$33,G196&gt;=0.86),"DA – FEZABIL",IF(G196&gt;=0.8,"DA – PRUDENT","NU – EVITĂ")))</x:f>
      </x:c>
      <x:c r="F196" s="16" t="str">
        <x:f>IF(OR(W196="",X196=""),"",W196+X196)</x:f>
      </x:c>
      <x:c r="G196" s="28" t="str">
        <x:f>IF(F196="","",EXP(-F196)*(1+F196+F196^2/2+F196^3/6+F196^4/24))</x:f>
      </x:c>
      <x:c r="H196" s="53"/>
      <x:c r="I196" s="9" t="str">
        <x:f>IF(F196="","",IF(F196&lt;='Calibrare v2'!$B$33,"PASS","FAIL"))</x:f>
      </x:c>
      <x:c r="J196" s="51"/>
      <x:c r="K196" s="51"/>
      <x:c r="L196" s="9" t="str">
        <x:f>IF(OR(J196="",K196=""),"",J196+K196)</x:f>
      </x:c>
      <x:c r="M196" s="9" t="str">
        <x:f>IF(L196="","",IF(L196&lt;=4,"UNDER","OVER"))</x:f>
      </x:c>
      <x:c r="N196" s="9" t="str">
        <x:f>IF(E196="","",IF(LEFT(E196,2)="DA","PARIU U115,5","NO BET"))</x:f>
      </x:c>
      <x:c r="O196" s="9" t="str">
        <x:f>IF(M196="","",IF(AM196="PARIU U115,5",IF(M196="UNDER","SUCCES","EȘEC"),IF(M196="UNDER","FALS NEGATIV","EVITARE CORECTĂ")))</x:f>
      </x:c>
      <x:c r="P196" s="9" t="str">
        <x:f>IF(M196="","",IF(M196="UNDER",1,0))</x:f>
      </x:c>
      <x:c r="Q196" s="9" t="str">
        <x:f>IF(P196="","",(G196-P196)^2)</x:f>
      </x:c>
      <x:c r="R196" s="9" t="str">
        <x:f>IF(L196="","",L196-F196)</x:f>
      </x:c>
      <x:c r="S196" s="9" t="str">
        <x:f>IF(L196="","",IF(M196="UNDER","U115,5 reușit; total final "&amp;L196&amp;" vs λ="&amp;TEXT(F196,"0.00")&amp;".","Eșec U115,5; total final "&amp;L196&amp;" vs λ="&amp;TEXT(F196,"0.00")&amp;". Revizuiește Tail Risk, sursa λ și calibrarea."))</x:f>
      </x:c>
      <x:c r="T196" s="51"/>
      <x:c r="U196" s="51"/>
      <x:c r="V196" s="51"/>
      <x:c r="W196" s="61"/>
      <x:c r="X196" s="61"/>
      <x:c r="Y196" s="51"/>
      <x:c r="Z196" s="53"/>
      <x:c r="AA196" s="51"/>
      <x:c r="AB196" s="64" t="str">
        <x:f>IF(AC196="","",AC196)</x:f>
      </x:c>
      <x:c r="AC196" s="67"/>
      <x:c r="AD196" s="69" t="str">
        <x:f>IF(AE196="","",AE196)</x:f>
      </x:c>
      <x:c r="AE196" s="71"/>
      <x:c r="AF196" s="73" t="str">
        <x:f>IF(AC196="","",1/AC196)</x:f>
      </x:c>
      <x:c r="AG196" s="61"/>
      <x:c r="AH196" s="61"/>
      <x:c r="AI196" s="64" t="str">
        <x:f>IF(OR(AC196="",AG196=""),"",AC196*AG196-1)</x:f>
      </x:c>
      <x:c r="AJ196" s="75" t="str">
        <x:f>IF(OR(G196="",F196=""),"",IF(AND(G196&gt;='Calibrare v2'!$B$35,F196&lt;='Calibrare v2'!$B$34),"PASS","FAIL"))</x:f>
      </x:c>
      <x:c r="AK196" s="75" t="str">
        <x:f>IF(AL196="","",AL196)</x:f>
      </x:c>
      <x:c r="AL196" s="77"/>
      <x:c r="AM196" s="77"/>
      <x:c r="AN196" s="64" t="str">
        <x:f>IF(OR(AC196="",P196=""),"",(AC196-P196)^2)</x:f>
      </x:c>
      <x:c r="AO196" s="64" t="str">
        <x:f>IF(OR(AG196="",AH196=""),"",AG196/AH196-1)</x:f>
      </x:c>
      <x:c r="AP196" s="61"/>
      <x:c r="AQ196" s="73" t="n">
        <x:f>IF(OR(AM196&lt;&gt;"PARIU U4,5",M196="",AP196="",AG196=""),0,IF(M196="UNDER",AP196*(AG196-1),-AP196))</x:f>
        <x:v>0</x:v>
      </x:c>
      <x:c r="AR196" s="51"/>
    </x:row>
    <x:row r="197">
      <x:c r="A197" s="9" t="str">
        <x:f>IF(D197="","",ROW()-1)</x:f>
      </x:c>
      <x:c r="B197" s="51"/>
      <x:c r="C197" s="51"/>
      <x:c r="D197" s="51"/>
      <x:c r="E197" s="9" t="str">
        <x:f>IF(D197="","",IF(AND(F197&lt;='Calibrare v2'!$B$33,G197&gt;=0.86),"DA – FEZABIL",IF(G197&gt;=0.8,"DA – PRUDENT","NU – EVITĂ")))</x:f>
      </x:c>
      <x:c r="F197" s="16" t="str">
        <x:f>IF(OR(W197="",X197=""),"",W197+X197)</x:f>
      </x:c>
      <x:c r="G197" s="28" t="str">
        <x:f>IF(F197="","",EXP(-F197)*(1+F197+F197^2/2+F197^3/6+F197^4/24))</x:f>
      </x:c>
      <x:c r="H197" s="53"/>
      <x:c r="I197" s="9" t="str">
        <x:f>IF(F197="","",IF(F197&lt;='Calibrare v2'!$B$33,"PASS","FAIL"))</x:f>
      </x:c>
      <x:c r="J197" s="51"/>
      <x:c r="K197" s="51"/>
      <x:c r="L197" s="9" t="str">
        <x:f>IF(OR(J197="",K197=""),"",J197+K197)</x:f>
      </x:c>
      <x:c r="M197" s="9" t="str">
        <x:f>IF(L197="","",IF(L197&lt;=4,"UNDER","OVER"))</x:f>
      </x:c>
      <x:c r="N197" s="9" t="str">
        <x:f>IF(E197="","",IF(LEFT(E197,2)="DA","PARIU U116,5","NO BET"))</x:f>
      </x:c>
      <x:c r="O197" s="9" t="str">
        <x:f>IF(M197="","",IF(AM197="PARIU U116,5",IF(M197="UNDER","SUCCES","EȘEC"),IF(M197="UNDER","FALS NEGATIV","EVITARE CORECTĂ")))</x:f>
      </x:c>
      <x:c r="P197" s="9" t="str">
        <x:f>IF(M197="","",IF(M197="UNDER",1,0))</x:f>
      </x:c>
      <x:c r="Q197" s="9" t="str">
        <x:f>IF(P197="","",(G197-P197)^2)</x:f>
      </x:c>
      <x:c r="R197" s="9" t="str">
        <x:f>IF(L197="","",L197-F197)</x:f>
      </x:c>
      <x:c r="S197" s="9" t="str">
        <x:f>IF(L197="","",IF(M197="UNDER","U116,5 reușit; total final "&amp;L197&amp;" vs λ="&amp;TEXT(F197,"0.00")&amp;".","Eșec U116,5; total final "&amp;L197&amp;" vs λ="&amp;TEXT(F197,"0.00")&amp;". Revizuiește Tail Risk, sursa λ și calibrarea."))</x:f>
      </x:c>
      <x:c r="T197" s="51"/>
      <x:c r="U197" s="51"/>
      <x:c r="V197" s="51"/>
      <x:c r="W197" s="61"/>
      <x:c r="X197" s="61"/>
      <x:c r="Y197" s="51"/>
      <x:c r="Z197" s="53"/>
      <x:c r="AA197" s="51"/>
      <x:c r="AB197" s="64" t="str">
        <x:f>IF(AC197="","",AC197)</x:f>
      </x:c>
      <x:c r="AC197" s="67"/>
      <x:c r="AD197" s="69" t="str">
        <x:f>IF(AE197="","",AE197)</x:f>
      </x:c>
      <x:c r="AE197" s="71"/>
      <x:c r="AF197" s="73" t="str">
        <x:f>IF(AC197="","",1/AC197)</x:f>
      </x:c>
      <x:c r="AG197" s="61"/>
      <x:c r="AH197" s="61"/>
      <x:c r="AI197" s="64" t="str">
        <x:f>IF(OR(AC197="",AG197=""),"",AC197*AG197-1)</x:f>
      </x:c>
      <x:c r="AJ197" s="75" t="str">
        <x:f>IF(OR(G197="",F197=""),"",IF(AND(G197&gt;='Calibrare v2'!$B$35,F197&lt;='Calibrare v2'!$B$34),"PASS","FAIL"))</x:f>
      </x:c>
      <x:c r="AK197" s="75" t="str">
        <x:f>IF(AL197="","",AL197)</x:f>
      </x:c>
      <x:c r="AL197" s="77"/>
      <x:c r="AM197" s="77"/>
      <x:c r="AN197" s="64" t="str">
        <x:f>IF(OR(AC197="",P197=""),"",(AC197-P197)^2)</x:f>
      </x:c>
      <x:c r="AO197" s="64" t="str">
        <x:f>IF(OR(AG197="",AH197=""),"",AG197/AH197-1)</x:f>
      </x:c>
      <x:c r="AP197" s="61"/>
      <x:c r="AQ197" s="73" t="n">
        <x:f>IF(OR(AM197&lt;&gt;"PARIU U4,5",M197="",AP197="",AG197=""),0,IF(M197="UNDER",AP197*(AG197-1),-AP197))</x:f>
        <x:v>0</x:v>
      </x:c>
      <x:c r="AR197" s="51"/>
    </x:row>
    <x:row r="198">
      <x:c r="A198" s="9" t="str">
        <x:f>IF(D198="","",ROW()-1)</x:f>
      </x:c>
      <x:c r="B198" s="51"/>
      <x:c r="C198" s="51"/>
      <x:c r="D198" s="51"/>
      <x:c r="E198" s="9" t="str">
        <x:f>IF(D198="","",IF(AND(F198&lt;='Calibrare v2'!$B$33,G198&gt;=0.86),"DA – FEZABIL",IF(G198&gt;=0.8,"DA – PRUDENT","NU – EVITĂ")))</x:f>
      </x:c>
      <x:c r="F198" s="16" t="str">
        <x:f>IF(OR(W198="",X198=""),"",W198+X198)</x:f>
      </x:c>
      <x:c r="G198" s="28" t="str">
        <x:f>IF(F198="","",EXP(-F198)*(1+F198+F198^2/2+F198^3/6+F198^4/24))</x:f>
      </x:c>
      <x:c r="H198" s="53"/>
      <x:c r="I198" s="9" t="str">
        <x:f>IF(F198="","",IF(F198&lt;='Calibrare v2'!$B$33,"PASS","FAIL"))</x:f>
      </x:c>
      <x:c r="J198" s="51"/>
      <x:c r="K198" s="51"/>
      <x:c r="L198" s="9" t="str">
        <x:f>IF(OR(J198="",K198=""),"",J198+K198)</x:f>
      </x:c>
      <x:c r="M198" s="9" t="str">
        <x:f>IF(L198="","",IF(L198&lt;=4,"UNDER","OVER"))</x:f>
      </x:c>
      <x:c r="N198" s="9" t="str">
        <x:f>IF(E198="","",IF(LEFT(E198,2)="DA","PARIU U117,5","NO BET"))</x:f>
      </x:c>
      <x:c r="O198" s="9" t="str">
        <x:f>IF(M198="","",IF(AM198="PARIU U117,5",IF(M198="UNDER","SUCCES","EȘEC"),IF(M198="UNDER","FALS NEGATIV","EVITARE CORECTĂ")))</x:f>
      </x:c>
      <x:c r="P198" s="9" t="str">
        <x:f>IF(M198="","",IF(M198="UNDER",1,0))</x:f>
      </x:c>
      <x:c r="Q198" s="9" t="str">
        <x:f>IF(P198="","",(G198-P198)^2)</x:f>
      </x:c>
      <x:c r="R198" s="9" t="str">
        <x:f>IF(L198="","",L198-F198)</x:f>
      </x:c>
      <x:c r="S198" s="9" t="str">
        <x:f>IF(L198="","",IF(M198="UNDER","U117,5 reușit; total final "&amp;L198&amp;" vs λ="&amp;TEXT(F198,"0.00")&amp;".","Eșec U117,5; total final "&amp;L198&amp;" vs λ="&amp;TEXT(F198,"0.00")&amp;". Revizuiește Tail Risk, sursa λ și calibrarea."))</x:f>
      </x:c>
      <x:c r="T198" s="51"/>
      <x:c r="U198" s="51"/>
      <x:c r="V198" s="51"/>
      <x:c r="W198" s="61"/>
      <x:c r="X198" s="61"/>
      <x:c r="Y198" s="51"/>
      <x:c r="Z198" s="53"/>
      <x:c r="AA198" s="51"/>
      <x:c r="AB198" s="64" t="str">
        <x:f>IF(AC198="","",AC198)</x:f>
      </x:c>
      <x:c r="AC198" s="67"/>
      <x:c r="AD198" s="69" t="str">
        <x:f>IF(AE198="","",AE198)</x:f>
      </x:c>
      <x:c r="AE198" s="71"/>
      <x:c r="AF198" s="73" t="str">
        <x:f>IF(AC198="","",1/AC198)</x:f>
      </x:c>
      <x:c r="AG198" s="61"/>
      <x:c r="AH198" s="61"/>
      <x:c r="AI198" s="64" t="str">
        <x:f>IF(OR(AC198="",AG198=""),"",AC198*AG198-1)</x:f>
      </x:c>
      <x:c r="AJ198" s="75" t="str">
        <x:f>IF(OR(G198="",F198=""),"",IF(AND(G198&gt;='Calibrare v2'!$B$35,F198&lt;='Calibrare v2'!$B$34),"PASS","FAIL"))</x:f>
      </x:c>
      <x:c r="AK198" s="75" t="str">
        <x:f>IF(AL198="","",AL198)</x:f>
      </x:c>
      <x:c r="AL198" s="77"/>
      <x:c r="AM198" s="77"/>
      <x:c r="AN198" s="64" t="str">
        <x:f>IF(OR(AC198="",P198=""),"",(AC198-P198)^2)</x:f>
      </x:c>
      <x:c r="AO198" s="64" t="str">
        <x:f>IF(OR(AG198="",AH198=""),"",AG198/AH198-1)</x:f>
      </x:c>
      <x:c r="AP198" s="61"/>
      <x:c r="AQ198" s="73" t="n">
        <x:f>IF(OR(AM198&lt;&gt;"PARIU U4,5",M198="",AP198="",AG198=""),0,IF(M198="UNDER",AP198*(AG198-1),-AP198))</x:f>
        <x:v>0</x:v>
      </x:c>
      <x:c r="AR198" s="51"/>
    </x:row>
    <x:row r="199">
      <x:c r="A199" s="9" t="str">
        <x:f>IF(D199="","",ROW()-1)</x:f>
      </x:c>
      <x:c r="B199" s="51"/>
      <x:c r="C199" s="51"/>
      <x:c r="D199" s="51"/>
      <x:c r="E199" s="9" t="str">
        <x:f>IF(D199="","",IF(AND(F199&lt;='Calibrare v2'!$B$33,G199&gt;=0.86),"DA – FEZABIL",IF(G199&gt;=0.8,"DA – PRUDENT","NU – EVITĂ")))</x:f>
      </x:c>
      <x:c r="F199" s="16" t="str">
        <x:f>IF(OR(W199="",X199=""),"",W199+X199)</x:f>
      </x:c>
      <x:c r="G199" s="28" t="str">
        <x:f>IF(F199="","",EXP(-F199)*(1+F199+F199^2/2+F199^3/6+F199^4/24))</x:f>
      </x:c>
      <x:c r="H199" s="53"/>
      <x:c r="I199" s="9" t="str">
        <x:f>IF(F199="","",IF(F199&lt;='Calibrare v2'!$B$33,"PASS","FAIL"))</x:f>
      </x:c>
      <x:c r="J199" s="51"/>
      <x:c r="K199" s="51"/>
      <x:c r="L199" s="9" t="str">
        <x:f>IF(OR(J199="",K199=""),"",J199+K199)</x:f>
      </x:c>
      <x:c r="M199" s="9" t="str">
        <x:f>IF(L199="","",IF(L199&lt;=4,"UNDER","OVER"))</x:f>
      </x:c>
      <x:c r="N199" s="9" t="str">
        <x:f>IF(E199="","",IF(LEFT(E199,2)="DA","PARIU U118,5","NO BET"))</x:f>
      </x:c>
      <x:c r="O199" s="9" t="str">
        <x:f>IF(M199="","",IF(AM199="PARIU U118,5",IF(M199="UNDER","SUCCES","EȘEC"),IF(M199="UNDER","FALS NEGATIV","EVITARE CORECTĂ")))</x:f>
      </x:c>
      <x:c r="P199" s="9" t="str">
        <x:f>IF(M199="","",IF(M199="UNDER",1,0))</x:f>
      </x:c>
      <x:c r="Q199" s="9" t="str">
        <x:f>IF(P199="","",(G199-P199)^2)</x:f>
      </x:c>
      <x:c r="R199" s="9" t="str">
        <x:f>IF(L199="","",L199-F199)</x:f>
      </x:c>
      <x:c r="S199" s="9" t="str">
        <x:f>IF(L199="","",IF(M199="UNDER","U118,5 reușit; total final "&amp;L199&amp;" vs λ="&amp;TEXT(F199,"0.00")&amp;".","Eșec U118,5; total final "&amp;L199&amp;" vs λ="&amp;TEXT(F199,"0.00")&amp;". Revizuiește Tail Risk, sursa λ și calibrarea."))</x:f>
      </x:c>
      <x:c r="T199" s="51"/>
      <x:c r="U199" s="51"/>
      <x:c r="V199" s="51"/>
      <x:c r="W199" s="61"/>
      <x:c r="X199" s="61"/>
      <x:c r="Y199" s="51"/>
      <x:c r="Z199" s="53"/>
      <x:c r="AA199" s="51"/>
      <x:c r="AB199" s="64" t="str">
        <x:f>IF(AC199="","",AC199)</x:f>
      </x:c>
      <x:c r="AC199" s="67"/>
      <x:c r="AD199" s="69" t="str">
        <x:f>IF(AE199="","",AE199)</x:f>
      </x:c>
      <x:c r="AE199" s="71"/>
      <x:c r="AF199" s="73" t="str">
        <x:f>IF(AC199="","",1/AC199)</x:f>
      </x:c>
      <x:c r="AG199" s="61"/>
      <x:c r="AH199" s="61"/>
      <x:c r="AI199" s="64" t="str">
        <x:f>IF(OR(AC199="",AG199=""),"",AC199*AG199-1)</x:f>
      </x:c>
      <x:c r="AJ199" s="75" t="str">
        <x:f>IF(OR(G199="",F199=""),"",IF(AND(G199&gt;='Calibrare v2'!$B$35,F199&lt;='Calibrare v2'!$B$34),"PASS","FAIL"))</x:f>
      </x:c>
      <x:c r="AK199" s="75" t="str">
        <x:f>IF(AL199="","",AL199)</x:f>
      </x:c>
      <x:c r="AL199" s="77"/>
      <x:c r="AM199" s="77"/>
      <x:c r="AN199" s="64" t="str">
        <x:f>IF(OR(AC199="",P199=""),"",(AC199-P199)^2)</x:f>
      </x:c>
      <x:c r="AO199" s="64" t="str">
        <x:f>IF(OR(AG199="",AH199=""),"",AG199/AH199-1)</x:f>
      </x:c>
      <x:c r="AP199" s="61"/>
      <x:c r="AQ199" s="73" t="n">
        <x:f>IF(OR(AM199&lt;&gt;"PARIU U4,5",M199="",AP199="",AG199=""),0,IF(M199="UNDER",AP199*(AG199-1),-AP199))</x:f>
        <x:v>0</x:v>
      </x:c>
      <x:c r="AR199" s="51"/>
    </x:row>
    <x:row r="200">
      <x:c r="A200" s="9" t="str">
        <x:f>IF(D200="","",ROW()-1)</x:f>
      </x:c>
      <x:c r="B200" s="51"/>
      <x:c r="C200" s="51"/>
      <x:c r="D200" s="51"/>
      <x:c r="E200" s="9" t="str">
        <x:f>IF(D200="","",IF(AND(F200&lt;='Calibrare v2'!$B$33,G200&gt;=0.86),"DA – FEZABIL",IF(G200&gt;=0.8,"DA – PRUDENT","NU – EVITĂ")))</x:f>
      </x:c>
      <x:c r="F200" s="16" t="str">
        <x:f>IF(OR(W200="",X200=""),"",W200+X200)</x:f>
      </x:c>
      <x:c r="G200" s="28" t="str">
        <x:f>IF(F200="","",EXP(-F200)*(1+F200+F200^2/2+F200^3/6+F200^4/24))</x:f>
      </x:c>
      <x:c r="H200" s="53"/>
      <x:c r="I200" s="9" t="str">
        <x:f>IF(F200="","",IF(F200&lt;='Calibrare v2'!$B$33,"PASS","FAIL"))</x:f>
      </x:c>
      <x:c r="J200" s="51"/>
      <x:c r="K200" s="51"/>
      <x:c r="L200" s="9" t="str">
        <x:f>IF(OR(J200="",K200=""),"",J200+K200)</x:f>
      </x:c>
      <x:c r="M200" s="9" t="str">
        <x:f>IF(L200="","",IF(L200&lt;=4,"UNDER","OVER"))</x:f>
      </x:c>
      <x:c r="N200" s="9" t="str">
        <x:f>IF(E200="","",IF(LEFT(E200,2)="DA","PARIU U119,5","NO BET"))</x:f>
      </x:c>
      <x:c r="O200" s="9" t="str">
        <x:f>IF(M200="","",IF(AM200="PARIU U119,5",IF(M200="UNDER","SUCCES","EȘEC"),IF(M200="UNDER","FALS NEGATIV","EVITARE CORECTĂ")))</x:f>
      </x:c>
      <x:c r="P200" s="9" t="str">
        <x:f>IF(M200="","",IF(M200="UNDER",1,0))</x:f>
      </x:c>
      <x:c r="Q200" s="9" t="str">
        <x:f>IF(P200="","",(G200-P200)^2)</x:f>
      </x:c>
      <x:c r="R200" s="9" t="str">
        <x:f>IF(L200="","",L200-F200)</x:f>
      </x:c>
      <x:c r="S200" s="9" t="str">
        <x:f>IF(L200="","",IF(M200="UNDER","U119,5 reușit; total final "&amp;L200&amp;" vs λ="&amp;TEXT(F200,"0.00")&amp;".","Eșec U119,5; total final "&amp;L200&amp;" vs λ="&amp;TEXT(F200,"0.00")&amp;". Revizuiește Tail Risk, sursa λ și calibrarea."))</x:f>
      </x:c>
      <x:c r="T200" s="51"/>
      <x:c r="U200" s="51"/>
      <x:c r="V200" s="51"/>
      <x:c r="W200" s="61"/>
      <x:c r="X200" s="61"/>
      <x:c r="Y200" s="51"/>
      <x:c r="Z200" s="53"/>
      <x:c r="AA200" s="51"/>
      <x:c r="AB200" s="64" t="str">
        <x:f>IF(AC200="","",AC200)</x:f>
      </x:c>
      <x:c r="AC200" s="67"/>
      <x:c r="AD200" s="69" t="str">
        <x:f>IF(AE200="","",AE200)</x:f>
      </x:c>
      <x:c r="AE200" s="71"/>
      <x:c r="AF200" s="73" t="str">
        <x:f>IF(AC200="","",1/AC200)</x:f>
      </x:c>
      <x:c r="AG200" s="61"/>
      <x:c r="AH200" s="61"/>
      <x:c r="AI200" s="64" t="str">
        <x:f>IF(OR(AC200="",AG200=""),"",AC200*AG200-1)</x:f>
      </x:c>
      <x:c r="AJ200" s="75" t="str">
        <x:f>IF(OR(G200="",F200=""),"",IF(AND(G200&gt;='Calibrare v2'!$B$35,F200&lt;='Calibrare v2'!$B$34),"PASS","FAIL"))</x:f>
      </x:c>
      <x:c r="AK200" s="75" t="str">
        <x:f>IF(AL200="","",AL200)</x:f>
      </x:c>
      <x:c r="AL200" s="77"/>
      <x:c r="AM200" s="77"/>
      <x:c r="AN200" s="64" t="str">
        <x:f>IF(OR(AC200="",P200=""),"",(AC200-P200)^2)</x:f>
      </x:c>
      <x:c r="AO200" s="64" t="str">
        <x:f>IF(OR(AG200="",AH200=""),"",AG200/AH200-1)</x:f>
      </x:c>
      <x:c r="AP200" s="61"/>
      <x:c r="AQ200" s="73" t="n">
        <x:f>IF(OR(AM200&lt;&gt;"PARIU U4,5",M200="",AP200="",AG200=""),0,IF(M200="UNDER",AP200*(AG200-1),-AP200))</x:f>
        <x:v>0</x:v>
      </x:c>
      <x:c r="AR200" s="51"/>
    </x:row>
    <x:row r="201">
      <x:c r="A201" s="9" t="str">
        <x:f>IF(D201="","",ROW()-1)</x:f>
      </x:c>
      <x:c r="B201" s="51"/>
      <x:c r="C201" s="51"/>
      <x:c r="D201" s="51"/>
      <x:c r="E201" s="9" t="str">
        <x:f>IF(D201="","",IF(AND(F201&lt;='Calibrare v2'!$B$33,G201&gt;=0.86),"DA – FEZABIL",IF(G201&gt;=0.8,"DA – PRUDENT","NU – EVITĂ")))</x:f>
      </x:c>
      <x:c r="F201" s="16" t="str">
        <x:f>IF(OR(W201="",X201=""),"",W201+X201)</x:f>
      </x:c>
      <x:c r="G201" s="28" t="str">
        <x:f>IF(F201="","",EXP(-F201)*(1+F201+F201^2/2+F201^3/6+F201^4/24))</x:f>
      </x:c>
      <x:c r="H201" s="53"/>
      <x:c r="I201" s="9" t="str">
        <x:f>IF(F201="","",IF(F201&lt;='Calibrare v2'!$B$33,"PASS","FAIL"))</x:f>
      </x:c>
      <x:c r="J201" s="51"/>
      <x:c r="K201" s="51"/>
      <x:c r="L201" s="9" t="str">
        <x:f>IF(OR(J201="",K201=""),"",J201+K201)</x:f>
      </x:c>
      <x:c r="M201" s="9" t="str">
        <x:f>IF(L201="","",IF(L201&lt;=4,"UNDER","OVER"))</x:f>
      </x:c>
      <x:c r="N201" s="9" t="str">
        <x:f>IF(E201="","",IF(LEFT(E201,2)="DA","PARIU U120,5","NO BET"))</x:f>
      </x:c>
      <x:c r="O201" s="9" t="str">
        <x:f>IF(M201="","",IF(AM201="PARIU U120,5",IF(M201="UNDER","SUCCES","EȘEC"),IF(M201="UNDER","FALS NEGATIV","EVITARE CORECTĂ")))</x:f>
      </x:c>
      <x:c r="P201" s="9" t="str">
        <x:f>IF(M201="","",IF(M201="UNDER",1,0))</x:f>
      </x:c>
      <x:c r="Q201" s="9" t="str">
        <x:f>IF(P201="","",(G201-P201)^2)</x:f>
      </x:c>
      <x:c r="R201" s="9" t="str">
        <x:f>IF(L201="","",L201-F201)</x:f>
      </x:c>
      <x:c r="S201" s="9" t="str">
        <x:f>IF(L201="","",IF(M201="UNDER","U120,5 reușit; total final "&amp;L201&amp;" vs λ="&amp;TEXT(F201,"0.00")&amp;".","Eșec U120,5; total final "&amp;L201&amp;" vs λ="&amp;TEXT(F201,"0.00")&amp;". Revizuiește Tail Risk, sursa λ și calibrarea."))</x:f>
      </x:c>
      <x:c r="T201" s="51"/>
      <x:c r="U201" s="51"/>
      <x:c r="V201" s="51"/>
      <x:c r="W201" s="61"/>
      <x:c r="X201" s="61"/>
      <x:c r="Y201" s="51"/>
      <x:c r="Z201" s="53"/>
      <x:c r="AA201" s="51"/>
      <x:c r="AB201" s="64" t="str">
        <x:f>IF(AC201="","",AC201)</x:f>
      </x:c>
      <x:c r="AC201" s="67"/>
      <x:c r="AD201" s="69" t="str">
        <x:f>IF(AE201="","",AE201)</x:f>
      </x:c>
      <x:c r="AE201" s="71"/>
      <x:c r="AF201" s="73" t="str">
        <x:f>IF(AC201="","",1/AC201)</x:f>
      </x:c>
      <x:c r="AG201" s="61"/>
      <x:c r="AH201" s="61"/>
      <x:c r="AI201" s="64" t="str">
        <x:f>IF(OR(AC201="",AG201=""),"",AC201*AG201-1)</x:f>
      </x:c>
      <x:c r="AJ201" s="75" t="str">
        <x:f>IF(OR(G201="",F201=""),"",IF(AND(G201&gt;='Calibrare v2'!$B$35,F201&lt;='Calibrare v2'!$B$34),"PASS","FAIL"))</x:f>
      </x:c>
      <x:c r="AK201" s="75" t="str">
        <x:f>IF(AL201="","",AL201)</x:f>
      </x:c>
      <x:c r="AL201" s="77"/>
      <x:c r="AM201" s="77"/>
      <x:c r="AN201" s="64" t="str">
        <x:f>IF(OR(AC201="",P201=""),"",(AC201-P201)^2)</x:f>
      </x:c>
      <x:c r="AO201" s="64" t="str">
        <x:f>IF(OR(AG201="",AH201=""),"",AG201/AH201-1)</x:f>
      </x:c>
      <x:c r="AP201" s="61"/>
      <x:c r="AQ201" s="73" t="n">
        <x:f>IF(OR(AM201&lt;&gt;"PARIU U4,5",M201="",AP201="",AG201=""),0,IF(M201="UNDER",AP201*(AG201-1),-AP201))</x:f>
        <x:v>0</x:v>
      </x:c>
      <x:c r="AR201" s="51"/>
    </x:row>
    <x:row r="202">
      <x:c r="A202" s="9" t="str">
        <x:f>IF(D202="","",ROW()-1)</x:f>
      </x:c>
      <x:c r="B202" s="51"/>
      <x:c r="C202" s="51"/>
      <x:c r="D202" s="51"/>
      <x:c r="E202" s="9" t="str">
        <x:f>IF(D202="","",IF(AND(F202&lt;='Calibrare v2'!$B$33,G202&gt;=0.86),"DA – FEZABIL",IF(G202&gt;=0.8,"DA – PRUDENT","NU – EVITĂ")))</x:f>
      </x:c>
      <x:c r="F202" s="16" t="str">
        <x:f>IF(OR(W202="",X202=""),"",W202+X202)</x:f>
      </x:c>
      <x:c r="G202" s="28" t="str">
        <x:f>IF(F202="","",EXP(-F202)*(1+F202+F202^2/2+F202^3/6+F202^4/24))</x:f>
      </x:c>
      <x:c r="H202" s="53"/>
      <x:c r="I202" s="9" t="str">
        <x:f>IF(F202="","",IF(F202&lt;='Calibrare v2'!$B$33,"PASS","FAIL"))</x:f>
      </x:c>
      <x:c r="J202" s="51"/>
      <x:c r="K202" s="51"/>
      <x:c r="L202" s="9" t="str">
        <x:f>IF(OR(J202="",K202=""),"",J202+K202)</x:f>
      </x:c>
      <x:c r="M202" s="9" t="str">
        <x:f>IF(L202="","",IF(L202&lt;=4,"UNDER","OVER"))</x:f>
      </x:c>
      <x:c r="N202" s="9" t="str">
        <x:f>IF(E202="","",IF(LEFT(E202,2)="DA","PARIU U121,5","NO BET"))</x:f>
      </x:c>
      <x:c r="O202" s="9" t="str">
        <x:f>IF(M202="","",IF(AM202="PARIU U121,5",IF(M202="UNDER","SUCCES","EȘEC"),IF(M202="UNDER","FALS NEGATIV","EVITARE CORECTĂ")))</x:f>
      </x:c>
      <x:c r="P202" s="9" t="str">
        <x:f>IF(M202="","",IF(M202="UNDER",1,0))</x:f>
      </x:c>
      <x:c r="Q202" s="9" t="str">
        <x:f>IF(P202="","",(G202-P202)^2)</x:f>
      </x:c>
      <x:c r="R202" s="9" t="str">
        <x:f>IF(L202="","",L202-F202)</x:f>
      </x:c>
      <x:c r="S202" s="9" t="str">
        <x:f>IF(L202="","",IF(M202="UNDER","U121,5 reușit; total final "&amp;L202&amp;" vs λ="&amp;TEXT(F202,"0.00")&amp;".","Eșec U121,5; total final "&amp;L202&amp;" vs λ="&amp;TEXT(F202,"0.00")&amp;". Revizuiește Tail Risk, sursa λ și calibrarea."))</x:f>
      </x:c>
      <x:c r="T202" s="51"/>
      <x:c r="U202" s="51"/>
      <x:c r="V202" s="51"/>
      <x:c r="W202" s="61"/>
      <x:c r="X202" s="61"/>
      <x:c r="Y202" s="51"/>
      <x:c r="Z202" s="53"/>
      <x:c r="AA202" s="51"/>
      <x:c r="AB202" s="64" t="str">
        <x:f>IF(AC202="","",AC202)</x:f>
      </x:c>
      <x:c r="AC202" s="67"/>
      <x:c r="AD202" s="69" t="str">
        <x:f>IF(AE202="","",AE202)</x:f>
      </x:c>
      <x:c r="AE202" s="71"/>
      <x:c r="AF202" s="73" t="str">
        <x:f>IF(AC202="","",1/AC202)</x:f>
      </x:c>
      <x:c r="AG202" s="61"/>
      <x:c r="AH202" s="61"/>
      <x:c r="AI202" s="64" t="str">
        <x:f>IF(OR(AC202="",AG202=""),"",AC202*AG202-1)</x:f>
      </x:c>
      <x:c r="AJ202" s="75" t="str">
        <x:f>IF(OR(G202="",F202=""),"",IF(AND(G202&gt;='Calibrare v2'!$B$35,F202&lt;='Calibrare v2'!$B$34),"PASS","FAIL"))</x:f>
      </x:c>
      <x:c r="AK202" s="75" t="str">
        <x:f>IF(AL202="","",AL202)</x:f>
      </x:c>
      <x:c r="AL202" s="77"/>
      <x:c r="AM202" s="77"/>
      <x:c r="AN202" s="64" t="str">
        <x:f>IF(OR(AC202="",P202=""),"",(AC202-P202)^2)</x:f>
      </x:c>
      <x:c r="AO202" s="64" t="str">
        <x:f>IF(OR(AG202="",AH202=""),"",AG202/AH202-1)</x:f>
      </x:c>
      <x:c r="AP202" s="61"/>
      <x:c r="AQ202" s="73" t="n">
        <x:f>IF(OR(AM202&lt;&gt;"PARIU U4,5",M202="",AP202="",AG202=""),0,IF(M202="UNDER",AP202*(AG202-1),-AP202))</x:f>
        <x:v>0</x:v>
      </x:c>
      <x:c r="AR202" s="51"/>
    </x:row>
    <x:row r="203">
      <x:c r="A203" s="9" t="str">
        <x:f>IF(D203="","",ROW()-1)</x:f>
      </x:c>
      <x:c r="B203" s="51"/>
      <x:c r="C203" s="51"/>
      <x:c r="D203" s="51"/>
      <x:c r="E203" s="9" t="str">
        <x:f>IF(D203="","",IF(AND(F203&lt;='Calibrare v2'!$B$33,G203&gt;=0.86),"DA – FEZABIL",IF(G203&gt;=0.8,"DA – PRUDENT","NU – EVITĂ")))</x:f>
      </x:c>
      <x:c r="F203" s="16" t="str">
        <x:f>IF(OR(W203="",X203=""),"",W203+X203)</x:f>
      </x:c>
      <x:c r="G203" s="28" t="str">
        <x:f>IF(F203="","",EXP(-F203)*(1+F203+F203^2/2+F203^3/6+F203^4/24))</x:f>
      </x:c>
      <x:c r="H203" s="53"/>
      <x:c r="I203" s="9" t="str">
        <x:f>IF(F203="","",IF(F203&lt;='Calibrare v2'!$B$33,"PASS","FAIL"))</x:f>
      </x:c>
      <x:c r="J203" s="51"/>
      <x:c r="K203" s="51"/>
      <x:c r="L203" s="9" t="str">
        <x:f>IF(OR(J203="",K203=""),"",J203+K203)</x:f>
      </x:c>
      <x:c r="M203" s="9" t="str">
        <x:f>IF(L203="","",IF(L203&lt;=4,"UNDER","OVER"))</x:f>
      </x:c>
      <x:c r="N203" s="9" t="str">
        <x:f>IF(E203="","",IF(LEFT(E203,2)="DA","PARIU U122,5","NO BET"))</x:f>
      </x:c>
      <x:c r="O203" s="9" t="str">
        <x:f>IF(M203="","",IF(AM203="PARIU U122,5",IF(M203="UNDER","SUCCES","EȘEC"),IF(M203="UNDER","FALS NEGATIV","EVITARE CORECTĂ")))</x:f>
      </x:c>
      <x:c r="P203" s="9" t="str">
        <x:f>IF(M203="","",IF(M203="UNDER",1,0))</x:f>
      </x:c>
      <x:c r="Q203" s="9" t="str">
        <x:f>IF(P203="","",(G203-P203)^2)</x:f>
      </x:c>
      <x:c r="R203" s="9" t="str">
        <x:f>IF(L203="","",L203-F203)</x:f>
      </x:c>
      <x:c r="S203" s="9" t="str">
        <x:f>IF(L203="","",IF(M203="UNDER","U122,5 reușit; total final "&amp;L203&amp;" vs λ="&amp;TEXT(F203,"0.00")&amp;".","Eșec U122,5; total final "&amp;L203&amp;" vs λ="&amp;TEXT(F203,"0.00")&amp;". Revizuiește Tail Risk, sursa λ și calibrarea."))</x:f>
      </x:c>
      <x:c r="T203" s="51"/>
      <x:c r="U203" s="51"/>
      <x:c r="V203" s="51"/>
      <x:c r="W203" s="61"/>
      <x:c r="X203" s="61"/>
      <x:c r="Y203" s="51"/>
      <x:c r="Z203" s="53"/>
      <x:c r="AA203" s="51"/>
      <x:c r="AB203" s="64" t="str">
        <x:f>IF(AC203="","",AC203)</x:f>
      </x:c>
      <x:c r="AC203" s="67"/>
      <x:c r="AD203" s="69" t="str">
        <x:f>IF(AE203="","",AE203)</x:f>
      </x:c>
      <x:c r="AE203" s="71"/>
      <x:c r="AF203" s="73" t="str">
        <x:f>IF(AC203="","",1/AC203)</x:f>
      </x:c>
      <x:c r="AG203" s="61"/>
      <x:c r="AH203" s="61"/>
      <x:c r="AI203" s="64" t="str">
        <x:f>IF(OR(AC203="",AG203=""),"",AC203*AG203-1)</x:f>
      </x:c>
      <x:c r="AJ203" s="75" t="str">
        <x:f>IF(OR(G203="",F203=""),"",IF(AND(G203&gt;='Calibrare v2'!$B$35,F203&lt;='Calibrare v2'!$B$34),"PASS","FAIL"))</x:f>
      </x:c>
      <x:c r="AK203" s="75" t="str">
        <x:f>IF(AL203="","",AL203)</x:f>
      </x:c>
      <x:c r="AL203" s="77"/>
      <x:c r="AM203" s="77"/>
      <x:c r="AN203" s="64" t="str">
        <x:f>IF(OR(AC203="",P203=""),"",(AC203-P203)^2)</x:f>
      </x:c>
      <x:c r="AO203" s="64" t="str">
        <x:f>IF(OR(AG203="",AH203=""),"",AG203/AH203-1)</x:f>
      </x:c>
      <x:c r="AP203" s="61"/>
      <x:c r="AQ203" s="73" t="n">
        <x:f>IF(OR(AM203&lt;&gt;"PARIU U4,5",M203="",AP203="",AG203=""),0,IF(M203="UNDER",AP203*(AG203-1),-AP203))</x:f>
        <x:v>0</x:v>
      </x:c>
      <x:c r="AR203" s="51"/>
    </x:row>
    <x:row r="204">
      <x:c r="A204" s="9" t="str">
        <x:f>IF(D204="","",ROW()-1)</x:f>
      </x:c>
      <x:c r="B204" s="51"/>
      <x:c r="C204" s="51"/>
      <x:c r="D204" s="51"/>
      <x:c r="E204" s="9" t="str">
        <x:f>IF(D204="","",IF(AND(F204&lt;='Calibrare v2'!$B$33,G204&gt;=0.86),"DA – FEZABIL",IF(G204&gt;=0.8,"DA – PRUDENT","NU – EVITĂ")))</x:f>
      </x:c>
      <x:c r="F204" s="16" t="str">
        <x:f>IF(OR(W204="",X204=""),"",W204+X204)</x:f>
      </x:c>
      <x:c r="G204" s="28" t="str">
        <x:f>IF(F204="","",EXP(-F204)*(1+F204+F204^2/2+F204^3/6+F204^4/24))</x:f>
      </x:c>
      <x:c r="H204" s="53"/>
      <x:c r="I204" s="9" t="str">
        <x:f>IF(F204="","",IF(F204&lt;='Calibrare v2'!$B$33,"PASS","FAIL"))</x:f>
      </x:c>
      <x:c r="J204" s="51"/>
      <x:c r="K204" s="51"/>
      <x:c r="L204" s="9" t="str">
        <x:f>IF(OR(J204="",K204=""),"",J204+K204)</x:f>
      </x:c>
      <x:c r="M204" s="9" t="str">
        <x:f>IF(L204="","",IF(L204&lt;=4,"UNDER","OVER"))</x:f>
      </x:c>
      <x:c r="N204" s="9" t="str">
        <x:f>IF(E204="","",IF(LEFT(E204,2)="DA","PARIU U123,5","NO BET"))</x:f>
      </x:c>
      <x:c r="O204" s="9" t="str">
        <x:f>IF(M204="","",IF(AM204="PARIU U123,5",IF(M204="UNDER","SUCCES","EȘEC"),IF(M204="UNDER","FALS NEGATIV","EVITARE CORECTĂ")))</x:f>
      </x:c>
      <x:c r="P204" s="9" t="str">
        <x:f>IF(M204="","",IF(M204="UNDER",1,0))</x:f>
      </x:c>
      <x:c r="Q204" s="9" t="str">
        <x:f>IF(P204="","",(G204-P204)^2)</x:f>
      </x:c>
      <x:c r="R204" s="9" t="str">
        <x:f>IF(L204="","",L204-F204)</x:f>
      </x:c>
      <x:c r="S204" s="9" t="str">
        <x:f>IF(L204="","",IF(M204="UNDER","U123,5 reușit; total final "&amp;L204&amp;" vs λ="&amp;TEXT(F204,"0.00")&amp;".","Eșec U123,5; total final "&amp;L204&amp;" vs λ="&amp;TEXT(F204,"0.00")&amp;". Revizuiește Tail Risk, sursa λ și calibrarea."))</x:f>
      </x:c>
      <x:c r="T204" s="51"/>
      <x:c r="U204" s="51"/>
      <x:c r="V204" s="51"/>
      <x:c r="W204" s="61"/>
      <x:c r="X204" s="61"/>
      <x:c r="Y204" s="51"/>
      <x:c r="Z204" s="53"/>
      <x:c r="AA204" s="51"/>
      <x:c r="AB204" s="64" t="str">
        <x:f>IF(AC204="","",AC204)</x:f>
      </x:c>
      <x:c r="AC204" s="67"/>
      <x:c r="AD204" s="69" t="str">
        <x:f>IF(AE204="","",AE204)</x:f>
      </x:c>
      <x:c r="AE204" s="71"/>
      <x:c r="AF204" s="73" t="str">
        <x:f>IF(AC204="","",1/AC204)</x:f>
      </x:c>
      <x:c r="AG204" s="61"/>
      <x:c r="AH204" s="61"/>
      <x:c r="AI204" s="64" t="str">
        <x:f>IF(OR(AC204="",AG204=""),"",AC204*AG204-1)</x:f>
      </x:c>
      <x:c r="AJ204" s="75" t="str">
        <x:f>IF(OR(G204="",F204=""),"",IF(AND(G204&gt;='Calibrare v2'!$B$35,F204&lt;='Calibrare v2'!$B$34),"PASS","FAIL"))</x:f>
      </x:c>
      <x:c r="AK204" s="75" t="str">
        <x:f>IF(AL204="","",AL204)</x:f>
      </x:c>
      <x:c r="AL204" s="77"/>
      <x:c r="AM204" s="77"/>
      <x:c r="AN204" s="64" t="str">
        <x:f>IF(OR(AC204="",P204=""),"",(AC204-P204)^2)</x:f>
      </x:c>
      <x:c r="AO204" s="64" t="str">
        <x:f>IF(OR(AG204="",AH204=""),"",AG204/AH204-1)</x:f>
      </x:c>
      <x:c r="AP204" s="61"/>
      <x:c r="AQ204" s="73" t="n">
        <x:f>IF(OR(AM204&lt;&gt;"PARIU U4,5",M204="",AP204="",AG204=""),0,IF(M204="UNDER",AP204*(AG204-1),-AP204))</x:f>
        <x:v>0</x:v>
      </x:c>
      <x:c r="AR204" s="51"/>
    </x:row>
    <x:row r="205">
      <x:c r="A205" s="9" t="str">
        <x:f>IF(D205="","",ROW()-1)</x:f>
      </x:c>
      <x:c r="B205" s="51"/>
      <x:c r="C205" s="51"/>
      <x:c r="D205" s="51"/>
      <x:c r="E205" s="9" t="str">
        <x:f>IF(D205="","",IF(AND(F205&lt;='Calibrare v2'!$B$33,G205&gt;=0.86),"DA – FEZABIL",IF(G205&gt;=0.8,"DA – PRUDENT","NU – EVITĂ")))</x:f>
      </x:c>
      <x:c r="F205" s="16" t="str">
        <x:f>IF(OR(W205="",X205=""),"",W205+X205)</x:f>
      </x:c>
      <x:c r="G205" s="28" t="str">
        <x:f>IF(F205="","",EXP(-F205)*(1+F205+F205^2/2+F205^3/6+F205^4/24))</x:f>
      </x:c>
      <x:c r="H205" s="53"/>
      <x:c r="I205" s="9" t="str">
        <x:f>IF(F205="","",IF(F205&lt;='Calibrare v2'!$B$33,"PASS","FAIL"))</x:f>
      </x:c>
      <x:c r="J205" s="51"/>
      <x:c r="K205" s="51"/>
      <x:c r="L205" s="9" t="str">
        <x:f>IF(OR(J205="",K205=""),"",J205+K205)</x:f>
      </x:c>
      <x:c r="M205" s="9" t="str">
        <x:f>IF(L205="","",IF(L205&lt;=4,"UNDER","OVER"))</x:f>
      </x:c>
      <x:c r="N205" s="9" t="str">
        <x:f>IF(E205="","",IF(LEFT(E205,2)="DA","PARIU U124,5","NO BET"))</x:f>
      </x:c>
      <x:c r="O205" s="9" t="str">
        <x:f>IF(M205="","",IF(AM205="PARIU U124,5",IF(M205="UNDER","SUCCES","EȘEC"),IF(M205="UNDER","FALS NEGATIV","EVITARE CORECTĂ")))</x:f>
      </x:c>
      <x:c r="P205" s="9" t="str">
        <x:f>IF(M205="","",IF(M205="UNDER",1,0))</x:f>
      </x:c>
      <x:c r="Q205" s="9" t="str">
        <x:f>IF(P205="","",(G205-P205)^2)</x:f>
      </x:c>
      <x:c r="R205" s="9" t="str">
        <x:f>IF(L205="","",L205-F205)</x:f>
      </x:c>
      <x:c r="S205" s="9" t="str">
        <x:f>IF(L205="","",IF(M205="UNDER","U124,5 reușit; total final "&amp;L205&amp;" vs λ="&amp;TEXT(F205,"0.00")&amp;".","Eșec U124,5; total final "&amp;L205&amp;" vs λ="&amp;TEXT(F205,"0.00")&amp;". Revizuiește Tail Risk, sursa λ și calibrarea."))</x:f>
      </x:c>
      <x:c r="T205" s="51"/>
      <x:c r="U205" s="51"/>
      <x:c r="V205" s="51"/>
      <x:c r="W205" s="61"/>
      <x:c r="X205" s="61"/>
      <x:c r="Y205" s="51"/>
      <x:c r="Z205" s="53"/>
      <x:c r="AA205" s="51"/>
      <x:c r="AB205" s="64" t="str">
        <x:f>IF(AC205="","",AC205)</x:f>
      </x:c>
      <x:c r="AC205" s="67"/>
      <x:c r="AD205" s="69" t="str">
        <x:f>IF(AE205="","",AE205)</x:f>
      </x:c>
      <x:c r="AE205" s="71"/>
      <x:c r="AF205" s="73" t="str">
        <x:f>IF(AC205="","",1/AC205)</x:f>
      </x:c>
      <x:c r="AG205" s="61"/>
      <x:c r="AH205" s="61"/>
      <x:c r="AI205" s="64" t="str">
        <x:f>IF(OR(AC205="",AG205=""),"",AC205*AG205-1)</x:f>
      </x:c>
      <x:c r="AJ205" s="75" t="str">
        <x:f>IF(OR(G205="",F205=""),"",IF(AND(G205&gt;='Calibrare v2'!$B$35,F205&lt;='Calibrare v2'!$B$34),"PASS","FAIL"))</x:f>
      </x:c>
      <x:c r="AK205" s="75" t="str">
        <x:f>IF(AL205="","",AL205)</x:f>
      </x:c>
      <x:c r="AL205" s="77"/>
      <x:c r="AM205" s="77"/>
      <x:c r="AN205" s="64" t="str">
        <x:f>IF(OR(AC205="",P205=""),"",(AC205-P205)^2)</x:f>
      </x:c>
      <x:c r="AO205" s="64" t="str">
        <x:f>IF(OR(AG205="",AH205=""),"",AG205/AH205-1)</x:f>
      </x:c>
      <x:c r="AP205" s="61"/>
      <x:c r="AQ205" s="73" t="n">
        <x:f>IF(OR(AM205&lt;&gt;"PARIU U4,5",M205="",AP205="",AG205=""),0,IF(M205="UNDER",AP205*(AG205-1),-AP205))</x:f>
        <x:v>0</x:v>
      </x:c>
      <x:c r="AR205" s="51"/>
    </x:row>
    <x:row r="206">
      <x:c r="A206" s="9" t="str">
        <x:f>IF(D206="","",ROW()-1)</x:f>
      </x:c>
      <x:c r="B206" s="51"/>
      <x:c r="C206" s="51"/>
      <x:c r="D206" s="51"/>
      <x:c r="E206" s="9" t="str">
        <x:f>IF(D206="","",IF(AND(F206&lt;='Calibrare v2'!$B$33,G206&gt;=0.86),"DA – FEZABIL",IF(G206&gt;=0.8,"DA – PRUDENT","NU – EVITĂ")))</x:f>
      </x:c>
      <x:c r="F206" s="16" t="str">
        <x:f>IF(OR(W206="",X206=""),"",W206+X206)</x:f>
      </x:c>
      <x:c r="G206" s="28" t="str">
        <x:f>IF(F206="","",EXP(-F206)*(1+F206+F206^2/2+F206^3/6+F206^4/24))</x:f>
      </x:c>
      <x:c r="H206" s="53"/>
      <x:c r="I206" s="9" t="str">
        <x:f>IF(F206="","",IF(F206&lt;='Calibrare v2'!$B$33,"PASS","FAIL"))</x:f>
      </x:c>
      <x:c r="J206" s="51"/>
      <x:c r="K206" s="51"/>
      <x:c r="L206" s="9" t="str">
        <x:f>IF(OR(J206="",K206=""),"",J206+K206)</x:f>
      </x:c>
      <x:c r="M206" s="9" t="str">
        <x:f>IF(L206="","",IF(L206&lt;=4,"UNDER","OVER"))</x:f>
      </x:c>
      <x:c r="N206" s="9" t="str">
        <x:f>IF(E206="","",IF(LEFT(E206,2)="DA","PARIU U125,5","NO BET"))</x:f>
      </x:c>
      <x:c r="O206" s="9" t="str">
        <x:f>IF(M206="","",IF(AM206="PARIU U125,5",IF(M206="UNDER","SUCCES","EȘEC"),IF(M206="UNDER","FALS NEGATIV","EVITARE CORECTĂ")))</x:f>
      </x:c>
      <x:c r="P206" s="9" t="str">
        <x:f>IF(M206="","",IF(M206="UNDER",1,0))</x:f>
      </x:c>
      <x:c r="Q206" s="9" t="str">
        <x:f>IF(P206="","",(G206-P206)^2)</x:f>
      </x:c>
      <x:c r="R206" s="9" t="str">
        <x:f>IF(L206="","",L206-F206)</x:f>
      </x:c>
      <x:c r="S206" s="9" t="str">
        <x:f>IF(L206="","",IF(M206="UNDER","U125,5 reușit; total final "&amp;L206&amp;" vs λ="&amp;TEXT(F206,"0.00")&amp;".","Eșec U125,5; total final "&amp;L206&amp;" vs λ="&amp;TEXT(F206,"0.00")&amp;". Revizuiește Tail Risk, sursa λ și calibrarea."))</x:f>
      </x:c>
      <x:c r="T206" s="51"/>
      <x:c r="U206" s="51"/>
      <x:c r="V206" s="51"/>
      <x:c r="W206" s="61"/>
      <x:c r="X206" s="61"/>
      <x:c r="Y206" s="51"/>
      <x:c r="Z206" s="53"/>
      <x:c r="AA206" s="51"/>
      <x:c r="AB206" s="64" t="str">
        <x:f>IF(AC206="","",AC206)</x:f>
      </x:c>
      <x:c r="AC206" s="67"/>
      <x:c r="AD206" s="69" t="str">
        <x:f>IF(AE206="","",AE206)</x:f>
      </x:c>
      <x:c r="AE206" s="71"/>
      <x:c r="AF206" s="73" t="str">
        <x:f>IF(AC206="","",1/AC206)</x:f>
      </x:c>
      <x:c r="AG206" s="61"/>
      <x:c r="AH206" s="61"/>
      <x:c r="AI206" s="64" t="str">
        <x:f>IF(OR(AC206="",AG206=""),"",AC206*AG206-1)</x:f>
      </x:c>
      <x:c r="AJ206" s="75" t="str">
        <x:f>IF(OR(G206="",F206=""),"",IF(AND(G206&gt;='Calibrare v2'!$B$35,F206&lt;='Calibrare v2'!$B$34),"PASS","FAIL"))</x:f>
      </x:c>
      <x:c r="AK206" s="75" t="str">
        <x:f>IF(AL206="","",AL206)</x:f>
      </x:c>
      <x:c r="AL206" s="77"/>
      <x:c r="AM206" s="77"/>
      <x:c r="AN206" s="64" t="str">
        <x:f>IF(OR(AC206="",P206=""),"",(AC206-P206)^2)</x:f>
      </x:c>
      <x:c r="AO206" s="64" t="str">
        <x:f>IF(OR(AG206="",AH206=""),"",AG206/AH206-1)</x:f>
      </x:c>
      <x:c r="AP206" s="61"/>
      <x:c r="AQ206" s="73" t="n">
        <x:f>IF(OR(AM206&lt;&gt;"PARIU U4,5",M206="",AP206="",AG206=""),0,IF(M206="UNDER",AP206*(AG206-1),-AP206))</x:f>
        <x:v>0</x:v>
      </x:c>
      <x:c r="AR206" s="51"/>
    </x:row>
    <x:row r="207">
      <x:c r="A207" s="9" t="str">
        <x:f>IF(D207="","",ROW()-1)</x:f>
      </x:c>
      <x:c r="B207" s="51"/>
      <x:c r="C207" s="51"/>
      <x:c r="D207" s="51"/>
      <x:c r="E207" s="9" t="str">
        <x:f>IF(D207="","",IF(AND(F207&lt;='Calibrare v2'!$B$33,G207&gt;=0.86),"DA – FEZABIL",IF(G207&gt;=0.8,"DA – PRUDENT","NU – EVITĂ")))</x:f>
      </x:c>
      <x:c r="F207" s="16" t="str">
        <x:f>IF(OR(W207="",X207=""),"",W207+X207)</x:f>
      </x:c>
      <x:c r="G207" s="28" t="str">
        <x:f>IF(F207="","",EXP(-F207)*(1+F207+F207^2/2+F207^3/6+F207^4/24))</x:f>
      </x:c>
      <x:c r="H207" s="53"/>
      <x:c r="I207" s="9" t="str">
        <x:f>IF(F207="","",IF(F207&lt;='Calibrare v2'!$B$33,"PASS","FAIL"))</x:f>
      </x:c>
      <x:c r="J207" s="51"/>
      <x:c r="K207" s="51"/>
      <x:c r="L207" s="9" t="str">
        <x:f>IF(OR(J207="",K207=""),"",J207+K207)</x:f>
      </x:c>
      <x:c r="M207" s="9" t="str">
        <x:f>IF(L207="","",IF(L207&lt;=4,"UNDER","OVER"))</x:f>
      </x:c>
      <x:c r="N207" s="9" t="str">
        <x:f>IF(E207="","",IF(LEFT(E207,2)="DA","PARIU U126,5","NO BET"))</x:f>
      </x:c>
      <x:c r="O207" s="9" t="str">
        <x:f>IF(M207="","",IF(AM207="PARIU U126,5",IF(M207="UNDER","SUCCES","EȘEC"),IF(M207="UNDER","FALS NEGATIV","EVITARE CORECTĂ")))</x:f>
      </x:c>
      <x:c r="P207" s="9" t="str">
        <x:f>IF(M207="","",IF(M207="UNDER",1,0))</x:f>
      </x:c>
      <x:c r="Q207" s="9" t="str">
        <x:f>IF(P207="","",(G207-P207)^2)</x:f>
      </x:c>
      <x:c r="R207" s="9" t="str">
        <x:f>IF(L207="","",L207-F207)</x:f>
      </x:c>
      <x:c r="S207" s="9" t="str">
        <x:f>IF(L207="","",IF(M207="UNDER","U126,5 reușit; total final "&amp;L207&amp;" vs λ="&amp;TEXT(F207,"0.00")&amp;".","Eșec U126,5; total final "&amp;L207&amp;" vs λ="&amp;TEXT(F207,"0.00")&amp;". Revizuiește Tail Risk, sursa λ și calibrarea."))</x:f>
      </x:c>
      <x:c r="T207" s="51"/>
      <x:c r="U207" s="51"/>
      <x:c r="V207" s="51"/>
      <x:c r="W207" s="61"/>
      <x:c r="X207" s="61"/>
      <x:c r="Y207" s="51"/>
      <x:c r="Z207" s="53"/>
      <x:c r="AA207" s="51"/>
      <x:c r="AB207" s="64" t="str">
        <x:f>IF(AC207="","",AC207)</x:f>
      </x:c>
      <x:c r="AC207" s="67"/>
      <x:c r="AD207" s="69" t="str">
        <x:f>IF(AE207="","",AE207)</x:f>
      </x:c>
      <x:c r="AE207" s="71"/>
      <x:c r="AF207" s="73" t="str">
        <x:f>IF(AC207="","",1/AC207)</x:f>
      </x:c>
      <x:c r="AG207" s="61"/>
      <x:c r="AH207" s="61"/>
      <x:c r="AI207" s="64" t="str">
        <x:f>IF(OR(AC207="",AG207=""),"",AC207*AG207-1)</x:f>
      </x:c>
      <x:c r="AJ207" s="75" t="str">
        <x:f>IF(OR(G207="",F207=""),"",IF(AND(G207&gt;='Calibrare v2'!$B$35,F207&lt;='Calibrare v2'!$B$34),"PASS","FAIL"))</x:f>
      </x:c>
      <x:c r="AK207" s="75" t="str">
        <x:f>IF(AL207="","",AL207)</x:f>
      </x:c>
      <x:c r="AL207" s="77"/>
      <x:c r="AM207" s="77"/>
      <x:c r="AN207" s="64" t="str">
        <x:f>IF(OR(AC207="",P207=""),"",(AC207-P207)^2)</x:f>
      </x:c>
      <x:c r="AO207" s="64" t="str">
        <x:f>IF(OR(AG207="",AH207=""),"",AG207/AH207-1)</x:f>
      </x:c>
      <x:c r="AP207" s="61"/>
      <x:c r="AQ207" s="73" t="n">
        <x:f>IF(OR(AM207&lt;&gt;"PARIU U4,5",M207="",AP207="",AG207=""),0,IF(M207="UNDER",AP207*(AG207-1),-AP207))</x:f>
        <x:v>0</x:v>
      </x:c>
      <x:c r="AR207" s="51"/>
    </x:row>
    <x:row r="208">
      <x:c r="A208" s="9" t="str">
        <x:f>IF(D208="","",ROW()-1)</x:f>
      </x:c>
      <x:c r="B208" s="51"/>
      <x:c r="C208" s="51"/>
      <x:c r="D208" s="51"/>
      <x:c r="E208" s="9" t="str">
        <x:f>IF(D208="","",IF(AND(F208&lt;='Calibrare v2'!$B$33,G208&gt;=0.86),"DA – FEZABIL",IF(G208&gt;=0.8,"DA – PRUDENT","NU – EVITĂ")))</x:f>
      </x:c>
      <x:c r="F208" s="16" t="str">
        <x:f>IF(OR(W208="",X208=""),"",W208+X208)</x:f>
      </x:c>
      <x:c r="G208" s="28" t="str">
        <x:f>IF(F208="","",EXP(-F208)*(1+F208+F208^2/2+F208^3/6+F208^4/24))</x:f>
      </x:c>
      <x:c r="H208" s="53"/>
      <x:c r="I208" s="9" t="str">
        <x:f>IF(F208="","",IF(F208&lt;='Calibrare v2'!$B$33,"PASS","FAIL"))</x:f>
      </x:c>
      <x:c r="J208" s="51"/>
      <x:c r="K208" s="51"/>
      <x:c r="L208" s="9" t="str">
        <x:f>IF(OR(J208="",K208=""),"",J208+K208)</x:f>
      </x:c>
      <x:c r="M208" s="9" t="str">
        <x:f>IF(L208="","",IF(L208&lt;=4,"UNDER","OVER"))</x:f>
      </x:c>
      <x:c r="N208" s="9" t="str">
        <x:f>IF(E208="","",IF(LEFT(E208,2)="DA","PARIU U127,5","NO BET"))</x:f>
      </x:c>
      <x:c r="O208" s="9" t="str">
        <x:f>IF(M208="","",IF(AM208="PARIU U127,5",IF(M208="UNDER","SUCCES","EȘEC"),IF(M208="UNDER","FALS NEGATIV","EVITARE CORECTĂ")))</x:f>
      </x:c>
      <x:c r="P208" s="9" t="str">
        <x:f>IF(M208="","",IF(M208="UNDER",1,0))</x:f>
      </x:c>
      <x:c r="Q208" s="9" t="str">
        <x:f>IF(P208="","",(G208-P208)^2)</x:f>
      </x:c>
      <x:c r="R208" s="9" t="str">
        <x:f>IF(L208="","",L208-F208)</x:f>
      </x:c>
      <x:c r="S208" s="9" t="str">
        <x:f>IF(L208="","",IF(M208="UNDER","U127,5 reușit; total final "&amp;L208&amp;" vs λ="&amp;TEXT(F208,"0.00")&amp;".","Eșec U127,5; total final "&amp;L208&amp;" vs λ="&amp;TEXT(F208,"0.00")&amp;". Revizuiește Tail Risk, sursa λ și calibrarea."))</x:f>
      </x:c>
      <x:c r="T208" s="51"/>
      <x:c r="U208" s="51"/>
      <x:c r="V208" s="51"/>
      <x:c r="W208" s="61"/>
      <x:c r="X208" s="61"/>
      <x:c r="Y208" s="51"/>
      <x:c r="Z208" s="53"/>
      <x:c r="AA208" s="51"/>
      <x:c r="AB208" s="64" t="str">
        <x:f>IF(AC208="","",AC208)</x:f>
      </x:c>
      <x:c r="AC208" s="67"/>
      <x:c r="AD208" s="69" t="str">
        <x:f>IF(AE208="","",AE208)</x:f>
      </x:c>
      <x:c r="AE208" s="71"/>
      <x:c r="AF208" s="73" t="str">
        <x:f>IF(AC208="","",1/AC208)</x:f>
      </x:c>
      <x:c r="AG208" s="61"/>
      <x:c r="AH208" s="61"/>
      <x:c r="AI208" s="64" t="str">
        <x:f>IF(OR(AC208="",AG208=""),"",AC208*AG208-1)</x:f>
      </x:c>
      <x:c r="AJ208" s="75" t="str">
        <x:f>IF(OR(G208="",F208=""),"",IF(AND(G208&gt;='Calibrare v2'!$B$35,F208&lt;='Calibrare v2'!$B$34),"PASS","FAIL"))</x:f>
      </x:c>
      <x:c r="AK208" s="75" t="str">
        <x:f>IF(AL208="","",AL208)</x:f>
      </x:c>
      <x:c r="AL208" s="77"/>
      <x:c r="AM208" s="77"/>
      <x:c r="AN208" s="64" t="str">
        <x:f>IF(OR(AC208="",P208=""),"",(AC208-P208)^2)</x:f>
      </x:c>
      <x:c r="AO208" s="64" t="str">
        <x:f>IF(OR(AG208="",AH208=""),"",AG208/AH208-1)</x:f>
      </x:c>
      <x:c r="AP208" s="61"/>
      <x:c r="AQ208" s="73" t="n">
        <x:f>IF(OR(AM208&lt;&gt;"PARIU U4,5",M208="",AP208="",AG208=""),0,IF(M208="UNDER",AP208*(AG208-1),-AP208))</x:f>
        <x:v>0</x:v>
      </x:c>
      <x:c r="AR208" s="51"/>
    </x:row>
    <x:row r="209">
      <x:c r="A209" s="9" t="str">
        <x:f>IF(D209="","",ROW()-1)</x:f>
      </x:c>
      <x:c r="B209" s="51"/>
      <x:c r="C209" s="51"/>
      <x:c r="D209" s="51"/>
      <x:c r="E209" s="9" t="str">
        <x:f>IF(D209="","",IF(AND(F209&lt;='Calibrare v2'!$B$33,G209&gt;=0.86),"DA – FEZABIL",IF(G209&gt;=0.8,"DA – PRUDENT","NU – EVITĂ")))</x:f>
      </x:c>
      <x:c r="F209" s="16" t="str">
        <x:f>IF(OR(W209="",X209=""),"",W209+X209)</x:f>
      </x:c>
      <x:c r="G209" s="28" t="str">
        <x:f>IF(F209="","",EXP(-F209)*(1+F209+F209^2/2+F209^3/6+F209^4/24))</x:f>
      </x:c>
      <x:c r="H209" s="53"/>
      <x:c r="I209" s="9" t="str">
        <x:f>IF(F209="","",IF(F209&lt;='Calibrare v2'!$B$33,"PASS","FAIL"))</x:f>
      </x:c>
      <x:c r="J209" s="51"/>
      <x:c r="K209" s="51"/>
      <x:c r="L209" s="9" t="str">
        <x:f>IF(OR(J209="",K209=""),"",J209+K209)</x:f>
      </x:c>
      <x:c r="M209" s="9" t="str">
        <x:f>IF(L209="","",IF(L209&lt;=4,"UNDER","OVER"))</x:f>
      </x:c>
      <x:c r="N209" s="9" t="str">
        <x:f>IF(E209="","",IF(LEFT(E209,2)="DA","PARIU U128,5","NO BET"))</x:f>
      </x:c>
      <x:c r="O209" s="9" t="str">
        <x:f>IF(M209="","",IF(AM209="PARIU U128,5",IF(M209="UNDER","SUCCES","EȘEC"),IF(M209="UNDER","FALS NEGATIV","EVITARE CORECTĂ")))</x:f>
      </x:c>
      <x:c r="P209" s="9" t="str">
        <x:f>IF(M209="","",IF(M209="UNDER",1,0))</x:f>
      </x:c>
      <x:c r="Q209" s="9" t="str">
        <x:f>IF(P209="","",(G209-P209)^2)</x:f>
      </x:c>
      <x:c r="R209" s="9" t="str">
        <x:f>IF(L209="","",L209-F209)</x:f>
      </x:c>
      <x:c r="S209" s="9" t="str">
        <x:f>IF(L209="","",IF(M209="UNDER","U128,5 reușit; total final "&amp;L209&amp;" vs λ="&amp;TEXT(F209,"0.00")&amp;".","Eșec U128,5; total final "&amp;L209&amp;" vs λ="&amp;TEXT(F209,"0.00")&amp;". Revizuiește Tail Risk, sursa λ și calibrarea."))</x:f>
      </x:c>
      <x:c r="T209" s="51"/>
      <x:c r="U209" s="51"/>
      <x:c r="V209" s="51"/>
      <x:c r="W209" s="61"/>
      <x:c r="X209" s="61"/>
      <x:c r="Y209" s="51"/>
      <x:c r="Z209" s="53"/>
      <x:c r="AA209" s="51"/>
      <x:c r="AB209" s="64" t="str">
        <x:f>IF(AC209="","",AC209)</x:f>
      </x:c>
      <x:c r="AC209" s="67"/>
      <x:c r="AD209" s="69" t="str">
        <x:f>IF(AE209="","",AE209)</x:f>
      </x:c>
      <x:c r="AE209" s="71"/>
      <x:c r="AF209" s="73" t="str">
        <x:f>IF(AC209="","",1/AC209)</x:f>
      </x:c>
      <x:c r="AG209" s="61"/>
      <x:c r="AH209" s="61"/>
      <x:c r="AI209" s="64" t="str">
        <x:f>IF(OR(AC209="",AG209=""),"",AC209*AG209-1)</x:f>
      </x:c>
      <x:c r="AJ209" s="75" t="str">
        <x:f>IF(OR(G209="",F209=""),"",IF(AND(G209&gt;='Calibrare v2'!$B$35,F209&lt;='Calibrare v2'!$B$34),"PASS","FAIL"))</x:f>
      </x:c>
      <x:c r="AK209" s="75" t="str">
        <x:f>IF(AL209="","",AL209)</x:f>
      </x:c>
      <x:c r="AL209" s="77"/>
      <x:c r="AM209" s="77"/>
      <x:c r="AN209" s="64" t="str">
        <x:f>IF(OR(AC209="",P209=""),"",(AC209-P209)^2)</x:f>
      </x:c>
      <x:c r="AO209" s="64" t="str">
        <x:f>IF(OR(AG209="",AH209=""),"",AG209/AH209-1)</x:f>
      </x:c>
      <x:c r="AP209" s="61"/>
      <x:c r="AQ209" s="73" t="n">
        <x:f>IF(OR(AM209&lt;&gt;"PARIU U4,5",M209="",AP209="",AG209=""),0,IF(M209="UNDER",AP209*(AG209-1),-AP209))</x:f>
        <x:v>0</x:v>
      </x:c>
      <x:c r="AR209" s="51"/>
    </x:row>
    <x:row r="210">
      <x:c r="A210" s="9" t="str">
        <x:f>IF(D210="","",ROW()-1)</x:f>
      </x:c>
      <x:c r="B210" s="51"/>
      <x:c r="C210" s="51"/>
      <x:c r="D210" s="51"/>
      <x:c r="E210" s="9" t="str">
        <x:f>IF(D210="","",IF(AND(F210&lt;='Calibrare v2'!$B$33,G210&gt;=0.86),"DA – FEZABIL",IF(G210&gt;=0.8,"DA – PRUDENT","NU – EVITĂ")))</x:f>
      </x:c>
      <x:c r="F210" s="16" t="str">
        <x:f>IF(OR(W210="",X210=""),"",W210+X210)</x:f>
      </x:c>
      <x:c r="G210" s="28" t="str">
        <x:f>IF(F210="","",EXP(-F210)*(1+F210+F210^2/2+F210^3/6+F210^4/24))</x:f>
      </x:c>
      <x:c r="H210" s="53"/>
      <x:c r="I210" s="9" t="str">
        <x:f>IF(F210="","",IF(F210&lt;='Calibrare v2'!$B$33,"PASS","FAIL"))</x:f>
      </x:c>
      <x:c r="J210" s="51"/>
      <x:c r="K210" s="51"/>
      <x:c r="L210" s="9" t="str">
        <x:f>IF(OR(J210="",K210=""),"",J210+K210)</x:f>
      </x:c>
      <x:c r="M210" s="9" t="str">
        <x:f>IF(L210="","",IF(L210&lt;=4,"UNDER","OVER"))</x:f>
      </x:c>
      <x:c r="N210" s="9" t="str">
        <x:f>IF(E210="","",IF(LEFT(E210,2)="DA","PARIU U129,5","NO BET"))</x:f>
      </x:c>
      <x:c r="O210" s="9" t="str">
        <x:f>IF(M210="","",IF(AM210="PARIU U129,5",IF(M210="UNDER","SUCCES","EȘEC"),IF(M210="UNDER","FALS NEGATIV","EVITARE CORECTĂ")))</x:f>
      </x:c>
      <x:c r="P210" s="9" t="str">
        <x:f>IF(M210="","",IF(M210="UNDER",1,0))</x:f>
      </x:c>
      <x:c r="Q210" s="9" t="str">
        <x:f>IF(P210="","",(G210-P210)^2)</x:f>
      </x:c>
      <x:c r="R210" s="9" t="str">
        <x:f>IF(L210="","",L210-F210)</x:f>
      </x:c>
      <x:c r="S210" s="9" t="str">
        <x:f>IF(L210="","",IF(M210="UNDER","U129,5 reușit; total final "&amp;L210&amp;" vs λ="&amp;TEXT(F210,"0.00")&amp;".","Eșec U129,5; total final "&amp;L210&amp;" vs λ="&amp;TEXT(F210,"0.00")&amp;". Revizuiește Tail Risk, sursa λ și calibrarea."))</x:f>
      </x:c>
      <x:c r="T210" s="51"/>
      <x:c r="U210" s="51"/>
      <x:c r="V210" s="51"/>
      <x:c r="W210" s="61"/>
      <x:c r="X210" s="61"/>
      <x:c r="Y210" s="51"/>
      <x:c r="Z210" s="53"/>
      <x:c r="AA210" s="51"/>
      <x:c r="AB210" s="64" t="str">
        <x:f>IF(AC210="","",AC210)</x:f>
      </x:c>
      <x:c r="AC210" s="67"/>
      <x:c r="AD210" s="69" t="str">
        <x:f>IF(AE210="","",AE210)</x:f>
      </x:c>
      <x:c r="AE210" s="71"/>
      <x:c r="AF210" s="73" t="str">
        <x:f>IF(AC210="","",1/AC210)</x:f>
      </x:c>
      <x:c r="AG210" s="61"/>
      <x:c r="AH210" s="61"/>
      <x:c r="AI210" s="64" t="str">
        <x:f>IF(OR(AC210="",AG210=""),"",AC210*AG210-1)</x:f>
      </x:c>
      <x:c r="AJ210" s="75" t="str">
        <x:f>IF(OR(G210="",F210=""),"",IF(AND(G210&gt;='Calibrare v2'!$B$35,F210&lt;='Calibrare v2'!$B$34),"PASS","FAIL"))</x:f>
      </x:c>
      <x:c r="AK210" s="75" t="str">
        <x:f>IF(AL210="","",AL210)</x:f>
      </x:c>
      <x:c r="AL210" s="77"/>
      <x:c r="AM210" s="77"/>
      <x:c r="AN210" s="64" t="str">
        <x:f>IF(OR(AC210="",P210=""),"",(AC210-P210)^2)</x:f>
      </x:c>
      <x:c r="AO210" s="64" t="str">
        <x:f>IF(OR(AG210="",AH210=""),"",AG210/AH210-1)</x:f>
      </x:c>
      <x:c r="AP210" s="61"/>
      <x:c r="AQ210" s="73" t="n">
        <x:f>IF(OR(AM210&lt;&gt;"PARIU U4,5",M210="",AP210="",AG210=""),0,IF(M210="UNDER",AP210*(AG210-1),-AP210))</x:f>
        <x:v>0</x:v>
      </x:c>
      <x:c r="AR210" s="51"/>
    </x:row>
    <x:row r="211">
      <x:c r="A211" s="9" t="str">
        <x:f>IF(D211="","",ROW()-1)</x:f>
      </x:c>
      <x:c r="B211" s="51"/>
      <x:c r="C211" s="51"/>
      <x:c r="D211" s="51"/>
      <x:c r="E211" s="9" t="str">
        <x:f>IF(D211="","",IF(AND(F211&lt;='Calibrare v2'!$B$33,G211&gt;=0.86),"DA – FEZABIL",IF(G211&gt;=0.8,"DA – PRUDENT","NU – EVITĂ")))</x:f>
      </x:c>
      <x:c r="F211" s="16" t="str">
        <x:f>IF(OR(W211="",X211=""),"",W211+X211)</x:f>
      </x:c>
      <x:c r="G211" s="28" t="str">
        <x:f>IF(F211="","",EXP(-F211)*(1+F211+F211^2/2+F211^3/6+F211^4/24))</x:f>
      </x:c>
      <x:c r="H211" s="53"/>
      <x:c r="I211" s="9" t="str">
        <x:f>IF(F211="","",IF(F211&lt;='Calibrare v2'!$B$33,"PASS","FAIL"))</x:f>
      </x:c>
      <x:c r="J211" s="51"/>
      <x:c r="K211" s="51"/>
      <x:c r="L211" s="9" t="str">
        <x:f>IF(OR(J211="",K211=""),"",J211+K211)</x:f>
      </x:c>
      <x:c r="M211" s="9" t="str">
        <x:f>IF(L211="","",IF(L211&lt;=4,"UNDER","OVER"))</x:f>
      </x:c>
      <x:c r="N211" s="9" t="str">
        <x:f>IF(E211="","",IF(LEFT(E211,2)="DA","PARIU U130,5","NO BET"))</x:f>
      </x:c>
      <x:c r="O211" s="9" t="str">
        <x:f>IF(M211="","",IF(AM211="PARIU U130,5",IF(M211="UNDER","SUCCES","EȘEC"),IF(M211="UNDER","FALS NEGATIV","EVITARE CORECTĂ")))</x:f>
      </x:c>
      <x:c r="P211" s="9" t="str">
        <x:f>IF(M211="","",IF(M211="UNDER",1,0))</x:f>
      </x:c>
      <x:c r="Q211" s="9" t="str">
        <x:f>IF(P211="","",(G211-P211)^2)</x:f>
      </x:c>
      <x:c r="R211" s="9" t="str">
        <x:f>IF(L211="","",L211-F211)</x:f>
      </x:c>
      <x:c r="S211" s="9" t="str">
        <x:f>IF(L211="","",IF(M211="UNDER","U130,5 reușit; total final "&amp;L211&amp;" vs λ="&amp;TEXT(F211,"0.00")&amp;".","Eșec U130,5; total final "&amp;L211&amp;" vs λ="&amp;TEXT(F211,"0.00")&amp;". Revizuiește Tail Risk, sursa λ și calibrarea."))</x:f>
      </x:c>
      <x:c r="T211" s="51"/>
      <x:c r="U211" s="51"/>
      <x:c r="V211" s="51"/>
      <x:c r="W211" s="61"/>
      <x:c r="X211" s="61"/>
      <x:c r="Y211" s="51"/>
      <x:c r="Z211" s="53"/>
      <x:c r="AA211" s="51"/>
      <x:c r="AB211" s="64" t="str">
        <x:f>IF(AC211="","",AC211)</x:f>
      </x:c>
      <x:c r="AC211" s="67"/>
      <x:c r="AD211" s="69" t="str">
        <x:f>IF(AE211="","",AE211)</x:f>
      </x:c>
      <x:c r="AE211" s="71"/>
      <x:c r="AF211" s="73" t="str">
        <x:f>IF(AC211="","",1/AC211)</x:f>
      </x:c>
      <x:c r="AG211" s="61"/>
      <x:c r="AH211" s="61"/>
      <x:c r="AI211" s="64" t="str">
        <x:f>IF(OR(AC211="",AG211=""),"",AC211*AG211-1)</x:f>
      </x:c>
      <x:c r="AJ211" s="75" t="str">
        <x:f>IF(OR(G211="",F211=""),"",IF(AND(G211&gt;='Calibrare v2'!$B$35,F211&lt;='Calibrare v2'!$B$34),"PASS","FAIL"))</x:f>
      </x:c>
      <x:c r="AK211" s="75" t="str">
        <x:f>IF(AL211="","",AL211)</x:f>
      </x:c>
      <x:c r="AL211" s="77"/>
      <x:c r="AM211" s="77"/>
      <x:c r="AN211" s="64" t="str">
        <x:f>IF(OR(AC211="",P211=""),"",(AC211-P211)^2)</x:f>
      </x:c>
      <x:c r="AO211" s="64" t="str">
        <x:f>IF(OR(AG211="",AH211=""),"",AG211/AH211-1)</x:f>
      </x:c>
      <x:c r="AP211" s="61"/>
      <x:c r="AQ211" s="73" t="n">
        <x:f>IF(OR(AM211&lt;&gt;"PARIU U4,5",M211="",AP211="",AG211=""),0,IF(M211="UNDER",AP211*(AG211-1),-AP211))</x:f>
        <x:v>0</x:v>
      </x:c>
      <x:c r="AR211" s="51"/>
    </x:row>
    <x:row r="212">
      <x:c r="A212" s="9" t="str">
        <x:f>IF(D212="","",ROW()-1)</x:f>
      </x:c>
      <x:c r="B212" s="51"/>
      <x:c r="C212" s="51"/>
      <x:c r="D212" s="51"/>
      <x:c r="E212" s="9" t="str">
        <x:f>IF(D212="","",IF(AND(F212&lt;='Calibrare v2'!$B$33,G212&gt;=0.86),"DA – FEZABIL",IF(G212&gt;=0.8,"DA – PRUDENT","NU – EVITĂ")))</x:f>
      </x:c>
      <x:c r="F212" s="16" t="str">
        <x:f>IF(OR(W212="",X212=""),"",W212+X212)</x:f>
      </x:c>
      <x:c r="G212" s="28" t="str">
        <x:f>IF(F212="","",EXP(-F212)*(1+F212+F212^2/2+F212^3/6+F212^4/24))</x:f>
      </x:c>
      <x:c r="H212" s="53"/>
      <x:c r="I212" s="9" t="str">
        <x:f>IF(F212="","",IF(F212&lt;='Calibrare v2'!$B$33,"PASS","FAIL"))</x:f>
      </x:c>
      <x:c r="J212" s="51"/>
      <x:c r="K212" s="51"/>
      <x:c r="L212" s="9" t="str">
        <x:f>IF(OR(J212="",K212=""),"",J212+K212)</x:f>
      </x:c>
      <x:c r="M212" s="9" t="str">
        <x:f>IF(L212="","",IF(L212&lt;=4,"UNDER","OVER"))</x:f>
      </x:c>
      <x:c r="N212" s="9" t="str">
        <x:f>IF(E212="","",IF(LEFT(E212,2)="DA","PARIU U131,5","NO BET"))</x:f>
      </x:c>
      <x:c r="O212" s="9" t="str">
        <x:f>IF(M212="","",IF(AM212="PARIU U131,5",IF(M212="UNDER","SUCCES","EȘEC"),IF(M212="UNDER","FALS NEGATIV","EVITARE CORECTĂ")))</x:f>
      </x:c>
      <x:c r="P212" s="9" t="str">
        <x:f>IF(M212="","",IF(M212="UNDER",1,0))</x:f>
      </x:c>
      <x:c r="Q212" s="9" t="str">
        <x:f>IF(P212="","",(G212-P212)^2)</x:f>
      </x:c>
      <x:c r="R212" s="9" t="str">
        <x:f>IF(L212="","",L212-F212)</x:f>
      </x:c>
      <x:c r="S212" s="9" t="str">
        <x:f>IF(L212="","",IF(M212="UNDER","U131,5 reușit; total final "&amp;L212&amp;" vs λ="&amp;TEXT(F212,"0.00")&amp;".","Eșec U131,5; total final "&amp;L212&amp;" vs λ="&amp;TEXT(F212,"0.00")&amp;". Revizuiește Tail Risk, sursa λ și calibrarea."))</x:f>
      </x:c>
      <x:c r="T212" s="51"/>
      <x:c r="U212" s="51"/>
      <x:c r="V212" s="51"/>
      <x:c r="W212" s="61"/>
      <x:c r="X212" s="61"/>
      <x:c r="Y212" s="51"/>
      <x:c r="Z212" s="53"/>
      <x:c r="AA212" s="51"/>
      <x:c r="AB212" s="64" t="str">
        <x:f>IF(AC212="","",AC212)</x:f>
      </x:c>
      <x:c r="AC212" s="67"/>
      <x:c r="AD212" s="69" t="str">
        <x:f>IF(AE212="","",AE212)</x:f>
      </x:c>
      <x:c r="AE212" s="71"/>
      <x:c r="AF212" s="73" t="str">
        <x:f>IF(AC212="","",1/AC212)</x:f>
      </x:c>
      <x:c r="AG212" s="61"/>
      <x:c r="AH212" s="61"/>
      <x:c r="AI212" s="64" t="str">
        <x:f>IF(OR(AC212="",AG212=""),"",AC212*AG212-1)</x:f>
      </x:c>
      <x:c r="AJ212" s="75" t="str">
        <x:f>IF(OR(G212="",F212=""),"",IF(AND(G212&gt;='Calibrare v2'!$B$35,F212&lt;='Calibrare v2'!$B$34),"PASS","FAIL"))</x:f>
      </x:c>
      <x:c r="AK212" s="75" t="str">
        <x:f>IF(AL212="","",AL212)</x:f>
      </x:c>
      <x:c r="AL212" s="77"/>
      <x:c r="AM212" s="77"/>
      <x:c r="AN212" s="64" t="str">
        <x:f>IF(OR(AC212="",P212=""),"",(AC212-P212)^2)</x:f>
      </x:c>
      <x:c r="AO212" s="64" t="str">
        <x:f>IF(OR(AG212="",AH212=""),"",AG212/AH212-1)</x:f>
      </x:c>
      <x:c r="AP212" s="61"/>
      <x:c r="AQ212" s="73" t="n">
        <x:f>IF(OR(AM212&lt;&gt;"PARIU U4,5",M212="",AP212="",AG212=""),0,IF(M212="UNDER",AP212*(AG212-1),-AP212))</x:f>
        <x:v>0</x:v>
      </x:c>
      <x:c r="AR212" s="51"/>
    </x:row>
    <x:row r="213">
      <x:c r="A213" s="9" t="str">
        <x:f>IF(D213="","",ROW()-1)</x:f>
      </x:c>
      <x:c r="B213" s="51"/>
      <x:c r="C213" s="51"/>
      <x:c r="D213" s="51"/>
      <x:c r="E213" s="9" t="str">
        <x:f>IF(D213="","",IF(AND(F213&lt;='Calibrare v2'!$B$33,G213&gt;=0.86),"DA – FEZABIL",IF(G213&gt;=0.8,"DA – PRUDENT","NU – EVITĂ")))</x:f>
      </x:c>
      <x:c r="F213" s="16" t="str">
        <x:f>IF(OR(W213="",X213=""),"",W213+X213)</x:f>
      </x:c>
      <x:c r="G213" s="28" t="str">
        <x:f>IF(F213="","",EXP(-F213)*(1+F213+F213^2/2+F213^3/6+F213^4/24))</x:f>
      </x:c>
      <x:c r="H213" s="53"/>
      <x:c r="I213" s="9" t="str">
        <x:f>IF(F213="","",IF(F213&lt;='Calibrare v2'!$B$33,"PASS","FAIL"))</x:f>
      </x:c>
      <x:c r="J213" s="51"/>
      <x:c r="K213" s="51"/>
      <x:c r="L213" s="9" t="str">
        <x:f>IF(OR(J213="",K213=""),"",J213+K213)</x:f>
      </x:c>
      <x:c r="M213" s="9" t="str">
        <x:f>IF(L213="","",IF(L213&lt;=4,"UNDER","OVER"))</x:f>
      </x:c>
      <x:c r="N213" s="9" t="str">
        <x:f>IF(E213="","",IF(LEFT(E213,2)="DA","PARIU U132,5","NO BET"))</x:f>
      </x:c>
      <x:c r="O213" s="9" t="str">
        <x:f>IF(M213="","",IF(AM213="PARIU U132,5",IF(M213="UNDER","SUCCES","EȘEC"),IF(M213="UNDER","FALS NEGATIV","EVITARE CORECTĂ")))</x:f>
      </x:c>
      <x:c r="P213" s="9" t="str">
        <x:f>IF(M213="","",IF(M213="UNDER",1,0))</x:f>
      </x:c>
      <x:c r="Q213" s="9" t="str">
        <x:f>IF(P213="","",(G213-P213)^2)</x:f>
      </x:c>
      <x:c r="R213" s="9" t="str">
        <x:f>IF(L213="","",L213-F213)</x:f>
      </x:c>
      <x:c r="S213" s="9" t="str">
        <x:f>IF(L213="","",IF(M213="UNDER","U132,5 reușit; total final "&amp;L213&amp;" vs λ="&amp;TEXT(F213,"0.00")&amp;".","Eșec U132,5; total final "&amp;L213&amp;" vs λ="&amp;TEXT(F213,"0.00")&amp;". Revizuiește Tail Risk, sursa λ și calibrarea."))</x:f>
      </x:c>
      <x:c r="T213" s="51"/>
      <x:c r="U213" s="51"/>
      <x:c r="V213" s="51"/>
      <x:c r="W213" s="61"/>
      <x:c r="X213" s="61"/>
      <x:c r="Y213" s="51"/>
      <x:c r="Z213" s="53"/>
      <x:c r="AA213" s="51"/>
      <x:c r="AB213" s="64" t="str">
        <x:f>IF(AC213="","",AC213)</x:f>
      </x:c>
      <x:c r="AC213" s="67"/>
      <x:c r="AD213" s="69" t="str">
        <x:f>IF(AE213="","",AE213)</x:f>
      </x:c>
      <x:c r="AE213" s="71"/>
      <x:c r="AF213" s="73" t="str">
        <x:f>IF(AC213="","",1/AC213)</x:f>
      </x:c>
      <x:c r="AG213" s="61"/>
      <x:c r="AH213" s="61"/>
      <x:c r="AI213" s="64" t="str">
        <x:f>IF(OR(AC213="",AG213=""),"",AC213*AG213-1)</x:f>
      </x:c>
      <x:c r="AJ213" s="75" t="str">
        <x:f>IF(OR(G213="",F213=""),"",IF(AND(G213&gt;='Calibrare v2'!$B$35,F213&lt;='Calibrare v2'!$B$34),"PASS","FAIL"))</x:f>
      </x:c>
      <x:c r="AK213" s="75" t="str">
        <x:f>IF(AL213="","",AL213)</x:f>
      </x:c>
      <x:c r="AL213" s="77"/>
      <x:c r="AM213" s="77"/>
      <x:c r="AN213" s="64" t="str">
        <x:f>IF(OR(AC213="",P213=""),"",(AC213-P213)^2)</x:f>
      </x:c>
      <x:c r="AO213" s="64" t="str">
        <x:f>IF(OR(AG213="",AH213=""),"",AG213/AH213-1)</x:f>
      </x:c>
      <x:c r="AP213" s="61"/>
      <x:c r="AQ213" s="73" t="n">
        <x:f>IF(OR(AM213&lt;&gt;"PARIU U4,5",M213="",AP213="",AG213=""),0,IF(M213="UNDER",AP213*(AG213-1),-AP213))</x:f>
        <x:v>0</x:v>
      </x:c>
      <x:c r="AR213" s="51"/>
    </x:row>
    <x:row r="214">
      <x:c r="A214" s="9" t="str">
        <x:f>IF(D214="","",ROW()-1)</x:f>
      </x:c>
      <x:c r="B214" s="51"/>
      <x:c r="C214" s="51"/>
      <x:c r="D214" s="51"/>
      <x:c r="E214" s="9" t="str">
        <x:f>IF(D214="","",IF(AND(F214&lt;='Calibrare v2'!$B$33,G214&gt;=0.86),"DA – FEZABIL",IF(G214&gt;=0.8,"DA – PRUDENT","NU – EVITĂ")))</x:f>
      </x:c>
      <x:c r="F214" s="16" t="str">
        <x:f>IF(OR(W214="",X214=""),"",W214+X214)</x:f>
      </x:c>
      <x:c r="G214" s="28" t="str">
        <x:f>IF(F214="","",EXP(-F214)*(1+F214+F214^2/2+F214^3/6+F214^4/24))</x:f>
      </x:c>
      <x:c r="H214" s="53"/>
      <x:c r="I214" s="9" t="str">
        <x:f>IF(F214="","",IF(F214&lt;='Calibrare v2'!$B$33,"PASS","FAIL"))</x:f>
      </x:c>
      <x:c r="J214" s="51"/>
      <x:c r="K214" s="51"/>
      <x:c r="L214" s="9" t="str">
        <x:f>IF(OR(J214="",K214=""),"",J214+K214)</x:f>
      </x:c>
      <x:c r="M214" s="9" t="str">
        <x:f>IF(L214="","",IF(L214&lt;=4,"UNDER","OVER"))</x:f>
      </x:c>
      <x:c r="N214" s="9" t="str">
        <x:f>IF(E214="","",IF(LEFT(E214,2)="DA","PARIU U133,5","NO BET"))</x:f>
      </x:c>
      <x:c r="O214" s="9" t="str">
        <x:f>IF(M214="","",IF(AM214="PARIU U133,5",IF(M214="UNDER","SUCCES","EȘEC"),IF(M214="UNDER","FALS NEGATIV","EVITARE CORECTĂ")))</x:f>
      </x:c>
      <x:c r="P214" s="9" t="str">
        <x:f>IF(M214="","",IF(M214="UNDER",1,0))</x:f>
      </x:c>
      <x:c r="Q214" s="9" t="str">
        <x:f>IF(P214="","",(G214-P214)^2)</x:f>
      </x:c>
      <x:c r="R214" s="9" t="str">
        <x:f>IF(L214="","",L214-F214)</x:f>
      </x:c>
      <x:c r="S214" s="9" t="str">
        <x:f>IF(L214="","",IF(M214="UNDER","U133,5 reușit; total final "&amp;L214&amp;" vs λ="&amp;TEXT(F214,"0.00")&amp;".","Eșec U133,5; total final "&amp;L214&amp;" vs λ="&amp;TEXT(F214,"0.00")&amp;". Revizuiește Tail Risk, sursa λ și calibrarea."))</x:f>
      </x:c>
      <x:c r="T214" s="51"/>
      <x:c r="U214" s="51"/>
      <x:c r="V214" s="51"/>
      <x:c r="W214" s="61"/>
      <x:c r="X214" s="61"/>
      <x:c r="Y214" s="51"/>
      <x:c r="Z214" s="53"/>
      <x:c r="AA214" s="51"/>
      <x:c r="AB214" s="64" t="str">
        <x:f>IF(AC214="","",AC214)</x:f>
      </x:c>
      <x:c r="AC214" s="67"/>
      <x:c r="AD214" s="69" t="str">
        <x:f>IF(AE214="","",AE214)</x:f>
      </x:c>
      <x:c r="AE214" s="71"/>
      <x:c r="AF214" s="73" t="str">
        <x:f>IF(AC214="","",1/AC214)</x:f>
      </x:c>
      <x:c r="AG214" s="61"/>
      <x:c r="AH214" s="61"/>
      <x:c r="AI214" s="64" t="str">
        <x:f>IF(OR(AC214="",AG214=""),"",AC214*AG214-1)</x:f>
      </x:c>
      <x:c r="AJ214" s="75" t="str">
        <x:f>IF(OR(G214="",F214=""),"",IF(AND(G214&gt;='Calibrare v2'!$B$35,F214&lt;='Calibrare v2'!$B$34),"PASS","FAIL"))</x:f>
      </x:c>
      <x:c r="AK214" s="75" t="str">
        <x:f>IF(AL214="","",AL214)</x:f>
      </x:c>
      <x:c r="AL214" s="77"/>
      <x:c r="AM214" s="77"/>
      <x:c r="AN214" s="64" t="str">
        <x:f>IF(OR(AC214="",P214=""),"",(AC214-P214)^2)</x:f>
      </x:c>
      <x:c r="AO214" s="64" t="str">
        <x:f>IF(OR(AG214="",AH214=""),"",AG214/AH214-1)</x:f>
      </x:c>
      <x:c r="AP214" s="61"/>
      <x:c r="AQ214" s="73" t="n">
        <x:f>IF(OR(AM214&lt;&gt;"PARIU U4,5",M214="",AP214="",AG214=""),0,IF(M214="UNDER",AP214*(AG214-1),-AP214))</x:f>
        <x:v>0</x:v>
      </x:c>
      <x:c r="AR214" s="51"/>
    </x:row>
    <x:row r="215">
      <x:c r="A215" s="9" t="str">
        <x:f>IF(D215="","",ROW()-1)</x:f>
      </x:c>
      <x:c r="B215" s="51"/>
      <x:c r="C215" s="51"/>
      <x:c r="D215" s="51"/>
      <x:c r="E215" s="9" t="str">
        <x:f>IF(D215="","",IF(AND(F215&lt;='Calibrare v2'!$B$33,G215&gt;=0.86),"DA – FEZABIL",IF(G215&gt;=0.8,"DA – PRUDENT","NU – EVITĂ")))</x:f>
      </x:c>
      <x:c r="F215" s="16" t="str">
        <x:f>IF(OR(W215="",X215=""),"",W215+X215)</x:f>
      </x:c>
      <x:c r="G215" s="28" t="str">
        <x:f>IF(F215="","",EXP(-F215)*(1+F215+F215^2/2+F215^3/6+F215^4/24))</x:f>
      </x:c>
      <x:c r="H215" s="53"/>
      <x:c r="I215" s="9" t="str">
        <x:f>IF(F215="","",IF(F215&lt;='Calibrare v2'!$B$33,"PASS","FAIL"))</x:f>
      </x:c>
      <x:c r="J215" s="51"/>
      <x:c r="K215" s="51"/>
      <x:c r="L215" s="9" t="str">
        <x:f>IF(OR(J215="",K215=""),"",J215+K215)</x:f>
      </x:c>
      <x:c r="M215" s="9" t="str">
        <x:f>IF(L215="","",IF(L215&lt;=4,"UNDER","OVER"))</x:f>
      </x:c>
      <x:c r="N215" s="9" t="str">
        <x:f>IF(E215="","",IF(LEFT(E215,2)="DA","PARIU U134,5","NO BET"))</x:f>
      </x:c>
      <x:c r="O215" s="9" t="str">
        <x:f>IF(M215="","",IF(AM215="PARIU U134,5",IF(M215="UNDER","SUCCES","EȘEC"),IF(M215="UNDER","FALS NEGATIV","EVITARE CORECTĂ")))</x:f>
      </x:c>
      <x:c r="P215" s="9" t="str">
        <x:f>IF(M215="","",IF(M215="UNDER",1,0))</x:f>
      </x:c>
      <x:c r="Q215" s="9" t="str">
        <x:f>IF(P215="","",(G215-P215)^2)</x:f>
      </x:c>
      <x:c r="R215" s="9" t="str">
        <x:f>IF(L215="","",L215-F215)</x:f>
      </x:c>
      <x:c r="S215" s="9" t="str">
        <x:f>IF(L215="","",IF(M215="UNDER","U134,5 reușit; total final "&amp;L215&amp;" vs λ="&amp;TEXT(F215,"0.00")&amp;".","Eșec U134,5; total final "&amp;L215&amp;" vs λ="&amp;TEXT(F215,"0.00")&amp;". Revizuiește Tail Risk, sursa λ și calibrarea."))</x:f>
      </x:c>
      <x:c r="T215" s="51"/>
      <x:c r="U215" s="51"/>
      <x:c r="V215" s="51"/>
      <x:c r="W215" s="61"/>
      <x:c r="X215" s="61"/>
      <x:c r="Y215" s="51"/>
      <x:c r="Z215" s="53"/>
      <x:c r="AA215" s="51"/>
      <x:c r="AB215" s="64" t="str">
        <x:f>IF(AC215="","",AC215)</x:f>
      </x:c>
      <x:c r="AC215" s="67"/>
      <x:c r="AD215" s="69" t="str">
        <x:f>IF(AE215="","",AE215)</x:f>
      </x:c>
      <x:c r="AE215" s="71"/>
      <x:c r="AF215" s="73" t="str">
        <x:f>IF(AC215="","",1/AC215)</x:f>
      </x:c>
      <x:c r="AG215" s="61"/>
      <x:c r="AH215" s="61"/>
      <x:c r="AI215" s="64" t="str">
        <x:f>IF(OR(AC215="",AG215=""),"",AC215*AG215-1)</x:f>
      </x:c>
      <x:c r="AJ215" s="75" t="str">
        <x:f>IF(OR(G215="",F215=""),"",IF(AND(G215&gt;='Calibrare v2'!$B$35,F215&lt;='Calibrare v2'!$B$34),"PASS","FAIL"))</x:f>
      </x:c>
      <x:c r="AK215" s="75" t="str">
        <x:f>IF(AL215="","",AL215)</x:f>
      </x:c>
      <x:c r="AL215" s="77"/>
      <x:c r="AM215" s="77"/>
      <x:c r="AN215" s="64" t="str">
        <x:f>IF(OR(AC215="",P215=""),"",(AC215-P215)^2)</x:f>
      </x:c>
      <x:c r="AO215" s="64" t="str">
        <x:f>IF(OR(AG215="",AH215=""),"",AG215/AH215-1)</x:f>
      </x:c>
      <x:c r="AP215" s="61"/>
      <x:c r="AQ215" s="73" t="n">
        <x:f>IF(OR(AM215&lt;&gt;"PARIU U4,5",M215="",AP215="",AG215=""),0,IF(M215="UNDER",AP215*(AG215-1),-AP215))</x:f>
        <x:v>0</x:v>
      </x:c>
      <x:c r="AR215" s="51"/>
    </x:row>
    <x:row r="216">
      <x:c r="A216" s="9" t="str">
        <x:f>IF(D216="","",ROW()-1)</x:f>
      </x:c>
      <x:c r="B216" s="51"/>
      <x:c r="C216" s="51"/>
      <x:c r="D216" s="51"/>
      <x:c r="E216" s="9" t="str">
        <x:f>IF(D216="","",IF(AND(F216&lt;='Calibrare v2'!$B$33,G216&gt;=0.86),"DA – FEZABIL",IF(G216&gt;=0.8,"DA – PRUDENT","NU – EVITĂ")))</x:f>
      </x:c>
      <x:c r="F216" s="16" t="str">
        <x:f>IF(OR(W216="",X216=""),"",W216+X216)</x:f>
      </x:c>
      <x:c r="G216" s="28" t="str">
        <x:f>IF(F216="","",EXP(-F216)*(1+F216+F216^2/2+F216^3/6+F216^4/24))</x:f>
      </x:c>
      <x:c r="H216" s="53"/>
      <x:c r="I216" s="9" t="str">
        <x:f>IF(F216="","",IF(F216&lt;='Calibrare v2'!$B$33,"PASS","FAIL"))</x:f>
      </x:c>
      <x:c r="J216" s="51"/>
      <x:c r="K216" s="51"/>
      <x:c r="L216" s="9" t="str">
        <x:f>IF(OR(J216="",K216=""),"",J216+K216)</x:f>
      </x:c>
      <x:c r="M216" s="9" t="str">
        <x:f>IF(L216="","",IF(L216&lt;=4,"UNDER","OVER"))</x:f>
      </x:c>
      <x:c r="N216" s="9" t="str">
        <x:f>IF(E216="","",IF(LEFT(E216,2)="DA","PARIU U135,5","NO BET"))</x:f>
      </x:c>
      <x:c r="O216" s="9" t="str">
        <x:f>IF(M216="","",IF(AM216="PARIU U135,5",IF(M216="UNDER","SUCCES","EȘEC"),IF(M216="UNDER","FALS NEGATIV","EVITARE CORECTĂ")))</x:f>
      </x:c>
      <x:c r="P216" s="9" t="str">
        <x:f>IF(M216="","",IF(M216="UNDER",1,0))</x:f>
      </x:c>
      <x:c r="Q216" s="9" t="str">
        <x:f>IF(P216="","",(G216-P216)^2)</x:f>
      </x:c>
      <x:c r="R216" s="9" t="str">
        <x:f>IF(L216="","",L216-F216)</x:f>
      </x:c>
      <x:c r="S216" s="9" t="str">
        <x:f>IF(L216="","",IF(M216="UNDER","U135,5 reușit; total final "&amp;L216&amp;" vs λ="&amp;TEXT(F216,"0.00")&amp;".","Eșec U135,5; total final "&amp;L216&amp;" vs λ="&amp;TEXT(F216,"0.00")&amp;". Revizuiește Tail Risk, sursa λ și calibrarea."))</x:f>
      </x:c>
      <x:c r="T216" s="51"/>
      <x:c r="U216" s="51"/>
      <x:c r="V216" s="51"/>
      <x:c r="W216" s="61"/>
      <x:c r="X216" s="61"/>
      <x:c r="Y216" s="51"/>
      <x:c r="Z216" s="53"/>
      <x:c r="AA216" s="51"/>
      <x:c r="AB216" s="64" t="str">
        <x:f>IF(AC216="","",AC216)</x:f>
      </x:c>
      <x:c r="AC216" s="67"/>
      <x:c r="AD216" s="69" t="str">
        <x:f>IF(AE216="","",AE216)</x:f>
      </x:c>
      <x:c r="AE216" s="71"/>
      <x:c r="AF216" s="73" t="str">
        <x:f>IF(AC216="","",1/AC216)</x:f>
      </x:c>
      <x:c r="AG216" s="61"/>
      <x:c r="AH216" s="61"/>
      <x:c r="AI216" s="64" t="str">
        <x:f>IF(OR(AC216="",AG216=""),"",AC216*AG216-1)</x:f>
      </x:c>
      <x:c r="AJ216" s="75" t="str">
        <x:f>IF(OR(G216="",F216=""),"",IF(AND(G216&gt;='Calibrare v2'!$B$35,F216&lt;='Calibrare v2'!$B$34),"PASS","FAIL"))</x:f>
      </x:c>
      <x:c r="AK216" s="75" t="str">
        <x:f>IF(AL216="","",AL216)</x:f>
      </x:c>
      <x:c r="AL216" s="77"/>
      <x:c r="AM216" s="77"/>
      <x:c r="AN216" s="64" t="str">
        <x:f>IF(OR(AC216="",P216=""),"",(AC216-P216)^2)</x:f>
      </x:c>
      <x:c r="AO216" s="64" t="str">
        <x:f>IF(OR(AG216="",AH216=""),"",AG216/AH216-1)</x:f>
      </x:c>
      <x:c r="AP216" s="61"/>
      <x:c r="AQ216" s="73" t="n">
        <x:f>IF(OR(AM216&lt;&gt;"PARIU U4,5",M216="",AP216="",AG216=""),0,IF(M216="UNDER",AP216*(AG216-1),-AP216))</x:f>
        <x:v>0</x:v>
      </x:c>
      <x:c r="AR216" s="51"/>
    </x:row>
    <x:row r="217">
      <x:c r="A217" s="9" t="str">
        <x:f>IF(D217="","",ROW()-1)</x:f>
      </x:c>
      <x:c r="B217" s="51"/>
      <x:c r="C217" s="51"/>
      <x:c r="D217" s="51"/>
      <x:c r="E217" s="9" t="str">
        <x:f>IF(D217="","",IF(AND(F217&lt;='Calibrare v2'!$B$33,G217&gt;=0.86),"DA – FEZABIL",IF(G217&gt;=0.8,"DA – PRUDENT","NU – EVITĂ")))</x:f>
      </x:c>
      <x:c r="F217" s="16" t="str">
        <x:f>IF(OR(W217="",X217=""),"",W217+X217)</x:f>
      </x:c>
      <x:c r="G217" s="28" t="str">
        <x:f>IF(F217="","",EXP(-F217)*(1+F217+F217^2/2+F217^3/6+F217^4/24))</x:f>
      </x:c>
      <x:c r="H217" s="53"/>
      <x:c r="I217" s="9" t="str">
        <x:f>IF(F217="","",IF(F217&lt;='Calibrare v2'!$B$33,"PASS","FAIL"))</x:f>
      </x:c>
      <x:c r="J217" s="51"/>
      <x:c r="K217" s="51"/>
      <x:c r="L217" s="9" t="str">
        <x:f>IF(OR(J217="",K217=""),"",J217+K217)</x:f>
      </x:c>
      <x:c r="M217" s="9" t="str">
        <x:f>IF(L217="","",IF(L217&lt;=4,"UNDER","OVER"))</x:f>
      </x:c>
      <x:c r="N217" s="9" t="str">
        <x:f>IF(E217="","",IF(LEFT(E217,2)="DA","PARIU U136,5","NO BET"))</x:f>
      </x:c>
      <x:c r="O217" s="9" t="str">
        <x:f>IF(M217="","",IF(AM217="PARIU U136,5",IF(M217="UNDER","SUCCES","EȘEC"),IF(M217="UNDER","FALS NEGATIV","EVITARE CORECTĂ")))</x:f>
      </x:c>
      <x:c r="P217" s="9" t="str">
        <x:f>IF(M217="","",IF(M217="UNDER",1,0))</x:f>
      </x:c>
      <x:c r="Q217" s="9" t="str">
        <x:f>IF(P217="","",(G217-P217)^2)</x:f>
      </x:c>
      <x:c r="R217" s="9" t="str">
        <x:f>IF(L217="","",L217-F217)</x:f>
      </x:c>
      <x:c r="S217" s="9" t="str">
        <x:f>IF(L217="","",IF(M217="UNDER","U136,5 reușit; total final "&amp;L217&amp;" vs λ="&amp;TEXT(F217,"0.00")&amp;".","Eșec U136,5; total final "&amp;L217&amp;" vs λ="&amp;TEXT(F217,"0.00")&amp;". Revizuiește Tail Risk, sursa λ și calibrarea."))</x:f>
      </x:c>
      <x:c r="T217" s="51"/>
      <x:c r="U217" s="51"/>
      <x:c r="V217" s="51"/>
      <x:c r="W217" s="61"/>
      <x:c r="X217" s="61"/>
      <x:c r="Y217" s="51"/>
      <x:c r="Z217" s="53"/>
      <x:c r="AA217" s="51"/>
      <x:c r="AB217" s="64" t="str">
        <x:f>IF(AC217="","",AC217)</x:f>
      </x:c>
      <x:c r="AC217" s="67"/>
      <x:c r="AD217" s="69" t="str">
        <x:f>IF(AE217="","",AE217)</x:f>
      </x:c>
      <x:c r="AE217" s="71"/>
      <x:c r="AF217" s="73" t="str">
        <x:f>IF(AC217="","",1/AC217)</x:f>
      </x:c>
      <x:c r="AG217" s="61"/>
      <x:c r="AH217" s="61"/>
      <x:c r="AI217" s="64" t="str">
        <x:f>IF(OR(AC217="",AG217=""),"",AC217*AG217-1)</x:f>
      </x:c>
      <x:c r="AJ217" s="75" t="str">
        <x:f>IF(OR(G217="",F217=""),"",IF(AND(G217&gt;='Calibrare v2'!$B$35,F217&lt;='Calibrare v2'!$B$34),"PASS","FAIL"))</x:f>
      </x:c>
      <x:c r="AK217" s="75" t="str">
        <x:f>IF(AL217="","",AL217)</x:f>
      </x:c>
      <x:c r="AL217" s="77"/>
      <x:c r="AM217" s="77"/>
      <x:c r="AN217" s="64" t="str">
        <x:f>IF(OR(AC217="",P217=""),"",(AC217-P217)^2)</x:f>
      </x:c>
      <x:c r="AO217" s="64" t="str">
        <x:f>IF(OR(AG217="",AH217=""),"",AG217/AH217-1)</x:f>
      </x:c>
      <x:c r="AP217" s="61"/>
      <x:c r="AQ217" s="73" t="n">
        <x:f>IF(OR(AM217&lt;&gt;"PARIU U4,5",M217="",AP217="",AG217=""),0,IF(M217="UNDER",AP217*(AG217-1),-AP217))</x:f>
        <x:v>0</x:v>
      </x:c>
      <x:c r="AR217" s="51"/>
    </x:row>
    <x:row r="218">
      <x:c r="A218" s="9" t="str">
        <x:f>IF(D218="","",ROW()-1)</x:f>
      </x:c>
      <x:c r="B218" s="51"/>
      <x:c r="C218" s="51"/>
      <x:c r="D218" s="51"/>
      <x:c r="E218" s="9" t="str">
        <x:f>IF(D218="","",IF(AND(F218&lt;='Calibrare v2'!$B$33,G218&gt;=0.86),"DA – FEZABIL",IF(G218&gt;=0.8,"DA – PRUDENT","NU – EVITĂ")))</x:f>
      </x:c>
      <x:c r="F218" s="16" t="str">
        <x:f>IF(OR(W218="",X218=""),"",W218+X218)</x:f>
      </x:c>
      <x:c r="G218" s="28" t="str">
        <x:f>IF(F218="","",EXP(-F218)*(1+F218+F218^2/2+F218^3/6+F218^4/24))</x:f>
      </x:c>
      <x:c r="H218" s="53"/>
      <x:c r="I218" s="9" t="str">
        <x:f>IF(F218="","",IF(F218&lt;='Calibrare v2'!$B$33,"PASS","FAIL"))</x:f>
      </x:c>
      <x:c r="J218" s="51"/>
      <x:c r="K218" s="51"/>
      <x:c r="L218" s="9" t="str">
        <x:f>IF(OR(J218="",K218=""),"",J218+K218)</x:f>
      </x:c>
      <x:c r="M218" s="9" t="str">
        <x:f>IF(L218="","",IF(L218&lt;=4,"UNDER","OVER"))</x:f>
      </x:c>
      <x:c r="N218" s="9" t="str">
        <x:f>IF(E218="","",IF(LEFT(E218,2)="DA","PARIU U137,5","NO BET"))</x:f>
      </x:c>
      <x:c r="O218" s="9" t="str">
        <x:f>IF(M218="","",IF(AM218="PARIU U137,5",IF(M218="UNDER","SUCCES","EȘEC"),IF(M218="UNDER","FALS NEGATIV","EVITARE CORECTĂ")))</x:f>
      </x:c>
      <x:c r="P218" s="9" t="str">
        <x:f>IF(M218="","",IF(M218="UNDER",1,0))</x:f>
      </x:c>
      <x:c r="Q218" s="9" t="str">
        <x:f>IF(P218="","",(G218-P218)^2)</x:f>
      </x:c>
      <x:c r="R218" s="9" t="str">
        <x:f>IF(L218="","",L218-F218)</x:f>
      </x:c>
      <x:c r="S218" s="9" t="str">
        <x:f>IF(L218="","",IF(M218="UNDER","U137,5 reușit; total final "&amp;L218&amp;" vs λ="&amp;TEXT(F218,"0.00")&amp;".","Eșec U137,5; total final "&amp;L218&amp;" vs λ="&amp;TEXT(F218,"0.00")&amp;". Revizuiește Tail Risk, sursa λ și calibrarea."))</x:f>
      </x:c>
      <x:c r="T218" s="51"/>
      <x:c r="U218" s="51"/>
      <x:c r="V218" s="51"/>
      <x:c r="W218" s="61"/>
      <x:c r="X218" s="61"/>
      <x:c r="Y218" s="51"/>
      <x:c r="Z218" s="53"/>
      <x:c r="AA218" s="51"/>
      <x:c r="AB218" s="64" t="str">
        <x:f>IF(AC218="","",AC218)</x:f>
      </x:c>
      <x:c r="AC218" s="67"/>
      <x:c r="AD218" s="69" t="str">
        <x:f>IF(AE218="","",AE218)</x:f>
      </x:c>
      <x:c r="AE218" s="71"/>
      <x:c r="AF218" s="73" t="str">
        <x:f>IF(AC218="","",1/AC218)</x:f>
      </x:c>
      <x:c r="AG218" s="61"/>
      <x:c r="AH218" s="61"/>
      <x:c r="AI218" s="64" t="str">
        <x:f>IF(OR(AC218="",AG218=""),"",AC218*AG218-1)</x:f>
      </x:c>
      <x:c r="AJ218" s="75" t="str">
        <x:f>IF(OR(G218="",F218=""),"",IF(AND(G218&gt;='Calibrare v2'!$B$35,F218&lt;='Calibrare v2'!$B$34),"PASS","FAIL"))</x:f>
      </x:c>
      <x:c r="AK218" s="75" t="str">
        <x:f>IF(AL218="","",AL218)</x:f>
      </x:c>
      <x:c r="AL218" s="77"/>
      <x:c r="AM218" s="77"/>
      <x:c r="AN218" s="64" t="str">
        <x:f>IF(OR(AC218="",P218=""),"",(AC218-P218)^2)</x:f>
      </x:c>
      <x:c r="AO218" s="64" t="str">
        <x:f>IF(OR(AG218="",AH218=""),"",AG218/AH218-1)</x:f>
      </x:c>
      <x:c r="AP218" s="61"/>
      <x:c r="AQ218" s="73" t="n">
        <x:f>IF(OR(AM218&lt;&gt;"PARIU U4,5",M218="",AP218="",AG218=""),0,IF(M218="UNDER",AP218*(AG218-1),-AP218))</x:f>
        <x:v>0</x:v>
      </x:c>
      <x:c r="AR218" s="51"/>
    </x:row>
    <x:row r="219">
      <x:c r="A219" s="9" t="str">
        <x:f>IF(D219="","",ROW()-1)</x:f>
      </x:c>
      <x:c r="B219" s="51"/>
      <x:c r="C219" s="51"/>
      <x:c r="D219" s="51"/>
      <x:c r="E219" s="9" t="str">
        <x:f>IF(D219="","",IF(AND(F219&lt;='Calibrare v2'!$B$33,G219&gt;=0.86),"DA – FEZABIL",IF(G219&gt;=0.8,"DA – PRUDENT","NU – EVITĂ")))</x:f>
      </x:c>
      <x:c r="F219" s="16" t="str">
        <x:f>IF(OR(W219="",X219=""),"",W219+X219)</x:f>
      </x:c>
      <x:c r="G219" s="28" t="str">
        <x:f>IF(F219="","",EXP(-F219)*(1+F219+F219^2/2+F219^3/6+F219^4/24))</x:f>
      </x:c>
      <x:c r="H219" s="53"/>
      <x:c r="I219" s="9" t="str">
        <x:f>IF(F219="","",IF(F219&lt;='Calibrare v2'!$B$33,"PASS","FAIL"))</x:f>
      </x:c>
      <x:c r="J219" s="51"/>
      <x:c r="K219" s="51"/>
      <x:c r="L219" s="9" t="str">
        <x:f>IF(OR(J219="",K219=""),"",J219+K219)</x:f>
      </x:c>
      <x:c r="M219" s="9" t="str">
        <x:f>IF(L219="","",IF(L219&lt;=4,"UNDER","OVER"))</x:f>
      </x:c>
      <x:c r="N219" s="9" t="str">
        <x:f>IF(E219="","",IF(LEFT(E219,2)="DA","PARIU U138,5","NO BET"))</x:f>
      </x:c>
      <x:c r="O219" s="9" t="str">
        <x:f>IF(M219="","",IF(AM219="PARIU U138,5",IF(M219="UNDER","SUCCES","EȘEC"),IF(M219="UNDER","FALS NEGATIV","EVITARE CORECTĂ")))</x:f>
      </x:c>
      <x:c r="P219" s="9" t="str">
        <x:f>IF(M219="","",IF(M219="UNDER",1,0))</x:f>
      </x:c>
      <x:c r="Q219" s="9" t="str">
        <x:f>IF(P219="","",(G219-P219)^2)</x:f>
      </x:c>
      <x:c r="R219" s="9" t="str">
        <x:f>IF(L219="","",L219-F219)</x:f>
      </x:c>
      <x:c r="S219" s="9" t="str">
        <x:f>IF(L219="","",IF(M219="UNDER","U138,5 reușit; total final "&amp;L219&amp;" vs λ="&amp;TEXT(F219,"0.00")&amp;".","Eșec U138,5; total final "&amp;L219&amp;" vs λ="&amp;TEXT(F219,"0.00")&amp;". Revizuiește Tail Risk, sursa λ și calibrarea."))</x:f>
      </x:c>
      <x:c r="T219" s="51"/>
      <x:c r="U219" s="51"/>
      <x:c r="V219" s="51"/>
      <x:c r="W219" s="61"/>
      <x:c r="X219" s="61"/>
      <x:c r="Y219" s="51"/>
      <x:c r="Z219" s="53"/>
      <x:c r="AA219" s="51"/>
      <x:c r="AB219" s="64" t="str">
        <x:f>IF(AC219="","",AC219)</x:f>
      </x:c>
      <x:c r="AC219" s="67"/>
      <x:c r="AD219" s="69" t="str">
        <x:f>IF(AE219="","",AE219)</x:f>
      </x:c>
      <x:c r="AE219" s="71"/>
      <x:c r="AF219" s="73" t="str">
        <x:f>IF(AC219="","",1/AC219)</x:f>
      </x:c>
      <x:c r="AG219" s="61"/>
      <x:c r="AH219" s="61"/>
      <x:c r="AI219" s="64" t="str">
        <x:f>IF(OR(AC219="",AG219=""),"",AC219*AG219-1)</x:f>
      </x:c>
      <x:c r="AJ219" s="75" t="str">
        <x:f>IF(OR(G219="",F219=""),"",IF(AND(G219&gt;='Calibrare v2'!$B$35,F219&lt;='Calibrare v2'!$B$34),"PASS","FAIL"))</x:f>
      </x:c>
      <x:c r="AK219" s="75" t="str">
        <x:f>IF(AL219="","",AL219)</x:f>
      </x:c>
      <x:c r="AL219" s="77"/>
      <x:c r="AM219" s="77"/>
      <x:c r="AN219" s="64" t="str">
        <x:f>IF(OR(AC219="",P219=""),"",(AC219-P219)^2)</x:f>
      </x:c>
      <x:c r="AO219" s="64" t="str">
        <x:f>IF(OR(AG219="",AH219=""),"",AG219/AH219-1)</x:f>
      </x:c>
      <x:c r="AP219" s="61"/>
      <x:c r="AQ219" s="73" t="n">
        <x:f>IF(OR(AM219&lt;&gt;"PARIU U4,5",M219="",AP219="",AG219=""),0,IF(M219="UNDER",AP219*(AG219-1),-AP219))</x:f>
        <x:v>0</x:v>
      </x:c>
      <x:c r="AR219" s="51"/>
    </x:row>
    <x:row r="220">
      <x:c r="A220" s="9" t="str">
        <x:f>IF(D220="","",ROW()-1)</x:f>
      </x:c>
      <x:c r="B220" s="51"/>
      <x:c r="C220" s="51"/>
      <x:c r="D220" s="51"/>
      <x:c r="E220" s="9" t="str">
        <x:f>IF(D220="","",IF(AND(F220&lt;='Calibrare v2'!$B$33,G220&gt;=0.86),"DA – FEZABIL",IF(G220&gt;=0.8,"DA – PRUDENT","NU – EVITĂ")))</x:f>
      </x:c>
      <x:c r="F220" s="16" t="str">
        <x:f>IF(OR(W220="",X220=""),"",W220+X220)</x:f>
      </x:c>
      <x:c r="G220" s="28" t="str">
        <x:f>IF(F220="","",EXP(-F220)*(1+F220+F220^2/2+F220^3/6+F220^4/24))</x:f>
      </x:c>
      <x:c r="H220" s="53"/>
      <x:c r="I220" s="9" t="str">
        <x:f>IF(F220="","",IF(F220&lt;='Calibrare v2'!$B$33,"PASS","FAIL"))</x:f>
      </x:c>
      <x:c r="J220" s="51"/>
      <x:c r="K220" s="51"/>
      <x:c r="L220" s="9" t="str">
        <x:f>IF(OR(J220="",K220=""),"",J220+K220)</x:f>
      </x:c>
      <x:c r="M220" s="9" t="str">
        <x:f>IF(L220="","",IF(L220&lt;=4,"UNDER","OVER"))</x:f>
      </x:c>
      <x:c r="N220" s="9" t="str">
        <x:f>IF(E220="","",IF(LEFT(E220,2)="DA","PARIU U139,5","NO BET"))</x:f>
      </x:c>
      <x:c r="O220" s="9" t="str">
        <x:f>IF(M220="","",IF(AM220="PARIU U139,5",IF(M220="UNDER","SUCCES","EȘEC"),IF(M220="UNDER","FALS NEGATIV","EVITARE CORECTĂ")))</x:f>
      </x:c>
      <x:c r="P220" s="9" t="str">
        <x:f>IF(M220="","",IF(M220="UNDER",1,0))</x:f>
      </x:c>
      <x:c r="Q220" s="9" t="str">
        <x:f>IF(P220="","",(G220-P220)^2)</x:f>
      </x:c>
      <x:c r="R220" s="9" t="str">
        <x:f>IF(L220="","",L220-F220)</x:f>
      </x:c>
      <x:c r="S220" s="9" t="str">
        <x:f>IF(L220="","",IF(M220="UNDER","U139,5 reușit; total final "&amp;L220&amp;" vs λ="&amp;TEXT(F220,"0.00")&amp;".","Eșec U139,5; total final "&amp;L220&amp;" vs λ="&amp;TEXT(F220,"0.00")&amp;". Revizuiește Tail Risk, sursa λ și calibrarea."))</x:f>
      </x:c>
      <x:c r="T220" s="51"/>
      <x:c r="U220" s="51"/>
      <x:c r="V220" s="51"/>
      <x:c r="W220" s="61"/>
      <x:c r="X220" s="61"/>
      <x:c r="Y220" s="51"/>
      <x:c r="Z220" s="53"/>
      <x:c r="AA220" s="51"/>
      <x:c r="AB220" s="64" t="str">
        <x:f>IF(AC220="","",AC220)</x:f>
      </x:c>
      <x:c r="AC220" s="67"/>
      <x:c r="AD220" s="69" t="str">
        <x:f>IF(AE220="","",AE220)</x:f>
      </x:c>
      <x:c r="AE220" s="71"/>
      <x:c r="AF220" s="73" t="str">
        <x:f>IF(AC220="","",1/AC220)</x:f>
      </x:c>
      <x:c r="AG220" s="61"/>
      <x:c r="AH220" s="61"/>
      <x:c r="AI220" s="64" t="str">
        <x:f>IF(OR(AC220="",AG220=""),"",AC220*AG220-1)</x:f>
      </x:c>
      <x:c r="AJ220" s="75" t="str">
        <x:f>IF(OR(G220="",F220=""),"",IF(AND(G220&gt;='Calibrare v2'!$B$35,F220&lt;='Calibrare v2'!$B$34),"PASS","FAIL"))</x:f>
      </x:c>
      <x:c r="AK220" s="75" t="str">
        <x:f>IF(AL220="","",AL220)</x:f>
      </x:c>
      <x:c r="AL220" s="77"/>
      <x:c r="AM220" s="77"/>
      <x:c r="AN220" s="64" t="str">
        <x:f>IF(OR(AC220="",P220=""),"",(AC220-P220)^2)</x:f>
      </x:c>
      <x:c r="AO220" s="64" t="str">
        <x:f>IF(OR(AG220="",AH220=""),"",AG220/AH220-1)</x:f>
      </x:c>
      <x:c r="AP220" s="61"/>
      <x:c r="AQ220" s="73" t="n">
        <x:f>IF(OR(AM220&lt;&gt;"PARIU U4,5",M220="",AP220="",AG220=""),0,IF(M220="UNDER",AP220*(AG220-1),-AP220))</x:f>
        <x:v>0</x:v>
      </x:c>
      <x:c r="AR220" s="51"/>
    </x:row>
    <x:row r="221">
      <x:c r="A221" s="9" t="str">
        <x:f>IF(D221="","",ROW()-1)</x:f>
      </x:c>
      <x:c r="B221" s="51"/>
      <x:c r="C221" s="51"/>
      <x:c r="D221" s="51"/>
      <x:c r="E221" s="9" t="str">
        <x:f>IF(D221="","",IF(AND(F221&lt;='Calibrare v2'!$B$33,G221&gt;=0.86),"DA – FEZABIL",IF(G221&gt;=0.8,"DA – PRUDENT","NU – EVITĂ")))</x:f>
      </x:c>
      <x:c r="F221" s="16" t="str">
        <x:f>IF(OR(W221="",X221=""),"",W221+X221)</x:f>
      </x:c>
      <x:c r="G221" s="28" t="str">
        <x:f>IF(F221="","",EXP(-F221)*(1+F221+F221^2/2+F221^3/6+F221^4/24))</x:f>
      </x:c>
      <x:c r="H221" s="53"/>
      <x:c r="I221" s="9" t="str">
        <x:f>IF(F221="","",IF(F221&lt;='Calibrare v2'!$B$33,"PASS","FAIL"))</x:f>
      </x:c>
      <x:c r="J221" s="51"/>
      <x:c r="K221" s="51"/>
      <x:c r="L221" s="9" t="str">
        <x:f>IF(OR(J221="",K221=""),"",J221+K221)</x:f>
      </x:c>
      <x:c r="M221" s="9" t="str">
        <x:f>IF(L221="","",IF(L221&lt;=4,"UNDER","OVER"))</x:f>
      </x:c>
      <x:c r="N221" s="9" t="str">
        <x:f>IF(E221="","",IF(LEFT(E221,2)="DA","PARIU U140,5","NO BET"))</x:f>
      </x:c>
      <x:c r="O221" s="9" t="str">
        <x:f>IF(M221="","",IF(AM221="PARIU U140,5",IF(M221="UNDER","SUCCES","EȘEC"),IF(M221="UNDER","FALS NEGATIV","EVITARE CORECTĂ")))</x:f>
      </x:c>
      <x:c r="P221" s="9" t="str">
        <x:f>IF(M221="","",IF(M221="UNDER",1,0))</x:f>
      </x:c>
      <x:c r="Q221" s="9" t="str">
        <x:f>IF(P221="","",(G221-P221)^2)</x:f>
      </x:c>
      <x:c r="R221" s="9" t="str">
        <x:f>IF(L221="","",L221-F221)</x:f>
      </x:c>
      <x:c r="S221" s="9" t="str">
        <x:f>IF(L221="","",IF(M221="UNDER","U140,5 reușit; total final "&amp;L221&amp;" vs λ="&amp;TEXT(F221,"0.00")&amp;".","Eșec U140,5; total final "&amp;L221&amp;" vs λ="&amp;TEXT(F221,"0.00")&amp;". Revizuiește Tail Risk, sursa λ și calibrarea."))</x:f>
      </x:c>
      <x:c r="T221" s="51"/>
      <x:c r="U221" s="51"/>
      <x:c r="V221" s="51"/>
      <x:c r="W221" s="61"/>
      <x:c r="X221" s="61"/>
      <x:c r="Y221" s="51"/>
      <x:c r="Z221" s="53"/>
      <x:c r="AA221" s="51"/>
      <x:c r="AB221" s="64" t="str">
        <x:f>IF(AC221="","",AC221)</x:f>
      </x:c>
      <x:c r="AC221" s="67"/>
      <x:c r="AD221" s="69" t="str">
        <x:f>IF(AE221="","",AE221)</x:f>
      </x:c>
      <x:c r="AE221" s="71"/>
      <x:c r="AF221" s="73" t="str">
        <x:f>IF(AC221="","",1/AC221)</x:f>
      </x:c>
      <x:c r="AG221" s="61"/>
      <x:c r="AH221" s="61"/>
      <x:c r="AI221" s="64" t="str">
        <x:f>IF(OR(AC221="",AG221=""),"",AC221*AG221-1)</x:f>
      </x:c>
      <x:c r="AJ221" s="75" t="str">
        <x:f>IF(OR(G221="",F221=""),"",IF(AND(G221&gt;='Calibrare v2'!$B$35,F221&lt;='Calibrare v2'!$B$34),"PASS","FAIL"))</x:f>
      </x:c>
      <x:c r="AK221" s="75" t="str">
        <x:f>IF(AL221="","",AL221)</x:f>
      </x:c>
      <x:c r="AL221" s="77"/>
      <x:c r="AM221" s="77"/>
      <x:c r="AN221" s="64" t="str">
        <x:f>IF(OR(AC221="",P221=""),"",(AC221-P221)^2)</x:f>
      </x:c>
      <x:c r="AO221" s="64" t="str">
        <x:f>IF(OR(AG221="",AH221=""),"",AG221/AH221-1)</x:f>
      </x:c>
      <x:c r="AP221" s="61"/>
      <x:c r="AQ221" s="73" t="n">
        <x:f>IF(OR(AM221&lt;&gt;"PARIU U4,5",M221="",AP221="",AG221=""),0,IF(M221="UNDER",AP221*(AG221-1),-AP221))</x:f>
        <x:v>0</x:v>
      </x:c>
      <x:c r="AR221" s="51"/>
    </x:row>
    <x:row r="222">
      <x:c r="A222" s="9" t="str">
        <x:f>IF(D222="","",ROW()-1)</x:f>
      </x:c>
      <x:c r="B222" s="51"/>
      <x:c r="C222" s="51"/>
      <x:c r="D222" s="51"/>
      <x:c r="E222" s="9" t="str">
        <x:f>IF(D222="","",IF(AND(F222&lt;='Calibrare v2'!$B$33,G222&gt;=0.86),"DA – FEZABIL",IF(G222&gt;=0.8,"DA – PRUDENT","NU – EVITĂ")))</x:f>
      </x:c>
      <x:c r="F222" s="16" t="str">
        <x:f>IF(OR(W222="",X222=""),"",W222+X222)</x:f>
      </x:c>
      <x:c r="G222" s="28" t="str">
        <x:f>IF(F222="","",EXP(-F222)*(1+F222+F222^2/2+F222^3/6+F222^4/24))</x:f>
      </x:c>
      <x:c r="H222" s="53"/>
      <x:c r="I222" s="9" t="str">
        <x:f>IF(F222="","",IF(F222&lt;='Calibrare v2'!$B$33,"PASS","FAIL"))</x:f>
      </x:c>
      <x:c r="J222" s="51"/>
      <x:c r="K222" s="51"/>
      <x:c r="L222" s="9" t="str">
        <x:f>IF(OR(J222="",K222=""),"",J222+K222)</x:f>
      </x:c>
      <x:c r="M222" s="9" t="str">
        <x:f>IF(L222="","",IF(L222&lt;=4,"UNDER","OVER"))</x:f>
      </x:c>
      <x:c r="N222" s="9" t="str">
        <x:f>IF(E222="","",IF(LEFT(E222,2)="DA","PARIU U141,5","NO BET"))</x:f>
      </x:c>
      <x:c r="O222" s="9" t="str">
        <x:f>IF(M222="","",IF(AM222="PARIU U141,5",IF(M222="UNDER","SUCCES","EȘEC"),IF(M222="UNDER","FALS NEGATIV","EVITARE CORECTĂ")))</x:f>
      </x:c>
      <x:c r="P222" s="9" t="str">
        <x:f>IF(M222="","",IF(M222="UNDER",1,0))</x:f>
      </x:c>
      <x:c r="Q222" s="9" t="str">
        <x:f>IF(P222="","",(G222-P222)^2)</x:f>
      </x:c>
      <x:c r="R222" s="9" t="str">
        <x:f>IF(L222="","",L222-F222)</x:f>
      </x:c>
      <x:c r="S222" s="9" t="str">
        <x:f>IF(L222="","",IF(M222="UNDER","U141,5 reușit; total final "&amp;L222&amp;" vs λ="&amp;TEXT(F222,"0.00")&amp;".","Eșec U141,5; total final "&amp;L222&amp;" vs λ="&amp;TEXT(F222,"0.00")&amp;". Revizuiește Tail Risk, sursa λ și calibrarea."))</x:f>
      </x:c>
      <x:c r="T222" s="51"/>
      <x:c r="U222" s="51"/>
      <x:c r="V222" s="51"/>
      <x:c r="W222" s="61"/>
      <x:c r="X222" s="61"/>
      <x:c r="Y222" s="51"/>
      <x:c r="Z222" s="53"/>
      <x:c r="AA222" s="51"/>
      <x:c r="AB222" s="64" t="str">
        <x:f>IF(AC222="","",AC222)</x:f>
      </x:c>
      <x:c r="AC222" s="67"/>
      <x:c r="AD222" s="69" t="str">
        <x:f>IF(AE222="","",AE222)</x:f>
      </x:c>
      <x:c r="AE222" s="71"/>
      <x:c r="AF222" s="73" t="str">
        <x:f>IF(AC222="","",1/AC222)</x:f>
      </x:c>
      <x:c r="AG222" s="61"/>
      <x:c r="AH222" s="61"/>
      <x:c r="AI222" s="64" t="str">
        <x:f>IF(OR(AC222="",AG222=""),"",AC222*AG222-1)</x:f>
      </x:c>
      <x:c r="AJ222" s="75" t="str">
        <x:f>IF(OR(G222="",F222=""),"",IF(AND(G222&gt;='Calibrare v2'!$B$35,F222&lt;='Calibrare v2'!$B$34),"PASS","FAIL"))</x:f>
      </x:c>
      <x:c r="AK222" s="75" t="str">
        <x:f>IF(AL222="","",AL222)</x:f>
      </x:c>
      <x:c r="AL222" s="77"/>
      <x:c r="AM222" s="77"/>
      <x:c r="AN222" s="64" t="str">
        <x:f>IF(OR(AC222="",P222=""),"",(AC222-P222)^2)</x:f>
      </x:c>
      <x:c r="AO222" s="64" t="str">
        <x:f>IF(OR(AG222="",AH222=""),"",AG222/AH222-1)</x:f>
      </x:c>
      <x:c r="AP222" s="61"/>
      <x:c r="AQ222" s="73" t="n">
        <x:f>IF(OR(AM222&lt;&gt;"PARIU U4,5",M222="",AP222="",AG222=""),0,IF(M222="UNDER",AP222*(AG222-1),-AP222))</x:f>
        <x:v>0</x:v>
      </x:c>
      <x:c r="AR222" s="51"/>
    </x:row>
    <x:row r="223">
      <x:c r="A223" s="9" t="str">
        <x:f>IF(D223="","",ROW()-1)</x:f>
      </x:c>
      <x:c r="B223" s="51"/>
      <x:c r="C223" s="51"/>
      <x:c r="D223" s="51"/>
      <x:c r="E223" s="9" t="str">
        <x:f>IF(D223="","",IF(AND(F223&lt;='Calibrare v2'!$B$33,G223&gt;=0.86),"DA – FEZABIL",IF(G223&gt;=0.8,"DA – PRUDENT","NU – EVITĂ")))</x:f>
      </x:c>
      <x:c r="F223" s="16" t="str">
        <x:f>IF(OR(W223="",X223=""),"",W223+X223)</x:f>
      </x:c>
      <x:c r="G223" s="28" t="str">
        <x:f>IF(F223="","",EXP(-F223)*(1+F223+F223^2/2+F223^3/6+F223^4/24))</x:f>
      </x:c>
      <x:c r="H223" s="53"/>
      <x:c r="I223" s="9" t="str">
        <x:f>IF(F223="","",IF(F223&lt;='Calibrare v2'!$B$33,"PASS","FAIL"))</x:f>
      </x:c>
      <x:c r="J223" s="51"/>
      <x:c r="K223" s="51"/>
      <x:c r="L223" s="9" t="str">
        <x:f>IF(OR(J223="",K223=""),"",J223+K223)</x:f>
      </x:c>
      <x:c r="M223" s="9" t="str">
        <x:f>IF(L223="","",IF(L223&lt;=4,"UNDER","OVER"))</x:f>
      </x:c>
      <x:c r="N223" s="9" t="str">
        <x:f>IF(E223="","",IF(LEFT(E223,2)="DA","PARIU U142,5","NO BET"))</x:f>
      </x:c>
      <x:c r="O223" s="9" t="str">
        <x:f>IF(M223="","",IF(AM223="PARIU U142,5",IF(M223="UNDER","SUCCES","EȘEC"),IF(M223="UNDER","FALS NEGATIV","EVITARE CORECTĂ")))</x:f>
      </x:c>
      <x:c r="P223" s="9" t="str">
        <x:f>IF(M223="","",IF(M223="UNDER",1,0))</x:f>
      </x:c>
      <x:c r="Q223" s="9" t="str">
        <x:f>IF(P223="","",(G223-P223)^2)</x:f>
      </x:c>
      <x:c r="R223" s="9" t="str">
        <x:f>IF(L223="","",L223-F223)</x:f>
      </x:c>
      <x:c r="S223" s="9" t="str">
        <x:f>IF(L223="","",IF(M223="UNDER","U142,5 reușit; total final "&amp;L223&amp;" vs λ="&amp;TEXT(F223,"0.00")&amp;".","Eșec U142,5; total final "&amp;L223&amp;" vs λ="&amp;TEXT(F223,"0.00")&amp;". Revizuiește Tail Risk, sursa λ și calibrarea."))</x:f>
      </x:c>
      <x:c r="T223" s="51"/>
      <x:c r="U223" s="51"/>
      <x:c r="V223" s="51"/>
      <x:c r="W223" s="61"/>
      <x:c r="X223" s="61"/>
      <x:c r="Y223" s="51"/>
      <x:c r="Z223" s="53"/>
      <x:c r="AA223" s="51"/>
      <x:c r="AB223" s="64" t="str">
        <x:f>IF(AC223="","",AC223)</x:f>
      </x:c>
      <x:c r="AC223" s="67"/>
      <x:c r="AD223" s="69" t="str">
        <x:f>IF(AE223="","",AE223)</x:f>
      </x:c>
      <x:c r="AE223" s="71"/>
      <x:c r="AF223" s="73" t="str">
        <x:f>IF(AC223="","",1/AC223)</x:f>
      </x:c>
      <x:c r="AG223" s="61"/>
      <x:c r="AH223" s="61"/>
      <x:c r="AI223" s="64" t="str">
        <x:f>IF(OR(AC223="",AG223=""),"",AC223*AG223-1)</x:f>
      </x:c>
      <x:c r="AJ223" s="75" t="str">
        <x:f>IF(OR(G223="",F223=""),"",IF(AND(G223&gt;='Calibrare v2'!$B$35,F223&lt;='Calibrare v2'!$B$34),"PASS","FAIL"))</x:f>
      </x:c>
      <x:c r="AK223" s="75" t="str">
        <x:f>IF(AL223="","",AL223)</x:f>
      </x:c>
      <x:c r="AL223" s="77"/>
      <x:c r="AM223" s="77"/>
      <x:c r="AN223" s="64" t="str">
        <x:f>IF(OR(AC223="",P223=""),"",(AC223-P223)^2)</x:f>
      </x:c>
      <x:c r="AO223" s="64" t="str">
        <x:f>IF(OR(AG223="",AH223=""),"",AG223/AH223-1)</x:f>
      </x:c>
      <x:c r="AP223" s="61"/>
      <x:c r="AQ223" s="73" t="n">
        <x:f>IF(OR(AM223&lt;&gt;"PARIU U4,5",M223="",AP223="",AG223=""),0,IF(M223="UNDER",AP223*(AG223-1),-AP223))</x:f>
        <x:v>0</x:v>
      </x:c>
      <x:c r="AR223" s="51"/>
    </x:row>
    <x:row r="224">
      <x:c r="A224" s="9" t="str">
        <x:f>IF(D224="","",ROW()-1)</x:f>
      </x:c>
      <x:c r="B224" s="51"/>
      <x:c r="C224" s="51"/>
      <x:c r="D224" s="51"/>
      <x:c r="E224" s="9" t="str">
        <x:f>IF(D224="","",IF(AND(F224&lt;='Calibrare v2'!$B$33,G224&gt;=0.86),"DA – FEZABIL",IF(G224&gt;=0.8,"DA – PRUDENT","NU – EVITĂ")))</x:f>
      </x:c>
      <x:c r="F224" s="16" t="str">
        <x:f>IF(OR(W224="",X224=""),"",W224+X224)</x:f>
      </x:c>
      <x:c r="G224" s="28" t="str">
        <x:f>IF(F224="","",EXP(-F224)*(1+F224+F224^2/2+F224^3/6+F224^4/24))</x:f>
      </x:c>
      <x:c r="H224" s="53"/>
      <x:c r="I224" s="9" t="str">
        <x:f>IF(F224="","",IF(F224&lt;='Calibrare v2'!$B$33,"PASS","FAIL"))</x:f>
      </x:c>
      <x:c r="J224" s="51"/>
      <x:c r="K224" s="51"/>
      <x:c r="L224" s="9" t="str">
        <x:f>IF(OR(J224="",K224=""),"",J224+K224)</x:f>
      </x:c>
      <x:c r="M224" s="9" t="str">
        <x:f>IF(L224="","",IF(L224&lt;=4,"UNDER","OVER"))</x:f>
      </x:c>
      <x:c r="N224" s="9" t="str">
        <x:f>IF(E224="","",IF(LEFT(E224,2)="DA","PARIU U143,5","NO BET"))</x:f>
      </x:c>
      <x:c r="O224" s="9" t="str">
        <x:f>IF(M224="","",IF(AM224="PARIU U143,5",IF(M224="UNDER","SUCCES","EȘEC"),IF(M224="UNDER","FALS NEGATIV","EVITARE CORECTĂ")))</x:f>
      </x:c>
      <x:c r="P224" s="9" t="str">
        <x:f>IF(M224="","",IF(M224="UNDER",1,0))</x:f>
      </x:c>
      <x:c r="Q224" s="9" t="str">
        <x:f>IF(P224="","",(G224-P224)^2)</x:f>
      </x:c>
      <x:c r="R224" s="9" t="str">
        <x:f>IF(L224="","",L224-F224)</x:f>
      </x:c>
      <x:c r="S224" s="9" t="str">
        <x:f>IF(L224="","",IF(M224="UNDER","U143,5 reușit; total final "&amp;L224&amp;" vs λ="&amp;TEXT(F224,"0.00")&amp;".","Eșec U143,5; total final "&amp;L224&amp;" vs λ="&amp;TEXT(F224,"0.00")&amp;". Revizuiește Tail Risk, sursa λ și calibrarea."))</x:f>
      </x:c>
      <x:c r="T224" s="51"/>
      <x:c r="U224" s="51"/>
      <x:c r="V224" s="51"/>
      <x:c r="W224" s="61"/>
      <x:c r="X224" s="61"/>
      <x:c r="Y224" s="51"/>
      <x:c r="Z224" s="53"/>
      <x:c r="AA224" s="51"/>
      <x:c r="AB224" s="64" t="str">
        <x:f>IF(AC224="","",AC224)</x:f>
      </x:c>
      <x:c r="AC224" s="67"/>
      <x:c r="AD224" s="69" t="str">
        <x:f>IF(AE224="","",AE224)</x:f>
      </x:c>
      <x:c r="AE224" s="71"/>
      <x:c r="AF224" s="73" t="str">
        <x:f>IF(AC224="","",1/AC224)</x:f>
      </x:c>
      <x:c r="AG224" s="61"/>
      <x:c r="AH224" s="61"/>
      <x:c r="AI224" s="64" t="str">
        <x:f>IF(OR(AC224="",AG224=""),"",AC224*AG224-1)</x:f>
      </x:c>
      <x:c r="AJ224" s="75" t="str">
        <x:f>IF(OR(G224="",F224=""),"",IF(AND(G224&gt;='Calibrare v2'!$B$35,F224&lt;='Calibrare v2'!$B$34),"PASS","FAIL"))</x:f>
      </x:c>
      <x:c r="AK224" s="75" t="str">
        <x:f>IF(AL224="","",AL224)</x:f>
      </x:c>
      <x:c r="AL224" s="77"/>
      <x:c r="AM224" s="77"/>
      <x:c r="AN224" s="64" t="str">
        <x:f>IF(OR(AC224="",P224=""),"",(AC224-P224)^2)</x:f>
      </x:c>
      <x:c r="AO224" s="64" t="str">
        <x:f>IF(OR(AG224="",AH224=""),"",AG224/AH224-1)</x:f>
      </x:c>
      <x:c r="AP224" s="61"/>
      <x:c r="AQ224" s="73" t="n">
        <x:f>IF(OR(AM224&lt;&gt;"PARIU U4,5",M224="",AP224="",AG224=""),0,IF(M224="UNDER",AP224*(AG224-1),-AP224))</x:f>
        <x:v>0</x:v>
      </x:c>
      <x:c r="AR224" s="51"/>
    </x:row>
    <x:row r="225">
      <x:c r="A225" s="9" t="str">
        <x:f>IF(D225="","",ROW()-1)</x:f>
      </x:c>
      <x:c r="B225" s="51"/>
      <x:c r="C225" s="51"/>
      <x:c r="D225" s="51"/>
      <x:c r="E225" s="9" t="str">
        <x:f>IF(D225="","",IF(AND(F225&lt;='Calibrare v2'!$B$33,G225&gt;=0.86),"DA – FEZABIL",IF(G225&gt;=0.8,"DA – PRUDENT","NU – EVITĂ")))</x:f>
      </x:c>
      <x:c r="F225" s="16" t="str">
        <x:f>IF(OR(W225="",X225=""),"",W225+X225)</x:f>
      </x:c>
      <x:c r="G225" s="28" t="str">
        <x:f>IF(F225="","",EXP(-F225)*(1+F225+F225^2/2+F225^3/6+F225^4/24))</x:f>
      </x:c>
      <x:c r="H225" s="53"/>
      <x:c r="I225" s="9" t="str">
        <x:f>IF(F225="","",IF(F225&lt;='Calibrare v2'!$B$33,"PASS","FAIL"))</x:f>
      </x:c>
      <x:c r="J225" s="51"/>
      <x:c r="K225" s="51"/>
      <x:c r="L225" s="9" t="str">
        <x:f>IF(OR(J225="",K225=""),"",J225+K225)</x:f>
      </x:c>
      <x:c r="M225" s="9" t="str">
        <x:f>IF(L225="","",IF(L225&lt;=4,"UNDER","OVER"))</x:f>
      </x:c>
      <x:c r="N225" s="9" t="str">
        <x:f>IF(E225="","",IF(LEFT(E225,2)="DA","PARIU U144,5","NO BET"))</x:f>
      </x:c>
      <x:c r="O225" s="9" t="str">
        <x:f>IF(M225="","",IF(AM225="PARIU U144,5",IF(M225="UNDER","SUCCES","EȘEC"),IF(M225="UNDER","FALS NEGATIV","EVITARE CORECTĂ")))</x:f>
      </x:c>
      <x:c r="P225" s="9" t="str">
        <x:f>IF(M225="","",IF(M225="UNDER",1,0))</x:f>
      </x:c>
      <x:c r="Q225" s="9" t="str">
        <x:f>IF(P225="","",(G225-P225)^2)</x:f>
      </x:c>
      <x:c r="R225" s="9" t="str">
        <x:f>IF(L225="","",L225-F225)</x:f>
      </x:c>
      <x:c r="S225" s="9" t="str">
        <x:f>IF(L225="","",IF(M225="UNDER","U144,5 reușit; total final "&amp;L225&amp;" vs λ="&amp;TEXT(F225,"0.00")&amp;".","Eșec U144,5; total final "&amp;L225&amp;" vs λ="&amp;TEXT(F225,"0.00")&amp;". Revizuiește Tail Risk, sursa λ și calibrarea."))</x:f>
      </x:c>
      <x:c r="T225" s="51"/>
      <x:c r="U225" s="51"/>
      <x:c r="V225" s="51"/>
      <x:c r="W225" s="61"/>
      <x:c r="X225" s="61"/>
      <x:c r="Y225" s="51"/>
      <x:c r="Z225" s="53"/>
      <x:c r="AA225" s="51"/>
      <x:c r="AB225" s="64" t="str">
        <x:f>IF(AC225="","",AC225)</x:f>
      </x:c>
      <x:c r="AC225" s="67"/>
      <x:c r="AD225" s="69" t="str">
        <x:f>IF(AE225="","",AE225)</x:f>
      </x:c>
      <x:c r="AE225" s="71"/>
      <x:c r="AF225" s="73" t="str">
        <x:f>IF(AC225="","",1/AC225)</x:f>
      </x:c>
      <x:c r="AG225" s="61"/>
      <x:c r="AH225" s="61"/>
      <x:c r="AI225" s="64" t="str">
        <x:f>IF(OR(AC225="",AG225=""),"",AC225*AG225-1)</x:f>
      </x:c>
      <x:c r="AJ225" s="75" t="str">
        <x:f>IF(OR(G225="",F225=""),"",IF(AND(G225&gt;='Calibrare v2'!$B$35,F225&lt;='Calibrare v2'!$B$34),"PASS","FAIL"))</x:f>
      </x:c>
      <x:c r="AK225" s="75" t="str">
        <x:f>IF(AL225="","",AL225)</x:f>
      </x:c>
      <x:c r="AL225" s="77"/>
      <x:c r="AM225" s="77"/>
      <x:c r="AN225" s="64" t="str">
        <x:f>IF(OR(AC225="",P225=""),"",(AC225-P225)^2)</x:f>
      </x:c>
      <x:c r="AO225" s="64" t="str">
        <x:f>IF(OR(AG225="",AH225=""),"",AG225/AH225-1)</x:f>
      </x:c>
      <x:c r="AP225" s="61"/>
      <x:c r="AQ225" s="73" t="n">
        <x:f>IF(OR(AM225&lt;&gt;"PARIU U4,5",M225="",AP225="",AG225=""),0,IF(M225="UNDER",AP225*(AG225-1),-AP225))</x:f>
        <x:v>0</x:v>
      </x:c>
      <x:c r="AR225" s="51"/>
    </x:row>
    <x:row r="226">
      <x:c r="A226" s="9" t="str">
        <x:f>IF(D226="","",ROW()-1)</x:f>
      </x:c>
      <x:c r="B226" s="51"/>
      <x:c r="C226" s="51"/>
      <x:c r="D226" s="51"/>
      <x:c r="E226" s="9" t="str">
        <x:f>IF(D226="","",IF(AND(F226&lt;='Calibrare v2'!$B$33,G226&gt;=0.86),"DA – FEZABIL",IF(G226&gt;=0.8,"DA – PRUDENT","NU – EVITĂ")))</x:f>
      </x:c>
      <x:c r="F226" s="16" t="str">
        <x:f>IF(OR(W226="",X226=""),"",W226+X226)</x:f>
      </x:c>
      <x:c r="G226" s="28" t="str">
        <x:f>IF(F226="","",EXP(-F226)*(1+F226+F226^2/2+F226^3/6+F226^4/24))</x:f>
      </x:c>
      <x:c r="H226" s="53"/>
      <x:c r="I226" s="9" t="str">
        <x:f>IF(F226="","",IF(F226&lt;='Calibrare v2'!$B$33,"PASS","FAIL"))</x:f>
      </x:c>
      <x:c r="J226" s="51"/>
      <x:c r="K226" s="51"/>
      <x:c r="L226" s="9" t="str">
        <x:f>IF(OR(J226="",K226=""),"",J226+K226)</x:f>
      </x:c>
      <x:c r="M226" s="9" t="str">
        <x:f>IF(L226="","",IF(L226&lt;=4,"UNDER","OVER"))</x:f>
      </x:c>
      <x:c r="N226" s="9" t="str">
        <x:f>IF(E226="","",IF(LEFT(E226,2)="DA","PARIU U145,5","NO BET"))</x:f>
      </x:c>
      <x:c r="O226" s="9" t="str">
        <x:f>IF(M226="","",IF(AM226="PARIU U145,5",IF(M226="UNDER","SUCCES","EȘEC"),IF(M226="UNDER","FALS NEGATIV","EVITARE CORECTĂ")))</x:f>
      </x:c>
      <x:c r="P226" s="9" t="str">
        <x:f>IF(M226="","",IF(M226="UNDER",1,0))</x:f>
      </x:c>
      <x:c r="Q226" s="9" t="str">
        <x:f>IF(P226="","",(G226-P226)^2)</x:f>
      </x:c>
      <x:c r="R226" s="9" t="str">
        <x:f>IF(L226="","",L226-F226)</x:f>
      </x:c>
      <x:c r="S226" s="9" t="str">
        <x:f>IF(L226="","",IF(M226="UNDER","U145,5 reușit; total final "&amp;L226&amp;" vs λ="&amp;TEXT(F226,"0.00")&amp;".","Eșec U145,5; total final "&amp;L226&amp;" vs λ="&amp;TEXT(F226,"0.00")&amp;". Revizuiește Tail Risk, sursa λ și calibrarea."))</x:f>
      </x:c>
      <x:c r="T226" s="51"/>
      <x:c r="U226" s="51"/>
      <x:c r="V226" s="51"/>
      <x:c r="W226" s="61"/>
      <x:c r="X226" s="61"/>
      <x:c r="Y226" s="51"/>
      <x:c r="Z226" s="53"/>
      <x:c r="AA226" s="51"/>
      <x:c r="AB226" s="64" t="str">
        <x:f>IF(AC226="","",AC226)</x:f>
      </x:c>
      <x:c r="AC226" s="67"/>
      <x:c r="AD226" s="69" t="str">
        <x:f>IF(AE226="","",AE226)</x:f>
      </x:c>
      <x:c r="AE226" s="71"/>
      <x:c r="AF226" s="73" t="str">
        <x:f>IF(AC226="","",1/AC226)</x:f>
      </x:c>
      <x:c r="AG226" s="61"/>
      <x:c r="AH226" s="61"/>
      <x:c r="AI226" s="64" t="str">
        <x:f>IF(OR(AC226="",AG226=""),"",AC226*AG226-1)</x:f>
      </x:c>
      <x:c r="AJ226" s="75" t="str">
        <x:f>IF(OR(G226="",F226=""),"",IF(AND(G226&gt;='Calibrare v2'!$B$35,F226&lt;='Calibrare v2'!$B$34),"PASS","FAIL"))</x:f>
      </x:c>
      <x:c r="AK226" s="75" t="str">
        <x:f>IF(AL226="","",AL226)</x:f>
      </x:c>
      <x:c r="AL226" s="77"/>
      <x:c r="AM226" s="77"/>
      <x:c r="AN226" s="64" t="str">
        <x:f>IF(OR(AC226="",P226=""),"",(AC226-P226)^2)</x:f>
      </x:c>
      <x:c r="AO226" s="64" t="str">
        <x:f>IF(OR(AG226="",AH226=""),"",AG226/AH226-1)</x:f>
      </x:c>
      <x:c r="AP226" s="61"/>
      <x:c r="AQ226" s="73" t="n">
        <x:f>IF(OR(AM226&lt;&gt;"PARIU U4,5",M226="",AP226="",AG226=""),0,IF(M226="UNDER",AP226*(AG226-1),-AP226))</x:f>
        <x:v>0</x:v>
      </x:c>
      <x:c r="AR226" s="51"/>
    </x:row>
    <x:row r="227">
      <x:c r="A227" s="9" t="str">
        <x:f>IF(D227="","",ROW()-1)</x:f>
      </x:c>
      <x:c r="B227" s="51"/>
      <x:c r="C227" s="51"/>
      <x:c r="D227" s="51"/>
      <x:c r="E227" s="9" t="str">
        <x:f>IF(D227="","",IF(AND(F227&lt;='Calibrare v2'!$B$33,G227&gt;=0.86),"DA – FEZABIL",IF(G227&gt;=0.8,"DA – PRUDENT","NU – EVITĂ")))</x:f>
      </x:c>
      <x:c r="F227" s="16" t="str">
        <x:f>IF(OR(W227="",X227=""),"",W227+X227)</x:f>
      </x:c>
      <x:c r="G227" s="28" t="str">
        <x:f>IF(F227="","",EXP(-F227)*(1+F227+F227^2/2+F227^3/6+F227^4/24))</x:f>
      </x:c>
      <x:c r="H227" s="53"/>
      <x:c r="I227" s="9" t="str">
        <x:f>IF(F227="","",IF(F227&lt;='Calibrare v2'!$B$33,"PASS","FAIL"))</x:f>
      </x:c>
      <x:c r="J227" s="51"/>
      <x:c r="K227" s="51"/>
      <x:c r="L227" s="9" t="str">
        <x:f>IF(OR(J227="",K227=""),"",J227+K227)</x:f>
      </x:c>
      <x:c r="M227" s="9" t="str">
        <x:f>IF(L227="","",IF(L227&lt;=4,"UNDER","OVER"))</x:f>
      </x:c>
      <x:c r="N227" s="9" t="str">
        <x:f>IF(E227="","",IF(LEFT(E227,2)="DA","PARIU U146,5","NO BET"))</x:f>
      </x:c>
      <x:c r="O227" s="9" t="str">
        <x:f>IF(M227="","",IF(AM227="PARIU U146,5",IF(M227="UNDER","SUCCES","EȘEC"),IF(M227="UNDER","FALS NEGATIV","EVITARE CORECTĂ")))</x:f>
      </x:c>
      <x:c r="P227" s="9" t="str">
        <x:f>IF(M227="","",IF(M227="UNDER",1,0))</x:f>
      </x:c>
      <x:c r="Q227" s="9" t="str">
        <x:f>IF(P227="","",(G227-P227)^2)</x:f>
      </x:c>
      <x:c r="R227" s="9" t="str">
        <x:f>IF(L227="","",L227-F227)</x:f>
      </x:c>
      <x:c r="S227" s="9" t="str">
        <x:f>IF(L227="","",IF(M227="UNDER","U146,5 reușit; total final "&amp;L227&amp;" vs λ="&amp;TEXT(F227,"0.00")&amp;".","Eșec U146,5; total final "&amp;L227&amp;" vs λ="&amp;TEXT(F227,"0.00")&amp;". Revizuiește Tail Risk, sursa λ și calibrarea."))</x:f>
      </x:c>
      <x:c r="T227" s="51"/>
      <x:c r="U227" s="51"/>
      <x:c r="V227" s="51"/>
      <x:c r="W227" s="61"/>
      <x:c r="X227" s="61"/>
      <x:c r="Y227" s="51"/>
      <x:c r="Z227" s="53"/>
      <x:c r="AA227" s="51"/>
      <x:c r="AB227" s="64" t="str">
        <x:f>IF(AC227="","",AC227)</x:f>
      </x:c>
      <x:c r="AC227" s="67"/>
      <x:c r="AD227" s="69" t="str">
        <x:f>IF(AE227="","",AE227)</x:f>
      </x:c>
      <x:c r="AE227" s="71"/>
      <x:c r="AF227" s="73" t="str">
        <x:f>IF(AC227="","",1/AC227)</x:f>
      </x:c>
      <x:c r="AG227" s="61"/>
      <x:c r="AH227" s="61"/>
      <x:c r="AI227" s="64" t="str">
        <x:f>IF(OR(AC227="",AG227=""),"",AC227*AG227-1)</x:f>
      </x:c>
      <x:c r="AJ227" s="75" t="str">
        <x:f>IF(OR(G227="",F227=""),"",IF(AND(G227&gt;='Calibrare v2'!$B$35,F227&lt;='Calibrare v2'!$B$34),"PASS","FAIL"))</x:f>
      </x:c>
      <x:c r="AK227" s="75" t="str">
        <x:f>IF(AL227="","",AL227)</x:f>
      </x:c>
      <x:c r="AL227" s="77"/>
      <x:c r="AM227" s="77"/>
      <x:c r="AN227" s="64" t="str">
        <x:f>IF(OR(AC227="",P227=""),"",(AC227-P227)^2)</x:f>
      </x:c>
      <x:c r="AO227" s="64" t="str">
        <x:f>IF(OR(AG227="",AH227=""),"",AG227/AH227-1)</x:f>
      </x:c>
      <x:c r="AP227" s="61"/>
      <x:c r="AQ227" s="73" t="n">
        <x:f>IF(OR(AM227&lt;&gt;"PARIU U4,5",M227="",AP227="",AG227=""),0,IF(M227="UNDER",AP227*(AG227-1),-AP227))</x:f>
        <x:v>0</x:v>
      </x:c>
      <x:c r="AR227" s="51"/>
    </x:row>
    <x:row r="228">
      <x:c r="A228" s="9" t="str">
        <x:f>IF(D228="","",ROW()-1)</x:f>
      </x:c>
      <x:c r="B228" s="51"/>
      <x:c r="C228" s="51"/>
      <x:c r="D228" s="51"/>
      <x:c r="E228" s="9" t="str">
        <x:f>IF(D228="","",IF(AND(F228&lt;='Calibrare v2'!$B$33,G228&gt;=0.86),"DA – FEZABIL",IF(G228&gt;=0.8,"DA – PRUDENT","NU – EVITĂ")))</x:f>
      </x:c>
      <x:c r="F228" s="16" t="str">
        <x:f>IF(OR(W228="",X228=""),"",W228+X228)</x:f>
      </x:c>
      <x:c r="G228" s="28" t="str">
        <x:f>IF(F228="","",EXP(-F228)*(1+F228+F228^2/2+F228^3/6+F228^4/24))</x:f>
      </x:c>
      <x:c r="H228" s="53"/>
      <x:c r="I228" s="9" t="str">
        <x:f>IF(F228="","",IF(F228&lt;='Calibrare v2'!$B$33,"PASS","FAIL"))</x:f>
      </x:c>
      <x:c r="J228" s="51"/>
      <x:c r="K228" s="51"/>
      <x:c r="L228" s="9" t="str">
        <x:f>IF(OR(J228="",K228=""),"",J228+K228)</x:f>
      </x:c>
      <x:c r="M228" s="9" t="str">
        <x:f>IF(L228="","",IF(L228&lt;=4,"UNDER","OVER"))</x:f>
      </x:c>
      <x:c r="N228" s="9" t="str">
        <x:f>IF(E228="","",IF(LEFT(E228,2)="DA","PARIU U147,5","NO BET"))</x:f>
      </x:c>
      <x:c r="O228" s="9" t="str">
        <x:f>IF(M228="","",IF(AM228="PARIU U147,5",IF(M228="UNDER","SUCCES","EȘEC"),IF(M228="UNDER","FALS NEGATIV","EVITARE CORECTĂ")))</x:f>
      </x:c>
      <x:c r="P228" s="9" t="str">
        <x:f>IF(M228="","",IF(M228="UNDER",1,0))</x:f>
      </x:c>
      <x:c r="Q228" s="9" t="str">
        <x:f>IF(P228="","",(G228-P228)^2)</x:f>
      </x:c>
      <x:c r="R228" s="9" t="str">
        <x:f>IF(L228="","",L228-F228)</x:f>
      </x:c>
      <x:c r="S228" s="9" t="str">
        <x:f>IF(L228="","",IF(M228="UNDER","U147,5 reușit; total final "&amp;L228&amp;" vs λ="&amp;TEXT(F228,"0.00")&amp;".","Eșec U147,5; total final "&amp;L228&amp;" vs λ="&amp;TEXT(F228,"0.00")&amp;". Revizuiește Tail Risk, sursa λ și calibrarea."))</x:f>
      </x:c>
      <x:c r="T228" s="51"/>
      <x:c r="U228" s="51"/>
      <x:c r="V228" s="51"/>
      <x:c r="W228" s="61"/>
      <x:c r="X228" s="61"/>
      <x:c r="Y228" s="51"/>
      <x:c r="Z228" s="53"/>
      <x:c r="AA228" s="51"/>
      <x:c r="AB228" s="64" t="str">
        <x:f>IF(AC228="","",AC228)</x:f>
      </x:c>
      <x:c r="AC228" s="67"/>
      <x:c r="AD228" s="69" t="str">
        <x:f>IF(AE228="","",AE228)</x:f>
      </x:c>
      <x:c r="AE228" s="71"/>
      <x:c r="AF228" s="73" t="str">
        <x:f>IF(AC228="","",1/AC228)</x:f>
      </x:c>
      <x:c r="AG228" s="61"/>
      <x:c r="AH228" s="61"/>
      <x:c r="AI228" s="64" t="str">
        <x:f>IF(OR(AC228="",AG228=""),"",AC228*AG228-1)</x:f>
      </x:c>
      <x:c r="AJ228" s="75" t="str">
        <x:f>IF(OR(G228="",F228=""),"",IF(AND(G228&gt;='Calibrare v2'!$B$35,F228&lt;='Calibrare v2'!$B$34),"PASS","FAIL"))</x:f>
      </x:c>
      <x:c r="AK228" s="75" t="str">
        <x:f>IF(AL228="","",AL228)</x:f>
      </x:c>
      <x:c r="AL228" s="77"/>
      <x:c r="AM228" s="77"/>
      <x:c r="AN228" s="64" t="str">
        <x:f>IF(OR(AC228="",P228=""),"",(AC228-P228)^2)</x:f>
      </x:c>
      <x:c r="AO228" s="64" t="str">
        <x:f>IF(OR(AG228="",AH228=""),"",AG228/AH228-1)</x:f>
      </x:c>
      <x:c r="AP228" s="61"/>
      <x:c r="AQ228" s="73" t="n">
        <x:f>IF(OR(AM228&lt;&gt;"PARIU U4,5",M228="",AP228="",AG228=""),0,IF(M228="UNDER",AP228*(AG228-1),-AP228))</x:f>
        <x:v>0</x:v>
      </x:c>
      <x:c r="AR228" s="51"/>
    </x:row>
    <x:row r="229">
      <x:c r="A229" s="9" t="str">
        <x:f>IF(D229="","",ROW()-1)</x:f>
      </x:c>
      <x:c r="B229" s="51"/>
      <x:c r="C229" s="51"/>
      <x:c r="D229" s="51"/>
      <x:c r="E229" s="9" t="str">
        <x:f>IF(D229="","",IF(AND(F229&lt;='Calibrare v2'!$B$33,G229&gt;=0.86),"DA – FEZABIL",IF(G229&gt;=0.8,"DA – PRUDENT","NU – EVITĂ")))</x:f>
      </x:c>
      <x:c r="F229" s="16" t="str">
        <x:f>IF(OR(W229="",X229=""),"",W229+X229)</x:f>
      </x:c>
      <x:c r="G229" s="28" t="str">
        <x:f>IF(F229="","",EXP(-F229)*(1+F229+F229^2/2+F229^3/6+F229^4/24))</x:f>
      </x:c>
      <x:c r="H229" s="53"/>
      <x:c r="I229" s="9" t="str">
        <x:f>IF(F229="","",IF(F229&lt;='Calibrare v2'!$B$33,"PASS","FAIL"))</x:f>
      </x:c>
      <x:c r="J229" s="51"/>
      <x:c r="K229" s="51"/>
      <x:c r="L229" s="9" t="str">
        <x:f>IF(OR(J229="",K229=""),"",J229+K229)</x:f>
      </x:c>
      <x:c r="M229" s="9" t="str">
        <x:f>IF(L229="","",IF(L229&lt;=4,"UNDER","OVER"))</x:f>
      </x:c>
      <x:c r="N229" s="9" t="str">
        <x:f>IF(E229="","",IF(LEFT(E229,2)="DA","PARIU U148,5","NO BET"))</x:f>
      </x:c>
      <x:c r="O229" s="9" t="str">
        <x:f>IF(M229="","",IF(AM229="PARIU U148,5",IF(M229="UNDER","SUCCES","EȘEC"),IF(M229="UNDER","FALS NEGATIV","EVITARE CORECTĂ")))</x:f>
      </x:c>
      <x:c r="P229" s="9" t="str">
        <x:f>IF(M229="","",IF(M229="UNDER",1,0))</x:f>
      </x:c>
      <x:c r="Q229" s="9" t="str">
        <x:f>IF(P229="","",(G229-P229)^2)</x:f>
      </x:c>
      <x:c r="R229" s="9" t="str">
        <x:f>IF(L229="","",L229-F229)</x:f>
      </x:c>
      <x:c r="S229" s="9" t="str">
        <x:f>IF(L229="","",IF(M229="UNDER","U148,5 reușit; total final "&amp;L229&amp;" vs λ="&amp;TEXT(F229,"0.00")&amp;".","Eșec U148,5; total final "&amp;L229&amp;" vs λ="&amp;TEXT(F229,"0.00")&amp;". Revizuiește Tail Risk, sursa λ și calibrarea."))</x:f>
      </x:c>
      <x:c r="T229" s="51"/>
      <x:c r="U229" s="51"/>
      <x:c r="V229" s="51"/>
      <x:c r="W229" s="61"/>
      <x:c r="X229" s="61"/>
      <x:c r="Y229" s="51"/>
      <x:c r="Z229" s="53"/>
      <x:c r="AA229" s="51"/>
      <x:c r="AB229" s="64" t="str">
        <x:f>IF(AC229="","",AC229)</x:f>
      </x:c>
      <x:c r="AC229" s="67"/>
      <x:c r="AD229" s="69" t="str">
        <x:f>IF(AE229="","",AE229)</x:f>
      </x:c>
      <x:c r="AE229" s="71"/>
      <x:c r="AF229" s="73" t="str">
        <x:f>IF(AC229="","",1/AC229)</x:f>
      </x:c>
      <x:c r="AG229" s="61"/>
      <x:c r="AH229" s="61"/>
      <x:c r="AI229" s="64" t="str">
        <x:f>IF(OR(AC229="",AG229=""),"",AC229*AG229-1)</x:f>
      </x:c>
      <x:c r="AJ229" s="75" t="str">
        <x:f>IF(OR(G229="",F229=""),"",IF(AND(G229&gt;='Calibrare v2'!$B$35,F229&lt;='Calibrare v2'!$B$34),"PASS","FAIL"))</x:f>
      </x:c>
      <x:c r="AK229" s="75" t="str">
        <x:f>IF(AL229="","",AL229)</x:f>
      </x:c>
      <x:c r="AL229" s="77"/>
      <x:c r="AM229" s="77"/>
      <x:c r="AN229" s="64" t="str">
        <x:f>IF(OR(AC229="",P229=""),"",(AC229-P229)^2)</x:f>
      </x:c>
      <x:c r="AO229" s="64" t="str">
        <x:f>IF(OR(AG229="",AH229=""),"",AG229/AH229-1)</x:f>
      </x:c>
      <x:c r="AP229" s="61"/>
      <x:c r="AQ229" s="73" t="n">
        <x:f>IF(OR(AM229&lt;&gt;"PARIU U4,5",M229="",AP229="",AG229=""),0,IF(M229="UNDER",AP229*(AG229-1),-AP229))</x:f>
        <x:v>0</x:v>
      </x:c>
      <x:c r="AR229" s="51"/>
    </x:row>
    <x:row r="230">
      <x:c r="A230" s="9" t="str">
        <x:f>IF(D230="","",ROW()-1)</x:f>
      </x:c>
      <x:c r="B230" s="51"/>
      <x:c r="C230" s="51"/>
      <x:c r="D230" s="51"/>
      <x:c r="E230" s="9" t="str">
        <x:f>IF(D230="","",IF(AND(F230&lt;='Calibrare v2'!$B$33,G230&gt;=0.86),"DA – FEZABIL",IF(G230&gt;=0.8,"DA – PRUDENT","NU – EVITĂ")))</x:f>
      </x:c>
      <x:c r="F230" s="16" t="str">
        <x:f>IF(OR(W230="",X230=""),"",W230+X230)</x:f>
      </x:c>
      <x:c r="G230" s="28" t="str">
        <x:f>IF(F230="","",EXP(-F230)*(1+F230+F230^2/2+F230^3/6+F230^4/24))</x:f>
      </x:c>
      <x:c r="H230" s="53"/>
      <x:c r="I230" s="9" t="str">
        <x:f>IF(F230="","",IF(F230&lt;='Calibrare v2'!$B$33,"PASS","FAIL"))</x:f>
      </x:c>
      <x:c r="J230" s="51"/>
      <x:c r="K230" s="51"/>
      <x:c r="L230" s="9" t="str">
        <x:f>IF(OR(J230="",K230=""),"",J230+K230)</x:f>
      </x:c>
      <x:c r="M230" s="9" t="str">
        <x:f>IF(L230="","",IF(L230&lt;=4,"UNDER","OVER"))</x:f>
      </x:c>
      <x:c r="N230" s="9" t="str">
        <x:f>IF(E230="","",IF(LEFT(E230,2)="DA","PARIU U149,5","NO BET"))</x:f>
      </x:c>
      <x:c r="O230" s="9" t="str">
        <x:f>IF(M230="","",IF(AM230="PARIU U149,5",IF(M230="UNDER","SUCCES","EȘEC"),IF(M230="UNDER","FALS NEGATIV","EVITARE CORECTĂ")))</x:f>
      </x:c>
      <x:c r="P230" s="9" t="str">
        <x:f>IF(M230="","",IF(M230="UNDER",1,0))</x:f>
      </x:c>
      <x:c r="Q230" s="9" t="str">
        <x:f>IF(P230="","",(G230-P230)^2)</x:f>
      </x:c>
      <x:c r="R230" s="9" t="str">
        <x:f>IF(L230="","",L230-F230)</x:f>
      </x:c>
      <x:c r="S230" s="9" t="str">
        <x:f>IF(L230="","",IF(M230="UNDER","U149,5 reușit; total final "&amp;L230&amp;" vs λ="&amp;TEXT(F230,"0.00")&amp;".","Eșec U149,5; total final "&amp;L230&amp;" vs λ="&amp;TEXT(F230,"0.00")&amp;". Revizuiește Tail Risk, sursa λ și calibrarea."))</x:f>
      </x:c>
      <x:c r="T230" s="51"/>
      <x:c r="U230" s="51"/>
      <x:c r="V230" s="51"/>
      <x:c r="W230" s="61"/>
      <x:c r="X230" s="61"/>
      <x:c r="Y230" s="51"/>
      <x:c r="Z230" s="53"/>
      <x:c r="AA230" s="51"/>
      <x:c r="AB230" s="64" t="str">
        <x:f>IF(AC230="","",AC230)</x:f>
      </x:c>
      <x:c r="AC230" s="67"/>
      <x:c r="AD230" s="69" t="str">
        <x:f>IF(AE230="","",AE230)</x:f>
      </x:c>
      <x:c r="AE230" s="71"/>
      <x:c r="AF230" s="73" t="str">
        <x:f>IF(AC230="","",1/AC230)</x:f>
      </x:c>
      <x:c r="AG230" s="61"/>
      <x:c r="AH230" s="61"/>
      <x:c r="AI230" s="64" t="str">
        <x:f>IF(OR(AC230="",AG230=""),"",AC230*AG230-1)</x:f>
      </x:c>
      <x:c r="AJ230" s="75" t="str">
        <x:f>IF(OR(G230="",F230=""),"",IF(AND(G230&gt;='Calibrare v2'!$B$35,F230&lt;='Calibrare v2'!$B$34),"PASS","FAIL"))</x:f>
      </x:c>
      <x:c r="AK230" s="75" t="str">
        <x:f>IF(AL230="","",AL230)</x:f>
      </x:c>
      <x:c r="AL230" s="77"/>
      <x:c r="AM230" s="77"/>
      <x:c r="AN230" s="64" t="str">
        <x:f>IF(OR(AC230="",P230=""),"",(AC230-P230)^2)</x:f>
      </x:c>
      <x:c r="AO230" s="64" t="str">
        <x:f>IF(OR(AG230="",AH230=""),"",AG230/AH230-1)</x:f>
      </x:c>
      <x:c r="AP230" s="61"/>
      <x:c r="AQ230" s="73" t="n">
        <x:f>IF(OR(AM230&lt;&gt;"PARIU U4,5",M230="",AP230="",AG230=""),0,IF(M230="UNDER",AP230*(AG230-1),-AP230))</x:f>
        <x:v>0</x:v>
      </x:c>
      <x:c r="AR230" s="51"/>
    </x:row>
    <x:row r="231">
      <x:c r="A231" s="9" t="str">
        <x:f>IF(D231="","",ROW()-1)</x:f>
      </x:c>
      <x:c r="B231" s="51"/>
      <x:c r="C231" s="51"/>
      <x:c r="D231" s="51"/>
      <x:c r="E231" s="9" t="str">
        <x:f>IF(D231="","",IF(AND(F231&lt;='Calibrare v2'!$B$33,G231&gt;=0.86),"DA – FEZABIL",IF(G231&gt;=0.8,"DA – PRUDENT","NU – EVITĂ")))</x:f>
      </x:c>
      <x:c r="F231" s="16" t="str">
        <x:f>IF(OR(W231="",X231=""),"",W231+X231)</x:f>
      </x:c>
      <x:c r="G231" s="28" t="str">
        <x:f>IF(F231="","",EXP(-F231)*(1+F231+F231^2/2+F231^3/6+F231^4/24))</x:f>
      </x:c>
      <x:c r="H231" s="53"/>
      <x:c r="I231" s="9" t="str">
        <x:f>IF(F231="","",IF(F231&lt;='Calibrare v2'!$B$33,"PASS","FAIL"))</x:f>
      </x:c>
      <x:c r="J231" s="51"/>
      <x:c r="K231" s="51"/>
      <x:c r="L231" s="9" t="str">
        <x:f>IF(OR(J231="",K231=""),"",J231+K231)</x:f>
      </x:c>
      <x:c r="M231" s="9" t="str">
        <x:f>IF(L231="","",IF(L231&lt;=4,"UNDER","OVER"))</x:f>
      </x:c>
      <x:c r="N231" s="9" t="str">
        <x:f>IF(E231="","",IF(LEFT(E231,2)="DA","PARIU U150,5","NO BET"))</x:f>
      </x:c>
      <x:c r="O231" s="9" t="str">
        <x:f>IF(M231="","",IF(AM231="PARIU U150,5",IF(M231="UNDER","SUCCES","EȘEC"),IF(M231="UNDER","FALS NEGATIV","EVITARE CORECTĂ")))</x:f>
      </x:c>
      <x:c r="P231" s="9" t="str">
        <x:f>IF(M231="","",IF(M231="UNDER",1,0))</x:f>
      </x:c>
      <x:c r="Q231" s="9" t="str">
        <x:f>IF(P231="","",(G231-P231)^2)</x:f>
      </x:c>
      <x:c r="R231" s="9" t="str">
        <x:f>IF(L231="","",L231-F231)</x:f>
      </x:c>
      <x:c r="S231" s="9" t="str">
        <x:f>IF(L231="","",IF(M231="UNDER","U150,5 reușit; total final "&amp;L231&amp;" vs λ="&amp;TEXT(F231,"0.00")&amp;".","Eșec U150,5; total final "&amp;L231&amp;" vs λ="&amp;TEXT(F231,"0.00")&amp;". Revizuiește Tail Risk, sursa λ și calibrarea."))</x:f>
      </x:c>
      <x:c r="T231" s="51"/>
      <x:c r="U231" s="51"/>
      <x:c r="V231" s="51"/>
      <x:c r="W231" s="61"/>
      <x:c r="X231" s="61"/>
      <x:c r="Y231" s="51"/>
      <x:c r="Z231" s="53"/>
      <x:c r="AA231" s="51"/>
      <x:c r="AB231" s="64" t="str">
        <x:f>IF(AC231="","",AC231)</x:f>
      </x:c>
      <x:c r="AC231" s="67"/>
      <x:c r="AD231" s="69" t="str">
        <x:f>IF(AE231="","",AE231)</x:f>
      </x:c>
      <x:c r="AE231" s="71"/>
      <x:c r="AF231" s="73" t="str">
        <x:f>IF(AC231="","",1/AC231)</x:f>
      </x:c>
      <x:c r="AG231" s="61"/>
      <x:c r="AH231" s="61"/>
      <x:c r="AI231" s="64" t="str">
        <x:f>IF(OR(AC231="",AG231=""),"",AC231*AG231-1)</x:f>
      </x:c>
      <x:c r="AJ231" s="75" t="str">
        <x:f>IF(OR(G231="",F231=""),"",IF(AND(G231&gt;='Calibrare v2'!$B$35,F231&lt;='Calibrare v2'!$B$34),"PASS","FAIL"))</x:f>
      </x:c>
      <x:c r="AK231" s="75" t="str">
        <x:f>IF(AL231="","",AL231)</x:f>
      </x:c>
      <x:c r="AL231" s="77"/>
      <x:c r="AM231" s="77"/>
      <x:c r="AN231" s="64" t="str">
        <x:f>IF(OR(AC231="",P231=""),"",(AC231-P231)^2)</x:f>
      </x:c>
      <x:c r="AO231" s="64" t="str">
        <x:f>IF(OR(AG231="",AH231=""),"",AG231/AH231-1)</x:f>
      </x:c>
      <x:c r="AP231" s="61"/>
      <x:c r="AQ231" s="73" t="n">
        <x:f>IF(OR(AM231&lt;&gt;"PARIU U4,5",M231="",AP231="",AG231=""),0,IF(M231="UNDER",AP231*(AG231-1),-AP231))</x:f>
        <x:v>0</x:v>
      </x:c>
      <x:c r="AR231" s="51"/>
    </x:row>
    <x:row r="232">
      <x:c r="A232" s="9" t="str">
        <x:f>IF(D232="","",ROW()-1)</x:f>
      </x:c>
      <x:c r="B232" s="51"/>
      <x:c r="C232" s="51"/>
      <x:c r="D232" s="51"/>
      <x:c r="E232" s="9" t="str">
        <x:f>IF(D232="","",IF(AND(F232&lt;='Calibrare v2'!$B$33,G232&gt;=0.86),"DA – FEZABIL",IF(G232&gt;=0.8,"DA – PRUDENT","NU – EVITĂ")))</x:f>
      </x:c>
      <x:c r="F232" s="16" t="str">
        <x:f>IF(OR(W232="",X232=""),"",W232+X232)</x:f>
      </x:c>
      <x:c r="G232" s="28" t="str">
        <x:f>IF(F232="","",EXP(-F232)*(1+F232+F232^2/2+F232^3/6+F232^4/24))</x:f>
      </x:c>
      <x:c r="H232" s="53"/>
      <x:c r="I232" s="9" t="str">
        <x:f>IF(F232="","",IF(F232&lt;='Calibrare v2'!$B$33,"PASS","FAIL"))</x:f>
      </x:c>
      <x:c r="J232" s="51"/>
      <x:c r="K232" s="51"/>
      <x:c r="L232" s="9" t="str">
        <x:f>IF(OR(J232="",K232=""),"",J232+K232)</x:f>
      </x:c>
      <x:c r="M232" s="9" t="str">
        <x:f>IF(L232="","",IF(L232&lt;=4,"UNDER","OVER"))</x:f>
      </x:c>
      <x:c r="N232" s="9" t="str">
        <x:f>IF(E232="","",IF(LEFT(E232,2)="DA","PARIU U151,5","NO BET"))</x:f>
      </x:c>
      <x:c r="O232" s="9" t="str">
        <x:f>IF(M232="","",IF(AM232="PARIU U151,5",IF(M232="UNDER","SUCCES","EȘEC"),IF(M232="UNDER","FALS NEGATIV","EVITARE CORECTĂ")))</x:f>
      </x:c>
      <x:c r="P232" s="9" t="str">
        <x:f>IF(M232="","",IF(M232="UNDER",1,0))</x:f>
      </x:c>
      <x:c r="Q232" s="9" t="str">
        <x:f>IF(P232="","",(G232-P232)^2)</x:f>
      </x:c>
      <x:c r="R232" s="9" t="str">
        <x:f>IF(L232="","",L232-F232)</x:f>
      </x:c>
      <x:c r="S232" s="9" t="str">
        <x:f>IF(L232="","",IF(M232="UNDER","U151,5 reușit; total final "&amp;L232&amp;" vs λ="&amp;TEXT(F232,"0.00")&amp;".","Eșec U151,5; total final "&amp;L232&amp;" vs λ="&amp;TEXT(F232,"0.00")&amp;". Revizuiește Tail Risk, sursa λ și calibrarea."))</x:f>
      </x:c>
      <x:c r="T232" s="51"/>
      <x:c r="U232" s="51"/>
      <x:c r="V232" s="51"/>
      <x:c r="W232" s="61"/>
      <x:c r="X232" s="61"/>
      <x:c r="Y232" s="51"/>
      <x:c r="Z232" s="53"/>
      <x:c r="AA232" s="51"/>
      <x:c r="AB232" s="64" t="str">
        <x:f>IF(AC232="","",AC232)</x:f>
      </x:c>
      <x:c r="AC232" s="67"/>
      <x:c r="AD232" s="69" t="str">
        <x:f>IF(AE232="","",AE232)</x:f>
      </x:c>
      <x:c r="AE232" s="71"/>
      <x:c r="AF232" s="73" t="str">
        <x:f>IF(AC232="","",1/AC232)</x:f>
      </x:c>
      <x:c r="AG232" s="61"/>
      <x:c r="AH232" s="61"/>
      <x:c r="AI232" s="64" t="str">
        <x:f>IF(OR(AC232="",AG232=""),"",AC232*AG232-1)</x:f>
      </x:c>
      <x:c r="AJ232" s="75" t="str">
        <x:f>IF(OR(G232="",F232=""),"",IF(AND(G232&gt;='Calibrare v2'!$B$35,F232&lt;='Calibrare v2'!$B$34),"PASS","FAIL"))</x:f>
      </x:c>
      <x:c r="AK232" s="75" t="str">
        <x:f>IF(AL232="","",AL232)</x:f>
      </x:c>
      <x:c r="AL232" s="77"/>
      <x:c r="AM232" s="77"/>
      <x:c r="AN232" s="64" t="str">
        <x:f>IF(OR(AC232="",P232=""),"",(AC232-P232)^2)</x:f>
      </x:c>
      <x:c r="AO232" s="64" t="str">
        <x:f>IF(OR(AG232="",AH232=""),"",AG232/AH232-1)</x:f>
      </x:c>
      <x:c r="AP232" s="61"/>
      <x:c r="AQ232" s="73" t="n">
        <x:f>IF(OR(AM232&lt;&gt;"PARIU U4,5",M232="",AP232="",AG232=""),0,IF(M232="UNDER",AP232*(AG232-1),-AP232))</x:f>
        <x:v>0</x:v>
      </x:c>
      <x:c r="AR232" s="51"/>
    </x:row>
    <x:row r="233">
      <x:c r="A233" s="9" t="str">
        <x:f>IF(D233="","",ROW()-1)</x:f>
      </x:c>
      <x:c r="B233" s="51"/>
      <x:c r="C233" s="51"/>
      <x:c r="D233" s="51"/>
      <x:c r="E233" s="9" t="str">
        <x:f>IF(D233="","",IF(AND(F233&lt;='Calibrare v2'!$B$33,G233&gt;=0.86),"DA – FEZABIL",IF(G233&gt;=0.8,"DA – PRUDENT","NU – EVITĂ")))</x:f>
      </x:c>
      <x:c r="F233" s="16" t="str">
        <x:f>IF(OR(W233="",X233=""),"",W233+X233)</x:f>
      </x:c>
      <x:c r="G233" s="28" t="str">
        <x:f>IF(F233="","",EXP(-F233)*(1+F233+F233^2/2+F233^3/6+F233^4/24))</x:f>
      </x:c>
      <x:c r="H233" s="53"/>
      <x:c r="I233" s="9" t="str">
        <x:f>IF(F233="","",IF(F233&lt;='Calibrare v2'!$B$33,"PASS","FAIL"))</x:f>
      </x:c>
      <x:c r="J233" s="51"/>
      <x:c r="K233" s="51"/>
      <x:c r="L233" s="9" t="str">
        <x:f>IF(OR(J233="",K233=""),"",J233+K233)</x:f>
      </x:c>
      <x:c r="M233" s="9" t="str">
        <x:f>IF(L233="","",IF(L233&lt;=4,"UNDER","OVER"))</x:f>
      </x:c>
      <x:c r="N233" s="9" t="str">
        <x:f>IF(E233="","",IF(LEFT(E233,2)="DA","PARIU U152,5","NO BET"))</x:f>
      </x:c>
      <x:c r="O233" s="9" t="str">
        <x:f>IF(M233="","",IF(AM233="PARIU U152,5",IF(M233="UNDER","SUCCES","EȘEC"),IF(M233="UNDER","FALS NEGATIV","EVITARE CORECTĂ")))</x:f>
      </x:c>
      <x:c r="P233" s="9" t="str">
        <x:f>IF(M233="","",IF(M233="UNDER",1,0))</x:f>
      </x:c>
      <x:c r="Q233" s="9" t="str">
        <x:f>IF(P233="","",(G233-P233)^2)</x:f>
      </x:c>
      <x:c r="R233" s="9" t="str">
        <x:f>IF(L233="","",L233-F233)</x:f>
      </x:c>
      <x:c r="S233" s="9" t="str">
        <x:f>IF(L233="","",IF(M233="UNDER","U152,5 reușit; total final "&amp;L233&amp;" vs λ="&amp;TEXT(F233,"0.00")&amp;".","Eșec U152,5; total final "&amp;L233&amp;" vs λ="&amp;TEXT(F233,"0.00")&amp;". Revizuiește Tail Risk, sursa λ și calibrarea."))</x:f>
      </x:c>
      <x:c r="T233" s="51"/>
      <x:c r="U233" s="51"/>
      <x:c r="V233" s="51"/>
      <x:c r="W233" s="61"/>
      <x:c r="X233" s="61"/>
      <x:c r="Y233" s="51"/>
      <x:c r="Z233" s="53"/>
      <x:c r="AA233" s="51"/>
      <x:c r="AB233" s="64" t="str">
        <x:f>IF(AC233="","",AC233)</x:f>
      </x:c>
      <x:c r="AC233" s="67"/>
      <x:c r="AD233" s="69" t="str">
        <x:f>IF(AE233="","",AE233)</x:f>
      </x:c>
      <x:c r="AE233" s="71"/>
      <x:c r="AF233" s="73" t="str">
        <x:f>IF(AC233="","",1/AC233)</x:f>
      </x:c>
      <x:c r="AG233" s="61"/>
      <x:c r="AH233" s="61"/>
      <x:c r="AI233" s="64" t="str">
        <x:f>IF(OR(AC233="",AG233=""),"",AC233*AG233-1)</x:f>
      </x:c>
      <x:c r="AJ233" s="75" t="str">
        <x:f>IF(OR(G233="",F233=""),"",IF(AND(G233&gt;='Calibrare v2'!$B$35,F233&lt;='Calibrare v2'!$B$34),"PASS","FAIL"))</x:f>
      </x:c>
      <x:c r="AK233" s="75" t="str">
        <x:f>IF(AL233="","",AL233)</x:f>
      </x:c>
      <x:c r="AL233" s="77"/>
      <x:c r="AM233" s="77"/>
      <x:c r="AN233" s="64" t="str">
        <x:f>IF(OR(AC233="",P233=""),"",(AC233-P233)^2)</x:f>
      </x:c>
      <x:c r="AO233" s="64" t="str">
        <x:f>IF(OR(AG233="",AH233=""),"",AG233/AH233-1)</x:f>
      </x:c>
      <x:c r="AP233" s="61"/>
      <x:c r="AQ233" s="73" t="n">
        <x:f>IF(OR(AM233&lt;&gt;"PARIU U4,5",M233="",AP233="",AG233=""),0,IF(M233="UNDER",AP233*(AG233-1),-AP233))</x:f>
        <x:v>0</x:v>
      </x:c>
      <x:c r="AR233" s="51"/>
    </x:row>
    <x:row r="234">
      <x:c r="A234" s="9" t="str">
        <x:f>IF(D234="","",ROW()-1)</x:f>
      </x:c>
      <x:c r="B234" s="51"/>
      <x:c r="C234" s="51"/>
      <x:c r="D234" s="51"/>
      <x:c r="E234" s="9" t="str">
        <x:f>IF(D234="","",IF(AND(F234&lt;='Calibrare v2'!$B$33,G234&gt;=0.86),"DA – FEZABIL",IF(G234&gt;=0.8,"DA – PRUDENT","NU – EVITĂ")))</x:f>
      </x:c>
      <x:c r="F234" s="16" t="str">
        <x:f>IF(OR(W234="",X234=""),"",W234+X234)</x:f>
      </x:c>
      <x:c r="G234" s="28" t="str">
        <x:f>IF(F234="","",EXP(-F234)*(1+F234+F234^2/2+F234^3/6+F234^4/24))</x:f>
      </x:c>
      <x:c r="H234" s="53"/>
      <x:c r="I234" s="9" t="str">
        <x:f>IF(F234="","",IF(F234&lt;='Calibrare v2'!$B$33,"PASS","FAIL"))</x:f>
      </x:c>
      <x:c r="J234" s="51"/>
      <x:c r="K234" s="51"/>
      <x:c r="L234" s="9" t="str">
        <x:f>IF(OR(J234="",K234=""),"",J234+K234)</x:f>
      </x:c>
      <x:c r="M234" s="9" t="str">
        <x:f>IF(L234="","",IF(L234&lt;=4,"UNDER","OVER"))</x:f>
      </x:c>
      <x:c r="N234" s="9" t="str">
        <x:f>IF(E234="","",IF(LEFT(E234,2)="DA","PARIU U153,5","NO BET"))</x:f>
      </x:c>
      <x:c r="O234" s="9" t="str">
        <x:f>IF(M234="","",IF(AM234="PARIU U153,5",IF(M234="UNDER","SUCCES","EȘEC"),IF(M234="UNDER","FALS NEGATIV","EVITARE CORECTĂ")))</x:f>
      </x:c>
      <x:c r="P234" s="9" t="str">
        <x:f>IF(M234="","",IF(M234="UNDER",1,0))</x:f>
      </x:c>
      <x:c r="Q234" s="9" t="str">
        <x:f>IF(P234="","",(G234-P234)^2)</x:f>
      </x:c>
      <x:c r="R234" s="9" t="str">
        <x:f>IF(L234="","",L234-F234)</x:f>
      </x:c>
      <x:c r="S234" s="9" t="str">
        <x:f>IF(L234="","",IF(M234="UNDER","U153,5 reușit; total final "&amp;L234&amp;" vs λ="&amp;TEXT(F234,"0.00")&amp;".","Eșec U153,5; total final "&amp;L234&amp;" vs λ="&amp;TEXT(F234,"0.00")&amp;". Revizuiește Tail Risk, sursa λ și calibrarea."))</x:f>
      </x:c>
      <x:c r="T234" s="51"/>
      <x:c r="U234" s="51"/>
      <x:c r="V234" s="51"/>
      <x:c r="W234" s="61"/>
      <x:c r="X234" s="61"/>
      <x:c r="Y234" s="51"/>
      <x:c r="Z234" s="53"/>
      <x:c r="AA234" s="51"/>
      <x:c r="AB234" s="64" t="str">
        <x:f>IF(AC234="","",AC234)</x:f>
      </x:c>
      <x:c r="AC234" s="67"/>
      <x:c r="AD234" s="69" t="str">
        <x:f>IF(AE234="","",AE234)</x:f>
      </x:c>
      <x:c r="AE234" s="71"/>
      <x:c r="AF234" s="73" t="str">
        <x:f>IF(AC234="","",1/AC234)</x:f>
      </x:c>
      <x:c r="AG234" s="61"/>
      <x:c r="AH234" s="61"/>
      <x:c r="AI234" s="64" t="str">
        <x:f>IF(OR(AC234="",AG234=""),"",AC234*AG234-1)</x:f>
      </x:c>
      <x:c r="AJ234" s="75" t="str">
        <x:f>IF(OR(G234="",F234=""),"",IF(AND(G234&gt;='Calibrare v2'!$B$35,F234&lt;='Calibrare v2'!$B$34),"PASS","FAIL"))</x:f>
      </x:c>
      <x:c r="AK234" s="75" t="str">
        <x:f>IF(AL234="","",AL234)</x:f>
      </x:c>
      <x:c r="AL234" s="77"/>
      <x:c r="AM234" s="77"/>
      <x:c r="AN234" s="64" t="str">
        <x:f>IF(OR(AC234="",P234=""),"",(AC234-P234)^2)</x:f>
      </x:c>
      <x:c r="AO234" s="64" t="str">
        <x:f>IF(OR(AG234="",AH234=""),"",AG234/AH234-1)</x:f>
      </x:c>
      <x:c r="AP234" s="61"/>
      <x:c r="AQ234" s="73" t="n">
        <x:f>IF(OR(AM234&lt;&gt;"PARIU U4,5",M234="",AP234="",AG234=""),0,IF(M234="UNDER",AP234*(AG234-1),-AP234))</x:f>
        <x:v>0</x:v>
      </x:c>
      <x:c r="AR234" s="51"/>
    </x:row>
    <x:row r="235">
      <x:c r="A235" s="9" t="str">
        <x:f>IF(D235="","",ROW()-1)</x:f>
      </x:c>
      <x:c r="B235" s="51"/>
      <x:c r="C235" s="51"/>
      <x:c r="D235" s="51"/>
      <x:c r="E235" s="9" t="str">
        <x:f>IF(D235="","",IF(AND(F235&lt;='Calibrare v2'!$B$33,G235&gt;=0.86),"DA – FEZABIL",IF(G235&gt;=0.8,"DA – PRUDENT","NU – EVITĂ")))</x:f>
      </x:c>
      <x:c r="F235" s="16" t="str">
        <x:f>IF(OR(W235="",X235=""),"",W235+X235)</x:f>
      </x:c>
      <x:c r="G235" s="28" t="str">
        <x:f>IF(F235="","",EXP(-F235)*(1+F235+F235^2/2+F235^3/6+F235^4/24))</x:f>
      </x:c>
      <x:c r="H235" s="53"/>
      <x:c r="I235" s="9" t="str">
        <x:f>IF(F235="","",IF(F235&lt;='Calibrare v2'!$B$33,"PASS","FAIL"))</x:f>
      </x:c>
      <x:c r="J235" s="51"/>
      <x:c r="K235" s="51"/>
      <x:c r="L235" s="9" t="str">
        <x:f>IF(OR(J235="",K235=""),"",J235+K235)</x:f>
      </x:c>
      <x:c r="M235" s="9" t="str">
        <x:f>IF(L235="","",IF(L235&lt;=4,"UNDER","OVER"))</x:f>
      </x:c>
      <x:c r="N235" s="9" t="str">
        <x:f>IF(E235="","",IF(LEFT(E235,2)="DA","PARIU U154,5","NO BET"))</x:f>
      </x:c>
      <x:c r="O235" s="9" t="str">
        <x:f>IF(M235="","",IF(AM235="PARIU U154,5",IF(M235="UNDER","SUCCES","EȘEC"),IF(M235="UNDER","FALS NEGATIV","EVITARE CORECTĂ")))</x:f>
      </x:c>
      <x:c r="P235" s="9" t="str">
        <x:f>IF(M235="","",IF(M235="UNDER",1,0))</x:f>
      </x:c>
      <x:c r="Q235" s="9" t="str">
        <x:f>IF(P235="","",(G235-P235)^2)</x:f>
      </x:c>
      <x:c r="R235" s="9" t="str">
        <x:f>IF(L235="","",L235-F235)</x:f>
      </x:c>
      <x:c r="S235" s="9" t="str">
        <x:f>IF(L235="","",IF(M235="UNDER","U154,5 reușit; total final "&amp;L235&amp;" vs λ="&amp;TEXT(F235,"0.00")&amp;".","Eșec U154,5; total final "&amp;L235&amp;" vs λ="&amp;TEXT(F235,"0.00")&amp;". Revizuiește Tail Risk, sursa λ și calibrarea."))</x:f>
      </x:c>
      <x:c r="T235" s="51"/>
      <x:c r="U235" s="51"/>
      <x:c r="V235" s="51"/>
      <x:c r="W235" s="61"/>
      <x:c r="X235" s="61"/>
      <x:c r="Y235" s="51"/>
      <x:c r="Z235" s="53"/>
      <x:c r="AA235" s="51"/>
      <x:c r="AB235" s="64" t="str">
        <x:f>IF(AC235="","",AC235)</x:f>
      </x:c>
      <x:c r="AC235" s="67"/>
      <x:c r="AD235" s="69" t="str">
        <x:f>IF(AE235="","",AE235)</x:f>
      </x:c>
      <x:c r="AE235" s="71"/>
      <x:c r="AF235" s="73" t="str">
        <x:f>IF(AC235="","",1/AC235)</x:f>
      </x:c>
      <x:c r="AG235" s="61"/>
      <x:c r="AH235" s="61"/>
      <x:c r="AI235" s="64" t="str">
        <x:f>IF(OR(AC235="",AG235=""),"",AC235*AG235-1)</x:f>
      </x:c>
      <x:c r="AJ235" s="75" t="str">
        <x:f>IF(OR(G235="",F235=""),"",IF(AND(G235&gt;='Calibrare v2'!$B$35,F235&lt;='Calibrare v2'!$B$34),"PASS","FAIL"))</x:f>
      </x:c>
      <x:c r="AK235" s="75" t="str">
        <x:f>IF(AL235="","",AL235)</x:f>
      </x:c>
      <x:c r="AL235" s="77"/>
      <x:c r="AM235" s="77"/>
      <x:c r="AN235" s="64" t="str">
        <x:f>IF(OR(AC235="",P235=""),"",(AC235-P235)^2)</x:f>
      </x:c>
      <x:c r="AO235" s="64" t="str">
        <x:f>IF(OR(AG235="",AH235=""),"",AG235/AH235-1)</x:f>
      </x:c>
      <x:c r="AP235" s="61"/>
      <x:c r="AQ235" s="73" t="n">
        <x:f>IF(OR(AM235&lt;&gt;"PARIU U4,5",M235="",AP235="",AG235=""),0,IF(M235="UNDER",AP235*(AG235-1),-AP235))</x:f>
        <x:v>0</x:v>
      </x:c>
      <x:c r="AR235" s="51"/>
    </x:row>
    <x:row r="236">
      <x:c r="A236" s="9" t="str">
        <x:f>IF(D236="","",ROW()-1)</x:f>
      </x:c>
      <x:c r="B236" s="51"/>
      <x:c r="C236" s="51"/>
      <x:c r="D236" s="51"/>
      <x:c r="E236" s="9" t="str">
        <x:f>IF(D236="","",IF(AND(F236&lt;='Calibrare v2'!$B$33,G236&gt;=0.86),"DA – FEZABIL",IF(G236&gt;=0.8,"DA – PRUDENT","NU – EVITĂ")))</x:f>
      </x:c>
      <x:c r="F236" s="16" t="str">
        <x:f>IF(OR(W236="",X236=""),"",W236+X236)</x:f>
      </x:c>
      <x:c r="G236" s="28" t="str">
        <x:f>IF(F236="","",EXP(-F236)*(1+F236+F236^2/2+F236^3/6+F236^4/24))</x:f>
      </x:c>
      <x:c r="H236" s="53"/>
      <x:c r="I236" s="9" t="str">
        <x:f>IF(F236="","",IF(F236&lt;='Calibrare v2'!$B$33,"PASS","FAIL"))</x:f>
      </x:c>
      <x:c r="J236" s="51"/>
      <x:c r="K236" s="51"/>
      <x:c r="L236" s="9" t="str">
        <x:f>IF(OR(J236="",K236=""),"",J236+K236)</x:f>
      </x:c>
      <x:c r="M236" s="9" t="str">
        <x:f>IF(L236="","",IF(L236&lt;=4,"UNDER","OVER"))</x:f>
      </x:c>
      <x:c r="N236" s="9" t="str">
        <x:f>IF(E236="","",IF(LEFT(E236,2)="DA","PARIU U155,5","NO BET"))</x:f>
      </x:c>
      <x:c r="O236" s="9" t="str">
        <x:f>IF(M236="","",IF(AM236="PARIU U155,5",IF(M236="UNDER","SUCCES","EȘEC"),IF(M236="UNDER","FALS NEGATIV","EVITARE CORECTĂ")))</x:f>
      </x:c>
      <x:c r="P236" s="9" t="str">
        <x:f>IF(M236="","",IF(M236="UNDER",1,0))</x:f>
      </x:c>
      <x:c r="Q236" s="9" t="str">
        <x:f>IF(P236="","",(G236-P236)^2)</x:f>
      </x:c>
      <x:c r="R236" s="9" t="str">
        <x:f>IF(L236="","",L236-F236)</x:f>
      </x:c>
      <x:c r="S236" s="9" t="str">
        <x:f>IF(L236="","",IF(M236="UNDER","U155,5 reușit; total final "&amp;L236&amp;" vs λ="&amp;TEXT(F236,"0.00")&amp;".","Eșec U155,5; total final "&amp;L236&amp;" vs λ="&amp;TEXT(F236,"0.00")&amp;". Revizuiește Tail Risk, sursa λ și calibrarea."))</x:f>
      </x:c>
      <x:c r="T236" s="51"/>
      <x:c r="U236" s="51"/>
      <x:c r="V236" s="51"/>
      <x:c r="W236" s="61"/>
      <x:c r="X236" s="61"/>
      <x:c r="Y236" s="51"/>
      <x:c r="Z236" s="53"/>
      <x:c r="AA236" s="51"/>
      <x:c r="AB236" s="64" t="str">
        <x:f>IF(AC236="","",AC236)</x:f>
      </x:c>
      <x:c r="AC236" s="67"/>
      <x:c r="AD236" s="69" t="str">
        <x:f>IF(AE236="","",AE236)</x:f>
      </x:c>
      <x:c r="AE236" s="71"/>
      <x:c r="AF236" s="73" t="str">
        <x:f>IF(AC236="","",1/AC236)</x:f>
      </x:c>
      <x:c r="AG236" s="61"/>
      <x:c r="AH236" s="61"/>
      <x:c r="AI236" s="64" t="str">
        <x:f>IF(OR(AC236="",AG236=""),"",AC236*AG236-1)</x:f>
      </x:c>
      <x:c r="AJ236" s="75" t="str">
        <x:f>IF(OR(G236="",F236=""),"",IF(AND(G236&gt;='Calibrare v2'!$B$35,F236&lt;='Calibrare v2'!$B$34),"PASS","FAIL"))</x:f>
      </x:c>
      <x:c r="AK236" s="75" t="str">
        <x:f>IF(AL236="","",AL236)</x:f>
      </x:c>
      <x:c r="AL236" s="77"/>
      <x:c r="AM236" s="77"/>
      <x:c r="AN236" s="64" t="str">
        <x:f>IF(OR(AC236="",P236=""),"",(AC236-P236)^2)</x:f>
      </x:c>
      <x:c r="AO236" s="64" t="str">
        <x:f>IF(OR(AG236="",AH236=""),"",AG236/AH236-1)</x:f>
      </x:c>
      <x:c r="AP236" s="61"/>
      <x:c r="AQ236" s="73" t="n">
        <x:f>IF(OR(AM236&lt;&gt;"PARIU U4,5",M236="",AP236="",AG236=""),0,IF(M236="UNDER",AP236*(AG236-1),-AP236))</x:f>
        <x:v>0</x:v>
      </x:c>
      <x:c r="AR236" s="51"/>
    </x:row>
    <x:row r="237">
      <x:c r="A237" s="9" t="str">
        <x:f>IF(D237="","",ROW()-1)</x:f>
      </x:c>
      <x:c r="B237" s="51"/>
      <x:c r="C237" s="51"/>
      <x:c r="D237" s="51"/>
      <x:c r="E237" s="9" t="str">
        <x:f>IF(D237="","",IF(AND(F237&lt;='Calibrare v2'!$B$33,G237&gt;=0.86),"DA – FEZABIL",IF(G237&gt;=0.8,"DA – PRUDENT","NU – EVITĂ")))</x:f>
      </x:c>
      <x:c r="F237" s="16" t="str">
        <x:f>IF(OR(W237="",X237=""),"",W237+X237)</x:f>
      </x:c>
      <x:c r="G237" s="28" t="str">
        <x:f>IF(F237="","",EXP(-F237)*(1+F237+F237^2/2+F237^3/6+F237^4/24))</x:f>
      </x:c>
      <x:c r="H237" s="53"/>
      <x:c r="I237" s="9" t="str">
        <x:f>IF(F237="","",IF(F237&lt;='Calibrare v2'!$B$33,"PASS","FAIL"))</x:f>
      </x:c>
      <x:c r="J237" s="51"/>
      <x:c r="K237" s="51"/>
      <x:c r="L237" s="9" t="str">
        <x:f>IF(OR(J237="",K237=""),"",J237+K237)</x:f>
      </x:c>
      <x:c r="M237" s="9" t="str">
        <x:f>IF(L237="","",IF(L237&lt;=4,"UNDER","OVER"))</x:f>
      </x:c>
      <x:c r="N237" s="9" t="str">
        <x:f>IF(E237="","",IF(LEFT(E237,2)="DA","PARIU U156,5","NO BET"))</x:f>
      </x:c>
      <x:c r="O237" s="9" t="str">
        <x:f>IF(M237="","",IF(AM237="PARIU U156,5",IF(M237="UNDER","SUCCES","EȘEC"),IF(M237="UNDER","FALS NEGATIV","EVITARE CORECTĂ")))</x:f>
      </x:c>
      <x:c r="P237" s="9" t="str">
        <x:f>IF(M237="","",IF(M237="UNDER",1,0))</x:f>
      </x:c>
      <x:c r="Q237" s="9" t="str">
        <x:f>IF(P237="","",(G237-P237)^2)</x:f>
      </x:c>
      <x:c r="R237" s="9" t="str">
        <x:f>IF(L237="","",L237-F237)</x:f>
      </x:c>
      <x:c r="S237" s="9" t="str">
        <x:f>IF(L237="","",IF(M237="UNDER","U156,5 reușit; total final "&amp;L237&amp;" vs λ="&amp;TEXT(F237,"0.00")&amp;".","Eșec U156,5; total final "&amp;L237&amp;" vs λ="&amp;TEXT(F237,"0.00")&amp;". Revizuiește Tail Risk, sursa λ și calibrarea."))</x:f>
      </x:c>
      <x:c r="T237" s="51"/>
      <x:c r="U237" s="51"/>
      <x:c r="V237" s="51"/>
      <x:c r="W237" s="61"/>
      <x:c r="X237" s="61"/>
      <x:c r="Y237" s="51"/>
      <x:c r="Z237" s="53"/>
      <x:c r="AA237" s="51"/>
      <x:c r="AB237" s="64" t="str">
        <x:f>IF(AC237="","",AC237)</x:f>
      </x:c>
      <x:c r="AC237" s="67"/>
      <x:c r="AD237" s="69" t="str">
        <x:f>IF(AE237="","",AE237)</x:f>
      </x:c>
      <x:c r="AE237" s="71"/>
      <x:c r="AF237" s="73" t="str">
        <x:f>IF(AC237="","",1/AC237)</x:f>
      </x:c>
      <x:c r="AG237" s="61"/>
      <x:c r="AH237" s="61"/>
      <x:c r="AI237" s="64" t="str">
        <x:f>IF(OR(AC237="",AG237=""),"",AC237*AG237-1)</x:f>
      </x:c>
      <x:c r="AJ237" s="75" t="str">
        <x:f>IF(OR(G237="",F237=""),"",IF(AND(G237&gt;='Calibrare v2'!$B$35,F237&lt;='Calibrare v2'!$B$34),"PASS","FAIL"))</x:f>
      </x:c>
      <x:c r="AK237" s="75" t="str">
        <x:f>IF(AL237="","",AL237)</x:f>
      </x:c>
      <x:c r="AL237" s="77"/>
      <x:c r="AM237" s="77"/>
      <x:c r="AN237" s="64" t="str">
        <x:f>IF(OR(AC237="",P237=""),"",(AC237-P237)^2)</x:f>
      </x:c>
      <x:c r="AO237" s="64" t="str">
        <x:f>IF(OR(AG237="",AH237=""),"",AG237/AH237-1)</x:f>
      </x:c>
      <x:c r="AP237" s="61"/>
      <x:c r="AQ237" s="73" t="n">
        <x:f>IF(OR(AM237&lt;&gt;"PARIU U4,5",M237="",AP237="",AG237=""),0,IF(M237="UNDER",AP237*(AG237-1),-AP237))</x:f>
        <x:v>0</x:v>
      </x:c>
      <x:c r="AR237" s="51"/>
    </x:row>
    <x:row r="238">
      <x:c r="A238" s="9" t="str">
        <x:f>IF(D238="","",ROW()-1)</x:f>
      </x:c>
      <x:c r="B238" s="51"/>
      <x:c r="C238" s="51"/>
      <x:c r="D238" s="51"/>
      <x:c r="E238" s="9" t="str">
        <x:f>IF(D238="","",IF(AND(F238&lt;='Calibrare v2'!$B$33,G238&gt;=0.86),"DA – FEZABIL",IF(G238&gt;=0.8,"DA – PRUDENT","NU – EVITĂ")))</x:f>
      </x:c>
      <x:c r="F238" s="16" t="str">
        <x:f>IF(OR(W238="",X238=""),"",W238+X238)</x:f>
      </x:c>
      <x:c r="G238" s="28" t="str">
        <x:f>IF(F238="","",EXP(-F238)*(1+F238+F238^2/2+F238^3/6+F238^4/24))</x:f>
      </x:c>
      <x:c r="H238" s="53"/>
      <x:c r="I238" s="9" t="str">
        <x:f>IF(F238="","",IF(F238&lt;='Calibrare v2'!$B$33,"PASS","FAIL"))</x:f>
      </x:c>
      <x:c r="J238" s="51"/>
      <x:c r="K238" s="51"/>
      <x:c r="L238" s="9" t="str">
        <x:f>IF(OR(J238="",K238=""),"",J238+K238)</x:f>
      </x:c>
      <x:c r="M238" s="9" t="str">
        <x:f>IF(L238="","",IF(L238&lt;=4,"UNDER","OVER"))</x:f>
      </x:c>
      <x:c r="N238" s="9" t="str">
        <x:f>IF(E238="","",IF(LEFT(E238,2)="DA","PARIU U157,5","NO BET"))</x:f>
      </x:c>
      <x:c r="O238" s="9" t="str">
        <x:f>IF(M238="","",IF(AM238="PARIU U157,5",IF(M238="UNDER","SUCCES","EȘEC"),IF(M238="UNDER","FALS NEGATIV","EVITARE CORECTĂ")))</x:f>
      </x:c>
      <x:c r="P238" s="9" t="str">
        <x:f>IF(M238="","",IF(M238="UNDER",1,0))</x:f>
      </x:c>
      <x:c r="Q238" s="9" t="str">
        <x:f>IF(P238="","",(G238-P238)^2)</x:f>
      </x:c>
      <x:c r="R238" s="9" t="str">
        <x:f>IF(L238="","",L238-F238)</x:f>
      </x:c>
      <x:c r="S238" s="9" t="str">
        <x:f>IF(L238="","",IF(M238="UNDER","U157,5 reușit; total final "&amp;L238&amp;" vs λ="&amp;TEXT(F238,"0.00")&amp;".","Eșec U157,5; total final "&amp;L238&amp;" vs λ="&amp;TEXT(F238,"0.00")&amp;". Revizuiește Tail Risk, sursa λ și calibrarea."))</x:f>
      </x:c>
      <x:c r="T238" s="51"/>
      <x:c r="U238" s="51"/>
      <x:c r="V238" s="51"/>
      <x:c r="W238" s="61"/>
      <x:c r="X238" s="61"/>
      <x:c r="Y238" s="51"/>
      <x:c r="Z238" s="53"/>
      <x:c r="AA238" s="51"/>
      <x:c r="AB238" s="64" t="str">
        <x:f>IF(AC238="","",AC238)</x:f>
      </x:c>
      <x:c r="AC238" s="67"/>
      <x:c r="AD238" s="69" t="str">
        <x:f>IF(AE238="","",AE238)</x:f>
      </x:c>
      <x:c r="AE238" s="71"/>
      <x:c r="AF238" s="73" t="str">
        <x:f>IF(AC238="","",1/AC238)</x:f>
      </x:c>
      <x:c r="AG238" s="61"/>
      <x:c r="AH238" s="61"/>
      <x:c r="AI238" s="64" t="str">
        <x:f>IF(OR(AC238="",AG238=""),"",AC238*AG238-1)</x:f>
      </x:c>
      <x:c r="AJ238" s="75" t="str">
        <x:f>IF(OR(G238="",F238=""),"",IF(AND(G238&gt;='Calibrare v2'!$B$35,F238&lt;='Calibrare v2'!$B$34),"PASS","FAIL"))</x:f>
      </x:c>
      <x:c r="AK238" s="75" t="str">
        <x:f>IF(AL238="","",AL238)</x:f>
      </x:c>
      <x:c r="AL238" s="77"/>
      <x:c r="AM238" s="77"/>
      <x:c r="AN238" s="64" t="str">
        <x:f>IF(OR(AC238="",P238=""),"",(AC238-P238)^2)</x:f>
      </x:c>
      <x:c r="AO238" s="64" t="str">
        <x:f>IF(OR(AG238="",AH238=""),"",AG238/AH238-1)</x:f>
      </x:c>
      <x:c r="AP238" s="61"/>
      <x:c r="AQ238" s="73" t="n">
        <x:f>IF(OR(AM238&lt;&gt;"PARIU U4,5",M238="",AP238="",AG238=""),0,IF(M238="UNDER",AP238*(AG238-1),-AP238))</x:f>
        <x:v>0</x:v>
      </x:c>
      <x:c r="AR238" s="51"/>
    </x:row>
    <x:row r="239">
      <x:c r="A239" s="9" t="str">
        <x:f>IF(D239="","",ROW()-1)</x:f>
      </x:c>
      <x:c r="B239" s="51"/>
      <x:c r="C239" s="51"/>
      <x:c r="D239" s="51"/>
      <x:c r="E239" s="9" t="str">
        <x:f>IF(D239="","",IF(AND(F239&lt;='Calibrare v2'!$B$33,G239&gt;=0.86),"DA – FEZABIL",IF(G239&gt;=0.8,"DA – PRUDENT","NU – EVITĂ")))</x:f>
      </x:c>
      <x:c r="F239" s="16" t="str">
        <x:f>IF(OR(W239="",X239=""),"",W239+X239)</x:f>
      </x:c>
      <x:c r="G239" s="28" t="str">
        <x:f>IF(F239="","",EXP(-F239)*(1+F239+F239^2/2+F239^3/6+F239^4/24))</x:f>
      </x:c>
      <x:c r="H239" s="53"/>
      <x:c r="I239" s="9" t="str">
        <x:f>IF(F239="","",IF(F239&lt;='Calibrare v2'!$B$33,"PASS","FAIL"))</x:f>
      </x:c>
      <x:c r="J239" s="51"/>
      <x:c r="K239" s="51"/>
      <x:c r="L239" s="9" t="str">
        <x:f>IF(OR(J239="",K239=""),"",J239+K239)</x:f>
      </x:c>
      <x:c r="M239" s="9" t="str">
        <x:f>IF(L239="","",IF(L239&lt;=4,"UNDER","OVER"))</x:f>
      </x:c>
      <x:c r="N239" s="9" t="str">
        <x:f>IF(E239="","",IF(LEFT(E239,2)="DA","PARIU U158,5","NO BET"))</x:f>
      </x:c>
      <x:c r="O239" s="9" t="str">
        <x:f>IF(M239="","",IF(AM239="PARIU U158,5",IF(M239="UNDER","SUCCES","EȘEC"),IF(M239="UNDER","FALS NEGATIV","EVITARE CORECTĂ")))</x:f>
      </x:c>
      <x:c r="P239" s="9" t="str">
        <x:f>IF(M239="","",IF(M239="UNDER",1,0))</x:f>
      </x:c>
      <x:c r="Q239" s="9" t="str">
        <x:f>IF(P239="","",(G239-P239)^2)</x:f>
      </x:c>
      <x:c r="R239" s="9" t="str">
        <x:f>IF(L239="","",L239-F239)</x:f>
      </x:c>
      <x:c r="S239" s="9" t="str">
        <x:f>IF(L239="","",IF(M239="UNDER","U158,5 reușit; total final "&amp;L239&amp;" vs λ="&amp;TEXT(F239,"0.00")&amp;".","Eșec U158,5; total final "&amp;L239&amp;" vs λ="&amp;TEXT(F239,"0.00")&amp;". Revizuiește Tail Risk, sursa λ și calibrarea."))</x:f>
      </x:c>
      <x:c r="T239" s="51"/>
      <x:c r="U239" s="51"/>
      <x:c r="V239" s="51"/>
      <x:c r="W239" s="61"/>
      <x:c r="X239" s="61"/>
      <x:c r="Y239" s="51"/>
      <x:c r="Z239" s="53"/>
      <x:c r="AA239" s="51"/>
      <x:c r="AB239" s="64" t="str">
        <x:f>IF(AC239="","",AC239)</x:f>
      </x:c>
      <x:c r="AC239" s="67"/>
      <x:c r="AD239" s="69" t="str">
        <x:f>IF(AE239="","",AE239)</x:f>
      </x:c>
      <x:c r="AE239" s="71"/>
      <x:c r="AF239" s="73" t="str">
        <x:f>IF(AC239="","",1/AC239)</x:f>
      </x:c>
      <x:c r="AG239" s="61"/>
      <x:c r="AH239" s="61"/>
      <x:c r="AI239" s="64" t="str">
        <x:f>IF(OR(AC239="",AG239=""),"",AC239*AG239-1)</x:f>
      </x:c>
      <x:c r="AJ239" s="75" t="str">
        <x:f>IF(OR(G239="",F239=""),"",IF(AND(G239&gt;='Calibrare v2'!$B$35,F239&lt;='Calibrare v2'!$B$34),"PASS","FAIL"))</x:f>
      </x:c>
      <x:c r="AK239" s="75" t="str">
        <x:f>IF(AL239="","",AL239)</x:f>
      </x:c>
      <x:c r="AL239" s="77"/>
      <x:c r="AM239" s="77"/>
      <x:c r="AN239" s="64" t="str">
        <x:f>IF(OR(AC239="",P239=""),"",(AC239-P239)^2)</x:f>
      </x:c>
      <x:c r="AO239" s="64" t="str">
        <x:f>IF(OR(AG239="",AH239=""),"",AG239/AH239-1)</x:f>
      </x:c>
      <x:c r="AP239" s="61"/>
      <x:c r="AQ239" s="73" t="n">
        <x:f>IF(OR(AM239&lt;&gt;"PARIU U4,5",M239="",AP239="",AG239=""),0,IF(M239="UNDER",AP239*(AG239-1),-AP239))</x:f>
        <x:v>0</x:v>
      </x:c>
      <x:c r="AR239" s="51"/>
    </x:row>
    <x:row r="240">
      <x:c r="A240" s="9" t="str">
        <x:f>IF(D240="","",ROW()-1)</x:f>
      </x:c>
      <x:c r="B240" s="51"/>
      <x:c r="C240" s="51"/>
      <x:c r="D240" s="51"/>
      <x:c r="E240" s="9" t="str">
        <x:f>IF(D240="","",IF(AND(F240&lt;='Calibrare v2'!$B$33,G240&gt;=0.86),"DA – FEZABIL",IF(G240&gt;=0.8,"DA – PRUDENT","NU – EVITĂ")))</x:f>
      </x:c>
      <x:c r="F240" s="16" t="str">
        <x:f>IF(OR(W240="",X240=""),"",W240+X240)</x:f>
      </x:c>
      <x:c r="G240" s="28" t="str">
        <x:f>IF(F240="","",EXP(-F240)*(1+F240+F240^2/2+F240^3/6+F240^4/24))</x:f>
      </x:c>
      <x:c r="H240" s="53"/>
      <x:c r="I240" s="9" t="str">
        <x:f>IF(F240="","",IF(F240&lt;='Calibrare v2'!$B$33,"PASS","FAIL"))</x:f>
      </x:c>
      <x:c r="J240" s="51"/>
      <x:c r="K240" s="51"/>
      <x:c r="L240" s="9" t="str">
        <x:f>IF(OR(J240="",K240=""),"",J240+K240)</x:f>
      </x:c>
      <x:c r="M240" s="9" t="str">
        <x:f>IF(L240="","",IF(L240&lt;=4,"UNDER","OVER"))</x:f>
      </x:c>
      <x:c r="N240" s="9" t="str">
        <x:f>IF(E240="","",IF(LEFT(E240,2)="DA","PARIU U159,5","NO BET"))</x:f>
      </x:c>
      <x:c r="O240" s="9" t="str">
        <x:f>IF(M240="","",IF(AM240="PARIU U159,5",IF(M240="UNDER","SUCCES","EȘEC"),IF(M240="UNDER","FALS NEGATIV","EVITARE CORECTĂ")))</x:f>
      </x:c>
      <x:c r="P240" s="9" t="str">
        <x:f>IF(M240="","",IF(M240="UNDER",1,0))</x:f>
      </x:c>
      <x:c r="Q240" s="9" t="str">
        <x:f>IF(P240="","",(G240-P240)^2)</x:f>
      </x:c>
      <x:c r="R240" s="9" t="str">
        <x:f>IF(L240="","",L240-F240)</x:f>
      </x:c>
      <x:c r="S240" s="9" t="str">
        <x:f>IF(L240="","",IF(M240="UNDER","U159,5 reușit; total final "&amp;L240&amp;" vs λ="&amp;TEXT(F240,"0.00")&amp;".","Eșec U159,5; total final "&amp;L240&amp;" vs λ="&amp;TEXT(F240,"0.00")&amp;". Revizuiește Tail Risk, sursa λ și calibrarea."))</x:f>
      </x:c>
      <x:c r="T240" s="51"/>
      <x:c r="U240" s="51"/>
      <x:c r="V240" s="51"/>
      <x:c r="W240" s="61"/>
      <x:c r="X240" s="61"/>
      <x:c r="Y240" s="51"/>
      <x:c r="Z240" s="53"/>
      <x:c r="AA240" s="51"/>
      <x:c r="AB240" s="64" t="str">
        <x:f>IF(AC240="","",AC240)</x:f>
      </x:c>
      <x:c r="AC240" s="67"/>
      <x:c r="AD240" s="69" t="str">
        <x:f>IF(AE240="","",AE240)</x:f>
      </x:c>
      <x:c r="AE240" s="71"/>
      <x:c r="AF240" s="73" t="str">
        <x:f>IF(AC240="","",1/AC240)</x:f>
      </x:c>
      <x:c r="AG240" s="61"/>
      <x:c r="AH240" s="61"/>
      <x:c r="AI240" s="64" t="str">
        <x:f>IF(OR(AC240="",AG240=""),"",AC240*AG240-1)</x:f>
      </x:c>
      <x:c r="AJ240" s="75" t="str">
        <x:f>IF(OR(G240="",F240=""),"",IF(AND(G240&gt;='Calibrare v2'!$B$35,F240&lt;='Calibrare v2'!$B$34),"PASS","FAIL"))</x:f>
      </x:c>
      <x:c r="AK240" s="75" t="str">
        <x:f>IF(AL240="","",AL240)</x:f>
      </x:c>
      <x:c r="AL240" s="77"/>
      <x:c r="AM240" s="77"/>
      <x:c r="AN240" s="64" t="str">
        <x:f>IF(OR(AC240="",P240=""),"",(AC240-P240)^2)</x:f>
      </x:c>
      <x:c r="AO240" s="64" t="str">
        <x:f>IF(OR(AG240="",AH240=""),"",AG240/AH240-1)</x:f>
      </x:c>
      <x:c r="AP240" s="61"/>
      <x:c r="AQ240" s="73" t="n">
        <x:f>IF(OR(AM240&lt;&gt;"PARIU U4,5",M240="",AP240="",AG240=""),0,IF(M240="UNDER",AP240*(AG240-1),-AP240))</x:f>
        <x:v>0</x:v>
      </x:c>
      <x:c r="AR240" s="51"/>
    </x:row>
    <x:row r="241">
      <x:c r="A241" s="9" t="str">
        <x:f>IF(D241="","",ROW()-1)</x:f>
      </x:c>
      <x:c r="B241" s="51"/>
      <x:c r="C241" s="51"/>
      <x:c r="D241" s="51"/>
      <x:c r="E241" s="9" t="str">
        <x:f>IF(D241="","",IF(AND(F241&lt;='Calibrare v2'!$B$33,G241&gt;=0.86),"DA – FEZABIL",IF(G241&gt;=0.8,"DA – PRUDENT","NU – EVITĂ")))</x:f>
      </x:c>
      <x:c r="F241" s="16" t="str">
        <x:f>IF(OR(W241="",X241=""),"",W241+X241)</x:f>
      </x:c>
      <x:c r="G241" s="28" t="str">
        <x:f>IF(F241="","",EXP(-F241)*(1+F241+F241^2/2+F241^3/6+F241^4/24))</x:f>
      </x:c>
      <x:c r="H241" s="53"/>
      <x:c r="I241" s="9" t="str">
        <x:f>IF(F241="","",IF(F241&lt;='Calibrare v2'!$B$33,"PASS","FAIL"))</x:f>
      </x:c>
      <x:c r="J241" s="51"/>
      <x:c r="K241" s="51"/>
      <x:c r="L241" s="9" t="str">
        <x:f>IF(OR(J241="",K241=""),"",J241+K241)</x:f>
      </x:c>
      <x:c r="M241" s="9" t="str">
        <x:f>IF(L241="","",IF(L241&lt;=4,"UNDER","OVER"))</x:f>
      </x:c>
      <x:c r="N241" s="9" t="str">
        <x:f>IF(E241="","",IF(LEFT(E241,2)="DA","PARIU U160,5","NO BET"))</x:f>
      </x:c>
      <x:c r="O241" s="9" t="str">
        <x:f>IF(M241="","",IF(AM241="PARIU U160,5",IF(M241="UNDER","SUCCES","EȘEC"),IF(M241="UNDER","FALS NEGATIV","EVITARE CORECTĂ")))</x:f>
      </x:c>
      <x:c r="P241" s="9" t="str">
        <x:f>IF(M241="","",IF(M241="UNDER",1,0))</x:f>
      </x:c>
      <x:c r="Q241" s="9" t="str">
        <x:f>IF(P241="","",(G241-P241)^2)</x:f>
      </x:c>
      <x:c r="R241" s="9" t="str">
        <x:f>IF(L241="","",L241-F241)</x:f>
      </x:c>
      <x:c r="S241" s="9" t="str">
        <x:f>IF(L241="","",IF(M241="UNDER","U160,5 reușit; total final "&amp;L241&amp;" vs λ="&amp;TEXT(F241,"0.00")&amp;".","Eșec U160,5; total final "&amp;L241&amp;" vs λ="&amp;TEXT(F241,"0.00")&amp;". Revizuiește Tail Risk, sursa λ și calibrarea."))</x:f>
      </x:c>
      <x:c r="T241" s="51"/>
      <x:c r="U241" s="51"/>
      <x:c r="V241" s="51"/>
      <x:c r="W241" s="61"/>
      <x:c r="X241" s="61"/>
      <x:c r="Y241" s="51"/>
      <x:c r="Z241" s="53"/>
      <x:c r="AA241" s="51"/>
      <x:c r="AB241" s="64" t="str">
        <x:f>IF(AC241="","",AC241)</x:f>
      </x:c>
      <x:c r="AC241" s="67"/>
      <x:c r="AD241" s="69" t="str">
        <x:f>IF(AE241="","",AE241)</x:f>
      </x:c>
      <x:c r="AE241" s="71"/>
      <x:c r="AF241" s="73" t="str">
        <x:f>IF(AC241="","",1/AC241)</x:f>
      </x:c>
      <x:c r="AG241" s="61"/>
      <x:c r="AH241" s="61"/>
      <x:c r="AI241" s="64" t="str">
        <x:f>IF(OR(AC241="",AG241=""),"",AC241*AG241-1)</x:f>
      </x:c>
      <x:c r="AJ241" s="75" t="str">
        <x:f>IF(OR(G241="",F241=""),"",IF(AND(G241&gt;='Calibrare v2'!$B$35,F241&lt;='Calibrare v2'!$B$34),"PASS","FAIL"))</x:f>
      </x:c>
      <x:c r="AK241" s="75" t="str">
        <x:f>IF(AL241="","",AL241)</x:f>
      </x:c>
      <x:c r="AL241" s="77"/>
      <x:c r="AM241" s="77"/>
      <x:c r="AN241" s="64" t="str">
        <x:f>IF(OR(AC241="",P241=""),"",(AC241-P241)^2)</x:f>
      </x:c>
      <x:c r="AO241" s="64" t="str">
        <x:f>IF(OR(AG241="",AH241=""),"",AG241/AH241-1)</x:f>
      </x:c>
      <x:c r="AP241" s="61"/>
      <x:c r="AQ241" s="73" t="n">
        <x:f>IF(OR(AM241&lt;&gt;"PARIU U4,5",M241="",AP241="",AG241=""),0,IF(M241="UNDER",AP241*(AG241-1),-AP241))</x:f>
        <x:v>0</x:v>
      </x:c>
      <x:c r="AR241" s="51"/>
    </x:row>
    <x:row r="242">
      <x:c r="A242" s="9" t="str">
        <x:f>IF(D242="","",ROW()-1)</x:f>
      </x:c>
      <x:c r="B242" s="51"/>
      <x:c r="C242" s="51"/>
      <x:c r="D242" s="51"/>
      <x:c r="E242" s="9" t="str">
        <x:f>IF(D242="","",IF(AND(F242&lt;='Calibrare v2'!$B$33,G242&gt;=0.86),"DA – FEZABIL",IF(G242&gt;=0.8,"DA – PRUDENT","NU – EVITĂ")))</x:f>
      </x:c>
      <x:c r="F242" s="16" t="str">
        <x:f>IF(OR(W242="",X242=""),"",W242+X242)</x:f>
      </x:c>
      <x:c r="G242" s="28" t="str">
        <x:f>IF(F242="","",EXP(-F242)*(1+F242+F242^2/2+F242^3/6+F242^4/24))</x:f>
      </x:c>
      <x:c r="H242" s="53"/>
      <x:c r="I242" s="9" t="str">
        <x:f>IF(F242="","",IF(F242&lt;='Calibrare v2'!$B$33,"PASS","FAIL"))</x:f>
      </x:c>
      <x:c r="J242" s="51"/>
      <x:c r="K242" s="51"/>
      <x:c r="L242" s="9" t="str">
        <x:f>IF(OR(J242="",K242=""),"",J242+K242)</x:f>
      </x:c>
      <x:c r="M242" s="9" t="str">
        <x:f>IF(L242="","",IF(L242&lt;=4,"UNDER","OVER"))</x:f>
      </x:c>
      <x:c r="N242" s="9" t="str">
        <x:f>IF(E242="","",IF(LEFT(E242,2)="DA","PARIU U161,5","NO BET"))</x:f>
      </x:c>
      <x:c r="O242" s="9" t="str">
        <x:f>IF(M242="","",IF(AM242="PARIU U161,5",IF(M242="UNDER","SUCCES","EȘEC"),IF(M242="UNDER","FALS NEGATIV","EVITARE CORECTĂ")))</x:f>
      </x:c>
      <x:c r="P242" s="9" t="str">
        <x:f>IF(M242="","",IF(M242="UNDER",1,0))</x:f>
      </x:c>
      <x:c r="Q242" s="9" t="str">
        <x:f>IF(P242="","",(G242-P242)^2)</x:f>
      </x:c>
      <x:c r="R242" s="9" t="str">
        <x:f>IF(L242="","",L242-F242)</x:f>
      </x:c>
      <x:c r="S242" s="9" t="str">
        <x:f>IF(L242="","",IF(M242="UNDER","U161,5 reușit; total final "&amp;L242&amp;" vs λ="&amp;TEXT(F242,"0.00")&amp;".","Eșec U161,5; total final "&amp;L242&amp;" vs λ="&amp;TEXT(F242,"0.00")&amp;". Revizuiește Tail Risk, sursa λ și calibrarea."))</x:f>
      </x:c>
      <x:c r="T242" s="51"/>
      <x:c r="U242" s="51"/>
      <x:c r="V242" s="51"/>
      <x:c r="W242" s="61"/>
      <x:c r="X242" s="61"/>
      <x:c r="Y242" s="51"/>
      <x:c r="Z242" s="53"/>
      <x:c r="AA242" s="51"/>
      <x:c r="AB242" s="64" t="str">
        <x:f>IF(AC242="","",AC242)</x:f>
      </x:c>
      <x:c r="AC242" s="67"/>
      <x:c r="AD242" s="69" t="str">
        <x:f>IF(AE242="","",AE242)</x:f>
      </x:c>
      <x:c r="AE242" s="71"/>
      <x:c r="AF242" s="73" t="str">
        <x:f>IF(AC242="","",1/AC242)</x:f>
      </x:c>
      <x:c r="AG242" s="61"/>
      <x:c r="AH242" s="61"/>
      <x:c r="AI242" s="64" t="str">
        <x:f>IF(OR(AC242="",AG242=""),"",AC242*AG242-1)</x:f>
      </x:c>
      <x:c r="AJ242" s="75" t="str">
        <x:f>IF(OR(G242="",F242=""),"",IF(AND(G242&gt;='Calibrare v2'!$B$35,F242&lt;='Calibrare v2'!$B$34),"PASS","FAIL"))</x:f>
      </x:c>
      <x:c r="AK242" s="75" t="str">
        <x:f>IF(AL242="","",AL242)</x:f>
      </x:c>
      <x:c r="AL242" s="77"/>
      <x:c r="AM242" s="77"/>
      <x:c r="AN242" s="64" t="str">
        <x:f>IF(OR(AC242="",P242=""),"",(AC242-P242)^2)</x:f>
      </x:c>
      <x:c r="AO242" s="64" t="str">
        <x:f>IF(OR(AG242="",AH242=""),"",AG242/AH242-1)</x:f>
      </x:c>
      <x:c r="AP242" s="61"/>
      <x:c r="AQ242" s="73" t="n">
        <x:f>IF(OR(AM242&lt;&gt;"PARIU U4,5",M242="",AP242="",AG242=""),0,IF(M242="UNDER",AP242*(AG242-1),-AP242))</x:f>
        <x:v>0</x:v>
      </x:c>
      <x:c r="AR242" s="51"/>
    </x:row>
    <x:row r="243">
      <x:c r="A243" s="9" t="str">
        <x:f>IF(D243="","",ROW()-1)</x:f>
      </x:c>
      <x:c r="B243" s="51"/>
      <x:c r="C243" s="51"/>
      <x:c r="D243" s="51"/>
      <x:c r="E243" s="9" t="str">
        <x:f>IF(D243="","",IF(AND(F243&lt;='Calibrare v2'!$B$33,G243&gt;=0.86),"DA – FEZABIL",IF(G243&gt;=0.8,"DA – PRUDENT","NU – EVITĂ")))</x:f>
      </x:c>
      <x:c r="F243" s="16" t="str">
        <x:f>IF(OR(W243="",X243=""),"",W243+X243)</x:f>
      </x:c>
      <x:c r="G243" s="28" t="str">
        <x:f>IF(F243="","",EXP(-F243)*(1+F243+F243^2/2+F243^3/6+F243^4/24))</x:f>
      </x:c>
      <x:c r="H243" s="53"/>
      <x:c r="I243" s="9" t="str">
        <x:f>IF(F243="","",IF(F243&lt;='Calibrare v2'!$B$33,"PASS","FAIL"))</x:f>
      </x:c>
      <x:c r="J243" s="51"/>
      <x:c r="K243" s="51"/>
      <x:c r="L243" s="9" t="str">
        <x:f>IF(OR(J243="",K243=""),"",J243+K243)</x:f>
      </x:c>
      <x:c r="M243" s="9" t="str">
        <x:f>IF(L243="","",IF(L243&lt;=4,"UNDER","OVER"))</x:f>
      </x:c>
      <x:c r="N243" s="9" t="str">
        <x:f>IF(E243="","",IF(LEFT(E243,2)="DA","PARIU U162,5","NO BET"))</x:f>
      </x:c>
      <x:c r="O243" s="9" t="str">
        <x:f>IF(M243="","",IF(AM243="PARIU U162,5",IF(M243="UNDER","SUCCES","EȘEC"),IF(M243="UNDER","FALS NEGATIV","EVITARE CORECTĂ")))</x:f>
      </x:c>
      <x:c r="P243" s="9" t="str">
        <x:f>IF(M243="","",IF(M243="UNDER",1,0))</x:f>
      </x:c>
      <x:c r="Q243" s="9" t="str">
        <x:f>IF(P243="","",(G243-P243)^2)</x:f>
      </x:c>
      <x:c r="R243" s="9" t="str">
        <x:f>IF(L243="","",L243-F243)</x:f>
      </x:c>
      <x:c r="S243" s="9" t="str">
        <x:f>IF(L243="","",IF(M243="UNDER","U162,5 reușit; total final "&amp;L243&amp;" vs λ="&amp;TEXT(F243,"0.00")&amp;".","Eșec U162,5; total final "&amp;L243&amp;" vs λ="&amp;TEXT(F243,"0.00")&amp;". Revizuiește Tail Risk, sursa λ și calibrarea."))</x:f>
      </x:c>
      <x:c r="T243" s="51"/>
      <x:c r="U243" s="51"/>
      <x:c r="V243" s="51"/>
      <x:c r="W243" s="61"/>
      <x:c r="X243" s="61"/>
      <x:c r="Y243" s="51"/>
      <x:c r="Z243" s="53"/>
      <x:c r="AA243" s="51"/>
      <x:c r="AB243" s="64" t="str">
        <x:f>IF(AC243="","",AC243)</x:f>
      </x:c>
      <x:c r="AC243" s="67"/>
      <x:c r="AD243" s="69" t="str">
        <x:f>IF(AE243="","",AE243)</x:f>
      </x:c>
      <x:c r="AE243" s="71"/>
      <x:c r="AF243" s="73" t="str">
        <x:f>IF(AC243="","",1/AC243)</x:f>
      </x:c>
      <x:c r="AG243" s="61"/>
      <x:c r="AH243" s="61"/>
      <x:c r="AI243" s="64" t="str">
        <x:f>IF(OR(AC243="",AG243=""),"",AC243*AG243-1)</x:f>
      </x:c>
      <x:c r="AJ243" s="75" t="str">
        <x:f>IF(OR(G243="",F243=""),"",IF(AND(G243&gt;='Calibrare v2'!$B$35,F243&lt;='Calibrare v2'!$B$34),"PASS","FAIL"))</x:f>
      </x:c>
      <x:c r="AK243" s="75" t="str">
        <x:f>IF(AL243="","",AL243)</x:f>
      </x:c>
      <x:c r="AL243" s="77"/>
      <x:c r="AM243" s="77"/>
      <x:c r="AN243" s="64" t="str">
        <x:f>IF(OR(AC243="",P243=""),"",(AC243-P243)^2)</x:f>
      </x:c>
      <x:c r="AO243" s="64" t="str">
        <x:f>IF(OR(AG243="",AH243=""),"",AG243/AH243-1)</x:f>
      </x:c>
      <x:c r="AP243" s="61"/>
      <x:c r="AQ243" s="73" t="n">
        <x:f>IF(OR(AM243&lt;&gt;"PARIU U4,5",M243="",AP243="",AG243=""),0,IF(M243="UNDER",AP243*(AG243-1),-AP243))</x:f>
        <x:v>0</x:v>
      </x:c>
      <x:c r="AR243" s="51"/>
    </x:row>
    <x:row r="244">
      <x:c r="A244" s="9" t="str">
        <x:f>IF(D244="","",ROW()-1)</x:f>
      </x:c>
      <x:c r="B244" s="51"/>
      <x:c r="C244" s="51"/>
      <x:c r="D244" s="51"/>
      <x:c r="E244" s="9" t="str">
        <x:f>IF(D244="","",IF(AND(F244&lt;='Calibrare v2'!$B$33,G244&gt;=0.86),"DA – FEZABIL",IF(G244&gt;=0.8,"DA – PRUDENT","NU – EVITĂ")))</x:f>
      </x:c>
      <x:c r="F244" s="16" t="str">
        <x:f>IF(OR(W244="",X244=""),"",W244+X244)</x:f>
      </x:c>
      <x:c r="G244" s="28" t="str">
        <x:f>IF(F244="","",EXP(-F244)*(1+F244+F244^2/2+F244^3/6+F244^4/24))</x:f>
      </x:c>
      <x:c r="H244" s="53"/>
      <x:c r="I244" s="9" t="str">
        <x:f>IF(F244="","",IF(F244&lt;='Calibrare v2'!$B$33,"PASS","FAIL"))</x:f>
      </x:c>
      <x:c r="J244" s="51"/>
      <x:c r="K244" s="51"/>
      <x:c r="L244" s="9" t="str">
        <x:f>IF(OR(J244="",K244=""),"",J244+K244)</x:f>
      </x:c>
      <x:c r="M244" s="9" t="str">
        <x:f>IF(L244="","",IF(L244&lt;=4,"UNDER","OVER"))</x:f>
      </x:c>
      <x:c r="N244" s="9" t="str">
        <x:f>IF(E244="","",IF(LEFT(E244,2)="DA","PARIU U163,5","NO BET"))</x:f>
      </x:c>
      <x:c r="O244" s="9" t="str">
        <x:f>IF(M244="","",IF(AM244="PARIU U163,5",IF(M244="UNDER","SUCCES","EȘEC"),IF(M244="UNDER","FALS NEGATIV","EVITARE CORECTĂ")))</x:f>
      </x:c>
      <x:c r="P244" s="9" t="str">
        <x:f>IF(M244="","",IF(M244="UNDER",1,0))</x:f>
      </x:c>
      <x:c r="Q244" s="9" t="str">
        <x:f>IF(P244="","",(G244-P244)^2)</x:f>
      </x:c>
      <x:c r="R244" s="9" t="str">
        <x:f>IF(L244="","",L244-F244)</x:f>
      </x:c>
      <x:c r="S244" s="9" t="str">
        <x:f>IF(L244="","",IF(M244="UNDER","U163,5 reușit; total final "&amp;L244&amp;" vs λ="&amp;TEXT(F244,"0.00")&amp;".","Eșec U163,5; total final "&amp;L244&amp;" vs λ="&amp;TEXT(F244,"0.00")&amp;". Revizuiește Tail Risk, sursa λ și calibrarea."))</x:f>
      </x:c>
      <x:c r="T244" s="51"/>
      <x:c r="U244" s="51"/>
      <x:c r="V244" s="51"/>
      <x:c r="W244" s="61"/>
      <x:c r="X244" s="61"/>
      <x:c r="Y244" s="51"/>
      <x:c r="Z244" s="53"/>
      <x:c r="AA244" s="51"/>
      <x:c r="AB244" s="64" t="str">
        <x:f>IF(AC244="","",AC244)</x:f>
      </x:c>
      <x:c r="AC244" s="67"/>
      <x:c r="AD244" s="69" t="str">
        <x:f>IF(AE244="","",AE244)</x:f>
      </x:c>
      <x:c r="AE244" s="71"/>
      <x:c r="AF244" s="73" t="str">
        <x:f>IF(AC244="","",1/AC244)</x:f>
      </x:c>
      <x:c r="AG244" s="61"/>
      <x:c r="AH244" s="61"/>
      <x:c r="AI244" s="64" t="str">
        <x:f>IF(OR(AC244="",AG244=""),"",AC244*AG244-1)</x:f>
      </x:c>
      <x:c r="AJ244" s="75" t="str">
        <x:f>IF(OR(G244="",F244=""),"",IF(AND(G244&gt;='Calibrare v2'!$B$35,F244&lt;='Calibrare v2'!$B$34),"PASS","FAIL"))</x:f>
      </x:c>
      <x:c r="AK244" s="75" t="str">
        <x:f>IF(AL244="","",AL244)</x:f>
      </x:c>
      <x:c r="AL244" s="77"/>
      <x:c r="AM244" s="77"/>
      <x:c r="AN244" s="64" t="str">
        <x:f>IF(OR(AC244="",P244=""),"",(AC244-P244)^2)</x:f>
      </x:c>
      <x:c r="AO244" s="64" t="str">
        <x:f>IF(OR(AG244="",AH244=""),"",AG244/AH244-1)</x:f>
      </x:c>
      <x:c r="AP244" s="61"/>
      <x:c r="AQ244" s="73" t="n">
        <x:f>IF(OR(AM244&lt;&gt;"PARIU U4,5",M244="",AP244="",AG244=""),0,IF(M244="UNDER",AP244*(AG244-1),-AP244))</x:f>
        <x:v>0</x:v>
      </x:c>
      <x:c r="AR244" s="51"/>
    </x:row>
    <x:row r="245">
      <x:c r="A245" s="9" t="str">
        <x:f>IF(D245="","",ROW()-1)</x:f>
      </x:c>
      <x:c r="B245" s="51"/>
      <x:c r="C245" s="51"/>
      <x:c r="D245" s="51"/>
      <x:c r="E245" s="9" t="str">
        <x:f>IF(D245="","",IF(AND(F245&lt;='Calibrare v2'!$B$33,G245&gt;=0.86),"DA – FEZABIL",IF(G245&gt;=0.8,"DA – PRUDENT","NU – EVITĂ")))</x:f>
      </x:c>
      <x:c r="F245" s="16" t="str">
        <x:f>IF(OR(W245="",X245=""),"",W245+X245)</x:f>
      </x:c>
      <x:c r="G245" s="28" t="str">
        <x:f>IF(F245="","",EXP(-F245)*(1+F245+F245^2/2+F245^3/6+F245^4/24))</x:f>
      </x:c>
      <x:c r="H245" s="53"/>
      <x:c r="I245" s="9" t="str">
        <x:f>IF(F245="","",IF(F245&lt;='Calibrare v2'!$B$33,"PASS","FAIL"))</x:f>
      </x:c>
      <x:c r="J245" s="51"/>
      <x:c r="K245" s="51"/>
      <x:c r="L245" s="9" t="str">
        <x:f>IF(OR(J245="",K245=""),"",J245+K245)</x:f>
      </x:c>
      <x:c r="M245" s="9" t="str">
        <x:f>IF(L245="","",IF(L245&lt;=4,"UNDER","OVER"))</x:f>
      </x:c>
      <x:c r="N245" s="9" t="str">
        <x:f>IF(E245="","",IF(LEFT(E245,2)="DA","PARIU U164,5","NO BET"))</x:f>
      </x:c>
      <x:c r="O245" s="9" t="str">
        <x:f>IF(M245="","",IF(AM245="PARIU U164,5",IF(M245="UNDER","SUCCES","EȘEC"),IF(M245="UNDER","FALS NEGATIV","EVITARE CORECTĂ")))</x:f>
      </x:c>
      <x:c r="P245" s="9" t="str">
        <x:f>IF(M245="","",IF(M245="UNDER",1,0))</x:f>
      </x:c>
      <x:c r="Q245" s="9" t="str">
        <x:f>IF(P245="","",(G245-P245)^2)</x:f>
      </x:c>
      <x:c r="R245" s="9" t="str">
        <x:f>IF(L245="","",L245-F245)</x:f>
      </x:c>
      <x:c r="S245" s="9" t="str">
        <x:f>IF(L245="","",IF(M245="UNDER","U164,5 reușit; total final "&amp;L245&amp;" vs λ="&amp;TEXT(F245,"0.00")&amp;".","Eșec U164,5; total final "&amp;L245&amp;" vs λ="&amp;TEXT(F245,"0.00")&amp;". Revizuiește Tail Risk, sursa λ și calibrarea."))</x:f>
      </x:c>
      <x:c r="T245" s="51"/>
      <x:c r="U245" s="51"/>
      <x:c r="V245" s="51"/>
      <x:c r="W245" s="61"/>
      <x:c r="X245" s="61"/>
      <x:c r="Y245" s="51"/>
      <x:c r="Z245" s="53"/>
      <x:c r="AA245" s="51"/>
      <x:c r="AB245" s="64" t="str">
        <x:f>IF(AC245="","",AC245)</x:f>
      </x:c>
      <x:c r="AC245" s="67"/>
      <x:c r="AD245" s="69" t="str">
        <x:f>IF(AE245="","",AE245)</x:f>
      </x:c>
      <x:c r="AE245" s="71"/>
      <x:c r="AF245" s="73" t="str">
        <x:f>IF(AC245="","",1/AC245)</x:f>
      </x:c>
      <x:c r="AG245" s="61"/>
      <x:c r="AH245" s="61"/>
      <x:c r="AI245" s="64" t="str">
        <x:f>IF(OR(AC245="",AG245=""),"",AC245*AG245-1)</x:f>
      </x:c>
      <x:c r="AJ245" s="75" t="str">
        <x:f>IF(OR(G245="",F245=""),"",IF(AND(G245&gt;='Calibrare v2'!$B$35,F245&lt;='Calibrare v2'!$B$34),"PASS","FAIL"))</x:f>
      </x:c>
      <x:c r="AK245" s="75" t="str">
        <x:f>IF(AL245="","",AL245)</x:f>
      </x:c>
      <x:c r="AL245" s="77"/>
      <x:c r="AM245" s="77"/>
      <x:c r="AN245" s="64" t="str">
        <x:f>IF(OR(AC245="",P245=""),"",(AC245-P245)^2)</x:f>
      </x:c>
      <x:c r="AO245" s="64" t="str">
        <x:f>IF(OR(AG245="",AH245=""),"",AG245/AH245-1)</x:f>
      </x:c>
      <x:c r="AP245" s="61"/>
      <x:c r="AQ245" s="73" t="n">
        <x:f>IF(OR(AM245&lt;&gt;"PARIU U4,5",M245="",AP245="",AG245=""),0,IF(M245="UNDER",AP245*(AG245-1),-AP245))</x:f>
        <x:v>0</x:v>
      </x:c>
      <x:c r="AR245" s="51"/>
    </x:row>
    <x:row r="246">
      <x:c r="A246" s="9" t="str">
        <x:f>IF(D246="","",ROW()-1)</x:f>
      </x:c>
      <x:c r="B246" s="51"/>
      <x:c r="C246" s="51"/>
      <x:c r="D246" s="51"/>
      <x:c r="E246" s="9" t="str">
        <x:f>IF(D246="","",IF(AND(F246&lt;='Calibrare v2'!$B$33,G246&gt;=0.86),"DA – FEZABIL",IF(G246&gt;=0.8,"DA – PRUDENT","NU – EVITĂ")))</x:f>
      </x:c>
      <x:c r="F246" s="16" t="str">
        <x:f>IF(OR(W246="",X246=""),"",W246+X246)</x:f>
      </x:c>
      <x:c r="G246" s="28" t="str">
        <x:f>IF(F246="","",EXP(-F246)*(1+F246+F246^2/2+F246^3/6+F246^4/24))</x:f>
      </x:c>
      <x:c r="H246" s="53"/>
      <x:c r="I246" s="9" t="str">
        <x:f>IF(F246="","",IF(F246&lt;='Calibrare v2'!$B$33,"PASS","FAIL"))</x:f>
      </x:c>
      <x:c r="J246" s="51"/>
      <x:c r="K246" s="51"/>
      <x:c r="L246" s="9" t="str">
        <x:f>IF(OR(J246="",K246=""),"",J246+K246)</x:f>
      </x:c>
      <x:c r="M246" s="9" t="str">
        <x:f>IF(L246="","",IF(L246&lt;=4,"UNDER","OVER"))</x:f>
      </x:c>
      <x:c r="N246" s="9" t="str">
        <x:f>IF(E246="","",IF(LEFT(E246,2)="DA","PARIU U165,5","NO BET"))</x:f>
      </x:c>
      <x:c r="O246" s="9" t="str">
        <x:f>IF(M246="","",IF(AM246="PARIU U165,5",IF(M246="UNDER","SUCCES","EȘEC"),IF(M246="UNDER","FALS NEGATIV","EVITARE CORECTĂ")))</x:f>
      </x:c>
      <x:c r="P246" s="9" t="str">
        <x:f>IF(M246="","",IF(M246="UNDER",1,0))</x:f>
      </x:c>
      <x:c r="Q246" s="9" t="str">
        <x:f>IF(P246="","",(G246-P246)^2)</x:f>
      </x:c>
      <x:c r="R246" s="9" t="str">
        <x:f>IF(L246="","",L246-F246)</x:f>
      </x:c>
      <x:c r="S246" s="9" t="str">
        <x:f>IF(L246="","",IF(M246="UNDER","U165,5 reușit; total final "&amp;L246&amp;" vs λ="&amp;TEXT(F246,"0.00")&amp;".","Eșec U165,5; total final "&amp;L246&amp;" vs λ="&amp;TEXT(F246,"0.00")&amp;". Revizuiește Tail Risk, sursa λ și calibrarea."))</x:f>
      </x:c>
      <x:c r="T246" s="51"/>
      <x:c r="U246" s="51"/>
      <x:c r="V246" s="51"/>
      <x:c r="W246" s="61"/>
      <x:c r="X246" s="61"/>
      <x:c r="Y246" s="51"/>
      <x:c r="Z246" s="53"/>
      <x:c r="AA246" s="51"/>
      <x:c r="AB246" s="64" t="str">
        <x:f>IF(AC246="","",AC246)</x:f>
      </x:c>
      <x:c r="AC246" s="67"/>
      <x:c r="AD246" s="69" t="str">
        <x:f>IF(AE246="","",AE246)</x:f>
      </x:c>
      <x:c r="AE246" s="71"/>
      <x:c r="AF246" s="73" t="str">
        <x:f>IF(AC246="","",1/AC246)</x:f>
      </x:c>
      <x:c r="AG246" s="61"/>
      <x:c r="AH246" s="61"/>
      <x:c r="AI246" s="64" t="str">
        <x:f>IF(OR(AC246="",AG246=""),"",AC246*AG246-1)</x:f>
      </x:c>
      <x:c r="AJ246" s="75" t="str">
        <x:f>IF(OR(G246="",F246=""),"",IF(AND(G246&gt;='Calibrare v2'!$B$35,F246&lt;='Calibrare v2'!$B$34),"PASS","FAIL"))</x:f>
      </x:c>
      <x:c r="AK246" s="75" t="str">
        <x:f>IF(AL246="","",AL246)</x:f>
      </x:c>
      <x:c r="AL246" s="77"/>
      <x:c r="AM246" s="77"/>
      <x:c r="AN246" s="64" t="str">
        <x:f>IF(OR(AC246="",P246=""),"",(AC246-P246)^2)</x:f>
      </x:c>
      <x:c r="AO246" s="64" t="str">
        <x:f>IF(OR(AG246="",AH246=""),"",AG246/AH246-1)</x:f>
      </x:c>
      <x:c r="AP246" s="61"/>
      <x:c r="AQ246" s="73" t="n">
        <x:f>IF(OR(AM246&lt;&gt;"PARIU U4,5",M246="",AP246="",AG246=""),0,IF(M246="UNDER",AP246*(AG246-1),-AP246))</x:f>
        <x:v>0</x:v>
      </x:c>
      <x:c r="AR246" s="51"/>
    </x:row>
    <x:row r="247">
      <x:c r="A247" s="9" t="str">
        <x:f>IF(D247="","",ROW()-1)</x:f>
      </x:c>
      <x:c r="B247" s="51"/>
      <x:c r="C247" s="51"/>
      <x:c r="D247" s="51"/>
      <x:c r="E247" s="9" t="str">
        <x:f>IF(D247="","",IF(AND(F247&lt;='Calibrare v2'!$B$33,G247&gt;=0.86),"DA – FEZABIL",IF(G247&gt;=0.8,"DA – PRUDENT","NU – EVITĂ")))</x:f>
      </x:c>
      <x:c r="F247" s="16" t="str">
        <x:f>IF(OR(W247="",X247=""),"",W247+X247)</x:f>
      </x:c>
      <x:c r="G247" s="28" t="str">
        <x:f>IF(F247="","",EXP(-F247)*(1+F247+F247^2/2+F247^3/6+F247^4/24))</x:f>
      </x:c>
      <x:c r="H247" s="53"/>
      <x:c r="I247" s="9" t="str">
        <x:f>IF(F247="","",IF(F247&lt;='Calibrare v2'!$B$33,"PASS","FAIL"))</x:f>
      </x:c>
      <x:c r="J247" s="51"/>
      <x:c r="K247" s="51"/>
      <x:c r="L247" s="9" t="str">
        <x:f>IF(OR(J247="",K247=""),"",J247+K247)</x:f>
      </x:c>
      <x:c r="M247" s="9" t="str">
        <x:f>IF(L247="","",IF(L247&lt;=4,"UNDER","OVER"))</x:f>
      </x:c>
      <x:c r="N247" s="9" t="str">
        <x:f>IF(E247="","",IF(LEFT(E247,2)="DA","PARIU U166,5","NO BET"))</x:f>
      </x:c>
      <x:c r="O247" s="9" t="str">
        <x:f>IF(M247="","",IF(AM247="PARIU U166,5",IF(M247="UNDER","SUCCES","EȘEC"),IF(M247="UNDER","FALS NEGATIV","EVITARE CORECTĂ")))</x:f>
      </x:c>
      <x:c r="P247" s="9" t="str">
        <x:f>IF(M247="","",IF(M247="UNDER",1,0))</x:f>
      </x:c>
      <x:c r="Q247" s="9" t="str">
        <x:f>IF(P247="","",(G247-P247)^2)</x:f>
      </x:c>
      <x:c r="R247" s="9" t="str">
        <x:f>IF(L247="","",L247-F247)</x:f>
      </x:c>
      <x:c r="S247" s="9" t="str">
        <x:f>IF(L247="","",IF(M247="UNDER","U166,5 reușit; total final "&amp;L247&amp;" vs λ="&amp;TEXT(F247,"0.00")&amp;".","Eșec U166,5; total final "&amp;L247&amp;" vs λ="&amp;TEXT(F247,"0.00")&amp;". Revizuiește Tail Risk, sursa λ și calibrarea."))</x:f>
      </x:c>
      <x:c r="T247" s="51"/>
      <x:c r="U247" s="51"/>
      <x:c r="V247" s="51"/>
      <x:c r="W247" s="61"/>
      <x:c r="X247" s="61"/>
      <x:c r="Y247" s="51"/>
      <x:c r="Z247" s="53"/>
      <x:c r="AA247" s="51"/>
      <x:c r="AB247" s="64" t="str">
        <x:f>IF(AC247="","",AC247)</x:f>
      </x:c>
      <x:c r="AC247" s="67"/>
      <x:c r="AD247" s="69" t="str">
        <x:f>IF(AE247="","",AE247)</x:f>
      </x:c>
      <x:c r="AE247" s="71"/>
      <x:c r="AF247" s="73" t="str">
        <x:f>IF(AC247="","",1/AC247)</x:f>
      </x:c>
      <x:c r="AG247" s="61"/>
      <x:c r="AH247" s="61"/>
      <x:c r="AI247" s="64" t="str">
        <x:f>IF(OR(AC247="",AG247=""),"",AC247*AG247-1)</x:f>
      </x:c>
      <x:c r="AJ247" s="75" t="str">
        <x:f>IF(OR(G247="",F247=""),"",IF(AND(G247&gt;='Calibrare v2'!$B$35,F247&lt;='Calibrare v2'!$B$34),"PASS","FAIL"))</x:f>
      </x:c>
      <x:c r="AK247" s="75" t="str">
        <x:f>IF(AL247="","",AL247)</x:f>
      </x:c>
      <x:c r="AL247" s="77"/>
      <x:c r="AM247" s="77"/>
      <x:c r="AN247" s="64" t="str">
        <x:f>IF(OR(AC247="",P247=""),"",(AC247-P247)^2)</x:f>
      </x:c>
      <x:c r="AO247" s="64" t="str">
        <x:f>IF(OR(AG247="",AH247=""),"",AG247/AH247-1)</x:f>
      </x:c>
      <x:c r="AP247" s="61"/>
      <x:c r="AQ247" s="73" t="n">
        <x:f>IF(OR(AM247&lt;&gt;"PARIU U4,5",M247="",AP247="",AG247=""),0,IF(M247="UNDER",AP247*(AG247-1),-AP247))</x:f>
        <x:v>0</x:v>
      </x:c>
      <x:c r="AR247" s="51"/>
    </x:row>
    <x:row r="248">
      <x:c r="A248" s="9" t="str">
        <x:f>IF(D248="","",ROW()-1)</x:f>
      </x:c>
      <x:c r="B248" s="51"/>
      <x:c r="C248" s="51"/>
      <x:c r="D248" s="51"/>
      <x:c r="E248" s="9" t="str">
        <x:f>IF(D248="","",IF(AND(F248&lt;='Calibrare v2'!$B$33,G248&gt;=0.86),"DA – FEZABIL",IF(G248&gt;=0.8,"DA – PRUDENT","NU – EVITĂ")))</x:f>
      </x:c>
      <x:c r="F248" s="16" t="str">
        <x:f>IF(OR(W248="",X248=""),"",W248+X248)</x:f>
      </x:c>
      <x:c r="G248" s="28" t="str">
        <x:f>IF(F248="","",EXP(-F248)*(1+F248+F248^2/2+F248^3/6+F248^4/24))</x:f>
      </x:c>
      <x:c r="H248" s="53"/>
      <x:c r="I248" s="9" t="str">
        <x:f>IF(F248="","",IF(F248&lt;='Calibrare v2'!$B$33,"PASS","FAIL"))</x:f>
      </x:c>
      <x:c r="J248" s="51"/>
      <x:c r="K248" s="51"/>
      <x:c r="L248" s="9" t="str">
        <x:f>IF(OR(J248="",K248=""),"",J248+K248)</x:f>
      </x:c>
      <x:c r="M248" s="9" t="str">
        <x:f>IF(L248="","",IF(L248&lt;=4,"UNDER","OVER"))</x:f>
      </x:c>
      <x:c r="N248" s="9" t="str">
        <x:f>IF(E248="","",IF(LEFT(E248,2)="DA","PARIU U167,5","NO BET"))</x:f>
      </x:c>
      <x:c r="O248" s="9" t="str">
        <x:f>IF(M248="","",IF(AM248="PARIU U167,5",IF(M248="UNDER","SUCCES","EȘEC"),IF(M248="UNDER","FALS NEGATIV","EVITARE CORECTĂ")))</x:f>
      </x:c>
      <x:c r="P248" s="9" t="str">
        <x:f>IF(M248="","",IF(M248="UNDER",1,0))</x:f>
      </x:c>
      <x:c r="Q248" s="9" t="str">
        <x:f>IF(P248="","",(G248-P248)^2)</x:f>
      </x:c>
      <x:c r="R248" s="9" t="str">
        <x:f>IF(L248="","",L248-F248)</x:f>
      </x:c>
      <x:c r="S248" s="9" t="str">
        <x:f>IF(L248="","",IF(M248="UNDER","U167,5 reușit; total final "&amp;L248&amp;" vs λ="&amp;TEXT(F248,"0.00")&amp;".","Eșec U167,5; total final "&amp;L248&amp;" vs λ="&amp;TEXT(F248,"0.00")&amp;". Revizuiește Tail Risk, sursa λ și calibrarea."))</x:f>
      </x:c>
      <x:c r="T248" s="51"/>
      <x:c r="U248" s="51"/>
      <x:c r="V248" s="51"/>
      <x:c r="W248" s="61"/>
      <x:c r="X248" s="61"/>
      <x:c r="Y248" s="51"/>
      <x:c r="Z248" s="53"/>
      <x:c r="AA248" s="51"/>
      <x:c r="AB248" s="64" t="str">
        <x:f>IF(AC248="","",AC248)</x:f>
      </x:c>
      <x:c r="AC248" s="67"/>
      <x:c r="AD248" s="69" t="str">
        <x:f>IF(AE248="","",AE248)</x:f>
      </x:c>
      <x:c r="AE248" s="71"/>
      <x:c r="AF248" s="73" t="str">
        <x:f>IF(AC248="","",1/AC248)</x:f>
      </x:c>
      <x:c r="AG248" s="61"/>
      <x:c r="AH248" s="61"/>
      <x:c r="AI248" s="64" t="str">
        <x:f>IF(OR(AC248="",AG248=""),"",AC248*AG248-1)</x:f>
      </x:c>
      <x:c r="AJ248" s="75" t="str">
        <x:f>IF(OR(G248="",F248=""),"",IF(AND(G248&gt;='Calibrare v2'!$B$35,F248&lt;='Calibrare v2'!$B$34),"PASS","FAIL"))</x:f>
      </x:c>
      <x:c r="AK248" s="75" t="str">
        <x:f>IF(AL248="","",AL248)</x:f>
      </x:c>
      <x:c r="AL248" s="77"/>
      <x:c r="AM248" s="77"/>
      <x:c r="AN248" s="64" t="str">
        <x:f>IF(OR(AC248="",P248=""),"",(AC248-P248)^2)</x:f>
      </x:c>
      <x:c r="AO248" s="64" t="str">
        <x:f>IF(OR(AG248="",AH248=""),"",AG248/AH248-1)</x:f>
      </x:c>
      <x:c r="AP248" s="61"/>
      <x:c r="AQ248" s="73" t="n">
        <x:f>IF(OR(AM248&lt;&gt;"PARIU U4,5",M248="",AP248="",AG248=""),0,IF(M248="UNDER",AP248*(AG248-1),-AP248))</x:f>
        <x:v>0</x:v>
      </x:c>
      <x:c r="AR248" s="51"/>
    </x:row>
    <x:row r="249">
      <x:c r="A249" s="9" t="str">
        <x:f>IF(D249="","",ROW()-1)</x:f>
      </x:c>
      <x:c r="B249" s="51"/>
      <x:c r="C249" s="51"/>
      <x:c r="D249" s="51"/>
      <x:c r="E249" s="9" t="str">
        <x:f>IF(D249="","",IF(AND(F249&lt;='Calibrare v2'!$B$33,G249&gt;=0.86),"DA – FEZABIL",IF(G249&gt;=0.8,"DA – PRUDENT","NU – EVITĂ")))</x:f>
      </x:c>
      <x:c r="F249" s="16" t="str">
        <x:f>IF(OR(W249="",X249=""),"",W249+X249)</x:f>
      </x:c>
      <x:c r="G249" s="28" t="str">
        <x:f>IF(F249="","",EXP(-F249)*(1+F249+F249^2/2+F249^3/6+F249^4/24))</x:f>
      </x:c>
      <x:c r="H249" s="53"/>
      <x:c r="I249" s="9" t="str">
        <x:f>IF(F249="","",IF(F249&lt;='Calibrare v2'!$B$33,"PASS","FAIL"))</x:f>
      </x:c>
      <x:c r="J249" s="51"/>
      <x:c r="K249" s="51"/>
      <x:c r="L249" s="9" t="str">
        <x:f>IF(OR(J249="",K249=""),"",J249+K249)</x:f>
      </x:c>
      <x:c r="M249" s="9" t="str">
        <x:f>IF(L249="","",IF(L249&lt;=4,"UNDER","OVER"))</x:f>
      </x:c>
      <x:c r="N249" s="9" t="str">
        <x:f>IF(E249="","",IF(LEFT(E249,2)="DA","PARIU U168,5","NO BET"))</x:f>
      </x:c>
      <x:c r="O249" s="9" t="str">
        <x:f>IF(M249="","",IF(AM249="PARIU U168,5",IF(M249="UNDER","SUCCES","EȘEC"),IF(M249="UNDER","FALS NEGATIV","EVITARE CORECTĂ")))</x:f>
      </x:c>
      <x:c r="P249" s="9" t="str">
        <x:f>IF(M249="","",IF(M249="UNDER",1,0))</x:f>
      </x:c>
      <x:c r="Q249" s="9" t="str">
        <x:f>IF(P249="","",(G249-P249)^2)</x:f>
      </x:c>
      <x:c r="R249" s="9" t="str">
        <x:f>IF(L249="","",L249-F249)</x:f>
      </x:c>
      <x:c r="S249" s="9" t="str">
        <x:f>IF(L249="","",IF(M249="UNDER","U168,5 reușit; total final "&amp;L249&amp;" vs λ="&amp;TEXT(F249,"0.00")&amp;".","Eșec U168,5; total final "&amp;L249&amp;" vs λ="&amp;TEXT(F249,"0.00")&amp;". Revizuiește Tail Risk, sursa λ și calibrarea."))</x:f>
      </x:c>
      <x:c r="T249" s="51"/>
      <x:c r="U249" s="51"/>
      <x:c r="V249" s="51"/>
      <x:c r="W249" s="61"/>
      <x:c r="X249" s="61"/>
      <x:c r="Y249" s="51"/>
      <x:c r="Z249" s="53"/>
      <x:c r="AA249" s="51"/>
      <x:c r="AB249" s="64" t="str">
        <x:f>IF(AC249="","",AC249)</x:f>
      </x:c>
      <x:c r="AC249" s="67"/>
      <x:c r="AD249" s="69" t="str">
        <x:f>IF(AE249="","",AE249)</x:f>
      </x:c>
      <x:c r="AE249" s="71"/>
      <x:c r="AF249" s="73" t="str">
        <x:f>IF(AC249="","",1/AC249)</x:f>
      </x:c>
      <x:c r="AG249" s="61"/>
      <x:c r="AH249" s="61"/>
      <x:c r="AI249" s="64" t="str">
        <x:f>IF(OR(AC249="",AG249=""),"",AC249*AG249-1)</x:f>
      </x:c>
      <x:c r="AJ249" s="75" t="str">
        <x:f>IF(OR(G249="",F249=""),"",IF(AND(G249&gt;='Calibrare v2'!$B$35,F249&lt;='Calibrare v2'!$B$34),"PASS","FAIL"))</x:f>
      </x:c>
      <x:c r="AK249" s="75" t="str">
        <x:f>IF(AL249="","",AL249)</x:f>
      </x:c>
      <x:c r="AL249" s="77"/>
      <x:c r="AM249" s="77"/>
      <x:c r="AN249" s="64" t="str">
        <x:f>IF(OR(AC249="",P249=""),"",(AC249-P249)^2)</x:f>
      </x:c>
      <x:c r="AO249" s="64" t="str">
        <x:f>IF(OR(AG249="",AH249=""),"",AG249/AH249-1)</x:f>
      </x:c>
      <x:c r="AP249" s="61"/>
      <x:c r="AQ249" s="73" t="n">
        <x:f>IF(OR(AM249&lt;&gt;"PARIU U4,5",M249="",AP249="",AG249=""),0,IF(M249="UNDER",AP249*(AG249-1),-AP249))</x:f>
        <x:v>0</x:v>
      </x:c>
      <x:c r="AR249" s="51"/>
    </x:row>
    <x:row r="250">
      <x:c r="A250" s="9" t="str">
        <x:f>IF(D250="","",ROW()-1)</x:f>
      </x:c>
      <x:c r="B250" s="51"/>
      <x:c r="C250" s="51"/>
      <x:c r="D250" s="51"/>
      <x:c r="E250" s="9" t="str">
        <x:f>IF(D250="","",IF(AND(F250&lt;='Calibrare v2'!$B$33,G250&gt;=0.86),"DA – FEZABIL",IF(G250&gt;=0.8,"DA – PRUDENT","NU – EVITĂ")))</x:f>
      </x:c>
      <x:c r="F250" s="16" t="str">
        <x:f>IF(OR(W250="",X250=""),"",W250+X250)</x:f>
      </x:c>
      <x:c r="G250" s="28" t="str">
        <x:f>IF(F250="","",EXP(-F250)*(1+F250+F250^2/2+F250^3/6+F250^4/24))</x:f>
      </x:c>
      <x:c r="H250" s="53"/>
      <x:c r="I250" s="9" t="str">
        <x:f>IF(F250="","",IF(F250&lt;='Calibrare v2'!$B$33,"PASS","FAIL"))</x:f>
      </x:c>
      <x:c r="J250" s="51"/>
      <x:c r="K250" s="51"/>
      <x:c r="L250" s="9" t="str">
        <x:f>IF(OR(J250="",K250=""),"",J250+K250)</x:f>
      </x:c>
      <x:c r="M250" s="9" t="str">
        <x:f>IF(L250="","",IF(L250&lt;=4,"UNDER","OVER"))</x:f>
      </x:c>
      <x:c r="N250" s="9" t="str">
        <x:f>IF(E250="","",IF(LEFT(E250,2)="DA","PARIU U169,5","NO BET"))</x:f>
      </x:c>
      <x:c r="O250" s="9" t="str">
        <x:f>IF(M250="","",IF(AM250="PARIU U169,5",IF(M250="UNDER","SUCCES","EȘEC"),IF(M250="UNDER","FALS NEGATIV","EVITARE CORECTĂ")))</x:f>
      </x:c>
      <x:c r="P250" s="9" t="str">
        <x:f>IF(M250="","",IF(M250="UNDER",1,0))</x:f>
      </x:c>
      <x:c r="Q250" s="9" t="str">
        <x:f>IF(P250="","",(G250-P250)^2)</x:f>
      </x:c>
      <x:c r="R250" s="9" t="str">
        <x:f>IF(L250="","",L250-F250)</x:f>
      </x:c>
      <x:c r="S250" s="9" t="str">
        <x:f>IF(L250="","",IF(M250="UNDER","U169,5 reușit; total final "&amp;L250&amp;" vs λ="&amp;TEXT(F250,"0.00")&amp;".","Eșec U169,5; total final "&amp;L250&amp;" vs λ="&amp;TEXT(F250,"0.00")&amp;". Revizuiește Tail Risk, sursa λ și calibrarea."))</x:f>
      </x:c>
      <x:c r="T250" s="51"/>
      <x:c r="U250" s="51"/>
      <x:c r="V250" s="51"/>
      <x:c r="W250" s="61"/>
      <x:c r="X250" s="61"/>
      <x:c r="Y250" s="51"/>
      <x:c r="Z250" s="53"/>
      <x:c r="AA250" s="51"/>
      <x:c r="AB250" s="64" t="str">
        <x:f>IF(AC250="","",AC250)</x:f>
      </x:c>
      <x:c r="AC250" s="67"/>
      <x:c r="AD250" s="69" t="str">
        <x:f>IF(AE250="","",AE250)</x:f>
      </x:c>
      <x:c r="AE250" s="71"/>
      <x:c r="AF250" s="73" t="str">
        <x:f>IF(AC250="","",1/AC250)</x:f>
      </x:c>
      <x:c r="AG250" s="61"/>
      <x:c r="AH250" s="61"/>
      <x:c r="AI250" s="64" t="str">
        <x:f>IF(OR(AC250="",AG250=""),"",AC250*AG250-1)</x:f>
      </x:c>
      <x:c r="AJ250" s="75" t="str">
        <x:f>IF(OR(G250="",F250=""),"",IF(AND(G250&gt;='Calibrare v2'!$B$35,F250&lt;='Calibrare v2'!$B$34),"PASS","FAIL"))</x:f>
      </x:c>
      <x:c r="AK250" s="75" t="str">
        <x:f>IF(AL250="","",AL250)</x:f>
      </x:c>
      <x:c r="AL250" s="77"/>
      <x:c r="AM250" s="77"/>
      <x:c r="AN250" s="64" t="str">
        <x:f>IF(OR(AC250="",P250=""),"",(AC250-P250)^2)</x:f>
      </x:c>
      <x:c r="AO250" s="64" t="str">
        <x:f>IF(OR(AG250="",AH250=""),"",AG250/AH250-1)</x:f>
      </x:c>
      <x:c r="AP250" s="61"/>
      <x:c r="AQ250" s="73" t="n">
        <x:f>IF(OR(AM250&lt;&gt;"PARIU U4,5",M250="",AP250="",AG250=""),0,IF(M250="UNDER",AP250*(AG250-1),-AP250))</x:f>
        <x:v>0</x:v>
      </x:c>
      <x:c r="AR250" s="51"/>
    </x:row>
    <x:row r="251">
      <x:c r="A251" s="9" t="str">
        <x:f>IF(D251="","",ROW()-1)</x:f>
      </x:c>
      <x:c r="B251" s="51"/>
      <x:c r="C251" s="51"/>
      <x:c r="D251" s="51"/>
      <x:c r="E251" s="9" t="str">
        <x:f>IF(D251="","",IF(AND(F251&lt;='Calibrare v2'!$B$33,G251&gt;=0.86),"DA – FEZABIL",IF(G251&gt;=0.8,"DA – PRUDENT","NU – EVITĂ")))</x:f>
      </x:c>
      <x:c r="F251" s="16" t="str">
        <x:f>IF(OR(W251="",X251=""),"",W251+X251)</x:f>
      </x:c>
      <x:c r="G251" s="28" t="str">
        <x:f>IF(F251="","",EXP(-F251)*(1+F251+F251^2/2+F251^3/6+F251^4/24))</x:f>
      </x:c>
      <x:c r="H251" s="53"/>
      <x:c r="I251" s="9" t="str">
        <x:f>IF(F251="","",IF(F251&lt;='Calibrare v2'!$B$33,"PASS","FAIL"))</x:f>
      </x:c>
      <x:c r="J251" s="51"/>
      <x:c r="K251" s="51"/>
      <x:c r="L251" s="9" t="str">
        <x:f>IF(OR(J251="",K251=""),"",J251+K251)</x:f>
      </x:c>
      <x:c r="M251" s="9" t="str">
        <x:f>IF(L251="","",IF(L251&lt;=4,"UNDER","OVER"))</x:f>
      </x:c>
      <x:c r="N251" s="9" t="str">
        <x:f>IF(E251="","",IF(LEFT(E251,2)="DA","PARIU U170,5","NO BET"))</x:f>
      </x:c>
      <x:c r="O251" s="9" t="str">
        <x:f>IF(M251="","",IF(AM251="PARIU U170,5",IF(M251="UNDER","SUCCES","EȘEC"),IF(M251="UNDER","FALS NEGATIV","EVITARE CORECTĂ")))</x:f>
      </x:c>
      <x:c r="P251" s="9" t="str">
        <x:f>IF(M251="","",IF(M251="UNDER",1,0))</x:f>
      </x:c>
      <x:c r="Q251" s="9" t="str">
        <x:f>IF(P251="","",(G251-P251)^2)</x:f>
      </x:c>
      <x:c r="R251" s="9" t="str">
        <x:f>IF(L251="","",L251-F251)</x:f>
      </x:c>
      <x:c r="S251" s="9" t="str">
        <x:f>IF(L251="","",IF(M251="UNDER","U170,5 reușit; total final "&amp;L251&amp;" vs λ="&amp;TEXT(F251,"0.00")&amp;".","Eșec U170,5; total final "&amp;L251&amp;" vs λ="&amp;TEXT(F251,"0.00")&amp;". Revizuiește Tail Risk, sursa λ și calibrarea."))</x:f>
      </x:c>
      <x:c r="T251" s="51"/>
      <x:c r="U251" s="51"/>
      <x:c r="V251" s="51"/>
      <x:c r="W251" s="61"/>
      <x:c r="X251" s="61"/>
      <x:c r="Y251" s="51"/>
      <x:c r="Z251" s="53"/>
      <x:c r="AA251" s="51"/>
      <x:c r="AB251" s="64" t="str">
        <x:f>IF(AC251="","",AC251)</x:f>
      </x:c>
      <x:c r="AC251" s="67"/>
      <x:c r="AD251" s="69" t="str">
        <x:f>IF(AE251="","",AE251)</x:f>
      </x:c>
      <x:c r="AE251" s="71"/>
      <x:c r="AF251" s="73" t="str">
        <x:f>IF(AC251="","",1/AC251)</x:f>
      </x:c>
      <x:c r="AG251" s="61"/>
      <x:c r="AH251" s="61"/>
      <x:c r="AI251" s="64" t="str">
        <x:f>IF(OR(AC251="",AG251=""),"",AC251*AG251-1)</x:f>
      </x:c>
      <x:c r="AJ251" s="75" t="str">
        <x:f>IF(OR(G251="",F251=""),"",IF(AND(G251&gt;='Calibrare v2'!$B$35,F251&lt;='Calibrare v2'!$B$34),"PASS","FAIL"))</x:f>
      </x:c>
      <x:c r="AK251" s="75" t="str">
        <x:f>IF(AL251="","",AL251)</x:f>
      </x:c>
      <x:c r="AL251" s="77"/>
      <x:c r="AM251" s="77"/>
      <x:c r="AN251" s="64" t="str">
        <x:f>IF(OR(AC251="",P251=""),"",(AC251-P251)^2)</x:f>
      </x:c>
      <x:c r="AO251" s="64" t="str">
        <x:f>IF(OR(AG251="",AH251=""),"",AG251/AH251-1)</x:f>
      </x:c>
      <x:c r="AP251" s="61"/>
      <x:c r="AQ251" s="73" t="n">
        <x:f>IF(OR(AM251&lt;&gt;"PARIU U4,5",M251="",AP251="",AG251=""),0,IF(M251="UNDER",AP251*(AG251-1),-AP251))</x:f>
        <x:v>0</x:v>
      </x:c>
      <x:c r="AR251" s="51"/>
    </x:row>
    <x:row r="252">
      <x:c r="A252" s="9" t="str">
        <x:f>IF(D252="","",ROW()-1)</x:f>
      </x:c>
      <x:c r="B252" s="51"/>
      <x:c r="C252" s="51"/>
      <x:c r="D252" s="51"/>
      <x:c r="E252" s="9" t="str">
        <x:f>IF(D252="","",IF(AND(F252&lt;='Calibrare v2'!$B$33,G252&gt;=0.86),"DA – FEZABIL",IF(G252&gt;=0.8,"DA – PRUDENT","NU – EVITĂ")))</x:f>
      </x:c>
      <x:c r="F252" s="16" t="str">
        <x:f>IF(OR(W252="",X252=""),"",W252+X252)</x:f>
      </x:c>
      <x:c r="G252" s="28" t="str">
        <x:f>IF(F252="","",EXP(-F252)*(1+F252+F252^2/2+F252^3/6+F252^4/24))</x:f>
      </x:c>
      <x:c r="H252" s="53"/>
      <x:c r="I252" s="9" t="str">
        <x:f>IF(F252="","",IF(F252&lt;='Calibrare v2'!$B$33,"PASS","FAIL"))</x:f>
      </x:c>
      <x:c r="J252" s="51"/>
      <x:c r="K252" s="51"/>
      <x:c r="L252" s="9" t="str">
        <x:f>IF(OR(J252="",K252=""),"",J252+K252)</x:f>
      </x:c>
      <x:c r="M252" s="9" t="str">
        <x:f>IF(L252="","",IF(L252&lt;=4,"UNDER","OVER"))</x:f>
      </x:c>
      <x:c r="N252" s="9" t="str">
        <x:f>IF(E252="","",IF(LEFT(E252,2)="DA","PARIU U171,5","NO BET"))</x:f>
      </x:c>
      <x:c r="O252" s="9" t="str">
        <x:f>IF(M252="","",IF(AM252="PARIU U171,5",IF(M252="UNDER","SUCCES","EȘEC"),IF(M252="UNDER","FALS NEGATIV","EVITARE CORECTĂ")))</x:f>
      </x:c>
      <x:c r="P252" s="9" t="str">
        <x:f>IF(M252="","",IF(M252="UNDER",1,0))</x:f>
      </x:c>
      <x:c r="Q252" s="9" t="str">
        <x:f>IF(P252="","",(G252-P252)^2)</x:f>
      </x:c>
      <x:c r="R252" s="9" t="str">
        <x:f>IF(L252="","",L252-F252)</x:f>
      </x:c>
      <x:c r="S252" s="9" t="str">
        <x:f>IF(L252="","",IF(M252="UNDER","U171,5 reușit; total final "&amp;L252&amp;" vs λ="&amp;TEXT(F252,"0.00")&amp;".","Eșec U171,5; total final "&amp;L252&amp;" vs λ="&amp;TEXT(F252,"0.00")&amp;". Revizuiește Tail Risk, sursa λ și calibrarea."))</x:f>
      </x:c>
      <x:c r="T252" s="51"/>
      <x:c r="U252" s="51"/>
      <x:c r="V252" s="51"/>
      <x:c r="W252" s="61"/>
      <x:c r="X252" s="61"/>
      <x:c r="Y252" s="51"/>
      <x:c r="Z252" s="53"/>
      <x:c r="AA252" s="51"/>
      <x:c r="AB252" s="64" t="str">
        <x:f>IF(AC252="","",AC252)</x:f>
      </x:c>
      <x:c r="AC252" s="67"/>
      <x:c r="AD252" s="69" t="str">
        <x:f>IF(AE252="","",AE252)</x:f>
      </x:c>
      <x:c r="AE252" s="71"/>
      <x:c r="AF252" s="73" t="str">
        <x:f>IF(AC252="","",1/AC252)</x:f>
      </x:c>
      <x:c r="AG252" s="61"/>
      <x:c r="AH252" s="61"/>
      <x:c r="AI252" s="64" t="str">
        <x:f>IF(OR(AC252="",AG252=""),"",AC252*AG252-1)</x:f>
      </x:c>
      <x:c r="AJ252" s="75" t="str">
        <x:f>IF(OR(G252="",F252=""),"",IF(AND(G252&gt;='Calibrare v2'!$B$35,F252&lt;='Calibrare v2'!$B$34),"PASS","FAIL"))</x:f>
      </x:c>
      <x:c r="AK252" s="75" t="str">
        <x:f>IF(AL252="","",AL252)</x:f>
      </x:c>
      <x:c r="AL252" s="77"/>
      <x:c r="AM252" s="77"/>
      <x:c r="AN252" s="64" t="str">
        <x:f>IF(OR(AC252="",P252=""),"",(AC252-P252)^2)</x:f>
      </x:c>
      <x:c r="AO252" s="64" t="str">
        <x:f>IF(OR(AG252="",AH252=""),"",AG252/AH252-1)</x:f>
      </x:c>
      <x:c r="AP252" s="61"/>
      <x:c r="AQ252" s="73" t="n">
        <x:f>IF(OR(AM252&lt;&gt;"PARIU U4,5",M252="",AP252="",AG252=""),0,IF(M252="UNDER",AP252*(AG252-1),-AP252))</x:f>
        <x:v>0</x:v>
      </x:c>
      <x:c r="AR252" s="51"/>
    </x:row>
    <x:row r="253">
      <x:c r="A253" s="9" t="str">
        <x:f>IF(D253="","",ROW()-1)</x:f>
      </x:c>
      <x:c r="B253" s="51"/>
      <x:c r="C253" s="51"/>
      <x:c r="D253" s="51"/>
      <x:c r="E253" s="9" t="str">
        <x:f>IF(D253="","",IF(AND(F253&lt;='Calibrare v2'!$B$33,G253&gt;=0.86),"DA – FEZABIL",IF(G253&gt;=0.8,"DA – PRUDENT","NU – EVITĂ")))</x:f>
      </x:c>
      <x:c r="F253" s="16" t="str">
        <x:f>IF(OR(W253="",X253=""),"",W253+X253)</x:f>
      </x:c>
      <x:c r="G253" s="28" t="str">
        <x:f>IF(F253="","",EXP(-F253)*(1+F253+F253^2/2+F253^3/6+F253^4/24))</x:f>
      </x:c>
      <x:c r="H253" s="53"/>
      <x:c r="I253" s="9" t="str">
        <x:f>IF(F253="","",IF(F253&lt;='Calibrare v2'!$B$33,"PASS","FAIL"))</x:f>
      </x:c>
      <x:c r="J253" s="51"/>
      <x:c r="K253" s="51"/>
      <x:c r="L253" s="9" t="str">
        <x:f>IF(OR(J253="",K253=""),"",J253+K253)</x:f>
      </x:c>
      <x:c r="M253" s="9" t="str">
        <x:f>IF(L253="","",IF(L253&lt;=4,"UNDER","OVER"))</x:f>
      </x:c>
      <x:c r="N253" s="9" t="str">
        <x:f>IF(E253="","",IF(LEFT(E253,2)="DA","PARIU U172,5","NO BET"))</x:f>
      </x:c>
      <x:c r="O253" s="9" t="str">
        <x:f>IF(M253="","",IF(AM253="PARIU U172,5",IF(M253="UNDER","SUCCES","EȘEC"),IF(M253="UNDER","FALS NEGATIV","EVITARE CORECTĂ")))</x:f>
      </x:c>
      <x:c r="P253" s="9" t="str">
        <x:f>IF(M253="","",IF(M253="UNDER",1,0))</x:f>
      </x:c>
      <x:c r="Q253" s="9" t="str">
        <x:f>IF(P253="","",(G253-P253)^2)</x:f>
      </x:c>
      <x:c r="R253" s="9" t="str">
        <x:f>IF(L253="","",L253-F253)</x:f>
      </x:c>
      <x:c r="S253" s="9" t="str">
        <x:f>IF(L253="","",IF(M253="UNDER","U172,5 reușit; total final "&amp;L253&amp;" vs λ="&amp;TEXT(F253,"0.00")&amp;".","Eșec U172,5; total final "&amp;L253&amp;" vs λ="&amp;TEXT(F253,"0.00")&amp;". Revizuiește Tail Risk, sursa λ și calibrarea."))</x:f>
      </x:c>
      <x:c r="T253" s="51"/>
      <x:c r="U253" s="51"/>
      <x:c r="V253" s="51"/>
      <x:c r="W253" s="61"/>
      <x:c r="X253" s="61"/>
      <x:c r="Y253" s="51"/>
      <x:c r="Z253" s="53"/>
      <x:c r="AA253" s="51"/>
      <x:c r="AB253" s="64" t="str">
        <x:f>IF(AC253="","",AC253)</x:f>
      </x:c>
      <x:c r="AC253" s="67"/>
      <x:c r="AD253" s="69" t="str">
        <x:f>IF(AE253="","",AE253)</x:f>
      </x:c>
      <x:c r="AE253" s="71"/>
      <x:c r="AF253" s="73" t="str">
        <x:f>IF(AC253="","",1/AC253)</x:f>
      </x:c>
      <x:c r="AG253" s="61"/>
      <x:c r="AH253" s="61"/>
      <x:c r="AI253" s="64" t="str">
        <x:f>IF(OR(AC253="",AG253=""),"",AC253*AG253-1)</x:f>
      </x:c>
      <x:c r="AJ253" s="75" t="str">
        <x:f>IF(OR(G253="",F253=""),"",IF(AND(G253&gt;='Calibrare v2'!$B$35,F253&lt;='Calibrare v2'!$B$34),"PASS","FAIL"))</x:f>
      </x:c>
      <x:c r="AK253" s="75" t="str">
        <x:f>IF(AL253="","",AL253)</x:f>
      </x:c>
      <x:c r="AL253" s="77"/>
      <x:c r="AM253" s="77"/>
      <x:c r="AN253" s="64" t="str">
        <x:f>IF(OR(AC253="",P253=""),"",(AC253-P253)^2)</x:f>
      </x:c>
      <x:c r="AO253" s="64" t="str">
        <x:f>IF(OR(AG253="",AH253=""),"",AG253/AH253-1)</x:f>
      </x:c>
      <x:c r="AP253" s="61"/>
      <x:c r="AQ253" s="73" t="n">
        <x:f>IF(OR(AM253&lt;&gt;"PARIU U4,5",M253="",AP253="",AG253=""),0,IF(M253="UNDER",AP253*(AG253-1),-AP253))</x:f>
        <x:v>0</x:v>
      </x:c>
      <x:c r="AR253" s="51"/>
    </x:row>
    <x:row r="254">
      <x:c r="A254" s="9" t="str">
        <x:f>IF(D254="","",ROW()-1)</x:f>
      </x:c>
      <x:c r="B254" s="51"/>
      <x:c r="C254" s="51"/>
      <x:c r="D254" s="51"/>
      <x:c r="E254" s="9" t="str">
        <x:f>IF(D254="","",IF(AND(F254&lt;='Calibrare v2'!$B$33,G254&gt;=0.86),"DA – FEZABIL",IF(G254&gt;=0.8,"DA – PRUDENT","NU – EVITĂ")))</x:f>
      </x:c>
      <x:c r="F254" s="16" t="str">
        <x:f>IF(OR(W254="",X254=""),"",W254+X254)</x:f>
      </x:c>
      <x:c r="G254" s="28" t="str">
        <x:f>IF(F254="","",EXP(-F254)*(1+F254+F254^2/2+F254^3/6+F254^4/24))</x:f>
      </x:c>
      <x:c r="H254" s="53"/>
      <x:c r="I254" s="9" t="str">
        <x:f>IF(F254="","",IF(F254&lt;='Calibrare v2'!$B$33,"PASS","FAIL"))</x:f>
      </x:c>
      <x:c r="J254" s="51"/>
      <x:c r="K254" s="51"/>
      <x:c r="L254" s="9" t="str">
        <x:f>IF(OR(J254="",K254=""),"",J254+K254)</x:f>
      </x:c>
      <x:c r="M254" s="9" t="str">
        <x:f>IF(L254="","",IF(L254&lt;=4,"UNDER","OVER"))</x:f>
      </x:c>
      <x:c r="N254" s="9" t="str">
        <x:f>IF(E254="","",IF(LEFT(E254,2)="DA","PARIU U173,5","NO BET"))</x:f>
      </x:c>
      <x:c r="O254" s="9" t="str">
        <x:f>IF(M254="","",IF(AM254="PARIU U173,5",IF(M254="UNDER","SUCCES","EȘEC"),IF(M254="UNDER","FALS NEGATIV","EVITARE CORECTĂ")))</x:f>
      </x:c>
      <x:c r="P254" s="9" t="str">
        <x:f>IF(M254="","",IF(M254="UNDER",1,0))</x:f>
      </x:c>
      <x:c r="Q254" s="9" t="str">
        <x:f>IF(P254="","",(G254-P254)^2)</x:f>
      </x:c>
      <x:c r="R254" s="9" t="str">
        <x:f>IF(L254="","",L254-F254)</x:f>
      </x:c>
      <x:c r="S254" s="9" t="str">
        <x:f>IF(L254="","",IF(M254="UNDER","U173,5 reușit; total final "&amp;L254&amp;" vs λ="&amp;TEXT(F254,"0.00")&amp;".","Eșec U173,5; total final "&amp;L254&amp;" vs λ="&amp;TEXT(F254,"0.00")&amp;". Revizuiește Tail Risk, sursa λ și calibrarea."))</x:f>
      </x:c>
      <x:c r="T254" s="51"/>
      <x:c r="U254" s="51"/>
      <x:c r="V254" s="51"/>
      <x:c r="W254" s="61"/>
      <x:c r="X254" s="61"/>
      <x:c r="Y254" s="51"/>
      <x:c r="Z254" s="53"/>
      <x:c r="AA254" s="51"/>
      <x:c r="AB254" s="64" t="str">
        <x:f>IF(AC254="","",AC254)</x:f>
      </x:c>
      <x:c r="AC254" s="67"/>
      <x:c r="AD254" s="69" t="str">
        <x:f>IF(AE254="","",AE254)</x:f>
      </x:c>
      <x:c r="AE254" s="71"/>
      <x:c r="AF254" s="73" t="str">
        <x:f>IF(AC254="","",1/AC254)</x:f>
      </x:c>
      <x:c r="AG254" s="61"/>
      <x:c r="AH254" s="61"/>
      <x:c r="AI254" s="64" t="str">
        <x:f>IF(OR(AC254="",AG254=""),"",AC254*AG254-1)</x:f>
      </x:c>
      <x:c r="AJ254" s="75" t="str">
        <x:f>IF(OR(G254="",F254=""),"",IF(AND(G254&gt;='Calibrare v2'!$B$35,F254&lt;='Calibrare v2'!$B$34),"PASS","FAIL"))</x:f>
      </x:c>
      <x:c r="AK254" s="75" t="str">
        <x:f>IF(AL254="","",AL254)</x:f>
      </x:c>
      <x:c r="AL254" s="77"/>
      <x:c r="AM254" s="77"/>
      <x:c r="AN254" s="64" t="str">
        <x:f>IF(OR(AC254="",P254=""),"",(AC254-P254)^2)</x:f>
      </x:c>
      <x:c r="AO254" s="64" t="str">
        <x:f>IF(OR(AG254="",AH254=""),"",AG254/AH254-1)</x:f>
      </x:c>
      <x:c r="AP254" s="61"/>
      <x:c r="AQ254" s="73" t="n">
        <x:f>IF(OR(AM254&lt;&gt;"PARIU U4,5",M254="",AP254="",AG254=""),0,IF(M254="UNDER",AP254*(AG254-1),-AP254))</x:f>
        <x:v>0</x:v>
      </x:c>
      <x:c r="AR254" s="51"/>
    </x:row>
    <x:row r="255">
      <x:c r="A255" s="9" t="str">
        <x:f>IF(D255="","",ROW()-1)</x:f>
      </x:c>
      <x:c r="B255" s="51"/>
      <x:c r="C255" s="51"/>
      <x:c r="D255" s="51"/>
      <x:c r="E255" s="9" t="str">
        <x:f>IF(D255="","",IF(AND(F255&lt;='Calibrare v2'!$B$33,G255&gt;=0.86),"DA – FEZABIL",IF(G255&gt;=0.8,"DA – PRUDENT","NU – EVITĂ")))</x:f>
      </x:c>
      <x:c r="F255" s="16" t="str">
        <x:f>IF(OR(W255="",X255=""),"",W255+X255)</x:f>
      </x:c>
      <x:c r="G255" s="28" t="str">
        <x:f>IF(F255="","",EXP(-F255)*(1+F255+F255^2/2+F255^3/6+F255^4/24))</x:f>
      </x:c>
      <x:c r="H255" s="53"/>
      <x:c r="I255" s="9" t="str">
        <x:f>IF(F255="","",IF(F255&lt;='Calibrare v2'!$B$33,"PASS","FAIL"))</x:f>
      </x:c>
      <x:c r="J255" s="51"/>
      <x:c r="K255" s="51"/>
      <x:c r="L255" s="9" t="str">
        <x:f>IF(OR(J255="",K255=""),"",J255+K255)</x:f>
      </x:c>
      <x:c r="M255" s="9" t="str">
        <x:f>IF(L255="","",IF(L255&lt;=4,"UNDER","OVER"))</x:f>
      </x:c>
      <x:c r="N255" s="9" t="str">
        <x:f>IF(E255="","",IF(LEFT(E255,2)="DA","PARIU U174,5","NO BET"))</x:f>
      </x:c>
      <x:c r="O255" s="9" t="str">
        <x:f>IF(M255="","",IF(AM255="PARIU U174,5",IF(M255="UNDER","SUCCES","EȘEC"),IF(M255="UNDER","FALS NEGATIV","EVITARE CORECTĂ")))</x:f>
      </x:c>
      <x:c r="P255" s="9" t="str">
        <x:f>IF(M255="","",IF(M255="UNDER",1,0))</x:f>
      </x:c>
      <x:c r="Q255" s="9" t="str">
        <x:f>IF(P255="","",(G255-P255)^2)</x:f>
      </x:c>
      <x:c r="R255" s="9" t="str">
        <x:f>IF(L255="","",L255-F255)</x:f>
      </x:c>
      <x:c r="S255" s="9" t="str">
        <x:f>IF(L255="","",IF(M255="UNDER","U174,5 reușit; total final "&amp;L255&amp;" vs λ="&amp;TEXT(F255,"0.00")&amp;".","Eșec U174,5; total final "&amp;L255&amp;" vs λ="&amp;TEXT(F255,"0.00")&amp;". Revizuiește Tail Risk, sursa λ și calibrarea."))</x:f>
      </x:c>
      <x:c r="T255" s="51"/>
      <x:c r="U255" s="51"/>
      <x:c r="V255" s="51"/>
      <x:c r="W255" s="61"/>
      <x:c r="X255" s="61"/>
      <x:c r="Y255" s="51"/>
      <x:c r="Z255" s="53"/>
      <x:c r="AA255" s="51"/>
      <x:c r="AB255" s="64" t="str">
        <x:f>IF(AC255="","",AC255)</x:f>
      </x:c>
      <x:c r="AC255" s="67"/>
      <x:c r="AD255" s="69" t="str">
        <x:f>IF(AE255="","",AE255)</x:f>
      </x:c>
      <x:c r="AE255" s="71"/>
      <x:c r="AF255" s="73" t="str">
        <x:f>IF(AC255="","",1/AC255)</x:f>
      </x:c>
      <x:c r="AG255" s="61"/>
      <x:c r="AH255" s="61"/>
      <x:c r="AI255" s="64" t="str">
        <x:f>IF(OR(AC255="",AG255=""),"",AC255*AG255-1)</x:f>
      </x:c>
      <x:c r="AJ255" s="75" t="str">
        <x:f>IF(OR(G255="",F255=""),"",IF(AND(G255&gt;='Calibrare v2'!$B$35,F255&lt;='Calibrare v2'!$B$34),"PASS","FAIL"))</x:f>
      </x:c>
      <x:c r="AK255" s="75" t="str">
        <x:f>IF(AL255="","",AL255)</x:f>
      </x:c>
      <x:c r="AL255" s="77"/>
      <x:c r="AM255" s="77"/>
      <x:c r="AN255" s="64" t="str">
        <x:f>IF(OR(AC255="",P255=""),"",(AC255-P255)^2)</x:f>
      </x:c>
      <x:c r="AO255" s="64" t="str">
        <x:f>IF(OR(AG255="",AH255=""),"",AG255/AH255-1)</x:f>
      </x:c>
      <x:c r="AP255" s="61"/>
      <x:c r="AQ255" s="73" t="n">
        <x:f>IF(OR(AM255&lt;&gt;"PARIU U4,5",M255="",AP255="",AG255=""),0,IF(M255="UNDER",AP255*(AG255-1),-AP255))</x:f>
        <x:v>0</x:v>
      </x:c>
      <x:c r="AR255" s="51"/>
    </x:row>
    <x:row r="256">
      <x:c r="A256" s="9" t="str">
        <x:f>IF(D256="","",ROW()-1)</x:f>
      </x:c>
      <x:c r="B256" s="51"/>
      <x:c r="C256" s="51"/>
      <x:c r="D256" s="51"/>
      <x:c r="E256" s="9" t="str">
        <x:f>IF(D256="","",IF(AND(F256&lt;='Calibrare v2'!$B$33,G256&gt;=0.86),"DA – FEZABIL",IF(G256&gt;=0.8,"DA – PRUDENT","NU – EVITĂ")))</x:f>
      </x:c>
      <x:c r="F256" s="16" t="str">
        <x:f>IF(OR(W256="",X256=""),"",W256+X256)</x:f>
      </x:c>
      <x:c r="G256" s="28" t="str">
        <x:f>IF(F256="","",EXP(-F256)*(1+F256+F256^2/2+F256^3/6+F256^4/24))</x:f>
      </x:c>
      <x:c r="H256" s="53"/>
      <x:c r="I256" s="9" t="str">
        <x:f>IF(F256="","",IF(F256&lt;='Calibrare v2'!$B$33,"PASS","FAIL"))</x:f>
      </x:c>
      <x:c r="J256" s="51"/>
      <x:c r="K256" s="51"/>
      <x:c r="L256" s="9" t="str">
        <x:f>IF(OR(J256="",K256=""),"",J256+K256)</x:f>
      </x:c>
      <x:c r="M256" s="9" t="str">
        <x:f>IF(L256="","",IF(L256&lt;=4,"UNDER","OVER"))</x:f>
      </x:c>
      <x:c r="N256" s="9" t="str">
        <x:f>IF(E256="","",IF(LEFT(E256,2)="DA","PARIU U175,5","NO BET"))</x:f>
      </x:c>
      <x:c r="O256" s="9" t="str">
        <x:f>IF(M256="","",IF(AM256="PARIU U175,5",IF(M256="UNDER","SUCCES","EȘEC"),IF(M256="UNDER","FALS NEGATIV","EVITARE CORECTĂ")))</x:f>
      </x:c>
      <x:c r="P256" s="9" t="str">
        <x:f>IF(M256="","",IF(M256="UNDER",1,0))</x:f>
      </x:c>
      <x:c r="Q256" s="9" t="str">
        <x:f>IF(P256="","",(G256-P256)^2)</x:f>
      </x:c>
      <x:c r="R256" s="9" t="str">
        <x:f>IF(L256="","",L256-F256)</x:f>
      </x:c>
      <x:c r="S256" s="9" t="str">
        <x:f>IF(L256="","",IF(M256="UNDER","U175,5 reușit; total final "&amp;L256&amp;" vs λ="&amp;TEXT(F256,"0.00")&amp;".","Eșec U175,5; total final "&amp;L256&amp;" vs λ="&amp;TEXT(F256,"0.00")&amp;". Revizuiește Tail Risk, sursa λ și calibrarea."))</x:f>
      </x:c>
      <x:c r="T256" s="51"/>
      <x:c r="U256" s="51"/>
      <x:c r="V256" s="51"/>
      <x:c r="W256" s="61"/>
      <x:c r="X256" s="61"/>
      <x:c r="Y256" s="51"/>
      <x:c r="Z256" s="53"/>
      <x:c r="AA256" s="51"/>
      <x:c r="AB256" s="64" t="str">
        <x:f>IF(AC256="","",AC256)</x:f>
      </x:c>
      <x:c r="AC256" s="67"/>
      <x:c r="AD256" s="69" t="str">
        <x:f>IF(AE256="","",AE256)</x:f>
      </x:c>
      <x:c r="AE256" s="71"/>
      <x:c r="AF256" s="73" t="str">
        <x:f>IF(AC256="","",1/AC256)</x:f>
      </x:c>
      <x:c r="AG256" s="61"/>
      <x:c r="AH256" s="61"/>
      <x:c r="AI256" s="64" t="str">
        <x:f>IF(OR(AC256="",AG256=""),"",AC256*AG256-1)</x:f>
      </x:c>
      <x:c r="AJ256" s="75" t="str">
        <x:f>IF(OR(G256="",F256=""),"",IF(AND(G256&gt;='Calibrare v2'!$B$35,F256&lt;='Calibrare v2'!$B$34),"PASS","FAIL"))</x:f>
      </x:c>
      <x:c r="AK256" s="75" t="str">
        <x:f>IF(AL256="","",AL256)</x:f>
      </x:c>
      <x:c r="AL256" s="77"/>
      <x:c r="AM256" s="77"/>
      <x:c r="AN256" s="64" t="str">
        <x:f>IF(OR(AC256="",P256=""),"",(AC256-P256)^2)</x:f>
      </x:c>
      <x:c r="AO256" s="64" t="str">
        <x:f>IF(OR(AG256="",AH256=""),"",AG256/AH256-1)</x:f>
      </x:c>
      <x:c r="AP256" s="61"/>
      <x:c r="AQ256" s="73" t="n">
        <x:f>IF(OR(AM256&lt;&gt;"PARIU U4,5",M256="",AP256="",AG256=""),0,IF(M256="UNDER",AP256*(AG256-1),-AP256))</x:f>
        <x:v>0</x:v>
      </x:c>
      <x:c r="AR256" s="51"/>
    </x:row>
    <x:row r="257">
      <x:c r="A257" s="9" t="str">
        <x:f>IF(D257="","",ROW()-1)</x:f>
      </x:c>
      <x:c r="B257" s="51"/>
      <x:c r="C257" s="51"/>
      <x:c r="D257" s="51"/>
      <x:c r="E257" s="9" t="str">
        <x:f>IF(D257="","",IF(AND(F257&lt;='Calibrare v2'!$B$33,G257&gt;=0.86),"DA – FEZABIL",IF(G257&gt;=0.8,"DA – PRUDENT","NU – EVITĂ")))</x:f>
      </x:c>
      <x:c r="F257" s="16" t="str">
        <x:f>IF(OR(W257="",X257=""),"",W257+X257)</x:f>
      </x:c>
      <x:c r="G257" s="28" t="str">
        <x:f>IF(F257="","",EXP(-F257)*(1+F257+F257^2/2+F257^3/6+F257^4/24))</x:f>
      </x:c>
      <x:c r="H257" s="53"/>
      <x:c r="I257" s="9" t="str">
        <x:f>IF(F257="","",IF(F257&lt;='Calibrare v2'!$B$33,"PASS","FAIL"))</x:f>
      </x:c>
      <x:c r="J257" s="51"/>
      <x:c r="K257" s="51"/>
      <x:c r="L257" s="9" t="str">
        <x:f>IF(OR(J257="",K257=""),"",J257+K257)</x:f>
      </x:c>
      <x:c r="M257" s="9" t="str">
        <x:f>IF(L257="","",IF(L257&lt;=4,"UNDER","OVER"))</x:f>
      </x:c>
      <x:c r="N257" s="9" t="str">
        <x:f>IF(E257="","",IF(LEFT(E257,2)="DA","PARIU U176,5","NO BET"))</x:f>
      </x:c>
      <x:c r="O257" s="9" t="str">
        <x:f>IF(M257="","",IF(AM257="PARIU U176,5",IF(M257="UNDER","SUCCES","EȘEC"),IF(M257="UNDER","FALS NEGATIV","EVITARE CORECTĂ")))</x:f>
      </x:c>
      <x:c r="P257" s="9" t="str">
        <x:f>IF(M257="","",IF(M257="UNDER",1,0))</x:f>
      </x:c>
      <x:c r="Q257" s="9" t="str">
        <x:f>IF(P257="","",(G257-P257)^2)</x:f>
      </x:c>
      <x:c r="R257" s="9" t="str">
        <x:f>IF(L257="","",L257-F257)</x:f>
      </x:c>
      <x:c r="S257" s="9" t="str">
        <x:f>IF(L257="","",IF(M257="UNDER","U176,5 reușit; total final "&amp;L257&amp;" vs λ="&amp;TEXT(F257,"0.00")&amp;".","Eșec U176,5; total final "&amp;L257&amp;" vs λ="&amp;TEXT(F257,"0.00")&amp;". Revizuiește Tail Risk, sursa λ și calibrarea."))</x:f>
      </x:c>
      <x:c r="T257" s="51"/>
      <x:c r="U257" s="51"/>
      <x:c r="V257" s="51"/>
      <x:c r="W257" s="61"/>
      <x:c r="X257" s="61"/>
      <x:c r="Y257" s="51"/>
      <x:c r="Z257" s="53"/>
      <x:c r="AA257" s="51"/>
      <x:c r="AB257" s="64" t="str">
        <x:f>IF(AC257="","",AC257)</x:f>
      </x:c>
      <x:c r="AC257" s="67"/>
      <x:c r="AD257" s="69" t="str">
        <x:f>IF(AE257="","",AE257)</x:f>
      </x:c>
      <x:c r="AE257" s="71"/>
      <x:c r="AF257" s="73" t="str">
        <x:f>IF(AC257="","",1/AC257)</x:f>
      </x:c>
      <x:c r="AG257" s="61"/>
      <x:c r="AH257" s="61"/>
      <x:c r="AI257" s="64" t="str">
        <x:f>IF(OR(AC257="",AG257=""),"",AC257*AG257-1)</x:f>
      </x:c>
      <x:c r="AJ257" s="75" t="str">
        <x:f>IF(OR(G257="",F257=""),"",IF(AND(G257&gt;='Calibrare v2'!$B$35,F257&lt;='Calibrare v2'!$B$34),"PASS","FAIL"))</x:f>
      </x:c>
      <x:c r="AK257" s="75" t="str">
        <x:f>IF(AL257="","",AL257)</x:f>
      </x:c>
      <x:c r="AL257" s="77"/>
      <x:c r="AM257" s="77"/>
      <x:c r="AN257" s="64" t="str">
        <x:f>IF(OR(AC257="",P257=""),"",(AC257-P257)^2)</x:f>
      </x:c>
      <x:c r="AO257" s="64" t="str">
        <x:f>IF(OR(AG257="",AH257=""),"",AG257/AH257-1)</x:f>
      </x:c>
      <x:c r="AP257" s="61"/>
      <x:c r="AQ257" s="73" t="n">
        <x:f>IF(OR(AM257&lt;&gt;"PARIU U4,5",M257="",AP257="",AG257=""),0,IF(M257="UNDER",AP257*(AG257-1),-AP257))</x:f>
        <x:v>0</x:v>
      </x:c>
      <x:c r="AR257" s="51"/>
    </x:row>
    <x:row r="258">
      <x:c r="A258" s="9" t="str">
        <x:f>IF(D258="","",ROW()-1)</x:f>
      </x:c>
      <x:c r="B258" s="51"/>
      <x:c r="C258" s="51"/>
      <x:c r="D258" s="51"/>
      <x:c r="E258" s="9" t="str">
        <x:f>IF(D258="","",IF(AND(F258&lt;='Calibrare v2'!$B$33,G258&gt;=0.86),"DA – FEZABIL",IF(G258&gt;=0.8,"DA – PRUDENT","NU – EVITĂ")))</x:f>
      </x:c>
      <x:c r="F258" s="16" t="str">
        <x:f>IF(OR(W258="",X258=""),"",W258+X258)</x:f>
      </x:c>
      <x:c r="G258" s="28" t="str">
        <x:f>IF(F258="","",EXP(-F258)*(1+F258+F258^2/2+F258^3/6+F258^4/24))</x:f>
      </x:c>
      <x:c r="H258" s="53"/>
      <x:c r="I258" s="9" t="str">
        <x:f>IF(F258="","",IF(F258&lt;='Calibrare v2'!$B$33,"PASS","FAIL"))</x:f>
      </x:c>
      <x:c r="J258" s="51"/>
      <x:c r="K258" s="51"/>
      <x:c r="L258" s="9" t="str">
        <x:f>IF(OR(J258="",K258=""),"",J258+K258)</x:f>
      </x:c>
      <x:c r="M258" s="9" t="str">
        <x:f>IF(L258="","",IF(L258&lt;=4,"UNDER","OVER"))</x:f>
      </x:c>
      <x:c r="N258" s="9" t="str">
        <x:f>IF(E258="","",IF(LEFT(E258,2)="DA","PARIU U177,5","NO BET"))</x:f>
      </x:c>
      <x:c r="O258" s="9" t="str">
        <x:f>IF(M258="","",IF(AM258="PARIU U177,5",IF(M258="UNDER","SUCCES","EȘEC"),IF(M258="UNDER","FALS NEGATIV","EVITARE CORECTĂ")))</x:f>
      </x:c>
      <x:c r="P258" s="9" t="str">
        <x:f>IF(M258="","",IF(M258="UNDER",1,0))</x:f>
      </x:c>
      <x:c r="Q258" s="9" t="str">
        <x:f>IF(P258="","",(G258-P258)^2)</x:f>
      </x:c>
      <x:c r="R258" s="9" t="str">
        <x:f>IF(L258="","",L258-F258)</x:f>
      </x:c>
      <x:c r="S258" s="9" t="str">
        <x:f>IF(L258="","",IF(M258="UNDER","U177,5 reușit; total final "&amp;L258&amp;" vs λ="&amp;TEXT(F258,"0.00")&amp;".","Eșec U177,5; total final "&amp;L258&amp;" vs λ="&amp;TEXT(F258,"0.00")&amp;". Revizuiește Tail Risk, sursa λ și calibrarea."))</x:f>
      </x:c>
      <x:c r="T258" s="51"/>
      <x:c r="U258" s="51"/>
      <x:c r="V258" s="51"/>
      <x:c r="W258" s="61"/>
      <x:c r="X258" s="61"/>
      <x:c r="Y258" s="51"/>
      <x:c r="Z258" s="53"/>
      <x:c r="AA258" s="51"/>
      <x:c r="AB258" s="64" t="str">
        <x:f>IF(AC258="","",AC258)</x:f>
      </x:c>
      <x:c r="AC258" s="67"/>
      <x:c r="AD258" s="69" t="str">
        <x:f>IF(AE258="","",AE258)</x:f>
      </x:c>
      <x:c r="AE258" s="71"/>
      <x:c r="AF258" s="73" t="str">
        <x:f>IF(AC258="","",1/AC258)</x:f>
      </x:c>
      <x:c r="AG258" s="61"/>
      <x:c r="AH258" s="61"/>
      <x:c r="AI258" s="64" t="str">
        <x:f>IF(OR(AC258="",AG258=""),"",AC258*AG258-1)</x:f>
      </x:c>
      <x:c r="AJ258" s="75" t="str">
        <x:f>IF(OR(G258="",F258=""),"",IF(AND(G258&gt;='Calibrare v2'!$B$35,F258&lt;='Calibrare v2'!$B$34),"PASS","FAIL"))</x:f>
      </x:c>
      <x:c r="AK258" s="75" t="str">
        <x:f>IF(AL258="","",AL258)</x:f>
      </x:c>
      <x:c r="AL258" s="77"/>
      <x:c r="AM258" s="77"/>
      <x:c r="AN258" s="64" t="str">
        <x:f>IF(OR(AC258="",P258=""),"",(AC258-P258)^2)</x:f>
      </x:c>
      <x:c r="AO258" s="64" t="str">
        <x:f>IF(OR(AG258="",AH258=""),"",AG258/AH258-1)</x:f>
      </x:c>
      <x:c r="AP258" s="61"/>
      <x:c r="AQ258" s="73" t="n">
        <x:f>IF(OR(AM258&lt;&gt;"PARIU U4,5",M258="",AP258="",AG258=""),0,IF(M258="UNDER",AP258*(AG258-1),-AP258))</x:f>
        <x:v>0</x:v>
      </x:c>
      <x:c r="AR258" s="51"/>
    </x:row>
    <x:row r="259">
      <x:c r="A259" s="9" t="str">
        <x:f>IF(D259="","",ROW()-1)</x:f>
      </x:c>
      <x:c r="B259" s="51"/>
      <x:c r="C259" s="51"/>
      <x:c r="D259" s="51"/>
      <x:c r="E259" s="9" t="str">
        <x:f>IF(D259="","",IF(AND(F259&lt;='Calibrare v2'!$B$33,G259&gt;=0.86),"DA – FEZABIL",IF(G259&gt;=0.8,"DA – PRUDENT","NU – EVITĂ")))</x:f>
      </x:c>
      <x:c r="F259" s="16" t="str">
        <x:f>IF(OR(W259="",X259=""),"",W259+X259)</x:f>
      </x:c>
      <x:c r="G259" s="28" t="str">
        <x:f>IF(F259="","",EXP(-F259)*(1+F259+F259^2/2+F259^3/6+F259^4/24))</x:f>
      </x:c>
      <x:c r="H259" s="53"/>
      <x:c r="I259" s="9" t="str">
        <x:f>IF(F259="","",IF(F259&lt;='Calibrare v2'!$B$33,"PASS","FAIL"))</x:f>
      </x:c>
      <x:c r="J259" s="51"/>
      <x:c r="K259" s="51"/>
      <x:c r="L259" s="9" t="str">
        <x:f>IF(OR(J259="",K259=""),"",J259+K259)</x:f>
      </x:c>
      <x:c r="M259" s="9" t="str">
        <x:f>IF(L259="","",IF(L259&lt;=4,"UNDER","OVER"))</x:f>
      </x:c>
      <x:c r="N259" s="9" t="str">
        <x:f>IF(E259="","",IF(LEFT(E259,2)="DA","PARIU U178,5","NO BET"))</x:f>
      </x:c>
      <x:c r="O259" s="9" t="str">
        <x:f>IF(M259="","",IF(AM259="PARIU U178,5",IF(M259="UNDER","SUCCES","EȘEC"),IF(M259="UNDER","FALS NEGATIV","EVITARE CORECTĂ")))</x:f>
      </x:c>
      <x:c r="P259" s="9" t="str">
        <x:f>IF(M259="","",IF(M259="UNDER",1,0))</x:f>
      </x:c>
      <x:c r="Q259" s="9" t="str">
        <x:f>IF(P259="","",(G259-P259)^2)</x:f>
      </x:c>
      <x:c r="R259" s="9" t="str">
        <x:f>IF(L259="","",L259-F259)</x:f>
      </x:c>
      <x:c r="S259" s="9" t="str">
        <x:f>IF(L259="","",IF(M259="UNDER","U178,5 reușit; total final "&amp;L259&amp;" vs λ="&amp;TEXT(F259,"0.00")&amp;".","Eșec U178,5; total final "&amp;L259&amp;" vs λ="&amp;TEXT(F259,"0.00")&amp;". Revizuiește Tail Risk, sursa λ și calibrarea."))</x:f>
      </x:c>
      <x:c r="T259" s="51"/>
      <x:c r="U259" s="51"/>
      <x:c r="V259" s="51"/>
      <x:c r="W259" s="61"/>
      <x:c r="X259" s="61"/>
      <x:c r="Y259" s="51"/>
      <x:c r="Z259" s="53"/>
      <x:c r="AA259" s="51"/>
      <x:c r="AB259" s="64" t="str">
        <x:f>IF(AC259="","",AC259)</x:f>
      </x:c>
      <x:c r="AC259" s="67"/>
      <x:c r="AD259" s="69" t="str">
        <x:f>IF(AE259="","",AE259)</x:f>
      </x:c>
      <x:c r="AE259" s="71"/>
      <x:c r="AF259" s="73" t="str">
        <x:f>IF(AC259="","",1/AC259)</x:f>
      </x:c>
      <x:c r="AG259" s="61"/>
      <x:c r="AH259" s="61"/>
      <x:c r="AI259" s="64" t="str">
        <x:f>IF(OR(AC259="",AG259=""),"",AC259*AG259-1)</x:f>
      </x:c>
      <x:c r="AJ259" s="75" t="str">
        <x:f>IF(OR(G259="",F259=""),"",IF(AND(G259&gt;='Calibrare v2'!$B$35,F259&lt;='Calibrare v2'!$B$34),"PASS","FAIL"))</x:f>
      </x:c>
      <x:c r="AK259" s="75" t="str">
        <x:f>IF(AL259="","",AL259)</x:f>
      </x:c>
      <x:c r="AL259" s="77"/>
      <x:c r="AM259" s="77"/>
      <x:c r="AN259" s="64" t="str">
        <x:f>IF(OR(AC259="",P259=""),"",(AC259-P259)^2)</x:f>
      </x:c>
      <x:c r="AO259" s="64" t="str">
        <x:f>IF(OR(AG259="",AH259=""),"",AG259/AH259-1)</x:f>
      </x:c>
      <x:c r="AP259" s="61"/>
      <x:c r="AQ259" s="73" t="n">
        <x:f>IF(OR(AM259&lt;&gt;"PARIU U4,5",M259="",AP259="",AG259=""),0,IF(M259="UNDER",AP259*(AG259-1),-AP259))</x:f>
        <x:v>0</x:v>
      </x:c>
      <x:c r="AR259" s="51"/>
    </x:row>
    <x:row r="260">
      <x:c r="A260" s="9" t="str">
        <x:f>IF(D260="","",ROW()-1)</x:f>
      </x:c>
      <x:c r="B260" s="51"/>
      <x:c r="C260" s="51"/>
      <x:c r="D260" s="51"/>
      <x:c r="E260" s="9" t="str">
        <x:f>IF(D260="","",IF(AND(F260&lt;='Calibrare v2'!$B$33,G260&gt;=0.86),"DA – FEZABIL",IF(G260&gt;=0.8,"DA – PRUDENT","NU – EVITĂ")))</x:f>
      </x:c>
      <x:c r="F260" s="16" t="str">
        <x:f>IF(OR(W260="",X260=""),"",W260+X260)</x:f>
      </x:c>
      <x:c r="G260" s="28" t="str">
        <x:f>IF(F260="","",EXP(-F260)*(1+F260+F260^2/2+F260^3/6+F260^4/24))</x:f>
      </x:c>
      <x:c r="H260" s="53"/>
      <x:c r="I260" s="9" t="str">
        <x:f>IF(F260="","",IF(F260&lt;='Calibrare v2'!$B$33,"PASS","FAIL"))</x:f>
      </x:c>
      <x:c r="J260" s="51"/>
      <x:c r="K260" s="51"/>
      <x:c r="L260" s="9" t="str">
        <x:f>IF(OR(J260="",K260=""),"",J260+K260)</x:f>
      </x:c>
      <x:c r="M260" s="9" t="str">
        <x:f>IF(L260="","",IF(L260&lt;=4,"UNDER","OVER"))</x:f>
      </x:c>
      <x:c r="N260" s="9" t="str">
        <x:f>IF(E260="","",IF(LEFT(E260,2)="DA","PARIU U179,5","NO BET"))</x:f>
      </x:c>
      <x:c r="O260" s="9" t="str">
        <x:f>IF(M260="","",IF(AM260="PARIU U179,5",IF(M260="UNDER","SUCCES","EȘEC"),IF(M260="UNDER","FALS NEGATIV","EVITARE CORECTĂ")))</x:f>
      </x:c>
      <x:c r="P260" s="9" t="str">
        <x:f>IF(M260="","",IF(M260="UNDER",1,0))</x:f>
      </x:c>
      <x:c r="Q260" s="9" t="str">
        <x:f>IF(P260="","",(G260-P260)^2)</x:f>
      </x:c>
      <x:c r="R260" s="9" t="str">
        <x:f>IF(L260="","",L260-F260)</x:f>
      </x:c>
      <x:c r="S260" s="9" t="str">
        <x:f>IF(L260="","",IF(M260="UNDER","U179,5 reușit; total final "&amp;L260&amp;" vs λ="&amp;TEXT(F260,"0.00")&amp;".","Eșec U179,5; total final "&amp;L260&amp;" vs λ="&amp;TEXT(F260,"0.00")&amp;". Revizuiește Tail Risk, sursa λ și calibrarea."))</x:f>
      </x:c>
      <x:c r="T260" s="51"/>
      <x:c r="U260" s="51"/>
      <x:c r="V260" s="51"/>
      <x:c r="W260" s="61"/>
      <x:c r="X260" s="61"/>
      <x:c r="Y260" s="51"/>
      <x:c r="Z260" s="53"/>
      <x:c r="AA260" s="51"/>
      <x:c r="AB260" s="64" t="str">
        <x:f>IF(AC260="","",AC260)</x:f>
      </x:c>
      <x:c r="AC260" s="67"/>
      <x:c r="AD260" s="69" t="str">
        <x:f>IF(AE260="","",AE260)</x:f>
      </x:c>
      <x:c r="AE260" s="71"/>
      <x:c r="AF260" s="73" t="str">
        <x:f>IF(AC260="","",1/AC260)</x:f>
      </x:c>
      <x:c r="AG260" s="61"/>
      <x:c r="AH260" s="61"/>
      <x:c r="AI260" s="64" t="str">
        <x:f>IF(OR(AC260="",AG260=""),"",AC260*AG260-1)</x:f>
      </x:c>
      <x:c r="AJ260" s="75" t="str">
        <x:f>IF(OR(G260="",F260=""),"",IF(AND(G260&gt;='Calibrare v2'!$B$35,F260&lt;='Calibrare v2'!$B$34),"PASS","FAIL"))</x:f>
      </x:c>
      <x:c r="AK260" s="75" t="str">
        <x:f>IF(AL260="","",AL260)</x:f>
      </x:c>
      <x:c r="AL260" s="77"/>
      <x:c r="AM260" s="77"/>
      <x:c r="AN260" s="64" t="str">
        <x:f>IF(OR(AC260="",P260=""),"",(AC260-P260)^2)</x:f>
      </x:c>
      <x:c r="AO260" s="64" t="str">
        <x:f>IF(OR(AG260="",AH260=""),"",AG260/AH260-1)</x:f>
      </x:c>
      <x:c r="AP260" s="61"/>
      <x:c r="AQ260" s="73" t="n">
        <x:f>IF(OR(AM260&lt;&gt;"PARIU U4,5",M260="",AP260="",AG260=""),0,IF(M260="UNDER",AP260*(AG260-1),-AP260))</x:f>
        <x:v>0</x:v>
      </x:c>
      <x:c r="AR260" s="51"/>
    </x:row>
    <x:row r="261">
      <x:c r="A261" s="9" t="str">
        <x:f>IF(D261="","",ROW()-1)</x:f>
      </x:c>
      <x:c r="B261" s="51"/>
      <x:c r="C261" s="51"/>
      <x:c r="D261" s="51"/>
      <x:c r="E261" s="9" t="str">
        <x:f>IF(D261="","",IF(AND(F261&lt;='Calibrare v2'!$B$33,G261&gt;=0.86),"DA – FEZABIL",IF(G261&gt;=0.8,"DA – PRUDENT","NU – EVITĂ")))</x:f>
      </x:c>
      <x:c r="F261" s="16" t="str">
        <x:f>IF(OR(W261="",X261=""),"",W261+X261)</x:f>
      </x:c>
      <x:c r="G261" s="28" t="str">
        <x:f>IF(F261="","",EXP(-F261)*(1+F261+F261^2/2+F261^3/6+F261^4/24))</x:f>
      </x:c>
      <x:c r="H261" s="53"/>
      <x:c r="I261" s="9" t="str">
        <x:f>IF(F261="","",IF(F261&lt;='Calibrare v2'!$B$33,"PASS","FAIL"))</x:f>
      </x:c>
      <x:c r="J261" s="51"/>
      <x:c r="K261" s="51"/>
      <x:c r="L261" s="9" t="str">
        <x:f>IF(OR(J261="",K261=""),"",J261+K261)</x:f>
      </x:c>
      <x:c r="M261" s="9" t="str">
        <x:f>IF(L261="","",IF(L261&lt;=4,"UNDER","OVER"))</x:f>
      </x:c>
      <x:c r="N261" s="9" t="str">
        <x:f>IF(E261="","",IF(LEFT(E261,2)="DA","PARIU U180,5","NO BET"))</x:f>
      </x:c>
      <x:c r="O261" s="9" t="str">
        <x:f>IF(M261="","",IF(AM261="PARIU U180,5",IF(M261="UNDER","SUCCES","EȘEC"),IF(M261="UNDER","FALS NEGATIV","EVITARE CORECTĂ")))</x:f>
      </x:c>
      <x:c r="P261" s="9" t="str">
        <x:f>IF(M261="","",IF(M261="UNDER",1,0))</x:f>
      </x:c>
      <x:c r="Q261" s="9" t="str">
        <x:f>IF(P261="","",(G261-P261)^2)</x:f>
      </x:c>
      <x:c r="R261" s="9" t="str">
        <x:f>IF(L261="","",L261-F261)</x:f>
      </x:c>
      <x:c r="S261" s="9" t="str">
        <x:f>IF(L261="","",IF(M261="UNDER","U180,5 reușit; total final "&amp;L261&amp;" vs λ="&amp;TEXT(F261,"0.00")&amp;".","Eșec U180,5; total final "&amp;L261&amp;" vs λ="&amp;TEXT(F261,"0.00")&amp;". Revizuiește Tail Risk, sursa λ și calibrarea."))</x:f>
      </x:c>
      <x:c r="T261" s="51"/>
      <x:c r="U261" s="51"/>
      <x:c r="V261" s="51"/>
      <x:c r="W261" s="61"/>
      <x:c r="X261" s="61"/>
      <x:c r="Y261" s="51"/>
      <x:c r="Z261" s="53"/>
      <x:c r="AA261" s="51"/>
      <x:c r="AB261" s="64" t="str">
        <x:f>IF(AC261="","",AC261)</x:f>
      </x:c>
      <x:c r="AC261" s="67"/>
      <x:c r="AD261" s="69" t="str">
        <x:f>IF(AE261="","",AE261)</x:f>
      </x:c>
      <x:c r="AE261" s="71"/>
      <x:c r="AF261" s="73" t="str">
        <x:f>IF(AC261="","",1/AC261)</x:f>
      </x:c>
      <x:c r="AG261" s="61"/>
      <x:c r="AH261" s="61"/>
      <x:c r="AI261" s="64" t="str">
        <x:f>IF(OR(AC261="",AG261=""),"",AC261*AG261-1)</x:f>
      </x:c>
      <x:c r="AJ261" s="75" t="str">
        <x:f>IF(OR(G261="",F261=""),"",IF(AND(G261&gt;='Calibrare v2'!$B$35,F261&lt;='Calibrare v2'!$B$34),"PASS","FAIL"))</x:f>
      </x:c>
      <x:c r="AK261" s="75" t="str">
        <x:f>IF(AL261="","",AL261)</x:f>
      </x:c>
      <x:c r="AL261" s="77"/>
      <x:c r="AM261" s="77"/>
      <x:c r="AN261" s="64" t="str">
        <x:f>IF(OR(AC261="",P261=""),"",(AC261-P261)^2)</x:f>
      </x:c>
      <x:c r="AO261" s="64" t="str">
        <x:f>IF(OR(AG261="",AH261=""),"",AG261/AH261-1)</x:f>
      </x:c>
      <x:c r="AP261" s="61"/>
      <x:c r="AQ261" s="73" t="n">
        <x:f>IF(OR(AM261&lt;&gt;"PARIU U4,5",M261="",AP261="",AG261=""),0,IF(M261="UNDER",AP261*(AG261-1),-AP261))</x:f>
        <x:v>0</x:v>
      </x:c>
      <x:c r="AR261" s="51"/>
    </x:row>
    <x:row r="262">
      <x:c r="A262" s="9" t="str">
        <x:f>IF(D262="","",ROW()-1)</x:f>
      </x:c>
      <x:c r="B262" s="51"/>
      <x:c r="C262" s="51"/>
      <x:c r="D262" s="51"/>
      <x:c r="E262" s="9" t="str">
        <x:f>IF(D262="","",IF(AND(F262&lt;='Calibrare v2'!$B$33,G262&gt;=0.86),"DA – FEZABIL",IF(G262&gt;=0.8,"DA – PRUDENT","NU – EVITĂ")))</x:f>
      </x:c>
      <x:c r="F262" s="16" t="str">
        <x:f>IF(OR(W262="",X262=""),"",W262+X262)</x:f>
      </x:c>
      <x:c r="G262" s="28" t="str">
        <x:f>IF(F262="","",EXP(-F262)*(1+F262+F262^2/2+F262^3/6+F262^4/24))</x:f>
      </x:c>
      <x:c r="H262" s="53"/>
      <x:c r="I262" s="9" t="str">
        <x:f>IF(F262="","",IF(F262&lt;='Calibrare v2'!$B$33,"PASS","FAIL"))</x:f>
      </x:c>
      <x:c r="J262" s="51"/>
      <x:c r="K262" s="51"/>
      <x:c r="L262" s="9" t="str">
        <x:f>IF(OR(J262="",K262=""),"",J262+K262)</x:f>
      </x:c>
      <x:c r="M262" s="9" t="str">
        <x:f>IF(L262="","",IF(L262&lt;=4,"UNDER","OVER"))</x:f>
      </x:c>
      <x:c r="N262" s="9" t="str">
        <x:f>IF(E262="","",IF(LEFT(E262,2)="DA","PARIU U181,5","NO BET"))</x:f>
      </x:c>
      <x:c r="O262" s="9" t="str">
        <x:f>IF(M262="","",IF(AM262="PARIU U181,5",IF(M262="UNDER","SUCCES","EȘEC"),IF(M262="UNDER","FALS NEGATIV","EVITARE CORECTĂ")))</x:f>
      </x:c>
      <x:c r="P262" s="9" t="str">
        <x:f>IF(M262="","",IF(M262="UNDER",1,0))</x:f>
      </x:c>
      <x:c r="Q262" s="9" t="str">
        <x:f>IF(P262="","",(G262-P262)^2)</x:f>
      </x:c>
      <x:c r="R262" s="9" t="str">
        <x:f>IF(L262="","",L262-F262)</x:f>
      </x:c>
      <x:c r="S262" s="9" t="str">
        <x:f>IF(L262="","",IF(M262="UNDER","U181,5 reușit; total final "&amp;L262&amp;" vs λ="&amp;TEXT(F262,"0.00")&amp;".","Eșec U181,5; total final "&amp;L262&amp;" vs λ="&amp;TEXT(F262,"0.00")&amp;". Revizuiește Tail Risk, sursa λ și calibrarea."))</x:f>
      </x:c>
      <x:c r="T262" s="51"/>
      <x:c r="U262" s="51"/>
      <x:c r="V262" s="51"/>
      <x:c r="W262" s="61"/>
      <x:c r="X262" s="61"/>
      <x:c r="Y262" s="51"/>
      <x:c r="Z262" s="53"/>
      <x:c r="AA262" s="51"/>
      <x:c r="AB262" s="64" t="str">
        <x:f>IF(AC262="","",AC262)</x:f>
      </x:c>
      <x:c r="AC262" s="67"/>
      <x:c r="AD262" s="69" t="str">
        <x:f>IF(AE262="","",AE262)</x:f>
      </x:c>
      <x:c r="AE262" s="71"/>
      <x:c r="AF262" s="73" t="str">
        <x:f>IF(AC262="","",1/AC262)</x:f>
      </x:c>
      <x:c r="AG262" s="61"/>
      <x:c r="AH262" s="61"/>
      <x:c r="AI262" s="64" t="str">
        <x:f>IF(OR(AC262="",AG262=""),"",AC262*AG262-1)</x:f>
      </x:c>
      <x:c r="AJ262" s="75" t="str">
        <x:f>IF(OR(G262="",F262=""),"",IF(AND(G262&gt;='Calibrare v2'!$B$35,F262&lt;='Calibrare v2'!$B$34),"PASS","FAIL"))</x:f>
      </x:c>
      <x:c r="AK262" s="75" t="str">
        <x:f>IF(AL262="","",AL262)</x:f>
      </x:c>
      <x:c r="AL262" s="77"/>
      <x:c r="AM262" s="77"/>
      <x:c r="AN262" s="64" t="str">
        <x:f>IF(OR(AC262="",P262=""),"",(AC262-P262)^2)</x:f>
      </x:c>
      <x:c r="AO262" s="64" t="str">
        <x:f>IF(OR(AG262="",AH262=""),"",AG262/AH262-1)</x:f>
      </x:c>
      <x:c r="AP262" s="61"/>
      <x:c r="AQ262" s="73" t="n">
        <x:f>IF(OR(AM262&lt;&gt;"PARIU U4,5",M262="",AP262="",AG262=""),0,IF(M262="UNDER",AP262*(AG262-1),-AP262))</x:f>
        <x:v>0</x:v>
      </x:c>
      <x:c r="AR262" s="51"/>
    </x:row>
    <x:row r="263">
      <x:c r="A263" s="9" t="str">
        <x:f>IF(D263="","",ROW()-1)</x:f>
      </x:c>
      <x:c r="B263" s="51"/>
      <x:c r="C263" s="51"/>
      <x:c r="D263" s="51"/>
      <x:c r="E263" s="9" t="str">
        <x:f>IF(D263="","",IF(AND(F263&lt;='Calibrare v2'!$B$33,G263&gt;=0.86),"DA – FEZABIL",IF(G263&gt;=0.8,"DA – PRUDENT","NU – EVITĂ")))</x:f>
      </x:c>
      <x:c r="F263" s="16" t="str">
        <x:f>IF(OR(W263="",X263=""),"",W263+X263)</x:f>
      </x:c>
      <x:c r="G263" s="28" t="str">
        <x:f>IF(F263="","",EXP(-F263)*(1+F263+F263^2/2+F263^3/6+F263^4/24))</x:f>
      </x:c>
      <x:c r="H263" s="53"/>
      <x:c r="I263" s="9" t="str">
        <x:f>IF(F263="","",IF(F263&lt;='Calibrare v2'!$B$33,"PASS","FAIL"))</x:f>
      </x:c>
      <x:c r="J263" s="51"/>
      <x:c r="K263" s="51"/>
      <x:c r="L263" s="9" t="str">
        <x:f>IF(OR(J263="",K263=""),"",J263+K263)</x:f>
      </x:c>
      <x:c r="M263" s="9" t="str">
        <x:f>IF(L263="","",IF(L263&lt;=4,"UNDER","OVER"))</x:f>
      </x:c>
      <x:c r="N263" s="9" t="str">
        <x:f>IF(E263="","",IF(LEFT(E263,2)="DA","PARIU U182,5","NO BET"))</x:f>
      </x:c>
      <x:c r="O263" s="9" t="str">
        <x:f>IF(M263="","",IF(AM263="PARIU U182,5",IF(M263="UNDER","SUCCES","EȘEC"),IF(M263="UNDER","FALS NEGATIV","EVITARE CORECTĂ")))</x:f>
      </x:c>
      <x:c r="P263" s="9" t="str">
        <x:f>IF(M263="","",IF(M263="UNDER",1,0))</x:f>
      </x:c>
      <x:c r="Q263" s="9" t="str">
        <x:f>IF(P263="","",(G263-P263)^2)</x:f>
      </x:c>
      <x:c r="R263" s="9" t="str">
        <x:f>IF(L263="","",L263-F263)</x:f>
      </x:c>
      <x:c r="S263" s="9" t="str">
        <x:f>IF(L263="","",IF(M263="UNDER","U182,5 reușit; total final "&amp;L263&amp;" vs λ="&amp;TEXT(F263,"0.00")&amp;".","Eșec U182,5; total final "&amp;L263&amp;" vs λ="&amp;TEXT(F263,"0.00")&amp;". Revizuiește Tail Risk, sursa λ și calibrarea."))</x:f>
      </x:c>
      <x:c r="T263" s="51"/>
      <x:c r="U263" s="51"/>
      <x:c r="V263" s="51"/>
      <x:c r="W263" s="61"/>
      <x:c r="X263" s="61"/>
      <x:c r="Y263" s="51"/>
      <x:c r="Z263" s="53"/>
      <x:c r="AA263" s="51"/>
      <x:c r="AB263" s="64" t="str">
        <x:f>IF(AC263="","",AC263)</x:f>
      </x:c>
      <x:c r="AC263" s="67"/>
      <x:c r="AD263" s="69" t="str">
        <x:f>IF(AE263="","",AE263)</x:f>
      </x:c>
      <x:c r="AE263" s="71"/>
      <x:c r="AF263" s="73" t="str">
        <x:f>IF(AC263="","",1/AC263)</x:f>
      </x:c>
      <x:c r="AG263" s="61"/>
      <x:c r="AH263" s="61"/>
      <x:c r="AI263" s="64" t="str">
        <x:f>IF(OR(AC263="",AG263=""),"",AC263*AG263-1)</x:f>
      </x:c>
      <x:c r="AJ263" s="75" t="str">
        <x:f>IF(OR(G263="",F263=""),"",IF(AND(G263&gt;='Calibrare v2'!$B$35,F263&lt;='Calibrare v2'!$B$34),"PASS","FAIL"))</x:f>
      </x:c>
      <x:c r="AK263" s="75" t="str">
        <x:f>IF(AL263="","",AL263)</x:f>
      </x:c>
      <x:c r="AL263" s="77"/>
      <x:c r="AM263" s="77"/>
      <x:c r="AN263" s="64" t="str">
        <x:f>IF(OR(AC263="",P263=""),"",(AC263-P263)^2)</x:f>
      </x:c>
      <x:c r="AO263" s="64" t="str">
        <x:f>IF(OR(AG263="",AH263=""),"",AG263/AH263-1)</x:f>
      </x:c>
      <x:c r="AP263" s="61"/>
      <x:c r="AQ263" s="73" t="n">
        <x:f>IF(OR(AM263&lt;&gt;"PARIU U4,5",M263="",AP263="",AG263=""),0,IF(M263="UNDER",AP263*(AG263-1),-AP263))</x:f>
        <x:v>0</x:v>
      </x:c>
      <x:c r="AR263" s="51"/>
    </x:row>
    <x:row r="264">
      <x:c r="A264" s="9" t="str">
        <x:f>IF(D264="","",ROW()-1)</x:f>
      </x:c>
      <x:c r="B264" s="51"/>
      <x:c r="C264" s="51"/>
      <x:c r="D264" s="51"/>
      <x:c r="E264" s="9" t="str">
        <x:f>IF(D264="","",IF(AND(F264&lt;='Calibrare v2'!$B$33,G264&gt;=0.86),"DA – FEZABIL",IF(G264&gt;=0.8,"DA – PRUDENT","NU – EVITĂ")))</x:f>
      </x:c>
      <x:c r="F264" s="16" t="str">
        <x:f>IF(OR(W264="",X264=""),"",W264+X264)</x:f>
      </x:c>
      <x:c r="G264" s="28" t="str">
        <x:f>IF(F264="","",EXP(-F264)*(1+F264+F264^2/2+F264^3/6+F264^4/24))</x:f>
      </x:c>
      <x:c r="H264" s="53"/>
      <x:c r="I264" s="9" t="str">
        <x:f>IF(F264="","",IF(F264&lt;='Calibrare v2'!$B$33,"PASS","FAIL"))</x:f>
      </x:c>
      <x:c r="J264" s="51"/>
      <x:c r="K264" s="51"/>
      <x:c r="L264" s="9" t="str">
        <x:f>IF(OR(J264="",K264=""),"",J264+K264)</x:f>
      </x:c>
      <x:c r="M264" s="9" t="str">
        <x:f>IF(L264="","",IF(L264&lt;=4,"UNDER","OVER"))</x:f>
      </x:c>
      <x:c r="N264" s="9" t="str">
        <x:f>IF(E264="","",IF(LEFT(E264,2)="DA","PARIU U183,5","NO BET"))</x:f>
      </x:c>
      <x:c r="O264" s="9" t="str">
        <x:f>IF(M264="","",IF(AM264="PARIU U183,5",IF(M264="UNDER","SUCCES","EȘEC"),IF(M264="UNDER","FALS NEGATIV","EVITARE CORECTĂ")))</x:f>
      </x:c>
      <x:c r="P264" s="9" t="str">
        <x:f>IF(M264="","",IF(M264="UNDER",1,0))</x:f>
      </x:c>
      <x:c r="Q264" s="9" t="str">
        <x:f>IF(P264="","",(G264-P264)^2)</x:f>
      </x:c>
      <x:c r="R264" s="9" t="str">
        <x:f>IF(L264="","",L264-F264)</x:f>
      </x:c>
      <x:c r="S264" s="9" t="str">
        <x:f>IF(L264="","",IF(M264="UNDER","U183,5 reușit; total final "&amp;L264&amp;" vs λ="&amp;TEXT(F264,"0.00")&amp;".","Eșec U183,5; total final "&amp;L264&amp;" vs λ="&amp;TEXT(F264,"0.00")&amp;". Revizuiește Tail Risk, sursa λ și calibrarea."))</x:f>
      </x:c>
      <x:c r="T264" s="51"/>
      <x:c r="U264" s="51"/>
      <x:c r="V264" s="51"/>
      <x:c r="W264" s="61"/>
      <x:c r="X264" s="61"/>
      <x:c r="Y264" s="51"/>
      <x:c r="Z264" s="53"/>
      <x:c r="AA264" s="51"/>
      <x:c r="AB264" s="64" t="str">
        <x:f>IF(AC264="","",AC264)</x:f>
      </x:c>
      <x:c r="AC264" s="67"/>
      <x:c r="AD264" s="69" t="str">
        <x:f>IF(AE264="","",AE264)</x:f>
      </x:c>
      <x:c r="AE264" s="71"/>
      <x:c r="AF264" s="73" t="str">
        <x:f>IF(AC264="","",1/AC264)</x:f>
      </x:c>
      <x:c r="AG264" s="61"/>
      <x:c r="AH264" s="61"/>
      <x:c r="AI264" s="64" t="str">
        <x:f>IF(OR(AC264="",AG264=""),"",AC264*AG264-1)</x:f>
      </x:c>
      <x:c r="AJ264" s="75" t="str">
        <x:f>IF(OR(G264="",F264=""),"",IF(AND(G264&gt;='Calibrare v2'!$B$35,F264&lt;='Calibrare v2'!$B$34),"PASS","FAIL"))</x:f>
      </x:c>
      <x:c r="AK264" s="75" t="str">
        <x:f>IF(AL264="","",AL264)</x:f>
      </x:c>
      <x:c r="AL264" s="77"/>
      <x:c r="AM264" s="77"/>
      <x:c r="AN264" s="64" t="str">
        <x:f>IF(OR(AC264="",P264=""),"",(AC264-P264)^2)</x:f>
      </x:c>
      <x:c r="AO264" s="64" t="str">
        <x:f>IF(OR(AG264="",AH264=""),"",AG264/AH264-1)</x:f>
      </x:c>
      <x:c r="AP264" s="61"/>
      <x:c r="AQ264" s="73" t="n">
        <x:f>IF(OR(AM264&lt;&gt;"PARIU U4,5",M264="",AP264="",AG264=""),0,IF(M264="UNDER",AP264*(AG264-1),-AP264))</x:f>
        <x:v>0</x:v>
      </x:c>
      <x:c r="AR264" s="51"/>
    </x:row>
    <x:row r="265">
      <x:c r="A265" s="9" t="str">
        <x:f>IF(D265="","",ROW()-1)</x:f>
      </x:c>
      <x:c r="B265" s="51"/>
      <x:c r="C265" s="51"/>
      <x:c r="D265" s="51"/>
      <x:c r="E265" s="9" t="str">
        <x:f>IF(D265="","",IF(AND(F265&lt;='Calibrare v2'!$B$33,G265&gt;=0.86),"DA – FEZABIL",IF(G265&gt;=0.8,"DA – PRUDENT","NU – EVITĂ")))</x:f>
      </x:c>
      <x:c r="F265" s="16" t="str">
        <x:f>IF(OR(W265="",X265=""),"",W265+X265)</x:f>
      </x:c>
      <x:c r="G265" s="28" t="str">
        <x:f>IF(F265="","",EXP(-F265)*(1+F265+F265^2/2+F265^3/6+F265^4/24))</x:f>
      </x:c>
      <x:c r="H265" s="53"/>
      <x:c r="I265" s="9" t="str">
        <x:f>IF(F265="","",IF(F265&lt;='Calibrare v2'!$B$33,"PASS","FAIL"))</x:f>
      </x:c>
      <x:c r="J265" s="51"/>
      <x:c r="K265" s="51"/>
      <x:c r="L265" s="9" t="str">
        <x:f>IF(OR(J265="",K265=""),"",J265+K265)</x:f>
      </x:c>
      <x:c r="M265" s="9" t="str">
        <x:f>IF(L265="","",IF(L265&lt;=4,"UNDER","OVER"))</x:f>
      </x:c>
      <x:c r="N265" s="9" t="str">
        <x:f>IF(E265="","",IF(LEFT(E265,2)="DA","PARIU U184,5","NO BET"))</x:f>
      </x:c>
      <x:c r="O265" s="9" t="str">
        <x:f>IF(M265="","",IF(AM265="PARIU U184,5",IF(M265="UNDER","SUCCES","EȘEC"),IF(M265="UNDER","FALS NEGATIV","EVITARE CORECTĂ")))</x:f>
      </x:c>
      <x:c r="P265" s="9" t="str">
        <x:f>IF(M265="","",IF(M265="UNDER",1,0))</x:f>
      </x:c>
      <x:c r="Q265" s="9" t="str">
        <x:f>IF(P265="","",(G265-P265)^2)</x:f>
      </x:c>
      <x:c r="R265" s="9" t="str">
        <x:f>IF(L265="","",L265-F265)</x:f>
      </x:c>
      <x:c r="S265" s="9" t="str">
        <x:f>IF(L265="","",IF(M265="UNDER","U184,5 reușit; total final "&amp;L265&amp;" vs λ="&amp;TEXT(F265,"0.00")&amp;".","Eșec U184,5; total final "&amp;L265&amp;" vs λ="&amp;TEXT(F265,"0.00")&amp;". Revizuiește Tail Risk, sursa λ și calibrarea."))</x:f>
      </x:c>
      <x:c r="T265" s="51"/>
      <x:c r="U265" s="51"/>
      <x:c r="V265" s="51"/>
      <x:c r="W265" s="61"/>
      <x:c r="X265" s="61"/>
      <x:c r="Y265" s="51"/>
      <x:c r="Z265" s="53"/>
      <x:c r="AA265" s="51"/>
      <x:c r="AB265" s="64" t="str">
        <x:f>IF(AC265="","",AC265)</x:f>
      </x:c>
      <x:c r="AC265" s="67"/>
      <x:c r="AD265" s="69" t="str">
        <x:f>IF(AE265="","",AE265)</x:f>
      </x:c>
      <x:c r="AE265" s="71"/>
      <x:c r="AF265" s="73" t="str">
        <x:f>IF(AC265="","",1/AC265)</x:f>
      </x:c>
      <x:c r="AG265" s="61"/>
      <x:c r="AH265" s="61"/>
      <x:c r="AI265" s="64" t="str">
        <x:f>IF(OR(AC265="",AG265=""),"",AC265*AG265-1)</x:f>
      </x:c>
      <x:c r="AJ265" s="75" t="str">
        <x:f>IF(OR(G265="",F265=""),"",IF(AND(G265&gt;='Calibrare v2'!$B$35,F265&lt;='Calibrare v2'!$B$34),"PASS","FAIL"))</x:f>
      </x:c>
      <x:c r="AK265" s="75" t="str">
        <x:f>IF(AL265="","",AL265)</x:f>
      </x:c>
      <x:c r="AL265" s="77"/>
      <x:c r="AM265" s="77"/>
      <x:c r="AN265" s="64" t="str">
        <x:f>IF(OR(AC265="",P265=""),"",(AC265-P265)^2)</x:f>
      </x:c>
      <x:c r="AO265" s="64" t="str">
        <x:f>IF(OR(AG265="",AH265=""),"",AG265/AH265-1)</x:f>
      </x:c>
      <x:c r="AP265" s="61"/>
      <x:c r="AQ265" s="73" t="n">
        <x:f>IF(OR(AM265&lt;&gt;"PARIU U4,5",M265="",AP265="",AG265=""),0,IF(M265="UNDER",AP265*(AG265-1),-AP265))</x:f>
        <x:v>0</x:v>
      </x:c>
      <x:c r="AR265" s="51"/>
    </x:row>
    <x:row r="266">
      <x:c r="A266" s="9" t="str">
        <x:f>IF(D266="","",ROW()-1)</x:f>
      </x:c>
      <x:c r="B266" s="51"/>
      <x:c r="C266" s="51"/>
      <x:c r="D266" s="51"/>
      <x:c r="E266" s="9" t="str">
        <x:f>IF(D266="","",IF(AND(F266&lt;='Calibrare v2'!$B$33,G266&gt;=0.86),"DA – FEZABIL",IF(G266&gt;=0.8,"DA – PRUDENT","NU – EVITĂ")))</x:f>
      </x:c>
      <x:c r="F266" s="16" t="str">
        <x:f>IF(OR(W266="",X266=""),"",W266+X266)</x:f>
      </x:c>
      <x:c r="G266" s="28" t="str">
        <x:f>IF(F266="","",EXP(-F266)*(1+F266+F266^2/2+F266^3/6+F266^4/24))</x:f>
      </x:c>
      <x:c r="H266" s="53"/>
      <x:c r="I266" s="9" t="str">
        <x:f>IF(F266="","",IF(F266&lt;='Calibrare v2'!$B$33,"PASS","FAIL"))</x:f>
      </x:c>
      <x:c r="J266" s="51"/>
      <x:c r="K266" s="51"/>
      <x:c r="L266" s="9" t="str">
        <x:f>IF(OR(J266="",K266=""),"",J266+K266)</x:f>
      </x:c>
      <x:c r="M266" s="9" t="str">
        <x:f>IF(L266="","",IF(L266&lt;=4,"UNDER","OVER"))</x:f>
      </x:c>
      <x:c r="N266" s="9" t="str">
        <x:f>IF(E266="","",IF(LEFT(E266,2)="DA","PARIU U185,5","NO BET"))</x:f>
      </x:c>
      <x:c r="O266" s="9" t="str">
        <x:f>IF(M266="","",IF(AM266="PARIU U185,5",IF(M266="UNDER","SUCCES","EȘEC"),IF(M266="UNDER","FALS NEGATIV","EVITARE CORECTĂ")))</x:f>
      </x:c>
      <x:c r="P266" s="9" t="str">
        <x:f>IF(M266="","",IF(M266="UNDER",1,0))</x:f>
      </x:c>
      <x:c r="Q266" s="9" t="str">
        <x:f>IF(P266="","",(G266-P266)^2)</x:f>
      </x:c>
      <x:c r="R266" s="9" t="str">
        <x:f>IF(L266="","",L266-F266)</x:f>
      </x:c>
      <x:c r="S266" s="9" t="str">
        <x:f>IF(L266="","",IF(M266="UNDER","U185,5 reușit; total final "&amp;L266&amp;" vs λ="&amp;TEXT(F266,"0.00")&amp;".","Eșec U185,5; total final "&amp;L266&amp;" vs λ="&amp;TEXT(F266,"0.00")&amp;". Revizuiește Tail Risk, sursa λ și calibrarea."))</x:f>
      </x:c>
      <x:c r="T266" s="51"/>
      <x:c r="U266" s="51"/>
      <x:c r="V266" s="51"/>
      <x:c r="W266" s="61"/>
      <x:c r="X266" s="61"/>
      <x:c r="Y266" s="51"/>
      <x:c r="Z266" s="53"/>
      <x:c r="AA266" s="51"/>
      <x:c r="AB266" s="64" t="str">
        <x:f>IF(AC266="","",AC266)</x:f>
      </x:c>
      <x:c r="AC266" s="67"/>
      <x:c r="AD266" s="69" t="str">
        <x:f>IF(AE266="","",AE266)</x:f>
      </x:c>
      <x:c r="AE266" s="71"/>
      <x:c r="AF266" s="73" t="str">
        <x:f>IF(AC266="","",1/AC266)</x:f>
      </x:c>
      <x:c r="AG266" s="61"/>
      <x:c r="AH266" s="61"/>
      <x:c r="AI266" s="64" t="str">
        <x:f>IF(OR(AC266="",AG266=""),"",AC266*AG266-1)</x:f>
      </x:c>
      <x:c r="AJ266" s="75" t="str">
        <x:f>IF(OR(G266="",F266=""),"",IF(AND(G266&gt;='Calibrare v2'!$B$35,F266&lt;='Calibrare v2'!$B$34),"PASS","FAIL"))</x:f>
      </x:c>
      <x:c r="AK266" s="75" t="str">
        <x:f>IF(AL266="","",AL266)</x:f>
      </x:c>
      <x:c r="AL266" s="77"/>
      <x:c r="AM266" s="77"/>
      <x:c r="AN266" s="64" t="str">
        <x:f>IF(OR(AC266="",P266=""),"",(AC266-P266)^2)</x:f>
      </x:c>
      <x:c r="AO266" s="64" t="str">
        <x:f>IF(OR(AG266="",AH266=""),"",AG266/AH266-1)</x:f>
      </x:c>
      <x:c r="AP266" s="61"/>
      <x:c r="AQ266" s="73" t="n">
        <x:f>IF(OR(AM266&lt;&gt;"PARIU U4,5",M266="",AP266="",AG266=""),0,IF(M266="UNDER",AP266*(AG266-1),-AP266))</x:f>
        <x:v>0</x:v>
      </x:c>
      <x:c r="AR266" s="51"/>
    </x:row>
    <x:row r="267">
      <x:c r="A267" s="9" t="str">
        <x:f>IF(D267="","",ROW()-1)</x:f>
      </x:c>
      <x:c r="B267" s="51"/>
      <x:c r="C267" s="51"/>
      <x:c r="D267" s="51"/>
      <x:c r="E267" s="9" t="str">
        <x:f>IF(D267="","",IF(AND(F267&lt;='Calibrare v2'!$B$33,G267&gt;=0.86),"DA – FEZABIL",IF(G267&gt;=0.8,"DA – PRUDENT","NU – EVITĂ")))</x:f>
      </x:c>
      <x:c r="F267" s="16" t="str">
        <x:f>IF(OR(W267="",X267=""),"",W267+X267)</x:f>
      </x:c>
      <x:c r="G267" s="28" t="str">
        <x:f>IF(F267="","",EXP(-F267)*(1+F267+F267^2/2+F267^3/6+F267^4/24))</x:f>
      </x:c>
      <x:c r="H267" s="53"/>
      <x:c r="I267" s="9" t="str">
        <x:f>IF(F267="","",IF(F267&lt;='Calibrare v2'!$B$33,"PASS","FAIL"))</x:f>
      </x:c>
      <x:c r="J267" s="51"/>
      <x:c r="K267" s="51"/>
      <x:c r="L267" s="9" t="str">
        <x:f>IF(OR(J267="",K267=""),"",J267+K267)</x:f>
      </x:c>
      <x:c r="M267" s="9" t="str">
        <x:f>IF(L267="","",IF(L267&lt;=4,"UNDER","OVER"))</x:f>
      </x:c>
      <x:c r="N267" s="9" t="str">
        <x:f>IF(E267="","",IF(LEFT(E267,2)="DA","PARIU U186,5","NO BET"))</x:f>
      </x:c>
      <x:c r="O267" s="9" t="str">
        <x:f>IF(M267="","",IF(AM267="PARIU U186,5",IF(M267="UNDER","SUCCES","EȘEC"),IF(M267="UNDER","FALS NEGATIV","EVITARE CORECTĂ")))</x:f>
      </x:c>
      <x:c r="P267" s="9" t="str">
        <x:f>IF(M267="","",IF(M267="UNDER",1,0))</x:f>
      </x:c>
      <x:c r="Q267" s="9" t="str">
        <x:f>IF(P267="","",(G267-P267)^2)</x:f>
      </x:c>
      <x:c r="R267" s="9" t="str">
        <x:f>IF(L267="","",L267-F267)</x:f>
      </x:c>
      <x:c r="S267" s="9" t="str">
        <x:f>IF(L267="","",IF(M267="UNDER","U186,5 reușit; total final "&amp;L267&amp;" vs λ="&amp;TEXT(F267,"0.00")&amp;".","Eșec U186,5; total final "&amp;L267&amp;" vs λ="&amp;TEXT(F267,"0.00")&amp;". Revizuiește Tail Risk, sursa λ și calibrarea."))</x:f>
      </x:c>
      <x:c r="T267" s="51"/>
      <x:c r="U267" s="51"/>
      <x:c r="V267" s="51"/>
      <x:c r="W267" s="61"/>
      <x:c r="X267" s="61"/>
      <x:c r="Y267" s="51"/>
      <x:c r="Z267" s="53"/>
      <x:c r="AA267" s="51"/>
      <x:c r="AB267" s="64" t="str">
        <x:f>IF(AC267="","",AC267)</x:f>
      </x:c>
      <x:c r="AC267" s="67"/>
      <x:c r="AD267" s="69" t="str">
        <x:f>IF(AE267="","",AE267)</x:f>
      </x:c>
      <x:c r="AE267" s="71"/>
      <x:c r="AF267" s="73" t="str">
        <x:f>IF(AC267="","",1/AC267)</x:f>
      </x:c>
      <x:c r="AG267" s="61"/>
      <x:c r="AH267" s="61"/>
      <x:c r="AI267" s="64" t="str">
        <x:f>IF(OR(AC267="",AG267=""),"",AC267*AG267-1)</x:f>
      </x:c>
      <x:c r="AJ267" s="75" t="str">
        <x:f>IF(OR(G267="",F267=""),"",IF(AND(G267&gt;='Calibrare v2'!$B$35,F267&lt;='Calibrare v2'!$B$34),"PASS","FAIL"))</x:f>
      </x:c>
      <x:c r="AK267" s="75" t="str">
        <x:f>IF(AL267="","",AL267)</x:f>
      </x:c>
      <x:c r="AL267" s="77"/>
      <x:c r="AM267" s="77"/>
      <x:c r="AN267" s="64" t="str">
        <x:f>IF(OR(AC267="",P267=""),"",(AC267-P267)^2)</x:f>
      </x:c>
      <x:c r="AO267" s="64" t="str">
        <x:f>IF(OR(AG267="",AH267=""),"",AG267/AH267-1)</x:f>
      </x:c>
      <x:c r="AP267" s="61"/>
      <x:c r="AQ267" s="73" t="n">
        <x:f>IF(OR(AM267&lt;&gt;"PARIU U4,5",M267="",AP267="",AG267=""),0,IF(M267="UNDER",AP267*(AG267-1),-AP267))</x:f>
        <x:v>0</x:v>
      </x:c>
      <x:c r="AR267" s="51"/>
    </x:row>
    <x:row r="268">
      <x:c r="A268" s="9" t="str">
        <x:f>IF(D268="","",ROW()-1)</x:f>
      </x:c>
      <x:c r="B268" s="51"/>
      <x:c r="C268" s="51"/>
      <x:c r="D268" s="51"/>
      <x:c r="E268" s="9" t="str">
        <x:f>IF(D268="","",IF(AND(F268&lt;='Calibrare v2'!$B$33,G268&gt;=0.86),"DA – FEZABIL",IF(G268&gt;=0.8,"DA – PRUDENT","NU – EVITĂ")))</x:f>
      </x:c>
      <x:c r="F268" s="16" t="str">
        <x:f>IF(OR(W268="",X268=""),"",W268+X268)</x:f>
      </x:c>
      <x:c r="G268" s="28" t="str">
        <x:f>IF(F268="","",EXP(-F268)*(1+F268+F268^2/2+F268^3/6+F268^4/24))</x:f>
      </x:c>
      <x:c r="H268" s="53"/>
      <x:c r="I268" s="9" t="str">
        <x:f>IF(F268="","",IF(F268&lt;='Calibrare v2'!$B$33,"PASS","FAIL"))</x:f>
      </x:c>
      <x:c r="J268" s="51"/>
      <x:c r="K268" s="51"/>
      <x:c r="L268" s="9" t="str">
        <x:f>IF(OR(J268="",K268=""),"",J268+K268)</x:f>
      </x:c>
      <x:c r="M268" s="9" t="str">
        <x:f>IF(L268="","",IF(L268&lt;=4,"UNDER","OVER"))</x:f>
      </x:c>
      <x:c r="N268" s="9" t="str">
        <x:f>IF(E268="","",IF(LEFT(E268,2)="DA","PARIU U187,5","NO BET"))</x:f>
      </x:c>
      <x:c r="O268" s="9" t="str">
        <x:f>IF(M268="","",IF(AM268="PARIU U187,5",IF(M268="UNDER","SUCCES","EȘEC"),IF(M268="UNDER","FALS NEGATIV","EVITARE CORECTĂ")))</x:f>
      </x:c>
      <x:c r="P268" s="9" t="str">
        <x:f>IF(M268="","",IF(M268="UNDER",1,0))</x:f>
      </x:c>
      <x:c r="Q268" s="9" t="str">
        <x:f>IF(P268="","",(G268-P268)^2)</x:f>
      </x:c>
      <x:c r="R268" s="9" t="str">
        <x:f>IF(L268="","",L268-F268)</x:f>
      </x:c>
      <x:c r="S268" s="9" t="str">
        <x:f>IF(L268="","",IF(M268="UNDER","U187,5 reușit; total final "&amp;L268&amp;" vs λ="&amp;TEXT(F268,"0.00")&amp;".","Eșec U187,5; total final "&amp;L268&amp;" vs λ="&amp;TEXT(F268,"0.00")&amp;". Revizuiește Tail Risk, sursa λ și calibrarea."))</x:f>
      </x:c>
      <x:c r="T268" s="51"/>
      <x:c r="U268" s="51"/>
      <x:c r="V268" s="51"/>
      <x:c r="W268" s="61"/>
      <x:c r="X268" s="61"/>
      <x:c r="Y268" s="51"/>
      <x:c r="Z268" s="53"/>
      <x:c r="AA268" s="51"/>
      <x:c r="AB268" s="64" t="str">
        <x:f>IF(AC268="","",AC268)</x:f>
      </x:c>
      <x:c r="AC268" s="67"/>
      <x:c r="AD268" s="69" t="str">
        <x:f>IF(AE268="","",AE268)</x:f>
      </x:c>
      <x:c r="AE268" s="71"/>
      <x:c r="AF268" s="73" t="str">
        <x:f>IF(AC268="","",1/AC268)</x:f>
      </x:c>
      <x:c r="AG268" s="61"/>
      <x:c r="AH268" s="61"/>
      <x:c r="AI268" s="64" t="str">
        <x:f>IF(OR(AC268="",AG268=""),"",AC268*AG268-1)</x:f>
      </x:c>
      <x:c r="AJ268" s="75" t="str">
        <x:f>IF(OR(G268="",F268=""),"",IF(AND(G268&gt;='Calibrare v2'!$B$35,F268&lt;='Calibrare v2'!$B$34),"PASS","FAIL"))</x:f>
      </x:c>
      <x:c r="AK268" s="75" t="str">
        <x:f>IF(AL268="","",AL268)</x:f>
      </x:c>
      <x:c r="AL268" s="77"/>
      <x:c r="AM268" s="77"/>
      <x:c r="AN268" s="64" t="str">
        <x:f>IF(OR(AC268="",P268=""),"",(AC268-P268)^2)</x:f>
      </x:c>
      <x:c r="AO268" s="64" t="str">
        <x:f>IF(OR(AG268="",AH268=""),"",AG268/AH268-1)</x:f>
      </x:c>
      <x:c r="AP268" s="61"/>
      <x:c r="AQ268" s="73" t="n">
        <x:f>IF(OR(AM268&lt;&gt;"PARIU U4,5",M268="",AP268="",AG268=""),0,IF(M268="UNDER",AP268*(AG268-1),-AP268))</x:f>
        <x:v>0</x:v>
      </x:c>
      <x:c r="AR268" s="51"/>
    </x:row>
    <x:row r="269">
      <x:c r="A269" s="9" t="str">
        <x:f>IF(D269="","",ROW()-1)</x:f>
      </x:c>
      <x:c r="B269" s="51"/>
      <x:c r="C269" s="51"/>
      <x:c r="D269" s="51"/>
      <x:c r="E269" s="9" t="str">
        <x:f>IF(D269="","",IF(AND(F269&lt;='Calibrare v2'!$B$33,G269&gt;=0.86),"DA – FEZABIL",IF(G269&gt;=0.8,"DA – PRUDENT","NU – EVITĂ")))</x:f>
      </x:c>
      <x:c r="F269" s="16" t="str">
        <x:f>IF(OR(W269="",X269=""),"",W269+X269)</x:f>
      </x:c>
      <x:c r="G269" s="28" t="str">
        <x:f>IF(F269="","",EXP(-F269)*(1+F269+F269^2/2+F269^3/6+F269^4/24))</x:f>
      </x:c>
      <x:c r="H269" s="53"/>
      <x:c r="I269" s="9" t="str">
        <x:f>IF(F269="","",IF(F269&lt;='Calibrare v2'!$B$33,"PASS","FAIL"))</x:f>
      </x:c>
      <x:c r="J269" s="51"/>
      <x:c r="K269" s="51"/>
      <x:c r="L269" s="9" t="str">
        <x:f>IF(OR(J269="",K269=""),"",J269+K269)</x:f>
      </x:c>
      <x:c r="M269" s="9" t="str">
        <x:f>IF(L269="","",IF(L269&lt;=4,"UNDER","OVER"))</x:f>
      </x:c>
      <x:c r="N269" s="9" t="str">
        <x:f>IF(E269="","",IF(LEFT(E269,2)="DA","PARIU U188,5","NO BET"))</x:f>
      </x:c>
      <x:c r="O269" s="9" t="str">
        <x:f>IF(M269="","",IF(AM269="PARIU U188,5",IF(M269="UNDER","SUCCES","EȘEC"),IF(M269="UNDER","FALS NEGATIV","EVITARE CORECTĂ")))</x:f>
      </x:c>
      <x:c r="P269" s="9" t="str">
        <x:f>IF(M269="","",IF(M269="UNDER",1,0))</x:f>
      </x:c>
      <x:c r="Q269" s="9" t="str">
        <x:f>IF(P269="","",(G269-P269)^2)</x:f>
      </x:c>
      <x:c r="R269" s="9" t="str">
        <x:f>IF(L269="","",L269-F269)</x:f>
      </x:c>
      <x:c r="S269" s="9" t="str">
        <x:f>IF(L269="","",IF(M269="UNDER","U188,5 reușit; total final "&amp;L269&amp;" vs λ="&amp;TEXT(F269,"0.00")&amp;".","Eșec U188,5; total final "&amp;L269&amp;" vs λ="&amp;TEXT(F269,"0.00")&amp;". Revizuiește Tail Risk, sursa λ și calibrarea."))</x:f>
      </x:c>
      <x:c r="T269" s="51"/>
      <x:c r="U269" s="51"/>
      <x:c r="V269" s="51"/>
      <x:c r="W269" s="61"/>
      <x:c r="X269" s="61"/>
      <x:c r="Y269" s="51"/>
      <x:c r="Z269" s="53"/>
      <x:c r="AA269" s="51"/>
      <x:c r="AB269" s="64" t="str">
        <x:f>IF(AC269="","",AC269)</x:f>
      </x:c>
      <x:c r="AC269" s="67"/>
      <x:c r="AD269" s="69" t="str">
        <x:f>IF(AE269="","",AE269)</x:f>
      </x:c>
      <x:c r="AE269" s="71"/>
      <x:c r="AF269" s="73" t="str">
        <x:f>IF(AC269="","",1/AC269)</x:f>
      </x:c>
      <x:c r="AG269" s="61"/>
      <x:c r="AH269" s="61"/>
      <x:c r="AI269" s="64" t="str">
        <x:f>IF(OR(AC269="",AG269=""),"",AC269*AG269-1)</x:f>
      </x:c>
      <x:c r="AJ269" s="75" t="str">
        <x:f>IF(OR(G269="",F269=""),"",IF(AND(G269&gt;='Calibrare v2'!$B$35,F269&lt;='Calibrare v2'!$B$34),"PASS","FAIL"))</x:f>
      </x:c>
      <x:c r="AK269" s="75" t="str">
        <x:f>IF(AL269="","",AL269)</x:f>
      </x:c>
      <x:c r="AL269" s="77"/>
      <x:c r="AM269" s="77"/>
      <x:c r="AN269" s="64" t="str">
        <x:f>IF(OR(AC269="",P269=""),"",(AC269-P269)^2)</x:f>
      </x:c>
      <x:c r="AO269" s="64" t="str">
        <x:f>IF(OR(AG269="",AH269=""),"",AG269/AH269-1)</x:f>
      </x:c>
      <x:c r="AP269" s="61"/>
      <x:c r="AQ269" s="73" t="n">
        <x:f>IF(OR(AM269&lt;&gt;"PARIU U4,5",M269="",AP269="",AG269=""),0,IF(M269="UNDER",AP269*(AG269-1),-AP269))</x:f>
        <x:v>0</x:v>
      </x:c>
      <x:c r="AR269" s="51"/>
    </x:row>
    <x:row r="270">
      <x:c r="A270" s="9" t="str">
        <x:f>IF(D270="","",ROW()-1)</x:f>
      </x:c>
      <x:c r="B270" s="51"/>
      <x:c r="C270" s="51"/>
      <x:c r="D270" s="51"/>
      <x:c r="E270" s="9" t="str">
        <x:f>IF(D270="","",IF(AND(F270&lt;='Calibrare v2'!$B$33,G270&gt;=0.86),"DA – FEZABIL",IF(G270&gt;=0.8,"DA – PRUDENT","NU – EVITĂ")))</x:f>
      </x:c>
      <x:c r="F270" s="16" t="str">
        <x:f>IF(OR(W270="",X270=""),"",W270+X270)</x:f>
      </x:c>
      <x:c r="G270" s="28" t="str">
        <x:f>IF(F270="","",EXP(-F270)*(1+F270+F270^2/2+F270^3/6+F270^4/24))</x:f>
      </x:c>
      <x:c r="H270" s="53"/>
      <x:c r="I270" s="9" t="str">
        <x:f>IF(F270="","",IF(F270&lt;='Calibrare v2'!$B$33,"PASS","FAIL"))</x:f>
      </x:c>
      <x:c r="J270" s="51"/>
      <x:c r="K270" s="51"/>
      <x:c r="L270" s="9" t="str">
        <x:f>IF(OR(J270="",K270=""),"",J270+K270)</x:f>
      </x:c>
      <x:c r="M270" s="9" t="str">
        <x:f>IF(L270="","",IF(L270&lt;=4,"UNDER","OVER"))</x:f>
      </x:c>
      <x:c r="N270" s="9" t="str">
        <x:f>IF(E270="","",IF(LEFT(E270,2)="DA","PARIU U189,5","NO BET"))</x:f>
      </x:c>
      <x:c r="O270" s="9" t="str">
        <x:f>IF(M270="","",IF(AM270="PARIU U189,5",IF(M270="UNDER","SUCCES","EȘEC"),IF(M270="UNDER","FALS NEGATIV","EVITARE CORECTĂ")))</x:f>
      </x:c>
      <x:c r="P270" s="9" t="str">
        <x:f>IF(M270="","",IF(M270="UNDER",1,0))</x:f>
      </x:c>
      <x:c r="Q270" s="9" t="str">
        <x:f>IF(P270="","",(G270-P270)^2)</x:f>
      </x:c>
      <x:c r="R270" s="9" t="str">
        <x:f>IF(L270="","",L270-F270)</x:f>
      </x:c>
      <x:c r="S270" s="9" t="str">
        <x:f>IF(L270="","",IF(M270="UNDER","U189,5 reușit; total final "&amp;L270&amp;" vs λ="&amp;TEXT(F270,"0.00")&amp;".","Eșec U189,5; total final "&amp;L270&amp;" vs λ="&amp;TEXT(F270,"0.00")&amp;". Revizuiește Tail Risk, sursa λ și calibrarea."))</x:f>
      </x:c>
      <x:c r="T270" s="51"/>
      <x:c r="U270" s="51"/>
      <x:c r="V270" s="51"/>
      <x:c r="W270" s="61"/>
      <x:c r="X270" s="61"/>
      <x:c r="Y270" s="51"/>
      <x:c r="Z270" s="53"/>
      <x:c r="AA270" s="51"/>
      <x:c r="AB270" s="64" t="str">
        <x:f>IF(AC270="","",AC270)</x:f>
      </x:c>
      <x:c r="AC270" s="67"/>
      <x:c r="AD270" s="69" t="str">
        <x:f>IF(AE270="","",AE270)</x:f>
      </x:c>
      <x:c r="AE270" s="71"/>
      <x:c r="AF270" s="73" t="str">
        <x:f>IF(AC270="","",1/AC270)</x:f>
      </x:c>
      <x:c r="AG270" s="61"/>
      <x:c r="AH270" s="61"/>
      <x:c r="AI270" s="64" t="str">
        <x:f>IF(OR(AC270="",AG270=""),"",AC270*AG270-1)</x:f>
      </x:c>
      <x:c r="AJ270" s="75" t="str">
        <x:f>IF(OR(G270="",F270=""),"",IF(AND(G270&gt;='Calibrare v2'!$B$35,F270&lt;='Calibrare v2'!$B$34),"PASS","FAIL"))</x:f>
      </x:c>
      <x:c r="AK270" s="75" t="str">
        <x:f>IF(AL270="","",AL270)</x:f>
      </x:c>
      <x:c r="AL270" s="77"/>
      <x:c r="AM270" s="77"/>
      <x:c r="AN270" s="64" t="str">
        <x:f>IF(OR(AC270="",P270=""),"",(AC270-P270)^2)</x:f>
      </x:c>
      <x:c r="AO270" s="64" t="str">
        <x:f>IF(OR(AG270="",AH270=""),"",AG270/AH270-1)</x:f>
      </x:c>
      <x:c r="AP270" s="61"/>
      <x:c r="AQ270" s="73" t="n">
        <x:f>IF(OR(AM270&lt;&gt;"PARIU U4,5",M270="",AP270="",AG270=""),0,IF(M270="UNDER",AP270*(AG270-1),-AP270))</x:f>
        <x:v>0</x:v>
      </x:c>
      <x:c r="AR270" s="51"/>
    </x:row>
    <x:row r="271">
      <x:c r="A271" s="9" t="str">
        <x:f>IF(D271="","",ROW()-1)</x:f>
      </x:c>
      <x:c r="B271" s="51"/>
      <x:c r="C271" s="51"/>
      <x:c r="D271" s="51"/>
      <x:c r="E271" s="9" t="str">
        <x:f>IF(D271="","",IF(AND(F271&lt;='Calibrare v2'!$B$33,G271&gt;=0.86),"DA – FEZABIL",IF(G271&gt;=0.8,"DA – PRUDENT","NU – EVITĂ")))</x:f>
      </x:c>
      <x:c r="F271" s="16" t="str">
        <x:f>IF(OR(W271="",X271=""),"",W271+X271)</x:f>
      </x:c>
      <x:c r="G271" s="28" t="str">
        <x:f>IF(F271="","",EXP(-F271)*(1+F271+F271^2/2+F271^3/6+F271^4/24))</x:f>
      </x:c>
      <x:c r="H271" s="53"/>
      <x:c r="I271" s="9" t="str">
        <x:f>IF(F271="","",IF(F271&lt;='Calibrare v2'!$B$33,"PASS","FAIL"))</x:f>
      </x:c>
      <x:c r="J271" s="51"/>
      <x:c r="K271" s="51"/>
      <x:c r="L271" s="9" t="str">
        <x:f>IF(OR(J271="",K271=""),"",J271+K271)</x:f>
      </x:c>
      <x:c r="M271" s="9" t="str">
        <x:f>IF(L271="","",IF(L271&lt;=4,"UNDER","OVER"))</x:f>
      </x:c>
      <x:c r="N271" s="9" t="str">
        <x:f>IF(E271="","",IF(LEFT(E271,2)="DA","PARIU U190,5","NO BET"))</x:f>
      </x:c>
      <x:c r="O271" s="9" t="str">
        <x:f>IF(M271="","",IF(AM271="PARIU U190,5",IF(M271="UNDER","SUCCES","EȘEC"),IF(M271="UNDER","FALS NEGATIV","EVITARE CORECTĂ")))</x:f>
      </x:c>
      <x:c r="P271" s="9" t="str">
        <x:f>IF(M271="","",IF(M271="UNDER",1,0))</x:f>
      </x:c>
      <x:c r="Q271" s="9" t="str">
        <x:f>IF(P271="","",(G271-P271)^2)</x:f>
      </x:c>
      <x:c r="R271" s="9" t="str">
        <x:f>IF(L271="","",L271-F271)</x:f>
      </x:c>
      <x:c r="S271" s="9" t="str">
        <x:f>IF(L271="","",IF(M271="UNDER","U190,5 reușit; total final "&amp;L271&amp;" vs λ="&amp;TEXT(F271,"0.00")&amp;".","Eșec U190,5; total final "&amp;L271&amp;" vs λ="&amp;TEXT(F271,"0.00")&amp;". Revizuiește Tail Risk, sursa λ și calibrarea."))</x:f>
      </x:c>
      <x:c r="T271" s="51"/>
      <x:c r="U271" s="51"/>
      <x:c r="V271" s="51"/>
      <x:c r="W271" s="61"/>
      <x:c r="X271" s="61"/>
      <x:c r="Y271" s="51"/>
      <x:c r="Z271" s="53"/>
      <x:c r="AA271" s="51"/>
      <x:c r="AB271" s="64" t="str">
        <x:f>IF(AC271="","",AC271)</x:f>
      </x:c>
      <x:c r="AC271" s="67"/>
      <x:c r="AD271" s="69" t="str">
        <x:f>IF(AE271="","",AE271)</x:f>
      </x:c>
      <x:c r="AE271" s="71"/>
      <x:c r="AF271" s="73" t="str">
        <x:f>IF(AC271="","",1/AC271)</x:f>
      </x:c>
      <x:c r="AG271" s="61"/>
      <x:c r="AH271" s="61"/>
      <x:c r="AI271" s="64" t="str">
        <x:f>IF(OR(AC271="",AG271=""),"",AC271*AG271-1)</x:f>
      </x:c>
      <x:c r="AJ271" s="75" t="str">
        <x:f>IF(OR(G271="",F271=""),"",IF(AND(G271&gt;='Calibrare v2'!$B$35,F271&lt;='Calibrare v2'!$B$34),"PASS","FAIL"))</x:f>
      </x:c>
      <x:c r="AK271" s="75" t="str">
        <x:f>IF(AL271="","",AL271)</x:f>
      </x:c>
      <x:c r="AL271" s="77"/>
      <x:c r="AM271" s="77"/>
      <x:c r="AN271" s="64" t="str">
        <x:f>IF(OR(AC271="",P271=""),"",(AC271-P271)^2)</x:f>
      </x:c>
      <x:c r="AO271" s="64" t="str">
        <x:f>IF(OR(AG271="",AH271=""),"",AG271/AH271-1)</x:f>
      </x:c>
      <x:c r="AP271" s="61"/>
      <x:c r="AQ271" s="73" t="n">
        <x:f>IF(OR(AM271&lt;&gt;"PARIU U4,5",M271="",AP271="",AG271=""),0,IF(M271="UNDER",AP271*(AG271-1),-AP271))</x:f>
        <x:v>0</x:v>
      </x:c>
      <x:c r="AR271" s="51"/>
    </x:row>
    <x:row r="272">
      <x:c r="A272" s="9" t="str">
        <x:f>IF(D272="","",ROW()-1)</x:f>
      </x:c>
      <x:c r="B272" s="51"/>
      <x:c r="C272" s="51"/>
      <x:c r="D272" s="51"/>
      <x:c r="E272" s="9" t="str">
        <x:f>IF(D272="","",IF(AND(F272&lt;='Calibrare v2'!$B$33,G272&gt;=0.86),"DA – FEZABIL",IF(G272&gt;=0.8,"DA – PRUDENT","NU – EVITĂ")))</x:f>
      </x:c>
      <x:c r="F272" s="16" t="str">
        <x:f>IF(OR(W272="",X272=""),"",W272+X272)</x:f>
      </x:c>
      <x:c r="G272" s="28" t="str">
        <x:f>IF(F272="","",EXP(-F272)*(1+F272+F272^2/2+F272^3/6+F272^4/24))</x:f>
      </x:c>
      <x:c r="H272" s="53"/>
      <x:c r="I272" s="9" t="str">
        <x:f>IF(F272="","",IF(F272&lt;='Calibrare v2'!$B$33,"PASS","FAIL"))</x:f>
      </x:c>
      <x:c r="J272" s="51"/>
      <x:c r="K272" s="51"/>
      <x:c r="L272" s="9" t="str">
        <x:f>IF(OR(J272="",K272=""),"",J272+K272)</x:f>
      </x:c>
      <x:c r="M272" s="9" t="str">
        <x:f>IF(L272="","",IF(L272&lt;=4,"UNDER","OVER"))</x:f>
      </x:c>
      <x:c r="N272" s="9" t="str">
        <x:f>IF(E272="","",IF(LEFT(E272,2)="DA","PARIU U191,5","NO BET"))</x:f>
      </x:c>
      <x:c r="O272" s="9" t="str">
        <x:f>IF(M272="","",IF(AM272="PARIU U191,5",IF(M272="UNDER","SUCCES","EȘEC"),IF(M272="UNDER","FALS NEGATIV","EVITARE CORECTĂ")))</x:f>
      </x:c>
      <x:c r="P272" s="9" t="str">
        <x:f>IF(M272="","",IF(M272="UNDER",1,0))</x:f>
      </x:c>
      <x:c r="Q272" s="9" t="str">
        <x:f>IF(P272="","",(G272-P272)^2)</x:f>
      </x:c>
      <x:c r="R272" s="9" t="str">
        <x:f>IF(L272="","",L272-F272)</x:f>
      </x:c>
      <x:c r="S272" s="9" t="str">
        <x:f>IF(L272="","",IF(M272="UNDER","U191,5 reușit; total final "&amp;L272&amp;" vs λ="&amp;TEXT(F272,"0.00")&amp;".","Eșec U191,5; total final "&amp;L272&amp;" vs λ="&amp;TEXT(F272,"0.00")&amp;". Revizuiește Tail Risk, sursa λ și calibrarea."))</x:f>
      </x:c>
      <x:c r="T272" s="51"/>
      <x:c r="U272" s="51"/>
      <x:c r="V272" s="51"/>
      <x:c r="W272" s="61"/>
      <x:c r="X272" s="61"/>
      <x:c r="Y272" s="51"/>
      <x:c r="Z272" s="53"/>
      <x:c r="AA272" s="51"/>
      <x:c r="AB272" s="64" t="str">
        <x:f>IF(AC272="","",AC272)</x:f>
      </x:c>
      <x:c r="AC272" s="67"/>
      <x:c r="AD272" s="69" t="str">
        <x:f>IF(AE272="","",AE272)</x:f>
      </x:c>
      <x:c r="AE272" s="71"/>
      <x:c r="AF272" s="73" t="str">
        <x:f>IF(AC272="","",1/AC272)</x:f>
      </x:c>
      <x:c r="AG272" s="61"/>
      <x:c r="AH272" s="61"/>
      <x:c r="AI272" s="64" t="str">
        <x:f>IF(OR(AC272="",AG272=""),"",AC272*AG272-1)</x:f>
      </x:c>
      <x:c r="AJ272" s="75" t="str">
        <x:f>IF(OR(G272="",F272=""),"",IF(AND(G272&gt;='Calibrare v2'!$B$35,F272&lt;='Calibrare v2'!$B$34),"PASS","FAIL"))</x:f>
      </x:c>
      <x:c r="AK272" s="75" t="str">
        <x:f>IF(AL272="","",AL272)</x:f>
      </x:c>
      <x:c r="AL272" s="77"/>
      <x:c r="AM272" s="77"/>
      <x:c r="AN272" s="64" t="str">
        <x:f>IF(OR(AC272="",P272=""),"",(AC272-P272)^2)</x:f>
      </x:c>
      <x:c r="AO272" s="64" t="str">
        <x:f>IF(OR(AG272="",AH272=""),"",AG272/AH272-1)</x:f>
      </x:c>
      <x:c r="AP272" s="61"/>
      <x:c r="AQ272" s="73" t="n">
        <x:f>IF(OR(AM272&lt;&gt;"PARIU U4,5",M272="",AP272="",AG272=""),0,IF(M272="UNDER",AP272*(AG272-1),-AP272))</x:f>
        <x:v>0</x:v>
      </x:c>
      <x:c r="AR272" s="51"/>
    </x:row>
    <x:row r="273">
      <x:c r="A273" s="9" t="str">
        <x:f>IF(D273="","",ROW()-1)</x:f>
      </x:c>
      <x:c r="B273" s="51"/>
      <x:c r="C273" s="51"/>
      <x:c r="D273" s="51"/>
      <x:c r="E273" s="9" t="str">
        <x:f>IF(D273="","",IF(AND(F273&lt;='Calibrare v2'!$B$33,G273&gt;=0.86),"DA – FEZABIL",IF(G273&gt;=0.8,"DA – PRUDENT","NU – EVITĂ")))</x:f>
      </x:c>
      <x:c r="F273" s="16" t="str">
        <x:f>IF(OR(W273="",X273=""),"",W273+X273)</x:f>
      </x:c>
      <x:c r="G273" s="28" t="str">
        <x:f>IF(F273="","",EXP(-F273)*(1+F273+F273^2/2+F273^3/6+F273^4/24))</x:f>
      </x:c>
      <x:c r="H273" s="53"/>
      <x:c r="I273" s="9" t="str">
        <x:f>IF(F273="","",IF(F273&lt;='Calibrare v2'!$B$33,"PASS","FAIL"))</x:f>
      </x:c>
      <x:c r="J273" s="51"/>
      <x:c r="K273" s="51"/>
      <x:c r="L273" s="9" t="str">
        <x:f>IF(OR(J273="",K273=""),"",J273+K273)</x:f>
      </x:c>
      <x:c r="M273" s="9" t="str">
        <x:f>IF(L273="","",IF(L273&lt;=4,"UNDER","OVER"))</x:f>
      </x:c>
      <x:c r="N273" s="9" t="str">
        <x:f>IF(E273="","",IF(LEFT(E273,2)="DA","PARIU U192,5","NO BET"))</x:f>
      </x:c>
      <x:c r="O273" s="9" t="str">
        <x:f>IF(M273="","",IF(AM273="PARIU U192,5",IF(M273="UNDER","SUCCES","EȘEC"),IF(M273="UNDER","FALS NEGATIV","EVITARE CORECTĂ")))</x:f>
      </x:c>
      <x:c r="P273" s="9" t="str">
        <x:f>IF(M273="","",IF(M273="UNDER",1,0))</x:f>
      </x:c>
      <x:c r="Q273" s="9" t="str">
        <x:f>IF(P273="","",(G273-P273)^2)</x:f>
      </x:c>
      <x:c r="R273" s="9" t="str">
        <x:f>IF(L273="","",L273-F273)</x:f>
      </x:c>
      <x:c r="S273" s="9" t="str">
        <x:f>IF(L273="","",IF(M273="UNDER","U192,5 reușit; total final "&amp;L273&amp;" vs λ="&amp;TEXT(F273,"0.00")&amp;".","Eșec U192,5; total final "&amp;L273&amp;" vs λ="&amp;TEXT(F273,"0.00")&amp;". Revizuiește Tail Risk, sursa λ și calibrarea."))</x:f>
      </x:c>
      <x:c r="T273" s="51"/>
      <x:c r="U273" s="51"/>
      <x:c r="V273" s="51"/>
      <x:c r="W273" s="61"/>
      <x:c r="X273" s="61"/>
      <x:c r="Y273" s="51"/>
      <x:c r="Z273" s="53"/>
      <x:c r="AA273" s="51"/>
      <x:c r="AB273" s="64" t="str">
        <x:f>IF(AC273="","",AC273)</x:f>
      </x:c>
      <x:c r="AC273" s="67"/>
      <x:c r="AD273" s="69" t="str">
        <x:f>IF(AE273="","",AE273)</x:f>
      </x:c>
      <x:c r="AE273" s="71"/>
      <x:c r="AF273" s="73" t="str">
        <x:f>IF(AC273="","",1/AC273)</x:f>
      </x:c>
      <x:c r="AG273" s="61"/>
      <x:c r="AH273" s="61"/>
      <x:c r="AI273" s="64" t="str">
        <x:f>IF(OR(AC273="",AG273=""),"",AC273*AG273-1)</x:f>
      </x:c>
      <x:c r="AJ273" s="75" t="str">
        <x:f>IF(OR(G273="",F273=""),"",IF(AND(G273&gt;='Calibrare v2'!$B$35,F273&lt;='Calibrare v2'!$B$34),"PASS","FAIL"))</x:f>
      </x:c>
      <x:c r="AK273" s="75" t="str">
        <x:f>IF(AL273="","",AL273)</x:f>
      </x:c>
      <x:c r="AL273" s="77"/>
      <x:c r="AM273" s="77"/>
      <x:c r="AN273" s="64" t="str">
        <x:f>IF(OR(AC273="",P273=""),"",(AC273-P273)^2)</x:f>
      </x:c>
      <x:c r="AO273" s="64" t="str">
        <x:f>IF(OR(AG273="",AH273=""),"",AG273/AH273-1)</x:f>
      </x:c>
      <x:c r="AP273" s="61"/>
      <x:c r="AQ273" s="73" t="n">
        <x:f>IF(OR(AM273&lt;&gt;"PARIU U4,5",M273="",AP273="",AG273=""),0,IF(M273="UNDER",AP273*(AG273-1),-AP273))</x:f>
        <x:v>0</x:v>
      </x:c>
      <x:c r="AR273" s="51"/>
    </x:row>
    <x:row r="274">
      <x:c r="A274" s="9" t="str">
        <x:f>IF(D274="","",ROW()-1)</x:f>
      </x:c>
      <x:c r="B274" s="51"/>
      <x:c r="C274" s="51"/>
      <x:c r="D274" s="51"/>
      <x:c r="E274" s="9" t="str">
        <x:f>IF(D274="","",IF(AND(F274&lt;='Calibrare v2'!$B$33,G274&gt;=0.86),"DA – FEZABIL",IF(G274&gt;=0.8,"DA – PRUDENT","NU – EVITĂ")))</x:f>
      </x:c>
      <x:c r="F274" s="16" t="str">
        <x:f>IF(OR(W274="",X274=""),"",W274+X274)</x:f>
      </x:c>
      <x:c r="G274" s="28" t="str">
        <x:f>IF(F274="","",EXP(-F274)*(1+F274+F274^2/2+F274^3/6+F274^4/24))</x:f>
      </x:c>
      <x:c r="H274" s="53"/>
      <x:c r="I274" s="9" t="str">
        <x:f>IF(F274="","",IF(F274&lt;='Calibrare v2'!$B$33,"PASS","FAIL"))</x:f>
      </x:c>
      <x:c r="J274" s="51"/>
      <x:c r="K274" s="51"/>
      <x:c r="L274" s="9" t="str">
        <x:f>IF(OR(J274="",K274=""),"",J274+K274)</x:f>
      </x:c>
      <x:c r="M274" s="9" t="str">
        <x:f>IF(L274="","",IF(L274&lt;=4,"UNDER","OVER"))</x:f>
      </x:c>
      <x:c r="N274" s="9" t="str">
        <x:f>IF(E274="","",IF(LEFT(E274,2)="DA","PARIU U193,5","NO BET"))</x:f>
      </x:c>
      <x:c r="O274" s="9" t="str">
        <x:f>IF(M274="","",IF(AM274="PARIU U193,5",IF(M274="UNDER","SUCCES","EȘEC"),IF(M274="UNDER","FALS NEGATIV","EVITARE CORECTĂ")))</x:f>
      </x:c>
      <x:c r="P274" s="9" t="str">
        <x:f>IF(M274="","",IF(M274="UNDER",1,0))</x:f>
      </x:c>
      <x:c r="Q274" s="9" t="str">
        <x:f>IF(P274="","",(G274-P274)^2)</x:f>
      </x:c>
      <x:c r="R274" s="9" t="str">
        <x:f>IF(L274="","",L274-F274)</x:f>
      </x:c>
      <x:c r="S274" s="9" t="str">
        <x:f>IF(L274="","",IF(M274="UNDER","U193,5 reușit; total final "&amp;L274&amp;" vs λ="&amp;TEXT(F274,"0.00")&amp;".","Eșec U193,5; total final "&amp;L274&amp;" vs λ="&amp;TEXT(F274,"0.00")&amp;". Revizuiește Tail Risk, sursa λ și calibrarea."))</x:f>
      </x:c>
      <x:c r="T274" s="51"/>
      <x:c r="U274" s="51"/>
      <x:c r="V274" s="51"/>
      <x:c r="W274" s="61"/>
      <x:c r="X274" s="61"/>
      <x:c r="Y274" s="51"/>
      <x:c r="Z274" s="53"/>
      <x:c r="AA274" s="51"/>
      <x:c r="AB274" s="64" t="str">
        <x:f>IF(AC274="","",AC274)</x:f>
      </x:c>
      <x:c r="AC274" s="67"/>
      <x:c r="AD274" s="69" t="str">
        <x:f>IF(AE274="","",AE274)</x:f>
      </x:c>
      <x:c r="AE274" s="71"/>
      <x:c r="AF274" s="73" t="str">
        <x:f>IF(AC274="","",1/AC274)</x:f>
      </x:c>
      <x:c r="AG274" s="61"/>
      <x:c r="AH274" s="61"/>
      <x:c r="AI274" s="64" t="str">
        <x:f>IF(OR(AC274="",AG274=""),"",AC274*AG274-1)</x:f>
      </x:c>
      <x:c r="AJ274" s="75" t="str">
        <x:f>IF(OR(G274="",F274=""),"",IF(AND(G274&gt;='Calibrare v2'!$B$35,F274&lt;='Calibrare v2'!$B$34),"PASS","FAIL"))</x:f>
      </x:c>
      <x:c r="AK274" s="75" t="str">
        <x:f>IF(AL274="","",AL274)</x:f>
      </x:c>
      <x:c r="AL274" s="77"/>
      <x:c r="AM274" s="77"/>
      <x:c r="AN274" s="64" t="str">
        <x:f>IF(OR(AC274="",P274=""),"",(AC274-P274)^2)</x:f>
      </x:c>
      <x:c r="AO274" s="64" t="str">
        <x:f>IF(OR(AG274="",AH274=""),"",AG274/AH274-1)</x:f>
      </x:c>
      <x:c r="AP274" s="61"/>
      <x:c r="AQ274" s="73" t="n">
        <x:f>IF(OR(AM274&lt;&gt;"PARIU U4,5",M274="",AP274="",AG274=""),0,IF(M274="UNDER",AP274*(AG274-1),-AP274))</x:f>
        <x:v>0</x:v>
      </x:c>
      <x:c r="AR274" s="51"/>
    </x:row>
    <x:row r="275">
      <x:c r="A275" s="9" t="str">
        <x:f>IF(D275="","",ROW()-1)</x:f>
      </x:c>
      <x:c r="B275" s="51"/>
      <x:c r="C275" s="51"/>
      <x:c r="D275" s="51"/>
      <x:c r="E275" s="9" t="str">
        <x:f>IF(D275="","",IF(AND(F275&lt;='Calibrare v2'!$B$33,G275&gt;=0.86),"DA – FEZABIL",IF(G275&gt;=0.8,"DA – PRUDENT","NU – EVITĂ")))</x:f>
      </x:c>
      <x:c r="F275" s="16" t="str">
        <x:f>IF(OR(W275="",X275=""),"",W275+X275)</x:f>
      </x:c>
      <x:c r="G275" s="28" t="str">
        <x:f>IF(F275="","",EXP(-F275)*(1+F275+F275^2/2+F275^3/6+F275^4/24))</x:f>
      </x:c>
      <x:c r="H275" s="53"/>
      <x:c r="I275" s="9" t="str">
        <x:f>IF(F275="","",IF(F275&lt;='Calibrare v2'!$B$33,"PASS","FAIL"))</x:f>
      </x:c>
      <x:c r="J275" s="51"/>
      <x:c r="K275" s="51"/>
      <x:c r="L275" s="9" t="str">
        <x:f>IF(OR(J275="",K275=""),"",J275+K275)</x:f>
      </x:c>
      <x:c r="M275" s="9" t="str">
        <x:f>IF(L275="","",IF(L275&lt;=4,"UNDER","OVER"))</x:f>
      </x:c>
      <x:c r="N275" s="9" t="str">
        <x:f>IF(E275="","",IF(LEFT(E275,2)="DA","PARIU U194,5","NO BET"))</x:f>
      </x:c>
      <x:c r="O275" s="9" t="str">
        <x:f>IF(M275="","",IF(AM275="PARIU U194,5",IF(M275="UNDER","SUCCES","EȘEC"),IF(M275="UNDER","FALS NEGATIV","EVITARE CORECTĂ")))</x:f>
      </x:c>
      <x:c r="P275" s="9" t="str">
        <x:f>IF(M275="","",IF(M275="UNDER",1,0))</x:f>
      </x:c>
      <x:c r="Q275" s="9" t="str">
        <x:f>IF(P275="","",(G275-P275)^2)</x:f>
      </x:c>
      <x:c r="R275" s="9" t="str">
        <x:f>IF(L275="","",L275-F275)</x:f>
      </x:c>
      <x:c r="S275" s="9" t="str">
        <x:f>IF(L275="","",IF(M275="UNDER","U194,5 reușit; total final "&amp;L275&amp;" vs λ="&amp;TEXT(F275,"0.00")&amp;".","Eșec U194,5; total final "&amp;L275&amp;" vs λ="&amp;TEXT(F275,"0.00")&amp;". Revizuiește Tail Risk, sursa λ și calibrarea."))</x:f>
      </x:c>
      <x:c r="T275" s="51"/>
      <x:c r="U275" s="51"/>
      <x:c r="V275" s="51"/>
      <x:c r="W275" s="61"/>
      <x:c r="X275" s="61"/>
      <x:c r="Y275" s="51"/>
      <x:c r="Z275" s="53"/>
      <x:c r="AA275" s="51"/>
      <x:c r="AB275" s="64" t="str">
        <x:f>IF(AC275="","",AC275)</x:f>
      </x:c>
      <x:c r="AC275" s="67"/>
      <x:c r="AD275" s="69" t="str">
        <x:f>IF(AE275="","",AE275)</x:f>
      </x:c>
      <x:c r="AE275" s="71"/>
      <x:c r="AF275" s="73" t="str">
        <x:f>IF(AC275="","",1/AC275)</x:f>
      </x:c>
      <x:c r="AG275" s="61"/>
      <x:c r="AH275" s="61"/>
      <x:c r="AI275" s="64" t="str">
        <x:f>IF(OR(AC275="",AG275=""),"",AC275*AG275-1)</x:f>
      </x:c>
      <x:c r="AJ275" s="75" t="str">
        <x:f>IF(OR(G275="",F275=""),"",IF(AND(G275&gt;='Calibrare v2'!$B$35,F275&lt;='Calibrare v2'!$B$34),"PASS","FAIL"))</x:f>
      </x:c>
      <x:c r="AK275" s="75" t="str">
        <x:f>IF(AL275="","",AL275)</x:f>
      </x:c>
      <x:c r="AL275" s="77"/>
      <x:c r="AM275" s="77"/>
      <x:c r="AN275" s="64" t="str">
        <x:f>IF(OR(AC275="",P275=""),"",(AC275-P275)^2)</x:f>
      </x:c>
      <x:c r="AO275" s="64" t="str">
        <x:f>IF(OR(AG275="",AH275=""),"",AG275/AH275-1)</x:f>
      </x:c>
      <x:c r="AP275" s="61"/>
      <x:c r="AQ275" s="73" t="n">
        <x:f>IF(OR(AM275&lt;&gt;"PARIU U4,5",M275="",AP275="",AG275=""),0,IF(M275="UNDER",AP275*(AG275-1),-AP275))</x:f>
        <x:v>0</x:v>
      </x:c>
      <x:c r="AR275" s="51"/>
    </x:row>
    <x:row r="276">
      <x:c r="A276" s="9" t="str">
        <x:f>IF(D276="","",ROW()-1)</x:f>
      </x:c>
      <x:c r="B276" s="51"/>
      <x:c r="C276" s="51"/>
      <x:c r="D276" s="51"/>
      <x:c r="E276" s="9" t="str">
        <x:f>IF(D276="","",IF(AND(F276&lt;='Calibrare v2'!$B$33,G276&gt;=0.86),"DA – FEZABIL",IF(G276&gt;=0.8,"DA – PRUDENT","NU – EVITĂ")))</x:f>
      </x:c>
      <x:c r="F276" s="16" t="str">
        <x:f>IF(OR(W276="",X276=""),"",W276+X276)</x:f>
      </x:c>
      <x:c r="G276" s="28" t="str">
        <x:f>IF(F276="","",EXP(-F276)*(1+F276+F276^2/2+F276^3/6+F276^4/24))</x:f>
      </x:c>
      <x:c r="H276" s="53"/>
      <x:c r="I276" s="9" t="str">
        <x:f>IF(F276="","",IF(F276&lt;='Calibrare v2'!$B$33,"PASS","FAIL"))</x:f>
      </x:c>
      <x:c r="J276" s="51"/>
      <x:c r="K276" s="51"/>
      <x:c r="L276" s="9" t="str">
        <x:f>IF(OR(J276="",K276=""),"",J276+K276)</x:f>
      </x:c>
      <x:c r="M276" s="9" t="str">
        <x:f>IF(L276="","",IF(L276&lt;=4,"UNDER","OVER"))</x:f>
      </x:c>
      <x:c r="N276" s="9" t="str">
        <x:f>IF(E276="","",IF(LEFT(E276,2)="DA","PARIU U195,5","NO BET"))</x:f>
      </x:c>
      <x:c r="O276" s="9" t="str">
        <x:f>IF(M276="","",IF(AM276="PARIU U195,5",IF(M276="UNDER","SUCCES","EȘEC"),IF(M276="UNDER","FALS NEGATIV","EVITARE CORECTĂ")))</x:f>
      </x:c>
      <x:c r="P276" s="9" t="str">
        <x:f>IF(M276="","",IF(M276="UNDER",1,0))</x:f>
      </x:c>
      <x:c r="Q276" s="9" t="str">
        <x:f>IF(P276="","",(G276-P276)^2)</x:f>
      </x:c>
      <x:c r="R276" s="9" t="str">
        <x:f>IF(L276="","",L276-F276)</x:f>
      </x:c>
      <x:c r="S276" s="9" t="str">
        <x:f>IF(L276="","",IF(M276="UNDER","U195,5 reușit; total final "&amp;L276&amp;" vs λ="&amp;TEXT(F276,"0.00")&amp;".","Eșec U195,5; total final "&amp;L276&amp;" vs λ="&amp;TEXT(F276,"0.00")&amp;". Revizuiește Tail Risk, sursa λ și calibrarea."))</x:f>
      </x:c>
      <x:c r="T276" s="51"/>
      <x:c r="U276" s="51"/>
      <x:c r="V276" s="51"/>
      <x:c r="W276" s="61"/>
      <x:c r="X276" s="61"/>
      <x:c r="Y276" s="51"/>
      <x:c r="Z276" s="53"/>
      <x:c r="AA276" s="51"/>
      <x:c r="AB276" s="64" t="str">
        <x:f>IF(AC276="","",AC276)</x:f>
      </x:c>
      <x:c r="AC276" s="67"/>
      <x:c r="AD276" s="69" t="str">
        <x:f>IF(AE276="","",AE276)</x:f>
      </x:c>
      <x:c r="AE276" s="71"/>
      <x:c r="AF276" s="73" t="str">
        <x:f>IF(AC276="","",1/AC276)</x:f>
      </x:c>
      <x:c r="AG276" s="61"/>
      <x:c r="AH276" s="61"/>
      <x:c r="AI276" s="64" t="str">
        <x:f>IF(OR(AC276="",AG276=""),"",AC276*AG276-1)</x:f>
      </x:c>
      <x:c r="AJ276" s="75" t="str">
        <x:f>IF(OR(G276="",F276=""),"",IF(AND(G276&gt;='Calibrare v2'!$B$35,F276&lt;='Calibrare v2'!$B$34),"PASS","FAIL"))</x:f>
      </x:c>
      <x:c r="AK276" s="75" t="str">
        <x:f>IF(AL276="","",AL276)</x:f>
      </x:c>
      <x:c r="AL276" s="77"/>
      <x:c r="AM276" s="77"/>
      <x:c r="AN276" s="64" t="str">
        <x:f>IF(OR(AC276="",P276=""),"",(AC276-P276)^2)</x:f>
      </x:c>
      <x:c r="AO276" s="64" t="str">
        <x:f>IF(OR(AG276="",AH276=""),"",AG276/AH276-1)</x:f>
      </x:c>
      <x:c r="AP276" s="61"/>
      <x:c r="AQ276" s="73" t="n">
        <x:f>IF(OR(AM276&lt;&gt;"PARIU U4,5",M276="",AP276="",AG276=""),0,IF(M276="UNDER",AP276*(AG276-1),-AP276))</x:f>
        <x:v>0</x:v>
      </x:c>
      <x:c r="AR276" s="51"/>
    </x:row>
    <x:row r="277">
      <x:c r="A277" s="9" t="str">
        <x:f>IF(D277="","",ROW()-1)</x:f>
      </x:c>
      <x:c r="B277" s="51"/>
      <x:c r="C277" s="51"/>
      <x:c r="D277" s="51"/>
      <x:c r="E277" s="9" t="str">
        <x:f>IF(D277="","",IF(AND(F277&lt;='Calibrare v2'!$B$33,G277&gt;=0.86),"DA – FEZABIL",IF(G277&gt;=0.8,"DA – PRUDENT","NU – EVITĂ")))</x:f>
      </x:c>
      <x:c r="F277" s="16" t="str">
        <x:f>IF(OR(W277="",X277=""),"",W277+X277)</x:f>
      </x:c>
      <x:c r="G277" s="28" t="str">
        <x:f>IF(F277="","",EXP(-F277)*(1+F277+F277^2/2+F277^3/6+F277^4/24))</x:f>
      </x:c>
      <x:c r="H277" s="53"/>
      <x:c r="I277" s="9" t="str">
        <x:f>IF(F277="","",IF(F277&lt;='Calibrare v2'!$B$33,"PASS","FAIL"))</x:f>
      </x:c>
      <x:c r="J277" s="51"/>
      <x:c r="K277" s="51"/>
      <x:c r="L277" s="9" t="str">
        <x:f>IF(OR(J277="",K277=""),"",J277+K277)</x:f>
      </x:c>
      <x:c r="M277" s="9" t="str">
        <x:f>IF(L277="","",IF(L277&lt;=4,"UNDER","OVER"))</x:f>
      </x:c>
      <x:c r="N277" s="9" t="str">
        <x:f>IF(E277="","",IF(LEFT(E277,2)="DA","PARIU U196,5","NO BET"))</x:f>
      </x:c>
      <x:c r="O277" s="9" t="str">
        <x:f>IF(M277="","",IF(AM277="PARIU U196,5",IF(M277="UNDER","SUCCES","EȘEC"),IF(M277="UNDER","FALS NEGATIV","EVITARE CORECTĂ")))</x:f>
      </x:c>
      <x:c r="P277" s="9" t="str">
        <x:f>IF(M277="","",IF(M277="UNDER",1,0))</x:f>
      </x:c>
      <x:c r="Q277" s="9" t="str">
        <x:f>IF(P277="","",(G277-P277)^2)</x:f>
      </x:c>
      <x:c r="R277" s="9" t="str">
        <x:f>IF(L277="","",L277-F277)</x:f>
      </x:c>
      <x:c r="S277" s="9" t="str">
        <x:f>IF(L277="","",IF(M277="UNDER","U196,5 reușit; total final "&amp;L277&amp;" vs λ="&amp;TEXT(F277,"0.00")&amp;".","Eșec U196,5; total final "&amp;L277&amp;" vs λ="&amp;TEXT(F277,"0.00")&amp;". Revizuiește Tail Risk, sursa λ și calibrarea."))</x:f>
      </x:c>
      <x:c r="T277" s="51"/>
      <x:c r="U277" s="51"/>
      <x:c r="V277" s="51"/>
      <x:c r="W277" s="61"/>
      <x:c r="X277" s="61"/>
      <x:c r="Y277" s="51"/>
      <x:c r="Z277" s="53"/>
      <x:c r="AA277" s="51"/>
      <x:c r="AB277" s="64" t="str">
        <x:f>IF(AC277="","",AC277)</x:f>
      </x:c>
      <x:c r="AC277" s="67"/>
      <x:c r="AD277" s="69" t="str">
        <x:f>IF(AE277="","",AE277)</x:f>
      </x:c>
      <x:c r="AE277" s="71"/>
      <x:c r="AF277" s="73" t="str">
        <x:f>IF(AC277="","",1/AC277)</x:f>
      </x:c>
      <x:c r="AG277" s="61"/>
      <x:c r="AH277" s="61"/>
      <x:c r="AI277" s="64" t="str">
        <x:f>IF(OR(AC277="",AG277=""),"",AC277*AG277-1)</x:f>
      </x:c>
      <x:c r="AJ277" s="75" t="str">
        <x:f>IF(OR(G277="",F277=""),"",IF(AND(G277&gt;='Calibrare v2'!$B$35,F277&lt;='Calibrare v2'!$B$34),"PASS","FAIL"))</x:f>
      </x:c>
      <x:c r="AK277" s="75" t="str">
        <x:f>IF(AL277="","",AL277)</x:f>
      </x:c>
      <x:c r="AL277" s="77"/>
      <x:c r="AM277" s="77"/>
      <x:c r="AN277" s="64" t="str">
        <x:f>IF(OR(AC277="",P277=""),"",(AC277-P277)^2)</x:f>
      </x:c>
      <x:c r="AO277" s="64" t="str">
        <x:f>IF(OR(AG277="",AH277=""),"",AG277/AH277-1)</x:f>
      </x:c>
      <x:c r="AP277" s="61"/>
      <x:c r="AQ277" s="73" t="n">
        <x:f>IF(OR(AM277&lt;&gt;"PARIU U4,5",M277="",AP277="",AG277=""),0,IF(M277="UNDER",AP277*(AG277-1),-AP277))</x:f>
        <x:v>0</x:v>
      </x:c>
      <x:c r="AR277" s="51"/>
    </x:row>
    <x:row r="278">
      <x:c r="A278" s="9" t="str">
        <x:f>IF(D278="","",ROW()-1)</x:f>
      </x:c>
      <x:c r="B278" s="51"/>
      <x:c r="C278" s="51"/>
      <x:c r="D278" s="51"/>
      <x:c r="E278" s="9" t="str">
        <x:f>IF(D278="","",IF(AND(F278&lt;='Calibrare v2'!$B$33,G278&gt;=0.86),"DA – FEZABIL",IF(G278&gt;=0.8,"DA – PRUDENT","NU – EVITĂ")))</x:f>
      </x:c>
      <x:c r="F278" s="16" t="str">
        <x:f>IF(OR(W278="",X278=""),"",W278+X278)</x:f>
      </x:c>
      <x:c r="G278" s="28" t="str">
        <x:f>IF(F278="","",EXP(-F278)*(1+F278+F278^2/2+F278^3/6+F278^4/24))</x:f>
      </x:c>
      <x:c r="H278" s="53"/>
      <x:c r="I278" s="9" t="str">
        <x:f>IF(F278="","",IF(F278&lt;='Calibrare v2'!$B$33,"PASS","FAIL"))</x:f>
      </x:c>
      <x:c r="J278" s="51"/>
      <x:c r="K278" s="51"/>
      <x:c r="L278" s="9" t="str">
        <x:f>IF(OR(J278="",K278=""),"",J278+K278)</x:f>
      </x:c>
      <x:c r="M278" s="9" t="str">
        <x:f>IF(L278="","",IF(L278&lt;=4,"UNDER","OVER"))</x:f>
      </x:c>
      <x:c r="N278" s="9" t="str">
        <x:f>IF(E278="","",IF(LEFT(E278,2)="DA","PARIU U197,5","NO BET"))</x:f>
      </x:c>
      <x:c r="O278" s="9" t="str">
        <x:f>IF(M278="","",IF(AM278="PARIU U197,5",IF(M278="UNDER","SUCCES","EȘEC"),IF(M278="UNDER","FALS NEGATIV","EVITARE CORECTĂ")))</x:f>
      </x:c>
      <x:c r="P278" s="9" t="str">
        <x:f>IF(M278="","",IF(M278="UNDER",1,0))</x:f>
      </x:c>
      <x:c r="Q278" s="9" t="str">
        <x:f>IF(P278="","",(G278-P278)^2)</x:f>
      </x:c>
      <x:c r="R278" s="9" t="str">
        <x:f>IF(L278="","",L278-F278)</x:f>
      </x:c>
      <x:c r="S278" s="9" t="str">
        <x:f>IF(L278="","",IF(M278="UNDER","U197,5 reușit; total final "&amp;L278&amp;" vs λ="&amp;TEXT(F278,"0.00")&amp;".","Eșec U197,5; total final "&amp;L278&amp;" vs λ="&amp;TEXT(F278,"0.00")&amp;". Revizuiește Tail Risk, sursa λ și calibrarea."))</x:f>
      </x:c>
      <x:c r="T278" s="51"/>
      <x:c r="U278" s="51"/>
      <x:c r="V278" s="51"/>
      <x:c r="W278" s="61"/>
      <x:c r="X278" s="61"/>
      <x:c r="Y278" s="51"/>
      <x:c r="Z278" s="53"/>
      <x:c r="AA278" s="51"/>
      <x:c r="AB278" s="64" t="str">
        <x:f>IF(AC278="","",AC278)</x:f>
      </x:c>
      <x:c r="AC278" s="67"/>
      <x:c r="AD278" s="69" t="str">
        <x:f>IF(AE278="","",AE278)</x:f>
      </x:c>
      <x:c r="AE278" s="71"/>
      <x:c r="AF278" s="73" t="str">
        <x:f>IF(AC278="","",1/AC278)</x:f>
      </x:c>
      <x:c r="AG278" s="61"/>
      <x:c r="AH278" s="61"/>
      <x:c r="AI278" s="64" t="str">
        <x:f>IF(OR(AC278="",AG278=""),"",AC278*AG278-1)</x:f>
      </x:c>
      <x:c r="AJ278" s="75" t="str">
        <x:f>IF(OR(G278="",F278=""),"",IF(AND(G278&gt;='Calibrare v2'!$B$35,F278&lt;='Calibrare v2'!$B$34),"PASS","FAIL"))</x:f>
      </x:c>
      <x:c r="AK278" s="75" t="str">
        <x:f>IF(AL278="","",AL278)</x:f>
      </x:c>
      <x:c r="AL278" s="77"/>
      <x:c r="AM278" s="77"/>
      <x:c r="AN278" s="64" t="str">
        <x:f>IF(OR(AC278="",P278=""),"",(AC278-P278)^2)</x:f>
      </x:c>
      <x:c r="AO278" s="64" t="str">
        <x:f>IF(OR(AG278="",AH278=""),"",AG278/AH278-1)</x:f>
      </x:c>
      <x:c r="AP278" s="61"/>
      <x:c r="AQ278" s="73" t="n">
        <x:f>IF(OR(AM278&lt;&gt;"PARIU U4,5",M278="",AP278="",AG278=""),0,IF(M278="UNDER",AP278*(AG278-1),-AP278))</x:f>
        <x:v>0</x:v>
      </x:c>
      <x:c r="AR278" s="51"/>
    </x:row>
    <x:row r="279">
      <x:c r="A279" s="9" t="str">
        <x:f>IF(D279="","",ROW()-1)</x:f>
      </x:c>
      <x:c r="B279" s="51"/>
      <x:c r="C279" s="51"/>
      <x:c r="D279" s="51"/>
      <x:c r="E279" s="9" t="str">
        <x:f>IF(D279="","",IF(AND(F279&lt;='Calibrare v2'!$B$33,G279&gt;=0.86),"DA – FEZABIL",IF(G279&gt;=0.8,"DA – PRUDENT","NU – EVITĂ")))</x:f>
      </x:c>
      <x:c r="F279" s="16" t="str">
        <x:f>IF(OR(W279="",X279=""),"",W279+X279)</x:f>
      </x:c>
      <x:c r="G279" s="28" t="str">
        <x:f>IF(F279="","",EXP(-F279)*(1+F279+F279^2/2+F279^3/6+F279^4/24))</x:f>
      </x:c>
      <x:c r="H279" s="53"/>
      <x:c r="I279" s="9" t="str">
        <x:f>IF(F279="","",IF(F279&lt;='Calibrare v2'!$B$33,"PASS","FAIL"))</x:f>
      </x:c>
      <x:c r="J279" s="51"/>
      <x:c r="K279" s="51"/>
      <x:c r="L279" s="9" t="str">
        <x:f>IF(OR(J279="",K279=""),"",J279+K279)</x:f>
      </x:c>
      <x:c r="M279" s="9" t="str">
        <x:f>IF(L279="","",IF(L279&lt;=4,"UNDER","OVER"))</x:f>
      </x:c>
      <x:c r="N279" s="9" t="str">
        <x:f>IF(E279="","",IF(LEFT(E279,2)="DA","PARIU U198,5","NO BET"))</x:f>
      </x:c>
      <x:c r="O279" s="9" t="str">
        <x:f>IF(M279="","",IF(AM279="PARIU U198,5",IF(M279="UNDER","SUCCES","EȘEC"),IF(M279="UNDER","FALS NEGATIV","EVITARE CORECTĂ")))</x:f>
      </x:c>
      <x:c r="P279" s="9" t="str">
        <x:f>IF(M279="","",IF(M279="UNDER",1,0))</x:f>
      </x:c>
      <x:c r="Q279" s="9" t="str">
        <x:f>IF(P279="","",(G279-P279)^2)</x:f>
      </x:c>
      <x:c r="R279" s="9" t="str">
        <x:f>IF(L279="","",L279-F279)</x:f>
      </x:c>
      <x:c r="S279" s="9" t="str">
        <x:f>IF(L279="","",IF(M279="UNDER","U198,5 reușit; total final "&amp;L279&amp;" vs λ="&amp;TEXT(F279,"0.00")&amp;".","Eșec U198,5; total final "&amp;L279&amp;" vs λ="&amp;TEXT(F279,"0.00")&amp;". Revizuiește Tail Risk, sursa λ și calibrarea."))</x:f>
      </x:c>
      <x:c r="T279" s="51"/>
      <x:c r="U279" s="51"/>
      <x:c r="V279" s="51"/>
      <x:c r="W279" s="61"/>
      <x:c r="X279" s="61"/>
      <x:c r="Y279" s="51"/>
      <x:c r="Z279" s="53"/>
      <x:c r="AA279" s="51"/>
      <x:c r="AB279" s="64" t="str">
        <x:f>IF(AC279="","",AC279)</x:f>
      </x:c>
      <x:c r="AC279" s="67"/>
      <x:c r="AD279" s="69" t="str">
        <x:f>IF(AE279="","",AE279)</x:f>
      </x:c>
      <x:c r="AE279" s="71"/>
      <x:c r="AF279" s="73" t="str">
        <x:f>IF(AC279="","",1/AC279)</x:f>
      </x:c>
      <x:c r="AG279" s="61"/>
      <x:c r="AH279" s="61"/>
      <x:c r="AI279" s="64" t="str">
        <x:f>IF(OR(AC279="",AG279=""),"",AC279*AG279-1)</x:f>
      </x:c>
      <x:c r="AJ279" s="75" t="str">
        <x:f>IF(OR(G279="",F279=""),"",IF(AND(G279&gt;='Calibrare v2'!$B$35,F279&lt;='Calibrare v2'!$B$34),"PASS","FAIL"))</x:f>
      </x:c>
      <x:c r="AK279" s="75" t="str">
        <x:f>IF(AL279="","",AL279)</x:f>
      </x:c>
      <x:c r="AL279" s="77"/>
      <x:c r="AM279" s="77"/>
      <x:c r="AN279" s="64" t="str">
        <x:f>IF(OR(AC279="",P279=""),"",(AC279-P279)^2)</x:f>
      </x:c>
      <x:c r="AO279" s="64" t="str">
        <x:f>IF(OR(AG279="",AH279=""),"",AG279/AH279-1)</x:f>
      </x:c>
      <x:c r="AP279" s="61"/>
      <x:c r="AQ279" s="73" t="n">
        <x:f>IF(OR(AM279&lt;&gt;"PARIU U4,5",M279="",AP279="",AG279=""),0,IF(M279="UNDER",AP279*(AG279-1),-AP279))</x:f>
        <x:v>0</x:v>
      </x:c>
      <x:c r="AR279" s="51"/>
    </x:row>
    <x:row r="280">
      <x:c r="A280" s="9" t="str">
        <x:f>IF(D280="","",ROW()-1)</x:f>
      </x:c>
      <x:c r="B280" s="51"/>
      <x:c r="C280" s="51"/>
      <x:c r="D280" s="51"/>
      <x:c r="E280" s="9" t="str">
        <x:f>IF(D280="","",IF(AND(F280&lt;='Calibrare v2'!$B$33,G280&gt;=0.86),"DA – FEZABIL",IF(G280&gt;=0.8,"DA – PRUDENT","NU – EVITĂ")))</x:f>
      </x:c>
      <x:c r="F280" s="16" t="str">
        <x:f>IF(OR(W280="",X280=""),"",W280+X280)</x:f>
      </x:c>
      <x:c r="G280" s="28" t="str">
        <x:f>IF(F280="","",EXP(-F280)*(1+F280+F280^2/2+F280^3/6+F280^4/24))</x:f>
      </x:c>
      <x:c r="H280" s="53"/>
      <x:c r="I280" s="9" t="str">
        <x:f>IF(F280="","",IF(F280&lt;='Calibrare v2'!$B$33,"PASS","FAIL"))</x:f>
      </x:c>
      <x:c r="J280" s="51"/>
      <x:c r="K280" s="51"/>
      <x:c r="L280" s="9" t="str">
        <x:f>IF(OR(J280="",K280=""),"",J280+K280)</x:f>
      </x:c>
      <x:c r="M280" s="9" t="str">
        <x:f>IF(L280="","",IF(L280&lt;=4,"UNDER","OVER"))</x:f>
      </x:c>
      <x:c r="N280" s="9" t="str">
        <x:f>IF(E280="","",IF(LEFT(E280,2)="DA","PARIU U199,5","NO BET"))</x:f>
      </x:c>
      <x:c r="O280" s="9" t="str">
        <x:f>IF(M280="","",IF(AM280="PARIU U199,5",IF(M280="UNDER","SUCCES","EȘEC"),IF(M280="UNDER","FALS NEGATIV","EVITARE CORECTĂ")))</x:f>
      </x:c>
      <x:c r="P280" s="9" t="str">
        <x:f>IF(M280="","",IF(M280="UNDER",1,0))</x:f>
      </x:c>
      <x:c r="Q280" s="9" t="str">
        <x:f>IF(P280="","",(G280-P280)^2)</x:f>
      </x:c>
      <x:c r="R280" s="9" t="str">
        <x:f>IF(L280="","",L280-F280)</x:f>
      </x:c>
      <x:c r="S280" s="9" t="str">
        <x:f>IF(L280="","",IF(M280="UNDER","U199,5 reușit; total final "&amp;L280&amp;" vs λ="&amp;TEXT(F280,"0.00")&amp;".","Eșec U199,5; total final "&amp;L280&amp;" vs λ="&amp;TEXT(F280,"0.00")&amp;". Revizuiește Tail Risk, sursa λ și calibrarea."))</x:f>
      </x:c>
      <x:c r="T280" s="51"/>
      <x:c r="U280" s="51"/>
      <x:c r="V280" s="51"/>
      <x:c r="W280" s="61"/>
      <x:c r="X280" s="61"/>
      <x:c r="Y280" s="51"/>
      <x:c r="Z280" s="53"/>
      <x:c r="AA280" s="51"/>
      <x:c r="AB280" s="64" t="str">
        <x:f>IF(AC280="","",AC280)</x:f>
      </x:c>
      <x:c r="AC280" s="67"/>
      <x:c r="AD280" s="69" t="str">
        <x:f>IF(AE280="","",AE280)</x:f>
      </x:c>
      <x:c r="AE280" s="71"/>
      <x:c r="AF280" s="73" t="str">
        <x:f>IF(AC280="","",1/AC280)</x:f>
      </x:c>
      <x:c r="AG280" s="61"/>
      <x:c r="AH280" s="61"/>
      <x:c r="AI280" s="64" t="str">
        <x:f>IF(OR(AC280="",AG280=""),"",AC280*AG280-1)</x:f>
      </x:c>
      <x:c r="AJ280" s="75" t="str">
        <x:f>IF(OR(G280="",F280=""),"",IF(AND(G280&gt;='Calibrare v2'!$B$35,F280&lt;='Calibrare v2'!$B$34),"PASS","FAIL"))</x:f>
      </x:c>
      <x:c r="AK280" s="75" t="str">
        <x:f>IF(AL280="","",AL280)</x:f>
      </x:c>
      <x:c r="AL280" s="77"/>
      <x:c r="AM280" s="77"/>
      <x:c r="AN280" s="64" t="str">
        <x:f>IF(OR(AC280="",P280=""),"",(AC280-P280)^2)</x:f>
      </x:c>
      <x:c r="AO280" s="64" t="str">
        <x:f>IF(OR(AG280="",AH280=""),"",AG280/AH280-1)</x:f>
      </x:c>
      <x:c r="AP280" s="61"/>
      <x:c r="AQ280" s="73" t="n">
        <x:f>IF(OR(AM280&lt;&gt;"PARIU U4,5",M280="",AP280="",AG280=""),0,IF(M280="UNDER",AP280*(AG280-1),-AP280))</x:f>
        <x:v>0</x:v>
      </x:c>
      <x:c r="AR280" s="51"/>
    </x:row>
    <x:row r="281">
      <x:c r="A281" s="9" t="str">
        <x:f>IF(D281="","",ROW()-1)</x:f>
      </x:c>
      <x:c r="B281" s="51"/>
      <x:c r="C281" s="51"/>
      <x:c r="D281" s="51"/>
      <x:c r="E281" s="9" t="str">
        <x:f>IF(D281="","",IF(AND(F281&lt;='Calibrare v2'!$B$33,G281&gt;=0.86),"DA – FEZABIL",IF(G281&gt;=0.8,"DA – PRUDENT","NU – EVITĂ")))</x:f>
      </x:c>
      <x:c r="F281" s="16" t="str">
        <x:f>IF(OR(W281="",X281=""),"",W281+X281)</x:f>
      </x:c>
      <x:c r="G281" s="28" t="str">
        <x:f>IF(F281="","",EXP(-F281)*(1+F281+F281^2/2+F281^3/6+F281^4/24))</x:f>
      </x:c>
      <x:c r="H281" s="53"/>
      <x:c r="I281" s="9" t="str">
        <x:f>IF(F281="","",IF(F281&lt;='Calibrare v2'!$B$33,"PASS","FAIL"))</x:f>
      </x:c>
      <x:c r="J281" s="51"/>
      <x:c r="K281" s="51"/>
      <x:c r="L281" s="9" t="str">
        <x:f>IF(OR(J281="",K281=""),"",J281+K281)</x:f>
      </x:c>
      <x:c r="M281" s="9" t="str">
        <x:f>IF(L281="","",IF(L281&lt;=4,"UNDER","OVER"))</x:f>
      </x:c>
      <x:c r="N281" s="9" t="str">
        <x:f>IF(E281="","",IF(LEFT(E281,2)="DA","PARIU U200,5","NO BET"))</x:f>
      </x:c>
      <x:c r="O281" s="9" t="str">
        <x:f>IF(M281="","",IF(AM281="PARIU U200,5",IF(M281="UNDER","SUCCES","EȘEC"),IF(M281="UNDER","FALS NEGATIV","EVITARE CORECTĂ")))</x:f>
      </x:c>
      <x:c r="P281" s="9" t="str">
        <x:f>IF(M281="","",IF(M281="UNDER",1,0))</x:f>
      </x:c>
      <x:c r="Q281" s="9" t="str">
        <x:f>IF(P281="","",(G281-P281)^2)</x:f>
      </x:c>
      <x:c r="R281" s="9" t="str">
        <x:f>IF(L281="","",L281-F281)</x:f>
      </x:c>
      <x:c r="S281" s="9" t="str">
        <x:f>IF(L281="","",IF(M281="UNDER","U200,5 reușit; total final "&amp;L281&amp;" vs λ="&amp;TEXT(F281,"0.00")&amp;".","Eșec U200,5; total final "&amp;L281&amp;" vs λ="&amp;TEXT(F281,"0.00")&amp;". Revizuiește Tail Risk, sursa λ și calibrarea."))</x:f>
      </x:c>
      <x:c r="T281" s="51"/>
      <x:c r="U281" s="51"/>
      <x:c r="V281" s="51"/>
      <x:c r="W281" s="61"/>
      <x:c r="X281" s="61"/>
      <x:c r="Y281" s="51"/>
      <x:c r="Z281" s="53"/>
      <x:c r="AA281" s="51"/>
      <x:c r="AB281" s="64" t="str">
        <x:f>IF(AC281="","",AC281)</x:f>
      </x:c>
      <x:c r="AC281" s="67"/>
      <x:c r="AD281" s="69" t="str">
        <x:f>IF(AE281="","",AE281)</x:f>
      </x:c>
      <x:c r="AE281" s="71"/>
      <x:c r="AF281" s="73" t="str">
        <x:f>IF(AC281="","",1/AC281)</x:f>
      </x:c>
      <x:c r="AG281" s="61"/>
      <x:c r="AH281" s="61"/>
      <x:c r="AI281" s="64" t="str">
        <x:f>IF(OR(AC281="",AG281=""),"",AC281*AG281-1)</x:f>
      </x:c>
      <x:c r="AJ281" s="75" t="str">
        <x:f>IF(OR(G281="",F281=""),"",IF(AND(G281&gt;='Calibrare v2'!$B$35,F281&lt;='Calibrare v2'!$B$34),"PASS","FAIL"))</x:f>
      </x:c>
      <x:c r="AK281" s="75" t="str">
        <x:f>IF(AL281="","",AL281)</x:f>
      </x:c>
      <x:c r="AL281" s="77"/>
      <x:c r="AM281" s="77"/>
      <x:c r="AN281" s="64" t="str">
        <x:f>IF(OR(AC281="",P281=""),"",(AC281-P281)^2)</x:f>
      </x:c>
      <x:c r="AO281" s="64" t="str">
        <x:f>IF(OR(AG281="",AH281=""),"",AG281/AH281-1)</x:f>
      </x:c>
      <x:c r="AP281" s="61"/>
      <x:c r="AQ281" s="73" t="n">
        <x:f>IF(OR(AM281&lt;&gt;"PARIU U4,5",M281="",AP281="",AG281=""),0,IF(M281="UNDER",AP281*(AG281-1),-AP281))</x:f>
        <x:v>0</x:v>
      </x:c>
      <x:c r="AR281" s="51"/>
    </x:row>
    <x:row r="282">
      <x:c r="A282" s="9" t="str">
        <x:f>IF(D282="","",ROW()-1)</x:f>
      </x:c>
      <x:c r="B282" s="51"/>
      <x:c r="C282" s="51"/>
      <x:c r="D282" s="51"/>
      <x:c r="E282" s="9" t="str">
        <x:f>IF(D282="","",IF(AND(F282&lt;='Calibrare v2'!$B$33,G282&gt;=0.86),"DA – FEZABIL",IF(G282&gt;=0.8,"DA – PRUDENT","NU – EVITĂ")))</x:f>
      </x:c>
      <x:c r="F282" s="16" t="str">
        <x:f>IF(OR(W282="",X282=""),"",W282+X282)</x:f>
      </x:c>
      <x:c r="G282" s="28" t="str">
        <x:f>IF(F282="","",EXP(-F282)*(1+F282+F282^2/2+F282^3/6+F282^4/24))</x:f>
      </x:c>
      <x:c r="H282" s="53"/>
      <x:c r="I282" s="9" t="str">
        <x:f>IF(F282="","",IF(F282&lt;='Calibrare v2'!$B$33,"PASS","FAIL"))</x:f>
      </x:c>
      <x:c r="J282" s="51"/>
      <x:c r="K282" s="51"/>
      <x:c r="L282" s="9" t="str">
        <x:f>IF(OR(J282="",K282=""),"",J282+K282)</x:f>
      </x:c>
      <x:c r="M282" s="9" t="str">
        <x:f>IF(L282="","",IF(L282&lt;=4,"UNDER","OVER"))</x:f>
      </x:c>
      <x:c r="N282" s="9" t="str">
        <x:f>IF(E282="","",IF(LEFT(E282,2)="DA","PARIU U201,5","NO BET"))</x:f>
      </x:c>
      <x:c r="O282" s="9" t="str">
        <x:f>IF(M282="","",IF(AM282="PARIU U201,5",IF(M282="UNDER","SUCCES","EȘEC"),IF(M282="UNDER","FALS NEGATIV","EVITARE CORECTĂ")))</x:f>
      </x:c>
      <x:c r="P282" s="9" t="str">
        <x:f>IF(M282="","",IF(M282="UNDER",1,0))</x:f>
      </x:c>
      <x:c r="Q282" s="9" t="str">
        <x:f>IF(P282="","",(G282-P282)^2)</x:f>
      </x:c>
      <x:c r="R282" s="9" t="str">
        <x:f>IF(L282="","",L282-F282)</x:f>
      </x:c>
      <x:c r="S282" s="9" t="str">
        <x:f>IF(L282="","",IF(M282="UNDER","U201,5 reușit; total final "&amp;L282&amp;" vs λ="&amp;TEXT(F282,"0.00")&amp;".","Eșec U201,5; total final "&amp;L282&amp;" vs λ="&amp;TEXT(F282,"0.00")&amp;". Revizuiește Tail Risk, sursa λ și calibrarea."))</x:f>
      </x:c>
      <x:c r="T282" s="51"/>
      <x:c r="U282" s="51"/>
      <x:c r="V282" s="51"/>
      <x:c r="W282" s="61"/>
      <x:c r="X282" s="61"/>
      <x:c r="Y282" s="51"/>
      <x:c r="Z282" s="53"/>
      <x:c r="AA282" s="51"/>
      <x:c r="AB282" s="64" t="str">
        <x:f>IF(AC282="","",AC282)</x:f>
      </x:c>
      <x:c r="AC282" s="67"/>
      <x:c r="AD282" s="69" t="str">
        <x:f>IF(AE282="","",AE282)</x:f>
      </x:c>
      <x:c r="AE282" s="71"/>
      <x:c r="AF282" s="73" t="str">
        <x:f>IF(AC282="","",1/AC282)</x:f>
      </x:c>
      <x:c r="AG282" s="61"/>
      <x:c r="AH282" s="61"/>
      <x:c r="AI282" s="64" t="str">
        <x:f>IF(OR(AC282="",AG282=""),"",AC282*AG282-1)</x:f>
      </x:c>
      <x:c r="AJ282" s="75" t="str">
        <x:f>IF(OR(G282="",F282=""),"",IF(AND(G282&gt;='Calibrare v2'!$B$35,F282&lt;='Calibrare v2'!$B$34),"PASS","FAIL"))</x:f>
      </x:c>
      <x:c r="AK282" s="75" t="str">
        <x:f>IF(AL282="","",AL282)</x:f>
      </x:c>
      <x:c r="AL282" s="77"/>
      <x:c r="AM282" s="77"/>
      <x:c r="AN282" s="64" t="str">
        <x:f>IF(OR(AC282="",P282=""),"",(AC282-P282)^2)</x:f>
      </x:c>
      <x:c r="AO282" s="64" t="str">
        <x:f>IF(OR(AG282="",AH282=""),"",AG282/AH282-1)</x:f>
      </x:c>
      <x:c r="AP282" s="61"/>
      <x:c r="AQ282" s="73" t="n">
        <x:f>IF(OR(AM282&lt;&gt;"PARIU U4,5",M282="",AP282="",AG282=""),0,IF(M282="UNDER",AP282*(AG282-1),-AP282))</x:f>
        <x:v>0</x:v>
      </x:c>
      <x:c r="AR282" s="51"/>
    </x:row>
    <x:row r="283">
      <x:c r="A283" s="9" t="str">
        <x:f>IF(D283="","",ROW()-1)</x:f>
      </x:c>
      <x:c r="B283" s="51"/>
      <x:c r="C283" s="51"/>
      <x:c r="D283" s="51"/>
      <x:c r="E283" s="9" t="str">
        <x:f>IF(D283="","",IF(AND(F283&lt;='Calibrare v2'!$B$33,G283&gt;=0.86),"DA – FEZABIL",IF(G283&gt;=0.8,"DA – PRUDENT","NU – EVITĂ")))</x:f>
      </x:c>
      <x:c r="F283" s="16" t="str">
        <x:f>IF(OR(W283="",X283=""),"",W283+X283)</x:f>
      </x:c>
      <x:c r="G283" s="28" t="str">
        <x:f>IF(F283="","",EXP(-F283)*(1+F283+F283^2/2+F283^3/6+F283^4/24))</x:f>
      </x:c>
      <x:c r="H283" s="53"/>
      <x:c r="I283" s="9" t="str">
        <x:f>IF(F283="","",IF(F283&lt;='Calibrare v2'!$B$33,"PASS","FAIL"))</x:f>
      </x:c>
      <x:c r="J283" s="51"/>
      <x:c r="K283" s="51"/>
      <x:c r="L283" s="9" t="str">
        <x:f>IF(OR(J283="",K283=""),"",J283+K283)</x:f>
      </x:c>
      <x:c r="M283" s="9" t="str">
        <x:f>IF(L283="","",IF(L283&lt;=4,"UNDER","OVER"))</x:f>
      </x:c>
      <x:c r="N283" s="9" t="str">
        <x:f>IF(E283="","",IF(LEFT(E283,2)="DA","PARIU U202,5","NO BET"))</x:f>
      </x:c>
      <x:c r="O283" s="9" t="str">
        <x:f>IF(M283="","",IF(AM283="PARIU U202,5",IF(M283="UNDER","SUCCES","EȘEC"),IF(M283="UNDER","FALS NEGATIV","EVITARE CORECTĂ")))</x:f>
      </x:c>
      <x:c r="P283" s="9" t="str">
        <x:f>IF(M283="","",IF(M283="UNDER",1,0))</x:f>
      </x:c>
      <x:c r="Q283" s="9" t="str">
        <x:f>IF(P283="","",(G283-P283)^2)</x:f>
      </x:c>
      <x:c r="R283" s="9" t="str">
        <x:f>IF(L283="","",L283-F283)</x:f>
      </x:c>
      <x:c r="S283" s="9" t="str">
        <x:f>IF(L283="","",IF(M283="UNDER","U202,5 reușit; total final "&amp;L283&amp;" vs λ="&amp;TEXT(F283,"0.00")&amp;".","Eșec U202,5; total final "&amp;L283&amp;" vs λ="&amp;TEXT(F283,"0.00")&amp;". Revizuiește Tail Risk, sursa λ și calibrarea."))</x:f>
      </x:c>
      <x:c r="T283" s="51"/>
      <x:c r="U283" s="51"/>
      <x:c r="V283" s="51"/>
      <x:c r="W283" s="61"/>
      <x:c r="X283" s="61"/>
      <x:c r="Y283" s="51"/>
      <x:c r="Z283" s="53"/>
      <x:c r="AA283" s="51"/>
      <x:c r="AB283" s="64" t="str">
        <x:f>IF(AC283="","",AC283)</x:f>
      </x:c>
      <x:c r="AC283" s="67"/>
      <x:c r="AD283" s="69" t="str">
        <x:f>IF(AE283="","",AE283)</x:f>
      </x:c>
      <x:c r="AE283" s="71"/>
      <x:c r="AF283" s="73" t="str">
        <x:f>IF(AC283="","",1/AC283)</x:f>
      </x:c>
      <x:c r="AG283" s="61"/>
      <x:c r="AH283" s="61"/>
      <x:c r="AI283" s="64" t="str">
        <x:f>IF(OR(AC283="",AG283=""),"",AC283*AG283-1)</x:f>
      </x:c>
      <x:c r="AJ283" s="75" t="str">
        <x:f>IF(OR(G283="",F283=""),"",IF(AND(G283&gt;='Calibrare v2'!$B$35,F283&lt;='Calibrare v2'!$B$34),"PASS","FAIL"))</x:f>
      </x:c>
      <x:c r="AK283" s="75" t="str">
        <x:f>IF(AL283="","",AL283)</x:f>
      </x:c>
      <x:c r="AL283" s="77"/>
      <x:c r="AM283" s="77"/>
      <x:c r="AN283" s="64" t="str">
        <x:f>IF(OR(AC283="",P283=""),"",(AC283-P283)^2)</x:f>
      </x:c>
      <x:c r="AO283" s="64" t="str">
        <x:f>IF(OR(AG283="",AH283=""),"",AG283/AH283-1)</x:f>
      </x:c>
      <x:c r="AP283" s="61"/>
      <x:c r="AQ283" s="73" t="n">
        <x:f>IF(OR(AM283&lt;&gt;"PARIU U4,5",M283="",AP283="",AG283=""),0,IF(M283="UNDER",AP283*(AG283-1),-AP283))</x:f>
        <x:v>0</x:v>
      </x:c>
      <x:c r="AR283" s="51"/>
    </x:row>
    <x:row r="284">
      <x:c r="A284" s="9" t="str">
        <x:f>IF(D284="","",ROW()-1)</x:f>
      </x:c>
      <x:c r="B284" s="51"/>
      <x:c r="C284" s="51"/>
      <x:c r="D284" s="51"/>
      <x:c r="E284" s="9" t="str">
        <x:f>IF(D284="","",IF(AND(F284&lt;='Calibrare v2'!$B$33,G284&gt;=0.86),"DA – FEZABIL",IF(G284&gt;=0.8,"DA – PRUDENT","NU – EVITĂ")))</x:f>
      </x:c>
      <x:c r="F284" s="16" t="str">
        <x:f>IF(OR(W284="",X284=""),"",W284+X284)</x:f>
      </x:c>
      <x:c r="G284" s="28" t="str">
        <x:f>IF(F284="","",EXP(-F284)*(1+F284+F284^2/2+F284^3/6+F284^4/24))</x:f>
      </x:c>
      <x:c r="H284" s="53"/>
      <x:c r="I284" s="9" t="str">
        <x:f>IF(F284="","",IF(F284&lt;='Calibrare v2'!$B$33,"PASS","FAIL"))</x:f>
      </x:c>
      <x:c r="J284" s="51"/>
      <x:c r="K284" s="51"/>
      <x:c r="L284" s="9" t="str">
        <x:f>IF(OR(J284="",K284=""),"",J284+K284)</x:f>
      </x:c>
      <x:c r="M284" s="9" t="str">
        <x:f>IF(L284="","",IF(L284&lt;=4,"UNDER","OVER"))</x:f>
      </x:c>
      <x:c r="N284" s="9" t="str">
        <x:f>IF(E284="","",IF(LEFT(E284,2)="DA","PARIU U203,5","NO BET"))</x:f>
      </x:c>
      <x:c r="O284" s="9" t="str">
        <x:f>IF(M284="","",IF(AM284="PARIU U203,5",IF(M284="UNDER","SUCCES","EȘEC"),IF(M284="UNDER","FALS NEGATIV","EVITARE CORECTĂ")))</x:f>
      </x:c>
      <x:c r="P284" s="9" t="str">
        <x:f>IF(M284="","",IF(M284="UNDER",1,0))</x:f>
      </x:c>
      <x:c r="Q284" s="9" t="str">
        <x:f>IF(P284="","",(G284-P284)^2)</x:f>
      </x:c>
      <x:c r="R284" s="9" t="str">
        <x:f>IF(L284="","",L284-F284)</x:f>
      </x:c>
      <x:c r="S284" s="9" t="str">
        <x:f>IF(L284="","",IF(M284="UNDER","U203,5 reușit; total final "&amp;L284&amp;" vs λ="&amp;TEXT(F284,"0.00")&amp;".","Eșec U203,5; total final "&amp;L284&amp;" vs λ="&amp;TEXT(F284,"0.00")&amp;". Revizuiește Tail Risk, sursa λ și calibrarea."))</x:f>
      </x:c>
      <x:c r="T284" s="51"/>
      <x:c r="U284" s="51"/>
      <x:c r="V284" s="51"/>
      <x:c r="W284" s="61"/>
      <x:c r="X284" s="61"/>
      <x:c r="Y284" s="51"/>
      <x:c r="Z284" s="53"/>
      <x:c r="AA284" s="51"/>
      <x:c r="AB284" s="64" t="str">
        <x:f>IF(AC284="","",AC284)</x:f>
      </x:c>
      <x:c r="AC284" s="67"/>
      <x:c r="AD284" s="69" t="str">
        <x:f>IF(AE284="","",AE284)</x:f>
      </x:c>
      <x:c r="AE284" s="71"/>
      <x:c r="AF284" s="73" t="str">
        <x:f>IF(AC284="","",1/AC284)</x:f>
      </x:c>
      <x:c r="AG284" s="61"/>
      <x:c r="AH284" s="61"/>
      <x:c r="AI284" s="64" t="str">
        <x:f>IF(OR(AC284="",AG284=""),"",AC284*AG284-1)</x:f>
      </x:c>
      <x:c r="AJ284" s="75" t="str">
        <x:f>IF(OR(G284="",F284=""),"",IF(AND(G284&gt;='Calibrare v2'!$B$35,F284&lt;='Calibrare v2'!$B$34),"PASS","FAIL"))</x:f>
      </x:c>
      <x:c r="AK284" s="75" t="str">
        <x:f>IF(AL284="","",AL284)</x:f>
      </x:c>
      <x:c r="AL284" s="77"/>
      <x:c r="AM284" s="77"/>
      <x:c r="AN284" s="64" t="str">
        <x:f>IF(OR(AC284="",P284=""),"",(AC284-P284)^2)</x:f>
      </x:c>
      <x:c r="AO284" s="64" t="str">
        <x:f>IF(OR(AG284="",AH284=""),"",AG284/AH284-1)</x:f>
      </x:c>
      <x:c r="AP284" s="61"/>
      <x:c r="AQ284" s="73" t="n">
        <x:f>IF(OR(AM284&lt;&gt;"PARIU U4,5",M284="",AP284="",AG284=""),0,IF(M284="UNDER",AP284*(AG284-1),-AP284))</x:f>
        <x:v>0</x:v>
      </x:c>
      <x:c r="AR284" s="51"/>
    </x:row>
    <x:row r="285">
      <x:c r="A285" s="9" t="str">
        <x:f>IF(D285="","",ROW()-1)</x:f>
      </x:c>
      <x:c r="B285" s="51"/>
      <x:c r="C285" s="51"/>
      <x:c r="D285" s="51"/>
      <x:c r="E285" s="9" t="str">
        <x:f>IF(D285="","",IF(AND(F285&lt;='Calibrare v2'!$B$33,G285&gt;=0.86),"DA – FEZABIL",IF(G285&gt;=0.8,"DA – PRUDENT","NU – EVITĂ")))</x:f>
      </x:c>
      <x:c r="F285" s="16" t="str">
        <x:f>IF(OR(W285="",X285=""),"",W285+X285)</x:f>
      </x:c>
      <x:c r="G285" s="28" t="str">
        <x:f>IF(F285="","",EXP(-F285)*(1+F285+F285^2/2+F285^3/6+F285^4/24))</x:f>
      </x:c>
      <x:c r="H285" s="53"/>
      <x:c r="I285" s="9" t="str">
        <x:f>IF(F285="","",IF(F285&lt;='Calibrare v2'!$B$33,"PASS","FAIL"))</x:f>
      </x:c>
      <x:c r="J285" s="51"/>
      <x:c r="K285" s="51"/>
      <x:c r="L285" s="9" t="str">
        <x:f>IF(OR(J285="",K285=""),"",J285+K285)</x:f>
      </x:c>
      <x:c r="M285" s="9" t="str">
        <x:f>IF(L285="","",IF(L285&lt;=4,"UNDER","OVER"))</x:f>
      </x:c>
      <x:c r="N285" s="9" t="str">
        <x:f>IF(E285="","",IF(LEFT(E285,2)="DA","PARIU U204,5","NO BET"))</x:f>
      </x:c>
      <x:c r="O285" s="9" t="str">
        <x:f>IF(M285="","",IF(AM285="PARIU U204,5",IF(M285="UNDER","SUCCES","EȘEC"),IF(M285="UNDER","FALS NEGATIV","EVITARE CORECTĂ")))</x:f>
      </x:c>
      <x:c r="P285" s="9" t="str">
        <x:f>IF(M285="","",IF(M285="UNDER",1,0))</x:f>
      </x:c>
      <x:c r="Q285" s="9" t="str">
        <x:f>IF(P285="","",(G285-P285)^2)</x:f>
      </x:c>
      <x:c r="R285" s="9" t="str">
        <x:f>IF(L285="","",L285-F285)</x:f>
      </x:c>
      <x:c r="S285" s="9" t="str">
        <x:f>IF(L285="","",IF(M285="UNDER","U204,5 reușit; total final "&amp;L285&amp;" vs λ="&amp;TEXT(F285,"0.00")&amp;".","Eșec U204,5; total final "&amp;L285&amp;" vs λ="&amp;TEXT(F285,"0.00")&amp;". Revizuiește Tail Risk, sursa λ și calibrarea."))</x:f>
      </x:c>
      <x:c r="T285" s="51"/>
      <x:c r="U285" s="51"/>
      <x:c r="V285" s="51"/>
      <x:c r="W285" s="61"/>
      <x:c r="X285" s="61"/>
      <x:c r="Y285" s="51"/>
      <x:c r="Z285" s="53"/>
      <x:c r="AA285" s="51"/>
      <x:c r="AB285" s="64" t="str">
        <x:f>IF(AC285="","",AC285)</x:f>
      </x:c>
      <x:c r="AC285" s="67"/>
      <x:c r="AD285" s="69" t="str">
        <x:f>IF(AE285="","",AE285)</x:f>
      </x:c>
      <x:c r="AE285" s="71"/>
      <x:c r="AF285" s="73" t="str">
        <x:f>IF(AC285="","",1/AC285)</x:f>
      </x:c>
      <x:c r="AG285" s="61"/>
      <x:c r="AH285" s="61"/>
      <x:c r="AI285" s="64" t="str">
        <x:f>IF(OR(AC285="",AG285=""),"",AC285*AG285-1)</x:f>
      </x:c>
      <x:c r="AJ285" s="75" t="str">
        <x:f>IF(OR(G285="",F285=""),"",IF(AND(G285&gt;='Calibrare v2'!$B$35,F285&lt;='Calibrare v2'!$B$34),"PASS","FAIL"))</x:f>
      </x:c>
      <x:c r="AK285" s="75" t="str">
        <x:f>IF(AL285="","",AL285)</x:f>
      </x:c>
      <x:c r="AL285" s="77"/>
      <x:c r="AM285" s="77"/>
      <x:c r="AN285" s="64" t="str">
        <x:f>IF(OR(AC285="",P285=""),"",(AC285-P285)^2)</x:f>
      </x:c>
      <x:c r="AO285" s="64" t="str">
        <x:f>IF(OR(AG285="",AH285=""),"",AG285/AH285-1)</x:f>
      </x:c>
      <x:c r="AP285" s="61"/>
      <x:c r="AQ285" s="73" t="n">
        <x:f>IF(OR(AM285&lt;&gt;"PARIU U4,5",M285="",AP285="",AG285=""),0,IF(M285="UNDER",AP285*(AG285-1),-AP285))</x:f>
        <x:v>0</x:v>
      </x:c>
      <x:c r="AR285" s="51"/>
    </x:row>
    <x:row r="286">
      <x:c r="A286" s="9" t="str">
        <x:f>IF(D286="","",ROW()-1)</x:f>
      </x:c>
      <x:c r="B286" s="51"/>
      <x:c r="C286" s="51"/>
      <x:c r="D286" s="51"/>
      <x:c r="E286" s="9" t="str">
        <x:f>IF(D286="","",IF(AND(F286&lt;='Calibrare v2'!$B$33,G286&gt;=0.86),"DA – FEZABIL",IF(G286&gt;=0.8,"DA – PRUDENT","NU – EVITĂ")))</x:f>
      </x:c>
      <x:c r="F286" s="16" t="str">
        <x:f>IF(OR(W286="",X286=""),"",W286+X286)</x:f>
      </x:c>
      <x:c r="G286" s="28" t="str">
        <x:f>IF(F286="","",EXP(-F286)*(1+F286+F286^2/2+F286^3/6+F286^4/24))</x:f>
      </x:c>
      <x:c r="H286" s="53"/>
      <x:c r="I286" s="9" t="str">
        <x:f>IF(F286="","",IF(F286&lt;='Calibrare v2'!$B$33,"PASS","FAIL"))</x:f>
      </x:c>
      <x:c r="J286" s="51"/>
      <x:c r="K286" s="51"/>
      <x:c r="L286" s="9" t="str">
        <x:f>IF(OR(J286="",K286=""),"",J286+K286)</x:f>
      </x:c>
      <x:c r="M286" s="9" t="str">
        <x:f>IF(L286="","",IF(L286&lt;=4,"UNDER","OVER"))</x:f>
      </x:c>
      <x:c r="N286" s="9" t="str">
        <x:f>IF(E286="","",IF(LEFT(E286,2)="DA","PARIU U205,5","NO BET"))</x:f>
      </x:c>
      <x:c r="O286" s="9" t="str">
        <x:f>IF(M286="","",IF(AM286="PARIU U205,5",IF(M286="UNDER","SUCCES","EȘEC"),IF(M286="UNDER","FALS NEGATIV","EVITARE CORECTĂ")))</x:f>
      </x:c>
      <x:c r="P286" s="9" t="str">
        <x:f>IF(M286="","",IF(M286="UNDER",1,0))</x:f>
      </x:c>
      <x:c r="Q286" s="9" t="str">
        <x:f>IF(P286="","",(G286-P286)^2)</x:f>
      </x:c>
      <x:c r="R286" s="9" t="str">
        <x:f>IF(L286="","",L286-F286)</x:f>
      </x:c>
      <x:c r="S286" s="9" t="str">
        <x:f>IF(L286="","",IF(M286="UNDER","U205,5 reușit; total final "&amp;L286&amp;" vs λ="&amp;TEXT(F286,"0.00")&amp;".","Eșec U205,5; total final "&amp;L286&amp;" vs λ="&amp;TEXT(F286,"0.00")&amp;". Revizuiește Tail Risk, sursa λ și calibrarea."))</x:f>
      </x:c>
      <x:c r="T286" s="51"/>
      <x:c r="U286" s="51"/>
      <x:c r="V286" s="51"/>
      <x:c r="W286" s="61"/>
      <x:c r="X286" s="61"/>
      <x:c r="Y286" s="51"/>
      <x:c r="Z286" s="53"/>
      <x:c r="AA286" s="51"/>
      <x:c r="AB286" s="64" t="str">
        <x:f>IF(AC286="","",AC286)</x:f>
      </x:c>
      <x:c r="AC286" s="67"/>
      <x:c r="AD286" s="69" t="str">
        <x:f>IF(AE286="","",AE286)</x:f>
      </x:c>
      <x:c r="AE286" s="71"/>
      <x:c r="AF286" s="73" t="str">
        <x:f>IF(AC286="","",1/AC286)</x:f>
      </x:c>
      <x:c r="AG286" s="61"/>
      <x:c r="AH286" s="61"/>
      <x:c r="AI286" s="64" t="str">
        <x:f>IF(OR(AC286="",AG286=""),"",AC286*AG286-1)</x:f>
      </x:c>
      <x:c r="AJ286" s="75" t="str">
        <x:f>IF(OR(G286="",F286=""),"",IF(AND(G286&gt;='Calibrare v2'!$B$35,F286&lt;='Calibrare v2'!$B$34),"PASS","FAIL"))</x:f>
      </x:c>
      <x:c r="AK286" s="75" t="str">
        <x:f>IF(AL286="","",AL286)</x:f>
      </x:c>
      <x:c r="AL286" s="77"/>
      <x:c r="AM286" s="77"/>
      <x:c r="AN286" s="64" t="str">
        <x:f>IF(OR(AC286="",P286=""),"",(AC286-P286)^2)</x:f>
      </x:c>
      <x:c r="AO286" s="64" t="str">
        <x:f>IF(OR(AG286="",AH286=""),"",AG286/AH286-1)</x:f>
      </x:c>
      <x:c r="AP286" s="61"/>
      <x:c r="AQ286" s="73" t="n">
        <x:f>IF(OR(AM286&lt;&gt;"PARIU U4,5",M286="",AP286="",AG286=""),0,IF(M286="UNDER",AP286*(AG286-1),-AP286))</x:f>
        <x:v>0</x:v>
      </x:c>
      <x:c r="AR286" s="51"/>
    </x:row>
    <x:row r="287">
      <x:c r="A287" s="9" t="str">
        <x:f>IF(D287="","",ROW()-1)</x:f>
      </x:c>
      <x:c r="B287" s="51"/>
      <x:c r="C287" s="51"/>
      <x:c r="D287" s="51"/>
      <x:c r="E287" s="9" t="str">
        <x:f>IF(D287="","",IF(AND(F287&lt;='Calibrare v2'!$B$33,G287&gt;=0.86),"DA – FEZABIL",IF(G287&gt;=0.8,"DA – PRUDENT","NU – EVITĂ")))</x:f>
      </x:c>
      <x:c r="F287" s="16" t="str">
        <x:f>IF(OR(W287="",X287=""),"",W287+X287)</x:f>
      </x:c>
      <x:c r="G287" s="28" t="str">
        <x:f>IF(F287="","",EXP(-F287)*(1+F287+F287^2/2+F287^3/6+F287^4/24))</x:f>
      </x:c>
      <x:c r="H287" s="53"/>
      <x:c r="I287" s="9" t="str">
        <x:f>IF(F287="","",IF(F287&lt;='Calibrare v2'!$B$33,"PASS","FAIL"))</x:f>
      </x:c>
      <x:c r="J287" s="51"/>
      <x:c r="K287" s="51"/>
      <x:c r="L287" s="9" t="str">
        <x:f>IF(OR(J287="",K287=""),"",J287+K287)</x:f>
      </x:c>
      <x:c r="M287" s="9" t="str">
        <x:f>IF(L287="","",IF(L287&lt;=4,"UNDER","OVER"))</x:f>
      </x:c>
      <x:c r="N287" s="9" t="str">
        <x:f>IF(E287="","",IF(LEFT(E287,2)="DA","PARIU U206,5","NO BET"))</x:f>
      </x:c>
      <x:c r="O287" s="9" t="str">
        <x:f>IF(M287="","",IF(AM287="PARIU U206,5",IF(M287="UNDER","SUCCES","EȘEC"),IF(M287="UNDER","FALS NEGATIV","EVITARE CORECTĂ")))</x:f>
      </x:c>
      <x:c r="P287" s="9" t="str">
        <x:f>IF(M287="","",IF(M287="UNDER",1,0))</x:f>
      </x:c>
      <x:c r="Q287" s="9" t="str">
        <x:f>IF(P287="","",(G287-P287)^2)</x:f>
      </x:c>
      <x:c r="R287" s="9" t="str">
        <x:f>IF(L287="","",L287-F287)</x:f>
      </x:c>
      <x:c r="S287" s="9" t="str">
        <x:f>IF(L287="","",IF(M287="UNDER","U206,5 reușit; total final "&amp;L287&amp;" vs λ="&amp;TEXT(F287,"0.00")&amp;".","Eșec U206,5; total final "&amp;L287&amp;" vs λ="&amp;TEXT(F287,"0.00")&amp;". Revizuiește Tail Risk, sursa λ și calibrarea."))</x:f>
      </x:c>
      <x:c r="T287" s="51"/>
      <x:c r="U287" s="51"/>
      <x:c r="V287" s="51"/>
      <x:c r="W287" s="61"/>
      <x:c r="X287" s="61"/>
      <x:c r="Y287" s="51"/>
      <x:c r="Z287" s="53"/>
      <x:c r="AA287" s="51"/>
      <x:c r="AB287" s="64" t="str">
        <x:f>IF(AC287="","",AC287)</x:f>
      </x:c>
      <x:c r="AC287" s="67"/>
      <x:c r="AD287" s="69" t="str">
        <x:f>IF(AE287="","",AE287)</x:f>
      </x:c>
      <x:c r="AE287" s="71"/>
      <x:c r="AF287" s="73" t="str">
        <x:f>IF(AC287="","",1/AC287)</x:f>
      </x:c>
      <x:c r="AG287" s="61"/>
      <x:c r="AH287" s="61"/>
      <x:c r="AI287" s="64" t="str">
        <x:f>IF(OR(AC287="",AG287=""),"",AC287*AG287-1)</x:f>
      </x:c>
      <x:c r="AJ287" s="75" t="str">
        <x:f>IF(OR(G287="",F287=""),"",IF(AND(G287&gt;='Calibrare v2'!$B$35,F287&lt;='Calibrare v2'!$B$34),"PASS","FAIL"))</x:f>
      </x:c>
      <x:c r="AK287" s="75" t="str">
        <x:f>IF(AL287="","",AL287)</x:f>
      </x:c>
      <x:c r="AL287" s="77"/>
      <x:c r="AM287" s="77"/>
      <x:c r="AN287" s="64" t="str">
        <x:f>IF(OR(AC287="",P287=""),"",(AC287-P287)^2)</x:f>
      </x:c>
      <x:c r="AO287" s="64" t="str">
        <x:f>IF(OR(AG287="",AH287=""),"",AG287/AH287-1)</x:f>
      </x:c>
      <x:c r="AP287" s="61"/>
      <x:c r="AQ287" s="73" t="n">
        <x:f>IF(OR(AM287&lt;&gt;"PARIU U4,5",M287="",AP287="",AG287=""),0,IF(M287="UNDER",AP287*(AG287-1),-AP287))</x:f>
        <x:v>0</x:v>
      </x:c>
      <x:c r="AR287" s="51"/>
    </x:row>
    <x:row r="288">
      <x:c r="A288" s="9" t="str">
        <x:f>IF(D288="","",ROW()-1)</x:f>
      </x:c>
      <x:c r="B288" s="51"/>
      <x:c r="C288" s="51"/>
      <x:c r="D288" s="51"/>
      <x:c r="E288" s="9" t="str">
        <x:f>IF(D288="","",IF(AND(F288&lt;='Calibrare v2'!$B$33,G288&gt;=0.86),"DA – FEZABIL",IF(G288&gt;=0.8,"DA – PRUDENT","NU – EVITĂ")))</x:f>
      </x:c>
      <x:c r="F288" s="16" t="str">
        <x:f>IF(OR(W288="",X288=""),"",W288+X288)</x:f>
      </x:c>
      <x:c r="G288" s="28" t="str">
        <x:f>IF(F288="","",EXP(-F288)*(1+F288+F288^2/2+F288^3/6+F288^4/24))</x:f>
      </x:c>
      <x:c r="H288" s="53"/>
      <x:c r="I288" s="9" t="str">
        <x:f>IF(F288="","",IF(F288&lt;='Calibrare v2'!$B$33,"PASS","FAIL"))</x:f>
      </x:c>
      <x:c r="J288" s="51"/>
      <x:c r="K288" s="51"/>
      <x:c r="L288" s="9" t="str">
        <x:f>IF(OR(J288="",K288=""),"",J288+K288)</x:f>
      </x:c>
      <x:c r="M288" s="9" t="str">
        <x:f>IF(L288="","",IF(L288&lt;=4,"UNDER","OVER"))</x:f>
      </x:c>
      <x:c r="N288" s="9" t="str">
        <x:f>IF(E288="","",IF(LEFT(E288,2)="DA","PARIU U207,5","NO BET"))</x:f>
      </x:c>
      <x:c r="O288" s="9" t="str">
        <x:f>IF(M288="","",IF(AM288="PARIU U207,5",IF(M288="UNDER","SUCCES","EȘEC"),IF(M288="UNDER","FALS NEGATIV","EVITARE CORECTĂ")))</x:f>
      </x:c>
      <x:c r="P288" s="9" t="str">
        <x:f>IF(M288="","",IF(M288="UNDER",1,0))</x:f>
      </x:c>
      <x:c r="Q288" s="9" t="str">
        <x:f>IF(P288="","",(G288-P288)^2)</x:f>
      </x:c>
      <x:c r="R288" s="9" t="str">
        <x:f>IF(L288="","",L288-F288)</x:f>
      </x:c>
      <x:c r="S288" s="9" t="str">
        <x:f>IF(L288="","",IF(M288="UNDER","U207,5 reușit; total final "&amp;L288&amp;" vs λ="&amp;TEXT(F288,"0.00")&amp;".","Eșec U207,5; total final "&amp;L288&amp;" vs λ="&amp;TEXT(F288,"0.00")&amp;". Revizuiește Tail Risk, sursa λ și calibrarea."))</x:f>
      </x:c>
      <x:c r="T288" s="51"/>
      <x:c r="U288" s="51"/>
      <x:c r="V288" s="51"/>
      <x:c r="W288" s="61"/>
      <x:c r="X288" s="61"/>
      <x:c r="Y288" s="51"/>
      <x:c r="Z288" s="53"/>
      <x:c r="AA288" s="51"/>
      <x:c r="AB288" s="64" t="str">
        <x:f>IF(AC288="","",AC288)</x:f>
      </x:c>
      <x:c r="AC288" s="67"/>
      <x:c r="AD288" s="69" t="str">
        <x:f>IF(AE288="","",AE288)</x:f>
      </x:c>
      <x:c r="AE288" s="71"/>
      <x:c r="AF288" s="73" t="str">
        <x:f>IF(AC288="","",1/AC288)</x:f>
      </x:c>
      <x:c r="AG288" s="61"/>
      <x:c r="AH288" s="61"/>
      <x:c r="AI288" s="64" t="str">
        <x:f>IF(OR(AC288="",AG288=""),"",AC288*AG288-1)</x:f>
      </x:c>
      <x:c r="AJ288" s="75" t="str">
        <x:f>IF(OR(G288="",F288=""),"",IF(AND(G288&gt;='Calibrare v2'!$B$35,F288&lt;='Calibrare v2'!$B$34),"PASS","FAIL"))</x:f>
      </x:c>
      <x:c r="AK288" s="75" t="str">
        <x:f>IF(AL288="","",AL288)</x:f>
      </x:c>
      <x:c r="AL288" s="77"/>
      <x:c r="AM288" s="77"/>
      <x:c r="AN288" s="64" t="str">
        <x:f>IF(OR(AC288="",P288=""),"",(AC288-P288)^2)</x:f>
      </x:c>
      <x:c r="AO288" s="64" t="str">
        <x:f>IF(OR(AG288="",AH288=""),"",AG288/AH288-1)</x:f>
      </x:c>
      <x:c r="AP288" s="61"/>
      <x:c r="AQ288" s="73" t="n">
        <x:f>IF(OR(AM288&lt;&gt;"PARIU U4,5",M288="",AP288="",AG288=""),0,IF(M288="UNDER",AP288*(AG288-1),-AP288))</x:f>
        <x:v>0</x:v>
      </x:c>
      <x:c r="AR288" s="51"/>
    </x:row>
    <x:row r="289">
      <x:c r="A289" s="9" t="str">
        <x:f>IF(D289="","",ROW()-1)</x:f>
      </x:c>
      <x:c r="B289" s="51"/>
      <x:c r="C289" s="51"/>
      <x:c r="D289" s="51"/>
      <x:c r="E289" s="9" t="str">
        <x:f>IF(D289="","",IF(AND(F289&lt;='Calibrare v2'!$B$33,G289&gt;=0.86),"DA – FEZABIL",IF(G289&gt;=0.8,"DA – PRUDENT","NU – EVITĂ")))</x:f>
      </x:c>
      <x:c r="F289" s="16" t="str">
        <x:f>IF(OR(W289="",X289=""),"",W289+X289)</x:f>
      </x:c>
      <x:c r="G289" s="28" t="str">
        <x:f>IF(F289="","",EXP(-F289)*(1+F289+F289^2/2+F289^3/6+F289^4/24))</x:f>
      </x:c>
      <x:c r="H289" s="53"/>
      <x:c r="I289" s="9" t="str">
        <x:f>IF(F289="","",IF(F289&lt;='Calibrare v2'!$B$33,"PASS","FAIL"))</x:f>
      </x:c>
      <x:c r="J289" s="51"/>
      <x:c r="K289" s="51"/>
      <x:c r="L289" s="9" t="str">
        <x:f>IF(OR(J289="",K289=""),"",J289+K289)</x:f>
      </x:c>
      <x:c r="M289" s="9" t="str">
        <x:f>IF(L289="","",IF(L289&lt;=4,"UNDER","OVER"))</x:f>
      </x:c>
      <x:c r="N289" s="9" t="str">
        <x:f>IF(E289="","",IF(LEFT(E289,2)="DA","PARIU U208,5","NO BET"))</x:f>
      </x:c>
      <x:c r="O289" s="9" t="str">
        <x:f>IF(M289="","",IF(AM289="PARIU U208,5",IF(M289="UNDER","SUCCES","EȘEC"),IF(M289="UNDER","FALS NEGATIV","EVITARE CORECTĂ")))</x:f>
      </x:c>
      <x:c r="P289" s="9" t="str">
        <x:f>IF(M289="","",IF(M289="UNDER",1,0))</x:f>
      </x:c>
      <x:c r="Q289" s="9" t="str">
        <x:f>IF(P289="","",(G289-P289)^2)</x:f>
      </x:c>
      <x:c r="R289" s="9" t="str">
        <x:f>IF(L289="","",L289-F289)</x:f>
      </x:c>
      <x:c r="S289" s="9" t="str">
        <x:f>IF(L289="","",IF(M289="UNDER","U208,5 reușit; total final "&amp;L289&amp;" vs λ="&amp;TEXT(F289,"0.00")&amp;".","Eșec U208,5; total final "&amp;L289&amp;" vs λ="&amp;TEXT(F289,"0.00")&amp;". Revizuiește Tail Risk, sursa λ și calibrarea."))</x:f>
      </x:c>
      <x:c r="T289" s="51"/>
      <x:c r="U289" s="51"/>
      <x:c r="V289" s="51"/>
      <x:c r="W289" s="61"/>
      <x:c r="X289" s="61"/>
      <x:c r="Y289" s="51"/>
      <x:c r="Z289" s="53"/>
      <x:c r="AA289" s="51"/>
      <x:c r="AB289" s="64" t="str">
        <x:f>IF(AC289="","",AC289)</x:f>
      </x:c>
      <x:c r="AC289" s="67"/>
      <x:c r="AD289" s="69" t="str">
        <x:f>IF(AE289="","",AE289)</x:f>
      </x:c>
      <x:c r="AE289" s="71"/>
      <x:c r="AF289" s="73" t="str">
        <x:f>IF(AC289="","",1/AC289)</x:f>
      </x:c>
      <x:c r="AG289" s="61"/>
      <x:c r="AH289" s="61"/>
      <x:c r="AI289" s="64" t="str">
        <x:f>IF(OR(AC289="",AG289=""),"",AC289*AG289-1)</x:f>
      </x:c>
      <x:c r="AJ289" s="75" t="str">
        <x:f>IF(OR(G289="",F289=""),"",IF(AND(G289&gt;='Calibrare v2'!$B$35,F289&lt;='Calibrare v2'!$B$34),"PASS","FAIL"))</x:f>
      </x:c>
      <x:c r="AK289" s="75" t="str">
        <x:f>IF(AL289="","",AL289)</x:f>
      </x:c>
      <x:c r="AL289" s="77"/>
      <x:c r="AM289" s="77"/>
      <x:c r="AN289" s="64" t="str">
        <x:f>IF(OR(AC289="",P289=""),"",(AC289-P289)^2)</x:f>
      </x:c>
      <x:c r="AO289" s="64" t="str">
        <x:f>IF(OR(AG289="",AH289=""),"",AG289/AH289-1)</x:f>
      </x:c>
      <x:c r="AP289" s="61"/>
      <x:c r="AQ289" s="73" t="n">
        <x:f>IF(OR(AM289&lt;&gt;"PARIU U4,5",M289="",AP289="",AG289=""),0,IF(M289="UNDER",AP289*(AG289-1),-AP289))</x:f>
        <x:v>0</x:v>
      </x:c>
      <x:c r="AR289" s="51"/>
    </x:row>
    <x:row r="290">
      <x:c r="A290" s="9" t="str">
        <x:f>IF(D290="","",ROW()-1)</x:f>
      </x:c>
      <x:c r="B290" s="51"/>
      <x:c r="C290" s="51"/>
      <x:c r="D290" s="51"/>
      <x:c r="E290" s="9" t="str">
        <x:f>IF(D290="","",IF(AND(F290&lt;='Calibrare v2'!$B$33,G290&gt;=0.86),"DA – FEZABIL",IF(G290&gt;=0.8,"DA – PRUDENT","NU – EVITĂ")))</x:f>
      </x:c>
      <x:c r="F290" s="16" t="str">
        <x:f>IF(OR(W290="",X290=""),"",W290+X290)</x:f>
      </x:c>
      <x:c r="G290" s="28" t="str">
        <x:f>IF(F290="","",EXP(-F290)*(1+F290+F290^2/2+F290^3/6+F290^4/24))</x:f>
      </x:c>
      <x:c r="H290" s="53"/>
      <x:c r="I290" s="9" t="str">
        <x:f>IF(F290="","",IF(F290&lt;='Calibrare v2'!$B$33,"PASS","FAIL"))</x:f>
      </x:c>
      <x:c r="J290" s="51"/>
      <x:c r="K290" s="51"/>
      <x:c r="L290" s="9" t="str">
        <x:f>IF(OR(J290="",K290=""),"",J290+K290)</x:f>
      </x:c>
      <x:c r="M290" s="9" t="str">
        <x:f>IF(L290="","",IF(L290&lt;=4,"UNDER","OVER"))</x:f>
      </x:c>
      <x:c r="N290" s="9" t="str">
        <x:f>IF(E290="","",IF(LEFT(E290,2)="DA","PARIU U209,5","NO BET"))</x:f>
      </x:c>
      <x:c r="O290" s="9" t="str">
        <x:f>IF(M290="","",IF(AM290="PARIU U209,5",IF(M290="UNDER","SUCCES","EȘEC"),IF(M290="UNDER","FALS NEGATIV","EVITARE CORECTĂ")))</x:f>
      </x:c>
      <x:c r="P290" s="9" t="str">
        <x:f>IF(M290="","",IF(M290="UNDER",1,0))</x:f>
      </x:c>
      <x:c r="Q290" s="9" t="str">
        <x:f>IF(P290="","",(G290-P290)^2)</x:f>
      </x:c>
      <x:c r="R290" s="9" t="str">
        <x:f>IF(L290="","",L290-F290)</x:f>
      </x:c>
      <x:c r="S290" s="9" t="str">
        <x:f>IF(L290="","",IF(M290="UNDER","U209,5 reușit; total final "&amp;L290&amp;" vs λ="&amp;TEXT(F290,"0.00")&amp;".","Eșec U209,5; total final "&amp;L290&amp;" vs λ="&amp;TEXT(F290,"0.00")&amp;". Revizuiește Tail Risk, sursa λ și calibrarea."))</x:f>
      </x:c>
      <x:c r="T290" s="51"/>
      <x:c r="U290" s="51"/>
      <x:c r="V290" s="51"/>
      <x:c r="W290" s="61"/>
      <x:c r="X290" s="61"/>
      <x:c r="Y290" s="51"/>
      <x:c r="Z290" s="53"/>
      <x:c r="AA290" s="51"/>
      <x:c r="AB290" s="64" t="str">
        <x:f>IF(AC290="","",AC290)</x:f>
      </x:c>
      <x:c r="AC290" s="67"/>
      <x:c r="AD290" s="69" t="str">
        <x:f>IF(AE290="","",AE290)</x:f>
      </x:c>
      <x:c r="AE290" s="71"/>
      <x:c r="AF290" s="73" t="str">
        <x:f>IF(AC290="","",1/AC290)</x:f>
      </x:c>
      <x:c r="AG290" s="61"/>
      <x:c r="AH290" s="61"/>
      <x:c r="AI290" s="64" t="str">
        <x:f>IF(OR(AC290="",AG290=""),"",AC290*AG290-1)</x:f>
      </x:c>
      <x:c r="AJ290" s="75" t="str">
        <x:f>IF(OR(G290="",F290=""),"",IF(AND(G290&gt;='Calibrare v2'!$B$35,F290&lt;='Calibrare v2'!$B$34),"PASS","FAIL"))</x:f>
      </x:c>
      <x:c r="AK290" s="75" t="str">
        <x:f>IF(AL290="","",AL290)</x:f>
      </x:c>
      <x:c r="AL290" s="77"/>
      <x:c r="AM290" s="77"/>
      <x:c r="AN290" s="64" t="str">
        <x:f>IF(OR(AC290="",P290=""),"",(AC290-P290)^2)</x:f>
      </x:c>
      <x:c r="AO290" s="64" t="str">
        <x:f>IF(OR(AG290="",AH290=""),"",AG290/AH290-1)</x:f>
      </x:c>
      <x:c r="AP290" s="61"/>
      <x:c r="AQ290" s="73" t="n">
        <x:f>IF(OR(AM290&lt;&gt;"PARIU U4,5",M290="",AP290="",AG290=""),0,IF(M290="UNDER",AP290*(AG290-1),-AP290))</x:f>
        <x:v>0</x:v>
      </x:c>
      <x:c r="AR290" s="51"/>
    </x:row>
    <x:row r="291">
      <x:c r="A291" s="9" t="str">
        <x:f>IF(D291="","",ROW()-1)</x:f>
      </x:c>
      <x:c r="B291" s="51"/>
      <x:c r="C291" s="51"/>
      <x:c r="D291" s="51"/>
      <x:c r="E291" s="9" t="str">
        <x:f>IF(D291="","",IF(AND(F291&lt;='Calibrare v2'!$B$33,G291&gt;=0.86),"DA – FEZABIL",IF(G291&gt;=0.8,"DA – PRUDENT","NU – EVITĂ")))</x:f>
      </x:c>
      <x:c r="F291" s="16" t="str">
        <x:f>IF(OR(W291="",X291=""),"",W291+X291)</x:f>
      </x:c>
      <x:c r="G291" s="28" t="str">
        <x:f>IF(F291="","",EXP(-F291)*(1+F291+F291^2/2+F291^3/6+F291^4/24))</x:f>
      </x:c>
      <x:c r="H291" s="53"/>
      <x:c r="I291" s="9" t="str">
        <x:f>IF(F291="","",IF(F291&lt;='Calibrare v2'!$B$33,"PASS","FAIL"))</x:f>
      </x:c>
      <x:c r="J291" s="51"/>
      <x:c r="K291" s="51"/>
      <x:c r="L291" s="9" t="str">
        <x:f>IF(OR(J291="",K291=""),"",J291+K291)</x:f>
      </x:c>
      <x:c r="M291" s="9" t="str">
        <x:f>IF(L291="","",IF(L291&lt;=4,"UNDER","OVER"))</x:f>
      </x:c>
      <x:c r="N291" s="9" t="str">
        <x:f>IF(E291="","",IF(LEFT(E291,2)="DA","PARIU U210,5","NO BET"))</x:f>
      </x:c>
      <x:c r="O291" s="9" t="str">
        <x:f>IF(M291="","",IF(AM291="PARIU U210,5",IF(M291="UNDER","SUCCES","EȘEC"),IF(M291="UNDER","FALS NEGATIV","EVITARE CORECTĂ")))</x:f>
      </x:c>
      <x:c r="P291" s="9" t="str">
        <x:f>IF(M291="","",IF(M291="UNDER",1,0))</x:f>
      </x:c>
      <x:c r="Q291" s="9" t="str">
        <x:f>IF(P291="","",(G291-P291)^2)</x:f>
      </x:c>
      <x:c r="R291" s="9" t="str">
        <x:f>IF(L291="","",L291-F291)</x:f>
      </x:c>
      <x:c r="S291" s="9" t="str">
        <x:f>IF(L291="","",IF(M291="UNDER","U210,5 reușit; total final "&amp;L291&amp;" vs λ="&amp;TEXT(F291,"0.00")&amp;".","Eșec U210,5; total final "&amp;L291&amp;" vs λ="&amp;TEXT(F291,"0.00")&amp;". Revizuiește Tail Risk, sursa λ și calibrarea."))</x:f>
      </x:c>
      <x:c r="T291" s="51"/>
      <x:c r="U291" s="51"/>
      <x:c r="V291" s="51"/>
      <x:c r="W291" s="61"/>
      <x:c r="X291" s="61"/>
      <x:c r="Y291" s="51"/>
      <x:c r="Z291" s="53"/>
      <x:c r="AA291" s="51"/>
      <x:c r="AB291" s="64" t="str">
        <x:f>IF(AC291="","",AC291)</x:f>
      </x:c>
      <x:c r="AC291" s="67"/>
      <x:c r="AD291" s="69" t="str">
        <x:f>IF(AE291="","",AE291)</x:f>
      </x:c>
      <x:c r="AE291" s="71"/>
      <x:c r="AF291" s="73" t="str">
        <x:f>IF(AC291="","",1/AC291)</x:f>
      </x:c>
      <x:c r="AG291" s="61"/>
      <x:c r="AH291" s="61"/>
      <x:c r="AI291" s="64" t="str">
        <x:f>IF(OR(AC291="",AG291=""),"",AC291*AG291-1)</x:f>
      </x:c>
      <x:c r="AJ291" s="75" t="str">
        <x:f>IF(OR(G291="",F291=""),"",IF(AND(G291&gt;='Calibrare v2'!$B$35,F291&lt;='Calibrare v2'!$B$34),"PASS","FAIL"))</x:f>
      </x:c>
      <x:c r="AK291" s="75" t="str">
        <x:f>IF(AL291="","",AL291)</x:f>
      </x:c>
      <x:c r="AL291" s="77"/>
      <x:c r="AM291" s="77"/>
      <x:c r="AN291" s="64" t="str">
        <x:f>IF(OR(AC291="",P291=""),"",(AC291-P291)^2)</x:f>
      </x:c>
      <x:c r="AO291" s="64" t="str">
        <x:f>IF(OR(AG291="",AH291=""),"",AG291/AH291-1)</x:f>
      </x:c>
      <x:c r="AP291" s="61"/>
      <x:c r="AQ291" s="73" t="n">
        <x:f>IF(OR(AM291&lt;&gt;"PARIU U4,5",M291="",AP291="",AG291=""),0,IF(M291="UNDER",AP291*(AG291-1),-AP291))</x:f>
        <x:v>0</x:v>
      </x:c>
      <x:c r="AR291" s="51"/>
    </x:row>
    <x:row r="292">
      <x:c r="A292" s="9" t="str">
        <x:f>IF(D292="","",ROW()-1)</x:f>
      </x:c>
      <x:c r="B292" s="51"/>
      <x:c r="C292" s="51"/>
      <x:c r="D292" s="51"/>
      <x:c r="E292" s="9" t="str">
        <x:f>IF(D292="","",IF(AND(F292&lt;='Calibrare v2'!$B$33,G292&gt;=0.86),"DA – FEZABIL",IF(G292&gt;=0.8,"DA – PRUDENT","NU – EVITĂ")))</x:f>
      </x:c>
      <x:c r="F292" s="16" t="str">
        <x:f>IF(OR(W292="",X292=""),"",W292+X292)</x:f>
      </x:c>
      <x:c r="G292" s="28" t="str">
        <x:f>IF(F292="","",EXP(-F292)*(1+F292+F292^2/2+F292^3/6+F292^4/24))</x:f>
      </x:c>
      <x:c r="H292" s="53"/>
      <x:c r="I292" s="9" t="str">
        <x:f>IF(F292="","",IF(F292&lt;='Calibrare v2'!$B$33,"PASS","FAIL"))</x:f>
      </x:c>
      <x:c r="J292" s="51"/>
      <x:c r="K292" s="51"/>
      <x:c r="L292" s="9" t="str">
        <x:f>IF(OR(J292="",K292=""),"",J292+K292)</x:f>
      </x:c>
      <x:c r="M292" s="9" t="str">
        <x:f>IF(L292="","",IF(L292&lt;=4,"UNDER","OVER"))</x:f>
      </x:c>
      <x:c r="N292" s="9" t="str">
        <x:f>IF(E292="","",IF(LEFT(E292,2)="DA","PARIU U211,5","NO BET"))</x:f>
      </x:c>
      <x:c r="O292" s="9" t="str">
        <x:f>IF(M292="","",IF(AM292="PARIU U211,5",IF(M292="UNDER","SUCCES","EȘEC"),IF(M292="UNDER","FALS NEGATIV","EVITARE CORECTĂ")))</x:f>
      </x:c>
      <x:c r="P292" s="9" t="str">
        <x:f>IF(M292="","",IF(M292="UNDER",1,0))</x:f>
      </x:c>
      <x:c r="Q292" s="9" t="str">
        <x:f>IF(P292="","",(G292-P292)^2)</x:f>
      </x:c>
      <x:c r="R292" s="9" t="str">
        <x:f>IF(L292="","",L292-F292)</x:f>
      </x:c>
      <x:c r="S292" s="9" t="str">
        <x:f>IF(L292="","",IF(M292="UNDER","U211,5 reușit; total final "&amp;L292&amp;" vs λ="&amp;TEXT(F292,"0.00")&amp;".","Eșec U211,5; total final "&amp;L292&amp;" vs λ="&amp;TEXT(F292,"0.00")&amp;". Revizuiește Tail Risk, sursa λ și calibrarea."))</x:f>
      </x:c>
      <x:c r="T292" s="51"/>
      <x:c r="U292" s="51"/>
      <x:c r="V292" s="51"/>
      <x:c r="W292" s="61"/>
      <x:c r="X292" s="61"/>
      <x:c r="Y292" s="51"/>
      <x:c r="Z292" s="53"/>
      <x:c r="AA292" s="51"/>
      <x:c r="AB292" s="64" t="str">
        <x:f>IF(AC292="","",AC292)</x:f>
      </x:c>
      <x:c r="AC292" s="67"/>
      <x:c r="AD292" s="69" t="str">
        <x:f>IF(AE292="","",AE292)</x:f>
      </x:c>
      <x:c r="AE292" s="71"/>
      <x:c r="AF292" s="73" t="str">
        <x:f>IF(AC292="","",1/AC292)</x:f>
      </x:c>
      <x:c r="AG292" s="61"/>
      <x:c r="AH292" s="61"/>
      <x:c r="AI292" s="64" t="str">
        <x:f>IF(OR(AC292="",AG292=""),"",AC292*AG292-1)</x:f>
      </x:c>
      <x:c r="AJ292" s="75" t="str">
        <x:f>IF(OR(G292="",F292=""),"",IF(AND(G292&gt;='Calibrare v2'!$B$35,F292&lt;='Calibrare v2'!$B$34),"PASS","FAIL"))</x:f>
      </x:c>
      <x:c r="AK292" s="75" t="str">
        <x:f>IF(AL292="","",AL292)</x:f>
      </x:c>
      <x:c r="AL292" s="77"/>
      <x:c r="AM292" s="77"/>
      <x:c r="AN292" s="64" t="str">
        <x:f>IF(OR(AC292="",P292=""),"",(AC292-P292)^2)</x:f>
      </x:c>
      <x:c r="AO292" s="64" t="str">
        <x:f>IF(OR(AG292="",AH292=""),"",AG292/AH292-1)</x:f>
      </x:c>
      <x:c r="AP292" s="61"/>
      <x:c r="AQ292" s="73" t="n">
        <x:f>IF(OR(AM292&lt;&gt;"PARIU U4,5",M292="",AP292="",AG292=""),0,IF(M292="UNDER",AP292*(AG292-1),-AP292))</x:f>
        <x:v>0</x:v>
      </x:c>
      <x:c r="AR292" s="51"/>
    </x:row>
    <x:row r="293">
      <x:c r="A293" s="9" t="str">
        <x:f>IF(D293="","",ROW()-1)</x:f>
      </x:c>
      <x:c r="B293" s="51"/>
      <x:c r="C293" s="51"/>
      <x:c r="D293" s="51"/>
      <x:c r="E293" s="9" t="str">
        <x:f>IF(D293="","",IF(AND(F293&lt;='Calibrare v2'!$B$33,G293&gt;=0.86),"DA – FEZABIL",IF(G293&gt;=0.8,"DA – PRUDENT","NU – EVITĂ")))</x:f>
      </x:c>
      <x:c r="F293" s="16" t="str">
        <x:f>IF(OR(W293="",X293=""),"",W293+X293)</x:f>
      </x:c>
      <x:c r="G293" s="28" t="str">
        <x:f>IF(F293="","",EXP(-F293)*(1+F293+F293^2/2+F293^3/6+F293^4/24))</x:f>
      </x:c>
      <x:c r="H293" s="53"/>
      <x:c r="I293" s="9" t="str">
        <x:f>IF(F293="","",IF(F293&lt;='Calibrare v2'!$B$33,"PASS","FAIL"))</x:f>
      </x:c>
      <x:c r="J293" s="51"/>
      <x:c r="K293" s="51"/>
      <x:c r="L293" s="9" t="str">
        <x:f>IF(OR(J293="",K293=""),"",J293+K293)</x:f>
      </x:c>
      <x:c r="M293" s="9" t="str">
        <x:f>IF(L293="","",IF(L293&lt;=4,"UNDER","OVER"))</x:f>
      </x:c>
      <x:c r="N293" s="9" t="str">
        <x:f>IF(E293="","",IF(LEFT(E293,2)="DA","PARIU U212,5","NO BET"))</x:f>
      </x:c>
      <x:c r="O293" s="9" t="str">
        <x:f>IF(M293="","",IF(AM293="PARIU U212,5",IF(M293="UNDER","SUCCES","EȘEC"),IF(M293="UNDER","FALS NEGATIV","EVITARE CORECTĂ")))</x:f>
      </x:c>
      <x:c r="P293" s="9" t="str">
        <x:f>IF(M293="","",IF(M293="UNDER",1,0))</x:f>
      </x:c>
      <x:c r="Q293" s="9" t="str">
        <x:f>IF(P293="","",(G293-P293)^2)</x:f>
      </x:c>
      <x:c r="R293" s="9" t="str">
        <x:f>IF(L293="","",L293-F293)</x:f>
      </x:c>
      <x:c r="S293" s="9" t="str">
        <x:f>IF(L293="","",IF(M293="UNDER","U212,5 reușit; total final "&amp;L293&amp;" vs λ="&amp;TEXT(F293,"0.00")&amp;".","Eșec U212,5; total final "&amp;L293&amp;" vs λ="&amp;TEXT(F293,"0.00")&amp;". Revizuiește Tail Risk, sursa λ și calibrarea."))</x:f>
      </x:c>
      <x:c r="T293" s="51"/>
      <x:c r="U293" s="51"/>
      <x:c r="V293" s="51"/>
      <x:c r="W293" s="61"/>
      <x:c r="X293" s="61"/>
      <x:c r="Y293" s="51"/>
      <x:c r="Z293" s="53"/>
      <x:c r="AA293" s="51"/>
      <x:c r="AB293" s="64" t="str">
        <x:f>IF(AC293="","",AC293)</x:f>
      </x:c>
      <x:c r="AC293" s="67"/>
      <x:c r="AD293" s="69" t="str">
        <x:f>IF(AE293="","",AE293)</x:f>
      </x:c>
      <x:c r="AE293" s="71"/>
      <x:c r="AF293" s="73" t="str">
        <x:f>IF(AC293="","",1/AC293)</x:f>
      </x:c>
      <x:c r="AG293" s="61"/>
      <x:c r="AH293" s="61"/>
      <x:c r="AI293" s="64" t="str">
        <x:f>IF(OR(AC293="",AG293=""),"",AC293*AG293-1)</x:f>
      </x:c>
      <x:c r="AJ293" s="75" t="str">
        <x:f>IF(OR(G293="",F293=""),"",IF(AND(G293&gt;='Calibrare v2'!$B$35,F293&lt;='Calibrare v2'!$B$34),"PASS","FAIL"))</x:f>
      </x:c>
      <x:c r="AK293" s="75" t="str">
        <x:f>IF(AL293="","",AL293)</x:f>
      </x:c>
      <x:c r="AL293" s="77"/>
      <x:c r="AM293" s="77"/>
      <x:c r="AN293" s="64" t="str">
        <x:f>IF(OR(AC293="",P293=""),"",(AC293-P293)^2)</x:f>
      </x:c>
      <x:c r="AO293" s="64" t="str">
        <x:f>IF(OR(AG293="",AH293=""),"",AG293/AH293-1)</x:f>
      </x:c>
      <x:c r="AP293" s="61"/>
      <x:c r="AQ293" s="73" t="n">
        <x:f>IF(OR(AM293&lt;&gt;"PARIU U4,5",M293="",AP293="",AG293=""),0,IF(M293="UNDER",AP293*(AG293-1),-AP293))</x:f>
        <x:v>0</x:v>
      </x:c>
      <x:c r="AR293" s="51"/>
    </x:row>
    <x:row r="294">
      <x:c r="A294" s="9" t="str">
        <x:f>IF(D294="","",ROW()-1)</x:f>
      </x:c>
      <x:c r="B294" s="51"/>
      <x:c r="C294" s="51"/>
      <x:c r="D294" s="51"/>
      <x:c r="E294" s="9" t="str">
        <x:f>IF(D294="","",IF(AND(F294&lt;='Calibrare v2'!$B$33,G294&gt;=0.86),"DA – FEZABIL",IF(G294&gt;=0.8,"DA – PRUDENT","NU – EVITĂ")))</x:f>
      </x:c>
      <x:c r="F294" s="16" t="str">
        <x:f>IF(OR(W294="",X294=""),"",W294+X294)</x:f>
      </x:c>
      <x:c r="G294" s="28" t="str">
        <x:f>IF(F294="","",EXP(-F294)*(1+F294+F294^2/2+F294^3/6+F294^4/24))</x:f>
      </x:c>
      <x:c r="H294" s="53"/>
      <x:c r="I294" s="9" t="str">
        <x:f>IF(F294="","",IF(F294&lt;='Calibrare v2'!$B$33,"PASS","FAIL"))</x:f>
      </x:c>
      <x:c r="J294" s="51"/>
      <x:c r="K294" s="51"/>
      <x:c r="L294" s="9" t="str">
        <x:f>IF(OR(J294="",K294=""),"",J294+K294)</x:f>
      </x:c>
      <x:c r="M294" s="9" t="str">
        <x:f>IF(L294="","",IF(L294&lt;=4,"UNDER","OVER"))</x:f>
      </x:c>
      <x:c r="N294" s="9" t="str">
        <x:f>IF(E294="","",IF(LEFT(E294,2)="DA","PARIU U213,5","NO BET"))</x:f>
      </x:c>
      <x:c r="O294" s="9" t="str">
        <x:f>IF(M294="","",IF(AM294="PARIU U213,5",IF(M294="UNDER","SUCCES","EȘEC"),IF(M294="UNDER","FALS NEGATIV","EVITARE CORECTĂ")))</x:f>
      </x:c>
      <x:c r="P294" s="9" t="str">
        <x:f>IF(M294="","",IF(M294="UNDER",1,0))</x:f>
      </x:c>
      <x:c r="Q294" s="9" t="str">
        <x:f>IF(P294="","",(G294-P294)^2)</x:f>
      </x:c>
      <x:c r="R294" s="9" t="str">
        <x:f>IF(L294="","",L294-F294)</x:f>
      </x:c>
      <x:c r="S294" s="9" t="str">
        <x:f>IF(L294="","",IF(M294="UNDER","U213,5 reușit; total final "&amp;L294&amp;" vs λ="&amp;TEXT(F294,"0.00")&amp;".","Eșec U213,5; total final "&amp;L294&amp;" vs λ="&amp;TEXT(F294,"0.00")&amp;". Revizuiește Tail Risk, sursa λ și calibrarea."))</x:f>
      </x:c>
      <x:c r="T294" s="51"/>
      <x:c r="U294" s="51"/>
      <x:c r="V294" s="51"/>
      <x:c r="W294" s="61"/>
      <x:c r="X294" s="61"/>
      <x:c r="Y294" s="51"/>
      <x:c r="Z294" s="53"/>
      <x:c r="AA294" s="51"/>
      <x:c r="AB294" s="64" t="str">
        <x:f>IF(AC294="","",AC294)</x:f>
      </x:c>
      <x:c r="AC294" s="67"/>
      <x:c r="AD294" s="69" t="str">
        <x:f>IF(AE294="","",AE294)</x:f>
      </x:c>
      <x:c r="AE294" s="71"/>
      <x:c r="AF294" s="73" t="str">
        <x:f>IF(AC294="","",1/AC294)</x:f>
      </x:c>
      <x:c r="AG294" s="61"/>
      <x:c r="AH294" s="61"/>
      <x:c r="AI294" s="64" t="str">
        <x:f>IF(OR(AC294="",AG294=""),"",AC294*AG294-1)</x:f>
      </x:c>
      <x:c r="AJ294" s="75" t="str">
        <x:f>IF(OR(G294="",F294=""),"",IF(AND(G294&gt;='Calibrare v2'!$B$35,F294&lt;='Calibrare v2'!$B$34),"PASS","FAIL"))</x:f>
      </x:c>
      <x:c r="AK294" s="75" t="str">
        <x:f>IF(AL294="","",AL294)</x:f>
      </x:c>
      <x:c r="AL294" s="77"/>
      <x:c r="AM294" s="77"/>
      <x:c r="AN294" s="64" t="str">
        <x:f>IF(OR(AC294="",P294=""),"",(AC294-P294)^2)</x:f>
      </x:c>
      <x:c r="AO294" s="64" t="str">
        <x:f>IF(OR(AG294="",AH294=""),"",AG294/AH294-1)</x:f>
      </x:c>
      <x:c r="AP294" s="61"/>
      <x:c r="AQ294" s="73" t="n">
        <x:f>IF(OR(AM294&lt;&gt;"PARIU U4,5",M294="",AP294="",AG294=""),0,IF(M294="UNDER",AP294*(AG294-1),-AP294))</x:f>
        <x:v>0</x:v>
      </x:c>
      <x:c r="AR294" s="51"/>
    </x:row>
    <x:row r="295">
      <x:c r="A295" s="9" t="str">
        <x:f>IF(D295="","",ROW()-1)</x:f>
      </x:c>
      <x:c r="B295" s="51"/>
      <x:c r="C295" s="51"/>
      <x:c r="D295" s="51"/>
      <x:c r="E295" s="9" t="str">
        <x:f>IF(D295="","",IF(AND(F295&lt;='Calibrare v2'!$B$33,G295&gt;=0.86),"DA – FEZABIL",IF(G295&gt;=0.8,"DA – PRUDENT","NU – EVITĂ")))</x:f>
      </x:c>
      <x:c r="F295" s="16" t="str">
        <x:f>IF(OR(W295="",X295=""),"",W295+X295)</x:f>
      </x:c>
      <x:c r="G295" s="28" t="str">
        <x:f>IF(F295="","",EXP(-F295)*(1+F295+F295^2/2+F295^3/6+F295^4/24))</x:f>
      </x:c>
      <x:c r="H295" s="53"/>
      <x:c r="I295" s="9" t="str">
        <x:f>IF(F295="","",IF(F295&lt;='Calibrare v2'!$B$33,"PASS","FAIL"))</x:f>
      </x:c>
      <x:c r="J295" s="51"/>
      <x:c r="K295" s="51"/>
      <x:c r="L295" s="9" t="str">
        <x:f>IF(OR(J295="",K295=""),"",J295+K295)</x:f>
      </x:c>
      <x:c r="M295" s="9" t="str">
        <x:f>IF(L295="","",IF(L295&lt;=4,"UNDER","OVER"))</x:f>
      </x:c>
      <x:c r="N295" s="9" t="str">
        <x:f>IF(E295="","",IF(LEFT(E295,2)="DA","PARIU U214,5","NO BET"))</x:f>
      </x:c>
      <x:c r="O295" s="9" t="str">
        <x:f>IF(M295="","",IF(AM295="PARIU U214,5",IF(M295="UNDER","SUCCES","EȘEC"),IF(M295="UNDER","FALS NEGATIV","EVITARE CORECTĂ")))</x:f>
      </x:c>
      <x:c r="P295" s="9" t="str">
        <x:f>IF(M295="","",IF(M295="UNDER",1,0))</x:f>
      </x:c>
      <x:c r="Q295" s="9" t="str">
        <x:f>IF(P295="","",(G295-P295)^2)</x:f>
      </x:c>
      <x:c r="R295" s="9" t="str">
        <x:f>IF(L295="","",L295-F295)</x:f>
      </x:c>
      <x:c r="S295" s="9" t="str">
        <x:f>IF(L295="","",IF(M295="UNDER","U214,5 reușit; total final "&amp;L295&amp;" vs λ="&amp;TEXT(F295,"0.00")&amp;".","Eșec U214,5; total final "&amp;L295&amp;" vs λ="&amp;TEXT(F295,"0.00")&amp;". Revizuiește Tail Risk, sursa λ și calibrarea."))</x:f>
      </x:c>
      <x:c r="T295" s="51"/>
      <x:c r="U295" s="51"/>
      <x:c r="V295" s="51"/>
      <x:c r="W295" s="61"/>
      <x:c r="X295" s="61"/>
      <x:c r="Y295" s="51"/>
      <x:c r="Z295" s="53"/>
      <x:c r="AA295" s="51"/>
      <x:c r="AB295" s="64" t="str">
        <x:f>IF(AC295="","",AC295)</x:f>
      </x:c>
      <x:c r="AC295" s="67"/>
      <x:c r="AD295" s="69" t="str">
        <x:f>IF(AE295="","",AE295)</x:f>
      </x:c>
      <x:c r="AE295" s="71"/>
      <x:c r="AF295" s="73" t="str">
        <x:f>IF(AC295="","",1/AC295)</x:f>
      </x:c>
      <x:c r="AG295" s="61"/>
      <x:c r="AH295" s="61"/>
      <x:c r="AI295" s="64" t="str">
        <x:f>IF(OR(AC295="",AG295=""),"",AC295*AG295-1)</x:f>
      </x:c>
      <x:c r="AJ295" s="75" t="str">
        <x:f>IF(OR(G295="",F295=""),"",IF(AND(G295&gt;='Calibrare v2'!$B$35,F295&lt;='Calibrare v2'!$B$34),"PASS","FAIL"))</x:f>
      </x:c>
      <x:c r="AK295" s="75" t="str">
        <x:f>IF(AL295="","",AL295)</x:f>
      </x:c>
      <x:c r="AL295" s="77"/>
      <x:c r="AM295" s="77"/>
      <x:c r="AN295" s="64" t="str">
        <x:f>IF(OR(AC295="",P295=""),"",(AC295-P295)^2)</x:f>
      </x:c>
      <x:c r="AO295" s="64" t="str">
        <x:f>IF(OR(AG295="",AH295=""),"",AG295/AH295-1)</x:f>
      </x:c>
      <x:c r="AP295" s="61"/>
      <x:c r="AQ295" s="73" t="n">
        <x:f>IF(OR(AM295&lt;&gt;"PARIU U4,5",M295="",AP295="",AG295=""),0,IF(M295="UNDER",AP295*(AG295-1),-AP295))</x:f>
        <x:v>0</x:v>
      </x:c>
      <x:c r="AR295" s="51"/>
    </x:row>
    <x:row r="296">
      <x:c r="A296" s="9" t="str">
        <x:f>IF(D296="","",ROW()-1)</x:f>
      </x:c>
      <x:c r="B296" s="51"/>
      <x:c r="C296" s="51"/>
      <x:c r="D296" s="51"/>
      <x:c r="E296" s="9" t="str">
        <x:f>IF(D296="","",IF(AND(F296&lt;='Calibrare v2'!$B$33,G296&gt;=0.86),"DA – FEZABIL",IF(G296&gt;=0.8,"DA – PRUDENT","NU – EVITĂ")))</x:f>
      </x:c>
      <x:c r="F296" s="16" t="str">
        <x:f>IF(OR(W296="",X296=""),"",W296+X296)</x:f>
      </x:c>
      <x:c r="G296" s="28" t="str">
        <x:f>IF(F296="","",EXP(-F296)*(1+F296+F296^2/2+F296^3/6+F296^4/24))</x:f>
      </x:c>
      <x:c r="H296" s="53"/>
      <x:c r="I296" s="9" t="str">
        <x:f>IF(F296="","",IF(F296&lt;='Calibrare v2'!$B$33,"PASS","FAIL"))</x:f>
      </x:c>
      <x:c r="J296" s="51"/>
      <x:c r="K296" s="51"/>
      <x:c r="L296" s="9" t="str">
        <x:f>IF(OR(J296="",K296=""),"",J296+K296)</x:f>
      </x:c>
      <x:c r="M296" s="9" t="str">
        <x:f>IF(L296="","",IF(L296&lt;=4,"UNDER","OVER"))</x:f>
      </x:c>
      <x:c r="N296" s="9" t="str">
        <x:f>IF(E296="","",IF(LEFT(E296,2)="DA","PARIU U215,5","NO BET"))</x:f>
      </x:c>
      <x:c r="O296" s="9" t="str">
        <x:f>IF(M296="","",IF(AM296="PARIU U215,5",IF(M296="UNDER","SUCCES","EȘEC"),IF(M296="UNDER","FALS NEGATIV","EVITARE CORECTĂ")))</x:f>
      </x:c>
      <x:c r="P296" s="9" t="str">
        <x:f>IF(M296="","",IF(M296="UNDER",1,0))</x:f>
      </x:c>
      <x:c r="Q296" s="9" t="str">
        <x:f>IF(P296="","",(G296-P296)^2)</x:f>
      </x:c>
      <x:c r="R296" s="9" t="str">
        <x:f>IF(L296="","",L296-F296)</x:f>
      </x:c>
      <x:c r="S296" s="9" t="str">
        <x:f>IF(L296="","",IF(M296="UNDER","U215,5 reușit; total final "&amp;L296&amp;" vs λ="&amp;TEXT(F296,"0.00")&amp;".","Eșec U215,5; total final "&amp;L296&amp;" vs λ="&amp;TEXT(F296,"0.00")&amp;". Revizuiește Tail Risk, sursa λ și calibrarea."))</x:f>
      </x:c>
      <x:c r="T296" s="51"/>
      <x:c r="U296" s="51"/>
      <x:c r="V296" s="51"/>
      <x:c r="W296" s="61"/>
      <x:c r="X296" s="61"/>
      <x:c r="Y296" s="51"/>
      <x:c r="Z296" s="53"/>
      <x:c r="AA296" s="51"/>
      <x:c r="AB296" s="64" t="str">
        <x:f>IF(AC296="","",AC296)</x:f>
      </x:c>
      <x:c r="AC296" s="67"/>
      <x:c r="AD296" s="69" t="str">
        <x:f>IF(AE296="","",AE296)</x:f>
      </x:c>
      <x:c r="AE296" s="71"/>
      <x:c r="AF296" s="73" t="str">
        <x:f>IF(AC296="","",1/AC296)</x:f>
      </x:c>
      <x:c r="AG296" s="61"/>
      <x:c r="AH296" s="61"/>
      <x:c r="AI296" s="64" t="str">
        <x:f>IF(OR(AC296="",AG296=""),"",AC296*AG296-1)</x:f>
      </x:c>
      <x:c r="AJ296" s="75" t="str">
        <x:f>IF(OR(G296="",F296=""),"",IF(AND(G296&gt;='Calibrare v2'!$B$35,F296&lt;='Calibrare v2'!$B$34),"PASS","FAIL"))</x:f>
      </x:c>
      <x:c r="AK296" s="75" t="str">
        <x:f>IF(AL296="","",AL296)</x:f>
      </x:c>
      <x:c r="AL296" s="77"/>
      <x:c r="AM296" s="77"/>
      <x:c r="AN296" s="64" t="str">
        <x:f>IF(OR(AC296="",P296=""),"",(AC296-P296)^2)</x:f>
      </x:c>
      <x:c r="AO296" s="64" t="str">
        <x:f>IF(OR(AG296="",AH296=""),"",AG296/AH296-1)</x:f>
      </x:c>
      <x:c r="AP296" s="61"/>
      <x:c r="AQ296" s="73" t="n">
        <x:f>IF(OR(AM296&lt;&gt;"PARIU U4,5",M296="",AP296="",AG296=""),0,IF(M296="UNDER",AP296*(AG296-1),-AP296))</x:f>
        <x:v>0</x:v>
      </x:c>
      <x:c r="AR296" s="51"/>
    </x:row>
    <x:row r="297">
      <x:c r="A297" s="9" t="str">
        <x:f>IF(D297="","",ROW()-1)</x:f>
      </x:c>
      <x:c r="B297" s="51"/>
      <x:c r="C297" s="51"/>
      <x:c r="D297" s="51"/>
      <x:c r="E297" s="9" t="str">
        <x:f>IF(D297="","",IF(AND(F297&lt;='Calibrare v2'!$B$33,G297&gt;=0.86),"DA – FEZABIL",IF(G297&gt;=0.8,"DA – PRUDENT","NU – EVITĂ")))</x:f>
      </x:c>
      <x:c r="F297" s="16" t="str">
        <x:f>IF(OR(W297="",X297=""),"",W297+X297)</x:f>
      </x:c>
      <x:c r="G297" s="28" t="str">
        <x:f>IF(F297="","",EXP(-F297)*(1+F297+F297^2/2+F297^3/6+F297^4/24))</x:f>
      </x:c>
      <x:c r="H297" s="53"/>
      <x:c r="I297" s="9" t="str">
        <x:f>IF(F297="","",IF(F297&lt;='Calibrare v2'!$B$33,"PASS","FAIL"))</x:f>
      </x:c>
      <x:c r="J297" s="51"/>
      <x:c r="K297" s="51"/>
      <x:c r="L297" s="9" t="str">
        <x:f>IF(OR(J297="",K297=""),"",J297+K297)</x:f>
      </x:c>
      <x:c r="M297" s="9" t="str">
        <x:f>IF(L297="","",IF(L297&lt;=4,"UNDER","OVER"))</x:f>
      </x:c>
      <x:c r="N297" s="9" t="str">
        <x:f>IF(E297="","",IF(LEFT(E297,2)="DA","PARIU U216,5","NO BET"))</x:f>
      </x:c>
      <x:c r="O297" s="9" t="str">
        <x:f>IF(M297="","",IF(AM297="PARIU U216,5",IF(M297="UNDER","SUCCES","EȘEC"),IF(M297="UNDER","FALS NEGATIV","EVITARE CORECTĂ")))</x:f>
      </x:c>
      <x:c r="P297" s="9" t="str">
        <x:f>IF(M297="","",IF(M297="UNDER",1,0))</x:f>
      </x:c>
      <x:c r="Q297" s="9" t="str">
        <x:f>IF(P297="","",(G297-P297)^2)</x:f>
      </x:c>
      <x:c r="R297" s="9" t="str">
        <x:f>IF(L297="","",L297-F297)</x:f>
      </x:c>
      <x:c r="S297" s="9" t="str">
        <x:f>IF(L297="","",IF(M297="UNDER","U216,5 reușit; total final "&amp;L297&amp;" vs λ="&amp;TEXT(F297,"0.00")&amp;".","Eșec U216,5; total final "&amp;L297&amp;" vs λ="&amp;TEXT(F297,"0.00")&amp;". Revizuiește Tail Risk, sursa λ și calibrarea."))</x:f>
      </x:c>
      <x:c r="T297" s="51"/>
      <x:c r="U297" s="51"/>
      <x:c r="V297" s="51"/>
      <x:c r="W297" s="61"/>
      <x:c r="X297" s="61"/>
      <x:c r="Y297" s="51"/>
      <x:c r="Z297" s="53"/>
      <x:c r="AA297" s="51"/>
      <x:c r="AB297" s="64" t="str">
        <x:f>IF(AC297="","",AC297)</x:f>
      </x:c>
      <x:c r="AC297" s="67"/>
      <x:c r="AD297" s="69" t="str">
        <x:f>IF(AE297="","",AE297)</x:f>
      </x:c>
      <x:c r="AE297" s="71"/>
      <x:c r="AF297" s="73" t="str">
        <x:f>IF(AC297="","",1/AC297)</x:f>
      </x:c>
      <x:c r="AG297" s="61"/>
      <x:c r="AH297" s="61"/>
      <x:c r="AI297" s="64" t="str">
        <x:f>IF(OR(AC297="",AG297=""),"",AC297*AG297-1)</x:f>
      </x:c>
      <x:c r="AJ297" s="75" t="str">
        <x:f>IF(OR(G297="",F297=""),"",IF(AND(G297&gt;='Calibrare v2'!$B$35,F297&lt;='Calibrare v2'!$B$34),"PASS","FAIL"))</x:f>
      </x:c>
      <x:c r="AK297" s="75" t="str">
        <x:f>IF(AL297="","",AL297)</x:f>
      </x:c>
      <x:c r="AL297" s="77"/>
      <x:c r="AM297" s="77"/>
      <x:c r="AN297" s="64" t="str">
        <x:f>IF(OR(AC297="",P297=""),"",(AC297-P297)^2)</x:f>
      </x:c>
      <x:c r="AO297" s="64" t="str">
        <x:f>IF(OR(AG297="",AH297=""),"",AG297/AH297-1)</x:f>
      </x:c>
      <x:c r="AP297" s="61"/>
      <x:c r="AQ297" s="73" t="n">
        <x:f>IF(OR(AM297&lt;&gt;"PARIU U4,5",M297="",AP297="",AG297=""),0,IF(M297="UNDER",AP297*(AG297-1),-AP297))</x:f>
        <x:v>0</x:v>
      </x:c>
      <x:c r="AR297" s="51"/>
    </x:row>
    <x:row r="298">
      <x:c r="A298" s="9" t="str">
        <x:f>IF(D298="","",ROW()-1)</x:f>
      </x:c>
      <x:c r="B298" s="51"/>
      <x:c r="C298" s="51"/>
      <x:c r="D298" s="51"/>
      <x:c r="E298" s="9" t="str">
        <x:f>IF(D298="","",IF(AND(F298&lt;='Calibrare v2'!$B$33,G298&gt;=0.86),"DA – FEZABIL",IF(G298&gt;=0.8,"DA – PRUDENT","NU – EVITĂ")))</x:f>
      </x:c>
      <x:c r="F298" s="16" t="str">
        <x:f>IF(OR(W298="",X298=""),"",W298+X298)</x:f>
      </x:c>
      <x:c r="G298" s="28" t="str">
        <x:f>IF(F298="","",EXP(-F298)*(1+F298+F298^2/2+F298^3/6+F298^4/24))</x:f>
      </x:c>
      <x:c r="H298" s="53"/>
      <x:c r="I298" s="9" t="str">
        <x:f>IF(F298="","",IF(F298&lt;='Calibrare v2'!$B$33,"PASS","FAIL"))</x:f>
      </x:c>
      <x:c r="J298" s="51"/>
      <x:c r="K298" s="51"/>
      <x:c r="L298" s="9" t="str">
        <x:f>IF(OR(J298="",K298=""),"",J298+K298)</x:f>
      </x:c>
      <x:c r="M298" s="9" t="str">
        <x:f>IF(L298="","",IF(L298&lt;=4,"UNDER","OVER"))</x:f>
      </x:c>
      <x:c r="N298" s="9" t="str">
        <x:f>IF(E298="","",IF(LEFT(E298,2)="DA","PARIU U217,5","NO BET"))</x:f>
      </x:c>
      <x:c r="O298" s="9" t="str">
        <x:f>IF(M298="","",IF(AM298="PARIU U217,5",IF(M298="UNDER","SUCCES","EȘEC"),IF(M298="UNDER","FALS NEGATIV","EVITARE CORECTĂ")))</x:f>
      </x:c>
      <x:c r="P298" s="9" t="str">
        <x:f>IF(M298="","",IF(M298="UNDER",1,0))</x:f>
      </x:c>
      <x:c r="Q298" s="9" t="str">
        <x:f>IF(P298="","",(G298-P298)^2)</x:f>
      </x:c>
      <x:c r="R298" s="9" t="str">
        <x:f>IF(L298="","",L298-F298)</x:f>
      </x:c>
      <x:c r="S298" s="9" t="str">
        <x:f>IF(L298="","",IF(M298="UNDER","U217,5 reușit; total final "&amp;L298&amp;" vs λ="&amp;TEXT(F298,"0.00")&amp;".","Eșec U217,5; total final "&amp;L298&amp;" vs λ="&amp;TEXT(F298,"0.00")&amp;". Revizuiește Tail Risk, sursa λ și calibrarea."))</x:f>
      </x:c>
      <x:c r="T298" s="51"/>
      <x:c r="U298" s="51"/>
      <x:c r="V298" s="51"/>
      <x:c r="W298" s="61"/>
      <x:c r="X298" s="61"/>
      <x:c r="Y298" s="51"/>
      <x:c r="Z298" s="53"/>
      <x:c r="AA298" s="51"/>
      <x:c r="AB298" s="64" t="str">
        <x:f>IF(AC298="","",AC298)</x:f>
      </x:c>
      <x:c r="AC298" s="67"/>
      <x:c r="AD298" s="69" t="str">
        <x:f>IF(AE298="","",AE298)</x:f>
      </x:c>
      <x:c r="AE298" s="71"/>
      <x:c r="AF298" s="73" t="str">
        <x:f>IF(AC298="","",1/AC298)</x:f>
      </x:c>
      <x:c r="AG298" s="61"/>
      <x:c r="AH298" s="61"/>
      <x:c r="AI298" s="64" t="str">
        <x:f>IF(OR(AC298="",AG298=""),"",AC298*AG298-1)</x:f>
      </x:c>
      <x:c r="AJ298" s="75" t="str">
        <x:f>IF(OR(G298="",F298=""),"",IF(AND(G298&gt;='Calibrare v2'!$B$35,F298&lt;='Calibrare v2'!$B$34),"PASS","FAIL"))</x:f>
      </x:c>
      <x:c r="AK298" s="75" t="str">
        <x:f>IF(AL298="","",AL298)</x:f>
      </x:c>
      <x:c r="AL298" s="77"/>
      <x:c r="AM298" s="77"/>
      <x:c r="AN298" s="64" t="str">
        <x:f>IF(OR(AC298="",P298=""),"",(AC298-P298)^2)</x:f>
      </x:c>
      <x:c r="AO298" s="64" t="str">
        <x:f>IF(OR(AG298="",AH298=""),"",AG298/AH298-1)</x:f>
      </x:c>
      <x:c r="AP298" s="61"/>
      <x:c r="AQ298" s="73" t="n">
        <x:f>IF(OR(AM298&lt;&gt;"PARIU U4,5",M298="",AP298="",AG298=""),0,IF(M298="UNDER",AP298*(AG298-1),-AP298))</x:f>
        <x:v>0</x:v>
      </x:c>
      <x:c r="AR298" s="51"/>
    </x:row>
    <x:row r="299">
      <x:c r="A299" s="9" t="str">
        <x:f>IF(D299="","",ROW()-1)</x:f>
      </x:c>
      <x:c r="B299" s="51"/>
      <x:c r="C299" s="51"/>
      <x:c r="D299" s="51"/>
      <x:c r="E299" s="9" t="str">
        <x:f>IF(D299="","",IF(AND(F299&lt;='Calibrare v2'!$B$33,G299&gt;=0.86),"DA – FEZABIL",IF(G299&gt;=0.8,"DA – PRUDENT","NU – EVITĂ")))</x:f>
      </x:c>
      <x:c r="F299" s="16" t="str">
        <x:f>IF(OR(W299="",X299=""),"",W299+X299)</x:f>
      </x:c>
      <x:c r="G299" s="28" t="str">
        <x:f>IF(F299="","",EXP(-F299)*(1+F299+F299^2/2+F299^3/6+F299^4/24))</x:f>
      </x:c>
      <x:c r="H299" s="53"/>
      <x:c r="I299" s="9" t="str">
        <x:f>IF(F299="","",IF(F299&lt;='Calibrare v2'!$B$33,"PASS","FAIL"))</x:f>
      </x:c>
      <x:c r="J299" s="51"/>
      <x:c r="K299" s="51"/>
      <x:c r="L299" s="9" t="str">
        <x:f>IF(OR(J299="",K299=""),"",J299+K299)</x:f>
      </x:c>
      <x:c r="M299" s="9" t="str">
        <x:f>IF(L299="","",IF(L299&lt;=4,"UNDER","OVER"))</x:f>
      </x:c>
      <x:c r="N299" s="9" t="str">
        <x:f>IF(E299="","",IF(LEFT(E299,2)="DA","PARIU U218,5","NO BET"))</x:f>
      </x:c>
      <x:c r="O299" s="9" t="str">
        <x:f>IF(M299="","",IF(AM299="PARIU U218,5",IF(M299="UNDER","SUCCES","EȘEC"),IF(M299="UNDER","FALS NEGATIV","EVITARE CORECTĂ")))</x:f>
      </x:c>
      <x:c r="P299" s="9" t="str">
        <x:f>IF(M299="","",IF(M299="UNDER",1,0))</x:f>
      </x:c>
      <x:c r="Q299" s="9" t="str">
        <x:f>IF(P299="","",(G299-P299)^2)</x:f>
      </x:c>
      <x:c r="R299" s="9" t="str">
        <x:f>IF(L299="","",L299-F299)</x:f>
      </x:c>
      <x:c r="S299" s="9" t="str">
        <x:f>IF(L299="","",IF(M299="UNDER","U218,5 reușit; total final "&amp;L299&amp;" vs λ="&amp;TEXT(F299,"0.00")&amp;".","Eșec U218,5; total final "&amp;L299&amp;" vs λ="&amp;TEXT(F299,"0.00")&amp;". Revizuiește Tail Risk, sursa λ și calibrarea."))</x:f>
      </x:c>
      <x:c r="T299" s="51"/>
      <x:c r="U299" s="51"/>
      <x:c r="V299" s="51"/>
      <x:c r="W299" s="61"/>
      <x:c r="X299" s="61"/>
      <x:c r="Y299" s="51"/>
      <x:c r="Z299" s="53"/>
      <x:c r="AA299" s="51"/>
      <x:c r="AB299" s="64" t="str">
        <x:f>IF(AC299="","",AC299)</x:f>
      </x:c>
      <x:c r="AC299" s="67"/>
      <x:c r="AD299" s="69" t="str">
        <x:f>IF(AE299="","",AE299)</x:f>
      </x:c>
      <x:c r="AE299" s="71"/>
      <x:c r="AF299" s="73" t="str">
        <x:f>IF(AC299="","",1/AC299)</x:f>
      </x:c>
      <x:c r="AG299" s="61"/>
      <x:c r="AH299" s="61"/>
      <x:c r="AI299" s="64" t="str">
        <x:f>IF(OR(AC299="",AG299=""),"",AC299*AG299-1)</x:f>
      </x:c>
      <x:c r="AJ299" s="75" t="str">
        <x:f>IF(OR(G299="",F299=""),"",IF(AND(G299&gt;='Calibrare v2'!$B$35,F299&lt;='Calibrare v2'!$B$34),"PASS","FAIL"))</x:f>
      </x:c>
      <x:c r="AK299" s="75" t="str">
        <x:f>IF(AL299="","",AL299)</x:f>
      </x:c>
      <x:c r="AL299" s="77"/>
      <x:c r="AM299" s="77"/>
      <x:c r="AN299" s="64" t="str">
        <x:f>IF(OR(AC299="",P299=""),"",(AC299-P299)^2)</x:f>
      </x:c>
      <x:c r="AO299" s="64" t="str">
        <x:f>IF(OR(AG299="",AH299=""),"",AG299/AH299-1)</x:f>
      </x:c>
      <x:c r="AP299" s="61"/>
      <x:c r="AQ299" s="73" t="n">
        <x:f>IF(OR(AM299&lt;&gt;"PARIU U4,5",M299="",AP299="",AG299=""),0,IF(M299="UNDER",AP299*(AG299-1),-AP299))</x:f>
        <x:v>0</x:v>
      </x:c>
      <x:c r="AR299" s="51"/>
    </x:row>
    <x:row r="300">
      <x:c r="A300" s="9" t="str">
        <x:f>IF(D300="","",ROW()-1)</x:f>
      </x:c>
      <x:c r="B300" s="51"/>
      <x:c r="C300" s="51"/>
      <x:c r="D300" s="51"/>
      <x:c r="E300" s="9" t="str">
        <x:f>IF(D300="","",IF(AND(F300&lt;='Calibrare v2'!$B$33,G300&gt;=0.86),"DA – FEZABIL",IF(G300&gt;=0.8,"DA – PRUDENT","NU – EVITĂ")))</x:f>
      </x:c>
      <x:c r="F300" s="16" t="str">
        <x:f>IF(OR(W300="",X300=""),"",W300+X300)</x:f>
      </x:c>
      <x:c r="G300" s="28" t="str">
        <x:f>IF(F300="","",EXP(-F300)*(1+F300+F300^2/2+F300^3/6+F300^4/24))</x:f>
      </x:c>
      <x:c r="H300" s="53"/>
      <x:c r="I300" s="9" t="str">
        <x:f>IF(F300="","",IF(F300&lt;='Calibrare v2'!$B$33,"PASS","FAIL"))</x:f>
      </x:c>
      <x:c r="J300" s="51"/>
      <x:c r="K300" s="51"/>
      <x:c r="L300" s="9" t="str">
        <x:f>IF(OR(J300="",K300=""),"",J300+K300)</x:f>
      </x:c>
      <x:c r="M300" s="9" t="str">
        <x:f>IF(L300="","",IF(L300&lt;=4,"UNDER","OVER"))</x:f>
      </x:c>
      <x:c r="N300" s="9" t="str">
        <x:f>IF(E300="","",IF(LEFT(E300,2)="DA","PARIU U219,5","NO BET"))</x:f>
      </x:c>
      <x:c r="O300" s="9" t="str">
        <x:f>IF(M300="","",IF(AM300="PARIU U219,5",IF(M300="UNDER","SUCCES","EȘEC"),IF(M300="UNDER","FALS NEGATIV","EVITARE CORECTĂ")))</x:f>
      </x:c>
      <x:c r="P300" s="9" t="str">
        <x:f>IF(M300="","",IF(M300="UNDER",1,0))</x:f>
      </x:c>
      <x:c r="Q300" s="9" t="str">
        <x:f>IF(P300="","",(G300-P300)^2)</x:f>
      </x:c>
      <x:c r="R300" s="9" t="str">
        <x:f>IF(L300="","",L300-F300)</x:f>
      </x:c>
      <x:c r="S300" s="9" t="str">
        <x:f>IF(L300="","",IF(M300="UNDER","U219,5 reușit; total final "&amp;L300&amp;" vs λ="&amp;TEXT(F300,"0.00")&amp;".","Eșec U219,5; total final "&amp;L300&amp;" vs λ="&amp;TEXT(F300,"0.00")&amp;". Revizuiește Tail Risk, sursa λ și calibrarea."))</x:f>
      </x:c>
      <x:c r="T300" s="51"/>
      <x:c r="U300" s="51"/>
      <x:c r="V300" s="51"/>
      <x:c r="W300" s="61"/>
      <x:c r="X300" s="61"/>
      <x:c r="Y300" s="51"/>
      <x:c r="Z300" s="53"/>
      <x:c r="AA300" s="51"/>
      <x:c r="AB300" s="64" t="str">
        <x:f>IF(AC300="","",AC300)</x:f>
      </x:c>
      <x:c r="AC300" s="67"/>
      <x:c r="AD300" s="69" t="str">
        <x:f>IF(AE300="","",AE300)</x:f>
      </x:c>
      <x:c r="AE300" s="71"/>
      <x:c r="AF300" s="73" t="str">
        <x:f>IF(AC300="","",1/AC300)</x:f>
      </x:c>
      <x:c r="AG300" s="61"/>
      <x:c r="AH300" s="61"/>
      <x:c r="AI300" s="64" t="str">
        <x:f>IF(OR(AC300="",AG300=""),"",AC300*AG300-1)</x:f>
      </x:c>
      <x:c r="AJ300" s="75" t="str">
        <x:f>IF(OR(G300="",F300=""),"",IF(AND(G300&gt;='Calibrare v2'!$B$35,F300&lt;='Calibrare v2'!$B$34),"PASS","FAIL"))</x:f>
      </x:c>
      <x:c r="AK300" s="75" t="str">
        <x:f>IF(AL300="","",AL300)</x:f>
      </x:c>
      <x:c r="AL300" s="77"/>
      <x:c r="AM300" s="77"/>
      <x:c r="AN300" s="64" t="str">
        <x:f>IF(OR(AC300="",P300=""),"",(AC300-P300)^2)</x:f>
      </x:c>
      <x:c r="AO300" s="64" t="str">
        <x:f>IF(OR(AG300="",AH300=""),"",AG300/AH300-1)</x:f>
      </x:c>
      <x:c r="AP300" s="61"/>
      <x:c r="AQ300" s="73" t="n">
        <x:f>IF(OR(AM300&lt;&gt;"PARIU U4,5",M300="",AP300="",AG300=""),0,IF(M300="UNDER",AP300*(AG300-1),-AP300))</x:f>
        <x:v>0</x:v>
      </x:c>
      <x:c r="AR300" s="51"/>
    </x:row>
    <x:row r="301">
      <x:c r="A301" s="9" t="str">
        <x:f>IF(D301="","",ROW()-1)</x:f>
      </x:c>
      <x:c r="B301" s="51"/>
      <x:c r="C301" s="51"/>
      <x:c r="D301" s="51"/>
      <x:c r="E301" s="9" t="str">
        <x:f>IF(D301="","",IF(AND(F301&lt;='Calibrare v2'!$B$33,G301&gt;=0.86),"DA – FEZABIL",IF(G301&gt;=0.8,"DA – PRUDENT","NU – EVITĂ")))</x:f>
      </x:c>
      <x:c r="F301" s="16" t="str">
        <x:f>IF(OR(W301="",X301=""),"",W301+X301)</x:f>
      </x:c>
      <x:c r="G301" s="28" t="str">
        <x:f>IF(F301="","",EXP(-F301)*(1+F301+F301^2/2+F301^3/6+F301^4/24))</x:f>
      </x:c>
      <x:c r="H301" s="53"/>
      <x:c r="I301" s="9" t="str">
        <x:f>IF(F301="","",IF(F301&lt;='Calibrare v2'!$B$33,"PASS","FAIL"))</x:f>
      </x:c>
      <x:c r="J301" s="51"/>
      <x:c r="K301" s="51"/>
      <x:c r="L301" s="9" t="str">
        <x:f>IF(OR(J301="",K301=""),"",J301+K301)</x:f>
      </x:c>
      <x:c r="M301" s="9" t="str">
        <x:f>IF(L301="","",IF(L301&lt;=4,"UNDER","OVER"))</x:f>
      </x:c>
      <x:c r="N301" s="9" t="str">
        <x:f>IF(E301="","",IF(LEFT(E301,2)="DA","PARIU U220,5","NO BET"))</x:f>
      </x:c>
      <x:c r="O301" s="9" t="str">
        <x:f>IF(M301="","",IF(AM301="PARIU U220,5",IF(M301="UNDER","SUCCES","EȘEC"),IF(M301="UNDER","FALS NEGATIV","EVITARE CORECTĂ")))</x:f>
      </x:c>
      <x:c r="P301" s="9" t="str">
        <x:f>IF(M301="","",IF(M301="UNDER",1,0))</x:f>
      </x:c>
      <x:c r="Q301" s="9" t="str">
        <x:f>IF(P301="","",(G301-P301)^2)</x:f>
      </x:c>
      <x:c r="R301" s="9" t="str">
        <x:f>IF(L301="","",L301-F301)</x:f>
      </x:c>
      <x:c r="S301" s="9" t="str">
        <x:f>IF(L301="","",IF(M301="UNDER","U220,5 reușit; total final "&amp;L301&amp;" vs λ="&amp;TEXT(F301,"0.00")&amp;".","Eșec U220,5; total final "&amp;L301&amp;" vs λ="&amp;TEXT(F301,"0.00")&amp;". Revizuiește Tail Risk, sursa λ și calibrarea."))</x:f>
      </x:c>
      <x:c r="T301" s="51"/>
      <x:c r="U301" s="51"/>
      <x:c r="V301" s="51"/>
      <x:c r="W301" s="61"/>
      <x:c r="X301" s="61"/>
      <x:c r="Y301" s="51"/>
      <x:c r="Z301" s="53"/>
      <x:c r="AA301" s="51"/>
      <x:c r="AB301" s="64" t="str">
        <x:f>IF(AC301="","",AC301)</x:f>
      </x:c>
      <x:c r="AC301" s="67"/>
      <x:c r="AD301" s="69" t="str">
        <x:f>IF(AE301="","",AE301)</x:f>
      </x:c>
      <x:c r="AE301" s="71"/>
      <x:c r="AF301" s="73" t="str">
        <x:f>IF(AC301="","",1/AC301)</x:f>
      </x:c>
      <x:c r="AG301" s="61"/>
      <x:c r="AH301" s="61"/>
      <x:c r="AI301" s="64" t="str">
        <x:f>IF(OR(AC301="",AG301=""),"",AC301*AG301-1)</x:f>
      </x:c>
      <x:c r="AJ301" s="75" t="str">
        <x:f>IF(OR(G301="",F301=""),"",IF(AND(G301&gt;='Calibrare v2'!$B$35,F301&lt;='Calibrare v2'!$B$34),"PASS","FAIL"))</x:f>
      </x:c>
      <x:c r="AK301" s="75" t="str">
        <x:f>IF(AL301="","",AL301)</x:f>
      </x:c>
      <x:c r="AL301" s="77"/>
      <x:c r="AM301" s="77"/>
      <x:c r="AN301" s="64" t="str">
        <x:f>IF(OR(AC301="",P301=""),"",(AC301-P301)^2)</x:f>
      </x:c>
      <x:c r="AO301" s="64" t="str">
        <x:f>IF(OR(AG301="",AH301=""),"",AG301/AH301-1)</x:f>
      </x:c>
      <x:c r="AP301" s="61"/>
      <x:c r="AQ301" s="73" t="n">
        <x:f>IF(OR(AM301&lt;&gt;"PARIU U4,5",M301="",AP301="",AG301=""),0,IF(M301="UNDER",AP301*(AG301-1),-AP301))</x:f>
        <x:v>0</x:v>
      </x:c>
      <x:c r="AR301" s="51"/>
    </x:row>
    <x:row r="302">
      <x:c r="A302" s="9" t="str">
        <x:f>IF(D302="","",ROW()-1)</x:f>
      </x:c>
      <x:c r="B302" s="51"/>
      <x:c r="C302" s="51"/>
      <x:c r="D302" s="51"/>
      <x:c r="E302" s="9" t="str">
        <x:f>IF(D302="","",IF(AND(F302&lt;='Calibrare v2'!$B$33,G302&gt;=0.86),"DA – FEZABIL",IF(G302&gt;=0.8,"DA – PRUDENT","NU – EVITĂ")))</x:f>
      </x:c>
      <x:c r="F302" s="16" t="str">
        <x:f>IF(OR(W302="",X302=""),"",W302+X302)</x:f>
      </x:c>
      <x:c r="G302" s="28" t="str">
        <x:f>IF(F302="","",EXP(-F302)*(1+F302+F302^2/2+F302^3/6+F302^4/24))</x:f>
      </x:c>
      <x:c r="H302" s="53"/>
      <x:c r="I302" s="9" t="str">
        <x:f>IF(F302="","",IF(F302&lt;='Calibrare v2'!$B$33,"PASS","FAIL"))</x:f>
      </x:c>
      <x:c r="J302" s="51"/>
      <x:c r="K302" s="51"/>
      <x:c r="L302" s="9" t="str">
        <x:f>IF(OR(J302="",K302=""),"",J302+K302)</x:f>
      </x:c>
      <x:c r="M302" s="9" t="str">
        <x:f>IF(L302="","",IF(L302&lt;=4,"UNDER","OVER"))</x:f>
      </x:c>
      <x:c r="N302" s="9" t="str">
        <x:f>IF(E302="","",IF(LEFT(E302,2)="DA","PARIU U221,5","NO BET"))</x:f>
      </x:c>
      <x:c r="O302" s="9" t="str">
        <x:f>IF(M302="","",IF(AM302="PARIU U221,5",IF(M302="UNDER","SUCCES","EȘEC"),IF(M302="UNDER","FALS NEGATIV","EVITARE CORECTĂ")))</x:f>
      </x:c>
      <x:c r="P302" s="9" t="str">
        <x:f>IF(M302="","",IF(M302="UNDER",1,0))</x:f>
      </x:c>
      <x:c r="Q302" s="9" t="str">
        <x:f>IF(P302="","",(G302-P302)^2)</x:f>
      </x:c>
      <x:c r="R302" s="9" t="str">
        <x:f>IF(L302="","",L302-F302)</x:f>
      </x:c>
      <x:c r="S302" s="9" t="str">
        <x:f>IF(L302="","",IF(M302="UNDER","U221,5 reușit; total final "&amp;L302&amp;" vs λ="&amp;TEXT(F302,"0.00")&amp;".","Eșec U221,5; total final "&amp;L302&amp;" vs λ="&amp;TEXT(F302,"0.00")&amp;". Revizuiește Tail Risk, sursa λ și calibrarea."))</x:f>
      </x:c>
      <x:c r="T302" s="51"/>
      <x:c r="U302" s="51"/>
      <x:c r="V302" s="51"/>
      <x:c r="W302" s="61"/>
      <x:c r="X302" s="61"/>
      <x:c r="Y302" s="51"/>
      <x:c r="Z302" s="53"/>
      <x:c r="AA302" s="51"/>
      <x:c r="AB302" s="64" t="str">
        <x:f>IF(AC302="","",AC302)</x:f>
      </x:c>
      <x:c r="AC302" s="67"/>
      <x:c r="AD302" s="69" t="str">
        <x:f>IF(AE302="","",AE302)</x:f>
      </x:c>
      <x:c r="AE302" s="71"/>
      <x:c r="AF302" s="73" t="str">
        <x:f>IF(AC302="","",1/AC302)</x:f>
      </x:c>
      <x:c r="AG302" s="61"/>
      <x:c r="AH302" s="61"/>
      <x:c r="AI302" s="64" t="str">
        <x:f>IF(OR(AC302="",AG302=""),"",AC302*AG302-1)</x:f>
      </x:c>
      <x:c r="AJ302" s="75" t="str">
        <x:f>IF(OR(G302="",F302=""),"",IF(AND(G302&gt;='Calibrare v2'!$B$35,F302&lt;='Calibrare v2'!$B$34),"PASS","FAIL"))</x:f>
      </x:c>
      <x:c r="AK302" s="75" t="str">
        <x:f>IF(AL302="","",AL302)</x:f>
      </x:c>
      <x:c r="AL302" s="77"/>
      <x:c r="AM302" s="77"/>
      <x:c r="AN302" s="64" t="str">
        <x:f>IF(OR(AC302="",P302=""),"",(AC302-P302)^2)</x:f>
      </x:c>
      <x:c r="AO302" s="64" t="str">
        <x:f>IF(OR(AG302="",AH302=""),"",AG302/AH302-1)</x:f>
      </x:c>
      <x:c r="AP302" s="61"/>
      <x:c r="AQ302" s="73" t="n">
        <x:f>IF(OR(AM302&lt;&gt;"PARIU U4,5",M302="",AP302="",AG302=""),0,IF(M302="UNDER",AP302*(AG302-1),-AP302))</x:f>
        <x:v>0</x:v>
      </x:c>
      <x:c r="AR302" s="51"/>
    </x:row>
    <x:row r="303">
      <x:c r="A303" s="9" t="str">
        <x:f>IF(D303="","",ROW()-1)</x:f>
      </x:c>
      <x:c r="B303" s="51"/>
      <x:c r="C303" s="51"/>
      <x:c r="D303" s="51"/>
      <x:c r="E303" s="9" t="str">
        <x:f>IF(D303="","",IF(AND(F303&lt;='Calibrare v2'!$B$33,G303&gt;=0.86),"DA – FEZABIL",IF(G303&gt;=0.8,"DA – PRUDENT","NU – EVITĂ")))</x:f>
      </x:c>
      <x:c r="F303" s="16" t="str">
        <x:f>IF(OR(W303="",X303=""),"",W303+X303)</x:f>
      </x:c>
      <x:c r="G303" s="28" t="str">
        <x:f>IF(F303="","",EXP(-F303)*(1+F303+F303^2/2+F303^3/6+F303^4/24))</x:f>
      </x:c>
      <x:c r="H303" s="53"/>
      <x:c r="I303" s="9" t="str">
        <x:f>IF(F303="","",IF(F303&lt;='Calibrare v2'!$B$33,"PASS","FAIL"))</x:f>
      </x:c>
      <x:c r="J303" s="51"/>
      <x:c r="K303" s="51"/>
      <x:c r="L303" s="9" t="str">
        <x:f>IF(OR(J303="",K303=""),"",J303+K303)</x:f>
      </x:c>
      <x:c r="M303" s="9" t="str">
        <x:f>IF(L303="","",IF(L303&lt;=4,"UNDER","OVER"))</x:f>
      </x:c>
      <x:c r="N303" s="9" t="str">
        <x:f>IF(E303="","",IF(LEFT(E303,2)="DA","PARIU U222,5","NO BET"))</x:f>
      </x:c>
      <x:c r="O303" s="9" t="str">
        <x:f>IF(M303="","",IF(AM303="PARIU U222,5",IF(M303="UNDER","SUCCES","EȘEC"),IF(M303="UNDER","FALS NEGATIV","EVITARE CORECTĂ")))</x:f>
      </x:c>
      <x:c r="P303" s="9" t="str">
        <x:f>IF(M303="","",IF(M303="UNDER",1,0))</x:f>
      </x:c>
      <x:c r="Q303" s="9" t="str">
        <x:f>IF(P303="","",(G303-P303)^2)</x:f>
      </x:c>
      <x:c r="R303" s="9" t="str">
        <x:f>IF(L303="","",L303-F303)</x:f>
      </x:c>
      <x:c r="S303" s="9" t="str">
        <x:f>IF(L303="","",IF(M303="UNDER","U222,5 reușit; total final "&amp;L303&amp;" vs λ="&amp;TEXT(F303,"0.00")&amp;".","Eșec U222,5; total final "&amp;L303&amp;" vs λ="&amp;TEXT(F303,"0.00")&amp;". Revizuiește Tail Risk, sursa λ și calibrarea."))</x:f>
      </x:c>
      <x:c r="T303" s="51"/>
      <x:c r="U303" s="51"/>
      <x:c r="V303" s="51"/>
      <x:c r="W303" s="61"/>
      <x:c r="X303" s="61"/>
      <x:c r="Y303" s="51"/>
      <x:c r="Z303" s="53"/>
      <x:c r="AA303" s="51"/>
      <x:c r="AB303" s="64" t="str">
        <x:f>IF(AC303="","",AC303)</x:f>
      </x:c>
      <x:c r="AC303" s="67"/>
      <x:c r="AD303" s="69" t="str">
        <x:f>IF(AE303="","",AE303)</x:f>
      </x:c>
      <x:c r="AE303" s="71"/>
      <x:c r="AF303" s="73" t="str">
        <x:f>IF(AC303="","",1/AC303)</x:f>
      </x:c>
      <x:c r="AG303" s="61"/>
      <x:c r="AH303" s="61"/>
      <x:c r="AI303" s="64" t="str">
        <x:f>IF(OR(AC303="",AG303=""),"",AC303*AG303-1)</x:f>
      </x:c>
      <x:c r="AJ303" s="75" t="str">
        <x:f>IF(OR(G303="",F303=""),"",IF(AND(G303&gt;='Calibrare v2'!$B$35,F303&lt;='Calibrare v2'!$B$34),"PASS","FAIL"))</x:f>
      </x:c>
      <x:c r="AK303" s="75" t="str">
        <x:f>IF(AL303="","",AL303)</x:f>
      </x:c>
      <x:c r="AL303" s="77"/>
      <x:c r="AM303" s="77"/>
      <x:c r="AN303" s="64" t="str">
        <x:f>IF(OR(AC303="",P303=""),"",(AC303-P303)^2)</x:f>
      </x:c>
      <x:c r="AO303" s="64" t="str">
        <x:f>IF(OR(AG303="",AH303=""),"",AG303/AH303-1)</x:f>
      </x:c>
      <x:c r="AP303" s="61"/>
      <x:c r="AQ303" s="73" t="n">
        <x:f>IF(OR(AM303&lt;&gt;"PARIU U4,5",M303="",AP303="",AG303=""),0,IF(M303="UNDER",AP303*(AG303-1),-AP303))</x:f>
        <x:v>0</x:v>
      </x:c>
      <x:c r="AR303" s="51"/>
    </x:row>
    <x:row r="304">
      <x:c r="A304" s="9" t="str">
        <x:f>IF(D304="","",ROW()-1)</x:f>
      </x:c>
      <x:c r="B304" s="51"/>
      <x:c r="C304" s="51"/>
      <x:c r="D304" s="51"/>
      <x:c r="E304" s="9" t="str">
        <x:f>IF(D304="","",IF(AND(F304&lt;='Calibrare v2'!$B$33,G304&gt;=0.86),"DA – FEZABIL",IF(G304&gt;=0.8,"DA – PRUDENT","NU – EVITĂ")))</x:f>
      </x:c>
      <x:c r="F304" s="16" t="str">
        <x:f>IF(OR(W304="",X304=""),"",W304+X304)</x:f>
      </x:c>
      <x:c r="G304" s="28" t="str">
        <x:f>IF(F304="","",EXP(-F304)*(1+F304+F304^2/2+F304^3/6+F304^4/24))</x:f>
      </x:c>
      <x:c r="H304" s="53"/>
      <x:c r="I304" s="9" t="str">
        <x:f>IF(F304="","",IF(F304&lt;='Calibrare v2'!$B$33,"PASS","FAIL"))</x:f>
      </x:c>
      <x:c r="J304" s="51"/>
      <x:c r="K304" s="51"/>
      <x:c r="L304" s="9" t="str">
        <x:f>IF(OR(J304="",K304=""),"",J304+K304)</x:f>
      </x:c>
      <x:c r="M304" s="9" t="str">
        <x:f>IF(L304="","",IF(L304&lt;=4,"UNDER","OVER"))</x:f>
      </x:c>
      <x:c r="N304" s="9" t="str">
        <x:f>IF(E304="","",IF(LEFT(E304,2)="DA","PARIU U223,5","NO BET"))</x:f>
      </x:c>
      <x:c r="O304" s="9" t="str">
        <x:f>IF(M304="","",IF(AM304="PARIU U223,5",IF(M304="UNDER","SUCCES","EȘEC"),IF(M304="UNDER","FALS NEGATIV","EVITARE CORECTĂ")))</x:f>
      </x:c>
      <x:c r="P304" s="9" t="str">
        <x:f>IF(M304="","",IF(M304="UNDER",1,0))</x:f>
      </x:c>
      <x:c r="Q304" s="9" t="str">
        <x:f>IF(P304="","",(G304-P304)^2)</x:f>
      </x:c>
      <x:c r="R304" s="9" t="str">
        <x:f>IF(L304="","",L304-F304)</x:f>
      </x:c>
      <x:c r="S304" s="9" t="str">
        <x:f>IF(L304="","",IF(M304="UNDER","U223,5 reușit; total final "&amp;L304&amp;" vs λ="&amp;TEXT(F304,"0.00")&amp;".","Eșec U223,5; total final "&amp;L304&amp;" vs λ="&amp;TEXT(F304,"0.00")&amp;". Revizuiește Tail Risk, sursa λ și calibrarea."))</x:f>
      </x:c>
      <x:c r="T304" s="51"/>
      <x:c r="U304" s="51"/>
      <x:c r="V304" s="51"/>
      <x:c r="W304" s="61"/>
      <x:c r="X304" s="61"/>
      <x:c r="Y304" s="51"/>
      <x:c r="Z304" s="53"/>
      <x:c r="AA304" s="51"/>
      <x:c r="AB304" s="64" t="str">
        <x:f>IF(AC304="","",AC304)</x:f>
      </x:c>
      <x:c r="AC304" s="67"/>
      <x:c r="AD304" s="69" t="str">
        <x:f>IF(AE304="","",AE304)</x:f>
      </x:c>
      <x:c r="AE304" s="71"/>
      <x:c r="AF304" s="73" t="str">
        <x:f>IF(AC304="","",1/AC304)</x:f>
      </x:c>
      <x:c r="AG304" s="61"/>
      <x:c r="AH304" s="61"/>
      <x:c r="AI304" s="64" t="str">
        <x:f>IF(OR(AC304="",AG304=""),"",AC304*AG304-1)</x:f>
      </x:c>
      <x:c r="AJ304" s="75" t="str">
        <x:f>IF(OR(G304="",F304=""),"",IF(AND(G304&gt;='Calibrare v2'!$B$35,F304&lt;='Calibrare v2'!$B$34),"PASS","FAIL"))</x:f>
      </x:c>
      <x:c r="AK304" s="75" t="str">
        <x:f>IF(AL304="","",AL304)</x:f>
      </x:c>
      <x:c r="AL304" s="77"/>
      <x:c r="AM304" s="77"/>
      <x:c r="AN304" s="64" t="str">
        <x:f>IF(OR(AC304="",P304=""),"",(AC304-P304)^2)</x:f>
      </x:c>
      <x:c r="AO304" s="64" t="str">
        <x:f>IF(OR(AG304="",AH304=""),"",AG304/AH304-1)</x:f>
      </x:c>
      <x:c r="AP304" s="61"/>
      <x:c r="AQ304" s="73" t="n">
        <x:f>IF(OR(AM304&lt;&gt;"PARIU U4,5",M304="",AP304="",AG304=""),0,IF(M304="UNDER",AP304*(AG304-1),-AP304))</x:f>
        <x:v>0</x:v>
      </x:c>
      <x:c r="AR304" s="51"/>
    </x:row>
    <x:row r="305">
      <x:c r="A305" s="9" t="str">
        <x:f>IF(D305="","",ROW()-1)</x:f>
      </x:c>
      <x:c r="B305" s="51"/>
      <x:c r="C305" s="51"/>
      <x:c r="D305" s="51"/>
      <x:c r="E305" s="9" t="str">
        <x:f>IF(D305="","",IF(AND(F305&lt;='Calibrare v2'!$B$33,G305&gt;=0.86),"DA – FEZABIL",IF(G305&gt;=0.8,"DA – PRUDENT","NU – EVITĂ")))</x:f>
      </x:c>
      <x:c r="F305" s="16" t="str">
        <x:f>IF(OR(W305="",X305=""),"",W305+X305)</x:f>
      </x:c>
      <x:c r="G305" s="28" t="str">
        <x:f>IF(F305="","",EXP(-F305)*(1+F305+F305^2/2+F305^3/6+F305^4/24))</x:f>
      </x:c>
      <x:c r="H305" s="53"/>
      <x:c r="I305" s="9" t="str">
        <x:f>IF(F305="","",IF(F305&lt;='Calibrare v2'!$B$33,"PASS","FAIL"))</x:f>
      </x:c>
      <x:c r="J305" s="51"/>
      <x:c r="K305" s="51"/>
      <x:c r="L305" s="9" t="str">
        <x:f>IF(OR(J305="",K305=""),"",J305+K305)</x:f>
      </x:c>
      <x:c r="M305" s="9" t="str">
        <x:f>IF(L305="","",IF(L305&lt;=4,"UNDER","OVER"))</x:f>
      </x:c>
      <x:c r="N305" s="9" t="str">
        <x:f>IF(E305="","",IF(LEFT(E305,2)="DA","PARIU U224,5","NO BET"))</x:f>
      </x:c>
      <x:c r="O305" s="9" t="str">
        <x:f>IF(M305="","",IF(AM305="PARIU U224,5",IF(M305="UNDER","SUCCES","EȘEC"),IF(M305="UNDER","FALS NEGATIV","EVITARE CORECTĂ")))</x:f>
      </x:c>
      <x:c r="P305" s="9" t="str">
        <x:f>IF(M305="","",IF(M305="UNDER",1,0))</x:f>
      </x:c>
      <x:c r="Q305" s="9" t="str">
        <x:f>IF(P305="","",(G305-P305)^2)</x:f>
      </x:c>
      <x:c r="R305" s="9" t="str">
        <x:f>IF(L305="","",L305-F305)</x:f>
      </x:c>
      <x:c r="S305" s="9" t="str">
        <x:f>IF(L305="","",IF(M305="UNDER","U224,5 reușit; total final "&amp;L305&amp;" vs λ="&amp;TEXT(F305,"0.00")&amp;".","Eșec U224,5; total final "&amp;L305&amp;" vs λ="&amp;TEXT(F305,"0.00")&amp;". Revizuiește Tail Risk, sursa λ și calibrarea."))</x:f>
      </x:c>
      <x:c r="T305" s="51"/>
      <x:c r="U305" s="51"/>
      <x:c r="V305" s="51"/>
      <x:c r="W305" s="61"/>
      <x:c r="X305" s="61"/>
      <x:c r="Y305" s="51"/>
      <x:c r="Z305" s="53"/>
      <x:c r="AA305" s="51"/>
      <x:c r="AB305" s="64" t="str">
        <x:f>IF(AC305="","",AC305)</x:f>
      </x:c>
      <x:c r="AC305" s="67"/>
      <x:c r="AD305" s="69" t="str">
        <x:f>IF(AE305="","",AE305)</x:f>
      </x:c>
      <x:c r="AE305" s="71"/>
      <x:c r="AF305" s="73" t="str">
        <x:f>IF(AC305="","",1/AC305)</x:f>
      </x:c>
      <x:c r="AG305" s="61"/>
      <x:c r="AH305" s="61"/>
      <x:c r="AI305" s="64" t="str">
        <x:f>IF(OR(AC305="",AG305=""),"",AC305*AG305-1)</x:f>
      </x:c>
      <x:c r="AJ305" s="75" t="str">
        <x:f>IF(OR(G305="",F305=""),"",IF(AND(G305&gt;='Calibrare v2'!$B$35,F305&lt;='Calibrare v2'!$B$34),"PASS","FAIL"))</x:f>
      </x:c>
      <x:c r="AK305" s="75" t="str">
        <x:f>IF(AL305="","",AL305)</x:f>
      </x:c>
      <x:c r="AL305" s="77"/>
      <x:c r="AM305" s="77"/>
      <x:c r="AN305" s="64" t="str">
        <x:f>IF(OR(AC305="",P305=""),"",(AC305-P305)^2)</x:f>
      </x:c>
      <x:c r="AO305" s="64" t="str">
        <x:f>IF(OR(AG305="",AH305=""),"",AG305/AH305-1)</x:f>
      </x:c>
      <x:c r="AP305" s="61"/>
      <x:c r="AQ305" s="73" t="n">
        <x:f>IF(OR(AM305&lt;&gt;"PARIU U4,5",M305="",AP305="",AG305=""),0,IF(M305="UNDER",AP305*(AG305-1),-AP305))</x:f>
        <x:v>0</x:v>
      </x:c>
      <x:c r="AR305" s="51"/>
    </x:row>
    <x:row r="306">
      <x:c r="A306" s="9" t="str">
        <x:f>IF(D306="","",ROW()-1)</x:f>
      </x:c>
      <x:c r="B306" s="51"/>
      <x:c r="C306" s="51"/>
      <x:c r="D306" s="51"/>
      <x:c r="E306" s="9" t="str">
        <x:f>IF(D306="","",IF(AND(F306&lt;='Calibrare v2'!$B$33,G306&gt;=0.86),"DA – FEZABIL",IF(G306&gt;=0.8,"DA – PRUDENT","NU – EVITĂ")))</x:f>
      </x:c>
      <x:c r="F306" s="16" t="str">
        <x:f>IF(OR(W306="",X306=""),"",W306+X306)</x:f>
      </x:c>
      <x:c r="G306" s="28" t="str">
        <x:f>IF(F306="","",EXP(-F306)*(1+F306+F306^2/2+F306^3/6+F306^4/24))</x:f>
      </x:c>
      <x:c r="H306" s="53"/>
      <x:c r="I306" s="9" t="str">
        <x:f>IF(F306="","",IF(F306&lt;='Calibrare v2'!$B$33,"PASS","FAIL"))</x:f>
      </x:c>
      <x:c r="J306" s="51"/>
      <x:c r="K306" s="51"/>
      <x:c r="L306" s="9" t="str">
        <x:f>IF(OR(J306="",K306=""),"",J306+K306)</x:f>
      </x:c>
      <x:c r="M306" s="9" t="str">
        <x:f>IF(L306="","",IF(L306&lt;=4,"UNDER","OVER"))</x:f>
      </x:c>
      <x:c r="N306" s="9" t="str">
        <x:f>IF(E306="","",IF(LEFT(E306,2)="DA","PARIU U225,5","NO BET"))</x:f>
      </x:c>
      <x:c r="O306" s="9" t="str">
        <x:f>IF(M306="","",IF(AM306="PARIU U225,5",IF(M306="UNDER","SUCCES","EȘEC"),IF(M306="UNDER","FALS NEGATIV","EVITARE CORECTĂ")))</x:f>
      </x:c>
      <x:c r="P306" s="9" t="str">
        <x:f>IF(M306="","",IF(M306="UNDER",1,0))</x:f>
      </x:c>
      <x:c r="Q306" s="9" t="str">
        <x:f>IF(P306="","",(G306-P306)^2)</x:f>
      </x:c>
      <x:c r="R306" s="9" t="str">
        <x:f>IF(L306="","",L306-F306)</x:f>
      </x:c>
      <x:c r="S306" s="9" t="str">
        <x:f>IF(L306="","",IF(M306="UNDER","U225,5 reușit; total final "&amp;L306&amp;" vs λ="&amp;TEXT(F306,"0.00")&amp;".","Eșec U225,5; total final "&amp;L306&amp;" vs λ="&amp;TEXT(F306,"0.00")&amp;". Revizuiește Tail Risk, sursa λ și calibrarea."))</x:f>
      </x:c>
      <x:c r="T306" s="51"/>
      <x:c r="U306" s="51"/>
      <x:c r="V306" s="51"/>
      <x:c r="W306" s="61"/>
      <x:c r="X306" s="61"/>
      <x:c r="Y306" s="51"/>
      <x:c r="Z306" s="53"/>
      <x:c r="AA306" s="51"/>
      <x:c r="AB306" s="64" t="str">
        <x:f>IF(AC306="","",AC306)</x:f>
      </x:c>
      <x:c r="AC306" s="67"/>
      <x:c r="AD306" s="69" t="str">
        <x:f>IF(AE306="","",AE306)</x:f>
      </x:c>
      <x:c r="AE306" s="71"/>
      <x:c r="AF306" s="73" t="str">
        <x:f>IF(AC306="","",1/AC306)</x:f>
      </x:c>
      <x:c r="AG306" s="61"/>
      <x:c r="AH306" s="61"/>
      <x:c r="AI306" s="64" t="str">
        <x:f>IF(OR(AC306="",AG306=""),"",AC306*AG306-1)</x:f>
      </x:c>
      <x:c r="AJ306" s="75" t="str">
        <x:f>IF(OR(G306="",F306=""),"",IF(AND(G306&gt;='Calibrare v2'!$B$35,F306&lt;='Calibrare v2'!$B$34),"PASS","FAIL"))</x:f>
      </x:c>
      <x:c r="AK306" s="75" t="str">
        <x:f>IF(AL306="","",AL306)</x:f>
      </x:c>
      <x:c r="AL306" s="77"/>
      <x:c r="AM306" s="77"/>
      <x:c r="AN306" s="64" t="str">
        <x:f>IF(OR(AC306="",P306=""),"",(AC306-P306)^2)</x:f>
      </x:c>
      <x:c r="AO306" s="64" t="str">
        <x:f>IF(OR(AG306="",AH306=""),"",AG306/AH306-1)</x:f>
      </x:c>
      <x:c r="AP306" s="61"/>
      <x:c r="AQ306" s="73" t="n">
        <x:f>IF(OR(AM306&lt;&gt;"PARIU U4,5",M306="",AP306="",AG306=""),0,IF(M306="UNDER",AP306*(AG306-1),-AP306))</x:f>
        <x:v>0</x:v>
      </x:c>
      <x:c r="AR306" s="51"/>
    </x:row>
    <x:row r="307">
      <x:c r="A307" s="9" t="str">
        <x:f>IF(D307="","",ROW()-1)</x:f>
      </x:c>
      <x:c r="B307" s="51"/>
      <x:c r="C307" s="51"/>
      <x:c r="D307" s="51"/>
      <x:c r="E307" s="9" t="str">
        <x:f>IF(D307="","",IF(AND(F307&lt;='Calibrare v2'!$B$33,G307&gt;=0.86),"DA – FEZABIL",IF(G307&gt;=0.8,"DA – PRUDENT","NU – EVITĂ")))</x:f>
      </x:c>
      <x:c r="F307" s="16" t="str">
        <x:f>IF(OR(W307="",X307=""),"",W307+X307)</x:f>
      </x:c>
      <x:c r="G307" s="28" t="str">
        <x:f>IF(F307="","",EXP(-F307)*(1+F307+F307^2/2+F307^3/6+F307^4/24))</x:f>
      </x:c>
      <x:c r="H307" s="53"/>
      <x:c r="I307" s="9" t="str">
        <x:f>IF(F307="","",IF(F307&lt;='Calibrare v2'!$B$33,"PASS","FAIL"))</x:f>
      </x:c>
      <x:c r="J307" s="51"/>
      <x:c r="K307" s="51"/>
      <x:c r="L307" s="9" t="str">
        <x:f>IF(OR(J307="",K307=""),"",J307+K307)</x:f>
      </x:c>
      <x:c r="M307" s="9" t="str">
        <x:f>IF(L307="","",IF(L307&lt;=4,"UNDER","OVER"))</x:f>
      </x:c>
      <x:c r="N307" s="9" t="str">
        <x:f>IF(E307="","",IF(LEFT(E307,2)="DA","PARIU U226,5","NO BET"))</x:f>
      </x:c>
      <x:c r="O307" s="9" t="str">
        <x:f>IF(M307="","",IF(AM307="PARIU U226,5",IF(M307="UNDER","SUCCES","EȘEC"),IF(M307="UNDER","FALS NEGATIV","EVITARE CORECTĂ")))</x:f>
      </x:c>
      <x:c r="P307" s="9" t="str">
        <x:f>IF(M307="","",IF(M307="UNDER",1,0))</x:f>
      </x:c>
      <x:c r="Q307" s="9" t="str">
        <x:f>IF(P307="","",(G307-P307)^2)</x:f>
      </x:c>
      <x:c r="R307" s="9" t="str">
        <x:f>IF(L307="","",L307-F307)</x:f>
      </x:c>
      <x:c r="S307" s="9" t="str">
        <x:f>IF(L307="","",IF(M307="UNDER","U226,5 reușit; total final "&amp;L307&amp;" vs λ="&amp;TEXT(F307,"0.00")&amp;".","Eșec U226,5; total final "&amp;L307&amp;" vs λ="&amp;TEXT(F307,"0.00")&amp;". Revizuiește Tail Risk, sursa λ și calibrarea."))</x:f>
      </x:c>
      <x:c r="T307" s="51"/>
      <x:c r="U307" s="51"/>
      <x:c r="V307" s="51"/>
      <x:c r="W307" s="61"/>
      <x:c r="X307" s="61"/>
      <x:c r="Y307" s="51"/>
      <x:c r="Z307" s="53"/>
      <x:c r="AA307" s="51"/>
      <x:c r="AB307" s="64" t="str">
        <x:f>IF(AC307="","",AC307)</x:f>
      </x:c>
      <x:c r="AC307" s="67"/>
      <x:c r="AD307" s="69" t="str">
        <x:f>IF(AE307="","",AE307)</x:f>
      </x:c>
      <x:c r="AE307" s="71"/>
      <x:c r="AF307" s="73" t="str">
        <x:f>IF(AC307="","",1/AC307)</x:f>
      </x:c>
      <x:c r="AG307" s="61"/>
      <x:c r="AH307" s="61"/>
      <x:c r="AI307" s="64" t="str">
        <x:f>IF(OR(AC307="",AG307=""),"",AC307*AG307-1)</x:f>
      </x:c>
      <x:c r="AJ307" s="75" t="str">
        <x:f>IF(OR(G307="",F307=""),"",IF(AND(G307&gt;='Calibrare v2'!$B$35,F307&lt;='Calibrare v2'!$B$34),"PASS","FAIL"))</x:f>
      </x:c>
      <x:c r="AK307" s="75" t="str">
        <x:f>IF(AL307="","",AL307)</x:f>
      </x:c>
      <x:c r="AL307" s="77"/>
      <x:c r="AM307" s="77"/>
      <x:c r="AN307" s="64" t="str">
        <x:f>IF(OR(AC307="",P307=""),"",(AC307-P307)^2)</x:f>
      </x:c>
      <x:c r="AO307" s="64" t="str">
        <x:f>IF(OR(AG307="",AH307=""),"",AG307/AH307-1)</x:f>
      </x:c>
      <x:c r="AP307" s="61"/>
      <x:c r="AQ307" s="73" t="n">
        <x:f>IF(OR(AM307&lt;&gt;"PARIU U4,5",M307="",AP307="",AG307=""),0,IF(M307="UNDER",AP307*(AG307-1),-AP307))</x:f>
        <x:v>0</x:v>
      </x:c>
      <x:c r="AR307" s="51"/>
    </x:row>
    <x:row r="308">
      <x:c r="A308" s="9" t="str">
        <x:f>IF(D308="","",ROW()-1)</x:f>
      </x:c>
      <x:c r="B308" s="51"/>
      <x:c r="C308" s="51"/>
      <x:c r="D308" s="51"/>
      <x:c r="E308" s="9" t="str">
        <x:f>IF(D308="","",IF(AND(F308&lt;='Calibrare v2'!$B$33,G308&gt;=0.86),"DA – FEZABIL",IF(G308&gt;=0.8,"DA – PRUDENT","NU – EVITĂ")))</x:f>
      </x:c>
      <x:c r="F308" s="16" t="str">
        <x:f>IF(OR(W308="",X308=""),"",W308+X308)</x:f>
      </x:c>
      <x:c r="G308" s="28" t="str">
        <x:f>IF(F308="","",EXP(-F308)*(1+F308+F308^2/2+F308^3/6+F308^4/24))</x:f>
      </x:c>
      <x:c r="H308" s="53"/>
      <x:c r="I308" s="9" t="str">
        <x:f>IF(F308="","",IF(F308&lt;='Calibrare v2'!$B$33,"PASS","FAIL"))</x:f>
      </x:c>
      <x:c r="J308" s="51"/>
      <x:c r="K308" s="51"/>
      <x:c r="L308" s="9" t="str">
        <x:f>IF(OR(J308="",K308=""),"",J308+K308)</x:f>
      </x:c>
      <x:c r="M308" s="9" t="str">
        <x:f>IF(L308="","",IF(L308&lt;=4,"UNDER","OVER"))</x:f>
      </x:c>
      <x:c r="N308" s="9" t="str">
        <x:f>IF(E308="","",IF(LEFT(E308,2)="DA","PARIU U227,5","NO BET"))</x:f>
      </x:c>
      <x:c r="O308" s="9" t="str">
        <x:f>IF(M308="","",IF(AM308="PARIU U227,5",IF(M308="UNDER","SUCCES","EȘEC"),IF(M308="UNDER","FALS NEGATIV","EVITARE CORECTĂ")))</x:f>
      </x:c>
      <x:c r="P308" s="9" t="str">
        <x:f>IF(M308="","",IF(M308="UNDER",1,0))</x:f>
      </x:c>
      <x:c r="Q308" s="9" t="str">
        <x:f>IF(P308="","",(G308-P308)^2)</x:f>
      </x:c>
      <x:c r="R308" s="9" t="str">
        <x:f>IF(L308="","",L308-F308)</x:f>
      </x:c>
      <x:c r="S308" s="9" t="str">
        <x:f>IF(L308="","",IF(M308="UNDER","U227,5 reușit; total final "&amp;L308&amp;" vs λ="&amp;TEXT(F308,"0.00")&amp;".","Eșec U227,5; total final "&amp;L308&amp;" vs λ="&amp;TEXT(F308,"0.00")&amp;". Revizuiește Tail Risk, sursa λ și calibrarea."))</x:f>
      </x:c>
      <x:c r="T308" s="51"/>
      <x:c r="U308" s="51"/>
      <x:c r="V308" s="51"/>
      <x:c r="W308" s="61"/>
      <x:c r="X308" s="61"/>
      <x:c r="Y308" s="51"/>
      <x:c r="Z308" s="53"/>
      <x:c r="AA308" s="51"/>
      <x:c r="AB308" s="64" t="str">
        <x:f>IF(AC308="","",AC308)</x:f>
      </x:c>
      <x:c r="AC308" s="67"/>
      <x:c r="AD308" s="69" t="str">
        <x:f>IF(AE308="","",AE308)</x:f>
      </x:c>
      <x:c r="AE308" s="71"/>
      <x:c r="AF308" s="73" t="str">
        <x:f>IF(AC308="","",1/AC308)</x:f>
      </x:c>
      <x:c r="AG308" s="61"/>
      <x:c r="AH308" s="61"/>
      <x:c r="AI308" s="64" t="str">
        <x:f>IF(OR(AC308="",AG308=""),"",AC308*AG308-1)</x:f>
      </x:c>
      <x:c r="AJ308" s="75" t="str">
        <x:f>IF(OR(G308="",F308=""),"",IF(AND(G308&gt;='Calibrare v2'!$B$35,F308&lt;='Calibrare v2'!$B$34),"PASS","FAIL"))</x:f>
      </x:c>
      <x:c r="AK308" s="75" t="str">
        <x:f>IF(AL308="","",AL308)</x:f>
      </x:c>
      <x:c r="AL308" s="77"/>
      <x:c r="AM308" s="77"/>
      <x:c r="AN308" s="64" t="str">
        <x:f>IF(OR(AC308="",P308=""),"",(AC308-P308)^2)</x:f>
      </x:c>
      <x:c r="AO308" s="64" t="str">
        <x:f>IF(OR(AG308="",AH308=""),"",AG308/AH308-1)</x:f>
      </x:c>
      <x:c r="AP308" s="61"/>
      <x:c r="AQ308" s="73" t="n">
        <x:f>IF(OR(AM308&lt;&gt;"PARIU U4,5",M308="",AP308="",AG308=""),0,IF(M308="UNDER",AP308*(AG308-1),-AP308))</x:f>
        <x:v>0</x:v>
      </x:c>
      <x:c r="AR308" s="51"/>
    </x:row>
    <x:row r="309">
      <x:c r="A309" s="9" t="str">
        <x:f>IF(D309="","",ROW()-1)</x:f>
      </x:c>
      <x:c r="B309" s="51"/>
      <x:c r="C309" s="51"/>
      <x:c r="D309" s="51"/>
      <x:c r="E309" s="9" t="str">
        <x:f>IF(D309="","",IF(AND(F309&lt;='Calibrare v2'!$B$33,G309&gt;=0.86),"DA – FEZABIL",IF(G309&gt;=0.8,"DA – PRUDENT","NU – EVITĂ")))</x:f>
      </x:c>
      <x:c r="F309" s="16" t="str">
        <x:f>IF(OR(W309="",X309=""),"",W309+X309)</x:f>
      </x:c>
      <x:c r="G309" s="28" t="str">
        <x:f>IF(F309="","",EXP(-F309)*(1+F309+F309^2/2+F309^3/6+F309^4/24))</x:f>
      </x:c>
      <x:c r="H309" s="53"/>
      <x:c r="I309" s="9" t="str">
        <x:f>IF(F309="","",IF(F309&lt;='Calibrare v2'!$B$33,"PASS","FAIL"))</x:f>
      </x:c>
      <x:c r="J309" s="51"/>
      <x:c r="K309" s="51"/>
      <x:c r="L309" s="9" t="str">
        <x:f>IF(OR(J309="",K309=""),"",J309+K309)</x:f>
      </x:c>
      <x:c r="M309" s="9" t="str">
        <x:f>IF(L309="","",IF(L309&lt;=4,"UNDER","OVER"))</x:f>
      </x:c>
      <x:c r="N309" s="9" t="str">
        <x:f>IF(E309="","",IF(LEFT(E309,2)="DA","PARIU U228,5","NO BET"))</x:f>
      </x:c>
      <x:c r="O309" s="9" t="str">
        <x:f>IF(M309="","",IF(AM309="PARIU U228,5",IF(M309="UNDER","SUCCES","EȘEC"),IF(M309="UNDER","FALS NEGATIV","EVITARE CORECTĂ")))</x:f>
      </x:c>
      <x:c r="P309" s="9" t="str">
        <x:f>IF(M309="","",IF(M309="UNDER",1,0))</x:f>
      </x:c>
      <x:c r="Q309" s="9" t="str">
        <x:f>IF(P309="","",(G309-P309)^2)</x:f>
      </x:c>
      <x:c r="R309" s="9" t="str">
        <x:f>IF(L309="","",L309-F309)</x:f>
      </x:c>
      <x:c r="S309" s="9" t="str">
        <x:f>IF(L309="","",IF(M309="UNDER","U228,5 reușit; total final "&amp;L309&amp;" vs λ="&amp;TEXT(F309,"0.00")&amp;".","Eșec U228,5; total final "&amp;L309&amp;" vs λ="&amp;TEXT(F309,"0.00")&amp;". Revizuiește Tail Risk, sursa λ și calibrarea."))</x:f>
      </x:c>
      <x:c r="T309" s="51"/>
      <x:c r="U309" s="51"/>
      <x:c r="V309" s="51"/>
      <x:c r="W309" s="61"/>
      <x:c r="X309" s="61"/>
      <x:c r="Y309" s="51"/>
      <x:c r="Z309" s="53"/>
      <x:c r="AA309" s="51"/>
      <x:c r="AB309" s="64" t="str">
        <x:f>IF(AC309="","",AC309)</x:f>
      </x:c>
      <x:c r="AC309" s="67"/>
      <x:c r="AD309" s="69" t="str">
        <x:f>IF(AE309="","",AE309)</x:f>
      </x:c>
      <x:c r="AE309" s="71"/>
      <x:c r="AF309" s="73" t="str">
        <x:f>IF(AC309="","",1/AC309)</x:f>
      </x:c>
      <x:c r="AG309" s="61"/>
      <x:c r="AH309" s="61"/>
      <x:c r="AI309" s="64" t="str">
        <x:f>IF(OR(AC309="",AG309=""),"",AC309*AG309-1)</x:f>
      </x:c>
      <x:c r="AJ309" s="75" t="str">
        <x:f>IF(OR(G309="",F309=""),"",IF(AND(G309&gt;='Calibrare v2'!$B$35,F309&lt;='Calibrare v2'!$B$34),"PASS","FAIL"))</x:f>
      </x:c>
      <x:c r="AK309" s="75" t="str">
        <x:f>IF(AL309="","",AL309)</x:f>
      </x:c>
      <x:c r="AL309" s="77"/>
      <x:c r="AM309" s="77"/>
      <x:c r="AN309" s="64" t="str">
        <x:f>IF(OR(AC309="",P309=""),"",(AC309-P309)^2)</x:f>
      </x:c>
      <x:c r="AO309" s="64" t="str">
        <x:f>IF(OR(AG309="",AH309=""),"",AG309/AH309-1)</x:f>
      </x:c>
      <x:c r="AP309" s="61"/>
      <x:c r="AQ309" s="73" t="n">
        <x:f>IF(OR(AM309&lt;&gt;"PARIU U4,5",M309="",AP309="",AG309=""),0,IF(M309="UNDER",AP309*(AG309-1),-AP309))</x:f>
        <x:v>0</x:v>
      </x:c>
      <x:c r="AR309" s="51"/>
    </x:row>
    <x:row r="310">
      <x:c r="A310" s="9" t="str">
        <x:f>IF(D310="","",ROW()-1)</x:f>
      </x:c>
      <x:c r="B310" s="51"/>
      <x:c r="C310" s="51"/>
      <x:c r="D310" s="51"/>
      <x:c r="E310" s="9" t="str">
        <x:f>IF(D310="","",IF(AND(F310&lt;='Calibrare v2'!$B$33,G310&gt;=0.86),"DA – FEZABIL",IF(G310&gt;=0.8,"DA – PRUDENT","NU – EVITĂ")))</x:f>
      </x:c>
      <x:c r="F310" s="16" t="str">
        <x:f>IF(OR(W310="",X310=""),"",W310+X310)</x:f>
      </x:c>
      <x:c r="G310" s="28" t="str">
        <x:f>IF(F310="","",EXP(-F310)*(1+F310+F310^2/2+F310^3/6+F310^4/24))</x:f>
      </x:c>
      <x:c r="H310" s="53"/>
      <x:c r="I310" s="9" t="str">
        <x:f>IF(F310="","",IF(F310&lt;='Calibrare v2'!$B$33,"PASS","FAIL"))</x:f>
      </x:c>
      <x:c r="J310" s="51"/>
      <x:c r="K310" s="51"/>
      <x:c r="L310" s="9" t="str">
        <x:f>IF(OR(J310="",K310=""),"",J310+K310)</x:f>
      </x:c>
      <x:c r="M310" s="9" t="str">
        <x:f>IF(L310="","",IF(L310&lt;=4,"UNDER","OVER"))</x:f>
      </x:c>
      <x:c r="N310" s="9" t="str">
        <x:f>IF(E310="","",IF(LEFT(E310,2)="DA","PARIU U229,5","NO BET"))</x:f>
      </x:c>
      <x:c r="O310" s="9" t="str">
        <x:f>IF(M310="","",IF(AM310="PARIU U229,5",IF(M310="UNDER","SUCCES","EȘEC"),IF(M310="UNDER","FALS NEGATIV","EVITARE CORECTĂ")))</x:f>
      </x:c>
      <x:c r="P310" s="9" t="str">
        <x:f>IF(M310="","",IF(M310="UNDER",1,0))</x:f>
      </x:c>
      <x:c r="Q310" s="9" t="str">
        <x:f>IF(P310="","",(G310-P310)^2)</x:f>
      </x:c>
      <x:c r="R310" s="9" t="str">
        <x:f>IF(L310="","",L310-F310)</x:f>
      </x:c>
      <x:c r="S310" s="9" t="str">
        <x:f>IF(L310="","",IF(M310="UNDER","U229,5 reușit; total final "&amp;L310&amp;" vs λ="&amp;TEXT(F310,"0.00")&amp;".","Eșec U229,5; total final "&amp;L310&amp;" vs λ="&amp;TEXT(F310,"0.00")&amp;". Revizuiește Tail Risk, sursa λ și calibrarea."))</x:f>
      </x:c>
      <x:c r="T310" s="51"/>
      <x:c r="U310" s="51"/>
      <x:c r="V310" s="51"/>
      <x:c r="W310" s="61"/>
      <x:c r="X310" s="61"/>
      <x:c r="Y310" s="51"/>
      <x:c r="Z310" s="53"/>
      <x:c r="AA310" s="51"/>
      <x:c r="AB310" s="64" t="str">
        <x:f>IF(AC310="","",AC310)</x:f>
      </x:c>
      <x:c r="AC310" s="67"/>
      <x:c r="AD310" s="69" t="str">
        <x:f>IF(AE310="","",AE310)</x:f>
      </x:c>
      <x:c r="AE310" s="71"/>
      <x:c r="AF310" s="73" t="str">
        <x:f>IF(AC310="","",1/AC310)</x:f>
      </x:c>
      <x:c r="AG310" s="61"/>
      <x:c r="AH310" s="61"/>
      <x:c r="AI310" s="64" t="str">
        <x:f>IF(OR(AC310="",AG310=""),"",AC310*AG310-1)</x:f>
      </x:c>
      <x:c r="AJ310" s="75" t="str">
        <x:f>IF(OR(G310="",F310=""),"",IF(AND(G310&gt;='Calibrare v2'!$B$35,F310&lt;='Calibrare v2'!$B$34),"PASS","FAIL"))</x:f>
      </x:c>
      <x:c r="AK310" s="75" t="str">
        <x:f>IF(AL310="","",AL310)</x:f>
      </x:c>
      <x:c r="AL310" s="77"/>
      <x:c r="AM310" s="77"/>
      <x:c r="AN310" s="64" t="str">
        <x:f>IF(OR(AC310="",P310=""),"",(AC310-P310)^2)</x:f>
      </x:c>
      <x:c r="AO310" s="64" t="str">
        <x:f>IF(OR(AG310="",AH310=""),"",AG310/AH310-1)</x:f>
      </x:c>
      <x:c r="AP310" s="61"/>
      <x:c r="AQ310" s="73" t="n">
        <x:f>IF(OR(AM310&lt;&gt;"PARIU U4,5",M310="",AP310="",AG310=""),0,IF(M310="UNDER",AP310*(AG310-1),-AP310))</x:f>
        <x:v>0</x:v>
      </x:c>
      <x:c r="AR310" s="51"/>
    </x:row>
    <x:row r="311">
      <x:c r="A311" s="9" t="str">
        <x:f>IF(D311="","",ROW()-1)</x:f>
      </x:c>
      <x:c r="B311" s="51"/>
      <x:c r="C311" s="51"/>
      <x:c r="D311" s="51"/>
      <x:c r="E311" s="9" t="str">
        <x:f>IF(D311="","",IF(AND(F311&lt;='Calibrare v2'!$B$33,G311&gt;=0.86),"DA – FEZABIL",IF(G311&gt;=0.8,"DA – PRUDENT","NU – EVITĂ")))</x:f>
      </x:c>
      <x:c r="F311" s="16" t="str">
        <x:f>IF(OR(W311="",X311=""),"",W311+X311)</x:f>
      </x:c>
      <x:c r="G311" s="28" t="str">
        <x:f>IF(F311="","",EXP(-F311)*(1+F311+F311^2/2+F311^3/6+F311^4/24))</x:f>
      </x:c>
      <x:c r="H311" s="53"/>
      <x:c r="I311" s="9" t="str">
        <x:f>IF(F311="","",IF(F311&lt;='Calibrare v2'!$B$33,"PASS","FAIL"))</x:f>
      </x:c>
      <x:c r="J311" s="51"/>
      <x:c r="K311" s="51"/>
      <x:c r="L311" s="9" t="str">
        <x:f>IF(OR(J311="",K311=""),"",J311+K311)</x:f>
      </x:c>
      <x:c r="M311" s="9" t="str">
        <x:f>IF(L311="","",IF(L311&lt;=4,"UNDER","OVER"))</x:f>
      </x:c>
      <x:c r="N311" s="9" t="str">
        <x:f>IF(E311="","",IF(LEFT(E311,2)="DA","PARIU U230,5","NO BET"))</x:f>
      </x:c>
      <x:c r="O311" s="9" t="str">
        <x:f>IF(M311="","",IF(AM311="PARIU U230,5",IF(M311="UNDER","SUCCES","EȘEC"),IF(M311="UNDER","FALS NEGATIV","EVITARE CORECTĂ")))</x:f>
      </x:c>
      <x:c r="P311" s="9" t="str">
        <x:f>IF(M311="","",IF(M311="UNDER",1,0))</x:f>
      </x:c>
      <x:c r="Q311" s="9" t="str">
        <x:f>IF(P311="","",(G311-P311)^2)</x:f>
      </x:c>
      <x:c r="R311" s="9" t="str">
        <x:f>IF(L311="","",L311-F311)</x:f>
      </x:c>
      <x:c r="S311" s="9" t="str">
        <x:f>IF(L311="","",IF(M311="UNDER","U230,5 reușit; total final "&amp;L311&amp;" vs λ="&amp;TEXT(F311,"0.00")&amp;".","Eșec U230,5; total final "&amp;L311&amp;" vs λ="&amp;TEXT(F311,"0.00")&amp;". Revizuiește Tail Risk, sursa λ și calibrarea."))</x:f>
      </x:c>
      <x:c r="T311" s="51"/>
      <x:c r="U311" s="51"/>
      <x:c r="V311" s="51"/>
      <x:c r="W311" s="61"/>
      <x:c r="X311" s="61"/>
      <x:c r="Y311" s="51"/>
      <x:c r="Z311" s="53"/>
      <x:c r="AA311" s="51"/>
      <x:c r="AB311" s="64" t="str">
        <x:f>IF(AC311="","",AC311)</x:f>
      </x:c>
      <x:c r="AC311" s="67"/>
      <x:c r="AD311" s="69" t="str">
        <x:f>IF(AE311="","",AE311)</x:f>
      </x:c>
      <x:c r="AE311" s="71"/>
      <x:c r="AF311" s="73" t="str">
        <x:f>IF(AC311="","",1/AC311)</x:f>
      </x:c>
      <x:c r="AG311" s="61"/>
      <x:c r="AH311" s="61"/>
      <x:c r="AI311" s="64" t="str">
        <x:f>IF(OR(AC311="",AG311=""),"",AC311*AG311-1)</x:f>
      </x:c>
      <x:c r="AJ311" s="75" t="str">
        <x:f>IF(OR(G311="",F311=""),"",IF(AND(G311&gt;='Calibrare v2'!$B$35,F311&lt;='Calibrare v2'!$B$34),"PASS","FAIL"))</x:f>
      </x:c>
      <x:c r="AK311" s="75" t="str">
        <x:f>IF(AL311="","",AL311)</x:f>
      </x:c>
      <x:c r="AL311" s="77"/>
      <x:c r="AM311" s="77"/>
      <x:c r="AN311" s="64" t="str">
        <x:f>IF(OR(AC311="",P311=""),"",(AC311-P311)^2)</x:f>
      </x:c>
      <x:c r="AO311" s="64" t="str">
        <x:f>IF(OR(AG311="",AH311=""),"",AG311/AH311-1)</x:f>
      </x:c>
      <x:c r="AP311" s="61"/>
      <x:c r="AQ311" s="73" t="n">
        <x:f>IF(OR(AM311&lt;&gt;"PARIU U4,5",M311="",AP311="",AG311=""),0,IF(M311="UNDER",AP311*(AG311-1),-AP311))</x:f>
        <x:v>0</x:v>
      </x:c>
      <x:c r="AR311" s="51"/>
    </x:row>
    <x:row r="312">
      <x:c r="A312" s="9" t="str">
        <x:f>IF(D312="","",ROW()-1)</x:f>
      </x:c>
      <x:c r="B312" s="51"/>
      <x:c r="C312" s="51"/>
      <x:c r="D312" s="51"/>
      <x:c r="E312" s="9" t="str">
        <x:f>IF(D312="","",IF(AND(F312&lt;='Calibrare v2'!$B$33,G312&gt;=0.86),"DA – FEZABIL",IF(G312&gt;=0.8,"DA – PRUDENT","NU – EVITĂ")))</x:f>
      </x:c>
      <x:c r="F312" s="16" t="str">
        <x:f>IF(OR(W312="",X312=""),"",W312+X312)</x:f>
      </x:c>
      <x:c r="G312" s="28" t="str">
        <x:f>IF(F312="","",EXP(-F312)*(1+F312+F312^2/2+F312^3/6+F312^4/24))</x:f>
      </x:c>
      <x:c r="H312" s="53"/>
      <x:c r="I312" s="9" t="str">
        <x:f>IF(F312="","",IF(F312&lt;='Calibrare v2'!$B$33,"PASS","FAIL"))</x:f>
      </x:c>
      <x:c r="J312" s="51"/>
      <x:c r="K312" s="51"/>
      <x:c r="L312" s="9" t="str">
        <x:f>IF(OR(J312="",K312=""),"",J312+K312)</x:f>
      </x:c>
      <x:c r="M312" s="9" t="str">
        <x:f>IF(L312="","",IF(L312&lt;=4,"UNDER","OVER"))</x:f>
      </x:c>
      <x:c r="N312" s="9" t="str">
        <x:f>IF(E312="","",IF(LEFT(E312,2)="DA","PARIU U231,5","NO BET"))</x:f>
      </x:c>
      <x:c r="O312" s="9" t="str">
        <x:f>IF(M312="","",IF(AM312="PARIU U231,5",IF(M312="UNDER","SUCCES","EȘEC"),IF(M312="UNDER","FALS NEGATIV","EVITARE CORECTĂ")))</x:f>
      </x:c>
      <x:c r="P312" s="9" t="str">
        <x:f>IF(M312="","",IF(M312="UNDER",1,0))</x:f>
      </x:c>
      <x:c r="Q312" s="9" t="str">
        <x:f>IF(P312="","",(G312-P312)^2)</x:f>
      </x:c>
      <x:c r="R312" s="9" t="str">
        <x:f>IF(L312="","",L312-F312)</x:f>
      </x:c>
      <x:c r="S312" s="9" t="str">
        <x:f>IF(L312="","",IF(M312="UNDER","U231,5 reușit; total final "&amp;L312&amp;" vs λ="&amp;TEXT(F312,"0.00")&amp;".","Eșec U231,5; total final "&amp;L312&amp;" vs λ="&amp;TEXT(F312,"0.00")&amp;". Revizuiește Tail Risk, sursa λ și calibrarea."))</x:f>
      </x:c>
      <x:c r="T312" s="51"/>
      <x:c r="U312" s="51"/>
      <x:c r="V312" s="51"/>
      <x:c r="W312" s="61"/>
      <x:c r="X312" s="61"/>
      <x:c r="Y312" s="51"/>
      <x:c r="Z312" s="53"/>
      <x:c r="AA312" s="51"/>
      <x:c r="AB312" s="64" t="str">
        <x:f>IF(AC312="","",AC312)</x:f>
      </x:c>
      <x:c r="AC312" s="67"/>
      <x:c r="AD312" s="69" t="str">
        <x:f>IF(AE312="","",AE312)</x:f>
      </x:c>
      <x:c r="AE312" s="71"/>
      <x:c r="AF312" s="73" t="str">
        <x:f>IF(AC312="","",1/AC312)</x:f>
      </x:c>
      <x:c r="AG312" s="61"/>
      <x:c r="AH312" s="61"/>
      <x:c r="AI312" s="64" t="str">
        <x:f>IF(OR(AC312="",AG312=""),"",AC312*AG312-1)</x:f>
      </x:c>
      <x:c r="AJ312" s="75" t="str">
        <x:f>IF(OR(G312="",F312=""),"",IF(AND(G312&gt;='Calibrare v2'!$B$35,F312&lt;='Calibrare v2'!$B$34),"PASS","FAIL"))</x:f>
      </x:c>
      <x:c r="AK312" s="75" t="str">
        <x:f>IF(AL312="","",AL312)</x:f>
      </x:c>
      <x:c r="AL312" s="77"/>
      <x:c r="AM312" s="77"/>
      <x:c r="AN312" s="64" t="str">
        <x:f>IF(OR(AC312="",P312=""),"",(AC312-P312)^2)</x:f>
      </x:c>
      <x:c r="AO312" s="64" t="str">
        <x:f>IF(OR(AG312="",AH312=""),"",AG312/AH312-1)</x:f>
      </x:c>
      <x:c r="AP312" s="61"/>
      <x:c r="AQ312" s="73" t="n">
        <x:f>IF(OR(AM312&lt;&gt;"PARIU U4,5",M312="",AP312="",AG312=""),0,IF(M312="UNDER",AP312*(AG312-1),-AP312))</x:f>
        <x:v>0</x:v>
      </x:c>
      <x:c r="AR312" s="51"/>
    </x:row>
    <x:row r="313">
      <x:c r="A313" s="9" t="str">
        <x:f>IF(D313="","",ROW()-1)</x:f>
      </x:c>
      <x:c r="B313" s="51"/>
      <x:c r="C313" s="51"/>
      <x:c r="D313" s="51"/>
      <x:c r="E313" s="9" t="str">
        <x:f>IF(D313="","",IF(AND(F313&lt;='Calibrare v2'!$B$33,G313&gt;=0.86),"DA – FEZABIL",IF(G313&gt;=0.8,"DA – PRUDENT","NU – EVITĂ")))</x:f>
      </x:c>
      <x:c r="F313" s="16" t="str">
        <x:f>IF(OR(W313="",X313=""),"",W313+X313)</x:f>
      </x:c>
      <x:c r="G313" s="28" t="str">
        <x:f>IF(F313="","",EXP(-F313)*(1+F313+F313^2/2+F313^3/6+F313^4/24))</x:f>
      </x:c>
      <x:c r="H313" s="53"/>
      <x:c r="I313" s="9" t="str">
        <x:f>IF(F313="","",IF(F313&lt;='Calibrare v2'!$B$33,"PASS","FAIL"))</x:f>
      </x:c>
      <x:c r="J313" s="51"/>
      <x:c r="K313" s="51"/>
      <x:c r="L313" s="9" t="str">
        <x:f>IF(OR(J313="",K313=""),"",J313+K313)</x:f>
      </x:c>
      <x:c r="M313" s="9" t="str">
        <x:f>IF(L313="","",IF(L313&lt;=4,"UNDER","OVER"))</x:f>
      </x:c>
      <x:c r="N313" s="9" t="str">
        <x:f>IF(E313="","",IF(LEFT(E313,2)="DA","PARIU U232,5","NO BET"))</x:f>
      </x:c>
      <x:c r="O313" s="9" t="str">
        <x:f>IF(M313="","",IF(AM313="PARIU U232,5",IF(M313="UNDER","SUCCES","EȘEC"),IF(M313="UNDER","FALS NEGATIV","EVITARE CORECTĂ")))</x:f>
      </x:c>
      <x:c r="P313" s="9" t="str">
        <x:f>IF(M313="","",IF(M313="UNDER",1,0))</x:f>
      </x:c>
      <x:c r="Q313" s="9" t="str">
        <x:f>IF(P313="","",(G313-P313)^2)</x:f>
      </x:c>
      <x:c r="R313" s="9" t="str">
        <x:f>IF(L313="","",L313-F313)</x:f>
      </x:c>
      <x:c r="S313" s="9" t="str">
        <x:f>IF(L313="","",IF(M313="UNDER","U232,5 reușit; total final "&amp;L313&amp;" vs λ="&amp;TEXT(F313,"0.00")&amp;".","Eșec U232,5; total final "&amp;L313&amp;" vs λ="&amp;TEXT(F313,"0.00")&amp;". Revizuiește Tail Risk, sursa λ și calibrarea."))</x:f>
      </x:c>
      <x:c r="T313" s="51"/>
      <x:c r="U313" s="51"/>
      <x:c r="V313" s="51"/>
      <x:c r="W313" s="61"/>
      <x:c r="X313" s="61"/>
      <x:c r="Y313" s="51"/>
      <x:c r="Z313" s="53"/>
      <x:c r="AA313" s="51"/>
      <x:c r="AB313" s="64" t="str">
        <x:f>IF(AC313="","",AC313)</x:f>
      </x:c>
      <x:c r="AC313" s="67"/>
      <x:c r="AD313" s="69" t="str">
        <x:f>IF(AE313="","",AE313)</x:f>
      </x:c>
      <x:c r="AE313" s="71"/>
      <x:c r="AF313" s="73" t="str">
        <x:f>IF(AC313="","",1/AC313)</x:f>
      </x:c>
      <x:c r="AG313" s="61"/>
      <x:c r="AH313" s="61"/>
      <x:c r="AI313" s="64" t="str">
        <x:f>IF(OR(AC313="",AG313=""),"",AC313*AG313-1)</x:f>
      </x:c>
      <x:c r="AJ313" s="75" t="str">
        <x:f>IF(OR(G313="",F313=""),"",IF(AND(G313&gt;='Calibrare v2'!$B$35,F313&lt;='Calibrare v2'!$B$34),"PASS","FAIL"))</x:f>
      </x:c>
      <x:c r="AK313" s="75" t="str">
        <x:f>IF(AL313="","",AL313)</x:f>
      </x:c>
      <x:c r="AL313" s="77"/>
      <x:c r="AM313" s="77"/>
      <x:c r="AN313" s="64" t="str">
        <x:f>IF(OR(AC313="",P313=""),"",(AC313-P313)^2)</x:f>
      </x:c>
      <x:c r="AO313" s="64" t="str">
        <x:f>IF(OR(AG313="",AH313=""),"",AG313/AH313-1)</x:f>
      </x:c>
      <x:c r="AP313" s="61"/>
      <x:c r="AQ313" s="73" t="n">
        <x:f>IF(OR(AM313&lt;&gt;"PARIU U4,5",M313="",AP313="",AG313=""),0,IF(M313="UNDER",AP313*(AG313-1),-AP313))</x:f>
        <x:v>0</x:v>
      </x:c>
      <x:c r="AR313" s="51"/>
    </x:row>
    <x:row r="314">
      <x:c r="A314" s="9" t="str">
        <x:f>IF(D314="","",ROW()-1)</x:f>
      </x:c>
      <x:c r="B314" s="51"/>
      <x:c r="C314" s="51"/>
      <x:c r="D314" s="51"/>
      <x:c r="E314" s="9" t="str">
        <x:f>IF(D314="","",IF(AND(F314&lt;='Calibrare v2'!$B$33,G314&gt;=0.86),"DA – FEZABIL",IF(G314&gt;=0.8,"DA – PRUDENT","NU – EVITĂ")))</x:f>
      </x:c>
      <x:c r="F314" s="16" t="str">
        <x:f>IF(OR(W314="",X314=""),"",W314+X314)</x:f>
      </x:c>
      <x:c r="G314" s="28" t="str">
        <x:f>IF(F314="","",EXP(-F314)*(1+F314+F314^2/2+F314^3/6+F314^4/24))</x:f>
      </x:c>
      <x:c r="H314" s="53"/>
      <x:c r="I314" s="9" t="str">
        <x:f>IF(F314="","",IF(F314&lt;='Calibrare v2'!$B$33,"PASS","FAIL"))</x:f>
      </x:c>
      <x:c r="J314" s="51"/>
      <x:c r="K314" s="51"/>
      <x:c r="L314" s="9" t="str">
        <x:f>IF(OR(J314="",K314=""),"",J314+K314)</x:f>
      </x:c>
      <x:c r="M314" s="9" t="str">
        <x:f>IF(L314="","",IF(L314&lt;=4,"UNDER","OVER"))</x:f>
      </x:c>
      <x:c r="N314" s="9" t="str">
        <x:f>IF(E314="","",IF(LEFT(E314,2)="DA","PARIU U233,5","NO BET"))</x:f>
      </x:c>
      <x:c r="O314" s="9" t="str">
        <x:f>IF(M314="","",IF(AM314="PARIU U233,5",IF(M314="UNDER","SUCCES","EȘEC"),IF(M314="UNDER","FALS NEGATIV","EVITARE CORECTĂ")))</x:f>
      </x:c>
      <x:c r="P314" s="9" t="str">
        <x:f>IF(M314="","",IF(M314="UNDER",1,0))</x:f>
      </x:c>
      <x:c r="Q314" s="9" t="str">
        <x:f>IF(P314="","",(G314-P314)^2)</x:f>
      </x:c>
      <x:c r="R314" s="9" t="str">
        <x:f>IF(L314="","",L314-F314)</x:f>
      </x:c>
      <x:c r="S314" s="9" t="str">
        <x:f>IF(L314="","",IF(M314="UNDER","U233,5 reușit; total final "&amp;L314&amp;" vs λ="&amp;TEXT(F314,"0.00")&amp;".","Eșec U233,5; total final "&amp;L314&amp;" vs λ="&amp;TEXT(F314,"0.00")&amp;". Revizuiește Tail Risk, sursa λ și calibrarea."))</x:f>
      </x:c>
      <x:c r="T314" s="51"/>
      <x:c r="U314" s="51"/>
      <x:c r="V314" s="51"/>
      <x:c r="W314" s="61"/>
      <x:c r="X314" s="61"/>
      <x:c r="Y314" s="51"/>
      <x:c r="Z314" s="53"/>
      <x:c r="AA314" s="51"/>
      <x:c r="AB314" s="64" t="str">
        <x:f>IF(AC314="","",AC314)</x:f>
      </x:c>
      <x:c r="AC314" s="67"/>
      <x:c r="AD314" s="69" t="str">
        <x:f>IF(AE314="","",AE314)</x:f>
      </x:c>
      <x:c r="AE314" s="71"/>
      <x:c r="AF314" s="73" t="str">
        <x:f>IF(AC314="","",1/AC314)</x:f>
      </x:c>
      <x:c r="AG314" s="61"/>
      <x:c r="AH314" s="61"/>
      <x:c r="AI314" s="64" t="str">
        <x:f>IF(OR(AC314="",AG314=""),"",AC314*AG314-1)</x:f>
      </x:c>
      <x:c r="AJ314" s="75" t="str">
        <x:f>IF(OR(G314="",F314=""),"",IF(AND(G314&gt;='Calibrare v2'!$B$35,F314&lt;='Calibrare v2'!$B$34),"PASS","FAIL"))</x:f>
      </x:c>
      <x:c r="AK314" s="75" t="str">
        <x:f>IF(AL314="","",AL314)</x:f>
      </x:c>
      <x:c r="AL314" s="77"/>
      <x:c r="AM314" s="77"/>
      <x:c r="AN314" s="64" t="str">
        <x:f>IF(OR(AC314="",P314=""),"",(AC314-P314)^2)</x:f>
      </x:c>
      <x:c r="AO314" s="64" t="str">
        <x:f>IF(OR(AG314="",AH314=""),"",AG314/AH314-1)</x:f>
      </x:c>
      <x:c r="AP314" s="61"/>
      <x:c r="AQ314" s="73" t="n">
        <x:f>IF(OR(AM314&lt;&gt;"PARIU U4,5",M314="",AP314="",AG314=""),0,IF(M314="UNDER",AP314*(AG314-1),-AP314))</x:f>
        <x:v>0</x:v>
      </x:c>
      <x:c r="AR314" s="51"/>
    </x:row>
    <x:row r="315">
      <x:c r="A315" s="9" t="str">
        <x:f>IF(D315="","",ROW()-1)</x:f>
      </x:c>
      <x:c r="B315" s="51"/>
      <x:c r="C315" s="51"/>
      <x:c r="D315" s="51"/>
      <x:c r="E315" s="9" t="str">
        <x:f>IF(D315="","",IF(AND(F315&lt;='Calibrare v2'!$B$33,G315&gt;=0.86),"DA – FEZABIL",IF(G315&gt;=0.8,"DA – PRUDENT","NU – EVITĂ")))</x:f>
      </x:c>
      <x:c r="F315" s="16" t="str">
        <x:f>IF(OR(W315="",X315=""),"",W315+X315)</x:f>
      </x:c>
      <x:c r="G315" s="28" t="str">
        <x:f>IF(F315="","",EXP(-F315)*(1+F315+F315^2/2+F315^3/6+F315^4/24))</x:f>
      </x:c>
      <x:c r="H315" s="53"/>
      <x:c r="I315" s="9" t="str">
        <x:f>IF(F315="","",IF(F315&lt;='Calibrare v2'!$B$33,"PASS","FAIL"))</x:f>
      </x:c>
      <x:c r="J315" s="51"/>
      <x:c r="K315" s="51"/>
      <x:c r="L315" s="9" t="str">
        <x:f>IF(OR(J315="",K315=""),"",J315+K315)</x:f>
      </x:c>
      <x:c r="M315" s="9" t="str">
        <x:f>IF(L315="","",IF(L315&lt;=4,"UNDER","OVER"))</x:f>
      </x:c>
      <x:c r="N315" s="9" t="str">
        <x:f>IF(E315="","",IF(LEFT(E315,2)="DA","PARIU U234,5","NO BET"))</x:f>
      </x:c>
      <x:c r="O315" s="9" t="str">
        <x:f>IF(M315="","",IF(AM315="PARIU U234,5",IF(M315="UNDER","SUCCES","EȘEC"),IF(M315="UNDER","FALS NEGATIV","EVITARE CORECTĂ")))</x:f>
      </x:c>
      <x:c r="P315" s="9" t="str">
        <x:f>IF(M315="","",IF(M315="UNDER",1,0))</x:f>
      </x:c>
      <x:c r="Q315" s="9" t="str">
        <x:f>IF(P315="","",(G315-P315)^2)</x:f>
      </x:c>
      <x:c r="R315" s="9" t="str">
        <x:f>IF(L315="","",L315-F315)</x:f>
      </x:c>
      <x:c r="S315" s="9" t="str">
        <x:f>IF(L315="","",IF(M315="UNDER","U234,5 reușit; total final "&amp;L315&amp;" vs λ="&amp;TEXT(F315,"0.00")&amp;".","Eșec U234,5; total final "&amp;L315&amp;" vs λ="&amp;TEXT(F315,"0.00")&amp;". Revizuiește Tail Risk, sursa λ și calibrarea."))</x:f>
      </x:c>
      <x:c r="T315" s="51"/>
      <x:c r="U315" s="51"/>
      <x:c r="V315" s="51"/>
      <x:c r="W315" s="61"/>
      <x:c r="X315" s="61"/>
      <x:c r="Y315" s="51"/>
      <x:c r="Z315" s="53"/>
      <x:c r="AA315" s="51"/>
      <x:c r="AB315" s="64" t="str">
        <x:f>IF(AC315="","",AC315)</x:f>
      </x:c>
      <x:c r="AC315" s="67"/>
      <x:c r="AD315" s="69" t="str">
        <x:f>IF(AE315="","",AE315)</x:f>
      </x:c>
      <x:c r="AE315" s="71"/>
      <x:c r="AF315" s="73" t="str">
        <x:f>IF(AC315="","",1/AC315)</x:f>
      </x:c>
      <x:c r="AG315" s="61"/>
      <x:c r="AH315" s="61"/>
      <x:c r="AI315" s="64" t="str">
        <x:f>IF(OR(AC315="",AG315=""),"",AC315*AG315-1)</x:f>
      </x:c>
      <x:c r="AJ315" s="75" t="str">
        <x:f>IF(OR(G315="",F315=""),"",IF(AND(G315&gt;='Calibrare v2'!$B$35,F315&lt;='Calibrare v2'!$B$34),"PASS","FAIL"))</x:f>
      </x:c>
      <x:c r="AK315" s="75" t="str">
        <x:f>IF(AL315="","",AL315)</x:f>
      </x:c>
      <x:c r="AL315" s="77"/>
      <x:c r="AM315" s="77"/>
      <x:c r="AN315" s="64" t="str">
        <x:f>IF(OR(AC315="",P315=""),"",(AC315-P315)^2)</x:f>
      </x:c>
      <x:c r="AO315" s="64" t="str">
        <x:f>IF(OR(AG315="",AH315=""),"",AG315/AH315-1)</x:f>
      </x:c>
      <x:c r="AP315" s="61"/>
      <x:c r="AQ315" s="73" t="n">
        <x:f>IF(OR(AM315&lt;&gt;"PARIU U4,5",M315="",AP315="",AG315=""),0,IF(M315="UNDER",AP315*(AG315-1),-AP315))</x:f>
        <x:v>0</x:v>
      </x:c>
      <x:c r="AR315" s="51"/>
    </x:row>
    <x:row r="316">
      <x:c r="A316" s="9" t="str">
        <x:f>IF(D316="","",ROW()-1)</x:f>
      </x:c>
      <x:c r="B316" s="51"/>
      <x:c r="C316" s="51"/>
      <x:c r="D316" s="51"/>
      <x:c r="E316" s="9" t="str">
        <x:f>IF(D316="","",IF(AND(F316&lt;='Calibrare v2'!$B$33,G316&gt;=0.86),"DA – FEZABIL",IF(G316&gt;=0.8,"DA – PRUDENT","NU – EVITĂ")))</x:f>
      </x:c>
      <x:c r="F316" s="16" t="str">
        <x:f>IF(OR(W316="",X316=""),"",W316+X316)</x:f>
      </x:c>
      <x:c r="G316" s="28" t="str">
        <x:f>IF(F316="","",EXP(-F316)*(1+F316+F316^2/2+F316^3/6+F316^4/24))</x:f>
      </x:c>
      <x:c r="H316" s="53"/>
      <x:c r="I316" s="9" t="str">
        <x:f>IF(F316="","",IF(F316&lt;='Calibrare v2'!$B$33,"PASS","FAIL"))</x:f>
      </x:c>
      <x:c r="J316" s="51"/>
      <x:c r="K316" s="51"/>
      <x:c r="L316" s="9" t="str">
        <x:f>IF(OR(J316="",K316=""),"",J316+K316)</x:f>
      </x:c>
      <x:c r="M316" s="9" t="str">
        <x:f>IF(L316="","",IF(L316&lt;=4,"UNDER","OVER"))</x:f>
      </x:c>
      <x:c r="N316" s="9" t="str">
        <x:f>IF(E316="","",IF(LEFT(E316,2)="DA","PARIU U235,5","NO BET"))</x:f>
      </x:c>
      <x:c r="O316" s="9" t="str">
        <x:f>IF(M316="","",IF(AM316="PARIU U235,5",IF(M316="UNDER","SUCCES","EȘEC"),IF(M316="UNDER","FALS NEGATIV","EVITARE CORECTĂ")))</x:f>
      </x:c>
      <x:c r="P316" s="9" t="str">
        <x:f>IF(M316="","",IF(M316="UNDER",1,0))</x:f>
      </x:c>
      <x:c r="Q316" s="9" t="str">
        <x:f>IF(P316="","",(G316-P316)^2)</x:f>
      </x:c>
      <x:c r="R316" s="9" t="str">
        <x:f>IF(L316="","",L316-F316)</x:f>
      </x:c>
      <x:c r="S316" s="9" t="str">
        <x:f>IF(L316="","",IF(M316="UNDER","U235,5 reușit; total final "&amp;L316&amp;" vs λ="&amp;TEXT(F316,"0.00")&amp;".","Eșec U235,5; total final "&amp;L316&amp;" vs λ="&amp;TEXT(F316,"0.00")&amp;". Revizuiește Tail Risk, sursa λ și calibrarea."))</x:f>
      </x:c>
      <x:c r="T316" s="51"/>
      <x:c r="U316" s="51"/>
      <x:c r="V316" s="51"/>
      <x:c r="W316" s="61"/>
      <x:c r="X316" s="61"/>
      <x:c r="Y316" s="51"/>
      <x:c r="Z316" s="53"/>
      <x:c r="AA316" s="51"/>
      <x:c r="AB316" s="64" t="str">
        <x:f>IF(AC316="","",AC316)</x:f>
      </x:c>
      <x:c r="AC316" s="67"/>
      <x:c r="AD316" s="69" t="str">
        <x:f>IF(AE316="","",AE316)</x:f>
      </x:c>
      <x:c r="AE316" s="71"/>
      <x:c r="AF316" s="73" t="str">
        <x:f>IF(AC316="","",1/AC316)</x:f>
      </x:c>
      <x:c r="AG316" s="61"/>
      <x:c r="AH316" s="61"/>
      <x:c r="AI316" s="64" t="str">
        <x:f>IF(OR(AC316="",AG316=""),"",AC316*AG316-1)</x:f>
      </x:c>
      <x:c r="AJ316" s="75" t="str">
        <x:f>IF(OR(G316="",F316=""),"",IF(AND(G316&gt;='Calibrare v2'!$B$35,F316&lt;='Calibrare v2'!$B$34),"PASS","FAIL"))</x:f>
      </x:c>
      <x:c r="AK316" s="75" t="str">
        <x:f>IF(AL316="","",AL316)</x:f>
      </x:c>
      <x:c r="AL316" s="77"/>
      <x:c r="AM316" s="77"/>
      <x:c r="AN316" s="64" t="str">
        <x:f>IF(OR(AC316="",P316=""),"",(AC316-P316)^2)</x:f>
      </x:c>
      <x:c r="AO316" s="64" t="str">
        <x:f>IF(OR(AG316="",AH316=""),"",AG316/AH316-1)</x:f>
      </x:c>
      <x:c r="AP316" s="61"/>
      <x:c r="AQ316" s="73" t="n">
        <x:f>IF(OR(AM316&lt;&gt;"PARIU U4,5",M316="",AP316="",AG316=""),0,IF(M316="UNDER",AP316*(AG316-1),-AP316))</x:f>
        <x:v>0</x:v>
      </x:c>
      <x:c r="AR316" s="51"/>
    </x:row>
    <x:row r="317">
      <x:c r="A317" s="9" t="str">
        <x:f>IF(D317="","",ROW()-1)</x:f>
      </x:c>
      <x:c r="B317" s="51"/>
      <x:c r="C317" s="51"/>
      <x:c r="D317" s="51"/>
      <x:c r="E317" s="9" t="str">
        <x:f>IF(D317="","",IF(AND(F317&lt;='Calibrare v2'!$B$33,G317&gt;=0.86),"DA – FEZABIL",IF(G317&gt;=0.8,"DA – PRUDENT","NU – EVITĂ")))</x:f>
      </x:c>
      <x:c r="F317" s="16" t="str">
        <x:f>IF(OR(W317="",X317=""),"",W317+X317)</x:f>
      </x:c>
      <x:c r="G317" s="28" t="str">
        <x:f>IF(F317="","",EXP(-F317)*(1+F317+F317^2/2+F317^3/6+F317^4/24))</x:f>
      </x:c>
      <x:c r="H317" s="53"/>
      <x:c r="I317" s="9" t="str">
        <x:f>IF(F317="","",IF(F317&lt;='Calibrare v2'!$B$33,"PASS","FAIL"))</x:f>
      </x:c>
      <x:c r="J317" s="51"/>
      <x:c r="K317" s="51"/>
      <x:c r="L317" s="9" t="str">
        <x:f>IF(OR(J317="",K317=""),"",J317+K317)</x:f>
      </x:c>
      <x:c r="M317" s="9" t="str">
        <x:f>IF(L317="","",IF(L317&lt;=4,"UNDER","OVER"))</x:f>
      </x:c>
      <x:c r="N317" s="9" t="str">
        <x:f>IF(E317="","",IF(LEFT(E317,2)="DA","PARIU U236,5","NO BET"))</x:f>
      </x:c>
      <x:c r="O317" s="9" t="str">
        <x:f>IF(M317="","",IF(AM317="PARIU U236,5",IF(M317="UNDER","SUCCES","EȘEC"),IF(M317="UNDER","FALS NEGATIV","EVITARE CORECTĂ")))</x:f>
      </x:c>
      <x:c r="P317" s="9" t="str">
        <x:f>IF(M317="","",IF(M317="UNDER",1,0))</x:f>
      </x:c>
      <x:c r="Q317" s="9" t="str">
        <x:f>IF(P317="","",(G317-P317)^2)</x:f>
      </x:c>
      <x:c r="R317" s="9" t="str">
        <x:f>IF(L317="","",L317-F317)</x:f>
      </x:c>
      <x:c r="S317" s="9" t="str">
        <x:f>IF(L317="","",IF(M317="UNDER","U236,5 reușit; total final "&amp;L317&amp;" vs λ="&amp;TEXT(F317,"0.00")&amp;".","Eșec U236,5; total final "&amp;L317&amp;" vs λ="&amp;TEXT(F317,"0.00")&amp;". Revizuiește Tail Risk, sursa λ și calibrarea."))</x:f>
      </x:c>
      <x:c r="T317" s="51"/>
      <x:c r="U317" s="51"/>
      <x:c r="V317" s="51"/>
      <x:c r="W317" s="61"/>
      <x:c r="X317" s="61"/>
      <x:c r="Y317" s="51"/>
      <x:c r="Z317" s="53"/>
      <x:c r="AA317" s="51"/>
      <x:c r="AB317" s="64" t="str">
        <x:f>IF(AC317="","",AC317)</x:f>
      </x:c>
      <x:c r="AC317" s="67"/>
      <x:c r="AD317" s="69" t="str">
        <x:f>IF(AE317="","",AE317)</x:f>
      </x:c>
      <x:c r="AE317" s="71"/>
      <x:c r="AF317" s="73" t="str">
        <x:f>IF(AC317="","",1/AC317)</x:f>
      </x:c>
      <x:c r="AG317" s="61"/>
      <x:c r="AH317" s="61"/>
      <x:c r="AI317" s="64" t="str">
        <x:f>IF(OR(AC317="",AG317=""),"",AC317*AG317-1)</x:f>
      </x:c>
      <x:c r="AJ317" s="75" t="str">
        <x:f>IF(OR(G317="",F317=""),"",IF(AND(G317&gt;='Calibrare v2'!$B$35,F317&lt;='Calibrare v2'!$B$34),"PASS","FAIL"))</x:f>
      </x:c>
      <x:c r="AK317" s="75" t="str">
        <x:f>IF(AL317="","",AL317)</x:f>
      </x:c>
      <x:c r="AL317" s="77"/>
      <x:c r="AM317" s="77"/>
      <x:c r="AN317" s="64" t="str">
        <x:f>IF(OR(AC317="",P317=""),"",(AC317-P317)^2)</x:f>
      </x:c>
      <x:c r="AO317" s="64" t="str">
        <x:f>IF(OR(AG317="",AH317=""),"",AG317/AH317-1)</x:f>
      </x:c>
      <x:c r="AP317" s="61"/>
      <x:c r="AQ317" s="73" t="n">
        <x:f>IF(OR(AM317&lt;&gt;"PARIU U4,5",M317="",AP317="",AG317=""),0,IF(M317="UNDER",AP317*(AG317-1),-AP317))</x:f>
        <x:v>0</x:v>
      </x:c>
      <x:c r="AR317" s="51"/>
    </x:row>
    <x:row r="318">
      <x:c r="A318" s="9" t="str">
        <x:f>IF(D318="","",ROW()-1)</x:f>
      </x:c>
      <x:c r="B318" s="51"/>
      <x:c r="C318" s="51"/>
      <x:c r="D318" s="51"/>
      <x:c r="E318" s="9" t="str">
        <x:f>IF(D318="","",IF(AND(F318&lt;='Calibrare v2'!$B$33,G318&gt;=0.86),"DA – FEZABIL",IF(G318&gt;=0.8,"DA – PRUDENT","NU – EVITĂ")))</x:f>
      </x:c>
      <x:c r="F318" s="16" t="str">
        <x:f>IF(OR(W318="",X318=""),"",W318+X318)</x:f>
      </x:c>
      <x:c r="G318" s="28" t="str">
        <x:f>IF(F318="","",EXP(-F318)*(1+F318+F318^2/2+F318^3/6+F318^4/24))</x:f>
      </x:c>
      <x:c r="H318" s="53"/>
      <x:c r="I318" s="9" t="str">
        <x:f>IF(F318="","",IF(F318&lt;='Calibrare v2'!$B$33,"PASS","FAIL"))</x:f>
      </x:c>
      <x:c r="J318" s="51"/>
      <x:c r="K318" s="51"/>
      <x:c r="L318" s="9" t="str">
        <x:f>IF(OR(J318="",K318=""),"",J318+K318)</x:f>
      </x:c>
      <x:c r="M318" s="9" t="str">
        <x:f>IF(L318="","",IF(L318&lt;=4,"UNDER","OVER"))</x:f>
      </x:c>
      <x:c r="N318" s="9" t="str">
        <x:f>IF(E318="","",IF(LEFT(E318,2)="DA","PARIU U237,5","NO BET"))</x:f>
      </x:c>
      <x:c r="O318" s="9" t="str">
        <x:f>IF(M318="","",IF(AM318="PARIU U237,5",IF(M318="UNDER","SUCCES","EȘEC"),IF(M318="UNDER","FALS NEGATIV","EVITARE CORECTĂ")))</x:f>
      </x:c>
      <x:c r="P318" s="9" t="str">
        <x:f>IF(M318="","",IF(M318="UNDER",1,0))</x:f>
      </x:c>
      <x:c r="Q318" s="9" t="str">
        <x:f>IF(P318="","",(G318-P318)^2)</x:f>
      </x:c>
      <x:c r="R318" s="9" t="str">
        <x:f>IF(L318="","",L318-F318)</x:f>
      </x:c>
      <x:c r="S318" s="9" t="str">
        <x:f>IF(L318="","",IF(M318="UNDER","U237,5 reușit; total final "&amp;L318&amp;" vs λ="&amp;TEXT(F318,"0.00")&amp;".","Eșec U237,5; total final "&amp;L318&amp;" vs λ="&amp;TEXT(F318,"0.00")&amp;". Revizuiește Tail Risk, sursa λ și calibrarea."))</x:f>
      </x:c>
      <x:c r="T318" s="51"/>
      <x:c r="U318" s="51"/>
      <x:c r="V318" s="51"/>
      <x:c r="W318" s="61"/>
      <x:c r="X318" s="61"/>
      <x:c r="Y318" s="51"/>
      <x:c r="Z318" s="53"/>
      <x:c r="AA318" s="51"/>
      <x:c r="AB318" s="64" t="str">
        <x:f>IF(AC318="","",AC318)</x:f>
      </x:c>
      <x:c r="AC318" s="67"/>
      <x:c r="AD318" s="69" t="str">
        <x:f>IF(AE318="","",AE318)</x:f>
      </x:c>
      <x:c r="AE318" s="71"/>
      <x:c r="AF318" s="73" t="str">
        <x:f>IF(AC318="","",1/AC318)</x:f>
      </x:c>
      <x:c r="AG318" s="61"/>
      <x:c r="AH318" s="61"/>
      <x:c r="AI318" s="64" t="str">
        <x:f>IF(OR(AC318="",AG318=""),"",AC318*AG318-1)</x:f>
      </x:c>
      <x:c r="AJ318" s="75" t="str">
        <x:f>IF(OR(G318="",F318=""),"",IF(AND(G318&gt;='Calibrare v2'!$B$35,F318&lt;='Calibrare v2'!$B$34),"PASS","FAIL"))</x:f>
      </x:c>
      <x:c r="AK318" s="75" t="str">
        <x:f>IF(AL318="","",AL318)</x:f>
      </x:c>
      <x:c r="AL318" s="77"/>
      <x:c r="AM318" s="77"/>
      <x:c r="AN318" s="64" t="str">
        <x:f>IF(OR(AC318="",P318=""),"",(AC318-P318)^2)</x:f>
      </x:c>
      <x:c r="AO318" s="64" t="str">
        <x:f>IF(OR(AG318="",AH318=""),"",AG318/AH318-1)</x:f>
      </x:c>
      <x:c r="AP318" s="61"/>
      <x:c r="AQ318" s="73" t="n">
        <x:f>IF(OR(AM318&lt;&gt;"PARIU U4,5",M318="",AP318="",AG318=""),0,IF(M318="UNDER",AP318*(AG318-1),-AP318))</x:f>
        <x:v>0</x:v>
      </x:c>
      <x:c r="AR318" s="51"/>
    </x:row>
    <x:row r="319">
      <x:c r="A319" s="9" t="str">
        <x:f>IF(D319="","",ROW()-1)</x:f>
      </x:c>
      <x:c r="B319" s="51"/>
      <x:c r="C319" s="51"/>
      <x:c r="D319" s="51"/>
      <x:c r="E319" s="9" t="str">
        <x:f>IF(D319="","",IF(AND(F319&lt;='Calibrare v2'!$B$33,G319&gt;=0.86),"DA – FEZABIL",IF(G319&gt;=0.8,"DA – PRUDENT","NU – EVITĂ")))</x:f>
      </x:c>
      <x:c r="F319" s="16" t="str">
        <x:f>IF(OR(W319="",X319=""),"",W319+X319)</x:f>
      </x:c>
      <x:c r="G319" s="28" t="str">
        <x:f>IF(F319="","",EXP(-F319)*(1+F319+F319^2/2+F319^3/6+F319^4/24))</x:f>
      </x:c>
      <x:c r="H319" s="53"/>
      <x:c r="I319" s="9" t="str">
        <x:f>IF(F319="","",IF(F319&lt;='Calibrare v2'!$B$33,"PASS","FAIL"))</x:f>
      </x:c>
      <x:c r="J319" s="51"/>
      <x:c r="K319" s="51"/>
      <x:c r="L319" s="9" t="str">
        <x:f>IF(OR(J319="",K319=""),"",J319+K319)</x:f>
      </x:c>
      <x:c r="M319" s="9" t="str">
        <x:f>IF(L319="","",IF(L319&lt;=4,"UNDER","OVER"))</x:f>
      </x:c>
      <x:c r="N319" s="9" t="str">
        <x:f>IF(E319="","",IF(LEFT(E319,2)="DA","PARIU U238,5","NO BET"))</x:f>
      </x:c>
      <x:c r="O319" s="9" t="str">
        <x:f>IF(M319="","",IF(AM319="PARIU U238,5",IF(M319="UNDER","SUCCES","EȘEC"),IF(M319="UNDER","FALS NEGATIV","EVITARE CORECTĂ")))</x:f>
      </x:c>
      <x:c r="P319" s="9" t="str">
        <x:f>IF(M319="","",IF(M319="UNDER",1,0))</x:f>
      </x:c>
      <x:c r="Q319" s="9" t="str">
        <x:f>IF(P319="","",(G319-P319)^2)</x:f>
      </x:c>
      <x:c r="R319" s="9" t="str">
        <x:f>IF(L319="","",L319-F319)</x:f>
      </x:c>
      <x:c r="S319" s="9" t="str">
        <x:f>IF(L319="","",IF(M319="UNDER","U238,5 reușit; total final "&amp;L319&amp;" vs λ="&amp;TEXT(F319,"0.00")&amp;".","Eșec U238,5; total final "&amp;L319&amp;" vs λ="&amp;TEXT(F319,"0.00")&amp;". Revizuiește Tail Risk, sursa λ și calibrarea."))</x:f>
      </x:c>
      <x:c r="T319" s="51"/>
      <x:c r="U319" s="51"/>
      <x:c r="V319" s="51"/>
      <x:c r="W319" s="61"/>
      <x:c r="X319" s="61"/>
      <x:c r="Y319" s="51"/>
      <x:c r="Z319" s="53"/>
      <x:c r="AA319" s="51"/>
      <x:c r="AB319" s="64" t="str">
        <x:f>IF(AC319="","",AC319)</x:f>
      </x:c>
      <x:c r="AC319" s="67"/>
      <x:c r="AD319" s="69" t="str">
        <x:f>IF(AE319="","",AE319)</x:f>
      </x:c>
      <x:c r="AE319" s="71"/>
      <x:c r="AF319" s="73" t="str">
        <x:f>IF(AC319="","",1/AC319)</x:f>
      </x:c>
      <x:c r="AG319" s="61"/>
      <x:c r="AH319" s="61"/>
      <x:c r="AI319" s="64" t="str">
        <x:f>IF(OR(AC319="",AG319=""),"",AC319*AG319-1)</x:f>
      </x:c>
      <x:c r="AJ319" s="75" t="str">
        <x:f>IF(OR(G319="",F319=""),"",IF(AND(G319&gt;='Calibrare v2'!$B$35,F319&lt;='Calibrare v2'!$B$34),"PASS","FAIL"))</x:f>
      </x:c>
      <x:c r="AK319" s="75" t="str">
        <x:f>IF(AL319="","",AL319)</x:f>
      </x:c>
      <x:c r="AL319" s="77"/>
      <x:c r="AM319" s="77"/>
      <x:c r="AN319" s="64" t="str">
        <x:f>IF(OR(AC319="",P319=""),"",(AC319-P319)^2)</x:f>
      </x:c>
      <x:c r="AO319" s="64" t="str">
        <x:f>IF(OR(AG319="",AH319=""),"",AG319/AH319-1)</x:f>
      </x:c>
      <x:c r="AP319" s="61"/>
      <x:c r="AQ319" s="73" t="n">
        <x:f>IF(OR(AM319&lt;&gt;"PARIU U4,5",M319="",AP319="",AG319=""),0,IF(M319="UNDER",AP319*(AG319-1),-AP319))</x:f>
        <x:v>0</x:v>
      </x:c>
      <x:c r="AR319" s="51"/>
    </x:row>
    <x:row r="320">
      <x:c r="A320" s="9" t="str">
        <x:f>IF(D320="","",ROW()-1)</x:f>
      </x:c>
      <x:c r="B320" s="51"/>
      <x:c r="C320" s="51"/>
      <x:c r="D320" s="51"/>
      <x:c r="E320" s="9" t="str">
        <x:f>IF(D320="","",IF(AND(F320&lt;='Calibrare v2'!$B$33,G320&gt;=0.86),"DA – FEZABIL",IF(G320&gt;=0.8,"DA – PRUDENT","NU – EVITĂ")))</x:f>
      </x:c>
      <x:c r="F320" s="16" t="str">
        <x:f>IF(OR(W320="",X320=""),"",W320+X320)</x:f>
      </x:c>
      <x:c r="G320" s="28" t="str">
        <x:f>IF(F320="","",EXP(-F320)*(1+F320+F320^2/2+F320^3/6+F320^4/24))</x:f>
      </x:c>
      <x:c r="H320" s="53"/>
      <x:c r="I320" s="9" t="str">
        <x:f>IF(F320="","",IF(F320&lt;='Calibrare v2'!$B$33,"PASS","FAIL"))</x:f>
      </x:c>
      <x:c r="J320" s="51"/>
      <x:c r="K320" s="51"/>
      <x:c r="L320" s="9" t="str">
        <x:f>IF(OR(J320="",K320=""),"",J320+K320)</x:f>
      </x:c>
      <x:c r="M320" s="9" t="str">
        <x:f>IF(L320="","",IF(L320&lt;=4,"UNDER","OVER"))</x:f>
      </x:c>
      <x:c r="N320" s="9" t="str">
        <x:f>IF(E320="","",IF(LEFT(E320,2)="DA","PARIU U239,5","NO BET"))</x:f>
      </x:c>
      <x:c r="O320" s="9" t="str">
        <x:f>IF(M320="","",IF(AM320="PARIU U239,5",IF(M320="UNDER","SUCCES","EȘEC"),IF(M320="UNDER","FALS NEGATIV","EVITARE CORECTĂ")))</x:f>
      </x:c>
      <x:c r="P320" s="9" t="str">
        <x:f>IF(M320="","",IF(M320="UNDER",1,0))</x:f>
      </x:c>
      <x:c r="Q320" s="9" t="str">
        <x:f>IF(P320="","",(G320-P320)^2)</x:f>
      </x:c>
      <x:c r="R320" s="9" t="str">
        <x:f>IF(L320="","",L320-F320)</x:f>
      </x:c>
      <x:c r="S320" s="9" t="str">
        <x:f>IF(L320="","",IF(M320="UNDER","U239,5 reușit; total final "&amp;L320&amp;" vs λ="&amp;TEXT(F320,"0.00")&amp;".","Eșec U239,5; total final "&amp;L320&amp;" vs λ="&amp;TEXT(F320,"0.00")&amp;". Revizuiește Tail Risk, sursa λ și calibrarea."))</x:f>
      </x:c>
      <x:c r="T320" s="51"/>
      <x:c r="U320" s="51"/>
      <x:c r="V320" s="51"/>
      <x:c r="W320" s="61"/>
      <x:c r="X320" s="61"/>
      <x:c r="Y320" s="51"/>
      <x:c r="Z320" s="53"/>
      <x:c r="AA320" s="51"/>
      <x:c r="AB320" s="64" t="str">
        <x:f>IF(AC320="","",AC320)</x:f>
      </x:c>
      <x:c r="AC320" s="67"/>
      <x:c r="AD320" s="69" t="str">
        <x:f>IF(AE320="","",AE320)</x:f>
      </x:c>
      <x:c r="AE320" s="71"/>
      <x:c r="AF320" s="73" t="str">
        <x:f>IF(AC320="","",1/AC320)</x:f>
      </x:c>
      <x:c r="AG320" s="61"/>
      <x:c r="AH320" s="61"/>
      <x:c r="AI320" s="64" t="str">
        <x:f>IF(OR(AC320="",AG320=""),"",AC320*AG320-1)</x:f>
      </x:c>
      <x:c r="AJ320" s="75" t="str">
        <x:f>IF(OR(G320="",F320=""),"",IF(AND(G320&gt;='Calibrare v2'!$B$35,F320&lt;='Calibrare v2'!$B$34),"PASS","FAIL"))</x:f>
      </x:c>
      <x:c r="AK320" s="75" t="str">
        <x:f>IF(AL320="","",AL320)</x:f>
      </x:c>
      <x:c r="AL320" s="77"/>
      <x:c r="AM320" s="77"/>
      <x:c r="AN320" s="64" t="str">
        <x:f>IF(OR(AC320="",P320=""),"",(AC320-P320)^2)</x:f>
      </x:c>
      <x:c r="AO320" s="64" t="str">
        <x:f>IF(OR(AG320="",AH320=""),"",AG320/AH320-1)</x:f>
      </x:c>
      <x:c r="AP320" s="61"/>
      <x:c r="AQ320" s="73" t="n">
        <x:f>IF(OR(AM320&lt;&gt;"PARIU U4,5",M320="",AP320="",AG320=""),0,IF(M320="UNDER",AP320*(AG320-1),-AP320))</x:f>
        <x:v>0</x:v>
      </x:c>
      <x:c r="AR320" s="51"/>
    </x:row>
    <x:row r="321">
      <x:c r="A321" s="9" t="str">
        <x:f>IF(D321="","",ROW()-1)</x:f>
      </x:c>
      <x:c r="B321" s="51"/>
      <x:c r="C321" s="51"/>
      <x:c r="D321" s="51"/>
      <x:c r="E321" s="9" t="str">
        <x:f>IF(D321="","",IF(AND(F321&lt;='Calibrare v2'!$B$33,G321&gt;=0.86),"DA – FEZABIL",IF(G321&gt;=0.8,"DA – PRUDENT","NU – EVITĂ")))</x:f>
      </x:c>
      <x:c r="F321" s="16" t="str">
        <x:f>IF(OR(W321="",X321=""),"",W321+X321)</x:f>
      </x:c>
      <x:c r="G321" s="28" t="str">
        <x:f>IF(F321="","",EXP(-F321)*(1+F321+F321^2/2+F321^3/6+F321^4/24))</x:f>
      </x:c>
      <x:c r="H321" s="53"/>
      <x:c r="I321" s="9" t="str">
        <x:f>IF(F321="","",IF(F321&lt;='Calibrare v2'!$B$33,"PASS","FAIL"))</x:f>
      </x:c>
      <x:c r="J321" s="51"/>
      <x:c r="K321" s="51"/>
      <x:c r="L321" s="9" t="str">
        <x:f>IF(OR(J321="",K321=""),"",J321+K321)</x:f>
      </x:c>
      <x:c r="M321" s="9" t="str">
        <x:f>IF(L321="","",IF(L321&lt;=4,"UNDER","OVER"))</x:f>
      </x:c>
      <x:c r="N321" s="9" t="str">
        <x:f>IF(E321="","",IF(LEFT(E321,2)="DA","PARIU U240,5","NO BET"))</x:f>
      </x:c>
      <x:c r="O321" s="9" t="str">
        <x:f>IF(M321="","",IF(AM321="PARIU U240,5",IF(M321="UNDER","SUCCES","EȘEC"),IF(M321="UNDER","FALS NEGATIV","EVITARE CORECTĂ")))</x:f>
      </x:c>
      <x:c r="P321" s="9" t="str">
        <x:f>IF(M321="","",IF(M321="UNDER",1,0))</x:f>
      </x:c>
      <x:c r="Q321" s="9" t="str">
        <x:f>IF(P321="","",(G321-P321)^2)</x:f>
      </x:c>
      <x:c r="R321" s="9" t="str">
        <x:f>IF(L321="","",L321-F321)</x:f>
      </x:c>
      <x:c r="S321" s="9" t="str">
        <x:f>IF(L321="","",IF(M321="UNDER","U240,5 reușit; total final "&amp;L321&amp;" vs λ="&amp;TEXT(F321,"0.00")&amp;".","Eșec U240,5; total final "&amp;L321&amp;" vs λ="&amp;TEXT(F321,"0.00")&amp;". Revizuiește Tail Risk, sursa λ și calibrarea."))</x:f>
      </x:c>
      <x:c r="T321" s="51"/>
      <x:c r="U321" s="51"/>
      <x:c r="V321" s="51"/>
      <x:c r="W321" s="61"/>
      <x:c r="X321" s="61"/>
      <x:c r="Y321" s="51"/>
      <x:c r="Z321" s="53"/>
      <x:c r="AA321" s="51"/>
      <x:c r="AB321" s="64" t="str">
        <x:f>IF(AC321="","",AC321)</x:f>
      </x:c>
      <x:c r="AC321" s="67"/>
      <x:c r="AD321" s="69" t="str">
        <x:f>IF(AE321="","",AE321)</x:f>
      </x:c>
      <x:c r="AE321" s="71"/>
      <x:c r="AF321" s="73" t="str">
        <x:f>IF(AC321="","",1/AC321)</x:f>
      </x:c>
      <x:c r="AG321" s="61"/>
      <x:c r="AH321" s="61"/>
      <x:c r="AI321" s="64" t="str">
        <x:f>IF(OR(AC321="",AG321=""),"",AC321*AG321-1)</x:f>
      </x:c>
      <x:c r="AJ321" s="75" t="str">
        <x:f>IF(OR(G321="",F321=""),"",IF(AND(G321&gt;='Calibrare v2'!$B$35,F321&lt;='Calibrare v2'!$B$34),"PASS","FAIL"))</x:f>
      </x:c>
      <x:c r="AK321" s="75" t="str">
        <x:f>IF(AL321="","",AL321)</x:f>
      </x:c>
      <x:c r="AL321" s="77"/>
      <x:c r="AM321" s="77"/>
      <x:c r="AN321" s="64" t="str">
        <x:f>IF(OR(AC321="",P321=""),"",(AC321-P321)^2)</x:f>
      </x:c>
      <x:c r="AO321" s="64" t="str">
        <x:f>IF(OR(AG321="",AH321=""),"",AG321/AH321-1)</x:f>
      </x:c>
      <x:c r="AP321" s="61"/>
      <x:c r="AQ321" s="73" t="n">
        <x:f>IF(OR(AM321&lt;&gt;"PARIU U4,5",M321="",AP321="",AG321=""),0,IF(M321="UNDER",AP321*(AG321-1),-AP321))</x:f>
        <x:v>0</x:v>
      </x:c>
      <x:c r="AR321" s="51"/>
    </x:row>
    <x:row r="322">
      <x:c r="A322" s="9" t="str">
        <x:f>IF(D322="","",ROW()-1)</x:f>
      </x:c>
      <x:c r="B322" s="51"/>
      <x:c r="C322" s="51"/>
      <x:c r="D322" s="51"/>
      <x:c r="E322" s="9" t="str">
        <x:f>IF(D322="","",IF(AND(F322&lt;='Calibrare v2'!$B$33,G322&gt;=0.86),"DA – FEZABIL",IF(G322&gt;=0.8,"DA – PRUDENT","NU – EVITĂ")))</x:f>
      </x:c>
      <x:c r="F322" s="16" t="str">
        <x:f>IF(OR(W322="",X322=""),"",W322+X322)</x:f>
      </x:c>
      <x:c r="G322" s="28" t="str">
        <x:f>IF(F322="","",EXP(-F322)*(1+F322+F322^2/2+F322^3/6+F322^4/24))</x:f>
      </x:c>
      <x:c r="H322" s="53"/>
      <x:c r="I322" s="9" t="str">
        <x:f>IF(F322="","",IF(F322&lt;='Calibrare v2'!$B$33,"PASS","FAIL"))</x:f>
      </x:c>
      <x:c r="J322" s="51"/>
      <x:c r="K322" s="51"/>
      <x:c r="L322" s="9" t="str">
        <x:f>IF(OR(J322="",K322=""),"",J322+K322)</x:f>
      </x:c>
      <x:c r="M322" s="9" t="str">
        <x:f>IF(L322="","",IF(L322&lt;=4,"UNDER","OVER"))</x:f>
      </x:c>
      <x:c r="N322" s="9" t="str">
        <x:f>IF(E322="","",IF(LEFT(E322,2)="DA","PARIU U241,5","NO BET"))</x:f>
      </x:c>
      <x:c r="O322" s="9" t="str">
        <x:f>IF(M322="","",IF(AM322="PARIU U241,5",IF(M322="UNDER","SUCCES","EȘEC"),IF(M322="UNDER","FALS NEGATIV","EVITARE CORECTĂ")))</x:f>
      </x:c>
      <x:c r="P322" s="9" t="str">
        <x:f>IF(M322="","",IF(M322="UNDER",1,0))</x:f>
      </x:c>
      <x:c r="Q322" s="9" t="str">
        <x:f>IF(P322="","",(G322-P322)^2)</x:f>
      </x:c>
      <x:c r="R322" s="9" t="str">
        <x:f>IF(L322="","",L322-F322)</x:f>
      </x:c>
      <x:c r="S322" s="9" t="str">
        <x:f>IF(L322="","",IF(M322="UNDER","U241,5 reușit; total final "&amp;L322&amp;" vs λ="&amp;TEXT(F322,"0.00")&amp;".","Eșec U241,5; total final "&amp;L322&amp;" vs λ="&amp;TEXT(F322,"0.00")&amp;". Revizuiește Tail Risk, sursa λ și calibrarea."))</x:f>
      </x:c>
      <x:c r="T322" s="51"/>
      <x:c r="U322" s="51"/>
      <x:c r="V322" s="51"/>
      <x:c r="W322" s="61"/>
      <x:c r="X322" s="61"/>
      <x:c r="Y322" s="51"/>
      <x:c r="Z322" s="53"/>
      <x:c r="AA322" s="51"/>
      <x:c r="AB322" s="64" t="str">
        <x:f>IF(AC322="","",AC322)</x:f>
      </x:c>
      <x:c r="AC322" s="67"/>
      <x:c r="AD322" s="69" t="str">
        <x:f>IF(AE322="","",AE322)</x:f>
      </x:c>
      <x:c r="AE322" s="71"/>
      <x:c r="AF322" s="73" t="str">
        <x:f>IF(AC322="","",1/AC322)</x:f>
      </x:c>
      <x:c r="AG322" s="61"/>
      <x:c r="AH322" s="61"/>
      <x:c r="AI322" s="64" t="str">
        <x:f>IF(OR(AC322="",AG322=""),"",AC322*AG322-1)</x:f>
      </x:c>
      <x:c r="AJ322" s="75" t="str">
        <x:f>IF(OR(G322="",F322=""),"",IF(AND(G322&gt;='Calibrare v2'!$B$35,F322&lt;='Calibrare v2'!$B$34),"PASS","FAIL"))</x:f>
      </x:c>
      <x:c r="AK322" s="75" t="str">
        <x:f>IF(AL322="","",AL322)</x:f>
      </x:c>
      <x:c r="AL322" s="77"/>
      <x:c r="AM322" s="77"/>
      <x:c r="AN322" s="64" t="str">
        <x:f>IF(OR(AC322="",P322=""),"",(AC322-P322)^2)</x:f>
      </x:c>
      <x:c r="AO322" s="64" t="str">
        <x:f>IF(OR(AG322="",AH322=""),"",AG322/AH322-1)</x:f>
      </x:c>
      <x:c r="AP322" s="61"/>
      <x:c r="AQ322" s="73" t="n">
        <x:f>IF(OR(AM322&lt;&gt;"PARIU U4,5",M322="",AP322="",AG322=""),0,IF(M322="UNDER",AP322*(AG322-1),-AP322))</x:f>
        <x:v>0</x:v>
      </x:c>
      <x:c r="AR322" s="51"/>
    </x:row>
    <x:row r="323">
      <x:c r="A323" s="9" t="str">
        <x:f>IF(D323="","",ROW()-1)</x:f>
      </x:c>
      <x:c r="B323" s="51"/>
      <x:c r="C323" s="51"/>
      <x:c r="D323" s="51"/>
      <x:c r="E323" s="9" t="str">
        <x:f>IF(D323="","",IF(AND(F323&lt;='Calibrare v2'!$B$33,G323&gt;=0.86),"DA – FEZABIL",IF(G323&gt;=0.8,"DA – PRUDENT","NU – EVITĂ")))</x:f>
      </x:c>
      <x:c r="F323" s="16" t="str">
        <x:f>IF(OR(W323="",X323=""),"",W323+X323)</x:f>
      </x:c>
      <x:c r="G323" s="28" t="str">
        <x:f>IF(F323="","",EXP(-F323)*(1+F323+F323^2/2+F323^3/6+F323^4/24))</x:f>
      </x:c>
      <x:c r="H323" s="53"/>
      <x:c r="I323" s="9" t="str">
        <x:f>IF(F323="","",IF(F323&lt;='Calibrare v2'!$B$33,"PASS","FAIL"))</x:f>
      </x:c>
      <x:c r="J323" s="51"/>
      <x:c r="K323" s="51"/>
      <x:c r="L323" s="9" t="str">
        <x:f>IF(OR(J323="",K323=""),"",J323+K323)</x:f>
      </x:c>
      <x:c r="M323" s="9" t="str">
        <x:f>IF(L323="","",IF(L323&lt;=4,"UNDER","OVER"))</x:f>
      </x:c>
      <x:c r="N323" s="9" t="str">
        <x:f>IF(E323="","",IF(LEFT(E323,2)="DA","PARIU U242,5","NO BET"))</x:f>
      </x:c>
      <x:c r="O323" s="9" t="str">
        <x:f>IF(M323="","",IF(AM323="PARIU U242,5",IF(M323="UNDER","SUCCES","EȘEC"),IF(M323="UNDER","FALS NEGATIV","EVITARE CORECTĂ")))</x:f>
      </x:c>
      <x:c r="P323" s="9" t="str">
        <x:f>IF(M323="","",IF(M323="UNDER",1,0))</x:f>
      </x:c>
      <x:c r="Q323" s="9" t="str">
        <x:f>IF(P323="","",(G323-P323)^2)</x:f>
      </x:c>
      <x:c r="R323" s="9" t="str">
        <x:f>IF(L323="","",L323-F323)</x:f>
      </x:c>
      <x:c r="S323" s="9" t="str">
        <x:f>IF(L323="","",IF(M323="UNDER","U242,5 reușit; total final "&amp;L323&amp;" vs λ="&amp;TEXT(F323,"0.00")&amp;".","Eșec U242,5; total final "&amp;L323&amp;" vs λ="&amp;TEXT(F323,"0.00")&amp;". Revizuiește Tail Risk, sursa λ și calibrarea."))</x:f>
      </x:c>
      <x:c r="T323" s="51"/>
      <x:c r="U323" s="51"/>
      <x:c r="V323" s="51"/>
      <x:c r="W323" s="61"/>
      <x:c r="X323" s="61"/>
      <x:c r="Y323" s="51"/>
      <x:c r="Z323" s="53"/>
      <x:c r="AA323" s="51"/>
      <x:c r="AB323" s="64" t="str">
        <x:f>IF(AC323="","",AC323)</x:f>
      </x:c>
      <x:c r="AC323" s="67"/>
      <x:c r="AD323" s="69" t="str">
        <x:f>IF(AE323="","",AE323)</x:f>
      </x:c>
      <x:c r="AE323" s="71"/>
      <x:c r="AF323" s="73" t="str">
        <x:f>IF(AC323="","",1/AC323)</x:f>
      </x:c>
      <x:c r="AG323" s="61"/>
      <x:c r="AH323" s="61"/>
      <x:c r="AI323" s="64" t="str">
        <x:f>IF(OR(AC323="",AG323=""),"",AC323*AG323-1)</x:f>
      </x:c>
      <x:c r="AJ323" s="75" t="str">
        <x:f>IF(OR(G323="",F323=""),"",IF(AND(G323&gt;='Calibrare v2'!$B$35,F323&lt;='Calibrare v2'!$B$34),"PASS","FAIL"))</x:f>
      </x:c>
      <x:c r="AK323" s="75" t="str">
        <x:f>IF(AL323="","",AL323)</x:f>
      </x:c>
      <x:c r="AL323" s="77"/>
      <x:c r="AM323" s="77"/>
      <x:c r="AN323" s="64" t="str">
        <x:f>IF(OR(AC323="",P323=""),"",(AC323-P323)^2)</x:f>
      </x:c>
      <x:c r="AO323" s="64" t="str">
        <x:f>IF(OR(AG323="",AH323=""),"",AG323/AH323-1)</x:f>
      </x:c>
      <x:c r="AP323" s="61"/>
      <x:c r="AQ323" s="73" t="n">
        <x:f>IF(OR(AM323&lt;&gt;"PARIU U4,5",M323="",AP323="",AG323=""),0,IF(M323="UNDER",AP323*(AG323-1),-AP323))</x:f>
        <x:v>0</x:v>
      </x:c>
      <x:c r="AR323" s="51"/>
    </x:row>
    <x:row r="324">
      <x:c r="A324" s="9" t="str">
        <x:f>IF(D324="","",ROW()-1)</x:f>
      </x:c>
      <x:c r="B324" s="51"/>
      <x:c r="C324" s="51"/>
      <x:c r="D324" s="51"/>
      <x:c r="E324" s="9" t="str">
        <x:f>IF(D324="","",IF(AND(F324&lt;='Calibrare v2'!$B$33,G324&gt;=0.86),"DA – FEZABIL",IF(G324&gt;=0.8,"DA – PRUDENT","NU – EVITĂ")))</x:f>
      </x:c>
      <x:c r="F324" s="16" t="str">
        <x:f>IF(OR(W324="",X324=""),"",W324+X324)</x:f>
      </x:c>
      <x:c r="G324" s="28" t="str">
        <x:f>IF(F324="","",EXP(-F324)*(1+F324+F324^2/2+F324^3/6+F324^4/24))</x:f>
      </x:c>
      <x:c r="H324" s="53"/>
      <x:c r="I324" s="9" t="str">
        <x:f>IF(F324="","",IF(F324&lt;='Calibrare v2'!$B$33,"PASS","FAIL"))</x:f>
      </x:c>
      <x:c r="J324" s="51"/>
      <x:c r="K324" s="51"/>
      <x:c r="L324" s="9" t="str">
        <x:f>IF(OR(J324="",K324=""),"",J324+K324)</x:f>
      </x:c>
      <x:c r="M324" s="9" t="str">
        <x:f>IF(L324="","",IF(L324&lt;=4,"UNDER","OVER"))</x:f>
      </x:c>
      <x:c r="N324" s="9" t="str">
        <x:f>IF(E324="","",IF(LEFT(E324,2)="DA","PARIU U243,5","NO BET"))</x:f>
      </x:c>
      <x:c r="O324" s="9" t="str">
        <x:f>IF(M324="","",IF(AM324="PARIU U243,5",IF(M324="UNDER","SUCCES","EȘEC"),IF(M324="UNDER","FALS NEGATIV","EVITARE CORECTĂ")))</x:f>
      </x:c>
      <x:c r="P324" s="9" t="str">
        <x:f>IF(M324="","",IF(M324="UNDER",1,0))</x:f>
      </x:c>
      <x:c r="Q324" s="9" t="str">
        <x:f>IF(P324="","",(G324-P324)^2)</x:f>
      </x:c>
      <x:c r="R324" s="9" t="str">
        <x:f>IF(L324="","",L324-F324)</x:f>
      </x:c>
      <x:c r="S324" s="9" t="str">
        <x:f>IF(L324="","",IF(M324="UNDER","U243,5 reușit; total final "&amp;L324&amp;" vs λ="&amp;TEXT(F324,"0.00")&amp;".","Eșec U243,5; total final "&amp;L324&amp;" vs λ="&amp;TEXT(F324,"0.00")&amp;". Revizuiește Tail Risk, sursa λ și calibrarea."))</x:f>
      </x:c>
      <x:c r="T324" s="51"/>
      <x:c r="U324" s="51"/>
      <x:c r="V324" s="51"/>
      <x:c r="W324" s="61"/>
      <x:c r="X324" s="61"/>
      <x:c r="Y324" s="51"/>
      <x:c r="Z324" s="53"/>
      <x:c r="AA324" s="51"/>
      <x:c r="AB324" s="64" t="str">
        <x:f>IF(AC324="","",AC324)</x:f>
      </x:c>
      <x:c r="AC324" s="67"/>
      <x:c r="AD324" s="69" t="str">
        <x:f>IF(AE324="","",AE324)</x:f>
      </x:c>
      <x:c r="AE324" s="71"/>
      <x:c r="AF324" s="73" t="str">
        <x:f>IF(AC324="","",1/AC324)</x:f>
      </x:c>
      <x:c r="AG324" s="61"/>
      <x:c r="AH324" s="61"/>
      <x:c r="AI324" s="64" t="str">
        <x:f>IF(OR(AC324="",AG324=""),"",AC324*AG324-1)</x:f>
      </x:c>
      <x:c r="AJ324" s="75" t="str">
        <x:f>IF(OR(G324="",F324=""),"",IF(AND(G324&gt;='Calibrare v2'!$B$35,F324&lt;='Calibrare v2'!$B$34),"PASS","FAIL"))</x:f>
      </x:c>
      <x:c r="AK324" s="75" t="str">
        <x:f>IF(AL324="","",AL324)</x:f>
      </x:c>
      <x:c r="AL324" s="77"/>
      <x:c r="AM324" s="77"/>
      <x:c r="AN324" s="64" t="str">
        <x:f>IF(OR(AC324="",P324=""),"",(AC324-P324)^2)</x:f>
      </x:c>
      <x:c r="AO324" s="64" t="str">
        <x:f>IF(OR(AG324="",AH324=""),"",AG324/AH324-1)</x:f>
      </x:c>
      <x:c r="AP324" s="61"/>
      <x:c r="AQ324" s="73" t="n">
        <x:f>IF(OR(AM324&lt;&gt;"PARIU U4,5",M324="",AP324="",AG324=""),0,IF(M324="UNDER",AP324*(AG324-1),-AP324))</x:f>
        <x:v>0</x:v>
      </x:c>
      <x:c r="AR324" s="51"/>
    </x:row>
    <x:row r="325">
      <x:c r="A325" s="9" t="str">
        <x:f>IF(D325="","",ROW()-1)</x:f>
      </x:c>
      <x:c r="B325" s="51"/>
      <x:c r="C325" s="51"/>
      <x:c r="D325" s="51"/>
      <x:c r="E325" s="9" t="str">
        <x:f>IF(D325="","",IF(AND(F325&lt;='Calibrare v2'!$B$33,G325&gt;=0.86),"DA – FEZABIL",IF(G325&gt;=0.8,"DA – PRUDENT","NU – EVITĂ")))</x:f>
      </x:c>
      <x:c r="F325" s="16" t="str">
        <x:f>IF(OR(W325="",X325=""),"",W325+X325)</x:f>
      </x:c>
      <x:c r="G325" s="28" t="str">
        <x:f>IF(F325="","",EXP(-F325)*(1+F325+F325^2/2+F325^3/6+F325^4/24))</x:f>
      </x:c>
      <x:c r="H325" s="53"/>
      <x:c r="I325" s="9" t="str">
        <x:f>IF(F325="","",IF(F325&lt;='Calibrare v2'!$B$33,"PASS","FAIL"))</x:f>
      </x:c>
      <x:c r="J325" s="51"/>
      <x:c r="K325" s="51"/>
      <x:c r="L325" s="9" t="str">
        <x:f>IF(OR(J325="",K325=""),"",J325+K325)</x:f>
      </x:c>
      <x:c r="M325" s="9" t="str">
        <x:f>IF(L325="","",IF(L325&lt;=4,"UNDER","OVER"))</x:f>
      </x:c>
      <x:c r="N325" s="9" t="str">
        <x:f>IF(E325="","",IF(LEFT(E325,2)="DA","PARIU U244,5","NO BET"))</x:f>
      </x:c>
      <x:c r="O325" s="9" t="str">
        <x:f>IF(M325="","",IF(AM325="PARIU U244,5",IF(M325="UNDER","SUCCES","EȘEC"),IF(M325="UNDER","FALS NEGATIV","EVITARE CORECTĂ")))</x:f>
      </x:c>
      <x:c r="P325" s="9" t="str">
        <x:f>IF(M325="","",IF(M325="UNDER",1,0))</x:f>
      </x:c>
      <x:c r="Q325" s="9" t="str">
        <x:f>IF(P325="","",(G325-P325)^2)</x:f>
      </x:c>
      <x:c r="R325" s="9" t="str">
        <x:f>IF(L325="","",L325-F325)</x:f>
      </x:c>
      <x:c r="S325" s="9" t="str">
        <x:f>IF(L325="","",IF(M325="UNDER","U244,5 reușit; total final "&amp;L325&amp;" vs λ="&amp;TEXT(F325,"0.00")&amp;".","Eșec U244,5; total final "&amp;L325&amp;" vs λ="&amp;TEXT(F325,"0.00")&amp;". Revizuiește Tail Risk, sursa λ și calibrarea."))</x:f>
      </x:c>
      <x:c r="T325" s="51"/>
      <x:c r="U325" s="51"/>
      <x:c r="V325" s="51"/>
      <x:c r="W325" s="61"/>
      <x:c r="X325" s="61"/>
      <x:c r="Y325" s="51"/>
      <x:c r="Z325" s="53"/>
      <x:c r="AA325" s="51"/>
      <x:c r="AB325" s="64" t="str">
        <x:f>IF(AC325="","",AC325)</x:f>
      </x:c>
      <x:c r="AC325" s="67"/>
      <x:c r="AD325" s="69" t="str">
        <x:f>IF(AE325="","",AE325)</x:f>
      </x:c>
      <x:c r="AE325" s="71"/>
      <x:c r="AF325" s="73" t="str">
        <x:f>IF(AC325="","",1/AC325)</x:f>
      </x:c>
      <x:c r="AG325" s="61"/>
      <x:c r="AH325" s="61"/>
      <x:c r="AI325" s="64" t="str">
        <x:f>IF(OR(AC325="",AG325=""),"",AC325*AG325-1)</x:f>
      </x:c>
      <x:c r="AJ325" s="75" t="str">
        <x:f>IF(OR(G325="",F325=""),"",IF(AND(G325&gt;='Calibrare v2'!$B$35,F325&lt;='Calibrare v2'!$B$34),"PASS","FAIL"))</x:f>
      </x:c>
      <x:c r="AK325" s="75" t="str">
        <x:f>IF(AL325="","",AL325)</x:f>
      </x:c>
      <x:c r="AL325" s="77"/>
      <x:c r="AM325" s="77"/>
      <x:c r="AN325" s="64" t="str">
        <x:f>IF(OR(AC325="",P325=""),"",(AC325-P325)^2)</x:f>
      </x:c>
      <x:c r="AO325" s="64" t="str">
        <x:f>IF(OR(AG325="",AH325=""),"",AG325/AH325-1)</x:f>
      </x:c>
      <x:c r="AP325" s="61"/>
      <x:c r="AQ325" s="73" t="n">
        <x:f>IF(OR(AM325&lt;&gt;"PARIU U4,5",M325="",AP325="",AG325=""),0,IF(M325="UNDER",AP325*(AG325-1),-AP325))</x:f>
        <x:v>0</x:v>
      </x:c>
      <x:c r="AR325" s="51"/>
    </x:row>
    <x:row r="326">
      <x:c r="A326" s="9" t="str">
        <x:f>IF(D326="","",ROW()-1)</x:f>
      </x:c>
      <x:c r="B326" s="51"/>
      <x:c r="C326" s="51"/>
      <x:c r="D326" s="51"/>
      <x:c r="E326" s="9" t="str">
        <x:f>IF(D326="","",IF(AND(F326&lt;='Calibrare v2'!$B$33,G326&gt;=0.86),"DA – FEZABIL",IF(G326&gt;=0.8,"DA – PRUDENT","NU – EVITĂ")))</x:f>
      </x:c>
      <x:c r="F326" s="16" t="str">
        <x:f>IF(OR(W326="",X326=""),"",W326+X326)</x:f>
      </x:c>
      <x:c r="G326" s="28" t="str">
        <x:f>IF(F326="","",EXP(-F326)*(1+F326+F326^2/2+F326^3/6+F326^4/24))</x:f>
      </x:c>
      <x:c r="H326" s="53"/>
      <x:c r="I326" s="9" t="str">
        <x:f>IF(F326="","",IF(F326&lt;='Calibrare v2'!$B$33,"PASS","FAIL"))</x:f>
      </x:c>
      <x:c r="J326" s="51"/>
      <x:c r="K326" s="51"/>
      <x:c r="L326" s="9" t="str">
        <x:f>IF(OR(J326="",K326=""),"",J326+K326)</x:f>
      </x:c>
      <x:c r="M326" s="9" t="str">
        <x:f>IF(L326="","",IF(L326&lt;=4,"UNDER","OVER"))</x:f>
      </x:c>
      <x:c r="N326" s="9" t="str">
        <x:f>IF(E326="","",IF(LEFT(E326,2)="DA","PARIU U245,5","NO BET"))</x:f>
      </x:c>
      <x:c r="O326" s="9" t="str">
        <x:f>IF(M326="","",IF(AM326="PARIU U245,5",IF(M326="UNDER","SUCCES","EȘEC"),IF(M326="UNDER","FALS NEGATIV","EVITARE CORECTĂ")))</x:f>
      </x:c>
      <x:c r="P326" s="9" t="str">
        <x:f>IF(M326="","",IF(M326="UNDER",1,0))</x:f>
      </x:c>
      <x:c r="Q326" s="9" t="str">
        <x:f>IF(P326="","",(G326-P326)^2)</x:f>
      </x:c>
      <x:c r="R326" s="9" t="str">
        <x:f>IF(L326="","",L326-F326)</x:f>
      </x:c>
      <x:c r="S326" s="9" t="str">
        <x:f>IF(L326="","",IF(M326="UNDER","U245,5 reușit; total final "&amp;L326&amp;" vs λ="&amp;TEXT(F326,"0.00")&amp;".","Eșec U245,5; total final "&amp;L326&amp;" vs λ="&amp;TEXT(F326,"0.00")&amp;". Revizuiește Tail Risk, sursa λ și calibrarea."))</x:f>
      </x:c>
      <x:c r="T326" s="51"/>
      <x:c r="U326" s="51"/>
      <x:c r="V326" s="51"/>
      <x:c r="W326" s="61"/>
      <x:c r="X326" s="61"/>
      <x:c r="Y326" s="51"/>
      <x:c r="Z326" s="53"/>
      <x:c r="AA326" s="51"/>
      <x:c r="AB326" s="64" t="str">
        <x:f>IF(AC326="","",AC326)</x:f>
      </x:c>
      <x:c r="AC326" s="67"/>
      <x:c r="AD326" s="69" t="str">
        <x:f>IF(AE326="","",AE326)</x:f>
      </x:c>
      <x:c r="AE326" s="71"/>
      <x:c r="AF326" s="73" t="str">
        <x:f>IF(AC326="","",1/AC326)</x:f>
      </x:c>
      <x:c r="AG326" s="61"/>
      <x:c r="AH326" s="61"/>
      <x:c r="AI326" s="64" t="str">
        <x:f>IF(OR(AC326="",AG326=""),"",AC326*AG326-1)</x:f>
      </x:c>
      <x:c r="AJ326" s="75" t="str">
        <x:f>IF(OR(G326="",F326=""),"",IF(AND(G326&gt;='Calibrare v2'!$B$35,F326&lt;='Calibrare v2'!$B$34),"PASS","FAIL"))</x:f>
      </x:c>
      <x:c r="AK326" s="75" t="str">
        <x:f>IF(AL326="","",AL326)</x:f>
      </x:c>
      <x:c r="AL326" s="77"/>
      <x:c r="AM326" s="77"/>
      <x:c r="AN326" s="64" t="str">
        <x:f>IF(OR(AC326="",P326=""),"",(AC326-P326)^2)</x:f>
      </x:c>
      <x:c r="AO326" s="64" t="str">
        <x:f>IF(OR(AG326="",AH326=""),"",AG326/AH326-1)</x:f>
      </x:c>
      <x:c r="AP326" s="61"/>
      <x:c r="AQ326" s="73" t="n">
        <x:f>IF(OR(AM326&lt;&gt;"PARIU U4,5",M326="",AP326="",AG326=""),0,IF(M326="UNDER",AP326*(AG326-1),-AP326))</x:f>
        <x:v>0</x:v>
      </x:c>
      <x:c r="AR326" s="51"/>
    </x:row>
    <x:row r="327">
      <x:c r="A327" s="9" t="str">
        <x:f>IF(D327="","",ROW()-1)</x:f>
      </x:c>
      <x:c r="B327" s="51"/>
      <x:c r="C327" s="51"/>
      <x:c r="D327" s="51"/>
      <x:c r="E327" s="9" t="str">
        <x:f>IF(D327="","",IF(AND(F327&lt;='Calibrare v2'!$B$33,G327&gt;=0.86),"DA – FEZABIL",IF(G327&gt;=0.8,"DA – PRUDENT","NU – EVITĂ")))</x:f>
      </x:c>
      <x:c r="F327" s="16" t="str">
        <x:f>IF(OR(W327="",X327=""),"",W327+X327)</x:f>
      </x:c>
      <x:c r="G327" s="28" t="str">
        <x:f>IF(F327="","",EXP(-F327)*(1+F327+F327^2/2+F327^3/6+F327^4/24))</x:f>
      </x:c>
      <x:c r="H327" s="53"/>
      <x:c r="I327" s="9" t="str">
        <x:f>IF(F327="","",IF(F327&lt;='Calibrare v2'!$B$33,"PASS","FAIL"))</x:f>
      </x:c>
      <x:c r="J327" s="51"/>
      <x:c r="K327" s="51"/>
      <x:c r="L327" s="9" t="str">
        <x:f>IF(OR(J327="",K327=""),"",J327+K327)</x:f>
      </x:c>
      <x:c r="M327" s="9" t="str">
        <x:f>IF(L327="","",IF(L327&lt;=4,"UNDER","OVER"))</x:f>
      </x:c>
      <x:c r="N327" s="9" t="str">
        <x:f>IF(E327="","",IF(LEFT(E327,2)="DA","PARIU U246,5","NO BET"))</x:f>
      </x:c>
      <x:c r="O327" s="9" t="str">
        <x:f>IF(M327="","",IF(AM327="PARIU U246,5",IF(M327="UNDER","SUCCES","EȘEC"),IF(M327="UNDER","FALS NEGATIV","EVITARE CORECTĂ")))</x:f>
      </x:c>
      <x:c r="P327" s="9" t="str">
        <x:f>IF(M327="","",IF(M327="UNDER",1,0))</x:f>
      </x:c>
      <x:c r="Q327" s="9" t="str">
        <x:f>IF(P327="","",(G327-P327)^2)</x:f>
      </x:c>
      <x:c r="R327" s="9" t="str">
        <x:f>IF(L327="","",L327-F327)</x:f>
      </x:c>
      <x:c r="S327" s="9" t="str">
        <x:f>IF(L327="","",IF(M327="UNDER","U246,5 reușit; total final "&amp;L327&amp;" vs λ="&amp;TEXT(F327,"0.00")&amp;".","Eșec U246,5; total final "&amp;L327&amp;" vs λ="&amp;TEXT(F327,"0.00")&amp;". Revizuiește Tail Risk, sursa λ și calibrarea."))</x:f>
      </x:c>
      <x:c r="T327" s="51"/>
      <x:c r="U327" s="51"/>
      <x:c r="V327" s="51"/>
      <x:c r="W327" s="61"/>
      <x:c r="X327" s="61"/>
      <x:c r="Y327" s="51"/>
      <x:c r="Z327" s="53"/>
      <x:c r="AA327" s="51"/>
      <x:c r="AB327" s="64" t="str">
        <x:f>IF(AC327="","",AC327)</x:f>
      </x:c>
      <x:c r="AC327" s="67"/>
      <x:c r="AD327" s="69" t="str">
        <x:f>IF(AE327="","",AE327)</x:f>
      </x:c>
      <x:c r="AE327" s="71"/>
      <x:c r="AF327" s="73" t="str">
        <x:f>IF(AC327="","",1/AC327)</x:f>
      </x:c>
      <x:c r="AG327" s="61"/>
      <x:c r="AH327" s="61"/>
      <x:c r="AI327" s="64" t="str">
        <x:f>IF(OR(AC327="",AG327=""),"",AC327*AG327-1)</x:f>
      </x:c>
      <x:c r="AJ327" s="75" t="str">
        <x:f>IF(OR(G327="",F327=""),"",IF(AND(G327&gt;='Calibrare v2'!$B$35,F327&lt;='Calibrare v2'!$B$34),"PASS","FAIL"))</x:f>
      </x:c>
      <x:c r="AK327" s="75" t="str">
        <x:f>IF(AL327="","",AL327)</x:f>
      </x:c>
      <x:c r="AL327" s="77"/>
      <x:c r="AM327" s="77"/>
      <x:c r="AN327" s="64" t="str">
        <x:f>IF(OR(AC327="",P327=""),"",(AC327-P327)^2)</x:f>
      </x:c>
      <x:c r="AO327" s="64" t="str">
        <x:f>IF(OR(AG327="",AH327=""),"",AG327/AH327-1)</x:f>
      </x:c>
      <x:c r="AP327" s="61"/>
      <x:c r="AQ327" s="73" t="n">
        <x:f>IF(OR(AM327&lt;&gt;"PARIU U4,5",M327="",AP327="",AG327=""),0,IF(M327="UNDER",AP327*(AG327-1),-AP327))</x:f>
        <x:v>0</x:v>
      </x:c>
      <x:c r="AR327" s="51"/>
    </x:row>
    <x:row r="328">
      <x:c r="A328" s="9" t="str">
        <x:f>IF(D328="","",ROW()-1)</x:f>
      </x:c>
      <x:c r="B328" s="51"/>
      <x:c r="C328" s="51"/>
      <x:c r="D328" s="51"/>
      <x:c r="E328" s="9" t="str">
        <x:f>IF(D328="","",IF(AND(F328&lt;='Calibrare v2'!$B$33,G328&gt;=0.86),"DA – FEZABIL",IF(G328&gt;=0.8,"DA – PRUDENT","NU – EVITĂ")))</x:f>
      </x:c>
      <x:c r="F328" s="16" t="str">
        <x:f>IF(OR(W328="",X328=""),"",W328+X328)</x:f>
      </x:c>
      <x:c r="G328" s="28" t="str">
        <x:f>IF(F328="","",EXP(-F328)*(1+F328+F328^2/2+F328^3/6+F328^4/24))</x:f>
      </x:c>
      <x:c r="H328" s="53"/>
      <x:c r="I328" s="9" t="str">
        <x:f>IF(F328="","",IF(F328&lt;='Calibrare v2'!$B$33,"PASS","FAIL"))</x:f>
      </x:c>
      <x:c r="J328" s="51"/>
      <x:c r="K328" s="51"/>
      <x:c r="L328" s="9" t="str">
        <x:f>IF(OR(J328="",K328=""),"",J328+K328)</x:f>
      </x:c>
      <x:c r="M328" s="9" t="str">
        <x:f>IF(L328="","",IF(L328&lt;=4,"UNDER","OVER"))</x:f>
      </x:c>
      <x:c r="N328" s="9" t="str">
        <x:f>IF(E328="","",IF(LEFT(E328,2)="DA","PARIU U247,5","NO BET"))</x:f>
      </x:c>
      <x:c r="O328" s="9" t="str">
        <x:f>IF(M328="","",IF(AM328="PARIU U247,5",IF(M328="UNDER","SUCCES","EȘEC"),IF(M328="UNDER","FALS NEGATIV","EVITARE CORECTĂ")))</x:f>
      </x:c>
      <x:c r="P328" s="9" t="str">
        <x:f>IF(M328="","",IF(M328="UNDER",1,0))</x:f>
      </x:c>
      <x:c r="Q328" s="9" t="str">
        <x:f>IF(P328="","",(G328-P328)^2)</x:f>
      </x:c>
      <x:c r="R328" s="9" t="str">
        <x:f>IF(L328="","",L328-F328)</x:f>
      </x:c>
      <x:c r="S328" s="9" t="str">
        <x:f>IF(L328="","",IF(M328="UNDER","U247,5 reușit; total final "&amp;L328&amp;" vs λ="&amp;TEXT(F328,"0.00")&amp;".","Eșec U247,5; total final "&amp;L328&amp;" vs λ="&amp;TEXT(F328,"0.00")&amp;". Revizuiește Tail Risk, sursa λ și calibrarea."))</x:f>
      </x:c>
      <x:c r="T328" s="51"/>
      <x:c r="U328" s="51"/>
      <x:c r="V328" s="51"/>
      <x:c r="W328" s="61"/>
      <x:c r="X328" s="61"/>
      <x:c r="Y328" s="51"/>
      <x:c r="Z328" s="53"/>
      <x:c r="AA328" s="51"/>
      <x:c r="AB328" s="64" t="str">
        <x:f>IF(AC328="","",AC328)</x:f>
      </x:c>
      <x:c r="AC328" s="67"/>
      <x:c r="AD328" s="69" t="str">
        <x:f>IF(AE328="","",AE328)</x:f>
      </x:c>
      <x:c r="AE328" s="71"/>
      <x:c r="AF328" s="73" t="str">
        <x:f>IF(AC328="","",1/AC328)</x:f>
      </x:c>
      <x:c r="AG328" s="61"/>
      <x:c r="AH328" s="61"/>
      <x:c r="AI328" s="64" t="str">
        <x:f>IF(OR(AC328="",AG328=""),"",AC328*AG328-1)</x:f>
      </x:c>
      <x:c r="AJ328" s="75" t="str">
        <x:f>IF(OR(G328="",F328=""),"",IF(AND(G328&gt;='Calibrare v2'!$B$35,F328&lt;='Calibrare v2'!$B$34),"PASS","FAIL"))</x:f>
      </x:c>
      <x:c r="AK328" s="75" t="str">
        <x:f>IF(AL328="","",AL328)</x:f>
      </x:c>
      <x:c r="AL328" s="77"/>
      <x:c r="AM328" s="77"/>
      <x:c r="AN328" s="64" t="str">
        <x:f>IF(OR(AC328="",P328=""),"",(AC328-P328)^2)</x:f>
      </x:c>
      <x:c r="AO328" s="64" t="str">
        <x:f>IF(OR(AG328="",AH328=""),"",AG328/AH328-1)</x:f>
      </x:c>
      <x:c r="AP328" s="61"/>
      <x:c r="AQ328" s="73" t="n">
        <x:f>IF(OR(AM328&lt;&gt;"PARIU U4,5",M328="",AP328="",AG328=""),0,IF(M328="UNDER",AP328*(AG328-1),-AP328))</x:f>
        <x:v>0</x:v>
      </x:c>
      <x:c r="AR328" s="51"/>
    </x:row>
    <x:row r="329">
      <x:c r="A329" s="9" t="str">
        <x:f>IF(D329="","",ROW()-1)</x:f>
      </x:c>
      <x:c r="B329" s="51"/>
      <x:c r="C329" s="51"/>
      <x:c r="D329" s="51"/>
      <x:c r="E329" s="9" t="str">
        <x:f>IF(D329="","",IF(AND(F329&lt;='Calibrare v2'!$B$33,G329&gt;=0.86),"DA – FEZABIL",IF(G329&gt;=0.8,"DA – PRUDENT","NU – EVITĂ")))</x:f>
      </x:c>
      <x:c r="F329" s="16" t="str">
        <x:f>IF(OR(W329="",X329=""),"",W329+X329)</x:f>
      </x:c>
      <x:c r="G329" s="28" t="str">
        <x:f>IF(F329="","",EXP(-F329)*(1+F329+F329^2/2+F329^3/6+F329^4/24))</x:f>
      </x:c>
      <x:c r="H329" s="53"/>
      <x:c r="I329" s="9" t="str">
        <x:f>IF(F329="","",IF(F329&lt;='Calibrare v2'!$B$33,"PASS","FAIL"))</x:f>
      </x:c>
      <x:c r="J329" s="51"/>
      <x:c r="K329" s="51"/>
      <x:c r="L329" s="9" t="str">
        <x:f>IF(OR(J329="",K329=""),"",J329+K329)</x:f>
      </x:c>
      <x:c r="M329" s="9" t="str">
        <x:f>IF(L329="","",IF(L329&lt;=4,"UNDER","OVER"))</x:f>
      </x:c>
      <x:c r="N329" s="9" t="str">
        <x:f>IF(E329="","",IF(LEFT(E329,2)="DA","PARIU U248,5","NO BET"))</x:f>
      </x:c>
      <x:c r="O329" s="9" t="str">
        <x:f>IF(M329="","",IF(AM329="PARIU U248,5",IF(M329="UNDER","SUCCES","EȘEC"),IF(M329="UNDER","FALS NEGATIV","EVITARE CORECTĂ")))</x:f>
      </x:c>
      <x:c r="P329" s="9" t="str">
        <x:f>IF(M329="","",IF(M329="UNDER",1,0))</x:f>
      </x:c>
      <x:c r="Q329" s="9" t="str">
        <x:f>IF(P329="","",(G329-P329)^2)</x:f>
      </x:c>
      <x:c r="R329" s="9" t="str">
        <x:f>IF(L329="","",L329-F329)</x:f>
      </x:c>
      <x:c r="S329" s="9" t="str">
        <x:f>IF(L329="","",IF(M329="UNDER","U248,5 reușit; total final "&amp;L329&amp;" vs λ="&amp;TEXT(F329,"0.00")&amp;".","Eșec U248,5; total final "&amp;L329&amp;" vs λ="&amp;TEXT(F329,"0.00")&amp;". Revizuiește Tail Risk, sursa λ și calibrarea."))</x:f>
      </x:c>
      <x:c r="T329" s="51"/>
      <x:c r="U329" s="51"/>
      <x:c r="V329" s="51"/>
      <x:c r="W329" s="61"/>
      <x:c r="X329" s="61"/>
      <x:c r="Y329" s="51"/>
      <x:c r="Z329" s="53"/>
      <x:c r="AA329" s="51"/>
      <x:c r="AB329" s="64" t="str">
        <x:f>IF(AC329="","",AC329)</x:f>
      </x:c>
      <x:c r="AC329" s="67"/>
      <x:c r="AD329" s="69" t="str">
        <x:f>IF(AE329="","",AE329)</x:f>
      </x:c>
      <x:c r="AE329" s="71"/>
      <x:c r="AF329" s="73" t="str">
        <x:f>IF(AC329="","",1/AC329)</x:f>
      </x:c>
      <x:c r="AG329" s="61"/>
      <x:c r="AH329" s="61"/>
      <x:c r="AI329" s="64" t="str">
        <x:f>IF(OR(AC329="",AG329=""),"",AC329*AG329-1)</x:f>
      </x:c>
      <x:c r="AJ329" s="75" t="str">
        <x:f>IF(OR(G329="",F329=""),"",IF(AND(G329&gt;='Calibrare v2'!$B$35,F329&lt;='Calibrare v2'!$B$34),"PASS","FAIL"))</x:f>
      </x:c>
      <x:c r="AK329" s="75" t="str">
        <x:f>IF(AL329="","",AL329)</x:f>
      </x:c>
      <x:c r="AL329" s="77"/>
      <x:c r="AM329" s="77"/>
      <x:c r="AN329" s="64" t="str">
        <x:f>IF(OR(AC329="",P329=""),"",(AC329-P329)^2)</x:f>
      </x:c>
      <x:c r="AO329" s="64" t="str">
        <x:f>IF(OR(AG329="",AH329=""),"",AG329/AH329-1)</x:f>
      </x:c>
      <x:c r="AP329" s="61"/>
      <x:c r="AQ329" s="73" t="n">
        <x:f>IF(OR(AM329&lt;&gt;"PARIU U4,5",M329="",AP329="",AG329=""),0,IF(M329="UNDER",AP329*(AG329-1),-AP329))</x:f>
        <x:v>0</x:v>
      </x:c>
      <x:c r="AR329" s="51"/>
    </x:row>
    <x:row r="330">
      <x:c r="A330" s="9" t="str">
        <x:f>IF(D330="","",ROW()-1)</x:f>
      </x:c>
      <x:c r="B330" s="51"/>
      <x:c r="C330" s="51"/>
      <x:c r="D330" s="51"/>
      <x:c r="E330" s="9" t="str">
        <x:f>IF(D330="","",IF(AND(F330&lt;='Calibrare v2'!$B$33,G330&gt;=0.86),"DA – FEZABIL",IF(G330&gt;=0.8,"DA – PRUDENT","NU – EVITĂ")))</x:f>
      </x:c>
      <x:c r="F330" s="16" t="str">
        <x:f>IF(OR(W330="",X330=""),"",W330+X330)</x:f>
      </x:c>
      <x:c r="G330" s="28" t="str">
        <x:f>IF(F330="","",EXP(-F330)*(1+F330+F330^2/2+F330^3/6+F330^4/24))</x:f>
      </x:c>
      <x:c r="H330" s="53"/>
      <x:c r="I330" s="9" t="str">
        <x:f>IF(F330="","",IF(F330&lt;='Calibrare v2'!$B$33,"PASS","FAIL"))</x:f>
      </x:c>
      <x:c r="J330" s="51"/>
      <x:c r="K330" s="51"/>
      <x:c r="L330" s="9" t="str">
        <x:f>IF(OR(J330="",K330=""),"",J330+K330)</x:f>
      </x:c>
      <x:c r="M330" s="9" t="str">
        <x:f>IF(L330="","",IF(L330&lt;=4,"UNDER","OVER"))</x:f>
      </x:c>
      <x:c r="N330" s="9" t="str">
        <x:f>IF(E330="","",IF(LEFT(E330,2)="DA","PARIU U249,5","NO BET"))</x:f>
      </x:c>
      <x:c r="O330" s="9" t="str">
        <x:f>IF(M330="","",IF(AM330="PARIU U249,5",IF(M330="UNDER","SUCCES","EȘEC"),IF(M330="UNDER","FALS NEGATIV","EVITARE CORECTĂ")))</x:f>
      </x:c>
      <x:c r="P330" s="9" t="str">
        <x:f>IF(M330="","",IF(M330="UNDER",1,0))</x:f>
      </x:c>
      <x:c r="Q330" s="9" t="str">
        <x:f>IF(P330="","",(G330-P330)^2)</x:f>
      </x:c>
      <x:c r="R330" s="9" t="str">
        <x:f>IF(L330="","",L330-F330)</x:f>
      </x:c>
      <x:c r="S330" s="9" t="str">
        <x:f>IF(L330="","",IF(M330="UNDER","U249,5 reușit; total final "&amp;L330&amp;" vs λ="&amp;TEXT(F330,"0.00")&amp;".","Eșec U249,5; total final "&amp;L330&amp;" vs λ="&amp;TEXT(F330,"0.00")&amp;". Revizuiește Tail Risk, sursa λ și calibrarea."))</x:f>
      </x:c>
      <x:c r="T330" s="51"/>
      <x:c r="U330" s="51"/>
      <x:c r="V330" s="51"/>
      <x:c r="W330" s="61"/>
      <x:c r="X330" s="61"/>
      <x:c r="Y330" s="51"/>
      <x:c r="Z330" s="53"/>
      <x:c r="AA330" s="51"/>
      <x:c r="AB330" s="64" t="str">
        <x:f>IF(AC330="","",AC330)</x:f>
      </x:c>
      <x:c r="AC330" s="67"/>
      <x:c r="AD330" s="69" t="str">
        <x:f>IF(AE330="","",AE330)</x:f>
      </x:c>
      <x:c r="AE330" s="71"/>
      <x:c r="AF330" s="73" t="str">
        <x:f>IF(AC330="","",1/AC330)</x:f>
      </x:c>
      <x:c r="AG330" s="61"/>
      <x:c r="AH330" s="61"/>
      <x:c r="AI330" s="64" t="str">
        <x:f>IF(OR(AC330="",AG330=""),"",AC330*AG330-1)</x:f>
      </x:c>
      <x:c r="AJ330" s="75" t="str">
        <x:f>IF(OR(G330="",F330=""),"",IF(AND(G330&gt;='Calibrare v2'!$B$35,F330&lt;='Calibrare v2'!$B$34),"PASS","FAIL"))</x:f>
      </x:c>
      <x:c r="AK330" s="75" t="str">
        <x:f>IF(AL330="","",AL330)</x:f>
      </x:c>
      <x:c r="AL330" s="77"/>
      <x:c r="AM330" s="77"/>
      <x:c r="AN330" s="64" t="str">
        <x:f>IF(OR(AC330="",P330=""),"",(AC330-P330)^2)</x:f>
      </x:c>
      <x:c r="AO330" s="64" t="str">
        <x:f>IF(OR(AG330="",AH330=""),"",AG330/AH330-1)</x:f>
      </x:c>
      <x:c r="AP330" s="61"/>
      <x:c r="AQ330" s="73" t="n">
        <x:f>IF(OR(AM330&lt;&gt;"PARIU U4,5",M330="",AP330="",AG330=""),0,IF(M330="UNDER",AP330*(AG330-1),-AP330))</x:f>
        <x:v>0</x:v>
      </x:c>
      <x:c r="AR330" s="51"/>
    </x:row>
    <x:row r="331">
      <x:c r="A331" s="9" t="str">
        <x:f>IF(D331="","",ROW()-1)</x:f>
      </x:c>
      <x:c r="B331" s="51"/>
      <x:c r="C331" s="51"/>
      <x:c r="D331" s="51"/>
      <x:c r="E331" s="9" t="str">
        <x:f>IF(D331="","",IF(AND(F331&lt;='Calibrare v2'!$B$33,G331&gt;=0.86),"DA – FEZABIL",IF(G331&gt;=0.8,"DA – PRUDENT","NU – EVITĂ")))</x:f>
      </x:c>
      <x:c r="F331" s="16" t="str">
        <x:f>IF(OR(W331="",X331=""),"",W331+X331)</x:f>
      </x:c>
      <x:c r="G331" s="28" t="str">
        <x:f>IF(F331="","",EXP(-F331)*(1+F331+F331^2/2+F331^3/6+F331^4/24))</x:f>
      </x:c>
      <x:c r="H331" s="53"/>
      <x:c r="I331" s="9" t="str">
        <x:f>IF(F331="","",IF(F331&lt;='Calibrare v2'!$B$33,"PASS","FAIL"))</x:f>
      </x:c>
      <x:c r="J331" s="51"/>
      <x:c r="K331" s="51"/>
      <x:c r="L331" s="9" t="str">
        <x:f>IF(OR(J331="",K331=""),"",J331+K331)</x:f>
      </x:c>
      <x:c r="M331" s="9" t="str">
        <x:f>IF(L331="","",IF(L331&lt;=4,"UNDER","OVER"))</x:f>
      </x:c>
      <x:c r="N331" s="9" t="str">
        <x:f>IF(E331="","",IF(LEFT(E331,2)="DA","PARIU U250,5","NO BET"))</x:f>
      </x:c>
      <x:c r="O331" s="9" t="str">
        <x:f>IF(M331="","",IF(AM331="PARIU U250,5",IF(M331="UNDER","SUCCES","EȘEC"),IF(M331="UNDER","FALS NEGATIV","EVITARE CORECTĂ")))</x:f>
      </x:c>
      <x:c r="P331" s="9" t="str">
        <x:f>IF(M331="","",IF(M331="UNDER",1,0))</x:f>
      </x:c>
      <x:c r="Q331" s="9" t="str">
        <x:f>IF(P331="","",(G331-P331)^2)</x:f>
      </x:c>
      <x:c r="R331" s="9" t="str">
        <x:f>IF(L331="","",L331-F331)</x:f>
      </x:c>
      <x:c r="S331" s="9" t="str">
        <x:f>IF(L331="","",IF(M331="UNDER","U250,5 reușit; total final "&amp;L331&amp;" vs λ="&amp;TEXT(F331,"0.00")&amp;".","Eșec U250,5; total final "&amp;L331&amp;" vs λ="&amp;TEXT(F331,"0.00")&amp;". Revizuiește Tail Risk, sursa λ și calibrarea."))</x:f>
      </x:c>
      <x:c r="T331" s="51"/>
      <x:c r="U331" s="51"/>
      <x:c r="V331" s="51"/>
      <x:c r="W331" s="61"/>
      <x:c r="X331" s="61"/>
      <x:c r="Y331" s="51"/>
      <x:c r="Z331" s="53"/>
      <x:c r="AA331" s="51"/>
      <x:c r="AB331" s="64" t="str">
        <x:f>IF(AC331="","",AC331)</x:f>
      </x:c>
      <x:c r="AC331" s="67"/>
      <x:c r="AD331" s="69" t="str">
        <x:f>IF(AE331="","",AE331)</x:f>
      </x:c>
      <x:c r="AE331" s="71"/>
      <x:c r="AF331" s="73" t="str">
        <x:f>IF(AC331="","",1/AC331)</x:f>
      </x:c>
      <x:c r="AG331" s="61"/>
      <x:c r="AH331" s="61"/>
      <x:c r="AI331" s="64" t="str">
        <x:f>IF(OR(AC331="",AG331=""),"",AC331*AG331-1)</x:f>
      </x:c>
      <x:c r="AJ331" s="75" t="str">
        <x:f>IF(OR(G331="",F331=""),"",IF(AND(G331&gt;='Calibrare v2'!$B$35,F331&lt;='Calibrare v2'!$B$34),"PASS","FAIL"))</x:f>
      </x:c>
      <x:c r="AK331" s="75" t="str">
        <x:f>IF(AL331="","",AL331)</x:f>
      </x:c>
      <x:c r="AL331" s="77"/>
      <x:c r="AM331" s="77"/>
      <x:c r="AN331" s="64" t="str">
        <x:f>IF(OR(AC331="",P331=""),"",(AC331-P331)^2)</x:f>
      </x:c>
      <x:c r="AO331" s="64" t="str">
        <x:f>IF(OR(AG331="",AH331=""),"",AG331/AH331-1)</x:f>
      </x:c>
      <x:c r="AP331" s="61"/>
      <x:c r="AQ331" s="73" t="n">
        <x:f>IF(OR(AM331&lt;&gt;"PARIU U4,5",M331="",AP331="",AG331=""),0,IF(M331="UNDER",AP331*(AG331-1),-AP331))</x:f>
        <x:v>0</x:v>
      </x:c>
      <x:c r="AR331" s="51"/>
    </x:row>
    <x:row r="332">
      <x:c r="A332" s="9" t="str">
        <x:f>IF(D332="","",ROW()-1)</x:f>
      </x:c>
      <x:c r="B332" s="51"/>
      <x:c r="C332" s="51"/>
      <x:c r="D332" s="51"/>
      <x:c r="E332" s="9" t="str">
        <x:f>IF(D332="","",IF(AND(F332&lt;='Calibrare v2'!$B$33,G332&gt;=0.86),"DA – FEZABIL",IF(G332&gt;=0.8,"DA – PRUDENT","NU – EVITĂ")))</x:f>
      </x:c>
      <x:c r="F332" s="16" t="str">
        <x:f>IF(OR(W332="",X332=""),"",W332+X332)</x:f>
      </x:c>
      <x:c r="G332" s="28" t="str">
        <x:f>IF(F332="","",EXP(-F332)*(1+F332+F332^2/2+F332^3/6+F332^4/24))</x:f>
      </x:c>
      <x:c r="H332" s="53"/>
      <x:c r="I332" s="9" t="str">
        <x:f>IF(F332="","",IF(F332&lt;='Calibrare v2'!$B$33,"PASS","FAIL"))</x:f>
      </x:c>
      <x:c r="J332" s="51"/>
      <x:c r="K332" s="51"/>
      <x:c r="L332" s="9" t="str">
        <x:f>IF(OR(J332="",K332=""),"",J332+K332)</x:f>
      </x:c>
      <x:c r="M332" s="9" t="str">
        <x:f>IF(L332="","",IF(L332&lt;=4,"UNDER","OVER"))</x:f>
      </x:c>
      <x:c r="N332" s="9" t="str">
        <x:f>IF(E332="","",IF(LEFT(E332,2)="DA","PARIU U251,5","NO BET"))</x:f>
      </x:c>
      <x:c r="O332" s="9" t="str">
        <x:f>IF(M332="","",IF(AM332="PARIU U251,5",IF(M332="UNDER","SUCCES","EȘEC"),IF(M332="UNDER","FALS NEGATIV","EVITARE CORECTĂ")))</x:f>
      </x:c>
      <x:c r="P332" s="9" t="str">
        <x:f>IF(M332="","",IF(M332="UNDER",1,0))</x:f>
      </x:c>
      <x:c r="Q332" s="9" t="str">
        <x:f>IF(P332="","",(G332-P332)^2)</x:f>
      </x:c>
      <x:c r="R332" s="9" t="str">
        <x:f>IF(L332="","",L332-F332)</x:f>
      </x:c>
      <x:c r="S332" s="9" t="str">
        <x:f>IF(L332="","",IF(M332="UNDER","U251,5 reușit; total final "&amp;L332&amp;" vs λ="&amp;TEXT(F332,"0.00")&amp;".","Eșec U251,5; total final "&amp;L332&amp;" vs λ="&amp;TEXT(F332,"0.00")&amp;". Revizuiește Tail Risk, sursa λ și calibrarea."))</x:f>
      </x:c>
      <x:c r="T332" s="51"/>
      <x:c r="U332" s="51"/>
      <x:c r="V332" s="51"/>
      <x:c r="W332" s="61"/>
      <x:c r="X332" s="61"/>
      <x:c r="Y332" s="51"/>
      <x:c r="Z332" s="53"/>
      <x:c r="AA332" s="51"/>
      <x:c r="AB332" s="64" t="str">
        <x:f>IF(AC332="","",AC332)</x:f>
      </x:c>
      <x:c r="AC332" s="67"/>
      <x:c r="AD332" s="69" t="str">
        <x:f>IF(AE332="","",AE332)</x:f>
      </x:c>
      <x:c r="AE332" s="71"/>
      <x:c r="AF332" s="73" t="str">
        <x:f>IF(AC332="","",1/AC332)</x:f>
      </x:c>
      <x:c r="AG332" s="61"/>
      <x:c r="AH332" s="61"/>
      <x:c r="AI332" s="64" t="str">
        <x:f>IF(OR(AC332="",AG332=""),"",AC332*AG332-1)</x:f>
      </x:c>
      <x:c r="AJ332" s="75" t="str">
        <x:f>IF(OR(G332="",F332=""),"",IF(AND(G332&gt;='Calibrare v2'!$B$35,F332&lt;='Calibrare v2'!$B$34),"PASS","FAIL"))</x:f>
      </x:c>
      <x:c r="AK332" s="75" t="str">
        <x:f>IF(AL332="","",AL332)</x:f>
      </x:c>
      <x:c r="AL332" s="77"/>
      <x:c r="AM332" s="77"/>
      <x:c r="AN332" s="64" t="str">
        <x:f>IF(OR(AC332="",P332=""),"",(AC332-P332)^2)</x:f>
      </x:c>
      <x:c r="AO332" s="64" t="str">
        <x:f>IF(OR(AG332="",AH332=""),"",AG332/AH332-1)</x:f>
      </x:c>
      <x:c r="AP332" s="61"/>
      <x:c r="AQ332" s="73" t="n">
        <x:f>IF(OR(AM332&lt;&gt;"PARIU U4,5",M332="",AP332="",AG332=""),0,IF(M332="UNDER",AP332*(AG332-1),-AP332))</x:f>
        <x:v>0</x:v>
      </x:c>
      <x:c r="AR332" s="51"/>
    </x:row>
    <x:row r="333">
      <x:c r="A333" s="9" t="str">
        <x:f>IF(D333="","",ROW()-1)</x:f>
      </x:c>
      <x:c r="B333" s="51"/>
      <x:c r="C333" s="51"/>
      <x:c r="D333" s="51"/>
      <x:c r="E333" s="9" t="str">
        <x:f>IF(D333="","",IF(AND(F333&lt;='Calibrare v2'!$B$33,G333&gt;=0.86),"DA – FEZABIL",IF(G333&gt;=0.8,"DA – PRUDENT","NU – EVITĂ")))</x:f>
      </x:c>
      <x:c r="F333" s="16" t="str">
        <x:f>IF(OR(W333="",X333=""),"",W333+X333)</x:f>
      </x:c>
      <x:c r="G333" s="28" t="str">
        <x:f>IF(F333="","",EXP(-F333)*(1+F333+F333^2/2+F333^3/6+F333^4/24))</x:f>
      </x:c>
      <x:c r="H333" s="53"/>
      <x:c r="I333" s="9" t="str">
        <x:f>IF(F333="","",IF(F333&lt;='Calibrare v2'!$B$33,"PASS","FAIL"))</x:f>
      </x:c>
      <x:c r="J333" s="51"/>
      <x:c r="K333" s="51"/>
      <x:c r="L333" s="9" t="str">
        <x:f>IF(OR(J333="",K333=""),"",J333+K333)</x:f>
      </x:c>
      <x:c r="M333" s="9" t="str">
        <x:f>IF(L333="","",IF(L333&lt;=4,"UNDER","OVER"))</x:f>
      </x:c>
      <x:c r="N333" s="9" t="str">
        <x:f>IF(E333="","",IF(LEFT(E333,2)="DA","PARIU U252,5","NO BET"))</x:f>
      </x:c>
      <x:c r="O333" s="9" t="str">
        <x:f>IF(M333="","",IF(AM333="PARIU U252,5",IF(M333="UNDER","SUCCES","EȘEC"),IF(M333="UNDER","FALS NEGATIV","EVITARE CORECTĂ")))</x:f>
      </x:c>
      <x:c r="P333" s="9" t="str">
        <x:f>IF(M333="","",IF(M333="UNDER",1,0))</x:f>
      </x:c>
      <x:c r="Q333" s="9" t="str">
        <x:f>IF(P333="","",(G333-P333)^2)</x:f>
      </x:c>
      <x:c r="R333" s="9" t="str">
        <x:f>IF(L333="","",L333-F333)</x:f>
      </x:c>
      <x:c r="S333" s="9" t="str">
        <x:f>IF(L333="","",IF(M333="UNDER","U252,5 reușit; total final "&amp;L333&amp;" vs λ="&amp;TEXT(F333,"0.00")&amp;".","Eșec U252,5; total final "&amp;L333&amp;" vs λ="&amp;TEXT(F333,"0.00")&amp;". Revizuiește Tail Risk, sursa λ și calibrarea."))</x:f>
      </x:c>
      <x:c r="T333" s="51"/>
      <x:c r="U333" s="51"/>
      <x:c r="V333" s="51"/>
      <x:c r="W333" s="61"/>
      <x:c r="X333" s="61"/>
      <x:c r="Y333" s="51"/>
      <x:c r="Z333" s="53"/>
      <x:c r="AA333" s="51"/>
      <x:c r="AB333" s="64" t="str">
        <x:f>IF(AC333="","",AC333)</x:f>
      </x:c>
      <x:c r="AC333" s="67"/>
      <x:c r="AD333" s="69" t="str">
        <x:f>IF(AE333="","",AE333)</x:f>
      </x:c>
      <x:c r="AE333" s="71"/>
      <x:c r="AF333" s="73" t="str">
        <x:f>IF(AC333="","",1/AC333)</x:f>
      </x:c>
      <x:c r="AG333" s="61"/>
      <x:c r="AH333" s="61"/>
      <x:c r="AI333" s="64" t="str">
        <x:f>IF(OR(AC333="",AG333=""),"",AC333*AG333-1)</x:f>
      </x:c>
      <x:c r="AJ333" s="75" t="str">
        <x:f>IF(OR(G333="",F333=""),"",IF(AND(G333&gt;='Calibrare v2'!$B$35,F333&lt;='Calibrare v2'!$B$34),"PASS","FAIL"))</x:f>
      </x:c>
      <x:c r="AK333" s="75" t="str">
        <x:f>IF(AL333="","",AL333)</x:f>
      </x:c>
      <x:c r="AL333" s="77"/>
      <x:c r="AM333" s="77"/>
      <x:c r="AN333" s="64" t="str">
        <x:f>IF(OR(AC333="",P333=""),"",(AC333-P333)^2)</x:f>
      </x:c>
      <x:c r="AO333" s="64" t="str">
        <x:f>IF(OR(AG333="",AH333=""),"",AG333/AH333-1)</x:f>
      </x:c>
      <x:c r="AP333" s="61"/>
      <x:c r="AQ333" s="73" t="n">
        <x:f>IF(OR(AM333&lt;&gt;"PARIU U4,5",M333="",AP333="",AG333=""),0,IF(M333="UNDER",AP333*(AG333-1),-AP333))</x:f>
        <x:v>0</x:v>
      </x:c>
      <x:c r="AR333" s="51"/>
    </x:row>
    <x:row r="334">
      <x:c r="A334" s="9" t="str">
        <x:f>IF(D334="","",ROW()-1)</x:f>
      </x:c>
      <x:c r="B334" s="51"/>
      <x:c r="C334" s="51"/>
      <x:c r="D334" s="51"/>
      <x:c r="E334" s="9" t="str">
        <x:f>IF(D334="","",IF(AND(F334&lt;='Calibrare v2'!$B$33,G334&gt;=0.86),"DA – FEZABIL",IF(G334&gt;=0.8,"DA – PRUDENT","NU – EVITĂ")))</x:f>
      </x:c>
      <x:c r="F334" s="16" t="str">
        <x:f>IF(OR(W334="",X334=""),"",W334+X334)</x:f>
      </x:c>
      <x:c r="G334" s="28" t="str">
        <x:f>IF(F334="","",EXP(-F334)*(1+F334+F334^2/2+F334^3/6+F334^4/24))</x:f>
      </x:c>
      <x:c r="H334" s="53"/>
      <x:c r="I334" s="9" t="str">
        <x:f>IF(F334="","",IF(F334&lt;='Calibrare v2'!$B$33,"PASS","FAIL"))</x:f>
      </x:c>
      <x:c r="J334" s="51"/>
      <x:c r="K334" s="51"/>
      <x:c r="L334" s="9" t="str">
        <x:f>IF(OR(J334="",K334=""),"",J334+K334)</x:f>
      </x:c>
      <x:c r="M334" s="9" t="str">
        <x:f>IF(L334="","",IF(L334&lt;=4,"UNDER","OVER"))</x:f>
      </x:c>
      <x:c r="N334" s="9" t="str">
        <x:f>IF(E334="","",IF(LEFT(E334,2)="DA","PARIU U253,5","NO BET"))</x:f>
      </x:c>
      <x:c r="O334" s="9" t="str">
        <x:f>IF(M334="","",IF(AM334="PARIU U253,5",IF(M334="UNDER","SUCCES","EȘEC"),IF(M334="UNDER","FALS NEGATIV","EVITARE CORECTĂ")))</x:f>
      </x:c>
      <x:c r="P334" s="9" t="str">
        <x:f>IF(M334="","",IF(M334="UNDER",1,0))</x:f>
      </x:c>
      <x:c r="Q334" s="9" t="str">
        <x:f>IF(P334="","",(G334-P334)^2)</x:f>
      </x:c>
      <x:c r="R334" s="9" t="str">
        <x:f>IF(L334="","",L334-F334)</x:f>
      </x:c>
      <x:c r="S334" s="9" t="str">
        <x:f>IF(L334="","",IF(M334="UNDER","U253,5 reușit; total final "&amp;L334&amp;" vs λ="&amp;TEXT(F334,"0.00")&amp;".","Eșec U253,5; total final "&amp;L334&amp;" vs λ="&amp;TEXT(F334,"0.00")&amp;". Revizuiește Tail Risk, sursa λ și calibrarea."))</x:f>
      </x:c>
      <x:c r="T334" s="51"/>
      <x:c r="U334" s="51"/>
      <x:c r="V334" s="51"/>
      <x:c r="W334" s="61"/>
      <x:c r="X334" s="61"/>
      <x:c r="Y334" s="51"/>
      <x:c r="Z334" s="53"/>
      <x:c r="AA334" s="51"/>
      <x:c r="AB334" s="64" t="str">
        <x:f>IF(AC334="","",AC334)</x:f>
      </x:c>
      <x:c r="AC334" s="67"/>
      <x:c r="AD334" s="69" t="str">
        <x:f>IF(AE334="","",AE334)</x:f>
      </x:c>
      <x:c r="AE334" s="71"/>
      <x:c r="AF334" s="73" t="str">
        <x:f>IF(AC334="","",1/AC334)</x:f>
      </x:c>
      <x:c r="AG334" s="61"/>
      <x:c r="AH334" s="61"/>
      <x:c r="AI334" s="64" t="str">
        <x:f>IF(OR(AC334="",AG334=""),"",AC334*AG334-1)</x:f>
      </x:c>
      <x:c r="AJ334" s="75" t="str">
        <x:f>IF(OR(G334="",F334=""),"",IF(AND(G334&gt;='Calibrare v2'!$B$35,F334&lt;='Calibrare v2'!$B$34),"PASS","FAIL"))</x:f>
      </x:c>
      <x:c r="AK334" s="75" t="str">
        <x:f>IF(AL334="","",AL334)</x:f>
      </x:c>
      <x:c r="AL334" s="77"/>
      <x:c r="AM334" s="77"/>
      <x:c r="AN334" s="64" t="str">
        <x:f>IF(OR(AC334="",P334=""),"",(AC334-P334)^2)</x:f>
      </x:c>
      <x:c r="AO334" s="64" t="str">
        <x:f>IF(OR(AG334="",AH334=""),"",AG334/AH334-1)</x:f>
      </x:c>
      <x:c r="AP334" s="61"/>
      <x:c r="AQ334" s="73" t="n">
        <x:f>IF(OR(AM334&lt;&gt;"PARIU U4,5",M334="",AP334="",AG334=""),0,IF(M334="UNDER",AP334*(AG334-1),-AP334))</x:f>
        <x:v>0</x:v>
      </x:c>
      <x:c r="AR334" s="51"/>
    </x:row>
    <x:row r="335">
      <x:c r="A335" s="9" t="str">
        <x:f>IF(D335="","",ROW()-1)</x:f>
      </x:c>
      <x:c r="B335" s="51"/>
      <x:c r="C335" s="51"/>
      <x:c r="D335" s="51"/>
      <x:c r="E335" s="9" t="str">
        <x:f>IF(D335="","",IF(AND(F335&lt;='Calibrare v2'!$B$33,G335&gt;=0.86),"DA – FEZABIL",IF(G335&gt;=0.8,"DA – PRUDENT","NU – EVITĂ")))</x:f>
      </x:c>
      <x:c r="F335" s="16" t="str">
        <x:f>IF(OR(W335="",X335=""),"",W335+X335)</x:f>
      </x:c>
      <x:c r="G335" s="28" t="str">
        <x:f>IF(F335="","",EXP(-F335)*(1+F335+F335^2/2+F335^3/6+F335^4/24))</x:f>
      </x:c>
      <x:c r="H335" s="53"/>
      <x:c r="I335" s="9" t="str">
        <x:f>IF(F335="","",IF(F335&lt;='Calibrare v2'!$B$33,"PASS","FAIL"))</x:f>
      </x:c>
      <x:c r="J335" s="51"/>
      <x:c r="K335" s="51"/>
      <x:c r="L335" s="9" t="str">
        <x:f>IF(OR(J335="",K335=""),"",J335+K335)</x:f>
      </x:c>
      <x:c r="M335" s="9" t="str">
        <x:f>IF(L335="","",IF(L335&lt;=4,"UNDER","OVER"))</x:f>
      </x:c>
      <x:c r="N335" s="9" t="str">
        <x:f>IF(E335="","",IF(LEFT(E335,2)="DA","PARIU U254,5","NO BET"))</x:f>
      </x:c>
      <x:c r="O335" s="9" t="str">
        <x:f>IF(M335="","",IF(AM335="PARIU U254,5",IF(M335="UNDER","SUCCES","EȘEC"),IF(M335="UNDER","FALS NEGATIV","EVITARE CORECTĂ")))</x:f>
      </x:c>
      <x:c r="P335" s="9" t="str">
        <x:f>IF(M335="","",IF(M335="UNDER",1,0))</x:f>
      </x:c>
      <x:c r="Q335" s="9" t="str">
        <x:f>IF(P335="","",(G335-P335)^2)</x:f>
      </x:c>
      <x:c r="R335" s="9" t="str">
        <x:f>IF(L335="","",L335-F335)</x:f>
      </x:c>
      <x:c r="S335" s="9" t="str">
        <x:f>IF(L335="","",IF(M335="UNDER","U254,5 reușit; total final "&amp;L335&amp;" vs λ="&amp;TEXT(F335,"0.00")&amp;".","Eșec U254,5; total final "&amp;L335&amp;" vs λ="&amp;TEXT(F335,"0.00")&amp;". Revizuiește Tail Risk, sursa λ și calibrarea."))</x:f>
      </x:c>
      <x:c r="T335" s="51"/>
      <x:c r="U335" s="51"/>
      <x:c r="V335" s="51"/>
      <x:c r="W335" s="61"/>
      <x:c r="X335" s="61"/>
      <x:c r="Y335" s="51"/>
      <x:c r="Z335" s="53"/>
      <x:c r="AA335" s="51"/>
      <x:c r="AB335" s="64" t="str">
        <x:f>IF(AC335="","",AC335)</x:f>
      </x:c>
      <x:c r="AC335" s="67"/>
      <x:c r="AD335" s="69" t="str">
        <x:f>IF(AE335="","",AE335)</x:f>
      </x:c>
      <x:c r="AE335" s="71"/>
      <x:c r="AF335" s="73" t="str">
        <x:f>IF(AC335="","",1/AC335)</x:f>
      </x:c>
      <x:c r="AG335" s="61"/>
      <x:c r="AH335" s="61"/>
      <x:c r="AI335" s="64" t="str">
        <x:f>IF(OR(AC335="",AG335=""),"",AC335*AG335-1)</x:f>
      </x:c>
      <x:c r="AJ335" s="75" t="str">
        <x:f>IF(OR(G335="",F335=""),"",IF(AND(G335&gt;='Calibrare v2'!$B$35,F335&lt;='Calibrare v2'!$B$34),"PASS","FAIL"))</x:f>
      </x:c>
      <x:c r="AK335" s="75" t="str">
        <x:f>IF(AL335="","",AL335)</x:f>
      </x:c>
      <x:c r="AL335" s="77"/>
      <x:c r="AM335" s="77"/>
      <x:c r="AN335" s="64" t="str">
        <x:f>IF(OR(AC335="",P335=""),"",(AC335-P335)^2)</x:f>
      </x:c>
      <x:c r="AO335" s="64" t="str">
        <x:f>IF(OR(AG335="",AH335=""),"",AG335/AH335-1)</x:f>
      </x:c>
      <x:c r="AP335" s="61"/>
      <x:c r="AQ335" s="73" t="n">
        <x:f>IF(OR(AM335&lt;&gt;"PARIU U4,5",M335="",AP335="",AG335=""),0,IF(M335="UNDER",AP335*(AG335-1),-AP335))</x:f>
        <x:v>0</x:v>
      </x:c>
      <x:c r="AR335" s="51"/>
    </x:row>
    <x:row r="336">
      <x:c r="A336" s="9" t="str">
        <x:f>IF(D336="","",ROW()-1)</x:f>
      </x:c>
      <x:c r="B336" s="51"/>
      <x:c r="C336" s="51"/>
      <x:c r="D336" s="51"/>
      <x:c r="E336" s="9" t="str">
        <x:f>IF(D336="","",IF(AND(F336&lt;='Calibrare v2'!$B$33,G336&gt;=0.86),"DA – FEZABIL",IF(G336&gt;=0.8,"DA – PRUDENT","NU – EVITĂ")))</x:f>
      </x:c>
      <x:c r="F336" s="16" t="str">
        <x:f>IF(OR(W336="",X336=""),"",W336+X336)</x:f>
      </x:c>
      <x:c r="G336" s="28" t="str">
        <x:f>IF(F336="","",EXP(-F336)*(1+F336+F336^2/2+F336^3/6+F336^4/24))</x:f>
      </x:c>
      <x:c r="H336" s="53"/>
      <x:c r="I336" s="9" t="str">
        <x:f>IF(F336="","",IF(F336&lt;='Calibrare v2'!$B$33,"PASS","FAIL"))</x:f>
      </x:c>
      <x:c r="J336" s="51"/>
      <x:c r="K336" s="51"/>
      <x:c r="L336" s="9" t="str">
        <x:f>IF(OR(J336="",K336=""),"",J336+K336)</x:f>
      </x:c>
      <x:c r="M336" s="9" t="str">
        <x:f>IF(L336="","",IF(L336&lt;=4,"UNDER","OVER"))</x:f>
      </x:c>
      <x:c r="N336" s="9" t="str">
        <x:f>IF(E336="","",IF(LEFT(E336,2)="DA","PARIU U255,5","NO BET"))</x:f>
      </x:c>
      <x:c r="O336" s="9" t="str">
        <x:f>IF(M336="","",IF(AM336="PARIU U255,5",IF(M336="UNDER","SUCCES","EȘEC"),IF(M336="UNDER","FALS NEGATIV","EVITARE CORECTĂ")))</x:f>
      </x:c>
      <x:c r="P336" s="9" t="str">
        <x:f>IF(M336="","",IF(M336="UNDER",1,0))</x:f>
      </x:c>
      <x:c r="Q336" s="9" t="str">
        <x:f>IF(P336="","",(G336-P336)^2)</x:f>
      </x:c>
      <x:c r="R336" s="9" t="str">
        <x:f>IF(L336="","",L336-F336)</x:f>
      </x:c>
      <x:c r="S336" s="9" t="str">
        <x:f>IF(L336="","",IF(M336="UNDER","U255,5 reușit; total final "&amp;L336&amp;" vs λ="&amp;TEXT(F336,"0.00")&amp;".","Eșec U255,5; total final "&amp;L336&amp;" vs λ="&amp;TEXT(F336,"0.00")&amp;". Revizuiește Tail Risk, sursa λ și calibrarea."))</x:f>
      </x:c>
      <x:c r="T336" s="51"/>
      <x:c r="U336" s="51"/>
      <x:c r="V336" s="51"/>
      <x:c r="W336" s="61"/>
      <x:c r="X336" s="61"/>
      <x:c r="Y336" s="51"/>
      <x:c r="Z336" s="53"/>
      <x:c r="AA336" s="51"/>
      <x:c r="AB336" s="64" t="str">
        <x:f>IF(AC336="","",AC336)</x:f>
      </x:c>
      <x:c r="AC336" s="67"/>
      <x:c r="AD336" s="69" t="str">
        <x:f>IF(AE336="","",AE336)</x:f>
      </x:c>
      <x:c r="AE336" s="71"/>
      <x:c r="AF336" s="73" t="str">
        <x:f>IF(AC336="","",1/AC336)</x:f>
      </x:c>
      <x:c r="AG336" s="61"/>
      <x:c r="AH336" s="61"/>
      <x:c r="AI336" s="64" t="str">
        <x:f>IF(OR(AC336="",AG336=""),"",AC336*AG336-1)</x:f>
      </x:c>
      <x:c r="AJ336" s="75" t="str">
        <x:f>IF(OR(G336="",F336=""),"",IF(AND(G336&gt;='Calibrare v2'!$B$35,F336&lt;='Calibrare v2'!$B$34),"PASS","FAIL"))</x:f>
      </x:c>
      <x:c r="AK336" s="75" t="str">
        <x:f>IF(AL336="","",AL336)</x:f>
      </x:c>
      <x:c r="AL336" s="77"/>
      <x:c r="AM336" s="77"/>
      <x:c r="AN336" s="64" t="str">
        <x:f>IF(OR(AC336="",P336=""),"",(AC336-P336)^2)</x:f>
      </x:c>
      <x:c r="AO336" s="64" t="str">
        <x:f>IF(OR(AG336="",AH336=""),"",AG336/AH336-1)</x:f>
      </x:c>
      <x:c r="AP336" s="61"/>
      <x:c r="AQ336" s="73" t="n">
        <x:f>IF(OR(AM336&lt;&gt;"PARIU U4,5",M336="",AP336="",AG336=""),0,IF(M336="UNDER",AP336*(AG336-1),-AP336))</x:f>
        <x:v>0</x:v>
      </x:c>
      <x:c r="AR336" s="51"/>
    </x:row>
    <x:row r="337">
      <x:c r="A337" s="9" t="str">
        <x:f>IF(D337="","",ROW()-1)</x:f>
      </x:c>
      <x:c r="B337" s="51"/>
      <x:c r="C337" s="51"/>
      <x:c r="D337" s="51"/>
      <x:c r="E337" s="9" t="str">
        <x:f>IF(D337="","",IF(AND(F337&lt;='Calibrare v2'!$B$33,G337&gt;=0.86),"DA – FEZABIL",IF(G337&gt;=0.8,"DA – PRUDENT","NU – EVITĂ")))</x:f>
      </x:c>
      <x:c r="F337" s="16" t="str">
        <x:f>IF(OR(W337="",X337=""),"",W337+X337)</x:f>
      </x:c>
      <x:c r="G337" s="28" t="str">
        <x:f>IF(F337="","",EXP(-F337)*(1+F337+F337^2/2+F337^3/6+F337^4/24))</x:f>
      </x:c>
      <x:c r="H337" s="53"/>
      <x:c r="I337" s="9" t="str">
        <x:f>IF(F337="","",IF(F337&lt;='Calibrare v2'!$B$33,"PASS","FAIL"))</x:f>
      </x:c>
      <x:c r="J337" s="51"/>
      <x:c r="K337" s="51"/>
      <x:c r="L337" s="9" t="str">
        <x:f>IF(OR(J337="",K337=""),"",J337+K337)</x:f>
      </x:c>
      <x:c r="M337" s="9" t="str">
        <x:f>IF(L337="","",IF(L337&lt;=4,"UNDER","OVER"))</x:f>
      </x:c>
      <x:c r="N337" s="9" t="str">
        <x:f>IF(E337="","",IF(LEFT(E337,2)="DA","PARIU U256,5","NO BET"))</x:f>
      </x:c>
      <x:c r="O337" s="9" t="str">
        <x:f>IF(M337="","",IF(AM337="PARIU U256,5",IF(M337="UNDER","SUCCES","EȘEC"),IF(M337="UNDER","FALS NEGATIV","EVITARE CORECTĂ")))</x:f>
      </x:c>
      <x:c r="P337" s="9" t="str">
        <x:f>IF(M337="","",IF(M337="UNDER",1,0))</x:f>
      </x:c>
      <x:c r="Q337" s="9" t="str">
        <x:f>IF(P337="","",(G337-P337)^2)</x:f>
      </x:c>
      <x:c r="R337" s="9" t="str">
        <x:f>IF(L337="","",L337-F337)</x:f>
      </x:c>
      <x:c r="S337" s="9" t="str">
        <x:f>IF(L337="","",IF(M337="UNDER","U256,5 reușit; total final "&amp;L337&amp;" vs λ="&amp;TEXT(F337,"0.00")&amp;".","Eșec U256,5; total final "&amp;L337&amp;" vs λ="&amp;TEXT(F337,"0.00")&amp;". Revizuiește Tail Risk, sursa λ și calibrarea."))</x:f>
      </x:c>
      <x:c r="T337" s="51"/>
      <x:c r="U337" s="51"/>
      <x:c r="V337" s="51"/>
      <x:c r="W337" s="61"/>
      <x:c r="X337" s="61"/>
      <x:c r="Y337" s="51"/>
      <x:c r="Z337" s="53"/>
      <x:c r="AA337" s="51"/>
      <x:c r="AB337" s="64" t="str">
        <x:f>IF(AC337="","",AC337)</x:f>
      </x:c>
      <x:c r="AC337" s="67"/>
      <x:c r="AD337" s="69" t="str">
        <x:f>IF(AE337="","",AE337)</x:f>
      </x:c>
      <x:c r="AE337" s="71"/>
      <x:c r="AF337" s="73" t="str">
        <x:f>IF(AC337="","",1/AC337)</x:f>
      </x:c>
      <x:c r="AG337" s="61"/>
      <x:c r="AH337" s="61"/>
      <x:c r="AI337" s="64" t="str">
        <x:f>IF(OR(AC337="",AG337=""),"",AC337*AG337-1)</x:f>
      </x:c>
      <x:c r="AJ337" s="75" t="str">
        <x:f>IF(OR(G337="",F337=""),"",IF(AND(G337&gt;='Calibrare v2'!$B$35,F337&lt;='Calibrare v2'!$B$34),"PASS","FAIL"))</x:f>
      </x:c>
      <x:c r="AK337" s="75" t="str">
        <x:f>IF(AL337="","",AL337)</x:f>
      </x:c>
      <x:c r="AL337" s="77"/>
      <x:c r="AM337" s="77"/>
      <x:c r="AN337" s="64" t="str">
        <x:f>IF(OR(AC337="",P337=""),"",(AC337-P337)^2)</x:f>
      </x:c>
      <x:c r="AO337" s="64" t="str">
        <x:f>IF(OR(AG337="",AH337=""),"",AG337/AH337-1)</x:f>
      </x:c>
      <x:c r="AP337" s="61"/>
      <x:c r="AQ337" s="73" t="n">
        <x:f>IF(OR(AM337&lt;&gt;"PARIU U4,5",M337="",AP337="",AG337=""),0,IF(M337="UNDER",AP337*(AG337-1),-AP337))</x:f>
        <x:v>0</x:v>
      </x:c>
      <x:c r="AR337" s="51"/>
    </x:row>
    <x:row r="338">
      <x:c r="A338" s="9" t="str">
        <x:f>IF(D338="","",ROW()-1)</x:f>
      </x:c>
      <x:c r="B338" s="51"/>
      <x:c r="C338" s="51"/>
      <x:c r="D338" s="51"/>
      <x:c r="E338" s="9" t="str">
        <x:f>IF(D338="","",IF(AND(F338&lt;='Calibrare v2'!$B$33,G338&gt;=0.86),"DA – FEZABIL",IF(G338&gt;=0.8,"DA – PRUDENT","NU – EVITĂ")))</x:f>
      </x:c>
      <x:c r="F338" s="16" t="str">
        <x:f>IF(OR(W338="",X338=""),"",W338+X338)</x:f>
      </x:c>
      <x:c r="G338" s="28" t="str">
        <x:f>IF(F338="","",EXP(-F338)*(1+F338+F338^2/2+F338^3/6+F338^4/24))</x:f>
      </x:c>
      <x:c r="H338" s="53"/>
      <x:c r="I338" s="9" t="str">
        <x:f>IF(F338="","",IF(F338&lt;='Calibrare v2'!$B$33,"PASS","FAIL"))</x:f>
      </x:c>
      <x:c r="J338" s="51"/>
      <x:c r="K338" s="51"/>
      <x:c r="L338" s="9" t="str">
        <x:f>IF(OR(J338="",K338=""),"",J338+K338)</x:f>
      </x:c>
      <x:c r="M338" s="9" t="str">
        <x:f>IF(L338="","",IF(L338&lt;=4,"UNDER","OVER"))</x:f>
      </x:c>
      <x:c r="N338" s="9" t="str">
        <x:f>IF(E338="","",IF(LEFT(E338,2)="DA","PARIU U257,5","NO BET"))</x:f>
      </x:c>
      <x:c r="O338" s="9" t="str">
        <x:f>IF(M338="","",IF(AM338="PARIU U257,5",IF(M338="UNDER","SUCCES","EȘEC"),IF(M338="UNDER","FALS NEGATIV","EVITARE CORECTĂ")))</x:f>
      </x:c>
      <x:c r="P338" s="9" t="str">
        <x:f>IF(M338="","",IF(M338="UNDER",1,0))</x:f>
      </x:c>
      <x:c r="Q338" s="9" t="str">
        <x:f>IF(P338="","",(G338-P338)^2)</x:f>
      </x:c>
      <x:c r="R338" s="9" t="str">
        <x:f>IF(L338="","",L338-F338)</x:f>
      </x:c>
      <x:c r="S338" s="9" t="str">
        <x:f>IF(L338="","",IF(M338="UNDER","U257,5 reușit; total final "&amp;L338&amp;" vs λ="&amp;TEXT(F338,"0.00")&amp;".","Eșec U257,5; total final "&amp;L338&amp;" vs λ="&amp;TEXT(F338,"0.00")&amp;". Revizuiește Tail Risk, sursa λ și calibrarea."))</x:f>
      </x:c>
      <x:c r="T338" s="51"/>
      <x:c r="U338" s="51"/>
      <x:c r="V338" s="51"/>
      <x:c r="W338" s="61"/>
      <x:c r="X338" s="61"/>
      <x:c r="Y338" s="51"/>
      <x:c r="Z338" s="53"/>
      <x:c r="AA338" s="51"/>
      <x:c r="AB338" s="64" t="str">
        <x:f>IF(AC338="","",AC338)</x:f>
      </x:c>
      <x:c r="AC338" s="67"/>
      <x:c r="AD338" s="69" t="str">
        <x:f>IF(AE338="","",AE338)</x:f>
      </x:c>
      <x:c r="AE338" s="71"/>
      <x:c r="AF338" s="73" t="str">
        <x:f>IF(AC338="","",1/AC338)</x:f>
      </x:c>
      <x:c r="AG338" s="61"/>
      <x:c r="AH338" s="61"/>
      <x:c r="AI338" s="64" t="str">
        <x:f>IF(OR(AC338="",AG338=""),"",AC338*AG338-1)</x:f>
      </x:c>
      <x:c r="AJ338" s="75" t="str">
        <x:f>IF(OR(G338="",F338=""),"",IF(AND(G338&gt;='Calibrare v2'!$B$35,F338&lt;='Calibrare v2'!$B$34),"PASS","FAIL"))</x:f>
      </x:c>
      <x:c r="AK338" s="75" t="str">
        <x:f>IF(AL338="","",AL338)</x:f>
      </x:c>
      <x:c r="AL338" s="77"/>
      <x:c r="AM338" s="77"/>
      <x:c r="AN338" s="64" t="str">
        <x:f>IF(OR(AC338="",P338=""),"",(AC338-P338)^2)</x:f>
      </x:c>
      <x:c r="AO338" s="64" t="str">
        <x:f>IF(OR(AG338="",AH338=""),"",AG338/AH338-1)</x:f>
      </x:c>
      <x:c r="AP338" s="61"/>
      <x:c r="AQ338" s="73" t="n">
        <x:f>IF(OR(AM338&lt;&gt;"PARIU U4,5",M338="",AP338="",AG338=""),0,IF(M338="UNDER",AP338*(AG338-1),-AP338))</x:f>
        <x:v>0</x:v>
      </x:c>
      <x:c r="AR338" s="51"/>
    </x:row>
    <x:row r="339">
      <x:c r="A339" s="9" t="str">
        <x:f>IF(D339="","",ROW()-1)</x:f>
      </x:c>
      <x:c r="B339" s="51"/>
      <x:c r="C339" s="51"/>
      <x:c r="D339" s="51"/>
      <x:c r="E339" s="9" t="str">
        <x:f>IF(D339="","",IF(AND(F339&lt;='Calibrare v2'!$B$33,G339&gt;=0.86),"DA – FEZABIL",IF(G339&gt;=0.8,"DA – PRUDENT","NU – EVITĂ")))</x:f>
      </x:c>
      <x:c r="F339" s="16" t="str">
        <x:f>IF(OR(W339="",X339=""),"",W339+X339)</x:f>
      </x:c>
      <x:c r="G339" s="28" t="str">
        <x:f>IF(F339="","",EXP(-F339)*(1+F339+F339^2/2+F339^3/6+F339^4/24))</x:f>
      </x:c>
      <x:c r="H339" s="53"/>
      <x:c r="I339" s="9" t="str">
        <x:f>IF(F339="","",IF(F339&lt;='Calibrare v2'!$B$33,"PASS","FAIL"))</x:f>
      </x:c>
      <x:c r="J339" s="51"/>
      <x:c r="K339" s="51"/>
      <x:c r="L339" s="9" t="str">
        <x:f>IF(OR(J339="",K339=""),"",J339+K339)</x:f>
      </x:c>
      <x:c r="M339" s="9" t="str">
        <x:f>IF(L339="","",IF(L339&lt;=4,"UNDER","OVER"))</x:f>
      </x:c>
      <x:c r="N339" s="9" t="str">
        <x:f>IF(E339="","",IF(LEFT(E339,2)="DA","PARIU U258,5","NO BET"))</x:f>
      </x:c>
      <x:c r="O339" s="9" t="str">
        <x:f>IF(M339="","",IF(AM339="PARIU U258,5",IF(M339="UNDER","SUCCES","EȘEC"),IF(M339="UNDER","FALS NEGATIV","EVITARE CORECTĂ")))</x:f>
      </x:c>
      <x:c r="P339" s="9" t="str">
        <x:f>IF(M339="","",IF(M339="UNDER",1,0))</x:f>
      </x:c>
      <x:c r="Q339" s="9" t="str">
        <x:f>IF(P339="","",(G339-P339)^2)</x:f>
      </x:c>
      <x:c r="R339" s="9" t="str">
        <x:f>IF(L339="","",L339-F339)</x:f>
      </x:c>
      <x:c r="S339" s="9" t="str">
        <x:f>IF(L339="","",IF(M339="UNDER","U258,5 reușit; total final "&amp;L339&amp;" vs λ="&amp;TEXT(F339,"0.00")&amp;".","Eșec U258,5; total final "&amp;L339&amp;" vs λ="&amp;TEXT(F339,"0.00")&amp;". Revizuiește Tail Risk, sursa λ și calibrarea."))</x:f>
      </x:c>
      <x:c r="T339" s="51"/>
      <x:c r="U339" s="51"/>
      <x:c r="V339" s="51"/>
      <x:c r="W339" s="61"/>
      <x:c r="X339" s="61"/>
      <x:c r="Y339" s="51"/>
      <x:c r="Z339" s="53"/>
      <x:c r="AA339" s="51"/>
      <x:c r="AB339" s="64" t="str">
        <x:f>IF(AC339="","",AC339)</x:f>
      </x:c>
      <x:c r="AC339" s="67"/>
      <x:c r="AD339" s="69" t="str">
        <x:f>IF(AE339="","",AE339)</x:f>
      </x:c>
      <x:c r="AE339" s="71"/>
      <x:c r="AF339" s="73" t="str">
        <x:f>IF(AC339="","",1/AC339)</x:f>
      </x:c>
      <x:c r="AG339" s="61"/>
      <x:c r="AH339" s="61"/>
      <x:c r="AI339" s="64" t="str">
        <x:f>IF(OR(AC339="",AG339=""),"",AC339*AG339-1)</x:f>
      </x:c>
      <x:c r="AJ339" s="75" t="str">
        <x:f>IF(OR(G339="",F339=""),"",IF(AND(G339&gt;='Calibrare v2'!$B$35,F339&lt;='Calibrare v2'!$B$34),"PASS","FAIL"))</x:f>
      </x:c>
      <x:c r="AK339" s="75" t="str">
        <x:f>IF(AL339="","",AL339)</x:f>
      </x:c>
      <x:c r="AL339" s="77"/>
      <x:c r="AM339" s="77"/>
      <x:c r="AN339" s="64" t="str">
        <x:f>IF(OR(AC339="",P339=""),"",(AC339-P339)^2)</x:f>
      </x:c>
      <x:c r="AO339" s="64" t="str">
        <x:f>IF(OR(AG339="",AH339=""),"",AG339/AH339-1)</x:f>
      </x:c>
      <x:c r="AP339" s="61"/>
      <x:c r="AQ339" s="73" t="n">
        <x:f>IF(OR(AM339&lt;&gt;"PARIU U4,5",M339="",AP339="",AG339=""),0,IF(M339="UNDER",AP339*(AG339-1),-AP339))</x:f>
        <x:v>0</x:v>
      </x:c>
      <x:c r="AR339" s="51"/>
    </x:row>
    <x:row r="340">
      <x:c r="A340" s="9" t="str">
        <x:f>IF(D340="","",ROW()-1)</x:f>
      </x:c>
      <x:c r="B340" s="51"/>
      <x:c r="C340" s="51"/>
      <x:c r="D340" s="51"/>
      <x:c r="E340" s="9" t="str">
        <x:f>IF(D340="","",IF(AND(F340&lt;='Calibrare v2'!$B$33,G340&gt;=0.86),"DA – FEZABIL",IF(G340&gt;=0.8,"DA – PRUDENT","NU – EVITĂ")))</x:f>
      </x:c>
      <x:c r="F340" s="16" t="str">
        <x:f>IF(OR(W340="",X340=""),"",W340+X340)</x:f>
      </x:c>
      <x:c r="G340" s="28" t="str">
        <x:f>IF(F340="","",EXP(-F340)*(1+F340+F340^2/2+F340^3/6+F340^4/24))</x:f>
      </x:c>
      <x:c r="H340" s="53"/>
      <x:c r="I340" s="9" t="str">
        <x:f>IF(F340="","",IF(F340&lt;='Calibrare v2'!$B$33,"PASS","FAIL"))</x:f>
      </x:c>
      <x:c r="J340" s="51"/>
      <x:c r="K340" s="51"/>
      <x:c r="L340" s="9" t="str">
        <x:f>IF(OR(J340="",K340=""),"",J340+K340)</x:f>
      </x:c>
      <x:c r="M340" s="9" t="str">
        <x:f>IF(L340="","",IF(L340&lt;=4,"UNDER","OVER"))</x:f>
      </x:c>
      <x:c r="N340" s="9" t="str">
        <x:f>IF(E340="","",IF(LEFT(E340,2)="DA","PARIU U259,5","NO BET"))</x:f>
      </x:c>
      <x:c r="O340" s="9" t="str">
        <x:f>IF(M340="","",IF(AM340="PARIU U259,5",IF(M340="UNDER","SUCCES","EȘEC"),IF(M340="UNDER","FALS NEGATIV","EVITARE CORECTĂ")))</x:f>
      </x:c>
      <x:c r="P340" s="9" t="str">
        <x:f>IF(M340="","",IF(M340="UNDER",1,0))</x:f>
      </x:c>
      <x:c r="Q340" s="9" t="str">
        <x:f>IF(P340="","",(G340-P340)^2)</x:f>
      </x:c>
      <x:c r="R340" s="9" t="str">
        <x:f>IF(L340="","",L340-F340)</x:f>
      </x:c>
      <x:c r="S340" s="9" t="str">
        <x:f>IF(L340="","",IF(M340="UNDER","U259,5 reușit; total final "&amp;L340&amp;" vs λ="&amp;TEXT(F340,"0.00")&amp;".","Eșec U259,5; total final "&amp;L340&amp;" vs λ="&amp;TEXT(F340,"0.00")&amp;". Revizuiește Tail Risk, sursa λ și calibrarea."))</x:f>
      </x:c>
      <x:c r="T340" s="51"/>
      <x:c r="U340" s="51"/>
      <x:c r="V340" s="51"/>
      <x:c r="W340" s="61"/>
      <x:c r="X340" s="61"/>
      <x:c r="Y340" s="51"/>
      <x:c r="Z340" s="53"/>
      <x:c r="AA340" s="51"/>
      <x:c r="AB340" s="64" t="str">
        <x:f>IF(AC340="","",AC340)</x:f>
      </x:c>
      <x:c r="AC340" s="67"/>
      <x:c r="AD340" s="69" t="str">
        <x:f>IF(AE340="","",AE340)</x:f>
      </x:c>
      <x:c r="AE340" s="71"/>
      <x:c r="AF340" s="73" t="str">
        <x:f>IF(AC340="","",1/AC340)</x:f>
      </x:c>
      <x:c r="AG340" s="61"/>
      <x:c r="AH340" s="61"/>
      <x:c r="AI340" s="64" t="str">
        <x:f>IF(OR(AC340="",AG340=""),"",AC340*AG340-1)</x:f>
      </x:c>
      <x:c r="AJ340" s="75" t="str">
        <x:f>IF(OR(G340="",F340=""),"",IF(AND(G340&gt;='Calibrare v2'!$B$35,F340&lt;='Calibrare v2'!$B$34),"PASS","FAIL"))</x:f>
      </x:c>
      <x:c r="AK340" s="75" t="str">
        <x:f>IF(AL340="","",AL340)</x:f>
      </x:c>
      <x:c r="AL340" s="77"/>
      <x:c r="AM340" s="77"/>
      <x:c r="AN340" s="64" t="str">
        <x:f>IF(OR(AC340="",P340=""),"",(AC340-P340)^2)</x:f>
      </x:c>
      <x:c r="AO340" s="64" t="str">
        <x:f>IF(OR(AG340="",AH340=""),"",AG340/AH340-1)</x:f>
      </x:c>
      <x:c r="AP340" s="61"/>
      <x:c r="AQ340" s="73" t="n">
        <x:f>IF(OR(AM340&lt;&gt;"PARIU U4,5",M340="",AP340="",AG340=""),0,IF(M340="UNDER",AP340*(AG340-1),-AP340))</x:f>
        <x:v>0</x:v>
      </x:c>
      <x:c r="AR340" s="51"/>
    </x:row>
    <x:row r="341">
      <x:c r="A341" s="9" t="str">
        <x:f>IF(D341="","",ROW()-1)</x:f>
      </x:c>
      <x:c r="B341" s="51"/>
      <x:c r="C341" s="51"/>
      <x:c r="D341" s="51"/>
      <x:c r="E341" s="9" t="str">
        <x:f>IF(D341="","",IF(AND(F341&lt;='Calibrare v2'!$B$33,G341&gt;=0.86),"DA – FEZABIL",IF(G341&gt;=0.8,"DA – PRUDENT","NU – EVITĂ")))</x:f>
      </x:c>
      <x:c r="F341" s="16" t="str">
        <x:f>IF(OR(W341="",X341=""),"",W341+X341)</x:f>
      </x:c>
      <x:c r="G341" s="28" t="str">
        <x:f>IF(F341="","",EXP(-F341)*(1+F341+F341^2/2+F341^3/6+F341^4/24))</x:f>
      </x:c>
      <x:c r="H341" s="53"/>
      <x:c r="I341" s="9" t="str">
        <x:f>IF(F341="","",IF(F341&lt;='Calibrare v2'!$B$33,"PASS","FAIL"))</x:f>
      </x:c>
      <x:c r="J341" s="51"/>
      <x:c r="K341" s="51"/>
      <x:c r="L341" s="9" t="str">
        <x:f>IF(OR(J341="",K341=""),"",J341+K341)</x:f>
      </x:c>
      <x:c r="M341" s="9" t="str">
        <x:f>IF(L341="","",IF(L341&lt;=4,"UNDER","OVER"))</x:f>
      </x:c>
      <x:c r="N341" s="9" t="str">
        <x:f>IF(E341="","",IF(LEFT(E341,2)="DA","PARIU U260,5","NO BET"))</x:f>
      </x:c>
      <x:c r="O341" s="9" t="str">
        <x:f>IF(M341="","",IF(AM341="PARIU U260,5",IF(M341="UNDER","SUCCES","EȘEC"),IF(M341="UNDER","FALS NEGATIV","EVITARE CORECTĂ")))</x:f>
      </x:c>
      <x:c r="P341" s="9" t="str">
        <x:f>IF(M341="","",IF(M341="UNDER",1,0))</x:f>
      </x:c>
      <x:c r="Q341" s="9" t="str">
        <x:f>IF(P341="","",(G341-P341)^2)</x:f>
      </x:c>
      <x:c r="R341" s="9" t="str">
        <x:f>IF(L341="","",L341-F341)</x:f>
      </x:c>
      <x:c r="S341" s="9" t="str">
        <x:f>IF(L341="","",IF(M341="UNDER","U260,5 reușit; total final "&amp;L341&amp;" vs λ="&amp;TEXT(F341,"0.00")&amp;".","Eșec U260,5; total final "&amp;L341&amp;" vs λ="&amp;TEXT(F341,"0.00")&amp;". Revizuiește Tail Risk, sursa λ și calibrarea."))</x:f>
      </x:c>
      <x:c r="T341" s="51"/>
      <x:c r="U341" s="51"/>
      <x:c r="V341" s="51"/>
      <x:c r="W341" s="61"/>
      <x:c r="X341" s="61"/>
      <x:c r="Y341" s="51"/>
      <x:c r="Z341" s="53"/>
      <x:c r="AA341" s="51"/>
      <x:c r="AB341" s="64" t="str">
        <x:f>IF(AC341="","",AC341)</x:f>
      </x:c>
      <x:c r="AC341" s="67"/>
      <x:c r="AD341" s="69" t="str">
        <x:f>IF(AE341="","",AE341)</x:f>
      </x:c>
      <x:c r="AE341" s="71"/>
      <x:c r="AF341" s="73" t="str">
        <x:f>IF(AC341="","",1/AC341)</x:f>
      </x:c>
      <x:c r="AG341" s="61"/>
      <x:c r="AH341" s="61"/>
      <x:c r="AI341" s="64" t="str">
        <x:f>IF(OR(AC341="",AG341=""),"",AC341*AG341-1)</x:f>
      </x:c>
      <x:c r="AJ341" s="75" t="str">
        <x:f>IF(OR(G341="",F341=""),"",IF(AND(G341&gt;='Calibrare v2'!$B$35,F341&lt;='Calibrare v2'!$B$34),"PASS","FAIL"))</x:f>
      </x:c>
      <x:c r="AK341" s="75" t="str">
        <x:f>IF(AL341="","",AL341)</x:f>
      </x:c>
      <x:c r="AL341" s="77"/>
      <x:c r="AM341" s="77"/>
      <x:c r="AN341" s="64" t="str">
        <x:f>IF(OR(AC341="",P341=""),"",(AC341-P341)^2)</x:f>
      </x:c>
      <x:c r="AO341" s="64" t="str">
        <x:f>IF(OR(AG341="",AH341=""),"",AG341/AH341-1)</x:f>
      </x:c>
      <x:c r="AP341" s="61"/>
      <x:c r="AQ341" s="73" t="n">
        <x:f>IF(OR(AM341&lt;&gt;"PARIU U4,5",M341="",AP341="",AG341=""),0,IF(M341="UNDER",AP341*(AG341-1),-AP341))</x:f>
        <x:v>0</x:v>
      </x:c>
      <x:c r="AR341" s="51"/>
    </x:row>
    <x:row r="342">
      <x:c r="A342" s="9" t="str">
        <x:f>IF(D342="","",ROW()-1)</x:f>
      </x:c>
      <x:c r="B342" s="51"/>
      <x:c r="C342" s="51"/>
      <x:c r="D342" s="51"/>
      <x:c r="E342" s="9" t="str">
        <x:f>IF(D342="","",IF(AND(F342&lt;='Calibrare v2'!$B$33,G342&gt;=0.86),"DA – FEZABIL",IF(G342&gt;=0.8,"DA – PRUDENT","NU – EVITĂ")))</x:f>
      </x:c>
      <x:c r="F342" s="16" t="str">
        <x:f>IF(OR(W342="",X342=""),"",W342+X342)</x:f>
      </x:c>
      <x:c r="G342" s="28" t="str">
        <x:f>IF(F342="","",EXP(-F342)*(1+F342+F342^2/2+F342^3/6+F342^4/24))</x:f>
      </x:c>
      <x:c r="H342" s="53"/>
      <x:c r="I342" s="9" t="str">
        <x:f>IF(F342="","",IF(F342&lt;='Calibrare v2'!$B$33,"PASS","FAIL"))</x:f>
      </x:c>
      <x:c r="J342" s="51"/>
      <x:c r="K342" s="51"/>
      <x:c r="L342" s="9" t="str">
        <x:f>IF(OR(J342="",K342=""),"",J342+K342)</x:f>
      </x:c>
      <x:c r="M342" s="9" t="str">
        <x:f>IF(L342="","",IF(L342&lt;=4,"UNDER","OVER"))</x:f>
      </x:c>
      <x:c r="N342" s="9" t="str">
        <x:f>IF(E342="","",IF(LEFT(E342,2)="DA","PARIU U261,5","NO BET"))</x:f>
      </x:c>
      <x:c r="O342" s="9" t="str">
        <x:f>IF(M342="","",IF(AM342="PARIU U261,5",IF(M342="UNDER","SUCCES","EȘEC"),IF(M342="UNDER","FALS NEGATIV","EVITARE CORECTĂ")))</x:f>
      </x:c>
      <x:c r="P342" s="9" t="str">
        <x:f>IF(M342="","",IF(M342="UNDER",1,0))</x:f>
      </x:c>
      <x:c r="Q342" s="9" t="str">
        <x:f>IF(P342="","",(G342-P342)^2)</x:f>
      </x:c>
      <x:c r="R342" s="9" t="str">
        <x:f>IF(L342="","",L342-F342)</x:f>
      </x:c>
      <x:c r="S342" s="9" t="str">
        <x:f>IF(L342="","",IF(M342="UNDER","U261,5 reușit; total final "&amp;L342&amp;" vs λ="&amp;TEXT(F342,"0.00")&amp;".","Eșec U261,5; total final "&amp;L342&amp;" vs λ="&amp;TEXT(F342,"0.00")&amp;". Revizuiește Tail Risk, sursa λ și calibrarea."))</x:f>
      </x:c>
      <x:c r="T342" s="51"/>
      <x:c r="U342" s="51"/>
      <x:c r="V342" s="51"/>
      <x:c r="W342" s="61"/>
      <x:c r="X342" s="61"/>
      <x:c r="Y342" s="51"/>
      <x:c r="Z342" s="53"/>
      <x:c r="AA342" s="51"/>
      <x:c r="AB342" s="64" t="str">
        <x:f>IF(AC342="","",AC342)</x:f>
      </x:c>
      <x:c r="AC342" s="67"/>
      <x:c r="AD342" s="69" t="str">
        <x:f>IF(AE342="","",AE342)</x:f>
      </x:c>
      <x:c r="AE342" s="71"/>
      <x:c r="AF342" s="73" t="str">
        <x:f>IF(AC342="","",1/AC342)</x:f>
      </x:c>
      <x:c r="AG342" s="61"/>
      <x:c r="AH342" s="61"/>
      <x:c r="AI342" s="64" t="str">
        <x:f>IF(OR(AC342="",AG342=""),"",AC342*AG342-1)</x:f>
      </x:c>
      <x:c r="AJ342" s="75" t="str">
        <x:f>IF(OR(G342="",F342=""),"",IF(AND(G342&gt;='Calibrare v2'!$B$35,F342&lt;='Calibrare v2'!$B$34),"PASS","FAIL"))</x:f>
      </x:c>
      <x:c r="AK342" s="75" t="str">
        <x:f>IF(AL342="","",AL342)</x:f>
      </x:c>
      <x:c r="AL342" s="77"/>
      <x:c r="AM342" s="77"/>
      <x:c r="AN342" s="64" t="str">
        <x:f>IF(OR(AC342="",P342=""),"",(AC342-P342)^2)</x:f>
      </x:c>
      <x:c r="AO342" s="64" t="str">
        <x:f>IF(OR(AG342="",AH342=""),"",AG342/AH342-1)</x:f>
      </x:c>
      <x:c r="AP342" s="61"/>
      <x:c r="AQ342" s="73" t="n">
        <x:f>IF(OR(AM342&lt;&gt;"PARIU U4,5",M342="",AP342="",AG342=""),0,IF(M342="UNDER",AP342*(AG342-1),-AP342))</x:f>
        <x:v>0</x:v>
      </x:c>
      <x:c r="AR342" s="51"/>
    </x:row>
    <x:row r="343">
      <x:c r="A343" s="9" t="str">
        <x:f>IF(D343="","",ROW()-1)</x:f>
      </x:c>
      <x:c r="B343" s="51"/>
      <x:c r="C343" s="51"/>
      <x:c r="D343" s="51"/>
      <x:c r="E343" s="9" t="str">
        <x:f>IF(D343="","",IF(AND(F343&lt;='Calibrare v2'!$B$33,G343&gt;=0.86),"DA – FEZABIL",IF(G343&gt;=0.8,"DA – PRUDENT","NU – EVITĂ")))</x:f>
      </x:c>
      <x:c r="F343" s="16" t="str">
        <x:f>IF(OR(W343="",X343=""),"",W343+X343)</x:f>
      </x:c>
      <x:c r="G343" s="28" t="str">
        <x:f>IF(F343="","",EXP(-F343)*(1+F343+F343^2/2+F343^3/6+F343^4/24))</x:f>
      </x:c>
      <x:c r="H343" s="53"/>
      <x:c r="I343" s="9" t="str">
        <x:f>IF(F343="","",IF(F343&lt;='Calibrare v2'!$B$33,"PASS","FAIL"))</x:f>
      </x:c>
      <x:c r="J343" s="51"/>
      <x:c r="K343" s="51"/>
      <x:c r="L343" s="9" t="str">
        <x:f>IF(OR(J343="",K343=""),"",J343+K343)</x:f>
      </x:c>
      <x:c r="M343" s="9" t="str">
        <x:f>IF(L343="","",IF(L343&lt;=4,"UNDER","OVER"))</x:f>
      </x:c>
      <x:c r="N343" s="9" t="str">
        <x:f>IF(E343="","",IF(LEFT(E343,2)="DA","PARIU U262,5","NO BET"))</x:f>
      </x:c>
      <x:c r="O343" s="9" t="str">
        <x:f>IF(M343="","",IF(AM343="PARIU U262,5",IF(M343="UNDER","SUCCES","EȘEC"),IF(M343="UNDER","FALS NEGATIV","EVITARE CORECTĂ")))</x:f>
      </x:c>
      <x:c r="P343" s="9" t="str">
        <x:f>IF(M343="","",IF(M343="UNDER",1,0))</x:f>
      </x:c>
      <x:c r="Q343" s="9" t="str">
        <x:f>IF(P343="","",(G343-P343)^2)</x:f>
      </x:c>
      <x:c r="R343" s="9" t="str">
        <x:f>IF(L343="","",L343-F343)</x:f>
      </x:c>
      <x:c r="S343" s="9" t="str">
        <x:f>IF(L343="","",IF(M343="UNDER","U262,5 reușit; total final "&amp;L343&amp;" vs λ="&amp;TEXT(F343,"0.00")&amp;".","Eșec U262,5; total final "&amp;L343&amp;" vs λ="&amp;TEXT(F343,"0.00")&amp;". Revizuiește Tail Risk, sursa λ și calibrarea."))</x:f>
      </x:c>
      <x:c r="T343" s="51"/>
      <x:c r="U343" s="51"/>
      <x:c r="V343" s="51"/>
      <x:c r="W343" s="61"/>
      <x:c r="X343" s="61"/>
      <x:c r="Y343" s="51"/>
      <x:c r="Z343" s="53"/>
      <x:c r="AA343" s="51"/>
      <x:c r="AB343" s="64" t="str">
        <x:f>IF(AC343="","",AC343)</x:f>
      </x:c>
      <x:c r="AC343" s="67"/>
      <x:c r="AD343" s="69" t="str">
        <x:f>IF(AE343="","",AE343)</x:f>
      </x:c>
      <x:c r="AE343" s="71"/>
      <x:c r="AF343" s="73" t="str">
        <x:f>IF(AC343="","",1/AC343)</x:f>
      </x:c>
      <x:c r="AG343" s="61"/>
      <x:c r="AH343" s="61"/>
      <x:c r="AI343" s="64" t="str">
        <x:f>IF(OR(AC343="",AG343=""),"",AC343*AG343-1)</x:f>
      </x:c>
      <x:c r="AJ343" s="75" t="str">
        <x:f>IF(OR(G343="",F343=""),"",IF(AND(G343&gt;='Calibrare v2'!$B$35,F343&lt;='Calibrare v2'!$B$34),"PASS","FAIL"))</x:f>
      </x:c>
      <x:c r="AK343" s="75" t="str">
        <x:f>IF(AL343="","",AL343)</x:f>
      </x:c>
      <x:c r="AL343" s="77"/>
      <x:c r="AM343" s="77"/>
      <x:c r="AN343" s="64" t="str">
        <x:f>IF(OR(AC343="",P343=""),"",(AC343-P343)^2)</x:f>
      </x:c>
      <x:c r="AO343" s="64" t="str">
        <x:f>IF(OR(AG343="",AH343=""),"",AG343/AH343-1)</x:f>
      </x:c>
      <x:c r="AP343" s="61"/>
      <x:c r="AQ343" s="73" t="n">
        <x:f>IF(OR(AM343&lt;&gt;"PARIU U4,5",M343="",AP343="",AG343=""),0,IF(M343="UNDER",AP343*(AG343-1),-AP343))</x:f>
        <x:v>0</x:v>
      </x:c>
      <x:c r="AR343" s="51"/>
    </x:row>
    <x:row r="344">
      <x:c r="A344" s="9" t="str">
        <x:f>IF(D344="","",ROW()-1)</x:f>
      </x:c>
      <x:c r="B344" s="51"/>
      <x:c r="C344" s="51"/>
      <x:c r="D344" s="51"/>
      <x:c r="E344" s="9" t="str">
        <x:f>IF(D344="","",IF(AND(F344&lt;='Calibrare v2'!$B$33,G344&gt;=0.86),"DA – FEZABIL",IF(G344&gt;=0.8,"DA – PRUDENT","NU – EVITĂ")))</x:f>
      </x:c>
      <x:c r="F344" s="16" t="str">
        <x:f>IF(OR(W344="",X344=""),"",W344+X344)</x:f>
      </x:c>
      <x:c r="G344" s="28" t="str">
        <x:f>IF(F344="","",EXP(-F344)*(1+F344+F344^2/2+F344^3/6+F344^4/24))</x:f>
      </x:c>
      <x:c r="H344" s="53"/>
      <x:c r="I344" s="9" t="str">
        <x:f>IF(F344="","",IF(F344&lt;='Calibrare v2'!$B$33,"PASS","FAIL"))</x:f>
      </x:c>
      <x:c r="J344" s="51"/>
      <x:c r="K344" s="51"/>
      <x:c r="L344" s="9" t="str">
        <x:f>IF(OR(J344="",K344=""),"",J344+K344)</x:f>
      </x:c>
      <x:c r="M344" s="9" t="str">
        <x:f>IF(L344="","",IF(L344&lt;=4,"UNDER","OVER"))</x:f>
      </x:c>
      <x:c r="N344" s="9" t="str">
        <x:f>IF(E344="","",IF(LEFT(E344,2)="DA","PARIU U263,5","NO BET"))</x:f>
      </x:c>
      <x:c r="O344" s="9" t="str">
        <x:f>IF(M344="","",IF(AM344="PARIU U263,5",IF(M344="UNDER","SUCCES","EȘEC"),IF(M344="UNDER","FALS NEGATIV","EVITARE CORECTĂ")))</x:f>
      </x:c>
      <x:c r="P344" s="9" t="str">
        <x:f>IF(M344="","",IF(M344="UNDER",1,0))</x:f>
      </x:c>
      <x:c r="Q344" s="9" t="str">
        <x:f>IF(P344="","",(G344-P344)^2)</x:f>
      </x:c>
      <x:c r="R344" s="9" t="str">
        <x:f>IF(L344="","",L344-F344)</x:f>
      </x:c>
      <x:c r="S344" s="9" t="str">
        <x:f>IF(L344="","",IF(M344="UNDER","U263,5 reușit; total final "&amp;L344&amp;" vs λ="&amp;TEXT(F344,"0.00")&amp;".","Eșec U263,5; total final "&amp;L344&amp;" vs λ="&amp;TEXT(F344,"0.00")&amp;". Revizuiește Tail Risk, sursa λ și calibrarea."))</x:f>
      </x:c>
      <x:c r="T344" s="51"/>
      <x:c r="U344" s="51"/>
      <x:c r="V344" s="51"/>
      <x:c r="W344" s="61"/>
      <x:c r="X344" s="61"/>
      <x:c r="Y344" s="51"/>
      <x:c r="Z344" s="53"/>
      <x:c r="AA344" s="51"/>
      <x:c r="AB344" s="64" t="str">
        <x:f>IF(AC344="","",AC344)</x:f>
      </x:c>
      <x:c r="AC344" s="67"/>
      <x:c r="AD344" s="69" t="str">
        <x:f>IF(AE344="","",AE344)</x:f>
      </x:c>
      <x:c r="AE344" s="71"/>
      <x:c r="AF344" s="73" t="str">
        <x:f>IF(AC344="","",1/AC344)</x:f>
      </x:c>
      <x:c r="AG344" s="61"/>
      <x:c r="AH344" s="61"/>
      <x:c r="AI344" s="64" t="str">
        <x:f>IF(OR(AC344="",AG344=""),"",AC344*AG344-1)</x:f>
      </x:c>
      <x:c r="AJ344" s="75" t="str">
        <x:f>IF(OR(G344="",F344=""),"",IF(AND(G344&gt;='Calibrare v2'!$B$35,F344&lt;='Calibrare v2'!$B$34),"PASS","FAIL"))</x:f>
      </x:c>
      <x:c r="AK344" s="75" t="str">
        <x:f>IF(AL344="","",AL344)</x:f>
      </x:c>
      <x:c r="AL344" s="77"/>
      <x:c r="AM344" s="77"/>
      <x:c r="AN344" s="64" t="str">
        <x:f>IF(OR(AC344="",P344=""),"",(AC344-P344)^2)</x:f>
      </x:c>
      <x:c r="AO344" s="64" t="str">
        <x:f>IF(OR(AG344="",AH344=""),"",AG344/AH344-1)</x:f>
      </x:c>
      <x:c r="AP344" s="61"/>
      <x:c r="AQ344" s="73" t="n">
        <x:f>IF(OR(AM344&lt;&gt;"PARIU U4,5",M344="",AP344="",AG344=""),0,IF(M344="UNDER",AP344*(AG344-1),-AP344))</x:f>
        <x:v>0</x:v>
      </x:c>
      <x:c r="AR344" s="51"/>
    </x:row>
    <x:row r="345">
      <x:c r="A345" s="9" t="str">
        <x:f>IF(D345="","",ROW()-1)</x:f>
      </x:c>
      <x:c r="B345" s="51"/>
      <x:c r="C345" s="51"/>
      <x:c r="D345" s="51"/>
      <x:c r="E345" s="9" t="str">
        <x:f>IF(D345="","",IF(AND(F345&lt;='Calibrare v2'!$B$33,G345&gt;=0.86),"DA – FEZABIL",IF(G345&gt;=0.8,"DA – PRUDENT","NU – EVITĂ")))</x:f>
      </x:c>
      <x:c r="F345" s="16" t="str">
        <x:f>IF(OR(W345="",X345=""),"",W345+X345)</x:f>
      </x:c>
      <x:c r="G345" s="28" t="str">
        <x:f>IF(F345="","",EXP(-F345)*(1+F345+F345^2/2+F345^3/6+F345^4/24))</x:f>
      </x:c>
      <x:c r="H345" s="53"/>
      <x:c r="I345" s="9" t="str">
        <x:f>IF(F345="","",IF(F345&lt;='Calibrare v2'!$B$33,"PASS","FAIL"))</x:f>
      </x:c>
      <x:c r="J345" s="51"/>
      <x:c r="K345" s="51"/>
      <x:c r="L345" s="9" t="str">
        <x:f>IF(OR(J345="",K345=""),"",J345+K345)</x:f>
      </x:c>
      <x:c r="M345" s="9" t="str">
        <x:f>IF(L345="","",IF(L345&lt;=4,"UNDER","OVER"))</x:f>
      </x:c>
      <x:c r="N345" s="9" t="str">
        <x:f>IF(E345="","",IF(LEFT(E345,2)="DA","PARIU U264,5","NO BET"))</x:f>
      </x:c>
      <x:c r="O345" s="9" t="str">
        <x:f>IF(M345="","",IF(AM345="PARIU U264,5",IF(M345="UNDER","SUCCES","EȘEC"),IF(M345="UNDER","FALS NEGATIV","EVITARE CORECTĂ")))</x:f>
      </x:c>
      <x:c r="P345" s="9" t="str">
        <x:f>IF(M345="","",IF(M345="UNDER",1,0))</x:f>
      </x:c>
      <x:c r="Q345" s="9" t="str">
        <x:f>IF(P345="","",(G345-P345)^2)</x:f>
      </x:c>
      <x:c r="R345" s="9" t="str">
        <x:f>IF(L345="","",L345-F345)</x:f>
      </x:c>
      <x:c r="S345" s="9" t="str">
        <x:f>IF(L345="","",IF(M345="UNDER","U264,5 reușit; total final "&amp;L345&amp;" vs λ="&amp;TEXT(F345,"0.00")&amp;".","Eșec U264,5; total final "&amp;L345&amp;" vs λ="&amp;TEXT(F345,"0.00")&amp;". Revizuiește Tail Risk, sursa λ și calibrarea."))</x:f>
      </x:c>
      <x:c r="T345" s="51"/>
      <x:c r="U345" s="51"/>
      <x:c r="V345" s="51"/>
      <x:c r="W345" s="61"/>
      <x:c r="X345" s="61"/>
      <x:c r="Y345" s="51"/>
      <x:c r="Z345" s="53"/>
      <x:c r="AA345" s="51"/>
      <x:c r="AB345" s="64" t="str">
        <x:f>IF(AC345="","",AC345)</x:f>
      </x:c>
      <x:c r="AC345" s="67"/>
      <x:c r="AD345" s="69" t="str">
        <x:f>IF(AE345="","",AE345)</x:f>
      </x:c>
      <x:c r="AE345" s="71"/>
      <x:c r="AF345" s="73" t="str">
        <x:f>IF(AC345="","",1/AC345)</x:f>
      </x:c>
      <x:c r="AG345" s="61"/>
      <x:c r="AH345" s="61"/>
      <x:c r="AI345" s="64" t="str">
        <x:f>IF(OR(AC345="",AG345=""),"",AC345*AG345-1)</x:f>
      </x:c>
      <x:c r="AJ345" s="75" t="str">
        <x:f>IF(OR(G345="",F345=""),"",IF(AND(G345&gt;='Calibrare v2'!$B$35,F345&lt;='Calibrare v2'!$B$34),"PASS","FAIL"))</x:f>
      </x:c>
      <x:c r="AK345" s="75" t="str">
        <x:f>IF(AL345="","",AL345)</x:f>
      </x:c>
      <x:c r="AL345" s="77"/>
      <x:c r="AM345" s="77"/>
      <x:c r="AN345" s="64" t="str">
        <x:f>IF(OR(AC345="",P345=""),"",(AC345-P345)^2)</x:f>
      </x:c>
      <x:c r="AO345" s="64" t="str">
        <x:f>IF(OR(AG345="",AH345=""),"",AG345/AH345-1)</x:f>
      </x:c>
      <x:c r="AP345" s="61"/>
      <x:c r="AQ345" s="73" t="n">
        <x:f>IF(OR(AM345&lt;&gt;"PARIU U4,5",M345="",AP345="",AG345=""),0,IF(M345="UNDER",AP345*(AG345-1),-AP345))</x:f>
        <x:v>0</x:v>
      </x:c>
      <x:c r="AR345" s="51"/>
    </x:row>
    <x:row r="346">
      <x:c r="A346" s="9" t="str">
        <x:f>IF(D346="","",ROW()-1)</x:f>
      </x:c>
      <x:c r="B346" s="51"/>
      <x:c r="C346" s="51"/>
      <x:c r="D346" s="51"/>
      <x:c r="E346" s="9" t="str">
        <x:f>IF(D346="","",IF(AND(F346&lt;='Calibrare v2'!$B$33,G346&gt;=0.86),"DA – FEZABIL",IF(G346&gt;=0.8,"DA – PRUDENT","NU – EVITĂ")))</x:f>
      </x:c>
      <x:c r="F346" s="16" t="str">
        <x:f>IF(OR(W346="",X346=""),"",W346+X346)</x:f>
      </x:c>
      <x:c r="G346" s="28" t="str">
        <x:f>IF(F346="","",EXP(-F346)*(1+F346+F346^2/2+F346^3/6+F346^4/24))</x:f>
      </x:c>
      <x:c r="H346" s="53"/>
      <x:c r="I346" s="9" t="str">
        <x:f>IF(F346="","",IF(F346&lt;='Calibrare v2'!$B$33,"PASS","FAIL"))</x:f>
      </x:c>
      <x:c r="J346" s="51"/>
      <x:c r="K346" s="51"/>
      <x:c r="L346" s="9" t="str">
        <x:f>IF(OR(J346="",K346=""),"",J346+K346)</x:f>
      </x:c>
      <x:c r="M346" s="9" t="str">
        <x:f>IF(L346="","",IF(L346&lt;=4,"UNDER","OVER"))</x:f>
      </x:c>
      <x:c r="N346" s="9" t="str">
        <x:f>IF(E346="","",IF(LEFT(E346,2)="DA","PARIU U265,5","NO BET"))</x:f>
      </x:c>
      <x:c r="O346" s="9" t="str">
        <x:f>IF(M346="","",IF(AM346="PARIU U265,5",IF(M346="UNDER","SUCCES","EȘEC"),IF(M346="UNDER","FALS NEGATIV","EVITARE CORECTĂ")))</x:f>
      </x:c>
      <x:c r="P346" s="9" t="str">
        <x:f>IF(M346="","",IF(M346="UNDER",1,0))</x:f>
      </x:c>
      <x:c r="Q346" s="9" t="str">
        <x:f>IF(P346="","",(G346-P346)^2)</x:f>
      </x:c>
      <x:c r="R346" s="9" t="str">
        <x:f>IF(L346="","",L346-F346)</x:f>
      </x:c>
      <x:c r="S346" s="9" t="str">
        <x:f>IF(L346="","",IF(M346="UNDER","U265,5 reușit; total final "&amp;L346&amp;" vs λ="&amp;TEXT(F346,"0.00")&amp;".","Eșec U265,5; total final "&amp;L346&amp;" vs λ="&amp;TEXT(F346,"0.00")&amp;". Revizuiește Tail Risk, sursa λ și calibrarea."))</x:f>
      </x:c>
      <x:c r="T346" s="51"/>
      <x:c r="U346" s="51"/>
      <x:c r="V346" s="51"/>
      <x:c r="W346" s="61"/>
      <x:c r="X346" s="61"/>
      <x:c r="Y346" s="51"/>
      <x:c r="Z346" s="53"/>
      <x:c r="AA346" s="51"/>
      <x:c r="AB346" s="64" t="str">
        <x:f>IF(AC346="","",AC346)</x:f>
      </x:c>
      <x:c r="AC346" s="67"/>
      <x:c r="AD346" s="69" t="str">
        <x:f>IF(AE346="","",AE346)</x:f>
      </x:c>
      <x:c r="AE346" s="71"/>
      <x:c r="AF346" s="73" t="str">
        <x:f>IF(AC346="","",1/AC346)</x:f>
      </x:c>
      <x:c r="AG346" s="61"/>
      <x:c r="AH346" s="61"/>
      <x:c r="AI346" s="64" t="str">
        <x:f>IF(OR(AC346="",AG346=""),"",AC346*AG346-1)</x:f>
      </x:c>
      <x:c r="AJ346" s="75" t="str">
        <x:f>IF(OR(G346="",F346=""),"",IF(AND(G346&gt;='Calibrare v2'!$B$35,F346&lt;='Calibrare v2'!$B$34),"PASS","FAIL"))</x:f>
      </x:c>
      <x:c r="AK346" s="75" t="str">
        <x:f>IF(AL346="","",AL346)</x:f>
      </x:c>
      <x:c r="AL346" s="77"/>
      <x:c r="AM346" s="77"/>
      <x:c r="AN346" s="64" t="str">
        <x:f>IF(OR(AC346="",P346=""),"",(AC346-P346)^2)</x:f>
      </x:c>
      <x:c r="AO346" s="64" t="str">
        <x:f>IF(OR(AG346="",AH346=""),"",AG346/AH346-1)</x:f>
      </x:c>
      <x:c r="AP346" s="61"/>
      <x:c r="AQ346" s="73" t="n">
        <x:f>IF(OR(AM346&lt;&gt;"PARIU U4,5",M346="",AP346="",AG346=""),0,IF(M346="UNDER",AP346*(AG346-1),-AP346))</x:f>
        <x:v>0</x:v>
      </x:c>
      <x:c r="AR346" s="51"/>
    </x:row>
    <x:row r="347">
      <x:c r="A347" s="9" t="str">
        <x:f>IF(D347="","",ROW()-1)</x:f>
      </x:c>
      <x:c r="B347" s="51"/>
      <x:c r="C347" s="51"/>
      <x:c r="D347" s="51"/>
      <x:c r="E347" s="9" t="str">
        <x:f>IF(D347="","",IF(AND(F347&lt;='Calibrare v2'!$B$33,G347&gt;=0.86),"DA – FEZABIL",IF(G347&gt;=0.8,"DA – PRUDENT","NU – EVITĂ")))</x:f>
      </x:c>
      <x:c r="F347" s="16" t="str">
        <x:f>IF(OR(W347="",X347=""),"",W347+X347)</x:f>
      </x:c>
      <x:c r="G347" s="28" t="str">
        <x:f>IF(F347="","",EXP(-F347)*(1+F347+F347^2/2+F347^3/6+F347^4/24))</x:f>
      </x:c>
      <x:c r="H347" s="53"/>
      <x:c r="I347" s="9" t="str">
        <x:f>IF(F347="","",IF(F347&lt;='Calibrare v2'!$B$33,"PASS","FAIL"))</x:f>
      </x:c>
      <x:c r="J347" s="51"/>
      <x:c r="K347" s="51"/>
      <x:c r="L347" s="9" t="str">
        <x:f>IF(OR(J347="",K347=""),"",J347+K347)</x:f>
      </x:c>
      <x:c r="M347" s="9" t="str">
        <x:f>IF(L347="","",IF(L347&lt;=4,"UNDER","OVER"))</x:f>
      </x:c>
      <x:c r="N347" s="9" t="str">
        <x:f>IF(E347="","",IF(LEFT(E347,2)="DA","PARIU U266,5","NO BET"))</x:f>
      </x:c>
      <x:c r="O347" s="9" t="str">
        <x:f>IF(M347="","",IF(AM347="PARIU U266,5",IF(M347="UNDER","SUCCES","EȘEC"),IF(M347="UNDER","FALS NEGATIV","EVITARE CORECTĂ")))</x:f>
      </x:c>
      <x:c r="P347" s="9" t="str">
        <x:f>IF(M347="","",IF(M347="UNDER",1,0))</x:f>
      </x:c>
      <x:c r="Q347" s="9" t="str">
        <x:f>IF(P347="","",(G347-P347)^2)</x:f>
      </x:c>
      <x:c r="R347" s="9" t="str">
        <x:f>IF(L347="","",L347-F347)</x:f>
      </x:c>
      <x:c r="S347" s="9" t="str">
        <x:f>IF(L347="","",IF(M347="UNDER","U266,5 reușit; total final "&amp;L347&amp;" vs λ="&amp;TEXT(F347,"0.00")&amp;".","Eșec U266,5; total final "&amp;L347&amp;" vs λ="&amp;TEXT(F347,"0.00")&amp;". Revizuiește Tail Risk, sursa λ și calibrarea."))</x:f>
      </x:c>
      <x:c r="T347" s="51"/>
      <x:c r="U347" s="51"/>
      <x:c r="V347" s="51"/>
      <x:c r="W347" s="61"/>
      <x:c r="X347" s="61"/>
      <x:c r="Y347" s="51"/>
      <x:c r="Z347" s="53"/>
      <x:c r="AA347" s="51"/>
      <x:c r="AB347" s="64" t="str">
        <x:f>IF(AC347="","",AC347)</x:f>
      </x:c>
      <x:c r="AC347" s="67"/>
      <x:c r="AD347" s="69" t="str">
        <x:f>IF(AE347="","",AE347)</x:f>
      </x:c>
      <x:c r="AE347" s="71"/>
      <x:c r="AF347" s="73" t="str">
        <x:f>IF(AC347="","",1/AC347)</x:f>
      </x:c>
      <x:c r="AG347" s="61"/>
      <x:c r="AH347" s="61"/>
      <x:c r="AI347" s="64" t="str">
        <x:f>IF(OR(AC347="",AG347=""),"",AC347*AG347-1)</x:f>
      </x:c>
      <x:c r="AJ347" s="75" t="str">
        <x:f>IF(OR(G347="",F347=""),"",IF(AND(G347&gt;='Calibrare v2'!$B$35,F347&lt;='Calibrare v2'!$B$34),"PASS","FAIL"))</x:f>
      </x:c>
      <x:c r="AK347" s="75" t="str">
        <x:f>IF(AL347="","",AL347)</x:f>
      </x:c>
      <x:c r="AL347" s="77"/>
      <x:c r="AM347" s="77"/>
      <x:c r="AN347" s="64" t="str">
        <x:f>IF(OR(AC347="",P347=""),"",(AC347-P347)^2)</x:f>
      </x:c>
      <x:c r="AO347" s="64" t="str">
        <x:f>IF(OR(AG347="",AH347=""),"",AG347/AH347-1)</x:f>
      </x:c>
      <x:c r="AP347" s="61"/>
      <x:c r="AQ347" s="73" t="n">
        <x:f>IF(OR(AM347&lt;&gt;"PARIU U4,5",M347="",AP347="",AG347=""),0,IF(M347="UNDER",AP347*(AG347-1),-AP347))</x:f>
        <x:v>0</x:v>
      </x:c>
      <x:c r="AR347" s="51"/>
    </x:row>
    <x:row r="348">
      <x:c r="A348" s="9" t="str">
        <x:f>IF(D348="","",ROW()-1)</x:f>
      </x:c>
      <x:c r="B348" s="51"/>
      <x:c r="C348" s="51"/>
      <x:c r="D348" s="51"/>
      <x:c r="E348" s="9" t="str">
        <x:f>IF(D348="","",IF(AND(F348&lt;='Calibrare v2'!$B$33,G348&gt;=0.86),"DA – FEZABIL",IF(G348&gt;=0.8,"DA – PRUDENT","NU – EVITĂ")))</x:f>
      </x:c>
      <x:c r="F348" s="16" t="str">
        <x:f>IF(OR(W348="",X348=""),"",W348+X348)</x:f>
      </x:c>
      <x:c r="G348" s="28" t="str">
        <x:f>IF(F348="","",EXP(-F348)*(1+F348+F348^2/2+F348^3/6+F348^4/24))</x:f>
      </x:c>
      <x:c r="H348" s="53"/>
      <x:c r="I348" s="9" t="str">
        <x:f>IF(F348="","",IF(F348&lt;='Calibrare v2'!$B$33,"PASS","FAIL"))</x:f>
      </x:c>
      <x:c r="J348" s="51"/>
      <x:c r="K348" s="51"/>
      <x:c r="L348" s="9" t="str">
        <x:f>IF(OR(J348="",K348=""),"",J348+K348)</x:f>
      </x:c>
      <x:c r="M348" s="9" t="str">
        <x:f>IF(L348="","",IF(L348&lt;=4,"UNDER","OVER"))</x:f>
      </x:c>
      <x:c r="N348" s="9" t="str">
        <x:f>IF(E348="","",IF(LEFT(E348,2)="DA","PARIU U267,5","NO BET"))</x:f>
      </x:c>
      <x:c r="O348" s="9" t="str">
        <x:f>IF(M348="","",IF(AM348="PARIU U267,5",IF(M348="UNDER","SUCCES","EȘEC"),IF(M348="UNDER","FALS NEGATIV","EVITARE CORECTĂ")))</x:f>
      </x:c>
      <x:c r="P348" s="9" t="str">
        <x:f>IF(M348="","",IF(M348="UNDER",1,0))</x:f>
      </x:c>
      <x:c r="Q348" s="9" t="str">
        <x:f>IF(P348="","",(G348-P348)^2)</x:f>
      </x:c>
      <x:c r="R348" s="9" t="str">
        <x:f>IF(L348="","",L348-F348)</x:f>
      </x:c>
      <x:c r="S348" s="9" t="str">
        <x:f>IF(L348="","",IF(M348="UNDER","U267,5 reușit; total final "&amp;L348&amp;" vs λ="&amp;TEXT(F348,"0.00")&amp;".","Eșec U267,5; total final "&amp;L348&amp;" vs λ="&amp;TEXT(F348,"0.00")&amp;". Revizuiește Tail Risk, sursa λ și calibrarea."))</x:f>
      </x:c>
      <x:c r="T348" s="51"/>
      <x:c r="U348" s="51"/>
      <x:c r="V348" s="51"/>
      <x:c r="W348" s="61"/>
      <x:c r="X348" s="61"/>
      <x:c r="Y348" s="51"/>
      <x:c r="Z348" s="53"/>
      <x:c r="AA348" s="51"/>
      <x:c r="AB348" s="64" t="str">
        <x:f>IF(AC348="","",AC348)</x:f>
      </x:c>
      <x:c r="AC348" s="67"/>
      <x:c r="AD348" s="69" t="str">
        <x:f>IF(AE348="","",AE348)</x:f>
      </x:c>
      <x:c r="AE348" s="71"/>
      <x:c r="AF348" s="73" t="str">
        <x:f>IF(AC348="","",1/AC348)</x:f>
      </x:c>
      <x:c r="AG348" s="61"/>
      <x:c r="AH348" s="61"/>
      <x:c r="AI348" s="64" t="str">
        <x:f>IF(OR(AC348="",AG348=""),"",AC348*AG348-1)</x:f>
      </x:c>
      <x:c r="AJ348" s="75" t="str">
        <x:f>IF(OR(G348="",F348=""),"",IF(AND(G348&gt;='Calibrare v2'!$B$35,F348&lt;='Calibrare v2'!$B$34),"PASS","FAIL"))</x:f>
      </x:c>
      <x:c r="AK348" s="75" t="str">
        <x:f>IF(AL348="","",AL348)</x:f>
      </x:c>
      <x:c r="AL348" s="77"/>
      <x:c r="AM348" s="77"/>
      <x:c r="AN348" s="64" t="str">
        <x:f>IF(OR(AC348="",P348=""),"",(AC348-P348)^2)</x:f>
      </x:c>
      <x:c r="AO348" s="64" t="str">
        <x:f>IF(OR(AG348="",AH348=""),"",AG348/AH348-1)</x:f>
      </x:c>
      <x:c r="AP348" s="61"/>
      <x:c r="AQ348" s="73" t="n">
        <x:f>IF(OR(AM348&lt;&gt;"PARIU U4,5",M348="",AP348="",AG348=""),0,IF(M348="UNDER",AP348*(AG348-1),-AP348))</x:f>
        <x:v>0</x:v>
      </x:c>
      <x:c r="AR348" s="51"/>
    </x:row>
    <x:row r="349">
      <x:c r="A349" s="9" t="str">
        <x:f>IF(D349="","",ROW()-1)</x:f>
      </x:c>
      <x:c r="B349" s="51"/>
      <x:c r="C349" s="51"/>
      <x:c r="D349" s="51"/>
      <x:c r="E349" s="9" t="str">
        <x:f>IF(D349="","",IF(AND(F349&lt;='Calibrare v2'!$B$33,G349&gt;=0.86),"DA – FEZABIL",IF(G349&gt;=0.8,"DA – PRUDENT","NU – EVITĂ")))</x:f>
      </x:c>
      <x:c r="F349" s="16" t="str">
        <x:f>IF(OR(W349="",X349=""),"",W349+X349)</x:f>
      </x:c>
      <x:c r="G349" s="28" t="str">
        <x:f>IF(F349="","",EXP(-F349)*(1+F349+F349^2/2+F349^3/6+F349^4/24))</x:f>
      </x:c>
      <x:c r="H349" s="53"/>
      <x:c r="I349" s="9" t="str">
        <x:f>IF(F349="","",IF(F349&lt;='Calibrare v2'!$B$33,"PASS","FAIL"))</x:f>
      </x:c>
      <x:c r="J349" s="51"/>
      <x:c r="K349" s="51"/>
      <x:c r="L349" s="9" t="str">
        <x:f>IF(OR(J349="",K349=""),"",J349+K349)</x:f>
      </x:c>
      <x:c r="M349" s="9" t="str">
        <x:f>IF(L349="","",IF(L349&lt;=4,"UNDER","OVER"))</x:f>
      </x:c>
      <x:c r="N349" s="9" t="str">
        <x:f>IF(E349="","",IF(LEFT(E349,2)="DA","PARIU U268,5","NO BET"))</x:f>
      </x:c>
      <x:c r="O349" s="9" t="str">
        <x:f>IF(M349="","",IF(AM349="PARIU U268,5",IF(M349="UNDER","SUCCES","EȘEC"),IF(M349="UNDER","FALS NEGATIV","EVITARE CORECTĂ")))</x:f>
      </x:c>
      <x:c r="P349" s="9" t="str">
        <x:f>IF(M349="","",IF(M349="UNDER",1,0))</x:f>
      </x:c>
      <x:c r="Q349" s="9" t="str">
        <x:f>IF(P349="","",(G349-P349)^2)</x:f>
      </x:c>
      <x:c r="R349" s="9" t="str">
        <x:f>IF(L349="","",L349-F349)</x:f>
      </x:c>
      <x:c r="S349" s="9" t="str">
        <x:f>IF(L349="","",IF(M349="UNDER","U268,5 reușit; total final "&amp;L349&amp;" vs λ="&amp;TEXT(F349,"0.00")&amp;".","Eșec U268,5; total final "&amp;L349&amp;" vs λ="&amp;TEXT(F349,"0.00")&amp;". Revizuiește Tail Risk, sursa λ și calibrarea."))</x:f>
      </x:c>
      <x:c r="T349" s="51"/>
      <x:c r="U349" s="51"/>
      <x:c r="V349" s="51"/>
      <x:c r="W349" s="61"/>
      <x:c r="X349" s="61"/>
      <x:c r="Y349" s="51"/>
      <x:c r="Z349" s="53"/>
      <x:c r="AA349" s="51"/>
      <x:c r="AB349" s="64" t="str">
        <x:f>IF(AC349="","",AC349)</x:f>
      </x:c>
      <x:c r="AC349" s="67"/>
      <x:c r="AD349" s="69" t="str">
        <x:f>IF(AE349="","",AE349)</x:f>
      </x:c>
      <x:c r="AE349" s="71"/>
      <x:c r="AF349" s="73" t="str">
        <x:f>IF(AC349="","",1/AC349)</x:f>
      </x:c>
      <x:c r="AG349" s="61"/>
      <x:c r="AH349" s="61"/>
      <x:c r="AI349" s="64" t="str">
        <x:f>IF(OR(AC349="",AG349=""),"",AC349*AG349-1)</x:f>
      </x:c>
      <x:c r="AJ349" s="75" t="str">
        <x:f>IF(OR(G349="",F349=""),"",IF(AND(G349&gt;='Calibrare v2'!$B$35,F349&lt;='Calibrare v2'!$B$34),"PASS","FAIL"))</x:f>
      </x:c>
      <x:c r="AK349" s="75" t="str">
        <x:f>IF(AL349="","",AL349)</x:f>
      </x:c>
      <x:c r="AL349" s="77"/>
      <x:c r="AM349" s="77"/>
      <x:c r="AN349" s="64" t="str">
        <x:f>IF(OR(AC349="",P349=""),"",(AC349-P349)^2)</x:f>
      </x:c>
      <x:c r="AO349" s="64" t="str">
        <x:f>IF(OR(AG349="",AH349=""),"",AG349/AH349-1)</x:f>
      </x:c>
      <x:c r="AP349" s="61"/>
      <x:c r="AQ349" s="73" t="n">
        <x:f>IF(OR(AM349&lt;&gt;"PARIU U4,5",M349="",AP349="",AG349=""),0,IF(M349="UNDER",AP349*(AG349-1),-AP349))</x:f>
        <x:v>0</x:v>
      </x:c>
      <x:c r="AR349" s="51"/>
    </x:row>
    <x:row r="350">
      <x:c r="A350" s="9" t="str">
        <x:f>IF(D350="","",ROW()-1)</x:f>
      </x:c>
      <x:c r="B350" s="51"/>
      <x:c r="C350" s="51"/>
      <x:c r="D350" s="51"/>
      <x:c r="E350" s="9" t="str">
        <x:f>IF(D350="","",IF(AND(F350&lt;='Calibrare v2'!$B$33,G350&gt;=0.86),"DA – FEZABIL",IF(G350&gt;=0.8,"DA – PRUDENT","NU – EVITĂ")))</x:f>
      </x:c>
      <x:c r="F350" s="16" t="str">
        <x:f>IF(OR(W350="",X350=""),"",W350+X350)</x:f>
      </x:c>
      <x:c r="G350" s="28" t="str">
        <x:f>IF(F350="","",EXP(-F350)*(1+F350+F350^2/2+F350^3/6+F350^4/24))</x:f>
      </x:c>
      <x:c r="H350" s="53"/>
      <x:c r="I350" s="9" t="str">
        <x:f>IF(F350="","",IF(F350&lt;='Calibrare v2'!$B$33,"PASS","FAIL"))</x:f>
      </x:c>
      <x:c r="J350" s="51"/>
      <x:c r="K350" s="51"/>
      <x:c r="L350" s="9" t="str">
        <x:f>IF(OR(J350="",K350=""),"",J350+K350)</x:f>
      </x:c>
      <x:c r="M350" s="9" t="str">
        <x:f>IF(L350="","",IF(L350&lt;=4,"UNDER","OVER"))</x:f>
      </x:c>
      <x:c r="N350" s="9" t="str">
        <x:f>IF(E350="","",IF(LEFT(E350,2)="DA","PARIU U269,5","NO BET"))</x:f>
      </x:c>
      <x:c r="O350" s="9" t="str">
        <x:f>IF(M350="","",IF(AM350="PARIU U269,5",IF(M350="UNDER","SUCCES","EȘEC"),IF(M350="UNDER","FALS NEGATIV","EVITARE CORECTĂ")))</x:f>
      </x:c>
      <x:c r="P350" s="9" t="str">
        <x:f>IF(M350="","",IF(M350="UNDER",1,0))</x:f>
      </x:c>
      <x:c r="Q350" s="9" t="str">
        <x:f>IF(P350="","",(G350-P350)^2)</x:f>
      </x:c>
      <x:c r="R350" s="9" t="str">
        <x:f>IF(L350="","",L350-F350)</x:f>
      </x:c>
      <x:c r="S350" s="9" t="str">
        <x:f>IF(L350="","",IF(M350="UNDER","U269,5 reușit; total final "&amp;L350&amp;" vs λ="&amp;TEXT(F350,"0.00")&amp;".","Eșec U269,5; total final "&amp;L350&amp;" vs λ="&amp;TEXT(F350,"0.00")&amp;". Revizuiește Tail Risk, sursa λ și calibrarea."))</x:f>
      </x:c>
      <x:c r="T350" s="51"/>
      <x:c r="U350" s="51"/>
      <x:c r="V350" s="51"/>
      <x:c r="W350" s="61"/>
      <x:c r="X350" s="61"/>
      <x:c r="Y350" s="51"/>
      <x:c r="Z350" s="53"/>
      <x:c r="AA350" s="51"/>
      <x:c r="AB350" s="64" t="str">
        <x:f>IF(AC350="","",AC350)</x:f>
      </x:c>
      <x:c r="AC350" s="67"/>
      <x:c r="AD350" s="69" t="str">
        <x:f>IF(AE350="","",AE350)</x:f>
      </x:c>
      <x:c r="AE350" s="71"/>
      <x:c r="AF350" s="73" t="str">
        <x:f>IF(AC350="","",1/AC350)</x:f>
      </x:c>
      <x:c r="AG350" s="61"/>
      <x:c r="AH350" s="61"/>
      <x:c r="AI350" s="64" t="str">
        <x:f>IF(OR(AC350="",AG350=""),"",AC350*AG350-1)</x:f>
      </x:c>
      <x:c r="AJ350" s="75" t="str">
        <x:f>IF(OR(G350="",F350=""),"",IF(AND(G350&gt;='Calibrare v2'!$B$35,F350&lt;='Calibrare v2'!$B$34),"PASS","FAIL"))</x:f>
      </x:c>
      <x:c r="AK350" s="75" t="str">
        <x:f>IF(AL350="","",AL350)</x:f>
      </x:c>
      <x:c r="AL350" s="77"/>
      <x:c r="AM350" s="77"/>
      <x:c r="AN350" s="64" t="str">
        <x:f>IF(OR(AC350="",P350=""),"",(AC350-P350)^2)</x:f>
      </x:c>
      <x:c r="AO350" s="64" t="str">
        <x:f>IF(OR(AG350="",AH350=""),"",AG350/AH350-1)</x:f>
      </x:c>
      <x:c r="AP350" s="61"/>
      <x:c r="AQ350" s="73" t="n">
        <x:f>IF(OR(AM350&lt;&gt;"PARIU U4,5",M350="",AP350="",AG350=""),0,IF(M350="UNDER",AP350*(AG350-1),-AP350))</x:f>
        <x:v>0</x:v>
      </x:c>
      <x:c r="AR350" s="51"/>
    </x:row>
    <x:row r="351">
      <x:c r="A351" s="9" t="str">
        <x:f>IF(D351="","",ROW()-1)</x:f>
      </x:c>
      <x:c r="B351" s="51"/>
      <x:c r="C351" s="51"/>
      <x:c r="D351" s="51"/>
      <x:c r="E351" s="9" t="str">
        <x:f>IF(D351="","",IF(AND(F351&lt;='Calibrare v2'!$B$33,G351&gt;=0.86),"DA – FEZABIL",IF(G351&gt;=0.8,"DA – PRUDENT","NU – EVITĂ")))</x:f>
      </x:c>
      <x:c r="F351" s="16" t="str">
        <x:f>IF(OR(W351="",X351=""),"",W351+X351)</x:f>
      </x:c>
      <x:c r="G351" s="28" t="str">
        <x:f>IF(F351="","",EXP(-F351)*(1+F351+F351^2/2+F351^3/6+F351^4/24))</x:f>
      </x:c>
      <x:c r="H351" s="53"/>
      <x:c r="I351" s="9" t="str">
        <x:f>IF(F351="","",IF(F351&lt;='Calibrare v2'!$B$33,"PASS","FAIL"))</x:f>
      </x:c>
      <x:c r="J351" s="51"/>
      <x:c r="K351" s="51"/>
      <x:c r="L351" s="9" t="str">
        <x:f>IF(OR(J351="",K351=""),"",J351+K351)</x:f>
      </x:c>
      <x:c r="M351" s="9" t="str">
        <x:f>IF(L351="","",IF(L351&lt;=4,"UNDER","OVER"))</x:f>
      </x:c>
      <x:c r="N351" s="9" t="str">
        <x:f>IF(E351="","",IF(LEFT(E351,2)="DA","PARIU U270,5","NO BET"))</x:f>
      </x:c>
      <x:c r="O351" s="9" t="str">
        <x:f>IF(M351="","",IF(AM351="PARIU U270,5",IF(M351="UNDER","SUCCES","EȘEC"),IF(M351="UNDER","FALS NEGATIV","EVITARE CORECTĂ")))</x:f>
      </x:c>
      <x:c r="P351" s="9" t="str">
        <x:f>IF(M351="","",IF(M351="UNDER",1,0))</x:f>
      </x:c>
      <x:c r="Q351" s="9" t="str">
        <x:f>IF(P351="","",(G351-P351)^2)</x:f>
      </x:c>
      <x:c r="R351" s="9" t="str">
        <x:f>IF(L351="","",L351-F351)</x:f>
      </x:c>
      <x:c r="S351" s="9" t="str">
        <x:f>IF(L351="","",IF(M351="UNDER","U270,5 reușit; total final "&amp;L351&amp;" vs λ="&amp;TEXT(F351,"0.00")&amp;".","Eșec U270,5; total final "&amp;L351&amp;" vs λ="&amp;TEXT(F351,"0.00")&amp;". Revizuiește Tail Risk, sursa λ și calibrarea."))</x:f>
      </x:c>
      <x:c r="T351" s="51"/>
      <x:c r="U351" s="51"/>
      <x:c r="V351" s="51"/>
      <x:c r="W351" s="61"/>
      <x:c r="X351" s="61"/>
      <x:c r="Y351" s="51"/>
      <x:c r="Z351" s="53"/>
      <x:c r="AA351" s="51"/>
      <x:c r="AB351" s="64" t="str">
        <x:f>IF(AC351="","",AC351)</x:f>
      </x:c>
      <x:c r="AC351" s="67"/>
      <x:c r="AD351" s="69" t="str">
        <x:f>IF(AE351="","",AE351)</x:f>
      </x:c>
      <x:c r="AE351" s="71"/>
      <x:c r="AF351" s="73" t="str">
        <x:f>IF(AC351="","",1/AC351)</x:f>
      </x:c>
      <x:c r="AG351" s="61"/>
      <x:c r="AH351" s="61"/>
      <x:c r="AI351" s="64" t="str">
        <x:f>IF(OR(AC351="",AG351=""),"",AC351*AG351-1)</x:f>
      </x:c>
      <x:c r="AJ351" s="75" t="str">
        <x:f>IF(OR(G351="",F351=""),"",IF(AND(G351&gt;='Calibrare v2'!$B$35,F351&lt;='Calibrare v2'!$B$34),"PASS","FAIL"))</x:f>
      </x:c>
      <x:c r="AK351" s="75" t="str">
        <x:f>IF(AL351="","",AL351)</x:f>
      </x:c>
      <x:c r="AL351" s="77"/>
      <x:c r="AM351" s="77"/>
      <x:c r="AN351" s="64" t="str">
        <x:f>IF(OR(AC351="",P351=""),"",(AC351-P351)^2)</x:f>
      </x:c>
      <x:c r="AO351" s="64" t="str">
        <x:f>IF(OR(AG351="",AH351=""),"",AG351/AH351-1)</x:f>
      </x:c>
      <x:c r="AP351" s="61"/>
      <x:c r="AQ351" s="73" t="n">
        <x:f>IF(OR(AM351&lt;&gt;"PARIU U4,5",M351="",AP351="",AG351=""),0,IF(M351="UNDER",AP351*(AG351-1),-AP351))</x:f>
        <x:v>0</x:v>
      </x:c>
      <x:c r="AR351" s="51"/>
    </x:row>
    <x:row r="352">
      <x:c r="A352" s="9" t="str">
        <x:f>IF(D352="","",ROW()-1)</x:f>
      </x:c>
      <x:c r="B352" s="51"/>
      <x:c r="C352" s="51"/>
      <x:c r="D352" s="51"/>
      <x:c r="E352" s="9" t="str">
        <x:f>IF(D352="","",IF(AND(F352&lt;='Calibrare v2'!$B$33,G352&gt;=0.86),"DA – FEZABIL",IF(G352&gt;=0.8,"DA – PRUDENT","NU – EVITĂ")))</x:f>
      </x:c>
      <x:c r="F352" s="16" t="str">
        <x:f>IF(OR(W352="",X352=""),"",W352+X352)</x:f>
      </x:c>
      <x:c r="G352" s="28" t="str">
        <x:f>IF(F352="","",EXP(-F352)*(1+F352+F352^2/2+F352^3/6+F352^4/24))</x:f>
      </x:c>
      <x:c r="H352" s="53"/>
      <x:c r="I352" s="9" t="str">
        <x:f>IF(F352="","",IF(F352&lt;='Calibrare v2'!$B$33,"PASS","FAIL"))</x:f>
      </x:c>
      <x:c r="J352" s="51"/>
      <x:c r="K352" s="51"/>
      <x:c r="L352" s="9" t="str">
        <x:f>IF(OR(J352="",K352=""),"",J352+K352)</x:f>
      </x:c>
      <x:c r="M352" s="9" t="str">
        <x:f>IF(L352="","",IF(L352&lt;=4,"UNDER","OVER"))</x:f>
      </x:c>
      <x:c r="N352" s="9" t="str">
        <x:f>IF(E352="","",IF(LEFT(E352,2)="DA","PARIU U271,5","NO BET"))</x:f>
      </x:c>
      <x:c r="O352" s="9" t="str">
        <x:f>IF(M352="","",IF(AM352="PARIU U271,5",IF(M352="UNDER","SUCCES","EȘEC"),IF(M352="UNDER","FALS NEGATIV","EVITARE CORECTĂ")))</x:f>
      </x:c>
      <x:c r="P352" s="9" t="str">
        <x:f>IF(M352="","",IF(M352="UNDER",1,0))</x:f>
      </x:c>
      <x:c r="Q352" s="9" t="str">
        <x:f>IF(P352="","",(G352-P352)^2)</x:f>
      </x:c>
      <x:c r="R352" s="9" t="str">
        <x:f>IF(L352="","",L352-F352)</x:f>
      </x:c>
      <x:c r="S352" s="9" t="str">
        <x:f>IF(L352="","",IF(M352="UNDER","U271,5 reușit; total final "&amp;L352&amp;" vs λ="&amp;TEXT(F352,"0.00")&amp;".","Eșec U271,5; total final "&amp;L352&amp;" vs λ="&amp;TEXT(F352,"0.00")&amp;". Revizuiește Tail Risk, sursa λ și calibrarea."))</x:f>
      </x:c>
      <x:c r="T352" s="51"/>
      <x:c r="U352" s="51"/>
      <x:c r="V352" s="51"/>
      <x:c r="W352" s="61"/>
      <x:c r="X352" s="61"/>
      <x:c r="Y352" s="51"/>
      <x:c r="Z352" s="53"/>
      <x:c r="AA352" s="51"/>
      <x:c r="AB352" s="64" t="str">
        <x:f>IF(AC352="","",AC352)</x:f>
      </x:c>
      <x:c r="AC352" s="67"/>
      <x:c r="AD352" s="69" t="str">
        <x:f>IF(AE352="","",AE352)</x:f>
      </x:c>
      <x:c r="AE352" s="71"/>
      <x:c r="AF352" s="73" t="str">
        <x:f>IF(AC352="","",1/AC352)</x:f>
      </x:c>
      <x:c r="AG352" s="61"/>
      <x:c r="AH352" s="61"/>
      <x:c r="AI352" s="64" t="str">
        <x:f>IF(OR(AC352="",AG352=""),"",AC352*AG352-1)</x:f>
      </x:c>
      <x:c r="AJ352" s="75" t="str">
        <x:f>IF(OR(G352="",F352=""),"",IF(AND(G352&gt;='Calibrare v2'!$B$35,F352&lt;='Calibrare v2'!$B$34),"PASS","FAIL"))</x:f>
      </x:c>
      <x:c r="AK352" s="75" t="str">
        <x:f>IF(AL352="","",AL352)</x:f>
      </x:c>
      <x:c r="AL352" s="77"/>
      <x:c r="AM352" s="77"/>
      <x:c r="AN352" s="64" t="str">
        <x:f>IF(OR(AC352="",P352=""),"",(AC352-P352)^2)</x:f>
      </x:c>
      <x:c r="AO352" s="64" t="str">
        <x:f>IF(OR(AG352="",AH352=""),"",AG352/AH352-1)</x:f>
      </x:c>
      <x:c r="AP352" s="61"/>
      <x:c r="AQ352" s="73" t="n">
        <x:f>IF(OR(AM352&lt;&gt;"PARIU U4,5",M352="",AP352="",AG352=""),0,IF(M352="UNDER",AP352*(AG352-1),-AP352))</x:f>
        <x:v>0</x:v>
      </x:c>
      <x:c r="AR352" s="51"/>
    </x:row>
    <x:row r="353">
      <x:c r="A353" s="9" t="str">
        <x:f>IF(D353="","",ROW()-1)</x:f>
      </x:c>
      <x:c r="B353" s="51"/>
      <x:c r="C353" s="51"/>
      <x:c r="D353" s="51"/>
      <x:c r="E353" s="9" t="str">
        <x:f>IF(D353="","",IF(AND(F353&lt;='Calibrare v2'!$B$33,G353&gt;=0.86),"DA – FEZABIL",IF(G353&gt;=0.8,"DA – PRUDENT","NU – EVITĂ")))</x:f>
      </x:c>
      <x:c r="F353" s="16" t="str">
        <x:f>IF(OR(W353="",X353=""),"",W353+X353)</x:f>
      </x:c>
      <x:c r="G353" s="28" t="str">
        <x:f>IF(F353="","",EXP(-F353)*(1+F353+F353^2/2+F353^3/6+F353^4/24))</x:f>
      </x:c>
      <x:c r="H353" s="53"/>
      <x:c r="I353" s="9" t="str">
        <x:f>IF(F353="","",IF(F353&lt;='Calibrare v2'!$B$33,"PASS","FAIL"))</x:f>
      </x:c>
      <x:c r="J353" s="51"/>
      <x:c r="K353" s="51"/>
      <x:c r="L353" s="9" t="str">
        <x:f>IF(OR(J353="",K353=""),"",J353+K353)</x:f>
      </x:c>
      <x:c r="M353" s="9" t="str">
        <x:f>IF(L353="","",IF(L353&lt;=4,"UNDER","OVER"))</x:f>
      </x:c>
      <x:c r="N353" s="9" t="str">
        <x:f>IF(E353="","",IF(LEFT(E353,2)="DA","PARIU U272,5","NO BET"))</x:f>
      </x:c>
      <x:c r="O353" s="9" t="str">
        <x:f>IF(M353="","",IF(AM353="PARIU U272,5",IF(M353="UNDER","SUCCES","EȘEC"),IF(M353="UNDER","FALS NEGATIV","EVITARE CORECTĂ")))</x:f>
      </x:c>
      <x:c r="P353" s="9" t="str">
        <x:f>IF(M353="","",IF(M353="UNDER",1,0))</x:f>
      </x:c>
      <x:c r="Q353" s="9" t="str">
        <x:f>IF(P353="","",(G353-P353)^2)</x:f>
      </x:c>
      <x:c r="R353" s="9" t="str">
        <x:f>IF(L353="","",L353-F353)</x:f>
      </x:c>
      <x:c r="S353" s="9" t="str">
        <x:f>IF(L353="","",IF(M353="UNDER","U272,5 reușit; total final "&amp;L353&amp;" vs λ="&amp;TEXT(F353,"0.00")&amp;".","Eșec U272,5; total final "&amp;L353&amp;" vs λ="&amp;TEXT(F353,"0.00")&amp;". Revizuiește Tail Risk, sursa λ și calibrarea."))</x:f>
      </x:c>
      <x:c r="T353" s="51"/>
      <x:c r="U353" s="51"/>
      <x:c r="V353" s="51"/>
      <x:c r="W353" s="61"/>
      <x:c r="X353" s="61"/>
      <x:c r="Y353" s="51"/>
      <x:c r="Z353" s="53"/>
      <x:c r="AA353" s="51"/>
      <x:c r="AB353" s="64" t="str">
        <x:f>IF(AC353="","",AC353)</x:f>
      </x:c>
      <x:c r="AC353" s="67"/>
      <x:c r="AD353" s="69" t="str">
        <x:f>IF(AE353="","",AE353)</x:f>
      </x:c>
      <x:c r="AE353" s="71"/>
      <x:c r="AF353" s="73" t="str">
        <x:f>IF(AC353="","",1/AC353)</x:f>
      </x:c>
      <x:c r="AG353" s="61"/>
      <x:c r="AH353" s="61"/>
      <x:c r="AI353" s="64" t="str">
        <x:f>IF(OR(AC353="",AG353=""),"",AC353*AG353-1)</x:f>
      </x:c>
      <x:c r="AJ353" s="75" t="str">
        <x:f>IF(OR(G353="",F353=""),"",IF(AND(G353&gt;='Calibrare v2'!$B$35,F353&lt;='Calibrare v2'!$B$34),"PASS","FAIL"))</x:f>
      </x:c>
      <x:c r="AK353" s="75" t="str">
        <x:f>IF(AL353="","",AL353)</x:f>
      </x:c>
      <x:c r="AL353" s="77"/>
      <x:c r="AM353" s="77"/>
      <x:c r="AN353" s="64" t="str">
        <x:f>IF(OR(AC353="",P353=""),"",(AC353-P353)^2)</x:f>
      </x:c>
      <x:c r="AO353" s="64" t="str">
        <x:f>IF(OR(AG353="",AH353=""),"",AG353/AH353-1)</x:f>
      </x:c>
      <x:c r="AP353" s="61"/>
      <x:c r="AQ353" s="73" t="n">
        <x:f>IF(OR(AM353&lt;&gt;"PARIU U4,5",M353="",AP353="",AG353=""),0,IF(M353="UNDER",AP353*(AG353-1),-AP353))</x:f>
        <x:v>0</x:v>
      </x:c>
      <x:c r="AR353" s="51"/>
    </x:row>
    <x:row r="354">
      <x:c r="A354" s="9" t="str">
        <x:f>IF(D354="","",ROW()-1)</x:f>
      </x:c>
      <x:c r="B354" s="51"/>
      <x:c r="C354" s="51"/>
      <x:c r="D354" s="51"/>
      <x:c r="E354" s="9" t="str">
        <x:f>IF(D354="","",IF(AND(F354&lt;='Calibrare v2'!$B$33,G354&gt;=0.86),"DA – FEZABIL",IF(G354&gt;=0.8,"DA – PRUDENT","NU – EVITĂ")))</x:f>
      </x:c>
      <x:c r="F354" s="16" t="str">
        <x:f>IF(OR(W354="",X354=""),"",W354+X354)</x:f>
      </x:c>
      <x:c r="G354" s="28" t="str">
        <x:f>IF(F354="","",EXP(-F354)*(1+F354+F354^2/2+F354^3/6+F354^4/24))</x:f>
      </x:c>
      <x:c r="H354" s="53"/>
      <x:c r="I354" s="9" t="str">
        <x:f>IF(F354="","",IF(F354&lt;='Calibrare v2'!$B$33,"PASS","FAIL"))</x:f>
      </x:c>
      <x:c r="J354" s="51"/>
      <x:c r="K354" s="51"/>
      <x:c r="L354" s="9" t="str">
        <x:f>IF(OR(J354="",K354=""),"",J354+K354)</x:f>
      </x:c>
      <x:c r="M354" s="9" t="str">
        <x:f>IF(L354="","",IF(L354&lt;=4,"UNDER","OVER"))</x:f>
      </x:c>
      <x:c r="N354" s="9" t="str">
        <x:f>IF(E354="","",IF(LEFT(E354,2)="DA","PARIU U273,5","NO BET"))</x:f>
      </x:c>
      <x:c r="O354" s="9" t="str">
        <x:f>IF(M354="","",IF(AM354="PARIU U273,5",IF(M354="UNDER","SUCCES","EȘEC"),IF(M354="UNDER","FALS NEGATIV","EVITARE CORECTĂ")))</x:f>
      </x:c>
      <x:c r="P354" s="9" t="str">
        <x:f>IF(M354="","",IF(M354="UNDER",1,0))</x:f>
      </x:c>
      <x:c r="Q354" s="9" t="str">
        <x:f>IF(P354="","",(G354-P354)^2)</x:f>
      </x:c>
      <x:c r="R354" s="9" t="str">
        <x:f>IF(L354="","",L354-F354)</x:f>
      </x:c>
      <x:c r="S354" s="9" t="str">
        <x:f>IF(L354="","",IF(M354="UNDER","U273,5 reușit; total final "&amp;L354&amp;" vs λ="&amp;TEXT(F354,"0.00")&amp;".","Eșec U273,5; total final "&amp;L354&amp;" vs λ="&amp;TEXT(F354,"0.00")&amp;". Revizuiește Tail Risk, sursa λ și calibrarea."))</x:f>
      </x:c>
      <x:c r="T354" s="51"/>
      <x:c r="U354" s="51"/>
      <x:c r="V354" s="51"/>
      <x:c r="W354" s="61"/>
      <x:c r="X354" s="61"/>
      <x:c r="Y354" s="51"/>
      <x:c r="Z354" s="53"/>
      <x:c r="AA354" s="51"/>
      <x:c r="AB354" s="64" t="str">
        <x:f>IF(AC354="","",AC354)</x:f>
      </x:c>
      <x:c r="AC354" s="67"/>
      <x:c r="AD354" s="69" t="str">
        <x:f>IF(AE354="","",AE354)</x:f>
      </x:c>
      <x:c r="AE354" s="71"/>
      <x:c r="AF354" s="73" t="str">
        <x:f>IF(AC354="","",1/AC354)</x:f>
      </x:c>
      <x:c r="AG354" s="61"/>
      <x:c r="AH354" s="61"/>
      <x:c r="AI354" s="64" t="str">
        <x:f>IF(OR(AC354="",AG354=""),"",AC354*AG354-1)</x:f>
      </x:c>
      <x:c r="AJ354" s="75" t="str">
        <x:f>IF(OR(G354="",F354=""),"",IF(AND(G354&gt;='Calibrare v2'!$B$35,F354&lt;='Calibrare v2'!$B$34),"PASS","FAIL"))</x:f>
      </x:c>
      <x:c r="AK354" s="75" t="str">
        <x:f>IF(AL354="","",AL354)</x:f>
      </x:c>
      <x:c r="AL354" s="77"/>
      <x:c r="AM354" s="77"/>
      <x:c r="AN354" s="64" t="str">
        <x:f>IF(OR(AC354="",P354=""),"",(AC354-P354)^2)</x:f>
      </x:c>
      <x:c r="AO354" s="64" t="str">
        <x:f>IF(OR(AG354="",AH354=""),"",AG354/AH354-1)</x:f>
      </x:c>
      <x:c r="AP354" s="61"/>
      <x:c r="AQ354" s="73" t="n">
        <x:f>IF(OR(AM354&lt;&gt;"PARIU U4,5",M354="",AP354="",AG354=""),0,IF(M354="UNDER",AP354*(AG354-1),-AP354))</x:f>
        <x:v>0</x:v>
      </x:c>
      <x:c r="AR354" s="51"/>
    </x:row>
    <x:row r="355">
      <x:c r="A355" s="9" t="str">
        <x:f>IF(D355="","",ROW()-1)</x:f>
      </x:c>
      <x:c r="B355" s="51"/>
      <x:c r="C355" s="51"/>
      <x:c r="D355" s="51"/>
      <x:c r="E355" s="9" t="str">
        <x:f>IF(D355="","",IF(AND(F355&lt;='Calibrare v2'!$B$33,G355&gt;=0.86),"DA – FEZABIL",IF(G355&gt;=0.8,"DA – PRUDENT","NU – EVITĂ")))</x:f>
      </x:c>
      <x:c r="F355" s="16" t="str">
        <x:f>IF(OR(W355="",X355=""),"",W355+X355)</x:f>
      </x:c>
      <x:c r="G355" s="28" t="str">
        <x:f>IF(F355="","",EXP(-F355)*(1+F355+F355^2/2+F355^3/6+F355^4/24))</x:f>
      </x:c>
      <x:c r="H355" s="53"/>
      <x:c r="I355" s="9" t="str">
        <x:f>IF(F355="","",IF(F355&lt;='Calibrare v2'!$B$33,"PASS","FAIL"))</x:f>
      </x:c>
      <x:c r="J355" s="51"/>
      <x:c r="K355" s="51"/>
      <x:c r="L355" s="9" t="str">
        <x:f>IF(OR(J355="",K355=""),"",J355+K355)</x:f>
      </x:c>
      <x:c r="M355" s="9" t="str">
        <x:f>IF(L355="","",IF(L355&lt;=4,"UNDER","OVER"))</x:f>
      </x:c>
      <x:c r="N355" s="9" t="str">
        <x:f>IF(E355="","",IF(LEFT(E355,2)="DA","PARIU U274,5","NO BET"))</x:f>
      </x:c>
      <x:c r="O355" s="9" t="str">
        <x:f>IF(M355="","",IF(AM355="PARIU U274,5",IF(M355="UNDER","SUCCES","EȘEC"),IF(M355="UNDER","FALS NEGATIV","EVITARE CORECTĂ")))</x:f>
      </x:c>
      <x:c r="P355" s="9" t="str">
        <x:f>IF(M355="","",IF(M355="UNDER",1,0))</x:f>
      </x:c>
      <x:c r="Q355" s="9" t="str">
        <x:f>IF(P355="","",(G355-P355)^2)</x:f>
      </x:c>
      <x:c r="R355" s="9" t="str">
        <x:f>IF(L355="","",L355-F355)</x:f>
      </x:c>
      <x:c r="S355" s="9" t="str">
        <x:f>IF(L355="","",IF(M355="UNDER","U274,5 reușit; total final "&amp;L355&amp;" vs λ="&amp;TEXT(F355,"0.00")&amp;".","Eșec U274,5; total final "&amp;L355&amp;" vs λ="&amp;TEXT(F355,"0.00")&amp;". Revizuiește Tail Risk, sursa λ și calibrarea."))</x:f>
      </x:c>
      <x:c r="T355" s="51"/>
      <x:c r="U355" s="51"/>
      <x:c r="V355" s="51"/>
      <x:c r="W355" s="61"/>
      <x:c r="X355" s="61"/>
      <x:c r="Y355" s="51"/>
      <x:c r="Z355" s="53"/>
      <x:c r="AA355" s="51"/>
      <x:c r="AB355" s="64" t="str">
        <x:f>IF(AC355="","",AC355)</x:f>
      </x:c>
      <x:c r="AC355" s="67"/>
      <x:c r="AD355" s="69" t="str">
        <x:f>IF(AE355="","",AE355)</x:f>
      </x:c>
      <x:c r="AE355" s="71"/>
      <x:c r="AF355" s="73" t="str">
        <x:f>IF(AC355="","",1/AC355)</x:f>
      </x:c>
      <x:c r="AG355" s="61"/>
      <x:c r="AH355" s="61"/>
      <x:c r="AI355" s="64" t="str">
        <x:f>IF(OR(AC355="",AG355=""),"",AC355*AG355-1)</x:f>
      </x:c>
      <x:c r="AJ355" s="75" t="str">
        <x:f>IF(OR(G355="",F355=""),"",IF(AND(G355&gt;='Calibrare v2'!$B$35,F355&lt;='Calibrare v2'!$B$34),"PASS","FAIL"))</x:f>
      </x:c>
      <x:c r="AK355" s="75" t="str">
        <x:f>IF(AL355="","",AL355)</x:f>
      </x:c>
      <x:c r="AL355" s="77"/>
      <x:c r="AM355" s="77"/>
      <x:c r="AN355" s="64" t="str">
        <x:f>IF(OR(AC355="",P355=""),"",(AC355-P355)^2)</x:f>
      </x:c>
      <x:c r="AO355" s="64" t="str">
        <x:f>IF(OR(AG355="",AH355=""),"",AG355/AH355-1)</x:f>
      </x:c>
      <x:c r="AP355" s="61"/>
      <x:c r="AQ355" s="73" t="n">
        <x:f>IF(OR(AM355&lt;&gt;"PARIU U4,5",M355="",AP355="",AG355=""),0,IF(M355="UNDER",AP355*(AG355-1),-AP355))</x:f>
        <x:v>0</x:v>
      </x:c>
      <x:c r="AR355" s="51"/>
    </x:row>
    <x:row r="356">
      <x:c r="A356" s="9" t="str">
        <x:f>IF(D356="","",ROW()-1)</x:f>
      </x:c>
      <x:c r="B356" s="51"/>
      <x:c r="C356" s="51"/>
      <x:c r="D356" s="51"/>
      <x:c r="E356" s="9" t="str">
        <x:f>IF(D356="","",IF(AND(F356&lt;='Calibrare v2'!$B$33,G356&gt;=0.86),"DA – FEZABIL",IF(G356&gt;=0.8,"DA – PRUDENT","NU – EVITĂ")))</x:f>
      </x:c>
      <x:c r="F356" s="16" t="str">
        <x:f>IF(OR(W356="",X356=""),"",W356+X356)</x:f>
      </x:c>
      <x:c r="G356" s="28" t="str">
        <x:f>IF(F356="","",EXP(-F356)*(1+F356+F356^2/2+F356^3/6+F356^4/24))</x:f>
      </x:c>
      <x:c r="H356" s="53"/>
      <x:c r="I356" s="9" t="str">
        <x:f>IF(F356="","",IF(F356&lt;='Calibrare v2'!$B$33,"PASS","FAIL"))</x:f>
      </x:c>
      <x:c r="J356" s="51"/>
      <x:c r="K356" s="51"/>
      <x:c r="L356" s="9" t="str">
        <x:f>IF(OR(J356="",K356=""),"",J356+K356)</x:f>
      </x:c>
      <x:c r="M356" s="9" t="str">
        <x:f>IF(L356="","",IF(L356&lt;=4,"UNDER","OVER"))</x:f>
      </x:c>
      <x:c r="N356" s="9" t="str">
        <x:f>IF(E356="","",IF(LEFT(E356,2)="DA","PARIU U275,5","NO BET"))</x:f>
      </x:c>
      <x:c r="O356" s="9" t="str">
        <x:f>IF(M356="","",IF(AM356="PARIU U275,5",IF(M356="UNDER","SUCCES","EȘEC"),IF(M356="UNDER","FALS NEGATIV","EVITARE CORECTĂ")))</x:f>
      </x:c>
      <x:c r="P356" s="9" t="str">
        <x:f>IF(M356="","",IF(M356="UNDER",1,0))</x:f>
      </x:c>
      <x:c r="Q356" s="9" t="str">
        <x:f>IF(P356="","",(G356-P356)^2)</x:f>
      </x:c>
      <x:c r="R356" s="9" t="str">
        <x:f>IF(L356="","",L356-F356)</x:f>
      </x:c>
      <x:c r="S356" s="9" t="str">
        <x:f>IF(L356="","",IF(M356="UNDER","U275,5 reușit; total final "&amp;L356&amp;" vs λ="&amp;TEXT(F356,"0.00")&amp;".","Eșec U275,5; total final "&amp;L356&amp;" vs λ="&amp;TEXT(F356,"0.00")&amp;". Revizuiește Tail Risk, sursa λ și calibrarea."))</x:f>
      </x:c>
      <x:c r="T356" s="51"/>
      <x:c r="U356" s="51"/>
      <x:c r="V356" s="51"/>
      <x:c r="W356" s="61"/>
      <x:c r="X356" s="61"/>
      <x:c r="Y356" s="51"/>
      <x:c r="Z356" s="53"/>
      <x:c r="AA356" s="51"/>
      <x:c r="AB356" s="64" t="str">
        <x:f>IF(AC356="","",AC356)</x:f>
      </x:c>
      <x:c r="AC356" s="67"/>
      <x:c r="AD356" s="69" t="str">
        <x:f>IF(AE356="","",AE356)</x:f>
      </x:c>
      <x:c r="AE356" s="71"/>
      <x:c r="AF356" s="73" t="str">
        <x:f>IF(AC356="","",1/AC356)</x:f>
      </x:c>
      <x:c r="AG356" s="61"/>
      <x:c r="AH356" s="61"/>
      <x:c r="AI356" s="64" t="str">
        <x:f>IF(OR(AC356="",AG356=""),"",AC356*AG356-1)</x:f>
      </x:c>
      <x:c r="AJ356" s="75" t="str">
        <x:f>IF(OR(G356="",F356=""),"",IF(AND(G356&gt;='Calibrare v2'!$B$35,F356&lt;='Calibrare v2'!$B$34),"PASS","FAIL"))</x:f>
      </x:c>
      <x:c r="AK356" s="75" t="str">
        <x:f>IF(AL356="","",AL356)</x:f>
      </x:c>
      <x:c r="AL356" s="77"/>
      <x:c r="AM356" s="77"/>
      <x:c r="AN356" s="64" t="str">
        <x:f>IF(OR(AC356="",P356=""),"",(AC356-P356)^2)</x:f>
      </x:c>
      <x:c r="AO356" s="64" t="str">
        <x:f>IF(OR(AG356="",AH356=""),"",AG356/AH356-1)</x:f>
      </x:c>
      <x:c r="AP356" s="61"/>
      <x:c r="AQ356" s="73" t="n">
        <x:f>IF(OR(AM356&lt;&gt;"PARIU U4,5",M356="",AP356="",AG356=""),0,IF(M356="UNDER",AP356*(AG356-1),-AP356))</x:f>
        <x:v>0</x:v>
      </x:c>
      <x:c r="AR356" s="51"/>
    </x:row>
    <x:row r="357">
      <x:c r="A357" s="9" t="str">
        <x:f>IF(D357="","",ROW()-1)</x:f>
      </x:c>
      <x:c r="B357" s="51"/>
      <x:c r="C357" s="51"/>
      <x:c r="D357" s="51"/>
      <x:c r="E357" s="9" t="str">
        <x:f>IF(D357="","",IF(AND(F357&lt;='Calibrare v2'!$B$33,G357&gt;=0.86),"DA – FEZABIL",IF(G357&gt;=0.8,"DA – PRUDENT","NU – EVITĂ")))</x:f>
      </x:c>
      <x:c r="F357" s="16" t="str">
        <x:f>IF(OR(W357="",X357=""),"",W357+X357)</x:f>
      </x:c>
      <x:c r="G357" s="28" t="str">
        <x:f>IF(F357="","",EXP(-F357)*(1+F357+F357^2/2+F357^3/6+F357^4/24))</x:f>
      </x:c>
      <x:c r="H357" s="53"/>
      <x:c r="I357" s="9" t="str">
        <x:f>IF(F357="","",IF(F357&lt;='Calibrare v2'!$B$33,"PASS","FAIL"))</x:f>
      </x:c>
      <x:c r="J357" s="51"/>
      <x:c r="K357" s="51"/>
      <x:c r="L357" s="9" t="str">
        <x:f>IF(OR(J357="",K357=""),"",J357+K357)</x:f>
      </x:c>
      <x:c r="M357" s="9" t="str">
        <x:f>IF(L357="","",IF(L357&lt;=4,"UNDER","OVER"))</x:f>
      </x:c>
      <x:c r="N357" s="9" t="str">
        <x:f>IF(E357="","",IF(LEFT(E357,2)="DA","PARIU U276,5","NO BET"))</x:f>
      </x:c>
      <x:c r="O357" s="9" t="str">
        <x:f>IF(M357="","",IF(AM357="PARIU U276,5",IF(M357="UNDER","SUCCES","EȘEC"),IF(M357="UNDER","FALS NEGATIV","EVITARE CORECTĂ")))</x:f>
      </x:c>
      <x:c r="P357" s="9" t="str">
        <x:f>IF(M357="","",IF(M357="UNDER",1,0))</x:f>
      </x:c>
      <x:c r="Q357" s="9" t="str">
        <x:f>IF(P357="","",(G357-P357)^2)</x:f>
      </x:c>
      <x:c r="R357" s="9" t="str">
        <x:f>IF(L357="","",L357-F357)</x:f>
      </x:c>
      <x:c r="S357" s="9" t="str">
        <x:f>IF(L357="","",IF(M357="UNDER","U276,5 reușit; total final "&amp;L357&amp;" vs λ="&amp;TEXT(F357,"0.00")&amp;".","Eșec U276,5; total final "&amp;L357&amp;" vs λ="&amp;TEXT(F357,"0.00")&amp;". Revizuiește Tail Risk, sursa λ și calibrarea."))</x:f>
      </x:c>
      <x:c r="T357" s="51"/>
      <x:c r="U357" s="51"/>
      <x:c r="V357" s="51"/>
      <x:c r="W357" s="61"/>
      <x:c r="X357" s="61"/>
      <x:c r="Y357" s="51"/>
      <x:c r="Z357" s="53"/>
      <x:c r="AA357" s="51"/>
      <x:c r="AB357" s="64" t="str">
        <x:f>IF(AC357="","",AC357)</x:f>
      </x:c>
      <x:c r="AC357" s="67"/>
      <x:c r="AD357" s="69" t="str">
        <x:f>IF(AE357="","",AE357)</x:f>
      </x:c>
      <x:c r="AE357" s="71"/>
      <x:c r="AF357" s="73" t="str">
        <x:f>IF(AC357="","",1/AC357)</x:f>
      </x:c>
      <x:c r="AG357" s="61"/>
      <x:c r="AH357" s="61"/>
      <x:c r="AI357" s="64" t="str">
        <x:f>IF(OR(AC357="",AG357=""),"",AC357*AG357-1)</x:f>
      </x:c>
      <x:c r="AJ357" s="75" t="str">
        <x:f>IF(OR(G357="",F357=""),"",IF(AND(G357&gt;='Calibrare v2'!$B$35,F357&lt;='Calibrare v2'!$B$34),"PASS","FAIL"))</x:f>
      </x:c>
      <x:c r="AK357" s="75" t="str">
        <x:f>IF(AL357="","",AL357)</x:f>
      </x:c>
      <x:c r="AL357" s="77"/>
      <x:c r="AM357" s="77"/>
      <x:c r="AN357" s="64" t="str">
        <x:f>IF(OR(AC357="",P357=""),"",(AC357-P357)^2)</x:f>
      </x:c>
      <x:c r="AO357" s="64" t="str">
        <x:f>IF(OR(AG357="",AH357=""),"",AG357/AH357-1)</x:f>
      </x:c>
      <x:c r="AP357" s="61"/>
      <x:c r="AQ357" s="73" t="n">
        <x:f>IF(OR(AM357&lt;&gt;"PARIU U4,5",M357="",AP357="",AG357=""),0,IF(M357="UNDER",AP357*(AG357-1),-AP357))</x:f>
        <x:v>0</x:v>
      </x:c>
      <x:c r="AR357" s="51"/>
    </x:row>
    <x:row r="358">
      <x:c r="A358" s="9" t="str">
        <x:f>IF(D358="","",ROW()-1)</x:f>
      </x:c>
      <x:c r="B358" s="51"/>
      <x:c r="C358" s="51"/>
      <x:c r="D358" s="51"/>
      <x:c r="E358" s="9" t="str">
        <x:f>IF(D358="","",IF(AND(F358&lt;='Calibrare v2'!$B$33,G358&gt;=0.86),"DA – FEZABIL",IF(G358&gt;=0.8,"DA – PRUDENT","NU – EVITĂ")))</x:f>
      </x:c>
      <x:c r="F358" s="16" t="str">
        <x:f>IF(OR(W358="",X358=""),"",W358+X358)</x:f>
      </x:c>
      <x:c r="G358" s="28" t="str">
        <x:f>IF(F358="","",EXP(-F358)*(1+F358+F358^2/2+F358^3/6+F358^4/24))</x:f>
      </x:c>
      <x:c r="H358" s="53"/>
      <x:c r="I358" s="9" t="str">
        <x:f>IF(F358="","",IF(F358&lt;='Calibrare v2'!$B$33,"PASS","FAIL"))</x:f>
      </x:c>
      <x:c r="J358" s="51"/>
      <x:c r="K358" s="51"/>
      <x:c r="L358" s="9" t="str">
        <x:f>IF(OR(J358="",K358=""),"",J358+K358)</x:f>
      </x:c>
      <x:c r="M358" s="9" t="str">
        <x:f>IF(L358="","",IF(L358&lt;=4,"UNDER","OVER"))</x:f>
      </x:c>
      <x:c r="N358" s="9" t="str">
        <x:f>IF(E358="","",IF(LEFT(E358,2)="DA","PARIU U277,5","NO BET"))</x:f>
      </x:c>
      <x:c r="O358" s="9" t="str">
        <x:f>IF(M358="","",IF(AM358="PARIU U277,5",IF(M358="UNDER","SUCCES","EȘEC"),IF(M358="UNDER","FALS NEGATIV","EVITARE CORECTĂ")))</x:f>
      </x:c>
      <x:c r="P358" s="9" t="str">
        <x:f>IF(M358="","",IF(M358="UNDER",1,0))</x:f>
      </x:c>
      <x:c r="Q358" s="9" t="str">
        <x:f>IF(P358="","",(G358-P358)^2)</x:f>
      </x:c>
      <x:c r="R358" s="9" t="str">
        <x:f>IF(L358="","",L358-F358)</x:f>
      </x:c>
      <x:c r="S358" s="9" t="str">
        <x:f>IF(L358="","",IF(M358="UNDER","U277,5 reușit; total final "&amp;L358&amp;" vs λ="&amp;TEXT(F358,"0.00")&amp;".","Eșec U277,5; total final "&amp;L358&amp;" vs λ="&amp;TEXT(F358,"0.00")&amp;". Revizuiește Tail Risk, sursa λ și calibrarea."))</x:f>
      </x:c>
      <x:c r="T358" s="51"/>
      <x:c r="U358" s="51"/>
      <x:c r="V358" s="51"/>
      <x:c r="W358" s="61"/>
      <x:c r="X358" s="61"/>
      <x:c r="Y358" s="51"/>
      <x:c r="Z358" s="53"/>
      <x:c r="AA358" s="51"/>
      <x:c r="AB358" s="64" t="str">
        <x:f>IF(AC358="","",AC358)</x:f>
      </x:c>
      <x:c r="AC358" s="67"/>
      <x:c r="AD358" s="69" t="str">
        <x:f>IF(AE358="","",AE358)</x:f>
      </x:c>
      <x:c r="AE358" s="71"/>
      <x:c r="AF358" s="73" t="str">
        <x:f>IF(AC358="","",1/AC358)</x:f>
      </x:c>
      <x:c r="AG358" s="61"/>
      <x:c r="AH358" s="61"/>
      <x:c r="AI358" s="64" t="str">
        <x:f>IF(OR(AC358="",AG358=""),"",AC358*AG358-1)</x:f>
      </x:c>
      <x:c r="AJ358" s="75" t="str">
        <x:f>IF(OR(G358="",F358=""),"",IF(AND(G358&gt;='Calibrare v2'!$B$35,F358&lt;='Calibrare v2'!$B$34),"PASS","FAIL"))</x:f>
      </x:c>
      <x:c r="AK358" s="75" t="str">
        <x:f>IF(AL358="","",AL358)</x:f>
      </x:c>
      <x:c r="AL358" s="77"/>
      <x:c r="AM358" s="77"/>
      <x:c r="AN358" s="64" t="str">
        <x:f>IF(OR(AC358="",P358=""),"",(AC358-P358)^2)</x:f>
      </x:c>
      <x:c r="AO358" s="64" t="str">
        <x:f>IF(OR(AG358="",AH358=""),"",AG358/AH358-1)</x:f>
      </x:c>
      <x:c r="AP358" s="61"/>
      <x:c r="AQ358" s="73" t="n">
        <x:f>IF(OR(AM358&lt;&gt;"PARIU U4,5",M358="",AP358="",AG358=""),0,IF(M358="UNDER",AP358*(AG358-1),-AP358))</x:f>
        <x:v>0</x:v>
      </x:c>
      <x:c r="AR358" s="51"/>
    </x:row>
    <x:row r="359">
      <x:c r="A359" s="9" t="str">
        <x:f>IF(D359="","",ROW()-1)</x:f>
      </x:c>
      <x:c r="B359" s="51"/>
      <x:c r="C359" s="51"/>
      <x:c r="D359" s="51"/>
      <x:c r="E359" s="9" t="str">
        <x:f>IF(D359="","",IF(AND(F359&lt;='Calibrare v2'!$B$33,G359&gt;=0.86),"DA – FEZABIL",IF(G359&gt;=0.8,"DA – PRUDENT","NU – EVITĂ")))</x:f>
      </x:c>
      <x:c r="F359" s="16" t="str">
        <x:f>IF(OR(W359="",X359=""),"",W359+X359)</x:f>
      </x:c>
      <x:c r="G359" s="28" t="str">
        <x:f>IF(F359="","",EXP(-F359)*(1+F359+F359^2/2+F359^3/6+F359^4/24))</x:f>
      </x:c>
      <x:c r="H359" s="53"/>
      <x:c r="I359" s="9" t="str">
        <x:f>IF(F359="","",IF(F359&lt;='Calibrare v2'!$B$33,"PASS","FAIL"))</x:f>
      </x:c>
      <x:c r="J359" s="51"/>
      <x:c r="K359" s="51"/>
      <x:c r="L359" s="9" t="str">
        <x:f>IF(OR(J359="",K359=""),"",J359+K359)</x:f>
      </x:c>
      <x:c r="M359" s="9" t="str">
        <x:f>IF(L359="","",IF(L359&lt;=4,"UNDER","OVER"))</x:f>
      </x:c>
      <x:c r="N359" s="9" t="str">
        <x:f>IF(E359="","",IF(LEFT(E359,2)="DA","PARIU U278,5","NO BET"))</x:f>
      </x:c>
      <x:c r="O359" s="9" t="str">
        <x:f>IF(M359="","",IF(AM359="PARIU U278,5",IF(M359="UNDER","SUCCES","EȘEC"),IF(M359="UNDER","FALS NEGATIV","EVITARE CORECTĂ")))</x:f>
      </x:c>
      <x:c r="P359" s="9" t="str">
        <x:f>IF(M359="","",IF(M359="UNDER",1,0))</x:f>
      </x:c>
      <x:c r="Q359" s="9" t="str">
        <x:f>IF(P359="","",(G359-P359)^2)</x:f>
      </x:c>
      <x:c r="R359" s="9" t="str">
        <x:f>IF(L359="","",L359-F359)</x:f>
      </x:c>
      <x:c r="S359" s="9" t="str">
        <x:f>IF(L359="","",IF(M359="UNDER","U278,5 reușit; total final "&amp;L359&amp;" vs λ="&amp;TEXT(F359,"0.00")&amp;".","Eșec U278,5; total final "&amp;L359&amp;" vs λ="&amp;TEXT(F359,"0.00")&amp;". Revizuiește Tail Risk, sursa λ și calibrarea."))</x:f>
      </x:c>
      <x:c r="T359" s="51"/>
      <x:c r="U359" s="51"/>
      <x:c r="V359" s="51"/>
      <x:c r="W359" s="61"/>
      <x:c r="X359" s="61"/>
      <x:c r="Y359" s="51"/>
      <x:c r="Z359" s="53"/>
      <x:c r="AA359" s="51"/>
      <x:c r="AB359" s="64" t="str">
        <x:f>IF(AC359="","",AC359)</x:f>
      </x:c>
      <x:c r="AC359" s="67"/>
      <x:c r="AD359" s="69" t="str">
        <x:f>IF(AE359="","",AE359)</x:f>
      </x:c>
      <x:c r="AE359" s="71"/>
      <x:c r="AF359" s="73" t="str">
        <x:f>IF(AC359="","",1/AC359)</x:f>
      </x:c>
      <x:c r="AG359" s="61"/>
      <x:c r="AH359" s="61"/>
      <x:c r="AI359" s="64" t="str">
        <x:f>IF(OR(AC359="",AG359=""),"",AC359*AG359-1)</x:f>
      </x:c>
      <x:c r="AJ359" s="75" t="str">
        <x:f>IF(OR(G359="",F359=""),"",IF(AND(G359&gt;='Calibrare v2'!$B$35,F359&lt;='Calibrare v2'!$B$34),"PASS","FAIL"))</x:f>
      </x:c>
      <x:c r="AK359" s="75" t="str">
        <x:f>IF(AL359="","",AL359)</x:f>
      </x:c>
      <x:c r="AL359" s="77"/>
      <x:c r="AM359" s="77"/>
      <x:c r="AN359" s="64" t="str">
        <x:f>IF(OR(AC359="",P359=""),"",(AC359-P359)^2)</x:f>
      </x:c>
      <x:c r="AO359" s="64" t="str">
        <x:f>IF(OR(AG359="",AH359=""),"",AG359/AH359-1)</x:f>
      </x:c>
      <x:c r="AP359" s="61"/>
      <x:c r="AQ359" s="73" t="n">
        <x:f>IF(OR(AM359&lt;&gt;"PARIU U4,5",M359="",AP359="",AG359=""),0,IF(M359="UNDER",AP359*(AG359-1),-AP359))</x:f>
        <x:v>0</x:v>
      </x:c>
      <x:c r="AR359" s="51"/>
    </x:row>
    <x:row r="360">
      <x:c r="A360" s="9" t="str">
        <x:f>IF(D360="","",ROW()-1)</x:f>
      </x:c>
      <x:c r="B360" s="51"/>
      <x:c r="C360" s="51"/>
      <x:c r="D360" s="51"/>
      <x:c r="E360" s="9" t="str">
        <x:f>IF(D360="","",IF(AND(F360&lt;='Calibrare v2'!$B$33,G360&gt;=0.86),"DA – FEZABIL",IF(G360&gt;=0.8,"DA – PRUDENT","NU – EVITĂ")))</x:f>
      </x:c>
      <x:c r="F360" s="16" t="str">
        <x:f>IF(OR(W360="",X360=""),"",W360+X360)</x:f>
      </x:c>
      <x:c r="G360" s="28" t="str">
        <x:f>IF(F360="","",EXP(-F360)*(1+F360+F360^2/2+F360^3/6+F360^4/24))</x:f>
      </x:c>
      <x:c r="H360" s="53"/>
      <x:c r="I360" s="9" t="str">
        <x:f>IF(F360="","",IF(F360&lt;='Calibrare v2'!$B$33,"PASS","FAIL"))</x:f>
      </x:c>
      <x:c r="J360" s="51"/>
      <x:c r="K360" s="51"/>
      <x:c r="L360" s="9" t="str">
        <x:f>IF(OR(J360="",K360=""),"",J360+K360)</x:f>
      </x:c>
      <x:c r="M360" s="9" t="str">
        <x:f>IF(L360="","",IF(L360&lt;=4,"UNDER","OVER"))</x:f>
      </x:c>
      <x:c r="N360" s="9" t="str">
        <x:f>IF(E360="","",IF(LEFT(E360,2)="DA","PARIU U279,5","NO BET"))</x:f>
      </x:c>
      <x:c r="O360" s="9" t="str">
        <x:f>IF(M360="","",IF(AM360="PARIU U279,5",IF(M360="UNDER","SUCCES","EȘEC"),IF(M360="UNDER","FALS NEGATIV","EVITARE CORECTĂ")))</x:f>
      </x:c>
      <x:c r="P360" s="9" t="str">
        <x:f>IF(M360="","",IF(M360="UNDER",1,0))</x:f>
      </x:c>
      <x:c r="Q360" s="9" t="str">
        <x:f>IF(P360="","",(G360-P360)^2)</x:f>
      </x:c>
      <x:c r="R360" s="9" t="str">
        <x:f>IF(L360="","",L360-F360)</x:f>
      </x:c>
      <x:c r="S360" s="9" t="str">
        <x:f>IF(L360="","",IF(M360="UNDER","U279,5 reușit; total final "&amp;L360&amp;" vs λ="&amp;TEXT(F360,"0.00")&amp;".","Eșec U279,5; total final "&amp;L360&amp;" vs λ="&amp;TEXT(F360,"0.00")&amp;". Revizuiește Tail Risk, sursa λ și calibrarea."))</x:f>
      </x:c>
      <x:c r="T360" s="51"/>
      <x:c r="U360" s="51"/>
      <x:c r="V360" s="51"/>
      <x:c r="W360" s="61"/>
      <x:c r="X360" s="61"/>
      <x:c r="Y360" s="51"/>
      <x:c r="Z360" s="53"/>
      <x:c r="AA360" s="51"/>
      <x:c r="AB360" s="64" t="str">
        <x:f>IF(AC360="","",AC360)</x:f>
      </x:c>
      <x:c r="AC360" s="67"/>
      <x:c r="AD360" s="69" t="str">
        <x:f>IF(AE360="","",AE360)</x:f>
      </x:c>
      <x:c r="AE360" s="71"/>
      <x:c r="AF360" s="73" t="str">
        <x:f>IF(AC360="","",1/AC360)</x:f>
      </x:c>
      <x:c r="AG360" s="61"/>
      <x:c r="AH360" s="61"/>
      <x:c r="AI360" s="64" t="str">
        <x:f>IF(OR(AC360="",AG360=""),"",AC360*AG360-1)</x:f>
      </x:c>
      <x:c r="AJ360" s="75" t="str">
        <x:f>IF(OR(G360="",F360=""),"",IF(AND(G360&gt;='Calibrare v2'!$B$35,F360&lt;='Calibrare v2'!$B$34),"PASS","FAIL"))</x:f>
      </x:c>
      <x:c r="AK360" s="75" t="str">
        <x:f>IF(AL360="","",AL360)</x:f>
      </x:c>
      <x:c r="AL360" s="77"/>
      <x:c r="AM360" s="77"/>
      <x:c r="AN360" s="64" t="str">
        <x:f>IF(OR(AC360="",P360=""),"",(AC360-P360)^2)</x:f>
      </x:c>
      <x:c r="AO360" s="64" t="str">
        <x:f>IF(OR(AG360="",AH360=""),"",AG360/AH360-1)</x:f>
      </x:c>
      <x:c r="AP360" s="61"/>
      <x:c r="AQ360" s="73" t="n">
        <x:f>IF(OR(AM360&lt;&gt;"PARIU U4,5",M360="",AP360="",AG360=""),0,IF(M360="UNDER",AP360*(AG360-1),-AP360))</x:f>
        <x:v>0</x:v>
      </x:c>
      <x:c r="AR360" s="51"/>
    </x:row>
    <x:row r="361">
      <x:c r="A361" s="9" t="str">
        <x:f>IF(D361="","",ROW()-1)</x:f>
      </x:c>
      <x:c r="B361" s="51"/>
      <x:c r="C361" s="51"/>
      <x:c r="D361" s="51"/>
      <x:c r="E361" s="9" t="str">
        <x:f>IF(D361="","",IF(AND(F361&lt;='Calibrare v2'!$B$33,G361&gt;=0.86),"DA – FEZABIL",IF(G361&gt;=0.8,"DA – PRUDENT","NU – EVITĂ")))</x:f>
      </x:c>
      <x:c r="F361" s="16" t="str">
        <x:f>IF(OR(W361="",X361=""),"",W361+X361)</x:f>
      </x:c>
      <x:c r="G361" s="28" t="str">
        <x:f>IF(F361="","",EXP(-F361)*(1+F361+F361^2/2+F361^3/6+F361^4/24))</x:f>
      </x:c>
      <x:c r="H361" s="53"/>
      <x:c r="I361" s="9" t="str">
        <x:f>IF(F361="","",IF(F361&lt;='Calibrare v2'!$B$33,"PASS","FAIL"))</x:f>
      </x:c>
      <x:c r="J361" s="51"/>
      <x:c r="K361" s="51"/>
      <x:c r="L361" s="9" t="str">
        <x:f>IF(OR(J361="",K361=""),"",J361+K361)</x:f>
      </x:c>
      <x:c r="M361" s="9" t="str">
        <x:f>IF(L361="","",IF(L361&lt;=4,"UNDER","OVER"))</x:f>
      </x:c>
      <x:c r="N361" s="9" t="str">
        <x:f>IF(E361="","",IF(LEFT(E361,2)="DA","PARIU U280,5","NO BET"))</x:f>
      </x:c>
      <x:c r="O361" s="9" t="str">
        <x:f>IF(M361="","",IF(AM361="PARIU U280,5",IF(M361="UNDER","SUCCES","EȘEC"),IF(M361="UNDER","FALS NEGATIV","EVITARE CORECTĂ")))</x:f>
      </x:c>
      <x:c r="P361" s="9" t="str">
        <x:f>IF(M361="","",IF(M361="UNDER",1,0))</x:f>
      </x:c>
      <x:c r="Q361" s="9" t="str">
        <x:f>IF(P361="","",(G361-P361)^2)</x:f>
      </x:c>
      <x:c r="R361" s="9" t="str">
        <x:f>IF(L361="","",L361-F361)</x:f>
      </x:c>
      <x:c r="S361" s="9" t="str">
        <x:f>IF(L361="","",IF(M361="UNDER","U280,5 reușit; total final "&amp;L361&amp;" vs λ="&amp;TEXT(F361,"0.00")&amp;".","Eșec U280,5; total final "&amp;L361&amp;" vs λ="&amp;TEXT(F361,"0.00")&amp;". Revizuiește Tail Risk, sursa λ și calibrarea."))</x:f>
      </x:c>
      <x:c r="T361" s="51"/>
      <x:c r="U361" s="51"/>
      <x:c r="V361" s="51"/>
      <x:c r="W361" s="61"/>
      <x:c r="X361" s="61"/>
      <x:c r="Y361" s="51"/>
      <x:c r="Z361" s="53"/>
      <x:c r="AA361" s="51"/>
      <x:c r="AB361" s="64" t="str">
        <x:f>IF(AC361="","",AC361)</x:f>
      </x:c>
      <x:c r="AC361" s="67"/>
      <x:c r="AD361" s="69" t="str">
        <x:f>IF(AE361="","",AE361)</x:f>
      </x:c>
      <x:c r="AE361" s="71"/>
      <x:c r="AF361" s="73" t="str">
        <x:f>IF(AC361="","",1/AC361)</x:f>
      </x:c>
      <x:c r="AG361" s="61"/>
      <x:c r="AH361" s="61"/>
      <x:c r="AI361" s="64" t="str">
        <x:f>IF(OR(AC361="",AG361=""),"",AC361*AG361-1)</x:f>
      </x:c>
      <x:c r="AJ361" s="75" t="str">
        <x:f>IF(OR(G361="",F361=""),"",IF(AND(G361&gt;='Calibrare v2'!$B$35,F361&lt;='Calibrare v2'!$B$34),"PASS","FAIL"))</x:f>
      </x:c>
      <x:c r="AK361" s="75" t="str">
        <x:f>IF(AL361="","",AL361)</x:f>
      </x:c>
      <x:c r="AL361" s="77"/>
      <x:c r="AM361" s="77"/>
      <x:c r="AN361" s="64" t="str">
        <x:f>IF(OR(AC361="",P361=""),"",(AC361-P361)^2)</x:f>
      </x:c>
      <x:c r="AO361" s="64" t="str">
        <x:f>IF(OR(AG361="",AH361=""),"",AG361/AH361-1)</x:f>
      </x:c>
      <x:c r="AP361" s="61"/>
      <x:c r="AQ361" s="73" t="n">
        <x:f>IF(OR(AM361&lt;&gt;"PARIU U4,5",M361="",AP361="",AG361=""),0,IF(M361="UNDER",AP361*(AG361-1),-AP361))</x:f>
        <x:v>0</x:v>
      </x:c>
      <x:c r="AR361" s="51"/>
    </x:row>
    <x:row r="362">
      <x:c r="A362" s="9" t="str">
        <x:f>IF(D362="","",ROW()-1)</x:f>
      </x:c>
      <x:c r="B362" s="51"/>
      <x:c r="C362" s="51"/>
      <x:c r="D362" s="51"/>
      <x:c r="E362" s="9" t="str">
        <x:f>IF(D362="","",IF(AND(F362&lt;='Calibrare v2'!$B$33,G362&gt;=0.86),"DA – FEZABIL",IF(G362&gt;=0.8,"DA – PRUDENT","NU – EVITĂ")))</x:f>
      </x:c>
      <x:c r="F362" s="16" t="str">
        <x:f>IF(OR(W362="",X362=""),"",W362+X362)</x:f>
      </x:c>
      <x:c r="G362" s="28" t="str">
        <x:f>IF(F362="","",EXP(-F362)*(1+F362+F362^2/2+F362^3/6+F362^4/24))</x:f>
      </x:c>
      <x:c r="H362" s="53"/>
      <x:c r="I362" s="9" t="str">
        <x:f>IF(F362="","",IF(F362&lt;='Calibrare v2'!$B$33,"PASS","FAIL"))</x:f>
      </x:c>
      <x:c r="J362" s="51"/>
      <x:c r="K362" s="51"/>
      <x:c r="L362" s="9" t="str">
        <x:f>IF(OR(J362="",K362=""),"",J362+K362)</x:f>
      </x:c>
      <x:c r="M362" s="9" t="str">
        <x:f>IF(L362="","",IF(L362&lt;=4,"UNDER","OVER"))</x:f>
      </x:c>
      <x:c r="N362" s="9" t="str">
        <x:f>IF(E362="","",IF(LEFT(E362,2)="DA","PARIU U281,5","NO BET"))</x:f>
      </x:c>
      <x:c r="O362" s="9" t="str">
        <x:f>IF(M362="","",IF(AM362="PARIU U281,5",IF(M362="UNDER","SUCCES","EȘEC"),IF(M362="UNDER","FALS NEGATIV","EVITARE CORECTĂ")))</x:f>
      </x:c>
      <x:c r="P362" s="9" t="str">
        <x:f>IF(M362="","",IF(M362="UNDER",1,0))</x:f>
      </x:c>
      <x:c r="Q362" s="9" t="str">
        <x:f>IF(P362="","",(G362-P362)^2)</x:f>
      </x:c>
      <x:c r="R362" s="9" t="str">
        <x:f>IF(L362="","",L362-F362)</x:f>
      </x:c>
      <x:c r="S362" s="9" t="str">
        <x:f>IF(L362="","",IF(M362="UNDER","U281,5 reușit; total final "&amp;L362&amp;" vs λ="&amp;TEXT(F362,"0.00")&amp;".","Eșec U281,5; total final "&amp;L362&amp;" vs λ="&amp;TEXT(F362,"0.00")&amp;". Revizuiește Tail Risk, sursa λ și calibrarea."))</x:f>
      </x:c>
      <x:c r="T362" s="51"/>
      <x:c r="U362" s="51"/>
      <x:c r="V362" s="51"/>
      <x:c r="W362" s="61"/>
      <x:c r="X362" s="61"/>
      <x:c r="Y362" s="51"/>
      <x:c r="Z362" s="53"/>
      <x:c r="AA362" s="51"/>
      <x:c r="AB362" s="64" t="str">
        <x:f>IF(AC362="","",AC362)</x:f>
      </x:c>
      <x:c r="AC362" s="67"/>
      <x:c r="AD362" s="69" t="str">
        <x:f>IF(AE362="","",AE362)</x:f>
      </x:c>
      <x:c r="AE362" s="71"/>
      <x:c r="AF362" s="73" t="str">
        <x:f>IF(AC362="","",1/AC362)</x:f>
      </x:c>
      <x:c r="AG362" s="61"/>
      <x:c r="AH362" s="61"/>
      <x:c r="AI362" s="64" t="str">
        <x:f>IF(OR(AC362="",AG362=""),"",AC362*AG362-1)</x:f>
      </x:c>
      <x:c r="AJ362" s="75" t="str">
        <x:f>IF(OR(G362="",F362=""),"",IF(AND(G362&gt;='Calibrare v2'!$B$35,F362&lt;='Calibrare v2'!$B$34),"PASS","FAIL"))</x:f>
      </x:c>
      <x:c r="AK362" s="75" t="str">
        <x:f>IF(AL362="","",AL362)</x:f>
      </x:c>
      <x:c r="AL362" s="77"/>
      <x:c r="AM362" s="77"/>
      <x:c r="AN362" s="64" t="str">
        <x:f>IF(OR(AC362="",P362=""),"",(AC362-P362)^2)</x:f>
      </x:c>
      <x:c r="AO362" s="64" t="str">
        <x:f>IF(OR(AG362="",AH362=""),"",AG362/AH362-1)</x:f>
      </x:c>
      <x:c r="AP362" s="61"/>
      <x:c r="AQ362" s="73" t="n">
        <x:f>IF(OR(AM362&lt;&gt;"PARIU U4,5",M362="",AP362="",AG362=""),0,IF(M362="UNDER",AP362*(AG362-1),-AP362))</x:f>
        <x:v>0</x:v>
      </x:c>
      <x:c r="AR362" s="51"/>
    </x:row>
    <x:row r="363">
      <x:c r="A363" s="9" t="str">
        <x:f>IF(D363="","",ROW()-1)</x:f>
      </x:c>
      <x:c r="B363" s="51"/>
      <x:c r="C363" s="51"/>
      <x:c r="D363" s="51"/>
      <x:c r="E363" s="9" t="str">
        <x:f>IF(D363="","",IF(AND(F363&lt;='Calibrare v2'!$B$33,G363&gt;=0.86),"DA – FEZABIL",IF(G363&gt;=0.8,"DA – PRUDENT","NU – EVITĂ")))</x:f>
      </x:c>
      <x:c r="F363" s="16" t="str">
        <x:f>IF(OR(W363="",X363=""),"",W363+X363)</x:f>
      </x:c>
      <x:c r="G363" s="28" t="str">
        <x:f>IF(F363="","",EXP(-F363)*(1+F363+F363^2/2+F363^3/6+F363^4/24))</x:f>
      </x:c>
      <x:c r="H363" s="53"/>
      <x:c r="I363" s="9" t="str">
        <x:f>IF(F363="","",IF(F363&lt;='Calibrare v2'!$B$33,"PASS","FAIL"))</x:f>
      </x:c>
      <x:c r="J363" s="51"/>
      <x:c r="K363" s="51"/>
      <x:c r="L363" s="9" t="str">
        <x:f>IF(OR(J363="",K363=""),"",J363+K363)</x:f>
      </x:c>
      <x:c r="M363" s="9" t="str">
        <x:f>IF(L363="","",IF(L363&lt;=4,"UNDER","OVER"))</x:f>
      </x:c>
      <x:c r="N363" s="9" t="str">
        <x:f>IF(E363="","",IF(LEFT(E363,2)="DA","PARIU U282,5","NO BET"))</x:f>
      </x:c>
      <x:c r="O363" s="9" t="str">
        <x:f>IF(M363="","",IF(AM363="PARIU U282,5",IF(M363="UNDER","SUCCES","EȘEC"),IF(M363="UNDER","FALS NEGATIV","EVITARE CORECTĂ")))</x:f>
      </x:c>
      <x:c r="P363" s="9" t="str">
        <x:f>IF(M363="","",IF(M363="UNDER",1,0))</x:f>
      </x:c>
      <x:c r="Q363" s="9" t="str">
        <x:f>IF(P363="","",(G363-P363)^2)</x:f>
      </x:c>
      <x:c r="R363" s="9" t="str">
        <x:f>IF(L363="","",L363-F363)</x:f>
      </x:c>
      <x:c r="S363" s="9" t="str">
        <x:f>IF(L363="","",IF(M363="UNDER","U282,5 reușit; total final "&amp;L363&amp;" vs λ="&amp;TEXT(F363,"0.00")&amp;".","Eșec U282,5; total final "&amp;L363&amp;" vs λ="&amp;TEXT(F363,"0.00")&amp;". Revizuiește Tail Risk, sursa λ și calibrarea."))</x:f>
      </x:c>
      <x:c r="T363" s="51"/>
      <x:c r="U363" s="51"/>
      <x:c r="V363" s="51"/>
      <x:c r="W363" s="61"/>
      <x:c r="X363" s="61"/>
      <x:c r="Y363" s="51"/>
      <x:c r="Z363" s="53"/>
      <x:c r="AA363" s="51"/>
      <x:c r="AB363" s="64" t="str">
        <x:f>IF(AC363="","",AC363)</x:f>
      </x:c>
      <x:c r="AC363" s="67"/>
      <x:c r="AD363" s="69" t="str">
        <x:f>IF(AE363="","",AE363)</x:f>
      </x:c>
      <x:c r="AE363" s="71"/>
      <x:c r="AF363" s="73" t="str">
        <x:f>IF(AC363="","",1/AC363)</x:f>
      </x:c>
      <x:c r="AG363" s="61"/>
      <x:c r="AH363" s="61"/>
      <x:c r="AI363" s="64" t="str">
        <x:f>IF(OR(AC363="",AG363=""),"",AC363*AG363-1)</x:f>
      </x:c>
      <x:c r="AJ363" s="75" t="str">
        <x:f>IF(OR(G363="",F363=""),"",IF(AND(G363&gt;='Calibrare v2'!$B$35,F363&lt;='Calibrare v2'!$B$34),"PASS","FAIL"))</x:f>
      </x:c>
      <x:c r="AK363" s="75" t="str">
        <x:f>IF(AL363="","",AL363)</x:f>
      </x:c>
      <x:c r="AL363" s="77"/>
      <x:c r="AM363" s="77"/>
      <x:c r="AN363" s="64" t="str">
        <x:f>IF(OR(AC363="",P363=""),"",(AC363-P363)^2)</x:f>
      </x:c>
      <x:c r="AO363" s="64" t="str">
        <x:f>IF(OR(AG363="",AH363=""),"",AG363/AH363-1)</x:f>
      </x:c>
      <x:c r="AP363" s="61"/>
      <x:c r="AQ363" s="73" t="n">
        <x:f>IF(OR(AM363&lt;&gt;"PARIU U4,5",M363="",AP363="",AG363=""),0,IF(M363="UNDER",AP363*(AG363-1),-AP363))</x:f>
        <x:v>0</x:v>
      </x:c>
      <x:c r="AR363" s="51"/>
    </x:row>
    <x:row r="364">
      <x:c r="A364" s="9" t="str">
        <x:f>IF(D364="","",ROW()-1)</x:f>
      </x:c>
      <x:c r="B364" s="51"/>
      <x:c r="C364" s="51"/>
      <x:c r="D364" s="51"/>
      <x:c r="E364" s="9" t="str">
        <x:f>IF(D364="","",IF(AND(F364&lt;='Calibrare v2'!$B$33,G364&gt;=0.86),"DA – FEZABIL",IF(G364&gt;=0.8,"DA – PRUDENT","NU – EVITĂ")))</x:f>
      </x:c>
      <x:c r="F364" s="16" t="str">
        <x:f>IF(OR(W364="",X364=""),"",W364+X364)</x:f>
      </x:c>
      <x:c r="G364" s="28" t="str">
        <x:f>IF(F364="","",EXP(-F364)*(1+F364+F364^2/2+F364^3/6+F364^4/24))</x:f>
      </x:c>
      <x:c r="H364" s="53"/>
      <x:c r="I364" s="9" t="str">
        <x:f>IF(F364="","",IF(F364&lt;='Calibrare v2'!$B$33,"PASS","FAIL"))</x:f>
      </x:c>
      <x:c r="J364" s="51"/>
      <x:c r="K364" s="51"/>
      <x:c r="L364" s="9" t="str">
        <x:f>IF(OR(J364="",K364=""),"",J364+K364)</x:f>
      </x:c>
      <x:c r="M364" s="9" t="str">
        <x:f>IF(L364="","",IF(L364&lt;=4,"UNDER","OVER"))</x:f>
      </x:c>
      <x:c r="N364" s="9" t="str">
        <x:f>IF(E364="","",IF(LEFT(E364,2)="DA","PARIU U283,5","NO BET"))</x:f>
      </x:c>
      <x:c r="O364" s="9" t="str">
        <x:f>IF(M364="","",IF(AM364="PARIU U283,5",IF(M364="UNDER","SUCCES","EȘEC"),IF(M364="UNDER","FALS NEGATIV","EVITARE CORECTĂ")))</x:f>
      </x:c>
      <x:c r="P364" s="9" t="str">
        <x:f>IF(M364="","",IF(M364="UNDER",1,0))</x:f>
      </x:c>
      <x:c r="Q364" s="9" t="str">
        <x:f>IF(P364="","",(G364-P364)^2)</x:f>
      </x:c>
      <x:c r="R364" s="9" t="str">
        <x:f>IF(L364="","",L364-F364)</x:f>
      </x:c>
      <x:c r="S364" s="9" t="str">
        <x:f>IF(L364="","",IF(M364="UNDER","U283,5 reușit; total final "&amp;L364&amp;" vs λ="&amp;TEXT(F364,"0.00")&amp;".","Eșec U283,5; total final "&amp;L364&amp;" vs λ="&amp;TEXT(F364,"0.00")&amp;". Revizuiește Tail Risk, sursa λ și calibrarea."))</x:f>
      </x:c>
      <x:c r="T364" s="51"/>
      <x:c r="U364" s="51"/>
      <x:c r="V364" s="51"/>
      <x:c r="W364" s="61"/>
      <x:c r="X364" s="61"/>
      <x:c r="Y364" s="51"/>
      <x:c r="Z364" s="53"/>
      <x:c r="AA364" s="51"/>
      <x:c r="AB364" s="64" t="str">
        <x:f>IF(AC364="","",AC364)</x:f>
      </x:c>
      <x:c r="AC364" s="67"/>
      <x:c r="AD364" s="69" t="str">
        <x:f>IF(AE364="","",AE364)</x:f>
      </x:c>
      <x:c r="AE364" s="71"/>
      <x:c r="AF364" s="73" t="str">
        <x:f>IF(AC364="","",1/AC364)</x:f>
      </x:c>
      <x:c r="AG364" s="61"/>
      <x:c r="AH364" s="61"/>
      <x:c r="AI364" s="64" t="str">
        <x:f>IF(OR(AC364="",AG364=""),"",AC364*AG364-1)</x:f>
      </x:c>
      <x:c r="AJ364" s="75" t="str">
        <x:f>IF(OR(G364="",F364=""),"",IF(AND(G364&gt;='Calibrare v2'!$B$35,F364&lt;='Calibrare v2'!$B$34),"PASS","FAIL"))</x:f>
      </x:c>
      <x:c r="AK364" s="75" t="str">
        <x:f>IF(AL364="","",AL364)</x:f>
      </x:c>
      <x:c r="AL364" s="77"/>
      <x:c r="AM364" s="77"/>
      <x:c r="AN364" s="64" t="str">
        <x:f>IF(OR(AC364="",P364=""),"",(AC364-P364)^2)</x:f>
      </x:c>
      <x:c r="AO364" s="64" t="str">
        <x:f>IF(OR(AG364="",AH364=""),"",AG364/AH364-1)</x:f>
      </x:c>
      <x:c r="AP364" s="61"/>
      <x:c r="AQ364" s="73" t="n">
        <x:f>IF(OR(AM364&lt;&gt;"PARIU U4,5",M364="",AP364="",AG364=""),0,IF(M364="UNDER",AP364*(AG364-1),-AP364))</x:f>
        <x:v>0</x:v>
      </x:c>
      <x:c r="AR364" s="51"/>
    </x:row>
    <x:row r="365">
      <x:c r="A365" s="9" t="str">
        <x:f>IF(D365="","",ROW()-1)</x:f>
      </x:c>
      <x:c r="B365" s="51"/>
      <x:c r="C365" s="51"/>
      <x:c r="D365" s="51"/>
      <x:c r="E365" s="9" t="str">
        <x:f>IF(D365="","",IF(AND(F365&lt;='Calibrare v2'!$B$33,G365&gt;=0.86),"DA – FEZABIL",IF(G365&gt;=0.8,"DA – PRUDENT","NU – EVITĂ")))</x:f>
      </x:c>
      <x:c r="F365" s="16" t="str">
        <x:f>IF(OR(W365="",X365=""),"",W365+X365)</x:f>
      </x:c>
      <x:c r="G365" s="28" t="str">
        <x:f>IF(F365="","",EXP(-F365)*(1+F365+F365^2/2+F365^3/6+F365^4/24))</x:f>
      </x:c>
      <x:c r="H365" s="53"/>
      <x:c r="I365" s="9" t="str">
        <x:f>IF(F365="","",IF(F365&lt;='Calibrare v2'!$B$33,"PASS","FAIL"))</x:f>
      </x:c>
      <x:c r="J365" s="51"/>
      <x:c r="K365" s="51"/>
      <x:c r="L365" s="9" t="str">
        <x:f>IF(OR(J365="",K365=""),"",J365+K365)</x:f>
      </x:c>
      <x:c r="M365" s="9" t="str">
        <x:f>IF(L365="","",IF(L365&lt;=4,"UNDER","OVER"))</x:f>
      </x:c>
      <x:c r="N365" s="9" t="str">
        <x:f>IF(E365="","",IF(LEFT(E365,2)="DA","PARIU U284,5","NO BET"))</x:f>
      </x:c>
      <x:c r="O365" s="9" t="str">
        <x:f>IF(M365="","",IF(AM365="PARIU U284,5",IF(M365="UNDER","SUCCES","EȘEC"),IF(M365="UNDER","FALS NEGATIV","EVITARE CORECTĂ")))</x:f>
      </x:c>
      <x:c r="P365" s="9" t="str">
        <x:f>IF(M365="","",IF(M365="UNDER",1,0))</x:f>
      </x:c>
      <x:c r="Q365" s="9" t="str">
        <x:f>IF(P365="","",(G365-P365)^2)</x:f>
      </x:c>
      <x:c r="R365" s="9" t="str">
        <x:f>IF(L365="","",L365-F365)</x:f>
      </x:c>
      <x:c r="S365" s="9" t="str">
        <x:f>IF(L365="","",IF(M365="UNDER","U284,5 reușit; total final "&amp;L365&amp;" vs λ="&amp;TEXT(F365,"0.00")&amp;".","Eșec U284,5; total final "&amp;L365&amp;" vs λ="&amp;TEXT(F365,"0.00")&amp;". Revizuiește Tail Risk, sursa λ și calibrarea."))</x:f>
      </x:c>
      <x:c r="T365" s="51"/>
      <x:c r="U365" s="51"/>
      <x:c r="V365" s="51"/>
      <x:c r="W365" s="61"/>
      <x:c r="X365" s="61"/>
      <x:c r="Y365" s="51"/>
      <x:c r="Z365" s="53"/>
      <x:c r="AA365" s="51"/>
      <x:c r="AB365" s="64" t="str">
        <x:f>IF(AC365="","",AC365)</x:f>
      </x:c>
      <x:c r="AC365" s="67"/>
      <x:c r="AD365" s="69" t="str">
        <x:f>IF(AE365="","",AE365)</x:f>
      </x:c>
      <x:c r="AE365" s="71"/>
      <x:c r="AF365" s="73" t="str">
        <x:f>IF(AC365="","",1/AC365)</x:f>
      </x:c>
      <x:c r="AG365" s="61"/>
      <x:c r="AH365" s="61"/>
      <x:c r="AI365" s="64" t="str">
        <x:f>IF(OR(AC365="",AG365=""),"",AC365*AG365-1)</x:f>
      </x:c>
      <x:c r="AJ365" s="75" t="str">
        <x:f>IF(OR(G365="",F365=""),"",IF(AND(G365&gt;='Calibrare v2'!$B$35,F365&lt;='Calibrare v2'!$B$34),"PASS","FAIL"))</x:f>
      </x:c>
      <x:c r="AK365" s="75" t="str">
        <x:f>IF(AL365="","",AL365)</x:f>
      </x:c>
      <x:c r="AL365" s="77"/>
      <x:c r="AM365" s="77"/>
      <x:c r="AN365" s="64" t="str">
        <x:f>IF(OR(AC365="",P365=""),"",(AC365-P365)^2)</x:f>
      </x:c>
      <x:c r="AO365" s="64" t="str">
        <x:f>IF(OR(AG365="",AH365=""),"",AG365/AH365-1)</x:f>
      </x:c>
      <x:c r="AP365" s="61"/>
      <x:c r="AQ365" s="73" t="n">
        <x:f>IF(OR(AM365&lt;&gt;"PARIU U4,5",M365="",AP365="",AG365=""),0,IF(M365="UNDER",AP365*(AG365-1),-AP365))</x:f>
        <x:v>0</x:v>
      </x:c>
      <x:c r="AR365" s="51"/>
    </x:row>
    <x:row r="366">
      <x:c r="A366" s="9" t="str">
        <x:f>IF(D366="","",ROW()-1)</x:f>
      </x:c>
      <x:c r="B366" s="51"/>
      <x:c r="C366" s="51"/>
      <x:c r="D366" s="51"/>
      <x:c r="E366" s="9" t="str">
        <x:f>IF(D366="","",IF(AND(F366&lt;='Calibrare v2'!$B$33,G366&gt;=0.86),"DA – FEZABIL",IF(G366&gt;=0.8,"DA – PRUDENT","NU – EVITĂ")))</x:f>
      </x:c>
      <x:c r="F366" s="16" t="str">
        <x:f>IF(OR(W366="",X366=""),"",W366+X366)</x:f>
      </x:c>
      <x:c r="G366" s="28" t="str">
        <x:f>IF(F366="","",EXP(-F366)*(1+F366+F366^2/2+F366^3/6+F366^4/24))</x:f>
      </x:c>
      <x:c r="H366" s="53"/>
      <x:c r="I366" s="9" t="str">
        <x:f>IF(F366="","",IF(F366&lt;='Calibrare v2'!$B$33,"PASS","FAIL"))</x:f>
      </x:c>
      <x:c r="J366" s="51"/>
      <x:c r="K366" s="51"/>
      <x:c r="L366" s="9" t="str">
        <x:f>IF(OR(J366="",K366=""),"",J366+K366)</x:f>
      </x:c>
      <x:c r="M366" s="9" t="str">
        <x:f>IF(L366="","",IF(L366&lt;=4,"UNDER","OVER"))</x:f>
      </x:c>
      <x:c r="N366" s="9" t="str">
        <x:f>IF(E366="","",IF(LEFT(E366,2)="DA","PARIU U285,5","NO BET"))</x:f>
      </x:c>
      <x:c r="O366" s="9" t="str">
        <x:f>IF(M366="","",IF(AM366="PARIU U285,5",IF(M366="UNDER","SUCCES","EȘEC"),IF(M366="UNDER","FALS NEGATIV","EVITARE CORECTĂ")))</x:f>
      </x:c>
      <x:c r="P366" s="9" t="str">
        <x:f>IF(M366="","",IF(M366="UNDER",1,0))</x:f>
      </x:c>
      <x:c r="Q366" s="9" t="str">
        <x:f>IF(P366="","",(G366-P366)^2)</x:f>
      </x:c>
      <x:c r="R366" s="9" t="str">
        <x:f>IF(L366="","",L366-F366)</x:f>
      </x:c>
      <x:c r="S366" s="9" t="str">
        <x:f>IF(L366="","",IF(M366="UNDER","U285,5 reușit; total final "&amp;L366&amp;" vs λ="&amp;TEXT(F366,"0.00")&amp;".","Eșec U285,5; total final "&amp;L366&amp;" vs λ="&amp;TEXT(F366,"0.00")&amp;". Revizuiește Tail Risk, sursa λ și calibrarea."))</x:f>
      </x:c>
      <x:c r="T366" s="51"/>
      <x:c r="U366" s="51"/>
      <x:c r="V366" s="51"/>
      <x:c r="W366" s="61"/>
      <x:c r="X366" s="61"/>
      <x:c r="Y366" s="51"/>
      <x:c r="Z366" s="53"/>
      <x:c r="AA366" s="51"/>
      <x:c r="AB366" s="64" t="str">
        <x:f>IF(AC366="","",AC366)</x:f>
      </x:c>
      <x:c r="AC366" s="67"/>
      <x:c r="AD366" s="69" t="str">
        <x:f>IF(AE366="","",AE366)</x:f>
      </x:c>
      <x:c r="AE366" s="71"/>
      <x:c r="AF366" s="73" t="str">
        <x:f>IF(AC366="","",1/AC366)</x:f>
      </x:c>
      <x:c r="AG366" s="61"/>
      <x:c r="AH366" s="61"/>
      <x:c r="AI366" s="64" t="str">
        <x:f>IF(OR(AC366="",AG366=""),"",AC366*AG366-1)</x:f>
      </x:c>
      <x:c r="AJ366" s="75" t="str">
        <x:f>IF(OR(G366="",F366=""),"",IF(AND(G366&gt;='Calibrare v2'!$B$35,F366&lt;='Calibrare v2'!$B$34),"PASS","FAIL"))</x:f>
      </x:c>
      <x:c r="AK366" s="75" t="str">
        <x:f>IF(AL366="","",AL366)</x:f>
      </x:c>
      <x:c r="AL366" s="77"/>
      <x:c r="AM366" s="77"/>
      <x:c r="AN366" s="64" t="str">
        <x:f>IF(OR(AC366="",P366=""),"",(AC366-P366)^2)</x:f>
      </x:c>
      <x:c r="AO366" s="64" t="str">
        <x:f>IF(OR(AG366="",AH366=""),"",AG366/AH366-1)</x:f>
      </x:c>
      <x:c r="AP366" s="61"/>
      <x:c r="AQ366" s="73" t="n">
        <x:f>IF(OR(AM366&lt;&gt;"PARIU U4,5",M366="",AP366="",AG366=""),0,IF(M366="UNDER",AP366*(AG366-1),-AP366))</x:f>
        <x:v>0</x:v>
      </x:c>
      <x:c r="AR366" s="51"/>
    </x:row>
    <x:row r="367">
      <x:c r="A367" s="9" t="str">
        <x:f>IF(D367="","",ROW()-1)</x:f>
      </x:c>
      <x:c r="B367" s="51"/>
      <x:c r="C367" s="51"/>
      <x:c r="D367" s="51"/>
      <x:c r="E367" s="9" t="str">
        <x:f>IF(D367="","",IF(AND(F367&lt;='Calibrare v2'!$B$33,G367&gt;=0.86),"DA – FEZABIL",IF(G367&gt;=0.8,"DA – PRUDENT","NU – EVITĂ")))</x:f>
      </x:c>
      <x:c r="F367" s="16" t="str">
        <x:f>IF(OR(W367="",X367=""),"",W367+X367)</x:f>
      </x:c>
      <x:c r="G367" s="28" t="str">
        <x:f>IF(F367="","",EXP(-F367)*(1+F367+F367^2/2+F367^3/6+F367^4/24))</x:f>
      </x:c>
      <x:c r="H367" s="53"/>
      <x:c r="I367" s="9" t="str">
        <x:f>IF(F367="","",IF(F367&lt;='Calibrare v2'!$B$33,"PASS","FAIL"))</x:f>
      </x:c>
      <x:c r="J367" s="51"/>
      <x:c r="K367" s="51"/>
      <x:c r="L367" s="9" t="str">
        <x:f>IF(OR(J367="",K367=""),"",J367+K367)</x:f>
      </x:c>
      <x:c r="M367" s="9" t="str">
        <x:f>IF(L367="","",IF(L367&lt;=4,"UNDER","OVER"))</x:f>
      </x:c>
      <x:c r="N367" s="9" t="str">
        <x:f>IF(E367="","",IF(LEFT(E367,2)="DA","PARIU U286,5","NO BET"))</x:f>
      </x:c>
      <x:c r="O367" s="9" t="str">
        <x:f>IF(M367="","",IF(AM367="PARIU U286,5",IF(M367="UNDER","SUCCES","EȘEC"),IF(M367="UNDER","FALS NEGATIV","EVITARE CORECTĂ")))</x:f>
      </x:c>
      <x:c r="P367" s="9" t="str">
        <x:f>IF(M367="","",IF(M367="UNDER",1,0))</x:f>
      </x:c>
      <x:c r="Q367" s="9" t="str">
        <x:f>IF(P367="","",(G367-P367)^2)</x:f>
      </x:c>
      <x:c r="R367" s="9" t="str">
        <x:f>IF(L367="","",L367-F367)</x:f>
      </x:c>
      <x:c r="S367" s="9" t="str">
        <x:f>IF(L367="","",IF(M367="UNDER","U286,5 reușit; total final "&amp;L367&amp;" vs λ="&amp;TEXT(F367,"0.00")&amp;".","Eșec U286,5; total final "&amp;L367&amp;" vs λ="&amp;TEXT(F367,"0.00")&amp;". Revizuiește Tail Risk, sursa λ și calibrarea."))</x:f>
      </x:c>
      <x:c r="T367" s="51"/>
      <x:c r="U367" s="51"/>
      <x:c r="V367" s="51"/>
      <x:c r="W367" s="61"/>
      <x:c r="X367" s="61"/>
      <x:c r="Y367" s="51"/>
      <x:c r="Z367" s="53"/>
      <x:c r="AA367" s="51"/>
      <x:c r="AB367" s="64" t="str">
        <x:f>IF(AC367="","",AC367)</x:f>
      </x:c>
      <x:c r="AC367" s="67"/>
      <x:c r="AD367" s="69" t="str">
        <x:f>IF(AE367="","",AE367)</x:f>
      </x:c>
      <x:c r="AE367" s="71"/>
      <x:c r="AF367" s="73" t="str">
        <x:f>IF(AC367="","",1/AC367)</x:f>
      </x:c>
      <x:c r="AG367" s="61"/>
      <x:c r="AH367" s="61"/>
      <x:c r="AI367" s="64" t="str">
        <x:f>IF(OR(AC367="",AG367=""),"",AC367*AG367-1)</x:f>
      </x:c>
      <x:c r="AJ367" s="75" t="str">
        <x:f>IF(OR(G367="",F367=""),"",IF(AND(G367&gt;='Calibrare v2'!$B$35,F367&lt;='Calibrare v2'!$B$34),"PASS","FAIL"))</x:f>
      </x:c>
      <x:c r="AK367" s="75" t="str">
        <x:f>IF(AL367="","",AL367)</x:f>
      </x:c>
      <x:c r="AL367" s="77"/>
      <x:c r="AM367" s="77"/>
      <x:c r="AN367" s="64" t="str">
        <x:f>IF(OR(AC367="",P367=""),"",(AC367-P367)^2)</x:f>
      </x:c>
      <x:c r="AO367" s="64" t="str">
        <x:f>IF(OR(AG367="",AH367=""),"",AG367/AH367-1)</x:f>
      </x:c>
      <x:c r="AP367" s="61"/>
      <x:c r="AQ367" s="73" t="n">
        <x:f>IF(OR(AM367&lt;&gt;"PARIU U4,5",M367="",AP367="",AG367=""),0,IF(M367="UNDER",AP367*(AG367-1),-AP367))</x:f>
        <x:v>0</x:v>
      </x:c>
      <x:c r="AR367" s="51"/>
    </x:row>
    <x:row r="368">
      <x:c r="A368" s="9" t="str">
        <x:f>IF(D368="","",ROW()-1)</x:f>
      </x:c>
      <x:c r="B368" s="51"/>
      <x:c r="C368" s="51"/>
      <x:c r="D368" s="51"/>
      <x:c r="E368" s="9" t="str">
        <x:f>IF(D368="","",IF(AND(F368&lt;='Calibrare v2'!$B$33,G368&gt;=0.86),"DA – FEZABIL",IF(G368&gt;=0.8,"DA – PRUDENT","NU – EVITĂ")))</x:f>
      </x:c>
      <x:c r="F368" s="16" t="str">
        <x:f>IF(OR(W368="",X368=""),"",W368+X368)</x:f>
      </x:c>
      <x:c r="G368" s="28" t="str">
        <x:f>IF(F368="","",EXP(-F368)*(1+F368+F368^2/2+F368^3/6+F368^4/24))</x:f>
      </x:c>
      <x:c r="H368" s="53"/>
      <x:c r="I368" s="9" t="str">
        <x:f>IF(F368="","",IF(F368&lt;='Calibrare v2'!$B$33,"PASS","FAIL"))</x:f>
      </x:c>
      <x:c r="J368" s="51"/>
      <x:c r="K368" s="51"/>
      <x:c r="L368" s="9" t="str">
        <x:f>IF(OR(J368="",K368=""),"",J368+K368)</x:f>
      </x:c>
      <x:c r="M368" s="9" t="str">
        <x:f>IF(L368="","",IF(L368&lt;=4,"UNDER","OVER"))</x:f>
      </x:c>
      <x:c r="N368" s="9" t="str">
        <x:f>IF(E368="","",IF(LEFT(E368,2)="DA","PARIU U287,5","NO BET"))</x:f>
      </x:c>
      <x:c r="O368" s="9" t="str">
        <x:f>IF(M368="","",IF(AM368="PARIU U287,5",IF(M368="UNDER","SUCCES","EȘEC"),IF(M368="UNDER","FALS NEGATIV","EVITARE CORECTĂ")))</x:f>
      </x:c>
      <x:c r="P368" s="9" t="str">
        <x:f>IF(M368="","",IF(M368="UNDER",1,0))</x:f>
      </x:c>
      <x:c r="Q368" s="9" t="str">
        <x:f>IF(P368="","",(G368-P368)^2)</x:f>
      </x:c>
      <x:c r="R368" s="9" t="str">
        <x:f>IF(L368="","",L368-F368)</x:f>
      </x:c>
      <x:c r="S368" s="9" t="str">
        <x:f>IF(L368="","",IF(M368="UNDER","U287,5 reușit; total final "&amp;L368&amp;" vs λ="&amp;TEXT(F368,"0.00")&amp;".","Eșec U287,5; total final "&amp;L368&amp;" vs λ="&amp;TEXT(F368,"0.00")&amp;". Revizuiește Tail Risk, sursa λ și calibrarea."))</x:f>
      </x:c>
      <x:c r="T368" s="51"/>
      <x:c r="U368" s="51"/>
      <x:c r="V368" s="51"/>
      <x:c r="W368" s="61"/>
      <x:c r="X368" s="61"/>
      <x:c r="Y368" s="51"/>
      <x:c r="Z368" s="53"/>
      <x:c r="AA368" s="51"/>
      <x:c r="AB368" s="64" t="str">
        <x:f>IF(AC368="","",AC368)</x:f>
      </x:c>
      <x:c r="AC368" s="67"/>
      <x:c r="AD368" s="69" t="str">
        <x:f>IF(AE368="","",AE368)</x:f>
      </x:c>
      <x:c r="AE368" s="71"/>
      <x:c r="AF368" s="73" t="str">
        <x:f>IF(AC368="","",1/AC368)</x:f>
      </x:c>
      <x:c r="AG368" s="61"/>
      <x:c r="AH368" s="61"/>
      <x:c r="AI368" s="64" t="str">
        <x:f>IF(OR(AC368="",AG368=""),"",AC368*AG368-1)</x:f>
      </x:c>
      <x:c r="AJ368" s="75" t="str">
        <x:f>IF(OR(G368="",F368=""),"",IF(AND(G368&gt;='Calibrare v2'!$B$35,F368&lt;='Calibrare v2'!$B$34),"PASS","FAIL"))</x:f>
      </x:c>
      <x:c r="AK368" s="75" t="str">
        <x:f>IF(AL368="","",AL368)</x:f>
      </x:c>
      <x:c r="AL368" s="77"/>
      <x:c r="AM368" s="77"/>
      <x:c r="AN368" s="64" t="str">
        <x:f>IF(OR(AC368="",P368=""),"",(AC368-P368)^2)</x:f>
      </x:c>
      <x:c r="AO368" s="64" t="str">
        <x:f>IF(OR(AG368="",AH368=""),"",AG368/AH368-1)</x:f>
      </x:c>
      <x:c r="AP368" s="61"/>
      <x:c r="AQ368" s="73" t="n">
        <x:f>IF(OR(AM368&lt;&gt;"PARIU U4,5",M368="",AP368="",AG368=""),0,IF(M368="UNDER",AP368*(AG368-1),-AP368))</x:f>
        <x:v>0</x:v>
      </x:c>
      <x:c r="AR368" s="51"/>
    </x:row>
    <x:row r="369">
      <x:c r="A369" s="9" t="str">
        <x:f>IF(D369="","",ROW()-1)</x:f>
      </x:c>
      <x:c r="B369" s="51"/>
      <x:c r="C369" s="51"/>
      <x:c r="D369" s="51"/>
      <x:c r="E369" s="9" t="str">
        <x:f>IF(D369="","",IF(AND(F369&lt;='Calibrare v2'!$B$33,G369&gt;=0.86),"DA – FEZABIL",IF(G369&gt;=0.8,"DA – PRUDENT","NU – EVITĂ")))</x:f>
      </x:c>
      <x:c r="F369" s="16" t="str">
        <x:f>IF(OR(W369="",X369=""),"",W369+X369)</x:f>
      </x:c>
      <x:c r="G369" s="28" t="str">
        <x:f>IF(F369="","",EXP(-F369)*(1+F369+F369^2/2+F369^3/6+F369^4/24))</x:f>
      </x:c>
      <x:c r="H369" s="53"/>
      <x:c r="I369" s="9" t="str">
        <x:f>IF(F369="","",IF(F369&lt;='Calibrare v2'!$B$33,"PASS","FAIL"))</x:f>
      </x:c>
      <x:c r="J369" s="51"/>
      <x:c r="K369" s="51"/>
      <x:c r="L369" s="9" t="str">
        <x:f>IF(OR(J369="",K369=""),"",J369+K369)</x:f>
      </x:c>
      <x:c r="M369" s="9" t="str">
        <x:f>IF(L369="","",IF(L369&lt;=4,"UNDER","OVER"))</x:f>
      </x:c>
      <x:c r="N369" s="9" t="str">
        <x:f>IF(E369="","",IF(LEFT(E369,2)="DA","PARIU U288,5","NO BET"))</x:f>
      </x:c>
      <x:c r="O369" s="9" t="str">
        <x:f>IF(M369="","",IF(AM369="PARIU U288,5",IF(M369="UNDER","SUCCES","EȘEC"),IF(M369="UNDER","FALS NEGATIV","EVITARE CORECTĂ")))</x:f>
      </x:c>
      <x:c r="P369" s="9" t="str">
        <x:f>IF(M369="","",IF(M369="UNDER",1,0))</x:f>
      </x:c>
      <x:c r="Q369" s="9" t="str">
        <x:f>IF(P369="","",(G369-P369)^2)</x:f>
      </x:c>
      <x:c r="R369" s="9" t="str">
        <x:f>IF(L369="","",L369-F369)</x:f>
      </x:c>
      <x:c r="S369" s="9" t="str">
        <x:f>IF(L369="","",IF(M369="UNDER","U288,5 reușit; total final "&amp;L369&amp;" vs λ="&amp;TEXT(F369,"0.00")&amp;".","Eșec U288,5; total final "&amp;L369&amp;" vs λ="&amp;TEXT(F369,"0.00")&amp;". Revizuiește Tail Risk, sursa λ și calibrarea."))</x:f>
      </x:c>
      <x:c r="T369" s="51"/>
      <x:c r="U369" s="51"/>
      <x:c r="V369" s="51"/>
      <x:c r="W369" s="61"/>
      <x:c r="X369" s="61"/>
      <x:c r="Y369" s="51"/>
      <x:c r="Z369" s="53"/>
      <x:c r="AA369" s="51"/>
      <x:c r="AB369" s="64" t="str">
        <x:f>IF(AC369="","",AC369)</x:f>
      </x:c>
      <x:c r="AC369" s="67"/>
      <x:c r="AD369" s="69" t="str">
        <x:f>IF(AE369="","",AE369)</x:f>
      </x:c>
      <x:c r="AE369" s="71"/>
      <x:c r="AF369" s="73" t="str">
        <x:f>IF(AC369="","",1/AC369)</x:f>
      </x:c>
      <x:c r="AG369" s="61"/>
      <x:c r="AH369" s="61"/>
      <x:c r="AI369" s="64" t="str">
        <x:f>IF(OR(AC369="",AG369=""),"",AC369*AG369-1)</x:f>
      </x:c>
      <x:c r="AJ369" s="75" t="str">
        <x:f>IF(OR(G369="",F369=""),"",IF(AND(G369&gt;='Calibrare v2'!$B$35,F369&lt;='Calibrare v2'!$B$34),"PASS","FAIL"))</x:f>
      </x:c>
      <x:c r="AK369" s="75" t="str">
        <x:f>IF(AL369="","",AL369)</x:f>
      </x:c>
      <x:c r="AL369" s="77"/>
      <x:c r="AM369" s="77"/>
      <x:c r="AN369" s="64" t="str">
        <x:f>IF(OR(AC369="",P369=""),"",(AC369-P369)^2)</x:f>
      </x:c>
      <x:c r="AO369" s="64" t="str">
        <x:f>IF(OR(AG369="",AH369=""),"",AG369/AH369-1)</x:f>
      </x:c>
      <x:c r="AP369" s="61"/>
      <x:c r="AQ369" s="73" t="n">
        <x:f>IF(OR(AM369&lt;&gt;"PARIU U4,5",M369="",AP369="",AG369=""),0,IF(M369="UNDER",AP369*(AG369-1),-AP369))</x:f>
        <x:v>0</x:v>
      </x:c>
      <x:c r="AR369" s="51"/>
    </x:row>
    <x:row r="370">
      <x:c r="A370" s="9" t="str">
        <x:f>IF(D370="","",ROW()-1)</x:f>
      </x:c>
      <x:c r="B370" s="51"/>
      <x:c r="C370" s="51"/>
      <x:c r="D370" s="51"/>
      <x:c r="E370" s="9" t="str">
        <x:f>IF(D370="","",IF(AND(F370&lt;='Calibrare v2'!$B$33,G370&gt;=0.86),"DA – FEZABIL",IF(G370&gt;=0.8,"DA – PRUDENT","NU – EVITĂ")))</x:f>
      </x:c>
      <x:c r="F370" s="16" t="str">
        <x:f>IF(OR(W370="",X370=""),"",W370+X370)</x:f>
      </x:c>
      <x:c r="G370" s="28" t="str">
        <x:f>IF(F370="","",EXP(-F370)*(1+F370+F370^2/2+F370^3/6+F370^4/24))</x:f>
      </x:c>
      <x:c r="H370" s="53"/>
      <x:c r="I370" s="9" t="str">
        <x:f>IF(F370="","",IF(F370&lt;='Calibrare v2'!$B$33,"PASS","FAIL"))</x:f>
      </x:c>
      <x:c r="J370" s="51"/>
      <x:c r="K370" s="51"/>
      <x:c r="L370" s="9" t="str">
        <x:f>IF(OR(J370="",K370=""),"",J370+K370)</x:f>
      </x:c>
      <x:c r="M370" s="9" t="str">
        <x:f>IF(L370="","",IF(L370&lt;=4,"UNDER","OVER"))</x:f>
      </x:c>
      <x:c r="N370" s="9" t="str">
        <x:f>IF(E370="","",IF(LEFT(E370,2)="DA","PARIU U289,5","NO BET"))</x:f>
      </x:c>
      <x:c r="O370" s="9" t="str">
        <x:f>IF(M370="","",IF(AM370="PARIU U289,5",IF(M370="UNDER","SUCCES","EȘEC"),IF(M370="UNDER","FALS NEGATIV","EVITARE CORECTĂ")))</x:f>
      </x:c>
      <x:c r="P370" s="9" t="str">
        <x:f>IF(M370="","",IF(M370="UNDER",1,0))</x:f>
      </x:c>
      <x:c r="Q370" s="9" t="str">
        <x:f>IF(P370="","",(G370-P370)^2)</x:f>
      </x:c>
      <x:c r="R370" s="9" t="str">
        <x:f>IF(L370="","",L370-F370)</x:f>
      </x:c>
      <x:c r="S370" s="9" t="str">
        <x:f>IF(L370="","",IF(M370="UNDER","U289,5 reușit; total final "&amp;L370&amp;" vs λ="&amp;TEXT(F370,"0.00")&amp;".","Eșec U289,5; total final "&amp;L370&amp;" vs λ="&amp;TEXT(F370,"0.00")&amp;". Revizuiește Tail Risk, sursa λ și calibrarea."))</x:f>
      </x:c>
      <x:c r="T370" s="51"/>
      <x:c r="U370" s="51"/>
      <x:c r="V370" s="51"/>
      <x:c r="W370" s="61"/>
      <x:c r="X370" s="61"/>
      <x:c r="Y370" s="51"/>
      <x:c r="Z370" s="53"/>
      <x:c r="AA370" s="51"/>
      <x:c r="AB370" s="64" t="str">
        <x:f>IF(AC370="","",AC370)</x:f>
      </x:c>
      <x:c r="AC370" s="67"/>
      <x:c r="AD370" s="69" t="str">
        <x:f>IF(AE370="","",AE370)</x:f>
      </x:c>
      <x:c r="AE370" s="71"/>
      <x:c r="AF370" s="73" t="str">
        <x:f>IF(AC370="","",1/AC370)</x:f>
      </x:c>
      <x:c r="AG370" s="61"/>
      <x:c r="AH370" s="61"/>
      <x:c r="AI370" s="64" t="str">
        <x:f>IF(OR(AC370="",AG370=""),"",AC370*AG370-1)</x:f>
      </x:c>
      <x:c r="AJ370" s="75" t="str">
        <x:f>IF(OR(G370="",F370=""),"",IF(AND(G370&gt;='Calibrare v2'!$B$35,F370&lt;='Calibrare v2'!$B$34),"PASS","FAIL"))</x:f>
      </x:c>
      <x:c r="AK370" s="75" t="str">
        <x:f>IF(AL370="","",AL370)</x:f>
      </x:c>
      <x:c r="AL370" s="77"/>
      <x:c r="AM370" s="77"/>
      <x:c r="AN370" s="64" t="str">
        <x:f>IF(OR(AC370="",P370=""),"",(AC370-P370)^2)</x:f>
      </x:c>
      <x:c r="AO370" s="64" t="str">
        <x:f>IF(OR(AG370="",AH370=""),"",AG370/AH370-1)</x:f>
      </x:c>
      <x:c r="AP370" s="61"/>
      <x:c r="AQ370" s="73" t="n">
        <x:f>IF(OR(AM370&lt;&gt;"PARIU U4,5",M370="",AP370="",AG370=""),0,IF(M370="UNDER",AP370*(AG370-1),-AP370))</x:f>
        <x:v>0</x:v>
      </x:c>
      <x:c r="AR370" s="51"/>
    </x:row>
    <x:row r="371">
      <x:c r="A371" s="9" t="str">
        <x:f>IF(D371="","",ROW()-1)</x:f>
      </x:c>
      <x:c r="B371" s="51"/>
      <x:c r="C371" s="51"/>
      <x:c r="D371" s="51"/>
      <x:c r="E371" s="9" t="str">
        <x:f>IF(D371="","",IF(AND(F371&lt;='Calibrare v2'!$B$33,G371&gt;=0.86),"DA – FEZABIL",IF(G371&gt;=0.8,"DA – PRUDENT","NU – EVITĂ")))</x:f>
      </x:c>
      <x:c r="F371" s="16" t="str">
        <x:f>IF(OR(W371="",X371=""),"",W371+X371)</x:f>
      </x:c>
      <x:c r="G371" s="28" t="str">
        <x:f>IF(F371="","",EXP(-F371)*(1+F371+F371^2/2+F371^3/6+F371^4/24))</x:f>
      </x:c>
      <x:c r="H371" s="53"/>
      <x:c r="I371" s="9" t="str">
        <x:f>IF(F371="","",IF(F371&lt;='Calibrare v2'!$B$33,"PASS","FAIL"))</x:f>
      </x:c>
      <x:c r="J371" s="51"/>
      <x:c r="K371" s="51"/>
      <x:c r="L371" s="9" t="str">
        <x:f>IF(OR(J371="",K371=""),"",J371+K371)</x:f>
      </x:c>
      <x:c r="M371" s="9" t="str">
        <x:f>IF(L371="","",IF(L371&lt;=4,"UNDER","OVER"))</x:f>
      </x:c>
      <x:c r="N371" s="9" t="str">
        <x:f>IF(E371="","",IF(LEFT(E371,2)="DA","PARIU U290,5","NO BET"))</x:f>
      </x:c>
      <x:c r="O371" s="9" t="str">
        <x:f>IF(M371="","",IF(AM371="PARIU U290,5",IF(M371="UNDER","SUCCES","EȘEC"),IF(M371="UNDER","FALS NEGATIV","EVITARE CORECTĂ")))</x:f>
      </x:c>
      <x:c r="P371" s="9" t="str">
        <x:f>IF(M371="","",IF(M371="UNDER",1,0))</x:f>
      </x:c>
      <x:c r="Q371" s="9" t="str">
        <x:f>IF(P371="","",(G371-P371)^2)</x:f>
      </x:c>
      <x:c r="R371" s="9" t="str">
        <x:f>IF(L371="","",L371-F371)</x:f>
      </x:c>
      <x:c r="S371" s="9" t="str">
        <x:f>IF(L371="","",IF(M371="UNDER","U290,5 reușit; total final "&amp;L371&amp;" vs λ="&amp;TEXT(F371,"0.00")&amp;".","Eșec U290,5; total final "&amp;L371&amp;" vs λ="&amp;TEXT(F371,"0.00")&amp;". Revizuiește Tail Risk, sursa λ și calibrarea."))</x:f>
      </x:c>
      <x:c r="T371" s="51"/>
      <x:c r="U371" s="51"/>
      <x:c r="V371" s="51"/>
      <x:c r="W371" s="61"/>
      <x:c r="X371" s="61"/>
      <x:c r="Y371" s="51"/>
      <x:c r="Z371" s="53"/>
      <x:c r="AA371" s="51"/>
      <x:c r="AB371" s="64" t="str">
        <x:f>IF(AC371="","",AC371)</x:f>
      </x:c>
      <x:c r="AC371" s="67"/>
      <x:c r="AD371" s="69" t="str">
        <x:f>IF(AE371="","",AE371)</x:f>
      </x:c>
      <x:c r="AE371" s="71"/>
      <x:c r="AF371" s="73" t="str">
        <x:f>IF(AC371="","",1/AC371)</x:f>
      </x:c>
      <x:c r="AG371" s="61"/>
      <x:c r="AH371" s="61"/>
      <x:c r="AI371" s="64" t="str">
        <x:f>IF(OR(AC371="",AG371=""),"",AC371*AG371-1)</x:f>
      </x:c>
      <x:c r="AJ371" s="75" t="str">
        <x:f>IF(OR(G371="",F371=""),"",IF(AND(G371&gt;='Calibrare v2'!$B$35,F371&lt;='Calibrare v2'!$B$34),"PASS","FAIL"))</x:f>
      </x:c>
      <x:c r="AK371" s="75" t="str">
        <x:f>IF(AL371="","",AL371)</x:f>
      </x:c>
      <x:c r="AL371" s="77"/>
      <x:c r="AM371" s="77"/>
      <x:c r="AN371" s="64" t="str">
        <x:f>IF(OR(AC371="",P371=""),"",(AC371-P371)^2)</x:f>
      </x:c>
      <x:c r="AO371" s="64" t="str">
        <x:f>IF(OR(AG371="",AH371=""),"",AG371/AH371-1)</x:f>
      </x:c>
      <x:c r="AP371" s="61"/>
      <x:c r="AQ371" s="73" t="n">
        <x:f>IF(OR(AM371&lt;&gt;"PARIU U4,5",M371="",AP371="",AG371=""),0,IF(M371="UNDER",AP371*(AG371-1),-AP371))</x:f>
        <x:v>0</x:v>
      </x:c>
      <x:c r="AR371" s="51"/>
    </x:row>
    <x:row r="372">
      <x:c r="A372" s="9" t="str">
        <x:f>IF(D372="","",ROW()-1)</x:f>
      </x:c>
      <x:c r="B372" s="51"/>
      <x:c r="C372" s="51"/>
      <x:c r="D372" s="51"/>
      <x:c r="E372" s="9" t="str">
        <x:f>IF(D372="","",IF(AND(F372&lt;='Calibrare v2'!$B$33,G372&gt;=0.86),"DA – FEZABIL",IF(G372&gt;=0.8,"DA – PRUDENT","NU – EVITĂ")))</x:f>
      </x:c>
      <x:c r="F372" s="16" t="str">
        <x:f>IF(OR(W372="",X372=""),"",W372+X372)</x:f>
      </x:c>
      <x:c r="G372" s="28" t="str">
        <x:f>IF(F372="","",EXP(-F372)*(1+F372+F372^2/2+F372^3/6+F372^4/24))</x:f>
      </x:c>
      <x:c r="H372" s="53"/>
      <x:c r="I372" s="9" t="str">
        <x:f>IF(F372="","",IF(F372&lt;='Calibrare v2'!$B$33,"PASS","FAIL"))</x:f>
      </x:c>
      <x:c r="J372" s="51"/>
      <x:c r="K372" s="51"/>
      <x:c r="L372" s="9" t="str">
        <x:f>IF(OR(J372="",K372=""),"",J372+K372)</x:f>
      </x:c>
      <x:c r="M372" s="9" t="str">
        <x:f>IF(L372="","",IF(L372&lt;=4,"UNDER","OVER"))</x:f>
      </x:c>
      <x:c r="N372" s="9" t="str">
        <x:f>IF(E372="","",IF(LEFT(E372,2)="DA","PARIU U291,5","NO BET"))</x:f>
      </x:c>
      <x:c r="O372" s="9" t="str">
        <x:f>IF(M372="","",IF(AM372="PARIU U291,5",IF(M372="UNDER","SUCCES","EȘEC"),IF(M372="UNDER","FALS NEGATIV","EVITARE CORECTĂ")))</x:f>
      </x:c>
      <x:c r="P372" s="9" t="str">
        <x:f>IF(M372="","",IF(M372="UNDER",1,0))</x:f>
      </x:c>
      <x:c r="Q372" s="9" t="str">
        <x:f>IF(P372="","",(G372-P372)^2)</x:f>
      </x:c>
      <x:c r="R372" s="9" t="str">
        <x:f>IF(L372="","",L372-F372)</x:f>
      </x:c>
      <x:c r="S372" s="9" t="str">
        <x:f>IF(L372="","",IF(M372="UNDER","U291,5 reușit; total final "&amp;L372&amp;" vs λ="&amp;TEXT(F372,"0.00")&amp;".","Eșec U291,5; total final "&amp;L372&amp;" vs λ="&amp;TEXT(F372,"0.00")&amp;". Revizuiește Tail Risk, sursa λ și calibrarea."))</x:f>
      </x:c>
      <x:c r="T372" s="51"/>
      <x:c r="U372" s="51"/>
      <x:c r="V372" s="51"/>
      <x:c r="W372" s="61"/>
      <x:c r="X372" s="61"/>
      <x:c r="Y372" s="51"/>
      <x:c r="Z372" s="53"/>
      <x:c r="AA372" s="51"/>
      <x:c r="AB372" s="64" t="str">
        <x:f>IF(AC372="","",AC372)</x:f>
      </x:c>
      <x:c r="AC372" s="67"/>
      <x:c r="AD372" s="69" t="str">
        <x:f>IF(AE372="","",AE372)</x:f>
      </x:c>
      <x:c r="AE372" s="71"/>
      <x:c r="AF372" s="73" t="str">
        <x:f>IF(AC372="","",1/AC372)</x:f>
      </x:c>
      <x:c r="AG372" s="61"/>
      <x:c r="AH372" s="61"/>
      <x:c r="AI372" s="64" t="str">
        <x:f>IF(OR(AC372="",AG372=""),"",AC372*AG372-1)</x:f>
      </x:c>
      <x:c r="AJ372" s="75" t="str">
        <x:f>IF(OR(G372="",F372=""),"",IF(AND(G372&gt;='Calibrare v2'!$B$35,F372&lt;='Calibrare v2'!$B$34),"PASS","FAIL"))</x:f>
      </x:c>
      <x:c r="AK372" s="75" t="str">
        <x:f>IF(AL372="","",AL372)</x:f>
      </x:c>
      <x:c r="AL372" s="77"/>
      <x:c r="AM372" s="77"/>
      <x:c r="AN372" s="64" t="str">
        <x:f>IF(OR(AC372="",P372=""),"",(AC372-P372)^2)</x:f>
      </x:c>
      <x:c r="AO372" s="64" t="str">
        <x:f>IF(OR(AG372="",AH372=""),"",AG372/AH372-1)</x:f>
      </x:c>
      <x:c r="AP372" s="61"/>
      <x:c r="AQ372" s="73" t="n">
        <x:f>IF(OR(AM372&lt;&gt;"PARIU U4,5",M372="",AP372="",AG372=""),0,IF(M372="UNDER",AP372*(AG372-1),-AP372))</x:f>
        <x:v>0</x:v>
      </x:c>
      <x:c r="AR372" s="51"/>
    </x:row>
    <x:row r="373">
      <x:c r="A373" s="9" t="str">
        <x:f>IF(D373="","",ROW()-1)</x:f>
      </x:c>
      <x:c r="B373" s="51"/>
      <x:c r="C373" s="51"/>
      <x:c r="D373" s="51"/>
      <x:c r="E373" s="9" t="str">
        <x:f>IF(D373="","",IF(AND(F373&lt;='Calibrare v2'!$B$33,G373&gt;=0.86),"DA – FEZABIL",IF(G373&gt;=0.8,"DA – PRUDENT","NU – EVITĂ")))</x:f>
      </x:c>
      <x:c r="F373" s="16" t="str">
        <x:f>IF(OR(W373="",X373=""),"",W373+X373)</x:f>
      </x:c>
      <x:c r="G373" s="28" t="str">
        <x:f>IF(F373="","",EXP(-F373)*(1+F373+F373^2/2+F373^3/6+F373^4/24))</x:f>
      </x:c>
      <x:c r="H373" s="53"/>
      <x:c r="I373" s="9" t="str">
        <x:f>IF(F373="","",IF(F373&lt;='Calibrare v2'!$B$33,"PASS","FAIL"))</x:f>
      </x:c>
      <x:c r="J373" s="51"/>
      <x:c r="K373" s="51"/>
      <x:c r="L373" s="9" t="str">
        <x:f>IF(OR(J373="",K373=""),"",J373+K373)</x:f>
      </x:c>
      <x:c r="M373" s="9" t="str">
        <x:f>IF(L373="","",IF(L373&lt;=4,"UNDER","OVER"))</x:f>
      </x:c>
      <x:c r="N373" s="9" t="str">
        <x:f>IF(E373="","",IF(LEFT(E373,2)="DA","PARIU U292,5","NO BET"))</x:f>
      </x:c>
      <x:c r="O373" s="9" t="str">
        <x:f>IF(M373="","",IF(AM373="PARIU U292,5",IF(M373="UNDER","SUCCES","EȘEC"),IF(M373="UNDER","FALS NEGATIV","EVITARE CORECTĂ")))</x:f>
      </x:c>
      <x:c r="P373" s="9" t="str">
        <x:f>IF(M373="","",IF(M373="UNDER",1,0))</x:f>
      </x:c>
      <x:c r="Q373" s="9" t="str">
        <x:f>IF(P373="","",(G373-P373)^2)</x:f>
      </x:c>
      <x:c r="R373" s="9" t="str">
        <x:f>IF(L373="","",L373-F373)</x:f>
      </x:c>
      <x:c r="S373" s="9" t="str">
        <x:f>IF(L373="","",IF(M373="UNDER","U292,5 reușit; total final "&amp;L373&amp;" vs λ="&amp;TEXT(F373,"0.00")&amp;".","Eșec U292,5; total final "&amp;L373&amp;" vs λ="&amp;TEXT(F373,"0.00")&amp;". Revizuiește Tail Risk, sursa λ și calibrarea."))</x:f>
      </x:c>
      <x:c r="T373" s="51"/>
      <x:c r="U373" s="51"/>
      <x:c r="V373" s="51"/>
      <x:c r="W373" s="61"/>
      <x:c r="X373" s="61"/>
      <x:c r="Y373" s="51"/>
      <x:c r="Z373" s="53"/>
      <x:c r="AA373" s="51"/>
      <x:c r="AB373" s="64" t="str">
        <x:f>IF(AC373="","",AC373)</x:f>
      </x:c>
      <x:c r="AC373" s="67"/>
      <x:c r="AD373" s="69" t="str">
        <x:f>IF(AE373="","",AE373)</x:f>
      </x:c>
      <x:c r="AE373" s="71"/>
      <x:c r="AF373" s="73" t="str">
        <x:f>IF(AC373="","",1/AC373)</x:f>
      </x:c>
      <x:c r="AG373" s="61"/>
      <x:c r="AH373" s="61"/>
      <x:c r="AI373" s="64" t="str">
        <x:f>IF(OR(AC373="",AG373=""),"",AC373*AG373-1)</x:f>
      </x:c>
      <x:c r="AJ373" s="75" t="str">
        <x:f>IF(OR(G373="",F373=""),"",IF(AND(G373&gt;='Calibrare v2'!$B$35,F373&lt;='Calibrare v2'!$B$34),"PASS","FAIL"))</x:f>
      </x:c>
      <x:c r="AK373" s="75" t="str">
        <x:f>IF(AL373="","",AL373)</x:f>
      </x:c>
      <x:c r="AL373" s="77"/>
      <x:c r="AM373" s="77"/>
      <x:c r="AN373" s="64" t="str">
        <x:f>IF(OR(AC373="",P373=""),"",(AC373-P373)^2)</x:f>
      </x:c>
      <x:c r="AO373" s="64" t="str">
        <x:f>IF(OR(AG373="",AH373=""),"",AG373/AH373-1)</x:f>
      </x:c>
      <x:c r="AP373" s="61"/>
      <x:c r="AQ373" s="73" t="n">
        <x:f>IF(OR(AM373&lt;&gt;"PARIU U4,5",M373="",AP373="",AG373=""),0,IF(M373="UNDER",AP373*(AG373-1),-AP373))</x:f>
        <x:v>0</x:v>
      </x:c>
      <x:c r="AR373" s="51"/>
    </x:row>
    <x:row r="374">
      <x:c r="A374" s="9" t="str">
        <x:f>IF(D374="","",ROW()-1)</x:f>
      </x:c>
      <x:c r="B374" s="51"/>
      <x:c r="C374" s="51"/>
      <x:c r="D374" s="51"/>
      <x:c r="E374" s="9" t="str">
        <x:f>IF(D374="","",IF(AND(F374&lt;='Calibrare v2'!$B$33,G374&gt;=0.86),"DA – FEZABIL",IF(G374&gt;=0.8,"DA – PRUDENT","NU – EVITĂ")))</x:f>
      </x:c>
      <x:c r="F374" s="16" t="str">
        <x:f>IF(OR(W374="",X374=""),"",W374+X374)</x:f>
      </x:c>
      <x:c r="G374" s="28" t="str">
        <x:f>IF(F374="","",EXP(-F374)*(1+F374+F374^2/2+F374^3/6+F374^4/24))</x:f>
      </x:c>
      <x:c r="H374" s="53"/>
      <x:c r="I374" s="9" t="str">
        <x:f>IF(F374="","",IF(F374&lt;='Calibrare v2'!$B$33,"PASS","FAIL"))</x:f>
      </x:c>
      <x:c r="J374" s="51"/>
      <x:c r="K374" s="51"/>
      <x:c r="L374" s="9" t="str">
        <x:f>IF(OR(J374="",K374=""),"",J374+K374)</x:f>
      </x:c>
      <x:c r="M374" s="9" t="str">
        <x:f>IF(L374="","",IF(L374&lt;=4,"UNDER","OVER"))</x:f>
      </x:c>
      <x:c r="N374" s="9" t="str">
        <x:f>IF(E374="","",IF(LEFT(E374,2)="DA","PARIU U293,5","NO BET"))</x:f>
      </x:c>
      <x:c r="O374" s="9" t="str">
        <x:f>IF(M374="","",IF(AM374="PARIU U293,5",IF(M374="UNDER","SUCCES","EȘEC"),IF(M374="UNDER","FALS NEGATIV","EVITARE CORECTĂ")))</x:f>
      </x:c>
      <x:c r="P374" s="9" t="str">
        <x:f>IF(M374="","",IF(M374="UNDER",1,0))</x:f>
      </x:c>
      <x:c r="Q374" s="9" t="str">
        <x:f>IF(P374="","",(G374-P374)^2)</x:f>
      </x:c>
      <x:c r="R374" s="9" t="str">
        <x:f>IF(L374="","",L374-F374)</x:f>
      </x:c>
      <x:c r="S374" s="9" t="str">
        <x:f>IF(L374="","",IF(M374="UNDER","U293,5 reușit; total final "&amp;L374&amp;" vs λ="&amp;TEXT(F374,"0.00")&amp;".","Eșec U293,5; total final "&amp;L374&amp;" vs λ="&amp;TEXT(F374,"0.00")&amp;". Revizuiește Tail Risk, sursa λ și calibrarea."))</x:f>
      </x:c>
      <x:c r="T374" s="51"/>
      <x:c r="U374" s="51"/>
      <x:c r="V374" s="51"/>
      <x:c r="W374" s="61"/>
      <x:c r="X374" s="61"/>
      <x:c r="Y374" s="51"/>
      <x:c r="Z374" s="53"/>
      <x:c r="AA374" s="51"/>
      <x:c r="AB374" s="64" t="str">
        <x:f>IF(AC374="","",AC374)</x:f>
      </x:c>
      <x:c r="AC374" s="67"/>
      <x:c r="AD374" s="69" t="str">
        <x:f>IF(AE374="","",AE374)</x:f>
      </x:c>
      <x:c r="AE374" s="71"/>
      <x:c r="AF374" s="73" t="str">
        <x:f>IF(AC374="","",1/AC374)</x:f>
      </x:c>
      <x:c r="AG374" s="61"/>
      <x:c r="AH374" s="61"/>
      <x:c r="AI374" s="64" t="str">
        <x:f>IF(OR(AC374="",AG374=""),"",AC374*AG374-1)</x:f>
      </x:c>
      <x:c r="AJ374" s="75" t="str">
        <x:f>IF(OR(G374="",F374=""),"",IF(AND(G374&gt;='Calibrare v2'!$B$35,F374&lt;='Calibrare v2'!$B$34),"PASS","FAIL"))</x:f>
      </x:c>
      <x:c r="AK374" s="75" t="str">
        <x:f>IF(AL374="","",AL374)</x:f>
      </x:c>
      <x:c r="AL374" s="77"/>
      <x:c r="AM374" s="77"/>
      <x:c r="AN374" s="64" t="str">
        <x:f>IF(OR(AC374="",P374=""),"",(AC374-P374)^2)</x:f>
      </x:c>
      <x:c r="AO374" s="64" t="str">
        <x:f>IF(OR(AG374="",AH374=""),"",AG374/AH374-1)</x:f>
      </x:c>
      <x:c r="AP374" s="61"/>
      <x:c r="AQ374" s="73" t="n">
        <x:f>IF(OR(AM374&lt;&gt;"PARIU U4,5",M374="",AP374="",AG374=""),0,IF(M374="UNDER",AP374*(AG374-1),-AP374))</x:f>
        <x:v>0</x:v>
      </x:c>
      <x:c r="AR374" s="51"/>
    </x:row>
    <x:row r="375">
      <x:c r="A375" s="9" t="str">
        <x:f>IF(D375="","",ROW()-1)</x:f>
      </x:c>
      <x:c r="B375" s="51"/>
      <x:c r="C375" s="51"/>
      <x:c r="D375" s="51"/>
      <x:c r="E375" s="9" t="str">
        <x:f>IF(D375="","",IF(AND(F375&lt;='Calibrare v2'!$B$33,G375&gt;=0.86),"DA – FEZABIL",IF(G375&gt;=0.8,"DA – PRUDENT","NU – EVITĂ")))</x:f>
      </x:c>
      <x:c r="F375" s="16" t="str">
        <x:f>IF(OR(W375="",X375=""),"",W375+X375)</x:f>
      </x:c>
      <x:c r="G375" s="28" t="str">
        <x:f>IF(F375="","",EXP(-F375)*(1+F375+F375^2/2+F375^3/6+F375^4/24))</x:f>
      </x:c>
      <x:c r="H375" s="53"/>
      <x:c r="I375" s="9" t="str">
        <x:f>IF(F375="","",IF(F375&lt;='Calibrare v2'!$B$33,"PASS","FAIL"))</x:f>
      </x:c>
      <x:c r="J375" s="51"/>
      <x:c r="K375" s="51"/>
      <x:c r="L375" s="9" t="str">
        <x:f>IF(OR(J375="",K375=""),"",J375+K375)</x:f>
      </x:c>
      <x:c r="M375" s="9" t="str">
        <x:f>IF(L375="","",IF(L375&lt;=4,"UNDER","OVER"))</x:f>
      </x:c>
      <x:c r="N375" s="9" t="str">
        <x:f>IF(E375="","",IF(LEFT(E375,2)="DA","PARIU U294,5","NO BET"))</x:f>
      </x:c>
      <x:c r="O375" s="9" t="str">
        <x:f>IF(M375="","",IF(AM375="PARIU U294,5",IF(M375="UNDER","SUCCES","EȘEC"),IF(M375="UNDER","FALS NEGATIV","EVITARE CORECTĂ")))</x:f>
      </x:c>
      <x:c r="P375" s="9" t="str">
        <x:f>IF(M375="","",IF(M375="UNDER",1,0))</x:f>
      </x:c>
      <x:c r="Q375" s="9" t="str">
        <x:f>IF(P375="","",(G375-P375)^2)</x:f>
      </x:c>
      <x:c r="R375" s="9" t="str">
        <x:f>IF(L375="","",L375-F375)</x:f>
      </x:c>
      <x:c r="S375" s="9" t="str">
        <x:f>IF(L375="","",IF(M375="UNDER","U294,5 reușit; total final "&amp;L375&amp;" vs λ="&amp;TEXT(F375,"0.00")&amp;".","Eșec U294,5; total final "&amp;L375&amp;" vs λ="&amp;TEXT(F375,"0.00")&amp;". Revizuiește Tail Risk, sursa λ și calibrarea."))</x:f>
      </x:c>
      <x:c r="T375" s="51"/>
      <x:c r="U375" s="51"/>
      <x:c r="V375" s="51"/>
      <x:c r="W375" s="61"/>
      <x:c r="X375" s="61"/>
      <x:c r="Y375" s="51"/>
      <x:c r="Z375" s="53"/>
      <x:c r="AA375" s="51"/>
      <x:c r="AB375" s="64" t="str">
        <x:f>IF(AC375="","",AC375)</x:f>
      </x:c>
      <x:c r="AC375" s="67"/>
      <x:c r="AD375" s="69" t="str">
        <x:f>IF(AE375="","",AE375)</x:f>
      </x:c>
      <x:c r="AE375" s="71"/>
      <x:c r="AF375" s="73" t="str">
        <x:f>IF(AC375="","",1/AC375)</x:f>
      </x:c>
      <x:c r="AG375" s="61"/>
      <x:c r="AH375" s="61"/>
      <x:c r="AI375" s="64" t="str">
        <x:f>IF(OR(AC375="",AG375=""),"",AC375*AG375-1)</x:f>
      </x:c>
      <x:c r="AJ375" s="75" t="str">
        <x:f>IF(OR(G375="",F375=""),"",IF(AND(G375&gt;='Calibrare v2'!$B$35,F375&lt;='Calibrare v2'!$B$34),"PASS","FAIL"))</x:f>
      </x:c>
      <x:c r="AK375" s="75" t="str">
        <x:f>IF(AL375="","",AL375)</x:f>
      </x:c>
      <x:c r="AL375" s="77"/>
      <x:c r="AM375" s="77"/>
      <x:c r="AN375" s="64" t="str">
        <x:f>IF(OR(AC375="",P375=""),"",(AC375-P375)^2)</x:f>
      </x:c>
      <x:c r="AO375" s="64" t="str">
        <x:f>IF(OR(AG375="",AH375=""),"",AG375/AH375-1)</x:f>
      </x:c>
      <x:c r="AP375" s="61"/>
      <x:c r="AQ375" s="73" t="n">
        <x:f>IF(OR(AM375&lt;&gt;"PARIU U4,5",M375="",AP375="",AG375=""),0,IF(M375="UNDER",AP375*(AG375-1),-AP375))</x:f>
        <x:v>0</x:v>
      </x:c>
      <x:c r="AR375" s="51"/>
    </x:row>
    <x:row r="376">
      <x:c r="A376" s="9" t="str">
        <x:f>IF(D376="","",ROW()-1)</x:f>
      </x:c>
      <x:c r="B376" s="51"/>
      <x:c r="C376" s="51"/>
      <x:c r="D376" s="51"/>
      <x:c r="E376" s="9" t="str">
        <x:f>IF(D376="","",IF(AND(F376&lt;='Calibrare v2'!$B$33,G376&gt;=0.86),"DA – FEZABIL",IF(G376&gt;=0.8,"DA – PRUDENT","NU – EVITĂ")))</x:f>
      </x:c>
      <x:c r="F376" s="16" t="str">
        <x:f>IF(OR(W376="",X376=""),"",W376+X376)</x:f>
      </x:c>
      <x:c r="G376" s="28" t="str">
        <x:f>IF(F376="","",EXP(-F376)*(1+F376+F376^2/2+F376^3/6+F376^4/24))</x:f>
      </x:c>
      <x:c r="H376" s="53"/>
      <x:c r="I376" s="9" t="str">
        <x:f>IF(F376="","",IF(F376&lt;='Calibrare v2'!$B$33,"PASS","FAIL"))</x:f>
      </x:c>
      <x:c r="J376" s="51"/>
      <x:c r="K376" s="51"/>
      <x:c r="L376" s="9" t="str">
        <x:f>IF(OR(J376="",K376=""),"",J376+K376)</x:f>
      </x:c>
      <x:c r="M376" s="9" t="str">
        <x:f>IF(L376="","",IF(L376&lt;=4,"UNDER","OVER"))</x:f>
      </x:c>
      <x:c r="N376" s="9" t="str">
        <x:f>IF(E376="","",IF(LEFT(E376,2)="DA","PARIU U295,5","NO BET"))</x:f>
      </x:c>
      <x:c r="O376" s="9" t="str">
        <x:f>IF(M376="","",IF(AM376="PARIU U295,5",IF(M376="UNDER","SUCCES","EȘEC"),IF(M376="UNDER","FALS NEGATIV","EVITARE CORECTĂ")))</x:f>
      </x:c>
      <x:c r="P376" s="9" t="str">
        <x:f>IF(M376="","",IF(M376="UNDER",1,0))</x:f>
      </x:c>
      <x:c r="Q376" s="9" t="str">
        <x:f>IF(P376="","",(G376-P376)^2)</x:f>
      </x:c>
      <x:c r="R376" s="9" t="str">
        <x:f>IF(L376="","",L376-F376)</x:f>
      </x:c>
      <x:c r="S376" s="9" t="str">
        <x:f>IF(L376="","",IF(M376="UNDER","U295,5 reușit; total final "&amp;L376&amp;" vs λ="&amp;TEXT(F376,"0.00")&amp;".","Eșec U295,5; total final "&amp;L376&amp;" vs λ="&amp;TEXT(F376,"0.00")&amp;". Revizuiește Tail Risk, sursa λ și calibrarea."))</x:f>
      </x:c>
      <x:c r="T376" s="51"/>
      <x:c r="U376" s="51"/>
      <x:c r="V376" s="51"/>
      <x:c r="W376" s="61"/>
      <x:c r="X376" s="61"/>
      <x:c r="Y376" s="51"/>
      <x:c r="Z376" s="53"/>
      <x:c r="AA376" s="51"/>
      <x:c r="AB376" s="64" t="str">
        <x:f>IF(AC376="","",AC376)</x:f>
      </x:c>
      <x:c r="AC376" s="67"/>
      <x:c r="AD376" s="69" t="str">
        <x:f>IF(AE376="","",AE376)</x:f>
      </x:c>
      <x:c r="AE376" s="71"/>
      <x:c r="AF376" s="73" t="str">
        <x:f>IF(AC376="","",1/AC376)</x:f>
      </x:c>
      <x:c r="AG376" s="61"/>
      <x:c r="AH376" s="61"/>
      <x:c r="AI376" s="64" t="str">
        <x:f>IF(OR(AC376="",AG376=""),"",AC376*AG376-1)</x:f>
      </x:c>
      <x:c r="AJ376" s="75" t="str">
        <x:f>IF(OR(G376="",F376=""),"",IF(AND(G376&gt;='Calibrare v2'!$B$35,F376&lt;='Calibrare v2'!$B$34),"PASS","FAIL"))</x:f>
      </x:c>
      <x:c r="AK376" s="75" t="str">
        <x:f>IF(AL376="","",AL376)</x:f>
      </x:c>
      <x:c r="AL376" s="77"/>
      <x:c r="AM376" s="77"/>
      <x:c r="AN376" s="64" t="str">
        <x:f>IF(OR(AC376="",P376=""),"",(AC376-P376)^2)</x:f>
      </x:c>
      <x:c r="AO376" s="64" t="str">
        <x:f>IF(OR(AG376="",AH376=""),"",AG376/AH376-1)</x:f>
      </x:c>
      <x:c r="AP376" s="61"/>
      <x:c r="AQ376" s="73" t="n">
        <x:f>IF(OR(AM376&lt;&gt;"PARIU U4,5",M376="",AP376="",AG376=""),0,IF(M376="UNDER",AP376*(AG376-1),-AP376))</x:f>
        <x:v>0</x:v>
      </x:c>
      <x:c r="AR376" s="51"/>
    </x:row>
    <x:row r="377">
      <x:c r="A377" s="9" t="str">
        <x:f>IF(D377="","",ROW()-1)</x:f>
      </x:c>
      <x:c r="B377" s="51"/>
      <x:c r="C377" s="51"/>
      <x:c r="D377" s="51"/>
      <x:c r="E377" s="9" t="str">
        <x:f>IF(D377="","",IF(AND(F377&lt;='Calibrare v2'!$B$33,G377&gt;=0.86),"DA – FEZABIL",IF(G377&gt;=0.8,"DA – PRUDENT","NU – EVITĂ")))</x:f>
      </x:c>
      <x:c r="F377" s="16" t="str">
        <x:f>IF(OR(W377="",X377=""),"",W377+X377)</x:f>
      </x:c>
      <x:c r="G377" s="28" t="str">
        <x:f>IF(F377="","",EXP(-F377)*(1+F377+F377^2/2+F377^3/6+F377^4/24))</x:f>
      </x:c>
      <x:c r="H377" s="53"/>
      <x:c r="I377" s="9" t="str">
        <x:f>IF(F377="","",IF(F377&lt;='Calibrare v2'!$B$33,"PASS","FAIL"))</x:f>
      </x:c>
      <x:c r="J377" s="51"/>
      <x:c r="K377" s="51"/>
      <x:c r="L377" s="9" t="str">
        <x:f>IF(OR(J377="",K377=""),"",J377+K377)</x:f>
      </x:c>
      <x:c r="M377" s="9" t="str">
        <x:f>IF(L377="","",IF(L377&lt;=4,"UNDER","OVER"))</x:f>
      </x:c>
      <x:c r="N377" s="9" t="str">
        <x:f>IF(E377="","",IF(LEFT(E377,2)="DA","PARIU U296,5","NO BET"))</x:f>
      </x:c>
      <x:c r="O377" s="9" t="str">
        <x:f>IF(M377="","",IF(AM377="PARIU U296,5",IF(M377="UNDER","SUCCES","EȘEC"),IF(M377="UNDER","FALS NEGATIV","EVITARE CORECTĂ")))</x:f>
      </x:c>
      <x:c r="P377" s="9" t="str">
        <x:f>IF(M377="","",IF(M377="UNDER",1,0))</x:f>
      </x:c>
      <x:c r="Q377" s="9" t="str">
        <x:f>IF(P377="","",(G377-P377)^2)</x:f>
      </x:c>
      <x:c r="R377" s="9" t="str">
        <x:f>IF(L377="","",L377-F377)</x:f>
      </x:c>
      <x:c r="S377" s="9" t="str">
        <x:f>IF(L377="","",IF(M377="UNDER","U296,5 reușit; total final "&amp;L377&amp;" vs λ="&amp;TEXT(F377,"0.00")&amp;".","Eșec U296,5; total final "&amp;L377&amp;" vs λ="&amp;TEXT(F377,"0.00")&amp;". Revizuiește Tail Risk, sursa λ și calibrarea."))</x:f>
      </x:c>
      <x:c r="T377" s="51"/>
      <x:c r="U377" s="51"/>
      <x:c r="V377" s="51"/>
      <x:c r="W377" s="61"/>
      <x:c r="X377" s="61"/>
      <x:c r="Y377" s="51"/>
      <x:c r="Z377" s="53"/>
      <x:c r="AA377" s="51"/>
      <x:c r="AB377" s="64" t="str">
        <x:f>IF(AC377="","",AC377)</x:f>
      </x:c>
      <x:c r="AC377" s="67"/>
      <x:c r="AD377" s="69" t="str">
        <x:f>IF(AE377="","",AE377)</x:f>
      </x:c>
      <x:c r="AE377" s="71"/>
      <x:c r="AF377" s="73" t="str">
        <x:f>IF(AC377="","",1/AC377)</x:f>
      </x:c>
      <x:c r="AG377" s="61"/>
      <x:c r="AH377" s="61"/>
      <x:c r="AI377" s="64" t="str">
        <x:f>IF(OR(AC377="",AG377=""),"",AC377*AG377-1)</x:f>
      </x:c>
      <x:c r="AJ377" s="75" t="str">
        <x:f>IF(OR(G377="",F377=""),"",IF(AND(G377&gt;='Calibrare v2'!$B$35,F377&lt;='Calibrare v2'!$B$34),"PASS","FAIL"))</x:f>
      </x:c>
      <x:c r="AK377" s="75" t="str">
        <x:f>IF(AL377="","",AL377)</x:f>
      </x:c>
      <x:c r="AL377" s="77"/>
      <x:c r="AM377" s="77"/>
      <x:c r="AN377" s="64" t="str">
        <x:f>IF(OR(AC377="",P377=""),"",(AC377-P377)^2)</x:f>
      </x:c>
      <x:c r="AO377" s="64" t="str">
        <x:f>IF(OR(AG377="",AH377=""),"",AG377/AH377-1)</x:f>
      </x:c>
      <x:c r="AP377" s="61"/>
      <x:c r="AQ377" s="73" t="n">
        <x:f>IF(OR(AM377&lt;&gt;"PARIU U4,5",M377="",AP377="",AG377=""),0,IF(M377="UNDER",AP377*(AG377-1),-AP377))</x:f>
        <x:v>0</x:v>
      </x:c>
      <x:c r="AR377" s="51"/>
    </x:row>
    <x:row r="378">
      <x:c r="A378" s="9" t="str">
        <x:f>IF(D378="","",ROW()-1)</x:f>
      </x:c>
      <x:c r="B378" s="51"/>
      <x:c r="C378" s="51"/>
      <x:c r="D378" s="51"/>
      <x:c r="E378" s="9" t="str">
        <x:f>IF(D378="","",IF(AND(F378&lt;='Calibrare v2'!$B$33,G378&gt;=0.86),"DA – FEZABIL",IF(G378&gt;=0.8,"DA – PRUDENT","NU – EVITĂ")))</x:f>
      </x:c>
      <x:c r="F378" s="16" t="str">
        <x:f>IF(OR(W378="",X378=""),"",W378+X378)</x:f>
      </x:c>
      <x:c r="G378" s="28" t="str">
        <x:f>IF(F378="","",EXP(-F378)*(1+F378+F378^2/2+F378^3/6+F378^4/24))</x:f>
      </x:c>
      <x:c r="H378" s="53"/>
      <x:c r="I378" s="9" t="str">
        <x:f>IF(F378="","",IF(F378&lt;='Calibrare v2'!$B$33,"PASS","FAIL"))</x:f>
      </x:c>
      <x:c r="J378" s="51"/>
      <x:c r="K378" s="51"/>
      <x:c r="L378" s="9" t="str">
        <x:f>IF(OR(J378="",K378=""),"",J378+K378)</x:f>
      </x:c>
      <x:c r="M378" s="9" t="str">
        <x:f>IF(L378="","",IF(L378&lt;=4,"UNDER","OVER"))</x:f>
      </x:c>
      <x:c r="N378" s="9" t="str">
        <x:f>IF(E378="","",IF(LEFT(E378,2)="DA","PARIU U297,5","NO BET"))</x:f>
      </x:c>
      <x:c r="O378" s="9" t="str">
        <x:f>IF(M378="","",IF(AM378="PARIU U297,5",IF(M378="UNDER","SUCCES","EȘEC"),IF(M378="UNDER","FALS NEGATIV","EVITARE CORECTĂ")))</x:f>
      </x:c>
      <x:c r="P378" s="9" t="str">
        <x:f>IF(M378="","",IF(M378="UNDER",1,0))</x:f>
      </x:c>
      <x:c r="Q378" s="9" t="str">
        <x:f>IF(P378="","",(G378-P378)^2)</x:f>
      </x:c>
      <x:c r="R378" s="9" t="str">
        <x:f>IF(L378="","",L378-F378)</x:f>
      </x:c>
      <x:c r="S378" s="9" t="str">
        <x:f>IF(L378="","",IF(M378="UNDER","U297,5 reușit; total final "&amp;L378&amp;" vs λ="&amp;TEXT(F378,"0.00")&amp;".","Eșec U297,5; total final "&amp;L378&amp;" vs λ="&amp;TEXT(F378,"0.00")&amp;". Revizuiește Tail Risk, sursa λ și calibrarea."))</x:f>
      </x:c>
      <x:c r="T378" s="51"/>
      <x:c r="U378" s="51"/>
      <x:c r="V378" s="51"/>
      <x:c r="W378" s="61"/>
      <x:c r="X378" s="61"/>
      <x:c r="Y378" s="51"/>
      <x:c r="Z378" s="53"/>
      <x:c r="AA378" s="51"/>
      <x:c r="AB378" s="64" t="str">
        <x:f>IF(AC378="","",AC378)</x:f>
      </x:c>
      <x:c r="AC378" s="67"/>
      <x:c r="AD378" s="69" t="str">
        <x:f>IF(AE378="","",AE378)</x:f>
      </x:c>
      <x:c r="AE378" s="71"/>
      <x:c r="AF378" s="73" t="str">
        <x:f>IF(AC378="","",1/AC378)</x:f>
      </x:c>
      <x:c r="AG378" s="61"/>
      <x:c r="AH378" s="61"/>
      <x:c r="AI378" s="64" t="str">
        <x:f>IF(OR(AC378="",AG378=""),"",AC378*AG378-1)</x:f>
      </x:c>
      <x:c r="AJ378" s="75" t="str">
        <x:f>IF(OR(G378="",F378=""),"",IF(AND(G378&gt;='Calibrare v2'!$B$35,F378&lt;='Calibrare v2'!$B$34),"PASS","FAIL"))</x:f>
      </x:c>
      <x:c r="AK378" s="75" t="str">
        <x:f>IF(AL378="","",AL378)</x:f>
      </x:c>
      <x:c r="AL378" s="77"/>
      <x:c r="AM378" s="77"/>
      <x:c r="AN378" s="64" t="str">
        <x:f>IF(OR(AC378="",P378=""),"",(AC378-P378)^2)</x:f>
      </x:c>
      <x:c r="AO378" s="64" t="str">
        <x:f>IF(OR(AG378="",AH378=""),"",AG378/AH378-1)</x:f>
      </x:c>
      <x:c r="AP378" s="61"/>
      <x:c r="AQ378" s="73" t="n">
        <x:f>IF(OR(AM378&lt;&gt;"PARIU U4,5",M378="",AP378="",AG378=""),0,IF(M378="UNDER",AP378*(AG378-1),-AP378))</x:f>
        <x:v>0</x:v>
      </x:c>
      <x:c r="AR378" s="51"/>
    </x:row>
    <x:row r="379">
      <x:c r="A379" s="9" t="str">
        <x:f>IF(D379="","",ROW()-1)</x:f>
      </x:c>
      <x:c r="B379" s="51"/>
      <x:c r="C379" s="51"/>
      <x:c r="D379" s="51"/>
      <x:c r="E379" s="9" t="str">
        <x:f>IF(D379="","",IF(AND(F379&lt;='Calibrare v2'!$B$33,G379&gt;=0.86),"DA – FEZABIL",IF(G379&gt;=0.8,"DA – PRUDENT","NU – EVITĂ")))</x:f>
      </x:c>
      <x:c r="F379" s="16" t="str">
        <x:f>IF(OR(W379="",X379=""),"",W379+X379)</x:f>
      </x:c>
      <x:c r="G379" s="28" t="str">
        <x:f>IF(F379="","",EXP(-F379)*(1+F379+F379^2/2+F379^3/6+F379^4/24))</x:f>
      </x:c>
      <x:c r="H379" s="53"/>
      <x:c r="I379" s="9" t="str">
        <x:f>IF(F379="","",IF(F379&lt;='Calibrare v2'!$B$33,"PASS","FAIL"))</x:f>
      </x:c>
      <x:c r="J379" s="51"/>
      <x:c r="K379" s="51"/>
      <x:c r="L379" s="9" t="str">
        <x:f>IF(OR(J379="",K379=""),"",J379+K379)</x:f>
      </x:c>
      <x:c r="M379" s="9" t="str">
        <x:f>IF(L379="","",IF(L379&lt;=4,"UNDER","OVER"))</x:f>
      </x:c>
      <x:c r="N379" s="9" t="str">
        <x:f>IF(E379="","",IF(LEFT(E379,2)="DA","PARIU U298,5","NO BET"))</x:f>
      </x:c>
      <x:c r="O379" s="9" t="str">
        <x:f>IF(M379="","",IF(AM379="PARIU U298,5",IF(M379="UNDER","SUCCES","EȘEC"),IF(M379="UNDER","FALS NEGATIV","EVITARE CORECTĂ")))</x:f>
      </x:c>
      <x:c r="P379" s="9" t="str">
        <x:f>IF(M379="","",IF(M379="UNDER",1,0))</x:f>
      </x:c>
      <x:c r="Q379" s="9" t="str">
        <x:f>IF(P379="","",(G379-P379)^2)</x:f>
      </x:c>
      <x:c r="R379" s="9" t="str">
        <x:f>IF(L379="","",L379-F379)</x:f>
      </x:c>
      <x:c r="S379" s="9" t="str">
        <x:f>IF(L379="","",IF(M379="UNDER","U298,5 reușit; total final "&amp;L379&amp;" vs λ="&amp;TEXT(F379,"0.00")&amp;".","Eșec U298,5; total final "&amp;L379&amp;" vs λ="&amp;TEXT(F379,"0.00")&amp;". Revizuiește Tail Risk, sursa λ și calibrarea."))</x:f>
      </x:c>
      <x:c r="T379" s="51"/>
      <x:c r="U379" s="51"/>
      <x:c r="V379" s="51"/>
      <x:c r="W379" s="61"/>
      <x:c r="X379" s="61"/>
      <x:c r="Y379" s="51"/>
      <x:c r="Z379" s="53"/>
      <x:c r="AA379" s="51"/>
      <x:c r="AB379" s="64" t="str">
        <x:f>IF(AC379="","",AC379)</x:f>
      </x:c>
      <x:c r="AC379" s="67"/>
      <x:c r="AD379" s="69" t="str">
        <x:f>IF(AE379="","",AE379)</x:f>
      </x:c>
      <x:c r="AE379" s="71"/>
      <x:c r="AF379" s="73" t="str">
        <x:f>IF(AC379="","",1/AC379)</x:f>
      </x:c>
      <x:c r="AG379" s="61"/>
      <x:c r="AH379" s="61"/>
      <x:c r="AI379" s="64" t="str">
        <x:f>IF(OR(AC379="",AG379=""),"",AC379*AG379-1)</x:f>
      </x:c>
      <x:c r="AJ379" s="75" t="str">
        <x:f>IF(OR(G379="",F379=""),"",IF(AND(G379&gt;='Calibrare v2'!$B$35,F379&lt;='Calibrare v2'!$B$34),"PASS","FAIL"))</x:f>
      </x:c>
      <x:c r="AK379" s="75" t="str">
        <x:f>IF(AL379="","",AL379)</x:f>
      </x:c>
      <x:c r="AL379" s="77"/>
      <x:c r="AM379" s="77"/>
      <x:c r="AN379" s="64" t="str">
        <x:f>IF(OR(AC379="",P379=""),"",(AC379-P379)^2)</x:f>
      </x:c>
      <x:c r="AO379" s="64" t="str">
        <x:f>IF(OR(AG379="",AH379=""),"",AG379/AH379-1)</x:f>
      </x:c>
      <x:c r="AP379" s="61"/>
      <x:c r="AQ379" s="73" t="n">
        <x:f>IF(OR(AM379&lt;&gt;"PARIU U4,5",M379="",AP379="",AG379=""),0,IF(M379="UNDER",AP379*(AG379-1),-AP379))</x:f>
        <x:v>0</x:v>
      </x:c>
      <x:c r="AR379" s="51"/>
    </x:row>
    <x:row r="380">
      <x:c r="A380" s="9" t="str">
        <x:f>IF(D380="","",ROW()-1)</x:f>
      </x:c>
      <x:c r="B380" s="51"/>
      <x:c r="C380" s="51"/>
      <x:c r="D380" s="51"/>
      <x:c r="E380" s="9" t="str">
        <x:f>IF(D380="","",IF(AND(F380&lt;='Calibrare v2'!$B$33,G380&gt;=0.86),"DA – FEZABIL",IF(G380&gt;=0.8,"DA – PRUDENT","NU – EVITĂ")))</x:f>
      </x:c>
      <x:c r="F380" s="16" t="str">
        <x:f>IF(OR(W380="",X380=""),"",W380+X380)</x:f>
      </x:c>
      <x:c r="G380" s="28" t="str">
        <x:f>IF(F380="","",EXP(-F380)*(1+F380+F380^2/2+F380^3/6+F380^4/24))</x:f>
      </x:c>
      <x:c r="H380" s="53"/>
      <x:c r="I380" s="9" t="str">
        <x:f>IF(F380="","",IF(F380&lt;='Calibrare v2'!$B$33,"PASS","FAIL"))</x:f>
      </x:c>
      <x:c r="J380" s="51"/>
      <x:c r="K380" s="51"/>
      <x:c r="L380" s="9" t="str">
        <x:f>IF(OR(J380="",K380=""),"",J380+K380)</x:f>
      </x:c>
      <x:c r="M380" s="9" t="str">
        <x:f>IF(L380="","",IF(L380&lt;=4,"UNDER","OVER"))</x:f>
      </x:c>
      <x:c r="N380" s="9" t="str">
        <x:f>IF(E380="","",IF(LEFT(E380,2)="DA","PARIU U299,5","NO BET"))</x:f>
      </x:c>
      <x:c r="O380" s="9" t="str">
        <x:f>IF(M380="","",IF(AM380="PARIU U299,5",IF(M380="UNDER","SUCCES","EȘEC"),IF(M380="UNDER","FALS NEGATIV","EVITARE CORECTĂ")))</x:f>
      </x:c>
      <x:c r="P380" s="9" t="str">
        <x:f>IF(M380="","",IF(M380="UNDER",1,0))</x:f>
      </x:c>
      <x:c r="Q380" s="9" t="str">
        <x:f>IF(P380="","",(G380-P380)^2)</x:f>
      </x:c>
      <x:c r="R380" s="9" t="str">
        <x:f>IF(L380="","",L380-F380)</x:f>
      </x:c>
      <x:c r="S380" s="9" t="str">
        <x:f>IF(L380="","",IF(M380="UNDER","U299,5 reușit; total final "&amp;L380&amp;" vs λ="&amp;TEXT(F380,"0.00")&amp;".","Eșec U299,5; total final "&amp;L380&amp;" vs λ="&amp;TEXT(F380,"0.00")&amp;". Revizuiește Tail Risk, sursa λ și calibrarea."))</x:f>
      </x:c>
      <x:c r="T380" s="51"/>
      <x:c r="U380" s="51"/>
      <x:c r="V380" s="51"/>
      <x:c r="W380" s="61"/>
      <x:c r="X380" s="61"/>
      <x:c r="Y380" s="51"/>
      <x:c r="Z380" s="53"/>
      <x:c r="AA380" s="51"/>
      <x:c r="AB380" s="64" t="str">
        <x:f>IF(AC380="","",AC380)</x:f>
      </x:c>
      <x:c r="AC380" s="67"/>
      <x:c r="AD380" s="69" t="str">
        <x:f>IF(AE380="","",AE380)</x:f>
      </x:c>
      <x:c r="AE380" s="71"/>
      <x:c r="AF380" s="73" t="str">
        <x:f>IF(AC380="","",1/AC380)</x:f>
      </x:c>
      <x:c r="AG380" s="61"/>
      <x:c r="AH380" s="61"/>
      <x:c r="AI380" s="64" t="str">
        <x:f>IF(OR(AC380="",AG380=""),"",AC380*AG380-1)</x:f>
      </x:c>
      <x:c r="AJ380" s="75" t="str">
        <x:f>IF(OR(G380="",F380=""),"",IF(AND(G380&gt;='Calibrare v2'!$B$35,F380&lt;='Calibrare v2'!$B$34),"PASS","FAIL"))</x:f>
      </x:c>
      <x:c r="AK380" s="75" t="str">
        <x:f>IF(AL380="","",AL380)</x:f>
      </x:c>
      <x:c r="AL380" s="77"/>
      <x:c r="AM380" s="77"/>
      <x:c r="AN380" s="64" t="str">
        <x:f>IF(OR(AC380="",P380=""),"",(AC380-P380)^2)</x:f>
      </x:c>
      <x:c r="AO380" s="64" t="str">
        <x:f>IF(OR(AG380="",AH380=""),"",AG380/AH380-1)</x:f>
      </x:c>
      <x:c r="AP380" s="61"/>
      <x:c r="AQ380" s="73" t="n">
        <x:f>IF(OR(AM380&lt;&gt;"PARIU U4,5",M380="",AP380="",AG380=""),0,IF(M380="UNDER",AP380*(AG380-1),-AP380))</x:f>
        <x:v>0</x:v>
      </x:c>
      <x:c r="AR380" s="51"/>
    </x:row>
    <x:row r="381">
      <x:c r="A381" s="9" t="str">
        <x:f>IF(D381="","",ROW()-1)</x:f>
      </x:c>
      <x:c r="B381" s="51"/>
      <x:c r="C381" s="51"/>
      <x:c r="D381" s="51"/>
      <x:c r="E381" s="9" t="str">
        <x:f>IF(D381="","",IF(AND(F381&lt;='Calibrare v2'!$B$33,G381&gt;=0.86),"DA – FEZABIL",IF(G381&gt;=0.8,"DA – PRUDENT","NU – EVITĂ")))</x:f>
      </x:c>
      <x:c r="F381" s="16" t="str">
        <x:f>IF(OR(W381="",X381=""),"",W381+X381)</x:f>
      </x:c>
      <x:c r="G381" s="28" t="str">
        <x:f>IF(F381="","",EXP(-F381)*(1+F381+F381^2/2+F381^3/6+F381^4/24))</x:f>
      </x:c>
      <x:c r="H381" s="53"/>
      <x:c r="I381" s="9" t="str">
        <x:f>IF(F381="","",IF(F381&lt;='Calibrare v2'!$B$33,"PASS","FAIL"))</x:f>
      </x:c>
      <x:c r="J381" s="51"/>
      <x:c r="K381" s="51"/>
      <x:c r="L381" s="9" t="str">
        <x:f>IF(OR(J381="",K381=""),"",J381+K381)</x:f>
      </x:c>
      <x:c r="M381" s="9" t="str">
        <x:f>IF(L381="","",IF(L381&lt;=4,"UNDER","OVER"))</x:f>
      </x:c>
      <x:c r="N381" s="9" t="str">
        <x:f>IF(E381="","",IF(LEFT(E381,2)="DA","PARIU U300,5","NO BET"))</x:f>
      </x:c>
      <x:c r="O381" s="9" t="str">
        <x:f>IF(M381="","",IF(AM381="PARIU U300,5",IF(M381="UNDER","SUCCES","EȘEC"),IF(M381="UNDER","FALS NEGATIV","EVITARE CORECTĂ")))</x:f>
      </x:c>
      <x:c r="P381" s="9" t="str">
        <x:f>IF(M381="","",IF(M381="UNDER",1,0))</x:f>
      </x:c>
      <x:c r="Q381" s="9" t="str">
        <x:f>IF(P381="","",(G381-P381)^2)</x:f>
      </x:c>
      <x:c r="R381" s="9" t="str">
        <x:f>IF(L381="","",L381-F381)</x:f>
      </x:c>
      <x:c r="S381" s="9" t="str">
        <x:f>IF(L381="","",IF(M381="UNDER","U300,5 reușit; total final "&amp;L381&amp;" vs λ="&amp;TEXT(F381,"0.00")&amp;".","Eșec U300,5; total final "&amp;L381&amp;" vs λ="&amp;TEXT(F381,"0.00")&amp;". Revizuiește Tail Risk, sursa λ și calibrarea."))</x:f>
      </x:c>
      <x:c r="T381" s="51"/>
      <x:c r="U381" s="51"/>
      <x:c r="V381" s="51"/>
      <x:c r="W381" s="61"/>
      <x:c r="X381" s="61"/>
      <x:c r="Y381" s="51"/>
      <x:c r="Z381" s="53"/>
      <x:c r="AA381" s="51"/>
      <x:c r="AB381" s="64" t="str">
        <x:f>IF(AC381="","",AC381)</x:f>
      </x:c>
      <x:c r="AC381" s="67"/>
      <x:c r="AD381" s="69" t="str">
        <x:f>IF(AE381="","",AE381)</x:f>
      </x:c>
      <x:c r="AE381" s="71"/>
      <x:c r="AF381" s="73" t="str">
        <x:f>IF(AC381="","",1/AC381)</x:f>
      </x:c>
      <x:c r="AG381" s="61"/>
      <x:c r="AH381" s="61"/>
      <x:c r="AI381" s="64" t="str">
        <x:f>IF(OR(AC381="",AG381=""),"",AC381*AG381-1)</x:f>
      </x:c>
      <x:c r="AJ381" s="75" t="str">
        <x:f>IF(OR(G381="",F381=""),"",IF(AND(G381&gt;='Calibrare v2'!$B$35,F381&lt;='Calibrare v2'!$B$34),"PASS","FAIL"))</x:f>
      </x:c>
      <x:c r="AK381" s="75" t="str">
        <x:f>IF(AL381="","",AL381)</x:f>
      </x:c>
      <x:c r="AL381" s="77"/>
      <x:c r="AM381" s="77"/>
      <x:c r="AN381" s="64" t="str">
        <x:f>IF(OR(AC381="",P381=""),"",(AC381-P381)^2)</x:f>
      </x:c>
      <x:c r="AO381" s="64" t="str">
        <x:f>IF(OR(AG381="",AH381=""),"",AG381/AH381-1)</x:f>
      </x:c>
      <x:c r="AP381" s="61"/>
      <x:c r="AQ381" s="73" t="n">
        <x:f>IF(OR(AM381&lt;&gt;"PARIU U4,5",M381="",AP381="",AG381=""),0,IF(M381="UNDER",AP381*(AG381-1),-AP381))</x:f>
        <x:v>0</x:v>
      </x:c>
      <x:c r="AR381" s="51"/>
    </x:row>
    <x:row r="382">
      <x:c r="A382" s="9" t="str">
        <x:f>IF(D382="","",ROW()-1)</x:f>
      </x:c>
      <x:c r="B382" s="51"/>
      <x:c r="C382" s="51"/>
      <x:c r="D382" s="51"/>
      <x:c r="E382" s="9" t="str">
        <x:f>IF(D382="","",IF(AND(F382&lt;='Calibrare v2'!$B$33,G382&gt;=0.86),"DA – FEZABIL",IF(G382&gt;=0.8,"DA – PRUDENT","NU – EVITĂ")))</x:f>
      </x:c>
      <x:c r="F382" s="16" t="str">
        <x:f>IF(OR(W382="",X382=""),"",W382+X382)</x:f>
      </x:c>
      <x:c r="G382" s="28" t="str">
        <x:f>IF(F382="","",EXP(-F382)*(1+F382+F382^2/2+F382^3/6+F382^4/24))</x:f>
      </x:c>
      <x:c r="H382" s="53"/>
      <x:c r="I382" s="9" t="str">
        <x:f>IF(F382="","",IF(F382&lt;='Calibrare v2'!$B$33,"PASS","FAIL"))</x:f>
      </x:c>
      <x:c r="J382" s="51"/>
      <x:c r="K382" s="51"/>
      <x:c r="L382" s="9" t="str">
        <x:f>IF(OR(J382="",K382=""),"",J382+K382)</x:f>
      </x:c>
      <x:c r="M382" s="9" t="str">
        <x:f>IF(L382="","",IF(L382&lt;=4,"UNDER","OVER"))</x:f>
      </x:c>
      <x:c r="N382" s="9" t="str">
        <x:f>IF(E382="","",IF(LEFT(E382,2)="DA","PARIU U301,5","NO BET"))</x:f>
      </x:c>
      <x:c r="O382" s="9" t="str">
        <x:f>IF(M382="","",IF(AM382="PARIU U301,5",IF(M382="UNDER","SUCCES","EȘEC"),IF(M382="UNDER","FALS NEGATIV","EVITARE CORECTĂ")))</x:f>
      </x:c>
      <x:c r="P382" s="9" t="str">
        <x:f>IF(M382="","",IF(M382="UNDER",1,0))</x:f>
      </x:c>
      <x:c r="Q382" s="9" t="str">
        <x:f>IF(P382="","",(G382-P382)^2)</x:f>
      </x:c>
      <x:c r="R382" s="9" t="str">
        <x:f>IF(L382="","",L382-F382)</x:f>
      </x:c>
      <x:c r="S382" s="9" t="str">
        <x:f>IF(L382="","",IF(M382="UNDER","U301,5 reușit; total final "&amp;L382&amp;" vs λ="&amp;TEXT(F382,"0.00")&amp;".","Eșec U301,5; total final "&amp;L382&amp;" vs λ="&amp;TEXT(F382,"0.00")&amp;". Revizuiește Tail Risk, sursa λ și calibrarea."))</x:f>
      </x:c>
      <x:c r="T382" s="51"/>
      <x:c r="U382" s="51"/>
      <x:c r="V382" s="51"/>
      <x:c r="W382" s="61"/>
      <x:c r="X382" s="61"/>
      <x:c r="Y382" s="51"/>
      <x:c r="Z382" s="53"/>
      <x:c r="AA382" s="51"/>
      <x:c r="AB382" s="64" t="str">
        <x:f>IF(AC382="","",AC382)</x:f>
      </x:c>
      <x:c r="AC382" s="67"/>
      <x:c r="AD382" s="69" t="str">
        <x:f>IF(AE382="","",AE382)</x:f>
      </x:c>
      <x:c r="AE382" s="71"/>
      <x:c r="AF382" s="73" t="str">
        <x:f>IF(AC382="","",1/AC382)</x:f>
      </x:c>
      <x:c r="AG382" s="61"/>
      <x:c r="AH382" s="61"/>
      <x:c r="AI382" s="64" t="str">
        <x:f>IF(OR(AC382="",AG382=""),"",AC382*AG382-1)</x:f>
      </x:c>
      <x:c r="AJ382" s="75" t="str">
        <x:f>IF(OR(G382="",F382=""),"",IF(AND(G382&gt;='Calibrare v2'!$B$35,F382&lt;='Calibrare v2'!$B$34),"PASS","FAIL"))</x:f>
      </x:c>
      <x:c r="AK382" s="75" t="str">
        <x:f>IF(AL382="","",AL382)</x:f>
      </x:c>
      <x:c r="AL382" s="77"/>
      <x:c r="AM382" s="77"/>
      <x:c r="AN382" s="64" t="str">
        <x:f>IF(OR(AC382="",P382=""),"",(AC382-P382)^2)</x:f>
      </x:c>
      <x:c r="AO382" s="64" t="str">
        <x:f>IF(OR(AG382="",AH382=""),"",AG382/AH382-1)</x:f>
      </x:c>
      <x:c r="AP382" s="61"/>
      <x:c r="AQ382" s="73" t="n">
        <x:f>IF(OR(AM382&lt;&gt;"PARIU U4,5",M382="",AP382="",AG382=""),0,IF(M382="UNDER",AP382*(AG382-1),-AP382))</x:f>
        <x:v>0</x:v>
      </x:c>
      <x:c r="AR382" s="51"/>
    </x:row>
    <x:row r="383">
      <x:c r="A383" s="9" t="str">
        <x:f>IF(D383="","",ROW()-1)</x:f>
      </x:c>
      <x:c r="B383" s="51"/>
      <x:c r="C383" s="51"/>
      <x:c r="D383" s="51"/>
      <x:c r="E383" s="9" t="str">
        <x:f>IF(D383="","",IF(AND(F383&lt;='Calibrare v2'!$B$33,G383&gt;=0.86),"DA – FEZABIL",IF(G383&gt;=0.8,"DA – PRUDENT","NU – EVITĂ")))</x:f>
      </x:c>
      <x:c r="F383" s="16" t="str">
        <x:f>IF(OR(W383="",X383=""),"",W383+X383)</x:f>
      </x:c>
      <x:c r="G383" s="28" t="str">
        <x:f>IF(F383="","",EXP(-F383)*(1+F383+F383^2/2+F383^3/6+F383^4/24))</x:f>
      </x:c>
      <x:c r="H383" s="53"/>
      <x:c r="I383" s="9" t="str">
        <x:f>IF(F383="","",IF(F383&lt;='Calibrare v2'!$B$33,"PASS","FAIL"))</x:f>
      </x:c>
      <x:c r="J383" s="51"/>
      <x:c r="K383" s="51"/>
      <x:c r="L383" s="9" t="str">
        <x:f>IF(OR(J383="",K383=""),"",J383+K383)</x:f>
      </x:c>
      <x:c r="M383" s="9" t="str">
        <x:f>IF(L383="","",IF(L383&lt;=4,"UNDER","OVER"))</x:f>
      </x:c>
      <x:c r="N383" s="9" t="str">
        <x:f>IF(E383="","",IF(LEFT(E383,2)="DA","PARIU U302,5","NO BET"))</x:f>
      </x:c>
      <x:c r="O383" s="9" t="str">
        <x:f>IF(M383="","",IF(AM383="PARIU U302,5",IF(M383="UNDER","SUCCES","EȘEC"),IF(M383="UNDER","FALS NEGATIV","EVITARE CORECTĂ")))</x:f>
      </x:c>
      <x:c r="P383" s="9" t="str">
        <x:f>IF(M383="","",IF(M383="UNDER",1,0))</x:f>
      </x:c>
      <x:c r="Q383" s="9" t="str">
        <x:f>IF(P383="","",(G383-P383)^2)</x:f>
      </x:c>
      <x:c r="R383" s="9" t="str">
        <x:f>IF(L383="","",L383-F383)</x:f>
      </x:c>
      <x:c r="S383" s="9" t="str">
        <x:f>IF(L383="","",IF(M383="UNDER","U302,5 reușit; total final "&amp;L383&amp;" vs λ="&amp;TEXT(F383,"0.00")&amp;".","Eșec U302,5; total final "&amp;L383&amp;" vs λ="&amp;TEXT(F383,"0.00")&amp;". Revizuiește Tail Risk, sursa λ și calibrarea."))</x:f>
      </x:c>
      <x:c r="T383" s="51"/>
      <x:c r="U383" s="51"/>
      <x:c r="V383" s="51"/>
      <x:c r="W383" s="61"/>
      <x:c r="X383" s="61"/>
      <x:c r="Y383" s="51"/>
      <x:c r="Z383" s="53"/>
      <x:c r="AA383" s="51"/>
      <x:c r="AB383" s="64" t="str">
        <x:f>IF(AC383="","",AC383)</x:f>
      </x:c>
      <x:c r="AC383" s="67"/>
      <x:c r="AD383" s="69" t="str">
        <x:f>IF(AE383="","",AE383)</x:f>
      </x:c>
      <x:c r="AE383" s="71"/>
      <x:c r="AF383" s="73" t="str">
        <x:f>IF(AC383="","",1/AC383)</x:f>
      </x:c>
      <x:c r="AG383" s="61"/>
      <x:c r="AH383" s="61"/>
      <x:c r="AI383" s="64" t="str">
        <x:f>IF(OR(AC383="",AG383=""),"",AC383*AG383-1)</x:f>
      </x:c>
      <x:c r="AJ383" s="75" t="str">
        <x:f>IF(OR(G383="",F383=""),"",IF(AND(G383&gt;='Calibrare v2'!$B$35,F383&lt;='Calibrare v2'!$B$34),"PASS","FAIL"))</x:f>
      </x:c>
      <x:c r="AK383" s="75" t="str">
        <x:f>IF(AL383="","",AL383)</x:f>
      </x:c>
      <x:c r="AL383" s="77"/>
      <x:c r="AM383" s="77"/>
      <x:c r="AN383" s="64" t="str">
        <x:f>IF(OR(AC383="",P383=""),"",(AC383-P383)^2)</x:f>
      </x:c>
      <x:c r="AO383" s="64" t="str">
        <x:f>IF(OR(AG383="",AH383=""),"",AG383/AH383-1)</x:f>
      </x:c>
      <x:c r="AP383" s="61"/>
      <x:c r="AQ383" s="73" t="n">
        <x:f>IF(OR(AM383&lt;&gt;"PARIU U4,5",M383="",AP383="",AG383=""),0,IF(M383="UNDER",AP383*(AG383-1),-AP383))</x:f>
        <x:v>0</x:v>
      </x:c>
      <x:c r="AR383" s="51"/>
    </x:row>
    <x:row r="384">
      <x:c r="A384" s="9" t="str">
        <x:f>IF(D384="","",ROW()-1)</x:f>
      </x:c>
      <x:c r="B384" s="51"/>
      <x:c r="C384" s="51"/>
      <x:c r="D384" s="51"/>
      <x:c r="E384" s="9" t="str">
        <x:f>IF(D384="","",IF(AND(F384&lt;='Calibrare v2'!$B$33,G384&gt;=0.86),"DA – FEZABIL",IF(G384&gt;=0.8,"DA – PRUDENT","NU – EVITĂ")))</x:f>
      </x:c>
      <x:c r="F384" s="16" t="str">
        <x:f>IF(OR(W384="",X384=""),"",W384+X384)</x:f>
      </x:c>
      <x:c r="G384" s="28" t="str">
        <x:f>IF(F384="","",EXP(-F384)*(1+F384+F384^2/2+F384^3/6+F384^4/24))</x:f>
      </x:c>
      <x:c r="H384" s="53"/>
      <x:c r="I384" s="9" t="str">
        <x:f>IF(F384="","",IF(F384&lt;='Calibrare v2'!$B$33,"PASS","FAIL"))</x:f>
      </x:c>
      <x:c r="J384" s="51"/>
      <x:c r="K384" s="51"/>
      <x:c r="L384" s="9" t="str">
        <x:f>IF(OR(J384="",K384=""),"",J384+K384)</x:f>
      </x:c>
      <x:c r="M384" s="9" t="str">
        <x:f>IF(L384="","",IF(L384&lt;=4,"UNDER","OVER"))</x:f>
      </x:c>
      <x:c r="N384" s="9" t="str">
        <x:f>IF(E384="","",IF(LEFT(E384,2)="DA","PARIU U303,5","NO BET"))</x:f>
      </x:c>
      <x:c r="O384" s="9" t="str">
        <x:f>IF(M384="","",IF(AM384="PARIU U303,5",IF(M384="UNDER","SUCCES","EȘEC"),IF(M384="UNDER","FALS NEGATIV","EVITARE CORECTĂ")))</x:f>
      </x:c>
      <x:c r="P384" s="9" t="str">
        <x:f>IF(M384="","",IF(M384="UNDER",1,0))</x:f>
      </x:c>
      <x:c r="Q384" s="9" t="str">
        <x:f>IF(P384="","",(G384-P384)^2)</x:f>
      </x:c>
      <x:c r="R384" s="9" t="str">
        <x:f>IF(L384="","",L384-F384)</x:f>
      </x:c>
      <x:c r="S384" s="9" t="str">
        <x:f>IF(L384="","",IF(M384="UNDER","U303,5 reușit; total final "&amp;L384&amp;" vs λ="&amp;TEXT(F384,"0.00")&amp;".","Eșec U303,5; total final "&amp;L384&amp;" vs λ="&amp;TEXT(F384,"0.00")&amp;". Revizuiește Tail Risk, sursa λ și calibrarea."))</x:f>
      </x:c>
      <x:c r="T384" s="51"/>
      <x:c r="U384" s="51"/>
      <x:c r="V384" s="51"/>
      <x:c r="W384" s="61"/>
      <x:c r="X384" s="61"/>
      <x:c r="Y384" s="51"/>
      <x:c r="Z384" s="53"/>
      <x:c r="AA384" s="51"/>
      <x:c r="AB384" s="64" t="str">
        <x:f>IF(AC384="","",AC384)</x:f>
      </x:c>
      <x:c r="AC384" s="67"/>
      <x:c r="AD384" s="69" t="str">
        <x:f>IF(AE384="","",AE384)</x:f>
      </x:c>
      <x:c r="AE384" s="71"/>
      <x:c r="AF384" s="73" t="str">
        <x:f>IF(AC384="","",1/AC384)</x:f>
      </x:c>
      <x:c r="AG384" s="61"/>
      <x:c r="AH384" s="61"/>
      <x:c r="AI384" s="64" t="str">
        <x:f>IF(OR(AC384="",AG384=""),"",AC384*AG384-1)</x:f>
      </x:c>
      <x:c r="AJ384" s="75" t="str">
        <x:f>IF(OR(G384="",F384=""),"",IF(AND(G384&gt;='Calibrare v2'!$B$35,F384&lt;='Calibrare v2'!$B$34),"PASS","FAIL"))</x:f>
      </x:c>
      <x:c r="AK384" s="75" t="str">
        <x:f>IF(AL384="","",AL384)</x:f>
      </x:c>
      <x:c r="AL384" s="77"/>
      <x:c r="AM384" s="77"/>
      <x:c r="AN384" s="64" t="str">
        <x:f>IF(OR(AC384="",P384=""),"",(AC384-P384)^2)</x:f>
      </x:c>
      <x:c r="AO384" s="64" t="str">
        <x:f>IF(OR(AG384="",AH384=""),"",AG384/AH384-1)</x:f>
      </x:c>
      <x:c r="AP384" s="61"/>
      <x:c r="AQ384" s="73" t="n">
        <x:f>IF(OR(AM384&lt;&gt;"PARIU U4,5",M384="",AP384="",AG384=""),0,IF(M384="UNDER",AP384*(AG384-1),-AP384))</x:f>
        <x:v>0</x:v>
      </x:c>
      <x:c r="AR384" s="51"/>
    </x:row>
    <x:row r="385">
      <x:c r="A385" s="9" t="str">
        <x:f>IF(D385="","",ROW()-1)</x:f>
      </x:c>
      <x:c r="B385" s="51"/>
      <x:c r="C385" s="51"/>
      <x:c r="D385" s="51"/>
      <x:c r="E385" s="9" t="str">
        <x:f>IF(D385="","",IF(AND(F385&lt;='Calibrare v2'!$B$33,G385&gt;=0.86),"DA – FEZABIL",IF(G385&gt;=0.8,"DA – PRUDENT","NU – EVITĂ")))</x:f>
      </x:c>
      <x:c r="F385" s="16" t="str">
        <x:f>IF(OR(W385="",X385=""),"",W385+X385)</x:f>
      </x:c>
      <x:c r="G385" s="28" t="str">
        <x:f>IF(F385="","",EXP(-F385)*(1+F385+F385^2/2+F385^3/6+F385^4/24))</x:f>
      </x:c>
      <x:c r="H385" s="53"/>
      <x:c r="I385" s="9" t="str">
        <x:f>IF(F385="","",IF(F385&lt;='Calibrare v2'!$B$33,"PASS","FAIL"))</x:f>
      </x:c>
      <x:c r="J385" s="51"/>
      <x:c r="K385" s="51"/>
      <x:c r="L385" s="9" t="str">
        <x:f>IF(OR(J385="",K385=""),"",J385+K385)</x:f>
      </x:c>
      <x:c r="M385" s="9" t="str">
        <x:f>IF(L385="","",IF(L385&lt;=4,"UNDER","OVER"))</x:f>
      </x:c>
      <x:c r="N385" s="9" t="str">
        <x:f>IF(E385="","",IF(LEFT(E385,2)="DA","PARIU U304,5","NO BET"))</x:f>
      </x:c>
      <x:c r="O385" s="9" t="str">
        <x:f>IF(M385="","",IF(AM385="PARIU U304,5",IF(M385="UNDER","SUCCES","EȘEC"),IF(M385="UNDER","FALS NEGATIV","EVITARE CORECTĂ")))</x:f>
      </x:c>
      <x:c r="P385" s="9" t="str">
        <x:f>IF(M385="","",IF(M385="UNDER",1,0))</x:f>
      </x:c>
      <x:c r="Q385" s="9" t="str">
        <x:f>IF(P385="","",(G385-P385)^2)</x:f>
      </x:c>
      <x:c r="R385" s="9" t="str">
        <x:f>IF(L385="","",L385-F385)</x:f>
      </x:c>
      <x:c r="S385" s="9" t="str">
        <x:f>IF(L385="","",IF(M385="UNDER","U304,5 reușit; total final "&amp;L385&amp;" vs λ="&amp;TEXT(F385,"0.00")&amp;".","Eșec U304,5; total final "&amp;L385&amp;" vs λ="&amp;TEXT(F385,"0.00")&amp;". Revizuiește Tail Risk, sursa λ și calibrarea."))</x:f>
      </x:c>
      <x:c r="T385" s="51"/>
      <x:c r="U385" s="51"/>
      <x:c r="V385" s="51"/>
      <x:c r="W385" s="61"/>
      <x:c r="X385" s="61"/>
      <x:c r="Y385" s="51"/>
      <x:c r="Z385" s="53"/>
      <x:c r="AA385" s="51"/>
      <x:c r="AB385" s="64" t="str">
        <x:f>IF(AC385="","",AC385)</x:f>
      </x:c>
      <x:c r="AC385" s="67"/>
      <x:c r="AD385" s="69" t="str">
        <x:f>IF(AE385="","",AE385)</x:f>
      </x:c>
      <x:c r="AE385" s="71"/>
      <x:c r="AF385" s="73" t="str">
        <x:f>IF(AC385="","",1/AC385)</x:f>
      </x:c>
      <x:c r="AG385" s="61"/>
      <x:c r="AH385" s="61"/>
      <x:c r="AI385" s="64" t="str">
        <x:f>IF(OR(AC385="",AG385=""),"",AC385*AG385-1)</x:f>
      </x:c>
      <x:c r="AJ385" s="75" t="str">
        <x:f>IF(OR(G385="",F385=""),"",IF(AND(G385&gt;='Calibrare v2'!$B$35,F385&lt;='Calibrare v2'!$B$34),"PASS","FAIL"))</x:f>
      </x:c>
      <x:c r="AK385" s="75" t="str">
        <x:f>IF(AL385="","",AL385)</x:f>
      </x:c>
      <x:c r="AL385" s="77"/>
      <x:c r="AM385" s="77"/>
      <x:c r="AN385" s="64" t="str">
        <x:f>IF(OR(AC385="",P385=""),"",(AC385-P385)^2)</x:f>
      </x:c>
      <x:c r="AO385" s="64" t="str">
        <x:f>IF(OR(AG385="",AH385=""),"",AG385/AH385-1)</x:f>
      </x:c>
      <x:c r="AP385" s="61"/>
      <x:c r="AQ385" s="73" t="n">
        <x:f>IF(OR(AM385&lt;&gt;"PARIU U4,5",M385="",AP385="",AG385=""),0,IF(M385="UNDER",AP385*(AG385-1),-AP385))</x:f>
        <x:v>0</x:v>
      </x:c>
      <x:c r="AR385" s="51"/>
    </x:row>
    <x:row r="386">
      <x:c r="A386" s="9" t="str">
        <x:f>IF(D386="","",ROW()-1)</x:f>
      </x:c>
      <x:c r="B386" s="51"/>
      <x:c r="C386" s="51"/>
      <x:c r="D386" s="51"/>
      <x:c r="E386" s="9" t="str">
        <x:f>IF(D386="","",IF(AND(F386&lt;='Calibrare v2'!$B$33,G386&gt;=0.86),"DA – FEZABIL",IF(G386&gt;=0.8,"DA – PRUDENT","NU – EVITĂ")))</x:f>
      </x:c>
      <x:c r="F386" s="16" t="str">
        <x:f>IF(OR(W386="",X386=""),"",W386+X386)</x:f>
      </x:c>
      <x:c r="G386" s="28" t="str">
        <x:f>IF(F386="","",EXP(-F386)*(1+F386+F386^2/2+F386^3/6+F386^4/24))</x:f>
      </x:c>
      <x:c r="H386" s="53"/>
      <x:c r="I386" s="9" t="str">
        <x:f>IF(F386="","",IF(F386&lt;='Calibrare v2'!$B$33,"PASS","FAIL"))</x:f>
      </x:c>
      <x:c r="J386" s="51"/>
      <x:c r="K386" s="51"/>
      <x:c r="L386" s="9" t="str">
        <x:f>IF(OR(J386="",K386=""),"",J386+K386)</x:f>
      </x:c>
      <x:c r="M386" s="9" t="str">
        <x:f>IF(L386="","",IF(L386&lt;=4,"UNDER","OVER"))</x:f>
      </x:c>
      <x:c r="N386" s="9" t="str">
        <x:f>IF(E386="","",IF(LEFT(E386,2)="DA","PARIU U305,5","NO BET"))</x:f>
      </x:c>
      <x:c r="O386" s="9" t="str">
        <x:f>IF(M386="","",IF(AM386="PARIU U305,5",IF(M386="UNDER","SUCCES","EȘEC"),IF(M386="UNDER","FALS NEGATIV","EVITARE CORECTĂ")))</x:f>
      </x:c>
      <x:c r="P386" s="9" t="str">
        <x:f>IF(M386="","",IF(M386="UNDER",1,0))</x:f>
      </x:c>
      <x:c r="Q386" s="9" t="str">
        <x:f>IF(P386="","",(G386-P386)^2)</x:f>
      </x:c>
      <x:c r="R386" s="9" t="str">
        <x:f>IF(L386="","",L386-F386)</x:f>
      </x:c>
      <x:c r="S386" s="9" t="str">
        <x:f>IF(L386="","",IF(M386="UNDER","U305,5 reușit; total final "&amp;L386&amp;" vs λ="&amp;TEXT(F386,"0.00")&amp;".","Eșec U305,5; total final "&amp;L386&amp;" vs λ="&amp;TEXT(F386,"0.00")&amp;". Revizuiește Tail Risk, sursa λ și calibrarea."))</x:f>
      </x:c>
      <x:c r="T386" s="51"/>
      <x:c r="U386" s="51"/>
      <x:c r="V386" s="51"/>
      <x:c r="W386" s="61"/>
      <x:c r="X386" s="61"/>
      <x:c r="Y386" s="51"/>
      <x:c r="Z386" s="53"/>
      <x:c r="AA386" s="51"/>
      <x:c r="AB386" s="64" t="str">
        <x:f>IF(AC386="","",AC386)</x:f>
      </x:c>
      <x:c r="AC386" s="67"/>
      <x:c r="AD386" s="69" t="str">
        <x:f>IF(AE386="","",AE386)</x:f>
      </x:c>
      <x:c r="AE386" s="71"/>
      <x:c r="AF386" s="73" t="str">
        <x:f>IF(AC386="","",1/AC386)</x:f>
      </x:c>
      <x:c r="AG386" s="61"/>
      <x:c r="AH386" s="61"/>
      <x:c r="AI386" s="64" t="str">
        <x:f>IF(OR(AC386="",AG386=""),"",AC386*AG386-1)</x:f>
      </x:c>
      <x:c r="AJ386" s="75" t="str">
        <x:f>IF(OR(G386="",F386=""),"",IF(AND(G386&gt;='Calibrare v2'!$B$35,F386&lt;='Calibrare v2'!$B$34),"PASS","FAIL"))</x:f>
      </x:c>
      <x:c r="AK386" s="75" t="str">
        <x:f>IF(AL386="","",AL386)</x:f>
      </x:c>
      <x:c r="AL386" s="77"/>
      <x:c r="AM386" s="77"/>
      <x:c r="AN386" s="64" t="str">
        <x:f>IF(OR(AC386="",P386=""),"",(AC386-P386)^2)</x:f>
      </x:c>
      <x:c r="AO386" s="64" t="str">
        <x:f>IF(OR(AG386="",AH386=""),"",AG386/AH386-1)</x:f>
      </x:c>
      <x:c r="AP386" s="61"/>
      <x:c r="AQ386" s="73" t="n">
        <x:f>IF(OR(AM386&lt;&gt;"PARIU U4,5",M386="",AP386="",AG386=""),0,IF(M386="UNDER",AP386*(AG386-1),-AP386))</x:f>
        <x:v>0</x:v>
      </x:c>
      <x:c r="AR386" s="51"/>
    </x:row>
    <x:row r="387">
      <x:c r="A387" s="9" t="str">
        <x:f>IF(D387="","",ROW()-1)</x:f>
      </x:c>
      <x:c r="B387" s="51"/>
      <x:c r="C387" s="51"/>
      <x:c r="D387" s="51"/>
      <x:c r="E387" s="9" t="str">
        <x:f>IF(D387="","",IF(AND(F387&lt;='Calibrare v2'!$B$33,G387&gt;=0.86),"DA – FEZABIL",IF(G387&gt;=0.8,"DA – PRUDENT","NU – EVITĂ")))</x:f>
      </x:c>
      <x:c r="F387" s="16" t="str">
        <x:f>IF(OR(W387="",X387=""),"",W387+X387)</x:f>
      </x:c>
      <x:c r="G387" s="28" t="str">
        <x:f>IF(F387="","",EXP(-F387)*(1+F387+F387^2/2+F387^3/6+F387^4/24))</x:f>
      </x:c>
      <x:c r="H387" s="53"/>
      <x:c r="I387" s="9" t="str">
        <x:f>IF(F387="","",IF(F387&lt;='Calibrare v2'!$B$33,"PASS","FAIL"))</x:f>
      </x:c>
      <x:c r="J387" s="51"/>
      <x:c r="K387" s="51"/>
      <x:c r="L387" s="9" t="str">
        <x:f>IF(OR(J387="",K387=""),"",J387+K387)</x:f>
      </x:c>
      <x:c r="M387" s="9" t="str">
        <x:f>IF(L387="","",IF(L387&lt;=4,"UNDER","OVER"))</x:f>
      </x:c>
      <x:c r="N387" s="9" t="str">
        <x:f>IF(E387="","",IF(LEFT(E387,2)="DA","PARIU U306,5","NO BET"))</x:f>
      </x:c>
      <x:c r="O387" s="9" t="str">
        <x:f>IF(M387="","",IF(AM387="PARIU U306,5",IF(M387="UNDER","SUCCES","EȘEC"),IF(M387="UNDER","FALS NEGATIV","EVITARE CORECTĂ")))</x:f>
      </x:c>
      <x:c r="P387" s="9" t="str">
        <x:f>IF(M387="","",IF(M387="UNDER",1,0))</x:f>
      </x:c>
      <x:c r="Q387" s="9" t="str">
        <x:f>IF(P387="","",(G387-P387)^2)</x:f>
      </x:c>
      <x:c r="R387" s="9" t="str">
        <x:f>IF(L387="","",L387-F387)</x:f>
      </x:c>
      <x:c r="S387" s="9" t="str">
        <x:f>IF(L387="","",IF(M387="UNDER","U306,5 reușit; total final "&amp;L387&amp;" vs λ="&amp;TEXT(F387,"0.00")&amp;".","Eșec U306,5; total final "&amp;L387&amp;" vs λ="&amp;TEXT(F387,"0.00")&amp;". Revizuiește Tail Risk, sursa λ și calibrarea."))</x:f>
      </x:c>
      <x:c r="T387" s="51"/>
      <x:c r="U387" s="51"/>
      <x:c r="V387" s="51"/>
      <x:c r="W387" s="61"/>
      <x:c r="X387" s="61"/>
      <x:c r="Y387" s="51"/>
      <x:c r="Z387" s="53"/>
      <x:c r="AA387" s="51"/>
      <x:c r="AB387" s="64" t="str">
        <x:f>IF(AC387="","",AC387)</x:f>
      </x:c>
      <x:c r="AC387" s="67"/>
      <x:c r="AD387" s="69" t="str">
        <x:f>IF(AE387="","",AE387)</x:f>
      </x:c>
      <x:c r="AE387" s="71"/>
      <x:c r="AF387" s="73" t="str">
        <x:f>IF(AC387="","",1/AC387)</x:f>
      </x:c>
      <x:c r="AG387" s="61"/>
      <x:c r="AH387" s="61"/>
      <x:c r="AI387" s="64" t="str">
        <x:f>IF(OR(AC387="",AG387=""),"",AC387*AG387-1)</x:f>
      </x:c>
      <x:c r="AJ387" s="75" t="str">
        <x:f>IF(OR(G387="",F387=""),"",IF(AND(G387&gt;='Calibrare v2'!$B$35,F387&lt;='Calibrare v2'!$B$34),"PASS","FAIL"))</x:f>
      </x:c>
      <x:c r="AK387" s="75" t="str">
        <x:f>IF(AL387="","",AL387)</x:f>
      </x:c>
      <x:c r="AL387" s="77"/>
      <x:c r="AM387" s="77"/>
      <x:c r="AN387" s="64" t="str">
        <x:f>IF(OR(AC387="",P387=""),"",(AC387-P387)^2)</x:f>
      </x:c>
      <x:c r="AO387" s="64" t="str">
        <x:f>IF(OR(AG387="",AH387=""),"",AG387/AH387-1)</x:f>
      </x:c>
      <x:c r="AP387" s="61"/>
      <x:c r="AQ387" s="73" t="n">
        <x:f>IF(OR(AM387&lt;&gt;"PARIU U4,5",M387="",AP387="",AG387=""),0,IF(M387="UNDER",AP387*(AG387-1),-AP387))</x:f>
        <x:v>0</x:v>
      </x:c>
      <x:c r="AR387" s="51"/>
    </x:row>
    <x:row r="388">
      <x:c r="A388" s="9" t="str">
        <x:f>IF(D388="","",ROW()-1)</x:f>
      </x:c>
      <x:c r="B388" s="51"/>
      <x:c r="C388" s="51"/>
      <x:c r="D388" s="51"/>
      <x:c r="E388" s="9" t="str">
        <x:f>IF(D388="","",IF(AND(F388&lt;='Calibrare v2'!$B$33,G388&gt;=0.86),"DA – FEZABIL",IF(G388&gt;=0.8,"DA – PRUDENT","NU – EVITĂ")))</x:f>
      </x:c>
      <x:c r="F388" s="16" t="str">
        <x:f>IF(OR(W388="",X388=""),"",W388+X388)</x:f>
      </x:c>
      <x:c r="G388" s="28" t="str">
        <x:f>IF(F388="","",EXP(-F388)*(1+F388+F388^2/2+F388^3/6+F388^4/24))</x:f>
      </x:c>
      <x:c r="H388" s="53"/>
      <x:c r="I388" s="9" t="str">
        <x:f>IF(F388="","",IF(F388&lt;='Calibrare v2'!$B$33,"PASS","FAIL"))</x:f>
      </x:c>
      <x:c r="J388" s="51"/>
      <x:c r="K388" s="51"/>
      <x:c r="L388" s="9" t="str">
        <x:f>IF(OR(J388="",K388=""),"",J388+K388)</x:f>
      </x:c>
      <x:c r="M388" s="9" t="str">
        <x:f>IF(L388="","",IF(L388&lt;=4,"UNDER","OVER"))</x:f>
      </x:c>
      <x:c r="N388" s="9" t="str">
        <x:f>IF(E388="","",IF(LEFT(E388,2)="DA","PARIU U307,5","NO BET"))</x:f>
      </x:c>
      <x:c r="O388" s="9" t="str">
        <x:f>IF(M388="","",IF(AM388="PARIU U307,5",IF(M388="UNDER","SUCCES","EȘEC"),IF(M388="UNDER","FALS NEGATIV","EVITARE CORECTĂ")))</x:f>
      </x:c>
      <x:c r="P388" s="9" t="str">
        <x:f>IF(M388="","",IF(M388="UNDER",1,0))</x:f>
      </x:c>
      <x:c r="Q388" s="9" t="str">
        <x:f>IF(P388="","",(G388-P388)^2)</x:f>
      </x:c>
      <x:c r="R388" s="9" t="str">
        <x:f>IF(L388="","",L388-F388)</x:f>
      </x:c>
      <x:c r="S388" s="9" t="str">
        <x:f>IF(L388="","",IF(M388="UNDER","U307,5 reușit; total final "&amp;L388&amp;" vs λ="&amp;TEXT(F388,"0.00")&amp;".","Eșec U307,5; total final "&amp;L388&amp;" vs λ="&amp;TEXT(F388,"0.00")&amp;". Revizuiește Tail Risk, sursa λ și calibrarea."))</x:f>
      </x:c>
      <x:c r="T388" s="51"/>
      <x:c r="U388" s="51"/>
      <x:c r="V388" s="51"/>
      <x:c r="W388" s="61"/>
      <x:c r="X388" s="61"/>
      <x:c r="Y388" s="51"/>
      <x:c r="Z388" s="53"/>
      <x:c r="AA388" s="51"/>
      <x:c r="AB388" s="64" t="str">
        <x:f>IF(AC388="","",AC388)</x:f>
      </x:c>
      <x:c r="AC388" s="67"/>
      <x:c r="AD388" s="69" t="str">
        <x:f>IF(AE388="","",AE388)</x:f>
      </x:c>
      <x:c r="AE388" s="71"/>
      <x:c r="AF388" s="73" t="str">
        <x:f>IF(AC388="","",1/AC388)</x:f>
      </x:c>
      <x:c r="AG388" s="61"/>
      <x:c r="AH388" s="61"/>
      <x:c r="AI388" s="64" t="str">
        <x:f>IF(OR(AC388="",AG388=""),"",AC388*AG388-1)</x:f>
      </x:c>
      <x:c r="AJ388" s="75" t="str">
        <x:f>IF(OR(G388="",F388=""),"",IF(AND(G388&gt;='Calibrare v2'!$B$35,F388&lt;='Calibrare v2'!$B$34),"PASS","FAIL"))</x:f>
      </x:c>
      <x:c r="AK388" s="75" t="str">
        <x:f>IF(AL388="","",AL388)</x:f>
      </x:c>
      <x:c r="AL388" s="77"/>
      <x:c r="AM388" s="77"/>
      <x:c r="AN388" s="64" t="str">
        <x:f>IF(OR(AC388="",P388=""),"",(AC388-P388)^2)</x:f>
      </x:c>
      <x:c r="AO388" s="64" t="str">
        <x:f>IF(OR(AG388="",AH388=""),"",AG388/AH388-1)</x:f>
      </x:c>
      <x:c r="AP388" s="61"/>
      <x:c r="AQ388" s="73" t="n">
        <x:f>IF(OR(AM388&lt;&gt;"PARIU U4,5",M388="",AP388="",AG388=""),0,IF(M388="UNDER",AP388*(AG388-1),-AP388))</x:f>
        <x:v>0</x:v>
      </x:c>
      <x:c r="AR388" s="51"/>
    </x:row>
    <x:row r="389">
      <x:c r="A389" s="9" t="str">
        <x:f>IF(D389="","",ROW()-1)</x:f>
      </x:c>
      <x:c r="B389" s="51"/>
      <x:c r="C389" s="51"/>
      <x:c r="D389" s="51"/>
      <x:c r="E389" s="9" t="str">
        <x:f>IF(D389="","",IF(AND(F389&lt;='Calibrare v2'!$B$33,G389&gt;=0.86),"DA – FEZABIL",IF(G389&gt;=0.8,"DA – PRUDENT","NU – EVITĂ")))</x:f>
      </x:c>
      <x:c r="F389" s="16" t="str">
        <x:f>IF(OR(W389="",X389=""),"",W389+X389)</x:f>
      </x:c>
      <x:c r="G389" s="28" t="str">
        <x:f>IF(F389="","",EXP(-F389)*(1+F389+F389^2/2+F389^3/6+F389^4/24))</x:f>
      </x:c>
      <x:c r="H389" s="53"/>
      <x:c r="I389" s="9" t="str">
        <x:f>IF(F389="","",IF(F389&lt;='Calibrare v2'!$B$33,"PASS","FAIL"))</x:f>
      </x:c>
      <x:c r="J389" s="51"/>
      <x:c r="K389" s="51"/>
      <x:c r="L389" s="9" t="str">
        <x:f>IF(OR(J389="",K389=""),"",J389+K389)</x:f>
      </x:c>
      <x:c r="M389" s="9" t="str">
        <x:f>IF(L389="","",IF(L389&lt;=4,"UNDER","OVER"))</x:f>
      </x:c>
      <x:c r="N389" s="9" t="str">
        <x:f>IF(E389="","",IF(LEFT(E389,2)="DA","PARIU U308,5","NO BET"))</x:f>
      </x:c>
      <x:c r="O389" s="9" t="str">
        <x:f>IF(M389="","",IF(AM389="PARIU U308,5",IF(M389="UNDER","SUCCES","EȘEC"),IF(M389="UNDER","FALS NEGATIV","EVITARE CORECTĂ")))</x:f>
      </x:c>
      <x:c r="P389" s="9" t="str">
        <x:f>IF(M389="","",IF(M389="UNDER",1,0))</x:f>
      </x:c>
      <x:c r="Q389" s="9" t="str">
        <x:f>IF(P389="","",(G389-P389)^2)</x:f>
      </x:c>
      <x:c r="R389" s="9" t="str">
        <x:f>IF(L389="","",L389-F389)</x:f>
      </x:c>
      <x:c r="S389" s="9" t="str">
        <x:f>IF(L389="","",IF(M389="UNDER","U308,5 reușit; total final "&amp;L389&amp;" vs λ="&amp;TEXT(F389,"0.00")&amp;".","Eșec U308,5; total final "&amp;L389&amp;" vs λ="&amp;TEXT(F389,"0.00")&amp;". Revizuiește Tail Risk, sursa λ și calibrarea."))</x:f>
      </x:c>
      <x:c r="T389" s="51"/>
      <x:c r="U389" s="51"/>
      <x:c r="V389" s="51"/>
      <x:c r="W389" s="61"/>
      <x:c r="X389" s="61"/>
      <x:c r="Y389" s="51"/>
      <x:c r="Z389" s="53"/>
      <x:c r="AA389" s="51"/>
      <x:c r="AB389" s="64" t="str">
        <x:f>IF(AC389="","",AC389)</x:f>
      </x:c>
      <x:c r="AC389" s="67"/>
      <x:c r="AD389" s="69" t="str">
        <x:f>IF(AE389="","",AE389)</x:f>
      </x:c>
      <x:c r="AE389" s="71"/>
      <x:c r="AF389" s="73" t="str">
        <x:f>IF(AC389="","",1/AC389)</x:f>
      </x:c>
      <x:c r="AG389" s="61"/>
      <x:c r="AH389" s="61"/>
      <x:c r="AI389" s="64" t="str">
        <x:f>IF(OR(AC389="",AG389=""),"",AC389*AG389-1)</x:f>
      </x:c>
      <x:c r="AJ389" s="75" t="str">
        <x:f>IF(OR(G389="",F389=""),"",IF(AND(G389&gt;='Calibrare v2'!$B$35,F389&lt;='Calibrare v2'!$B$34),"PASS","FAIL"))</x:f>
      </x:c>
      <x:c r="AK389" s="75" t="str">
        <x:f>IF(AL389="","",AL389)</x:f>
      </x:c>
      <x:c r="AL389" s="77"/>
      <x:c r="AM389" s="77"/>
      <x:c r="AN389" s="64" t="str">
        <x:f>IF(OR(AC389="",P389=""),"",(AC389-P389)^2)</x:f>
      </x:c>
      <x:c r="AO389" s="64" t="str">
        <x:f>IF(OR(AG389="",AH389=""),"",AG389/AH389-1)</x:f>
      </x:c>
      <x:c r="AP389" s="61"/>
      <x:c r="AQ389" s="73" t="n">
        <x:f>IF(OR(AM389&lt;&gt;"PARIU U4,5",M389="",AP389="",AG389=""),0,IF(M389="UNDER",AP389*(AG389-1),-AP389))</x:f>
        <x:v>0</x:v>
      </x:c>
      <x:c r="AR389" s="51"/>
    </x:row>
    <x:row r="390">
      <x:c r="A390" s="9" t="str">
        <x:f>IF(D390="","",ROW()-1)</x:f>
      </x:c>
      <x:c r="B390" s="51"/>
      <x:c r="C390" s="51"/>
      <x:c r="D390" s="51"/>
      <x:c r="E390" s="9" t="str">
        <x:f>IF(D390="","",IF(AND(F390&lt;='Calibrare v2'!$B$33,G390&gt;=0.86),"DA – FEZABIL",IF(G390&gt;=0.8,"DA – PRUDENT","NU – EVITĂ")))</x:f>
      </x:c>
      <x:c r="F390" s="16" t="str">
        <x:f>IF(OR(W390="",X390=""),"",W390+X390)</x:f>
      </x:c>
      <x:c r="G390" s="28" t="str">
        <x:f>IF(F390="","",EXP(-F390)*(1+F390+F390^2/2+F390^3/6+F390^4/24))</x:f>
      </x:c>
      <x:c r="H390" s="53"/>
      <x:c r="I390" s="9" t="str">
        <x:f>IF(F390="","",IF(F390&lt;='Calibrare v2'!$B$33,"PASS","FAIL"))</x:f>
      </x:c>
      <x:c r="J390" s="51"/>
      <x:c r="K390" s="51"/>
      <x:c r="L390" s="9" t="str">
        <x:f>IF(OR(J390="",K390=""),"",J390+K390)</x:f>
      </x:c>
      <x:c r="M390" s="9" t="str">
        <x:f>IF(L390="","",IF(L390&lt;=4,"UNDER","OVER"))</x:f>
      </x:c>
      <x:c r="N390" s="9" t="str">
        <x:f>IF(E390="","",IF(LEFT(E390,2)="DA","PARIU U309,5","NO BET"))</x:f>
      </x:c>
      <x:c r="O390" s="9" t="str">
        <x:f>IF(M390="","",IF(AM390="PARIU U309,5",IF(M390="UNDER","SUCCES","EȘEC"),IF(M390="UNDER","FALS NEGATIV","EVITARE CORECTĂ")))</x:f>
      </x:c>
      <x:c r="P390" s="9" t="str">
        <x:f>IF(M390="","",IF(M390="UNDER",1,0))</x:f>
      </x:c>
      <x:c r="Q390" s="9" t="str">
        <x:f>IF(P390="","",(G390-P390)^2)</x:f>
      </x:c>
      <x:c r="R390" s="9" t="str">
        <x:f>IF(L390="","",L390-F390)</x:f>
      </x:c>
      <x:c r="S390" s="9" t="str">
        <x:f>IF(L390="","",IF(M390="UNDER","U309,5 reușit; total final "&amp;L390&amp;" vs λ="&amp;TEXT(F390,"0.00")&amp;".","Eșec U309,5; total final "&amp;L390&amp;" vs λ="&amp;TEXT(F390,"0.00")&amp;". Revizuiește Tail Risk, sursa λ și calibrarea."))</x:f>
      </x:c>
      <x:c r="T390" s="51"/>
      <x:c r="U390" s="51"/>
      <x:c r="V390" s="51"/>
      <x:c r="W390" s="61"/>
      <x:c r="X390" s="61"/>
      <x:c r="Y390" s="51"/>
      <x:c r="Z390" s="53"/>
      <x:c r="AA390" s="51"/>
      <x:c r="AB390" s="64" t="str">
        <x:f>IF(AC390="","",AC390)</x:f>
      </x:c>
      <x:c r="AC390" s="67"/>
      <x:c r="AD390" s="69" t="str">
        <x:f>IF(AE390="","",AE390)</x:f>
      </x:c>
      <x:c r="AE390" s="71"/>
      <x:c r="AF390" s="73" t="str">
        <x:f>IF(AC390="","",1/AC390)</x:f>
      </x:c>
      <x:c r="AG390" s="61"/>
      <x:c r="AH390" s="61"/>
      <x:c r="AI390" s="64" t="str">
        <x:f>IF(OR(AC390="",AG390=""),"",AC390*AG390-1)</x:f>
      </x:c>
      <x:c r="AJ390" s="75" t="str">
        <x:f>IF(OR(G390="",F390=""),"",IF(AND(G390&gt;='Calibrare v2'!$B$35,F390&lt;='Calibrare v2'!$B$34),"PASS","FAIL"))</x:f>
      </x:c>
      <x:c r="AK390" s="75" t="str">
        <x:f>IF(AL390="","",AL390)</x:f>
      </x:c>
      <x:c r="AL390" s="77"/>
      <x:c r="AM390" s="77"/>
      <x:c r="AN390" s="64" t="str">
        <x:f>IF(OR(AC390="",P390=""),"",(AC390-P390)^2)</x:f>
      </x:c>
      <x:c r="AO390" s="64" t="str">
        <x:f>IF(OR(AG390="",AH390=""),"",AG390/AH390-1)</x:f>
      </x:c>
      <x:c r="AP390" s="61"/>
      <x:c r="AQ390" s="73" t="n">
        <x:f>IF(OR(AM390&lt;&gt;"PARIU U4,5",M390="",AP390="",AG390=""),0,IF(M390="UNDER",AP390*(AG390-1),-AP390))</x:f>
        <x:v>0</x:v>
      </x:c>
      <x:c r="AR390" s="51"/>
    </x:row>
    <x:row r="391">
      <x:c r="A391" s="9" t="str">
        <x:f>IF(D391="","",ROW()-1)</x:f>
      </x:c>
      <x:c r="B391" s="51"/>
      <x:c r="C391" s="51"/>
      <x:c r="D391" s="51"/>
      <x:c r="E391" s="9" t="str">
        <x:f>IF(D391="","",IF(AND(F391&lt;='Calibrare v2'!$B$33,G391&gt;=0.86),"DA – FEZABIL",IF(G391&gt;=0.8,"DA – PRUDENT","NU – EVITĂ")))</x:f>
      </x:c>
      <x:c r="F391" s="16" t="str">
        <x:f>IF(OR(W391="",X391=""),"",W391+X391)</x:f>
      </x:c>
      <x:c r="G391" s="28" t="str">
        <x:f>IF(F391="","",EXP(-F391)*(1+F391+F391^2/2+F391^3/6+F391^4/24))</x:f>
      </x:c>
      <x:c r="H391" s="53"/>
      <x:c r="I391" s="9" t="str">
        <x:f>IF(F391="","",IF(F391&lt;='Calibrare v2'!$B$33,"PASS","FAIL"))</x:f>
      </x:c>
      <x:c r="J391" s="51"/>
      <x:c r="K391" s="51"/>
      <x:c r="L391" s="9" t="str">
        <x:f>IF(OR(J391="",K391=""),"",J391+K391)</x:f>
      </x:c>
      <x:c r="M391" s="9" t="str">
        <x:f>IF(L391="","",IF(L391&lt;=4,"UNDER","OVER"))</x:f>
      </x:c>
      <x:c r="N391" s="9" t="str">
        <x:f>IF(E391="","",IF(LEFT(E391,2)="DA","PARIU U310,5","NO BET"))</x:f>
      </x:c>
      <x:c r="O391" s="9" t="str">
        <x:f>IF(M391="","",IF(AM391="PARIU U310,5",IF(M391="UNDER","SUCCES","EȘEC"),IF(M391="UNDER","FALS NEGATIV","EVITARE CORECTĂ")))</x:f>
      </x:c>
      <x:c r="P391" s="9" t="str">
        <x:f>IF(M391="","",IF(M391="UNDER",1,0))</x:f>
      </x:c>
      <x:c r="Q391" s="9" t="str">
        <x:f>IF(P391="","",(G391-P391)^2)</x:f>
      </x:c>
      <x:c r="R391" s="9" t="str">
        <x:f>IF(L391="","",L391-F391)</x:f>
      </x:c>
      <x:c r="S391" s="9" t="str">
        <x:f>IF(L391="","",IF(M391="UNDER","U310,5 reușit; total final "&amp;L391&amp;" vs λ="&amp;TEXT(F391,"0.00")&amp;".","Eșec U310,5; total final "&amp;L391&amp;" vs λ="&amp;TEXT(F391,"0.00")&amp;". Revizuiește Tail Risk, sursa λ și calibrarea."))</x:f>
      </x:c>
      <x:c r="T391" s="51"/>
      <x:c r="U391" s="51"/>
      <x:c r="V391" s="51"/>
      <x:c r="W391" s="61"/>
      <x:c r="X391" s="61"/>
      <x:c r="Y391" s="51"/>
      <x:c r="Z391" s="53"/>
      <x:c r="AA391" s="51"/>
      <x:c r="AB391" s="64" t="str">
        <x:f>IF(AC391="","",AC391)</x:f>
      </x:c>
      <x:c r="AC391" s="67"/>
      <x:c r="AD391" s="69" t="str">
        <x:f>IF(AE391="","",AE391)</x:f>
      </x:c>
      <x:c r="AE391" s="71"/>
      <x:c r="AF391" s="73" t="str">
        <x:f>IF(AC391="","",1/AC391)</x:f>
      </x:c>
      <x:c r="AG391" s="61"/>
      <x:c r="AH391" s="61"/>
      <x:c r="AI391" s="64" t="str">
        <x:f>IF(OR(AC391="",AG391=""),"",AC391*AG391-1)</x:f>
      </x:c>
      <x:c r="AJ391" s="75" t="str">
        <x:f>IF(OR(G391="",F391=""),"",IF(AND(G391&gt;='Calibrare v2'!$B$35,F391&lt;='Calibrare v2'!$B$34),"PASS","FAIL"))</x:f>
      </x:c>
      <x:c r="AK391" s="75" t="str">
        <x:f>IF(AL391="","",AL391)</x:f>
      </x:c>
      <x:c r="AL391" s="77"/>
      <x:c r="AM391" s="77"/>
      <x:c r="AN391" s="64" t="str">
        <x:f>IF(OR(AC391="",P391=""),"",(AC391-P391)^2)</x:f>
      </x:c>
      <x:c r="AO391" s="64" t="str">
        <x:f>IF(OR(AG391="",AH391=""),"",AG391/AH391-1)</x:f>
      </x:c>
      <x:c r="AP391" s="61"/>
      <x:c r="AQ391" s="73" t="n">
        <x:f>IF(OR(AM391&lt;&gt;"PARIU U4,5",M391="",AP391="",AG391=""),0,IF(M391="UNDER",AP391*(AG391-1),-AP391))</x:f>
        <x:v>0</x:v>
      </x:c>
      <x:c r="AR391" s="51"/>
    </x:row>
    <x:row r="392">
      <x:c r="A392" s="9" t="str">
        <x:f>IF(D392="","",ROW()-1)</x:f>
      </x:c>
      <x:c r="B392" s="51"/>
      <x:c r="C392" s="51"/>
      <x:c r="D392" s="51"/>
      <x:c r="E392" s="9" t="str">
        <x:f>IF(D392="","",IF(AND(F392&lt;='Calibrare v2'!$B$33,G392&gt;=0.86),"DA – FEZABIL",IF(G392&gt;=0.8,"DA – PRUDENT","NU – EVITĂ")))</x:f>
      </x:c>
      <x:c r="F392" s="16" t="str">
        <x:f>IF(OR(W392="",X392=""),"",W392+X392)</x:f>
      </x:c>
      <x:c r="G392" s="28" t="str">
        <x:f>IF(F392="","",EXP(-F392)*(1+F392+F392^2/2+F392^3/6+F392^4/24))</x:f>
      </x:c>
      <x:c r="H392" s="53"/>
      <x:c r="I392" s="9" t="str">
        <x:f>IF(F392="","",IF(F392&lt;='Calibrare v2'!$B$33,"PASS","FAIL"))</x:f>
      </x:c>
      <x:c r="J392" s="51"/>
      <x:c r="K392" s="51"/>
      <x:c r="L392" s="9" t="str">
        <x:f>IF(OR(J392="",K392=""),"",J392+K392)</x:f>
      </x:c>
      <x:c r="M392" s="9" t="str">
        <x:f>IF(L392="","",IF(L392&lt;=4,"UNDER","OVER"))</x:f>
      </x:c>
      <x:c r="N392" s="9" t="str">
        <x:f>IF(E392="","",IF(LEFT(E392,2)="DA","PARIU U311,5","NO BET"))</x:f>
      </x:c>
      <x:c r="O392" s="9" t="str">
        <x:f>IF(M392="","",IF(AM392="PARIU U311,5",IF(M392="UNDER","SUCCES","EȘEC"),IF(M392="UNDER","FALS NEGATIV","EVITARE CORECTĂ")))</x:f>
      </x:c>
      <x:c r="P392" s="9" t="str">
        <x:f>IF(M392="","",IF(M392="UNDER",1,0))</x:f>
      </x:c>
      <x:c r="Q392" s="9" t="str">
        <x:f>IF(P392="","",(G392-P392)^2)</x:f>
      </x:c>
      <x:c r="R392" s="9" t="str">
        <x:f>IF(L392="","",L392-F392)</x:f>
      </x:c>
      <x:c r="S392" s="9" t="str">
        <x:f>IF(L392="","",IF(M392="UNDER","U311,5 reușit; total final "&amp;L392&amp;" vs λ="&amp;TEXT(F392,"0.00")&amp;".","Eșec U311,5; total final "&amp;L392&amp;" vs λ="&amp;TEXT(F392,"0.00")&amp;". Revizuiește Tail Risk, sursa λ și calibrarea."))</x:f>
      </x:c>
      <x:c r="T392" s="51"/>
      <x:c r="U392" s="51"/>
      <x:c r="V392" s="51"/>
      <x:c r="W392" s="61"/>
      <x:c r="X392" s="61"/>
      <x:c r="Y392" s="51"/>
      <x:c r="Z392" s="53"/>
      <x:c r="AA392" s="51"/>
      <x:c r="AB392" s="64" t="str">
        <x:f>IF(AC392="","",AC392)</x:f>
      </x:c>
      <x:c r="AC392" s="67"/>
      <x:c r="AD392" s="69" t="str">
        <x:f>IF(AE392="","",AE392)</x:f>
      </x:c>
      <x:c r="AE392" s="71"/>
      <x:c r="AF392" s="73" t="str">
        <x:f>IF(AC392="","",1/AC392)</x:f>
      </x:c>
      <x:c r="AG392" s="61"/>
      <x:c r="AH392" s="61"/>
      <x:c r="AI392" s="64" t="str">
        <x:f>IF(OR(AC392="",AG392=""),"",AC392*AG392-1)</x:f>
      </x:c>
      <x:c r="AJ392" s="75" t="str">
        <x:f>IF(OR(G392="",F392=""),"",IF(AND(G392&gt;='Calibrare v2'!$B$35,F392&lt;='Calibrare v2'!$B$34),"PASS","FAIL"))</x:f>
      </x:c>
      <x:c r="AK392" s="75" t="str">
        <x:f>IF(AL392="","",AL392)</x:f>
      </x:c>
      <x:c r="AL392" s="77"/>
      <x:c r="AM392" s="77"/>
      <x:c r="AN392" s="64" t="str">
        <x:f>IF(OR(AC392="",P392=""),"",(AC392-P392)^2)</x:f>
      </x:c>
      <x:c r="AO392" s="64" t="str">
        <x:f>IF(OR(AG392="",AH392=""),"",AG392/AH392-1)</x:f>
      </x:c>
      <x:c r="AP392" s="61"/>
      <x:c r="AQ392" s="73" t="n">
        <x:f>IF(OR(AM392&lt;&gt;"PARIU U4,5",M392="",AP392="",AG392=""),0,IF(M392="UNDER",AP392*(AG392-1),-AP392))</x:f>
        <x:v>0</x:v>
      </x:c>
      <x:c r="AR392" s="51"/>
    </x:row>
    <x:row r="393">
      <x:c r="A393" s="9" t="str">
        <x:f>IF(D393="","",ROW()-1)</x:f>
      </x:c>
      <x:c r="B393" s="51"/>
      <x:c r="C393" s="51"/>
      <x:c r="D393" s="51"/>
      <x:c r="E393" s="9" t="str">
        <x:f>IF(D393="","",IF(AND(F393&lt;='Calibrare v2'!$B$33,G393&gt;=0.86),"DA – FEZABIL",IF(G393&gt;=0.8,"DA – PRUDENT","NU – EVITĂ")))</x:f>
      </x:c>
      <x:c r="F393" s="16" t="str">
        <x:f>IF(OR(W393="",X393=""),"",W393+X393)</x:f>
      </x:c>
      <x:c r="G393" s="28" t="str">
        <x:f>IF(F393="","",EXP(-F393)*(1+F393+F393^2/2+F393^3/6+F393^4/24))</x:f>
      </x:c>
      <x:c r="H393" s="53"/>
      <x:c r="I393" s="9" t="str">
        <x:f>IF(F393="","",IF(F393&lt;='Calibrare v2'!$B$33,"PASS","FAIL"))</x:f>
      </x:c>
      <x:c r="J393" s="51"/>
      <x:c r="K393" s="51"/>
      <x:c r="L393" s="9" t="str">
        <x:f>IF(OR(J393="",K393=""),"",J393+K393)</x:f>
      </x:c>
      <x:c r="M393" s="9" t="str">
        <x:f>IF(L393="","",IF(L393&lt;=4,"UNDER","OVER"))</x:f>
      </x:c>
      <x:c r="N393" s="9" t="str">
        <x:f>IF(E393="","",IF(LEFT(E393,2)="DA","PARIU U312,5","NO BET"))</x:f>
      </x:c>
      <x:c r="O393" s="9" t="str">
        <x:f>IF(M393="","",IF(AM393="PARIU U312,5",IF(M393="UNDER","SUCCES","EȘEC"),IF(M393="UNDER","FALS NEGATIV","EVITARE CORECTĂ")))</x:f>
      </x:c>
      <x:c r="P393" s="9" t="str">
        <x:f>IF(M393="","",IF(M393="UNDER",1,0))</x:f>
      </x:c>
      <x:c r="Q393" s="9" t="str">
        <x:f>IF(P393="","",(G393-P393)^2)</x:f>
      </x:c>
      <x:c r="R393" s="9" t="str">
        <x:f>IF(L393="","",L393-F393)</x:f>
      </x:c>
      <x:c r="S393" s="9" t="str">
        <x:f>IF(L393="","",IF(M393="UNDER","U312,5 reușit; total final "&amp;L393&amp;" vs λ="&amp;TEXT(F393,"0.00")&amp;".","Eșec U312,5; total final "&amp;L393&amp;" vs λ="&amp;TEXT(F393,"0.00")&amp;". Revizuiește Tail Risk, sursa λ și calibrarea."))</x:f>
      </x:c>
      <x:c r="T393" s="51"/>
      <x:c r="U393" s="51"/>
      <x:c r="V393" s="51"/>
      <x:c r="W393" s="61"/>
      <x:c r="X393" s="61"/>
      <x:c r="Y393" s="51"/>
      <x:c r="Z393" s="53"/>
      <x:c r="AA393" s="51"/>
      <x:c r="AB393" s="64" t="str">
        <x:f>IF(AC393="","",AC393)</x:f>
      </x:c>
      <x:c r="AC393" s="67"/>
      <x:c r="AD393" s="69" t="str">
        <x:f>IF(AE393="","",AE393)</x:f>
      </x:c>
      <x:c r="AE393" s="71"/>
      <x:c r="AF393" s="73" t="str">
        <x:f>IF(AC393="","",1/AC393)</x:f>
      </x:c>
      <x:c r="AG393" s="61"/>
      <x:c r="AH393" s="61"/>
      <x:c r="AI393" s="64" t="str">
        <x:f>IF(OR(AC393="",AG393=""),"",AC393*AG393-1)</x:f>
      </x:c>
      <x:c r="AJ393" s="75" t="str">
        <x:f>IF(OR(G393="",F393=""),"",IF(AND(G393&gt;='Calibrare v2'!$B$35,F393&lt;='Calibrare v2'!$B$34),"PASS","FAIL"))</x:f>
      </x:c>
      <x:c r="AK393" s="75" t="str">
        <x:f>IF(AL393="","",AL393)</x:f>
      </x:c>
      <x:c r="AL393" s="77"/>
      <x:c r="AM393" s="77"/>
      <x:c r="AN393" s="64" t="str">
        <x:f>IF(OR(AC393="",P393=""),"",(AC393-P393)^2)</x:f>
      </x:c>
      <x:c r="AO393" s="64" t="str">
        <x:f>IF(OR(AG393="",AH393=""),"",AG393/AH393-1)</x:f>
      </x:c>
      <x:c r="AP393" s="61"/>
      <x:c r="AQ393" s="73" t="n">
        <x:f>IF(OR(AM393&lt;&gt;"PARIU U4,5",M393="",AP393="",AG393=""),0,IF(M393="UNDER",AP393*(AG393-1),-AP393))</x:f>
        <x:v>0</x:v>
      </x:c>
      <x:c r="AR393" s="51"/>
    </x:row>
    <x:row r="394">
      <x:c r="A394" s="9" t="str">
        <x:f>IF(D394="","",ROW()-1)</x:f>
      </x:c>
      <x:c r="B394" s="51"/>
      <x:c r="C394" s="51"/>
      <x:c r="D394" s="51"/>
      <x:c r="E394" s="9" t="str">
        <x:f>IF(D394="","",IF(AND(F394&lt;='Calibrare v2'!$B$33,G394&gt;=0.86),"DA – FEZABIL",IF(G394&gt;=0.8,"DA – PRUDENT","NU – EVITĂ")))</x:f>
      </x:c>
      <x:c r="F394" s="16" t="str">
        <x:f>IF(OR(W394="",X394=""),"",W394+X394)</x:f>
      </x:c>
      <x:c r="G394" s="28" t="str">
        <x:f>IF(F394="","",EXP(-F394)*(1+F394+F394^2/2+F394^3/6+F394^4/24))</x:f>
      </x:c>
      <x:c r="H394" s="53"/>
      <x:c r="I394" s="9" t="str">
        <x:f>IF(F394="","",IF(F394&lt;='Calibrare v2'!$B$33,"PASS","FAIL"))</x:f>
      </x:c>
      <x:c r="J394" s="51"/>
      <x:c r="K394" s="51"/>
      <x:c r="L394" s="9" t="str">
        <x:f>IF(OR(J394="",K394=""),"",J394+K394)</x:f>
      </x:c>
      <x:c r="M394" s="9" t="str">
        <x:f>IF(L394="","",IF(L394&lt;=4,"UNDER","OVER"))</x:f>
      </x:c>
      <x:c r="N394" s="9" t="str">
        <x:f>IF(E394="","",IF(LEFT(E394,2)="DA","PARIU U313,5","NO BET"))</x:f>
      </x:c>
      <x:c r="O394" s="9" t="str">
        <x:f>IF(M394="","",IF(AM394="PARIU U313,5",IF(M394="UNDER","SUCCES","EȘEC"),IF(M394="UNDER","FALS NEGATIV","EVITARE CORECTĂ")))</x:f>
      </x:c>
      <x:c r="P394" s="9" t="str">
        <x:f>IF(M394="","",IF(M394="UNDER",1,0))</x:f>
      </x:c>
      <x:c r="Q394" s="9" t="str">
        <x:f>IF(P394="","",(G394-P394)^2)</x:f>
      </x:c>
      <x:c r="R394" s="9" t="str">
        <x:f>IF(L394="","",L394-F394)</x:f>
      </x:c>
      <x:c r="S394" s="9" t="str">
        <x:f>IF(L394="","",IF(M394="UNDER","U313,5 reușit; total final "&amp;L394&amp;" vs λ="&amp;TEXT(F394,"0.00")&amp;".","Eșec U313,5; total final "&amp;L394&amp;" vs λ="&amp;TEXT(F394,"0.00")&amp;". Revizuiește Tail Risk, sursa λ și calibrarea."))</x:f>
      </x:c>
      <x:c r="T394" s="51"/>
      <x:c r="U394" s="51"/>
      <x:c r="V394" s="51"/>
      <x:c r="W394" s="61"/>
      <x:c r="X394" s="61"/>
      <x:c r="Y394" s="51"/>
      <x:c r="Z394" s="53"/>
      <x:c r="AA394" s="51"/>
      <x:c r="AB394" s="64" t="str">
        <x:f>IF(AC394="","",AC394)</x:f>
      </x:c>
      <x:c r="AC394" s="67"/>
      <x:c r="AD394" s="69" t="str">
        <x:f>IF(AE394="","",AE394)</x:f>
      </x:c>
      <x:c r="AE394" s="71"/>
      <x:c r="AF394" s="73" t="str">
        <x:f>IF(AC394="","",1/AC394)</x:f>
      </x:c>
      <x:c r="AG394" s="61"/>
      <x:c r="AH394" s="61"/>
      <x:c r="AI394" s="64" t="str">
        <x:f>IF(OR(AC394="",AG394=""),"",AC394*AG394-1)</x:f>
      </x:c>
      <x:c r="AJ394" s="75" t="str">
        <x:f>IF(OR(G394="",F394=""),"",IF(AND(G394&gt;='Calibrare v2'!$B$35,F394&lt;='Calibrare v2'!$B$34),"PASS","FAIL"))</x:f>
      </x:c>
      <x:c r="AK394" s="75" t="str">
        <x:f>IF(AL394="","",AL394)</x:f>
      </x:c>
      <x:c r="AL394" s="77"/>
      <x:c r="AM394" s="77"/>
      <x:c r="AN394" s="64" t="str">
        <x:f>IF(OR(AC394="",P394=""),"",(AC394-P394)^2)</x:f>
      </x:c>
      <x:c r="AO394" s="64" t="str">
        <x:f>IF(OR(AG394="",AH394=""),"",AG394/AH394-1)</x:f>
      </x:c>
      <x:c r="AP394" s="61"/>
      <x:c r="AQ394" s="73" t="n">
        <x:f>IF(OR(AM394&lt;&gt;"PARIU U4,5",M394="",AP394="",AG394=""),0,IF(M394="UNDER",AP394*(AG394-1),-AP394))</x:f>
        <x:v>0</x:v>
      </x:c>
      <x:c r="AR394" s="51"/>
    </x:row>
    <x:row r="395">
      <x:c r="A395" s="9" t="str">
        <x:f>IF(D395="","",ROW()-1)</x:f>
      </x:c>
      <x:c r="B395" s="51"/>
      <x:c r="C395" s="51"/>
      <x:c r="D395" s="51"/>
      <x:c r="E395" s="9" t="str">
        <x:f>IF(D395="","",IF(AND(F395&lt;='Calibrare v2'!$B$33,G395&gt;=0.86),"DA – FEZABIL",IF(G395&gt;=0.8,"DA – PRUDENT","NU – EVITĂ")))</x:f>
      </x:c>
      <x:c r="F395" s="16" t="str">
        <x:f>IF(OR(W395="",X395=""),"",W395+X395)</x:f>
      </x:c>
      <x:c r="G395" s="28" t="str">
        <x:f>IF(F395="","",EXP(-F395)*(1+F395+F395^2/2+F395^3/6+F395^4/24))</x:f>
      </x:c>
      <x:c r="H395" s="53"/>
      <x:c r="I395" s="9" t="str">
        <x:f>IF(F395="","",IF(F395&lt;='Calibrare v2'!$B$33,"PASS","FAIL"))</x:f>
      </x:c>
      <x:c r="J395" s="51"/>
      <x:c r="K395" s="51"/>
      <x:c r="L395" s="9" t="str">
        <x:f>IF(OR(J395="",K395=""),"",J395+K395)</x:f>
      </x:c>
      <x:c r="M395" s="9" t="str">
        <x:f>IF(L395="","",IF(L395&lt;=4,"UNDER","OVER"))</x:f>
      </x:c>
      <x:c r="N395" s="9" t="str">
        <x:f>IF(E395="","",IF(LEFT(E395,2)="DA","PARIU U314,5","NO BET"))</x:f>
      </x:c>
      <x:c r="O395" s="9" t="str">
        <x:f>IF(M395="","",IF(AM395="PARIU U314,5",IF(M395="UNDER","SUCCES","EȘEC"),IF(M395="UNDER","FALS NEGATIV","EVITARE CORECTĂ")))</x:f>
      </x:c>
      <x:c r="P395" s="9" t="str">
        <x:f>IF(M395="","",IF(M395="UNDER",1,0))</x:f>
      </x:c>
      <x:c r="Q395" s="9" t="str">
        <x:f>IF(P395="","",(G395-P395)^2)</x:f>
      </x:c>
      <x:c r="R395" s="9" t="str">
        <x:f>IF(L395="","",L395-F395)</x:f>
      </x:c>
      <x:c r="S395" s="9" t="str">
        <x:f>IF(L395="","",IF(M395="UNDER","U314,5 reușit; total final "&amp;L395&amp;" vs λ="&amp;TEXT(F395,"0.00")&amp;".","Eșec U314,5; total final "&amp;L395&amp;" vs λ="&amp;TEXT(F395,"0.00")&amp;". Revizuiește Tail Risk, sursa λ și calibrarea."))</x:f>
      </x:c>
      <x:c r="T395" s="51"/>
      <x:c r="U395" s="51"/>
      <x:c r="V395" s="51"/>
      <x:c r="W395" s="61"/>
      <x:c r="X395" s="61"/>
      <x:c r="Y395" s="51"/>
      <x:c r="Z395" s="53"/>
      <x:c r="AA395" s="51"/>
      <x:c r="AB395" s="64" t="str">
        <x:f>IF(AC395="","",AC395)</x:f>
      </x:c>
      <x:c r="AC395" s="67"/>
      <x:c r="AD395" s="69" t="str">
        <x:f>IF(AE395="","",AE395)</x:f>
      </x:c>
      <x:c r="AE395" s="71"/>
      <x:c r="AF395" s="73" t="str">
        <x:f>IF(AC395="","",1/AC395)</x:f>
      </x:c>
      <x:c r="AG395" s="61"/>
      <x:c r="AH395" s="61"/>
      <x:c r="AI395" s="64" t="str">
        <x:f>IF(OR(AC395="",AG395=""),"",AC395*AG395-1)</x:f>
      </x:c>
      <x:c r="AJ395" s="75" t="str">
        <x:f>IF(OR(G395="",F395=""),"",IF(AND(G395&gt;='Calibrare v2'!$B$35,F395&lt;='Calibrare v2'!$B$34),"PASS","FAIL"))</x:f>
      </x:c>
      <x:c r="AK395" s="75" t="str">
        <x:f>IF(AL395="","",AL395)</x:f>
      </x:c>
      <x:c r="AL395" s="77"/>
      <x:c r="AM395" s="77"/>
      <x:c r="AN395" s="64" t="str">
        <x:f>IF(OR(AC395="",P395=""),"",(AC395-P395)^2)</x:f>
      </x:c>
      <x:c r="AO395" s="64" t="str">
        <x:f>IF(OR(AG395="",AH395=""),"",AG395/AH395-1)</x:f>
      </x:c>
      <x:c r="AP395" s="61"/>
      <x:c r="AQ395" s="73" t="n">
        <x:f>IF(OR(AM395&lt;&gt;"PARIU U4,5",M395="",AP395="",AG395=""),0,IF(M395="UNDER",AP395*(AG395-1),-AP395))</x:f>
        <x:v>0</x:v>
      </x:c>
      <x:c r="AR395" s="51"/>
    </x:row>
    <x:row r="396">
      <x:c r="A396" s="9" t="str">
        <x:f>IF(D396="","",ROW()-1)</x:f>
      </x:c>
      <x:c r="B396" s="51"/>
      <x:c r="C396" s="51"/>
      <x:c r="D396" s="51"/>
      <x:c r="E396" s="9" t="str">
        <x:f>IF(D396="","",IF(AND(F396&lt;='Calibrare v2'!$B$33,G396&gt;=0.86),"DA – FEZABIL",IF(G396&gt;=0.8,"DA – PRUDENT","NU – EVITĂ")))</x:f>
      </x:c>
      <x:c r="F396" s="16" t="str">
        <x:f>IF(OR(W396="",X396=""),"",W396+X396)</x:f>
      </x:c>
      <x:c r="G396" s="28" t="str">
        <x:f>IF(F396="","",EXP(-F396)*(1+F396+F396^2/2+F396^3/6+F396^4/24))</x:f>
      </x:c>
      <x:c r="H396" s="53"/>
      <x:c r="I396" s="9" t="str">
        <x:f>IF(F396="","",IF(F396&lt;='Calibrare v2'!$B$33,"PASS","FAIL"))</x:f>
      </x:c>
      <x:c r="J396" s="51"/>
      <x:c r="K396" s="51"/>
      <x:c r="L396" s="9" t="str">
        <x:f>IF(OR(J396="",K396=""),"",J396+K396)</x:f>
      </x:c>
      <x:c r="M396" s="9" t="str">
        <x:f>IF(L396="","",IF(L396&lt;=4,"UNDER","OVER"))</x:f>
      </x:c>
      <x:c r="N396" s="9" t="str">
        <x:f>IF(E396="","",IF(LEFT(E396,2)="DA","PARIU U315,5","NO BET"))</x:f>
      </x:c>
      <x:c r="O396" s="9" t="str">
        <x:f>IF(M396="","",IF(AM396="PARIU U315,5",IF(M396="UNDER","SUCCES","EȘEC"),IF(M396="UNDER","FALS NEGATIV","EVITARE CORECTĂ")))</x:f>
      </x:c>
      <x:c r="P396" s="9" t="str">
        <x:f>IF(M396="","",IF(M396="UNDER",1,0))</x:f>
      </x:c>
      <x:c r="Q396" s="9" t="str">
        <x:f>IF(P396="","",(G396-P396)^2)</x:f>
      </x:c>
      <x:c r="R396" s="9" t="str">
        <x:f>IF(L396="","",L396-F396)</x:f>
      </x:c>
      <x:c r="S396" s="9" t="str">
        <x:f>IF(L396="","",IF(M396="UNDER","U315,5 reușit; total final "&amp;L396&amp;" vs λ="&amp;TEXT(F396,"0.00")&amp;".","Eșec U315,5; total final "&amp;L396&amp;" vs λ="&amp;TEXT(F396,"0.00")&amp;". Revizuiește Tail Risk, sursa λ și calibrarea."))</x:f>
      </x:c>
      <x:c r="T396" s="51"/>
      <x:c r="U396" s="51"/>
      <x:c r="V396" s="51"/>
      <x:c r="W396" s="61"/>
      <x:c r="X396" s="61"/>
      <x:c r="Y396" s="51"/>
      <x:c r="Z396" s="53"/>
      <x:c r="AA396" s="51"/>
      <x:c r="AB396" s="64" t="str">
        <x:f>IF(AC396="","",AC396)</x:f>
      </x:c>
      <x:c r="AC396" s="67"/>
      <x:c r="AD396" s="69" t="str">
        <x:f>IF(AE396="","",AE396)</x:f>
      </x:c>
      <x:c r="AE396" s="71"/>
      <x:c r="AF396" s="73" t="str">
        <x:f>IF(AC396="","",1/AC396)</x:f>
      </x:c>
      <x:c r="AG396" s="61"/>
      <x:c r="AH396" s="61"/>
      <x:c r="AI396" s="64" t="str">
        <x:f>IF(OR(AC396="",AG396=""),"",AC396*AG396-1)</x:f>
      </x:c>
      <x:c r="AJ396" s="75" t="str">
        <x:f>IF(OR(G396="",F396=""),"",IF(AND(G396&gt;='Calibrare v2'!$B$35,F396&lt;='Calibrare v2'!$B$34),"PASS","FAIL"))</x:f>
      </x:c>
      <x:c r="AK396" s="75" t="str">
        <x:f>IF(AL396="","",AL396)</x:f>
      </x:c>
      <x:c r="AL396" s="77"/>
      <x:c r="AM396" s="77"/>
      <x:c r="AN396" s="64" t="str">
        <x:f>IF(OR(AC396="",P396=""),"",(AC396-P396)^2)</x:f>
      </x:c>
      <x:c r="AO396" s="64" t="str">
        <x:f>IF(OR(AG396="",AH396=""),"",AG396/AH396-1)</x:f>
      </x:c>
      <x:c r="AP396" s="61"/>
      <x:c r="AQ396" s="73" t="n">
        <x:f>IF(OR(AM396&lt;&gt;"PARIU U4,5",M396="",AP396="",AG396=""),0,IF(M396="UNDER",AP396*(AG396-1),-AP396))</x:f>
        <x:v>0</x:v>
      </x:c>
      <x:c r="AR396" s="51"/>
    </x:row>
    <x:row r="397">
      <x:c r="A397" s="9" t="str">
        <x:f>IF(D397="","",ROW()-1)</x:f>
      </x:c>
      <x:c r="B397" s="51"/>
      <x:c r="C397" s="51"/>
      <x:c r="D397" s="51"/>
      <x:c r="E397" s="9" t="str">
        <x:f>IF(D397="","",IF(AND(F397&lt;='Calibrare v2'!$B$33,G397&gt;=0.86),"DA – FEZABIL",IF(G397&gt;=0.8,"DA – PRUDENT","NU – EVITĂ")))</x:f>
      </x:c>
      <x:c r="F397" s="16" t="str">
        <x:f>IF(OR(W397="",X397=""),"",W397+X397)</x:f>
      </x:c>
      <x:c r="G397" s="28" t="str">
        <x:f>IF(F397="","",EXP(-F397)*(1+F397+F397^2/2+F397^3/6+F397^4/24))</x:f>
      </x:c>
      <x:c r="H397" s="53"/>
      <x:c r="I397" s="9" t="str">
        <x:f>IF(F397="","",IF(F397&lt;='Calibrare v2'!$B$33,"PASS","FAIL"))</x:f>
      </x:c>
      <x:c r="J397" s="51"/>
      <x:c r="K397" s="51"/>
      <x:c r="L397" s="9" t="str">
        <x:f>IF(OR(J397="",K397=""),"",J397+K397)</x:f>
      </x:c>
      <x:c r="M397" s="9" t="str">
        <x:f>IF(L397="","",IF(L397&lt;=4,"UNDER","OVER"))</x:f>
      </x:c>
      <x:c r="N397" s="9" t="str">
        <x:f>IF(E397="","",IF(LEFT(E397,2)="DA","PARIU U316,5","NO BET"))</x:f>
      </x:c>
      <x:c r="O397" s="9" t="str">
        <x:f>IF(M397="","",IF(AM397="PARIU U316,5",IF(M397="UNDER","SUCCES","EȘEC"),IF(M397="UNDER","FALS NEGATIV","EVITARE CORECTĂ")))</x:f>
      </x:c>
      <x:c r="P397" s="9" t="str">
        <x:f>IF(M397="","",IF(M397="UNDER",1,0))</x:f>
      </x:c>
      <x:c r="Q397" s="9" t="str">
        <x:f>IF(P397="","",(G397-P397)^2)</x:f>
      </x:c>
      <x:c r="R397" s="9" t="str">
        <x:f>IF(L397="","",L397-F397)</x:f>
      </x:c>
      <x:c r="S397" s="9" t="str">
        <x:f>IF(L397="","",IF(M397="UNDER","U316,5 reușit; total final "&amp;L397&amp;" vs λ="&amp;TEXT(F397,"0.00")&amp;".","Eșec U316,5; total final "&amp;L397&amp;" vs λ="&amp;TEXT(F397,"0.00")&amp;". Revizuiește Tail Risk, sursa λ și calibrarea."))</x:f>
      </x:c>
      <x:c r="T397" s="51"/>
      <x:c r="U397" s="51"/>
      <x:c r="V397" s="51"/>
      <x:c r="W397" s="61"/>
      <x:c r="X397" s="61"/>
      <x:c r="Y397" s="51"/>
      <x:c r="Z397" s="53"/>
      <x:c r="AA397" s="51"/>
      <x:c r="AB397" s="64" t="str">
        <x:f>IF(AC397="","",AC397)</x:f>
      </x:c>
      <x:c r="AC397" s="67"/>
      <x:c r="AD397" s="69" t="str">
        <x:f>IF(AE397="","",AE397)</x:f>
      </x:c>
      <x:c r="AE397" s="71"/>
      <x:c r="AF397" s="73" t="str">
        <x:f>IF(AC397="","",1/AC397)</x:f>
      </x:c>
      <x:c r="AG397" s="61"/>
      <x:c r="AH397" s="61"/>
      <x:c r="AI397" s="64" t="str">
        <x:f>IF(OR(AC397="",AG397=""),"",AC397*AG397-1)</x:f>
      </x:c>
      <x:c r="AJ397" s="75" t="str">
        <x:f>IF(OR(G397="",F397=""),"",IF(AND(G397&gt;='Calibrare v2'!$B$35,F397&lt;='Calibrare v2'!$B$34),"PASS","FAIL"))</x:f>
      </x:c>
      <x:c r="AK397" s="75" t="str">
        <x:f>IF(AL397="","",AL397)</x:f>
      </x:c>
      <x:c r="AL397" s="77"/>
      <x:c r="AM397" s="77"/>
      <x:c r="AN397" s="64" t="str">
        <x:f>IF(OR(AC397="",P397=""),"",(AC397-P397)^2)</x:f>
      </x:c>
      <x:c r="AO397" s="64" t="str">
        <x:f>IF(OR(AG397="",AH397=""),"",AG397/AH397-1)</x:f>
      </x:c>
      <x:c r="AP397" s="61"/>
      <x:c r="AQ397" s="73" t="n">
        <x:f>IF(OR(AM397&lt;&gt;"PARIU U4,5",M397="",AP397="",AG397=""),0,IF(M397="UNDER",AP397*(AG397-1),-AP397))</x:f>
        <x:v>0</x:v>
      </x:c>
      <x:c r="AR397" s="51"/>
    </x:row>
    <x:row r="398">
      <x:c r="A398" s="9" t="str">
        <x:f>IF(D398="","",ROW()-1)</x:f>
      </x:c>
      <x:c r="B398" s="51"/>
      <x:c r="C398" s="51"/>
      <x:c r="D398" s="51"/>
      <x:c r="E398" s="9" t="str">
        <x:f>IF(D398="","",IF(AND(F398&lt;='Calibrare v2'!$B$33,G398&gt;=0.86),"DA – FEZABIL",IF(G398&gt;=0.8,"DA – PRUDENT","NU – EVITĂ")))</x:f>
      </x:c>
      <x:c r="F398" s="16" t="str">
        <x:f>IF(OR(W398="",X398=""),"",W398+X398)</x:f>
      </x:c>
      <x:c r="G398" s="28" t="str">
        <x:f>IF(F398="","",EXP(-F398)*(1+F398+F398^2/2+F398^3/6+F398^4/24))</x:f>
      </x:c>
      <x:c r="H398" s="53"/>
      <x:c r="I398" s="9" t="str">
        <x:f>IF(F398="","",IF(F398&lt;='Calibrare v2'!$B$33,"PASS","FAIL"))</x:f>
      </x:c>
      <x:c r="J398" s="51"/>
      <x:c r="K398" s="51"/>
      <x:c r="L398" s="9" t="str">
        <x:f>IF(OR(J398="",K398=""),"",J398+K398)</x:f>
      </x:c>
      <x:c r="M398" s="9" t="str">
        <x:f>IF(L398="","",IF(L398&lt;=4,"UNDER","OVER"))</x:f>
      </x:c>
      <x:c r="N398" s="9" t="str">
        <x:f>IF(E398="","",IF(LEFT(E398,2)="DA","PARIU U317,5","NO BET"))</x:f>
      </x:c>
      <x:c r="O398" s="9" t="str">
        <x:f>IF(M398="","",IF(AM398="PARIU U317,5",IF(M398="UNDER","SUCCES","EȘEC"),IF(M398="UNDER","FALS NEGATIV","EVITARE CORECTĂ")))</x:f>
      </x:c>
      <x:c r="P398" s="9" t="str">
        <x:f>IF(M398="","",IF(M398="UNDER",1,0))</x:f>
      </x:c>
      <x:c r="Q398" s="9" t="str">
        <x:f>IF(P398="","",(G398-P398)^2)</x:f>
      </x:c>
      <x:c r="R398" s="9" t="str">
        <x:f>IF(L398="","",L398-F398)</x:f>
      </x:c>
      <x:c r="S398" s="9" t="str">
        <x:f>IF(L398="","",IF(M398="UNDER","U317,5 reușit; total final "&amp;L398&amp;" vs λ="&amp;TEXT(F398,"0.00")&amp;".","Eșec U317,5; total final "&amp;L398&amp;" vs λ="&amp;TEXT(F398,"0.00")&amp;". Revizuiește Tail Risk, sursa λ și calibrarea."))</x:f>
      </x:c>
      <x:c r="T398" s="51"/>
      <x:c r="U398" s="51"/>
      <x:c r="V398" s="51"/>
      <x:c r="W398" s="61"/>
      <x:c r="X398" s="61"/>
      <x:c r="Y398" s="51"/>
      <x:c r="Z398" s="53"/>
      <x:c r="AA398" s="51"/>
      <x:c r="AB398" s="64" t="str">
        <x:f>IF(AC398="","",AC398)</x:f>
      </x:c>
      <x:c r="AC398" s="67"/>
      <x:c r="AD398" s="69" t="str">
        <x:f>IF(AE398="","",AE398)</x:f>
      </x:c>
      <x:c r="AE398" s="71"/>
      <x:c r="AF398" s="73" t="str">
        <x:f>IF(AC398="","",1/AC398)</x:f>
      </x:c>
      <x:c r="AG398" s="61"/>
      <x:c r="AH398" s="61"/>
      <x:c r="AI398" s="64" t="str">
        <x:f>IF(OR(AC398="",AG398=""),"",AC398*AG398-1)</x:f>
      </x:c>
      <x:c r="AJ398" s="75" t="str">
        <x:f>IF(OR(G398="",F398=""),"",IF(AND(G398&gt;='Calibrare v2'!$B$35,F398&lt;='Calibrare v2'!$B$34),"PASS","FAIL"))</x:f>
      </x:c>
      <x:c r="AK398" s="75" t="str">
        <x:f>IF(AL398="","",AL398)</x:f>
      </x:c>
      <x:c r="AL398" s="77"/>
      <x:c r="AM398" s="77"/>
      <x:c r="AN398" s="64" t="str">
        <x:f>IF(OR(AC398="",P398=""),"",(AC398-P398)^2)</x:f>
      </x:c>
      <x:c r="AO398" s="64" t="str">
        <x:f>IF(OR(AG398="",AH398=""),"",AG398/AH398-1)</x:f>
      </x:c>
      <x:c r="AP398" s="61"/>
      <x:c r="AQ398" s="73" t="n">
        <x:f>IF(OR(AM398&lt;&gt;"PARIU U4,5",M398="",AP398="",AG398=""),0,IF(M398="UNDER",AP398*(AG398-1),-AP398))</x:f>
        <x:v>0</x:v>
      </x:c>
      <x:c r="AR398" s="51"/>
    </x:row>
    <x:row r="399">
      <x:c r="A399" s="9" t="str">
        <x:f>IF(D399="","",ROW()-1)</x:f>
      </x:c>
      <x:c r="B399" s="51"/>
      <x:c r="C399" s="51"/>
      <x:c r="D399" s="51"/>
      <x:c r="E399" s="9" t="str">
        <x:f>IF(D399="","",IF(AND(F399&lt;='Calibrare v2'!$B$33,G399&gt;=0.86),"DA – FEZABIL",IF(G399&gt;=0.8,"DA – PRUDENT","NU – EVITĂ")))</x:f>
      </x:c>
      <x:c r="F399" s="16" t="str">
        <x:f>IF(OR(W399="",X399=""),"",W399+X399)</x:f>
      </x:c>
      <x:c r="G399" s="28" t="str">
        <x:f>IF(F399="","",EXP(-F399)*(1+F399+F399^2/2+F399^3/6+F399^4/24))</x:f>
      </x:c>
      <x:c r="H399" s="53"/>
      <x:c r="I399" s="9" t="str">
        <x:f>IF(F399="","",IF(F399&lt;='Calibrare v2'!$B$33,"PASS","FAIL"))</x:f>
      </x:c>
      <x:c r="J399" s="51"/>
      <x:c r="K399" s="51"/>
      <x:c r="L399" s="9" t="str">
        <x:f>IF(OR(J399="",K399=""),"",J399+K399)</x:f>
      </x:c>
      <x:c r="M399" s="9" t="str">
        <x:f>IF(L399="","",IF(L399&lt;=4,"UNDER","OVER"))</x:f>
      </x:c>
      <x:c r="N399" s="9" t="str">
        <x:f>IF(E399="","",IF(LEFT(E399,2)="DA","PARIU U318,5","NO BET"))</x:f>
      </x:c>
      <x:c r="O399" s="9" t="str">
        <x:f>IF(M399="","",IF(AM399="PARIU U318,5",IF(M399="UNDER","SUCCES","EȘEC"),IF(M399="UNDER","FALS NEGATIV","EVITARE CORECTĂ")))</x:f>
      </x:c>
      <x:c r="P399" s="9" t="str">
        <x:f>IF(M399="","",IF(M399="UNDER",1,0))</x:f>
      </x:c>
      <x:c r="Q399" s="9" t="str">
        <x:f>IF(P399="","",(G399-P399)^2)</x:f>
      </x:c>
      <x:c r="R399" s="9" t="str">
        <x:f>IF(L399="","",L399-F399)</x:f>
      </x:c>
      <x:c r="S399" s="9" t="str">
        <x:f>IF(L399="","",IF(M399="UNDER","U318,5 reușit; total final "&amp;L399&amp;" vs λ="&amp;TEXT(F399,"0.00")&amp;".","Eșec U318,5; total final "&amp;L399&amp;" vs λ="&amp;TEXT(F399,"0.00")&amp;". Revizuiește Tail Risk, sursa λ și calibrarea."))</x:f>
      </x:c>
      <x:c r="T399" s="51"/>
      <x:c r="U399" s="51"/>
      <x:c r="V399" s="51"/>
      <x:c r="W399" s="61"/>
      <x:c r="X399" s="61"/>
      <x:c r="Y399" s="51"/>
      <x:c r="Z399" s="53"/>
      <x:c r="AA399" s="51"/>
      <x:c r="AB399" s="64" t="str">
        <x:f>IF(AC399="","",AC399)</x:f>
      </x:c>
      <x:c r="AC399" s="67"/>
      <x:c r="AD399" s="69" t="str">
        <x:f>IF(AE399="","",AE399)</x:f>
      </x:c>
      <x:c r="AE399" s="71"/>
      <x:c r="AF399" s="73" t="str">
        <x:f>IF(AC399="","",1/AC399)</x:f>
      </x:c>
      <x:c r="AG399" s="61"/>
      <x:c r="AH399" s="61"/>
      <x:c r="AI399" s="64" t="str">
        <x:f>IF(OR(AC399="",AG399=""),"",AC399*AG399-1)</x:f>
      </x:c>
      <x:c r="AJ399" s="75" t="str">
        <x:f>IF(OR(G399="",F399=""),"",IF(AND(G399&gt;='Calibrare v2'!$B$35,F399&lt;='Calibrare v2'!$B$34),"PASS","FAIL"))</x:f>
      </x:c>
      <x:c r="AK399" s="75" t="str">
        <x:f>IF(AL399="","",AL399)</x:f>
      </x:c>
      <x:c r="AL399" s="77"/>
      <x:c r="AM399" s="77"/>
      <x:c r="AN399" s="64" t="str">
        <x:f>IF(OR(AC399="",P399=""),"",(AC399-P399)^2)</x:f>
      </x:c>
      <x:c r="AO399" s="64" t="str">
        <x:f>IF(OR(AG399="",AH399=""),"",AG399/AH399-1)</x:f>
      </x:c>
      <x:c r="AP399" s="61"/>
      <x:c r="AQ399" s="73" t="n">
        <x:f>IF(OR(AM399&lt;&gt;"PARIU U4,5",M399="",AP399="",AG399=""),0,IF(M399="UNDER",AP399*(AG399-1),-AP399))</x:f>
        <x:v>0</x:v>
      </x:c>
      <x:c r="AR399" s="51"/>
    </x:row>
    <x:row r="400">
      <x:c r="A400" s="9" t="str">
        <x:f>IF(D400="","",ROW()-1)</x:f>
      </x:c>
      <x:c r="B400" s="51"/>
      <x:c r="C400" s="51"/>
      <x:c r="D400" s="51"/>
      <x:c r="E400" s="9" t="str">
        <x:f>IF(D400="","",IF(AND(F400&lt;='Calibrare v2'!$B$33,G400&gt;=0.86),"DA – FEZABIL",IF(G400&gt;=0.8,"DA – PRUDENT","NU – EVITĂ")))</x:f>
      </x:c>
      <x:c r="F400" s="16" t="str">
        <x:f>IF(OR(W400="",X400=""),"",W400+X400)</x:f>
      </x:c>
      <x:c r="G400" s="28" t="str">
        <x:f>IF(F400="","",EXP(-F400)*(1+F400+F400^2/2+F400^3/6+F400^4/24))</x:f>
      </x:c>
      <x:c r="H400" s="53"/>
      <x:c r="I400" s="9" t="str">
        <x:f>IF(F400="","",IF(F400&lt;='Calibrare v2'!$B$33,"PASS","FAIL"))</x:f>
      </x:c>
      <x:c r="J400" s="51"/>
      <x:c r="K400" s="51"/>
      <x:c r="L400" s="9" t="str">
        <x:f>IF(OR(J400="",K400=""),"",J400+K400)</x:f>
      </x:c>
      <x:c r="M400" s="9" t="str">
        <x:f>IF(L400="","",IF(L400&lt;=4,"UNDER","OVER"))</x:f>
      </x:c>
      <x:c r="N400" s="9" t="str">
        <x:f>IF(E400="","",IF(LEFT(E400,2)="DA","PARIU U319,5","NO BET"))</x:f>
      </x:c>
      <x:c r="O400" s="9" t="str">
        <x:f>IF(M400="","",IF(AM400="PARIU U319,5",IF(M400="UNDER","SUCCES","EȘEC"),IF(M400="UNDER","FALS NEGATIV","EVITARE CORECTĂ")))</x:f>
      </x:c>
      <x:c r="P400" s="9" t="str">
        <x:f>IF(M400="","",IF(M400="UNDER",1,0))</x:f>
      </x:c>
      <x:c r="Q400" s="9" t="str">
        <x:f>IF(P400="","",(G400-P400)^2)</x:f>
      </x:c>
      <x:c r="R400" s="9" t="str">
        <x:f>IF(L400="","",L400-F400)</x:f>
      </x:c>
      <x:c r="S400" s="9" t="str">
        <x:f>IF(L400="","",IF(M400="UNDER","U319,5 reușit; total final "&amp;L400&amp;" vs λ="&amp;TEXT(F400,"0.00")&amp;".","Eșec U319,5; total final "&amp;L400&amp;" vs λ="&amp;TEXT(F400,"0.00")&amp;". Revizuiește Tail Risk, sursa λ și calibrarea."))</x:f>
      </x:c>
      <x:c r="T400" s="51"/>
      <x:c r="U400" s="51"/>
      <x:c r="V400" s="51"/>
      <x:c r="W400" s="61"/>
      <x:c r="X400" s="61"/>
      <x:c r="Y400" s="51"/>
      <x:c r="Z400" s="53"/>
      <x:c r="AA400" s="51"/>
      <x:c r="AB400" s="64" t="str">
        <x:f>IF(AC400="","",AC400)</x:f>
      </x:c>
      <x:c r="AC400" s="67"/>
      <x:c r="AD400" s="69" t="str">
        <x:f>IF(AE400="","",AE400)</x:f>
      </x:c>
      <x:c r="AE400" s="71"/>
      <x:c r="AF400" s="73" t="str">
        <x:f>IF(AC400="","",1/AC400)</x:f>
      </x:c>
      <x:c r="AG400" s="61"/>
      <x:c r="AH400" s="61"/>
      <x:c r="AI400" s="64" t="str">
        <x:f>IF(OR(AC400="",AG400=""),"",AC400*AG400-1)</x:f>
      </x:c>
      <x:c r="AJ400" s="75" t="str">
        <x:f>IF(OR(G400="",F400=""),"",IF(AND(G400&gt;='Calibrare v2'!$B$35,F400&lt;='Calibrare v2'!$B$34),"PASS","FAIL"))</x:f>
      </x:c>
      <x:c r="AK400" s="75" t="str">
        <x:f>IF(AL400="","",AL400)</x:f>
      </x:c>
      <x:c r="AL400" s="77"/>
      <x:c r="AM400" s="77"/>
      <x:c r="AN400" s="64" t="str">
        <x:f>IF(OR(AC400="",P400=""),"",(AC400-P400)^2)</x:f>
      </x:c>
      <x:c r="AO400" s="64" t="str">
        <x:f>IF(OR(AG400="",AH400=""),"",AG400/AH400-1)</x:f>
      </x:c>
      <x:c r="AP400" s="61"/>
      <x:c r="AQ400" s="73" t="n">
        <x:f>IF(OR(AM400&lt;&gt;"PARIU U4,5",M400="",AP400="",AG400=""),0,IF(M400="UNDER",AP400*(AG400-1),-AP400))</x:f>
        <x:v>0</x:v>
      </x:c>
      <x:c r="AR400" s="51"/>
    </x:row>
    <x:row r="401">
      <x:c r="A401" s="9" t="str">
        <x:f>IF(D401="","",ROW()-1)</x:f>
      </x:c>
      <x:c r="B401" s="51"/>
      <x:c r="C401" s="51"/>
      <x:c r="D401" s="51"/>
      <x:c r="E401" s="9" t="str">
        <x:f>IF(D401="","",IF(AND(F401&lt;='Calibrare v2'!$B$33,G401&gt;=0.86),"DA – FEZABIL",IF(G401&gt;=0.8,"DA – PRUDENT","NU – EVITĂ")))</x:f>
      </x:c>
      <x:c r="F401" s="16" t="str">
        <x:f>IF(OR(W401="",X401=""),"",W401+X401)</x:f>
      </x:c>
      <x:c r="G401" s="28" t="str">
        <x:f>IF(F401="","",EXP(-F401)*(1+F401+F401^2/2+F401^3/6+F401^4/24))</x:f>
      </x:c>
      <x:c r="H401" s="53"/>
      <x:c r="I401" s="9" t="str">
        <x:f>IF(F401="","",IF(F401&lt;='Calibrare v2'!$B$33,"PASS","FAIL"))</x:f>
      </x:c>
      <x:c r="J401" s="51"/>
      <x:c r="K401" s="51"/>
      <x:c r="L401" s="9" t="str">
        <x:f>IF(OR(J401="",K401=""),"",J401+K401)</x:f>
      </x:c>
      <x:c r="M401" s="9" t="str">
        <x:f>IF(L401="","",IF(L401&lt;=4,"UNDER","OVER"))</x:f>
      </x:c>
      <x:c r="N401" s="9" t="str">
        <x:f>IF(E401="","",IF(LEFT(E401,2)="DA","PARIU U320,5","NO BET"))</x:f>
      </x:c>
      <x:c r="O401" s="9" t="str">
        <x:f>IF(M401="","",IF(AM401="PARIU U320,5",IF(M401="UNDER","SUCCES","EȘEC"),IF(M401="UNDER","FALS NEGATIV","EVITARE CORECTĂ")))</x:f>
      </x:c>
      <x:c r="P401" s="9" t="str">
        <x:f>IF(M401="","",IF(M401="UNDER",1,0))</x:f>
      </x:c>
      <x:c r="Q401" s="9" t="str">
        <x:f>IF(P401="","",(G401-P401)^2)</x:f>
      </x:c>
      <x:c r="R401" s="9" t="str">
        <x:f>IF(L401="","",L401-F401)</x:f>
      </x:c>
      <x:c r="S401" s="9" t="str">
        <x:f>IF(L401="","",IF(M401="UNDER","U320,5 reușit; total final "&amp;L401&amp;" vs λ="&amp;TEXT(F401,"0.00")&amp;".","Eșec U320,5; total final "&amp;L401&amp;" vs λ="&amp;TEXT(F401,"0.00")&amp;". Revizuiește Tail Risk, sursa λ și calibrarea."))</x:f>
      </x:c>
      <x:c r="T401" s="51"/>
      <x:c r="U401" s="51"/>
      <x:c r="V401" s="51"/>
      <x:c r="W401" s="61"/>
      <x:c r="X401" s="61"/>
      <x:c r="Y401" s="51"/>
      <x:c r="Z401" s="53"/>
      <x:c r="AA401" s="51"/>
      <x:c r="AB401" s="64" t="str">
        <x:f>IF(AC401="","",AC401)</x:f>
      </x:c>
      <x:c r="AC401" s="67"/>
      <x:c r="AD401" s="69" t="str">
        <x:f>IF(AE401="","",AE401)</x:f>
      </x:c>
      <x:c r="AE401" s="71"/>
      <x:c r="AF401" s="73" t="str">
        <x:f>IF(AC401="","",1/AC401)</x:f>
      </x:c>
      <x:c r="AG401" s="61"/>
      <x:c r="AH401" s="61"/>
      <x:c r="AI401" s="64" t="str">
        <x:f>IF(OR(AC401="",AG401=""),"",AC401*AG401-1)</x:f>
      </x:c>
      <x:c r="AJ401" s="75" t="str">
        <x:f>IF(OR(G401="",F401=""),"",IF(AND(G401&gt;='Calibrare v2'!$B$35,F401&lt;='Calibrare v2'!$B$34),"PASS","FAIL"))</x:f>
      </x:c>
      <x:c r="AK401" s="75" t="str">
        <x:f>IF(AL401="","",AL401)</x:f>
      </x:c>
      <x:c r="AL401" s="77"/>
      <x:c r="AM401" s="77"/>
      <x:c r="AN401" s="64" t="str">
        <x:f>IF(OR(AC401="",P401=""),"",(AC401-P401)^2)</x:f>
      </x:c>
      <x:c r="AO401" s="64" t="str">
        <x:f>IF(OR(AG401="",AH401=""),"",AG401/AH401-1)</x:f>
      </x:c>
      <x:c r="AP401" s="61"/>
      <x:c r="AQ401" s="73" t="n">
        <x:f>IF(OR(AM401&lt;&gt;"PARIU U4,5",M401="",AP401="",AG401=""),0,IF(M401="UNDER",AP401*(AG401-1),-AP401))</x:f>
        <x:v>0</x:v>
      </x:c>
      <x:c r="AR401" s="51"/>
    </x:row>
    <x:row r="402">
      <x:c r="A402" s="9" t="str">
        <x:f>IF(D402="","",ROW()-1)</x:f>
      </x:c>
      <x:c r="B402" s="51"/>
      <x:c r="C402" s="51"/>
      <x:c r="D402" s="51"/>
      <x:c r="E402" s="9" t="str">
        <x:f>IF(D402="","",IF(AND(F402&lt;='Calibrare v2'!$B$33,G402&gt;=0.86),"DA – FEZABIL",IF(G402&gt;=0.8,"DA – PRUDENT","NU – EVITĂ")))</x:f>
      </x:c>
      <x:c r="F402" s="16" t="str">
        <x:f>IF(OR(W402="",X402=""),"",W402+X402)</x:f>
      </x:c>
      <x:c r="G402" s="28" t="str">
        <x:f>IF(F402="","",EXP(-F402)*(1+F402+F402^2/2+F402^3/6+F402^4/24))</x:f>
      </x:c>
      <x:c r="H402" s="53"/>
      <x:c r="I402" s="9" t="str">
        <x:f>IF(F402="","",IF(F402&lt;='Calibrare v2'!$B$33,"PASS","FAIL"))</x:f>
      </x:c>
      <x:c r="J402" s="51"/>
      <x:c r="K402" s="51"/>
      <x:c r="L402" s="9" t="str">
        <x:f>IF(OR(J402="",K402=""),"",J402+K402)</x:f>
      </x:c>
      <x:c r="M402" s="9" t="str">
        <x:f>IF(L402="","",IF(L402&lt;=4,"UNDER","OVER"))</x:f>
      </x:c>
      <x:c r="N402" s="9" t="str">
        <x:f>IF(E402="","",IF(LEFT(E402,2)="DA","PARIU U321,5","NO BET"))</x:f>
      </x:c>
      <x:c r="O402" s="9" t="str">
        <x:f>IF(M402="","",IF(AM402="PARIU U321,5",IF(M402="UNDER","SUCCES","EȘEC"),IF(M402="UNDER","FALS NEGATIV","EVITARE CORECTĂ")))</x:f>
      </x:c>
      <x:c r="P402" s="9" t="str">
        <x:f>IF(M402="","",IF(M402="UNDER",1,0))</x:f>
      </x:c>
      <x:c r="Q402" s="9" t="str">
        <x:f>IF(P402="","",(G402-P402)^2)</x:f>
      </x:c>
      <x:c r="R402" s="9" t="str">
        <x:f>IF(L402="","",L402-F402)</x:f>
      </x:c>
      <x:c r="S402" s="9" t="str">
        <x:f>IF(L402="","",IF(M402="UNDER","U321,5 reușit; total final "&amp;L402&amp;" vs λ="&amp;TEXT(F402,"0.00")&amp;".","Eșec U321,5; total final "&amp;L402&amp;" vs λ="&amp;TEXT(F402,"0.00")&amp;". Revizuiește Tail Risk, sursa λ și calibrarea."))</x:f>
      </x:c>
      <x:c r="T402" s="51"/>
      <x:c r="U402" s="51"/>
      <x:c r="V402" s="51"/>
      <x:c r="W402" s="61"/>
      <x:c r="X402" s="61"/>
      <x:c r="Y402" s="51"/>
      <x:c r="Z402" s="53"/>
      <x:c r="AA402" s="51"/>
      <x:c r="AB402" s="64" t="str">
        <x:f>IF(AC402="","",AC402)</x:f>
      </x:c>
      <x:c r="AC402" s="67"/>
      <x:c r="AD402" s="69" t="str">
        <x:f>IF(AE402="","",AE402)</x:f>
      </x:c>
      <x:c r="AE402" s="71"/>
      <x:c r="AF402" s="73" t="str">
        <x:f>IF(AC402="","",1/AC402)</x:f>
      </x:c>
      <x:c r="AG402" s="61"/>
      <x:c r="AH402" s="61"/>
      <x:c r="AI402" s="64" t="str">
        <x:f>IF(OR(AC402="",AG402=""),"",AC402*AG402-1)</x:f>
      </x:c>
      <x:c r="AJ402" s="75" t="str">
        <x:f>IF(OR(G402="",F402=""),"",IF(AND(G402&gt;='Calibrare v2'!$B$35,F402&lt;='Calibrare v2'!$B$34),"PASS","FAIL"))</x:f>
      </x:c>
      <x:c r="AK402" s="75" t="str">
        <x:f>IF(AL402="","",AL402)</x:f>
      </x:c>
      <x:c r="AL402" s="77"/>
      <x:c r="AM402" s="77"/>
      <x:c r="AN402" s="64" t="str">
        <x:f>IF(OR(AC402="",P402=""),"",(AC402-P402)^2)</x:f>
      </x:c>
      <x:c r="AO402" s="64" t="str">
        <x:f>IF(OR(AG402="",AH402=""),"",AG402/AH402-1)</x:f>
      </x:c>
      <x:c r="AP402" s="61"/>
      <x:c r="AQ402" s="73" t="n">
        <x:f>IF(OR(AM402&lt;&gt;"PARIU U4,5",M402="",AP402="",AG402=""),0,IF(M402="UNDER",AP402*(AG402-1),-AP402))</x:f>
        <x:v>0</x:v>
      </x:c>
      <x:c r="AR402" s="51"/>
    </x:row>
    <x:row r="403">
      <x:c r="A403" s="9" t="str">
        <x:f>IF(D403="","",ROW()-1)</x:f>
      </x:c>
      <x:c r="B403" s="51"/>
      <x:c r="C403" s="51"/>
      <x:c r="D403" s="51"/>
      <x:c r="E403" s="9" t="str">
        <x:f>IF(D403="","",IF(AND(F403&lt;='Calibrare v2'!$B$33,G403&gt;=0.86),"DA – FEZABIL",IF(G403&gt;=0.8,"DA – PRUDENT","NU – EVITĂ")))</x:f>
      </x:c>
      <x:c r="F403" s="16" t="str">
        <x:f>IF(OR(W403="",X403=""),"",W403+X403)</x:f>
      </x:c>
      <x:c r="G403" s="28" t="str">
        <x:f>IF(F403="","",EXP(-F403)*(1+F403+F403^2/2+F403^3/6+F403^4/24))</x:f>
      </x:c>
      <x:c r="H403" s="53"/>
      <x:c r="I403" s="9" t="str">
        <x:f>IF(F403="","",IF(F403&lt;='Calibrare v2'!$B$33,"PASS","FAIL"))</x:f>
      </x:c>
      <x:c r="J403" s="51"/>
      <x:c r="K403" s="51"/>
      <x:c r="L403" s="9" t="str">
        <x:f>IF(OR(J403="",K403=""),"",J403+K403)</x:f>
      </x:c>
      <x:c r="M403" s="9" t="str">
        <x:f>IF(L403="","",IF(L403&lt;=4,"UNDER","OVER"))</x:f>
      </x:c>
      <x:c r="N403" s="9" t="str">
        <x:f>IF(E403="","",IF(LEFT(E403,2)="DA","PARIU U322,5","NO BET"))</x:f>
      </x:c>
      <x:c r="O403" s="9" t="str">
        <x:f>IF(M403="","",IF(AM403="PARIU U322,5",IF(M403="UNDER","SUCCES","EȘEC"),IF(M403="UNDER","FALS NEGATIV","EVITARE CORECTĂ")))</x:f>
      </x:c>
      <x:c r="P403" s="9" t="str">
        <x:f>IF(M403="","",IF(M403="UNDER",1,0))</x:f>
      </x:c>
      <x:c r="Q403" s="9" t="str">
        <x:f>IF(P403="","",(G403-P403)^2)</x:f>
      </x:c>
      <x:c r="R403" s="9" t="str">
        <x:f>IF(L403="","",L403-F403)</x:f>
      </x:c>
      <x:c r="S403" s="9" t="str">
        <x:f>IF(L403="","",IF(M403="UNDER","U322,5 reușit; total final "&amp;L403&amp;" vs λ="&amp;TEXT(F403,"0.00")&amp;".","Eșec U322,5; total final "&amp;L403&amp;" vs λ="&amp;TEXT(F403,"0.00")&amp;". Revizuiește Tail Risk, sursa λ și calibrarea."))</x:f>
      </x:c>
      <x:c r="T403" s="51"/>
      <x:c r="U403" s="51"/>
      <x:c r="V403" s="51"/>
      <x:c r="W403" s="61"/>
      <x:c r="X403" s="61"/>
      <x:c r="Y403" s="51"/>
      <x:c r="Z403" s="53"/>
      <x:c r="AA403" s="51"/>
      <x:c r="AB403" s="64" t="str">
        <x:f>IF(AC403="","",AC403)</x:f>
      </x:c>
      <x:c r="AC403" s="67"/>
      <x:c r="AD403" s="69" t="str">
        <x:f>IF(AE403="","",AE403)</x:f>
      </x:c>
      <x:c r="AE403" s="71"/>
      <x:c r="AF403" s="73" t="str">
        <x:f>IF(AC403="","",1/AC403)</x:f>
      </x:c>
      <x:c r="AG403" s="61"/>
      <x:c r="AH403" s="61"/>
      <x:c r="AI403" s="64" t="str">
        <x:f>IF(OR(AC403="",AG403=""),"",AC403*AG403-1)</x:f>
      </x:c>
      <x:c r="AJ403" s="75" t="str">
        <x:f>IF(OR(G403="",F403=""),"",IF(AND(G403&gt;='Calibrare v2'!$B$35,F403&lt;='Calibrare v2'!$B$34),"PASS","FAIL"))</x:f>
      </x:c>
      <x:c r="AK403" s="75" t="str">
        <x:f>IF(AL403="","",AL403)</x:f>
      </x:c>
      <x:c r="AL403" s="77"/>
      <x:c r="AM403" s="77"/>
      <x:c r="AN403" s="64" t="str">
        <x:f>IF(OR(AC403="",P403=""),"",(AC403-P403)^2)</x:f>
      </x:c>
      <x:c r="AO403" s="64" t="str">
        <x:f>IF(OR(AG403="",AH403=""),"",AG403/AH403-1)</x:f>
      </x:c>
      <x:c r="AP403" s="61"/>
      <x:c r="AQ403" s="73" t="n">
        <x:f>IF(OR(AM403&lt;&gt;"PARIU U4,5",M403="",AP403="",AG403=""),0,IF(M403="UNDER",AP403*(AG403-1),-AP403))</x:f>
        <x:v>0</x:v>
      </x:c>
      <x:c r="AR403" s="51"/>
    </x:row>
    <x:row r="404">
      <x:c r="A404" s="9" t="str">
        <x:f>IF(D404="","",ROW()-1)</x:f>
      </x:c>
      <x:c r="B404" s="51"/>
      <x:c r="C404" s="51"/>
      <x:c r="D404" s="51"/>
      <x:c r="E404" s="9" t="str">
        <x:f>IF(D404="","",IF(AND(F404&lt;='Calibrare v2'!$B$33,G404&gt;=0.86),"DA – FEZABIL",IF(G404&gt;=0.8,"DA – PRUDENT","NU – EVITĂ")))</x:f>
      </x:c>
      <x:c r="F404" s="16" t="str">
        <x:f>IF(OR(W404="",X404=""),"",W404+X404)</x:f>
      </x:c>
      <x:c r="G404" s="28" t="str">
        <x:f>IF(F404="","",EXP(-F404)*(1+F404+F404^2/2+F404^3/6+F404^4/24))</x:f>
      </x:c>
      <x:c r="H404" s="53"/>
      <x:c r="I404" s="9" t="str">
        <x:f>IF(F404="","",IF(F404&lt;='Calibrare v2'!$B$33,"PASS","FAIL"))</x:f>
      </x:c>
      <x:c r="J404" s="51"/>
      <x:c r="K404" s="51"/>
      <x:c r="L404" s="9" t="str">
        <x:f>IF(OR(J404="",K404=""),"",J404+K404)</x:f>
      </x:c>
      <x:c r="M404" s="9" t="str">
        <x:f>IF(L404="","",IF(L404&lt;=4,"UNDER","OVER"))</x:f>
      </x:c>
      <x:c r="N404" s="9" t="str">
        <x:f>IF(E404="","",IF(LEFT(E404,2)="DA","PARIU U323,5","NO BET"))</x:f>
      </x:c>
      <x:c r="O404" s="9" t="str">
        <x:f>IF(M404="","",IF(AM404="PARIU U323,5",IF(M404="UNDER","SUCCES","EȘEC"),IF(M404="UNDER","FALS NEGATIV","EVITARE CORECTĂ")))</x:f>
      </x:c>
      <x:c r="P404" s="9" t="str">
        <x:f>IF(M404="","",IF(M404="UNDER",1,0))</x:f>
      </x:c>
      <x:c r="Q404" s="9" t="str">
        <x:f>IF(P404="","",(G404-P404)^2)</x:f>
      </x:c>
      <x:c r="R404" s="9" t="str">
        <x:f>IF(L404="","",L404-F404)</x:f>
      </x:c>
      <x:c r="S404" s="9" t="str">
        <x:f>IF(L404="","",IF(M404="UNDER","U323,5 reușit; total final "&amp;L404&amp;" vs λ="&amp;TEXT(F404,"0.00")&amp;".","Eșec U323,5; total final "&amp;L404&amp;" vs λ="&amp;TEXT(F404,"0.00")&amp;". Revizuiește Tail Risk, sursa λ și calibrarea."))</x:f>
      </x:c>
      <x:c r="T404" s="51"/>
      <x:c r="U404" s="51"/>
      <x:c r="V404" s="51"/>
      <x:c r="W404" s="61"/>
      <x:c r="X404" s="61"/>
      <x:c r="Y404" s="51"/>
      <x:c r="Z404" s="53"/>
      <x:c r="AA404" s="51"/>
      <x:c r="AB404" s="64" t="str">
        <x:f>IF(AC404="","",AC404)</x:f>
      </x:c>
      <x:c r="AC404" s="67"/>
      <x:c r="AD404" s="69" t="str">
        <x:f>IF(AE404="","",AE404)</x:f>
      </x:c>
      <x:c r="AE404" s="71"/>
      <x:c r="AF404" s="73" t="str">
        <x:f>IF(AC404="","",1/AC404)</x:f>
      </x:c>
      <x:c r="AG404" s="61"/>
      <x:c r="AH404" s="61"/>
      <x:c r="AI404" s="64" t="str">
        <x:f>IF(OR(AC404="",AG404=""),"",AC404*AG404-1)</x:f>
      </x:c>
      <x:c r="AJ404" s="75" t="str">
        <x:f>IF(OR(G404="",F404=""),"",IF(AND(G404&gt;='Calibrare v2'!$B$35,F404&lt;='Calibrare v2'!$B$34),"PASS","FAIL"))</x:f>
      </x:c>
      <x:c r="AK404" s="75" t="str">
        <x:f>IF(AL404="","",AL404)</x:f>
      </x:c>
      <x:c r="AL404" s="77"/>
      <x:c r="AM404" s="77"/>
      <x:c r="AN404" s="64" t="str">
        <x:f>IF(OR(AC404="",P404=""),"",(AC404-P404)^2)</x:f>
      </x:c>
      <x:c r="AO404" s="64" t="str">
        <x:f>IF(OR(AG404="",AH404=""),"",AG404/AH404-1)</x:f>
      </x:c>
      <x:c r="AP404" s="61"/>
      <x:c r="AQ404" s="73" t="n">
        <x:f>IF(OR(AM404&lt;&gt;"PARIU U4,5",M404="",AP404="",AG404=""),0,IF(M404="UNDER",AP404*(AG404-1),-AP404))</x:f>
        <x:v>0</x:v>
      </x:c>
      <x:c r="AR404" s="51"/>
    </x:row>
    <x:row r="405">
      <x:c r="A405" s="9" t="str">
        <x:f>IF(D405="","",ROW()-1)</x:f>
      </x:c>
      <x:c r="B405" s="51"/>
      <x:c r="C405" s="51"/>
      <x:c r="D405" s="51"/>
      <x:c r="E405" s="9" t="str">
        <x:f>IF(D405="","",IF(AND(F405&lt;='Calibrare v2'!$B$33,G405&gt;=0.86),"DA – FEZABIL",IF(G405&gt;=0.8,"DA – PRUDENT","NU – EVITĂ")))</x:f>
      </x:c>
      <x:c r="F405" s="16" t="str">
        <x:f>IF(OR(W405="",X405=""),"",W405+X405)</x:f>
      </x:c>
      <x:c r="G405" s="28" t="str">
        <x:f>IF(F405="","",EXP(-F405)*(1+F405+F405^2/2+F405^3/6+F405^4/24))</x:f>
      </x:c>
      <x:c r="H405" s="53"/>
      <x:c r="I405" s="9" t="str">
        <x:f>IF(F405="","",IF(F405&lt;='Calibrare v2'!$B$33,"PASS","FAIL"))</x:f>
      </x:c>
      <x:c r="J405" s="51"/>
      <x:c r="K405" s="51"/>
      <x:c r="L405" s="9" t="str">
        <x:f>IF(OR(J405="",K405=""),"",J405+K405)</x:f>
      </x:c>
      <x:c r="M405" s="9" t="str">
        <x:f>IF(L405="","",IF(L405&lt;=4,"UNDER","OVER"))</x:f>
      </x:c>
      <x:c r="N405" s="9" t="str">
        <x:f>IF(E405="","",IF(LEFT(E405,2)="DA","PARIU U324,5","NO BET"))</x:f>
      </x:c>
      <x:c r="O405" s="9" t="str">
        <x:f>IF(M405="","",IF(AM405="PARIU U324,5",IF(M405="UNDER","SUCCES","EȘEC"),IF(M405="UNDER","FALS NEGATIV","EVITARE CORECTĂ")))</x:f>
      </x:c>
      <x:c r="P405" s="9" t="str">
        <x:f>IF(M405="","",IF(M405="UNDER",1,0))</x:f>
      </x:c>
      <x:c r="Q405" s="9" t="str">
        <x:f>IF(P405="","",(G405-P405)^2)</x:f>
      </x:c>
      <x:c r="R405" s="9" t="str">
        <x:f>IF(L405="","",L405-F405)</x:f>
      </x:c>
      <x:c r="S405" s="9" t="str">
        <x:f>IF(L405="","",IF(M405="UNDER","U324,5 reușit; total final "&amp;L405&amp;" vs λ="&amp;TEXT(F405,"0.00")&amp;".","Eșec U324,5; total final "&amp;L405&amp;" vs λ="&amp;TEXT(F405,"0.00")&amp;". Revizuiește Tail Risk, sursa λ și calibrarea."))</x:f>
      </x:c>
      <x:c r="T405" s="51"/>
      <x:c r="U405" s="51"/>
      <x:c r="V405" s="51"/>
      <x:c r="W405" s="61"/>
      <x:c r="X405" s="61"/>
      <x:c r="Y405" s="51"/>
      <x:c r="Z405" s="53"/>
      <x:c r="AA405" s="51"/>
      <x:c r="AB405" s="64" t="str">
        <x:f>IF(AC405="","",AC405)</x:f>
      </x:c>
      <x:c r="AC405" s="67"/>
      <x:c r="AD405" s="69" t="str">
        <x:f>IF(AE405="","",AE405)</x:f>
      </x:c>
      <x:c r="AE405" s="71"/>
      <x:c r="AF405" s="73" t="str">
        <x:f>IF(AC405="","",1/AC405)</x:f>
      </x:c>
      <x:c r="AG405" s="61"/>
      <x:c r="AH405" s="61"/>
      <x:c r="AI405" s="64" t="str">
        <x:f>IF(OR(AC405="",AG405=""),"",AC405*AG405-1)</x:f>
      </x:c>
      <x:c r="AJ405" s="75" t="str">
        <x:f>IF(OR(G405="",F405=""),"",IF(AND(G405&gt;='Calibrare v2'!$B$35,F405&lt;='Calibrare v2'!$B$34),"PASS","FAIL"))</x:f>
      </x:c>
      <x:c r="AK405" s="75" t="str">
        <x:f>IF(AL405="","",AL405)</x:f>
      </x:c>
      <x:c r="AL405" s="77"/>
      <x:c r="AM405" s="77"/>
      <x:c r="AN405" s="64" t="str">
        <x:f>IF(OR(AC405="",P405=""),"",(AC405-P405)^2)</x:f>
      </x:c>
      <x:c r="AO405" s="64" t="str">
        <x:f>IF(OR(AG405="",AH405=""),"",AG405/AH405-1)</x:f>
      </x:c>
      <x:c r="AP405" s="61"/>
      <x:c r="AQ405" s="73" t="n">
        <x:f>IF(OR(AM405&lt;&gt;"PARIU U4,5",M405="",AP405="",AG405=""),0,IF(M405="UNDER",AP405*(AG405-1),-AP405))</x:f>
        <x:v>0</x:v>
      </x:c>
      <x:c r="AR405" s="51"/>
    </x:row>
    <x:row r="406">
      <x:c r="A406" s="9" t="str">
        <x:f>IF(D406="","",ROW()-1)</x:f>
      </x:c>
      <x:c r="B406" s="51"/>
      <x:c r="C406" s="51"/>
      <x:c r="D406" s="51"/>
      <x:c r="E406" s="9" t="str">
        <x:f>IF(D406="","",IF(AND(F406&lt;='Calibrare v2'!$B$33,G406&gt;=0.86),"DA – FEZABIL",IF(G406&gt;=0.8,"DA – PRUDENT","NU – EVITĂ")))</x:f>
      </x:c>
      <x:c r="F406" s="16" t="str">
        <x:f>IF(OR(W406="",X406=""),"",W406+X406)</x:f>
      </x:c>
      <x:c r="G406" s="28" t="str">
        <x:f>IF(F406="","",EXP(-F406)*(1+F406+F406^2/2+F406^3/6+F406^4/24))</x:f>
      </x:c>
      <x:c r="H406" s="53"/>
      <x:c r="I406" s="9" t="str">
        <x:f>IF(F406="","",IF(F406&lt;='Calibrare v2'!$B$33,"PASS","FAIL"))</x:f>
      </x:c>
      <x:c r="J406" s="51"/>
      <x:c r="K406" s="51"/>
      <x:c r="L406" s="9" t="str">
        <x:f>IF(OR(J406="",K406=""),"",J406+K406)</x:f>
      </x:c>
      <x:c r="M406" s="9" t="str">
        <x:f>IF(L406="","",IF(L406&lt;=4,"UNDER","OVER"))</x:f>
      </x:c>
      <x:c r="N406" s="9" t="str">
        <x:f>IF(E406="","",IF(LEFT(E406,2)="DA","PARIU U325,5","NO BET"))</x:f>
      </x:c>
      <x:c r="O406" s="9" t="str">
        <x:f>IF(M406="","",IF(AM406="PARIU U325,5",IF(M406="UNDER","SUCCES","EȘEC"),IF(M406="UNDER","FALS NEGATIV","EVITARE CORECTĂ")))</x:f>
      </x:c>
      <x:c r="P406" s="9" t="str">
        <x:f>IF(M406="","",IF(M406="UNDER",1,0))</x:f>
      </x:c>
      <x:c r="Q406" s="9" t="str">
        <x:f>IF(P406="","",(G406-P406)^2)</x:f>
      </x:c>
      <x:c r="R406" s="9" t="str">
        <x:f>IF(L406="","",L406-F406)</x:f>
      </x:c>
      <x:c r="S406" s="9" t="str">
        <x:f>IF(L406="","",IF(M406="UNDER","U325,5 reușit; total final "&amp;L406&amp;" vs λ="&amp;TEXT(F406,"0.00")&amp;".","Eșec U325,5; total final "&amp;L406&amp;" vs λ="&amp;TEXT(F406,"0.00")&amp;". Revizuiește Tail Risk, sursa λ și calibrarea."))</x:f>
      </x:c>
      <x:c r="T406" s="51"/>
      <x:c r="U406" s="51"/>
      <x:c r="V406" s="51"/>
      <x:c r="W406" s="61"/>
      <x:c r="X406" s="61"/>
      <x:c r="Y406" s="51"/>
      <x:c r="Z406" s="53"/>
      <x:c r="AA406" s="51"/>
      <x:c r="AB406" s="64" t="str">
        <x:f>IF(AC406="","",AC406)</x:f>
      </x:c>
      <x:c r="AC406" s="67"/>
      <x:c r="AD406" s="69" t="str">
        <x:f>IF(AE406="","",AE406)</x:f>
      </x:c>
      <x:c r="AE406" s="71"/>
      <x:c r="AF406" s="73" t="str">
        <x:f>IF(AC406="","",1/AC406)</x:f>
      </x:c>
      <x:c r="AG406" s="61"/>
      <x:c r="AH406" s="61"/>
      <x:c r="AI406" s="64" t="str">
        <x:f>IF(OR(AC406="",AG406=""),"",AC406*AG406-1)</x:f>
      </x:c>
      <x:c r="AJ406" s="75" t="str">
        <x:f>IF(OR(G406="",F406=""),"",IF(AND(G406&gt;='Calibrare v2'!$B$35,F406&lt;='Calibrare v2'!$B$34),"PASS","FAIL"))</x:f>
      </x:c>
      <x:c r="AK406" s="75" t="str">
        <x:f>IF(AL406="","",AL406)</x:f>
      </x:c>
      <x:c r="AL406" s="77"/>
      <x:c r="AM406" s="77"/>
      <x:c r="AN406" s="64" t="str">
        <x:f>IF(OR(AC406="",P406=""),"",(AC406-P406)^2)</x:f>
      </x:c>
      <x:c r="AO406" s="64" t="str">
        <x:f>IF(OR(AG406="",AH406=""),"",AG406/AH406-1)</x:f>
      </x:c>
      <x:c r="AP406" s="61"/>
      <x:c r="AQ406" s="73" t="n">
        <x:f>IF(OR(AM406&lt;&gt;"PARIU U4,5",M406="",AP406="",AG406=""),0,IF(M406="UNDER",AP406*(AG406-1),-AP406))</x:f>
        <x:v>0</x:v>
      </x:c>
      <x:c r="AR406" s="51"/>
    </x:row>
    <x:row r="407">
      <x:c r="A407" s="9" t="str">
        <x:f>IF(D407="","",ROW()-1)</x:f>
      </x:c>
      <x:c r="B407" s="51"/>
      <x:c r="C407" s="51"/>
      <x:c r="D407" s="51"/>
      <x:c r="E407" s="9" t="str">
        <x:f>IF(D407="","",IF(AND(F407&lt;='Calibrare v2'!$B$33,G407&gt;=0.86),"DA – FEZABIL",IF(G407&gt;=0.8,"DA – PRUDENT","NU – EVITĂ")))</x:f>
      </x:c>
      <x:c r="F407" s="16" t="str">
        <x:f>IF(OR(W407="",X407=""),"",W407+X407)</x:f>
      </x:c>
      <x:c r="G407" s="28" t="str">
        <x:f>IF(F407="","",EXP(-F407)*(1+F407+F407^2/2+F407^3/6+F407^4/24))</x:f>
      </x:c>
      <x:c r="H407" s="53"/>
      <x:c r="I407" s="9" t="str">
        <x:f>IF(F407="","",IF(F407&lt;='Calibrare v2'!$B$33,"PASS","FAIL"))</x:f>
      </x:c>
      <x:c r="J407" s="51"/>
      <x:c r="K407" s="51"/>
      <x:c r="L407" s="9" t="str">
        <x:f>IF(OR(J407="",K407=""),"",J407+K407)</x:f>
      </x:c>
      <x:c r="M407" s="9" t="str">
        <x:f>IF(L407="","",IF(L407&lt;=4,"UNDER","OVER"))</x:f>
      </x:c>
      <x:c r="N407" s="9" t="str">
        <x:f>IF(E407="","",IF(LEFT(E407,2)="DA","PARIU U326,5","NO BET"))</x:f>
      </x:c>
      <x:c r="O407" s="9" t="str">
        <x:f>IF(M407="","",IF(AM407="PARIU U326,5",IF(M407="UNDER","SUCCES","EȘEC"),IF(M407="UNDER","FALS NEGATIV","EVITARE CORECTĂ")))</x:f>
      </x:c>
      <x:c r="P407" s="9" t="str">
        <x:f>IF(M407="","",IF(M407="UNDER",1,0))</x:f>
      </x:c>
      <x:c r="Q407" s="9" t="str">
        <x:f>IF(P407="","",(G407-P407)^2)</x:f>
      </x:c>
      <x:c r="R407" s="9" t="str">
        <x:f>IF(L407="","",L407-F407)</x:f>
      </x:c>
      <x:c r="S407" s="9" t="str">
        <x:f>IF(L407="","",IF(M407="UNDER","U326,5 reușit; total final "&amp;L407&amp;" vs λ="&amp;TEXT(F407,"0.00")&amp;".","Eșec U326,5; total final "&amp;L407&amp;" vs λ="&amp;TEXT(F407,"0.00")&amp;". Revizuiește Tail Risk, sursa λ și calibrarea."))</x:f>
      </x:c>
      <x:c r="T407" s="51"/>
      <x:c r="U407" s="51"/>
      <x:c r="V407" s="51"/>
      <x:c r="W407" s="61"/>
      <x:c r="X407" s="61"/>
      <x:c r="Y407" s="51"/>
      <x:c r="Z407" s="53"/>
      <x:c r="AA407" s="51"/>
      <x:c r="AB407" s="64" t="str">
        <x:f>IF(AC407="","",AC407)</x:f>
      </x:c>
      <x:c r="AC407" s="67"/>
      <x:c r="AD407" s="69" t="str">
        <x:f>IF(AE407="","",AE407)</x:f>
      </x:c>
      <x:c r="AE407" s="71"/>
      <x:c r="AF407" s="73" t="str">
        <x:f>IF(AC407="","",1/AC407)</x:f>
      </x:c>
      <x:c r="AG407" s="61"/>
      <x:c r="AH407" s="61"/>
      <x:c r="AI407" s="64" t="str">
        <x:f>IF(OR(AC407="",AG407=""),"",AC407*AG407-1)</x:f>
      </x:c>
      <x:c r="AJ407" s="75" t="str">
        <x:f>IF(OR(G407="",F407=""),"",IF(AND(G407&gt;='Calibrare v2'!$B$35,F407&lt;='Calibrare v2'!$B$34),"PASS","FAIL"))</x:f>
      </x:c>
      <x:c r="AK407" s="75" t="str">
        <x:f>IF(AL407="","",AL407)</x:f>
      </x:c>
      <x:c r="AL407" s="77"/>
      <x:c r="AM407" s="77"/>
      <x:c r="AN407" s="64" t="str">
        <x:f>IF(OR(AC407="",P407=""),"",(AC407-P407)^2)</x:f>
      </x:c>
      <x:c r="AO407" s="64" t="str">
        <x:f>IF(OR(AG407="",AH407=""),"",AG407/AH407-1)</x:f>
      </x:c>
      <x:c r="AP407" s="61"/>
      <x:c r="AQ407" s="73" t="n">
        <x:f>IF(OR(AM407&lt;&gt;"PARIU U4,5",M407="",AP407="",AG407=""),0,IF(M407="UNDER",AP407*(AG407-1),-AP407))</x:f>
        <x:v>0</x:v>
      </x:c>
      <x:c r="AR407" s="51"/>
    </x:row>
    <x:row r="408">
      <x:c r="A408" s="9" t="str">
        <x:f>IF(D408="","",ROW()-1)</x:f>
      </x:c>
      <x:c r="B408" s="51"/>
      <x:c r="C408" s="51"/>
      <x:c r="D408" s="51"/>
      <x:c r="E408" s="9" t="str">
        <x:f>IF(D408="","",IF(AND(F408&lt;='Calibrare v2'!$B$33,G408&gt;=0.86),"DA – FEZABIL",IF(G408&gt;=0.8,"DA – PRUDENT","NU – EVITĂ")))</x:f>
      </x:c>
      <x:c r="F408" s="16" t="str">
        <x:f>IF(OR(W408="",X408=""),"",W408+X408)</x:f>
      </x:c>
      <x:c r="G408" s="28" t="str">
        <x:f>IF(F408="","",EXP(-F408)*(1+F408+F408^2/2+F408^3/6+F408^4/24))</x:f>
      </x:c>
      <x:c r="H408" s="53"/>
      <x:c r="I408" s="9" t="str">
        <x:f>IF(F408="","",IF(F408&lt;='Calibrare v2'!$B$33,"PASS","FAIL"))</x:f>
      </x:c>
      <x:c r="J408" s="51"/>
      <x:c r="K408" s="51"/>
      <x:c r="L408" s="9" t="str">
        <x:f>IF(OR(J408="",K408=""),"",J408+K408)</x:f>
      </x:c>
      <x:c r="M408" s="9" t="str">
        <x:f>IF(L408="","",IF(L408&lt;=4,"UNDER","OVER"))</x:f>
      </x:c>
      <x:c r="N408" s="9" t="str">
        <x:f>IF(E408="","",IF(LEFT(E408,2)="DA","PARIU U327,5","NO BET"))</x:f>
      </x:c>
      <x:c r="O408" s="9" t="str">
        <x:f>IF(M408="","",IF(AM408="PARIU U327,5",IF(M408="UNDER","SUCCES","EȘEC"),IF(M408="UNDER","FALS NEGATIV","EVITARE CORECTĂ")))</x:f>
      </x:c>
      <x:c r="P408" s="9" t="str">
        <x:f>IF(M408="","",IF(M408="UNDER",1,0))</x:f>
      </x:c>
      <x:c r="Q408" s="9" t="str">
        <x:f>IF(P408="","",(G408-P408)^2)</x:f>
      </x:c>
      <x:c r="R408" s="9" t="str">
        <x:f>IF(L408="","",L408-F408)</x:f>
      </x:c>
      <x:c r="S408" s="9" t="str">
        <x:f>IF(L408="","",IF(M408="UNDER","U327,5 reușit; total final "&amp;L408&amp;" vs λ="&amp;TEXT(F408,"0.00")&amp;".","Eșec U327,5; total final "&amp;L408&amp;" vs λ="&amp;TEXT(F408,"0.00")&amp;". Revizuiește Tail Risk, sursa λ și calibrarea."))</x:f>
      </x:c>
      <x:c r="T408" s="51"/>
      <x:c r="U408" s="51"/>
      <x:c r="V408" s="51"/>
      <x:c r="W408" s="61"/>
      <x:c r="X408" s="61"/>
      <x:c r="Y408" s="51"/>
      <x:c r="Z408" s="53"/>
      <x:c r="AA408" s="51"/>
      <x:c r="AB408" s="64" t="str">
        <x:f>IF(AC408="","",AC408)</x:f>
      </x:c>
      <x:c r="AC408" s="67"/>
      <x:c r="AD408" s="69" t="str">
        <x:f>IF(AE408="","",AE408)</x:f>
      </x:c>
      <x:c r="AE408" s="71"/>
      <x:c r="AF408" s="73" t="str">
        <x:f>IF(AC408="","",1/AC408)</x:f>
      </x:c>
      <x:c r="AG408" s="61"/>
      <x:c r="AH408" s="61"/>
      <x:c r="AI408" s="64" t="str">
        <x:f>IF(OR(AC408="",AG408=""),"",AC408*AG408-1)</x:f>
      </x:c>
      <x:c r="AJ408" s="75" t="str">
        <x:f>IF(OR(G408="",F408=""),"",IF(AND(G408&gt;='Calibrare v2'!$B$35,F408&lt;='Calibrare v2'!$B$34),"PASS","FAIL"))</x:f>
      </x:c>
      <x:c r="AK408" s="75" t="str">
        <x:f>IF(AL408="","",AL408)</x:f>
      </x:c>
      <x:c r="AL408" s="77"/>
      <x:c r="AM408" s="77"/>
      <x:c r="AN408" s="64" t="str">
        <x:f>IF(OR(AC408="",P408=""),"",(AC408-P408)^2)</x:f>
      </x:c>
      <x:c r="AO408" s="64" t="str">
        <x:f>IF(OR(AG408="",AH408=""),"",AG408/AH408-1)</x:f>
      </x:c>
      <x:c r="AP408" s="61"/>
      <x:c r="AQ408" s="73" t="n">
        <x:f>IF(OR(AM408&lt;&gt;"PARIU U4,5",M408="",AP408="",AG408=""),0,IF(M408="UNDER",AP408*(AG408-1),-AP408))</x:f>
        <x:v>0</x:v>
      </x:c>
      <x:c r="AR408" s="51"/>
    </x:row>
    <x:row r="409">
      <x:c r="A409" s="9" t="str">
        <x:f>IF(D409="","",ROW()-1)</x:f>
      </x:c>
      <x:c r="B409" s="51"/>
      <x:c r="C409" s="51"/>
      <x:c r="D409" s="51"/>
      <x:c r="E409" s="9" t="str">
        <x:f>IF(D409="","",IF(AND(F409&lt;='Calibrare v2'!$B$33,G409&gt;=0.86),"DA – FEZABIL",IF(G409&gt;=0.8,"DA – PRUDENT","NU – EVITĂ")))</x:f>
      </x:c>
      <x:c r="F409" s="16" t="str">
        <x:f>IF(OR(W409="",X409=""),"",W409+X409)</x:f>
      </x:c>
      <x:c r="G409" s="28" t="str">
        <x:f>IF(F409="","",EXP(-F409)*(1+F409+F409^2/2+F409^3/6+F409^4/24))</x:f>
      </x:c>
      <x:c r="H409" s="53"/>
      <x:c r="I409" s="9" t="str">
        <x:f>IF(F409="","",IF(F409&lt;='Calibrare v2'!$B$33,"PASS","FAIL"))</x:f>
      </x:c>
      <x:c r="J409" s="51"/>
      <x:c r="K409" s="51"/>
      <x:c r="L409" s="9" t="str">
        <x:f>IF(OR(J409="",K409=""),"",J409+K409)</x:f>
      </x:c>
      <x:c r="M409" s="9" t="str">
        <x:f>IF(L409="","",IF(L409&lt;=4,"UNDER","OVER"))</x:f>
      </x:c>
      <x:c r="N409" s="9" t="str">
        <x:f>IF(E409="","",IF(LEFT(E409,2)="DA","PARIU U328,5","NO BET"))</x:f>
      </x:c>
      <x:c r="O409" s="9" t="str">
        <x:f>IF(M409="","",IF(AM409="PARIU U328,5",IF(M409="UNDER","SUCCES","EȘEC"),IF(M409="UNDER","FALS NEGATIV","EVITARE CORECTĂ")))</x:f>
      </x:c>
      <x:c r="P409" s="9" t="str">
        <x:f>IF(M409="","",IF(M409="UNDER",1,0))</x:f>
      </x:c>
      <x:c r="Q409" s="9" t="str">
        <x:f>IF(P409="","",(G409-P409)^2)</x:f>
      </x:c>
      <x:c r="R409" s="9" t="str">
        <x:f>IF(L409="","",L409-F409)</x:f>
      </x:c>
      <x:c r="S409" s="9" t="str">
        <x:f>IF(L409="","",IF(M409="UNDER","U328,5 reușit; total final "&amp;L409&amp;" vs λ="&amp;TEXT(F409,"0.00")&amp;".","Eșec U328,5; total final "&amp;L409&amp;" vs λ="&amp;TEXT(F409,"0.00")&amp;". Revizuiește Tail Risk, sursa λ și calibrarea."))</x:f>
      </x:c>
      <x:c r="T409" s="51"/>
      <x:c r="U409" s="51"/>
      <x:c r="V409" s="51"/>
      <x:c r="W409" s="61"/>
      <x:c r="X409" s="61"/>
      <x:c r="Y409" s="51"/>
      <x:c r="Z409" s="53"/>
      <x:c r="AA409" s="51"/>
      <x:c r="AB409" s="64" t="str">
        <x:f>IF(AC409="","",AC409)</x:f>
      </x:c>
      <x:c r="AC409" s="67"/>
      <x:c r="AD409" s="69" t="str">
        <x:f>IF(AE409="","",AE409)</x:f>
      </x:c>
      <x:c r="AE409" s="71"/>
      <x:c r="AF409" s="73" t="str">
        <x:f>IF(AC409="","",1/AC409)</x:f>
      </x:c>
      <x:c r="AG409" s="61"/>
      <x:c r="AH409" s="61"/>
      <x:c r="AI409" s="64" t="str">
        <x:f>IF(OR(AC409="",AG409=""),"",AC409*AG409-1)</x:f>
      </x:c>
      <x:c r="AJ409" s="75" t="str">
        <x:f>IF(OR(G409="",F409=""),"",IF(AND(G409&gt;='Calibrare v2'!$B$35,F409&lt;='Calibrare v2'!$B$34),"PASS","FAIL"))</x:f>
      </x:c>
      <x:c r="AK409" s="75" t="str">
        <x:f>IF(AL409="","",AL409)</x:f>
      </x:c>
      <x:c r="AL409" s="77"/>
      <x:c r="AM409" s="77"/>
      <x:c r="AN409" s="64" t="str">
        <x:f>IF(OR(AC409="",P409=""),"",(AC409-P409)^2)</x:f>
      </x:c>
      <x:c r="AO409" s="64" t="str">
        <x:f>IF(OR(AG409="",AH409=""),"",AG409/AH409-1)</x:f>
      </x:c>
      <x:c r="AP409" s="61"/>
      <x:c r="AQ409" s="73" t="n">
        <x:f>IF(OR(AM409&lt;&gt;"PARIU U4,5",M409="",AP409="",AG409=""),0,IF(M409="UNDER",AP409*(AG409-1),-AP409))</x:f>
        <x:v>0</x:v>
      </x:c>
      <x:c r="AR409" s="51"/>
    </x:row>
    <x:row r="410">
      <x:c r="A410" s="9" t="str">
        <x:f>IF(D410="","",ROW()-1)</x:f>
      </x:c>
      <x:c r="B410" s="51"/>
      <x:c r="C410" s="51"/>
      <x:c r="D410" s="51"/>
      <x:c r="E410" s="9" t="str">
        <x:f>IF(D410="","",IF(AND(F410&lt;='Calibrare v2'!$B$33,G410&gt;=0.86),"DA – FEZABIL",IF(G410&gt;=0.8,"DA – PRUDENT","NU – EVITĂ")))</x:f>
      </x:c>
      <x:c r="F410" s="16" t="str">
        <x:f>IF(OR(W410="",X410=""),"",W410+X410)</x:f>
      </x:c>
      <x:c r="G410" s="28" t="str">
        <x:f>IF(F410="","",EXP(-F410)*(1+F410+F410^2/2+F410^3/6+F410^4/24))</x:f>
      </x:c>
      <x:c r="H410" s="53"/>
      <x:c r="I410" s="9" t="str">
        <x:f>IF(F410="","",IF(F410&lt;='Calibrare v2'!$B$33,"PASS","FAIL"))</x:f>
      </x:c>
      <x:c r="J410" s="51"/>
      <x:c r="K410" s="51"/>
      <x:c r="L410" s="9" t="str">
        <x:f>IF(OR(J410="",K410=""),"",J410+K410)</x:f>
      </x:c>
      <x:c r="M410" s="9" t="str">
        <x:f>IF(L410="","",IF(L410&lt;=4,"UNDER","OVER"))</x:f>
      </x:c>
      <x:c r="N410" s="9" t="str">
        <x:f>IF(E410="","",IF(LEFT(E410,2)="DA","PARIU U329,5","NO BET"))</x:f>
      </x:c>
      <x:c r="O410" s="9" t="str">
        <x:f>IF(M410="","",IF(AM410="PARIU U329,5",IF(M410="UNDER","SUCCES","EȘEC"),IF(M410="UNDER","FALS NEGATIV","EVITARE CORECTĂ")))</x:f>
      </x:c>
      <x:c r="P410" s="9" t="str">
        <x:f>IF(M410="","",IF(M410="UNDER",1,0))</x:f>
      </x:c>
      <x:c r="Q410" s="9" t="str">
        <x:f>IF(P410="","",(G410-P410)^2)</x:f>
      </x:c>
      <x:c r="R410" s="9" t="str">
        <x:f>IF(L410="","",L410-F410)</x:f>
      </x:c>
      <x:c r="S410" s="9" t="str">
        <x:f>IF(L410="","",IF(M410="UNDER","U329,5 reușit; total final "&amp;L410&amp;" vs λ="&amp;TEXT(F410,"0.00")&amp;".","Eșec U329,5; total final "&amp;L410&amp;" vs λ="&amp;TEXT(F410,"0.00")&amp;". Revizuiește Tail Risk, sursa λ și calibrarea."))</x:f>
      </x:c>
      <x:c r="T410" s="51"/>
      <x:c r="U410" s="51"/>
      <x:c r="V410" s="51"/>
      <x:c r="W410" s="61"/>
      <x:c r="X410" s="61"/>
      <x:c r="Y410" s="51"/>
      <x:c r="Z410" s="53"/>
      <x:c r="AA410" s="51"/>
      <x:c r="AB410" s="64" t="str">
        <x:f>IF(AC410="","",AC410)</x:f>
      </x:c>
      <x:c r="AC410" s="67"/>
      <x:c r="AD410" s="69" t="str">
        <x:f>IF(AE410="","",AE410)</x:f>
      </x:c>
      <x:c r="AE410" s="71"/>
      <x:c r="AF410" s="73" t="str">
        <x:f>IF(AC410="","",1/AC410)</x:f>
      </x:c>
      <x:c r="AG410" s="61"/>
      <x:c r="AH410" s="61"/>
      <x:c r="AI410" s="64" t="str">
        <x:f>IF(OR(AC410="",AG410=""),"",AC410*AG410-1)</x:f>
      </x:c>
      <x:c r="AJ410" s="75" t="str">
        <x:f>IF(OR(G410="",F410=""),"",IF(AND(G410&gt;='Calibrare v2'!$B$35,F410&lt;='Calibrare v2'!$B$34),"PASS","FAIL"))</x:f>
      </x:c>
      <x:c r="AK410" s="75" t="str">
        <x:f>IF(AL410="","",AL410)</x:f>
      </x:c>
      <x:c r="AL410" s="77"/>
      <x:c r="AM410" s="77"/>
      <x:c r="AN410" s="64" t="str">
        <x:f>IF(OR(AC410="",P410=""),"",(AC410-P410)^2)</x:f>
      </x:c>
      <x:c r="AO410" s="64" t="str">
        <x:f>IF(OR(AG410="",AH410=""),"",AG410/AH410-1)</x:f>
      </x:c>
      <x:c r="AP410" s="61"/>
      <x:c r="AQ410" s="73" t="n">
        <x:f>IF(OR(AM410&lt;&gt;"PARIU U4,5",M410="",AP410="",AG410=""),0,IF(M410="UNDER",AP410*(AG410-1),-AP410))</x:f>
        <x:v>0</x:v>
      </x:c>
      <x:c r="AR410" s="51"/>
    </x:row>
    <x:row r="411">
      <x:c r="A411" s="9" t="str">
        <x:f>IF(D411="","",ROW()-1)</x:f>
      </x:c>
      <x:c r="B411" s="51"/>
      <x:c r="C411" s="51"/>
      <x:c r="D411" s="51"/>
      <x:c r="E411" s="9" t="str">
        <x:f>IF(D411="","",IF(AND(F411&lt;='Calibrare v2'!$B$33,G411&gt;=0.86),"DA – FEZABIL",IF(G411&gt;=0.8,"DA – PRUDENT","NU – EVITĂ")))</x:f>
      </x:c>
      <x:c r="F411" s="16" t="str">
        <x:f>IF(OR(W411="",X411=""),"",W411+X411)</x:f>
      </x:c>
      <x:c r="G411" s="28" t="str">
        <x:f>IF(F411="","",EXP(-F411)*(1+F411+F411^2/2+F411^3/6+F411^4/24))</x:f>
      </x:c>
      <x:c r="H411" s="53"/>
      <x:c r="I411" s="9" t="str">
        <x:f>IF(F411="","",IF(F411&lt;='Calibrare v2'!$B$33,"PASS","FAIL"))</x:f>
      </x:c>
      <x:c r="J411" s="51"/>
      <x:c r="K411" s="51"/>
      <x:c r="L411" s="9" t="str">
        <x:f>IF(OR(J411="",K411=""),"",J411+K411)</x:f>
      </x:c>
      <x:c r="M411" s="9" t="str">
        <x:f>IF(L411="","",IF(L411&lt;=4,"UNDER","OVER"))</x:f>
      </x:c>
      <x:c r="N411" s="9" t="str">
        <x:f>IF(E411="","",IF(LEFT(E411,2)="DA","PARIU U330,5","NO BET"))</x:f>
      </x:c>
      <x:c r="O411" s="9" t="str">
        <x:f>IF(M411="","",IF(AM411="PARIU U330,5",IF(M411="UNDER","SUCCES","EȘEC"),IF(M411="UNDER","FALS NEGATIV","EVITARE CORECTĂ")))</x:f>
      </x:c>
      <x:c r="P411" s="9" t="str">
        <x:f>IF(M411="","",IF(M411="UNDER",1,0))</x:f>
      </x:c>
      <x:c r="Q411" s="9" t="str">
        <x:f>IF(P411="","",(G411-P411)^2)</x:f>
      </x:c>
      <x:c r="R411" s="9" t="str">
        <x:f>IF(L411="","",L411-F411)</x:f>
      </x:c>
      <x:c r="S411" s="9" t="str">
        <x:f>IF(L411="","",IF(M411="UNDER","U330,5 reușit; total final "&amp;L411&amp;" vs λ="&amp;TEXT(F411,"0.00")&amp;".","Eșec U330,5; total final "&amp;L411&amp;" vs λ="&amp;TEXT(F411,"0.00")&amp;". Revizuiește Tail Risk, sursa λ și calibrarea."))</x:f>
      </x:c>
      <x:c r="T411" s="51"/>
      <x:c r="U411" s="51"/>
      <x:c r="V411" s="51"/>
      <x:c r="W411" s="61"/>
      <x:c r="X411" s="61"/>
      <x:c r="Y411" s="51"/>
      <x:c r="Z411" s="53"/>
      <x:c r="AA411" s="51"/>
      <x:c r="AB411" s="64" t="str">
        <x:f>IF(AC411="","",AC411)</x:f>
      </x:c>
      <x:c r="AC411" s="67"/>
      <x:c r="AD411" s="69" t="str">
        <x:f>IF(AE411="","",AE411)</x:f>
      </x:c>
      <x:c r="AE411" s="71"/>
      <x:c r="AF411" s="73" t="str">
        <x:f>IF(AC411="","",1/AC411)</x:f>
      </x:c>
      <x:c r="AG411" s="61"/>
      <x:c r="AH411" s="61"/>
      <x:c r="AI411" s="64" t="str">
        <x:f>IF(OR(AC411="",AG411=""),"",AC411*AG411-1)</x:f>
      </x:c>
      <x:c r="AJ411" s="75" t="str">
        <x:f>IF(OR(G411="",F411=""),"",IF(AND(G411&gt;='Calibrare v2'!$B$35,F411&lt;='Calibrare v2'!$B$34),"PASS","FAIL"))</x:f>
      </x:c>
      <x:c r="AK411" s="75" t="str">
        <x:f>IF(AL411="","",AL411)</x:f>
      </x:c>
      <x:c r="AL411" s="77"/>
      <x:c r="AM411" s="77"/>
      <x:c r="AN411" s="64" t="str">
        <x:f>IF(OR(AC411="",P411=""),"",(AC411-P411)^2)</x:f>
      </x:c>
      <x:c r="AO411" s="64" t="str">
        <x:f>IF(OR(AG411="",AH411=""),"",AG411/AH411-1)</x:f>
      </x:c>
      <x:c r="AP411" s="61"/>
      <x:c r="AQ411" s="73" t="n">
        <x:f>IF(OR(AM411&lt;&gt;"PARIU U4,5",M411="",AP411="",AG411=""),0,IF(M411="UNDER",AP411*(AG411-1),-AP411))</x:f>
        <x:v>0</x:v>
      </x:c>
      <x:c r="AR411" s="51"/>
    </x:row>
    <x:row r="412">
      <x:c r="A412" s="9" t="str">
        <x:f>IF(D412="","",ROW()-1)</x:f>
      </x:c>
      <x:c r="B412" s="51"/>
      <x:c r="C412" s="51"/>
      <x:c r="D412" s="51"/>
      <x:c r="E412" s="9" t="str">
        <x:f>IF(D412="","",IF(AND(F412&lt;='Calibrare v2'!$B$33,G412&gt;=0.86),"DA – FEZABIL",IF(G412&gt;=0.8,"DA – PRUDENT","NU – EVITĂ")))</x:f>
      </x:c>
      <x:c r="F412" s="16" t="str">
        <x:f>IF(OR(W412="",X412=""),"",W412+X412)</x:f>
      </x:c>
      <x:c r="G412" s="28" t="str">
        <x:f>IF(F412="","",EXP(-F412)*(1+F412+F412^2/2+F412^3/6+F412^4/24))</x:f>
      </x:c>
      <x:c r="H412" s="53"/>
      <x:c r="I412" s="9" t="str">
        <x:f>IF(F412="","",IF(F412&lt;='Calibrare v2'!$B$33,"PASS","FAIL"))</x:f>
      </x:c>
      <x:c r="J412" s="51"/>
      <x:c r="K412" s="51"/>
      <x:c r="L412" s="9" t="str">
        <x:f>IF(OR(J412="",K412=""),"",J412+K412)</x:f>
      </x:c>
      <x:c r="M412" s="9" t="str">
        <x:f>IF(L412="","",IF(L412&lt;=4,"UNDER","OVER"))</x:f>
      </x:c>
      <x:c r="N412" s="9" t="str">
        <x:f>IF(E412="","",IF(LEFT(E412,2)="DA","PARIU U331,5","NO BET"))</x:f>
      </x:c>
      <x:c r="O412" s="9" t="str">
        <x:f>IF(M412="","",IF(AM412="PARIU U331,5",IF(M412="UNDER","SUCCES","EȘEC"),IF(M412="UNDER","FALS NEGATIV","EVITARE CORECTĂ")))</x:f>
      </x:c>
      <x:c r="P412" s="9" t="str">
        <x:f>IF(M412="","",IF(M412="UNDER",1,0))</x:f>
      </x:c>
      <x:c r="Q412" s="9" t="str">
        <x:f>IF(P412="","",(G412-P412)^2)</x:f>
      </x:c>
      <x:c r="R412" s="9" t="str">
        <x:f>IF(L412="","",L412-F412)</x:f>
      </x:c>
      <x:c r="S412" s="9" t="str">
        <x:f>IF(L412="","",IF(M412="UNDER","U331,5 reușit; total final "&amp;L412&amp;" vs λ="&amp;TEXT(F412,"0.00")&amp;".","Eșec U331,5; total final "&amp;L412&amp;" vs λ="&amp;TEXT(F412,"0.00")&amp;". Revizuiește Tail Risk, sursa λ și calibrarea."))</x:f>
      </x:c>
      <x:c r="T412" s="51"/>
      <x:c r="U412" s="51"/>
      <x:c r="V412" s="51"/>
      <x:c r="W412" s="61"/>
      <x:c r="X412" s="61"/>
      <x:c r="Y412" s="51"/>
      <x:c r="Z412" s="53"/>
      <x:c r="AA412" s="51"/>
      <x:c r="AB412" s="64" t="str">
        <x:f>IF(AC412="","",AC412)</x:f>
      </x:c>
      <x:c r="AC412" s="67"/>
      <x:c r="AD412" s="69" t="str">
        <x:f>IF(AE412="","",AE412)</x:f>
      </x:c>
      <x:c r="AE412" s="71"/>
      <x:c r="AF412" s="73" t="str">
        <x:f>IF(AC412="","",1/AC412)</x:f>
      </x:c>
      <x:c r="AG412" s="61"/>
      <x:c r="AH412" s="61"/>
      <x:c r="AI412" s="64" t="str">
        <x:f>IF(OR(AC412="",AG412=""),"",AC412*AG412-1)</x:f>
      </x:c>
      <x:c r="AJ412" s="75" t="str">
        <x:f>IF(OR(G412="",F412=""),"",IF(AND(G412&gt;='Calibrare v2'!$B$35,F412&lt;='Calibrare v2'!$B$34),"PASS","FAIL"))</x:f>
      </x:c>
      <x:c r="AK412" s="75" t="str">
        <x:f>IF(AL412="","",AL412)</x:f>
      </x:c>
      <x:c r="AL412" s="77"/>
      <x:c r="AM412" s="77"/>
      <x:c r="AN412" s="64" t="str">
        <x:f>IF(OR(AC412="",P412=""),"",(AC412-P412)^2)</x:f>
      </x:c>
      <x:c r="AO412" s="64" t="str">
        <x:f>IF(OR(AG412="",AH412=""),"",AG412/AH412-1)</x:f>
      </x:c>
      <x:c r="AP412" s="61"/>
      <x:c r="AQ412" s="73" t="n">
        <x:f>IF(OR(AM412&lt;&gt;"PARIU U4,5",M412="",AP412="",AG412=""),0,IF(M412="UNDER",AP412*(AG412-1),-AP412))</x:f>
        <x:v>0</x:v>
      </x:c>
      <x:c r="AR412" s="51"/>
    </x:row>
    <x:row r="413">
      <x:c r="A413" s="9" t="str">
        <x:f>IF(D413="","",ROW()-1)</x:f>
      </x:c>
      <x:c r="B413" s="51"/>
      <x:c r="C413" s="51"/>
      <x:c r="D413" s="51"/>
      <x:c r="E413" s="9" t="str">
        <x:f>IF(D413="","",IF(AND(F413&lt;='Calibrare v2'!$B$33,G413&gt;=0.86),"DA – FEZABIL",IF(G413&gt;=0.8,"DA – PRUDENT","NU – EVITĂ")))</x:f>
      </x:c>
      <x:c r="F413" s="16" t="str">
        <x:f>IF(OR(W413="",X413=""),"",W413+X413)</x:f>
      </x:c>
      <x:c r="G413" s="28" t="str">
        <x:f>IF(F413="","",EXP(-F413)*(1+F413+F413^2/2+F413^3/6+F413^4/24))</x:f>
      </x:c>
      <x:c r="H413" s="53"/>
      <x:c r="I413" s="9" t="str">
        <x:f>IF(F413="","",IF(F413&lt;='Calibrare v2'!$B$33,"PASS","FAIL"))</x:f>
      </x:c>
      <x:c r="J413" s="51"/>
      <x:c r="K413" s="51"/>
      <x:c r="L413" s="9" t="str">
        <x:f>IF(OR(J413="",K413=""),"",J413+K413)</x:f>
      </x:c>
      <x:c r="M413" s="9" t="str">
        <x:f>IF(L413="","",IF(L413&lt;=4,"UNDER","OVER"))</x:f>
      </x:c>
      <x:c r="N413" s="9" t="str">
        <x:f>IF(E413="","",IF(LEFT(E413,2)="DA","PARIU U332,5","NO BET"))</x:f>
      </x:c>
      <x:c r="O413" s="9" t="str">
        <x:f>IF(M413="","",IF(AM413="PARIU U332,5",IF(M413="UNDER","SUCCES","EȘEC"),IF(M413="UNDER","FALS NEGATIV","EVITARE CORECTĂ")))</x:f>
      </x:c>
      <x:c r="P413" s="9" t="str">
        <x:f>IF(M413="","",IF(M413="UNDER",1,0))</x:f>
      </x:c>
      <x:c r="Q413" s="9" t="str">
        <x:f>IF(P413="","",(G413-P413)^2)</x:f>
      </x:c>
      <x:c r="R413" s="9" t="str">
        <x:f>IF(L413="","",L413-F413)</x:f>
      </x:c>
      <x:c r="S413" s="9" t="str">
        <x:f>IF(L413="","",IF(M413="UNDER","U332,5 reușit; total final "&amp;L413&amp;" vs λ="&amp;TEXT(F413,"0.00")&amp;".","Eșec U332,5; total final "&amp;L413&amp;" vs λ="&amp;TEXT(F413,"0.00")&amp;". Revizuiește Tail Risk, sursa λ și calibrarea."))</x:f>
      </x:c>
      <x:c r="T413" s="51"/>
      <x:c r="U413" s="51"/>
      <x:c r="V413" s="51"/>
      <x:c r="W413" s="61"/>
      <x:c r="X413" s="61"/>
      <x:c r="Y413" s="51"/>
      <x:c r="Z413" s="53"/>
      <x:c r="AA413" s="51"/>
      <x:c r="AB413" s="64" t="str">
        <x:f>IF(AC413="","",AC413)</x:f>
      </x:c>
      <x:c r="AC413" s="67"/>
      <x:c r="AD413" s="69" t="str">
        <x:f>IF(AE413="","",AE413)</x:f>
      </x:c>
      <x:c r="AE413" s="71"/>
      <x:c r="AF413" s="73" t="str">
        <x:f>IF(AC413="","",1/AC413)</x:f>
      </x:c>
      <x:c r="AG413" s="61"/>
      <x:c r="AH413" s="61"/>
      <x:c r="AI413" s="64" t="str">
        <x:f>IF(OR(AC413="",AG413=""),"",AC413*AG413-1)</x:f>
      </x:c>
      <x:c r="AJ413" s="75" t="str">
        <x:f>IF(OR(G413="",F413=""),"",IF(AND(G413&gt;='Calibrare v2'!$B$35,F413&lt;='Calibrare v2'!$B$34),"PASS","FAIL"))</x:f>
      </x:c>
      <x:c r="AK413" s="75" t="str">
        <x:f>IF(AL413="","",AL413)</x:f>
      </x:c>
      <x:c r="AL413" s="77"/>
      <x:c r="AM413" s="77"/>
      <x:c r="AN413" s="64" t="str">
        <x:f>IF(OR(AC413="",P413=""),"",(AC413-P413)^2)</x:f>
      </x:c>
      <x:c r="AO413" s="64" t="str">
        <x:f>IF(OR(AG413="",AH413=""),"",AG413/AH413-1)</x:f>
      </x:c>
      <x:c r="AP413" s="61"/>
      <x:c r="AQ413" s="73" t="n">
        <x:f>IF(OR(AM413&lt;&gt;"PARIU U4,5",M413="",AP413="",AG413=""),0,IF(M413="UNDER",AP413*(AG413-1),-AP413))</x:f>
        <x:v>0</x:v>
      </x:c>
      <x:c r="AR413" s="51"/>
    </x:row>
    <x:row r="414">
      <x:c r="A414" s="9" t="str">
        <x:f>IF(D414="","",ROW()-1)</x:f>
      </x:c>
      <x:c r="B414" s="51"/>
      <x:c r="C414" s="51"/>
      <x:c r="D414" s="51"/>
      <x:c r="E414" s="9" t="str">
        <x:f>IF(D414="","",IF(AND(F414&lt;='Calibrare v2'!$B$33,G414&gt;=0.86),"DA – FEZABIL",IF(G414&gt;=0.8,"DA – PRUDENT","NU – EVITĂ")))</x:f>
      </x:c>
      <x:c r="F414" s="16" t="str">
        <x:f>IF(OR(W414="",X414=""),"",W414+X414)</x:f>
      </x:c>
      <x:c r="G414" s="28" t="str">
        <x:f>IF(F414="","",EXP(-F414)*(1+F414+F414^2/2+F414^3/6+F414^4/24))</x:f>
      </x:c>
      <x:c r="H414" s="53"/>
      <x:c r="I414" s="9" t="str">
        <x:f>IF(F414="","",IF(F414&lt;='Calibrare v2'!$B$33,"PASS","FAIL"))</x:f>
      </x:c>
      <x:c r="J414" s="51"/>
      <x:c r="K414" s="51"/>
      <x:c r="L414" s="9" t="str">
        <x:f>IF(OR(J414="",K414=""),"",J414+K414)</x:f>
      </x:c>
      <x:c r="M414" s="9" t="str">
        <x:f>IF(L414="","",IF(L414&lt;=4,"UNDER","OVER"))</x:f>
      </x:c>
      <x:c r="N414" s="9" t="str">
        <x:f>IF(E414="","",IF(LEFT(E414,2)="DA","PARIU U333,5","NO BET"))</x:f>
      </x:c>
      <x:c r="O414" s="9" t="str">
        <x:f>IF(M414="","",IF(AM414="PARIU U333,5",IF(M414="UNDER","SUCCES","EȘEC"),IF(M414="UNDER","FALS NEGATIV","EVITARE CORECTĂ")))</x:f>
      </x:c>
      <x:c r="P414" s="9" t="str">
        <x:f>IF(M414="","",IF(M414="UNDER",1,0))</x:f>
      </x:c>
      <x:c r="Q414" s="9" t="str">
        <x:f>IF(P414="","",(G414-P414)^2)</x:f>
      </x:c>
      <x:c r="R414" s="9" t="str">
        <x:f>IF(L414="","",L414-F414)</x:f>
      </x:c>
      <x:c r="S414" s="9" t="str">
        <x:f>IF(L414="","",IF(M414="UNDER","U333,5 reușit; total final "&amp;L414&amp;" vs λ="&amp;TEXT(F414,"0.00")&amp;".","Eșec U333,5; total final "&amp;L414&amp;" vs λ="&amp;TEXT(F414,"0.00")&amp;". Revizuiește Tail Risk, sursa λ și calibrarea."))</x:f>
      </x:c>
      <x:c r="T414" s="51"/>
      <x:c r="U414" s="51"/>
      <x:c r="V414" s="51"/>
      <x:c r="W414" s="61"/>
      <x:c r="X414" s="61"/>
      <x:c r="Y414" s="51"/>
      <x:c r="Z414" s="53"/>
      <x:c r="AA414" s="51"/>
      <x:c r="AB414" s="64" t="str">
        <x:f>IF(AC414="","",AC414)</x:f>
      </x:c>
      <x:c r="AC414" s="67"/>
      <x:c r="AD414" s="69" t="str">
        <x:f>IF(AE414="","",AE414)</x:f>
      </x:c>
      <x:c r="AE414" s="71"/>
      <x:c r="AF414" s="73" t="str">
        <x:f>IF(AC414="","",1/AC414)</x:f>
      </x:c>
      <x:c r="AG414" s="61"/>
      <x:c r="AH414" s="61"/>
      <x:c r="AI414" s="64" t="str">
        <x:f>IF(OR(AC414="",AG414=""),"",AC414*AG414-1)</x:f>
      </x:c>
      <x:c r="AJ414" s="75" t="str">
        <x:f>IF(OR(G414="",F414=""),"",IF(AND(G414&gt;='Calibrare v2'!$B$35,F414&lt;='Calibrare v2'!$B$34),"PASS","FAIL"))</x:f>
      </x:c>
      <x:c r="AK414" s="75" t="str">
        <x:f>IF(AL414="","",AL414)</x:f>
      </x:c>
      <x:c r="AL414" s="77"/>
      <x:c r="AM414" s="77"/>
      <x:c r="AN414" s="64" t="str">
        <x:f>IF(OR(AC414="",P414=""),"",(AC414-P414)^2)</x:f>
      </x:c>
      <x:c r="AO414" s="64" t="str">
        <x:f>IF(OR(AG414="",AH414=""),"",AG414/AH414-1)</x:f>
      </x:c>
      <x:c r="AP414" s="61"/>
      <x:c r="AQ414" s="73" t="n">
        <x:f>IF(OR(AM414&lt;&gt;"PARIU U4,5",M414="",AP414="",AG414=""),0,IF(M414="UNDER",AP414*(AG414-1),-AP414))</x:f>
        <x:v>0</x:v>
      </x:c>
      <x:c r="AR414" s="51"/>
    </x:row>
    <x:row r="415">
      <x:c r="A415" s="9" t="str">
        <x:f>IF(D415="","",ROW()-1)</x:f>
      </x:c>
      <x:c r="B415" s="51"/>
      <x:c r="C415" s="51"/>
      <x:c r="D415" s="51"/>
      <x:c r="E415" s="9" t="str">
        <x:f>IF(D415="","",IF(AND(F415&lt;='Calibrare v2'!$B$33,G415&gt;=0.86),"DA – FEZABIL",IF(G415&gt;=0.8,"DA – PRUDENT","NU – EVITĂ")))</x:f>
      </x:c>
      <x:c r="F415" s="16" t="str">
        <x:f>IF(OR(W415="",X415=""),"",W415+X415)</x:f>
      </x:c>
      <x:c r="G415" s="28" t="str">
        <x:f>IF(F415="","",EXP(-F415)*(1+F415+F415^2/2+F415^3/6+F415^4/24))</x:f>
      </x:c>
      <x:c r="H415" s="53"/>
      <x:c r="I415" s="9" t="str">
        <x:f>IF(F415="","",IF(F415&lt;='Calibrare v2'!$B$33,"PASS","FAIL"))</x:f>
      </x:c>
      <x:c r="J415" s="51"/>
      <x:c r="K415" s="51"/>
      <x:c r="L415" s="9" t="str">
        <x:f>IF(OR(J415="",K415=""),"",J415+K415)</x:f>
      </x:c>
      <x:c r="M415" s="9" t="str">
        <x:f>IF(L415="","",IF(L415&lt;=4,"UNDER","OVER"))</x:f>
      </x:c>
      <x:c r="N415" s="9" t="str">
        <x:f>IF(E415="","",IF(LEFT(E415,2)="DA","PARIU U334,5","NO BET"))</x:f>
      </x:c>
      <x:c r="O415" s="9" t="str">
        <x:f>IF(M415="","",IF(AM415="PARIU U334,5",IF(M415="UNDER","SUCCES","EȘEC"),IF(M415="UNDER","FALS NEGATIV","EVITARE CORECTĂ")))</x:f>
      </x:c>
      <x:c r="P415" s="9" t="str">
        <x:f>IF(M415="","",IF(M415="UNDER",1,0))</x:f>
      </x:c>
      <x:c r="Q415" s="9" t="str">
        <x:f>IF(P415="","",(G415-P415)^2)</x:f>
      </x:c>
      <x:c r="R415" s="9" t="str">
        <x:f>IF(L415="","",L415-F415)</x:f>
      </x:c>
      <x:c r="S415" s="9" t="str">
        <x:f>IF(L415="","",IF(M415="UNDER","U334,5 reușit; total final "&amp;L415&amp;" vs λ="&amp;TEXT(F415,"0.00")&amp;".","Eșec U334,5; total final "&amp;L415&amp;" vs λ="&amp;TEXT(F415,"0.00")&amp;". Revizuiește Tail Risk, sursa λ și calibrarea."))</x:f>
      </x:c>
      <x:c r="T415" s="51"/>
      <x:c r="U415" s="51"/>
      <x:c r="V415" s="51"/>
      <x:c r="W415" s="61"/>
      <x:c r="X415" s="61"/>
      <x:c r="Y415" s="51"/>
      <x:c r="Z415" s="53"/>
      <x:c r="AA415" s="51"/>
      <x:c r="AB415" s="64" t="str">
        <x:f>IF(AC415="","",AC415)</x:f>
      </x:c>
      <x:c r="AC415" s="67"/>
      <x:c r="AD415" s="69" t="str">
        <x:f>IF(AE415="","",AE415)</x:f>
      </x:c>
      <x:c r="AE415" s="71"/>
      <x:c r="AF415" s="73" t="str">
        <x:f>IF(AC415="","",1/AC415)</x:f>
      </x:c>
      <x:c r="AG415" s="61"/>
      <x:c r="AH415" s="61"/>
      <x:c r="AI415" s="64" t="str">
        <x:f>IF(OR(AC415="",AG415=""),"",AC415*AG415-1)</x:f>
      </x:c>
      <x:c r="AJ415" s="75" t="str">
        <x:f>IF(OR(G415="",F415=""),"",IF(AND(G415&gt;='Calibrare v2'!$B$35,F415&lt;='Calibrare v2'!$B$34),"PASS","FAIL"))</x:f>
      </x:c>
      <x:c r="AK415" s="75" t="str">
        <x:f>IF(AL415="","",AL415)</x:f>
      </x:c>
      <x:c r="AL415" s="77"/>
      <x:c r="AM415" s="77"/>
      <x:c r="AN415" s="64" t="str">
        <x:f>IF(OR(AC415="",P415=""),"",(AC415-P415)^2)</x:f>
      </x:c>
      <x:c r="AO415" s="64" t="str">
        <x:f>IF(OR(AG415="",AH415=""),"",AG415/AH415-1)</x:f>
      </x:c>
      <x:c r="AP415" s="61"/>
      <x:c r="AQ415" s="73" t="n">
        <x:f>IF(OR(AM415&lt;&gt;"PARIU U4,5",M415="",AP415="",AG415=""),0,IF(M415="UNDER",AP415*(AG415-1),-AP415))</x:f>
        <x:v>0</x:v>
      </x:c>
      <x:c r="AR415" s="51"/>
    </x:row>
    <x:row r="416">
      <x:c r="A416" s="9" t="str">
        <x:f>IF(D416="","",ROW()-1)</x:f>
      </x:c>
      <x:c r="B416" s="51"/>
      <x:c r="C416" s="51"/>
      <x:c r="D416" s="51"/>
      <x:c r="E416" s="9" t="str">
        <x:f>IF(D416="","",IF(AND(F416&lt;='Calibrare v2'!$B$33,G416&gt;=0.86),"DA – FEZABIL",IF(G416&gt;=0.8,"DA – PRUDENT","NU – EVITĂ")))</x:f>
      </x:c>
      <x:c r="F416" s="16" t="str">
        <x:f>IF(OR(W416="",X416=""),"",W416+X416)</x:f>
      </x:c>
      <x:c r="G416" s="28" t="str">
        <x:f>IF(F416="","",EXP(-F416)*(1+F416+F416^2/2+F416^3/6+F416^4/24))</x:f>
      </x:c>
      <x:c r="H416" s="53"/>
      <x:c r="I416" s="9" t="str">
        <x:f>IF(F416="","",IF(F416&lt;='Calibrare v2'!$B$33,"PASS","FAIL"))</x:f>
      </x:c>
      <x:c r="J416" s="51"/>
      <x:c r="K416" s="51"/>
      <x:c r="L416" s="9" t="str">
        <x:f>IF(OR(J416="",K416=""),"",J416+K416)</x:f>
      </x:c>
      <x:c r="M416" s="9" t="str">
        <x:f>IF(L416="","",IF(L416&lt;=4,"UNDER","OVER"))</x:f>
      </x:c>
      <x:c r="N416" s="9" t="str">
        <x:f>IF(E416="","",IF(LEFT(E416,2)="DA","PARIU U335,5","NO BET"))</x:f>
      </x:c>
      <x:c r="O416" s="9" t="str">
        <x:f>IF(M416="","",IF(AM416="PARIU U335,5",IF(M416="UNDER","SUCCES","EȘEC"),IF(M416="UNDER","FALS NEGATIV","EVITARE CORECTĂ")))</x:f>
      </x:c>
      <x:c r="P416" s="9" t="str">
        <x:f>IF(M416="","",IF(M416="UNDER",1,0))</x:f>
      </x:c>
      <x:c r="Q416" s="9" t="str">
        <x:f>IF(P416="","",(G416-P416)^2)</x:f>
      </x:c>
      <x:c r="R416" s="9" t="str">
        <x:f>IF(L416="","",L416-F416)</x:f>
      </x:c>
      <x:c r="S416" s="9" t="str">
        <x:f>IF(L416="","",IF(M416="UNDER","U335,5 reușit; total final "&amp;L416&amp;" vs λ="&amp;TEXT(F416,"0.00")&amp;".","Eșec U335,5; total final "&amp;L416&amp;" vs λ="&amp;TEXT(F416,"0.00")&amp;". Revizuiește Tail Risk, sursa λ și calibrarea."))</x:f>
      </x:c>
      <x:c r="T416" s="51"/>
      <x:c r="U416" s="51"/>
      <x:c r="V416" s="51"/>
      <x:c r="W416" s="61"/>
      <x:c r="X416" s="61"/>
      <x:c r="Y416" s="51"/>
      <x:c r="Z416" s="53"/>
      <x:c r="AA416" s="51"/>
      <x:c r="AB416" s="64" t="str">
        <x:f>IF(AC416="","",AC416)</x:f>
      </x:c>
      <x:c r="AC416" s="67"/>
      <x:c r="AD416" s="69" t="str">
        <x:f>IF(AE416="","",AE416)</x:f>
      </x:c>
      <x:c r="AE416" s="71"/>
      <x:c r="AF416" s="73" t="str">
        <x:f>IF(AC416="","",1/AC416)</x:f>
      </x:c>
      <x:c r="AG416" s="61"/>
      <x:c r="AH416" s="61"/>
      <x:c r="AI416" s="64" t="str">
        <x:f>IF(OR(AC416="",AG416=""),"",AC416*AG416-1)</x:f>
      </x:c>
      <x:c r="AJ416" s="75" t="str">
        <x:f>IF(OR(G416="",F416=""),"",IF(AND(G416&gt;='Calibrare v2'!$B$35,F416&lt;='Calibrare v2'!$B$34),"PASS","FAIL"))</x:f>
      </x:c>
      <x:c r="AK416" s="75" t="str">
        <x:f>IF(AL416="","",AL416)</x:f>
      </x:c>
      <x:c r="AL416" s="77"/>
      <x:c r="AM416" s="77"/>
      <x:c r="AN416" s="64" t="str">
        <x:f>IF(OR(AC416="",P416=""),"",(AC416-P416)^2)</x:f>
      </x:c>
      <x:c r="AO416" s="64" t="str">
        <x:f>IF(OR(AG416="",AH416=""),"",AG416/AH416-1)</x:f>
      </x:c>
      <x:c r="AP416" s="61"/>
      <x:c r="AQ416" s="73" t="n">
        <x:f>IF(OR(AM416&lt;&gt;"PARIU U4,5",M416="",AP416="",AG416=""),0,IF(M416="UNDER",AP416*(AG416-1),-AP416))</x:f>
        <x:v>0</x:v>
      </x:c>
      <x:c r="AR416" s="51"/>
    </x:row>
    <x:row r="417">
      <x:c r="A417" s="9" t="str">
        <x:f>IF(D417="","",ROW()-1)</x:f>
      </x:c>
      <x:c r="B417" s="51"/>
      <x:c r="C417" s="51"/>
      <x:c r="D417" s="51"/>
      <x:c r="E417" s="9" t="str">
        <x:f>IF(D417="","",IF(AND(F417&lt;='Calibrare v2'!$B$33,G417&gt;=0.86),"DA – FEZABIL",IF(G417&gt;=0.8,"DA – PRUDENT","NU – EVITĂ")))</x:f>
      </x:c>
      <x:c r="F417" s="16" t="str">
        <x:f>IF(OR(W417="",X417=""),"",W417+X417)</x:f>
      </x:c>
      <x:c r="G417" s="28" t="str">
        <x:f>IF(F417="","",EXP(-F417)*(1+F417+F417^2/2+F417^3/6+F417^4/24))</x:f>
      </x:c>
      <x:c r="H417" s="53"/>
      <x:c r="I417" s="9" t="str">
        <x:f>IF(F417="","",IF(F417&lt;='Calibrare v2'!$B$33,"PASS","FAIL"))</x:f>
      </x:c>
      <x:c r="J417" s="51"/>
      <x:c r="K417" s="51"/>
      <x:c r="L417" s="9" t="str">
        <x:f>IF(OR(J417="",K417=""),"",J417+K417)</x:f>
      </x:c>
      <x:c r="M417" s="9" t="str">
        <x:f>IF(L417="","",IF(L417&lt;=4,"UNDER","OVER"))</x:f>
      </x:c>
      <x:c r="N417" s="9" t="str">
        <x:f>IF(E417="","",IF(LEFT(E417,2)="DA","PARIU U336,5","NO BET"))</x:f>
      </x:c>
      <x:c r="O417" s="9" t="str">
        <x:f>IF(M417="","",IF(AM417="PARIU U336,5",IF(M417="UNDER","SUCCES","EȘEC"),IF(M417="UNDER","FALS NEGATIV","EVITARE CORECTĂ")))</x:f>
      </x:c>
      <x:c r="P417" s="9" t="str">
        <x:f>IF(M417="","",IF(M417="UNDER",1,0))</x:f>
      </x:c>
      <x:c r="Q417" s="9" t="str">
        <x:f>IF(P417="","",(G417-P417)^2)</x:f>
      </x:c>
      <x:c r="R417" s="9" t="str">
        <x:f>IF(L417="","",L417-F417)</x:f>
      </x:c>
      <x:c r="S417" s="9" t="str">
        <x:f>IF(L417="","",IF(M417="UNDER","U336,5 reușit; total final "&amp;L417&amp;" vs λ="&amp;TEXT(F417,"0.00")&amp;".","Eșec U336,5; total final "&amp;L417&amp;" vs λ="&amp;TEXT(F417,"0.00")&amp;". Revizuiește Tail Risk, sursa λ și calibrarea."))</x:f>
      </x:c>
      <x:c r="T417" s="51"/>
      <x:c r="U417" s="51"/>
      <x:c r="V417" s="51"/>
      <x:c r="W417" s="61"/>
      <x:c r="X417" s="61"/>
      <x:c r="Y417" s="51"/>
      <x:c r="Z417" s="53"/>
      <x:c r="AA417" s="51"/>
      <x:c r="AB417" s="64" t="str">
        <x:f>IF(AC417="","",AC417)</x:f>
      </x:c>
      <x:c r="AC417" s="67"/>
      <x:c r="AD417" s="69" t="str">
        <x:f>IF(AE417="","",AE417)</x:f>
      </x:c>
      <x:c r="AE417" s="71"/>
      <x:c r="AF417" s="73" t="str">
        <x:f>IF(AC417="","",1/AC417)</x:f>
      </x:c>
      <x:c r="AG417" s="61"/>
      <x:c r="AH417" s="61"/>
      <x:c r="AI417" s="64" t="str">
        <x:f>IF(OR(AC417="",AG417=""),"",AC417*AG417-1)</x:f>
      </x:c>
      <x:c r="AJ417" s="75" t="str">
        <x:f>IF(OR(G417="",F417=""),"",IF(AND(G417&gt;='Calibrare v2'!$B$35,F417&lt;='Calibrare v2'!$B$34),"PASS","FAIL"))</x:f>
      </x:c>
      <x:c r="AK417" s="75" t="str">
        <x:f>IF(AL417="","",AL417)</x:f>
      </x:c>
      <x:c r="AL417" s="77"/>
      <x:c r="AM417" s="77"/>
      <x:c r="AN417" s="64" t="str">
        <x:f>IF(OR(AC417="",P417=""),"",(AC417-P417)^2)</x:f>
      </x:c>
      <x:c r="AO417" s="64" t="str">
        <x:f>IF(OR(AG417="",AH417=""),"",AG417/AH417-1)</x:f>
      </x:c>
      <x:c r="AP417" s="61"/>
      <x:c r="AQ417" s="73" t="n">
        <x:f>IF(OR(AM417&lt;&gt;"PARIU U4,5",M417="",AP417="",AG417=""),0,IF(M417="UNDER",AP417*(AG417-1),-AP417))</x:f>
        <x:v>0</x:v>
      </x:c>
      <x:c r="AR417" s="51"/>
    </x:row>
    <x:row r="418">
      <x:c r="A418" s="9" t="str">
        <x:f>IF(D418="","",ROW()-1)</x:f>
      </x:c>
      <x:c r="B418" s="51"/>
      <x:c r="C418" s="51"/>
      <x:c r="D418" s="51"/>
      <x:c r="E418" s="9" t="str">
        <x:f>IF(D418="","",IF(AND(F418&lt;='Calibrare v2'!$B$33,G418&gt;=0.86),"DA – FEZABIL",IF(G418&gt;=0.8,"DA – PRUDENT","NU – EVITĂ")))</x:f>
      </x:c>
      <x:c r="F418" s="16" t="str">
        <x:f>IF(OR(W418="",X418=""),"",W418+X418)</x:f>
      </x:c>
      <x:c r="G418" s="28" t="str">
        <x:f>IF(F418="","",EXP(-F418)*(1+F418+F418^2/2+F418^3/6+F418^4/24))</x:f>
      </x:c>
      <x:c r="H418" s="53"/>
      <x:c r="I418" s="9" t="str">
        <x:f>IF(F418="","",IF(F418&lt;='Calibrare v2'!$B$33,"PASS","FAIL"))</x:f>
      </x:c>
      <x:c r="J418" s="51"/>
      <x:c r="K418" s="51"/>
      <x:c r="L418" s="9" t="str">
        <x:f>IF(OR(J418="",K418=""),"",J418+K418)</x:f>
      </x:c>
      <x:c r="M418" s="9" t="str">
        <x:f>IF(L418="","",IF(L418&lt;=4,"UNDER","OVER"))</x:f>
      </x:c>
      <x:c r="N418" s="9" t="str">
        <x:f>IF(E418="","",IF(LEFT(E418,2)="DA","PARIU U337,5","NO BET"))</x:f>
      </x:c>
      <x:c r="O418" s="9" t="str">
        <x:f>IF(M418="","",IF(AM418="PARIU U337,5",IF(M418="UNDER","SUCCES","EȘEC"),IF(M418="UNDER","FALS NEGATIV","EVITARE CORECTĂ")))</x:f>
      </x:c>
      <x:c r="P418" s="9" t="str">
        <x:f>IF(M418="","",IF(M418="UNDER",1,0))</x:f>
      </x:c>
      <x:c r="Q418" s="9" t="str">
        <x:f>IF(P418="","",(G418-P418)^2)</x:f>
      </x:c>
      <x:c r="R418" s="9" t="str">
        <x:f>IF(L418="","",L418-F418)</x:f>
      </x:c>
      <x:c r="S418" s="9" t="str">
        <x:f>IF(L418="","",IF(M418="UNDER","U337,5 reușit; total final "&amp;L418&amp;" vs λ="&amp;TEXT(F418,"0.00")&amp;".","Eșec U337,5; total final "&amp;L418&amp;" vs λ="&amp;TEXT(F418,"0.00")&amp;". Revizuiește Tail Risk, sursa λ și calibrarea."))</x:f>
      </x:c>
      <x:c r="T418" s="51"/>
      <x:c r="U418" s="51"/>
      <x:c r="V418" s="51"/>
      <x:c r="W418" s="61"/>
      <x:c r="X418" s="61"/>
      <x:c r="Y418" s="51"/>
      <x:c r="Z418" s="53"/>
      <x:c r="AA418" s="51"/>
      <x:c r="AB418" s="64" t="str">
        <x:f>IF(AC418="","",AC418)</x:f>
      </x:c>
      <x:c r="AC418" s="67"/>
      <x:c r="AD418" s="69" t="str">
        <x:f>IF(AE418="","",AE418)</x:f>
      </x:c>
      <x:c r="AE418" s="71"/>
      <x:c r="AF418" s="73" t="str">
        <x:f>IF(AC418="","",1/AC418)</x:f>
      </x:c>
      <x:c r="AG418" s="61"/>
      <x:c r="AH418" s="61"/>
      <x:c r="AI418" s="64" t="str">
        <x:f>IF(OR(AC418="",AG418=""),"",AC418*AG418-1)</x:f>
      </x:c>
      <x:c r="AJ418" s="75" t="str">
        <x:f>IF(OR(G418="",F418=""),"",IF(AND(G418&gt;='Calibrare v2'!$B$35,F418&lt;='Calibrare v2'!$B$34),"PASS","FAIL"))</x:f>
      </x:c>
      <x:c r="AK418" s="75" t="str">
        <x:f>IF(AL418="","",AL418)</x:f>
      </x:c>
      <x:c r="AL418" s="77"/>
      <x:c r="AM418" s="77"/>
      <x:c r="AN418" s="64" t="str">
        <x:f>IF(OR(AC418="",P418=""),"",(AC418-P418)^2)</x:f>
      </x:c>
      <x:c r="AO418" s="64" t="str">
        <x:f>IF(OR(AG418="",AH418=""),"",AG418/AH418-1)</x:f>
      </x:c>
      <x:c r="AP418" s="61"/>
      <x:c r="AQ418" s="73" t="n">
        <x:f>IF(OR(AM418&lt;&gt;"PARIU U4,5",M418="",AP418="",AG418=""),0,IF(M418="UNDER",AP418*(AG418-1),-AP418))</x:f>
        <x:v>0</x:v>
      </x:c>
      <x:c r="AR418" s="51"/>
    </x:row>
    <x:row r="419">
      <x:c r="A419" s="9" t="str">
        <x:f>IF(D419="","",ROW()-1)</x:f>
      </x:c>
      <x:c r="B419" s="51"/>
      <x:c r="C419" s="51"/>
      <x:c r="D419" s="51"/>
      <x:c r="E419" s="9" t="str">
        <x:f>IF(D419="","",IF(AND(F419&lt;='Calibrare v2'!$B$33,G419&gt;=0.86),"DA – FEZABIL",IF(G419&gt;=0.8,"DA – PRUDENT","NU – EVITĂ")))</x:f>
      </x:c>
      <x:c r="F419" s="16" t="str">
        <x:f>IF(OR(W419="",X419=""),"",W419+X419)</x:f>
      </x:c>
      <x:c r="G419" s="28" t="str">
        <x:f>IF(F419="","",EXP(-F419)*(1+F419+F419^2/2+F419^3/6+F419^4/24))</x:f>
      </x:c>
      <x:c r="H419" s="53"/>
      <x:c r="I419" s="9" t="str">
        <x:f>IF(F419="","",IF(F419&lt;='Calibrare v2'!$B$33,"PASS","FAIL"))</x:f>
      </x:c>
      <x:c r="J419" s="51"/>
      <x:c r="K419" s="51"/>
      <x:c r="L419" s="9" t="str">
        <x:f>IF(OR(J419="",K419=""),"",J419+K419)</x:f>
      </x:c>
      <x:c r="M419" s="9" t="str">
        <x:f>IF(L419="","",IF(L419&lt;=4,"UNDER","OVER"))</x:f>
      </x:c>
      <x:c r="N419" s="9" t="str">
        <x:f>IF(E419="","",IF(LEFT(E419,2)="DA","PARIU U338,5","NO BET"))</x:f>
      </x:c>
      <x:c r="O419" s="9" t="str">
        <x:f>IF(M419="","",IF(AM419="PARIU U338,5",IF(M419="UNDER","SUCCES","EȘEC"),IF(M419="UNDER","FALS NEGATIV","EVITARE CORECTĂ")))</x:f>
      </x:c>
      <x:c r="P419" s="9" t="str">
        <x:f>IF(M419="","",IF(M419="UNDER",1,0))</x:f>
      </x:c>
      <x:c r="Q419" s="9" t="str">
        <x:f>IF(P419="","",(G419-P419)^2)</x:f>
      </x:c>
      <x:c r="R419" s="9" t="str">
        <x:f>IF(L419="","",L419-F419)</x:f>
      </x:c>
      <x:c r="S419" s="9" t="str">
        <x:f>IF(L419="","",IF(M419="UNDER","U338,5 reușit; total final "&amp;L419&amp;" vs λ="&amp;TEXT(F419,"0.00")&amp;".","Eșec U338,5; total final "&amp;L419&amp;" vs λ="&amp;TEXT(F419,"0.00")&amp;". Revizuiește Tail Risk, sursa λ și calibrarea."))</x:f>
      </x:c>
      <x:c r="T419" s="51"/>
      <x:c r="U419" s="51"/>
      <x:c r="V419" s="51"/>
      <x:c r="W419" s="61"/>
      <x:c r="X419" s="61"/>
      <x:c r="Y419" s="51"/>
      <x:c r="Z419" s="53"/>
      <x:c r="AA419" s="51"/>
      <x:c r="AB419" s="64" t="str">
        <x:f>IF(AC419="","",AC419)</x:f>
      </x:c>
      <x:c r="AC419" s="67"/>
      <x:c r="AD419" s="69" t="str">
        <x:f>IF(AE419="","",AE419)</x:f>
      </x:c>
      <x:c r="AE419" s="71"/>
      <x:c r="AF419" s="73" t="str">
        <x:f>IF(AC419="","",1/AC419)</x:f>
      </x:c>
      <x:c r="AG419" s="61"/>
      <x:c r="AH419" s="61"/>
      <x:c r="AI419" s="64" t="str">
        <x:f>IF(OR(AC419="",AG419=""),"",AC419*AG419-1)</x:f>
      </x:c>
      <x:c r="AJ419" s="75" t="str">
        <x:f>IF(OR(G419="",F419=""),"",IF(AND(G419&gt;='Calibrare v2'!$B$35,F419&lt;='Calibrare v2'!$B$34),"PASS","FAIL"))</x:f>
      </x:c>
      <x:c r="AK419" s="75" t="str">
        <x:f>IF(AL419="","",AL419)</x:f>
      </x:c>
      <x:c r="AL419" s="77"/>
      <x:c r="AM419" s="77"/>
      <x:c r="AN419" s="64" t="str">
        <x:f>IF(OR(AC419="",P419=""),"",(AC419-P419)^2)</x:f>
      </x:c>
      <x:c r="AO419" s="64" t="str">
        <x:f>IF(OR(AG419="",AH419=""),"",AG419/AH419-1)</x:f>
      </x:c>
      <x:c r="AP419" s="61"/>
      <x:c r="AQ419" s="73" t="n">
        <x:f>IF(OR(AM419&lt;&gt;"PARIU U4,5",M419="",AP419="",AG419=""),0,IF(M419="UNDER",AP419*(AG419-1),-AP419))</x:f>
        <x:v>0</x:v>
      </x:c>
      <x:c r="AR419" s="51"/>
    </x:row>
    <x:row r="420">
      <x:c r="A420" s="9" t="str">
        <x:f>IF(D420="","",ROW()-1)</x:f>
      </x:c>
      <x:c r="B420" s="51"/>
      <x:c r="C420" s="51"/>
      <x:c r="D420" s="51"/>
      <x:c r="E420" s="9" t="str">
        <x:f>IF(D420="","",IF(AND(F420&lt;='Calibrare v2'!$B$33,G420&gt;=0.86),"DA – FEZABIL",IF(G420&gt;=0.8,"DA – PRUDENT","NU – EVITĂ")))</x:f>
      </x:c>
      <x:c r="F420" s="16" t="str">
        <x:f>IF(OR(W420="",X420=""),"",W420+X420)</x:f>
      </x:c>
      <x:c r="G420" s="28" t="str">
        <x:f>IF(F420="","",EXP(-F420)*(1+F420+F420^2/2+F420^3/6+F420^4/24))</x:f>
      </x:c>
      <x:c r="H420" s="53"/>
      <x:c r="I420" s="9" t="str">
        <x:f>IF(F420="","",IF(F420&lt;='Calibrare v2'!$B$33,"PASS","FAIL"))</x:f>
      </x:c>
      <x:c r="J420" s="51"/>
      <x:c r="K420" s="51"/>
      <x:c r="L420" s="9" t="str">
        <x:f>IF(OR(J420="",K420=""),"",J420+K420)</x:f>
      </x:c>
      <x:c r="M420" s="9" t="str">
        <x:f>IF(L420="","",IF(L420&lt;=4,"UNDER","OVER"))</x:f>
      </x:c>
      <x:c r="N420" s="9" t="str">
        <x:f>IF(E420="","",IF(LEFT(E420,2)="DA","PARIU U339,5","NO BET"))</x:f>
      </x:c>
      <x:c r="O420" s="9" t="str">
        <x:f>IF(M420="","",IF(AM420="PARIU U339,5",IF(M420="UNDER","SUCCES","EȘEC"),IF(M420="UNDER","FALS NEGATIV","EVITARE CORECTĂ")))</x:f>
      </x:c>
      <x:c r="P420" s="9" t="str">
        <x:f>IF(M420="","",IF(M420="UNDER",1,0))</x:f>
      </x:c>
      <x:c r="Q420" s="9" t="str">
        <x:f>IF(P420="","",(G420-P420)^2)</x:f>
      </x:c>
      <x:c r="R420" s="9" t="str">
        <x:f>IF(L420="","",L420-F420)</x:f>
      </x:c>
      <x:c r="S420" s="9" t="str">
        <x:f>IF(L420="","",IF(M420="UNDER","U339,5 reușit; total final "&amp;L420&amp;" vs λ="&amp;TEXT(F420,"0.00")&amp;".","Eșec U339,5; total final "&amp;L420&amp;" vs λ="&amp;TEXT(F420,"0.00")&amp;". Revizuiește Tail Risk, sursa λ și calibrarea."))</x:f>
      </x:c>
      <x:c r="T420" s="51"/>
      <x:c r="U420" s="51"/>
      <x:c r="V420" s="51"/>
      <x:c r="W420" s="61"/>
      <x:c r="X420" s="61"/>
      <x:c r="Y420" s="51"/>
      <x:c r="Z420" s="53"/>
      <x:c r="AA420" s="51"/>
      <x:c r="AB420" s="64" t="str">
        <x:f>IF(AC420="","",AC420)</x:f>
      </x:c>
      <x:c r="AC420" s="67"/>
      <x:c r="AD420" s="69" t="str">
        <x:f>IF(AE420="","",AE420)</x:f>
      </x:c>
      <x:c r="AE420" s="71"/>
      <x:c r="AF420" s="73" t="str">
        <x:f>IF(AC420="","",1/AC420)</x:f>
      </x:c>
      <x:c r="AG420" s="61"/>
      <x:c r="AH420" s="61"/>
      <x:c r="AI420" s="64" t="str">
        <x:f>IF(OR(AC420="",AG420=""),"",AC420*AG420-1)</x:f>
      </x:c>
      <x:c r="AJ420" s="75" t="str">
        <x:f>IF(OR(G420="",F420=""),"",IF(AND(G420&gt;='Calibrare v2'!$B$35,F420&lt;='Calibrare v2'!$B$34),"PASS","FAIL"))</x:f>
      </x:c>
      <x:c r="AK420" s="75" t="str">
        <x:f>IF(AL420="","",AL420)</x:f>
      </x:c>
      <x:c r="AL420" s="77"/>
      <x:c r="AM420" s="77"/>
      <x:c r="AN420" s="64" t="str">
        <x:f>IF(OR(AC420="",P420=""),"",(AC420-P420)^2)</x:f>
      </x:c>
      <x:c r="AO420" s="64" t="str">
        <x:f>IF(OR(AG420="",AH420=""),"",AG420/AH420-1)</x:f>
      </x:c>
      <x:c r="AP420" s="61"/>
      <x:c r="AQ420" s="73" t="n">
        <x:f>IF(OR(AM420&lt;&gt;"PARIU U4,5",M420="",AP420="",AG420=""),0,IF(M420="UNDER",AP420*(AG420-1),-AP420))</x:f>
        <x:v>0</x:v>
      </x:c>
      <x:c r="AR420" s="51"/>
    </x:row>
    <x:row r="421">
      <x:c r="A421" s="9" t="str">
        <x:f>IF(D421="","",ROW()-1)</x:f>
      </x:c>
      <x:c r="B421" s="51"/>
      <x:c r="C421" s="51"/>
      <x:c r="D421" s="51"/>
      <x:c r="E421" s="9" t="str">
        <x:f>IF(D421="","",IF(AND(F421&lt;='Calibrare v2'!$B$33,G421&gt;=0.86),"DA – FEZABIL",IF(G421&gt;=0.8,"DA – PRUDENT","NU – EVITĂ")))</x:f>
      </x:c>
      <x:c r="F421" s="16" t="str">
        <x:f>IF(OR(W421="",X421=""),"",W421+X421)</x:f>
      </x:c>
      <x:c r="G421" s="28" t="str">
        <x:f>IF(F421="","",EXP(-F421)*(1+F421+F421^2/2+F421^3/6+F421^4/24))</x:f>
      </x:c>
      <x:c r="H421" s="53"/>
      <x:c r="I421" s="9" t="str">
        <x:f>IF(F421="","",IF(F421&lt;='Calibrare v2'!$B$33,"PASS","FAIL"))</x:f>
      </x:c>
      <x:c r="J421" s="51"/>
      <x:c r="K421" s="51"/>
      <x:c r="L421" s="9" t="str">
        <x:f>IF(OR(J421="",K421=""),"",J421+K421)</x:f>
      </x:c>
      <x:c r="M421" s="9" t="str">
        <x:f>IF(L421="","",IF(L421&lt;=4,"UNDER","OVER"))</x:f>
      </x:c>
      <x:c r="N421" s="9" t="str">
        <x:f>IF(E421="","",IF(LEFT(E421,2)="DA","PARIU U340,5","NO BET"))</x:f>
      </x:c>
      <x:c r="O421" s="9" t="str">
        <x:f>IF(M421="","",IF(AM421="PARIU U340,5",IF(M421="UNDER","SUCCES","EȘEC"),IF(M421="UNDER","FALS NEGATIV","EVITARE CORECTĂ")))</x:f>
      </x:c>
      <x:c r="P421" s="9" t="str">
        <x:f>IF(M421="","",IF(M421="UNDER",1,0))</x:f>
      </x:c>
      <x:c r="Q421" s="9" t="str">
        <x:f>IF(P421="","",(G421-P421)^2)</x:f>
      </x:c>
      <x:c r="R421" s="9" t="str">
        <x:f>IF(L421="","",L421-F421)</x:f>
      </x:c>
      <x:c r="S421" s="9" t="str">
        <x:f>IF(L421="","",IF(M421="UNDER","U340,5 reușit; total final "&amp;L421&amp;" vs λ="&amp;TEXT(F421,"0.00")&amp;".","Eșec U340,5; total final "&amp;L421&amp;" vs λ="&amp;TEXT(F421,"0.00")&amp;". Revizuiește Tail Risk, sursa λ și calibrarea."))</x:f>
      </x:c>
      <x:c r="T421" s="51"/>
      <x:c r="U421" s="51"/>
      <x:c r="V421" s="51"/>
      <x:c r="W421" s="61"/>
      <x:c r="X421" s="61"/>
      <x:c r="Y421" s="51"/>
      <x:c r="Z421" s="53"/>
      <x:c r="AA421" s="51"/>
      <x:c r="AB421" s="64" t="str">
        <x:f>IF(AC421="","",AC421)</x:f>
      </x:c>
      <x:c r="AC421" s="67"/>
      <x:c r="AD421" s="69" t="str">
        <x:f>IF(AE421="","",AE421)</x:f>
      </x:c>
      <x:c r="AE421" s="71"/>
      <x:c r="AF421" s="73" t="str">
        <x:f>IF(AC421="","",1/AC421)</x:f>
      </x:c>
      <x:c r="AG421" s="61"/>
      <x:c r="AH421" s="61"/>
      <x:c r="AI421" s="64" t="str">
        <x:f>IF(OR(AC421="",AG421=""),"",AC421*AG421-1)</x:f>
      </x:c>
      <x:c r="AJ421" s="75" t="str">
        <x:f>IF(OR(G421="",F421=""),"",IF(AND(G421&gt;='Calibrare v2'!$B$35,F421&lt;='Calibrare v2'!$B$34),"PASS","FAIL"))</x:f>
      </x:c>
      <x:c r="AK421" s="75" t="str">
        <x:f>IF(AL421="","",AL421)</x:f>
      </x:c>
      <x:c r="AL421" s="77"/>
      <x:c r="AM421" s="77"/>
      <x:c r="AN421" s="64" t="str">
        <x:f>IF(OR(AC421="",P421=""),"",(AC421-P421)^2)</x:f>
      </x:c>
      <x:c r="AO421" s="64" t="str">
        <x:f>IF(OR(AG421="",AH421=""),"",AG421/AH421-1)</x:f>
      </x:c>
      <x:c r="AP421" s="61"/>
      <x:c r="AQ421" s="73" t="n">
        <x:f>IF(OR(AM421&lt;&gt;"PARIU U4,5",M421="",AP421="",AG421=""),0,IF(M421="UNDER",AP421*(AG421-1),-AP421))</x:f>
        <x:v>0</x:v>
      </x:c>
      <x:c r="AR421" s="51"/>
    </x:row>
    <x:row r="422">
      <x:c r="A422" s="9" t="str">
        <x:f>IF(D422="","",ROW()-1)</x:f>
      </x:c>
      <x:c r="B422" s="51"/>
      <x:c r="C422" s="51"/>
      <x:c r="D422" s="51"/>
      <x:c r="E422" s="9" t="str">
        <x:f>IF(D422="","",IF(AND(F422&lt;='Calibrare v2'!$B$33,G422&gt;=0.86),"DA – FEZABIL",IF(G422&gt;=0.8,"DA – PRUDENT","NU – EVITĂ")))</x:f>
      </x:c>
      <x:c r="F422" s="16" t="str">
        <x:f>IF(OR(W422="",X422=""),"",W422+X422)</x:f>
      </x:c>
      <x:c r="G422" s="28" t="str">
        <x:f>IF(F422="","",EXP(-F422)*(1+F422+F422^2/2+F422^3/6+F422^4/24))</x:f>
      </x:c>
      <x:c r="H422" s="53"/>
      <x:c r="I422" s="9" t="str">
        <x:f>IF(F422="","",IF(F422&lt;='Calibrare v2'!$B$33,"PASS","FAIL"))</x:f>
      </x:c>
      <x:c r="J422" s="51"/>
      <x:c r="K422" s="51"/>
      <x:c r="L422" s="9" t="str">
        <x:f>IF(OR(J422="",K422=""),"",J422+K422)</x:f>
      </x:c>
      <x:c r="M422" s="9" t="str">
        <x:f>IF(L422="","",IF(L422&lt;=4,"UNDER","OVER"))</x:f>
      </x:c>
      <x:c r="N422" s="9" t="str">
        <x:f>IF(E422="","",IF(LEFT(E422,2)="DA","PARIU U341,5","NO BET"))</x:f>
      </x:c>
      <x:c r="O422" s="9" t="str">
        <x:f>IF(M422="","",IF(AM422="PARIU U341,5",IF(M422="UNDER","SUCCES","EȘEC"),IF(M422="UNDER","FALS NEGATIV","EVITARE CORECTĂ")))</x:f>
      </x:c>
      <x:c r="P422" s="9" t="str">
        <x:f>IF(M422="","",IF(M422="UNDER",1,0))</x:f>
      </x:c>
      <x:c r="Q422" s="9" t="str">
        <x:f>IF(P422="","",(G422-P422)^2)</x:f>
      </x:c>
      <x:c r="R422" s="9" t="str">
        <x:f>IF(L422="","",L422-F422)</x:f>
      </x:c>
      <x:c r="S422" s="9" t="str">
        <x:f>IF(L422="","",IF(M422="UNDER","U341,5 reușit; total final "&amp;L422&amp;" vs λ="&amp;TEXT(F422,"0.00")&amp;".","Eșec U341,5; total final "&amp;L422&amp;" vs λ="&amp;TEXT(F422,"0.00")&amp;". Revizuiește Tail Risk, sursa λ și calibrarea."))</x:f>
      </x:c>
      <x:c r="T422" s="51"/>
      <x:c r="U422" s="51"/>
      <x:c r="V422" s="51"/>
      <x:c r="W422" s="61"/>
      <x:c r="X422" s="61"/>
      <x:c r="Y422" s="51"/>
      <x:c r="Z422" s="53"/>
      <x:c r="AA422" s="51"/>
      <x:c r="AB422" s="64" t="str">
        <x:f>IF(AC422="","",AC422)</x:f>
      </x:c>
      <x:c r="AC422" s="67"/>
      <x:c r="AD422" s="69" t="str">
        <x:f>IF(AE422="","",AE422)</x:f>
      </x:c>
      <x:c r="AE422" s="71"/>
      <x:c r="AF422" s="73" t="str">
        <x:f>IF(AC422="","",1/AC422)</x:f>
      </x:c>
      <x:c r="AG422" s="61"/>
      <x:c r="AH422" s="61"/>
      <x:c r="AI422" s="64" t="str">
        <x:f>IF(OR(AC422="",AG422=""),"",AC422*AG422-1)</x:f>
      </x:c>
      <x:c r="AJ422" s="75" t="str">
        <x:f>IF(OR(G422="",F422=""),"",IF(AND(G422&gt;='Calibrare v2'!$B$35,F422&lt;='Calibrare v2'!$B$34),"PASS","FAIL"))</x:f>
      </x:c>
      <x:c r="AK422" s="75" t="str">
        <x:f>IF(AL422="","",AL422)</x:f>
      </x:c>
      <x:c r="AL422" s="77"/>
      <x:c r="AM422" s="77"/>
      <x:c r="AN422" s="64" t="str">
        <x:f>IF(OR(AC422="",P422=""),"",(AC422-P422)^2)</x:f>
      </x:c>
      <x:c r="AO422" s="64" t="str">
        <x:f>IF(OR(AG422="",AH422=""),"",AG422/AH422-1)</x:f>
      </x:c>
      <x:c r="AP422" s="61"/>
      <x:c r="AQ422" s="73" t="n">
        <x:f>IF(OR(AM422&lt;&gt;"PARIU U4,5",M422="",AP422="",AG422=""),0,IF(M422="UNDER",AP422*(AG422-1),-AP422))</x:f>
        <x:v>0</x:v>
      </x:c>
      <x:c r="AR422" s="51"/>
    </x:row>
    <x:row r="423">
      <x:c r="A423" s="9" t="str">
        <x:f>IF(D423="","",ROW()-1)</x:f>
      </x:c>
      <x:c r="B423" s="51"/>
      <x:c r="C423" s="51"/>
      <x:c r="D423" s="51"/>
      <x:c r="E423" s="9" t="str">
        <x:f>IF(D423="","",IF(AND(F423&lt;='Calibrare v2'!$B$33,G423&gt;=0.86),"DA – FEZABIL",IF(G423&gt;=0.8,"DA – PRUDENT","NU – EVITĂ")))</x:f>
      </x:c>
      <x:c r="F423" s="16" t="str">
        <x:f>IF(OR(W423="",X423=""),"",W423+X423)</x:f>
      </x:c>
      <x:c r="G423" s="28" t="str">
        <x:f>IF(F423="","",EXP(-F423)*(1+F423+F423^2/2+F423^3/6+F423^4/24))</x:f>
      </x:c>
      <x:c r="H423" s="53"/>
      <x:c r="I423" s="9" t="str">
        <x:f>IF(F423="","",IF(F423&lt;='Calibrare v2'!$B$33,"PASS","FAIL"))</x:f>
      </x:c>
      <x:c r="J423" s="51"/>
      <x:c r="K423" s="51"/>
      <x:c r="L423" s="9" t="str">
        <x:f>IF(OR(J423="",K423=""),"",J423+K423)</x:f>
      </x:c>
      <x:c r="M423" s="9" t="str">
        <x:f>IF(L423="","",IF(L423&lt;=4,"UNDER","OVER"))</x:f>
      </x:c>
      <x:c r="N423" s="9" t="str">
        <x:f>IF(E423="","",IF(LEFT(E423,2)="DA","PARIU U342,5","NO BET"))</x:f>
      </x:c>
      <x:c r="O423" s="9" t="str">
        <x:f>IF(M423="","",IF(AM423="PARIU U342,5",IF(M423="UNDER","SUCCES","EȘEC"),IF(M423="UNDER","FALS NEGATIV","EVITARE CORECTĂ")))</x:f>
      </x:c>
      <x:c r="P423" s="9" t="str">
        <x:f>IF(M423="","",IF(M423="UNDER",1,0))</x:f>
      </x:c>
      <x:c r="Q423" s="9" t="str">
        <x:f>IF(P423="","",(G423-P423)^2)</x:f>
      </x:c>
      <x:c r="R423" s="9" t="str">
        <x:f>IF(L423="","",L423-F423)</x:f>
      </x:c>
      <x:c r="S423" s="9" t="str">
        <x:f>IF(L423="","",IF(M423="UNDER","U342,5 reușit; total final "&amp;L423&amp;" vs λ="&amp;TEXT(F423,"0.00")&amp;".","Eșec U342,5; total final "&amp;L423&amp;" vs λ="&amp;TEXT(F423,"0.00")&amp;". Revizuiește Tail Risk, sursa λ și calibrarea."))</x:f>
      </x:c>
      <x:c r="T423" s="51"/>
      <x:c r="U423" s="51"/>
      <x:c r="V423" s="51"/>
      <x:c r="W423" s="61"/>
      <x:c r="X423" s="61"/>
      <x:c r="Y423" s="51"/>
      <x:c r="Z423" s="53"/>
      <x:c r="AA423" s="51"/>
      <x:c r="AB423" s="64" t="str">
        <x:f>IF(AC423="","",AC423)</x:f>
      </x:c>
      <x:c r="AC423" s="67"/>
      <x:c r="AD423" s="69" t="str">
        <x:f>IF(AE423="","",AE423)</x:f>
      </x:c>
      <x:c r="AE423" s="71"/>
      <x:c r="AF423" s="73" t="str">
        <x:f>IF(AC423="","",1/AC423)</x:f>
      </x:c>
      <x:c r="AG423" s="61"/>
      <x:c r="AH423" s="61"/>
      <x:c r="AI423" s="64" t="str">
        <x:f>IF(OR(AC423="",AG423=""),"",AC423*AG423-1)</x:f>
      </x:c>
      <x:c r="AJ423" s="75" t="str">
        <x:f>IF(OR(G423="",F423=""),"",IF(AND(G423&gt;='Calibrare v2'!$B$35,F423&lt;='Calibrare v2'!$B$34),"PASS","FAIL"))</x:f>
      </x:c>
      <x:c r="AK423" s="75" t="str">
        <x:f>IF(AL423="","",AL423)</x:f>
      </x:c>
      <x:c r="AL423" s="77"/>
      <x:c r="AM423" s="77"/>
      <x:c r="AN423" s="64" t="str">
        <x:f>IF(OR(AC423="",P423=""),"",(AC423-P423)^2)</x:f>
      </x:c>
      <x:c r="AO423" s="64" t="str">
        <x:f>IF(OR(AG423="",AH423=""),"",AG423/AH423-1)</x:f>
      </x:c>
      <x:c r="AP423" s="61"/>
      <x:c r="AQ423" s="73" t="n">
        <x:f>IF(OR(AM423&lt;&gt;"PARIU U4,5",M423="",AP423="",AG423=""),0,IF(M423="UNDER",AP423*(AG423-1),-AP423))</x:f>
        <x:v>0</x:v>
      </x:c>
      <x:c r="AR423" s="51"/>
    </x:row>
    <x:row r="424">
      <x:c r="A424" s="9" t="str">
        <x:f>IF(D424="","",ROW()-1)</x:f>
      </x:c>
      <x:c r="B424" s="51"/>
      <x:c r="C424" s="51"/>
      <x:c r="D424" s="51"/>
      <x:c r="E424" s="9" t="str">
        <x:f>IF(D424="","",IF(AND(F424&lt;='Calibrare v2'!$B$33,G424&gt;=0.86),"DA – FEZABIL",IF(G424&gt;=0.8,"DA – PRUDENT","NU – EVITĂ")))</x:f>
      </x:c>
      <x:c r="F424" s="16" t="str">
        <x:f>IF(OR(W424="",X424=""),"",W424+X424)</x:f>
      </x:c>
      <x:c r="G424" s="28" t="str">
        <x:f>IF(F424="","",EXP(-F424)*(1+F424+F424^2/2+F424^3/6+F424^4/24))</x:f>
      </x:c>
      <x:c r="H424" s="53"/>
      <x:c r="I424" s="9" t="str">
        <x:f>IF(F424="","",IF(F424&lt;='Calibrare v2'!$B$33,"PASS","FAIL"))</x:f>
      </x:c>
      <x:c r="J424" s="51"/>
      <x:c r="K424" s="51"/>
      <x:c r="L424" s="9" t="str">
        <x:f>IF(OR(J424="",K424=""),"",J424+K424)</x:f>
      </x:c>
      <x:c r="M424" s="9" t="str">
        <x:f>IF(L424="","",IF(L424&lt;=4,"UNDER","OVER"))</x:f>
      </x:c>
      <x:c r="N424" s="9" t="str">
        <x:f>IF(E424="","",IF(LEFT(E424,2)="DA","PARIU U343,5","NO BET"))</x:f>
      </x:c>
      <x:c r="O424" s="9" t="str">
        <x:f>IF(M424="","",IF(AM424="PARIU U343,5",IF(M424="UNDER","SUCCES","EȘEC"),IF(M424="UNDER","FALS NEGATIV","EVITARE CORECTĂ")))</x:f>
      </x:c>
      <x:c r="P424" s="9" t="str">
        <x:f>IF(M424="","",IF(M424="UNDER",1,0))</x:f>
      </x:c>
      <x:c r="Q424" s="9" t="str">
        <x:f>IF(P424="","",(G424-P424)^2)</x:f>
      </x:c>
      <x:c r="R424" s="9" t="str">
        <x:f>IF(L424="","",L424-F424)</x:f>
      </x:c>
      <x:c r="S424" s="9" t="str">
        <x:f>IF(L424="","",IF(M424="UNDER","U343,5 reușit; total final "&amp;L424&amp;" vs λ="&amp;TEXT(F424,"0.00")&amp;".","Eșec U343,5; total final "&amp;L424&amp;" vs λ="&amp;TEXT(F424,"0.00")&amp;". Revizuiește Tail Risk, sursa λ și calibrarea."))</x:f>
      </x:c>
      <x:c r="T424" s="51"/>
      <x:c r="U424" s="51"/>
      <x:c r="V424" s="51"/>
      <x:c r="W424" s="61"/>
      <x:c r="X424" s="61"/>
      <x:c r="Y424" s="51"/>
      <x:c r="Z424" s="53"/>
      <x:c r="AA424" s="51"/>
      <x:c r="AB424" s="64" t="str">
        <x:f>IF(AC424="","",AC424)</x:f>
      </x:c>
      <x:c r="AC424" s="67"/>
      <x:c r="AD424" s="69" t="str">
        <x:f>IF(AE424="","",AE424)</x:f>
      </x:c>
      <x:c r="AE424" s="71"/>
      <x:c r="AF424" s="73" t="str">
        <x:f>IF(AC424="","",1/AC424)</x:f>
      </x:c>
      <x:c r="AG424" s="61"/>
      <x:c r="AH424" s="61"/>
      <x:c r="AI424" s="64" t="str">
        <x:f>IF(OR(AC424="",AG424=""),"",AC424*AG424-1)</x:f>
      </x:c>
      <x:c r="AJ424" s="75" t="str">
        <x:f>IF(OR(G424="",F424=""),"",IF(AND(G424&gt;='Calibrare v2'!$B$35,F424&lt;='Calibrare v2'!$B$34),"PASS","FAIL"))</x:f>
      </x:c>
      <x:c r="AK424" s="75" t="str">
        <x:f>IF(AL424="","",AL424)</x:f>
      </x:c>
      <x:c r="AL424" s="77"/>
      <x:c r="AM424" s="77"/>
      <x:c r="AN424" s="64" t="str">
        <x:f>IF(OR(AC424="",P424=""),"",(AC424-P424)^2)</x:f>
      </x:c>
      <x:c r="AO424" s="64" t="str">
        <x:f>IF(OR(AG424="",AH424=""),"",AG424/AH424-1)</x:f>
      </x:c>
      <x:c r="AP424" s="61"/>
      <x:c r="AQ424" s="73" t="n">
        <x:f>IF(OR(AM424&lt;&gt;"PARIU U4,5",M424="",AP424="",AG424=""),0,IF(M424="UNDER",AP424*(AG424-1),-AP424))</x:f>
        <x:v>0</x:v>
      </x:c>
      <x:c r="AR424" s="51"/>
    </x:row>
    <x:row r="425">
      <x:c r="A425" s="9" t="str">
        <x:f>IF(D425="","",ROW()-1)</x:f>
      </x:c>
      <x:c r="B425" s="51"/>
      <x:c r="C425" s="51"/>
      <x:c r="D425" s="51"/>
      <x:c r="E425" s="9" t="str">
        <x:f>IF(D425="","",IF(AND(F425&lt;='Calibrare v2'!$B$33,G425&gt;=0.86),"DA – FEZABIL",IF(G425&gt;=0.8,"DA – PRUDENT","NU – EVITĂ")))</x:f>
      </x:c>
      <x:c r="F425" s="16" t="str">
        <x:f>IF(OR(W425="",X425=""),"",W425+X425)</x:f>
      </x:c>
      <x:c r="G425" s="28" t="str">
        <x:f>IF(F425="","",EXP(-F425)*(1+F425+F425^2/2+F425^3/6+F425^4/24))</x:f>
      </x:c>
      <x:c r="H425" s="53"/>
      <x:c r="I425" s="9" t="str">
        <x:f>IF(F425="","",IF(F425&lt;='Calibrare v2'!$B$33,"PASS","FAIL"))</x:f>
      </x:c>
      <x:c r="J425" s="51"/>
      <x:c r="K425" s="51"/>
      <x:c r="L425" s="9" t="str">
        <x:f>IF(OR(J425="",K425=""),"",J425+K425)</x:f>
      </x:c>
      <x:c r="M425" s="9" t="str">
        <x:f>IF(L425="","",IF(L425&lt;=4,"UNDER","OVER"))</x:f>
      </x:c>
      <x:c r="N425" s="9" t="str">
        <x:f>IF(E425="","",IF(LEFT(E425,2)="DA","PARIU U344,5","NO BET"))</x:f>
      </x:c>
      <x:c r="O425" s="9" t="str">
        <x:f>IF(M425="","",IF(AM425="PARIU U344,5",IF(M425="UNDER","SUCCES","EȘEC"),IF(M425="UNDER","FALS NEGATIV","EVITARE CORECTĂ")))</x:f>
      </x:c>
      <x:c r="P425" s="9" t="str">
        <x:f>IF(M425="","",IF(M425="UNDER",1,0))</x:f>
      </x:c>
      <x:c r="Q425" s="9" t="str">
        <x:f>IF(P425="","",(G425-P425)^2)</x:f>
      </x:c>
      <x:c r="R425" s="9" t="str">
        <x:f>IF(L425="","",L425-F425)</x:f>
      </x:c>
      <x:c r="S425" s="9" t="str">
        <x:f>IF(L425="","",IF(M425="UNDER","U344,5 reușit; total final "&amp;L425&amp;" vs λ="&amp;TEXT(F425,"0.00")&amp;".","Eșec U344,5; total final "&amp;L425&amp;" vs λ="&amp;TEXT(F425,"0.00")&amp;". Revizuiește Tail Risk, sursa λ și calibrarea."))</x:f>
      </x:c>
      <x:c r="T425" s="51"/>
      <x:c r="U425" s="51"/>
      <x:c r="V425" s="51"/>
      <x:c r="W425" s="61"/>
      <x:c r="X425" s="61"/>
      <x:c r="Y425" s="51"/>
      <x:c r="Z425" s="53"/>
      <x:c r="AA425" s="51"/>
      <x:c r="AB425" s="64" t="str">
        <x:f>IF(AC425="","",AC425)</x:f>
      </x:c>
      <x:c r="AC425" s="67"/>
      <x:c r="AD425" s="69" t="str">
        <x:f>IF(AE425="","",AE425)</x:f>
      </x:c>
      <x:c r="AE425" s="71"/>
      <x:c r="AF425" s="73" t="str">
        <x:f>IF(AC425="","",1/AC425)</x:f>
      </x:c>
      <x:c r="AG425" s="61"/>
      <x:c r="AH425" s="61"/>
      <x:c r="AI425" s="64" t="str">
        <x:f>IF(OR(AC425="",AG425=""),"",AC425*AG425-1)</x:f>
      </x:c>
      <x:c r="AJ425" s="75" t="str">
        <x:f>IF(OR(G425="",F425=""),"",IF(AND(G425&gt;='Calibrare v2'!$B$35,F425&lt;='Calibrare v2'!$B$34),"PASS","FAIL"))</x:f>
      </x:c>
      <x:c r="AK425" s="75" t="str">
        <x:f>IF(AL425="","",AL425)</x:f>
      </x:c>
      <x:c r="AL425" s="77"/>
      <x:c r="AM425" s="77"/>
      <x:c r="AN425" s="64" t="str">
        <x:f>IF(OR(AC425="",P425=""),"",(AC425-P425)^2)</x:f>
      </x:c>
      <x:c r="AO425" s="64" t="str">
        <x:f>IF(OR(AG425="",AH425=""),"",AG425/AH425-1)</x:f>
      </x:c>
      <x:c r="AP425" s="61"/>
      <x:c r="AQ425" s="73" t="n">
        <x:f>IF(OR(AM425&lt;&gt;"PARIU U4,5",M425="",AP425="",AG425=""),0,IF(M425="UNDER",AP425*(AG425-1),-AP425))</x:f>
        <x:v>0</x:v>
      </x:c>
      <x:c r="AR425" s="51"/>
    </x:row>
    <x:row r="426">
      <x:c r="A426" s="9" t="str">
        <x:f>IF(D426="","",ROW()-1)</x:f>
      </x:c>
      <x:c r="B426" s="51"/>
      <x:c r="C426" s="51"/>
      <x:c r="D426" s="51"/>
      <x:c r="E426" s="9" t="str">
        <x:f>IF(D426="","",IF(AND(F426&lt;='Calibrare v2'!$B$33,G426&gt;=0.86),"DA – FEZABIL",IF(G426&gt;=0.8,"DA – PRUDENT","NU – EVITĂ")))</x:f>
      </x:c>
      <x:c r="F426" s="16" t="str">
        <x:f>IF(OR(W426="",X426=""),"",W426+X426)</x:f>
      </x:c>
      <x:c r="G426" s="28" t="str">
        <x:f>IF(F426="","",EXP(-F426)*(1+F426+F426^2/2+F426^3/6+F426^4/24))</x:f>
      </x:c>
      <x:c r="H426" s="53"/>
      <x:c r="I426" s="9" t="str">
        <x:f>IF(F426="","",IF(F426&lt;='Calibrare v2'!$B$33,"PASS","FAIL"))</x:f>
      </x:c>
      <x:c r="J426" s="51"/>
      <x:c r="K426" s="51"/>
      <x:c r="L426" s="9" t="str">
        <x:f>IF(OR(J426="",K426=""),"",J426+K426)</x:f>
      </x:c>
      <x:c r="M426" s="9" t="str">
        <x:f>IF(L426="","",IF(L426&lt;=4,"UNDER","OVER"))</x:f>
      </x:c>
      <x:c r="N426" s="9" t="str">
        <x:f>IF(E426="","",IF(LEFT(E426,2)="DA","PARIU U345,5","NO BET"))</x:f>
      </x:c>
      <x:c r="O426" s="9" t="str">
        <x:f>IF(M426="","",IF(AM426="PARIU U345,5",IF(M426="UNDER","SUCCES","EȘEC"),IF(M426="UNDER","FALS NEGATIV","EVITARE CORECTĂ")))</x:f>
      </x:c>
      <x:c r="P426" s="9" t="str">
        <x:f>IF(M426="","",IF(M426="UNDER",1,0))</x:f>
      </x:c>
      <x:c r="Q426" s="9" t="str">
        <x:f>IF(P426="","",(G426-P426)^2)</x:f>
      </x:c>
      <x:c r="R426" s="9" t="str">
        <x:f>IF(L426="","",L426-F426)</x:f>
      </x:c>
      <x:c r="S426" s="9" t="str">
        <x:f>IF(L426="","",IF(M426="UNDER","U345,5 reușit; total final "&amp;L426&amp;" vs λ="&amp;TEXT(F426,"0.00")&amp;".","Eșec U345,5; total final "&amp;L426&amp;" vs λ="&amp;TEXT(F426,"0.00")&amp;". Revizuiește Tail Risk, sursa λ și calibrarea."))</x:f>
      </x:c>
      <x:c r="T426" s="51"/>
      <x:c r="U426" s="51"/>
      <x:c r="V426" s="51"/>
      <x:c r="W426" s="61"/>
      <x:c r="X426" s="61"/>
      <x:c r="Y426" s="51"/>
      <x:c r="Z426" s="53"/>
      <x:c r="AA426" s="51"/>
      <x:c r="AB426" s="64" t="str">
        <x:f>IF(AC426="","",AC426)</x:f>
      </x:c>
      <x:c r="AC426" s="67"/>
      <x:c r="AD426" s="69" t="str">
        <x:f>IF(AE426="","",AE426)</x:f>
      </x:c>
      <x:c r="AE426" s="71"/>
      <x:c r="AF426" s="73" t="str">
        <x:f>IF(AC426="","",1/AC426)</x:f>
      </x:c>
      <x:c r="AG426" s="61"/>
      <x:c r="AH426" s="61"/>
      <x:c r="AI426" s="64" t="str">
        <x:f>IF(OR(AC426="",AG426=""),"",AC426*AG426-1)</x:f>
      </x:c>
      <x:c r="AJ426" s="75" t="str">
        <x:f>IF(OR(G426="",F426=""),"",IF(AND(G426&gt;='Calibrare v2'!$B$35,F426&lt;='Calibrare v2'!$B$34),"PASS","FAIL"))</x:f>
      </x:c>
      <x:c r="AK426" s="75" t="str">
        <x:f>IF(AL426="","",AL426)</x:f>
      </x:c>
      <x:c r="AL426" s="77"/>
      <x:c r="AM426" s="77"/>
      <x:c r="AN426" s="64" t="str">
        <x:f>IF(OR(AC426="",P426=""),"",(AC426-P426)^2)</x:f>
      </x:c>
      <x:c r="AO426" s="64" t="str">
        <x:f>IF(OR(AG426="",AH426=""),"",AG426/AH426-1)</x:f>
      </x:c>
      <x:c r="AP426" s="61"/>
      <x:c r="AQ426" s="73" t="n">
        <x:f>IF(OR(AM426&lt;&gt;"PARIU U4,5",M426="",AP426="",AG426=""),0,IF(M426="UNDER",AP426*(AG426-1),-AP426))</x:f>
        <x:v>0</x:v>
      </x:c>
      <x:c r="AR426" s="51"/>
    </x:row>
    <x:row r="427">
      <x:c r="A427" s="9" t="str">
        <x:f>IF(D427="","",ROW()-1)</x:f>
      </x:c>
      <x:c r="B427" s="51"/>
      <x:c r="C427" s="51"/>
      <x:c r="D427" s="51"/>
      <x:c r="E427" s="9" t="str">
        <x:f>IF(D427="","",IF(AND(F427&lt;='Calibrare v2'!$B$33,G427&gt;=0.86),"DA – FEZABIL",IF(G427&gt;=0.8,"DA – PRUDENT","NU – EVITĂ")))</x:f>
      </x:c>
      <x:c r="F427" s="16" t="str">
        <x:f>IF(OR(W427="",X427=""),"",W427+X427)</x:f>
      </x:c>
      <x:c r="G427" s="28" t="str">
        <x:f>IF(F427="","",EXP(-F427)*(1+F427+F427^2/2+F427^3/6+F427^4/24))</x:f>
      </x:c>
      <x:c r="H427" s="53"/>
      <x:c r="I427" s="9" t="str">
        <x:f>IF(F427="","",IF(F427&lt;='Calibrare v2'!$B$33,"PASS","FAIL"))</x:f>
      </x:c>
      <x:c r="J427" s="51"/>
      <x:c r="K427" s="51"/>
      <x:c r="L427" s="9" t="str">
        <x:f>IF(OR(J427="",K427=""),"",J427+K427)</x:f>
      </x:c>
      <x:c r="M427" s="9" t="str">
        <x:f>IF(L427="","",IF(L427&lt;=4,"UNDER","OVER"))</x:f>
      </x:c>
      <x:c r="N427" s="9" t="str">
        <x:f>IF(E427="","",IF(LEFT(E427,2)="DA","PARIU U346,5","NO BET"))</x:f>
      </x:c>
      <x:c r="O427" s="9" t="str">
        <x:f>IF(M427="","",IF(AM427="PARIU U346,5",IF(M427="UNDER","SUCCES","EȘEC"),IF(M427="UNDER","FALS NEGATIV","EVITARE CORECTĂ")))</x:f>
      </x:c>
      <x:c r="P427" s="9" t="str">
        <x:f>IF(M427="","",IF(M427="UNDER",1,0))</x:f>
      </x:c>
      <x:c r="Q427" s="9" t="str">
        <x:f>IF(P427="","",(G427-P427)^2)</x:f>
      </x:c>
      <x:c r="R427" s="9" t="str">
        <x:f>IF(L427="","",L427-F427)</x:f>
      </x:c>
      <x:c r="S427" s="9" t="str">
        <x:f>IF(L427="","",IF(M427="UNDER","U346,5 reușit; total final "&amp;L427&amp;" vs λ="&amp;TEXT(F427,"0.00")&amp;".","Eșec U346,5; total final "&amp;L427&amp;" vs λ="&amp;TEXT(F427,"0.00")&amp;". Revizuiește Tail Risk, sursa λ și calibrarea."))</x:f>
      </x:c>
      <x:c r="T427" s="51"/>
      <x:c r="U427" s="51"/>
      <x:c r="V427" s="51"/>
      <x:c r="W427" s="61"/>
      <x:c r="X427" s="61"/>
      <x:c r="Y427" s="51"/>
      <x:c r="Z427" s="53"/>
      <x:c r="AA427" s="51"/>
      <x:c r="AB427" s="64" t="str">
        <x:f>IF(AC427="","",AC427)</x:f>
      </x:c>
      <x:c r="AC427" s="67"/>
      <x:c r="AD427" s="69" t="str">
        <x:f>IF(AE427="","",AE427)</x:f>
      </x:c>
      <x:c r="AE427" s="71"/>
      <x:c r="AF427" s="73" t="str">
        <x:f>IF(AC427="","",1/AC427)</x:f>
      </x:c>
      <x:c r="AG427" s="61"/>
      <x:c r="AH427" s="61"/>
      <x:c r="AI427" s="64" t="str">
        <x:f>IF(OR(AC427="",AG427=""),"",AC427*AG427-1)</x:f>
      </x:c>
      <x:c r="AJ427" s="75" t="str">
        <x:f>IF(OR(G427="",F427=""),"",IF(AND(G427&gt;='Calibrare v2'!$B$35,F427&lt;='Calibrare v2'!$B$34),"PASS","FAIL"))</x:f>
      </x:c>
      <x:c r="AK427" s="75" t="str">
        <x:f>IF(AL427="","",AL427)</x:f>
      </x:c>
      <x:c r="AL427" s="77"/>
      <x:c r="AM427" s="77"/>
      <x:c r="AN427" s="64" t="str">
        <x:f>IF(OR(AC427="",P427=""),"",(AC427-P427)^2)</x:f>
      </x:c>
      <x:c r="AO427" s="64" t="str">
        <x:f>IF(OR(AG427="",AH427=""),"",AG427/AH427-1)</x:f>
      </x:c>
      <x:c r="AP427" s="61"/>
      <x:c r="AQ427" s="73" t="n">
        <x:f>IF(OR(AM427&lt;&gt;"PARIU U4,5",M427="",AP427="",AG427=""),0,IF(M427="UNDER",AP427*(AG427-1),-AP427))</x:f>
        <x:v>0</x:v>
      </x:c>
      <x:c r="AR427" s="51"/>
    </x:row>
    <x:row r="428">
      <x:c r="A428" s="9" t="str">
        <x:f>IF(D428="","",ROW()-1)</x:f>
      </x:c>
      <x:c r="B428" s="51"/>
      <x:c r="C428" s="51"/>
      <x:c r="D428" s="51"/>
      <x:c r="E428" s="9" t="str">
        <x:f>IF(D428="","",IF(AND(F428&lt;='Calibrare v2'!$B$33,G428&gt;=0.86),"DA – FEZABIL",IF(G428&gt;=0.8,"DA – PRUDENT","NU – EVITĂ")))</x:f>
      </x:c>
      <x:c r="F428" s="16" t="str">
        <x:f>IF(OR(W428="",X428=""),"",W428+X428)</x:f>
      </x:c>
      <x:c r="G428" s="28" t="str">
        <x:f>IF(F428="","",EXP(-F428)*(1+F428+F428^2/2+F428^3/6+F428^4/24))</x:f>
      </x:c>
      <x:c r="H428" s="53"/>
      <x:c r="I428" s="9" t="str">
        <x:f>IF(F428="","",IF(F428&lt;='Calibrare v2'!$B$33,"PASS","FAIL"))</x:f>
      </x:c>
      <x:c r="J428" s="51"/>
      <x:c r="K428" s="51"/>
      <x:c r="L428" s="9" t="str">
        <x:f>IF(OR(J428="",K428=""),"",J428+K428)</x:f>
      </x:c>
      <x:c r="M428" s="9" t="str">
        <x:f>IF(L428="","",IF(L428&lt;=4,"UNDER","OVER"))</x:f>
      </x:c>
      <x:c r="N428" s="9" t="str">
        <x:f>IF(E428="","",IF(LEFT(E428,2)="DA","PARIU U347,5","NO BET"))</x:f>
      </x:c>
      <x:c r="O428" s="9" t="str">
        <x:f>IF(M428="","",IF(AM428="PARIU U347,5",IF(M428="UNDER","SUCCES","EȘEC"),IF(M428="UNDER","FALS NEGATIV","EVITARE CORECTĂ")))</x:f>
      </x:c>
      <x:c r="P428" s="9" t="str">
        <x:f>IF(M428="","",IF(M428="UNDER",1,0))</x:f>
      </x:c>
      <x:c r="Q428" s="9" t="str">
        <x:f>IF(P428="","",(G428-P428)^2)</x:f>
      </x:c>
      <x:c r="R428" s="9" t="str">
        <x:f>IF(L428="","",L428-F428)</x:f>
      </x:c>
      <x:c r="S428" s="9" t="str">
        <x:f>IF(L428="","",IF(M428="UNDER","U347,5 reușit; total final "&amp;L428&amp;" vs λ="&amp;TEXT(F428,"0.00")&amp;".","Eșec U347,5; total final "&amp;L428&amp;" vs λ="&amp;TEXT(F428,"0.00")&amp;". Revizuiește Tail Risk, sursa λ și calibrarea."))</x:f>
      </x:c>
      <x:c r="T428" s="51"/>
      <x:c r="U428" s="51"/>
      <x:c r="V428" s="51"/>
      <x:c r="W428" s="61"/>
      <x:c r="X428" s="61"/>
      <x:c r="Y428" s="51"/>
      <x:c r="Z428" s="53"/>
      <x:c r="AA428" s="51"/>
      <x:c r="AB428" s="64" t="str">
        <x:f>IF(AC428="","",AC428)</x:f>
      </x:c>
      <x:c r="AC428" s="67"/>
      <x:c r="AD428" s="69" t="str">
        <x:f>IF(AE428="","",AE428)</x:f>
      </x:c>
      <x:c r="AE428" s="71"/>
      <x:c r="AF428" s="73" t="str">
        <x:f>IF(AC428="","",1/AC428)</x:f>
      </x:c>
      <x:c r="AG428" s="61"/>
      <x:c r="AH428" s="61"/>
      <x:c r="AI428" s="64" t="str">
        <x:f>IF(OR(AC428="",AG428=""),"",AC428*AG428-1)</x:f>
      </x:c>
      <x:c r="AJ428" s="75" t="str">
        <x:f>IF(OR(G428="",F428=""),"",IF(AND(G428&gt;='Calibrare v2'!$B$35,F428&lt;='Calibrare v2'!$B$34),"PASS","FAIL"))</x:f>
      </x:c>
      <x:c r="AK428" s="75" t="str">
        <x:f>IF(AL428="","",AL428)</x:f>
      </x:c>
      <x:c r="AL428" s="77"/>
      <x:c r="AM428" s="77"/>
      <x:c r="AN428" s="64" t="str">
        <x:f>IF(OR(AC428="",P428=""),"",(AC428-P428)^2)</x:f>
      </x:c>
      <x:c r="AO428" s="64" t="str">
        <x:f>IF(OR(AG428="",AH428=""),"",AG428/AH428-1)</x:f>
      </x:c>
      <x:c r="AP428" s="61"/>
      <x:c r="AQ428" s="73" t="n">
        <x:f>IF(OR(AM428&lt;&gt;"PARIU U4,5",M428="",AP428="",AG428=""),0,IF(M428="UNDER",AP428*(AG428-1),-AP428))</x:f>
        <x:v>0</x:v>
      </x:c>
      <x:c r="AR428" s="51"/>
    </x:row>
    <x:row r="429">
      <x:c r="A429" s="9" t="str">
        <x:f>IF(D429="","",ROW()-1)</x:f>
      </x:c>
      <x:c r="B429" s="51"/>
      <x:c r="C429" s="51"/>
      <x:c r="D429" s="51"/>
      <x:c r="E429" s="9" t="str">
        <x:f>IF(D429="","",IF(AND(F429&lt;='Calibrare v2'!$B$33,G429&gt;=0.86),"DA – FEZABIL",IF(G429&gt;=0.8,"DA – PRUDENT","NU – EVITĂ")))</x:f>
      </x:c>
      <x:c r="F429" s="16" t="str">
        <x:f>IF(OR(W429="",X429=""),"",W429+X429)</x:f>
      </x:c>
      <x:c r="G429" s="28" t="str">
        <x:f>IF(F429="","",EXP(-F429)*(1+F429+F429^2/2+F429^3/6+F429^4/24))</x:f>
      </x:c>
      <x:c r="H429" s="53"/>
      <x:c r="I429" s="9" t="str">
        <x:f>IF(F429="","",IF(F429&lt;='Calibrare v2'!$B$33,"PASS","FAIL"))</x:f>
      </x:c>
      <x:c r="J429" s="51"/>
      <x:c r="K429" s="51"/>
      <x:c r="L429" s="9" t="str">
        <x:f>IF(OR(J429="",K429=""),"",J429+K429)</x:f>
      </x:c>
      <x:c r="M429" s="9" t="str">
        <x:f>IF(L429="","",IF(L429&lt;=4,"UNDER","OVER"))</x:f>
      </x:c>
      <x:c r="N429" s="9" t="str">
        <x:f>IF(E429="","",IF(LEFT(E429,2)="DA","PARIU U348,5","NO BET"))</x:f>
      </x:c>
      <x:c r="O429" s="9" t="str">
        <x:f>IF(M429="","",IF(AM429="PARIU U348,5",IF(M429="UNDER","SUCCES","EȘEC"),IF(M429="UNDER","FALS NEGATIV","EVITARE CORECTĂ")))</x:f>
      </x:c>
      <x:c r="P429" s="9" t="str">
        <x:f>IF(M429="","",IF(M429="UNDER",1,0))</x:f>
      </x:c>
      <x:c r="Q429" s="9" t="str">
        <x:f>IF(P429="","",(G429-P429)^2)</x:f>
      </x:c>
      <x:c r="R429" s="9" t="str">
        <x:f>IF(L429="","",L429-F429)</x:f>
      </x:c>
      <x:c r="S429" s="9" t="str">
        <x:f>IF(L429="","",IF(M429="UNDER","U348,5 reușit; total final "&amp;L429&amp;" vs λ="&amp;TEXT(F429,"0.00")&amp;".","Eșec U348,5; total final "&amp;L429&amp;" vs λ="&amp;TEXT(F429,"0.00")&amp;". Revizuiește Tail Risk, sursa λ și calibrarea."))</x:f>
      </x:c>
      <x:c r="T429" s="51"/>
      <x:c r="U429" s="51"/>
      <x:c r="V429" s="51"/>
      <x:c r="W429" s="61"/>
      <x:c r="X429" s="61"/>
      <x:c r="Y429" s="51"/>
      <x:c r="Z429" s="53"/>
      <x:c r="AA429" s="51"/>
      <x:c r="AB429" s="64" t="str">
        <x:f>IF(AC429="","",AC429)</x:f>
      </x:c>
      <x:c r="AC429" s="67"/>
      <x:c r="AD429" s="69" t="str">
        <x:f>IF(AE429="","",AE429)</x:f>
      </x:c>
      <x:c r="AE429" s="71"/>
      <x:c r="AF429" s="73" t="str">
        <x:f>IF(AC429="","",1/AC429)</x:f>
      </x:c>
      <x:c r="AG429" s="61"/>
      <x:c r="AH429" s="61"/>
      <x:c r="AI429" s="64" t="str">
        <x:f>IF(OR(AC429="",AG429=""),"",AC429*AG429-1)</x:f>
      </x:c>
      <x:c r="AJ429" s="75" t="str">
        <x:f>IF(OR(G429="",F429=""),"",IF(AND(G429&gt;='Calibrare v2'!$B$35,F429&lt;='Calibrare v2'!$B$34),"PASS","FAIL"))</x:f>
      </x:c>
      <x:c r="AK429" s="75" t="str">
        <x:f>IF(AL429="","",AL429)</x:f>
      </x:c>
      <x:c r="AL429" s="77"/>
      <x:c r="AM429" s="77"/>
      <x:c r="AN429" s="64" t="str">
        <x:f>IF(OR(AC429="",P429=""),"",(AC429-P429)^2)</x:f>
      </x:c>
      <x:c r="AO429" s="64" t="str">
        <x:f>IF(OR(AG429="",AH429=""),"",AG429/AH429-1)</x:f>
      </x:c>
      <x:c r="AP429" s="61"/>
      <x:c r="AQ429" s="73" t="n">
        <x:f>IF(OR(AM429&lt;&gt;"PARIU U4,5",M429="",AP429="",AG429=""),0,IF(M429="UNDER",AP429*(AG429-1),-AP429))</x:f>
        <x:v>0</x:v>
      </x:c>
      <x:c r="AR429" s="51"/>
    </x:row>
    <x:row r="430">
      <x:c r="A430" s="9" t="str">
        <x:f>IF(D430="","",ROW()-1)</x:f>
      </x:c>
      <x:c r="B430" s="51"/>
      <x:c r="C430" s="51"/>
      <x:c r="D430" s="51"/>
      <x:c r="E430" s="9" t="str">
        <x:f>IF(D430="","",IF(AND(F430&lt;='Calibrare v2'!$B$33,G430&gt;=0.86),"DA – FEZABIL",IF(G430&gt;=0.8,"DA – PRUDENT","NU – EVITĂ")))</x:f>
      </x:c>
      <x:c r="F430" s="16" t="str">
        <x:f>IF(OR(W430="",X430=""),"",W430+X430)</x:f>
      </x:c>
      <x:c r="G430" s="28" t="str">
        <x:f>IF(F430="","",EXP(-F430)*(1+F430+F430^2/2+F430^3/6+F430^4/24))</x:f>
      </x:c>
      <x:c r="H430" s="53"/>
      <x:c r="I430" s="9" t="str">
        <x:f>IF(F430="","",IF(F430&lt;='Calibrare v2'!$B$33,"PASS","FAIL"))</x:f>
      </x:c>
      <x:c r="J430" s="51"/>
      <x:c r="K430" s="51"/>
      <x:c r="L430" s="9" t="str">
        <x:f>IF(OR(J430="",K430=""),"",J430+K430)</x:f>
      </x:c>
      <x:c r="M430" s="9" t="str">
        <x:f>IF(L430="","",IF(L430&lt;=4,"UNDER","OVER"))</x:f>
      </x:c>
      <x:c r="N430" s="9" t="str">
        <x:f>IF(E430="","",IF(LEFT(E430,2)="DA","PARIU U349,5","NO BET"))</x:f>
      </x:c>
      <x:c r="O430" s="9" t="str">
        <x:f>IF(M430="","",IF(AM430="PARIU U349,5",IF(M430="UNDER","SUCCES","EȘEC"),IF(M430="UNDER","FALS NEGATIV","EVITARE CORECTĂ")))</x:f>
      </x:c>
      <x:c r="P430" s="9" t="str">
        <x:f>IF(M430="","",IF(M430="UNDER",1,0))</x:f>
      </x:c>
      <x:c r="Q430" s="9" t="str">
        <x:f>IF(P430="","",(G430-P430)^2)</x:f>
      </x:c>
      <x:c r="R430" s="9" t="str">
        <x:f>IF(L430="","",L430-F430)</x:f>
      </x:c>
      <x:c r="S430" s="9" t="str">
        <x:f>IF(L430="","",IF(M430="UNDER","U349,5 reușit; total final "&amp;L430&amp;" vs λ="&amp;TEXT(F430,"0.00")&amp;".","Eșec U349,5; total final "&amp;L430&amp;" vs λ="&amp;TEXT(F430,"0.00")&amp;". Revizuiește Tail Risk, sursa λ și calibrarea."))</x:f>
      </x:c>
      <x:c r="T430" s="51"/>
      <x:c r="U430" s="51"/>
      <x:c r="V430" s="51"/>
      <x:c r="W430" s="61"/>
      <x:c r="X430" s="61"/>
      <x:c r="Y430" s="51"/>
      <x:c r="Z430" s="53"/>
      <x:c r="AA430" s="51"/>
      <x:c r="AB430" s="64" t="str">
        <x:f>IF(AC430="","",AC430)</x:f>
      </x:c>
      <x:c r="AC430" s="67"/>
      <x:c r="AD430" s="69" t="str">
        <x:f>IF(AE430="","",AE430)</x:f>
      </x:c>
      <x:c r="AE430" s="71"/>
      <x:c r="AF430" s="73" t="str">
        <x:f>IF(AC430="","",1/AC430)</x:f>
      </x:c>
      <x:c r="AG430" s="61"/>
      <x:c r="AH430" s="61"/>
      <x:c r="AI430" s="64" t="str">
        <x:f>IF(OR(AC430="",AG430=""),"",AC430*AG430-1)</x:f>
      </x:c>
      <x:c r="AJ430" s="75" t="str">
        <x:f>IF(OR(G430="",F430=""),"",IF(AND(G430&gt;='Calibrare v2'!$B$35,F430&lt;='Calibrare v2'!$B$34),"PASS","FAIL"))</x:f>
      </x:c>
      <x:c r="AK430" s="75" t="str">
        <x:f>IF(AL430="","",AL430)</x:f>
      </x:c>
      <x:c r="AL430" s="77"/>
      <x:c r="AM430" s="77"/>
      <x:c r="AN430" s="64" t="str">
        <x:f>IF(OR(AC430="",P430=""),"",(AC430-P430)^2)</x:f>
      </x:c>
      <x:c r="AO430" s="64" t="str">
        <x:f>IF(OR(AG430="",AH430=""),"",AG430/AH430-1)</x:f>
      </x:c>
      <x:c r="AP430" s="61"/>
      <x:c r="AQ430" s="73" t="n">
        <x:f>IF(OR(AM430&lt;&gt;"PARIU U4,5",M430="",AP430="",AG430=""),0,IF(M430="UNDER",AP430*(AG430-1),-AP430))</x:f>
        <x:v>0</x:v>
      </x:c>
      <x:c r="AR430" s="51"/>
    </x:row>
    <x:row r="431">
      <x:c r="A431" s="9" t="str">
        <x:f>IF(D431="","",ROW()-1)</x:f>
      </x:c>
      <x:c r="B431" s="51"/>
      <x:c r="C431" s="51"/>
      <x:c r="D431" s="51"/>
      <x:c r="E431" s="9" t="str">
        <x:f>IF(D431="","",IF(AND(F431&lt;='Calibrare v2'!$B$33,G431&gt;=0.86),"DA – FEZABIL",IF(G431&gt;=0.8,"DA – PRUDENT","NU – EVITĂ")))</x:f>
      </x:c>
      <x:c r="F431" s="16" t="str">
        <x:f>IF(OR(W431="",X431=""),"",W431+X431)</x:f>
      </x:c>
      <x:c r="G431" s="28" t="str">
        <x:f>IF(F431="","",EXP(-F431)*(1+F431+F431^2/2+F431^3/6+F431^4/24))</x:f>
      </x:c>
      <x:c r="H431" s="53"/>
      <x:c r="I431" s="9" t="str">
        <x:f>IF(F431="","",IF(F431&lt;='Calibrare v2'!$B$33,"PASS","FAIL"))</x:f>
      </x:c>
      <x:c r="J431" s="51"/>
      <x:c r="K431" s="51"/>
      <x:c r="L431" s="9" t="str">
        <x:f>IF(OR(J431="",K431=""),"",J431+K431)</x:f>
      </x:c>
      <x:c r="M431" s="9" t="str">
        <x:f>IF(L431="","",IF(L431&lt;=4,"UNDER","OVER"))</x:f>
      </x:c>
      <x:c r="N431" s="9" t="str">
        <x:f>IF(E431="","",IF(LEFT(E431,2)="DA","PARIU U350,5","NO BET"))</x:f>
      </x:c>
      <x:c r="O431" s="9" t="str">
        <x:f>IF(M431="","",IF(AM431="PARIU U350,5",IF(M431="UNDER","SUCCES","EȘEC"),IF(M431="UNDER","FALS NEGATIV","EVITARE CORECTĂ")))</x:f>
      </x:c>
      <x:c r="P431" s="9" t="str">
        <x:f>IF(M431="","",IF(M431="UNDER",1,0))</x:f>
      </x:c>
      <x:c r="Q431" s="9" t="str">
        <x:f>IF(P431="","",(G431-P431)^2)</x:f>
      </x:c>
      <x:c r="R431" s="9" t="str">
        <x:f>IF(L431="","",L431-F431)</x:f>
      </x:c>
      <x:c r="S431" s="9" t="str">
        <x:f>IF(L431="","",IF(M431="UNDER","U350,5 reușit; total final "&amp;L431&amp;" vs λ="&amp;TEXT(F431,"0.00")&amp;".","Eșec U350,5; total final "&amp;L431&amp;" vs λ="&amp;TEXT(F431,"0.00")&amp;". Revizuiește Tail Risk, sursa λ și calibrarea."))</x:f>
      </x:c>
      <x:c r="T431" s="51"/>
      <x:c r="U431" s="51"/>
      <x:c r="V431" s="51"/>
      <x:c r="W431" s="61"/>
      <x:c r="X431" s="61"/>
      <x:c r="Y431" s="51"/>
      <x:c r="Z431" s="53"/>
      <x:c r="AA431" s="51"/>
      <x:c r="AB431" s="64" t="str">
        <x:f>IF(AC431="","",AC431)</x:f>
      </x:c>
      <x:c r="AC431" s="67"/>
      <x:c r="AD431" s="69" t="str">
        <x:f>IF(AE431="","",AE431)</x:f>
      </x:c>
      <x:c r="AE431" s="71"/>
      <x:c r="AF431" s="73" t="str">
        <x:f>IF(AC431="","",1/AC431)</x:f>
      </x:c>
      <x:c r="AG431" s="61"/>
      <x:c r="AH431" s="61"/>
      <x:c r="AI431" s="64" t="str">
        <x:f>IF(OR(AC431="",AG431=""),"",AC431*AG431-1)</x:f>
      </x:c>
      <x:c r="AJ431" s="75" t="str">
        <x:f>IF(OR(G431="",F431=""),"",IF(AND(G431&gt;='Calibrare v2'!$B$35,F431&lt;='Calibrare v2'!$B$34),"PASS","FAIL"))</x:f>
      </x:c>
      <x:c r="AK431" s="75" t="str">
        <x:f>IF(AL431="","",AL431)</x:f>
      </x:c>
      <x:c r="AL431" s="77"/>
      <x:c r="AM431" s="77"/>
      <x:c r="AN431" s="64" t="str">
        <x:f>IF(OR(AC431="",P431=""),"",(AC431-P431)^2)</x:f>
      </x:c>
      <x:c r="AO431" s="64" t="str">
        <x:f>IF(OR(AG431="",AH431=""),"",AG431/AH431-1)</x:f>
      </x:c>
      <x:c r="AP431" s="61"/>
      <x:c r="AQ431" s="73" t="n">
        <x:f>IF(OR(AM431&lt;&gt;"PARIU U4,5",M431="",AP431="",AG431=""),0,IF(M431="UNDER",AP431*(AG431-1),-AP431))</x:f>
        <x:v>0</x:v>
      </x:c>
      <x:c r="AR431" s="51"/>
    </x:row>
    <x:row r="432">
      <x:c r="A432" s="9" t="str">
        <x:f>IF(D432="","",ROW()-1)</x:f>
      </x:c>
      <x:c r="B432" s="51"/>
      <x:c r="C432" s="51"/>
      <x:c r="D432" s="51"/>
      <x:c r="E432" s="9" t="str">
        <x:f>IF(D432="","",IF(AND(F432&lt;='Calibrare v2'!$B$33,G432&gt;=0.86),"DA – FEZABIL",IF(G432&gt;=0.8,"DA – PRUDENT","NU – EVITĂ")))</x:f>
      </x:c>
      <x:c r="F432" s="16" t="str">
        <x:f>IF(OR(W432="",X432=""),"",W432+X432)</x:f>
      </x:c>
      <x:c r="G432" s="28" t="str">
        <x:f>IF(F432="","",EXP(-F432)*(1+F432+F432^2/2+F432^3/6+F432^4/24))</x:f>
      </x:c>
      <x:c r="H432" s="53"/>
      <x:c r="I432" s="9" t="str">
        <x:f>IF(F432="","",IF(F432&lt;='Calibrare v2'!$B$33,"PASS","FAIL"))</x:f>
      </x:c>
      <x:c r="J432" s="51"/>
      <x:c r="K432" s="51"/>
      <x:c r="L432" s="9" t="str">
        <x:f>IF(OR(J432="",K432=""),"",J432+K432)</x:f>
      </x:c>
      <x:c r="M432" s="9" t="str">
        <x:f>IF(L432="","",IF(L432&lt;=4,"UNDER","OVER"))</x:f>
      </x:c>
      <x:c r="N432" s="9" t="str">
        <x:f>IF(E432="","",IF(LEFT(E432,2)="DA","PARIU U351,5","NO BET"))</x:f>
      </x:c>
      <x:c r="O432" s="9" t="str">
        <x:f>IF(M432="","",IF(AM432="PARIU U351,5",IF(M432="UNDER","SUCCES","EȘEC"),IF(M432="UNDER","FALS NEGATIV","EVITARE CORECTĂ")))</x:f>
      </x:c>
      <x:c r="P432" s="9" t="str">
        <x:f>IF(M432="","",IF(M432="UNDER",1,0))</x:f>
      </x:c>
      <x:c r="Q432" s="9" t="str">
        <x:f>IF(P432="","",(G432-P432)^2)</x:f>
      </x:c>
      <x:c r="R432" s="9" t="str">
        <x:f>IF(L432="","",L432-F432)</x:f>
      </x:c>
      <x:c r="S432" s="9" t="str">
        <x:f>IF(L432="","",IF(M432="UNDER","U351,5 reușit; total final "&amp;L432&amp;" vs λ="&amp;TEXT(F432,"0.00")&amp;".","Eșec U351,5; total final "&amp;L432&amp;" vs λ="&amp;TEXT(F432,"0.00")&amp;". Revizuiește Tail Risk, sursa λ și calibrarea."))</x:f>
      </x:c>
      <x:c r="T432" s="51"/>
      <x:c r="U432" s="51"/>
      <x:c r="V432" s="51"/>
      <x:c r="W432" s="61"/>
      <x:c r="X432" s="61"/>
      <x:c r="Y432" s="51"/>
      <x:c r="Z432" s="53"/>
      <x:c r="AA432" s="51"/>
      <x:c r="AB432" s="64" t="str">
        <x:f>IF(AC432="","",AC432)</x:f>
      </x:c>
      <x:c r="AC432" s="67"/>
      <x:c r="AD432" s="69" t="str">
        <x:f>IF(AE432="","",AE432)</x:f>
      </x:c>
      <x:c r="AE432" s="71"/>
      <x:c r="AF432" s="73" t="str">
        <x:f>IF(AC432="","",1/AC432)</x:f>
      </x:c>
      <x:c r="AG432" s="61"/>
      <x:c r="AH432" s="61"/>
      <x:c r="AI432" s="64" t="str">
        <x:f>IF(OR(AC432="",AG432=""),"",AC432*AG432-1)</x:f>
      </x:c>
      <x:c r="AJ432" s="75" t="str">
        <x:f>IF(OR(G432="",F432=""),"",IF(AND(G432&gt;='Calibrare v2'!$B$35,F432&lt;='Calibrare v2'!$B$34),"PASS","FAIL"))</x:f>
      </x:c>
      <x:c r="AK432" s="75" t="str">
        <x:f>IF(AL432="","",AL432)</x:f>
      </x:c>
      <x:c r="AL432" s="77"/>
      <x:c r="AM432" s="77"/>
      <x:c r="AN432" s="64" t="str">
        <x:f>IF(OR(AC432="",P432=""),"",(AC432-P432)^2)</x:f>
      </x:c>
      <x:c r="AO432" s="64" t="str">
        <x:f>IF(OR(AG432="",AH432=""),"",AG432/AH432-1)</x:f>
      </x:c>
      <x:c r="AP432" s="61"/>
      <x:c r="AQ432" s="73" t="n">
        <x:f>IF(OR(AM432&lt;&gt;"PARIU U4,5",M432="",AP432="",AG432=""),0,IF(M432="UNDER",AP432*(AG432-1),-AP432))</x:f>
        <x:v>0</x:v>
      </x:c>
      <x:c r="AR432" s="51"/>
    </x:row>
    <x:row r="433">
      <x:c r="A433" s="9" t="str">
        <x:f>IF(D433="","",ROW()-1)</x:f>
      </x:c>
      <x:c r="B433" s="51"/>
      <x:c r="C433" s="51"/>
      <x:c r="D433" s="51"/>
      <x:c r="E433" s="9" t="str">
        <x:f>IF(D433="","",IF(AND(F433&lt;='Calibrare v2'!$B$33,G433&gt;=0.86),"DA – FEZABIL",IF(G433&gt;=0.8,"DA – PRUDENT","NU – EVITĂ")))</x:f>
      </x:c>
      <x:c r="F433" s="16" t="str">
        <x:f>IF(OR(W433="",X433=""),"",W433+X433)</x:f>
      </x:c>
      <x:c r="G433" s="28" t="str">
        <x:f>IF(F433="","",EXP(-F433)*(1+F433+F433^2/2+F433^3/6+F433^4/24))</x:f>
      </x:c>
      <x:c r="H433" s="53"/>
      <x:c r="I433" s="9" t="str">
        <x:f>IF(F433="","",IF(F433&lt;='Calibrare v2'!$B$33,"PASS","FAIL"))</x:f>
      </x:c>
      <x:c r="J433" s="51"/>
      <x:c r="K433" s="51"/>
      <x:c r="L433" s="9" t="str">
        <x:f>IF(OR(J433="",K433=""),"",J433+K433)</x:f>
      </x:c>
      <x:c r="M433" s="9" t="str">
        <x:f>IF(L433="","",IF(L433&lt;=4,"UNDER","OVER"))</x:f>
      </x:c>
      <x:c r="N433" s="9" t="str">
        <x:f>IF(E433="","",IF(LEFT(E433,2)="DA","PARIU U352,5","NO BET"))</x:f>
      </x:c>
      <x:c r="O433" s="9" t="str">
        <x:f>IF(M433="","",IF(AM433="PARIU U352,5",IF(M433="UNDER","SUCCES","EȘEC"),IF(M433="UNDER","FALS NEGATIV","EVITARE CORECTĂ")))</x:f>
      </x:c>
      <x:c r="P433" s="9" t="str">
        <x:f>IF(M433="","",IF(M433="UNDER",1,0))</x:f>
      </x:c>
      <x:c r="Q433" s="9" t="str">
        <x:f>IF(P433="","",(G433-P433)^2)</x:f>
      </x:c>
      <x:c r="R433" s="9" t="str">
        <x:f>IF(L433="","",L433-F433)</x:f>
      </x:c>
      <x:c r="S433" s="9" t="str">
        <x:f>IF(L433="","",IF(M433="UNDER","U352,5 reușit; total final "&amp;L433&amp;" vs λ="&amp;TEXT(F433,"0.00")&amp;".","Eșec U352,5; total final "&amp;L433&amp;" vs λ="&amp;TEXT(F433,"0.00")&amp;". Revizuiește Tail Risk, sursa λ și calibrarea."))</x:f>
      </x:c>
      <x:c r="T433" s="51"/>
      <x:c r="U433" s="51"/>
      <x:c r="V433" s="51"/>
      <x:c r="W433" s="61"/>
      <x:c r="X433" s="61"/>
      <x:c r="Y433" s="51"/>
      <x:c r="Z433" s="53"/>
      <x:c r="AA433" s="51"/>
      <x:c r="AB433" s="64" t="str">
        <x:f>IF(AC433="","",AC433)</x:f>
      </x:c>
      <x:c r="AC433" s="67"/>
      <x:c r="AD433" s="69" t="str">
        <x:f>IF(AE433="","",AE433)</x:f>
      </x:c>
      <x:c r="AE433" s="71"/>
      <x:c r="AF433" s="73" t="str">
        <x:f>IF(AC433="","",1/AC433)</x:f>
      </x:c>
      <x:c r="AG433" s="61"/>
      <x:c r="AH433" s="61"/>
      <x:c r="AI433" s="64" t="str">
        <x:f>IF(OR(AC433="",AG433=""),"",AC433*AG433-1)</x:f>
      </x:c>
      <x:c r="AJ433" s="75" t="str">
        <x:f>IF(OR(G433="",F433=""),"",IF(AND(G433&gt;='Calibrare v2'!$B$35,F433&lt;='Calibrare v2'!$B$34),"PASS","FAIL"))</x:f>
      </x:c>
      <x:c r="AK433" s="75" t="str">
        <x:f>IF(AL433="","",AL433)</x:f>
      </x:c>
      <x:c r="AL433" s="77"/>
      <x:c r="AM433" s="77"/>
      <x:c r="AN433" s="64" t="str">
        <x:f>IF(OR(AC433="",P433=""),"",(AC433-P433)^2)</x:f>
      </x:c>
      <x:c r="AO433" s="64" t="str">
        <x:f>IF(OR(AG433="",AH433=""),"",AG433/AH433-1)</x:f>
      </x:c>
      <x:c r="AP433" s="61"/>
      <x:c r="AQ433" s="73" t="n">
        <x:f>IF(OR(AM433&lt;&gt;"PARIU U4,5",M433="",AP433="",AG433=""),0,IF(M433="UNDER",AP433*(AG433-1),-AP433))</x:f>
        <x:v>0</x:v>
      </x:c>
      <x:c r="AR433" s="51"/>
    </x:row>
    <x:row r="434">
      <x:c r="A434" s="9" t="str">
        <x:f>IF(D434="","",ROW()-1)</x:f>
      </x:c>
      <x:c r="B434" s="51"/>
      <x:c r="C434" s="51"/>
      <x:c r="D434" s="51"/>
      <x:c r="E434" s="9" t="str">
        <x:f>IF(D434="","",IF(AND(F434&lt;='Calibrare v2'!$B$33,G434&gt;=0.86),"DA – FEZABIL",IF(G434&gt;=0.8,"DA – PRUDENT","NU – EVITĂ")))</x:f>
      </x:c>
      <x:c r="F434" s="16" t="str">
        <x:f>IF(OR(W434="",X434=""),"",W434+X434)</x:f>
      </x:c>
      <x:c r="G434" s="28" t="str">
        <x:f>IF(F434="","",EXP(-F434)*(1+F434+F434^2/2+F434^3/6+F434^4/24))</x:f>
      </x:c>
      <x:c r="H434" s="53"/>
      <x:c r="I434" s="9" t="str">
        <x:f>IF(F434="","",IF(F434&lt;='Calibrare v2'!$B$33,"PASS","FAIL"))</x:f>
      </x:c>
      <x:c r="J434" s="51"/>
      <x:c r="K434" s="51"/>
      <x:c r="L434" s="9" t="str">
        <x:f>IF(OR(J434="",K434=""),"",J434+K434)</x:f>
      </x:c>
      <x:c r="M434" s="9" t="str">
        <x:f>IF(L434="","",IF(L434&lt;=4,"UNDER","OVER"))</x:f>
      </x:c>
      <x:c r="N434" s="9" t="str">
        <x:f>IF(E434="","",IF(LEFT(E434,2)="DA","PARIU U353,5","NO BET"))</x:f>
      </x:c>
      <x:c r="O434" s="9" t="str">
        <x:f>IF(M434="","",IF(AM434="PARIU U353,5",IF(M434="UNDER","SUCCES","EȘEC"),IF(M434="UNDER","FALS NEGATIV","EVITARE CORECTĂ")))</x:f>
      </x:c>
      <x:c r="P434" s="9" t="str">
        <x:f>IF(M434="","",IF(M434="UNDER",1,0))</x:f>
      </x:c>
      <x:c r="Q434" s="9" t="str">
        <x:f>IF(P434="","",(G434-P434)^2)</x:f>
      </x:c>
      <x:c r="R434" s="9" t="str">
        <x:f>IF(L434="","",L434-F434)</x:f>
      </x:c>
      <x:c r="S434" s="9" t="str">
        <x:f>IF(L434="","",IF(M434="UNDER","U353,5 reușit; total final "&amp;L434&amp;" vs λ="&amp;TEXT(F434,"0.00")&amp;".","Eșec U353,5; total final "&amp;L434&amp;" vs λ="&amp;TEXT(F434,"0.00")&amp;". Revizuiește Tail Risk, sursa λ și calibrarea."))</x:f>
      </x:c>
      <x:c r="T434" s="51"/>
      <x:c r="U434" s="51"/>
      <x:c r="V434" s="51"/>
      <x:c r="W434" s="61"/>
      <x:c r="X434" s="61"/>
      <x:c r="Y434" s="51"/>
      <x:c r="Z434" s="53"/>
      <x:c r="AA434" s="51"/>
      <x:c r="AB434" s="64" t="str">
        <x:f>IF(AC434="","",AC434)</x:f>
      </x:c>
      <x:c r="AC434" s="67"/>
      <x:c r="AD434" s="69" t="str">
        <x:f>IF(AE434="","",AE434)</x:f>
      </x:c>
      <x:c r="AE434" s="71"/>
      <x:c r="AF434" s="73" t="str">
        <x:f>IF(AC434="","",1/AC434)</x:f>
      </x:c>
      <x:c r="AG434" s="61"/>
      <x:c r="AH434" s="61"/>
      <x:c r="AI434" s="64" t="str">
        <x:f>IF(OR(AC434="",AG434=""),"",AC434*AG434-1)</x:f>
      </x:c>
      <x:c r="AJ434" s="75" t="str">
        <x:f>IF(OR(G434="",F434=""),"",IF(AND(G434&gt;='Calibrare v2'!$B$35,F434&lt;='Calibrare v2'!$B$34),"PASS","FAIL"))</x:f>
      </x:c>
      <x:c r="AK434" s="75" t="str">
        <x:f>IF(AL434="","",AL434)</x:f>
      </x:c>
      <x:c r="AL434" s="77"/>
      <x:c r="AM434" s="77"/>
      <x:c r="AN434" s="64" t="str">
        <x:f>IF(OR(AC434="",P434=""),"",(AC434-P434)^2)</x:f>
      </x:c>
      <x:c r="AO434" s="64" t="str">
        <x:f>IF(OR(AG434="",AH434=""),"",AG434/AH434-1)</x:f>
      </x:c>
      <x:c r="AP434" s="61"/>
      <x:c r="AQ434" s="73" t="n">
        <x:f>IF(OR(AM434&lt;&gt;"PARIU U4,5",M434="",AP434="",AG434=""),0,IF(M434="UNDER",AP434*(AG434-1),-AP434))</x:f>
        <x:v>0</x:v>
      </x:c>
      <x:c r="AR434" s="51"/>
    </x:row>
    <x:row r="435">
      <x:c r="A435" s="9" t="str">
        <x:f>IF(D435="","",ROW()-1)</x:f>
      </x:c>
      <x:c r="B435" s="51"/>
      <x:c r="C435" s="51"/>
      <x:c r="D435" s="51"/>
      <x:c r="E435" s="9" t="str">
        <x:f>IF(D435="","",IF(AND(F435&lt;='Calibrare v2'!$B$33,G435&gt;=0.86),"DA – FEZABIL",IF(G435&gt;=0.8,"DA – PRUDENT","NU – EVITĂ")))</x:f>
      </x:c>
      <x:c r="F435" s="16" t="str">
        <x:f>IF(OR(W435="",X435=""),"",W435+X435)</x:f>
      </x:c>
      <x:c r="G435" s="28" t="str">
        <x:f>IF(F435="","",EXP(-F435)*(1+F435+F435^2/2+F435^3/6+F435^4/24))</x:f>
      </x:c>
      <x:c r="H435" s="53"/>
      <x:c r="I435" s="9" t="str">
        <x:f>IF(F435="","",IF(F435&lt;='Calibrare v2'!$B$33,"PASS","FAIL"))</x:f>
      </x:c>
      <x:c r="J435" s="51"/>
      <x:c r="K435" s="51"/>
      <x:c r="L435" s="9" t="str">
        <x:f>IF(OR(J435="",K435=""),"",J435+K435)</x:f>
      </x:c>
      <x:c r="M435" s="9" t="str">
        <x:f>IF(L435="","",IF(L435&lt;=4,"UNDER","OVER"))</x:f>
      </x:c>
      <x:c r="N435" s="9" t="str">
        <x:f>IF(E435="","",IF(LEFT(E435,2)="DA","PARIU U354,5","NO BET"))</x:f>
      </x:c>
      <x:c r="O435" s="9" t="str">
        <x:f>IF(M435="","",IF(AM435="PARIU U354,5",IF(M435="UNDER","SUCCES","EȘEC"),IF(M435="UNDER","FALS NEGATIV","EVITARE CORECTĂ")))</x:f>
      </x:c>
      <x:c r="P435" s="9" t="str">
        <x:f>IF(M435="","",IF(M435="UNDER",1,0))</x:f>
      </x:c>
      <x:c r="Q435" s="9" t="str">
        <x:f>IF(P435="","",(G435-P435)^2)</x:f>
      </x:c>
      <x:c r="R435" s="9" t="str">
        <x:f>IF(L435="","",L435-F435)</x:f>
      </x:c>
      <x:c r="S435" s="9" t="str">
        <x:f>IF(L435="","",IF(M435="UNDER","U354,5 reușit; total final "&amp;L435&amp;" vs λ="&amp;TEXT(F435,"0.00")&amp;".","Eșec U354,5; total final "&amp;L435&amp;" vs λ="&amp;TEXT(F435,"0.00")&amp;". Revizuiește Tail Risk, sursa λ și calibrarea."))</x:f>
      </x:c>
      <x:c r="T435" s="51"/>
      <x:c r="U435" s="51"/>
      <x:c r="V435" s="51"/>
      <x:c r="W435" s="61"/>
      <x:c r="X435" s="61"/>
      <x:c r="Y435" s="51"/>
      <x:c r="Z435" s="53"/>
      <x:c r="AA435" s="51"/>
      <x:c r="AB435" s="64" t="str">
        <x:f>IF(AC435="","",AC435)</x:f>
      </x:c>
      <x:c r="AC435" s="67"/>
      <x:c r="AD435" s="69" t="str">
        <x:f>IF(AE435="","",AE435)</x:f>
      </x:c>
      <x:c r="AE435" s="71"/>
      <x:c r="AF435" s="73" t="str">
        <x:f>IF(AC435="","",1/AC435)</x:f>
      </x:c>
      <x:c r="AG435" s="61"/>
      <x:c r="AH435" s="61"/>
      <x:c r="AI435" s="64" t="str">
        <x:f>IF(OR(AC435="",AG435=""),"",AC435*AG435-1)</x:f>
      </x:c>
      <x:c r="AJ435" s="75" t="str">
        <x:f>IF(OR(G435="",F435=""),"",IF(AND(G435&gt;='Calibrare v2'!$B$35,F435&lt;='Calibrare v2'!$B$34),"PASS","FAIL"))</x:f>
      </x:c>
      <x:c r="AK435" s="75" t="str">
        <x:f>IF(AL435="","",AL435)</x:f>
      </x:c>
      <x:c r="AL435" s="77"/>
      <x:c r="AM435" s="77"/>
      <x:c r="AN435" s="64" t="str">
        <x:f>IF(OR(AC435="",P435=""),"",(AC435-P435)^2)</x:f>
      </x:c>
      <x:c r="AO435" s="64" t="str">
        <x:f>IF(OR(AG435="",AH435=""),"",AG435/AH435-1)</x:f>
      </x:c>
      <x:c r="AP435" s="61"/>
      <x:c r="AQ435" s="73" t="n">
        <x:f>IF(OR(AM435&lt;&gt;"PARIU U4,5",M435="",AP435="",AG435=""),0,IF(M435="UNDER",AP435*(AG435-1),-AP435))</x:f>
        <x:v>0</x:v>
      </x:c>
      <x:c r="AR435" s="51"/>
    </x:row>
    <x:row r="436">
      <x:c r="A436" s="9" t="str">
        <x:f>IF(D436="","",ROW()-1)</x:f>
      </x:c>
      <x:c r="B436" s="51"/>
      <x:c r="C436" s="51"/>
      <x:c r="D436" s="51"/>
      <x:c r="E436" s="9" t="str">
        <x:f>IF(D436="","",IF(AND(F436&lt;='Calibrare v2'!$B$33,G436&gt;=0.86),"DA – FEZABIL",IF(G436&gt;=0.8,"DA – PRUDENT","NU – EVITĂ")))</x:f>
      </x:c>
      <x:c r="F436" s="16" t="str">
        <x:f>IF(OR(W436="",X436=""),"",W436+X436)</x:f>
      </x:c>
      <x:c r="G436" s="28" t="str">
        <x:f>IF(F436="","",EXP(-F436)*(1+F436+F436^2/2+F436^3/6+F436^4/24))</x:f>
      </x:c>
      <x:c r="H436" s="53"/>
      <x:c r="I436" s="9" t="str">
        <x:f>IF(F436="","",IF(F436&lt;='Calibrare v2'!$B$33,"PASS","FAIL"))</x:f>
      </x:c>
      <x:c r="J436" s="51"/>
      <x:c r="K436" s="51"/>
      <x:c r="L436" s="9" t="str">
        <x:f>IF(OR(J436="",K436=""),"",J436+K436)</x:f>
      </x:c>
      <x:c r="M436" s="9" t="str">
        <x:f>IF(L436="","",IF(L436&lt;=4,"UNDER","OVER"))</x:f>
      </x:c>
      <x:c r="N436" s="9" t="str">
        <x:f>IF(E436="","",IF(LEFT(E436,2)="DA","PARIU U355,5","NO BET"))</x:f>
      </x:c>
      <x:c r="O436" s="9" t="str">
        <x:f>IF(M436="","",IF(AM436="PARIU U355,5",IF(M436="UNDER","SUCCES","EȘEC"),IF(M436="UNDER","FALS NEGATIV","EVITARE CORECTĂ")))</x:f>
      </x:c>
      <x:c r="P436" s="9" t="str">
        <x:f>IF(M436="","",IF(M436="UNDER",1,0))</x:f>
      </x:c>
      <x:c r="Q436" s="9" t="str">
        <x:f>IF(P436="","",(G436-P436)^2)</x:f>
      </x:c>
      <x:c r="R436" s="9" t="str">
        <x:f>IF(L436="","",L436-F436)</x:f>
      </x:c>
      <x:c r="S436" s="9" t="str">
        <x:f>IF(L436="","",IF(M436="UNDER","U355,5 reușit; total final "&amp;L436&amp;" vs λ="&amp;TEXT(F436,"0.00")&amp;".","Eșec U355,5; total final "&amp;L436&amp;" vs λ="&amp;TEXT(F436,"0.00")&amp;". Revizuiește Tail Risk, sursa λ și calibrarea."))</x:f>
      </x:c>
      <x:c r="T436" s="51"/>
      <x:c r="U436" s="51"/>
      <x:c r="V436" s="51"/>
      <x:c r="W436" s="61"/>
      <x:c r="X436" s="61"/>
      <x:c r="Y436" s="51"/>
      <x:c r="Z436" s="53"/>
      <x:c r="AA436" s="51"/>
      <x:c r="AB436" s="64" t="str">
        <x:f>IF(AC436="","",AC436)</x:f>
      </x:c>
      <x:c r="AC436" s="67"/>
      <x:c r="AD436" s="69" t="str">
        <x:f>IF(AE436="","",AE436)</x:f>
      </x:c>
      <x:c r="AE436" s="71"/>
      <x:c r="AF436" s="73" t="str">
        <x:f>IF(AC436="","",1/AC436)</x:f>
      </x:c>
      <x:c r="AG436" s="61"/>
      <x:c r="AH436" s="61"/>
      <x:c r="AI436" s="64" t="str">
        <x:f>IF(OR(AC436="",AG436=""),"",AC436*AG436-1)</x:f>
      </x:c>
      <x:c r="AJ436" s="75" t="str">
        <x:f>IF(OR(G436="",F436=""),"",IF(AND(G436&gt;='Calibrare v2'!$B$35,F436&lt;='Calibrare v2'!$B$34),"PASS","FAIL"))</x:f>
      </x:c>
      <x:c r="AK436" s="75" t="str">
        <x:f>IF(AL436="","",AL436)</x:f>
      </x:c>
      <x:c r="AL436" s="77"/>
      <x:c r="AM436" s="77"/>
      <x:c r="AN436" s="64" t="str">
        <x:f>IF(OR(AC436="",P436=""),"",(AC436-P436)^2)</x:f>
      </x:c>
      <x:c r="AO436" s="64" t="str">
        <x:f>IF(OR(AG436="",AH436=""),"",AG436/AH436-1)</x:f>
      </x:c>
      <x:c r="AP436" s="61"/>
      <x:c r="AQ436" s="73" t="n">
        <x:f>IF(OR(AM436&lt;&gt;"PARIU U4,5",M436="",AP436="",AG436=""),0,IF(M436="UNDER",AP436*(AG436-1),-AP436))</x:f>
        <x:v>0</x:v>
      </x:c>
      <x:c r="AR436" s="51"/>
    </x:row>
    <x:row r="437">
      <x:c r="A437" s="9" t="str">
        <x:f>IF(D437="","",ROW()-1)</x:f>
      </x:c>
      <x:c r="B437" s="51"/>
      <x:c r="C437" s="51"/>
      <x:c r="D437" s="51"/>
      <x:c r="E437" s="9" t="str">
        <x:f>IF(D437="","",IF(AND(F437&lt;='Calibrare v2'!$B$33,G437&gt;=0.86),"DA – FEZABIL",IF(G437&gt;=0.8,"DA – PRUDENT","NU – EVITĂ")))</x:f>
      </x:c>
      <x:c r="F437" s="16" t="str">
        <x:f>IF(OR(W437="",X437=""),"",W437+X437)</x:f>
      </x:c>
      <x:c r="G437" s="28" t="str">
        <x:f>IF(F437="","",EXP(-F437)*(1+F437+F437^2/2+F437^3/6+F437^4/24))</x:f>
      </x:c>
      <x:c r="H437" s="53"/>
      <x:c r="I437" s="9" t="str">
        <x:f>IF(F437="","",IF(F437&lt;='Calibrare v2'!$B$33,"PASS","FAIL"))</x:f>
      </x:c>
      <x:c r="J437" s="51"/>
      <x:c r="K437" s="51"/>
      <x:c r="L437" s="9" t="str">
        <x:f>IF(OR(J437="",K437=""),"",J437+K437)</x:f>
      </x:c>
      <x:c r="M437" s="9" t="str">
        <x:f>IF(L437="","",IF(L437&lt;=4,"UNDER","OVER"))</x:f>
      </x:c>
      <x:c r="N437" s="9" t="str">
        <x:f>IF(E437="","",IF(LEFT(E437,2)="DA","PARIU U356,5","NO BET"))</x:f>
      </x:c>
      <x:c r="O437" s="9" t="str">
        <x:f>IF(M437="","",IF(AM437="PARIU U356,5",IF(M437="UNDER","SUCCES","EȘEC"),IF(M437="UNDER","FALS NEGATIV","EVITARE CORECTĂ")))</x:f>
      </x:c>
      <x:c r="P437" s="9" t="str">
        <x:f>IF(M437="","",IF(M437="UNDER",1,0))</x:f>
      </x:c>
      <x:c r="Q437" s="9" t="str">
        <x:f>IF(P437="","",(G437-P437)^2)</x:f>
      </x:c>
      <x:c r="R437" s="9" t="str">
        <x:f>IF(L437="","",L437-F437)</x:f>
      </x:c>
      <x:c r="S437" s="9" t="str">
        <x:f>IF(L437="","",IF(M437="UNDER","U356,5 reușit; total final "&amp;L437&amp;" vs λ="&amp;TEXT(F437,"0.00")&amp;".","Eșec U356,5; total final "&amp;L437&amp;" vs λ="&amp;TEXT(F437,"0.00")&amp;". Revizuiește Tail Risk, sursa λ și calibrarea."))</x:f>
      </x:c>
      <x:c r="T437" s="51"/>
      <x:c r="U437" s="51"/>
      <x:c r="V437" s="51"/>
      <x:c r="W437" s="61"/>
      <x:c r="X437" s="61"/>
      <x:c r="Y437" s="51"/>
      <x:c r="Z437" s="53"/>
      <x:c r="AA437" s="51"/>
      <x:c r="AB437" s="64" t="str">
        <x:f>IF(AC437="","",AC437)</x:f>
      </x:c>
      <x:c r="AC437" s="67"/>
      <x:c r="AD437" s="69" t="str">
        <x:f>IF(AE437="","",AE437)</x:f>
      </x:c>
      <x:c r="AE437" s="71"/>
      <x:c r="AF437" s="73" t="str">
        <x:f>IF(AC437="","",1/AC437)</x:f>
      </x:c>
      <x:c r="AG437" s="61"/>
      <x:c r="AH437" s="61"/>
      <x:c r="AI437" s="64" t="str">
        <x:f>IF(OR(AC437="",AG437=""),"",AC437*AG437-1)</x:f>
      </x:c>
      <x:c r="AJ437" s="75" t="str">
        <x:f>IF(OR(G437="",F437=""),"",IF(AND(G437&gt;='Calibrare v2'!$B$35,F437&lt;='Calibrare v2'!$B$34),"PASS","FAIL"))</x:f>
      </x:c>
      <x:c r="AK437" s="75" t="str">
        <x:f>IF(AL437="","",AL437)</x:f>
      </x:c>
      <x:c r="AL437" s="77"/>
      <x:c r="AM437" s="77"/>
      <x:c r="AN437" s="64" t="str">
        <x:f>IF(OR(AC437="",P437=""),"",(AC437-P437)^2)</x:f>
      </x:c>
      <x:c r="AO437" s="64" t="str">
        <x:f>IF(OR(AG437="",AH437=""),"",AG437/AH437-1)</x:f>
      </x:c>
      <x:c r="AP437" s="61"/>
      <x:c r="AQ437" s="73" t="n">
        <x:f>IF(OR(AM437&lt;&gt;"PARIU U4,5",M437="",AP437="",AG437=""),0,IF(M437="UNDER",AP437*(AG437-1),-AP437))</x:f>
        <x:v>0</x:v>
      </x:c>
      <x:c r="AR437" s="51"/>
    </x:row>
    <x:row r="438">
      <x:c r="A438" s="9" t="str">
        <x:f>IF(D438="","",ROW()-1)</x:f>
      </x:c>
      <x:c r="B438" s="51"/>
      <x:c r="C438" s="51"/>
      <x:c r="D438" s="51"/>
      <x:c r="E438" s="9" t="str">
        <x:f>IF(D438="","",IF(AND(F438&lt;='Calibrare v2'!$B$33,G438&gt;=0.86),"DA – FEZABIL",IF(G438&gt;=0.8,"DA – PRUDENT","NU – EVITĂ")))</x:f>
      </x:c>
      <x:c r="F438" s="16" t="str">
        <x:f>IF(OR(W438="",X438=""),"",W438+X438)</x:f>
      </x:c>
      <x:c r="G438" s="28" t="str">
        <x:f>IF(F438="","",EXP(-F438)*(1+F438+F438^2/2+F438^3/6+F438^4/24))</x:f>
      </x:c>
      <x:c r="H438" s="53"/>
      <x:c r="I438" s="9" t="str">
        <x:f>IF(F438="","",IF(F438&lt;='Calibrare v2'!$B$33,"PASS","FAIL"))</x:f>
      </x:c>
      <x:c r="J438" s="51"/>
      <x:c r="K438" s="51"/>
      <x:c r="L438" s="9" t="str">
        <x:f>IF(OR(J438="",K438=""),"",J438+K438)</x:f>
      </x:c>
      <x:c r="M438" s="9" t="str">
        <x:f>IF(L438="","",IF(L438&lt;=4,"UNDER","OVER"))</x:f>
      </x:c>
      <x:c r="N438" s="9" t="str">
        <x:f>IF(E438="","",IF(LEFT(E438,2)="DA","PARIU U357,5","NO BET"))</x:f>
      </x:c>
      <x:c r="O438" s="9" t="str">
        <x:f>IF(M438="","",IF(AM438="PARIU U357,5",IF(M438="UNDER","SUCCES","EȘEC"),IF(M438="UNDER","FALS NEGATIV","EVITARE CORECTĂ")))</x:f>
      </x:c>
      <x:c r="P438" s="9" t="str">
        <x:f>IF(M438="","",IF(M438="UNDER",1,0))</x:f>
      </x:c>
      <x:c r="Q438" s="9" t="str">
        <x:f>IF(P438="","",(G438-P438)^2)</x:f>
      </x:c>
      <x:c r="R438" s="9" t="str">
        <x:f>IF(L438="","",L438-F438)</x:f>
      </x:c>
      <x:c r="S438" s="9" t="str">
        <x:f>IF(L438="","",IF(M438="UNDER","U357,5 reușit; total final "&amp;L438&amp;" vs λ="&amp;TEXT(F438,"0.00")&amp;".","Eșec U357,5; total final "&amp;L438&amp;" vs λ="&amp;TEXT(F438,"0.00")&amp;". Revizuiește Tail Risk, sursa λ și calibrarea."))</x:f>
      </x:c>
      <x:c r="T438" s="51"/>
      <x:c r="U438" s="51"/>
      <x:c r="V438" s="51"/>
      <x:c r="W438" s="61"/>
      <x:c r="X438" s="61"/>
      <x:c r="Y438" s="51"/>
      <x:c r="Z438" s="53"/>
      <x:c r="AA438" s="51"/>
      <x:c r="AB438" s="64" t="str">
        <x:f>IF(AC438="","",AC438)</x:f>
      </x:c>
      <x:c r="AC438" s="67"/>
      <x:c r="AD438" s="69" t="str">
        <x:f>IF(AE438="","",AE438)</x:f>
      </x:c>
      <x:c r="AE438" s="71"/>
      <x:c r="AF438" s="73" t="str">
        <x:f>IF(AC438="","",1/AC438)</x:f>
      </x:c>
      <x:c r="AG438" s="61"/>
      <x:c r="AH438" s="61"/>
      <x:c r="AI438" s="64" t="str">
        <x:f>IF(OR(AC438="",AG438=""),"",AC438*AG438-1)</x:f>
      </x:c>
      <x:c r="AJ438" s="75" t="str">
        <x:f>IF(OR(G438="",F438=""),"",IF(AND(G438&gt;='Calibrare v2'!$B$35,F438&lt;='Calibrare v2'!$B$34),"PASS","FAIL"))</x:f>
      </x:c>
      <x:c r="AK438" s="75" t="str">
        <x:f>IF(AL438="","",AL438)</x:f>
      </x:c>
      <x:c r="AL438" s="77"/>
      <x:c r="AM438" s="77"/>
      <x:c r="AN438" s="64" t="str">
        <x:f>IF(OR(AC438="",P438=""),"",(AC438-P438)^2)</x:f>
      </x:c>
      <x:c r="AO438" s="64" t="str">
        <x:f>IF(OR(AG438="",AH438=""),"",AG438/AH438-1)</x:f>
      </x:c>
      <x:c r="AP438" s="61"/>
      <x:c r="AQ438" s="73" t="n">
        <x:f>IF(OR(AM438&lt;&gt;"PARIU U4,5",M438="",AP438="",AG438=""),0,IF(M438="UNDER",AP438*(AG438-1),-AP438))</x:f>
        <x:v>0</x:v>
      </x:c>
      <x:c r="AR438" s="51"/>
    </x:row>
    <x:row r="439">
      <x:c r="A439" s="9" t="str">
        <x:f>IF(D439="","",ROW()-1)</x:f>
      </x:c>
      <x:c r="B439" s="51"/>
      <x:c r="C439" s="51"/>
      <x:c r="D439" s="51"/>
      <x:c r="E439" s="9" t="str">
        <x:f>IF(D439="","",IF(AND(F439&lt;='Calibrare v2'!$B$33,G439&gt;=0.86),"DA – FEZABIL",IF(G439&gt;=0.8,"DA – PRUDENT","NU – EVITĂ")))</x:f>
      </x:c>
      <x:c r="F439" s="16" t="str">
        <x:f>IF(OR(W439="",X439=""),"",W439+X439)</x:f>
      </x:c>
      <x:c r="G439" s="28" t="str">
        <x:f>IF(F439="","",EXP(-F439)*(1+F439+F439^2/2+F439^3/6+F439^4/24))</x:f>
      </x:c>
      <x:c r="H439" s="53"/>
      <x:c r="I439" s="9" t="str">
        <x:f>IF(F439="","",IF(F439&lt;='Calibrare v2'!$B$33,"PASS","FAIL"))</x:f>
      </x:c>
      <x:c r="J439" s="51"/>
      <x:c r="K439" s="51"/>
      <x:c r="L439" s="9" t="str">
        <x:f>IF(OR(J439="",K439=""),"",J439+K439)</x:f>
      </x:c>
      <x:c r="M439" s="9" t="str">
        <x:f>IF(L439="","",IF(L439&lt;=4,"UNDER","OVER"))</x:f>
      </x:c>
      <x:c r="N439" s="9" t="str">
        <x:f>IF(E439="","",IF(LEFT(E439,2)="DA","PARIU U358,5","NO BET"))</x:f>
      </x:c>
      <x:c r="O439" s="9" t="str">
        <x:f>IF(M439="","",IF(AM439="PARIU U358,5",IF(M439="UNDER","SUCCES","EȘEC"),IF(M439="UNDER","FALS NEGATIV","EVITARE CORECTĂ")))</x:f>
      </x:c>
      <x:c r="P439" s="9" t="str">
        <x:f>IF(M439="","",IF(M439="UNDER",1,0))</x:f>
      </x:c>
      <x:c r="Q439" s="9" t="str">
        <x:f>IF(P439="","",(G439-P439)^2)</x:f>
      </x:c>
      <x:c r="R439" s="9" t="str">
        <x:f>IF(L439="","",L439-F439)</x:f>
      </x:c>
      <x:c r="S439" s="9" t="str">
        <x:f>IF(L439="","",IF(M439="UNDER","U358,5 reușit; total final "&amp;L439&amp;" vs λ="&amp;TEXT(F439,"0.00")&amp;".","Eșec U358,5; total final "&amp;L439&amp;" vs λ="&amp;TEXT(F439,"0.00")&amp;". Revizuiește Tail Risk, sursa λ și calibrarea."))</x:f>
      </x:c>
      <x:c r="T439" s="51"/>
      <x:c r="U439" s="51"/>
      <x:c r="V439" s="51"/>
      <x:c r="W439" s="61"/>
      <x:c r="X439" s="61"/>
      <x:c r="Y439" s="51"/>
      <x:c r="Z439" s="53"/>
      <x:c r="AA439" s="51"/>
      <x:c r="AB439" s="64" t="str">
        <x:f>IF(AC439="","",AC439)</x:f>
      </x:c>
      <x:c r="AC439" s="67"/>
      <x:c r="AD439" s="69" t="str">
        <x:f>IF(AE439="","",AE439)</x:f>
      </x:c>
      <x:c r="AE439" s="71"/>
      <x:c r="AF439" s="73" t="str">
        <x:f>IF(AC439="","",1/AC439)</x:f>
      </x:c>
      <x:c r="AG439" s="61"/>
      <x:c r="AH439" s="61"/>
      <x:c r="AI439" s="64" t="str">
        <x:f>IF(OR(AC439="",AG439=""),"",AC439*AG439-1)</x:f>
      </x:c>
      <x:c r="AJ439" s="75" t="str">
        <x:f>IF(OR(G439="",F439=""),"",IF(AND(G439&gt;='Calibrare v2'!$B$35,F439&lt;='Calibrare v2'!$B$34),"PASS","FAIL"))</x:f>
      </x:c>
      <x:c r="AK439" s="75" t="str">
        <x:f>IF(AL439="","",AL439)</x:f>
      </x:c>
      <x:c r="AL439" s="77"/>
      <x:c r="AM439" s="77"/>
      <x:c r="AN439" s="64" t="str">
        <x:f>IF(OR(AC439="",P439=""),"",(AC439-P439)^2)</x:f>
      </x:c>
      <x:c r="AO439" s="64" t="str">
        <x:f>IF(OR(AG439="",AH439=""),"",AG439/AH439-1)</x:f>
      </x:c>
      <x:c r="AP439" s="61"/>
      <x:c r="AQ439" s="73" t="n">
        <x:f>IF(OR(AM439&lt;&gt;"PARIU U4,5",M439="",AP439="",AG439=""),0,IF(M439="UNDER",AP439*(AG439-1),-AP439))</x:f>
        <x:v>0</x:v>
      </x:c>
      <x:c r="AR439" s="51"/>
    </x:row>
    <x:row r="440">
      <x:c r="A440" s="9" t="str">
        <x:f>IF(D440="","",ROW()-1)</x:f>
      </x:c>
      <x:c r="B440" s="51"/>
      <x:c r="C440" s="51"/>
      <x:c r="D440" s="51"/>
      <x:c r="E440" s="9" t="str">
        <x:f>IF(D440="","",IF(AND(F440&lt;='Calibrare v2'!$B$33,G440&gt;=0.86),"DA – FEZABIL",IF(G440&gt;=0.8,"DA – PRUDENT","NU – EVITĂ")))</x:f>
      </x:c>
      <x:c r="F440" s="16" t="str">
        <x:f>IF(OR(W440="",X440=""),"",W440+X440)</x:f>
      </x:c>
      <x:c r="G440" s="28" t="str">
        <x:f>IF(F440="","",EXP(-F440)*(1+F440+F440^2/2+F440^3/6+F440^4/24))</x:f>
      </x:c>
      <x:c r="H440" s="53"/>
      <x:c r="I440" s="9" t="str">
        <x:f>IF(F440="","",IF(F440&lt;='Calibrare v2'!$B$33,"PASS","FAIL"))</x:f>
      </x:c>
      <x:c r="J440" s="51"/>
      <x:c r="K440" s="51"/>
      <x:c r="L440" s="9" t="str">
        <x:f>IF(OR(J440="",K440=""),"",J440+K440)</x:f>
      </x:c>
      <x:c r="M440" s="9" t="str">
        <x:f>IF(L440="","",IF(L440&lt;=4,"UNDER","OVER"))</x:f>
      </x:c>
      <x:c r="N440" s="9" t="str">
        <x:f>IF(E440="","",IF(LEFT(E440,2)="DA","PARIU U359,5","NO BET"))</x:f>
      </x:c>
      <x:c r="O440" s="9" t="str">
        <x:f>IF(M440="","",IF(AM440="PARIU U359,5",IF(M440="UNDER","SUCCES","EȘEC"),IF(M440="UNDER","FALS NEGATIV","EVITARE CORECTĂ")))</x:f>
      </x:c>
      <x:c r="P440" s="9" t="str">
        <x:f>IF(M440="","",IF(M440="UNDER",1,0))</x:f>
      </x:c>
      <x:c r="Q440" s="9" t="str">
        <x:f>IF(P440="","",(G440-P440)^2)</x:f>
      </x:c>
      <x:c r="R440" s="9" t="str">
        <x:f>IF(L440="","",L440-F440)</x:f>
      </x:c>
      <x:c r="S440" s="9" t="str">
        <x:f>IF(L440="","",IF(M440="UNDER","U359,5 reușit; total final "&amp;L440&amp;" vs λ="&amp;TEXT(F440,"0.00")&amp;".","Eșec U359,5; total final "&amp;L440&amp;" vs λ="&amp;TEXT(F440,"0.00")&amp;". Revizuiește Tail Risk, sursa λ și calibrarea."))</x:f>
      </x:c>
      <x:c r="T440" s="51"/>
      <x:c r="U440" s="51"/>
      <x:c r="V440" s="51"/>
      <x:c r="W440" s="61"/>
      <x:c r="X440" s="61"/>
      <x:c r="Y440" s="51"/>
      <x:c r="Z440" s="53"/>
      <x:c r="AA440" s="51"/>
      <x:c r="AB440" s="64" t="str">
        <x:f>IF(AC440="","",AC440)</x:f>
      </x:c>
      <x:c r="AC440" s="67"/>
      <x:c r="AD440" s="69" t="str">
        <x:f>IF(AE440="","",AE440)</x:f>
      </x:c>
      <x:c r="AE440" s="71"/>
      <x:c r="AF440" s="73" t="str">
        <x:f>IF(AC440="","",1/AC440)</x:f>
      </x:c>
      <x:c r="AG440" s="61"/>
      <x:c r="AH440" s="61"/>
      <x:c r="AI440" s="64" t="str">
        <x:f>IF(OR(AC440="",AG440=""),"",AC440*AG440-1)</x:f>
      </x:c>
      <x:c r="AJ440" s="75" t="str">
        <x:f>IF(OR(G440="",F440=""),"",IF(AND(G440&gt;='Calibrare v2'!$B$35,F440&lt;='Calibrare v2'!$B$34),"PASS","FAIL"))</x:f>
      </x:c>
      <x:c r="AK440" s="75" t="str">
        <x:f>IF(AL440="","",AL440)</x:f>
      </x:c>
      <x:c r="AL440" s="77"/>
      <x:c r="AM440" s="77"/>
      <x:c r="AN440" s="64" t="str">
        <x:f>IF(OR(AC440="",P440=""),"",(AC440-P440)^2)</x:f>
      </x:c>
      <x:c r="AO440" s="64" t="str">
        <x:f>IF(OR(AG440="",AH440=""),"",AG440/AH440-1)</x:f>
      </x:c>
      <x:c r="AP440" s="61"/>
      <x:c r="AQ440" s="73" t="n">
        <x:f>IF(OR(AM440&lt;&gt;"PARIU U4,5",M440="",AP440="",AG440=""),0,IF(M440="UNDER",AP440*(AG440-1),-AP440))</x:f>
        <x:v>0</x:v>
      </x:c>
      <x:c r="AR440" s="51"/>
    </x:row>
    <x:row r="441">
      <x:c r="A441" s="9" t="str">
        <x:f>IF(D441="","",ROW()-1)</x:f>
      </x:c>
      <x:c r="B441" s="51"/>
      <x:c r="C441" s="51"/>
      <x:c r="D441" s="51"/>
      <x:c r="E441" s="9" t="str">
        <x:f>IF(D441="","",IF(AND(F441&lt;='Calibrare v2'!$B$33,G441&gt;=0.86),"DA – FEZABIL",IF(G441&gt;=0.8,"DA – PRUDENT","NU – EVITĂ")))</x:f>
      </x:c>
      <x:c r="F441" s="16" t="str">
        <x:f>IF(OR(W441="",X441=""),"",W441+X441)</x:f>
      </x:c>
      <x:c r="G441" s="28" t="str">
        <x:f>IF(F441="","",EXP(-F441)*(1+F441+F441^2/2+F441^3/6+F441^4/24))</x:f>
      </x:c>
      <x:c r="H441" s="53"/>
      <x:c r="I441" s="9" t="str">
        <x:f>IF(F441="","",IF(F441&lt;='Calibrare v2'!$B$33,"PASS","FAIL"))</x:f>
      </x:c>
      <x:c r="J441" s="51"/>
      <x:c r="K441" s="51"/>
      <x:c r="L441" s="9" t="str">
        <x:f>IF(OR(J441="",K441=""),"",J441+K441)</x:f>
      </x:c>
      <x:c r="M441" s="9" t="str">
        <x:f>IF(L441="","",IF(L441&lt;=4,"UNDER","OVER"))</x:f>
      </x:c>
      <x:c r="N441" s="9" t="str">
        <x:f>IF(E441="","",IF(LEFT(E441,2)="DA","PARIU U360,5","NO BET"))</x:f>
      </x:c>
      <x:c r="O441" s="9" t="str">
        <x:f>IF(M441="","",IF(AM441="PARIU U360,5",IF(M441="UNDER","SUCCES","EȘEC"),IF(M441="UNDER","FALS NEGATIV","EVITARE CORECTĂ")))</x:f>
      </x:c>
      <x:c r="P441" s="9" t="str">
        <x:f>IF(M441="","",IF(M441="UNDER",1,0))</x:f>
      </x:c>
      <x:c r="Q441" s="9" t="str">
        <x:f>IF(P441="","",(G441-P441)^2)</x:f>
      </x:c>
      <x:c r="R441" s="9" t="str">
        <x:f>IF(L441="","",L441-F441)</x:f>
      </x:c>
      <x:c r="S441" s="9" t="str">
        <x:f>IF(L441="","",IF(M441="UNDER","U360,5 reușit; total final "&amp;L441&amp;" vs λ="&amp;TEXT(F441,"0.00")&amp;".","Eșec U360,5; total final "&amp;L441&amp;" vs λ="&amp;TEXT(F441,"0.00")&amp;". Revizuiește Tail Risk, sursa λ și calibrarea."))</x:f>
      </x:c>
      <x:c r="T441" s="51"/>
      <x:c r="U441" s="51"/>
      <x:c r="V441" s="51"/>
      <x:c r="W441" s="61"/>
      <x:c r="X441" s="61"/>
      <x:c r="Y441" s="51"/>
      <x:c r="Z441" s="53"/>
      <x:c r="AA441" s="51"/>
      <x:c r="AB441" s="64" t="str">
        <x:f>IF(AC441="","",AC441)</x:f>
      </x:c>
      <x:c r="AC441" s="67"/>
      <x:c r="AD441" s="69" t="str">
        <x:f>IF(AE441="","",AE441)</x:f>
      </x:c>
      <x:c r="AE441" s="71"/>
      <x:c r="AF441" s="73" t="str">
        <x:f>IF(AC441="","",1/AC441)</x:f>
      </x:c>
      <x:c r="AG441" s="61"/>
      <x:c r="AH441" s="61"/>
      <x:c r="AI441" s="64" t="str">
        <x:f>IF(OR(AC441="",AG441=""),"",AC441*AG441-1)</x:f>
      </x:c>
      <x:c r="AJ441" s="75" t="str">
        <x:f>IF(OR(G441="",F441=""),"",IF(AND(G441&gt;='Calibrare v2'!$B$35,F441&lt;='Calibrare v2'!$B$34),"PASS","FAIL"))</x:f>
      </x:c>
      <x:c r="AK441" s="75" t="str">
        <x:f>IF(AL441="","",AL441)</x:f>
      </x:c>
      <x:c r="AL441" s="77"/>
      <x:c r="AM441" s="77"/>
      <x:c r="AN441" s="64" t="str">
        <x:f>IF(OR(AC441="",P441=""),"",(AC441-P441)^2)</x:f>
      </x:c>
      <x:c r="AO441" s="64" t="str">
        <x:f>IF(OR(AG441="",AH441=""),"",AG441/AH441-1)</x:f>
      </x:c>
      <x:c r="AP441" s="61"/>
      <x:c r="AQ441" s="73" t="n">
        <x:f>IF(OR(AM441&lt;&gt;"PARIU U4,5",M441="",AP441="",AG441=""),0,IF(M441="UNDER",AP441*(AG441-1),-AP441))</x:f>
        <x:v>0</x:v>
      </x:c>
      <x:c r="AR441" s="51"/>
    </x:row>
    <x:row r="442">
      <x:c r="A442" s="9" t="str">
        <x:f>IF(D442="","",ROW()-1)</x:f>
      </x:c>
      <x:c r="B442" s="51"/>
      <x:c r="C442" s="51"/>
      <x:c r="D442" s="51"/>
      <x:c r="E442" s="9" t="str">
        <x:f>IF(D442="","",IF(AND(F442&lt;='Calibrare v2'!$B$33,G442&gt;=0.86),"DA – FEZABIL",IF(G442&gt;=0.8,"DA – PRUDENT","NU – EVITĂ")))</x:f>
      </x:c>
      <x:c r="F442" s="16" t="str">
        <x:f>IF(OR(W442="",X442=""),"",W442+X442)</x:f>
      </x:c>
      <x:c r="G442" s="28" t="str">
        <x:f>IF(F442="","",EXP(-F442)*(1+F442+F442^2/2+F442^3/6+F442^4/24))</x:f>
      </x:c>
      <x:c r="H442" s="53"/>
      <x:c r="I442" s="9" t="str">
        <x:f>IF(F442="","",IF(F442&lt;='Calibrare v2'!$B$33,"PASS","FAIL"))</x:f>
      </x:c>
      <x:c r="J442" s="51"/>
      <x:c r="K442" s="51"/>
      <x:c r="L442" s="9" t="str">
        <x:f>IF(OR(J442="",K442=""),"",J442+K442)</x:f>
      </x:c>
      <x:c r="M442" s="9" t="str">
        <x:f>IF(L442="","",IF(L442&lt;=4,"UNDER","OVER"))</x:f>
      </x:c>
      <x:c r="N442" s="9" t="str">
        <x:f>IF(E442="","",IF(LEFT(E442,2)="DA","PARIU U361,5","NO BET"))</x:f>
      </x:c>
      <x:c r="O442" s="9" t="str">
        <x:f>IF(M442="","",IF(AM442="PARIU U361,5",IF(M442="UNDER","SUCCES","EȘEC"),IF(M442="UNDER","FALS NEGATIV","EVITARE CORECTĂ")))</x:f>
      </x:c>
      <x:c r="P442" s="9" t="str">
        <x:f>IF(M442="","",IF(M442="UNDER",1,0))</x:f>
      </x:c>
      <x:c r="Q442" s="9" t="str">
        <x:f>IF(P442="","",(G442-P442)^2)</x:f>
      </x:c>
      <x:c r="R442" s="9" t="str">
        <x:f>IF(L442="","",L442-F442)</x:f>
      </x:c>
      <x:c r="S442" s="9" t="str">
        <x:f>IF(L442="","",IF(M442="UNDER","U361,5 reușit; total final "&amp;L442&amp;" vs λ="&amp;TEXT(F442,"0.00")&amp;".","Eșec U361,5; total final "&amp;L442&amp;" vs λ="&amp;TEXT(F442,"0.00")&amp;". Revizuiește Tail Risk, sursa λ și calibrarea."))</x:f>
      </x:c>
      <x:c r="T442" s="51"/>
      <x:c r="U442" s="51"/>
      <x:c r="V442" s="51"/>
      <x:c r="W442" s="61"/>
      <x:c r="X442" s="61"/>
      <x:c r="Y442" s="51"/>
      <x:c r="Z442" s="53"/>
      <x:c r="AA442" s="51"/>
      <x:c r="AB442" s="64" t="str">
        <x:f>IF(AC442="","",AC442)</x:f>
      </x:c>
      <x:c r="AC442" s="67"/>
      <x:c r="AD442" s="69" t="str">
        <x:f>IF(AE442="","",AE442)</x:f>
      </x:c>
      <x:c r="AE442" s="71"/>
      <x:c r="AF442" s="73" t="str">
        <x:f>IF(AC442="","",1/AC442)</x:f>
      </x:c>
      <x:c r="AG442" s="61"/>
      <x:c r="AH442" s="61"/>
      <x:c r="AI442" s="64" t="str">
        <x:f>IF(OR(AC442="",AG442=""),"",AC442*AG442-1)</x:f>
      </x:c>
      <x:c r="AJ442" s="75" t="str">
        <x:f>IF(OR(G442="",F442=""),"",IF(AND(G442&gt;='Calibrare v2'!$B$35,F442&lt;='Calibrare v2'!$B$34),"PASS","FAIL"))</x:f>
      </x:c>
      <x:c r="AK442" s="75" t="str">
        <x:f>IF(AL442="","",AL442)</x:f>
      </x:c>
      <x:c r="AL442" s="77"/>
      <x:c r="AM442" s="77"/>
      <x:c r="AN442" s="64" t="str">
        <x:f>IF(OR(AC442="",P442=""),"",(AC442-P442)^2)</x:f>
      </x:c>
      <x:c r="AO442" s="64" t="str">
        <x:f>IF(OR(AG442="",AH442=""),"",AG442/AH442-1)</x:f>
      </x:c>
      <x:c r="AP442" s="61"/>
      <x:c r="AQ442" s="73" t="n">
        <x:f>IF(OR(AM442&lt;&gt;"PARIU U4,5",M442="",AP442="",AG442=""),0,IF(M442="UNDER",AP442*(AG442-1),-AP442))</x:f>
        <x:v>0</x:v>
      </x:c>
      <x:c r="AR442" s="51"/>
    </x:row>
    <x:row r="443">
      <x:c r="A443" s="9" t="str">
        <x:f>IF(D443="","",ROW()-1)</x:f>
      </x:c>
      <x:c r="B443" s="51"/>
      <x:c r="C443" s="51"/>
      <x:c r="D443" s="51"/>
      <x:c r="E443" s="9" t="str">
        <x:f>IF(D443="","",IF(AND(F443&lt;='Calibrare v2'!$B$33,G443&gt;=0.86),"DA – FEZABIL",IF(G443&gt;=0.8,"DA – PRUDENT","NU – EVITĂ")))</x:f>
      </x:c>
      <x:c r="F443" s="16" t="str">
        <x:f>IF(OR(W443="",X443=""),"",W443+X443)</x:f>
      </x:c>
      <x:c r="G443" s="28" t="str">
        <x:f>IF(F443="","",EXP(-F443)*(1+F443+F443^2/2+F443^3/6+F443^4/24))</x:f>
      </x:c>
      <x:c r="H443" s="53"/>
      <x:c r="I443" s="9" t="str">
        <x:f>IF(F443="","",IF(F443&lt;='Calibrare v2'!$B$33,"PASS","FAIL"))</x:f>
      </x:c>
      <x:c r="J443" s="51"/>
      <x:c r="K443" s="51"/>
      <x:c r="L443" s="9" t="str">
        <x:f>IF(OR(J443="",K443=""),"",J443+K443)</x:f>
      </x:c>
      <x:c r="M443" s="9" t="str">
        <x:f>IF(L443="","",IF(L443&lt;=4,"UNDER","OVER"))</x:f>
      </x:c>
      <x:c r="N443" s="9" t="str">
        <x:f>IF(E443="","",IF(LEFT(E443,2)="DA","PARIU U362,5","NO BET"))</x:f>
      </x:c>
      <x:c r="O443" s="9" t="str">
        <x:f>IF(M443="","",IF(AM443="PARIU U362,5",IF(M443="UNDER","SUCCES","EȘEC"),IF(M443="UNDER","FALS NEGATIV","EVITARE CORECTĂ")))</x:f>
      </x:c>
      <x:c r="P443" s="9" t="str">
        <x:f>IF(M443="","",IF(M443="UNDER",1,0))</x:f>
      </x:c>
      <x:c r="Q443" s="9" t="str">
        <x:f>IF(P443="","",(G443-P443)^2)</x:f>
      </x:c>
      <x:c r="R443" s="9" t="str">
        <x:f>IF(L443="","",L443-F443)</x:f>
      </x:c>
      <x:c r="S443" s="9" t="str">
        <x:f>IF(L443="","",IF(M443="UNDER","U362,5 reușit; total final "&amp;L443&amp;" vs λ="&amp;TEXT(F443,"0.00")&amp;".","Eșec U362,5; total final "&amp;L443&amp;" vs λ="&amp;TEXT(F443,"0.00")&amp;". Revizuiește Tail Risk, sursa λ și calibrarea."))</x:f>
      </x:c>
      <x:c r="T443" s="51"/>
      <x:c r="U443" s="51"/>
      <x:c r="V443" s="51"/>
      <x:c r="W443" s="61"/>
      <x:c r="X443" s="61"/>
      <x:c r="Y443" s="51"/>
      <x:c r="Z443" s="53"/>
      <x:c r="AA443" s="51"/>
      <x:c r="AB443" s="64" t="str">
        <x:f>IF(AC443="","",AC443)</x:f>
      </x:c>
      <x:c r="AC443" s="67"/>
      <x:c r="AD443" s="69" t="str">
        <x:f>IF(AE443="","",AE443)</x:f>
      </x:c>
      <x:c r="AE443" s="71"/>
      <x:c r="AF443" s="73" t="str">
        <x:f>IF(AC443="","",1/AC443)</x:f>
      </x:c>
      <x:c r="AG443" s="61"/>
      <x:c r="AH443" s="61"/>
      <x:c r="AI443" s="64" t="str">
        <x:f>IF(OR(AC443="",AG443=""),"",AC443*AG443-1)</x:f>
      </x:c>
      <x:c r="AJ443" s="75" t="str">
        <x:f>IF(OR(G443="",F443=""),"",IF(AND(G443&gt;='Calibrare v2'!$B$35,F443&lt;='Calibrare v2'!$B$34),"PASS","FAIL"))</x:f>
      </x:c>
      <x:c r="AK443" s="75" t="str">
        <x:f>IF(AL443="","",AL443)</x:f>
      </x:c>
      <x:c r="AL443" s="77"/>
      <x:c r="AM443" s="77"/>
      <x:c r="AN443" s="64" t="str">
        <x:f>IF(OR(AC443="",P443=""),"",(AC443-P443)^2)</x:f>
      </x:c>
      <x:c r="AO443" s="64" t="str">
        <x:f>IF(OR(AG443="",AH443=""),"",AG443/AH443-1)</x:f>
      </x:c>
      <x:c r="AP443" s="61"/>
      <x:c r="AQ443" s="73" t="n">
        <x:f>IF(OR(AM443&lt;&gt;"PARIU U4,5",M443="",AP443="",AG443=""),0,IF(M443="UNDER",AP443*(AG443-1),-AP443))</x:f>
        <x:v>0</x:v>
      </x:c>
      <x:c r="AR443" s="51"/>
    </x:row>
    <x:row r="444">
      <x:c r="A444" s="9" t="str">
        <x:f>IF(D444="","",ROW()-1)</x:f>
      </x:c>
      <x:c r="B444" s="51"/>
      <x:c r="C444" s="51"/>
      <x:c r="D444" s="51"/>
      <x:c r="E444" s="9" t="str">
        <x:f>IF(D444="","",IF(AND(F444&lt;='Calibrare v2'!$B$33,G444&gt;=0.86),"DA – FEZABIL",IF(G444&gt;=0.8,"DA – PRUDENT","NU – EVITĂ")))</x:f>
      </x:c>
      <x:c r="F444" s="16" t="str">
        <x:f>IF(OR(W444="",X444=""),"",W444+X444)</x:f>
      </x:c>
      <x:c r="G444" s="28" t="str">
        <x:f>IF(F444="","",EXP(-F444)*(1+F444+F444^2/2+F444^3/6+F444^4/24))</x:f>
      </x:c>
      <x:c r="H444" s="53"/>
      <x:c r="I444" s="9" t="str">
        <x:f>IF(F444="","",IF(F444&lt;='Calibrare v2'!$B$33,"PASS","FAIL"))</x:f>
      </x:c>
      <x:c r="J444" s="51"/>
      <x:c r="K444" s="51"/>
      <x:c r="L444" s="9" t="str">
        <x:f>IF(OR(J444="",K444=""),"",J444+K444)</x:f>
      </x:c>
      <x:c r="M444" s="9" t="str">
        <x:f>IF(L444="","",IF(L444&lt;=4,"UNDER","OVER"))</x:f>
      </x:c>
      <x:c r="N444" s="9" t="str">
        <x:f>IF(E444="","",IF(LEFT(E444,2)="DA","PARIU U363,5","NO BET"))</x:f>
      </x:c>
      <x:c r="O444" s="9" t="str">
        <x:f>IF(M444="","",IF(AM444="PARIU U363,5",IF(M444="UNDER","SUCCES","EȘEC"),IF(M444="UNDER","FALS NEGATIV","EVITARE CORECTĂ")))</x:f>
      </x:c>
      <x:c r="P444" s="9" t="str">
        <x:f>IF(M444="","",IF(M444="UNDER",1,0))</x:f>
      </x:c>
      <x:c r="Q444" s="9" t="str">
        <x:f>IF(P444="","",(G444-P444)^2)</x:f>
      </x:c>
      <x:c r="R444" s="9" t="str">
        <x:f>IF(L444="","",L444-F444)</x:f>
      </x:c>
      <x:c r="S444" s="9" t="str">
        <x:f>IF(L444="","",IF(M444="UNDER","U363,5 reușit; total final "&amp;L444&amp;" vs λ="&amp;TEXT(F444,"0.00")&amp;".","Eșec U363,5; total final "&amp;L444&amp;" vs λ="&amp;TEXT(F444,"0.00")&amp;". Revizuiește Tail Risk, sursa λ și calibrarea."))</x:f>
      </x:c>
      <x:c r="T444" s="51"/>
      <x:c r="U444" s="51"/>
      <x:c r="V444" s="51"/>
      <x:c r="W444" s="61"/>
      <x:c r="X444" s="61"/>
      <x:c r="Y444" s="51"/>
      <x:c r="Z444" s="53"/>
      <x:c r="AA444" s="51"/>
      <x:c r="AB444" s="64" t="str">
        <x:f>IF(AC444="","",AC444)</x:f>
      </x:c>
      <x:c r="AC444" s="67"/>
      <x:c r="AD444" s="69" t="str">
        <x:f>IF(AE444="","",AE444)</x:f>
      </x:c>
      <x:c r="AE444" s="71"/>
      <x:c r="AF444" s="73" t="str">
        <x:f>IF(AC444="","",1/AC444)</x:f>
      </x:c>
      <x:c r="AG444" s="61"/>
      <x:c r="AH444" s="61"/>
      <x:c r="AI444" s="64" t="str">
        <x:f>IF(OR(AC444="",AG444=""),"",AC444*AG444-1)</x:f>
      </x:c>
      <x:c r="AJ444" s="75" t="str">
        <x:f>IF(OR(G444="",F444=""),"",IF(AND(G444&gt;='Calibrare v2'!$B$35,F444&lt;='Calibrare v2'!$B$34),"PASS","FAIL"))</x:f>
      </x:c>
      <x:c r="AK444" s="75" t="str">
        <x:f>IF(AL444="","",AL444)</x:f>
      </x:c>
      <x:c r="AL444" s="77"/>
      <x:c r="AM444" s="77"/>
      <x:c r="AN444" s="64" t="str">
        <x:f>IF(OR(AC444="",P444=""),"",(AC444-P444)^2)</x:f>
      </x:c>
      <x:c r="AO444" s="64" t="str">
        <x:f>IF(OR(AG444="",AH444=""),"",AG444/AH444-1)</x:f>
      </x:c>
      <x:c r="AP444" s="61"/>
      <x:c r="AQ444" s="73" t="n">
        <x:f>IF(OR(AM444&lt;&gt;"PARIU U4,5",M444="",AP444="",AG444=""),0,IF(M444="UNDER",AP444*(AG444-1),-AP444))</x:f>
        <x:v>0</x:v>
      </x:c>
      <x:c r="AR444" s="51"/>
    </x:row>
    <x:row r="445">
      <x:c r="A445" s="9" t="str">
        <x:f>IF(D445="","",ROW()-1)</x:f>
      </x:c>
      <x:c r="B445" s="51"/>
      <x:c r="C445" s="51"/>
      <x:c r="D445" s="51"/>
      <x:c r="E445" s="9" t="str">
        <x:f>IF(D445="","",IF(AND(F445&lt;='Calibrare v2'!$B$33,G445&gt;=0.86),"DA – FEZABIL",IF(G445&gt;=0.8,"DA – PRUDENT","NU – EVITĂ")))</x:f>
      </x:c>
      <x:c r="F445" s="16" t="str">
        <x:f>IF(OR(W445="",X445=""),"",W445+X445)</x:f>
      </x:c>
      <x:c r="G445" s="28" t="str">
        <x:f>IF(F445="","",EXP(-F445)*(1+F445+F445^2/2+F445^3/6+F445^4/24))</x:f>
      </x:c>
      <x:c r="H445" s="53"/>
      <x:c r="I445" s="9" t="str">
        <x:f>IF(F445="","",IF(F445&lt;='Calibrare v2'!$B$33,"PASS","FAIL"))</x:f>
      </x:c>
      <x:c r="J445" s="51"/>
      <x:c r="K445" s="51"/>
      <x:c r="L445" s="9" t="str">
        <x:f>IF(OR(J445="",K445=""),"",J445+K445)</x:f>
      </x:c>
      <x:c r="M445" s="9" t="str">
        <x:f>IF(L445="","",IF(L445&lt;=4,"UNDER","OVER"))</x:f>
      </x:c>
      <x:c r="N445" s="9" t="str">
        <x:f>IF(E445="","",IF(LEFT(E445,2)="DA","PARIU U364,5","NO BET"))</x:f>
      </x:c>
      <x:c r="O445" s="9" t="str">
        <x:f>IF(M445="","",IF(AM445="PARIU U364,5",IF(M445="UNDER","SUCCES","EȘEC"),IF(M445="UNDER","FALS NEGATIV","EVITARE CORECTĂ")))</x:f>
      </x:c>
      <x:c r="P445" s="9" t="str">
        <x:f>IF(M445="","",IF(M445="UNDER",1,0))</x:f>
      </x:c>
      <x:c r="Q445" s="9" t="str">
        <x:f>IF(P445="","",(G445-P445)^2)</x:f>
      </x:c>
      <x:c r="R445" s="9" t="str">
        <x:f>IF(L445="","",L445-F445)</x:f>
      </x:c>
      <x:c r="S445" s="9" t="str">
        <x:f>IF(L445="","",IF(M445="UNDER","U364,5 reușit; total final "&amp;L445&amp;" vs λ="&amp;TEXT(F445,"0.00")&amp;".","Eșec U364,5; total final "&amp;L445&amp;" vs λ="&amp;TEXT(F445,"0.00")&amp;". Revizuiește Tail Risk, sursa λ și calibrarea."))</x:f>
      </x:c>
      <x:c r="T445" s="51"/>
      <x:c r="U445" s="51"/>
      <x:c r="V445" s="51"/>
      <x:c r="W445" s="61"/>
      <x:c r="X445" s="61"/>
      <x:c r="Y445" s="51"/>
      <x:c r="Z445" s="53"/>
      <x:c r="AA445" s="51"/>
      <x:c r="AB445" s="64" t="str">
        <x:f>IF(AC445="","",AC445)</x:f>
      </x:c>
      <x:c r="AC445" s="67"/>
      <x:c r="AD445" s="69" t="str">
        <x:f>IF(AE445="","",AE445)</x:f>
      </x:c>
      <x:c r="AE445" s="71"/>
      <x:c r="AF445" s="73" t="str">
        <x:f>IF(AC445="","",1/AC445)</x:f>
      </x:c>
      <x:c r="AG445" s="61"/>
      <x:c r="AH445" s="61"/>
      <x:c r="AI445" s="64" t="str">
        <x:f>IF(OR(AC445="",AG445=""),"",AC445*AG445-1)</x:f>
      </x:c>
      <x:c r="AJ445" s="75" t="str">
        <x:f>IF(OR(G445="",F445=""),"",IF(AND(G445&gt;='Calibrare v2'!$B$35,F445&lt;='Calibrare v2'!$B$34),"PASS","FAIL"))</x:f>
      </x:c>
      <x:c r="AK445" s="75" t="str">
        <x:f>IF(AL445="","",AL445)</x:f>
      </x:c>
      <x:c r="AL445" s="77"/>
      <x:c r="AM445" s="77"/>
      <x:c r="AN445" s="64" t="str">
        <x:f>IF(OR(AC445="",P445=""),"",(AC445-P445)^2)</x:f>
      </x:c>
      <x:c r="AO445" s="64" t="str">
        <x:f>IF(OR(AG445="",AH445=""),"",AG445/AH445-1)</x:f>
      </x:c>
      <x:c r="AP445" s="61"/>
      <x:c r="AQ445" s="73" t="n">
        <x:f>IF(OR(AM445&lt;&gt;"PARIU U4,5",M445="",AP445="",AG445=""),0,IF(M445="UNDER",AP445*(AG445-1),-AP445))</x:f>
        <x:v>0</x:v>
      </x:c>
      <x:c r="AR445" s="51"/>
    </x:row>
    <x:row r="446">
      <x:c r="A446" s="9" t="str">
        <x:f>IF(D446="","",ROW()-1)</x:f>
      </x:c>
      <x:c r="B446" s="51"/>
      <x:c r="C446" s="51"/>
      <x:c r="D446" s="51"/>
      <x:c r="E446" s="9" t="str">
        <x:f>IF(D446="","",IF(AND(F446&lt;='Calibrare v2'!$B$33,G446&gt;=0.86),"DA – FEZABIL",IF(G446&gt;=0.8,"DA – PRUDENT","NU – EVITĂ")))</x:f>
      </x:c>
      <x:c r="F446" s="16" t="str">
        <x:f>IF(OR(W446="",X446=""),"",W446+X446)</x:f>
      </x:c>
      <x:c r="G446" s="28" t="str">
        <x:f>IF(F446="","",EXP(-F446)*(1+F446+F446^2/2+F446^3/6+F446^4/24))</x:f>
      </x:c>
      <x:c r="H446" s="53"/>
      <x:c r="I446" s="9" t="str">
        <x:f>IF(F446="","",IF(F446&lt;='Calibrare v2'!$B$33,"PASS","FAIL"))</x:f>
      </x:c>
      <x:c r="J446" s="51"/>
      <x:c r="K446" s="51"/>
      <x:c r="L446" s="9" t="str">
        <x:f>IF(OR(J446="",K446=""),"",J446+K446)</x:f>
      </x:c>
      <x:c r="M446" s="9" t="str">
        <x:f>IF(L446="","",IF(L446&lt;=4,"UNDER","OVER"))</x:f>
      </x:c>
      <x:c r="N446" s="9" t="str">
        <x:f>IF(E446="","",IF(LEFT(E446,2)="DA","PARIU U365,5","NO BET"))</x:f>
      </x:c>
      <x:c r="O446" s="9" t="str">
        <x:f>IF(M446="","",IF(AM446="PARIU U365,5",IF(M446="UNDER","SUCCES","EȘEC"),IF(M446="UNDER","FALS NEGATIV","EVITARE CORECTĂ")))</x:f>
      </x:c>
      <x:c r="P446" s="9" t="str">
        <x:f>IF(M446="","",IF(M446="UNDER",1,0))</x:f>
      </x:c>
      <x:c r="Q446" s="9" t="str">
        <x:f>IF(P446="","",(G446-P446)^2)</x:f>
      </x:c>
      <x:c r="R446" s="9" t="str">
        <x:f>IF(L446="","",L446-F446)</x:f>
      </x:c>
      <x:c r="S446" s="9" t="str">
        <x:f>IF(L446="","",IF(M446="UNDER","U365,5 reușit; total final "&amp;L446&amp;" vs λ="&amp;TEXT(F446,"0.00")&amp;".","Eșec U365,5; total final "&amp;L446&amp;" vs λ="&amp;TEXT(F446,"0.00")&amp;". Revizuiește Tail Risk, sursa λ și calibrarea."))</x:f>
      </x:c>
      <x:c r="T446" s="51"/>
      <x:c r="U446" s="51"/>
      <x:c r="V446" s="51"/>
      <x:c r="W446" s="61"/>
      <x:c r="X446" s="61"/>
      <x:c r="Y446" s="51"/>
      <x:c r="Z446" s="53"/>
      <x:c r="AA446" s="51"/>
      <x:c r="AB446" s="64" t="str">
        <x:f>IF(AC446="","",AC446)</x:f>
      </x:c>
      <x:c r="AC446" s="67"/>
      <x:c r="AD446" s="69" t="str">
        <x:f>IF(AE446="","",AE446)</x:f>
      </x:c>
      <x:c r="AE446" s="71"/>
      <x:c r="AF446" s="73" t="str">
        <x:f>IF(AC446="","",1/AC446)</x:f>
      </x:c>
      <x:c r="AG446" s="61"/>
      <x:c r="AH446" s="61"/>
      <x:c r="AI446" s="64" t="str">
        <x:f>IF(OR(AC446="",AG446=""),"",AC446*AG446-1)</x:f>
      </x:c>
      <x:c r="AJ446" s="75" t="str">
        <x:f>IF(OR(G446="",F446=""),"",IF(AND(G446&gt;='Calibrare v2'!$B$35,F446&lt;='Calibrare v2'!$B$34),"PASS","FAIL"))</x:f>
      </x:c>
      <x:c r="AK446" s="75" t="str">
        <x:f>IF(AL446="","",AL446)</x:f>
      </x:c>
      <x:c r="AL446" s="77"/>
      <x:c r="AM446" s="77"/>
      <x:c r="AN446" s="64" t="str">
        <x:f>IF(OR(AC446="",P446=""),"",(AC446-P446)^2)</x:f>
      </x:c>
      <x:c r="AO446" s="64" t="str">
        <x:f>IF(OR(AG446="",AH446=""),"",AG446/AH446-1)</x:f>
      </x:c>
      <x:c r="AP446" s="61"/>
      <x:c r="AQ446" s="73" t="n">
        <x:f>IF(OR(AM446&lt;&gt;"PARIU U4,5",M446="",AP446="",AG446=""),0,IF(M446="UNDER",AP446*(AG446-1),-AP446))</x:f>
        <x:v>0</x:v>
      </x:c>
      <x:c r="AR446" s="51"/>
    </x:row>
    <x:row r="447">
      <x:c r="A447" s="9" t="str">
        <x:f>IF(D447="","",ROW()-1)</x:f>
      </x:c>
      <x:c r="B447" s="51"/>
      <x:c r="C447" s="51"/>
      <x:c r="D447" s="51"/>
      <x:c r="E447" s="9" t="str">
        <x:f>IF(D447="","",IF(AND(F447&lt;='Calibrare v2'!$B$33,G447&gt;=0.86),"DA – FEZABIL",IF(G447&gt;=0.8,"DA – PRUDENT","NU – EVITĂ")))</x:f>
      </x:c>
      <x:c r="F447" s="16" t="str">
        <x:f>IF(OR(W447="",X447=""),"",W447+X447)</x:f>
      </x:c>
      <x:c r="G447" s="28" t="str">
        <x:f>IF(F447="","",EXP(-F447)*(1+F447+F447^2/2+F447^3/6+F447^4/24))</x:f>
      </x:c>
      <x:c r="H447" s="53"/>
      <x:c r="I447" s="9" t="str">
        <x:f>IF(F447="","",IF(F447&lt;='Calibrare v2'!$B$33,"PASS","FAIL"))</x:f>
      </x:c>
      <x:c r="J447" s="51"/>
      <x:c r="K447" s="51"/>
      <x:c r="L447" s="9" t="str">
        <x:f>IF(OR(J447="",K447=""),"",J447+K447)</x:f>
      </x:c>
      <x:c r="M447" s="9" t="str">
        <x:f>IF(L447="","",IF(L447&lt;=4,"UNDER","OVER"))</x:f>
      </x:c>
      <x:c r="N447" s="9" t="str">
        <x:f>IF(E447="","",IF(LEFT(E447,2)="DA","PARIU U366,5","NO BET"))</x:f>
      </x:c>
      <x:c r="O447" s="9" t="str">
        <x:f>IF(M447="","",IF(AM447="PARIU U366,5",IF(M447="UNDER","SUCCES","EȘEC"),IF(M447="UNDER","FALS NEGATIV","EVITARE CORECTĂ")))</x:f>
      </x:c>
      <x:c r="P447" s="9" t="str">
        <x:f>IF(M447="","",IF(M447="UNDER",1,0))</x:f>
      </x:c>
      <x:c r="Q447" s="9" t="str">
        <x:f>IF(P447="","",(G447-P447)^2)</x:f>
      </x:c>
      <x:c r="R447" s="9" t="str">
        <x:f>IF(L447="","",L447-F447)</x:f>
      </x:c>
      <x:c r="S447" s="9" t="str">
        <x:f>IF(L447="","",IF(M447="UNDER","U366,5 reușit; total final "&amp;L447&amp;" vs λ="&amp;TEXT(F447,"0.00")&amp;".","Eșec U366,5; total final "&amp;L447&amp;" vs λ="&amp;TEXT(F447,"0.00")&amp;". Revizuiește Tail Risk, sursa λ și calibrarea."))</x:f>
      </x:c>
      <x:c r="T447" s="51"/>
      <x:c r="U447" s="51"/>
      <x:c r="V447" s="51"/>
      <x:c r="W447" s="61"/>
      <x:c r="X447" s="61"/>
      <x:c r="Y447" s="51"/>
      <x:c r="Z447" s="53"/>
      <x:c r="AA447" s="51"/>
      <x:c r="AB447" s="64" t="str">
        <x:f>IF(AC447="","",AC447)</x:f>
      </x:c>
      <x:c r="AC447" s="67"/>
      <x:c r="AD447" s="69" t="str">
        <x:f>IF(AE447="","",AE447)</x:f>
      </x:c>
      <x:c r="AE447" s="71"/>
      <x:c r="AF447" s="73" t="str">
        <x:f>IF(AC447="","",1/AC447)</x:f>
      </x:c>
      <x:c r="AG447" s="61"/>
      <x:c r="AH447" s="61"/>
      <x:c r="AI447" s="64" t="str">
        <x:f>IF(OR(AC447="",AG447=""),"",AC447*AG447-1)</x:f>
      </x:c>
      <x:c r="AJ447" s="75" t="str">
        <x:f>IF(OR(G447="",F447=""),"",IF(AND(G447&gt;='Calibrare v2'!$B$35,F447&lt;='Calibrare v2'!$B$34),"PASS","FAIL"))</x:f>
      </x:c>
      <x:c r="AK447" s="75" t="str">
        <x:f>IF(AL447="","",AL447)</x:f>
      </x:c>
      <x:c r="AL447" s="77"/>
      <x:c r="AM447" s="77"/>
      <x:c r="AN447" s="64" t="str">
        <x:f>IF(OR(AC447="",P447=""),"",(AC447-P447)^2)</x:f>
      </x:c>
      <x:c r="AO447" s="64" t="str">
        <x:f>IF(OR(AG447="",AH447=""),"",AG447/AH447-1)</x:f>
      </x:c>
      <x:c r="AP447" s="61"/>
      <x:c r="AQ447" s="73" t="n">
        <x:f>IF(OR(AM447&lt;&gt;"PARIU U4,5",M447="",AP447="",AG447=""),0,IF(M447="UNDER",AP447*(AG447-1),-AP447))</x:f>
        <x:v>0</x:v>
      </x:c>
      <x:c r="AR447" s="51"/>
    </x:row>
    <x:row r="448">
      <x:c r="A448" s="9" t="str">
        <x:f>IF(D448="","",ROW()-1)</x:f>
      </x:c>
      <x:c r="B448" s="51"/>
      <x:c r="C448" s="51"/>
      <x:c r="D448" s="51"/>
      <x:c r="E448" s="9" t="str">
        <x:f>IF(D448="","",IF(AND(F448&lt;='Calibrare v2'!$B$33,G448&gt;=0.86),"DA – FEZABIL",IF(G448&gt;=0.8,"DA – PRUDENT","NU – EVITĂ")))</x:f>
      </x:c>
      <x:c r="F448" s="16" t="str">
        <x:f>IF(OR(W448="",X448=""),"",W448+X448)</x:f>
      </x:c>
      <x:c r="G448" s="28" t="str">
        <x:f>IF(F448="","",EXP(-F448)*(1+F448+F448^2/2+F448^3/6+F448^4/24))</x:f>
      </x:c>
      <x:c r="H448" s="53"/>
      <x:c r="I448" s="9" t="str">
        <x:f>IF(F448="","",IF(F448&lt;='Calibrare v2'!$B$33,"PASS","FAIL"))</x:f>
      </x:c>
      <x:c r="J448" s="51"/>
      <x:c r="K448" s="51"/>
      <x:c r="L448" s="9" t="str">
        <x:f>IF(OR(J448="",K448=""),"",J448+K448)</x:f>
      </x:c>
      <x:c r="M448" s="9" t="str">
        <x:f>IF(L448="","",IF(L448&lt;=4,"UNDER","OVER"))</x:f>
      </x:c>
      <x:c r="N448" s="9" t="str">
        <x:f>IF(E448="","",IF(LEFT(E448,2)="DA","PARIU U367,5","NO BET"))</x:f>
      </x:c>
      <x:c r="O448" s="9" t="str">
        <x:f>IF(M448="","",IF(AM448="PARIU U367,5",IF(M448="UNDER","SUCCES","EȘEC"),IF(M448="UNDER","FALS NEGATIV","EVITARE CORECTĂ")))</x:f>
      </x:c>
      <x:c r="P448" s="9" t="str">
        <x:f>IF(M448="","",IF(M448="UNDER",1,0))</x:f>
      </x:c>
      <x:c r="Q448" s="9" t="str">
        <x:f>IF(P448="","",(G448-P448)^2)</x:f>
      </x:c>
      <x:c r="R448" s="9" t="str">
        <x:f>IF(L448="","",L448-F448)</x:f>
      </x:c>
      <x:c r="S448" s="9" t="str">
        <x:f>IF(L448="","",IF(M448="UNDER","U367,5 reușit; total final "&amp;L448&amp;" vs λ="&amp;TEXT(F448,"0.00")&amp;".","Eșec U367,5; total final "&amp;L448&amp;" vs λ="&amp;TEXT(F448,"0.00")&amp;". Revizuiește Tail Risk, sursa λ și calibrarea."))</x:f>
      </x:c>
      <x:c r="T448" s="51"/>
      <x:c r="U448" s="51"/>
      <x:c r="V448" s="51"/>
      <x:c r="W448" s="61"/>
      <x:c r="X448" s="61"/>
      <x:c r="Y448" s="51"/>
      <x:c r="Z448" s="53"/>
      <x:c r="AA448" s="51"/>
      <x:c r="AB448" s="64" t="str">
        <x:f>IF(AC448="","",AC448)</x:f>
      </x:c>
      <x:c r="AC448" s="67"/>
      <x:c r="AD448" s="69" t="str">
        <x:f>IF(AE448="","",AE448)</x:f>
      </x:c>
      <x:c r="AE448" s="71"/>
      <x:c r="AF448" s="73" t="str">
        <x:f>IF(AC448="","",1/AC448)</x:f>
      </x:c>
      <x:c r="AG448" s="61"/>
      <x:c r="AH448" s="61"/>
      <x:c r="AI448" s="64" t="str">
        <x:f>IF(OR(AC448="",AG448=""),"",AC448*AG448-1)</x:f>
      </x:c>
      <x:c r="AJ448" s="75" t="str">
        <x:f>IF(OR(G448="",F448=""),"",IF(AND(G448&gt;='Calibrare v2'!$B$35,F448&lt;='Calibrare v2'!$B$34),"PASS","FAIL"))</x:f>
      </x:c>
      <x:c r="AK448" s="75" t="str">
        <x:f>IF(AL448="","",AL448)</x:f>
      </x:c>
      <x:c r="AL448" s="77"/>
      <x:c r="AM448" s="77"/>
      <x:c r="AN448" s="64" t="str">
        <x:f>IF(OR(AC448="",P448=""),"",(AC448-P448)^2)</x:f>
      </x:c>
      <x:c r="AO448" s="64" t="str">
        <x:f>IF(OR(AG448="",AH448=""),"",AG448/AH448-1)</x:f>
      </x:c>
      <x:c r="AP448" s="61"/>
      <x:c r="AQ448" s="73" t="n">
        <x:f>IF(OR(AM448&lt;&gt;"PARIU U4,5",M448="",AP448="",AG448=""),0,IF(M448="UNDER",AP448*(AG448-1),-AP448))</x:f>
        <x:v>0</x:v>
      </x:c>
      <x:c r="AR448" s="51"/>
    </x:row>
    <x:row r="449">
      <x:c r="A449" s="9" t="str">
        <x:f>IF(D449="","",ROW()-1)</x:f>
      </x:c>
      <x:c r="B449" s="51"/>
      <x:c r="C449" s="51"/>
      <x:c r="D449" s="51"/>
      <x:c r="E449" s="9" t="str">
        <x:f>IF(D449="","",IF(AND(F449&lt;='Calibrare v2'!$B$33,G449&gt;=0.86),"DA – FEZABIL",IF(G449&gt;=0.8,"DA – PRUDENT","NU – EVITĂ")))</x:f>
      </x:c>
      <x:c r="F449" s="16" t="str">
        <x:f>IF(OR(W449="",X449=""),"",W449+X449)</x:f>
      </x:c>
      <x:c r="G449" s="28" t="str">
        <x:f>IF(F449="","",EXP(-F449)*(1+F449+F449^2/2+F449^3/6+F449^4/24))</x:f>
      </x:c>
      <x:c r="H449" s="53"/>
      <x:c r="I449" s="9" t="str">
        <x:f>IF(F449="","",IF(F449&lt;='Calibrare v2'!$B$33,"PASS","FAIL"))</x:f>
      </x:c>
      <x:c r="J449" s="51"/>
      <x:c r="K449" s="51"/>
      <x:c r="L449" s="9" t="str">
        <x:f>IF(OR(J449="",K449=""),"",J449+K449)</x:f>
      </x:c>
      <x:c r="M449" s="9" t="str">
        <x:f>IF(L449="","",IF(L449&lt;=4,"UNDER","OVER"))</x:f>
      </x:c>
      <x:c r="N449" s="9" t="str">
        <x:f>IF(E449="","",IF(LEFT(E449,2)="DA","PARIU U368,5","NO BET"))</x:f>
      </x:c>
      <x:c r="O449" s="9" t="str">
        <x:f>IF(M449="","",IF(AM449="PARIU U368,5",IF(M449="UNDER","SUCCES","EȘEC"),IF(M449="UNDER","FALS NEGATIV","EVITARE CORECTĂ")))</x:f>
      </x:c>
      <x:c r="P449" s="9" t="str">
        <x:f>IF(M449="","",IF(M449="UNDER",1,0))</x:f>
      </x:c>
      <x:c r="Q449" s="9" t="str">
        <x:f>IF(P449="","",(G449-P449)^2)</x:f>
      </x:c>
      <x:c r="R449" s="9" t="str">
        <x:f>IF(L449="","",L449-F449)</x:f>
      </x:c>
      <x:c r="S449" s="9" t="str">
        <x:f>IF(L449="","",IF(M449="UNDER","U368,5 reușit; total final "&amp;L449&amp;" vs λ="&amp;TEXT(F449,"0.00")&amp;".","Eșec U368,5; total final "&amp;L449&amp;" vs λ="&amp;TEXT(F449,"0.00")&amp;". Revizuiește Tail Risk, sursa λ și calibrarea."))</x:f>
      </x:c>
      <x:c r="T449" s="51"/>
      <x:c r="U449" s="51"/>
      <x:c r="V449" s="51"/>
      <x:c r="W449" s="61"/>
      <x:c r="X449" s="61"/>
      <x:c r="Y449" s="51"/>
      <x:c r="Z449" s="53"/>
      <x:c r="AA449" s="51"/>
      <x:c r="AB449" s="64" t="str">
        <x:f>IF(AC449="","",AC449)</x:f>
      </x:c>
      <x:c r="AC449" s="67"/>
      <x:c r="AD449" s="69" t="str">
        <x:f>IF(AE449="","",AE449)</x:f>
      </x:c>
      <x:c r="AE449" s="71"/>
      <x:c r="AF449" s="73" t="str">
        <x:f>IF(AC449="","",1/AC449)</x:f>
      </x:c>
      <x:c r="AG449" s="61"/>
      <x:c r="AH449" s="61"/>
      <x:c r="AI449" s="64" t="str">
        <x:f>IF(OR(AC449="",AG449=""),"",AC449*AG449-1)</x:f>
      </x:c>
      <x:c r="AJ449" s="75" t="str">
        <x:f>IF(OR(G449="",F449=""),"",IF(AND(G449&gt;='Calibrare v2'!$B$35,F449&lt;='Calibrare v2'!$B$34),"PASS","FAIL"))</x:f>
      </x:c>
      <x:c r="AK449" s="75" t="str">
        <x:f>IF(AL449="","",AL449)</x:f>
      </x:c>
      <x:c r="AL449" s="77"/>
      <x:c r="AM449" s="77"/>
      <x:c r="AN449" s="64" t="str">
        <x:f>IF(OR(AC449="",P449=""),"",(AC449-P449)^2)</x:f>
      </x:c>
      <x:c r="AO449" s="64" t="str">
        <x:f>IF(OR(AG449="",AH449=""),"",AG449/AH449-1)</x:f>
      </x:c>
      <x:c r="AP449" s="61"/>
      <x:c r="AQ449" s="73" t="n">
        <x:f>IF(OR(AM449&lt;&gt;"PARIU U4,5",M449="",AP449="",AG449=""),0,IF(M449="UNDER",AP449*(AG449-1),-AP449))</x:f>
        <x:v>0</x:v>
      </x:c>
      <x:c r="AR449" s="51"/>
    </x:row>
    <x:row r="450">
      <x:c r="A450" s="9" t="str">
        <x:f>IF(D450="","",ROW()-1)</x:f>
      </x:c>
      <x:c r="B450" s="51"/>
      <x:c r="C450" s="51"/>
      <x:c r="D450" s="51"/>
      <x:c r="E450" s="9" t="str">
        <x:f>IF(D450="","",IF(AND(F450&lt;='Calibrare v2'!$B$33,G450&gt;=0.86),"DA – FEZABIL",IF(G450&gt;=0.8,"DA – PRUDENT","NU – EVITĂ")))</x:f>
      </x:c>
      <x:c r="F450" s="16" t="str">
        <x:f>IF(OR(W450="",X450=""),"",W450+X450)</x:f>
      </x:c>
      <x:c r="G450" s="28" t="str">
        <x:f>IF(F450="","",EXP(-F450)*(1+F450+F450^2/2+F450^3/6+F450^4/24))</x:f>
      </x:c>
      <x:c r="H450" s="53"/>
      <x:c r="I450" s="9" t="str">
        <x:f>IF(F450="","",IF(F450&lt;='Calibrare v2'!$B$33,"PASS","FAIL"))</x:f>
      </x:c>
      <x:c r="J450" s="51"/>
      <x:c r="K450" s="51"/>
      <x:c r="L450" s="9" t="str">
        <x:f>IF(OR(J450="",K450=""),"",J450+K450)</x:f>
      </x:c>
      <x:c r="M450" s="9" t="str">
        <x:f>IF(L450="","",IF(L450&lt;=4,"UNDER","OVER"))</x:f>
      </x:c>
      <x:c r="N450" s="9" t="str">
        <x:f>IF(E450="","",IF(LEFT(E450,2)="DA","PARIU U369,5","NO BET"))</x:f>
      </x:c>
      <x:c r="O450" s="9" t="str">
        <x:f>IF(M450="","",IF(AM450="PARIU U369,5",IF(M450="UNDER","SUCCES","EȘEC"),IF(M450="UNDER","FALS NEGATIV","EVITARE CORECTĂ")))</x:f>
      </x:c>
      <x:c r="P450" s="9" t="str">
        <x:f>IF(M450="","",IF(M450="UNDER",1,0))</x:f>
      </x:c>
      <x:c r="Q450" s="9" t="str">
        <x:f>IF(P450="","",(G450-P450)^2)</x:f>
      </x:c>
      <x:c r="R450" s="9" t="str">
        <x:f>IF(L450="","",L450-F450)</x:f>
      </x:c>
      <x:c r="S450" s="9" t="str">
        <x:f>IF(L450="","",IF(M450="UNDER","U369,5 reușit; total final "&amp;L450&amp;" vs λ="&amp;TEXT(F450,"0.00")&amp;".","Eșec U369,5; total final "&amp;L450&amp;" vs λ="&amp;TEXT(F450,"0.00")&amp;". Revizuiește Tail Risk, sursa λ și calibrarea."))</x:f>
      </x:c>
      <x:c r="T450" s="51"/>
      <x:c r="U450" s="51"/>
      <x:c r="V450" s="51"/>
      <x:c r="W450" s="61"/>
      <x:c r="X450" s="61"/>
      <x:c r="Y450" s="51"/>
      <x:c r="Z450" s="53"/>
      <x:c r="AA450" s="51"/>
      <x:c r="AB450" s="64" t="str">
        <x:f>IF(AC450="","",AC450)</x:f>
      </x:c>
      <x:c r="AC450" s="67"/>
      <x:c r="AD450" s="69" t="str">
        <x:f>IF(AE450="","",AE450)</x:f>
      </x:c>
      <x:c r="AE450" s="71"/>
      <x:c r="AF450" s="73" t="str">
        <x:f>IF(AC450="","",1/AC450)</x:f>
      </x:c>
      <x:c r="AG450" s="61"/>
      <x:c r="AH450" s="61"/>
      <x:c r="AI450" s="64" t="str">
        <x:f>IF(OR(AC450="",AG450=""),"",AC450*AG450-1)</x:f>
      </x:c>
      <x:c r="AJ450" s="75" t="str">
        <x:f>IF(OR(G450="",F450=""),"",IF(AND(G450&gt;='Calibrare v2'!$B$35,F450&lt;='Calibrare v2'!$B$34),"PASS","FAIL"))</x:f>
      </x:c>
      <x:c r="AK450" s="75" t="str">
        <x:f>IF(AL450="","",AL450)</x:f>
      </x:c>
      <x:c r="AL450" s="77"/>
      <x:c r="AM450" s="77"/>
      <x:c r="AN450" s="64" t="str">
        <x:f>IF(OR(AC450="",P450=""),"",(AC450-P450)^2)</x:f>
      </x:c>
      <x:c r="AO450" s="64" t="str">
        <x:f>IF(OR(AG450="",AH450=""),"",AG450/AH450-1)</x:f>
      </x:c>
      <x:c r="AP450" s="61"/>
      <x:c r="AQ450" s="73" t="n">
        <x:f>IF(OR(AM450&lt;&gt;"PARIU U4,5",M450="",AP450="",AG450=""),0,IF(M450="UNDER",AP450*(AG450-1),-AP450))</x:f>
        <x:v>0</x:v>
      </x:c>
      <x:c r="AR450" s="51"/>
    </x:row>
    <x:row r="451">
      <x:c r="A451" s="9" t="str">
        <x:f>IF(D451="","",ROW()-1)</x:f>
      </x:c>
      <x:c r="B451" s="51"/>
      <x:c r="C451" s="51"/>
      <x:c r="D451" s="51"/>
      <x:c r="E451" s="9" t="str">
        <x:f>IF(D451="","",IF(AND(F451&lt;='Calibrare v2'!$B$33,G451&gt;=0.86),"DA – FEZABIL",IF(G451&gt;=0.8,"DA – PRUDENT","NU – EVITĂ")))</x:f>
      </x:c>
      <x:c r="F451" s="16" t="str">
        <x:f>IF(OR(W451="",X451=""),"",W451+X451)</x:f>
      </x:c>
      <x:c r="G451" s="28" t="str">
        <x:f>IF(F451="","",EXP(-F451)*(1+F451+F451^2/2+F451^3/6+F451^4/24))</x:f>
      </x:c>
      <x:c r="H451" s="53"/>
      <x:c r="I451" s="9" t="str">
        <x:f>IF(F451="","",IF(F451&lt;='Calibrare v2'!$B$33,"PASS","FAIL"))</x:f>
      </x:c>
      <x:c r="J451" s="51"/>
      <x:c r="K451" s="51"/>
      <x:c r="L451" s="9" t="str">
        <x:f>IF(OR(J451="",K451=""),"",J451+K451)</x:f>
      </x:c>
      <x:c r="M451" s="9" t="str">
        <x:f>IF(L451="","",IF(L451&lt;=4,"UNDER","OVER"))</x:f>
      </x:c>
      <x:c r="N451" s="9" t="str">
        <x:f>IF(E451="","",IF(LEFT(E451,2)="DA","PARIU U370,5","NO BET"))</x:f>
      </x:c>
      <x:c r="O451" s="9" t="str">
        <x:f>IF(M451="","",IF(AM451="PARIU U370,5",IF(M451="UNDER","SUCCES","EȘEC"),IF(M451="UNDER","FALS NEGATIV","EVITARE CORECTĂ")))</x:f>
      </x:c>
      <x:c r="P451" s="9" t="str">
        <x:f>IF(M451="","",IF(M451="UNDER",1,0))</x:f>
      </x:c>
      <x:c r="Q451" s="9" t="str">
        <x:f>IF(P451="","",(G451-P451)^2)</x:f>
      </x:c>
      <x:c r="R451" s="9" t="str">
        <x:f>IF(L451="","",L451-F451)</x:f>
      </x:c>
      <x:c r="S451" s="9" t="str">
        <x:f>IF(L451="","",IF(M451="UNDER","U370,5 reușit; total final "&amp;L451&amp;" vs λ="&amp;TEXT(F451,"0.00")&amp;".","Eșec U370,5; total final "&amp;L451&amp;" vs λ="&amp;TEXT(F451,"0.00")&amp;". Revizuiește Tail Risk, sursa λ și calibrarea."))</x:f>
      </x:c>
      <x:c r="T451" s="51"/>
      <x:c r="U451" s="51"/>
      <x:c r="V451" s="51"/>
      <x:c r="W451" s="61"/>
      <x:c r="X451" s="61"/>
      <x:c r="Y451" s="51"/>
      <x:c r="Z451" s="53"/>
      <x:c r="AA451" s="51"/>
      <x:c r="AB451" s="64" t="str">
        <x:f>IF(AC451="","",AC451)</x:f>
      </x:c>
      <x:c r="AC451" s="67"/>
      <x:c r="AD451" s="69" t="str">
        <x:f>IF(AE451="","",AE451)</x:f>
      </x:c>
      <x:c r="AE451" s="71"/>
      <x:c r="AF451" s="73" t="str">
        <x:f>IF(AC451="","",1/AC451)</x:f>
      </x:c>
      <x:c r="AG451" s="61"/>
      <x:c r="AH451" s="61"/>
      <x:c r="AI451" s="64" t="str">
        <x:f>IF(OR(AC451="",AG451=""),"",AC451*AG451-1)</x:f>
      </x:c>
      <x:c r="AJ451" s="75" t="str">
        <x:f>IF(OR(G451="",F451=""),"",IF(AND(G451&gt;='Calibrare v2'!$B$35,F451&lt;='Calibrare v2'!$B$34),"PASS","FAIL"))</x:f>
      </x:c>
      <x:c r="AK451" s="75" t="str">
        <x:f>IF(AL451="","",AL451)</x:f>
      </x:c>
      <x:c r="AL451" s="77"/>
      <x:c r="AM451" s="77"/>
      <x:c r="AN451" s="64" t="str">
        <x:f>IF(OR(AC451="",P451=""),"",(AC451-P451)^2)</x:f>
      </x:c>
      <x:c r="AO451" s="64" t="str">
        <x:f>IF(OR(AG451="",AH451=""),"",AG451/AH451-1)</x:f>
      </x:c>
      <x:c r="AP451" s="61"/>
      <x:c r="AQ451" s="73" t="n">
        <x:f>IF(OR(AM451&lt;&gt;"PARIU U4,5",M451="",AP451="",AG451=""),0,IF(M451="UNDER",AP451*(AG451-1),-AP451))</x:f>
        <x:v>0</x:v>
      </x:c>
      <x:c r="AR451" s="51"/>
    </x:row>
    <x:row r="452">
      <x:c r="A452" s="9" t="str">
        <x:f>IF(D452="","",ROW()-1)</x:f>
      </x:c>
      <x:c r="B452" s="51"/>
      <x:c r="C452" s="51"/>
      <x:c r="D452" s="51"/>
      <x:c r="E452" s="9" t="str">
        <x:f>IF(D452="","",IF(AND(F452&lt;='Calibrare v2'!$B$33,G452&gt;=0.86),"DA – FEZABIL",IF(G452&gt;=0.8,"DA – PRUDENT","NU – EVITĂ")))</x:f>
      </x:c>
      <x:c r="F452" s="16" t="str">
        <x:f>IF(OR(W452="",X452=""),"",W452+X452)</x:f>
      </x:c>
      <x:c r="G452" s="28" t="str">
        <x:f>IF(F452="","",EXP(-F452)*(1+F452+F452^2/2+F452^3/6+F452^4/24))</x:f>
      </x:c>
      <x:c r="H452" s="53"/>
      <x:c r="I452" s="9" t="str">
        <x:f>IF(F452="","",IF(F452&lt;='Calibrare v2'!$B$33,"PASS","FAIL"))</x:f>
      </x:c>
      <x:c r="J452" s="51"/>
      <x:c r="K452" s="51"/>
      <x:c r="L452" s="9" t="str">
        <x:f>IF(OR(J452="",K452=""),"",J452+K452)</x:f>
      </x:c>
      <x:c r="M452" s="9" t="str">
        <x:f>IF(L452="","",IF(L452&lt;=4,"UNDER","OVER"))</x:f>
      </x:c>
      <x:c r="N452" s="9" t="str">
        <x:f>IF(E452="","",IF(LEFT(E452,2)="DA","PARIU U371,5","NO BET"))</x:f>
      </x:c>
      <x:c r="O452" s="9" t="str">
        <x:f>IF(M452="","",IF(AM452="PARIU U371,5",IF(M452="UNDER","SUCCES","EȘEC"),IF(M452="UNDER","FALS NEGATIV","EVITARE CORECTĂ")))</x:f>
      </x:c>
      <x:c r="P452" s="9" t="str">
        <x:f>IF(M452="","",IF(M452="UNDER",1,0))</x:f>
      </x:c>
      <x:c r="Q452" s="9" t="str">
        <x:f>IF(P452="","",(G452-P452)^2)</x:f>
      </x:c>
      <x:c r="R452" s="9" t="str">
        <x:f>IF(L452="","",L452-F452)</x:f>
      </x:c>
      <x:c r="S452" s="9" t="str">
        <x:f>IF(L452="","",IF(M452="UNDER","U371,5 reușit; total final "&amp;L452&amp;" vs λ="&amp;TEXT(F452,"0.00")&amp;".","Eșec U371,5; total final "&amp;L452&amp;" vs λ="&amp;TEXT(F452,"0.00")&amp;". Revizuiește Tail Risk, sursa λ și calibrarea."))</x:f>
      </x:c>
      <x:c r="T452" s="51"/>
      <x:c r="U452" s="51"/>
      <x:c r="V452" s="51"/>
      <x:c r="W452" s="61"/>
      <x:c r="X452" s="61"/>
      <x:c r="Y452" s="51"/>
      <x:c r="Z452" s="53"/>
      <x:c r="AA452" s="51"/>
      <x:c r="AB452" s="64" t="str">
        <x:f>IF(AC452="","",AC452)</x:f>
      </x:c>
      <x:c r="AC452" s="67"/>
      <x:c r="AD452" s="69" t="str">
        <x:f>IF(AE452="","",AE452)</x:f>
      </x:c>
      <x:c r="AE452" s="71"/>
      <x:c r="AF452" s="73" t="str">
        <x:f>IF(AC452="","",1/AC452)</x:f>
      </x:c>
      <x:c r="AG452" s="61"/>
      <x:c r="AH452" s="61"/>
      <x:c r="AI452" s="64" t="str">
        <x:f>IF(OR(AC452="",AG452=""),"",AC452*AG452-1)</x:f>
      </x:c>
      <x:c r="AJ452" s="75" t="str">
        <x:f>IF(OR(G452="",F452=""),"",IF(AND(G452&gt;='Calibrare v2'!$B$35,F452&lt;='Calibrare v2'!$B$34),"PASS","FAIL"))</x:f>
      </x:c>
      <x:c r="AK452" s="75" t="str">
        <x:f>IF(AL452="","",AL452)</x:f>
      </x:c>
      <x:c r="AL452" s="77"/>
      <x:c r="AM452" s="77"/>
      <x:c r="AN452" s="64" t="str">
        <x:f>IF(OR(AC452="",P452=""),"",(AC452-P452)^2)</x:f>
      </x:c>
      <x:c r="AO452" s="64" t="str">
        <x:f>IF(OR(AG452="",AH452=""),"",AG452/AH452-1)</x:f>
      </x:c>
      <x:c r="AP452" s="61"/>
      <x:c r="AQ452" s="73" t="n">
        <x:f>IF(OR(AM452&lt;&gt;"PARIU U4,5",M452="",AP452="",AG452=""),0,IF(M452="UNDER",AP452*(AG452-1),-AP452))</x:f>
        <x:v>0</x:v>
      </x:c>
      <x:c r="AR452" s="51"/>
    </x:row>
    <x:row r="453">
      <x:c r="A453" s="9" t="str">
        <x:f>IF(D453="","",ROW()-1)</x:f>
      </x:c>
      <x:c r="B453" s="51"/>
      <x:c r="C453" s="51"/>
      <x:c r="D453" s="51"/>
      <x:c r="E453" s="9" t="str">
        <x:f>IF(D453="","",IF(AND(F453&lt;='Calibrare v2'!$B$33,G453&gt;=0.86),"DA – FEZABIL",IF(G453&gt;=0.8,"DA – PRUDENT","NU – EVITĂ")))</x:f>
      </x:c>
      <x:c r="F453" s="16" t="str">
        <x:f>IF(OR(W453="",X453=""),"",W453+X453)</x:f>
      </x:c>
      <x:c r="G453" s="28" t="str">
        <x:f>IF(F453="","",EXP(-F453)*(1+F453+F453^2/2+F453^3/6+F453^4/24))</x:f>
      </x:c>
      <x:c r="H453" s="53"/>
      <x:c r="I453" s="9" t="str">
        <x:f>IF(F453="","",IF(F453&lt;='Calibrare v2'!$B$33,"PASS","FAIL"))</x:f>
      </x:c>
      <x:c r="J453" s="51"/>
      <x:c r="K453" s="51"/>
      <x:c r="L453" s="9" t="str">
        <x:f>IF(OR(J453="",K453=""),"",J453+K453)</x:f>
      </x:c>
      <x:c r="M453" s="9" t="str">
        <x:f>IF(L453="","",IF(L453&lt;=4,"UNDER","OVER"))</x:f>
      </x:c>
      <x:c r="N453" s="9" t="str">
        <x:f>IF(E453="","",IF(LEFT(E453,2)="DA","PARIU U372,5","NO BET"))</x:f>
      </x:c>
      <x:c r="O453" s="9" t="str">
        <x:f>IF(M453="","",IF(AM453="PARIU U372,5",IF(M453="UNDER","SUCCES","EȘEC"),IF(M453="UNDER","FALS NEGATIV","EVITARE CORECTĂ")))</x:f>
      </x:c>
      <x:c r="P453" s="9" t="str">
        <x:f>IF(M453="","",IF(M453="UNDER",1,0))</x:f>
      </x:c>
      <x:c r="Q453" s="9" t="str">
        <x:f>IF(P453="","",(G453-P453)^2)</x:f>
      </x:c>
      <x:c r="R453" s="9" t="str">
        <x:f>IF(L453="","",L453-F453)</x:f>
      </x:c>
      <x:c r="S453" s="9" t="str">
        <x:f>IF(L453="","",IF(M453="UNDER","U372,5 reușit; total final "&amp;L453&amp;" vs λ="&amp;TEXT(F453,"0.00")&amp;".","Eșec U372,5; total final "&amp;L453&amp;" vs λ="&amp;TEXT(F453,"0.00")&amp;". Revizuiește Tail Risk, sursa λ și calibrarea."))</x:f>
      </x:c>
      <x:c r="T453" s="51"/>
      <x:c r="U453" s="51"/>
      <x:c r="V453" s="51"/>
      <x:c r="W453" s="61"/>
      <x:c r="X453" s="61"/>
      <x:c r="Y453" s="51"/>
      <x:c r="Z453" s="53"/>
      <x:c r="AA453" s="51"/>
      <x:c r="AB453" s="64" t="str">
        <x:f>IF(AC453="","",AC453)</x:f>
      </x:c>
      <x:c r="AC453" s="67"/>
      <x:c r="AD453" s="69" t="str">
        <x:f>IF(AE453="","",AE453)</x:f>
      </x:c>
      <x:c r="AE453" s="71"/>
      <x:c r="AF453" s="73" t="str">
        <x:f>IF(AC453="","",1/AC453)</x:f>
      </x:c>
      <x:c r="AG453" s="61"/>
      <x:c r="AH453" s="61"/>
      <x:c r="AI453" s="64" t="str">
        <x:f>IF(OR(AC453="",AG453=""),"",AC453*AG453-1)</x:f>
      </x:c>
      <x:c r="AJ453" s="75" t="str">
        <x:f>IF(OR(G453="",F453=""),"",IF(AND(G453&gt;='Calibrare v2'!$B$35,F453&lt;='Calibrare v2'!$B$34),"PASS","FAIL"))</x:f>
      </x:c>
      <x:c r="AK453" s="75" t="str">
        <x:f>IF(AL453="","",AL453)</x:f>
      </x:c>
      <x:c r="AL453" s="77"/>
      <x:c r="AM453" s="77"/>
      <x:c r="AN453" s="64" t="str">
        <x:f>IF(OR(AC453="",P453=""),"",(AC453-P453)^2)</x:f>
      </x:c>
      <x:c r="AO453" s="64" t="str">
        <x:f>IF(OR(AG453="",AH453=""),"",AG453/AH453-1)</x:f>
      </x:c>
      <x:c r="AP453" s="61"/>
      <x:c r="AQ453" s="73" t="n">
        <x:f>IF(OR(AM453&lt;&gt;"PARIU U4,5",M453="",AP453="",AG453=""),0,IF(M453="UNDER",AP453*(AG453-1),-AP453))</x:f>
        <x:v>0</x:v>
      </x:c>
      <x:c r="AR453" s="51"/>
    </x:row>
    <x:row r="454">
      <x:c r="A454" s="9" t="str">
        <x:f>IF(D454="","",ROW()-1)</x:f>
      </x:c>
      <x:c r="B454" s="51"/>
      <x:c r="C454" s="51"/>
      <x:c r="D454" s="51"/>
      <x:c r="E454" s="9" t="str">
        <x:f>IF(D454="","",IF(AND(F454&lt;='Calibrare v2'!$B$33,G454&gt;=0.86),"DA – FEZABIL",IF(G454&gt;=0.8,"DA – PRUDENT","NU – EVITĂ")))</x:f>
      </x:c>
      <x:c r="F454" s="16" t="str">
        <x:f>IF(OR(W454="",X454=""),"",W454+X454)</x:f>
      </x:c>
      <x:c r="G454" s="28" t="str">
        <x:f>IF(F454="","",EXP(-F454)*(1+F454+F454^2/2+F454^3/6+F454^4/24))</x:f>
      </x:c>
      <x:c r="H454" s="53"/>
      <x:c r="I454" s="9" t="str">
        <x:f>IF(F454="","",IF(F454&lt;='Calibrare v2'!$B$33,"PASS","FAIL"))</x:f>
      </x:c>
      <x:c r="J454" s="51"/>
      <x:c r="K454" s="51"/>
      <x:c r="L454" s="9" t="str">
        <x:f>IF(OR(J454="",K454=""),"",J454+K454)</x:f>
      </x:c>
      <x:c r="M454" s="9" t="str">
        <x:f>IF(L454="","",IF(L454&lt;=4,"UNDER","OVER"))</x:f>
      </x:c>
      <x:c r="N454" s="9" t="str">
        <x:f>IF(E454="","",IF(LEFT(E454,2)="DA","PARIU U373,5","NO BET"))</x:f>
      </x:c>
      <x:c r="O454" s="9" t="str">
        <x:f>IF(M454="","",IF(AM454="PARIU U373,5",IF(M454="UNDER","SUCCES","EȘEC"),IF(M454="UNDER","FALS NEGATIV","EVITARE CORECTĂ")))</x:f>
      </x:c>
      <x:c r="P454" s="9" t="str">
        <x:f>IF(M454="","",IF(M454="UNDER",1,0))</x:f>
      </x:c>
      <x:c r="Q454" s="9" t="str">
        <x:f>IF(P454="","",(G454-P454)^2)</x:f>
      </x:c>
      <x:c r="R454" s="9" t="str">
        <x:f>IF(L454="","",L454-F454)</x:f>
      </x:c>
      <x:c r="S454" s="9" t="str">
        <x:f>IF(L454="","",IF(M454="UNDER","U373,5 reușit; total final "&amp;L454&amp;" vs λ="&amp;TEXT(F454,"0.00")&amp;".","Eșec U373,5; total final "&amp;L454&amp;" vs λ="&amp;TEXT(F454,"0.00")&amp;". Revizuiește Tail Risk, sursa λ și calibrarea."))</x:f>
      </x:c>
      <x:c r="T454" s="51"/>
      <x:c r="U454" s="51"/>
      <x:c r="V454" s="51"/>
      <x:c r="W454" s="61"/>
      <x:c r="X454" s="61"/>
      <x:c r="Y454" s="51"/>
      <x:c r="Z454" s="53"/>
      <x:c r="AA454" s="51"/>
      <x:c r="AB454" s="64" t="str">
        <x:f>IF(AC454="","",AC454)</x:f>
      </x:c>
      <x:c r="AC454" s="67"/>
      <x:c r="AD454" s="69" t="str">
        <x:f>IF(AE454="","",AE454)</x:f>
      </x:c>
      <x:c r="AE454" s="71"/>
      <x:c r="AF454" s="73" t="str">
        <x:f>IF(AC454="","",1/AC454)</x:f>
      </x:c>
      <x:c r="AG454" s="61"/>
      <x:c r="AH454" s="61"/>
      <x:c r="AI454" s="64" t="str">
        <x:f>IF(OR(AC454="",AG454=""),"",AC454*AG454-1)</x:f>
      </x:c>
      <x:c r="AJ454" s="75" t="str">
        <x:f>IF(OR(G454="",F454=""),"",IF(AND(G454&gt;='Calibrare v2'!$B$35,F454&lt;='Calibrare v2'!$B$34),"PASS","FAIL"))</x:f>
      </x:c>
      <x:c r="AK454" s="75" t="str">
        <x:f>IF(AL454="","",AL454)</x:f>
      </x:c>
      <x:c r="AL454" s="77"/>
      <x:c r="AM454" s="77"/>
      <x:c r="AN454" s="64" t="str">
        <x:f>IF(OR(AC454="",P454=""),"",(AC454-P454)^2)</x:f>
      </x:c>
      <x:c r="AO454" s="64" t="str">
        <x:f>IF(OR(AG454="",AH454=""),"",AG454/AH454-1)</x:f>
      </x:c>
      <x:c r="AP454" s="61"/>
      <x:c r="AQ454" s="73" t="n">
        <x:f>IF(OR(AM454&lt;&gt;"PARIU U4,5",M454="",AP454="",AG454=""),0,IF(M454="UNDER",AP454*(AG454-1),-AP454))</x:f>
        <x:v>0</x:v>
      </x:c>
      <x:c r="AR454" s="51"/>
    </x:row>
    <x:row r="455">
      <x:c r="A455" s="9" t="str">
        <x:f>IF(D455="","",ROW()-1)</x:f>
      </x:c>
      <x:c r="B455" s="51"/>
      <x:c r="C455" s="51"/>
      <x:c r="D455" s="51"/>
      <x:c r="E455" s="9" t="str">
        <x:f>IF(D455="","",IF(AND(F455&lt;='Calibrare v2'!$B$33,G455&gt;=0.86),"DA – FEZABIL",IF(G455&gt;=0.8,"DA – PRUDENT","NU – EVITĂ")))</x:f>
      </x:c>
      <x:c r="F455" s="16" t="str">
        <x:f>IF(OR(W455="",X455=""),"",W455+X455)</x:f>
      </x:c>
      <x:c r="G455" s="28" t="str">
        <x:f>IF(F455="","",EXP(-F455)*(1+F455+F455^2/2+F455^3/6+F455^4/24))</x:f>
      </x:c>
      <x:c r="H455" s="53"/>
      <x:c r="I455" s="9" t="str">
        <x:f>IF(F455="","",IF(F455&lt;='Calibrare v2'!$B$33,"PASS","FAIL"))</x:f>
      </x:c>
      <x:c r="J455" s="51"/>
      <x:c r="K455" s="51"/>
      <x:c r="L455" s="9" t="str">
        <x:f>IF(OR(J455="",K455=""),"",J455+K455)</x:f>
      </x:c>
      <x:c r="M455" s="9" t="str">
        <x:f>IF(L455="","",IF(L455&lt;=4,"UNDER","OVER"))</x:f>
      </x:c>
      <x:c r="N455" s="9" t="str">
        <x:f>IF(E455="","",IF(LEFT(E455,2)="DA","PARIU U374,5","NO BET"))</x:f>
      </x:c>
      <x:c r="O455" s="9" t="str">
        <x:f>IF(M455="","",IF(AM455="PARIU U374,5",IF(M455="UNDER","SUCCES","EȘEC"),IF(M455="UNDER","FALS NEGATIV","EVITARE CORECTĂ")))</x:f>
      </x:c>
      <x:c r="P455" s="9" t="str">
        <x:f>IF(M455="","",IF(M455="UNDER",1,0))</x:f>
      </x:c>
      <x:c r="Q455" s="9" t="str">
        <x:f>IF(P455="","",(G455-P455)^2)</x:f>
      </x:c>
      <x:c r="R455" s="9" t="str">
        <x:f>IF(L455="","",L455-F455)</x:f>
      </x:c>
      <x:c r="S455" s="9" t="str">
        <x:f>IF(L455="","",IF(M455="UNDER","U374,5 reușit; total final "&amp;L455&amp;" vs λ="&amp;TEXT(F455,"0.00")&amp;".","Eșec U374,5; total final "&amp;L455&amp;" vs λ="&amp;TEXT(F455,"0.00")&amp;". Revizuiește Tail Risk, sursa λ și calibrarea."))</x:f>
      </x:c>
      <x:c r="T455" s="51"/>
      <x:c r="U455" s="51"/>
      <x:c r="V455" s="51"/>
      <x:c r="W455" s="61"/>
      <x:c r="X455" s="61"/>
      <x:c r="Y455" s="51"/>
      <x:c r="Z455" s="53"/>
      <x:c r="AA455" s="51"/>
      <x:c r="AB455" s="64" t="str">
        <x:f>IF(AC455="","",AC455)</x:f>
      </x:c>
      <x:c r="AC455" s="67"/>
      <x:c r="AD455" s="69" t="str">
        <x:f>IF(AE455="","",AE455)</x:f>
      </x:c>
      <x:c r="AE455" s="71"/>
      <x:c r="AF455" s="73" t="str">
        <x:f>IF(AC455="","",1/AC455)</x:f>
      </x:c>
      <x:c r="AG455" s="61"/>
      <x:c r="AH455" s="61"/>
      <x:c r="AI455" s="64" t="str">
        <x:f>IF(OR(AC455="",AG455=""),"",AC455*AG455-1)</x:f>
      </x:c>
      <x:c r="AJ455" s="75" t="str">
        <x:f>IF(OR(G455="",F455=""),"",IF(AND(G455&gt;='Calibrare v2'!$B$35,F455&lt;='Calibrare v2'!$B$34),"PASS","FAIL"))</x:f>
      </x:c>
      <x:c r="AK455" s="75" t="str">
        <x:f>IF(AL455="","",AL455)</x:f>
      </x:c>
      <x:c r="AL455" s="77"/>
      <x:c r="AM455" s="77"/>
      <x:c r="AN455" s="64" t="str">
        <x:f>IF(OR(AC455="",P455=""),"",(AC455-P455)^2)</x:f>
      </x:c>
      <x:c r="AO455" s="64" t="str">
        <x:f>IF(OR(AG455="",AH455=""),"",AG455/AH455-1)</x:f>
      </x:c>
      <x:c r="AP455" s="61"/>
      <x:c r="AQ455" s="73" t="n">
        <x:f>IF(OR(AM455&lt;&gt;"PARIU U4,5",M455="",AP455="",AG455=""),0,IF(M455="UNDER",AP455*(AG455-1),-AP455))</x:f>
        <x:v>0</x:v>
      </x:c>
      <x:c r="AR455" s="51"/>
    </x:row>
    <x:row r="456">
      <x:c r="A456" s="9" t="str">
        <x:f>IF(D456="","",ROW()-1)</x:f>
      </x:c>
      <x:c r="B456" s="51"/>
      <x:c r="C456" s="51"/>
      <x:c r="D456" s="51"/>
      <x:c r="E456" s="9" t="str">
        <x:f>IF(D456="","",IF(AND(F456&lt;='Calibrare v2'!$B$33,G456&gt;=0.86),"DA – FEZABIL",IF(G456&gt;=0.8,"DA – PRUDENT","NU – EVITĂ")))</x:f>
      </x:c>
      <x:c r="F456" s="16" t="str">
        <x:f>IF(OR(W456="",X456=""),"",W456+X456)</x:f>
      </x:c>
      <x:c r="G456" s="28" t="str">
        <x:f>IF(F456="","",EXP(-F456)*(1+F456+F456^2/2+F456^3/6+F456^4/24))</x:f>
      </x:c>
      <x:c r="H456" s="53"/>
      <x:c r="I456" s="9" t="str">
        <x:f>IF(F456="","",IF(F456&lt;='Calibrare v2'!$B$33,"PASS","FAIL"))</x:f>
      </x:c>
      <x:c r="J456" s="51"/>
      <x:c r="K456" s="51"/>
      <x:c r="L456" s="9" t="str">
        <x:f>IF(OR(J456="",K456=""),"",J456+K456)</x:f>
      </x:c>
      <x:c r="M456" s="9" t="str">
        <x:f>IF(L456="","",IF(L456&lt;=4,"UNDER","OVER"))</x:f>
      </x:c>
      <x:c r="N456" s="9" t="str">
        <x:f>IF(E456="","",IF(LEFT(E456,2)="DA","PARIU U375,5","NO BET"))</x:f>
      </x:c>
      <x:c r="O456" s="9" t="str">
        <x:f>IF(M456="","",IF(AM456="PARIU U375,5",IF(M456="UNDER","SUCCES","EȘEC"),IF(M456="UNDER","FALS NEGATIV","EVITARE CORECTĂ")))</x:f>
      </x:c>
      <x:c r="P456" s="9" t="str">
        <x:f>IF(M456="","",IF(M456="UNDER",1,0))</x:f>
      </x:c>
      <x:c r="Q456" s="9" t="str">
        <x:f>IF(P456="","",(G456-P456)^2)</x:f>
      </x:c>
      <x:c r="R456" s="9" t="str">
        <x:f>IF(L456="","",L456-F456)</x:f>
      </x:c>
      <x:c r="S456" s="9" t="str">
        <x:f>IF(L456="","",IF(M456="UNDER","U375,5 reușit; total final "&amp;L456&amp;" vs λ="&amp;TEXT(F456,"0.00")&amp;".","Eșec U375,5; total final "&amp;L456&amp;" vs λ="&amp;TEXT(F456,"0.00")&amp;". Revizuiește Tail Risk, sursa λ și calibrarea."))</x:f>
      </x:c>
      <x:c r="T456" s="51"/>
      <x:c r="U456" s="51"/>
      <x:c r="V456" s="51"/>
      <x:c r="W456" s="61"/>
      <x:c r="X456" s="61"/>
      <x:c r="Y456" s="51"/>
      <x:c r="Z456" s="53"/>
      <x:c r="AA456" s="51"/>
      <x:c r="AB456" s="64" t="str">
        <x:f>IF(AC456="","",AC456)</x:f>
      </x:c>
      <x:c r="AC456" s="67"/>
      <x:c r="AD456" s="69" t="str">
        <x:f>IF(AE456="","",AE456)</x:f>
      </x:c>
      <x:c r="AE456" s="71"/>
      <x:c r="AF456" s="73" t="str">
        <x:f>IF(AC456="","",1/AC456)</x:f>
      </x:c>
      <x:c r="AG456" s="61"/>
      <x:c r="AH456" s="61"/>
      <x:c r="AI456" s="64" t="str">
        <x:f>IF(OR(AC456="",AG456=""),"",AC456*AG456-1)</x:f>
      </x:c>
      <x:c r="AJ456" s="75" t="str">
        <x:f>IF(OR(G456="",F456=""),"",IF(AND(G456&gt;='Calibrare v2'!$B$35,F456&lt;='Calibrare v2'!$B$34),"PASS","FAIL"))</x:f>
      </x:c>
      <x:c r="AK456" s="75" t="str">
        <x:f>IF(AL456="","",AL456)</x:f>
      </x:c>
      <x:c r="AL456" s="77"/>
      <x:c r="AM456" s="77"/>
      <x:c r="AN456" s="64" t="str">
        <x:f>IF(OR(AC456="",P456=""),"",(AC456-P456)^2)</x:f>
      </x:c>
      <x:c r="AO456" s="64" t="str">
        <x:f>IF(OR(AG456="",AH456=""),"",AG456/AH456-1)</x:f>
      </x:c>
      <x:c r="AP456" s="61"/>
      <x:c r="AQ456" s="73" t="n">
        <x:f>IF(OR(AM456&lt;&gt;"PARIU U4,5",M456="",AP456="",AG456=""),0,IF(M456="UNDER",AP456*(AG456-1),-AP456))</x:f>
        <x:v>0</x:v>
      </x:c>
      <x:c r="AR456" s="51"/>
    </x:row>
    <x:row r="457">
      <x:c r="A457" s="9" t="str">
        <x:f>IF(D457="","",ROW()-1)</x:f>
      </x:c>
      <x:c r="B457" s="51"/>
      <x:c r="C457" s="51"/>
      <x:c r="D457" s="51"/>
      <x:c r="E457" s="9" t="str">
        <x:f>IF(D457="","",IF(AND(F457&lt;='Calibrare v2'!$B$33,G457&gt;=0.86),"DA – FEZABIL",IF(G457&gt;=0.8,"DA – PRUDENT","NU – EVITĂ")))</x:f>
      </x:c>
      <x:c r="F457" s="16" t="str">
        <x:f>IF(OR(W457="",X457=""),"",W457+X457)</x:f>
      </x:c>
      <x:c r="G457" s="28" t="str">
        <x:f>IF(F457="","",EXP(-F457)*(1+F457+F457^2/2+F457^3/6+F457^4/24))</x:f>
      </x:c>
      <x:c r="H457" s="53"/>
      <x:c r="I457" s="9" t="str">
        <x:f>IF(F457="","",IF(F457&lt;='Calibrare v2'!$B$33,"PASS","FAIL"))</x:f>
      </x:c>
      <x:c r="J457" s="51"/>
      <x:c r="K457" s="51"/>
      <x:c r="L457" s="9" t="str">
        <x:f>IF(OR(J457="",K457=""),"",J457+K457)</x:f>
      </x:c>
      <x:c r="M457" s="9" t="str">
        <x:f>IF(L457="","",IF(L457&lt;=4,"UNDER","OVER"))</x:f>
      </x:c>
      <x:c r="N457" s="9" t="str">
        <x:f>IF(E457="","",IF(LEFT(E457,2)="DA","PARIU U376,5","NO BET"))</x:f>
      </x:c>
      <x:c r="O457" s="9" t="str">
        <x:f>IF(M457="","",IF(AM457="PARIU U376,5",IF(M457="UNDER","SUCCES","EȘEC"),IF(M457="UNDER","FALS NEGATIV","EVITARE CORECTĂ")))</x:f>
      </x:c>
      <x:c r="P457" s="9" t="str">
        <x:f>IF(M457="","",IF(M457="UNDER",1,0))</x:f>
      </x:c>
      <x:c r="Q457" s="9" t="str">
        <x:f>IF(P457="","",(G457-P457)^2)</x:f>
      </x:c>
      <x:c r="R457" s="9" t="str">
        <x:f>IF(L457="","",L457-F457)</x:f>
      </x:c>
      <x:c r="S457" s="9" t="str">
        <x:f>IF(L457="","",IF(M457="UNDER","U376,5 reușit; total final "&amp;L457&amp;" vs λ="&amp;TEXT(F457,"0.00")&amp;".","Eșec U376,5; total final "&amp;L457&amp;" vs λ="&amp;TEXT(F457,"0.00")&amp;". Revizuiește Tail Risk, sursa λ și calibrarea."))</x:f>
      </x:c>
      <x:c r="T457" s="51"/>
      <x:c r="U457" s="51"/>
      <x:c r="V457" s="51"/>
      <x:c r="W457" s="61"/>
      <x:c r="X457" s="61"/>
      <x:c r="Y457" s="51"/>
      <x:c r="Z457" s="53"/>
      <x:c r="AA457" s="51"/>
      <x:c r="AB457" s="64" t="str">
        <x:f>IF(AC457="","",AC457)</x:f>
      </x:c>
      <x:c r="AC457" s="67"/>
      <x:c r="AD457" s="69" t="str">
        <x:f>IF(AE457="","",AE457)</x:f>
      </x:c>
      <x:c r="AE457" s="71"/>
      <x:c r="AF457" s="73" t="str">
        <x:f>IF(AC457="","",1/AC457)</x:f>
      </x:c>
      <x:c r="AG457" s="61"/>
      <x:c r="AH457" s="61"/>
      <x:c r="AI457" s="64" t="str">
        <x:f>IF(OR(AC457="",AG457=""),"",AC457*AG457-1)</x:f>
      </x:c>
      <x:c r="AJ457" s="75" t="str">
        <x:f>IF(OR(G457="",F457=""),"",IF(AND(G457&gt;='Calibrare v2'!$B$35,F457&lt;='Calibrare v2'!$B$34),"PASS","FAIL"))</x:f>
      </x:c>
      <x:c r="AK457" s="75" t="str">
        <x:f>IF(AL457="","",AL457)</x:f>
      </x:c>
      <x:c r="AL457" s="77"/>
      <x:c r="AM457" s="77"/>
      <x:c r="AN457" s="64" t="str">
        <x:f>IF(OR(AC457="",P457=""),"",(AC457-P457)^2)</x:f>
      </x:c>
      <x:c r="AO457" s="64" t="str">
        <x:f>IF(OR(AG457="",AH457=""),"",AG457/AH457-1)</x:f>
      </x:c>
      <x:c r="AP457" s="61"/>
      <x:c r="AQ457" s="73" t="n">
        <x:f>IF(OR(AM457&lt;&gt;"PARIU U4,5",M457="",AP457="",AG457=""),0,IF(M457="UNDER",AP457*(AG457-1),-AP457))</x:f>
        <x:v>0</x:v>
      </x:c>
      <x:c r="AR457" s="51"/>
    </x:row>
    <x:row r="458">
      <x:c r="A458" s="9" t="str">
        <x:f>IF(D458="","",ROW()-1)</x:f>
      </x:c>
      <x:c r="B458" s="51"/>
      <x:c r="C458" s="51"/>
      <x:c r="D458" s="51"/>
      <x:c r="E458" s="9" t="str">
        <x:f>IF(D458="","",IF(AND(F458&lt;='Calibrare v2'!$B$33,G458&gt;=0.86),"DA – FEZABIL",IF(G458&gt;=0.8,"DA – PRUDENT","NU – EVITĂ")))</x:f>
      </x:c>
      <x:c r="F458" s="16" t="str">
        <x:f>IF(OR(W458="",X458=""),"",W458+X458)</x:f>
      </x:c>
      <x:c r="G458" s="28" t="str">
        <x:f>IF(F458="","",EXP(-F458)*(1+F458+F458^2/2+F458^3/6+F458^4/24))</x:f>
      </x:c>
      <x:c r="H458" s="53"/>
      <x:c r="I458" s="9" t="str">
        <x:f>IF(F458="","",IF(F458&lt;='Calibrare v2'!$B$33,"PASS","FAIL"))</x:f>
      </x:c>
      <x:c r="J458" s="51"/>
      <x:c r="K458" s="51"/>
      <x:c r="L458" s="9" t="str">
        <x:f>IF(OR(J458="",K458=""),"",J458+K458)</x:f>
      </x:c>
      <x:c r="M458" s="9" t="str">
        <x:f>IF(L458="","",IF(L458&lt;=4,"UNDER","OVER"))</x:f>
      </x:c>
      <x:c r="N458" s="9" t="str">
        <x:f>IF(E458="","",IF(LEFT(E458,2)="DA","PARIU U377,5","NO BET"))</x:f>
      </x:c>
      <x:c r="O458" s="9" t="str">
        <x:f>IF(M458="","",IF(AM458="PARIU U377,5",IF(M458="UNDER","SUCCES","EȘEC"),IF(M458="UNDER","FALS NEGATIV","EVITARE CORECTĂ")))</x:f>
      </x:c>
      <x:c r="P458" s="9" t="str">
        <x:f>IF(M458="","",IF(M458="UNDER",1,0))</x:f>
      </x:c>
      <x:c r="Q458" s="9" t="str">
        <x:f>IF(P458="","",(G458-P458)^2)</x:f>
      </x:c>
      <x:c r="R458" s="9" t="str">
        <x:f>IF(L458="","",L458-F458)</x:f>
      </x:c>
      <x:c r="S458" s="9" t="str">
        <x:f>IF(L458="","",IF(M458="UNDER","U377,5 reușit; total final "&amp;L458&amp;" vs λ="&amp;TEXT(F458,"0.00")&amp;".","Eșec U377,5; total final "&amp;L458&amp;" vs λ="&amp;TEXT(F458,"0.00")&amp;". Revizuiește Tail Risk, sursa λ și calibrarea."))</x:f>
      </x:c>
      <x:c r="T458" s="51"/>
      <x:c r="U458" s="51"/>
      <x:c r="V458" s="51"/>
      <x:c r="W458" s="61"/>
      <x:c r="X458" s="61"/>
      <x:c r="Y458" s="51"/>
      <x:c r="Z458" s="53"/>
      <x:c r="AA458" s="51"/>
      <x:c r="AB458" s="64" t="str">
        <x:f>IF(AC458="","",AC458)</x:f>
      </x:c>
      <x:c r="AC458" s="67"/>
      <x:c r="AD458" s="69" t="str">
        <x:f>IF(AE458="","",AE458)</x:f>
      </x:c>
      <x:c r="AE458" s="71"/>
      <x:c r="AF458" s="73" t="str">
        <x:f>IF(AC458="","",1/AC458)</x:f>
      </x:c>
      <x:c r="AG458" s="61"/>
      <x:c r="AH458" s="61"/>
      <x:c r="AI458" s="64" t="str">
        <x:f>IF(OR(AC458="",AG458=""),"",AC458*AG458-1)</x:f>
      </x:c>
      <x:c r="AJ458" s="75" t="str">
        <x:f>IF(OR(G458="",F458=""),"",IF(AND(G458&gt;='Calibrare v2'!$B$35,F458&lt;='Calibrare v2'!$B$34),"PASS","FAIL"))</x:f>
      </x:c>
      <x:c r="AK458" s="75" t="str">
        <x:f>IF(AL458="","",AL458)</x:f>
      </x:c>
      <x:c r="AL458" s="77"/>
      <x:c r="AM458" s="77"/>
      <x:c r="AN458" s="64" t="str">
        <x:f>IF(OR(AC458="",P458=""),"",(AC458-P458)^2)</x:f>
      </x:c>
      <x:c r="AO458" s="64" t="str">
        <x:f>IF(OR(AG458="",AH458=""),"",AG458/AH458-1)</x:f>
      </x:c>
      <x:c r="AP458" s="61"/>
      <x:c r="AQ458" s="73" t="n">
        <x:f>IF(OR(AM458&lt;&gt;"PARIU U4,5",M458="",AP458="",AG458=""),0,IF(M458="UNDER",AP458*(AG458-1),-AP458))</x:f>
        <x:v>0</x:v>
      </x:c>
      <x:c r="AR458" s="51"/>
    </x:row>
    <x:row r="459">
      <x:c r="A459" s="9" t="str">
        <x:f>IF(D459="","",ROW()-1)</x:f>
      </x:c>
      <x:c r="B459" s="51"/>
      <x:c r="C459" s="51"/>
      <x:c r="D459" s="51"/>
      <x:c r="E459" s="9" t="str">
        <x:f>IF(D459="","",IF(AND(F459&lt;='Calibrare v2'!$B$33,G459&gt;=0.86),"DA – FEZABIL",IF(G459&gt;=0.8,"DA – PRUDENT","NU – EVITĂ")))</x:f>
      </x:c>
      <x:c r="F459" s="16" t="str">
        <x:f>IF(OR(W459="",X459=""),"",W459+X459)</x:f>
      </x:c>
      <x:c r="G459" s="28" t="str">
        <x:f>IF(F459="","",EXP(-F459)*(1+F459+F459^2/2+F459^3/6+F459^4/24))</x:f>
      </x:c>
      <x:c r="H459" s="53"/>
      <x:c r="I459" s="9" t="str">
        <x:f>IF(F459="","",IF(F459&lt;='Calibrare v2'!$B$33,"PASS","FAIL"))</x:f>
      </x:c>
      <x:c r="J459" s="51"/>
      <x:c r="K459" s="51"/>
      <x:c r="L459" s="9" t="str">
        <x:f>IF(OR(J459="",K459=""),"",J459+K459)</x:f>
      </x:c>
      <x:c r="M459" s="9" t="str">
        <x:f>IF(L459="","",IF(L459&lt;=4,"UNDER","OVER"))</x:f>
      </x:c>
      <x:c r="N459" s="9" t="str">
        <x:f>IF(E459="","",IF(LEFT(E459,2)="DA","PARIU U378,5","NO BET"))</x:f>
      </x:c>
      <x:c r="O459" s="9" t="str">
        <x:f>IF(M459="","",IF(AM459="PARIU U378,5",IF(M459="UNDER","SUCCES","EȘEC"),IF(M459="UNDER","FALS NEGATIV","EVITARE CORECTĂ")))</x:f>
      </x:c>
      <x:c r="P459" s="9" t="str">
        <x:f>IF(M459="","",IF(M459="UNDER",1,0))</x:f>
      </x:c>
      <x:c r="Q459" s="9" t="str">
        <x:f>IF(P459="","",(G459-P459)^2)</x:f>
      </x:c>
      <x:c r="R459" s="9" t="str">
        <x:f>IF(L459="","",L459-F459)</x:f>
      </x:c>
      <x:c r="S459" s="9" t="str">
        <x:f>IF(L459="","",IF(M459="UNDER","U378,5 reușit; total final "&amp;L459&amp;" vs λ="&amp;TEXT(F459,"0.00")&amp;".","Eșec U378,5; total final "&amp;L459&amp;" vs λ="&amp;TEXT(F459,"0.00")&amp;". Revizuiește Tail Risk, sursa λ și calibrarea."))</x:f>
      </x:c>
      <x:c r="T459" s="51"/>
      <x:c r="U459" s="51"/>
      <x:c r="V459" s="51"/>
      <x:c r="W459" s="61"/>
      <x:c r="X459" s="61"/>
      <x:c r="Y459" s="51"/>
      <x:c r="Z459" s="53"/>
      <x:c r="AA459" s="51"/>
      <x:c r="AB459" s="64" t="str">
        <x:f>IF(AC459="","",AC459)</x:f>
      </x:c>
      <x:c r="AC459" s="67"/>
      <x:c r="AD459" s="69" t="str">
        <x:f>IF(AE459="","",AE459)</x:f>
      </x:c>
      <x:c r="AE459" s="71"/>
      <x:c r="AF459" s="73" t="str">
        <x:f>IF(AC459="","",1/AC459)</x:f>
      </x:c>
      <x:c r="AG459" s="61"/>
      <x:c r="AH459" s="61"/>
      <x:c r="AI459" s="64" t="str">
        <x:f>IF(OR(AC459="",AG459=""),"",AC459*AG459-1)</x:f>
      </x:c>
      <x:c r="AJ459" s="75" t="str">
        <x:f>IF(OR(G459="",F459=""),"",IF(AND(G459&gt;='Calibrare v2'!$B$35,F459&lt;='Calibrare v2'!$B$34),"PASS","FAIL"))</x:f>
      </x:c>
      <x:c r="AK459" s="75" t="str">
        <x:f>IF(AL459="","",AL459)</x:f>
      </x:c>
      <x:c r="AL459" s="77"/>
      <x:c r="AM459" s="77"/>
      <x:c r="AN459" s="64" t="str">
        <x:f>IF(OR(AC459="",P459=""),"",(AC459-P459)^2)</x:f>
      </x:c>
      <x:c r="AO459" s="64" t="str">
        <x:f>IF(OR(AG459="",AH459=""),"",AG459/AH459-1)</x:f>
      </x:c>
      <x:c r="AP459" s="61"/>
      <x:c r="AQ459" s="73" t="n">
        <x:f>IF(OR(AM459&lt;&gt;"PARIU U4,5",M459="",AP459="",AG459=""),0,IF(M459="UNDER",AP459*(AG459-1),-AP459))</x:f>
        <x:v>0</x:v>
      </x:c>
      <x:c r="AR459" s="51"/>
    </x:row>
    <x:row r="460">
      <x:c r="A460" s="9" t="str">
        <x:f>IF(D460="","",ROW()-1)</x:f>
      </x:c>
      <x:c r="B460" s="51"/>
      <x:c r="C460" s="51"/>
      <x:c r="D460" s="51"/>
      <x:c r="E460" s="9" t="str">
        <x:f>IF(D460="","",IF(AND(F460&lt;='Calibrare v2'!$B$33,G460&gt;=0.86),"DA – FEZABIL",IF(G460&gt;=0.8,"DA – PRUDENT","NU – EVITĂ")))</x:f>
      </x:c>
      <x:c r="F460" s="16" t="str">
        <x:f>IF(OR(W460="",X460=""),"",W460+X460)</x:f>
      </x:c>
      <x:c r="G460" s="28" t="str">
        <x:f>IF(F460="","",EXP(-F460)*(1+F460+F460^2/2+F460^3/6+F460^4/24))</x:f>
      </x:c>
      <x:c r="H460" s="53"/>
      <x:c r="I460" s="9" t="str">
        <x:f>IF(F460="","",IF(F460&lt;='Calibrare v2'!$B$33,"PASS","FAIL"))</x:f>
      </x:c>
      <x:c r="J460" s="51"/>
      <x:c r="K460" s="51"/>
      <x:c r="L460" s="9" t="str">
        <x:f>IF(OR(J460="",K460=""),"",J460+K460)</x:f>
      </x:c>
      <x:c r="M460" s="9" t="str">
        <x:f>IF(L460="","",IF(L460&lt;=4,"UNDER","OVER"))</x:f>
      </x:c>
      <x:c r="N460" s="9" t="str">
        <x:f>IF(E460="","",IF(LEFT(E460,2)="DA","PARIU U379,5","NO BET"))</x:f>
      </x:c>
      <x:c r="O460" s="9" t="str">
        <x:f>IF(M460="","",IF(AM460="PARIU U379,5",IF(M460="UNDER","SUCCES","EȘEC"),IF(M460="UNDER","FALS NEGATIV","EVITARE CORECTĂ")))</x:f>
      </x:c>
      <x:c r="P460" s="9" t="str">
        <x:f>IF(M460="","",IF(M460="UNDER",1,0))</x:f>
      </x:c>
      <x:c r="Q460" s="9" t="str">
        <x:f>IF(P460="","",(G460-P460)^2)</x:f>
      </x:c>
      <x:c r="R460" s="9" t="str">
        <x:f>IF(L460="","",L460-F460)</x:f>
      </x:c>
      <x:c r="S460" s="9" t="str">
        <x:f>IF(L460="","",IF(M460="UNDER","U379,5 reușit; total final "&amp;L460&amp;" vs λ="&amp;TEXT(F460,"0.00")&amp;".","Eșec U379,5; total final "&amp;L460&amp;" vs λ="&amp;TEXT(F460,"0.00")&amp;". Revizuiește Tail Risk, sursa λ și calibrarea."))</x:f>
      </x:c>
      <x:c r="T460" s="51"/>
      <x:c r="U460" s="51"/>
      <x:c r="V460" s="51"/>
      <x:c r="W460" s="61"/>
      <x:c r="X460" s="61"/>
      <x:c r="Y460" s="51"/>
      <x:c r="Z460" s="53"/>
      <x:c r="AA460" s="51"/>
      <x:c r="AB460" s="64" t="str">
        <x:f>IF(AC460="","",AC460)</x:f>
      </x:c>
      <x:c r="AC460" s="67"/>
      <x:c r="AD460" s="69" t="str">
        <x:f>IF(AE460="","",AE460)</x:f>
      </x:c>
      <x:c r="AE460" s="71"/>
      <x:c r="AF460" s="73" t="str">
        <x:f>IF(AC460="","",1/AC460)</x:f>
      </x:c>
      <x:c r="AG460" s="61"/>
      <x:c r="AH460" s="61"/>
      <x:c r="AI460" s="64" t="str">
        <x:f>IF(OR(AC460="",AG460=""),"",AC460*AG460-1)</x:f>
      </x:c>
      <x:c r="AJ460" s="75" t="str">
        <x:f>IF(OR(G460="",F460=""),"",IF(AND(G460&gt;='Calibrare v2'!$B$35,F460&lt;='Calibrare v2'!$B$34),"PASS","FAIL"))</x:f>
      </x:c>
      <x:c r="AK460" s="75" t="str">
        <x:f>IF(AL460="","",AL460)</x:f>
      </x:c>
      <x:c r="AL460" s="77"/>
      <x:c r="AM460" s="77"/>
      <x:c r="AN460" s="64" t="str">
        <x:f>IF(OR(AC460="",P460=""),"",(AC460-P460)^2)</x:f>
      </x:c>
      <x:c r="AO460" s="64" t="str">
        <x:f>IF(OR(AG460="",AH460=""),"",AG460/AH460-1)</x:f>
      </x:c>
      <x:c r="AP460" s="61"/>
      <x:c r="AQ460" s="73" t="n">
        <x:f>IF(OR(AM460&lt;&gt;"PARIU U4,5",M460="",AP460="",AG460=""),0,IF(M460="UNDER",AP460*(AG460-1),-AP460))</x:f>
        <x:v>0</x:v>
      </x:c>
      <x:c r="AR460" s="51"/>
    </x:row>
    <x:row r="461">
      <x:c r="A461" s="9" t="str">
        <x:f>IF(D461="","",ROW()-1)</x:f>
      </x:c>
      <x:c r="B461" s="51"/>
      <x:c r="C461" s="51"/>
      <x:c r="D461" s="51"/>
      <x:c r="E461" s="9" t="str">
        <x:f>IF(D461="","",IF(AND(F461&lt;='Calibrare v2'!$B$33,G461&gt;=0.86),"DA – FEZABIL",IF(G461&gt;=0.8,"DA – PRUDENT","NU – EVITĂ")))</x:f>
      </x:c>
      <x:c r="F461" s="16" t="str">
        <x:f>IF(OR(W461="",X461=""),"",W461+X461)</x:f>
      </x:c>
      <x:c r="G461" s="28" t="str">
        <x:f>IF(F461="","",EXP(-F461)*(1+F461+F461^2/2+F461^3/6+F461^4/24))</x:f>
      </x:c>
      <x:c r="H461" s="53"/>
      <x:c r="I461" s="9" t="str">
        <x:f>IF(F461="","",IF(F461&lt;='Calibrare v2'!$B$33,"PASS","FAIL"))</x:f>
      </x:c>
      <x:c r="J461" s="51"/>
      <x:c r="K461" s="51"/>
      <x:c r="L461" s="9" t="str">
        <x:f>IF(OR(J461="",K461=""),"",J461+K461)</x:f>
      </x:c>
      <x:c r="M461" s="9" t="str">
        <x:f>IF(L461="","",IF(L461&lt;=4,"UNDER","OVER"))</x:f>
      </x:c>
      <x:c r="N461" s="9" t="str">
        <x:f>IF(E461="","",IF(LEFT(E461,2)="DA","PARIU U380,5","NO BET"))</x:f>
      </x:c>
      <x:c r="O461" s="9" t="str">
        <x:f>IF(M461="","",IF(AM461="PARIU U380,5",IF(M461="UNDER","SUCCES","EȘEC"),IF(M461="UNDER","FALS NEGATIV","EVITARE CORECTĂ")))</x:f>
      </x:c>
      <x:c r="P461" s="9" t="str">
        <x:f>IF(M461="","",IF(M461="UNDER",1,0))</x:f>
      </x:c>
      <x:c r="Q461" s="9" t="str">
        <x:f>IF(P461="","",(G461-P461)^2)</x:f>
      </x:c>
      <x:c r="R461" s="9" t="str">
        <x:f>IF(L461="","",L461-F461)</x:f>
      </x:c>
      <x:c r="S461" s="9" t="str">
        <x:f>IF(L461="","",IF(M461="UNDER","U380,5 reușit; total final "&amp;L461&amp;" vs λ="&amp;TEXT(F461,"0.00")&amp;".","Eșec U380,5; total final "&amp;L461&amp;" vs λ="&amp;TEXT(F461,"0.00")&amp;". Revizuiește Tail Risk, sursa λ și calibrarea."))</x:f>
      </x:c>
      <x:c r="T461" s="51"/>
      <x:c r="U461" s="51"/>
      <x:c r="V461" s="51"/>
      <x:c r="W461" s="61"/>
      <x:c r="X461" s="61"/>
      <x:c r="Y461" s="51"/>
      <x:c r="Z461" s="53"/>
      <x:c r="AA461" s="51"/>
      <x:c r="AB461" s="64" t="str">
        <x:f>IF(AC461="","",AC461)</x:f>
      </x:c>
      <x:c r="AC461" s="67"/>
      <x:c r="AD461" s="69" t="str">
        <x:f>IF(AE461="","",AE461)</x:f>
      </x:c>
      <x:c r="AE461" s="71"/>
      <x:c r="AF461" s="73" t="str">
        <x:f>IF(AC461="","",1/AC461)</x:f>
      </x:c>
      <x:c r="AG461" s="61"/>
      <x:c r="AH461" s="61"/>
      <x:c r="AI461" s="64" t="str">
        <x:f>IF(OR(AC461="",AG461=""),"",AC461*AG461-1)</x:f>
      </x:c>
      <x:c r="AJ461" s="75" t="str">
        <x:f>IF(OR(G461="",F461=""),"",IF(AND(G461&gt;='Calibrare v2'!$B$35,F461&lt;='Calibrare v2'!$B$34),"PASS","FAIL"))</x:f>
      </x:c>
      <x:c r="AK461" s="75" t="str">
        <x:f>IF(AL461="","",AL461)</x:f>
      </x:c>
      <x:c r="AL461" s="77"/>
      <x:c r="AM461" s="77"/>
      <x:c r="AN461" s="64" t="str">
        <x:f>IF(OR(AC461="",P461=""),"",(AC461-P461)^2)</x:f>
      </x:c>
      <x:c r="AO461" s="64" t="str">
        <x:f>IF(OR(AG461="",AH461=""),"",AG461/AH461-1)</x:f>
      </x:c>
      <x:c r="AP461" s="61"/>
      <x:c r="AQ461" s="73" t="n">
        <x:f>IF(OR(AM461&lt;&gt;"PARIU U4,5",M461="",AP461="",AG461=""),0,IF(M461="UNDER",AP461*(AG461-1),-AP461))</x:f>
        <x:v>0</x:v>
      </x:c>
      <x:c r="AR461" s="51"/>
    </x:row>
    <x:row r="462">
      <x:c r="A462" s="9" t="str">
        <x:f>IF(D462="","",ROW()-1)</x:f>
      </x:c>
      <x:c r="B462" s="51"/>
      <x:c r="C462" s="51"/>
      <x:c r="D462" s="51"/>
      <x:c r="E462" s="9" t="str">
        <x:f>IF(D462="","",IF(AND(F462&lt;='Calibrare v2'!$B$33,G462&gt;=0.86),"DA – FEZABIL",IF(G462&gt;=0.8,"DA – PRUDENT","NU – EVITĂ")))</x:f>
      </x:c>
      <x:c r="F462" s="16" t="str">
        <x:f>IF(OR(W462="",X462=""),"",W462+X462)</x:f>
      </x:c>
      <x:c r="G462" s="28" t="str">
        <x:f>IF(F462="","",EXP(-F462)*(1+F462+F462^2/2+F462^3/6+F462^4/24))</x:f>
      </x:c>
      <x:c r="H462" s="53"/>
      <x:c r="I462" s="9" t="str">
        <x:f>IF(F462="","",IF(F462&lt;='Calibrare v2'!$B$33,"PASS","FAIL"))</x:f>
      </x:c>
      <x:c r="J462" s="51"/>
      <x:c r="K462" s="51"/>
      <x:c r="L462" s="9" t="str">
        <x:f>IF(OR(J462="",K462=""),"",J462+K462)</x:f>
      </x:c>
      <x:c r="M462" s="9" t="str">
        <x:f>IF(L462="","",IF(L462&lt;=4,"UNDER","OVER"))</x:f>
      </x:c>
      <x:c r="N462" s="9" t="str">
        <x:f>IF(E462="","",IF(LEFT(E462,2)="DA","PARIU U381,5","NO BET"))</x:f>
      </x:c>
      <x:c r="O462" s="9" t="str">
        <x:f>IF(M462="","",IF(AM462="PARIU U381,5",IF(M462="UNDER","SUCCES","EȘEC"),IF(M462="UNDER","FALS NEGATIV","EVITARE CORECTĂ")))</x:f>
      </x:c>
      <x:c r="P462" s="9" t="str">
        <x:f>IF(M462="","",IF(M462="UNDER",1,0))</x:f>
      </x:c>
      <x:c r="Q462" s="9" t="str">
        <x:f>IF(P462="","",(G462-P462)^2)</x:f>
      </x:c>
      <x:c r="R462" s="9" t="str">
        <x:f>IF(L462="","",L462-F462)</x:f>
      </x:c>
      <x:c r="S462" s="9" t="str">
        <x:f>IF(L462="","",IF(M462="UNDER","U381,5 reușit; total final "&amp;L462&amp;" vs λ="&amp;TEXT(F462,"0.00")&amp;".","Eșec U381,5; total final "&amp;L462&amp;" vs λ="&amp;TEXT(F462,"0.00")&amp;". Revizuiește Tail Risk, sursa λ și calibrarea."))</x:f>
      </x:c>
      <x:c r="T462" s="51"/>
      <x:c r="U462" s="51"/>
      <x:c r="V462" s="51"/>
      <x:c r="W462" s="61"/>
      <x:c r="X462" s="61"/>
      <x:c r="Y462" s="51"/>
      <x:c r="Z462" s="53"/>
      <x:c r="AA462" s="51"/>
      <x:c r="AB462" s="64" t="str">
        <x:f>IF(AC462="","",AC462)</x:f>
      </x:c>
      <x:c r="AC462" s="67"/>
      <x:c r="AD462" s="69" t="str">
        <x:f>IF(AE462="","",AE462)</x:f>
      </x:c>
      <x:c r="AE462" s="71"/>
      <x:c r="AF462" s="73" t="str">
        <x:f>IF(AC462="","",1/AC462)</x:f>
      </x:c>
      <x:c r="AG462" s="61"/>
      <x:c r="AH462" s="61"/>
      <x:c r="AI462" s="64" t="str">
        <x:f>IF(OR(AC462="",AG462=""),"",AC462*AG462-1)</x:f>
      </x:c>
      <x:c r="AJ462" s="75" t="str">
        <x:f>IF(OR(G462="",F462=""),"",IF(AND(G462&gt;='Calibrare v2'!$B$35,F462&lt;='Calibrare v2'!$B$34),"PASS","FAIL"))</x:f>
      </x:c>
      <x:c r="AK462" s="75" t="str">
        <x:f>IF(AL462="","",AL462)</x:f>
      </x:c>
      <x:c r="AL462" s="77"/>
      <x:c r="AM462" s="77"/>
      <x:c r="AN462" s="64" t="str">
        <x:f>IF(OR(AC462="",P462=""),"",(AC462-P462)^2)</x:f>
      </x:c>
      <x:c r="AO462" s="64" t="str">
        <x:f>IF(OR(AG462="",AH462=""),"",AG462/AH462-1)</x:f>
      </x:c>
      <x:c r="AP462" s="61"/>
      <x:c r="AQ462" s="73" t="n">
        <x:f>IF(OR(AM462&lt;&gt;"PARIU U4,5",M462="",AP462="",AG462=""),0,IF(M462="UNDER",AP462*(AG462-1),-AP462))</x:f>
        <x:v>0</x:v>
      </x:c>
      <x:c r="AR462" s="51"/>
    </x:row>
    <x:row r="463">
      <x:c r="A463" s="9" t="str">
        <x:f>IF(D463="","",ROW()-1)</x:f>
      </x:c>
      <x:c r="B463" s="51"/>
      <x:c r="C463" s="51"/>
      <x:c r="D463" s="51"/>
      <x:c r="E463" s="9" t="str">
        <x:f>IF(D463="","",IF(AND(F463&lt;='Calibrare v2'!$B$33,G463&gt;=0.86),"DA – FEZABIL",IF(G463&gt;=0.8,"DA – PRUDENT","NU – EVITĂ")))</x:f>
      </x:c>
      <x:c r="F463" s="16" t="str">
        <x:f>IF(OR(W463="",X463=""),"",W463+X463)</x:f>
      </x:c>
      <x:c r="G463" s="28" t="str">
        <x:f>IF(F463="","",EXP(-F463)*(1+F463+F463^2/2+F463^3/6+F463^4/24))</x:f>
      </x:c>
      <x:c r="H463" s="53"/>
      <x:c r="I463" s="9" t="str">
        <x:f>IF(F463="","",IF(F463&lt;='Calibrare v2'!$B$33,"PASS","FAIL"))</x:f>
      </x:c>
      <x:c r="J463" s="51"/>
      <x:c r="K463" s="51"/>
      <x:c r="L463" s="9" t="str">
        <x:f>IF(OR(J463="",K463=""),"",J463+K463)</x:f>
      </x:c>
      <x:c r="M463" s="9" t="str">
        <x:f>IF(L463="","",IF(L463&lt;=4,"UNDER","OVER"))</x:f>
      </x:c>
      <x:c r="N463" s="9" t="str">
        <x:f>IF(E463="","",IF(LEFT(E463,2)="DA","PARIU U382,5","NO BET"))</x:f>
      </x:c>
      <x:c r="O463" s="9" t="str">
        <x:f>IF(M463="","",IF(AM463="PARIU U382,5",IF(M463="UNDER","SUCCES","EȘEC"),IF(M463="UNDER","FALS NEGATIV","EVITARE CORECTĂ")))</x:f>
      </x:c>
      <x:c r="P463" s="9" t="str">
        <x:f>IF(M463="","",IF(M463="UNDER",1,0))</x:f>
      </x:c>
      <x:c r="Q463" s="9" t="str">
        <x:f>IF(P463="","",(G463-P463)^2)</x:f>
      </x:c>
      <x:c r="R463" s="9" t="str">
        <x:f>IF(L463="","",L463-F463)</x:f>
      </x:c>
      <x:c r="S463" s="9" t="str">
        <x:f>IF(L463="","",IF(M463="UNDER","U382,5 reușit; total final "&amp;L463&amp;" vs λ="&amp;TEXT(F463,"0.00")&amp;".","Eșec U382,5; total final "&amp;L463&amp;" vs λ="&amp;TEXT(F463,"0.00")&amp;". Revizuiește Tail Risk, sursa λ și calibrarea."))</x:f>
      </x:c>
      <x:c r="T463" s="51"/>
      <x:c r="U463" s="51"/>
      <x:c r="V463" s="51"/>
      <x:c r="W463" s="61"/>
      <x:c r="X463" s="61"/>
      <x:c r="Y463" s="51"/>
      <x:c r="Z463" s="53"/>
      <x:c r="AA463" s="51"/>
      <x:c r="AB463" s="64" t="str">
        <x:f>IF(AC463="","",AC463)</x:f>
      </x:c>
      <x:c r="AC463" s="67"/>
      <x:c r="AD463" s="69" t="str">
        <x:f>IF(AE463="","",AE463)</x:f>
      </x:c>
      <x:c r="AE463" s="71"/>
      <x:c r="AF463" s="73" t="str">
        <x:f>IF(AC463="","",1/AC463)</x:f>
      </x:c>
      <x:c r="AG463" s="61"/>
      <x:c r="AH463" s="61"/>
      <x:c r="AI463" s="64" t="str">
        <x:f>IF(OR(AC463="",AG463=""),"",AC463*AG463-1)</x:f>
      </x:c>
      <x:c r="AJ463" s="75" t="str">
        <x:f>IF(OR(G463="",F463=""),"",IF(AND(G463&gt;='Calibrare v2'!$B$35,F463&lt;='Calibrare v2'!$B$34),"PASS","FAIL"))</x:f>
      </x:c>
      <x:c r="AK463" s="75" t="str">
        <x:f>IF(AL463="","",AL463)</x:f>
      </x:c>
      <x:c r="AL463" s="77"/>
      <x:c r="AM463" s="77"/>
      <x:c r="AN463" s="64" t="str">
        <x:f>IF(OR(AC463="",P463=""),"",(AC463-P463)^2)</x:f>
      </x:c>
      <x:c r="AO463" s="64" t="str">
        <x:f>IF(OR(AG463="",AH463=""),"",AG463/AH463-1)</x:f>
      </x:c>
      <x:c r="AP463" s="61"/>
      <x:c r="AQ463" s="73" t="n">
        <x:f>IF(OR(AM463&lt;&gt;"PARIU U4,5",M463="",AP463="",AG463=""),0,IF(M463="UNDER",AP463*(AG463-1),-AP463))</x:f>
        <x:v>0</x:v>
      </x:c>
      <x:c r="AR463" s="51"/>
    </x:row>
    <x:row r="464">
      <x:c r="A464" s="9" t="str">
        <x:f>IF(D464="","",ROW()-1)</x:f>
      </x:c>
      <x:c r="B464" s="51"/>
      <x:c r="C464" s="51"/>
      <x:c r="D464" s="51"/>
      <x:c r="E464" s="9" t="str">
        <x:f>IF(D464="","",IF(AND(F464&lt;='Calibrare v2'!$B$33,G464&gt;=0.86),"DA – FEZABIL",IF(G464&gt;=0.8,"DA – PRUDENT","NU – EVITĂ")))</x:f>
      </x:c>
      <x:c r="F464" s="16" t="str">
        <x:f>IF(OR(W464="",X464=""),"",W464+X464)</x:f>
      </x:c>
      <x:c r="G464" s="28" t="str">
        <x:f>IF(F464="","",EXP(-F464)*(1+F464+F464^2/2+F464^3/6+F464^4/24))</x:f>
      </x:c>
      <x:c r="H464" s="53"/>
      <x:c r="I464" s="9" t="str">
        <x:f>IF(F464="","",IF(F464&lt;='Calibrare v2'!$B$33,"PASS","FAIL"))</x:f>
      </x:c>
      <x:c r="J464" s="51"/>
      <x:c r="K464" s="51"/>
      <x:c r="L464" s="9" t="str">
        <x:f>IF(OR(J464="",K464=""),"",J464+K464)</x:f>
      </x:c>
      <x:c r="M464" s="9" t="str">
        <x:f>IF(L464="","",IF(L464&lt;=4,"UNDER","OVER"))</x:f>
      </x:c>
      <x:c r="N464" s="9" t="str">
        <x:f>IF(E464="","",IF(LEFT(E464,2)="DA","PARIU U383,5","NO BET"))</x:f>
      </x:c>
      <x:c r="O464" s="9" t="str">
        <x:f>IF(M464="","",IF(AM464="PARIU U383,5",IF(M464="UNDER","SUCCES","EȘEC"),IF(M464="UNDER","FALS NEGATIV","EVITARE CORECTĂ")))</x:f>
      </x:c>
      <x:c r="P464" s="9" t="str">
        <x:f>IF(M464="","",IF(M464="UNDER",1,0))</x:f>
      </x:c>
      <x:c r="Q464" s="9" t="str">
        <x:f>IF(P464="","",(G464-P464)^2)</x:f>
      </x:c>
      <x:c r="R464" s="9" t="str">
        <x:f>IF(L464="","",L464-F464)</x:f>
      </x:c>
      <x:c r="S464" s="9" t="str">
        <x:f>IF(L464="","",IF(M464="UNDER","U383,5 reușit; total final "&amp;L464&amp;" vs λ="&amp;TEXT(F464,"0.00")&amp;".","Eșec U383,5; total final "&amp;L464&amp;" vs λ="&amp;TEXT(F464,"0.00")&amp;". Revizuiește Tail Risk, sursa λ și calibrarea."))</x:f>
      </x:c>
      <x:c r="T464" s="51"/>
      <x:c r="U464" s="51"/>
      <x:c r="V464" s="51"/>
      <x:c r="W464" s="61"/>
      <x:c r="X464" s="61"/>
      <x:c r="Y464" s="51"/>
      <x:c r="Z464" s="53"/>
      <x:c r="AA464" s="51"/>
      <x:c r="AB464" s="64" t="str">
        <x:f>IF(AC464="","",AC464)</x:f>
      </x:c>
      <x:c r="AC464" s="67"/>
      <x:c r="AD464" s="69" t="str">
        <x:f>IF(AE464="","",AE464)</x:f>
      </x:c>
      <x:c r="AE464" s="71"/>
      <x:c r="AF464" s="73" t="str">
        <x:f>IF(AC464="","",1/AC464)</x:f>
      </x:c>
      <x:c r="AG464" s="61"/>
      <x:c r="AH464" s="61"/>
      <x:c r="AI464" s="64" t="str">
        <x:f>IF(OR(AC464="",AG464=""),"",AC464*AG464-1)</x:f>
      </x:c>
      <x:c r="AJ464" s="75" t="str">
        <x:f>IF(OR(G464="",F464=""),"",IF(AND(G464&gt;='Calibrare v2'!$B$35,F464&lt;='Calibrare v2'!$B$34),"PASS","FAIL"))</x:f>
      </x:c>
      <x:c r="AK464" s="75" t="str">
        <x:f>IF(AL464="","",AL464)</x:f>
      </x:c>
      <x:c r="AL464" s="77"/>
      <x:c r="AM464" s="77"/>
      <x:c r="AN464" s="64" t="str">
        <x:f>IF(OR(AC464="",P464=""),"",(AC464-P464)^2)</x:f>
      </x:c>
      <x:c r="AO464" s="64" t="str">
        <x:f>IF(OR(AG464="",AH464=""),"",AG464/AH464-1)</x:f>
      </x:c>
      <x:c r="AP464" s="61"/>
      <x:c r="AQ464" s="73" t="n">
        <x:f>IF(OR(AM464&lt;&gt;"PARIU U4,5",M464="",AP464="",AG464=""),0,IF(M464="UNDER",AP464*(AG464-1),-AP464))</x:f>
        <x:v>0</x:v>
      </x:c>
      <x:c r="AR464" s="51"/>
    </x:row>
    <x:row r="465">
      <x:c r="A465" s="9" t="str">
        <x:f>IF(D465="","",ROW()-1)</x:f>
      </x:c>
      <x:c r="B465" s="51"/>
      <x:c r="C465" s="51"/>
      <x:c r="D465" s="51"/>
      <x:c r="E465" s="9" t="str">
        <x:f>IF(D465="","",IF(AND(F465&lt;='Calibrare v2'!$B$33,G465&gt;=0.86),"DA – FEZABIL",IF(G465&gt;=0.8,"DA – PRUDENT","NU – EVITĂ")))</x:f>
      </x:c>
      <x:c r="F465" s="16" t="str">
        <x:f>IF(OR(W465="",X465=""),"",W465+X465)</x:f>
      </x:c>
      <x:c r="G465" s="28" t="str">
        <x:f>IF(F465="","",EXP(-F465)*(1+F465+F465^2/2+F465^3/6+F465^4/24))</x:f>
      </x:c>
      <x:c r="H465" s="53"/>
      <x:c r="I465" s="9" t="str">
        <x:f>IF(F465="","",IF(F465&lt;='Calibrare v2'!$B$33,"PASS","FAIL"))</x:f>
      </x:c>
      <x:c r="J465" s="51"/>
      <x:c r="K465" s="51"/>
      <x:c r="L465" s="9" t="str">
        <x:f>IF(OR(J465="",K465=""),"",J465+K465)</x:f>
      </x:c>
      <x:c r="M465" s="9" t="str">
        <x:f>IF(L465="","",IF(L465&lt;=4,"UNDER","OVER"))</x:f>
      </x:c>
      <x:c r="N465" s="9" t="str">
        <x:f>IF(E465="","",IF(LEFT(E465,2)="DA","PARIU U384,5","NO BET"))</x:f>
      </x:c>
      <x:c r="O465" s="9" t="str">
        <x:f>IF(M465="","",IF(AM465="PARIU U384,5",IF(M465="UNDER","SUCCES","EȘEC"),IF(M465="UNDER","FALS NEGATIV","EVITARE CORECTĂ")))</x:f>
      </x:c>
      <x:c r="P465" s="9" t="str">
        <x:f>IF(M465="","",IF(M465="UNDER",1,0))</x:f>
      </x:c>
      <x:c r="Q465" s="9" t="str">
        <x:f>IF(P465="","",(G465-P465)^2)</x:f>
      </x:c>
      <x:c r="R465" s="9" t="str">
        <x:f>IF(L465="","",L465-F465)</x:f>
      </x:c>
      <x:c r="S465" s="9" t="str">
        <x:f>IF(L465="","",IF(M465="UNDER","U384,5 reușit; total final "&amp;L465&amp;" vs λ="&amp;TEXT(F465,"0.00")&amp;".","Eșec U384,5; total final "&amp;L465&amp;" vs λ="&amp;TEXT(F465,"0.00")&amp;". Revizuiește Tail Risk, sursa λ și calibrarea."))</x:f>
      </x:c>
      <x:c r="T465" s="51"/>
      <x:c r="U465" s="51"/>
      <x:c r="V465" s="51"/>
      <x:c r="W465" s="61"/>
      <x:c r="X465" s="61"/>
      <x:c r="Y465" s="51"/>
      <x:c r="Z465" s="53"/>
      <x:c r="AA465" s="51"/>
      <x:c r="AB465" s="64" t="str">
        <x:f>IF(AC465="","",AC465)</x:f>
      </x:c>
      <x:c r="AC465" s="67"/>
      <x:c r="AD465" s="69" t="str">
        <x:f>IF(AE465="","",AE465)</x:f>
      </x:c>
      <x:c r="AE465" s="71"/>
      <x:c r="AF465" s="73" t="str">
        <x:f>IF(AC465="","",1/AC465)</x:f>
      </x:c>
      <x:c r="AG465" s="61"/>
      <x:c r="AH465" s="61"/>
      <x:c r="AI465" s="64" t="str">
        <x:f>IF(OR(AC465="",AG465=""),"",AC465*AG465-1)</x:f>
      </x:c>
      <x:c r="AJ465" s="75" t="str">
        <x:f>IF(OR(G465="",F465=""),"",IF(AND(G465&gt;='Calibrare v2'!$B$35,F465&lt;='Calibrare v2'!$B$34),"PASS","FAIL"))</x:f>
      </x:c>
      <x:c r="AK465" s="75" t="str">
        <x:f>IF(AL465="","",AL465)</x:f>
      </x:c>
      <x:c r="AL465" s="77"/>
      <x:c r="AM465" s="77"/>
      <x:c r="AN465" s="64" t="str">
        <x:f>IF(OR(AC465="",P465=""),"",(AC465-P465)^2)</x:f>
      </x:c>
      <x:c r="AO465" s="64" t="str">
        <x:f>IF(OR(AG465="",AH465=""),"",AG465/AH465-1)</x:f>
      </x:c>
      <x:c r="AP465" s="61"/>
      <x:c r="AQ465" s="73" t="n">
        <x:f>IF(OR(AM465&lt;&gt;"PARIU U4,5",M465="",AP465="",AG465=""),0,IF(M465="UNDER",AP465*(AG465-1),-AP465))</x:f>
        <x:v>0</x:v>
      </x:c>
      <x:c r="AR465" s="51"/>
    </x:row>
    <x:row r="466">
      <x:c r="A466" s="9" t="str">
        <x:f>IF(D466="","",ROW()-1)</x:f>
      </x:c>
      <x:c r="B466" s="51"/>
      <x:c r="C466" s="51"/>
      <x:c r="D466" s="51"/>
      <x:c r="E466" s="9" t="str">
        <x:f>IF(D466="","",IF(AND(F466&lt;='Calibrare v2'!$B$33,G466&gt;=0.86),"DA – FEZABIL",IF(G466&gt;=0.8,"DA – PRUDENT","NU – EVITĂ")))</x:f>
      </x:c>
      <x:c r="F466" s="16" t="str">
        <x:f>IF(OR(W466="",X466=""),"",W466+X466)</x:f>
      </x:c>
      <x:c r="G466" s="28" t="str">
        <x:f>IF(F466="","",EXP(-F466)*(1+F466+F466^2/2+F466^3/6+F466^4/24))</x:f>
      </x:c>
      <x:c r="H466" s="53"/>
      <x:c r="I466" s="9" t="str">
        <x:f>IF(F466="","",IF(F466&lt;='Calibrare v2'!$B$33,"PASS","FAIL"))</x:f>
      </x:c>
      <x:c r="J466" s="51"/>
      <x:c r="K466" s="51"/>
      <x:c r="L466" s="9" t="str">
        <x:f>IF(OR(J466="",K466=""),"",J466+K466)</x:f>
      </x:c>
      <x:c r="M466" s="9" t="str">
        <x:f>IF(L466="","",IF(L466&lt;=4,"UNDER","OVER"))</x:f>
      </x:c>
      <x:c r="N466" s="9" t="str">
        <x:f>IF(E466="","",IF(LEFT(E466,2)="DA","PARIU U385,5","NO BET"))</x:f>
      </x:c>
      <x:c r="O466" s="9" t="str">
        <x:f>IF(M466="","",IF(AM466="PARIU U385,5",IF(M466="UNDER","SUCCES","EȘEC"),IF(M466="UNDER","FALS NEGATIV","EVITARE CORECTĂ")))</x:f>
      </x:c>
      <x:c r="P466" s="9" t="str">
        <x:f>IF(M466="","",IF(M466="UNDER",1,0))</x:f>
      </x:c>
      <x:c r="Q466" s="9" t="str">
        <x:f>IF(P466="","",(G466-P466)^2)</x:f>
      </x:c>
      <x:c r="R466" s="9" t="str">
        <x:f>IF(L466="","",L466-F466)</x:f>
      </x:c>
      <x:c r="S466" s="9" t="str">
        <x:f>IF(L466="","",IF(M466="UNDER","U385,5 reușit; total final "&amp;L466&amp;" vs λ="&amp;TEXT(F466,"0.00")&amp;".","Eșec U385,5; total final "&amp;L466&amp;" vs λ="&amp;TEXT(F466,"0.00")&amp;". Revizuiește Tail Risk, sursa λ și calibrarea."))</x:f>
      </x:c>
      <x:c r="T466" s="51"/>
      <x:c r="U466" s="51"/>
      <x:c r="V466" s="51"/>
      <x:c r="W466" s="61"/>
      <x:c r="X466" s="61"/>
      <x:c r="Y466" s="51"/>
      <x:c r="Z466" s="53"/>
      <x:c r="AA466" s="51"/>
      <x:c r="AB466" s="64" t="str">
        <x:f>IF(AC466="","",AC466)</x:f>
      </x:c>
      <x:c r="AC466" s="67"/>
      <x:c r="AD466" s="69" t="str">
        <x:f>IF(AE466="","",AE466)</x:f>
      </x:c>
      <x:c r="AE466" s="71"/>
      <x:c r="AF466" s="73" t="str">
        <x:f>IF(AC466="","",1/AC466)</x:f>
      </x:c>
      <x:c r="AG466" s="61"/>
      <x:c r="AH466" s="61"/>
      <x:c r="AI466" s="64" t="str">
        <x:f>IF(OR(AC466="",AG466=""),"",AC466*AG466-1)</x:f>
      </x:c>
      <x:c r="AJ466" s="75" t="str">
        <x:f>IF(OR(G466="",F466=""),"",IF(AND(G466&gt;='Calibrare v2'!$B$35,F466&lt;='Calibrare v2'!$B$34),"PASS","FAIL"))</x:f>
      </x:c>
      <x:c r="AK466" s="75" t="str">
        <x:f>IF(AL466="","",AL466)</x:f>
      </x:c>
      <x:c r="AL466" s="77"/>
      <x:c r="AM466" s="77"/>
      <x:c r="AN466" s="64" t="str">
        <x:f>IF(OR(AC466="",P466=""),"",(AC466-P466)^2)</x:f>
      </x:c>
      <x:c r="AO466" s="64" t="str">
        <x:f>IF(OR(AG466="",AH466=""),"",AG466/AH466-1)</x:f>
      </x:c>
      <x:c r="AP466" s="61"/>
      <x:c r="AQ466" s="73" t="n">
        <x:f>IF(OR(AM466&lt;&gt;"PARIU U4,5",M466="",AP466="",AG466=""),0,IF(M466="UNDER",AP466*(AG466-1),-AP466))</x:f>
        <x:v>0</x:v>
      </x:c>
      <x:c r="AR466" s="51"/>
    </x:row>
    <x:row r="467">
      <x:c r="A467" s="9" t="str">
        <x:f>IF(D467="","",ROW()-1)</x:f>
      </x:c>
      <x:c r="B467" s="51"/>
      <x:c r="C467" s="51"/>
      <x:c r="D467" s="51"/>
      <x:c r="E467" s="9" t="str">
        <x:f>IF(D467="","",IF(AND(F467&lt;='Calibrare v2'!$B$33,G467&gt;=0.86),"DA – FEZABIL",IF(G467&gt;=0.8,"DA – PRUDENT","NU – EVITĂ")))</x:f>
      </x:c>
      <x:c r="F467" s="16" t="str">
        <x:f>IF(OR(W467="",X467=""),"",W467+X467)</x:f>
      </x:c>
      <x:c r="G467" s="28" t="str">
        <x:f>IF(F467="","",EXP(-F467)*(1+F467+F467^2/2+F467^3/6+F467^4/24))</x:f>
      </x:c>
      <x:c r="H467" s="53"/>
      <x:c r="I467" s="9" t="str">
        <x:f>IF(F467="","",IF(F467&lt;='Calibrare v2'!$B$33,"PASS","FAIL"))</x:f>
      </x:c>
      <x:c r="J467" s="51"/>
      <x:c r="K467" s="51"/>
      <x:c r="L467" s="9" t="str">
        <x:f>IF(OR(J467="",K467=""),"",J467+K467)</x:f>
      </x:c>
      <x:c r="M467" s="9" t="str">
        <x:f>IF(L467="","",IF(L467&lt;=4,"UNDER","OVER"))</x:f>
      </x:c>
      <x:c r="N467" s="9" t="str">
        <x:f>IF(E467="","",IF(LEFT(E467,2)="DA","PARIU U386,5","NO BET"))</x:f>
      </x:c>
      <x:c r="O467" s="9" t="str">
        <x:f>IF(M467="","",IF(AM467="PARIU U386,5",IF(M467="UNDER","SUCCES","EȘEC"),IF(M467="UNDER","FALS NEGATIV","EVITARE CORECTĂ")))</x:f>
      </x:c>
      <x:c r="P467" s="9" t="str">
        <x:f>IF(M467="","",IF(M467="UNDER",1,0))</x:f>
      </x:c>
      <x:c r="Q467" s="9" t="str">
        <x:f>IF(P467="","",(G467-P467)^2)</x:f>
      </x:c>
      <x:c r="R467" s="9" t="str">
        <x:f>IF(L467="","",L467-F467)</x:f>
      </x:c>
      <x:c r="S467" s="9" t="str">
        <x:f>IF(L467="","",IF(M467="UNDER","U386,5 reușit; total final "&amp;L467&amp;" vs λ="&amp;TEXT(F467,"0.00")&amp;".","Eșec U386,5; total final "&amp;L467&amp;" vs λ="&amp;TEXT(F467,"0.00")&amp;". Revizuiește Tail Risk, sursa λ și calibrarea."))</x:f>
      </x:c>
      <x:c r="T467" s="51"/>
      <x:c r="U467" s="51"/>
      <x:c r="V467" s="51"/>
      <x:c r="W467" s="61"/>
      <x:c r="X467" s="61"/>
      <x:c r="Y467" s="51"/>
      <x:c r="Z467" s="53"/>
      <x:c r="AA467" s="51"/>
      <x:c r="AB467" s="64" t="str">
        <x:f>IF(AC467="","",AC467)</x:f>
      </x:c>
      <x:c r="AC467" s="67"/>
      <x:c r="AD467" s="69" t="str">
        <x:f>IF(AE467="","",AE467)</x:f>
      </x:c>
      <x:c r="AE467" s="71"/>
      <x:c r="AF467" s="73" t="str">
        <x:f>IF(AC467="","",1/AC467)</x:f>
      </x:c>
      <x:c r="AG467" s="61"/>
      <x:c r="AH467" s="61"/>
      <x:c r="AI467" s="64" t="str">
        <x:f>IF(OR(AC467="",AG467=""),"",AC467*AG467-1)</x:f>
      </x:c>
      <x:c r="AJ467" s="75" t="str">
        <x:f>IF(OR(G467="",F467=""),"",IF(AND(G467&gt;='Calibrare v2'!$B$35,F467&lt;='Calibrare v2'!$B$34),"PASS","FAIL"))</x:f>
      </x:c>
      <x:c r="AK467" s="75" t="str">
        <x:f>IF(AL467="","",AL467)</x:f>
      </x:c>
      <x:c r="AL467" s="77"/>
      <x:c r="AM467" s="77"/>
      <x:c r="AN467" s="64" t="str">
        <x:f>IF(OR(AC467="",P467=""),"",(AC467-P467)^2)</x:f>
      </x:c>
      <x:c r="AO467" s="64" t="str">
        <x:f>IF(OR(AG467="",AH467=""),"",AG467/AH467-1)</x:f>
      </x:c>
      <x:c r="AP467" s="61"/>
      <x:c r="AQ467" s="73" t="n">
        <x:f>IF(OR(AM467&lt;&gt;"PARIU U4,5",M467="",AP467="",AG467=""),0,IF(M467="UNDER",AP467*(AG467-1),-AP467))</x:f>
        <x:v>0</x:v>
      </x:c>
      <x:c r="AR467" s="51"/>
    </x:row>
    <x:row r="468">
      <x:c r="A468" s="9" t="str">
        <x:f>IF(D468="","",ROW()-1)</x:f>
      </x:c>
      <x:c r="B468" s="51"/>
      <x:c r="C468" s="51"/>
      <x:c r="D468" s="51"/>
      <x:c r="E468" s="9" t="str">
        <x:f>IF(D468="","",IF(AND(F468&lt;='Calibrare v2'!$B$33,G468&gt;=0.86),"DA – FEZABIL",IF(G468&gt;=0.8,"DA – PRUDENT","NU – EVITĂ")))</x:f>
      </x:c>
      <x:c r="F468" s="16" t="str">
        <x:f>IF(OR(W468="",X468=""),"",W468+X468)</x:f>
      </x:c>
      <x:c r="G468" s="28" t="str">
        <x:f>IF(F468="","",EXP(-F468)*(1+F468+F468^2/2+F468^3/6+F468^4/24))</x:f>
      </x:c>
      <x:c r="H468" s="53"/>
      <x:c r="I468" s="9" t="str">
        <x:f>IF(F468="","",IF(F468&lt;='Calibrare v2'!$B$33,"PASS","FAIL"))</x:f>
      </x:c>
      <x:c r="J468" s="51"/>
      <x:c r="K468" s="51"/>
      <x:c r="L468" s="9" t="str">
        <x:f>IF(OR(J468="",K468=""),"",J468+K468)</x:f>
      </x:c>
      <x:c r="M468" s="9" t="str">
        <x:f>IF(L468="","",IF(L468&lt;=4,"UNDER","OVER"))</x:f>
      </x:c>
      <x:c r="N468" s="9" t="str">
        <x:f>IF(E468="","",IF(LEFT(E468,2)="DA","PARIU U387,5","NO BET"))</x:f>
      </x:c>
      <x:c r="O468" s="9" t="str">
        <x:f>IF(M468="","",IF(AM468="PARIU U387,5",IF(M468="UNDER","SUCCES","EȘEC"),IF(M468="UNDER","FALS NEGATIV","EVITARE CORECTĂ")))</x:f>
      </x:c>
      <x:c r="P468" s="9" t="str">
        <x:f>IF(M468="","",IF(M468="UNDER",1,0))</x:f>
      </x:c>
      <x:c r="Q468" s="9" t="str">
        <x:f>IF(P468="","",(G468-P468)^2)</x:f>
      </x:c>
      <x:c r="R468" s="9" t="str">
        <x:f>IF(L468="","",L468-F468)</x:f>
      </x:c>
      <x:c r="S468" s="9" t="str">
        <x:f>IF(L468="","",IF(M468="UNDER","U387,5 reușit; total final "&amp;L468&amp;" vs λ="&amp;TEXT(F468,"0.00")&amp;".","Eșec U387,5; total final "&amp;L468&amp;" vs λ="&amp;TEXT(F468,"0.00")&amp;". Revizuiește Tail Risk, sursa λ și calibrarea."))</x:f>
      </x:c>
      <x:c r="T468" s="51"/>
      <x:c r="U468" s="51"/>
      <x:c r="V468" s="51"/>
      <x:c r="W468" s="61"/>
      <x:c r="X468" s="61"/>
      <x:c r="Y468" s="51"/>
      <x:c r="Z468" s="53"/>
      <x:c r="AA468" s="51"/>
      <x:c r="AB468" s="64" t="str">
        <x:f>IF(AC468="","",AC468)</x:f>
      </x:c>
      <x:c r="AC468" s="67"/>
      <x:c r="AD468" s="69" t="str">
        <x:f>IF(AE468="","",AE468)</x:f>
      </x:c>
      <x:c r="AE468" s="71"/>
      <x:c r="AF468" s="73" t="str">
        <x:f>IF(AC468="","",1/AC468)</x:f>
      </x:c>
      <x:c r="AG468" s="61"/>
      <x:c r="AH468" s="61"/>
      <x:c r="AI468" s="64" t="str">
        <x:f>IF(OR(AC468="",AG468=""),"",AC468*AG468-1)</x:f>
      </x:c>
      <x:c r="AJ468" s="75" t="str">
        <x:f>IF(OR(G468="",F468=""),"",IF(AND(G468&gt;='Calibrare v2'!$B$35,F468&lt;='Calibrare v2'!$B$34),"PASS","FAIL"))</x:f>
      </x:c>
      <x:c r="AK468" s="75" t="str">
        <x:f>IF(AL468="","",AL468)</x:f>
      </x:c>
      <x:c r="AL468" s="77"/>
      <x:c r="AM468" s="77"/>
      <x:c r="AN468" s="64" t="str">
        <x:f>IF(OR(AC468="",P468=""),"",(AC468-P468)^2)</x:f>
      </x:c>
      <x:c r="AO468" s="64" t="str">
        <x:f>IF(OR(AG468="",AH468=""),"",AG468/AH468-1)</x:f>
      </x:c>
      <x:c r="AP468" s="61"/>
      <x:c r="AQ468" s="73" t="n">
        <x:f>IF(OR(AM468&lt;&gt;"PARIU U4,5",M468="",AP468="",AG468=""),0,IF(M468="UNDER",AP468*(AG468-1),-AP468))</x:f>
        <x:v>0</x:v>
      </x:c>
      <x:c r="AR468" s="51"/>
    </x:row>
    <x:row r="469">
      <x:c r="A469" s="9" t="str">
        <x:f>IF(D469="","",ROW()-1)</x:f>
      </x:c>
      <x:c r="B469" s="51"/>
      <x:c r="C469" s="51"/>
      <x:c r="D469" s="51"/>
      <x:c r="E469" s="9" t="str">
        <x:f>IF(D469="","",IF(AND(F469&lt;='Calibrare v2'!$B$33,G469&gt;=0.86),"DA – FEZABIL",IF(G469&gt;=0.8,"DA – PRUDENT","NU – EVITĂ")))</x:f>
      </x:c>
      <x:c r="F469" s="16" t="str">
        <x:f>IF(OR(W469="",X469=""),"",W469+X469)</x:f>
      </x:c>
      <x:c r="G469" s="28" t="str">
        <x:f>IF(F469="","",EXP(-F469)*(1+F469+F469^2/2+F469^3/6+F469^4/24))</x:f>
      </x:c>
      <x:c r="H469" s="53"/>
      <x:c r="I469" s="9" t="str">
        <x:f>IF(F469="","",IF(F469&lt;='Calibrare v2'!$B$33,"PASS","FAIL"))</x:f>
      </x:c>
      <x:c r="J469" s="51"/>
      <x:c r="K469" s="51"/>
      <x:c r="L469" s="9" t="str">
        <x:f>IF(OR(J469="",K469=""),"",J469+K469)</x:f>
      </x:c>
      <x:c r="M469" s="9" t="str">
        <x:f>IF(L469="","",IF(L469&lt;=4,"UNDER","OVER"))</x:f>
      </x:c>
      <x:c r="N469" s="9" t="str">
        <x:f>IF(E469="","",IF(LEFT(E469,2)="DA","PARIU U388,5","NO BET"))</x:f>
      </x:c>
      <x:c r="O469" s="9" t="str">
        <x:f>IF(M469="","",IF(AM469="PARIU U388,5",IF(M469="UNDER","SUCCES","EȘEC"),IF(M469="UNDER","FALS NEGATIV","EVITARE CORECTĂ")))</x:f>
      </x:c>
      <x:c r="P469" s="9" t="str">
        <x:f>IF(M469="","",IF(M469="UNDER",1,0))</x:f>
      </x:c>
      <x:c r="Q469" s="9" t="str">
        <x:f>IF(P469="","",(G469-P469)^2)</x:f>
      </x:c>
      <x:c r="R469" s="9" t="str">
        <x:f>IF(L469="","",L469-F469)</x:f>
      </x:c>
      <x:c r="S469" s="9" t="str">
        <x:f>IF(L469="","",IF(M469="UNDER","U388,5 reușit; total final "&amp;L469&amp;" vs λ="&amp;TEXT(F469,"0.00")&amp;".","Eșec U388,5; total final "&amp;L469&amp;" vs λ="&amp;TEXT(F469,"0.00")&amp;". Revizuiește Tail Risk, sursa λ și calibrarea."))</x:f>
      </x:c>
      <x:c r="T469" s="51"/>
      <x:c r="U469" s="51"/>
      <x:c r="V469" s="51"/>
      <x:c r="W469" s="61"/>
      <x:c r="X469" s="61"/>
      <x:c r="Y469" s="51"/>
      <x:c r="Z469" s="53"/>
      <x:c r="AA469" s="51"/>
      <x:c r="AB469" s="64" t="str">
        <x:f>IF(AC469="","",AC469)</x:f>
      </x:c>
      <x:c r="AC469" s="67"/>
      <x:c r="AD469" s="69" t="str">
        <x:f>IF(AE469="","",AE469)</x:f>
      </x:c>
      <x:c r="AE469" s="71"/>
      <x:c r="AF469" s="73" t="str">
        <x:f>IF(AC469="","",1/AC469)</x:f>
      </x:c>
      <x:c r="AG469" s="61"/>
      <x:c r="AH469" s="61"/>
      <x:c r="AI469" s="64" t="str">
        <x:f>IF(OR(AC469="",AG469=""),"",AC469*AG469-1)</x:f>
      </x:c>
      <x:c r="AJ469" s="75" t="str">
        <x:f>IF(OR(G469="",F469=""),"",IF(AND(G469&gt;='Calibrare v2'!$B$35,F469&lt;='Calibrare v2'!$B$34),"PASS","FAIL"))</x:f>
      </x:c>
      <x:c r="AK469" s="75" t="str">
        <x:f>IF(AL469="","",AL469)</x:f>
      </x:c>
      <x:c r="AL469" s="77"/>
      <x:c r="AM469" s="77"/>
      <x:c r="AN469" s="64" t="str">
        <x:f>IF(OR(AC469="",P469=""),"",(AC469-P469)^2)</x:f>
      </x:c>
      <x:c r="AO469" s="64" t="str">
        <x:f>IF(OR(AG469="",AH469=""),"",AG469/AH469-1)</x:f>
      </x:c>
      <x:c r="AP469" s="61"/>
      <x:c r="AQ469" s="73" t="n">
        <x:f>IF(OR(AM469&lt;&gt;"PARIU U4,5",M469="",AP469="",AG469=""),0,IF(M469="UNDER",AP469*(AG469-1),-AP469))</x:f>
        <x:v>0</x:v>
      </x:c>
      <x:c r="AR469" s="51"/>
    </x:row>
    <x:row r="470">
      <x:c r="A470" s="9" t="str">
        <x:f>IF(D470="","",ROW()-1)</x:f>
      </x:c>
      <x:c r="B470" s="51"/>
      <x:c r="C470" s="51"/>
      <x:c r="D470" s="51"/>
      <x:c r="E470" s="9" t="str">
        <x:f>IF(D470="","",IF(AND(F470&lt;='Calibrare v2'!$B$33,G470&gt;=0.86),"DA – FEZABIL",IF(G470&gt;=0.8,"DA – PRUDENT","NU – EVITĂ")))</x:f>
      </x:c>
      <x:c r="F470" s="16" t="str">
        <x:f>IF(OR(W470="",X470=""),"",W470+X470)</x:f>
      </x:c>
      <x:c r="G470" s="28" t="str">
        <x:f>IF(F470="","",EXP(-F470)*(1+F470+F470^2/2+F470^3/6+F470^4/24))</x:f>
      </x:c>
      <x:c r="H470" s="53"/>
      <x:c r="I470" s="9" t="str">
        <x:f>IF(F470="","",IF(F470&lt;='Calibrare v2'!$B$33,"PASS","FAIL"))</x:f>
      </x:c>
      <x:c r="J470" s="51"/>
      <x:c r="K470" s="51"/>
      <x:c r="L470" s="9" t="str">
        <x:f>IF(OR(J470="",K470=""),"",J470+K470)</x:f>
      </x:c>
      <x:c r="M470" s="9" t="str">
        <x:f>IF(L470="","",IF(L470&lt;=4,"UNDER","OVER"))</x:f>
      </x:c>
      <x:c r="N470" s="9" t="str">
        <x:f>IF(E470="","",IF(LEFT(E470,2)="DA","PARIU U389,5","NO BET"))</x:f>
      </x:c>
      <x:c r="O470" s="9" t="str">
        <x:f>IF(M470="","",IF(AM470="PARIU U389,5",IF(M470="UNDER","SUCCES","EȘEC"),IF(M470="UNDER","FALS NEGATIV","EVITARE CORECTĂ")))</x:f>
      </x:c>
      <x:c r="P470" s="9" t="str">
        <x:f>IF(M470="","",IF(M470="UNDER",1,0))</x:f>
      </x:c>
      <x:c r="Q470" s="9" t="str">
        <x:f>IF(P470="","",(G470-P470)^2)</x:f>
      </x:c>
      <x:c r="R470" s="9" t="str">
        <x:f>IF(L470="","",L470-F470)</x:f>
      </x:c>
      <x:c r="S470" s="9" t="str">
        <x:f>IF(L470="","",IF(M470="UNDER","U389,5 reușit; total final "&amp;L470&amp;" vs λ="&amp;TEXT(F470,"0.00")&amp;".","Eșec U389,5; total final "&amp;L470&amp;" vs λ="&amp;TEXT(F470,"0.00")&amp;". Revizuiește Tail Risk, sursa λ și calibrarea."))</x:f>
      </x:c>
      <x:c r="T470" s="51"/>
      <x:c r="U470" s="51"/>
      <x:c r="V470" s="51"/>
      <x:c r="W470" s="61"/>
      <x:c r="X470" s="61"/>
      <x:c r="Y470" s="51"/>
      <x:c r="Z470" s="53"/>
      <x:c r="AA470" s="51"/>
      <x:c r="AB470" s="64" t="str">
        <x:f>IF(AC470="","",AC470)</x:f>
      </x:c>
      <x:c r="AC470" s="67"/>
      <x:c r="AD470" s="69" t="str">
        <x:f>IF(AE470="","",AE470)</x:f>
      </x:c>
      <x:c r="AE470" s="71"/>
      <x:c r="AF470" s="73" t="str">
        <x:f>IF(AC470="","",1/AC470)</x:f>
      </x:c>
      <x:c r="AG470" s="61"/>
      <x:c r="AH470" s="61"/>
      <x:c r="AI470" s="64" t="str">
        <x:f>IF(OR(AC470="",AG470=""),"",AC470*AG470-1)</x:f>
      </x:c>
      <x:c r="AJ470" s="75" t="str">
        <x:f>IF(OR(G470="",F470=""),"",IF(AND(G470&gt;='Calibrare v2'!$B$35,F470&lt;='Calibrare v2'!$B$34),"PASS","FAIL"))</x:f>
      </x:c>
      <x:c r="AK470" s="75" t="str">
        <x:f>IF(AL470="","",AL470)</x:f>
      </x:c>
      <x:c r="AL470" s="77"/>
      <x:c r="AM470" s="77"/>
      <x:c r="AN470" s="64" t="str">
        <x:f>IF(OR(AC470="",P470=""),"",(AC470-P470)^2)</x:f>
      </x:c>
      <x:c r="AO470" s="64" t="str">
        <x:f>IF(OR(AG470="",AH470=""),"",AG470/AH470-1)</x:f>
      </x:c>
      <x:c r="AP470" s="61"/>
      <x:c r="AQ470" s="73" t="n">
        <x:f>IF(OR(AM470&lt;&gt;"PARIU U4,5",M470="",AP470="",AG470=""),0,IF(M470="UNDER",AP470*(AG470-1),-AP470))</x:f>
        <x:v>0</x:v>
      </x:c>
      <x:c r="AR470" s="51"/>
    </x:row>
    <x:row r="471">
      <x:c r="A471" s="9" t="str">
        <x:f>IF(D471="","",ROW()-1)</x:f>
      </x:c>
      <x:c r="B471" s="51"/>
      <x:c r="C471" s="51"/>
      <x:c r="D471" s="51"/>
      <x:c r="E471" s="9" t="str">
        <x:f>IF(D471="","",IF(AND(F471&lt;='Calibrare v2'!$B$33,G471&gt;=0.86),"DA – FEZABIL",IF(G471&gt;=0.8,"DA – PRUDENT","NU – EVITĂ")))</x:f>
      </x:c>
      <x:c r="F471" s="16" t="str">
        <x:f>IF(OR(W471="",X471=""),"",W471+X471)</x:f>
      </x:c>
      <x:c r="G471" s="28" t="str">
        <x:f>IF(F471="","",EXP(-F471)*(1+F471+F471^2/2+F471^3/6+F471^4/24))</x:f>
      </x:c>
      <x:c r="H471" s="53"/>
      <x:c r="I471" s="9" t="str">
        <x:f>IF(F471="","",IF(F471&lt;='Calibrare v2'!$B$33,"PASS","FAIL"))</x:f>
      </x:c>
      <x:c r="J471" s="51"/>
      <x:c r="K471" s="51"/>
      <x:c r="L471" s="9" t="str">
        <x:f>IF(OR(J471="",K471=""),"",J471+K471)</x:f>
      </x:c>
      <x:c r="M471" s="9" t="str">
        <x:f>IF(L471="","",IF(L471&lt;=4,"UNDER","OVER"))</x:f>
      </x:c>
      <x:c r="N471" s="9" t="str">
        <x:f>IF(E471="","",IF(LEFT(E471,2)="DA","PARIU U390,5","NO BET"))</x:f>
      </x:c>
      <x:c r="O471" s="9" t="str">
        <x:f>IF(M471="","",IF(AM471="PARIU U390,5",IF(M471="UNDER","SUCCES","EȘEC"),IF(M471="UNDER","FALS NEGATIV","EVITARE CORECTĂ")))</x:f>
      </x:c>
      <x:c r="P471" s="9" t="str">
        <x:f>IF(M471="","",IF(M471="UNDER",1,0))</x:f>
      </x:c>
      <x:c r="Q471" s="9" t="str">
        <x:f>IF(P471="","",(G471-P471)^2)</x:f>
      </x:c>
      <x:c r="R471" s="9" t="str">
        <x:f>IF(L471="","",L471-F471)</x:f>
      </x:c>
      <x:c r="S471" s="9" t="str">
        <x:f>IF(L471="","",IF(M471="UNDER","U390,5 reușit; total final "&amp;L471&amp;" vs λ="&amp;TEXT(F471,"0.00")&amp;".","Eșec U390,5; total final "&amp;L471&amp;" vs λ="&amp;TEXT(F471,"0.00")&amp;". Revizuiește Tail Risk, sursa λ și calibrarea."))</x:f>
      </x:c>
      <x:c r="T471" s="51"/>
      <x:c r="U471" s="51"/>
      <x:c r="V471" s="51"/>
      <x:c r="W471" s="61"/>
      <x:c r="X471" s="61"/>
      <x:c r="Y471" s="51"/>
      <x:c r="Z471" s="53"/>
      <x:c r="AA471" s="51"/>
      <x:c r="AB471" s="64" t="str">
        <x:f>IF(AC471="","",AC471)</x:f>
      </x:c>
      <x:c r="AC471" s="67"/>
      <x:c r="AD471" s="69" t="str">
        <x:f>IF(AE471="","",AE471)</x:f>
      </x:c>
      <x:c r="AE471" s="71"/>
      <x:c r="AF471" s="73" t="str">
        <x:f>IF(AC471="","",1/AC471)</x:f>
      </x:c>
      <x:c r="AG471" s="61"/>
      <x:c r="AH471" s="61"/>
      <x:c r="AI471" s="64" t="str">
        <x:f>IF(OR(AC471="",AG471=""),"",AC471*AG471-1)</x:f>
      </x:c>
      <x:c r="AJ471" s="75" t="str">
        <x:f>IF(OR(G471="",F471=""),"",IF(AND(G471&gt;='Calibrare v2'!$B$35,F471&lt;='Calibrare v2'!$B$34),"PASS","FAIL"))</x:f>
      </x:c>
      <x:c r="AK471" s="75" t="str">
        <x:f>IF(AL471="","",AL471)</x:f>
      </x:c>
      <x:c r="AL471" s="77"/>
      <x:c r="AM471" s="77"/>
      <x:c r="AN471" s="64" t="str">
        <x:f>IF(OR(AC471="",P471=""),"",(AC471-P471)^2)</x:f>
      </x:c>
      <x:c r="AO471" s="64" t="str">
        <x:f>IF(OR(AG471="",AH471=""),"",AG471/AH471-1)</x:f>
      </x:c>
      <x:c r="AP471" s="61"/>
      <x:c r="AQ471" s="73" t="n">
        <x:f>IF(OR(AM471&lt;&gt;"PARIU U4,5",M471="",AP471="",AG471=""),0,IF(M471="UNDER",AP471*(AG471-1),-AP471))</x:f>
        <x:v>0</x:v>
      </x:c>
      <x:c r="AR471" s="51"/>
    </x:row>
    <x:row r="472">
      <x:c r="A472" s="9" t="str">
        <x:f>IF(D472="","",ROW()-1)</x:f>
      </x:c>
      <x:c r="B472" s="51"/>
      <x:c r="C472" s="51"/>
      <x:c r="D472" s="51"/>
      <x:c r="E472" s="9" t="str">
        <x:f>IF(D472="","",IF(AND(F472&lt;='Calibrare v2'!$B$33,G472&gt;=0.86),"DA – FEZABIL",IF(G472&gt;=0.8,"DA – PRUDENT","NU – EVITĂ")))</x:f>
      </x:c>
      <x:c r="F472" s="16" t="str">
        <x:f>IF(OR(W472="",X472=""),"",W472+X472)</x:f>
      </x:c>
      <x:c r="G472" s="28" t="str">
        <x:f>IF(F472="","",EXP(-F472)*(1+F472+F472^2/2+F472^3/6+F472^4/24))</x:f>
      </x:c>
      <x:c r="H472" s="53"/>
      <x:c r="I472" s="9" t="str">
        <x:f>IF(F472="","",IF(F472&lt;='Calibrare v2'!$B$33,"PASS","FAIL"))</x:f>
      </x:c>
      <x:c r="J472" s="51"/>
      <x:c r="K472" s="51"/>
      <x:c r="L472" s="9" t="str">
        <x:f>IF(OR(J472="",K472=""),"",J472+K472)</x:f>
      </x:c>
      <x:c r="M472" s="9" t="str">
        <x:f>IF(L472="","",IF(L472&lt;=4,"UNDER","OVER"))</x:f>
      </x:c>
      <x:c r="N472" s="9" t="str">
        <x:f>IF(E472="","",IF(LEFT(E472,2)="DA","PARIU U391,5","NO BET"))</x:f>
      </x:c>
      <x:c r="O472" s="9" t="str">
        <x:f>IF(M472="","",IF(AM472="PARIU U391,5",IF(M472="UNDER","SUCCES","EȘEC"),IF(M472="UNDER","FALS NEGATIV","EVITARE CORECTĂ")))</x:f>
      </x:c>
      <x:c r="P472" s="9" t="str">
        <x:f>IF(M472="","",IF(M472="UNDER",1,0))</x:f>
      </x:c>
      <x:c r="Q472" s="9" t="str">
        <x:f>IF(P472="","",(G472-P472)^2)</x:f>
      </x:c>
      <x:c r="R472" s="9" t="str">
        <x:f>IF(L472="","",L472-F472)</x:f>
      </x:c>
      <x:c r="S472" s="9" t="str">
        <x:f>IF(L472="","",IF(M472="UNDER","U391,5 reușit; total final "&amp;L472&amp;" vs λ="&amp;TEXT(F472,"0.00")&amp;".","Eșec U391,5; total final "&amp;L472&amp;" vs λ="&amp;TEXT(F472,"0.00")&amp;". Revizuiește Tail Risk, sursa λ și calibrarea."))</x:f>
      </x:c>
      <x:c r="T472" s="51"/>
      <x:c r="U472" s="51"/>
      <x:c r="V472" s="51"/>
      <x:c r="W472" s="61"/>
      <x:c r="X472" s="61"/>
      <x:c r="Y472" s="51"/>
      <x:c r="Z472" s="53"/>
      <x:c r="AA472" s="51"/>
      <x:c r="AB472" s="64" t="str">
        <x:f>IF(AC472="","",AC472)</x:f>
      </x:c>
      <x:c r="AC472" s="67"/>
      <x:c r="AD472" s="69" t="str">
        <x:f>IF(AE472="","",AE472)</x:f>
      </x:c>
      <x:c r="AE472" s="71"/>
      <x:c r="AF472" s="73" t="str">
        <x:f>IF(AC472="","",1/AC472)</x:f>
      </x:c>
      <x:c r="AG472" s="61"/>
      <x:c r="AH472" s="61"/>
      <x:c r="AI472" s="64" t="str">
        <x:f>IF(OR(AC472="",AG472=""),"",AC472*AG472-1)</x:f>
      </x:c>
      <x:c r="AJ472" s="75" t="str">
        <x:f>IF(OR(G472="",F472=""),"",IF(AND(G472&gt;='Calibrare v2'!$B$35,F472&lt;='Calibrare v2'!$B$34),"PASS","FAIL"))</x:f>
      </x:c>
      <x:c r="AK472" s="75" t="str">
        <x:f>IF(AL472="","",AL472)</x:f>
      </x:c>
      <x:c r="AL472" s="77"/>
      <x:c r="AM472" s="77"/>
      <x:c r="AN472" s="64" t="str">
        <x:f>IF(OR(AC472="",P472=""),"",(AC472-P472)^2)</x:f>
      </x:c>
      <x:c r="AO472" s="64" t="str">
        <x:f>IF(OR(AG472="",AH472=""),"",AG472/AH472-1)</x:f>
      </x:c>
      <x:c r="AP472" s="61"/>
      <x:c r="AQ472" s="73" t="n">
        <x:f>IF(OR(AM472&lt;&gt;"PARIU U4,5",M472="",AP472="",AG472=""),0,IF(M472="UNDER",AP472*(AG472-1),-AP472))</x:f>
        <x:v>0</x:v>
      </x:c>
      <x:c r="AR472" s="51"/>
    </x:row>
    <x:row r="473">
      <x:c r="A473" s="9" t="str">
        <x:f>IF(D473="","",ROW()-1)</x:f>
      </x:c>
      <x:c r="B473" s="51"/>
      <x:c r="C473" s="51"/>
      <x:c r="D473" s="51"/>
      <x:c r="E473" s="9" t="str">
        <x:f>IF(D473="","",IF(AND(F473&lt;='Calibrare v2'!$B$33,G473&gt;=0.86),"DA – FEZABIL",IF(G473&gt;=0.8,"DA – PRUDENT","NU – EVITĂ")))</x:f>
      </x:c>
      <x:c r="F473" s="16" t="str">
        <x:f>IF(OR(W473="",X473=""),"",W473+X473)</x:f>
      </x:c>
      <x:c r="G473" s="28" t="str">
        <x:f>IF(F473="","",EXP(-F473)*(1+F473+F473^2/2+F473^3/6+F473^4/24))</x:f>
      </x:c>
      <x:c r="H473" s="53"/>
      <x:c r="I473" s="9" t="str">
        <x:f>IF(F473="","",IF(F473&lt;='Calibrare v2'!$B$33,"PASS","FAIL"))</x:f>
      </x:c>
      <x:c r="J473" s="51"/>
      <x:c r="K473" s="51"/>
      <x:c r="L473" s="9" t="str">
        <x:f>IF(OR(J473="",K473=""),"",J473+K473)</x:f>
      </x:c>
      <x:c r="M473" s="9" t="str">
        <x:f>IF(L473="","",IF(L473&lt;=4,"UNDER","OVER"))</x:f>
      </x:c>
      <x:c r="N473" s="9" t="str">
        <x:f>IF(E473="","",IF(LEFT(E473,2)="DA","PARIU U392,5","NO BET"))</x:f>
      </x:c>
      <x:c r="O473" s="9" t="str">
        <x:f>IF(M473="","",IF(AM473="PARIU U392,5",IF(M473="UNDER","SUCCES","EȘEC"),IF(M473="UNDER","FALS NEGATIV","EVITARE CORECTĂ")))</x:f>
      </x:c>
      <x:c r="P473" s="9" t="str">
        <x:f>IF(M473="","",IF(M473="UNDER",1,0))</x:f>
      </x:c>
      <x:c r="Q473" s="9" t="str">
        <x:f>IF(P473="","",(G473-P473)^2)</x:f>
      </x:c>
      <x:c r="R473" s="9" t="str">
        <x:f>IF(L473="","",L473-F473)</x:f>
      </x:c>
      <x:c r="S473" s="9" t="str">
        <x:f>IF(L473="","",IF(M473="UNDER","U392,5 reușit; total final "&amp;L473&amp;" vs λ="&amp;TEXT(F473,"0.00")&amp;".","Eșec U392,5; total final "&amp;L473&amp;" vs λ="&amp;TEXT(F473,"0.00")&amp;". Revizuiește Tail Risk, sursa λ și calibrarea."))</x:f>
      </x:c>
      <x:c r="T473" s="51"/>
      <x:c r="U473" s="51"/>
      <x:c r="V473" s="51"/>
      <x:c r="W473" s="61"/>
      <x:c r="X473" s="61"/>
      <x:c r="Y473" s="51"/>
      <x:c r="Z473" s="53"/>
      <x:c r="AA473" s="51"/>
      <x:c r="AB473" s="64" t="str">
        <x:f>IF(AC473="","",AC473)</x:f>
      </x:c>
      <x:c r="AC473" s="67"/>
      <x:c r="AD473" s="69" t="str">
        <x:f>IF(AE473="","",AE473)</x:f>
      </x:c>
      <x:c r="AE473" s="71"/>
      <x:c r="AF473" s="73" t="str">
        <x:f>IF(AC473="","",1/AC473)</x:f>
      </x:c>
      <x:c r="AG473" s="61"/>
      <x:c r="AH473" s="61"/>
      <x:c r="AI473" s="64" t="str">
        <x:f>IF(OR(AC473="",AG473=""),"",AC473*AG473-1)</x:f>
      </x:c>
      <x:c r="AJ473" s="75" t="str">
        <x:f>IF(OR(G473="",F473=""),"",IF(AND(G473&gt;='Calibrare v2'!$B$35,F473&lt;='Calibrare v2'!$B$34),"PASS","FAIL"))</x:f>
      </x:c>
      <x:c r="AK473" s="75" t="str">
        <x:f>IF(AL473="","",AL473)</x:f>
      </x:c>
      <x:c r="AL473" s="77"/>
      <x:c r="AM473" s="77"/>
      <x:c r="AN473" s="64" t="str">
        <x:f>IF(OR(AC473="",P473=""),"",(AC473-P473)^2)</x:f>
      </x:c>
      <x:c r="AO473" s="64" t="str">
        <x:f>IF(OR(AG473="",AH473=""),"",AG473/AH473-1)</x:f>
      </x:c>
      <x:c r="AP473" s="61"/>
      <x:c r="AQ473" s="73" t="n">
        <x:f>IF(OR(AM473&lt;&gt;"PARIU U4,5",M473="",AP473="",AG473=""),0,IF(M473="UNDER",AP473*(AG473-1),-AP473))</x:f>
        <x:v>0</x:v>
      </x:c>
      <x:c r="AR473" s="51"/>
    </x:row>
    <x:row r="474">
      <x:c r="A474" s="9" t="str">
        <x:f>IF(D474="","",ROW()-1)</x:f>
      </x:c>
      <x:c r="B474" s="51"/>
      <x:c r="C474" s="51"/>
      <x:c r="D474" s="51"/>
      <x:c r="E474" s="9" t="str">
        <x:f>IF(D474="","",IF(AND(F474&lt;='Calibrare v2'!$B$33,G474&gt;=0.86),"DA – FEZABIL",IF(G474&gt;=0.8,"DA – PRUDENT","NU – EVITĂ")))</x:f>
      </x:c>
      <x:c r="F474" s="16" t="str">
        <x:f>IF(OR(W474="",X474=""),"",W474+X474)</x:f>
      </x:c>
      <x:c r="G474" s="28" t="str">
        <x:f>IF(F474="","",EXP(-F474)*(1+F474+F474^2/2+F474^3/6+F474^4/24))</x:f>
      </x:c>
      <x:c r="H474" s="53"/>
      <x:c r="I474" s="9" t="str">
        <x:f>IF(F474="","",IF(F474&lt;='Calibrare v2'!$B$33,"PASS","FAIL"))</x:f>
      </x:c>
      <x:c r="J474" s="51"/>
      <x:c r="K474" s="51"/>
      <x:c r="L474" s="9" t="str">
        <x:f>IF(OR(J474="",K474=""),"",J474+K474)</x:f>
      </x:c>
      <x:c r="M474" s="9" t="str">
        <x:f>IF(L474="","",IF(L474&lt;=4,"UNDER","OVER"))</x:f>
      </x:c>
      <x:c r="N474" s="9" t="str">
        <x:f>IF(E474="","",IF(LEFT(E474,2)="DA","PARIU U393,5","NO BET"))</x:f>
      </x:c>
      <x:c r="O474" s="9" t="str">
        <x:f>IF(M474="","",IF(AM474="PARIU U393,5",IF(M474="UNDER","SUCCES","EȘEC"),IF(M474="UNDER","FALS NEGATIV","EVITARE CORECTĂ")))</x:f>
      </x:c>
      <x:c r="P474" s="9" t="str">
        <x:f>IF(M474="","",IF(M474="UNDER",1,0))</x:f>
      </x:c>
      <x:c r="Q474" s="9" t="str">
        <x:f>IF(P474="","",(G474-P474)^2)</x:f>
      </x:c>
      <x:c r="R474" s="9" t="str">
        <x:f>IF(L474="","",L474-F474)</x:f>
      </x:c>
      <x:c r="S474" s="9" t="str">
        <x:f>IF(L474="","",IF(M474="UNDER","U393,5 reușit; total final "&amp;L474&amp;" vs λ="&amp;TEXT(F474,"0.00")&amp;".","Eșec U393,5; total final "&amp;L474&amp;" vs λ="&amp;TEXT(F474,"0.00")&amp;". Revizuiește Tail Risk, sursa λ și calibrarea."))</x:f>
      </x:c>
      <x:c r="T474" s="51"/>
      <x:c r="U474" s="51"/>
      <x:c r="V474" s="51"/>
      <x:c r="W474" s="61"/>
      <x:c r="X474" s="61"/>
      <x:c r="Y474" s="51"/>
      <x:c r="Z474" s="53"/>
      <x:c r="AA474" s="51"/>
      <x:c r="AB474" s="64" t="str">
        <x:f>IF(AC474="","",AC474)</x:f>
      </x:c>
      <x:c r="AC474" s="67"/>
      <x:c r="AD474" s="69" t="str">
        <x:f>IF(AE474="","",AE474)</x:f>
      </x:c>
      <x:c r="AE474" s="71"/>
      <x:c r="AF474" s="73" t="str">
        <x:f>IF(AC474="","",1/AC474)</x:f>
      </x:c>
      <x:c r="AG474" s="61"/>
      <x:c r="AH474" s="61"/>
      <x:c r="AI474" s="64" t="str">
        <x:f>IF(OR(AC474="",AG474=""),"",AC474*AG474-1)</x:f>
      </x:c>
      <x:c r="AJ474" s="75" t="str">
        <x:f>IF(OR(G474="",F474=""),"",IF(AND(G474&gt;='Calibrare v2'!$B$35,F474&lt;='Calibrare v2'!$B$34),"PASS","FAIL"))</x:f>
      </x:c>
      <x:c r="AK474" s="75" t="str">
        <x:f>IF(AL474="","",AL474)</x:f>
      </x:c>
      <x:c r="AL474" s="77"/>
      <x:c r="AM474" s="77"/>
      <x:c r="AN474" s="64" t="str">
        <x:f>IF(OR(AC474="",P474=""),"",(AC474-P474)^2)</x:f>
      </x:c>
      <x:c r="AO474" s="64" t="str">
        <x:f>IF(OR(AG474="",AH474=""),"",AG474/AH474-1)</x:f>
      </x:c>
      <x:c r="AP474" s="61"/>
      <x:c r="AQ474" s="73" t="n">
        <x:f>IF(OR(AM474&lt;&gt;"PARIU U4,5",M474="",AP474="",AG474=""),0,IF(M474="UNDER",AP474*(AG474-1),-AP474))</x:f>
        <x:v>0</x:v>
      </x:c>
      <x:c r="AR474" s="51"/>
    </x:row>
    <x:row r="475">
      <x:c r="A475" s="9" t="str">
        <x:f>IF(D475="","",ROW()-1)</x:f>
      </x:c>
      <x:c r="B475" s="51"/>
      <x:c r="C475" s="51"/>
      <x:c r="D475" s="51"/>
      <x:c r="E475" s="9" t="str">
        <x:f>IF(D475="","",IF(AND(F475&lt;='Calibrare v2'!$B$33,G475&gt;=0.86),"DA – FEZABIL",IF(G475&gt;=0.8,"DA – PRUDENT","NU – EVITĂ")))</x:f>
      </x:c>
      <x:c r="F475" s="16" t="str">
        <x:f>IF(OR(W475="",X475=""),"",W475+X475)</x:f>
      </x:c>
      <x:c r="G475" s="28" t="str">
        <x:f>IF(F475="","",EXP(-F475)*(1+F475+F475^2/2+F475^3/6+F475^4/24))</x:f>
      </x:c>
      <x:c r="H475" s="53"/>
      <x:c r="I475" s="9" t="str">
        <x:f>IF(F475="","",IF(F475&lt;='Calibrare v2'!$B$33,"PASS","FAIL"))</x:f>
      </x:c>
      <x:c r="J475" s="51"/>
      <x:c r="K475" s="51"/>
      <x:c r="L475" s="9" t="str">
        <x:f>IF(OR(J475="",K475=""),"",J475+K475)</x:f>
      </x:c>
      <x:c r="M475" s="9" t="str">
        <x:f>IF(L475="","",IF(L475&lt;=4,"UNDER","OVER"))</x:f>
      </x:c>
      <x:c r="N475" s="9" t="str">
        <x:f>IF(E475="","",IF(LEFT(E475,2)="DA","PARIU U394,5","NO BET"))</x:f>
      </x:c>
      <x:c r="O475" s="9" t="str">
        <x:f>IF(M475="","",IF(AM475="PARIU U394,5",IF(M475="UNDER","SUCCES","EȘEC"),IF(M475="UNDER","FALS NEGATIV","EVITARE CORECTĂ")))</x:f>
      </x:c>
      <x:c r="P475" s="9" t="str">
        <x:f>IF(M475="","",IF(M475="UNDER",1,0))</x:f>
      </x:c>
      <x:c r="Q475" s="9" t="str">
        <x:f>IF(P475="","",(G475-P475)^2)</x:f>
      </x:c>
      <x:c r="R475" s="9" t="str">
        <x:f>IF(L475="","",L475-F475)</x:f>
      </x:c>
      <x:c r="S475" s="9" t="str">
        <x:f>IF(L475="","",IF(M475="UNDER","U394,5 reușit; total final "&amp;L475&amp;" vs λ="&amp;TEXT(F475,"0.00")&amp;".","Eșec U394,5; total final "&amp;L475&amp;" vs λ="&amp;TEXT(F475,"0.00")&amp;". Revizuiește Tail Risk, sursa λ și calibrarea."))</x:f>
      </x:c>
      <x:c r="T475" s="51"/>
      <x:c r="U475" s="51"/>
      <x:c r="V475" s="51"/>
      <x:c r="W475" s="61"/>
      <x:c r="X475" s="61"/>
      <x:c r="Y475" s="51"/>
      <x:c r="Z475" s="53"/>
      <x:c r="AA475" s="51"/>
      <x:c r="AB475" s="64" t="str">
        <x:f>IF(AC475="","",AC475)</x:f>
      </x:c>
      <x:c r="AC475" s="67"/>
      <x:c r="AD475" s="69" t="str">
        <x:f>IF(AE475="","",AE475)</x:f>
      </x:c>
      <x:c r="AE475" s="71"/>
      <x:c r="AF475" s="73" t="str">
        <x:f>IF(AC475="","",1/AC475)</x:f>
      </x:c>
      <x:c r="AG475" s="61"/>
      <x:c r="AH475" s="61"/>
      <x:c r="AI475" s="64" t="str">
        <x:f>IF(OR(AC475="",AG475=""),"",AC475*AG475-1)</x:f>
      </x:c>
      <x:c r="AJ475" s="75" t="str">
        <x:f>IF(OR(G475="",F475=""),"",IF(AND(G475&gt;='Calibrare v2'!$B$35,F475&lt;='Calibrare v2'!$B$34),"PASS","FAIL"))</x:f>
      </x:c>
      <x:c r="AK475" s="75" t="str">
        <x:f>IF(AL475="","",AL475)</x:f>
      </x:c>
      <x:c r="AL475" s="77"/>
      <x:c r="AM475" s="77"/>
      <x:c r="AN475" s="64" t="str">
        <x:f>IF(OR(AC475="",P475=""),"",(AC475-P475)^2)</x:f>
      </x:c>
      <x:c r="AO475" s="64" t="str">
        <x:f>IF(OR(AG475="",AH475=""),"",AG475/AH475-1)</x:f>
      </x:c>
      <x:c r="AP475" s="61"/>
      <x:c r="AQ475" s="73" t="n">
        <x:f>IF(OR(AM475&lt;&gt;"PARIU U4,5",M475="",AP475="",AG475=""),0,IF(M475="UNDER",AP475*(AG475-1),-AP475))</x:f>
        <x:v>0</x:v>
      </x:c>
      <x:c r="AR475" s="51"/>
    </x:row>
    <x:row r="476">
      <x:c r="A476" s="9" t="str">
        <x:f>IF(D476="","",ROW()-1)</x:f>
      </x:c>
      <x:c r="B476" s="51"/>
      <x:c r="C476" s="51"/>
      <x:c r="D476" s="51"/>
      <x:c r="E476" s="9" t="str">
        <x:f>IF(D476="","",IF(AND(F476&lt;='Calibrare v2'!$B$33,G476&gt;=0.86),"DA – FEZABIL",IF(G476&gt;=0.8,"DA – PRUDENT","NU – EVITĂ")))</x:f>
      </x:c>
      <x:c r="F476" s="16" t="str">
        <x:f>IF(OR(W476="",X476=""),"",W476+X476)</x:f>
      </x:c>
      <x:c r="G476" s="28" t="str">
        <x:f>IF(F476="","",EXP(-F476)*(1+F476+F476^2/2+F476^3/6+F476^4/24))</x:f>
      </x:c>
      <x:c r="H476" s="53"/>
      <x:c r="I476" s="9" t="str">
        <x:f>IF(F476="","",IF(F476&lt;='Calibrare v2'!$B$33,"PASS","FAIL"))</x:f>
      </x:c>
      <x:c r="J476" s="51"/>
      <x:c r="K476" s="51"/>
      <x:c r="L476" s="9" t="str">
        <x:f>IF(OR(J476="",K476=""),"",J476+K476)</x:f>
      </x:c>
      <x:c r="M476" s="9" t="str">
        <x:f>IF(L476="","",IF(L476&lt;=4,"UNDER","OVER"))</x:f>
      </x:c>
      <x:c r="N476" s="9" t="str">
        <x:f>IF(E476="","",IF(LEFT(E476,2)="DA","PARIU U395,5","NO BET"))</x:f>
      </x:c>
      <x:c r="O476" s="9" t="str">
        <x:f>IF(M476="","",IF(AM476="PARIU U395,5",IF(M476="UNDER","SUCCES","EȘEC"),IF(M476="UNDER","FALS NEGATIV","EVITARE CORECTĂ")))</x:f>
      </x:c>
      <x:c r="P476" s="9" t="str">
        <x:f>IF(M476="","",IF(M476="UNDER",1,0))</x:f>
      </x:c>
      <x:c r="Q476" s="9" t="str">
        <x:f>IF(P476="","",(G476-P476)^2)</x:f>
      </x:c>
      <x:c r="R476" s="9" t="str">
        <x:f>IF(L476="","",L476-F476)</x:f>
      </x:c>
      <x:c r="S476" s="9" t="str">
        <x:f>IF(L476="","",IF(M476="UNDER","U395,5 reușit; total final "&amp;L476&amp;" vs λ="&amp;TEXT(F476,"0.00")&amp;".","Eșec U395,5; total final "&amp;L476&amp;" vs λ="&amp;TEXT(F476,"0.00")&amp;". Revizuiește Tail Risk, sursa λ și calibrarea."))</x:f>
      </x:c>
      <x:c r="T476" s="51"/>
      <x:c r="U476" s="51"/>
      <x:c r="V476" s="51"/>
      <x:c r="W476" s="61"/>
      <x:c r="X476" s="61"/>
      <x:c r="Y476" s="51"/>
      <x:c r="Z476" s="53"/>
      <x:c r="AA476" s="51"/>
      <x:c r="AB476" s="64" t="str">
        <x:f>IF(AC476="","",AC476)</x:f>
      </x:c>
      <x:c r="AC476" s="67"/>
      <x:c r="AD476" s="69" t="str">
        <x:f>IF(AE476="","",AE476)</x:f>
      </x:c>
      <x:c r="AE476" s="71"/>
      <x:c r="AF476" s="73" t="str">
        <x:f>IF(AC476="","",1/AC476)</x:f>
      </x:c>
      <x:c r="AG476" s="61"/>
      <x:c r="AH476" s="61"/>
      <x:c r="AI476" s="64" t="str">
        <x:f>IF(OR(AC476="",AG476=""),"",AC476*AG476-1)</x:f>
      </x:c>
      <x:c r="AJ476" s="75" t="str">
        <x:f>IF(OR(G476="",F476=""),"",IF(AND(G476&gt;='Calibrare v2'!$B$35,F476&lt;='Calibrare v2'!$B$34),"PASS","FAIL"))</x:f>
      </x:c>
      <x:c r="AK476" s="75" t="str">
        <x:f>IF(AL476="","",AL476)</x:f>
      </x:c>
      <x:c r="AL476" s="77"/>
      <x:c r="AM476" s="77"/>
      <x:c r="AN476" s="64" t="str">
        <x:f>IF(OR(AC476="",P476=""),"",(AC476-P476)^2)</x:f>
      </x:c>
      <x:c r="AO476" s="64" t="str">
        <x:f>IF(OR(AG476="",AH476=""),"",AG476/AH476-1)</x:f>
      </x:c>
      <x:c r="AP476" s="61"/>
      <x:c r="AQ476" s="73" t="n">
        <x:f>IF(OR(AM476&lt;&gt;"PARIU U4,5",M476="",AP476="",AG476=""),0,IF(M476="UNDER",AP476*(AG476-1),-AP476))</x:f>
        <x:v>0</x:v>
      </x:c>
      <x:c r="AR476" s="51"/>
    </x:row>
    <x:row r="477">
      <x:c r="A477" s="9" t="str">
        <x:f>IF(D477="","",ROW()-1)</x:f>
      </x:c>
      <x:c r="B477" s="51"/>
      <x:c r="C477" s="51"/>
      <x:c r="D477" s="51"/>
      <x:c r="E477" s="9" t="str">
        <x:f>IF(D477="","",IF(AND(F477&lt;='Calibrare v2'!$B$33,G477&gt;=0.86),"DA – FEZABIL",IF(G477&gt;=0.8,"DA – PRUDENT","NU – EVITĂ")))</x:f>
      </x:c>
      <x:c r="F477" s="16" t="str">
        <x:f>IF(OR(W477="",X477=""),"",W477+X477)</x:f>
      </x:c>
      <x:c r="G477" s="28" t="str">
        <x:f>IF(F477="","",EXP(-F477)*(1+F477+F477^2/2+F477^3/6+F477^4/24))</x:f>
      </x:c>
      <x:c r="H477" s="53"/>
      <x:c r="I477" s="9" t="str">
        <x:f>IF(F477="","",IF(F477&lt;='Calibrare v2'!$B$33,"PASS","FAIL"))</x:f>
      </x:c>
      <x:c r="J477" s="51"/>
      <x:c r="K477" s="51"/>
      <x:c r="L477" s="9" t="str">
        <x:f>IF(OR(J477="",K477=""),"",J477+K477)</x:f>
      </x:c>
      <x:c r="M477" s="9" t="str">
        <x:f>IF(L477="","",IF(L477&lt;=4,"UNDER","OVER"))</x:f>
      </x:c>
      <x:c r="N477" s="9" t="str">
        <x:f>IF(E477="","",IF(LEFT(E477,2)="DA","PARIU U396,5","NO BET"))</x:f>
      </x:c>
      <x:c r="O477" s="9" t="str">
        <x:f>IF(M477="","",IF(AM477="PARIU U396,5",IF(M477="UNDER","SUCCES","EȘEC"),IF(M477="UNDER","FALS NEGATIV","EVITARE CORECTĂ")))</x:f>
      </x:c>
      <x:c r="P477" s="9" t="str">
        <x:f>IF(M477="","",IF(M477="UNDER",1,0))</x:f>
      </x:c>
      <x:c r="Q477" s="9" t="str">
        <x:f>IF(P477="","",(G477-P477)^2)</x:f>
      </x:c>
      <x:c r="R477" s="9" t="str">
        <x:f>IF(L477="","",L477-F477)</x:f>
      </x:c>
      <x:c r="S477" s="9" t="str">
        <x:f>IF(L477="","",IF(M477="UNDER","U396,5 reușit; total final "&amp;L477&amp;" vs λ="&amp;TEXT(F477,"0.00")&amp;".","Eșec U396,5; total final "&amp;L477&amp;" vs λ="&amp;TEXT(F477,"0.00")&amp;". Revizuiește Tail Risk, sursa λ și calibrarea."))</x:f>
      </x:c>
      <x:c r="T477" s="51"/>
      <x:c r="U477" s="51"/>
      <x:c r="V477" s="51"/>
      <x:c r="W477" s="61"/>
      <x:c r="X477" s="61"/>
      <x:c r="Y477" s="51"/>
      <x:c r="Z477" s="53"/>
      <x:c r="AA477" s="51"/>
      <x:c r="AB477" s="64" t="str">
        <x:f>IF(AC477="","",AC477)</x:f>
      </x:c>
      <x:c r="AC477" s="67"/>
      <x:c r="AD477" s="69" t="str">
        <x:f>IF(AE477="","",AE477)</x:f>
      </x:c>
      <x:c r="AE477" s="71"/>
      <x:c r="AF477" s="73" t="str">
        <x:f>IF(AC477="","",1/AC477)</x:f>
      </x:c>
      <x:c r="AG477" s="61"/>
      <x:c r="AH477" s="61"/>
      <x:c r="AI477" s="64" t="str">
        <x:f>IF(OR(AC477="",AG477=""),"",AC477*AG477-1)</x:f>
      </x:c>
      <x:c r="AJ477" s="75" t="str">
        <x:f>IF(OR(G477="",F477=""),"",IF(AND(G477&gt;='Calibrare v2'!$B$35,F477&lt;='Calibrare v2'!$B$34),"PASS","FAIL"))</x:f>
      </x:c>
      <x:c r="AK477" s="75" t="str">
        <x:f>IF(AL477="","",AL477)</x:f>
      </x:c>
      <x:c r="AL477" s="77"/>
      <x:c r="AM477" s="77"/>
      <x:c r="AN477" s="64" t="str">
        <x:f>IF(OR(AC477="",P477=""),"",(AC477-P477)^2)</x:f>
      </x:c>
      <x:c r="AO477" s="64" t="str">
        <x:f>IF(OR(AG477="",AH477=""),"",AG477/AH477-1)</x:f>
      </x:c>
      <x:c r="AP477" s="61"/>
      <x:c r="AQ477" s="73" t="n">
        <x:f>IF(OR(AM477&lt;&gt;"PARIU U4,5",M477="",AP477="",AG477=""),0,IF(M477="UNDER",AP477*(AG477-1),-AP477))</x:f>
        <x:v>0</x:v>
      </x:c>
      <x:c r="AR477" s="51"/>
    </x:row>
    <x:row r="478">
      <x:c r="A478" s="9" t="str">
        <x:f>IF(D478="","",ROW()-1)</x:f>
      </x:c>
      <x:c r="B478" s="51"/>
      <x:c r="C478" s="51"/>
      <x:c r="D478" s="51"/>
      <x:c r="E478" s="9" t="str">
        <x:f>IF(D478="","",IF(AND(F478&lt;='Calibrare v2'!$B$33,G478&gt;=0.86),"DA – FEZABIL",IF(G478&gt;=0.8,"DA – PRUDENT","NU – EVITĂ")))</x:f>
      </x:c>
      <x:c r="F478" s="16" t="str">
        <x:f>IF(OR(W478="",X478=""),"",W478+X478)</x:f>
      </x:c>
      <x:c r="G478" s="28" t="str">
        <x:f>IF(F478="","",EXP(-F478)*(1+F478+F478^2/2+F478^3/6+F478^4/24))</x:f>
      </x:c>
      <x:c r="H478" s="53"/>
      <x:c r="I478" s="9" t="str">
        <x:f>IF(F478="","",IF(F478&lt;='Calibrare v2'!$B$33,"PASS","FAIL"))</x:f>
      </x:c>
      <x:c r="J478" s="51"/>
      <x:c r="K478" s="51"/>
      <x:c r="L478" s="9" t="str">
        <x:f>IF(OR(J478="",K478=""),"",J478+K478)</x:f>
      </x:c>
      <x:c r="M478" s="9" t="str">
        <x:f>IF(L478="","",IF(L478&lt;=4,"UNDER","OVER"))</x:f>
      </x:c>
      <x:c r="N478" s="9" t="str">
        <x:f>IF(E478="","",IF(LEFT(E478,2)="DA","PARIU U397,5","NO BET"))</x:f>
      </x:c>
      <x:c r="O478" s="9" t="str">
        <x:f>IF(M478="","",IF(AM478="PARIU U397,5",IF(M478="UNDER","SUCCES","EȘEC"),IF(M478="UNDER","FALS NEGATIV","EVITARE CORECTĂ")))</x:f>
      </x:c>
      <x:c r="P478" s="9" t="str">
        <x:f>IF(M478="","",IF(M478="UNDER",1,0))</x:f>
      </x:c>
      <x:c r="Q478" s="9" t="str">
        <x:f>IF(P478="","",(G478-P478)^2)</x:f>
      </x:c>
      <x:c r="R478" s="9" t="str">
        <x:f>IF(L478="","",L478-F478)</x:f>
      </x:c>
      <x:c r="S478" s="9" t="str">
        <x:f>IF(L478="","",IF(M478="UNDER","U397,5 reușit; total final "&amp;L478&amp;" vs λ="&amp;TEXT(F478,"0.00")&amp;".","Eșec U397,5; total final "&amp;L478&amp;" vs λ="&amp;TEXT(F478,"0.00")&amp;". Revizuiește Tail Risk, sursa λ și calibrarea."))</x:f>
      </x:c>
      <x:c r="T478" s="51"/>
      <x:c r="U478" s="51"/>
      <x:c r="V478" s="51"/>
      <x:c r="W478" s="61"/>
      <x:c r="X478" s="61"/>
      <x:c r="Y478" s="51"/>
      <x:c r="Z478" s="53"/>
      <x:c r="AA478" s="51"/>
      <x:c r="AB478" s="64" t="str">
        <x:f>IF(AC478="","",AC478)</x:f>
      </x:c>
      <x:c r="AC478" s="67"/>
      <x:c r="AD478" s="69" t="str">
        <x:f>IF(AE478="","",AE478)</x:f>
      </x:c>
      <x:c r="AE478" s="71"/>
      <x:c r="AF478" s="73" t="str">
        <x:f>IF(AC478="","",1/AC478)</x:f>
      </x:c>
      <x:c r="AG478" s="61"/>
      <x:c r="AH478" s="61"/>
      <x:c r="AI478" s="64" t="str">
        <x:f>IF(OR(AC478="",AG478=""),"",AC478*AG478-1)</x:f>
      </x:c>
      <x:c r="AJ478" s="75" t="str">
        <x:f>IF(OR(G478="",F478=""),"",IF(AND(G478&gt;='Calibrare v2'!$B$35,F478&lt;='Calibrare v2'!$B$34),"PASS","FAIL"))</x:f>
      </x:c>
      <x:c r="AK478" s="75" t="str">
        <x:f>IF(AL478="","",AL478)</x:f>
      </x:c>
      <x:c r="AL478" s="77"/>
      <x:c r="AM478" s="77"/>
      <x:c r="AN478" s="64" t="str">
        <x:f>IF(OR(AC478="",P478=""),"",(AC478-P478)^2)</x:f>
      </x:c>
      <x:c r="AO478" s="64" t="str">
        <x:f>IF(OR(AG478="",AH478=""),"",AG478/AH478-1)</x:f>
      </x:c>
      <x:c r="AP478" s="61"/>
      <x:c r="AQ478" s="73" t="n">
        <x:f>IF(OR(AM478&lt;&gt;"PARIU U4,5",M478="",AP478="",AG478=""),0,IF(M478="UNDER",AP478*(AG478-1),-AP478))</x:f>
        <x:v>0</x:v>
      </x:c>
      <x:c r="AR478" s="51"/>
    </x:row>
    <x:row r="479">
      <x:c r="A479" s="9" t="str">
        <x:f>IF(D479="","",ROW()-1)</x:f>
      </x:c>
      <x:c r="B479" s="51"/>
      <x:c r="C479" s="51"/>
      <x:c r="D479" s="51"/>
      <x:c r="E479" s="9" t="str">
        <x:f>IF(D479="","",IF(AND(F479&lt;='Calibrare v2'!$B$33,G479&gt;=0.86),"DA – FEZABIL",IF(G479&gt;=0.8,"DA – PRUDENT","NU – EVITĂ")))</x:f>
      </x:c>
      <x:c r="F479" s="16" t="str">
        <x:f>IF(OR(W479="",X479=""),"",W479+X479)</x:f>
      </x:c>
      <x:c r="G479" s="28" t="str">
        <x:f>IF(F479="","",EXP(-F479)*(1+F479+F479^2/2+F479^3/6+F479^4/24))</x:f>
      </x:c>
      <x:c r="H479" s="53"/>
      <x:c r="I479" s="9" t="str">
        <x:f>IF(F479="","",IF(F479&lt;='Calibrare v2'!$B$33,"PASS","FAIL"))</x:f>
      </x:c>
      <x:c r="J479" s="51"/>
      <x:c r="K479" s="51"/>
      <x:c r="L479" s="9" t="str">
        <x:f>IF(OR(J479="",K479=""),"",J479+K479)</x:f>
      </x:c>
      <x:c r="M479" s="9" t="str">
        <x:f>IF(L479="","",IF(L479&lt;=4,"UNDER","OVER"))</x:f>
      </x:c>
      <x:c r="N479" s="9" t="str">
        <x:f>IF(E479="","",IF(LEFT(E479,2)="DA","PARIU U398,5","NO BET"))</x:f>
      </x:c>
      <x:c r="O479" s="9" t="str">
        <x:f>IF(M479="","",IF(AM479="PARIU U398,5",IF(M479="UNDER","SUCCES","EȘEC"),IF(M479="UNDER","FALS NEGATIV","EVITARE CORECTĂ")))</x:f>
      </x:c>
      <x:c r="P479" s="9" t="str">
        <x:f>IF(M479="","",IF(M479="UNDER",1,0))</x:f>
      </x:c>
      <x:c r="Q479" s="9" t="str">
        <x:f>IF(P479="","",(G479-P479)^2)</x:f>
      </x:c>
      <x:c r="R479" s="9" t="str">
        <x:f>IF(L479="","",L479-F479)</x:f>
      </x:c>
      <x:c r="S479" s="9" t="str">
        <x:f>IF(L479="","",IF(M479="UNDER","U398,5 reușit; total final "&amp;L479&amp;" vs λ="&amp;TEXT(F479,"0.00")&amp;".","Eșec U398,5; total final "&amp;L479&amp;" vs λ="&amp;TEXT(F479,"0.00")&amp;". Revizuiește Tail Risk, sursa λ și calibrarea."))</x:f>
      </x:c>
      <x:c r="T479" s="51"/>
      <x:c r="U479" s="51"/>
      <x:c r="V479" s="51"/>
      <x:c r="W479" s="61"/>
      <x:c r="X479" s="61"/>
      <x:c r="Y479" s="51"/>
      <x:c r="Z479" s="53"/>
      <x:c r="AA479" s="51"/>
      <x:c r="AB479" s="64" t="str">
        <x:f>IF(AC479="","",AC479)</x:f>
      </x:c>
      <x:c r="AC479" s="67"/>
      <x:c r="AD479" s="69" t="str">
        <x:f>IF(AE479="","",AE479)</x:f>
      </x:c>
      <x:c r="AE479" s="71"/>
      <x:c r="AF479" s="73" t="str">
        <x:f>IF(AC479="","",1/AC479)</x:f>
      </x:c>
      <x:c r="AG479" s="61"/>
      <x:c r="AH479" s="61"/>
      <x:c r="AI479" s="64" t="str">
        <x:f>IF(OR(AC479="",AG479=""),"",AC479*AG479-1)</x:f>
      </x:c>
      <x:c r="AJ479" s="75" t="str">
        <x:f>IF(OR(G479="",F479=""),"",IF(AND(G479&gt;='Calibrare v2'!$B$35,F479&lt;='Calibrare v2'!$B$34),"PASS","FAIL"))</x:f>
      </x:c>
      <x:c r="AK479" s="75" t="str">
        <x:f>IF(AL479="","",AL479)</x:f>
      </x:c>
      <x:c r="AL479" s="77"/>
      <x:c r="AM479" s="77"/>
      <x:c r="AN479" s="64" t="str">
        <x:f>IF(OR(AC479="",P479=""),"",(AC479-P479)^2)</x:f>
      </x:c>
      <x:c r="AO479" s="64" t="str">
        <x:f>IF(OR(AG479="",AH479=""),"",AG479/AH479-1)</x:f>
      </x:c>
      <x:c r="AP479" s="61"/>
      <x:c r="AQ479" s="73" t="n">
        <x:f>IF(OR(AM479&lt;&gt;"PARIU U4,5",M479="",AP479="",AG479=""),0,IF(M479="UNDER",AP479*(AG479-1),-AP479))</x:f>
        <x:v>0</x:v>
      </x:c>
      <x:c r="AR479" s="51"/>
    </x:row>
    <x:row r="480">
      <x:c r="A480" s="9" t="str">
        <x:f>IF(D480="","",ROW()-1)</x:f>
      </x:c>
      <x:c r="B480" s="51"/>
      <x:c r="C480" s="51"/>
      <x:c r="D480" s="51"/>
      <x:c r="E480" s="9" t="str">
        <x:f>IF(D480="","",IF(AND(F480&lt;='Calibrare v2'!$B$33,G480&gt;=0.86),"DA – FEZABIL",IF(G480&gt;=0.8,"DA – PRUDENT","NU – EVITĂ")))</x:f>
      </x:c>
      <x:c r="F480" s="16" t="str">
        <x:f>IF(OR(W480="",X480=""),"",W480+X480)</x:f>
      </x:c>
      <x:c r="G480" s="28" t="str">
        <x:f>IF(F480="","",EXP(-F480)*(1+F480+F480^2/2+F480^3/6+F480^4/24))</x:f>
      </x:c>
      <x:c r="H480" s="53"/>
      <x:c r="I480" s="9" t="str">
        <x:f>IF(F480="","",IF(F480&lt;='Calibrare v2'!$B$33,"PASS","FAIL"))</x:f>
      </x:c>
      <x:c r="J480" s="51"/>
      <x:c r="K480" s="51"/>
      <x:c r="L480" s="9" t="str">
        <x:f>IF(OR(J480="",K480=""),"",J480+K480)</x:f>
      </x:c>
      <x:c r="M480" s="9" t="str">
        <x:f>IF(L480="","",IF(L480&lt;=4,"UNDER","OVER"))</x:f>
      </x:c>
      <x:c r="N480" s="9" t="str">
        <x:f>IF(E480="","",IF(LEFT(E480,2)="DA","PARIU U399,5","NO BET"))</x:f>
      </x:c>
      <x:c r="O480" s="9" t="str">
        <x:f>IF(M480="","",IF(AM480="PARIU U399,5",IF(M480="UNDER","SUCCES","EȘEC"),IF(M480="UNDER","FALS NEGATIV","EVITARE CORECTĂ")))</x:f>
      </x:c>
      <x:c r="P480" s="9" t="str">
        <x:f>IF(M480="","",IF(M480="UNDER",1,0))</x:f>
      </x:c>
      <x:c r="Q480" s="9" t="str">
        <x:f>IF(P480="","",(G480-P480)^2)</x:f>
      </x:c>
      <x:c r="R480" s="9" t="str">
        <x:f>IF(L480="","",L480-F480)</x:f>
      </x:c>
      <x:c r="S480" s="9" t="str">
        <x:f>IF(L480="","",IF(M480="UNDER","U399,5 reușit; total final "&amp;L480&amp;" vs λ="&amp;TEXT(F480,"0.00")&amp;".","Eșec U399,5; total final "&amp;L480&amp;" vs λ="&amp;TEXT(F480,"0.00")&amp;". Revizuiește Tail Risk, sursa λ și calibrarea."))</x:f>
      </x:c>
      <x:c r="T480" s="51"/>
      <x:c r="U480" s="51"/>
      <x:c r="V480" s="51"/>
      <x:c r="W480" s="61"/>
      <x:c r="X480" s="61"/>
      <x:c r="Y480" s="51"/>
      <x:c r="Z480" s="53"/>
      <x:c r="AA480" s="51"/>
      <x:c r="AB480" s="64" t="str">
        <x:f>IF(AC480="","",AC480)</x:f>
      </x:c>
      <x:c r="AC480" s="67"/>
      <x:c r="AD480" s="69" t="str">
        <x:f>IF(AE480="","",AE480)</x:f>
      </x:c>
      <x:c r="AE480" s="71"/>
      <x:c r="AF480" s="73" t="str">
        <x:f>IF(AC480="","",1/AC480)</x:f>
      </x:c>
      <x:c r="AG480" s="61"/>
      <x:c r="AH480" s="61"/>
      <x:c r="AI480" s="64" t="str">
        <x:f>IF(OR(AC480="",AG480=""),"",AC480*AG480-1)</x:f>
      </x:c>
      <x:c r="AJ480" s="75" t="str">
        <x:f>IF(OR(G480="",F480=""),"",IF(AND(G480&gt;='Calibrare v2'!$B$35,F480&lt;='Calibrare v2'!$B$34),"PASS","FAIL"))</x:f>
      </x:c>
      <x:c r="AK480" s="75" t="str">
        <x:f>IF(AL480="","",AL480)</x:f>
      </x:c>
      <x:c r="AL480" s="77"/>
      <x:c r="AM480" s="77"/>
      <x:c r="AN480" s="64" t="str">
        <x:f>IF(OR(AC480="",P480=""),"",(AC480-P480)^2)</x:f>
      </x:c>
      <x:c r="AO480" s="64" t="str">
        <x:f>IF(OR(AG480="",AH480=""),"",AG480/AH480-1)</x:f>
      </x:c>
      <x:c r="AP480" s="61"/>
      <x:c r="AQ480" s="73" t="n">
        <x:f>IF(OR(AM480&lt;&gt;"PARIU U4,5",M480="",AP480="",AG480=""),0,IF(M480="UNDER",AP480*(AG480-1),-AP480))</x:f>
        <x:v>0</x:v>
      </x:c>
      <x:c r="AR480" s="51"/>
    </x:row>
    <x:row r="481">
      <x:c r="A481" s="9" t="str">
        <x:f>IF(D481="","",ROW()-1)</x:f>
      </x:c>
      <x:c r="B481" s="51"/>
      <x:c r="C481" s="51"/>
      <x:c r="D481" s="51"/>
      <x:c r="E481" s="9" t="str">
        <x:f>IF(D481="","",IF(AND(F481&lt;='Calibrare v2'!$B$33,G481&gt;=0.86),"DA – FEZABIL",IF(G481&gt;=0.8,"DA – PRUDENT","NU – EVITĂ")))</x:f>
      </x:c>
      <x:c r="F481" s="16" t="str">
        <x:f>IF(OR(W481="",X481=""),"",W481+X481)</x:f>
      </x:c>
      <x:c r="G481" s="28" t="str">
        <x:f>IF(F481="","",EXP(-F481)*(1+F481+F481^2/2+F481^3/6+F481^4/24))</x:f>
      </x:c>
      <x:c r="H481" s="53"/>
      <x:c r="I481" s="9" t="str">
        <x:f>IF(F481="","",IF(F481&lt;='Calibrare v2'!$B$33,"PASS","FAIL"))</x:f>
      </x:c>
      <x:c r="J481" s="51"/>
      <x:c r="K481" s="51"/>
      <x:c r="L481" s="9" t="str">
        <x:f>IF(OR(J481="",K481=""),"",J481+K481)</x:f>
      </x:c>
      <x:c r="M481" s="9" t="str">
        <x:f>IF(L481="","",IF(L481&lt;=4,"UNDER","OVER"))</x:f>
      </x:c>
      <x:c r="N481" s="9" t="str">
        <x:f>IF(E481="","",IF(LEFT(E481,2)="DA","PARIU U400,5","NO BET"))</x:f>
      </x:c>
      <x:c r="O481" s="9" t="str">
        <x:f>IF(M481="","",IF(AM481="PARIU U400,5",IF(M481="UNDER","SUCCES","EȘEC"),IF(M481="UNDER","FALS NEGATIV","EVITARE CORECTĂ")))</x:f>
      </x:c>
      <x:c r="P481" s="9" t="str">
        <x:f>IF(M481="","",IF(M481="UNDER",1,0))</x:f>
      </x:c>
      <x:c r="Q481" s="9" t="str">
        <x:f>IF(P481="","",(G481-P481)^2)</x:f>
      </x:c>
      <x:c r="R481" s="9" t="str">
        <x:f>IF(L481="","",L481-F481)</x:f>
      </x:c>
      <x:c r="S481" s="9" t="str">
        <x:f>IF(L481="","",IF(M481="UNDER","U400,5 reușit; total final "&amp;L481&amp;" vs λ="&amp;TEXT(F481,"0.00")&amp;".","Eșec U400,5; total final "&amp;L481&amp;" vs λ="&amp;TEXT(F481,"0.00")&amp;". Revizuiește Tail Risk, sursa λ și calibrarea."))</x:f>
      </x:c>
      <x:c r="T481" s="51"/>
      <x:c r="U481" s="51"/>
      <x:c r="V481" s="51"/>
      <x:c r="W481" s="61"/>
      <x:c r="X481" s="61"/>
      <x:c r="Y481" s="51"/>
      <x:c r="Z481" s="53"/>
      <x:c r="AA481" s="51"/>
      <x:c r="AB481" s="64" t="str">
        <x:f>IF(AC481="","",AC481)</x:f>
      </x:c>
      <x:c r="AC481" s="67"/>
      <x:c r="AD481" s="69" t="str">
        <x:f>IF(AE481="","",AE481)</x:f>
      </x:c>
      <x:c r="AE481" s="71"/>
      <x:c r="AF481" s="73" t="str">
        <x:f>IF(AC481="","",1/AC481)</x:f>
      </x:c>
      <x:c r="AG481" s="61"/>
      <x:c r="AH481" s="61"/>
      <x:c r="AI481" s="64" t="str">
        <x:f>IF(OR(AC481="",AG481=""),"",AC481*AG481-1)</x:f>
      </x:c>
      <x:c r="AJ481" s="75" t="str">
        <x:f>IF(OR(G481="",F481=""),"",IF(AND(G481&gt;='Calibrare v2'!$B$35,F481&lt;='Calibrare v2'!$B$34),"PASS","FAIL"))</x:f>
      </x:c>
      <x:c r="AK481" s="75" t="str">
        <x:f>IF(AL481="","",AL481)</x:f>
      </x:c>
      <x:c r="AL481" s="77"/>
      <x:c r="AM481" s="77"/>
      <x:c r="AN481" s="64" t="str">
        <x:f>IF(OR(AC481="",P481=""),"",(AC481-P481)^2)</x:f>
      </x:c>
      <x:c r="AO481" s="64" t="str">
        <x:f>IF(OR(AG481="",AH481=""),"",AG481/AH481-1)</x:f>
      </x:c>
      <x:c r="AP481" s="61"/>
      <x:c r="AQ481" s="73" t="n">
        <x:f>IF(OR(AM481&lt;&gt;"PARIU U4,5",M481="",AP481="",AG481=""),0,IF(M481="UNDER",AP481*(AG481-1),-AP481))</x:f>
        <x:v>0</x:v>
      </x:c>
      <x:c r="AR481" s="51"/>
    </x:row>
    <x:row r="482">
      <x:c r="A482" s="9" t="str">
        <x:f>IF(D482="","",ROW()-1)</x:f>
      </x:c>
      <x:c r="B482" s="51"/>
      <x:c r="C482" s="51"/>
      <x:c r="D482" s="51"/>
      <x:c r="E482" s="9" t="str">
        <x:f>IF(D482="","",IF(AND(F482&lt;='Calibrare v2'!$B$33,G482&gt;=0.86),"DA – FEZABIL",IF(G482&gt;=0.8,"DA – PRUDENT","NU – EVITĂ")))</x:f>
      </x:c>
      <x:c r="F482" s="16" t="str">
        <x:f>IF(OR(W482="",X482=""),"",W482+X482)</x:f>
      </x:c>
      <x:c r="G482" s="28" t="str">
        <x:f>IF(F482="","",EXP(-F482)*(1+F482+F482^2/2+F482^3/6+F482^4/24))</x:f>
      </x:c>
      <x:c r="H482" s="53"/>
      <x:c r="I482" s="9" t="str">
        <x:f>IF(F482="","",IF(F482&lt;='Calibrare v2'!$B$33,"PASS","FAIL"))</x:f>
      </x:c>
      <x:c r="J482" s="51"/>
      <x:c r="K482" s="51"/>
      <x:c r="L482" s="9" t="str">
        <x:f>IF(OR(J482="",K482=""),"",J482+K482)</x:f>
      </x:c>
      <x:c r="M482" s="9" t="str">
        <x:f>IF(L482="","",IF(L482&lt;=4,"UNDER","OVER"))</x:f>
      </x:c>
      <x:c r="N482" s="9" t="str">
        <x:f>IF(E482="","",IF(LEFT(E482,2)="DA","PARIU U401,5","NO BET"))</x:f>
      </x:c>
      <x:c r="O482" s="9" t="str">
        <x:f>IF(M482="","",IF(AM482="PARIU U401,5",IF(M482="UNDER","SUCCES","EȘEC"),IF(M482="UNDER","FALS NEGATIV","EVITARE CORECTĂ")))</x:f>
      </x:c>
      <x:c r="P482" s="9" t="str">
        <x:f>IF(M482="","",IF(M482="UNDER",1,0))</x:f>
      </x:c>
      <x:c r="Q482" s="9" t="str">
        <x:f>IF(P482="","",(G482-P482)^2)</x:f>
      </x:c>
      <x:c r="R482" s="9" t="str">
        <x:f>IF(L482="","",L482-F482)</x:f>
      </x:c>
      <x:c r="S482" s="9" t="str">
        <x:f>IF(L482="","",IF(M482="UNDER","U401,5 reușit; total final "&amp;L482&amp;" vs λ="&amp;TEXT(F482,"0.00")&amp;".","Eșec U401,5; total final "&amp;L482&amp;" vs λ="&amp;TEXT(F482,"0.00")&amp;". Revizuiește Tail Risk, sursa λ și calibrarea."))</x:f>
      </x:c>
      <x:c r="T482" s="51"/>
      <x:c r="U482" s="51"/>
      <x:c r="V482" s="51"/>
      <x:c r="W482" s="61"/>
      <x:c r="X482" s="61"/>
      <x:c r="Y482" s="51"/>
      <x:c r="Z482" s="53"/>
      <x:c r="AA482" s="51"/>
      <x:c r="AB482" s="64" t="str">
        <x:f>IF(AC482="","",AC482)</x:f>
      </x:c>
      <x:c r="AC482" s="67"/>
      <x:c r="AD482" s="69" t="str">
        <x:f>IF(AE482="","",AE482)</x:f>
      </x:c>
      <x:c r="AE482" s="71"/>
      <x:c r="AF482" s="73" t="str">
        <x:f>IF(AC482="","",1/AC482)</x:f>
      </x:c>
      <x:c r="AG482" s="61"/>
      <x:c r="AH482" s="61"/>
      <x:c r="AI482" s="64" t="str">
        <x:f>IF(OR(AC482="",AG482=""),"",AC482*AG482-1)</x:f>
      </x:c>
      <x:c r="AJ482" s="75" t="str">
        <x:f>IF(OR(G482="",F482=""),"",IF(AND(G482&gt;='Calibrare v2'!$B$35,F482&lt;='Calibrare v2'!$B$34),"PASS","FAIL"))</x:f>
      </x:c>
      <x:c r="AK482" s="75" t="str">
        <x:f>IF(AL482="","",AL482)</x:f>
      </x:c>
      <x:c r="AL482" s="77"/>
      <x:c r="AM482" s="77"/>
      <x:c r="AN482" s="64" t="str">
        <x:f>IF(OR(AC482="",P482=""),"",(AC482-P482)^2)</x:f>
      </x:c>
      <x:c r="AO482" s="64" t="str">
        <x:f>IF(OR(AG482="",AH482=""),"",AG482/AH482-1)</x:f>
      </x:c>
      <x:c r="AP482" s="61"/>
      <x:c r="AQ482" s="73" t="n">
        <x:f>IF(OR(AM482&lt;&gt;"PARIU U4,5",M482="",AP482="",AG482=""),0,IF(M482="UNDER",AP482*(AG482-1),-AP482))</x:f>
        <x:v>0</x:v>
      </x:c>
      <x:c r="AR482" s="51"/>
    </x:row>
    <x:row r="483">
      <x:c r="A483" s="9" t="str">
        <x:f>IF(D483="","",ROW()-1)</x:f>
      </x:c>
      <x:c r="B483" s="51"/>
      <x:c r="C483" s="51"/>
      <x:c r="D483" s="51"/>
      <x:c r="E483" s="9" t="str">
        <x:f>IF(D483="","",IF(AND(F483&lt;='Calibrare v2'!$B$33,G483&gt;=0.86),"DA – FEZABIL",IF(G483&gt;=0.8,"DA – PRUDENT","NU – EVITĂ")))</x:f>
      </x:c>
      <x:c r="F483" s="16" t="str">
        <x:f>IF(OR(W483="",X483=""),"",W483+X483)</x:f>
      </x:c>
      <x:c r="G483" s="28" t="str">
        <x:f>IF(F483="","",EXP(-F483)*(1+F483+F483^2/2+F483^3/6+F483^4/24))</x:f>
      </x:c>
      <x:c r="H483" s="53"/>
      <x:c r="I483" s="9" t="str">
        <x:f>IF(F483="","",IF(F483&lt;='Calibrare v2'!$B$33,"PASS","FAIL"))</x:f>
      </x:c>
      <x:c r="J483" s="51"/>
      <x:c r="K483" s="51"/>
      <x:c r="L483" s="9" t="str">
        <x:f>IF(OR(J483="",K483=""),"",J483+K483)</x:f>
      </x:c>
      <x:c r="M483" s="9" t="str">
        <x:f>IF(L483="","",IF(L483&lt;=4,"UNDER","OVER"))</x:f>
      </x:c>
      <x:c r="N483" s="9" t="str">
        <x:f>IF(E483="","",IF(LEFT(E483,2)="DA","PARIU U402,5","NO BET"))</x:f>
      </x:c>
      <x:c r="O483" s="9" t="str">
        <x:f>IF(M483="","",IF(AM483="PARIU U402,5",IF(M483="UNDER","SUCCES","EȘEC"),IF(M483="UNDER","FALS NEGATIV","EVITARE CORECTĂ")))</x:f>
      </x:c>
      <x:c r="P483" s="9" t="str">
        <x:f>IF(M483="","",IF(M483="UNDER",1,0))</x:f>
      </x:c>
      <x:c r="Q483" s="9" t="str">
        <x:f>IF(P483="","",(G483-P483)^2)</x:f>
      </x:c>
      <x:c r="R483" s="9" t="str">
        <x:f>IF(L483="","",L483-F483)</x:f>
      </x:c>
      <x:c r="S483" s="9" t="str">
        <x:f>IF(L483="","",IF(M483="UNDER","U402,5 reușit; total final "&amp;L483&amp;" vs λ="&amp;TEXT(F483,"0.00")&amp;".","Eșec U402,5; total final "&amp;L483&amp;" vs λ="&amp;TEXT(F483,"0.00")&amp;". Revizuiește Tail Risk, sursa λ și calibrarea."))</x:f>
      </x:c>
      <x:c r="T483" s="51"/>
      <x:c r="U483" s="51"/>
      <x:c r="V483" s="51"/>
      <x:c r="W483" s="61"/>
      <x:c r="X483" s="61"/>
      <x:c r="Y483" s="51"/>
      <x:c r="Z483" s="53"/>
      <x:c r="AA483" s="51"/>
      <x:c r="AB483" s="64" t="str">
        <x:f>IF(AC483="","",AC483)</x:f>
      </x:c>
      <x:c r="AC483" s="67"/>
      <x:c r="AD483" s="69" t="str">
        <x:f>IF(AE483="","",AE483)</x:f>
      </x:c>
      <x:c r="AE483" s="71"/>
      <x:c r="AF483" s="73" t="str">
        <x:f>IF(AC483="","",1/AC483)</x:f>
      </x:c>
      <x:c r="AG483" s="61"/>
      <x:c r="AH483" s="61"/>
      <x:c r="AI483" s="64" t="str">
        <x:f>IF(OR(AC483="",AG483=""),"",AC483*AG483-1)</x:f>
      </x:c>
      <x:c r="AJ483" s="75" t="str">
        <x:f>IF(OR(G483="",F483=""),"",IF(AND(G483&gt;='Calibrare v2'!$B$35,F483&lt;='Calibrare v2'!$B$34),"PASS","FAIL"))</x:f>
      </x:c>
      <x:c r="AK483" s="75" t="str">
        <x:f>IF(AL483="","",AL483)</x:f>
      </x:c>
      <x:c r="AL483" s="77"/>
      <x:c r="AM483" s="77"/>
      <x:c r="AN483" s="64" t="str">
        <x:f>IF(OR(AC483="",P483=""),"",(AC483-P483)^2)</x:f>
      </x:c>
      <x:c r="AO483" s="64" t="str">
        <x:f>IF(OR(AG483="",AH483=""),"",AG483/AH483-1)</x:f>
      </x:c>
      <x:c r="AP483" s="61"/>
      <x:c r="AQ483" s="73" t="n">
        <x:f>IF(OR(AM483&lt;&gt;"PARIU U4,5",M483="",AP483="",AG483=""),0,IF(M483="UNDER",AP483*(AG483-1),-AP483))</x:f>
        <x:v>0</x:v>
      </x:c>
      <x:c r="AR483" s="51"/>
    </x:row>
    <x:row r="484">
      <x:c r="A484" s="9" t="str">
        <x:f>IF(D484="","",ROW()-1)</x:f>
      </x:c>
      <x:c r="B484" s="51"/>
      <x:c r="C484" s="51"/>
      <x:c r="D484" s="51"/>
      <x:c r="E484" s="9" t="str">
        <x:f>IF(D484="","",IF(AND(F484&lt;='Calibrare v2'!$B$33,G484&gt;=0.86),"DA – FEZABIL",IF(G484&gt;=0.8,"DA – PRUDENT","NU – EVITĂ")))</x:f>
      </x:c>
      <x:c r="F484" s="16" t="str">
        <x:f>IF(OR(W484="",X484=""),"",W484+X484)</x:f>
      </x:c>
      <x:c r="G484" s="28" t="str">
        <x:f>IF(F484="","",EXP(-F484)*(1+F484+F484^2/2+F484^3/6+F484^4/24))</x:f>
      </x:c>
      <x:c r="H484" s="53"/>
      <x:c r="I484" s="9" t="str">
        <x:f>IF(F484="","",IF(F484&lt;='Calibrare v2'!$B$33,"PASS","FAIL"))</x:f>
      </x:c>
      <x:c r="J484" s="51"/>
      <x:c r="K484" s="51"/>
      <x:c r="L484" s="9" t="str">
        <x:f>IF(OR(J484="",K484=""),"",J484+K484)</x:f>
      </x:c>
      <x:c r="M484" s="9" t="str">
        <x:f>IF(L484="","",IF(L484&lt;=4,"UNDER","OVER"))</x:f>
      </x:c>
      <x:c r="N484" s="9" t="str">
        <x:f>IF(E484="","",IF(LEFT(E484,2)="DA","PARIU U403,5","NO BET"))</x:f>
      </x:c>
      <x:c r="O484" s="9" t="str">
        <x:f>IF(M484="","",IF(AM484="PARIU U403,5",IF(M484="UNDER","SUCCES","EȘEC"),IF(M484="UNDER","FALS NEGATIV","EVITARE CORECTĂ")))</x:f>
      </x:c>
      <x:c r="P484" s="9" t="str">
        <x:f>IF(M484="","",IF(M484="UNDER",1,0))</x:f>
      </x:c>
      <x:c r="Q484" s="9" t="str">
        <x:f>IF(P484="","",(G484-P484)^2)</x:f>
      </x:c>
      <x:c r="R484" s="9" t="str">
        <x:f>IF(L484="","",L484-F484)</x:f>
      </x:c>
      <x:c r="S484" s="9" t="str">
        <x:f>IF(L484="","",IF(M484="UNDER","U403,5 reușit; total final "&amp;L484&amp;" vs λ="&amp;TEXT(F484,"0.00")&amp;".","Eșec U403,5; total final "&amp;L484&amp;" vs λ="&amp;TEXT(F484,"0.00")&amp;". Revizuiește Tail Risk, sursa λ și calibrarea."))</x:f>
      </x:c>
      <x:c r="T484" s="51"/>
      <x:c r="U484" s="51"/>
      <x:c r="V484" s="51"/>
      <x:c r="W484" s="61"/>
      <x:c r="X484" s="61"/>
      <x:c r="Y484" s="51"/>
      <x:c r="Z484" s="53"/>
      <x:c r="AA484" s="51"/>
      <x:c r="AB484" s="64" t="str">
        <x:f>IF(AC484="","",AC484)</x:f>
      </x:c>
      <x:c r="AC484" s="67"/>
      <x:c r="AD484" s="69" t="str">
        <x:f>IF(AE484="","",AE484)</x:f>
      </x:c>
      <x:c r="AE484" s="71"/>
      <x:c r="AF484" s="73" t="str">
        <x:f>IF(AC484="","",1/AC484)</x:f>
      </x:c>
      <x:c r="AG484" s="61"/>
      <x:c r="AH484" s="61"/>
      <x:c r="AI484" s="64" t="str">
        <x:f>IF(OR(AC484="",AG484=""),"",AC484*AG484-1)</x:f>
      </x:c>
      <x:c r="AJ484" s="75" t="str">
        <x:f>IF(OR(G484="",F484=""),"",IF(AND(G484&gt;='Calibrare v2'!$B$35,F484&lt;='Calibrare v2'!$B$34),"PASS","FAIL"))</x:f>
      </x:c>
      <x:c r="AK484" s="75" t="str">
        <x:f>IF(AL484="","",AL484)</x:f>
      </x:c>
      <x:c r="AL484" s="77"/>
      <x:c r="AM484" s="77"/>
      <x:c r="AN484" s="64" t="str">
        <x:f>IF(OR(AC484="",P484=""),"",(AC484-P484)^2)</x:f>
      </x:c>
      <x:c r="AO484" s="64" t="str">
        <x:f>IF(OR(AG484="",AH484=""),"",AG484/AH484-1)</x:f>
      </x:c>
      <x:c r="AP484" s="61"/>
      <x:c r="AQ484" s="73" t="n">
        <x:f>IF(OR(AM484&lt;&gt;"PARIU U4,5",M484="",AP484="",AG484=""),0,IF(M484="UNDER",AP484*(AG484-1),-AP484))</x:f>
        <x:v>0</x:v>
      </x:c>
      <x:c r="AR484" s="51"/>
    </x:row>
    <x:row r="485">
      <x:c r="A485" s="9" t="str">
        <x:f>IF(D485="","",ROW()-1)</x:f>
      </x:c>
      <x:c r="B485" s="51"/>
      <x:c r="C485" s="51"/>
      <x:c r="D485" s="51"/>
      <x:c r="E485" s="9" t="str">
        <x:f>IF(D485="","",IF(AND(F485&lt;='Calibrare v2'!$B$33,G485&gt;=0.86),"DA – FEZABIL",IF(G485&gt;=0.8,"DA – PRUDENT","NU – EVITĂ")))</x:f>
      </x:c>
      <x:c r="F485" s="16" t="str">
        <x:f>IF(OR(W485="",X485=""),"",W485+X485)</x:f>
      </x:c>
      <x:c r="G485" s="28" t="str">
        <x:f>IF(F485="","",EXP(-F485)*(1+F485+F485^2/2+F485^3/6+F485^4/24))</x:f>
      </x:c>
      <x:c r="H485" s="53"/>
      <x:c r="I485" s="9" t="str">
        <x:f>IF(F485="","",IF(F485&lt;='Calibrare v2'!$B$33,"PASS","FAIL"))</x:f>
      </x:c>
      <x:c r="J485" s="51"/>
      <x:c r="K485" s="51"/>
      <x:c r="L485" s="9" t="str">
        <x:f>IF(OR(J485="",K485=""),"",J485+K485)</x:f>
      </x:c>
      <x:c r="M485" s="9" t="str">
        <x:f>IF(L485="","",IF(L485&lt;=4,"UNDER","OVER"))</x:f>
      </x:c>
      <x:c r="N485" s="9" t="str">
        <x:f>IF(E485="","",IF(LEFT(E485,2)="DA","PARIU U404,5","NO BET"))</x:f>
      </x:c>
      <x:c r="O485" s="9" t="str">
        <x:f>IF(M485="","",IF(AM485="PARIU U404,5",IF(M485="UNDER","SUCCES","EȘEC"),IF(M485="UNDER","FALS NEGATIV","EVITARE CORECTĂ")))</x:f>
      </x:c>
      <x:c r="P485" s="9" t="str">
        <x:f>IF(M485="","",IF(M485="UNDER",1,0))</x:f>
      </x:c>
      <x:c r="Q485" s="9" t="str">
        <x:f>IF(P485="","",(G485-P485)^2)</x:f>
      </x:c>
      <x:c r="R485" s="9" t="str">
        <x:f>IF(L485="","",L485-F485)</x:f>
      </x:c>
      <x:c r="S485" s="9" t="str">
        <x:f>IF(L485="","",IF(M485="UNDER","U404,5 reușit; total final "&amp;L485&amp;" vs λ="&amp;TEXT(F485,"0.00")&amp;".","Eșec U404,5; total final "&amp;L485&amp;" vs λ="&amp;TEXT(F485,"0.00")&amp;". Revizuiește Tail Risk, sursa λ și calibrarea."))</x:f>
      </x:c>
      <x:c r="T485" s="51"/>
      <x:c r="U485" s="51"/>
      <x:c r="V485" s="51"/>
      <x:c r="W485" s="61"/>
      <x:c r="X485" s="61"/>
      <x:c r="Y485" s="51"/>
      <x:c r="Z485" s="53"/>
      <x:c r="AA485" s="51"/>
      <x:c r="AB485" s="64" t="str">
        <x:f>IF(AC485="","",AC485)</x:f>
      </x:c>
      <x:c r="AC485" s="67"/>
      <x:c r="AD485" s="69" t="str">
        <x:f>IF(AE485="","",AE485)</x:f>
      </x:c>
      <x:c r="AE485" s="71"/>
      <x:c r="AF485" s="73" t="str">
        <x:f>IF(AC485="","",1/AC485)</x:f>
      </x:c>
      <x:c r="AG485" s="61"/>
      <x:c r="AH485" s="61"/>
      <x:c r="AI485" s="64" t="str">
        <x:f>IF(OR(AC485="",AG485=""),"",AC485*AG485-1)</x:f>
      </x:c>
      <x:c r="AJ485" s="75" t="str">
        <x:f>IF(OR(G485="",F485=""),"",IF(AND(G485&gt;='Calibrare v2'!$B$35,F485&lt;='Calibrare v2'!$B$34),"PASS","FAIL"))</x:f>
      </x:c>
      <x:c r="AK485" s="75" t="str">
        <x:f>IF(AL485="","",AL485)</x:f>
      </x:c>
      <x:c r="AL485" s="77"/>
      <x:c r="AM485" s="77"/>
      <x:c r="AN485" s="64" t="str">
        <x:f>IF(OR(AC485="",P485=""),"",(AC485-P485)^2)</x:f>
      </x:c>
      <x:c r="AO485" s="64" t="str">
        <x:f>IF(OR(AG485="",AH485=""),"",AG485/AH485-1)</x:f>
      </x:c>
      <x:c r="AP485" s="61"/>
      <x:c r="AQ485" s="73" t="n">
        <x:f>IF(OR(AM485&lt;&gt;"PARIU U4,5",M485="",AP485="",AG485=""),0,IF(M485="UNDER",AP485*(AG485-1),-AP485))</x:f>
        <x:v>0</x:v>
      </x:c>
      <x:c r="AR485" s="51"/>
    </x:row>
    <x:row r="486">
      <x:c r="A486" s="9" t="str">
        <x:f>IF(D486="","",ROW()-1)</x:f>
      </x:c>
      <x:c r="B486" s="51"/>
      <x:c r="C486" s="51"/>
      <x:c r="D486" s="51"/>
      <x:c r="E486" s="9" t="str">
        <x:f>IF(D486="","",IF(AND(F486&lt;='Calibrare v2'!$B$33,G486&gt;=0.86),"DA – FEZABIL",IF(G486&gt;=0.8,"DA – PRUDENT","NU – EVITĂ")))</x:f>
      </x:c>
      <x:c r="F486" s="16" t="str">
        <x:f>IF(OR(W486="",X486=""),"",W486+X486)</x:f>
      </x:c>
      <x:c r="G486" s="28" t="str">
        <x:f>IF(F486="","",EXP(-F486)*(1+F486+F486^2/2+F486^3/6+F486^4/24))</x:f>
      </x:c>
      <x:c r="H486" s="53"/>
      <x:c r="I486" s="9" t="str">
        <x:f>IF(F486="","",IF(F486&lt;='Calibrare v2'!$B$33,"PASS","FAIL"))</x:f>
      </x:c>
      <x:c r="J486" s="51"/>
      <x:c r="K486" s="51"/>
      <x:c r="L486" s="9" t="str">
        <x:f>IF(OR(J486="",K486=""),"",J486+K486)</x:f>
      </x:c>
      <x:c r="M486" s="9" t="str">
        <x:f>IF(L486="","",IF(L486&lt;=4,"UNDER","OVER"))</x:f>
      </x:c>
      <x:c r="N486" s="9" t="str">
        <x:f>IF(E486="","",IF(LEFT(E486,2)="DA","PARIU U405,5","NO BET"))</x:f>
      </x:c>
      <x:c r="O486" s="9" t="str">
        <x:f>IF(M486="","",IF(AM486="PARIU U405,5",IF(M486="UNDER","SUCCES","EȘEC"),IF(M486="UNDER","FALS NEGATIV","EVITARE CORECTĂ")))</x:f>
      </x:c>
      <x:c r="P486" s="9" t="str">
        <x:f>IF(M486="","",IF(M486="UNDER",1,0))</x:f>
      </x:c>
      <x:c r="Q486" s="9" t="str">
        <x:f>IF(P486="","",(G486-P486)^2)</x:f>
      </x:c>
      <x:c r="R486" s="9" t="str">
        <x:f>IF(L486="","",L486-F486)</x:f>
      </x:c>
      <x:c r="S486" s="9" t="str">
        <x:f>IF(L486="","",IF(M486="UNDER","U405,5 reușit; total final "&amp;L486&amp;" vs λ="&amp;TEXT(F486,"0.00")&amp;".","Eșec U405,5; total final "&amp;L486&amp;" vs λ="&amp;TEXT(F486,"0.00")&amp;". Revizuiește Tail Risk, sursa λ și calibrarea."))</x:f>
      </x:c>
      <x:c r="T486" s="51"/>
      <x:c r="U486" s="51"/>
      <x:c r="V486" s="51"/>
      <x:c r="W486" s="61"/>
      <x:c r="X486" s="61"/>
      <x:c r="Y486" s="51"/>
      <x:c r="Z486" s="53"/>
      <x:c r="AA486" s="51"/>
      <x:c r="AB486" s="64" t="str">
        <x:f>IF(AC486="","",AC486)</x:f>
      </x:c>
      <x:c r="AC486" s="67"/>
      <x:c r="AD486" s="69" t="str">
        <x:f>IF(AE486="","",AE486)</x:f>
      </x:c>
      <x:c r="AE486" s="71"/>
      <x:c r="AF486" s="73" t="str">
        <x:f>IF(AC486="","",1/AC486)</x:f>
      </x:c>
      <x:c r="AG486" s="61"/>
      <x:c r="AH486" s="61"/>
      <x:c r="AI486" s="64" t="str">
        <x:f>IF(OR(AC486="",AG486=""),"",AC486*AG486-1)</x:f>
      </x:c>
      <x:c r="AJ486" s="75" t="str">
        <x:f>IF(OR(G486="",F486=""),"",IF(AND(G486&gt;='Calibrare v2'!$B$35,F486&lt;='Calibrare v2'!$B$34),"PASS","FAIL"))</x:f>
      </x:c>
      <x:c r="AK486" s="75" t="str">
        <x:f>IF(AL486="","",AL486)</x:f>
      </x:c>
      <x:c r="AL486" s="77"/>
      <x:c r="AM486" s="77"/>
      <x:c r="AN486" s="64" t="str">
        <x:f>IF(OR(AC486="",P486=""),"",(AC486-P486)^2)</x:f>
      </x:c>
      <x:c r="AO486" s="64" t="str">
        <x:f>IF(OR(AG486="",AH486=""),"",AG486/AH486-1)</x:f>
      </x:c>
      <x:c r="AP486" s="61"/>
      <x:c r="AQ486" s="73" t="n">
        <x:f>IF(OR(AM486&lt;&gt;"PARIU U4,5",M486="",AP486="",AG486=""),0,IF(M486="UNDER",AP486*(AG486-1),-AP486))</x:f>
        <x:v>0</x:v>
      </x:c>
      <x:c r="AR486" s="51"/>
    </x:row>
    <x:row r="487">
      <x:c r="A487" s="9" t="str">
        <x:f>IF(D487="","",ROW()-1)</x:f>
      </x:c>
      <x:c r="B487" s="51"/>
      <x:c r="C487" s="51"/>
      <x:c r="D487" s="51"/>
      <x:c r="E487" s="9" t="str">
        <x:f>IF(D487="","",IF(AND(F487&lt;='Calibrare v2'!$B$33,G487&gt;=0.86),"DA – FEZABIL",IF(G487&gt;=0.8,"DA – PRUDENT","NU – EVITĂ")))</x:f>
      </x:c>
      <x:c r="F487" s="16" t="str">
        <x:f>IF(OR(W487="",X487=""),"",W487+X487)</x:f>
      </x:c>
      <x:c r="G487" s="28" t="str">
        <x:f>IF(F487="","",EXP(-F487)*(1+F487+F487^2/2+F487^3/6+F487^4/24))</x:f>
      </x:c>
      <x:c r="H487" s="53"/>
      <x:c r="I487" s="9" t="str">
        <x:f>IF(F487="","",IF(F487&lt;='Calibrare v2'!$B$33,"PASS","FAIL"))</x:f>
      </x:c>
      <x:c r="J487" s="51"/>
      <x:c r="K487" s="51"/>
      <x:c r="L487" s="9" t="str">
        <x:f>IF(OR(J487="",K487=""),"",J487+K487)</x:f>
      </x:c>
      <x:c r="M487" s="9" t="str">
        <x:f>IF(L487="","",IF(L487&lt;=4,"UNDER","OVER"))</x:f>
      </x:c>
      <x:c r="N487" s="9" t="str">
        <x:f>IF(E487="","",IF(LEFT(E487,2)="DA","PARIU U406,5","NO BET"))</x:f>
      </x:c>
      <x:c r="O487" s="9" t="str">
        <x:f>IF(M487="","",IF(AM487="PARIU U406,5",IF(M487="UNDER","SUCCES","EȘEC"),IF(M487="UNDER","FALS NEGATIV","EVITARE CORECTĂ")))</x:f>
      </x:c>
      <x:c r="P487" s="9" t="str">
        <x:f>IF(M487="","",IF(M487="UNDER",1,0))</x:f>
      </x:c>
      <x:c r="Q487" s="9" t="str">
        <x:f>IF(P487="","",(G487-P487)^2)</x:f>
      </x:c>
      <x:c r="R487" s="9" t="str">
        <x:f>IF(L487="","",L487-F487)</x:f>
      </x:c>
      <x:c r="S487" s="9" t="str">
        <x:f>IF(L487="","",IF(M487="UNDER","U406,5 reușit; total final "&amp;L487&amp;" vs λ="&amp;TEXT(F487,"0.00")&amp;".","Eșec U406,5; total final "&amp;L487&amp;" vs λ="&amp;TEXT(F487,"0.00")&amp;". Revizuiește Tail Risk, sursa λ și calibrarea."))</x:f>
      </x:c>
      <x:c r="T487" s="51"/>
      <x:c r="U487" s="51"/>
      <x:c r="V487" s="51"/>
      <x:c r="W487" s="61"/>
      <x:c r="X487" s="61"/>
      <x:c r="Y487" s="51"/>
      <x:c r="Z487" s="53"/>
      <x:c r="AA487" s="51"/>
      <x:c r="AB487" s="64" t="str">
        <x:f>IF(AC487="","",AC487)</x:f>
      </x:c>
      <x:c r="AC487" s="67"/>
      <x:c r="AD487" s="69" t="str">
        <x:f>IF(AE487="","",AE487)</x:f>
      </x:c>
      <x:c r="AE487" s="71"/>
      <x:c r="AF487" s="73" t="str">
        <x:f>IF(AC487="","",1/AC487)</x:f>
      </x:c>
      <x:c r="AG487" s="61"/>
      <x:c r="AH487" s="61"/>
      <x:c r="AI487" s="64" t="str">
        <x:f>IF(OR(AC487="",AG487=""),"",AC487*AG487-1)</x:f>
      </x:c>
      <x:c r="AJ487" s="75" t="str">
        <x:f>IF(OR(G487="",F487=""),"",IF(AND(G487&gt;='Calibrare v2'!$B$35,F487&lt;='Calibrare v2'!$B$34),"PASS","FAIL"))</x:f>
      </x:c>
      <x:c r="AK487" s="75" t="str">
        <x:f>IF(AL487="","",AL487)</x:f>
      </x:c>
      <x:c r="AL487" s="77"/>
      <x:c r="AM487" s="77"/>
      <x:c r="AN487" s="64" t="str">
        <x:f>IF(OR(AC487="",P487=""),"",(AC487-P487)^2)</x:f>
      </x:c>
      <x:c r="AO487" s="64" t="str">
        <x:f>IF(OR(AG487="",AH487=""),"",AG487/AH487-1)</x:f>
      </x:c>
      <x:c r="AP487" s="61"/>
      <x:c r="AQ487" s="73" t="n">
        <x:f>IF(OR(AM487&lt;&gt;"PARIU U4,5",M487="",AP487="",AG487=""),0,IF(M487="UNDER",AP487*(AG487-1),-AP487))</x:f>
        <x:v>0</x:v>
      </x:c>
      <x:c r="AR487" s="51"/>
    </x:row>
    <x:row r="488">
      <x:c r="A488" s="9" t="str">
        <x:f>IF(D488="","",ROW()-1)</x:f>
      </x:c>
      <x:c r="B488" s="51"/>
      <x:c r="C488" s="51"/>
      <x:c r="D488" s="51"/>
      <x:c r="E488" s="9" t="str">
        <x:f>IF(D488="","",IF(AND(F488&lt;='Calibrare v2'!$B$33,G488&gt;=0.86),"DA – FEZABIL",IF(G488&gt;=0.8,"DA – PRUDENT","NU – EVITĂ")))</x:f>
      </x:c>
      <x:c r="F488" s="16" t="str">
        <x:f>IF(OR(W488="",X488=""),"",W488+X488)</x:f>
      </x:c>
      <x:c r="G488" s="28" t="str">
        <x:f>IF(F488="","",EXP(-F488)*(1+F488+F488^2/2+F488^3/6+F488^4/24))</x:f>
      </x:c>
      <x:c r="H488" s="53"/>
      <x:c r="I488" s="9" t="str">
        <x:f>IF(F488="","",IF(F488&lt;='Calibrare v2'!$B$33,"PASS","FAIL"))</x:f>
      </x:c>
      <x:c r="J488" s="51"/>
      <x:c r="K488" s="51"/>
      <x:c r="L488" s="9" t="str">
        <x:f>IF(OR(J488="",K488=""),"",J488+K488)</x:f>
      </x:c>
      <x:c r="M488" s="9" t="str">
        <x:f>IF(L488="","",IF(L488&lt;=4,"UNDER","OVER"))</x:f>
      </x:c>
      <x:c r="N488" s="9" t="str">
        <x:f>IF(E488="","",IF(LEFT(E488,2)="DA","PARIU U407,5","NO BET"))</x:f>
      </x:c>
      <x:c r="O488" s="9" t="str">
        <x:f>IF(M488="","",IF(AM488="PARIU U407,5",IF(M488="UNDER","SUCCES","EȘEC"),IF(M488="UNDER","FALS NEGATIV","EVITARE CORECTĂ")))</x:f>
      </x:c>
      <x:c r="P488" s="9" t="str">
        <x:f>IF(M488="","",IF(M488="UNDER",1,0))</x:f>
      </x:c>
      <x:c r="Q488" s="9" t="str">
        <x:f>IF(P488="","",(G488-P488)^2)</x:f>
      </x:c>
      <x:c r="R488" s="9" t="str">
        <x:f>IF(L488="","",L488-F488)</x:f>
      </x:c>
      <x:c r="S488" s="9" t="str">
        <x:f>IF(L488="","",IF(M488="UNDER","U407,5 reușit; total final "&amp;L488&amp;" vs λ="&amp;TEXT(F488,"0.00")&amp;".","Eșec U407,5; total final "&amp;L488&amp;" vs λ="&amp;TEXT(F488,"0.00")&amp;". Revizuiește Tail Risk, sursa λ și calibrarea."))</x:f>
      </x:c>
      <x:c r="T488" s="51"/>
      <x:c r="U488" s="51"/>
      <x:c r="V488" s="51"/>
      <x:c r="W488" s="61"/>
      <x:c r="X488" s="61"/>
      <x:c r="Y488" s="51"/>
      <x:c r="Z488" s="53"/>
      <x:c r="AA488" s="51"/>
      <x:c r="AB488" s="64" t="str">
        <x:f>IF(AC488="","",AC488)</x:f>
      </x:c>
      <x:c r="AC488" s="67"/>
      <x:c r="AD488" s="69" t="str">
        <x:f>IF(AE488="","",AE488)</x:f>
      </x:c>
      <x:c r="AE488" s="71"/>
      <x:c r="AF488" s="73" t="str">
        <x:f>IF(AC488="","",1/AC488)</x:f>
      </x:c>
      <x:c r="AG488" s="61"/>
      <x:c r="AH488" s="61"/>
      <x:c r="AI488" s="64" t="str">
        <x:f>IF(OR(AC488="",AG488=""),"",AC488*AG488-1)</x:f>
      </x:c>
      <x:c r="AJ488" s="75" t="str">
        <x:f>IF(OR(G488="",F488=""),"",IF(AND(G488&gt;='Calibrare v2'!$B$35,F488&lt;='Calibrare v2'!$B$34),"PASS","FAIL"))</x:f>
      </x:c>
      <x:c r="AK488" s="75" t="str">
        <x:f>IF(AL488="","",AL488)</x:f>
      </x:c>
      <x:c r="AL488" s="77"/>
      <x:c r="AM488" s="77"/>
      <x:c r="AN488" s="64" t="str">
        <x:f>IF(OR(AC488="",P488=""),"",(AC488-P488)^2)</x:f>
      </x:c>
      <x:c r="AO488" s="64" t="str">
        <x:f>IF(OR(AG488="",AH488=""),"",AG488/AH488-1)</x:f>
      </x:c>
      <x:c r="AP488" s="61"/>
      <x:c r="AQ488" s="73" t="n">
        <x:f>IF(OR(AM488&lt;&gt;"PARIU U4,5",M488="",AP488="",AG488=""),0,IF(M488="UNDER",AP488*(AG488-1),-AP488))</x:f>
        <x:v>0</x:v>
      </x:c>
      <x:c r="AR488" s="51"/>
    </x:row>
    <x:row r="489">
      <x:c r="A489" s="9" t="str">
        <x:f>IF(D489="","",ROW()-1)</x:f>
      </x:c>
      <x:c r="B489" s="51"/>
      <x:c r="C489" s="51"/>
      <x:c r="D489" s="51"/>
      <x:c r="E489" s="9" t="str">
        <x:f>IF(D489="","",IF(AND(F489&lt;='Calibrare v2'!$B$33,G489&gt;=0.86),"DA – FEZABIL",IF(G489&gt;=0.8,"DA – PRUDENT","NU – EVITĂ")))</x:f>
      </x:c>
      <x:c r="F489" s="16" t="str">
        <x:f>IF(OR(W489="",X489=""),"",W489+X489)</x:f>
      </x:c>
      <x:c r="G489" s="28" t="str">
        <x:f>IF(F489="","",EXP(-F489)*(1+F489+F489^2/2+F489^3/6+F489^4/24))</x:f>
      </x:c>
      <x:c r="H489" s="53"/>
      <x:c r="I489" s="9" t="str">
        <x:f>IF(F489="","",IF(F489&lt;='Calibrare v2'!$B$33,"PASS","FAIL"))</x:f>
      </x:c>
      <x:c r="J489" s="51"/>
      <x:c r="K489" s="51"/>
      <x:c r="L489" s="9" t="str">
        <x:f>IF(OR(J489="",K489=""),"",J489+K489)</x:f>
      </x:c>
      <x:c r="M489" s="9" t="str">
        <x:f>IF(L489="","",IF(L489&lt;=4,"UNDER","OVER"))</x:f>
      </x:c>
      <x:c r="N489" s="9" t="str">
        <x:f>IF(E489="","",IF(LEFT(E489,2)="DA","PARIU U408,5","NO BET"))</x:f>
      </x:c>
      <x:c r="O489" s="9" t="str">
        <x:f>IF(M489="","",IF(AM489="PARIU U408,5",IF(M489="UNDER","SUCCES","EȘEC"),IF(M489="UNDER","FALS NEGATIV","EVITARE CORECTĂ")))</x:f>
      </x:c>
      <x:c r="P489" s="9" t="str">
        <x:f>IF(M489="","",IF(M489="UNDER",1,0))</x:f>
      </x:c>
      <x:c r="Q489" s="9" t="str">
        <x:f>IF(P489="","",(G489-P489)^2)</x:f>
      </x:c>
      <x:c r="R489" s="9" t="str">
        <x:f>IF(L489="","",L489-F489)</x:f>
      </x:c>
      <x:c r="S489" s="9" t="str">
        <x:f>IF(L489="","",IF(M489="UNDER","U408,5 reușit; total final "&amp;L489&amp;" vs λ="&amp;TEXT(F489,"0.00")&amp;".","Eșec U408,5; total final "&amp;L489&amp;" vs λ="&amp;TEXT(F489,"0.00")&amp;". Revizuiește Tail Risk, sursa λ și calibrarea."))</x:f>
      </x:c>
      <x:c r="T489" s="51"/>
      <x:c r="U489" s="51"/>
      <x:c r="V489" s="51"/>
      <x:c r="W489" s="61"/>
      <x:c r="X489" s="61"/>
      <x:c r="Y489" s="51"/>
      <x:c r="Z489" s="53"/>
      <x:c r="AA489" s="51"/>
      <x:c r="AB489" s="64" t="str">
        <x:f>IF(AC489="","",AC489)</x:f>
      </x:c>
      <x:c r="AC489" s="67"/>
      <x:c r="AD489" s="69" t="str">
        <x:f>IF(AE489="","",AE489)</x:f>
      </x:c>
      <x:c r="AE489" s="71"/>
      <x:c r="AF489" s="73" t="str">
        <x:f>IF(AC489="","",1/AC489)</x:f>
      </x:c>
      <x:c r="AG489" s="61"/>
      <x:c r="AH489" s="61"/>
      <x:c r="AI489" s="64" t="str">
        <x:f>IF(OR(AC489="",AG489=""),"",AC489*AG489-1)</x:f>
      </x:c>
      <x:c r="AJ489" s="75" t="str">
        <x:f>IF(OR(G489="",F489=""),"",IF(AND(G489&gt;='Calibrare v2'!$B$35,F489&lt;='Calibrare v2'!$B$34),"PASS","FAIL"))</x:f>
      </x:c>
      <x:c r="AK489" s="75" t="str">
        <x:f>IF(AL489="","",AL489)</x:f>
      </x:c>
      <x:c r="AL489" s="77"/>
      <x:c r="AM489" s="77"/>
      <x:c r="AN489" s="64" t="str">
        <x:f>IF(OR(AC489="",P489=""),"",(AC489-P489)^2)</x:f>
      </x:c>
      <x:c r="AO489" s="64" t="str">
        <x:f>IF(OR(AG489="",AH489=""),"",AG489/AH489-1)</x:f>
      </x:c>
      <x:c r="AP489" s="61"/>
      <x:c r="AQ489" s="73" t="n">
        <x:f>IF(OR(AM489&lt;&gt;"PARIU U4,5",M489="",AP489="",AG489=""),0,IF(M489="UNDER",AP489*(AG489-1),-AP489))</x:f>
        <x:v>0</x:v>
      </x:c>
      <x:c r="AR489" s="51"/>
    </x:row>
    <x:row r="490">
      <x:c r="A490" s="9" t="str">
        <x:f>IF(D490="","",ROW()-1)</x:f>
      </x:c>
      <x:c r="B490" s="51"/>
      <x:c r="C490" s="51"/>
      <x:c r="D490" s="51"/>
      <x:c r="E490" s="9" t="str">
        <x:f>IF(D490="","",IF(AND(F490&lt;='Calibrare v2'!$B$33,G490&gt;=0.86),"DA – FEZABIL",IF(G490&gt;=0.8,"DA – PRUDENT","NU – EVITĂ")))</x:f>
      </x:c>
      <x:c r="F490" s="16" t="str">
        <x:f>IF(OR(W490="",X490=""),"",W490+X490)</x:f>
      </x:c>
      <x:c r="G490" s="28" t="str">
        <x:f>IF(F490="","",EXP(-F490)*(1+F490+F490^2/2+F490^3/6+F490^4/24))</x:f>
      </x:c>
      <x:c r="H490" s="53"/>
      <x:c r="I490" s="9" t="str">
        <x:f>IF(F490="","",IF(F490&lt;='Calibrare v2'!$B$33,"PASS","FAIL"))</x:f>
      </x:c>
      <x:c r="J490" s="51"/>
      <x:c r="K490" s="51"/>
      <x:c r="L490" s="9" t="str">
        <x:f>IF(OR(J490="",K490=""),"",J490+K490)</x:f>
      </x:c>
      <x:c r="M490" s="9" t="str">
        <x:f>IF(L490="","",IF(L490&lt;=4,"UNDER","OVER"))</x:f>
      </x:c>
      <x:c r="N490" s="9" t="str">
        <x:f>IF(E490="","",IF(LEFT(E490,2)="DA","PARIU U409,5","NO BET"))</x:f>
      </x:c>
      <x:c r="O490" s="9" t="str">
        <x:f>IF(M490="","",IF(AM490="PARIU U409,5",IF(M490="UNDER","SUCCES","EȘEC"),IF(M490="UNDER","FALS NEGATIV","EVITARE CORECTĂ")))</x:f>
      </x:c>
      <x:c r="P490" s="9" t="str">
        <x:f>IF(M490="","",IF(M490="UNDER",1,0))</x:f>
      </x:c>
      <x:c r="Q490" s="9" t="str">
        <x:f>IF(P490="","",(G490-P490)^2)</x:f>
      </x:c>
      <x:c r="R490" s="9" t="str">
        <x:f>IF(L490="","",L490-F490)</x:f>
      </x:c>
      <x:c r="S490" s="9" t="str">
        <x:f>IF(L490="","",IF(M490="UNDER","U409,5 reușit; total final "&amp;L490&amp;" vs λ="&amp;TEXT(F490,"0.00")&amp;".","Eșec U409,5; total final "&amp;L490&amp;" vs λ="&amp;TEXT(F490,"0.00")&amp;". Revizuiește Tail Risk, sursa λ și calibrarea."))</x:f>
      </x:c>
      <x:c r="T490" s="51"/>
      <x:c r="U490" s="51"/>
      <x:c r="V490" s="51"/>
      <x:c r="W490" s="61"/>
      <x:c r="X490" s="61"/>
      <x:c r="Y490" s="51"/>
      <x:c r="Z490" s="53"/>
      <x:c r="AA490" s="51"/>
      <x:c r="AB490" s="64" t="str">
        <x:f>IF(AC490="","",AC490)</x:f>
      </x:c>
      <x:c r="AC490" s="67"/>
      <x:c r="AD490" s="69" t="str">
        <x:f>IF(AE490="","",AE490)</x:f>
      </x:c>
      <x:c r="AE490" s="71"/>
      <x:c r="AF490" s="73" t="str">
        <x:f>IF(AC490="","",1/AC490)</x:f>
      </x:c>
      <x:c r="AG490" s="61"/>
      <x:c r="AH490" s="61"/>
      <x:c r="AI490" s="64" t="str">
        <x:f>IF(OR(AC490="",AG490=""),"",AC490*AG490-1)</x:f>
      </x:c>
      <x:c r="AJ490" s="75" t="str">
        <x:f>IF(OR(G490="",F490=""),"",IF(AND(G490&gt;='Calibrare v2'!$B$35,F490&lt;='Calibrare v2'!$B$34),"PASS","FAIL"))</x:f>
      </x:c>
      <x:c r="AK490" s="75" t="str">
        <x:f>IF(AL490="","",AL490)</x:f>
      </x:c>
      <x:c r="AL490" s="77"/>
      <x:c r="AM490" s="77"/>
      <x:c r="AN490" s="64" t="str">
        <x:f>IF(OR(AC490="",P490=""),"",(AC490-P490)^2)</x:f>
      </x:c>
      <x:c r="AO490" s="64" t="str">
        <x:f>IF(OR(AG490="",AH490=""),"",AG490/AH490-1)</x:f>
      </x:c>
      <x:c r="AP490" s="61"/>
      <x:c r="AQ490" s="73" t="n">
        <x:f>IF(OR(AM490&lt;&gt;"PARIU U4,5",M490="",AP490="",AG490=""),0,IF(M490="UNDER",AP490*(AG490-1),-AP490))</x:f>
        <x:v>0</x:v>
      </x:c>
      <x:c r="AR490" s="51"/>
    </x:row>
    <x:row r="491">
      <x:c r="A491" s="9" t="str">
        <x:f>IF(D491="","",ROW()-1)</x:f>
      </x:c>
      <x:c r="B491" s="51"/>
      <x:c r="C491" s="51"/>
      <x:c r="D491" s="51"/>
      <x:c r="E491" s="9" t="str">
        <x:f>IF(D491="","",IF(AND(F491&lt;='Calibrare v2'!$B$33,G491&gt;=0.86),"DA – FEZABIL",IF(G491&gt;=0.8,"DA – PRUDENT","NU – EVITĂ")))</x:f>
      </x:c>
      <x:c r="F491" s="16" t="str">
        <x:f>IF(OR(W491="",X491=""),"",W491+X491)</x:f>
      </x:c>
      <x:c r="G491" s="28" t="str">
        <x:f>IF(F491="","",EXP(-F491)*(1+F491+F491^2/2+F491^3/6+F491^4/24))</x:f>
      </x:c>
      <x:c r="H491" s="53"/>
      <x:c r="I491" s="9" t="str">
        <x:f>IF(F491="","",IF(F491&lt;='Calibrare v2'!$B$33,"PASS","FAIL"))</x:f>
      </x:c>
      <x:c r="J491" s="51"/>
      <x:c r="K491" s="51"/>
      <x:c r="L491" s="9" t="str">
        <x:f>IF(OR(J491="",K491=""),"",J491+K491)</x:f>
      </x:c>
      <x:c r="M491" s="9" t="str">
        <x:f>IF(L491="","",IF(L491&lt;=4,"UNDER","OVER"))</x:f>
      </x:c>
      <x:c r="N491" s="9" t="str">
        <x:f>IF(E491="","",IF(LEFT(E491,2)="DA","PARIU U410,5","NO BET"))</x:f>
      </x:c>
      <x:c r="O491" s="9" t="str">
        <x:f>IF(M491="","",IF(AM491="PARIU U410,5",IF(M491="UNDER","SUCCES","EȘEC"),IF(M491="UNDER","FALS NEGATIV","EVITARE CORECTĂ")))</x:f>
      </x:c>
      <x:c r="P491" s="9" t="str">
        <x:f>IF(M491="","",IF(M491="UNDER",1,0))</x:f>
      </x:c>
      <x:c r="Q491" s="9" t="str">
        <x:f>IF(P491="","",(G491-P491)^2)</x:f>
      </x:c>
      <x:c r="R491" s="9" t="str">
        <x:f>IF(L491="","",L491-F491)</x:f>
      </x:c>
      <x:c r="S491" s="9" t="str">
        <x:f>IF(L491="","",IF(M491="UNDER","U410,5 reușit; total final "&amp;L491&amp;" vs λ="&amp;TEXT(F491,"0.00")&amp;".","Eșec U410,5; total final "&amp;L491&amp;" vs λ="&amp;TEXT(F491,"0.00")&amp;". Revizuiește Tail Risk, sursa λ și calibrarea."))</x:f>
      </x:c>
      <x:c r="T491" s="51"/>
      <x:c r="U491" s="51"/>
      <x:c r="V491" s="51"/>
      <x:c r="W491" s="61"/>
      <x:c r="X491" s="61"/>
      <x:c r="Y491" s="51"/>
      <x:c r="Z491" s="53"/>
      <x:c r="AA491" s="51"/>
      <x:c r="AB491" s="64" t="str">
        <x:f>IF(AC491="","",AC491)</x:f>
      </x:c>
      <x:c r="AC491" s="67"/>
      <x:c r="AD491" s="69" t="str">
        <x:f>IF(AE491="","",AE491)</x:f>
      </x:c>
      <x:c r="AE491" s="71"/>
      <x:c r="AF491" s="73" t="str">
        <x:f>IF(AC491="","",1/AC491)</x:f>
      </x:c>
      <x:c r="AG491" s="61"/>
      <x:c r="AH491" s="61"/>
      <x:c r="AI491" s="64" t="str">
        <x:f>IF(OR(AC491="",AG491=""),"",AC491*AG491-1)</x:f>
      </x:c>
      <x:c r="AJ491" s="75" t="str">
        <x:f>IF(OR(G491="",F491=""),"",IF(AND(G491&gt;='Calibrare v2'!$B$35,F491&lt;='Calibrare v2'!$B$34),"PASS","FAIL"))</x:f>
      </x:c>
      <x:c r="AK491" s="75" t="str">
        <x:f>IF(AL491="","",AL491)</x:f>
      </x:c>
      <x:c r="AL491" s="77"/>
      <x:c r="AM491" s="77"/>
      <x:c r="AN491" s="64" t="str">
        <x:f>IF(OR(AC491="",P491=""),"",(AC491-P491)^2)</x:f>
      </x:c>
      <x:c r="AO491" s="64" t="str">
        <x:f>IF(OR(AG491="",AH491=""),"",AG491/AH491-1)</x:f>
      </x:c>
      <x:c r="AP491" s="61"/>
      <x:c r="AQ491" s="73" t="n">
        <x:f>IF(OR(AM491&lt;&gt;"PARIU U4,5",M491="",AP491="",AG491=""),0,IF(M491="UNDER",AP491*(AG491-1),-AP491))</x:f>
        <x:v>0</x:v>
      </x:c>
      <x:c r="AR491" s="51"/>
    </x:row>
    <x:row r="492">
      <x:c r="A492" s="9" t="str">
        <x:f>IF(D492="","",ROW()-1)</x:f>
      </x:c>
      <x:c r="B492" s="51"/>
      <x:c r="C492" s="51"/>
      <x:c r="D492" s="51"/>
      <x:c r="E492" s="9" t="str">
        <x:f>IF(D492="","",IF(AND(F492&lt;='Calibrare v2'!$B$33,G492&gt;=0.86),"DA – FEZABIL",IF(G492&gt;=0.8,"DA – PRUDENT","NU – EVITĂ")))</x:f>
      </x:c>
      <x:c r="F492" s="16" t="str">
        <x:f>IF(OR(W492="",X492=""),"",W492+X492)</x:f>
      </x:c>
      <x:c r="G492" s="28" t="str">
        <x:f>IF(F492="","",EXP(-F492)*(1+F492+F492^2/2+F492^3/6+F492^4/24))</x:f>
      </x:c>
      <x:c r="H492" s="53"/>
      <x:c r="I492" s="9" t="str">
        <x:f>IF(F492="","",IF(F492&lt;='Calibrare v2'!$B$33,"PASS","FAIL"))</x:f>
      </x:c>
      <x:c r="J492" s="51"/>
      <x:c r="K492" s="51"/>
      <x:c r="L492" s="9" t="str">
        <x:f>IF(OR(J492="",K492=""),"",J492+K492)</x:f>
      </x:c>
      <x:c r="M492" s="9" t="str">
        <x:f>IF(L492="","",IF(L492&lt;=4,"UNDER","OVER"))</x:f>
      </x:c>
      <x:c r="N492" s="9" t="str">
        <x:f>IF(E492="","",IF(LEFT(E492,2)="DA","PARIU U411,5","NO BET"))</x:f>
      </x:c>
      <x:c r="O492" s="9" t="str">
        <x:f>IF(M492="","",IF(AM492="PARIU U411,5",IF(M492="UNDER","SUCCES","EȘEC"),IF(M492="UNDER","FALS NEGATIV","EVITARE CORECTĂ")))</x:f>
      </x:c>
      <x:c r="P492" s="9" t="str">
        <x:f>IF(M492="","",IF(M492="UNDER",1,0))</x:f>
      </x:c>
      <x:c r="Q492" s="9" t="str">
        <x:f>IF(P492="","",(G492-P492)^2)</x:f>
      </x:c>
      <x:c r="R492" s="9" t="str">
        <x:f>IF(L492="","",L492-F492)</x:f>
      </x:c>
      <x:c r="S492" s="9" t="str">
        <x:f>IF(L492="","",IF(M492="UNDER","U411,5 reușit; total final "&amp;L492&amp;" vs λ="&amp;TEXT(F492,"0.00")&amp;".","Eșec U411,5; total final "&amp;L492&amp;" vs λ="&amp;TEXT(F492,"0.00")&amp;". Revizuiește Tail Risk, sursa λ și calibrarea."))</x:f>
      </x:c>
      <x:c r="T492" s="51"/>
      <x:c r="U492" s="51"/>
      <x:c r="V492" s="51"/>
      <x:c r="W492" s="61"/>
      <x:c r="X492" s="61"/>
      <x:c r="Y492" s="51"/>
      <x:c r="Z492" s="53"/>
      <x:c r="AA492" s="51"/>
      <x:c r="AB492" s="64" t="str">
        <x:f>IF(AC492="","",AC492)</x:f>
      </x:c>
      <x:c r="AC492" s="67"/>
      <x:c r="AD492" s="69" t="str">
        <x:f>IF(AE492="","",AE492)</x:f>
      </x:c>
      <x:c r="AE492" s="71"/>
      <x:c r="AF492" s="73" t="str">
        <x:f>IF(AC492="","",1/AC492)</x:f>
      </x:c>
      <x:c r="AG492" s="61"/>
      <x:c r="AH492" s="61"/>
      <x:c r="AI492" s="64" t="str">
        <x:f>IF(OR(AC492="",AG492=""),"",AC492*AG492-1)</x:f>
      </x:c>
      <x:c r="AJ492" s="75" t="str">
        <x:f>IF(OR(G492="",F492=""),"",IF(AND(G492&gt;='Calibrare v2'!$B$35,F492&lt;='Calibrare v2'!$B$34),"PASS","FAIL"))</x:f>
      </x:c>
      <x:c r="AK492" s="75" t="str">
        <x:f>IF(AL492="","",AL492)</x:f>
      </x:c>
      <x:c r="AL492" s="77"/>
      <x:c r="AM492" s="77"/>
      <x:c r="AN492" s="64" t="str">
        <x:f>IF(OR(AC492="",P492=""),"",(AC492-P492)^2)</x:f>
      </x:c>
      <x:c r="AO492" s="64" t="str">
        <x:f>IF(OR(AG492="",AH492=""),"",AG492/AH492-1)</x:f>
      </x:c>
      <x:c r="AP492" s="61"/>
      <x:c r="AQ492" s="73" t="n">
        <x:f>IF(OR(AM492&lt;&gt;"PARIU U4,5",M492="",AP492="",AG492=""),0,IF(M492="UNDER",AP492*(AG492-1),-AP492))</x:f>
        <x:v>0</x:v>
      </x:c>
      <x:c r="AR492" s="51"/>
    </x:row>
    <x:row r="493">
      <x:c r="A493" s="9" t="str">
        <x:f>IF(D493="","",ROW()-1)</x:f>
      </x:c>
      <x:c r="B493" s="51"/>
      <x:c r="C493" s="51"/>
      <x:c r="D493" s="51"/>
      <x:c r="E493" s="9" t="str">
        <x:f>IF(D493="","",IF(AND(F493&lt;='Calibrare v2'!$B$33,G493&gt;=0.86),"DA – FEZABIL",IF(G493&gt;=0.8,"DA – PRUDENT","NU – EVITĂ")))</x:f>
      </x:c>
      <x:c r="F493" s="16" t="str">
        <x:f>IF(OR(W493="",X493=""),"",W493+X493)</x:f>
      </x:c>
      <x:c r="G493" s="28" t="str">
        <x:f>IF(F493="","",EXP(-F493)*(1+F493+F493^2/2+F493^3/6+F493^4/24))</x:f>
      </x:c>
      <x:c r="H493" s="53"/>
      <x:c r="I493" s="9" t="str">
        <x:f>IF(F493="","",IF(F493&lt;='Calibrare v2'!$B$33,"PASS","FAIL"))</x:f>
      </x:c>
      <x:c r="J493" s="51"/>
      <x:c r="K493" s="51"/>
      <x:c r="L493" s="9" t="str">
        <x:f>IF(OR(J493="",K493=""),"",J493+K493)</x:f>
      </x:c>
      <x:c r="M493" s="9" t="str">
        <x:f>IF(L493="","",IF(L493&lt;=4,"UNDER","OVER"))</x:f>
      </x:c>
      <x:c r="N493" s="9" t="str">
        <x:f>IF(E493="","",IF(LEFT(E493,2)="DA","PARIU U412,5","NO BET"))</x:f>
      </x:c>
      <x:c r="O493" s="9" t="str">
        <x:f>IF(M493="","",IF(AM493="PARIU U412,5",IF(M493="UNDER","SUCCES","EȘEC"),IF(M493="UNDER","FALS NEGATIV","EVITARE CORECTĂ")))</x:f>
      </x:c>
      <x:c r="P493" s="9" t="str">
        <x:f>IF(M493="","",IF(M493="UNDER",1,0))</x:f>
      </x:c>
      <x:c r="Q493" s="9" t="str">
        <x:f>IF(P493="","",(G493-P493)^2)</x:f>
      </x:c>
      <x:c r="R493" s="9" t="str">
        <x:f>IF(L493="","",L493-F493)</x:f>
      </x:c>
      <x:c r="S493" s="9" t="str">
        <x:f>IF(L493="","",IF(M493="UNDER","U412,5 reușit; total final "&amp;L493&amp;" vs λ="&amp;TEXT(F493,"0.00")&amp;".","Eșec U412,5; total final "&amp;L493&amp;" vs λ="&amp;TEXT(F493,"0.00")&amp;". Revizuiește Tail Risk, sursa λ și calibrarea."))</x:f>
      </x:c>
      <x:c r="T493" s="51"/>
      <x:c r="U493" s="51"/>
      <x:c r="V493" s="51"/>
      <x:c r="W493" s="61"/>
      <x:c r="X493" s="61"/>
      <x:c r="Y493" s="51"/>
      <x:c r="Z493" s="53"/>
      <x:c r="AA493" s="51"/>
      <x:c r="AB493" s="64" t="str">
        <x:f>IF(AC493="","",AC493)</x:f>
      </x:c>
      <x:c r="AC493" s="67"/>
      <x:c r="AD493" s="69" t="str">
        <x:f>IF(AE493="","",AE493)</x:f>
      </x:c>
      <x:c r="AE493" s="71"/>
      <x:c r="AF493" s="73" t="str">
        <x:f>IF(AC493="","",1/AC493)</x:f>
      </x:c>
      <x:c r="AG493" s="61"/>
      <x:c r="AH493" s="61"/>
      <x:c r="AI493" s="64" t="str">
        <x:f>IF(OR(AC493="",AG493=""),"",AC493*AG493-1)</x:f>
      </x:c>
      <x:c r="AJ493" s="75" t="str">
        <x:f>IF(OR(G493="",F493=""),"",IF(AND(G493&gt;='Calibrare v2'!$B$35,F493&lt;='Calibrare v2'!$B$34),"PASS","FAIL"))</x:f>
      </x:c>
      <x:c r="AK493" s="75" t="str">
        <x:f>IF(AL493="","",AL493)</x:f>
      </x:c>
      <x:c r="AL493" s="77"/>
      <x:c r="AM493" s="77"/>
      <x:c r="AN493" s="64" t="str">
        <x:f>IF(OR(AC493="",P493=""),"",(AC493-P493)^2)</x:f>
      </x:c>
      <x:c r="AO493" s="64" t="str">
        <x:f>IF(OR(AG493="",AH493=""),"",AG493/AH493-1)</x:f>
      </x:c>
      <x:c r="AP493" s="61"/>
      <x:c r="AQ493" s="73" t="n">
        <x:f>IF(OR(AM493&lt;&gt;"PARIU U4,5",M493="",AP493="",AG493=""),0,IF(M493="UNDER",AP493*(AG493-1),-AP493))</x:f>
        <x:v>0</x:v>
      </x:c>
      <x:c r="AR493" s="51"/>
    </x:row>
    <x:row r="494">
      <x:c r="A494" s="9" t="str">
        <x:f>IF(D494="","",ROW()-1)</x:f>
      </x:c>
      <x:c r="B494" s="51"/>
      <x:c r="C494" s="51"/>
      <x:c r="D494" s="51"/>
      <x:c r="E494" s="9" t="str">
        <x:f>IF(D494="","",IF(AND(F494&lt;='Calibrare v2'!$B$33,G494&gt;=0.86),"DA – FEZABIL",IF(G494&gt;=0.8,"DA – PRUDENT","NU – EVITĂ")))</x:f>
      </x:c>
      <x:c r="F494" s="16" t="str">
        <x:f>IF(OR(W494="",X494=""),"",W494+X494)</x:f>
      </x:c>
      <x:c r="G494" s="28" t="str">
        <x:f>IF(F494="","",EXP(-F494)*(1+F494+F494^2/2+F494^3/6+F494^4/24))</x:f>
      </x:c>
      <x:c r="H494" s="53"/>
      <x:c r="I494" s="9" t="str">
        <x:f>IF(F494="","",IF(F494&lt;='Calibrare v2'!$B$33,"PASS","FAIL"))</x:f>
      </x:c>
      <x:c r="J494" s="51"/>
      <x:c r="K494" s="51"/>
      <x:c r="L494" s="9" t="str">
        <x:f>IF(OR(J494="",K494=""),"",J494+K494)</x:f>
      </x:c>
      <x:c r="M494" s="9" t="str">
        <x:f>IF(L494="","",IF(L494&lt;=4,"UNDER","OVER"))</x:f>
      </x:c>
      <x:c r="N494" s="9" t="str">
        <x:f>IF(E494="","",IF(LEFT(E494,2)="DA","PARIU U413,5","NO BET"))</x:f>
      </x:c>
      <x:c r="O494" s="9" t="str">
        <x:f>IF(M494="","",IF(AM494="PARIU U413,5",IF(M494="UNDER","SUCCES","EȘEC"),IF(M494="UNDER","FALS NEGATIV","EVITARE CORECTĂ")))</x:f>
      </x:c>
      <x:c r="P494" s="9" t="str">
        <x:f>IF(M494="","",IF(M494="UNDER",1,0))</x:f>
      </x:c>
      <x:c r="Q494" s="9" t="str">
        <x:f>IF(P494="","",(G494-P494)^2)</x:f>
      </x:c>
      <x:c r="R494" s="9" t="str">
        <x:f>IF(L494="","",L494-F494)</x:f>
      </x:c>
      <x:c r="S494" s="9" t="str">
        <x:f>IF(L494="","",IF(M494="UNDER","U413,5 reușit; total final "&amp;L494&amp;" vs λ="&amp;TEXT(F494,"0.00")&amp;".","Eșec U413,5; total final "&amp;L494&amp;" vs λ="&amp;TEXT(F494,"0.00")&amp;". Revizuiește Tail Risk, sursa λ și calibrarea."))</x:f>
      </x:c>
      <x:c r="T494" s="51"/>
      <x:c r="U494" s="51"/>
      <x:c r="V494" s="51"/>
      <x:c r="W494" s="61"/>
      <x:c r="X494" s="61"/>
      <x:c r="Y494" s="51"/>
      <x:c r="Z494" s="53"/>
      <x:c r="AA494" s="51"/>
      <x:c r="AB494" s="64" t="str">
        <x:f>IF(AC494="","",AC494)</x:f>
      </x:c>
      <x:c r="AC494" s="67"/>
      <x:c r="AD494" s="69" t="str">
        <x:f>IF(AE494="","",AE494)</x:f>
      </x:c>
      <x:c r="AE494" s="71"/>
      <x:c r="AF494" s="73" t="str">
        <x:f>IF(AC494="","",1/AC494)</x:f>
      </x:c>
      <x:c r="AG494" s="61"/>
      <x:c r="AH494" s="61"/>
      <x:c r="AI494" s="64" t="str">
        <x:f>IF(OR(AC494="",AG494=""),"",AC494*AG494-1)</x:f>
      </x:c>
      <x:c r="AJ494" s="75" t="str">
        <x:f>IF(OR(G494="",F494=""),"",IF(AND(G494&gt;='Calibrare v2'!$B$35,F494&lt;='Calibrare v2'!$B$34),"PASS","FAIL"))</x:f>
      </x:c>
      <x:c r="AK494" s="75" t="str">
        <x:f>IF(AL494="","",AL494)</x:f>
      </x:c>
      <x:c r="AL494" s="77"/>
      <x:c r="AM494" s="77"/>
      <x:c r="AN494" s="64" t="str">
        <x:f>IF(OR(AC494="",P494=""),"",(AC494-P494)^2)</x:f>
      </x:c>
      <x:c r="AO494" s="64" t="str">
        <x:f>IF(OR(AG494="",AH494=""),"",AG494/AH494-1)</x:f>
      </x:c>
      <x:c r="AP494" s="61"/>
      <x:c r="AQ494" s="73" t="n">
        <x:f>IF(OR(AM494&lt;&gt;"PARIU U4,5",M494="",AP494="",AG494=""),0,IF(M494="UNDER",AP494*(AG494-1),-AP494))</x:f>
        <x:v>0</x:v>
      </x:c>
      <x:c r="AR494" s="51"/>
    </x:row>
    <x:row r="495">
      <x:c r="A495" s="9" t="str">
        <x:f>IF(D495="","",ROW()-1)</x:f>
      </x:c>
      <x:c r="B495" s="51"/>
      <x:c r="C495" s="51"/>
      <x:c r="D495" s="51"/>
      <x:c r="E495" s="9" t="str">
        <x:f>IF(D495="","",IF(AND(F495&lt;='Calibrare v2'!$B$33,G495&gt;=0.86),"DA – FEZABIL",IF(G495&gt;=0.8,"DA – PRUDENT","NU – EVITĂ")))</x:f>
      </x:c>
      <x:c r="F495" s="16" t="str">
        <x:f>IF(OR(W495="",X495=""),"",W495+X495)</x:f>
      </x:c>
      <x:c r="G495" s="28" t="str">
        <x:f>IF(F495="","",EXP(-F495)*(1+F495+F495^2/2+F495^3/6+F495^4/24))</x:f>
      </x:c>
      <x:c r="H495" s="53"/>
      <x:c r="I495" s="9" t="str">
        <x:f>IF(F495="","",IF(F495&lt;='Calibrare v2'!$B$33,"PASS","FAIL"))</x:f>
      </x:c>
      <x:c r="J495" s="51"/>
      <x:c r="K495" s="51"/>
      <x:c r="L495" s="9" t="str">
        <x:f>IF(OR(J495="",K495=""),"",J495+K495)</x:f>
      </x:c>
      <x:c r="M495" s="9" t="str">
        <x:f>IF(L495="","",IF(L495&lt;=4,"UNDER","OVER"))</x:f>
      </x:c>
      <x:c r="N495" s="9" t="str">
        <x:f>IF(E495="","",IF(LEFT(E495,2)="DA","PARIU U414,5","NO BET"))</x:f>
      </x:c>
      <x:c r="O495" s="9" t="str">
        <x:f>IF(M495="","",IF(AM495="PARIU U414,5",IF(M495="UNDER","SUCCES","EȘEC"),IF(M495="UNDER","FALS NEGATIV","EVITARE CORECTĂ")))</x:f>
      </x:c>
      <x:c r="P495" s="9" t="str">
        <x:f>IF(M495="","",IF(M495="UNDER",1,0))</x:f>
      </x:c>
      <x:c r="Q495" s="9" t="str">
        <x:f>IF(P495="","",(G495-P495)^2)</x:f>
      </x:c>
      <x:c r="R495" s="9" t="str">
        <x:f>IF(L495="","",L495-F495)</x:f>
      </x:c>
      <x:c r="S495" s="9" t="str">
        <x:f>IF(L495="","",IF(M495="UNDER","U414,5 reușit; total final "&amp;L495&amp;" vs λ="&amp;TEXT(F495,"0.00")&amp;".","Eșec U414,5; total final "&amp;L495&amp;" vs λ="&amp;TEXT(F495,"0.00")&amp;". Revizuiește Tail Risk, sursa λ și calibrarea."))</x:f>
      </x:c>
      <x:c r="T495" s="51"/>
      <x:c r="U495" s="51"/>
      <x:c r="V495" s="51"/>
      <x:c r="W495" s="61"/>
      <x:c r="X495" s="61"/>
      <x:c r="Y495" s="51"/>
      <x:c r="Z495" s="53"/>
      <x:c r="AA495" s="51"/>
      <x:c r="AB495" s="64" t="str">
        <x:f>IF(AC495="","",AC495)</x:f>
      </x:c>
      <x:c r="AC495" s="67"/>
      <x:c r="AD495" s="69" t="str">
        <x:f>IF(AE495="","",AE495)</x:f>
      </x:c>
      <x:c r="AE495" s="71"/>
      <x:c r="AF495" s="73" t="str">
        <x:f>IF(AC495="","",1/AC495)</x:f>
      </x:c>
      <x:c r="AG495" s="61"/>
      <x:c r="AH495" s="61"/>
      <x:c r="AI495" s="64" t="str">
        <x:f>IF(OR(AC495="",AG495=""),"",AC495*AG495-1)</x:f>
      </x:c>
      <x:c r="AJ495" s="75" t="str">
        <x:f>IF(OR(G495="",F495=""),"",IF(AND(G495&gt;='Calibrare v2'!$B$35,F495&lt;='Calibrare v2'!$B$34),"PASS","FAIL"))</x:f>
      </x:c>
      <x:c r="AK495" s="75" t="str">
        <x:f>IF(AL495="","",AL495)</x:f>
      </x:c>
      <x:c r="AL495" s="77"/>
      <x:c r="AM495" s="77"/>
      <x:c r="AN495" s="64" t="str">
        <x:f>IF(OR(AC495="",P495=""),"",(AC495-P495)^2)</x:f>
      </x:c>
      <x:c r="AO495" s="64" t="str">
        <x:f>IF(OR(AG495="",AH495=""),"",AG495/AH495-1)</x:f>
      </x:c>
      <x:c r="AP495" s="61"/>
      <x:c r="AQ495" s="73" t="n">
        <x:f>IF(OR(AM495&lt;&gt;"PARIU U4,5",M495="",AP495="",AG495=""),0,IF(M495="UNDER",AP495*(AG495-1),-AP495))</x:f>
        <x:v>0</x:v>
      </x:c>
      <x:c r="AR495" s="51"/>
    </x:row>
    <x:row r="496">
      <x:c r="A496" s="9" t="str">
        <x:f>IF(D496="","",ROW()-1)</x:f>
      </x:c>
      <x:c r="B496" s="51"/>
      <x:c r="C496" s="51"/>
      <x:c r="D496" s="51"/>
      <x:c r="E496" s="9" t="str">
        <x:f>IF(D496="","",IF(AND(F496&lt;='Calibrare v2'!$B$33,G496&gt;=0.86),"DA – FEZABIL",IF(G496&gt;=0.8,"DA – PRUDENT","NU – EVITĂ")))</x:f>
      </x:c>
      <x:c r="F496" s="16" t="str">
        <x:f>IF(OR(W496="",X496=""),"",W496+X496)</x:f>
      </x:c>
      <x:c r="G496" s="28" t="str">
        <x:f>IF(F496="","",EXP(-F496)*(1+F496+F496^2/2+F496^3/6+F496^4/24))</x:f>
      </x:c>
      <x:c r="H496" s="53"/>
      <x:c r="I496" s="9" t="str">
        <x:f>IF(F496="","",IF(F496&lt;='Calibrare v2'!$B$33,"PASS","FAIL"))</x:f>
      </x:c>
      <x:c r="J496" s="51"/>
      <x:c r="K496" s="51"/>
      <x:c r="L496" s="9" t="str">
        <x:f>IF(OR(J496="",K496=""),"",J496+K496)</x:f>
      </x:c>
      <x:c r="M496" s="9" t="str">
        <x:f>IF(L496="","",IF(L496&lt;=4,"UNDER","OVER"))</x:f>
      </x:c>
      <x:c r="N496" s="9" t="str">
        <x:f>IF(E496="","",IF(LEFT(E496,2)="DA","PARIU U415,5","NO BET"))</x:f>
      </x:c>
      <x:c r="O496" s="9" t="str">
        <x:f>IF(M496="","",IF(AM496="PARIU U415,5",IF(M496="UNDER","SUCCES","EȘEC"),IF(M496="UNDER","FALS NEGATIV","EVITARE CORECTĂ")))</x:f>
      </x:c>
      <x:c r="P496" s="9" t="str">
        <x:f>IF(M496="","",IF(M496="UNDER",1,0))</x:f>
      </x:c>
      <x:c r="Q496" s="9" t="str">
        <x:f>IF(P496="","",(G496-P496)^2)</x:f>
      </x:c>
      <x:c r="R496" s="9" t="str">
        <x:f>IF(L496="","",L496-F496)</x:f>
      </x:c>
      <x:c r="S496" s="9" t="str">
        <x:f>IF(L496="","",IF(M496="UNDER","U415,5 reușit; total final "&amp;L496&amp;" vs λ="&amp;TEXT(F496,"0.00")&amp;".","Eșec U415,5; total final "&amp;L496&amp;" vs λ="&amp;TEXT(F496,"0.00")&amp;". Revizuiește Tail Risk, sursa λ și calibrarea."))</x:f>
      </x:c>
      <x:c r="T496" s="51"/>
      <x:c r="U496" s="51"/>
      <x:c r="V496" s="51"/>
      <x:c r="W496" s="61"/>
      <x:c r="X496" s="61"/>
      <x:c r="Y496" s="51"/>
      <x:c r="Z496" s="53"/>
      <x:c r="AA496" s="51"/>
      <x:c r="AB496" s="64" t="str">
        <x:f>IF(AC496="","",AC496)</x:f>
      </x:c>
      <x:c r="AC496" s="67"/>
      <x:c r="AD496" s="69" t="str">
        <x:f>IF(AE496="","",AE496)</x:f>
      </x:c>
      <x:c r="AE496" s="71"/>
      <x:c r="AF496" s="73" t="str">
        <x:f>IF(AC496="","",1/AC496)</x:f>
      </x:c>
      <x:c r="AG496" s="61"/>
      <x:c r="AH496" s="61"/>
      <x:c r="AI496" s="64" t="str">
        <x:f>IF(OR(AC496="",AG496=""),"",AC496*AG496-1)</x:f>
      </x:c>
      <x:c r="AJ496" s="75" t="str">
        <x:f>IF(OR(G496="",F496=""),"",IF(AND(G496&gt;='Calibrare v2'!$B$35,F496&lt;='Calibrare v2'!$B$34),"PASS","FAIL"))</x:f>
      </x:c>
      <x:c r="AK496" s="75" t="str">
        <x:f>IF(AL496="","",AL496)</x:f>
      </x:c>
      <x:c r="AL496" s="77"/>
      <x:c r="AM496" s="77"/>
      <x:c r="AN496" s="64" t="str">
        <x:f>IF(OR(AC496="",P496=""),"",(AC496-P496)^2)</x:f>
      </x:c>
      <x:c r="AO496" s="64" t="str">
        <x:f>IF(OR(AG496="",AH496=""),"",AG496/AH496-1)</x:f>
      </x:c>
      <x:c r="AP496" s="61"/>
      <x:c r="AQ496" s="73" t="n">
        <x:f>IF(OR(AM496&lt;&gt;"PARIU U4,5",M496="",AP496="",AG496=""),0,IF(M496="UNDER",AP496*(AG496-1),-AP496))</x:f>
        <x:v>0</x:v>
      </x:c>
      <x:c r="AR496" s="51"/>
    </x:row>
    <x:row r="497">
      <x:c r="A497" s="9" t="str">
        <x:f>IF(D497="","",ROW()-1)</x:f>
      </x:c>
      <x:c r="B497" s="51"/>
      <x:c r="C497" s="51"/>
      <x:c r="D497" s="51"/>
      <x:c r="E497" s="9" t="str">
        <x:f>IF(D497="","",IF(AND(F497&lt;='Calibrare v2'!$B$33,G497&gt;=0.86),"DA – FEZABIL",IF(G497&gt;=0.8,"DA – PRUDENT","NU – EVITĂ")))</x:f>
      </x:c>
      <x:c r="F497" s="16" t="str">
        <x:f>IF(OR(W497="",X497=""),"",W497+X497)</x:f>
      </x:c>
      <x:c r="G497" s="28" t="str">
        <x:f>IF(F497="","",EXP(-F497)*(1+F497+F497^2/2+F497^3/6+F497^4/24))</x:f>
      </x:c>
      <x:c r="H497" s="53"/>
      <x:c r="I497" s="9" t="str">
        <x:f>IF(F497="","",IF(F497&lt;='Calibrare v2'!$B$33,"PASS","FAIL"))</x:f>
      </x:c>
      <x:c r="J497" s="51"/>
      <x:c r="K497" s="51"/>
      <x:c r="L497" s="9" t="str">
        <x:f>IF(OR(J497="",K497=""),"",J497+K497)</x:f>
      </x:c>
      <x:c r="M497" s="9" t="str">
        <x:f>IF(L497="","",IF(L497&lt;=4,"UNDER","OVER"))</x:f>
      </x:c>
      <x:c r="N497" s="9" t="str">
        <x:f>IF(E497="","",IF(LEFT(E497,2)="DA","PARIU U416,5","NO BET"))</x:f>
      </x:c>
      <x:c r="O497" s="9" t="str">
        <x:f>IF(M497="","",IF(AM497="PARIU U416,5",IF(M497="UNDER","SUCCES","EȘEC"),IF(M497="UNDER","FALS NEGATIV","EVITARE CORECTĂ")))</x:f>
      </x:c>
      <x:c r="P497" s="9" t="str">
        <x:f>IF(M497="","",IF(M497="UNDER",1,0))</x:f>
      </x:c>
      <x:c r="Q497" s="9" t="str">
        <x:f>IF(P497="","",(G497-P497)^2)</x:f>
      </x:c>
      <x:c r="R497" s="9" t="str">
        <x:f>IF(L497="","",L497-F497)</x:f>
      </x:c>
      <x:c r="S497" s="9" t="str">
        <x:f>IF(L497="","",IF(M497="UNDER","U416,5 reușit; total final "&amp;L497&amp;" vs λ="&amp;TEXT(F497,"0.00")&amp;".","Eșec U416,5; total final "&amp;L497&amp;" vs λ="&amp;TEXT(F497,"0.00")&amp;". Revizuiește Tail Risk, sursa λ și calibrarea."))</x:f>
      </x:c>
      <x:c r="T497" s="51"/>
      <x:c r="U497" s="51"/>
      <x:c r="V497" s="51"/>
      <x:c r="W497" s="61"/>
      <x:c r="X497" s="61"/>
      <x:c r="Y497" s="51"/>
      <x:c r="Z497" s="53"/>
      <x:c r="AA497" s="51"/>
      <x:c r="AB497" s="64" t="str">
        <x:f>IF(AC497="","",AC497)</x:f>
      </x:c>
      <x:c r="AC497" s="67"/>
      <x:c r="AD497" s="69" t="str">
        <x:f>IF(AE497="","",AE497)</x:f>
      </x:c>
      <x:c r="AE497" s="71"/>
      <x:c r="AF497" s="73" t="str">
        <x:f>IF(AC497="","",1/AC497)</x:f>
      </x:c>
      <x:c r="AG497" s="61"/>
      <x:c r="AH497" s="61"/>
      <x:c r="AI497" s="64" t="str">
        <x:f>IF(OR(AC497="",AG497=""),"",AC497*AG497-1)</x:f>
      </x:c>
      <x:c r="AJ497" s="75" t="str">
        <x:f>IF(OR(G497="",F497=""),"",IF(AND(G497&gt;='Calibrare v2'!$B$35,F497&lt;='Calibrare v2'!$B$34),"PASS","FAIL"))</x:f>
      </x:c>
      <x:c r="AK497" s="75" t="str">
        <x:f>IF(AL497="","",AL497)</x:f>
      </x:c>
      <x:c r="AL497" s="77"/>
      <x:c r="AM497" s="77"/>
      <x:c r="AN497" s="64" t="str">
        <x:f>IF(OR(AC497="",P497=""),"",(AC497-P497)^2)</x:f>
      </x:c>
      <x:c r="AO497" s="64" t="str">
        <x:f>IF(OR(AG497="",AH497=""),"",AG497/AH497-1)</x:f>
      </x:c>
      <x:c r="AP497" s="61"/>
      <x:c r="AQ497" s="73" t="n">
        <x:f>IF(OR(AM497&lt;&gt;"PARIU U4,5",M497="",AP497="",AG497=""),0,IF(M497="UNDER",AP497*(AG497-1),-AP497))</x:f>
        <x:v>0</x:v>
      </x:c>
      <x:c r="AR497" s="51"/>
    </x:row>
    <x:row r="498">
      <x:c r="A498" s="9" t="str">
        <x:f>IF(D498="","",ROW()-1)</x:f>
      </x:c>
      <x:c r="B498" s="51"/>
      <x:c r="C498" s="51"/>
      <x:c r="D498" s="51"/>
      <x:c r="E498" s="9" t="str">
        <x:f>IF(D498="","",IF(AND(F498&lt;='Calibrare v2'!$B$33,G498&gt;=0.86),"DA – FEZABIL",IF(G498&gt;=0.8,"DA – PRUDENT","NU – EVITĂ")))</x:f>
      </x:c>
      <x:c r="F498" s="16" t="str">
        <x:f>IF(OR(W498="",X498=""),"",W498+X498)</x:f>
      </x:c>
      <x:c r="G498" s="28" t="str">
        <x:f>IF(F498="","",EXP(-F498)*(1+F498+F498^2/2+F498^3/6+F498^4/24))</x:f>
      </x:c>
      <x:c r="H498" s="53"/>
      <x:c r="I498" s="9" t="str">
        <x:f>IF(F498="","",IF(F498&lt;='Calibrare v2'!$B$33,"PASS","FAIL"))</x:f>
      </x:c>
      <x:c r="J498" s="51"/>
      <x:c r="K498" s="51"/>
      <x:c r="L498" s="9" t="str">
        <x:f>IF(OR(J498="",K498=""),"",J498+K498)</x:f>
      </x:c>
      <x:c r="M498" s="9" t="str">
        <x:f>IF(L498="","",IF(L498&lt;=4,"UNDER","OVER"))</x:f>
      </x:c>
      <x:c r="N498" s="9" t="str">
        <x:f>IF(E498="","",IF(LEFT(E498,2)="DA","PARIU U417,5","NO BET"))</x:f>
      </x:c>
      <x:c r="O498" s="9" t="str">
        <x:f>IF(M498="","",IF(AM498="PARIU U417,5",IF(M498="UNDER","SUCCES","EȘEC"),IF(M498="UNDER","FALS NEGATIV","EVITARE CORECTĂ")))</x:f>
      </x:c>
      <x:c r="P498" s="9" t="str">
        <x:f>IF(M498="","",IF(M498="UNDER",1,0))</x:f>
      </x:c>
      <x:c r="Q498" s="9" t="str">
        <x:f>IF(P498="","",(G498-P498)^2)</x:f>
      </x:c>
      <x:c r="R498" s="9" t="str">
        <x:f>IF(L498="","",L498-F498)</x:f>
      </x:c>
      <x:c r="S498" s="9" t="str">
        <x:f>IF(L498="","",IF(M498="UNDER","U417,5 reușit; total final "&amp;L498&amp;" vs λ="&amp;TEXT(F498,"0.00")&amp;".","Eșec U417,5; total final "&amp;L498&amp;" vs λ="&amp;TEXT(F498,"0.00")&amp;". Revizuiește Tail Risk, sursa λ și calibrarea."))</x:f>
      </x:c>
      <x:c r="T498" s="51"/>
      <x:c r="U498" s="51"/>
      <x:c r="V498" s="51"/>
      <x:c r="W498" s="61"/>
      <x:c r="X498" s="61"/>
      <x:c r="Y498" s="51"/>
      <x:c r="Z498" s="53"/>
      <x:c r="AA498" s="51"/>
      <x:c r="AB498" s="64" t="str">
        <x:f>IF(AC498="","",AC498)</x:f>
      </x:c>
      <x:c r="AC498" s="67"/>
      <x:c r="AD498" s="69" t="str">
        <x:f>IF(AE498="","",AE498)</x:f>
      </x:c>
      <x:c r="AE498" s="71"/>
      <x:c r="AF498" s="73" t="str">
        <x:f>IF(AC498="","",1/AC498)</x:f>
      </x:c>
      <x:c r="AG498" s="61"/>
      <x:c r="AH498" s="61"/>
      <x:c r="AI498" s="64" t="str">
        <x:f>IF(OR(AC498="",AG498=""),"",AC498*AG498-1)</x:f>
      </x:c>
      <x:c r="AJ498" s="75" t="str">
        <x:f>IF(OR(G498="",F498=""),"",IF(AND(G498&gt;='Calibrare v2'!$B$35,F498&lt;='Calibrare v2'!$B$34),"PASS","FAIL"))</x:f>
      </x:c>
      <x:c r="AK498" s="75" t="str">
        <x:f>IF(AL498="","",AL498)</x:f>
      </x:c>
      <x:c r="AL498" s="77"/>
      <x:c r="AM498" s="77"/>
      <x:c r="AN498" s="64" t="str">
        <x:f>IF(OR(AC498="",P498=""),"",(AC498-P498)^2)</x:f>
      </x:c>
      <x:c r="AO498" s="64" t="str">
        <x:f>IF(OR(AG498="",AH498=""),"",AG498/AH498-1)</x:f>
      </x:c>
      <x:c r="AP498" s="61"/>
      <x:c r="AQ498" s="73" t="n">
        <x:f>IF(OR(AM498&lt;&gt;"PARIU U4,5",M498="",AP498="",AG498=""),0,IF(M498="UNDER",AP498*(AG498-1),-AP498))</x:f>
        <x:v>0</x:v>
      </x:c>
      <x:c r="AR498" s="51"/>
    </x:row>
    <x:row r="499">
      <x:c r="A499" s="9" t="str">
        <x:f>IF(D499="","",ROW()-1)</x:f>
      </x:c>
      <x:c r="B499" s="51"/>
      <x:c r="C499" s="51"/>
      <x:c r="D499" s="51"/>
      <x:c r="E499" s="9" t="str">
        <x:f>IF(D499="","",IF(AND(F499&lt;='Calibrare v2'!$B$33,G499&gt;=0.86),"DA – FEZABIL",IF(G499&gt;=0.8,"DA – PRUDENT","NU – EVITĂ")))</x:f>
      </x:c>
      <x:c r="F499" s="16" t="str">
        <x:f>IF(OR(W499="",X499=""),"",W499+X499)</x:f>
      </x:c>
      <x:c r="G499" s="28" t="str">
        <x:f>IF(F499="","",EXP(-F499)*(1+F499+F499^2/2+F499^3/6+F499^4/24))</x:f>
      </x:c>
      <x:c r="H499" s="53"/>
      <x:c r="I499" s="9" t="str">
        <x:f>IF(F499="","",IF(F499&lt;='Calibrare v2'!$B$33,"PASS","FAIL"))</x:f>
      </x:c>
      <x:c r="J499" s="51"/>
      <x:c r="K499" s="51"/>
      <x:c r="L499" s="9" t="str">
        <x:f>IF(OR(J499="",K499=""),"",J499+K499)</x:f>
      </x:c>
      <x:c r="M499" s="9" t="str">
        <x:f>IF(L499="","",IF(L499&lt;=4,"UNDER","OVER"))</x:f>
      </x:c>
      <x:c r="N499" s="9" t="str">
        <x:f>IF(E499="","",IF(LEFT(E499,2)="DA","PARIU U418,5","NO BET"))</x:f>
      </x:c>
      <x:c r="O499" s="9" t="str">
        <x:f>IF(M499="","",IF(AM499="PARIU U418,5",IF(M499="UNDER","SUCCES","EȘEC"),IF(M499="UNDER","FALS NEGATIV","EVITARE CORECTĂ")))</x:f>
      </x:c>
      <x:c r="P499" s="9" t="str">
        <x:f>IF(M499="","",IF(M499="UNDER",1,0))</x:f>
      </x:c>
      <x:c r="Q499" s="9" t="str">
        <x:f>IF(P499="","",(G499-P499)^2)</x:f>
      </x:c>
      <x:c r="R499" s="9" t="str">
        <x:f>IF(L499="","",L499-F499)</x:f>
      </x:c>
      <x:c r="S499" s="9" t="str">
        <x:f>IF(L499="","",IF(M499="UNDER","U418,5 reușit; total final "&amp;L499&amp;" vs λ="&amp;TEXT(F499,"0.00")&amp;".","Eșec U418,5; total final "&amp;L499&amp;" vs λ="&amp;TEXT(F499,"0.00")&amp;". Revizuiește Tail Risk, sursa λ și calibrarea."))</x:f>
      </x:c>
      <x:c r="T499" s="51"/>
      <x:c r="U499" s="51"/>
      <x:c r="V499" s="51"/>
      <x:c r="W499" s="61"/>
      <x:c r="X499" s="61"/>
      <x:c r="Y499" s="51"/>
      <x:c r="Z499" s="53"/>
      <x:c r="AA499" s="51"/>
      <x:c r="AB499" s="64" t="str">
        <x:f>IF(AC499="","",AC499)</x:f>
      </x:c>
      <x:c r="AC499" s="67"/>
      <x:c r="AD499" s="69" t="str">
        <x:f>IF(AE499="","",AE499)</x:f>
      </x:c>
      <x:c r="AE499" s="71"/>
      <x:c r="AF499" s="73" t="str">
        <x:f>IF(AC499="","",1/AC499)</x:f>
      </x:c>
      <x:c r="AG499" s="61"/>
      <x:c r="AH499" s="61"/>
      <x:c r="AI499" s="64" t="str">
        <x:f>IF(OR(AC499="",AG499=""),"",AC499*AG499-1)</x:f>
      </x:c>
      <x:c r="AJ499" s="75" t="str">
        <x:f>IF(OR(G499="",F499=""),"",IF(AND(G499&gt;='Calibrare v2'!$B$35,F499&lt;='Calibrare v2'!$B$34),"PASS","FAIL"))</x:f>
      </x:c>
      <x:c r="AK499" s="75" t="str">
        <x:f>IF(AL499="","",AL499)</x:f>
      </x:c>
      <x:c r="AL499" s="77"/>
      <x:c r="AM499" s="77"/>
      <x:c r="AN499" s="64" t="str">
        <x:f>IF(OR(AC499="",P499=""),"",(AC499-P499)^2)</x:f>
      </x:c>
      <x:c r="AO499" s="64" t="str">
        <x:f>IF(OR(AG499="",AH499=""),"",AG499/AH499-1)</x:f>
      </x:c>
      <x:c r="AP499" s="61"/>
      <x:c r="AQ499" s="73" t="n">
        <x:f>IF(OR(AM499&lt;&gt;"PARIU U4,5",M499="",AP499="",AG499=""),0,IF(M499="UNDER",AP499*(AG499-1),-AP499))</x:f>
        <x:v>0</x:v>
      </x:c>
      <x:c r="AR499" s="51"/>
    </x:row>
    <x:row r="500">
      <x:c r="A500" s="9" t="str">
        <x:f>IF(D500="","",ROW()-1)</x:f>
      </x:c>
      <x:c r="B500" s="51"/>
      <x:c r="C500" s="51"/>
      <x:c r="D500" s="51"/>
      <x:c r="E500" s="9" t="str">
        <x:f>IF(D500="","",IF(AND(F500&lt;='Calibrare v2'!$B$33,G500&gt;=0.86),"DA – FEZABIL",IF(G500&gt;=0.8,"DA – PRUDENT","NU – EVITĂ")))</x:f>
      </x:c>
      <x:c r="F500" s="16" t="str">
        <x:f>IF(OR(W500="",X500=""),"",W500+X500)</x:f>
      </x:c>
      <x:c r="G500" s="28" t="str">
        <x:f>IF(F500="","",EXP(-F500)*(1+F500+F500^2/2+F500^3/6+F500^4/24))</x:f>
      </x:c>
      <x:c r="H500" s="53"/>
      <x:c r="I500" s="9" t="str">
        <x:f>IF(F500="","",IF(F500&lt;='Calibrare v2'!$B$33,"PASS","FAIL"))</x:f>
      </x:c>
      <x:c r="J500" s="51"/>
      <x:c r="K500" s="51"/>
      <x:c r="L500" s="9" t="str">
        <x:f>IF(OR(J500="",K500=""),"",J500+K500)</x:f>
      </x:c>
      <x:c r="M500" s="9" t="str">
        <x:f>IF(L500="","",IF(L500&lt;=4,"UNDER","OVER"))</x:f>
      </x:c>
      <x:c r="N500" s="9" t="str">
        <x:f>IF(E500="","",IF(LEFT(E500,2)="DA","PARIU U419,5","NO BET"))</x:f>
      </x:c>
      <x:c r="O500" s="9" t="str">
        <x:f>IF(M500="","",IF(AM500="PARIU U419,5",IF(M500="UNDER","SUCCES","EȘEC"),IF(M500="UNDER","FALS NEGATIV","EVITARE CORECTĂ")))</x:f>
      </x:c>
      <x:c r="P500" s="9" t="str">
        <x:f>IF(M500="","",IF(M500="UNDER",1,0))</x:f>
      </x:c>
      <x:c r="Q500" s="9" t="str">
        <x:f>IF(P500="","",(G500-P500)^2)</x:f>
      </x:c>
      <x:c r="R500" s="9" t="str">
        <x:f>IF(L500="","",L500-F500)</x:f>
      </x:c>
      <x:c r="S500" s="9" t="str">
        <x:f>IF(L500="","",IF(M500="UNDER","U419,5 reușit; total final "&amp;L500&amp;" vs λ="&amp;TEXT(F500,"0.00")&amp;".","Eșec U419,5; total final "&amp;L500&amp;" vs λ="&amp;TEXT(F500,"0.00")&amp;". Revizuiește Tail Risk, sursa λ și calibrarea."))</x:f>
      </x:c>
      <x:c r="T500" s="51"/>
      <x:c r="U500" s="51"/>
      <x:c r="V500" s="51"/>
      <x:c r="W500" s="61"/>
      <x:c r="X500" s="61"/>
      <x:c r="Y500" s="51"/>
      <x:c r="Z500" s="53"/>
      <x:c r="AA500" s="51"/>
      <x:c r="AB500" s="64" t="str">
        <x:f>IF(AC500="","",AC500)</x:f>
      </x:c>
      <x:c r="AC500" s="67"/>
      <x:c r="AD500" s="69" t="str">
        <x:f>IF(AE500="","",AE500)</x:f>
      </x:c>
      <x:c r="AE500" s="71"/>
      <x:c r="AF500" s="73" t="str">
        <x:f>IF(AC500="","",1/AC500)</x:f>
      </x:c>
      <x:c r="AG500" s="61"/>
      <x:c r="AH500" s="61"/>
      <x:c r="AI500" s="64" t="str">
        <x:f>IF(OR(AC500="",AG500=""),"",AC500*AG500-1)</x:f>
      </x:c>
      <x:c r="AJ500" s="75" t="str">
        <x:f>IF(OR(G500="",F500=""),"",IF(AND(G500&gt;='Calibrare v2'!$B$35,F500&lt;='Calibrare v2'!$B$34),"PASS","FAIL"))</x:f>
      </x:c>
      <x:c r="AK500" s="75" t="str">
        <x:f>IF(AL500="","",AL500)</x:f>
      </x:c>
      <x:c r="AL500" s="77"/>
      <x:c r="AM500" s="77"/>
      <x:c r="AN500" s="64" t="str">
        <x:f>IF(OR(AC500="",P500=""),"",(AC500-P500)^2)</x:f>
      </x:c>
      <x:c r="AO500" s="64" t="str">
        <x:f>IF(OR(AG500="",AH500=""),"",AG500/AH500-1)</x:f>
      </x:c>
      <x:c r="AP500" s="61"/>
      <x:c r="AQ500" s="73" t="n">
        <x:f>IF(OR(AM500&lt;&gt;"PARIU U4,5",M500="",AP500="",AG500=""),0,IF(M500="UNDER",AP500*(AG500-1),-AP500))</x:f>
        <x:v>0</x:v>
      </x:c>
      <x:c r="AR500" s="51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5" hidden="0" customWidth="1"/>
    <x:col min="2" max="2" width="15" hidden="0" customWidth="1"/>
    <x:col min="3" max="3" width="48" hidden="0" customWidth="1"/>
    <x:col min="4" max="4" width="3" hidden="0" customWidth="1"/>
    <x:col min="5" max="5" width="30" hidden="0" customWidth="1"/>
    <x:col min="6" max="6" width="14" hidden="0" customWidth="1"/>
    <x:col min="7" max="7" width="18" hidden="0" customWidth="1"/>
    <x:col min="8" max="8" width="32" hidden="0" customWidth="1"/>
    <x:col min="9" max="9" width="3" hidden="0" customWidth="1"/>
  </x:cols>
  <x:sheetData>
    <x:row r="1" ht="30" customHeight="1">
      <x:c r="A1" s="80" t="str">
        <x:v>BACKTEST ISTORIC – METODOLOGIA ANTERIOARĂ</x:v>
      </x:c>
      <x:c r="B1" s="80"/>
      <x:c r="C1" s="80"/>
      <x:c r="D1" s="80"/>
      <x:c r="E1" s="80"/>
      <x:c r="F1" s="80"/>
      <x:c r="G1" s="80"/>
      <x:c r="H1" s="80"/>
    </x:row>
    <x:row r="2">
      <x:c r="A2" s="9"/>
      <x:c r="B2" s="9"/>
      <x:c r="C2" s="9"/>
      <x:c r="D2" s="9"/>
      <x:c r="E2" s="9"/>
      <x:c r="F2" s="9"/>
      <x:c r="G2" s="9"/>
      <x:c r="H2" s="9"/>
    </x:row>
    <x:row r="3" ht="15" customHeight="1">
      <x:c r="A3" s="6" t="str">
        <x:v>Indicator cumulativ</x:v>
      </x:c>
      <x:c r="B3" s="6" t="str">
        <x:v>Valoare</x:v>
      </x:c>
      <x:c r="C3" s="6" t="str">
        <x:v>Interpretare</x:v>
      </x:c>
      <x:c r="D3" s="9"/>
      <x:c r="E3" s="6" t="str">
        <x:v>Backtest inițial 29.08.2026</x:v>
      </x:c>
      <x:c r="F3" s="6" t="str">
        <x:v>Valoare</x:v>
      </x:c>
      <x:c r="G3" s="6" t="str">
        <x:v>Referință</x:v>
      </x:c>
      <x:c r="H3" s="4" t="str">
        <x:v>Observație</x:v>
      </x:c>
    </x:row>
    <x:row r="4">
      <x:c r="A4" s="84" t="str">
        <x:v>Meciuri finalizate</x:v>
      </x:c>
      <x:c r="B4" s="103" t="n">
        <x:f>COUNT('Rezultate &amp; Comparatie'!$L$2:$L$500)</x:f>
        <x:v>83</x:v>
      </x:c>
      <x:c r="C4" s="84" t="str">
        <x:v>Crește automat după completarea scorului final.</x:v>
      </x:c>
      <x:c r="D4" s="84"/>
      <x:c r="E4" s="84" t="str">
        <x:v>Meciuri</x:v>
      </x:c>
      <x:c r="F4" s="109" t="n">
        <x:v>83</x:v>
      </x:c>
      <x:c r="G4" s="106" t="str">
        <x:v>fix</x:v>
      </x:c>
      <x:c r="H4" s="84" t="str">
        <x:v>Eșantion inițial</x:v>
      </x:c>
    </x:row>
    <x:row r="5">
      <x:c r="A5" s="84" t="str">
        <x:v>Frecvență reală U4,5</x:v>
      </x:c>
      <x:c r="B5" s="106" t="n">
        <x:f>IFERROR(COUNTIF('Rezultate &amp; Comparatie'!$M$2:$M$500,"UNDER")/B4,0)</x:f>
        <x:v>0.7951807228915663</x:v>
      </x:c>
      <x:c r="C5" s="84" t="str">
        <x:v>Rata de bază reală din registru.</x:v>
      </x:c>
      <x:c r="D5" s="84"/>
      <x:c r="E5" s="84" t="str">
        <x:v>Pariuri recomandate</x:v>
      </x:c>
      <x:c r="F5" s="109" t="n">
        <x:v>73</x:v>
      </x:c>
      <x:c r="G5" s="106" t="str">
        <x:v>fix</x:v>
      </x:c>
      <x:c r="H5" s="84" t="str">
        <x:v>DA – FEZABIL + DA – PRUDENT</x:v>
      </x:c>
    </x:row>
    <x:row r="6">
      <x:c r="A6" s="84" t="str">
        <x:v>P raw medie</x:v>
      </x:c>
      <x:c r="B6" s="106" t="n">
        <x:f>IFERROR(AVERAGEIF('Rezultate &amp; Comparatie'!$L$2:$L$500,"&lt;&gt;",'Rezultate &amp; Comparatie'!$G$2:$G$500),0)</x:f>
        <x:v>0.8711937370751747</x:v>
      </x:c>
      <x:c r="C6" s="84" t="str">
        <x:v>Probabilitate medie necalibrată.</x:v>
      </x:c>
      <x:c r="D6" s="84"/>
      <x:c r="E6" s="84" t="str">
        <x:v>Câștigate</x:v>
      </x:c>
      <x:c r="F6" s="109" t="n">
        <x:v>60</x:v>
      </x:c>
      <x:c r="G6" s="106" t="str">
        <x:v>fix</x:v>
      </x:c>
      <x:c r="H6" s="84" t="str">
        <x:v>Hit rate 82,2%</x:v>
      </x:c>
    </x:row>
    <x:row r="7">
      <x:c r="A7" s="84" t="str">
        <x:v>Gap calibrare raw</x:v>
      </x:c>
      <x:c r="B7" s="106" t="n">
        <x:f>B6-B5</x:f>
        <x:v>0.0760130141836084</x:v>
      </x:c>
      <x:c r="C7" s="84" t="str">
        <x:v>Pozitiv = model supra-încrezător.</x:v>
      </x:c>
      <x:c r="D7" s="84"/>
      <x:c r="E7" s="84" t="str">
        <x:v>Hit rate</x:v>
      </x:c>
      <x:c r="F7" s="106" t="n">
        <x:v>0.821917808219178</x:v>
      </x:c>
      <x:c r="G7" s="84" t="str">
        <x:v>fix</x:v>
      </x:c>
      <x:c r="H7" s="84" t="str">
        <x:v>60/73</x:v>
      </x:c>
    </x:row>
    <x:row r="8">
      <x:c r="A8" s="84" t="str">
        <x:v>λ mediu model</x:v>
      </x:c>
      <x:c r="B8" s="109" t="n">
        <x:f>IFERROR(AVERAGEIF('Rezultate &amp; Comparatie'!$L$2:$L$500,"&lt;&gt;",'Rezultate &amp; Comparatie'!$F$2:$F$500),0)</x:f>
        <x:v>2.595807381320603</x:v>
      </x:c>
      <x:c r="C8" s="84" t="str">
        <x:v>Estimarea medie a golurilor.</x:v>
      </x:c>
      <x:c r="D8" s="84"/>
      <x:c r="E8" s="84" t="str">
        <x:v>Frecvență reală U4,5</x:v>
      </x:c>
      <x:c r="F8" s="106" t="n">
        <x:v>0.7951807228915663</x:v>
      </x:c>
      <x:c r="G8" s="84" t="str">
        <x:v>fix</x:v>
      </x:c>
      <x:c r="H8" s="84" t="str">
        <x:v>66/83</x:v>
      </x:c>
    </x:row>
    <x:row r="9">
      <x:c r="A9" s="84" t="str">
        <x:v>Goluri reale medii</x:v>
      </x:c>
      <x:c r="B9" s="109" t="n">
        <x:f>IFERROR(AVERAGE('Rezultate &amp; Comparatie'!$L$2:$L$500),0)</x:f>
        <x:v>3.1325301204819276</x:v>
      </x:c>
      <x:c r="C9" s="84" t="str">
        <x:v>Totalul real mediu.</x:v>
      </x:c>
      <x:c r="D9" s="84"/>
      <x:c r="E9" s="84" t="str">
        <x:v>P raw medie</x:v>
      </x:c>
      <x:c r="F9" s="106" t="n">
        <x:v>0.8711937370751747</x:v>
      </x:c>
      <x:c r="G9" s="84" t="str">
        <x:v>fix</x:v>
      </x:c>
      <x:c r="H9" s="84" t="str">
        <x:v>Supra-încredere ~7,6 pp</x:v>
      </x:c>
    </x:row>
    <x:row r="10">
      <x:c r="A10" s="84" t="str">
        <x:v>Bias goluri (real-λ)</x:v>
      </x:c>
      <x:c r="B10" s="109" t="n">
        <x:f>B9-B8</x:f>
        <x:v>0.5367227391613247</x:v>
      </x:c>
      <x:c r="C10" s="84" t="str">
        <x:v>Pozitiv = modelul subestimează golurile.</x:v>
      </x:c>
      <x:c r="D10" s="84"/>
      <x:c r="E10" s="133" t="str">
        <x:v>Gap calibrare</x:v>
      </x:c>
      <x:c r="F10" s="138" t="n">
        <x:v>0.0760130141836084</x:v>
      </x:c>
      <x:c r="G10" s="133" t="str">
        <x:v>fix</x:v>
      </x:c>
      <x:c r="H10" s="133" t="str">
        <x:v>Necesită recalibrare</x:v>
      </x:c>
    </x:row>
    <x:row r="11">
      <x:c r="A11" s="84" t="str">
        <x:v>Brier raw</x:v>
      </x:c>
      <x:c r="B11" s="109" t="n">
        <x:f>IFERROR(AVERAGE('Rezultate &amp; Comparatie'!$Q$2:$Q$500),0)</x:f>
        <x:v>0.16811882873561823</x:v>
      </x:c>
      <x:c r="C11" s="84" t="str">
        <x:v>Mai mic este mai bun.</x:v>
      </x:c>
      <x:c r="D11" s="84"/>
      <x:c r="E11" s="84" t="str">
        <x:v>λ mediu</x:v>
      </x:c>
      <x:c r="F11" s="109" t="n">
        <x:v>2.595807381320603</x:v>
      </x:c>
      <x:c r="G11" s="103" t="str">
        <x:v>fix</x:v>
      </x:c>
      <x:c r="H11" s="106" t="str">
        <x:v>vs 3,13 goluri reale</x:v>
      </x:c>
    </x:row>
    <x:row r="12">
      <x:c r="A12" s="84" t="str">
        <x:v>Eșecuri cu sursă Proxy 1X2</x:v>
      </x:c>
      <x:c r="B12" s="109" t="n">
        <x:f>COUNTIFS('Rezultate &amp; Comparatie'!$O$2:$O$500,"EȘEC",'Rezultate &amp; Comparatie'!$Y$2:$Y$500,"Proxy 1X2")</x:f>
        <x:v>10</x:v>
      </x:c>
      <x:c r="C12" s="84" t="str">
        <x:v>Monitorizează problema observată în backtestul inițial.</x:v>
      </x:c>
      <x:c r="D12" s="84"/>
      <x:c r="E12" s="84" t="str">
        <x:v>Goluri reale medii</x:v>
      </x:c>
      <x:c r="F12" s="109" t="n">
        <x:v>3.1325301204819276</x:v>
      </x:c>
      <x:c r="G12" s="103" t="str">
        <x:v>fix</x:v>
      </x:c>
      <x:c r="H12" s="106" t="str">
        <x:v>Bias +0,54</x:v>
      </x:c>
    </x:row>
    <x:row r="13">
      <x:c r="A13" s="84"/>
      <x:c r="B13" s="103"/>
      <x:c r="C13" s="84"/>
      <x:c r="D13" s="84"/>
      <x:c r="E13" s="84" t="str">
        <x:v>Brier raw</x:v>
      </x:c>
      <x:c r="F13" s="109" t="n">
        <x:v>0.16811882873561823</x:v>
      </x:c>
      <x:c r="G13" s="103" t="str">
        <x:v>fix</x:v>
      </x:c>
      <x:c r="H13" s="106" t="str">
        <x:v>Referință de îmbunătățit</x:v>
      </x:c>
    </x:row>
    <x:row r="14">
      <x:c r="A14" s="84"/>
      <x:c r="B14" s="106"/>
      <x:c r="C14" s="84"/>
      <x:c r="D14" s="84"/>
      <x:c r="E14" s="84" t="str">
        <x:v>Eșecuri din proxy 1X2</x:v>
      </x:c>
      <x:c r="F14" s="109" t="n">
        <x:v>10</x:v>
      </x:c>
      <x:c r="G14" s="84" t="str">
        <x:v>din 13 eșecuri</x:v>
      </x:c>
      <x:c r="H14" s="84" t="str">
        <x:v>Semnal critic</x:v>
      </x:c>
    </x:row>
    <x:row r="15">
      <x:c r="A15" s="89" t="str">
        <x:v>Indicator V2 SNAPSHOT</x:v>
      </x:c>
      <x:c r="B15" s="112" t="str">
        <x:v>Valoare</x:v>
      </x:c>
      <x:c r="C15" s="89" t="str">
        <x:v>Interpretare</x:v>
      </x:c>
      <x:c r="D15" s="84"/>
      <x:c r="E15" s="84" t="str">
        <x:v>Challenger 92%/2,40</x:v>
      </x:c>
      <x:c r="F15" s="106" t="n">
        <x:v>0.9090909090909091</x:v>
      </x:c>
      <x:c r="G15" s="84" t="str">
        <x:v>22 selecții</x:v>
      </x:c>
      <x:c r="H15" s="84" t="str">
        <x:v>20/22; doar test</x:v>
      </x:c>
    </x:row>
    <x:row r="16" ht="25.5" customHeight="1">
      <x:c r="A16" s="84" t="str">
        <x:v>Predicții v2 finalizate cu snapshot</x:v>
      </x:c>
      <x:c r="B16" s="106" t="n">
        <x:f>COUNTIFS('Rezultate &amp; Comparatie'!$AC$2:$AC$500,"&lt;&gt;",'Rezultate &amp; Comparatie'!$M$2:$M$500,"&lt;&gt;")</x:f>
        <x:v>0</x:v>
      </x:c>
      <x:c r="C16" s="84" t="str">
        <x:v>Doar rânduri cu P calibrată salvată înainte de start și rezultat final.</x:v>
      </x:c>
      <x:c r="D16" s="84"/>
      <x:c r="E16" s="133"/>
      <x:c r="F16" s="133"/>
      <x:c r="G16" s="133"/>
      <x:c r="H16" s="133"/>
    </x:row>
    <x:row r="17">
      <x:c r="A17" s="84" t="str">
        <x:v>Pariuri v2 efectuate</x:v>
      </x:c>
      <x:c r="B17" s="115" t="n">
        <x:f>COUNTIFS('Rezultate &amp; Comparatie'!$AM$2:$AM$500,"PARIU U4,5",'Rezultate &amp; Comparatie'!$M$2:$M$500,"&lt;&gt;")</x:f>
        <x:v>0</x:v>
      </x:c>
      <x:c r="C17" s="84" t="str">
        <x:v>Selecții efectiv recomandate și finalizate.</x:v>
      </x:c>
      <x:c r="D17" s="84"/>
      <x:c r="E17" s="84"/>
      <x:c r="F17" s="103"/>
      <x:c r="G17" s="115"/>
      <x:c r="H17" s="106"/>
    </x:row>
    <x:row r="18">
      <x:c r="A18" s="84" t="str">
        <x:v>Pariuri v2 câștigate</x:v>
      </x:c>
      <x:c r="B18" s="115" t="n">
        <x:f>COUNTIFS('Rezultate &amp; Comparatie'!$AM$2:$AM$500,"PARIU U4,5",'Rezultate &amp; Comparatie'!$M$2:$M$500,"UNDER")</x:f>
        <x:v>0</x:v>
      </x:c>
      <x:c r="C18" s="84" t="str">
        <x:v>Under 4,5 reușite.</x:v>
      </x:c>
      <x:c r="D18" s="84"/>
      <x:c r="E18" s="89" t="str">
        <x:v>Sursă λ clasă</x:v>
      </x:c>
      <x:c r="F18" s="141" t="str">
        <x:v>Finalizate</x:v>
      </x:c>
      <x:c r="G18" s="144" t="str">
        <x:v>UNDER rate</x:v>
      </x:c>
      <x:c r="H18" s="112" t="str">
        <x:v>Eșecuri U4,5</x:v>
      </x:c>
    </x:row>
    <x:row r="19">
      <x:c r="A19" s="84" t="str">
        <x:v>Hit rate v2</x:v>
      </x:c>
      <x:c r="B19" s="106" t="n">
        <x:f>IFERROR(B18/B17,0)</x:f>
        <x:v>0</x:v>
      </x:c>
      <x:c r="C19" s="84" t="str">
        <x:v>Ținta este stabilitate, nu doar procent brut.</x:v>
      </x:c>
      <x:c r="D19" s="127"/>
      <x:c r="E19" s="127" t="str">
        <x:v>xG + O/U direct</x:v>
      </x:c>
      <x:c r="F19" s="127" t="n">
        <x:f>COUNTIFS('Rezultate &amp; Comparatie'!$Y$2:$Y$500,E19,'Rezultate &amp; Comparatie'!$M$2:$M$500,"&lt;&gt;")</x:f>
        <x:v>0</x:v>
      </x:c>
      <x:c r="G19" s="145" t="n">
        <x:f>IFERROR(COUNTIFS('Rezultate &amp; Comparatie'!$Y$2:$Y$500,E19,'Rezultate &amp; Comparatie'!$M$2:$M$500,"UNDER")/F19,0)</x:f>
        <x:v>0</x:v>
      </x:c>
      <x:c r="H19" s="127" t="n">
        <x:f>COUNTIFS('Rezultate &amp; Comparatie'!$Y$2:$Y$500,E19,'Rezultate &amp; Comparatie'!$M$2:$M$500,"OVER")</x:f>
        <x:v>0</x:v>
      </x:c>
    </x:row>
    <x:row r="20">
      <x:c r="A20" s="84" t="str">
        <x:v>P calibrată snapshot medie</x:v>
      </x:c>
      <x:c r="B20" s="106" t="n">
        <x:f>IFERROR(SUMPRODUCT(('Rezultate &amp; Comparatie'!$AC$2:$AC$500&lt;&gt;"")*('Rezultate &amp; Comparatie'!$M$2:$M$500&lt;&gt;"")*'Rezultate &amp; Comparatie'!$AC$2:$AC$500)/B16,0)</x:f>
        <x:v>0</x:v>
      </x:c>
      <x:c r="C20" s="84" t="str">
        <x:v>Media probabilităților salvate înainte de start.</x:v>
      </x:c>
      <x:c r="D20" s="127"/>
      <x:c r="E20" s="127" t="str">
        <x:v>CompactStats + piață</x:v>
      </x:c>
      <x:c r="F20" s="127" t="n">
        <x:f>COUNTIFS('Rezultate &amp; Comparatie'!$Y$2:$Y$500,E20,'Rezultate &amp; Comparatie'!$M$2:$M$500,"&lt;&gt;")</x:f>
        <x:v>17</x:v>
      </x:c>
      <x:c r="G20" s="145" t="n">
        <x:f>IFERROR(COUNTIFS('Rezultate &amp; Comparatie'!$Y$2:$Y$500,E20,'Rezultate &amp; Comparatie'!$M$2:$M$500,"UNDER")/F20,0)</x:f>
        <x:v>0.8235294117647058</x:v>
      </x:c>
      <x:c r="H20" s="127" t="n">
        <x:f>COUNTIFS('Rezultate &amp; Comparatie'!$Y$2:$Y$500,E20,'Rezultate &amp; Comparatie'!$M$2:$M$500,"OVER")</x:f>
        <x:v>3</x:v>
      </x:c>
    </x:row>
    <x:row r="21">
      <x:c r="A21" s="84" t="str">
        <x:v>Frecvență U4,5 pe snapshot</x:v>
      </x:c>
      <x:c r="B21" s="106" t="n">
        <x:f>IFERROR(COUNTIFS('Rezultate &amp; Comparatie'!$AC$2:$AC$500,"&lt;&gt;",'Rezultate &amp; Comparatie'!$M$2:$M$500,"UNDER")/B16,0)</x:f>
        <x:v>0</x:v>
      </x:c>
      <x:c r="C21" s="84" t="str">
        <x:v>Rata reală pe același subset.</x:v>
      </x:c>
      <x:c r="D21" s="127"/>
      <x:c r="E21" s="127" t="str">
        <x:v>Proxy 1X2</x:v>
      </x:c>
      <x:c r="F21" s="127" t="n">
        <x:f>COUNTIFS('Rezultate &amp; Comparatie'!$Y$2:$Y$500,E21,'Rezultate &amp; Comparatie'!$M$2:$M$500,"&lt;&gt;")</x:f>
        <x:v>61</x:v>
      </x:c>
      <x:c r="G21" s="145" t="n">
        <x:f>IFERROR(COUNTIFS('Rezultate &amp; Comparatie'!$Y$2:$Y$500,E21,'Rezultate &amp; Comparatie'!$M$2:$M$500,"UNDER")/F21,0)</x:f>
        <x:v>0.8032786885245902</x:v>
      </x:c>
      <x:c r="H21" s="127" t="n">
        <x:f>COUNTIFS('Rezultate &amp; Comparatie'!$Y$2:$Y$500,E21,'Rezultate &amp; Comparatie'!$M$2:$M$500,"OVER")</x:f>
        <x:v>12</x:v>
      </x:c>
    </x:row>
    <x:row r="22">
      <x:c r="A22" s="95" t="str">
        <x:v>Gap calibrare v2</x:v>
      </x:c>
      <x:c r="B22" s="119" t="n">
        <x:f>B20-B21</x:f>
        <x:v>0</x:v>
      </x:c>
      <x:c r="C22" s="95" t="str">
        <x:v>Ar trebui să tindă spre 0.</x:v>
      </x:c>
      <x:c r="D22" s="128"/>
      <x:c r="E22" s="128" t="str">
        <x:v>Model extern contradictoriu</x:v>
      </x:c>
      <x:c r="F22" s="128" t="n">
        <x:f>COUNTIFS('Rezultate &amp; Comparatie'!$Y$2:$Y$500,E22,'Rezultate &amp; Comparatie'!$M$2:$M$500,"&lt;&gt;")</x:f>
        <x:v>1</x:v>
      </x:c>
      <x:c r="G22" s="146" t="n">
        <x:f>IFERROR(COUNTIFS('Rezultate &amp; Comparatie'!$Y$2:$Y$500,E22,'Rezultate &amp; Comparatie'!$M$2:$M$500,"UNDER")/F22,0)</x:f>
        <x:v>1</x:v>
      </x:c>
      <x:c r="H22" s="128" t="n">
        <x:f>COUNTIFS('Rezultate &amp; Comparatie'!$Y$2:$Y$500,E22,'Rezultate &amp; Comparatie'!$M$2:$M$500,"OVER")</x:f>
        <x:v>0</x:v>
      </x:c>
    </x:row>
    <x:row r="23" ht="30" customHeight="1">
      <x:c r="A23" s="96" t="str">
        <x:v>Brier calibrat</x:v>
      </x:c>
      <x:c r="B23" s="122" t="n">
        <x:f>IFERROR(AVERAGE('Rezultate &amp; Comparatie'!$AN$2:$AN$500),0)</x:f>
        <x:v>0</x:v>
      </x:c>
      <x:c r="C23" s="96" t="str">
        <x:v>Comparați cu Brier raw.</x:v>
      </x:c>
      <x:c r="D23" s="127"/>
      <x:c r="E23" s="127" t="str">
        <x:v>Altă sursă</x:v>
      </x:c>
      <x:c r="F23" s="127" t="n">
        <x:f>COUNTIFS('Rezultate &amp; Comparatie'!$Y$2:$Y$500,E23,'Rezultate &amp; Comparatie'!$M$2:$M$500,"&lt;&gt;")</x:f>
        <x:v>2</x:v>
      </x:c>
      <x:c r="G23" s="145" t="n">
        <x:f>IFERROR(COUNTIFS('Rezultate &amp; Comparatie'!$Y$2:$Y$500,E23,'Rezultate &amp; Comparatie'!$M$2:$M$500,"UNDER")/F23,0)</x:f>
        <x:v>0</x:v>
      </x:c>
      <x:c r="H23" s="127" t="n">
        <x:f>COUNTIFS('Rezultate &amp; Comparatie'!$Y$2:$Y$500,E23,'Rezultate &amp; Comparatie'!$M$2:$M$500,"OVER")</x:f>
        <x:v>2</x:v>
      </x:c>
    </x:row>
    <x:row r="24" ht="30" customHeight="1">
      <x:c r="A24" s="96" t="str">
        <x:v>ROI v2</x:v>
      </x:c>
      <x:c r="B24" s="123" t="n">
        <x:f>IFERROR(SUM('Rezultate &amp; Comparatie'!$AQ$2:$AQ$500)/SUMIFS('Rezultate &amp; Comparatie'!$AP$2:$AP$500,'Rezultate &amp; Comparatie'!$AM$2:$AM$500,"PARIU U4,5",'Rezultate &amp; Comparatie'!$M$2:$M$500,"&lt;&gt;"),0)</x:f>
        <x:v>0</x:v>
      </x:c>
      <x:c r="C24" s="96" t="str">
        <x:v>Profit unit / stake unit.</x:v>
      </x:c>
      <x:c r="D24" s="127"/>
      <x:c r="E24" s="127"/>
      <x:c r="F24" s="127"/>
      <x:c r="G24" s="127"/>
      <x:c r="H24" s="127"/>
    </x:row>
    <x:row r="25" ht="30" customHeight="1">
      <x:c r="A25" s="96" t="str">
        <x:v>CLV mediu</x:v>
      </x:c>
      <x:c r="B25" s="123" t="n">
        <x:f>IFERROR(AVERAGE('Rezultate &amp; Comparatie'!$AO$2:$AO$500),0)</x:f>
        <x:v>0</x:v>
      </x:c>
      <x:c r="C25" s="96" t="str">
        <x:v>Pozitiv este de dorit.</x:v>
      </x:c>
      <x:c r="D25" s="127"/>
      <x:c r="E25" s="127"/>
      <x:c r="F25" s="127"/>
      <x:c r="G25" s="127"/>
      <x:c r="H25" s="127"/>
    </x:row>
    <x:row r="26" ht="15" customHeight="1">
      <x:c r="A26" s="100" t="str">
        <x:v>Challenger - selecții finalizate</x:v>
      </x:c>
      <x:c r="B26" s="100" t="n">
        <x:f>COUNTIFS('Rezultate &amp; Comparatie'!$AJ$2:$AJ$500,"PASS",'Rezultate &amp; Comparatie'!$M$2:$M$500,"&lt;&gt;")</x:f>
        <x:v>22</x:v>
      </x:c>
      <x:c r="C26" s="100" t="str">
        <x:v>P raw ≥92% și λ≤2,40.</x:v>
      </x:c>
      <x:c r="D26" s="99"/>
      <x:c r="E26" s="4" t="str">
        <x:v>Metrică</x:v>
      </x:c>
      <x:c r="F26" s="4" t="str">
        <x:v>Backtest inițial</x:v>
      </x:c>
      <x:c r="G26" s="4" t="str">
        <x:v>Cumulativ curent</x:v>
      </x:c>
      <x:c r="H26" s="9"/>
    </x:row>
    <x:row r="27">
      <x:c r="A27" s="100" t="str">
        <x:v>Challenger - câștigate</x:v>
      </x:c>
      <x:c r="B27" s="100" t="n">
        <x:f>COUNTIFS('Rezultate &amp; Comparatie'!$AJ$2:$AJ$500,"PASS",'Rezultate &amp; Comparatie'!$M$2:$M$500,"UNDER")</x:f>
        <x:v>20</x:v>
      </x:c>
      <x:c r="C27" s="100" t="str">
        <x:v>Doar evaluare experimentală.</x:v>
      </x:c>
      <x:c r="D27" s="99"/>
      <x:c r="E27" s="9" t="str">
        <x:v>Frecvență reală U4,5</x:v>
      </x:c>
      <x:c r="F27" s="28" t="n">
        <x:v>0.7951807228915663</x:v>
      </x:c>
      <x:c r="G27" s="28" t="n">
        <x:f>B5</x:f>
        <x:v>0.7951807228915663</x:v>
      </x:c>
      <x:c r="H27" s="9"/>
    </x:row>
    <x:row r="28">
      <x:c r="A28" s="100" t="str">
        <x:v>Challenger - hit rate</x:v>
      </x:c>
      <x:c r="B28" s="126" t="n">
        <x:f>IFERROR(B27/B26,0)</x:f>
        <x:v>0.9090909090909091</x:v>
      </x:c>
      <x:c r="C28" s="100" t="str">
        <x:v>Nu adoptați definitiv înainte de 300–500+ meciuri.</x:v>
      </x:c>
      <x:c r="D28" s="99"/>
      <x:c r="E28" s="9" t="str">
        <x:v>P raw medie</x:v>
      </x:c>
      <x:c r="F28" s="28" t="n">
        <x:v>0.8711937370751747</x:v>
      </x:c>
      <x:c r="G28" s="28" t="n">
        <x:f>B6</x:f>
        <x:v>0.8711937370751747</x:v>
      </x:c>
      <x:c r="H28" s="9"/>
    </x:row>
    <x:row r="29">
      <x:c r="A29" s="9"/>
      <x:c r="B29" s="9"/>
      <x:c r="C29" s="9"/>
      <x:c r="D29" s="9"/>
      <x:c r="E29" s="9"/>
      <x:c r="F29" s="9"/>
      <x:c r="G29" s="9"/>
      <x:c r="H29" s="9"/>
    </x:row>
    <x:row r="30" ht="15" customHeight="1">
      <x:c r="A30" s="9"/>
      <x:c r="B30" s="9"/>
      <x:c r="C30" s="9"/>
      <x:c r="D30" s="9"/>
      <x:c r="E30" s="5" t="str">
        <x:v>CONCLUZIE / ȚINTĂ V2</x:v>
      </x:c>
      <x:c r="F30" s="5"/>
      <x:c r="G30" s="5"/>
      <x:c r="H30" s="5"/>
    </x:row>
    <x:row r="31">
      <x:c r="A31" s="8"/>
      <x:c r="B31" s="8"/>
      <x:c r="C31" s="8"/>
      <x:c r="D31" s="8"/>
      <x:c r="E31" s="134" t="str">
        <x:v>Ținta v2 este ca gap-ul de calibrare să tindă spre 0, Brier calibrat să fie sub Brier raw, bias-ul real-λ să se reducă și ROI/CLV să devină pozitive pe eșantioane suficient de mari. Nu se schimbă retroactiv snapshot-urile pre-match.</x:v>
      </x:c>
      <x:c r="F31" s="134"/>
      <x:c r="G31" s="134"/>
      <x:c r="H31" s="134"/>
    </x:row>
  </x:sheetData>
  <x:mergeCells>
    <x:mergeCell ref="A1:I1"/>
    <x:mergeCell ref="E30:H30"/>
    <x:mergeCell ref="E31:H34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8" hidden="0" customWidth="1"/>
    <x:col min="2" max="2" width="15" hidden="0" customWidth="1"/>
    <x:col min="3" max="3" width="16" hidden="0" customWidth="1"/>
    <x:col min="4" max="4" width="22" hidden="0" customWidth="1"/>
    <x:col min="5" max="5" width="44" hidden="0" customWidth="1"/>
    <x:col min="6" max="6" width="44" hidden="0" customWidth="1"/>
  </x:cols>
  <x:sheetData>
    <x:row r="1" ht="27.950000762939453" customHeight="1">
      <x:c r="A1" s="42" t="str">
        <x:v>ARHIVĂ – CALIBRAREA MOTORULUI ANTERIOR</x:v>
      </x:c>
      <x:c r="B1" s="42"/>
      <x:c r="C1" s="42"/>
      <x:c r="D1" s="42"/>
      <x:c r="E1" s="42"/>
      <x:c r="F1" s="42"/>
    </x:row>
    <x:row r="2">
      <x:c r="A2" s="149" t="str">
        <x:v>Parametri istorici. Motorul statistic activ citește exclusiv Under_LineCal_v9.</x:v>
      </x:c>
      <x:c r="B2" s="149"/>
      <x:c r="C2" s="149"/>
      <x:c r="D2" s="149"/>
      <x:c r="E2" s="149"/>
      <x:c r="F2" s="149"/>
    </x:row>
    <x:row r="3">
      <x:c r="A3" s="8"/>
      <x:c r="B3" s="8"/>
      <x:c r="C3" s="8"/>
      <x:c r="D3" s="8"/>
      <x:c r="E3" s="8"/>
      <x:c r="F3" s="8"/>
    </x:row>
    <x:row r="4" ht="15" customHeight="1">
      <x:c r="A4" s="4" t="str">
        <x:v>Indicator</x:v>
      </x:c>
      <x:c r="B4" s="4" t="str">
        <x:v>Valoare</x:v>
      </x:c>
      <x:c r="C4" s="4" t="str">
        <x:v>Tip</x:v>
      </x:c>
      <x:c r="D4" s="4" t="str">
        <x:v>Interpretare</x:v>
      </x:c>
      <x:c r="E4" s="8"/>
      <x:c r="F4" s="8"/>
    </x:row>
    <x:row r="5">
      <x:c r="A5" s="8" t="str">
        <x:v>Backtest inițial - meciuri</x:v>
      </x:c>
      <x:c r="B5" s="33" t="n">
        <x:v>83</x:v>
      </x:c>
      <x:c r="C5" s="8" t="str">
        <x:v>FIX 29.08.2026</x:v>
      </x:c>
      <x:c r="D5" s="8" t="str">
        <x:v>Eșantionul de calibrare inițial.</x:v>
      </x:c>
      <x:c r="E5" s="8"/>
      <x:c r="F5" s="8"/>
    </x:row>
    <x:row r="6">
      <x:c r="A6" s="8" t="str">
        <x:v>Backtest inițial - pariuri recomandate</x:v>
      </x:c>
      <x:c r="B6" s="33" t="n">
        <x:v>73</x:v>
      </x:c>
      <x:c r="C6" s="8" t="str">
        <x:v>FIX 29.08.2026</x:v>
      </x:c>
      <x:c r="D6" s="8" t="str">
        <x:v>Selecții DA – FEZABIL + DA – PRUDENT.</x:v>
      </x:c>
      <x:c r="E6" s="8"/>
      <x:c r="F6" s="8"/>
    </x:row>
    <x:row r="7">
      <x:c r="A7" s="8" t="str">
        <x:v>Backtest inițial - câștigate</x:v>
      </x:c>
      <x:c r="B7" s="33" t="n">
        <x:v>60</x:v>
      </x:c>
      <x:c r="C7" s="8" t="str">
        <x:v>FIX 29.08.2026</x:v>
      </x:c>
      <x:c r="D7" s="8" t="str">
        <x:v>60/73 = 82,2%.</x:v>
      </x:c>
      <x:c r="E7" s="8"/>
      <x:c r="F7" s="8"/>
    </x:row>
    <x:row r="8">
      <x:c r="A8" s="8" t="str">
        <x:v>Backtest inițial - P medie raw</x:v>
      </x:c>
      <x:c r="B8" s="27" t="n">
        <x:v>0.8711937370751747</x:v>
      </x:c>
      <x:c r="C8" s="8" t="str">
        <x:v>FIX 29.08.2026</x:v>
      </x:c>
      <x:c r="D8" s="8" t="str">
        <x:v>Modelul a fost supra-încrezător.</x:v>
      </x:c>
      <x:c r="E8" s="8"/>
      <x:c r="F8" s="8"/>
    </x:row>
    <x:row r="9">
      <x:c r="A9" s="8" t="str">
        <x:v>Backtest inițial - frecvență reală U4,5</x:v>
      </x:c>
      <x:c r="B9" s="27" t="n">
        <x:v>0.7951807228915663</x:v>
      </x:c>
      <x:c r="C9" s="8" t="str">
        <x:v>FIX 29.08.2026</x:v>
      </x:c>
      <x:c r="D9" s="8" t="str">
        <x:v>Rata reală Under 4,5 în toate cele 83 de meciuri.</x:v>
      </x:c>
      <x:c r="E9" s="8"/>
      <x:c r="F9" s="8"/>
    </x:row>
    <x:row r="10">
      <x:c r="A10" s="8" t="str">
        <x:v>Backtest inițial - gap calibrare</x:v>
      </x:c>
      <x:c r="B10" s="27" t="n">
        <x:v>0.0760130141836084</x:v>
      </x:c>
      <x:c r="C10" s="8" t="str">
        <x:v>FIX 29.08.2026</x:v>
      </x:c>
      <x:c r="D10" s="8" t="str">
        <x:v>P raw medie minus rata reală U4,5.</x:v>
      </x:c>
      <x:c r="E10" s="8"/>
      <x:c r="F10" s="8"/>
    </x:row>
    <x:row r="11">
      <x:c r="A11" s="8" t="str">
        <x:v>Backtest inițial - λ mediu</x:v>
      </x:c>
      <x:c r="B11" s="54" t="n">
        <x:v>2.595807381320603</x:v>
      </x:c>
      <x:c r="C11" s="8" t="str">
        <x:v>FIX 29.08.2026</x:v>
      </x:c>
      <x:c r="D11" s="8" t="str">
        <x:v>Estimarea medie a modelului.</x:v>
      </x:c>
      <x:c r="E11" s="8"/>
      <x:c r="F11" s="8"/>
    </x:row>
    <x:row r="12">
      <x:c r="A12" s="8" t="str">
        <x:v>Backtest inițial - goluri reale medii</x:v>
      </x:c>
      <x:c r="B12" s="54" t="n">
        <x:v>3.1325301204819276</x:v>
      </x:c>
      <x:c r="C12" s="8" t="str">
        <x:v>FIX 29.08.2026</x:v>
      </x:c>
      <x:c r="D12" s="8" t="str">
        <x:v>Modelul a subestimat totalul cu ~0,54 goluri/meci.</x:v>
      </x:c>
      <x:c r="E12" s="8"/>
      <x:c r="F12" s="8"/>
    </x:row>
    <x:row r="13">
      <x:c r="A13" s="8" t="str">
        <x:v>Backtest inițial - Brier</x:v>
      </x:c>
      <x:c r="B13" s="54" t="n">
        <x:v>0.16811882873561823</x:v>
      </x:c>
      <x:c r="C13" s="8" t="str">
        <x:v>FIX 29.08.2026</x:v>
      </x:c>
      <x:c r="D13" s="8" t="str">
        <x:v>Scor de calibrare/probabilitate; mai mic este mai bun.</x:v>
      </x:c>
      <x:c r="E13" s="8"/>
      <x:c r="F13" s="8"/>
    </x:row>
    <x:row r="14">
      <x:c r="A14" s="8"/>
      <x:c r="B14" s="8"/>
      <x:c r="C14" s="8"/>
      <x:c r="D14" s="8"/>
      <x:c r="E14" s="8"/>
      <x:c r="F14" s="8"/>
    </x:row>
    <x:row r="15">
      <x:c r="A15" s="8"/>
      <x:c r="B15" s="8"/>
      <x:c r="C15" s="8"/>
      <x:c r="D15" s="8"/>
      <x:c r="E15" s="8"/>
      <x:c r="F15" s="8"/>
    </x:row>
    <x:row r="16" ht="15" customHeight="1">
      <x:c r="A16" s="4" t="str">
        <x:v>Parametru v3</x:v>
      </x:c>
      <x:c r="B16" s="4" t="str">
        <x:v>Valoare</x:v>
      </x:c>
      <x:c r="C16" s="4" t="str">
        <x:v>Statut</x:v>
      </x:c>
      <x:c r="D16" s="4" t="str">
        <x:v>Min / max orientativ</x:v>
      </x:c>
      <x:c r="E16" s="4" t="str">
        <x:v>Rol în model</x:v>
      </x:c>
      <x:c r="F16" s="4" t="str">
        <x:v>Notă</x:v>
      </x:c>
    </x:row>
    <x:row r="17">
      <x:c r="A17" s="9" t="str">
        <x:v>Eșantion pentru calibrare completă</x:v>
      </x:c>
      <x:c r="B17" s="51" t="n">
        <x:v>200</x:v>
      </x:c>
      <x:c r="C17" s="9" t="str">
        <x:v>PROVIZORIU</x:v>
      </x:c>
      <x:c r="D17" s="9" t="str">
        <x:v>≥200; ideal ≥500</x:v>
      </x:c>
      <x:c r="E17" s="9" t="str">
        <x:v>Controlează shrinkage-ul gap-ului de calibrare.</x:v>
      </x:c>
      <x:c r="F17" s="9" t="str">
        <x:v>Nu aplica integral gap-ul dintr-o singură zi.</x:v>
      </x:c>
    </x:row>
    <x:row r="18" ht="28.5" customHeight="1">
      <x:c r="A18" s="9" t="str">
        <x:v>Shrinkage calibrare</x:v>
      </x:c>
      <x:c r="B18" s="64" t="n">
        <x:f>MIN(1,COUNT('Rezultate &amp; Comparatie'!$L$2:$L$500)/B17)</x:f>
        <x:v>0.415</x:v>
      </x:c>
      <x:c r="C18" s="9" t="str">
        <x:v>FORMULĂ</x:v>
      </x:c>
      <x:c r="D18" s="9" t="str">
        <x:v>0–1</x:v>
      </x:c>
      <x:c r="E18" s="9" t="str">
        <x:v>Crește pe măsură ce registrul acumulează rezultate.</x:v>
      </x:c>
      <x:c r="F18" s="9" t="str">
        <x:v>MIN(1, meciuri finalizate / eșantion țintă).</x:v>
      </x:c>
    </x:row>
    <x:row r="19">
      <x:c r="A19" s="9" t="str">
        <x:v>Gap calibrare cumulativ raw</x:v>
      </x:c>
      <x:c r="B19" s="64" t="n">
        <x:f>IFERROR(AVERAGEIF('Rezultate &amp; Comparatie'!$L$2:$L$500,"&lt;&gt;",'Rezultate &amp; Comparatie'!$G$2:$G$500)-AVERAGE('Rezultate &amp; Comparatie'!$P$2:$P$500),0)</x:f>
        <x:v>0.0760130141836084</x:v>
      </x:c>
      <x:c r="C19" s="9" t="str">
        <x:v>FORMULĂ</x:v>
      </x:c>
      <x:c r="D19" s="9" t="str">
        <x:v>ideal ≈0</x:v>
      </x:c>
      <x:c r="E19" s="9" t="str">
        <x:v>P raw medie minus frecvența reală U4,5.</x:v>
      </x:c>
      <x:c r="F19" s="9" t="str">
        <x:v>Pozitiv = supra-încredere.</x:v>
      </x:c>
    </x:row>
    <x:row r="20" ht="28.5" customHeight="1">
      <x:c r="A20" s="9" t="str">
        <x:v>Penalizare globală aplicată P</x:v>
      </x:c>
      <x:c r="B20" s="64" t="n">
        <x:f>MAX(0,B19*B18)</x:f>
        <x:v>0.031545400886197485</x:v>
      </x:c>
      <x:c r="C20" s="9" t="str">
        <x:v>FORMULĂ</x:v>
      </x:c>
      <x:c r="D20" s="9" t="str">
        <x:v>0–gap</x:v>
      </x:c>
      <x:c r="E20" s="9" t="str">
        <x:v>Gap × shrinkage; corecție graduală.</x:v>
      </x:c>
      <x:c r="F20" s="9" t="str">
        <x:v>Evită ajustarea brutală de -7,6 pp dintr-un singur eșantion.</x:v>
      </x:c>
    </x:row>
    <x:row r="21" ht="28.5" customHeight="1">
      <x:c r="A21" s="9" t="str">
        <x:v>Penalizare P pentru Proxy 1X2</x:v>
      </x:c>
      <x:c r="B21" s="151" t="n">
        <x:v>0.02</x:v>
      </x:c>
      <x:c r="C21" s="9" t="str">
        <x:v>PROVIZORIU</x:v>
      </x:c>
      <x:c r="D21" s="9" t="str">
        <x:v>0–5 pp</x:v>
      </x:c>
      <x:c r="E21" s="9" t="str">
        <x:v>Penalizează estimările fără xG/O-U direct.</x:v>
      </x:c>
      <x:c r="F21" s="9" t="str">
        <x:v>10/13 eșecuri inițiale au provenit predominant din proxy 1X2.</x:v>
      </x:c>
    </x:row>
    <x:row r="22" ht="28.5" customHeight="1">
      <x:c r="A22" s="9" t="str">
        <x:v>Penalizare P pentru model extern contradictoriu</x:v>
      </x:c>
      <x:c r="B22" s="151" t="n">
        <x:v>0.03</x:v>
      </x:c>
      <x:c r="C22" s="9" t="str">
        <x:v>PROVIZORIU</x:v>
      </x:c>
      <x:c r="D22" s="9" t="str">
        <x:v>0–7 pp</x:v>
      </x:c>
      <x:c r="E22" s="9" t="str">
        <x:v>Penalizează sursele contradictorii.</x:v>
      </x:c>
      <x:c r="F22" s="9" t="str">
        <x:v>Se revizuiește după suficiente observații.</x:v>
      </x:c>
    </x:row>
    <x:row r="23">
      <x:c r="A23" s="9" t="str">
        <x:v>Confidence cap - Proxy 1X2</x:v>
      </x:c>
      <x:c r="B23" s="51" t="n">
        <x:v>60</x:v>
      </x:c>
      <x:c r="C23" s="9" t="str">
        <x:v>IMPLEMENTAT</x:v>
      </x:c>
      <x:c r="D23" s="9" t="str">
        <x:v>≤60</x:v>
      </x:c>
      <x:c r="E23" s="9" t="str">
        <x:v>Împiedică verdict FEZABIL doar pe proxy.</x:v>
      </x:c>
      <x:c r="F23" s="9" t="str">
        <x:v>Conform propunerii din backtest.</x:v>
      </x:c>
    </x:row>
    <x:row r="24">
      <x:c r="A24" s="9" t="str">
        <x:v>Confidence cap - sursă bună</x:v>
      </x:c>
      <x:c r="B24" s="51" t="n">
        <x:v>90</x:v>
      </x:c>
      <x:c r="C24" s="9" t="str">
        <x:v>PROVIZORIU</x:v>
      </x:c>
      <x:c r="D24" s="9" t="str">
        <x:v>80–95</x:v>
      </x:c>
      <x:c r="E24" s="9" t="str">
        <x:v>Plafon pentru xG/O-U/CompactStats solide.</x:v>
      </x:c>
      <x:c r="F24" s="9" t="str">
        <x:v>Nu înlocuiește completitudinea datelor.</x:v>
      </x:c>
    </x:row>
    <x:row r="25" ht="28.5" customHeight="1">
      <x:c r="A25" s="9" t="str">
        <x:v>Penalizare Confidence - start sezon</x:v>
      </x:c>
      <x:c r="B25" s="51" t="n">
        <x:v>10</x:v>
      </x:c>
      <x:c r="C25" s="9" t="str">
        <x:v>IMPLEMENTAT</x:v>
      </x:c>
      <x:c r="D25" s="9" t="str">
        <x:v>5–20p</x:v>
      </x:c>
      <x:c r="E25" s="9" t="str">
        <x:v>Reduce încrederea la eșantion mic / loturi schimbate.</x:v>
      </x:c>
      <x:c r="F25" s="9" t="str">
        <x:v>Se aplică dacă Start sezon = DA.</x:v>
      </x:c>
    </x:row>
    <x:row r="26" ht="28.5" customHeight="1">
      <x:c r="A26" s="9" t="str">
        <x:v>Tail Risk - prag FEZABIL</x:v>
      </x:c>
      <x:c r="B26" s="51" t="n">
        <x:v>30</x:v>
      </x:c>
      <x:c r="C26" s="9" t="str">
        <x:v>IMPLEMENTAT V3</x:v>
      </x:c>
      <x:c r="D26" s="9" t="str">
        <x:v>≤30</x:v>
      </x:c>
      <x:c r="E26" s="9" t="str">
        <x:v>Risc maxim pentru FEZABIL.</x:v>
      </x:c>
      <x:c r="F26" s="9" t="str">
        <x:v>31–40 =&gt; maxim PRUDENT.</x:v>
      </x:c>
    </x:row>
    <x:row r="27">
      <x:c r="A27" s="9" t="str">
        <x:v>Penalizare P per punct Tail peste prag</x:v>
      </x:c>
      <x:c r="B27" s="151" t="n">
        <x:v>0</x:v>
      </x:c>
      <x:c r="C27" s="9" t="str">
        <x:v>ÎNLOCUIT V3</x:v>
      </x:c>
      <x:c r="D27" s="9" t="str">
        <x:v>0</x:v>
      </x:c>
      <x:c r="E27" s="9" t="str">
        <x:v>Înlocuită cu mixture Negative Binomial.</x:v>
      </x:c>
      <x:c r="F27" s="9" t="str">
        <x:v>Nu se mai dublează penalizarea de tail.</x:v>
      </x:c>
    </x:row>
    <x:row r="28" ht="28.5" customHeight="1">
      <x:c r="A28" s="9" t="str">
        <x:v>Tail Risk - prag NO BET</x:v>
      </x:c>
      <x:c r="B28" s="51" t="n">
        <x:v>40</x:v>
      </x:c>
      <x:c r="C28" s="9" t="str">
        <x:v>IMPLEMENTAT V3</x:v>
      </x:c>
      <x:c r="D28" s="9" t="str">
        <x:v>&gt;40</x:v>
      </x:c>
      <x:c r="E28" s="9" t="str">
        <x:v>Hard gate pentru risc 5+.</x:v>
      </x:c>
      <x:c r="F28" s="9" t="str">
        <x:v>Peste 40 =&gt; NO BET.</x:v>
      </x:c>
    </x:row>
    <x:row r="29">
      <x:c r="A29" s="9" t="str">
        <x:v>P calibrată minim FEZABIL</x:v>
      </x:c>
      <x:c r="B29" s="151" t="n">
        <x:v>0.88</x:v>
      </x:c>
      <x:c r="C29" s="9" t="str">
        <x:v>PROVIZORIU</x:v>
      </x:c>
      <x:c r="D29" s="9" t="str">
        <x:v>≥88%</x:v>
      </x:c>
      <x:c r="E29" s="9" t="str">
        <x:v>Prag probabilitate v2 pentru FEZABIL.</x:v>
      </x:c>
      <x:c r="F29" s="9" t="str">
        <x:v>Se va recalibra pe ≥500 predicții.</x:v>
      </x:c>
    </x:row>
    <x:row r="30">
      <x:c r="A30" s="9" t="str">
        <x:v>P calibrată minim PRUDENT</x:v>
      </x:c>
      <x:c r="B30" s="151" t="n">
        <x:v>0.82</x:v>
      </x:c>
      <x:c r="C30" s="9" t="str">
        <x:v>PROVIZORIU</x:v>
      </x:c>
      <x:c r="D30" s="9" t="str">
        <x:v>≥82%</x:v>
      </x:c>
      <x:c r="E30" s="9" t="str">
        <x:v>Prag probabilitate v2 pentru PRUDENT.</x:v>
      </x:c>
      <x:c r="F30" s="9" t="str">
        <x:v>Sub prag =&gt; NO BET.</x:v>
      </x:c>
    </x:row>
    <x:row r="31">
      <x:c r="A31" s="9" t="str">
        <x:v>Confidence v2 minim FEZABIL</x:v>
      </x:c>
      <x:c r="B31" s="51" t="n">
        <x:v>70</x:v>
      </x:c>
      <x:c r="C31" s="9" t="str">
        <x:v>IMPLEMENTAT</x:v>
      </x:c>
      <x:c r="D31" s="9" t="str">
        <x:v>≥70</x:v>
      </x:c>
      <x:c r="E31" s="9" t="str">
        <x:v>Filtru de calitate a datelor.</x:v>
      </x:c>
      <x:c r="F31" s="9" t="str">
        <x:v>Ideal ≥80.</x:v>
      </x:c>
    </x:row>
    <x:row r="32">
      <x:c r="A32" s="9" t="str">
        <x:v>Confidence v2 minim PRUDENT</x:v>
      </x:c>
      <x:c r="B32" s="51" t="n">
        <x:v>60</x:v>
      </x:c>
      <x:c r="C32" s="9" t="str">
        <x:v>IMPLEMENTAT</x:v>
      </x:c>
      <x:c r="D32" s="9" t="str">
        <x:v>≥60</x:v>
      </x:c>
      <x:c r="E32" s="9" t="str">
        <x:v>Sub 60 =&gt; NO BET.</x:v>
      </x:c>
      <x:c r="F32" s="9" t="str">
        <x:v>Proxy 1X2 nu poate depăși 60.</x:v>
      </x:c>
    </x:row>
    <x:row r="33">
      <x:c r="A33" s="9" t="str">
        <x:v>λ total preferat maxim</x:v>
      </x:c>
      <x:c r="B33" s="51" t="n">
        <x:v>2.7</x:v>
      </x:c>
      <x:c r="C33" s="9" t="str">
        <x:v>MENȚINUT</x:v>
      </x:c>
      <x:c r="D33" s="9" t="str">
        <x:v>≤2,70</x:v>
      </x:c>
      <x:c r="E33" s="9" t="str">
        <x:v>Filtru central al modelului Under 4,5.</x:v>
      </x:c>
      <x:c r="F33" s="9" t="str">
        <x:v>Nu este suficient singur.</x:v>
      </x:c>
    </x:row>
    <x:row r="34">
      <x:c r="A34" s="9" t="str">
        <x:v>λ challenger maxim</x:v>
      </x:c>
      <x:c r="B34" s="51" t="n">
        <x:v>2.4</x:v>
      </x:c>
      <x:c r="C34" s="9" t="str">
        <x:v>TEST</x:v>
      </x:c>
      <x:c r="D34" s="9" t="str">
        <x:v>≤2,40</x:v>
      </x:c>
      <x:c r="E34" s="9" t="str">
        <x:v>Parte din regula challenger.</x:v>
      </x:c>
      <x:c r="F34" s="9" t="str">
        <x:v>Backtest inițial: 20/22 la P raw ≥92%.</x:v>
      </x:c>
    </x:row>
    <x:row r="35">
      <x:c r="A35" s="9" t="str">
        <x:v>P raw challenger minim</x:v>
      </x:c>
      <x:c r="B35" s="151" t="n">
        <x:v>0.92</x:v>
      </x:c>
      <x:c r="C35" s="9" t="str">
        <x:v>TEST</x:v>
      </x:c>
      <x:c r="D35" s="9" t="str">
        <x:v>≥92%</x:v>
      </x:c>
      <x:c r="E35" s="9" t="str">
        <x:v>Parte din regula challenger.</x:v>
      </x:c>
      <x:c r="F35" s="9" t="str">
        <x:v>Se validează out-of-sample.</x:v>
      </x:c>
    </x:row>
    <x:row r="36">
      <x:c r="A36" s="9" t="str">
        <x:v>EV minim pentru pariu</x:v>
      </x:c>
      <x:c r="B36" s="151" t="n">
        <x:v>0.03</x:v>
      </x:c>
      <x:c r="C36" s="9" t="str">
        <x:v>IMPLEMENTAT</x:v>
      </x:c>
      <x:c r="D36" s="9" t="str">
        <x:v>≥3%; ideal ≥5%</x:v>
      </x:c>
      <x:c r="E36" s="9" t="str">
        <x:v>Separă probabilitatea de value.</x:v>
      </x:c>
      <x:c r="F36" s="9" t="str">
        <x:v>Necesită cotă reală pre-match.</x:v>
      </x:c>
    </x:row>
    <x:row r="37">
      <x:c r="A37" s="9" t="str">
        <x:v>Penalizare Confidence per punct Tail &gt;30</x:v>
      </x:c>
      <x:c r="B37" s="51" t="n">
        <x:v>0.3</x:v>
      </x:c>
      <x:c r="C37" s="9" t="str">
        <x:v>PROVIZORIU</x:v>
      </x:c>
      <x:c r="D37" s="9" t="str">
        <x:v>0,2–0,5p</x:v>
      </x:c>
      <x:c r="E37" s="9" t="str">
        <x:v>Scade Confidence la profiluri volatile.</x:v>
      </x:c>
      <x:c r="F37" s="9" t="str">
        <x:v>Ajustabil după backtest cumulativ.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Pr>
    <x:tabColor rgb="FF117E80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1" hidden="0" customWidth="1"/>
    <x:col min="2" max="2" width="28" hidden="0" customWidth="1"/>
    <x:col min="3" max="3" width="57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23" customHeight="1">
      <x:c r="A1" s="173" t="str">
        <x:v>TAIL RISK ȘI VOLATILITATE PENTRU U4,5</x:v>
      </x:c>
      <x:c r="B1" s="172"/>
      <x:c r="C1" s="172"/>
      <x:c r="D1" s="172"/>
      <x:c r="E1" s="172"/>
      <x:c r="F1" s="172"/>
      <x:c r="G1" s="172"/>
      <x:c r="H1" s="172"/>
    </x:row>
    <x:row r="2" ht="23" customHeight="1">
      <x:c r="A2" s="172"/>
      <x:c r="B2" s="172"/>
      <x:c r="C2" s="172"/>
      <x:c r="D2" s="172"/>
      <x:c r="E2" s="172"/>
      <x:c r="F2" s="172"/>
      <x:c r="G2" s="172"/>
      <x:c r="H2" s="172"/>
    </x:row>
    <x:row r="3" ht="23" customHeight="1">
      <x:c r="A3" s="174" t="str">
        <x:v>Gate-urile 30/40 și 50/70 sunt specifice U4,5. Valorile necunoscute rămân necompletate.</x:v>
      </x:c>
      <x:c r="B3" s="172"/>
      <x:c r="C3" s="172"/>
      <x:c r="D3" s="172"/>
      <x:c r="E3" s="172"/>
      <x:c r="F3" s="172"/>
      <x:c r="G3" s="172"/>
      <x:c r="H3" s="172"/>
    </x:row>
    <x:row r="4" ht="36" customHeight="1">
      <x:c r="A4" s="181" t="str">
        <x:v>Parametru</x:v>
      </x:c>
      <x:c r="B4" s="181" t="str">
        <x:v>Valoare</x:v>
      </x:c>
      <x:c r="C4" s="181" t="str">
        <x:v>Rol</x:v>
      </x:c>
      <x:c r="D4" s="172"/>
      <x:c r="E4" s="172"/>
      <x:c r="F4" s="172"/>
      <x:c r="G4" s="172"/>
      <x:c r="H4" s="172"/>
    </x:row>
    <x:row r="5" ht="23" customHeight="1">
      <x:c r="A5" s="172" t="str">
        <x:v>Lambda total</x:v>
      </x:c>
      <x:c r="B5" s="172" t="str">
        <x:f>IF('Model adaptiv'!B62="","",'Model adaptiv'!B62)</x:f>
      </x:c>
      <x:c r="C5" s="172" t="str">
        <x:v>Din statistici</x:v>
      </x:c>
      <x:c r="D5" s="172"/>
      <x:c r="E5" s="172"/>
      <x:c r="F5" s="172"/>
      <x:c r="G5" s="172"/>
      <x:c r="H5" s="172"/>
    </x:row>
    <x:row r="6" ht="23" customHeight="1">
      <x:c r="A6" s="172" t="str">
        <x:v>NB r</x:v>
      </x:c>
      <x:c r="B6" s="172" t="n">
        <x:f>Under_LineCal_v9!$B$12</x:f>
        <x:v>4</x:v>
      </x:c>
      <x:c r="C6" s="172" t="str">
        <x:v>Ipoteză comună</x:v>
      </x:c>
      <x:c r="D6" s="172"/>
      <x:c r="E6" s="172"/>
      <x:c r="F6" s="172"/>
      <x:c r="G6" s="172"/>
      <x:c r="H6" s="172"/>
    </x:row>
    <x:row r="7" ht="23" customHeight="1">
      <x:c r="A7" s="172" t="str">
        <x:v>Pondere NB</x:v>
      </x:c>
      <x:c r="B7" s="172" t="n">
        <x:f>Under_LineCal_v9!$B$13</x:f>
        <x:v>0.65</x:v>
      </x:c>
      <x:c r="C7" s="172" t="str">
        <x:v>Ipoteză comună</x:v>
      </x:c>
      <x:c r="D7" s="172"/>
      <x:c r="E7" s="172"/>
      <x:c r="F7" s="172"/>
      <x:c r="G7" s="172"/>
      <x:c r="H7" s="172"/>
    </x:row>
    <x:row r="8" ht="23" customHeight="1">
      <x:c r="A8" s="172" t="str">
        <x:v>Penalizare calibrare</x:v>
      </x:c>
      <x:c r="B8" s="172" t="n">
        <x:f>Under_LineCal_v9!$B$27</x:f>
        <x:v>0</x:v>
      </x:c>
      <x:c r="C8" s="172" t="str">
        <x:v>Neutru până la validarea noului motor</x:v>
      </x:c>
      <x:c r="D8" s="172"/>
      <x:c r="E8" s="172"/>
      <x:c r="F8" s="172"/>
      <x:c r="G8" s="172"/>
      <x:c r="H8" s="172"/>
    </x:row>
    <x:row r="9" ht="23" customHeight="1">
      <x:c r="A9" s="172" t="str">
        <x:v>Penalizare P proxy</x:v>
      </x:c>
      <x:c r="B9" s="172" t="n">
        <x:f>IF(COUNTIFS('Model adaptiv'!F10:F19,"PROXY",'Model adaptiv'!H10:H19,1)&gt;0,Under_LineCal_v9!$B$28,0)</x:f>
        <x:v>0</x:v>
      </x:c>
      <x:c r="C9" s="172" t="str">
        <x:v>Nu este penalizare de preț</x:v>
      </x:c>
      <x:c r="D9" s="172"/>
      <x:c r="E9" s="172"/>
      <x:c r="F9" s="172"/>
      <x:c r="G9" s="172"/>
      <x:c r="H9" s="172"/>
    </x:row>
    <x:row r="10" ht="23" customHeight="1">
      <x:c r="A10" s="172" t="str">
        <x:v>Volatilitate defensivă</x:v>
      </x:c>
      <x:c r="B10" s="172" t="str">
        <x:f>IF('Model adaptiv'!D82="READY",'Model adaptiv'!B82,"")</x:f>
      </x:c>
      <x:c r="C10" s="172" t="str">
        <x:v>Date sau prior documentat</x:v>
      </x:c>
      <x:c r="D10" s="172"/>
      <x:c r="E10" s="172"/>
      <x:c r="F10" s="172"/>
      <x:c r="G10" s="172"/>
      <x:c r="H10" s="172"/>
    </x:row>
    <x:row r="11" ht="23" customHeight="1">
      <x:c r="A11" s="172"/>
      <x:c r="B11" s="172"/>
      <x:c r="C11" s="172"/>
      <x:c r="D11" s="172"/>
      <x:c r="E11" s="172"/>
      <x:c r="F11" s="172"/>
      <x:c r="G11" s="172"/>
      <x:c r="H11" s="172"/>
    </x:row>
    <x:row r="12" ht="23" customHeight="1">
      <x:c r="A12" s="172"/>
      <x:c r="B12" s="172"/>
      <x:c r="C12" s="172"/>
      <x:c r="D12" s="172"/>
      <x:c r="E12" s="172"/>
      <x:c r="F12" s="172"/>
      <x:c r="G12" s="172"/>
      <x:c r="H12" s="172"/>
    </x:row>
    <x:row r="13" ht="23" customHeight="1">
      <x:c r="A13" s="172" t="str">
        <x:v>P(5+) Poisson</x:v>
      </x:c>
      <x:c r="B13" s="192" t="str">
        <x:f>IF(Goals_Distribution_v9!K7&lt;&gt;"READY","",1-SUM(Goals_Distribution_v9!B5:B9))</x:f>
      </x:c>
      <x:c r="C13" s="172" t="str">
        <x:v>Diagnostic</x:v>
      </x:c>
      <x:c r="D13" s="172"/>
      <x:c r="E13" s="172"/>
      <x:c r="F13" s="172"/>
      <x:c r="G13" s="172"/>
      <x:c r="H13" s="172"/>
    </x:row>
    <x:row r="14" ht="23" customHeight="1">
      <x:c r="A14" s="172" t="str">
        <x:v>P(5+) NB</x:v>
      </x:c>
      <x:c r="B14" s="192" t="str">
        <x:f>IF(Goals_Distribution_v9!K7&lt;&gt;"READY","",1-SUM(Goals_Distribution_v9!C5:C9))</x:f>
      </x:c>
      <x:c r="C14" s="172" t="str">
        <x:v>Diagnostic</x:v>
      </x:c>
      <x:c r="D14" s="172"/>
      <x:c r="E14" s="172"/>
      <x:c r="F14" s="172"/>
      <x:c r="G14" s="172"/>
      <x:c r="H14" s="172"/>
    </x:row>
    <x:row r="15" ht="23" customHeight="1">
      <x:c r="A15" s="172" t="str">
        <x:v>P(5+) mixture</x:v>
      </x:c>
      <x:c r="B15" s="192" t="str">
        <x:f>IF(Goals_Distribution_v9!K7&lt;&gt;"READY","",Goals_Distribution_v9!F9)</x:f>
      </x:c>
      <x:c r="C15" s="172" t="str">
        <x:v>Failure U4,5</x:v>
      </x:c>
      <x:c r="D15" s="172"/>
      <x:c r="E15" s="172"/>
      <x:c r="F15" s="172"/>
      <x:c r="G15" s="172"/>
      <x:c r="H15" s="172"/>
    </x:row>
    <x:row r="16" ht="23" customHeight="1">
      <x:c r="A16" s="172" t="str">
        <x:v>P U4,5 mixture</x:v>
      </x:c>
      <x:c r="B16" s="192" t="str">
        <x:f>IF(B15="","",1-B15)</x:f>
      </x:c>
      <x:c r="C16" s="172" t="str">
        <x:v>0–4 goluri</x:v>
      </x:c>
      <x:c r="D16" s="172"/>
      <x:c r="E16" s="172"/>
      <x:c r="F16" s="172"/>
      <x:c r="G16" s="172"/>
      <x:c r="H16" s="172"/>
    </x:row>
    <x:row r="17" ht="23" customHeight="1">
      <x:c r="A17" s="172" t="str">
        <x:v>P U4,5 ajustată</x:v>
      </x:c>
      <x:c r="B17" s="192" t="str">
        <x:f>IF(Under_MultiLine_v9!G6="","",Under_MultiLine_v9!G6)</x:f>
      </x:c>
      <x:c r="C17" s="172" t="str">
        <x:v>Același rezultat ca selectorul</x:v>
      </x:c>
      <x:c r="D17" s="172"/>
      <x:c r="E17" s="172"/>
      <x:c r="F17" s="172"/>
      <x:c r="G17" s="172"/>
      <x:c r="H17" s="172"/>
    </x:row>
    <x:row r="18" ht="23" customHeight="1">
      <x:c r="A18" s="172" t="str">
        <x:v>Cotă fair ajustată</x:v>
      </x:c>
      <x:c r="B18" s="172" t="str">
        <x:f>IF(OR(B17="",B17&lt;=0),"",1/B17)</x:f>
      </x:c>
      <x:c r="C18" s="172" t="str">
        <x:v>Informativ</x:v>
      </x:c>
      <x:c r="D18" s="172"/>
      <x:c r="E18" s="172"/>
      <x:c r="F18" s="172"/>
      <x:c r="G18" s="172"/>
      <x:c r="H18" s="172"/>
    </x:row>
    <x:row r="19" ht="23" customHeight="1">
      <x:c r="A19" s="172" t="str">
        <x:v>EV informativ</x:v>
      </x:c>
      <x:c r="B19" s="192" t="str">
        <x:f>IF(OR(B17="",'Date statistice'!B59=""),"",B17*'Date statistice'!B59-1)</x:f>
      </x:c>
      <x:c r="C19" s="172" t="str">
        <x:v>Nu alimentează verdictul</x:v>
      </x:c>
      <x:c r="D19" s="172"/>
      <x:c r="E19" s="172"/>
      <x:c r="F19" s="172"/>
      <x:c r="G19" s="172"/>
      <x:c r="H19" s="172"/>
    </x:row>
    <x:row r="20" ht="23" customHeight="1">
      <x:c r="A20" s="172" t="str">
        <x:v>Tail Risk Score</x:v>
      </x:c>
      <x:c r="B20" s="172" t="str">
        <x:f>IF('Model adaptiv'!J42="PASS",'Model adaptiv'!J41,"")</x:f>
      </x:c>
      <x:c r="C20" s="172" t="str">
        <x:v>Necesită toate componentele valide</x:v>
      </x:c>
      <x:c r="D20" s="172"/>
      <x:c r="E20" s="172"/>
      <x:c r="F20" s="172"/>
      <x:c r="G20" s="172"/>
      <x:c r="H20" s="172"/>
    </x:row>
    <x:row r="21" ht="23" customHeight="1">
      <x:c r="A21" s="172" t="str">
        <x:v>Gate U4,5</x:v>
      </x:c>
      <x:c r="B21" s="172" t="str">
        <x:f>IF('Model adaptiv'!J42&lt;&gt;"PASS","PENDING",IF(OR(B20&gt;Under_LineCal_v9!R6,B10&gt;=Under_LineCal_v9!T6),"NO BET",IF(OR(B20&gt;Under_LineCal_v9!S6,B10&gt;=Under_LineCal_v9!U6),"MAXIM PRUDENT","PASS")))</x:f>
        <x:v>PENDING</x:v>
      </x:c>
      <x:c r="C21" s="172" t="str">
        <x:v>Precede clasificarea</x:v>
      </x:c>
      <x:c r="D21" s="172"/>
      <x:c r="E21" s="172"/>
      <x:c r="F21" s="172"/>
      <x:c r="G21" s="172"/>
      <x:c r="H21" s="172"/>
    </x:row>
    <x:row r="22" ht="23" customHeight="1">
      <x:c r="A22" s="172" t="str">
        <x:v>Verdict unic</x:v>
      </x:c>
      <x:c r="B22" s="172" t="str">
        <x:f>Under_MultiLine_v9!P6</x:f>
        <x:v>NEELIBERAT</x:v>
      </x:c>
      <x:c r="C22" s="172" t="str">
        <x:v>Citit din Multi-Line</x:v>
      </x:c>
      <x:c r="D22" s="172"/>
      <x:c r="E22" s="172"/>
      <x:c r="F22" s="172"/>
      <x:c r="G22" s="172"/>
      <x:c r="H22" s="172"/>
    </x:row>
    <x:row r="23" ht="23" customHeight="1">
      <x:c r="A23" s="172"/>
      <x:c r="B23" s="172"/>
      <x:c r="C23" s="172"/>
      <x:c r="D23" s="172"/>
      <x:c r="E23" s="172"/>
      <x:c r="F23" s="172"/>
      <x:c r="G23" s="172"/>
      <x:c r="H23" s="172"/>
    </x:row>
    <x:row r="24" ht="23" customHeight="1">
      <x:c r="A24" s="172"/>
      <x:c r="B24" s="172"/>
      <x:c r="C24" s="172"/>
      <x:c r="D24" s="172"/>
      <x:c r="E24" s="172"/>
      <x:c r="F24" s="172"/>
      <x:c r="G24" s="172"/>
      <x:c r="H24" s="172"/>
    </x:row>
    <x:row r="25" ht="23" customHeight="1">
      <x:c r="A25" s="172"/>
      <x:c r="B25" s="172"/>
      <x:c r="C25" s="172"/>
      <x:c r="D25" s="172"/>
      <x:c r="E25" s="172"/>
      <x:c r="F25" s="172"/>
      <x:c r="G25" s="172"/>
      <x:c r="H25" s="172"/>
    </x:row>
    <x:row r="26" ht="23" customHeight="1">
      <x:c r="A26" s="172"/>
      <x:c r="B26" s="172"/>
      <x:c r="C26" s="172"/>
      <x:c r="D26" s="172"/>
      <x:c r="E26" s="172"/>
      <x:c r="F26" s="172"/>
      <x:c r="G26" s="172"/>
      <x:c r="H26" s="172"/>
    </x:row>
    <x:row r="27" ht="23" customHeight="1">
      <x:c r="A27" s="172"/>
      <x:c r="B27" s="172"/>
      <x:c r="C27" s="172"/>
      <x:c r="D27" s="172"/>
      <x:c r="E27" s="172"/>
      <x:c r="F27" s="172"/>
      <x:c r="G27" s="172"/>
      <x:c r="H27" s="172"/>
    </x:row>
    <x:row r="28" ht="23" customHeight="1">
      <x:c r="A28" s="172"/>
      <x:c r="B28" s="172"/>
      <x:c r="C28" s="172"/>
      <x:c r="D28" s="172"/>
      <x:c r="E28" s="172"/>
      <x:c r="F28" s="172"/>
      <x:c r="G28" s="172"/>
      <x:c r="H28" s="172"/>
    </x:row>
    <x:row r="29" ht="23" customHeight="1">
      <x:c r="A29" s="172"/>
      <x:c r="B29" s="172"/>
      <x:c r="C29" s="172"/>
      <x:c r="D29" s="172"/>
      <x:c r="E29" s="172"/>
      <x:c r="F29" s="172"/>
      <x:c r="G29" s="172"/>
      <x:c r="H29" s="172"/>
    </x:row>
    <x:row r="30" ht="23" customHeight="1">
      <x:c r="A30" s="172"/>
      <x:c r="B30" s="172"/>
      <x:c r="C30" s="172"/>
      <x:c r="D30" s="172"/>
      <x:c r="E30" s="172"/>
      <x:c r="F30" s="172"/>
      <x:c r="G30" s="172"/>
      <x:c r="H30" s="172"/>
    </x:row>
    <x:row r="31" ht="23" customHeight="1">
      <x:c r="A31" s="172"/>
      <x:c r="B31" s="172"/>
      <x:c r="C31" s="172"/>
      <x:c r="D31" s="172"/>
      <x:c r="E31" s="172"/>
      <x:c r="F31" s="172"/>
      <x:c r="G31" s="172"/>
      <x:c r="H31" s="172"/>
    </x:row>
    <x:row r="32" ht="23" customHeight="1">
      <x:c r="A32" s="172"/>
      <x:c r="B32" s="172"/>
      <x:c r="C32" s="172"/>
      <x:c r="D32" s="172"/>
      <x:c r="E32" s="172"/>
      <x:c r="F32" s="172"/>
      <x:c r="G32" s="172"/>
      <x:c r="H32" s="172"/>
    </x:row>
    <x:row r="33" ht="23" customHeight="1">
      <x:c r="A33" s="172"/>
      <x:c r="B33" s="172"/>
      <x:c r="C33" s="172"/>
      <x:c r="D33" s="172"/>
      <x:c r="E33" s="172"/>
      <x:c r="F33" s="172"/>
      <x:c r="G33" s="172"/>
      <x:c r="H33" s="172"/>
    </x:row>
    <x:row r="34" ht="23" customHeight="1">
      <x:c r="A34" s="172"/>
      <x:c r="B34" s="172"/>
      <x:c r="C34" s="172"/>
      <x:c r="D34" s="172"/>
      <x:c r="E34" s="172"/>
      <x:c r="F34" s="172"/>
      <x:c r="G34" s="172"/>
      <x:c r="H34" s="172"/>
    </x:row>
    <x:row r="35" ht="23" customHeight="1">
      <x:c r="A35" s="172"/>
      <x:c r="B35" s="172"/>
      <x:c r="C35" s="172"/>
      <x:c r="D35" s="172"/>
      <x:c r="E35" s="172"/>
      <x:c r="F35" s="172"/>
      <x:c r="G35" s="172"/>
      <x:c r="H35" s="172"/>
    </x:row>
    <x:row r="36" ht="23" customHeight="1">
      <x:c r="A36" s="172"/>
      <x:c r="B36" s="172"/>
      <x:c r="C36" s="172"/>
      <x:c r="D36" s="172"/>
      <x:c r="E36" s="172"/>
      <x:c r="F36" s="172"/>
      <x:c r="G36" s="172"/>
      <x:c r="H36" s="172"/>
    </x:row>
    <x:row r="37" ht="23" customHeight="1">
      <x:c r="A37" s="172"/>
      <x:c r="B37" s="172"/>
      <x:c r="C37" s="172"/>
      <x:c r="D37" s="172"/>
      <x:c r="E37" s="172"/>
      <x:c r="F37" s="172"/>
      <x:c r="G37" s="172"/>
      <x:c r="H37" s="172"/>
    </x:row>
    <x:row r="38" ht="23" customHeight="1">
      <x:c r="A38" s="172"/>
      <x:c r="B38" s="172"/>
      <x:c r="C38" s="172"/>
      <x:c r="D38" s="172"/>
      <x:c r="E38" s="172"/>
      <x:c r="F38" s="172"/>
      <x:c r="G38" s="172"/>
      <x:c r="H38" s="172"/>
    </x:row>
    <x:row r="39" ht="23" customHeight="1">
      <x:c r="A39" s="172"/>
      <x:c r="B39" s="172"/>
      <x:c r="C39" s="172"/>
      <x:c r="D39" s="172"/>
      <x:c r="E39" s="172"/>
      <x:c r="F39" s="172"/>
      <x:c r="G39" s="172"/>
      <x:c r="H39" s="172"/>
    </x:row>
    <x:row r="40" ht="23" customHeight="1">
      <x:c r="A40" s="172"/>
      <x:c r="B40" s="172"/>
      <x:c r="C40" s="172"/>
      <x:c r="D40" s="172"/>
      <x:c r="E40" s="172"/>
      <x:c r="F40" s="172"/>
      <x:c r="G40" s="172"/>
      <x:c r="H40" s="172"/>
    </x:row>
    <x:row r="41" ht="23" customHeight="1">
      <x:c r="A41" s="172"/>
      <x:c r="B41" s="172"/>
      <x:c r="C41" s="172"/>
      <x:c r="D41" s="172"/>
      <x:c r="E41" s="172"/>
      <x:c r="F41" s="172"/>
      <x:c r="G41" s="172"/>
      <x:c r="H41" s="172"/>
    </x:row>
    <x:row r="42" ht="23" customHeight="1">
      <x:c r="A42" s="172"/>
      <x:c r="B42" s="172"/>
      <x:c r="C42" s="172"/>
      <x:c r="D42" s="172"/>
      <x:c r="E42" s="172"/>
      <x:c r="F42" s="172"/>
      <x:c r="G42" s="172"/>
      <x:c r="H42" s="172"/>
    </x:row>
    <x:row r="43" ht="23" customHeight="1">
      <x:c r="A43" s="172"/>
      <x:c r="B43" s="172"/>
      <x:c r="C43" s="172"/>
      <x:c r="D43" s="172"/>
      <x:c r="E43" s="172"/>
      <x:c r="F43" s="172"/>
      <x:c r="G43" s="172"/>
      <x:c r="H43" s="172"/>
    </x:row>
    <x:row r="44" ht="23" customHeight="1">
      <x:c r="A44" s="172"/>
      <x:c r="B44" s="172"/>
      <x:c r="C44" s="172"/>
      <x:c r="D44" s="172"/>
      <x:c r="E44" s="172"/>
      <x:c r="F44" s="172"/>
      <x:c r="G44" s="172"/>
      <x:c r="H44" s="172"/>
    </x:row>
    <x:row r="45" ht="23" customHeight="1">
      <x:c r="A45" s="172"/>
      <x:c r="B45" s="172"/>
      <x:c r="C45" s="172"/>
      <x:c r="D45" s="172"/>
      <x:c r="E45" s="172"/>
      <x:c r="F45" s="172"/>
      <x:c r="G45" s="172"/>
      <x:c r="H45" s="172"/>
    </x:row>
    <x:row r="46" ht="23" customHeight="1">
      <x:c r="A46" s="172"/>
      <x:c r="B46" s="172"/>
      <x:c r="C46" s="172"/>
      <x:c r="D46" s="172"/>
      <x:c r="E46" s="172"/>
      <x:c r="F46" s="172"/>
      <x:c r="G46" s="172"/>
      <x:c r="H46" s="172"/>
    </x:row>
    <x:row r="47" ht="23" customHeight="1">
      <x:c r="A47" s="172"/>
      <x:c r="B47" s="172"/>
      <x:c r="C47" s="172"/>
      <x:c r="D47" s="172"/>
      <x:c r="E47" s="172"/>
      <x:c r="F47" s="172"/>
      <x:c r="G47" s="172"/>
      <x:c r="H47" s="172"/>
    </x:row>
    <x:row r="48" ht="23" customHeight="1">
      <x:c r="A48" s="172"/>
      <x:c r="B48" s="172"/>
      <x:c r="C48" s="172"/>
      <x:c r="D48" s="172"/>
      <x:c r="E48" s="172"/>
      <x:c r="F48" s="172"/>
      <x:c r="G48" s="172"/>
      <x:c r="H48" s="172"/>
    </x:row>
    <x:row r="49" ht="23" customHeight="1">
      <x:c r="A49" s="172"/>
      <x:c r="B49" s="172"/>
      <x:c r="C49" s="172"/>
      <x:c r="D49" s="172"/>
      <x:c r="E49" s="172"/>
      <x:c r="F49" s="172"/>
      <x:c r="G49" s="172"/>
      <x:c r="H49" s="172"/>
    </x:row>
    <x:row r="50" ht="23" customHeight="1">
      <x:c r="A50" s="172"/>
      <x:c r="B50" s="172"/>
      <x:c r="C50" s="172"/>
      <x:c r="D50" s="172"/>
      <x:c r="E50" s="172"/>
      <x:c r="F50" s="172"/>
      <x:c r="G50" s="172"/>
      <x:c r="H50" s="172"/>
    </x:row>
    <x:row r="51" ht="23" customHeight="1">
      <x:c r="A51" s="172"/>
      <x:c r="B51" s="172"/>
      <x:c r="C51" s="172"/>
      <x:c r="D51" s="172"/>
      <x:c r="E51" s="172"/>
      <x:c r="F51" s="172"/>
      <x:c r="G51" s="172"/>
      <x:c r="H51" s="172"/>
    </x:row>
    <x:row r="52" ht="23" customHeight="1">
      <x:c r="A52" s="172"/>
      <x:c r="B52" s="172"/>
      <x:c r="C52" s="172"/>
      <x:c r="D52" s="172"/>
      <x:c r="E52" s="172"/>
      <x:c r="F52" s="172"/>
      <x:c r="G52" s="172"/>
      <x:c r="H52" s="172"/>
    </x:row>
    <x:row r="53" ht="23" customHeight="1">
      <x:c r="A53" s="172"/>
      <x:c r="B53" s="172"/>
      <x:c r="C53" s="172"/>
      <x:c r="D53" s="172"/>
      <x:c r="E53" s="172"/>
      <x:c r="F53" s="172"/>
      <x:c r="G53" s="172"/>
      <x:c r="H53" s="172"/>
    </x:row>
    <x:row r="54" ht="23" customHeight="1">
      <x:c r="A54" s="172"/>
      <x:c r="B54" s="172"/>
      <x:c r="C54" s="172"/>
      <x:c r="D54" s="172"/>
      <x:c r="E54" s="172"/>
      <x:c r="F54" s="172"/>
      <x:c r="G54" s="172"/>
      <x:c r="H54" s="172"/>
    </x:row>
    <x:row r="55" ht="23" customHeight="1">
      <x:c r="A55" s="172"/>
      <x:c r="B55" s="172"/>
      <x:c r="C55" s="172"/>
      <x:c r="D55" s="172"/>
      <x:c r="E55" s="172"/>
      <x:c r="F55" s="172"/>
      <x:c r="G55" s="172"/>
      <x:c r="H55" s="172"/>
    </x:row>
    <x:row r="56" ht="23" customHeight="1">
      <x:c r="A56" s="172"/>
      <x:c r="B56" s="172"/>
      <x:c r="C56" s="172"/>
      <x:c r="D56" s="172"/>
      <x:c r="E56" s="172"/>
      <x:c r="F56" s="172"/>
      <x:c r="G56" s="172"/>
      <x:c r="H56" s="172"/>
    </x:row>
    <x:row r="57" ht="23" customHeight="1">
      <x:c r="A57" s="172"/>
      <x:c r="B57" s="172"/>
      <x:c r="C57" s="172"/>
      <x:c r="D57" s="172"/>
      <x:c r="E57" s="172"/>
      <x:c r="F57" s="172"/>
      <x:c r="G57" s="172"/>
      <x:c r="H57" s="172"/>
    </x:row>
    <x:row r="58" ht="23" customHeight="1">
      <x:c r="A58" s="172"/>
      <x:c r="B58" s="172"/>
      <x:c r="C58" s="172"/>
      <x:c r="D58" s="172"/>
      <x:c r="E58" s="172"/>
      <x:c r="F58" s="172"/>
      <x:c r="G58" s="172"/>
      <x:c r="H58" s="172"/>
    </x:row>
    <x:row r="59" ht="23" customHeight="1">
      <x:c r="A59" s="172"/>
      <x:c r="B59" s="172"/>
      <x:c r="C59" s="172"/>
      <x:c r="D59" s="172"/>
      <x:c r="E59" s="172"/>
      <x:c r="F59" s="172"/>
      <x:c r="G59" s="172"/>
      <x:c r="H59" s="172"/>
    </x:row>
    <x:row r="60" ht="23" customHeight="1">
      <x:c r="A60" s="172"/>
      <x:c r="B60" s="172"/>
      <x:c r="C60" s="172"/>
      <x:c r="D60" s="172"/>
      <x:c r="E60" s="172"/>
      <x:c r="F60" s="172"/>
      <x:c r="G60" s="172"/>
      <x:c r="H60" s="172"/>
    </x:row>
    <x:row r="61" ht="23" customHeight="1">
      <x:c r="A61" s="172"/>
      <x:c r="B61" s="172"/>
      <x:c r="C61" s="172"/>
      <x:c r="D61" s="172"/>
      <x:c r="E61" s="172"/>
      <x:c r="F61" s="172"/>
      <x:c r="G61" s="172"/>
      <x:c r="H61" s="172"/>
    </x:row>
    <x:row r="62" ht="23" customHeight="1">
      <x:c r="A62" s="172"/>
      <x:c r="B62" s="172"/>
      <x:c r="C62" s="172"/>
      <x:c r="D62" s="172"/>
      <x:c r="E62" s="172"/>
      <x:c r="F62" s="172"/>
      <x:c r="G62" s="172"/>
      <x:c r="H62" s="172"/>
    </x:row>
    <x:row r="63" ht="23" customHeight="1">
      <x:c r="A63" s="172"/>
      <x:c r="B63" s="172"/>
      <x:c r="C63" s="172"/>
      <x:c r="D63" s="172"/>
      <x:c r="E63" s="172"/>
      <x:c r="F63" s="172"/>
      <x:c r="G63" s="172"/>
      <x:c r="H63" s="172"/>
    </x:row>
    <x:row r="64" ht="23" customHeight="1">
      <x:c r="A64" s="172"/>
      <x:c r="B64" s="172"/>
      <x:c r="C64" s="172"/>
      <x:c r="D64" s="172"/>
      <x:c r="E64" s="172"/>
      <x:c r="F64" s="172"/>
      <x:c r="G64" s="172"/>
      <x:c r="H64" s="172"/>
    </x:row>
    <x:row r="65" ht="23" customHeight="1">
      <x:c r="A65" s="172"/>
      <x:c r="B65" s="172"/>
      <x:c r="C65" s="172"/>
      <x:c r="D65" s="172"/>
      <x:c r="E65" s="172"/>
      <x:c r="F65" s="172"/>
      <x:c r="G65" s="172"/>
      <x:c r="H65" s="172"/>
    </x:row>
    <x:row r="66" ht="23" customHeight="1">
      <x:c r="A66" s="172"/>
      <x:c r="B66" s="172"/>
      <x:c r="C66" s="172"/>
      <x:c r="D66" s="172"/>
      <x:c r="E66" s="172"/>
      <x:c r="F66" s="172"/>
      <x:c r="G66" s="172"/>
      <x:c r="H66" s="172"/>
    </x:row>
    <x:row r="67" ht="23" customHeight="1">
      <x:c r="A67" s="172"/>
      <x:c r="B67" s="172"/>
      <x:c r="C67" s="172"/>
      <x:c r="D67" s="172"/>
      <x:c r="E67" s="172"/>
      <x:c r="F67" s="172"/>
      <x:c r="G67" s="172"/>
      <x:c r="H67" s="172"/>
    </x:row>
    <x:row r="68" ht="23" customHeight="1">
      <x:c r="A68" s="172"/>
      <x:c r="B68" s="172"/>
      <x:c r="C68" s="172"/>
      <x:c r="D68" s="172"/>
      <x:c r="E68" s="172"/>
      <x:c r="F68" s="172"/>
      <x:c r="G68" s="172"/>
      <x:c r="H68" s="172"/>
    </x:row>
    <x:row r="69" ht="23" customHeight="1">
      <x:c r="A69" s="172"/>
      <x:c r="B69" s="172"/>
      <x:c r="C69" s="172"/>
      <x:c r="D69" s="172"/>
      <x:c r="E69" s="172"/>
      <x:c r="F69" s="172"/>
      <x:c r="G69" s="172"/>
      <x:c r="H69" s="172"/>
    </x:row>
    <x:row r="70" ht="23" customHeight="1">
      <x:c r="A70" s="172"/>
      <x:c r="B70" s="172"/>
      <x:c r="C70" s="172"/>
      <x:c r="D70" s="172"/>
      <x:c r="E70" s="172"/>
      <x:c r="F70" s="172"/>
      <x:c r="G70" s="172"/>
      <x:c r="H70" s="172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Pr>
    <x:tabColor rgb="FF117E80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9" hidden="0" customWidth="1"/>
    <x:col min="2" max="2" width="29" hidden="0" customWidth="1"/>
    <x:col min="3" max="3" width="29" hidden="0" customWidth="1"/>
    <x:col min="4" max="4" width="29" hidden="0" customWidth="1"/>
    <x:col min="5" max="5" width="15" hidden="0" customWidth="1"/>
    <x:col min="6" max="6" width="15" hidden="0" customWidth="1"/>
  </x:cols>
  <x:sheetData>
    <x:row r="1" ht="23" customHeight="1">
      <x:c r="A1" s="173" t="str">
        <x:v>CLASIFICAREA RISCULUI</x:v>
      </x:c>
      <x:c r="B1" s="172"/>
      <x:c r="C1" s="172"/>
      <x:c r="D1" s="172"/>
      <x:c r="E1" s="172"/>
      <x:c r="F1" s="172"/>
    </x:row>
    <x:row r="2" ht="23" customHeight="1">
      <x:c r="A2" s="172"/>
      <x:c r="B2" s="172"/>
      <x:c r="C2" s="172"/>
      <x:c r="D2" s="172"/>
      <x:c r="E2" s="172"/>
      <x:c r="F2" s="172"/>
    </x:row>
    <x:row r="3" ht="23" customHeight="1">
      <x:c r="A3" s="174" t="str">
        <x:v>Selectorul Multi-Line deține calculul. Prețul are pondere zero în orice verdict tehnic.</x:v>
      </x:c>
      <x:c r="B3" s="172"/>
      <x:c r="C3" s="172"/>
      <x:c r="D3" s="172"/>
      <x:c r="E3" s="172"/>
      <x:c r="F3" s="172"/>
    </x:row>
    <x:row r="4" ht="36" customHeight="1">
      <x:c r="A4" s="181" t="str">
        <x:v>Scor</x:v>
      </x:c>
      <x:c r="B4" s="181" t="str">
        <x:v>Nivel</x:v>
      </x:c>
      <x:c r="C4" s="181" t="str">
        <x:v>Interpretare</x:v>
      </x:c>
      <x:c r="D4" s="172"/>
      <x:c r="E4" s="172"/>
      <x:c r="F4" s="172"/>
    </x:row>
    <x:row r="5" ht="23" customHeight="1">
      <x:c r="A5" s="172" t="str">
        <x:v>0–20</x:v>
      </x:c>
      <x:c r="B5" s="172" t="n">
        <x:v>1</x:v>
      </x:c>
      <x:c r="C5" s="172" t="str">
        <x:v>DEFENSIV posibil</x:v>
      </x:c>
      <x:c r="D5" s="172"/>
      <x:c r="E5" s="172"/>
      <x:c r="F5" s="172"/>
    </x:row>
    <x:row r="6" ht="23" customHeight="1">
      <x:c r="A6" s="172" t="str">
        <x:v>&gt;20–40</x:v>
      </x:c>
      <x:c r="B6" s="172" t="n">
        <x:v>2</x:v>
      </x:c>
      <x:c r="C6" s="172" t="str">
        <x:v>PRUDENT posibil</x:v>
      </x:c>
      <x:c r="D6" s="172"/>
      <x:c r="E6" s="172"/>
      <x:c r="F6" s="172"/>
    </x:row>
    <x:row r="7" ht="23" customHeight="1">
      <x:c r="A7" s="172" t="str">
        <x:v>&gt;40–60</x:v>
      </x:c>
      <x:c r="B7" s="172" t="n">
        <x:v>3</x:v>
      </x:c>
      <x:c r="C7" s="172" t="str">
        <x:v>MODERAT</x:v>
      </x:c>
      <x:c r="D7" s="172"/>
      <x:c r="E7" s="172"/>
      <x:c r="F7" s="172"/>
    </x:row>
    <x:row r="8" ht="23" customHeight="1">
      <x:c r="A8" s="172" t="str">
        <x:v>&gt;60–80</x:v>
      </x:c>
      <x:c r="B8" s="172" t="n">
        <x:v>4</x:v>
      </x:c>
      <x:c r="C8" s="172" t="str">
        <x:v>RIDICAT</x:v>
      </x:c>
      <x:c r="D8" s="172"/>
      <x:c r="E8" s="172"/>
      <x:c r="F8" s="172"/>
    </x:row>
    <x:row r="9" ht="23" customHeight="1">
      <x:c r="A9" s="172" t="str">
        <x:v>&gt;80 sau hard fail</x:v>
      </x:c>
      <x:c r="B9" s="172" t="n">
        <x:v>5</x:v>
      </x:c>
      <x:c r="C9" s="172" t="str">
        <x:v>NO BET</x:v>
      </x:c>
      <x:c r="D9" s="172"/>
      <x:c r="E9" s="172"/>
      <x:c r="F9" s="172"/>
    </x:row>
    <x:row r="10" ht="23" customHeight="1">
      <x:c r="A10" s="172"/>
      <x:c r="B10" s="172"/>
      <x:c r="C10" s="172"/>
      <x:c r="D10" s="172"/>
      <x:c r="E10" s="172"/>
      <x:c r="F10" s="172"/>
    </x:row>
    <x:row r="11" ht="23" customHeight="1">
      <x:c r="A11" s="172"/>
      <x:c r="B11" s="172"/>
      <x:c r="C11" s="172"/>
      <x:c r="D11" s="172"/>
      <x:c r="E11" s="172"/>
      <x:c r="F11" s="172"/>
    </x:row>
    <x:row r="12" ht="36" customHeight="1">
      <x:c r="A12" s="181" t="str">
        <x:v>Linie</x:v>
      </x:c>
      <x:c r="B12" s="181" t="str">
        <x:v>Floor</x:v>
      </x:c>
      <x:c r="C12" s="181" t="str">
        <x:v>Risk Level</x:v>
      </x:c>
      <x:c r="D12" s="181" t="str">
        <x:v>Verdict</x:v>
      </x:c>
      <x:c r="E12" s="172"/>
      <x:c r="F12" s="172"/>
    </x:row>
    <x:row r="13" ht="23" customHeight="1">
      <x:c r="A13" s="172" t="str">
        <x:f>Under_MultiLine_v9!A5</x:f>
        <x:v>U3.5</x:v>
      </x:c>
      <x:c r="B13" s="172" t="n">
        <x:f>Under_LineCal_v9!J5</x:f>
        <x:v>2</x:v>
      </x:c>
      <x:c r="C13" s="172" t="str">
        <x:f>IF(Under_MultiLine_v9!N5="","",Under_MultiLine_v9!N5)</x:f>
      </x:c>
      <x:c r="D13" s="172" t="str">
        <x:f>Under_MultiLine_v9!P5</x:f>
        <x:v>NEELIBERAT</x:v>
      </x:c>
      <x:c r="E13" s="172"/>
      <x:c r="F13" s="172"/>
    </x:row>
    <x:row r="14" ht="23" customHeight="1">
      <x:c r="A14" s="172" t="str">
        <x:f>Under_MultiLine_v9!A6</x:f>
        <x:v>U4.5</x:v>
      </x:c>
      <x:c r="B14" s="172" t="n">
        <x:f>Under_LineCal_v9!J6</x:f>
        <x:v>1</x:v>
      </x:c>
      <x:c r="C14" s="172" t="str">
        <x:f>IF(Under_MultiLine_v9!N6="","",Under_MultiLine_v9!N6)</x:f>
      </x:c>
      <x:c r="D14" s="172" t="str">
        <x:f>Under_MultiLine_v9!P6</x:f>
        <x:v>NEELIBERAT</x:v>
      </x:c>
      <x:c r="E14" s="172"/>
      <x:c r="F14" s="172"/>
    </x:row>
    <x:row r="15" ht="23" customHeight="1">
      <x:c r="A15" s="172" t="str">
        <x:f>Under_MultiLine_v9!A7</x:f>
        <x:v>U5.5</x:v>
      </x:c>
      <x:c r="B15" s="172" t="n">
        <x:f>Under_LineCal_v9!J7</x:f>
        <x:v>1</x:v>
      </x:c>
      <x:c r="C15" s="172" t="str">
        <x:f>IF(Under_MultiLine_v9!N7="","",Under_MultiLine_v9!N7)</x:f>
      </x:c>
      <x:c r="D15" s="172" t="str">
        <x:f>Under_MultiLine_v9!P7</x:f>
        <x:v>NEELIBERAT</x:v>
      </x:c>
      <x:c r="E15" s="172"/>
      <x:c r="F15" s="172"/>
    </x:row>
    <x:row r="16" ht="23" customHeight="1">
      <x:c r="A16" s="172"/>
      <x:c r="B16" s="172"/>
      <x:c r="C16" s="172"/>
      <x:c r="D16" s="172"/>
      <x:c r="E16" s="172"/>
      <x:c r="F16" s="172"/>
    </x:row>
    <x:row r="17" ht="23" customHeight="1">
      <x:c r="A17" s="172"/>
      <x:c r="B17" s="172"/>
      <x:c r="C17" s="172"/>
      <x:c r="D17" s="172"/>
      <x:c r="E17" s="172"/>
      <x:c r="F17" s="172"/>
    </x:row>
    <x:row r="18" ht="23" customHeight="1">
      <x:c r="A18" s="172"/>
      <x:c r="B18" s="172"/>
      <x:c r="C18" s="172"/>
      <x:c r="D18" s="172"/>
      <x:c r="E18" s="172"/>
      <x:c r="F18" s="172"/>
    </x:row>
    <x:row r="19" ht="23" customHeight="1">
      <x:c r="A19" s="172"/>
      <x:c r="B19" s="172"/>
      <x:c r="C19" s="172"/>
      <x:c r="D19" s="172"/>
      <x:c r="E19" s="172"/>
      <x:c r="F19" s="172"/>
    </x:row>
    <x:row r="20" ht="23" customHeight="1">
      <x:c r="A20" s="172" t="str">
        <x:v>Pondere Market / Price</x:v>
      </x:c>
      <x:c r="B20" s="172" t="n">
        <x:v>0</x:v>
      </x:c>
      <x:c r="C20" s="172" t="str">
        <x:v>Exclus tehnic</x:v>
      </x:c>
      <x:c r="D20" s="172"/>
      <x:c r="E20" s="172"/>
      <x:c r="F20" s="172"/>
    </x:row>
    <x:row r="21" ht="23" customHeight="1">
      <x:c r="A21" s="172" t="str">
        <x:v>Pondere EV</x:v>
      </x:c>
      <x:c r="B21" s="172" t="n">
        <x:v>0</x:v>
      </x:c>
      <x:c r="C21" s="172" t="str">
        <x:v>Exclus tehnic</x:v>
      </x:c>
      <x:c r="D21" s="172"/>
      <x:c r="E21" s="172"/>
      <x:c r="F21" s="172"/>
    </x:row>
    <x:row r="22" ht="23" customHeight="1">
      <x:c r="A22" s="172"/>
      <x:c r="B22" s="172"/>
      <x:c r="C22" s="172"/>
      <x:c r="D22" s="172"/>
      <x:c r="E22" s="172"/>
      <x:c r="F22" s="172"/>
    </x:row>
    <x:row r="23" ht="23" customHeight="1">
      <x:c r="A23" s="172"/>
      <x:c r="B23" s="172"/>
      <x:c r="C23" s="172"/>
      <x:c r="D23" s="172"/>
      <x:c r="E23" s="172"/>
      <x:c r="F23" s="172"/>
    </x:row>
    <x:row r="24" ht="23" customHeight="1">
      <x:c r="A24" s="172"/>
      <x:c r="B24" s="172"/>
      <x:c r="C24" s="172"/>
      <x:c r="D24" s="172"/>
      <x:c r="E24" s="172"/>
      <x:c r="F24" s="172"/>
    </x:row>
    <x:row r="25" ht="23" customHeight="1">
      <x:c r="A25" s="172"/>
      <x:c r="B25" s="172"/>
      <x:c r="C25" s="172"/>
      <x:c r="D25" s="172"/>
      <x:c r="E25" s="172"/>
      <x:c r="F25" s="172"/>
    </x:row>
    <x:row r="26" ht="23" customHeight="1">
      <x:c r="A26" s="172"/>
      <x:c r="B26" s="172"/>
      <x:c r="C26" s="172"/>
      <x:c r="D26" s="172"/>
      <x:c r="E26" s="172"/>
      <x:c r="F26" s="172"/>
    </x:row>
    <x:row r="27" ht="23" customHeight="1">
      <x:c r="A27" s="172"/>
      <x:c r="B27" s="172"/>
      <x:c r="C27" s="172"/>
      <x:c r="D27" s="172"/>
      <x:c r="E27" s="172"/>
      <x:c r="F27" s="172"/>
    </x:row>
    <x:row r="28" ht="23" customHeight="1">
      <x:c r="A28" s="172"/>
      <x:c r="B28" s="172"/>
      <x:c r="C28" s="172"/>
      <x:c r="D28" s="172"/>
      <x:c r="E28" s="172"/>
      <x:c r="F28" s="172"/>
    </x:row>
    <x:row r="29" ht="23" customHeight="1">
      <x:c r="A29" s="172"/>
      <x:c r="B29" s="172"/>
      <x:c r="C29" s="172"/>
      <x:c r="D29" s="172"/>
      <x:c r="E29" s="172"/>
      <x:c r="F29" s="172"/>
    </x:row>
    <x:row r="30" ht="23" customHeight="1">
      <x:c r="A30" s="172"/>
      <x:c r="B30" s="172"/>
      <x:c r="C30" s="172"/>
      <x:c r="D30" s="172"/>
      <x:c r="E30" s="172"/>
      <x:c r="F30" s="172"/>
    </x:row>
    <x:row r="31" ht="23" customHeight="1">
      <x:c r="A31" s="172"/>
      <x:c r="B31" s="172"/>
      <x:c r="C31" s="172"/>
      <x:c r="D31" s="172"/>
      <x:c r="E31" s="172"/>
      <x:c r="F31" s="172"/>
    </x:row>
    <x:row r="32" ht="23" customHeight="1">
      <x:c r="A32" s="172"/>
      <x:c r="B32" s="172"/>
      <x:c r="C32" s="172"/>
      <x:c r="D32" s="172"/>
      <x:c r="E32" s="172"/>
      <x:c r="F32" s="172"/>
    </x:row>
    <x:row r="33" ht="23" customHeight="1">
      <x:c r="A33" s="172"/>
      <x:c r="B33" s="172"/>
      <x:c r="C33" s="172"/>
      <x:c r="D33" s="172"/>
      <x:c r="E33" s="172"/>
      <x:c r="F33" s="172"/>
    </x:row>
    <x:row r="34" ht="23" customHeight="1">
      <x:c r="A34" s="172"/>
      <x:c r="B34" s="172"/>
      <x:c r="C34" s="172"/>
      <x:c r="D34" s="172"/>
      <x:c r="E34" s="172"/>
      <x:c r="F34" s="172"/>
    </x:row>
    <x:row r="35" ht="23" customHeight="1">
      <x:c r="A35" s="172"/>
      <x:c r="B35" s="172"/>
      <x:c r="C35" s="172"/>
      <x:c r="D35" s="172"/>
      <x:c r="E35" s="172"/>
      <x:c r="F35" s="172"/>
    </x:row>
    <x:row r="36" ht="23" customHeight="1">
      <x:c r="A36" s="172" t="str">
        <x:v>Risk Score U4,5</x:v>
      </x:c>
      <x:c r="B36" s="172" t="str">
        <x:f>IF(Under_MultiLine_v9!M6="","",Under_MultiLine_v9!M6)</x:f>
      </x:c>
      <x:c r="C36" s="172"/>
      <x:c r="D36" s="172"/>
      <x:c r="E36" s="172"/>
      <x:c r="F36" s="172"/>
    </x:row>
    <x:row r="37" ht="23" customHeight="1">
      <x:c r="A37" s="172" t="str">
        <x:v>Risk Level U4,5</x:v>
      </x:c>
      <x:c r="B37" s="172" t="str">
        <x:f>IF(Under_MultiLine_v9!N6="","",Under_MultiLine_v9!N6)</x:f>
      </x:c>
      <x:c r="C37" s="172"/>
      <x:c r="D37" s="172"/>
      <x:c r="E37" s="172"/>
      <x:c r="F37" s="172"/>
    </x:row>
    <x:row r="38" ht="23" customHeight="1">
      <x:c r="A38" s="172" t="str">
        <x:v>G0 U4,5</x:v>
      </x:c>
      <x:c r="B38" s="172" t="str">
        <x:f>IF(Under_MultiLine_v9!U6="","",Under_MultiLine_v9!U6)</x:f>
        <x:v>INCOMPLETE</x:v>
      </x:c>
      <x:c r="C38" s="172"/>
      <x:c r="D38" s="172"/>
      <x:c r="E38" s="172"/>
      <x:c r="F38" s="172"/>
    </x:row>
    <x:row r="39" ht="23" customHeight="1">
      <x:c r="A39" s="172" t="str">
        <x:v>Nivel final U4,5</x:v>
      </x:c>
      <x:c r="B39" s="172" t="str">
        <x:f>IF(Under_MultiLine_v9!N6="","",Under_MultiLine_v9!N6)</x:f>
      </x:c>
      <x:c r="C39" s="172"/>
      <x:c r="D39" s="172"/>
      <x:c r="E39" s="172"/>
      <x:c r="F39" s="172"/>
    </x:row>
    <x:row r="40" ht="23" customHeight="1">
      <x:c r="A40" s="172" t="str">
        <x:v>Verdict final U4,5</x:v>
      </x:c>
      <x:c r="B40" s="172" t="str">
        <x:f>IF(Under_MultiLine_v9!P6="","",Under_MultiLine_v9!P6)</x:f>
        <x:v>NEELIBERAT</x:v>
      </x:c>
      <x:c r="C40" s="172"/>
      <x:c r="D40" s="172"/>
      <x:c r="E40" s="172"/>
      <x:c r="F40" s="172"/>
    </x:row>
    <x:row r="41" ht="23" customHeight="1">
      <x:c r="A41" s="172"/>
      <x:c r="B41" s="172"/>
      <x:c r="C41" s="172"/>
      <x:c r="D41" s="172"/>
      <x:c r="E41" s="172"/>
      <x:c r="F41" s="172"/>
    </x:row>
    <x:row r="42" ht="23" customHeight="1">
      <x:c r="A42" s="172"/>
      <x:c r="B42" s="172"/>
      <x:c r="C42" s="172"/>
      <x:c r="D42" s="172"/>
      <x:c r="E42" s="172"/>
      <x:c r="F42" s="172"/>
    </x:row>
    <x:row r="43" ht="23" customHeight="1">
      <x:c r="A43" s="172"/>
      <x:c r="B43" s="172"/>
      <x:c r="C43" s="172"/>
      <x:c r="D43" s="172"/>
      <x:c r="E43" s="172"/>
      <x:c r="F43" s="172"/>
    </x:row>
    <x:row r="44" ht="23" customHeight="1">
      <x:c r="A44" s="172"/>
      <x:c r="B44" s="172"/>
      <x:c r="C44" s="172"/>
      <x:c r="D44" s="172"/>
      <x:c r="E44" s="172"/>
      <x:c r="F44" s="172"/>
    </x:row>
    <x:row r="45" ht="23" customHeight="1">
      <x:c r="A45" s="172"/>
      <x:c r="B45" s="172"/>
      <x:c r="C45" s="172"/>
      <x:c r="D45" s="172"/>
      <x:c r="E45" s="172"/>
      <x:c r="F45" s="172"/>
    </x:row>
    <x:row r="46" ht="23" customHeight="1">
      <x:c r="A46" s="172"/>
      <x:c r="B46" s="172"/>
      <x:c r="C46" s="172"/>
      <x:c r="D46" s="172"/>
      <x:c r="E46" s="172"/>
      <x:c r="F46" s="172"/>
    </x:row>
    <x:row r="47" ht="23" customHeight="1">
      <x:c r="A47" s="172"/>
      <x:c r="B47" s="172"/>
      <x:c r="C47" s="172"/>
      <x:c r="D47" s="172"/>
      <x:c r="E47" s="172"/>
      <x:c r="F47" s="172"/>
    </x:row>
    <x:row r="48" ht="23" customHeight="1">
      <x:c r="A48" s="172"/>
      <x:c r="B48" s="172"/>
      <x:c r="C48" s="172"/>
      <x:c r="D48" s="172"/>
      <x:c r="E48" s="172"/>
      <x:c r="F48" s="172"/>
    </x:row>
    <x:row r="49" ht="23" customHeight="1">
      <x:c r="A49" s="172"/>
      <x:c r="B49" s="172"/>
      <x:c r="C49" s="172"/>
      <x:c r="D49" s="172"/>
      <x:c r="E49" s="172"/>
      <x:c r="F49" s="172"/>
    </x:row>
    <x:row r="50" ht="23" customHeight="1">
      <x:c r="A50" s="172"/>
      <x:c r="B50" s="172"/>
      <x:c r="C50" s="172"/>
      <x:c r="D50" s="172"/>
      <x:c r="E50" s="172"/>
      <x:c r="F50" s="172"/>
    </x:row>
    <x:row r="51" ht="23" customHeight="1">
      <x:c r="A51" s="172"/>
      <x:c r="B51" s="172"/>
      <x:c r="C51" s="172"/>
      <x:c r="D51" s="172"/>
      <x:c r="E51" s="172"/>
      <x:c r="F51" s="172"/>
    </x:row>
    <x:row r="52" ht="23" customHeight="1">
      <x:c r="A52" s="172"/>
      <x:c r="B52" s="172"/>
      <x:c r="C52" s="172"/>
      <x:c r="D52" s="172"/>
      <x:c r="E52" s="172"/>
      <x:c r="F52" s="172"/>
    </x:row>
    <x:row r="53" ht="23" customHeight="1">
      <x:c r="A53" s="172"/>
      <x:c r="B53" s="172"/>
      <x:c r="C53" s="172"/>
      <x:c r="D53" s="172"/>
      <x:c r="E53" s="172"/>
      <x:c r="F53" s="172"/>
    </x:row>
    <x:row r="54" ht="23" customHeight="1">
      <x:c r="A54" s="172"/>
      <x:c r="B54" s="172"/>
      <x:c r="C54" s="172"/>
      <x:c r="D54" s="172"/>
      <x:c r="E54" s="172"/>
      <x:c r="F54" s="172"/>
    </x:row>
    <x:row r="55" ht="23" customHeight="1">
      <x:c r="A55" s="172"/>
      <x:c r="B55" s="172"/>
      <x:c r="C55" s="172"/>
      <x:c r="D55" s="172"/>
      <x:c r="E55" s="172"/>
      <x:c r="F55" s="172"/>
    </x:row>
    <x:row r="56" ht="23" customHeight="1">
      <x:c r="A56" s="172"/>
      <x:c r="B56" s="172"/>
      <x:c r="C56" s="172"/>
      <x:c r="D56" s="172"/>
      <x:c r="E56" s="172"/>
      <x:c r="F56" s="172"/>
    </x:row>
    <x:row r="57" ht="23" customHeight="1">
      <x:c r="A57" s="172"/>
      <x:c r="B57" s="172"/>
      <x:c r="C57" s="172"/>
      <x:c r="D57" s="172"/>
      <x:c r="E57" s="172"/>
      <x:c r="F57" s="172"/>
    </x:row>
    <x:row r="58" ht="23" customHeight="1">
      <x:c r="A58" s="172"/>
      <x:c r="B58" s="172"/>
      <x:c r="C58" s="172"/>
      <x:c r="D58" s="172"/>
      <x:c r="E58" s="172"/>
      <x:c r="F58" s="172"/>
    </x:row>
    <x:row r="59" ht="23" customHeight="1">
      <x:c r="A59" s="172"/>
      <x:c r="B59" s="172"/>
      <x:c r="C59" s="172"/>
      <x:c r="D59" s="172"/>
      <x:c r="E59" s="172"/>
      <x:c r="F59" s="172"/>
    </x:row>
    <x:row r="60" ht="23" customHeight="1">
      <x:c r="A60" s="172"/>
      <x:c r="B60" s="172"/>
      <x:c r="C60" s="172"/>
      <x:c r="D60" s="172"/>
      <x:c r="E60" s="172"/>
      <x:c r="F60" s="172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Pr>
    <x:tabColor rgb="FF117E80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  <x:col min="10" max="10" width="35" hidden="0" customWidth="1"/>
    <x:col min="11" max="11" width="21" hidden="0" customWidth="1"/>
    <x:col min="12" max="12" width="21" hidden="0" customWidth="1"/>
    <x:col min="13" max="13" width="21" hidden="0" customWidth="1"/>
    <x:col min="14" max="14" width="21" hidden="0" customWidth="1"/>
    <x:col min="15" max="15" width="21" hidden="0" customWidth="1"/>
    <x:col min="16" max="16" width="40" hidden="0" customWidth="1"/>
    <x:col min="17" max="17" width="21" hidden="0" customWidth="1"/>
    <x:col min="18" max="18" width="21" hidden="0" customWidth="1"/>
    <x:col min="19" max="19" width="21" hidden="0" customWidth="1"/>
    <x:col min="20" max="20" width="21" hidden="0" customWidth="1"/>
    <x:col min="21" max="21" width="21" hidden="0" customWidth="1"/>
    <x:col min="22" max="22" width="21" hidden="0" customWidth="1"/>
    <x:col min="23" max="23" width="21" hidden="0" customWidth="1"/>
    <x:col min="24" max="24" width="21" hidden="0" customWidth="1"/>
    <x:col min="25" max="25" width="21" hidden="0" customWidth="1"/>
    <x:col min="26" max="26" width="70" hidden="0" customWidth="1"/>
    <x:col min="27" max="27" width="15" hidden="0" customWidth="1"/>
    <x:col min="28" max="28" width="15" hidden="0" customWidth="1"/>
    <x:col min="29" max="29" width="15" hidden="0" customWidth="1"/>
    <x:col min="30" max="30" width="15" hidden="0" customWidth="1"/>
    <x:col min="31" max="31" width="15" hidden="0" customWidth="1"/>
    <x:col min="32" max="32" width="15" hidden="0" customWidth="1"/>
    <x:col min="33" max="33" width="15" hidden="0" customWidth="1"/>
    <x:col min="34" max="34" width="15" hidden="0" customWidth="1"/>
    <x:col min="35" max="35" width="15" hidden="0" customWidth="1"/>
    <x:col min="36" max="36" width="15" hidden="0" customWidth="1"/>
    <x:col min="37" max="37" width="15" hidden="0" customWidth="1"/>
    <x:col min="38" max="38" width="15" hidden="0" customWidth="1"/>
    <x:col min="39" max="39" width="15" hidden="0" customWidth="1"/>
    <x:col min="40" max="40" width="15" hidden="0" customWidth="1"/>
    <x:col min="41" max="41" width="15" hidden="0" customWidth="1"/>
    <x:col min="42" max="42" width="15" hidden="0" customWidth="1"/>
    <x:col min="43" max="43" width="15" hidden="0" customWidth="1"/>
    <x:col min="44" max="44" width="15" hidden="0" customWidth="1"/>
    <x:col min="45" max="45" width="15" hidden="0" customWidth="1"/>
    <x:col min="46" max="46" width="15" hidden="0" customWidth="1"/>
    <x:col min="47" max="47" width="15" hidden="0" customWidth="1"/>
    <x:col min="48" max="48" width="15" hidden="0" customWidth="1"/>
    <x:col min="49" max="49" width="15" hidden="0" customWidth="1"/>
    <x:col min="50" max="50" width="15" hidden="0" customWidth="1"/>
    <x:col min="51" max="51" width="15" hidden="0" customWidth="1"/>
    <x:col min="52" max="52" width="15" hidden="0" customWidth="1"/>
  </x:cols>
  <x:sheetData>
    <x:row r="1" ht="23" customHeight="1">
      <x:c r="A1" s="173" t="str">
        <x:v>PREDICȚII ÎNGHEȚATE ÎNAINTE DE MECI</x:v>
      </x:c>
      <x:c r="B1" s="172"/>
      <x:c r="C1" s="172"/>
      <x:c r="D1" s="172"/>
      <x:c r="E1" s="172"/>
      <x:c r="F1" s="172"/>
      <x:c r="G1" s="172"/>
      <x:c r="H1" s="172"/>
      <x:c r="I1" s="172"/>
      <x:c r="J1" s="172"/>
      <x:c r="K1" s="172"/>
      <x:c r="L1" s="172"/>
      <x:c r="M1" s="172"/>
      <x:c r="N1" s="172"/>
      <x:c r="O1" s="172"/>
      <x:c r="P1" s="172"/>
      <x:c r="Q1" s="172"/>
      <x:c r="R1" s="172"/>
      <x:c r="S1" s="172"/>
      <x:c r="T1" s="172"/>
      <x:c r="U1" s="172"/>
      <x:c r="V1" s="172"/>
      <x:c r="W1" s="172"/>
      <x:c r="X1" s="172"/>
      <x:c r="Y1" s="172"/>
      <x:c r="Z1" s="172"/>
      <x:c r="AA1" s="172"/>
      <x:c r="AB1" s="172"/>
      <x:c r="AC1" s="172"/>
      <x:c r="AD1" s="172"/>
      <x:c r="AE1" s="172"/>
      <x:c r="AF1" s="172"/>
      <x:c r="AG1" s="172"/>
      <x:c r="AH1" s="172"/>
      <x:c r="AI1" s="172"/>
      <x:c r="AJ1" s="172"/>
      <x:c r="AK1" s="172"/>
      <x:c r="AL1" s="172"/>
      <x:c r="AM1" s="172"/>
      <x:c r="AN1" s="172"/>
      <x:c r="AO1" s="172"/>
      <x:c r="AP1" s="172"/>
      <x:c r="AQ1" s="172"/>
      <x:c r="AR1" s="172"/>
      <x:c r="AS1" s="172"/>
      <x:c r="AT1" s="172"/>
      <x:c r="AU1" s="172"/>
      <x:c r="AV1" s="172"/>
      <x:c r="AW1" s="172"/>
      <x:c r="AX1" s="172"/>
      <x:c r="AY1" s="172"/>
      <x:c r="AZ1" s="172"/>
    </x:row>
    <x:row r="2" ht="23" customHeight="1">
      <x:c r="A2" s="172"/>
      <x:c r="B2" s="172"/>
      <x:c r="C2" s="172"/>
      <x:c r="D2" s="172"/>
      <x:c r="E2" s="172"/>
      <x:c r="F2" s="172"/>
      <x:c r="G2" s="172"/>
      <x:c r="H2" s="172"/>
      <x:c r="I2" s="172"/>
      <x:c r="J2" s="172"/>
      <x:c r="K2" s="172"/>
      <x:c r="L2" s="172"/>
      <x:c r="M2" s="172"/>
      <x:c r="N2" s="172"/>
      <x:c r="O2" s="172"/>
      <x:c r="P2" s="172"/>
      <x:c r="Q2" s="172"/>
      <x:c r="R2" s="172"/>
      <x:c r="S2" s="172"/>
      <x:c r="T2" s="172"/>
      <x:c r="U2" s="172"/>
      <x:c r="V2" s="172"/>
      <x:c r="W2" s="172"/>
      <x:c r="X2" s="172"/>
      <x:c r="Y2" s="172"/>
      <x:c r="Z2" s="172"/>
      <x:c r="AA2" s="172"/>
      <x:c r="AB2" s="172"/>
      <x:c r="AC2" s="172"/>
      <x:c r="AD2" s="172"/>
      <x:c r="AE2" s="172"/>
      <x:c r="AF2" s="172"/>
      <x:c r="AG2" s="172"/>
      <x:c r="AH2" s="172"/>
      <x:c r="AI2" s="172"/>
      <x:c r="AJ2" s="172"/>
      <x:c r="AK2" s="172"/>
      <x:c r="AL2" s="172"/>
      <x:c r="AM2" s="172"/>
      <x:c r="AN2" s="172"/>
      <x:c r="AO2" s="172"/>
      <x:c r="AP2" s="172"/>
      <x:c r="AQ2" s="172"/>
      <x:c r="AR2" s="172"/>
      <x:c r="AS2" s="172"/>
      <x:c r="AT2" s="172"/>
      <x:c r="AU2" s="172"/>
      <x:c r="AV2" s="172"/>
      <x:c r="AW2" s="172"/>
      <x:c r="AX2" s="172"/>
      <x:c r="AY2" s="172"/>
      <x:c r="AZ2" s="172"/>
    </x:row>
    <x:row r="3" ht="36" customHeight="1">
      <x:c r="A3" s="181" t="str">
        <x:v>Snapshot_ID</x:v>
      </x:c>
      <x:c r="B3" s="181" t="str">
        <x:v>Snapshot_TS</x:v>
      </x:c>
      <x:c r="C3" s="181" t="str">
        <x:v>Kickoff</x:v>
      </x:c>
      <x:c r="D3" s="181" t="str">
        <x:v>Country</x:v>
      </x:c>
      <x:c r="E3" s="181" t="str">
        <x:v>League</x:v>
      </x:c>
      <x:c r="F3" s="181" t="str">
        <x:v>Home</x:v>
      </x:c>
      <x:c r="G3" s="181" t="str">
        <x:v>Away</x:v>
      </x:c>
      <x:c r="H3" s="181" t="str">
        <x:v>Market</x:v>
      </x:c>
      <x:c r="I3" s="181" t="str">
        <x:v>Line</x:v>
      </x:c>
      <x:c r="J3" s="181" t="str">
        <x:v>Methodology</x:v>
      </x:c>
      <x:c r="K3" s="181" t="str">
        <x:v>P_Raw</x:v>
      </x:c>
      <x:c r="L3" s="181" t="str">
        <x:v>P_Adjusted</x:v>
      </x:c>
      <x:c r="M3" s="181" t="str">
        <x:v>Verdict</x:v>
      </x:c>
      <x:c r="N3" s="181" t="str">
        <x:v>Risk_Level</x:v>
      </x:c>
      <x:c r="O3" s="181" t="str">
        <x:v>G0</x:v>
      </x:c>
      <x:c r="P3" s="181" t="str">
        <x:v>Data_Status</x:v>
      </x:c>
      <x:c r="Q3" s="181" t="str">
        <x:v>PreMatch_Frozen</x:v>
      </x:c>
      <x:c r="R3" s="181" t="str">
        <x:v>Near_Tail</x:v>
      </x:c>
      <x:c r="S3" s="181" t="str">
        <x:v>Severe_Tail</x:v>
      </x:c>
      <x:c r="T3" s="181" t="str">
        <x:v>Failure_Raw</x:v>
      </x:c>
      <x:c r="U3" s="181" t="str">
        <x:v>Confidence</x:v>
      </x:c>
      <x:c r="V3" s="181" t="str">
        <x:v>Release</x:v>
      </x:c>
      <x:c r="W3" s="181" t="str">
        <x:v>Lambda_H</x:v>
      </x:c>
      <x:c r="X3" s="181" t="str">
        <x:v>Lambda_A</x:v>
      </x:c>
      <x:c r="Y3" s="181" t="str">
        <x:v>Odds_Optional</x:v>
      </x:c>
      <x:c r="Z3" s="181" t="str">
        <x:v>Notes</x:v>
      </x:c>
      <x:c r="AA3" s="172"/>
      <x:c r="AB3" s="172"/>
      <x:c r="AC3" s="172"/>
      <x:c r="AD3" s="172"/>
      <x:c r="AE3" s="172"/>
      <x:c r="AF3" s="172"/>
      <x:c r="AG3" s="172"/>
      <x:c r="AH3" s="172"/>
      <x:c r="AI3" s="172"/>
      <x:c r="AJ3" s="172"/>
      <x:c r="AK3" s="172"/>
      <x:c r="AL3" s="172"/>
      <x:c r="AM3" s="172"/>
      <x:c r="AN3" s="172"/>
      <x:c r="AO3" s="172"/>
      <x:c r="AP3" s="172"/>
      <x:c r="AQ3" s="172"/>
      <x:c r="AR3" s="172"/>
      <x:c r="AS3" s="172"/>
      <x:c r="AT3" s="172"/>
      <x:c r="AU3" s="172"/>
      <x:c r="AV3" s="172"/>
      <x:c r="AW3" s="172"/>
      <x:c r="AX3" s="172"/>
      <x:c r="AY3" s="172"/>
      <x:c r="AZ3" s="172"/>
    </x:row>
    <x:row r="4" ht="23" customHeight="1">
      <x:c r="A4" s="175"/>
      <x:c r="B4" s="177"/>
      <x:c r="C4" s="177"/>
      <x:c r="D4" s="175"/>
      <x:c r="E4" s="175"/>
      <x:c r="F4" s="175"/>
      <x:c r="G4" s="175"/>
      <x:c r="H4" s="175"/>
      <x:c r="I4" s="175"/>
      <x:c r="J4" s="175"/>
      <x:c r="K4" s="212"/>
      <x:c r="L4" s="212"/>
      <x:c r="M4" s="175"/>
      <x:c r="N4" s="175"/>
      <x:c r="O4" s="175"/>
      <x:c r="P4" s="175"/>
      <x:c r="Q4" s="175"/>
      <x:c r="R4" s="212"/>
      <x:c r="S4" s="212"/>
      <x:c r="T4" s="212"/>
      <x:c r="U4" s="175"/>
      <x:c r="V4" s="175"/>
      <x:c r="W4" s="175"/>
      <x:c r="X4" s="175"/>
      <x:c r="Y4" s="175"/>
      <x:c r="Z4" s="175"/>
      <x:c r="AA4" s="172"/>
      <x:c r="AB4" s="172"/>
      <x:c r="AC4" s="172"/>
      <x:c r="AD4" s="172"/>
      <x:c r="AE4" s="172"/>
      <x:c r="AF4" s="172"/>
      <x:c r="AG4" s="172"/>
      <x:c r="AH4" s="172"/>
      <x:c r="AI4" s="172"/>
      <x:c r="AJ4" s="172"/>
      <x:c r="AK4" s="172"/>
      <x:c r="AL4" s="172"/>
      <x:c r="AM4" s="172"/>
      <x:c r="AN4" s="172"/>
      <x:c r="AO4" s="172"/>
      <x:c r="AP4" s="172"/>
      <x:c r="AQ4" s="172"/>
      <x:c r="AR4" s="172"/>
      <x:c r="AS4" s="172"/>
      <x:c r="AT4" s="172"/>
      <x:c r="AU4" s="172"/>
      <x:c r="AV4" s="172"/>
      <x:c r="AW4" s="172"/>
      <x:c r="AX4" s="172"/>
      <x:c r="AY4" s="172"/>
      <x:c r="AZ4" s="172"/>
    </x:row>
    <x:row r="5" ht="23" customHeight="1">
      <x:c r="A5" s="175"/>
      <x:c r="B5" s="177"/>
      <x:c r="C5" s="177"/>
      <x:c r="D5" s="175"/>
      <x:c r="E5" s="175"/>
      <x:c r="F5" s="175"/>
      <x:c r="G5" s="175"/>
      <x:c r="H5" s="175"/>
      <x:c r="I5" s="175"/>
      <x:c r="J5" s="175"/>
      <x:c r="K5" s="212"/>
      <x:c r="L5" s="212"/>
      <x:c r="M5" s="175"/>
      <x:c r="N5" s="175"/>
      <x:c r="O5" s="175"/>
      <x:c r="P5" s="175"/>
      <x:c r="Q5" s="175"/>
      <x:c r="R5" s="212"/>
      <x:c r="S5" s="212"/>
      <x:c r="T5" s="212"/>
      <x:c r="U5" s="175"/>
      <x:c r="V5" s="175"/>
      <x:c r="W5" s="175"/>
      <x:c r="X5" s="175"/>
      <x:c r="Y5" s="175"/>
      <x:c r="Z5" s="175"/>
      <x:c r="AA5" s="172"/>
      <x:c r="AB5" s="172"/>
      <x:c r="AC5" s="172"/>
      <x:c r="AD5" s="172"/>
      <x:c r="AE5" s="172"/>
      <x:c r="AF5" s="172"/>
      <x:c r="AG5" s="172"/>
      <x:c r="AH5" s="172"/>
      <x:c r="AI5" s="172"/>
      <x:c r="AJ5" s="172"/>
      <x:c r="AK5" s="172"/>
      <x:c r="AL5" s="172"/>
      <x:c r="AM5" s="172"/>
      <x:c r="AN5" s="172"/>
      <x:c r="AO5" s="172"/>
      <x:c r="AP5" s="172"/>
      <x:c r="AQ5" s="172"/>
      <x:c r="AR5" s="172"/>
      <x:c r="AS5" s="172"/>
      <x:c r="AT5" s="172"/>
      <x:c r="AU5" s="172"/>
      <x:c r="AV5" s="172"/>
      <x:c r="AW5" s="172"/>
      <x:c r="AX5" s="172"/>
      <x:c r="AY5" s="172"/>
      <x:c r="AZ5" s="172"/>
    </x:row>
    <x:row r="6" ht="23" customHeight="1">
      <x:c r="A6" s="175"/>
      <x:c r="B6" s="177"/>
      <x:c r="C6" s="177"/>
      <x:c r="D6" s="175"/>
      <x:c r="E6" s="175"/>
      <x:c r="F6" s="175"/>
      <x:c r="G6" s="175"/>
      <x:c r="H6" s="175"/>
      <x:c r="I6" s="175"/>
      <x:c r="J6" s="175"/>
      <x:c r="K6" s="212"/>
      <x:c r="L6" s="212"/>
      <x:c r="M6" s="175"/>
      <x:c r="N6" s="175"/>
      <x:c r="O6" s="175"/>
      <x:c r="P6" s="175"/>
      <x:c r="Q6" s="175"/>
      <x:c r="R6" s="212"/>
      <x:c r="S6" s="212"/>
      <x:c r="T6" s="212"/>
      <x:c r="U6" s="175"/>
      <x:c r="V6" s="175"/>
      <x:c r="W6" s="175"/>
      <x:c r="X6" s="175"/>
      <x:c r="Y6" s="175"/>
      <x:c r="Z6" s="175"/>
      <x:c r="AA6" s="172"/>
      <x:c r="AB6" s="172"/>
      <x:c r="AC6" s="172"/>
      <x:c r="AD6" s="172"/>
      <x:c r="AE6" s="172"/>
      <x:c r="AF6" s="172"/>
      <x:c r="AG6" s="172"/>
      <x:c r="AH6" s="172"/>
      <x:c r="AI6" s="172"/>
      <x:c r="AJ6" s="172"/>
      <x:c r="AK6" s="172"/>
      <x:c r="AL6" s="172"/>
      <x:c r="AM6" s="172"/>
      <x:c r="AN6" s="172"/>
      <x:c r="AO6" s="172"/>
      <x:c r="AP6" s="172"/>
      <x:c r="AQ6" s="172"/>
      <x:c r="AR6" s="172"/>
      <x:c r="AS6" s="172"/>
      <x:c r="AT6" s="172"/>
      <x:c r="AU6" s="172"/>
      <x:c r="AV6" s="172"/>
      <x:c r="AW6" s="172"/>
      <x:c r="AX6" s="172"/>
      <x:c r="AY6" s="172"/>
      <x:c r="AZ6" s="172"/>
    </x:row>
    <x:row r="7" ht="23" customHeight="1">
      <x:c r="A7" s="175"/>
      <x:c r="B7" s="177"/>
      <x:c r="C7" s="177"/>
      <x:c r="D7" s="175"/>
      <x:c r="E7" s="175"/>
      <x:c r="F7" s="175"/>
      <x:c r="G7" s="175"/>
      <x:c r="H7" s="175"/>
      <x:c r="I7" s="175"/>
      <x:c r="J7" s="175"/>
      <x:c r="K7" s="212"/>
      <x:c r="L7" s="212"/>
      <x:c r="M7" s="175"/>
      <x:c r="N7" s="175"/>
      <x:c r="O7" s="175"/>
      <x:c r="P7" s="175"/>
      <x:c r="Q7" s="175"/>
      <x:c r="R7" s="212"/>
      <x:c r="S7" s="212"/>
      <x:c r="T7" s="212"/>
      <x:c r="U7" s="175"/>
      <x:c r="V7" s="175"/>
      <x:c r="W7" s="175"/>
      <x:c r="X7" s="175"/>
      <x:c r="Y7" s="175"/>
      <x:c r="Z7" s="175"/>
      <x:c r="AA7" s="172"/>
      <x:c r="AB7" s="172"/>
      <x:c r="AC7" s="172"/>
      <x:c r="AD7" s="172"/>
      <x:c r="AE7" s="172"/>
      <x:c r="AF7" s="172"/>
      <x:c r="AG7" s="172"/>
      <x:c r="AH7" s="172"/>
      <x:c r="AI7" s="172"/>
      <x:c r="AJ7" s="172"/>
      <x:c r="AK7" s="172"/>
      <x:c r="AL7" s="172"/>
      <x:c r="AM7" s="172"/>
      <x:c r="AN7" s="172"/>
      <x:c r="AO7" s="172"/>
      <x:c r="AP7" s="172"/>
      <x:c r="AQ7" s="172"/>
      <x:c r="AR7" s="172"/>
      <x:c r="AS7" s="172"/>
      <x:c r="AT7" s="172"/>
      <x:c r="AU7" s="172"/>
      <x:c r="AV7" s="172"/>
      <x:c r="AW7" s="172"/>
      <x:c r="AX7" s="172"/>
      <x:c r="AY7" s="172"/>
      <x:c r="AZ7" s="172"/>
    </x:row>
    <x:row r="8" ht="23" customHeight="1">
      <x:c r="A8" s="175"/>
      <x:c r="B8" s="177"/>
      <x:c r="C8" s="177"/>
      <x:c r="D8" s="175"/>
      <x:c r="E8" s="175"/>
      <x:c r="F8" s="175"/>
      <x:c r="G8" s="175"/>
      <x:c r="H8" s="175"/>
      <x:c r="I8" s="175"/>
      <x:c r="J8" s="175"/>
      <x:c r="K8" s="212"/>
      <x:c r="L8" s="212"/>
      <x:c r="M8" s="175"/>
      <x:c r="N8" s="175"/>
      <x:c r="O8" s="175"/>
      <x:c r="P8" s="175"/>
      <x:c r="Q8" s="175"/>
      <x:c r="R8" s="212"/>
      <x:c r="S8" s="212"/>
      <x:c r="T8" s="212"/>
      <x:c r="U8" s="175"/>
      <x:c r="V8" s="175"/>
      <x:c r="W8" s="175"/>
      <x:c r="X8" s="175"/>
      <x:c r="Y8" s="175"/>
      <x:c r="Z8" s="175"/>
      <x:c r="AA8" s="172"/>
      <x:c r="AB8" s="172"/>
      <x:c r="AC8" s="172"/>
      <x:c r="AD8" s="172"/>
      <x:c r="AE8" s="172"/>
      <x:c r="AF8" s="172"/>
      <x:c r="AG8" s="172"/>
      <x:c r="AH8" s="172"/>
      <x:c r="AI8" s="172"/>
      <x:c r="AJ8" s="172"/>
      <x:c r="AK8" s="172"/>
      <x:c r="AL8" s="172"/>
      <x:c r="AM8" s="172"/>
      <x:c r="AN8" s="172"/>
      <x:c r="AO8" s="172"/>
      <x:c r="AP8" s="172"/>
      <x:c r="AQ8" s="172"/>
      <x:c r="AR8" s="172"/>
      <x:c r="AS8" s="172"/>
      <x:c r="AT8" s="172"/>
      <x:c r="AU8" s="172"/>
      <x:c r="AV8" s="172"/>
      <x:c r="AW8" s="172"/>
      <x:c r="AX8" s="172"/>
      <x:c r="AY8" s="172"/>
      <x:c r="AZ8" s="172"/>
    </x:row>
    <x:row r="9" ht="23" customHeight="1">
      <x:c r="A9" s="175"/>
      <x:c r="B9" s="177"/>
      <x:c r="C9" s="177"/>
      <x:c r="D9" s="175"/>
      <x:c r="E9" s="175"/>
      <x:c r="F9" s="175"/>
      <x:c r="G9" s="175"/>
      <x:c r="H9" s="175"/>
      <x:c r="I9" s="175"/>
      <x:c r="J9" s="175"/>
      <x:c r="K9" s="212"/>
      <x:c r="L9" s="212"/>
      <x:c r="M9" s="175"/>
      <x:c r="N9" s="175"/>
      <x:c r="O9" s="175"/>
      <x:c r="P9" s="175"/>
      <x:c r="Q9" s="175"/>
      <x:c r="R9" s="212"/>
      <x:c r="S9" s="212"/>
      <x:c r="T9" s="212"/>
      <x:c r="U9" s="175"/>
      <x:c r="V9" s="175"/>
      <x:c r="W9" s="175"/>
      <x:c r="X9" s="175"/>
      <x:c r="Y9" s="175"/>
      <x:c r="Z9" s="175"/>
      <x:c r="AA9" s="172"/>
      <x:c r="AB9" s="172"/>
      <x:c r="AC9" s="172"/>
      <x:c r="AD9" s="172"/>
      <x:c r="AE9" s="172"/>
      <x:c r="AF9" s="172"/>
      <x:c r="AG9" s="172"/>
      <x:c r="AH9" s="172"/>
      <x:c r="AI9" s="172"/>
      <x:c r="AJ9" s="172"/>
      <x:c r="AK9" s="172"/>
      <x:c r="AL9" s="172"/>
      <x:c r="AM9" s="172"/>
      <x:c r="AN9" s="172"/>
      <x:c r="AO9" s="172"/>
      <x:c r="AP9" s="172"/>
      <x:c r="AQ9" s="172"/>
      <x:c r="AR9" s="172"/>
      <x:c r="AS9" s="172"/>
      <x:c r="AT9" s="172"/>
      <x:c r="AU9" s="172"/>
      <x:c r="AV9" s="172"/>
      <x:c r="AW9" s="172"/>
      <x:c r="AX9" s="172"/>
      <x:c r="AY9" s="172"/>
      <x:c r="AZ9" s="172"/>
    </x:row>
    <x:row r="10" ht="23" customHeight="1">
      <x:c r="A10" s="175"/>
      <x:c r="B10" s="177"/>
      <x:c r="C10" s="177"/>
      <x:c r="D10" s="175"/>
      <x:c r="E10" s="175"/>
      <x:c r="F10" s="175"/>
      <x:c r="G10" s="175"/>
      <x:c r="H10" s="175"/>
      <x:c r="I10" s="175"/>
      <x:c r="J10" s="175"/>
      <x:c r="K10" s="212"/>
      <x:c r="L10" s="212"/>
      <x:c r="M10" s="175"/>
      <x:c r="N10" s="175"/>
      <x:c r="O10" s="175"/>
      <x:c r="P10" s="175"/>
      <x:c r="Q10" s="175"/>
      <x:c r="R10" s="212"/>
      <x:c r="S10" s="212"/>
      <x:c r="T10" s="212"/>
      <x:c r="U10" s="175"/>
      <x:c r="V10" s="175"/>
      <x:c r="W10" s="175"/>
      <x:c r="X10" s="175"/>
      <x:c r="Y10" s="175"/>
      <x:c r="Z10" s="175"/>
      <x:c r="AA10" s="172"/>
      <x:c r="AB10" s="172"/>
      <x:c r="AC10" s="172"/>
      <x:c r="AD10" s="172"/>
      <x:c r="AE10" s="172"/>
      <x:c r="AF10" s="172"/>
      <x:c r="AG10" s="172"/>
      <x:c r="AH10" s="172"/>
      <x:c r="AI10" s="172"/>
      <x:c r="AJ10" s="172"/>
      <x:c r="AK10" s="172"/>
      <x:c r="AL10" s="172"/>
      <x:c r="AM10" s="172"/>
      <x:c r="AN10" s="172"/>
      <x:c r="AO10" s="172"/>
      <x:c r="AP10" s="172"/>
      <x:c r="AQ10" s="172"/>
      <x:c r="AR10" s="172"/>
      <x:c r="AS10" s="172"/>
      <x:c r="AT10" s="172"/>
      <x:c r="AU10" s="172"/>
      <x:c r="AV10" s="172"/>
      <x:c r="AW10" s="172"/>
      <x:c r="AX10" s="172"/>
      <x:c r="AY10" s="172"/>
      <x:c r="AZ10" s="172"/>
    </x:row>
    <x:row r="11" ht="23" customHeight="1">
      <x:c r="A11" s="175"/>
      <x:c r="B11" s="177"/>
      <x:c r="C11" s="177"/>
      <x:c r="D11" s="175"/>
      <x:c r="E11" s="175"/>
      <x:c r="F11" s="175"/>
      <x:c r="G11" s="175"/>
      <x:c r="H11" s="175"/>
      <x:c r="I11" s="175"/>
      <x:c r="J11" s="175"/>
      <x:c r="K11" s="212"/>
      <x:c r="L11" s="212"/>
      <x:c r="M11" s="175"/>
      <x:c r="N11" s="175"/>
      <x:c r="O11" s="175"/>
      <x:c r="P11" s="175"/>
      <x:c r="Q11" s="175"/>
      <x:c r="R11" s="212"/>
      <x:c r="S11" s="212"/>
      <x:c r="T11" s="212"/>
      <x:c r="U11" s="175"/>
      <x:c r="V11" s="175"/>
      <x:c r="W11" s="175"/>
      <x:c r="X11" s="175"/>
      <x:c r="Y11" s="175"/>
      <x:c r="Z11" s="175"/>
      <x:c r="AA11" s="172"/>
      <x:c r="AB11" s="172"/>
      <x:c r="AC11" s="172"/>
      <x:c r="AD11" s="172"/>
      <x:c r="AE11" s="172"/>
      <x:c r="AF11" s="172"/>
      <x:c r="AG11" s="172"/>
      <x:c r="AH11" s="172"/>
      <x:c r="AI11" s="172"/>
      <x:c r="AJ11" s="172"/>
      <x:c r="AK11" s="172"/>
      <x:c r="AL11" s="172"/>
      <x:c r="AM11" s="172"/>
      <x:c r="AN11" s="172"/>
      <x:c r="AO11" s="172"/>
      <x:c r="AP11" s="172"/>
      <x:c r="AQ11" s="172"/>
      <x:c r="AR11" s="172"/>
      <x:c r="AS11" s="172"/>
      <x:c r="AT11" s="172"/>
      <x:c r="AU11" s="172"/>
      <x:c r="AV11" s="172"/>
      <x:c r="AW11" s="172"/>
      <x:c r="AX11" s="172"/>
      <x:c r="AY11" s="172"/>
      <x:c r="AZ11" s="172"/>
    </x:row>
    <x:row r="12" ht="23" customHeight="1">
      <x:c r="A12" s="175"/>
      <x:c r="B12" s="177"/>
      <x:c r="C12" s="177"/>
      <x:c r="D12" s="175"/>
      <x:c r="E12" s="175"/>
      <x:c r="F12" s="175"/>
      <x:c r="G12" s="175"/>
      <x:c r="H12" s="175"/>
      <x:c r="I12" s="175"/>
      <x:c r="J12" s="175"/>
      <x:c r="K12" s="212"/>
      <x:c r="L12" s="212"/>
      <x:c r="M12" s="175"/>
      <x:c r="N12" s="175"/>
      <x:c r="O12" s="175"/>
      <x:c r="P12" s="175"/>
      <x:c r="Q12" s="175"/>
      <x:c r="R12" s="212"/>
      <x:c r="S12" s="212"/>
      <x:c r="T12" s="212"/>
      <x:c r="U12" s="175"/>
      <x:c r="V12" s="175"/>
      <x:c r="W12" s="175"/>
      <x:c r="X12" s="175"/>
      <x:c r="Y12" s="175"/>
      <x:c r="Z12" s="175"/>
      <x:c r="AA12" s="172"/>
      <x:c r="AB12" s="172"/>
      <x:c r="AC12" s="172"/>
      <x:c r="AD12" s="172"/>
      <x:c r="AE12" s="172"/>
      <x:c r="AF12" s="172"/>
      <x:c r="AG12" s="172"/>
      <x:c r="AH12" s="172"/>
      <x:c r="AI12" s="172"/>
      <x:c r="AJ12" s="172"/>
      <x:c r="AK12" s="172"/>
      <x:c r="AL12" s="172"/>
      <x:c r="AM12" s="172"/>
      <x:c r="AN12" s="172"/>
      <x:c r="AO12" s="172"/>
      <x:c r="AP12" s="172"/>
      <x:c r="AQ12" s="172"/>
      <x:c r="AR12" s="172"/>
      <x:c r="AS12" s="172"/>
      <x:c r="AT12" s="172"/>
      <x:c r="AU12" s="172"/>
      <x:c r="AV12" s="172"/>
      <x:c r="AW12" s="172"/>
      <x:c r="AX12" s="172"/>
      <x:c r="AY12" s="172"/>
      <x:c r="AZ12" s="172"/>
    </x:row>
    <x:row r="13" ht="23" customHeight="1">
      <x:c r="A13" s="175"/>
      <x:c r="B13" s="177"/>
      <x:c r="C13" s="177"/>
      <x:c r="D13" s="175"/>
      <x:c r="E13" s="175"/>
      <x:c r="F13" s="175"/>
      <x:c r="G13" s="175"/>
      <x:c r="H13" s="175"/>
      <x:c r="I13" s="175"/>
      <x:c r="J13" s="175"/>
      <x:c r="K13" s="212"/>
      <x:c r="L13" s="212"/>
      <x:c r="M13" s="175"/>
      <x:c r="N13" s="175"/>
      <x:c r="O13" s="175"/>
      <x:c r="P13" s="175"/>
      <x:c r="Q13" s="175"/>
      <x:c r="R13" s="212"/>
      <x:c r="S13" s="212"/>
      <x:c r="T13" s="212"/>
      <x:c r="U13" s="175"/>
      <x:c r="V13" s="175"/>
      <x:c r="W13" s="175"/>
      <x:c r="X13" s="175"/>
      <x:c r="Y13" s="175"/>
      <x:c r="Z13" s="175"/>
      <x:c r="AA13" s="172"/>
      <x:c r="AB13" s="172"/>
      <x:c r="AC13" s="172"/>
      <x:c r="AD13" s="172"/>
      <x:c r="AE13" s="172"/>
      <x:c r="AF13" s="172"/>
      <x:c r="AG13" s="172"/>
      <x:c r="AH13" s="172"/>
      <x:c r="AI13" s="172"/>
      <x:c r="AJ13" s="172"/>
      <x:c r="AK13" s="172"/>
      <x:c r="AL13" s="172"/>
      <x:c r="AM13" s="172"/>
      <x:c r="AN13" s="172"/>
      <x:c r="AO13" s="172"/>
      <x:c r="AP13" s="172"/>
      <x:c r="AQ13" s="172"/>
      <x:c r="AR13" s="172"/>
      <x:c r="AS13" s="172"/>
      <x:c r="AT13" s="172"/>
      <x:c r="AU13" s="172"/>
      <x:c r="AV13" s="172"/>
      <x:c r="AW13" s="172"/>
      <x:c r="AX13" s="172"/>
      <x:c r="AY13" s="172"/>
      <x:c r="AZ13" s="172"/>
    </x:row>
    <x:row r="14" ht="23" customHeight="1">
      <x:c r="A14" s="175"/>
      <x:c r="B14" s="177"/>
      <x:c r="C14" s="177"/>
      <x:c r="D14" s="175"/>
      <x:c r="E14" s="175"/>
      <x:c r="F14" s="175"/>
      <x:c r="G14" s="175"/>
      <x:c r="H14" s="175"/>
      <x:c r="I14" s="175"/>
      <x:c r="J14" s="175"/>
      <x:c r="K14" s="212"/>
      <x:c r="L14" s="212"/>
      <x:c r="M14" s="175"/>
      <x:c r="N14" s="175"/>
      <x:c r="O14" s="175"/>
      <x:c r="P14" s="175"/>
      <x:c r="Q14" s="175"/>
      <x:c r="R14" s="212"/>
      <x:c r="S14" s="212"/>
      <x:c r="T14" s="212"/>
      <x:c r="U14" s="175"/>
      <x:c r="V14" s="175"/>
      <x:c r="W14" s="175"/>
      <x:c r="X14" s="175"/>
      <x:c r="Y14" s="175"/>
      <x:c r="Z14" s="175"/>
      <x:c r="AA14" s="172"/>
      <x:c r="AB14" s="172"/>
      <x:c r="AC14" s="172"/>
      <x:c r="AD14" s="172"/>
      <x:c r="AE14" s="172"/>
      <x:c r="AF14" s="172"/>
      <x:c r="AG14" s="172"/>
      <x:c r="AH14" s="172"/>
      <x:c r="AI14" s="172"/>
      <x:c r="AJ14" s="172"/>
      <x:c r="AK14" s="172"/>
      <x:c r="AL14" s="172"/>
      <x:c r="AM14" s="172"/>
      <x:c r="AN14" s="172"/>
      <x:c r="AO14" s="172"/>
      <x:c r="AP14" s="172"/>
      <x:c r="AQ14" s="172"/>
      <x:c r="AR14" s="172"/>
      <x:c r="AS14" s="172"/>
      <x:c r="AT14" s="172"/>
      <x:c r="AU14" s="172"/>
      <x:c r="AV14" s="172"/>
      <x:c r="AW14" s="172"/>
      <x:c r="AX14" s="172"/>
      <x:c r="AY14" s="172"/>
      <x:c r="AZ14" s="172"/>
    </x:row>
    <x:row r="15" ht="23" customHeight="1">
      <x:c r="A15" s="175"/>
      <x:c r="B15" s="177"/>
      <x:c r="C15" s="177"/>
      <x:c r="D15" s="175"/>
      <x:c r="E15" s="175"/>
      <x:c r="F15" s="175"/>
      <x:c r="G15" s="175"/>
      <x:c r="H15" s="175"/>
      <x:c r="I15" s="175"/>
      <x:c r="J15" s="175"/>
      <x:c r="K15" s="212"/>
      <x:c r="L15" s="212"/>
      <x:c r="M15" s="175"/>
      <x:c r="N15" s="175"/>
      <x:c r="O15" s="175"/>
      <x:c r="P15" s="175"/>
      <x:c r="Q15" s="175"/>
      <x:c r="R15" s="212"/>
      <x:c r="S15" s="212"/>
      <x:c r="T15" s="212"/>
      <x:c r="U15" s="175"/>
      <x:c r="V15" s="175"/>
      <x:c r="W15" s="175"/>
      <x:c r="X15" s="175"/>
      <x:c r="Y15" s="175"/>
      <x:c r="Z15" s="175"/>
      <x:c r="AA15" s="172"/>
      <x:c r="AB15" s="172"/>
      <x:c r="AC15" s="172"/>
      <x:c r="AD15" s="172"/>
      <x:c r="AE15" s="172"/>
      <x:c r="AF15" s="172"/>
      <x:c r="AG15" s="172"/>
      <x:c r="AH15" s="172"/>
      <x:c r="AI15" s="172"/>
      <x:c r="AJ15" s="172"/>
      <x:c r="AK15" s="172"/>
      <x:c r="AL15" s="172"/>
      <x:c r="AM15" s="172"/>
      <x:c r="AN15" s="172"/>
      <x:c r="AO15" s="172"/>
      <x:c r="AP15" s="172"/>
      <x:c r="AQ15" s="172"/>
      <x:c r="AR15" s="172"/>
      <x:c r="AS15" s="172"/>
      <x:c r="AT15" s="172"/>
      <x:c r="AU15" s="172"/>
      <x:c r="AV15" s="172"/>
      <x:c r="AW15" s="172"/>
      <x:c r="AX15" s="172"/>
      <x:c r="AY15" s="172"/>
      <x:c r="AZ15" s="172"/>
    </x:row>
    <x:row r="16" ht="23" customHeight="1">
      <x:c r="A16" s="175"/>
      <x:c r="B16" s="177"/>
      <x:c r="C16" s="177"/>
      <x:c r="D16" s="175"/>
      <x:c r="E16" s="175"/>
      <x:c r="F16" s="175"/>
      <x:c r="G16" s="175"/>
      <x:c r="H16" s="175"/>
      <x:c r="I16" s="175"/>
      <x:c r="J16" s="175"/>
      <x:c r="K16" s="212"/>
      <x:c r="L16" s="212"/>
      <x:c r="M16" s="175"/>
      <x:c r="N16" s="175"/>
      <x:c r="O16" s="175"/>
      <x:c r="P16" s="175"/>
      <x:c r="Q16" s="175"/>
      <x:c r="R16" s="212"/>
      <x:c r="S16" s="212"/>
      <x:c r="T16" s="212"/>
      <x:c r="U16" s="175"/>
      <x:c r="V16" s="175"/>
      <x:c r="W16" s="175"/>
      <x:c r="X16" s="175"/>
      <x:c r="Y16" s="175"/>
      <x:c r="Z16" s="175"/>
      <x:c r="AA16" s="172"/>
      <x:c r="AB16" s="172"/>
      <x:c r="AC16" s="172"/>
      <x:c r="AD16" s="172"/>
      <x:c r="AE16" s="172"/>
      <x:c r="AF16" s="172"/>
      <x:c r="AG16" s="172"/>
      <x:c r="AH16" s="172"/>
      <x:c r="AI16" s="172"/>
      <x:c r="AJ16" s="172"/>
      <x:c r="AK16" s="172"/>
      <x:c r="AL16" s="172"/>
      <x:c r="AM16" s="172"/>
      <x:c r="AN16" s="172"/>
      <x:c r="AO16" s="172"/>
      <x:c r="AP16" s="172"/>
      <x:c r="AQ16" s="172"/>
      <x:c r="AR16" s="172"/>
      <x:c r="AS16" s="172"/>
      <x:c r="AT16" s="172"/>
      <x:c r="AU16" s="172"/>
      <x:c r="AV16" s="172"/>
      <x:c r="AW16" s="172"/>
      <x:c r="AX16" s="172"/>
      <x:c r="AY16" s="172"/>
      <x:c r="AZ16" s="172"/>
    </x:row>
    <x:row r="17" ht="23" customHeight="1">
      <x:c r="A17" s="175"/>
      <x:c r="B17" s="177"/>
      <x:c r="C17" s="177"/>
      <x:c r="D17" s="175"/>
      <x:c r="E17" s="175"/>
      <x:c r="F17" s="175"/>
      <x:c r="G17" s="175"/>
      <x:c r="H17" s="175"/>
      <x:c r="I17" s="175"/>
      <x:c r="J17" s="175"/>
      <x:c r="K17" s="212"/>
      <x:c r="L17" s="212"/>
      <x:c r="M17" s="175"/>
      <x:c r="N17" s="175"/>
      <x:c r="O17" s="175"/>
      <x:c r="P17" s="175"/>
      <x:c r="Q17" s="175"/>
      <x:c r="R17" s="212"/>
      <x:c r="S17" s="212"/>
      <x:c r="T17" s="212"/>
      <x:c r="U17" s="175"/>
      <x:c r="V17" s="175"/>
      <x:c r="W17" s="175"/>
      <x:c r="X17" s="175"/>
      <x:c r="Y17" s="175"/>
      <x:c r="Z17" s="175"/>
      <x:c r="AA17" s="172"/>
      <x:c r="AB17" s="172"/>
      <x:c r="AC17" s="172"/>
      <x:c r="AD17" s="172"/>
      <x:c r="AE17" s="172"/>
      <x:c r="AF17" s="172"/>
      <x:c r="AG17" s="172"/>
      <x:c r="AH17" s="172"/>
      <x:c r="AI17" s="172"/>
      <x:c r="AJ17" s="172"/>
      <x:c r="AK17" s="172"/>
      <x:c r="AL17" s="172"/>
      <x:c r="AM17" s="172"/>
      <x:c r="AN17" s="172"/>
      <x:c r="AO17" s="172"/>
      <x:c r="AP17" s="172"/>
      <x:c r="AQ17" s="172"/>
      <x:c r="AR17" s="172"/>
      <x:c r="AS17" s="172"/>
      <x:c r="AT17" s="172"/>
      <x:c r="AU17" s="172"/>
      <x:c r="AV17" s="172"/>
      <x:c r="AW17" s="172"/>
      <x:c r="AX17" s="172"/>
      <x:c r="AY17" s="172"/>
      <x:c r="AZ17" s="172"/>
    </x:row>
    <x:row r="18" ht="23" customHeight="1">
      <x:c r="A18" s="175"/>
      <x:c r="B18" s="177"/>
      <x:c r="C18" s="177"/>
      <x:c r="D18" s="175"/>
      <x:c r="E18" s="175"/>
      <x:c r="F18" s="175"/>
      <x:c r="G18" s="175"/>
      <x:c r="H18" s="175"/>
      <x:c r="I18" s="175"/>
      <x:c r="J18" s="175"/>
      <x:c r="K18" s="212"/>
      <x:c r="L18" s="212"/>
      <x:c r="M18" s="175"/>
      <x:c r="N18" s="175"/>
      <x:c r="O18" s="175"/>
      <x:c r="P18" s="175"/>
      <x:c r="Q18" s="175"/>
      <x:c r="R18" s="212"/>
      <x:c r="S18" s="212"/>
      <x:c r="T18" s="212"/>
      <x:c r="U18" s="175"/>
      <x:c r="V18" s="175"/>
      <x:c r="W18" s="175"/>
      <x:c r="X18" s="175"/>
      <x:c r="Y18" s="175"/>
      <x:c r="Z18" s="175"/>
      <x:c r="AA18" s="172"/>
      <x:c r="AB18" s="172"/>
      <x:c r="AC18" s="172"/>
      <x:c r="AD18" s="172"/>
      <x:c r="AE18" s="172"/>
      <x:c r="AF18" s="172"/>
      <x:c r="AG18" s="172"/>
      <x:c r="AH18" s="172"/>
      <x:c r="AI18" s="172"/>
      <x:c r="AJ18" s="172"/>
      <x:c r="AK18" s="172"/>
      <x:c r="AL18" s="172"/>
      <x:c r="AM18" s="172"/>
      <x:c r="AN18" s="172"/>
      <x:c r="AO18" s="172"/>
      <x:c r="AP18" s="172"/>
      <x:c r="AQ18" s="172"/>
      <x:c r="AR18" s="172"/>
      <x:c r="AS18" s="172"/>
      <x:c r="AT18" s="172"/>
      <x:c r="AU18" s="172"/>
      <x:c r="AV18" s="172"/>
      <x:c r="AW18" s="172"/>
      <x:c r="AX18" s="172"/>
      <x:c r="AY18" s="172"/>
      <x:c r="AZ18" s="172"/>
    </x:row>
    <x:row r="19" ht="23" customHeight="1">
      <x:c r="A19" s="175"/>
      <x:c r="B19" s="177"/>
      <x:c r="C19" s="177"/>
      <x:c r="D19" s="175"/>
      <x:c r="E19" s="175"/>
      <x:c r="F19" s="175"/>
      <x:c r="G19" s="175"/>
      <x:c r="H19" s="175"/>
      <x:c r="I19" s="175"/>
      <x:c r="J19" s="175"/>
      <x:c r="K19" s="212"/>
      <x:c r="L19" s="212"/>
      <x:c r="M19" s="175"/>
      <x:c r="N19" s="175"/>
      <x:c r="O19" s="175"/>
      <x:c r="P19" s="175"/>
      <x:c r="Q19" s="175"/>
      <x:c r="R19" s="212"/>
      <x:c r="S19" s="212"/>
      <x:c r="T19" s="212"/>
      <x:c r="U19" s="175"/>
      <x:c r="V19" s="175"/>
      <x:c r="W19" s="175"/>
      <x:c r="X19" s="175"/>
      <x:c r="Y19" s="175"/>
      <x:c r="Z19" s="175"/>
      <x:c r="AA19" s="172"/>
      <x:c r="AB19" s="172"/>
      <x:c r="AC19" s="172"/>
      <x:c r="AD19" s="172"/>
      <x:c r="AE19" s="172"/>
      <x:c r="AF19" s="172"/>
      <x:c r="AG19" s="172"/>
      <x:c r="AH19" s="172"/>
      <x:c r="AI19" s="172"/>
      <x:c r="AJ19" s="172"/>
      <x:c r="AK19" s="172"/>
      <x:c r="AL19" s="172"/>
      <x:c r="AM19" s="172"/>
      <x:c r="AN19" s="172"/>
      <x:c r="AO19" s="172"/>
      <x:c r="AP19" s="172"/>
      <x:c r="AQ19" s="172"/>
      <x:c r="AR19" s="172"/>
      <x:c r="AS19" s="172"/>
      <x:c r="AT19" s="172"/>
      <x:c r="AU19" s="172"/>
      <x:c r="AV19" s="172"/>
      <x:c r="AW19" s="172"/>
      <x:c r="AX19" s="172"/>
      <x:c r="AY19" s="172"/>
      <x:c r="AZ19" s="172"/>
    </x:row>
    <x:row r="20" ht="23" customHeight="1">
      <x:c r="A20" s="175"/>
      <x:c r="B20" s="177"/>
      <x:c r="C20" s="177"/>
      <x:c r="D20" s="175"/>
      <x:c r="E20" s="175"/>
      <x:c r="F20" s="175"/>
      <x:c r="G20" s="175"/>
      <x:c r="H20" s="175"/>
      <x:c r="I20" s="175"/>
      <x:c r="J20" s="175"/>
      <x:c r="K20" s="212"/>
      <x:c r="L20" s="212"/>
      <x:c r="M20" s="175"/>
      <x:c r="N20" s="175"/>
      <x:c r="O20" s="175"/>
      <x:c r="P20" s="175"/>
      <x:c r="Q20" s="175"/>
      <x:c r="R20" s="212"/>
      <x:c r="S20" s="212"/>
      <x:c r="T20" s="212"/>
      <x:c r="U20" s="175"/>
      <x:c r="V20" s="175"/>
      <x:c r="W20" s="175"/>
      <x:c r="X20" s="175"/>
      <x:c r="Y20" s="175"/>
      <x:c r="Z20" s="175"/>
      <x:c r="AA20" s="172"/>
      <x:c r="AB20" s="172"/>
      <x:c r="AC20" s="172"/>
      <x:c r="AD20" s="172"/>
      <x:c r="AE20" s="172"/>
      <x:c r="AF20" s="172"/>
      <x:c r="AG20" s="172"/>
      <x:c r="AH20" s="172"/>
      <x:c r="AI20" s="172"/>
      <x:c r="AJ20" s="172"/>
      <x:c r="AK20" s="172"/>
      <x:c r="AL20" s="172"/>
      <x:c r="AM20" s="172"/>
      <x:c r="AN20" s="172"/>
      <x:c r="AO20" s="172"/>
      <x:c r="AP20" s="172"/>
      <x:c r="AQ20" s="172"/>
      <x:c r="AR20" s="172"/>
      <x:c r="AS20" s="172"/>
      <x:c r="AT20" s="172"/>
      <x:c r="AU20" s="172"/>
      <x:c r="AV20" s="172"/>
      <x:c r="AW20" s="172"/>
      <x:c r="AX20" s="172"/>
      <x:c r="AY20" s="172"/>
      <x:c r="AZ20" s="172"/>
    </x:row>
    <x:row r="21" ht="23" customHeight="1">
      <x:c r="A21" s="175"/>
      <x:c r="B21" s="177"/>
      <x:c r="C21" s="177"/>
      <x:c r="D21" s="175"/>
      <x:c r="E21" s="175"/>
      <x:c r="F21" s="175"/>
      <x:c r="G21" s="175"/>
      <x:c r="H21" s="175"/>
      <x:c r="I21" s="175"/>
      <x:c r="J21" s="175"/>
      <x:c r="K21" s="212"/>
      <x:c r="L21" s="212"/>
      <x:c r="M21" s="175"/>
      <x:c r="N21" s="175"/>
      <x:c r="O21" s="175"/>
      <x:c r="P21" s="175"/>
      <x:c r="Q21" s="175"/>
      <x:c r="R21" s="212"/>
      <x:c r="S21" s="212"/>
      <x:c r="T21" s="212"/>
      <x:c r="U21" s="175"/>
      <x:c r="V21" s="175"/>
      <x:c r="W21" s="175"/>
      <x:c r="X21" s="175"/>
      <x:c r="Y21" s="175"/>
      <x:c r="Z21" s="175"/>
      <x:c r="AA21" s="172"/>
      <x:c r="AB21" s="172"/>
      <x:c r="AC21" s="172"/>
      <x:c r="AD21" s="172"/>
      <x:c r="AE21" s="172"/>
      <x:c r="AF21" s="172"/>
      <x:c r="AG21" s="172"/>
      <x:c r="AH21" s="172"/>
      <x:c r="AI21" s="172"/>
      <x:c r="AJ21" s="172"/>
      <x:c r="AK21" s="172"/>
      <x:c r="AL21" s="172"/>
      <x:c r="AM21" s="172"/>
      <x:c r="AN21" s="172"/>
      <x:c r="AO21" s="172"/>
      <x:c r="AP21" s="172"/>
      <x:c r="AQ21" s="172"/>
      <x:c r="AR21" s="172"/>
      <x:c r="AS21" s="172"/>
      <x:c r="AT21" s="172"/>
      <x:c r="AU21" s="172"/>
      <x:c r="AV21" s="172"/>
      <x:c r="AW21" s="172"/>
      <x:c r="AX21" s="172"/>
      <x:c r="AY21" s="172"/>
      <x:c r="AZ21" s="172"/>
    </x:row>
    <x:row r="22" ht="23" customHeight="1">
      <x:c r="A22" s="175"/>
      <x:c r="B22" s="177"/>
      <x:c r="C22" s="177"/>
      <x:c r="D22" s="175"/>
      <x:c r="E22" s="175"/>
      <x:c r="F22" s="175"/>
      <x:c r="G22" s="175"/>
      <x:c r="H22" s="175"/>
      <x:c r="I22" s="175"/>
      <x:c r="J22" s="175"/>
      <x:c r="K22" s="212"/>
      <x:c r="L22" s="212"/>
      <x:c r="M22" s="175"/>
      <x:c r="N22" s="175"/>
      <x:c r="O22" s="175"/>
      <x:c r="P22" s="175"/>
      <x:c r="Q22" s="175"/>
      <x:c r="R22" s="212"/>
      <x:c r="S22" s="212"/>
      <x:c r="T22" s="212"/>
      <x:c r="U22" s="175"/>
      <x:c r="V22" s="175"/>
      <x:c r="W22" s="175"/>
      <x:c r="X22" s="175"/>
      <x:c r="Y22" s="175"/>
      <x:c r="Z22" s="175"/>
      <x:c r="AA22" s="172"/>
      <x:c r="AB22" s="172"/>
      <x:c r="AC22" s="172"/>
      <x:c r="AD22" s="172"/>
      <x:c r="AE22" s="172"/>
      <x:c r="AF22" s="172"/>
      <x:c r="AG22" s="172"/>
      <x:c r="AH22" s="172"/>
      <x:c r="AI22" s="172"/>
      <x:c r="AJ22" s="172"/>
      <x:c r="AK22" s="172"/>
      <x:c r="AL22" s="172"/>
      <x:c r="AM22" s="172"/>
      <x:c r="AN22" s="172"/>
      <x:c r="AO22" s="172"/>
      <x:c r="AP22" s="172"/>
      <x:c r="AQ22" s="172"/>
      <x:c r="AR22" s="172"/>
      <x:c r="AS22" s="172"/>
      <x:c r="AT22" s="172"/>
      <x:c r="AU22" s="172"/>
      <x:c r="AV22" s="172"/>
      <x:c r="AW22" s="172"/>
      <x:c r="AX22" s="172"/>
      <x:c r="AY22" s="172"/>
      <x:c r="AZ22" s="172"/>
    </x:row>
    <x:row r="23" ht="23" customHeight="1">
      <x:c r="A23" s="175"/>
      <x:c r="B23" s="177"/>
      <x:c r="C23" s="177"/>
      <x:c r="D23" s="175"/>
      <x:c r="E23" s="175"/>
      <x:c r="F23" s="175"/>
      <x:c r="G23" s="175"/>
      <x:c r="H23" s="175"/>
      <x:c r="I23" s="175"/>
      <x:c r="J23" s="175"/>
      <x:c r="K23" s="212"/>
      <x:c r="L23" s="212"/>
      <x:c r="M23" s="175"/>
      <x:c r="N23" s="175"/>
      <x:c r="O23" s="175"/>
      <x:c r="P23" s="175"/>
      <x:c r="Q23" s="175"/>
      <x:c r="R23" s="212"/>
      <x:c r="S23" s="212"/>
      <x:c r="T23" s="212"/>
      <x:c r="U23" s="175"/>
      <x:c r="V23" s="175"/>
      <x:c r="W23" s="175"/>
      <x:c r="X23" s="175"/>
      <x:c r="Y23" s="175"/>
      <x:c r="Z23" s="175"/>
      <x:c r="AA23" s="172"/>
      <x:c r="AB23" s="172"/>
      <x:c r="AC23" s="172"/>
      <x:c r="AD23" s="172"/>
      <x:c r="AE23" s="172"/>
      <x:c r="AF23" s="172"/>
      <x:c r="AG23" s="172"/>
      <x:c r="AH23" s="172"/>
      <x:c r="AI23" s="172"/>
      <x:c r="AJ23" s="172"/>
      <x:c r="AK23" s="172"/>
      <x:c r="AL23" s="172"/>
      <x:c r="AM23" s="172"/>
      <x:c r="AN23" s="172"/>
      <x:c r="AO23" s="172"/>
      <x:c r="AP23" s="172"/>
      <x:c r="AQ23" s="172"/>
      <x:c r="AR23" s="172"/>
      <x:c r="AS23" s="172"/>
      <x:c r="AT23" s="172"/>
      <x:c r="AU23" s="172"/>
      <x:c r="AV23" s="172"/>
      <x:c r="AW23" s="172"/>
      <x:c r="AX23" s="172"/>
      <x:c r="AY23" s="172"/>
      <x:c r="AZ23" s="172"/>
    </x:row>
    <x:row r="24" ht="23" customHeight="1">
      <x:c r="A24" s="175"/>
      <x:c r="B24" s="177"/>
      <x:c r="C24" s="177"/>
      <x:c r="D24" s="175"/>
      <x:c r="E24" s="175"/>
      <x:c r="F24" s="175"/>
      <x:c r="G24" s="175"/>
      <x:c r="H24" s="175"/>
      <x:c r="I24" s="175"/>
      <x:c r="J24" s="175"/>
      <x:c r="K24" s="212"/>
      <x:c r="L24" s="212"/>
      <x:c r="M24" s="175"/>
      <x:c r="N24" s="175"/>
      <x:c r="O24" s="175"/>
      <x:c r="P24" s="175"/>
      <x:c r="Q24" s="175"/>
      <x:c r="R24" s="212"/>
      <x:c r="S24" s="212"/>
      <x:c r="T24" s="212"/>
      <x:c r="U24" s="175"/>
      <x:c r="V24" s="175"/>
      <x:c r="W24" s="175"/>
      <x:c r="X24" s="175"/>
      <x:c r="Y24" s="175"/>
      <x:c r="Z24" s="175"/>
      <x:c r="AA24" s="172"/>
      <x:c r="AB24" s="172"/>
      <x:c r="AC24" s="172"/>
      <x:c r="AD24" s="172"/>
      <x:c r="AE24" s="172"/>
      <x:c r="AF24" s="172"/>
      <x:c r="AG24" s="172"/>
      <x:c r="AH24" s="172"/>
      <x:c r="AI24" s="172"/>
      <x:c r="AJ24" s="172"/>
      <x:c r="AK24" s="172"/>
      <x:c r="AL24" s="172"/>
      <x:c r="AM24" s="172"/>
      <x:c r="AN24" s="172"/>
      <x:c r="AO24" s="172"/>
      <x:c r="AP24" s="172"/>
      <x:c r="AQ24" s="172"/>
      <x:c r="AR24" s="172"/>
      <x:c r="AS24" s="172"/>
      <x:c r="AT24" s="172"/>
      <x:c r="AU24" s="172"/>
      <x:c r="AV24" s="172"/>
      <x:c r="AW24" s="172"/>
      <x:c r="AX24" s="172"/>
      <x:c r="AY24" s="172"/>
      <x:c r="AZ24" s="172"/>
    </x:row>
    <x:row r="25" ht="23" customHeight="1">
      <x:c r="A25" s="175"/>
      <x:c r="B25" s="177"/>
      <x:c r="C25" s="177"/>
      <x:c r="D25" s="175"/>
      <x:c r="E25" s="175"/>
      <x:c r="F25" s="175"/>
      <x:c r="G25" s="175"/>
      <x:c r="H25" s="175"/>
      <x:c r="I25" s="175"/>
      <x:c r="J25" s="175"/>
      <x:c r="K25" s="212"/>
      <x:c r="L25" s="212"/>
      <x:c r="M25" s="175"/>
      <x:c r="N25" s="175"/>
      <x:c r="O25" s="175"/>
      <x:c r="P25" s="175"/>
      <x:c r="Q25" s="175"/>
      <x:c r="R25" s="212"/>
      <x:c r="S25" s="212"/>
      <x:c r="T25" s="212"/>
      <x:c r="U25" s="175"/>
      <x:c r="V25" s="175"/>
      <x:c r="W25" s="175"/>
      <x:c r="X25" s="175"/>
      <x:c r="Y25" s="175"/>
      <x:c r="Z25" s="175"/>
      <x:c r="AA25" s="172"/>
      <x:c r="AB25" s="172"/>
      <x:c r="AC25" s="172"/>
      <x:c r="AD25" s="172"/>
      <x:c r="AE25" s="172"/>
      <x:c r="AF25" s="172"/>
      <x:c r="AG25" s="172"/>
      <x:c r="AH25" s="172"/>
      <x:c r="AI25" s="172"/>
      <x:c r="AJ25" s="172"/>
      <x:c r="AK25" s="172"/>
      <x:c r="AL25" s="172"/>
      <x:c r="AM25" s="172"/>
      <x:c r="AN25" s="172"/>
      <x:c r="AO25" s="172"/>
      <x:c r="AP25" s="172"/>
      <x:c r="AQ25" s="172"/>
      <x:c r="AR25" s="172"/>
      <x:c r="AS25" s="172"/>
      <x:c r="AT25" s="172"/>
      <x:c r="AU25" s="172"/>
      <x:c r="AV25" s="172"/>
      <x:c r="AW25" s="172"/>
      <x:c r="AX25" s="172"/>
      <x:c r="AY25" s="172"/>
      <x:c r="AZ25" s="172"/>
    </x:row>
    <x:row r="26" ht="23" customHeight="1">
      <x:c r="A26" s="175"/>
      <x:c r="B26" s="177"/>
      <x:c r="C26" s="177"/>
      <x:c r="D26" s="175"/>
      <x:c r="E26" s="175"/>
      <x:c r="F26" s="175"/>
      <x:c r="G26" s="175"/>
      <x:c r="H26" s="175"/>
      <x:c r="I26" s="175"/>
      <x:c r="J26" s="175"/>
      <x:c r="K26" s="212"/>
      <x:c r="L26" s="212"/>
      <x:c r="M26" s="175"/>
      <x:c r="N26" s="175"/>
      <x:c r="O26" s="175"/>
      <x:c r="P26" s="175"/>
      <x:c r="Q26" s="175"/>
      <x:c r="R26" s="212"/>
      <x:c r="S26" s="212"/>
      <x:c r="T26" s="212"/>
      <x:c r="U26" s="175"/>
      <x:c r="V26" s="175"/>
      <x:c r="W26" s="175"/>
      <x:c r="X26" s="175"/>
      <x:c r="Y26" s="175"/>
      <x:c r="Z26" s="175"/>
      <x:c r="AA26" s="172"/>
      <x:c r="AB26" s="172"/>
      <x:c r="AC26" s="172"/>
      <x:c r="AD26" s="172"/>
      <x:c r="AE26" s="172"/>
      <x:c r="AF26" s="172"/>
      <x:c r="AG26" s="172"/>
      <x:c r="AH26" s="172"/>
      <x:c r="AI26" s="172"/>
      <x:c r="AJ26" s="172"/>
      <x:c r="AK26" s="172"/>
      <x:c r="AL26" s="172"/>
      <x:c r="AM26" s="172"/>
      <x:c r="AN26" s="172"/>
      <x:c r="AO26" s="172"/>
      <x:c r="AP26" s="172"/>
      <x:c r="AQ26" s="172"/>
      <x:c r="AR26" s="172"/>
      <x:c r="AS26" s="172"/>
      <x:c r="AT26" s="172"/>
      <x:c r="AU26" s="172"/>
      <x:c r="AV26" s="172"/>
      <x:c r="AW26" s="172"/>
      <x:c r="AX26" s="172"/>
      <x:c r="AY26" s="172"/>
      <x:c r="AZ26" s="172"/>
    </x:row>
    <x:row r="27" ht="23" customHeight="1">
      <x:c r="A27" s="175"/>
      <x:c r="B27" s="177"/>
      <x:c r="C27" s="177"/>
      <x:c r="D27" s="175"/>
      <x:c r="E27" s="175"/>
      <x:c r="F27" s="175"/>
      <x:c r="G27" s="175"/>
      <x:c r="H27" s="175"/>
      <x:c r="I27" s="175"/>
      <x:c r="J27" s="175"/>
      <x:c r="K27" s="212"/>
      <x:c r="L27" s="212"/>
      <x:c r="M27" s="175"/>
      <x:c r="N27" s="175"/>
      <x:c r="O27" s="175"/>
      <x:c r="P27" s="175"/>
      <x:c r="Q27" s="175"/>
      <x:c r="R27" s="212"/>
      <x:c r="S27" s="212"/>
      <x:c r="T27" s="212"/>
      <x:c r="U27" s="175"/>
      <x:c r="V27" s="175"/>
      <x:c r="W27" s="175"/>
      <x:c r="X27" s="175"/>
      <x:c r="Y27" s="175"/>
      <x:c r="Z27" s="175"/>
      <x:c r="AA27" s="172"/>
      <x:c r="AB27" s="172"/>
      <x:c r="AC27" s="172"/>
      <x:c r="AD27" s="172"/>
      <x:c r="AE27" s="172"/>
      <x:c r="AF27" s="172"/>
      <x:c r="AG27" s="172"/>
      <x:c r="AH27" s="172"/>
      <x:c r="AI27" s="172"/>
      <x:c r="AJ27" s="172"/>
      <x:c r="AK27" s="172"/>
      <x:c r="AL27" s="172"/>
      <x:c r="AM27" s="172"/>
      <x:c r="AN27" s="172"/>
      <x:c r="AO27" s="172"/>
      <x:c r="AP27" s="172"/>
      <x:c r="AQ27" s="172"/>
      <x:c r="AR27" s="172"/>
      <x:c r="AS27" s="172"/>
      <x:c r="AT27" s="172"/>
      <x:c r="AU27" s="172"/>
      <x:c r="AV27" s="172"/>
      <x:c r="AW27" s="172"/>
      <x:c r="AX27" s="172"/>
      <x:c r="AY27" s="172"/>
      <x:c r="AZ27" s="172"/>
    </x:row>
    <x:row r="28" ht="23" customHeight="1">
      <x:c r="A28" s="175"/>
      <x:c r="B28" s="177"/>
      <x:c r="C28" s="177"/>
      <x:c r="D28" s="175"/>
      <x:c r="E28" s="175"/>
      <x:c r="F28" s="175"/>
      <x:c r="G28" s="175"/>
      <x:c r="H28" s="175"/>
      <x:c r="I28" s="175"/>
      <x:c r="J28" s="175"/>
      <x:c r="K28" s="212"/>
      <x:c r="L28" s="212"/>
      <x:c r="M28" s="175"/>
      <x:c r="N28" s="175"/>
      <x:c r="O28" s="175"/>
      <x:c r="P28" s="175"/>
      <x:c r="Q28" s="175"/>
      <x:c r="R28" s="212"/>
      <x:c r="S28" s="212"/>
      <x:c r="T28" s="212"/>
      <x:c r="U28" s="175"/>
      <x:c r="V28" s="175"/>
      <x:c r="W28" s="175"/>
      <x:c r="X28" s="175"/>
      <x:c r="Y28" s="175"/>
      <x:c r="Z28" s="175"/>
      <x:c r="AA28" s="172"/>
      <x:c r="AB28" s="172"/>
      <x:c r="AC28" s="172"/>
      <x:c r="AD28" s="172"/>
      <x:c r="AE28" s="172"/>
      <x:c r="AF28" s="172"/>
      <x:c r="AG28" s="172"/>
      <x:c r="AH28" s="172"/>
      <x:c r="AI28" s="172"/>
      <x:c r="AJ28" s="172"/>
      <x:c r="AK28" s="172"/>
      <x:c r="AL28" s="172"/>
      <x:c r="AM28" s="172"/>
      <x:c r="AN28" s="172"/>
      <x:c r="AO28" s="172"/>
      <x:c r="AP28" s="172"/>
      <x:c r="AQ28" s="172"/>
      <x:c r="AR28" s="172"/>
      <x:c r="AS28" s="172"/>
      <x:c r="AT28" s="172"/>
      <x:c r="AU28" s="172"/>
      <x:c r="AV28" s="172"/>
      <x:c r="AW28" s="172"/>
      <x:c r="AX28" s="172"/>
      <x:c r="AY28" s="172"/>
      <x:c r="AZ28" s="172"/>
    </x:row>
    <x:row r="29" ht="23" customHeight="1">
      <x:c r="A29" s="175"/>
      <x:c r="B29" s="177"/>
      <x:c r="C29" s="177"/>
      <x:c r="D29" s="175"/>
      <x:c r="E29" s="175"/>
      <x:c r="F29" s="175"/>
      <x:c r="G29" s="175"/>
      <x:c r="H29" s="175"/>
      <x:c r="I29" s="175"/>
      <x:c r="J29" s="175"/>
      <x:c r="K29" s="212"/>
      <x:c r="L29" s="212"/>
      <x:c r="M29" s="175"/>
      <x:c r="N29" s="175"/>
      <x:c r="O29" s="175"/>
      <x:c r="P29" s="175"/>
      <x:c r="Q29" s="175"/>
      <x:c r="R29" s="212"/>
      <x:c r="S29" s="212"/>
      <x:c r="T29" s="212"/>
      <x:c r="U29" s="175"/>
      <x:c r="V29" s="175"/>
      <x:c r="W29" s="175"/>
      <x:c r="X29" s="175"/>
      <x:c r="Y29" s="175"/>
      <x:c r="Z29" s="175"/>
      <x:c r="AA29" s="172"/>
      <x:c r="AB29" s="172"/>
      <x:c r="AC29" s="172"/>
      <x:c r="AD29" s="172"/>
      <x:c r="AE29" s="172"/>
      <x:c r="AF29" s="172"/>
      <x:c r="AG29" s="172"/>
      <x:c r="AH29" s="172"/>
      <x:c r="AI29" s="172"/>
      <x:c r="AJ29" s="172"/>
      <x:c r="AK29" s="172"/>
      <x:c r="AL29" s="172"/>
      <x:c r="AM29" s="172"/>
      <x:c r="AN29" s="172"/>
      <x:c r="AO29" s="172"/>
      <x:c r="AP29" s="172"/>
      <x:c r="AQ29" s="172"/>
      <x:c r="AR29" s="172"/>
      <x:c r="AS29" s="172"/>
      <x:c r="AT29" s="172"/>
      <x:c r="AU29" s="172"/>
      <x:c r="AV29" s="172"/>
      <x:c r="AW29" s="172"/>
      <x:c r="AX29" s="172"/>
      <x:c r="AY29" s="172"/>
      <x:c r="AZ29" s="172"/>
    </x:row>
    <x:row r="30" ht="23" customHeight="1">
      <x:c r="A30" s="175"/>
      <x:c r="B30" s="177"/>
      <x:c r="C30" s="177"/>
      <x:c r="D30" s="175"/>
      <x:c r="E30" s="175"/>
      <x:c r="F30" s="175"/>
      <x:c r="G30" s="175"/>
      <x:c r="H30" s="175"/>
      <x:c r="I30" s="175"/>
      <x:c r="J30" s="175"/>
      <x:c r="K30" s="212"/>
      <x:c r="L30" s="212"/>
      <x:c r="M30" s="175"/>
      <x:c r="N30" s="175"/>
      <x:c r="O30" s="175"/>
      <x:c r="P30" s="175"/>
      <x:c r="Q30" s="175"/>
      <x:c r="R30" s="212"/>
      <x:c r="S30" s="212"/>
      <x:c r="T30" s="212"/>
      <x:c r="U30" s="175"/>
      <x:c r="V30" s="175"/>
      <x:c r="W30" s="175"/>
      <x:c r="X30" s="175"/>
      <x:c r="Y30" s="175"/>
      <x:c r="Z30" s="175"/>
      <x:c r="AA30" s="172"/>
      <x:c r="AB30" s="172"/>
      <x:c r="AC30" s="172"/>
      <x:c r="AD30" s="172"/>
      <x:c r="AE30" s="172"/>
      <x:c r="AF30" s="172"/>
      <x:c r="AG30" s="172"/>
      <x:c r="AH30" s="172"/>
      <x:c r="AI30" s="172"/>
      <x:c r="AJ30" s="172"/>
      <x:c r="AK30" s="172"/>
      <x:c r="AL30" s="172"/>
      <x:c r="AM30" s="172"/>
      <x:c r="AN30" s="172"/>
      <x:c r="AO30" s="172"/>
      <x:c r="AP30" s="172"/>
      <x:c r="AQ30" s="172"/>
      <x:c r="AR30" s="172"/>
      <x:c r="AS30" s="172"/>
      <x:c r="AT30" s="172"/>
      <x:c r="AU30" s="172"/>
      <x:c r="AV30" s="172"/>
      <x:c r="AW30" s="172"/>
      <x:c r="AX30" s="172"/>
      <x:c r="AY30" s="172"/>
      <x:c r="AZ30" s="172"/>
    </x:row>
    <x:row r="31" ht="23" customHeight="1">
      <x:c r="A31" s="175"/>
      <x:c r="B31" s="177"/>
      <x:c r="C31" s="177"/>
      <x:c r="D31" s="175"/>
      <x:c r="E31" s="175"/>
      <x:c r="F31" s="175"/>
      <x:c r="G31" s="175"/>
      <x:c r="H31" s="175"/>
      <x:c r="I31" s="175"/>
      <x:c r="J31" s="175"/>
      <x:c r="K31" s="212"/>
      <x:c r="L31" s="212"/>
      <x:c r="M31" s="175"/>
      <x:c r="N31" s="175"/>
      <x:c r="O31" s="175"/>
      <x:c r="P31" s="175"/>
      <x:c r="Q31" s="175"/>
      <x:c r="R31" s="212"/>
      <x:c r="S31" s="212"/>
      <x:c r="T31" s="212"/>
      <x:c r="U31" s="175"/>
      <x:c r="V31" s="175"/>
      <x:c r="W31" s="175"/>
      <x:c r="X31" s="175"/>
      <x:c r="Y31" s="175"/>
      <x:c r="Z31" s="175"/>
      <x:c r="AA31" s="172"/>
      <x:c r="AB31" s="172"/>
      <x:c r="AC31" s="172"/>
      <x:c r="AD31" s="172"/>
      <x:c r="AE31" s="172"/>
      <x:c r="AF31" s="172"/>
      <x:c r="AG31" s="172"/>
      <x:c r="AH31" s="172"/>
      <x:c r="AI31" s="172"/>
      <x:c r="AJ31" s="172"/>
      <x:c r="AK31" s="172"/>
      <x:c r="AL31" s="172"/>
      <x:c r="AM31" s="172"/>
      <x:c r="AN31" s="172"/>
      <x:c r="AO31" s="172"/>
      <x:c r="AP31" s="172"/>
      <x:c r="AQ31" s="172"/>
      <x:c r="AR31" s="172"/>
      <x:c r="AS31" s="172"/>
      <x:c r="AT31" s="172"/>
      <x:c r="AU31" s="172"/>
      <x:c r="AV31" s="172"/>
      <x:c r="AW31" s="172"/>
      <x:c r="AX31" s="172"/>
      <x:c r="AY31" s="172"/>
      <x:c r="AZ31" s="172"/>
    </x:row>
    <x:row r="32" ht="23" customHeight="1">
      <x:c r="A32" s="175"/>
      <x:c r="B32" s="177"/>
      <x:c r="C32" s="177"/>
      <x:c r="D32" s="175"/>
      <x:c r="E32" s="175"/>
      <x:c r="F32" s="175"/>
      <x:c r="G32" s="175"/>
      <x:c r="H32" s="175"/>
      <x:c r="I32" s="175"/>
      <x:c r="J32" s="175"/>
      <x:c r="K32" s="212"/>
      <x:c r="L32" s="212"/>
      <x:c r="M32" s="175"/>
      <x:c r="N32" s="175"/>
      <x:c r="O32" s="175"/>
      <x:c r="P32" s="175"/>
      <x:c r="Q32" s="175"/>
      <x:c r="R32" s="212"/>
      <x:c r="S32" s="212"/>
      <x:c r="T32" s="212"/>
      <x:c r="U32" s="175"/>
      <x:c r="V32" s="175"/>
      <x:c r="W32" s="175"/>
      <x:c r="X32" s="175"/>
      <x:c r="Y32" s="175"/>
      <x:c r="Z32" s="175"/>
      <x:c r="AA32" s="172"/>
      <x:c r="AB32" s="172"/>
      <x:c r="AC32" s="172"/>
      <x:c r="AD32" s="172"/>
      <x:c r="AE32" s="172"/>
      <x:c r="AF32" s="172"/>
      <x:c r="AG32" s="172"/>
      <x:c r="AH32" s="172"/>
      <x:c r="AI32" s="172"/>
      <x:c r="AJ32" s="172"/>
      <x:c r="AK32" s="172"/>
      <x:c r="AL32" s="172"/>
      <x:c r="AM32" s="172"/>
      <x:c r="AN32" s="172"/>
      <x:c r="AO32" s="172"/>
      <x:c r="AP32" s="172"/>
      <x:c r="AQ32" s="172"/>
      <x:c r="AR32" s="172"/>
      <x:c r="AS32" s="172"/>
      <x:c r="AT32" s="172"/>
      <x:c r="AU32" s="172"/>
      <x:c r="AV32" s="172"/>
      <x:c r="AW32" s="172"/>
      <x:c r="AX32" s="172"/>
      <x:c r="AY32" s="172"/>
      <x:c r="AZ32" s="172"/>
    </x:row>
    <x:row r="33" ht="23" customHeight="1">
      <x:c r="A33" s="175"/>
      <x:c r="B33" s="177"/>
      <x:c r="C33" s="177"/>
      <x:c r="D33" s="175"/>
      <x:c r="E33" s="175"/>
      <x:c r="F33" s="175"/>
      <x:c r="G33" s="175"/>
      <x:c r="H33" s="175"/>
      <x:c r="I33" s="175"/>
      <x:c r="J33" s="175"/>
      <x:c r="K33" s="212"/>
      <x:c r="L33" s="212"/>
      <x:c r="M33" s="175"/>
      <x:c r="N33" s="175"/>
      <x:c r="O33" s="175"/>
      <x:c r="P33" s="175"/>
      <x:c r="Q33" s="175"/>
      <x:c r="R33" s="212"/>
      <x:c r="S33" s="212"/>
      <x:c r="T33" s="212"/>
      <x:c r="U33" s="175"/>
      <x:c r="V33" s="175"/>
      <x:c r="W33" s="175"/>
      <x:c r="X33" s="175"/>
      <x:c r="Y33" s="175"/>
      <x:c r="Z33" s="175"/>
      <x:c r="AA33" s="172"/>
      <x:c r="AB33" s="172"/>
      <x:c r="AC33" s="172"/>
      <x:c r="AD33" s="172"/>
      <x:c r="AE33" s="172"/>
      <x:c r="AF33" s="172"/>
      <x:c r="AG33" s="172"/>
      <x:c r="AH33" s="172"/>
      <x:c r="AI33" s="172"/>
      <x:c r="AJ33" s="172"/>
      <x:c r="AK33" s="172"/>
      <x:c r="AL33" s="172"/>
      <x:c r="AM33" s="172"/>
      <x:c r="AN33" s="172"/>
      <x:c r="AO33" s="172"/>
      <x:c r="AP33" s="172"/>
      <x:c r="AQ33" s="172"/>
      <x:c r="AR33" s="172"/>
      <x:c r="AS33" s="172"/>
      <x:c r="AT33" s="172"/>
      <x:c r="AU33" s="172"/>
      <x:c r="AV33" s="172"/>
      <x:c r="AW33" s="172"/>
      <x:c r="AX33" s="172"/>
      <x:c r="AY33" s="172"/>
      <x:c r="AZ33" s="172"/>
    </x:row>
    <x:row r="34" ht="23" customHeight="1">
      <x:c r="A34" s="175"/>
      <x:c r="B34" s="177"/>
      <x:c r="C34" s="177"/>
      <x:c r="D34" s="175"/>
      <x:c r="E34" s="175"/>
      <x:c r="F34" s="175"/>
      <x:c r="G34" s="175"/>
      <x:c r="H34" s="175"/>
      <x:c r="I34" s="175"/>
      <x:c r="J34" s="175"/>
      <x:c r="K34" s="212"/>
      <x:c r="L34" s="212"/>
      <x:c r="M34" s="175"/>
      <x:c r="N34" s="175"/>
      <x:c r="O34" s="175"/>
      <x:c r="P34" s="175"/>
      <x:c r="Q34" s="175"/>
      <x:c r="R34" s="212"/>
      <x:c r="S34" s="212"/>
      <x:c r="T34" s="212"/>
      <x:c r="U34" s="175"/>
      <x:c r="V34" s="175"/>
      <x:c r="W34" s="175"/>
      <x:c r="X34" s="175"/>
      <x:c r="Y34" s="175"/>
      <x:c r="Z34" s="175"/>
      <x:c r="AA34" s="172"/>
      <x:c r="AB34" s="172"/>
      <x:c r="AC34" s="172"/>
      <x:c r="AD34" s="172"/>
      <x:c r="AE34" s="172"/>
      <x:c r="AF34" s="172"/>
      <x:c r="AG34" s="172"/>
      <x:c r="AH34" s="172"/>
      <x:c r="AI34" s="172"/>
      <x:c r="AJ34" s="172"/>
      <x:c r="AK34" s="172"/>
      <x:c r="AL34" s="172"/>
      <x:c r="AM34" s="172"/>
      <x:c r="AN34" s="172"/>
      <x:c r="AO34" s="172"/>
      <x:c r="AP34" s="172"/>
      <x:c r="AQ34" s="172"/>
      <x:c r="AR34" s="172"/>
      <x:c r="AS34" s="172"/>
      <x:c r="AT34" s="172"/>
      <x:c r="AU34" s="172"/>
      <x:c r="AV34" s="172"/>
      <x:c r="AW34" s="172"/>
      <x:c r="AX34" s="172"/>
      <x:c r="AY34" s="172"/>
      <x:c r="AZ34" s="172"/>
    </x:row>
    <x:row r="35" ht="23" customHeight="1">
      <x:c r="A35" s="175"/>
      <x:c r="B35" s="177"/>
      <x:c r="C35" s="177"/>
      <x:c r="D35" s="175"/>
      <x:c r="E35" s="175"/>
      <x:c r="F35" s="175"/>
      <x:c r="G35" s="175"/>
      <x:c r="H35" s="175"/>
      <x:c r="I35" s="175"/>
      <x:c r="J35" s="175"/>
      <x:c r="K35" s="212"/>
      <x:c r="L35" s="212"/>
      <x:c r="M35" s="175"/>
      <x:c r="N35" s="175"/>
      <x:c r="O35" s="175"/>
      <x:c r="P35" s="175"/>
      <x:c r="Q35" s="175"/>
      <x:c r="R35" s="212"/>
      <x:c r="S35" s="212"/>
      <x:c r="T35" s="212"/>
      <x:c r="U35" s="175"/>
      <x:c r="V35" s="175"/>
      <x:c r="W35" s="175"/>
      <x:c r="X35" s="175"/>
      <x:c r="Y35" s="175"/>
      <x:c r="Z35" s="175"/>
      <x:c r="AA35" s="172"/>
      <x:c r="AB35" s="172"/>
      <x:c r="AC35" s="172"/>
      <x:c r="AD35" s="172"/>
      <x:c r="AE35" s="172"/>
      <x:c r="AF35" s="172"/>
      <x:c r="AG35" s="172"/>
      <x:c r="AH35" s="172"/>
      <x:c r="AI35" s="172"/>
      <x:c r="AJ35" s="172"/>
      <x:c r="AK35" s="172"/>
      <x:c r="AL35" s="172"/>
      <x:c r="AM35" s="172"/>
      <x:c r="AN35" s="172"/>
      <x:c r="AO35" s="172"/>
      <x:c r="AP35" s="172"/>
      <x:c r="AQ35" s="172"/>
      <x:c r="AR35" s="172"/>
      <x:c r="AS35" s="172"/>
      <x:c r="AT35" s="172"/>
      <x:c r="AU35" s="172"/>
      <x:c r="AV35" s="172"/>
      <x:c r="AW35" s="172"/>
      <x:c r="AX35" s="172"/>
      <x:c r="AY35" s="172"/>
      <x:c r="AZ35" s="172"/>
    </x:row>
    <x:row r="36" ht="23" customHeight="1">
      <x:c r="A36" s="175"/>
      <x:c r="B36" s="177"/>
      <x:c r="C36" s="177"/>
      <x:c r="D36" s="175"/>
      <x:c r="E36" s="175"/>
      <x:c r="F36" s="175"/>
      <x:c r="G36" s="175"/>
      <x:c r="H36" s="175"/>
      <x:c r="I36" s="175"/>
      <x:c r="J36" s="175"/>
      <x:c r="K36" s="212"/>
      <x:c r="L36" s="212"/>
      <x:c r="M36" s="175"/>
      <x:c r="N36" s="175"/>
      <x:c r="O36" s="175"/>
      <x:c r="P36" s="175"/>
      <x:c r="Q36" s="175"/>
      <x:c r="R36" s="212"/>
      <x:c r="S36" s="212"/>
      <x:c r="T36" s="212"/>
      <x:c r="U36" s="175"/>
      <x:c r="V36" s="175"/>
      <x:c r="W36" s="175"/>
      <x:c r="X36" s="175"/>
      <x:c r="Y36" s="175"/>
      <x:c r="Z36" s="175"/>
      <x:c r="AA36" s="172"/>
      <x:c r="AB36" s="172"/>
      <x:c r="AC36" s="172"/>
      <x:c r="AD36" s="172"/>
      <x:c r="AE36" s="172"/>
      <x:c r="AF36" s="172"/>
      <x:c r="AG36" s="172"/>
      <x:c r="AH36" s="172"/>
      <x:c r="AI36" s="172"/>
      <x:c r="AJ36" s="172"/>
      <x:c r="AK36" s="172"/>
      <x:c r="AL36" s="172"/>
      <x:c r="AM36" s="172"/>
      <x:c r="AN36" s="172"/>
      <x:c r="AO36" s="172"/>
      <x:c r="AP36" s="172"/>
      <x:c r="AQ36" s="172"/>
      <x:c r="AR36" s="172"/>
      <x:c r="AS36" s="172"/>
      <x:c r="AT36" s="172"/>
      <x:c r="AU36" s="172"/>
      <x:c r="AV36" s="172"/>
      <x:c r="AW36" s="172"/>
      <x:c r="AX36" s="172"/>
      <x:c r="AY36" s="172"/>
      <x:c r="AZ36" s="172"/>
    </x:row>
    <x:row r="37" ht="23" customHeight="1">
      <x:c r="A37" s="175"/>
      <x:c r="B37" s="177"/>
      <x:c r="C37" s="177"/>
      <x:c r="D37" s="175"/>
      <x:c r="E37" s="175"/>
      <x:c r="F37" s="175"/>
      <x:c r="G37" s="175"/>
      <x:c r="H37" s="175"/>
      <x:c r="I37" s="175"/>
      <x:c r="J37" s="175"/>
      <x:c r="K37" s="212"/>
      <x:c r="L37" s="212"/>
      <x:c r="M37" s="175"/>
      <x:c r="N37" s="175"/>
      <x:c r="O37" s="175"/>
      <x:c r="P37" s="175"/>
      <x:c r="Q37" s="175"/>
      <x:c r="R37" s="212"/>
      <x:c r="S37" s="212"/>
      <x:c r="T37" s="212"/>
      <x:c r="U37" s="175"/>
      <x:c r="V37" s="175"/>
      <x:c r="W37" s="175"/>
      <x:c r="X37" s="175"/>
      <x:c r="Y37" s="175"/>
      <x:c r="Z37" s="175"/>
      <x:c r="AA37" s="172"/>
      <x:c r="AB37" s="172"/>
      <x:c r="AC37" s="172"/>
      <x:c r="AD37" s="172"/>
      <x:c r="AE37" s="172"/>
      <x:c r="AF37" s="172"/>
      <x:c r="AG37" s="172"/>
      <x:c r="AH37" s="172"/>
      <x:c r="AI37" s="172"/>
      <x:c r="AJ37" s="172"/>
      <x:c r="AK37" s="172"/>
      <x:c r="AL37" s="172"/>
      <x:c r="AM37" s="172"/>
      <x:c r="AN37" s="172"/>
      <x:c r="AO37" s="172"/>
      <x:c r="AP37" s="172"/>
      <x:c r="AQ37" s="172"/>
      <x:c r="AR37" s="172"/>
      <x:c r="AS37" s="172"/>
      <x:c r="AT37" s="172"/>
      <x:c r="AU37" s="172"/>
      <x:c r="AV37" s="172"/>
      <x:c r="AW37" s="172"/>
      <x:c r="AX37" s="172"/>
      <x:c r="AY37" s="172"/>
      <x:c r="AZ37" s="172"/>
    </x:row>
    <x:row r="38" ht="23" customHeight="1">
      <x:c r="A38" s="175"/>
      <x:c r="B38" s="177"/>
      <x:c r="C38" s="177"/>
      <x:c r="D38" s="175"/>
      <x:c r="E38" s="175"/>
      <x:c r="F38" s="175"/>
      <x:c r="G38" s="175"/>
      <x:c r="H38" s="175"/>
      <x:c r="I38" s="175"/>
      <x:c r="J38" s="175"/>
      <x:c r="K38" s="212"/>
      <x:c r="L38" s="212"/>
      <x:c r="M38" s="175"/>
      <x:c r="N38" s="175"/>
      <x:c r="O38" s="175"/>
      <x:c r="P38" s="175"/>
      <x:c r="Q38" s="175"/>
      <x:c r="R38" s="212"/>
      <x:c r="S38" s="212"/>
      <x:c r="T38" s="212"/>
      <x:c r="U38" s="175"/>
      <x:c r="V38" s="175"/>
      <x:c r="W38" s="175"/>
      <x:c r="X38" s="175"/>
      <x:c r="Y38" s="175"/>
      <x:c r="Z38" s="175"/>
      <x:c r="AA38" s="172"/>
      <x:c r="AB38" s="172"/>
      <x:c r="AC38" s="172"/>
      <x:c r="AD38" s="172"/>
      <x:c r="AE38" s="172"/>
      <x:c r="AF38" s="172"/>
      <x:c r="AG38" s="172"/>
      <x:c r="AH38" s="172"/>
      <x:c r="AI38" s="172"/>
      <x:c r="AJ38" s="172"/>
      <x:c r="AK38" s="172"/>
      <x:c r="AL38" s="172"/>
      <x:c r="AM38" s="172"/>
      <x:c r="AN38" s="172"/>
      <x:c r="AO38" s="172"/>
      <x:c r="AP38" s="172"/>
      <x:c r="AQ38" s="172"/>
      <x:c r="AR38" s="172"/>
      <x:c r="AS38" s="172"/>
      <x:c r="AT38" s="172"/>
      <x:c r="AU38" s="172"/>
      <x:c r="AV38" s="172"/>
      <x:c r="AW38" s="172"/>
      <x:c r="AX38" s="172"/>
      <x:c r="AY38" s="172"/>
      <x:c r="AZ38" s="172"/>
    </x:row>
    <x:row r="39" ht="23" customHeight="1">
      <x:c r="A39" s="175"/>
      <x:c r="B39" s="177"/>
      <x:c r="C39" s="177"/>
      <x:c r="D39" s="175"/>
      <x:c r="E39" s="175"/>
      <x:c r="F39" s="175"/>
      <x:c r="G39" s="175"/>
      <x:c r="H39" s="175"/>
      <x:c r="I39" s="175"/>
      <x:c r="J39" s="175"/>
      <x:c r="K39" s="212"/>
      <x:c r="L39" s="212"/>
      <x:c r="M39" s="175"/>
      <x:c r="N39" s="175"/>
      <x:c r="O39" s="175"/>
      <x:c r="P39" s="175"/>
      <x:c r="Q39" s="175"/>
      <x:c r="R39" s="212"/>
      <x:c r="S39" s="212"/>
      <x:c r="T39" s="212"/>
      <x:c r="U39" s="175"/>
      <x:c r="V39" s="175"/>
      <x:c r="W39" s="175"/>
      <x:c r="X39" s="175"/>
      <x:c r="Y39" s="175"/>
      <x:c r="Z39" s="175"/>
      <x:c r="AA39" s="172"/>
      <x:c r="AB39" s="172"/>
      <x:c r="AC39" s="172"/>
      <x:c r="AD39" s="172"/>
      <x:c r="AE39" s="172"/>
      <x:c r="AF39" s="172"/>
      <x:c r="AG39" s="172"/>
      <x:c r="AH39" s="172"/>
      <x:c r="AI39" s="172"/>
      <x:c r="AJ39" s="172"/>
      <x:c r="AK39" s="172"/>
      <x:c r="AL39" s="172"/>
      <x:c r="AM39" s="172"/>
      <x:c r="AN39" s="172"/>
      <x:c r="AO39" s="172"/>
      <x:c r="AP39" s="172"/>
      <x:c r="AQ39" s="172"/>
      <x:c r="AR39" s="172"/>
      <x:c r="AS39" s="172"/>
      <x:c r="AT39" s="172"/>
      <x:c r="AU39" s="172"/>
      <x:c r="AV39" s="172"/>
      <x:c r="AW39" s="172"/>
      <x:c r="AX39" s="172"/>
      <x:c r="AY39" s="172"/>
      <x:c r="AZ39" s="172"/>
    </x:row>
    <x:row r="40" ht="23" customHeight="1">
      <x:c r="A40" s="175"/>
      <x:c r="B40" s="177"/>
      <x:c r="C40" s="177"/>
      <x:c r="D40" s="175"/>
      <x:c r="E40" s="175"/>
      <x:c r="F40" s="175"/>
      <x:c r="G40" s="175"/>
      <x:c r="H40" s="175"/>
      <x:c r="I40" s="175"/>
      <x:c r="J40" s="175"/>
      <x:c r="K40" s="212"/>
      <x:c r="L40" s="212"/>
      <x:c r="M40" s="175"/>
      <x:c r="N40" s="175"/>
      <x:c r="O40" s="175"/>
      <x:c r="P40" s="175"/>
      <x:c r="Q40" s="175"/>
      <x:c r="R40" s="212"/>
      <x:c r="S40" s="212"/>
      <x:c r="T40" s="212"/>
      <x:c r="U40" s="175"/>
      <x:c r="V40" s="175"/>
      <x:c r="W40" s="175"/>
      <x:c r="X40" s="175"/>
      <x:c r="Y40" s="175"/>
      <x:c r="Z40" s="175"/>
      <x:c r="AA40" s="172"/>
      <x:c r="AB40" s="172"/>
      <x:c r="AC40" s="172"/>
      <x:c r="AD40" s="172"/>
      <x:c r="AE40" s="172"/>
      <x:c r="AF40" s="172"/>
      <x:c r="AG40" s="172"/>
      <x:c r="AH40" s="172"/>
      <x:c r="AI40" s="172"/>
      <x:c r="AJ40" s="172"/>
      <x:c r="AK40" s="172"/>
      <x:c r="AL40" s="172"/>
      <x:c r="AM40" s="172"/>
      <x:c r="AN40" s="172"/>
      <x:c r="AO40" s="172"/>
      <x:c r="AP40" s="172"/>
      <x:c r="AQ40" s="172"/>
      <x:c r="AR40" s="172"/>
      <x:c r="AS40" s="172"/>
      <x:c r="AT40" s="172"/>
      <x:c r="AU40" s="172"/>
      <x:c r="AV40" s="172"/>
      <x:c r="AW40" s="172"/>
      <x:c r="AX40" s="172"/>
      <x:c r="AY40" s="172"/>
      <x:c r="AZ40" s="172"/>
    </x:row>
    <x:row r="41" ht="23" customHeight="1">
      <x:c r="A41" s="175"/>
      <x:c r="B41" s="177"/>
      <x:c r="C41" s="177"/>
      <x:c r="D41" s="175"/>
      <x:c r="E41" s="175"/>
      <x:c r="F41" s="175"/>
      <x:c r="G41" s="175"/>
      <x:c r="H41" s="175"/>
      <x:c r="I41" s="175"/>
      <x:c r="J41" s="175"/>
      <x:c r="K41" s="212"/>
      <x:c r="L41" s="212"/>
      <x:c r="M41" s="175"/>
      <x:c r="N41" s="175"/>
      <x:c r="O41" s="175"/>
      <x:c r="P41" s="175"/>
      <x:c r="Q41" s="175"/>
      <x:c r="R41" s="212"/>
      <x:c r="S41" s="212"/>
      <x:c r="T41" s="212"/>
      <x:c r="U41" s="175"/>
      <x:c r="V41" s="175"/>
      <x:c r="W41" s="175"/>
      <x:c r="X41" s="175"/>
      <x:c r="Y41" s="175"/>
      <x:c r="Z41" s="175"/>
      <x:c r="AA41" s="172"/>
      <x:c r="AB41" s="172"/>
      <x:c r="AC41" s="172"/>
      <x:c r="AD41" s="172"/>
      <x:c r="AE41" s="172"/>
      <x:c r="AF41" s="172"/>
      <x:c r="AG41" s="172"/>
      <x:c r="AH41" s="172"/>
      <x:c r="AI41" s="172"/>
      <x:c r="AJ41" s="172"/>
      <x:c r="AK41" s="172"/>
      <x:c r="AL41" s="172"/>
      <x:c r="AM41" s="172"/>
      <x:c r="AN41" s="172"/>
      <x:c r="AO41" s="172"/>
      <x:c r="AP41" s="172"/>
      <x:c r="AQ41" s="172"/>
      <x:c r="AR41" s="172"/>
      <x:c r="AS41" s="172"/>
      <x:c r="AT41" s="172"/>
      <x:c r="AU41" s="172"/>
      <x:c r="AV41" s="172"/>
      <x:c r="AW41" s="172"/>
      <x:c r="AX41" s="172"/>
      <x:c r="AY41" s="172"/>
      <x:c r="AZ41" s="172"/>
    </x:row>
    <x:row r="42" ht="23" customHeight="1">
      <x:c r="A42" s="175"/>
      <x:c r="B42" s="177"/>
      <x:c r="C42" s="177"/>
      <x:c r="D42" s="175"/>
      <x:c r="E42" s="175"/>
      <x:c r="F42" s="175"/>
      <x:c r="G42" s="175"/>
      <x:c r="H42" s="175"/>
      <x:c r="I42" s="175"/>
      <x:c r="J42" s="175"/>
      <x:c r="K42" s="212"/>
      <x:c r="L42" s="212"/>
      <x:c r="M42" s="175"/>
      <x:c r="N42" s="175"/>
      <x:c r="O42" s="175"/>
      <x:c r="P42" s="175"/>
      <x:c r="Q42" s="175"/>
      <x:c r="R42" s="212"/>
      <x:c r="S42" s="212"/>
      <x:c r="T42" s="212"/>
      <x:c r="U42" s="175"/>
      <x:c r="V42" s="175"/>
      <x:c r="W42" s="175"/>
      <x:c r="X42" s="175"/>
      <x:c r="Y42" s="175"/>
      <x:c r="Z42" s="175"/>
      <x:c r="AA42" s="172"/>
      <x:c r="AB42" s="172"/>
      <x:c r="AC42" s="172"/>
      <x:c r="AD42" s="172"/>
      <x:c r="AE42" s="172"/>
      <x:c r="AF42" s="172"/>
      <x:c r="AG42" s="172"/>
      <x:c r="AH42" s="172"/>
      <x:c r="AI42" s="172"/>
      <x:c r="AJ42" s="172"/>
      <x:c r="AK42" s="172"/>
      <x:c r="AL42" s="172"/>
      <x:c r="AM42" s="172"/>
      <x:c r="AN42" s="172"/>
      <x:c r="AO42" s="172"/>
      <x:c r="AP42" s="172"/>
      <x:c r="AQ42" s="172"/>
      <x:c r="AR42" s="172"/>
      <x:c r="AS42" s="172"/>
      <x:c r="AT42" s="172"/>
      <x:c r="AU42" s="172"/>
      <x:c r="AV42" s="172"/>
      <x:c r="AW42" s="172"/>
      <x:c r="AX42" s="172"/>
      <x:c r="AY42" s="172"/>
      <x:c r="AZ42" s="172"/>
    </x:row>
    <x:row r="43" ht="23" customHeight="1">
      <x:c r="A43" s="175"/>
      <x:c r="B43" s="177"/>
      <x:c r="C43" s="177"/>
      <x:c r="D43" s="175"/>
      <x:c r="E43" s="175"/>
      <x:c r="F43" s="175"/>
      <x:c r="G43" s="175"/>
      <x:c r="H43" s="175"/>
      <x:c r="I43" s="175"/>
      <x:c r="J43" s="175"/>
      <x:c r="K43" s="212"/>
      <x:c r="L43" s="212"/>
      <x:c r="M43" s="175"/>
      <x:c r="N43" s="175"/>
      <x:c r="O43" s="175"/>
      <x:c r="P43" s="175"/>
      <x:c r="Q43" s="175"/>
      <x:c r="R43" s="212"/>
      <x:c r="S43" s="212"/>
      <x:c r="T43" s="212"/>
      <x:c r="U43" s="175"/>
      <x:c r="V43" s="175"/>
      <x:c r="W43" s="175"/>
      <x:c r="X43" s="175"/>
      <x:c r="Y43" s="175"/>
      <x:c r="Z43" s="175"/>
      <x:c r="AA43" s="172"/>
      <x:c r="AB43" s="172"/>
      <x:c r="AC43" s="172"/>
      <x:c r="AD43" s="172"/>
      <x:c r="AE43" s="172"/>
      <x:c r="AF43" s="172"/>
      <x:c r="AG43" s="172"/>
      <x:c r="AH43" s="172"/>
      <x:c r="AI43" s="172"/>
      <x:c r="AJ43" s="172"/>
      <x:c r="AK43" s="172"/>
      <x:c r="AL43" s="172"/>
      <x:c r="AM43" s="172"/>
      <x:c r="AN43" s="172"/>
      <x:c r="AO43" s="172"/>
      <x:c r="AP43" s="172"/>
      <x:c r="AQ43" s="172"/>
      <x:c r="AR43" s="172"/>
      <x:c r="AS43" s="172"/>
      <x:c r="AT43" s="172"/>
      <x:c r="AU43" s="172"/>
      <x:c r="AV43" s="172"/>
      <x:c r="AW43" s="172"/>
      <x:c r="AX43" s="172"/>
      <x:c r="AY43" s="172"/>
      <x:c r="AZ43" s="172"/>
    </x:row>
    <x:row r="44" ht="23" customHeight="1">
      <x:c r="A44" s="175"/>
      <x:c r="B44" s="177"/>
      <x:c r="C44" s="177"/>
      <x:c r="D44" s="175"/>
      <x:c r="E44" s="175"/>
      <x:c r="F44" s="175"/>
      <x:c r="G44" s="175"/>
      <x:c r="H44" s="175"/>
      <x:c r="I44" s="175"/>
      <x:c r="J44" s="175"/>
      <x:c r="K44" s="212"/>
      <x:c r="L44" s="212"/>
      <x:c r="M44" s="175"/>
      <x:c r="N44" s="175"/>
      <x:c r="O44" s="175"/>
      <x:c r="P44" s="175"/>
      <x:c r="Q44" s="175"/>
      <x:c r="R44" s="212"/>
      <x:c r="S44" s="212"/>
      <x:c r="T44" s="212"/>
      <x:c r="U44" s="175"/>
      <x:c r="V44" s="175"/>
      <x:c r="W44" s="175"/>
      <x:c r="X44" s="175"/>
      <x:c r="Y44" s="175"/>
      <x:c r="Z44" s="175"/>
      <x:c r="AA44" s="172"/>
      <x:c r="AB44" s="172"/>
      <x:c r="AC44" s="172"/>
      <x:c r="AD44" s="172"/>
      <x:c r="AE44" s="172"/>
      <x:c r="AF44" s="172"/>
      <x:c r="AG44" s="172"/>
      <x:c r="AH44" s="172"/>
      <x:c r="AI44" s="172"/>
      <x:c r="AJ44" s="172"/>
      <x:c r="AK44" s="172"/>
      <x:c r="AL44" s="172"/>
      <x:c r="AM44" s="172"/>
      <x:c r="AN44" s="172"/>
      <x:c r="AO44" s="172"/>
      <x:c r="AP44" s="172"/>
      <x:c r="AQ44" s="172"/>
      <x:c r="AR44" s="172"/>
      <x:c r="AS44" s="172"/>
      <x:c r="AT44" s="172"/>
      <x:c r="AU44" s="172"/>
      <x:c r="AV44" s="172"/>
      <x:c r="AW44" s="172"/>
      <x:c r="AX44" s="172"/>
      <x:c r="AY44" s="172"/>
      <x:c r="AZ44" s="172"/>
    </x:row>
    <x:row r="45" ht="23" customHeight="1">
      <x:c r="A45" s="175"/>
      <x:c r="B45" s="177"/>
      <x:c r="C45" s="177"/>
      <x:c r="D45" s="175"/>
      <x:c r="E45" s="175"/>
      <x:c r="F45" s="175"/>
      <x:c r="G45" s="175"/>
      <x:c r="H45" s="175"/>
      <x:c r="I45" s="175"/>
      <x:c r="J45" s="175"/>
      <x:c r="K45" s="212"/>
      <x:c r="L45" s="212"/>
      <x:c r="M45" s="175"/>
      <x:c r="N45" s="175"/>
      <x:c r="O45" s="175"/>
      <x:c r="P45" s="175"/>
      <x:c r="Q45" s="175"/>
      <x:c r="R45" s="212"/>
      <x:c r="S45" s="212"/>
      <x:c r="T45" s="212"/>
      <x:c r="U45" s="175"/>
      <x:c r="V45" s="175"/>
      <x:c r="W45" s="175"/>
      <x:c r="X45" s="175"/>
      <x:c r="Y45" s="175"/>
      <x:c r="Z45" s="175"/>
      <x:c r="AA45" s="172"/>
      <x:c r="AB45" s="172"/>
      <x:c r="AC45" s="172"/>
      <x:c r="AD45" s="172"/>
      <x:c r="AE45" s="172"/>
      <x:c r="AF45" s="172"/>
      <x:c r="AG45" s="172"/>
      <x:c r="AH45" s="172"/>
      <x:c r="AI45" s="172"/>
      <x:c r="AJ45" s="172"/>
      <x:c r="AK45" s="172"/>
      <x:c r="AL45" s="172"/>
      <x:c r="AM45" s="172"/>
      <x:c r="AN45" s="172"/>
      <x:c r="AO45" s="172"/>
      <x:c r="AP45" s="172"/>
      <x:c r="AQ45" s="172"/>
      <x:c r="AR45" s="172"/>
      <x:c r="AS45" s="172"/>
      <x:c r="AT45" s="172"/>
      <x:c r="AU45" s="172"/>
      <x:c r="AV45" s="172"/>
      <x:c r="AW45" s="172"/>
      <x:c r="AX45" s="172"/>
      <x:c r="AY45" s="172"/>
      <x:c r="AZ45" s="172"/>
    </x:row>
    <x:row r="46" ht="23" customHeight="1">
      <x:c r="A46" s="175"/>
      <x:c r="B46" s="177"/>
      <x:c r="C46" s="177"/>
      <x:c r="D46" s="175"/>
      <x:c r="E46" s="175"/>
      <x:c r="F46" s="175"/>
      <x:c r="G46" s="175"/>
      <x:c r="H46" s="175"/>
      <x:c r="I46" s="175"/>
      <x:c r="J46" s="175"/>
      <x:c r="K46" s="212"/>
      <x:c r="L46" s="212"/>
      <x:c r="M46" s="175"/>
      <x:c r="N46" s="175"/>
      <x:c r="O46" s="175"/>
      <x:c r="P46" s="175"/>
      <x:c r="Q46" s="175"/>
      <x:c r="R46" s="212"/>
      <x:c r="S46" s="212"/>
      <x:c r="T46" s="212"/>
      <x:c r="U46" s="175"/>
      <x:c r="V46" s="175"/>
      <x:c r="W46" s="175"/>
      <x:c r="X46" s="175"/>
      <x:c r="Y46" s="175"/>
      <x:c r="Z46" s="175"/>
      <x:c r="AA46" s="172"/>
      <x:c r="AB46" s="172"/>
      <x:c r="AC46" s="172"/>
      <x:c r="AD46" s="172"/>
      <x:c r="AE46" s="172"/>
      <x:c r="AF46" s="172"/>
      <x:c r="AG46" s="172"/>
      <x:c r="AH46" s="172"/>
      <x:c r="AI46" s="172"/>
      <x:c r="AJ46" s="172"/>
      <x:c r="AK46" s="172"/>
      <x:c r="AL46" s="172"/>
      <x:c r="AM46" s="172"/>
      <x:c r="AN46" s="172"/>
      <x:c r="AO46" s="172"/>
      <x:c r="AP46" s="172"/>
      <x:c r="AQ46" s="172"/>
      <x:c r="AR46" s="172"/>
      <x:c r="AS46" s="172"/>
      <x:c r="AT46" s="172"/>
      <x:c r="AU46" s="172"/>
      <x:c r="AV46" s="172"/>
      <x:c r="AW46" s="172"/>
      <x:c r="AX46" s="172"/>
      <x:c r="AY46" s="172"/>
      <x:c r="AZ46" s="172"/>
    </x:row>
    <x:row r="47" ht="23" customHeight="1">
      <x:c r="A47" s="175"/>
      <x:c r="B47" s="177"/>
      <x:c r="C47" s="177"/>
      <x:c r="D47" s="175"/>
      <x:c r="E47" s="175"/>
      <x:c r="F47" s="175"/>
      <x:c r="G47" s="175"/>
      <x:c r="H47" s="175"/>
      <x:c r="I47" s="175"/>
      <x:c r="J47" s="175"/>
      <x:c r="K47" s="212"/>
      <x:c r="L47" s="212"/>
      <x:c r="M47" s="175"/>
      <x:c r="N47" s="175"/>
      <x:c r="O47" s="175"/>
      <x:c r="P47" s="175"/>
      <x:c r="Q47" s="175"/>
      <x:c r="R47" s="212"/>
      <x:c r="S47" s="212"/>
      <x:c r="T47" s="212"/>
      <x:c r="U47" s="175"/>
      <x:c r="V47" s="175"/>
      <x:c r="W47" s="175"/>
      <x:c r="X47" s="175"/>
      <x:c r="Y47" s="175"/>
      <x:c r="Z47" s="175"/>
      <x:c r="AA47" s="172"/>
      <x:c r="AB47" s="172"/>
      <x:c r="AC47" s="172"/>
      <x:c r="AD47" s="172"/>
      <x:c r="AE47" s="172"/>
      <x:c r="AF47" s="172"/>
      <x:c r="AG47" s="172"/>
      <x:c r="AH47" s="172"/>
      <x:c r="AI47" s="172"/>
      <x:c r="AJ47" s="172"/>
      <x:c r="AK47" s="172"/>
      <x:c r="AL47" s="172"/>
      <x:c r="AM47" s="172"/>
      <x:c r="AN47" s="172"/>
      <x:c r="AO47" s="172"/>
      <x:c r="AP47" s="172"/>
      <x:c r="AQ47" s="172"/>
      <x:c r="AR47" s="172"/>
      <x:c r="AS47" s="172"/>
      <x:c r="AT47" s="172"/>
      <x:c r="AU47" s="172"/>
      <x:c r="AV47" s="172"/>
      <x:c r="AW47" s="172"/>
      <x:c r="AX47" s="172"/>
      <x:c r="AY47" s="172"/>
      <x:c r="AZ47" s="172"/>
    </x:row>
    <x:row r="48" ht="23" customHeight="1">
      <x:c r="A48" s="175"/>
      <x:c r="B48" s="177"/>
      <x:c r="C48" s="177"/>
      <x:c r="D48" s="175"/>
      <x:c r="E48" s="175"/>
      <x:c r="F48" s="175"/>
      <x:c r="G48" s="175"/>
      <x:c r="H48" s="175"/>
      <x:c r="I48" s="175"/>
      <x:c r="J48" s="175"/>
      <x:c r="K48" s="212"/>
      <x:c r="L48" s="212"/>
      <x:c r="M48" s="175"/>
      <x:c r="N48" s="175"/>
      <x:c r="O48" s="175"/>
      <x:c r="P48" s="175"/>
      <x:c r="Q48" s="175"/>
      <x:c r="R48" s="212"/>
      <x:c r="S48" s="212"/>
      <x:c r="T48" s="212"/>
      <x:c r="U48" s="175"/>
      <x:c r="V48" s="175"/>
      <x:c r="W48" s="175"/>
      <x:c r="X48" s="175"/>
      <x:c r="Y48" s="175"/>
      <x:c r="Z48" s="175"/>
      <x:c r="AA48" s="172"/>
      <x:c r="AB48" s="172"/>
      <x:c r="AC48" s="172"/>
      <x:c r="AD48" s="172"/>
      <x:c r="AE48" s="172"/>
      <x:c r="AF48" s="172"/>
      <x:c r="AG48" s="172"/>
      <x:c r="AH48" s="172"/>
      <x:c r="AI48" s="172"/>
      <x:c r="AJ48" s="172"/>
      <x:c r="AK48" s="172"/>
      <x:c r="AL48" s="172"/>
      <x:c r="AM48" s="172"/>
      <x:c r="AN48" s="172"/>
      <x:c r="AO48" s="172"/>
      <x:c r="AP48" s="172"/>
      <x:c r="AQ48" s="172"/>
      <x:c r="AR48" s="172"/>
      <x:c r="AS48" s="172"/>
      <x:c r="AT48" s="172"/>
      <x:c r="AU48" s="172"/>
      <x:c r="AV48" s="172"/>
      <x:c r="AW48" s="172"/>
      <x:c r="AX48" s="172"/>
      <x:c r="AY48" s="172"/>
      <x:c r="AZ48" s="172"/>
    </x:row>
    <x:row r="49" ht="23" customHeight="1">
      <x:c r="A49" s="175"/>
      <x:c r="B49" s="177"/>
      <x:c r="C49" s="177"/>
      <x:c r="D49" s="175"/>
      <x:c r="E49" s="175"/>
      <x:c r="F49" s="175"/>
      <x:c r="G49" s="175"/>
      <x:c r="H49" s="175"/>
      <x:c r="I49" s="175"/>
      <x:c r="J49" s="175"/>
      <x:c r="K49" s="212"/>
      <x:c r="L49" s="212"/>
      <x:c r="M49" s="175"/>
      <x:c r="N49" s="175"/>
      <x:c r="O49" s="175"/>
      <x:c r="P49" s="175"/>
      <x:c r="Q49" s="175"/>
      <x:c r="R49" s="212"/>
      <x:c r="S49" s="212"/>
      <x:c r="T49" s="212"/>
      <x:c r="U49" s="175"/>
      <x:c r="V49" s="175"/>
      <x:c r="W49" s="175"/>
      <x:c r="X49" s="175"/>
      <x:c r="Y49" s="175"/>
      <x:c r="Z49" s="175"/>
      <x:c r="AA49" s="172"/>
      <x:c r="AB49" s="172"/>
      <x:c r="AC49" s="172"/>
      <x:c r="AD49" s="172"/>
      <x:c r="AE49" s="172"/>
      <x:c r="AF49" s="172"/>
      <x:c r="AG49" s="172"/>
      <x:c r="AH49" s="172"/>
      <x:c r="AI49" s="172"/>
      <x:c r="AJ49" s="172"/>
      <x:c r="AK49" s="172"/>
      <x:c r="AL49" s="172"/>
      <x:c r="AM49" s="172"/>
      <x:c r="AN49" s="172"/>
      <x:c r="AO49" s="172"/>
      <x:c r="AP49" s="172"/>
      <x:c r="AQ49" s="172"/>
      <x:c r="AR49" s="172"/>
      <x:c r="AS49" s="172"/>
      <x:c r="AT49" s="172"/>
      <x:c r="AU49" s="172"/>
      <x:c r="AV49" s="172"/>
      <x:c r="AW49" s="172"/>
      <x:c r="AX49" s="172"/>
      <x:c r="AY49" s="172"/>
      <x:c r="AZ49" s="172"/>
    </x:row>
    <x:row r="50" ht="23" customHeight="1">
      <x:c r="A50" s="175"/>
      <x:c r="B50" s="177"/>
      <x:c r="C50" s="177"/>
      <x:c r="D50" s="175"/>
      <x:c r="E50" s="175"/>
      <x:c r="F50" s="175"/>
      <x:c r="G50" s="175"/>
      <x:c r="H50" s="175"/>
      <x:c r="I50" s="175"/>
      <x:c r="J50" s="175"/>
      <x:c r="K50" s="212"/>
      <x:c r="L50" s="212"/>
      <x:c r="M50" s="175"/>
      <x:c r="N50" s="175"/>
      <x:c r="O50" s="175"/>
      <x:c r="P50" s="175"/>
      <x:c r="Q50" s="175"/>
      <x:c r="R50" s="212"/>
      <x:c r="S50" s="212"/>
      <x:c r="T50" s="212"/>
      <x:c r="U50" s="175"/>
      <x:c r="V50" s="175"/>
      <x:c r="W50" s="175"/>
      <x:c r="X50" s="175"/>
      <x:c r="Y50" s="175"/>
      <x:c r="Z50" s="175"/>
      <x:c r="AA50" s="172"/>
      <x:c r="AB50" s="172"/>
      <x:c r="AC50" s="172"/>
      <x:c r="AD50" s="172"/>
      <x:c r="AE50" s="172"/>
      <x:c r="AF50" s="172"/>
      <x:c r="AG50" s="172"/>
      <x:c r="AH50" s="172"/>
      <x:c r="AI50" s="172"/>
      <x:c r="AJ50" s="172"/>
      <x:c r="AK50" s="172"/>
      <x:c r="AL50" s="172"/>
      <x:c r="AM50" s="172"/>
      <x:c r="AN50" s="172"/>
      <x:c r="AO50" s="172"/>
      <x:c r="AP50" s="172"/>
      <x:c r="AQ50" s="172"/>
      <x:c r="AR50" s="172"/>
      <x:c r="AS50" s="172"/>
      <x:c r="AT50" s="172"/>
      <x:c r="AU50" s="172"/>
      <x:c r="AV50" s="172"/>
      <x:c r="AW50" s="172"/>
      <x:c r="AX50" s="172"/>
      <x:c r="AY50" s="172"/>
      <x:c r="AZ50" s="172"/>
    </x:row>
    <x:row r="51" ht="23" customHeight="1">
      <x:c r="A51" s="175"/>
      <x:c r="B51" s="177"/>
      <x:c r="C51" s="177"/>
      <x:c r="D51" s="175"/>
      <x:c r="E51" s="175"/>
      <x:c r="F51" s="175"/>
      <x:c r="G51" s="175"/>
      <x:c r="H51" s="175"/>
      <x:c r="I51" s="175"/>
      <x:c r="J51" s="175"/>
      <x:c r="K51" s="212"/>
      <x:c r="L51" s="212"/>
      <x:c r="M51" s="175"/>
      <x:c r="N51" s="175"/>
      <x:c r="O51" s="175"/>
      <x:c r="P51" s="175"/>
      <x:c r="Q51" s="175"/>
      <x:c r="R51" s="212"/>
      <x:c r="S51" s="212"/>
      <x:c r="T51" s="212"/>
      <x:c r="U51" s="175"/>
      <x:c r="V51" s="175"/>
      <x:c r="W51" s="175"/>
      <x:c r="X51" s="175"/>
      <x:c r="Y51" s="175"/>
      <x:c r="Z51" s="175"/>
      <x:c r="AA51" s="172"/>
      <x:c r="AB51" s="172"/>
      <x:c r="AC51" s="172"/>
      <x:c r="AD51" s="172"/>
      <x:c r="AE51" s="172"/>
      <x:c r="AF51" s="172"/>
      <x:c r="AG51" s="172"/>
      <x:c r="AH51" s="172"/>
      <x:c r="AI51" s="172"/>
      <x:c r="AJ51" s="172"/>
      <x:c r="AK51" s="172"/>
      <x:c r="AL51" s="172"/>
      <x:c r="AM51" s="172"/>
      <x:c r="AN51" s="172"/>
      <x:c r="AO51" s="172"/>
      <x:c r="AP51" s="172"/>
      <x:c r="AQ51" s="172"/>
      <x:c r="AR51" s="172"/>
      <x:c r="AS51" s="172"/>
      <x:c r="AT51" s="172"/>
      <x:c r="AU51" s="172"/>
      <x:c r="AV51" s="172"/>
      <x:c r="AW51" s="172"/>
      <x:c r="AX51" s="172"/>
      <x:c r="AY51" s="172"/>
      <x:c r="AZ51" s="172"/>
    </x:row>
    <x:row r="52" ht="23" customHeight="1">
      <x:c r="A52" s="175"/>
      <x:c r="B52" s="177"/>
      <x:c r="C52" s="177"/>
      <x:c r="D52" s="175"/>
      <x:c r="E52" s="175"/>
      <x:c r="F52" s="175"/>
      <x:c r="G52" s="175"/>
      <x:c r="H52" s="175"/>
      <x:c r="I52" s="175"/>
      <x:c r="J52" s="175"/>
      <x:c r="K52" s="212"/>
      <x:c r="L52" s="212"/>
      <x:c r="M52" s="175"/>
      <x:c r="N52" s="175"/>
      <x:c r="O52" s="175"/>
      <x:c r="P52" s="175"/>
      <x:c r="Q52" s="175"/>
      <x:c r="R52" s="212"/>
      <x:c r="S52" s="212"/>
      <x:c r="T52" s="212"/>
      <x:c r="U52" s="175"/>
      <x:c r="V52" s="175"/>
      <x:c r="W52" s="175"/>
      <x:c r="X52" s="175"/>
      <x:c r="Y52" s="175"/>
      <x:c r="Z52" s="175"/>
      <x:c r="AA52" s="172"/>
      <x:c r="AB52" s="172"/>
      <x:c r="AC52" s="172"/>
      <x:c r="AD52" s="172"/>
      <x:c r="AE52" s="172"/>
      <x:c r="AF52" s="172"/>
      <x:c r="AG52" s="172"/>
      <x:c r="AH52" s="172"/>
      <x:c r="AI52" s="172"/>
      <x:c r="AJ52" s="172"/>
      <x:c r="AK52" s="172"/>
      <x:c r="AL52" s="172"/>
      <x:c r="AM52" s="172"/>
      <x:c r="AN52" s="172"/>
      <x:c r="AO52" s="172"/>
      <x:c r="AP52" s="172"/>
      <x:c r="AQ52" s="172"/>
      <x:c r="AR52" s="172"/>
      <x:c r="AS52" s="172"/>
      <x:c r="AT52" s="172"/>
      <x:c r="AU52" s="172"/>
      <x:c r="AV52" s="172"/>
      <x:c r="AW52" s="172"/>
      <x:c r="AX52" s="172"/>
      <x:c r="AY52" s="172"/>
      <x:c r="AZ52" s="172"/>
    </x:row>
    <x:row r="53" ht="23" customHeight="1">
      <x:c r="A53" s="175"/>
      <x:c r="B53" s="177"/>
      <x:c r="C53" s="177"/>
      <x:c r="D53" s="175"/>
      <x:c r="E53" s="175"/>
      <x:c r="F53" s="175"/>
      <x:c r="G53" s="175"/>
      <x:c r="H53" s="175"/>
      <x:c r="I53" s="175"/>
      <x:c r="J53" s="175"/>
      <x:c r="K53" s="212"/>
      <x:c r="L53" s="212"/>
      <x:c r="M53" s="175"/>
      <x:c r="N53" s="175"/>
      <x:c r="O53" s="175"/>
      <x:c r="P53" s="175"/>
      <x:c r="Q53" s="175"/>
      <x:c r="R53" s="212"/>
      <x:c r="S53" s="212"/>
      <x:c r="T53" s="212"/>
      <x:c r="U53" s="175"/>
      <x:c r="V53" s="175"/>
      <x:c r="W53" s="175"/>
      <x:c r="X53" s="175"/>
      <x:c r="Y53" s="175"/>
      <x:c r="Z53" s="175"/>
      <x:c r="AA53" s="172"/>
      <x:c r="AB53" s="172"/>
      <x:c r="AC53" s="172"/>
      <x:c r="AD53" s="172"/>
      <x:c r="AE53" s="172"/>
      <x:c r="AF53" s="172"/>
      <x:c r="AG53" s="172"/>
      <x:c r="AH53" s="172"/>
      <x:c r="AI53" s="172"/>
      <x:c r="AJ53" s="172"/>
      <x:c r="AK53" s="172"/>
      <x:c r="AL53" s="172"/>
      <x:c r="AM53" s="172"/>
      <x:c r="AN53" s="172"/>
      <x:c r="AO53" s="172"/>
      <x:c r="AP53" s="172"/>
      <x:c r="AQ53" s="172"/>
      <x:c r="AR53" s="172"/>
      <x:c r="AS53" s="172"/>
      <x:c r="AT53" s="172"/>
      <x:c r="AU53" s="172"/>
      <x:c r="AV53" s="172"/>
      <x:c r="AW53" s="172"/>
      <x:c r="AX53" s="172"/>
      <x:c r="AY53" s="172"/>
      <x:c r="AZ53" s="172"/>
    </x:row>
    <x:row r="54" ht="23" customHeight="1">
      <x:c r="A54" s="175"/>
      <x:c r="B54" s="177"/>
      <x:c r="C54" s="177"/>
      <x:c r="D54" s="175"/>
      <x:c r="E54" s="175"/>
      <x:c r="F54" s="175"/>
      <x:c r="G54" s="175"/>
      <x:c r="H54" s="175"/>
      <x:c r="I54" s="175"/>
      <x:c r="J54" s="175"/>
      <x:c r="K54" s="212"/>
      <x:c r="L54" s="212"/>
      <x:c r="M54" s="175"/>
      <x:c r="N54" s="175"/>
      <x:c r="O54" s="175"/>
      <x:c r="P54" s="175"/>
      <x:c r="Q54" s="175"/>
      <x:c r="R54" s="212"/>
      <x:c r="S54" s="212"/>
      <x:c r="T54" s="212"/>
      <x:c r="U54" s="175"/>
      <x:c r="V54" s="175"/>
      <x:c r="W54" s="175"/>
      <x:c r="X54" s="175"/>
      <x:c r="Y54" s="175"/>
      <x:c r="Z54" s="175"/>
      <x:c r="AA54" s="172"/>
      <x:c r="AB54" s="172"/>
      <x:c r="AC54" s="172"/>
      <x:c r="AD54" s="172"/>
      <x:c r="AE54" s="172"/>
      <x:c r="AF54" s="172"/>
      <x:c r="AG54" s="172"/>
      <x:c r="AH54" s="172"/>
      <x:c r="AI54" s="172"/>
      <x:c r="AJ54" s="172"/>
      <x:c r="AK54" s="172"/>
      <x:c r="AL54" s="172"/>
      <x:c r="AM54" s="172"/>
      <x:c r="AN54" s="172"/>
      <x:c r="AO54" s="172"/>
      <x:c r="AP54" s="172"/>
      <x:c r="AQ54" s="172"/>
      <x:c r="AR54" s="172"/>
      <x:c r="AS54" s="172"/>
      <x:c r="AT54" s="172"/>
      <x:c r="AU54" s="172"/>
      <x:c r="AV54" s="172"/>
      <x:c r="AW54" s="172"/>
      <x:c r="AX54" s="172"/>
      <x:c r="AY54" s="172"/>
      <x:c r="AZ54" s="172"/>
    </x:row>
    <x:row r="55" ht="23" customHeight="1">
      <x:c r="A55" s="175"/>
      <x:c r="B55" s="177"/>
      <x:c r="C55" s="177"/>
      <x:c r="D55" s="175"/>
      <x:c r="E55" s="175"/>
      <x:c r="F55" s="175"/>
      <x:c r="G55" s="175"/>
      <x:c r="H55" s="175"/>
      <x:c r="I55" s="175"/>
      <x:c r="J55" s="175"/>
      <x:c r="K55" s="212"/>
      <x:c r="L55" s="212"/>
      <x:c r="M55" s="175"/>
      <x:c r="N55" s="175"/>
      <x:c r="O55" s="175"/>
      <x:c r="P55" s="175"/>
      <x:c r="Q55" s="175"/>
      <x:c r="R55" s="212"/>
      <x:c r="S55" s="212"/>
      <x:c r="T55" s="212"/>
      <x:c r="U55" s="175"/>
      <x:c r="V55" s="175"/>
      <x:c r="W55" s="175"/>
      <x:c r="X55" s="175"/>
      <x:c r="Y55" s="175"/>
      <x:c r="Z55" s="175"/>
      <x:c r="AA55" s="172"/>
      <x:c r="AB55" s="172"/>
      <x:c r="AC55" s="172"/>
      <x:c r="AD55" s="172"/>
      <x:c r="AE55" s="172"/>
      <x:c r="AF55" s="172"/>
      <x:c r="AG55" s="172"/>
      <x:c r="AH55" s="172"/>
      <x:c r="AI55" s="172"/>
      <x:c r="AJ55" s="172"/>
      <x:c r="AK55" s="172"/>
      <x:c r="AL55" s="172"/>
      <x:c r="AM55" s="172"/>
      <x:c r="AN55" s="172"/>
      <x:c r="AO55" s="172"/>
      <x:c r="AP55" s="172"/>
      <x:c r="AQ55" s="172"/>
      <x:c r="AR55" s="172"/>
      <x:c r="AS55" s="172"/>
      <x:c r="AT55" s="172"/>
      <x:c r="AU55" s="172"/>
      <x:c r="AV55" s="172"/>
      <x:c r="AW55" s="172"/>
      <x:c r="AX55" s="172"/>
      <x:c r="AY55" s="172"/>
      <x:c r="AZ55" s="172"/>
    </x:row>
    <x:row r="56" ht="23" customHeight="1">
      <x:c r="A56" s="175"/>
      <x:c r="B56" s="177"/>
      <x:c r="C56" s="177"/>
      <x:c r="D56" s="175"/>
      <x:c r="E56" s="175"/>
      <x:c r="F56" s="175"/>
      <x:c r="G56" s="175"/>
      <x:c r="H56" s="175"/>
      <x:c r="I56" s="175"/>
      <x:c r="J56" s="175"/>
      <x:c r="K56" s="212"/>
      <x:c r="L56" s="212"/>
      <x:c r="M56" s="175"/>
      <x:c r="N56" s="175"/>
      <x:c r="O56" s="175"/>
      <x:c r="P56" s="175"/>
      <x:c r="Q56" s="175"/>
      <x:c r="R56" s="212"/>
      <x:c r="S56" s="212"/>
      <x:c r="T56" s="212"/>
      <x:c r="U56" s="175"/>
      <x:c r="V56" s="175"/>
      <x:c r="W56" s="175"/>
      <x:c r="X56" s="175"/>
      <x:c r="Y56" s="175"/>
      <x:c r="Z56" s="175"/>
      <x:c r="AA56" s="172"/>
      <x:c r="AB56" s="172"/>
      <x:c r="AC56" s="172"/>
      <x:c r="AD56" s="172"/>
      <x:c r="AE56" s="172"/>
      <x:c r="AF56" s="172"/>
      <x:c r="AG56" s="172"/>
      <x:c r="AH56" s="172"/>
      <x:c r="AI56" s="172"/>
      <x:c r="AJ56" s="172"/>
      <x:c r="AK56" s="172"/>
      <x:c r="AL56" s="172"/>
      <x:c r="AM56" s="172"/>
      <x:c r="AN56" s="172"/>
      <x:c r="AO56" s="172"/>
      <x:c r="AP56" s="172"/>
      <x:c r="AQ56" s="172"/>
      <x:c r="AR56" s="172"/>
      <x:c r="AS56" s="172"/>
      <x:c r="AT56" s="172"/>
      <x:c r="AU56" s="172"/>
      <x:c r="AV56" s="172"/>
      <x:c r="AW56" s="172"/>
      <x:c r="AX56" s="172"/>
      <x:c r="AY56" s="172"/>
      <x:c r="AZ56" s="172"/>
    </x:row>
    <x:row r="57" ht="23" customHeight="1">
      <x:c r="A57" s="175"/>
      <x:c r="B57" s="177"/>
      <x:c r="C57" s="177"/>
      <x:c r="D57" s="175"/>
      <x:c r="E57" s="175"/>
      <x:c r="F57" s="175"/>
      <x:c r="G57" s="175"/>
      <x:c r="H57" s="175"/>
      <x:c r="I57" s="175"/>
      <x:c r="J57" s="175"/>
      <x:c r="K57" s="212"/>
      <x:c r="L57" s="212"/>
      <x:c r="M57" s="175"/>
      <x:c r="N57" s="175"/>
      <x:c r="O57" s="175"/>
      <x:c r="P57" s="175"/>
      <x:c r="Q57" s="175"/>
      <x:c r="R57" s="212"/>
      <x:c r="S57" s="212"/>
      <x:c r="T57" s="212"/>
      <x:c r="U57" s="175"/>
      <x:c r="V57" s="175"/>
      <x:c r="W57" s="175"/>
      <x:c r="X57" s="175"/>
      <x:c r="Y57" s="175"/>
      <x:c r="Z57" s="175"/>
      <x:c r="AA57" s="172"/>
      <x:c r="AB57" s="172"/>
      <x:c r="AC57" s="172"/>
      <x:c r="AD57" s="172"/>
      <x:c r="AE57" s="172"/>
      <x:c r="AF57" s="172"/>
      <x:c r="AG57" s="172"/>
      <x:c r="AH57" s="172"/>
      <x:c r="AI57" s="172"/>
      <x:c r="AJ57" s="172"/>
      <x:c r="AK57" s="172"/>
      <x:c r="AL57" s="172"/>
      <x:c r="AM57" s="172"/>
      <x:c r="AN57" s="172"/>
      <x:c r="AO57" s="172"/>
      <x:c r="AP57" s="172"/>
      <x:c r="AQ57" s="172"/>
      <x:c r="AR57" s="172"/>
      <x:c r="AS57" s="172"/>
      <x:c r="AT57" s="172"/>
      <x:c r="AU57" s="172"/>
      <x:c r="AV57" s="172"/>
      <x:c r="AW57" s="172"/>
      <x:c r="AX57" s="172"/>
      <x:c r="AY57" s="172"/>
      <x:c r="AZ57" s="172"/>
    </x:row>
    <x:row r="58" ht="23" customHeight="1">
      <x:c r="A58" s="175"/>
      <x:c r="B58" s="177"/>
      <x:c r="C58" s="177"/>
      <x:c r="D58" s="175"/>
      <x:c r="E58" s="175"/>
      <x:c r="F58" s="175"/>
      <x:c r="G58" s="175"/>
      <x:c r="H58" s="175"/>
      <x:c r="I58" s="175"/>
      <x:c r="J58" s="175"/>
      <x:c r="K58" s="212"/>
      <x:c r="L58" s="212"/>
      <x:c r="M58" s="175"/>
      <x:c r="N58" s="175"/>
      <x:c r="O58" s="175"/>
      <x:c r="P58" s="175"/>
      <x:c r="Q58" s="175"/>
      <x:c r="R58" s="212"/>
      <x:c r="S58" s="212"/>
      <x:c r="T58" s="212"/>
      <x:c r="U58" s="175"/>
      <x:c r="V58" s="175"/>
      <x:c r="W58" s="175"/>
      <x:c r="X58" s="175"/>
      <x:c r="Y58" s="175"/>
      <x:c r="Z58" s="175"/>
      <x:c r="AA58" s="172"/>
      <x:c r="AB58" s="172"/>
      <x:c r="AC58" s="172"/>
      <x:c r="AD58" s="172"/>
      <x:c r="AE58" s="172"/>
      <x:c r="AF58" s="172"/>
      <x:c r="AG58" s="172"/>
      <x:c r="AH58" s="172"/>
      <x:c r="AI58" s="172"/>
      <x:c r="AJ58" s="172"/>
      <x:c r="AK58" s="172"/>
      <x:c r="AL58" s="172"/>
      <x:c r="AM58" s="172"/>
      <x:c r="AN58" s="172"/>
      <x:c r="AO58" s="172"/>
      <x:c r="AP58" s="172"/>
      <x:c r="AQ58" s="172"/>
      <x:c r="AR58" s="172"/>
      <x:c r="AS58" s="172"/>
      <x:c r="AT58" s="172"/>
      <x:c r="AU58" s="172"/>
      <x:c r="AV58" s="172"/>
      <x:c r="AW58" s="172"/>
      <x:c r="AX58" s="172"/>
      <x:c r="AY58" s="172"/>
      <x:c r="AZ58" s="172"/>
    </x:row>
    <x:row r="59" ht="23" customHeight="1">
      <x:c r="A59" s="175"/>
      <x:c r="B59" s="177"/>
      <x:c r="C59" s="177"/>
      <x:c r="D59" s="175"/>
      <x:c r="E59" s="175"/>
      <x:c r="F59" s="175"/>
      <x:c r="G59" s="175"/>
      <x:c r="H59" s="175"/>
      <x:c r="I59" s="175"/>
      <x:c r="J59" s="175"/>
      <x:c r="K59" s="212"/>
      <x:c r="L59" s="212"/>
      <x:c r="M59" s="175"/>
      <x:c r="N59" s="175"/>
      <x:c r="O59" s="175"/>
      <x:c r="P59" s="175"/>
      <x:c r="Q59" s="175"/>
      <x:c r="R59" s="212"/>
      <x:c r="S59" s="212"/>
      <x:c r="T59" s="212"/>
      <x:c r="U59" s="175"/>
      <x:c r="V59" s="175"/>
      <x:c r="W59" s="175"/>
      <x:c r="X59" s="175"/>
      <x:c r="Y59" s="175"/>
      <x:c r="Z59" s="175"/>
      <x:c r="AA59" s="172"/>
      <x:c r="AB59" s="172"/>
      <x:c r="AC59" s="172"/>
      <x:c r="AD59" s="172"/>
      <x:c r="AE59" s="172"/>
      <x:c r="AF59" s="172"/>
      <x:c r="AG59" s="172"/>
      <x:c r="AH59" s="172"/>
      <x:c r="AI59" s="172"/>
      <x:c r="AJ59" s="172"/>
      <x:c r="AK59" s="172"/>
      <x:c r="AL59" s="172"/>
      <x:c r="AM59" s="172"/>
      <x:c r="AN59" s="172"/>
      <x:c r="AO59" s="172"/>
      <x:c r="AP59" s="172"/>
      <x:c r="AQ59" s="172"/>
      <x:c r="AR59" s="172"/>
      <x:c r="AS59" s="172"/>
      <x:c r="AT59" s="172"/>
      <x:c r="AU59" s="172"/>
      <x:c r="AV59" s="172"/>
      <x:c r="AW59" s="172"/>
      <x:c r="AX59" s="172"/>
      <x:c r="AY59" s="172"/>
      <x:c r="AZ59" s="172"/>
    </x:row>
    <x:row r="60" ht="23" customHeight="1">
      <x:c r="A60" s="175"/>
      <x:c r="B60" s="177"/>
      <x:c r="C60" s="177"/>
      <x:c r="D60" s="175"/>
      <x:c r="E60" s="175"/>
      <x:c r="F60" s="175"/>
      <x:c r="G60" s="175"/>
      <x:c r="H60" s="175"/>
      <x:c r="I60" s="175"/>
      <x:c r="J60" s="175"/>
      <x:c r="K60" s="212"/>
      <x:c r="L60" s="212"/>
      <x:c r="M60" s="175"/>
      <x:c r="N60" s="175"/>
      <x:c r="O60" s="175"/>
      <x:c r="P60" s="175"/>
      <x:c r="Q60" s="175"/>
      <x:c r="R60" s="212"/>
      <x:c r="S60" s="212"/>
      <x:c r="T60" s="212"/>
      <x:c r="U60" s="175"/>
      <x:c r="V60" s="175"/>
      <x:c r="W60" s="175"/>
      <x:c r="X60" s="175"/>
      <x:c r="Y60" s="175"/>
      <x:c r="Z60" s="175"/>
      <x:c r="AA60" s="172"/>
      <x:c r="AB60" s="172"/>
      <x:c r="AC60" s="172"/>
      <x:c r="AD60" s="172"/>
      <x:c r="AE60" s="172"/>
      <x:c r="AF60" s="172"/>
      <x:c r="AG60" s="172"/>
      <x:c r="AH60" s="172"/>
      <x:c r="AI60" s="172"/>
      <x:c r="AJ60" s="172"/>
      <x:c r="AK60" s="172"/>
      <x:c r="AL60" s="172"/>
      <x:c r="AM60" s="172"/>
      <x:c r="AN60" s="172"/>
      <x:c r="AO60" s="172"/>
      <x:c r="AP60" s="172"/>
      <x:c r="AQ60" s="172"/>
      <x:c r="AR60" s="172"/>
      <x:c r="AS60" s="172"/>
      <x:c r="AT60" s="172"/>
      <x:c r="AU60" s="172"/>
      <x:c r="AV60" s="172"/>
      <x:c r="AW60" s="172"/>
      <x:c r="AX60" s="172"/>
      <x:c r="AY60" s="172"/>
      <x:c r="AZ60" s="172"/>
    </x:row>
    <x:row r="61" ht="23" customHeight="1">
      <x:c r="A61" s="175"/>
      <x:c r="B61" s="177"/>
      <x:c r="C61" s="177"/>
      <x:c r="D61" s="175"/>
      <x:c r="E61" s="175"/>
      <x:c r="F61" s="175"/>
      <x:c r="G61" s="175"/>
      <x:c r="H61" s="175"/>
      <x:c r="I61" s="175"/>
      <x:c r="J61" s="175"/>
      <x:c r="K61" s="212"/>
      <x:c r="L61" s="212"/>
      <x:c r="M61" s="175"/>
      <x:c r="N61" s="175"/>
      <x:c r="O61" s="175"/>
      <x:c r="P61" s="175"/>
      <x:c r="Q61" s="175"/>
      <x:c r="R61" s="212"/>
      <x:c r="S61" s="212"/>
      <x:c r="T61" s="212"/>
      <x:c r="U61" s="175"/>
      <x:c r="V61" s="175"/>
      <x:c r="W61" s="175"/>
      <x:c r="X61" s="175"/>
      <x:c r="Y61" s="175"/>
      <x:c r="Z61" s="175"/>
      <x:c r="AA61" s="172"/>
      <x:c r="AB61" s="172"/>
      <x:c r="AC61" s="172"/>
      <x:c r="AD61" s="172"/>
      <x:c r="AE61" s="172"/>
      <x:c r="AF61" s="172"/>
      <x:c r="AG61" s="172"/>
      <x:c r="AH61" s="172"/>
      <x:c r="AI61" s="172"/>
      <x:c r="AJ61" s="172"/>
      <x:c r="AK61" s="172"/>
      <x:c r="AL61" s="172"/>
      <x:c r="AM61" s="172"/>
      <x:c r="AN61" s="172"/>
      <x:c r="AO61" s="172"/>
      <x:c r="AP61" s="172"/>
      <x:c r="AQ61" s="172"/>
      <x:c r="AR61" s="172"/>
      <x:c r="AS61" s="172"/>
      <x:c r="AT61" s="172"/>
      <x:c r="AU61" s="172"/>
      <x:c r="AV61" s="172"/>
      <x:c r="AW61" s="172"/>
      <x:c r="AX61" s="172"/>
      <x:c r="AY61" s="172"/>
      <x:c r="AZ61" s="172"/>
    </x:row>
    <x:row r="62" ht="23" customHeight="1">
      <x:c r="A62" s="175"/>
      <x:c r="B62" s="177"/>
      <x:c r="C62" s="177"/>
      <x:c r="D62" s="175"/>
      <x:c r="E62" s="175"/>
      <x:c r="F62" s="175"/>
      <x:c r="G62" s="175"/>
      <x:c r="H62" s="175"/>
      <x:c r="I62" s="175"/>
      <x:c r="J62" s="175"/>
      <x:c r="K62" s="212"/>
      <x:c r="L62" s="212"/>
      <x:c r="M62" s="175"/>
      <x:c r="N62" s="175"/>
      <x:c r="O62" s="175"/>
      <x:c r="P62" s="175"/>
      <x:c r="Q62" s="175"/>
      <x:c r="R62" s="212"/>
      <x:c r="S62" s="212"/>
      <x:c r="T62" s="212"/>
      <x:c r="U62" s="175"/>
      <x:c r="V62" s="175"/>
      <x:c r="W62" s="175"/>
      <x:c r="X62" s="175"/>
      <x:c r="Y62" s="175"/>
      <x:c r="Z62" s="175"/>
      <x:c r="AA62" s="172"/>
      <x:c r="AB62" s="172"/>
      <x:c r="AC62" s="172"/>
      <x:c r="AD62" s="172"/>
      <x:c r="AE62" s="172"/>
      <x:c r="AF62" s="172"/>
      <x:c r="AG62" s="172"/>
      <x:c r="AH62" s="172"/>
      <x:c r="AI62" s="172"/>
      <x:c r="AJ62" s="172"/>
      <x:c r="AK62" s="172"/>
      <x:c r="AL62" s="172"/>
      <x:c r="AM62" s="172"/>
      <x:c r="AN62" s="172"/>
      <x:c r="AO62" s="172"/>
      <x:c r="AP62" s="172"/>
      <x:c r="AQ62" s="172"/>
      <x:c r="AR62" s="172"/>
      <x:c r="AS62" s="172"/>
      <x:c r="AT62" s="172"/>
      <x:c r="AU62" s="172"/>
      <x:c r="AV62" s="172"/>
      <x:c r="AW62" s="172"/>
      <x:c r="AX62" s="172"/>
      <x:c r="AY62" s="172"/>
      <x:c r="AZ62" s="172"/>
    </x:row>
    <x:row r="63" ht="23" customHeight="1">
      <x:c r="A63" s="175"/>
      <x:c r="B63" s="177"/>
      <x:c r="C63" s="177"/>
      <x:c r="D63" s="175"/>
      <x:c r="E63" s="175"/>
      <x:c r="F63" s="175"/>
      <x:c r="G63" s="175"/>
      <x:c r="H63" s="175"/>
      <x:c r="I63" s="175"/>
      <x:c r="J63" s="175"/>
      <x:c r="K63" s="212"/>
      <x:c r="L63" s="212"/>
      <x:c r="M63" s="175"/>
      <x:c r="N63" s="175"/>
      <x:c r="O63" s="175"/>
      <x:c r="P63" s="175"/>
      <x:c r="Q63" s="175"/>
      <x:c r="R63" s="212"/>
      <x:c r="S63" s="212"/>
      <x:c r="T63" s="212"/>
      <x:c r="U63" s="175"/>
      <x:c r="V63" s="175"/>
      <x:c r="W63" s="175"/>
      <x:c r="X63" s="175"/>
      <x:c r="Y63" s="175"/>
      <x:c r="Z63" s="175"/>
      <x:c r="AA63" s="172"/>
      <x:c r="AB63" s="172"/>
      <x:c r="AC63" s="172"/>
      <x:c r="AD63" s="172"/>
      <x:c r="AE63" s="172"/>
      <x:c r="AF63" s="172"/>
      <x:c r="AG63" s="172"/>
      <x:c r="AH63" s="172"/>
      <x:c r="AI63" s="172"/>
      <x:c r="AJ63" s="172"/>
      <x:c r="AK63" s="172"/>
      <x:c r="AL63" s="172"/>
      <x:c r="AM63" s="172"/>
      <x:c r="AN63" s="172"/>
      <x:c r="AO63" s="172"/>
      <x:c r="AP63" s="172"/>
      <x:c r="AQ63" s="172"/>
      <x:c r="AR63" s="172"/>
      <x:c r="AS63" s="172"/>
      <x:c r="AT63" s="172"/>
      <x:c r="AU63" s="172"/>
      <x:c r="AV63" s="172"/>
      <x:c r="AW63" s="172"/>
      <x:c r="AX63" s="172"/>
      <x:c r="AY63" s="172"/>
      <x:c r="AZ63" s="172"/>
    </x:row>
    <x:row r="64" ht="23" customHeight="1">
      <x:c r="A64" s="175"/>
      <x:c r="B64" s="177"/>
      <x:c r="C64" s="177"/>
      <x:c r="D64" s="175"/>
      <x:c r="E64" s="175"/>
      <x:c r="F64" s="175"/>
      <x:c r="G64" s="175"/>
      <x:c r="H64" s="175"/>
      <x:c r="I64" s="175"/>
      <x:c r="J64" s="175"/>
      <x:c r="K64" s="212"/>
      <x:c r="L64" s="212"/>
      <x:c r="M64" s="175"/>
      <x:c r="N64" s="175"/>
      <x:c r="O64" s="175"/>
      <x:c r="P64" s="175"/>
      <x:c r="Q64" s="175"/>
      <x:c r="R64" s="212"/>
      <x:c r="S64" s="212"/>
      <x:c r="T64" s="212"/>
      <x:c r="U64" s="175"/>
      <x:c r="V64" s="175"/>
      <x:c r="W64" s="175"/>
      <x:c r="X64" s="175"/>
      <x:c r="Y64" s="175"/>
      <x:c r="Z64" s="175"/>
      <x:c r="AA64" s="172"/>
      <x:c r="AB64" s="172"/>
      <x:c r="AC64" s="172"/>
      <x:c r="AD64" s="172"/>
      <x:c r="AE64" s="172"/>
      <x:c r="AF64" s="172"/>
      <x:c r="AG64" s="172"/>
      <x:c r="AH64" s="172"/>
      <x:c r="AI64" s="172"/>
      <x:c r="AJ64" s="172"/>
      <x:c r="AK64" s="172"/>
      <x:c r="AL64" s="172"/>
      <x:c r="AM64" s="172"/>
      <x:c r="AN64" s="172"/>
      <x:c r="AO64" s="172"/>
      <x:c r="AP64" s="172"/>
      <x:c r="AQ64" s="172"/>
      <x:c r="AR64" s="172"/>
      <x:c r="AS64" s="172"/>
      <x:c r="AT64" s="172"/>
      <x:c r="AU64" s="172"/>
      <x:c r="AV64" s="172"/>
      <x:c r="AW64" s="172"/>
      <x:c r="AX64" s="172"/>
      <x:c r="AY64" s="172"/>
      <x:c r="AZ64" s="172"/>
    </x:row>
    <x:row r="65" ht="23" customHeight="1">
      <x:c r="A65" s="175"/>
      <x:c r="B65" s="177"/>
      <x:c r="C65" s="177"/>
      <x:c r="D65" s="175"/>
      <x:c r="E65" s="175"/>
      <x:c r="F65" s="175"/>
      <x:c r="G65" s="175"/>
      <x:c r="H65" s="175"/>
      <x:c r="I65" s="175"/>
      <x:c r="J65" s="175"/>
      <x:c r="K65" s="212"/>
      <x:c r="L65" s="212"/>
      <x:c r="M65" s="175"/>
      <x:c r="N65" s="175"/>
      <x:c r="O65" s="175"/>
      <x:c r="P65" s="175"/>
      <x:c r="Q65" s="175"/>
      <x:c r="R65" s="212"/>
      <x:c r="S65" s="212"/>
      <x:c r="T65" s="212"/>
      <x:c r="U65" s="175"/>
      <x:c r="V65" s="175"/>
      <x:c r="W65" s="175"/>
      <x:c r="X65" s="175"/>
      <x:c r="Y65" s="175"/>
      <x:c r="Z65" s="175"/>
      <x:c r="AA65" s="172"/>
      <x:c r="AB65" s="172"/>
      <x:c r="AC65" s="172"/>
      <x:c r="AD65" s="172"/>
      <x:c r="AE65" s="172"/>
      <x:c r="AF65" s="172"/>
      <x:c r="AG65" s="172"/>
      <x:c r="AH65" s="172"/>
      <x:c r="AI65" s="172"/>
      <x:c r="AJ65" s="172"/>
      <x:c r="AK65" s="172"/>
      <x:c r="AL65" s="172"/>
      <x:c r="AM65" s="172"/>
      <x:c r="AN65" s="172"/>
      <x:c r="AO65" s="172"/>
      <x:c r="AP65" s="172"/>
      <x:c r="AQ65" s="172"/>
      <x:c r="AR65" s="172"/>
      <x:c r="AS65" s="172"/>
      <x:c r="AT65" s="172"/>
      <x:c r="AU65" s="172"/>
      <x:c r="AV65" s="172"/>
      <x:c r="AW65" s="172"/>
      <x:c r="AX65" s="172"/>
      <x:c r="AY65" s="172"/>
      <x:c r="AZ65" s="172"/>
    </x:row>
    <x:row r="66" ht="23" customHeight="1">
      <x:c r="A66" s="175"/>
      <x:c r="B66" s="177"/>
      <x:c r="C66" s="177"/>
      <x:c r="D66" s="175"/>
      <x:c r="E66" s="175"/>
      <x:c r="F66" s="175"/>
      <x:c r="G66" s="175"/>
      <x:c r="H66" s="175"/>
      <x:c r="I66" s="175"/>
      <x:c r="J66" s="175"/>
      <x:c r="K66" s="212"/>
      <x:c r="L66" s="212"/>
      <x:c r="M66" s="175"/>
      <x:c r="N66" s="175"/>
      <x:c r="O66" s="175"/>
      <x:c r="P66" s="175"/>
      <x:c r="Q66" s="175"/>
      <x:c r="R66" s="212"/>
      <x:c r="S66" s="212"/>
      <x:c r="T66" s="212"/>
      <x:c r="U66" s="175"/>
      <x:c r="V66" s="175"/>
      <x:c r="W66" s="175"/>
      <x:c r="X66" s="175"/>
      <x:c r="Y66" s="175"/>
      <x:c r="Z66" s="175"/>
      <x:c r="AA66" s="172"/>
      <x:c r="AB66" s="172"/>
      <x:c r="AC66" s="172"/>
      <x:c r="AD66" s="172"/>
      <x:c r="AE66" s="172"/>
      <x:c r="AF66" s="172"/>
      <x:c r="AG66" s="172"/>
      <x:c r="AH66" s="172"/>
      <x:c r="AI66" s="172"/>
      <x:c r="AJ66" s="172"/>
      <x:c r="AK66" s="172"/>
      <x:c r="AL66" s="172"/>
      <x:c r="AM66" s="172"/>
      <x:c r="AN66" s="172"/>
      <x:c r="AO66" s="172"/>
      <x:c r="AP66" s="172"/>
      <x:c r="AQ66" s="172"/>
      <x:c r="AR66" s="172"/>
      <x:c r="AS66" s="172"/>
      <x:c r="AT66" s="172"/>
      <x:c r="AU66" s="172"/>
      <x:c r="AV66" s="172"/>
      <x:c r="AW66" s="172"/>
      <x:c r="AX66" s="172"/>
      <x:c r="AY66" s="172"/>
      <x:c r="AZ66" s="172"/>
    </x:row>
    <x:row r="67" ht="23" customHeight="1">
      <x:c r="A67" s="175"/>
      <x:c r="B67" s="177"/>
      <x:c r="C67" s="177"/>
      <x:c r="D67" s="175"/>
      <x:c r="E67" s="175"/>
      <x:c r="F67" s="175"/>
      <x:c r="G67" s="175"/>
      <x:c r="H67" s="175"/>
      <x:c r="I67" s="175"/>
      <x:c r="J67" s="175"/>
      <x:c r="K67" s="212"/>
      <x:c r="L67" s="212"/>
      <x:c r="M67" s="175"/>
      <x:c r="N67" s="175"/>
      <x:c r="O67" s="175"/>
      <x:c r="P67" s="175"/>
      <x:c r="Q67" s="175"/>
      <x:c r="R67" s="212"/>
      <x:c r="S67" s="212"/>
      <x:c r="T67" s="212"/>
      <x:c r="U67" s="175"/>
      <x:c r="V67" s="175"/>
      <x:c r="W67" s="175"/>
      <x:c r="X67" s="175"/>
      <x:c r="Y67" s="175"/>
      <x:c r="Z67" s="175"/>
      <x:c r="AA67" s="172"/>
      <x:c r="AB67" s="172"/>
      <x:c r="AC67" s="172"/>
      <x:c r="AD67" s="172"/>
      <x:c r="AE67" s="172"/>
      <x:c r="AF67" s="172"/>
      <x:c r="AG67" s="172"/>
      <x:c r="AH67" s="172"/>
      <x:c r="AI67" s="172"/>
      <x:c r="AJ67" s="172"/>
      <x:c r="AK67" s="172"/>
      <x:c r="AL67" s="172"/>
      <x:c r="AM67" s="172"/>
      <x:c r="AN67" s="172"/>
      <x:c r="AO67" s="172"/>
      <x:c r="AP67" s="172"/>
      <x:c r="AQ67" s="172"/>
      <x:c r="AR67" s="172"/>
      <x:c r="AS67" s="172"/>
      <x:c r="AT67" s="172"/>
      <x:c r="AU67" s="172"/>
      <x:c r="AV67" s="172"/>
      <x:c r="AW67" s="172"/>
      <x:c r="AX67" s="172"/>
      <x:c r="AY67" s="172"/>
      <x:c r="AZ67" s="172"/>
    </x:row>
    <x:row r="68" ht="23" customHeight="1">
      <x:c r="A68" s="175"/>
      <x:c r="B68" s="177"/>
      <x:c r="C68" s="177"/>
      <x:c r="D68" s="175"/>
      <x:c r="E68" s="175"/>
      <x:c r="F68" s="175"/>
      <x:c r="G68" s="175"/>
      <x:c r="H68" s="175"/>
      <x:c r="I68" s="175"/>
      <x:c r="J68" s="175"/>
      <x:c r="K68" s="212"/>
      <x:c r="L68" s="212"/>
      <x:c r="M68" s="175"/>
      <x:c r="N68" s="175"/>
      <x:c r="O68" s="175"/>
      <x:c r="P68" s="175"/>
      <x:c r="Q68" s="175"/>
      <x:c r="R68" s="212"/>
      <x:c r="S68" s="212"/>
      <x:c r="T68" s="212"/>
      <x:c r="U68" s="175"/>
      <x:c r="V68" s="175"/>
      <x:c r="W68" s="175"/>
      <x:c r="X68" s="175"/>
      <x:c r="Y68" s="175"/>
      <x:c r="Z68" s="175"/>
      <x:c r="AA68" s="172"/>
      <x:c r="AB68" s="172"/>
      <x:c r="AC68" s="172"/>
      <x:c r="AD68" s="172"/>
      <x:c r="AE68" s="172"/>
      <x:c r="AF68" s="172"/>
      <x:c r="AG68" s="172"/>
      <x:c r="AH68" s="172"/>
      <x:c r="AI68" s="172"/>
      <x:c r="AJ68" s="172"/>
      <x:c r="AK68" s="172"/>
      <x:c r="AL68" s="172"/>
      <x:c r="AM68" s="172"/>
      <x:c r="AN68" s="172"/>
      <x:c r="AO68" s="172"/>
      <x:c r="AP68" s="172"/>
      <x:c r="AQ68" s="172"/>
      <x:c r="AR68" s="172"/>
      <x:c r="AS68" s="172"/>
      <x:c r="AT68" s="172"/>
      <x:c r="AU68" s="172"/>
      <x:c r="AV68" s="172"/>
      <x:c r="AW68" s="172"/>
      <x:c r="AX68" s="172"/>
      <x:c r="AY68" s="172"/>
      <x:c r="AZ68" s="172"/>
    </x:row>
    <x:row r="69" ht="23" customHeight="1">
      <x:c r="A69" s="175"/>
      <x:c r="B69" s="177"/>
      <x:c r="C69" s="177"/>
      <x:c r="D69" s="175"/>
      <x:c r="E69" s="175"/>
      <x:c r="F69" s="175"/>
      <x:c r="G69" s="175"/>
      <x:c r="H69" s="175"/>
      <x:c r="I69" s="175"/>
      <x:c r="J69" s="175"/>
      <x:c r="K69" s="212"/>
      <x:c r="L69" s="212"/>
      <x:c r="M69" s="175"/>
      <x:c r="N69" s="175"/>
      <x:c r="O69" s="175"/>
      <x:c r="P69" s="175"/>
      <x:c r="Q69" s="175"/>
      <x:c r="R69" s="212"/>
      <x:c r="S69" s="212"/>
      <x:c r="T69" s="212"/>
      <x:c r="U69" s="175"/>
      <x:c r="V69" s="175"/>
      <x:c r="W69" s="175"/>
      <x:c r="X69" s="175"/>
      <x:c r="Y69" s="175"/>
      <x:c r="Z69" s="175"/>
      <x:c r="AA69" s="172"/>
      <x:c r="AB69" s="172"/>
      <x:c r="AC69" s="172"/>
      <x:c r="AD69" s="172"/>
      <x:c r="AE69" s="172"/>
      <x:c r="AF69" s="172"/>
      <x:c r="AG69" s="172"/>
      <x:c r="AH69" s="172"/>
      <x:c r="AI69" s="172"/>
      <x:c r="AJ69" s="172"/>
      <x:c r="AK69" s="172"/>
      <x:c r="AL69" s="172"/>
      <x:c r="AM69" s="172"/>
      <x:c r="AN69" s="172"/>
      <x:c r="AO69" s="172"/>
      <x:c r="AP69" s="172"/>
      <x:c r="AQ69" s="172"/>
      <x:c r="AR69" s="172"/>
      <x:c r="AS69" s="172"/>
      <x:c r="AT69" s="172"/>
      <x:c r="AU69" s="172"/>
      <x:c r="AV69" s="172"/>
      <x:c r="AW69" s="172"/>
      <x:c r="AX69" s="172"/>
      <x:c r="AY69" s="172"/>
      <x:c r="AZ69" s="172"/>
    </x:row>
    <x:row r="70" ht="23" customHeight="1">
      <x:c r="A70" s="175"/>
      <x:c r="B70" s="177"/>
      <x:c r="C70" s="177"/>
      <x:c r="D70" s="175"/>
      <x:c r="E70" s="175"/>
      <x:c r="F70" s="175"/>
      <x:c r="G70" s="175"/>
      <x:c r="H70" s="175"/>
      <x:c r="I70" s="175"/>
      <x:c r="J70" s="175"/>
      <x:c r="K70" s="212"/>
      <x:c r="L70" s="212"/>
      <x:c r="M70" s="175"/>
      <x:c r="N70" s="175"/>
      <x:c r="O70" s="175"/>
      <x:c r="P70" s="175"/>
      <x:c r="Q70" s="175"/>
      <x:c r="R70" s="212"/>
      <x:c r="S70" s="212"/>
      <x:c r="T70" s="212"/>
      <x:c r="U70" s="175"/>
      <x:c r="V70" s="175"/>
      <x:c r="W70" s="175"/>
      <x:c r="X70" s="175"/>
      <x:c r="Y70" s="175"/>
      <x:c r="Z70" s="175"/>
      <x:c r="AA70" s="172"/>
      <x:c r="AB70" s="172"/>
      <x:c r="AC70" s="172"/>
      <x:c r="AD70" s="172"/>
      <x:c r="AE70" s="172"/>
      <x:c r="AF70" s="172"/>
      <x:c r="AG70" s="172"/>
      <x:c r="AH70" s="172"/>
      <x:c r="AI70" s="172"/>
      <x:c r="AJ70" s="172"/>
      <x:c r="AK70" s="172"/>
      <x:c r="AL70" s="172"/>
      <x:c r="AM70" s="172"/>
      <x:c r="AN70" s="172"/>
      <x:c r="AO70" s="172"/>
      <x:c r="AP70" s="172"/>
      <x:c r="AQ70" s="172"/>
      <x:c r="AR70" s="172"/>
      <x:c r="AS70" s="172"/>
      <x:c r="AT70" s="172"/>
      <x:c r="AU70" s="172"/>
      <x:c r="AV70" s="172"/>
      <x:c r="AW70" s="172"/>
      <x:c r="AX70" s="172"/>
      <x:c r="AY70" s="172"/>
      <x:c r="AZ70" s="172"/>
    </x:row>
    <x:row r="71" ht="23" customHeight="1">
      <x:c r="A71" s="175"/>
      <x:c r="B71" s="177"/>
      <x:c r="C71" s="177"/>
      <x:c r="D71" s="175"/>
      <x:c r="E71" s="175"/>
      <x:c r="F71" s="175"/>
      <x:c r="G71" s="175"/>
      <x:c r="H71" s="175"/>
      <x:c r="I71" s="175"/>
      <x:c r="J71" s="175"/>
      <x:c r="K71" s="212"/>
      <x:c r="L71" s="212"/>
      <x:c r="M71" s="175"/>
      <x:c r="N71" s="175"/>
      <x:c r="O71" s="175"/>
      <x:c r="P71" s="175"/>
      <x:c r="Q71" s="175"/>
      <x:c r="R71" s="212"/>
      <x:c r="S71" s="212"/>
      <x:c r="T71" s="212"/>
      <x:c r="U71" s="175"/>
      <x:c r="V71" s="175"/>
      <x:c r="W71" s="175"/>
      <x:c r="X71" s="175"/>
      <x:c r="Y71" s="175"/>
      <x:c r="Z71" s="175"/>
      <x:c r="AA71" s="172"/>
      <x:c r="AB71" s="172"/>
      <x:c r="AC71" s="172"/>
      <x:c r="AD71" s="172"/>
      <x:c r="AE71" s="172"/>
      <x:c r="AF71" s="172"/>
      <x:c r="AG71" s="172"/>
      <x:c r="AH71" s="172"/>
      <x:c r="AI71" s="172"/>
      <x:c r="AJ71" s="172"/>
      <x:c r="AK71" s="172"/>
      <x:c r="AL71" s="172"/>
      <x:c r="AM71" s="172"/>
      <x:c r="AN71" s="172"/>
      <x:c r="AO71" s="172"/>
      <x:c r="AP71" s="172"/>
      <x:c r="AQ71" s="172"/>
      <x:c r="AR71" s="172"/>
      <x:c r="AS71" s="172"/>
      <x:c r="AT71" s="172"/>
      <x:c r="AU71" s="172"/>
      <x:c r="AV71" s="172"/>
      <x:c r="AW71" s="172"/>
      <x:c r="AX71" s="172"/>
      <x:c r="AY71" s="172"/>
      <x:c r="AZ71" s="172"/>
    </x:row>
    <x:row r="72" ht="23" customHeight="1">
      <x:c r="A72" s="175"/>
      <x:c r="B72" s="177"/>
      <x:c r="C72" s="177"/>
      <x:c r="D72" s="175"/>
      <x:c r="E72" s="175"/>
      <x:c r="F72" s="175"/>
      <x:c r="G72" s="175"/>
      <x:c r="H72" s="175"/>
      <x:c r="I72" s="175"/>
      <x:c r="J72" s="175"/>
      <x:c r="K72" s="212"/>
      <x:c r="L72" s="212"/>
      <x:c r="M72" s="175"/>
      <x:c r="N72" s="175"/>
      <x:c r="O72" s="175"/>
      <x:c r="P72" s="175"/>
      <x:c r="Q72" s="175"/>
      <x:c r="R72" s="212"/>
      <x:c r="S72" s="212"/>
      <x:c r="T72" s="212"/>
      <x:c r="U72" s="175"/>
      <x:c r="V72" s="175"/>
      <x:c r="W72" s="175"/>
      <x:c r="X72" s="175"/>
      <x:c r="Y72" s="175"/>
      <x:c r="Z72" s="175"/>
      <x:c r="AA72" s="172"/>
      <x:c r="AB72" s="172"/>
      <x:c r="AC72" s="172"/>
      <x:c r="AD72" s="172"/>
      <x:c r="AE72" s="172"/>
      <x:c r="AF72" s="172"/>
      <x:c r="AG72" s="172"/>
      <x:c r="AH72" s="172"/>
      <x:c r="AI72" s="172"/>
      <x:c r="AJ72" s="172"/>
      <x:c r="AK72" s="172"/>
      <x:c r="AL72" s="172"/>
      <x:c r="AM72" s="172"/>
      <x:c r="AN72" s="172"/>
      <x:c r="AO72" s="172"/>
      <x:c r="AP72" s="172"/>
      <x:c r="AQ72" s="172"/>
      <x:c r="AR72" s="172"/>
      <x:c r="AS72" s="172"/>
      <x:c r="AT72" s="172"/>
      <x:c r="AU72" s="172"/>
      <x:c r="AV72" s="172"/>
      <x:c r="AW72" s="172"/>
      <x:c r="AX72" s="172"/>
      <x:c r="AY72" s="172"/>
      <x:c r="AZ72" s="172"/>
    </x:row>
    <x:row r="73" ht="23" customHeight="1">
      <x:c r="A73" s="175"/>
      <x:c r="B73" s="177"/>
      <x:c r="C73" s="177"/>
      <x:c r="D73" s="175"/>
      <x:c r="E73" s="175"/>
      <x:c r="F73" s="175"/>
      <x:c r="G73" s="175"/>
      <x:c r="H73" s="175"/>
      <x:c r="I73" s="175"/>
      <x:c r="J73" s="175"/>
      <x:c r="K73" s="212"/>
      <x:c r="L73" s="212"/>
      <x:c r="M73" s="175"/>
      <x:c r="N73" s="175"/>
      <x:c r="O73" s="175"/>
      <x:c r="P73" s="175"/>
      <x:c r="Q73" s="175"/>
      <x:c r="R73" s="212"/>
      <x:c r="S73" s="212"/>
      <x:c r="T73" s="212"/>
      <x:c r="U73" s="175"/>
      <x:c r="V73" s="175"/>
      <x:c r="W73" s="175"/>
      <x:c r="X73" s="175"/>
      <x:c r="Y73" s="175"/>
      <x:c r="Z73" s="175"/>
      <x:c r="AA73" s="172"/>
      <x:c r="AB73" s="172"/>
      <x:c r="AC73" s="172"/>
      <x:c r="AD73" s="172"/>
      <x:c r="AE73" s="172"/>
      <x:c r="AF73" s="172"/>
      <x:c r="AG73" s="172"/>
      <x:c r="AH73" s="172"/>
      <x:c r="AI73" s="172"/>
      <x:c r="AJ73" s="172"/>
      <x:c r="AK73" s="172"/>
      <x:c r="AL73" s="172"/>
      <x:c r="AM73" s="172"/>
      <x:c r="AN73" s="172"/>
      <x:c r="AO73" s="172"/>
      <x:c r="AP73" s="172"/>
      <x:c r="AQ73" s="172"/>
      <x:c r="AR73" s="172"/>
      <x:c r="AS73" s="172"/>
      <x:c r="AT73" s="172"/>
      <x:c r="AU73" s="172"/>
      <x:c r="AV73" s="172"/>
      <x:c r="AW73" s="172"/>
      <x:c r="AX73" s="172"/>
      <x:c r="AY73" s="172"/>
      <x:c r="AZ73" s="172"/>
    </x:row>
    <x:row r="74" ht="23" customHeight="1">
      <x:c r="A74" s="175"/>
      <x:c r="B74" s="177"/>
      <x:c r="C74" s="177"/>
      <x:c r="D74" s="175"/>
      <x:c r="E74" s="175"/>
      <x:c r="F74" s="175"/>
      <x:c r="G74" s="175"/>
      <x:c r="H74" s="175"/>
      <x:c r="I74" s="175"/>
      <x:c r="J74" s="175"/>
      <x:c r="K74" s="212"/>
      <x:c r="L74" s="212"/>
      <x:c r="M74" s="175"/>
      <x:c r="N74" s="175"/>
      <x:c r="O74" s="175"/>
      <x:c r="P74" s="175"/>
      <x:c r="Q74" s="175"/>
      <x:c r="R74" s="212"/>
      <x:c r="S74" s="212"/>
      <x:c r="T74" s="212"/>
      <x:c r="U74" s="175"/>
      <x:c r="V74" s="175"/>
      <x:c r="W74" s="175"/>
      <x:c r="X74" s="175"/>
      <x:c r="Y74" s="175"/>
      <x:c r="Z74" s="175"/>
      <x:c r="AA74" s="172"/>
      <x:c r="AB74" s="172"/>
      <x:c r="AC74" s="172"/>
      <x:c r="AD74" s="172"/>
      <x:c r="AE74" s="172"/>
      <x:c r="AF74" s="172"/>
      <x:c r="AG74" s="172"/>
      <x:c r="AH74" s="172"/>
      <x:c r="AI74" s="172"/>
      <x:c r="AJ74" s="172"/>
      <x:c r="AK74" s="172"/>
      <x:c r="AL74" s="172"/>
      <x:c r="AM74" s="172"/>
      <x:c r="AN74" s="172"/>
      <x:c r="AO74" s="172"/>
      <x:c r="AP74" s="172"/>
      <x:c r="AQ74" s="172"/>
      <x:c r="AR74" s="172"/>
      <x:c r="AS74" s="172"/>
      <x:c r="AT74" s="172"/>
      <x:c r="AU74" s="172"/>
      <x:c r="AV74" s="172"/>
      <x:c r="AW74" s="172"/>
      <x:c r="AX74" s="172"/>
      <x:c r="AY74" s="172"/>
      <x:c r="AZ74" s="172"/>
    </x:row>
    <x:row r="75" ht="23" customHeight="1">
      <x:c r="A75" s="175"/>
      <x:c r="B75" s="177"/>
      <x:c r="C75" s="177"/>
      <x:c r="D75" s="175"/>
      <x:c r="E75" s="175"/>
      <x:c r="F75" s="175"/>
      <x:c r="G75" s="175"/>
      <x:c r="H75" s="175"/>
      <x:c r="I75" s="175"/>
      <x:c r="J75" s="175"/>
      <x:c r="K75" s="212"/>
      <x:c r="L75" s="212"/>
      <x:c r="M75" s="175"/>
      <x:c r="N75" s="175"/>
      <x:c r="O75" s="175"/>
      <x:c r="P75" s="175"/>
      <x:c r="Q75" s="175"/>
      <x:c r="R75" s="212"/>
      <x:c r="S75" s="212"/>
      <x:c r="T75" s="212"/>
      <x:c r="U75" s="175"/>
      <x:c r="V75" s="175"/>
      <x:c r="W75" s="175"/>
      <x:c r="X75" s="175"/>
      <x:c r="Y75" s="175"/>
      <x:c r="Z75" s="175"/>
      <x:c r="AA75" s="172"/>
      <x:c r="AB75" s="172"/>
      <x:c r="AC75" s="172"/>
      <x:c r="AD75" s="172"/>
      <x:c r="AE75" s="172"/>
      <x:c r="AF75" s="172"/>
      <x:c r="AG75" s="172"/>
      <x:c r="AH75" s="172"/>
      <x:c r="AI75" s="172"/>
      <x:c r="AJ75" s="172"/>
      <x:c r="AK75" s="172"/>
      <x:c r="AL75" s="172"/>
      <x:c r="AM75" s="172"/>
      <x:c r="AN75" s="172"/>
      <x:c r="AO75" s="172"/>
      <x:c r="AP75" s="172"/>
      <x:c r="AQ75" s="172"/>
      <x:c r="AR75" s="172"/>
      <x:c r="AS75" s="172"/>
      <x:c r="AT75" s="172"/>
      <x:c r="AU75" s="172"/>
      <x:c r="AV75" s="172"/>
      <x:c r="AW75" s="172"/>
      <x:c r="AX75" s="172"/>
      <x:c r="AY75" s="172"/>
      <x:c r="AZ75" s="172"/>
    </x:row>
    <x:row r="76" ht="23" customHeight="1">
      <x:c r="A76" s="175"/>
      <x:c r="B76" s="177"/>
      <x:c r="C76" s="177"/>
      <x:c r="D76" s="175"/>
      <x:c r="E76" s="175"/>
      <x:c r="F76" s="175"/>
      <x:c r="G76" s="175"/>
      <x:c r="H76" s="175"/>
      <x:c r="I76" s="175"/>
      <x:c r="J76" s="175"/>
      <x:c r="K76" s="212"/>
      <x:c r="L76" s="212"/>
      <x:c r="M76" s="175"/>
      <x:c r="N76" s="175"/>
      <x:c r="O76" s="175"/>
      <x:c r="P76" s="175"/>
      <x:c r="Q76" s="175"/>
      <x:c r="R76" s="212"/>
      <x:c r="S76" s="212"/>
      <x:c r="T76" s="212"/>
      <x:c r="U76" s="175"/>
      <x:c r="V76" s="175"/>
      <x:c r="W76" s="175"/>
      <x:c r="X76" s="175"/>
      <x:c r="Y76" s="175"/>
      <x:c r="Z76" s="175"/>
      <x:c r="AA76" s="172"/>
      <x:c r="AB76" s="172"/>
      <x:c r="AC76" s="172"/>
      <x:c r="AD76" s="172"/>
      <x:c r="AE76" s="172"/>
      <x:c r="AF76" s="172"/>
      <x:c r="AG76" s="172"/>
      <x:c r="AH76" s="172"/>
      <x:c r="AI76" s="172"/>
      <x:c r="AJ76" s="172"/>
      <x:c r="AK76" s="172"/>
      <x:c r="AL76" s="172"/>
      <x:c r="AM76" s="172"/>
      <x:c r="AN76" s="172"/>
      <x:c r="AO76" s="172"/>
      <x:c r="AP76" s="172"/>
      <x:c r="AQ76" s="172"/>
      <x:c r="AR76" s="172"/>
      <x:c r="AS76" s="172"/>
      <x:c r="AT76" s="172"/>
      <x:c r="AU76" s="172"/>
      <x:c r="AV76" s="172"/>
      <x:c r="AW76" s="172"/>
      <x:c r="AX76" s="172"/>
      <x:c r="AY76" s="172"/>
      <x:c r="AZ76" s="172"/>
    </x:row>
    <x:row r="77" ht="23" customHeight="1">
      <x:c r="A77" s="175"/>
      <x:c r="B77" s="177"/>
      <x:c r="C77" s="177"/>
      <x:c r="D77" s="175"/>
      <x:c r="E77" s="175"/>
      <x:c r="F77" s="175"/>
      <x:c r="G77" s="175"/>
      <x:c r="H77" s="175"/>
      <x:c r="I77" s="175"/>
      <x:c r="J77" s="175"/>
      <x:c r="K77" s="212"/>
      <x:c r="L77" s="212"/>
      <x:c r="M77" s="175"/>
      <x:c r="N77" s="175"/>
      <x:c r="O77" s="175"/>
      <x:c r="P77" s="175"/>
      <x:c r="Q77" s="175"/>
      <x:c r="R77" s="212"/>
      <x:c r="S77" s="212"/>
      <x:c r="T77" s="212"/>
      <x:c r="U77" s="175"/>
      <x:c r="V77" s="175"/>
      <x:c r="W77" s="175"/>
      <x:c r="X77" s="175"/>
      <x:c r="Y77" s="175"/>
      <x:c r="Z77" s="175"/>
      <x:c r="AA77" s="172"/>
      <x:c r="AB77" s="172"/>
      <x:c r="AC77" s="172"/>
      <x:c r="AD77" s="172"/>
      <x:c r="AE77" s="172"/>
      <x:c r="AF77" s="172"/>
      <x:c r="AG77" s="172"/>
      <x:c r="AH77" s="172"/>
      <x:c r="AI77" s="172"/>
      <x:c r="AJ77" s="172"/>
      <x:c r="AK77" s="172"/>
      <x:c r="AL77" s="172"/>
      <x:c r="AM77" s="172"/>
      <x:c r="AN77" s="172"/>
      <x:c r="AO77" s="172"/>
      <x:c r="AP77" s="172"/>
      <x:c r="AQ77" s="172"/>
      <x:c r="AR77" s="172"/>
      <x:c r="AS77" s="172"/>
      <x:c r="AT77" s="172"/>
      <x:c r="AU77" s="172"/>
      <x:c r="AV77" s="172"/>
      <x:c r="AW77" s="172"/>
      <x:c r="AX77" s="172"/>
      <x:c r="AY77" s="172"/>
      <x:c r="AZ77" s="172"/>
    </x:row>
    <x:row r="78" ht="23" customHeight="1">
      <x:c r="A78" s="175"/>
      <x:c r="B78" s="177"/>
      <x:c r="C78" s="177"/>
      <x:c r="D78" s="175"/>
      <x:c r="E78" s="175"/>
      <x:c r="F78" s="175"/>
      <x:c r="G78" s="175"/>
      <x:c r="H78" s="175"/>
      <x:c r="I78" s="175"/>
      <x:c r="J78" s="175"/>
      <x:c r="K78" s="212"/>
      <x:c r="L78" s="212"/>
      <x:c r="M78" s="175"/>
      <x:c r="N78" s="175"/>
      <x:c r="O78" s="175"/>
      <x:c r="P78" s="175"/>
      <x:c r="Q78" s="175"/>
      <x:c r="R78" s="212"/>
      <x:c r="S78" s="212"/>
      <x:c r="T78" s="212"/>
      <x:c r="U78" s="175"/>
      <x:c r="V78" s="175"/>
      <x:c r="W78" s="175"/>
      <x:c r="X78" s="175"/>
      <x:c r="Y78" s="175"/>
      <x:c r="Z78" s="175"/>
      <x:c r="AA78" s="172"/>
      <x:c r="AB78" s="172"/>
      <x:c r="AC78" s="172"/>
      <x:c r="AD78" s="172"/>
      <x:c r="AE78" s="172"/>
      <x:c r="AF78" s="172"/>
      <x:c r="AG78" s="172"/>
      <x:c r="AH78" s="172"/>
      <x:c r="AI78" s="172"/>
      <x:c r="AJ78" s="172"/>
      <x:c r="AK78" s="172"/>
      <x:c r="AL78" s="172"/>
      <x:c r="AM78" s="172"/>
      <x:c r="AN78" s="172"/>
      <x:c r="AO78" s="172"/>
      <x:c r="AP78" s="172"/>
      <x:c r="AQ78" s="172"/>
      <x:c r="AR78" s="172"/>
      <x:c r="AS78" s="172"/>
      <x:c r="AT78" s="172"/>
      <x:c r="AU78" s="172"/>
      <x:c r="AV78" s="172"/>
      <x:c r="AW78" s="172"/>
      <x:c r="AX78" s="172"/>
      <x:c r="AY78" s="172"/>
      <x:c r="AZ78" s="172"/>
    </x:row>
    <x:row r="79" ht="23" customHeight="1">
      <x:c r="A79" s="175"/>
      <x:c r="B79" s="177"/>
      <x:c r="C79" s="177"/>
      <x:c r="D79" s="175"/>
      <x:c r="E79" s="175"/>
      <x:c r="F79" s="175"/>
      <x:c r="G79" s="175"/>
      <x:c r="H79" s="175"/>
      <x:c r="I79" s="175"/>
      <x:c r="J79" s="175"/>
      <x:c r="K79" s="212"/>
      <x:c r="L79" s="212"/>
      <x:c r="M79" s="175"/>
      <x:c r="N79" s="175"/>
      <x:c r="O79" s="175"/>
      <x:c r="P79" s="175"/>
      <x:c r="Q79" s="175"/>
      <x:c r="R79" s="212"/>
      <x:c r="S79" s="212"/>
      <x:c r="T79" s="212"/>
      <x:c r="U79" s="175"/>
      <x:c r="V79" s="175"/>
      <x:c r="W79" s="175"/>
      <x:c r="X79" s="175"/>
      <x:c r="Y79" s="175"/>
      <x:c r="Z79" s="175"/>
      <x:c r="AA79" s="172"/>
      <x:c r="AB79" s="172"/>
      <x:c r="AC79" s="172"/>
      <x:c r="AD79" s="172"/>
      <x:c r="AE79" s="172"/>
      <x:c r="AF79" s="172"/>
      <x:c r="AG79" s="172"/>
      <x:c r="AH79" s="172"/>
      <x:c r="AI79" s="172"/>
      <x:c r="AJ79" s="172"/>
      <x:c r="AK79" s="172"/>
      <x:c r="AL79" s="172"/>
      <x:c r="AM79" s="172"/>
      <x:c r="AN79" s="172"/>
      <x:c r="AO79" s="172"/>
      <x:c r="AP79" s="172"/>
      <x:c r="AQ79" s="172"/>
      <x:c r="AR79" s="172"/>
      <x:c r="AS79" s="172"/>
      <x:c r="AT79" s="172"/>
      <x:c r="AU79" s="172"/>
      <x:c r="AV79" s="172"/>
      <x:c r="AW79" s="172"/>
      <x:c r="AX79" s="172"/>
      <x:c r="AY79" s="172"/>
      <x:c r="AZ79" s="172"/>
    </x:row>
    <x:row r="80" ht="23" customHeight="1">
      <x:c r="A80" s="175"/>
      <x:c r="B80" s="177"/>
      <x:c r="C80" s="177"/>
      <x:c r="D80" s="175"/>
      <x:c r="E80" s="175"/>
      <x:c r="F80" s="175"/>
      <x:c r="G80" s="175"/>
      <x:c r="H80" s="175"/>
      <x:c r="I80" s="175"/>
      <x:c r="J80" s="175"/>
      <x:c r="K80" s="212"/>
      <x:c r="L80" s="212"/>
      <x:c r="M80" s="175"/>
      <x:c r="N80" s="175"/>
      <x:c r="O80" s="175"/>
      <x:c r="P80" s="175"/>
      <x:c r="Q80" s="175"/>
      <x:c r="R80" s="212"/>
      <x:c r="S80" s="212"/>
      <x:c r="T80" s="212"/>
      <x:c r="U80" s="175"/>
      <x:c r="V80" s="175"/>
      <x:c r="W80" s="175"/>
      <x:c r="X80" s="175"/>
      <x:c r="Y80" s="175"/>
      <x:c r="Z80" s="175"/>
      <x:c r="AA80" s="172"/>
      <x:c r="AB80" s="172"/>
      <x:c r="AC80" s="172"/>
      <x:c r="AD80" s="172"/>
      <x:c r="AE80" s="172"/>
      <x:c r="AF80" s="172"/>
      <x:c r="AG80" s="172"/>
      <x:c r="AH80" s="172"/>
      <x:c r="AI80" s="172"/>
      <x:c r="AJ80" s="172"/>
      <x:c r="AK80" s="172"/>
      <x:c r="AL80" s="172"/>
      <x:c r="AM80" s="172"/>
      <x:c r="AN80" s="172"/>
      <x:c r="AO80" s="172"/>
      <x:c r="AP80" s="172"/>
      <x:c r="AQ80" s="172"/>
      <x:c r="AR80" s="172"/>
      <x:c r="AS80" s="172"/>
      <x:c r="AT80" s="172"/>
      <x:c r="AU80" s="172"/>
      <x:c r="AV80" s="172"/>
      <x:c r="AW80" s="172"/>
      <x:c r="AX80" s="172"/>
      <x:c r="AY80" s="172"/>
      <x:c r="AZ80" s="172"/>
    </x:row>
    <x:row r="81" ht="23" customHeight="1">
      <x:c r="A81" s="175"/>
      <x:c r="B81" s="177"/>
      <x:c r="C81" s="177"/>
      <x:c r="D81" s="175"/>
      <x:c r="E81" s="175"/>
      <x:c r="F81" s="175"/>
      <x:c r="G81" s="175"/>
      <x:c r="H81" s="175"/>
      <x:c r="I81" s="175"/>
      <x:c r="J81" s="175"/>
      <x:c r="K81" s="212"/>
      <x:c r="L81" s="212"/>
      <x:c r="M81" s="175"/>
      <x:c r="N81" s="175"/>
      <x:c r="O81" s="175"/>
      <x:c r="P81" s="175"/>
      <x:c r="Q81" s="175"/>
      <x:c r="R81" s="212"/>
      <x:c r="S81" s="212"/>
      <x:c r="T81" s="212"/>
      <x:c r="U81" s="175"/>
      <x:c r="V81" s="175"/>
      <x:c r="W81" s="175"/>
      <x:c r="X81" s="175"/>
      <x:c r="Y81" s="175"/>
      <x:c r="Z81" s="175"/>
      <x:c r="AA81" s="172"/>
      <x:c r="AB81" s="172"/>
      <x:c r="AC81" s="172"/>
      <x:c r="AD81" s="172"/>
      <x:c r="AE81" s="172"/>
      <x:c r="AF81" s="172"/>
      <x:c r="AG81" s="172"/>
      <x:c r="AH81" s="172"/>
      <x:c r="AI81" s="172"/>
      <x:c r="AJ81" s="172"/>
      <x:c r="AK81" s="172"/>
      <x:c r="AL81" s="172"/>
      <x:c r="AM81" s="172"/>
      <x:c r="AN81" s="172"/>
      <x:c r="AO81" s="172"/>
      <x:c r="AP81" s="172"/>
      <x:c r="AQ81" s="172"/>
      <x:c r="AR81" s="172"/>
      <x:c r="AS81" s="172"/>
      <x:c r="AT81" s="172"/>
      <x:c r="AU81" s="172"/>
      <x:c r="AV81" s="172"/>
      <x:c r="AW81" s="172"/>
      <x:c r="AX81" s="172"/>
      <x:c r="AY81" s="172"/>
      <x:c r="AZ81" s="172"/>
    </x:row>
    <x:row r="82" ht="23" customHeight="1">
      <x:c r="A82" s="175"/>
      <x:c r="B82" s="177"/>
      <x:c r="C82" s="177"/>
      <x:c r="D82" s="175"/>
      <x:c r="E82" s="175"/>
      <x:c r="F82" s="175"/>
      <x:c r="G82" s="175"/>
      <x:c r="H82" s="175"/>
      <x:c r="I82" s="175"/>
      <x:c r="J82" s="175"/>
      <x:c r="K82" s="212"/>
      <x:c r="L82" s="212"/>
      <x:c r="M82" s="175"/>
      <x:c r="N82" s="175"/>
      <x:c r="O82" s="175"/>
      <x:c r="P82" s="175"/>
      <x:c r="Q82" s="175"/>
      <x:c r="R82" s="212"/>
      <x:c r="S82" s="212"/>
      <x:c r="T82" s="212"/>
      <x:c r="U82" s="175"/>
      <x:c r="V82" s="175"/>
      <x:c r="W82" s="175"/>
      <x:c r="X82" s="175"/>
      <x:c r="Y82" s="175"/>
      <x:c r="Z82" s="175"/>
      <x:c r="AA82" s="172"/>
      <x:c r="AB82" s="172"/>
      <x:c r="AC82" s="172"/>
      <x:c r="AD82" s="172"/>
      <x:c r="AE82" s="172"/>
      <x:c r="AF82" s="172"/>
      <x:c r="AG82" s="172"/>
      <x:c r="AH82" s="172"/>
      <x:c r="AI82" s="172"/>
      <x:c r="AJ82" s="172"/>
      <x:c r="AK82" s="172"/>
      <x:c r="AL82" s="172"/>
      <x:c r="AM82" s="172"/>
      <x:c r="AN82" s="172"/>
      <x:c r="AO82" s="172"/>
      <x:c r="AP82" s="172"/>
      <x:c r="AQ82" s="172"/>
      <x:c r="AR82" s="172"/>
      <x:c r="AS82" s="172"/>
      <x:c r="AT82" s="172"/>
      <x:c r="AU82" s="172"/>
      <x:c r="AV82" s="172"/>
      <x:c r="AW82" s="172"/>
      <x:c r="AX82" s="172"/>
      <x:c r="AY82" s="172"/>
      <x:c r="AZ82" s="172"/>
    </x:row>
    <x:row r="83" ht="23" customHeight="1">
      <x:c r="A83" s="175"/>
      <x:c r="B83" s="177"/>
      <x:c r="C83" s="177"/>
      <x:c r="D83" s="175"/>
      <x:c r="E83" s="175"/>
      <x:c r="F83" s="175"/>
      <x:c r="G83" s="175"/>
      <x:c r="H83" s="175"/>
      <x:c r="I83" s="175"/>
      <x:c r="J83" s="175"/>
      <x:c r="K83" s="212"/>
      <x:c r="L83" s="212"/>
      <x:c r="M83" s="175"/>
      <x:c r="N83" s="175"/>
      <x:c r="O83" s="175"/>
      <x:c r="P83" s="175"/>
      <x:c r="Q83" s="175"/>
      <x:c r="R83" s="212"/>
      <x:c r="S83" s="212"/>
      <x:c r="T83" s="212"/>
      <x:c r="U83" s="175"/>
      <x:c r="V83" s="175"/>
      <x:c r="W83" s="175"/>
      <x:c r="X83" s="175"/>
      <x:c r="Y83" s="175"/>
      <x:c r="Z83" s="175"/>
      <x:c r="AA83" s="172"/>
      <x:c r="AB83" s="172"/>
      <x:c r="AC83" s="172"/>
      <x:c r="AD83" s="172"/>
      <x:c r="AE83" s="172"/>
      <x:c r="AF83" s="172"/>
      <x:c r="AG83" s="172"/>
      <x:c r="AH83" s="172"/>
      <x:c r="AI83" s="172"/>
      <x:c r="AJ83" s="172"/>
      <x:c r="AK83" s="172"/>
      <x:c r="AL83" s="172"/>
      <x:c r="AM83" s="172"/>
      <x:c r="AN83" s="172"/>
      <x:c r="AO83" s="172"/>
      <x:c r="AP83" s="172"/>
      <x:c r="AQ83" s="172"/>
      <x:c r="AR83" s="172"/>
      <x:c r="AS83" s="172"/>
      <x:c r="AT83" s="172"/>
      <x:c r="AU83" s="172"/>
      <x:c r="AV83" s="172"/>
      <x:c r="AW83" s="172"/>
      <x:c r="AX83" s="172"/>
      <x:c r="AY83" s="172"/>
      <x:c r="AZ83" s="172"/>
    </x:row>
    <x:row r="84" ht="23" customHeight="1">
      <x:c r="A84" s="175"/>
      <x:c r="B84" s="177"/>
      <x:c r="C84" s="177"/>
      <x:c r="D84" s="175"/>
      <x:c r="E84" s="175"/>
      <x:c r="F84" s="175"/>
      <x:c r="G84" s="175"/>
      <x:c r="H84" s="175"/>
      <x:c r="I84" s="175"/>
      <x:c r="J84" s="175"/>
      <x:c r="K84" s="212"/>
      <x:c r="L84" s="212"/>
      <x:c r="M84" s="175"/>
      <x:c r="N84" s="175"/>
      <x:c r="O84" s="175"/>
      <x:c r="P84" s="175"/>
      <x:c r="Q84" s="175"/>
      <x:c r="R84" s="212"/>
      <x:c r="S84" s="212"/>
      <x:c r="T84" s="212"/>
      <x:c r="U84" s="175"/>
      <x:c r="V84" s="175"/>
      <x:c r="W84" s="175"/>
      <x:c r="X84" s="175"/>
      <x:c r="Y84" s="175"/>
      <x:c r="Z84" s="175"/>
      <x:c r="AA84" s="172"/>
      <x:c r="AB84" s="172"/>
      <x:c r="AC84" s="172"/>
      <x:c r="AD84" s="172"/>
      <x:c r="AE84" s="172"/>
      <x:c r="AF84" s="172"/>
      <x:c r="AG84" s="172"/>
      <x:c r="AH84" s="172"/>
      <x:c r="AI84" s="172"/>
      <x:c r="AJ84" s="172"/>
      <x:c r="AK84" s="172"/>
      <x:c r="AL84" s="172"/>
      <x:c r="AM84" s="172"/>
      <x:c r="AN84" s="172"/>
      <x:c r="AO84" s="172"/>
      <x:c r="AP84" s="172"/>
      <x:c r="AQ84" s="172"/>
      <x:c r="AR84" s="172"/>
      <x:c r="AS84" s="172"/>
      <x:c r="AT84" s="172"/>
      <x:c r="AU84" s="172"/>
      <x:c r="AV84" s="172"/>
      <x:c r="AW84" s="172"/>
      <x:c r="AX84" s="172"/>
      <x:c r="AY84" s="172"/>
      <x:c r="AZ84" s="172"/>
    </x:row>
    <x:row r="85" ht="23" customHeight="1">
      <x:c r="A85" s="175"/>
      <x:c r="B85" s="177"/>
      <x:c r="C85" s="177"/>
      <x:c r="D85" s="175"/>
      <x:c r="E85" s="175"/>
      <x:c r="F85" s="175"/>
      <x:c r="G85" s="175"/>
      <x:c r="H85" s="175"/>
      <x:c r="I85" s="175"/>
      <x:c r="J85" s="175"/>
      <x:c r="K85" s="212"/>
      <x:c r="L85" s="212"/>
      <x:c r="M85" s="175"/>
      <x:c r="N85" s="175"/>
      <x:c r="O85" s="175"/>
      <x:c r="P85" s="175"/>
      <x:c r="Q85" s="175"/>
      <x:c r="R85" s="212"/>
      <x:c r="S85" s="212"/>
      <x:c r="T85" s="212"/>
      <x:c r="U85" s="175"/>
      <x:c r="V85" s="175"/>
      <x:c r="W85" s="175"/>
      <x:c r="X85" s="175"/>
      <x:c r="Y85" s="175"/>
      <x:c r="Z85" s="175"/>
      <x:c r="AA85" s="172"/>
      <x:c r="AB85" s="172"/>
      <x:c r="AC85" s="172"/>
      <x:c r="AD85" s="172"/>
      <x:c r="AE85" s="172"/>
      <x:c r="AF85" s="172"/>
      <x:c r="AG85" s="172"/>
      <x:c r="AH85" s="172"/>
      <x:c r="AI85" s="172"/>
      <x:c r="AJ85" s="172"/>
      <x:c r="AK85" s="172"/>
      <x:c r="AL85" s="172"/>
      <x:c r="AM85" s="172"/>
      <x:c r="AN85" s="172"/>
      <x:c r="AO85" s="172"/>
      <x:c r="AP85" s="172"/>
      <x:c r="AQ85" s="172"/>
      <x:c r="AR85" s="172"/>
      <x:c r="AS85" s="172"/>
      <x:c r="AT85" s="172"/>
      <x:c r="AU85" s="172"/>
      <x:c r="AV85" s="172"/>
      <x:c r="AW85" s="172"/>
      <x:c r="AX85" s="172"/>
      <x:c r="AY85" s="172"/>
      <x:c r="AZ85" s="172"/>
    </x:row>
    <x:row r="86" ht="23" customHeight="1">
      <x:c r="A86" s="175"/>
      <x:c r="B86" s="177"/>
      <x:c r="C86" s="177"/>
      <x:c r="D86" s="175"/>
      <x:c r="E86" s="175"/>
      <x:c r="F86" s="175"/>
      <x:c r="G86" s="175"/>
      <x:c r="H86" s="175"/>
      <x:c r="I86" s="175"/>
      <x:c r="J86" s="175"/>
      <x:c r="K86" s="212"/>
      <x:c r="L86" s="212"/>
      <x:c r="M86" s="175"/>
      <x:c r="N86" s="175"/>
      <x:c r="O86" s="175"/>
      <x:c r="P86" s="175"/>
      <x:c r="Q86" s="175"/>
      <x:c r="R86" s="212"/>
      <x:c r="S86" s="212"/>
      <x:c r="T86" s="212"/>
      <x:c r="U86" s="175"/>
      <x:c r="V86" s="175"/>
      <x:c r="W86" s="175"/>
      <x:c r="X86" s="175"/>
      <x:c r="Y86" s="175"/>
      <x:c r="Z86" s="175"/>
      <x:c r="AA86" s="172"/>
      <x:c r="AB86" s="172"/>
      <x:c r="AC86" s="172"/>
      <x:c r="AD86" s="172"/>
      <x:c r="AE86" s="172"/>
      <x:c r="AF86" s="172"/>
      <x:c r="AG86" s="172"/>
      <x:c r="AH86" s="172"/>
      <x:c r="AI86" s="172"/>
      <x:c r="AJ86" s="172"/>
      <x:c r="AK86" s="172"/>
      <x:c r="AL86" s="172"/>
      <x:c r="AM86" s="172"/>
      <x:c r="AN86" s="172"/>
      <x:c r="AO86" s="172"/>
      <x:c r="AP86" s="172"/>
      <x:c r="AQ86" s="172"/>
      <x:c r="AR86" s="172"/>
      <x:c r="AS86" s="172"/>
      <x:c r="AT86" s="172"/>
      <x:c r="AU86" s="172"/>
      <x:c r="AV86" s="172"/>
      <x:c r="AW86" s="172"/>
      <x:c r="AX86" s="172"/>
      <x:c r="AY86" s="172"/>
      <x:c r="AZ86" s="172"/>
    </x:row>
    <x:row r="87" ht="23" customHeight="1">
      <x:c r="A87" s="175"/>
      <x:c r="B87" s="177"/>
      <x:c r="C87" s="177"/>
      <x:c r="D87" s="175"/>
      <x:c r="E87" s="175"/>
      <x:c r="F87" s="175"/>
      <x:c r="G87" s="175"/>
      <x:c r="H87" s="175"/>
      <x:c r="I87" s="175"/>
      <x:c r="J87" s="175"/>
      <x:c r="K87" s="212"/>
      <x:c r="L87" s="212"/>
      <x:c r="M87" s="175"/>
      <x:c r="N87" s="175"/>
      <x:c r="O87" s="175"/>
      <x:c r="P87" s="175"/>
      <x:c r="Q87" s="175"/>
      <x:c r="R87" s="212"/>
      <x:c r="S87" s="212"/>
      <x:c r="T87" s="212"/>
      <x:c r="U87" s="175"/>
      <x:c r="V87" s="175"/>
      <x:c r="W87" s="175"/>
      <x:c r="X87" s="175"/>
      <x:c r="Y87" s="175"/>
      <x:c r="Z87" s="175"/>
      <x:c r="AA87" s="172"/>
      <x:c r="AB87" s="172"/>
      <x:c r="AC87" s="172"/>
      <x:c r="AD87" s="172"/>
      <x:c r="AE87" s="172"/>
      <x:c r="AF87" s="172"/>
      <x:c r="AG87" s="172"/>
      <x:c r="AH87" s="172"/>
      <x:c r="AI87" s="172"/>
      <x:c r="AJ87" s="172"/>
      <x:c r="AK87" s="172"/>
      <x:c r="AL87" s="172"/>
      <x:c r="AM87" s="172"/>
      <x:c r="AN87" s="172"/>
      <x:c r="AO87" s="172"/>
      <x:c r="AP87" s="172"/>
      <x:c r="AQ87" s="172"/>
      <x:c r="AR87" s="172"/>
      <x:c r="AS87" s="172"/>
      <x:c r="AT87" s="172"/>
      <x:c r="AU87" s="172"/>
      <x:c r="AV87" s="172"/>
      <x:c r="AW87" s="172"/>
      <x:c r="AX87" s="172"/>
      <x:c r="AY87" s="172"/>
      <x:c r="AZ87" s="172"/>
    </x:row>
    <x:row r="88" ht="23" customHeight="1">
      <x:c r="A88" s="175"/>
      <x:c r="B88" s="177"/>
      <x:c r="C88" s="177"/>
      <x:c r="D88" s="175"/>
      <x:c r="E88" s="175"/>
      <x:c r="F88" s="175"/>
      <x:c r="G88" s="175"/>
      <x:c r="H88" s="175"/>
      <x:c r="I88" s="175"/>
      <x:c r="J88" s="175"/>
      <x:c r="K88" s="212"/>
      <x:c r="L88" s="212"/>
      <x:c r="M88" s="175"/>
      <x:c r="N88" s="175"/>
      <x:c r="O88" s="175"/>
      <x:c r="P88" s="175"/>
      <x:c r="Q88" s="175"/>
      <x:c r="R88" s="212"/>
      <x:c r="S88" s="212"/>
      <x:c r="T88" s="212"/>
      <x:c r="U88" s="175"/>
      <x:c r="V88" s="175"/>
      <x:c r="W88" s="175"/>
      <x:c r="X88" s="175"/>
      <x:c r="Y88" s="175"/>
      <x:c r="Z88" s="175"/>
      <x:c r="AA88" s="172"/>
      <x:c r="AB88" s="172"/>
      <x:c r="AC88" s="172"/>
      <x:c r="AD88" s="172"/>
      <x:c r="AE88" s="172"/>
      <x:c r="AF88" s="172"/>
      <x:c r="AG88" s="172"/>
      <x:c r="AH88" s="172"/>
      <x:c r="AI88" s="172"/>
      <x:c r="AJ88" s="172"/>
      <x:c r="AK88" s="172"/>
      <x:c r="AL88" s="172"/>
      <x:c r="AM88" s="172"/>
      <x:c r="AN88" s="172"/>
      <x:c r="AO88" s="172"/>
      <x:c r="AP88" s="172"/>
      <x:c r="AQ88" s="172"/>
      <x:c r="AR88" s="172"/>
      <x:c r="AS88" s="172"/>
      <x:c r="AT88" s="172"/>
      <x:c r="AU88" s="172"/>
      <x:c r="AV88" s="172"/>
      <x:c r="AW88" s="172"/>
      <x:c r="AX88" s="172"/>
      <x:c r="AY88" s="172"/>
      <x:c r="AZ88" s="172"/>
    </x:row>
    <x:row r="89" ht="23" customHeight="1">
      <x:c r="A89" s="175"/>
      <x:c r="B89" s="177"/>
      <x:c r="C89" s="177"/>
      <x:c r="D89" s="175"/>
      <x:c r="E89" s="175"/>
      <x:c r="F89" s="175"/>
      <x:c r="G89" s="175"/>
      <x:c r="H89" s="175"/>
      <x:c r="I89" s="175"/>
      <x:c r="J89" s="175"/>
      <x:c r="K89" s="212"/>
      <x:c r="L89" s="212"/>
      <x:c r="M89" s="175"/>
      <x:c r="N89" s="175"/>
      <x:c r="O89" s="175"/>
      <x:c r="P89" s="175"/>
      <x:c r="Q89" s="175"/>
      <x:c r="R89" s="212"/>
      <x:c r="S89" s="212"/>
      <x:c r="T89" s="212"/>
      <x:c r="U89" s="175"/>
      <x:c r="V89" s="175"/>
      <x:c r="W89" s="175"/>
      <x:c r="X89" s="175"/>
      <x:c r="Y89" s="175"/>
      <x:c r="Z89" s="175"/>
      <x:c r="AA89" s="172"/>
      <x:c r="AB89" s="172"/>
      <x:c r="AC89" s="172"/>
      <x:c r="AD89" s="172"/>
      <x:c r="AE89" s="172"/>
      <x:c r="AF89" s="172"/>
      <x:c r="AG89" s="172"/>
      <x:c r="AH89" s="172"/>
      <x:c r="AI89" s="172"/>
      <x:c r="AJ89" s="172"/>
      <x:c r="AK89" s="172"/>
      <x:c r="AL89" s="172"/>
      <x:c r="AM89" s="172"/>
      <x:c r="AN89" s="172"/>
      <x:c r="AO89" s="172"/>
      <x:c r="AP89" s="172"/>
      <x:c r="AQ89" s="172"/>
      <x:c r="AR89" s="172"/>
      <x:c r="AS89" s="172"/>
      <x:c r="AT89" s="172"/>
      <x:c r="AU89" s="172"/>
      <x:c r="AV89" s="172"/>
      <x:c r="AW89" s="172"/>
      <x:c r="AX89" s="172"/>
      <x:c r="AY89" s="172"/>
      <x:c r="AZ89" s="172"/>
    </x:row>
    <x:row r="90" ht="23" customHeight="1">
      <x:c r="A90" s="175"/>
      <x:c r="B90" s="177"/>
      <x:c r="C90" s="177"/>
      <x:c r="D90" s="175"/>
      <x:c r="E90" s="175"/>
      <x:c r="F90" s="175"/>
      <x:c r="G90" s="175"/>
      <x:c r="H90" s="175"/>
      <x:c r="I90" s="175"/>
      <x:c r="J90" s="175"/>
      <x:c r="K90" s="212"/>
      <x:c r="L90" s="212"/>
      <x:c r="M90" s="175"/>
      <x:c r="N90" s="175"/>
      <x:c r="O90" s="175"/>
      <x:c r="P90" s="175"/>
      <x:c r="Q90" s="175"/>
      <x:c r="R90" s="212"/>
      <x:c r="S90" s="212"/>
      <x:c r="T90" s="212"/>
      <x:c r="U90" s="175"/>
      <x:c r="V90" s="175"/>
      <x:c r="W90" s="175"/>
      <x:c r="X90" s="175"/>
      <x:c r="Y90" s="175"/>
      <x:c r="Z90" s="175"/>
      <x:c r="AA90" s="172"/>
      <x:c r="AB90" s="172"/>
      <x:c r="AC90" s="172"/>
      <x:c r="AD90" s="172"/>
      <x:c r="AE90" s="172"/>
      <x:c r="AF90" s="172"/>
      <x:c r="AG90" s="172"/>
      <x:c r="AH90" s="172"/>
      <x:c r="AI90" s="172"/>
      <x:c r="AJ90" s="172"/>
      <x:c r="AK90" s="172"/>
      <x:c r="AL90" s="172"/>
      <x:c r="AM90" s="172"/>
      <x:c r="AN90" s="172"/>
      <x:c r="AO90" s="172"/>
      <x:c r="AP90" s="172"/>
      <x:c r="AQ90" s="172"/>
      <x:c r="AR90" s="172"/>
      <x:c r="AS90" s="172"/>
      <x:c r="AT90" s="172"/>
      <x:c r="AU90" s="172"/>
      <x:c r="AV90" s="172"/>
      <x:c r="AW90" s="172"/>
      <x:c r="AX90" s="172"/>
      <x:c r="AY90" s="172"/>
      <x:c r="AZ90" s="172"/>
    </x:row>
    <x:row r="91" ht="23" customHeight="1">
      <x:c r="A91" s="175"/>
      <x:c r="B91" s="177"/>
      <x:c r="C91" s="177"/>
      <x:c r="D91" s="175"/>
      <x:c r="E91" s="175"/>
      <x:c r="F91" s="175"/>
      <x:c r="G91" s="175"/>
      <x:c r="H91" s="175"/>
      <x:c r="I91" s="175"/>
      <x:c r="J91" s="175"/>
      <x:c r="K91" s="212"/>
      <x:c r="L91" s="212"/>
      <x:c r="M91" s="175"/>
      <x:c r="N91" s="175"/>
      <x:c r="O91" s="175"/>
      <x:c r="P91" s="175"/>
      <x:c r="Q91" s="175"/>
      <x:c r="R91" s="212"/>
      <x:c r="S91" s="212"/>
      <x:c r="T91" s="212"/>
      <x:c r="U91" s="175"/>
      <x:c r="V91" s="175"/>
      <x:c r="W91" s="175"/>
      <x:c r="X91" s="175"/>
      <x:c r="Y91" s="175"/>
      <x:c r="Z91" s="175"/>
      <x:c r="AA91" s="172"/>
      <x:c r="AB91" s="172"/>
      <x:c r="AC91" s="172"/>
      <x:c r="AD91" s="172"/>
      <x:c r="AE91" s="172"/>
      <x:c r="AF91" s="172"/>
      <x:c r="AG91" s="172"/>
      <x:c r="AH91" s="172"/>
      <x:c r="AI91" s="172"/>
      <x:c r="AJ91" s="172"/>
      <x:c r="AK91" s="172"/>
      <x:c r="AL91" s="172"/>
      <x:c r="AM91" s="172"/>
      <x:c r="AN91" s="172"/>
      <x:c r="AO91" s="172"/>
      <x:c r="AP91" s="172"/>
      <x:c r="AQ91" s="172"/>
      <x:c r="AR91" s="172"/>
      <x:c r="AS91" s="172"/>
      <x:c r="AT91" s="172"/>
      <x:c r="AU91" s="172"/>
      <x:c r="AV91" s="172"/>
      <x:c r="AW91" s="172"/>
      <x:c r="AX91" s="172"/>
      <x:c r="AY91" s="172"/>
      <x:c r="AZ91" s="172"/>
    </x:row>
    <x:row r="92" ht="23" customHeight="1">
      <x:c r="A92" s="175"/>
      <x:c r="B92" s="177"/>
      <x:c r="C92" s="177"/>
      <x:c r="D92" s="175"/>
      <x:c r="E92" s="175"/>
      <x:c r="F92" s="175"/>
      <x:c r="G92" s="175"/>
      <x:c r="H92" s="175"/>
      <x:c r="I92" s="175"/>
      <x:c r="J92" s="175"/>
      <x:c r="K92" s="212"/>
      <x:c r="L92" s="212"/>
      <x:c r="M92" s="175"/>
      <x:c r="N92" s="175"/>
      <x:c r="O92" s="175"/>
      <x:c r="P92" s="175"/>
      <x:c r="Q92" s="175"/>
      <x:c r="R92" s="212"/>
      <x:c r="S92" s="212"/>
      <x:c r="T92" s="212"/>
      <x:c r="U92" s="175"/>
      <x:c r="V92" s="175"/>
      <x:c r="W92" s="175"/>
      <x:c r="X92" s="175"/>
      <x:c r="Y92" s="175"/>
      <x:c r="Z92" s="175"/>
      <x:c r="AA92" s="172"/>
      <x:c r="AB92" s="172"/>
      <x:c r="AC92" s="172"/>
      <x:c r="AD92" s="172"/>
      <x:c r="AE92" s="172"/>
      <x:c r="AF92" s="172"/>
      <x:c r="AG92" s="172"/>
      <x:c r="AH92" s="172"/>
      <x:c r="AI92" s="172"/>
      <x:c r="AJ92" s="172"/>
      <x:c r="AK92" s="172"/>
      <x:c r="AL92" s="172"/>
      <x:c r="AM92" s="172"/>
      <x:c r="AN92" s="172"/>
      <x:c r="AO92" s="172"/>
      <x:c r="AP92" s="172"/>
      <x:c r="AQ92" s="172"/>
      <x:c r="AR92" s="172"/>
      <x:c r="AS92" s="172"/>
      <x:c r="AT92" s="172"/>
      <x:c r="AU92" s="172"/>
      <x:c r="AV92" s="172"/>
      <x:c r="AW92" s="172"/>
      <x:c r="AX92" s="172"/>
      <x:c r="AY92" s="172"/>
      <x:c r="AZ92" s="172"/>
    </x:row>
    <x:row r="93" ht="23" customHeight="1">
      <x:c r="A93" s="175"/>
      <x:c r="B93" s="177"/>
      <x:c r="C93" s="177"/>
      <x:c r="D93" s="175"/>
      <x:c r="E93" s="175"/>
      <x:c r="F93" s="175"/>
      <x:c r="G93" s="175"/>
      <x:c r="H93" s="175"/>
      <x:c r="I93" s="175"/>
      <x:c r="J93" s="175"/>
      <x:c r="K93" s="212"/>
      <x:c r="L93" s="212"/>
      <x:c r="M93" s="175"/>
      <x:c r="N93" s="175"/>
      <x:c r="O93" s="175"/>
      <x:c r="P93" s="175"/>
      <x:c r="Q93" s="175"/>
      <x:c r="R93" s="212"/>
      <x:c r="S93" s="212"/>
      <x:c r="T93" s="212"/>
      <x:c r="U93" s="175"/>
      <x:c r="V93" s="175"/>
      <x:c r="W93" s="175"/>
      <x:c r="X93" s="175"/>
      <x:c r="Y93" s="175"/>
      <x:c r="Z93" s="175"/>
      <x:c r="AA93" s="172"/>
      <x:c r="AB93" s="172"/>
      <x:c r="AC93" s="172"/>
      <x:c r="AD93" s="172"/>
      <x:c r="AE93" s="172"/>
      <x:c r="AF93" s="172"/>
      <x:c r="AG93" s="172"/>
      <x:c r="AH93" s="172"/>
      <x:c r="AI93" s="172"/>
      <x:c r="AJ93" s="172"/>
      <x:c r="AK93" s="172"/>
      <x:c r="AL93" s="172"/>
      <x:c r="AM93" s="172"/>
      <x:c r="AN93" s="172"/>
      <x:c r="AO93" s="172"/>
      <x:c r="AP93" s="172"/>
      <x:c r="AQ93" s="172"/>
      <x:c r="AR93" s="172"/>
      <x:c r="AS93" s="172"/>
      <x:c r="AT93" s="172"/>
      <x:c r="AU93" s="172"/>
      <x:c r="AV93" s="172"/>
      <x:c r="AW93" s="172"/>
      <x:c r="AX93" s="172"/>
      <x:c r="AY93" s="172"/>
      <x:c r="AZ93" s="172"/>
    </x:row>
    <x:row r="94" ht="23" customHeight="1">
      <x:c r="A94" s="175"/>
      <x:c r="B94" s="177"/>
      <x:c r="C94" s="177"/>
      <x:c r="D94" s="175"/>
      <x:c r="E94" s="175"/>
      <x:c r="F94" s="175"/>
      <x:c r="G94" s="175"/>
      <x:c r="H94" s="175"/>
      <x:c r="I94" s="175"/>
      <x:c r="J94" s="175"/>
      <x:c r="K94" s="212"/>
      <x:c r="L94" s="212"/>
      <x:c r="M94" s="175"/>
      <x:c r="N94" s="175"/>
      <x:c r="O94" s="175"/>
      <x:c r="P94" s="175"/>
      <x:c r="Q94" s="175"/>
      <x:c r="R94" s="212"/>
      <x:c r="S94" s="212"/>
      <x:c r="T94" s="212"/>
      <x:c r="U94" s="175"/>
      <x:c r="V94" s="175"/>
      <x:c r="W94" s="175"/>
      <x:c r="X94" s="175"/>
      <x:c r="Y94" s="175"/>
      <x:c r="Z94" s="175"/>
      <x:c r="AA94" s="172"/>
      <x:c r="AB94" s="172"/>
      <x:c r="AC94" s="172"/>
      <x:c r="AD94" s="172"/>
      <x:c r="AE94" s="172"/>
      <x:c r="AF94" s="172"/>
      <x:c r="AG94" s="172"/>
      <x:c r="AH94" s="172"/>
      <x:c r="AI94" s="172"/>
      <x:c r="AJ94" s="172"/>
      <x:c r="AK94" s="172"/>
      <x:c r="AL94" s="172"/>
      <x:c r="AM94" s="172"/>
      <x:c r="AN94" s="172"/>
      <x:c r="AO94" s="172"/>
      <x:c r="AP94" s="172"/>
      <x:c r="AQ94" s="172"/>
      <x:c r="AR94" s="172"/>
      <x:c r="AS94" s="172"/>
      <x:c r="AT94" s="172"/>
      <x:c r="AU94" s="172"/>
      <x:c r="AV94" s="172"/>
      <x:c r="AW94" s="172"/>
      <x:c r="AX94" s="172"/>
      <x:c r="AY94" s="172"/>
      <x:c r="AZ94" s="172"/>
    </x:row>
    <x:row r="95" ht="23" customHeight="1">
      <x:c r="A95" s="175"/>
      <x:c r="B95" s="177"/>
      <x:c r="C95" s="177"/>
      <x:c r="D95" s="175"/>
      <x:c r="E95" s="175"/>
      <x:c r="F95" s="175"/>
      <x:c r="G95" s="175"/>
      <x:c r="H95" s="175"/>
      <x:c r="I95" s="175"/>
      <x:c r="J95" s="175"/>
      <x:c r="K95" s="212"/>
      <x:c r="L95" s="212"/>
      <x:c r="M95" s="175"/>
      <x:c r="N95" s="175"/>
      <x:c r="O95" s="175"/>
      <x:c r="P95" s="175"/>
      <x:c r="Q95" s="175"/>
      <x:c r="R95" s="212"/>
      <x:c r="S95" s="212"/>
      <x:c r="T95" s="212"/>
      <x:c r="U95" s="175"/>
      <x:c r="V95" s="175"/>
      <x:c r="W95" s="175"/>
      <x:c r="X95" s="175"/>
      <x:c r="Y95" s="175"/>
      <x:c r="Z95" s="175"/>
      <x:c r="AA95" s="172"/>
      <x:c r="AB95" s="172"/>
      <x:c r="AC95" s="172"/>
      <x:c r="AD95" s="172"/>
      <x:c r="AE95" s="172"/>
      <x:c r="AF95" s="172"/>
      <x:c r="AG95" s="172"/>
      <x:c r="AH95" s="172"/>
      <x:c r="AI95" s="172"/>
      <x:c r="AJ95" s="172"/>
      <x:c r="AK95" s="172"/>
      <x:c r="AL95" s="172"/>
      <x:c r="AM95" s="172"/>
      <x:c r="AN95" s="172"/>
      <x:c r="AO95" s="172"/>
      <x:c r="AP95" s="172"/>
      <x:c r="AQ95" s="172"/>
      <x:c r="AR95" s="172"/>
      <x:c r="AS95" s="172"/>
      <x:c r="AT95" s="172"/>
      <x:c r="AU95" s="172"/>
      <x:c r="AV95" s="172"/>
      <x:c r="AW95" s="172"/>
      <x:c r="AX95" s="172"/>
      <x:c r="AY95" s="172"/>
      <x:c r="AZ95" s="172"/>
    </x:row>
    <x:row r="96" ht="23" customHeight="1">
      <x:c r="A96" s="175"/>
      <x:c r="B96" s="177"/>
      <x:c r="C96" s="177"/>
      <x:c r="D96" s="175"/>
      <x:c r="E96" s="175"/>
      <x:c r="F96" s="175"/>
      <x:c r="G96" s="175"/>
      <x:c r="H96" s="175"/>
      <x:c r="I96" s="175"/>
      <x:c r="J96" s="175"/>
      <x:c r="K96" s="212"/>
      <x:c r="L96" s="212"/>
      <x:c r="M96" s="175"/>
      <x:c r="N96" s="175"/>
      <x:c r="O96" s="175"/>
      <x:c r="P96" s="175"/>
      <x:c r="Q96" s="175"/>
      <x:c r="R96" s="212"/>
      <x:c r="S96" s="212"/>
      <x:c r="T96" s="212"/>
      <x:c r="U96" s="175"/>
      <x:c r="V96" s="175"/>
      <x:c r="W96" s="175"/>
      <x:c r="X96" s="175"/>
      <x:c r="Y96" s="175"/>
      <x:c r="Z96" s="175"/>
      <x:c r="AA96" s="172"/>
      <x:c r="AB96" s="172"/>
      <x:c r="AC96" s="172"/>
      <x:c r="AD96" s="172"/>
      <x:c r="AE96" s="172"/>
      <x:c r="AF96" s="172"/>
      <x:c r="AG96" s="172"/>
      <x:c r="AH96" s="172"/>
      <x:c r="AI96" s="172"/>
      <x:c r="AJ96" s="172"/>
      <x:c r="AK96" s="172"/>
      <x:c r="AL96" s="172"/>
      <x:c r="AM96" s="172"/>
      <x:c r="AN96" s="172"/>
      <x:c r="AO96" s="172"/>
      <x:c r="AP96" s="172"/>
      <x:c r="AQ96" s="172"/>
      <x:c r="AR96" s="172"/>
      <x:c r="AS96" s="172"/>
      <x:c r="AT96" s="172"/>
      <x:c r="AU96" s="172"/>
      <x:c r="AV96" s="172"/>
      <x:c r="AW96" s="172"/>
      <x:c r="AX96" s="172"/>
      <x:c r="AY96" s="172"/>
      <x:c r="AZ96" s="172"/>
    </x:row>
    <x:row r="97" ht="23" customHeight="1">
      <x:c r="A97" s="175"/>
      <x:c r="B97" s="177"/>
      <x:c r="C97" s="177"/>
      <x:c r="D97" s="175"/>
      <x:c r="E97" s="175"/>
      <x:c r="F97" s="175"/>
      <x:c r="G97" s="175"/>
      <x:c r="H97" s="175"/>
      <x:c r="I97" s="175"/>
      <x:c r="J97" s="175"/>
      <x:c r="K97" s="212"/>
      <x:c r="L97" s="212"/>
      <x:c r="M97" s="175"/>
      <x:c r="N97" s="175"/>
      <x:c r="O97" s="175"/>
      <x:c r="P97" s="175"/>
      <x:c r="Q97" s="175"/>
      <x:c r="R97" s="212"/>
      <x:c r="S97" s="212"/>
      <x:c r="T97" s="212"/>
      <x:c r="U97" s="175"/>
      <x:c r="V97" s="175"/>
      <x:c r="W97" s="175"/>
      <x:c r="X97" s="175"/>
      <x:c r="Y97" s="175"/>
      <x:c r="Z97" s="175"/>
      <x:c r="AA97" s="172"/>
      <x:c r="AB97" s="172"/>
      <x:c r="AC97" s="172"/>
      <x:c r="AD97" s="172"/>
      <x:c r="AE97" s="172"/>
      <x:c r="AF97" s="172"/>
      <x:c r="AG97" s="172"/>
      <x:c r="AH97" s="172"/>
      <x:c r="AI97" s="172"/>
      <x:c r="AJ97" s="172"/>
      <x:c r="AK97" s="172"/>
      <x:c r="AL97" s="172"/>
      <x:c r="AM97" s="172"/>
      <x:c r="AN97" s="172"/>
      <x:c r="AO97" s="172"/>
      <x:c r="AP97" s="172"/>
      <x:c r="AQ97" s="172"/>
      <x:c r="AR97" s="172"/>
      <x:c r="AS97" s="172"/>
      <x:c r="AT97" s="172"/>
      <x:c r="AU97" s="172"/>
      <x:c r="AV97" s="172"/>
      <x:c r="AW97" s="172"/>
      <x:c r="AX97" s="172"/>
      <x:c r="AY97" s="172"/>
      <x:c r="AZ97" s="172"/>
    </x:row>
    <x:row r="98" ht="23" customHeight="1">
      <x:c r="A98" s="175"/>
      <x:c r="B98" s="177"/>
      <x:c r="C98" s="177"/>
      <x:c r="D98" s="175"/>
      <x:c r="E98" s="175"/>
      <x:c r="F98" s="175"/>
      <x:c r="G98" s="175"/>
      <x:c r="H98" s="175"/>
      <x:c r="I98" s="175"/>
      <x:c r="J98" s="175"/>
      <x:c r="K98" s="212"/>
      <x:c r="L98" s="212"/>
      <x:c r="M98" s="175"/>
      <x:c r="N98" s="175"/>
      <x:c r="O98" s="175"/>
      <x:c r="P98" s="175"/>
      <x:c r="Q98" s="175"/>
      <x:c r="R98" s="212"/>
      <x:c r="S98" s="212"/>
      <x:c r="T98" s="212"/>
      <x:c r="U98" s="175"/>
      <x:c r="V98" s="175"/>
      <x:c r="W98" s="175"/>
      <x:c r="X98" s="175"/>
      <x:c r="Y98" s="175"/>
      <x:c r="Z98" s="175"/>
      <x:c r="AA98" s="172"/>
      <x:c r="AB98" s="172"/>
      <x:c r="AC98" s="172"/>
      <x:c r="AD98" s="172"/>
      <x:c r="AE98" s="172"/>
      <x:c r="AF98" s="172"/>
      <x:c r="AG98" s="172"/>
      <x:c r="AH98" s="172"/>
      <x:c r="AI98" s="172"/>
      <x:c r="AJ98" s="172"/>
      <x:c r="AK98" s="172"/>
      <x:c r="AL98" s="172"/>
      <x:c r="AM98" s="172"/>
      <x:c r="AN98" s="172"/>
      <x:c r="AO98" s="172"/>
      <x:c r="AP98" s="172"/>
      <x:c r="AQ98" s="172"/>
      <x:c r="AR98" s="172"/>
      <x:c r="AS98" s="172"/>
      <x:c r="AT98" s="172"/>
      <x:c r="AU98" s="172"/>
      <x:c r="AV98" s="172"/>
      <x:c r="AW98" s="172"/>
      <x:c r="AX98" s="172"/>
      <x:c r="AY98" s="172"/>
      <x:c r="AZ98" s="172"/>
    </x:row>
    <x:row r="99" ht="23" customHeight="1">
      <x:c r="A99" s="175"/>
      <x:c r="B99" s="177"/>
      <x:c r="C99" s="177"/>
      <x:c r="D99" s="175"/>
      <x:c r="E99" s="175"/>
      <x:c r="F99" s="175"/>
      <x:c r="G99" s="175"/>
      <x:c r="H99" s="175"/>
      <x:c r="I99" s="175"/>
      <x:c r="J99" s="175"/>
      <x:c r="K99" s="212"/>
      <x:c r="L99" s="212"/>
      <x:c r="M99" s="175"/>
      <x:c r="N99" s="175"/>
      <x:c r="O99" s="175"/>
      <x:c r="P99" s="175"/>
      <x:c r="Q99" s="175"/>
      <x:c r="R99" s="212"/>
      <x:c r="S99" s="212"/>
      <x:c r="T99" s="212"/>
      <x:c r="U99" s="175"/>
      <x:c r="V99" s="175"/>
      <x:c r="W99" s="175"/>
      <x:c r="X99" s="175"/>
      <x:c r="Y99" s="175"/>
      <x:c r="Z99" s="175"/>
      <x:c r="AA99" s="172"/>
      <x:c r="AB99" s="172"/>
      <x:c r="AC99" s="172"/>
      <x:c r="AD99" s="172"/>
      <x:c r="AE99" s="172"/>
      <x:c r="AF99" s="172"/>
      <x:c r="AG99" s="172"/>
      <x:c r="AH99" s="172"/>
      <x:c r="AI99" s="172"/>
      <x:c r="AJ99" s="172"/>
      <x:c r="AK99" s="172"/>
      <x:c r="AL99" s="172"/>
      <x:c r="AM99" s="172"/>
      <x:c r="AN99" s="172"/>
      <x:c r="AO99" s="172"/>
      <x:c r="AP99" s="172"/>
      <x:c r="AQ99" s="172"/>
      <x:c r="AR99" s="172"/>
      <x:c r="AS99" s="172"/>
      <x:c r="AT99" s="172"/>
      <x:c r="AU99" s="172"/>
      <x:c r="AV99" s="172"/>
      <x:c r="AW99" s="172"/>
      <x:c r="AX99" s="172"/>
      <x:c r="AY99" s="172"/>
      <x:c r="AZ99" s="172"/>
    </x:row>
    <x:row r="100" ht="23" customHeight="1">
      <x:c r="A100" s="175"/>
      <x:c r="B100" s="177"/>
      <x:c r="C100" s="177"/>
      <x:c r="D100" s="175"/>
      <x:c r="E100" s="175"/>
      <x:c r="F100" s="175"/>
      <x:c r="G100" s="175"/>
      <x:c r="H100" s="175"/>
      <x:c r="I100" s="175"/>
      <x:c r="J100" s="175"/>
      <x:c r="K100" s="212"/>
      <x:c r="L100" s="212"/>
      <x:c r="M100" s="175"/>
      <x:c r="N100" s="175"/>
      <x:c r="O100" s="175"/>
      <x:c r="P100" s="175"/>
      <x:c r="Q100" s="175"/>
      <x:c r="R100" s="212"/>
      <x:c r="S100" s="212"/>
      <x:c r="T100" s="212"/>
      <x:c r="U100" s="175"/>
      <x:c r="V100" s="175"/>
      <x:c r="W100" s="175"/>
      <x:c r="X100" s="175"/>
      <x:c r="Y100" s="175"/>
      <x:c r="Z100" s="175"/>
      <x:c r="AA100" s="172"/>
      <x:c r="AB100" s="172"/>
      <x:c r="AC100" s="172"/>
      <x:c r="AD100" s="172"/>
      <x:c r="AE100" s="172"/>
      <x:c r="AF100" s="172"/>
      <x:c r="AG100" s="172"/>
      <x:c r="AH100" s="172"/>
      <x:c r="AI100" s="172"/>
      <x:c r="AJ100" s="172"/>
      <x:c r="AK100" s="172"/>
      <x:c r="AL100" s="172"/>
      <x:c r="AM100" s="172"/>
      <x:c r="AN100" s="172"/>
      <x:c r="AO100" s="172"/>
      <x:c r="AP100" s="172"/>
      <x:c r="AQ100" s="172"/>
      <x:c r="AR100" s="172"/>
      <x:c r="AS100" s="172"/>
      <x:c r="AT100" s="172"/>
      <x:c r="AU100" s="172"/>
      <x:c r="AV100" s="172"/>
      <x:c r="AW100" s="172"/>
      <x:c r="AX100" s="172"/>
      <x:c r="AY100" s="172"/>
      <x:c r="AZ100" s="172"/>
    </x:row>
    <x:row r="101" ht="23" customHeight="1">
      <x:c r="A101" s="175"/>
      <x:c r="B101" s="177"/>
      <x:c r="C101" s="177"/>
      <x:c r="D101" s="175"/>
      <x:c r="E101" s="175"/>
      <x:c r="F101" s="175"/>
      <x:c r="G101" s="175"/>
      <x:c r="H101" s="175"/>
      <x:c r="I101" s="175"/>
      <x:c r="J101" s="175"/>
      <x:c r="K101" s="212"/>
      <x:c r="L101" s="212"/>
      <x:c r="M101" s="175"/>
      <x:c r="N101" s="175"/>
      <x:c r="O101" s="175"/>
      <x:c r="P101" s="175"/>
      <x:c r="Q101" s="175"/>
      <x:c r="R101" s="212"/>
      <x:c r="S101" s="212"/>
      <x:c r="T101" s="212"/>
      <x:c r="U101" s="175"/>
      <x:c r="V101" s="175"/>
      <x:c r="W101" s="175"/>
      <x:c r="X101" s="175"/>
      <x:c r="Y101" s="175"/>
      <x:c r="Z101" s="175"/>
      <x:c r="AA101" s="172"/>
      <x:c r="AB101" s="172"/>
      <x:c r="AC101" s="172"/>
      <x:c r="AD101" s="172"/>
      <x:c r="AE101" s="172"/>
      <x:c r="AF101" s="172"/>
      <x:c r="AG101" s="172"/>
      <x:c r="AH101" s="172"/>
      <x:c r="AI101" s="172"/>
      <x:c r="AJ101" s="172"/>
      <x:c r="AK101" s="172"/>
      <x:c r="AL101" s="172"/>
      <x:c r="AM101" s="172"/>
      <x:c r="AN101" s="172"/>
      <x:c r="AO101" s="172"/>
      <x:c r="AP101" s="172"/>
      <x:c r="AQ101" s="172"/>
      <x:c r="AR101" s="172"/>
      <x:c r="AS101" s="172"/>
      <x:c r="AT101" s="172"/>
      <x:c r="AU101" s="172"/>
      <x:c r="AV101" s="172"/>
      <x:c r="AW101" s="172"/>
      <x:c r="AX101" s="172"/>
      <x:c r="AY101" s="172"/>
      <x:c r="AZ101" s="172"/>
    </x:row>
    <x:row r="102" ht="23" customHeight="1">
      <x:c r="A102" s="175"/>
      <x:c r="B102" s="177"/>
      <x:c r="C102" s="177"/>
      <x:c r="D102" s="175"/>
      <x:c r="E102" s="175"/>
      <x:c r="F102" s="175"/>
      <x:c r="G102" s="175"/>
      <x:c r="H102" s="175"/>
      <x:c r="I102" s="175"/>
      <x:c r="J102" s="175"/>
      <x:c r="K102" s="212"/>
      <x:c r="L102" s="212"/>
      <x:c r="M102" s="175"/>
      <x:c r="N102" s="175"/>
      <x:c r="O102" s="175"/>
      <x:c r="P102" s="175"/>
      <x:c r="Q102" s="175"/>
      <x:c r="R102" s="212"/>
      <x:c r="S102" s="212"/>
      <x:c r="T102" s="212"/>
      <x:c r="U102" s="175"/>
      <x:c r="V102" s="175"/>
      <x:c r="W102" s="175"/>
      <x:c r="X102" s="175"/>
      <x:c r="Y102" s="175"/>
      <x:c r="Z102" s="175"/>
      <x:c r="AA102" s="172"/>
      <x:c r="AB102" s="172"/>
      <x:c r="AC102" s="172"/>
      <x:c r="AD102" s="172"/>
      <x:c r="AE102" s="172"/>
      <x:c r="AF102" s="172"/>
      <x:c r="AG102" s="172"/>
      <x:c r="AH102" s="172"/>
      <x:c r="AI102" s="172"/>
      <x:c r="AJ102" s="172"/>
      <x:c r="AK102" s="172"/>
      <x:c r="AL102" s="172"/>
      <x:c r="AM102" s="172"/>
      <x:c r="AN102" s="172"/>
      <x:c r="AO102" s="172"/>
      <x:c r="AP102" s="172"/>
      <x:c r="AQ102" s="172"/>
      <x:c r="AR102" s="172"/>
      <x:c r="AS102" s="172"/>
      <x:c r="AT102" s="172"/>
      <x:c r="AU102" s="172"/>
      <x:c r="AV102" s="172"/>
      <x:c r="AW102" s="172"/>
      <x:c r="AX102" s="172"/>
      <x:c r="AY102" s="172"/>
      <x:c r="AZ102" s="172"/>
    </x:row>
    <x:row r="103" ht="23" customHeight="1">
      <x:c r="A103" s="175"/>
      <x:c r="B103" s="177"/>
      <x:c r="C103" s="177"/>
      <x:c r="D103" s="175"/>
      <x:c r="E103" s="175"/>
      <x:c r="F103" s="175"/>
      <x:c r="G103" s="175"/>
      <x:c r="H103" s="175"/>
      <x:c r="I103" s="175"/>
      <x:c r="J103" s="175"/>
      <x:c r="K103" s="212"/>
      <x:c r="L103" s="212"/>
      <x:c r="M103" s="175"/>
      <x:c r="N103" s="175"/>
      <x:c r="O103" s="175"/>
      <x:c r="P103" s="175"/>
      <x:c r="Q103" s="175"/>
      <x:c r="R103" s="212"/>
      <x:c r="S103" s="212"/>
      <x:c r="T103" s="212"/>
      <x:c r="U103" s="175"/>
      <x:c r="V103" s="175"/>
      <x:c r="W103" s="175"/>
      <x:c r="X103" s="175"/>
      <x:c r="Y103" s="175"/>
      <x:c r="Z103" s="175"/>
      <x:c r="AA103" s="172"/>
      <x:c r="AB103" s="172"/>
      <x:c r="AC103" s="172"/>
      <x:c r="AD103" s="172"/>
      <x:c r="AE103" s="172"/>
      <x:c r="AF103" s="172"/>
      <x:c r="AG103" s="172"/>
      <x:c r="AH103" s="172"/>
      <x:c r="AI103" s="172"/>
      <x:c r="AJ103" s="172"/>
      <x:c r="AK103" s="172"/>
      <x:c r="AL103" s="172"/>
      <x:c r="AM103" s="172"/>
      <x:c r="AN103" s="172"/>
      <x:c r="AO103" s="172"/>
      <x:c r="AP103" s="172"/>
      <x:c r="AQ103" s="172"/>
      <x:c r="AR103" s="172"/>
      <x:c r="AS103" s="172"/>
      <x:c r="AT103" s="172"/>
      <x:c r="AU103" s="172"/>
      <x:c r="AV103" s="172"/>
      <x:c r="AW103" s="172"/>
      <x:c r="AX103" s="172"/>
      <x:c r="AY103" s="172"/>
      <x:c r="AZ103" s="172"/>
    </x:row>
    <x:row r="104" ht="23" customHeight="1">
      <x:c r="A104" s="175"/>
      <x:c r="B104" s="177"/>
      <x:c r="C104" s="177"/>
      <x:c r="D104" s="175"/>
      <x:c r="E104" s="175"/>
      <x:c r="F104" s="175"/>
      <x:c r="G104" s="175"/>
      <x:c r="H104" s="175"/>
      <x:c r="I104" s="175"/>
      <x:c r="J104" s="175"/>
      <x:c r="K104" s="212"/>
      <x:c r="L104" s="212"/>
      <x:c r="M104" s="175"/>
      <x:c r="N104" s="175"/>
      <x:c r="O104" s="175"/>
      <x:c r="P104" s="175"/>
      <x:c r="Q104" s="175"/>
      <x:c r="R104" s="212"/>
      <x:c r="S104" s="212"/>
      <x:c r="T104" s="212"/>
      <x:c r="U104" s="175"/>
      <x:c r="V104" s="175"/>
      <x:c r="W104" s="175"/>
      <x:c r="X104" s="175"/>
      <x:c r="Y104" s="175"/>
      <x:c r="Z104" s="175"/>
      <x:c r="AA104" s="172"/>
      <x:c r="AB104" s="172"/>
      <x:c r="AC104" s="172"/>
      <x:c r="AD104" s="172"/>
      <x:c r="AE104" s="172"/>
      <x:c r="AF104" s="172"/>
      <x:c r="AG104" s="172"/>
      <x:c r="AH104" s="172"/>
      <x:c r="AI104" s="172"/>
      <x:c r="AJ104" s="172"/>
      <x:c r="AK104" s="172"/>
      <x:c r="AL104" s="172"/>
      <x:c r="AM104" s="172"/>
      <x:c r="AN104" s="172"/>
      <x:c r="AO104" s="172"/>
      <x:c r="AP104" s="172"/>
      <x:c r="AQ104" s="172"/>
      <x:c r="AR104" s="172"/>
      <x:c r="AS104" s="172"/>
      <x:c r="AT104" s="172"/>
      <x:c r="AU104" s="172"/>
      <x:c r="AV104" s="172"/>
      <x:c r="AW104" s="172"/>
      <x:c r="AX104" s="172"/>
      <x:c r="AY104" s="172"/>
      <x:c r="AZ104" s="172"/>
    </x:row>
    <x:row r="105" ht="23" customHeight="1">
      <x:c r="A105" s="175"/>
      <x:c r="B105" s="177"/>
      <x:c r="C105" s="177"/>
      <x:c r="D105" s="175"/>
      <x:c r="E105" s="175"/>
      <x:c r="F105" s="175"/>
      <x:c r="G105" s="175"/>
      <x:c r="H105" s="175"/>
      <x:c r="I105" s="175"/>
      <x:c r="J105" s="175"/>
      <x:c r="K105" s="212"/>
      <x:c r="L105" s="212"/>
      <x:c r="M105" s="175"/>
      <x:c r="N105" s="175"/>
      <x:c r="O105" s="175"/>
      <x:c r="P105" s="175"/>
      <x:c r="Q105" s="175"/>
      <x:c r="R105" s="212"/>
      <x:c r="S105" s="212"/>
      <x:c r="T105" s="212"/>
      <x:c r="U105" s="175"/>
      <x:c r="V105" s="175"/>
      <x:c r="W105" s="175"/>
      <x:c r="X105" s="175"/>
      <x:c r="Y105" s="175"/>
      <x:c r="Z105" s="175"/>
      <x:c r="AA105" s="172"/>
      <x:c r="AB105" s="172"/>
      <x:c r="AC105" s="172"/>
      <x:c r="AD105" s="172"/>
      <x:c r="AE105" s="172"/>
      <x:c r="AF105" s="172"/>
      <x:c r="AG105" s="172"/>
      <x:c r="AH105" s="172"/>
      <x:c r="AI105" s="172"/>
      <x:c r="AJ105" s="172"/>
      <x:c r="AK105" s="172"/>
      <x:c r="AL105" s="172"/>
      <x:c r="AM105" s="172"/>
      <x:c r="AN105" s="172"/>
      <x:c r="AO105" s="172"/>
      <x:c r="AP105" s="172"/>
      <x:c r="AQ105" s="172"/>
      <x:c r="AR105" s="172"/>
      <x:c r="AS105" s="172"/>
      <x:c r="AT105" s="172"/>
      <x:c r="AU105" s="172"/>
      <x:c r="AV105" s="172"/>
      <x:c r="AW105" s="172"/>
      <x:c r="AX105" s="172"/>
      <x:c r="AY105" s="172"/>
      <x:c r="AZ105" s="172"/>
    </x:row>
    <x:row r="106" ht="23" customHeight="1">
      <x:c r="A106" s="175"/>
      <x:c r="B106" s="177"/>
      <x:c r="C106" s="177"/>
      <x:c r="D106" s="175"/>
      <x:c r="E106" s="175"/>
      <x:c r="F106" s="175"/>
      <x:c r="G106" s="175"/>
      <x:c r="H106" s="175"/>
      <x:c r="I106" s="175"/>
      <x:c r="J106" s="175"/>
      <x:c r="K106" s="212"/>
      <x:c r="L106" s="212"/>
      <x:c r="M106" s="175"/>
      <x:c r="N106" s="175"/>
      <x:c r="O106" s="175"/>
      <x:c r="P106" s="175"/>
      <x:c r="Q106" s="175"/>
      <x:c r="R106" s="212"/>
      <x:c r="S106" s="212"/>
      <x:c r="T106" s="212"/>
      <x:c r="U106" s="175"/>
      <x:c r="V106" s="175"/>
      <x:c r="W106" s="175"/>
      <x:c r="X106" s="175"/>
      <x:c r="Y106" s="175"/>
      <x:c r="Z106" s="175"/>
      <x:c r="AA106" s="172"/>
      <x:c r="AB106" s="172"/>
      <x:c r="AC106" s="172"/>
      <x:c r="AD106" s="172"/>
      <x:c r="AE106" s="172"/>
      <x:c r="AF106" s="172"/>
      <x:c r="AG106" s="172"/>
      <x:c r="AH106" s="172"/>
      <x:c r="AI106" s="172"/>
      <x:c r="AJ106" s="172"/>
      <x:c r="AK106" s="172"/>
      <x:c r="AL106" s="172"/>
      <x:c r="AM106" s="172"/>
      <x:c r="AN106" s="172"/>
      <x:c r="AO106" s="172"/>
      <x:c r="AP106" s="172"/>
      <x:c r="AQ106" s="172"/>
      <x:c r="AR106" s="172"/>
      <x:c r="AS106" s="172"/>
      <x:c r="AT106" s="172"/>
      <x:c r="AU106" s="172"/>
      <x:c r="AV106" s="172"/>
      <x:c r="AW106" s="172"/>
      <x:c r="AX106" s="172"/>
      <x:c r="AY106" s="172"/>
      <x:c r="AZ106" s="172"/>
    </x:row>
    <x:row r="107" ht="23" customHeight="1">
      <x:c r="A107" s="175"/>
      <x:c r="B107" s="177"/>
      <x:c r="C107" s="177"/>
      <x:c r="D107" s="175"/>
      <x:c r="E107" s="175"/>
      <x:c r="F107" s="175"/>
      <x:c r="G107" s="175"/>
      <x:c r="H107" s="175"/>
      <x:c r="I107" s="175"/>
      <x:c r="J107" s="175"/>
      <x:c r="K107" s="212"/>
      <x:c r="L107" s="212"/>
      <x:c r="M107" s="175"/>
      <x:c r="N107" s="175"/>
      <x:c r="O107" s="175"/>
      <x:c r="P107" s="175"/>
      <x:c r="Q107" s="175"/>
      <x:c r="R107" s="212"/>
      <x:c r="S107" s="212"/>
      <x:c r="T107" s="212"/>
      <x:c r="U107" s="175"/>
      <x:c r="V107" s="175"/>
      <x:c r="W107" s="175"/>
      <x:c r="X107" s="175"/>
      <x:c r="Y107" s="175"/>
      <x:c r="Z107" s="175"/>
      <x:c r="AA107" s="172"/>
      <x:c r="AB107" s="172"/>
      <x:c r="AC107" s="172"/>
      <x:c r="AD107" s="172"/>
      <x:c r="AE107" s="172"/>
      <x:c r="AF107" s="172"/>
      <x:c r="AG107" s="172"/>
      <x:c r="AH107" s="172"/>
      <x:c r="AI107" s="172"/>
      <x:c r="AJ107" s="172"/>
      <x:c r="AK107" s="172"/>
      <x:c r="AL107" s="172"/>
      <x:c r="AM107" s="172"/>
      <x:c r="AN107" s="172"/>
      <x:c r="AO107" s="172"/>
      <x:c r="AP107" s="172"/>
      <x:c r="AQ107" s="172"/>
      <x:c r="AR107" s="172"/>
      <x:c r="AS107" s="172"/>
      <x:c r="AT107" s="172"/>
      <x:c r="AU107" s="172"/>
      <x:c r="AV107" s="172"/>
      <x:c r="AW107" s="172"/>
      <x:c r="AX107" s="172"/>
      <x:c r="AY107" s="172"/>
      <x:c r="AZ107" s="172"/>
    </x:row>
    <x:row r="108" ht="23" customHeight="1">
      <x:c r="A108" s="175"/>
      <x:c r="B108" s="177"/>
      <x:c r="C108" s="177"/>
      <x:c r="D108" s="175"/>
      <x:c r="E108" s="175"/>
      <x:c r="F108" s="175"/>
      <x:c r="G108" s="175"/>
      <x:c r="H108" s="175"/>
      <x:c r="I108" s="175"/>
      <x:c r="J108" s="175"/>
      <x:c r="K108" s="212"/>
      <x:c r="L108" s="212"/>
      <x:c r="M108" s="175"/>
      <x:c r="N108" s="175"/>
      <x:c r="O108" s="175"/>
      <x:c r="P108" s="175"/>
      <x:c r="Q108" s="175"/>
      <x:c r="R108" s="212"/>
      <x:c r="S108" s="212"/>
      <x:c r="T108" s="212"/>
      <x:c r="U108" s="175"/>
      <x:c r="V108" s="175"/>
      <x:c r="W108" s="175"/>
      <x:c r="X108" s="175"/>
      <x:c r="Y108" s="175"/>
      <x:c r="Z108" s="175"/>
      <x:c r="AA108" s="172"/>
      <x:c r="AB108" s="172"/>
      <x:c r="AC108" s="172"/>
      <x:c r="AD108" s="172"/>
      <x:c r="AE108" s="172"/>
      <x:c r="AF108" s="172"/>
      <x:c r="AG108" s="172"/>
      <x:c r="AH108" s="172"/>
      <x:c r="AI108" s="172"/>
      <x:c r="AJ108" s="172"/>
      <x:c r="AK108" s="172"/>
      <x:c r="AL108" s="172"/>
      <x:c r="AM108" s="172"/>
      <x:c r="AN108" s="172"/>
      <x:c r="AO108" s="172"/>
      <x:c r="AP108" s="172"/>
      <x:c r="AQ108" s="172"/>
      <x:c r="AR108" s="172"/>
      <x:c r="AS108" s="172"/>
      <x:c r="AT108" s="172"/>
      <x:c r="AU108" s="172"/>
      <x:c r="AV108" s="172"/>
      <x:c r="AW108" s="172"/>
      <x:c r="AX108" s="172"/>
      <x:c r="AY108" s="172"/>
      <x:c r="AZ108" s="172"/>
    </x:row>
    <x:row r="109" ht="23" customHeight="1">
      <x:c r="A109" s="175"/>
      <x:c r="B109" s="177"/>
      <x:c r="C109" s="177"/>
      <x:c r="D109" s="175"/>
      <x:c r="E109" s="175"/>
      <x:c r="F109" s="175"/>
      <x:c r="G109" s="175"/>
      <x:c r="H109" s="175"/>
      <x:c r="I109" s="175"/>
      <x:c r="J109" s="175"/>
      <x:c r="K109" s="212"/>
      <x:c r="L109" s="212"/>
      <x:c r="M109" s="175"/>
      <x:c r="N109" s="175"/>
      <x:c r="O109" s="175"/>
      <x:c r="P109" s="175"/>
      <x:c r="Q109" s="175"/>
      <x:c r="R109" s="212"/>
      <x:c r="S109" s="212"/>
      <x:c r="T109" s="212"/>
      <x:c r="U109" s="175"/>
      <x:c r="V109" s="175"/>
      <x:c r="W109" s="175"/>
      <x:c r="X109" s="175"/>
      <x:c r="Y109" s="175"/>
      <x:c r="Z109" s="175"/>
      <x:c r="AA109" s="172"/>
      <x:c r="AB109" s="172"/>
      <x:c r="AC109" s="172"/>
      <x:c r="AD109" s="172"/>
      <x:c r="AE109" s="172"/>
      <x:c r="AF109" s="172"/>
      <x:c r="AG109" s="172"/>
      <x:c r="AH109" s="172"/>
      <x:c r="AI109" s="172"/>
      <x:c r="AJ109" s="172"/>
      <x:c r="AK109" s="172"/>
      <x:c r="AL109" s="172"/>
      <x:c r="AM109" s="172"/>
      <x:c r="AN109" s="172"/>
      <x:c r="AO109" s="172"/>
      <x:c r="AP109" s="172"/>
      <x:c r="AQ109" s="172"/>
      <x:c r="AR109" s="172"/>
      <x:c r="AS109" s="172"/>
      <x:c r="AT109" s="172"/>
      <x:c r="AU109" s="172"/>
      <x:c r="AV109" s="172"/>
      <x:c r="AW109" s="172"/>
      <x:c r="AX109" s="172"/>
      <x:c r="AY109" s="172"/>
      <x:c r="AZ109" s="172"/>
    </x:row>
    <x:row r="110" ht="23" customHeight="1">
      <x:c r="A110" s="175"/>
      <x:c r="B110" s="177"/>
      <x:c r="C110" s="177"/>
      <x:c r="D110" s="175"/>
      <x:c r="E110" s="175"/>
      <x:c r="F110" s="175"/>
      <x:c r="G110" s="175"/>
      <x:c r="H110" s="175"/>
      <x:c r="I110" s="175"/>
      <x:c r="J110" s="175"/>
      <x:c r="K110" s="212"/>
      <x:c r="L110" s="212"/>
      <x:c r="M110" s="175"/>
      <x:c r="N110" s="175"/>
      <x:c r="O110" s="175"/>
      <x:c r="P110" s="175"/>
      <x:c r="Q110" s="175"/>
      <x:c r="R110" s="212"/>
      <x:c r="S110" s="212"/>
      <x:c r="T110" s="212"/>
      <x:c r="U110" s="175"/>
      <x:c r="V110" s="175"/>
      <x:c r="W110" s="175"/>
      <x:c r="X110" s="175"/>
      <x:c r="Y110" s="175"/>
      <x:c r="Z110" s="175"/>
      <x:c r="AA110" s="172"/>
      <x:c r="AB110" s="172"/>
      <x:c r="AC110" s="172"/>
      <x:c r="AD110" s="172"/>
      <x:c r="AE110" s="172"/>
      <x:c r="AF110" s="172"/>
      <x:c r="AG110" s="172"/>
      <x:c r="AH110" s="172"/>
      <x:c r="AI110" s="172"/>
      <x:c r="AJ110" s="172"/>
      <x:c r="AK110" s="172"/>
      <x:c r="AL110" s="172"/>
      <x:c r="AM110" s="172"/>
      <x:c r="AN110" s="172"/>
      <x:c r="AO110" s="172"/>
      <x:c r="AP110" s="172"/>
      <x:c r="AQ110" s="172"/>
      <x:c r="AR110" s="172"/>
      <x:c r="AS110" s="172"/>
      <x:c r="AT110" s="172"/>
      <x:c r="AU110" s="172"/>
      <x:c r="AV110" s="172"/>
      <x:c r="AW110" s="172"/>
      <x:c r="AX110" s="172"/>
      <x:c r="AY110" s="172"/>
      <x:c r="AZ110" s="172"/>
    </x:row>
    <x:row r="111" ht="23" customHeight="1">
      <x:c r="A111" s="175"/>
      <x:c r="B111" s="177"/>
      <x:c r="C111" s="177"/>
      <x:c r="D111" s="175"/>
      <x:c r="E111" s="175"/>
      <x:c r="F111" s="175"/>
      <x:c r="G111" s="175"/>
      <x:c r="H111" s="175"/>
      <x:c r="I111" s="175"/>
      <x:c r="J111" s="175"/>
      <x:c r="K111" s="212"/>
      <x:c r="L111" s="212"/>
      <x:c r="M111" s="175"/>
      <x:c r="N111" s="175"/>
      <x:c r="O111" s="175"/>
      <x:c r="P111" s="175"/>
      <x:c r="Q111" s="175"/>
      <x:c r="R111" s="212"/>
      <x:c r="S111" s="212"/>
      <x:c r="T111" s="212"/>
      <x:c r="U111" s="175"/>
      <x:c r="V111" s="175"/>
      <x:c r="W111" s="175"/>
      <x:c r="X111" s="175"/>
      <x:c r="Y111" s="175"/>
      <x:c r="Z111" s="175"/>
      <x:c r="AA111" s="172"/>
      <x:c r="AB111" s="172"/>
      <x:c r="AC111" s="172"/>
      <x:c r="AD111" s="172"/>
      <x:c r="AE111" s="172"/>
      <x:c r="AF111" s="172"/>
      <x:c r="AG111" s="172"/>
      <x:c r="AH111" s="172"/>
      <x:c r="AI111" s="172"/>
      <x:c r="AJ111" s="172"/>
      <x:c r="AK111" s="172"/>
      <x:c r="AL111" s="172"/>
      <x:c r="AM111" s="172"/>
      <x:c r="AN111" s="172"/>
      <x:c r="AO111" s="172"/>
      <x:c r="AP111" s="172"/>
      <x:c r="AQ111" s="172"/>
      <x:c r="AR111" s="172"/>
      <x:c r="AS111" s="172"/>
      <x:c r="AT111" s="172"/>
      <x:c r="AU111" s="172"/>
      <x:c r="AV111" s="172"/>
      <x:c r="AW111" s="172"/>
      <x:c r="AX111" s="172"/>
      <x:c r="AY111" s="172"/>
      <x:c r="AZ111" s="172"/>
    </x:row>
    <x:row r="112" ht="23" customHeight="1">
      <x:c r="A112" s="175"/>
      <x:c r="B112" s="177"/>
      <x:c r="C112" s="177"/>
      <x:c r="D112" s="175"/>
      <x:c r="E112" s="175"/>
      <x:c r="F112" s="175"/>
      <x:c r="G112" s="175"/>
      <x:c r="H112" s="175"/>
      <x:c r="I112" s="175"/>
      <x:c r="J112" s="175"/>
      <x:c r="K112" s="212"/>
      <x:c r="L112" s="212"/>
      <x:c r="M112" s="175"/>
      <x:c r="N112" s="175"/>
      <x:c r="O112" s="175"/>
      <x:c r="P112" s="175"/>
      <x:c r="Q112" s="175"/>
      <x:c r="R112" s="212"/>
      <x:c r="S112" s="212"/>
      <x:c r="T112" s="212"/>
      <x:c r="U112" s="175"/>
      <x:c r="V112" s="175"/>
      <x:c r="W112" s="175"/>
      <x:c r="X112" s="175"/>
      <x:c r="Y112" s="175"/>
      <x:c r="Z112" s="175"/>
      <x:c r="AA112" s="172"/>
      <x:c r="AB112" s="172"/>
      <x:c r="AC112" s="172"/>
      <x:c r="AD112" s="172"/>
      <x:c r="AE112" s="172"/>
      <x:c r="AF112" s="172"/>
      <x:c r="AG112" s="172"/>
      <x:c r="AH112" s="172"/>
      <x:c r="AI112" s="172"/>
      <x:c r="AJ112" s="172"/>
      <x:c r="AK112" s="172"/>
      <x:c r="AL112" s="172"/>
      <x:c r="AM112" s="172"/>
      <x:c r="AN112" s="172"/>
      <x:c r="AO112" s="172"/>
      <x:c r="AP112" s="172"/>
      <x:c r="AQ112" s="172"/>
      <x:c r="AR112" s="172"/>
      <x:c r="AS112" s="172"/>
      <x:c r="AT112" s="172"/>
      <x:c r="AU112" s="172"/>
      <x:c r="AV112" s="172"/>
      <x:c r="AW112" s="172"/>
      <x:c r="AX112" s="172"/>
      <x:c r="AY112" s="172"/>
      <x:c r="AZ112" s="172"/>
    </x:row>
    <x:row r="113" ht="23" customHeight="1">
      <x:c r="A113" s="175"/>
      <x:c r="B113" s="177"/>
      <x:c r="C113" s="177"/>
      <x:c r="D113" s="175"/>
      <x:c r="E113" s="175"/>
      <x:c r="F113" s="175"/>
      <x:c r="G113" s="175"/>
      <x:c r="H113" s="175"/>
      <x:c r="I113" s="175"/>
      <x:c r="J113" s="175"/>
      <x:c r="K113" s="212"/>
      <x:c r="L113" s="212"/>
      <x:c r="M113" s="175"/>
      <x:c r="N113" s="175"/>
      <x:c r="O113" s="175"/>
      <x:c r="P113" s="175"/>
      <x:c r="Q113" s="175"/>
      <x:c r="R113" s="212"/>
      <x:c r="S113" s="212"/>
      <x:c r="T113" s="212"/>
      <x:c r="U113" s="175"/>
      <x:c r="V113" s="175"/>
      <x:c r="W113" s="175"/>
      <x:c r="X113" s="175"/>
      <x:c r="Y113" s="175"/>
      <x:c r="Z113" s="175"/>
      <x:c r="AA113" s="172"/>
      <x:c r="AB113" s="172"/>
      <x:c r="AC113" s="172"/>
      <x:c r="AD113" s="172"/>
      <x:c r="AE113" s="172"/>
      <x:c r="AF113" s="172"/>
      <x:c r="AG113" s="172"/>
      <x:c r="AH113" s="172"/>
      <x:c r="AI113" s="172"/>
      <x:c r="AJ113" s="172"/>
      <x:c r="AK113" s="172"/>
      <x:c r="AL113" s="172"/>
      <x:c r="AM113" s="172"/>
      <x:c r="AN113" s="172"/>
      <x:c r="AO113" s="172"/>
      <x:c r="AP113" s="172"/>
      <x:c r="AQ113" s="172"/>
      <x:c r="AR113" s="172"/>
      <x:c r="AS113" s="172"/>
      <x:c r="AT113" s="172"/>
      <x:c r="AU113" s="172"/>
      <x:c r="AV113" s="172"/>
      <x:c r="AW113" s="172"/>
      <x:c r="AX113" s="172"/>
      <x:c r="AY113" s="172"/>
      <x:c r="AZ113" s="172"/>
    </x:row>
    <x:row r="114" ht="23" customHeight="1">
      <x:c r="A114" s="175"/>
      <x:c r="B114" s="177"/>
      <x:c r="C114" s="177"/>
      <x:c r="D114" s="175"/>
      <x:c r="E114" s="175"/>
      <x:c r="F114" s="175"/>
      <x:c r="G114" s="175"/>
      <x:c r="H114" s="175"/>
      <x:c r="I114" s="175"/>
      <x:c r="J114" s="175"/>
      <x:c r="K114" s="212"/>
      <x:c r="L114" s="212"/>
      <x:c r="M114" s="175"/>
      <x:c r="N114" s="175"/>
      <x:c r="O114" s="175"/>
      <x:c r="P114" s="175"/>
      <x:c r="Q114" s="175"/>
      <x:c r="R114" s="212"/>
      <x:c r="S114" s="212"/>
      <x:c r="T114" s="212"/>
      <x:c r="U114" s="175"/>
      <x:c r="V114" s="175"/>
      <x:c r="W114" s="175"/>
      <x:c r="X114" s="175"/>
      <x:c r="Y114" s="175"/>
      <x:c r="Z114" s="175"/>
      <x:c r="AA114" s="172"/>
      <x:c r="AB114" s="172"/>
      <x:c r="AC114" s="172"/>
      <x:c r="AD114" s="172"/>
      <x:c r="AE114" s="172"/>
      <x:c r="AF114" s="172"/>
      <x:c r="AG114" s="172"/>
      <x:c r="AH114" s="172"/>
      <x:c r="AI114" s="172"/>
      <x:c r="AJ114" s="172"/>
      <x:c r="AK114" s="172"/>
      <x:c r="AL114" s="172"/>
      <x:c r="AM114" s="172"/>
      <x:c r="AN114" s="172"/>
      <x:c r="AO114" s="172"/>
      <x:c r="AP114" s="172"/>
      <x:c r="AQ114" s="172"/>
      <x:c r="AR114" s="172"/>
      <x:c r="AS114" s="172"/>
      <x:c r="AT114" s="172"/>
      <x:c r="AU114" s="172"/>
      <x:c r="AV114" s="172"/>
      <x:c r="AW114" s="172"/>
      <x:c r="AX114" s="172"/>
      <x:c r="AY114" s="172"/>
      <x:c r="AZ114" s="172"/>
    </x:row>
    <x:row r="115" ht="23" customHeight="1">
      <x:c r="A115" s="175"/>
      <x:c r="B115" s="177"/>
      <x:c r="C115" s="177"/>
      <x:c r="D115" s="175"/>
      <x:c r="E115" s="175"/>
      <x:c r="F115" s="175"/>
      <x:c r="G115" s="175"/>
      <x:c r="H115" s="175"/>
      <x:c r="I115" s="175"/>
      <x:c r="J115" s="175"/>
      <x:c r="K115" s="212"/>
      <x:c r="L115" s="212"/>
      <x:c r="M115" s="175"/>
      <x:c r="N115" s="175"/>
      <x:c r="O115" s="175"/>
      <x:c r="P115" s="175"/>
      <x:c r="Q115" s="175"/>
      <x:c r="R115" s="212"/>
      <x:c r="S115" s="212"/>
      <x:c r="T115" s="212"/>
      <x:c r="U115" s="175"/>
      <x:c r="V115" s="175"/>
      <x:c r="W115" s="175"/>
      <x:c r="X115" s="175"/>
      <x:c r="Y115" s="175"/>
      <x:c r="Z115" s="175"/>
      <x:c r="AA115" s="172"/>
      <x:c r="AB115" s="172"/>
      <x:c r="AC115" s="172"/>
      <x:c r="AD115" s="172"/>
      <x:c r="AE115" s="172"/>
      <x:c r="AF115" s="172"/>
      <x:c r="AG115" s="172"/>
      <x:c r="AH115" s="172"/>
      <x:c r="AI115" s="172"/>
      <x:c r="AJ115" s="172"/>
      <x:c r="AK115" s="172"/>
      <x:c r="AL115" s="172"/>
      <x:c r="AM115" s="172"/>
      <x:c r="AN115" s="172"/>
      <x:c r="AO115" s="172"/>
      <x:c r="AP115" s="172"/>
      <x:c r="AQ115" s="172"/>
      <x:c r="AR115" s="172"/>
      <x:c r="AS115" s="172"/>
      <x:c r="AT115" s="172"/>
      <x:c r="AU115" s="172"/>
      <x:c r="AV115" s="172"/>
      <x:c r="AW115" s="172"/>
      <x:c r="AX115" s="172"/>
      <x:c r="AY115" s="172"/>
      <x:c r="AZ115" s="172"/>
    </x:row>
    <x:row r="116" ht="23" customHeight="1">
      <x:c r="A116" s="175"/>
      <x:c r="B116" s="177"/>
      <x:c r="C116" s="177"/>
      <x:c r="D116" s="175"/>
      <x:c r="E116" s="175"/>
      <x:c r="F116" s="175"/>
      <x:c r="G116" s="175"/>
      <x:c r="H116" s="175"/>
      <x:c r="I116" s="175"/>
      <x:c r="J116" s="175"/>
      <x:c r="K116" s="212"/>
      <x:c r="L116" s="212"/>
      <x:c r="M116" s="175"/>
      <x:c r="N116" s="175"/>
      <x:c r="O116" s="175"/>
      <x:c r="P116" s="175"/>
      <x:c r="Q116" s="175"/>
      <x:c r="R116" s="212"/>
      <x:c r="S116" s="212"/>
      <x:c r="T116" s="212"/>
      <x:c r="U116" s="175"/>
      <x:c r="V116" s="175"/>
      <x:c r="W116" s="175"/>
      <x:c r="X116" s="175"/>
      <x:c r="Y116" s="175"/>
      <x:c r="Z116" s="175"/>
      <x:c r="AA116" s="172"/>
      <x:c r="AB116" s="172"/>
      <x:c r="AC116" s="172"/>
      <x:c r="AD116" s="172"/>
      <x:c r="AE116" s="172"/>
      <x:c r="AF116" s="172"/>
      <x:c r="AG116" s="172"/>
      <x:c r="AH116" s="172"/>
      <x:c r="AI116" s="172"/>
      <x:c r="AJ116" s="172"/>
      <x:c r="AK116" s="172"/>
      <x:c r="AL116" s="172"/>
      <x:c r="AM116" s="172"/>
      <x:c r="AN116" s="172"/>
      <x:c r="AO116" s="172"/>
      <x:c r="AP116" s="172"/>
      <x:c r="AQ116" s="172"/>
      <x:c r="AR116" s="172"/>
      <x:c r="AS116" s="172"/>
      <x:c r="AT116" s="172"/>
      <x:c r="AU116" s="172"/>
      <x:c r="AV116" s="172"/>
      <x:c r="AW116" s="172"/>
      <x:c r="AX116" s="172"/>
      <x:c r="AY116" s="172"/>
      <x:c r="AZ116" s="172"/>
    </x:row>
    <x:row r="117" ht="23" customHeight="1">
      <x:c r="A117" s="175"/>
      <x:c r="B117" s="177"/>
      <x:c r="C117" s="177"/>
      <x:c r="D117" s="175"/>
      <x:c r="E117" s="175"/>
      <x:c r="F117" s="175"/>
      <x:c r="G117" s="175"/>
      <x:c r="H117" s="175"/>
      <x:c r="I117" s="175"/>
      <x:c r="J117" s="175"/>
      <x:c r="K117" s="212"/>
      <x:c r="L117" s="212"/>
      <x:c r="M117" s="175"/>
      <x:c r="N117" s="175"/>
      <x:c r="O117" s="175"/>
      <x:c r="P117" s="175"/>
      <x:c r="Q117" s="175"/>
      <x:c r="R117" s="212"/>
      <x:c r="S117" s="212"/>
      <x:c r="T117" s="212"/>
      <x:c r="U117" s="175"/>
      <x:c r="V117" s="175"/>
      <x:c r="W117" s="175"/>
      <x:c r="X117" s="175"/>
      <x:c r="Y117" s="175"/>
      <x:c r="Z117" s="175"/>
      <x:c r="AA117" s="172"/>
      <x:c r="AB117" s="172"/>
      <x:c r="AC117" s="172"/>
      <x:c r="AD117" s="172"/>
      <x:c r="AE117" s="172"/>
      <x:c r="AF117" s="172"/>
      <x:c r="AG117" s="172"/>
      <x:c r="AH117" s="172"/>
      <x:c r="AI117" s="172"/>
      <x:c r="AJ117" s="172"/>
      <x:c r="AK117" s="172"/>
      <x:c r="AL117" s="172"/>
      <x:c r="AM117" s="172"/>
      <x:c r="AN117" s="172"/>
      <x:c r="AO117" s="172"/>
      <x:c r="AP117" s="172"/>
      <x:c r="AQ117" s="172"/>
      <x:c r="AR117" s="172"/>
      <x:c r="AS117" s="172"/>
      <x:c r="AT117" s="172"/>
      <x:c r="AU117" s="172"/>
      <x:c r="AV117" s="172"/>
      <x:c r="AW117" s="172"/>
      <x:c r="AX117" s="172"/>
      <x:c r="AY117" s="172"/>
      <x:c r="AZ117" s="172"/>
    </x:row>
    <x:row r="118" ht="23" customHeight="1">
      <x:c r="A118" s="175"/>
      <x:c r="B118" s="177"/>
      <x:c r="C118" s="177"/>
      <x:c r="D118" s="175"/>
      <x:c r="E118" s="175"/>
      <x:c r="F118" s="175"/>
      <x:c r="G118" s="175"/>
      <x:c r="H118" s="175"/>
      <x:c r="I118" s="175"/>
      <x:c r="J118" s="175"/>
      <x:c r="K118" s="212"/>
      <x:c r="L118" s="212"/>
      <x:c r="M118" s="175"/>
      <x:c r="N118" s="175"/>
      <x:c r="O118" s="175"/>
      <x:c r="P118" s="175"/>
      <x:c r="Q118" s="175"/>
      <x:c r="R118" s="212"/>
      <x:c r="S118" s="212"/>
      <x:c r="T118" s="212"/>
      <x:c r="U118" s="175"/>
      <x:c r="V118" s="175"/>
      <x:c r="W118" s="175"/>
      <x:c r="X118" s="175"/>
      <x:c r="Y118" s="175"/>
      <x:c r="Z118" s="175"/>
      <x:c r="AA118" s="172"/>
      <x:c r="AB118" s="172"/>
      <x:c r="AC118" s="172"/>
      <x:c r="AD118" s="172"/>
      <x:c r="AE118" s="172"/>
      <x:c r="AF118" s="172"/>
      <x:c r="AG118" s="172"/>
      <x:c r="AH118" s="172"/>
      <x:c r="AI118" s="172"/>
      <x:c r="AJ118" s="172"/>
      <x:c r="AK118" s="172"/>
      <x:c r="AL118" s="172"/>
      <x:c r="AM118" s="172"/>
      <x:c r="AN118" s="172"/>
      <x:c r="AO118" s="172"/>
      <x:c r="AP118" s="172"/>
      <x:c r="AQ118" s="172"/>
      <x:c r="AR118" s="172"/>
      <x:c r="AS118" s="172"/>
      <x:c r="AT118" s="172"/>
      <x:c r="AU118" s="172"/>
      <x:c r="AV118" s="172"/>
      <x:c r="AW118" s="172"/>
      <x:c r="AX118" s="172"/>
      <x:c r="AY118" s="172"/>
      <x:c r="AZ118" s="172"/>
    </x:row>
    <x:row r="119" ht="23" customHeight="1">
      <x:c r="A119" s="175"/>
      <x:c r="B119" s="177"/>
      <x:c r="C119" s="177"/>
      <x:c r="D119" s="175"/>
      <x:c r="E119" s="175"/>
      <x:c r="F119" s="175"/>
      <x:c r="G119" s="175"/>
      <x:c r="H119" s="175"/>
      <x:c r="I119" s="175"/>
      <x:c r="J119" s="175"/>
      <x:c r="K119" s="212"/>
      <x:c r="L119" s="212"/>
      <x:c r="M119" s="175"/>
      <x:c r="N119" s="175"/>
      <x:c r="O119" s="175"/>
      <x:c r="P119" s="175"/>
      <x:c r="Q119" s="175"/>
      <x:c r="R119" s="212"/>
      <x:c r="S119" s="212"/>
      <x:c r="T119" s="212"/>
      <x:c r="U119" s="175"/>
      <x:c r="V119" s="175"/>
      <x:c r="W119" s="175"/>
      <x:c r="X119" s="175"/>
      <x:c r="Y119" s="175"/>
      <x:c r="Z119" s="175"/>
      <x:c r="AA119" s="172"/>
      <x:c r="AB119" s="172"/>
      <x:c r="AC119" s="172"/>
      <x:c r="AD119" s="172"/>
      <x:c r="AE119" s="172"/>
      <x:c r="AF119" s="172"/>
      <x:c r="AG119" s="172"/>
      <x:c r="AH119" s="172"/>
      <x:c r="AI119" s="172"/>
      <x:c r="AJ119" s="172"/>
      <x:c r="AK119" s="172"/>
      <x:c r="AL119" s="172"/>
      <x:c r="AM119" s="172"/>
      <x:c r="AN119" s="172"/>
      <x:c r="AO119" s="172"/>
      <x:c r="AP119" s="172"/>
      <x:c r="AQ119" s="172"/>
      <x:c r="AR119" s="172"/>
      <x:c r="AS119" s="172"/>
      <x:c r="AT119" s="172"/>
      <x:c r="AU119" s="172"/>
      <x:c r="AV119" s="172"/>
      <x:c r="AW119" s="172"/>
      <x:c r="AX119" s="172"/>
      <x:c r="AY119" s="172"/>
      <x:c r="AZ119" s="172"/>
    </x:row>
    <x:row r="120" ht="23" customHeight="1">
      <x:c r="A120" s="175"/>
      <x:c r="B120" s="177"/>
      <x:c r="C120" s="177"/>
      <x:c r="D120" s="175"/>
      <x:c r="E120" s="175"/>
      <x:c r="F120" s="175"/>
      <x:c r="G120" s="175"/>
      <x:c r="H120" s="175"/>
      <x:c r="I120" s="175"/>
      <x:c r="J120" s="175"/>
      <x:c r="K120" s="212"/>
      <x:c r="L120" s="212"/>
      <x:c r="M120" s="175"/>
      <x:c r="N120" s="175"/>
      <x:c r="O120" s="175"/>
      <x:c r="P120" s="175"/>
      <x:c r="Q120" s="175"/>
      <x:c r="R120" s="212"/>
      <x:c r="S120" s="212"/>
      <x:c r="T120" s="212"/>
      <x:c r="U120" s="175"/>
      <x:c r="V120" s="175"/>
      <x:c r="W120" s="175"/>
      <x:c r="X120" s="175"/>
      <x:c r="Y120" s="175"/>
      <x:c r="Z120" s="175"/>
      <x:c r="AA120" s="172"/>
      <x:c r="AB120" s="172"/>
      <x:c r="AC120" s="172"/>
      <x:c r="AD120" s="172"/>
      <x:c r="AE120" s="172"/>
      <x:c r="AF120" s="172"/>
      <x:c r="AG120" s="172"/>
      <x:c r="AH120" s="172"/>
      <x:c r="AI120" s="172"/>
      <x:c r="AJ120" s="172"/>
      <x:c r="AK120" s="172"/>
      <x:c r="AL120" s="172"/>
      <x:c r="AM120" s="172"/>
      <x:c r="AN120" s="172"/>
      <x:c r="AO120" s="172"/>
      <x:c r="AP120" s="172"/>
      <x:c r="AQ120" s="172"/>
      <x:c r="AR120" s="172"/>
      <x:c r="AS120" s="172"/>
      <x:c r="AT120" s="172"/>
      <x:c r="AU120" s="172"/>
      <x:c r="AV120" s="172"/>
      <x:c r="AW120" s="172"/>
      <x:c r="AX120" s="172"/>
      <x:c r="AY120" s="172"/>
      <x:c r="AZ120" s="172"/>
    </x:row>
    <x:row r="121" ht="23" customHeight="1">
      <x:c r="A121" s="175"/>
      <x:c r="B121" s="177"/>
      <x:c r="C121" s="177"/>
      <x:c r="D121" s="175"/>
      <x:c r="E121" s="175"/>
      <x:c r="F121" s="175"/>
      <x:c r="G121" s="175"/>
      <x:c r="H121" s="175"/>
      <x:c r="I121" s="175"/>
      <x:c r="J121" s="175"/>
      <x:c r="K121" s="212"/>
      <x:c r="L121" s="212"/>
      <x:c r="M121" s="175"/>
      <x:c r="N121" s="175"/>
      <x:c r="O121" s="175"/>
      <x:c r="P121" s="175"/>
      <x:c r="Q121" s="175"/>
      <x:c r="R121" s="212"/>
      <x:c r="S121" s="212"/>
      <x:c r="T121" s="212"/>
      <x:c r="U121" s="175"/>
      <x:c r="V121" s="175"/>
      <x:c r="W121" s="175"/>
      <x:c r="X121" s="175"/>
      <x:c r="Y121" s="175"/>
      <x:c r="Z121" s="175"/>
      <x:c r="AA121" s="172"/>
      <x:c r="AB121" s="172"/>
      <x:c r="AC121" s="172"/>
      <x:c r="AD121" s="172"/>
      <x:c r="AE121" s="172"/>
      <x:c r="AF121" s="172"/>
      <x:c r="AG121" s="172"/>
      <x:c r="AH121" s="172"/>
      <x:c r="AI121" s="172"/>
      <x:c r="AJ121" s="172"/>
      <x:c r="AK121" s="172"/>
      <x:c r="AL121" s="172"/>
      <x:c r="AM121" s="172"/>
      <x:c r="AN121" s="172"/>
      <x:c r="AO121" s="172"/>
      <x:c r="AP121" s="172"/>
      <x:c r="AQ121" s="172"/>
      <x:c r="AR121" s="172"/>
      <x:c r="AS121" s="172"/>
      <x:c r="AT121" s="172"/>
      <x:c r="AU121" s="172"/>
      <x:c r="AV121" s="172"/>
      <x:c r="AW121" s="172"/>
      <x:c r="AX121" s="172"/>
      <x:c r="AY121" s="172"/>
      <x:c r="AZ121" s="172"/>
    </x:row>
    <x:row r="122" ht="23" customHeight="1">
      <x:c r="A122" s="175"/>
      <x:c r="B122" s="177"/>
      <x:c r="C122" s="177"/>
      <x:c r="D122" s="175"/>
      <x:c r="E122" s="175"/>
      <x:c r="F122" s="175"/>
      <x:c r="G122" s="175"/>
      <x:c r="H122" s="175"/>
      <x:c r="I122" s="175"/>
      <x:c r="J122" s="175"/>
      <x:c r="K122" s="212"/>
      <x:c r="L122" s="212"/>
      <x:c r="M122" s="175"/>
      <x:c r="N122" s="175"/>
      <x:c r="O122" s="175"/>
      <x:c r="P122" s="175"/>
      <x:c r="Q122" s="175"/>
      <x:c r="R122" s="212"/>
      <x:c r="S122" s="212"/>
      <x:c r="T122" s="212"/>
      <x:c r="U122" s="175"/>
      <x:c r="V122" s="175"/>
      <x:c r="W122" s="175"/>
      <x:c r="X122" s="175"/>
      <x:c r="Y122" s="175"/>
      <x:c r="Z122" s="175"/>
      <x:c r="AA122" s="172"/>
      <x:c r="AB122" s="172"/>
      <x:c r="AC122" s="172"/>
      <x:c r="AD122" s="172"/>
      <x:c r="AE122" s="172"/>
      <x:c r="AF122" s="172"/>
      <x:c r="AG122" s="172"/>
      <x:c r="AH122" s="172"/>
      <x:c r="AI122" s="172"/>
      <x:c r="AJ122" s="172"/>
      <x:c r="AK122" s="172"/>
      <x:c r="AL122" s="172"/>
      <x:c r="AM122" s="172"/>
      <x:c r="AN122" s="172"/>
      <x:c r="AO122" s="172"/>
      <x:c r="AP122" s="172"/>
      <x:c r="AQ122" s="172"/>
      <x:c r="AR122" s="172"/>
      <x:c r="AS122" s="172"/>
      <x:c r="AT122" s="172"/>
      <x:c r="AU122" s="172"/>
      <x:c r="AV122" s="172"/>
      <x:c r="AW122" s="172"/>
      <x:c r="AX122" s="172"/>
      <x:c r="AY122" s="172"/>
      <x:c r="AZ122" s="172"/>
    </x:row>
    <x:row r="123" ht="23" customHeight="1">
      <x:c r="A123" s="175"/>
      <x:c r="B123" s="177"/>
      <x:c r="C123" s="177"/>
      <x:c r="D123" s="175"/>
      <x:c r="E123" s="175"/>
      <x:c r="F123" s="175"/>
      <x:c r="G123" s="175"/>
      <x:c r="H123" s="175"/>
      <x:c r="I123" s="175"/>
      <x:c r="J123" s="175"/>
      <x:c r="K123" s="212"/>
      <x:c r="L123" s="212"/>
      <x:c r="M123" s="175"/>
      <x:c r="N123" s="175"/>
      <x:c r="O123" s="175"/>
      <x:c r="P123" s="175"/>
      <x:c r="Q123" s="175"/>
      <x:c r="R123" s="212"/>
      <x:c r="S123" s="212"/>
      <x:c r="T123" s="212"/>
      <x:c r="U123" s="175"/>
      <x:c r="V123" s="175"/>
      <x:c r="W123" s="175"/>
      <x:c r="X123" s="175"/>
      <x:c r="Y123" s="175"/>
      <x:c r="Z123" s="175"/>
      <x:c r="AA123" s="172"/>
      <x:c r="AB123" s="172"/>
      <x:c r="AC123" s="172"/>
      <x:c r="AD123" s="172"/>
      <x:c r="AE123" s="172"/>
      <x:c r="AF123" s="172"/>
      <x:c r="AG123" s="172"/>
      <x:c r="AH123" s="172"/>
      <x:c r="AI123" s="172"/>
      <x:c r="AJ123" s="172"/>
      <x:c r="AK123" s="172"/>
      <x:c r="AL123" s="172"/>
      <x:c r="AM123" s="172"/>
      <x:c r="AN123" s="172"/>
      <x:c r="AO123" s="172"/>
      <x:c r="AP123" s="172"/>
      <x:c r="AQ123" s="172"/>
      <x:c r="AR123" s="172"/>
      <x:c r="AS123" s="172"/>
      <x:c r="AT123" s="172"/>
      <x:c r="AU123" s="172"/>
      <x:c r="AV123" s="172"/>
      <x:c r="AW123" s="172"/>
      <x:c r="AX123" s="172"/>
      <x:c r="AY123" s="172"/>
      <x:c r="AZ123" s="172"/>
    </x:row>
    <x:row r="124" ht="23" customHeight="1">
      <x:c r="A124" s="175"/>
      <x:c r="B124" s="177"/>
      <x:c r="C124" s="177"/>
      <x:c r="D124" s="175"/>
      <x:c r="E124" s="175"/>
      <x:c r="F124" s="175"/>
      <x:c r="G124" s="175"/>
      <x:c r="H124" s="175"/>
      <x:c r="I124" s="175"/>
      <x:c r="J124" s="175"/>
      <x:c r="K124" s="212"/>
      <x:c r="L124" s="212"/>
      <x:c r="M124" s="175"/>
      <x:c r="N124" s="175"/>
      <x:c r="O124" s="175"/>
      <x:c r="P124" s="175"/>
      <x:c r="Q124" s="175"/>
      <x:c r="R124" s="212"/>
      <x:c r="S124" s="212"/>
      <x:c r="T124" s="212"/>
      <x:c r="U124" s="175"/>
      <x:c r="V124" s="175"/>
      <x:c r="W124" s="175"/>
      <x:c r="X124" s="175"/>
      <x:c r="Y124" s="175"/>
      <x:c r="Z124" s="175"/>
      <x:c r="AA124" s="172"/>
      <x:c r="AB124" s="172"/>
      <x:c r="AC124" s="172"/>
      <x:c r="AD124" s="172"/>
      <x:c r="AE124" s="172"/>
      <x:c r="AF124" s="172"/>
      <x:c r="AG124" s="172"/>
      <x:c r="AH124" s="172"/>
      <x:c r="AI124" s="172"/>
      <x:c r="AJ124" s="172"/>
      <x:c r="AK124" s="172"/>
      <x:c r="AL124" s="172"/>
      <x:c r="AM124" s="172"/>
      <x:c r="AN124" s="172"/>
      <x:c r="AO124" s="172"/>
      <x:c r="AP124" s="172"/>
      <x:c r="AQ124" s="172"/>
      <x:c r="AR124" s="172"/>
      <x:c r="AS124" s="172"/>
      <x:c r="AT124" s="172"/>
      <x:c r="AU124" s="172"/>
      <x:c r="AV124" s="172"/>
      <x:c r="AW124" s="172"/>
      <x:c r="AX124" s="172"/>
      <x:c r="AY124" s="172"/>
      <x:c r="AZ124" s="172"/>
    </x:row>
    <x:row r="125" ht="23" customHeight="1">
      <x:c r="A125" s="175"/>
      <x:c r="B125" s="177"/>
      <x:c r="C125" s="177"/>
      <x:c r="D125" s="175"/>
      <x:c r="E125" s="175"/>
      <x:c r="F125" s="175"/>
      <x:c r="G125" s="175"/>
      <x:c r="H125" s="175"/>
      <x:c r="I125" s="175"/>
      <x:c r="J125" s="175"/>
      <x:c r="K125" s="212"/>
      <x:c r="L125" s="212"/>
      <x:c r="M125" s="175"/>
      <x:c r="N125" s="175"/>
      <x:c r="O125" s="175"/>
      <x:c r="P125" s="175"/>
      <x:c r="Q125" s="175"/>
      <x:c r="R125" s="212"/>
      <x:c r="S125" s="212"/>
      <x:c r="T125" s="212"/>
      <x:c r="U125" s="175"/>
      <x:c r="V125" s="175"/>
      <x:c r="W125" s="175"/>
      <x:c r="X125" s="175"/>
      <x:c r="Y125" s="175"/>
      <x:c r="Z125" s="175"/>
      <x:c r="AA125" s="172"/>
      <x:c r="AB125" s="172"/>
      <x:c r="AC125" s="172"/>
      <x:c r="AD125" s="172"/>
      <x:c r="AE125" s="172"/>
      <x:c r="AF125" s="172"/>
      <x:c r="AG125" s="172"/>
      <x:c r="AH125" s="172"/>
      <x:c r="AI125" s="172"/>
      <x:c r="AJ125" s="172"/>
      <x:c r="AK125" s="172"/>
      <x:c r="AL125" s="172"/>
      <x:c r="AM125" s="172"/>
      <x:c r="AN125" s="172"/>
      <x:c r="AO125" s="172"/>
      <x:c r="AP125" s="172"/>
      <x:c r="AQ125" s="172"/>
      <x:c r="AR125" s="172"/>
      <x:c r="AS125" s="172"/>
      <x:c r="AT125" s="172"/>
      <x:c r="AU125" s="172"/>
      <x:c r="AV125" s="172"/>
      <x:c r="AW125" s="172"/>
      <x:c r="AX125" s="172"/>
      <x:c r="AY125" s="172"/>
      <x:c r="AZ125" s="172"/>
    </x:row>
    <x:row r="126" ht="23" customHeight="1">
      <x:c r="A126" s="175"/>
      <x:c r="B126" s="177"/>
      <x:c r="C126" s="177"/>
      <x:c r="D126" s="175"/>
      <x:c r="E126" s="175"/>
      <x:c r="F126" s="175"/>
      <x:c r="G126" s="175"/>
      <x:c r="H126" s="175"/>
      <x:c r="I126" s="175"/>
      <x:c r="J126" s="175"/>
      <x:c r="K126" s="212"/>
      <x:c r="L126" s="212"/>
      <x:c r="M126" s="175"/>
      <x:c r="N126" s="175"/>
      <x:c r="O126" s="175"/>
      <x:c r="P126" s="175"/>
      <x:c r="Q126" s="175"/>
      <x:c r="R126" s="212"/>
      <x:c r="S126" s="212"/>
      <x:c r="T126" s="212"/>
      <x:c r="U126" s="175"/>
      <x:c r="V126" s="175"/>
      <x:c r="W126" s="175"/>
      <x:c r="X126" s="175"/>
      <x:c r="Y126" s="175"/>
      <x:c r="Z126" s="175"/>
      <x:c r="AA126" s="172"/>
      <x:c r="AB126" s="172"/>
      <x:c r="AC126" s="172"/>
      <x:c r="AD126" s="172"/>
      <x:c r="AE126" s="172"/>
      <x:c r="AF126" s="172"/>
      <x:c r="AG126" s="172"/>
      <x:c r="AH126" s="172"/>
      <x:c r="AI126" s="172"/>
      <x:c r="AJ126" s="172"/>
      <x:c r="AK126" s="172"/>
      <x:c r="AL126" s="172"/>
      <x:c r="AM126" s="172"/>
      <x:c r="AN126" s="172"/>
      <x:c r="AO126" s="172"/>
      <x:c r="AP126" s="172"/>
      <x:c r="AQ126" s="172"/>
      <x:c r="AR126" s="172"/>
      <x:c r="AS126" s="172"/>
      <x:c r="AT126" s="172"/>
      <x:c r="AU126" s="172"/>
      <x:c r="AV126" s="172"/>
      <x:c r="AW126" s="172"/>
      <x:c r="AX126" s="172"/>
      <x:c r="AY126" s="172"/>
      <x:c r="AZ126" s="172"/>
    </x:row>
    <x:row r="127" ht="23" customHeight="1">
      <x:c r="A127" s="175"/>
      <x:c r="B127" s="177"/>
      <x:c r="C127" s="177"/>
      <x:c r="D127" s="175"/>
      <x:c r="E127" s="175"/>
      <x:c r="F127" s="175"/>
      <x:c r="G127" s="175"/>
      <x:c r="H127" s="175"/>
      <x:c r="I127" s="175"/>
      <x:c r="J127" s="175"/>
      <x:c r="K127" s="212"/>
      <x:c r="L127" s="212"/>
      <x:c r="M127" s="175"/>
      <x:c r="N127" s="175"/>
      <x:c r="O127" s="175"/>
      <x:c r="P127" s="175"/>
      <x:c r="Q127" s="175"/>
      <x:c r="R127" s="212"/>
      <x:c r="S127" s="212"/>
      <x:c r="T127" s="212"/>
      <x:c r="U127" s="175"/>
      <x:c r="V127" s="175"/>
      <x:c r="W127" s="175"/>
      <x:c r="X127" s="175"/>
      <x:c r="Y127" s="175"/>
      <x:c r="Z127" s="175"/>
      <x:c r="AA127" s="172"/>
      <x:c r="AB127" s="172"/>
      <x:c r="AC127" s="172"/>
      <x:c r="AD127" s="172"/>
      <x:c r="AE127" s="172"/>
      <x:c r="AF127" s="172"/>
      <x:c r="AG127" s="172"/>
      <x:c r="AH127" s="172"/>
      <x:c r="AI127" s="172"/>
      <x:c r="AJ127" s="172"/>
      <x:c r="AK127" s="172"/>
      <x:c r="AL127" s="172"/>
      <x:c r="AM127" s="172"/>
      <x:c r="AN127" s="172"/>
      <x:c r="AO127" s="172"/>
      <x:c r="AP127" s="172"/>
      <x:c r="AQ127" s="172"/>
      <x:c r="AR127" s="172"/>
      <x:c r="AS127" s="172"/>
      <x:c r="AT127" s="172"/>
      <x:c r="AU127" s="172"/>
      <x:c r="AV127" s="172"/>
      <x:c r="AW127" s="172"/>
      <x:c r="AX127" s="172"/>
      <x:c r="AY127" s="172"/>
      <x:c r="AZ127" s="172"/>
    </x:row>
    <x:row r="128" ht="23" customHeight="1">
      <x:c r="A128" s="175"/>
      <x:c r="B128" s="177"/>
      <x:c r="C128" s="177"/>
      <x:c r="D128" s="175"/>
      <x:c r="E128" s="175"/>
      <x:c r="F128" s="175"/>
      <x:c r="G128" s="175"/>
      <x:c r="H128" s="175"/>
      <x:c r="I128" s="175"/>
      <x:c r="J128" s="175"/>
      <x:c r="K128" s="212"/>
      <x:c r="L128" s="212"/>
      <x:c r="M128" s="175"/>
      <x:c r="N128" s="175"/>
      <x:c r="O128" s="175"/>
      <x:c r="P128" s="175"/>
      <x:c r="Q128" s="175"/>
      <x:c r="R128" s="212"/>
      <x:c r="S128" s="212"/>
      <x:c r="T128" s="212"/>
      <x:c r="U128" s="175"/>
      <x:c r="V128" s="175"/>
      <x:c r="W128" s="175"/>
      <x:c r="X128" s="175"/>
      <x:c r="Y128" s="175"/>
      <x:c r="Z128" s="175"/>
      <x:c r="AA128" s="172"/>
      <x:c r="AB128" s="172"/>
      <x:c r="AC128" s="172"/>
      <x:c r="AD128" s="172"/>
      <x:c r="AE128" s="172"/>
      <x:c r="AF128" s="172"/>
      <x:c r="AG128" s="172"/>
      <x:c r="AH128" s="172"/>
      <x:c r="AI128" s="172"/>
      <x:c r="AJ128" s="172"/>
      <x:c r="AK128" s="172"/>
      <x:c r="AL128" s="172"/>
      <x:c r="AM128" s="172"/>
      <x:c r="AN128" s="172"/>
      <x:c r="AO128" s="172"/>
      <x:c r="AP128" s="172"/>
      <x:c r="AQ128" s="172"/>
      <x:c r="AR128" s="172"/>
      <x:c r="AS128" s="172"/>
      <x:c r="AT128" s="172"/>
      <x:c r="AU128" s="172"/>
      <x:c r="AV128" s="172"/>
      <x:c r="AW128" s="172"/>
      <x:c r="AX128" s="172"/>
      <x:c r="AY128" s="172"/>
      <x:c r="AZ128" s="172"/>
    </x:row>
    <x:row r="129" ht="23" customHeight="1">
      <x:c r="A129" s="175"/>
      <x:c r="B129" s="177"/>
      <x:c r="C129" s="177"/>
      <x:c r="D129" s="175"/>
      <x:c r="E129" s="175"/>
      <x:c r="F129" s="175"/>
      <x:c r="G129" s="175"/>
      <x:c r="H129" s="175"/>
      <x:c r="I129" s="175"/>
      <x:c r="J129" s="175"/>
      <x:c r="K129" s="212"/>
      <x:c r="L129" s="212"/>
      <x:c r="M129" s="175"/>
      <x:c r="N129" s="175"/>
      <x:c r="O129" s="175"/>
      <x:c r="P129" s="175"/>
      <x:c r="Q129" s="175"/>
      <x:c r="R129" s="212"/>
      <x:c r="S129" s="212"/>
      <x:c r="T129" s="212"/>
      <x:c r="U129" s="175"/>
      <x:c r="V129" s="175"/>
      <x:c r="W129" s="175"/>
      <x:c r="X129" s="175"/>
      <x:c r="Y129" s="175"/>
      <x:c r="Z129" s="175"/>
      <x:c r="AA129" s="172"/>
      <x:c r="AB129" s="172"/>
      <x:c r="AC129" s="172"/>
      <x:c r="AD129" s="172"/>
      <x:c r="AE129" s="172"/>
      <x:c r="AF129" s="172"/>
      <x:c r="AG129" s="172"/>
      <x:c r="AH129" s="172"/>
      <x:c r="AI129" s="172"/>
      <x:c r="AJ129" s="172"/>
      <x:c r="AK129" s="172"/>
      <x:c r="AL129" s="172"/>
      <x:c r="AM129" s="172"/>
      <x:c r="AN129" s="172"/>
      <x:c r="AO129" s="172"/>
      <x:c r="AP129" s="172"/>
      <x:c r="AQ129" s="172"/>
      <x:c r="AR129" s="172"/>
      <x:c r="AS129" s="172"/>
      <x:c r="AT129" s="172"/>
      <x:c r="AU129" s="172"/>
      <x:c r="AV129" s="172"/>
      <x:c r="AW129" s="172"/>
      <x:c r="AX129" s="172"/>
      <x:c r="AY129" s="172"/>
      <x:c r="AZ129" s="172"/>
    </x:row>
    <x:row r="130" ht="23" customHeight="1">
      <x:c r="A130" s="175"/>
      <x:c r="B130" s="177"/>
      <x:c r="C130" s="177"/>
      <x:c r="D130" s="175"/>
      <x:c r="E130" s="175"/>
      <x:c r="F130" s="175"/>
      <x:c r="G130" s="175"/>
      <x:c r="H130" s="175"/>
      <x:c r="I130" s="175"/>
      <x:c r="J130" s="175"/>
      <x:c r="K130" s="212"/>
      <x:c r="L130" s="212"/>
      <x:c r="M130" s="175"/>
      <x:c r="N130" s="175"/>
      <x:c r="O130" s="175"/>
      <x:c r="P130" s="175"/>
      <x:c r="Q130" s="175"/>
      <x:c r="R130" s="212"/>
      <x:c r="S130" s="212"/>
      <x:c r="T130" s="212"/>
      <x:c r="U130" s="175"/>
      <x:c r="V130" s="175"/>
      <x:c r="W130" s="175"/>
      <x:c r="X130" s="175"/>
      <x:c r="Y130" s="175"/>
      <x:c r="Z130" s="175"/>
      <x:c r="AA130" s="172"/>
      <x:c r="AB130" s="172"/>
      <x:c r="AC130" s="172"/>
      <x:c r="AD130" s="172"/>
      <x:c r="AE130" s="172"/>
      <x:c r="AF130" s="172"/>
      <x:c r="AG130" s="172"/>
      <x:c r="AH130" s="172"/>
      <x:c r="AI130" s="172"/>
      <x:c r="AJ130" s="172"/>
      <x:c r="AK130" s="172"/>
      <x:c r="AL130" s="172"/>
      <x:c r="AM130" s="172"/>
      <x:c r="AN130" s="172"/>
      <x:c r="AO130" s="172"/>
      <x:c r="AP130" s="172"/>
      <x:c r="AQ130" s="172"/>
      <x:c r="AR130" s="172"/>
      <x:c r="AS130" s="172"/>
      <x:c r="AT130" s="172"/>
      <x:c r="AU130" s="172"/>
      <x:c r="AV130" s="172"/>
      <x:c r="AW130" s="172"/>
      <x:c r="AX130" s="172"/>
      <x:c r="AY130" s="172"/>
      <x:c r="AZ130" s="172"/>
    </x:row>
    <x:row r="131" ht="23" customHeight="1">
      <x:c r="A131" s="175"/>
      <x:c r="B131" s="177"/>
      <x:c r="C131" s="177"/>
      <x:c r="D131" s="175"/>
      <x:c r="E131" s="175"/>
      <x:c r="F131" s="175"/>
      <x:c r="G131" s="175"/>
      <x:c r="H131" s="175"/>
      <x:c r="I131" s="175"/>
      <x:c r="J131" s="175"/>
      <x:c r="K131" s="212"/>
      <x:c r="L131" s="212"/>
      <x:c r="M131" s="175"/>
      <x:c r="N131" s="175"/>
      <x:c r="O131" s="175"/>
      <x:c r="P131" s="175"/>
      <x:c r="Q131" s="175"/>
      <x:c r="R131" s="212"/>
      <x:c r="S131" s="212"/>
      <x:c r="T131" s="212"/>
      <x:c r="U131" s="175"/>
      <x:c r="V131" s="175"/>
      <x:c r="W131" s="175"/>
      <x:c r="X131" s="175"/>
      <x:c r="Y131" s="175"/>
      <x:c r="Z131" s="175"/>
      <x:c r="AA131" s="172"/>
      <x:c r="AB131" s="172"/>
      <x:c r="AC131" s="172"/>
      <x:c r="AD131" s="172"/>
      <x:c r="AE131" s="172"/>
      <x:c r="AF131" s="172"/>
      <x:c r="AG131" s="172"/>
      <x:c r="AH131" s="172"/>
      <x:c r="AI131" s="172"/>
      <x:c r="AJ131" s="172"/>
      <x:c r="AK131" s="172"/>
      <x:c r="AL131" s="172"/>
      <x:c r="AM131" s="172"/>
      <x:c r="AN131" s="172"/>
      <x:c r="AO131" s="172"/>
      <x:c r="AP131" s="172"/>
      <x:c r="AQ131" s="172"/>
      <x:c r="AR131" s="172"/>
      <x:c r="AS131" s="172"/>
      <x:c r="AT131" s="172"/>
      <x:c r="AU131" s="172"/>
      <x:c r="AV131" s="172"/>
      <x:c r="AW131" s="172"/>
      <x:c r="AX131" s="172"/>
      <x:c r="AY131" s="172"/>
      <x:c r="AZ131" s="172"/>
    </x:row>
    <x:row r="132" ht="23" customHeight="1">
      <x:c r="A132" s="175"/>
      <x:c r="B132" s="177"/>
      <x:c r="C132" s="177"/>
      <x:c r="D132" s="175"/>
      <x:c r="E132" s="175"/>
      <x:c r="F132" s="175"/>
      <x:c r="G132" s="175"/>
      <x:c r="H132" s="175"/>
      <x:c r="I132" s="175"/>
      <x:c r="J132" s="175"/>
      <x:c r="K132" s="212"/>
      <x:c r="L132" s="212"/>
      <x:c r="M132" s="175"/>
      <x:c r="N132" s="175"/>
      <x:c r="O132" s="175"/>
      <x:c r="P132" s="175"/>
      <x:c r="Q132" s="175"/>
      <x:c r="R132" s="212"/>
      <x:c r="S132" s="212"/>
      <x:c r="T132" s="212"/>
      <x:c r="U132" s="175"/>
      <x:c r="V132" s="175"/>
      <x:c r="W132" s="175"/>
      <x:c r="X132" s="175"/>
      <x:c r="Y132" s="175"/>
      <x:c r="Z132" s="175"/>
      <x:c r="AA132" s="172"/>
      <x:c r="AB132" s="172"/>
      <x:c r="AC132" s="172"/>
      <x:c r="AD132" s="172"/>
      <x:c r="AE132" s="172"/>
      <x:c r="AF132" s="172"/>
      <x:c r="AG132" s="172"/>
      <x:c r="AH132" s="172"/>
      <x:c r="AI132" s="172"/>
      <x:c r="AJ132" s="172"/>
      <x:c r="AK132" s="172"/>
      <x:c r="AL132" s="172"/>
      <x:c r="AM132" s="172"/>
      <x:c r="AN132" s="172"/>
      <x:c r="AO132" s="172"/>
      <x:c r="AP132" s="172"/>
      <x:c r="AQ132" s="172"/>
      <x:c r="AR132" s="172"/>
      <x:c r="AS132" s="172"/>
      <x:c r="AT132" s="172"/>
      <x:c r="AU132" s="172"/>
      <x:c r="AV132" s="172"/>
      <x:c r="AW132" s="172"/>
      <x:c r="AX132" s="172"/>
      <x:c r="AY132" s="172"/>
      <x:c r="AZ132" s="172"/>
    </x:row>
    <x:row r="133" ht="23" customHeight="1">
      <x:c r="A133" s="175"/>
      <x:c r="B133" s="177"/>
      <x:c r="C133" s="177"/>
      <x:c r="D133" s="175"/>
      <x:c r="E133" s="175"/>
      <x:c r="F133" s="175"/>
      <x:c r="G133" s="175"/>
      <x:c r="H133" s="175"/>
      <x:c r="I133" s="175"/>
      <x:c r="J133" s="175"/>
      <x:c r="K133" s="212"/>
      <x:c r="L133" s="212"/>
      <x:c r="M133" s="175"/>
      <x:c r="N133" s="175"/>
      <x:c r="O133" s="175"/>
      <x:c r="P133" s="175"/>
      <x:c r="Q133" s="175"/>
      <x:c r="R133" s="212"/>
      <x:c r="S133" s="212"/>
      <x:c r="T133" s="212"/>
      <x:c r="U133" s="175"/>
      <x:c r="V133" s="175"/>
      <x:c r="W133" s="175"/>
      <x:c r="X133" s="175"/>
      <x:c r="Y133" s="175"/>
      <x:c r="Z133" s="175"/>
      <x:c r="AA133" s="172"/>
      <x:c r="AB133" s="172"/>
      <x:c r="AC133" s="172"/>
      <x:c r="AD133" s="172"/>
      <x:c r="AE133" s="172"/>
      <x:c r="AF133" s="172"/>
      <x:c r="AG133" s="172"/>
      <x:c r="AH133" s="172"/>
      <x:c r="AI133" s="172"/>
      <x:c r="AJ133" s="172"/>
      <x:c r="AK133" s="172"/>
      <x:c r="AL133" s="172"/>
      <x:c r="AM133" s="172"/>
      <x:c r="AN133" s="172"/>
      <x:c r="AO133" s="172"/>
      <x:c r="AP133" s="172"/>
      <x:c r="AQ133" s="172"/>
      <x:c r="AR133" s="172"/>
      <x:c r="AS133" s="172"/>
      <x:c r="AT133" s="172"/>
      <x:c r="AU133" s="172"/>
      <x:c r="AV133" s="172"/>
      <x:c r="AW133" s="172"/>
      <x:c r="AX133" s="172"/>
      <x:c r="AY133" s="172"/>
      <x:c r="AZ133" s="172"/>
    </x:row>
    <x:row r="134" ht="23" customHeight="1">
      <x:c r="A134" s="175"/>
      <x:c r="B134" s="177"/>
      <x:c r="C134" s="177"/>
      <x:c r="D134" s="175"/>
      <x:c r="E134" s="175"/>
      <x:c r="F134" s="175"/>
      <x:c r="G134" s="175"/>
      <x:c r="H134" s="175"/>
      <x:c r="I134" s="175"/>
      <x:c r="J134" s="175"/>
      <x:c r="K134" s="212"/>
      <x:c r="L134" s="212"/>
      <x:c r="M134" s="175"/>
      <x:c r="N134" s="175"/>
      <x:c r="O134" s="175"/>
      <x:c r="P134" s="175"/>
      <x:c r="Q134" s="175"/>
      <x:c r="R134" s="212"/>
      <x:c r="S134" s="212"/>
      <x:c r="T134" s="212"/>
      <x:c r="U134" s="175"/>
      <x:c r="V134" s="175"/>
      <x:c r="W134" s="175"/>
      <x:c r="X134" s="175"/>
      <x:c r="Y134" s="175"/>
      <x:c r="Z134" s="175"/>
      <x:c r="AA134" s="172"/>
      <x:c r="AB134" s="172"/>
      <x:c r="AC134" s="172"/>
      <x:c r="AD134" s="172"/>
      <x:c r="AE134" s="172"/>
      <x:c r="AF134" s="172"/>
      <x:c r="AG134" s="172"/>
      <x:c r="AH134" s="172"/>
      <x:c r="AI134" s="172"/>
      <x:c r="AJ134" s="172"/>
      <x:c r="AK134" s="172"/>
      <x:c r="AL134" s="172"/>
      <x:c r="AM134" s="172"/>
      <x:c r="AN134" s="172"/>
      <x:c r="AO134" s="172"/>
      <x:c r="AP134" s="172"/>
      <x:c r="AQ134" s="172"/>
      <x:c r="AR134" s="172"/>
      <x:c r="AS134" s="172"/>
      <x:c r="AT134" s="172"/>
      <x:c r="AU134" s="172"/>
      <x:c r="AV134" s="172"/>
      <x:c r="AW134" s="172"/>
      <x:c r="AX134" s="172"/>
      <x:c r="AY134" s="172"/>
      <x:c r="AZ134" s="172"/>
    </x:row>
    <x:row r="135" ht="23" customHeight="1">
      <x:c r="A135" s="175"/>
      <x:c r="B135" s="177"/>
      <x:c r="C135" s="177"/>
      <x:c r="D135" s="175"/>
      <x:c r="E135" s="175"/>
      <x:c r="F135" s="175"/>
      <x:c r="G135" s="175"/>
      <x:c r="H135" s="175"/>
      <x:c r="I135" s="175"/>
      <x:c r="J135" s="175"/>
      <x:c r="K135" s="212"/>
      <x:c r="L135" s="212"/>
      <x:c r="M135" s="175"/>
      <x:c r="N135" s="175"/>
      <x:c r="O135" s="175"/>
      <x:c r="P135" s="175"/>
      <x:c r="Q135" s="175"/>
      <x:c r="R135" s="212"/>
      <x:c r="S135" s="212"/>
      <x:c r="T135" s="212"/>
      <x:c r="U135" s="175"/>
      <x:c r="V135" s="175"/>
      <x:c r="W135" s="175"/>
      <x:c r="X135" s="175"/>
      <x:c r="Y135" s="175"/>
      <x:c r="Z135" s="175"/>
      <x:c r="AA135" s="172"/>
      <x:c r="AB135" s="172"/>
      <x:c r="AC135" s="172"/>
      <x:c r="AD135" s="172"/>
      <x:c r="AE135" s="172"/>
      <x:c r="AF135" s="172"/>
      <x:c r="AG135" s="172"/>
      <x:c r="AH135" s="172"/>
      <x:c r="AI135" s="172"/>
      <x:c r="AJ135" s="172"/>
      <x:c r="AK135" s="172"/>
      <x:c r="AL135" s="172"/>
      <x:c r="AM135" s="172"/>
      <x:c r="AN135" s="172"/>
      <x:c r="AO135" s="172"/>
      <x:c r="AP135" s="172"/>
      <x:c r="AQ135" s="172"/>
      <x:c r="AR135" s="172"/>
      <x:c r="AS135" s="172"/>
      <x:c r="AT135" s="172"/>
      <x:c r="AU135" s="172"/>
      <x:c r="AV135" s="172"/>
      <x:c r="AW135" s="172"/>
      <x:c r="AX135" s="172"/>
      <x:c r="AY135" s="172"/>
      <x:c r="AZ135" s="172"/>
    </x:row>
    <x:row r="136" ht="23" customHeight="1">
      <x:c r="A136" s="175"/>
      <x:c r="B136" s="177"/>
      <x:c r="C136" s="177"/>
      <x:c r="D136" s="175"/>
      <x:c r="E136" s="175"/>
      <x:c r="F136" s="175"/>
      <x:c r="G136" s="175"/>
      <x:c r="H136" s="175"/>
      <x:c r="I136" s="175"/>
      <x:c r="J136" s="175"/>
      <x:c r="K136" s="212"/>
      <x:c r="L136" s="212"/>
      <x:c r="M136" s="175"/>
      <x:c r="N136" s="175"/>
      <x:c r="O136" s="175"/>
      <x:c r="P136" s="175"/>
      <x:c r="Q136" s="175"/>
      <x:c r="R136" s="212"/>
      <x:c r="S136" s="212"/>
      <x:c r="T136" s="212"/>
      <x:c r="U136" s="175"/>
      <x:c r="V136" s="175"/>
      <x:c r="W136" s="175"/>
      <x:c r="X136" s="175"/>
      <x:c r="Y136" s="175"/>
      <x:c r="Z136" s="175"/>
      <x:c r="AA136" s="172"/>
      <x:c r="AB136" s="172"/>
      <x:c r="AC136" s="172"/>
      <x:c r="AD136" s="172"/>
      <x:c r="AE136" s="172"/>
      <x:c r="AF136" s="172"/>
      <x:c r="AG136" s="172"/>
      <x:c r="AH136" s="172"/>
      <x:c r="AI136" s="172"/>
      <x:c r="AJ136" s="172"/>
      <x:c r="AK136" s="172"/>
      <x:c r="AL136" s="172"/>
      <x:c r="AM136" s="172"/>
      <x:c r="AN136" s="172"/>
      <x:c r="AO136" s="172"/>
      <x:c r="AP136" s="172"/>
      <x:c r="AQ136" s="172"/>
      <x:c r="AR136" s="172"/>
      <x:c r="AS136" s="172"/>
      <x:c r="AT136" s="172"/>
      <x:c r="AU136" s="172"/>
      <x:c r="AV136" s="172"/>
      <x:c r="AW136" s="172"/>
      <x:c r="AX136" s="172"/>
      <x:c r="AY136" s="172"/>
      <x:c r="AZ136" s="172"/>
    </x:row>
    <x:row r="137" ht="23" customHeight="1">
      <x:c r="A137" s="175"/>
      <x:c r="B137" s="177"/>
      <x:c r="C137" s="177"/>
      <x:c r="D137" s="175"/>
      <x:c r="E137" s="175"/>
      <x:c r="F137" s="175"/>
      <x:c r="G137" s="175"/>
      <x:c r="H137" s="175"/>
      <x:c r="I137" s="175"/>
      <x:c r="J137" s="175"/>
      <x:c r="K137" s="212"/>
      <x:c r="L137" s="212"/>
      <x:c r="M137" s="175"/>
      <x:c r="N137" s="175"/>
      <x:c r="O137" s="175"/>
      <x:c r="P137" s="175"/>
      <x:c r="Q137" s="175"/>
      <x:c r="R137" s="212"/>
      <x:c r="S137" s="212"/>
      <x:c r="T137" s="212"/>
      <x:c r="U137" s="175"/>
      <x:c r="V137" s="175"/>
      <x:c r="W137" s="175"/>
      <x:c r="X137" s="175"/>
      <x:c r="Y137" s="175"/>
      <x:c r="Z137" s="175"/>
      <x:c r="AA137" s="172"/>
      <x:c r="AB137" s="172"/>
      <x:c r="AC137" s="172"/>
      <x:c r="AD137" s="172"/>
      <x:c r="AE137" s="172"/>
      <x:c r="AF137" s="172"/>
      <x:c r="AG137" s="172"/>
      <x:c r="AH137" s="172"/>
      <x:c r="AI137" s="172"/>
      <x:c r="AJ137" s="172"/>
      <x:c r="AK137" s="172"/>
      <x:c r="AL137" s="172"/>
      <x:c r="AM137" s="172"/>
      <x:c r="AN137" s="172"/>
      <x:c r="AO137" s="172"/>
      <x:c r="AP137" s="172"/>
      <x:c r="AQ137" s="172"/>
      <x:c r="AR137" s="172"/>
      <x:c r="AS137" s="172"/>
      <x:c r="AT137" s="172"/>
      <x:c r="AU137" s="172"/>
      <x:c r="AV137" s="172"/>
      <x:c r="AW137" s="172"/>
      <x:c r="AX137" s="172"/>
      <x:c r="AY137" s="172"/>
      <x:c r="AZ137" s="172"/>
    </x:row>
    <x:row r="138" ht="23" customHeight="1">
      <x:c r="A138" s="175"/>
      <x:c r="B138" s="177"/>
      <x:c r="C138" s="177"/>
      <x:c r="D138" s="175"/>
      <x:c r="E138" s="175"/>
      <x:c r="F138" s="175"/>
      <x:c r="G138" s="175"/>
      <x:c r="H138" s="175"/>
      <x:c r="I138" s="175"/>
      <x:c r="J138" s="175"/>
      <x:c r="K138" s="212"/>
      <x:c r="L138" s="212"/>
      <x:c r="M138" s="175"/>
      <x:c r="N138" s="175"/>
      <x:c r="O138" s="175"/>
      <x:c r="P138" s="175"/>
      <x:c r="Q138" s="175"/>
      <x:c r="R138" s="212"/>
      <x:c r="S138" s="212"/>
      <x:c r="T138" s="212"/>
      <x:c r="U138" s="175"/>
      <x:c r="V138" s="175"/>
      <x:c r="W138" s="175"/>
      <x:c r="X138" s="175"/>
      <x:c r="Y138" s="175"/>
      <x:c r="Z138" s="175"/>
      <x:c r="AA138" s="172"/>
      <x:c r="AB138" s="172"/>
      <x:c r="AC138" s="172"/>
      <x:c r="AD138" s="172"/>
      <x:c r="AE138" s="172"/>
      <x:c r="AF138" s="172"/>
      <x:c r="AG138" s="172"/>
      <x:c r="AH138" s="172"/>
      <x:c r="AI138" s="172"/>
      <x:c r="AJ138" s="172"/>
      <x:c r="AK138" s="172"/>
      <x:c r="AL138" s="172"/>
      <x:c r="AM138" s="172"/>
      <x:c r="AN138" s="172"/>
      <x:c r="AO138" s="172"/>
      <x:c r="AP138" s="172"/>
      <x:c r="AQ138" s="172"/>
      <x:c r="AR138" s="172"/>
      <x:c r="AS138" s="172"/>
      <x:c r="AT138" s="172"/>
      <x:c r="AU138" s="172"/>
      <x:c r="AV138" s="172"/>
      <x:c r="AW138" s="172"/>
      <x:c r="AX138" s="172"/>
      <x:c r="AY138" s="172"/>
      <x:c r="AZ138" s="172"/>
    </x:row>
    <x:row r="139" ht="23" customHeight="1">
      <x:c r="A139" s="175"/>
      <x:c r="B139" s="177"/>
      <x:c r="C139" s="177"/>
      <x:c r="D139" s="175"/>
      <x:c r="E139" s="175"/>
      <x:c r="F139" s="175"/>
      <x:c r="G139" s="175"/>
      <x:c r="H139" s="175"/>
      <x:c r="I139" s="175"/>
      <x:c r="J139" s="175"/>
      <x:c r="K139" s="212"/>
      <x:c r="L139" s="212"/>
      <x:c r="M139" s="175"/>
      <x:c r="N139" s="175"/>
      <x:c r="O139" s="175"/>
      <x:c r="P139" s="175"/>
      <x:c r="Q139" s="175"/>
      <x:c r="R139" s="212"/>
      <x:c r="S139" s="212"/>
      <x:c r="T139" s="212"/>
      <x:c r="U139" s="175"/>
      <x:c r="V139" s="175"/>
      <x:c r="W139" s="175"/>
      <x:c r="X139" s="175"/>
      <x:c r="Y139" s="175"/>
      <x:c r="Z139" s="175"/>
      <x:c r="AA139" s="172"/>
      <x:c r="AB139" s="172"/>
      <x:c r="AC139" s="172"/>
      <x:c r="AD139" s="172"/>
      <x:c r="AE139" s="172"/>
      <x:c r="AF139" s="172"/>
      <x:c r="AG139" s="172"/>
      <x:c r="AH139" s="172"/>
      <x:c r="AI139" s="172"/>
      <x:c r="AJ139" s="172"/>
      <x:c r="AK139" s="172"/>
      <x:c r="AL139" s="172"/>
      <x:c r="AM139" s="172"/>
      <x:c r="AN139" s="172"/>
      <x:c r="AO139" s="172"/>
      <x:c r="AP139" s="172"/>
      <x:c r="AQ139" s="172"/>
      <x:c r="AR139" s="172"/>
      <x:c r="AS139" s="172"/>
      <x:c r="AT139" s="172"/>
      <x:c r="AU139" s="172"/>
      <x:c r="AV139" s="172"/>
      <x:c r="AW139" s="172"/>
      <x:c r="AX139" s="172"/>
      <x:c r="AY139" s="172"/>
      <x:c r="AZ139" s="172"/>
    </x:row>
    <x:row r="140" ht="23" customHeight="1">
      <x:c r="A140" s="175"/>
      <x:c r="B140" s="177"/>
      <x:c r="C140" s="177"/>
      <x:c r="D140" s="175"/>
      <x:c r="E140" s="175"/>
      <x:c r="F140" s="175"/>
      <x:c r="G140" s="175"/>
      <x:c r="H140" s="175"/>
      <x:c r="I140" s="175"/>
      <x:c r="J140" s="175"/>
      <x:c r="K140" s="212"/>
      <x:c r="L140" s="212"/>
      <x:c r="M140" s="175"/>
      <x:c r="N140" s="175"/>
      <x:c r="O140" s="175"/>
      <x:c r="P140" s="175"/>
      <x:c r="Q140" s="175"/>
      <x:c r="R140" s="212"/>
      <x:c r="S140" s="212"/>
      <x:c r="T140" s="212"/>
      <x:c r="U140" s="175"/>
      <x:c r="V140" s="175"/>
      <x:c r="W140" s="175"/>
      <x:c r="X140" s="175"/>
      <x:c r="Y140" s="175"/>
      <x:c r="Z140" s="175"/>
      <x:c r="AA140" s="172"/>
      <x:c r="AB140" s="172"/>
      <x:c r="AC140" s="172"/>
      <x:c r="AD140" s="172"/>
      <x:c r="AE140" s="172"/>
      <x:c r="AF140" s="172"/>
      <x:c r="AG140" s="172"/>
      <x:c r="AH140" s="172"/>
      <x:c r="AI140" s="172"/>
      <x:c r="AJ140" s="172"/>
      <x:c r="AK140" s="172"/>
      <x:c r="AL140" s="172"/>
      <x:c r="AM140" s="172"/>
      <x:c r="AN140" s="172"/>
      <x:c r="AO140" s="172"/>
      <x:c r="AP140" s="172"/>
      <x:c r="AQ140" s="172"/>
      <x:c r="AR140" s="172"/>
      <x:c r="AS140" s="172"/>
      <x:c r="AT140" s="172"/>
      <x:c r="AU140" s="172"/>
      <x:c r="AV140" s="172"/>
      <x:c r="AW140" s="172"/>
      <x:c r="AX140" s="172"/>
      <x:c r="AY140" s="172"/>
      <x:c r="AZ140" s="172"/>
    </x:row>
    <x:row r="141" ht="23" customHeight="1">
      <x:c r="A141" s="175"/>
      <x:c r="B141" s="177"/>
      <x:c r="C141" s="177"/>
      <x:c r="D141" s="175"/>
      <x:c r="E141" s="175"/>
      <x:c r="F141" s="175"/>
      <x:c r="G141" s="175"/>
      <x:c r="H141" s="175"/>
      <x:c r="I141" s="175"/>
      <x:c r="J141" s="175"/>
      <x:c r="K141" s="212"/>
      <x:c r="L141" s="212"/>
      <x:c r="M141" s="175"/>
      <x:c r="N141" s="175"/>
      <x:c r="O141" s="175"/>
      <x:c r="P141" s="175"/>
      <x:c r="Q141" s="175"/>
      <x:c r="R141" s="212"/>
      <x:c r="S141" s="212"/>
      <x:c r="T141" s="212"/>
      <x:c r="U141" s="175"/>
      <x:c r="V141" s="175"/>
      <x:c r="W141" s="175"/>
      <x:c r="X141" s="175"/>
      <x:c r="Y141" s="175"/>
      <x:c r="Z141" s="175"/>
      <x:c r="AA141" s="172"/>
      <x:c r="AB141" s="172"/>
      <x:c r="AC141" s="172"/>
      <x:c r="AD141" s="172"/>
      <x:c r="AE141" s="172"/>
      <x:c r="AF141" s="172"/>
      <x:c r="AG141" s="172"/>
      <x:c r="AH141" s="172"/>
      <x:c r="AI141" s="172"/>
      <x:c r="AJ141" s="172"/>
      <x:c r="AK141" s="172"/>
      <x:c r="AL141" s="172"/>
      <x:c r="AM141" s="172"/>
      <x:c r="AN141" s="172"/>
      <x:c r="AO141" s="172"/>
      <x:c r="AP141" s="172"/>
      <x:c r="AQ141" s="172"/>
      <x:c r="AR141" s="172"/>
      <x:c r="AS141" s="172"/>
      <x:c r="AT141" s="172"/>
      <x:c r="AU141" s="172"/>
      <x:c r="AV141" s="172"/>
      <x:c r="AW141" s="172"/>
      <x:c r="AX141" s="172"/>
      <x:c r="AY141" s="172"/>
      <x:c r="AZ141" s="172"/>
    </x:row>
    <x:row r="142" ht="23" customHeight="1">
      <x:c r="A142" s="175"/>
      <x:c r="B142" s="177"/>
      <x:c r="C142" s="177"/>
      <x:c r="D142" s="175"/>
      <x:c r="E142" s="175"/>
      <x:c r="F142" s="175"/>
      <x:c r="G142" s="175"/>
      <x:c r="H142" s="175"/>
      <x:c r="I142" s="175"/>
      <x:c r="J142" s="175"/>
      <x:c r="K142" s="212"/>
      <x:c r="L142" s="212"/>
      <x:c r="M142" s="175"/>
      <x:c r="N142" s="175"/>
      <x:c r="O142" s="175"/>
      <x:c r="P142" s="175"/>
      <x:c r="Q142" s="175"/>
      <x:c r="R142" s="212"/>
      <x:c r="S142" s="212"/>
      <x:c r="T142" s="212"/>
      <x:c r="U142" s="175"/>
      <x:c r="V142" s="175"/>
      <x:c r="W142" s="175"/>
      <x:c r="X142" s="175"/>
      <x:c r="Y142" s="175"/>
      <x:c r="Z142" s="175"/>
      <x:c r="AA142" s="172"/>
      <x:c r="AB142" s="172"/>
      <x:c r="AC142" s="172"/>
      <x:c r="AD142" s="172"/>
      <x:c r="AE142" s="172"/>
      <x:c r="AF142" s="172"/>
      <x:c r="AG142" s="172"/>
      <x:c r="AH142" s="172"/>
      <x:c r="AI142" s="172"/>
      <x:c r="AJ142" s="172"/>
      <x:c r="AK142" s="172"/>
      <x:c r="AL142" s="172"/>
      <x:c r="AM142" s="172"/>
      <x:c r="AN142" s="172"/>
      <x:c r="AO142" s="172"/>
      <x:c r="AP142" s="172"/>
      <x:c r="AQ142" s="172"/>
      <x:c r="AR142" s="172"/>
      <x:c r="AS142" s="172"/>
      <x:c r="AT142" s="172"/>
      <x:c r="AU142" s="172"/>
      <x:c r="AV142" s="172"/>
      <x:c r="AW142" s="172"/>
      <x:c r="AX142" s="172"/>
      <x:c r="AY142" s="172"/>
      <x:c r="AZ142" s="172"/>
    </x:row>
    <x:row r="143" ht="23" customHeight="1">
      <x:c r="A143" s="175"/>
      <x:c r="B143" s="177"/>
      <x:c r="C143" s="177"/>
      <x:c r="D143" s="175"/>
      <x:c r="E143" s="175"/>
      <x:c r="F143" s="175"/>
      <x:c r="G143" s="175"/>
      <x:c r="H143" s="175"/>
      <x:c r="I143" s="175"/>
      <x:c r="J143" s="175"/>
      <x:c r="K143" s="212"/>
      <x:c r="L143" s="212"/>
      <x:c r="M143" s="175"/>
      <x:c r="N143" s="175"/>
      <x:c r="O143" s="175"/>
      <x:c r="P143" s="175"/>
      <x:c r="Q143" s="175"/>
      <x:c r="R143" s="212"/>
      <x:c r="S143" s="212"/>
      <x:c r="T143" s="212"/>
      <x:c r="U143" s="175"/>
      <x:c r="V143" s="175"/>
      <x:c r="W143" s="175"/>
      <x:c r="X143" s="175"/>
      <x:c r="Y143" s="175"/>
      <x:c r="Z143" s="175"/>
      <x:c r="AA143" s="172"/>
      <x:c r="AB143" s="172"/>
      <x:c r="AC143" s="172"/>
      <x:c r="AD143" s="172"/>
      <x:c r="AE143" s="172"/>
      <x:c r="AF143" s="172"/>
      <x:c r="AG143" s="172"/>
      <x:c r="AH143" s="172"/>
      <x:c r="AI143" s="172"/>
      <x:c r="AJ143" s="172"/>
      <x:c r="AK143" s="172"/>
      <x:c r="AL143" s="172"/>
      <x:c r="AM143" s="172"/>
      <x:c r="AN143" s="172"/>
      <x:c r="AO143" s="172"/>
      <x:c r="AP143" s="172"/>
      <x:c r="AQ143" s="172"/>
      <x:c r="AR143" s="172"/>
      <x:c r="AS143" s="172"/>
      <x:c r="AT143" s="172"/>
      <x:c r="AU143" s="172"/>
      <x:c r="AV143" s="172"/>
      <x:c r="AW143" s="172"/>
      <x:c r="AX143" s="172"/>
      <x:c r="AY143" s="172"/>
      <x:c r="AZ143" s="172"/>
    </x:row>
    <x:row r="144" ht="23" customHeight="1">
      <x:c r="A144" s="175"/>
      <x:c r="B144" s="177"/>
      <x:c r="C144" s="177"/>
      <x:c r="D144" s="175"/>
      <x:c r="E144" s="175"/>
      <x:c r="F144" s="175"/>
      <x:c r="G144" s="175"/>
      <x:c r="H144" s="175"/>
      <x:c r="I144" s="175"/>
      <x:c r="J144" s="175"/>
      <x:c r="K144" s="212"/>
      <x:c r="L144" s="212"/>
      <x:c r="M144" s="175"/>
      <x:c r="N144" s="175"/>
      <x:c r="O144" s="175"/>
      <x:c r="P144" s="175"/>
      <x:c r="Q144" s="175"/>
      <x:c r="R144" s="212"/>
      <x:c r="S144" s="212"/>
      <x:c r="T144" s="212"/>
      <x:c r="U144" s="175"/>
      <x:c r="V144" s="175"/>
      <x:c r="W144" s="175"/>
      <x:c r="X144" s="175"/>
      <x:c r="Y144" s="175"/>
      <x:c r="Z144" s="175"/>
      <x:c r="AA144" s="172"/>
      <x:c r="AB144" s="172"/>
      <x:c r="AC144" s="172"/>
      <x:c r="AD144" s="172"/>
      <x:c r="AE144" s="172"/>
      <x:c r="AF144" s="172"/>
      <x:c r="AG144" s="172"/>
      <x:c r="AH144" s="172"/>
      <x:c r="AI144" s="172"/>
      <x:c r="AJ144" s="172"/>
      <x:c r="AK144" s="172"/>
      <x:c r="AL144" s="172"/>
      <x:c r="AM144" s="172"/>
      <x:c r="AN144" s="172"/>
      <x:c r="AO144" s="172"/>
      <x:c r="AP144" s="172"/>
      <x:c r="AQ144" s="172"/>
      <x:c r="AR144" s="172"/>
      <x:c r="AS144" s="172"/>
      <x:c r="AT144" s="172"/>
      <x:c r="AU144" s="172"/>
      <x:c r="AV144" s="172"/>
      <x:c r="AW144" s="172"/>
      <x:c r="AX144" s="172"/>
      <x:c r="AY144" s="172"/>
      <x:c r="AZ144" s="172"/>
    </x:row>
    <x:row r="145" ht="23" customHeight="1">
      <x:c r="A145" s="175"/>
      <x:c r="B145" s="177"/>
      <x:c r="C145" s="177"/>
      <x:c r="D145" s="175"/>
      <x:c r="E145" s="175"/>
      <x:c r="F145" s="175"/>
      <x:c r="G145" s="175"/>
      <x:c r="H145" s="175"/>
      <x:c r="I145" s="175"/>
      <x:c r="J145" s="175"/>
      <x:c r="K145" s="212"/>
      <x:c r="L145" s="212"/>
      <x:c r="M145" s="175"/>
      <x:c r="N145" s="175"/>
      <x:c r="O145" s="175"/>
      <x:c r="P145" s="175"/>
      <x:c r="Q145" s="175"/>
      <x:c r="R145" s="212"/>
      <x:c r="S145" s="212"/>
      <x:c r="T145" s="212"/>
      <x:c r="U145" s="175"/>
      <x:c r="V145" s="175"/>
      <x:c r="W145" s="175"/>
      <x:c r="X145" s="175"/>
      <x:c r="Y145" s="175"/>
      <x:c r="Z145" s="175"/>
      <x:c r="AA145" s="172"/>
      <x:c r="AB145" s="172"/>
      <x:c r="AC145" s="172"/>
      <x:c r="AD145" s="172"/>
      <x:c r="AE145" s="172"/>
      <x:c r="AF145" s="172"/>
      <x:c r="AG145" s="172"/>
      <x:c r="AH145" s="172"/>
      <x:c r="AI145" s="172"/>
      <x:c r="AJ145" s="172"/>
      <x:c r="AK145" s="172"/>
      <x:c r="AL145" s="172"/>
      <x:c r="AM145" s="172"/>
      <x:c r="AN145" s="172"/>
      <x:c r="AO145" s="172"/>
      <x:c r="AP145" s="172"/>
      <x:c r="AQ145" s="172"/>
      <x:c r="AR145" s="172"/>
      <x:c r="AS145" s="172"/>
      <x:c r="AT145" s="172"/>
      <x:c r="AU145" s="172"/>
      <x:c r="AV145" s="172"/>
      <x:c r="AW145" s="172"/>
      <x:c r="AX145" s="172"/>
      <x:c r="AY145" s="172"/>
      <x:c r="AZ145" s="172"/>
    </x:row>
    <x:row r="146" ht="23" customHeight="1">
      <x:c r="A146" s="175"/>
      <x:c r="B146" s="177"/>
      <x:c r="C146" s="177"/>
      <x:c r="D146" s="175"/>
      <x:c r="E146" s="175"/>
      <x:c r="F146" s="175"/>
      <x:c r="G146" s="175"/>
      <x:c r="H146" s="175"/>
      <x:c r="I146" s="175"/>
      <x:c r="J146" s="175"/>
      <x:c r="K146" s="212"/>
      <x:c r="L146" s="212"/>
      <x:c r="M146" s="175"/>
      <x:c r="N146" s="175"/>
      <x:c r="O146" s="175"/>
      <x:c r="P146" s="175"/>
      <x:c r="Q146" s="175"/>
      <x:c r="R146" s="212"/>
      <x:c r="S146" s="212"/>
      <x:c r="T146" s="212"/>
      <x:c r="U146" s="175"/>
      <x:c r="V146" s="175"/>
      <x:c r="W146" s="175"/>
      <x:c r="X146" s="175"/>
      <x:c r="Y146" s="175"/>
      <x:c r="Z146" s="175"/>
      <x:c r="AA146" s="172"/>
      <x:c r="AB146" s="172"/>
      <x:c r="AC146" s="172"/>
      <x:c r="AD146" s="172"/>
      <x:c r="AE146" s="172"/>
      <x:c r="AF146" s="172"/>
      <x:c r="AG146" s="172"/>
      <x:c r="AH146" s="172"/>
      <x:c r="AI146" s="172"/>
      <x:c r="AJ146" s="172"/>
      <x:c r="AK146" s="172"/>
      <x:c r="AL146" s="172"/>
      <x:c r="AM146" s="172"/>
      <x:c r="AN146" s="172"/>
      <x:c r="AO146" s="172"/>
      <x:c r="AP146" s="172"/>
      <x:c r="AQ146" s="172"/>
      <x:c r="AR146" s="172"/>
      <x:c r="AS146" s="172"/>
      <x:c r="AT146" s="172"/>
      <x:c r="AU146" s="172"/>
      <x:c r="AV146" s="172"/>
      <x:c r="AW146" s="172"/>
      <x:c r="AX146" s="172"/>
      <x:c r="AY146" s="172"/>
      <x:c r="AZ146" s="172"/>
    </x:row>
    <x:row r="147" ht="23" customHeight="1">
      <x:c r="A147" s="175"/>
      <x:c r="B147" s="177"/>
      <x:c r="C147" s="177"/>
      <x:c r="D147" s="175"/>
      <x:c r="E147" s="175"/>
      <x:c r="F147" s="175"/>
      <x:c r="G147" s="175"/>
      <x:c r="H147" s="175"/>
      <x:c r="I147" s="175"/>
      <x:c r="J147" s="175"/>
      <x:c r="K147" s="212"/>
      <x:c r="L147" s="212"/>
      <x:c r="M147" s="175"/>
      <x:c r="N147" s="175"/>
      <x:c r="O147" s="175"/>
      <x:c r="P147" s="175"/>
      <x:c r="Q147" s="175"/>
      <x:c r="R147" s="212"/>
      <x:c r="S147" s="212"/>
      <x:c r="T147" s="212"/>
      <x:c r="U147" s="175"/>
      <x:c r="V147" s="175"/>
      <x:c r="W147" s="175"/>
      <x:c r="X147" s="175"/>
      <x:c r="Y147" s="175"/>
      <x:c r="Z147" s="175"/>
      <x:c r="AA147" s="172"/>
      <x:c r="AB147" s="172"/>
      <x:c r="AC147" s="172"/>
      <x:c r="AD147" s="172"/>
      <x:c r="AE147" s="172"/>
      <x:c r="AF147" s="172"/>
      <x:c r="AG147" s="172"/>
      <x:c r="AH147" s="172"/>
      <x:c r="AI147" s="172"/>
      <x:c r="AJ147" s="172"/>
      <x:c r="AK147" s="172"/>
      <x:c r="AL147" s="172"/>
      <x:c r="AM147" s="172"/>
      <x:c r="AN147" s="172"/>
      <x:c r="AO147" s="172"/>
      <x:c r="AP147" s="172"/>
      <x:c r="AQ147" s="172"/>
      <x:c r="AR147" s="172"/>
      <x:c r="AS147" s="172"/>
      <x:c r="AT147" s="172"/>
      <x:c r="AU147" s="172"/>
      <x:c r="AV147" s="172"/>
      <x:c r="AW147" s="172"/>
      <x:c r="AX147" s="172"/>
      <x:c r="AY147" s="172"/>
      <x:c r="AZ147" s="172"/>
    </x:row>
    <x:row r="148" ht="23" customHeight="1">
      <x:c r="A148" s="175"/>
      <x:c r="B148" s="177"/>
      <x:c r="C148" s="177"/>
      <x:c r="D148" s="175"/>
      <x:c r="E148" s="175"/>
      <x:c r="F148" s="175"/>
      <x:c r="G148" s="175"/>
      <x:c r="H148" s="175"/>
      <x:c r="I148" s="175"/>
      <x:c r="J148" s="175"/>
      <x:c r="K148" s="212"/>
      <x:c r="L148" s="212"/>
      <x:c r="M148" s="175"/>
      <x:c r="N148" s="175"/>
      <x:c r="O148" s="175"/>
      <x:c r="P148" s="175"/>
      <x:c r="Q148" s="175"/>
      <x:c r="R148" s="212"/>
      <x:c r="S148" s="212"/>
      <x:c r="T148" s="212"/>
      <x:c r="U148" s="175"/>
      <x:c r="V148" s="175"/>
      <x:c r="W148" s="175"/>
      <x:c r="X148" s="175"/>
      <x:c r="Y148" s="175"/>
      <x:c r="Z148" s="175"/>
      <x:c r="AA148" s="172"/>
      <x:c r="AB148" s="172"/>
      <x:c r="AC148" s="172"/>
      <x:c r="AD148" s="172"/>
      <x:c r="AE148" s="172"/>
      <x:c r="AF148" s="172"/>
      <x:c r="AG148" s="172"/>
      <x:c r="AH148" s="172"/>
      <x:c r="AI148" s="172"/>
      <x:c r="AJ148" s="172"/>
      <x:c r="AK148" s="172"/>
      <x:c r="AL148" s="172"/>
      <x:c r="AM148" s="172"/>
      <x:c r="AN148" s="172"/>
      <x:c r="AO148" s="172"/>
      <x:c r="AP148" s="172"/>
      <x:c r="AQ148" s="172"/>
      <x:c r="AR148" s="172"/>
      <x:c r="AS148" s="172"/>
      <x:c r="AT148" s="172"/>
      <x:c r="AU148" s="172"/>
      <x:c r="AV148" s="172"/>
      <x:c r="AW148" s="172"/>
      <x:c r="AX148" s="172"/>
      <x:c r="AY148" s="172"/>
      <x:c r="AZ148" s="172"/>
    </x:row>
    <x:row r="149" ht="23" customHeight="1">
      <x:c r="A149" s="175"/>
      <x:c r="B149" s="177"/>
      <x:c r="C149" s="177"/>
      <x:c r="D149" s="175"/>
      <x:c r="E149" s="175"/>
      <x:c r="F149" s="175"/>
      <x:c r="G149" s="175"/>
      <x:c r="H149" s="175"/>
      <x:c r="I149" s="175"/>
      <x:c r="J149" s="175"/>
      <x:c r="K149" s="212"/>
      <x:c r="L149" s="212"/>
      <x:c r="M149" s="175"/>
      <x:c r="N149" s="175"/>
      <x:c r="O149" s="175"/>
      <x:c r="P149" s="175"/>
      <x:c r="Q149" s="175"/>
      <x:c r="R149" s="212"/>
      <x:c r="S149" s="212"/>
      <x:c r="T149" s="212"/>
      <x:c r="U149" s="175"/>
      <x:c r="V149" s="175"/>
      <x:c r="W149" s="175"/>
      <x:c r="X149" s="175"/>
      <x:c r="Y149" s="175"/>
      <x:c r="Z149" s="175"/>
      <x:c r="AA149" s="172"/>
      <x:c r="AB149" s="172"/>
      <x:c r="AC149" s="172"/>
      <x:c r="AD149" s="172"/>
      <x:c r="AE149" s="172"/>
      <x:c r="AF149" s="172"/>
      <x:c r="AG149" s="172"/>
      <x:c r="AH149" s="172"/>
      <x:c r="AI149" s="172"/>
      <x:c r="AJ149" s="172"/>
      <x:c r="AK149" s="172"/>
      <x:c r="AL149" s="172"/>
      <x:c r="AM149" s="172"/>
      <x:c r="AN149" s="172"/>
      <x:c r="AO149" s="172"/>
      <x:c r="AP149" s="172"/>
      <x:c r="AQ149" s="172"/>
      <x:c r="AR149" s="172"/>
      <x:c r="AS149" s="172"/>
      <x:c r="AT149" s="172"/>
      <x:c r="AU149" s="172"/>
      <x:c r="AV149" s="172"/>
      <x:c r="AW149" s="172"/>
      <x:c r="AX149" s="172"/>
      <x:c r="AY149" s="172"/>
      <x:c r="AZ149" s="172"/>
    </x:row>
    <x:row r="150" ht="23" customHeight="1">
      <x:c r="A150" s="175"/>
      <x:c r="B150" s="177"/>
      <x:c r="C150" s="177"/>
      <x:c r="D150" s="175"/>
      <x:c r="E150" s="175"/>
      <x:c r="F150" s="175"/>
      <x:c r="G150" s="175"/>
      <x:c r="H150" s="175"/>
      <x:c r="I150" s="175"/>
      <x:c r="J150" s="175"/>
      <x:c r="K150" s="212"/>
      <x:c r="L150" s="212"/>
      <x:c r="M150" s="175"/>
      <x:c r="N150" s="175"/>
      <x:c r="O150" s="175"/>
      <x:c r="P150" s="175"/>
      <x:c r="Q150" s="175"/>
      <x:c r="R150" s="212"/>
      <x:c r="S150" s="212"/>
      <x:c r="T150" s="212"/>
      <x:c r="U150" s="175"/>
      <x:c r="V150" s="175"/>
      <x:c r="W150" s="175"/>
      <x:c r="X150" s="175"/>
      <x:c r="Y150" s="175"/>
      <x:c r="Z150" s="175"/>
      <x:c r="AA150" s="172"/>
      <x:c r="AB150" s="172"/>
      <x:c r="AC150" s="172"/>
      <x:c r="AD150" s="172"/>
      <x:c r="AE150" s="172"/>
      <x:c r="AF150" s="172"/>
      <x:c r="AG150" s="172"/>
      <x:c r="AH150" s="172"/>
      <x:c r="AI150" s="172"/>
      <x:c r="AJ150" s="172"/>
      <x:c r="AK150" s="172"/>
      <x:c r="AL150" s="172"/>
      <x:c r="AM150" s="172"/>
      <x:c r="AN150" s="172"/>
      <x:c r="AO150" s="172"/>
      <x:c r="AP150" s="172"/>
      <x:c r="AQ150" s="172"/>
      <x:c r="AR150" s="172"/>
      <x:c r="AS150" s="172"/>
      <x:c r="AT150" s="172"/>
      <x:c r="AU150" s="172"/>
      <x:c r="AV150" s="172"/>
      <x:c r="AW150" s="172"/>
      <x:c r="AX150" s="172"/>
      <x:c r="AY150" s="172"/>
      <x:c r="AZ150" s="172"/>
    </x:row>
    <x:row r="151" ht="23" customHeight="1">
      <x:c r="A151" s="175"/>
      <x:c r="B151" s="177"/>
      <x:c r="C151" s="177"/>
      <x:c r="D151" s="175"/>
      <x:c r="E151" s="175"/>
      <x:c r="F151" s="175"/>
      <x:c r="G151" s="175"/>
      <x:c r="H151" s="175"/>
      <x:c r="I151" s="175"/>
      <x:c r="J151" s="175"/>
      <x:c r="K151" s="212"/>
      <x:c r="L151" s="212"/>
      <x:c r="M151" s="175"/>
      <x:c r="N151" s="175"/>
      <x:c r="O151" s="175"/>
      <x:c r="P151" s="175"/>
      <x:c r="Q151" s="175"/>
      <x:c r="R151" s="212"/>
      <x:c r="S151" s="212"/>
      <x:c r="T151" s="212"/>
      <x:c r="U151" s="175"/>
      <x:c r="V151" s="175"/>
      <x:c r="W151" s="175"/>
      <x:c r="X151" s="175"/>
      <x:c r="Y151" s="175"/>
      <x:c r="Z151" s="175"/>
      <x:c r="AA151" s="172"/>
      <x:c r="AB151" s="172"/>
      <x:c r="AC151" s="172"/>
      <x:c r="AD151" s="172"/>
      <x:c r="AE151" s="172"/>
      <x:c r="AF151" s="172"/>
      <x:c r="AG151" s="172"/>
      <x:c r="AH151" s="172"/>
      <x:c r="AI151" s="172"/>
      <x:c r="AJ151" s="172"/>
      <x:c r="AK151" s="172"/>
      <x:c r="AL151" s="172"/>
      <x:c r="AM151" s="172"/>
      <x:c r="AN151" s="172"/>
      <x:c r="AO151" s="172"/>
      <x:c r="AP151" s="172"/>
      <x:c r="AQ151" s="172"/>
      <x:c r="AR151" s="172"/>
      <x:c r="AS151" s="172"/>
      <x:c r="AT151" s="172"/>
      <x:c r="AU151" s="172"/>
      <x:c r="AV151" s="172"/>
      <x:c r="AW151" s="172"/>
      <x:c r="AX151" s="172"/>
      <x:c r="AY151" s="172"/>
      <x:c r="AZ151" s="172"/>
    </x:row>
    <x:row r="152" ht="23" customHeight="1">
      <x:c r="A152" s="175"/>
      <x:c r="B152" s="177"/>
      <x:c r="C152" s="177"/>
      <x:c r="D152" s="175"/>
      <x:c r="E152" s="175"/>
      <x:c r="F152" s="175"/>
      <x:c r="G152" s="175"/>
      <x:c r="H152" s="175"/>
      <x:c r="I152" s="175"/>
      <x:c r="J152" s="175"/>
      <x:c r="K152" s="212"/>
      <x:c r="L152" s="212"/>
      <x:c r="M152" s="175"/>
      <x:c r="N152" s="175"/>
      <x:c r="O152" s="175"/>
      <x:c r="P152" s="175"/>
      <x:c r="Q152" s="175"/>
      <x:c r="R152" s="212"/>
      <x:c r="S152" s="212"/>
      <x:c r="T152" s="212"/>
      <x:c r="U152" s="175"/>
      <x:c r="V152" s="175"/>
      <x:c r="W152" s="175"/>
      <x:c r="X152" s="175"/>
      <x:c r="Y152" s="175"/>
      <x:c r="Z152" s="175"/>
      <x:c r="AA152" s="172"/>
      <x:c r="AB152" s="172"/>
      <x:c r="AC152" s="172"/>
      <x:c r="AD152" s="172"/>
      <x:c r="AE152" s="172"/>
      <x:c r="AF152" s="172"/>
      <x:c r="AG152" s="172"/>
      <x:c r="AH152" s="172"/>
      <x:c r="AI152" s="172"/>
      <x:c r="AJ152" s="172"/>
      <x:c r="AK152" s="172"/>
      <x:c r="AL152" s="172"/>
      <x:c r="AM152" s="172"/>
      <x:c r="AN152" s="172"/>
      <x:c r="AO152" s="172"/>
      <x:c r="AP152" s="172"/>
      <x:c r="AQ152" s="172"/>
      <x:c r="AR152" s="172"/>
      <x:c r="AS152" s="172"/>
      <x:c r="AT152" s="172"/>
      <x:c r="AU152" s="172"/>
      <x:c r="AV152" s="172"/>
      <x:c r="AW152" s="172"/>
      <x:c r="AX152" s="172"/>
      <x:c r="AY152" s="172"/>
      <x:c r="AZ152" s="172"/>
    </x:row>
    <x:row r="153" ht="23" customHeight="1">
      <x:c r="A153" s="175"/>
      <x:c r="B153" s="177"/>
      <x:c r="C153" s="177"/>
      <x:c r="D153" s="175"/>
      <x:c r="E153" s="175"/>
      <x:c r="F153" s="175"/>
      <x:c r="G153" s="175"/>
      <x:c r="H153" s="175"/>
      <x:c r="I153" s="175"/>
      <x:c r="J153" s="175"/>
      <x:c r="K153" s="212"/>
      <x:c r="L153" s="212"/>
      <x:c r="M153" s="175"/>
      <x:c r="N153" s="175"/>
      <x:c r="O153" s="175"/>
      <x:c r="P153" s="175"/>
      <x:c r="Q153" s="175"/>
      <x:c r="R153" s="212"/>
      <x:c r="S153" s="212"/>
      <x:c r="T153" s="212"/>
      <x:c r="U153" s="175"/>
      <x:c r="V153" s="175"/>
      <x:c r="W153" s="175"/>
      <x:c r="X153" s="175"/>
      <x:c r="Y153" s="175"/>
      <x:c r="Z153" s="175"/>
      <x:c r="AA153" s="172"/>
      <x:c r="AB153" s="172"/>
      <x:c r="AC153" s="172"/>
      <x:c r="AD153" s="172"/>
      <x:c r="AE153" s="172"/>
      <x:c r="AF153" s="172"/>
      <x:c r="AG153" s="172"/>
      <x:c r="AH153" s="172"/>
      <x:c r="AI153" s="172"/>
      <x:c r="AJ153" s="172"/>
      <x:c r="AK153" s="172"/>
      <x:c r="AL153" s="172"/>
      <x:c r="AM153" s="172"/>
      <x:c r="AN153" s="172"/>
      <x:c r="AO153" s="172"/>
      <x:c r="AP153" s="172"/>
      <x:c r="AQ153" s="172"/>
      <x:c r="AR153" s="172"/>
      <x:c r="AS153" s="172"/>
      <x:c r="AT153" s="172"/>
      <x:c r="AU153" s="172"/>
      <x:c r="AV153" s="172"/>
      <x:c r="AW153" s="172"/>
      <x:c r="AX153" s="172"/>
      <x:c r="AY153" s="172"/>
      <x:c r="AZ153" s="172"/>
    </x:row>
    <x:row r="154" ht="23" customHeight="1">
      <x:c r="A154" s="175"/>
      <x:c r="B154" s="177"/>
      <x:c r="C154" s="177"/>
      <x:c r="D154" s="175"/>
      <x:c r="E154" s="175"/>
      <x:c r="F154" s="175"/>
      <x:c r="G154" s="175"/>
      <x:c r="H154" s="175"/>
      <x:c r="I154" s="175"/>
      <x:c r="J154" s="175"/>
      <x:c r="K154" s="212"/>
      <x:c r="L154" s="212"/>
      <x:c r="M154" s="175"/>
      <x:c r="N154" s="175"/>
      <x:c r="O154" s="175"/>
      <x:c r="P154" s="175"/>
      <x:c r="Q154" s="175"/>
      <x:c r="R154" s="212"/>
      <x:c r="S154" s="212"/>
      <x:c r="T154" s="212"/>
      <x:c r="U154" s="175"/>
      <x:c r="V154" s="175"/>
      <x:c r="W154" s="175"/>
      <x:c r="X154" s="175"/>
      <x:c r="Y154" s="175"/>
      <x:c r="Z154" s="175"/>
      <x:c r="AA154" s="172"/>
      <x:c r="AB154" s="172"/>
      <x:c r="AC154" s="172"/>
      <x:c r="AD154" s="172"/>
      <x:c r="AE154" s="172"/>
      <x:c r="AF154" s="172"/>
      <x:c r="AG154" s="172"/>
      <x:c r="AH154" s="172"/>
      <x:c r="AI154" s="172"/>
      <x:c r="AJ154" s="172"/>
      <x:c r="AK154" s="172"/>
      <x:c r="AL154" s="172"/>
      <x:c r="AM154" s="172"/>
      <x:c r="AN154" s="172"/>
      <x:c r="AO154" s="172"/>
      <x:c r="AP154" s="172"/>
      <x:c r="AQ154" s="172"/>
      <x:c r="AR154" s="172"/>
      <x:c r="AS154" s="172"/>
      <x:c r="AT154" s="172"/>
      <x:c r="AU154" s="172"/>
      <x:c r="AV154" s="172"/>
      <x:c r="AW154" s="172"/>
      <x:c r="AX154" s="172"/>
      <x:c r="AY154" s="172"/>
      <x:c r="AZ154" s="172"/>
    </x:row>
    <x:row r="155" ht="23" customHeight="1">
      <x:c r="A155" s="175"/>
      <x:c r="B155" s="177"/>
      <x:c r="C155" s="177"/>
      <x:c r="D155" s="175"/>
      <x:c r="E155" s="175"/>
      <x:c r="F155" s="175"/>
      <x:c r="G155" s="175"/>
      <x:c r="H155" s="175"/>
      <x:c r="I155" s="175"/>
      <x:c r="J155" s="175"/>
      <x:c r="K155" s="212"/>
      <x:c r="L155" s="212"/>
      <x:c r="M155" s="175"/>
      <x:c r="N155" s="175"/>
      <x:c r="O155" s="175"/>
      <x:c r="P155" s="175"/>
      <x:c r="Q155" s="175"/>
      <x:c r="R155" s="212"/>
      <x:c r="S155" s="212"/>
      <x:c r="T155" s="212"/>
      <x:c r="U155" s="175"/>
      <x:c r="V155" s="175"/>
      <x:c r="W155" s="175"/>
      <x:c r="X155" s="175"/>
      <x:c r="Y155" s="175"/>
      <x:c r="Z155" s="175"/>
      <x:c r="AA155" s="172"/>
      <x:c r="AB155" s="172"/>
      <x:c r="AC155" s="172"/>
      <x:c r="AD155" s="172"/>
      <x:c r="AE155" s="172"/>
      <x:c r="AF155" s="172"/>
      <x:c r="AG155" s="172"/>
      <x:c r="AH155" s="172"/>
      <x:c r="AI155" s="172"/>
      <x:c r="AJ155" s="172"/>
      <x:c r="AK155" s="172"/>
      <x:c r="AL155" s="172"/>
      <x:c r="AM155" s="172"/>
      <x:c r="AN155" s="172"/>
      <x:c r="AO155" s="172"/>
      <x:c r="AP155" s="172"/>
      <x:c r="AQ155" s="172"/>
      <x:c r="AR155" s="172"/>
      <x:c r="AS155" s="172"/>
      <x:c r="AT155" s="172"/>
      <x:c r="AU155" s="172"/>
      <x:c r="AV155" s="172"/>
      <x:c r="AW155" s="172"/>
      <x:c r="AX155" s="172"/>
      <x:c r="AY155" s="172"/>
      <x:c r="AZ155" s="172"/>
    </x:row>
    <x:row r="156" ht="23" customHeight="1">
      <x:c r="A156" s="175"/>
      <x:c r="B156" s="177"/>
      <x:c r="C156" s="177"/>
      <x:c r="D156" s="175"/>
      <x:c r="E156" s="175"/>
      <x:c r="F156" s="175"/>
      <x:c r="G156" s="175"/>
      <x:c r="H156" s="175"/>
      <x:c r="I156" s="175"/>
      <x:c r="J156" s="175"/>
      <x:c r="K156" s="212"/>
      <x:c r="L156" s="212"/>
      <x:c r="M156" s="175"/>
      <x:c r="N156" s="175"/>
      <x:c r="O156" s="175"/>
      <x:c r="P156" s="175"/>
      <x:c r="Q156" s="175"/>
      <x:c r="R156" s="212"/>
      <x:c r="S156" s="212"/>
      <x:c r="T156" s="212"/>
      <x:c r="U156" s="175"/>
      <x:c r="V156" s="175"/>
      <x:c r="W156" s="175"/>
      <x:c r="X156" s="175"/>
      <x:c r="Y156" s="175"/>
      <x:c r="Z156" s="175"/>
      <x:c r="AA156" s="172"/>
      <x:c r="AB156" s="172"/>
      <x:c r="AC156" s="172"/>
      <x:c r="AD156" s="172"/>
      <x:c r="AE156" s="172"/>
      <x:c r="AF156" s="172"/>
      <x:c r="AG156" s="172"/>
      <x:c r="AH156" s="172"/>
      <x:c r="AI156" s="172"/>
      <x:c r="AJ156" s="172"/>
      <x:c r="AK156" s="172"/>
      <x:c r="AL156" s="172"/>
      <x:c r="AM156" s="172"/>
      <x:c r="AN156" s="172"/>
      <x:c r="AO156" s="172"/>
      <x:c r="AP156" s="172"/>
      <x:c r="AQ156" s="172"/>
      <x:c r="AR156" s="172"/>
      <x:c r="AS156" s="172"/>
      <x:c r="AT156" s="172"/>
      <x:c r="AU156" s="172"/>
      <x:c r="AV156" s="172"/>
      <x:c r="AW156" s="172"/>
      <x:c r="AX156" s="172"/>
      <x:c r="AY156" s="172"/>
      <x:c r="AZ156" s="172"/>
    </x:row>
    <x:row r="157" ht="23" customHeight="1">
      <x:c r="A157" s="175"/>
      <x:c r="B157" s="177"/>
      <x:c r="C157" s="177"/>
      <x:c r="D157" s="175"/>
      <x:c r="E157" s="175"/>
      <x:c r="F157" s="175"/>
      <x:c r="G157" s="175"/>
      <x:c r="H157" s="175"/>
      <x:c r="I157" s="175"/>
      <x:c r="J157" s="175"/>
      <x:c r="K157" s="212"/>
      <x:c r="L157" s="212"/>
      <x:c r="M157" s="175"/>
      <x:c r="N157" s="175"/>
      <x:c r="O157" s="175"/>
      <x:c r="P157" s="175"/>
      <x:c r="Q157" s="175"/>
      <x:c r="R157" s="212"/>
      <x:c r="S157" s="212"/>
      <x:c r="T157" s="212"/>
      <x:c r="U157" s="175"/>
      <x:c r="V157" s="175"/>
      <x:c r="W157" s="175"/>
      <x:c r="X157" s="175"/>
      <x:c r="Y157" s="175"/>
      <x:c r="Z157" s="175"/>
      <x:c r="AA157" s="172"/>
      <x:c r="AB157" s="172"/>
      <x:c r="AC157" s="172"/>
      <x:c r="AD157" s="172"/>
      <x:c r="AE157" s="172"/>
      <x:c r="AF157" s="172"/>
      <x:c r="AG157" s="172"/>
      <x:c r="AH157" s="172"/>
      <x:c r="AI157" s="172"/>
      <x:c r="AJ157" s="172"/>
      <x:c r="AK157" s="172"/>
      <x:c r="AL157" s="172"/>
      <x:c r="AM157" s="172"/>
      <x:c r="AN157" s="172"/>
      <x:c r="AO157" s="172"/>
      <x:c r="AP157" s="172"/>
      <x:c r="AQ157" s="172"/>
      <x:c r="AR157" s="172"/>
      <x:c r="AS157" s="172"/>
      <x:c r="AT157" s="172"/>
      <x:c r="AU157" s="172"/>
      <x:c r="AV157" s="172"/>
      <x:c r="AW157" s="172"/>
      <x:c r="AX157" s="172"/>
      <x:c r="AY157" s="172"/>
      <x:c r="AZ157" s="172"/>
    </x:row>
    <x:row r="158" ht="23" customHeight="1">
      <x:c r="A158" s="175"/>
      <x:c r="B158" s="177"/>
      <x:c r="C158" s="177"/>
      <x:c r="D158" s="175"/>
      <x:c r="E158" s="175"/>
      <x:c r="F158" s="175"/>
      <x:c r="G158" s="175"/>
      <x:c r="H158" s="175"/>
      <x:c r="I158" s="175"/>
      <x:c r="J158" s="175"/>
      <x:c r="K158" s="212"/>
      <x:c r="L158" s="212"/>
      <x:c r="M158" s="175"/>
      <x:c r="N158" s="175"/>
      <x:c r="O158" s="175"/>
      <x:c r="P158" s="175"/>
      <x:c r="Q158" s="175"/>
      <x:c r="R158" s="212"/>
      <x:c r="S158" s="212"/>
      <x:c r="T158" s="212"/>
      <x:c r="U158" s="175"/>
      <x:c r="V158" s="175"/>
      <x:c r="W158" s="175"/>
      <x:c r="X158" s="175"/>
      <x:c r="Y158" s="175"/>
      <x:c r="Z158" s="175"/>
      <x:c r="AA158" s="172"/>
      <x:c r="AB158" s="172"/>
      <x:c r="AC158" s="172"/>
      <x:c r="AD158" s="172"/>
      <x:c r="AE158" s="172"/>
      <x:c r="AF158" s="172"/>
      <x:c r="AG158" s="172"/>
      <x:c r="AH158" s="172"/>
      <x:c r="AI158" s="172"/>
      <x:c r="AJ158" s="172"/>
      <x:c r="AK158" s="172"/>
      <x:c r="AL158" s="172"/>
      <x:c r="AM158" s="172"/>
      <x:c r="AN158" s="172"/>
      <x:c r="AO158" s="172"/>
      <x:c r="AP158" s="172"/>
      <x:c r="AQ158" s="172"/>
      <x:c r="AR158" s="172"/>
      <x:c r="AS158" s="172"/>
      <x:c r="AT158" s="172"/>
      <x:c r="AU158" s="172"/>
      <x:c r="AV158" s="172"/>
      <x:c r="AW158" s="172"/>
      <x:c r="AX158" s="172"/>
      <x:c r="AY158" s="172"/>
      <x:c r="AZ158" s="172"/>
    </x:row>
    <x:row r="159" ht="23" customHeight="1">
      <x:c r="A159" s="175"/>
      <x:c r="B159" s="177"/>
      <x:c r="C159" s="177"/>
      <x:c r="D159" s="175"/>
      <x:c r="E159" s="175"/>
      <x:c r="F159" s="175"/>
      <x:c r="G159" s="175"/>
      <x:c r="H159" s="175"/>
      <x:c r="I159" s="175"/>
      <x:c r="J159" s="175"/>
      <x:c r="K159" s="212"/>
      <x:c r="L159" s="212"/>
      <x:c r="M159" s="175"/>
      <x:c r="N159" s="175"/>
      <x:c r="O159" s="175"/>
      <x:c r="P159" s="175"/>
      <x:c r="Q159" s="175"/>
      <x:c r="R159" s="212"/>
      <x:c r="S159" s="212"/>
      <x:c r="T159" s="212"/>
      <x:c r="U159" s="175"/>
      <x:c r="V159" s="175"/>
      <x:c r="W159" s="175"/>
      <x:c r="X159" s="175"/>
      <x:c r="Y159" s="175"/>
      <x:c r="Z159" s="175"/>
      <x:c r="AA159" s="172"/>
      <x:c r="AB159" s="172"/>
      <x:c r="AC159" s="172"/>
      <x:c r="AD159" s="172"/>
      <x:c r="AE159" s="172"/>
      <x:c r="AF159" s="172"/>
      <x:c r="AG159" s="172"/>
      <x:c r="AH159" s="172"/>
      <x:c r="AI159" s="172"/>
      <x:c r="AJ159" s="172"/>
      <x:c r="AK159" s="172"/>
      <x:c r="AL159" s="172"/>
      <x:c r="AM159" s="172"/>
      <x:c r="AN159" s="172"/>
      <x:c r="AO159" s="172"/>
      <x:c r="AP159" s="172"/>
      <x:c r="AQ159" s="172"/>
      <x:c r="AR159" s="172"/>
      <x:c r="AS159" s="172"/>
      <x:c r="AT159" s="172"/>
      <x:c r="AU159" s="172"/>
      <x:c r="AV159" s="172"/>
      <x:c r="AW159" s="172"/>
      <x:c r="AX159" s="172"/>
      <x:c r="AY159" s="172"/>
      <x:c r="AZ159" s="172"/>
    </x:row>
    <x:row r="160" ht="23" customHeight="1">
      <x:c r="A160" s="175"/>
      <x:c r="B160" s="177"/>
      <x:c r="C160" s="177"/>
      <x:c r="D160" s="175"/>
      <x:c r="E160" s="175"/>
      <x:c r="F160" s="175"/>
      <x:c r="G160" s="175"/>
      <x:c r="H160" s="175"/>
      <x:c r="I160" s="175"/>
      <x:c r="J160" s="175"/>
      <x:c r="K160" s="212"/>
      <x:c r="L160" s="212"/>
      <x:c r="M160" s="175"/>
      <x:c r="N160" s="175"/>
      <x:c r="O160" s="175"/>
      <x:c r="P160" s="175"/>
      <x:c r="Q160" s="175"/>
      <x:c r="R160" s="212"/>
      <x:c r="S160" s="212"/>
      <x:c r="T160" s="212"/>
      <x:c r="U160" s="175"/>
      <x:c r="V160" s="175"/>
      <x:c r="W160" s="175"/>
      <x:c r="X160" s="175"/>
      <x:c r="Y160" s="175"/>
      <x:c r="Z160" s="175"/>
      <x:c r="AA160" s="172"/>
      <x:c r="AB160" s="172"/>
      <x:c r="AC160" s="172"/>
      <x:c r="AD160" s="172"/>
      <x:c r="AE160" s="172"/>
      <x:c r="AF160" s="172"/>
      <x:c r="AG160" s="172"/>
      <x:c r="AH160" s="172"/>
      <x:c r="AI160" s="172"/>
      <x:c r="AJ160" s="172"/>
      <x:c r="AK160" s="172"/>
      <x:c r="AL160" s="172"/>
      <x:c r="AM160" s="172"/>
      <x:c r="AN160" s="172"/>
      <x:c r="AO160" s="172"/>
      <x:c r="AP160" s="172"/>
      <x:c r="AQ160" s="172"/>
      <x:c r="AR160" s="172"/>
      <x:c r="AS160" s="172"/>
      <x:c r="AT160" s="172"/>
      <x:c r="AU160" s="172"/>
      <x:c r="AV160" s="172"/>
      <x:c r="AW160" s="172"/>
      <x:c r="AX160" s="172"/>
      <x:c r="AY160" s="172"/>
      <x:c r="AZ160" s="172"/>
    </x:row>
    <x:row r="161" ht="23" customHeight="1">
      <x:c r="A161" s="175"/>
      <x:c r="B161" s="177"/>
      <x:c r="C161" s="177"/>
      <x:c r="D161" s="175"/>
      <x:c r="E161" s="175"/>
      <x:c r="F161" s="175"/>
      <x:c r="G161" s="175"/>
      <x:c r="H161" s="175"/>
      <x:c r="I161" s="175"/>
      <x:c r="J161" s="175"/>
      <x:c r="K161" s="212"/>
      <x:c r="L161" s="212"/>
      <x:c r="M161" s="175"/>
      <x:c r="N161" s="175"/>
      <x:c r="O161" s="175"/>
      <x:c r="P161" s="175"/>
      <x:c r="Q161" s="175"/>
      <x:c r="R161" s="212"/>
      <x:c r="S161" s="212"/>
      <x:c r="T161" s="212"/>
      <x:c r="U161" s="175"/>
      <x:c r="V161" s="175"/>
      <x:c r="W161" s="175"/>
      <x:c r="X161" s="175"/>
      <x:c r="Y161" s="175"/>
      <x:c r="Z161" s="175"/>
      <x:c r="AA161" s="172"/>
      <x:c r="AB161" s="172"/>
      <x:c r="AC161" s="172"/>
      <x:c r="AD161" s="172"/>
      <x:c r="AE161" s="172"/>
      <x:c r="AF161" s="172"/>
      <x:c r="AG161" s="172"/>
      <x:c r="AH161" s="172"/>
      <x:c r="AI161" s="172"/>
      <x:c r="AJ161" s="172"/>
      <x:c r="AK161" s="172"/>
      <x:c r="AL161" s="172"/>
      <x:c r="AM161" s="172"/>
      <x:c r="AN161" s="172"/>
      <x:c r="AO161" s="172"/>
      <x:c r="AP161" s="172"/>
      <x:c r="AQ161" s="172"/>
      <x:c r="AR161" s="172"/>
      <x:c r="AS161" s="172"/>
      <x:c r="AT161" s="172"/>
      <x:c r="AU161" s="172"/>
      <x:c r="AV161" s="172"/>
      <x:c r="AW161" s="172"/>
      <x:c r="AX161" s="172"/>
      <x:c r="AY161" s="172"/>
      <x:c r="AZ161" s="172"/>
    </x:row>
    <x:row r="162" ht="23" customHeight="1">
      <x:c r="A162" s="175"/>
      <x:c r="B162" s="177"/>
      <x:c r="C162" s="177"/>
      <x:c r="D162" s="175"/>
      <x:c r="E162" s="175"/>
      <x:c r="F162" s="175"/>
      <x:c r="G162" s="175"/>
      <x:c r="H162" s="175"/>
      <x:c r="I162" s="175"/>
      <x:c r="J162" s="175"/>
      <x:c r="K162" s="212"/>
      <x:c r="L162" s="212"/>
      <x:c r="M162" s="175"/>
      <x:c r="N162" s="175"/>
      <x:c r="O162" s="175"/>
      <x:c r="P162" s="175"/>
      <x:c r="Q162" s="175"/>
      <x:c r="R162" s="212"/>
      <x:c r="S162" s="212"/>
      <x:c r="T162" s="212"/>
      <x:c r="U162" s="175"/>
      <x:c r="V162" s="175"/>
      <x:c r="W162" s="175"/>
      <x:c r="X162" s="175"/>
      <x:c r="Y162" s="175"/>
      <x:c r="Z162" s="175"/>
      <x:c r="AA162" s="172"/>
      <x:c r="AB162" s="172"/>
      <x:c r="AC162" s="172"/>
      <x:c r="AD162" s="172"/>
      <x:c r="AE162" s="172"/>
      <x:c r="AF162" s="172"/>
      <x:c r="AG162" s="172"/>
      <x:c r="AH162" s="172"/>
      <x:c r="AI162" s="172"/>
      <x:c r="AJ162" s="172"/>
      <x:c r="AK162" s="172"/>
      <x:c r="AL162" s="172"/>
      <x:c r="AM162" s="172"/>
      <x:c r="AN162" s="172"/>
      <x:c r="AO162" s="172"/>
      <x:c r="AP162" s="172"/>
      <x:c r="AQ162" s="172"/>
      <x:c r="AR162" s="172"/>
      <x:c r="AS162" s="172"/>
      <x:c r="AT162" s="172"/>
      <x:c r="AU162" s="172"/>
      <x:c r="AV162" s="172"/>
      <x:c r="AW162" s="172"/>
      <x:c r="AX162" s="172"/>
      <x:c r="AY162" s="172"/>
      <x:c r="AZ162" s="172"/>
    </x:row>
    <x:row r="163" ht="23" customHeight="1">
      <x:c r="A163" s="175"/>
      <x:c r="B163" s="177"/>
      <x:c r="C163" s="177"/>
      <x:c r="D163" s="175"/>
      <x:c r="E163" s="175"/>
      <x:c r="F163" s="175"/>
      <x:c r="G163" s="175"/>
      <x:c r="H163" s="175"/>
      <x:c r="I163" s="175"/>
      <x:c r="J163" s="175"/>
      <x:c r="K163" s="212"/>
      <x:c r="L163" s="212"/>
      <x:c r="M163" s="175"/>
      <x:c r="N163" s="175"/>
      <x:c r="O163" s="175"/>
      <x:c r="P163" s="175"/>
      <x:c r="Q163" s="175"/>
      <x:c r="R163" s="212"/>
      <x:c r="S163" s="212"/>
      <x:c r="T163" s="212"/>
      <x:c r="U163" s="175"/>
      <x:c r="V163" s="175"/>
      <x:c r="W163" s="175"/>
      <x:c r="X163" s="175"/>
      <x:c r="Y163" s="175"/>
      <x:c r="Z163" s="175"/>
      <x:c r="AA163" s="172"/>
      <x:c r="AB163" s="172"/>
      <x:c r="AC163" s="172"/>
      <x:c r="AD163" s="172"/>
      <x:c r="AE163" s="172"/>
      <x:c r="AF163" s="172"/>
      <x:c r="AG163" s="172"/>
      <x:c r="AH163" s="172"/>
      <x:c r="AI163" s="172"/>
      <x:c r="AJ163" s="172"/>
      <x:c r="AK163" s="172"/>
      <x:c r="AL163" s="172"/>
      <x:c r="AM163" s="172"/>
      <x:c r="AN163" s="172"/>
      <x:c r="AO163" s="172"/>
      <x:c r="AP163" s="172"/>
      <x:c r="AQ163" s="172"/>
      <x:c r="AR163" s="172"/>
      <x:c r="AS163" s="172"/>
      <x:c r="AT163" s="172"/>
      <x:c r="AU163" s="172"/>
      <x:c r="AV163" s="172"/>
      <x:c r="AW163" s="172"/>
      <x:c r="AX163" s="172"/>
      <x:c r="AY163" s="172"/>
      <x:c r="AZ163" s="172"/>
    </x:row>
    <x:row r="164" ht="23" customHeight="1">
      <x:c r="A164" s="175"/>
      <x:c r="B164" s="177"/>
      <x:c r="C164" s="177"/>
      <x:c r="D164" s="175"/>
      <x:c r="E164" s="175"/>
      <x:c r="F164" s="175"/>
      <x:c r="G164" s="175"/>
      <x:c r="H164" s="175"/>
      <x:c r="I164" s="175"/>
      <x:c r="J164" s="175"/>
      <x:c r="K164" s="212"/>
      <x:c r="L164" s="212"/>
      <x:c r="M164" s="175"/>
      <x:c r="N164" s="175"/>
      <x:c r="O164" s="175"/>
      <x:c r="P164" s="175"/>
      <x:c r="Q164" s="175"/>
      <x:c r="R164" s="212"/>
      <x:c r="S164" s="212"/>
      <x:c r="T164" s="212"/>
      <x:c r="U164" s="175"/>
      <x:c r="V164" s="175"/>
      <x:c r="W164" s="175"/>
      <x:c r="X164" s="175"/>
      <x:c r="Y164" s="175"/>
      <x:c r="Z164" s="175"/>
      <x:c r="AA164" s="172"/>
      <x:c r="AB164" s="172"/>
      <x:c r="AC164" s="172"/>
      <x:c r="AD164" s="172"/>
      <x:c r="AE164" s="172"/>
      <x:c r="AF164" s="172"/>
      <x:c r="AG164" s="172"/>
      <x:c r="AH164" s="172"/>
      <x:c r="AI164" s="172"/>
      <x:c r="AJ164" s="172"/>
      <x:c r="AK164" s="172"/>
      <x:c r="AL164" s="172"/>
      <x:c r="AM164" s="172"/>
      <x:c r="AN164" s="172"/>
      <x:c r="AO164" s="172"/>
      <x:c r="AP164" s="172"/>
      <x:c r="AQ164" s="172"/>
      <x:c r="AR164" s="172"/>
      <x:c r="AS164" s="172"/>
      <x:c r="AT164" s="172"/>
      <x:c r="AU164" s="172"/>
      <x:c r="AV164" s="172"/>
      <x:c r="AW164" s="172"/>
      <x:c r="AX164" s="172"/>
      <x:c r="AY164" s="172"/>
      <x:c r="AZ164" s="172"/>
    </x:row>
    <x:row r="165" ht="23" customHeight="1">
      <x:c r="A165" s="175"/>
      <x:c r="B165" s="177"/>
      <x:c r="C165" s="177"/>
      <x:c r="D165" s="175"/>
      <x:c r="E165" s="175"/>
      <x:c r="F165" s="175"/>
      <x:c r="G165" s="175"/>
      <x:c r="H165" s="175"/>
      <x:c r="I165" s="175"/>
      <x:c r="J165" s="175"/>
      <x:c r="K165" s="212"/>
      <x:c r="L165" s="212"/>
      <x:c r="M165" s="175"/>
      <x:c r="N165" s="175"/>
      <x:c r="O165" s="175"/>
      <x:c r="P165" s="175"/>
      <x:c r="Q165" s="175"/>
      <x:c r="R165" s="212"/>
      <x:c r="S165" s="212"/>
      <x:c r="T165" s="212"/>
      <x:c r="U165" s="175"/>
      <x:c r="V165" s="175"/>
      <x:c r="W165" s="175"/>
      <x:c r="X165" s="175"/>
      <x:c r="Y165" s="175"/>
      <x:c r="Z165" s="175"/>
      <x:c r="AA165" s="172"/>
      <x:c r="AB165" s="172"/>
      <x:c r="AC165" s="172"/>
      <x:c r="AD165" s="172"/>
      <x:c r="AE165" s="172"/>
      <x:c r="AF165" s="172"/>
      <x:c r="AG165" s="172"/>
      <x:c r="AH165" s="172"/>
      <x:c r="AI165" s="172"/>
      <x:c r="AJ165" s="172"/>
      <x:c r="AK165" s="172"/>
      <x:c r="AL165" s="172"/>
      <x:c r="AM165" s="172"/>
      <x:c r="AN165" s="172"/>
      <x:c r="AO165" s="172"/>
      <x:c r="AP165" s="172"/>
      <x:c r="AQ165" s="172"/>
      <x:c r="AR165" s="172"/>
      <x:c r="AS165" s="172"/>
      <x:c r="AT165" s="172"/>
      <x:c r="AU165" s="172"/>
      <x:c r="AV165" s="172"/>
      <x:c r="AW165" s="172"/>
      <x:c r="AX165" s="172"/>
      <x:c r="AY165" s="172"/>
      <x:c r="AZ165" s="172"/>
    </x:row>
    <x:row r="166" ht="23" customHeight="1">
      <x:c r="A166" s="175"/>
      <x:c r="B166" s="177"/>
      <x:c r="C166" s="177"/>
      <x:c r="D166" s="175"/>
      <x:c r="E166" s="175"/>
      <x:c r="F166" s="175"/>
      <x:c r="G166" s="175"/>
      <x:c r="H166" s="175"/>
      <x:c r="I166" s="175"/>
      <x:c r="J166" s="175"/>
      <x:c r="K166" s="212"/>
      <x:c r="L166" s="212"/>
      <x:c r="M166" s="175"/>
      <x:c r="N166" s="175"/>
      <x:c r="O166" s="175"/>
      <x:c r="P166" s="175"/>
      <x:c r="Q166" s="175"/>
      <x:c r="R166" s="212"/>
      <x:c r="S166" s="212"/>
      <x:c r="T166" s="212"/>
      <x:c r="U166" s="175"/>
      <x:c r="V166" s="175"/>
      <x:c r="W166" s="175"/>
      <x:c r="X166" s="175"/>
      <x:c r="Y166" s="175"/>
      <x:c r="Z166" s="175"/>
      <x:c r="AA166" s="172"/>
      <x:c r="AB166" s="172"/>
      <x:c r="AC166" s="172"/>
      <x:c r="AD166" s="172"/>
      <x:c r="AE166" s="172"/>
      <x:c r="AF166" s="172"/>
      <x:c r="AG166" s="172"/>
      <x:c r="AH166" s="172"/>
      <x:c r="AI166" s="172"/>
      <x:c r="AJ166" s="172"/>
      <x:c r="AK166" s="172"/>
      <x:c r="AL166" s="172"/>
      <x:c r="AM166" s="172"/>
      <x:c r="AN166" s="172"/>
      <x:c r="AO166" s="172"/>
      <x:c r="AP166" s="172"/>
      <x:c r="AQ166" s="172"/>
      <x:c r="AR166" s="172"/>
      <x:c r="AS166" s="172"/>
      <x:c r="AT166" s="172"/>
      <x:c r="AU166" s="172"/>
      <x:c r="AV166" s="172"/>
      <x:c r="AW166" s="172"/>
      <x:c r="AX166" s="172"/>
      <x:c r="AY166" s="172"/>
      <x:c r="AZ166" s="172"/>
    </x:row>
    <x:row r="167" ht="23" customHeight="1">
      <x:c r="A167" s="175"/>
      <x:c r="B167" s="177"/>
      <x:c r="C167" s="177"/>
      <x:c r="D167" s="175"/>
      <x:c r="E167" s="175"/>
      <x:c r="F167" s="175"/>
      <x:c r="G167" s="175"/>
      <x:c r="H167" s="175"/>
      <x:c r="I167" s="175"/>
      <x:c r="J167" s="175"/>
      <x:c r="K167" s="212"/>
      <x:c r="L167" s="212"/>
      <x:c r="M167" s="175"/>
      <x:c r="N167" s="175"/>
      <x:c r="O167" s="175"/>
      <x:c r="P167" s="175"/>
      <x:c r="Q167" s="175"/>
      <x:c r="R167" s="212"/>
      <x:c r="S167" s="212"/>
      <x:c r="T167" s="212"/>
      <x:c r="U167" s="175"/>
      <x:c r="V167" s="175"/>
      <x:c r="W167" s="175"/>
      <x:c r="X167" s="175"/>
      <x:c r="Y167" s="175"/>
      <x:c r="Z167" s="175"/>
      <x:c r="AA167" s="172"/>
      <x:c r="AB167" s="172"/>
      <x:c r="AC167" s="172"/>
      <x:c r="AD167" s="172"/>
      <x:c r="AE167" s="172"/>
      <x:c r="AF167" s="172"/>
      <x:c r="AG167" s="172"/>
      <x:c r="AH167" s="172"/>
      <x:c r="AI167" s="172"/>
      <x:c r="AJ167" s="172"/>
      <x:c r="AK167" s="172"/>
      <x:c r="AL167" s="172"/>
      <x:c r="AM167" s="172"/>
      <x:c r="AN167" s="172"/>
      <x:c r="AO167" s="172"/>
      <x:c r="AP167" s="172"/>
      <x:c r="AQ167" s="172"/>
      <x:c r="AR167" s="172"/>
      <x:c r="AS167" s="172"/>
      <x:c r="AT167" s="172"/>
      <x:c r="AU167" s="172"/>
      <x:c r="AV167" s="172"/>
      <x:c r="AW167" s="172"/>
      <x:c r="AX167" s="172"/>
      <x:c r="AY167" s="172"/>
      <x:c r="AZ167" s="172"/>
    </x:row>
    <x:row r="168" ht="23" customHeight="1">
      <x:c r="A168" s="175"/>
      <x:c r="B168" s="177"/>
      <x:c r="C168" s="177"/>
      <x:c r="D168" s="175"/>
      <x:c r="E168" s="175"/>
      <x:c r="F168" s="175"/>
      <x:c r="G168" s="175"/>
      <x:c r="H168" s="175"/>
      <x:c r="I168" s="175"/>
      <x:c r="J168" s="175"/>
      <x:c r="K168" s="212"/>
      <x:c r="L168" s="212"/>
      <x:c r="M168" s="175"/>
      <x:c r="N168" s="175"/>
      <x:c r="O168" s="175"/>
      <x:c r="P168" s="175"/>
      <x:c r="Q168" s="175"/>
      <x:c r="R168" s="212"/>
      <x:c r="S168" s="212"/>
      <x:c r="T168" s="212"/>
      <x:c r="U168" s="175"/>
      <x:c r="V168" s="175"/>
      <x:c r="W168" s="175"/>
      <x:c r="X168" s="175"/>
      <x:c r="Y168" s="175"/>
      <x:c r="Z168" s="175"/>
      <x:c r="AA168" s="172"/>
      <x:c r="AB168" s="172"/>
      <x:c r="AC168" s="172"/>
      <x:c r="AD168" s="172"/>
      <x:c r="AE168" s="172"/>
      <x:c r="AF168" s="172"/>
      <x:c r="AG168" s="172"/>
      <x:c r="AH168" s="172"/>
      <x:c r="AI168" s="172"/>
      <x:c r="AJ168" s="172"/>
      <x:c r="AK168" s="172"/>
      <x:c r="AL168" s="172"/>
      <x:c r="AM168" s="172"/>
      <x:c r="AN168" s="172"/>
      <x:c r="AO168" s="172"/>
      <x:c r="AP168" s="172"/>
      <x:c r="AQ168" s="172"/>
      <x:c r="AR168" s="172"/>
      <x:c r="AS168" s="172"/>
      <x:c r="AT168" s="172"/>
      <x:c r="AU168" s="172"/>
      <x:c r="AV168" s="172"/>
      <x:c r="AW168" s="172"/>
      <x:c r="AX168" s="172"/>
      <x:c r="AY168" s="172"/>
      <x:c r="AZ168" s="172"/>
    </x:row>
    <x:row r="169" ht="23" customHeight="1">
      <x:c r="A169" s="175"/>
      <x:c r="B169" s="177"/>
      <x:c r="C169" s="177"/>
      <x:c r="D169" s="175"/>
      <x:c r="E169" s="175"/>
      <x:c r="F169" s="175"/>
      <x:c r="G169" s="175"/>
      <x:c r="H169" s="175"/>
      <x:c r="I169" s="175"/>
      <x:c r="J169" s="175"/>
      <x:c r="K169" s="212"/>
      <x:c r="L169" s="212"/>
      <x:c r="M169" s="175"/>
      <x:c r="N169" s="175"/>
      <x:c r="O169" s="175"/>
      <x:c r="P169" s="175"/>
      <x:c r="Q169" s="175"/>
      <x:c r="R169" s="212"/>
      <x:c r="S169" s="212"/>
      <x:c r="T169" s="212"/>
      <x:c r="U169" s="175"/>
      <x:c r="V169" s="175"/>
      <x:c r="W169" s="175"/>
      <x:c r="X169" s="175"/>
      <x:c r="Y169" s="175"/>
      <x:c r="Z169" s="175"/>
      <x:c r="AA169" s="172"/>
      <x:c r="AB169" s="172"/>
      <x:c r="AC169" s="172"/>
      <x:c r="AD169" s="172"/>
      <x:c r="AE169" s="172"/>
      <x:c r="AF169" s="172"/>
      <x:c r="AG169" s="172"/>
      <x:c r="AH169" s="172"/>
      <x:c r="AI169" s="172"/>
      <x:c r="AJ169" s="172"/>
      <x:c r="AK169" s="172"/>
      <x:c r="AL169" s="172"/>
      <x:c r="AM169" s="172"/>
      <x:c r="AN169" s="172"/>
      <x:c r="AO169" s="172"/>
      <x:c r="AP169" s="172"/>
      <x:c r="AQ169" s="172"/>
      <x:c r="AR169" s="172"/>
      <x:c r="AS169" s="172"/>
      <x:c r="AT169" s="172"/>
      <x:c r="AU169" s="172"/>
      <x:c r="AV169" s="172"/>
      <x:c r="AW169" s="172"/>
      <x:c r="AX169" s="172"/>
      <x:c r="AY169" s="172"/>
      <x:c r="AZ169" s="172"/>
    </x:row>
    <x:row r="170" ht="23" customHeight="1">
      <x:c r="A170" s="175"/>
      <x:c r="B170" s="177"/>
      <x:c r="C170" s="177"/>
      <x:c r="D170" s="175"/>
      <x:c r="E170" s="175"/>
      <x:c r="F170" s="175"/>
      <x:c r="G170" s="175"/>
      <x:c r="H170" s="175"/>
      <x:c r="I170" s="175"/>
      <x:c r="J170" s="175"/>
      <x:c r="K170" s="212"/>
      <x:c r="L170" s="212"/>
      <x:c r="M170" s="175"/>
      <x:c r="N170" s="175"/>
      <x:c r="O170" s="175"/>
      <x:c r="P170" s="175"/>
      <x:c r="Q170" s="175"/>
      <x:c r="R170" s="212"/>
      <x:c r="S170" s="212"/>
      <x:c r="T170" s="212"/>
      <x:c r="U170" s="175"/>
      <x:c r="V170" s="175"/>
      <x:c r="W170" s="175"/>
      <x:c r="X170" s="175"/>
      <x:c r="Y170" s="175"/>
      <x:c r="Z170" s="175"/>
      <x:c r="AA170" s="172"/>
      <x:c r="AB170" s="172"/>
      <x:c r="AC170" s="172"/>
      <x:c r="AD170" s="172"/>
      <x:c r="AE170" s="172"/>
      <x:c r="AF170" s="172"/>
      <x:c r="AG170" s="172"/>
      <x:c r="AH170" s="172"/>
      <x:c r="AI170" s="172"/>
      <x:c r="AJ170" s="172"/>
      <x:c r="AK170" s="172"/>
      <x:c r="AL170" s="172"/>
      <x:c r="AM170" s="172"/>
      <x:c r="AN170" s="172"/>
      <x:c r="AO170" s="172"/>
      <x:c r="AP170" s="172"/>
      <x:c r="AQ170" s="172"/>
      <x:c r="AR170" s="172"/>
      <x:c r="AS170" s="172"/>
      <x:c r="AT170" s="172"/>
      <x:c r="AU170" s="172"/>
      <x:c r="AV170" s="172"/>
      <x:c r="AW170" s="172"/>
      <x:c r="AX170" s="172"/>
      <x:c r="AY170" s="172"/>
      <x:c r="AZ170" s="172"/>
    </x:row>
    <x:row r="171" ht="23" customHeight="1">
      <x:c r="A171" s="175"/>
      <x:c r="B171" s="177"/>
      <x:c r="C171" s="177"/>
      <x:c r="D171" s="175"/>
      <x:c r="E171" s="175"/>
      <x:c r="F171" s="175"/>
      <x:c r="G171" s="175"/>
      <x:c r="H171" s="175"/>
      <x:c r="I171" s="175"/>
      <x:c r="J171" s="175"/>
      <x:c r="K171" s="212"/>
      <x:c r="L171" s="212"/>
      <x:c r="M171" s="175"/>
      <x:c r="N171" s="175"/>
      <x:c r="O171" s="175"/>
      <x:c r="P171" s="175"/>
      <x:c r="Q171" s="175"/>
      <x:c r="R171" s="212"/>
      <x:c r="S171" s="212"/>
      <x:c r="T171" s="212"/>
      <x:c r="U171" s="175"/>
      <x:c r="V171" s="175"/>
      <x:c r="W171" s="175"/>
      <x:c r="X171" s="175"/>
      <x:c r="Y171" s="175"/>
      <x:c r="Z171" s="175"/>
      <x:c r="AA171" s="172"/>
      <x:c r="AB171" s="172"/>
      <x:c r="AC171" s="172"/>
      <x:c r="AD171" s="172"/>
      <x:c r="AE171" s="172"/>
      <x:c r="AF171" s="172"/>
      <x:c r="AG171" s="172"/>
      <x:c r="AH171" s="172"/>
      <x:c r="AI171" s="172"/>
      <x:c r="AJ171" s="172"/>
      <x:c r="AK171" s="172"/>
      <x:c r="AL171" s="172"/>
      <x:c r="AM171" s="172"/>
      <x:c r="AN171" s="172"/>
      <x:c r="AO171" s="172"/>
      <x:c r="AP171" s="172"/>
      <x:c r="AQ171" s="172"/>
      <x:c r="AR171" s="172"/>
      <x:c r="AS171" s="172"/>
      <x:c r="AT171" s="172"/>
      <x:c r="AU171" s="172"/>
      <x:c r="AV171" s="172"/>
      <x:c r="AW171" s="172"/>
      <x:c r="AX171" s="172"/>
      <x:c r="AY171" s="172"/>
      <x:c r="AZ171" s="172"/>
    </x:row>
    <x:row r="172" ht="23" customHeight="1">
      <x:c r="A172" s="175"/>
      <x:c r="B172" s="177"/>
      <x:c r="C172" s="177"/>
      <x:c r="D172" s="175"/>
      <x:c r="E172" s="175"/>
      <x:c r="F172" s="175"/>
      <x:c r="G172" s="175"/>
      <x:c r="H172" s="175"/>
      <x:c r="I172" s="175"/>
      <x:c r="J172" s="175"/>
      <x:c r="K172" s="212"/>
      <x:c r="L172" s="212"/>
      <x:c r="M172" s="175"/>
      <x:c r="N172" s="175"/>
      <x:c r="O172" s="175"/>
      <x:c r="P172" s="175"/>
      <x:c r="Q172" s="175"/>
      <x:c r="R172" s="212"/>
      <x:c r="S172" s="212"/>
      <x:c r="T172" s="212"/>
      <x:c r="U172" s="175"/>
      <x:c r="V172" s="175"/>
      <x:c r="W172" s="175"/>
      <x:c r="X172" s="175"/>
      <x:c r="Y172" s="175"/>
      <x:c r="Z172" s="175"/>
      <x:c r="AA172" s="172"/>
      <x:c r="AB172" s="172"/>
      <x:c r="AC172" s="172"/>
      <x:c r="AD172" s="172"/>
      <x:c r="AE172" s="172"/>
      <x:c r="AF172" s="172"/>
      <x:c r="AG172" s="172"/>
      <x:c r="AH172" s="172"/>
      <x:c r="AI172" s="172"/>
      <x:c r="AJ172" s="172"/>
      <x:c r="AK172" s="172"/>
      <x:c r="AL172" s="172"/>
      <x:c r="AM172" s="172"/>
      <x:c r="AN172" s="172"/>
      <x:c r="AO172" s="172"/>
      <x:c r="AP172" s="172"/>
      <x:c r="AQ172" s="172"/>
      <x:c r="AR172" s="172"/>
      <x:c r="AS172" s="172"/>
      <x:c r="AT172" s="172"/>
      <x:c r="AU172" s="172"/>
      <x:c r="AV172" s="172"/>
      <x:c r="AW172" s="172"/>
      <x:c r="AX172" s="172"/>
      <x:c r="AY172" s="172"/>
      <x:c r="AZ172" s="172"/>
    </x:row>
    <x:row r="173" ht="23" customHeight="1">
      <x:c r="A173" s="175"/>
      <x:c r="B173" s="177"/>
      <x:c r="C173" s="177"/>
      <x:c r="D173" s="175"/>
      <x:c r="E173" s="175"/>
      <x:c r="F173" s="175"/>
      <x:c r="G173" s="175"/>
      <x:c r="H173" s="175"/>
      <x:c r="I173" s="175"/>
      <x:c r="J173" s="175"/>
      <x:c r="K173" s="212"/>
      <x:c r="L173" s="212"/>
      <x:c r="M173" s="175"/>
      <x:c r="N173" s="175"/>
      <x:c r="O173" s="175"/>
      <x:c r="P173" s="175"/>
      <x:c r="Q173" s="175"/>
      <x:c r="R173" s="212"/>
      <x:c r="S173" s="212"/>
      <x:c r="T173" s="212"/>
      <x:c r="U173" s="175"/>
      <x:c r="V173" s="175"/>
      <x:c r="W173" s="175"/>
      <x:c r="X173" s="175"/>
      <x:c r="Y173" s="175"/>
      <x:c r="Z173" s="175"/>
      <x:c r="AA173" s="172"/>
      <x:c r="AB173" s="172"/>
      <x:c r="AC173" s="172"/>
      <x:c r="AD173" s="172"/>
      <x:c r="AE173" s="172"/>
      <x:c r="AF173" s="172"/>
      <x:c r="AG173" s="172"/>
      <x:c r="AH173" s="172"/>
      <x:c r="AI173" s="172"/>
      <x:c r="AJ173" s="172"/>
      <x:c r="AK173" s="172"/>
      <x:c r="AL173" s="172"/>
      <x:c r="AM173" s="172"/>
      <x:c r="AN173" s="172"/>
      <x:c r="AO173" s="172"/>
      <x:c r="AP173" s="172"/>
      <x:c r="AQ173" s="172"/>
      <x:c r="AR173" s="172"/>
      <x:c r="AS173" s="172"/>
      <x:c r="AT173" s="172"/>
      <x:c r="AU173" s="172"/>
      <x:c r="AV173" s="172"/>
      <x:c r="AW173" s="172"/>
      <x:c r="AX173" s="172"/>
      <x:c r="AY173" s="172"/>
      <x:c r="AZ173" s="172"/>
    </x:row>
    <x:row r="174" ht="23" customHeight="1">
      <x:c r="A174" s="175"/>
      <x:c r="B174" s="177"/>
      <x:c r="C174" s="177"/>
      <x:c r="D174" s="175"/>
      <x:c r="E174" s="175"/>
      <x:c r="F174" s="175"/>
      <x:c r="G174" s="175"/>
      <x:c r="H174" s="175"/>
      <x:c r="I174" s="175"/>
      <x:c r="J174" s="175"/>
      <x:c r="K174" s="212"/>
      <x:c r="L174" s="212"/>
      <x:c r="M174" s="175"/>
      <x:c r="N174" s="175"/>
      <x:c r="O174" s="175"/>
      <x:c r="P174" s="175"/>
      <x:c r="Q174" s="175"/>
      <x:c r="R174" s="212"/>
      <x:c r="S174" s="212"/>
      <x:c r="T174" s="212"/>
      <x:c r="U174" s="175"/>
      <x:c r="V174" s="175"/>
      <x:c r="W174" s="175"/>
      <x:c r="X174" s="175"/>
      <x:c r="Y174" s="175"/>
      <x:c r="Z174" s="175"/>
      <x:c r="AA174" s="172"/>
      <x:c r="AB174" s="172"/>
      <x:c r="AC174" s="172"/>
      <x:c r="AD174" s="172"/>
      <x:c r="AE174" s="172"/>
      <x:c r="AF174" s="172"/>
      <x:c r="AG174" s="172"/>
      <x:c r="AH174" s="172"/>
      <x:c r="AI174" s="172"/>
      <x:c r="AJ174" s="172"/>
      <x:c r="AK174" s="172"/>
      <x:c r="AL174" s="172"/>
      <x:c r="AM174" s="172"/>
      <x:c r="AN174" s="172"/>
      <x:c r="AO174" s="172"/>
      <x:c r="AP174" s="172"/>
      <x:c r="AQ174" s="172"/>
      <x:c r="AR174" s="172"/>
      <x:c r="AS174" s="172"/>
      <x:c r="AT174" s="172"/>
      <x:c r="AU174" s="172"/>
      <x:c r="AV174" s="172"/>
      <x:c r="AW174" s="172"/>
      <x:c r="AX174" s="172"/>
      <x:c r="AY174" s="172"/>
      <x:c r="AZ174" s="172"/>
    </x:row>
    <x:row r="175" ht="23" customHeight="1">
      <x:c r="A175" s="175"/>
      <x:c r="B175" s="177"/>
      <x:c r="C175" s="177"/>
      <x:c r="D175" s="175"/>
      <x:c r="E175" s="175"/>
      <x:c r="F175" s="175"/>
      <x:c r="G175" s="175"/>
      <x:c r="H175" s="175"/>
      <x:c r="I175" s="175"/>
      <x:c r="J175" s="175"/>
      <x:c r="K175" s="212"/>
      <x:c r="L175" s="212"/>
      <x:c r="M175" s="175"/>
      <x:c r="N175" s="175"/>
      <x:c r="O175" s="175"/>
      <x:c r="P175" s="175"/>
      <x:c r="Q175" s="175"/>
      <x:c r="R175" s="212"/>
      <x:c r="S175" s="212"/>
      <x:c r="T175" s="212"/>
      <x:c r="U175" s="175"/>
      <x:c r="V175" s="175"/>
      <x:c r="W175" s="175"/>
      <x:c r="X175" s="175"/>
      <x:c r="Y175" s="175"/>
      <x:c r="Z175" s="175"/>
      <x:c r="AA175" s="172"/>
      <x:c r="AB175" s="172"/>
      <x:c r="AC175" s="172"/>
      <x:c r="AD175" s="172"/>
      <x:c r="AE175" s="172"/>
      <x:c r="AF175" s="172"/>
      <x:c r="AG175" s="172"/>
      <x:c r="AH175" s="172"/>
      <x:c r="AI175" s="172"/>
      <x:c r="AJ175" s="172"/>
      <x:c r="AK175" s="172"/>
      <x:c r="AL175" s="172"/>
      <x:c r="AM175" s="172"/>
      <x:c r="AN175" s="172"/>
      <x:c r="AO175" s="172"/>
      <x:c r="AP175" s="172"/>
      <x:c r="AQ175" s="172"/>
      <x:c r="AR175" s="172"/>
      <x:c r="AS175" s="172"/>
      <x:c r="AT175" s="172"/>
      <x:c r="AU175" s="172"/>
      <x:c r="AV175" s="172"/>
      <x:c r="AW175" s="172"/>
      <x:c r="AX175" s="172"/>
      <x:c r="AY175" s="172"/>
      <x:c r="AZ175" s="172"/>
    </x:row>
    <x:row r="176" ht="23" customHeight="1">
      <x:c r="A176" s="175"/>
      <x:c r="B176" s="177"/>
      <x:c r="C176" s="177"/>
      <x:c r="D176" s="175"/>
      <x:c r="E176" s="175"/>
      <x:c r="F176" s="175"/>
      <x:c r="G176" s="175"/>
      <x:c r="H176" s="175"/>
      <x:c r="I176" s="175"/>
      <x:c r="J176" s="175"/>
      <x:c r="K176" s="212"/>
      <x:c r="L176" s="212"/>
      <x:c r="M176" s="175"/>
      <x:c r="N176" s="175"/>
      <x:c r="O176" s="175"/>
      <x:c r="P176" s="175"/>
      <x:c r="Q176" s="175"/>
      <x:c r="R176" s="212"/>
      <x:c r="S176" s="212"/>
      <x:c r="T176" s="212"/>
      <x:c r="U176" s="175"/>
      <x:c r="V176" s="175"/>
      <x:c r="W176" s="175"/>
      <x:c r="X176" s="175"/>
      <x:c r="Y176" s="175"/>
      <x:c r="Z176" s="175"/>
      <x:c r="AA176" s="172"/>
      <x:c r="AB176" s="172"/>
      <x:c r="AC176" s="172"/>
      <x:c r="AD176" s="172"/>
      <x:c r="AE176" s="172"/>
      <x:c r="AF176" s="172"/>
      <x:c r="AG176" s="172"/>
      <x:c r="AH176" s="172"/>
      <x:c r="AI176" s="172"/>
      <x:c r="AJ176" s="172"/>
      <x:c r="AK176" s="172"/>
      <x:c r="AL176" s="172"/>
      <x:c r="AM176" s="172"/>
      <x:c r="AN176" s="172"/>
      <x:c r="AO176" s="172"/>
      <x:c r="AP176" s="172"/>
      <x:c r="AQ176" s="172"/>
      <x:c r="AR176" s="172"/>
      <x:c r="AS176" s="172"/>
      <x:c r="AT176" s="172"/>
      <x:c r="AU176" s="172"/>
      <x:c r="AV176" s="172"/>
      <x:c r="AW176" s="172"/>
      <x:c r="AX176" s="172"/>
      <x:c r="AY176" s="172"/>
      <x:c r="AZ176" s="172"/>
    </x:row>
    <x:row r="177" ht="23" customHeight="1">
      <x:c r="A177" s="175"/>
      <x:c r="B177" s="177"/>
      <x:c r="C177" s="177"/>
      <x:c r="D177" s="175"/>
      <x:c r="E177" s="175"/>
      <x:c r="F177" s="175"/>
      <x:c r="G177" s="175"/>
      <x:c r="H177" s="175"/>
      <x:c r="I177" s="175"/>
      <x:c r="J177" s="175"/>
      <x:c r="K177" s="212"/>
      <x:c r="L177" s="212"/>
      <x:c r="M177" s="175"/>
      <x:c r="N177" s="175"/>
      <x:c r="O177" s="175"/>
      <x:c r="P177" s="175"/>
      <x:c r="Q177" s="175"/>
      <x:c r="R177" s="212"/>
      <x:c r="S177" s="212"/>
      <x:c r="T177" s="212"/>
      <x:c r="U177" s="175"/>
      <x:c r="V177" s="175"/>
      <x:c r="W177" s="175"/>
      <x:c r="X177" s="175"/>
      <x:c r="Y177" s="175"/>
      <x:c r="Z177" s="175"/>
      <x:c r="AA177" s="172"/>
      <x:c r="AB177" s="172"/>
      <x:c r="AC177" s="172"/>
      <x:c r="AD177" s="172"/>
      <x:c r="AE177" s="172"/>
      <x:c r="AF177" s="172"/>
      <x:c r="AG177" s="172"/>
      <x:c r="AH177" s="172"/>
      <x:c r="AI177" s="172"/>
      <x:c r="AJ177" s="172"/>
      <x:c r="AK177" s="172"/>
      <x:c r="AL177" s="172"/>
      <x:c r="AM177" s="172"/>
      <x:c r="AN177" s="172"/>
      <x:c r="AO177" s="172"/>
      <x:c r="AP177" s="172"/>
      <x:c r="AQ177" s="172"/>
      <x:c r="AR177" s="172"/>
      <x:c r="AS177" s="172"/>
      <x:c r="AT177" s="172"/>
      <x:c r="AU177" s="172"/>
      <x:c r="AV177" s="172"/>
      <x:c r="AW177" s="172"/>
      <x:c r="AX177" s="172"/>
      <x:c r="AY177" s="172"/>
      <x:c r="AZ177" s="172"/>
    </x:row>
    <x:row r="178" ht="23" customHeight="1">
      <x:c r="A178" s="175"/>
      <x:c r="B178" s="177"/>
      <x:c r="C178" s="177"/>
      <x:c r="D178" s="175"/>
      <x:c r="E178" s="175"/>
      <x:c r="F178" s="175"/>
      <x:c r="G178" s="175"/>
      <x:c r="H178" s="175"/>
      <x:c r="I178" s="175"/>
      <x:c r="J178" s="175"/>
      <x:c r="K178" s="212"/>
      <x:c r="L178" s="212"/>
      <x:c r="M178" s="175"/>
      <x:c r="N178" s="175"/>
      <x:c r="O178" s="175"/>
      <x:c r="P178" s="175"/>
      <x:c r="Q178" s="175"/>
      <x:c r="R178" s="212"/>
      <x:c r="S178" s="212"/>
      <x:c r="T178" s="212"/>
      <x:c r="U178" s="175"/>
      <x:c r="V178" s="175"/>
      <x:c r="W178" s="175"/>
      <x:c r="X178" s="175"/>
      <x:c r="Y178" s="175"/>
      <x:c r="Z178" s="175"/>
      <x:c r="AA178" s="172"/>
      <x:c r="AB178" s="172"/>
      <x:c r="AC178" s="172"/>
      <x:c r="AD178" s="172"/>
      <x:c r="AE178" s="172"/>
      <x:c r="AF178" s="172"/>
      <x:c r="AG178" s="172"/>
      <x:c r="AH178" s="172"/>
      <x:c r="AI178" s="172"/>
      <x:c r="AJ178" s="172"/>
      <x:c r="AK178" s="172"/>
      <x:c r="AL178" s="172"/>
      <x:c r="AM178" s="172"/>
      <x:c r="AN178" s="172"/>
      <x:c r="AO178" s="172"/>
      <x:c r="AP178" s="172"/>
      <x:c r="AQ178" s="172"/>
      <x:c r="AR178" s="172"/>
      <x:c r="AS178" s="172"/>
      <x:c r="AT178" s="172"/>
      <x:c r="AU178" s="172"/>
      <x:c r="AV178" s="172"/>
      <x:c r="AW178" s="172"/>
      <x:c r="AX178" s="172"/>
      <x:c r="AY178" s="172"/>
      <x:c r="AZ178" s="172"/>
    </x:row>
    <x:row r="179" ht="23" customHeight="1">
      <x:c r="A179" s="175"/>
      <x:c r="B179" s="177"/>
      <x:c r="C179" s="177"/>
      <x:c r="D179" s="175"/>
      <x:c r="E179" s="175"/>
      <x:c r="F179" s="175"/>
      <x:c r="G179" s="175"/>
      <x:c r="H179" s="175"/>
      <x:c r="I179" s="175"/>
      <x:c r="J179" s="175"/>
      <x:c r="K179" s="212"/>
      <x:c r="L179" s="212"/>
      <x:c r="M179" s="175"/>
      <x:c r="N179" s="175"/>
      <x:c r="O179" s="175"/>
      <x:c r="P179" s="175"/>
      <x:c r="Q179" s="175"/>
      <x:c r="R179" s="212"/>
      <x:c r="S179" s="212"/>
      <x:c r="T179" s="212"/>
      <x:c r="U179" s="175"/>
      <x:c r="V179" s="175"/>
      <x:c r="W179" s="175"/>
      <x:c r="X179" s="175"/>
      <x:c r="Y179" s="175"/>
      <x:c r="Z179" s="175"/>
      <x:c r="AA179" s="172"/>
      <x:c r="AB179" s="172"/>
      <x:c r="AC179" s="172"/>
      <x:c r="AD179" s="172"/>
      <x:c r="AE179" s="172"/>
      <x:c r="AF179" s="172"/>
      <x:c r="AG179" s="172"/>
      <x:c r="AH179" s="172"/>
      <x:c r="AI179" s="172"/>
      <x:c r="AJ179" s="172"/>
      <x:c r="AK179" s="172"/>
      <x:c r="AL179" s="172"/>
      <x:c r="AM179" s="172"/>
      <x:c r="AN179" s="172"/>
      <x:c r="AO179" s="172"/>
      <x:c r="AP179" s="172"/>
      <x:c r="AQ179" s="172"/>
      <x:c r="AR179" s="172"/>
      <x:c r="AS179" s="172"/>
      <x:c r="AT179" s="172"/>
      <x:c r="AU179" s="172"/>
      <x:c r="AV179" s="172"/>
      <x:c r="AW179" s="172"/>
      <x:c r="AX179" s="172"/>
      <x:c r="AY179" s="172"/>
      <x:c r="AZ179" s="172"/>
    </x:row>
    <x:row r="180" ht="23" customHeight="1">
      <x:c r="A180" s="175"/>
      <x:c r="B180" s="177"/>
      <x:c r="C180" s="177"/>
      <x:c r="D180" s="175"/>
      <x:c r="E180" s="175"/>
      <x:c r="F180" s="175"/>
      <x:c r="G180" s="175"/>
      <x:c r="H180" s="175"/>
      <x:c r="I180" s="175"/>
      <x:c r="J180" s="175"/>
      <x:c r="K180" s="212"/>
      <x:c r="L180" s="212"/>
      <x:c r="M180" s="175"/>
      <x:c r="N180" s="175"/>
      <x:c r="O180" s="175"/>
      <x:c r="P180" s="175"/>
      <x:c r="Q180" s="175"/>
      <x:c r="R180" s="212"/>
      <x:c r="S180" s="212"/>
      <x:c r="T180" s="212"/>
      <x:c r="U180" s="175"/>
      <x:c r="V180" s="175"/>
      <x:c r="W180" s="175"/>
      <x:c r="X180" s="175"/>
      <x:c r="Y180" s="175"/>
      <x:c r="Z180" s="175"/>
      <x:c r="AA180" s="172"/>
      <x:c r="AB180" s="172"/>
      <x:c r="AC180" s="172"/>
      <x:c r="AD180" s="172"/>
      <x:c r="AE180" s="172"/>
      <x:c r="AF180" s="172"/>
      <x:c r="AG180" s="172"/>
      <x:c r="AH180" s="172"/>
      <x:c r="AI180" s="172"/>
      <x:c r="AJ180" s="172"/>
      <x:c r="AK180" s="172"/>
      <x:c r="AL180" s="172"/>
      <x:c r="AM180" s="172"/>
      <x:c r="AN180" s="172"/>
      <x:c r="AO180" s="172"/>
      <x:c r="AP180" s="172"/>
      <x:c r="AQ180" s="172"/>
      <x:c r="AR180" s="172"/>
      <x:c r="AS180" s="172"/>
      <x:c r="AT180" s="172"/>
      <x:c r="AU180" s="172"/>
      <x:c r="AV180" s="172"/>
      <x:c r="AW180" s="172"/>
      <x:c r="AX180" s="172"/>
      <x:c r="AY180" s="172"/>
      <x:c r="AZ180" s="172"/>
    </x:row>
    <x:row r="181" ht="23" customHeight="1">
      <x:c r="A181" s="175"/>
      <x:c r="B181" s="177"/>
      <x:c r="C181" s="177"/>
      <x:c r="D181" s="175"/>
      <x:c r="E181" s="175"/>
      <x:c r="F181" s="175"/>
      <x:c r="G181" s="175"/>
      <x:c r="H181" s="175"/>
      <x:c r="I181" s="175"/>
      <x:c r="J181" s="175"/>
      <x:c r="K181" s="212"/>
      <x:c r="L181" s="212"/>
      <x:c r="M181" s="175"/>
      <x:c r="N181" s="175"/>
      <x:c r="O181" s="175"/>
      <x:c r="P181" s="175"/>
      <x:c r="Q181" s="175"/>
      <x:c r="R181" s="212"/>
      <x:c r="S181" s="212"/>
      <x:c r="T181" s="212"/>
      <x:c r="U181" s="175"/>
      <x:c r="V181" s="175"/>
      <x:c r="W181" s="175"/>
      <x:c r="X181" s="175"/>
      <x:c r="Y181" s="175"/>
      <x:c r="Z181" s="175"/>
      <x:c r="AA181" s="172"/>
      <x:c r="AB181" s="172"/>
      <x:c r="AC181" s="172"/>
      <x:c r="AD181" s="172"/>
      <x:c r="AE181" s="172"/>
      <x:c r="AF181" s="172"/>
      <x:c r="AG181" s="172"/>
      <x:c r="AH181" s="172"/>
      <x:c r="AI181" s="172"/>
      <x:c r="AJ181" s="172"/>
      <x:c r="AK181" s="172"/>
      <x:c r="AL181" s="172"/>
      <x:c r="AM181" s="172"/>
      <x:c r="AN181" s="172"/>
      <x:c r="AO181" s="172"/>
      <x:c r="AP181" s="172"/>
      <x:c r="AQ181" s="172"/>
      <x:c r="AR181" s="172"/>
      <x:c r="AS181" s="172"/>
      <x:c r="AT181" s="172"/>
      <x:c r="AU181" s="172"/>
      <x:c r="AV181" s="172"/>
      <x:c r="AW181" s="172"/>
      <x:c r="AX181" s="172"/>
      <x:c r="AY181" s="172"/>
      <x:c r="AZ181" s="172"/>
    </x:row>
    <x:row r="182" ht="23" customHeight="1">
      <x:c r="A182" s="175"/>
      <x:c r="B182" s="177"/>
      <x:c r="C182" s="177"/>
      <x:c r="D182" s="175"/>
      <x:c r="E182" s="175"/>
      <x:c r="F182" s="175"/>
      <x:c r="G182" s="175"/>
      <x:c r="H182" s="175"/>
      <x:c r="I182" s="175"/>
      <x:c r="J182" s="175"/>
      <x:c r="K182" s="212"/>
      <x:c r="L182" s="212"/>
      <x:c r="M182" s="175"/>
      <x:c r="N182" s="175"/>
      <x:c r="O182" s="175"/>
      <x:c r="P182" s="175"/>
      <x:c r="Q182" s="175"/>
      <x:c r="R182" s="212"/>
      <x:c r="S182" s="212"/>
      <x:c r="T182" s="212"/>
      <x:c r="U182" s="175"/>
      <x:c r="V182" s="175"/>
      <x:c r="W182" s="175"/>
      <x:c r="X182" s="175"/>
      <x:c r="Y182" s="175"/>
      <x:c r="Z182" s="175"/>
      <x:c r="AA182" s="172"/>
      <x:c r="AB182" s="172"/>
      <x:c r="AC182" s="172"/>
      <x:c r="AD182" s="172"/>
      <x:c r="AE182" s="172"/>
      <x:c r="AF182" s="172"/>
      <x:c r="AG182" s="172"/>
      <x:c r="AH182" s="172"/>
      <x:c r="AI182" s="172"/>
      <x:c r="AJ182" s="172"/>
      <x:c r="AK182" s="172"/>
      <x:c r="AL182" s="172"/>
      <x:c r="AM182" s="172"/>
      <x:c r="AN182" s="172"/>
      <x:c r="AO182" s="172"/>
      <x:c r="AP182" s="172"/>
      <x:c r="AQ182" s="172"/>
      <x:c r="AR182" s="172"/>
      <x:c r="AS182" s="172"/>
      <x:c r="AT182" s="172"/>
      <x:c r="AU182" s="172"/>
      <x:c r="AV182" s="172"/>
      <x:c r="AW182" s="172"/>
      <x:c r="AX182" s="172"/>
      <x:c r="AY182" s="172"/>
      <x:c r="AZ182" s="172"/>
    </x:row>
    <x:row r="183" ht="23" customHeight="1">
      <x:c r="A183" s="175"/>
      <x:c r="B183" s="177"/>
      <x:c r="C183" s="177"/>
      <x:c r="D183" s="175"/>
      <x:c r="E183" s="175"/>
      <x:c r="F183" s="175"/>
      <x:c r="G183" s="175"/>
      <x:c r="H183" s="175"/>
      <x:c r="I183" s="175"/>
      <x:c r="J183" s="175"/>
      <x:c r="K183" s="212"/>
      <x:c r="L183" s="212"/>
      <x:c r="M183" s="175"/>
      <x:c r="N183" s="175"/>
      <x:c r="O183" s="175"/>
      <x:c r="P183" s="175"/>
      <x:c r="Q183" s="175"/>
      <x:c r="R183" s="212"/>
      <x:c r="S183" s="212"/>
      <x:c r="T183" s="212"/>
      <x:c r="U183" s="175"/>
      <x:c r="V183" s="175"/>
      <x:c r="W183" s="175"/>
      <x:c r="X183" s="175"/>
      <x:c r="Y183" s="175"/>
      <x:c r="Z183" s="175"/>
      <x:c r="AA183" s="172"/>
      <x:c r="AB183" s="172"/>
      <x:c r="AC183" s="172"/>
      <x:c r="AD183" s="172"/>
      <x:c r="AE183" s="172"/>
      <x:c r="AF183" s="172"/>
      <x:c r="AG183" s="172"/>
      <x:c r="AH183" s="172"/>
      <x:c r="AI183" s="172"/>
      <x:c r="AJ183" s="172"/>
      <x:c r="AK183" s="172"/>
      <x:c r="AL183" s="172"/>
      <x:c r="AM183" s="172"/>
      <x:c r="AN183" s="172"/>
      <x:c r="AO183" s="172"/>
      <x:c r="AP183" s="172"/>
      <x:c r="AQ183" s="172"/>
      <x:c r="AR183" s="172"/>
      <x:c r="AS183" s="172"/>
      <x:c r="AT183" s="172"/>
      <x:c r="AU183" s="172"/>
      <x:c r="AV183" s="172"/>
      <x:c r="AW183" s="172"/>
      <x:c r="AX183" s="172"/>
      <x:c r="AY183" s="172"/>
      <x:c r="AZ183" s="172"/>
    </x:row>
    <x:row r="184" ht="23" customHeight="1">
      <x:c r="A184" s="175"/>
      <x:c r="B184" s="177"/>
      <x:c r="C184" s="177"/>
      <x:c r="D184" s="175"/>
      <x:c r="E184" s="175"/>
      <x:c r="F184" s="175"/>
      <x:c r="G184" s="175"/>
      <x:c r="H184" s="175"/>
      <x:c r="I184" s="175"/>
      <x:c r="J184" s="175"/>
      <x:c r="K184" s="212"/>
      <x:c r="L184" s="212"/>
      <x:c r="M184" s="175"/>
      <x:c r="N184" s="175"/>
      <x:c r="O184" s="175"/>
      <x:c r="P184" s="175"/>
      <x:c r="Q184" s="175"/>
      <x:c r="R184" s="212"/>
      <x:c r="S184" s="212"/>
      <x:c r="T184" s="212"/>
      <x:c r="U184" s="175"/>
      <x:c r="V184" s="175"/>
      <x:c r="W184" s="175"/>
      <x:c r="X184" s="175"/>
      <x:c r="Y184" s="175"/>
      <x:c r="Z184" s="175"/>
      <x:c r="AA184" s="172"/>
      <x:c r="AB184" s="172"/>
      <x:c r="AC184" s="172"/>
      <x:c r="AD184" s="172"/>
      <x:c r="AE184" s="172"/>
      <x:c r="AF184" s="172"/>
      <x:c r="AG184" s="172"/>
      <x:c r="AH184" s="172"/>
      <x:c r="AI184" s="172"/>
      <x:c r="AJ184" s="172"/>
      <x:c r="AK184" s="172"/>
      <x:c r="AL184" s="172"/>
      <x:c r="AM184" s="172"/>
      <x:c r="AN184" s="172"/>
      <x:c r="AO184" s="172"/>
      <x:c r="AP184" s="172"/>
      <x:c r="AQ184" s="172"/>
      <x:c r="AR184" s="172"/>
      <x:c r="AS184" s="172"/>
      <x:c r="AT184" s="172"/>
      <x:c r="AU184" s="172"/>
      <x:c r="AV184" s="172"/>
      <x:c r="AW184" s="172"/>
      <x:c r="AX184" s="172"/>
      <x:c r="AY184" s="172"/>
      <x:c r="AZ184" s="172"/>
    </x:row>
    <x:row r="185" ht="23" customHeight="1">
      <x:c r="A185" s="175"/>
      <x:c r="B185" s="177"/>
      <x:c r="C185" s="177"/>
      <x:c r="D185" s="175"/>
      <x:c r="E185" s="175"/>
      <x:c r="F185" s="175"/>
      <x:c r="G185" s="175"/>
      <x:c r="H185" s="175"/>
      <x:c r="I185" s="175"/>
      <x:c r="J185" s="175"/>
      <x:c r="K185" s="212"/>
      <x:c r="L185" s="212"/>
      <x:c r="M185" s="175"/>
      <x:c r="N185" s="175"/>
      <x:c r="O185" s="175"/>
      <x:c r="P185" s="175"/>
      <x:c r="Q185" s="175"/>
      <x:c r="R185" s="212"/>
      <x:c r="S185" s="212"/>
      <x:c r="T185" s="212"/>
      <x:c r="U185" s="175"/>
      <x:c r="V185" s="175"/>
      <x:c r="W185" s="175"/>
      <x:c r="X185" s="175"/>
      <x:c r="Y185" s="175"/>
      <x:c r="Z185" s="175"/>
      <x:c r="AA185" s="172"/>
      <x:c r="AB185" s="172"/>
      <x:c r="AC185" s="172"/>
      <x:c r="AD185" s="172"/>
      <x:c r="AE185" s="172"/>
      <x:c r="AF185" s="172"/>
      <x:c r="AG185" s="172"/>
      <x:c r="AH185" s="172"/>
      <x:c r="AI185" s="172"/>
      <x:c r="AJ185" s="172"/>
      <x:c r="AK185" s="172"/>
      <x:c r="AL185" s="172"/>
      <x:c r="AM185" s="172"/>
      <x:c r="AN185" s="172"/>
      <x:c r="AO185" s="172"/>
      <x:c r="AP185" s="172"/>
      <x:c r="AQ185" s="172"/>
      <x:c r="AR185" s="172"/>
      <x:c r="AS185" s="172"/>
      <x:c r="AT185" s="172"/>
      <x:c r="AU185" s="172"/>
      <x:c r="AV185" s="172"/>
      <x:c r="AW185" s="172"/>
      <x:c r="AX185" s="172"/>
      <x:c r="AY185" s="172"/>
      <x:c r="AZ185" s="172"/>
    </x:row>
    <x:row r="186" ht="23" customHeight="1">
      <x:c r="A186" s="175"/>
      <x:c r="B186" s="177"/>
      <x:c r="C186" s="177"/>
      <x:c r="D186" s="175"/>
      <x:c r="E186" s="175"/>
      <x:c r="F186" s="175"/>
      <x:c r="G186" s="175"/>
      <x:c r="H186" s="175"/>
      <x:c r="I186" s="175"/>
      <x:c r="J186" s="175"/>
      <x:c r="K186" s="212"/>
      <x:c r="L186" s="212"/>
      <x:c r="M186" s="175"/>
      <x:c r="N186" s="175"/>
      <x:c r="O186" s="175"/>
      <x:c r="P186" s="175"/>
      <x:c r="Q186" s="175"/>
      <x:c r="R186" s="212"/>
      <x:c r="S186" s="212"/>
      <x:c r="T186" s="212"/>
      <x:c r="U186" s="175"/>
      <x:c r="V186" s="175"/>
      <x:c r="W186" s="175"/>
      <x:c r="X186" s="175"/>
      <x:c r="Y186" s="175"/>
      <x:c r="Z186" s="175"/>
      <x:c r="AA186" s="172"/>
      <x:c r="AB186" s="172"/>
      <x:c r="AC186" s="172"/>
      <x:c r="AD186" s="172"/>
      <x:c r="AE186" s="172"/>
      <x:c r="AF186" s="172"/>
      <x:c r="AG186" s="172"/>
      <x:c r="AH186" s="172"/>
      <x:c r="AI186" s="172"/>
      <x:c r="AJ186" s="172"/>
      <x:c r="AK186" s="172"/>
      <x:c r="AL186" s="172"/>
      <x:c r="AM186" s="172"/>
      <x:c r="AN186" s="172"/>
      <x:c r="AO186" s="172"/>
      <x:c r="AP186" s="172"/>
      <x:c r="AQ186" s="172"/>
      <x:c r="AR186" s="172"/>
      <x:c r="AS186" s="172"/>
      <x:c r="AT186" s="172"/>
      <x:c r="AU186" s="172"/>
      <x:c r="AV186" s="172"/>
      <x:c r="AW186" s="172"/>
      <x:c r="AX186" s="172"/>
      <x:c r="AY186" s="172"/>
      <x:c r="AZ186" s="172"/>
    </x:row>
    <x:row r="187" ht="23" customHeight="1">
      <x:c r="A187" s="175"/>
      <x:c r="B187" s="177"/>
      <x:c r="C187" s="177"/>
      <x:c r="D187" s="175"/>
      <x:c r="E187" s="175"/>
      <x:c r="F187" s="175"/>
      <x:c r="G187" s="175"/>
      <x:c r="H187" s="175"/>
      <x:c r="I187" s="175"/>
      <x:c r="J187" s="175"/>
      <x:c r="K187" s="212"/>
      <x:c r="L187" s="212"/>
      <x:c r="M187" s="175"/>
      <x:c r="N187" s="175"/>
      <x:c r="O187" s="175"/>
      <x:c r="P187" s="175"/>
      <x:c r="Q187" s="175"/>
      <x:c r="R187" s="212"/>
      <x:c r="S187" s="212"/>
      <x:c r="T187" s="212"/>
      <x:c r="U187" s="175"/>
      <x:c r="V187" s="175"/>
      <x:c r="W187" s="175"/>
      <x:c r="X187" s="175"/>
      <x:c r="Y187" s="175"/>
      <x:c r="Z187" s="175"/>
      <x:c r="AA187" s="172"/>
      <x:c r="AB187" s="172"/>
      <x:c r="AC187" s="172"/>
      <x:c r="AD187" s="172"/>
      <x:c r="AE187" s="172"/>
      <x:c r="AF187" s="172"/>
      <x:c r="AG187" s="172"/>
      <x:c r="AH187" s="172"/>
      <x:c r="AI187" s="172"/>
      <x:c r="AJ187" s="172"/>
      <x:c r="AK187" s="172"/>
      <x:c r="AL187" s="172"/>
      <x:c r="AM187" s="172"/>
      <x:c r="AN187" s="172"/>
      <x:c r="AO187" s="172"/>
      <x:c r="AP187" s="172"/>
      <x:c r="AQ187" s="172"/>
      <x:c r="AR187" s="172"/>
      <x:c r="AS187" s="172"/>
      <x:c r="AT187" s="172"/>
      <x:c r="AU187" s="172"/>
      <x:c r="AV187" s="172"/>
      <x:c r="AW187" s="172"/>
      <x:c r="AX187" s="172"/>
      <x:c r="AY187" s="172"/>
      <x:c r="AZ187" s="172"/>
    </x:row>
    <x:row r="188" ht="23" customHeight="1">
      <x:c r="A188" s="175"/>
      <x:c r="B188" s="177"/>
      <x:c r="C188" s="177"/>
      <x:c r="D188" s="175"/>
      <x:c r="E188" s="175"/>
      <x:c r="F188" s="175"/>
      <x:c r="G188" s="175"/>
      <x:c r="H188" s="175"/>
      <x:c r="I188" s="175"/>
      <x:c r="J188" s="175"/>
      <x:c r="K188" s="212"/>
      <x:c r="L188" s="212"/>
      <x:c r="M188" s="175"/>
      <x:c r="N188" s="175"/>
      <x:c r="O188" s="175"/>
      <x:c r="P188" s="175"/>
      <x:c r="Q188" s="175"/>
      <x:c r="R188" s="212"/>
      <x:c r="S188" s="212"/>
      <x:c r="T188" s="212"/>
      <x:c r="U188" s="175"/>
      <x:c r="V188" s="175"/>
      <x:c r="W188" s="175"/>
      <x:c r="X188" s="175"/>
      <x:c r="Y188" s="175"/>
      <x:c r="Z188" s="175"/>
      <x:c r="AA188" s="172"/>
      <x:c r="AB188" s="172"/>
      <x:c r="AC188" s="172"/>
      <x:c r="AD188" s="172"/>
      <x:c r="AE188" s="172"/>
      <x:c r="AF188" s="172"/>
      <x:c r="AG188" s="172"/>
      <x:c r="AH188" s="172"/>
      <x:c r="AI188" s="172"/>
      <x:c r="AJ188" s="172"/>
      <x:c r="AK188" s="172"/>
      <x:c r="AL188" s="172"/>
      <x:c r="AM188" s="172"/>
      <x:c r="AN188" s="172"/>
      <x:c r="AO188" s="172"/>
      <x:c r="AP188" s="172"/>
      <x:c r="AQ188" s="172"/>
      <x:c r="AR188" s="172"/>
      <x:c r="AS188" s="172"/>
      <x:c r="AT188" s="172"/>
      <x:c r="AU188" s="172"/>
      <x:c r="AV188" s="172"/>
      <x:c r="AW188" s="172"/>
      <x:c r="AX188" s="172"/>
      <x:c r="AY188" s="172"/>
      <x:c r="AZ188" s="172"/>
    </x:row>
    <x:row r="189" ht="23" customHeight="1">
      <x:c r="A189" s="175"/>
      <x:c r="B189" s="177"/>
      <x:c r="C189" s="177"/>
      <x:c r="D189" s="175"/>
      <x:c r="E189" s="175"/>
      <x:c r="F189" s="175"/>
      <x:c r="G189" s="175"/>
      <x:c r="H189" s="175"/>
      <x:c r="I189" s="175"/>
      <x:c r="J189" s="175"/>
      <x:c r="K189" s="212"/>
      <x:c r="L189" s="212"/>
      <x:c r="M189" s="175"/>
      <x:c r="N189" s="175"/>
      <x:c r="O189" s="175"/>
      <x:c r="P189" s="175"/>
      <x:c r="Q189" s="175"/>
      <x:c r="R189" s="212"/>
      <x:c r="S189" s="212"/>
      <x:c r="T189" s="212"/>
      <x:c r="U189" s="175"/>
      <x:c r="V189" s="175"/>
      <x:c r="W189" s="175"/>
      <x:c r="X189" s="175"/>
      <x:c r="Y189" s="175"/>
      <x:c r="Z189" s="175"/>
      <x:c r="AA189" s="172"/>
      <x:c r="AB189" s="172"/>
      <x:c r="AC189" s="172"/>
      <x:c r="AD189" s="172"/>
      <x:c r="AE189" s="172"/>
      <x:c r="AF189" s="172"/>
      <x:c r="AG189" s="172"/>
      <x:c r="AH189" s="172"/>
      <x:c r="AI189" s="172"/>
      <x:c r="AJ189" s="172"/>
      <x:c r="AK189" s="172"/>
      <x:c r="AL189" s="172"/>
      <x:c r="AM189" s="172"/>
      <x:c r="AN189" s="172"/>
      <x:c r="AO189" s="172"/>
      <x:c r="AP189" s="172"/>
      <x:c r="AQ189" s="172"/>
      <x:c r="AR189" s="172"/>
      <x:c r="AS189" s="172"/>
      <x:c r="AT189" s="172"/>
      <x:c r="AU189" s="172"/>
      <x:c r="AV189" s="172"/>
      <x:c r="AW189" s="172"/>
      <x:c r="AX189" s="172"/>
      <x:c r="AY189" s="172"/>
      <x:c r="AZ189" s="172"/>
    </x:row>
    <x:row r="190" ht="23" customHeight="1">
      <x:c r="A190" s="175"/>
      <x:c r="B190" s="177"/>
      <x:c r="C190" s="177"/>
      <x:c r="D190" s="175"/>
      <x:c r="E190" s="175"/>
      <x:c r="F190" s="175"/>
      <x:c r="G190" s="175"/>
      <x:c r="H190" s="175"/>
      <x:c r="I190" s="175"/>
      <x:c r="J190" s="175"/>
      <x:c r="K190" s="212"/>
      <x:c r="L190" s="212"/>
      <x:c r="M190" s="175"/>
      <x:c r="N190" s="175"/>
      <x:c r="O190" s="175"/>
      <x:c r="P190" s="175"/>
      <x:c r="Q190" s="175"/>
      <x:c r="R190" s="212"/>
      <x:c r="S190" s="212"/>
      <x:c r="T190" s="212"/>
      <x:c r="U190" s="175"/>
      <x:c r="V190" s="175"/>
      <x:c r="W190" s="175"/>
      <x:c r="X190" s="175"/>
      <x:c r="Y190" s="175"/>
      <x:c r="Z190" s="175"/>
      <x:c r="AA190" s="172"/>
      <x:c r="AB190" s="172"/>
      <x:c r="AC190" s="172"/>
      <x:c r="AD190" s="172"/>
      <x:c r="AE190" s="172"/>
      <x:c r="AF190" s="172"/>
      <x:c r="AG190" s="172"/>
      <x:c r="AH190" s="172"/>
      <x:c r="AI190" s="172"/>
      <x:c r="AJ190" s="172"/>
      <x:c r="AK190" s="172"/>
      <x:c r="AL190" s="172"/>
      <x:c r="AM190" s="172"/>
      <x:c r="AN190" s="172"/>
      <x:c r="AO190" s="172"/>
      <x:c r="AP190" s="172"/>
      <x:c r="AQ190" s="172"/>
      <x:c r="AR190" s="172"/>
      <x:c r="AS190" s="172"/>
      <x:c r="AT190" s="172"/>
      <x:c r="AU190" s="172"/>
      <x:c r="AV190" s="172"/>
      <x:c r="AW190" s="172"/>
      <x:c r="AX190" s="172"/>
      <x:c r="AY190" s="172"/>
      <x:c r="AZ190" s="172"/>
    </x:row>
    <x:row r="191" ht="23" customHeight="1">
      <x:c r="A191" s="175"/>
      <x:c r="B191" s="177"/>
      <x:c r="C191" s="177"/>
      <x:c r="D191" s="175"/>
      <x:c r="E191" s="175"/>
      <x:c r="F191" s="175"/>
      <x:c r="G191" s="175"/>
      <x:c r="H191" s="175"/>
      <x:c r="I191" s="175"/>
      <x:c r="J191" s="175"/>
      <x:c r="K191" s="212"/>
      <x:c r="L191" s="212"/>
      <x:c r="M191" s="175"/>
      <x:c r="N191" s="175"/>
      <x:c r="O191" s="175"/>
      <x:c r="P191" s="175"/>
      <x:c r="Q191" s="175"/>
      <x:c r="R191" s="212"/>
      <x:c r="S191" s="212"/>
      <x:c r="T191" s="212"/>
      <x:c r="U191" s="175"/>
      <x:c r="V191" s="175"/>
      <x:c r="W191" s="175"/>
      <x:c r="X191" s="175"/>
      <x:c r="Y191" s="175"/>
      <x:c r="Z191" s="175"/>
      <x:c r="AA191" s="172"/>
      <x:c r="AB191" s="172"/>
      <x:c r="AC191" s="172"/>
      <x:c r="AD191" s="172"/>
      <x:c r="AE191" s="172"/>
      <x:c r="AF191" s="172"/>
      <x:c r="AG191" s="172"/>
      <x:c r="AH191" s="172"/>
      <x:c r="AI191" s="172"/>
      <x:c r="AJ191" s="172"/>
      <x:c r="AK191" s="172"/>
      <x:c r="AL191" s="172"/>
      <x:c r="AM191" s="172"/>
      <x:c r="AN191" s="172"/>
      <x:c r="AO191" s="172"/>
      <x:c r="AP191" s="172"/>
      <x:c r="AQ191" s="172"/>
      <x:c r="AR191" s="172"/>
      <x:c r="AS191" s="172"/>
      <x:c r="AT191" s="172"/>
      <x:c r="AU191" s="172"/>
      <x:c r="AV191" s="172"/>
      <x:c r="AW191" s="172"/>
      <x:c r="AX191" s="172"/>
      <x:c r="AY191" s="172"/>
      <x:c r="AZ191" s="172"/>
    </x:row>
    <x:row r="192" ht="23" customHeight="1">
      <x:c r="A192" s="175"/>
      <x:c r="B192" s="177"/>
      <x:c r="C192" s="177"/>
      <x:c r="D192" s="175"/>
      <x:c r="E192" s="175"/>
      <x:c r="F192" s="175"/>
      <x:c r="G192" s="175"/>
      <x:c r="H192" s="175"/>
      <x:c r="I192" s="175"/>
      <x:c r="J192" s="175"/>
      <x:c r="K192" s="212"/>
      <x:c r="L192" s="212"/>
      <x:c r="M192" s="175"/>
      <x:c r="N192" s="175"/>
      <x:c r="O192" s="175"/>
      <x:c r="P192" s="175"/>
      <x:c r="Q192" s="175"/>
      <x:c r="R192" s="212"/>
      <x:c r="S192" s="212"/>
      <x:c r="T192" s="212"/>
      <x:c r="U192" s="175"/>
      <x:c r="V192" s="175"/>
      <x:c r="W192" s="175"/>
      <x:c r="X192" s="175"/>
      <x:c r="Y192" s="175"/>
      <x:c r="Z192" s="175"/>
      <x:c r="AA192" s="172"/>
      <x:c r="AB192" s="172"/>
      <x:c r="AC192" s="172"/>
      <x:c r="AD192" s="172"/>
      <x:c r="AE192" s="172"/>
      <x:c r="AF192" s="172"/>
      <x:c r="AG192" s="172"/>
      <x:c r="AH192" s="172"/>
      <x:c r="AI192" s="172"/>
      <x:c r="AJ192" s="172"/>
      <x:c r="AK192" s="172"/>
      <x:c r="AL192" s="172"/>
      <x:c r="AM192" s="172"/>
      <x:c r="AN192" s="172"/>
      <x:c r="AO192" s="172"/>
      <x:c r="AP192" s="172"/>
      <x:c r="AQ192" s="172"/>
      <x:c r="AR192" s="172"/>
      <x:c r="AS192" s="172"/>
      <x:c r="AT192" s="172"/>
      <x:c r="AU192" s="172"/>
      <x:c r="AV192" s="172"/>
      <x:c r="AW192" s="172"/>
      <x:c r="AX192" s="172"/>
      <x:c r="AY192" s="172"/>
      <x:c r="AZ192" s="172"/>
    </x:row>
    <x:row r="193" ht="23" customHeight="1">
      <x:c r="A193" s="175"/>
      <x:c r="B193" s="177"/>
      <x:c r="C193" s="177"/>
      <x:c r="D193" s="175"/>
      <x:c r="E193" s="175"/>
      <x:c r="F193" s="175"/>
      <x:c r="G193" s="175"/>
      <x:c r="H193" s="175"/>
      <x:c r="I193" s="175"/>
      <x:c r="J193" s="175"/>
      <x:c r="K193" s="212"/>
      <x:c r="L193" s="212"/>
      <x:c r="M193" s="175"/>
      <x:c r="N193" s="175"/>
      <x:c r="O193" s="175"/>
      <x:c r="P193" s="175"/>
      <x:c r="Q193" s="175"/>
      <x:c r="R193" s="212"/>
      <x:c r="S193" s="212"/>
      <x:c r="T193" s="212"/>
      <x:c r="U193" s="175"/>
      <x:c r="V193" s="175"/>
      <x:c r="W193" s="175"/>
      <x:c r="X193" s="175"/>
      <x:c r="Y193" s="175"/>
      <x:c r="Z193" s="175"/>
      <x:c r="AA193" s="172"/>
      <x:c r="AB193" s="172"/>
      <x:c r="AC193" s="172"/>
      <x:c r="AD193" s="172"/>
      <x:c r="AE193" s="172"/>
      <x:c r="AF193" s="172"/>
      <x:c r="AG193" s="172"/>
      <x:c r="AH193" s="172"/>
      <x:c r="AI193" s="172"/>
      <x:c r="AJ193" s="172"/>
      <x:c r="AK193" s="172"/>
      <x:c r="AL193" s="172"/>
      <x:c r="AM193" s="172"/>
      <x:c r="AN193" s="172"/>
      <x:c r="AO193" s="172"/>
      <x:c r="AP193" s="172"/>
      <x:c r="AQ193" s="172"/>
      <x:c r="AR193" s="172"/>
      <x:c r="AS193" s="172"/>
      <x:c r="AT193" s="172"/>
      <x:c r="AU193" s="172"/>
      <x:c r="AV193" s="172"/>
      <x:c r="AW193" s="172"/>
      <x:c r="AX193" s="172"/>
      <x:c r="AY193" s="172"/>
      <x:c r="AZ193" s="172"/>
    </x:row>
    <x:row r="194" ht="23" customHeight="1">
      <x:c r="A194" s="175"/>
      <x:c r="B194" s="177"/>
      <x:c r="C194" s="177"/>
      <x:c r="D194" s="175"/>
      <x:c r="E194" s="175"/>
      <x:c r="F194" s="175"/>
      <x:c r="G194" s="175"/>
      <x:c r="H194" s="175"/>
      <x:c r="I194" s="175"/>
      <x:c r="J194" s="175"/>
      <x:c r="K194" s="212"/>
      <x:c r="L194" s="212"/>
      <x:c r="M194" s="175"/>
      <x:c r="N194" s="175"/>
      <x:c r="O194" s="175"/>
      <x:c r="P194" s="175"/>
      <x:c r="Q194" s="175"/>
      <x:c r="R194" s="212"/>
      <x:c r="S194" s="212"/>
      <x:c r="T194" s="212"/>
      <x:c r="U194" s="175"/>
      <x:c r="V194" s="175"/>
      <x:c r="W194" s="175"/>
      <x:c r="X194" s="175"/>
      <x:c r="Y194" s="175"/>
      <x:c r="Z194" s="175"/>
      <x:c r="AA194" s="172"/>
      <x:c r="AB194" s="172"/>
      <x:c r="AC194" s="172"/>
      <x:c r="AD194" s="172"/>
      <x:c r="AE194" s="172"/>
      <x:c r="AF194" s="172"/>
      <x:c r="AG194" s="172"/>
      <x:c r="AH194" s="172"/>
      <x:c r="AI194" s="172"/>
      <x:c r="AJ194" s="172"/>
      <x:c r="AK194" s="172"/>
      <x:c r="AL194" s="172"/>
      <x:c r="AM194" s="172"/>
      <x:c r="AN194" s="172"/>
      <x:c r="AO194" s="172"/>
      <x:c r="AP194" s="172"/>
      <x:c r="AQ194" s="172"/>
      <x:c r="AR194" s="172"/>
      <x:c r="AS194" s="172"/>
      <x:c r="AT194" s="172"/>
      <x:c r="AU194" s="172"/>
      <x:c r="AV194" s="172"/>
      <x:c r="AW194" s="172"/>
      <x:c r="AX194" s="172"/>
      <x:c r="AY194" s="172"/>
      <x:c r="AZ194" s="172"/>
    </x:row>
    <x:row r="195" ht="23" customHeight="1">
      <x:c r="A195" s="175"/>
      <x:c r="B195" s="177"/>
      <x:c r="C195" s="177"/>
      <x:c r="D195" s="175"/>
      <x:c r="E195" s="175"/>
      <x:c r="F195" s="175"/>
      <x:c r="G195" s="175"/>
      <x:c r="H195" s="175"/>
      <x:c r="I195" s="175"/>
      <x:c r="J195" s="175"/>
      <x:c r="K195" s="212"/>
      <x:c r="L195" s="212"/>
      <x:c r="M195" s="175"/>
      <x:c r="N195" s="175"/>
      <x:c r="O195" s="175"/>
      <x:c r="P195" s="175"/>
      <x:c r="Q195" s="175"/>
      <x:c r="R195" s="212"/>
      <x:c r="S195" s="212"/>
      <x:c r="T195" s="212"/>
      <x:c r="U195" s="175"/>
      <x:c r="V195" s="175"/>
      <x:c r="W195" s="175"/>
      <x:c r="X195" s="175"/>
      <x:c r="Y195" s="175"/>
      <x:c r="Z195" s="175"/>
      <x:c r="AA195" s="172"/>
      <x:c r="AB195" s="172"/>
      <x:c r="AC195" s="172"/>
      <x:c r="AD195" s="172"/>
      <x:c r="AE195" s="172"/>
      <x:c r="AF195" s="172"/>
      <x:c r="AG195" s="172"/>
      <x:c r="AH195" s="172"/>
      <x:c r="AI195" s="172"/>
      <x:c r="AJ195" s="172"/>
      <x:c r="AK195" s="172"/>
      <x:c r="AL195" s="172"/>
      <x:c r="AM195" s="172"/>
      <x:c r="AN195" s="172"/>
      <x:c r="AO195" s="172"/>
      <x:c r="AP195" s="172"/>
      <x:c r="AQ195" s="172"/>
      <x:c r="AR195" s="172"/>
      <x:c r="AS195" s="172"/>
      <x:c r="AT195" s="172"/>
      <x:c r="AU195" s="172"/>
      <x:c r="AV195" s="172"/>
      <x:c r="AW195" s="172"/>
      <x:c r="AX195" s="172"/>
      <x:c r="AY195" s="172"/>
      <x:c r="AZ195" s="172"/>
    </x:row>
    <x:row r="196" ht="23" customHeight="1">
      <x:c r="A196" s="175"/>
      <x:c r="B196" s="177"/>
      <x:c r="C196" s="177"/>
      <x:c r="D196" s="175"/>
      <x:c r="E196" s="175"/>
      <x:c r="F196" s="175"/>
      <x:c r="G196" s="175"/>
      <x:c r="H196" s="175"/>
      <x:c r="I196" s="175"/>
      <x:c r="J196" s="175"/>
      <x:c r="K196" s="212"/>
      <x:c r="L196" s="212"/>
      <x:c r="M196" s="175"/>
      <x:c r="N196" s="175"/>
      <x:c r="O196" s="175"/>
      <x:c r="P196" s="175"/>
      <x:c r="Q196" s="175"/>
      <x:c r="R196" s="212"/>
      <x:c r="S196" s="212"/>
      <x:c r="T196" s="212"/>
      <x:c r="U196" s="175"/>
      <x:c r="V196" s="175"/>
      <x:c r="W196" s="175"/>
      <x:c r="X196" s="175"/>
      <x:c r="Y196" s="175"/>
      <x:c r="Z196" s="175"/>
      <x:c r="AA196" s="172"/>
      <x:c r="AB196" s="172"/>
      <x:c r="AC196" s="172"/>
      <x:c r="AD196" s="172"/>
      <x:c r="AE196" s="172"/>
      <x:c r="AF196" s="172"/>
      <x:c r="AG196" s="172"/>
      <x:c r="AH196" s="172"/>
      <x:c r="AI196" s="172"/>
      <x:c r="AJ196" s="172"/>
      <x:c r="AK196" s="172"/>
      <x:c r="AL196" s="172"/>
      <x:c r="AM196" s="172"/>
      <x:c r="AN196" s="172"/>
      <x:c r="AO196" s="172"/>
      <x:c r="AP196" s="172"/>
      <x:c r="AQ196" s="172"/>
      <x:c r="AR196" s="172"/>
      <x:c r="AS196" s="172"/>
      <x:c r="AT196" s="172"/>
      <x:c r="AU196" s="172"/>
      <x:c r="AV196" s="172"/>
      <x:c r="AW196" s="172"/>
      <x:c r="AX196" s="172"/>
      <x:c r="AY196" s="172"/>
      <x:c r="AZ196" s="172"/>
    </x:row>
    <x:row r="197" ht="23" customHeight="1">
      <x:c r="A197" s="175"/>
      <x:c r="B197" s="177"/>
      <x:c r="C197" s="177"/>
      <x:c r="D197" s="175"/>
      <x:c r="E197" s="175"/>
      <x:c r="F197" s="175"/>
      <x:c r="G197" s="175"/>
      <x:c r="H197" s="175"/>
      <x:c r="I197" s="175"/>
      <x:c r="J197" s="175"/>
      <x:c r="K197" s="212"/>
      <x:c r="L197" s="212"/>
      <x:c r="M197" s="175"/>
      <x:c r="N197" s="175"/>
      <x:c r="O197" s="175"/>
      <x:c r="P197" s="175"/>
      <x:c r="Q197" s="175"/>
      <x:c r="R197" s="212"/>
      <x:c r="S197" s="212"/>
      <x:c r="T197" s="212"/>
      <x:c r="U197" s="175"/>
      <x:c r="V197" s="175"/>
      <x:c r="W197" s="175"/>
      <x:c r="X197" s="175"/>
      <x:c r="Y197" s="175"/>
      <x:c r="Z197" s="175"/>
      <x:c r="AA197" s="172"/>
      <x:c r="AB197" s="172"/>
      <x:c r="AC197" s="172"/>
      <x:c r="AD197" s="172"/>
      <x:c r="AE197" s="172"/>
      <x:c r="AF197" s="172"/>
      <x:c r="AG197" s="172"/>
      <x:c r="AH197" s="172"/>
      <x:c r="AI197" s="172"/>
      <x:c r="AJ197" s="172"/>
      <x:c r="AK197" s="172"/>
      <x:c r="AL197" s="172"/>
      <x:c r="AM197" s="172"/>
      <x:c r="AN197" s="172"/>
      <x:c r="AO197" s="172"/>
      <x:c r="AP197" s="172"/>
      <x:c r="AQ197" s="172"/>
      <x:c r="AR197" s="172"/>
      <x:c r="AS197" s="172"/>
      <x:c r="AT197" s="172"/>
      <x:c r="AU197" s="172"/>
      <x:c r="AV197" s="172"/>
      <x:c r="AW197" s="172"/>
      <x:c r="AX197" s="172"/>
      <x:c r="AY197" s="172"/>
      <x:c r="AZ197" s="172"/>
    </x:row>
    <x:row r="198" ht="23" customHeight="1">
      <x:c r="A198" s="175"/>
      <x:c r="B198" s="177"/>
      <x:c r="C198" s="177"/>
      <x:c r="D198" s="175"/>
      <x:c r="E198" s="175"/>
      <x:c r="F198" s="175"/>
      <x:c r="G198" s="175"/>
      <x:c r="H198" s="175"/>
      <x:c r="I198" s="175"/>
      <x:c r="J198" s="175"/>
      <x:c r="K198" s="212"/>
      <x:c r="L198" s="212"/>
      <x:c r="M198" s="175"/>
      <x:c r="N198" s="175"/>
      <x:c r="O198" s="175"/>
      <x:c r="P198" s="175"/>
      <x:c r="Q198" s="175"/>
      <x:c r="R198" s="212"/>
      <x:c r="S198" s="212"/>
      <x:c r="T198" s="212"/>
      <x:c r="U198" s="175"/>
      <x:c r="V198" s="175"/>
      <x:c r="W198" s="175"/>
      <x:c r="X198" s="175"/>
      <x:c r="Y198" s="175"/>
      <x:c r="Z198" s="175"/>
      <x:c r="AA198" s="172"/>
      <x:c r="AB198" s="172"/>
      <x:c r="AC198" s="172"/>
      <x:c r="AD198" s="172"/>
      <x:c r="AE198" s="172"/>
      <x:c r="AF198" s="172"/>
      <x:c r="AG198" s="172"/>
      <x:c r="AH198" s="172"/>
      <x:c r="AI198" s="172"/>
      <x:c r="AJ198" s="172"/>
      <x:c r="AK198" s="172"/>
      <x:c r="AL198" s="172"/>
      <x:c r="AM198" s="172"/>
      <x:c r="AN198" s="172"/>
      <x:c r="AO198" s="172"/>
      <x:c r="AP198" s="172"/>
      <x:c r="AQ198" s="172"/>
      <x:c r="AR198" s="172"/>
      <x:c r="AS198" s="172"/>
      <x:c r="AT198" s="172"/>
      <x:c r="AU198" s="172"/>
      <x:c r="AV198" s="172"/>
      <x:c r="AW198" s="172"/>
      <x:c r="AX198" s="172"/>
      <x:c r="AY198" s="172"/>
      <x:c r="AZ198" s="172"/>
    </x:row>
    <x:row r="199" ht="23" customHeight="1">
      <x:c r="A199" s="175"/>
      <x:c r="B199" s="177"/>
      <x:c r="C199" s="177"/>
      <x:c r="D199" s="175"/>
      <x:c r="E199" s="175"/>
      <x:c r="F199" s="175"/>
      <x:c r="G199" s="175"/>
      <x:c r="H199" s="175"/>
      <x:c r="I199" s="175"/>
      <x:c r="J199" s="175"/>
      <x:c r="K199" s="212"/>
      <x:c r="L199" s="212"/>
      <x:c r="M199" s="175"/>
      <x:c r="N199" s="175"/>
      <x:c r="O199" s="175"/>
      <x:c r="P199" s="175"/>
      <x:c r="Q199" s="175"/>
      <x:c r="R199" s="212"/>
      <x:c r="S199" s="212"/>
      <x:c r="T199" s="212"/>
      <x:c r="U199" s="175"/>
      <x:c r="V199" s="175"/>
      <x:c r="W199" s="175"/>
      <x:c r="X199" s="175"/>
      <x:c r="Y199" s="175"/>
      <x:c r="Z199" s="175"/>
      <x:c r="AA199" s="172"/>
      <x:c r="AB199" s="172"/>
      <x:c r="AC199" s="172"/>
      <x:c r="AD199" s="172"/>
      <x:c r="AE199" s="172"/>
      <x:c r="AF199" s="172"/>
      <x:c r="AG199" s="172"/>
      <x:c r="AH199" s="172"/>
      <x:c r="AI199" s="172"/>
      <x:c r="AJ199" s="172"/>
      <x:c r="AK199" s="172"/>
      <x:c r="AL199" s="172"/>
      <x:c r="AM199" s="172"/>
      <x:c r="AN199" s="172"/>
      <x:c r="AO199" s="172"/>
      <x:c r="AP199" s="172"/>
      <x:c r="AQ199" s="172"/>
      <x:c r="AR199" s="172"/>
      <x:c r="AS199" s="172"/>
      <x:c r="AT199" s="172"/>
      <x:c r="AU199" s="172"/>
      <x:c r="AV199" s="172"/>
      <x:c r="AW199" s="172"/>
      <x:c r="AX199" s="172"/>
      <x:c r="AY199" s="172"/>
      <x:c r="AZ199" s="172"/>
    </x:row>
    <x:row r="200" ht="23" customHeight="1">
      <x:c r="A200" s="175"/>
      <x:c r="B200" s="177"/>
      <x:c r="C200" s="177"/>
      <x:c r="D200" s="175"/>
      <x:c r="E200" s="175"/>
      <x:c r="F200" s="175"/>
      <x:c r="G200" s="175"/>
      <x:c r="H200" s="175"/>
      <x:c r="I200" s="175"/>
      <x:c r="J200" s="175"/>
      <x:c r="K200" s="212"/>
      <x:c r="L200" s="212"/>
      <x:c r="M200" s="175"/>
      <x:c r="N200" s="175"/>
      <x:c r="O200" s="175"/>
      <x:c r="P200" s="175"/>
      <x:c r="Q200" s="175"/>
      <x:c r="R200" s="212"/>
      <x:c r="S200" s="212"/>
      <x:c r="T200" s="212"/>
      <x:c r="U200" s="175"/>
      <x:c r="V200" s="175"/>
      <x:c r="W200" s="175"/>
      <x:c r="X200" s="175"/>
      <x:c r="Y200" s="175"/>
      <x:c r="Z200" s="175"/>
      <x:c r="AA200" s="172"/>
      <x:c r="AB200" s="172"/>
      <x:c r="AC200" s="172"/>
      <x:c r="AD200" s="172"/>
      <x:c r="AE200" s="172"/>
      <x:c r="AF200" s="172"/>
      <x:c r="AG200" s="172"/>
      <x:c r="AH200" s="172"/>
      <x:c r="AI200" s="172"/>
      <x:c r="AJ200" s="172"/>
      <x:c r="AK200" s="172"/>
      <x:c r="AL200" s="172"/>
      <x:c r="AM200" s="172"/>
      <x:c r="AN200" s="172"/>
      <x:c r="AO200" s="172"/>
      <x:c r="AP200" s="172"/>
      <x:c r="AQ200" s="172"/>
      <x:c r="AR200" s="172"/>
      <x:c r="AS200" s="172"/>
      <x:c r="AT200" s="172"/>
      <x:c r="AU200" s="172"/>
      <x:c r="AV200" s="172"/>
      <x:c r="AW200" s="172"/>
      <x:c r="AX200" s="172"/>
      <x:c r="AY200" s="172"/>
      <x:c r="AZ200" s="172"/>
    </x:row>
    <x:row r="201" ht="23" customHeight="1">
      <x:c r="A201" s="175"/>
      <x:c r="B201" s="177"/>
      <x:c r="C201" s="177"/>
      <x:c r="D201" s="175"/>
      <x:c r="E201" s="175"/>
      <x:c r="F201" s="175"/>
      <x:c r="G201" s="175"/>
      <x:c r="H201" s="175"/>
      <x:c r="I201" s="175"/>
      <x:c r="J201" s="175"/>
      <x:c r="K201" s="212"/>
      <x:c r="L201" s="212"/>
      <x:c r="M201" s="175"/>
      <x:c r="N201" s="175"/>
      <x:c r="O201" s="175"/>
      <x:c r="P201" s="175"/>
      <x:c r="Q201" s="175"/>
      <x:c r="R201" s="212"/>
      <x:c r="S201" s="212"/>
      <x:c r="T201" s="212"/>
      <x:c r="U201" s="175"/>
      <x:c r="V201" s="175"/>
      <x:c r="W201" s="175"/>
      <x:c r="X201" s="175"/>
      <x:c r="Y201" s="175"/>
      <x:c r="Z201" s="175"/>
      <x:c r="AA201" s="172"/>
      <x:c r="AB201" s="172"/>
      <x:c r="AC201" s="172"/>
      <x:c r="AD201" s="172"/>
      <x:c r="AE201" s="172"/>
      <x:c r="AF201" s="172"/>
      <x:c r="AG201" s="172"/>
      <x:c r="AH201" s="172"/>
      <x:c r="AI201" s="172"/>
      <x:c r="AJ201" s="172"/>
      <x:c r="AK201" s="172"/>
      <x:c r="AL201" s="172"/>
      <x:c r="AM201" s="172"/>
      <x:c r="AN201" s="172"/>
      <x:c r="AO201" s="172"/>
      <x:c r="AP201" s="172"/>
      <x:c r="AQ201" s="172"/>
      <x:c r="AR201" s="172"/>
      <x:c r="AS201" s="172"/>
      <x:c r="AT201" s="172"/>
      <x:c r="AU201" s="172"/>
      <x:c r="AV201" s="172"/>
      <x:c r="AW201" s="172"/>
      <x:c r="AX201" s="172"/>
      <x:c r="AY201" s="172"/>
      <x:c r="AZ201" s="172"/>
    </x:row>
    <x:row r="202" ht="23" customHeight="1">
      <x:c r="A202" s="175"/>
      <x:c r="B202" s="177"/>
      <x:c r="C202" s="177"/>
      <x:c r="D202" s="175"/>
      <x:c r="E202" s="175"/>
      <x:c r="F202" s="175"/>
      <x:c r="G202" s="175"/>
      <x:c r="H202" s="175"/>
      <x:c r="I202" s="175"/>
      <x:c r="J202" s="175"/>
      <x:c r="K202" s="212"/>
      <x:c r="L202" s="212"/>
      <x:c r="M202" s="175"/>
      <x:c r="N202" s="175"/>
      <x:c r="O202" s="175"/>
      <x:c r="P202" s="175"/>
      <x:c r="Q202" s="175"/>
      <x:c r="R202" s="212"/>
      <x:c r="S202" s="212"/>
      <x:c r="T202" s="212"/>
      <x:c r="U202" s="175"/>
      <x:c r="V202" s="175"/>
      <x:c r="W202" s="175"/>
      <x:c r="X202" s="175"/>
      <x:c r="Y202" s="175"/>
      <x:c r="Z202" s="175"/>
      <x:c r="AA202" s="172"/>
      <x:c r="AB202" s="172"/>
      <x:c r="AC202" s="172"/>
      <x:c r="AD202" s="172"/>
      <x:c r="AE202" s="172"/>
      <x:c r="AF202" s="172"/>
      <x:c r="AG202" s="172"/>
      <x:c r="AH202" s="172"/>
      <x:c r="AI202" s="172"/>
      <x:c r="AJ202" s="172"/>
      <x:c r="AK202" s="172"/>
      <x:c r="AL202" s="172"/>
      <x:c r="AM202" s="172"/>
      <x:c r="AN202" s="172"/>
      <x:c r="AO202" s="172"/>
      <x:c r="AP202" s="172"/>
      <x:c r="AQ202" s="172"/>
      <x:c r="AR202" s="172"/>
      <x:c r="AS202" s="172"/>
      <x:c r="AT202" s="172"/>
      <x:c r="AU202" s="172"/>
      <x:c r="AV202" s="172"/>
      <x:c r="AW202" s="172"/>
      <x:c r="AX202" s="172"/>
      <x:c r="AY202" s="172"/>
      <x:c r="AZ202" s="172"/>
    </x:row>
    <x:row r="203" ht="23" customHeight="1">
      <x:c r="A203" s="175"/>
      <x:c r="B203" s="177"/>
      <x:c r="C203" s="177"/>
      <x:c r="D203" s="175"/>
      <x:c r="E203" s="175"/>
      <x:c r="F203" s="175"/>
      <x:c r="G203" s="175"/>
      <x:c r="H203" s="175"/>
      <x:c r="I203" s="175"/>
      <x:c r="J203" s="175"/>
      <x:c r="K203" s="212"/>
      <x:c r="L203" s="212"/>
      <x:c r="M203" s="175"/>
      <x:c r="N203" s="175"/>
      <x:c r="O203" s="175"/>
      <x:c r="P203" s="175"/>
      <x:c r="Q203" s="175"/>
      <x:c r="R203" s="212"/>
      <x:c r="S203" s="212"/>
      <x:c r="T203" s="212"/>
      <x:c r="U203" s="175"/>
      <x:c r="V203" s="175"/>
      <x:c r="W203" s="175"/>
      <x:c r="X203" s="175"/>
      <x:c r="Y203" s="175"/>
      <x:c r="Z203" s="175"/>
      <x:c r="AA203" s="172"/>
      <x:c r="AB203" s="172"/>
      <x:c r="AC203" s="172"/>
      <x:c r="AD203" s="172"/>
      <x:c r="AE203" s="172"/>
      <x:c r="AF203" s="172"/>
      <x:c r="AG203" s="172"/>
      <x:c r="AH203" s="172"/>
      <x:c r="AI203" s="172"/>
      <x:c r="AJ203" s="172"/>
      <x:c r="AK203" s="172"/>
      <x:c r="AL203" s="172"/>
      <x:c r="AM203" s="172"/>
      <x:c r="AN203" s="172"/>
      <x:c r="AO203" s="172"/>
      <x:c r="AP203" s="172"/>
      <x:c r="AQ203" s="172"/>
      <x:c r="AR203" s="172"/>
      <x:c r="AS203" s="172"/>
      <x:c r="AT203" s="172"/>
      <x:c r="AU203" s="172"/>
      <x:c r="AV203" s="172"/>
      <x:c r="AW203" s="172"/>
      <x:c r="AX203" s="172"/>
      <x:c r="AY203" s="172"/>
      <x:c r="AZ203" s="172"/>
    </x:row>
    <x:row r="204" ht="23" customHeight="1">
      <x:c r="A204" s="172"/>
      <x:c r="B204" s="172"/>
      <x:c r="C204" s="172"/>
      <x:c r="D204" s="172"/>
      <x:c r="E204" s="172"/>
      <x:c r="F204" s="172"/>
      <x:c r="G204" s="172"/>
      <x:c r="H204" s="172"/>
      <x:c r="I204" s="172"/>
      <x:c r="J204" s="172"/>
      <x:c r="K204" s="172"/>
      <x:c r="L204" s="172"/>
      <x:c r="M204" s="172"/>
      <x:c r="N204" s="172"/>
      <x:c r="O204" s="172"/>
      <x:c r="P204" s="172"/>
      <x:c r="Q204" s="172"/>
      <x:c r="R204" s="172"/>
      <x:c r="S204" s="172"/>
      <x:c r="T204" s="172"/>
      <x:c r="U204" s="172"/>
      <x:c r="V204" s="172"/>
      <x:c r="W204" s="172"/>
      <x:c r="X204" s="172"/>
      <x:c r="Y204" s="172"/>
      <x:c r="Z204" s="172"/>
      <x:c r="AA204" s="172"/>
      <x:c r="AB204" s="172"/>
      <x:c r="AC204" s="172"/>
      <x:c r="AD204" s="172"/>
      <x:c r="AE204" s="172"/>
      <x:c r="AF204" s="172"/>
      <x:c r="AG204" s="172"/>
      <x:c r="AH204" s="172"/>
      <x:c r="AI204" s="172"/>
      <x:c r="AJ204" s="172"/>
      <x:c r="AK204" s="172"/>
      <x:c r="AL204" s="172"/>
      <x:c r="AM204" s="172"/>
      <x:c r="AN204" s="172"/>
      <x:c r="AO204" s="172"/>
      <x:c r="AP204" s="172"/>
      <x:c r="AQ204" s="172"/>
      <x:c r="AR204" s="172"/>
      <x:c r="AS204" s="172"/>
      <x:c r="AT204" s="172"/>
      <x:c r="AU204" s="172"/>
      <x:c r="AV204" s="172"/>
      <x:c r="AW204" s="172"/>
      <x:c r="AX204" s="172"/>
      <x:c r="AY204" s="172"/>
      <x:c r="AZ204" s="172"/>
    </x:row>
    <x:row r="205" ht="23" customHeight="1">
      <x:c r="A205" s="172" t="str">
        <x:v>CANDIDAȚI PENTRU COPIERE CA VALORI – NU SUNT SNAPSHOTURI</x:v>
      </x:c>
      <x:c r="B205" s="172"/>
      <x:c r="C205" s="172"/>
      <x:c r="D205" s="172"/>
      <x:c r="E205" s="172"/>
      <x:c r="F205" s="172"/>
      <x:c r="G205" s="172"/>
      <x:c r="H205" s="172"/>
      <x:c r="I205" s="172"/>
      <x:c r="J205" s="172"/>
      <x:c r="K205" s="172"/>
      <x:c r="L205" s="172"/>
      <x:c r="M205" s="172"/>
      <x:c r="N205" s="172"/>
      <x:c r="O205" s="172"/>
      <x:c r="P205" s="172"/>
      <x:c r="Q205" s="172"/>
      <x:c r="R205" s="172"/>
      <x:c r="S205" s="172"/>
      <x:c r="T205" s="172"/>
      <x:c r="U205" s="172"/>
      <x:c r="V205" s="172"/>
      <x:c r="W205" s="172"/>
      <x:c r="X205" s="172"/>
      <x:c r="Y205" s="172"/>
      <x:c r="Z205" s="172"/>
      <x:c r="AA205" s="172"/>
      <x:c r="AB205" s="172"/>
      <x:c r="AC205" s="172"/>
      <x:c r="AD205" s="172"/>
      <x:c r="AE205" s="172"/>
      <x:c r="AF205" s="172"/>
      <x:c r="AG205" s="172"/>
      <x:c r="AH205" s="172"/>
      <x:c r="AI205" s="172"/>
      <x:c r="AJ205" s="172"/>
      <x:c r="AK205" s="172"/>
      <x:c r="AL205" s="172"/>
      <x:c r="AM205" s="172"/>
      <x:c r="AN205" s="172"/>
      <x:c r="AO205" s="172"/>
      <x:c r="AP205" s="172"/>
      <x:c r="AQ205" s="172"/>
      <x:c r="AR205" s="172"/>
      <x:c r="AS205" s="172"/>
      <x:c r="AT205" s="172"/>
      <x:c r="AU205" s="172"/>
      <x:c r="AV205" s="172"/>
      <x:c r="AW205" s="172"/>
      <x:c r="AX205" s="172"/>
      <x:c r="AY205" s="172"/>
      <x:c r="AZ205" s="172"/>
    </x:row>
    <x:row r="206" ht="36" customHeight="1">
      <x:c r="A206" s="181" t="str">
        <x:v>Snapshot_ID</x:v>
      </x:c>
      <x:c r="B206" s="181" t="str">
        <x:v>Snapshot_TS</x:v>
      </x:c>
      <x:c r="C206" s="181" t="str">
        <x:v>Kickoff</x:v>
      </x:c>
      <x:c r="D206" s="181" t="str">
        <x:v>Country</x:v>
      </x:c>
      <x:c r="E206" s="181" t="str">
        <x:v>League</x:v>
      </x:c>
      <x:c r="F206" s="181" t="str">
        <x:v>Home</x:v>
      </x:c>
      <x:c r="G206" s="181" t="str">
        <x:v>Away</x:v>
      </x:c>
      <x:c r="H206" s="181" t="str">
        <x:v>Market</x:v>
      </x:c>
      <x:c r="I206" s="181" t="str">
        <x:v>Line</x:v>
      </x:c>
      <x:c r="J206" s="181" t="str">
        <x:v>Methodology</x:v>
      </x:c>
      <x:c r="K206" s="181" t="str">
        <x:v>P_Raw</x:v>
      </x:c>
      <x:c r="L206" s="181" t="str">
        <x:v>P_Adjusted</x:v>
      </x:c>
      <x:c r="M206" s="181" t="str">
        <x:v>Verdict</x:v>
      </x:c>
      <x:c r="N206" s="181" t="str">
        <x:v>Risk_Level</x:v>
      </x:c>
      <x:c r="O206" s="181" t="str">
        <x:v>G0</x:v>
      </x:c>
      <x:c r="P206" s="181" t="str">
        <x:v>Data_Status</x:v>
      </x:c>
      <x:c r="Q206" s="181" t="str">
        <x:v>PreMatch_Frozen</x:v>
      </x:c>
      <x:c r="R206" s="181" t="str">
        <x:v>Near_Tail</x:v>
      </x:c>
      <x:c r="S206" s="181" t="str">
        <x:v>Severe_Tail</x:v>
      </x:c>
      <x:c r="T206" s="181" t="str">
        <x:v>Failure_Raw</x:v>
      </x:c>
      <x:c r="U206" s="181" t="str">
        <x:v>Confidence</x:v>
      </x:c>
      <x:c r="V206" s="181" t="str">
        <x:v>Release</x:v>
      </x:c>
      <x:c r="W206" s="181" t="str">
        <x:v>Lambda_H</x:v>
      </x:c>
      <x:c r="X206" s="181" t="str">
        <x:v>Lambda_A</x:v>
      </x:c>
      <x:c r="Y206" s="181" t="str">
        <x:v>Odds_Optional</x:v>
      </x:c>
      <x:c r="Z206" s="181" t="str">
        <x:v>Notes</x:v>
      </x:c>
      <x:c r="AA206" s="172"/>
      <x:c r="AB206" s="172"/>
      <x:c r="AC206" s="172"/>
      <x:c r="AD206" s="172"/>
      <x:c r="AE206" s="172"/>
      <x:c r="AF206" s="172"/>
      <x:c r="AG206" s="172"/>
      <x:c r="AH206" s="172"/>
      <x:c r="AI206" s="172"/>
      <x:c r="AJ206" s="172"/>
      <x:c r="AK206" s="172"/>
      <x:c r="AL206" s="172"/>
      <x:c r="AM206" s="172"/>
      <x:c r="AN206" s="172"/>
      <x:c r="AO206" s="172"/>
      <x:c r="AP206" s="172"/>
      <x:c r="AQ206" s="172"/>
      <x:c r="AR206" s="172"/>
      <x:c r="AS206" s="172"/>
      <x:c r="AT206" s="172"/>
      <x:c r="AU206" s="172"/>
      <x:c r="AV206" s="172"/>
      <x:c r="AW206" s="172"/>
      <x:c r="AX206" s="172"/>
      <x:c r="AY206" s="172"/>
      <x:c r="AZ206" s="172"/>
    </x:row>
    <x:row r="207" ht="23" customHeight="1">
      <x:c r="A207" s="172"/>
      <x:c r="B207" s="172"/>
      <x:c r="C207" s="172" t="n">
        <x:f>IF('Date statistice'!B10="","",'Date statistice'!B10)</x:f>
        <x:v>46261</x:v>
      </x:c>
      <x:c r="D207" s="172"/>
      <x:c r="E207" s="172" t="str">
        <x:f>IF('Date statistice'!B9="","",'Date statistice'!B9)</x:f>
        <x:v>UEFA Conference League 2026/27 – play-off, retur</x:v>
      </x:c>
      <x:c r="F207" s="172" t="str">
        <x:f>IF('Date statistice'!B7="","",'Date statistice'!B7)</x:f>
        <x:v>FC København</x:v>
      </x:c>
      <x:c r="G207" s="172" t="str">
        <x:f>IF('Date statistice'!B8="","",'Date statistice'!B8)</x:f>
        <x:v>FC Inter Turku</x:v>
      </x:c>
      <x:c r="H207" s="172" t="str">
        <x:f>IF("UNDER TOTAL GOALS"="","","UNDER TOTAL GOALS")</x:f>
        <x:v>UNDER TOTAL GOALS</x:v>
      </x:c>
      <x:c r="I207" s="172" t="str">
        <x:f>IF(Under_MultiLine_v9!A5="","",Under_MultiLine_v9!A5)</x:f>
        <x:v>U3.5</x:v>
      </x:c>
      <x:c r="J207" s="172" t="str">
        <x:f>IF(Under_LineCal_v9!$B$45="","",Under_LineCal_v9!$B$45)</x:f>
        <x:v>UNDER MULTI-LINE STATISTIC v11</x:v>
      </x:c>
      <x:c r="K207" s="172" t="str">
        <x:f>IF(Under_MultiLine_v9!F5="","",Under_MultiLine_v9!F5)</x:f>
      </x:c>
      <x:c r="L207" s="172" t="str">
        <x:f>IF(Under_MultiLine_v9!G5="","",Under_MultiLine_v9!G5)</x:f>
      </x:c>
      <x:c r="M207" s="172" t="str">
        <x:f>IF(Under_MultiLine_v9!P5="","",Under_MultiLine_v9!P5)</x:f>
        <x:v>NEELIBERAT</x:v>
      </x:c>
      <x:c r="N207" s="172" t="str">
        <x:f>IF(Under_MultiLine_v9!N5="","",Under_MultiLine_v9!N5)</x:f>
      </x:c>
      <x:c r="O207" s="172" t="str">
        <x:f>IF(Under_MultiLine_v9!U5="","",Under_MultiLine_v9!U5)</x:f>
        <x:v>INCOMPLETE</x:v>
      </x:c>
      <x:c r="P207" s="172" t="str">
        <x:f>IF(Under_MultiLine_v9!T5="","",Under_MultiLine_v9!T5)</x:f>
        <x:v>SOURCING INCOMPLETE</x:v>
      </x:c>
      <x:c r="Q207" s="172" t="str">
        <x:f>IF("NU"="","","NU")</x:f>
        <x:v>NU</x:v>
      </x:c>
      <x:c r="R207" s="172" t="str">
        <x:f>IF(Under_MultiLine_v9!D5="","",Under_MultiLine_v9!D5)</x:f>
      </x:c>
      <x:c r="S207" s="172" t="str">
        <x:f>IF(Under_MultiLine_v9!E5="","",Under_MultiLine_v9!E5)</x:f>
      </x:c>
      <x:c r="T207" s="172" t="str">
        <x:f>IF(Under_MultiLine_v9!C5="","",Under_MultiLine_v9!C5)</x:f>
      </x:c>
      <x:c r="U207" s="172" t="str">
        <x:f>IF(Under_MultiLine_v9!O5="","",Under_MultiLine_v9!O5)</x:f>
      </x:c>
      <x:c r="V207" s="172" t="str">
        <x:f>IF(Under_MultiLine_v9!V5="","",Under_MultiLine_v9!V5)</x:f>
        <x:v>NOT RELEASED</x:v>
      </x:c>
      <x:c r="W207" s="172" t="str">
        <x:f>IF('Model adaptiv'!B61="","",'Model adaptiv'!B61)</x:f>
      </x:c>
      <x:c r="X207" s="172" t="str">
        <x:f>IF('Model adaptiv'!C61="","",'Model adaptiv'!C61)</x:f>
      </x:c>
      <x:c r="Y207" s="172" t="str">
        <x:f>IF('Date statistice'!B58="","",'Date statistice'!B58)</x:f>
      </x:c>
      <x:c r="Z207" s="172" t="str">
        <x:f>IF("Completează ID și timestamp; verifică kickoff, apoi marchează DA înainte de start."="","","Completează ID și timestamp; verifică kickoff, apoi marchează DA înainte de start.")</x:f>
        <x:v>Completează ID și timestamp; verifică kickoff, apoi marchează DA înainte de start.</x:v>
      </x:c>
      <x:c r="AA207" s="172"/>
      <x:c r="AB207" s="172"/>
      <x:c r="AC207" s="172"/>
      <x:c r="AD207" s="172"/>
      <x:c r="AE207" s="172"/>
      <x:c r="AF207" s="172"/>
      <x:c r="AG207" s="172"/>
      <x:c r="AH207" s="172"/>
      <x:c r="AI207" s="172"/>
      <x:c r="AJ207" s="172"/>
      <x:c r="AK207" s="172"/>
      <x:c r="AL207" s="172"/>
      <x:c r="AM207" s="172"/>
      <x:c r="AN207" s="172"/>
      <x:c r="AO207" s="172"/>
      <x:c r="AP207" s="172"/>
      <x:c r="AQ207" s="172"/>
      <x:c r="AR207" s="172"/>
      <x:c r="AS207" s="172"/>
      <x:c r="AT207" s="172"/>
      <x:c r="AU207" s="172"/>
      <x:c r="AV207" s="172"/>
      <x:c r="AW207" s="172"/>
      <x:c r="AX207" s="172"/>
      <x:c r="AY207" s="172"/>
      <x:c r="AZ207" s="172"/>
    </x:row>
    <x:row r="208" ht="23" customHeight="1">
      <x:c r="A208" s="172"/>
      <x:c r="B208" s="172"/>
      <x:c r="C208" s="172" t="n">
        <x:f>IF('Date statistice'!B10="","",'Date statistice'!B10)</x:f>
        <x:v>46261</x:v>
      </x:c>
      <x:c r="D208" s="172"/>
      <x:c r="E208" s="172" t="str">
        <x:f>IF('Date statistice'!B9="","",'Date statistice'!B9)</x:f>
        <x:v>UEFA Conference League 2026/27 – play-off, retur</x:v>
      </x:c>
      <x:c r="F208" s="172" t="str">
        <x:f>IF('Date statistice'!B7="","",'Date statistice'!B7)</x:f>
        <x:v>FC København</x:v>
      </x:c>
      <x:c r="G208" s="172" t="str">
        <x:f>IF('Date statistice'!B8="","",'Date statistice'!B8)</x:f>
        <x:v>FC Inter Turku</x:v>
      </x:c>
      <x:c r="H208" s="172" t="str">
        <x:f>IF("UNDER TOTAL GOALS"="","","UNDER TOTAL GOALS")</x:f>
        <x:v>UNDER TOTAL GOALS</x:v>
      </x:c>
      <x:c r="I208" s="172" t="str">
        <x:f>IF(Under_MultiLine_v9!A6="","",Under_MultiLine_v9!A6)</x:f>
        <x:v>U4.5</x:v>
      </x:c>
      <x:c r="J208" s="172" t="str">
        <x:f>IF(Under_LineCal_v9!$B$45="","",Under_LineCal_v9!$B$45)</x:f>
        <x:v>UNDER MULTI-LINE STATISTIC v11</x:v>
      </x:c>
      <x:c r="K208" s="172" t="str">
        <x:f>IF(Under_MultiLine_v9!F6="","",Under_MultiLine_v9!F6)</x:f>
      </x:c>
      <x:c r="L208" s="172" t="str">
        <x:f>IF(Under_MultiLine_v9!G6="","",Under_MultiLine_v9!G6)</x:f>
      </x:c>
      <x:c r="M208" s="172" t="str">
        <x:f>IF(Under_MultiLine_v9!P6="","",Under_MultiLine_v9!P6)</x:f>
        <x:v>NEELIBERAT</x:v>
      </x:c>
      <x:c r="N208" s="172" t="str">
        <x:f>IF(Under_MultiLine_v9!N6="","",Under_MultiLine_v9!N6)</x:f>
      </x:c>
      <x:c r="O208" s="172" t="str">
        <x:f>IF(Under_MultiLine_v9!U6="","",Under_MultiLine_v9!U6)</x:f>
        <x:v>INCOMPLETE</x:v>
      </x:c>
      <x:c r="P208" s="172" t="str">
        <x:f>IF(Under_MultiLine_v9!T6="","",Under_MultiLine_v9!T6)</x:f>
        <x:v>SOURCING INCOMPLETE</x:v>
      </x:c>
      <x:c r="Q208" s="172" t="str">
        <x:f>IF("NU"="","","NU")</x:f>
        <x:v>NU</x:v>
      </x:c>
      <x:c r="R208" s="172" t="str">
        <x:f>IF(Under_MultiLine_v9!D6="","",Under_MultiLine_v9!D6)</x:f>
      </x:c>
      <x:c r="S208" s="172" t="str">
        <x:f>IF(Under_MultiLine_v9!E6="","",Under_MultiLine_v9!E6)</x:f>
      </x:c>
      <x:c r="T208" s="172" t="str">
        <x:f>IF(Under_MultiLine_v9!C6="","",Under_MultiLine_v9!C6)</x:f>
      </x:c>
      <x:c r="U208" s="172" t="str">
        <x:f>IF(Under_MultiLine_v9!O6="","",Under_MultiLine_v9!O6)</x:f>
      </x:c>
      <x:c r="V208" s="172" t="str">
        <x:f>IF(Under_MultiLine_v9!V6="","",Under_MultiLine_v9!V6)</x:f>
        <x:v>NOT RELEASED</x:v>
      </x:c>
      <x:c r="W208" s="172" t="str">
        <x:f>IF('Model adaptiv'!B61="","",'Model adaptiv'!B61)</x:f>
      </x:c>
      <x:c r="X208" s="172" t="str">
        <x:f>IF('Model adaptiv'!C61="","",'Model adaptiv'!C61)</x:f>
      </x:c>
      <x:c r="Y208" s="172" t="n">
        <x:f>IF('Date statistice'!B59="","",'Date statistice'!B59)</x:f>
        <x:v>1.08</x:v>
      </x:c>
      <x:c r="Z208" s="172" t="str">
        <x:f>IF("Completează ID și timestamp; verifică kickoff, apoi marchează DA înainte de start."="","","Completează ID și timestamp; verifică kickoff, apoi marchează DA înainte de start.")</x:f>
        <x:v>Completează ID și timestamp; verifică kickoff, apoi marchează DA înainte de start.</x:v>
      </x:c>
      <x:c r="AA208" s="172"/>
      <x:c r="AB208" s="172"/>
      <x:c r="AC208" s="172"/>
      <x:c r="AD208" s="172"/>
      <x:c r="AE208" s="172"/>
      <x:c r="AF208" s="172"/>
      <x:c r="AG208" s="172"/>
      <x:c r="AH208" s="172"/>
      <x:c r="AI208" s="172"/>
      <x:c r="AJ208" s="172"/>
      <x:c r="AK208" s="172"/>
      <x:c r="AL208" s="172"/>
      <x:c r="AM208" s="172"/>
      <x:c r="AN208" s="172"/>
      <x:c r="AO208" s="172"/>
      <x:c r="AP208" s="172"/>
      <x:c r="AQ208" s="172"/>
      <x:c r="AR208" s="172"/>
      <x:c r="AS208" s="172"/>
      <x:c r="AT208" s="172"/>
      <x:c r="AU208" s="172"/>
      <x:c r="AV208" s="172"/>
      <x:c r="AW208" s="172"/>
      <x:c r="AX208" s="172"/>
      <x:c r="AY208" s="172"/>
      <x:c r="AZ208" s="172"/>
    </x:row>
    <x:row r="209" ht="23" customHeight="1">
      <x:c r="A209" s="172"/>
      <x:c r="B209" s="172"/>
      <x:c r="C209" s="172" t="n">
        <x:f>IF('Date statistice'!B10="","",'Date statistice'!B10)</x:f>
        <x:v>46261</x:v>
      </x:c>
      <x:c r="D209" s="172"/>
      <x:c r="E209" s="172" t="str">
        <x:f>IF('Date statistice'!B9="","",'Date statistice'!B9)</x:f>
        <x:v>UEFA Conference League 2026/27 – play-off, retur</x:v>
      </x:c>
      <x:c r="F209" s="172" t="str">
        <x:f>IF('Date statistice'!B7="","",'Date statistice'!B7)</x:f>
        <x:v>FC København</x:v>
      </x:c>
      <x:c r="G209" s="172" t="str">
        <x:f>IF('Date statistice'!B8="","",'Date statistice'!B8)</x:f>
        <x:v>FC Inter Turku</x:v>
      </x:c>
      <x:c r="H209" s="172" t="str">
        <x:f>IF("UNDER TOTAL GOALS"="","","UNDER TOTAL GOALS")</x:f>
        <x:v>UNDER TOTAL GOALS</x:v>
      </x:c>
      <x:c r="I209" s="172" t="str">
        <x:f>IF(Under_MultiLine_v9!A7="","",Under_MultiLine_v9!A7)</x:f>
        <x:v>U5.5</x:v>
      </x:c>
      <x:c r="J209" s="172" t="str">
        <x:f>IF(Under_LineCal_v9!$B$45="","",Under_LineCal_v9!$B$45)</x:f>
        <x:v>UNDER MULTI-LINE STATISTIC v11</x:v>
      </x:c>
      <x:c r="K209" s="172" t="str">
        <x:f>IF(Under_MultiLine_v9!F7="","",Under_MultiLine_v9!F7)</x:f>
      </x:c>
      <x:c r="L209" s="172" t="str">
        <x:f>IF(Under_MultiLine_v9!G7="","",Under_MultiLine_v9!G7)</x:f>
      </x:c>
      <x:c r="M209" s="172" t="str">
        <x:f>IF(Under_MultiLine_v9!P7="","",Under_MultiLine_v9!P7)</x:f>
        <x:v>NEELIBERAT</x:v>
      </x:c>
      <x:c r="N209" s="172" t="str">
        <x:f>IF(Under_MultiLine_v9!N7="","",Under_MultiLine_v9!N7)</x:f>
      </x:c>
      <x:c r="O209" s="172" t="str">
        <x:f>IF(Under_MultiLine_v9!U7="","",Under_MultiLine_v9!U7)</x:f>
        <x:v>INCOMPLETE</x:v>
      </x:c>
      <x:c r="P209" s="172" t="str">
        <x:f>IF(Under_MultiLine_v9!T7="","",Under_MultiLine_v9!T7)</x:f>
        <x:v>SOURCING INCOMPLETE</x:v>
      </x:c>
      <x:c r="Q209" s="172" t="str">
        <x:f>IF("NU"="","","NU")</x:f>
        <x:v>NU</x:v>
      </x:c>
      <x:c r="R209" s="172" t="str">
        <x:f>IF(Under_MultiLine_v9!D7="","",Under_MultiLine_v9!D7)</x:f>
      </x:c>
      <x:c r="S209" s="172" t="str">
        <x:f>IF(Under_MultiLine_v9!E7="","",Under_MultiLine_v9!E7)</x:f>
      </x:c>
      <x:c r="T209" s="172" t="str">
        <x:f>IF(Under_MultiLine_v9!C7="","",Under_MultiLine_v9!C7)</x:f>
      </x:c>
      <x:c r="U209" s="172" t="str">
        <x:f>IF(Under_MultiLine_v9!O7="","",Under_MultiLine_v9!O7)</x:f>
      </x:c>
      <x:c r="V209" s="172" t="str">
        <x:f>IF(Under_MultiLine_v9!V7="","",Under_MultiLine_v9!V7)</x:f>
        <x:v>NOT RELEASED</x:v>
      </x:c>
      <x:c r="W209" s="172" t="str">
        <x:f>IF('Model adaptiv'!B61="","",'Model adaptiv'!B61)</x:f>
      </x:c>
      <x:c r="X209" s="172" t="str">
        <x:f>IF('Model adaptiv'!C61="","",'Model adaptiv'!C61)</x:f>
      </x:c>
      <x:c r="Y209" s="172" t="str">
        <x:f>IF('Date statistice'!B60="","",'Date statistice'!B60)</x:f>
      </x:c>
      <x:c r="Z209" s="172" t="str">
        <x:f>IF("Completează ID și timestamp; verifică kickoff, apoi marchează DA înainte de start."="","","Completează ID și timestamp; verifică kickoff, apoi marchează DA înainte de start.")</x:f>
        <x:v>Completează ID și timestamp; verifică kickoff, apoi marchează DA înainte de start.</x:v>
      </x:c>
      <x:c r="AA209" s="172"/>
      <x:c r="AB209" s="172"/>
      <x:c r="AC209" s="172"/>
      <x:c r="AD209" s="172"/>
      <x:c r="AE209" s="172"/>
      <x:c r="AF209" s="172"/>
      <x:c r="AG209" s="172"/>
      <x:c r="AH209" s="172"/>
      <x:c r="AI209" s="172"/>
      <x:c r="AJ209" s="172"/>
      <x:c r="AK209" s="172"/>
      <x:c r="AL209" s="172"/>
      <x:c r="AM209" s="172"/>
      <x:c r="AN209" s="172"/>
      <x:c r="AO209" s="172"/>
      <x:c r="AP209" s="172"/>
      <x:c r="AQ209" s="172"/>
      <x:c r="AR209" s="172"/>
      <x:c r="AS209" s="172"/>
      <x:c r="AT209" s="172"/>
      <x:c r="AU209" s="172"/>
      <x:c r="AV209" s="172"/>
      <x:c r="AW209" s="172"/>
      <x:c r="AX209" s="172"/>
      <x:c r="AY209" s="172"/>
      <x:c r="AZ209" s="172"/>
    </x:row>
    <x:row r="210" ht="23" customHeight="1">
      <x:c r="A210" s="172"/>
      <x:c r="B210" s="172"/>
      <x:c r="C210" s="172"/>
      <x:c r="D210" s="172"/>
      <x:c r="E210" s="172"/>
      <x:c r="F210" s="172"/>
      <x:c r="G210" s="172"/>
      <x:c r="H210" s="172"/>
      <x:c r="I210" s="172"/>
      <x:c r="J210" s="172"/>
      <x:c r="K210" s="172"/>
      <x:c r="L210" s="172"/>
      <x:c r="M210" s="172"/>
      <x:c r="N210" s="172"/>
      <x:c r="O210" s="172"/>
      <x:c r="P210" s="172"/>
      <x:c r="Q210" s="172"/>
      <x:c r="R210" s="172"/>
      <x:c r="S210" s="172"/>
      <x:c r="T210" s="172"/>
      <x:c r="U210" s="172"/>
      <x:c r="V210" s="172"/>
      <x:c r="W210" s="172"/>
      <x:c r="X210" s="172"/>
      <x:c r="Y210" s="172"/>
      <x:c r="Z210" s="172"/>
      <x:c r="AA210" s="172"/>
      <x:c r="AB210" s="172"/>
      <x:c r="AC210" s="172"/>
      <x:c r="AD210" s="172"/>
      <x:c r="AE210" s="172"/>
      <x:c r="AF210" s="172"/>
      <x:c r="AG210" s="172"/>
      <x:c r="AH210" s="172"/>
      <x:c r="AI210" s="172"/>
      <x:c r="AJ210" s="172"/>
      <x:c r="AK210" s="172"/>
      <x:c r="AL210" s="172"/>
      <x:c r="AM210" s="172"/>
      <x:c r="AN210" s="172"/>
      <x:c r="AO210" s="172"/>
      <x:c r="AP210" s="172"/>
      <x:c r="AQ210" s="172"/>
      <x:c r="AR210" s="172"/>
      <x:c r="AS210" s="172"/>
      <x:c r="AT210" s="172"/>
      <x:c r="AU210" s="172"/>
      <x:c r="AV210" s="172"/>
      <x:c r="AW210" s="172"/>
      <x:c r="AX210" s="172"/>
      <x:c r="AY210" s="172"/>
      <x:c r="AZ210" s="172"/>
    </x:row>
    <x:row r="211" ht="23" customHeight="1">
      <x:c r="A211" s="172"/>
      <x:c r="B211" s="172"/>
      <x:c r="C211" s="172"/>
      <x:c r="D211" s="172"/>
      <x:c r="E211" s="172"/>
      <x:c r="F211" s="172"/>
      <x:c r="G211" s="172"/>
      <x:c r="H211" s="172"/>
      <x:c r="I211" s="172"/>
      <x:c r="J211" s="172"/>
      <x:c r="K211" s="172"/>
      <x:c r="L211" s="172"/>
      <x:c r="M211" s="172"/>
      <x:c r="N211" s="172"/>
      <x:c r="O211" s="172"/>
      <x:c r="P211" s="172"/>
      <x:c r="Q211" s="172"/>
      <x:c r="R211" s="172"/>
      <x:c r="S211" s="172"/>
      <x:c r="T211" s="172"/>
      <x:c r="U211" s="172"/>
      <x:c r="V211" s="172"/>
      <x:c r="W211" s="172"/>
      <x:c r="X211" s="172"/>
      <x:c r="Y211" s="172"/>
      <x:c r="Z211" s="172"/>
      <x:c r="AA211" s="172"/>
      <x:c r="AB211" s="172"/>
      <x:c r="AC211" s="172"/>
      <x:c r="AD211" s="172"/>
      <x:c r="AE211" s="172"/>
      <x:c r="AF211" s="172"/>
      <x:c r="AG211" s="172"/>
      <x:c r="AH211" s="172"/>
      <x:c r="AI211" s="172"/>
      <x:c r="AJ211" s="172"/>
      <x:c r="AK211" s="172"/>
      <x:c r="AL211" s="172"/>
      <x:c r="AM211" s="172"/>
      <x:c r="AN211" s="172"/>
      <x:c r="AO211" s="172"/>
      <x:c r="AP211" s="172"/>
      <x:c r="AQ211" s="172"/>
      <x:c r="AR211" s="172"/>
      <x:c r="AS211" s="172"/>
      <x:c r="AT211" s="172"/>
      <x:c r="AU211" s="172"/>
      <x:c r="AV211" s="172"/>
      <x:c r="AW211" s="172"/>
      <x:c r="AX211" s="172"/>
      <x:c r="AY211" s="172"/>
      <x:c r="AZ211" s="172"/>
    </x:row>
    <x:row r="212" ht="23" customHeight="1">
      <x:c r="A212" s="172" t="str">
        <x:v>Copiază candidatul ca valori într-un rând liber numai cu Release READY. Completează ID unic, timestamp și kickoff exact.</x:v>
      </x:c>
      <x:c r="B212" s="172"/>
      <x:c r="C212" s="172"/>
      <x:c r="D212" s="172"/>
      <x:c r="E212" s="172"/>
      <x:c r="F212" s="172"/>
      <x:c r="G212" s="172"/>
      <x:c r="H212" s="172"/>
      <x:c r="I212" s="172"/>
      <x:c r="J212" s="172"/>
      <x:c r="K212" s="172"/>
      <x:c r="L212" s="172"/>
      <x:c r="M212" s="172"/>
      <x:c r="N212" s="172"/>
      <x:c r="O212" s="172"/>
      <x:c r="P212" s="172"/>
      <x:c r="Q212" s="172"/>
      <x:c r="R212" s="172"/>
      <x:c r="S212" s="172"/>
      <x:c r="T212" s="172"/>
      <x:c r="U212" s="172"/>
      <x:c r="V212" s="172"/>
      <x:c r="W212" s="172"/>
      <x:c r="X212" s="172"/>
      <x:c r="Y212" s="172"/>
      <x:c r="Z212" s="172"/>
      <x:c r="AA212" s="172"/>
      <x:c r="AB212" s="172"/>
      <x:c r="AC212" s="172"/>
      <x:c r="AD212" s="172"/>
      <x:c r="AE212" s="172"/>
      <x:c r="AF212" s="172"/>
      <x:c r="AG212" s="172"/>
      <x:c r="AH212" s="172"/>
      <x:c r="AI212" s="172"/>
      <x:c r="AJ212" s="172"/>
      <x:c r="AK212" s="172"/>
      <x:c r="AL212" s="172"/>
      <x:c r="AM212" s="172"/>
      <x:c r="AN212" s="172"/>
      <x:c r="AO212" s="172"/>
      <x:c r="AP212" s="172"/>
      <x:c r="AQ212" s="172"/>
      <x:c r="AR212" s="172"/>
      <x:c r="AS212" s="172"/>
      <x:c r="AT212" s="172"/>
      <x:c r="AU212" s="172"/>
      <x:c r="AV212" s="172"/>
      <x:c r="AW212" s="172"/>
      <x:c r="AX212" s="172"/>
      <x:c r="AY212" s="172"/>
      <x:c r="AZ212" s="172"/>
    </x:row>
    <x:row r="213" ht="23" customHeight="1">
      <x:c r="A213" s="172" t="str">
        <x:v>Timestampul trebuie să fie anterior kickoff-ului. Marchează PreMatch_Frozen = DA. Nu înlocui snapshotul după rezultat.</x:v>
      </x:c>
      <x:c r="B213" s="172"/>
      <x:c r="C213" s="172"/>
      <x:c r="D213" s="172"/>
      <x:c r="E213" s="172"/>
      <x:c r="F213" s="172"/>
      <x:c r="G213" s="172"/>
      <x:c r="H213" s="172"/>
      <x:c r="I213" s="172"/>
      <x:c r="J213" s="172"/>
      <x:c r="K213" s="172"/>
      <x:c r="L213" s="172"/>
      <x:c r="M213" s="172"/>
      <x:c r="N213" s="172"/>
      <x:c r="O213" s="172"/>
      <x:c r="P213" s="172"/>
      <x:c r="Q213" s="172"/>
      <x:c r="R213" s="172"/>
      <x:c r="S213" s="172"/>
      <x:c r="T213" s="172"/>
      <x:c r="U213" s="172"/>
      <x:c r="V213" s="172"/>
      <x:c r="W213" s="172"/>
      <x:c r="X213" s="172"/>
      <x:c r="Y213" s="172"/>
      <x:c r="Z213" s="172"/>
      <x:c r="AA213" s="172"/>
      <x:c r="AB213" s="172"/>
      <x:c r="AC213" s="172"/>
      <x:c r="AD213" s="172"/>
      <x:c r="AE213" s="172"/>
      <x:c r="AF213" s="172"/>
      <x:c r="AG213" s="172"/>
      <x:c r="AH213" s="172"/>
      <x:c r="AI213" s="172"/>
      <x:c r="AJ213" s="172"/>
      <x:c r="AK213" s="172"/>
      <x:c r="AL213" s="172"/>
      <x:c r="AM213" s="172"/>
      <x:c r="AN213" s="172"/>
      <x:c r="AO213" s="172"/>
      <x:c r="AP213" s="172"/>
      <x:c r="AQ213" s="172"/>
      <x:c r="AR213" s="172"/>
      <x:c r="AS213" s="172"/>
      <x:c r="AT213" s="172"/>
      <x:c r="AU213" s="172"/>
      <x:c r="AV213" s="172"/>
      <x:c r="AW213" s="172"/>
      <x:c r="AX213" s="172"/>
      <x:c r="AY213" s="172"/>
      <x:c r="AZ213" s="172"/>
    </x:row>
    <x:row r="214" ht="23" customHeight="1">
      <x:c r="A214" s="172"/>
      <x:c r="B214" s="172"/>
      <x:c r="C214" s="172"/>
      <x:c r="D214" s="172"/>
      <x:c r="E214" s="172"/>
      <x:c r="F214" s="172"/>
      <x:c r="G214" s="172"/>
      <x:c r="H214" s="172"/>
      <x:c r="I214" s="172"/>
      <x:c r="J214" s="172"/>
      <x:c r="K214" s="172"/>
      <x:c r="L214" s="172"/>
      <x:c r="M214" s="172"/>
      <x:c r="N214" s="172"/>
      <x:c r="O214" s="172"/>
      <x:c r="P214" s="172"/>
      <x:c r="Q214" s="172"/>
      <x:c r="R214" s="172"/>
      <x:c r="S214" s="172"/>
      <x:c r="T214" s="172"/>
      <x:c r="U214" s="172"/>
      <x:c r="V214" s="172"/>
      <x:c r="W214" s="172"/>
      <x:c r="X214" s="172"/>
      <x:c r="Y214" s="172"/>
      <x:c r="Z214" s="172"/>
      <x:c r="AA214" s="172"/>
      <x:c r="AB214" s="172"/>
      <x:c r="AC214" s="172"/>
      <x:c r="AD214" s="172"/>
      <x:c r="AE214" s="172"/>
      <x:c r="AF214" s="172"/>
      <x:c r="AG214" s="172"/>
      <x:c r="AH214" s="172"/>
      <x:c r="AI214" s="172"/>
      <x:c r="AJ214" s="172"/>
      <x:c r="AK214" s="172"/>
      <x:c r="AL214" s="172"/>
      <x:c r="AM214" s="172"/>
      <x:c r="AN214" s="172"/>
      <x:c r="AO214" s="172"/>
      <x:c r="AP214" s="172"/>
      <x:c r="AQ214" s="172"/>
      <x:c r="AR214" s="172"/>
      <x:c r="AS214" s="172"/>
      <x:c r="AT214" s="172"/>
      <x:c r="AU214" s="172"/>
      <x:c r="AV214" s="172"/>
      <x:c r="AW214" s="172"/>
      <x:c r="AX214" s="172"/>
      <x:c r="AY214" s="172"/>
      <x:c r="AZ214" s="172"/>
    </x:row>
    <x:row r="215" ht="23" customHeight="1">
      <x:c r="A215" s="172"/>
      <x:c r="B215" s="172"/>
      <x:c r="C215" s="172"/>
      <x:c r="D215" s="172"/>
      <x:c r="E215" s="172"/>
      <x:c r="F215" s="172"/>
      <x:c r="G215" s="172"/>
      <x:c r="H215" s="172"/>
      <x:c r="I215" s="172"/>
      <x:c r="J215" s="172"/>
      <x:c r="K215" s="172"/>
      <x:c r="L215" s="172"/>
      <x:c r="M215" s="172"/>
      <x:c r="N215" s="172"/>
      <x:c r="O215" s="172"/>
      <x:c r="P215" s="172"/>
      <x:c r="Q215" s="172"/>
      <x:c r="R215" s="172"/>
      <x:c r="S215" s="172"/>
      <x:c r="T215" s="172"/>
      <x:c r="U215" s="172"/>
      <x:c r="V215" s="172"/>
      <x:c r="W215" s="172"/>
      <x:c r="X215" s="172"/>
      <x:c r="Y215" s="172"/>
      <x:c r="Z215" s="172"/>
      <x:c r="AA215" s="172"/>
      <x:c r="AB215" s="172"/>
      <x:c r="AC215" s="172"/>
      <x:c r="AD215" s="172"/>
      <x:c r="AE215" s="172"/>
      <x:c r="AF215" s="172"/>
      <x:c r="AG215" s="172"/>
      <x:c r="AH215" s="172"/>
      <x:c r="AI215" s="172"/>
      <x:c r="AJ215" s="172"/>
      <x:c r="AK215" s="172"/>
      <x:c r="AL215" s="172"/>
      <x:c r="AM215" s="172"/>
      <x:c r="AN215" s="172"/>
      <x:c r="AO215" s="172"/>
      <x:c r="AP215" s="172"/>
      <x:c r="AQ215" s="172"/>
      <x:c r="AR215" s="172"/>
      <x:c r="AS215" s="172"/>
      <x:c r="AT215" s="172"/>
      <x:c r="AU215" s="172"/>
      <x:c r="AV215" s="172"/>
      <x:c r="AW215" s="172"/>
      <x:c r="AX215" s="172"/>
      <x:c r="AY215" s="172"/>
      <x:c r="AZ215" s="172"/>
    </x:row>
    <x:row r="216" ht="23" customHeight="1">
      <x:c r="A216" s="172"/>
      <x:c r="B216" s="172"/>
      <x:c r="C216" s="172"/>
      <x:c r="D216" s="172"/>
      <x:c r="E216" s="172"/>
      <x:c r="F216" s="172"/>
      <x:c r="G216" s="172"/>
      <x:c r="H216" s="172"/>
      <x:c r="I216" s="172"/>
      <x:c r="J216" s="172"/>
      <x:c r="K216" s="172"/>
      <x:c r="L216" s="172"/>
      <x:c r="M216" s="172"/>
      <x:c r="N216" s="172"/>
      <x:c r="O216" s="172"/>
      <x:c r="P216" s="172"/>
      <x:c r="Q216" s="172"/>
      <x:c r="R216" s="172"/>
      <x:c r="S216" s="172"/>
      <x:c r="T216" s="172"/>
      <x:c r="U216" s="172"/>
      <x:c r="V216" s="172"/>
      <x:c r="W216" s="172"/>
      <x:c r="X216" s="172"/>
      <x:c r="Y216" s="172"/>
      <x:c r="Z216" s="172"/>
      <x:c r="AA216" s="172"/>
      <x:c r="AB216" s="172"/>
      <x:c r="AC216" s="172"/>
      <x:c r="AD216" s="172"/>
      <x:c r="AE216" s="172"/>
      <x:c r="AF216" s="172"/>
      <x:c r="AG216" s="172"/>
      <x:c r="AH216" s="172"/>
      <x:c r="AI216" s="172"/>
      <x:c r="AJ216" s="172"/>
      <x:c r="AK216" s="172"/>
      <x:c r="AL216" s="172"/>
      <x:c r="AM216" s="172"/>
      <x:c r="AN216" s="172"/>
      <x:c r="AO216" s="172"/>
      <x:c r="AP216" s="172"/>
      <x:c r="AQ216" s="172"/>
      <x:c r="AR216" s="172"/>
      <x:c r="AS216" s="172"/>
      <x:c r="AT216" s="172"/>
      <x:c r="AU216" s="172"/>
      <x:c r="AV216" s="172"/>
      <x:c r="AW216" s="172"/>
      <x:c r="AX216" s="172"/>
      <x:c r="AY216" s="172"/>
      <x:c r="AZ216" s="172"/>
    </x:row>
    <x:row r="217" ht="23" customHeight="1">
      <x:c r="A217" s="172"/>
      <x:c r="B217" s="172"/>
      <x:c r="C217" s="172"/>
      <x:c r="D217" s="172"/>
      <x:c r="E217" s="172"/>
      <x:c r="F217" s="172"/>
      <x:c r="G217" s="172"/>
      <x:c r="H217" s="172"/>
      <x:c r="I217" s="172"/>
      <x:c r="J217" s="172"/>
      <x:c r="K217" s="172"/>
      <x:c r="L217" s="172"/>
      <x:c r="M217" s="172"/>
      <x:c r="N217" s="172"/>
      <x:c r="O217" s="172"/>
      <x:c r="P217" s="172"/>
      <x:c r="Q217" s="172"/>
      <x:c r="R217" s="172"/>
      <x:c r="S217" s="172"/>
      <x:c r="T217" s="172"/>
      <x:c r="U217" s="172"/>
      <x:c r="V217" s="172"/>
      <x:c r="W217" s="172"/>
      <x:c r="X217" s="172"/>
      <x:c r="Y217" s="172"/>
      <x:c r="Z217" s="172"/>
      <x:c r="AA217" s="172"/>
      <x:c r="AB217" s="172"/>
      <x:c r="AC217" s="172"/>
      <x:c r="AD217" s="172"/>
      <x:c r="AE217" s="172"/>
      <x:c r="AF217" s="172"/>
      <x:c r="AG217" s="172"/>
      <x:c r="AH217" s="172"/>
      <x:c r="AI217" s="172"/>
      <x:c r="AJ217" s="172"/>
      <x:c r="AK217" s="172"/>
      <x:c r="AL217" s="172"/>
      <x:c r="AM217" s="172"/>
      <x:c r="AN217" s="172"/>
      <x:c r="AO217" s="172"/>
      <x:c r="AP217" s="172"/>
      <x:c r="AQ217" s="172"/>
      <x:c r="AR217" s="172"/>
      <x:c r="AS217" s="172"/>
      <x:c r="AT217" s="172"/>
      <x:c r="AU217" s="172"/>
      <x:c r="AV217" s="172"/>
      <x:c r="AW217" s="172"/>
      <x:c r="AX217" s="172"/>
      <x:c r="AY217" s="172"/>
      <x:c r="AZ217" s="172"/>
    </x:row>
    <x:row r="218" ht="23" customHeight="1">
      <x:c r="A218" s="172"/>
      <x:c r="B218" s="172"/>
      <x:c r="C218" s="172"/>
      <x:c r="D218" s="172"/>
      <x:c r="E218" s="172"/>
      <x:c r="F218" s="172"/>
      <x:c r="G218" s="172"/>
      <x:c r="H218" s="172"/>
      <x:c r="I218" s="172"/>
      <x:c r="J218" s="172"/>
      <x:c r="K218" s="172"/>
      <x:c r="L218" s="172"/>
      <x:c r="M218" s="172"/>
      <x:c r="N218" s="172"/>
      <x:c r="O218" s="172"/>
      <x:c r="P218" s="172"/>
      <x:c r="Q218" s="172"/>
      <x:c r="R218" s="172"/>
      <x:c r="S218" s="172"/>
      <x:c r="T218" s="172"/>
      <x:c r="U218" s="172"/>
      <x:c r="V218" s="172"/>
      <x:c r="W218" s="172"/>
      <x:c r="X218" s="172"/>
      <x:c r="Y218" s="172"/>
      <x:c r="Z218" s="172"/>
      <x:c r="AA218" s="172"/>
      <x:c r="AB218" s="172"/>
      <x:c r="AC218" s="172"/>
      <x:c r="AD218" s="172"/>
      <x:c r="AE218" s="172"/>
      <x:c r="AF218" s="172"/>
      <x:c r="AG218" s="172"/>
      <x:c r="AH218" s="172"/>
      <x:c r="AI218" s="172"/>
      <x:c r="AJ218" s="172"/>
      <x:c r="AK218" s="172"/>
      <x:c r="AL218" s="172"/>
      <x:c r="AM218" s="172"/>
      <x:c r="AN218" s="172"/>
      <x:c r="AO218" s="172"/>
      <x:c r="AP218" s="172"/>
      <x:c r="AQ218" s="172"/>
      <x:c r="AR218" s="172"/>
      <x:c r="AS218" s="172"/>
      <x:c r="AT218" s="172"/>
      <x:c r="AU218" s="172"/>
      <x:c r="AV218" s="172"/>
      <x:c r="AW218" s="172"/>
      <x:c r="AX218" s="172"/>
      <x:c r="AY218" s="172"/>
      <x:c r="AZ218" s="172"/>
    </x:row>
    <x:row r="219" ht="23" customHeight="1">
      <x:c r="A219" s="172"/>
      <x:c r="B219" s="172"/>
      <x:c r="C219" s="172"/>
      <x:c r="D219" s="172"/>
      <x:c r="E219" s="172"/>
      <x:c r="F219" s="172"/>
      <x:c r="G219" s="172"/>
      <x:c r="H219" s="172"/>
      <x:c r="I219" s="172"/>
      <x:c r="J219" s="172"/>
      <x:c r="K219" s="172"/>
      <x:c r="L219" s="172"/>
      <x:c r="M219" s="172"/>
      <x:c r="N219" s="172"/>
      <x:c r="O219" s="172"/>
      <x:c r="P219" s="172"/>
      <x:c r="Q219" s="172"/>
      <x:c r="R219" s="172"/>
      <x:c r="S219" s="172"/>
      <x:c r="T219" s="172"/>
      <x:c r="U219" s="172"/>
      <x:c r="V219" s="172"/>
      <x:c r="W219" s="172"/>
      <x:c r="X219" s="172"/>
      <x:c r="Y219" s="172"/>
      <x:c r="Z219" s="172"/>
      <x:c r="AA219" s="172"/>
      <x:c r="AB219" s="172"/>
      <x:c r="AC219" s="172"/>
      <x:c r="AD219" s="172"/>
      <x:c r="AE219" s="172"/>
      <x:c r="AF219" s="172"/>
      <x:c r="AG219" s="172"/>
      <x:c r="AH219" s="172"/>
      <x:c r="AI219" s="172"/>
      <x:c r="AJ219" s="172"/>
      <x:c r="AK219" s="172"/>
      <x:c r="AL219" s="172"/>
      <x:c r="AM219" s="172"/>
      <x:c r="AN219" s="172"/>
      <x:c r="AO219" s="172"/>
      <x:c r="AP219" s="172"/>
      <x:c r="AQ219" s="172"/>
      <x:c r="AR219" s="172"/>
      <x:c r="AS219" s="172"/>
      <x:c r="AT219" s="172"/>
      <x:c r="AU219" s="172"/>
      <x:c r="AV219" s="172"/>
      <x:c r="AW219" s="172"/>
      <x:c r="AX219" s="172"/>
      <x:c r="AY219" s="172"/>
      <x:c r="AZ219" s="172"/>
    </x:row>
    <x:row r="220" ht="23" customHeight="1">
      <x:c r="A220" s="172"/>
      <x:c r="B220" s="172"/>
      <x:c r="C220" s="172"/>
      <x:c r="D220" s="172"/>
      <x:c r="E220" s="172"/>
      <x:c r="F220" s="172"/>
      <x:c r="G220" s="172"/>
      <x:c r="H220" s="172"/>
      <x:c r="I220" s="172"/>
      <x:c r="J220" s="172"/>
      <x:c r="K220" s="172"/>
      <x:c r="L220" s="172"/>
      <x:c r="M220" s="172"/>
      <x:c r="N220" s="172"/>
      <x:c r="O220" s="172"/>
      <x:c r="P220" s="172"/>
      <x:c r="Q220" s="172"/>
      <x:c r="R220" s="172"/>
      <x:c r="S220" s="172"/>
      <x:c r="T220" s="172"/>
      <x:c r="U220" s="172"/>
      <x:c r="V220" s="172"/>
      <x:c r="W220" s="172"/>
      <x:c r="X220" s="172"/>
      <x:c r="Y220" s="172"/>
      <x:c r="Z220" s="172"/>
      <x:c r="AA220" s="172"/>
      <x:c r="AB220" s="172"/>
      <x:c r="AC220" s="172"/>
      <x:c r="AD220" s="172"/>
      <x:c r="AE220" s="172"/>
      <x:c r="AF220" s="172"/>
      <x:c r="AG220" s="172"/>
      <x:c r="AH220" s="172"/>
      <x:c r="AI220" s="172"/>
      <x:c r="AJ220" s="172"/>
      <x:c r="AK220" s="172"/>
      <x:c r="AL220" s="172"/>
      <x:c r="AM220" s="172"/>
      <x:c r="AN220" s="172"/>
      <x:c r="AO220" s="172"/>
      <x:c r="AP220" s="172"/>
      <x:c r="AQ220" s="172"/>
      <x:c r="AR220" s="172"/>
      <x:c r="AS220" s="172"/>
      <x:c r="AT220" s="172"/>
      <x:c r="AU220" s="172"/>
      <x:c r="AV220" s="172"/>
      <x:c r="AW220" s="172"/>
      <x:c r="AX220" s="172"/>
      <x:c r="AY220" s="172"/>
      <x:c r="AZ220" s="172"/>
    </x:row>
  </x:sheetData>
  <x:dataValidations count="2">
    <x:dataValidation type="list" sqref="Q4:Q203">
      <x:formula1>"DA,NU"</x:formula1>
    </x:dataValidation>
    <x:dataValidation type="list" sqref="I4:I203">
      <x:formula1>"U3.5,U4.5,U5.5"</x:formula1>
    </x:dataValidation>
  </x:dataValidation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Pr>
    <x:tabColor rgb="FF117E80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  <x:col min="10" max="10" width="21" hidden="0" customWidth="1"/>
    <x:col min="11" max="11" width="21" hidden="0" customWidth="1"/>
    <x:col min="12" max="12" width="21" hidden="0" customWidth="1"/>
    <x:col min="13" max="13" width="21" hidden="0" customWidth="1"/>
    <x:col min="14" max="14" width="21" hidden="0" customWidth="1"/>
    <x:col min="15" max="15" width="21" hidden="0" customWidth="1"/>
    <x:col min="16" max="16" width="38" hidden="0" customWidth="1"/>
    <x:col min="17" max="17" width="21" hidden="0" customWidth="1"/>
    <x:col min="18" max="18" width="21" hidden="0" customWidth="1"/>
    <x:col min="19" max="19" width="21" hidden="0" customWidth="1"/>
    <x:col min="20" max="20" width="21" hidden="0" customWidth="1"/>
    <x:col min="21" max="21" width="21" hidden="0" customWidth="1"/>
    <x:col min="22" max="22" width="21" hidden="0" customWidth="1"/>
    <x:col min="23" max="23" width="21" hidden="0" customWidth="1"/>
    <x:col min="24" max="24" width="30" hidden="0" customWidth="1"/>
  </x:cols>
  <x:sheetData>
    <x:row r="1" ht="23" customHeight="1">
      <x:c r="A1" s="173" t="str">
        <x:v>REZULTATE PENTRU PREDICȚIILE ÎNGHEȚATE</x:v>
      </x:c>
      <x:c r="B1" s="172"/>
      <x:c r="C1" s="172"/>
      <x:c r="D1" s="172"/>
      <x:c r="E1" s="172"/>
      <x:c r="F1" s="172"/>
      <x:c r="G1" s="172"/>
      <x:c r="H1" s="172"/>
      <x:c r="I1" s="172"/>
      <x:c r="J1" s="172"/>
      <x:c r="K1" s="172"/>
      <x:c r="L1" s="172"/>
      <x:c r="M1" s="172"/>
      <x:c r="N1" s="172"/>
      <x:c r="O1" s="172"/>
      <x:c r="P1" s="172"/>
      <x:c r="Q1" s="172"/>
      <x:c r="R1" s="172"/>
      <x:c r="S1" s="172"/>
      <x:c r="T1" s="172"/>
      <x:c r="U1" s="172"/>
      <x:c r="V1" s="172"/>
      <x:c r="W1" s="172"/>
      <x:c r="X1" s="172"/>
    </x:row>
    <x:row r="2" ht="23" customHeight="1">
      <x:c r="A2" s="172"/>
      <x:c r="B2" s="172"/>
      <x:c r="C2" s="172"/>
      <x:c r="D2" s="172"/>
      <x:c r="E2" s="172"/>
      <x:c r="F2" s="172"/>
      <x:c r="G2" s="172"/>
      <x:c r="H2" s="172"/>
      <x:c r="I2" s="172"/>
      <x:c r="J2" s="172"/>
      <x:c r="K2" s="172"/>
      <x:c r="L2" s="172"/>
      <x:c r="M2" s="172"/>
      <x:c r="N2" s="172"/>
      <x:c r="O2" s="172"/>
      <x:c r="P2" s="172"/>
      <x:c r="Q2" s="172"/>
      <x:c r="R2" s="172"/>
      <x:c r="S2" s="172"/>
      <x:c r="T2" s="172"/>
      <x:c r="U2" s="172"/>
      <x:c r="V2" s="172"/>
      <x:c r="W2" s="172"/>
      <x:c r="X2" s="172"/>
    </x:row>
    <x:row r="3" ht="36" customHeight="1">
      <x:c r="A3" s="181" t="str">
        <x:v>Snapshot_ID</x:v>
      </x:c>
      <x:c r="B3" s="181" t="str">
        <x:v>Kickoff</x:v>
      </x:c>
      <x:c r="C3" s="181" t="str">
        <x:v>League</x:v>
      </x:c>
      <x:c r="D3" s="181" t="str">
        <x:v>Home</x:v>
      </x:c>
      <x:c r="E3" s="181" t="str">
        <x:v>Away</x:v>
      </x:c>
      <x:c r="F3" s="181" t="str">
        <x:v>Market</x:v>
      </x:c>
      <x:c r="G3" s="181" t="str">
        <x:v>Line</x:v>
      </x:c>
      <x:c r="H3" s="181" t="str">
        <x:v>Methodology</x:v>
      </x:c>
      <x:c r="I3" s="181" t="str">
        <x:v>P_Final_Frozen</x:v>
      </x:c>
      <x:c r="J3" s="181" t="str">
        <x:v>Outcome_1_0</x:v>
      </x:c>
      <x:c r="K3" s="181" t="str">
        <x:v>Profit_1u</x:v>
      </x:c>
      <x:c r="L3" s="181" t="str">
        <x:v>Score_H</x:v>
      </x:c>
      <x:c r="M3" s="181" t="str">
        <x:v>Score_A</x:v>
      </x:c>
      <x:c r="N3" s="181" t="str">
        <x:v>Total</x:v>
      </x:c>
      <x:c r="O3" s="181" t="str">
        <x:v>Fail_Mode</x:v>
      </x:c>
      <x:c r="P3" s="181" t="str">
        <x:v>Result_Source</x:v>
      </x:c>
      <x:c r="Q3" s="181" t="str">
        <x:v>Settled_TS</x:v>
      </x:c>
      <x:c r="R3" s="181" t="str">
        <x:v>Brier</x:v>
      </x:c>
      <x:c r="S3" s="181" t="str">
        <x:v>LogLoss</x:v>
      </x:c>
      <x:c r="T3" s="181" t="str">
        <x:v>Risk_Level</x:v>
      </x:c>
      <x:c r="U3" s="181" t="str">
        <x:v>G0_Frozen</x:v>
      </x:c>
      <x:c r="V3" s="181" t="str">
        <x:v>Verdict_Frozen</x:v>
      </x:c>
      <x:c r="W3" s="181" t="str">
        <x:v>Notes</x:v>
      </x:c>
      <x:c r="X3" s="181" t="str">
        <x:v>Record_Status</x:v>
      </x:c>
    </x:row>
    <x:row r="4" ht="23" customHeight="1">
      <x:c r="A4" s="175"/>
      <x:c r="B4" s="200" t="str">
        <x:f>IF(A4="","",IFERROR(INDEX(Frozen_Predictions!$C$4:$C$203,MATCH(A4,Frozen_Predictions!$A$4:$A$203,0)),""))</x:f>
      </x:c>
      <x:c r="C4" s="172" t="str">
        <x:f>IF(A4="","",IFERROR(INDEX(Frozen_Predictions!$E$4:$E$203,MATCH(A4,Frozen_Predictions!$A$4:$A$203,0)),""))</x:f>
      </x:c>
      <x:c r="D4" s="172" t="str">
        <x:f>IF(A4="","",IFERROR(INDEX(Frozen_Predictions!$F$4:$F$203,MATCH(A4,Frozen_Predictions!$A$4:$A$203,0)),""))</x:f>
      </x:c>
      <x:c r="E4" s="172" t="str">
        <x:f>IF(A4="","",IFERROR(INDEX(Frozen_Predictions!$G$4:$G$203,MATCH(A4,Frozen_Predictions!$A$4:$A$203,0)),""))</x:f>
      </x:c>
      <x:c r="F4" s="172" t="str">
        <x:f>IF(A4="","",IFERROR(INDEX(Frozen_Predictions!$H$4:$H$203,MATCH(A4,Frozen_Predictions!$A$4:$A$203,0)),""))</x:f>
      </x:c>
      <x:c r="G4" s="172" t="str">
        <x:f>IF(A4="","",IFERROR(INDEX(Frozen_Predictions!$I$4:$I$203,MATCH(A4,Frozen_Predictions!$A$4:$A$203,0)),""))</x:f>
      </x:c>
      <x:c r="H4" s="172" t="str">
        <x:f>IF(A4="","",IFERROR(INDEX(Frozen_Predictions!$J$4:$J$203,MATCH(A4,Frozen_Predictions!$A$4:$A$203,0)),""))</x:f>
      </x:c>
      <x:c r="I4" s="192" t="str">
        <x:f>IF(A4="","",IFERROR(INDEX(Frozen_Predictions!$L$4:$L$203,MATCH(A4,Frozen_Predictions!$A$4:$A$203,0)),""))</x:f>
      </x:c>
      <x:c r="J4" s="172" t="str">
        <x:f>IF(X4&lt;&gt;"SETTLED","",IF(N4&lt;=IF(G4="U3.5",3,IF(G4="U4.5",4,5)),1,0))</x:f>
      </x:c>
      <x:c r="K4" s="195" t="str">
        <x:f>IF(X4&lt;&gt;"SETTLED","",IF(AND(OR(V4="DEFENSIV",V4="PRUDENT",V4="MODERAT",V4="RIDICAT"),ISNUMBER(INDEX(Frozen_Predictions!$Y$4:$Y$203,MATCH(A4,Frozen_Predictions!$A$4:$A$203,0))),INDEX(Frozen_Predictions!$Y$4:$Y$203,MATCH(A4,Frozen_Predictions!$A$4:$A$203,0))&gt;1),IF(J4=1,INDEX(Frozen_Predictions!$Y$4:$Y$203,MATCH(A4,Frozen_Predictions!$A$4:$A$203,0))-1,-1),""))</x:f>
      </x:c>
      <x:c r="L4" s="175"/>
      <x:c r="M4" s="175"/>
      <x:c r="N4" s="172" t="str">
        <x:f>IFERROR(IF(AND(ISNUMBER(L4),ISNUMBER(M4),L4&gt;=0,M4&gt;=0,INT(L4)=L4,INT(M4)=M4),L4+M4,""),"")</x:f>
      </x:c>
      <x:c r="O4" s="172" t="str">
        <x:f>IF(X4&lt;&gt;"SETTLED","",IF(J4=1,"WIN",IF(N4=IF(G4="U3.5",4,IF(G4="U4.5",5,6)),"NEAR TAIL","SEVERE TAIL")))</x:f>
      </x:c>
      <x:c r="P4" s="175"/>
      <x:c r="Q4" s="177"/>
      <x:c r="R4" s="213" t="str">
        <x:f>IF(X4&lt;&gt;"SETTLED","",(I4-J4)^2)</x:f>
      </x:c>
      <x:c r="S4" s="213" t="str">
        <x:f>IF(X4&lt;&gt;"SETTLED","",-(J4*LN(MAX(0.000001,MIN(0.999999,I4)))+(1-J4)*LN(MAX(0.000001,MIN(0.999999,1-I4)))))</x:f>
      </x:c>
      <x:c r="T4" s="172" t="str">
        <x:f>IF(A4="","",IFERROR(INDEX(Frozen_Predictions!$N$4:$N$203,MATCH(A4,Frozen_Predictions!$A$4:$A$203,0)),""))</x:f>
      </x:c>
      <x:c r="U4" s="172" t="str">
        <x:f>IF(A4="","",IFERROR(INDEX(Frozen_Predictions!$O$4:$O$203,MATCH(A4,Frozen_Predictions!$A$4:$A$203,0)),""))</x:f>
      </x:c>
      <x:c r="V4" s="172" t="str">
        <x:f>IF(A4="","",IFERROR(INDEX(Frozen_Predictions!$M$4:$M$203,MATCH(A4,Frozen_Predictions!$A$4:$A$203,0)),""))</x:f>
      </x:c>
      <x:c r="W4" s="175"/>
      <x:c r="X4" s="172" t="str">
        <x:f>IF(A4="","",IF(NOT(COUNTIFS(Frozen_Predictions!$A$4:$A$203,A4)=1),"SNAPSHOT ID INVALID",IFERROR(IF(NOT(AND(INDEX(Frozen_Predictions!$Q$4:$Q$203,MATCH(A4,Frozen_Predictions!$A$4:$A$203,0))="DA",ISNUMBER(INDEX(Frozen_Predictions!$B$4:$B$203,MATCH(A4,Frozen_Predictions!$A$4:$A$203,0))),ISNUMBER(INDEX(Frozen_Predictions!$C$4:$C$203,MATCH(A4,Frozen_Predictions!$A$4:$A$203,0))),INDEX(Frozen_Predictions!$B$4:$B$203,MATCH(A4,Frozen_Predictions!$A$4:$A$203,0))&lt;INDEX(Frozen_Predictions!$C$4:$C$203,MATCH(A4,Frozen_Predictions!$A$4:$A$203,0)),INDEX(Frozen_Predictions!$V$4:$V$203,MATCH(A4,Frozen_Predictions!$A$4:$A$203,0))="READY",INDEX(Frozen_Predictions!$O$4:$O$203,MATCH(A4,Frozen_Predictions!$A$4:$A$203,0))="PASS",INDEX(Frozen_Predictions!$J$4:$J$203,MATCH(A4,Frozen_Predictions!$A$4:$A$203,0))=Under_LineCal_v9!$B$45,COUNTIFS(Frozen_Predictions!$A$4:$A$203,A4,Frozen_Predictions!$L$4:$L$203,"&lt;&gt;",Frozen_Predictions!$L$4:$L$203,"&gt;=0",Frozen_Predictions!$L$4:$L$203,"&lt;=1")=1,COUNTIFS($A$4:$A$203,A4)=1)),"SNAPSHOT NOT VALID",IF(AND(ISNUMBER(I4),I4&gt;=0,I4&lt;=1,ISNUMBER(N4),P4&lt;&gt;"",ISNUMBER(Q4),Q4&gt;=B4,OR(G4="U3.5",G4="U4.5",G4="U5.5")),"SETTLED","PENDING RESULT")),"SNAPSHOT NOT VALID")))</x:f>
      </x:c>
    </x:row>
    <x:row r="5" ht="23" customHeight="1">
      <x:c r="A5" s="175"/>
      <x:c r="B5" s="200" t="str">
        <x:f>IF(A5="","",IFERROR(INDEX(Frozen_Predictions!$C$4:$C$203,MATCH(A5,Frozen_Predictions!$A$4:$A$203,0)),""))</x:f>
      </x:c>
      <x:c r="C5" s="172" t="str">
        <x:f>IF(A5="","",IFERROR(INDEX(Frozen_Predictions!$E$4:$E$203,MATCH(A5,Frozen_Predictions!$A$4:$A$203,0)),""))</x:f>
      </x:c>
      <x:c r="D5" s="172" t="str">
        <x:f>IF(A5="","",IFERROR(INDEX(Frozen_Predictions!$F$4:$F$203,MATCH(A5,Frozen_Predictions!$A$4:$A$203,0)),""))</x:f>
      </x:c>
      <x:c r="E5" s="172" t="str">
        <x:f>IF(A5="","",IFERROR(INDEX(Frozen_Predictions!$G$4:$G$203,MATCH(A5,Frozen_Predictions!$A$4:$A$203,0)),""))</x:f>
      </x:c>
      <x:c r="F5" s="172" t="str">
        <x:f>IF(A5="","",IFERROR(INDEX(Frozen_Predictions!$H$4:$H$203,MATCH(A5,Frozen_Predictions!$A$4:$A$203,0)),""))</x:f>
      </x:c>
      <x:c r="G5" s="172" t="str">
        <x:f>IF(A5="","",IFERROR(INDEX(Frozen_Predictions!$I$4:$I$203,MATCH(A5,Frozen_Predictions!$A$4:$A$203,0)),""))</x:f>
      </x:c>
      <x:c r="H5" s="172" t="str">
        <x:f>IF(A5="","",IFERROR(INDEX(Frozen_Predictions!$J$4:$J$203,MATCH(A5,Frozen_Predictions!$A$4:$A$203,0)),""))</x:f>
      </x:c>
      <x:c r="I5" s="192" t="str">
        <x:f>IF(A5="","",IFERROR(INDEX(Frozen_Predictions!$L$4:$L$203,MATCH(A5,Frozen_Predictions!$A$4:$A$203,0)),""))</x:f>
      </x:c>
      <x:c r="J5" s="172" t="str">
        <x:f>IF(X5&lt;&gt;"SETTLED","",IF(N5&lt;=IF(G5="U3.5",3,IF(G5="U4.5",4,5)),1,0))</x:f>
      </x:c>
      <x:c r="K5" s="195" t="str">
        <x:f>IF(X5&lt;&gt;"SETTLED","",IF(AND(OR(V5="DEFENSIV",V5="PRUDENT",V5="MODERAT",V5="RIDICAT"),ISNUMBER(INDEX(Frozen_Predictions!$Y$4:$Y$203,MATCH(A5,Frozen_Predictions!$A$4:$A$203,0))),INDEX(Frozen_Predictions!$Y$4:$Y$203,MATCH(A5,Frozen_Predictions!$A$4:$A$203,0))&gt;1),IF(J5=1,INDEX(Frozen_Predictions!$Y$4:$Y$203,MATCH(A5,Frozen_Predictions!$A$4:$A$203,0))-1,-1),""))</x:f>
      </x:c>
      <x:c r="L5" s="175"/>
      <x:c r="M5" s="175"/>
      <x:c r="N5" s="172" t="str">
        <x:f>IFERROR(IF(AND(ISNUMBER(L5),ISNUMBER(M5),L5&gt;=0,M5&gt;=0,INT(L5)=L5,INT(M5)=M5),L5+M5,""),"")</x:f>
      </x:c>
      <x:c r="O5" s="172" t="str">
        <x:f>IF(X5&lt;&gt;"SETTLED","",IF(J5=1,"WIN",IF(N5=IF(G5="U3.5",4,IF(G5="U4.5",5,6)),"NEAR TAIL","SEVERE TAIL")))</x:f>
      </x:c>
      <x:c r="P5" s="175"/>
      <x:c r="Q5" s="177"/>
      <x:c r="R5" s="213" t="str">
        <x:f>IF(X5&lt;&gt;"SETTLED","",(I5-J5)^2)</x:f>
      </x:c>
      <x:c r="S5" s="213" t="str">
        <x:f>IF(X5&lt;&gt;"SETTLED","",-(J5*LN(MAX(0.000001,MIN(0.999999,I5)))+(1-J5)*LN(MAX(0.000001,MIN(0.999999,1-I5)))))</x:f>
      </x:c>
      <x:c r="T5" s="172" t="str">
        <x:f>IF(A5="","",IFERROR(INDEX(Frozen_Predictions!$N$4:$N$203,MATCH(A5,Frozen_Predictions!$A$4:$A$203,0)),""))</x:f>
      </x:c>
      <x:c r="U5" s="172" t="str">
        <x:f>IF(A5="","",IFERROR(INDEX(Frozen_Predictions!$O$4:$O$203,MATCH(A5,Frozen_Predictions!$A$4:$A$203,0)),""))</x:f>
      </x:c>
      <x:c r="V5" s="172" t="str">
        <x:f>IF(A5="","",IFERROR(INDEX(Frozen_Predictions!$M$4:$M$203,MATCH(A5,Frozen_Predictions!$A$4:$A$203,0)),""))</x:f>
      </x:c>
      <x:c r="W5" s="175"/>
      <x:c r="X5" s="172" t="str">
        <x:f>IF(A5="","",IF(NOT(COUNTIFS(Frozen_Predictions!$A$4:$A$203,A5)=1),"SNAPSHOT ID INVALID",IFERROR(IF(NOT(AND(INDEX(Frozen_Predictions!$Q$4:$Q$203,MATCH(A5,Frozen_Predictions!$A$4:$A$203,0))="DA",ISNUMBER(INDEX(Frozen_Predictions!$B$4:$B$203,MATCH(A5,Frozen_Predictions!$A$4:$A$203,0))),ISNUMBER(INDEX(Frozen_Predictions!$C$4:$C$203,MATCH(A5,Frozen_Predictions!$A$4:$A$203,0))),INDEX(Frozen_Predictions!$B$4:$B$203,MATCH(A5,Frozen_Predictions!$A$4:$A$203,0))&lt;INDEX(Frozen_Predictions!$C$4:$C$203,MATCH(A5,Frozen_Predictions!$A$4:$A$203,0)),INDEX(Frozen_Predictions!$V$4:$V$203,MATCH(A5,Frozen_Predictions!$A$4:$A$203,0))="READY",INDEX(Frozen_Predictions!$O$4:$O$203,MATCH(A5,Frozen_Predictions!$A$4:$A$203,0))="PASS",INDEX(Frozen_Predictions!$J$4:$J$203,MATCH(A5,Frozen_Predictions!$A$4:$A$203,0))=Under_LineCal_v9!$B$45,COUNTIFS(Frozen_Predictions!$A$4:$A$203,A5,Frozen_Predictions!$L$4:$L$203,"&lt;&gt;",Frozen_Predictions!$L$4:$L$203,"&gt;=0",Frozen_Predictions!$L$4:$L$203,"&lt;=1")=1,COUNTIFS($A$4:$A$203,A5)=1)),"SNAPSHOT NOT VALID",IF(AND(ISNUMBER(I5),I5&gt;=0,I5&lt;=1,ISNUMBER(N5),P5&lt;&gt;"",ISNUMBER(Q5),Q5&gt;=B5,OR(G5="U3.5",G5="U4.5",G5="U5.5")),"SETTLED","PENDING RESULT")),"SNAPSHOT NOT VALID")))</x:f>
      </x:c>
    </x:row>
    <x:row r="6" ht="23" customHeight="1">
      <x:c r="A6" s="175"/>
      <x:c r="B6" s="200" t="str">
        <x:f>IF(A6="","",IFERROR(INDEX(Frozen_Predictions!$C$4:$C$203,MATCH(A6,Frozen_Predictions!$A$4:$A$203,0)),""))</x:f>
      </x:c>
      <x:c r="C6" s="172" t="str">
        <x:f>IF(A6="","",IFERROR(INDEX(Frozen_Predictions!$E$4:$E$203,MATCH(A6,Frozen_Predictions!$A$4:$A$203,0)),""))</x:f>
      </x:c>
      <x:c r="D6" s="172" t="str">
        <x:f>IF(A6="","",IFERROR(INDEX(Frozen_Predictions!$F$4:$F$203,MATCH(A6,Frozen_Predictions!$A$4:$A$203,0)),""))</x:f>
      </x:c>
      <x:c r="E6" s="172" t="str">
        <x:f>IF(A6="","",IFERROR(INDEX(Frozen_Predictions!$G$4:$G$203,MATCH(A6,Frozen_Predictions!$A$4:$A$203,0)),""))</x:f>
      </x:c>
      <x:c r="F6" s="172" t="str">
        <x:f>IF(A6="","",IFERROR(INDEX(Frozen_Predictions!$H$4:$H$203,MATCH(A6,Frozen_Predictions!$A$4:$A$203,0)),""))</x:f>
      </x:c>
      <x:c r="G6" s="172" t="str">
        <x:f>IF(A6="","",IFERROR(INDEX(Frozen_Predictions!$I$4:$I$203,MATCH(A6,Frozen_Predictions!$A$4:$A$203,0)),""))</x:f>
      </x:c>
      <x:c r="H6" s="172" t="str">
        <x:f>IF(A6="","",IFERROR(INDEX(Frozen_Predictions!$J$4:$J$203,MATCH(A6,Frozen_Predictions!$A$4:$A$203,0)),""))</x:f>
      </x:c>
      <x:c r="I6" s="192" t="str">
        <x:f>IF(A6="","",IFERROR(INDEX(Frozen_Predictions!$L$4:$L$203,MATCH(A6,Frozen_Predictions!$A$4:$A$203,0)),""))</x:f>
      </x:c>
      <x:c r="J6" s="172" t="str">
        <x:f>IF(X6&lt;&gt;"SETTLED","",IF(N6&lt;=IF(G6="U3.5",3,IF(G6="U4.5",4,5)),1,0))</x:f>
      </x:c>
      <x:c r="K6" s="195" t="str">
        <x:f>IF(X6&lt;&gt;"SETTLED","",IF(AND(OR(V6="DEFENSIV",V6="PRUDENT",V6="MODERAT",V6="RIDICAT"),ISNUMBER(INDEX(Frozen_Predictions!$Y$4:$Y$203,MATCH(A6,Frozen_Predictions!$A$4:$A$203,0))),INDEX(Frozen_Predictions!$Y$4:$Y$203,MATCH(A6,Frozen_Predictions!$A$4:$A$203,0))&gt;1),IF(J6=1,INDEX(Frozen_Predictions!$Y$4:$Y$203,MATCH(A6,Frozen_Predictions!$A$4:$A$203,0))-1,-1),""))</x:f>
      </x:c>
      <x:c r="L6" s="175"/>
      <x:c r="M6" s="175"/>
      <x:c r="N6" s="172" t="str">
        <x:f>IFERROR(IF(AND(ISNUMBER(L6),ISNUMBER(M6),L6&gt;=0,M6&gt;=0,INT(L6)=L6,INT(M6)=M6),L6+M6,""),"")</x:f>
      </x:c>
      <x:c r="O6" s="172" t="str">
        <x:f>IF(X6&lt;&gt;"SETTLED","",IF(J6=1,"WIN",IF(N6=IF(G6="U3.5",4,IF(G6="U4.5",5,6)),"NEAR TAIL","SEVERE TAIL")))</x:f>
      </x:c>
      <x:c r="P6" s="175"/>
      <x:c r="Q6" s="177"/>
      <x:c r="R6" s="213" t="str">
        <x:f>IF(X6&lt;&gt;"SETTLED","",(I6-J6)^2)</x:f>
      </x:c>
      <x:c r="S6" s="213" t="str">
        <x:f>IF(X6&lt;&gt;"SETTLED","",-(J6*LN(MAX(0.000001,MIN(0.999999,I6)))+(1-J6)*LN(MAX(0.000001,MIN(0.999999,1-I6)))))</x:f>
      </x:c>
      <x:c r="T6" s="172" t="str">
        <x:f>IF(A6="","",IFERROR(INDEX(Frozen_Predictions!$N$4:$N$203,MATCH(A6,Frozen_Predictions!$A$4:$A$203,0)),""))</x:f>
      </x:c>
      <x:c r="U6" s="172" t="str">
        <x:f>IF(A6="","",IFERROR(INDEX(Frozen_Predictions!$O$4:$O$203,MATCH(A6,Frozen_Predictions!$A$4:$A$203,0)),""))</x:f>
      </x:c>
      <x:c r="V6" s="172" t="str">
        <x:f>IF(A6="","",IFERROR(INDEX(Frozen_Predictions!$M$4:$M$203,MATCH(A6,Frozen_Predictions!$A$4:$A$203,0)),""))</x:f>
      </x:c>
      <x:c r="W6" s="175"/>
      <x:c r="X6" s="172" t="str">
        <x:f>IF(A6="","",IF(NOT(COUNTIFS(Frozen_Predictions!$A$4:$A$203,A6)=1),"SNAPSHOT ID INVALID",IFERROR(IF(NOT(AND(INDEX(Frozen_Predictions!$Q$4:$Q$203,MATCH(A6,Frozen_Predictions!$A$4:$A$203,0))="DA",ISNUMBER(INDEX(Frozen_Predictions!$B$4:$B$203,MATCH(A6,Frozen_Predictions!$A$4:$A$203,0))),ISNUMBER(INDEX(Frozen_Predictions!$C$4:$C$203,MATCH(A6,Frozen_Predictions!$A$4:$A$203,0))),INDEX(Frozen_Predictions!$B$4:$B$203,MATCH(A6,Frozen_Predictions!$A$4:$A$203,0))&lt;INDEX(Frozen_Predictions!$C$4:$C$203,MATCH(A6,Frozen_Predictions!$A$4:$A$203,0)),INDEX(Frozen_Predictions!$V$4:$V$203,MATCH(A6,Frozen_Predictions!$A$4:$A$203,0))="READY",INDEX(Frozen_Predictions!$O$4:$O$203,MATCH(A6,Frozen_Predictions!$A$4:$A$203,0))="PASS",INDEX(Frozen_Predictions!$J$4:$J$203,MATCH(A6,Frozen_Predictions!$A$4:$A$203,0))=Under_LineCal_v9!$B$45,COUNTIFS(Frozen_Predictions!$A$4:$A$203,A6,Frozen_Predictions!$L$4:$L$203,"&lt;&gt;",Frozen_Predictions!$L$4:$L$203,"&gt;=0",Frozen_Predictions!$L$4:$L$203,"&lt;=1")=1,COUNTIFS($A$4:$A$203,A6)=1)),"SNAPSHOT NOT VALID",IF(AND(ISNUMBER(I6),I6&gt;=0,I6&lt;=1,ISNUMBER(N6),P6&lt;&gt;"",ISNUMBER(Q6),Q6&gt;=B6,OR(G6="U3.5",G6="U4.5",G6="U5.5")),"SETTLED","PENDING RESULT")),"SNAPSHOT NOT VALID")))</x:f>
      </x:c>
    </x:row>
    <x:row r="7" ht="23" customHeight="1">
      <x:c r="A7" s="175"/>
      <x:c r="B7" s="200" t="str">
        <x:f>IF(A7="","",IFERROR(INDEX(Frozen_Predictions!$C$4:$C$203,MATCH(A7,Frozen_Predictions!$A$4:$A$203,0)),""))</x:f>
      </x:c>
      <x:c r="C7" s="172" t="str">
        <x:f>IF(A7="","",IFERROR(INDEX(Frozen_Predictions!$E$4:$E$203,MATCH(A7,Frozen_Predictions!$A$4:$A$203,0)),""))</x:f>
      </x:c>
      <x:c r="D7" s="172" t="str">
        <x:f>IF(A7="","",IFERROR(INDEX(Frozen_Predictions!$F$4:$F$203,MATCH(A7,Frozen_Predictions!$A$4:$A$203,0)),""))</x:f>
      </x:c>
      <x:c r="E7" s="172" t="str">
        <x:f>IF(A7="","",IFERROR(INDEX(Frozen_Predictions!$G$4:$G$203,MATCH(A7,Frozen_Predictions!$A$4:$A$203,0)),""))</x:f>
      </x:c>
      <x:c r="F7" s="172" t="str">
        <x:f>IF(A7="","",IFERROR(INDEX(Frozen_Predictions!$H$4:$H$203,MATCH(A7,Frozen_Predictions!$A$4:$A$203,0)),""))</x:f>
      </x:c>
      <x:c r="G7" s="172" t="str">
        <x:f>IF(A7="","",IFERROR(INDEX(Frozen_Predictions!$I$4:$I$203,MATCH(A7,Frozen_Predictions!$A$4:$A$203,0)),""))</x:f>
      </x:c>
      <x:c r="H7" s="172" t="str">
        <x:f>IF(A7="","",IFERROR(INDEX(Frozen_Predictions!$J$4:$J$203,MATCH(A7,Frozen_Predictions!$A$4:$A$203,0)),""))</x:f>
      </x:c>
      <x:c r="I7" s="192" t="str">
        <x:f>IF(A7="","",IFERROR(INDEX(Frozen_Predictions!$L$4:$L$203,MATCH(A7,Frozen_Predictions!$A$4:$A$203,0)),""))</x:f>
      </x:c>
      <x:c r="J7" s="172" t="str">
        <x:f>IF(X7&lt;&gt;"SETTLED","",IF(N7&lt;=IF(G7="U3.5",3,IF(G7="U4.5",4,5)),1,0))</x:f>
      </x:c>
      <x:c r="K7" s="195" t="str">
        <x:f>IF(X7&lt;&gt;"SETTLED","",IF(AND(OR(V7="DEFENSIV",V7="PRUDENT",V7="MODERAT",V7="RIDICAT"),ISNUMBER(INDEX(Frozen_Predictions!$Y$4:$Y$203,MATCH(A7,Frozen_Predictions!$A$4:$A$203,0))),INDEX(Frozen_Predictions!$Y$4:$Y$203,MATCH(A7,Frozen_Predictions!$A$4:$A$203,0))&gt;1),IF(J7=1,INDEX(Frozen_Predictions!$Y$4:$Y$203,MATCH(A7,Frozen_Predictions!$A$4:$A$203,0))-1,-1),""))</x:f>
      </x:c>
      <x:c r="L7" s="175"/>
      <x:c r="M7" s="175"/>
      <x:c r="N7" s="172" t="str">
        <x:f>IFERROR(IF(AND(ISNUMBER(L7),ISNUMBER(M7),L7&gt;=0,M7&gt;=0,INT(L7)=L7,INT(M7)=M7),L7+M7,""),"")</x:f>
      </x:c>
      <x:c r="O7" s="172" t="str">
        <x:f>IF(X7&lt;&gt;"SETTLED","",IF(J7=1,"WIN",IF(N7=IF(G7="U3.5",4,IF(G7="U4.5",5,6)),"NEAR TAIL","SEVERE TAIL")))</x:f>
      </x:c>
      <x:c r="P7" s="175"/>
      <x:c r="Q7" s="177"/>
      <x:c r="R7" s="213" t="str">
        <x:f>IF(X7&lt;&gt;"SETTLED","",(I7-J7)^2)</x:f>
      </x:c>
      <x:c r="S7" s="213" t="str">
        <x:f>IF(X7&lt;&gt;"SETTLED","",-(J7*LN(MAX(0.000001,MIN(0.999999,I7)))+(1-J7)*LN(MAX(0.000001,MIN(0.999999,1-I7)))))</x:f>
      </x:c>
      <x:c r="T7" s="172" t="str">
        <x:f>IF(A7="","",IFERROR(INDEX(Frozen_Predictions!$N$4:$N$203,MATCH(A7,Frozen_Predictions!$A$4:$A$203,0)),""))</x:f>
      </x:c>
      <x:c r="U7" s="172" t="str">
        <x:f>IF(A7="","",IFERROR(INDEX(Frozen_Predictions!$O$4:$O$203,MATCH(A7,Frozen_Predictions!$A$4:$A$203,0)),""))</x:f>
      </x:c>
      <x:c r="V7" s="172" t="str">
        <x:f>IF(A7="","",IFERROR(INDEX(Frozen_Predictions!$M$4:$M$203,MATCH(A7,Frozen_Predictions!$A$4:$A$203,0)),""))</x:f>
      </x:c>
      <x:c r="W7" s="175"/>
      <x:c r="X7" s="172" t="str">
        <x:f>IF(A7="","",IF(NOT(COUNTIFS(Frozen_Predictions!$A$4:$A$203,A7)=1),"SNAPSHOT ID INVALID",IFERROR(IF(NOT(AND(INDEX(Frozen_Predictions!$Q$4:$Q$203,MATCH(A7,Frozen_Predictions!$A$4:$A$203,0))="DA",ISNUMBER(INDEX(Frozen_Predictions!$B$4:$B$203,MATCH(A7,Frozen_Predictions!$A$4:$A$203,0))),ISNUMBER(INDEX(Frozen_Predictions!$C$4:$C$203,MATCH(A7,Frozen_Predictions!$A$4:$A$203,0))),INDEX(Frozen_Predictions!$B$4:$B$203,MATCH(A7,Frozen_Predictions!$A$4:$A$203,0))&lt;INDEX(Frozen_Predictions!$C$4:$C$203,MATCH(A7,Frozen_Predictions!$A$4:$A$203,0)),INDEX(Frozen_Predictions!$V$4:$V$203,MATCH(A7,Frozen_Predictions!$A$4:$A$203,0))="READY",INDEX(Frozen_Predictions!$O$4:$O$203,MATCH(A7,Frozen_Predictions!$A$4:$A$203,0))="PASS",INDEX(Frozen_Predictions!$J$4:$J$203,MATCH(A7,Frozen_Predictions!$A$4:$A$203,0))=Under_LineCal_v9!$B$45,COUNTIFS(Frozen_Predictions!$A$4:$A$203,A7,Frozen_Predictions!$L$4:$L$203,"&lt;&gt;",Frozen_Predictions!$L$4:$L$203,"&gt;=0",Frozen_Predictions!$L$4:$L$203,"&lt;=1")=1,COUNTIFS($A$4:$A$203,A7)=1)),"SNAPSHOT NOT VALID",IF(AND(ISNUMBER(I7),I7&gt;=0,I7&lt;=1,ISNUMBER(N7),P7&lt;&gt;"",ISNUMBER(Q7),Q7&gt;=B7,OR(G7="U3.5",G7="U4.5",G7="U5.5")),"SETTLED","PENDING RESULT")),"SNAPSHOT NOT VALID")))</x:f>
      </x:c>
    </x:row>
    <x:row r="8" ht="23" customHeight="1">
      <x:c r="A8" s="175"/>
      <x:c r="B8" s="200" t="str">
        <x:f>IF(A8="","",IFERROR(INDEX(Frozen_Predictions!$C$4:$C$203,MATCH(A8,Frozen_Predictions!$A$4:$A$203,0)),""))</x:f>
      </x:c>
      <x:c r="C8" s="172" t="str">
        <x:f>IF(A8="","",IFERROR(INDEX(Frozen_Predictions!$E$4:$E$203,MATCH(A8,Frozen_Predictions!$A$4:$A$203,0)),""))</x:f>
      </x:c>
      <x:c r="D8" s="172" t="str">
        <x:f>IF(A8="","",IFERROR(INDEX(Frozen_Predictions!$F$4:$F$203,MATCH(A8,Frozen_Predictions!$A$4:$A$203,0)),""))</x:f>
      </x:c>
      <x:c r="E8" s="172" t="str">
        <x:f>IF(A8="","",IFERROR(INDEX(Frozen_Predictions!$G$4:$G$203,MATCH(A8,Frozen_Predictions!$A$4:$A$203,0)),""))</x:f>
      </x:c>
      <x:c r="F8" s="172" t="str">
        <x:f>IF(A8="","",IFERROR(INDEX(Frozen_Predictions!$H$4:$H$203,MATCH(A8,Frozen_Predictions!$A$4:$A$203,0)),""))</x:f>
      </x:c>
      <x:c r="G8" s="172" t="str">
        <x:f>IF(A8="","",IFERROR(INDEX(Frozen_Predictions!$I$4:$I$203,MATCH(A8,Frozen_Predictions!$A$4:$A$203,0)),""))</x:f>
      </x:c>
      <x:c r="H8" s="172" t="str">
        <x:f>IF(A8="","",IFERROR(INDEX(Frozen_Predictions!$J$4:$J$203,MATCH(A8,Frozen_Predictions!$A$4:$A$203,0)),""))</x:f>
      </x:c>
      <x:c r="I8" s="192" t="str">
        <x:f>IF(A8="","",IFERROR(INDEX(Frozen_Predictions!$L$4:$L$203,MATCH(A8,Frozen_Predictions!$A$4:$A$203,0)),""))</x:f>
      </x:c>
      <x:c r="J8" s="172" t="str">
        <x:f>IF(X8&lt;&gt;"SETTLED","",IF(N8&lt;=IF(G8="U3.5",3,IF(G8="U4.5",4,5)),1,0))</x:f>
      </x:c>
      <x:c r="K8" s="195" t="str">
        <x:f>IF(X8&lt;&gt;"SETTLED","",IF(AND(OR(V8="DEFENSIV",V8="PRUDENT",V8="MODERAT",V8="RIDICAT"),ISNUMBER(INDEX(Frozen_Predictions!$Y$4:$Y$203,MATCH(A8,Frozen_Predictions!$A$4:$A$203,0))),INDEX(Frozen_Predictions!$Y$4:$Y$203,MATCH(A8,Frozen_Predictions!$A$4:$A$203,0))&gt;1),IF(J8=1,INDEX(Frozen_Predictions!$Y$4:$Y$203,MATCH(A8,Frozen_Predictions!$A$4:$A$203,0))-1,-1),""))</x:f>
      </x:c>
      <x:c r="L8" s="175"/>
      <x:c r="M8" s="175"/>
      <x:c r="N8" s="172" t="str">
        <x:f>IFERROR(IF(AND(ISNUMBER(L8),ISNUMBER(M8),L8&gt;=0,M8&gt;=0,INT(L8)=L8,INT(M8)=M8),L8+M8,""),"")</x:f>
      </x:c>
      <x:c r="O8" s="172" t="str">
        <x:f>IF(X8&lt;&gt;"SETTLED","",IF(J8=1,"WIN",IF(N8=IF(G8="U3.5",4,IF(G8="U4.5",5,6)),"NEAR TAIL","SEVERE TAIL")))</x:f>
      </x:c>
      <x:c r="P8" s="175"/>
      <x:c r="Q8" s="177"/>
      <x:c r="R8" s="213" t="str">
        <x:f>IF(X8&lt;&gt;"SETTLED","",(I8-J8)^2)</x:f>
      </x:c>
      <x:c r="S8" s="213" t="str">
        <x:f>IF(X8&lt;&gt;"SETTLED","",-(J8*LN(MAX(0.000001,MIN(0.999999,I8)))+(1-J8)*LN(MAX(0.000001,MIN(0.999999,1-I8)))))</x:f>
      </x:c>
      <x:c r="T8" s="172" t="str">
        <x:f>IF(A8="","",IFERROR(INDEX(Frozen_Predictions!$N$4:$N$203,MATCH(A8,Frozen_Predictions!$A$4:$A$203,0)),""))</x:f>
      </x:c>
      <x:c r="U8" s="172" t="str">
        <x:f>IF(A8="","",IFERROR(INDEX(Frozen_Predictions!$O$4:$O$203,MATCH(A8,Frozen_Predictions!$A$4:$A$203,0)),""))</x:f>
      </x:c>
      <x:c r="V8" s="172" t="str">
        <x:f>IF(A8="","",IFERROR(INDEX(Frozen_Predictions!$M$4:$M$203,MATCH(A8,Frozen_Predictions!$A$4:$A$203,0)),""))</x:f>
      </x:c>
      <x:c r="W8" s="175"/>
      <x:c r="X8" s="172" t="str">
        <x:f>IF(A8="","",IF(NOT(COUNTIFS(Frozen_Predictions!$A$4:$A$203,A8)=1),"SNAPSHOT ID INVALID",IFERROR(IF(NOT(AND(INDEX(Frozen_Predictions!$Q$4:$Q$203,MATCH(A8,Frozen_Predictions!$A$4:$A$203,0))="DA",ISNUMBER(INDEX(Frozen_Predictions!$B$4:$B$203,MATCH(A8,Frozen_Predictions!$A$4:$A$203,0))),ISNUMBER(INDEX(Frozen_Predictions!$C$4:$C$203,MATCH(A8,Frozen_Predictions!$A$4:$A$203,0))),INDEX(Frozen_Predictions!$B$4:$B$203,MATCH(A8,Frozen_Predictions!$A$4:$A$203,0))&lt;INDEX(Frozen_Predictions!$C$4:$C$203,MATCH(A8,Frozen_Predictions!$A$4:$A$203,0)),INDEX(Frozen_Predictions!$V$4:$V$203,MATCH(A8,Frozen_Predictions!$A$4:$A$203,0))="READY",INDEX(Frozen_Predictions!$O$4:$O$203,MATCH(A8,Frozen_Predictions!$A$4:$A$203,0))="PASS",INDEX(Frozen_Predictions!$J$4:$J$203,MATCH(A8,Frozen_Predictions!$A$4:$A$203,0))=Under_LineCal_v9!$B$45,COUNTIFS(Frozen_Predictions!$A$4:$A$203,A8,Frozen_Predictions!$L$4:$L$203,"&lt;&gt;",Frozen_Predictions!$L$4:$L$203,"&gt;=0",Frozen_Predictions!$L$4:$L$203,"&lt;=1")=1,COUNTIFS($A$4:$A$203,A8)=1)),"SNAPSHOT NOT VALID",IF(AND(ISNUMBER(I8),I8&gt;=0,I8&lt;=1,ISNUMBER(N8),P8&lt;&gt;"",ISNUMBER(Q8),Q8&gt;=B8,OR(G8="U3.5",G8="U4.5",G8="U5.5")),"SETTLED","PENDING RESULT")),"SNAPSHOT NOT VALID")))</x:f>
      </x:c>
    </x:row>
    <x:row r="9" ht="23" customHeight="1">
      <x:c r="A9" s="175"/>
      <x:c r="B9" s="200" t="str">
        <x:f>IF(A9="","",IFERROR(INDEX(Frozen_Predictions!$C$4:$C$203,MATCH(A9,Frozen_Predictions!$A$4:$A$203,0)),""))</x:f>
      </x:c>
      <x:c r="C9" s="172" t="str">
        <x:f>IF(A9="","",IFERROR(INDEX(Frozen_Predictions!$E$4:$E$203,MATCH(A9,Frozen_Predictions!$A$4:$A$203,0)),""))</x:f>
      </x:c>
      <x:c r="D9" s="172" t="str">
        <x:f>IF(A9="","",IFERROR(INDEX(Frozen_Predictions!$F$4:$F$203,MATCH(A9,Frozen_Predictions!$A$4:$A$203,0)),""))</x:f>
      </x:c>
      <x:c r="E9" s="172" t="str">
        <x:f>IF(A9="","",IFERROR(INDEX(Frozen_Predictions!$G$4:$G$203,MATCH(A9,Frozen_Predictions!$A$4:$A$203,0)),""))</x:f>
      </x:c>
      <x:c r="F9" s="172" t="str">
        <x:f>IF(A9="","",IFERROR(INDEX(Frozen_Predictions!$H$4:$H$203,MATCH(A9,Frozen_Predictions!$A$4:$A$203,0)),""))</x:f>
      </x:c>
      <x:c r="G9" s="172" t="str">
        <x:f>IF(A9="","",IFERROR(INDEX(Frozen_Predictions!$I$4:$I$203,MATCH(A9,Frozen_Predictions!$A$4:$A$203,0)),""))</x:f>
      </x:c>
      <x:c r="H9" s="172" t="str">
        <x:f>IF(A9="","",IFERROR(INDEX(Frozen_Predictions!$J$4:$J$203,MATCH(A9,Frozen_Predictions!$A$4:$A$203,0)),""))</x:f>
      </x:c>
      <x:c r="I9" s="192" t="str">
        <x:f>IF(A9="","",IFERROR(INDEX(Frozen_Predictions!$L$4:$L$203,MATCH(A9,Frozen_Predictions!$A$4:$A$203,0)),""))</x:f>
      </x:c>
      <x:c r="J9" s="172" t="str">
        <x:f>IF(X9&lt;&gt;"SETTLED","",IF(N9&lt;=IF(G9="U3.5",3,IF(G9="U4.5",4,5)),1,0))</x:f>
      </x:c>
      <x:c r="K9" s="195" t="str">
        <x:f>IF(X9&lt;&gt;"SETTLED","",IF(AND(OR(V9="DEFENSIV",V9="PRUDENT",V9="MODERAT",V9="RIDICAT"),ISNUMBER(INDEX(Frozen_Predictions!$Y$4:$Y$203,MATCH(A9,Frozen_Predictions!$A$4:$A$203,0))),INDEX(Frozen_Predictions!$Y$4:$Y$203,MATCH(A9,Frozen_Predictions!$A$4:$A$203,0))&gt;1),IF(J9=1,INDEX(Frozen_Predictions!$Y$4:$Y$203,MATCH(A9,Frozen_Predictions!$A$4:$A$203,0))-1,-1),""))</x:f>
      </x:c>
      <x:c r="L9" s="175"/>
      <x:c r="M9" s="175"/>
      <x:c r="N9" s="172" t="str">
        <x:f>IFERROR(IF(AND(ISNUMBER(L9),ISNUMBER(M9),L9&gt;=0,M9&gt;=0,INT(L9)=L9,INT(M9)=M9),L9+M9,""),"")</x:f>
      </x:c>
      <x:c r="O9" s="172" t="str">
        <x:f>IF(X9&lt;&gt;"SETTLED","",IF(J9=1,"WIN",IF(N9=IF(G9="U3.5",4,IF(G9="U4.5",5,6)),"NEAR TAIL","SEVERE TAIL")))</x:f>
      </x:c>
      <x:c r="P9" s="175"/>
      <x:c r="Q9" s="177"/>
      <x:c r="R9" s="213" t="str">
        <x:f>IF(X9&lt;&gt;"SETTLED","",(I9-J9)^2)</x:f>
      </x:c>
      <x:c r="S9" s="213" t="str">
        <x:f>IF(X9&lt;&gt;"SETTLED","",-(J9*LN(MAX(0.000001,MIN(0.999999,I9)))+(1-J9)*LN(MAX(0.000001,MIN(0.999999,1-I9)))))</x:f>
      </x:c>
      <x:c r="T9" s="172" t="str">
        <x:f>IF(A9="","",IFERROR(INDEX(Frozen_Predictions!$N$4:$N$203,MATCH(A9,Frozen_Predictions!$A$4:$A$203,0)),""))</x:f>
      </x:c>
      <x:c r="U9" s="172" t="str">
        <x:f>IF(A9="","",IFERROR(INDEX(Frozen_Predictions!$O$4:$O$203,MATCH(A9,Frozen_Predictions!$A$4:$A$203,0)),""))</x:f>
      </x:c>
      <x:c r="V9" s="172" t="str">
        <x:f>IF(A9="","",IFERROR(INDEX(Frozen_Predictions!$M$4:$M$203,MATCH(A9,Frozen_Predictions!$A$4:$A$203,0)),""))</x:f>
      </x:c>
      <x:c r="W9" s="175"/>
      <x:c r="X9" s="172" t="str">
        <x:f>IF(A9="","",IF(NOT(COUNTIFS(Frozen_Predictions!$A$4:$A$203,A9)=1),"SNAPSHOT ID INVALID",IFERROR(IF(NOT(AND(INDEX(Frozen_Predictions!$Q$4:$Q$203,MATCH(A9,Frozen_Predictions!$A$4:$A$203,0))="DA",ISNUMBER(INDEX(Frozen_Predictions!$B$4:$B$203,MATCH(A9,Frozen_Predictions!$A$4:$A$203,0))),ISNUMBER(INDEX(Frozen_Predictions!$C$4:$C$203,MATCH(A9,Frozen_Predictions!$A$4:$A$203,0))),INDEX(Frozen_Predictions!$B$4:$B$203,MATCH(A9,Frozen_Predictions!$A$4:$A$203,0))&lt;INDEX(Frozen_Predictions!$C$4:$C$203,MATCH(A9,Frozen_Predictions!$A$4:$A$203,0)),INDEX(Frozen_Predictions!$V$4:$V$203,MATCH(A9,Frozen_Predictions!$A$4:$A$203,0))="READY",INDEX(Frozen_Predictions!$O$4:$O$203,MATCH(A9,Frozen_Predictions!$A$4:$A$203,0))="PASS",INDEX(Frozen_Predictions!$J$4:$J$203,MATCH(A9,Frozen_Predictions!$A$4:$A$203,0))=Under_LineCal_v9!$B$45,COUNTIFS(Frozen_Predictions!$A$4:$A$203,A9,Frozen_Predictions!$L$4:$L$203,"&lt;&gt;",Frozen_Predictions!$L$4:$L$203,"&gt;=0",Frozen_Predictions!$L$4:$L$203,"&lt;=1")=1,COUNTIFS($A$4:$A$203,A9)=1)),"SNAPSHOT NOT VALID",IF(AND(ISNUMBER(I9),I9&gt;=0,I9&lt;=1,ISNUMBER(N9),P9&lt;&gt;"",ISNUMBER(Q9),Q9&gt;=B9,OR(G9="U3.5",G9="U4.5",G9="U5.5")),"SETTLED","PENDING RESULT")),"SNAPSHOT NOT VALID")))</x:f>
      </x:c>
    </x:row>
    <x:row r="10" ht="23" customHeight="1">
      <x:c r="A10" s="175"/>
      <x:c r="B10" s="200" t="str">
        <x:f>IF(A10="","",IFERROR(INDEX(Frozen_Predictions!$C$4:$C$203,MATCH(A10,Frozen_Predictions!$A$4:$A$203,0)),""))</x:f>
      </x:c>
      <x:c r="C10" s="172" t="str">
        <x:f>IF(A10="","",IFERROR(INDEX(Frozen_Predictions!$E$4:$E$203,MATCH(A10,Frozen_Predictions!$A$4:$A$203,0)),""))</x:f>
      </x:c>
      <x:c r="D10" s="172" t="str">
        <x:f>IF(A10="","",IFERROR(INDEX(Frozen_Predictions!$F$4:$F$203,MATCH(A10,Frozen_Predictions!$A$4:$A$203,0)),""))</x:f>
      </x:c>
      <x:c r="E10" s="172" t="str">
        <x:f>IF(A10="","",IFERROR(INDEX(Frozen_Predictions!$G$4:$G$203,MATCH(A10,Frozen_Predictions!$A$4:$A$203,0)),""))</x:f>
      </x:c>
      <x:c r="F10" s="172" t="str">
        <x:f>IF(A10="","",IFERROR(INDEX(Frozen_Predictions!$H$4:$H$203,MATCH(A10,Frozen_Predictions!$A$4:$A$203,0)),""))</x:f>
      </x:c>
      <x:c r="G10" s="172" t="str">
        <x:f>IF(A10="","",IFERROR(INDEX(Frozen_Predictions!$I$4:$I$203,MATCH(A10,Frozen_Predictions!$A$4:$A$203,0)),""))</x:f>
      </x:c>
      <x:c r="H10" s="172" t="str">
        <x:f>IF(A10="","",IFERROR(INDEX(Frozen_Predictions!$J$4:$J$203,MATCH(A10,Frozen_Predictions!$A$4:$A$203,0)),""))</x:f>
      </x:c>
      <x:c r="I10" s="192" t="str">
        <x:f>IF(A10="","",IFERROR(INDEX(Frozen_Predictions!$L$4:$L$203,MATCH(A10,Frozen_Predictions!$A$4:$A$203,0)),""))</x:f>
      </x:c>
      <x:c r="J10" s="172" t="str">
        <x:f>IF(X10&lt;&gt;"SETTLED","",IF(N10&lt;=IF(G10="U3.5",3,IF(G10="U4.5",4,5)),1,0))</x:f>
      </x:c>
      <x:c r="K10" s="195" t="str">
        <x:f>IF(X10&lt;&gt;"SETTLED","",IF(AND(OR(V10="DEFENSIV",V10="PRUDENT",V10="MODERAT",V10="RIDICAT"),ISNUMBER(INDEX(Frozen_Predictions!$Y$4:$Y$203,MATCH(A10,Frozen_Predictions!$A$4:$A$203,0))),INDEX(Frozen_Predictions!$Y$4:$Y$203,MATCH(A10,Frozen_Predictions!$A$4:$A$203,0))&gt;1),IF(J10=1,INDEX(Frozen_Predictions!$Y$4:$Y$203,MATCH(A10,Frozen_Predictions!$A$4:$A$203,0))-1,-1),""))</x:f>
      </x:c>
      <x:c r="L10" s="175"/>
      <x:c r="M10" s="175"/>
      <x:c r="N10" s="172" t="str">
        <x:f>IFERROR(IF(AND(ISNUMBER(L10),ISNUMBER(M10),L10&gt;=0,M10&gt;=0,INT(L10)=L10,INT(M10)=M10),L10+M10,""),"")</x:f>
      </x:c>
      <x:c r="O10" s="172" t="str">
        <x:f>IF(X10&lt;&gt;"SETTLED","",IF(J10=1,"WIN",IF(N10=IF(G10="U3.5",4,IF(G10="U4.5",5,6)),"NEAR TAIL","SEVERE TAIL")))</x:f>
      </x:c>
      <x:c r="P10" s="175"/>
      <x:c r="Q10" s="177"/>
      <x:c r="R10" s="213" t="str">
        <x:f>IF(X10&lt;&gt;"SETTLED","",(I10-J10)^2)</x:f>
      </x:c>
      <x:c r="S10" s="213" t="str">
        <x:f>IF(X10&lt;&gt;"SETTLED","",-(J10*LN(MAX(0.000001,MIN(0.999999,I10)))+(1-J10)*LN(MAX(0.000001,MIN(0.999999,1-I10)))))</x:f>
      </x:c>
      <x:c r="T10" s="172" t="str">
        <x:f>IF(A10="","",IFERROR(INDEX(Frozen_Predictions!$N$4:$N$203,MATCH(A10,Frozen_Predictions!$A$4:$A$203,0)),""))</x:f>
      </x:c>
      <x:c r="U10" s="172" t="str">
        <x:f>IF(A10="","",IFERROR(INDEX(Frozen_Predictions!$O$4:$O$203,MATCH(A10,Frozen_Predictions!$A$4:$A$203,0)),""))</x:f>
      </x:c>
      <x:c r="V10" s="172" t="str">
        <x:f>IF(A10="","",IFERROR(INDEX(Frozen_Predictions!$M$4:$M$203,MATCH(A10,Frozen_Predictions!$A$4:$A$203,0)),""))</x:f>
      </x:c>
      <x:c r="W10" s="175"/>
      <x:c r="X10" s="172" t="str">
        <x:f>IF(A10="","",IF(NOT(COUNTIFS(Frozen_Predictions!$A$4:$A$203,A10)=1),"SNAPSHOT ID INVALID",IFERROR(IF(NOT(AND(INDEX(Frozen_Predictions!$Q$4:$Q$203,MATCH(A10,Frozen_Predictions!$A$4:$A$203,0))="DA",ISNUMBER(INDEX(Frozen_Predictions!$B$4:$B$203,MATCH(A10,Frozen_Predictions!$A$4:$A$203,0))),ISNUMBER(INDEX(Frozen_Predictions!$C$4:$C$203,MATCH(A10,Frozen_Predictions!$A$4:$A$203,0))),INDEX(Frozen_Predictions!$B$4:$B$203,MATCH(A10,Frozen_Predictions!$A$4:$A$203,0))&lt;INDEX(Frozen_Predictions!$C$4:$C$203,MATCH(A10,Frozen_Predictions!$A$4:$A$203,0)),INDEX(Frozen_Predictions!$V$4:$V$203,MATCH(A10,Frozen_Predictions!$A$4:$A$203,0))="READY",INDEX(Frozen_Predictions!$O$4:$O$203,MATCH(A10,Frozen_Predictions!$A$4:$A$203,0))="PASS",INDEX(Frozen_Predictions!$J$4:$J$203,MATCH(A10,Frozen_Predictions!$A$4:$A$203,0))=Under_LineCal_v9!$B$45,COUNTIFS(Frozen_Predictions!$A$4:$A$203,A10,Frozen_Predictions!$L$4:$L$203,"&lt;&gt;",Frozen_Predictions!$L$4:$L$203,"&gt;=0",Frozen_Predictions!$L$4:$L$203,"&lt;=1")=1,COUNTIFS($A$4:$A$203,A10)=1)),"SNAPSHOT NOT VALID",IF(AND(ISNUMBER(I10),I10&gt;=0,I10&lt;=1,ISNUMBER(N10),P10&lt;&gt;"",ISNUMBER(Q10),Q10&gt;=B10,OR(G10="U3.5",G10="U4.5",G10="U5.5")),"SETTLED","PENDING RESULT")),"SNAPSHOT NOT VALID")))</x:f>
      </x:c>
    </x:row>
    <x:row r="11" ht="23" customHeight="1">
      <x:c r="A11" s="175"/>
      <x:c r="B11" s="200" t="str">
        <x:f>IF(A11="","",IFERROR(INDEX(Frozen_Predictions!$C$4:$C$203,MATCH(A11,Frozen_Predictions!$A$4:$A$203,0)),""))</x:f>
      </x:c>
      <x:c r="C11" s="172" t="str">
        <x:f>IF(A11="","",IFERROR(INDEX(Frozen_Predictions!$E$4:$E$203,MATCH(A11,Frozen_Predictions!$A$4:$A$203,0)),""))</x:f>
      </x:c>
      <x:c r="D11" s="172" t="str">
        <x:f>IF(A11="","",IFERROR(INDEX(Frozen_Predictions!$F$4:$F$203,MATCH(A11,Frozen_Predictions!$A$4:$A$203,0)),""))</x:f>
      </x:c>
      <x:c r="E11" s="172" t="str">
        <x:f>IF(A11="","",IFERROR(INDEX(Frozen_Predictions!$G$4:$G$203,MATCH(A11,Frozen_Predictions!$A$4:$A$203,0)),""))</x:f>
      </x:c>
      <x:c r="F11" s="172" t="str">
        <x:f>IF(A11="","",IFERROR(INDEX(Frozen_Predictions!$H$4:$H$203,MATCH(A11,Frozen_Predictions!$A$4:$A$203,0)),""))</x:f>
      </x:c>
      <x:c r="G11" s="172" t="str">
        <x:f>IF(A11="","",IFERROR(INDEX(Frozen_Predictions!$I$4:$I$203,MATCH(A11,Frozen_Predictions!$A$4:$A$203,0)),""))</x:f>
      </x:c>
      <x:c r="H11" s="172" t="str">
        <x:f>IF(A11="","",IFERROR(INDEX(Frozen_Predictions!$J$4:$J$203,MATCH(A11,Frozen_Predictions!$A$4:$A$203,0)),""))</x:f>
      </x:c>
      <x:c r="I11" s="192" t="str">
        <x:f>IF(A11="","",IFERROR(INDEX(Frozen_Predictions!$L$4:$L$203,MATCH(A11,Frozen_Predictions!$A$4:$A$203,0)),""))</x:f>
      </x:c>
      <x:c r="J11" s="172" t="str">
        <x:f>IF(X11&lt;&gt;"SETTLED","",IF(N11&lt;=IF(G11="U3.5",3,IF(G11="U4.5",4,5)),1,0))</x:f>
      </x:c>
      <x:c r="K11" s="195" t="str">
        <x:f>IF(X11&lt;&gt;"SETTLED","",IF(AND(OR(V11="DEFENSIV",V11="PRUDENT",V11="MODERAT",V11="RIDICAT"),ISNUMBER(INDEX(Frozen_Predictions!$Y$4:$Y$203,MATCH(A11,Frozen_Predictions!$A$4:$A$203,0))),INDEX(Frozen_Predictions!$Y$4:$Y$203,MATCH(A11,Frozen_Predictions!$A$4:$A$203,0))&gt;1),IF(J11=1,INDEX(Frozen_Predictions!$Y$4:$Y$203,MATCH(A11,Frozen_Predictions!$A$4:$A$203,0))-1,-1),""))</x:f>
      </x:c>
      <x:c r="L11" s="175"/>
      <x:c r="M11" s="175"/>
      <x:c r="N11" s="172" t="str">
        <x:f>IFERROR(IF(AND(ISNUMBER(L11),ISNUMBER(M11),L11&gt;=0,M11&gt;=0,INT(L11)=L11,INT(M11)=M11),L11+M11,""),"")</x:f>
      </x:c>
      <x:c r="O11" s="172" t="str">
        <x:f>IF(X11&lt;&gt;"SETTLED","",IF(J11=1,"WIN",IF(N11=IF(G11="U3.5",4,IF(G11="U4.5",5,6)),"NEAR TAIL","SEVERE TAIL")))</x:f>
      </x:c>
      <x:c r="P11" s="175"/>
      <x:c r="Q11" s="177"/>
      <x:c r="R11" s="213" t="str">
        <x:f>IF(X11&lt;&gt;"SETTLED","",(I11-J11)^2)</x:f>
      </x:c>
      <x:c r="S11" s="213" t="str">
        <x:f>IF(X11&lt;&gt;"SETTLED","",-(J11*LN(MAX(0.000001,MIN(0.999999,I11)))+(1-J11)*LN(MAX(0.000001,MIN(0.999999,1-I11)))))</x:f>
      </x:c>
      <x:c r="T11" s="172" t="str">
        <x:f>IF(A11="","",IFERROR(INDEX(Frozen_Predictions!$N$4:$N$203,MATCH(A11,Frozen_Predictions!$A$4:$A$203,0)),""))</x:f>
      </x:c>
      <x:c r="U11" s="172" t="str">
        <x:f>IF(A11="","",IFERROR(INDEX(Frozen_Predictions!$O$4:$O$203,MATCH(A11,Frozen_Predictions!$A$4:$A$203,0)),""))</x:f>
      </x:c>
      <x:c r="V11" s="172" t="str">
        <x:f>IF(A11="","",IFERROR(INDEX(Frozen_Predictions!$M$4:$M$203,MATCH(A11,Frozen_Predictions!$A$4:$A$203,0)),""))</x:f>
      </x:c>
      <x:c r="W11" s="175"/>
      <x:c r="X11" s="172" t="str">
        <x:f>IF(A11="","",IF(NOT(COUNTIFS(Frozen_Predictions!$A$4:$A$203,A11)=1),"SNAPSHOT ID INVALID",IFERROR(IF(NOT(AND(INDEX(Frozen_Predictions!$Q$4:$Q$203,MATCH(A11,Frozen_Predictions!$A$4:$A$203,0))="DA",ISNUMBER(INDEX(Frozen_Predictions!$B$4:$B$203,MATCH(A11,Frozen_Predictions!$A$4:$A$203,0))),ISNUMBER(INDEX(Frozen_Predictions!$C$4:$C$203,MATCH(A11,Frozen_Predictions!$A$4:$A$203,0))),INDEX(Frozen_Predictions!$B$4:$B$203,MATCH(A11,Frozen_Predictions!$A$4:$A$203,0))&lt;INDEX(Frozen_Predictions!$C$4:$C$203,MATCH(A11,Frozen_Predictions!$A$4:$A$203,0)),INDEX(Frozen_Predictions!$V$4:$V$203,MATCH(A11,Frozen_Predictions!$A$4:$A$203,0))="READY",INDEX(Frozen_Predictions!$O$4:$O$203,MATCH(A11,Frozen_Predictions!$A$4:$A$203,0))="PASS",INDEX(Frozen_Predictions!$J$4:$J$203,MATCH(A11,Frozen_Predictions!$A$4:$A$203,0))=Under_LineCal_v9!$B$45,COUNTIFS(Frozen_Predictions!$A$4:$A$203,A11,Frozen_Predictions!$L$4:$L$203,"&lt;&gt;",Frozen_Predictions!$L$4:$L$203,"&gt;=0",Frozen_Predictions!$L$4:$L$203,"&lt;=1")=1,COUNTIFS($A$4:$A$203,A11)=1)),"SNAPSHOT NOT VALID",IF(AND(ISNUMBER(I11),I11&gt;=0,I11&lt;=1,ISNUMBER(N11),P11&lt;&gt;"",ISNUMBER(Q11),Q11&gt;=B11,OR(G11="U3.5",G11="U4.5",G11="U5.5")),"SETTLED","PENDING RESULT")),"SNAPSHOT NOT VALID")))</x:f>
      </x:c>
    </x:row>
    <x:row r="12" ht="23" customHeight="1">
      <x:c r="A12" s="175"/>
      <x:c r="B12" s="200" t="str">
        <x:f>IF(A12="","",IFERROR(INDEX(Frozen_Predictions!$C$4:$C$203,MATCH(A12,Frozen_Predictions!$A$4:$A$203,0)),""))</x:f>
      </x:c>
      <x:c r="C12" s="172" t="str">
        <x:f>IF(A12="","",IFERROR(INDEX(Frozen_Predictions!$E$4:$E$203,MATCH(A12,Frozen_Predictions!$A$4:$A$203,0)),""))</x:f>
      </x:c>
      <x:c r="D12" s="172" t="str">
        <x:f>IF(A12="","",IFERROR(INDEX(Frozen_Predictions!$F$4:$F$203,MATCH(A12,Frozen_Predictions!$A$4:$A$203,0)),""))</x:f>
      </x:c>
      <x:c r="E12" s="172" t="str">
        <x:f>IF(A12="","",IFERROR(INDEX(Frozen_Predictions!$G$4:$G$203,MATCH(A12,Frozen_Predictions!$A$4:$A$203,0)),""))</x:f>
      </x:c>
      <x:c r="F12" s="172" t="str">
        <x:f>IF(A12="","",IFERROR(INDEX(Frozen_Predictions!$H$4:$H$203,MATCH(A12,Frozen_Predictions!$A$4:$A$203,0)),""))</x:f>
      </x:c>
      <x:c r="G12" s="172" t="str">
        <x:f>IF(A12="","",IFERROR(INDEX(Frozen_Predictions!$I$4:$I$203,MATCH(A12,Frozen_Predictions!$A$4:$A$203,0)),""))</x:f>
      </x:c>
      <x:c r="H12" s="172" t="str">
        <x:f>IF(A12="","",IFERROR(INDEX(Frozen_Predictions!$J$4:$J$203,MATCH(A12,Frozen_Predictions!$A$4:$A$203,0)),""))</x:f>
      </x:c>
      <x:c r="I12" s="192" t="str">
        <x:f>IF(A12="","",IFERROR(INDEX(Frozen_Predictions!$L$4:$L$203,MATCH(A12,Frozen_Predictions!$A$4:$A$203,0)),""))</x:f>
      </x:c>
      <x:c r="J12" s="172" t="str">
        <x:f>IF(X12&lt;&gt;"SETTLED","",IF(N12&lt;=IF(G12="U3.5",3,IF(G12="U4.5",4,5)),1,0))</x:f>
      </x:c>
      <x:c r="K12" s="195" t="str">
        <x:f>IF(X12&lt;&gt;"SETTLED","",IF(AND(OR(V12="DEFENSIV",V12="PRUDENT",V12="MODERAT",V12="RIDICAT"),ISNUMBER(INDEX(Frozen_Predictions!$Y$4:$Y$203,MATCH(A12,Frozen_Predictions!$A$4:$A$203,0))),INDEX(Frozen_Predictions!$Y$4:$Y$203,MATCH(A12,Frozen_Predictions!$A$4:$A$203,0))&gt;1),IF(J12=1,INDEX(Frozen_Predictions!$Y$4:$Y$203,MATCH(A12,Frozen_Predictions!$A$4:$A$203,0))-1,-1),""))</x:f>
      </x:c>
      <x:c r="L12" s="175"/>
      <x:c r="M12" s="175"/>
      <x:c r="N12" s="172" t="str">
        <x:f>IFERROR(IF(AND(ISNUMBER(L12),ISNUMBER(M12),L12&gt;=0,M12&gt;=0,INT(L12)=L12,INT(M12)=M12),L12+M12,""),"")</x:f>
      </x:c>
      <x:c r="O12" s="172" t="str">
        <x:f>IF(X12&lt;&gt;"SETTLED","",IF(J12=1,"WIN",IF(N12=IF(G12="U3.5",4,IF(G12="U4.5",5,6)),"NEAR TAIL","SEVERE TAIL")))</x:f>
      </x:c>
      <x:c r="P12" s="175"/>
      <x:c r="Q12" s="177"/>
      <x:c r="R12" s="213" t="str">
        <x:f>IF(X12&lt;&gt;"SETTLED","",(I12-J12)^2)</x:f>
      </x:c>
      <x:c r="S12" s="213" t="str">
        <x:f>IF(X12&lt;&gt;"SETTLED","",-(J12*LN(MAX(0.000001,MIN(0.999999,I12)))+(1-J12)*LN(MAX(0.000001,MIN(0.999999,1-I12)))))</x:f>
      </x:c>
      <x:c r="T12" s="172" t="str">
        <x:f>IF(A12="","",IFERROR(INDEX(Frozen_Predictions!$N$4:$N$203,MATCH(A12,Frozen_Predictions!$A$4:$A$203,0)),""))</x:f>
      </x:c>
      <x:c r="U12" s="172" t="str">
        <x:f>IF(A12="","",IFERROR(INDEX(Frozen_Predictions!$O$4:$O$203,MATCH(A12,Frozen_Predictions!$A$4:$A$203,0)),""))</x:f>
      </x:c>
      <x:c r="V12" s="172" t="str">
        <x:f>IF(A12="","",IFERROR(INDEX(Frozen_Predictions!$M$4:$M$203,MATCH(A12,Frozen_Predictions!$A$4:$A$203,0)),""))</x:f>
      </x:c>
      <x:c r="W12" s="175"/>
      <x:c r="X12" s="172" t="str">
        <x:f>IF(A12="","",IF(NOT(COUNTIFS(Frozen_Predictions!$A$4:$A$203,A12)=1),"SNAPSHOT ID INVALID",IFERROR(IF(NOT(AND(INDEX(Frozen_Predictions!$Q$4:$Q$203,MATCH(A12,Frozen_Predictions!$A$4:$A$203,0))="DA",ISNUMBER(INDEX(Frozen_Predictions!$B$4:$B$203,MATCH(A12,Frozen_Predictions!$A$4:$A$203,0))),ISNUMBER(INDEX(Frozen_Predictions!$C$4:$C$203,MATCH(A12,Frozen_Predictions!$A$4:$A$203,0))),INDEX(Frozen_Predictions!$B$4:$B$203,MATCH(A12,Frozen_Predictions!$A$4:$A$203,0))&lt;INDEX(Frozen_Predictions!$C$4:$C$203,MATCH(A12,Frozen_Predictions!$A$4:$A$203,0)),INDEX(Frozen_Predictions!$V$4:$V$203,MATCH(A12,Frozen_Predictions!$A$4:$A$203,0))="READY",INDEX(Frozen_Predictions!$O$4:$O$203,MATCH(A12,Frozen_Predictions!$A$4:$A$203,0))="PASS",INDEX(Frozen_Predictions!$J$4:$J$203,MATCH(A12,Frozen_Predictions!$A$4:$A$203,0))=Under_LineCal_v9!$B$45,COUNTIFS(Frozen_Predictions!$A$4:$A$203,A12,Frozen_Predictions!$L$4:$L$203,"&lt;&gt;",Frozen_Predictions!$L$4:$L$203,"&gt;=0",Frozen_Predictions!$L$4:$L$203,"&lt;=1")=1,COUNTIFS($A$4:$A$203,A12)=1)),"SNAPSHOT NOT VALID",IF(AND(ISNUMBER(I12),I12&gt;=0,I12&lt;=1,ISNUMBER(N12),P12&lt;&gt;"",ISNUMBER(Q12),Q12&gt;=B12,OR(G12="U3.5",G12="U4.5",G12="U5.5")),"SETTLED","PENDING RESULT")),"SNAPSHOT NOT VALID")))</x:f>
      </x:c>
    </x:row>
    <x:row r="13" ht="23" customHeight="1">
      <x:c r="A13" s="175"/>
      <x:c r="B13" s="200" t="str">
        <x:f>IF(A13="","",IFERROR(INDEX(Frozen_Predictions!$C$4:$C$203,MATCH(A13,Frozen_Predictions!$A$4:$A$203,0)),""))</x:f>
      </x:c>
      <x:c r="C13" s="172" t="str">
        <x:f>IF(A13="","",IFERROR(INDEX(Frozen_Predictions!$E$4:$E$203,MATCH(A13,Frozen_Predictions!$A$4:$A$203,0)),""))</x:f>
      </x:c>
      <x:c r="D13" s="172" t="str">
        <x:f>IF(A13="","",IFERROR(INDEX(Frozen_Predictions!$F$4:$F$203,MATCH(A13,Frozen_Predictions!$A$4:$A$203,0)),""))</x:f>
      </x:c>
      <x:c r="E13" s="172" t="str">
        <x:f>IF(A13="","",IFERROR(INDEX(Frozen_Predictions!$G$4:$G$203,MATCH(A13,Frozen_Predictions!$A$4:$A$203,0)),""))</x:f>
      </x:c>
      <x:c r="F13" s="172" t="str">
        <x:f>IF(A13="","",IFERROR(INDEX(Frozen_Predictions!$H$4:$H$203,MATCH(A13,Frozen_Predictions!$A$4:$A$203,0)),""))</x:f>
      </x:c>
      <x:c r="G13" s="172" t="str">
        <x:f>IF(A13="","",IFERROR(INDEX(Frozen_Predictions!$I$4:$I$203,MATCH(A13,Frozen_Predictions!$A$4:$A$203,0)),""))</x:f>
      </x:c>
      <x:c r="H13" s="172" t="str">
        <x:f>IF(A13="","",IFERROR(INDEX(Frozen_Predictions!$J$4:$J$203,MATCH(A13,Frozen_Predictions!$A$4:$A$203,0)),""))</x:f>
      </x:c>
      <x:c r="I13" s="192" t="str">
        <x:f>IF(A13="","",IFERROR(INDEX(Frozen_Predictions!$L$4:$L$203,MATCH(A13,Frozen_Predictions!$A$4:$A$203,0)),""))</x:f>
      </x:c>
      <x:c r="J13" s="172" t="str">
        <x:f>IF(X13&lt;&gt;"SETTLED","",IF(N13&lt;=IF(G13="U3.5",3,IF(G13="U4.5",4,5)),1,0))</x:f>
      </x:c>
      <x:c r="K13" s="195" t="str">
        <x:f>IF(X13&lt;&gt;"SETTLED","",IF(AND(OR(V13="DEFENSIV",V13="PRUDENT",V13="MODERAT",V13="RIDICAT"),ISNUMBER(INDEX(Frozen_Predictions!$Y$4:$Y$203,MATCH(A13,Frozen_Predictions!$A$4:$A$203,0))),INDEX(Frozen_Predictions!$Y$4:$Y$203,MATCH(A13,Frozen_Predictions!$A$4:$A$203,0))&gt;1),IF(J13=1,INDEX(Frozen_Predictions!$Y$4:$Y$203,MATCH(A13,Frozen_Predictions!$A$4:$A$203,0))-1,-1),""))</x:f>
      </x:c>
      <x:c r="L13" s="175"/>
      <x:c r="M13" s="175"/>
      <x:c r="N13" s="172" t="str">
        <x:f>IFERROR(IF(AND(ISNUMBER(L13),ISNUMBER(M13),L13&gt;=0,M13&gt;=0,INT(L13)=L13,INT(M13)=M13),L13+M13,""),"")</x:f>
      </x:c>
      <x:c r="O13" s="172" t="str">
        <x:f>IF(X13&lt;&gt;"SETTLED","",IF(J13=1,"WIN",IF(N13=IF(G13="U3.5",4,IF(G13="U4.5",5,6)),"NEAR TAIL","SEVERE TAIL")))</x:f>
      </x:c>
      <x:c r="P13" s="175"/>
      <x:c r="Q13" s="177"/>
      <x:c r="R13" s="213" t="str">
        <x:f>IF(X13&lt;&gt;"SETTLED","",(I13-J13)^2)</x:f>
      </x:c>
      <x:c r="S13" s="213" t="str">
        <x:f>IF(X13&lt;&gt;"SETTLED","",-(J13*LN(MAX(0.000001,MIN(0.999999,I13)))+(1-J13)*LN(MAX(0.000001,MIN(0.999999,1-I13)))))</x:f>
      </x:c>
      <x:c r="T13" s="172" t="str">
        <x:f>IF(A13="","",IFERROR(INDEX(Frozen_Predictions!$N$4:$N$203,MATCH(A13,Frozen_Predictions!$A$4:$A$203,0)),""))</x:f>
      </x:c>
      <x:c r="U13" s="172" t="str">
        <x:f>IF(A13="","",IFERROR(INDEX(Frozen_Predictions!$O$4:$O$203,MATCH(A13,Frozen_Predictions!$A$4:$A$203,0)),""))</x:f>
      </x:c>
      <x:c r="V13" s="172" t="str">
        <x:f>IF(A13="","",IFERROR(INDEX(Frozen_Predictions!$M$4:$M$203,MATCH(A13,Frozen_Predictions!$A$4:$A$203,0)),""))</x:f>
      </x:c>
      <x:c r="W13" s="175"/>
      <x:c r="X13" s="172" t="str">
        <x:f>IF(A13="","",IF(NOT(COUNTIFS(Frozen_Predictions!$A$4:$A$203,A13)=1),"SNAPSHOT ID INVALID",IFERROR(IF(NOT(AND(INDEX(Frozen_Predictions!$Q$4:$Q$203,MATCH(A13,Frozen_Predictions!$A$4:$A$203,0))="DA",ISNUMBER(INDEX(Frozen_Predictions!$B$4:$B$203,MATCH(A13,Frozen_Predictions!$A$4:$A$203,0))),ISNUMBER(INDEX(Frozen_Predictions!$C$4:$C$203,MATCH(A13,Frozen_Predictions!$A$4:$A$203,0))),INDEX(Frozen_Predictions!$B$4:$B$203,MATCH(A13,Frozen_Predictions!$A$4:$A$203,0))&lt;INDEX(Frozen_Predictions!$C$4:$C$203,MATCH(A13,Frozen_Predictions!$A$4:$A$203,0)),INDEX(Frozen_Predictions!$V$4:$V$203,MATCH(A13,Frozen_Predictions!$A$4:$A$203,0))="READY",INDEX(Frozen_Predictions!$O$4:$O$203,MATCH(A13,Frozen_Predictions!$A$4:$A$203,0))="PASS",INDEX(Frozen_Predictions!$J$4:$J$203,MATCH(A13,Frozen_Predictions!$A$4:$A$203,0))=Under_LineCal_v9!$B$45,COUNTIFS(Frozen_Predictions!$A$4:$A$203,A13,Frozen_Predictions!$L$4:$L$203,"&lt;&gt;",Frozen_Predictions!$L$4:$L$203,"&gt;=0",Frozen_Predictions!$L$4:$L$203,"&lt;=1")=1,COUNTIFS($A$4:$A$203,A13)=1)),"SNAPSHOT NOT VALID",IF(AND(ISNUMBER(I13),I13&gt;=0,I13&lt;=1,ISNUMBER(N13),P13&lt;&gt;"",ISNUMBER(Q13),Q13&gt;=B13,OR(G13="U3.5",G13="U4.5",G13="U5.5")),"SETTLED","PENDING RESULT")),"SNAPSHOT NOT VALID")))</x:f>
      </x:c>
    </x:row>
    <x:row r="14" ht="23" customHeight="1">
      <x:c r="A14" s="175"/>
      <x:c r="B14" s="200" t="str">
        <x:f>IF(A14="","",IFERROR(INDEX(Frozen_Predictions!$C$4:$C$203,MATCH(A14,Frozen_Predictions!$A$4:$A$203,0)),""))</x:f>
      </x:c>
      <x:c r="C14" s="172" t="str">
        <x:f>IF(A14="","",IFERROR(INDEX(Frozen_Predictions!$E$4:$E$203,MATCH(A14,Frozen_Predictions!$A$4:$A$203,0)),""))</x:f>
      </x:c>
      <x:c r="D14" s="172" t="str">
        <x:f>IF(A14="","",IFERROR(INDEX(Frozen_Predictions!$F$4:$F$203,MATCH(A14,Frozen_Predictions!$A$4:$A$203,0)),""))</x:f>
      </x:c>
      <x:c r="E14" s="172" t="str">
        <x:f>IF(A14="","",IFERROR(INDEX(Frozen_Predictions!$G$4:$G$203,MATCH(A14,Frozen_Predictions!$A$4:$A$203,0)),""))</x:f>
      </x:c>
      <x:c r="F14" s="172" t="str">
        <x:f>IF(A14="","",IFERROR(INDEX(Frozen_Predictions!$H$4:$H$203,MATCH(A14,Frozen_Predictions!$A$4:$A$203,0)),""))</x:f>
      </x:c>
      <x:c r="G14" s="172" t="str">
        <x:f>IF(A14="","",IFERROR(INDEX(Frozen_Predictions!$I$4:$I$203,MATCH(A14,Frozen_Predictions!$A$4:$A$203,0)),""))</x:f>
      </x:c>
      <x:c r="H14" s="172" t="str">
        <x:f>IF(A14="","",IFERROR(INDEX(Frozen_Predictions!$J$4:$J$203,MATCH(A14,Frozen_Predictions!$A$4:$A$203,0)),""))</x:f>
      </x:c>
      <x:c r="I14" s="192" t="str">
        <x:f>IF(A14="","",IFERROR(INDEX(Frozen_Predictions!$L$4:$L$203,MATCH(A14,Frozen_Predictions!$A$4:$A$203,0)),""))</x:f>
      </x:c>
      <x:c r="J14" s="172" t="str">
        <x:f>IF(X14&lt;&gt;"SETTLED","",IF(N14&lt;=IF(G14="U3.5",3,IF(G14="U4.5",4,5)),1,0))</x:f>
      </x:c>
      <x:c r="K14" s="195" t="str">
        <x:f>IF(X14&lt;&gt;"SETTLED","",IF(AND(OR(V14="DEFENSIV",V14="PRUDENT",V14="MODERAT",V14="RIDICAT"),ISNUMBER(INDEX(Frozen_Predictions!$Y$4:$Y$203,MATCH(A14,Frozen_Predictions!$A$4:$A$203,0))),INDEX(Frozen_Predictions!$Y$4:$Y$203,MATCH(A14,Frozen_Predictions!$A$4:$A$203,0))&gt;1),IF(J14=1,INDEX(Frozen_Predictions!$Y$4:$Y$203,MATCH(A14,Frozen_Predictions!$A$4:$A$203,0))-1,-1),""))</x:f>
      </x:c>
      <x:c r="L14" s="175"/>
      <x:c r="M14" s="175"/>
      <x:c r="N14" s="172" t="str">
        <x:f>IFERROR(IF(AND(ISNUMBER(L14),ISNUMBER(M14),L14&gt;=0,M14&gt;=0,INT(L14)=L14,INT(M14)=M14),L14+M14,""),"")</x:f>
      </x:c>
      <x:c r="O14" s="172" t="str">
        <x:f>IF(X14&lt;&gt;"SETTLED","",IF(J14=1,"WIN",IF(N14=IF(G14="U3.5",4,IF(G14="U4.5",5,6)),"NEAR TAIL","SEVERE TAIL")))</x:f>
      </x:c>
      <x:c r="P14" s="175"/>
      <x:c r="Q14" s="177"/>
      <x:c r="R14" s="213" t="str">
        <x:f>IF(X14&lt;&gt;"SETTLED","",(I14-J14)^2)</x:f>
      </x:c>
      <x:c r="S14" s="213" t="str">
        <x:f>IF(X14&lt;&gt;"SETTLED","",-(J14*LN(MAX(0.000001,MIN(0.999999,I14)))+(1-J14)*LN(MAX(0.000001,MIN(0.999999,1-I14)))))</x:f>
      </x:c>
      <x:c r="T14" s="172" t="str">
        <x:f>IF(A14="","",IFERROR(INDEX(Frozen_Predictions!$N$4:$N$203,MATCH(A14,Frozen_Predictions!$A$4:$A$203,0)),""))</x:f>
      </x:c>
      <x:c r="U14" s="172" t="str">
        <x:f>IF(A14="","",IFERROR(INDEX(Frozen_Predictions!$O$4:$O$203,MATCH(A14,Frozen_Predictions!$A$4:$A$203,0)),""))</x:f>
      </x:c>
      <x:c r="V14" s="172" t="str">
        <x:f>IF(A14="","",IFERROR(INDEX(Frozen_Predictions!$M$4:$M$203,MATCH(A14,Frozen_Predictions!$A$4:$A$203,0)),""))</x:f>
      </x:c>
      <x:c r="W14" s="175"/>
      <x:c r="X14" s="172" t="str">
        <x:f>IF(A14="","",IF(NOT(COUNTIFS(Frozen_Predictions!$A$4:$A$203,A14)=1),"SNAPSHOT ID INVALID",IFERROR(IF(NOT(AND(INDEX(Frozen_Predictions!$Q$4:$Q$203,MATCH(A14,Frozen_Predictions!$A$4:$A$203,0))="DA",ISNUMBER(INDEX(Frozen_Predictions!$B$4:$B$203,MATCH(A14,Frozen_Predictions!$A$4:$A$203,0))),ISNUMBER(INDEX(Frozen_Predictions!$C$4:$C$203,MATCH(A14,Frozen_Predictions!$A$4:$A$203,0))),INDEX(Frozen_Predictions!$B$4:$B$203,MATCH(A14,Frozen_Predictions!$A$4:$A$203,0))&lt;INDEX(Frozen_Predictions!$C$4:$C$203,MATCH(A14,Frozen_Predictions!$A$4:$A$203,0)),INDEX(Frozen_Predictions!$V$4:$V$203,MATCH(A14,Frozen_Predictions!$A$4:$A$203,0))="READY",INDEX(Frozen_Predictions!$O$4:$O$203,MATCH(A14,Frozen_Predictions!$A$4:$A$203,0))="PASS",INDEX(Frozen_Predictions!$J$4:$J$203,MATCH(A14,Frozen_Predictions!$A$4:$A$203,0))=Under_LineCal_v9!$B$45,COUNTIFS(Frozen_Predictions!$A$4:$A$203,A14,Frozen_Predictions!$L$4:$L$203,"&lt;&gt;",Frozen_Predictions!$L$4:$L$203,"&gt;=0",Frozen_Predictions!$L$4:$L$203,"&lt;=1")=1,COUNTIFS($A$4:$A$203,A14)=1)),"SNAPSHOT NOT VALID",IF(AND(ISNUMBER(I14),I14&gt;=0,I14&lt;=1,ISNUMBER(N14),P14&lt;&gt;"",ISNUMBER(Q14),Q14&gt;=B14,OR(G14="U3.5",G14="U4.5",G14="U5.5")),"SETTLED","PENDING RESULT")),"SNAPSHOT NOT VALID")))</x:f>
      </x:c>
    </x:row>
    <x:row r="15" ht="23" customHeight="1">
      <x:c r="A15" s="175"/>
      <x:c r="B15" s="200" t="str">
        <x:f>IF(A15="","",IFERROR(INDEX(Frozen_Predictions!$C$4:$C$203,MATCH(A15,Frozen_Predictions!$A$4:$A$203,0)),""))</x:f>
      </x:c>
      <x:c r="C15" s="172" t="str">
        <x:f>IF(A15="","",IFERROR(INDEX(Frozen_Predictions!$E$4:$E$203,MATCH(A15,Frozen_Predictions!$A$4:$A$203,0)),""))</x:f>
      </x:c>
      <x:c r="D15" s="172" t="str">
        <x:f>IF(A15="","",IFERROR(INDEX(Frozen_Predictions!$F$4:$F$203,MATCH(A15,Frozen_Predictions!$A$4:$A$203,0)),""))</x:f>
      </x:c>
      <x:c r="E15" s="172" t="str">
        <x:f>IF(A15="","",IFERROR(INDEX(Frozen_Predictions!$G$4:$G$203,MATCH(A15,Frozen_Predictions!$A$4:$A$203,0)),""))</x:f>
      </x:c>
      <x:c r="F15" s="172" t="str">
        <x:f>IF(A15="","",IFERROR(INDEX(Frozen_Predictions!$H$4:$H$203,MATCH(A15,Frozen_Predictions!$A$4:$A$203,0)),""))</x:f>
      </x:c>
      <x:c r="G15" s="172" t="str">
        <x:f>IF(A15="","",IFERROR(INDEX(Frozen_Predictions!$I$4:$I$203,MATCH(A15,Frozen_Predictions!$A$4:$A$203,0)),""))</x:f>
      </x:c>
      <x:c r="H15" s="172" t="str">
        <x:f>IF(A15="","",IFERROR(INDEX(Frozen_Predictions!$J$4:$J$203,MATCH(A15,Frozen_Predictions!$A$4:$A$203,0)),""))</x:f>
      </x:c>
      <x:c r="I15" s="192" t="str">
        <x:f>IF(A15="","",IFERROR(INDEX(Frozen_Predictions!$L$4:$L$203,MATCH(A15,Frozen_Predictions!$A$4:$A$203,0)),""))</x:f>
      </x:c>
      <x:c r="J15" s="172" t="str">
        <x:f>IF(X15&lt;&gt;"SETTLED","",IF(N15&lt;=IF(G15="U3.5",3,IF(G15="U4.5",4,5)),1,0))</x:f>
      </x:c>
      <x:c r="K15" s="195" t="str">
        <x:f>IF(X15&lt;&gt;"SETTLED","",IF(AND(OR(V15="DEFENSIV",V15="PRUDENT",V15="MODERAT",V15="RIDICAT"),ISNUMBER(INDEX(Frozen_Predictions!$Y$4:$Y$203,MATCH(A15,Frozen_Predictions!$A$4:$A$203,0))),INDEX(Frozen_Predictions!$Y$4:$Y$203,MATCH(A15,Frozen_Predictions!$A$4:$A$203,0))&gt;1),IF(J15=1,INDEX(Frozen_Predictions!$Y$4:$Y$203,MATCH(A15,Frozen_Predictions!$A$4:$A$203,0))-1,-1),""))</x:f>
      </x:c>
      <x:c r="L15" s="175"/>
      <x:c r="M15" s="175"/>
      <x:c r="N15" s="172" t="str">
        <x:f>IFERROR(IF(AND(ISNUMBER(L15),ISNUMBER(M15),L15&gt;=0,M15&gt;=0,INT(L15)=L15,INT(M15)=M15),L15+M15,""),"")</x:f>
      </x:c>
      <x:c r="O15" s="172" t="str">
        <x:f>IF(X15&lt;&gt;"SETTLED","",IF(J15=1,"WIN",IF(N15=IF(G15="U3.5",4,IF(G15="U4.5",5,6)),"NEAR TAIL","SEVERE TAIL")))</x:f>
      </x:c>
      <x:c r="P15" s="175"/>
      <x:c r="Q15" s="177"/>
      <x:c r="R15" s="213" t="str">
        <x:f>IF(X15&lt;&gt;"SETTLED","",(I15-J15)^2)</x:f>
      </x:c>
      <x:c r="S15" s="213" t="str">
        <x:f>IF(X15&lt;&gt;"SETTLED","",-(J15*LN(MAX(0.000001,MIN(0.999999,I15)))+(1-J15)*LN(MAX(0.000001,MIN(0.999999,1-I15)))))</x:f>
      </x:c>
      <x:c r="T15" s="172" t="str">
        <x:f>IF(A15="","",IFERROR(INDEX(Frozen_Predictions!$N$4:$N$203,MATCH(A15,Frozen_Predictions!$A$4:$A$203,0)),""))</x:f>
      </x:c>
      <x:c r="U15" s="172" t="str">
        <x:f>IF(A15="","",IFERROR(INDEX(Frozen_Predictions!$O$4:$O$203,MATCH(A15,Frozen_Predictions!$A$4:$A$203,0)),""))</x:f>
      </x:c>
      <x:c r="V15" s="172" t="str">
        <x:f>IF(A15="","",IFERROR(INDEX(Frozen_Predictions!$M$4:$M$203,MATCH(A15,Frozen_Predictions!$A$4:$A$203,0)),""))</x:f>
      </x:c>
      <x:c r="W15" s="175"/>
      <x:c r="X15" s="172" t="str">
        <x:f>IF(A15="","",IF(NOT(COUNTIFS(Frozen_Predictions!$A$4:$A$203,A15)=1),"SNAPSHOT ID INVALID",IFERROR(IF(NOT(AND(INDEX(Frozen_Predictions!$Q$4:$Q$203,MATCH(A15,Frozen_Predictions!$A$4:$A$203,0))="DA",ISNUMBER(INDEX(Frozen_Predictions!$B$4:$B$203,MATCH(A15,Frozen_Predictions!$A$4:$A$203,0))),ISNUMBER(INDEX(Frozen_Predictions!$C$4:$C$203,MATCH(A15,Frozen_Predictions!$A$4:$A$203,0))),INDEX(Frozen_Predictions!$B$4:$B$203,MATCH(A15,Frozen_Predictions!$A$4:$A$203,0))&lt;INDEX(Frozen_Predictions!$C$4:$C$203,MATCH(A15,Frozen_Predictions!$A$4:$A$203,0)),INDEX(Frozen_Predictions!$V$4:$V$203,MATCH(A15,Frozen_Predictions!$A$4:$A$203,0))="READY",INDEX(Frozen_Predictions!$O$4:$O$203,MATCH(A15,Frozen_Predictions!$A$4:$A$203,0))="PASS",INDEX(Frozen_Predictions!$J$4:$J$203,MATCH(A15,Frozen_Predictions!$A$4:$A$203,0))=Under_LineCal_v9!$B$45,COUNTIFS(Frozen_Predictions!$A$4:$A$203,A15,Frozen_Predictions!$L$4:$L$203,"&lt;&gt;",Frozen_Predictions!$L$4:$L$203,"&gt;=0",Frozen_Predictions!$L$4:$L$203,"&lt;=1")=1,COUNTIFS($A$4:$A$203,A15)=1)),"SNAPSHOT NOT VALID",IF(AND(ISNUMBER(I15),I15&gt;=0,I15&lt;=1,ISNUMBER(N15),P15&lt;&gt;"",ISNUMBER(Q15),Q15&gt;=B15,OR(G15="U3.5",G15="U4.5",G15="U5.5")),"SETTLED","PENDING RESULT")),"SNAPSHOT NOT VALID")))</x:f>
      </x:c>
    </x:row>
    <x:row r="16" ht="23" customHeight="1">
      <x:c r="A16" s="175"/>
      <x:c r="B16" s="200" t="str">
        <x:f>IF(A16="","",IFERROR(INDEX(Frozen_Predictions!$C$4:$C$203,MATCH(A16,Frozen_Predictions!$A$4:$A$203,0)),""))</x:f>
      </x:c>
      <x:c r="C16" s="172" t="str">
        <x:f>IF(A16="","",IFERROR(INDEX(Frozen_Predictions!$E$4:$E$203,MATCH(A16,Frozen_Predictions!$A$4:$A$203,0)),""))</x:f>
      </x:c>
      <x:c r="D16" s="172" t="str">
        <x:f>IF(A16="","",IFERROR(INDEX(Frozen_Predictions!$F$4:$F$203,MATCH(A16,Frozen_Predictions!$A$4:$A$203,0)),""))</x:f>
      </x:c>
      <x:c r="E16" s="172" t="str">
        <x:f>IF(A16="","",IFERROR(INDEX(Frozen_Predictions!$G$4:$G$203,MATCH(A16,Frozen_Predictions!$A$4:$A$203,0)),""))</x:f>
      </x:c>
      <x:c r="F16" s="172" t="str">
        <x:f>IF(A16="","",IFERROR(INDEX(Frozen_Predictions!$H$4:$H$203,MATCH(A16,Frozen_Predictions!$A$4:$A$203,0)),""))</x:f>
      </x:c>
      <x:c r="G16" s="172" t="str">
        <x:f>IF(A16="","",IFERROR(INDEX(Frozen_Predictions!$I$4:$I$203,MATCH(A16,Frozen_Predictions!$A$4:$A$203,0)),""))</x:f>
      </x:c>
      <x:c r="H16" s="172" t="str">
        <x:f>IF(A16="","",IFERROR(INDEX(Frozen_Predictions!$J$4:$J$203,MATCH(A16,Frozen_Predictions!$A$4:$A$203,0)),""))</x:f>
      </x:c>
      <x:c r="I16" s="192" t="str">
        <x:f>IF(A16="","",IFERROR(INDEX(Frozen_Predictions!$L$4:$L$203,MATCH(A16,Frozen_Predictions!$A$4:$A$203,0)),""))</x:f>
      </x:c>
      <x:c r="J16" s="172" t="str">
        <x:f>IF(X16&lt;&gt;"SETTLED","",IF(N16&lt;=IF(G16="U3.5",3,IF(G16="U4.5",4,5)),1,0))</x:f>
      </x:c>
      <x:c r="K16" s="195" t="str">
        <x:f>IF(X16&lt;&gt;"SETTLED","",IF(AND(OR(V16="DEFENSIV",V16="PRUDENT",V16="MODERAT",V16="RIDICAT"),ISNUMBER(INDEX(Frozen_Predictions!$Y$4:$Y$203,MATCH(A16,Frozen_Predictions!$A$4:$A$203,0))),INDEX(Frozen_Predictions!$Y$4:$Y$203,MATCH(A16,Frozen_Predictions!$A$4:$A$203,0))&gt;1),IF(J16=1,INDEX(Frozen_Predictions!$Y$4:$Y$203,MATCH(A16,Frozen_Predictions!$A$4:$A$203,0))-1,-1),""))</x:f>
      </x:c>
      <x:c r="L16" s="175"/>
      <x:c r="M16" s="175"/>
      <x:c r="N16" s="172" t="str">
        <x:f>IFERROR(IF(AND(ISNUMBER(L16),ISNUMBER(M16),L16&gt;=0,M16&gt;=0,INT(L16)=L16,INT(M16)=M16),L16+M16,""),"")</x:f>
      </x:c>
      <x:c r="O16" s="172" t="str">
        <x:f>IF(X16&lt;&gt;"SETTLED","",IF(J16=1,"WIN",IF(N16=IF(G16="U3.5",4,IF(G16="U4.5",5,6)),"NEAR TAIL","SEVERE TAIL")))</x:f>
      </x:c>
      <x:c r="P16" s="175"/>
      <x:c r="Q16" s="177"/>
      <x:c r="R16" s="213" t="str">
        <x:f>IF(X16&lt;&gt;"SETTLED","",(I16-J16)^2)</x:f>
      </x:c>
      <x:c r="S16" s="213" t="str">
        <x:f>IF(X16&lt;&gt;"SETTLED","",-(J16*LN(MAX(0.000001,MIN(0.999999,I16)))+(1-J16)*LN(MAX(0.000001,MIN(0.999999,1-I16)))))</x:f>
      </x:c>
      <x:c r="T16" s="172" t="str">
        <x:f>IF(A16="","",IFERROR(INDEX(Frozen_Predictions!$N$4:$N$203,MATCH(A16,Frozen_Predictions!$A$4:$A$203,0)),""))</x:f>
      </x:c>
      <x:c r="U16" s="172" t="str">
        <x:f>IF(A16="","",IFERROR(INDEX(Frozen_Predictions!$O$4:$O$203,MATCH(A16,Frozen_Predictions!$A$4:$A$203,0)),""))</x:f>
      </x:c>
      <x:c r="V16" s="172" t="str">
        <x:f>IF(A16="","",IFERROR(INDEX(Frozen_Predictions!$M$4:$M$203,MATCH(A16,Frozen_Predictions!$A$4:$A$203,0)),""))</x:f>
      </x:c>
      <x:c r="W16" s="175"/>
      <x:c r="X16" s="172" t="str">
        <x:f>IF(A16="","",IF(NOT(COUNTIFS(Frozen_Predictions!$A$4:$A$203,A16)=1),"SNAPSHOT ID INVALID",IFERROR(IF(NOT(AND(INDEX(Frozen_Predictions!$Q$4:$Q$203,MATCH(A16,Frozen_Predictions!$A$4:$A$203,0))="DA",ISNUMBER(INDEX(Frozen_Predictions!$B$4:$B$203,MATCH(A16,Frozen_Predictions!$A$4:$A$203,0))),ISNUMBER(INDEX(Frozen_Predictions!$C$4:$C$203,MATCH(A16,Frozen_Predictions!$A$4:$A$203,0))),INDEX(Frozen_Predictions!$B$4:$B$203,MATCH(A16,Frozen_Predictions!$A$4:$A$203,0))&lt;INDEX(Frozen_Predictions!$C$4:$C$203,MATCH(A16,Frozen_Predictions!$A$4:$A$203,0)),INDEX(Frozen_Predictions!$V$4:$V$203,MATCH(A16,Frozen_Predictions!$A$4:$A$203,0))="READY",INDEX(Frozen_Predictions!$O$4:$O$203,MATCH(A16,Frozen_Predictions!$A$4:$A$203,0))="PASS",INDEX(Frozen_Predictions!$J$4:$J$203,MATCH(A16,Frozen_Predictions!$A$4:$A$203,0))=Under_LineCal_v9!$B$45,COUNTIFS(Frozen_Predictions!$A$4:$A$203,A16,Frozen_Predictions!$L$4:$L$203,"&lt;&gt;",Frozen_Predictions!$L$4:$L$203,"&gt;=0",Frozen_Predictions!$L$4:$L$203,"&lt;=1")=1,COUNTIFS($A$4:$A$203,A16)=1)),"SNAPSHOT NOT VALID",IF(AND(ISNUMBER(I16),I16&gt;=0,I16&lt;=1,ISNUMBER(N16),P16&lt;&gt;"",ISNUMBER(Q16),Q16&gt;=B16,OR(G16="U3.5",G16="U4.5",G16="U5.5")),"SETTLED","PENDING RESULT")),"SNAPSHOT NOT VALID")))</x:f>
      </x:c>
    </x:row>
    <x:row r="17" ht="23" customHeight="1">
      <x:c r="A17" s="175"/>
      <x:c r="B17" s="200" t="str">
        <x:f>IF(A17="","",IFERROR(INDEX(Frozen_Predictions!$C$4:$C$203,MATCH(A17,Frozen_Predictions!$A$4:$A$203,0)),""))</x:f>
      </x:c>
      <x:c r="C17" s="172" t="str">
        <x:f>IF(A17="","",IFERROR(INDEX(Frozen_Predictions!$E$4:$E$203,MATCH(A17,Frozen_Predictions!$A$4:$A$203,0)),""))</x:f>
      </x:c>
      <x:c r="D17" s="172" t="str">
        <x:f>IF(A17="","",IFERROR(INDEX(Frozen_Predictions!$F$4:$F$203,MATCH(A17,Frozen_Predictions!$A$4:$A$203,0)),""))</x:f>
      </x:c>
      <x:c r="E17" s="172" t="str">
        <x:f>IF(A17="","",IFERROR(INDEX(Frozen_Predictions!$G$4:$G$203,MATCH(A17,Frozen_Predictions!$A$4:$A$203,0)),""))</x:f>
      </x:c>
      <x:c r="F17" s="172" t="str">
        <x:f>IF(A17="","",IFERROR(INDEX(Frozen_Predictions!$H$4:$H$203,MATCH(A17,Frozen_Predictions!$A$4:$A$203,0)),""))</x:f>
      </x:c>
      <x:c r="G17" s="172" t="str">
        <x:f>IF(A17="","",IFERROR(INDEX(Frozen_Predictions!$I$4:$I$203,MATCH(A17,Frozen_Predictions!$A$4:$A$203,0)),""))</x:f>
      </x:c>
      <x:c r="H17" s="172" t="str">
        <x:f>IF(A17="","",IFERROR(INDEX(Frozen_Predictions!$J$4:$J$203,MATCH(A17,Frozen_Predictions!$A$4:$A$203,0)),""))</x:f>
      </x:c>
      <x:c r="I17" s="192" t="str">
        <x:f>IF(A17="","",IFERROR(INDEX(Frozen_Predictions!$L$4:$L$203,MATCH(A17,Frozen_Predictions!$A$4:$A$203,0)),""))</x:f>
      </x:c>
      <x:c r="J17" s="172" t="str">
        <x:f>IF(X17&lt;&gt;"SETTLED","",IF(N17&lt;=IF(G17="U3.5",3,IF(G17="U4.5",4,5)),1,0))</x:f>
      </x:c>
      <x:c r="K17" s="195" t="str">
        <x:f>IF(X17&lt;&gt;"SETTLED","",IF(AND(OR(V17="DEFENSIV",V17="PRUDENT",V17="MODERAT",V17="RIDICAT"),ISNUMBER(INDEX(Frozen_Predictions!$Y$4:$Y$203,MATCH(A17,Frozen_Predictions!$A$4:$A$203,0))),INDEX(Frozen_Predictions!$Y$4:$Y$203,MATCH(A17,Frozen_Predictions!$A$4:$A$203,0))&gt;1),IF(J17=1,INDEX(Frozen_Predictions!$Y$4:$Y$203,MATCH(A17,Frozen_Predictions!$A$4:$A$203,0))-1,-1),""))</x:f>
      </x:c>
      <x:c r="L17" s="175"/>
      <x:c r="M17" s="175"/>
      <x:c r="N17" s="172" t="str">
        <x:f>IFERROR(IF(AND(ISNUMBER(L17),ISNUMBER(M17),L17&gt;=0,M17&gt;=0,INT(L17)=L17,INT(M17)=M17),L17+M17,""),"")</x:f>
      </x:c>
      <x:c r="O17" s="172" t="str">
        <x:f>IF(X17&lt;&gt;"SETTLED","",IF(J17=1,"WIN",IF(N17=IF(G17="U3.5",4,IF(G17="U4.5",5,6)),"NEAR TAIL","SEVERE TAIL")))</x:f>
      </x:c>
      <x:c r="P17" s="175"/>
      <x:c r="Q17" s="177"/>
      <x:c r="R17" s="213" t="str">
        <x:f>IF(X17&lt;&gt;"SETTLED","",(I17-J17)^2)</x:f>
      </x:c>
      <x:c r="S17" s="213" t="str">
        <x:f>IF(X17&lt;&gt;"SETTLED","",-(J17*LN(MAX(0.000001,MIN(0.999999,I17)))+(1-J17)*LN(MAX(0.000001,MIN(0.999999,1-I17)))))</x:f>
      </x:c>
      <x:c r="T17" s="172" t="str">
        <x:f>IF(A17="","",IFERROR(INDEX(Frozen_Predictions!$N$4:$N$203,MATCH(A17,Frozen_Predictions!$A$4:$A$203,0)),""))</x:f>
      </x:c>
      <x:c r="U17" s="172" t="str">
        <x:f>IF(A17="","",IFERROR(INDEX(Frozen_Predictions!$O$4:$O$203,MATCH(A17,Frozen_Predictions!$A$4:$A$203,0)),""))</x:f>
      </x:c>
      <x:c r="V17" s="172" t="str">
        <x:f>IF(A17="","",IFERROR(INDEX(Frozen_Predictions!$M$4:$M$203,MATCH(A17,Frozen_Predictions!$A$4:$A$203,0)),""))</x:f>
      </x:c>
      <x:c r="W17" s="175"/>
      <x:c r="X17" s="172" t="str">
        <x:f>IF(A17="","",IF(NOT(COUNTIFS(Frozen_Predictions!$A$4:$A$203,A17)=1),"SNAPSHOT ID INVALID",IFERROR(IF(NOT(AND(INDEX(Frozen_Predictions!$Q$4:$Q$203,MATCH(A17,Frozen_Predictions!$A$4:$A$203,0))="DA",ISNUMBER(INDEX(Frozen_Predictions!$B$4:$B$203,MATCH(A17,Frozen_Predictions!$A$4:$A$203,0))),ISNUMBER(INDEX(Frozen_Predictions!$C$4:$C$203,MATCH(A17,Frozen_Predictions!$A$4:$A$203,0))),INDEX(Frozen_Predictions!$B$4:$B$203,MATCH(A17,Frozen_Predictions!$A$4:$A$203,0))&lt;INDEX(Frozen_Predictions!$C$4:$C$203,MATCH(A17,Frozen_Predictions!$A$4:$A$203,0)),INDEX(Frozen_Predictions!$V$4:$V$203,MATCH(A17,Frozen_Predictions!$A$4:$A$203,0))="READY",INDEX(Frozen_Predictions!$O$4:$O$203,MATCH(A17,Frozen_Predictions!$A$4:$A$203,0))="PASS",INDEX(Frozen_Predictions!$J$4:$J$203,MATCH(A17,Frozen_Predictions!$A$4:$A$203,0))=Under_LineCal_v9!$B$45,COUNTIFS(Frozen_Predictions!$A$4:$A$203,A17,Frozen_Predictions!$L$4:$L$203,"&lt;&gt;",Frozen_Predictions!$L$4:$L$203,"&gt;=0",Frozen_Predictions!$L$4:$L$203,"&lt;=1")=1,COUNTIFS($A$4:$A$203,A17)=1)),"SNAPSHOT NOT VALID",IF(AND(ISNUMBER(I17),I17&gt;=0,I17&lt;=1,ISNUMBER(N17),P17&lt;&gt;"",ISNUMBER(Q17),Q17&gt;=B17,OR(G17="U3.5",G17="U4.5",G17="U5.5")),"SETTLED","PENDING RESULT")),"SNAPSHOT NOT VALID")))</x:f>
      </x:c>
    </x:row>
    <x:row r="18" ht="23" customHeight="1">
      <x:c r="A18" s="175"/>
      <x:c r="B18" s="200" t="str">
        <x:f>IF(A18="","",IFERROR(INDEX(Frozen_Predictions!$C$4:$C$203,MATCH(A18,Frozen_Predictions!$A$4:$A$203,0)),""))</x:f>
      </x:c>
      <x:c r="C18" s="172" t="str">
        <x:f>IF(A18="","",IFERROR(INDEX(Frozen_Predictions!$E$4:$E$203,MATCH(A18,Frozen_Predictions!$A$4:$A$203,0)),""))</x:f>
      </x:c>
      <x:c r="D18" s="172" t="str">
        <x:f>IF(A18="","",IFERROR(INDEX(Frozen_Predictions!$F$4:$F$203,MATCH(A18,Frozen_Predictions!$A$4:$A$203,0)),""))</x:f>
      </x:c>
      <x:c r="E18" s="172" t="str">
        <x:f>IF(A18="","",IFERROR(INDEX(Frozen_Predictions!$G$4:$G$203,MATCH(A18,Frozen_Predictions!$A$4:$A$203,0)),""))</x:f>
      </x:c>
      <x:c r="F18" s="172" t="str">
        <x:f>IF(A18="","",IFERROR(INDEX(Frozen_Predictions!$H$4:$H$203,MATCH(A18,Frozen_Predictions!$A$4:$A$203,0)),""))</x:f>
      </x:c>
      <x:c r="G18" s="172" t="str">
        <x:f>IF(A18="","",IFERROR(INDEX(Frozen_Predictions!$I$4:$I$203,MATCH(A18,Frozen_Predictions!$A$4:$A$203,0)),""))</x:f>
      </x:c>
      <x:c r="H18" s="172" t="str">
        <x:f>IF(A18="","",IFERROR(INDEX(Frozen_Predictions!$J$4:$J$203,MATCH(A18,Frozen_Predictions!$A$4:$A$203,0)),""))</x:f>
      </x:c>
      <x:c r="I18" s="192" t="str">
        <x:f>IF(A18="","",IFERROR(INDEX(Frozen_Predictions!$L$4:$L$203,MATCH(A18,Frozen_Predictions!$A$4:$A$203,0)),""))</x:f>
      </x:c>
      <x:c r="J18" s="172" t="str">
        <x:f>IF(X18&lt;&gt;"SETTLED","",IF(N18&lt;=IF(G18="U3.5",3,IF(G18="U4.5",4,5)),1,0))</x:f>
      </x:c>
      <x:c r="K18" s="195" t="str">
        <x:f>IF(X18&lt;&gt;"SETTLED","",IF(AND(OR(V18="DEFENSIV",V18="PRUDENT",V18="MODERAT",V18="RIDICAT"),ISNUMBER(INDEX(Frozen_Predictions!$Y$4:$Y$203,MATCH(A18,Frozen_Predictions!$A$4:$A$203,0))),INDEX(Frozen_Predictions!$Y$4:$Y$203,MATCH(A18,Frozen_Predictions!$A$4:$A$203,0))&gt;1),IF(J18=1,INDEX(Frozen_Predictions!$Y$4:$Y$203,MATCH(A18,Frozen_Predictions!$A$4:$A$203,0))-1,-1),""))</x:f>
      </x:c>
      <x:c r="L18" s="175"/>
      <x:c r="M18" s="175"/>
      <x:c r="N18" s="172" t="str">
        <x:f>IFERROR(IF(AND(ISNUMBER(L18),ISNUMBER(M18),L18&gt;=0,M18&gt;=0,INT(L18)=L18,INT(M18)=M18),L18+M18,""),"")</x:f>
      </x:c>
      <x:c r="O18" s="172" t="str">
        <x:f>IF(X18&lt;&gt;"SETTLED","",IF(J18=1,"WIN",IF(N18=IF(G18="U3.5",4,IF(G18="U4.5",5,6)),"NEAR TAIL","SEVERE TAIL")))</x:f>
      </x:c>
      <x:c r="P18" s="175"/>
      <x:c r="Q18" s="177"/>
      <x:c r="R18" s="213" t="str">
        <x:f>IF(X18&lt;&gt;"SETTLED","",(I18-J18)^2)</x:f>
      </x:c>
      <x:c r="S18" s="213" t="str">
        <x:f>IF(X18&lt;&gt;"SETTLED","",-(J18*LN(MAX(0.000001,MIN(0.999999,I18)))+(1-J18)*LN(MAX(0.000001,MIN(0.999999,1-I18)))))</x:f>
      </x:c>
      <x:c r="T18" s="172" t="str">
        <x:f>IF(A18="","",IFERROR(INDEX(Frozen_Predictions!$N$4:$N$203,MATCH(A18,Frozen_Predictions!$A$4:$A$203,0)),""))</x:f>
      </x:c>
      <x:c r="U18" s="172" t="str">
        <x:f>IF(A18="","",IFERROR(INDEX(Frozen_Predictions!$O$4:$O$203,MATCH(A18,Frozen_Predictions!$A$4:$A$203,0)),""))</x:f>
      </x:c>
      <x:c r="V18" s="172" t="str">
        <x:f>IF(A18="","",IFERROR(INDEX(Frozen_Predictions!$M$4:$M$203,MATCH(A18,Frozen_Predictions!$A$4:$A$203,0)),""))</x:f>
      </x:c>
      <x:c r="W18" s="175"/>
      <x:c r="X18" s="172" t="str">
        <x:f>IF(A18="","",IF(NOT(COUNTIFS(Frozen_Predictions!$A$4:$A$203,A18)=1),"SNAPSHOT ID INVALID",IFERROR(IF(NOT(AND(INDEX(Frozen_Predictions!$Q$4:$Q$203,MATCH(A18,Frozen_Predictions!$A$4:$A$203,0))="DA",ISNUMBER(INDEX(Frozen_Predictions!$B$4:$B$203,MATCH(A18,Frozen_Predictions!$A$4:$A$203,0))),ISNUMBER(INDEX(Frozen_Predictions!$C$4:$C$203,MATCH(A18,Frozen_Predictions!$A$4:$A$203,0))),INDEX(Frozen_Predictions!$B$4:$B$203,MATCH(A18,Frozen_Predictions!$A$4:$A$203,0))&lt;INDEX(Frozen_Predictions!$C$4:$C$203,MATCH(A18,Frozen_Predictions!$A$4:$A$203,0)),INDEX(Frozen_Predictions!$V$4:$V$203,MATCH(A18,Frozen_Predictions!$A$4:$A$203,0))="READY",INDEX(Frozen_Predictions!$O$4:$O$203,MATCH(A18,Frozen_Predictions!$A$4:$A$203,0))="PASS",INDEX(Frozen_Predictions!$J$4:$J$203,MATCH(A18,Frozen_Predictions!$A$4:$A$203,0))=Under_LineCal_v9!$B$45,COUNTIFS(Frozen_Predictions!$A$4:$A$203,A18,Frozen_Predictions!$L$4:$L$203,"&lt;&gt;",Frozen_Predictions!$L$4:$L$203,"&gt;=0",Frozen_Predictions!$L$4:$L$203,"&lt;=1")=1,COUNTIFS($A$4:$A$203,A18)=1)),"SNAPSHOT NOT VALID",IF(AND(ISNUMBER(I18),I18&gt;=0,I18&lt;=1,ISNUMBER(N18),P18&lt;&gt;"",ISNUMBER(Q18),Q18&gt;=B18,OR(G18="U3.5",G18="U4.5",G18="U5.5")),"SETTLED","PENDING RESULT")),"SNAPSHOT NOT VALID")))</x:f>
      </x:c>
    </x:row>
    <x:row r="19" ht="23" customHeight="1">
      <x:c r="A19" s="175"/>
      <x:c r="B19" s="200" t="str">
        <x:f>IF(A19="","",IFERROR(INDEX(Frozen_Predictions!$C$4:$C$203,MATCH(A19,Frozen_Predictions!$A$4:$A$203,0)),""))</x:f>
      </x:c>
      <x:c r="C19" s="172" t="str">
        <x:f>IF(A19="","",IFERROR(INDEX(Frozen_Predictions!$E$4:$E$203,MATCH(A19,Frozen_Predictions!$A$4:$A$203,0)),""))</x:f>
      </x:c>
      <x:c r="D19" s="172" t="str">
        <x:f>IF(A19="","",IFERROR(INDEX(Frozen_Predictions!$F$4:$F$203,MATCH(A19,Frozen_Predictions!$A$4:$A$203,0)),""))</x:f>
      </x:c>
      <x:c r="E19" s="172" t="str">
        <x:f>IF(A19="","",IFERROR(INDEX(Frozen_Predictions!$G$4:$G$203,MATCH(A19,Frozen_Predictions!$A$4:$A$203,0)),""))</x:f>
      </x:c>
      <x:c r="F19" s="172" t="str">
        <x:f>IF(A19="","",IFERROR(INDEX(Frozen_Predictions!$H$4:$H$203,MATCH(A19,Frozen_Predictions!$A$4:$A$203,0)),""))</x:f>
      </x:c>
      <x:c r="G19" s="172" t="str">
        <x:f>IF(A19="","",IFERROR(INDEX(Frozen_Predictions!$I$4:$I$203,MATCH(A19,Frozen_Predictions!$A$4:$A$203,0)),""))</x:f>
      </x:c>
      <x:c r="H19" s="172" t="str">
        <x:f>IF(A19="","",IFERROR(INDEX(Frozen_Predictions!$J$4:$J$203,MATCH(A19,Frozen_Predictions!$A$4:$A$203,0)),""))</x:f>
      </x:c>
      <x:c r="I19" s="192" t="str">
        <x:f>IF(A19="","",IFERROR(INDEX(Frozen_Predictions!$L$4:$L$203,MATCH(A19,Frozen_Predictions!$A$4:$A$203,0)),""))</x:f>
      </x:c>
      <x:c r="J19" s="172" t="str">
        <x:f>IF(X19&lt;&gt;"SETTLED","",IF(N19&lt;=IF(G19="U3.5",3,IF(G19="U4.5",4,5)),1,0))</x:f>
      </x:c>
      <x:c r="K19" s="195" t="str">
        <x:f>IF(X19&lt;&gt;"SETTLED","",IF(AND(OR(V19="DEFENSIV",V19="PRUDENT",V19="MODERAT",V19="RIDICAT"),ISNUMBER(INDEX(Frozen_Predictions!$Y$4:$Y$203,MATCH(A19,Frozen_Predictions!$A$4:$A$203,0))),INDEX(Frozen_Predictions!$Y$4:$Y$203,MATCH(A19,Frozen_Predictions!$A$4:$A$203,0))&gt;1),IF(J19=1,INDEX(Frozen_Predictions!$Y$4:$Y$203,MATCH(A19,Frozen_Predictions!$A$4:$A$203,0))-1,-1),""))</x:f>
      </x:c>
      <x:c r="L19" s="175"/>
      <x:c r="M19" s="175"/>
      <x:c r="N19" s="172" t="str">
        <x:f>IFERROR(IF(AND(ISNUMBER(L19),ISNUMBER(M19),L19&gt;=0,M19&gt;=0,INT(L19)=L19,INT(M19)=M19),L19+M19,""),"")</x:f>
      </x:c>
      <x:c r="O19" s="172" t="str">
        <x:f>IF(X19&lt;&gt;"SETTLED","",IF(J19=1,"WIN",IF(N19=IF(G19="U3.5",4,IF(G19="U4.5",5,6)),"NEAR TAIL","SEVERE TAIL")))</x:f>
      </x:c>
      <x:c r="P19" s="175"/>
      <x:c r="Q19" s="177"/>
      <x:c r="R19" s="213" t="str">
        <x:f>IF(X19&lt;&gt;"SETTLED","",(I19-J19)^2)</x:f>
      </x:c>
      <x:c r="S19" s="213" t="str">
        <x:f>IF(X19&lt;&gt;"SETTLED","",-(J19*LN(MAX(0.000001,MIN(0.999999,I19)))+(1-J19)*LN(MAX(0.000001,MIN(0.999999,1-I19)))))</x:f>
      </x:c>
      <x:c r="T19" s="172" t="str">
        <x:f>IF(A19="","",IFERROR(INDEX(Frozen_Predictions!$N$4:$N$203,MATCH(A19,Frozen_Predictions!$A$4:$A$203,0)),""))</x:f>
      </x:c>
      <x:c r="U19" s="172" t="str">
        <x:f>IF(A19="","",IFERROR(INDEX(Frozen_Predictions!$O$4:$O$203,MATCH(A19,Frozen_Predictions!$A$4:$A$203,0)),""))</x:f>
      </x:c>
      <x:c r="V19" s="172" t="str">
        <x:f>IF(A19="","",IFERROR(INDEX(Frozen_Predictions!$M$4:$M$203,MATCH(A19,Frozen_Predictions!$A$4:$A$203,0)),""))</x:f>
      </x:c>
      <x:c r="W19" s="175"/>
      <x:c r="X19" s="172" t="str">
        <x:f>IF(A19="","",IF(NOT(COUNTIFS(Frozen_Predictions!$A$4:$A$203,A19)=1),"SNAPSHOT ID INVALID",IFERROR(IF(NOT(AND(INDEX(Frozen_Predictions!$Q$4:$Q$203,MATCH(A19,Frozen_Predictions!$A$4:$A$203,0))="DA",ISNUMBER(INDEX(Frozen_Predictions!$B$4:$B$203,MATCH(A19,Frozen_Predictions!$A$4:$A$203,0))),ISNUMBER(INDEX(Frozen_Predictions!$C$4:$C$203,MATCH(A19,Frozen_Predictions!$A$4:$A$203,0))),INDEX(Frozen_Predictions!$B$4:$B$203,MATCH(A19,Frozen_Predictions!$A$4:$A$203,0))&lt;INDEX(Frozen_Predictions!$C$4:$C$203,MATCH(A19,Frozen_Predictions!$A$4:$A$203,0)),INDEX(Frozen_Predictions!$V$4:$V$203,MATCH(A19,Frozen_Predictions!$A$4:$A$203,0))="READY",INDEX(Frozen_Predictions!$O$4:$O$203,MATCH(A19,Frozen_Predictions!$A$4:$A$203,0))="PASS",INDEX(Frozen_Predictions!$J$4:$J$203,MATCH(A19,Frozen_Predictions!$A$4:$A$203,0))=Under_LineCal_v9!$B$45,COUNTIFS(Frozen_Predictions!$A$4:$A$203,A19,Frozen_Predictions!$L$4:$L$203,"&lt;&gt;",Frozen_Predictions!$L$4:$L$203,"&gt;=0",Frozen_Predictions!$L$4:$L$203,"&lt;=1")=1,COUNTIFS($A$4:$A$203,A19)=1)),"SNAPSHOT NOT VALID",IF(AND(ISNUMBER(I19),I19&gt;=0,I19&lt;=1,ISNUMBER(N19),P19&lt;&gt;"",ISNUMBER(Q19),Q19&gt;=B19,OR(G19="U3.5",G19="U4.5",G19="U5.5")),"SETTLED","PENDING RESULT")),"SNAPSHOT NOT VALID")))</x:f>
      </x:c>
    </x:row>
    <x:row r="20" ht="23" customHeight="1">
      <x:c r="A20" s="175"/>
      <x:c r="B20" s="200" t="str">
        <x:f>IF(A20="","",IFERROR(INDEX(Frozen_Predictions!$C$4:$C$203,MATCH(A20,Frozen_Predictions!$A$4:$A$203,0)),""))</x:f>
      </x:c>
      <x:c r="C20" s="172" t="str">
        <x:f>IF(A20="","",IFERROR(INDEX(Frozen_Predictions!$E$4:$E$203,MATCH(A20,Frozen_Predictions!$A$4:$A$203,0)),""))</x:f>
      </x:c>
      <x:c r="D20" s="172" t="str">
        <x:f>IF(A20="","",IFERROR(INDEX(Frozen_Predictions!$F$4:$F$203,MATCH(A20,Frozen_Predictions!$A$4:$A$203,0)),""))</x:f>
      </x:c>
      <x:c r="E20" s="172" t="str">
        <x:f>IF(A20="","",IFERROR(INDEX(Frozen_Predictions!$G$4:$G$203,MATCH(A20,Frozen_Predictions!$A$4:$A$203,0)),""))</x:f>
      </x:c>
      <x:c r="F20" s="172" t="str">
        <x:f>IF(A20="","",IFERROR(INDEX(Frozen_Predictions!$H$4:$H$203,MATCH(A20,Frozen_Predictions!$A$4:$A$203,0)),""))</x:f>
      </x:c>
      <x:c r="G20" s="172" t="str">
        <x:f>IF(A20="","",IFERROR(INDEX(Frozen_Predictions!$I$4:$I$203,MATCH(A20,Frozen_Predictions!$A$4:$A$203,0)),""))</x:f>
      </x:c>
      <x:c r="H20" s="172" t="str">
        <x:f>IF(A20="","",IFERROR(INDEX(Frozen_Predictions!$J$4:$J$203,MATCH(A20,Frozen_Predictions!$A$4:$A$203,0)),""))</x:f>
      </x:c>
      <x:c r="I20" s="192" t="str">
        <x:f>IF(A20="","",IFERROR(INDEX(Frozen_Predictions!$L$4:$L$203,MATCH(A20,Frozen_Predictions!$A$4:$A$203,0)),""))</x:f>
      </x:c>
      <x:c r="J20" s="172" t="str">
        <x:f>IF(X20&lt;&gt;"SETTLED","",IF(N20&lt;=IF(G20="U3.5",3,IF(G20="U4.5",4,5)),1,0))</x:f>
      </x:c>
      <x:c r="K20" s="195" t="str">
        <x:f>IF(X20&lt;&gt;"SETTLED","",IF(AND(OR(V20="DEFENSIV",V20="PRUDENT",V20="MODERAT",V20="RIDICAT"),ISNUMBER(INDEX(Frozen_Predictions!$Y$4:$Y$203,MATCH(A20,Frozen_Predictions!$A$4:$A$203,0))),INDEX(Frozen_Predictions!$Y$4:$Y$203,MATCH(A20,Frozen_Predictions!$A$4:$A$203,0))&gt;1),IF(J20=1,INDEX(Frozen_Predictions!$Y$4:$Y$203,MATCH(A20,Frozen_Predictions!$A$4:$A$203,0))-1,-1),""))</x:f>
      </x:c>
      <x:c r="L20" s="175"/>
      <x:c r="M20" s="175"/>
      <x:c r="N20" s="172" t="str">
        <x:f>IFERROR(IF(AND(ISNUMBER(L20),ISNUMBER(M20),L20&gt;=0,M20&gt;=0,INT(L20)=L20,INT(M20)=M20),L20+M20,""),"")</x:f>
      </x:c>
      <x:c r="O20" s="172" t="str">
        <x:f>IF(X20&lt;&gt;"SETTLED","",IF(J20=1,"WIN",IF(N20=IF(G20="U3.5",4,IF(G20="U4.5",5,6)),"NEAR TAIL","SEVERE TAIL")))</x:f>
      </x:c>
      <x:c r="P20" s="175"/>
      <x:c r="Q20" s="177"/>
      <x:c r="R20" s="213" t="str">
        <x:f>IF(X20&lt;&gt;"SETTLED","",(I20-J20)^2)</x:f>
      </x:c>
      <x:c r="S20" s="213" t="str">
        <x:f>IF(X20&lt;&gt;"SETTLED","",-(J20*LN(MAX(0.000001,MIN(0.999999,I20)))+(1-J20)*LN(MAX(0.000001,MIN(0.999999,1-I20)))))</x:f>
      </x:c>
      <x:c r="T20" s="172" t="str">
        <x:f>IF(A20="","",IFERROR(INDEX(Frozen_Predictions!$N$4:$N$203,MATCH(A20,Frozen_Predictions!$A$4:$A$203,0)),""))</x:f>
      </x:c>
      <x:c r="U20" s="172" t="str">
        <x:f>IF(A20="","",IFERROR(INDEX(Frozen_Predictions!$O$4:$O$203,MATCH(A20,Frozen_Predictions!$A$4:$A$203,0)),""))</x:f>
      </x:c>
      <x:c r="V20" s="172" t="str">
        <x:f>IF(A20="","",IFERROR(INDEX(Frozen_Predictions!$M$4:$M$203,MATCH(A20,Frozen_Predictions!$A$4:$A$203,0)),""))</x:f>
      </x:c>
      <x:c r="W20" s="175"/>
      <x:c r="X20" s="172" t="str">
        <x:f>IF(A20="","",IF(NOT(COUNTIFS(Frozen_Predictions!$A$4:$A$203,A20)=1),"SNAPSHOT ID INVALID",IFERROR(IF(NOT(AND(INDEX(Frozen_Predictions!$Q$4:$Q$203,MATCH(A20,Frozen_Predictions!$A$4:$A$203,0))="DA",ISNUMBER(INDEX(Frozen_Predictions!$B$4:$B$203,MATCH(A20,Frozen_Predictions!$A$4:$A$203,0))),ISNUMBER(INDEX(Frozen_Predictions!$C$4:$C$203,MATCH(A20,Frozen_Predictions!$A$4:$A$203,0))),INDEX(Frozen_Predictions!$B$4:$B$203,MATCH(A20,Frozen_Predictions!$A$4:$A$203,0))&lt;INDEX(Frozen_Predictions!$C$4:$C$203,MATCH(A20,Frozen_Predictions!$A$4:$A$203,0)),INDEX(Frozen_Predictions!$V$4:$V$203,MATCH(A20,Frozen_Predictions!$A$4:$A$203,0))="READY",INDEX(Frozen_Predictions!$O$4:$O$203,MATCH(A20,Frozen_Predictions!$A$4:$A$203,0))="PASS",INDEX(Frozen_Predictions!$J$4:$J$203,MATCH(A20,Frozen_Predictions!$A$4:$A$203,0))=Under_LineCal_v9!$B$45,COUNTIFS(Frozen_Predictions!$A$4:$A$203,A20,Frozen_Predictions!$L$4:$L$203,"&lt;&gt;",Frozen_Predictions!$L$4:$L$203,"&gt;=0",Frozen_Predictions!$L$4:$L$203,"&lt;=1")=1,COUNTIFS($A$4:$A$203,A20)=1)),"SNAPSHOT NOT VALID",IF(AND(ISNUMBER(I20),I20&gt;=0,I20&lt;=1,ISNUMBER(N20),P20&lt;&gt;"",ISNUMBER(Q20),Q20&gt;=B20,OR(G20="U3.5",G20="U4.5",G20="U5.5")),"SETTLED","PENDING RESULT")),"SNAPSHOT NOT VALID")))</x:f>
      </x:c>
    </x:row>
    <x:row r="21" ht="23" customHeight="1">
      <x:c r="A21" s="175"/>
      <x:c r="B21" s="200" t="str">
        <x:f>IF(A21="","",IFERROR(INDEX(Frozen_Predictions!$C$4:$C$203,MATCH(A21,Frozen_Predictions!$A$4:$A$203,0)),""))</x:f>
      </x:c>
      <x:c r="C21" s="172" t="str">
        <x:f>IF(A21="","",IFERROR(INDEX(Frozen_Predictions!$E$4:$E$203,MATCH(A21,Frozen_Predictions!$A$4:$A$203,0)),""))</x:f>
      </x:c>
      <x:c r="D21" s="172" t="str">
        <x:f>IF(A21="","",IFERROR(INDEX(Frozen_Predictions!$F$4:$F$203,MATCH(A21,Frozen_Predictions!$A$4:$A$203,0)),""))</x:f>
      </x:c>
      <x:c r="E21" s="172" t="str">
        <x:f>IF(A21="","",IFERROR(INDEX(Frozen_Predictions!$G$4:$G$203,MATCH(A21,Frozen_Predictions!$A$4:$A$203,0)),""))</x:f>
      </x:c>
      <x:c r="F21" s="172" t="str">
        <x:f>IF(A21="","",IFERROR(INDEX(Frozen_Predictions!$H$4:$H$203,MATCH(A21,Frozen_Predictions!$A$4:$A$203,0)),""))</x:f>
      </x:c>
      <x:c r="G21" s="172" t="str">
        <x:f>IF(A21="","",IFERROR(INDEX(Frozen_Predictions!$I$4:$I$203,MATCH(A21,Frozen_Predictions!$A$4:$A$203,0)),""))</x:f>
      </x:c>
      <x:c r="H21" s="172" t="str">
        <x:f>IF(A21="","",IFERROR(INDEX(Frozen_Predictions!$J$4:$J$203,MATCH(A21,Frozen_Predictions!$A$4:$A$203,0)),""))</x:f>
      </x:c>
      <x:c r="I21" s="192" t="str">
        <x:f>IF(A21="","",IFERROR(INDEX(Frozen_Predictions!$L$4:$L$203,MATCH(A21,Frozen_Predictions!$A$4:$A$203,0)),""))</x:f>
      </x:c>
      <x:c r="J21" s="172" t="str">
        <x:f>IF(X21&lt;&gt;"SETTLED","",IF(N21&lt;=IF(G21="U3.5",3,IF(G21="U4.5",4,5)),1,0))</x:f>
      </x:c>
      <x:c r="K21" s="195" t="str">
        <x:f>IF(X21&lt;&gt;"SETTLED","",IF(AND(OR(V21="DEFENSIV",V21="PRUDENT",V21="MODERAT",V21="RIDICAT"),ISNUMBER(INDEX(Frozen_Predictions!$Y$4:$Y$203,MATCH(A21,Frozen_Predictions!$A$4:$A$203,0))),INDEX(Frozen_Predictions!$Y$4:$Y$203,MATCH(A21,Frozen_Predictions!$A$4:$A$203,0))&gt;1),IF(J21=1,INDEX(Frozen_Predictions!$Y$4:$Y$203,MATCH(A21,Frozen_Predictions!$A$4:$A$203,0))-1,-1),""))</x:f>
      </x:c>
      <x:c r="L21" s="175"/>
      <x:c r="M21" s="175"/>
      <x:c r="N21" s="172" t="str">
        <x:f>IFERROR(IF(AND(ISNUMBER(L21),ISNUMBER(M21),L21&gt;=0,M21&gt;=0,INT(L21)=L21,INT(M21)=M21),L21+M21,""),"")</x:f>
      </x:c>
      <x:c r="O21" s="172" t="str">
        <x:f>IF(X21&lt;&gt;"SETTLED","",IF(J21=1,"WIN",IF(N21=IF(G21="U3.5",4,IF(G21="U4.5",5,6)),"NEAR TAIL","SEVERE TAIL")))</x:f>
      </x:c>
      <x:c r="P21" s="175"/>
      <x:c r="Q21" s="177"/>
      <x:c r="R21" s="213" t="str">
        <x:f>IF(X21&lt;&gt;"SETTLED","",(I21-J21)^2)</x:f>
      </x:c>
      <x:c r="S21" s="213" t="str">
        <x:f>IF(X21&lt;&gt;"SETTLED","",-(J21*LN(MAX(0.000001,MIN(0.999999,I21)))+(1-J21)*LN(MAX(0.000001,MIN(0.999999,1-I21)))))</x:f>
      </x:c>
      <x:c r="T21" s="172" t="str">
        <x:f>IF(A21="","",IFERROR(INDEX(Frozen_Predictions!$N$4:$N$203,MATCH(A21,Frozen_Predictions!$A$4:$A$203,0)),""))</x:f>
      </x:c>
      <x:c r="U21" s="172" t="str">
        <x:f>IF(A21="","",IFERROR(INDEX(Frozen_Predictions!$O$4:$O$203,MATCH(A21,Frozen_Predictions!$A$4:$A$203,0)),""))</x:f>
      </x:c>
      <x:c r="V21" s="172" t="str">
        <x:f>IF(A21="","",IFERROR(INDEX(Frozen_Predictions!$M$4:$M$203,MATCH(A21,Frozen_Predictions!$A$4:$A$203,0)),""))</x:f>
      </x:c>
      <x:c r="W21" s="175"/>
      <x:c r="X21" s="172" t="str">
        <x:f>IF(A21="","",IF(NOT(COUNTIFS(Frozen_Predictions!$A$4:$A$203,A21)=1),"SNAPSHOT ID INVALID",IFERROR(IF(NOT(AND(INDEX(Frozen_Predictions!$Q$4:$Q$203,MATCH(A21,Frozen_Predictions!$A$4:$A$203,0))="DA",ISNUMBER(INDEX(Frozen_Predictions!$B$4:$B$203,MATCH(A21,Frozen_Predictions!$A$4:$A$203,0))),ISNUMBER(INDEX(Frozen_Predictions!$C$4:$C$203,MATCH(A21,Frozen_Predictions!$A$4:$A$203,0))),INDEX(Frozen_Predictions!$B$4:$B$203,MATCH(A21,Frozen_Predictions!$A$4:$A$203,0))&lt;INDEX(Frozen_Predictions!$C$4:$C$203,MATCH(A21,Frozen_Predictions!$A$4:$A$203,0)),INDEX(Frozen_Predictions!$V$4:$V$203,MATCH(A21,Frozen_Predictions!$A$4:$A$203,0))="READY",INDEX(Frozen_Predictions!$O$4:$O$203,MATCH(A21,Frozen_Predictions!$A$4:$A$203,0))="PASS",INDEX(Frozen_Predictions!$J$4:$J$203,MATCH(A21,Frozen_Predictions!$A$4:$A$203,0))=Under_LineCal_v9!$B$45,COUNTIFS(Frozen_Predictions!$A$4:$A$203,A21,Frozen_Predictions!$L$4:$L$203,"&lt;&gt;",Frozen_Predictions!$L$4:$L$203,"&gt;=0",Frozen_Predictions!$L$4:$L$203,"&lt;=1")=1,COUNTIFS($A$4:$A$203,A21)=1)),"SNAPSHOT NOT VALID",IF(AND(ISNUMBER(I21),I21&gt;=0,I21&lt;=1,ISNUMBER(N21),P21&lt;&gt;"",ISNUMBER(Q21),Q21&gt;=B21,OR(G21="U3.5",G21="U4.5",G21="U5.5")),"SETTLED","PENDING RESULT")),"SNAPSHOT NOT VALID")))</x:f>
      </x:c>
    </x:row>
    <x:row r="22" ht="23" customHeight="1">
      <x:c r="A22" s="175"/>
      <x:c r="B22" s="200" t="str">
        <x:f>IF(A22="","",IFERROR(INDEX(Frozen_Predictions!$C$4:$C$203,MATCH(A22,Frozen_Predictions!$A$4:$A$203,0)),""))</x:f>
      </x:c>
      <x:c r="C22" s="172" t="str">
        <x:f>IF(A22="","",IFERROR(INDEX(Frozen_Predictions!$E$4:$E$203,MATCH(A22,Frozen_Predictions!$A$4:$A$203,0)),""))</x:f>
      </x:c>
      <x:c r="D22" s="172" t="str">
        <x:f>IF(A22="","",IFERROR(INDEX(Frozen_Predictions!$F$4:$F$203,MATCH(A22,Frozen_Predictions!$A$4:$A$203,0)),""))</x:f>
      </x:c>
      <x:c r="E22" s="172" t="str">
        <x:f>IF(A22="","",IFERROR(INDEX(Frozen_Predictions!$G$4:$G$203,MATCH(A22,Frozen_Predictions!$A$4:$A$203,0)),""))</x:f>
      </x:c>
      <x:c r="F22" s="172" t="str">
        <x:f>IF(A22="","",IFERROR(INDEX(Frozen_Predictions!$H$4:$H$203,MATCH(A22,Frozen_Predictions!$A$4:$A$203,0)),""))</x:f>
      </x:c>
      <x:c r="G22" s="172" t="str">
        <x:f>IF(A22="","",IFERROR(INDEX(Frozen_Predictions!$I$4:$I$203,MATCH(A22,Frozen_Predictions!$A$4:$A$203,0)),""))</x:f>
      </x:c>
      <x:c r="H22" s="172" t="str">
        <x:f>IF(A22="","",IFERROR(INDEX(Frozen_Predictions!$J$4:$J$203,MATCH(A22,Frozen_Predictions!$A$4:$A$203,0)),""))</x:f>
      </x:c>
      <x:c r="I22" s="192" t="str">
        <x:f>IF(A22="","",IFERROR(INDEX(Frozen_Predictions!$L$4:$L$203,MATCH(A22,Frozen_Predictions!$A$4:$A$203,0)),""))</x:f>
      </x:c>
      <x:c r="J22" s="172" t="str">
        <x:f>IF(X22&lt;&gt;"SETTLED","",IF(N22&lt;=IF(G22="U3.5",3,IF(G22="U4.5",4,5)),1,0))</x:f>
      </x:c>
      <x:c r="K22" s="195" t="str">
        <x:f>IF(X22&lt;&gt;"SETTLED","",IF(AND(OR(V22="DEFENSIV",V22="PRUDENT",V22="MODERAT",V22="RIDICAT"),ISNUMBER(INDEX(Frozen_Predictions!$Y$4:$Y$203,MATCH(A22,Frozen_Predictions!$A$4:$A$203,0))),INDEX(Frozen_Predictions!$Y$4:$Y$203,MATCH(A22,Frozen_Predictions!$A$4:$A$203,0))&gt;1),IF(J22=1,INDEX(Frozen_Predictions!$Y$4:$Y$203,MATCH(A22,Frozen_Predictions!$A$4:$A$203,0))-1,-1),""))</x:f>
      </x:c>
      <x:c r="L22" s="175"/>
      <x:c r="M22" s="175"/>
      <x:c r="N22" s="172" t="str">
        <x:f>IFERROR(IF(AND(ISNUMBER(L22),ISNUMBER(M22),L22&gt;=0,M22&gt;=0,INT(L22)=L22,INT(M22)=M22),L22+M22,""),"")</x:f>
      </x:c>
      <x:c r="O22" s="172" t="str">
        <x:f>IF(X22&lt;&gt;"SETTLED","",IF(J22=1,"WIN",IF(N22=IF(G22="U3.5",4,IF(G22="U4.5",5,6)),"NEAR TAIL","SEVERE TAIL")))</x:f>
      </x:c>
      <x:c r="P22" s="175"/>
      <x:c r="Q22" s="177"/>
      <x:c r="R22" s="213" t="str">
        <x:f>IF(X22&lt;&gt;"SETTLED","",(I22-J22)^2)</x:f>
      </x:c>
      <x:c r="S22" s="213" t="str">
        <x:f>IF(X22&lt;&gt;"SETTLED","",-(J22*LN(MAX(0.000001,MIN(0.999999,I22)))+(1-J22)*LN(MAX(0.000001,MIN(0.999999,1-I22)))))</x:f>
      </x:c>
      <x:c r="T22" s="172" t="str">
        <x:f>IF(A22="","",IFERROR(INDEX(Frozen_Predictions!$N$4:$N$203,MATCH(A22,Frozen_Predictions!$A$4:$A$203,0)),""))</x:f>
      </x:c>
      <x:c r="U22" s="172" t="str">
        <x:f>IF(A22="","",IFERROR(INDEX(Frozen_Predictions!$O$4:$O$203,MATCH(A22,Frozen_Predictions!$A$4:$A$203,0)),""))</x:f>
      </x:c>
      <x:c r="V22" s="172" t="str">
        <x:f>IF(A22="","",IFERROR(INDEX(Frozen_Predictions!$M$4:$M$203,MATCH(A22,Frozen_Predictions!$A$4:$A$203,0)),""))</x:f>
      </x:c>
      <x:c r="W22" s="175"/>
      <x:c r="X22" s="172" t="str">
        <x:f>IF(A22="","",IF(NOT(COUNTIFS(Frozen_Predictions!$A$4:$A$203,A22)=1),"SNAPSHOT ID INVALID",IFERROR(IF(NOT(AND(INDEX(Frozen_Predictions!$Q$4:$Q$203,MATCH(A22,Frozen_Predictions!$A$4:$A$203,0))="DA",ISNUMBER(INDEX(Frozen_Predictions!$B$4:$B$203,MATCH(A22,Frozen_Predictions!$A$4:$A$203,0))),ISNUMBER(INDEX(Frozen_Predictions!$C$4:$C$203,MATCH(A22,Frozen_Predictions!$A$4:$A$203,0))),INDEX(Frozen_Predictions!$B$4:$B$203,MATCH(A22,Frozen_Predictions!$A$4:$A$203,0))&lt;INDEX(Frozen_Predictions!$C$4:$C$203,MATCH(A22,Frozen_Predictions!$A$4:$A$203,0)),INDEX(Frozen_Predictions!$V$4:$V$203,MATCH(A22,Frozen_Predictions!$A$4:$A$203,0))="READY",INDEX(Frozen_Predictions!$O$4:$O$203,MATCH(A22,Frozen_Predictions!$A$4:$A$203,0))="PASS",INDEX(Frozen_Predictions!$J$4:$J$203,MATCH(A22,Frozen_Predictions!$A$4:$A$203,0))=Under_LineCal_v9!$B$45,COUNTIFS(Frozen_Predictions!$A$4:$A$203,A22,Frozen_Predictions!$L$4:$L$203,"&lt;&gt;",Frozen_Predictions!$L$4:$L$203,"&gt;=0",Frozen_Predictions!$L$4:$L$203,"&lt;=1")=1,COUNTIFS($A$4:$A$203,A22)=1)),"SNAPSHOT NOT VALID",IF(AND(ISNUMBER(I22),I22&gt;=0,I22&lt;=1,ISNUMBER(N22),P22&lt;&gt;"",ISNUMBER(Q22),Q22&gt;=B22,OR(G22="U3.5",G22="U4.5",G22="U5.5")),"SETTLED","PENDING RESULT")),"SNAPSHOT NOT VALID")))</x:f>
      </x:c>
    </x:row>
    <x:row r="23" ht="23" customHeight="1">
      <x:c r="A23" s="175"/>
      <x:c r="B23" s="200" t="str">
        <x:f>IF(A23="","",IFERROR(INDEX(Frozen_Predictions!$C$4:$C$203,MATCH(A23,Frozen_Predictions!$A$4:$A$203,0)),""))</x:f>
      </x:c>
      <x:c r="C23" s="172" t="str">
        <x:f>IF(A23="","",IFERROR(INDEX(Frozen_Predictions!$E$4:$E$203,MATCH(A23,Frozen_Predictions!$A$4:$A$203,0)),""))</x:f>
      </x:c>
      <x:c r="D23" s="172" t="str">
        <x:f>IF(A23="","",IFERROR(INDEX(Frozen_Predictions!$F$4:$F$203,MATCH(A23,Frozen_Predictions!$A$4:$A$203,0)),""))</x:f>
      </x:c>
      <x:c r="E23" s="172" t="str">
        <x:f>IF(A23="","",IFERROR(INDEX(Frozen_Predictions!$G$4:$G$203,MATCH(A23,Frozen_Predictions!$A$4:$A$203,0)),""))</x:f>
      </x:c>
      <x:c r="F23" s="172" t="str">
        <x:f>IF(A23="","",IFERROR(INDEX(Frozen_Predictions!$H$4:$H$203,MATCH(A23,Frozen_Predictions!$A$4:$A$203,0)),""))</x:f>
      </x:c>
      <x:c r="G23" s="172" t="str">
        <x:f>IF(A23="","",IFERROR(INDEX(Frozen_Predictions!$I$4:$I$203,MATCH(A23,Frozen_Predictions!$A$4:$A$203,0)),""))</x:f>
      </x:c>
      <x:c r="H23" s="172" t="str">
        <x:f>IF(A23="","",IFERROR(INDEX(Frozen_Predictions!$J$4:$J$203,MATCH(A23,Frozen_Predictions!$A$4:$A$203,0)),""))</x:f>
      </x:c>
      <x:c r="I23" s="192" t="str">
        <x:f>IF(A23="","",IFERROR(INDEX(Frozen_Predictions!$L$4:$L$203,MATCH(A23,Frozen_Predictions!$A$4:$A$203,0)),""))</x:f>
      </x:c>
      <x:c r="J23" s="172" t="str">
        <x:f>IF(X23&lt;&gt;"SETTLED","",IF(N23&lt;=IF(G23="U3.5",3,IF(G23="U4.5",4,5)),1,0))</x:f>
      </x:c>
      <x:c r="K23" s="195" t="str">
        <x:f>IF(X23&lt;&gt;"SETTLED","",IF(AND(OR(V23="DEFENSIV",V23="PRUDENT",V23="MODERAT",V23="RIDICAT"),ISNUMBER(INDEX(Frozen_Predictions!$Y$4:$Y$203,MATCH(A23,Frozen_Predictions!$A$4:$A$203,0))),INDEX(Frozen_Predictions!$Y$4:$Y$203,MATCH(A23,Frozen_Predictions!$A$4:$A$203,0))&gt;1),IF(J23=1,INDEX(Frozen_Predictions!$Y$4:$Y$203,MATCH(A23,Frozen_Predictions!$A$4:$A$203,0))-1,-1),""))</x:f>
      </x:c>
      <x:c r="L23" s="175"/>
      <x:c r="M23" s="175"/>
      <x:c r="N23" s="172" t="str">
        <x:f>IFERROR(IF(AND(ISNUMBER(L23),ISNUMBER(M23),L23&gt;=0,M23&gt;=0,INT(L23)=L23,INT(M23)=M23),L23+M23,""),"")</x:f>
      </x:c>
      <x:c r="O23" s="172" t="str">
        <x:f>IF(X23&lt;&gt;"SETTLED","",IF(J23=1,"WIN",IF(N23=IF(G23="U3.5",4,IF(G23="U4.5",5,6)),"NEAR TAIL","SEVERE TAIL")))</x:f>
      </x:c>
      <x:c r="P23" s="175"/>
      <x:c r="Q23" s="177"/>
      <x:c r="R23" s="213" t="str">
        <x:f>IF(X23&lt;&gt;"SETTLED","",(I23-J23)^2)</x:f>
      </x:c>
      <x:c r="S23" s="213" t="str">
        <x:f>IF(X23&lt;&gt;"SETTLED","",-(J23*LN(MAX(0.000001,MIN(0.999999,I23)))+(1-J23)*LN(MAX(0.000001,MIN(0.999999,1-I23)))))</x:f>
      </x:c>
      <x:c r="T23" s="172" t="str">
        <x:f>IF(A23="","",IFERROR(INDEX(Frozen_Predictions!$N$4:$N$203,MATCH(A23,Frozen_Predictions!$A$4:$A$203,0)),""))</x:f>
      </x:c>
      <x:c r="U23" s="172" t="str">
        <x:f>IF(A23="","",IFERROR(INDEX(Frozen_Predictions!$O$4:$O$203,MATCH(A23,Frozen_Predictions!$A$4:$A$203,0)),""))</x:f>
      </x:c>
      <x:c r="V23" s="172" t="str">
        <x:f>IF(A23="","",IFERROR(INDEX(Frozen_Predictions!$M$4:$M$203,MATCH(A23,Frozen_Predictions!$A$4:$A$203,0)),""))</x:f>
      </x:c>
      <x:c r="W23" s="175"/>
      <x:c r="X23" s="172" t="str">
        <x:f>IF(A23="","",IF(NOT(COUNTIFS(Frozen_Predictions!$A$4:$A$203,A23)=1),"SNAPSHOT ID INVALID",IFERROR(IF(NOT(AND(INDEX(Frozen_Predictions!$Q$4:$Q$203,MATCH(A23,Frozen_Predictions!$A$4:$A$203,0))="DA",ISNUMBER(INDEX(Frozen_Predictions!$B$4:$B$203,MATCH(A23,Frozen_Predictions!$A$4:$A$203,0))),ISNUMBER(INDEX(Frozen_Predictions!$C$4:$C$203,MATCH(A23,Frozen_Predictions!$A$4:$A$203,0))),INDEX(Frozen_Predictions!$B$4:$B$203,MATCH(A23,Frozen_Predictions!$A$4:$A$203,0))&lt;INDEX(Frozen_Predictions!$C$4:$C$203,MATCH(A23,Frozen_Predictions!$A$4:$A$203,0)),INDEX(Frozen_Predictions!$V$4:$V$203,MATCH(A23,Frozen_Predictions!$A$4:$A$203,0))="READY",INDEX(Frozen_Predictions!$O$4:$O$203,MATCH(A23,Frozen_Predictions!$A$4:$A$203,0))="PASS",INDEX(Frozen_Predictions!$J$4:$J$203,MATCH(A23,Frozen_Predictions!$A$4:$A$203,0))=Under_LineCal_v9!$B$45,COUNTIFS(Frozen_Predictions!$A$4:$A$203,A23,Frozen_Predictions!$L$4:$L$203,"&lt;&gt;",Frozen_Predictions!$L$4:$L$203,"&gt;=0",Frozen_Predictions!$L$4:$L$203,"&lt;=1")=1,COUNTIFS($A$4:$A$203,A23)=1)),"SNAPSHOT NOT VALID",IF(AND(ISNUMBER(I23),I23&gt;=0,I23&lt;=1,ISNUMBER(N23),P23&lt;&gt;"",ISNUMBER(Q23),Q23&gt;=B23,OR(G23="U3.5",G23="U4.5",G23="U5.5")),"SETTLED","PENDING RESULT")),"SNAPSHOT NOT VALID")))</x:f>
      </x:c>
    </x:row>
    <x:row r="24" ht="23" customHeight="1">
      <x:c r="A24" s="175"/>
      <x:c r="B24" s="200" t="str">
        <x:f>IF(A24="","",IFERROR(INDEX(Frozen_Predictions!$C$4:$C$203,MATCH(A24,Frozen_Predictions!$A$4:$A$203,0)),""))</x:f>
      </x:c>
      <x:c r="C24" s="172" t="str">
        <x:f>IF(A24="","",IFERROR(INDEX(Frozen_Predictions!$E$4:$E$203,MATCH(A24,Frozen_Predictions!$A$4:$A$203,0)),""))</x:f>
      </x:c>
      <x:c r="D24" s="172" t="str">
        <x:f>IF(A24="","",IFERROR(INDEX(Frozen_Predictions!$F$4:$F$203,MATCH(A24,Frozen_Predictions!$A$4:$A$203,0)),""))</x:f>
      </x:c>
      <x:c r="E24" s="172" t="str">
        <x:f>IF(A24="","",IFERROR(INDEX(Frozen_Predictions!$G$4:$G$203,MATCH(A24,Frozen_Predictions!$A$4:$A$203,0)),""))</x:f>
      </x:c>
      <x:c r="F24" s="172" t="str">
        <x:f>IF(A24="","",IFERROR(INDEX(Frozen_Predictions!$H$4:$H$203,MATCH(A24,Frozen_Predictions!$A$4:$A$203,0)),""))</x:f>
      </x:c>
      <x:c r="G24" s="172" t="str">
        <x:f>IF(A24="","",IFERROR(INDEX(Frozen_Predictions!$I$4:$I$203,MATCH(A24,Frozen_Predictions!$A$4:$A$203,0)),""))</x:f>
      </x:c>
      <x:c r="H24" s="172" t="str">
        <x:f>IF(A24="","",IFERROR(INDEX(Frozen_Predictions!$J$4:$J$203,MATCH(A24,Frozen_Predictions!$A$4:$A$203,0)),""))</x:f>
      </x:c>
      <x:c r="I24" s="192" t="str">
        <x:f>IF(A24="","",IFERROR(INDEX(Frozen_Predictions!$L$4:$L$203,MATCH(A24,Frozen_Predictions!$A$4:$A$203,0)),""))</x:f>
      </x:c>
      <x:c r="J24" s="172" t="str">
        <x:f>IF(X24&lt;&gt;"SETTLED","",IF(N24&lt;=IF(G24="U3.5",3,IF(G24="U4.5",4,5)),1,0))</x:f>
      </x:c>
      <x:c r="K24" s="195" t="str">
        <x:f>IF(X24&lt;&gt;"SETTLED","",IF(AND(OR(V24="DEFENSIV",V24="PRUDENT",V24="MODERAT",V24="RIDICAT"),ISNUMBER(INDEX(Frozen_Predictions!$Y$4:$Y$203,MATCH(A24,Frozen_Predictions!$A$4:$A$203,0))),INDEX(Frozen_Predictions!$Y$4:$Y$203,MATCH(A24,Frozen_Predictions!$A$4:$A$203,0))&gt;1),IF(J24=1,INDEX(Frozen_Predictions!$Y$4:$Y$203,MATCH(A24,Frozen_Predictions!$A$4:$A$203,0))-1,-1),""))</x:f>
      </x:c>
      <x:c r="L24" s="175"/>
      <x:c r="M24" s="175"/>
      <x:c r="N24" s="172" t="str">
        <x:f>IFERROR(IF(AND(ISNUMBER(L24),ISNUMBER(M24),L24&gt;=0,M24&gt;=0,INT(L24)=L24,INT(M24)=M24),L24+M24,""),"")</x:f>
      </x:c>
      <x:c r="O24" s="172" t="str">
        <x:f>IF(X24&lt;&gt;"SETTLED","",IF(J24=1,"WIN",IF(N24=IF(G24="U3.5",4,IF(G24="U4.5",5,6)),"NEAR TAIL","SEVERE TAIL")))</x:f>
      </x:c>
      <x:c r="P24" s="175"/>
      <x:c r="Q24" s="177"/>
      <x:c r="R24" s="213" t="str">
        <x:f>IF(X24&lt;&gt;"SETTLED","",(I24-J24)^2)</x:f>
      </x:c>
      <x:c r="S24" s="213" t="str">
        <x:f>IF(X24&lt;&gt;"SETTLED","",-(J24*LN(MAX(0.000001,MIN(0.999999,I24)))+(1-J24)*LN(MAX(0.000001,MIN(0.999999,1-I24)))))</x:f>
      </x:c>
      <x:c r="T24" s="172" t="str">
        <x:f>IF(A24="","",IFERROR(INDEX(Frozen_Predictions!$N$4:$N$203,MATCH(A24,Frozen_Predictions!$A$4:$A$203,0)),""))</x:f>
      </x:c>
      <x:c r="U24" s="172" t="str">
        <x:f>IF(A24="","",IFERROR(INDEX(Frozen_Predictions!$O$4:$O$203,MATCH(A24,Frozen_Predictions!$A$4:$A$203,0)),""))</x:f>
      </x:c>
      <x:c r="V24" s="172" t="str">
        <x:f>IF(A24="","",IFERROR(INDEX(Frozen_Predictions!$M$4:$M$203,MATCH(A24,Frozen_Predictions!$A$4:$A$203,0)),""))</x:f>
      </x:c>
      <x:c r="W24" s="175"/>
      <x:c r="X24" s="172" t="str">
        <x:f>IF(A24="","",IF(NOT(COUNTIFS(Frozen_Predictions!$A$4:$A$203,A24)=1),"SNAPSHOT ID INVALID",IFERROR(IF(NOT(AND(INDEX(Frozen_Predictions!$Q$4:$Q$203,MATCH(A24,Frozen_Predictions!$A$4:$A$203,0))="DA",ISNUMBER(INDEX(Frozen_Predictions!$B$4:$B$203,MATCH(A24,Frozen_Predictions!$A$4:$A$203,0))),ISNUMBER(INDEX(Frozen_Predictions!$C$4:$C$203,MATCH(A24,Frozen_Predictions!$A$4:$A$203,0))),INDEX(Frozen_Predictions!$B$4:$B$203,MATCH(A24,Frozen_Predictions!$A$4:$A$203,0))&lt;INDEX(Frozen_Predictions!$C$4:$C$203,MATCH(A24,Frozen_Predictions!$A$4:$A$203,0)),INDEX(Frozen_Predictions!$V$4:$V$203,MATCH(A24,Frozen_Predictions!$A$4:$A$203,0))="READY",INDEX(Frozen_Predictions!$O$4:$O$203,MATCH(A24,Frozen_Predictions!$A$4:$A$203,0))="PASS",INDEX(Frozen_Predictions!$J$4:$J$203,MATCH(A24,Frozen_Predictions!$A$4:$A$203,0))=Under_LineCal_v9!$B$45,COUNTIFS(Frozen_Predictions!$A$4:$A$203,A24,Frozen_Predictions!$L$4:$L$203,"&lt;&gt;",Frozen_Predictions!$L$4:$L$203,"&gt;=0",Frozen_Predictions!$L$4:$L$203,"&lt;=1")=1,COUNTIFS($A$4:$A$203,A24)=1)),"SNAPSHOT NOT VALID",IF(AND(ISNUMBER(I24),I24&gt;=0,I24&lt;=1,ISNUMBER(N24),P24&lt;&gt;"",ISNUMBER(Q24),Q24&gt;=B24,OR(G24="U3.5",G24="U4.5",G24="U5.5")),"SETTLED","PENDING RESULT")),"SNAPSHOT NOT VALID")))</x:f>
      </x:c>
    </x:row>
    <x:row r="25" ht="23" customHeight="1">
      <x:c r="A25" s="175"/>
      <x:c r="B25" s="200" t="str">
        <x:f>IF(A25="","",IFERROR(INDEX(Frozen_Predictions!$C$4:$C$203,MATCH(A25,Frozen_Predictions!$A$4:$A$203,0)),""))</x:f>
      </x:c>
      <x:c r="C25" s="172" t="str">
        <x:f>IF(A25="","",IFERROR(INDEX(Frozen_Predictions!$E$4:$E$203,MATCH(A25,Frozen_Predictions!$A$4:$A$203,0)),""))</x:f>
      </x:c>
      <x:c r="D25" s="172" t="str">
        <x:f>IF(A25="","",IFERROR(INDEX(Frozen_Predictions!$F$4:$F$203,MATCH(A25,Frozen_Predictions!$A$4:$A$203,0)),""))</x:f>
      </x:c>
      <x:c r="E25" s="172" t="str">
        <x:f>IF(A25="","",IFERROR(INDEX(Frozen_Predictions!$G$4:$G$203,MATCH(A25,Frozen_Predictions!$A$4:$A$203,0)),""))</x:f>
      </x:c>
      <x:c r="F25" s="172" t="str">
        <x:f>IF(A25="","",IFERROR(INDEX(Frozen_Predictions!$H$4:$H$203,MATCH(A25,Frozen_Predictions!$A$4:$A$203,0)),""))</x:f>
      </x:c>
      <x:c r="G25" s="172" t="str">
        <x:f>IF(A25="","",IFERROR(INDEX(Frozen_Predictions!$I$4:$I$203,MATCH(A25,Frozen_Predictions!$A$4:$A$203,0)),""))</x:f>
      </x:c>
      <x:c r="H25" s="172" t="str">
        <x:f>IF(A25="","",IFERROR(INDEX(Frozen_Predictions!$J$4:$J$203,MATCH(A25,Frozen_Predictions!$A$4:$A$203,0)),""))</x:f>
      </x:c>
      <x:c r="I25" s="192" t="str">
        <x:f>IF(A25="","",IFERROR(INDEX(Frozen_Predictions!$L$4:$L$203,MATCH(A25,Frozen_Predictions!$A$4:$A$203,0)),""))</x:f>
      </x:c>
      <x:c r="J25" s="172" t="str">
        <x:f>IF(X25&lt;&gt;"SETTLED","",IF(N25&lt;=IF(G25="U3.5",3,IF(G25="U4.5",4,5)),1,0))</x:f>
      </x:c>
      <x:c r="K25" s="195" t="str">
        <x:f>IF(X25&lt;&gt;"SETTLED","",IF(AND(OR(V25="DEFENSIV",V25="PRUDENT",V25="MODERAT",V25="RIDICAT"),ISNUMBER(INDEX(Frozen_Predictions!$Y$4:$Y$203,MATCH(A25,Frozen_Predictions!$A$4:$A$203,0))),INDEX(Frozen_Predictions!$Y$4:$Y$203,MATCH(A25,Frozen_Predictions!$A$4:$A$203,0))&gt;1),IF(J25=1,INDEX(Frozen_Predictions!$Y$4:$Y$203,MATCH(A25,Frozen_Predictions!$A$4:$A$203,0))-1,-1),""))</x:f>
      </x:c>
      <x:c r="L25" s="175"/>
      <x:c r="M25" s="175"/>
      <x:c r="N25" s="172" t="str">
        <x:f>IFERROR(IF(AND(ISNUMBER(L25),ISNUMBER(M25),L25&gt;=0,M25&gt;=0,INT(L25)=L25,INT(M25)=M25),L25+M25,""),"")</x:f>
      </x:c>
      <x:c r="O25" s="172" t="str">
        <x:f>IF(X25&lt;&gt;"SETTLED","",IF(J25=1,"WIN",IF(N25=IF(G25="U3.5",4,IF(G25="U4.5",5,6)),"NEAR TAIL","SEVERE TAIL")))</x:f>
      </x:c>
      <x:c r="P25" s="175"/>
      <x:c r="Q25" s="177"/>
      <x:c r="R25" s="213" t="str">
        <x:f>IF(X25&lt;&gt;"SETTLED","",(I25-J25)^2)</x:f>
      </x:c>
      <x:c r="S25" s="213" t="str">
        <x:f>IF(X25&lt;&gt;"SETTLED","",-(J25*LN(MAX(0.000001,MIN(0.999999,I25)))+(1-J25)*LN(MAX(0.000001,MIN(0.999999,1-I25)))))</x:f>
      </x:c>
      <x:c r="T25" s="172" t="str">
        <x:f>IF(A25="","",IFERROR(INDEX(Frozen_Predictions!$N$4:$N$203,MATCH(A25,Frozen_Predictions!$A$4:$A$203,0)),""))</x:f>
      </x:c>
      <x:c r="U25" s="172" t="str">
        <x:f>IF(A25="","",IFERROR(INDEX(Frozen_Predictions!$O$4:$O$203,MATCH(A25,Frozen_Predictions!$A$4:$A$203,0)),""))</x:f>
      </x:c>
      <x:c r="V25" s="172" t="str">
        <x:f>IF(A25="","",IFERROR(INDEX(Frozen_Predictions!$M$4:$M$203,MATCH(A25,Frozen_Predictions!$A$4:$A$203,0)),""))</x:f>
      </x:c>
      <x:c r="W25" s="175"/>
      <x:c r="X25" s="172" t="str">
        <x:f>IF(A25="","",IF(NOT(COUNTIFS(Frozen_Predictions!$A$4:$A$203,A25)=1),"SNAPSHOT ID INVALID",IFERROR(IF(NOT(AND(INDEX(Frozen_Predictions!$Q$4:$Q$203,MATCH(A25,Frozen_Predictions!$A$4:$A$203,0))="DA",ISNUMBER(INDEX(Frozen_Predictions!$B$4:$B$203,MATCH(A25,Frozen_Predictions!$A$4:$A$203,0))),ISNUMBER(INDEX(Frozen_Predictions!$C$4:$C$203,MATCH(A25,Frozen_Predictions!$A$4:$A$203,0))),INDEX(Frozen_Predictions!$B$4:$B$203,MATCH(A25,Frozen_Predictions!$A$4:$A$203,0))&lt;INDEX(Frozen_Predictions!$C$4:$C$203,MATCH(A25,Frozen_Predictions!$A$4:$A$203,0)),INDEX(Frozen_Predictions!$V$4:$V$203,MATCH(A25,Frozen_Predictions!$A$4:$A$203,0))="READY",INDEX(Frozen_Predictions!$O$4:$O$203,MATCH(A25,Frozen_Predictions!$A$4:$A$203,0))="PASS",INDEX(Frozen_Predictions!$J$4:$J$203,MATCH(A25,Frozen_Predictions!$A$4:$A$203,0))=Under_LineCal_v9!$B$45,COUNTIFS(Frozen_Predictions!$A$4:$A$203,A25,Frozen_Predictions!$L$4:$L$203,"&lt;&gt;",Frozen_Predictions!$L$4:$L$203,"&gt;=0",Frozen_Predictions!$L$4:$L$203,"&lt;=1")=1,COUNTIFS($A$4:$A$203,A25)=1)),"SNAPSHOT NOT VALID",IF(AND(ISNUMBER(I25),I25&gt;=0,I25&lt;=1,ISNUMBER(N25),P25&lt;&gt;"",ISNUMBER(Q25),Q25&gt;=B25,OR(G25="U3.5",G25="U4.5",G25="U5.5")),"SETTLED","PENDING RESULT")),"SNAPSHOT NOT VALID")))</x:f>
      </x:c>
    </x:row>
    <x:row r="26" ht="23" customHeight="1">
      <x:c r="A26" s="175"/>
      <x:c r="B26" s="200" t="str">
        <x:f>IF(A26="","",IFERROR(INDEX(Frozen_Predictions!$C$4:$C$203,MATCH(A26,Frozen_Predictions!$A$4:$A$203,0)),""))</x:f>
      </x:c>
      <x:c r="C26" s="172" t="str">
        <x:f>IF(A26="","",IFERROR(INDEX(Frozen_Predictions!$E$4:$E$203,MATCH(A26,Frozen_Predictions!$A$4:$A$203,0)),""))</x:f>
      </x:c>
      <x:c r="D26" s="172" t="str">
        <x:f>IF(A26="","",IFERROR(INDEX(Frozen_Predictions!$F$4:$F$203,MATCH(A26,Frozen_Predictions!$A$4:$A$203,0)),""))</x:f>
      </x:c>
      <x:c r="E26" s="172" t="str">
        <x:f>IF(A26="","",IFERROR(INDEX(Frozen_Predictions!$G$4:$G$203,MATCH(A26,Frozen_Predictions!$A$4:$A$203,0)),""))</x:f>
      </x:c>
      <x:c r="F26" s="172" t="str">
        <x:f>IF(A26="","",IFERROR(INDEX(Frozen_Predictions!$H$4:$H$203,MATCH(A26,Frozen_Predictions!$A$4:$A$203,0)),""))</x:f>
      </x:c>
      <x:c r="G26" s="172" t="str">
        <x:f>IF(A26="","",IFERROR(INDEX(Frozen_Predictions!$I$4:$I$203,MATCH(A26,Frozen_Predictions!$A$4:$A$203,0)),""))</x:f>
      </x:c>
      <x:c r="H26" s="172" t="str">
        <x:f>IF(A26="","",IFERROR(INDEX(Frozen_Predictions!$J$4:$J$203,MATCH(A26,Frozen_Predictions!$A$4:$A$203,0)),""))</x:f>
      </x:c>
      <x:c r="I26" s="192" t="str">
        <x:f>IF(A26="","",IFERROR(INDEX(Frozen_Predictions!$L$4:$L$203,MATCH(A26,Frozen_Predictions!$A$4:$A$203,0)),""))</x:f>
      </x:c>
      <x:c r="J26" s="172" t="str">
        <x:f>IF(X26&lt;&gt;"SETTLED","",IF(N26&lt;=IF(G26="U3.5",3,IF(G26="U4.5",4,5)),1,0))</x:f>
      </x:c>
      <x:c r="K26" s="195" t="str">
        <x:f>IF(X26&lt;&gt;"SETTLED","",IF(AND(OR(V26="DEFENSIV",V26="PRUDENT",V26="MODERAT",V26="RIDICAT"),ISNUMBER(INDEX(Frozen_Predictions!$Y$4:$Y$203,MATCH(A26,Frozen_Predictions!$A$4:$A$203,0))),INDEX(Frozen_Predictions!$Y$4:$Y$203,MATCH(A26,Frozen_Predictions!$A$4:$A$203,0))&gt;1),IF(J26=1,INDEX(Frozen_Predictions!$Y$4:$Y$203,MATCH(A26,Frozen_Predictions!$A$4:$A$203,0))-1,-1),""))</x:f>
      </x:c>
      <x:c r="L26" s="175"/>
      <x:c r="M26" s="175"/>
      <x:c r="N26" s="172" t="str">
        <x:f>IFERROR(IF(AND(ISNUMBER(L26),ISNUMBER(M26),L26&gt;=0,M26&gt;=0,INT(L26)=L26,INT(M26)=M26),L26+M26,""),"")</x:f>
      </x:c>
      <x:c r="O26" s="172" t="str">
        <x:f>IF(X26&lt;&gt;"SETTLED","",IF(J26=1,"WIN",IF(N26=IF(G26="U3.5",4,IF(G26="U4.5",5,6)),"NEAR TAIL","SEVERE TAIL")))</x:f>
      </x:c>
      <x:c r="P26" s="175"/>
      <x:c r="Q26" s="177"/>
      <x:c r="R26" s="213" t="str">
        <x:f>IF(X26&lt;&gt;"SETTLED","",(I26-J26)^2)</x:f>
      </x:c>
      <x:c r="S26" s="213" t="str">
        <x:f>IF(X26&lt;&gt;"SETTLED","",-(J26*LN(MAX(0.000001,MIN(0.999999,I26)))+(1-J26)*LN(MAX(0.000001,MIN(0.999999,1-I26)))))</x:f>
      </x:c>
      <x:c r="T26" s="172" t="str">
        <x:f>IF(A26="","",IFERROR(INDEX(Frozen_Predictions!$N$4:$N$203,MATCH(A26,Frozen_Predictions!$A$4:$A$203,0)),""))</x:f>
      </x:c>
      <x:c r="U26" s="172" t="str">
        <x:f>IF(A26="","",IFERROR(INDEX(Frozen_Predictions!$O$4:$O$203,MATCH(A26,Frozen_Predictions!$A$4:$A$203,0)),""))</x:f>
      </x:c>
      <x:c r="V26" s="172" t="str">
        <x:f>IF(A26="","",IFERROR(INDEX(Frozen_Predictions!$M$4:$M$203,MATCH(A26,Frozen_Predictions!$A$4:$A$203,0)),""))</x:f>
      </x:c>
      <x:c r="W26" s="175"/>
      <x:c r="X26" s="172" t="str">
        <x:f>IF(A26="","",IF(NOT(COUNTIFS(Frozen_Predictions!$A$4:$A$203,A26)=1),"SNAPSHOT ID INVALID",IFERROR(IF(NOT(AND(INDEX(Frozen_Predictions!$Q$4:$Q$203,MATCH(A26,Frozen_Predictions!$A$4:$A$203,0))="DA",ISNUMBER(INDEX(Frozen_Predictions!$B$4:$B$203,MATCH(A26,Frozen_Predictions!$A$4:$A$203,0))),ISNUMBER(INDEX(Frozen_Predictions!$C$4:$C$203,MATCH(A26,Frozen_Predictions!$A$4:$A$203,0))),INDEX(Frozen_Predictions!$B$4:$B$203,MATCH(A26,Frozen_Predictions!$A$4:$A$203,0))&lt;INDEX(Frozen_Predictions!$C$4:$C$203,MATCH(A26,Frozen_Predictions!$A$4:$A$203,0)),INDEX(Frozen_Predictions!$V$4:$V$203,MATCH(A26,Frozen_Predictions!$A$4:$A$203,0))="READY",INDEX(Frozen_Predictions!$O$4:$O$203,MATCH(A26,Frozen_Predictions!$A$4:$A$203,0))="PASS",INDEX(Frozen_Predictions!$J$4:$J$203,MATCH(A26,Frozen_Predictions!$A$4:$A$203,0))=Under_LineCal_v9!$B$45,COUNTIFS(Frozen_Predictions!$A$4:$A$203,A26,Frozen_Predictions!$L$4:$L$203,"&lt;&gt;",Frozen_Predictions!$L$4:$L$203,"&gt;=0",Frozen_Predictions!$L$4:$L$203,"&lt;=1")=1,COUNTIFS($A$4:$A$203,A26)=1)),"SNAPSHOT NOT VALID",IF(AND(ISNUMBER(I26),I26&gt;=0,I26&lt;=1,ISNUMBER(N26),P26&lt;&gt;"",ISNUMBER(Q26),Q26&gt;=B26,OR(G26="U3.5",G26="U4.5",G26="U5.5")),"SETTLED","PENDING RESULT")),"SNAPSHOT NOT VALID")))</x:f>
      </x:c>
    </x:row>
    <x:row r="27" ht="23" customHeight="1">
      <x:c r="A27" s="175"/>
      <x:c r="B27" s="200" t="str">
        <x:f>IF(A27="","",IFERROR(INDEX(Frozen_Predictions!$C$4:$C$203,MATCH(A27,Frozen_Predictions!$A$4:$A$203,0)),""))</x:f>
      </x:c>
      <x:c r="C27" s="172" t="str">
        <x:f>IF(A27="","",IFERROR(INDEX(Frozen_Predictions!$E$4:$E$203,MATCH(A27,Frozen_Predictions!$A$4:$A$203,0)),""))</x:f>
      </x:c>
      <x:c r="D27" s="172" t="str">
        <x:f>IF(A27="","",IFERROR(INDEX(Frozen_Predictions!$F$4:$F$203,MATCH(A27,Frozen_Predictions!$A$4:$A$203,0)),""))</x:f>
      </x:c>
      <x:c r="E27" s="172" t="str">
        <x:f>IF(A27="","",IFERROR(INDEX(Frozen_Predictions!$G$4:$G$203,MATCH(A27,Frozen_Predictions!$A$4:$A$203,0)),""))</x:f>
      </x:c>
      <x:c r="F27" s="172" t="str">
        <x:f>IF(A27="","",IFERROR(INDEX(Frozen_Predictions!$H$4:$H$203,MATCH(A27,Frozen_Predictions!$A$4:$A$203,0)),""))</x:f>
      </x:c>
      <x:c r="G27" s="172" t="str">
        <x:f>IF(A27="","",IFERROR(INDEX(Frozen_Predictions!$I$4:$I$203,MATCH(A27,Frozen_Predictions!$A$4:$A$203,0)),""))</x:f>
      </x:c>
      <x:c r="H27" s="172" t="str">
        <x:f>IF(A27="","",IFERROR(INDEX(Frozen_Predictions!$J$4:$J$203,MATCH(A27,Frozen_Predictions!$A$4:$A$203,0)),""))</x:f>
      </x:c>
      <x:c r="I27" s="192" t="str">
        <x:f>IF(A27="","",IFERROR(INDEX(Frozen_Predictions!$L$4:$L$203,MATCH(A27,Frozen_Predictions!$A$4:$A$203,0)),""))</x:f>
      </x:c>
      <x:c r="J27" s="172" t="str">
        <x:f>IF(X27&lt;&gt;"SETTLED","",IF(N27&lt;=IF(G27="U3.5",3,IF(G27="U4.5",4,5)),1,0))</x:f>
      </x:c>
      <x:c r="K27" s="195" t="str">
        <x:f>IF(X27&lt;&gt;"SETTLED","",IF(AND(OR(V27="DEFENSIV",V27="PRUDENT",V27="MODERAT",V27="RIDICAT"),ISNUMBER(INDEX(Frozen_Predictions!$Y$4:$Y$203,MATCH(A27,Frozen_Predictions!$A$4:$A$203,0))),INDEX(Frozen_Predictions!$Y$4:$Y$203,MATCH(A27,Frozen_Predictions!$A$4:$A$203,0))&gt;1),IF(J27=1,INDEX(Frozen_Predictions!$Y$4:$Y$203,MATCH(A27,Frozen_Predictions!$A$4:$A$203,0))-1,-1),""))</x:f>
      </x:c>
      <x:c r="L27" s="175"/>
      <x:c r="M27" s="175"/>
      <x:c r="N27" s="172" t="str">
        <x:f>IFERROR(IF(AND(ISNUMBER(L27),ISNUMBER(M27),L27&gt;=0,M27&gt;=0,INT(L27)=L27,INT(M27)=M27),L27+M27,""),"")</x:f>
      </x:c>
      <x:c r="O27" s="172" t="str">
        <x:f>IF(X27&lt;&gt;"SETTLED","",IF(J27=1,"WIN",IF(N27=IF(G27="U3.5",4,IF(G27="U4.5",5,6)),"NEAR TAIL","SEVERE TAIL")))</x:f>
      </x:c>
      <x:c r="P27" s="175"/>
      <x:c r="Q27" s="177"/>
      <x:c r="R27" s="213" t="str">
        <x:f>IF(X27&lt;&gt;"SETTLED","",(I27-J27)^2)</x:f>
      </x:c>
      <x:c r="S27" s="213" t="str">
        <x:f>IF(X27&lt;&gt;"SETTLED","",-(J27*LN(MAX(0.000001,MIN(0.999999,I27)))+(1-J27)*LN(MAX(0.000001,MIN(0.999999,1-I27)))))</x:f>
      </x:c>
      <x:c r="T27" s="172" t="str">
        <x:f>IF(A27="","",IFERROR(INDEX(Frozen_Predictions!$N$4:$N$203,MATCH(A27,Frozen_Predictions!$A$4:$A$203,0)),""))</x:f>
      </x:c>
      <x:c r="U27" s="172" t="str">
        <x:f>IF(A27="","",IFERROR(INDEX(Frozen_Predictions!$O$4:$O$203,MATCH(A27,Frozen_Predictions!$A$4:$A$203,0)),""))</x:f>
      </x:c>
      <x:c r="V27" s="172" t="str">
        <x:f>IF(A27="","",IFERROR(INDEX(Frozen_Predictions!$M$4:$M$203,MATCH(A27,Frozen_Predictions!$A$4:$A$203,0)),""))</x:f>
      </x:c>
      <x:c r="W27" s="175"/>
      <x:c r="X27" s="172" t="str">
        <x:f>IF(A27="","",IF(NOT(COUNTIFS(Frozen_Predictions!$A$4:$A$203,A27)=1),"SNAPSHOT ID INVALID",IFERROR(IF(NOT(AND(INDEX(Frozen_Predictions!$Q$4:$Q$203,MATCH(A27,Frozen_Predictions!$A$4:$A$203,0))="DA",ISNUMBER(INDEX(Frozen_Predictions!$B$4:$B$203,MATCH(A27,Frozen_Predictions!$A$4:$A$203,0))),ISNUMBER(INDEX(Frozen_Predictions!$C$4:$C$203,MATCH(A27,Frozen_Predictions!$A$4:$A$203,0))),INDEX(Frozen_Predictions!$B$4:$B$203,MATCH(A27,Frozen_Predictions!$A$4:$A$203,0))&lt;INDEX(Frozen_Predictions!$C$4:$C$203,MATCH(A27,Frozen_Predictions!$A$4:$A$203,0)),INDEX(Frozen_Predictions!$V$4:$V$203,MATCH(A27,Frozen_Predictions!$A$4:$A$203,0))="READY",INDEX(Frozen_Predictions!$O$4:$O$203,MATCH(A27,Frozen_Predictions!$A$4:$A$203,0))="PASS",INDEX(Frozen_Predictions!$J$4:$J$203,MATCH(A27,Frozen_Predictions!$A$4:$A$203,0))=Under_LineCal_v9!$B$45,COUNTIFS(Frozen_Predictions!$A$4:$A$203,A27,Frozen_Predictions!$L$4:$L$203,"&lt;&gt;",Frozen_Predictions!$L$4:$L$203,"&gt;=0",Frozen_Predictions!$L$4:$L$203,"&lt;=1")=1,COUNTIFS($A$4:$A$203,A27)=1)),"SNAPSHOT NOT VALID",IF(AND(ISNUMBER(I27),I27&gt;=0,I27&lt;=1,ISNUMBER(N27),P27&lt;&gt;"",ISNUMBER(Q27),Q27&gt;=B27,OR(G27="U3.5",G27="U4.5",G27="U5.5")),"SETTLED","PENDING RESULT")),"SNAPSHOT NOT VALID")))</x:f>
      </x:c>
    </x:row>
    <x:row r="28" ht="23" customHeight="1">
      <x:c r="A28" s="175"/>
      <x:c r="B28" s="200" t="str">
        <x:f>IF(A28="","",IFERROR(INDEX(Frozen_Predictions!$C$4:$C$203,MATCH(A28,Frozen_Predictions!$A$4:$A$203,0)),""))</x:f>
      </x:c>
      <x:c r="C28" s="172" t="str">
        <x:f>IF(A28="","",IFERROR(INDEX(Frozen_Predictions!$E$4:$E$203,MATCH(A28,Frozen_Predictions!$A$4:$A$203,0)),""))</x:f>
      </x:c>
      <x:c r="D28" s="172" t="str">
        <x:f>IF(A28="","",IFERROR(INDEX(Frozen_Predictions!$F$4:$F$203,MATCH(A28,Frozen_Predictions!$A$4:$A$203,0)),""))</x:f>
      </x:c>
      <x:c r="E28" s="172" t="str">
        <x:f>IF(A28="","",IFERROR(INDEX(Frozen_Predictions!$G$4:$G$203,MATCH(A28,Frozen_Predictions!$A$4:$A$203,0)),""))</x:f>
      </x:c>
      <x:c r="F28" s="172" t="str">
        <x:f>IF(A28="","",IFERROR(INDEX(Frozen_Predictions!$H$4:$H$203,MATCH(A28,Frozen_Predictions!$A$4:$A$203,0)),""))</x:f>
      </x:c>
      <x:c r="G28" s="172" t="str">
        <x:f>IF(A28="","",IFERROR(INDEX(Frozen_Predictions!$I$4:$I$203,MATCH(A28,Frozen_Predictions!$A$4:$A$203,0)),""))</x:f>
      </x:c>
      <x:c r="H28" s="172" t="str">
        <x:f>IF(A28="","",IFERROR(INDEX(Frozen_Predictions!$J$4:$J$203,MATCH(A28,Frozen_Predictions!$A$4:$A$203,0)),""))</x:f>
      </x:c>
      <x:c r="I28" s="192" t="str">
        <x:f>IF(A28="","",IFERROR(INDEX(Frozen_Predictions!$L$4:$L$203,MATCH(A28,Frozen_Predictions!$A$4:$A$203,0)),""))</x:f>
      </x:c>
      <x:c r="J28" s="172" t="str">
        <x:f>IF(X28&lt;&gt;"SETTLED","",IF(N28&lt;=IF(G28="U3.5",3,IF(G28="U4.5",4,5)),1,0))</x:f>
      </x:c>
      <x:c r="K28" s="195" t="str">
        <x:f>IF(X28&lt;&gt;"SETTLED","",IF(AND(OR(V28="DEFENSIV",V28="PRUDENT",V28="MODERAT",V28="RIDICAT"),ISNUMBER(INDEX(Frozen_Predictions!$Y$4:$Y$203,MATCH(A28,Frozen_Predictions!$A$4:$A$203,0))),INDEX(Frozen_Predictions!$Y$4:$Y$203,MATCH(A28,Frozen_Predictions!$A$4:$A$203,0))&gt;1),IF(J28=1,INDEX(Frozen_Predictions!$Y$4:$Y$203,MATCH(A28,Frozen_Predictions!$A$4:$A$203,0))-1,-1),""))</x:f>
      </x:c>
      <x:c r="L28" s="175"/>
      <x:c r="M28" s="175"/>
      <x:c r="N28" s="172" t="str">
        <x:f>IFERROR(IF(AND(ISNUMBER(L28),ISNUMBER(M28),L28&gt;=0,M28&gt;=0,INT(L28)=L28,INT(M28)=M28),L28+M28,""),"")</x:f>
      </x:c>
      <x:c r="O28" s="172" t="str">
        <x:f>IF(X28&lt;&gt;"SETTLED","",IF(J28=1,"WIN",IF(N28=IF(G28="U3.5",4,IF(G28="U4.5",5,6)),"NEAR TAIL","SEVERE TAIL")))</x:f>
      </x:c>
      <x:c r="P28" s="175"/>
      <x:c r="Q28" s="177"/>
      <x:c r="R28" s="213" t="str">
        <x:f>IF(X28&lt;&gt;"SETTLED","",(I28-J28)^2)</x:f>
      </x:c>
      <x:c r="S28" s="213" t="str">
        <x:f>IF(X28&lt;&gt;"SETTLED","",-(J28*LN(MAX(0.000001,MIN(0.999999,I28)))+(1-J28)*LN(MAX(0.000001,MIN(0.999999,1-I28)))))</x:f>
      </x:c>
      <x:c r="T28" s="172" t="str">
        <x:f>IF(A28="","",IFERROR(INDEX(Frozen_Predictions!$N$4:$N$203,MATCH(A28,Frozen_Predictions!$A$4:$A$203,0)),""))</x:f>
      </x:c>
      <x:c r="U28" s="172" t="str">
        <x:f>IF(A28="","",IFERROR(INDEX(Frozen_Predictions!$O$4:$O$203,MATCH(A28,Frozen_Predictions!$A$4:$A$203,0)),""))</x:f>
      </x:c>
      <x:c r="V28" s="172" t="str">
        <x:f>IF(A28="","",IFERROR(INDEX(Frozen_Predictions!$M$4:$M$203,MATCH(A28,Frozen_Predictions!$A$4:$A$203,0)),""))</x:f>
      </x:c>
      <x:c r="W28" s="175"/>
      <x:c r="X28" s="172" t="str">
        <x:f>IF(A28="","",IF(NOT(COUNTIFS(Frozen_Predictions!$A$4:$A$203,A28)=1),"SNAPSHOT ID INVALID",IFERROR(IF(NOT(AND(INDEX(Frozen_Predictions!$Q$4:$Q$203,MATCH(A28,Frozen_Predictions!$A$4:$A$203,0))="DA",ISNUMBER(INDEX(Frozen_Predictions!$B$4:$B$203,MATCH(A28,Frozen_Predictions!$A$4:$A$203,0))),ISNUMBER(INDEX(Frozen_Predictions!$C$4:$C$203,MATCH(A28,Frozen_Predictions!$A$4:$A$203,0))),INDEX(Frozen_Predictions!$B$4:$B$203,MATCH(A28,Frozen_Predictions!$A$4:$A$203,0))&lt;INDEX(Frozen_Predictions!$C$4:$C$203,MATCH(A28,Frozen_Predictions!$A$4:$A$203,0)),INDEX(Frozen_Predictions!$V$4:$V$203,MATCH(A28,Frozen_Predictions!$A$4:$A$203,0))="READY",INDEX(Frozen_Predictions!$O$4:$O$203,MATCH(A28,Frozen_Predictions!$A$4:$A$203,0))="PASS",INDEX(Frozen_Predictions!$J$4:$J$203,MATCH(A28,Frozen_Predictions!$A$4:$A$203,0))=Under_LineCal_v9!$B$45,COUNTIFS(Frozen_Predictions!$A$4:$A$203,A28,Frozen_Predictions!$L$4:$L$203,"&lt;&gt;",Frozen_Predictions!$L$4:$L$203,"&gt;=0",Frozen_Predictions!$L$4:$L$203,"&lt;=1")=1,COUNTIFS($A$4:$A$203,A28)=1)),"SNAPSHOT NOT VALID",IF(AND(ISNUMBER(I28),I28&gt;=0,I28&lt;=1,ISNUMBER(N28),P28&lt;&gt;"",ISNUMBER(Q28),Q28&gt;=B28,OR(G28="U3.5",G28="U4.5",G28="U5.5")),"SETTLED","PENDING RESULT")),"SNAPSHOT NOT VALID")))</x:f>
      </x:c>
    </x:row>
    <x:row r="29" ht="23" customHeight="1">
      <x:c r="A29" s="175"/>
      <x:c r="B29" s="200" t="str">
        <x:f>IF(A29="","",IFERROR(INDEX(Frozen_Predictions!$C$4:$C$203,MATCH(A29,Frozen_Predictions!$A$4:$A$203,0)),""))</x:f>
      </x:c>
      <x:c r="C29" s="172" t="str">
        <x:f>IF(A29="","",IFERROR(INDEX(Frozen_Predictions!$E$4:$E$203,MATCH(A29,Frozen_Predictions!$A$4:$A$203,0)),""))</x:f>
      </x:c>
      <x:c r="D29" s="172" t="str">
        <x:f>IF(A29="","",IFERROR(INDEX(Frozen_Predictions!$F$4:$F$203,MATCH(A29,Frozen_Predictions!$A$4:$A$203,0)),""))</x:f>
      </x:c>
      <x:c r="E29" s="172" t="str">
        <x:f>IF(A29="","",IFERROR(INDEX(Frozen_Predictions!$G$4:$G$203,MATCH(A29,Frozen_Predictions!$A$4:$A$203,0)),""))</x:f>
      </x:c>
      <x:c r="F29" s="172" t="str">
        <x:f>IF(A29="","",IFERROR(INDEX(Frozen_Predictions!$H$4:$H$203,MATCH(A29,Frozen_Predictions!$A$4:$A$203,0)),""))</x:f>
      </x:c>
      <x:c r="G29" s="172" t="str">
        <x:f>IF(A29="","",IFERROR(INDEX(Frozen_Predictions!$I$4:$I$203,MATCH(A29,Frozen_Predictions!$A$4:$A$203,0)),""))</x:f>
      </x:c>
      <x:c r="H29" s="172" t="str">
        <x:f>IF(A29="","",IFERROR(INDEX(Frozen_Predictions!$J$4:$J$203,MATCH(A29,Frozen_Predictions!$A$4:$A$203,0)),""))</x:f>
      </x:c>
      <x:c r="I29" s="192" t="str">
        <x:f>IF(A29="","",IFERROR(INDEX(Frozen_Predictions!$L$4:$L$203,MATCH(A29,Frozen_Predictions!$A$4:$A$203,0)),""))</x:f>
      </x:c>
      <x:c r="J29" s="172" t="str">
        <x:f>IF(X29&lt;&gt;"SETTLED","",IF(N29&lt;=IF(G29="U3.5",3,IF(G29="U4.5",4,5)),1,0))</x:f>
      </x:c>
      <x:c r="K29" s="195" t="str">
        <x:f>IF(X29&lt;&gt;"SETTLED","",IF(AND(OR(V29="DEFENSIV",V29="PRUDENT",V29="MODERAT",V29="RIDICAT"),ISNUMBER(INDEX(Frozen_Predictions!$Y$4:$Y$203,MATCH(A29,Frozen_Predictions!$A$4:$A$203,0))),INDEX(Frozen_Predictions!$Y$4:$Y$203,MATCH(A29,Frozen_Predictions!$A$4:$A$203,0))&gt;1),IF(J29=1,INDEX(Frozen_Predictions!$Y$4:$Y$203,MATCH(A29,Frozen_Predictions!$A$4:$A$203,0))-1,-1),""))</x:f>
      </x:c>
      <x:c r="L29" s="175"/>
      <x:c r="M29" s="175"/>
      <x:c r="N29" s="172" t="str">
        <x:f>IFERROR(IF(AND(ISNUMBER(L29),ISNUMBER(M29),L29&gt;=0,M29&gt;=0,INT(L29)=L29,INT(M29)=M29),L29+M29,""),"")</x:f>
      </x:c>
      <x:c r="O29" s="172" t="str">
        <x:f>IF(X29&lt;&gt;"SETTLED","",IF(J29=1,"WIN",IF(N29=IF(G29="U3.5",4,IF(G29="U4.5",5,6)),"NEAR TAIL","SEVERE TAIL")))</x:f>
      </x:c>
      <x:c r="P29" s="175"/>
      <x:c r="Q29" s="177"/>
      <x:c r="R29" s="213" t="str">
        <x:f>IF(X29&lt;&gt;"SETTLED","",(I29-J29)^2)</x:f>
      </x:c>
      <x:c r="S29" s="213" t="str">
        <x:f>IF(X29&lt;&gt;"SETTLED","",-(J29*LN(MAX(0.000001,MIN(0.999999,I29)))+(1-J29)*LN(MAX(0.000001,MIN(0.999999,1-I29)))))</x:f>
      </x:c>
      <x:c r="T29" s="172" t="str">
        <x:f>IF(A29="","",IFERROR(INDEX(Frozen_Predictions!$N$4:$N$203,MATCH(A29,Frozen_Predictions!$A$4:$A$203,0)),""))</x:f>
      </x:c>
      <x:c r="U29" s="172" t="str">
        <x:f>IF(A29="","",IFERROR(INDEX(Frozen_Predictions!$O$4:$O$203,MATCH(A29,Frozen_Predictions!$A$4:$A$203,0)),""))</x:f>
      </x:c>
      <x:c r="V29" s="172" t="str">
        <x:f>IF(A29="","",IFERROR(INDEX(Frozen_Predictions!$M$4:$M$203,MATCH(A29,Frozen_Predictions!$A$4:$A$203,0)),""))</x:f>
      </x:c>
      <x:c r="W29" s="175"/>
      <x:c r="X29" s="172" t="str">
        <x:f>IF(A29="","",IF(NOT(COUNTIFS(Frozen_Predictions!$A$4:$A$203,A29)=1),"SNAPSHOT ID INVALID",IFERROR(IF(NOT(AND(INDEX(Frozen_Predictions!$Q$4:$Q$203,MATCH(A29,Frozen_Predictions!$A$4:$A$203,0))="DA",ISNUMBER(INDEX(Frozen_Predictions!$B$4:$B$203,MATCH(A29,Frozen_Predictions!$A$4:$A$203,0))),ISNUMBER(INDEX(Frozen_Predictions!$C$4:$C$203,MATCH(A29,Frozen_Predictions!$A$4:$A$203,0))),INDEX(Frozen_Predictions!$B$4:$B$203,MATCH(A29,Frozen_Predictions!$A$4:$A$203,0))&lt;INDEX(Frozen_Predictions!$C$4:$C$203,MATCH(A29,Frozen_Predictions!$A$4:$A$203,0)),INDEX(Frozen_Predictions!$V$4:$V$203,MATCH(A29,Frozen_Predictions!$A$4:$A$203,0))="READY",INDEX(Frozen_Predictions!$O$4:$O$203,MATCH(A29,Frozen_Predictions!$A$4:$A$203,0))="PASS",INDEX(Frozen_Predictions!$J$4:$J$203,MATCH(A29,Frozen_Predictions!$A$4:$A$203,0))=Under_LineCal_v9!$B$45,COUNTIFS(Frozen_Predictions!$A$4:$A$203,A29,Frozen_Predictions!$L$4:$L$203,"&lt;&gt;",Frozen_Predictions!$L$4:$L$203,"&gt;=0",Frozen_Predictions!$L$4:$L$203,"&lt;=1")=1,COUNTIFS($A$4:$A$203,A29)=1)),"SNAPSHOT NOT VALID",IF(AND(ISNUMBER(I29),I29&gt;=0,I29&lt;=1,ISNUMBER(N29),P29&lt;&gt;"",ISNUMBER(Q29),Q29&gt;=B29,OR(G29="U3.5",G29="U4.5",G29="U5.5")),"SETTLED","PENDING RESULT")),"SNAPSHOT NOT VALID")))</x:f>
      </x:c>
    </x:row>
    <x:row r="30" ht="23" customHeight="1">
      <x:c r="A30" s="175"/>
      <x:c r="B30" s="200" t="str">
        <x:f>IF(A30="","",IFERROR(INDEX(Frozen_Predictions!$C$4:$C$203,MATCH(A30,Frozen_Predictions!$A$4:$A$203,0)),""))</x:f>
      </x:c>
      <x:c r="C30" s="172" t="str">
        <x:f>IF(A30="","",IFERROR(INDEX(Frozen_Predictions!$E$4:$E$203,MATCH(A30,Frozen_Predictions!$A$4:$A$203,0)),""))</x:f>
      </x:c>
      <x:c r="D30" s="172" t="str">
        <x:f>IF(A30="","",IFERROR(INDEX(Frozen_Predictions!$F$4:$F$203,MATCH(A30,Frozen_Predictions!$A$4:$A$203,0)),""))</x:f>
      </x:c>
      <x:c r="E30" s="172" t="str">
        <x:f>IF(A30="","",IFERROR(INDEX(Frozen_Predictions!$G$4:$G$203,MATCH(A30,Frozen_Predictions!$A$4:$A$203,0)),""))</x:f>
      </x:c>
      <x:c r="F30" s="172" t="str">
        <x:f>IF(A30="","",IFERROR(INDEX(Frozen_Predictions!$H$4:$H$203,MATCH(A30,Frozen_Predictions!$A$4:$A$203,0)),""))</x:f>
      </x:c>
      <x:c r="G30" s="172" t="str">
        <x:f>IF(A30="","",IFERROR(INDEX(Frozen_Predictions!$I$4:$I$203,MATCH(A30,Frozen_Predictions!$A$4:$A$203,0)),""))</x:f>
      </x:c>
      <x:c r="H30" s="172" t="str">
        <x:f>IF(A30="","",IFERROR(INDEX(Frozen_Predictions!$J$4:$J$203,MATCH(A30,Frozen_Predictions!$A$4:$A$203,0)),""))</x:f>
      </x:c>
      <x:c r="I30" s="192" t="str">
        <x:f>IF(A30="","",IFERROR(INDEX(Frozen_Predictions!$L$4:$L$203,MATCH(A30,Frozen_Predictions!$A$4:$A$203,0)),""))</x:f>
      </x:c>
      <x:c r="J30" s="172" t="str">
        <x:f>IF(X30&lt;&gt;"SETTLED","",IF(N30&lt;=IF(G30="U3.5",3,IF(G30="U4.5",4,5)),1,0))</x:f>
      </x:c>
      <x:c r="K30" s="195" t="str">
        <x:f>IF(X30&lt;&gt;"SETTLED","",IF(AND(OR(V30="DEFENSIV",V30="PRUDENT",V30="MODERAT",V30="RIDICAT"),ISNUMBER(INDEX(Frozen_Predictions!$Y$4:$Y$203,MATCH(A30,Frozen_Predictions!$A$4:$A$203,0))),INDEX(Frozen_Predictions!$Y$4:$Y$203,MATCH(A30,Frozen_Predictions!$A$4:$A$203,0))&gt;1),IF(J30=1,INDEX(Frozen_Predictions!$Y$4:$Y$203,MATCH(A30,Frozen_Predictions!$A$4:$A$203,0))-1,-1),""))</x:f>
      </x:c>
      <x:c r="L30" s="175"/>
      <x:c r="M30" s="175"/>
      <x:c r="N30" s="172" t="str">
        <x:f>IFERROR(IF(AND(ISNUMBER(L30),ISNUMBER(M30),L30&gt;=0,M30&gt;=0,INT(L30)=L30,INT(M30)=M30),L30+M30,""),"")</x:f>
      </x:c>
      <x:c r="O30" s="172" t="str">
        <x:f>IF(X30&lt;&gt;"SETTLED","",IF(J30=1,"WIN",IF(N30=IF(G30="U3.5",4,IF(G30="U4.5",5,6)),"NEAR TAIL","SEVERE TAIL")))</x:f>
      </x:c>
      <x:c r="P30" s="175"/>
      <x:c r="Q30" s="177"/>
      <x:c r="R30" s="213" t="str">
        <x:f>IF(X30&lt;&gt;"SETTLED","",(I30-J30)^2)</x:f>
      </x:c>
      <x:c r="S30" s="213" t="str">
        <x:f>IF(X30&lt;&gt;"SETTLED","",-(J30*LN(MAX(0.000001,MIN(0.999999,I30)))+(1-J30)*LN(MAX(0.000001,MIN(0.999999,1-I30)))))</x:f>
      </x:c>
      <x:c r="T30" s="172" t="str">
        <x:f>IF(A30="","",IFERROR(INDEX(Frozen_Predictions!$N$4:$N$203,MATCH(A30,Frozen_Predictions!$A$4:$A$203,0)),""))</x:f>
      </x:c>
      <x:c r="U30" s="172" t="str">
        <x:f>IF(A30="","",IFERROR(INDEX(Frozen_Predictions!$O$4:$O$203,MATCH(A30,Frozen_Predictions!$A$4:$A$203,0)),""))</x:f>
      </x:c>
      <x:c r="V30" s="172" t="str">
        <x:f>IF(A30="","",IFERROR(INDEX(Frozen_Predictions!$M$4:$M$203,MATCH(A30,Frozen_Predictions!$A$4:$A$203,0)),""))</x:f>
      </x:c>
      <x:c r="W30" s="175"/>
      <x:c r="X30" s="172" t="str">
        <x:f>IF(A30="","",IF(NOT(COUNTIFS(Frozen_Predictions!$A$4:$A$203,A30)=1),"SNAPSHOT ID INVALID",IFERROR(IF(NOT(AND(INDEX(Frozen_Predictions!$Q$4:$Q$203,MATCH(A30,Frozen_Predictions!$A$4:$A$203,0))="DA",ISNUMBER(INDEX(Frozen_Predictions!$B$4:$B$203,MATCH(A30,Frozen_Predictions!$A$4:$A$203,0))),ISNUMBER(INDEX(Frozen_Predictions!$C$4:$C$203,MATCH(A30,Frozen_Predictions!$A$4:$A$203,0))),INDEX(Frozen_Predictions!$B$4:$B$203,MATCH(A30,Frozen_Predictions!$A$4:$A$203,0))&lt;INDEX(Frozen_Predictions!$C$4:$C$203,MATCH(A30,Frozen_Predictions!$A$4:$A$203,0)),INDEX(Frozen_Predictions!$V$4:$V$203,MATCH(A30,Frozen_Predictions!$A$4:$A$203,0))="READY",INDEX(Frozen_Predictions!$O$4:$O$203,MATCH(A30,Frozen_Predictions!$A$4:$A$203,0))="PASS",INDEX(Frozen_Predictions!$J$4:$J$203,MATCH(A30,Frozen_Predictions!$A$4:$A$203,0))=Under_LineCal_v9!$B$45,COUNTIFS(Frozen_Predictions!$A$4:$A$203,A30,Frozen_Predictions!$L$4:$L$203,"&lt;&gt;",Frozen_Predictions!$L$4:$L$203,"&gt;=0",Frozen_Predictions!$L$4:$L$203,"&lt;=1")=1,COUNTIFS($A$4:$A$203,A30)=1)),"SNAPSHOT NOT VALID",IF(AND(ISNUMBER(I30),I30&gt;=0,I30&lt;=1,ISNUMBER(N30),P30&lt;&gt;"",ISNUMBER(Q30),Q30&gt;=B30,OR(G30="U3.5",G30="U4.5",G30="U5.5")),"SETTLED","PENDING RESULT")),"SNAPSHOT NOT VALID")))</x:f>
      </x:c>
    </x:row>
    <x:row r="31" ht="23" customHeight="1">
      <x:c r="A31" s="175"/>
      <x:c r="B31" s="200" t="str">
        <x:f>IF(A31="","",IFERROR(INDEX(Frozen_Predictions!$C$4:$C$203,MATCH(A31,Frozen_Predictions!$A$4:$A$203,0)),""))</x:f>
      </x:c>
      <x:c r="C31" s="172" t="str">
        <x:f>IF(A31="","",IFERROR(INDEX(Frozen_Predictions!$E$4:$E$203,MATCH(A31,Frozen_Predictions!$A$4:$A$203,0)),""))</x:f>
      </x:c>
      <x:c r="D31" s="172" t="str">
        <x:f>IF(A31="","",IFERROR(INDEX(Frozen_Predictions!$F$4:$F$203,MATCH(A31,Frozen_Predictions!$A$4:$A$203,0)),""))</x:f>
      </x:c>
      <x:c r="E31" s="172" t="str">
        <x:f>IF(A31="","",IFERROR(INDEX(Frozen_Predictions!$G$4:$G$203,MATCH(A31,Frozen_Predictions!$A$4:$A$203,0)),""))</x:f>
      </x:c>
      <x:c r="F31" s="172" t="str">
        <x:f>IF(A31="","",IFERROR(INDEX(Frozen_Predictions!$H$4:$H$203,MATCH(A31,Frozen_Predictions!$A$4:$A$203,0)),""))</x:f>
      </x:c>
      <x:c r="G31" s="172" t="str">
        <x:f>IF(A31="","",IFERROR(INDEX(Frozen_Predictions!$I$4:$I$203,MATCH(A31,Frozen_Predictions!$A$4:$A$203,0)),""))</x:f>
      </x:c>
      <x:c r="H31" s="172" t="str">
        <x:f>IF(A31="","",IFERROR(INDEX(Frozen_Predictions!$J$4:$J$203,MATCH(A31,Frozen_Predictions!$A$4:$A$203,0)),""))</x:f>
      </x:c>
      <x:c r="I31" s="192" t="str">
        <x:f>IF(A31="","",IFERROR(INDEX(Frozen_Predictions!$L$4:$L$203,MATCH(A31,Frozen_Predictions!$A$4:$A$203,0)),""))</x:f>
      </x:c>
      <x:c r="J31" s="172" t="str">
        <x:f>IF(X31&lt;&gt;"SETTLED","",IF(N31&lt;=IF(G31="U3.5",3,IF(G31="U4.5",4,5)),1,0))</x:f>
      </x:c>
      <x:c r="K31" s="195" t="str">
        <x:f>IF(X31&lt;&gt;"SETTLED","",IF(AND(OR(V31="DEFENSIV",V31="PRUDENT",V31="MODERAT",V31="RIDICAT"),ISNUMBER(INDEX(Frozen_Predictions!$Y$4:$Y$203,MATCH(A31,Frozen_Predictions!$A$4:$A$203,0))),INDEX(Frozen_Predictions!$Y$4:$Y$203,MATCH(A31,Frozen_Predictions!$A$4:$A$203,0))&gt;1),IF(J31=1,INDEX(Frozen_Predictions!$Y$4:$Y$203,MATCH(A31,Frozen_Predictions!$A$4:$A$203,0))-1,-1),""))</x:f>
      </x:c>
      <x:c r="L31" s="175"/>
      <x:c r="M31" s="175"/>
      <x:c r="N31" s="172" t="str">
        <x:f>IFERROR(IF(AND(ISNUMBER(L31),ISNUMBER(M31),L31&gt;=0,M31&gt;=0,INT(L31)=L31,INT(M31)=M31),L31+M31,""),"")</x:f>
      </x:c>
      <x:c r="O31" s="172" t="str">
        <x:f>IF(X31&lt;&gt;"SETTLED","",IF(J31=1,"WIN",IF(N31=IF(G31="U3.5",4,IF(G31="U4.5",5,6)),"NEAR TAIL","SEVERE TAIL")))</x:f>
      </x:c>
      <x:c r="P31" s="175"/>
      <x:c r="Q31" s="177"/>
      <x:c r="R31" s="213" t="str">
        <x:f>IF(X31&lt;&gt;"SETTLED","",(I31-J31)^2)</x:f>
      </x:c>
      <x:c r="S31" s="213" t="str">
        <x:f>IF(X31&lt;&gt;"SETTLED","",-(J31*LN(MAX(0.000001,MIN(0.999999,I31)))+(1-J31)*LN(MAX(0.000001,MIN(0.999999,1-I31)))))</x:f>
      </x:c>
      <x:c r="T31" s="172" t="str">
        <x:f>IF(A31="","",IFERROR(INDEX(Frozen_Predictions!$N$4:$N$203,MATCH(A31,Frozen_Predictions!$A$4:$A$203,0)),""))</x:f>
      </x:c>
      <x:c r="U31" s="172" t="str">
        <x:f>IF(A31="","",IFERROR(INDEX(Frozen_Predictions!$O$4:$O$203,MATCH(A31,Frozen_Predictions!$A$4:$A$203,0)),""))</x:f>
      </x:c>
      <x:c r="V31" s="172" t="str">
        <x:f>IF(A31="","",IFERROR(INDEX(Frozen_Predictions!$M$4:$M$203,MATCH(A31,Frozen_Predictions!$A$4:$A$203,0)),""))</x:f>
      </x:c>
      <x:c r="W31" s="175"/>
      <x:c r="X31" s="172" t="str">
        <x:f>IF(A31="","",IF(NOT(COUNTIFS(Frozen_Predictions!$A$4:$A$203,A31)=1),"SNAPSHOT ID INVALID",IFERROR(IF(NOT(AND(INDEX(Frozen_Predictions!$Q$4:$Q$203,MATCH(A31,Frozen_Predictions!$A$4:$A$203,0))="DA",ISNUMBER(INDEX(Frozen_Predictions!$B$4:$B$203,MATCH(A31,Frozen_Predictions!$A$4:$A$203,0))),ISNUMBER(INDEX(Frozen_Predictions!$C$4:$C$203,MATCH(A31,Frozen_Predictions!$A$4:$A$203,0))),INDEX(Frozen_Predictions!$B$4:$B$203,MATCH(A31,Frozen_Predictions!$A$4:$A$203,0))&lt;INDEX(Frozen_Predictions!$C$4:$C$203,MATCH(A31,Frozen_Predictions!$A$4:$A$203,0)),INDEX(Frozen_Predictions!$V$4:$V$203,MATCH(A31,Frozen_Predictions!$A$4:$A$203,0))="READY",INDEX(Frozen_Predictions!$O$4:$O$203,MATCH(A31,Frozen_Predictions!$A$4:$A$203,0))="PASS",INDEX(Frozen_Predictions!$J$4:$J$203,MATCH(A31,Frozen_Predictions!$A$4:$A$203,0))=Under_LineCal_v9!$B$45,COUNTIFS(Frozen_Predictions!$A$4:$A$203,A31,Frozen_Predictions!$L$4:$L$203,"&lt;&gt;",Frozen_Predictions!$L$4:$L$203,"&gt;=0",Frozen_Predictions!$L$4:$L$203,"&lt;=1")=1,COUNTIFS($A$4:$A$203,A31)=1)),"SNAPSHOT NOT VALID",IF(AND(ISNUMBER(I31),I31&gt;=0,I31&lt;=1,ISNUMBER(N31),P31&lt;&gt;"",ISNUMBER(Q31),Q31&gt;=B31,OR(G31="U3.5",G31="U4.5",G31="U5.5")),"SETTLED","PENDING RESULT")),"SNAPSHOT NOT VALID")))</x:f>
      </x:c>
    </x:row>
    <x:row r="32" ht="23" customHeight="1">
      <x:c r="A32" s="175"/>
      <x:c r="B32" s="200" t="str">
        <x:f>IF(A32="","",IFERROR(INDEX(Frozen_Predictions!$C$4:$C$203,MATCH(A32,Frozen_Predictions!$A$4:$A$203,0)),""))</x:f>
      </x:c>
      <x:c r="C32" s="172" t="str">
        <x:f>IF(A32="","",IFERROR(INDEX(Frozen_Predictions!$E$4:$E$203,MATCH(A32,Frozen_Predictions!$A$4:$A$203,0)),""))</x:f>
      </x:c>
      <x:c r="D32" s="172" t="str">
        <x:f>IF(A32="","",IFERROR(INDEX(Frozen_Predictions!$F$4:$F$203,MATCH(A32,Frozen_Predictions!$A$4:$A$203,0)),""))</x:f>
      </x:c>
      <x:c r="E32" s="172" t="str">
        <x:f>IF(A32="","",IFERROR(INDEX(Frozen_Predictions!$G$4:$G$203,MATCH(A32,Frozen_Predictions!$A$4:$A$203,0)),""))</x:f>
      </x:c>
      <x:c r="F32" s="172" t="str">
        <x:f>IF(A32="","",IFERROR(INDEX(Frozen_Predictions!$H$4:$H$203,MATCH(A32,Frozen_Predictions!$A$4:$A$203,0)),""))</x:f>
      </x:c>
      <x:c r="G32" s="172" t="str">
        <x:f>IF(A32="","",IFERROR(INDEX(Frozen_Predictions!$I$4:$I$203,MATCH(A32,Frozen_Predictions!$A$4:$A$203,0)),""))</x:f>
      </x:c>
      <x:c r="H32" s="172" t="str">
        <x:f>IF(A32="","",IFERROR(INDEX(Frozen_Predictions!$J$4:$J$203,MATCH(A32,Frozen_Predictions!$A$4:$A$203,0)),""))</x:f>
      </x:c>
      <x:c r="I32" s="192" t="str">
        <x:f>IF(A32="","",IFERROR(INDEX(Frozen_Predictions!$L$4:$L$203,MATCH(A32,Frozen_Predictions!$A$4:$A$203,0)),""))</x:f>
      </x:c>
      <x:c r="J32" s="172" t="str">
        <x:f>IF(X32&lt;&gt;"SETTLED","",IF(N32&lt;=IF(G32="U3.5",3,IF(G32="U4.5",4,5)),1,0))</x:f>
      </x:c>
      <x:c r="K32" s="195" t="str">
        <x:f>IF(X32&lt;&gt;"SETTLED","",IF(AND(OR(V32="DEFENSIV",V32="PRUDENT",V32="MODERAT",V32="RIDICAT"),ISNUMBER(INDEX(Frozen_Predictions!$Y$4:$Y$203,MATCH(A32,Frozen_Predictions!$A$4:$A$203,0))),INDEX(Frozen_Predictions!$Y$4:$Y$203,MATCH(A32,Frozen_Predictions!$A$4:$A$203,0))&gt;1),IF(J32=1,INDEX(Frozen_Predictions!$Y$4:$Y$203,MATCH(A32,Frozen_Predictions!$A$4:$A$203,0))-1,-1),""))</x:f>
      </x:c>
      <x:c r="L32" s="175"/>
      <x:c r="M32" s="175"/>
      <x:c r="N32" s="172" t="str">
        <x:f>IFERROR(IF(AND(ISNUMBER(L32),ISNUMBER(M32),L32&gt;=0,M32&gt;=0,INT(L32)=L32,INT(M32)=M32),L32+M32,""),"")</x:f>
      </x:c>
      <x:c r="O32" s="172" t="str">
        <x:f>IF(X32&lt;&gt;"SETTLED","",IF(J32=1,"WIN",IF(N32=IF(G32="U3.5",4,IF(G32="U4.5",5,6)),"NEAR TAIL","SEVERE TAIL")))</x:f>
      </x:c>
      <x:c r="P32" s="175"/>
      <x:c r="Q32" s="177"/>
      <x:c r="R32" s="213" t="str">
        <x:f>IF(X32&lt;&gt;"SETTLED","",(I32-J32)^2)</x:f>
      </x:c>
      <x:c r="S32" s="213" t="str">
        <x:f>IF(X32&lt;&gt;"SETTLED","",-(J32*LN(MAX(0.000001,MIN(0.999999,I32)))+(1-J32)*LN(MAX(0.000001,MIN(0.999999,1-I32)))))</x:f>
      </x:c>
      <x:c r="T32" s="172" t="str">
        <x:f>IF(A32="","",IFERROR(INDEX(Frozen_Predictions!$N$4:$N$203,MATCH(A32,Frozen_Predictions!$A$4:$A$203,0)),""))</x:f>
      </x:c>
      <x:c r="U32" s="172" t="str">
        <x:f>IF(A32="","",IFERROR(INDEX(Frozen_Predictions!$O$4:$O$203,MATCH(A32,Frozen_Predictions!$A$4:$A$203,0)),""))</x:f>
      </x:c>
      <x:c r="V32" s="172" t="str">
        <x:f>IF(A32="","",IFERROR(INDEX(Frozen_Predictions!$M$4:$M$203,MATCH(A32,Frozen_Predictions!$A$4:$A$203,0)),""))</x:f>
      </x:c>
      <x:c r="W32" s="175"/>
      <x:c r="X32" s="172" t="str">
        <x:f>IF(A32="","",IF(NOT(COUNTIFS(Frozen_Predictions!$A$4:$A$203,A32)=1),"SNAPSHOT ID INVALID",IFERROR(IF(NOT(AND(INDEX(Frozen_Predictions!$Q$4:$Q$203,MATCH(A32,Frozen_Predictions!$A$4:$A$203,0))="DA",ISNUMBER(INDEX(Frozen_Predictions!$B$4:$B$203,MATCH(A32,Frozen_Predictions!$A$4:$A$203,0))),ISNUMBER(INDEX(Frozen_Predictions!$C$4:$C$203,MATCH(A32,Frozen_Predictions!$A$4:$A$203,0))),INDEX(Frozen_Predictions!$B$4:$B$203,MATCH(A32,Frozen_Predictions!$A$4:$A$203,0))&lt;INDEX(Frozen_Predictions!$C$4:$C$203,MATCH(A32,Frozen_Predictions!$A$4:$A$203,0)),INDEX(Frozen_Predictions!$V$4:$V$203,MATCH(A32,Frozen_Predictions!$A$4:$A$203,0))="READY",INDEX(Frozen_Predictions!$O$4:$O$203,MATCH(A32,Frozen_Predictions!$A$4:$A$203,0))="PASS",INDEX(Frozen_Predictions!$J$4:$J$203,MATCH(A32,Frozen_Predictions!$A$4:$A$203,0))=Under_LineCal_v9!$B$45,COUNTIFS(Frozen_Predictions!$A$4:$A$203,A32,Frozen_Predictions!$L$4:$L$203,"&lt;&gt;",Frozen_Predictions!$L$4:$L$203,"&gt;=0",Frozen_Predictions!$L$4:$L$203,"&lt;=1")=1,COUNTIFS($A$4:$A$203,A32)=1)),"SNAPSHOT NOT VALID",IF(AND(ISNUMBER(I32),I32&gt;=0,I32&lt;=1,ISNUMBER(N32),P32&lt;&gt;"",ISNUMBER(Q32),Q32&gt;=B32,OR(G32="U3.5",G32="U4.5",G32="U5.5")),"SETTLED","PENDING RESULT")),"SNAPSHOT NOT VALID")))</x:f>
      </x:c>
    </x:row>
    <x:row r="33" ht="23" customHeight="1">
      <x:c r="A33" s="175"/>
      <x:c r="B33" s="200" t="str">
        <x:f>IF(A33="","",IFERROR(INDEX(Frozen_Predictions!$C$4:$C$203,MATCH(A33,Frozen_Predictions!$A$4:$A$203,0)),""))</x:f>
      </x:c>
      <x:c r="C33" s="172" t="str">
        <x:f>IF(A33="","",IFERROR(INDEX(Frozen_Predictions!$E$4:$E$203,MATCH(A33,Frozen_Predictions!$A$4:$A$203,0)),""))</x:f>
      </x:c>
      <x:c r="D33" s="172" t="str">
        <x:f>IF(A33="","",IFERROR(INDEX(Frozen_Predictions!$F$4:$F$203,MATCH(A33,Frozen_Predictions!$A$4:$A$203,0)),""))</x:f>
      </x:c>
      <x:c r="E33" s="172" t="str">
        <x:f>IF(A33="","",IFERROR(INDEX(Frozen_Predictions!$G$4:$G$203,MATCH(A33,Frozen_Predictions!$A$4:$A$203,0)),""))</x:f>
      </x:c>
      <x:c r="F33" s="172" t="str">
        <x:f>IF(A33="","",IFERROR(INDEX(Frozen_Predictions!$H$4:$H$203,MATCH(A33,Frozen_Predictions!$A$4:$A$203,0)),""))</x:f>
      </x:c>
      <x:c r="G33" s="172" t="str">
        <x:f>IF(A33="","",IFERROR(INDEX(Frozen_Predictions!$I$4:$I$203,MATCH(A33,Frozen_Predictions!$A$4:$A$203,0)),""))</x:f>
      </x:c>
      <x:c r="H33" s="172" t="str">
        <x:f>IF(A33="","",IFERROR(INDEX(Frozen_Predictions!$J$4:$J$203,MATCH(A33,Frozen_Predictions!$A$4:$A$203,0)),""))</x:f>
      </x:c>
      <x:c r="I33" s="192" t="str">
        <x:f>IF(A33="","",IFERROR(INDEX(Frozen_Predictions!$L$4:$L$203,MATCH(A33,Frozen_Predictions!$A$4:$A$203,0)),""))</x:f>
      </x:c>
      <x:c r="J33" s="172" t="str">
        <x:f>IF(X33&lt;&gt;"SETTLED","",IF(N33&lt;=IF(G33="U3.5",3,IF(G33="U4.5",4,5)),1,0))</x:f>
      </x:c>
      <x:c r="K33" s="195" t="str">
        <x:f>IF(X33&lt;&gt;"SETTLED","",IF(AND(OR(V33="DEFENSIV",V33="PRUDENT",V33="MODERAT",V33="RIDICAT"),ISNUMBER(INDEX(Frozen_Predictions!$Y$4:$Y$203,MATCH(A33,Frozen_Predictions!$A$4:$A$203,0))),INDEX(Frozen_Predictions!$Y$4:$Y$203,MATCH(A33,Frozen_Predictions!$A$4:$A$203,0))&gt;1),IF(J33=1,INDEX(Frozen_Predictions!$Y$4:$Y$203,MATCH(A33,Frozen_Predictions!$A$4:$A$203,0))-1,-1),""))</x:f>
      </x:c>
      <x:c r="L33" s="175"/>
      <x:c r="M33" s="175"/>
      <x:c r="N33" s="172" t="str">
        <x:f>IFERROR(IF(AND(ISNUMBER(L33),ISNUMBER(M33),L33&gt;=0,M33&gt;=0,INT(L33)=L33,INT(M33)=M33),L33+M33,""),"")</x:f>
      </x:c>
      <x:c r="O33" s="172" t="str">
        <x:f>IF(X33&lt;&gt;"SETTLED","",IF(J33=1,"WIN",IF(N33=IF(G33="U3.5",4,IF(G33="U4.5",5,6)),"NEAR TAIL","SEVERE TAIL")))</x:f>
      </x:c>
      <x:c r="P33" s="175"/>
      <x:c r="Q33" s="177"/>
      <x:c r="R33" s="213" t="str">
        <x:f>IF(X33&lt;&gt;"SETTLED","",(I33-J33)^2)</x:f>
      </x:c>
      <x:c r="S33" s="213" t="str">
        <x:f>IF(X33&lt;&gt;"SETTLED","",-(J33*LN(MAX(0.000001,MIN(0.999999,I33)))+(1-J33)*LN(MAX(0.000001,MIN(0.999999,1-I33)))))</x:f>
      </x:c>
      <x:c r="T33" s="172" t="str">
        <x:f>IF(A33="","",IFERROR(INDEX(Frozen_Predictions!$N$4:$N$203,MATCH(A33,Frozen_Predictions!$A$4:$A$203,0)),""))</x:f>
      </x:c>
      <x:c r="U33" s="172" t="str">
        <x:f>IF(A33="","",IFERROR(INDEX(Frozen_Predictions!$O$4:$O$203,MATCH(A33,Frozen_Predictions!$A$4:$A$203,0)),""))</x:f>
      </x:c>
      <x:c r="V33" s="172" t="str">
        <x:f>IF(A33="","",IFERROR(INDEX(Frozen_Predictions!$M$4:$M$203,MATCH(A33,Frozen_Predictions!$A$4:$A$203,0)),""))</x:f>
      </x:c>
      <x:c r="W33" s="175"/>
      <x:c r="X33" s="172" t="str">
        <x:f>IF(A33="","",IF(NOT(COUNTIFS(Frozen_Predictions!$A$4:$A$203,A33)=1),"SNAPSHOT ID INVALID",IFERROR(IF(NOT(AND(INDEX(Frozen_Predictions!$Q$4:$Q$203,MATCH(A33,Frozen_Predictions!$A$4:$A$203,0))="DA",ISNUMBER(INDEX(Frozen_Predictions!$B$4:$B$203,MATCH(A33,Frozen_Predictions!$A$4:$A$203,0))),ISNUMBER(INDEX(Frozen_Predictions!$C$4:$C$203,MATCH(A33,Frozen_Predictions!$A$4:$A$203,0))),INDEX(Frozen_Predictions!$B$4:$B$203,MATCH(A33,Frozen_Predictions!$A$4:$A$203,0))&lt;INDEX(Frozen_Predictions!$C$4:$C$203,MATCH(A33,Frozen_Predictions!$A$4:$A$203,0)),INDEX(Frozen_Predictions!$V$4:$V$203,MATCH(A33,Frozen_Predictions!$A$4:$A$203,0))="READY",INDEX(Frozen_Predictions!$O$4:$O$203,MATCH(A33,Frozen_Predictions!$A$4:$A$203,0))="PASS",INDEX(Frozen_Predictions!$J$4:$J$203,MATCH(A33,Frozen_Predictions!$A$4:$A$203,0))=Under_LineCal_v9!$B$45,COUNTIFS(Frozen_Predictions!$A$4:$A$203,A33,Frozen_Predictions!$L$4:$L$203,"&lt;&gt;",Frozen_Predictions!$L$4:$L$203,"&gt;=0",Frozen_Predictions!$L$4:$L$203,"&lt;=1")=1,COUNTIFS($A$4:$A$203,A33)=1)),"SNAPSHOT NOT VALID",IF(AND(ISNUMBER(I33),I33&gt;=0,I33&lt;=1,ISNUMBER(N33),P33&lt;&gt;"",ISNUMBER(Q33),Q33&gt;=B33,OR(G33="U3.5",G33="U4.5",G33="U5.5")),"SETTLED","PENDING RESULT")),"SNAPSHOT NOT VALID")))</x:f>
      </x:c>
    </x:row>
    <x:row r="34" ht="23" customHeight="1">
      <x:c r="A34" s="175"/>
      <x:c r="B34" s="200" t="str">
        <x:f>IF(A34="","",IFERROR(INDEX(Frozen_Predictions!$C$4:$C$203,MATCH(A34,Frozen_Predictions!$A$4:$A$203,0)),""))</x:f>
      </x:c>
      <x:c r="C34" s="172" t="str">
        <x:f>IF(A34="","",IFERROR(INDEX(Frozen_Predictions!$E$4:$E$203,MATCH(A34,Frozen_Predictions!$A$4:$A$203,0)),""))</x:f>
      </x:c>
      <x:c r="D34" s="172" t="str">
        <x:f>IF(A34="","",IFERROR(INDEX(Frozen_Predictions!$F$4:$F$203,MATCH(A34,Frozen_Predictions!$A$4:$A$203,0)),""))</x:f>
      </x:c>
      <x:c r="E34" s="172" t="str">
        <x:f>IF(A34="","",IFERROR(INDEX(Frozen_Predictions!$G$4:$G$203,MATCH(A34,Frozen_Predictions!$A$4:$A$203,0)),""))</x:f>
      </x:c>
      <x:c r="F34" s="172" t="str">
        <x:f>IF(A34="","",IFERROR(INDEX(Frozen_Predictions!$H$4:$H$203,MATCH(A34,Frozen_Predictions!$A$4:$A$203,0)),""))</x:f>
      </x:c>
      <x:c r="G34" s="172" t="str">
        <x:f>IF(A34="","",IFERROR(INDEX(Frozen_Predictions!$I$4:$I$203,MATCH(A34,Frozen_Predictions!$A$4:$A$203,0)),""))</x:f>
      </x:c>
      <x:c r="H34" s="172" t="str">
        <x:f>IF(A34="","",IFERROR(INDEX(Frozen_Predictions!$J$4:$J$203,MATCH(A34,Frozen_Predictions!$A$4:$A$203,0)),""))</x:f>
      </x:c>
      <x:c r="I34" s="192" t="str">
        <x:f>IF(A34="","",IFERROR(INDEX(Frozen_Predictions!$L$4:$L$203,MATCH(A34,Frozen_Predictions!$A$4:$A$203,0)),""))</x:f>
      </x:c>
      <x:c r="J34" s="172" t="str">
        <x:f>IF(X34&lt;&gt;"SETTLED","",IF(N34&lt;=IF(G34="U3.5",3,IF(G34="U4.5",4,5)),1,0))</x:f>
      </x:c>
      <x:c r="K34" s="195" t="str">
        <x:f>IF(X34&lt;&gt;"SETTLED","",IF(AND(OR(V34="DEFENSIV",V34="PRUDENT",V34="MODERAT",V34="RIDICAT"),ISNUMBER(INDEX(Frozen_Predictions!$Y$4:$Y$203,MATCH(A34,Frozen_Predictions!$A$4:$A$203,0))),INDEX(Frozen_Predictions!$Y$4:$Y$203,MATCH(A34,Frozen_Predictions!$A$4:$A$203,0))&gt;1),IF(J34=1,INDEX(Frozen_Predictions!$Y$4:$Y$203,MATCH(A34,Frozen_Predictions!$A$4:$A$203,0))-1,-1),""))</x:f>
      </x:c>
      <x:c r="L34" s="175"/>
      <x:c r="M34" s="175"/>
      <x:c r="N34" s="172" t="str">
        <x:f>IFERROR(IF(AND(ISNUMBER(L34),ISNUMBER(M34),L34&gt;=0,M34&gt;=0,INT(L34)=L34,INT(M34)=M34),L34+M34,""),"")</x:f>
      </x:c>
      <x:c r="O34" s="172" t="str">
        <x:f>IF(X34&lt;&gt;"SETTLED","",IF(J34=1,"WIN",IF(N34=IF(G34="U3.5",4,IF(G34="U4.5",5,6)),"NEAR TAIL","SEVERE TAIL")))</x:f>
      </x:c>
      <x:c r="P34" s="175"/>
      <x:c r="Q34" s="177"/>
      <x:c r="R34" s="213" t="str">
        <x:f>IF(X34&lt;&gt;"SETTLED","",(I34-J34)^2)</x:f>
      </x:c>
      <x:c r="S34" s="213" t="str">
        <x:f>IF(X34&lt;&gt;"SETTLED","",-(J34*LN(MAX(0.000001,MIN(0.999999,I34)))+(1-J34)*LN(MAX(0.000001,MIN(0.999999,1-I34)))))</x:f>
      </x:c>
      <x:c r="T34" s="172" t="str">
        <x:f>IF(A34="","",IFERROR(INDEX(Frozen_Predictions!$N$4:$N$203,MATCH(A34,Frozen_Predictions!$A$4:$A$203,0)),""))</x:f>
      </x:c>
      <x:c r="U34" s="172" t="str">
        <x:f>IF(A34="","",IFERROR(INDEX(Frozen_Predictions!$O$4:$O$203,MATCH(A34,Frozen_Predictions!$A$4:$A$203,0)),""))</x:f>
      </x:c>
      <x:c r="V34" s="172" t="str">
        <x:f>IF(A34="","",IFERROR(INDEX(Frozen_Predictions!$M$4:$M$203,MATCH(A34,Frozen_Predictions!$A$4:$A$203,0)),""))</x:f>
      </x:c>
      <x:c r="W34" s="175"/>
      <x:c r="X34" s="172" t="str">
        <x:f>IF(A34="","",IF(NOT(COUNTIFS(Frozen_Predictions!$A$4:$A$203,A34)=1),"SNAPSHOT ID INVALID",IFERROR(IF(NOT(AND(INDEX(Frozen_Predictions!$Q$4:$Q$203,MATCH(A34,Frozen_Predictions!$A$4:$A$203,0))="DA",ISNUMBER(INDEX(Frozen_Predictions!$B$4:$B$203,MATCH(A34,Frozen_Predictions!$A$4:$A$203,0))),ISNUMBER(INDEX(Frozen_Predictions!$C$4:$C$203,MATCH(A34,Frozen_Predictions!$A$4:$A$203,0))),INDEX(Frozen_Predictions!$B$4:$B$203,MATCH(A34,Frozen_Predictions!$A$4:$A$203,0))&lt;INDEX(Frozen_Predictions!$C$4:$C$203,MATCH(A34,Frozen_Predictions!$A$4:$A$203,0)),INDEX(Frozen_Predictions!$V$4:$V$203,MATCH(A34,Frozen_Predictions!$A$4:$A$203,0))="READY",INDEX(Frozen_Predictions!$O$4:$O$203,MATCH(A34,Frozen_Predictions!$A$4:$A$203,0))="PASS",INDEX(Frozen_Predictions!$J$4:$J$203,MATCH(A34,Frozen_Predictions!$A$4:$A$203,0))=Under_LineCal_v9!$B$45,COUNTIFS(Frozen_Predictions!$A$4:$A$203,A34,Frozen_Predictions!$L$4:$L$203,"&lt;&gt;",Frozen_Predictions!$L$4:$L$203,"&gt;=0",Frozen_Predictions!$L$4:$L$203,"&lt;=1")=1,COUNTIFS($A$4:$A$203,A34)=1)),"SNAPSHOT NOT VALID",IF(AND(ISNUMBER(I34),I34&gt;=0,I34&lt;=1,ISNUMBER(N34),P34&lt;&gt;"",ISNUMBER(Q34),Q34&gt;=B34,OR(G34="U3.5",G34="U4.5",G34="U5.5")),"SETTLED","PENDING RESULT")),"SNAPSHOT NOT VALID")))</x:f>
      </x:c>
    </x:row>
    <x:row r="35" ht="23" customHeight="1">
      <x:c r="A35" s="175"/>
      <x:c r="B35" s="200" t="str">
        <x:f>IF(A35="","",IFERROR(INDEX(Frozen_Predictions!$C$4:$C$203,MATCH(A35,Frozen_Predictions!$A$4:$A$203,0)),""))</x:f>
      </x:c>
      <x:c r="C35" s="172" t="str">
        <x:f>IF(A35="","",IFERROR(INDEX(Frozen_Predictions!$E$4:$E$203,MATCH(A35,Frozen_Predictions!$A$4:$A$203,0)),""))</x:f>
      </x:c>
      <x:c r="D35" s="172" t="str">
        <x:f>IF(A35="","",IFERROR(INDEX(Frozen_Predictions!$F$4:$F$203,MATCH(A35,Frozen_Predictions!$A$4:$A$203,0)),""))</x:f>
      </x:c>
      <x:c r="E35" s="172" t="str">
        <x:f>IF(A35="","",IFERROR(INDEX(Frozen_Predictions!$G$4:$G$203,MATCH(A35,Frozen_Predictions!$A$4:$A$203,0)),""))</x:f>
      </x:c>
      <x:c r="F35" s="172" t="str">
        <x:f>IF(A35="","",IFERROR(INDEX(Frozen_Predictions!$H$4:$H$203,MATCH(A35,Frozen_Predictions!$A$4:$A$203,0)),""))</x:f>
      </x:c>
      <x:c r="G35" s="172" t="str">
        <x:f>IF(A35="","",IFERROR(INDEX(Frozen_Predictions!$I$4:$I$203,MATCH(A35,Frozen_Predictions!$A$4:$A$203,0)),""))</x:f>
      </x:c>
      <x:c r="H35" s="172" t="str">
        <x:f>IF(A35="","",IFERROR(INDEX(Frozen_Predictions!$J$4:$J$203,MATCH(A35,Frozen_Predictions!$A$4:$A$203,0)),""))</x:f>
      </x:c>
      <x:c r="I35" s="192" t="str">
        <x:f>IF(A35="","",IFERROR(INDEX(Frozen_Predictions!$L$4:$L$203,MATCH(A35,Frozen_Predictions!$A$4:$A$203,0)),""))</x:f>
      </x:c>
      <x:c r="J35" s="172" t="str">
        <x:f>IF(X35&lt;&gt;"SETTLED","",IF(N35&lt;=IF(G35="U3.5",3,IF(G35="U4.5",4,5)),1,0))</x:f>
      </x:c>
      <x:c r="K35" s="195" t="str">
        <x:f>IF(X35&lt;&gt;"SETTLED","",IF(AND(OR(V35="DEFENSIV",V35="PRUDENT",V35="MODERAT",V35="RIDICAT"),ISNUMBER(INDEX(Frozen_Predictions!$Y$4:$Y$203,MATCH(A35,Frozen_Predictions!$A$4:$A$203,0))),INDEX(Frozen_Predictions!$Y$4:$Y$203,MATCH(A35,Frozen_Predictions!$A$4:$A$203,0))&gt;1),IF(J35=1,INDEX(Frozen_Predictions!$Y$4:$Y$203,MATCH(A35,Frozen_Predictions!$A$4:$A$203,0))-1,-1),""))</x:f>
      </x:c>
      <x:c r="L35" s="175"/>
      <x:c r="M35" s="175"/>
      <x:c r="N35" s="172" t="str">
        <x:f>IFERROR(IF(AND(ISNUMBER(L35),ISNUMBER(M35),L35&gt;=0,M35&gt;=0,INT(L35)=L35,INT(M35)=M35),L35+M35,""),"")</x:f>
      </x:c>
      <x:c r="O35" s="172" t="str">
        <x:f>IF(X35&lt;&gt;"SETTLED","",IF(J35=1,"WIN",IF(N35=IF(G35="U3.5",4,IF(G35="U4.5",5,6)),"NEAR TAIL","SEVERE TAIL")))</x:f>
      </x:c>
      <x:c r="P35" s="175"/>
      <x:c r="Q35" s="177"/>
      <x:c r="R35" s="213" t="str">
        <x:f>IF(X35&lt;&gt;"SETTLED","",(I35-J35)^2)</x:f>
      </x:c>
      <x:c r="S35" s="213" t="str">
        <x:f>IF(X35&lt;&gt;"SETTLED","",-(J35*LN(MAX(0.000001,MIN(0.999999,I35)))+(1-J35)*LN(MAX(0.000001,MIN(0.999999,1-I35)))))</x:f>
      </x:c>
      <x:c r="T35" s="172" t="str">
        <x:f>IF(A35="","",IFERROR(INDEX(Frozen_Predictions!$N$4:$N$203,MATCH(A35,Frozen_Predictions!$A$4:$A$203,0)),""))</x:f>
      </x:c>
      <x:c r="U35" s="172" t="str">
        <x:f>IF(A35="","",IFERROR(INDEX(Frozen_Predictions!$O$4:$O$203,MATCH(A35,Frozen_Predictions!$A$4:$A$203,0)),""))</x:f>
      </x:c>
      <x:c r="V35" s="172" t="str">
        <x:f>IF(A35="","",IFERROR(INDEX(Frozen_Predictions!$M$4:$M$203,MATCH(A35,Frozen_Predictions!$A$4:$A$203,0)),""))</x:f>
      </x:c>
      <x:c r="W35" s="175"/>
      <x:c r="X35" s="172" t="str">
        <x:f>IF(A35="","",IF(NOT(COUNTIFS(Frozen_Predictions!$A$4:$A$203,A35)=1),"SNAPSHOT ID INVALID",IFERROR(IF(NOT(AND(INDEX(Frozen_Predictions!$Q$4:$Q$203,MATCH(A35,Frozen_Predictions!$A$4:$A$203,0))="DA",ISNUMBER(INDEX(Frozen_Predictions!$B$4:$B$203,MATCH(A35,Frozen_Predictions!$A$4:$A$203,0))),ISNUMBER(INDEX(Frozen_Predictions!$C$4:$C$203,MATCH(A35,Frozen_Predictions!$A$4:$A$203,0))),INDEX(Frozen_Predictions!$B$4:$B$203,MATCH(A35,Frozen_Predictions!$A$4:$A$203,0))&lt;INDEX(Frozen_Predictions!$C$4:$C$203,MATCH(A35,Frozen_Predictions!$A$4:$A$203,0)),INDEX(Frozen_Predictions!$V$4:$V$203,MATCH(A35,Frozen_Predictions!$A$4:$A$203,0))="READY",INDEX(Frozen_Predictions!$O$4:$O$203,MATCH(A35,Frozen_Predictions!$A$4:$A$203,0))="PASS",INDEX(Frozen_Predictions!$J$4:$J$203,MATCH(A35,Frozen_Predictions!$A$4:$A$203,0))=Under_LineCal_v9!$B$45,COUNTIFS(Frozen_Predictions!$A$4:$A$203,A35,Frozen_Predictions!$L$4:$L$203,"&lt;&gt;",Frozen_Predictions!$L$4:$L$203,"&gt;=0",Frozen_Predictions!$L$4:$L$203,"&lt;=1")=1,COUNTIFS($A$4:$A$203,A35)=1)),"SNAPSHOT NOT VALID",IF(AND(ISNUMBER(I35),I35&gt;=0,I35&lt;=1,ISNUMBER(N35),P35&lt;&gt;"",ISNUMBER(Q35),Q35&gt;=B35,OR(G35="U3.5",G35="U4.5",G35="U5.5")),"SETTLED","PENDING RESULT")),"SNAPSHOT NOT VALID")))</x:f>
      </x:c>
    </x:row>
    <x:row r="36" ht="23" customHeight="1">
      <x:c r="A36" s="175"/>
      <x:c r="B36" s="200" t="str">
        <x:f>IF(A36="","",IFERROR(INDEX(Frozen_Predictions!$C$4:$C$203,MATCH(A36,Frozen_Predictions!$A$4:$A$203,0)),""))</x:f>
      </x:c>
      <x:c r="C36" s="172" t="str">
        <x:f>IF(A36="","",IFERROR(INDEX(Frozen_Predictions!$E$4:$E$203,MATCH(A36,Frozen_Predictions!$A$4:$A$203,0)),""))</x:f>
      </x:c>
      <x:c r="D36" s="172" t="str">
        <x:f>IF(A36="","",IFERROR(INDEX(Frozen_Predictions!$F$4:$F$203,MATCH(A36,Frozen_Predictions!$A$4:$A$203,0)),""))</x:f>
      </x:c>
      <x:c r="E36" s="172" t="str">
        <x:f>IF(A36="","",IFERROR(INDEX(Frozen_Predictions!$G$4:$G$203,MATCH(A36,Frozen_Predictions!$A$4:$A$203,0)),""))</x:f>
      </x:c>
      <x:c r="F36" s="172" t="str">
        <x:f>IF(A36="","",IFERROR(INDEX(Frozen_Predictions!$H$4:$H$203,MATCH(A36,Frozen_Predictions!$A$4:$A$203,0)),""))</x:f>
      </x:c>
      <x:c r="G36" s="172" t="str">
        <x:f>IF(A36="","",IFERROR(INDEX(Frozen_Predictions!$I$4:$I$203,MATCH(A36,Frozen_Predictions!$A$4:$A$203,0)),""))</x:f>
      </x:c>
      <x:c r="H36" s="172" t="str">
        <x:f>IF(A36="","",IFERROR(INDEX(Frozen_Predictions!$J$4:$J$203,MATCH(A36,Frozen_Predictions!$A$4:$A$203,0)),""))</x:f>
      </x:c>
      <x:c r="I36" s="192" t="str">
        <x:f>IF(A36="","",IFERROR(INDEX(Frozen_Predictions!$L$4:$L$203,MATCH(A36,Frozen_Predictions!$A$4:$A$203,0)),""))</x:f>
      </x:c>
      <x:c r="J36" s="172" t="str">
        <x:f>IF(X36&lt;&gt;"SETTLED","",IF(N36&lt;=IF(G36="U3.5",3,IF(G36="U4.5",4,5)),1,0))</x:f>
      </x:c>
      <x:c r="K36" s="195" t="str">
        <x:f>IF(X36&lt;&gt;"SETTLED","",IF(AND(OR(V36="DEFENSIV",V36="PRUDENT",V36="MODERAT",V36="RIDICAT"),ISNUMBER(INDEX(Frozen_Predictions!$Y$4:$Y$203,MATCH(A36,Frozen_Predictions!$A$4:$A$203,0))),INDEX(Frozen_Predictions!$Y$4:$Y$203,MATCH(A36,Frozen_Predictions!$A$4:$A$203,0))&gt;1),IF(J36=1,INDEX(Frozen_Predictions!$Y$4:$Y$203,MATCH(A36,Frozen_Predictions!$A$4:$A$203,0))-1,-1),""))</x:f>
      </x:c>
      <x:c r="L36" s="175"/>
      <x:c r="M36" s="175"/>
      <x:c r="N36" s="172" t="str">
        <x:f>IFERROR(IF(AND(ISNUMBER(L36),ISNUMBER(M36),L36&gt;=0,M36&gt;=0,INT(L36)=L36,INT(M36)=M36),L36+M36,""),"")</x:f>
      </x:c>
      <x:c r="O36" s="172" t="str">
        <x:f>IF(X36&lt;&gt;"SETTLED","",IF(J36=1,"WIN",IF(N36=IF(G36="U3.5",4,IF(G36="U4.5",5,6)),"NEAR TAIL","SEVERE TAIL")))</x:f>
      </x:c>
      <x:c r="P36" s="175"/>
      <x:c r="Q36" s="177"/>
      <x:c r="R36" s="213" t="str">
        <x:f>IF(X36&lt;&gt;"SETTLED","",(I36-J36)^2)</x:f>
      </x:c>
      <x:c r="S36" s="213" t="str">
        <x:f>IF(X36&lt;&gt;"SETTLED","",-(J36*LN(MAX(0.000001,MIN(0.999999,I36)))+(1-J36)*LN(MAX(0.000001,MIN(0.999999,1-I36)))))</x:f>
      </x:c>
      <x:c r="T36" s="172" t="str">
        <x:f>IF(A36="","",IFERROR(INDEX(Frozen_Predictions!$N$4:$N$203,MATCH(A36,Frozen_Predictions!$A$4:$A$203,0)),""))</x:f>
      </x:c>
      <x:c r="U36" s="172" t="str">
        <x:f>IF(A36="","",IFERROR(INDEX(Frozen_Predictions!$O$4:$O$203,MATCH(A36,Frozen_Predictions!$A$4:$A$203,0)),""))</x:f>
      </x:c>
      <x:c r="V36" s="172" t="str">
        <x:f>IF(A36="","",IFERROR(INDEX(Frozen_Predictions!$M$4:$M$203,MATCH(A36,Frozen_Predictions!$A$4:$A$203,0)),""))</x:f>
      </x:c>
      <x:c r="W36" s="175"/>
      <x:c r="X36" s="172" t="str">
        <x:f>IF(A36="","",IF(NOT(COUNTIFS(Frozen_Predictions!$A$4:$A$203,A36)=1),"SNAPSHOT ID INVALID",IFERROR(IF(NOT(AND(INDEX(Frozen_Predictions!$Q$4:$Q$203,MATCH(A36,Frozen_Predictions!$A$4:$A$203,0))="DA",ISNUMBER(INDEX(Frozen_Predictions!$B$4:$B$203,MATCH(A36,Frozen_Predictions!$A$4:$A$203,0))),ISNUMBER(INDEX(Frozen_Predictions!$C$4:$C$203,MATCH(A36,Frozen_Predictions!$A$4:$A$203,0))),INDEX(Frozen_Predictions!$B$4:$B$203,MATCH(A36,Frozen_Predictions!$A$4:$A$203,0))&lt;INDEX(Frozen_Predictions!$C$4:$C$203,MATCH(A36,Frozen_Predictions!$A$4:$A$203,0)),INDEX(Frozen_Predictions!$V$4:$V$203,MATCH(A36,Frozen_Predictions!$A$4:$A$203,0))="READY",INDEX(Frozen_Predictions!$O$4:$O$203,MATCH(A36,Frozen_Predictions!$A$4:$A$203,0))="PASS",INDEX(Frozen_Predictions!$J$4:$J$203,MATCH(A36,Frozen_Predictions!$A$4:$A$203,0))=Under_LineCal_v9!$B$45,COUNTIFS(Frozen_Predictions!$A$4:$A$203,A36,Frozen_Predictions!$L$4:$L$203,"&lt;&gt;",Frozen_Predictions!$L$4:$L$203,"&gt;=0",Frozen_Predictions!$L$4:$L$203,"&lt;=1")=1,COUNTIFS($A$4:$A$203,A36)=1)),"SNAPSHOT NOT VALID",IF(AND(ISNUMBER(I36),I36&gt;=0,I36&lt;=1,ISNUMBER(N36),P36&lt;&gt;"",ISNUMBER(Q36),Q36&gt;=B36,OR(G36="U3.5",G36="U4.5",G36="U5.5")),"SETTLED","PENDING RESULT")),"SNAPSHOT NOT VALID")))</x:f>
      </x:c>
    </x:row>
    <x:row r="37" ht="23" customHeight="1">
      <x:c r="A37" s="175"/>
      <x:c r="B37" s="200" t="str">
        <x:f>IF(A37="","",IFERROR(INDEX(Frozen_Predictions!$C$4:$C$203,MATCH(A37,Frozen_Predictions!$A$4:$A$203,0)),""))</x:f>
      </x:c>
      <x:c r="C37" s="172" t="str">
        <x:f>IF(A37="","",IFERROR(INDEX(Frozen_Predictions!$E$4:$E$203,MATCH(A37,Frozen_Predictions!$A$4:$A$203,0)),""))</x:f>
      </x:c>
      <x:c r="D37" s="172" t="str">
        <x:f>IF(A37="","",IFERROR(INDEX(Frozen_Predictions!$F$4:$F$203,MATCH(A37,Frozen_Predictions!$A$4:$A$203,0)),""))</x:f>
      </x:c>
      <x:c r="E37" s="172" t="str">
        <x:f>IF(A37="","",IFERROR(INDEX(Frozen_Predictions!$G$4:$G$203,MATCH(A37,Frozen_Predictions!$A$4:$A$203,0)),""))</x:f>
      </x:c>
      <x:c r="F37" s="172" t="str">
        <x:f>IF(A37="","",IFERROR(INDEX(Frozen_Predictions!$H$4:$H$203,MATCH(A37,Frozen_Predictions!$A$4:$A$203,0)),""))</x:f>
      </x:c>
      <x:c r="G37" s="172" t="str">
        <x:f>IF(A37="","",IFERROR(INDEX(Frozen_Predictions!$I$4:$I$203,MATCH(A37,Frozen_Predictions!$A$4:$A$203,0)),""))</x:f>
      </x:c>
      <x:c r="H37" s="172" t="str">
        <x:f>IF(A37="","",IFERROR(INDEX(Frozen_Predictions!$J$4:$J$203,MATCH(A37,Frozen_Predictions!$A$4:$A$203,0)),""))</x:f>
      </x:c>
      <x:c r="I37" s="192" t="str">
        <x:f>IF(A37="","",IFERROR(INDEX(Frozen_Predictions!$L$4:$L$203,MATCH(A37,Frozen_Predictions!$A$4:$A$203,0)),""))</x:f>
      </x:c>
      <x:c r="J37" s="172" t="str">
        <x:f>IF(X37&lt;&gt;"SETTLED","",IF(N37&lt;=IF(G37="U3.5",3,IF(G37="U4.5",4,5)),1,0))</x:f>
      </x:c>
      <x:c r="K37" s="195" t="str">
        <x:f>IF(X37&lt;&gt;"SETTLED","",IF(AND(OR(V37="DEFENSIV",V37="PRUDENT",V37="MODERAT",V37="RIDICAT"),ISNUMBER(INDEX(Frozen_Predictions!$Y$4:$Y$203,MATCH(A37,Frozen_Predictions!$A$4:$A$203,0))),INDEX(Frozen_Predictions!$Y$4:$Y$203,MATCH(A37,Frozen_Predictions!$A$4:$A$203,0))&gt;1),IF(J37=1,INDEX(Frozen_Predictions!$Y$4:$Y$203,MATCH(A37,Frozen_Predictions!$A$4:$A$203,0))-1,-1),""))</x:f>
      </x:c>
      <x:c r="L37" s="175"/>
      <x:c r="M37" s="175"/>
      <x:c r="N37" s="172" t="str">
        <x:f>IFERROR(IF(AND(ISNUMBER(L37),ISNUMBER(M37),L37&gt;=0,M37&gt;=0,INT(L37)=L37,INT(M37)=M37),L37+M37,""),"")</x:f>
      </x:c>
      <x:c r="O37" s="172" t="str">
        <x:f>IF(X37&lt;&gt;"SETTLED","",IF(J37=1,"WIN",IF(N37=IF(G37="U3.5",4,IF(G37="U4.5",5,6)),"NEAR TAIL","SEVERE TAIL")))</x:f>
      </x:c>
      <x:c r="P37" s="175"/>
      <x:c r="Q37" s="177"/>
      <x:c r="R37" s="213" t="str">
        <x:f>IF(X37&lt;&gt;"SETTLED","",(I37-J37)^2)</x:f>
      </x:c>
      <x:c r="S37" s="213" t="str">
        <x:f>IF(X37&lt;&gt;"SETTLED","",-(J37*LN(MAX(0.000001,MIN(0.999999,I37)))+(1-J37)*LN(MAX(0.000001,MIN(0.999999,1-I37)))))</x:f>
      </x:c>
      <x:c r="T37" s="172" t="str">
        <x:f>IF(A37="","",IFERROR(INDEX(Frozen_Predictions!$N$4:$N$203,MATCH(A37,Frozen_Predictions!$A$4:$A$203,0)),""))</x:f>
      </x:c>
      <x:c r="U37" s="172" t="str">
        <x:f>IF(A37="","",IFERROR(INDEX(Frozen_Predictions!$O$4:$O$203,MATCH(A37,Frozen_Predictions!$A$4:$A$203,0)),""))</x:f>
      </x:c>
      <x:c r="V37" s="172" t="str">
        <x:f>IF(A37="","",IFERROR(INDEX(Frozen_Predictions!$M$4:$M$203,MATCH(A37,Frozen_Predictions!$A$4:$A$203,0)),""))</x:f>
      </x:c>
      <x:c r="W37" s="175"/>
      <x:c r="X37" s="172" t="str">
        <x:f>IF(A37="","",IF(NOT(COUNTIFS(Frozen_Predictions!$A$4:$A$203,A37)=1),"SNAPSHOT ID INVALID",IFERROR(IF(NOT(AND(INDEX(Frozen_Predictions!$Q$4:$Q$203,MATCH(A37,Frozen_Predictions!$A$4:$A$203,0))="DA",ISNUMBER(INDEX(Frozen_Predictions!$B$4:$B$203,MATCH(A37,Frozen_Predictions!$A$4:$A$203,0))),ISNUMBER(INDEX(Frozen_Predictions!$C$4:$C$203,MATCH(A37,Frozen_Predictions!$A$4:$A$203,0))),INDEX(Frozen_Predictions!$B$4:$B$203,MATCH(A37,Frozen_Predictions!$A$4:$A$203,0))&lt;INDEX(Frozen_Predictions!$C$4:$C$203,MATCH(A37,Frozen_Predictions!$A$4:$A$203,0)),INDEX(Frozen_Predictions!$V$4:$V$203,MATCH(A37,Frozen_Predictions!$A$4:$A$203,0))="READY",INDEX(Frozen_Predictions!$O$4:$O$203,MATCH(A37,Frozen_Predictions!$A$4:$A$203,0))="PASS",INDEX(Frozen_Predictions!$J$4:$J$203,MATCH(A37,Frozen_Predictions!$A$4:$A$203,0))=Under_LineCal_v9!$B$45,COUNTIFS(Frozen_Predictions!$A$4:$A$203,A37,Frozen_Predictions!$L$4:$L$203,"&lt;&gt;",Frozen_Predictions!$L$4:$L$203,"&gt;=0",Frozen_Predictions!$L$4:$L$203,"&lt;=1")=1,COUNTIFS($A$4:$A$203,A37)=1)),"SNAPSHOT NOT VALID",IF(AND(ISNUMBER(I37),I37&gt;=0,I37&lt;=1,ISNUMBER(N37),P37&lt;&gt;"",ISNUMBER(Q37),Q37&gt;=B37,OR(G37="U3.5",G37="U4.5",G37="U5.5")),"SETTLED","PENDING RESULT")),"SNAPSHOT NOT VALID")))</x:f>
      </x:c>
    </x:row>
    <x:row r="38" ht="23" customHeight="1">
      <x:c r="A38" s="175"/>
      <x:c r="B38" s="200" t="str">
        <x:f>IF(A38="","",IFERROR(INDEX(Frozen_Predictions!$C$4:$C$203,MATCH(A38,Frozen_Predictions!$A$4:$A$203,0)),""))</x:f>
      </x:c>
      <x:c r="C38" s="172" t="str">
        <x:f>IF(A38="","",IFERROR(INDEX(Frozen_Predictions!$E$4:$E$203,MATCH(A38,Frozen_Predictions!$A$4:$A$203,0)),""))</x:f>
      </x:c>
      <x:c r="D38" s="172" t="str">
        <x:f>IF(A38="","",IFERROR(INDEX(Frozen_Predictions!$F$4:$F$203,MATCH(A38,Frozen_Predictions!$A$4:$A$203,0)),""))</x:f>
      </x:c>
      <x:c r="E38" s="172" t="str">
        <x:f>IF(A38="","",IFERROR(INDEX(Frozen_Predictions!$G$4:$G$203,MATCH(A38,Frozen_Predictions!$A$4:$A$203,0)),""))</x:f>
      </x:c>
      <x:c r="F38" s="172" t="str">
        <x:f>IF(A38="","",IFERROR(INDEX(Frozen_Predictions!$H$4:$H$203,MATCH(A38,Frozen_Predictions!$A$4:$A$203,0)),""))</x:f>
      </x:c>
      <x:c r="G38" s="172" t="str">
        <x:f>IF(A38="","",IFERROR(INDEX(Frozen_Predictions!$I$4:$I$203,MATCH(A38,Frozen_Predictions!$A$4:$A$203,0)),""))</x:f>
      </x:c>
      <x:c r="H38" s="172" t="str">
        <x:f>IF(A38="","",IFERROR(INDEX(Frozen_Predictions!$J$4:$J$203,MATCH(A38,Frozen_Predictions!$A$4:$A$203,0)),""))</x:f>
      </x:c>
      <x:c r="I38" s="192" t="str">
        <x:f>IF(A38="","",IFERROR(INDEX(Frozen_Predictions!$L$4:$L$203,MATCH(A38,Frozen_Predictions!$A$4:$A$203,0)),""))</x:f>
      </x:c>
      <x:c r="J38" s="172" t="str">
        <x:f>IF(X38&lt;&gt;"SETTLED","",IF(N38&lt;=IF(G38="U3.5",3,IF(G38="U4.5",4,5)),1,0))</x:f>
      </x:c>
      <x:c r="K38" s="195" t="str">
        <x:f>IF(X38&lt;&gt;"SETTLED","",IF(AND(OR(V38="DEFENSIV",V38="PRUDENT",V38="MODERAT",V38="RIDICAT"),ISNUMBER(INDEX(Frozen_Predictions!$Y$4:$Y$203,MATCH(A38,Frozen_Predictions!$A$4:$A$203,0))),INDEX(Frozen_Predictions!$Y$4:$Y$203,MATCH(A38,Frozen_Predictions!$A$4:$A$203,0))&gt;1),IF(J38=1,INDEX(Frozen_Predictions!$Y$4:$Y$203,MATCH(A38,Frozen_Predictions!$A$4:$A$203,0))-1,-1),""))</x:f>
      </x:c>
      <x:c r="L38" s="175"/>
      <x:c r="M38" s="175"/>
      <x:c r="N38" s="172" t="str">
        <x:f>IFERROR(IF(AND(ISNUMBER(L38),ISNUMBER(M38),L38&gt;=0,M38&gt;=0,INT(L38)=L38,INT(M38)=M38),L38+M38,""),"")</x:f>
      </x:c>
      <x:c r="O38" s="172" t="str">
        <x:f>IF(X38&lt;&gt;"SETTLED","",IF(J38=1,"WIN",IF(N38=IF(G38="U3.5",4,IF(G38="U4.5",5,6)),"NEAR TAIL","SEVERE TAIL")))</x:f>
      </x:c>
      <x:c r="P38" s="175"/>
      <x:c r="Q38" s="177"/>
      <x:c r="R38" s="213" t="str">
        <x:f>IF(X38&lt;&gt;"SETTLED","",(I38-J38)^2)</x:f>
      </x:c>
      <x:c r="S38" s="213" t="str">
        <x:f>IF(X38&lt;&gt;"SETTLED","",-(J38*LN(MAX(0.000001,MIN(0.999999,I38)))+(1-J38)*LN(MAX(0.000001,MIN(0.999999,1-I38)))))</x:f>
      </x:c>
      <x:c r="T38" s="172" t="str">
        <x:f>IF(A38="","",IFERROR(INDEX(Frozen_Predictions!$N$4:$N$203,MATCH(A38,Frozen_Predictions!$A$4:$A$203,0)),""))</x:f>
      </x:c>
      <x:c r="U38" s="172" t="str">
        <x:f>IF(A38="","",IFERROR(INDEX(Frozen_Predictions!$O$4:$O$203,MATCH(A38,Frozen_Predictions!$A$4:$A$203,0)),""))</x:f>
      </x:c>
      <x:c r="V38" s="172" t="str">
        <x:f>IF(A38="","",IFERROR(INDEX(Frozen_Predictions!$M$4:$M$203,MATCH(A38,Frozen_Predictions!$A$4:$A$203,0)),""))</x:f>
      </x:c>
      <x:c r="W38" s="175"/>
      <x:c r="X38" s="172" t="str">
        <x:f>IF(A38="","",IF(NOT(COUNTIFS(Frozen_Predictions!$A$4:$A$203,A38)=1),"SNAPSHOT ID INVALID",IFERROR(IF(NOT(AND(INDEX(Frozen_Predictions!$Q$4:$Q$203,MATCH(A38,Frozen_Predictions!$A$4:$A$203,0))="DA",ISNUMBER(INDEX(Frozen_Predictions!$B$4:$B$203,MATCH(A38,Frozen_Predictions!$A$4:$A$203,0))),ISNUMBER(INDEX(Frozen_Predictions!$C$4:$C$203,MATCH(A38,Frozen_Predictions!$A$4:$A$203,0))),INDEX(Frozen_Predictions!$B$4:$B$203,MATCH(A38,Frozen_Predictions!$A$4:$A$203,0))&lt;INDEX(Frozen_Predictions!$C$4:$C$203,MATCH(A38,Frozen_Predictions!$A$4:$A$203,0)),INDEX(Frozen_Predictions!$V$4:$V$203,MATCH(A38,Frozen_Predictions!$A$4:$A$203,0))="READY",INDEX(Frozen_Predictions!$O$4:$O$203,MATCH(A38,Frozen_Predictions!$A$4:$A$203,0))="PASS",INDEX(Frozen_Predictions!$J$4:$J$203,MATCH(A38,Frozen_Predictions!$A$4:$A$203,0))=Under_LineCal_v9!$B$45,COUNTIFS(Frozen_Predictions!$A$4:$A$203,A38,Frozen_Predictions!$L$4:$L$203,"&lt;&gt;",Frozen_Predictions!$L$4:$L$203,"&gt;=0",Frozen_Predictions!$L$4:$L$203,"&lt;=1")=1,COUNTIFS($A$4:$A$203,A38)=1)),"SNAPSHOT NOT VALID",IF(AND(ISNUMBER(I38),I38&gt;=0,I38&lt;=1,ISNUMBER(N38),P38&lt;&gt;"",ISNUMBER(Q38),Q38&gt;=B38,OR(G38="U3.5",G38="U4.5",G38="U5.5")),"SETTLED","PENDING RESULT")),"SNAPSHOT NOT VALID")))</x:f>
      </x:c>
    </x:row>
    <x:row r="39" ht="23" customHeight="1">
      <x:c r="A39" s="175"/>
      <x:c r="B39" s="200" t="str">
        <x:f>IF(A39="","",IFERROR(INDEX(Frozen_Predictions!$C$4:$C$203,MATCH(A39,Frozen_Predictions!$A$4:$A$203,0)),""))</x:f>
      </x:c>
      <x:c r="C39" s="172" t="str">
        <x:f>IF(A39="","",IFERROR(INDEX(Frozen_Predictions!$E$4:$E$203,MATCH(A39,Frozen_Predictions!$A$4:$A$203,0)),""))</x:f>
      </x:c>
      <x:c r="D39" s="172" t="str">
        <x:f>IF(A39="","",IFERROR(INDEX(Frozen_Predictions!$F$4:$F$203,MATCH(A39,Frozen_Predictions!$A$4:$A$203,0)),""))</x:f>
      </x:c>
      <x:c r="E39" s="172" t="str">
        <x:f>IF(A39="","",IFERROR(INDEX(Frozen_Predictions!$G$4:$G$203,MATCH(A39,Frozen_Predictions!$A$4:$A$203,0)),""))</x:f>
      </x:c>
      <x:c r="F39" s="172" t="str">
        <x:f>IF(A39="","",IFERROR(INDEX(Frozen_Predictions!$H$4:$H$203,MATCH(A39,Frozen_Predictions!$A$4:$A$203,0)),""))</x:f>
      </x:c>
      <x:c r="G39" s="172" t="str">
        <x:f>IF(A39="","",IFERROR(INDEX(Frozen_Predictions!$I$4:$I$203,MATCH(A39,Frozen_Predictions!$A$4:$A$203,0)),""))</x:f>
      </x:c>
      <x:c r="H39" s="172" t="str">
        <x:f>IF(A39="","",IFERROR(INDEX(Frozen_Predictions!$J$4:$J$203,MATCH(A39,Frozen_Predictions!$A$4:$A$203,0)),""))</x:f>
      </x:c>
      <x:c r="I39" s="192" t="str">
        <x:f>IF(A39="","",IFERROR(INDEX(Frozen_Predictions!$L$4:$L$203,MATCH(A39,Frozen_Predictions!$A$4:$A$203,0)),""))</x:f>
      </x:c>
      <x:c r="J39" s="172" t="str">
        <x:f>IF(X39&lt;&gt;"SETTLED","",IF(N39&lt;=IF(G39="U3.5",3,IF(G39="U4.5",4,5)),1,0))</x:f>
      </x:c>
      <x:c r="K39" s="195" t="str">
        <x:f>IF(X39&lt;&gt;"SETTLED","",IF(AND(OR(V39="DEFENSIV",V39="PRUDENT",V39="MODERAT",V39="RIDICAT"),ISNUMBER(INDEX(Frozen_Predictions!$Y$4:$Y$203,MATCH(A39,Frozen_Predictions!$A$4:$A$203,0))),INDEX(Frozen_Predictions!$Y$4:$Y$203,MATCH(A39,Frozen_Predictions!$A$4:$A$203,0))&gt;1),IF(J39=1,INDEX(Frozen_Predictions!$Y$4:$Y$203,MATCH(A39,Frozen_Predictions!$A$4:$A$203,0))-1,-1),""))</x:f>
      </x:c>
      <x:c r="L39" s="175"/>
      <x:c r="M39" s="175"/>
      <x:c r="N39" s="172" t="str">
        <x:f>IFERROR(IF(AND(ISNUMBER(L39),ISNUMBER(M39),L39&gt;=0,M39&gt;=0,INT(L39)=L39,INT(M39)=M39),L39+M39,""),"")</x:f>
      </x:c>
      <x:c r="O39" s="172" t="str">
        <x:f>IF(X39&lt;&gt;"SETTLED","",IF(J39=1,"WIN",IF(N39=IF(G39="U3.5",4,IF(G39="U4.5",5,6)),"NEAR TAIL","SEVERE TAIL")))</x:f>
      </x:c>
      <x:c r="P39" s="175"/>
      <x:c r="Q39" s="177"/>
      <x:c r="R39" s="213" t="str">
        <x:f>IF(X39&lt;&gt;"SETTLED","",(I39-J39)^2)</x:f>
      </x:c>
      <x:c r="S39" s="213" t="str">
        <x:f>IF(X39&lt;&gt;"SETTLED","",-(J39*LN(MAX(0.000001,MIN(0.999999,I39)))+(1-J39)*LN(MAX(0.000001,MIN(0.999999,1-I39)))))</x:f>
      </x:c>
      <x:c r="T39" s="172" t="str">
        <x:f>IF(A39="","",IFERROR(INDEX(Frozen_Predictions!$N$4:$N$203,MATCH(A39,Frozen_Predictions!$A$4:$A$203,0)),""))</x:f>
      </x:c>
      <x:c r="U39" s="172" t="str">
        <x:f>IF(A39="","",IFERROR(INDEX(Frozen_Predictions!$O$4:$O$203,MATCH(A39,Frozen_Predictions!$A$4:$A$203,0)),""))</x:f>
      </x:c>
      <x:c r="V39" s="172" t="str">
        <x:f>IF(A39="","",IFERROR(INDEX(Frozen_Predictions!$M$4:$M$203,MATCH(A39,Frozen_Predictions!$A$4:$A$203,0)),""))</x:f>
      </x:c>
      <x:c r="W39" s="175"/>
      <x:c r="X39" s="172" t="str">
        <x:f>IF(A39="","",IF(NOT(COUNTIFS(Frozen_Predictions!$A$4:$A$203,A39)=1),"SNAPSHOT ID INVALID",IFERROR(IF(NOT(AND(INDEX(Frozen_Predictions!$Q$4:$Q$203,MATCH(A39,Frozen_Predictions!$A$4:$A$203,0))="DA",ISNUMBER(INDEX(Frozen_Predictions!$B$4:$B$203,MATCH(A39,Frozen_Predictions!$A$4:$A$203,0))),ISNUMBER(INDEX(Frozen_Predictions!$C$4:$C$203,MATCH(A39,Frozen_Predictions!$A$4:$A$203,0))),INDEX(Frozen_Predictions!$B$4:$B$203,MATCH(A39,Frozen_Predictions!$A$4:$A$203,0))&lt;INDEX(Frozen_Predictions!$C$4:$C$203,MATCH(A39,Frozen_Predictions!$A$4:$A$203,0)),INDEX(Frozen_Predictions!$V$4:$V$203,MATCH(A39,Frozen_Predictions!$A$4:$A$203,0))="READY",INDEX(Frozen_Predictions!$O$4:$O$203,MATCH(A39,Frozen_Predictions!$A$4:$A$203,0))="PASS",INDEX(Frozen_Predictions!$J$4:$J$203,MATCH(A39,Frozen_Predictions!$A$4:$A$203,0))=Under_LineCal_v9!$B$45,COUNTIFS(Frozen_Predictions!$A$4:$A$203,A39,Frozen_Predictions!$L$4:$L$203,"&lt;&gt;",Frozen_Predictions!$L$4:$L$203,"&gt;=0",Frozen_Predictions!$L$4:$L$203,"&lt;=1")=1,COUNTIFS($A$4:$A$203,A39)=1)),"SNAPSHOT NOT VALID",IF(AND(ISNUMBER(I39),I39&gt;=0,I39&lt;=1,ISNUMBER(N39),P39&lt;&gt;"",ISNUMBER(Q39),Q39&gt;=B39,OR(G39="U3.5",G39="U4.5",G39="U5.5")),"SETTLED","PENDING RESULT")),"SNAPSHOT NOT VALID")))</x:f>
      </x:c>
    </x:row>
    <x:row r="40" ht="23" customHeight="1">
      <x:c r="A40" s="175"/>
      <x:c r="B40" s="200" t="str">
        <x:f>IF(A40="","",IFERROR(INDEX(Frozen_Predictions!$C$4:$C$203,MATCH(A40,Frozen_Predictions!$A$4:$A$203,0)),""))</x:f>
      </x:c>
      <x:c r="C40" s="172" t="str">
        <x:f>IF(A40="","",IFERROR(INDEX(Frozen_Predictions!$E$4:$E$203,MATCH(A40,Frozen_Predictions!$A$4:$A$203,0)),""))</x:f>
      </x:c>
      <x:c r="D40" s="172" t="str">
        <x:f>IF(A40="","",IFERROR(INDEX(Frozen_Predictions!$F$4:$F$203,MATCH(A40,Frozen_Predictions!$A$4:$A$203,0)),""))</x:f>
      </x:c>
      <x:c r="E40" s="172" t="str">
        <x:f>IF(A40="","",IFERROR(INDEX(Frozen_Predictions!$G$4:$G$203,MATCH(A40,Frozen_Predictions!$A$4:$A$203,0)),""))</x:f>
      </x:c>
      <x:c r="F40" s="172" t="str">
        <x:f>IF(A40="","",IFERROR(INDEX(Frozen_Predictions!$H$4:$H$203,MATCH(A40,Frozen_Predictions!$A$4:$A$203,0)),""))</x:f>
      </x:c>
      <x:c r="G40" s="172" t="str">
        <x:f>IF(A40="","",IFERROR(INDEX(Frozen_Predictions!$I$4:$I$203,MATCH(A40,Frozen_Predictions!$A$4:$A$203,0)),""))</x:f>
      </x:c>
      <x:c r="H40" s="172" t="str">
        <x:f>IF(A40="","",IFERROR(INDEX(Frozen_Predictions!$J$4:$J$203,MATCH(A40,Frozen_Predictions!$A$4:$A$203,0)),""))</x:f>
      </x:c>
      <x:c r="I40" s="192" t="str">
        <x:f>IF(A40="","",IFERROR(INDEX(Frozen_Predictions!$L$4:$L$203,MATCH(A40,Frozen_Predictions!$A$4:$A$203,0)),""))</x:f>
      </x:c>
      <x:c r="J40" s="172" t="str">
        <x:f>IF(X40&lt;&gt;"SETTLED","",IF(N40&lt;=IF(G40="U3.5",3,IF(G40="U4.5",4,5)),1,0))</x:f>
      </x:c>
      <x:c r="K40" s="195" t="str">
        <x:f>IF(X40&lt;&gt;"SETTLED","",IF(AND(OR(V40="DEFENSIV",V40="PRUDENT",V40="MODERAT",V40="RIDICAT"),ISNUMBER(INDEX(Frozen_Predictions!$Y$4:$Y$203,MATCH(A40,Frozen_Predictions!$A$4:$A$203,0))),INDEX(Frozen_Predictions!$Y$4:$Y$203,MATCH(A40,Frozen_Predictions!$A$4:$A$203,0))&gt;1),IF(J40=1,INDEX(Frozen_Predictions!$Y$4:$Y$203,MATCH(A40,Frozen_Predictions!$A$4:$A$203,0))-1,-1),""))</x:f>
      </x:c>
      <x:c r="L40" s="175"/>
      <x:c r="M40" s="175"/>
      <x:c r="N40" s="172" t="str">
        <x:f>IFERROR(IF(AND(ISNUMBER(L40),ISNUMBER(M40),L40&gt;=0,M40&gt;=0,INT(L40)=L40,INT(M40)=M40),L40+M40,""),"")</x:f>
      </x:c>
      <x:c r="O40" s="172" t="str">
        <x:f>IF(X40&lt;&gt;"SETTLED","",IF(J40=1,"WIN",IF(N40=IF(G40="U3.5",4,IF(G40="U4.5",5,6)),"NEAR TAIL","SEVERE TAIL")))</x:f>
      </x:c>
      <x:c r="P40" s="175"/>
      <x:c r="Q40" s="177"/>
      <x:c r="R40" s="213" t="str">
        <x:f>IF(X40&lt;&gt;"SETTLED","",(I40-J40)^2)</x:f>
      </x:c>
      <x:c r="S40" s="213" t="str">
        <x:f>IF(X40&lt;&gt;"SETTLED","",-(J40*LN(MAX(0.000001,MIN(0.999999,I40)))+(1-J40)*LN(MAX(0.000001,MIN(0.999999,1-I40)))))</x:f>
      </x:c>
      <x:c r="T40" s="172" t="str">
        <x:f>IF(A40="","",IFERROR(INDEX(Frozen_Predictions!$N$4:$N$203,MATCH(A40,Frozen_Predictions!$A$4:$A$203,0)),""))</x:f>
      </x:c>
      <x:c r="U40" s="172" t="str">
        <x:f>IF(A40="","",IFERROR(INDEX(Frozen_Predictions!$O$4:$O$203,MATCH(A40,Frozen_Predictions!$A$4:$A$203,0)),""))</x:f>
      </x:c>
      <x:c r="V40" s="172" t="str">
        <x:f>IF(A40="","",IFERROR(INDEX(Frozen_Predictions!$M$4:$M$203,MATCH(A40,Frozen_Predictions!$A$4:$A$203,0)),""))</x:f>
      </x:c>
      <x:c r="W40" s="175"/>
      <x:c r="X40" s="172" t="str">
        <x:f>IF(A40="","",IF(NOT(COUNTIFS(Frozen_Predictions!$A$4:$A$203,A40)=1),"SNAPSHOT ID INVALID",IFERROR(IF(NOT(AND(INDEX(Frozen_Predictions!$Q$4:$Q$203,MATCH(A40,Frozen_Predictions!$A$4:$A$203,0))="DA",ISNUMBER(INDEX(Frozen_Predictions!$B$4:$B$203,MATCH(A40,Frozen_Predictions!$A$4:$A$203,0))),ISNUMBER(INDEX(Frozen_Predictions!$C$4:$C$203,MATCH(A40,Frozen_Predictions!$A$4:$A$203,0))),INDEX(Frozen_Predictions!$B$4:$B$203,MATCH(A40,Frozen_Predictions!$A$4:$A$203,0))&lt;INDEX(Frozen_Predictions!$C$4:$C$203,MATCH(A40,Frozen_Predictions!$A$4:$A$203,0)),INDEX(Frozen_Predictions!$V$4:$V$203,MATCH(A40,Frozen_Predictions!$A$4:$A$203,0))="READY",INDEX(Frozen_Predictions!$O$4:$O$203,MATCH(A40,Frozen_Predictions!$A$4:$A$203,0))="PASS",INDEX(Frozen_Predictions!$J$4:$J$203,MATCH(A40,Frozen_Predictions!$A$4:$A$203,0))=Under_LineCal_v9!$B$45,COUNTIFS(Frozen_Predictions!$A$4:$A$203,A40,Frozen_Predictions!$L$4:$L$203,"&lt;&gt;",Frozen_Predictions!$L$4:$L$203,"&gt;=0",Frozen_Predictions!$L$4:$L$203,"&lt;=1")=1,COUNTIFS($A$4:$A$203,A40)=1)),"SNAPSHOT NOT VALID",IF(AND(ISNUMBER(I40),I40&gt;=0,I40&lt;=1,ISNUMBER(N40),P40&lt;&gt;"",ISNUMBER(Q40),Q40&gt;=B40,OR(G40="U3.5",G40="U4.5",G40="U5.5")),"SETTLED","PENDING RESULT")),"SNAPSHOT NOT VALID")))</x:f>
      </x:c>
    </x:row>
    <x:row r="41" ht="23" customHeight="1">
      <x:c r="A41" s="175"/>
      <x:c r="B41" s="200" t="str">
        <x:f>IF(A41="","",IFERROR(INDEX(Frozen_Predictions!$C$4:$C$203,MATCH(A41,Frozen_Predictions!$A$4:$A$203,0)),""))</x:f>
      </x:c>
      <x:c r="C41" s="172" t="str">
        <x:f>IF(A41="","",IFERROR(INDEX(Frozen_Predictions!$E$4:$E$203,MATCH(A41,Frozen_Predictions!$A$4:$A$203,0)),""))</x:f>
      </x:c>
      <x:c r="D41" s="172" t="str">
        <x:f>IF(A41="","",IFERROR(INDEX(Frozen_Predictions!$F$4:$F$203,MATCH(A41,Frozen_Predictions!$A$4:$A$203,0)),""))</x:f>
      </x:c>
      <x:c r="E41" s="172" t="str">
        <x:f>IF(A41="","",IFERROR(INDEX(Frozen_Predictions!$G$4:$G$203,MATCH(A41,Frozen_Predictions!$A$4:$A$203,0)),""))</x:f>
      </x:c>
      <x:c r="F41" s="172" t="str">
        <x:f>IF(A41="","",IFERROR(INDEX(Frozen_Predictions!$H$4:$H$203,MATCH(A41,Frozen_Predictions!$A$4:$A$203,0)),""))</x:f>
      </x:c>
      <x:c r="G41" s="172" t="str">
        <x:f>IF(A41="","",IFERROR(INDEX(Frozen_Predictions!$I$4:$I$203,MATCH(A41,Frozen_Predictions!$A$4:$A$203,0)),""))</x:f>
      </x:c>
      <x:c r="H41" s="172" t="str">
        <x:f>IF(A41="","",IFERROR(INDEX(Frozen_Predictions!$J$4:$J$203,MATCH(A41,Frozen_Predictions!$A$4:$A$203,0)),""))</x:f>
      </x:c>
      <x:c r="I41" s="192" t="str">
        <x:f>IF(A41="","",IFERROR(INDEX(Frozen_Predictions!$L$4:$L$203,MATCH(A41,Frozen_Predictions!$A$4:$A$203,0)),""))</x:f>
      </x:c>
      <x:c r="J41" s="172" t="str">
        <x:f>IF(X41&lt;&gt;"SETTLED","",IF(N41&lt;=IF(G41="U3.5",3,IF(G41="U4.5",4,5)),1,0))</x:f>
      </x:c>
      <x:c r="K41" s="195" t="str">
        <x:f>IF(X41&lt;&gt;"SETTLED","",IF(AND(OR(V41="DEFENSIV",V41="PRUDENT",V41="MODERAT",V41="RIDICAT"),ISNUMBER(INDEX(Frozen_Predictions!$Y$4:$Y$203,MATCH(A41,Frozen_Predictions!$A$4:$A$203,0))),INDEX(Frozen_Predictions!$Y$4:$Y$203,MATCH(A41,Frozen_Predictions!$A$4:$A$203,0))&gt;1),IF(J41=1,INDEX(Frozen_Predictions!$Y$4:$Y$203,MATCH(A41,Frozen_Predictions!$A$4:$A$203,0))-1,-1),""))</x:f>
      </x:c>
      <x:c r="L41" s="175"/>
      <x:c r="M41" s="175"/>
      <x:c r="N41" s="172" t="str">
        <x:f>IFERROR(IF(AND(ISNUMBER(L41),ISNUMBER(M41),L41&gt;=0,M41&gt;=0,INT(L41)=L41,INT(M41)=M41),L41+M41,""),"")</x:f>
      </x:c>
      <x:c r="O41" s="172" t="str">
        <x:f>IF(X41&lt;&gt;"SETTLED","",IF(J41=1,"WIN",IF(N41=IF(G41="U3.5",4,IF(G41="U4.5",5,6)),"NEAR TAIL","SEVERE TAIL")))</x:f>
      </x:c>
      <x:c r="P41" s="175"/>
      <x:c r="Q41" s="177"/>
      <x:c r="R41" s="213" t="str">
        <x:f>IF(X41&lt;&gt;"SETTLED","",(I41-J41)^2)</x:f>
      </x:c>
      <x:c r="S41" s="213" t="str">
        <x:f>IF(X41&lt;&gt;"SETTLED","",-(J41*LN(MAX(0.000001,MIN(0.999999,I41)))+(1-J41)*LN(MAX(0.000001,MIN(0.999999,1-I41)))))</x:f>
      </x:c>
      <x:c r="T41" s="172" t="str">
        <x:f>IF(A41="","",IFERROR(INDEX(Frozen_Predictions!$N$4:$N$203,MATCH(A41,Frozen_Predictions!$A$4:$A$203,0)),""))</x:f>
      </x:c>
      <x:c r="U41" s="172" t="str">
        <x:f>IF(A41="","",IFERROR(INDEX(Frozen_Predictions!$O$4:$O$203,MATCH(A41,Frozen_Predictions!$A$4:$A$203,0)),""))</x:f>
      </x:c>
      <x:c r="V41" s="172" t="str">
        <x:f>IF(A41="","",IFERROR(INDEX(Frozen_Predictions!$M$4:$M$203,MATCH(A41,Frozen_Predictions!$A$4:$A$203,0)),""))</x:f>
      </x:c>
      <x:c r="W41" s="175"/>
      <x:c r="X41" s="172" t="str">
        <x:f>IF(A41="","",IF(NOT(COUNTIFS(Frozen_Predictions!$A$4:$A$203,A41)=1),"SNAPSHOT ID INVALID",IFERROR(IF(NOT(AND(INDEX(Frozen_Predictions!$Q$4:$Q$203,MATCH(A41,Frozen_Predictions!$A$4:$A$203,0))="DA",ISNUMBER(INDEX(Frozen_Predictions!$B$4:$B$203,MATCH(A41,Frozen_Predictions!$A$4:$A$203,0))),ISNUMBER(INDEX(Frozen_Predictions!$C$4:$C$203,MATCH(A41,Frozen_Predictions!$A$4:$A$203,0))),INDEX(Frozen_Predictions!$B$4:$B$203,MATCH(A41,Frozen_Predictions!$A$4:$A$203,0))&lt;INDEX(Frozen_Predictions!$C$4:$C$203,MATCH(A41,Frozen_Predictions!$A$4:$A$203,0)),INDEX(Frozen_Predictions!$V$4:$V$203,MATCH(A41,Frozen_Predictions!$A$4:$A$203,0))="READY",INDEX(Frozen_Predictions!$O$4:$O$203,MATCH(A41,Frozen_Predictions!$A$4:$A$203,0))="PASS",INDEX(Frozen_Predictions!$J$4:$J$203,MATCH(A41,Frozen_Predictions!$A$4:$A$203,0))=Under_LineCal_v9!$B$45,COUNTIFS(Frozen_Predictions!$A$4:$A$203,A41,Frozen_Predictions!$L$4:$L$203,"&lt;&gt;",Frozen_Predictions!$L$4:$L$203,"&gt;=0",Frozen_Predictions!$L$4:$L$203,"&lt;=1")=1,COUNTIFS($A$4:$A$203,A41)=1)),"SNAPSHOT NOT VALID",IF(AND(ISNUMBER(I41),I41&gt;=0,I41&lt;=1,ISNUMBER(N41),P41&lt;&gt;"",ISNUMBER(Q41),Q41&gt;=B41,OR(G41="U3.5",G41="U4.5",G41="U5.5")),"SETTLED","PENDING RESULT")),"SNAPSHOT NOT VALID")))</x:f>
      </x:c>
    </x:row>
    <x:row r="42" ht="23" customHeight="1">
      <x:c r="A42" s="175"/>
      <x:c r="B42" s="200" t="str">
        <x:f>IF(A42="","",IFERROR(INDEX(Frozen_Predictions!$C$4:$C$203,MATCH(A42,Frozen_Predictions!$A$4:$A$203,0)),""))</x:f>
      </x:c>
      <x:c r="C42" s="172" t="str">
        <x:f>IF(A42="","",IFERROR(INDEX(Frozen_Predictions!$E$4:$E$203,MATCH(A42,Frozen_Predictions!$A$4:$A$203,0)),""))</x:f>
      </x:c>
      <x:c r="D42" s="172" t="str">
        <x:f>IF(A42="","",IFERROR(INDEX(Frozen_Predictions!$F$4:$F$203,MATCH(A42,Frozen_Predictions!$A$4:$A$203,0)),""))</x:f>
      </x:c>
      <x:c r="E42" s="172" t="str">
        <x:f>IF(A42="","",IFERROR(INDEX(Frozen_Predictions!$G$4:$G$203,MATCH(A42,Frozen_Predictions!$A$4:$A$203,0)),""))</x:f>
      </x:c>
      <x:c r="F42" s="172" t="str">
        <x:f>IF(A42="","",IFERROR(INDEX(Frozen_Predictions!$H$4:$H$203,MATCH(A42,Frozen_Predictions!$A$4:$A$203,0)),""))</x:f>
      </x:c>
      <x:c r="G42" s="172" t="str">
        <x:f>IF(A42="","",IFERROR(INDEX(Frozen_Predictions!$I$4:$I$203,MATCH(A42,Frozen_Predictions!$A$4:$A$203,0)),""))</x:f>
      </x:c>
      <x:c r="H42" s="172" t="str">
        <x:f>IF(A42="","",IFERROR(INDEX(Frozen_Predictions!$J$4:$J$203,MATCH(A42,Frozen_Predictions!$A$4:$A$203,0)),""))</x:f>
      </x:c>
      <x:c r="I42" s="192" t="str">
        <x:f>IF(A42="","",IFERROR(INDEX(Frozen_Predictions!$L$4:$L$203,MATCH(A42,Frozen_Predictions!$A$4:$A$203,0)),""))</x:f>
      </x:c>
      <x:c r="J42" s="172" t="str">
        <x:f>IF(X42&lt;&gt;"SETTLED","",IF(N42&lt;=IF(G42="U3.5",3,IF(G42="U4.5",4,5)),1,0))</x:f>
      </x:c>
      <x:c r="K42" s="195" t="str">
        <x:f>IF(X42&lt;&gt;"SETTLED","",IF(AND(OR(V42="DEFENSIV",V42="PRUDENT",V42="MODERAT",V42="RIDICAT"),ISNUMBER(INDEX(Frozen_Predictions!$Y$4:$Y$203,MATCH(A42,Frozen_Predictions!$A$4:$A$203,0))),INDEX(Frozen_Predictions!$Y$4:$Y$203,MATCH(A42,Frozen_Predictions!$A$4:$A$203,0))&gt;1),IF(J42=1,INDEX(Frozen_Predictions!$Y$4:$Y$203,MATCH(A42,Frozen_Predictions!$A$4:$A$203,0))-1,-1),""))</x:f>
      </x:c>
      <x:c r="L42" s="175"/>
      <x:c r="M42" s="175"/>
      <x:c r="N42" s="172" t="str">
        <x:f>IFERROR(IF(AND(ISNUMBER(L42),ISNUMBER(M42),L42&gt;=0,M42&gt;=0,INT(L42)=L42,INT(M42)=M42),L42+M42,""),"")</x:f>
      </x:c>
      <x:c r="O42" s="172" t="str">
        <x:f>IF(X42&lt;&gt;"SETTLED","",IF(J42=1,"WIN",IF(N42=IF(G42="U3.5",4,IF(G42="U4.5",5,6)),"NEAR TAIL","SEVERE TAIL")))</x:f>
      </x:c>
      <x:c r="P42" s="175"/>
      <x:c r="Q42" s="177"/>
      <x:c r="R42" s="213" t="str">
        <x:f>IF(X42&lt;&gt;"SETTLED","",(I42-J42)^2)</x:f>
      </x:c>
      <x:c r="S42" s="213" t="str">
        <x:f>IF(X42&lt;&gt;"SETTLED","",-(J42*LN(MAX(0.000001,MIN(0.999999,I42)))+(1-J42)*LN(MAX(0.000001,MIN(0.999999,1-I42)))))</x:f>
      </x:c>
      <x:c r="T42" s="172" t="str">
        <x:f>IF(A42="","",IFERROR(INDEX(Frozen_Predictions!$N$4:$N$203,MATCH(A42,Frozen_Predictions!$A$4:$A$203,0)),""))</x:f>
      </x:c>
      <x:c r="U42" s="172" t="str">
        <x:f>IF(A42="","",IFERROR(INDEX(Frozen_Predictions!$O$4:$O$203,MATCH(A42,Frozen_Predictions!$A$4:$A$203,0)),""))</x:f>
      </x:c>
      <x:c r="V42" s="172" t="str">
        <x:f>IF(A42="","",IFERROR(INDEX(Frozen_Predictions!$M$4:$M$203,MATCH(A42,Frozen_Predictions!$A$4:$A$203,0)),""))</x:f>
      </x:c>
      <x:c r="W42" s="175"/>
      <x:c r="X42" s="172" t="str">
        <x:f>IF(A42="","",IF(NOT(COUNTIFS(Frozen_Predictions!$A$4:$A$203,A42)=1),"SNAPSHOT ID INVALID",IFERROR(IF(NOT(AND(INDEX(Frozen_Predictions!$Q$4:$Q$203,MATCH(A42,Frozen_Predictions!$A$4:$A$203,0))="DA",ISNUMBER(INDEX(Frozen_Predictions!$B$4:$B$203,MATCH(A42,Frozen_Predictions!$A$4:$A$203,0))),ISNUMBER(INDEX(Frozen_Predictions!$C$4:$C$203,MATCH(A42,Frozen_Predictions!$A$4:$A$203,0))),INDEX(Frozen_Predictions!$B$4:$B$203,MATCH(A42,Frozen_Predictions!$A$4:$A$203,0))&lt;INDEX(Frozen_Predictions!$C$4:$C$203,MATCH(A42,Frozen_Predictions!$A$4:$A$203,0)),INDEX(Frozen_Predictions!$V$4:$V$203,MATCH(A42,Frozen_Predictions!$A$4:$A$203,0))="READY",INDEX(Frozen_Predictions!$O$4:$O$203,MATCH(A42,Frozen_Predictions!$A$4:$A$203,0))="PASS",INDEX(Frozen_Predictions!$J$4:$J$203,MATCH(A42,Frozen_Predictions!$A$4:$A$203,0))=Under_LineCal_v9!$B$45,COUNTIFS(Frozen_Predictions!$A$4:$A$203,A42,Frozen_Predictions!$L$4:$L$203,"&lt;&gt;",Frozen_Predictions!$L$4:$L$203,"&gt;=0",Frozen_Predictions!$L$4:$L$203,"&lt;=1")=1,COUNTIFS($A$4:$A$203,A42)=1)),"SNAPSHOT NOT VALID",IF(AND(ISNUMBER(I42),I42&gt;=0,I42&lt;=1,ISNUMBER(N42),P42&lt;&gt;"",ISNUMBER(Q42),Q42&gt;=B42,OR(G42="U3.5",G42="U4.5",G42="U5.5")),"SETTLED","PENDING RESULT")),"SNAPSHOT NOT VALID")))</x:f>
      </x:c>
    </x:row>
    <x:row r="43" ht="23" customHeight="1">
      <x:c r="A43" s="175"/>
      <x:c r="B43" s="200" t="str">
        <x:f>IF(A43="","",IFERROR(INDEX(Frozen_Predictions!$C$4:$C$203,MATCH(A43,Frozen_Predictions!$A$4:$A$203,0)),""))</x:f>
      </x:c>
      <x:c r="C43" s="172" t="str">
        <x:f>IF(A43="","",IFERROR(INDEX(Frozen_Predictions!$E$4:$E$203,MATCH(A43,Frozen_Predictions!$A$4:$A$203,0)),""))</x:f>
      </x:c>
      <x:c r="D43" s="172" t="str">
        <x:f>IF(A43="","",IFERROR(INDEX(Frozen_Predictions!$F$4:$F$203,MATCH(A43,Frozen_Predictions!$A$4:$A$203,0)),""))</x:f>
      </x:c>
      <x:c r="E43" s="172" t="str">
        <x:f>IF(A43="","",IFERROR(INDEX(Frozen_Predictions!$G$4:$G$203,MATCH(A43,Frozen_Predictions!$A$4:$A$203,0)),""))</x:f>
      </x:c>
      <x:c r="F43" s="172" t="str">
        <x:f>IF(A43="","",IFERROR(INDEX(Frozen_Predictions!$H$4:$H$203,MATCH(A43,Frozen_Predictions!$A$4:$A$203,0)),""))</x:f>
      </x:c>
      <x:c r="G43" s="172" t="str">
        <x:f>IF(A43="","",IFERROR(INDEX(Frozen_Predictions!$I$4:$I$203,MATCH(A43,Frozen_Predictions!$A$4:$A$203,0)),""))</x:f>
      </x:c>
      <x:c r="H43" s="172" t="str">
        <x:f>IF(A43="","",IFERROR(INDEX(Frozen_Predictions!$J$4:$J$203,MATCH(A43,Frozen_Predictions!$A$4:$A$203,0)),""))</x:f>
      </x:c>
      <x:c r="I43" s="192" t="str">
        <x:f>IF(A43="","",IFERROR(INDEX(Frozen_Predictions!$L$4:$L$203,MATCH(A43,Frozen_Predictions!$A$4:$A$203,0)),""))</x:f>
      </x:c>
      <x:c r="J43" s="172" t="str">
        <x:f>IF(X43&lt;&gt;"SETTLED","",IF(N43&lt;=IF(G43="U3.5",3,IF(G43="U4.5",4,5)),1,0))</x:f>
      </x:c>
      <x:c r="K43" s="195" t="str">
        <x:f>IF(X43&lt;&gt;"SETTLED","",IF(AND(OR(V43="DEFENSIV",V43="PRUDENT",V43="MODERAT",V43="RIDICAT"),ISNUMBER(INDEX(Frozen_Predictions!$Y$4:$Y$203,MATCH(A43,Frozen_Predictions!$A$4:$A$203,0))),INDEX(Frozen_Predictions!$Y$4:$Y$203,MATCH(A43,Frozen_Predictions!$A$4:$A$203,0))&gt;1),IF(J43=1,INDEX(Frozen_Predictions!$Y$4:$Y$203,MATCH(A43,Frozen_Predictions!$A$4:$A$203,0))-1,-1),""))</x:f>
      </x:c>
      <x:c r="L43" s="175"/>
      <x:c r="M43" s="175"/>
      <x:c r="N43" s="172" t="str">
        <x:f>IFERROR(IF(AND(ISNUMBER(L43),ISNUMBER(M43),L43&gt;=0,M43&gt;=0,INT(L43)=L43,INT(M43)=M43),L43+M43,""),"")</x:f>
      </x:c>
      <x:c r="O43" s="172" t="str">
        <x:f>IF(X43&lt;&gt;"SETTLED","",IF(J43=1,"WIN",IF(N43=IF(G43="U3.5",4,IF(G43="U4.5",5,6)),"NEAR TAIL","SEVERE TAIL")))</x:f>
      </x:c>
      <x:c r="P43" s="175"/>
      <x:c r="Q43" s="177"/>
      <x:c r="R43" s="213" t="str">
        <x:f>IF(X43&lt;&gt;"SETTLED","",(I43-J43)^2)</x:f>
      </x:c>
      <x:c r="S43" s="213" t="str">
        <x:f>IF(X43&lt;&gt;"SETTLED","",-(J43*LN(MAX(0.000001,MIN(0.999999,I43)))+(1-J43)*LN(MAX(0.000001,MIN(0.999999,1-I43)))))</x:f>
      </x:c>
      <x:c r="T43" s="172" t="str">
        <x:f>IF(A43="","",IFERROR(INDEX(Frozen_Predictions!$N$4:$N$203,MATCH(A43,Frozen_Predictions!$A$4:$A$203,0)),""))</x:f>
      </x:c>
      <x:c r="U43" s="172" t="str">
        <x:f>IF(A43="","",IFERROR(INDEX(Frozen_Predictions!$O$4:$O$203,MATCH(A43,Frozen_Predictions!$A$4:$A$203,0)),""))</x:f>
      </x:c>
      <x:c r="V43" s="172" t="str">
        <x:f>IF(A43="","",IFERROR(INDEX(Frozen_Predictions!$M$4:$M$203,MATCH(A43,Frozen_Predictions!$A$4:$A$203,0)),""))</x:f>
      </x:c>
      <x:c r="W43" s="175"/>
      <x:c r="X43" s="172" t="str">
        <x:f>IF(A43="","",IF(NOT(COUNTIFS(Frozen_Predictions!$A$4:$A$203,A43)=1),"SNAPSHOT ID INVALID",IFERROR(IF(NOT(AND(INDEX(Frozen_Predictions!$Q$4:$Q$203,MATCH(A43,Frozen_Predictions!$A$4:$A$203,0))="DA",ISNUMBER(INDEX(Frozen_Predictions!$B$4:$B$203,MATCH(A43,Frozen_Predictions!$A$4:$A$203,0))),ISNUMBER(INDEX(Frozen_Predictions!$C$4:$C$203,MATCH(A43,Frozen_Predictions!$A$4:$A$203,0))),INDEX(Frozen_Predictions!$B$4:$B$203,MATCH(A43,Frozen_Predictions!$A$4:$A$203,0))&lt;INDEX(Frozen_Predictions!$C$4:$C$203,MATCH(A43,Frozen_Predictions!$A$4:$A$203,0)),INDEX(Frozen_Predictions!$V$4:$V$203,MATCH(A43,Frozen_Predictions!$A$4:$A$203,0))="READY",INDEX(Frozen_Predictions!$O$4:$O$203,MATCH(A43,Frozen_Predictions!$A$4:$A$203,0))="PASS",INDEX(Frozen_Predictions!$J$4:$J$203,MATCH(A43,Frozen_Predictions!$A$4:$A$203,0))=Under_LineCal_v9!$B$45,COUNTIFS(Frozen_Predictions!$A$4:$A$203,A43,Frozen_Predictions!$L$4:$L$203,"&lt;&gt;",Frozen_Predictions!$L$4:$L$203,"&gt;=0",Frozen_Predictions!$L$4:$L$203,"&lt;=1")=1,COUNTIFS($A$4:$A$203,A43)=1)),"SNAPSHOT NOT VALID",IF(AND(ISNUMBER(I43),I43&gt;=0,I43&lt;=1,ISNUMBER(N43),P43&lt;&gt;"",ISNUMBER(Q43),Q43&gt;=B43,OR(G43="U3.5",G43="U4.5",G43="U5.5")),"SETTLED","PENDING RESULT")),"SNAPSHOT NOT VALID")))</x:f>
      </x:c>
    </x:row>
    <x:row r="44" ht="23" customHeight="1">
      <x:c r="A44" s="175"/>
      <x:c r="B44" s="200" t="str">
        <x:f>IF(A44="","",IFERROR(INDEX(Frozen_Predictions!$C$4:$C$203,MATCH(A44,Frozen_Predictions!$A$4:$A$203,0)),""))</x:f>
      </x:c>
      <x:c r="C44" s="172" t="str">
        <x:f>IF(A44="","",IFERROR(INDEX(Frozen_Predictions!$E$4:$E$203,MATCH(A44,Frozen_Predictions!$A$4:$A$203,0)),""))</x:f>
      </x:c>
      <x:c r="D44" s="172" t="str">
        <x:f>IF(A44="","",IFERROR(INDEX(Frozen_Predictions!$F$4:$F$203,MATCH(A44,Frozen_Predictions!$A$4:$A$203,0)),""))</x:f>
      </x:c>
      <x:c r="E44" s="172" t="str">
        <x:f>IF(A44="","",IFERROR(INDEX(Frozen_Predictions!$G$4:$G$203,MATCH(A44,Frozen_Predictions!$A$4:$A$203,0)),""))</x:f>
      </x:c>
      <x:c r="F44" s="172" t="str">
        <x:f>IF(A44="","",IFERROR(INDEX(Frozen_Predictions!$H$4:$H$203,MATCH(A44,Frozen_Predictions!$A$4:$A$203,0)),""))</x:f>
      </x:c>
      <x:c r="G44" s="172" t="str">
        <x:f>IF(A44="","",IFERROR(INDEX(Frozen_Predictions!$I$4:$I$203,MATCH(A44,Frozen_Predictions!$A$4:$A$203,0)),""))</x:f>
      </x:c>
      <x:c r="H44" s="172" t="str">
        <x:f>IF(A44="","",IFERROR(INDEX(Frozen_Predictions!$J$4:$J$203,MATCH(A44,Frozen_Predictions!$A$4:$A$203,0)),""))</x:f>
      </x:c>
      <x:c r="I44" s="192" t="str">
        <x:f>IF(A44="","",IFERROR(INDEX(Frozen_Predictions!$L$4:$L$203,MATCH(A44,Frozen_Predictions!$A$4:$A$203,0)),""))</x:f>
      </x:c>
      <x:c r="J44" s="172" t="str">
        <x:f>IF(X44&lt;&gt;"SETTLED","",IF(N44&lt;=IF(G44="U3.5",3,IF(G44="U4.5",4,5)),1,0))</x:f>
      </x:c>
      <x:c r="K44" s="195" t="str">
        <x:f>IF(X44&lt;&gt;"SETTLED","",IF(AND(OR(V44="DEFENSIV",V44="PRUDENT",V44="MODERAT",V44="RIDICAT"),ISNUMBER(INDEX(Frozen_Predictions!$Y$4:$Y$203,MATCH(A44,Frozen_Predictions!$A$4:$A$203,0))),INDEX(Frozen_Predictions!$Y$4:$Y$203,MATCH(A44,Frozen_Predictions!$A$4:$A$203,0))&gt;1),IF(J44=1,INDEX(Frozen_Predictions!$Y$4:$Y$203,MATCH(A44,Frozen_Predictions!$A$4:$A$203,0))-1,-1),""))</x:f>
      </x:c>
      <x:c r="L44" s="175"/>
      <x:c r="M44" s="175"/>
      <x:c r="N44" s="172" t="str">
        <x:f>IFERROR(IF(AND(ISNUMBER(L44),ISNUMBER(M44),L44&gt;=0,M44&gt;=0,INT(L44)=L44,INT(M44)=M44),L44+M44,""),"")</x:f>
      </x:c>
      <x:c r="O44" s="172" t="str">
        <x:f>IF(X44&lt;&gt;"SETTLED","",IF(J44=1,"WIN",IF(N44=IF(G44="U3.5",4,IF(G44="U4.5",5,6)),"NEAR TAIL","SEVERE TAIL")))</x:f>
      </x:c>
      <x:c r="P44" s="175"/>
      <x:c r="Q44" s="177"/>
      <x:c r="R44" s="213" t="str">
        <x:f>IF(X44&lt;&gt;"SETTLED","",(I44-J44)^2)</x:f>
      </x:c>
      <x:c r="S44" s="213" t="str">
        <x:f>IF(X44&lt;&gt;"SETTLED","",-(J44*LN(MAX(0.000001,MIN(0.999999,I44)))+(1-J44)*LN(MAX(0.000001,MIN(0.999999,1-I44)))))</x:f>
      </x:c>
      <x:c r="T44" s="172" t="str">
        <x:f>IF(A44="","",IFERROR(INDEX(Frozen_Predictions!$N$4:$N$203,MATCH(A44,Frozen_Predictions!$A$4:$A$203,0)),""))</x:f>
      </x:c>
      <x:c r="U44" s="172" t="str">
        <x:f>IF(A44="","",IFERROR(INDEX(Frozen_Predictions!$O$4:$O$203,MATCH(A44,Frozen_Predictions!$A$4:$A$203,0)),""))</x:f>
      </x:c>
      <x:c r="V44" s="172" t="str">
        <x:f>IF(A44="","",IFERROR(INDEX(Frozen_Predictions!$M$4:$M$203,MATCH(A44,Frozen_Predictions!$A$4:$A$203,0)),""))</x:f>
      </x:c>
      <x:c r="W44" s="175"/>
      <x:c r="X44" s="172" t="str">
        <x:f>IF(A44="","",IF(NOT(COUNTIFS(Frozen_Predictions!$A$4:$A$203,A44)=1),"SNAPSHOT ID INVALID",IFERROR(IF(NOT(AND(INDEX(Frozen_Predictions!$Q$4:$Q$203,MATCH(A44,Frozen_Predictions!$A$4:$A$203,0))="DA",ISNUMBER(INDEX(Frozen_Predictions!$B$4:$B$203,MATCH(A44,Frozen_Predictions!$A$4:$A$203,0))),ISNUMBER(INDEX(Frozen_Predictions!$C$4:$C$203,MATCH(A44,Frozen_Predictions!$A$4:$A$203,0))),INDEX(Frozen_Predictions!$B$4:$B$203,MATCH(A44,Frozen_Predictions!$A$4:$A$203,0))&lt;INDEX(Frozen_Predictions!$C$4:$C$203,MATCH(A44,Frozen_Predictions!$A$4:$A$203,0)),INDEX(Frozen_Predictions!$V$4:$V$203,MATCH(A44,Frozen_Predictions!$A$4:$A$203,0))="READY",INDEX(Frozen_Predictions!$O$4:$O$203,MATCH(A44,Frozen_Predictions!$A$4:$A$203,0))="PASS",INDEX(Frozen_Predictions!$J$4:$J$203,MATCH(A44,Frozen_Predictions!$A$4:$A$203,0))=Under_LineCal_v9!$B$45,COUNTIFS(Frozen_Predictions!$A$4:$A$203,A44,Frozen_Predictions!$L$4:$L$203,"&lt;&gt;",Frozen_Predictions!$L$4:$L$203,"&gt;=0",Frozen_Predictions!$L$4:$L$203,"&lt;=1")=1,COUNTIFS($A$4:$A$203,A44)=1)),"SNAPSHOT NOT VALID",IF(AND(ISNUMBER(I44),I44&gt;=0,I44&lt;=1,ISNUMBER(N44),P44&lt;&gt;"",ISNUMBER(Q44),Q44&gt;=B44,OR(G44="U3.5",G44="U4.5",G44="U5.5")),"SETTLED","PENDING RESULT")),"SNAPSHOT NOT VALID")))</x:f>
      </x:c>
    </x:row>
    <x:row r="45" ht="23" customHeight="1">
      <x:c r="A45" s="175"/>
      <x:c r="B45" s="200" t="str">
        <x:f>IF(A45="","",IFERROR(INDEX(Frozen_Predictions!$C$4:$C$203,MATCH(A45,Frozen_Predictions!$A$4:$A$203,0)),""))</x:f>
      </x:c>
      <x:c r="C45" s="172" t="str">
        <x:f>IF(A45="","",IFERROR(INDEX(Frozen_Predictions!$E$4:$E$203,MATCH(A45,Frozen_Predictions!$A$4:$A$203,0)),""))</x:f>
      </x:c>
      <x:c r="D45" s="172" t="str">
        <x:f>IF(A45="","",IFERROR(INDEX(Frozen_Predictions!$F$4:$F$203,MATCH(A45,Frozen_Predictions!$A$4:$A$203,0)),""))</x:f>
      </x:c>
      <x:c r="E45" s="172" t="str">
        <x:f>IF(A45="","",IFERROR(INDEX(Frozen_Predictions!$G$4:$G$203,MATCH(A45,Frozen_Predictions!$A$4:$A$203,0)),""))</x:f>
      </x:c>
      <x:c r="F45" s="172" t="str">
        <x:f>IF(A45="","",IFERROR(INDEX(Frozen_Predictions!$H$4:$H$203,MATCH(A45,Frozen_Predictions!$A$4:$A$203,0)),""))</x:f>
      </x:c>
      <x:c r="G45" s="172" t="str">
        <x:f>IF(A45="","",IFERROR(INDEX(Frozen_Predictions!$I$4:$I$203,MATCH(A45,Frozen_Predictions!$A$4:$A$203,0)),""))</x:f>
      </x:c>
      <x:c r="H45" s="172" t="str">
        <x:f>IF(A45="","",IFERROR(INDEX(Frozen_Predictions!$J$4:$J$203,MATCH(A45,Frozen_Predictions!$A$4:$A$203,0)),""))</x:f>
      </x:c>
      <x:c r="I45" s="192" t="str">
        <x:f>IF(A45="","",IFERROR(INDEX(Frozen_Predictions!$L$4:$L$203,MATCH(A45,Frozen_Predictions!$A$4:$A$203,0)),""))</x:f>
      </x:c>
      <x:c r="J45" s="172" t="str">
        <x:f>IF(X45&lt;&gt;"SETTLED","",IF(N45&lt;=IF(G45="U3.5",3,IF(G45="U4.5",4,5)),1,0))</x:f>
      </x:c>
      <x:c r="K45" s="195" t="str">
        <x:f>IF(X45&lt;&gt;"SETTLED","",IF(AND(OR(V45="DEFENSIV",V45="PRUDENT",V45="MODERAT",V45="RIDICAT"),ISNUMBER(INDEX(Frozen_Predictions!$Y$4:$Y$203,MATCH(A45,Frozen_Predictions!$A$4:$A$203,0))),INDEX(Frozen_Predictions!$Y$4:$Y$203,MATCH(A45,Frozen_Predictions!$A$4:$A$203,0))&gt;1),IF(J45=1,INDEX(Frozen_Predictions!$Y$4:$Y$203,MATCH(A45,Frozen_Predictions!$A$4:$A$203,0))-1,-1),""))</x:f>
      </x:c>
      <x:c r="L45" s="175"/>
      <x:c r="M45" s="175"/>
      <x:c r="N45" s="172" t="str">
        <x:f>IFERROR(IF(AND(ISNUMBER(L45),ISNUMBER(M45),L45&gt;=0,M45&gt;=0,INT(L45)=L45,INT(M45)=M45),L45+M45,""),"")</x:f>
      </x:c>
      <x:c r="O45" s="172" t="str">
        <x:f>IF(X45&lt;&gt;"SETTLED","",IF(J45=1,"WIN",IF(N45=IF(G45="U3.5",4,IF(G45="U4.5",5,6)),"NEAR TAIL","SEVERE TAIL")))</x:f>
      </x:c>
      <x:c r="P45" s="175"/>
      <x:c r="Q45" s="177"/>
      <x:c r="R45" s="213" t="str">
        <x:f>IF(X45&lt;&gt;"SETTLED","",(I45-J45)^2)</x:f>
      </x:c>
      <x:c r="S45" s="213" t="str">
        <x:f>IF(X45&lt;&gt;"SETTLED","",-(J45*LN(MAX(0.000001,MIN(0.999999,I45)))+(1-J45)*LN(MAX(0.000001,MIN(0.999999,1-I45)))))</x:f>
      </x:c>
      <x:c r="T45" s="172" t="str">
        <x:f>IF(A45="","",IFERROR(INDEX(Frozen_Predictions!$N$4:$N$203,MATCH(A45,Frozen_Predictions!$A$4:$A$203,0)),""))</x:f>
      </x:c>
      <x:c r="U45" s="172" t="str">
        <x:f>IF(A45="","",IFERROR(INDEX(Frozen_Predictions!$O$4:$O$203,MATCH(A45,Frozen_Predictions!$A$4:$A$203,0)),""))</x:f>
      </x:c>
      <x:c r="V45" s="172" t="str">
        <x:f>IF(A45="","",IFERROR(INDEX(Frozen_Predictions!$M$4:$M$203,MATCH(A45,Frozen_Predictions!$A$4:$A$203,0)),""))</x:f>
      </x:c>
      <x:c r="W45" s="175"/>
      <x:c r="X45" s="172" t="str">
        <x:f>IF(A45="","",IF(NOT(COUNTIFS(Frozen_Predictions!$A$4:$A$203,A45)=1),"SNAPSHOT ID INVALID",IFERROR(IF(NOT(AND(INDEX(Frozen_Predictions!$Q$4:$Q$203,MATCH(A45,Frozen_Predictions!$A$4:$A$203,0))="DA",ISNUMBER(INDEX(Frozen_Predictions!$B$4:$B$203,MATCH(A45,Frozen_Predictions!$A$4:$A$203,0))),ISNUMBER(INDEX(Frozen_Predictions!$C$4:$C$203,MATCH(A45,Frozen_Predictions!$A$4:$A$203,0))),INDEX(Frozen_Predictions!$B$4:$B$203,MATCH(A45,Frozen_Predictions!$A$4:$A$203,0))&lt;INDEX(Frozen_Predictions!$C$4:$C$203,MATCH(A45,Frozen_Predictions!$A$4:$A$203,0)),INDEX(Frozen_Predictions!$V$4:$V$203,MATCH(A45,Frozen_Predictions!$A$4:$A$203,0))="READY",INDEX(Frozen_Predictions!$O$4:$O$203,MATCH(A45,Frozen_Predictions!$A$4:$A$203,0))="PASS",INDEX(Frozen_Predictions!$J$4:$J$203,MATCH(A45,Frozen_Predictions!$A$4:$A$203,0))=Under_LineCal_v9!$B$45,COUNTIFS(Frozen_Predictions!$A$4:$A$203,A45,Frozen_Predictions!$L$4:$L$203,"&lt;&gt;",Frozen_Predictions!$L$4:$L$203,"&gt;=0",Frozen_Predictions!$L$4:$L$203,"&lt;=1")=1,COUNTIFS($A$4:$A$203,A45)=1)),"SNAPSHOT NOT VALID",IF(AND(ISNUMBER(I45),I45&gt;=0,I45&lt;=1,ISNUMBER(N45),P45&lt;&gt;"",ISNUMBER(Q45),Q45&gt;=B45,OR(G45="U3.5",G45="U4.5",G45="U5.5")),"SETTLED","PENDING RESULT")),"SNAPSHOT NOT VALID")))</x:f>
      </x:c>
    </x:row>
    <x:row r="46" ht="23" customHeight="1">
      <x:c r="A46" s="175"/>
      <x:c r="B46" s="200" t="str">
        <x:f>IF(A46="","",IFERROR(INDEX(Frozen_Predictions!$C$4:$C$203,MATCH(A46,Frozen_Predictions!$A$4:$A$203,0)),""))</x:f>
      </x:c>
      <x:c r="C46" s="172" t="str">
        <x:f>IF(A46="","",IFERROR(INDEX(Frozen_Predictions!$E$4:$E$203,MATCH(A46,Frozen_Predictions!$A$4:$A$203,0)),""))</x:f>
      </x:c>
      <x:c r="D46" s="172" t="str">
        <x:f>IF(A46="","",IFERROR(INDEX(Frozen_Predictions!$F$4:$F$203,MATCH(A46,Frozen_Predictions!$A$4:$A$203,0)),""))</x:f>
      </x:c>
      <x:c r="E46" s="172" t="str">
        <x:f>IF(A46="","",IFERROR(INDEX(Frozen_Predictions!$G$4:$G$203,MATCH(A46,Frozen_Predictions!$A$4:$A$203,0)),""))</x:f>
      </x:c>
      <x:c r="F46" s="172" t="str">
        <x:f>IF(A46="","",IFERROR(INDEX(Frozen_Predictions!$H$4:$H$203,MATCH(A46,Frozen_Predictions!$A$4:$A$203,0)),""))</x:f>
      </x:c>
      <x:c r="G46" s="172" t="str">
        <x:f>IF(A46="","",IFERROR(INDEX(Frozen_Predictions!$I$4:$I$203,MATCH(A46,Frozen_Predictions!$A$4:$A$203,0)),""))</x:f>
      </x:c>
      <x:c r="H46" s="172" t="str">
        <x:f>IF(A46="","",IFERROR(INDEX(Frozen_Predictions!$J$4:$J$203,MATCH(A46,Frozen_Predictions!$A$4:$A$203,0)),""))</x:f>
      </x:c>
      <x:c r="I46" s="192" t="str">
        <x:f>IF(A46="","",IFERROR(INDEX(Frozen_Predictions!$L$4:$L$203,MATCH(A46,Frozen_Predictions!$A$4:$A$203,0)),""))</x:f>
      </x:c>
      <x:c r="J46" s="172" t="str">
        <x:f>IF(X46&lt;&gt;"SETTLED","",IF(N46&lt;=IF(G46="U3.5",3,IF(G46="U4.5",4,5)),1,0))</x:f>
      </x:c>
      <x:c r="K46" s="195" t="str">
        <x:f>IF(X46&lt;&gt;"SETTLED","",IF(AND(OR(V46="DEFENSIV",V46="PRUDENT",V46="MODERAT",V46="RIDICAT"),ISNUMBER(INDEX(Frozen_Predictions!$Y$4:$Y$203,MATCH(A46,Frozen_Predictions!$A$4:$A$203,0))),INDEX(Frozen_Predictions!$Y$4:$Y$203,MATCH(A46,Frozen_Predictions!$A$4:$A$203,0))&gt;1),IF(J46=1,INDEX(Frozen_Predictions!$Y$4:$Y$203,MATCH(A46,Frozen_Predictions!$A$4:$A$203,0))-1,-1),""))</x:f>
      </x:c>
      <x:c r="L46" s="175"/>
      <x:c r="M46" s="175"/>
      <x:c r="N46" s="172" t="str">
        <x:f>IFERROR(IF(AND(ISNUMBER(L46),ISNUMBER(M46),L46&gt;=0,M46&gt;=0,INT(L46)=L46,INT(M46)=M46),L46+M46,""),"")</x:f>
      </x:c>
      <x:c r="O46" s="172" t="str">
        <x:f>IF(X46&lt;&gt;"SETTLED","",IF(J46=1,"WIN",IF(N46=IF(G46="U3.5",4,IF(G46="U4.5",5,6)),"NEAR TAIL","SEVERE TAIL")))</x:f>
      </x:c>
      <x:c r="P46" s="175"/>
      <x:c r="Q46" s="177"/>
      <x:c r="R46" s="213" t="str">
        <x:f>IF(X46&lt;&gt;"SETTLED","",(I46-J46)^2)</x:f>
      </x:c>
      <x:c r="S46" s="213" t="str">
        <x:f>IF(X46&lt;&gt;"SETTLED","",-(J46*LN(MAX(0.000001,MIN(0.999999,I46)))+(1-J46)*LN(MAX(0.000001,MIN(0.999999,1-I46)))))</x:f>
      </x:c>
      <x:c r="T46" s="172" t="str">
        <x:f>IF(A46="","",IFERROR(INDEX(Frozen_Predictions!$N$4:$N$203,MATCH(A46,Frozen_Predictions!$A$4:$A$203,0)),""))</x:f>
      </x:c>
      <x:c r="U46" s="172" t="str">
        <x:f>IF(A46="","",IFERROR(INDEX(Frozen_Predictions!$O$4:$O$203,MATCH(A46,Frozen_Predictions!$A$4:$A$203,0)),""))</x:f>
      </x:c>
      <x:c r="V46" s="172" t="str">
        <x:f>IF(A46="","",IFERROR(INDEX(Frozen_Predictions!$M$4:$M$203,MATCH(A46,Frozen_Predictions!$A$4:$A$203,0)),""))</x:f>
      </x:c>
      <x:c r="W46" s="175"/>
      <x:c r="X46" s="172" t="str">
        <x:f>IF(A46="","",IF(NOT(COUNTIFS(Frozen_Predictions!$A$4:$A$203,A46)=1),"SNAPSHOT ID INVALID",IFERROR(IF(NOT(AND(INDEX(Frozen_Predictions!$Q$4:$Q$203,MATCH(A46,Frozen_Predictions!$A$4:$A$203,0))="DA",ISNUMBER(INDEX(Frozen_Predictions!$B$4:$B$203,MATCH(A46,Frozen_Predictions!$A$4:$A$203,0))),ISNUMBER(INDEX(Frozen_Predictions!$C$4:$C$203,MATCH(A46,Frozen_Predictions!$A$4:$A$203,0))),INDEX(Frozen_Predictions!$B$4:$B$203,MATCH(A46,Frozen_Predictions!$A$4:$A$203,0))&lt;INDEX(Frozen_Predictions!$C$4:$C$203,MATCH(A46,Frozen_Predictions!$A$4:$A$203,0)),INDEX(Frozen_Predictions!$V$4:$V$203,MATCH(A46,Frozen_Predictions!$A$4:$A$203,0))="READY",INDEX(Frozen_Predictions!$O$4:$O$203,MATCH(A46,Frozen_Predictions!$A$4:$A$203,0))="PASS",INDEX(Frozen_Predictions!$J$4:$J$203,MATCH(A46,Frozen_Predictions!$A$4:$A$203,0))=Under_LineCal_v9!$B$45,COUNTIFS(Frozen_Predictions!$A$4:$A$203,A46,Frozen_Predictions!$L$4:$L$203,"&lt;&gt;",Frozen_Predictions!$L$4:$L$203,"&gt;=0",Frozen_Predictions!$L$4:$L$203,"&lt;=1")=1,COUNTIFS($A$4:$A$203,A46)=1)),"SNAPSHOT NOT VALID",IF(AND(ISNUMBER(I46),I46&gt;=0,I46&lt;=1,ISNUMBER(N46),P46&lt;&gt;"",ISNUMBER(Q46),Q46&gt;=B46,OR(G46="U3.5",G46="U4.5",G46="U5.5")),"SETTLED","PENDING RESULT")),"SNAPSHOT NOT VALID")))</x:f>
      </x:c>
    </x:row>
    <x:row r="47" ht="23" customHeight="1">
      <x:c r="A47" s="175"/>
      <x:c r="B47" s="200" t="str">
        <x:f>IF(A47="","",IFERROR(INDEX(Frozen_Predictions!$C$4:$C$203,MATCH(A47,Frozen_Predictions!$A$4:$A$203,0)),""))</x:f>
      </x:c>
      <x:c r="C47" s="172" t="str">
        <x:f>IF(A47="","",IFERROR(INDEX(Frozen_Predictions!$E$4:$E$203,MATCH(A47,Frozen_Predictions!$A$4:$A$203,0)),""))</x:f>
      </x:c>
      <x:c r="D47" s="172" t="str">
        <x:f>IF(A47="","",IFERROR(INDEX(Frozen_Predictions!$F$4:$F$203,MATCH(A47,Frozen_Predictions!$A$4:$A$203,0)),""))</x:f>
      </x:c>
      <x:c r="E47" s="172" t="str">
        <x:f>IF(A47="","",IFERROR(INDEX(Frozen_Predictions!$G$4:$G$203,MATCH(A47,Frozen_Predictions!$A$4:$A$203,0)),""))</x:f>
      </x:c>
      <x:c r="F47" s="172" t="str">
        <x:f>IF(A47="","",IFERROR(INDEX(Frozen_Predictions!$H$4:$H$203,MATCH(A47,Frozen_Predictions!$A$4:$A$203,0)),""))</x:f>
      </x:c>
      <x:c r="G47" s="172" t="str">
        <x:f>IF(A47="","",IFERROR(INDEX(Frozen_Predictions!$I$4:$I$203,MATCH(A47,Frozen_Predictions!$A$4:$A$203,0)),""))</x:f>
      </x:c>
      <x:c r="H47" s="172" t="str">
        <x:f>IF(A47="","",IFERROR(INDEX(Frozen_Predictions!$J$4:$J$203,MATCH(A47,Frozen_Predictions!$A$4:$A$203,0)),""))</x:f>
      </x:c>
      <x:c r="I47" s="192" t="str">
        <x:f>IF(A47="","",IFERROR(INDEX(Frozen_Predictions!$L$4:$L$203,MATCH(A47,Frozen_Predictions!$A$4:$A$203,0)),""))</x:f>
      </x:c>
      <x:c r="J47" s="172" t="str">
        <x:f>IF(X47&lt;&gt;"SETTLED","",IF(N47&lt;=IF(G47="U3.5",3,IF(G47="U4.5",4,5)),1,0))</x:f>
      </x:c>
      <x:c r="K47" s="195" t="str">
        <x:f>IF(X47&lt;&gt;"SETTLED","",IF(AND(OR(V47="DEFENSIV",V47="PRUDENT",V47="MODERAT",V47="RIDICAT"),ISNUMBER(INDEX(Frozen_Predictions!$Y$4:$Y$203,MATCH(A47,Frozen_Predictions!$A$4:$A$203,0))),INDEX(Frozen_Predictions!$Y$4:$Y$203,MATCH(A47,Frozen_Predictions!$A$4:$A$203,0))&gt;1),IF(J47=1,INDEX(Frozen_Predictions!$Y$4:$Y$203,MATCH(A47,Frozen_Predictions!$A$4:$A$203,0))-1,-1),""))</x:f>
      </x:c>
      <x:c r="L47" s="175"/>
      <x:c r="M47" s="175"/>
      <x:c r="N47" s="172" t="str">
        <x:f>IFERROR(IF(AND(ISNUMBER(L47),ISNUMBER(M47),L47&gt;=0,M47&gt;=0,INT(L47)=L47,INT(M47)=M47),L47+M47,""),"")</x:f>
      </x:c>
      <x:c r="O47" s="172" t="str">
        <x:f>IF(X47&lt;&gt;"SETTLED","",IF(J47=1,"WIN",IF(N47=IF(G47="U3.5",4,IF(G47="U4.5",5,6)),"NEAR TAIL","SEVERE TAIL")))</x:f>
      </x:c>
      <x:c r="P47" s="175"/>
      <x:c r="Q47" s="177"/>
      <x:c r="R47" s="213" t="str">
        <x:f>IF(X47&lt;&gt;"SETTLED","",(I47-J47)^2)</x:f>
      </x:c>
      <x:c r="S47" s="213" t="str">
        <x:f>IF(X47&lt;&gt;"SETTLED","",-(J47*LN(MAX(0.000001,MIN(0.999999,I47)))+(1-J47)*LN(MAX(0.000001,MIN(0.999999,1-I47)))))</x:f>
      </x:c>
      <x:c r="T47" s="172" t="str">
        <x:f>IF(A47="","",IFERROR(INDEX(Frozen_Predictions!$N$4:$N$203,MATCH(A47,Frozen_Predictions!$A$4:$A$203,0)),""))</x:f>
      </x:c>
      <x:c r="U47" s="172" t="str">
        <x:f>IF(A47="","",IFERROR(INDEX(Frozen_Predictions!$O$4:$O$203,MATCH(A47,Frozen_Predictions!$A$4:$A$203,0)),""))</x:f>
      </x:c>
      <x:c r="V47" s="172" t="str">
        <x:f>IF(A47="","",IFERROR(INDEX(Frozen_Predictions!$M$4:$M$203,MATCH(A47,Frozen_Predictions!$A$4:$A$203,0)),""))</x:f>
      </x:c>
      <x:c r="W47" s="175"/>
      <x:c r="X47" s="172" t="str">
        <x:f>IF(A47="","",IF(NOT(COUNTIFS(Frozen_Predictions!$A$4:$A$203,A47)=1),"SNAPSHOT ID INVALID",IFERROR(IF(NOT(AND(INDEX(Frozen_Predictions!$Q$4:$Q$203,MATCH(A47,Frozen_Predictions!$A$4:$A$203,0))="DA",ISNUMBER(INDEX(Frozen_Predictions!$B$4:$B$203,MATCH(A47,Frozen_Predictions!$A$4:$A$203,0))),ISNUMBER(INDEX(Frozen_Predictions!$C$4:$C$203,MATCH(A47,Frozen_Predictions!$A$4:$A$203,0))),INDEX(Frozen_Predictions!$B$4:$B$203,MATCH(A47,Frozen_Predictions!$A$4:$A$203,0))&lt;INDEX(Frozen_Predictions!$C$4:$C$203,MATCH(A47,Frozen_Predictions!$A$4:$A$203,0)),INDEX(Frozen_Predictions!$V$4:$V$203,MATCH(A47,Frozen_Predictions!$A$4:$A$203,0))="READY",INDEX(Frozen_Predictions!$O$4:$O$203,MATCH(A47,Frozen_Predictions!$A$4:$A$203,0))="PASS",INDEX(Frozen_Predictions!$J$4:$J$203,MATCH(A47,Frozen_Predictions!$A$4:$A$203,0))=Under_LineCal_v9!$B$45,COUNTIFS(Frozen_Predictions!$A$4:$A$203,A47,Frozen_Predictions!$L$4:$L$203,"&lt;&gt;",Frozen_Predictions!$L$4:$L$203,"&gt;=0",Frozen_Predictions!$L$4:$L$203,"&lt;=1")=1,COUNTIFS($A$4:$A$203,A47)=1)),"SNAPSHOT NOT VALID",IF(AND(ISNUMBER(I47),I47&gt;=0,I47&lt;=1,ISNUMBER(N47),P47&lt;&gt;"",ISNUMBER(Q47),Q47&gt;=B47,OR(G47="U3.5",G47="U4.5",G47="U5.5")),"SETTLED","PENDING RESULT")),"SNAPSHOT NOT VALID")))</x:f>
      </x:c>
    </x:row>
    <x:row r="48" ht="23" customHeight="1">
      <x:c r="A48" s="175"/>
      <x:c r="B48" s="200" t="str">
        <x:f>IF(A48="","",IFERROR(INDEX(Frozen_Predictions!$C$4:$C$203,MATCH(A48,Frozen_Predictions!$A$4:$A$203,0)),""))</x:f>
      </x:c>
      <x:c r="C48" s="172" t="str">
        <x:f>IF(A48="","",IFERROR(INDEX(Frozen_Predictions!$E$4:$E$203,MATCH(A48,Frozen_Predictions!$A$4:$A$203,0)),""))</x:f>
      </x:c>
      <x:c r="D48" s="172" t="str">
        <x:f>IF(A48="","",IFERROR(INDEX(Frozen_Predictions!$F$4:$F$203,MATCH(A48,Frozen_Predictions!$A$4:$A$203,0)),""))</x:f>
      </x:c>
      <x:c r="E48" s="172" t="str">
        <x:f>IF(A48="","",IFERROR(INDEX(Frozen_Predictions!$G$4:$G$203,MATCH(A48,Frozen_Predictions!$A$4:$A$203,0)),""))</x:f>
      </x:c>
      <x:c r="F48" s="172" t="str">
        <x:f>IF(A48="","",IFERROR(INDEX(Frozen_Predictions!$H$4:$H$203,MATCH(A48,Frozen_Predictions!$A$4:$A$203,0)),""))</x:f>
      </x:c>
      <x:c r="G48" s="172" t="str">
        <x:f>IF(A48="","",IFERROR(INDEX(Frozen_Predictions!$I$4:$I$203,MATCH(A48,Frozen_Predictions!$A$4:$A$203,0)),""))</x:f>
      </x:c>
      <x:c r="H48" s="172" t="str">
        <x:f>IF(A48="","",IFERROR(INDEX(Frozen_Predictions!$J$4:$J$203,MATCH(A48,Frozen_Predictions!$A$4:$A$203,0)),""))</x:f>
      </x:c>
      <x:c r="I48" s="192" t="str">
        <x:f>IF(A48="","",IFERROR(INDEX(Frozen_Predictions!$L$4:$L$203,MATCH(A48,Frozen_Predictions!$A$4:$A$203,0)),""))</x:f>
      </x:c>
      <x:c r="J48" s="172" t="str">
        <x:f>IF(X48&lt;&gt;"SETTLED","",IF(N48&lt;=IF(G48="U3.5",3,IF(G48="U4.5",4,5)),1,0))</x:f>
      </x:c>
      <x:c r="K48" s="195" t="str">
        <x:f>IF(X48&lt;&gt;"SETTLED","",IF(AND(OR(V48="DEFENSIV",V48="PRUDENT",V48="MODERAT",V48="RIDICAT"),ISNUMBER(INDEX(Frozen_Predictions!$Y$4:$Y$203,MATCH(A48,Frozen_Predictions!$A$4:$A$203,0))),INDEX(Frozen_Predictions!$Y$4:$Y$203,MATCH(A48,Frozen_Predictions!$A$4:$A$203,0))&gt;1),IF(J48=1,INDEX(Frozen_Predictions!$Y$4:$Y$203,MATCH(A48,Frozen_Predictions!$A$4:$A$203,0))-1,-1),""))</x:f>
      </x:c>
      <x:c r="L48" s="175"/>
      <x:c r="M48" s="175"/>
      <x:c r="N48" s="172" t="str">
        <x:f>IFERROR(IF(AND(ISNUMBER(L48),ISNUMBER(M48),L48&gt;=0,M48&gt;=0,INT(L48)=L48,INT(M48)=M48),L48+M48,""),"")</x:f>
      </x:c>
      <x:c r="O48" s="172" t="str">
        <x:f>IF(X48&lt;&gt;"SETTLED","",IF(J48=1,"WIN",IF(N48=IF(G48="U3.5",4,IF(G48="U4.5",5,6)),"NEAR TAIL","SEVERE TAIL")))</x:f>
      </x:c>
      <x:c r="P48" s="175"/>
      <x:c r="Q48" s="177"/>
      <x:c r="R48" s="213" t="str">
        <x:f>IF(X48&lt;&gt;"SETTLED","",(I48-J48)^2)</x:f>
      </x:c>
      <x:c r="S48" s="213" t="str">
        <x:f>IF(X48&lt;&gt;"SETTLED","",-(J48*LN(MAX(0.000001,MIN(0.999999,I48)))+(1-J48)*LN(MAX(0.000001,MIN(0.999999,1-I48)))))</x:f>
      </x:c>
      <x:c r="T48" s="172" t="str">
        <x:f>IF(A48="","",IFERROR(INDEX(Frozen_Predictions!$N$4:$N$203,MATCH(A48,Frozen_Predictions!$A$4:$A$203,0)),""))</x:f>
      </x:c>
      <x:c r="U48" s="172" t="str">
        <x:f>IF(A48="","",IFERROR(INDEX(Frozen_Predictions!$O$4:$O$203,MATCH(A48,Frozen_Predictions!$A$4:$A$203,0)),""))</x:f>
      </x:c>
      <x:c r="V48" s="172" t="str">
        <x:f>IF(A48="","",IFERROR(INDEX(Frozen_Predictions!$M$4:$M$203,MATCH(A48,Frozen_Predictions!$A$4:$A$203,0)),""))</x:f>
      </x:c>
      <x:c r="W48" s="175"/>
      <x:c r="X48" s="172" t="str">
        <x:f>IF(A48="","",IF(NOT(COUNTIFS(Frozen_Predictions!$A$4:$A$203,A48)=1),"SNAPSHOT ID INVALID",IFERROR(IF(NOT(AND(INDEX(Frozen_Predictions!$Q$4:$Q$203,MATCH(A48,Frozen_Predictions!$A$4:$A$203,0))="DA",ISNUMBER(INDEX(Frozen_Predictions!$B$4:$B$203,MATCH(A48,Frozen_Predictions!$A$4:$A$203,0))),ISNUMBER(INDEX(Frozen_Predictions!$C$4:$C$203,MATCH(A48,Frozen_Predictions!$A$4:$A$203,0))),INDEX(Frozen_Predictions!$B$4:$B$203,MATCH(A48,Frozen_Predictions!$A$4:$A$203,0))&lt;INDEX(Frozen_Predictions!$C$4:$C$203,MATCH(A48,Frozen_Predictions!$A$4:$A$203,0)),INDEX(Frozen_Predictions!$V$4:$V$203,MATCH(A48,Frozen_Predictions!$A$4:$A$203,0))="READY",INDEX(Frozen_Predictions!$O$4:$O$203,MATCH(A48,Frozen_Predictions!$A$4:$A$203,0))="PASS",INDEX(Frozen_Predictions!$J$4:$J$203,MATCH(A48,Frozen_Predictions!$A$4:$A$203,0))=Under_LineCal_v9!$B$45,COUNTIFS(Frozen_Predictions!$A$4:$A$203,A48,Frozen_Predictions!$L$4:$L$203,"&lt;&gt;",Frozen_Predictions!$L$4:$L$203,"&gt;=0",Frozen_Predictions!$L$4:$L$203,"&lt;=1")=1,COUNTIFS($A$4:$A$203,A48)=1)),"SNAPSHOT NOT VALID",IF(AND(ISNUMBER(I48),I48&gt;=0,I48&lt;=1,ISNUMBER(N48),P48&lt;&gt;"",ISNUMBER(Q48),Q48&gt;=B48,OR(G48="U3.5",G48="U4.5",G48="U5.5")),"SETTLED","PENDING RESULT")),"SNAPSHOT NOT VALID")))</x:f>
      </x:c>
    </x:row>
    <x:row r="49" ht="23" customHeight="1">
      <x:c r="A49" s="175"/>
      <x:c r="B49" s="200" t="str">
        <x:f>IF(A49="","",IFERROR(INDEX(Frozen_Predictions!$C$4:$C$203,MATCH(A49,Frozen_Predictions!$A$4:$A$203,0)),""))</x:f>
      </x:c>
      <x:c r="C49" s="172" t="str">
        <x:f>IF(A49="","",IFERROR(INDEX(Frozen_Predictions!$E$4:$E$203,MATCH(A49,Frozen_Predictions!$A$4:$A$203,0)),""))</x:f>
      </x:c>
      <x:c r="D49" s="172" t="str">
        <x:f>IF(A49="","",IFERROR(INDEX(Frozen_Predictions!$F$4:$F$203,MATCH(A49,Frozen_Predictions!$A$4:$A$203,0)),""))</x:f>
      </x:c>
      <x:c r="E49" s="172" t="str">
        <x:f>IF(A49="","",IFERROR(INDEX(Frozen_Predictions!$G$4:$G$203,MATCH(A49,Frozen_Predictions!$A$4:$A$203,0)),""))</x:f>
      </x:c>
      <x:c r="F49" s="172" t="str">
        <x:f>IF(A49="","",IFERROR(INDEX(Frozen_Predictions!$H$4:$H$203,MATCH(A49,Frozen_Predictions!$A$4:$A$203,0)),""))</x:f>
      </x:c>
      <x:c r="G49" s="172" t="str">
        <x:f>IF(A49="","",IFERROR(INDEX(Frozen_Predictions!$I$4:$I$203,MATCH(A49,Frozen_Predictions!$A$4:$A$203,0)),""))</x:f>
      </x:c>
      <x:c r="H49" s="172" t="str">
        <x:f>IF(A49="","",IFERROR(INDEX(Frozen_Predictions!$J$4:$J$203,MATCH(A49,Frozen_Predictions!$A$4:$A$203,0)),""))</x:f>
      </x:c>
      <x:c r="I49" s="192" t="str">
        <x:f>IF(A49="","",IFERROR(INDEX(Frozen_Predictions!$L$4:$L$203,MATCH(A49,Frozen_Predictions!$A$4:$A$203,0)),""))</x:f>
      </x:c>
      <x:c r="J49" s="172" t="str">
        <x:f>IF(X49&lt;&gt;"SETTLED","",IF(N49&lt;=IF(G49="U3.5",3,IF(G49="U4.5",4,5)),1,0))</x:f>
      </x:c>
      <x:c r="K49" s="195" t="str">
        <x:f>IF(X49&lt;&gt;"SETTLED","",IF(AND(OR(V49="DEFENSIV",V49="PRUDENT",V49="MODERAT",V49="RIDICAT"),ISNUMBER(INDEX(Frozen_Predictions!$Y$4:$Y$203,MATCH(A49,Frozen_Predictions!$A$4:$A$203,0))),INDEX(Frozen_Predictions!$Y$4:$Y$203,MATCH(A49,Frozen_Predictions!$A$4:$A$203,0))&gt;1),IF(J49=1,INDEX(Frozen_Predictions!$Y$4:$Y$203,MATCH(A49,Frozen_Predictions!$A$4:$A$203,0))-1,-1),""))</x:f>
      </x:c>
      <x:c r="L49" s="175"/>
      <x:c r="M49" s="175"/>
      <x:c r="N49" s="172" t="str">
        <x:f>IFERROR(IF(AND(ISNUMBER(L49),ISNUMBER(M49),L49&gt;=0,M49&gt;=0,INT(L49)=L49,INT(M49)=M49),L49+M49,""),"")</x:f>
      </x:c>
      <x:c r="O49" s="172" t="str">
        <x:f>IF(X49&lt;&gt;"SETTLED","",IF(J49=1,"WIN",IF(N49=IF(G49="U3.5",4,IF(G49="U4.5",5,6)),"NEAR TAIL","SEVERE TAIL")))</x:f>
      </x:c>
      <x:c r="P49" s="175"/>
      <x:c r="Q49" s="177"/>
      <x:c r="R49" s="213" t="str">
        <x:f>IF(X49&lt;&gt;"SETTLED","",(I49-J49)^2)</x:f>
      </x:c>
      <x:c r="S49" s="213" t="str">
        <x:f>IF(X49&lt;&gt;"SETTLED","",-(J49*LN(MAX(0.000001,MIN(0.999999,I49)))+(1-J49)*LN(MAX(0.000001,MIN(0.999999,1-I49)))))</x:f>
      </x:c>
      <x:c r="T49" s="172" t="str">
        <x:f>IF(A49="","",IFERROR(INDEX(Frozen_Predictions!$N$4:$N$203,MATCH(A49,Frozen_Predictions!$A$4:$A$203,0)),""))</x:f>
      </x:c>
      <x:c r="U49" s="172" t="str">
        <x:f>IF(A49="","",IFERROR(INDEX(Frozen_Predictions!$O$4:$O$203,MATCH(A49,Frozen_Predictions!$A$4:$A$203,0)),""))</x:f>
      </x:c>
      <x:c r="V49" s="172" t="str">
        <x:f>IF(A49="","",IFERROR(INDEX(Frozen_Predictions!$M$4:$M$203,MATCH(A49,Frozen_Predictions!$A$4:$A$203,0)),""))</x:f>
      </x:c>
      <x:c r="W49" s="175"/>
      <x:c r="X49" s="172" t="str">
        <x:f>IF(A49="","",IF(NOT(COUNTIFS(Frozen_Predictions!$A$4:$A$203,A49)=1),"SNAPSHOT ID INVALID",IFERROR(IF(NOT(AND(INDEX(Frozen_Predictions!$Q$4:$Q$203,MATCH(A49,Frozen_Predictions!$A$4:$A$203,0))="DA",ISNUMBER(INDEX(Frozen_Predictions!$B$4:$B$203,MATCH(A49,Frozen_Predictions!$A$4:$A$203,0))),ISNUMBER(INDEX(Frozen_Predictions!$C$4:$C$203,MATCH(A49,Frozen_Predictions!$A$4:$A$203,0))),INDEX(Frozen_Predictions!$B$4:$B$203,MATCH(A49,Frozen_Predictions!$A$4:$A$203,0))&lt;INDEX(Frozen_Predictions!$C$4:$C$203,MATCH(A49,Frozen_Predictions!$A$4:$A$203,0)),INDEX(Frozen_Predictions!$V$4:$V$203,MATCH(A49,Frozen_Predictions!$A$4:$A$203,0))="READY",INDEX(Frozen_Predictions!$O$4:$O$203,MATCH(A49,Frozen_Predictions!$A$4:$A$203,0))="PASS",INDEX(Frozen_Predictions!$J$4:$J$203,MATCH(A49,Frozen_Predictions!$A$4:$A$203,0))=Under_LineCal_v9!$B$45,COUNTIFS(Frozen_Predictions!$A$4:$A$203,A49,Frozen_Predictions!$L$4:$L$203,"&lt;&gt;",Frozen_Predictions!$L$4:$L$203,"&gt;=0",Frozen_Predictions!$L$4:$L$203,"&lt;=1")=1,COUNTIFS($A$4:$A$203,A49)=1)),"SNAPSHOT NOT VALID",IF(AND(ISNUMBER(I49),I49&gt;=0,I49&lt;=1,ISNUMBER(N49),P49&lt;&gt;"",ISNUMBER(Q49),Q49&gt;=B49,OR(G49="U3.5",G49="U4.5",G49="U5.5")),"SETTLED","PENDING RESULT")),"SNAPSHOT NOT VALID")))</x:f>
      </x:c>
    </x:row>
    <x:row r="50" ht="23" customHeight="1">
      <x:c r="A50" s="175"/>
      <x:c r="B50" s="200" t="str">
        <x:f>IF(A50="","",IFERROR(INDEX(Frozen_Predictions!$C$4:$C$203,MATCH(A50,Frozen_Predictions!$A$4:$A$203,0)),""))</x:f>
      </x:c>
      <x:c r="C50" s="172" t="str">
        <x:f>IF(A50="","",IFERROR(INDEX(Frozen_Predictions!$E$4:$E$203,MATCH(A50,Frozen_Predictions!$A$4:$A$203,0)),""))</x:f>
      </x:c>
      <x:c r="D50" s="172" t="str">
        <x:f>IF(A50="","",IFERROR(INDEX(Frozen_Predictions!$F$4:$F$203,MATCH(A50,Frozen_Predictions!$A$4:$A$203,0)),""))</x:f>
      </x:c>
      <x:c r="E50" s="172" t="str">
        <x:f>IF(A50="","",IFERROR(INDEX(Frozen_Predictions!$G$4:$G$203,MATCH(A50,Frozen_Predictions!$A$4:$A$203,0)),""))</x:f>
      </x:c>
      <x:c r="F50" s="172" t="str">
        <x:f>IF(A50="","",IFERROR(INDEX(Frozen_Predictions!$H$4:$H$203,MATCH(A50,Frozen_Predictions!$A$4:$A$203,0)),""))</x:f>
      </x:c>
      <x:c r="G50" s="172" t="str">
        <x:f>IF(A50="","",IFERROR(INDEX(Frozen_Predictions!$I$4:$I$203,MATCH(A50,Frozen_Predictions!$A$4:$A$203,0)),""))</x:f>
      </x:c>
      <x:c r="H50" s="172" t="str">
        <x:f>IF(A50="","",IFERROR(INDEX(Frozen_Predictions!$J$4:$J$203,MATCH(A50,Frozen_Predictions!$A$4:$A$203,0)),""))</x:f>
      </x:c>
      <x:c r="I50" s="192" t="str">
        <x:f>IF(A50="","",IFERROR(INDEX(Frozen_Predictions!$L$4:$L$203,MATCH(A50,Frozen_Predictions!$A$4:$A$203,0)),""))</x:f>
      </x:c>
      <x:c r="J50" s="172" t="str">
        <x:f>IF(X50&lt;&gt;"SETTLED","",IF(N50&lt;=IF(G50="U3.5",3,IF(G50="U4.5",4,5)),1,0))</x:f>
      </x:c>
      <x:c r="K50" s="195" t="str">
        <x:f>IF(X50&lt;&gt;"SETTLED","",IF(AND(OR(V50="DEFENSIV",V50="PRUDENT",V50="MODERAT",V50="RIDICAT"),ISNUMBER(INDEX(Frozen_Predictions!$Y$4:$Y$203,MATCH(A50,Frozen_Predictions!$A$4:$A$203,0))),INDEX(Frozen_Predictions!$Y$4:$Y$203,MATCH(A50,Frozen_Predictions!$A$4:$A$203,0))&gt;1),IF(J50=1,INDEX(Frozen_Predictions!$Y$4:$Y$203,MATCH(A50,Frozen_Predictions!$A$4:$A$203,0))-1,-1),""))</x:f>
      </x:c>
      <x:c r="L50" s="175"/>
      <x:c r="M50" s="175"/>
      <x:c r="N50" s="172" t="str">
        <x:f>IFERROR(IF(AND(ISNUMBER(L50),ISNUMBER(M50),L50&gt;=0,M50&gt;=0,INT(L50)=L50,INT(M50)=M50),L50+M50,""),"")</x:f>
      </x:c>
      <x:c r="O50" s="172" t="str">
        <x:f>IF(X50&lt;&gt;"SETTLED","",IF(J50=1,"WIN",IF(N50=IF(G50="U3.5",4,IF(G50="U4.5",5,6)),"NEAR TAIL","SEVERE TAIL")))</x:f>
      </x:c>
      <x:c r="P50" s="175"/>
      <x:c r="Q50" s="177"/>
      <x:c r="R50" s="213" t="str">
        <x:f>IF(X50&lt;&gt;"SETTLED","",(I50-J50)^2)</x:f>
      </x:c>
      <x:c r="S50" s="213" t="str">
        <x:f>IF(X50&lt;&gt;"SETTLED","",-(J50*LN(MAX(0.000001,MIN(0.999999,I50)))+(1-J50)*LN(MAX(0.000001,MIN(0.999999,1-I50)))))</x:f>
      </x:c>
      <x:c r="T50" s="172" t="str">
        <x:f>IF(A50="","",IFERROR(INDEX(Frozen_Predictions!$N$4:$N$203,MATCH(A50,Frozen_Predictions!$A$4:$A$203,0)),""))</x:f>
      </x:c>
      <x:c r="U50" s="172" t="str">
        <x:f>IF(A50="","",IFERROR(INDEX(Frozen_Predictions!$O$4:$O$203,MATCH(A50,Frozen_Predictions!$A$4:$A$203,0)),""))</x:f>
      </x:c>
      <x:c r="V50" s="172" t="str">
        <x:f>IF(A50="","",IFERROR(INDEX(Frozen_Predictions!$M$4:$M$203,MATCH(A50,Frozen_Predictions!$A$4:$A$203,0)),""))</x:f>
      </x:c>
      <x:c r="W50" s="175"/>
      <x:c r="X50" s="172" t="str">
        <x:f>IF(A50="","",IF(NOT(COUNTIFS(Frozen_Predictions!$A$4:$A$203,A50)=1),"SNAPSHOT ID INVALID",IFERROR(IF(NOT(AND(INDEX(Frozen_Predictions!$Q$4:$Q$203,MATCH(A50,Frozen_Predictions!$A$4:$A$203,0))="DA",ISNUMBER(INDEX(Frozen_Predictions!$B$4:$B$203,MATCH(A50,Frozen_Predictions!$A$4:$A$203,0))),ISNUMBER(INDEX(Frozen_Predictions!$C$4:$C$203,MATCH(A50,Frozen_Predictions!$A$4:$A$203,0))),INDEX(Frozen_Predictions!$B$4:$B$203,MATCH(A50,Frozen_Predictions!$A$4:$A$203,0))&lt;INDEX(Frozen_Predictions!$C$4:$C$203,MATCH(A50,Frozen_Predictions!$A$4:$A$203,0)),INDEX(Frozen_Predictions!$V$4:$V$203,MATCH(A50,Frozen_Predictions!$A$4:$A$203,0))="READY",INDEX(Frozen_Predictions!$O$4:$O$203,MATCH(A50,Frozen_Predictions!$A$4:$A$203,0))="PASS",INDEX(Frozen_Predictions!$J$4:$J$203,MATCH(A50,Frozen_Predictions!$A$4:$A$203,0))=Under_LineCal_v9!$B$45,COUNTIFS(Frozen_Predictions!$A$4:$A$203,A50,Frozen_Predictions!$L$4:$L$203,"&lt;&gt;",Frozen_Predictions!$L$4:$L$203,"&gt;=0",Frozen_Predictions!$L$4:$L$203,"&lt;=1")=1,COUNTIFS($A$4:$A$203,A50)=1)),"SNAPSHOT NOT VALID",IF(AND(ISNUMBER(I50),I50&gt;=0,I50&lt;=1,ISNUMBER(N50),P50&lt;&gt;"",ISNUMBER(Q50),Q50&gt;=B50,OR(G50="U3.5",G50="U4.5",G50="U5.5")),"SETTLED","PENDING RESULT")),"SNAPSHOT NOT VALID")))</x:f>
      </x:c>
    </x:row>
    <x:row r="51" ht="23" customHeight="1">
      <x:c r="A51" s="175"/>
      <x:c r="B51" s="200" t="str">
        <x:f>IF(A51="","",IFERROR(INDEX(Frozen_Predictions!$C$4:$C$203,MATCH(A51,Frozen_Predictions!$A$4:$A$203,0)),""))</x:f>
      </x:c>
      <x:c r="C51" s="172" t="str">
        <x:f>IF(A51="","",IFERROR(INDEX(Frozen_Predictions!$E$4:$E$203,MATCH(A51,Frozen_Predictions!$A$4:$A$203,0)),""))</x:f>
      </x:c>
      <x:c r="D51" s="172" t="str">
        <x:f>IF(A51="","",IFERROR(INDEX(Frozen_Predictions!$F$4:$F$203,MATCH(A51,Frozen_Predictions!$A$4:$A$203,0)),""))</x:f>
      </x:c>
      <x:c r="E51" s="172" t="str">
        <x:f>IF(A51="","",IFERROR(INDEX(Frozen_Predictions!$G$4:$G$203,MATCH(A51,Frozen_Predictions!$A$4:$A$203,0)),""))</x:f>
      </x:c>
      <x:c r="F51" s="172" t="str">
        <x:f>IF(A51="","",IFERROR(INDEX(Frozen_Predictions!$H$4:$H$203,MATCH(A51,Frozen_Predictions!$A$4:$A$203,0)),""))</x:f>
      </x:c>
      <x:c r="G51" s="172" t="str">
        <x:f>IF(A51="","",IFERROR(INDEX(Frozen_Predictions!$I$4:$I$203,MATCH(A51,Frozen_Predictions!$A$4:$A$203,0)),""))</x:f>
      </x:c>
      <x:c r="H51" s="172" t="str">
        <x:f>IF(A51="","",IFERROR(INDEX(Frozen_Predictions!$J$4:$J$203,MATCH(A51,Frozen_Predictions!$A$4:$A$203,0)),""))</x:f>
      </x:c>
      <x:c r="I51" s="192" t="str">
        <x:f>IF(A51="","",IFERROR(INDEX(Frozen_Predictions!$L$4:$L$203,MATCH(A51,Frozen_Predictions!$A$4:$A$203,0)),""))</x:f>
      </x:c>
      <x:c r="J51" s="172" t="str">
        <x:f>IF(X51&lt;&gt;"SETTLED","",IF(N51&lt;=IF(G51="U3.5",3,IF(G51="U4.5",4,5)),1,0))</x:f>
      </x:c>
      <x:c r="K51" s="195" t="str">
        <x:f>IF(X51&lt;&gt;"SETTLED","",IF(AND(OR(V51="DEFENSIV",V51="PRUDENT",V51="MODERAT",V51="RIDICAT"),ISNUMBER(INDEX(Frozen_Predictions!$Y$4:$Y$203,MATCH(A51,Frozen_Predictions!$A$4:$A$203,0))),INDEX(Frozen_Predictions!$Y$4:$Y$203,MATCH(A51,Frozen_Predictions!$A$4:$A$203,0))&gt;1),IF(J51=1,INDEX(Frozen_Predictions!$Y$4:$Y$203,MATCH(A51,Frozen_Predictions!$A$4:$A$203,0))-1,-1),""))</x:f>
      </x:c>
      <x:c r="L51" s="175"/>
      <x:c r="M51" s="175"/>
      <x:c r="N51" s="172" t="str">
        <x:f>IFERROR(IF(AND(ISNUMBER(L51),ISNUMBER(M51),L51&gt;=0,M51&gt;=0,INT(L51)=L51,INT(M51)=M51),L51+M51,""),"")</x:f>
      </x:c>
      <x:c r="O51" s="172" t="str">
        <x:f>IF(X51&lt;&gt;"SETTLED","",IF(J51=1,"WIN",IF(N51=IF(G51="U3.5",4,IF(G51="U4.5",5,6)),"NEAR TAIL","SEVERE TAIL")))</x:f>
      </x:c>
      <x:c r="P51" s="175"/>
      <x:c r="Q51" s="177"/>
      <x:c r="R51" s="213" t="str">
        <x:f>IF(X51&lt;&gt;"SETTLED","",(I51-J51)^2)</x:f>
      </x:c>
      <x:c r="S51" s="213" t="str">
        <x:f>IF(X51&lt;&gt;"SETTLED","",-(J51*LN(MAX(0.000001,MIN(0.999999,I51)))+(1-J51)*LN(MAX(0.000001,MIN(0.999999,1-I51)))))</x:f>
      </x:c>
      <x:c r="T51" s="172" t="str">
        <x:f>IF(A51="","",IFERROR(INDEX(Frozen_Predictions!$N$4:$N$203,MATCH(A51,Frozen_Predictions!$A$4:$A$203,0)),""))</x:f>
      </x:c>
      <x:c r="U51" s="172" t="str">
        <x:f>IF(A51="","",IFERROR(INDEX(Frozen_Predictions!$O$4:$O$203,MATCH(A51,Frozen_Predictions!$A$4:$A$203,0)),""))</x:f>
      </x:c>
      <x:c r="V51" s="172" t="str">
        <x:f>IF(A51="","",IFERROR(INDEX(Frozen_Predictions!$M$4:$M$203,MATCH(A51,Frozen_Predictions!$A$4:$A$203,0)),""))</x:f>
      </x:c>
      <x:c r="W51" s="175"/>
      <x:c r="X51" s="172" t="str">
        <x:f>IF(A51="","",IF(NOT(COUNTIFS(Frozen_Predictions!$A$4:$A$203,A51)=1),"SNAPSHOT ID INVALID",IFERROR(IF(NOT(AND(INDEX(Frozen_Predictions!$Q$4:$Q$203,MATCH(A51,Frozen_Predictions!$A$4:$A$203,0))="DA",ISNUMBER(INDEX(Frozen_Predictions!$B$4:$B$203,MATCH(A51,Frozen_Predictions!$A$4:$A$203,0))),ISNUMBER(INDEX(Frozen_Predictions!$C$4:$C$203,MATCH(A51,Frozen_Predictions!$A$4:$A$203,0))),INDEX(Frozen_Predictions!$B$4:$B$203,MATCH(A51,Frozen_Predictions!$A$4:$A$203,0))&lt;INDEX(Frozen_Predictions!$C$4:$C$203,MATCH(A51,Frozen_Predictions!$A$4:$A$203,0)),INDEX(Frozen_Predictions!$V$4:$V$203,MATCH(A51,Frozen_Predictions!$A$4:$A$203,0))="READY",INDEX(Frozen_Predictions!$O$4:$O$203,MATCH(A51,Frozen_Predictions!$A$4:$A$203,0))="PASS",INDEX(Frozen_Predictions!$J$4:$J$203,MATCH(A51,Frozen_Predictions!$A$4:$A$203,0))=Under_LineCal_v9!$B$45,COUNTIFS(Frozen_Predictions!$A$4:$A$203,A51,Frozen_Predictions!$L$4:$L$203,"&lt;&gt;",Frozen_Predictions!$L$4:$L$203,"&gt;=0",Frozen_Predictions!$L$4:$L$203,"&lt;=1")=1,COUNTIFS($A$4:$A$203,A51)=1)),"SNAPSHOT NOT VALID",IF(AND(ISNUMBER(I51),I51&gt;=0,I51&lt;=1,ISNUMBER(N51),P51&lt;&gt;"",ISNUMBER(Q51),Q51&gt;=B51,OR(G51="U3.5",G51="U4.5",G51="U5.5")),"SETTLED","PENDING RESULT")),"SNAPSHOT NOT VALID")))</x:f>
      </x:c>
    </x:row>
    <x:row r="52" ht="23" customHeight="1">
      <x:c r="A52" s="175"/>
      <x:c r="B52" s="200" t="str">
        <x:f>IF(A52="","",IFERROR(INDEX(Frozen_Predictions!$C$4:$C$203,MATCH(A52,Frozen_Predictions!$A$4:$A$203,0)),""))</x:f>
      </x:c>
      <x:c r="C52" s="172" t="str">
        <x:f>IF(A52="","",IFERROR(INDEX(Frozen_Predictions!$E$4:$E$203,MATCH(A52,Frozen_Predictions!$A$4:$A$203,0)),""))</x:f>
      </x:c>
      <x:c r="D52" s="172" t="str">
        <x:f>IF(A52="","",IFERROR(INDEX(Frozen_Predictions!$F$4:$F$203,MATCH(A52,Frozen_Predictions!$A$4:$A$203,0)),""))</x:f>
      </x:c>
      <x:c r="E52" s="172" t="str">
        <x:f>IF(A52="","",IFERROR(INDEX(Frozen_Predictions!$G$4:$G$203,MATCH(A52,Frozen_Predictions!$A$4:$A$203,0)),""))</x:f>
      </x:c>
      <x:c r="F52" s="172" t="str">
        <x:f>IF(A52="","",IFERROR(INDEX(Frozen_Predictions!$H$4:$H$203,MATCH(A52,Frozen_Predictions!$A$4:$A$203,0)),""))</x:f>
      </x:c>
      <x:c r="G52" s="172" t="str">
        <x:f>IF(A52="","",IFERROR(INDEX(Frozen_Predictions!$I$4:$I$203,MATCH(A52,Frozen_Predictions!$A$4:$A$203,0)),""))</x:f>
      </x:c>
      <x:c r="H52" s="172" t="str">
        <x:f>IF(A52="","",IFERROR(INDEX(Frozen_Predictions!$J$4:$J$203,MATCH(A52,Frozen_Predictions!$A$4:$A$203,0)),""))</x:f>
      </x:c>
      <x:c r="I52" s="192" t="str">
        <x:f>IF(A52="","",IFERROR(INDEX(Frozen_Predictions!$L$4:$L$203,MATCH(A52,Frozen_Predictions!$A$4:$A$203,0)),""))</x:f>
      </x:c>
      <x:c r="J52" s="172" t="str">
        <x:f>IF(X52&lt;&gt;"SETTLED","",IF(N52&lt;=IF(G52="U3.5",3,IF(G52="U4.5",4,5)),1,0))</x:f>
      </x:c>
      <x:c r="K52" s="195" t="str">
        <x:f>IF(X52&lt;&gt;"SETTLED","",IF(AND(OR(V52="DEFENSIV",V52="PRUDENT",V52="MODERAT",V52="RIDICAT"),ISNUMBER(INDEX(Frozen_Predictions!$Y$4:$Y$203,MATCH(A52,Frozen_Predictions!$A$4:$A$203,0))),INDEX(Frozen_Predictions!$Y$4:$Y$203,MATCH(A52,Frozen_Predictions!$A$4:$A$203,0))&gt;1),IF(J52=1,INDEX(Frozen_Predictions!$Y$4:$Y$203,MATCH(A52,Frozen_Predictions!$A$4:$A$203,0))-1,-1),""))</x:f>
      </x:c>
      <x:c r="L52" s="175"/>
      <x:c r="M52" s="175"/>
      <x:c r="N52" s="172" t="str">
        <x:f>IFERROR(IF(AND(ISNUMBER(L52),ISNUMBER(M52),L52&gt;=0,M52&gt;=0,INT(L52)=L52,INT(M52)=M52),L52+M52,""),"")</x:f>
      </x:c>
      <x:c r="O52" s="172" t="str">
        <x:f>IF(X52&lt;&gt;"SETTLED","",IF(J52=1,"WIN",IF(N52=IF(G52="U3.5",4,IF(G52="U4.5",5,6)),"NEAR TAIL","SEVERE TAIL")))</x:f>
      </x:c>
      <x:c r="P52" s="175"/>
      <x:c r="Q52" s="177"/>
      <x:c r="R52" s="213" t="str">
        <x:f>IF(X52&lt;&gt;"SETTLED","",(I52-J52)^2)</x:f>
      </x:c>
      <x:c r="S52" s="213" t="str">
        <x:f>IF(X52&lt;&gt;"SETTLED","",-(J52*LN(MAX(0.000001,MIN(0.999999,I52)))+(1-J52)*LN(MAX(0.000001,MIN(0.999999,1-I52)))))</x:f>
      </x:c>
      <x:c r="T52" s="172" t="str">
        <x:f>IF(A52="","",IFERROR(INDEX(Frozen_Predictions!$N$4:$N$203,MATCH(A52,Frozen_Predictions!$A$4:$A$203,0)),""))</x:f>
      </x:c>
      <x:c r="U52" s="172" t="str">
        <x:f>IF(A52="","",IFERROR(INDEX(Frozen_Predictions!$O$4:$O$203,MATCH(A52,Frozen_Predictions!$A$4:$A$203,0)),""))</x:f>
      </x:c>
      <x:c r="V52" s="172" t="str">
        <x:f>IF(A52="","",IFERROR(INDEX(Frozen_Predictions!$M$4:$M$203,MATCH(A52,Frozen_Predictions!$A$4:$A$203,0)),""))</x:f>
      </x:c>
      <x:c r="W52" s="175"/>
      <x:c r="X52" s="172" t="str">
        <x:f>IF(A52="","",IF(NOT(COUNTIFS(Frozen_Predictions!$A$4:$A$203,A52)=1),"SNAPSHOT ID INVALID",IFERROR(IF(NOT(AND(INDEX(Frozen_Predictions!$Q$4:$Q$203,MATCH(A52,Frozen_Predictions!$A$4:$A$203,0))="DA",ISNUMBER(INDEX(Frozen_Predictions!$B$4:$B$203,MATCH(A52,Frozen_Predictions!$A$4:$A$203,0))),ISNUMBER(INDEX(Frozen_Predictions!$C$4:$C$203,MATCH(A52,Frozen_Predictions!$A$4:$A$203,0))),INDEX(Frozen_Predictions!$B$4:$B$203,MATCH(A52,Frozen_Predictions!$A$4:$A$203,0))&lt;INDEX(Frozen_Predictions!$C$4:$C$203,MATCH(A52,Frozen_Predictions!$A$4:$A$203,0)),INDEX(Frozen_Predictions!$V$4:$V$203,MATCH(A52,Frozen_Predictions!$A$4:$A$203,0))="READY",INDEX(Frozen_Predictions!$O$4:$O$203,MATCH(A52,Frozen_Predictions!$A$4:$A$203,0))="PASS",INDEX(Frozen_Predictions!$J$4:$J$203,MATCH(A52,Frozen_Predictions!$A$4:$A$203,0))=Under_LineCal_v9!$B$45,COUNTIFS(Frozen_Predictions!$A$4:$A$203,A52,Frozen_Predictions!$L$4:$L$203,"&lt;&gt;",Frozen_Predictions!$L$4:$L$203,"&gt;=0",Frozen_Predictions!$L$4:$L$203,"&lt;=1")=1,COUNTIFS($A$4:$A$203,A52)=1)),"SNAPSHOT NOT VALID",IF(AND(ISNUMBER(I52),I52&gt;=0,I52&lt;=1,ISNUMBER(N52),P52&lt;&gt;"",ISNUMBER(Q52),Q52&gt;=B52,OR(G52="U3.5",G52="U4.5",G52="U5.5")),"SETTLED","PENDING RESULT")),"SNAPSHOT NOT VALID")))</x:f>
      </x:c>
    </x:row>
    <x:row r="53" ht="23" customHeight="1">
      <x:c r="A53" s="175"/>
      <x:c r="B53" s="200" t="str">
        <x:f>IF(A53="","",IFERROR(INDEX(Frozen_Predictions!$C$4:$C$203,MATCH(A53,Frozen_Predictions!$A$4:$A$203,0)),""))</x:f>
      </x:c>
      <x:c r="C53" s="172" t="str">
        <x:f>IF(A53="","",IFERROR(INDEX(Frozen_Predictions!$E$4:$E$203,MATCH(A53,Frozen_Predictions!$A$4:$A$203,0)),""))</x:f>
      </x:c>
      <x:c r="D53" s="172" t="str">
        <x:f>IF(A53="","",IFERROR(INDEX(Frozen_Predictions!$F$4:$F$203,MATCH(A53,Frozen_Predictions!$A$4:$A$203,0)),""))</x:f>
      </x:c>
      <x:c r="E53" s="172" t="str">
        <x:f>IF(A53="","",IFERROR(INDEX(Frozen_Predictions!$G$4:$G$203,MATCH(A53,Frozen_Predictions!$A$4:$A$203,0)),""))</x:f>
      </x:c>
      <x:c r="F53" s="172" t="str">
        <x:f>IF(A53="","",IFERROR(INDEX(Frozen_Predictions!$H$4:$H$203,MATCH(A53,Frozen_Predictions!$A$4:$A$203,0)),""))</x:f>
      </x:c>
      <x:c r="G53" s="172" t="str">
        <x:f>IF(A53="","",IFERROR(INDEX(Frozen_Predictions!$I$4:$I$203,MATCH(A53,Frozen_Predictions!$A$4:$A$203,0)),""))</x:f>
      </x:c>
      <x:c r="H53" s="172" t="str">
        <x:f>IF(A53="","",IFERROR(INDEX(Frozen_Predictions!$J$4:$J$203,MATCH(A53,Frozen_Predictions!$A$4:$A$203,0)),""))</x:f>
      </x:c>
      <x:c r="I53" s="192" t="str">
        <x:f>IF(A53="","",IFERROR(INDEX(Frozen_Predictions!$L$4:$L$203,MATCH(A53,Frozen_Predictions!$A$4:$A$203,0)),""))</x:f>
      </x:c>
      <x:c r="J53" s="172" t="str">
        <x:f>IF(X53&lt;&gt;"SETTLED","",IF(N53&lt;=IF(G53="U3.5",3,IF(G53="U4.5",4,5)),1,0))</x:f>
      </x:c>
      <x:c r="K53" s="195" t="str">
        <x:f>IF(X53&lt;&gt;"SETTLED","",IF(AND(OR(V53="DEFENSIV",V53="PRUDENT",V53="MODERAT",V53="RIDICAT"),ISNUMBER(INDEX(Frozen_Predictions!$Y$4:$Y$203,MATCH(A53,Frozen_Predictions!$A$4:$A$203,0))),INDEX(Frozen_Predictions!$Y$4:$Y$203,MATCH(A53,Frozen_Predictions!$A$4:$A$203,0))&gt;1),IF(J53=1,INDEX(Frozen_Predictions!$Y$4:$Y$203,MATCH(A53,Frozen_Predictions!$A$4:$A$203,0))-1,-1),""))</x:f>
      </x:c>
      <x:c r="L53" s="175"/>
      <x:c r="M53" s="175"/>
      <x:c r="N53" s="172" t="str">
        <x:f>IFERROR(IF(AND(ISNUMBER(L53),ISNUMBER(M53),L53&gt;=0,M53&gt;=0,INT(L53)=L53,INT(M53)=M53),L53+M53,""),"")</x:f>
      </x:c>
      <x:c r="O53" s="172" t="str">
        <x:f>IF(X53&lt;&gt;"SETTLED","",IF(J53=1,"WIN",IF(N53=IF(G53="U3.5",4,IF(G53="U4.5",5,6)),"NEAR TAIL","SEVERE TAIL")))</x:f>
      </x:c>
      <x:c r="P53" s="175"/>
      <x:c r="Q53" s="177"/>
      <x:c r="R53" s="213" t="str">
        <x:f>IF(X53&lt;&gt;"SETTLED","",(I53-J53)^2)</x:f>
      </x:c>
      <x:c r="S53" s="213" t="str">
        <x:f>IF(X53&lt;&gt;"SETTLED","",-(J53*LN(MAX(0.000001,MIN(0.999999,I53)))+(1-J53)*LN(MAX(0.000001,MIN(0.999999,1-I53)))))</x:f>
      </x:c>
      <x:c r="T53" s="172" t="str">
        <x:f>IF(A53="","",IFERROR(INDEX(Frozen_Predictions!$N$4:$N$203,MATCH(A53,Frozen_Predictions!$A$4:$A$203,0)),""))</x:f>
      </x:c>
      <x:c r="U53" s="172" t="str">
        <x:f>IF(A53="","",IFERROR(INDEX(Frozen_Predictions!$O$4:$O$203,MATCH(A53,Frozen_Predictions!$A$4:$A$203,0)),""))</x:f>
      </x:c>
      <x:c r="V53" s="172" t="str">
        <x:f>IF(A53="","",IFERROR(INDEX(Frozen_Predictions!$M$4:$M$203,MATCH(A53,Frozen_Predictions!$A$4:$A$203,0)),""))</x:f>
      </x:c>
      <x:c r="W53" s="175"/>
      <x:c r="X53" s="172" t="str">
        <x:f>IF(A53="","",IF(NOT(COUNTIFS(Frozen_Predictions!$A$4:$A$203,A53)=1),"SNAPSHOT ID INVALID",IFERROR(IF(NOT(AND(INDEX(Frozen_Predictions!$Q$4:$Q$203,MATCH(A53,Frozen_Predictions!$A$4:$A$203,0))="DA",ISNUMBER(INDEX(Frozen_Predictions!$B$4:$B$203,MATCH(A53,Frozen_Predictions!$A$4:$A$203,0))),ISNUMBER(INDEX(Frozen_Predictions!$C$4:$C$203,MATCH(A53,Frozen_Predictions!$A$4:$A$203,0))),INDEX(Frozen_Predictions!$B$4:$B$203,MATCH(A53,Frozen_Predictions!$A$4:$A$203,0))&lt;INDEX(Frozen_Predictions!$C$4:$C$203,MATCH(A53,Frozen_Predictions!$A$4:$A$203,0)),INDEX(Frozen_Predictions!$V$4:$V$203,MATCH(A53,Frozen_Predictions!$A$4:$A$203,0))="READY",INDEX(Frozen_Predictions!$O$4:$O$203,MATCH(A53,Frozen_Predictions!$A$4:$A$203,0))="PASS",INDEX(Frozen_Predictions!$J$4:$J$203,MATCH(A53,Frozen_Predictions!$A$4:$A$203,0))=Under_LineCal_v9!$B$45,COUNTIFS(Frozen_Predictions!$A$4:$A$203,A53,Frozen_Predictions!$L$4:$L$203,"&lt;&gt;",Frozen_Predictions!$L$4:$L$203,"&gt;=0",Frozen_Predictions!$L$4:$L$203,"&lt;=1")=1,COUNTIFS($A$4:$A$203,A53)=1)),"SNAPSHOT NOT VALID",IF(AND(ISNUMBER(I53),I53&gt;=0,I53&lt;=1,ISNUMBER(N53),P53&lt;&gt;"",ISNUMBER(Q53),Q53&gt;=B53,OR(G53="U3.5",G53="U4.5",G53="U5.5")),"SETTLED","PENDING RESULT")),"SNAPSHOT NOT VALID")))</x:f>
      </x:c>
    </x:row>
    <x:row r="54" ht="23" customHeight="1">
      <x:c r="A54" s="175"/>
      <x:c r="B54" s="200" t="str">
        <x:f>IF(A54="","",IFERROR(INDEX(Frozen_Predictions!$C$4:$C$203,MATCH(A54,Frozen_Predictions!$A$4:$A$203,0)),""))</x:f>
      </x:c>
      <x:c r="C54" s="172" t="str">
        <x:f>IF(A54="","",IFERROR(INDEX(Frozen_Predictions!$E$4:$E$203,MATCH(A54,Frozen_Predictions!$A$4:$A$203,0)),""))</x:f>
      </x:c>
      <x:c r="D54" s="172" t="str">
        <x:f>IF(A54="","",IFERROR(INDEX(Frozen_Predictions!$F$4:$F$203,MATCH(A54,Frozen_Predictions!$A$4:$A$203,0)),""))</x:f>
      </x:c>
      <x:c r="E54" s="172" t="str">
        <x:f>IF(A54="","",IFERROR(INDEX(Frozen_Predictions!$G$4:$G$203,MATCH(A54,Frozen_Predictions!$A$4:$A$203,0)),""))</x:f>
      </x:c>
      <x:c r="F54" s="172" t="str">
        <x:f>IF(A54="","",IFERROR(INDEX(Frozen_Predictions!$H$4:$H$203,MATCH(A54,Frozen_Predictions!$A$4:$A$203,0)),""))</x:f>
      </x:c>
      <x:c r="G54" s="172" t="str">
        <x:f>IF(A54="","",IFERROR(INDEX(Frozen_Predictions!$I$4:$I$203,MATCH(A54,Frozen_Predictions!$A$4:$A$203,0)),""))</x:f>
      </x:c>
      <x:c r="H54" s="172" t="str">
        <x:f>IF(A54="","",IFERROR(INDEX(Frozen_Predictions!$J$4:$J$203,MATCH(A54,Frozen_Predictions!$A$4:$A$203,0)),""))</x:f>
      </x:c>
      <x:c r="I54" s="192" t="str">
        <x:f>IF(A54="","",IFERROR(INDEX(Frozen_Predictions!$L$4:$L$203,MATCH(A54,Frozen_Predictions!$A$4:$A$203,0)),""))</x:f>
      </x:c>
      <x:c r="J54" s="172" t="str">
        <x:f>IF(X54&lt;&gt;"SETTLED","",IF(N54&lt;=IF(G54="U3.5",3,IF(G54="U4.5",4,5)),1,0))</x:f>
      </x:c>
      <x:c r="K54" s="195" t="str">
        <x:f>IF(X54&lt;&gt;"SETTLED","",IF(AND(OR(V54="DEFENSIV",V54="PRUDENT",V54="MODERAT",V54="RIDICAT"),ISNUMBER(INDEX(Frozen_Predictions!$Y$4:$Y$203,MATCH(A54,Frozen_Predictions!$A$4:$A$203,0))),INDEX(Frozen_Predictions!$Y$4:$Y$203,MATCH(A54,Frozen_Predictions!$A$4:$A$203,0))&gt;1),IF(J54=1,INDEX(Frozen_Predictions!$Y$4:$Y$203,MATCH(A54,Frozen_Predictions!$A$4:$A$203,0))-1,-1),""))</x:f>
      </x:c>
      <x:c r="L54" s="175"/>
      <x:c r="M54" s="175"/>
      <x:c r="N54" s="172" t="str">
        <x:f>IFERROR(IF(AND(ISNUMBER(L54),ISNUMBER(M54),L54&gt;=0,M54&gt;=0,INT(L54)=L54,INT(M54)=M54),L54+M54,""),"")</x:f>
      </x:c>
      <x:c r="O54" s="172" t="str">
        <x:f>IF(X54&lt;&gt;"SETTLED","",IF(J54=1,"WIN",IF(N54=IF(G54="U3.5",4,IF(G54="U4.5",5,6)),"NEAR TAIL","SEVERE TAIL")))</x:f>
      </x:c>
      <x:c r="P54" s="175"/>
      <x:c r="Q54" s="177"/>
      <x:c r="R54" s="213" t="str">
        <x:f>IF(X54&lt;&gt;"SETTLED","",(I54-J54)^2)</x:f>
      </x:c>
      <x:c r="S54" s="213" t="str">
        <x:f>IF(X54&lt;&gt;"SETTLED","",-(J54*LN(MAX(0.000001,MIN(0.999999,I54)))+(1-J54)*LN(MAX(0.000001,MIN(0.999999,1-I54)))))</x:f>
      </x:c>
      <x:c r="T54" s="172" t="str">
        <x:f>IF(A54="","",IFERROR(INDEX(Frozen_Predictions!$N$4:$N$203,MATCH(A54,Frozen_Predictions!$A$4:$A$203,0)),""))</x:f>
      </x:c>
      <x:c r="U54" s="172" t="str">
        <x:f>IF(A54="","",IFERROR(INDEX(Frozen_Predictions!$O$4:$O$203,MATCH(A54,Frozen_Predictions!$A$4:$A$203,0)),""))</x:f>
      </x:c>
      <x:c r="V54" s="172" t="str">
        <x:f>IF(A54="","",IFERROR(INDEX(Frozen_Predictions!$M$4:$M$203,MATCH(A54,Frozen_Predictions!$A$4:$A$203,0)),""))</x:f>
      </x:c>
      <x:c r="W54" s="175"/>
      <x:c r="X54" s="172" t="str">
        <x:f>IF(A54="","",IF(NOT(COUNTIFS(Frozen_Predictions!$A$4:$A$203,A54)=1),"SNAPSHOT ID INVALID",IFERROR(IF(NOT(AND(INDEX(Frozen_Predictions!$Q$4:$Q$203,MATCH(A54,Frozen_Predictions!$A$4:$A$203,0))="DA",ISNUMBER(INDEX(Frozen_Predictions!$B$4:$B$203,MATCH(A54,Frozen_Predictions!$A$4:$A$203,0))),ISNUMBER(INDEX(Frozen_Predictions!$C$4:$C$203,MATCH(A54,Frozen_Predictions!$A$4:$A$203,0))),INDEX(Frozen_Predictions!$B$4:$B$203,MATCH(A54,Frozen_Predictions!$A$4:$A$203,0))&lt;INDEX(Frozen_Predictions!$C$4:$C$203,MATCH(A54,Frozen_Predictions!$A$4:$A$203,0)),INDEX(Frozen_Predictions!$V$4:$V$203,MATCH(A54,Frozen_Predictions!$A$4:$A$203,0))="READY",INDEX(Frozen_Predictions!$O$4:$O$203,MATCH(A54,Frozen_Predictions!$A$4:$A$203,0))="PASS",INDEX(Frozen_Predictions!$J$4:$J$203,MATCH(A54,Frozen_Predictions!$A$4:$A$203,0))=Under_LineCal_v9!$B$45,COUNTIFS(Frozen_Predictions!$A$4:$A$203,A54,Frozen_Predictions!$L$4:$L$203,"&lt;&gt;",Frozen_Predictions!$L$4:$L$203,"&gt;=0",Frozen_Predictions!$L$4:$L$203,"&lt;=1")=1,COUNTIFS($A$4:$A$203,A54)=1)),"SNAPSHOT NOT VALID",IF(AND(ISNUMBER(I54),I54&gt;=0,I54&lt;=1,ISNUMBER(N54),P54&lt;&gt;"",ISNUMBER(Q54),Q54&gt;=B54,OR(G54="U3.5",G54="U4.5",G54="U5.5")),"SETTLED","PENDING RESULT")),"SNAPSHOT NOT VALID")))</x:f>
      </x:c>
    </x:row>
    <x:row r="55" ht="23" customHeight="1">
      <x:c r="A55" s="175"/>
      <x:c r="B55" s="200" t="str">
        <x:f>IF(A55="","",IFERROR(INDEX(Frozen_Predictions!$C$4:$C$203,MATCH(A55,Frozen_Predictions!$A$4:$A$203,0)),""))</x:f>
      </x:c>
      <x:c r="C55" s="172" t="str">
        <x:f>IF(A55="","",IFERROR(INDEX(Frozen_Predictions!$E$4:$E$203,MATCH(A55,Frozen_Predictions!$A$4:$A$203,0)),""))</x:f>
      </x:c>
      <x:c r="D55" s="172" t="str">
        <x:f>IF(A55="","",IFERROR(INDEX(Frozen_Predictions!$F$4:$F$203,MATCH(A55,Frozen_Predictions!$A$4:$A$203,0)),""))</x:f>
      </x:c>
      <x:c r="E55" s="172" t="str">
        <x:f>IF(A55="","",IFERROR(INDEX(Frozen_Predictions!$G$4:$G$203,MATCH(A55,Frozen_Predictions!$A$4:$A$203,0)),""))</x:f>
      </x:c>
      <x:c r="F55" s="172" t="str">
        <x:f>IF(A55="","",IFERROR(INDEX(Frozen_Predictions!$H$4:$H$203,MATCH(A55,Frozen_Predictions!$A$4:$A$203,0)),""))</x:f>
      </x:c>
      <x:c r="G55" s="172" t="str">
        <x:f>IF(A55="","",IFERROR(INDEX(Frozen_Predictions!$I$4:$I$203,MATCH(A55,Frozen_Predictions!$A$4:$A$203,0)),""))</x:f>
      </x:c>
      <x:c r="H55" s="172" t="str">
        <x:f>IF(A55="","",IFERROR(INDEX(Frozen_Predictions!$J$4:$J$203,MATCH(A55,Frozen_Predictions!$A$4:$A$203,0)),""))</x:f>
      </x:c>
      <x:c r="I55" s="192" t="str">
        <x:f>IF(A55="","",IFERROR(INDEX(Frozen_Predictions!$L$4:$L$203,MATCH(A55,Frozen_Predictions!$A$4:$A$203,0)),""))</x:f>
      </x:c>
      <x:c r="J55" s="172" t="str">
        <x:f>IF(X55&lt;&gt;"SETTLED","",IF(N55&lt;=IF(G55="U3.5",3,IF(G55="U4.5",4,5)),1,0))</x:f>
      </x:c>
      <x:c r="K55" s="195" t="str">
        <x:f>IF(X55&lt;&gt;"SETTLED","",IF(AND(OR(V55="DEFENSIV",V55="PRUDENT",V55="MODERAT",V55="RIDICAT"),ISNUMBER(INDEX(Frozen_Predictions!$Y$4:$Y$203,MATCH(A55,Frozen_Predictions!$A$4:$A$203,0))),INDEX(Frozen_Predictions!$Y$4:$Y$203,MATCH(A55,Frozen_Predictions!$A$4:$A$203,0))&gt;1),IF(J55=1,INDEX(Frozen_Predictions!$Y$4:$Y$203,MATCH(A55,Frozen_Predictions!$A$4:$A$203,0))-1,-1),""))</x:f>
      </x:c>
      <x:c r="L55" s="175"/>
      <x:c r="M55" s="175"/>
      <x:c r="N55" s="172" t="str">
        <x:f>IFERROR(IF(AND(ISNUMBER(L55),ISNUMBER(M55),L55&gt;=0,M55&gt;=0,INT(L55)=L55,INT(M55)=M55),L55+M55,""),"")</x:f>
      </x:c>
      <x:c r="O55" s="172" t="str">
        <x:f>IF(X55&lt;&gt;"SETTLED","",IF(J55=1,"WIN",IF(N55=IF(G55="U3.5",4,IF(G55="U4.5",5,6)),"NEAR TAIL","SEVERE TAIL")))</x:f>
      </x:c>
      <x:c r="P55" s="175"/>
      <x:c r="Q55" s="177"/>
      <x:c r="R55" s="213" t="str">
        <x:f>IF(X55&lt;&gt;"SETTLED","",(I55-J55)^2)</x:f>
      </x:c>
      <x:c r="S55" s="213" t="str">
        <x:f>IF(X55&lt;&gt;"SETTLED","",-(J55*LN(MAX(0.000001,MIN(0.999999,I55)))+(1-J55)*LN(MAX(0.000001,MIN(0.999999,1-I55)))))</x:f>
      </x:c>
      <x:c r="T55" s="172" t="str">
        <x:f>IF(A55="","",IFERROR(INDEX(Frozen_Predictions!$N$4:$N$203,MATCH(A55,Frozen_Predictions!$A$4:$A$203,0)),""))</x:f>
      </x:c>
      <x:c r="U55" s="172" t="str">
        <x:f>IF(A55="","",IFERROR(INDEX(Frozen_Predictions!$O$4:$O$203,MATCH(A55,Frozen_Predictions!$A$4:$A$203,0)),""))</x:f>
      </x:c>
      <x:c r="V55" s="172" t="str">
        <x:f>IF(A55="","",IFERROR(INDEX(Frozen_Predictions!$M$4:$M$203,MATCH(A55,Frozen_Predictions!$A$4:$A$203,0)),""))</x:f>
      </x:c>
      <x:c r="W55" s="175"/>
      <x:c r="X55" s="172" t="str">
        <x:f>IF(A55="","",IF(NOT(COUNTIFS(Frozen_Predictions!$A$4:$A$203,A55)=1),"SNAPSHOT ID INVALID",IFERROR(IF(NOT(AND(INDEX(Frozen_Predictions!$Q$4:$Q$203,MATCH(A55,Frozen_Predictions!$A$4:$A$203,0))="DA",ISNUMBER(INDEX(Frozen_Predictions!$B$4:$B$203,MATCH(A55,Frozen_Predictions!$A$4:$A$203,0))),ISNUMBER(INDEX(Frozen_Predictions!$C$4:$C$203,MATCH(A55,Frozen_Predictions!$A$4:$A$203,0))),INDEX(Frozen_Predictions!$B$4:$B$203,MATCH(A55,Frozen_Predictions!$A$4:$A$203,0))&lt;INDEX(Frozen_Predictions!$C$4:$C$203,MATCH(A55,Frozen_Predictions!$A$4:$A$203,0)),INDEX(Frozen_Predictions!$V$4:$V$203,MATCH(A55,Frozen_Predictions!$A$4:$A$203,0))="READY",INDEX(Frozen_Predictions!$O$4:$O$203,MATCH(A55,Frozen_Predictions!$A$4:$A$203,0))="PASS",INDEX(Frozen_Predictions!$J$4:$J$203,MATCH(A55,Frozen_Predictions!$A$4:$A$203,0))=Under_LineCal_v9!$B$45,COUNTIFS(Frozen_Predictions!$A$4:$A$203,A55,Frozen_Predictions!$L$4:$L$203,"&lt;&gt;",Frozen_Predictions!$L$4:$L$203,"&gt;=0",Frozen_Predictions!$L$4:$L$203,"&lt;=1")=1,COUNTIFS($A$4:$A$203,A55)=1)),"SNAPSHOT NOT VALID",IF(AND(ISNUMBER(I55),I55&gt;=0,I55&lt;=1,ISNUMBER(N55),P55&lt;&gt;"",ISNUMBER(Q55),Q55&gt;=B55,OR(G55="U3.5",G55="U4.5",G55="U5.5")),"SETTLED","PENDING RESULT")),"SNAPSHOT NOT VALID")))</x:f>
      </x:c>
    </x:row>
    <x:row r="56" ht="23" customHeight="1">
      <x:c r="A56" s="175"/>
      <x:c r="B56" s="200" t="str">
        <x:f>IF(A56="","",IFERROR(INDEX(Frozen_Predictions!$C$4:$C$203,MATCH(A56,Frozen_Predictions!$A$4:$A$203,0)),""))</x:f>
      </x:c>
      <x:c r="C56" s="172" t="str">
        <x:f>IF(A56="","",IFERROR(INDEX(Frozen_Predictions!$E$4:$E$203,MATCH(A56,Frozen_Predictions!$A$4:$A$203,0)),""))</x:f>
      </x:c>
      <x:c r="D56" s="172" t="str">
        <x:f>IF(A56="","",IFERROR(INDEX(Frozen_Predictions!$F$4:$F$203,MATCH(A56,Frozen_Predictions!$A$4:$A$203,0)),""))</x:f>
      </x:c>
      <x:c r="E56" s="172" t="str">
        <x:f>IF(A56="","",IFERROR(INDEX(Frozen_Predictions!$G$4:$G$203,MATCH(A56,Frozen_Predictions!$A$4:$A$203,0)),""))</x:f>
      </x:c>
      <x:c r="F56" s="172" t="str">
        <x:f>IF(A56="","",IFERROR(INDEX(Frozen_Predictions!$H$4:$H$203,MATCH(A56,Frozen_Predictions!$A$4:$A$203,0)),""))</x:f>
      </x:c>
      <x:c r="G56" s="172" t="str">
        <x:f>IF(A56="","",IFERROR(INDEX(Frozen_Predictions!$I$4:$I$203,MATCH(A56,Frozen_Predictions!$A$4:$A$203,0)),""))</x:f>
      </x:c>
      <x:c r="H56" s="172" t="str">
        <x:f>IF(A56="","",IFERROR(INDEX(Frozen_Predictions!$J$4:$J$203,MATCH(A56,Frozen_Predictions!$A$4:$A$203,0)),""))</x:f>
      </x:c>
      <x:c r="I56" s="192" t="str">
        <x:f>IF(A56="","",IFERROR(INDEX(Frozen_Predictions!$L$4:$L$203,MATCH(A56,Frozen_Predictions!$A$4:$A$203,0)),""))</x:f>
      </x:c>
      <x:c r="J56" s="172" t="str">
        <x:f>IF(X56&lt;&gt;"SETTLED","",IF(N56&lt;=IF(G56="U3.5",3,IF(G56="U4.5",4,5)),1,0))</x:f>
      </x:c>
      <x:c r="K56" s="195" t="str">
        <x:f>IF(X56&lt;&gt;"SETTLED","",IF(AND(OR(V56="DEFENSIV",V56="PRUDENT",V56="MODERAT",V56="RIDICAT"),ISNUMBER(INDEX(Frozen_Predictions!$Y$4:$Y$203,MATCH(A56,Frozen_Predictions!$A$4:$A$203,0))),INDEX(Frozen_Predictions!$Y$4:$Y$203,MATCH(A56,Frozen_Predictions!$A$4:$A$203,0))&gt;1),IF(J56=1,INDEX(Frozen_Predictions!$Y$4:$Y$203,MATCH(A56,Frozen_Predictions!$A$4:$A$203,0))-1,-1),""))</x:f>
      </x:c>
      <x:c r="L56" s="175"/>
      <x:c r="M56" s="175"/>
      <x:c r="N56" s="172" t="str">
        <x:f>IFERROR(IF(AND(ISNUMBER(L56),ISNUMBER(M56),L56&gt;=0,M56&gt;=0,INT(L56)=L56,INT(M56)=M56),L56+M56,""),"")</x:f>
      </x:c>
      <x:c r="O56" s="172" t="str">
        <x:f>IF(X56&lt;&gt;"SETTLED","",IF(J56=1,"WIN",IF(N56=IF(G56="U3.5",4,IF(G56="U4.5",5,6)),"NEAR TAIL","SEVERE TAIL")))</x:f>
      </x:c>
      <x:c r="P56" s="175"/>
      <x:c r="Q56" s="177"/>
      <x:c r="R56" s="213" t="str">
        <x:f>IF(X56&lt;&gt;"SETTLED","",(I56-J56)^2)</x:f>
      </x:c>
      <x:c r="S56" s="213" t="str">
        <x:f>IF(X56&lt;&gt;"SETTLED","",-(J56*LN(MAX(0.000001,MIN(0.999999,I56)))+(1-J56)*LN(MAX(0.000001,MIN(0.999999,1-I56)))))</x:f>
      </x:c>
      <x:c r="T56" s="172" t="str">
        <x:f>IF(A56="","",IFERROR(INDEX(Frozen_Predictions!$N$4:$N$203,MATCH(A56,Frozen_Predictions!$A$4:$A$203,0)),""))</x:f>
      </x:c>
      <x:c r="U56" s="172" t="str">
        <x:f>IF(A56="","",IFERROR(INDEX(Frozen_Predictions!$O$4:$O$203,MATCH(A56,Frozen_Predictions!$A$4:$A$203,0)),""))</x:f>
      </x:c>
      <x:c r="V56" s="172" t="str">
        <x:f>IF(A56="","",IFERROR(INDEX(Frozen_Predictions!$M$4:$M$203,MATCH(A56,Frozen_Predictions!$A$4:$A$203,0)),""))</x:f>
      </x:c>
      <x:c r="W56" s="175"/>
      <x:c r="X56" s="172" t="str">
        <x:f>IF(A56="","",IF(NOT(COUNTIFS(Frozen_Predictions!$A$4:$A$203,A56)=1),"SNAPSHOT ID INVALID",IFERROR(IF(NOT(AND(INDEX(Frozen_Predictions!$Q$4:$Q$203,MATCH(A56,Frozen_Predictions!$A$4:$A$203,0))="DA",ISNUMBER(INDEX(Frozen_Predictions!$B$4:$B$203,MATCH(A56,Frozen_Predictions!$A$4:$A$203,0))),ISNUMBER(INDEX(Frozen_Predictions!$C$4:$C$203,MATCH(A56,Frozen_Predictions!$A$4:$A$203,0))),INDEX(Frozen_Predictions!$B$4:$B$203,MATCH(A56,Frozen_Predictions!$A$4:$A$203,0))&lt;INDEX(Frozen_Predictions!$C$4:$C$203,MATCH(A56,Frozen_Predictions!$A$4:$A$203,0)),INDEX(Frozen_Predictions!$V$4:$V$203,MATCH(A56,Frozen_Predictions!$A$4:$A$203,0))="READY",INDEX(Frozen_Predictions!$O$4:$O$203,MATCH(A56,Frozen_Predictions!$A$4:$A$203,0))="PASS",INDEX(Frozen_Predictions!$J$4:$J$203,MATCH(A56,Frozen_Predictions!$A$4:$A$203,0))=Under_LineCal_v9!$B$45,COUNTIFS(Frozen_Predictions!$A$4:$A$203,A56,Frozen_Predictions!$L$4:$L$203,"&lt;&gt;",Frozen_Predictions!$L$4:$L$203,"&gt;=0",Frozen_Predictions!$L$4:$L$203,"&lt;=1")=1,COUNTIFS($A$4:$A$203,A56)=1)),"SNAPSHOT NOT VALID",IF(AND(ISNUMBER(I56),I56&gt;=0,I56&lt;=1,ISNUMBER(N56),P56&lt;&gt;"",ISNUMBER(Q56),Q56&gt;=B56,OR(G56="U3.5",G56="U4.5",G56="U5.5")),"SETTLED","PENDING RESULT")),"SNAPSHOT NOT VALID")))</x:f>
      </x:c>
    </x:row>
    <x:row r="57" ht="23" customHeight="1">
      <x:c r="A57" s="175"/>
      <x:c r="B57" s="200" t="str">
        <x:f>IF(A57="","",IFERROR(INDEX(Frozen_Predictions!$C$4:$C$203,MATCH(A57,Frozen_Predictions!$A$4:$A$203,0)),""))</x:f>
      </x:c>
      <x:c r="C57" s="172" t="str">
        <x:f>IF(A57="","",IFERROR(INDEX(Frozen_Predictions!$E$4:$E$203,MATCH(A57,Frozen_Predictions!$A$4:$A$203,0)),""))</x:f>
      </x:c>
      <x:c r="D57" s="172" t="str">
        <x:f>IF(A57="","",IFERROR(INDEX(Frozen_Predictions!$F$4:$F$203,MATCH(A57,Frozen_Predictions!$A$4:$A$203,0)),""))</x:f>
      </x:c>
      <x:c r="E57" s="172" t="str">
        <x:f>IF(A57="","",IFERROR(INDEX(Frozen_Predictions!$G$4:$G$203,MATCH(A57,Frozen_Predictions!$A$4:$A$203,0)),""))</x:f>
      </x:c>
      <x:c r="F57" s="172" t="str">
        <x:f>IF(A57="","",IFERROR(INDEX(Frozen_Predictions!$H$4:$H$203,MATCH(A57,Frozen_Predictions!$A$4:$A$203,0)),""))</x:f>
      </x:c>
      <x:c r="G57" s="172" t="str">
        <x:f>IF(A57="","",IFERROR(INDEX(Frozen_Predictions!$I$4:$I$203,MATCH(A57,Frozen_Predictions!$A$4:$A$203,0)),""))</x:f>
      </x:c>
      <x:c r="H57" s="172" t="str">
        <x:f>IF(A57="","",IFERROR(INDEX(Frozen_Predictions!$J$4:$J$203,MATCH(A57,Frozen_Predictions!$A$4:$A$203,0)),""))</x:f>
      </x:c>
      <x:c r="I57" s="192" t="str">
        <x:f>IF(A57="","",IFERROR(INDEX(Frozen_Predictions!$L$4:$L$203,MATCH(A57,Frozen_Predictions!$A$4:$A$203,0)),""))</x:f>
      </x:c>
      <x:c r="J57" s="172" t="str">
        <x:f>IF(X57&lt;&gt;"SETTLED","",IF(N57&lt;=IF(G57="U3.5",3,IF(G57="U4.5",4,5)),1,0))</x:f>
      </x:c>
      <x:c r="K57" s="195" t="str">
        <x:f>IF(X57&lt;&gt;"SETTLED","",IF(AND(OR(V57="DEFENSIV",V57="PRUDENT",V57="MODERAT",V57="RIDICAT"),ISNUMBER(INDEX(Frozen_Predictions!$Y$4:$Y$203,MATCH(A57,Frozen_Predictions!$A$4:$A$203,0))),INDEX(Frozen_Predictions!$Y$4:$Y$203,MATCH(A57,Frozen_Predictions!$A$4:$A$203,0))&gt;1),IF(J57=1,INDEX(Frozen_Predictions!$Y$4:$Y$203,MATCH(A57,Frozen_Predictions!$A$4:$A$203,0))-1,-1),""))</x:f>
      </x:c>
      <x:c r="L57" s="175"/>
      <x:c r="M57" s="175"/>
      <x:c r="N57" s="172" t="str">
        <x:f>IFERROR(IF(AND(ISNUMBER(L57),ISNUMBER(M57),L57&gt;=0,M57&gt;=0,INT(L57)=L57,INT(M57)=M57),L57+M57,""),"")</x:f>
      </x:c>
      <x:c r="O57" s="172" t="str">
        <x:f>IF(X57&lt;&gt;"SETTLED","",IF(J57=1,"WIN",IF(N57=IF(G57="U3.5",4,IF(G57="U4.5",5,6)),"NEAR TAIL","SEVERE TAIL")))</x:f>
      </x:c>
      <x:c r="P57" s="175"/>
      <x:c r="Q57" s="177"/>
      <x:c r="R57" s="213" t="str">
        <x:f>IF(X57&lt;&gt;"SETTLED","",(I57-J57)^2)</x:f>
      </x:c>
      <x:c r="S57" s="213" t="str">
        <x:f>IF(X57&lt;&gt;"SETTLED","",-(J57*LN(MAX(0.000001,MIN(0.999999,I57)))+(1-J57)*LN(MAX(0.000001,MIN(0.999999,1-I57)))))</x:f>
      </x:c>
      <x:c r="T57" s="172" t="str">
        <x:f>IF(A57="","",IFERROR(INDEX(Frozen_Predictions!$N$4:$N$203,MATCH(A57,Frozen_Predictions!$A$4:$A$203,0)),""))</x:f>
      </x:c>
      <x:c r="U57" s="172" t="str">
        <x:f>IF(A57="","",IFERROR(INDEX(Frozen_Predictions!$O$4:$O$203,MATCH(A57,Frozen_Predictions!$A$4:$A$203,0)),""))</x:f>
      </x:c>
      <x:c r="V57" s="172" t="str">
        <x:f>IF(A57="","",IFERROR(INDEX(Frozen_Predictions!$M$4:$M$203,MATCH(A57,Frozen_Predictions!$A$4:$A$203,0)),""))</x:f>
      </x:c>
      <x:c r="W57" s="175"/>
      <x:c r="X57" s="172" t="str">
        <x:f>IF(A57="","",IF(NOT(COUNTIFS(Frozen_Predictions!$A$4:$A$203,A57)=1),"SNAPSHOT ID INVALID",IFERROR(IF(NOT(AND(INDEX(Frozen_Predictions!$Q$4:$Q$203,MATCH(A57,Frozen_Predictions!$A$4:$A$203,0))="DA",ISNUMBER(INDEX(Frozen_Predictions!$B$4:$B$203,MATCH(A57,Frozen_Predictions!$A$4:$A$203,0))),ISNUMBER(INDEX(Frozen_Predictions!$C$4:$C$203,MATCH(A57,Frozen_Predictions!$A$4:$A$203,0))),INDEX(Frozen_Predictions!$B$4:$B$203,MATCH(A57,Frozen_Predictions!$A$4:$A$203,0))&lt;INDEX(Frozen_Predictions!$C$4:$C$203,MATCH(A57,Frozen_Predictions!$A$4:$A$203,0)),INDEX(Frozen_Predictions!$V$4:$V$203,MATCH(A57,Frozen_Predictions!$A$4:$A$203,0))="READY",INDEX(Frozen_Predictions!$O$4:$O$203,MATCH(A57,Frozen_Predictions!$A$4:$A$203,0))="PASS",INDEX(Frozen_Predictions!$J$4:$J$203,MATCH(A57,Frozen_Predictions!$A$4:$A$203,0))=Under_LineCal_v9!$B$45,COUNTIFS(Frozen_Predictions!$A$4:$A$203,A57,Frozen_Predictions!$L$4:$L$203,"&lt;&gt;",Frozen_Predictions!$L$4:$L$203,"&gt;=0",Frozen_Predictions!$L$4:$L$203,"&lt;=1")=1,COUNTIFS($A$4:$A$203,A57)=1)),"SNAPSHOT NOT VALID",IF(AND(ISNUMBER(I57),I57&gt;=0,I57&lt;=1,ISNUMBER(N57),P57&lt;&gt;"",ISNUMBER(Q57),Q57&gt;=B57,OR(G57="U3.5",G57="U4.5",G57="U5.5")),"SETTLED","PENDING RESULT")),"SNAPSHOT NOT VALID")))</x:f>
      </x:c>
    </x:row>
    <x:row r="58" ht="23" customHeight="1">
      <x:c r="A58" s="175"/>
      <x:c r="B58" s="200" t="str">
        <x:f>IF(A58="","",IFERROR(INDEX(Frozen_Predictions!$C$4:$C$203,MATCH(A58,Frozen_Predictions!$A$4:$A$203,0)),""))</x:f>
      </x:c>
      <x:c r="C58" s="172" t="str">
        <x:f>IF(A58="","",IFERROR(INDEX(Frozen_Predictions!$E$4:$E$203,MATCH(A58,Frozen_Predictions!$A$4:$A$203,0)),""))</x:f>
      </x:c>
      <x:c r="D58" s="172" t="str">
        <x:f>IF(A58="","",IFERROR(INDEX(Frozen_Predictions!$F$4:$F$203,MATCH(A58,Frozen_Predictions!$A$4:$A$203,0)),""))</x:f>
      </x:c>
      <x:c r="E58" s="172" t="str">
        <x:f>IF(A58="","",IFERROR(INDEX(Frozen_Predictions!$G$4:$G$203,MATCH(A58,Frozen_Predictions!$A$4:$A$203,0)),""))</x:f>
      </x:c>
      <x:c r="F58" s="172" t="str">
        <x:f>IF(A58="","",IFERROR(INDEX(Frozen_Predictions!$H$4:$H$203,MATCH(A58,Frozen_Predictions!$A$4:$A$203,0)),""))</x:f>
      </x:c>
      <x:c r="G58" s="172" t="str">
        <x:f>IF(A58="","",IFERROR(INDEX(Frozen_Predictions!$I$4:$I$203,MATCH(A58,Frozen_Predictions!$A$4:$A$203,0)),""))</x:f>
      </x:c>
      <x:c r="H58" s="172" t="str">
        <x:f>IF(A58="","",IFERROR(INDEX(Frozen_Predictions!$J$4:$J$203,MATCH(A58,Frozen_Predictions!$A$4:$A$203,0)),""))</x:f>
      </x:c>
      <x:c r="I58" s="192" t="str">
        <x:f>IF(A58="","",IFERROR(INDEX(Frozen_Predictions!$L$4:$L$203,MATCH(A58,Frozen_Predictions!$A$4:$A$203,0)),""))</x:f>
      </x:c>
      <x:c r="J58" s="172" t="str">
        <x:f>IF(X58&lt;&gt;"SETTLED","",IF(N58&lt;=IF(G58="U3.5",3,IF(G58="U4.5",4,5)),1,0))</x:f>
      </x:c>
      <x:c r="K58" s="195" t="str">
        <x:f>IF(X58&lt;&gt;"SETTLED","",IF(AND(OR(V58="DEFENSIV",V58="PRUDENT",V58="MODERAT",V58="RIDICAT"),ISNUMBER(INDEX(Frozen_Predictions!$Y$4:$Y$203,MATCH(A58,Frozen_Predictions!$A$4:$A$203,0))),INDEX(Frozen_Predictions!$Y$4:$Y$203,MATCH(A58,Frozen_Predictions!$A$4:$A$203,0))&gt;1),IF(J58=1,INDEX(Frozen_Predictions!$Y$4:$Y$203,MATCH(A58,Frozen_Predictions!$A$4:$A$203,0))-1,-1),""))</x:f>
      </x:c>
      <x:c r="L58" s="175"/>
      <x:c r="M58" s="175"/>
      <x:c r="N58" s="172" t="str">
        <x:f>IFERROR(IF(AND(ISNUMBER(L58),ISNUMBER(M58),L58&gt;=0,M58&gt;=0,INT(L58)=L58,INT(M58)=M58),L58+M58,""),"")</x:f>
      </x:c>
      <x:c r="O58" s="172" t="str">
        <x:f>IF(X58&lt;&gt;"SETTLED","",IF(J58=1,"WIN",IF(N58=IF(G58="U3.5",4,IF(G58="U4.5",5,6)),"NEAR TAIL","SEVERE TAIL")))</x:f>
      </x:c>
      <x:c r="P58" s="175"/>
      <x:c r="Q58" s="177"/>
      <x:c r="R58" s="213" t="str">
        <x:f>IF(X58&lt;&gt;"SETTLED","",(I58-J58)^2)</x:f>
      </x:c>
      <x:c r="S58" s="213" t="str">
        <x:f>IF(X58&lt;&gt;"SETTLED","",-(J58*LN(MAX(0.000001,MIN(0.999999,I58)))+(1-J58)*LN(MAX(0.000001,MIN(0.999999,1-I58)))))</x:f>
      </x:c>
      <x:c r="T58" s="172" t="str">
        <x:f>IF(A58="","",IFERROR(INDEX(Frozen_Predictions!$N$4:$N$203,MATCH(A58,Frozen_Predictions!$A$4:$A$203,0)),""))</x:f>
      </x:c>
      <x:c r="U58" s="172" t="str">
        <x:f>IF(A58="","",IFERROR(INDEX(Frozen_Predictions!$O$4:$O$203,MATCH(A58,Frozen_Predictions!$A$4:$A$203,0)),""))</x:f>
      </x:c>
      <x:c r="V58" s="172" t="str">
        <x:f>IF(A58="","",IFERROR(INDEX(Frozen_Predictions!$M$4:$M$203,MATCH(A58,Frozen_Predictions!$A$4:$A$203,0)),""))</x:f>
      </x:c>
      <x:c r="W58" s="175"/>
      <x:c r="X58" s="172" t="str">
        <x:f>IF(A58="","",IF(NOT(COUNTIFS(Frozen_Predictions!$A$4:$A$203,A58)=1),"SNAPSHOT ID INVALID",IFERROR(IF(NOT(AND(INDEX(Frozen_Predictions!$Q$4:$Q$203,MATCH(A58,Frozen_Predictions!$A$4:$A$203,0))="DA",ISNUMBER(INDEX(Frozen_Predictions!$B$4:$B$203,MATCH(A58,Frozen_Predictions!$A$4:$A$203,0))),ISNUMBER(INDEX(Frozen_Predictions!$C$4:$C$203,MATCH(A58,Frozen_Predictions!$A$4:$A$203,0))),INDEX(Frozen_Predictions!$B$4:$B$203,MATCH(A58,Frozen_Predictions!$A$4:$A$203,0))&lt;INDEX(Frozen_Predictions!$C$4:$C$203,MATCH(A58,Frozen_Predictions!$A$4:$A$203,0)),INDEX(Frozen_Predictions!$V$4:$V$203,MATCH(A58,Frozen_Predictions!$A$4:$A$203,0))="READY",INDEX(Frozen_Predictions!$O$4:$O$203,MATCH(A58,Frozen_Predictions!$A$4:$A$203,0))="PASS",INDEX(Frozen_Predictions!$J$4:$J$203,MATCH(A58,Frozen_Predictions!$A$4:$A$203,0))=Under_LineCal_v9!$B$45,COUNTIFS(Frozen_Predictions!$A$4:$A$203,A58,Frozen_Predictions!$L$4:$L$203,"&lt;&gt;",Frozen_Predictions!$L$4:$L$203,"&gt;=0",Frozen_Predictions!$L$4:$L$203,"&lt;=1")=1,COUNTIFS($A$4:$A$203,A58)=1)),"SNAPSHOT NOT VALID",IF(AND(ISNUMBER(I58),I58&gt;=0,I58&lt;=1,ISNUMBER(N58),P58&lt;&gt;"",ISNUMBER(Q58),Q58&gt;=B58,OR(G58="U3.5",G58="U4.5",G58="U5.5")),"SETTLED","PENDING RESULT")),"SNAPSHOT NOT VALID")))</x:f>
      </x:c>
    </x:row>
    <x:row r="59" ht="23" customHeight="1">
      <x:c r="A59" s="175"/>
      <x:c r="B59" s="200" t="str">
        <x:f>IF(A59="","",IFERROR(INDEX(Frozen_Predictions!$C$4:$C$203,MATCH(A59,Frozen_Predictions!$A$4:$A$203,0)),""))</x:f>
      </x:c>
      <x:c r="C59" s="172" t="str">
        <x:f>IF(A59="","",IFERROR(INDEX(Frozen_Predictions!$E$4:$E$203,MATCH(A59,Frozen_Predictions!$A$4:$A$203,0)),""))</x:f>
      </x:c>
      <x:c r="D59" s="172" t="str">
        <x:f>IF(A59="","",IFERROR(INDEX(Frozen_Predictions!$F$4:$F$203,MATCH(A59,Frozen_Predictions!$A$4:$A$203,0)),""))</x:f>
      </x:c>
      <x:c r="E59" s="172" t="str">
        <x:f>IF(A59="","",IFERROR(INDEX(Frozen_Predictions!$G$4:$G$203,MATCH(A59,Frozen_Predictions!$A$4:$A$203,0)),""))</x:f>
      </x:c>
      <x:c r="F59" s="172" t="str">
        <x:f>IF(A59="","",IFERROR(INDEX(Frozen_Predictions!$H$4:$H$203,MATCH(A59,Frozen_Predictions!$A$4:$A$203,0)),""))</x:f>
      </x:c>
      <x:c r="G59" s="172" t="str">
        <x:f>IF(A59="","",IFERROR(INDEX(Frozen_Predictions!$I$4:$I$203,MATCH(A59,Frozen_Predictions!$A$4:$A$203,0)),""))</x:f>
      </x:c>
      <x:c r="H59" s="172" t="str">
        <x:f>IF(A59="","",IFERROR(INDEX(Frozen_Predictions!$J$4:$J$203,MATCH(A59,Frozen_Predictions!$A$4:$A$203,0)),""))</x:f>
      </x:c>
      <x:c r="I59" s="192" t="str">
        <x:f>IF(A59="","",IFERROR(INDEX(Frozen_Predictions!$L$4:$L$203,MATCH(A59,Frozen_Predictions!$A$4:$A$203,0)),""))</x:f>
      </x:c>
      <x:c r="J59" s="172" t="str">
        <x:f>IF(X59&lt;&gt;"SETTLED","",IF(N59&lt;=IF(G59="U3.5",3,IF(G59="U4.5",4,5)),1,0))</x:f>
      </x:c>
      <x:c r="K59" s="195" t="str">
        <x:f>IF(X59&lt;&gt;"SETTLED","",IF(AND(OR(V59="DEFENSIV",V59="PRUDENT",V59="MODERAT",V59="RIDICAT"),ISNUMBER(INDEX(Frozen_Predictions!$Y$4:$Y$203,MATCH(A59,Frozen_Predictions!$A$4:$A$203,0))),INDEX(Frozen_Predictions!$Y$4:$Y$203,MATCH(A59,Frozen_Predictions!$A$4:$A$203,0))&gt;1),IF(J59=1,INDEX(Frozen_Predictions!$Y$4:$Y$203,MATCH(A59,Frozen_Predictions!$A$4:$A$203,0))-1,-1),""))</x:f>
      </x:c>
      <x:c r="L59" s="175"/>
      <x:c r="M59" s="175"/>
      <x:c r="N59" s="172" t="str">
        <x:f>IFERROR(IF(AND(ISNUMBER(L59),ISNUMBER(M59),L59&gt;=0,M59&gt;=0,INT(L59)=L59,INT(M59)=M59),L59+M59,""),"")</x:f>
      </x:c>
      <x:c r="O59" s="172" t="str">
        <x:f>IF(X59&lt;&gt;"SETTLED","",IF(J59=1,"WIN",IF(N59=IF(G59="U3.5",4,IF(G59="U4.5",5,6)),"NEAR TAIL","SEVERE TAIL")))</x:f>
      </x:c>
      <x:c r="P59" s="175"/>
      <x:c r="Q59" s="177"/>
      <x:c r="R59" s="213" t="str">
        <x:f>IF(X59&lt;&gt;"SETTLED","",(I59-J59)^2)</x:f>
      </x:c>
      <x:c r="S59" s="213" t="str">
        <x:f>IF(X59&lt;&gt;"SETTLED","",-(J59*LN(MAX(0.000001,MIN(0.999999,I59)))+(1-J59)*LN(MAX(0.000001,MIN(0.999999,1-I59)))))</x:f>
      </x:c>
      <x:c r="T59" s="172" t="str">
        <x:f>IF(A59="","",IFERROR(INDEX(Frozen_Predictions!$N$4:$N$203,MATCH(A59,Frozen_Predictions!$A$4:$A$203,0)),""))</x:f>
      </x:c>
      <x:c r="U59" s="172" t="str">
        <x:f>IF(A59="","",IFERROR(INDEX(Frozen_Predictions!$O$4:$O$203,MATCH(A59,Frozen_Predictions!$A$4:$A$203,0)),""))</x:f>
      </x:c>
      <x:c r="V59" s="172" t="str">
        <x:f>IF(A59="","",IFERROR(INDEX(Frozen_Predictions!$M$4:$M$203,MATCH(A59,Frozen_Predictions!$A$4:$A$203,0)),""))</x:f>
      </x:c>
      <x:c r="W59" s="175"/>
      <x:c r="X59" s="172" t="str">
        <x:f>IF(A59="","",IF(NOT(COUNTIFS(Frozen_Predictions!$A$4:$A$203,A59)=1),"SNAPSHOT ID INVALID",IFERROR(IF(NOT(AND(INDEX(Frozen_Predictions!$Q$4:$Q$203,MATCH(A59,Frozen_Predictions!$A$4:$A$203,0))="DA",ISNUMBER(INDEX(Frozen_Predictions!$B$4:$B$203,MATCH(A59,Frozen_Predictions!$A$4:$A$203,0))),ISNUMBER(INDEX(Frozen_Predictions!$C$4:$C$203,MATCH(A59,Frozen_Predictions!$A$4:$A$203,0))),INDEX(Frozen_Predictions!$B$4:$B$203,MATCH(A59,Frozen_Predictions!$A$4:$A$203,0))&lt;INDEX(Frozen_Predictions!$C$4:$C$203,MATCH(A59,Frozen_Predictions!$A$4:$A$203,0)),INDEX(Frozen_Predictions!$V$4:$V$203,MATCH(A59,Frozen_Predictions!$A$4:$A$203,0))="READY",INDEX(Frozen_Predictions!$O$4:$O$203,MATCH(A59,Frozen_Predictions!$A$4:$A$203,0))="PASS",INDEX(Frozen_Predictions!$J$4:$J$203,MATCH(A59,Frozen_Predictions!$A$4:$A$203,0))=Under_LineCal_v9!$B$45,COUNTIFS(Frozen_Predictions!$A$4:$A$203,A59,Frozen_Predictions!$L$4:$L$203,"&lt;&gt;",Frozen_Predictions!$L$4:$L$203,"&gt;=0",Frozen_Predictions!$L$4:$L$203,"&lt;=1")=1,COUNTIFS($A$4:$A$203,A59)=1)),"SNAPSHOT NOT VALID",IF(AND(ISNUMBER(I59),I59&gt;=0,I59&lt;=1,ISNUMBER(N59),P59&lt;&gt;"",ISNUMBER(Q59),Q59&gt;=B59,OR(G59="U3.5",G59="U4.5",G59="U5.5")),"SETTLED","PENDING RESULT")),"SNAPSHOT NOT VALID")))</x:f>
      </x:c>
    </x:row>
    <x:row r="60" ht="23" customHeight="1">
      <x:c r="A60" s="175"/>
      <x:c r="B60" s="200" t="str">
        <x:f>IF(A60="","",IFERROR(INDEX(Frozen_Predictions!$C$4:$C$203,MATCH(A60,Frozen_Predictions!$A$4:$A$203,0)),""))</x:f>
      </x:c>
      <x:c r="C60" s="172" t="str">
        <x:f>IF(A60="","",IFERROR(INDEX(Frozen_Predictions!$E$4:$E$203,MATCH(A60,Frozen_Predictions!$A$4:$A$203,0)),""))</x:f>
      </x:c>
      <x:c r="D60" s="172" t="str">
        <x:f>IF(A60="","",IFERROR(INDEX(Frozen_Predictions!$F$4:$F$203,MATCH(A60,Frozen_Predictions!$A$4:$A$203,0)),""))</x:f>
      </x:c>
      <x:c r="E60" s="172" t="str">
        <x:f>IF(A60="","",IFERROR(INDEX(Frozen_Predictions!$G$4:$G$203,MATCH(A60,Frozen_Predictions!$A$4:$A$203,0)),""))</x:f>
      </x:c>
      <x:c r="F60" s="172" t="str">
        <x:f>IF(A60="","",IFERROR(INDEX(Frozen_Predictions!$H$4:$H$203,MATCH(A60,Frozen_Predictions!$A$4:$A$203,0)),""))</x:f>
      </x:c>
      <x:c r="G60" s="172" t="str">
        <x:f>IF(A60="","",IFERROR(INDEX(Frozen_Predictions!$I$4:$I$203,MATCH(A60,Frozen_Predictions!$A$4:$A$203,0)),""))</x:f>
      </x:c>
      <x:c r="H60" s="172" t="str">
        <x:f>IF(A60="","",IFERROR(INDEX(Frozen_Predictions!$J$4:$J$203,MATCH(A60,Frozen_Predictions!$A$4:$A$203,0)),""))</x:f>
      </x:c>
      <x:c r="I60" s="192" t="str">
        <x:f>IF(A60="","",IFERROR(INDEX(Frozen_Predictions!$L$4:$L$203,MATCH(A60,Frozen_Predictions!$A$4:$A$203,0)),""))</x:f>
      </x:c>
      <x:c r="J60" s="172" t="str">
        <x:f>IF(X60&lt;&gt;"SETTLED","",IF(N60&lt;=IF(G60="U3.5",3,IF(G60="U4.5",4,5)),1,0))</x:f>
      </x:c>
      <x:c r="K60" s="195" t="str">
        <x:f>IF(X60&lt;&gt;"SETTLED","",IF(AND(OR(V60="DEFENSIV",V60="PRUDENT",V60="MODERAT",V60="RIDICAT"),ISNUMBER(INDEX(Frozen_Predictions!$Y$4:$Y$203,MATCH(A60,Frozen_Predictions!$A$4:$A$203,0))),INDEX(Frozen_Predictions!$Y$4:$Y$203,MATCH(A60,Frozen_Predictions!$A$4:$A$203,0))&gt;1),IF(J60=1,INDEX(Frozen_Predictions!$Y$4:$Y$203,MATCH(A60,Frozen_Predictions!$A$4:$A$203,0))-1,-1),""))</x:f>
      </x:c>
      <x:c r="L60" s="175"/>
      <x:c r="M60" s="175"/>
      <x:c r="N60" s="172" t="str">
        <x:f>IFERROR(IF(AND(ISNUMBER(L60),ISNUMBER(M60),L60&gt;=0,M60&gt;=0,INT(L60)=L60,INT(M60)=M60),L60+M60,""),"")</x:f>
      </x:c>
      <x:c r="O60" s="172" t="str">
        <x:f>IF(X60&lt;&gt;"SETTLED","",IF(J60=1,"WIN",IF(N60=IF(G60="U3.5",4,IF(G60="U4.5",5,6)),"NEAR TAIL","SEVERE TAIL")))</x:f>
      </x:c>
      <x:c r="P60" s="175"/>
      <x:c r="Q60" s="177"/>
      <x:c r="R60" s="213" t="str">
        <x:f>IF(X60&lt;&gt;"SETTLED","",(I60-J60)^2)</x:f>
      </x:c>
      <x:c r="S60" s="213" t="str">
        <x:f>IF(X60&lt;&gt;"SETTLED","",-(J60*LN(MAX(0.000001,MIN(0.999999,I60)))+(1-J60)*LN(MAX(0.000001,MIN(0.999999,1-I60)))))</x:f>
      </x:c>
      <x:c r="T60" s="172" t="str">
        <x:f>IF(A60="","",IFERROR(INDEX(Frozen_Predictions!$N$4:$N$203,MATCH(A60,Frozen_Predictions!$A$4:$A$203,0)),""))</x:f>
      </x:c>
      <x:c r="U60" s="172" t="str">
        <x:f>IF(A60="","",IFERROR(INDEX(Frozen_Predictions!$O$4:$O$203,MATCH(A60,Frozen_Predictions!$A$4:$A$203,0)),""))</x:f>
      </x:c>
      <x:c r="V60" s="172" t="str">
        <x:f>IF(A60="","",IFERROR(INDEX(Frozen_Predictions!$M$4:$M$203,MATCH(A60,Frozen_Predictions!$A$4:$A$203,0)),""))</x:f>
      </x:c>
      <x:c r="W60" s="175"/>
      <x:c r="X60" s="172" t="str">
        <x:f>IF(A60="","",IF(NOT(COUNTIFS(Frozen_Predictions!$A$4:$A$203,A60)=1),"SNAPSHOT ID INVALID",IFERROR(IF(NOT(AND(INDEX(Frozen_Predictions!$Q$4:$Q$203,MATCH(A60,Frozen_Predictions!$A$4:$A$203,0))="DA",ISNUMBER(INDEX(Frozen_Predictions!$B$4:$B$203,MATCH(A60,Frozen_Predictions!$A$4:$A$203,0))),ISNUMBER(INDEX(Frozen_Predictions!$C$4:$C$203,MATCH(A60,Frozen_Predictions!$A$4:$A$203,0))),INDEX(Frozen_Predictions!$B$4:$B$203,MATCH(A60,Frozen_Predictions!$A$4:$A$203,0))&lt;INDEX(Frozen_Predictions!$C$4:$C$203,MATCH(A60,Frozen_Predictions!$A$4:$A$203,0)),INDEX(Frozen_Predictions!$V$4:$V$203,MATCH(A60,Frozen_Predictions!$A$4:$A$203,0))="READY",INDEX(Frozen_Predictions!$O$4:$O$203,MATCH(A60,Frozen_Predictions!$A$4:$A$203,0))="PASS",INDEX(Frozen_Predictions!$J$4:$J$203,MATCH(A60,Frozen_Predictions!$A$4:$A$203,0))=Under_LineCal_v9!$B$45,COUNTIFS(Frozen_Predictions!$A$4:$A$203,A60,Frozen_Predictions!$L$4:$L$203,"&lt;&gt;",Frozen_Predictions!$L$4:$L$203,"&gt;=0",Frozen_Predictions!$L$4:$L$203,"&lt;=1")=1,COUNTIFS($A$4:$A$203,A60)=1)),"SNAPSHOT NOT VALID",IF(AND(ISNUMBER(I60),I60&gt;=0,I60&lt;=1,ISNUMBER(N60),P60&lt;&gt;"",ISNUMBER(Q60),Q60&gt;=B60,OR(G60="U3.5",G60="U4.5",G60="U5.5")),"SETTLED","PENDING RESULT")),"SNAPSHOT NOT VALID")))</x:f>
      </x:c>
    </x:row>
    <x:row r="61" ht="23" customHeight="1">
      <x:c r="A61" s="175"/>
      <x:c r="B61" s="200" t="str">
        <x:f>IF(A61="","",IFERROR(INDEX(Frozen_Predictions!$C$4:$C$203,MATCH(A61,Frozen_Predictions!$A$4:$A$203,0)),""))</x:f>
      </x:c>
      <x:c r="C61" s="172" t="str">
        <x:f>IF(A61="","",IFERROR(INDEX(Frozen_Predictions!$E$4:$E$203,MATCH(A61,Frozen_Predictions!$A$4:$A$203,0)),""))</x:f>
      </x:c>
      <x:c r="D61" s="172" t="str">
        <x:f>IF(A61="","",IFERROR(INDEX(Frozen_Predictions!$F$4:$F$203,MATCH(A61,Frozen_Predictions!$A$4:$A$203,0)),""))</x:f>
      </x:c>
      <x:c r="E61" s="172" t="str">
        <x:f>IF(A61="","",IFERROR(INDEX(Frozen_Predictions!$G$4:$G$203,MATCH(A61,Frozen_Predictions!$A$4:$A$203,0)),""))</x:f>
      </x:c>
      <x:c r="F61" s="172" t="str">
        <x:f>IF(A61="","",IFERROR(INDEX(Frozen_Predictions!$H$4:$H$203,MATCH(A61,Frozen_Predictions!$A$4:$A$203,0)),""))</x:f>
      </x:c>
      <x:c r="G61" s="172" t="str">
        <x:f>IF(A61="","",IFERROR(INDEX(Frozen_Predictions!$I$4:$I$203,MATCH(A61,Frozen_Predictions!$A$4:$A$203,0)),""))</x:f>
      </x:c>
      <x:c r="H61" s="172" t="str">
        <x:f>IF(A61="","",IFERROR(INDEX(Frozen_Predictions!$J$4:$J$203,MATCH(A61,Frozen_Predictions!$A$4:$A$203,0)),""))</x:f>
      </x:c>
      <x:c r="I61" s="192" t="str">
        <x:f>IF(A61="","",IFERROR(INDEX(Frozen_Predictions!$L$4:$L$203,MATCH(A61,Frozen_Predictions!$A$4:$A$203,0)),""))</x:f>
      </x:c>
      <x:c r="J61" s="172" t="str">
        <x:f>IF(X61&lt;&gt;"SETTLED","",IF(N61&lt;=IF(G61="U3.5",3,IF(G61="U4.5",4,5)),1,0))</x:f>
      </x:c>
      <x:c r="K61" s="195" t="str">
        <x:f>IF(X61&lt;&gt;"SETTLED","",IF(AND(OR(V61="DEFENSIV",V61="PRUDENT",V61="MODERAT",V61="RIDICAT"),ISNUMBER(INDEX(Frozen_Predictions!$Y$4:$Y$203,MATCH(A61,Frozen_Predictions!$A$4:$A$203,0))),INDEX(Frozen_Predictions!$Y$4:$Y$203,MATCH(A61,Frozen_Predictions!$A$4:$A$203,0))&gt;1),IF(J61=1,INDEX(Frozen_Predictions!$Y$4:$Y$203,MATCH(A61,Frozen_Predictions!$A$4:$A$203,0))-1,-1),""))</x:f>
      </x:c>
      <x:c r="L61" s="175"/>
      <x:c r="M61" s="175"/>
      <x:c r="N61" s="172" t="str">
        <x:f>IFERROR(IF(AND(ISNUMBER(L61),ISNUMBER(M61),L61&gt;=0,M61&gt;=0,INT(L61)=L61,INT(M61)=M61),L61+M61,""),"")</x:f>
      </x:c>
      <x:c r="O61" s="172" t="str">
        <x:f>IF(X61&lt;&gt;"SETTLED","",IF(J61=1,"WIN",IF(N61=IF(G61="U3.5",4,IF(G61="U4.5",5,6)),"NEAR TAIL","SEVERE TAIL")))</x:f>
      </x:c>
      <x:c r="P61" s="175"/>
      <x:c r="Q61" s="177"/>
      <x:c r="R61" s="213" t="str">
        <x:f>IF(X61&lt;&gt;"SETTLED","",(I61-J61)^2)</x:f>
      </x:c>
      <x:c r="S61" s="213" t="str">
        <x:f>IF(X61&lt;&gt;"SETTLED","",-(J61*LN(MAX(0.000001,MIN(0.999999,I61)))+(1-J61)*LN(MAX(0.000001,MIN(0.999999,1-I61)))))</x:f>
      </x:c>
      <x:c r="T61" s="172" t="str">
        <x:f>IF(A61="","",IFERROR(INDEX(Frozen_Predictions!$N$4:$N$203,MATCH(A61,Frozen_Predictions!$A$4:$A$203,0)),""))</x:f>
      </x:c>
      <x:c r="U61" s="172" t="str">
        <x:f>IF(A61="","",IFERROR(INDEX(Frozen_Predictions!$O$4:$O$203,MATCH(A61,Frozen_Predictions!$A$4:$A$203,0)),""))</x:f>
      </x:c>
      <x:c r="V61" s="172" t="str">
        <x:f>IF(A61="","",IFERROR(INDEX(Frozen_Predictions!$M$4:$M$203,MATCH(A61,Frozen_Predictions!$A$4:$A$203,0)),""))</x:f>
      </x:c>
      <x:c r="W61" s="175"/>
      <x:c r="X61" s="172" t="str">
        <x:f>IF(A61="","",IF(NOT(COUNTIFS(Frozen_Predictions!$A$4:$A$203,A61)=1),"SNAPSHOT ID INVALID",IFERROR(IF(NOT(AND(INDEX(Frozen_Predictions!$Q$4:$Q$203,MATCH(A61,Frozen_Predictions!$A$4:$A$203,0))="DA",ISNUMBER(INDEX(Frozen_Predictions!$B$4:$B$203,MATCH(A61,Frozen_Predictions!$A$4:$A$203,0))),ISNUMBER(INDEX(Frozen_Predictions!$C$4:$C$203,MATCH(A61,Frozen_Predictions!$A$4:$A$203,0))),INDEX(Frozen_Predictions!$B$4:$B$203,MATCH(A61,Frozen_Predictions!$A$4:$A$203,0))&lt;INDEX(Frozen_Predictions!$C$4:$C$203,MATCH(A61,Frozen_Predictions!$A$4:$A$203,0)),INDEX(Frozen_Predictions!$V$4:$V$203,MATCH(A61,Frozen_Predictions!$A$4:$A$203,0))="READY",INDEX(Frozen_Predictions!$O$4:$O$203,MATCH(A61,Frozen_Predictions!$A$4:$A$203,0))="PASS",INDEX(Frozen_Predictions!$J$4:$J$203,MATCH(A61,Frozen_Predictions!$A$4:$A$203,0))=Under_LineCal_v9!$B$45,COUNTIFS(Frozen_Predictions!$A$4:$A$203,A61,Frozen_Predictions!$L$4:$L$203,"&lt;&gt;",Frozen_Predictions!$L$4:$L$203,"&gt;=0",Frozen_Predictions!$L$4:$L$203,"&lt;=1")=1,COUNTIFS($A$4:$A$203,A61)=1)),"SNAPSHOT NOT VALID",IF(AND(ISNUMBER(I61),I61&gt;=0,I61&lt;=1,ISNUMBER(N61),P61&lt;&gt;"",ISNUMBER(Q61),Q61&gt;=B61,OR(G61="U3.5",G61="U4.5",G61="U5.5")),"SETTLED","PENDING RESULT")),"SNAPSHOT NOT VALID")))</x:f>
      </x:c>
    </x:row>
    <x:row r="62" ht="23" customHeight="1">
      <x:c r="A62" s="175"/>
      <x:c r="B62" s="200" t="str">
        <x:f>IF(A62="","",IFERROR(INDEX(Frozen_Predictions!$C$4:$C$203,MATCH(A62,Frozen_Predictions!$A$4:$A$203,0)),""))</x:f>
      </x:c>
      <x:c r="C62" s="172" t="str">
        <x:f>IF(A62="","",IFERROR(INDEX(Frozen_Predictions!$E$4:$E$203,MATCH(A62,Frozen_Predictions!$A$4:$A$203,0)),""))</x:f>
      </x:c>
      <x:c r="D62" s="172" t="str">
        <x:f>IF(A62="","",IFERROR(INDEX(Frozen_Predictions!$F$4:$F$203,MATCH(A62,Frozen_Predictions!$A$4:$A$203,0)),""))</x:f>
      </x:c>
      <x:c r="E62" s="172" t="str">
        <x:f>IF(A62="","",IFERROR(INDEX(Frozen_Predictions!$G$4:$G$203,MATCH(A62,Frozen_Predictions!$A$4:$A$203,0)),""))</x:f>
      </x:c>
      <x:c r="F62" s="172" t="str">
        <x:f>IF(A62="","",IFERROR(INDEX(Frozen_Predictions!$H$4:$H$203,MATCH(A62,Frozen_Predictions!$A$4:$A$203,0)),""))</x:f>
      </x:c>
      <x:c r="G62" s="172" t="str">
        <x:f>IF(A62="","",IFERROR(INDEX(Frozen_Predictions!$I$4:$I$203,MATCH(A62,Frozen_Predictions!$A$4:$A$203,0)),""))</x:f>
      </x:c>
      <x:c r="H62" s="172" t="str">
        <x:f>IF(A62="","",IFERROR(INDEX(Frozen_Predictions!$J$4:$J$203,MATCH(A62,Frozen_Predictions!$A$4:$A$203,0)),""))</x:f>
      </x:c>
      <x:c r="I62" s="192" t="str">
        <x:f>IF(A62="","",IFERROR(INDEX(Frozen_Predictions!$L$4:$L$203,MATCH(A62,Frozen_Predictions!$A$4:$A$203,0)),""))</x:f>
      </x:c>
      <x:c r="J62" s="172" t="str">
        <x:f>IF(X62&lt;&gt;"SETTLED","",IF(N62&lt;=IF(G62="U3.5",3,IF(G62="U4.5",4,5)),1,0))</x:f>
      </x:c>
      <x:c r="K62" s="195" t="str">
        <x:f>IF(X62&lt;&gt;"SETTLED","",IF(AND(OR(V62="DEFENSIV",V62="PRUDENT",V62="MODERAT",V62="RIDICAT"),ISNUMBER(INDEX(Frozen_Predictions!$Y$4:$Y$203,MATCH(A62,Frozen_Predictions!$A$4:$A$203,0))),INDEX(Frozen_Predictions!$Y$4:$Y$203,MATCH(A62,Frozen_Predictions!$A$4:$A$203,0))&gt;1),IF(J62=1,INDEX(Frozen_Predictions!$Y$4:$Y$203,MATCH(A62,Frozen_Predictions!$A$4:$A$203,0))-1,-1),""))</x:f>
      </x:c>
      <x:c r="L62" s="175"/>
      <x:c r="M62" s="175"/>
      <x:c r="N62" s="172" t="str">
        <x:f>IFERROR(IF(AND(ISNUMBER(L62),ISNUMBER(M62),L62&gt;=0,M62&gt;=0,INT(L62)=L62,INT(M62)=M62),L62+M62,""),"")</x:f>
      </x:c>
      <x:c r="O62" s="172" t="str">
        <x:f>IF(X62&lt;&gt;"SETTLED","",IF(J62=1,"WIN",IF(N62=IF(G62="U3.5",4,IF(G62="U4.5",5,6)),"NEAR TAIL","SEVERE TAIL")))</x:f>
      </x:c>
      <x:c r="P62" s="175"/>
      <x:c r="Q62" s="177"/>
      <x:c r="R62" s="213" t="str">
        <x:f>IF(X62&lt;&gt;"SETTLED","",(I62-J62)^2)</x:f>
      </x:c>
      <x:c r="S62" s="213" t="str">
        <x:f>IF(X62&lt;&gt;"SETTLED","",-(J62*LN(MAX(0.000001,MIN(0.999999,I62)))+(1-J62)*LN(MAX(0.000001,MIN(0.999999,1-I62)))))</x:f>
      </x:c>
      <x:c r="T62" s="172" t="str">
        <x:f>IF(A62="","",IFERROR(INDEX(Frozen_Predictions!$N$4:$N$203,MATCH(A62,Frozen_Predictions!$A$4:$A$203,0)),""))</x:f>
      </x:c>
      <x:c r="U62" s="172" t="str">
        <x:f>IF(A62="","",IFERROR(INDEX(Frozen_Predictions!$O$4:$O$203,MATCH(A62,Frozen_Predictions!$A$4:$A$203,0)),""))</x:f>
      </x:c>
      <x:c r="V62" s="172" t="str">
        <x:f>IF(A62="","",IFERROR(INDEX(Frozen_Predictions!$M$4:$M$203,MATCH(A62,Frozen_Predictions!$A$4:$A$203,0)),""))</x:f>
      </x:c>
      <x:c r="W62" s="175"/>
      <x:c r="X62" s="172" t="str">
        <x:f>IF(A62="","",IF(NOT(COUNTIFS(Frozen_Predictions!$A$4:$A$203,A62)=1),"SNAPSHOT ID INVALID",IFERROR(IF(NOT(AND(INDEX(Frozen_Predictions!$Q$4:$Q$203,MATCH(A62,Frozen_Predictions!$A$4:$A$203,0))="DA",ISNUMBER(INDEX(Frozen_Predictions!$B$4:$B$203,MATCH(A62,Frozen_Predictions!$A$4:$A$203,0))),ISNUMBER(INDEX(Frozen_Predictions!$C$4:$C$203,MATCH(A62,Frozen_Predictions!$A$4:$A$203,0))),INDEX(Frozen_Predictions!$B$4:$B$203,MATCH(A62,Frozen_Predictions!$A$4:$A$203,0))&lt;INDEX(Frozen_Predictions!$C$4:$C$203,MATCH(A62,Frozen_Predictions!$A$4:$A$203,0)),INDEX(Frozen_Predictions!$V$4:$V$203,MATCH(A62,Frozen_Predictions!$A$4:$A$203,0))="READY",INDEX(Frozen_Predictions!$O$4:$O$203,MATCH(A62,Frozen_Predictions!$A$4:$A$203,0))="PASS",INDEX(Frozen_Predictions!$J$4:$J$203,MATCH(A62,Frozen_Predictions!$A$4:$A$203,0))=Under_LineCal_v9!$B$45,COUNTIFS(Frozen_Predictions!$A$4:$A$203,A62,Frozen_Predictions!$L$4:$L$203,"&lt;&gt;",Frozen_Predictions!$L$4:$L$203,"&gt;=0",Frozen_Predictions!$L$4:$L$203,"&lt;=1")=1,COUNTIFS($A$4:$A$203,A62)=1)),"SNAPSHOT NOT VALID",IF(AND(ISNUMBER(I62),I62&gt;=0,I62&lt;=1,ISNUMBER(N62),P62&lt;&gt;"",ISNUMBER(Q62),Q62&gt;=B62,OR(G62="U3.5",G62="U4.5",G62="U5.5")),"SETTLED","PENDING RESULT")),"SNAPSHOT NOT VALID")))</x:f>
      </x:c>
    </x:row>
    <x:row r="63" ht="23" customHeight="1">
      <x:c r="A63" s="175"/>
      <x:c r="B63" s="200" t="str">
        <x:f>IF(A63="","",IFERROR(INDEX(Frozen_Predictions!$C$4:$C$203,MATCH(A63,Frozen_Predictions!$A$4:$A$203,0)),""))</x:f>
      </x:c>
      <x:c r="C63" s="172" t="str">
        <x:f>IF(A63="","",IFERROR(INDEX(Frozen_Predictions!$E$4:$E$203,MATCH(A63,Frozen_Predictions!$A$4:$A$203,0)),""))</x:f>
      </x:c>
      <x:c r="D63" s="172" t="str">
        <x:f>IF(A63="","",IFERROR(INDEX(Frozen_Predictions!$F$4:$F$203,MATCH(A63,Frozen_Predictions!$A$4:$A$203,0)),""))</x:f>
      </x:c>
      <x:c r="E63" s="172" t="str">
        <x:f>IF(A63="","",IFERROR(INDEX(Frozen_Predictions!$G$4:$G$203,MATCH(A63,Frozen_Predictions!$A$4:$A$203,0)),""))</x:f>
      </x:c>
      <x:c r="F63" s="172" t="str">
        <x:f>IF(A63="","",IFERROR(INDEX(Frozen_Predictions!$H$4:$H$203,MATCH(A63,Frozen_Predictions!$A$4:$A$203,0)),""))</x:f>
      </x:c>
      <x:c r="G63" s="172" t="str">
        <x:f>IF(A63="","",IFERROR(INDEX(Frozen_Predictions!$I$4:$I$203,MATCH(A63,Frozen_Predictions!$A$4:$A$203,0)),""))</x:f>
      </x:c>
      <x:c r="H63" s="172" t="str">
        <x:f>IF(A63="","",IFERROR(INDEX(Frozen_Predictions!$J$4:$J$203,MATCH(A63,Frozen_Predictions!$A$4:$A$203,0)),""))</x:f>
      </x:c>
      <x:c r="I63" s="192" t="str">
        <x:f>IF(A63="","",IFERROR(INDEX(Frozen_Predictions!$L$4:$L$203,MATCH(A63,Frozen_Predictions!$A$4:$A$203,0)),""))</x:f>
      </x:c>
      <x:c r="J63" s="172" t="str">
        <x:f>IF(X63&lt;&gt;"SETTLED","",IF(N63&lt;=IF(G63="U3.5",3,IF(G63="U4.5",4,5)),1,0))</x:f>
      </x:c>
      <x:c r="K63" s="195" t="str">
        <x:f>IF(X63&lt;&gt;"SETTLED","",IF(AND(OR(V63="DEFENSIV",V63="PRUDENT",V63="MODERAT",V63="RIDICAT"),ISNUMBER(INDEX(Frozen_Predictions!$Y$4:$Y$203,MATCH(A63,Frozen_Predictions!$A$4:$A$203,0))),INDEX(Frozen_Predictions!$Y$4:$Y$203,MATCH(A63,Frozen_Predictions!$A$4:$A$203,0))&gt;1),IF(J63=1,INDEX(Frozen_Predictions!$Y$4:$Y$203,MATCH(A63,Frozen_Predictions!$A$4:$A$203,0))-1,-1),""))</x:f>
      </x:c>
      <x:c r="L63" s="175"/>
      <x:c r="M63" s="175"/>
      <x:c r="N63" s="172" t="str">
        <x:f>IFERROR(IF(AND(ISNUMBER(L63),ISNUMBER(M63),L63&gt;=0,M63&gt;=0,INT(L63)=L63,INT(M63)=M63),L63+M63,""),"")</x:f>
      </x:c>
      <x:c r="O63" s="172" t="str">
        <x:f>IF(X63&lt;&gt;"SETTLED","",IF(J63=1,"WIN",IF(N63=IF(G63="U3.5",4,IF(G63="U4.5",5,6)),"NEAR TAIL","SEVERE TAIL")))</x:f>
      </x:c>
      <x:c r="P63" s="175"/>
      <x:c r="Q63" s="177"/>
      <x:c r="R63" s="213" t="str">
        <x:f>IF(X63&lt;&gt;"SETTLED","",(I63-J63)^2)</x:f>
      </x:c>
      <x:c r="S63" s="213" t="str">
        <x:f>IF(X63&lt;&gt;"SETTLED","",-(J63*LN(MAX(0.000001,MIN(0.999999,I63)))+(1-J63)*LN(MAX(0.000001,MIN(0.999999,1-I63)))))</x:f>
      </x:c>
      <x:c r="T63" s="172" t="str">
        <x:f>IF(A63="","",IFERROR(INDEX(Frozen_Predictions!$N$4:$N$203,MATCH(A63,Frozen_Predictions!$A$4:$A$203,0)),""))</x:f>
      </x:c>
      <x:c r="U63" s="172" t="str">
        <x:f>IF(A63="","",IFERROR(INDEX(Frozen_Predictions!$O$4:$O$203,MATCH(A63,Frozen_Predictions!$A$4:$A$203,0)),""))</x:f>
      </x:c>
      <x:c r="V63" s="172" t="str">
        <x:f>IF(A63="","",IFERROR(INDEX(Frozen_Predictions!$M$4:$M$203,MATCH(A63,Frozen_Predictions!$A$4:$A$203,0)),""))</x:f>
      </x:c>
      <x:c r="W63" s="175"/>
      <x:c r="X63" s="172" t="str">
        <x:f>IF(A63="","",IF(NOT(COUNTIFS(Frozen_Predictions!$A$4:$A$203,A63)=1),"SNAPSHOT ID INVALID",IFERROR(IF(NOT(AND(INDEX(Frozen_Predictions!$Q$4:$Q$203,MATCH(A63,Frozen_Predictions!$A$4:$A$203,0))="DA",ISNUMBER(INDEX(Frozen_Predictions!$B$4:$B$203,MATCH(A63,Frozen_Predictions!$A$4:$A$203,0))),ISNUMBER(INDEX(Frozen_Predictions!$C$4:$C$203,MATCH(A63,Frozen_Predictions!$A$4:$A$203,0))),INDEX(Frozen_Predictions!$B$4:$B$203,MATCH(A63,Frozen_Predictions!$A$4:$A$203,0))&lt;INDEX(Frozen_Predictions!$C$4:$C$203,MATCH(A63,Frozen_Predictions!$A$4:$A$203,0)),INDEX(Frozen_Predictions!$V$4:$V$203,MATCH(A63,Frozen_Predictions!$A$4:$A$203,0))="READY",INDEX(Frozen_Predictions!$O$4:$O$203,MATCH(A63,Frozen_Predictions!$A$4:$A$203,0))="PASS",INDEX(Frozen_Predictions!$J$4:$J$203,MATCH(A63,Frozen_Predictions!$A$4:$A$203,0))=Under_LineCal_v9!$B$45,COUNTIFS(Frozen_Predictions!$A$4:$A$203,A63,Frozen_Predictions!$L$4:$L$203,"&lt;&gt;",Frozen_Predictions!$L$4:$L$203,"&gt;=0",Frozen_Predictions!$L$4:$L$203,"&lt;=1")=1,COUNTIFS($A$4:$A$203,A63)=1)),"SNAPSHOT NOT VALID",IF(AND(ISNUMBER(I63),I63&gt;=0,I63&lt;=1,ISNUMBER(N63),P63&lt;&gt;"",ISNUMBER(Q63),Q63&gt;=B63,OR(G63="U3.5",G63="U4.5",G63="U5.5")),"SETTLED","PENDING RESULT")),"SNAPSHOT NOT VALID")))</x:f>
      </x:c>
    </x:row>
    <x:row r="64" ht="23" customHeight="1">
      <x:c r="A64" s="175"/>
      <x:c r="B64" s="200" t="str">
        <x:f>IF(A64="","",IFERROR(INDEX(Frozen_Predictions!$C$4:$C$203,MATCH(A64,Frozen_Predictions!$A$4:$A$203,0)),""))</x:f>
      </x:c>
      <x:c r="C64" s="172" t="str">
        <x:f>IF(A64="","",IFERROR(INDEX(Frozen_Predictions!$E$4:$E$203,MATCH(A64,Frozen_Predictions!$A$4:$A$203,0)),""))</x:f>
      </x:c>
      <x:c r="D64" s="172" t="str">
        <x:f>IF(A64="","",IFERROR(INDEX(Frozen_Predictions!$F$4:$F$203,MATCH(A64,Frozen_Predictions!$A$4:$A$203,0)),""))</x:f>
      </x:c>
      <x:c r="E64" s="172" t="str">
        <x:f>IF(A64="","",IFERROR(INDEX(Frozen_Predictions!$G$4:$G$203,MATCH(A64,Frozen_Predictions!$A$4:$A$203,0)),""))</x:f>
      </x:c>
      <x:c r="F64" s="172" t="str">
        <x:f>IF(A64="","",IFERROR(INDEX(Frozen_Predictions!$H$4:$H$203,MATCH(A64,Frozen_Predictions!$A$4:$A$203,0)),""))</x:f>
      </x:c>
      <x:c r="G64" s="172" t="str">
        <x:f>IF(A64="","",IFERROR(INDEX(Frozen_Predictions!$I$4:$I$203,MATCH(A64,Frozen_Predictions!$A$4:$A$203,0)),""))</x:f>
      </x:c>
      <x:c r="H64" s="172" t="str">
        <x:f>IF(A64="","",IFERROR(INDEX(Frozen_Predictions!$J$4:$J$203,MATCH(A64,Frozen_Predictions!$A$4:$A$203,0)),""))</x:f>
      </x:c>
      <x:c r="I64" s="192" t="str">
        <x:f>IF(A64="","",IFERROR(INDEX(Frozen_Predictions!$L$4:$L$203,MATCH(A64,Frozen_Predictions!$A$4:$A$203,0)),""))</x:f>
      </x:c>
      <x:c r="J64" s="172" t="str">
        <x:f>IF(X64&lt;&gt;"SETTLED","",IF(N64&lt;=IF(G64="U3.5",3,IF(G64="U4.5",4,5)),1,0))</x:f>
      </x:c>
      <x:c r="K64" s="195" t="str">
        <x:f>IF(X64&lt;&gt;"SETTLED","",IF(AND(OR(V64="DEFENSIV",V64="PRUDENT",V64="MODERAT",V64="RIDICAT"),ISNUMBER(INDEX(Frozen_Predictions!$Y$4:$Y$203,MATCH(A64,Frozen_Predictions!$A$4:$A$203,0))),INDEX(Frozen_Predictions!$Y$4:$Y$203,MATCH(A64,Frozen_Predictions!$A$4:$A$203,0))&gt;1),IF(J64=1,INDEX(Frozen_Predictions!$Y$4:$Y$203,MATCH(A64,Frozen_Predictions!$A$4:$A$203,0))-1,-1),""))</x:f>
      </x:c>
      <x:c r="L64" s="175"/>
      <x:c r="M64" s="175"/>
      <x:c r="N64" s="172" t="str">
        <x:f>IFERROR(IF(AND(ISNUMBER(L64),ISNUMBER(M64),L64&gt;=0,M64&gt;=0,INT(L64)=L64,INT(M64)=M64),L64+M64,""),"")</x:f>
      </x:c>
      <x:c r="O64" s="172" t="str">
        <x:f>IF(X64&lt;&gt;"SETTLED","",IF(J64=1,"WIN",IF(N64=IF(G64="U3.5",4,IF(G64="U4.5",5,6)),"NEAR TAIL","SEVERE TAIL")))</x:f>
      </x:c>
      <x:c r="P64" s="175"/>
      <x:c r="Q64" s="177"/>
      <x:c r="R64" s="213" t="str">
        <x:f>IF(X64&lt;&gt;"SETTLED","",(I64-J64)^2)</x:f>
      </x:c>
      <x:c r="S64" s="213" t="str">
        <x:f>IF(X64&lt;&gt;"SETTLED","",-(J64*LN(MAX(0.000001,MIN(0.999999,I64)))+(1-J64)*LN(MAX(0.000001,MIN(0.999999,1-I64)))))</x:f>
      </x:c>
      <x:c r="T64" s="172" t="str">
        <x:f>IF(A64="","",IFERROR(INDEX(Frozen_Predictions!$N$4:$N$203,MATCH(A64,Frozen_Predictions!$A$4:$A$203,0)),""))</x:f>
      </x:c>
      <x:c r="U64" s="172" t="str">
        <x:f>IF(A64="","",IFERROR(INDEX(Frozen_Predictions!$O$4:$O$203,MATCH(A64,Frozen_Predictions!$A$4:$A$203,0)),""))</x:f>
      </x:c>
      <x:c r="V64" s="172" t="str">
        <x:f>IF(A64="","",IFERROR(INDEX(Frozen_Predictions!$M$4:$M$203,MATCH(A64,Frozen_Predictions!$A$4:$A$203,0)),""))</x:f>
      </x:c>
      <x:c r="W64" s="175"/>
      <x:c r="X64" s="172" t="str">
        <x:f>IF(A64="","",IF(NOT(COUNTIFS(Frozen_Predictions!$A$4:$A$203,A64)=1),"SNAPSHOT ID INVALID",IFERROR(IF(NOT(AND(INDEX(Frozen_Predictions!$Q$4:$Q$203,MATCH(A64,Frozen_Predictions!$A$4:$A$203,0))="DA",ISNUMBER(INDEX(Frozen_Predictions!$B$4:$B$203,MATCH(A64,Frozen_Predictions!$A$4:$A$203,0))),ISNUMBER(INDEX(Frozen_Predictions!$C$4:$C$203,MATCH(A64,Frozen_Predictions!$A$4:$A$203,0))),INDEX(Frozen_Predictions!$B$4:$B$203,MATCH(A64,Frozen_Predictions!$A$4:$A$203,0))&lt;INDEX(Frozen_Predictions!$C$4:$C$203,MATCH(A64,Frozen_Predictions!$A$4:$A$203,0)),INDEX(Frozen_Predictions!$V$4:$V$203,MATCH(A64,Frozen_Predictions!$A$4:$A$203,0))="READY",INDEX(Frozen_Predictions!$O$4:$O$203,MATCH(A64,Frozen_Predictions!$A$4:$A$203,0))="PASS",INDEX(Frozen_Predictions!$J$4:$J$203,MATCH(A64,Frozen_Predictions!$A$4:$A$203,0))=Under_LineCal_v9!$B$45,COUNTIFS(Frozen_Predictions!$A$4:$A$203,A64,Frozen_Predictions!$L$4:$L$203,"&lt;&gt;",Frozen_Predictions!$L$4:$L$203,"&gt;=0",Frozen_Predictions!$L$4:$L$203,"&lt;=1")=1,COUNTIFS($A$4:$A$203,A64)=1)),"SNAPSHOT NOT VALID",IF(AND(ISNUMBER(I64),I64&gt;=0,I64&lt;=1,ISNUMBER(N64),P64&lt;&gt;"",ISNUMBER(Q64),Q64&gt;=B64,OR(G64="U3.5",G64="U4.5",G64="U5.5")),"SETTLED","PENDING RESULT")),"SNAPSHOT NOT VALID")))</x:f>
      </x:c>
    </x:row>
    <x:row r="65" ht="23" customHeight="1">
      <x:c r="A65" s="175"/>
      <x:c r="B65" s="200" t="str">
        <x:f>IF(A65="","",IFERROR(INDEX(Frozen_Predictions!$C$4:$C$203,MATCH(A65,Frozen_Predictions!$A$4:$A$203,0)),""))</x:f>
      </x:c>
      <x:c r="C65" s="172" t="str">
        <x:f>IF(A65="","",IFERROR(INDEX(Frozen_Predictions!$E$4:$E$203,MATCH(A65,Frozen_Predictions!$A$4:$A$203,0)),""))</x:f>
      </x:c>
      <x:c r="D65" s="172" t="str">
        <x:f>IF(A65="","",IFERROR(INDEX(Frozen_Predictions!$F$4:$F$203,MATCH(A65,Frozen_Predictions!$A$4:$A$203,0)),""))</x:f>
      </x:c>
      <x:c r="E65" s="172" t="str">
        <x:f>IF(A65="","",IFERROR(INDEX(Frozen_Predictions!$G$4:$G$203,MATCH(A65,Frozen_Predictions!$A$4:$A$203,0)),""))</x:f>
      </x:c>
      <x:c r="F65" s="172" t="str">
        <x:f>IF(A65="","",IFERROR(INDEX(Frozen_Predictions!$H$4:$H$203,MATCH(A65,Frozen_Predictions!$A$4:$A$203,0)),""))</x:f>
      </x:c>
      <x:c r="G65" s="172" t="str">
        <x:f>IF(A65="","",IFERROR(INDEX(Frozen_Predictions!$I$4:$I$203,MATCH(A65,Frozen_Predictions!$A$4:$A$203,0)),""))</x:f>
      </x:c>
      <x:c r="H65" s="172" t="str">
        <x:f>IF(A65="","",IFERROR(INDEX(Frozen_Predictions!$J$4:$J$203,MATCH(A65,Frozen_Predictions!$A$4:$A$203,0)),""))</x:f>
      </x:c>
      <x:c r="I65" s="192" t="str">
        <x:f>IF(A65="","",IFERROR(INDEX(Frozen_Predictions!$L$4:$L$203,MATCH(A65,Frozen_Predictions!$A$4:$A$203,0)),""))</x:f>
      </x:c>
      <x:c r="J65" s="172" t="str">
        <x:f>IF(X65&lt;&gt;"SETTLED","",IF(N65&lt;=IF(G65="U3.5",3,IF(G65="U4.5",4,5)),1,0))</x:f>
      </x:c>
      <x:c r="K65" s="195" t="str">
        <x:f>IF(X65&lt;&gt;"SETTLED","",IF(AND(OR(V65="DEFENSIV",V65="PRUDENT",V65="MODERAT",V65="RIDICAT"),ISNUMBER(INDEX(Frozen_Predictions!$Y$4:$Y$203,MATCH(A65,Frozen_Predictions!$A$4:$A$203,0))),INDEX(Frozen_Predictions!$Y$4:$Y$203,MATCH(A65,Frozen_Predictions!$A$4:$A$203,0))&gt;1),IF(J65=1,INDEX(Frozen_Predictions!$Y$4:$Y$203,MATCH(A65,Frozen_Predictions!$A$4:$A$203,0))-1,-1),""))</x:f>
      </x:c>
      <x:c r="L65" s="175"/>
      <x:c r="M65" s="175"/>
      <x:c r="N65" s="172" t="str">
        <x:f>IFERROR(IF(AND(ISNUMBER(L65),ISNUMBER(M65),L65&gt;=0,M65&gt;=0,INT(L65)=L65,INT(M65)=M65),L65+M65,""),"")</x:f>
      </x:c>
      <x:c r="O65" s="172" t="str">
        <x:f>IF(X65&lt;&gt;"SETTLED","",IF(J65=1,"WIN",IF(N65=IF(G65="U3.5",4,IF(G65="U4.5",5,6)),"NEAR TAIL","SEVERE TAIL")))</x:f>
      </x:c>
      <x:c r="P65" s="175"/>
      <x:c r="Q65" s="177"/>
      <x:c r="R65" s="213" t="str">
        <x:f>IF(X65&lt;&gt;"SETTLED","",(I65-J65)^2)</x:f>
      </x:c>
      <x:c r="S65" s="213" t="str">
        <x:f>IF(X65&lt;&gt;"SETTLED","",-(J65*LN(MAX(0.000001,MIN(0.999999,I65)))+(1-J65)*LN(MAX(0.000001,MIN(0.999999,1-I65)))))</x:f>
      </x:c>
      <x:c r="T65" s="172" t="str">
        <x:f>IF(A65="","",IFERROR(INDEX(Frozen_Predictions!$N$4:$N$203,MATCH(A65,Frozen_Predictions!$A$4:$A$203,0)),""))</x:f>
      </x:c>
      <x:c r="U65" s="172" t="str">
        <x:f>IF(A65="","",IFERROR(INDEX(Frozen_Predictions!$O$4:$O$203,MATCH(A65,Frozen_Predictions!$A$4:$A$203,0)),""))</x:f>
      </x:c>
      <x:c r="V65" s="172" t="str">
        <x:f>IF(A65="","",IFERROR(INDEX(Frozen_Predictions!$M$4:$M$203,MATCH(A65,Frozen_Predictions!$A$4:$A$203,0)),""))</x:f>
      </x:c>
      <x:c r="W65" s="175"/>
      <x:c r="X65" s="172" t="str">
        <x:f>IF(A65="","",IF(NOT(COUNTIFS(Frozen_Predictions!$A$4:$A$203,A65)=1),"SNAPSHOT ID INVALID",IFERROR(IF(NOT(AND(INDEX(Frozen_Predictions!$Q$4:$Q$203,MATCH(A65,Frozen_Predictions!$A$4:$A$203,0))="DA",ISNUMBER(INDEX(Frozen_Predictions!$B$4:$B$203,MATCH(A65,Frozen_Predictions!$A$4:$A$203,0))),ISNUMBER(INDEX(Frozen_Predictions!$C$4:$C$203,MATCH(A65,Frozen_Predictions!$A$4:$A$203,0))),INDEX(Frozen_Predictions!$B$4:$B$203,MATCH(A65,Frozen_Predictions!$A$4:$A$203,0))&lt;INDEX(Frozen_Predictions!$C$4:$C$203,MATCH(A65,Frozen_Predictions!$A$4:$A$203,0)),INDEX(Frozen_Predictions!$V$4:$V$203,MATCH(A65,Frozen_Predictions!$A$4:$A$203,0))="READY",INDEX(Frozen_Predictions!$O$4:$O$203,MATCH(A65,Frozen_Predictions!$A$4:$A$203,0))="PASS",INDEX(Frozen_Predictions!$J$4:$J$203,MATCH(A65,Frozen_Predictions!$A$4:$A$203,0))=Under_LineCal_v9!$B$45,COUNTIFS(Frozen_Predictions!$A$4:$A$203,A65,Frozen_Predictions!$L$4:$L$203,"&lt;&gt;",Frozen_Predictions!$L$4:$L$203,"&gt;=0",Frozen_Predictions!$L$4:$L$203,"&lt;=1")=1,COUNTIFS($A$4:$A$203,A65)=1)),"SNAPSHOT NOT VALID",IF(AND(ISNUMBER(I65),I65&gt;=0,I65&lt;=1,ISNUMBER(N65),P65&lt;&gt;"",ISNUMBER(Q65),Q65&gt;=B65,OR(G65="U3.5",G65="U4.5",G65="U5.5")),"SETTLED","PENDING RESULT")),"SNAPSHOT NOT VALID")))</x:f>
      </x:c>
    </x:row>
    <x:row r="66" ht="23" customHeight="1">
      <x:c r="A66" s="175"/>
      <x:c r="B66" s="200" t="str">
        <x:f>IF(A66="","",IFERROR(INDEX(Frozen_Predictions!$C$4:$C$203,MATCH(A66,Frozen_Predictions!$A$4:$A$203,0)),""))</x:f>
      </x:c>
      <x:c r="C66" s="172" t="str">
        <x:f>IF(A66="","",IFERROR(INDEX(Frozen_Predictions!$E$4:$E$203,MATCH(A66,Frozen_Predictions!$A$4:$A$203,0)),""))</x:f>
      </x:c>
      <x:c r="D66" s="172" t="str">
        <x:f>IF(A66="","",IFERROR(INDEX(Frozen_Predictions!$F$4:$F$203,MATCH(A66,Frozen_Predictions!$A$4:$A$203,0)),""))</x:f>
      </x:c>
      <x:c r="E66" s="172" t="str">
        <x:f>IF(A66="","",IFERROR(INDEX(Frozen_Predictions!$G$4:$G$203,MATCH(A66,Frozen_Predictions!$A$4:$A$203,0)),""))</x:f>
      </x:c>
      <x:c r="F66" s="172" t="str">
        <x:f>IF(A66="","",IFERROR(INDEX(Frozen_Predictions!$H$4:$H$203,MATCH(A66,Frozen_Predictions!$A$4:$A$203,0)),""))</x:f>
      </x:c>
      <x:c r="G66" s="172" t="str">
        <x:f>IF(A66="","",IFERROR(INDEX(Frozen_Predictions!$I$4:$I$203,MATCH(A66,Frozen_Predictions!$A$4:$A$203,0)),""))</x:f>
      </x:c>
      <x:c r="H66" s="172" t="str">
        <x:f>IF(A66="","",IFERROR(INDEX(Frozen_Predictions!$J$4:$J$203,MATCH(A66,Frozen_Predictions!$A$4:$A$203,0)),""))</x:f>
      </x:c>
      <x:c r="I66" s="192" t="str">
        <x:f>IF(A66="","",IFERROR(INDEX(Frozen_Predictions!$L$4:$L$203,MATCH(A66,Frozen_Predictions!$A$4:$A$203,0)),""))</x:f>
      </x:c>
      <x:c r="J66" s="172" t="str">
        <x:f>IF(X66&lt;&gt;"SETTLED","",IF(N66&lt;=IF(G66="U3.5",3,IF(G66="U4.5",4,5)),1,0))</x:f>
      </x:c>
      <x:c r="K66" s="195" t="str">
        <x:f>IF(X66&lt;&gt;"SETTLED","",IF(AND(OR(V66="DEFENSIV",V66="PRUDENT",V66="MODERAT",V66="RIDICAT"),ISNUMBER(INDEX(Frozen_Predictions!$Y$4:$Y$203,MATCH(A66,Frozen_Predictions!$A$4:$A$203,0))),INDEX(Frozen_Predictions!$Y$4:$Y$203,MATCH(A66,Frozen_Predictions!$A$4:$A$203,0))&gt;1),IF(J66=1,INDEX(Frozen_Predictions!$Y$4:$Y$203,MATCH(A66,Frozen_Predictions!$A$4:$A$203,0))-1,-1),""))</x:f>
      </x:c>
      <x:c r="L66" s="175"/>
      <x:c r="M66" s="175"/>
      <x:c r="N66" s="172" t="str">
        <x:f>IFERROR(IF(AND(ISNUMBER(L66),ISNUMBER(M66),L66&gt;=0,M66&gt;=0,INT(L66)=L66,INT(M66)=M66),L66+M66,""),"")</x:f>
      </x:c>
      <x:c r="O66" s="172" t="str">
        <x:f>IF(X66&lt;&gt;"SETTLED","",IF(J66=1,"WIN",IF(N66=IF(G66="U3.5",4,IF(G66="U4.5",5,6)),"NEAR TAIL","SEVERE TAIL")))</x:f>
      </x:c>
      <x:c r="P66" s="175"/>
      <x:c r="Q66" s="177"/>
      <x:c r="R66" s="213" t="str">
        <x:f>IF(X66&lt;&gt;"SETTLED","",(I66-J66)^2)</x:f>
      </x:c>
      <x:c r="S66" s="213" t="str">
        <x:f>IF(X66&lt;&gt;"SETTLED","",-(J66*LN(MAX(0.000001,MIN(0.999999,I66)))+(1-J66)*LN(MAX(0.000001,MIN(0.999999,1-I66)))))</x:f>
      </x:c>
      <x:c r="T66" s="172" t="str">
        <x:f>IF(A66="","",IFERROR(INDEX(Frozen_Predictions!$N$4:$N$203,MATCH(A66,Frozen_Predictions!$A$4:$A$203,0)),""))</x:f>
      </x:c>
      <x:c r="U66" s="172" t="str">
        <x:f>IF(A66="","",IFERROR(INDEX(Frozen_Predictions!$O$4:$O$203,MATCH(A66,Frozen_Predictions!$A$4:$A$203,0)),""))</x:f>
      </x:c>
      <x:c r="V66" s="172" t="str">
        <x:f>IF(A66="","",IFERROR(INDEX(Frozen_Predictions!$M$4:$M$203,MATCH(A66,Frozen_Predictions!$A$4:$A$203,0)),""))</x:f>
      </x:c>
      <x:c r="W66" s="175"/>
      <x:c r="X66" s="172" t="str">
        <x:f>IF(A66="","",IF(NOT(COUNTIFS(Frozen_Predictions!$A$4:$A$203,A66)=1),"SNAPSHOT ID INVALID",IFERROR(IF(NOT(AND(INDEX(Frozen_Predictions!$Q$4:$Q$203,MATCH(A66,Frozen_Predictions!$A$4:$A$203,0))="DA",ISNUMBER(INDEX(Frozen_Predictions!$B$4:$B$203,MATCH(A66,Frozen_Predictions!$A$4:$A$203,0))),ISNUMBER(INDEX(Frozen_Predictions!$C$4:$C$203,MATCH(A66,Frozen_Predictions!$A$4:$A$203,0))),INDEX(Frozen_Predictions!$B$4:$B$203,MATCH(A66,Frozen_Predictions!$A$4:$A$203,0))&lt;INDEX(Frozen_Predictions!$C$4:$C$203,MATCH(A66,Frozen_Predictions!$A$4:$A$203,0)),INDEX(Frozen_Predictions!$V$4:$V$203,MATCH(A66,Frozen_Predictions!$A$4:$A$203,0))="READY",INDEX(Frozen_Predictions!$O$4:$O$203,MATCH(A66,Frozen_Predictions!$A$4:$A$203,0))="PASS",INDEX(Frozen_Predictions!$J$4:$J$203,MATCH(A66,Frozen_Predictions!$A$4:$A$203,0))=Under_LineCal_v9!$B$45,COUNTIFS(Frozen_Predictions!$A$4:$A$203,A66,Frozen_Predictions!$L$4:$L$203,"&lt;&gt;",Frozen_Predictions!$L$4:$L$203,"&gt;=0",Frozen_Predictions!$L$4:$L$203,"&lt;=1")=1,COUNTIFS($A$4:$A$203,A66)=1)),"SNAPSHOT NOT VALID",IF(AND(ISNUMBER(I66),I66&gt;=0,I66&lt;=1,ISNUMBER(N66),P66&lt;&gt;"",ISNUMBER(Q66),Q66&gt;=B66,OR(G66="U3.5",G66="U4.5",G66="U5.5")),"SETTLED","PENDING RESULT")),"SNAPSHOT NOT VALID")))</x:f>
      </x:c>
    </x:row>
    <x:row r="67" ht="23" customHeight="1">
      <x:c r="A67" s="175"/>
      <x:c r="B67" s="200" t="str">
        <x:f>IF(A67="","",IFERROR(INDEX(Frozen_Predictions!$C$4:$C$203,MATCH(A67,Frozen_Predictions!$A$4:$A$203,0)),""))</x:f>
      </x:c>
      <x:c r="C67" s="172" t="str">
        <x:f>IF(A67="","",IFERROR(INDEX(Frozen_Predictions!$E$4:$E$203,MATCH(A67,Frozen_Predictions!$A$4:$A$203,0)),""))</x:f>
      </x:c>
      <x:c r="D67" s="172" t="str">
        <x:f>IF(A67="","",IFERROR(INDEX(Frozen_Predictions!$F$4:$F$203,MATCH(A67,Frozen_Predictions!$A$4:$A$203,0)),""))</x:f>
      </x:c>
      <x:c r="E67" s="172" t="str">
        <x:f>IF(A67="","",IFERROR(INDEX(Frozen_Predictions!$G$4:$G$203,MATCH(A67,Frozen_Predictions!$A$4:$A$203,0)),""))</x:f>
      </x:c>
      <x:c r="F67" s="172" t="str">
        <x:f>IF(A67="","",IFERROR(INDEX(Frozen_Predictions!$H$4:$H$203,MATCH(A67,Frozen_Predictions!$A$4:$A$203,0)),""))</x:f>
      </x:c>
      <x:c r="G67" s="172" t="str">
        <x:f>IF(A67="","",IFERROR(INDEX(Frozen_Predictions!$I$4:$I$203,MATCH(A67,Frozen_Predictions!$A$4:$A$203,0)),""))</x:f>
      </x:c>
      <x:c r="H67" s="172" t="str">
        <x:f>IF(A67="","",IFERROR(INDEX(Frozen_Predictions!$J$4:$J$203,MATCH(A67,Frozen_Predictions!$A$4:$A$203,0)),""))</x:f>
      </x:c>
      <x:c r="I67" s="192" t="str">
        <x:f>IF(A67="","",IFERROR(INDEX(Frozen_Predictions!$L$4:$L$203,MATCH(A67,Frozen_Predictions!$A$4:$A$203,0)),""))</x:f>
      </x:c>
      <x:c r="J67" s="172" t="str">
        <x:f>IF(X67&lt;&gt;"SETTLED","",IF(N67&lt;=IF(G67="U3.5",3,IF(G67="U4.5",4,5)),1,0))</x:f>
      </x:c>
      <x:c r="K67" s="195" t="str">
        <x:f>IF(X67&lt;&gt;"SETTLED","",IF(AND(OR(V67="DEFENSIV",V67="PRUDENT",V67="MODERAT",V67="RIDICAT"),ISNUMBER(INDEX(Frozen_Predictions!$Y$4:$Y$203,MATCH(A67,Frozen_Predictions!$A$4:$A$203,0))),INDEX(Frozen_Predictions!$Y$4:$Y$203,MATCH(A67,Frozen_Predictions!$A$4:$A$203,0))&gt;1),IF(J67=1,INDEX(Frozen_Predictions!$Y$4:$Y$203,MATCH(A67,Frozen_Predictions!$A$4:$A$203,0))-1,-1),""))</x:f>
      </x:c>
      <x:c r="L67" s="175"/>
      <x:c r="M67" s="175"/>
      <x:c r="N67" s="172" t="str">
        <x:f>IFERROR(IF(AND(ISNUMBER(L67),ISNUMBER(M67),L67&gt;=0,M67&gt;=0,INT(L67)=L67,INT(M67)=M67),L67+M67,""),"")</x:f>
      </x:c>
      <x:c r="O67" s="172" t="str">
        <x:f>IF(X67&lt;&gt;"SETTLED","",IF(J67=1,"WIN",IF(N67=IF(G67="U3.5",4,IF(G67="U4.5",5,6)),"NEAR TAIL","SEVERE TAIL")))</x:f>
      </x:c>
      <x:c r="P67" s="175"/>
      <x:c r="Q67" s="177"/>
      <x:c r="R67" s="213" t="str">
        <x:f>IF(X67&lt;&gt;"SETTLED","",(I67-J67)^2)</x:f>
      </x:c>
      <x:c r="S67" s="213" t="str">
        <x:f>IF(X67&lt;&gt;"SETTLED","",-(J67*LN(MAX(0.000001,MIN(0.999999,I67)))+(1-J67)*LN(MAX(0.000001,MIN(0.999999,1-I67)))))</x:f>
      </x:c>
      <x:c r="T67" s="172" t="str">
        <x:f>IF(A67="","",IFERROR(INDEX(Frozen_Predictions!$N$4:$N$203,MATCH(A67,Frozen_Predictions!$A$4:$A$203,0)),""))</x:f>
      </x:c>
      <x:c r="U67" s="172" t="str">
        <x:f>IF(A67="","",IFERROR(INDEX(Frozen_Predictions!$O$4:$O$203,MATCH(A67,Frozen_Predictions!$A$4:$A$203,0)),""))</x:f>
      </x:c>
      <x:c r="V67" s="172" t="str">
        <x:f>IF(A67="","",IFERROR(INDEX(Frozen_Predictions!$M$4:$M$203,MATCH(A67,Frozen_Predictions!$A$4:$A$203,0)),""))</x:f>
      </x:c>
      <x:c r="W67" s="175"/>
      <x:c r="X67" s="172" t="str">
        <x:f>IF(A67="","",IF(NOT(COUNTIFS(Frozen_Predictions!$A$4:$A$203,A67)=1),"SNAPSHOT ID INVALID",IFERROR(IF(NOT(AND(INDEX(Frozen_Predictions!$Q$4:$Q$203,MATCH(A67,Frozen_Predictions!$A$4:$A$203,0))="DA",ISNUMBER(INDEX(Frozen_Predictions!$B$4:$B$203,MATCH(A67,Frozen_Predictions!$A$4:$A$203,0))),ISNUMBER(INDEX(Frozen_Predictions!$C$4:$C$203,MATCH(A67,Frozen_Predictions!$A$4:$A$203,0))),INDEX(Frozen_Predictions!$B$4:$B$203,MATCH(A67,Frozen_Predictions!$A$4:$A$203,0))&lt;INDEX(Frozen_Predictions!$C$4:$C$203,MATCH(A67,Frozen_Predictions!$A$4:$A$203,0)),INDEX(Frozen_Predictions!$V$4:$V$203,MATCH(A67,Frozen_Predictions!$A$4:$A$203,0))="READY",INDEX(Frozen_Predictions!$O$4:$O$203,MATCH(A67,Frozen_Predictions!$A$4:$A$203,0))="PASS",INDEX(Frozen_Predictions!$J$4:$J$203,MATCH(A67,Frozen_Predictions!$A$4:$A$203,0))=Under_LineCal_v9!$B$45,COUNTIFS(Frozen_Predictions!$A$4:$A$203,A67,Frozen_Predictions!$L$4:$L$203,"&lt;&gt;",Frozen_Predictions!$L$4:$L$203,"&gt;=0",Frozen_Predictions!$L$4:$L$203,"&lt;=1")=1,COUNTIFS($A$4:$A$203,A67)=1)),"SNAPSHOT NOT VALID",IF(AND(ISNUMBER(I67),I67&gt;=0,I67&lt;=1,ISNUMBER(N67),P67&lt;&gt;"",ISNUMBER(Q67),Q67&gt;=B67,OR(G67="U3.5",G67="U4.5",G67="U5.5")),"SETTLED","PENDING RESULT")),"SNAPSHOT NOT VALID")))</x:f>
      </x:c>
    </x:row>
    <x:row r="68" ht="23" customHeight="1">
      <x:c r="A68" s="175"/>
      <x:c r="B68" s="200" t="str">
        <x:f>IF(A68="","",IFERROR(INDEX(Frozen_Predictions!$C$4:$C$203,MATCH(A68,Frozen_Predictions!$A$4:$A$203,0)),""))</x:f>
      </x:c>
      <x:c r="C68" s="172" t="str">
        <x:f>IF(A68="","",IFERROR(INDEX(Frozen_Predictions!$E$4:$E$203,MATCH(A68,Frozen_Predictions!$A$4:$A$203,0)),""))</x:f>
      </x:c>
      <x:c r="D68" s="172" t="str">
        <x:f>IF(A68="","",IFERROR(INDEX(Frozen_Predictions!$F$4:$F$203,MATCH(A68,Frozen_Predictions!$A$4:$A$203,0)),""))</x:f>
      </x:c>
      <x:c r="E68" s="172" t="str">
        <x:f>IF(A68="","",IFERROR(INDEX(Frozen_Predictions!$G$4:$G$203,MATCH(A68,Frozen_Predictions!$A$4:$A$203,0)),""))</x:f>
      </x:c>
      <x:c r="F68" s="172" t="str">
        <x:f>IF(A68="","",IFERROR(INDEX(Frozen_Predictions!$H$4:$H$203,MATCH(A68,Frozen_Predictions!$A$4:$A$203,0)),""))</x:f>
      </x:c>
      <x:c r="G68" s="172" t="str">
        <x:f>IF(A68="","",IFERROR(INDEX(Frozen_Predictions!$I$4:$I$203,MATCH(A68,Frozen_Predictions!$A$4:$A$203,0)),""))</x:f>
      </x:c>
      <x:c r="H68" s="172" t="str">
        <x:f>IF(A68="","",IFERROR(INDEX(Frozen_Predictions!$J$4:$J$203,MATCH(A68,Frozen_Predictions!$A$4:$A$203,0)),""))</x:f>
      </x:c>
      <x:c r="I68" s="192" t="str">
        <x:f>IF(A68="","",IFERROR(INDEX(Frozen_Predictions!$L$4:$L$203,MATCH(A68,Frozen_Predictions!$A$4:$A$203,0)),""))</x:f>
      </x:c>
      <x:c r="J68" s="172" t="str">
        <x:f>IF(X68&lt;&gt;"SETTLED","",IF(N68&lt;=IF(G68="U3.5",3,IF(G68="U4.5",4,5)),1,0))</x:f>
      </x:c>
      <x:c r="K68" s="195" t="str">
        <x:f>IF(X68&lt;&gt;"SETTLED","",IF(AND(OR(V68="DEFENSIV",V68="PRUDENT",V68="MODERAT",V68="RIDICAT"),ISNUMBER(INDEX(Frozen_Predictions!$Y$4:$Y$203,MATCH(A68,Frozen_Predictions!$A$4:$A$203,0))),INDEX(Frozen_Predictions!$Y$4:$Y$203,MATCH(A68,Frozen_Predictions!$A$4:$A$203,0))&gt;1),IF(J68=1,INDEX(Frozen_Predictions!$Y$4:$Y$203,MATCH(A68,Frozen_Predictions!$A$4:$A$203,0))-1,-1),""))</x:f>
      </x:c>
      <x:c r="L68" s="175"/>
      <x:c r="M68" s="175"/>
      <x:c r="N68" s="172" t="str">
        <x:f>IFERROR(IF(AND(ISNUMBER(L68),ISNUMBER(M68),L68&gt;=0,M68&gt;=0,INT(L68)=L68,INT(M68)=M68),L68+M68,""),"")</x:f>
      </x:c>
      <x:c r="O68" s="172" t="str">
        <x:f>IF(X68&lt;&gt;"SETTLED","",IF(J68=1,"WIN",IF(N68=IF(G68="U3.5",4,IF(G68="U4.5",5,6)),"NEAR TAIL","SEVERE TAIL")))</x:f>
      </x:c>
      <x:c r="P68" s="175"/>
      <x:c r="Q68" s="177"/>
      <x:c r="R68" s="213" t="str">
        <x:f>IF(X68&lt;&gt;"SETTLED","",(I68-J68)^2)</x:f>
      </x:c>
      <x:c r="S68" s="213" t="str">
        <x:f>IF(X68&lt;&gt;"SETTLED","",-(J68*LN(MAX(0.000001,MIN(0.999999,I68)))+(1-J68)*LN(MAX(0.000001,MIN(0.999999,1-I68)))))</x:f>
      </x:c>
      <x:c r="T68" s="172" t="str">
        <x:f>IF(A68="","",IFERROR(INDEX(Frozen_Predictions!$N$4:$N$203,MATCH(A68,Frozen_Predictions!$A$4:$A$203,0)),""))</x:f>
      </x:c>
      <x:c r="U68" s="172" t="str">
        <x:f>IF(A68="","",IFERROR(INDEX(Frozen_Predictions!$O$4:$O$203,MATCH(A68,Frozen_Predictions!$A$4:$A$203,0)),""))</x:f>
      </x:c>
      <x:c r="V68" s="172" t="str">
        <x:f>IF(A68="","",IFERROR(INDEX(Frozen_Predictions!$M$4:$M$203,MATCH(A68,Frozen_Predictions!$A$4:$A$203,0)),""))</x:f>
      </x:c>
      <x:c r="W68" s="175"/>
      <x:c r="X68" s="172" t="str">
        <x:f>IF(A68="","",IF(NOT(COUNTIFS(Frozen_Predictions!$A$4:$A$203,A68)=1),"SNAPSHOT ID INVALID",IFERROR(IF(NOT(AND(INDEX(Frozen_Predictions!$Q$4:$Q$203,MATCH(A68,Frozen_Predictions!$A$4:$A$203,0))="DA",ISNUMBER(INDEX(Frozen_Predictions!$B$4:$B$203,MATCH(A68,Frozen_Predictions!$A$4:$A$203,0))),ISNUMBER(INDEX(Frozen_Predictions!$C$4:$C$203,MATCH(A68,Frozen_Predictions!$A$4:$A$203,0))),INDEX(Frozen_Predictions!$B$4:$B$203,MATCH(A68,Frozen_Predictions!$A$4:$A$203,0))&lt;INDEX(Frozen_Predictions!$C$4:$C$203,MATCH(A68,Frozen_Predictions!$A$4:$A$203,0)),INDEX(Frozen_Predictions!$V$4:$V$203,MATCH(A68,Frozen_Predictions!$A$4:$A$203,0))="READY",INDEX(Frozen_Predictions!$O$4:$O$203,MATCH(A68,Frozen_Predictions!$A$4:$A$203,0))="PASS",INDEX(Frozen_Predictions!$J$4:$J$203,MATCH(A68,Frozen_Predictions!$A$4:$A$203,0))=Under_LineCal_v9!$B$45,COUNTIFS(Frozen_Predictions!$A$4:$A$203,A68,Frozen_Predictions!$L$4:$L$203,"&lt;&gt;",Frozen_Predictions!$L$4:$L$203,"&gt;=0",Frozen_Predictions!$L$4:$L$203,"&lt;=1")=1,COUNTIFS($A$4:$A$203,A68)=1)),"SNAPSHOT NOT VALID",IF(AND(ISNUMBER(I68),I68&gt;=0,I68&lt;=1,ISNUMBER(N68),P68&lt;&gt;"",ISNUMBER(Q68),Q68&gt;=B68,OR(G68="U3.5",G68="U4.5",G68="U5.5")),"SETTLED","PENDING RESULT")),"SNAPSHOT NOT VALID")))</x:f>
      </x:c>
    </x:row>
    <x:row r="69" ht="23" customHeight="1">
      <x:c r="A69" s="175"/>
      <x:c r="B69" s="200" t="str">
        <x:f>IF(A69="","",IFERROR(INDEX(Frozen_Predictions!$C$4:$C$203,MATCH(A69,Frozen_Predictions!$A$4:$A$203,0)),""))</x:f>
      </x:c>
      <x:c r="C69" s="172" t="str">
        <x:f>IF(A69="","",IFERROR(INDEX(Frozen_Predictions!$E$4:$E$203,MATCH(A69,Frozen_Predictions!$A$4:$A$203,0)),""))</x:f>
      </x:c>
      <x:c r="D69" s="172" t="str">
        <x:f>IF(A69="","",IFERROR(INDEX(Frozen_Predictions!$F$4:$F$203,MATCH(A69,Frozen_Predictions!$A$4:$A$203,0)),""))</x:f>
      </x:c>
      <x:c r="E69" s="172" t="str">
        <x:f>IF(A69="","",IFERROR(INDEX(Frozen_Predictions!$G$4:$G$203,MATCH(A69,Frozen_Predictions!$A$4:$A$203,0)),""))</x:f>
      </x:c>
      <x:c r="F69" s="172" t="str">
        <x:f>IF(A69="","",IFERROR(INDEX(Frozen_Predictions!$H$4:$H$203,MATCH(A69,Frozen_Predictions!$A$4:$A$203,0)),""))</x:f>
      </x:c>
      <x:c r="G69" s="172" t="str">
        <x:f>IF(A69="","",IFERROR(INDEX(Frozen_Predictions!$I$4:$I$203,MATCH(A69,Frozen_Predictions!$A$4:$A$203,0)),""))</x:f>
      </x:c>
      <x:c r="H69" s="172" t="str">
        <x:f>IF(A69="","",IFERROR(INDEX(Frozen_Predictions!$J$4:$J$203,MATCH(A69,Frozen_Predictions!$A$4:$A$203,0)),""))</x:f>
      </x:c>
      <x:c r="I69" s="192" t="str">
        <x:f>IF(A69="","",IFERROR(INDEX(Frozen_Predictions!$L$4:$L$203,MATCH(A69,Frozen_Predictions!$A$4:$A$203,0)),""))</x:f>
      </x:c>
      <x:c r="J69" s="172" t="str">
        <x:f>IF(X69&lt;&gt;"SETTLED","",IF(N69&lt;=IF(G69="U3.5",3,IF(G69="U4.5",4,5)),1,0))</x:f>
      </x:c>
      <x:c r="K69" s="195" t="str">
        <x:f>IF(X69&lt;&gt;"SETTLED","",IF(AND(OR(V69="DEFENSIV",V69="PRUDENT",V69="MODERAT",V69="RIDICAT"),ISNUMBER(INDEX(Frozen_Predictions!$Y$4:$Y$203,MATCH(A69,Frozen_Predictions!$A$4:$A$203,0))),INDEX(Frozen_Predictions!$Y$4:$Y$203,MATCH(A69,Frozen_Predictions!$A$4:$A$203,0))&gt;1),IF(J69=1,INDEX(Frozen_Predictions!$Y$4:$Y$203,MATCH(A69,Frozen_Predictions!$A$4:$A$203,0))-1,-1),""))</x:f>
      </x:c>
      <x:c r="L69" s="175"/>
      <x:c r="M69" s="175"/>
      <x:c r="N69" s="172" t="str">
        <x:f>IFERROR(IF(AND(ISNUMBER(L69),ISNUMBER(M69),L69&gt;=0,M69&gt;=0,INT(L69)=L69,INT(M69)=M69),L69+M69,""),"")</x:f>
      </x:c>
      <x:c r="O69" s="172" t="str">
        <x:f>IF(X69&lt;&gt;"SETTLED","",IF(J69=1,"WIN",IF(N69=IF(G69="U3.5",4,IF(G69="U4.5",5,6)),"NEAR TAIL","SEVERE TAIL")))</x:f>
      </x:c>
      <x:c r="P69" s="175"/>
      <x:c r="Q69" s="177"/>
      <x:c r="R69" s="213" t="str">
        <x:f>IF(X69&lt;&gt;"SETTLED","",(I69-J69)^2)</x:f>
      </x:c>
      <x:c r="S69" s="213" t="str">
        <x:f>IF(X69&lt;&gt;"SETTLED","",-(J69*LN(MAX(0.000001,MIN(0.999999,I69)))+(1-J69)*LN(MAX(0.000001,MIN(0.999999,1-I69)))))</x:f>
      </x:c>
      <x:c r="T69" s="172" t="str">
        <x:f>IF(A69="","",IFERROR(INDEX(Frozen_Predictions!$N$4:$N$203,MATCH(A69,Frozen_Predictions!$A$4:$A$203,0)),""))</x:f>
      </x:c>
      <x:c r="U69" s="172" t="str">
        <x:f>IF(A69="","",IFERROR(INDEX(Frozen_Predictions!$O$4:$O$203,MATCH(A69,Frozen_Predictions!$A$4:$A$203,0)),""))</x:f>
      </x:c>
      <x:c r="V69" s="172" t="str">
        <x:f>IF(A69="","",IFERROR(INDEX(Frozen_Predictions!$M$4:$M$203,MATCH(A69,Frozen_Predictions!$A$4:$A$203,0)),""))</x:f>
      </x:c>
      <x:c r="W69" s="175"/>
      <x:c r="X69" s="172" t="str">
        <x:f>IF(A69="","",IF(NOT(COUNTIFS(Frozen_Predictions!$A$4:$A$203,A69)=1),"SNAPSHOT ID INVALID",IFERROR(IF(NOT(AND(INDEX(Frozen_Predictions!$Q$4:$Q$203,MATCH(A69,Frozen_Predictions!$A$4:$A$203,0))="DA",ISNUMBER(INDEX(Frozen_Predictions!$B$4:$B$203,MATCH(A69,Frozen_Predictions!$A$4:$A$203,0))),ISNUMBER(INDEX(Frozen_Predictions!$C$4:$C$203,MATCH(A69,Frozen_Predictions!$A$4:$A$203,0))),INDEX(Frozen_Predictions!$B$4:$B$203,MATCH(A69,Frozen_Predictions!$A$4:$A$203,0))&lt;INDEX(Frozen_Predictions!$C$4:$C$203,MATCH(A69,Frozen_Predictions!$A$4:$A$203,0)),INDEX(Frozen_Predictions!$V$4:$V$203,MATCH(A69,Frozen_Predictions!$A$4:$A$203,0))="READY",INDEX(Frozen_Predictions!$O$4:$O$203,MATCH(A69,Frozen_Predictions!$A$4:$A$203,0))="PASS",INDEX(Frozen_Predictions!$J$4:$J$203,MATCH(A69,Frozen_Predictions!$A$4:$A$203,0))=Under_LineCal_v9!$B$45,COUNTIFS(Frozen_Predictions!$A$4:$A$203,A69,Frozen_Predictions!$L$4:$L$203,"&lt;&gt;",Frozen_Predictions!$L$4:$L$203,"&gt;=0",Frozen_Predictions!$L$4:$L$203,"&lt;=1")=1,COUNTIFS($A$4:$A$203,A69)=1)),"SNAPSHOT NOT VALID",IF(AND(ISNUMBER(I69),I69&gt;=0,I69&lt;=1,ISNUMBER(N69),P69&lt;&gt;"",ISNUMBER(Q69),Q69&gt;=B69,OR(G69="U3.5",G69="U4.5",G69="U5.5")),"SETTLED","PENDING RESULT")),"SNAPSHOT NOT VALID")))</x:f>
      </x:c>
    </x:row>
    <x:row r="70" ht="23" customHeight="1">
      <x:c r="A70" s="175"/>
      <x:c r="B70" s="200" t="str">
        <x:f>IF(A70="","",IFERROR(INDEX(Frozen_Predictions!$C$4:$C$203,MATCH(A70,Frozen_Predictions!$A$4:$A$203,0)),""))</x:f>
      </x:c>
      <x:c r="C70" s="172" t="str">
        <x:f>IF(A70="","",IFERROR(INDEX(Frozen_Predictions!$E$4:$E$203,MATCH(A70,Frozen_Predictions!$A$4:$A$203,0)),""))</x:f>
      </x:c>
      <x:c r="D70" s="172" t="str">
        <x:f>IF(A70="","",IFERROR(INDEX(Frozen_Predictions!$F$4:$F$203,MATCH(A70,Frozen_Predictions!$A$4:$A$203,0)),""))</x:f>
      </x:c>
      <x:c r="E70" s="172" t="str">
        <x:f>IF(A70="","",IFERROR(INDEX(Frozen_Predictions!$G$4:$G$203,MATCH(A70,Frozen_Predictions!$A$4:$A$203,0)),""))</x:f>
      </x:c>
      <x:c r="F70" s="172" t="str">
        <x:f>IF(A70="","",IFERROR(INDEX(Frozen_Predictions!$H$4:$H$203,MATCH(A70,Frozen_Predictions!$A$4:$A$203,0)),""))</x:f>
      </x:c>
      <x:c r="G70" s="172" t="str">
        <x:f>IF(A70="","",IFERROR(INDEX(Frozen_Predictions!$I$4:$I$203,MATCH(A70,Frozen_Predictions!$A$4:$A$203,0)),""))</x:f>
      </x:c>
      <x:c r="H70" s="172" t="str">
        <x:f>IF(A70="","",IFERROR(INDEX(Frozen_Predictions!$J$4:$J$203,MATCH(A70,Frozen_Predictions!$A$4:$A$203,0)),""))</x:f>
      </x:c>
      <x:c r="I70" s="192" t="str">
        <x:f>IF(A70="","",IFERROR(INDEX(Frozen_Predictions!$L$4:$L$203,MATCH(A70,Frozen_Predictions!$A$4:$A$203,0)),""))</x:f>
      </x:c>
      <x:c r="J70" s="172" t="str">
        <x:f>IF(X70&lt;&gt;"SETTLED","",IF(N70&lt;=IF(G70="U3.5",3,IF(G70="U4.5",4,5)),1,0))</x:f>
      </x:c>
      <x:c r="K70" s="195" t="str">
        <x:f>IF(X70&lt;&gt;"SETTLED","",IF(AND(OR(V70="DEFENSIV",V70="PRUDENT",V70="MODERAT",V70="RIDICAT"),ISNUMBER(INDEX(Frozen_Predictions!$Y$4:$Y$203,MATCH(A70,Frozen_Predictions!$A$4:$A$203,0))),INDEX(Frozen_Predictions!$Y$4:$Y$203,MATCH(A70,Frozen_Predictions!$A$4:$A$203,0))&gt;1),IF(J70=1,INDEX(Frozen_Predictions!$Y$4:$Y$203,MATCH(A70,Frozen_Predictions!$A$4:$A$203,0))-1,-1),""))</x:f>
      </x:c>
      <x:c r="L70" s="175"/>
      <x:c r="M70" s="175"/>
      <x:c r="N70" s="172" t="str">
        <x:f>IFERROR(IF(AND(ISNUMBER(L70),ISNUMBER(M70),L70&gt;=0,M70&gt;=0,INT(L70)=L70,INT(M70)=M70),L70+M70,""),"")</x:f>
      </x:c>
      <x:c r="O70" s="172" t="str">
        <x:f>IF(X70&lt;&gt;"SETTLED","",IF(J70=1,"WIN",IF(N70=IF(G70="U3.5",4,IF(G70="U4.5",5,6)),"NEAR TAIL","SEVERE TAIL")))</x:f>
      </x:c>
      <x:c r="P70" s="175"/>
      <x:c r="Q70" s="177"/>
      <x:c r="R70" s="213" t="str">
        <x:f>IF(X70&lt;&gt;"SETTLED","",(I70-J70)^2)</x:f>
      </x:c>
      <x:c r="S70" s="213" t="str">
        <x:f>IF(X70&lt;&gt;"SETTLED","",-(J70*LN(MAX(0.000001,MIN(0.999999,I70)))+(1-J70)*LN(MAX(0.000001,MIN(0.999999,1-I70)))))</x:f>
      </x:c>
      <x:c r="T70" s="172" t="str">
        <x:f>IF(A70="","",IFERROR(INDEX(Frozen_Predictions!$N$4:$N$203,MATCH(A70,Frozen_Predictions!$A$4:$A$203,0)),""))</x:f>
      </x:c>
      <x:c r="U70" s="172" t="str">
        <x:f>IF(A70="","",IFERROR(INDEX(Frozen_Predictions!$O$4:$O$203,MATCH(A70,Frozen_Predictions!$A$4:$A$203,0)),""))</x:f>
      </x:c>
      <x:c r="V70" s="172" t="str">
        <x:f>IF(A70="","",IFERROR(INDEX(Frozen_Predictions!$M$4:$M$203,MATCH(A70,Frozen_Predictions!$A$4:$A$203,0)),""))</x:f>
      </x:c>
      <x:c r="W70" s="175"/>
      <x:c r="X70" s="172" t="str">
        <x:f>IF(A70="","",IF(NOT(COUNTIFS(Frozen_Predictions!$A$4:$A$203,A70)=1),"SNAPSHOT ID INVALID",IFERROR(IF(NOT(AND(INDEX(Frozen_Predictions!$Q$4:$Q$203,MATCH(A70,Frozen_Predictions!$A$4:$A$203,0))="DA",ISNUMBER(INDEX(Frozen_Predictions!$B$4:$B$203,MATCH(A70,Frozen_Predictions!$A$4:$A$203,0))),ISNUMBER(INDEX(Frozen_Predictions!$C$4:$C$203,MATCH(A70,Frozen_Predictions!$A$4:$A$203,0))),INDEX(Frozen_Predictions!$B$4:$B$203,MATCH(A70,Frozen_Predictions!$A$4:$A$203,0))&lt;INDEX(Frozen_Predictions!$C$4:$C$203,MATCH(A70,Frozen_Predictions!$A$4:$A$203,0)),INDEX(Frozen_Predictions!$V$4:$V$203,MATCH(A70,Frozen_Predictions!$A$4:$A$203,0))="READY",INDEX(Frozen_Predictions!$O$4:$O$203,MATCH(A70,Frozen_Predictions!$A$4:$A$203,0))="PASS",INDEX(Frozen_Predictions!$J$4:$J$203,MATCH(A70,Frozen_Predictions!$A$4:$A$203,0))=Under_LineCal_v9!$B$45,COUNTIFS(Frozen_Predictions!$A$4:$A$203,A70,Frozen_Predictions!$L$4:$L$203,"&lt;&gt;",Frozen_Predictions!$L$4:$L$203,"&gt;=0",Frozen_Predictions!$L$4:$L$203,"&lt;=1")=1,COUNTIFS($A$4:$A$203,A70)=1)),"SNAPSHOT NOT VALID",IF(AND(ISNUMBER(I70),I70&gt;=0,I70&lt;=1,ISNUMBER(N70),P70&lt;&gt;"",ISNUMBER(Q70),Q70&gt;=B70,OR(G70="U3.5",G70="U4.5",G70="U5.5")),"SETTLED","PENDING RESULT")),"SNAPSHOT NOT VALID")))</x:f>
      </x:c>
    </x:row>
    <x:row r="71" ht="23" customHeight="1">
      <x:c r="A71" s="175"/>
      <x:c r="B71" s="200" t="str">
        <x:f>IF(A71="","",IFERROR(INDEX(Frozen_Predictions!$C$4:$C$203,MATCH(A71,Frozen_Predictions!$A$4:$A$203,0)),""))</x:f>
      </x:c>
      <x:c r="C71" s="172" t="str">
        <x:f>IF(A71="","",IFERROR(INDEX(Frozen_Predictions!$E$4:$E$203,MATCH(A71,Frozen_Predictions!$A$4:$A$203,0)),""))</x:f>
      </x:c>
      <x:c r="D71" s="172" t="str">
        <x:f>IF(A71="","",IFERROR(INDEX(Frozen_Predictions!$F$4:$F$203,MATCH(A71,Frozen_Predictions!$A$4:$A$203,0)),""))</x:f>
      </x:c>
      <x:c r="E71" s="172" t="str">
        <x:f>IF(A71="","",IFERROR(INDEX(Frozen_Predictions!$G$4:$G$203,MATCH(A71,Frozen_Predictions!$A$4:$A$203,0)),""))</x:f>
      </x:c>
      <x:c r="F71" s="172" t="str">
        <x:f>IF(A71="","",IFERROR(INDEX(Frozen_Predictions!$H$4:$H$203,MATCH(A71,Frozen_Predictions!$A$4:$A$203,0)),""))</x:f>
      </x:c>
      <x:c r="G71" s="172" t="str">
        <x:f>IF(A71="","",IFERROR(INDEX(Frozen_Predictions!$I$4:$I$203,MATCH(A71,Frozen_Predictions!$A$4:$A$203,0)),""))</x:f>
      </x:c>
      <x:c r="H71" s="172" t="str">
        <x:f>IF(A71="","",IFERROR(INDEX(Frozen_Predictions!$J$4:$J$203,MATCH(A71,Frozen_Predictions!$A$4:$A$203,0)),""))</x:f>
      </x:c>
      <x:c r="I71" s="192" t="str">
        <x:f>IF(A71="","",IFERROR(INDEX(Frozen_Predictions!$L$4:$L$203,MATCH(A71,Frozen_Predictions!$A$4:$A$203,0)),""))</x:f>
      </x:c>
      <x:c r="J71" s="172" t="str">
        <x:f>IF(X71&lt;&gt;"SETTLED","",IF(N71&lt;=IF(G71="U3.5",3,IF(G71="U4.5",4,5)),1,0))</x:f>
      </x:c>
      <x:c r="K71" s="195" t="str">
        <x:f>IF(X71&lt;&gt;"SETTLED","",IF(AND(OR(V71="DEFENSIV",V71="PRUDENT",V71="MODERAT",V71="RIDICAT"),ISNUMBER(INDEX(Frozen_Predictions!$Y$4:$Y$203,MATCH(A71,Frozen_Predictions!$A$4:$A$203,0))),INDEX(Frozen_Predictions!$Y$4:$Y$203,MATCH(A71,Frozen_Predictions!$A$4:$A$203,0))&gt;1),IF(J71=1,INDEX(Frozen_Predictions!$Y$4:$Y$203,MATCH(A71,Frozen_Predictions!$A$4:$A$203,0))-1,-1),""))</x:f>
      </x:c>
      <x:c r="L71" s="175"/>
      <x:c r="M71" s="175"/>
      <x:c r="N71" s="172" t="str">
        <x:f>IFERROR(IF(AND(ISNUMBER(L71),ISNUMBER(M71),L71&gt;=0,M71&gt;=0,INT(L71)=L71,INT(M71)=M71),L71+M71,""),"")</x:f>
      </x:c>
      <x:c r="O71" s="172" t="str">
        <x:f>IF(X71&lt;&gt;"SETTLED","",IF(J71=1,"WIN",IF(N71=IF(G71="U3.5",4,IF(G71="U4.5",5,6)),"NEAR TAIL","SEVERE TAIL")))</x:f>
      </x:c>
      <x:c r="P71" s="175"/>
      <x:c r="Q71" s="177"/>
      <x:c r="R71" s="213" t="str">
        <x:f>IF(X71&lt;&gt;"SETTLED","",(I71-J71)^2)</x:f>
      </x:c>
      <x:c r="S71" s="213" t="str">
        <x:f>IF(X71&lt;&gt;"SETTLED","",-(J71*LN(MAX(0.000001,MIN(0.999999,I71)))+(1-J71)*LN(MAX(0.000001,MIN(0.999999,1-I71)))))</x:f>
      </x:c>
      <x:c r="T71" s="172" t="str">
        <x:f>IF(A71="","",IFERROR(INDEX(Frozen_Predictions!$N$4:$N$203,MATCH(A71,Frozen_Predictions!$A$4:$A$203,0)),""))</x:f>
      </x:c>
      <x:c r="U71" s="172" t="str">
        <x:f>IF(A71="","",IFERROR(INDEX(Frozen_Predictions!$O$4:$O$203,MATCH(A71,Frozen_Predictions!$A$4:$A$203,0)),""))</x:f>
      </x:c>
      <x:c r="V71" s="172" t="str">
        <x:f>IF(A71="","",IFERROR(INDEX(Frozen_Predictions!$M$4:$M$203,MATCH(A71,Frozen_Predictions!$A$4:$A$203,0)),""))</x:f>
      </x:c>
      <x:c r="W71" s="175"/>
      <x:c r="X71" s="172" t="str">
        <x:f>IF(A71="","",IF(NOT(COUNTIFS(Frozen_Predictions!$A$4:$A$203,A71)=1),"SNAPSHOT ID INVALID",IFERROR(IF(NOT(AND(INDEX(Frozen_Predictions!$Q$4:$Q$203,MATCH(A71,Frozen_Predictions!$A$4:$A$203,0))="DA",ISNUMBER(INDEX(Frozen_Predictions!$B$4:$B$203,MATCH(A71,Frozen_Predictions!$A$4:$A$203,0))),ISNUMBER(INDEX(Frozen_Predictions!$C$4:$C$203,MATCH(A71,Frozen_Predictions!$A$4:$A$203,0))),INDEX(Frozen_Predictions!$B$4:$B$203,MATCH(A71,Frozen_Predictions!$A$4:$A$203,0))&lt;INDEX(Frozen_Predictions!$C$4:$C$203,MATCH(A71,Frozen_Predictions!$A$4:$A$203,0)),INDEX(Frozen_Predictions!$V$4:$V$203,MATCH(A71,Frozen_Predictions!$A$4:$A$203,0))="READY",INDEX(Frozen_Predictions!$O$4:$O$203,MATCH(A71,Frozen_Predictions!$A$4:$A$203,0))="PASS",INDEX(Frozen_Predictions!$J$4:$J$203,MATCH(A71,Frozen_Predictions!$A$4:$A$203,0))=Under_LineCal_v9!$B$45,COUNTIFS(Frozen_Predictions!$A$4:$A$203,A71,Frozen_Predictions!$L$4:$L$203,"&lt;&gt;",Frozen_Predictions!$L$4:$L$203,"&gt;=0",Frozen_Predictions!$L$4:$L$203,"&lt;=1")=1,COUNTIFS($A$4:$A$203,A71)=1)),"SNAPSHOT NOT VALID",IF(AND(ISNUMBER(I71),I71&gt;=0,I71&lt;=1,ISNUMBER(N71),P71&lt;&gt;"",ISNUMBER(Q71),Q71&gt;=B71,OR(G71="U3.5",G71="U4.5",G71="U5.5")),"SETTLED","PENDING RESULT")),"SNAPSHOT NOT VALID")))</x:f>
      </x:c>
    </x:row>
    <x:row r="72" ht="23" customHeight="1">
      <x:c r="A72" s="175"/>
      <x:c r="B72" s="200" t="str">
        <x:f>IF(A72="","",IFERROR(INDEX(Frozen_Predictions!$C$4:$C$203,MATCH(A72,Frozen_Predictions!$A$4:$A$203,0)),""))</x:f>
      </x:c>
      <x:c r="C72" s="172" t="str">
        <x:f>IF(A72="","",IFERROR(INDEX(Frozen_Predictions!$E$4:$E$203,MATCH(A72,Frozen_Predictions!$A$4:$A$203,0)),""))</x:f>
      </x:c>
      <x:c r="D72" s="172" t="str">
        <x:f>IF(A72="","",IFERROR(INDEX(Frozen_Predictions!$F$4:$F$203,MATCH(A72,Frozen_Predictions!$A$4:$A$203,0)),""))</x:f>
      </x:c>
      <x:c r="E72" s="172" t="str">
        <x:f>IF(A72="","",IFERROR(INDEX(Frozen_Predictions!$G$4:$G$203,MATCH(A72,Frozen_Predictions!$A$4:$A$203,0)),""))</x:f>
      </x:c>
      <x:c r="F72" s="172" t="str">
        <x:f>IF(A72="","",IFERROR(INDEX(Frozen_Predictions!$H$4:$H$203,MATCH(A72,Frozen_Predictions!$A$4:$A$203,0)),""))</x:f>
      </x:c>
      <x:c r="G72" s="172" t="str">
        <x:f>IF(A72="","",IFERROR(INDEX(Frozen_Predictions!$I$4:$I$203,MATCH(A72,Frozen_Predictions!$A$4:$A$203,0)),""))</x:f>
      </x:c>
      <x:c r="H72" s="172" t="str">
        <x:f>IF(A72="","",IFERROR(INDEX(Frozen_Predictions!$J$4:$J$203,MATCH(A72,Frozen_Predictions!$A$4:$A$203,0)),""))</x:f>
      </x:c>
      <x:c r="I72" s="192" t="str">
        <x:f>IF(A72="","",IFERROR(INDEX(Frozen_Predictions!$L$4:$L$203,MATCH(A72,Frozen_Predictions!$A$4:$A$203,0)),""))</x:f>
      </x:c>
      <x:c r="J72" s="172" t="str">
        <x:f>IF(X72&lt;&gt;"SETTLED","",IF(N72&lt;=IF(G72="U3.5",3,IF(G72="U4.5",4,5)),1,0))</x:f>
      </x:c>
      <x:c r="K72" s="195" t="str">
        <x:f>IF(X72&lt;&gt;"SETTLED","",IF(AND(OR(V72="DEFENSIV",V72="PRUDENT",V72="MODERAT",V72="RIDICAT"),ISNUMBER(INDEX(Frozen_Predictions!$Y$4:$Y$203,MATCH(A72,Frozen_Predictions!$A$4:$A$203,0))),INDEX(Frozen_Predictions!$Y$4:$Y$203,MATCH(A72,Frozen_Predictions!$A$4:$A$203,0))&gt;1),IF(J72=1,INDEX(Frozen_Predictions!$Y$4:$Y$203,MATCH(A72,Frozen_Predictions!$A$4:$A$203,0))-1,-1),""))</x:f>
      </x:c>
      <x:c r="L72" s="175"/>
      <x:c r="M72" s="175"/>
      <x:c r="N72" s="172" t="str">
        <x:f>IFERROR(IF(AND(ISNUMBER(L72),ISNUMBER(M72),L72&gt;=0,M72&gt;=0,INT(L72)=L72,INT(M72)=M72),L72+M72,""),"")</x:f>
      </x:c>
      <x:c r="O72" s="172" t="str">
        <x:f>IF(X72&lt;&gt;"SETTLED","",IF(J72=1,"WIN",IF(N72=IF(G72="U3.5",4,IF(G72="U4.5",5,6)),"NEAR TAIL","SEVERE TAIL")))</x:f>
      </x:c>
      <x:c r="P72" s="175"/>
      <x:c r="Q72" s="177"/>
      <x:c r="R72" s="213" t="str">
        <x:f>IF(X72&lt;&gt;"SETTLED","",(I72-J72)^2)</x:f>
      </x:c>
      <x:c r="S72" s="213" t="str">
        <x:f>IF(X72&lt;&gt;"SETTLED","",-(J72*LN(MAX(0.000001,MIN(0.999999,I72)))+(1-J72)*LN(MAX(0.000001,MIN(0.999999,1-I72)))))</x:f>
      </x:c>
      <x:c r="T72" s="172" t="str">
        <x:f>IF(A72="","",IFERROR(INDEX(Frozen_Predictions!$N$4:$N$203,MATCH(A72,Frozen_Predictions!$A$4:$A$203,0)),""))</x:f>
      </x:c>
      <x:c r="U72" s="172" t="str">
        <x:f>IF(A72="","",IFERROR(INDEX(Frozen_Predictions!$O$4:$O$203,MATCH(A72,Frozen_Predictions!$A$4:$A$203,0)),""))</x:f>
      </x:c>
      <x:c r="V72" s="172" t="str">
        <x:f>IF(A72="","",IFERROR(INDEX(Frozen_Predictions!$M$4:$M$203,MATCH(A72,Frozen_Predictions!$A$4:$A$203,0)),""))</x:f>
      </x:c>
      <x:c r="W72" s="175"/>
      <x:c r="X72" s="172" t="str">
        <x:f>IF(A72="","",IF(NOT(COUNTIFS(Frozen_Predictions!$A$4:$A$203,A72)=1),"SNAPSHOT ID INVALID",IFERROR(IF(NOT(AND(INDEX(Frozen_Predictions!$Q$4:$Q$203,MATCH(A72,Frozen_Predictions!$A$4:$A$203,0))="DA",ISNUMBER(INDEX(Frozen_Predictions!$B$4:$B$203,MATCH(A72,Frozen_Predictions!$A$4:$A$203,0))),ISNUMBER(INDEX(Frozen_Predictions!$C$4:$C$203,MATCH(A72,Frozen_Predictions!$A$4:$A$203,0))),INDEX(Frozen_Predictions!$B$4:$B$203,MATCH(A72,Frozen_Predictions!$A$4:$A$203,0))&lt;INDEX(Frozen_Predictions!$C$4:$C$203,MATCH(A72,Frozen_Predictions!$A$4:$A$203,0)),INDEX(Frozen_Predictions!$V$4:$V$203,MATCH(A72,Frozen_Predictions!$A$4:$A$203,0))="READY",INDEX(Frozen_Predictions!$O$4:$O$203,MATCH(A72,Frozen_Predictions!$A$4:$A$203,0))="PASS",INDEX(Frozen_Predictions!$J$4:$J$203,MATCH(A72,Frozen_Predictions!$A$4:$A$203,0))=Under_LineCal_v9!$B$45,COUNTIFS(Frozen_Predictions!$A$4:$A$203,A72,Frozen_Predictions!$L$4:$L$203,"&lt;&gt;",Frozen_Predictions!$L$4:$L$203,"&gt;=0",Frozen_Predictions!$L$4:$L$203,"&lt;=1")=1,COUNTIFS($A$4:$A$203,A72)=1)),"SNAPSHOT NOT VALID",IF(AND(ISNUMBER(I72),I72&gt;=0,I72&lt;=1,ISNUMBER(N72),P72&lt;&gt;"",ISNUMBER(Q72),Q72&gt;=B72,OR(G72="U3.5",G72="U4.5",G72="U5.5")),"SETTLED","PENDING RESULT")),"SNAPSHOT NOT VALID")))</x:f>
      </x:c>
    </x:row>
    <x:row r="73" ht="23" customHeight="1">
      <x:c r="A73" s="175"/>
      <x:c r="B73" s="200" t="str">
        <x:f>IF(A73="","",IFERROR(INDEX(Frozen_Predictions!$C$4:$C$203,MATCH(A73,Frozen_Predictions!$A$4:$A$203,0)),""))</x:f>
      </x:c>
      <x:c r="C73" s="172" t="str">
        <x:f>IF(A73="","",IFERROR(INDEX(Frozen_Predictions!$E$4:$E$203,MATCH(A73,Frozen_Predictions!$A$4:$A$203,0)),""))</x:f>
      </x:c>
      <x:c r="D73" s="172" t="str">
        <x:f>IF(A73="","",IFERROR(INDEX(Frozen_Predictions!$F$4:$F$203,MATCH(A73,Frozen_Predictions!$A$4:$A$203,0)),""))</x:f>
      </x:c>
      <x:c r="E73" s="172" t="str">
        <x:f>IF(A73="","",IFERROR(INDEX(Frozen_Predictions!$G$4:$G$203,MATCH(A73,Frozen_Predictions!$A$4:$A$203,0)),""))</x:f>
      </x:c>
      <x:c r="F73" s="172" t="str">
        <x:f>IF(A73="","",IFERROR(INDEX(Frozen_Predictions!$H$4:$H$203,MATCH(A73,Frozen_Predictions!$A$4:$A$203,0)),""))</x:f>
      </x:c>
      <x:c r="G73" s="172" t="str">
        <x:f>IF(A73="","",IFERROR(INDEX(Frozen_Predictions!$I$4:$I$203,MATCH(A73,Frozen_Predictions!$A$4:$A$203,0)),""))</x:f>
      </x:c>
      <x:c r="H73" s="172" t="str">
        <x:f>IF(A73="","",IFERROR(INDEX(Frozen_Predictions!$J$4:$J$203,MATCH(A73,Frozen_Predictions!$A$4:$A$203,0)),""))</x:f>
      </x:c>
      <x:c r="I73" s="192" t="str">
        <x:f>IF(A73="","",IFERROR(INDEX(Frozen_Predictions!$L$4:$L$203,MATCH(A73,Frozen_Predictions!$A$4:$A$203,0)),""))</x:f>
      </x:c>
      <x:c r="J73" s="172" t="str">
        <x:f>IF(X73&lt;&gt;"SETTLED","",IF(N73&lt;=IF(G73="U3.5",3,IF(G73="U4.5",4,5)),1,0))</x:f>
      </x:c>
      <x:c r="K73" s="195" t="str">
        <x:f>IF(X73&lt;&gt;"SETTLED","",IF(AND(OR(V73="DEFENSIV",V73="PRUDENT",V73="MODERAT",V73="RIDICAT"),ISNUMBER(INDEX(Frozen_Predictions!$Y$4:$Y$203,MATCH(A73,Frozen_Predictions!$A$4:$A$203,0))),INDEX(Frozen_Predictions!$Y$4:$Y$203,MATCH(A73,Frozen_Predictions!$A$4:$A$203,0))&gt;1),IF(J73=1,INDEX(Frozen_Predictions!$Y$4:$Y$203,MATCH(A73,Frozen_Predictions!$A$4:$A$203,0))-1,-1),""))</x:f>
      </x:c>
      <x:c r="L73" s="175"/>
      <x:c r="M73" s="175"/>
      <x:c r="N73" s="172" t="str">
        <x:f>IFERROR(IF(AND(ISNUMBER(L73),ISNUMBER(M73),L73&gt;=0,M73&gt;=0,INT(L73)=L73,INT(M73)=M73),L73+M73,""),"")</x:f>
      </x:c>
      <x:c r="O73" s="172" t="str">
        <x:f>IF(X73&lt;&gt;"SETTLED","",IF(J73=1,"WIN",IF(N73=IF(G73="U3.5",4,IF(G73="U4.5",5,6)),"NEAR TAIL","SEVERE TAIL")))</x:f>
      </x:c>
      <x:c r="P73" s="175"/>
      <x:c r="Q73" s="177"/>
      <x:c r="R73" s="213" t="str">
        <x:f>IF(X73&lt;&gt;"SETTLED","",(I73-J73)^2)</x:f>
      </x:c>
      <x:c r="S73" s="213" t="str">
        <x:f>IF(X73&lt;&gt;"SETTLED","",-(J73*LN(MAX(0.000001,MIN(0.999999,I73)))+(1-J73)*LN(MAX(0.000001,MIN(0.999999,1-I73)))))</x:f>
      </x:c>
      <x:c r="T73" s="172" t="str">
        <x:f>IF(A73="","",IFERROR(INDEX(Frozen_Predictions!$N$4:$N$203,MATCH(A73,Frozen_Predictions!$A$4:$A$203,0)),""))</x:f>
      </x:c>
      <x:c r="U73" s="172" t="str">
        <x:f>IF(A73="","",IFERROR(INDEX(Frozen_Predictions!$O$4:$O$203,MATCH(A73,Frozen_Predictions!$A$4:$A$203,0)),""))</x:f>
      </x:c>
      <x:c r="V73" s="172" t="str">
        <x:f>IF(A73="","",IFERROR(INDEX(Frozen_Predictions!$M$4:$M$203,MATCH(A73,Frozen_Predictions!$A$4:$A$203,0)),""))</x:f>
      </x:c>
      <x:c r="W73" s="175"/>
      <x:c r="X73" s="172" t="str">
        <x:f>IF(A73="","",IF(NOT(COUNTIFS(Frozen_Predictions!$A$4:$A$203,A73)=1),"SNAPSHOT ID INVALID",IFERROR(IF(NOT(AND(INDEX(Frozen_Predictions!$Q$4:$Q$203,MATCH(A73,Frozen_Predictions!$A$4:$A$203,0))="DA",ISNUMBER(INDEX(Frozen_Predictions!$B$4:$B$203,MATCH(A73,Frozen_Predictions!$A$4:$A$203,0))),ISNUMBER(INDEX(Frozen_Predictions!$C$4:$C$203,MATCH(A73,Frozen_Predictions!$A$4:$A$203,0))),INDEX(Frozen_Predictions!$B$4:$B$203,MATCH(A73,Frozen_Predictions!$A$4:$A$203,0))&lt;INDEX(Frozen_Predictions!$C$4:$C$203,MATCH(A73,Frozen_Predictions!$A$4:$A$203,0)),INDEX(Frozen_Predictions!$V$4:$V$203,MATCH(A73,Frozen_Predictions!$A$4:$A$203,0))="READY",INDEX(Frozen_Predictions!$O$4:$O$203,MATCH(A73,Frozen_Predictions!$A$4:$A$203,0))="PASS",INDEX(Frozen_Predictions!$J$4:$J$203,MATCH(A73,Frozen_Predictions!$A$4:$A$203,0))=Under_LineCal_v9!$B$45,COUNTIFS(Frozen_Predictions!$A$4:$A$203,A73,Frozen_Predictions!$L$4:$L$203,"&lt;&gt;",Frozen_Predictions!$L$4:$L$203,"&gt;=0",Frozen_Predictions!$L$4:$L$203,"&lt;=1")=1,COUNTIFS($A$4:$A$203,A73)=1)),"SNAPSHOT NOT VALID",IF(AND(ISNUMBER(I73),I73&gt;=0,I73&lt;=1,ISNUMBER(N73),P73&lt;&gt;"",ISNUMBER(Q73),Q73&gt;=B73,OR(G73="U3.5",G73="U4.5",G73="U5.5")),"SETTLED","PENDING RESULT")),"SNAPSHOT NOT VALID")))</x:f>
      </x:c>
    </x:row>
    <x:row r="74" ht="23" customHeight="1">
      <x:c r="A74" s="175"/>
      <x:c r="B74" s="200" t="str">
        <x:f>IF(A74="","",IFERROR(INDEX(Frozen_Predictions!$C$4:$C$203,MATCH(A74,Frozen_Predictions!$A$4:$A$203,0)),""))</x:f>
      </x:c>
      <x:c r="C74" s="172" t="str">
        <x:f>IF(A74="","",IFERROR(INDEX(Frozen_Predictions!$E$4:$E$203,MATCH(A74,Frozen_Predictions!$A$4:$A$203,0)),""))</x:f>
      </x:c>
      <x:c r="D74" s="172" t="str">
        <x:f>IF(A74="","",IFERROR(INDEX(Frozen_Predictions!$F$4:$F$203,MATCH(A74,Frozen_Predictions!$A$4:$A$203,0)),""))</x:f>
      </x:c>
      <x:c r="E74" s="172" t="str">
        <x:f>IF(A74="","",IFERROR(INDEX(Frozen_Predictions!$G$4:$G$203,MATCH(A74,Frozen_Predictions!$A$4:$A$203,0)),""))</x:f>
      </x:c>
      <x:c r="F74" s="172" t="str">
        <x:f>IF(A74="","",IFERROR(INDEX(Frozen_Predictions!$H$4:$H$203,MATCH(A74,Frozen_Predictions!$A$4:$A$203,0)),""))</x:f>
      </x:c>
      <x:c r="G74" s="172" t="str">
        <x:f>IF(A74="","",IFERROR(INDEX(Frozen_Predictions!$I$4:$I$203,MATCH(A74,Frozen_Predictions!$A$4:$A$203,0)),""))</x:f>
      </x:c>
      <x:c r="H74" s="172" t="str">
        <x:f>IF(A74="","",IFERROR(INDEX(Frozen_Predictions!$J$4:$J$203,MATCH(A74,Frozen_Predictions!$A$4:$A$203,0)),""))</x:f>
      </x:c>
      <x:c r="I74" s="192" t="str">
        <x:f>IF(A74="","",IFERROR(INDEX(Frozen_Predictions!$L$4:$L$203,MATCH(A74,Frozen_Predictions!$A$4:$A$203,0)),""))</x:f>
      </x:c>
      <x:c r="J74" s="172" t="str">
        <x:f>IF(X74&lt;&gt;"SETTLED","",IF(N74&lt;=IF(G74="U3.5",3,IF(G74="U4.5",4,5)),1,0))</x:f>
      </x:c>
      <x:c r="K74" s="195" t="str">
        <x:f>IF(X74&lt;&gt;"SETTLED","",IF(AND(OR(V74="DEFENSIV",V74="PRUDENT",V74="MODERAT",V74="RIDICAT"),ISNUMBER(INDEX(Frozen_Predictions!$Y$4:$Y$203,MATCH(A74,Frozen_Predictions!$A$4:$A$203,0))),INDEX(Frozen_Predictions!$Y$4:$Y$203,MATCH(A74,Frozen_Predictions!$A$4:$A$203,0))&gt;1),IF(J74=1,INDEX(Frozen_Predictions!$Y$4:$Y$203,MATCH(A74,Frozen_Predictions!$A$4:$A$203,0))-1,-1),""))</x:f>
      </x:c>
      <x:c r="L74" s="175"/>
      <x:c r="M74" s="175"/>
      <x:c r="N74" s="172" t="str">
        <x:f>IFERROR(IF(AND(ISNUMBER(L74),ISNUMBER(M74),L74&gt;=0,M74&gt;=0,INT(L74)=L74,INT(M74)=M74),L74+M74,""),"")</x:f>
      </x:c>
      <x:c r="O74" s="172" t="str">
        <x:f>IF(X74&lt;&gt;"SETTLED","",IF(J74=1,"WIN",IF(N74=IF(G74="U3.5",4,IF(G74="U4.5",5,6)),"NEAR TAIL","SEVERE TAIL")))</x:f>
      </x:c>
      <x:c r="P74" s="175"/>
      <x:c r="Q74" s="177"/>
      <x:c r="R74" s="213" t="str">
        <x:f>IF(X74&lt;&gt;"SETTLED","",(I74-J74)^2)</x:f>
      </x:c>
      <x:c r="S74" s="213" t="str">
        <x:f>IF(X74&lt;&gt;"SETTLED","",-(J74*LN(MAX(0.000001,MIN(0.999999,I74)))+(1-J74)*LN(MAX(0.000001,MIN(0.999999,1-I74)))))</x:f>
      </x:c>
      <x:c r="T74" s="172" t="str">
        <x:f>IF(A74="","",IFERROR(INDEX(Frozen_Predictions!$N$4:$N$203,MATCH(A74,Frozen_Predictions!$A$4:$A$203,0)),""))</x:f>
      </x:c>
      <x:c r="U74" s="172" t="str">
        <x:f>IF(A74="","",IFERROR(INDEX(Frozen_Predictions!$O$4:$O$203,MATCH(A74,Frozen_Predictions!$A$4:$A$203,0)),""))</x:f>
      </x:c>
      <x:c r="V74" s="172" t="str">
        <x:f>IF(A74="","",IFERROR(INDEX(Frozen_Predictions!$M$4:$M$203,MATCH(A74,Frozen_Predictions!$A$4:$A$203,0)),""))</x:f>
      </x:c>
      <x:c r="W74" s="175"/>
      <x:c r="X74" s="172" t="str">
        <x:f>IF(A74="","",IF(NOT(COUNTIFS(Frozen_Predictions!$A$4:$A$203,A74)=1),"SNAPSHOT ID INVALID",IFERROR(IF(NOT(AND(INDEX(Frozen_Predictions!$Q$4:$Q$203,MATCH(A74,Frozen_Predictions!$A$4:$A$203,0))="DA",ISNUMBER(INDEX(Frozen_Predictions!$B$4:$B$203,MATCH(A74,Frozen_Predictions!$A$4:$A$203,0))),ISNUMBER(INDEX(Frozen_Predictions!$C$4:$C$203,MATCH(A74,Frozen_Predictions!$A$4:$A$203,0))),INDEX(Frozen_Predictions!$B$4:$B$203,MATCH(A74,Frozen_Predictions!$A$4:$A$203,0))&lt;INDEX(Frozen_Predictions!$C$4:$C$203,MATCH(A74,Frozen_Predictions!$A$4:$A$203,0)),INDEX(Frozen_Predictions!$V$4:$V$203,MATCH(A74,Frozen_Predictions!$A$4:$A$203,0))="READY",INDEX(Frozen_Predictions!$O$4:$O$203,MATCH(A74,Frozen_Predictions!$A$4:$A$203,0))="PASS",INDEX(Frozen_Predictions!$J$4:$J$203,MATCH(A74,Frozen_Predictions!$A$4:$A$203,0))=Under_LineCal_v9!$B$45,COUNTIFS(Frozen_Predictions!$A$4:$A$203,A74,Frozen_Predictions!$L$4:$L$203,"&lt;&gt;",Frozen_Predictions!$L$4:$L$203,"&gt;=0",Frozen_Predictions!$L$4:$L$203,"&lt;=1")=1,COUNTIFS($A$4:$A$203,A74)=1)),"SNAPSHOT NOT VALID",IF(AND(ISNUMBER(I74),I74&gt;=0,I74&lt;=1,ISNUMBER(N74),P74&lt;&gt;"",ISNUMBER(Q74),Q74&gt;=B74,OR(G74="U3.5",G74="U4.5",G74="U5.5")),"SETTLED","PENDING RESULT")),"SNAPSHOT NOT VALID")))</x:f>
      </x:c>
    </x:row>
    <x:row r="75" ht="23" customHeight="1">
      <x:c r="A75" s="175"/>
      <x:c r="B75" s="200" t="str">
        <x:f>IF(A75="","",IFERROR(INDEX(Frozen_Predictions!$C$4:$C$203,MATCH(A75,Frozen_Predictions!$A$4:$A$203,0)),""))</x:f>
      </x:c>
      <x:c r="C75" s="172" t="str">
        <x:f>IF(A75="","",IFERROR(INDEX(Frozen_Predictions!$E$4:$E$203,MATCH(A75,Frozen_Predictions!$A$4:$A$203,0)),""))</x:f>
      </x:c>
      <x:c r="D75" s="172" t="str">
        <x:f>IF(A75="","",IFERROR(INDEX(Frozen_Predictions!$F$4:$F$203,MATCH(A75,Frozen_Predictions!$A$4:$A$203,0)),""))</x:f>
      </x:c>
      <x:c r="E75" s="172" t="str">
        <x:f>IF(A75="","",IFERROR(INDEX(Frozen_Predictions!$G$4:$G$203,MATCH(A75,Frozen_Predictions!$A$4:$A$203,0)),""))</x:f>
      </x:c>
      <x:c r="F75" s="172" t="str">
        <x:f>IF(A75="","",IFERROR(INDEX(Frozen_Predictions!$H$4:$H$203,MATCH(A75,Frozen_Predictions!$A$4:$A$203,0)),""))</x:f>
      </x:c>
      <x:c r="G75" s="172" t="str">
        <x:f>IF(A75="","",IFERROR(INDEX(Frozen_Predictions!$I$4:$I$203,MATCH(A75,Frozen_Predictions!$A$4:$A$203,0)),""))</x:f>
      </x:c>
      <x:c r="H75" s="172" t="str">
        <x:f>IF(A75="","",IFERROR(INDEX(Frozen_Predictions!$J$4:$J$203,MATCH(A75,Frozen_Predictions!$A$4:$A$203,0)),""))</x:f>
      </x:c>
      <x:c r="I75" s="192" t="str">
        <x:f>IF(A75="","",IFERROR(INDEX(Frozen_Predictions!$L$4:$L$203,MATCH(A75,Frozen_Predictions!$A$4:$A$203,0)),""))</x:f>
      </x:c>
      <x:c r="J75" s="172" t="str">
        <x:f>IF(X75&lt;&gt;"SETTLED","",IF(N75&lt;=IF(G75="U3.5",3,IF(G75="U4.5",4,5)),1,0))</x:f>
      </x:c>
      <x:c r="K75" s="195" t="str">
        <x:f>IF(X75&lt;&gt;"SETTLED","",IF(AND(OR(V75="DEFENSIV",V75="PRUDENT",V75="MODERAT",V75="RIDICAT"),ISNUMBER(INDEX(Frozen_Predictions!$Y$4:$Y$203,MATCH(A75,Frozen_Predictions!$A$4:$A$203,0))),INDEX(Frozen_Predictions!$Y$4:$Y$203,MATCH(A75,Frozen_Predictions!$A$4:$A$203,0))&gt;1),IF(J75=1,INDEX(Frozen_Predictions!$Y$4:$Y$203,MATCH(A75,Frozen_Predictions!$A$4:$A$203,0))-1,-1),""))</x:f>
      </x:c>
      <x:c r="L75" s="175"/>
      <x:c r="M75" s="175"/>
      <x:c r="N75" s="172" t="str">
        <x:f>IFERROR(IF(AND(ISNUMBER(L75),ISNUMBER(M75),L75&gt;=0,M75&gt;=0,INT(L75)=L75,INT(M75)=M75),L75+M75,""),"")</x:f>
      </x:c>
      <x:c r="O75" s="172" t="str">
        <x:f>IF(X75&lt;&gt;"SETTLED","",IF(J75=1,"WIN",IF(N75=IF(G75="U3.5",4,IF(G75="U4.5",5,6)),"NEAR TAIL","SEVERE TAIL")))</x:f>
      </x:c>
      <x:c r="P75" s="175"/>
      <x:c r="Q75" s="177"/>
      <x:c r="R75" s="213" t="str">
        <x:f>IF(X75&lt;&gt;"SETTLED","",(I75-J75)^2)</x:f>
      </x:c>
      <x:c r="S75" s="213" t="str">
        <x:f>IF(X75&lt;&gt;"SETTLED","",-(J75*LN(MAX(0.000001,MIN(0.999999,I75)))+(1-J75)*LN(MAX(0.000001,MIN(0.999999,1-I75)))))</x:f>
      </x:c>
      <x:c r="T75" s="172" t="str">
        <x:f>IF(A75="","",IFERROR(INDEX(Frozen_Predictions!$N$4:$N$203,MATCH(A75,Frozen_Predictions!$A$4:$A$203,0)),""))</x:f>
      </x:c>
      <x:c r="U75" s="172" t="str">
        <x:f>IF(A75="","",IFERROR(INDEX(Frozen_Predictions!$O$4:$O$203,MATCH(A75,Frozen_Predictions!$A$4:$A$203,0)),""))</x:f>
      </x:c>
      <x:c r="V75" s="172" t="str">
        <x:f>IF(A75="","",IFERROR(INDEX(Frozen_Predictions!$M$4:$M$203,MATCH(A75,Frozen_Predictions!$A$4:$A$203,0)),""))</x:f>
      </x:c>
      <x:c r="W75" s="175"/>
      <x:c r="X75" s="172" t="str">
        <x:f>IF(A75="","",IF(NOT(COUNTIFS(Frozen_Predictions!$A$4:$A$203,A75)=1),"SNAPSHOT ID INVALID",IFERROR(IF(NOT(AND(INDEX(Frozen_Predictions!$Q$4:$Q$203,MATCH(A75,Frozen_Predictions!$A$4:$A$203,0))="DA",ISNUMBER(INDEX(Frozen_Predictions!$B$4:$B$203,MATCH(A75,Frozen_Predictions!$A$4:$A$203,0))),ISNUMBER(INDEX(Frozen_Predictions!$C$4:$C$203,MATCH(A75,Frozen_Predictions!$A$4:$A$203,0))),INDEX(Frozen_Predictions!$B$4:$B$203,MATCH(A75,Frozen_Predictions!$A$4:$A$203,0))&lt;INDEX(Frozen_Predictions!$C$4:$C$203,MATCH(A75,Frozen_Predictions!$A$4:$A$203,0)),INDEX(Frozen_Predictions!$V$4:$V$203,MATCH(A75,Frozen_Predictions!$A$4:$A$203,0))="READY",INDEX(Frozen_Predictions!$O$4:$O$203,MATCH(A75,Frozen_Predictions!$A$4:$A$203,0))="PASS",INDEX(Frozen_Predictions!$J$4:$J$203,MATCH(A75,Frozen_Predictions!$A$4:$A$203,0))=Under_LineCal_v9!$B$45,COUNTIFS(Frozen_Predictions!$A$4:$A$203,A75,Frozen_Predictions!$L$4:$L$203,"&lt;&gt;",Frozen_Predictions!$L$4:$L$203,"&gt;=0",Frozen_Predictions!$L$4:$L$203,"&lt;=1")=1,COUNTIFS($A$4:$A$203,A75)=1)),"SNAPSHOT NOT VALID",IF(AND(ISNUMBER(I75),I75&gt;=0,I75&lt;=1,ISNUMBER(N75),P75&lt;&gt;"",ISNUMBER(Q75),Q75&gt;=B75,OR(G75="U3.5",G75="U4.5",G75="U5.5")),"SETTLED","PENDING RESULT")),"SNAPSHOT NOT VALID")))</x:f>
      </x:c>
    </x:row>
    <x:row r="76" ht="23" customHeight="1">
      <x:c r="A76" s="175"/>
      <x:c r="B76" s="200" t="str">
        <x:f>IF(A76="","",IFERROR(INDEX(Frozen_Predictions!$C$4:$C$203,MATCH(A76,Frozen_Predictions!$A$4:$A$203,0)),""))</x:f>
      </x:c>
      <x:c r="C76" s="172" t="str">
        <x:f>IF(A76="","",IFERROR(INDEX(Frozen_Predictions!$E$4:$E$203,MATCH(A76,Frozen_Predictions!$A$4:$A$203,0)),""))</x:f>
      </x:c>
      <x:c r="D76" s="172" t="str">
        <x:f>IF(A76="","",IFERROR(INDEX(Frozen_Predictions!$F$4:$F$203,MATCH(A76,Frozen_Predictions!$A$4:$A$203,0)),""))</x:f>
      </x:c>
      <x:c r="E76" s="172" t="str">
        <x:f>IF(A76="","",IFERROR(INDEX(Frozen_Predictions!$G$4:$G$203,MATCH(A76,Frozen_Predictions!$A$4:$A$203,0)),""))</x:f>
      </x:c>
      <x:c r="F76" s="172" t="str">
        <x:f>IF(A76="","",IFERROR(INDEX(Frozen_Predictions!$H$4:$H$203,MATCH(A76,Frozen_Predictions!$A$4:$A$203,0)),""))</x:f>
      </x:c>
      <x:c r="G76" s="172" t="str">
        <x:f>IF(A76="","",IFERROR(INDEX(Frozen_Predictions!$I$4:$I$203,MATCH(A76,Frozen_Predictions!$A$4:$A$203,0)),""))</x:f>
      </x:c>
      <x:c r="H76" s="172" t="str">
        <x:f>IF(A76="","",IFERROR(INDEX(Frozen_Predictions!$J$4:$J$203,MATCH(A76,Frozen_Predictions!$A$4:$A$203,0)),""))</x:f>
      </x:c>
      <x:c r="I76" s="192" t="str">
        <x:f>IF(A76="","",IFERROR(INDEX(Frozen_Predictions!$L$4:$L$203,MATCH(A76,Frozen_Predictions!$A$4:$A$203,0)),""))</x:f>
      </x:c>
      <x:c r="J76" s="172" t="str">
        <x:f>IF(X76&lt;&gt;"SETTLED","",IF(N76&lt;=IF(G76="U3.5",3,IF(G76="U4.5",4,5)),1,0))</x:f>
      </x:c>
      <x:c r="K76" s="195" t="str">
        <x:f>IF(X76&lt;&gt;"SETTLED","",IF(AND(OR(V76="DEFENSIV",V76="PRUDENT",V76="MODERAT",V76="RIDICAT"),ISNUMBER(INDEX(Frozen_Predictions!$Y$4:$Y$203,MATCH(A76,Frozen_Predictions!$A$4:$A$203,0))),INDEX(Frozen_Predictions!$Y$4:$Y$203,MATCH(A76,Frozen_Predictions!$A$4:$A$203,0))&gt;1),IF(J76=1,INDEX(Frozen_Predictions!$Y$4:$Y$203,MATCH(A76,Frozen_Predictions!$A$4:$A$203,0))-1,-1),""))</x:f>
      </x:c>
      <x:c r="L76" s="175"/>
      <x:c r="M76" s="175"/>
      <x:c r="N76" s="172" t="str">
        <x:f>IFERROR(IF(AND(ISNUMBER(L76),ISNUMBER(M76),L76&gt;=0,M76&gt;=0,INT(L76)=L76,INT(M76)=M76),L76+M76,""),"")</x:f>
      </x:c>
      <x:c r="O76" s="172" t="str">
        <x:f>IF(X76&lt;&gt;"SETTLED","",IF(J76=1,"WIN",IF(N76=IF(G76="U3.5",4,IF(G76="U4.5",5,6)),"NEAR TAIL","SEVERE TAIL")))</x:f>
      </x:c>
      <x:c r="P76" s="175"/>
      <x:c r="Q76" s="177"/>
      <x:c r="R76" s="213" t="str">
        <x:f>IF(X76&lt;&gt;"SETTLED","",(I76-J76)^2)</x:f>
      </x:c>
      <x:c r="S76" s="213" t="str">
        <x:f>IF(X76&lt;&gt;"SETTLED","",-(J76*LN(MAX(0.000001,MIN(0.999999,I76)))+(1-J76)*LN(MAX(0.000001,MIN(0.999999,1-I76)))))</x:f>
      </x:c>
      <x:c r="T76" s="172" t="str">
        <x:f>IF(A76="","",IFERROR(INDEX(Frozen_Predictions!$N$4:$N$203,MATCH(A76,Frozen_Predictions!$A$4:$A$203,0)),""))</x:f>
      </x:c>
      <x:c r="U76" s="172" t="str">
        <x:f>IF(A76="","",IFERROR(INDEX(Frozen_Predictions!$O$4:$O$203,MATCH(A76,Frozen_Predictions!$A$4:$A$203,0)),""))</x:f>
      </x:c>
      <x:c r="V76" s="172" t="str">
        <x:f>IF(A76="","",IFERROR(INDEX(Frozen_Predictions!$M$4:$M$203,MATCH(A76,Frozen_Predictions!$A$4:$A$203,0)),""))</x:f>
      </x:c>
      <x:c r="W76" s="175"/>
      <x:c r="X76" s="172" t="str">
        <x:f>IF(A76="","",IF(NOT(COUNTIFS(Frozen_Predictions!$A$4:$A$203,A76)=1),"SNAPSHOT ID INVALID",IFERROR(IF(NOT(AND(INDEX(Frozen_Predictions!$Q$4:$Q$203,MATCH(A76,Frozen_Predictions!$A$4:$A$203,0))="DA",ISNUMBER(INDEX(Frozen_Predictions!$B$4:$B$203,MATCH(A76,Frozen_Predictions!$A$4:$A$203,0))),ISNUMBER(INDEX(Frozen_Predictions!$C$4:$C$203,MATCH(A76,Frozen_Predictions!$A$4:$A$203,0))),INDEX(Frozen_Predictions!$B$4:$B$203,MATCH(A76,Frozen_Predictions!$A$4:$A$203,0))&lt;INDEX(Frozen_Predictions!$C$4:$C$203,MATCH(A76,Frozen_Predictions!$A$4:$A$203,0)),INDEX(Frozen_Predictions!$V$4:$V$203,MATCH(A76,Frozen_Predictions!$A$4:$A$203,0))="READY",INDEX(Frozen_Predictions!$O$4:$O$203,MATCH(A76,Frozen_Predictions!$A$4:$A$203,0))="PASS",INDEX(Frozen_Predictions!$J$4:$J$203,MATCH(A76,Frozen_Predictions!$A$4:$A$203,0))=Under_LineCal_v9!$B$45,COUNTIFS(Frozen_Predictions!$A$4:$A$203,A76,Frozen_Predictions!$L$4:$L$203,"&lt;&gt;",Frozen_Predictions!$L$4:$L$203,"&gt;=0",Frozen_Predictions!$L$4:$L$203,"&lt;=1")=1,COUNTIFS($A$4:$A$203,A76)=1)),"SNAPSHOT NOT VALID",IF(AND(ISNUMBER(I76),I76&gt;=0,I76&lt;=1,ISNUMBER(N76),P76&lt;&gt;"",ISNUMBER(Q76),Q76&gt;=B76,OR(G76="U3.5",G76="U4.5",G76="U5.5")),"SETTLED","PENDING RESULT")),"SNAPSHOT NOT VALID")))</x:f>
      </x:c>
    </x:row>
    <x:row r="77" ht="23" customHeight="1">
      <x:c r="A77" s="175"/>
      <x:c r="B77" s="200" t="str">
        <x:f>IF(A77="","",IFERROR(INDEX(Frozen_Predictions!$C$4:$C$203,MATCH(A77,Frozen_Predictions!$A$4:$A$203,0)),""))</x:f>
      </x:c>
      <x:c r="C77" s="172" t="str">
        <x:f>IF(A77="","",IFERROR(INDEX(Frozen_Predictions!$E$4:$E$203,MATCH(A77,Frozen_Predictions!$A$4:$A$203,0)),""))</x:f>
      </x:c>
      <x:c r="D77" s="172" t="str">
        <x:f>IF(A77="","",IFERROR(INDEX(Frozen_Predictions!$F$4:$F$203,MATCH(A77,Frozen_Predictions!$A$4:$A$203,0)),""))</x:f>
      </x:c>
      <x:c r="E77" s="172" t="str">
        <x:f>IF(A77="","",IFERROR(INDEX(Frozen_Predictions!$G$4:$G$203,MATCH(A77,Frozen_Predictions!$A$4:$A$203,0)),""))</x:f>
      </x:c>
      <x:c r="F77" s="172" t="str">
        <x:f>IF(A77="","",IFERROR(INDEX(Frozen_Predictions!$H$4:$H$203,MATCH(A77,Frozen_Predictions!$A$4:$A$203,0)),""))</x:f>
      </x:c>
      <x:c r="G77" s="172" t="str">
        <x:f>IF(A77="","",IFERROR(INDEX(Frozen_Predictions!$I$4:$I$203,MATCH(A77,Frozen_Predictions!$A$4:$A$203,0)),""))</x:f>
      </x:c>
      <x:c r="H77" s="172" t="str">
        <x:f>IF(A77="","",IFERROR(INDEX(Frozen_Predictions!$J$4:$J$203,MATCH(A77,Frozen_Predictions!$A$4:$A$203,0)),""))</x:f>
      </x:c>
      <x:c r="I77" s="192" t="str">
        <x:f>IF(A77="","",IFERROR(INDEX(Frozen_Predictions!$L$4:$L$203,MATCH(A77,Frozen_Predictions!$A$4:$A$203,0)),""))</x:f>
      </x:c>
      <x:c r="J77" s="172" t="str">
        <x:f>IF(X77&lt;&gt;"SETTLED","",IF(N77&lt;=IF(G77="U3.5",3,IF(G77="U4.5",4,5)),1,0))</x:f>
      </x:c>
      <x:c r="K77" s="195" t="str">
        <x:f>IF(X77&lt;&gt;"SETTLED","",IF(AND(OR(V77="DEFENSIV",V77="PRUDENT",V77="MODERAT",V77="RIDICAT"),ISNUMBER(INDEX(Frozen_Predictions!$Y$4:$Y$203,MATCH(A77,Frozen_Predictions!$A$4:$A$203,0))),INDEX(Frozen_Predictions!$Y$4:$Y$203,MATCH(A77,Frozen_Predictions!$A$4:$A$203,0))&gt;1),IF(J77=1,INDEX(Frozen_Predictions!$Y$4:$Y$203,MATCH(A77,Frozen_Predictions!$A$4:$A$203,0))-1,-1),""))</x:f>
      </x:c>
      <x:c r="L77" s="175"/>
      <x:c r="M77" s="175"/>
      <x:c r="N77" s="172" t="str">
        <x:f>IFERROR(IF(AND(ISNUMBER(L77),ISNUMBER(M77),L77&gt;=0,M77&gt;=0,INT(L77)=L77,INT(M77)=M77),L77+M77,""),"")</x:f>
      </x:c>
      <x:c r="O77" s="172" t="str">
        <x:f>IF(X77&lt;&gt;"SETTLED","",IF(J77=1,"WIN",IF(N77=IF(G77="U3.5",4,IF(G77="U4.5",5,6)),"NEAR TAIL","SEVERE TAIL")))</x:f>
      </x:c>
      <x:c r="P77" s="175"/>
      <x:c r="Q77" s="177"/>
      <x:c r="R77" s="213" t="str">
        <x:f>IF(X77&lt;&gt;"SETTLED","",(I77-J77)^2)</x:f>
      </x:c>
      <x:c r="S77" s="213" t="str">
        <x:f>IF(X77&lt;&gt;"SETTLED","",-(J77*LN(MAX(0.000001,MIN(0.999999,I77)))+(1-J77)*LN(MAX(0.000001,MIN(0.999999,1-I77)))))</x:f>
      </x:c>
      <x:c r="T77" s="172" t="str">
        <x:f>IF(A77="","",IFERROR(INDEX(Frozen_Predictions!$N$4:$N$203,MATCH(A77,Frozen_Predictions!$A$4:$A$203,0)),""))</x:f>
      </x:c>
      <x:c r="U77" s="172" t="str">
        <x:f>IF(A77="","",IFERROR(INDEX(Frozen_Predictions!$O$4:$O$203,MATCH(A77,Frozen_Predictions!$A$4:$A$203,0)),""))</x:f>
      </x:c>
      <x:c r="V77" s="172" t="str">
        <x:f>IF(A77="","",IFERROR(INDEX(Frozen_Predictions!$M$4:$M$203,MATCH(A77,Frozen_Predictions!$A$4:$A$203,0)),""))</x:f>
      </x:c>
      <x:c r="W77" s="175"/>
      <x:c r="X77" s="172" t="str">
        <x:f>IF(A77="","",IF(NOT(COUNTIFS(Frozen_Predictions!$A$4:$A$203,A77)=1),"SNAPSHOT ID INVALID",IFERROR(IF(NOT(AND(INDEX(Frozen_Predictions!$Q$4:$Q$203,MATCH(A77,Frozen_Predictions!$A$4:$A$203,0))="DA",ISNUMBER(INDEX(Frozen_Predictions!$B$4:$B$203,MATCH(A77,Frozen_Predictions!$A$4:$A$203,0))),ISNUMBER(INDEX(Frozen_Predictions!$C$4:$C$203,MATCH(A77,Frozen_Predictions!$A$4:$A$203,0))),INDEX(Frozen_Predictions!$B$4:$B$203,MATCH(A77,Frozen_Predictions!$A$4:$A$203,0))&lt;INDEX(Frozen_Predictions!$C$4:$C$203,MATCH(A77,Frozen_Predictions!$A$4:$A$203,0)),INDEX(Frozen_Predictions!$V$4:$V$203,MATCH(A77,Frozen_Predictions!$A$4:$A$203,0))="READY",INDEX(Frozen_Predictions!$O$4:$O$203,MATCH(A77,Frozen_Predictions!$A$4:$A$203,0))="PASS",INDEX(Frozen_Predictions!$J$4:$J$203,MATCH(A77,Frozen_Predictions!$A$4:$A$203,0))=Under_LineCal_v9!$B$45,COUNTIFS(Frozen_Predictions!$A$4:$A$203,A77,Frozen_Predictions!$L$4:$L$203,"&lt;&gt;",Frozen_Predictions!$L$4:$L$203,"&gt;=0",Frozen_Predictions!$L$4:$L$203,"&lt;=1")=1,COUNTIFS($A$4:$A$203,A77)=1)),"SNAPSHOT NOT VALID",IF(AND(ISNUMBER(I77),I77&gt;=0,I77&lt;=1,ISNUMBER(N77),P77&lt;&gt;"",ISNUMBER(Q77),Q77&gt;=B77,OR(G77="U3.5",G77="U4.5",G77="U5.5")),"SETTLED","PENDING RESULT")),"SNAPSHOT NOT VALID")))</x:f>
      </x:c>
    </x:row>
    <x:row r="78" ht="23" customHeight="1">
      <x:c r="A78" s="175"/>
      <x:c r="B78" s="200" t="str">
        <x:f>IF(A78="","",IFERROR(INDEX(Frozen_Predictions!$C$4:$C$203,MATCH(A78,Frozen_Predictions!$A$4:$A$203,0)),""))</x:f>
      </x:c>
      <x:c r="C78" s="172" t="str">
        <x:f>IF(A78="","",IFERROR(INDEX(Frozen_Predictions!$E$4:$E$203,MATCH(A78,Frozen_Predictions!$A$4:$A$203,0)),""))</x:f>
      </x:c>
      <x:c r="D78" s="172" t="str">
        <x:f>IF(A78="","",IFERROR(INDEX(Frozen_Predictions!$F$4:$F$203,MATCH(A78,Frozen_Predictions!$A$4:$A$203,0)),""))</x:f>
      </x:c>
      <x:c r="E78" s="172" t="str">
        <x:f>IF(A78="","",IFERROR(INDEX(Frozen_Predictions!$G$4:$G$203,MATCH(A78,Frozen_Predictions!$A$4:$A$203,0)),""))</x:f>
      </x:c>
      <x:c r="F78" s="172" t="str">
        <x:f>IF(A78="","",IFERROR(INDEX(Frozen_Predictions!$H$4:$H$203,MATCH(A78,Frozen_Predictions!$A$4:$A$203,0)),""))</x:f>
      </x:c>
      <x:c r="G78" s="172" t="str">
        <x:f>IF(A78="","",IFERROR(INDEX(Frozen_Predictions!$I$4:$I$203,MATCH(A78,Frozen_Predictions!$A$4:$A$203,0)),""))</x:f>
      </x:c>
      <x:c r="H78" s="172" t="str">
        <x:f>IF(A78="","",IFERROR(INDEX(Frozen_Predictions!$J$4:$J$203,MATCH(A78,Frozen_Predictions!$A$4:$A$203,0)),""))</x:f>
      </x:c>
      <x:c r="I78" s="192" t="str">
        <x:f>IF(A78="","",IFERROR(INDEX(Frozen_Predictions!$L$4:$L$203,MATCH(A78,Frozen_Predictions!$A$4:$A$203,0)),""))</x:f>
      </x:c>
      <x:c r="J78" s="172" t="str">
        <x:f>IF(X78&lt;&gt;"SETTLED","",IF(N78&lt;=IF(G78="U3.5",3,IF(G78="U4.5",4,5)),1,0))</x:f>
      </x:c>
      <x:c r="K78" s="195" t="str">
        <x:f>IF(X78&lt;&gt;"SETTLED","",IF(AND(OR(V78="DEFENSIV",V78="PRUDENT",V78="MODERAT",V78="RIDICAT"),ISNUMBER(INDEX(Frozen_Predictions!$Y$4:$Y$203,MATCH(A78,Frozen_Predictions!$A$4:$A$203,0))),INDEX(Frozen_Predictions!$Y$4:$Y$203,MATCH(A78,Frozen_Predictions!$A$4:$A$203,0))&gt;1),IF(J78=1,INDEX(Frozen_Predictions!$Y$4:$Y$203,MATCH(A78,Frozen_Predictions!$A$4:$A$203,0))-1,-1),""))</x:f>
      </x:c>
      <x:c r="L78" s="175"/>
      <x:c r="M78" s="175"/>
      <x:c r="N78" s="172" t="str">
        <x:f>IFERROR(IF(AND(ISNUMBER(L78),ISNUMBER(M78),L78&gt;=0,M78&gt;=0,INT(L78)=L78,INT(M78)=M78),L78+M78,""),"")</x:f>
      </x:c>
      <x:c r="O78" s="172" t="str">
        <x:f>IF(X78&lt;&gt;"SETTLED","",IF(J78=1,"WIN",IF(N78=IF(G78="U3.5",4,IF(G78="U4.5",5,6)),"NEAR TAIL","SEVERE TAIL")))</x:f>
      </x:c>
      <x:c r="P78" s="175"/>
      <x:c r="Q78" s="177"/>
      <x:c r="R78" s="213" t="str">
        <x:f>IF(X78&lt;&gt;"SETTLED","",(I78-J78)^2)</x:f>
      </x:c>
      <x:c r="S78" s="213" t="str">
        <x:f>IF(X78&lt;&gt;"SETTLED","",-(J78*LN(MAX(0.000001,MIN(0.999999,I78)))+(1-J78)*LN(MAX(0.000001,MIN(0.999999,1-I78)))))</x:f>
      </x:c>
      <x:c r="T78" s="172" t="str">
        <x:f>IF(A78="","",IFERROR(INDEX(Frozen_Predictions!$N$4:$N$203,MATCH(A78,Frozen_Predictions!$A$4:$A$203,0)),""))</x:f>
      </x:c>
      <x:c r="U78" s="172" t="str">
        <x:f>IF(A78="","",IFERROR(INDEX(Frozen_Predictions!$O$4:$O$203,MATCH(A78,Frozen_Predictions!$A$4:$A$203,0)),""))</x:f>
      </x:c>
      <x:c r="V78" s="172" t="str">
        <x:f>IF(A78="","",IFERROR(INDEX(Frozen_Predictions!$M$4:$M$203,MATCH(A78,Frozen_Predictions!$A$4:$A$203,0)),""))</x:f>
      </x:c>
      <x:c r="W78" s="175"/>
      <x:c r="X78" s="172" t="str">
        <x:f>IF(A78="","",IF(NOT(COUNTIFS(Frozen_Predictions!$A$4:$A$203,A78)=1),"SNAPSHOT ID INVALID",IFERROR(IF(NOT(AND(INDEX(Frozen_Predictions!$Q$4:$Q$203,MATCH(A78,Frozen_Predictions!$A$4:$A$203,0))="DA",ISNUMBER(INDEX(Frozen_Predictions!$B$4:$B$203,MATCH(A78,Frozen_Predictions!$A$4:$A$203,0))),ISNUMBER(INDEX(Frozen_Predictions!$C$4:$C$203,MATCH(A78,Frozen_Predictions!$A$4:$A$203,0))),INDEX(Frozen_Predictions!$B$4:$B$203,MATCH(A78,Frozen_Predictions!$A$4:$A$203,0))&lt;INDEX(Frozen_Predictions!$C$4:$C$203,MATCH(A78,Frozen_Predictions!$A$4:$A$203,0)),INDEX(Frozen_Predictions!$V$4:$V$203,MATCH(A78,Frozen_Predictions!$A$4:$A$203,0))="READY",INDEX(Frozen_Predictions!$O$4:$O$203,MATCH(A78,Frozen_Predictions!$A$4:$A$203,0))="PASS",INDEX(Frozen_Predictions!$J$4:$J$203,MATCH(A78,Frozen_Predictions!$A$4:$A$203,0))=Under_LineCal_v9!$B$45,COUNTIFS(Frozen_Predictions!$A$4:$A$203,A78,Frozen_Predictions!$L$4:$L$203,"&lt;&gt;",Frozen_Predictions!$L$4:$L$203,"&gt;=0",Frozen_Predictions!$L$4:$L$203,"&lt;=1")=1,COUNTIFS($A$4:$A$203,A78)=1)),"SNAPSHOT NOT VALID",IF(AND(ISNUMBER(I78),I78&gt;=0,I78&lt;=1,ISNUMBER(N78),P78&lt;&gt;"",ISNUMBER(Q78),Q78&gt;=B78,OR(G78="U3.5",G78="U4.5",G78="U5.5")),"SETTLED","PENDING RESULT")),"SNAPSHOT NOT VALID")))</x:f>
      </x:c>
    </x:row>
    <x:row r="79" ht="23" customHeight="1">
      <x:c r="A79" s="175"/>
      <x:c r="B79" s="200" t="str">
        <x:f>IF(A79="","",IFERROR(INDEX(Frozen_Predictions!$C$4:$C$203,MATCH(A79,Frozen_Predictions!$A$4:$A$203,0)),""))</x:f>
      </x:c>
      <x:c r="C79" s="172" t="str">
        <x:f>IF(A79="","",IFERROR(INDEX(Frozen_Predictions!$E$4:$E$203,MATCH(A79,Frozen_Predictions!$A$4:$A$203,0)),""))</x:f>
      </x:c>
      <x:c r="D79" s="172" t="str">
        <x:f>IF(A79="","",IFERROR(INDEX(Frozen_Predictions!$F$4:$F$203,MATCH(A79,Frozen_Predictions!$A$4:$A$203,0)),""))</x:f>
      </x:c>
      <x:c r="E79" s="172" t="str">
        <x:f>IF(A79="","",IFERROR(INDEX(Frozen_Predictions!$G$4:$G$203,MATCH(A79,Frozen_Predictions!$A$4:$A$203,0)),""))</x:f>
      </x:c>
      <x:c r="F79" s="172" t="str">
        <x:f>IF(A79="","",IFERROR(INDEX(Frozen_Predictions!$H$4:$H$203,MATCH(A79,Frozen_Predictions!$A$4:$A$203,0)),""))</x:f>
      </x:c>
      <x:c r="G79" s="172" t="str">
        <x:f>IF(A79="","",IFERROR(INDEX(Frozen_Predictions!$I$4:$I$203,MATCH(A79,Frozen_Predictions!$A$4:$A$203,0)),""))</x:f>
      </x:c>
      <x:c r="H79" s="172" t="str">
        <x:f>IF(A79="","",IFERROR(INDEX(Frozen_Predictions!$J$4:$J$203,MATCH(A79,Frozen_Predictions!$A$4:$A$203,0)),""))</x:f>
      </x:c>
      <x:c r="I79" s="192" t="str">
        <x:f>IF(A79="","",IFERROR(INDEX(Frozen_Predictions!$L$4:$L$203,MATCH(A79,Frozen_Predictions!$A$4:$A$203,0)),""))</x:f>
      </x:c>
      <x:c r="J79" s="172" t="str">
        <x:f>IF(X79&lt;&gt;"SETTLED","",IF(N79&lt;=IF(G79="U3.5",3,IF(G79="U4.5",4,5)),1,0))</x:f>
      </x:c>
      <x:c r="K79" s="195" t="str">
        <x:f>IF(X79&lt;&gt;"SETTLED","",IF(AND(OR(V79="DEFENSIV",V79="PRUDENT",V79="MODERAT",V79="RIDICAT"),ISNUMBER(INDEX(Frozen_Predictions!$Y$4:$Y$203,MATCH(A79,Frozen_Predictions!$A$4:$A$203,0))),INDEX(Frozen_Predictions!$Y$4:$Y$203,MATCH(A79,Frozen_Predictions!$A$4:$A$203,0))&gt;1),IF(J79=1,INDEX(Frozen_Predictions!$Y$4:$Y$203,MATCH(A79,Frozen_Predictions!$A$4:$A$203,0))-1,-1),""))</x:f>
      </x:c>
      <x:c r="L79" s="175"/>
      <x:c r="M79" s="175"/>
      <x:c r="N79" s="172" t="str">
        <x:f>IFERROR(IF(AND(ISNUMBER(L79),ISNUMBER(M79),L79&gt;=0,M79&gt;=0,INT(L79)=L79,INT(M79)=M79),L79+M79,""),"")</x:f>
      </x:c>
      <x:c r="O79" s="172" t="str">
        <x:f>IF(X79&lt;&gt;"SETTLED","",IF(J79=1,"WIN",IF(N79=IF(G79="U3.5",4,IF(G79="U4.5",5,6)),"NEAR TAIL","SEVERE TAIL")))</x:f>
      </x:c>
      <x:c r="P79" s="175"/>
      <x:c r="Q79" s="177"/>
      <x:c r="R79" s="213" t="str">
        <x:f>IF(X79&lt;&gt;"SETTLED","",(I79-J79)^2)</x:f>
      </x:c>
      <x:c r="S79" s="213" t="str">
        <x:f>IF(X79&lt;&gt;"SETTLED","",-(J79*LN(MAX(0.000001,MIN(0.999999,I79)))+(1-J79)*LN(MAX(0.000001,MIN(0.999999,1-I79)))))</x:f>
      </x:c>
      <x:c r="T79" s="172" t="str">
        <x:f>IF(A79="","",IFERROR(INDEX(Frozen_Predictions!$N$4:$N$203,MATCH(A79,Frozen_Predictions!$A$4:$A$203,0)),""))</x:f>
      </x:c>
      <x:c r="U79" s="172" t="str">
        <x:f>IF(A79="","",IFERROR(INDEX(Frozen_Predictions!$O$4:$O$203,MATCH(A79,Frozen_Predictions!$A$4:$A$203,0)),""))</x:f>
      </x:c>
      <x:c r="V79" s="172" t="str">
        <x:f>IF(A79="","",IFERROR(INDEX(Frozen_Predictions!$M$4:$M$203,MATCH(A79,Frozen_Predictions!$A$4:$A$203,0)),""))</x:f>
      </x:c>
      <x:c r="W79" s="175"/>
      <x:c r="X79" s="172" t="str">
        <x:f>IF(A79="","",IF(NOT(COUNTIFS(Frozen_Predictions!$A$4:$A$203,A79)=1),"SNAPSHOT ID INVALID",IFERROR(IF(NOT(AND(INDEX(Frozen_Predictions!$Q$4:$Q$203,MATCH(A79,Frozen_Predictions!$A$4:$A$203,0))="DA",ISNUMBER(INDEX(Frozen_Predictions!$B$4:$B$203,MATCH(A79,Frozen_Predictions!$A$4:$A$203,0))),ISNUMBER(INDEX(Frozen_Predictions!$C$4:$C$203,MATCH(A79,Frozen_Predictions!$A$4:$A$203,0))),INDEX(Frozen_Predictions!$B$4:$B$203,MATCH(A79,Frozen_Predictions!$A$4:$A$203,0))&lt;INDEX(Frozen_Predictions!$C$4:$C$203,MATCH(A79,Frozen_Predictions!$A$4:$A$203,0)),INDEX(Frozen_Predictions!$V$4:$V$203,MATCH(A79,Frozen_Predictions!$A$4:$A$203,0))="READY",INDEX(Frozen_Predictions!$O$4:$O$203,MATCH(A79,Frozen_Predictions!$A$4:$A$203,0))="PASS",INDEX(Frozen_Predictions!$J$4:$J$203,MATCH(A79,Frozen_Predictions!$A$4:$A$203,0))=Under_LineCal_v9!$B$45,COUNTIFS(Frozen_Predictions!$A$4:$A$203,A79,Frozen_Predictions!$L$4:$L$203,"&lt;&gt;",Frozen_Predictions!$L$4:$L$203,"&gt;=0",Frozen_Predictions!$L$4:$L$203,"&lt;=1")=1,COUNTIFS($A$4:$A$203,A79)=1)),"SNAPSHOT NOT VALID",IF(AND(ISNUMBER(I79),I79&gt;=0,I79&lt;=1,ISNUMBER(N79),P79&lt;&gt;"",ISNUMBER(Q79),Q79&gt;=B79,OR(G79="U3.5",G79="U4.5",G79="U5.5")),"SETTLED","PENDING RESULT")),"SNAPSHOT NOT VALID")))</x:f>
      </x:c>
    </x:row>
    <x:row r="80" ht="23" customHeight="1">
      <x:c r="A80" s="175"/>
      <x:c r="B80" s="200" t="str">
        <x:f>IF(A80="","",IFERROR(INDEX(Frozen_Predictions!$C$4:$C$203,MATCH(A80,Frozen_Predictions!$A$4:$A$203,0)),""))</x:f>
      </x:c>
      <x:c r="C80" s="172" t="str">
        <x:f>IF(A80="","",IFERROR(INDEX(Frozen_Predictions!$E$4:$E$203,MATCH(A80,Frozen_Predictions!$A$4:$A$203,0)),""))</x:f>
      </x:c>
      <x:c r="D80" s="172" t="str">
        <x:f>IF(A80="","",IFERROR(INDEX(Frozen_Predictions!$F$4:$F$203,MATCH(A80,Frozen_Predictions!$A$4:$A$203,0)),""))</x:f>
      </x:c>
      <x:c r="E80" s="172" t="str">
        <x:f>IF(A80="","",IFERROR(INDEX(Frozen_Predictions!$G$4:$G$203,MATCH(A80,Frozen_Predictions!$A$4:$A$203,0)),""))</x:f>
      </x:c>
      <x:c r="F80" s="172" t="str">
        <x:f>IF(A80="","",IFERROR(INDEX(Frozen_Predictions!$H$4:$H$203,MATCH(A80,Frozen_Predictions!$A$4:$A$203,0)),""))</x:f>
      </x:c>
      <x:c r="G80" s="172" t="str">
        <x:f>IF(A80="","",IFERROR(INDEX(Frozen_Predictions!$I$4:$I$203,MATCH(A80,Frozen_Predictions!$A$4:$A$203,0)),""))</x:f>
      </x:c>
      <x:c r="H80" s="172" t="str">
        <x:f>IF(A80="","",IFERROR(INDEX(Frozen_Predictions!$J$4:$J$203,MATCH(A80,Frozen_Predictions!$A$4:$A$203,0)),""))</x:f>
      </x:c>
      <x:c r="I80" s="192" t="str">
        <x:f>IF(A80="","",IFERROR(INDEX(Frozen_Predictions!$L$4:$L$203,MATCH(A80,Frozen_Predictions!$A$4:$A$203,0)),""))</x:f>
      </x:c>
      <x:c r="J80" s="172" t="str">
        <x:f>IF(X80&lt;&gt;"SETTLED","",IF(N80&lt;=IF(G80="U3.5",3,IF(G80="U4.5",4,5)),1,0))</x:f>
      </x:c>
      <x:c r="K80" s="195" t="str">
        <x:f>IF(X80&lt;&gt;"SETTLED","",IF(AND(OR(V80="DEFENSIV",V80="PRUDENT",V80="MODERAT",V80="RIDICAT"),ISNUMBER(INDEX(Frozen_Predictions!$Y$4:$Y$203,MATCH(A80,Frozen_Predictions!$A$4:$A$203,0))),INDEX(Frozen_Predictions!$Y$4:$Y$203,MATCH(A80,Frozen_Predictions!$A$4:$A$203,0))&gt;1),IF(J80=1,INDEX(Frozen_Predictions!$Y$4:$Y$203,MATCH(A80,Frozen_Predictions!$A$4:$A$203,0))-1,-1),""))</x:f>
      </x:c>
      <x:c r="L80" s="175"/>
      <x:c r="M80" s="175"/>
      <x:c r="N80" s="172" t="str">
        <x:f>IFERROR(IF(AND(ISNUMBER(L80),ISNUMBER(M80),L80&gt;=0,M80&gt;=0,INT(L80)=L80,INT(M80)=M80),L80+M80,""),"")</x:f>
      </x:c>
      <x:c r="O80" s="172" t="str">
        <x:f>IF(X80&lt;&gt;"SETTLED","",IF(J80=1,"WIN",IF(N80=IF(G80="U3.5",4,IF(G80="U4.5",5,6)),"NEAR TAIL","SEVERE TAIL")))</x:f>
      </x:c>
      <x:c r="P80" s="175"/>
      <x:c r="Q80" s="177"/>
      <x:c r="R80" s="213" t="str">
        <x:f>IF(X80&lt;&gt;"SETTLED","",(I80-J80)^2)</x:f>
      </x:c>
      <x:c r="S80" s="213" t="str">
        <x:f>IF(X80&lt;&gt;"SETTLED","",-(J80*LN(MAX(0.000001,MIN(0.999999,I80)))+(1-J80)*LN(MAX(0.000001,MIN(0.999999,1-I80)))))</x:f>
      </x:c>
      <x:c r="T80" s="172" t="str">
        <x:f>IF(A80="","",IFERROR(INDEX(Frozen_Predictions!$N$4:$N$203,MATCH(A80,Frozen_Predictions!$A$4:$A$203,0)),""))</x:f>
      </x:c>
      <x:c r="U80" s="172" t="str">
        <x:f>IF(A80="","",IFERROR(INDEX(Frozen_Predictions!$O$4:$O$203,MATCH(A80,Frozen_Predictions!$A$4:$A$203,0)),""))</x:f>
      </x:c>
      <x:c r="V80" s="172" t="str">
        <x:f>IF(A80="","",IFERROR(INDEX(Frozen_Predictions!$M$4:$M$203,MATCH(A80,Frozen_Predictions!$A$4:$A$203,0)),""))</x:f>
      </x:c>
      <x:c r="W80" s="175"/>
      <x:c r="X80" s="172" t="str">
        <x:f>IF(A80="","",IF(NOT(COUNTIFS(Frozen_Predictions!$A$4:$A$203,A80)=1),"SNAPSHOT ID INVALID",IFERROR(IF(NOT(AND(INDEX(Frozen_Predictions!$Q$4:$Q$203,MATCH(A80,Frozen_Predictions!$A$4:$A$203,0))="DA",ISNUMBER(INDEX(Frozen_Predictions!$B$4:$B$203,MATCH(A80,Frozen_Predictions!$A$4:$A$203,0))),ISNUMBER(INDEX(Frozen_Predictions!$C$4:$C$203,MATCH(A80,Frozen_Predictions!$A$4:$A$203,0))),INDEX(Frozen_Predictions!$B$4:$B$203,MATCH(A80,Frozen_Predictions!$A$4:$A$203,0))&lt;INDEX(Frozen_Predictions!$C$4:$C$203,MATCH(A80,Frozen_Predictions!$A$4:$A$203,0)),INDEX(Frozen_Predictions!$V$4:$V$203,MATCH(A80,Frozen_Predictions!$A$4:$A$203,0))="READY",INDEX(Frozen_Predictions!$O$4:$O$203,MATCH(A80,Frozen_Predictions!$A$4:$A$203,0))="PASS",INDEX(Frozen_Predictions!$J$4:$J$203,MATCH(A80,Frozen_Predictions!$A$4:$A$203,0))=Under_LineCal_v9!$B$45,COUNTIFS(Frozen_Predictions!$A$4:$A$203,A80,Frozen_Predictions!$L$4:$L$203,"&lt;&gt;",Frozen_Predictions!$L$4:$L$203,"&gt;=0",Frozen_Predictions!$L$4:$L$203,"&lt;=1")=1,COUNTIFS($A$4:$A$203,A80)=1)),"SNAPSHOT NOT VALID",IF(AND(ISNUMBER(I80),I80&gt;=0,I80&lt;=1,ISNUMBER(N80),P80&lt;&gt;"",ISNUMBER(Q80),Q80&gt;=B80,OR(G80="U3.5",G80="U4.5",G80="U5.5")),"SETTLED","PENDING RESULT")),"SNAPSHOT NOT VALID")))</x:f>
      </x:c>
    </x:row>
    <x:row r="81" ht="23" customHeight="1">
      <x:c r="A81" s="175"/>
      <x:c r="B81" s="200" t="str">
        <x:f>IF(A81="","",IFERROR(INDEX(Frozen_Predictions!$C$4:$C$203,MATCH(A81,Frozen_Predictions!$A$4:$A$203,0)),""))</x:f>
      </x:c>
      <x:c r="C81" s="172" t="str">
        <x:f>IF(A81="","",IFERROR(INDEX(Frozen_Predictions!$E$4:$E$203,MATCH(A81,Frozen_Predictions!$A$4:$A$203,0)),""))</x:f>
      </x:c>
      <x:c r="D81" s="172" t="str">
        <x:f>IF(A81="","",IFERROR(INDEX(Frozen_Predictions!$F$4:$F$203,MATCH(A81,Frozen_Predictions!$A$4:$A$203,0)),""))</x:f>
      </x:c>
      <x:c r="E81" s="172" t="str">
        <x:f>IF(A81="","",IFERROR(INDEX(Frozen_Predictions!$G$4:$G$203,MATCH(A81,Frozen_Predictions!$A$4:$A$203,0)),""))</x:f>
      </x:c>
      <x:c r="F81" s="172" t="str">
        <x:f>IF(A81="","",IFERROR(INDEX(Frozen_Predictions!$H$4:$H$203,MATCH(A81,Frozen_Predictions!$A$4:$A$203,0)),""))</x:f>
      </x:c>
      <x:c r="G81" s="172" t="str">
        <x:f>IF(A81="","",IFERROR(INDEX(Frozen_Predictions!$I$4:$I$203,MATCH(A81,Frozen_Predictions!$A$4:$A$203,0)),""))</x:f>
      </x:c>
      <x:c r="H81" s="172" t="str">
        <x:f>IF(A81="","",IFERROR(INDEX(Frozen_Predictions!$J$4:$J$203,MATCH(A81,Frozen_Predictions!$A$4:$A$203,0)),""))</x:f>
      </x:c>
      <x:c r="I81" s="192" t="str">
        <x:f>IF(A81="","",IFERROR(INDEX(Frozen_Predictions!$L$4:$L$203,MATCH(A81,Frozen_Predictions!$A$4:$A$203,0)),""))</x:f>
      </x:c>
      <x:c r="J81" s="172" t="str">
        <x:f>IF(X81&lt;&gt;"SETTLED","",IF(N81&lt;=IF(G81="U3.5",3,IF(G81="U4.5",4,5)),1,0))</x:f>
      </x:c>
      <x:c r="K81" s="195" t="str">
        <x:f>IF(X81&lt;&gt;"SETTLED","",IF(AND(OR(V81="DEFENSIV",V81="PRUDENT",V81="MODERAT",V81="RIDICAT"),ISNUMBER(INDEX(Frozen_Predictions!$Y$4:$Y$203,MATCH(A81,Frozen_Predictions!$A$4:$A$203,0))),INDEX(Frozen_Predictions!$Y$4:$Y$203,MATCH(A81,Frozen_Predictions!$A$4:$A$203,0))&gt;1),IF(J81=1,INDEX(Frozen_Predictions!$Y$4:$Y$203,MATCH(A81,Frozen_Predictions!$A$4:$A$203,0))-1,-1),""))</x:f>
      </x:c>
      <x:c r="L81" s="175"/>
      <x:c r="M81" s="175"/>
      <x:c r="N81" s="172" t="str">
        <x:f>IFERROR(IF(AND(ISNUMBER(L81),ISNUMBER(M81),L81&gt;=0,M81&gt;=0,INT(L81)=L81,INT(M81)=M81),L81+M81,""),"")</x:f>
      </x:c>
      <x:c r="O81" s="172" t="str">
        <x:f>IF(X81&lt;&gt;"SETTLED","",IF(J81=1,"WIN",IF(N81=IF(G81="U3.5",4,IF(G81="U4.5",5,6)),"NEAR TAIL","SEVERE TAIL")))</x:f>
      </x:c>
      <x:c r="P81" s="175"/>
      <x:c r="Q81" s="177"/>
      <x:c r="R81" s="213" t="str">
        <x:f>IF(X81&lt;&gt;"SETTLED","",(I81-J81)^2)</x:f>
      </x:c>
      <x:c r="S81" s="213" t="str">
        <x:f>IF(X81&lt;&gt;"SETTLED","",-(J81*LN(MAX(0.000001,MIN(0.999999,I81)))+(1-J81)*LN(MAX(0.000001,MIN(0.999999,1-I81)))))</x:f>
      </x:c>
      <x:c r="T81" s="172" t="str">
        <x:f>IF(A81="","",IFERROR(INDEX(Frozen_Predictions!$N$4:$N$203,MATCH(A81,Frozen_Predictions!$A$4:$A$203,0)),""))</x:f>
      </x:c>
      <x:c r="U81" s="172" t="str">
        <x:f>IF(A81="","",IFERROR(INDEX(Frozen_Predictions!$O$4:$O$203,MATCH(A81,Frozen_Predictions!$A$4:$A$203,0)),""))</x:f>
      </x:c>
      <x:c r="V81" s="172" t="str">
        <x:f>IF(A81="","",IFERROR(INDEX(Frozen_Predictions!$M$4:$M$203,MATCH(A81,Frozen_Predictions!$A$4:$A$203,0)),""))</x:f>
      </x:c>
      <x:c r="W81" s="175"/>
      <x:c r="X81" s="172" t="str">
        <x:f>IF(A81="","",IF(NOT(COUNTIFS(Frozen_Predictions!$A$4:$A$203,A81)=1),"SNAPSHOT ID INVALID",IFERROR(IF(NOT(AND(INDEX(Frozen_Predictions!$Q$4:$Q$203,MATCH(A81,Frozen_Predictions!$A$4:$A$203,0))="DA",ISNUMBER(INDEX(Frozen_Predictions!$B$4:$B$203,MATCH(A81,Frozen_Predictions!$A$4:$A$203,0))),ISNUMBER(INDEX(Frozen_Predictions!$C$4:$C$203,MATCH(A81,Frozen_Predictions!$A$4:$A$203,0))),INDEX(Frozen_Predictions!$B$4:$B$203,MATCH(A81,Frozen_Predictions!$A$4:$A$203,0))&lt;INDEX(Frozen_Predictions!$C$4:$C$203,MATCH(A81,Frozen_Predictions!$A$4:$A$203,0)),INDEX(Frozen_Predictions!$V$4:$V$203,MATCH(A81,Frozen_Predictions!$A$4:$A$203,0))="READY",INDEX(Frozen_Predictions!$O$4:$O$203,MATCH(A81,Frozen_Predictions!$A$4:$A$203,0))="PASS",INDEX(Frozen_Predictions!$J$4:$J$203,MATCH(A81,Frozen_Predictions!$A$4:$A$203,0))=Under_LineCal_v9!$B$45,COUNTIFS(Frozen_Predictions!$A$4:$A$203,A81,Frozen_Predictions!$L$4:$L$203,"&lt;&gt;",Frozen_Predictions!$L$4:$L$203,"&gt;=0",Frozen_Predictions!$L$4:$L$203,"&lt;=1")=1,COUNTIFS($A$4:$A$203,A81)=1)),"SNAPSHOT NOT VALID",IF(AND(ISNUMBER(I81),I81&gt;=0,I81&lt;=1,ISNUMBER(N81),P81&lt;&gt;"",ISNUMBER(Q81),Q81&gt;=B81,OR(G81="U3.5",G81="U4.5",G81="U5.5")),"SETTLED","PENDING RESULT")),"SNAPSHOT NOT VALID")))</x:f>
      </x:c>
    </x:row>
    <x:row r="82" ht="23" customHeight="1">
      <x:c r="A82" s="175"/>
      <x:c r="B82" s="200" t="str">
        <x:f>IF(A82="","",IFERROR(INDEX(Frozen_Predictions!$C$4:$C$203,MATCH(A82,Frozen_Predictions!$A$4:$A$203,0)),""))</x:f>
      </x:c>
      <x:c r="C82" s="172" t="str">
        <x:f>IF(A82="","",IFERROR(INDEX(Frozen_Predictions!$E$4:$E$203,MATCH(A82,Frozen_Predictions!$A$4:$A$203,0)),""))</x:f>
      </x:c>
      <x:c r="D82" s="172" t="str">
        <x:f>IF(A82="","",IFERROR(INDEX(Frozen_Predictions!$F$4:$F$203,MATCH(A82,Frozen_Predictions!$A$4:$A$203,0)),""))</x:f>
      </x:c>
      <x:c r="E82" s="172" t="str">
        <x:f>IF(A82="","",IFERROR(INDEX(Frozen_Predictions!$G$4:$G$203,MATCH(A82,Frozen_Predictions!$A$4:$A$203,0)),""))</x:f>
      </x:c>
      <x:c r="F82" s="172" t="str">
        <x:f>IF(A82="","",IFERROR(INDEX(Frozen_Predictions!$H$4:$H$203,MATCH(A82,Frozen_Predictions!$A$4:$A$203,0)),""))</x:f>
      </x:c>
      <x:c r="G82" s="172" t="str">
        <x:f>IF(A82="","",IFERROR(INDEX(Frozen_Predictions!$I$4:$I$203,MATCH(A82,Frozen_Predictions!$A$4:$A$203,0)),""))</x:f>
      </x:c>
      <x:c r="H82" s="172" t="str">
        <x:f>IF(A82="","",IFERROR(INDEX(Frozen_Predictions!$J$4:$J$203,MATCH(A82,Frozen_Predictions!$A$4:$A$203,0)),""))</x:f>
      </x:c>
      <x:c r="I82" s="192" t="str">
        <x:f>IF(A82="","",IFERROR(INDEX(Frozen_Predictions!$L$4:$L$203,MATCH(A82,Frozen_Predictions!$A$4:$A$203,0)),""))</x:f>
      </x:c>
      <x:c r="J82" s="172" t="str">
        <x:f>IF(X82&lt;&gt;"SETTLED","",IF(N82&lt;=IF(G82="U3.5",3,IF(G82="U4.5",4,5)),1,0))</x:f>
      </x:c>
      <x:c r="K82" s="195" t="str">
        <x:f>IF(X82&lt;&gt;"SETTLED","",IF(AND(OR(V82="DEFENSIV",V82="PRUDENT",V82="MODERAT",V82="RIDICAT"),ISNUMBER(INDEX(Frozen_Predictions!$Y$4:$Y$203,MATCH(A82,Frozen_Predictions!$A$4:$A$203,0))),INDEX(Frozen_Predictions!$Y$4:$Y$203,MATCH(A82,Frozen_Predictions!$A$4:$A$203,0))&gt;1),IF(J82=1,INDEX(Frozen_Predictions!$Y$4:$Y$203,MATCH(A82,Frozen_Predictions!$A$4:$A$203,0))-1,-1),""))</x:f>
      </x:c>
      <x:c r="L82" s="175"/>
      <x:c r="M82" s="175"/>
      <x:c r="N82" s="172" t="str">
        <x:f>IFERROR(IF(AND(ISNUMBER(L82),ISNUMBER(M82),L82&gt;=0,M82&gt;=0,INT(L82)=L82,INT(M82)=M82),L82+M82,""),"")</x:f>
      </x:c>
      <x:c r="O82" s="172" t="str">
        <x:f>IF(X82&lt;&gt;"SETTLED","",IF(J82=1,"WIN",IF(N82=IF(G82="U3.5",4,IF(G82="U4.5",5,6)),"NEAR TAIL","SEVERE TAIL")))</x:f>
      </x:c>
      <x:c r="P82" s="175"/>
      <x:c r="Q82" s="177"/>
      <x:c r="R82" s="213" t="str">
        <x:f>IF(X82&lt;&gt;"SETTLED","",(I82-J82)^2)</x:f>
      </x:c>
      <x:c r="S82" s="213" t="str">
        <x:f>IF(X82&lt;&gt;"SETTLED","",-(J82*LN(MAX(0.000001,MIN(0.999999,I82)))+(1-J82)*LN(MAX(0.000001,MIN(0.999999,1-I82)))))</x:f>
      </x:c>
      <x:c r="T82" s="172" t="str">
        <x:f>IF(A82="","",IFERROR(INDEX(Frozen_Predictions!$N$4:$N$203,MATCH(A82,Frozen_Predictions!$A$4:$A$203,0)),""))</x:f>
      </x:c>
      <x:c r="U82" s="172" t="str">
        <x:f>IF(A82="","",IFERROR(INDEX(Frozen_Predictions!$O$4:$O$203,MATCH(A82,Frozen_Predictions!$A$4:$A$203,0)),""))</x:f>
      </x:c>
      <x:c r="V82" s="172" t="str">
        <x:f>IF(A82="","",IFERROR(INDEX(Frozen_Predictions!$M$4:$M$203,MATCH(A82,Frozen_Predictions!$A$4:$A$203,0)),""))</x:f>
      </x:c>
      <x:c r="W82" s="175"/>
      <x:c r="X82" s="172" t="str">
        <x:f>IF(A82="","",IF(NOT(COUNTIFS(Frozen_Predictions!$A$4:$A$203,A82)=1),"SNAPSHOT ID INVALID",IFERROR(IF(NOT(AND(INDEX(Frozen_Predictions!$Q$4:$Q$203,MATCH(A82,Frozen_Predictions!$A$4:$A$203,0))="DA",ISNUMBER(INDEX(Frozen_Predictions!$B$4:$B$203,MATCH(A82,Frozen_Predictions!$A$4:$A$203,0))),ISNUMBER(INDEX(Frozen_Predictions!$C$4:$C$203,MATCH(A82,Frozen_Predictions!$A$4:$A$203,0))),INDEX(Frozen_Predictions!$B$4:$B$203,MATCH(A82,Frozen_Predictions!$A$4:$A$203,0))&lt;INDEX(Frozen_Predictions!$C$4:$C$203,MATCH(A82,Frozen_Predictions!$A$4:$A$203,0)),INDEX(Frozen_Predictions!$V$4:$V$203,MATCH(A82,Frozen_Predictions!$A$4:$A$203,0))="READY",INDEX(Frozen_Predictions!$O$4:$O$203,MATCH(A82,Frozen_Predictions!$A$4:$A$203,0))="PASS",INDEX(Frozen_Predictions!$J$4:$J$203,MATCH(A82,Frozen_Predictions!$A$4:$A$203,0))=Under_LineCal_v9!$B$45,COUNTIFS(Frozen_Predictions!$A$4:$A$203,A82,Frozen_Predictions!$L$4:$L$203,"&lt;&gt;",Frozen_Predictions!$L$4:$L$203,"&gt;=0",Frozen_Predictions!$L$4:$L$203,"&lt;=1")=1,COUNTIFS($A$4:$A$203,A82)=1)),"SNAPSHOT NOT VALID",IF(AND(ISNUMBER(I82),I82&gt;=0,I82&lt;=1,ISNUMBER(N82),P82&lt;&gt;"",ISNUMBER(Q82),Q82&gt;=B82,OR(G82="U3.5",G82="U4.5",G82="U5.5")),"SETTLED","PENDING RESULT")),"SNAPSHOT NOT VALID")))</x:f>
      </x:c>
    </x:row>
    <x:row r="83" ht="23" customHeight="1">
      <x:c r="A83" s="175"/>
      <x:c r="B83" s="200" t="str">
        <x:f>IF(A83="","",IFERROR(INDEX(Frozen_Predictions!$C$4:$C$203,MATCH(A83,Frozen_Predictions!$A$4:$A$203,0)),""))</x:f>
      </x:c>
      <x:c r="C83" s="172" t="str">
        <x:f>IF(A83="","",IFERROR(INDEX(Frozen_Predictions!$E$4:$E$203,MATCH(A83,Frozen_Predictions!$A$4:$A$203,0)),""))</x:f>
      </x:c>
      <x:c r="D83" s="172" t="str">
        <x:f>IF(A83="","",IFERROR(INDEX(Frozen_Predictions!$F$4:$F$203,MATCH(A83,Frozen_Predictions!$A$4:$A$203,0)),""))</x:f>
      </x:c>
      <x:c r="E83" s="172" t="str">
        <x:f>IF(A83="","",IFERROR(INDEX(Frozen_Predictions!$G$4:$G$203,MATCH(A83,Frozen_Predictions!$A$4:$A$203,0)),""))</x:f>
      </x:c>
      <x:c r="F83" s="172" t="str">
        <x:f>IF(A83="","",IFERROR(INDEX(Frozen_Predictions!$H$4:$H$203,MATCH(A83,Frozen_Predictions!$A$4:$A$203,0)),""))</x:f>
      </x:c>
      <x:c r="G83" s="172" t="str">
        <x:f>IF(A83="","",IFERROR(INDEX(Frozen_Predictions!$I$4:$I$203,MATCH(A83,Frozen_Predictions!$A$4:$A$203,0)),""))</x:f>
      </x:c>
      <x:c r="H83" s="172" t="str">
        <x:f>IF(A83="","",IFERROR(INDEX(Frozen_Predictions!$J$4:$J$203,MATCH(A83,Frozen_Predictions!$A$4:$A$203,0)),""))</x:f>
      </x:c>
      <x:c r="I83" s="192" t="str">
        <x:f>IF(A83="","",IFERROR(INDEX(Frozen_Predictions!$L$4:$L$203,MATCH(A83,Frozen_Predictions!$A$4:$A$203,0)),""))</x:f>
      </x:c>
      <x:c r="J83" s="172" t="str">
        <x:f>IF(X83&lt;&gt;"SETTLED","",IF(N83&lt;=IF(G83="U3.5",3,IF(G83="U4.5",4,5)),1,0))</x:f>
      </x:c>
      <x:c r="K83" s="195" t="str">
        <x:f>IF(X83&lt;&gt;"SETTLED","",IF(AND(OR(V83="DEFENSIV",V83="PRUDENT",V83="MODERAT",V83="RIDICAT"),ISNUMBER(INDEX(Frozen_Predictions!$Y$4:$Y$203,MATCH(A83,Frozen_Predictions!$A$4:$A$203,0))),INDEX(Frozen_Predictions!$Y$4:$Y$203,MATCH(A83,Frozen_Predictions!$A$4:$A$203,0))&gt;1),IF(J83=1,INDEX(Frozen_Predictions!$Y$4:$Y$203,MATCH(A83,Frozen_Predictions!$A$4:$A$203,0))-1,-1),""))</x:f>
      </x:c>
      <x:c r="L83" s="175"/>
      <x:c r="M83" s="175"/>
      <x:c r="N83" s="172" t="str">
        <x:f>IFERROR(IF(AND(ISNUMBER(L83),ISNUMBER(M83),L83&gt;=0,M83&gt;=0,INT(L83)=L83,INT(M83)=M83),L83+M83,""),"")</x:f>
      </x:c>
      <x:c r="O83" s="172" t="str">
        <x:f>IF(X83&lt;&gt;"SETTLED","",IF(J83=1,"WIN",IF(N83=IF(G83="U3.5",4,IF(G83="U4.5",5,6)),"NEAR TAIL","SEVERE TAIL")))</x:f>
      </x:c>
      <x:c r="P83" s="175"/>
      <x:c r="Q83" s="177"/>
      <x:c r="R83" s="213" t="str">
        <x:f>IF(X83&lt;&gt;"SETTLED","",(I83-J83)^2)</x:f>
      </x:c>
      <x:c r="S83" s="213" t="str">
        <x:f>IF(X83&lt;&gt;"SETTLED","",-(J83*LN(MAX(0.000001,MIN(0.999999,I83)))+(1-J83)*LN(MAX(0.000001,MIN(0.999999,1-I83)))))</x:f>
      </x:c>
      <x:c r="T83" s="172" t="str">
        <x:f>IF(A83="","",IFERROR(INDEX(Frozen_Predictions!$N$4:$N$203,MATCH(A83,Frozen_Predictions!$A$4:$A$203,0)),""))</x:f>
      </x:c>
      <x:c r="U83" s="172" t="str">
        <x:f>IF(A83="","",IFERROR(INDEX(Frozen_Predictions!$O$4:$O$203,MATCH(A83,Frozen_Predictions!$A$4:$A$203,0)),""))</x:f>
      </x:c>
      <x:c r="V83" s="172" t="str">
        <x:f>IF(A83="","",IFERROR(INDEX(Frozen_Predictions!$M$4:$M$203,MATCH(A83,Frozen_Predictions!$A$4:$A$203,0)),""))</x:f>
      </x:c>
      <x:c r="W83" s="175"/>
      <x:c r="X83" s="172" t="str">
        <x:f>IF(A83="","",IF(NOT(COUNTIFS(Frozen_Predictions!$A$4:$A$203,A83)=1),"SNAPSHOT ID INVALID",IFERROR(IF(NOT(AND(INDEX(Frozen_Predictions!$Q$4:$Q$203,MATCH(A83,Frozen_Predictions!$A$4:$A$203,0))="DA",ISNUMBER(INDEX(Frozen_Predictions!$B$4:$B$203,MATCH(A83,Frozen_Predictions!$A$4:$A$203,0))),ISNUMBER(INDEX(Frozen_Predictions!$C$4:$C$203,MATCH(A83,Frozen_Predictions!$A$4:$A$203,0))),INDEX(Frozen_Predictions!$B$4:$B$203,MATCH(A83,Frozen_Predictions!$A$4:$A$203,0))&lt;INDEX(Frozen_Predictions!$C$4:$C$203,MATCH(A83,Frozen_Predictions!$A$4:$A$203,0)),INDEX(Frozen_Predictions!$V$4:$V$203,MATCH(A83,Frozen_Predictions!$A$4:$A$203,0))="READY",INDEX(Frozen_Predictions!$O$4:$O$203,MATCH(A83,Frozen_Predictions!$A$4:$A$203,0))="PASS",INDEX(Frozen_Predictions!$J$4:$J$203,MATCH(A83,Frozen_Predictions!$A$4:$A$203,0))=Under_LineCal_v9!$B$45,COUNTIFS(Frozen_Predictions!$A$4:$A$203,A83,Frozen_Predictions!$L$4:$L$203,"&lt;&gt;",Frozen_Predictions!$L$4:$L$203,"&gt;=0",Frozen_Predictions!$L$4:$L$203,"&lt;=1")=1,COUNTIFS($A$4:$A$203,A83)=1)),"SNAPSHOT NOT VALID",IF(AND(ISNUMBER(I83),I83&gt;=0,I83&lt;=1,ISNUMBER(N83),P83&lt;&gt;"",ISNUMBER(Q83),Q83&gt;=B83,OR(G83="U3.5",G83="U4.5",G83="U5.5")),"SETTLED","PENDING RESULT")),"SNAPSHOT NOT VALID")))</x:f>
      </x:c>
    </x:row>
    <x:row r="84" ht="23" customHeight="1">
      <x:c r="A84" s="175"/>
      <x:c r="B84" s="200" t="str">
        <x:f>IF(A84="","",IFERROR(INDEX(Frozen_Predictions!$C$4:$C$203,MATCH(A84,Frozen_Predictions!$A$4:$A$203,0)),""))</x:f>
      </x:c>
      <x:c r="C84" s="172" t="str">
        <x:f>IF(A84="","",IFERROR(INDEX(Frozen_Predictions!$E$4:$E$203,MATCH(A84,Frozen_Predictions!$A$4:$A$203,0)),""))</x:f>
      </x:c>
      <x:c r="D84" s="172" t="str">
        <x:f>IF(A84="","",IFERROR(INDEX(Frozen_Predictions!$F$4:$F$203,MATCH(A84,Frozen_Predictions!$A$4:$A$203,0)),""))</x:f>
      </x:c>
      <x:c r="E84" s="172" t="str">
        <x:f>IF(A84="","",IFERROR(INDEX(Frozen_Predictions!$G$4:$G$203,MATCH(A84,Frozen_Predictions!$A$4:$A$203,0)),""))</x:f>
      </x:c>
      <x:c r="F84" s="172" t="str">
        <x:f>IF(A84="","",IFERROR(INDEX(Frozen_Predictions!$H$4:$H$203,MATCH(A84,Frozen_Predictions!$A$4:$A$203,0)),""))</x:f>
      </x:c>
      <x:c r="G84" s="172" t="str">
        <x:f>IF(A84="","",IFERROR(INDEX(Frozen_Predictions!$I$4:$I$203,MATCH(A84,Frozen_Predictions!$A$4:$A$203,0)),""))</x:f>
      </x:c>
      <x:c r="H84" s="172" t="str">
        <x:f>IF(A84="","",IFERROR(INDEX(Frozen_Predictions!$J$4:$J$203,MATCH(A84,Frozen_Predictions!$A$4:$A$203,0)),""))</x:f>
      </x:c>
      <x:c r="I84" s="192" t="str">
        <x:f>IF(A84="","",IFERROR(INDEX(Frozen_Predictions!$L$4:$L$203,MATCH(A84,Frozen_Predictions!$A$4:$A$203,0)),""))</x:f>
      </x:c>
      <x:c r="J84" s="172" t="str">
        <x:f>IF(X84&lt;&gt;"SETTLED","",IF(N84&lt;=IF(G84="U3.5",3,IF(G84="U4.5",4,5)),1,0))</x:f>
      </x:c>
      <x:c r="K84" s="195" t="str">
        <x:f>IF(X84&lt;&gt;"SETTLED","",IF(AND(OR(V84="DEFENSIV",V84="PRUDENT",V84="MODERAT",V84="RIDICAT"),ISNUMBER(INDEX(Frozen_Predictions!$Y$4:$Y$203,MATCH(A84,Frozen_Predictions!$A$4:$A$203,0))),INDEX(Frozen_Predictions!$Y$4:$Y$203,MATCH(A84,Frozen_Predictions!$A$4:$A$203,0))&gt;1),IF(J84=1,INDEX(Frozen_Predictions!$Y$4:$Y$203,MATCH(A84,Frozen_Predictions!$A$4:$A$203,0))-1,-1),""))</x:f>
      </x:c>
      <x:c r="L84" s="175"/>
      <x:c r="M84" s="175"/>
      <x:c r="N84" s="172" t="str">
        <x:f>IFERROR(IF(AND(ISNUMBER(L84),ISNUMBER(M84),L84&gt;=0,M84&gt;=0,INT(L84)=L84,INT(M84)=M84),L84+M84,""),"")</x:f>
      </x:c>
      <x:c r="O84" s="172" t="str">
        <x:f>IF(X84&lt;&gt;"SETTLED","",IF(J84=1,"WIN",IF(N84=IF(G84="U3.5",4,IF(G84="U4.5",5,6)),"NEAR TAIL","SEVERE TAIL")))</x:f>
      </x:c>
      <x:c r="P84" s="175"/>
      <x:c r="Q84" s="177"/>
      <x:c r="R84" s="213" t="str">
        <x:f>IF(X84&lt;&gt;"SETTLED","",(I84-J84)^2)</x:f>
      </x:c>
      <x:c r="S84" s="213" t="str">
        <x:f>IF(X84&lt;&gt;"SETTLED","",-(J84*LN(MAX(0.000001,MIN(0.999999,I84)))+(1-J84)*LN(MAX(0.000001,MIN(0.999999,1-I84)))))</x:f>
      </x:c>
      <x:c r="T84" s="172" t="str">
        <x:f>IF(A84="","",IFERROR(INDEX(Frozen_Predictions!$N$4:$N$203,MATCH(A84,Frozen_Predictions!$A$4:$A$203,0)),""))</x:f>
      </x:c>
      <x:c r="U84" s="172" t="str">
        <x:f>IF(A84="","",IFERROR(INDEX(Frozen_Predictions!$O$4:$O$203,MATCH(A84,Frozen_Predictions!$A$4:$A$203,0)),""))</x:f>
      </x:c>
      <x:c r="V84" s="172" t="str">
        <x:f>IF(A84="","",IFERROR(INDEX(Frozen_Predictions!$M$4:$M$203,MATCH(A84,Frozen_Predictions!$A$4:$A$203,0)),""))</x:f>
      </x:c>
      <x:c r="W84" s="175"/>
      <x:c r="X84" s="172" t="str">
        <x:f>IF(A84="","",IF(NOT(COUNTIFS(Frozen_Predictions!$A$4:$A$203,A84)=1),"SNAPSHOT ID INVALID",IFERROR(IF(NOT(AND(INDEX(Frozen_Predictions!$Q$4:$Q$203,MATCH(A84,Frozen_Predictions!$A$4:$A$203,0))="DA",ISNUMBER(INDEX(Frozen_Predictions!$B$4:$B$203,MATCH(A84,Frozen_Predictions!$A$4:$A$203,0))),ISNUMBER(INDEX(Frozen_Predictions!$C$4:$C$203,MATCH(A84,Frozen_Predictions!$A$4:$A$203,0))),INDEX(Frozen_Predictions!$B$4:$B$203,MATCH(A84,Frozen_Predictions!$A$4:$A$203,0))&lt;INDEX(Frozen_Predictions!$C$4:$C$203,MATCH(A84,Frozen_Predictions!$A$4:$A$203,0)),INDEX(Frozen_Predictions!$V$4:$V$203,MATCH(A84,Frozen_Predictions!$A$4:$A$203,0))="READY",INDEX(Frozen_Predictions!$O$4:$O$203,MATCH(A84,Frozen_Predictions!$A$4:$A$203,0))="PASS",INDEX(Frozen_Predictions!$J$4:$J$203,MATCH(A84,Frozen_Predictions!$A$4:$A$203,0))=Under_LineCal_v9!$B$45,COUNTIFS(Frozen_Predictions!$A$4:$A$203,A84,Frozen_Predictions!$L$4:$L$203,"&lt;&gt;",Frozen_Predictions!$L$4:$L$203,"&gt;=0",Frozen_Predictions!$L$4:$L$203,"&lt;=1")=1,COUNTIFS($A$4:$A$203,A84)=1)),"SNAPSHOT NOT VALID",IF(AND(ISNUMBER(I84),I84&gt;=0,I84&lt;=1,ISNUMBER(N84),P84&lt;&gt;"",ISNUMBER(Q84),Q84&gt;=B84,OR(G84="U3.5",G84="U4.5",G84="U5.5")),"SETTLED","PENDING RESULT")),"SNAPSHOT NOT VALID")))</x:f>
      </x:c>
    </x:row>
    <x:row r="85" ht="23" customHeight="1">
      <x:c r="A85" s="175"/>
      <x:c r="B85" s="200" t="str">
        <x:f>IF(A85="","",IFERROR(INDEX(Frozen_Predictions!$C$4:$C$203,MATCH(A85,Frozen_Predictions!$A$4:$A$203,0)),""))</x:f>
      </x:c>
      <x:c r="C85" s="172" t="str">
        <x:f>IF(A85="","",IFERROR(INDEX(Frozen_Predictions!$E$4:$E$203,MATCH(A85,Frozen_Predictions!$A$4:$A$203,0)),""))</x:f>
      </x:c>
      <x:c r="D85" s="172" t="str">
        <x:f>IF(A85="","",IFERROR(INDEX(Frozen_Predictions!$F$4:$F$203,MATCH(A85,Frozen_Predictions!$A$4:$A$203,0)),""))</x:f>
      </x:c>
      <x:c r="E85" s="172" t="str">
        <x:f>IF(A85="","",IFERROR(INDEX(Frozen_Predictions!$G$4:$G$203,MATCH(A85,Frozen_Predictions!$A$4:$A$203,0)),""))</x:f>
      </x:c>
      <x:c r="F85" s="172" t="str">
        <x:f>IF(A85="","",IFERROR(INDEX(Frozen_Predictions!$H$4:$H$203,MATCH(A85,Frozen_Predictions!$A$4:$A$203,0)),""))</x:f>
      </x:c>
      <x:c r="G85" s="172" t="str">
        <x:f>IF(A85="","",IFERROR(INDEX(Frozen_Predictions!$I$4:$I$203,MATCH(A85,Frozen_Predictions!$A$4:$A$203,0)),""))</x:f>
      </x:c>
      <x:c r="H85" s="172" t="str">
        <x:f>IF(A85="","",IFERROR(INDEX(Frozen_Predictions!$J$4:$J$203,MATCH(A85,Frozen_Predictions!$A$4:$A$203,0)),""))</x:f>
      </x:c>
      <x:c r="I85" s="192" t="str">
        <x:f>IF(A85="","",IFERROR(INDEX(Frozen_Predictions!$L$4:$L$203,MATCH(A85,Frozen_Predictions!$A$4:$A$203,0)),""))</x:f>
      </x:c>
      <x:c r="J85" s="172" t="str">
        <x:f>IF(X85&lt;&gt;"SETTLED","",IF(N85&lt;=IF(G85="U3.5",3,IF(G85="U4.5",4,5)),1,0))</x:f>
      </x:c>
      <x:c r="K85" s="195" t="str">
        <x:f>IF(X85&lt;&gt;"SETTLED","",IF(AND(OR(V85="DEFENSIV",V85="PRUDENT",V85="MODERAT",V85="RIDICAT"),ISNUMBER(INDEX(Frozen_Predictions!$Y$4:$Y$203,MATCH(A85,Frozen_Predictions!$A$4:$A$203,0))),INDEX(Frozen_Predictions!$Y$4:$Y$203,MATCH(A85,Frozen_Predictions!$A$4:$A$203,0))&gt;1),IF(J85=1,INDEX(Frozen_Predictions!$Y$4:$Y$203,MATCH(A85,Frozen_Predictions!$A$4:$A$203,0))-1,-1),""))</x:f>
      </x:c>
      <x:c r="L85" s="175"/>
      <x:c r="M85" s="175"/>
      <x:c r="N85" s="172" t="str">
        <x:f>IFERROR(IF(AND(ISNUMBER(L85),ISNUMBER(M85),L85&gt;=0,M85&gt;=0,INT(L85)=L85,INT(M85)=M85),L85+M85,""),"")</x:f>
      </x:c>
      <x:c r="O85" s="172" t="str">
        <x:f>IF(X85&lt;&gt;"SETTLED","",IF(J85=1,"WIN",IF(N85=IF(G85="U3.5",4,IF(G85="U4.5",5,6)),"NEAR TAIL","SEVERE TAIL")))</x:f>
      </x:c>
      <x:c r="P85" s="175"/>
      <x:c r="Q85" s="177"/>
      <x:c r="R85" s="213" t="str">
        <x:f>IF(X85&lt;&gt;"SETTLED","",(I85-J85)^2)</x:f>
      </x:c>
      <x:c r="S85" s="213" t="str">
        <x:f>IF(X85&lt;&gt;"SETTLED","",-(J85*LN(MAX(0.000001,MIN(0.999999,I85)))+(1-J85)*LN(MAX(0.000001,MIN(0.999999,1-I85)))))</x:f>
      </x:c>
      <x:c r="T85" s="172" t="str">
        <x:f>IF(A85="","",IFERROR(INDEX(Frozen_Predictions!$N$4:$N$203,MATCH(A85,Frozen_Predictions!$A$4:$A$203,0)),""))</x:f>
      </x:c>
      <x:c r="U85" s="172" t="str">
        <x:f>IF(A85="","",IFERROR(INDEX(Frozen_Predictions!$O$4:$O$203,MATCH(A85,Frozen_Predictions!$A$4:$A$203,0)),""))</x:f>
      </x:c>
      <x:c r="V85" s="172" t="str">
        <x:f>IF(A85="","",IFERROR(INDEX(Frozen_Predictions!$M$4:$M$203,MATCH(A85,Frozen_Predictions!$A$4:$A$203,0)),""))</x:f>
      </x:c>
      <x:c r="W85" s="175"/>
      <x:c r="X85" s="172" t="str">
        <x:f>IF(A85="","",IF(NOT(COUNTIFS(Frozen_Predictions!$A$4:$A$203,A85)=1),"SNAPSHOT ID INVALID",IFERROR(IF(NOT(AND(INDEX(Frozen_Predictions!$Q$4:$Q$203,MATCH(A85,Frozen_Predictions!$A$4:$A$203,0))="DA",ISNUMBER(INDEX(Frozen_Predictions!$B$4:$B$203,MATCH(A85,Frozen_Predictions!$A$4:$A$203,0))),ISNUMBER(INDEX(Frozen_Predictions!$C$4:$C$203,MATCH(A85,Frozen_Predictions!$A$4:$A$203,0))),INDEX(Frozen_Predictions!$B$4:$B$203,MATCH(A85,Frozen_Predictions!$A$4:$A$203,0))&lt;INDEX(Frozen_Predictions!$C$4:$C$203,MATCH(A85,Frozen_Predictions!$A$4:$A$203,0)),INDEX(Frozen_Predictions!$V$4:$V$203,MATCH(A85,Frozen_Predictions!$A$4:$A$203,0))="READY",INDEX(Frozen_Predictions!$O$4:$O$203,MATCH(A85,Frozen_Predictions!$A$4:$A$203,0))="PASS",INDEX(Frozen_Predictions!$J$4:$J$203,MATCH(A85,Frozen_Predictions!$A$4:$A$203,0))=Under_LineCal_v9!$B$45,COUNTIFS(Frozen_Predictions!$A$4:$A$203,A85,Frozen_Predictions!$L$4:$L$203,"&lt;&gt;",Frozen_Predictions!$L$4:$L$203,"&gt;=0",Frozen_Predictions!$L$4:$L$203,"&lt;=1")=1,COUNTIFS($A$4:$A$203,A85)=1)),"SNAPSHOT NOT VALID",IF(AND(ISNUMBER(I85),I85&gt;=0,I85&lt;=1,ISNUMBER(N85),P85&lt;&gt;"",ISNUMBER(Q85),Q85&gt;=B85,OR(G85="U3.5",G85="U4.5",G85="U5.5")),"SETTLED","PENDING RESULT")),"SNAPSHOT NOT VALID")))</x:f>
      </x:c>
    </x:row>
    <x:row r="86" ht="23" customHeight="1">
      <x:c r="A86" s="175"/>
      <x:c r="B86" s="200" t="str">
        <x:f>IF(A86="","",IFERROR(INDEX(Frozen_Predictions!$C$4:$C$203,MATCH(A86,Frozen_Predictions!$A$4:$A$203,0)),""))</x:f>
      </x:c>
      <x:c r="C86" s="172" t="str">
        <x:f>IF(A86="","",IFERROR(INDEX(Frozen_Predictions!$E$4:$E$203,MATCH(A86,Frozen_Predictions!$A$4:$A$203,0)),""))</x:f>
      </x:c>
      <x:c r="D86" s="172" t="str">
        <x:f>IF(A86="","",IFERROR(INDEX(Frozen_Predictions!$F$4:$F$203,MATCH(A86,Frozen_Predictions!$A$4:$A$203,0)),""))</x:f>
      </x:c>
      <x:c r="E86" s="172" t="str">
        <x:f>IF(A86="","",IFERROR(INDEX(Frozen_Predictions!$G$4:$G$203,MATCH(A86,Frozen_Predictions!$A$4:$A$203,0)),""))</x:f>
      </x:c>
      <x:c r="F86" s="172" t="str">
        <x:f>IF(A86="","",IFERROR(INDEX(Frozen_Predictions!$H$4:$H$203,MATCH(A86,Frozen_Predictions!$A$4:$A$203,0)),""))</x:f>
      </x:c>
      <x:c r="G86" s="172" t="str">
        <x:f>IF(A86="","",IFERROR(INDEX(Frozen_Predictions!$I$4:$I$203,MATCH(A86,Frozen_Predictions!$A$4:$A$203,0)),""))</x:f>
      </x:c>
      <x:c r="H86" s="172" t="str">
        <x:f>IF(A86="","",IFERROR(INDEX(Frozen_Predictions!$J$4:$J$203,MATCH(A86,Frozen_Predictions!$A$4:$A$203,0)),""))</x:f>
      </x:c>
      <x:c r="I86" s="192" t="str">
        <x:f>IF(A86="","",IFERROR(INDEX(Frozen_Predictions!$L$4:$L$203,MATCH(A86,Frozen_Predictions!$A$4:$A$203,0)),""))</x:f>
      </x:c>
      <x:c r="J86" s="172" t="str">
        <x:f>IF(X86&lt;&gt;"SETTLED","",IF(N86&lt;=IF(G86="U3.5",3,IF(G86="U4.5",4,5)),1,0))</x:f>
      </x:c>
      <x:c r="K86" s="195" t="str">
        <x:f>IF(X86&lt;&gt;"SETTLED","",IF(AND(OR(V86="DEFENSIV",V86="PRUDENT",V86="MODERAT",V86="RIDICAT"),ISNUMBER(INDEX(Frozen_Predictions!$Y$4:$Y$203,MATCH(A86,Frozen_Predictions!$A$4:$A$203,0))),INDEX(Frozen_Predictions!$Y$4:$Y$203,MATCH(A86,Frozen_Predictions!$A$4:$A$203,0))&gt;1),IF(J86=1,INDEX(Frozen_Predictions!$Y$4:$Y$203,MATCH(A86,Frozen_Predictions!$A$4:$A$203,0))-1,-1),""))</x:f>
      </x:c>
      <x:c r="L86" s="175"/>
      <x:c r="M86" s="175"/>
      <x:c r="N86" s="172" t="str">
        <x:f>IFERROR(IF(AND(ISNUMBER(L86),ISNUMBER(M86),L86&gt;=0,M86&gt;=0,INT(L86)=L86,INT(M86)=M86),L86+M86,""),"")</x:f>
      </x:c>
      <x:c r="O86" s="172" t="str">
        <x:f>IF(X86&lt;&gt;"SETTLED","",IF(J86=1,"WIN",IF(N86=IF(G86="U3.5",4,IF(G86="U4.5",5,6)),"NEAR TAIL","SEVERE TAIL")))</x:f>
      </x:c>
      <x:c r="P86" s="175"/>
      <x:c r="Q86" s="177"/>
      <x:c r="R86" s="213" t="str">
        <x:f>IF(X86&lt;&gt;"SETTLED","",(I86-J86)^2)</x:f>
      </x:c>
      <x:c r="S86" s="213" t="str">
        <x:f>IF(X86&lt;&gt;"SETTLED","",-(J86*LN(MAX(0.000001,MIN(0.999999,I86)))+(1-J86)*LN(MAX(0.000001,MIN(0.999999,1-I86)))))</x:f>
      </x:c>
      <x:c r="T86" s="172" t="str">
        <x:f>IF(A86="","",IFERROR(INDEX(Frozen_Predictions!$N$4:$N$203,MATCH(A86,Frozen_Predictions!$A$4:$A$203,0)),""))</x:f>
      </x:c>
      <x:c r="U86" s="172" t="str">
        <x:f>IF(A86="","",IFERROR(INDEX(Frozen_Predictions!$O$4:$O$203,MATCH(A86,Frozen_Predictions!$A$4:$A$203,0)),""))</x:f>
      </x:c>
      <x:c r="V86" s="172" t="str">
        <x:f>IF(A86="","",IFERROR(INDEX(Frozen_Predictions!$M$4:$M$203,MATCH(A86,Frozen_Predictions!$A$4:$A$203,0)),""))</x:f>
      </x:c>
      <x:c r="W86" s="175"/>
      <x:c r="X86" s="172" t="str">
        <x:f>IF(A86="","",IF(NOT(COUNTIFS(Frozen_Predictions!$A$4:$A$203,A86)=1),"SNAPSHOT ID INVALID",IFERROR(IF(NOT(AND(INDEX(Frozen_Predictions!$Q$4:$Q$203,MATCH(A86,Frozen_Predictions!$A$4:$A$203,0))="DA",ISNUMBER(INDEX(Frozen_Predictions!$B$4:$B$203,MATCH(A86,Frozen_Predictions!$A$4:$A$203,0))),ISNUMBER(INDEX(Frozen_Predictions!$C$4:$C$203,MATCH(A86,Frozen_Predictions!$A$4:$A$203,0))),INDEX(Frozen_Predictions!$B$4:$B$203,MATCH(A86,Frozen_Predictions!$A$4:$A$203,0))&lt;INDEX(Frozen_Predictions!$C$4:$C$203,MATCH(A86,Frozen_Predictions!$A$4:$A$203,0)),INDEX(Frozen_Predictions!$V$4:$V$203,MATCH(A86,Frozen_Predictions!$A$4:$A$203,0))="READY",INDEX(Frozen_Predictions!$O$4:$O$203,MATCH(A86,Frozen_Predictions!$A$4:$A$203,0))="PASS",INDEX(Frozen_Predictions!$J$4:$J$203,MATCH(A86,Frozen_Predictions!$A$4:$A$203,0))=Under_LineCal_v9!$B$45,COUNTIFS(Frozen_Predictions!$A$4:$A$203,A86,Frozen_Predictions!$L$4:$L$203,"&lt;&gt;",Frozen_Predictions!$L$4:$L$203,"&gt;=0",Frozen_Predictions!$L$4:$L$203,"&lt;=1")=1,COUNTIFS($A$4:$A$203,A86)=1)),"SNAPSHOT NOT VALID",IF(AND(ISNUMBER(I86),I86&gt;=0,I86&lt;=1,ISNUMBER(N86),P86&lt;&gt;"",ISNUMBER(Q86),Q86&gt;=B86,OR(G86="U3.5",G86="U4.5",G86="U5.5")),"SETTLED","PENDING RESULT")),"SNAPSHOT NOT VALID")))</x:f>
      </x:c>
    </x:row>
    <x:row r="87" ht="23" customHeight="1">
      <x:c r="A87" s="175"/>
      <x:c r="B87" s="200" t="str">
        <x:f>IF(A87="","",IFERROR(INDEX(Frozen_Predictions!$C$4:$C$203,MATCH(A87,Frozen_Predictions!$A$4:$A$203,0)),""))</x:f>
      </x:c>
      <x:c r="C87" s="172" t="str">
        <x:f>IF(A87="","",IFERROR(INDEX(Frozen_Predictions!$E$4:$E$203,MATCH(A87,Frozen_Predictions!$A$4:$A$203,0)),""))</x:f>
      </x:c>
      <x:c r="D87" s="172" t="str">
        <x:f>IF(A87="","",IFERROR(INDEX(Frozen_Predictions!$F$4:$F$203,MATCH(A87,Frozen_Predictions!$A$4:$A$203,0)),""))</x:f>
      </x:c>
      <x:c r="E87" s="172" t="str">
        <x:f>IF(A87="","",IFERROR(INDEX(Frozen_Predictions!$G$4:$G$203,MATCH(A87,Frozen_Predictions!$A$4:$A$203,0)),""))</x:f>
      </x:c>
      <x:c r="F87" s="172" t="str">
        <x:f>IF(A87="","",IFERROR(INDEX(Frozen_Predictions!$H$4:$H$203,MATCH(A87,Frozen_Predictions!$A$4:$A$203,0)),""))</x:f>
      </x:c>
      <x:c r="G87" s="172" t="str">
        <x:f>IF(A87="","",IFERROR(INDEX(Frozen_Predictions!$I$4:$I$203,MATCH(A87,Frozen_Predictions!$A$4:$A$203,0)),""))</x:f>
      </x:c>
      <x:c r="H87" s="172" t="str">
        <x:f>IF(A87="","",IFERROR(INDEX(Frozen_Predictions!$J$4:$J$203,MATCH(A87,Frozen_Predictions!$A$4:$A$203,0)),""))</x:f>
      </x:c>
      <x:c r="I87" s="192" t="str">
        <x:f>IF(A87="","",IFERROR(INDEX(Frozen_Predictions!$L$4:$L$203,MATCH(A87,Frozen_Predictions!$A$4:$A$203,0)),""))</x:f>
      </x:c>
      <x:c r="J87" s="172" t="str">
        <x:f>IF(X87&lt;&gt;"SETTLED","",IF(N87&lt;=IF(G87="U3.5",3,IF(G87="U4.5",4,5)),1,0))</x:f>
      </x:c>
      <x:c r="K87" s="195" t="str">
        <x:f>IF(X87&lt;&gt;"SETTLED","",IF(AND(OR(V87="DEFENSIV",V87="PRUDENT",V87="MODERAT",V87="RIDICAT"),ISNUMBER(INDEX(Frozen_Predictions!$Y$4:$Y$203,MATCH(A87,Frozen_Predictions!$A$4:$A$203,0))),INDEX(Frozen_Predictions!$Y$4:$Y$203,MATCH(A87,Frozen_Predictions!$A$4:$A$203,0))&gt;1),IF(J87=1,INDEX(Frozen_Predictions!$Y$4:$Y$203,MATCH(A87,Frozen_Predictions!$A$4:$A$203,0))-1,-1),""))</x:f>
      </x:c>
      <x:c r="L87" s="175"/>
      <x:c r="M87" s="175"/>
      <x:c r="N87" s="172" t="str">
        <x:f>IFERROR(IF(AND(ISNUMBER(L87),ISNUMBER(M87),L87&gt;=0,M87&gt;=0,INT(L87)=L87,INT(M87)=M87),L87+M87,""),"")</x:f>
      </x:c>
      <x:c r="O87" s="172" t="str">
        <x:f>IF(X87&lt;&gt;"SETTLED","",IF(J87=1,"WIN",IF(N87=IF(G87="U3.5",4,IF(G87="U4.5",5,6)),"NEAR TAIL","SEVERE TAIL")))</x:f>
      </x:c>
      <x:c r="P87" s="175"/>
      <x:c r="Q87" s="177"/>
      <x:c r="R87" s="213" t="str">
        <x:f>IF(X87&lt;&gt;"SETTLED","",(I87-J87)^2)</x:f>
      </x:c>
      <x:c r="S87" s="213" t="str">
        <x:f>IF(X87&lt;&gt;"SETTLED","",-(J87*LN(MAX(0.000001,MIN(0.999999,I87)))+(1-J87)*LN(MAX(0.000001,MIN(0.999999,1-I87)))))</x:f>
      </x:c>
      <x:c r="T87" s="172" t="str">
        <x:f>IF(A87="","",IFERROR(INDEX(Frozen_Predictions!$N$4:$N$203,MATCH(A87,Frozen_Predictions!$A$4:$A$203,0)),""))</x:f>
      </x:c>
      <x:c r="U87" s="172" t="str">
        <x:f>IF(A87="","",IFERROR(INDEX(Frozen_Predictions!$O$4:$O$203,MATCH(A87,Frozen_Predictions!$A$4:$A$203,0)),""))</x:f>
      </x:c>
      <x:c r="V87" s="172" t="str">
        <x:f>IF(A87="","",IFERROR(INDEX(Frozen_Predictions!$M$4:$M$203,MATCH(A87,Frozen_Predictions!$A$4:$A$203,0)),""))</x:f>
      </x:c>
      <x:c r="W87" s="175"/>
      <x:c r="X87" s="172" t="str">
        <x:f>IF(A87="","",IF(NOT(COUNTIFS(Frozen_Predictions!$A$4:$A$203,A87)=1),"SNAPSHOT ID INVALID",IFERROR(IF(NOT(AND(INDEX(Frozen_Predictions!$Q$4:$Q$203,MATCH(A87,Frozen_Predictions!$A$4:$A$203,0))="DA",ISNUMBER(INDEX(Frozen_Predictions!$B$4:$B$203,MATCH(A87,Frozen_Predictions!$A$4:$A$203,0))),ISNUMBER(INDEX(Frozen_Predictions!$C$4:$C$203,MATCH(A87,Frozen_Predictions!$A$4:$A$203,0))),INDEX(Frozen_Predictions!$B$4:$B$203,MATCH(A87,Frozen_Predictions!$A$4:$A$203,0))&lt;INDEX(Frozen_Predictions!$C$4:$C$203,MATCH(A87,Frozen_Predictions!$A$4:$A$203,0)),INDEX(Frozen_Predictions!$V$4:$V$203,MATCH(A87,Frozen_Predictions!$A$4:$A$203,0))="READY",INDEX(Frozen_Predictions!$O$4:$O$203,MATCH(A87,Frozen_Predictions!$A$4:$A$203,0))="PASS",INDEX(Frozen_Predictions!$J$4:$J$203,MATCH(A87,Frozen_Predictions!$A$4:$A$203,0))=Under_LineCal_v9!$B$45,COUNTIFS(Frozen_Predictions!$A$4:$A$203,A87,Frozen_Predictions!$L$4:$L$203,"&lt;&gt;",Frozen_Predictions!$L$4:$L$203,"&gt;=0",Frozen_Predictions!$L$4:$L$203,"&lt;=1")=1,COUNTIFS($A$4:$A$203,A87)=1)),"SNAPSHOT NOT VALID",IF(AND(ISNUMBER(I87),I87&gt;=0,I87&lt;=1,ISNUMBER(N87),P87&lt;&gt;"",ISNUMBER(Q87),Q87&gt;=B87,OR(G87="U3.5",G87="U4.5",G87="U5.5")),"SETTLED","PENDING RESULT")),"SNAPSHOT NOT VALID")))</x:f>
      </x:c>
    </x:row>
    <x:row r="88" ht="23" customHeight="1">
      <x:c r="A88" s="175"/>
      <x:c r="B88" s="200" t="str">
        <x:f>IF(A88="","",IFERROR(INDEX(Frozen_Predictions!$C$4:$C$203,MATCH(A88,Frozen_Predictions!$A$4:$A$203,0)),""))</x:f>
      </x:c>
      <x:c r="C88" s="172" t="str">
        <x:f>IF(A88="","",IFERROR(INDEX(Frozen_Predictions!$E$4:$E$203,MATCH(A88,Frozen_Predictions!$A$4:$A$203,0)),""))</x:f>
      </x:c>
      <x:c r="D88" s="172" t="str">
        <x:f>IF(A88="","",IFERROR(INDEX(Frozen_Predictions!$F$4:$F$203,MATCH(A88,Frozen_Predictions!$A$4:$A$203,0)),""))</x:f>
      </x:c>
      <x:c r="E88" s="172" t="str">
        <x:f>IF(A88="","",IFERROR(INDEX(Frozen_Predictions!$G$4:$G$203,MATCH(A88,Frozen_Predictions!$A$4:$A$203,0)),""))</x:f>
      </x:c>
      <x:c r="F88" s="172" t="str">
        <x:f>IF(A88="","",IFERROR(INDEX(Frozen_Predictions!$H$4:$H$203,MATCH(A88,Frozen_Predictions!$A$4:$A$203,0)),""))</x:f>
      </x:c>
      <x:c r="G88" s="172" t="str">
        <x:f>IF(A88="","",IFERROR(INDEX(Frozen_Predictions!$I$4:$I$203,MATCH(A88,Frozen_Predictions!$A$4:$A$203,0)),""))</x:f>
      </x:c>
      <x:c r="H88" s="172" t="str">
        <x:f>IF(A88="","",IFERROR(INDEX(Frozen_Predictions!$J$4:$J$203,MATCH(A88,Frozen_Predictions!$A$4:$A$203,0)),""))</x:f>
      </x:c>
      <x:c r="I88" s="192" t="str">
        <x:f>IF(A88="","",IFERROR(INDEX(Frozen_Predictions!$L$4:$L$203,MATCH(A88,Frozen_Predictions!$A$4:$A$203,0)),""))</x:f>
      </x:c>
      <x:c r="J88" s="172" t="str">
        <x:f>IF(X88&lt;&gt;"SETTLED","",IF(N88&lt;=IF(G88="U3.5",3,IF(G88="U4.5",4,5)),1,0))</x:f>
      </x:c>
      <x:c r="K88" s="195" t="str">
        <x:f>IF(X88&lt;&gt;"SETTLED","",IF(AND(OR(V88="DEFENSIV",V88="PRUDENT",V88="MODERAT",V88="RIDICAT"),ISNUMBER(INDEX(Frozen_Predictions!$Y$4:$Y$203,MATCH(A88,Frozen_Predictions!$A$4:$A$203,0))),INDEX(Frozen_Predictions!$Y$4:$Y$203,MATCH(A88,Frozen_Predictions!$A$4:$A$203,0))&gt;1),IF(J88=1,INDEX(Frozen_Predictions!$Y$4:$Y$203,MATCH(A88,Frozen_Predictions!$A$4:$A$203,0))-1,-1),""))</x:f>
      </x:c>
      <x:c r="L88" s="175"/>
      <x:c r="M88" s="175"/>
      <x:c r="N88" s="172" t="str">
        <x:f>IFERROR(IF(AND(ISNUMBER(L88),ISNUMBER(M88),L88&gt;=0,M88&gt;=0,INT(L88)=L88,INT(M88)=M88),L88+M88,""),"")</x:f>
      </x:c>
      <x:c r="O88" s="172" t="str">
        <x:f>IF(X88&lt;&gt;"SETTLED","",IF(J88=1,"WIN",IF(N88=IF(G88="U3.5",4,IF(G88="U4.5",5,6)),"NEAR TAIL","SEVERE TAIL")))</x:f>
      </x:c>
      <x:c r="P88" s="175"/>
      <x:c r="Q88" s="177"/>
      <x:c r="R88" s="213" t="str">
        <x:f>IF(X88&lt;&gt;"SETTLED","",(I88-J88)^2)</x:f>
      </x:c>
      <x:c r="S88" s="213" t="str">
        <x:f>IF(X88&lt;&gt;"SETTLED","",-(J88*LN(MAX(0.000001,MIN(0.999999,I88)))+(1-J88)*LN(MAX(0.000001,MIN(0.999999,1-I88)))))</x:f>
      </x:c>
      <x:c r="T88" s="172" t="str">
        <x:f>IF(A88="","",IFERROR(INDEX(Frozen_Predictions!$N$4:$N$203,MATCH(A88,Frozen_Predictions!$A$4:$A$203,0)),""))</x:f>
      </x:c>
      <x:c r="U88" s="172" t="str">
        <x:f>IF(A88="","",IFERROR(INDEX(Frozen_Predictions!$O$4:$O$203,MATCH(A88,Frozen_Predictions!$A$4:$A$203,0)),""))</x:f>
      </x:c>
      <x:c r="V88" s="172" t="str">
        <x:f>IF(A88="","",IFERROR(INDEX(Frozen_Predictions!$M$4:$M$203,MATCH(A88,Frozen_Predictions!$A$4:$A$203,0)),""))</x:f>
      </x:c>
      <x:c r="W88" s="175"/>
      <x:c r="X88" s="172" t="str">
        <x:f>IF(A88="","",IF(NOT(COUNTIFS(Frozen_Predictions!$A$4:$A$203,A88)=1),"SNAPSHOT ID INVALID",IFERROR(IF(NOT(AND(INDEX(Frozen_Predictions!$Q$4:$Q$203,MATCH(A88,Frozen_Predictions!$A$4:$A$203,0))="DA",ISNUMBER(INDEX(Frozen_Predictions!$B$4:$B$203,MATCH(A88,Frozen_Predictions!$A$4:$A$203,0))),ISNUMBER(INDEX(Frozen_Predictions!$C$4:$C$203,MATCH(A88,Frozen_Predictions!$A$4:$A$203,0))),INDEX(Frozen_Predictions!$B$4:$B$203,MATCH(A88,Frozen_Predictions!$A$4:$A$203,0))&lt;INDEX(Frozen_Predictions!$C$4:$C$203,MATCH(A88,Frozen_Predictions!$A$4:$A$203,0)),INDEX(Frozen_Predictions!$V$4:$V$203,MATCH(A88,Frozen_Predictions!$A$4:$A$203,0))="READY",INDEX(Frozen_Predictions!$O$4:$O$203,MATCH(A88,Frozen_Predictions!$A$4:$A$203,0))="PASS",INDEX(Frozen_Predictions!$J$4:$J$203,MATCH(A88,Frozen_Predictions!$A$4:$A$203,0))=Under_LineCal_v9!$B$45,COUNTIFS(Frozen_Predictions!$A$4:$A$203,A88,Frozen_Predictions!$L$4:$L$203,"&lt;&gt;",Frozen_Predictions!$L$4:$L$203,"&gt;=0",Frozen_Predictions!$L$4:$L$203,"&lt;=1")=1,COUNTIFS($A$4:$A$203,A88)=1)),"SNAPSHOT NOT VALID",IF(AND(ISNUMBER(I88),I88&gt;=0,I88&lt;=1,ISNUMBER(N88),P88&lt;&gt;"",ISNUMBER(Q88),Q88&gt;=B88,OR(G88="U3.5",G88="U4.5",G88="U5.5")),"SETTLED","PENDING RESULT")),"SNAPSHOT NOT VALID")))</x:f>
      </x:c>
    </x:row>
    <x:row r="89" ht="23" customHeight="1">
      <x:c r="A89" s="175"/>
      <x:c r="B89" s="200" t="str">
        <x:f>IF(A89="","",IFERROR(INDEX(Frozen_Predictions!$C$4:$C$203,MATCH(A89,Frozen_Predictions!$A$4:$A$203,0)),""))</x:f>
      </x:c>
      <x:c r="C89" s="172" t="str">
        <x:f>IF(A89="","",IFERROR(INDEX(Frozen_Predictions!$E$4:$E$203,MATCH(A89,Frozen_Predictions!$A$4:$A$203,0)),""))</x:f>
      </x:c>
      <x:c r="D89" s="172" t="str">
        <x:f>IF(A89="","",IFERROR(INDEX(Frozen_Predictions!$F$4:$F$203,MATCH(A89,Frozen_Predictions!$A$4:$A$203,0)),""))</x:f>
      </x:c>
      <x:c r="E89" s="172" t="str">
        <x:f>IF(A89="","",IFERROR(INDEX(Frozen_Predictions!$G$4:$G$203,MATCH(A89,Frozen_Predictions!$A$4:$A$203,0)),""))</x:f>
      </x:c>
      <x:c r="F89" s="172" t="str">
        <x:f>IF(A89="","",IFERROR(INDEX(Frozen_Predictions!$H$4:$H$203,MATCH(A89,Frozen_Predictions!$A$4:$A$203,0)),""))</x:f>
      </x:c>
      <x:c r="G89" s="172" t="str">
        <x:f>IF(A89="","",IFERROR(INDEX(Frozen_Predictions!$I$4:$I$203,MATCH(A89,Frozen_Predictions!$A$4:$A$203,0)),""))</x:f>
      </x:c>
      <x:c r="H89" s="172" t="str">
        <x:f>IF(A89="","",IFERROR(INDEX(Frozen_Predictions!$J$4:$J$203,MATCH(A89,Frozen_Predictions!$A$4:$A$203,0)),""))</x:f>
      </x:c>
      <x:c r="I89" s="192" t="str">
        <x:f>IF(A89="","",IFERROR(INDEX(Frozen_Predictions!$L$4:$L$203,MATCH(A89,Frozen_Predictions!$A$4:$A$203,0)),""))</x:f>
      </x:c>
      <x:c r="J89" s="172" t="str">
        <x:f>IF(X89&lt;&gt;"SETTLED","",IF(N89&lt;=IF(G89="U3.5",3,IF(G89="U4.5",4,5)),1,0))</x:f>
      </x:c>
      <x:c r="K89" s="195" t="str">
        <x:f>IF(X89&lt;&gt;"SETTLED","",IF(AND(OR(V89="DEFENSIV",V89="PRUDENT",V89="MODERAT",V89="RIDICAT"),ISNUMBER(INDEX(Frozen_Predictions!$Y$4:$Y$203,MATCH(A89,Frozen_Predictions!$A$4:$A$203,0))),INDEX(Frozen_Predictions!$Y$4:$Y$203,MATCH(A89,Frozen_Predictions!$A$4:$A$203,0))&gt;1),IF(J89=1,INDEX(Frozen_Predictions!$Y$4:$Y$203,MATCH(A89,Frozen_Predictions!$A$4:$A$203,0))-1,-1),""))</x:f>
      </x:c>
      <x:c r="L89" s="175"/>
      <x:c r="M89" s="175"/>
      <x:c r="N89" s="172" t="str">
        <x:f>IFERROR(IF(AND(ISNUMBER(L89),ISNUMBER(M89),L89&gt;=0,M89&gt;=0,INT(L89)=L89,INT(M89)=M89),L89+M89,""),"")</x:f>
      </x:c>
      <x:c r="O89" s="172" t="str">
        <x:f>IF(X89&lt;&gt;"SETTLED","",IF(J89=1,"WIN",IF(N89=IF(G89="U3.5",4,IF(G89="U4.5",5,6)),"NEAR TAIL","SEVERE TAIL")))</x:f>
      </x:c>
      <x:c r="P89" s="175"/>
      <x:c r="Q89" s="177"/>
      <x:c r="R89" s="213" t="str">
        <x:f>IF(X89&lt;&gt;"SETTLED","",(I89-J89)^2)</x:f>
      </x:c>
      <x:c r="S89" s="213" t="str">
        <x:f>IF(X89&lt;&gt;"SETTLED","",-(J89*LN(MAX(0.000001,MIN(0.999999,I89)))+(1-J89)*LN(MAX(0.000001,MIN(0.999999,1-I89)))))</x:f>
      </x:c>
      <x:c r="T89" s="172" t="str">
        <x:f>IF(A89="","",IFERROR(INDEX(Frozen_Predictions!$N$4:$N$203,MATCH(A89,Frozen_Predictions!$A$4:$A$203,0)),""))</x:f>
      </x:c>
      <x:c r="U89" s="172" t="str">
        <x:f>IF(A89="","",IFERROR(INDEX(Frozen_Predictions!$O$4:$O$203,MATCH(A89,Frozen_Predictions!$A$4:$A$203,0)),""))</x:f>
      </x:c>
      <x:c r="V89" s="172" t="str">
        <x:f>IF(A89="","",IFERROR(INDEX(Frozen_Predictions!$M$4:$M$203,MATCH(A89,Frozen_Predictions!$A$4:$A$203,0)),""))</x:f>
      </x:c>
      <x:c r="W89" s="175"/>
      <x:c r="X89" s="172" t="str">
        <x:f>IF(A89="","",IF(NOT(COUNTIFS(Frozen_Predictions!$A$4:$A$203,A89)=1),"SNAPSHOT ID INVALID",IFERROR(IF(NOT(AND(INDEX(Frozen_Predictions!$Q$4:$Q$203,MATCH(A89,Frozen_Predictions!$A$4:$A$203,0))="DA",ISNUMBER(INDEX(Frozen_Predictions!$B$4:$B$203,MATCH(A89,Frozen_Predictions!$A$4:$A$203,0))),ISNUMBER(INDEX(Frozen_Predictions!$C$4:$C$203,MATCH(A89,Frozen_Predictions!$A$4:$A$203,0))),INDEX(Frozen_Predictions!$B$4:$B$203,MATCH(A89,Frozen_Predictions!$A$4:$A$203,0))&lt;INDEX(Frozen_Predictions!$C$4:$C$203,MATCH(A89,Frozen_Predictions!$A$4:$A$203,0)),INDEX(Frozen_Predictions!$V$4:$V$203,MATCH(A89,Frozen_Predictions!$A$4:$A$203,0))="READY",INDEX(Frozen_Predictions!$O$4:$O$203,MATCH(A89,Frozen_Predictions!$A$4:$A$203,0))="PASS",INDEX(Frozen_Predictions!$J$4:$J$203,MATCH(A89,Frozen_Predictions!$A$4:$A$203,0))=Under_LineCal_v9!$B$45,COUNTIFS(Frozen_Predictions!$A$4:$A$203,A89,Frozen_Predictions!$L$4:$L$203,"&lt;&gt;",Frozen_Predictions!$L$4:$L$203,"&gt;=0",Frozen_Predictions!$L$4:$L$203,"&lt;=1")=1,COUNTIFS($A$4:$A$203,A89)=1)),"SNAPSHOT NOT VALID",IF(AND(ISNUMBER(I89),I89&gt;=0,I89&lt;=1,ISNUMBER(N89),P89&lt;&gt;"",ISNUMBER(Q89),Q89&gt;=B89,OR(G89="U3.5",G89="U4.5",G89="U5.5")),"SETTLED","PENDING RESULT")),"SNAPSHOT NOT VALID")))</x:f>
      </x:c>
    </x:row>
    <x:row r="90" ht="23" customHeight="1">
      <x:c r="A90" s="175"/>
      <x:c r="B90" s="200" t="str">
        <x:f>IF(A90="","",IFERROR(INDEX(Frozen_Predictions!$C$4:$C$203,MATCH(A90,Frozen_Predictions!$A$4:$A$203,0)),""))</x:f>
      </x:c>
      <x:c r="C90" s="172" t="str">
        <x:f>IF(A90="","",IFERROR(INDEX(Frozen_Predictions!$E$4:$E$203,MATCH(A90,Frozen_Predictions!$A$4:$A$203,0)),""))</x:f>
      </x:c>
      <x:c r="D90" s="172" t="str">
        <x:f>IF(A90="","",IFERROR(INDEX(Frozen_Predictions!$F$4:$F$203,MATCH(A90,Frozen_Predictions!$A$4:$A$203,0)),""))</x:f>
      </x:c>
      <x:c r="E90" s="172" t="str">
        <x:f>IF(A90="","",IFERROR(INDEX(Frozen_Predictions!$G$4:$G$203,MATCH(A90,Frozen_Predictions!$A$4:$A$203,0)),""))</x:f>
      </x:c>
      <x:c r="F90" s="172" t="str">
        <x:f>IF(A90="","",IFERROR(INDEX(Frozen_Predictions!$H$4:$H$203,MATCH(A90,Frozen_Predictions!$A$4:$A$203,0)),""))</x:f>
      </x:c>
      <x:c r="G90" s="172" t="str">
        <x:f>IF(A90="","",IFERROR(INDEX(Frozen_Predictions!$I$4:$I$203,MATCH(A90,Frozen_Predictions!$A$4:$A$203,0)),""))</x:f>
      </x:c>
      <x:c r="H90" s="172" t="str">
        <x:f>IF(A90="","",IFERROR(INDEX(Frozen_Predictions!$J$4:$J$203,MATCH(A90,Frozen_Predictions!$A$4:$A$203,0)),""))</x:f>
      </x:c>
      <x:c r="I90" s="192" t="str">
        <x:f>IF(A90="","",IFERROR(INDEX(Frozen_Predictions!$L$4:$L$203,MATCH(A90,Frozen_Predictions!$A$4:$A$203,0)),""))</x:f>
      </x:c>
      <x:c r="J90" s="172" t="str">
        <x:f>IF(X90&lt;&gt;"SETTLED","",IF(N90&lt;=IF(G90="U3.5",3,IF(G90="U4.5",4,5)),1,0))</x:f>
      </x:c>
      <x:c r="K90" s="195" t="str">
        <x:f>IF(X90&lt;&gt;"SETTLED","",IF(AND(OR(V90="DEFENSIV",V90="PRUDENT",V90="MODERAT",V90="RIDICAT"),ISNUMBER(INDEX(Frozen_Predictions!$Y$4:$Y$203,MATCH(A90,Frozen_Predictions!$A$4:$A$203,0))),INDEX(Frozen_Predictions!$Y$4:$Y$203,MATCH(A90,Frozen_Predictions!$A$4:$A$203,0))&gt;1),IF(J90=1,INDEX(Frozen_Predictions!$Y$4:$Y$203,MATCH(A90,Frozen_Predictions!$A$4:$A$203,0))-1,-1),""))</x:f>
      </x:c>
      <x:c r="L90" s="175"/>
      <x:c r="M90" s="175"/>
      <x:c r="N90" s="172" t="str">
        <x:f>IFERROR(IF(AND(ISNUMBER(L90),ISNUMBER(M90),L90&gt;=0,M90&gt;=0,INT(L90)=L90,INT(M90)=M90),L90+M90,""),"")</x:f>
      </x:c>
      <x:c r="O90" s="172" t="str">
        <x:f>IF(X90&lt;&gt;"SETTLED","",IF(J90=1,"WIN",IF(N90=IF(G90="U3.5",4,IF(G90="U4.5",5,6)),"NEAR TAIL","SEVERE TAIL")))</x:f>
      </x:c>
      <x:c r="P90" s="175"/>
      <x:c r="Q90" s="177"/>
      <x:c r="R90" s="213" t="str">
        <x:f>IF(X90&lt;&gt;"SETTLED","",(I90-J90)^2)</x:f>
      </x:c>
      <x:c r="S90" s="213" t="str">
        <x:f>IF(X90&lt;&gt;"SETTLED","",-(J90*LN(MAX(0.000001,MIN(0.999999,I90)))+(1-J90)*LN(MAX(0.000001,MIN(0.999999,1-I90)))))</x:f>
      </x:c>
      <x:c r="T90" s="172" t="str">
        <x:f>IF(A90="","",IFERROR(INDEX(Frozen_Predictions!$N$4:$N$203,MATCH(A90,Frozen_Predictions!$A$4:$A$203,0)),""))</x:f>
      </x:c>
      <x:c r="U90" s="172" t="str">
        <x:f>IF(A90="","",IFERROR(INDEX(Frozen_Predictions!$O$4:$O$203,MATCH(A90,Frozen_Predictions!$A$4:$A$203,0)),""))</x:f>
      </x:c>
      <x:c r="V90" s="172" t="str">
        <x:f>IF(A90="","",IFERROR(INDEX(Frozen_Predictions!$M$4:$M$203,MATCH(A90,Frozen_Predictions!$A$4:$A$203,0)),""))</x:f>
      </x:c>
      <x:c r="W90" s="175"/>
      <x:c r="X90" s="172" t="str">
        <x:f>IF(A90="","",IF(NOT(COUNTIFS(Frozen_Predictions!$A$4:$A$203,A90)=1),"SNAPSHOT ID INVALID",IFERROR(IF(NOT(AND(INDEX(Frozen_Predictions!$Q$4:$Q$203,MATCH(A90,Frozen_Predictions!$A$4:$A$203,0))="DA",ISNUMBER(INDEX(Frozen_Predictions!$B$4:$B$203,MATCH(A90,Frozen_Predictions!$A$4:$A$203,0))),ISNUMBER(INDEX(Frozen_Predictions!$C$4:$C$203,MATCH(A90,Frozen_Predictions!$A$4:$A$203,0))),INDEX(Frozen_Predictions!$B$4:$B$203,MATCH(A90,Frozen_Predictions!$A$4:$A$203,0))&lt;INDEX(Frozen_Predictions!$C$4:$C$203,MATCH(A90,Frozen_Predictions!$A$4:$A$203,0)),INDEX(Frozen_Predictions!$V$4:$V$203,MATCH(A90,Frozen_Predictions!$A$4:$A$203,0))="READY",INDEX(Frozen_Predictions!$O$4:$O$203,MATCH(A90,Frozen_Predictions!$A$4:$A$203,0))="PASS",INDEX(Frozen_Predictions!$J$4:$J$203,MATCH(A90,Frozen_Predictions!$A$4:$A$203,0))=Under_LineCal_v9!$B$45,COUNTIFS(Frozen_Predictions!$A$4:$A$203,A90,Frozen_Predictions!$L$4:$L$203,"&lt;&gt;",Frozen_Predictions!$L$4:$L$203,"&gt;=0",Frozen_Predictions!$L$4:$L$203,"&lt;=1")=1,COUNTIFS($A$4:$A$203,A90)=1)),"SNAPSHOT NOT VALID",IF(AND(ISNUMBER(I90),I90&gt;=0,I90&lt;=1,ISNUMBER(N90),P90&lt;&gt;"",ISNUMBER(Q90),Q90&gt;=B90,OR(G90="U3.5",G90="U4.5",G90="U5.5")),"SETTLED","PENDING RESULT")),"SNAPSHOT NOT VALID")))</x:f>
      </x:c>
    </x:row>
    <x:row r="91" ht="23" customHeight="1">
      <x:c r="A91" s="175"/>
      <x:c r="B91" s="200" t="str">
        <x:f>IF(A91="","",IFERROR(INDEX(Frozen_Predictions!$C$4:$C$203,MATCH(A91,Frozen_Predictions!$A$4:$A$203,0)),""))</x:f>
      </x:c>
      <x:c r="C91" s="172" t="str">
        <x:f>IF(A91="","",IFERROR(INDEX(Frozen_Predictions!$E$4:$E$203,MATCH(A91,Frozen_Predictions!$A$4:$A$203,0)),""))</x:f>
      </x:c>
      <x:c r="D91" s="172" t="str">
        <x:f>IF(A91="","",IFERROR(INDEX(Frozen_Predictions!$F$4:$F$203,MATCH(A91,Frozen_Predictions!$A$4:$A$203,0)),""))</x:f>
      </x:c>
      <x:c r="E91" s="172" t="str">
        <x:f>IF(A91="","",IFERROR(INDEX(Frozen_Predictions!$G$4:$G$203,MATCH(A91,Frozen_Predictions!$A$4:$A$203,0)),""))</x:f>
      </x:c>
      <x:c r="F91" s="172" t="str">
        <x:f>IF(A91="","",IFERROR(INDEX(Frozen_Predictions!$H$4:$H$203,MATCH(A91,Frozen_Predictions!$A$4:$A$203,0)),""))</x:f>
      </x:c>
      <x:c r="G91" s="172" t="str">
        <x:f>IF(A91="","",IFERROR(INDEX(Frozen_Predictions!$I$4:$I$203,MATCH(A91,Frozen_Predictions!$A$4:$A$203,0)),""))</x:f>
      </x:c>
      <x:c r="H91" s="172" t="str">
        <x:f>IF(A91="","",IFERROR(INDEX(Frozen_Predictions!$J$4:$J$203,MATCH(A91,Frozen_Predictions!$A$4:$A$203,0)),""))</x:f>
      </x:c>
      <x:c r="I91" s="192" t="str">
        <x:f>IF(A91="","",IFERROR(INDEX(Frozen_Predictions!$L$4:$L$203,MATCH(A91,Frozen_Predictions!$A$4:$A$203,0)),""))</x:f>
      </x:c>
      <x:c r="J91" s="172" t="str">
        <x:f>IF(X91&lt;&gt;"SETTLED","",IF(N91&lt;=IF(G91="U3.5",3,IF(G91="U4.5",4,5)),1,0))</x:f>
      </x:c>
      <x:c r="K91" s="195" t="str">
        <x:f>IF(X91&lt;&gt;"SETTLED","",IF(AND(OR(V91="DEFENSIV",V91="PRUDENT",V91="MODERAT",V91="RIDICAT"),ISNUMBER(INDEX(Frozen_Predictions!$Y$4:$Y$203,MATCH(A91,Frozen_Predictions!$A$4:$A$203,0))),INDEX(Frozen_Predictions!$Y$4:$Y$203,MATCH(A91,Frozen_Predictions!$A$4:$A$203,0))&gt;1),IF(J91=1,INDEX(Frozen_Predictions!$Y$4:$Y$203,MATCH(A91,Frozen_Predictions!$A$4:$A$203,0))-1,-1),""))</x:f>
      </x:c>
      <x:c r="L91" s="175"/>
      <x:c r="M91" s="175"/>
      <x:c r="N91" s="172" t="str">
        <x:f>IFERROR(IF(AND(ISNUMBER(L91),ISNUMBER(M91),L91&gt;=0,M91&gt;=0,INT(L91)=L91,INT(M91)=M91),L91+M91,""),"")</x:f>
      </x:c>
      <x:c r="O91" s="172" t="str">
        <x:f>IF(X91&lt;&gt;"SETTLED","",IF(J91=1,"WIN",IF(N91=IF(G91="U3.5",4,IF(G91="U4.5",5,6)),"NEAR TAIL","SEVERE TAIL")))</x:f>
      </x:c>
      <x:c r="P91" s="175"/>
      <x:c r="Q91" s="177"/>
      <x:c r="R91" s="213" t="str">
        <x:f>IF(X91&lt;&gt;"SETTLED","",(I91-J91)^2)</x:f>
      </x:c>
      <x:c r="S91" s="213" t="str">
        <x:f>IF(X91&lt;&gt;"SETTLED","",-(J91*LN(MAX(0.000001,MIN(0.999999,I91)))+(1-J91)*LN(MAX(0.000001,MIN(0.999999,1-I91)))))</x:f>
      </x:c>
      <x:c r="T91" s="172" t="str">
        <x:f>IF(A91="","",IFERROR(INDEX(Frozen_Predictions!$N$4:$N$203,MATCH(A91,Frozen_Predictions!$A$4:$A$203,0)),""))</x:f>
      </x:c>
      <x:c r="U91" s="172" t="str">
        <x:f>IF(A91="","",IFERROR(INDEX(Frozen_Predictions!$O$4:$O$203,MATCH(A91,Frozen_Predictions!$A$4:$A$203,0)),""))</x:f>
      </x:c>
      <x:c r="V91" s="172" t="str">
        <x:f>IF(A91="","",IFERROR(INDEX(Frozen_Predictions!$M$4:$M$203,MATCH(A91,Frozen_Predictions!$A$4:$A$203,0)),""))</x:f>
      </x:c>
      <x:c r="W91" s="175"/>
      <x:c r="X91" s="172" t="str">
        <x:f>IF(A91="","",IF(NOT(COUNTIFS(Frozen_Predictions!$A$4:$A$203,A91)=1),"SNAPSHOT ID INVALID",IFERROR(IF(NOT(AND(INDEX(Frozen_Predictions!$Q$4:$Q$203,MATCH(A91,Frozen_Predictions!$A$4:$A$203,0))="DA",ISNUMBER(INDEX(Frozen_Predictions!$B$4:$B$203,MATCH(A91,Frozen_Predictions!$A$4:$A$203,0))),ISNUMBER(INDEX(Frozen_Predictions!$C$4:$C$203,MATCH(A91,Frozen_Predictions!$A$4:$A$203,0))),INDEX(Frozen_Predictions!$B$4:$B$203,MATCH(A91,Frozen_Predictions!$A$4:$A$203,0))&lt;INDEX(Frozen_Predictions!$C$4:$C$203,MATCH(A91,Frozen_Predictions!$A$4:$A$203,0)),INDEX(Frozen_Predictions!$V$4:$V$203,MATCH(A91,Frozen_Predictions!$A$4:$A$203,0))="READY",INDEX(Frozen_Predictions!$O$4:$O$203,MATCH(A91,Frozen_Predictions!$A$4:$A$203,0))="PASS",INDEX(Frozen_Predictions!$J$4:$J$203,MATCH(A91,Frozen_Predictions!$A$4:$A$203,0))=Under_LineCal_v9!$B$45,COUNTIFS(Frozen_Predictions!$A$4:$A$203,A91,Frozen_Predictions!$L$4:$L$203,"&lt;&gt;",Frozen_Predictions!$L$4:$L$203,"&gt;=0",Frozen_Predictions!$L$4:$L$203,"&lt;=1")=1,COUNTIFS($A$4:$A$203,A91)=1)),"SNAPSHOT NOT VALID",IF(AND(ISNUMBER(I91),I91&gt;=0,I91&lt;=1,ISNUMBER(N91),P91&lt;&gt;"",ISNUMBER(Q91),Q91&gt;=B91,OR(G91="U3.5",G91="U4.5",G91="U5.5")),"SETTLED","PENDING RESULT")),"SNAPSHOT NOT VALID")))</x:f>
      </x:c>
    </x:row>
    <x:row r="92" ht="23" customHeight="1">
      <x:c r="A92" s="175"/>
      <x:c r="B92" s="200" t="str">
        <x:f>IF(A92="","",IFERROR(INDEX(Frozen_Predictions!$C$4:$C$203,MATCH(A92,Frozen_Predictions!$A$4:$A$203,0)),""))</x:f>
      </x:c>
      <x:c r="C92" s="172" t="str">
        <x:f>IF(A92="","",IFERROR(INDEX(Frozen_Predictions!$E$4:$E$203,MATCH(A92,Frozen_Predictions!$A$4:$A$203,0)),""))</x:f>
      </x:c>
      <x:c r="D92" s="172" t="str">
        <x:f>IF(A92="","",IFERROR(INDEX(Frozen_Predictions!$F$4:$F$203,MATCH(A92,Frozen_Predictions!$A$4:$A$203,0)),""))</x:f>
      </x:c>
      <x:c r="E92" s="172" t="str">
        <x:f>IF(A92="","",IFERROR(INDEX(Frozen_Predictions!$G$4:$G$203,MATCH(A92,Frozen_Predictions!$A$4:$A$203,0)),""))</x:f>
      </x:c>
      <x:c r="F92" s="172" t="str">
        <x:f>IF(A92="","",IFERROR(INDEX(Frozen_Predictions!$H$4:$H$203,MATCH(A92,Frozen_Predictions!$A$4:$A$203,0)),""))</x:f>
      </x:c>
      <x:c r="G92" s="172" t="str">
        <x:f>IF(A92="","",IFERROR(INDEX(Frozen_Predictions!$I$4:$I$203,MATCH(A92,Frozen_Predictions!$A$4:$A$203,0)),""))</x:f>
      </x:c>
      <x:c r="H92" s="172" t="str">
        <x:f>IF(A92="","",IFERROR(INDEX(Frozen_Predictions!$J$4:$J$203,MATCH(A92,Frozen_Predictions!$A$4:$A$203,0)),""))</x:f>
      </x:c>
      <x:c r="I92" s="192" t="str">
        <x:f>IF(A92="","",IFERROR(INDEX(Frozen_Predictions!$L$4:$L$203,MATCH(A92,Frozen_Predictions!$A$4:$A$203,0)),""))</x:f>
      </x:c>
      <x:c r="J92" s="172" t="str">
        <x:f>IF(X92&lt;&gt;"SETTLED","",IF(N92&lt;=IF(G92="U3.5",3,IF(G92="U4.5",4,5)),1,0))</x:f>
      </x:c>
      <x:c r="K92" s="195" t="str">
        <x:f>IF(X92&lt;&gt;"SETTLED","",IF(AND(OR(V92="DEFENSIV",V92="PRUDENT",V92="MODERAT",V92="RIDICAT"),ISNUMBER(INDEX(Frozen_Predictions!$Y$4:$Y$203,MATCH(A92,Frozen_Predictions!$A$4:$A$203,0))),INDEX(Frozen_Predictions!$Y$4:$Y$203,MATCH(A92,Frozen_Predictions!$A$4:$A$203,0))&gt;1),IF(J92=1,INDEX(Frozen_Predictions!$Y$4:$Y$203,MATCH(A92,Frozen_Predictions!$A$4:$A$203,0))-1,-1),""))</x:f>
      </x:c>
      <x:c r="L92" s="175"/>
      <x:c r="M92" s="175"/>
      <x:c r="N92" s="172" t="str">
        <x:f>IFERROR(IF(AND(ISNUMBER(L92),ISNUMBER(M92),L92&gt;=0,M92&gt;=0,INT(L92)=L92,INT(M92)=M92),L92+M92,""),"")</x:f>
      </x:c>
      <x:c r="O92" s="172" t="str">
        <x:f>IF(X92&lt;&gt;"SETTLED","",IF(J92=1,"WIN",IF(N92=IF(G92="U3.5",4,IF(G92="U4.5",5,6)),"NEAR TAIL","SEVERE TAIL")))</x:f>
      </x:c>
      <x:c r="P92" s="175"/>
      <x:c r="Q92" s="177"/>
      <x:c r="R92" s="213" t="str">
        <x:f>IF(X92&lt;&gt;"SETTLED","",(I92-J92)^2)</x:f>
      </x:c>
      <x:c r="S92" s="213" t="str">
        <x:f>IF(X92&lt;&gt;"SETTLED","",-(J92*LN(MAX(0.000001,MIN(0.999999,I92)))+(1-J92)*LN(MAX(0.000001,MIN(0.999999,1-I92)))))</x:f>
      </x:c>
      <x:c r="T92" s="172" t="str">
        <x:f>IF(A92="","",IFERROR(INDEX(Frozen_Predictions!$N$4:$N$203,MATCH(A92,Frozen_Predictions!$A$4:$A$203,0)),""))</x:f>
      </x:c>
      <x:c r="U92" s="172" t="str">
        <x:f>IF(A92="","",IFERROR(INDEX(Frozen_Predictions!$O$4:$O$203,MATCH(A92,Frozen_Predictions!$A$4:$A$203,0)),""))</x:f>
      </x:c>
      <x:c r="V92" s="172" t="str">
        <x:f>IF(A92="","",IFERROR(INDEX(Frozen_Predictions!$M$4:$M$203,MATCH(A92,Frozen_Predictions!$A$4:$A$203,0)),""))</x:f>
      </x:c>
      <x:c r="W92" s="175"/>
      <x:c r="X92" s="172" t="str">
        <x:f>IF(A92="","",IF(NOT(COUNTIFS(Frozen_Predictions!$A$4:$A$203,A92)=1),"SNAPSHOT ID INVALID",IFERROR(IF(NOT(AND(INDEX(Frozen_Predictions!$Q$4:$Q$203,MATCH(A92,Frozen_Predictions!$A$4:$A$203,0))="DA",ISNUMBER(INDEX(Frozen_Predictions!$B$4:$B$203,MATCH(A92,Frozen_Predictions!$A$4:$A$203,0))),ISNUMBER(INDEX(Frozen_Predictions!$C$4:$C$203,MATCH(A92,Frozen_Predictions!$A$4:$A$203,0))),INDEX(Frozen_Predictions!$B$4:$B$203,MATCH(A92,Frozen_Predictions!$A$4:$A$203,0))&lt;INDEX(Frozen_Predictions!$C$4:$C$203,MATCH(A92,Frozen_Predictions!$A$4:$A$203,0)),INDEX(Frozen_Predictions!$V$4:$V$203,MATCH(A92,Frozen_Predictions!$A$4:$A$203,0))="READY",INDEX(Frozen_Predictions!$O$4:$O$203,MATCH(A92,Frozen_Predictions!$A$4:$A$203,0))="PASS",INDEX(Frozen_Predictions!$J$4:$J$203,MATCH(A92,Frozen_Predictions!$A$4:$A$203,0))=Under_LineCal_v9!$B$45,COUNTIFS(Frozen_Predictions!$A$4:$A$203,A92,Frozen_Predictions!$L$4:$L$203,"&lt;&gt;",Frozen_Predictions!$L$4:$L$203,"&gt;=0",Frozen_Predictions!$L$4:$L$203,"&lt;=1")=1,COUNTIFS($A$4:$A$203,A92)=1)),"SNAPSHOT NOT VALID",IF(AND(ISNUMBER(I92),I92&gt;=0,I92&lt;=1,ISNUMBER(N92),P92&lt;&gt;"",ISNUMBER(Q92),Q92&gt;=B92,OR(G92="U3.5",G92="U4.5",G92="U5.5")),"SETTLED","PENDING RESULT")),"SNAPSHOT NOT VALID")))</x:f>
      </x:c>
    </x:row>
    <x:row r="93" ht="23" customHeight="1">
      <x:c r="A93" s="175"/>
      <x:c r="B93" s="200" t="str">
        <x:f>IF(A93="","",IFERROR(INDEX(Frozen_Predictions!$C$4:$C$203,MATCH(A93,Frozen_Predictions!$A$4:$A$203,0)),""))</x:f>
      </x:c>
      <x:c r="C93" s="172" t="str">
        <x:f>IF(A93="","",IFERROR(INDEX(Frozen_Predictions!$E$4:$E$203,MATCH(A93,Frozen_Predictions!$A$4:$A$203,0)),""))</x:f>
      </x:c>
      <x:c r="D93" s="172" t="str">
        <x:f>IF(A93="","",IFERROR(INDEX(Frozen_Predictions!$F$4:$F$203,MATCH(A93,Frozen_Predictions!$A$4:$A$203,0)),""))</x:f>
      </x:c>
      <x:c r="E93" s="172" t="str">
        <x:f>IF(A93="","",IFERROR(INDEX(Frozen_Predictions!$G$4:$G$203,MATCH(A93,Frozen_Predictions!$A$4:$A$203,0)),""))</x:f>
      </x:c>
      <x:c r="F93" s="172" t="str">
        <x:f>IF(A93="","",IFERROR(INDEX(Frozen_Predictions!$H$4:$H$203,MATCH(A93,Frozen_Predictions!$A$4:$A$203,0)),""))</x:f>
      </x:c>
      <x:c r="G93" s="172" t="str">
        <x:f>IF(A93="","",IFERROR(INDEX(Frozen_Predictions!$I$4:$I$203,MATCH(A93,Frozen_Predictions!$A$4:$A$203,0)),""))</x:f>
      </x:c>
      <x:c r="H93" s="172" t="str">
        <x:f>IF(A93="","",IFERROR(INDEX(Frozen_Predictions!$J$4:$J$203,MATCH(A93,Frozen_Predictions!$A$4:$A$203,0)),""))</x:f>
      </x:c>
      <x:c r="I93" s="192" t="str">
        <x:f>IF(A93="","",IFERROR(INDEX(Frozen_Predictions!$L$4:$L$203,MATCH(A93,Frozen_Predictions!$A$4:$A$203,0)),""))</x:f>
      </x:c>
      <x:c r="J93" s="172" t="str">
        <x:f>IF(X93&lt;&gt;"SETTLED","",IF(N93&lt;=IF(G93="U3.5",3,IF(G93="U4.5",4,5)),1,0))</x:f>
      </x:c>
      <x:c r="K93" s="195" t="str">
        <x:f>IF(X93&lt;&gt;"SETTLED","",IF(AND(OR(V93="DEFENSIV",V93="PRUDENT",V93="MODERAT",V93="RIDICAT"),ISNUMBER(INDEX(Frozen_Predictions!$Y$4:$Y$203,MATCH(A93,Frozen_Predictions!$A$4:$A$203,0))),INDEX(Frozen_Predictions!$Y$4:$Y$203,MATCH(A93,Frozen_Predictions!$A$4:$A$203,0))&gt;1),IF(J93=1,INDEX(Frozen_Predictions!$Y$4:$Y$203,MATCH(A93,Frozen_Predictions!$A$4:$A$203,0))-1,-1),""))</x:f>
      </x:c>
      <x:c r="L93" s="175"/>
      <x:c r="M93" s="175"/>
      <x:c r="N93" s="172" t="str">
        <x:f>IFERROR(IF(AND(ISNUMBER(L93),ISNUMBER(M93),L93&gt;=0,M93&gt;=0,INT(L93)=L93,INT(M93)=M93),L93+M93,""),"")</x:f>
      </x:c>
      <x:c r="O93" s="172" t="str">
        <x:f>IF(X93&lt;&gt;"SETTLED","",IF(J93=1,"WIN",IF(N93=IF(G93="U3.5",4,IF(G93="U4.5",5,6)),"NEAR TAIL","SEVERE TAIL")))</x:f>
      </x:c>
      <x:c r="P93" s="175"/>
      <x:c r="Q93" s="177"/>
      <x:c r="R93" s="213" t="str">
        <x:f>IF(X93&lt;&gt;"SETTLED","",(I93-J93)^2)</x:f>
      </x:c>
      <x:c r="S93" s="213" t="str">
        <x:f>IF(X93&lt;&gt;"SETTLED","",-(J93*LN(MAX(0.000001,MIN(0.999999,I93)))+(1-J93)*LN(MAX(0.000001,MIN(0.999999,1-I93)))))</x:f>
      </x:c>
      <x:c r="T93" s="172" t="str">
        <x:f>IF(A93="","",IFERROR(INDEX(Frozen_Predictions!$N$4:$N$203,MATCH(A93,Frozen_Predictions!$A$4:$A$203,0)),""))</x:f>
      </x:c>
      <x:c r="U93" s="172" t="str">
        <x:f>IF(A93="","",IFERROR(INDEX(Frozen_Predictions!$O$4:$O$203,MATCH(A93,Frozen_Predictions!$A$4:$A$203,0)),""))</x:f>
      </x:c>
      <x:c r="V93" s="172" t="str">
        <x:f>IF(A93="","",IFERROR(INDEX(Frozen_Predictions!$M$4:$M$203,MATCH(A93,Frozen_Predictions!$A$4:$A$203,0)),""))</x:f>
      </x:c>
      <x:c r="W93" s="175"/>
      <x:c r="X93" s="172" t="str">
        <x:f>IF(A93="","",IF(NOT(COUNTIFS(Frozen_Predictions!$A$4:$A$203,A93)=1),"SNAPSHOT ID INVALID",IFERROR(IF(NOT(AND(INDEX(Frozen_Predictions!$Q$4:$Q$203,MATCH(A93,Frozen_Predictions!$A$4:$A$203,0))="DA",ISNUMBER(INDEX(Frozen_Predictions!$B$4:$B$203,MATCH(A93,Frozen_Predictions!$A$4:$A$203,0))),ISNUMBER(INDEX(Frozen_Predictions!$C$4:$C$203,MATCH(A93,Frozen_Predictions!$A$4:$A$203,0))),INDEX(Frozen_Predictions!$B$4:$B$203,MATCH(A93,Frozen_Predictions!$A$4:$A$203,0))&lt;INDEX(Frozen_Predictions!$C$4:$C$203,MATCH(A93,Frozen_Predictions!$A$4:$A$203,0)),INDEX(Frozen_Predictions!$V$4:$V$203,MATCH(A93,Frozen_Predictions!$A$4:$A$203,0))="READY",INDEX(Frozen_Predictions!$O$4:$O$203,MATCH(A93,Frozen_Predictions!$A$4:$A$203,0))="PASS",INDEX(Frozen_Predictions!$J$4:$J$203,MATCH(A93,Frozen_Predictions!$A$4:$A$203,0))=Under_LineCal_v9!$B$45,COUNTIFS(Frozen_Predictions!$A$4:$A$203,A93,Frozen_Predictions!$L$4:$L$203,"&lt;&gt;",Frozen_Predictions!$L$4:$L$203,"&gt;=0",Frozen_Predictions!$L$4:$L$203,"&lt;=1")=1,COUNTIFS($A$4:$A$203,A93)=1)),"SNAPSHOT NOT VALID",IF(AND(ISNUMBER(I93),I93&gt;=0,I93&lt;=1,ISNUMBER(N93),P93&lt;&gt;"",ISNUMBER(Q93),Q93&gt;=B93,OR(G93="U3.5",G93="U4.5",G93="U5.5")),"SETTLED","PENDING RESULT")),"SNAPSHOT NOT VALID")))</x:f>
      </x:c>
    </x:row>
    <x:row r="94" ht="23" customHeight="1">
      <x:c r="A94" s="175"/>
      <x:c r="B94" s="200" t="str">
        <x:f>IF(A94="","",IFERROR(INDEX(Frozen_Predictions!$C$4:$C$203,MATCH(A94,Frozen_Predictions!$A$4:$A$203,0)),""))</x:f>
      </x:c>
      <x:c r="C94" s="172" t="str">
        <x:f>IF(A94="","",IFERROR(INDEX(Frozen_Predictions!$E$4:$E$203,MATCH(A94,Frozen_Predictions!$A$4:$A$203,0)),""))</x:f>
      </x:c>
      <x:c r="D94" s="172" t="str">
        <x:f>IF(A94="","",IFERROR(INDEX(Frozen_Predictions!$F$4:$F$203,MATCH(A94,Frozen_Predictions!$A$4:$A$203,0)),""))</x:f>
      </x:c>
      <x:c r="E94" s="172" t="str">
        <x:f>IF(A94="","",IFERROR(INDEX(Frozen_Predictions!$G$4:$G$203,MATCH(A94,Frozen_Predictions!$A$4:$A$203,0)),""))</x:f>
      </x:c>
      <x:c r="F94" s="172" t="str">
        <x:f>IF(A94="","",IFERROR(INDEX(Frozen_Predictions!$H$4:$H$203,MATCH(A94,Frozen_Predictions!$A$4:$A$203,0)),""))</x:f>
      </x:c>
      <x:c r="G94" s="172" t="str">
        <x:f>IF(A94="","",IFERROR(INDEX(Frozen_Predictions!$I$4:$I$203,MATCH(A94,Frozen_Predictions!$A$4:$A$203,0)),""))</x:f>
      </x:c>
      <x:c r="H94" s="172" t="str">
        <x:f>IF(A94="","",IFERROR(INDEX(Frozen_Predictions!$J$4:$J$203,MATCH(A94,Frozen_Predictions!$A$4:$A$203,0)),""))</x:f>
      </x:c>
      <x:c r="I94" s="192" t="str">
        <x:f>IF(A94="","",IFERROR(INDEX(Frozen_Predictions!$L$4:$L$203,MATCH(A94,Frozen_Predictions!$A$4:$A$203,0)),""))</x:f>
      </x:c>
      <x:c r="J94" s="172" t="str">
        <x:f>IF(X94&lt;&gt;"SETTLED","",IF(N94&lt;=IF(G94="U3.5",3,IF(G94="U4.5",4,5)),1,0))</x:f>
      </x:c>
      <x:c r="K94" s="195" t="str">
        <x:f>IF(X94&lt;&gt;"SETTLED","",IF(AND(OR(V94="DEFENSIV",V94="PRUDENT",V94="MODERAT",V94="RIDICAT"),ISNUMBER(INDEX(Frozen_Predictions!$Y$4:$Y$203,MATCH(A94,Frozen_Predictions!$A$4:$A$203,0))),INDEX(Frozen_Predictions!$Y$4:$Y$203,MATCH(A94,Frozen_Predictions!$A$4:$A$203,0))&gt;1),IF(J94=1,INDEX(Frozen_Predictions!$Y$4:$Y$203,MATCH(A94,Frozen_Predictions!$A$4:$A$203,0))-1,-1),""))</x:f>
      </x:c>
      <x:c r="L94" s="175"/>
      <x:c r="M94" s="175"/>
      <x:c r="N94" s="172" t="str">
        <x:f>IFERROR(IF(AND(ISNUMBER(L94),ISNUMBER(M94),L94&gt;=0,M94&gt;=0,INT(L94)=L94,INT(M94)=M94),L94+M94,""),"")</x:f>
      </x:c>
      <x:c r="O94" s="172" t="str">
        <x:f>IF(X94&lt;&gt;"SETTLED","",IF(J94=1,"WIN",IF(N94=IF(G94="U3.5",4,IF(G94="U4.5",5,6)),"NEAR TAIL","SEVERE TAIL")))</x:f>
      </x:c>
      <x:c r="P94" s="175"/>
      <x:c r="Q94" s="177"/>
      <x:c r="R94" s="213" t="str">
        <x:f>IF(X94&lt;&gt;"SETTLED","",(I94-J94)^2)</x:f>
      </x:c>
      <x:c r="S94" s="213" t="str">
        <x:f>IF(X94&lt;&gt;"SETTLED","",-(J94*LN(MAX(0.000001,MIN(0.999999,I94)))+(1-J94)*LN(MAX(0.000001,MIN(0.999999,1-I94)))))</x:f>
      </x:c>
      <x:c r="T94" s="172" t="str">
        <x:f>IF(A94="","",IFERROR(INDEX(Frozen_Predictions!$N$4:$N$203,MATCH(A94,Frozen_Predictions!$A$4:$A$203,0)),""))</x:f>
      </x:c>
      <x:c r="U94" s="172" t="str">
        <x:f>IF(A94="","",IFERROR(INDEX(Frozen_Predictions!$O$4:$O$203,MATCH(A94,Frozen_Predictions!$A$4:$A$203,0)),""))</x:f>
      </x:c>
      <x:c r="V94" s="172" t="str">
        <x:f>IF(A94="","",IFERROR(INDEX(Frozen_Predictions!$M$4:$M$203,MATCH(A94,Frozen_Predictions!$A$4:$A$203,0)),""))</x:f>
      </x:c>
      <x:c r="W94" s="175"/>
      <x:c r="X94" s="172" t="str">
        <x:f>IF(A94="","",IF(NOT(COUNTIFS(Frozen_Predictions!$A$4:$A$203,A94)=1),"SNAPSHOT ID INVALID",IFERROR(IF(NOT(AND(INDEX(Frozen_Predictions!$Q$4:$Q$203,MATCH(A94,Frozen_Predictions!$A$4:$A$203,0))="DA",ISNUMBER(INDEX(Frozen_Predictions!$B$4:$B$203,MATCH(A94,Frozen_Predictions!$A$4:$A$203,0))),ISNUMBER(INDEX(Frozen_Predictions!$C$4:$C$203,MATCH(A94,Frozen_Predictions!$A$4:$A$203,0))),INDEX(Frozen_Predictions!$B$4:$B$203,MATCH(A94,Frozen_Predictions!$A$4:$A$203,0))&lt;INDEX(Frozen_Predictions!$C$4:$C$203,MATCH(A94,Frozen_Predictions!$A$4:$A$203,0)),INDEX(Frozen_Predictions!$V$4:$V$203,MATCH(A94,Frozen_Predictions!$A$4:$A$203,0))="READY",INDEX(Frozen_Predictions!$O$4:$O$203,MATCH(A94,Frozen_Predictions!$A$4:$A$203,0))="PASS",INDEX(Frozen_Predictions!$J$4:$J$203,MATCH(A94,Frozen_Predictions!$A$4:$A$203,0))=Under_LineCal_v9!$B$45,COUNTIFS(Frozen_Predictions!$A$4:$A$203,A94,Frozen_Predictions!$L$4:$L$203,"&lt;&gt;",Frozen_Predictions!$L$4:$L$203,"&gt;=0",Frozen_Predictions!$L$4:$L$203,"&lt;=1")=1,COUNTIFS($A$4:$A$203,A94)=1)),"SNAPSHOT NOT VALID",IF(AND(ISNUMBER(I94),I94&gt;=0,I94&lt;=1,ISNUMBER(N94),P94&lt;&gt;"",ISNUMBER(Q94),Q94&gt;=B94,OR(G94="U3.5",G94="U4.5",G94="U5.5")),"SETTLED","PENDING RESULT")),"SNAPSHOT NOT VALID")))</x:f>
      </x:c>
    </x:row>
    <x:row r="95" ht="23" customHeight="1">
      <x:c r="A95" s="175"/>
      <x:c r="B95" s="200" t="str">
        <x:f>IF(A95="","",IFERROR(INDEX(Frozen_Predictions!$C$4:$C$203,MATCH(A95,Frozen_Predictions!$A$4:$A$203,0)),""))</x:f>
      </x:c>
      <x:c r="C95" s="172" t="str">
        <x:f>IF(A95="","",IFERROR(INDEX(Frozen_Predictions!$E$4:$E$203,MATCH(A95,Frozen_Predictions!$A$4:$A$203,0)),""))</x:f>
      </x:c>
      <x:c r="D95" s="172" t="str">
        <x:f>IF(A95="","",IFERROR(INDEX(Frozen_Predictions!$F$4:$F$203,MATCH(A95,Frozen_Predictions!$A$4:$A$203,0)),""))</x:f>
      </x:c>
      <x:c r="E95" s="172" t="str">
        <x:f>IF(A95="","",IFERROR(INDEX(Frozen_Predictions!$G$4:$G$203,MATCH(A95,Frozen_Predictions!$A$4:$A$203,0)),""))</x:f>
      </x:c>
      <x:c r="F95" s="172" t="str">
        <x:f>IF(A95="","",IFERROR(INDEX(Frozen_Predictions!$H$4:$H$203,MATCH(A95,Frozen_Predictions!$A$4:$A$203,0)),""))</x:f>
      </x:c>
      <x:c r="G95" s="172" t="str">
        <x:f>IF(A95="","",IFERROR(INDEX(Frozen_Predictions!$I$4:$I$203,MATCH(A95,Frozen_Predictions!$A$4:$A$203,0)),""))</x:f>
      </x:c>
      <x:c r="H95" s="172" t="str">
        <x:f>IF(A95="","",IFERROR(INDEX(Frozen_Predictions!$J$4:$J$203,MATCH(A95,Frozen_Predictions!$A$4:$A$203,0)),""))</x:f>
      </x:c>
      <x:c r="I95" s="192" t="str">
        <x:f>IF(A95="","",IFERROR(INDEX(Frozen_Predictions!$L$4:$L$203,MATCH(A95,Frozen_Predictions!$A$4:$A$203,0)),""))</x:f>
      </x:c>
      <x:c r="J95" s="172" t="str">
        <x:f>IF(X95&lt;&gt;"SETTLED","",IF(N95&lt;=IF(G95="U3.5",3,IF(G95="U4.5",4,5)),1,0))</x:f>
      </x:c>
      <x:c r="K95" s="195" t="str">
        <x:f>IF(X95&lt;&gt;"SETTLED","",IF(AND(OR(V95="DEFENSIV",V95="PRUDENT",V95="MODERAT",V95="RIDICAT"),ISNUMBER(INDEX(Frozen_Predictions!$Y$4:$Y$203,MATCH(A95,Frozen_Predictions!$A$4:$A$203,0))),INDEX(Frozen_Predictions!$Y$4:$Y$203,MATCH(A95,Frozen_Predictions!$A$4:$A$203,0))&gt;1),IF(J95=1,INDEX(Frozen_Predictions!$Y$4:$Y$203,MATCH(A95,Frozen_Predictions!$A$4:$A$203,0))-1,-1),""))</x:f>
      </x:c>
      <x:c r="L95" s="175"/>
      <x:c r="M95" s="175"/>
      <x:c r="N95" s="172" t="str">
        <x:f>IFERROR(IF(AND(ISNUMBER(L95),ISNUMBER(M95),L95&gt;=0,M95&gt;=0,INT(L95)=L95,INT(M95)=M95),L95+M95,""),"")</x:f>
      </x:c>
      <x:c r="O95" s="172" t="str">
        <x:f>IF(X95&lt;&gt;"SETTLED","",IF(J95=1,"WIN",IF(N95=IF(G95="U3.5",4,IF(G95="U4.5",5,6)),"NEAR TAIL","SEVERE TAIL")))</x:f>
      </x:c>
      <x:c r="P95" s="175"/>
      <x:c r="Q95" s="177"/>
      <x:c r="R95" s="213" t="str">
        <x:f>IF(X95&lt;&gt;"SETTLED","",(I95-J95)^2)</x:f>
      </x:c>
      <x:c r="S95" s="213" t="str">
        <x:f>IF(X95&lt;&gt;"SETTLED","",-(J95*LN(MAX(0.000001,MIN(0.999999,I95)))+(1-J95)*LN(MAX(0.000001,MIN(0.999999,1-I95)))))</x:f>
      </x:c>
      <x:c r="T95" s="172" t="str">
        <x:f>IF(A95="","",IFERROR(INDEX(Frozen_Predictions!$N$4:$N$203,MATCH(A95,Frozen_Predictions!$A$4:$A$203,0)),""))</x:f>
      </x:c>
      <x:c r="U95" s="172" t="str">
        <x:f>IF(A95="","",IFERROR(INDEX(Frozen_Predictions!$O$4:$O$203,MATCH(A95,Frozen_Predictions!$A$4:$A$203,0)),""))</x:f>
      </x:c>
      <x:c r="V95" s="172" t="str">
        <x:f>IF(A95="","",IFERROR(INDEX(Frozen_Predictions!$M$4:$M$203,MATCH(A95,Frozen_Predictions!$A$4:$A$203,0)),""))</x:f>
      </x:c>
      <x:c r="W95" s="175"/>
      <x:c r="X95" s="172" t="str">
        <x:f>IF(A95="","",IF(NOT(COUNTIFS(Frozen_Predictions!$A$4:$A$203,A95)=1),"SNAPSHOT ID INVALID",IFERROR(IF(NOT(AND(INDEX(Frozen_Predictions!$Q$4:$Q$203,MATCH(A95,Frozen_Predictions!$A$4:$A$203,0))="DA",ISNUMBER(INDEX(Frozen_Predictions!$B$4:$B$203,MATCH(A95,Frozen_Predictions!$A$4:$A$203,0))),ISNUMBER(INDEX(Frozen_Predictions!$C$4:$C$203,MATCH(A95,Frozen_Predictions!$A$4:$A$203,0))),INDEX(Frozen_Predictions!$B$4:$B$203,MATCH(A95,Frozen_Predictions!$A$4:$A$203,0))&lt;INDEX(Frozen_Predictions!$C$4:$C$203,MATCH(A95,Frozen_Predictions!$A$4:$A$203,0)),INDEX(Frozen_Predictions!$V$4:$V$203,MATCH(A95,Frozen_Predictions!$A$4:$A$203,0))="READY",INDEX(Frozen_Predictions!$O$4:$O$203,MATCH(A95,Frozen_Predictions!$A$4:$A$203,0))="PASS",INDEX(Frozen_Predictions!$J$4:$J$203,MATCH(A95,Frozen_Predictions!$A$4:$A$203,0))=Under_LineCal_v9!$B$45,COUNTIFS(Frozen_Predictions!$A$4:$A$203,A95,Frozen_Predictions!$L$4:$L$203,"&lt;&gt;",Frozen_Predictions!$L$4:$L$203,"&gt;=0",Frozen_Predictions!$L$4:$L$203,"&lt;=1")=1,COUNTIFS($A$4:$A$203,A95)=1)),"SNAPSHOT NOT VALID",IF(AND(ISNUMBER(I95),I95&gt;=0,I95&lt;=1,ISNUMBER(N95),P95&lt;&gt;"",ISNUMBER(Q95),Q95&gt;=B95,OR(G95="U3.5",G95="U4.5",G95="U5.5")),"SETTLED","PENDING RESULT")),"SNAPSHOT NOT VALID")))</x:f>
      </x:c>
    </x:row>
    <x:row r="96" ht="23" customHeight="1">
      <x:c r="A96" s="175"/>
      <x:c r="B96" s="200" t="str">
        <x:f>IF(A96="","",IFERROR(INDEX(Frozen_Predictions!$C$4:$C$203,MATCH(A96,Frozen_Predictions!$A$4:$A$203,0)),""))</x:f>
      </x:c>
      <x:c r="C96" s="172" t="str">
        <x:f>IF(A96="","",IFERROR(INDEX(Frozen_Predictions!$E$4:$E$203,MATCH(A96,Frozen_Predictions!$A$4:$A$203,0)),""))</x:f>
      </x:c>
      <x:c r="D96" s="172" t="str">
        <x:f>IF(A96="","",IFERROR(INDEX(Frozen_Predictions!$F$4:$F$203,MATCH(A96,Frozen_Predictions!$A$4:$A$203,0)),""))</x:f>
      </x:c>
      <x:c r="E96" s="172" t="str">
        <x:f>IF(A96="","",IFERROR(INDEX(Frozen_Predictions!$G$4:$G$203,MATCH(A96,Frozen_Predictions!$A$4:$A$203,0)),""))</x:f>
      </x:c>
      <x:c r="F96" s="172" t="str">
        <x:f>IF(A96="","",IFERROR(INDEX(Frozen_Predictions!$H$4:$H$203,MATCH(A96,Frozen_Predictions!$A$4:$A$203,0)),""))</x:f>
      </x:c>
      <x:c r="G96" s="172" t="str">
        <x:f>IF(A96="","",IFERROR(INDEX(Frozen_Predictions!$I$4:$I$203,MATCH(A96,Frozen_Predictions!$A$4:$A$203,0)),""))</x:f>
      </x:c>
      <x:c r="H96" s="172" t="str">
        <x:f>IF(A96="","",IFERROR(INDEX(Frozen_Predictions!$J$4:$J$203,MATCH(A96,Frozen_Predictions!$A$4:$A$203,0)),""))</x:f>
      </x:c>
      <x:c r="I96" s="192" t="str">
        <x:f>IF(A96="","",IFERROR(INDEX(Frozen_Predictions!$L$4:$L$203,MATCH(A96,Frozen_Predictions!$A$4:$A$203,0)),""))</x:f>
      </x:c>
      <x:c r="J96" s="172" t="str">
        <x:f>IF(X96&lt;&gt;"SETTLED","",IF(N96&lt;=IF(G96="U3.5",3,IF(G96="U4.5",4,5)),1,0))</x:f>
      </x:c>
      <x:c r="K96" s="195" t="str">
        <x:f>IF(X96&lt;&gt;"SETTLED","",IF(AND(OR(V96="DEFENSIV",V96="PRUDENT",V96="MODERAT",V96="RIDICAT"),ISNUMBER(INDEX(Frozen_Predictions!$Y$4:$Y$203,MATCH(A96,Frozen_Predictions!$A$4:$A$203,0))),INDEX(Frozen_Predictions!$Y$4:$Y$203,MATCH(A96,Frozen_Predictions!$A$4:$A$203,0))&gt;1),IF(J96=1,INDEX(Frozen_Predictions!$Y$4:$Y$203,MATCH(A96,Frozen_Predictions!$A$4:$A$203,0))-1,-1),""))</x:f>
      </x:c>
      <x:c r="L96" s="175"/>
      <x:c r="M96" s="175"/>
      <x:c r="N96" s="172" t="str">
        <x:f>IFERROR(IF(AND(ISNUMBER(L96),ISNUMBER(M96),L96&gt;=0,M96&gt;=0,INT(L96)=L96,INT(M96)=M96),L96+M96,""),"")</x:f>
      </x:c>
      <x:c r="O96" s="172" t="str">
        <x:f>IF(X96&lt;&gt;"SETTLED","",IF(J96=1,"WIN",IF(N96=IF(G96="U3.5",4,IF(G96="U4.5",5,6)),"NEAR TAIL","SEVERE TAIL")))</x:f>
      </x:c>
      <x:c r="P96" s="175"/>
      <x:c r="Q96" s="177"/>
      <x:c r="R96" s="213" t="str">
        <x:f>IF(X96&lt;&gt;"SETTLED","",(I96-J96)^2)</x:f>
      </x:c>
      <x:c r="S96" s="213" t="str">
        <x:f>IF(X96&lt;&gt;"SETTLED","",-(J96*LN(MAX(0.000001,MIN(0.999999,I96)))+(1-J96)*LN(MAX(0.000001,MIN(0.999999,1-I96)))))</x:f>
      </x:c>
      <x:c r="T96" s="172" t="str">
        <x:f>IF(A96="","",IFERROR(INDEX(Frozen_Predictions!$N$4:$N$203,MATCH(A96,Frozen_Predictions!$A$4:$A$203,0)),""))</x:f>
      </x:c>
      <x:c r="U96" s="172" t="str">
        <x:f>IF(A96="","",IFERROR(INDEX(Frozen_Predictions!$O$4:$O$203,MATCH(A96,Frozen_Predictions!$A$4:$A$203,0)),""))</x:f>
      </x:c>
      <x:c r="V96" s="172" t="str">
        <x:f>IF(A96="","",IFERROR(INDEX(Frozen_Predictions!$M$4:$M$203,MATCH(A96,Frozen_Predictions!$A$4:$A$203,0)),""))</x:f>
      </x:c>
      <x:c r="W96" s="175"/>
      <x:c r="X96" s="172" t="str">
        <x:f>IF(A96="","",IF(NOT(COUNTIFS(Frozen_Predictions!$A$4:$A$203,A96)=1),"SNAPSHOT ID INVALID",IFERROR(IF(NOT(AND(INDEX(Frozen_Predictions!$Q$4:$Q$203,MATCH(A96,Frozen_Predictions!$A$4:$A$203,0))="DA",ISNUMBER(INDEX(Frozen_Predictions!$B$4:$B$203,MATCH(A96,Frozen_Predictions!$A$4:$A$203,0))),ISNUMBER(INDEX(Frozen_Predictions!$C$4:$C$203,MATCH(A96,Frozen_Predictions!$A$4:$A$203,0))),INDEX(Frozen_Predictions!$B$4:$B$203,MATCH(A96,Frozen_Predictions!$A$4:$A$203,0))&lt;INDEX(Frozen_Predictions!$C$4:$C$203,MATCH(A96,Frozen_Predictions!$A$4:$A$203,0)),INDEX(Frozen_Predictions!$V$4:$V$203,MATCH(A96,Frozen_Predictions!$A$4:$A$203,0))="READY",INDEX(Frozen_Predictions!$O$4:$O$203,MATCH(A96,Frozen_Predictions!$A$4:$A$203,0))="PASS",INDEX(Frozen_Predictions!$J$4:$J$203,MATCH(A96,Frozen_Predictions!$A$4:$A$203,0))=Under_LineCal_v9!$B$45,COUNTIFS(Frozen_Predictions!$A$4:$A$203,A96,Frozen_Predictions!$L$4:$L$203,"&lt;&gt;",Frozen_Predictions!$L$4:$L$203,"&gt;=0",Frozen_Predictions!$L$4:$L$203,"&lt;=1")=1,COUNTIFS($A$4:$A$203,A96)=1)),"SNAPSHOT NOT VALID",IF(AND(ISNUMBER(I96),I96&gt;=0,I96&lt;=1,ISNUMBER(N96),P96&lt;&gt;"",ISNUMBER(Q96),Q96&gt;=B96,OR(G96="U3.5",G96="U4.5",G96="U5.5")),"SETTLED","PENDING RESULT")),"SNAPSHOT NOT VALID")))</x:f>
      </x:c>
    </x:row>
    <x:row r="97" ht="23" customHeight="1">
      <x:c r="A97" s="175"/>
      <x:c r="B97" s="200" t="str">
        <x:f>IF(A97="","",IFERROR(INDEX(Frozen_Predictions!$C$4:$C$203,MATCH(A97,Frozen_Predictions!$A$4:$A$203,0)),""))</x:f>
      </x:c>
      <x:c r="C97" s="172" t="str">
        <x:f>IF(A97="","",IFERROR(INDEX(Frozen_Predictions!$E$4:$E$203,MATCH(A97,Frozen_Predictions!$A$4:$A$203,0)),""))</x:f>
      </x:c>
      <x:c r="D97" s="172" t="str">
        <x:f>IF(A97="","",IFERROR(INDEX(Frozen_Predictions!$F$4:$F$203,MATCH(A97,Frozen_Predictions!$A$4:$A$203,0)),""))</x:f>
      </x:c>
      <x:c r="E97" s="172" t="str">
        <x:f>IF(A97="","",IFERROR(INDEX(Frozen_Predictions!$G$4:$G$203,MATCH(A97,Frozen_Predictions!$A$4:$A$203,0)),""))</x:f>
      </x:c>
      <x:c r="F97" s="172" t="str">
        <x:f>IF(A97="","",IFERROR(INDEX(Frozen_Predictions!$H$4:$H$203,MATCH(A97,Frozen_Predictions!$A$4:$A$203,0)),""))</x:f>
      </x:c>
      <x:c r="G97" s="172" t="str">
        <x:f>IF(A97="","",IFERROR(INDEX(Frozen_Predictions!$I$4:$I$203,MATCH(A97,Frozen_Predictions!$A$4:$A$203,0)),""))</x:f>
      </x:c>
      <x:c r="H97" s="172" t="str">
        <x:f>IF(A97="","",IFERROR(INDEX(Frozen_Predictions!$J$4:$J$203,MATCH(A97,Frozen_Predictions!$A$4:$A$203,0)),""))</x:f>
      </x:c>
      <x:c r="I97" s="192" t="str">
        <x:f>IF(A97="","",IFERROR(INDEX(Frozen_Predictions!$L$4:$L$203,MATCH(A97,Frozen_Predictions!$A$4:$A$203,0)),""))</x:f>
      </x:c>
      <x:c r="J97" s="172" t="str">
        <x:f>IF(X97&lt;&gt;"SETTLED","",IF(N97&lt;=IF(G97="U3.5",3,IF(G97="U4.5",4,5)),1,0))</x:f>
      </x:c>
      <x:c r="K97" s="195" t="str">
        <x:f>IF(X97&lt;&gt;"SETTLED","",IF(AND(OR(V97="DEFENSIV",V97="PRUDENT",V97="MODERAT",V97="RIDICAT"),ISNUMBER(INDEX(Frozen_Predictions!$Y$4:$Y$203,MATCH(A97,Frozen_Predictions!$A$4:$A$203,0))),INDEX(Frozen_Predictions!$Y$4:$Y$203,MATCH(A97,Frozen_Predictions!$A$4:$A$203,0))&gt;1),IF(J97=1,INDEX(Frozen_Predictions!$Y$4:$Y$203,MATCH(A97,Frozen_Predictions!$A$4:$A$203,0))-1,-1),""))</x:f>
      </x:c>
      <x:c r="L97" s="175"/>
      <x:c r="M97" s="175"/>
      <x:c r="N97" s="172" t="str">
        <x:f>IFERROR(IF(AND(ISNUMBER(L97),ISNUMBER(M97),L97&gt;=0,M97&gt;=0,INT(L97)=L97,INT(M97)=M97),L97+M97,""),"")</x:f>
      </x:c>
      <x:c r="O97" s="172" t="str">
        <x:f>IF(X97&lt;&gt;"SETTLED","",IF(J97=1,"WIN",IF(N97=IF(G97="U3.5",4,IF(G97="U4.5",5,6)),"NEAR TAIL","SEVERE TAIL")))</x:f>
      </x:c>
      <x:c r="P97" s="175"/>
      <x:c r="Q97" s="177"/>
      <x:c r="R97" s="213" t="str">
        <x:f>IF(X97&lt;&gt;"SETTLED","",(I97-J97)^2)</x:f>
      </x:c>
      <x:c r="S97" s="213" t="str">
        <x:f>IF(X97&lt;&gt;"SETTLED","",-(J97*LN(MAX(0.000001,MIN(0.999999,I97)))+(1-J97)*LN(MAX(0.000001,MIN(0.999999,1-I97)))))</x:f>
      </x:c>
      <x:c r="T97" s="172" t="str">
        <x:f>IF(A97="","",IFERROR(INDEX(Frozen_Predictions!$N$4:$N$203,MATCH(A97,Frozen_Predictions!$A$4:$A$203,0)),""))</x:f>
      </x:c>
      <x:c r="U97" s="172" t="str">
        <x:f>IF(A97="","",IFERROR(INDEX(Frozen_Predictions!$O$4:$O$203,MATCH(A97,Frozen_Predictions!$A$4:$A$203,0)),""))</x:f>
      </x:c>
      <x:c r="V97" s="172" t="str">
        <x:f>IF(A97="","",IFERROR(INDEX(Frozen_Predictions!$M$4:$M$203,MATCH(A97,Frozen_Predictions!$A$4:$A$203,0)),""))</x:f>
      </x:c>
      <x:c r="W97" s="175"/>
      <x:c r="X97" s="172" t="str">
        <x:f>IF(A97="","",IF(NOT(COUNTIFS(Frozen_Predictions!$A$4:$A$203,A97)=1),"SNAPSHOT ID INVALID",IFERROR(IF(NOT(AND(INDEX(Frozen_Predictions!$Q$4:$Q$203,MATCH(A97,Frozen_Predictions!$A$4:$A$203,0))="DA",ISNUMBER(INDEX(Frozen_Predictions!$B$4:$B$203,MATCH(A97,Frozen_Predictions!$A$4:$A$203,0))),ISNUMBER(INDEX(Frozen_Predictions!$C$4:$C$203,MATCH(A97,Frozen_Predictions!$A$4:$A$203,0))),INDEX(Frozen_Predictions!$B$4:$B$203,MATCH(A97,Frozen_Predictions!$A$4:$A$203,0))&lt;INDEX(Frozen_Predictions!$C$4:$C$203,MATCH(A97,Frozen_Predictions!$A$4:$A$203,0)),INDEX(Frozen_Predictions!$V$4:$V$203,MATCH(A97,Frozen_Predictions!$A$4:$A$203,0))="READY",INDEX(Frozen_Predictions!$O$4:$O$203,MATCH(A97,Frozen_Predictions!$A$4:$A$203,0))="PASS",INDEX(Frozen_Predictions!$J$4:$J$203,MATCH(A97,Frozen_Predictions!$A$4:$A$203,0))=Under_LineCal_v9!$B$45,COUNTIFS(Frozen_Predictions!$A$4:$A$203,A97,Frozen_Predictions!$L$4:$L$203,"&lt;&gt;",Frozen_Predictions!$L$4:$L$203,"&gt;=0",Frozen_Predictions!$L$4:$L$203,"&lt;=1")=1,COUNTIFS($A$4:$A$203,A97)=1)),"SNAPSHOT NOT VALID",IF(AND(ISNUMBER(I97),I97&gt;=0,I97&lt;=1,ISNUMBER(N97),P97&lt;&gt;"",ISNUMBER(Q97),Q97&gt;=B97,OR(G97="U3.5",G97="U4.5",G97="U5.5")),"SETTLED","PENDING RESULT")),"SNAPSHOT NOT VALID")))</x:f>
      </x:c>
    </x:row>
    <x:row r="98" ht="23" customHeight="1">
      <x:c r="A98" s="175"/>
      <x:c r="B98" s="200" t="str">
        <x:f>IF(A98="","",IFERROR(INDEX(Frozen_Predictions!$C$4:$C$203,MATCH(A98,Frozen_Predictions!$A$4:$A$203,0)),""))</x:f>
      </x:c>
      <x:c r="C98" s="172" t="str">
        <x:f>IF(A98="","",IFERROR(INDEX(Frozen_Predictions!$E$4:$E$203,MATCH(A98,Frozen_Predictions!$A$4:$A$203,0)),""))</x:f>
      </x:c>
      <x:c r="D98" s="172" t="str">
        <x:f>IF(A98="","",IFERROR(INDEX(Frozen_Predictions!$F$4:$F$203,MATCH(A98,Frozen_Predictions!$A$4:$A$203,0)),""))</x:f>
      </x:c>
      <x:c r="E98" s="172" t="str">
        <x:f>IF(A98="","",IFERROR(INDEX(Frozen_Predictions!$G$4:$G$203,MATCH(A98,Frozen_Predictions!$A$4:$A$203,0)),""))</x:f>
      </x:c>
      <x:c r="F98" s="172" t="str">
        <x:f>IF(A98="","",IFERROR(INDEX(Frozen_Predictions!$H$4:$H$203,MATCH(A98,Frozen_Predictions!$A$4:$A$203,0)),""))</x:f>
      </x:c>
      <x:c r="G98" s="172" t="str">
        <x:f>IF(A98="","",IFERROR(INDEX(Frozen_Predictions!$I$4:$I$203,MATCH(A98,Frozen_Predictions!$A$4:$A$203,0)),""))</x:f>
      </x:c>
      <x:c r="H98" s="172" t="str">
        <x:f>IF(A98="","",IFERROR(INDEX(Frozen_Predictions!$J$4:$J$203,MATCH(A98,Frozen_Predictions!$A$4:$A$203,0)),""))</x:f>
      </x:c>
      <x:c r="I98" s="192" t="str">
        <x:f>IF(A98="","",IFERROR(INDEX(Frozen_Predictions!$L$4:$L$203,MATCH(A98,Frozen_Predictions!$A$4:$A$203,0)),""))</x:f>
      </x:c>
      <x:c r="J98" s="172" t="str">
        <x:f>IF(X98&lt;&gt;"SETTLED","",IF(N98&lt;=IF(G98="U3.5",3,IF(G98="U4.5",4,5)),1,0))</x:f>
      </x:c>
      <x:c r="K98" s="195" t="str">
        <x:f>IF(X98&lt;&gt;"SETTLED","",IF(AND(OR(V98="DEFENSIV",V98="PRUDENT",V98="MODERAT",V98="RIDICAT"),ISNUMBER(INDEX(Frozen_Predictions!$Y$4:$Y$203,MATCH(A98,Frozen_Predictions!$A$4:$A$203,0))),INDEX(Frozen_Predictions!$Y$4:$Y$203,MATCH(A98,Frozen_Predictions!$A$4:$A$203,0))&gt;1),IF(J98=1,INDEX(Frozen_Predictions!$Y$4:$Y$203,MATCH(A98,Frozen_Predictions!$A$4:$A$203,0))-1,-1),""))</x:f>
      </x:c>
      <x:c r="L98" s="175"/>
      <x:c r="M98" s="175"/>
      <x:c r="N98" s="172" t="str">
        <x:f>IFERROR(IF(AND(ISNUMBER(L98),ISNUMBER(M98),L98&gt;=0,M98&gt;=0,INT(L98)=L98,INT(M98)=M98),L98+M98,""),"")</x:f>
      </x:c>
      <x:c r="O98" s="172" t="str">
        <x:f>IF(X98&lt;&gt;"SETTLED","",IF(J98=1,"WIN",IF(N98=IF(G98="U3.5",4,IF(G98="U4.5",5,6)),"NEAR TAIL","SEVERE TAIL")))</x:f>
      </x:c>
      <x:c r="P98" s="175"/>
      <x:c r="Q98" s="177"/>
      <x:c r="R98" s="213" t="str">
        <x:f>IF(X98&lt;&gt;"SETTLED","",(I98-J98)^2)</x:f>
      </x:c>
      <x:c r="S98" s="213" t="str">
        <x:f>IF(X98&lt;&gt;"SETTLED","",-(J98*LN(MAX(0.000001,MIN(0.999999,I98)))+(1-J98)*LN(MAX(0.000001,MIN(0.999999,1-I98)))))</x:f>
      </x:c>
      <x:c r="T98" s="172" t="str">
        <x:f>IF(A98="","",IFERROR(INDEX(Frozen_Predictions!$N$4:$N$203,MATCH(A98,Frozen_Predictions!$A$4:$A$203,0)),""))</x:f>
      </x:c>
      <x:c r="U98" s="172" t="str">
        <x:f>IF(A98="","",IFERROR(INDEX(Frozen_Predictions!$O$4:$O$203,MATCH(A98,Frozen_Predictions!$A$4:$A$203,0)),""))</x:f>
      </x:c>
      <x:c r="V98" s="172" t="str">
        <x:f>IF(A98="","",IFERROR(INDEX(Frozen_Predictions!$M$4:$M$203,MATCH(A98,Frozen_Predictions!$A$4:$A$203,0)),""))</x:f>
      </x:c>
      <x:c r="W98" s="175"/>
      <x:c r="X98" s="172" t="str">
        <x:f>IF(A98="","",IF(NOT(COUNTIFS(Frozen_Predictions!$A$4:$A$203,A98)=1),"SNAPSHOT ID INVALID",IFERROR(IF(NOT(AND(INDEX(Frozen_Predictions!$Q$4:$Q$203,MATCH(A98,Frozen_Predictions!$A$4:$A$203,0))="DA",ISNUMBER(INDEX(Frozen_Predictions!$B$4:$B$203,MATCH(A98,Frozen_Predictions!$A$4:$A$203,0))),ISNUMBER(INDEX(Frozen_Predictions!$C$4:$C$203,MATCH(A98,Frozen_Predictions!$A$4:$A$203,0))),INDEX(Frozen_Predictions!$B$4:$B$203,MATCH(A98,Frozen_Predictions!$A$4:$A$203,0))&lt;INDEX(Frozen_Predictions!$C$4:$C$203,MATCH(A98,Frozen_Predictions!$A$4:$A$203,0)),INDEX(Frozen_Predictions!$V$4:$V$203,MATCH(A98,Frozen_Predictions!$A$4:$A$203,0))="READY",INDEX(Frozen_Predictions!$O$4:$O$203,MATCH(A98,Frozen_Predictions!$A$4:$A$203,0))="PASS",INDEX(Frozen_Predictions!$J$4:$J$203,MATCH(A98,Frozen_Predictions!$A$4:$A$203,0))=Under_LineCal_v9!$B$45,COUNTIFS(Frozen_Predictions!$A$4:$A$203,A98,Frozen_Predictions!$L$4:$L$203,"&lt;&gt;",Frozen_Predictions!$L$4:$L$203,"&gt;=0",Frozen_Predictions!$L$4:$L$203,"&lt;=1")=1,COUNTIFS($A$4:$A$203,A98)=1)),"SNAPSHOT NOT VALID",IF(AND(ISNUMBER(I98),I98&gt;=0,I98&lt;=1,ISNUMBER(N98),P98&lt;&gt;"",ISNUMBER(Q98),Q98&gt;=B98,OR(G98="U3.5",G98="U4.5",G98="U5.5")),"SETTLED","PENDING RESULT")),"SNAPSHOT NOT VALID")))</x:f>
      </x:c>
    </x:row>
    <x:row r="99" ht="23" customHeight="1">
      <x:c r="A99" s="175"/>
      <x:c r="B99" s="200" t="str">
        <x:f>IF(A99="","",IFERROR(INDEX(Frozen_Predictions!$C$4:$C$203,MATCH(A99,Frozen_Predictions!$A$4:$A$203,0)),""))</x:f>
      </x:c>
      <x:c r="C99" s="172" t="str">
        <x:f>IF(A99="","",IFERROR(INDEX(Frozen_Predictions!$E$4:$E$203,MATCH(A99,Frozen_Predictions!$A$4:$A$203,0)),""))</x:f>
      </x:c>
      <x:c r="D99" s="172" t="str">
        <x:f>IF(A99="","",IFERROR(INDEX(Frozen_Predictions!$F$4:$F$203,MATCH(A99,Frozen_Predictions!$A$4:$A$203,0)),""))</x:f>
      </x:c>
      <x:c r="E99" s="172" t="str">
        <x:f>IF(A99="","",IFERROR(INDEX(Frozen_Predictions!$G$4:$G$203,MATCH(A99,Frozen_Predictions!$A$4:$A$203,0)),""))</x:f>
      </x:c>
      <x:c r="F99" s="172" t="str">
        <x:f>IF(A99="","",IFERROR(INDEX(Frozen_Predictions!$H$4:$H$203,MATCH(A99,Frozen_Predictions!$A$4:$A$203,0)),""))</x:f>
      </x:c>
      <x:c r="G99" s="172" t="str">
        <x:f>IF(A99="","",IFERROR(INDEX(Frozen_Predictions!$I$4:$I$203,MATCH(A99,Frozen_Predictions!$A$4:$A$203,0)),""))</x:f>
      </x:c>
      <x:c r="H99" s="172" t="str">
        <x:f>IF(A99="","",IFERROR(INDEX(Frozen_Predictions!$J$4:$J$203,MATCH(A99,Frozen_Predictions!$A$4:$A$203,0)),""))</x:f>
      </x:c>
      <x:c r="I99" s="192" t="str">
        <x:f>IF(A99="","",IFERROR(INDEX(Frozen_Predictions!$L$4:$L$203,MATCH(A99,Frozen_Predictions!$A$4:$A$203,0)),""))</x:f>
      </x:c>
      <x:c r="J99" s="172" t="str">
        <x:f>IF(X99&lt;&gt;"SETTLED","",IF(N99&lt;=IF(G99="U3.5",3,IF(G99="U4.5",4,5)),1,0))</x:f>
      </x:c>
      <x:c r="K99" s="195" t="str">
        <x:f>IF(X99&lt;&gt;"SETTLED","",IF(AND(OR(V99="DEFENSIV",V99="PRUDENT",V99="MODERAT",V99="RIDICAT"),ISNUMBER(INDEX(Frozen_Predictions!$Y$4:$Y$203,MATCH(A99,Frozen_Predictions!$A$4:$A$203,0))),INDEX(Frozen_Predictions!$Y$4:$Y$203,MATCH(A99,Frozen_Predictions!$A$4:$A$203,0))&gt;1),IF(J99=1,INDEX(Frozen_Predictions!$Y$4:$Y$203,MATCH(A99,Frozen_Predictions!$A$4:$A$203,0))-1,-1),""))</x:f>
      </x:c>
      <x:c r="L99" s="175"/>
      <x:c r="M99" s="175"/>
      <x:c r="N99" s="172" t="str">
        <x:f>IFERROR(IF(AND(ISNUMBER(L99),ISNUMBER(M99),L99&gt;=0,M99&gt;=0,INT(L99)=L99,INT(M99)=M99),L99+M99,""),"")</x:f>
      </x:c>
      <x:c r="O99" s="172" t="str">
        <x:f>IF(X99&lt;&gt;"SETTLED","",IF(J99=1,"WIN",IF(N99=IF(G99="U3.5",4,IF(G99="U4.5",5,6)),"NEAR TAIL","SEVERE TAIL")))</x:f>
      </x:c>
      <x:c r="P99" s="175"/>
      <x:c r="Q99" s="177"/>
      <x:c r="R99" s="213" t="str">
        <x:f>IF(X99&lt;&gt;"SETTLED","",(I99-J99)^2)</x:f>
      </x:c>
      <x:c r="S99" s="213" t="str">
        <x:f>IF(X99&lt;&gt;"SETTLED","",-(J99*LN(MAX(0.000001,MIN(0.999999,I99)))+(1-J99)*LN(MAX(0.000001,MIN(0.999999,1-I99)))))</x:f>
      </x:c>
      <x:c r="T99" s="172" t="str">
        <x:f>IF(A99="","",IFERROR(INDEX(Frozen_Predictions!$N$4:$N$203,MATCH(A99,Frozen_Predictions!$A$4:$A$203,0)),""))</x:f>
      </x:c>
      <x:c r="U99" s="172" t="str">
        <x:f>IF(A99="","",IFERROR(INDEX(Frozen_Predictions!$O$4:$O$203,MATCH(A99,Frozen_Predictions!$A$4:$A$203,0)),""))</x:f>
      </x:c>
      <x:c r="V99" s="172" t="str">
        <x:f>IF(A99="","",IFERROR(INDEX(Frozen_Predictions!$M$4:$M$203,MATCH(A99,Frozen_Predictions!$A$4:$A$203,0)),""))</x:f>
      </x:c>
      <x:c r="W99" s="175"/>
      <x:c r="X99" s="172" t="str">
        <x:f>IF(A99="","",IF(NOT(COUNTIFS(Frozen_Predictions!$A$4:$A$203,A99)=1),"SNAPSHOT ID INVALID",IFERROR(IF(NOT(AND(INDEX(Frozen_Predictions!$Q$4:$Q$203,MATCH(A99,Frozen_Predictions!$A$4:$A$203,0))="DA",ISNUMBER(INDEX(Frozen_Predictions!$B$4:$B$203,MATCH(A99,Frozen_Predictions!$A$4:$A$203,0))),ISNUMBER(INDEX(Frozen_Predictions!$C$4:$C$203,MATCH(A99,Frozen_Predictions!$A$4:$A$203,0))),INDEX(Frozen_Predictions!$B$4:$B$203,MATCH(A99,Frozen_Predictions!$A$4:$A$203,0))&lt;INDEX(Frozen_Predictions!$C$4:$C$203,MATCH(A99,Frozen_Predictions!$A$4:$A$203,0)),INDEX(Frozen_Predictions!$V$4:$V$203,MATCH(A99,Frozen_Predictions!$A$4:$A$203,0))="READY",INDEX(Frozen_Predictions!$O$4:$O$203,MATCH(A99,Frozen_Predictions!$A$4:$A$203,0))="PASS",INDEX(Frozen_Predictions!$J$4:$J$203,MATCH(A99,Frozen_Predictions!$A$4:$A$203,0))=Under_LineCal_v9!$B$45,COUNTIFS(Frozen_Predictions!$A$4:$A$203,A99,Frozen_Predictions!$L$4:$L$203,"&lt;&gt;",Frozen_Predictions!$L$4:$L$203,"&gt;=0",Frozen_Predictions!$L$4:$L$203,"&lt;=1")=1,COUNTIFS($A$4:$A$203,A99)=1)),"SNAPSHOT NOT VALID",IF(AND(ISNUMBER(I99),I99&gt;=0,I99&lt;=1,ISNUMBER(N99),P99&lt;&gt;"",ISNUMBER(Q99),Q99&gt;=B99,OR(G99="U3.5",G99="U4.5",G99="U5.5")),"SETTLED","PENDING RESULT")),"SNAPSHOT NOT VALID")))</x:f>
      </x:c>
    </x:row>
    <x:row r="100" ht="23" customHeight="1">
      <x:c r="A100" s="175"/>
      <x:c r="B100" s="200" t="str">
        <x:f>IF(A100="","",IFERROR(INDEX(Frozen_Predictions!$C$4:$C$203,MATCH(A100,Frozen_Predictions!$A$4:$A$203,0)),""))</x:f>
      </x:c>
      <x:c r="C100" s="172" t="str">
        <x:f>IF(A100="","",IFERROR(INDEX(Frozen_Predictions!$E$4:$E$203,MATCH(A100,Frozen_Predictions!$A$4:$A$203,0)),""))</x:f>
      </x:c>
      <x:c r="D100" s="172" t="str">
        <x:f>IF(A100="","",IFERROR(INDEX(Frozen_Predictions!$F$4:$F$203,MATCH(A100,Frozen_Predictions!$A$4:$A$203,0)),""))</x:f>
      </x:c>
      <x:c r="E100" s="172" t="str">
        <x:f>IF(A100="","",IFERROR(INDEX(Frozen_Predictions!$G$4:$G$203,MATCH(A100,Frozen_Predictions!$A$4:$A$203,0)),""))</x:f>
      </x:c>
      <x:c r="F100" s="172" t="str">
        <x:f>IF(A100="","",IFERROR(INDEX(Frozen_Predictions!$H$4:$H$203,MATCH(A100,Frozen_Predictions!$A$4:$A$203,0)),""))</x:f>
      </x:c>
      <x:c r="G100" s="172" t="str">
        <x:f>IF(A100="","",IFERROR(INDEX(Frozen_Predictions!$I$4:$I$203,MATCH(A100,Frozen_Predictions!$A$4:$A$203,0)),""))</x:f>
      </x:c>
      <x:c r="H100" s="172" t="str">
        <x:f>IF(A100="","",IFERROR(INDEX(Frozen_Predictions!$J$4:$J$203,MATCH(A100,Frozen_Predictions!$A$4:$A$203,0)),""))</x:f>
      </x:c>
      <x:c r="I100" s="192" t="str">
        <x:f>IF(A100="","",IFERROR(INDEX(Frozen_Predictions!$L$4:$L$203,MATCH(A100,Frozen_Predictions!$A$4:$A$203,0)),""))</x:f>
      </x:c>
      <x:c r="J100" s="172" t="str">
        <x:f>IF(X100&lt;&gt;"SETTLED","",IF(N100&lt;=IF(G100="U3.5",3,IF(G100="U4.5",4,5)),1,0))</x:f>
      </x:c>
      <x:c r="K100" s="195" t="str">
        <x:f>IF(X100&lt;&gt;"SETTLED","",IF(AND(OR(V100="DEFENSIV",V100="PRUDENT",V100="MODERAT",V100="RIDICAT"),ISNUMBER(INDEX(Frozen_Predictions!$Y$4:$Y$203,MATCH(A100,Frozen_Predictions!$A$4:$A$203,0))),INDEX(Frozen_Predictions!$Y$4:$Y$203,MATCH(A100,Frozen_Predictions!$A$4:$A$203,0))&gt;1),IF(J100=1,INDEX(Frozen_Predictions!$Y$4:$Y$203,MATCH(A100,Frozen_Predictions!$A$4:$A$203,0))-1,-1),""))</x:f>
      </x:c>
      <x:c r="L100" s="175"/>
      <x:c r="M100" s="175"/>
      <x:c r="N100" s="172" t="str">
        <x:f>IFERROR(IF(AND(ISNUMBER(L100),ISNUMBER(M100),L100&gt;=0,M100&gt;=0,INT(L100)=L100,INT(M100)=M100),L100+M100,""),"")</x:f>
      </x:c>
      <x:c r="O100" s="172" t="str">
        <x:f>IF(X100&lt;&gt;"SETTLED","",IF(J100=1,"WIN",IF(N100=IF(G100="U3.5",4,IF(G100="U4.5",5,6)),"NEAR TAIL","SEVERE TAIL")))</x:f>
      </x:c>
      <x:c r="P100" s="175"/>
      <x:c r="Q100" s="177"/>
      <x:c r="R100" s="213" t="str">
        <x:f>IF(X100&lt;&gt;"SETTLED","",(I100-J100)^2)</x:f>
      </x:c>
      <x:c r="S100" s="213" t="str">
        <x:f>IF(X100&lt;&gt;"SETTLED","",-(J100*LN(MAX(0.000001,MIN(0.999999,I100)))+(1-J100)*LN(MAX(0.000001,MIN(0.999999,1-I100)))))</x:f>
      </x:c>
      <x:c r="T100" s="172" t="str">
        <x:f>IF(A100="","",IFERROR(INDEX(Frozen_Predictions!$N$4:$N$203,MATCH(A100,Frozen_Predictions!$A$4:$A$203,0)),""))</x:f>
      </x:c>
      <x:c r="U100" s="172" t="str">
        <x:f>IF(A100="","",IFERROR(INDEX(Frozen_Predictions!$O$4:$O$203,MATCH(A100,Frozen_Predictions!$A$4:$A$203,0)),""))</x:f>
      </x:c>
      <x:c r="V100" s="172" t="str">
        <x:f>IF(A100="","",IFERROR(INDEX(Frozen_Predictions!$M$4:$M$203,MATCH(A100,Frozen_Predictions!$A$4:$A$203,0)),""))</x:f>
      </x:c>
      <x:c r="W100" s="175"/>
      <x:c r="X100" s="172" t="str">
        <x:f>IF(A100="","",IF(NOT(COUNTIFS(Frozen_Predictions!$A$4:$A$203,A100)=1),"SNAPSHOT ID INVALID",IFERROR(IF(NOT(AND(INDEX(Frozen_Predictions!$Q$4:$Q$203,MATCH(A100,Frozen_Predictions!$A$4:$A$203,0))="DA",ISNUMBER(INDEX(Frozen_Predictions!$B$4:$B$203,MATCH(A100,Frozen_Predictions!$A$4:$A$203,0))),ISNUMBER(INDEX(Frozen_Predictions!$C$4:$C$203,MATCH(A100,Frozen_Predictions!$A$4:$A$203,0))),INDEX(Frozen_Predictions!$B$4:$B$203,MATCH(A100,Frozen_Predictions!$A$4:$A$203,0))&lt;INDEX(Frozen_Predictions!$C$4:$C$203,MATCH(A100,Frozen_Predictions!$A$4:$A$203,0)),INDEX(Frozen_Predictions!$V$4:$V$203,MATCH(A100,Frozen_Predictions!$A$4:$A$203,0))="READY",INDEX(Frozen_Predictions!$O$4:$O$203,MATCH(A100,Frozen_Predictions!$A$4:$A$203,0))="PASS",INDEX(Frozen_Predictions!$J$4:$J$203,MATCH(A100,Frozen_Predictions!$A$4:$A$203,0))=Under_LineCal_v9!$B$45,COUNTIFS(Frozen_Predictions!$A$4:$A$203,A100,Frozen_Predictions!$L$4:$L$203,"&lt;&gt;",Frozen_Predictions!$L$4:$L$203,"&gt;=0",Frozen_Predictions!$L$4:$L$203,"&lt;=1")=1,COUNTIFS($A$4:$A$203,A100)=1)),"SNAPSHOT NOT VALID",IF(AND(ISNUMBER(I100),I100&gt;=0,I100&lt;=1,ISNUMBER(N100),P100&lt;&gt;"",ISNUMBER(Q100),Q100&gt;=B100,OR(G100="U3.5",G100="U4.5",G100="U5.5")),"SETTLED","PENDING RESULT")),"SNAPSHOT NOT VALID")))</x:f>
      </x:c>
    </x:row>
    <x:row r="101" ht="23" customHeight="1">
      <x:c r="A101" s="175"/>
      <x:c r="B101" s="200" t="str">
        <x:f>IF(A101="","",IFERROR(INDEX(Frozen_Predictions!$C$4:$C$203,MATCH(A101,Frozen_Predictions!$A$4:$A$203,0)),""))</x:f>
      </x:c>
      <x:c r="C101" s="172" t="str">
        <x:f>IF(A101="","",IFERROR(INDEX(Frozen_Predictions!$E$4:$E$203,MATCH(A101,Frozen_Predictions!$A$4:$A$203,0)),""))</x:f>
      </x:c>
      <x:c r="D101" s="172" t="str">
        <x:f>IF(A101="","",IFERROR(INDEX(Frozen_Predictions!$F$4:$F$203,MATCH(A101,Frozen_Predictions!$A$4:$A$203,0)),""))</x:f>
      </x:c>
      <x:c r="E101" s="172" t="str">
        <x:f>IF(A101="","",IFERROR(INDEX(Frozen_Predictions!$G$4:$G$203,MATCH(A101,Frozen_Predictions!$A$4:$A$203,0)),""))</x:f>
      </x:c>
      <x:c r="F101" s="172" t="str">
        <x:f>IF(A101="","",IFERROR(INDEX(Frozen_Predictions!$H$4:$H$203,MATCH(A101,Frozen_Predictions!$A$4:$A$203,0)),""))</x:f>
      </x:c>
      <x:c r="G101" s="172" t="str">
        <x:f>IF(A101="","",IFERROR(INDEX(Frozen_Predictions!$I$4:$I$203,MATCH(A101,Frozen_Predictions!$A$4:$A$203,0)),""))</x:f>
      </x:c>
      <x:c r="H101" s="172" t="str">
        <x:f>IF(A101="","",IFERROR(INDEX(Frozen_Predictions!$J$4:$J$203,MATCH(A101,Frozen_Predictions!$A$4:$A$203,0)),""))</x:f>
      </x:c>
      <x:c r="I101" s="192" t="str">
        <x:f>IF(A101="","",IFERROR(INDEX(Frozen_Predictions!$L$4:$L$203,MATCH(A101,Frozen_Predictions!$A$4:$A$203,0)),""))</x:f>
      </x:c>
      <x:c r="J101" s="172" t="str">
        <x:f>IF(X101&lt;&gt;"SETTLED","",IF(N101&lt;=IF(G101="U3.5",3,IF(G101="U4.5",4,5)),1,0))</x:f>
      </x:c>
      <x:c r="K101" s="195" t="str">
        <x:f>IF(X101&lt;&gt;"SETTLED","",IF(AND(OR(V101="DEFENSIV",V101="PRUDENT",V101="MODERAT",V101="RIDICAT"),ISNUMBER(INDEX(Frozen_Predictions!$Y$4:$Y$203,MATCH(A101,Frozen_Predictions!$A$4:$A$203,0))),INDEX(Frozen_Predictions!$Y$4:$Y$203,MATCH(A101,Frozen_Predictions!$A$4:$A$203,0))&gt;1),IF(J101=1,INDEX(Frozen_Predictions!$Y$4:$Y$203,MATCH(A101,Frozen_Predictions!$A$4:$A$203,0))-1,-1),""))</x:f>
      </x:c>
      <x:c r="L101" s="175"/>
      <x:c r="M101" s="175"/>
      <x:c r="N101" s="172" t="str">
        <x:f>IFERROR(IF(AND(ISNUMBER(L101),ISNUMBER(M101),L101&gt;=0,M101&gt;=0,INT(L101)=L101,INT(M101)=M101),L101+M101,""),"")</x:f>
      </x:c>
      <x:c r="O101" s="172" t="str">
        <x:f>IF(X101&lt;&gt;"SETTLED","",IF(J101=1,"WIN",IF(N101=IF(G101="U3.5",4,IF(G101="U4.5",5,6)),"NEAR TAIL","SEVERE TAIL")))</x:f>
      </x:c>
      <x:c r="P101" s="175"/>
      <x:c r="Q101" s="177"/>
      <x:c r="R101" s="213" t="str">
        <x:f>IF(X101&lt;&gt;"SETTLED","",(I101-J101)^2)</x:f>
      </x:c>
      <x:c r="S101" s="213" t="str">
        <x:f>IF(X101&lt;&gt;"SETTLED","",-(J101*LN(MAX(0.000001,MIN(0.999999,I101)))+(1-J101)*LN(MAX(0.000001,MIN(0.999999,1-I101)))))</x:f>
      </x:c>
      <x:c r="T101" s="172" t="str">
        <x:f>IF(A101="","",IFERROR(INDEX(Frozen_Predictions!$N$4:$N$203,MATCH(A101,Frozen_Predictions!$A$4:$A$203,0)),""))</x:f>
      </x:c>
      <x:c r="U101" s="172" t="str">
        <x:f>IF(A101="","",IFERROR(INDEX(Frozen_Predictions!$O$4:$O$203,MATCH(A101,Frozen_Predictions!$A$4:$A$203,0)),""))</x:f>
      </x:c>
      <x:c r="V101" s="172" t="str">
        <x:f>IF(A101="","",IFERROR(INDEX(Frozen_Predictions!$M$4:$M$203,MATCH(A101,Frozen_Predictions!$A$4:$A$203,0)),""))</x:f>
      </x:c>
      <x:c r="W101" s="175"/>
      <x:c r="X101" s="172" t="str">
        <x:f>IF(A101="","",IF(NOT(COUNTIFS(Frozen_Predictions!$A$4:$A$203,A101)=1),"SNAPSHOT ID INVALID",IFERROR(IF(NOT(AND(INDEX(Frozen_Predictions!$Q$4:$Q$203,MATCH(A101,Frozen_Predictions!$A$4:$A$203,0))="DA",ISNUMBER(INDEX(Frozen_Predictions!$B$4:$B$203,MATCH(A101,Frozen_Predictions!$A$4:$A$203,0))),ISNUMBER(INDEX(Frozen_Predictions!$C$4:$C$203,MATCH(A101,Frozen_Predictions!$A$4:$A$203,0))),INDEX(Frozen_Predictions!$B$4:$B$203,MATCH(A101,Frozen_Predictions!$A$4:$A$203,0))&lt;INDEX(Frozen_Predictions!$C$4:$C$203,MATCH(A101,Frozen_Predictions!$A$4:$A$203,0)),INDEX(Frozen_Predictions!$V$4:$V$203,MATCH(A101,Frozen_Predictions!$A$4:$A$203,0))="READY",INDEX(Frozen_Predictions!$O$4:$O$203,MATCH(A101,Frozen_Predictions!$A$4:$A$203,0))="PASS",INDEX(Frozen_Predictions!$J$4:$J$203,MATCH(A101,Frozen_Predictions!$A$4:$A$203,0))=Under_LineCal_v9!$B$45,COUNTIFS(Frozen_Predictions!$A$4:$A$203,A101,Frozen_Predictions!$L$4:$L$203,"&lt;&gt;",Frozen_Predictions!$L$4:$L$203,"&gt;=0",Frozen_Predictions!$L$4:$L$203,"&lt;=1")=1,COUNTIFS($A$4:$A$203,A101)=1)),"SNAPSHOT NOT VALID",IF(AND(ISNUMBER(I101),I101&gt;=0,I101&lt;=1,ISNUMBER(N101),P101&lt;&gt;"",ISNUMBER(Q101),Q101&gt;=B101,OR(G101="U3.5",G101="U4.5",G101="U5.5")),"SETTLED","PENDING RESULT")),"SNAPSHOT NOT VALID")))</x:f>
      </x:c>
    </x:row>
    <x:row r="102" ht="23" customHeight="1">
      <x:c r="A102" s="175"/>
      <x:c r="B102" s="200" t="str">
        <x:f>IF(A102="","",IFERROR(INDEX(Frozen_Predictions!$C$4:$C$203,MATCH(A102,Frozen_Predictions!$A$4:$A$203,0)),""))</x:f>
      </x:c>
      <x:c r="C102" s="172" t="str">
        <x:f>IF(A102="","",IFERROR(INDEX(Frozen_Predictions!$E$4:$E$203,MATCH(A102,Frozen_Predictions!$A$4:$A$203,0)),""))</x:f>
      </x:c>
      <x:c r="D102" s="172" t="str">
        <x:f>IF(A102="","",IFERROR(INDEX(Frozen_Predictions!$F$4:$F$203,MATCH(A102,Frozen_Predictions!$A$4:$A$203,0)),""))</x:f>
      </x:c>
      <x:c r="E102" s="172" t="str">
        <x:f>IF(A102="","",IFERROR(INDEX(Frozen_Predictions!$G$4:$G$203,MATCH(A102,Frozen_Predictions!$A$4:$A$203,0)),""))</x:f>
      </x:c>
      <x:c r="F102" s="172" t="str">
        <x:f>IF(A102="","",IFERROR(INDEX(Frozen_Predictions!$H$4:$H$203,MATCH(A102,Frozen_Predictions!$A$4:$A$203,0)),""))</x:f>
      </x:c>
      <x:c r="G102" s="172" t="str">
        <x:f>IF(A102="","",IFERROR(INDEX(Frozen_Predictions!$I$4:$I$203,MATCH(A102,Frozen_Predictions!$A$4:$A$203,0)),""))</x:f>
      </x:c>
      <x:c r="H102" s="172" t="str">
        <x:f>IF(A102="","",IFERROR(INDEX(Frozen_Predictions!$J$4:$J$203,MATCH(A102,Frozen_Predictions!$A$4:$A$203,0)),""))</x:f>
      </x:c>
      <x:c r="I102" s="192" t="str">
        <x:f>IF(A102="","",IFERROR(INDEX(Frozen_Predictions!$L$4:$L$203,MATCH(A102,Frozen_Predictions!$A$4:$A$203,0)),""))</x:f>
      </x:c>
      <x:c r="J102" s="172" t="str">
        <x:f>IF(X102&lt;&gt;"SETTLED","",IF(N102&lt;=IF(G102="U3.5",3,IF(G102="U4.5",4,5)),1,0))</x:f>
      </x:c>
      <x:c r="K102" s="195" t="str">
        <x:f>IF(X102&lt;&gt;"SETTLED","",IF(AND(OR(V102="DEFENSIV",V102="PRUDENT",V102="MODERAT",V102="RIDICAT"),ISNUMBER(INDEX(Frozen_Predictions!$Y$4:$Y$203,MATCH(A102,Frozen_Predictions!$A$4:$A$203,0))),INDEX(Frozen_Predictions!$Y$4:$Y$203,MATCH(A102,Frozen_Predictions!$A$4:$A$203,0))&gt;1),IF(J102=1,INDEX(Frozen_Predictions!$Y$4:$Y$203,MATCH(A102,Frozen_Predictions!$A$4:$A$203,0))-1,-1),""))</x:f>
      </x:c>
      <x:c r="L102" s="175"/>
      <x:c r="M102" s="175"/>
      <x:c r="N102" s="172" t="str">
        <x:f>IFERROR(IF(AND(ISNUMBER(L102),ISNUMBER(M102),L102&gt;=0,M102&gt;=0,INT(L102)=L102,INT(M102)=M102),L102+M102,""),"")</x:f>
      </x:c>
      <x:c r="O102" s="172" t="str">
        <x:f>IF(X102&lt;&gt;"SETTLED","",IF(J102=1,"WIN",IF(N102=IF(G102="U3.5",4,IF(G102="U4.5",5,6)),"NEAR TAIL","SEVERE TAIL")))</x:f>
      </x:c>
      <x:c r="P102" s="175"/>
      <x:c r="Q102" s="177"/>
      <x:c r="R102" s="213" t="str">
        <x:f>IF(X102&lt;&gt;"SETTLED","",(I102-J102)^2)</x:f>
      </x:c>
      <x:c r="S102" s="213" t="str">
        <x:f>IF(X102&lt;&gt;"SETTLED","",-(J102*LN(MAX(0.000001,MIN(0.999999,I102)))+(1-J102)*LN(MAX(0.000001,MIN(0.999999,1-I102)))))</x:f>
      </x:c>
      <x:c r="T102" s="172" t="str">
        <x:f>IF(A102="","",IFERROR(INDEX(Frozen_Predictions!$N$4:$N$203,MATCH(A102,Frozen_Predictions!$A$4:$A$203,0)),""))</x:f>
      </x:c>
      <x:c r="U102" s="172" t="str">
        <x:f>IF(A102="","",IFERROR(INDEX(Frozen_Predictions!$O$4:$O$203,MATCH(A102,Frozen_Predictions!$A$4:$A$203,0)),""))</x:f>
      </x:c>
      <x:c r="V102" s="172" t="str">
        <x:f>IF(A102="","",IFERROR(INDEX(Frozen_Predictions!$M$4:$M$203,MATCH(A102,Frozen_Predictions!$A$4:$A$203,0)),""))</x:f>
      </x:c>
      <x:c r="W102" s="175"/>
      <x:c r="X102" s="172" t="str">
        <x:f>IF(A102="","",IF(NOT(COUNTIFS(Frozen_Predictions!$A$4:$A$203,A102)=1),"SNAPSHOT ID INVALID",IFERROR(IF(NOT(AND(INDEX(Frozen_Predictions!$Q$4:$Q$203,MATCH(A102,Frozen_Predictions!$A$4:$A$203,0))="DA",ISNUMBER(INDEX(Frozen_Predictions!$B$4:$B$203,MATCH(A102,Frozen_Predictions!$A$4:$A$203,0))),ISNUMBER(INDEX(Frozen_Predictions!$C$4:$C$203,MATCH(A102,Frozen_Predictions!$A$4:$A$203,0))),INDEX(Frozen_Predictions!$B$4:$B$203,MATCH(A102,Frozen_Predictions!$A$4:$A$203,0))&lt;INDEX(Frozen_Predictions!$C$4:$C$203,MATCH(A102,Frozen_Predictions!$A$4:$A$203,0)),INDEX(Frozen_Predictions!$V$4:$V$203,MATCH(A102,Frozen_Predictions!$A$4:$A$203,0))="READY",INDEX(Frozen_Predictions!$O$4:$O$203,MATCH(A102,Frozen_Predictions!$A$4:$A$203,0))="PASS",INDEX(Frozen_Predictions!$J$4:$J$203,MATCH(A102,Frozen_Predictions!$A$4:$A$203,0))=Under_LineCal_v9!$B$45,COUNTIFS(Frozen_Predictions!$A$4:$A$203,A102,Frozen_Predictions!$L$4:$L$203,"&lt;&gt;",Frozen_Predictions!$L$4:$L$203,"&gt;=0",Frozen_Predictions!$L$4:$L$203,"&lt;=1")=1,COUNTIFS($A$4:$A$203,A102)=1)),"SNAPSHOT NOT VALID",IF(AND(ISNUMBER(I102),I102&gt;=0,I102&lt;=1,ISNUMBER(N102),P102&lt;&gt;"",ISNUMBER(Q102),Q102&gt;=B102,OR(G102="U3.5",G102="U4.5",G102="U5.5")),"SETTLED","PENDING RESULT")),"SNAPSHOT NOT VALID")))</x:f>
      </x:c>
    </x:row>
    <x:row r="103" ht="23" customHeight="1">
      <x:c r="A103" s="175"/>
      <x:c r="B103" s="200" t="str">
        <x:f>IF(A103="","",IFERROR(INDEX(Frozen_Predictions!$C$4:$C$203,MATCH(A103,Frozen_Predictions!$A$4:$A$203,0)),""))</x:f>
      </x:c>
      <x:c r="C103" s="172" t="str">
        <x:f>IF(A103="","",IFERROR(INDEX(Frozen_Predictions!$E$4:$E$203,MATCH(A103,Frozen_Predictions!$A$4:$A$203,0)),""))</x:f>
      </x:c>
      <x:c r="D103" s="172" t="str">
        <x:f>IF(A103="","",IFERROR(INDEX(Frozen_Predictions!$F$4:$F$203,MATCH(A103,Frozen_Predictions!$A$4:$A$203,0)),""))</x:f>
      </x:c>
      <x:c r="E103" s="172" t="str">
        <x:f>IF(A103="","",IFERROR(INDEX(Frozen_Predictions!$G$4:$G$203,MATCH(A103,Frozen_Predictions!$A$4:$A$203,0)),""))</x:f>
      </x:c>
      <x:c r="F103" s="172" t="str">
        <x:f>IF(A103="","",IFERROR(INDEX(Frozen_Predictions!$H$4:$H$203,MATCH(A103,Frozen_Predictions!$A$4:$A$203,0)),""))</x:f>
      </x:c>
      <x:c r="G103" s="172" t="str">
        <x:f>IF(A103="","",IFERROR(INDEX(Frozen_Predictions!$I$4:$I$203,MATCH(A103,Frozen_Predictions!$A$4:$A$203,0)),""))</x:f>
      </x:c>
      <x:c r="H103" s="172" t="str">
        <x:f>IF(A103="","",IFERROR(INDEX(Frozen_Predictions!$J$4:$J$203,MATCH(A103,Frozen_Predictions!$A$4:$A$203,0)),""))</x:f>
      </x:c>
      <x:c r="I103" s="192" t="str">
        <x:f>IF(A103="","",IFERROR(INDEX(Frozen_Predictions!$L$4:$L$203,MATCH(A103,Frozen_Predictions!$A$4:$A$203,0)),""))</x:f>
      </x:c>
      <x:c r="J103" s="172" t="str">
        <x:f>IF(X103&lt;&gt;"SETTLED","",IF(N103&lt;=IF(G103="U3.5",3,IF(G103="U4.5",4,5)),1,0))</x:f>
      </x:c>
      <x:c r="K103" s="195" t="str">
        <x:f>IF(X103&lt;&gt;"SETTLED","",IF(AND(OR(V103="DEFENSIV",V103="PRUDENT",V103="MODERAT",V103="RIDICAT"),ISNUMBER(INDEX(Frozen_Predictions!$Y$4:$Y$203,MATCH(A103,Frozen_Predictions!$A$4:$A$203,0))),INDEX(Frozen_Predictions!$Y$4:$Y$203,MATCH(A103,Frozen_Predictions!$A$4:$A$203,0))&gt;1),IF(J103=1,INDEX(Frozen_Predictions!$Y$4:$Y$203,MATCH(A103,Frozen_Predictions!$A$4:$A$203,0))-1,-1),""))</x:f>
      </x:c>
      <x:c r="L103" s="175"/>
      <x:c r="M103" s="175"/>
      <x:c r="N103" s="172" t="str">
        <x:f>IFERROR(IF(AND(ISNUMBER(L103),ISNUMBER(M103),L103&gt;=0,M103&gt;=0,INT(L103)=L103,INT(M103)=M103),L103+M103,""),"")</x:f>
      </x:c>
      <x:c r="O103" s="172" t="str">
        <x:f>IF(X103&lt;&gt;"SETTLED","",IF(J103=1,"WIN",IF(N103=IF(G103="U3.5",4,IF(G103="U4.5",5,6)),"NEAR TAIL","SEVERE TAIL")))</x:f>
      </x:c>
      <x:c r="P103" s="175"/>
      <x:c r="Q103" s="177"/>
      <x:c r="R103" s="213" t="str">
        <x:f>IF(X103&lt;&gt;"SETTLED","",(I103-J103)^2)</x:f>
      </x:c>
      <x:c r="S103" s="213" t="str">
        <x:f>IF(X103&lt;&gt;"SETTLED","",-(J103*LN(MAX(0.000001,MIN(0.999999,I103)))+(1-J103)*LN(MAX(0.000001,MIN(0.999999,1-I103)))))</x:f>
      </x:c>
      <x:c r="T103" s="172" t="str">
        <x:f>IF(A103="","",IFERROR(INDEX(Frozen_Predictions!$N$4:$N$203,MATCH(A103,Frozen_Predictions!$A$4:$A$203,0)),""))</x:f>
      </x:c>
      <x:c r="U103" s="172" t="str">
        <x:f>IF(A103="","",IFERROR(INDEX(Frozen_Predictions!$O$4:$O$203,MATCH(A103,Frozen_Predictions!$A$4:$A$203,0)),""))</x:f>
      </x:c>
      <x:c r="V103" s="172" t="str">
        <x:f>IF(A103="","",IFERROR(INDEX(Frozen_Predictions!$M$4:$M$203,MATCH(A103,Frozen_Predictions!$A$4:$A$203,0)),""))</x:f>
      </x:c>
      <x:c r="W103" s="175"/>
      <x:c r="X103" s="172" t="str">
        <x:f>IF(A103="","",IF(NOT(COUNTIFS(Frozen_Predictions!$A$4:$A$203,A103)=1),"SNAPSHOT ID INVALID",IFERROR(IF(NOT(AND(INDEX(Frozen_Predictions!$Q$4:$Q$203,MATCH(A103,Frozen_Predictions!$A$4:$A$203,0))="DA",ISNUMBER(INDEX(Frozen_Predictions!$B$4:$B$203,MATCH(A103,Frozen_Predictions!$A$4:$A$203,0))),ISNUMBER(INDEX(Frozen_Predictions!$C$4:$C$203,MATCH(A103,Frozen_Predictions!$A$4:$A$203,0))),INDEX(Frozen_Predictions!$B$4:$B$203,MATCH(A103,Frozen_Predictions!$A$4:$A$203,0))&lt;INDEX(Frozen_Predictions!$C$4:$C$203,MATCH(A103,Frozen_Predictions!$A$4:$A$203,0)),INDEX(Frozen_Predictions!$V$4:$V$203,MATCH(A103,Frozen_Predictions!$A$4:$A$203,0))="READY",INDEX(Frozen_Predictions!$O$4:$O$203,MATCH(A103,Frozen_Predictions!$A$4:$A$203,0))="PASS",INDEX(Frozen_Predictions!$J$4:$J$203,MATCH(A103,Frozen_Predictions!$A$4:$A$203,0))=Under_LineCal_v9!$B$45,COUNTIFS(Frozen_Predictions!$A$4:$A$203,A103,Frozen_Predictions!$L$4:$L$203,"&lt;&gt;",Frozen_Predictions!$L$4:$L$203,"&gt;=0",Frozen_Predictions!$L$4:$L$203,"&lt;=1")=1,COUNTIFS($A$4:$A$203,A103)=1)),"SNAPSHOT NOT VALID",IF(AND(ISNUMBER(I103),I103&gt;=0,I103&lt;=1,ISNUMBER(N103),P103&lt;&gt;"",ISNUMBER(Q103),Q103&gt;=B103,OR(G103="U3.5",G103="U4.5",G103="U5.5")),"SETTLED","PENDING RESULT")),"SNAPSHOT NOT VALID")))</x:f>
      </x:c>
    </x:row>
    <x:row r="104" ht="23" customHeight="1">
      <x:c r="A104" s="175"/>
      <x:c r="B104" s="200" t="str">
        <x:f>IF(A104="","",IFERROR(INDEX(Frozen_Predictions!$C$4:$C$203,MATCH(A104,Frozen_Predictions!$A$4:$A$203,0)),""))</x:f>
      </x:c>
      <x:c r="C104" s="172" t="str">
        <x:f>IF(A104="","",IFERROR(INDEX(Frozen_Predictions!$E$4:$E$203,MATCH(A104,Frozen_Predictions!$A$4:$A$203,0)),""))</x:f>
      </x:c>
      <x:c r="D104" s="172" t="str">
        <x:f>IF(A104="","",IFERROR(INDEX(Frozen_Predictions!$F$4:$F$203,MATCH(A104,Frozen_Predictions!$A$4:$A$203,0)),""))</x:f>
      </x:c>
      <x:c r="E104" s="172" t="str">
        <x:f>IF(A104="","",IFERROR(INDEX(Frozen_Predictions!$G$4:$G$203,MATCH(A104,Frozen_Predictions!$A$4:$A$203,0)),""))</x:f>
      </x:c>
      <x:c r="F104" s="172" t="str">
        <x:f>IF(A104="","",IFERROR(INDEX(Frozen_Predictions!$H$4:$H$203,MATCH(A104,Frozen_Predictions!$A$4:$A$203,0)),""))</x:f>
      </x:c>
      <x:c r="G104" s="172" t="str">
        <x:f>IF(A104="","",IFERROR(INDEX(Frozen_Predictions!$I$4:$I$203,MATCH(A104,Frozen_Predictions!$A$4:$A$203,0)),""))</x:f>
      </x:c>
      <x:c r="H104" s="172" t="str">
        <x:f>IF(A104="","",IFERROR(INDEX(Frozen_Predictions!$J$4:$J$203,MATCH(A104,Frozen_Predictions!$A$4:$A$203,0)),""))</x:f>
      </x:c>
      <x:c r="I104" s="192" t="str">
        <x:f>IF(A104="","",IFERROR(INDEX(Frozen_Predictions!$L$4:$L$203,MATCH(A104,Frozen_Predictions!$A$4:$A$203,0)),""))</x:f>
      </x:c>
      <x:c r="J104" s="172" t="str">
        <x:f>IF(X104&lt;&gt;"SETTLED","",IF(N104&lt;=IF(G104="U3.5",3,IF(G104="U4.5",4,5)),1,0))</x:f>
      </x:c>
      <x:c r="K104" s="195" t="str">
        <x:f>IF(X104&lt;&gt;"SETTLED","",IF(AND(OR(V104="DEFENSIV",V104="PRUDENT",V104="MODERAT",V104="RIDICAT"),ISNUMBER(INDEX(Frozen_Predictions!$Y$4:$Y$203,MATCH(A104,Frozen_Predictions!$A$4:$A$203,0))),INDEX(Frozen_Predictions!$Y$4:$Y$203,MATCH(A104,Frozen_Predictions!$A$4:$A$203,0))&gt;1),IF(J104=1,INDEX(Frozen_Predictions!$Y$4:$Y$203,MATCH(A104,Frozen_Predictions!$A$4:$A$203,0))-1,-1),""))</x:f>
      </x:c>
      <x:c r="L104" s="175"/>
      <x:c r="M104" s="175"/>
      <x:c r="N104" s="172" t="str">
        <x:f>IFERROR(IF(AND(ISNUMBER(L104),ISNUMBER(M104),L104&gt;=0,M104&gt;=0,INT(L104)=L104,INT(M104)=M104),L104+M104,""),"")</x:f>
      </x:c>
      <x:c r="O104" s="172" t="str">
        <x:f>IF(X104&lt;&gt;"SETTLED","",IF(J104=1,"WIN",IF(N104=IF(G104="U3.5",4,IF(G104="U4.5",5,6)),"NEAR TAIL","SEVERE TAIL")))</x:f>
      </x:c>
      <x:c r="P104" s="175"/>
      <x:c r="Q104" s="177"/>
      <x:c r="R104" s="213" t="str">
        <x:f>IF(X104&lt;&gt;"SETTLED","",(I104-J104)^2)</x:f>
      </x:c>
      <x:c r="S104" s="213" t="str">
        <x:f>IF(X104&lt;&gt;"SETTLED","",-(J104*LN(MAX(0.000001,MIN(0.999999,I104)))+(1-J104)*LN(MAX(0.000001,MIN(0.999999,1-I104)))))</x:f>
      </x:c>
      <x:c r="T104" s="172" t="str">
        <x:f>IF(A104="","",IFERROR(INDEX(Frozen_Predictions!$N$4:$N$203,MATCH(A104,Frozen_Predictions!$A$4:$A$203,0)),""))</x:f>
      </x:c>
      <x:c r="U104" s="172" t="str">
        <x:f>IF(A104="","",IFERROR(INDEX(Frozen_Predictions!$O$4:$O$203,MATCH(A104,Frozen_Predictions!$A$4:$A$203,0)),""))</x:f>
      </x:c>
      <x:c r="V104" s="172" t="str">
        <x:f>IF(A104="","",IFERROR(INDEX(Frozen_Predictions!$M$4:$M$203,MATCH(A104,Frozen_Predictions!$A$4:$A$203,0)),""))</x:f>
      </x:c>
      <x:c r="W104" s="175"/>
      <x:c r="X104" s="172" t="str">
        <x:f>IF(A104="","",IF(NOT(COUNTIFS(Frozen_Predictions!$A$4:$A$203,A104)=1),"SNAPSHOT ID INVALID",IFERROR(IF(NOT(AND(INDEX(Frozen_Predictions!$Q$4:$Q$203,MATCH(A104,Frozen_Predictions!$A$4:$A$203,0))="DA",ISNUMBER(INDEX(Frozen_Predictions!$B$4:$B$203,MATCH(A104,Frozen_Predictions!$A$4:$A$203,0))),ISNUMBER(INDEX(Frozen_Predictions!$C$4:$C$203,MATCH(A104,Frozen_Predictions!$A$4:$A$203,0))),INDEX(Frozen_Predictions!$B$4:$B$203,MATCH(A104,Frozen_Predictions!$A$4:$A$203,0))&lt;INDEX(Frozen_Predictions!$C$4:$C$203,MATCH(A104,Frozen_Predictions!$A$4:$A$203,0)),INDEX(Frozen_Predictions!$V$4:$V$203,MATCH(A104,Frozen_Predictions!$A$4:$A$203,0))="READY",INDEX(Frozen_Predictions!$O$4:$O$203,MATCH(A104,Frozen_Predictions!$A$4:$A$203,0))="PASS",INDEX(Frozen_Predictions!$J$4:$J$203,MATCH(A104,Frozen_Predictions!$A$4:$A$203,0))=Under_LineCal_v9!$B$45,COUNTIFS(Frozen_Predictions!$A$4:$A$203,A104,Frozen_Predictions!$L$4:$L$203,"&lt;&gt;",Frozen_Predictions!$L$4:$L$203,"&gt;=0",Frozen_Predictions!$L$4:$L$203,"&lt;=1")=1,COUNTIFS($A$4:$A$203,A104)=1)),"SNAPSHOT NOT VALID",IF(AND(ISNUMBER(I104),I104&gt;=0,I104&lt;=1,ISNUMBER(N104),P104&lt;&gt;"",ISNUMBER(Q104),Q104&gt;=B104,OR(G104="U3.5",G104="U4.5",G104="U5.5")),"SETTLED","PENDING RESULT")),"SNAPSHOT NOT VALID")))</x:f>
      </x:c>
    </x:row>
    <x:row r="105" ht="23" customHeight="1">
      <x:c r="A105" s="175"/>
      <x:c r="B105" s="200" t="str">
        <x:f>IF(A105="","",IFERROR(INDEX(Frozen_Predictions!$C$4:$C$203,MATCH(A105,Frozen_Predictions!$A$4:$A$203,0)),""))</x:f>
      </x:c>
      <x:c r="C105" s="172" t="str">
        <x:f>IF(A105="","",IFERROR(INDEX(Frozen_Predictions!$E$4:$E$203,MATCH(A105,Frozen_Predictions!$A$4:$A$203,0)),""))</x:f>
      </x:c>
      <x:c r="D105" s="172" t="str">
        <x:f>IF(A105="","",IFERROR(INDEX(Frozen_Predictions!$F$4:$F$203,MATCH(A105,Frozen_Predictions!$A$4:$A$203,0)),""))</x:f>
      </x:c>
      <x:c r="E105" s="172" t="str">
        <x:f>IF(A105="","",IFERROR(INDEX(Frozen_Predictions!$G$4:$G$203,MATCH(A105,Frozen_Predictions!$A$4:$A$203,0)),""))</x:f>
      </x:c>
      <x:c r="F105" s="172" t="str">
        <x:f>IF(A105="","",IFERROR(INDEX(Frozen_Predictions!$H$4:$H$203,MATCH(A105,Frozen_Predictions!$A$4:$A$203,0)),""))</x:f>
      </x:c>
      <x:c r="G105" s="172" t="str">
        <x:f>IF(A105="","",IFERROR(INDEX(Frozen_Predictions!$I$4:$I$203,MATCH(A105,Frozen_Predictions!$A$4:$A$203,0)),""))</x:f>
      </x:c>
      <x:c r="H105" s="172" t="str">
        <x:f>IF(A105="","",IFERROR(INDEX(Frozen_Predictions!$J$4:$J$203,MATCH(A105,Frozen_Predictions!$A$4:$A$203,0)),""))</x:f>
      </x:c>
      <x:c r="I105" s="192" t="str">
        <x:f>IF(A105="","",IFERROR(INDEX(Frozen_Predictions!$L$4:$L$203,MATCH(A105,Frozen_Predictions!$A$4:$A$203,0)),""))</x:f>
      </x:c>
      <x:c r="J105" s="172" t="str">
        <x:f>IF(X105&lt;&gt;"SETTLED","",IF(N105&lt;=IF(G105="U3.5",3,IF(G105="U4.5",4,5)),1,0))</x:f>
      </x:c>
      <x:c r="K105" s="195" t="str">
        <x:f>IF(X105&lt;&gt;"SETTLED","",IF(AND(OR(V105="DEFENSIV",V105="PRUDENT",V105="MODERAT",V105="RIDICAT"),ISNUMBER(INDEX(Frozen_Predictions!$Y$4:$Y$203,MATCH(A105,Frozen_Predictions!$A$4:$A$203,0))),INDEX(Frozen_Predictions!$Y$4:$Y$203,MATCH(A105,Frozen_Predictions!$A$4:$A$203,0))&gt;1),IF(J105=1,INDEX(Frozen_Predictions!$Y$4:$Y$203,MATCH(A105,Frozen_Predictions!$A$4:$A$203,0))-1,-1),""))</x:f>
      </x:c>
      <x:c r="L105" s="175"/>
      <x:c r="M105" s="175"/>
      <x:c r="N105" s="172" t="str">
        <x:f>IFERROR(IF(AND(ISNUMBER(L105),ISNUMBER(M105),L105&gt;=0,M105&gt;=0,INT(L105)=L105,INT(M105)=M105),L105+M105,""),"")</x:f>
      </x:c>
      <x:c r="O105" s="172" t="str">
        <x:f>IF(X105&lt;&gt;"SETTLED","",IF(J105=1,"WIN",IF(N105=IF(G105="U3.5",4,IF(G105="U4.5",5,6)),"NEAR TAIL","SEVERE TAIL")))</x:f>
      </x:c>
      <x:c r="P105" s="175"/>
      <x:c r="Q105" s="177"/>
      <x:c r="R105" s="213" t="str">
        <x:f>IF(X105&lt;&gt;"SETTLED","",(I105-J105)^2)</x:f>
      </x:c>
      <x:c r="S105" s="213" t="str">
        <x:f>IF(X105&lt;&gt;"SETTLED","",-(J105*LN(MAX(0.000001,MIN(0.999999,I105)))+(1-J105)*LN(MAX(0.000001,MIN(0.999999,1-I105)))))</x:f>
      </x:c>
      <x:c r="T105" s="172" t="str">
        <x:f>IF(A105="","",IFERROR(INDEX(Frozen_Predictions!$N$4:$N$203,MATCH(A105,Frozen_Predictions!$A$4:$A$203,0)),""))</x:f>
      </x:c>
      <x:c r="U105" s="172" t="str">
        <x:f>IF(A105="","",IFERROR(INDEX(Frozen_Predictions!$O$4:$O$203,MATCH(A105,Frozen_Predictions!$A$4:$A$203,0)),""))</x:f>
      </x:c>
      <x:c r="V105" s="172" t="str">
        <x:f>IF(A105="","",IFERROR(INDEX(Frozen_Predictions!$M$4:$M$203,MATCH(A105,Frozen_Predictions!$A$4:$A$203,0)),""))</x:f>
      </x:c>
      <x:c r="W105" s="175"/>
      <x:c r="X105" s="172" t="str">
        <x:f>IF(A105="","",IF(NOT(COUNTIFS(Frozen_Predictions!$A$4:$A$203,A105)=1),"SNAPSHOT ID INVALID",IFERROR(IF(NOT(AND(INDEX(Frozen_Predictions!$Q$4:$Q$203,MATCH(A105,Frozen_Predictions!$A$4:$A$203,0))="DA",ISNUMBER(INDEX(Frozen_Predictions!$B$4:$B$203,MATCH(A105,Frozen_Predictions!$A$4:$A$203,0))),ISNUMBER(INDEX(Frozen_Predictions!$C$4:$C$203,MATCH(A105,Frozen_Predictions!$A$4:$A$203,0))),INDEX(Frozen_Predictions!$B$4:$B$203,MATCH(A105,Frozen_Predictions!$A$4:$A$203,0))&lt;INDEX(Frozen_Predictions!$C$4:$C$203,MATCH(A105,Frozen_Predictions!$A$4:$A$203,0)),INDEX(Frozen_Predictions!$V$4:$V$203,MATCH(A105,Frozen_Predictions!$A$4:$A$203,0))="READY",INDEX(Frozen_Predictions!$O$4:$O$203,MATCH(A105,Frozen_Predictions!$A$4:$A$203,0))="PASS",INDEX(Frozen_Predictions!$J$4:$J$203,MATCH(A105,Frozen_Predictions!$A$4:$A$203,0))=Under_LineCal_v9!$B$45,COUNTIFS(Frozen_Predictions!$A$4:$A$203,A105,Frozen_Predictions!$L$4:$L$203,"&lt;&gt;",Frozen_Predictions!$L$4:$L$203,"&gt;=0",Frozen_Predictions!$L$4:$L$203,"&lt;=1")=1,COUNTIFS($A$4:$A$203,A105)=1)),"SNAPSHOT NOT VALID",IF(AND(ISNUMBER(I105),I105&gt;=0,I105&lt;=1,ISNUMBER(N105),P105&lt;&gt;"",ISNUMBER(Q105),Q105&gt;=B105,OR(G105="U3.5",G105="U4.5",G105="U5.5")),"SETTLED","PENDING RESULT")),"SNAPSHOT NOT VALID")))</x:f>
      </x:c>
    </x:row>
    <x:row r="106" ht="23" customHeight="1">
      <x:c r="A106" s="175"/>
      <x:c r="B106" s="200" t="str">
        <x:f>IF(A106="","",IFERROR(INDEX(Frozen_Predictions!$C$4:$C$203,MATCH(A106,Frozen_Predictions!$A$4:$A$203,0)),""))</x:f>
      </x:c>
      <x:c r="C106" s="172" t="str">
        <x:f>IF(A106="","",IFERROR(INDEX(Frozen_Predictions!$E$4:$E$203,MATCH(A106,Frozen_Predictions!$A$4:$A$203,0)),""))</x:f>
      </x:c>
      <x:c r="D106" s="172" t="str">
        <x:f>IF(A106="","",IFERROR(INDEX(Frozen_Predictions!$F$4:$F$203,MATCH(A106,Frozen_Predictions!$A$4:$A$203,0)),""))</x:f>
      </x:c>
      <x:c r="E106" s="172" t="str">
        <x:f>IF(A106="","",IFERROR(INDEX(Frozen_Predictions!$G$4:$G$203,MATCH(A106,Frozen_Predictions!$A$4:$A$203,0)),""))</x:f>
      </x:c>
      <x:c r="F106" s="172" t="str">
        <x:f>IF(A106="","",IFERROR(INDEX(Frozen_Predictions!$H$4:$H$203,MATCH(A106,Frozen_Predictions!$A$4:$A$203,0)),""))</x:f>
      </x:c>
      <x:c r="G106" s="172" t="str">
        <x:f>IF(A106="","",IFERROR(INDEX(Frozen_Predictions!$I$4:$I$203,MATCH(A106,Frozen_Predictions!$A$4:$A$203,0)),""))</x:f>
      </x:c>
      <x:c r="H106" s="172" t="str">
        <x:f>IF(A106="","",IFERROR(INDEX(Frozen_Predictions!$J$4:$J$203,MATCH(A106,Frozen_Predictions!$A$4:$A$203,0)),""))</x:f>
      </x:c>
      <x:c r="I106" s="192" t="str">
        <x:f>IF(A106="","",IFERROR(INDEX(Frozen_Predictions!$L$4:$L$203,MATCH(A106,Frozen_Predictions!$A$4:$A$203,0)),""))</x:f>
      </x:c>
      <x:c r="J106" s="172" t="str">
        <x:f>IF(X106&lt;&gt;"SETTLED","",IF(N106&lt;=IF(G106="U3.5",3,IF(G106="U4.5",4,5)),1,0))</x:f>
      </x:c>
      <x:c r="K106" s="195" t="str">
        <x:f>IF(X106&lt;&gt;"SETTLED","",IF(AND(OR(V106="DEFENSIV",V106="PRUDENT",V106="MODERAT",V106="RIDICAT"),ISNUMBER(INDEX(Frozen_Predictions!$Y$4:$Y$203,MATCH(A106,Frozen_Predictions!$A$4:$A$203,0))),INDEX(Frozen_Predictions!$Y$4:$Y$203,MATCH(A106,Frozen_Predictions!$A$4:$A$203,0))&gt;1),IF(J106=1,INDEX(Frozen_Predictions!$Y$4:$Y$203,MATCH(A106,Frozen_Predictions!$A$4:$A$203,0))-1,-1),""))</x:f>
      </x:c>
      <x:c r="L106" s="175"/>
      <x:c r="M106" s="175"/>
      <x:c r="N106" s="172" t="str">
        <x:f>IFERROR(IF(AND(ISNUMBER(L106),ISNUMBER(M106),L106&gt;=0,M106&gt;=0,INT(L106)=L106,INT(M106)=M106),L106+M106,""),"")</x:f>
      </x:c>
      <x:c r="O106" s="172" t="str">
        <x:f>IF(X106&lt;&gt;"SETTLED","",IF(J106=1,"WIN",IF(N106=IF(G106="U3.5",4,IF(G106="U4.5",5,6)),"NEAR TAIL","SEVERE TAIL")))</x:f>
      </x:c>
      <x:c r="P106" s="175"/>
      <x:c r="Q106" s="177"/>
      <x:c r="R106" s="213" t="str">
        <x:f>IF(X106&lt;&gt;"SETTLED","",(I106-J106)^2)</x:f>
      </x:c>
      <x:c r="S106" s="213" t="str">
        <x:f>IF(X106&lt;&gt;"SETTLED","",-(J106*LN(MAX(0.000001,MIN(0.999999,I106)))+(1-J106)*LN(MAX(0.000001,MIN(0.999999,1-I106)))))</x:f>
      </x:c>
      <x:c r="T106" s="172" t="str">
        <x:f>IF(A106="","",IFERROR(INDEX(Frozen_Predictions!$N$4:$N$203,MATCH(A106,Frozen_Predictions!$A$4:$A$203,0)),""))</x:f>
      </x:c>
      <x:c r="U106" s="172" t="str">
        <x:f>IF(A106="","",IFERROR(INDEX(Frozen_Predictions!$O$4:$O$203,MATCH(A106,Frozen_Predictions!$A$4:$A$203,0)),""))</x:f>
      </x:c>
      <x:c r="V106" s="172" t="str">
        <x:f>IF(A106="","",IFERROR(INDEX(Frozen_Predictions!$M$4:$M$203,MATCH(A106,Frozen_Predictions!$A$4:$A$203,0)),""))</x:f>
      </x:c>
      <x:c r="W106" s="175"/>
      <x:c r="X106" s="172" t="str">
        <x:f>IF(A106="","",IF(NOT(COUNTIFS(Frozen_Predictions!$A$4:$A$203,A106)=1),"SNAPSHOT ID INVALID",IFERROR(IF(NOT(AND(INDEX(Frozen_Predictions!$Q$4:$Q$203,MATCH(A106,Frozen_Predictions!$A$4:$A$203,0))="DA",ISNUMBER(INDEX(Frozen_Predictions!$B$4:$B$203,MATCH(A106,Frozen_Predictions!$A$4:$A$203,0))),ISNUMBER(INDEX(Frozen_Predictions!$C$4:$C$203,MATCH(A106,Frozen_Predictions!$A$4:$A$203,0))),INDEX(Frozen_Predictions!$B$4:$B$203,MATCH(A106,Frozen_Predictions!$A$4:$A$203,0))&lt;INDEX(Frozen_Predictions!$C$4:$C$203,MATCH(A106,Frozen_Predictions!$A$4:$A$203,0)),INDEX(Frozen_Predictions!$V$4:$V$203,MATCH(A106,Frozen_Predictions!$A$4:$A$203,0))="READY",INDEX(Frozen_Predictions!$O$4:$O$203,MATCH(A106,Frozen_Predictions!$A$4:$A$203,0))="PASS",INDEX(Frozen_Predictions!$J$4:$J$203,MATCH(A106,Frozen_Predictions!$A$4:$A$203,0))=Under_LineCal_v9!$B$45,COUNTIFS(Frozen_Predictions!$A$4:$A$203,A106,Frozen_Predictions!$L$4:$L$203,"&lt;&gt;",Frozen_Predictions!$L$4:$L$203,"&gt;=0",Frozen_Predictions!$L$4:$L$203,"&lt;=1")=1,COUNTIFS($A$4:$A$203,A106)=1)),"SNAPSHOT NOT VALID",IF(AND(ISNUMBER(I106),I106&gt;=0,I106&lt;=1,ISNUMBER(N106),P106&lt;&gt;"",ISNUMBER(Q106),Q106&gt;=B106,OR(G106="U3.5",G106="U4.5",G106="U5.5")),"SETTLED","PENDING RESULT")),"SNAPSHOT NOT VALID")))</x:f>
      </x:c>
    </x:row>
    <x:row r="107" ht="23" customHeight="1">
      <x:c r="A107" s="175"/>
      <x:c r="B107" s="200" t="str">
        <x:f>IF(A107="","",IFERROR(INDEX(Frozen_Predictions!$C$4:$C$203,MATCH(A107,Frozen_Predictions!$A$4:$A$203,0)),""))</x:f>
      </x:c>
      <x:c r="C107" s="172" t="str">
        <x:f>IF(A107="","",IFERROR(INDEX(Frozen_Predictions!$E$4:$E$203,MATCH(A107,Frozen_Predictions!$A$4:$A$203,0)),""))</x:f>
      </x:c>
      <x:c r="D107" s="172" t="str">
        <x:f>IF(A107="","",IFERROR(INDEX(Frozen_Predictions!$F$4:$F$203,MATCH(A107,Frozen_Predictions!$A$4:$A$203,0)),""))</x:f>
      </x:c>
      <x:c r="E107" s="172" t="str">
        <x:f>IF(A107="","",IFERROR(INDEX(Frozen_Predictions!$G$4:$G$203,MATCH(A107,Frozen_Predictions!$A$4:$A$203,0)),""))</x:f>
      </x:c>
      <x:c r="F107" s="172" t="str">
        <x:f>IF(A107="","",IFERROR(INDEX(Frozen_Predictions!$H$4:$H$203,MATCH(A107,Frozen_Predictions!$A$4:$A$203,0)),""))</x:f>
      </x:c>
      <x:c r="G107" s="172" t="str">
        <x:f>IF(A107="","",IFERROR(INDEX(Frozen_Predictions!$I$4:$I$203,MATCH(A107,Frozen_Predictions!$A$4:$A$203,0)),""))</x:f>
      </x:c>
      <x:c r="H107" s="172" t="str">
        <x:f>IF(A107="","",IFERROR(INDEX(Frozen_Predictions!$J$4:$J$203,MATCH(A107,Frozen_Predictions!$A$4:$A$203,0)),""))</x:f>
      </x:c>
      <x:c r="I107" s="192" t="str">
        <x:f>IF(A107="","",IFERROR(INDEX(Frozen_Predictions!$L$4:$L$203,MATCH(A107,Frozen_Predictions!$A$4:$A$203,0)),""))</x:f>
      </x:c>
      <x:c r="J107" s="172" t="str">
        <x:f>IF(X107&lt;&gt;"SETTLED","",IF(N107&lt;=IF(G107="U3.5",3,IF(G107="U4.5",4,5)),1,0))</x:f>
      </x:c>
      <x:c r="K107" s="195" t="str">
        <x:f>IF(X107&lt;&gt;"SETTLED","",IF(AND(OR(V107="DEFENSIV",V107="PRUDENT",V107="MODERAT",V107="RIDICAT"),ISNUMBER(INDEX(Frozen_Predictions!$Y$4:$Y$203,MATCH(A107,Frozen_Predictions!$A$4:$A$203,0))),INDEX(Frozen_Predictions!$Y$4:$Y$203,MATCH(A107,Frozen_Predictions!$A$4:$A$203,0))&gt;1),IF(J107=1,INDEX(Frozen_Predictions!$Y$4:$Y$203,MATCH(A107,Frozen_Predictions!$A$4:$A$203,0))-1,-1),""))</x:f>
      </x:c>
      <x:c r="L107" s="175"/>
      <x:c r="M107" s="175"/>
      <x:c r="N107" s="172" t="str">
        <x:f>IFERROR(IF(AND(ISNUMBER(L107),ISNUMBER(M107),L107&gt;=0,M107&gt;=0,INT(L107)=L107,INT(M107)=M107),L107+M107,""),"")</x:f>
      </x:c>
      <x:c r="O107" s="172" t="str">
        <x:f>IF(X107&lt;&gt;"SETTLED","",IF(J107=1,"WIN",IF(N107=IF(G107="U3.5",4,IF(G107="U4.5",5,6)),"NEAR TAIL","SEVERE TAIL")))</x:f>
      </x:c>
      <x:c r="P107" s="175"/>
      <x:c r="Q107" s="177"/>
      <x:c r="R107" s="213" t="str">
        <x:f>IF(X107&lt;&gt;"SETTLED","",(I107-J107)^2)</x:f>
      </x:c>
      <x:c r="S107" s="213" t="str">
        <x:f>IF(X107&lt;&gt;"SETTLED","",-(J107*LN(MAX(0.000001,MIN(0.999999,I107)))+(1-J107)*LN(MAX(0.000001,MIN(0.999999,1-I107)))))</x:f>
      </x:c>
      <x:c r="T107" s="172" t="str">
        <x:f>IF(A107="","",IFERROR(INDEX(Frozen_Predictions!$N$4:$N$203,MATCH(A107,Frozen_Predictions!$A$4:$A$203,0)),""))</x:f>
      </x:c>
      <x:c r="U107" s="172" t="str">
        <x:f>IF(A107="","",IFERROR(INDEX(Frozen_Predictions!$O$4:$O$203,MATCH(A107,Frozen_Predictions!$A$4:$A$203,0)),""))</x:f>
      </x:c>
      <x:c r="V107" s="172" t="str">
        <x:f>IF(A107="","",IFERROR(INDEX(Frozen_Predictions!$M$4:$M$203,MATCH(A107,Frozen_Predictions!$A$4:$A$203,0)),""))</x:f>
      </x:c>
      <x:c r="W107" s="175"/>
      <x:c r="X107" s="172" t="str">
        <x:f>IF(A107="","",IF(NOT(COUNTIFS(Frozen_Predictions!$A$4:$A$203,A107)=1),"SNAPSHOT ID INVALID",IFERROR(IF(NOT(AND(INDEX(Frozen_Predictions!$Q$4:$Q$203,MATCH(A107,Frozen_Predictions!$A$4:$A$203,0))="DA",ISNUMBER(INDEX(Frozen_Predictions!$B$4:$B$203,MATCH(A107,Frozen_Predictions!$A$4:$A$203,0))),ISNUMBER(INDEX(Frozen_Predictions!$C$4:$C$203,MATCH(A107,Frozen_Predictions!$A$4:$A$203,0))),INDEX(Frozen_Predictions!$B$4:$B$203,MATCH(A107,Frozen_Predictions!$A$4:$A$203,0))&lt;INDEX(Frozen_Predictions!$C$4:$C$203,MATCH(A107,Frozen_Predictions!$A$4:$A$203,0)),INDEX(Frozen_Predictions!$V$4:$V$203,MATCH(A107,Frozen_Predictions!$A$4:$A$203,0))="READY",INDEX(Frozen_Predictions!$O$4:$O$203,MATCH(A107,Frozen_Predictions!$A$4:$A$203,0))="PASS",INDEX(Frozen_Predictions!$J$4:$J$203,MATCH(A107,Frozen_Predictions!$A$4:$A$203,0))=Under_LineCal_v9!$B$45,COUNTIFS(Frozen_Predictions!$A$4:$A$203,A107,Frozen_Predictions!$L$4:$L$203,"&lt;&gt;",Frozen_Predictions!$L$4:$L$203,"&gt;=0",Frozen_Predictions!$L$4:$L$203,"&lt;=1")=1,COUNTIFS($A$4:$A$203,A107)=1)),"SNAPSHOT NOT VALID",IF(AND(ISNUMBER(I107),I107&gt;=0,I107&lt;=1,ISNUMBER(N107),P107&lt;&gt;"",ISNUMBER(Q107),Q107&gt;=B107,OR(G107="U3.5",G107="U4.5",G107="U5.5")),"SETTLED","PENDING RESULT")),"SNAPSHOT NOT VALID")))</x:f>
      </x:c>
    </x:row>
    <x:row r="108" ht="23" customHeight="1">
      <x:c r="A108" s="175"/>
      <x:c r="B108" s="200" t="str">
        <x:f>IF(A108="","",IFERROR(INDEX(Frozen_Predictions!$C$4:$C$203,MATCH(A108,Frozen_Predictions!$A$4:$A$203,0)),""))</x:f>
      </x:c>
      <x:c r="C108" s="172" t="str">
        <x:f>IF(A108="","",IFERROR(INDEX(Frozen_Predictions!$E$4:$E$203,MATCH(A108,Frozen_Predictions!$A$4:$A$203,0)),""))</x:f>
      </x:c>
      <x:c r="D108" s="172" t="str">
        <x:f>IF(A108="","",IFERROR(INDEX(Frozen_Predictions!$F$4:$F$203,MATCH(A108,Frozen_Predictions!$A$4:$A$203,0)),""))</x:f>
      </x:c>
      <x:c r="E108" s="172" t="str">
        <x:f>IF(A108="","",IFERROR(INDEX(Frozen_Predictions!$G$4:$G$203,MATCH(A108,Frozen_Predictions!$A$4:$A$203,0)),""))</x:f>
      </x:c>
      <x:c r="F108" s="172" t="str">
        <x:f>IF(A108="","",IFERROR(INDEX(Frozen_Predictions!$H$4:$H$203,MATCH(A108,Frozen_Predictions!$A$4:$A$203,0)),""))</x:f>
      </x:c>
      <x:c r="G108" s="172" t="str">
        <x:f>IF(A108="","",IFERROR(INDEX(Frozen_Predictions!$I$4:$I$203,MATCH(A108,Frozen_Predictions!$A$4:$A$203,0)),""))</x:f>
      </x:c>
      <x:c r="H108" s="172" t="str">
        <x:f>IF(A108="","",IFERROR(INDEX(Frozen_Predictions!$J$4:$J$203,MATCH(A108,Frozen_Predictions!$A$4:$A$203,0)),""))</x:f>
      </x:c>
      <x:c r="I108" s="192" t="str">
        <x:f>IF(A108="","",IFERROR(INDEX(Frozen_Predictions!$L$4:$L$203,MATCH(A108,Frozen_Predictions!$A$4:$A$203,0)),""))</x:f>
      </x:c>
      <x:c r="J108" s="172" t="str">
        <x:f>IF(X108&lt;&gt;"SETTLED","",IF(N108&lt;=IF(G108="U3.5",3,IF(G108="U4.5",4,5)),1,0))</x:f>
      </x:c>
      <x:c r="K108" s="195" t="str">
        <x:f>IF(X108&lt;&gt;"SETTLED","",IF(AND(OR(V108="DEFENSIV",V108="PRUDENT",V108="MODERAT",V108="RIDICAT"),ISNUMBER(INDEX(Frozen_Predictions!$Y$4:$Y$203,MATCH(A108,Frozen_Predictions!$A$4:$A$203,0))),INDEX(Frozen_Predictions!$Y$4:$Y$203,MATCH(A108,Frozen_Predictions!$A$4:$A$203,0))&gt;1),IF(J108=1,INDEX(Frozen_Predictions!$Y$4:$Y$203,MATCH(A108,Frozen_Predictions!$A$4:$A$203,0))-1,-1),""))</x:f>
      </x:c>
      <x:c r="L108" s="175"/>
      <x:c r="M108" s="175"/>
      <x:c r="N108" s="172" t="str">
        <x:f>IFERROR(IF(AND(ISNUMBER(L108),ISNUMBER(M108),L108&gt;=0,M108&gt;=0,INT(L108)=L108,INT(M108)=M108),L108+M108,""),"")</x:f>
      </x:c>
      <x:c r="O108" s="172" t="str">
        <x:f>IF(X108&lt;&gt;"SETTLED","",IF(J108=1,"WIN",IF(N108=IF(G108="U3.5",4,IF(G108="U4.5",5,6)),"NEAR TAIL","SEVERE TAIL")))</x:f>
      </x:c>
      <x:c r="P108" s="175"/>
      <x:c r="Q108" s="177"/>
      <x:c r="R108" s="213" t="str">
        <x:f>IF(X108&lt;&gt;"SETTLED","",(I108-J108)^2)</x:f>
      </x:c>
      <x:c r="S108" s="213" t="str">
        <x:f>IF(X108&lt;&gt;"SETTLED","",-(J108*LN(MAX(0.000001,MIN(0.999999,I108)))+(1-J108)*LN(MAX(0.000001,MIN(0.999999,1-I108)))))</x:f>
      </x:c>
      <x:c r="T108" s="172" t="str">
        <x:f>IF(A108="","",IFERROR(INDEX(Frozen_Predictions!$N$4:$N$203,MATCH(A108,Frozen_Predictions!$A$4:$A$203,0)),""))</x:f>
      </x:c>
      <x:c r="U108" s="172" t="str">
        <x:f>IF(A108="","",IFERROR(INDEX(Frozen_Predictions!$O$4:$O$203,MATCH(A108,Frozen_Predictions!$A$4:$A$203,0)),""))</x:f>
      </x:c>
      <x:c r="V108" s="172" t="str">
        <x:f>IF(A108="","",IFERROR(INDEX(Frozen_Predictions!$M$4:$M$203,MATCH(A108,Frozen_Predictions!$A$4:$A$203,0)),""))</x:f>
      </x:c>
      <x:c r="W108" s="175"/>
      <x:c r="X108" s="172" t="str">
        <x:f>IF(A108="","",IF(NOT(COUNTIFS(Frozen_Predictions!$A$4:$A$203,A108)=1),"SNAPSHOT ID INVALID",IFERROR(IF(NOT(AND(INDEX(Frozen_Predictions!$Q$4:$Q$203,MATCH(A108,Frozen_Predictions!$A$4:$A$203,0))="DA",ISNUMBER(INDEX(Frozen_Predictions!$B$4:$B$203,MATCH(A108,Frozen_Predictions!$A$4:$A$203,0))),ISNUMBER(INDEX(Frozen_Predictions!$C$4:$C$203,MATCH(A108,Frozen_Predictions!$A$4:$A$203,0))),INDEX(Frozen_Predictions!$B$4:$B$203,MATCH(A108,Frozen_Predictions!$A$4:$A$203,0))&lt;INDEX(Frozen_Predictions!$C$4:$C$203,MATCH(A108,Frozen_Predictions!$A$4:$A$203,0)),INDEX(Frozen_Predictions!$V$4:$V$203,MATCH(A108,Frozen_Predictions!$A$4:$A$203,0))="READY",INDEX(Frozen_Predictions!$O$4:$O$203,MATCH(A108,Frozen_Predictions!$A$4:$A$203,0))="PASS",INDEX(Frozen_Predictions!$J$4:$J$203,MATCH(A108,Frozen_Predictions!$A$4:$A$203,0))=Under_LineCal_v9!$B$45,COUNTIFS(Frozen_Predictions!$A$4:$A$203,A108,Frozen_Predictions!$L$4:$L$203,"&lt;&gt;",Frozen_Predictions!$L$4:$L$203,"&gt;=0",Frozen_Predictions!$L$4:$L$203,"&lt;=1")=1,COUNTIFS($A$4:$A$203,A108)=1)),"SNAPSHOT NOT VALID",IF(AND(ISNUMBER(I108),I108&gt;=0,I108&lt;=1,ISNUMBER(N108),P108&lt;&gt;"",ISNUMBER(Q108),Q108&gt;=B108,OR(G108="U3.5",G108="U4.5",G108="U5.5")),"SETTLED","PENDING RESULT")),"SNAPSHOT NOT VALID")))</x:f>
      </x:c>
    </x:row>
    <x:row r="109" ht="23" customHeight="1">
      <x:c r="A109" s="175"/>
      <x:c r="B109" s="200" t="str">
        <x:f>IF(A109="","",IFERROR(INDEX(Frozen_Predictions!$C$4:$C$203,MATCH(A109,Frozen_Predictions!$A$4:$A$203,0)),""))</x:f>
      </x:c>
      <x:c r="C109" s="172" t="str">
        <x:f>IF(A109="","",IFERROR(INDEX(Frozen_Predictions!$E$4:$E$203,MATCH(A109,Frozen_Predictions!$A$4:$A$203,0)),""))</x:f>
      </x:c>
      <x:c r="D109" s="172" t="str">
        <x:f>IF(A109="","",IFERROR(INDEX(Frozen_Predictions!$F$4:$F$203,MATCH(A109,Frozen_Predictions!$A$4:$A$203,0)),""))</x:f>
      </x:c>
      <x:c r="E109" s="172" t="str">
        <x:f>IF(A109="","",IFERROR(INDEX(Frozen_Predictions!$G$4:$G$203,MATCH(A109,Frozen_Predictions!$A$4:$A$203,0)),""))</x:f>
      </x:c>
      <x:c r="F109" s="172" t="str">
        <x:f>IF(A109="","",IFERROR(INDEX(Frozen_Predictions!$H$4:$H$203,MATCH(A109,Frozen_Predictions!$A$4:$A$203,0)),""))</x:f>
      </x:c>
      <x:c r="G109" s="172" t="str">
        <x:f>IF(A109="","",IFERROR(INDEX(Frozen_Predictions!$I$4:$I$203,MATCH(A109,Frozen_Predictions!$A$4:$A$203,0)),""))</x:f>
      </x:c>
      <x:c r="H109" s="172" t="str">
        <x:f>IF(A109="","",IFERROR(INDEX(Frozen_Predictions!$J$4:$J$203,MATCH(A109,Frozen_Predictions!$A$4:$A$203,0)),""))</x:f>
      </x:c>
      <x:c r="I109" s="192" t="str">
        <x:f>IF(A109="","",IFERROR(INDEX(Frozen_Predictions!$L$4:$L$203,MATCH(A109,Frozen_Predictions!$A$4:$A$203,0)),""))</x:f>
      </x:c>
      <x:c r="J109" s="172" t="str">
        <x:f>IF(X109&lt;&gt;"SETTLED","",IF(N109&lt;=IF(G109="U3.5",3,IF(G109="U4.5",4,5)),1,0))</x:f>
      </x:c>
      <x:c r="K109" s="195" t="str">
        <x:f>IF(X109&lt;&gt;"SETTLED","",IF(AND(OR(V109="DEFENSIV",V109="PRUDENT",V109="MODERAT",V109="RIDICAT"),ISNUMBER(INDEX(Frozen_Predictions!$Y$4:$Y$203,MATCH(A109,Frozen_Predictions!$A$4:$A$203,0))),INDEX(Frozen_Predictions!$Y$4:$Y$203,MATCH(A109,Frozen_Predictions!$A$4:$A$203,0))&gt;1),IF(J109=1,INDEX(Frozen_Predictions!$Y$4:$Y$203,MATCH(A109,Frozen_Predictions!$A$4:$A$203,0))-1,-1),""))</x:f>
      </x:c>
      <x:c r="L109" s="175"/>
      <x:c r="M109" s="175"/>
      <x:c r="N109" s="172" t="str">
        <x:f>IFERROR(IF(AND(ISNUMBER(L109),ISNUMBER(M109),L109&gt;=0,M109&gt;=0,INT(L109)=L109,INT(M109)=M109),L109+M109,""),"")</x:f>
      </x:c>
      <x:c r="O109" s="172" t="str">
        <x:f>IF(X109&lt;&gt;"SETTLED","",IF(J109=1,"WIN",IF(N109=IF(G109="U3.5",4,IF(G109="U4.5",5,6)),"NEAR TAIL","SEVERE TAIL")))</x:f>
      </x:c>
      <x:c r="P109" s="175"/>
      <x:c r="Q109" s="177"/>
      <x:c r="R109" s="213" t="str">
        <x:f>IF(X109&lt;&gt;"SETTLED","",(I109-J109)^2)</x:f>
      </x:c>
      <x:c r="S109" s="213" t="str">
        <x:f>IF(X109&lt;&gt;"SETTLED","",-(J109*LN(MAX(0.000001,MIN(0.999999,I109)))+(1-J109)*LN(MAX(0.000001,MIN(0.999999,1-I109)))))</x:f>
      </x:c>
      <x:c r="T109" s="172" t="str">
        <x:f>IF(A109="","",IFERROR(INDEX(Frozen_Predictions!$N$4:$N$203,MATCH(A109,Frozen_Predictions!$A$4:$A$203,0)),""))</x:f>
      </x:c>
      <x:c r="U109" s="172" t="str">
        <x:f>IF(A109="","",IFERROR(INDEX(Frozen_Predictions!$O$4:$O$203,MATCH(A109,Frozen_Predictions!$A$4:$A$203,0)),""))</x:f>
      </x:c>
      <x:c r="V109" s="172" t="str">
        <x:f>IF(A109="","",IFERROR(INDEX(Frozen_Predictions!$M$4:$M$203,MATCH(A109,Frozen_Predictions!$A$4:$A$203,0)),""))</x:f>
      </x:c>
      <x:c r="W109" s="175"/>
      <x:c r="X109" s="172" t="str">
        <x:f>IF(A109="","",IF(NOT(COUNTIFS(Frozen_Predictions!$A$4:$A$203,A109)=1),"SNAPSHOT ID INVALID",IFERROR(IF(NOT(AND(INDEX(Frozen_Predictions!$Q$4:$Q$203,MATCH(A109,Frozen_Predictions!$A$4:$A$203,0))="DA",ISNUMBER(INDEX(Frozen_Predictions!$B$4:$B$203,MATCH(A109,Frozen_Predictions!$A$4:$A$203,0))),ISNUMBER(INDEX(Frozen_Predictions!$C$4:$C$203,MATCH(A109,Frozen_Predictions!$A$4:$A$203,0))),INDEX(Frozen_Predictions!$B$4:$B$203,MATCH(A109,Frozen_Predictions!$A$4:$A$203,0))&lt;INDEX(Frozen_Predictions!$C$4:$C$203,MATCH(A109,Frozen_Predictions!$A$4:$A$203,0)),INDEX(Frozen_Predictions!$V$4:$V$203,MATCH(A109,Frozen_Predictions!$A$4:$A$203,0))="READY",INDEX(Frozen_Predictions!$O$4:$O$203,MATCH(A109,Frozen_Predictions!$A$4:$A$203,0))="PASS",INDEX(Frozen_Predictions!$J$4:$J$203,MATCH(A109,Frozen_Predictions!$A$4:$A$203,0))=Under_LineCal_v9!$B$45,COUNTIFS(Frozen_Predictions!$A$4:$A$203,A109,Frozen_Predictions!$L$4:$L$203,"&lt;&gt;",Frozen_Predictions!$L$4:$L$203,"&gt;=0",Frozen_Predictions!$L$4:$L$203,"&lt;=1")=1,COUNTIFS($A$4:$A$203,A109)=1)),"SNAPSHOT NOT VALID",IF(AND(ISNUMBER(I109),I109&gt;=0,I109&lt;=1,ISNUMBER(N109),P109&lt;&gt;"",ISNUMBER(Q109),Q109&gt;=B109,OR(G109="U3.5",G109="U4.5",G109="U5.5")),"SETTLED","PENDING RESULT")),"SNAPSHOT NOT VALID")))</x:f>
      </x:c>
    </x:row>
    <x:row r="110" ht="23" customHeight="1">
      <x:c r="A110" s="175"/>
      <x:c r="B110" s="200" t="str">
        <x:f>IF(A110="","",IFERROR(INDEX(Frozen_Predictions!$C$4:$C$203,MATCH(A110,Frozen_Predictions!$A$4:$A$203,0)),""))</x:f>
      </x:c>
      <x:c r="C110" s="172" t="str">
        <x:f>IF(A110="","",IFERROR(INDEX(Frozen_Predictions!$E$4:$E$203,MATCH(A110,Frozen_Predictions!$A$4:$A$203,0)),""))</x:f>
      </x:c>
      <x:c r="D110" s="172" t="str">
        <x:f>IF(A110="","",IFERROR(INDEX(Frozen_Predictions!$F$4:$F$203,MATCH(A110,Frozen_Predictions!$A$4:$A$203,0)),""))</x:f>
      </x:c>
      <x:c r="E110" s="172" t="str">
        <x:f>IF(A110="","",IFERROR(INDEX(Frozen_Predictions!$G$4:$G$203,MATCH(A110,Frozen_Predictions!$A$4:$A$203,0)),""))</x:f>
      </x:c>
      <x:c r="F110" s="172" t="str">
        <x:f>IF(A110="","",IFERROR(INDEX(Frozen_Predictions!$H$4:$H$203,MATCH(A110,Frozen_Predictions!$A$4:$A$203,0)),""))</x:f>
      </x:c>
      <x:c r="G110" s="172" t="str">
        <x:f>IF(A110="","",IFERROR(INDEX(Frozen_Predictions!$I$4:$I$203,MATCH(A110,Frozen_Predictions!$A$4:$A$203,0)),""))</x:f>
      </x:c>
      <x:c r="H110" s="172" t="str">
        <x:f>IF(A110="","",IFERROR(INDEX(Frozen_Predictions!$J$4:$J$203,MATCH(A110,Frozen_Predictions!$A$4:$A$203,0)),""))</x:f>
      </x:c>
      <x:c r="I110" s="192" t="str">
        <x:f>IF(A110="","",IFERROR(INDEX(Frozen_Predictions!$L$4:$L$203,MATCH(A110,Frozen_Predictions!$A$4:$A$203,0)),""))</x:f>
      </x:c>
      <x:c r="J110" s="172" t="str">
        <x:f>IF(X110&lt;&gt;"SETTLED","",IF(N110&lt;=IF(G110="U3.5",3,IF(G110="U4.5",4,5)),1,0))</x:f>
      </x:c>
      <x:c r="K110" s="195" t="str">
        <x:f>IF(X110&lt;&gt;"SETTLED","",IF(AND(OR(V110="DEFENSIV",V110="PRUDENT",V110="MODERAT",V110="RIDICAT"),ISNUMBER(INDEX(Frozen_Predictions!$Y$4:$Y$203,MATCH(A110,Frozen_Predictions!$A$4:$A$203,0))),INDEX(Frozen_Predictions!$Y$4:$Y$203,MATCH(A110,Frozen_Predictions!$A$4:$A$203,0))&gt;1),IF(J110=1,INDEX(Frozen_Predictions!$Y$4:$Y$203,MATCH(A110,Frozen_Predictions!$A$4:$A$203,0))-1,-1),""))</x:f>
      </x:c>
      <x:c r="L110" s="175"/>
      <x:c r="M110" s="175"/>
      <x:c r="N110" s="172" t="str">
        <x:f>IFERROR(IF(AND(ISNUMBER(L110),ISNUMBER(M110),L110&gt;=0,M110&gt;=0,INT(L110)=L110,INT(M110)=M110),L110+M110,""),"")</x:f>
      </x:c>
      <x:c r="O110" s="172" t="str">
        <x:f>IF(X110&lt;&gt;"SETTLED","",IF(J110=1,"WIN",IF(N110=IF(G110="U3.5",4,IF(G110="U4.5",5,6)),"NEAR TAIL","SEVERE TAIL")))</x:f>
      </x:c>
      <x:c r="P110" s="175"/>
      <x:c r="Q110" s="177"/>
      <x:c r="R110" s="213" t="str">
        <x:f>IF(X110&lt;&gt;"SETTLED","",(I110-J110)^2)</x:f>
      </x:c>
      <x:c r="S110" s="213" t="str">
        <x:f>IF(X110&lt;&gt;"SETTLED","",-(J110*LN(MAX(0.000001,MIN(0.999999,I110)))+(1-J110)*LN(MAX(0.000001,MIN(0.999999,1-I110)))))</x:f>
      </x:c>
      <x:c r="T110" s="172" t="str">
        <x:f>IF(A110="","",IFERROR(INDEX(Frozen_Predictions!$N$4:$N$203,MATCH(A110,Frozen_Predictions!$A$4:$A$203,0)),""))</x:f>
      </x:c>
      <x:c r="U110" s="172" t="str">
        <x:f>IF(A110="","",IFERROR(INDEX(Frozen_Predictions!$O$4:$O$203,MATCH(A110,Frozen_Predictions!$A$4:$A$203,0)),""))</x:f>
      </x:c>
      <x:c r="V110" s="172" t="str">
        <x:f>IF(A110="","",IFERROR(INDEX(Frozen_Predictions!$M$4:$M$203,MATCH(A110,Frozen_Predictions!$A$4:$A$203,0)),""))</x:f>
      </x:c>
      <x:c r="W110" s="175"/>
      <x:c r="X110" s="172" t="str">
        <x:f>IF(A110="","",IF(NOT(COUNTIFS(Frozen_Predictions!$A$4:$A$203,A110)=1),"SNAPSHOT ID INVALID",IFERROR(IF(NOT(AND(INDEX(Frozen_Predictions!$Q$4:$Q$203,MATCH(A110,Frozen_Predictions!$A$4:$A$203,0))="DA",ISNUMBER(INDEX(Frozen_Predictions!$B$4:$B$203,MATCH(A110,Frozen_Predictions!$A$4:$A$203,0))),ISNUMBER(INDEX(Frozen_Predictions!$C$4:$C$203,MATCH(A110,Frozen_Predictions!$A$4:$A$203,0))),INDEX(Frozen_Predictions!$B$4:$B$203,MATCH(A110,Frozen_Predictions!$A$4:$A$203,0))&lt;INDEX(Frozen_Predictions!$C$4:$C$203,MATCH(A110,Frozen_Predictions!$A$4:$A$203,0)),INDEX(Frozen_Predictions!$V$4:$V$203,MATCH(A110,Frozen_Predictions!$A$4:$A$203,0))="READY",INDEX(Frozen_Predictions!$O$4:$O$203,MATCH(A110,Frozen_Predictions!$A$4:$A$203,0))="PASS",INDEX(Frozen_Predictions!$J$4:$J$203,MATCH(A110,Frozen_Predictions!$A$4:$A$203,0))=Under_LineCal_v9!$B$45,COUNTIFS(Frozen_Predictions!$A$4:$A$203,A110,Frozen_Predictions!$L$4:$L$203,"&lt;&gt;",Frozen_Predictions!$L$4:$L$203,"&gt;=0",Frozen_Predictions!$L$4:$L$203,"&lt;=1")=1,COUNTIFS($A$4:$A$203,A110)=1)),"SNAPSHOT NOT VALID",IF(AND(ISNUMBER(I110),I110&gt;=0,I110&lt;=1,ISNUMBER(N110),P110&lt;&gt;"",ISNUMBER(Q110),Q110&gt;=B110,OR(G110="U3.5",G110="U4.5",G110="U5.5")),"SETTLED","PENDING RESULT")),"SNAPSHOT NOT VALID")))</x:f>
      </x:c>
    </x:row>
    <x:row r="111" ht="23" customHeight="1">
      <x:c r="A111" s="175"/>
      <x:c r="B111" s="200" t="str">
        <x:f>IF(A111="","",IFERROR(INDEX(Frozen_Predictions!$C$4:$C$203,MATCH(A111,Frozen_Predictions!$A$4:$A$203,0)),""))</x:f>
      </x:c>
      <x:c r="C111" s="172" t="str">
        <x:f>IF(A111="","",IFERROR(INDEX(Frozen_Predictions!$E$4:$E$203,MATCH(A111,Frozen_Predictions!$A$4:$A$203,0)),""))</x:f>
      </x:c>
      <x:c r="D111" s="172" t="str">
        <x:f>IF(A111="","",IFERROR(INDEX(Frozen_Predictions!$F$4:$F$203,MATCH(A111,Frozen_Predictions!$A$4:$A$203,0)),""))</x:f>
      </x:c>
      <x:c r="E111" s="172" t="str">
        <x:f>IF(A111="","",IFERROR(INDEX(Frozen_Predictions!$G$4:$G$203,MATCH(A111,Frozen_Predictions!$A$4:$A$203,0)),""))</x:f>
      </x:c>
      <x:c r="F111" s="172" t="str">
        <x:f>IF(A111="","",IFERROR(INDEX(Frozen_Predictions!$H$4:$H$203,MATCH(A111,Frozen_Predictions!$A$4:$A$203,0)),""))</x:f>
      </x:c>
      <x:c r="G111" s="172" t="str">
        <x:f>IF(A111="","",IFERROR(INDEX(Frozen_Predictions!$I$4:$I$203,MATCH(A111,Frozen_Predictions!$A$4:$A$203,0)),""))</x:f>
      </x:c>
      <x:c r="H111" s="172" t="str">
        <x:f>IF(A111="","",IFERROR(INDEX(Frozen_Predictions!$J$4:$J$203,MATCH(A111,Frozen_Predictions!$A$4:$A$203,0)),""))</x:f>
      </x:c>
      <x:c r="I111" s="192" t="str">
        <x:f>IF(A111="","",IFERROR(INDEX(Frozen_Predictions!$L$4:$L$203,MATCH(A111,Frozen_Predictions!$A$4:$A$203,0)),""))</x:f>
      </x:c>
      <x:c r="J111" s="172" t="str">
        <x:f>IF(X111&lt;&gt;"SETTLED","",IF(N111&lt;=IF(G111="U3.5",3,IF(G111="U4.5",4,5)),1,0))</x:f>
      </x:c>
      <x:c r="K111" s="195" t="str">
        <x:f>IF(X111&lt;&gt;"SETTLED","",IF(AND(OR(V111="DEFENSIV",V111="PRUDENT",V111="MODERAT",V111="RIDICAT"),ISNUMBER(INDEX(Frozen_Predictions!$Y$4:$Y$203,MATCH(A111,Frozen_Predictions!$A$4:$A$203,0))),INDEX(Frozen_Predictions!$Y$4:$Y$203,MATCH(A111,Frozen_Predictions!$A$4:$A$203,0))&gt;1),IF(J111=1,INDEX(Frozen_Predictions!$Y$4:$Y$203,MATCH(A111,Frozen_Predictions!$A$4:$A$203,0))-1,-1),""))</x:f>
      </x:c>
      <x:c r="L111" s="175"/>
      <x:c r="M111" s="175"/>
      <x:c r="N111" s="172" t="str">
        <x:f>IFERROR(IF(AND(ISNUMBER(L111),ISNUMBER(M111),L111&gt;=0,M111&gt;=0,INT(L111)=L111,INT(M111)=M111),L111+M111,""),"")</x:f>
      </x:c>
      <x:c r="O111" s="172" t="str">
        <x:f>IF(X111&lt;&gt;"SETTLED","",IF(J111=1,"WIN",IF(N111=IF(G111="U3.5",4,IF(G111="U4.5",5,6)),"NEAR TAIL","SEVERE TAIL")))</x:f>
      </x:c>
      <x:c r="P111" s="175"/>
      <x:c r="Q111" s="177"/>
      <x:c r="R111" s="213" t="str">
        <x:f>IF(X111&lt;&gt;"SETTLED","",(I111-J111)^2)</x:f>
      </x:c>
      <x:c r="S111" s="213" t="str">
        <x:f>IF(X111&lt;&gt;"SETTLED","",-(J111*LN(MAX(0.000001,MIN(0.999999,I111)))+(1-J111)*LN(MAX(0.000001,MIN(0.999999,1-I111)))))</x:f>
      </x:c>
      <x:c r="T111" s="172" t="str">
        <x:f>IF(A111="","",IFERROR(INDEX(Frozen_Predictions!$N$4:$N$203,MATCH(A111,Frozen_Predictions!$A$4:$A$203,0)),""))</x:f>
      </x:c>
      <x:c r="U111" s="172" t="str">
        <x:f>IF(A111="","",IFERROR(INDEX(Frozen_Predictions!$O$4:$O$203,MATCH(A111,Frozen_Predictions!$A$4:$A$203,0)),""))</x:f>
      </x:c>
      <x:c r="V111" s="172" t="str">
        <x:f>IF(A111="","",IFERROR(INDEX(Frozen_Predictions!$M$4:$M$203,MATCH(A111,Frozen_Predictions!$A$4:$A$203,0)),""))</x:f>
      </x:c>
      <x:c r="W111" s="175"/>
      <x:c r="X111" s="172" t="str">
        <x:f>IF(A111="","",IF(NOT(COUNTIFS(Frozen_Predictions!$A$4:$A$203,A111)=1),"SNAPSHOT ID INVALID",IFERROR(IF(NOT(AND(INDEX(Frozen_Predictions!$Q$4:$Q$203,MATCH(A111,Frozen_Predictions!$A$4:$A$203,0))="DA",ISNUMBER(INDEX(Frozen_Predictions!$B$4:$B$203,MATCH(A111,Frozen_Predictions!$A$4:$A$203,0))),ISNUMBER(INDEX(Frozen_Predictions!$C$4:$C$203,MATCH(A111,Frozen_Predictions!$A$4:$A$203,0))),INDEX(Frozen_Predictions!$B$4:$B$203,MATCH(A111,Frozen_Predictions!$A$4:$A$203,0))&lt;INDEX(Frozen_Predictions!$C$4:$C$203,MATCH(A111,Frozen_Predictions!$A$4:$A$203,0)),INDEX(Frozen_Predictions!$V$4:$V$203,MATCH(A111,Frozen_Predictions!$A$4:$A$203,0))="READY",INDEX(Frozen_Predictions!$O$4:$O$203,MATCH(A111,Frozen_Predictions!$A$4:$A$203,0))="PASS",INDEX(Frozen_Predictions!$J$4:$J$203,MATCH(A111,Frozen_Predictions!$A$4:$A$203,0))=Under_LineCal_v9!$B$45,COUNTIFS(Frozen_Predictions!$A$4:$A$203,A111,Frozen_Predictions!$L$4:$L$203,"&lt;&gt;",Frozen_Predictions!$L$4:$L$203,"&gt;=0",Frozen_Predictions!$L$4:$L$203,"&lt;=1")=1,COUNTIFS($A$4:$A$203,A111)=1)),"SNAPSHOT NOT VALID",IF(AND(ISNUMBER(I111),I111&gt;=0,I111&lt;=1,ISNUMBER(N111),P111&lt;&gt;"",ISNUMBER(Q111),Q111&gt;=B111,OR(G111="U3.5",G111="U4.5",G111="U5.5")),"SETTLED","PENDING RESULT")),"SNAPSHOT NOT VALID")))</x:f>
      </x:c>
    </x:row>
    <x:row r="112" ht="23" customHeight="1">
      <x:c r="A112" s="175"/>
      <x:c r="B112" s="200" t="str">
        <x:f>IF(A112="","",IFERROR(INDEX(Frozen_Predictions!$C$4:$C$203,MATCH(A112,Frozen_Predictions!$A$4:$A$203,0)),""))</x:f>
      </x:c>
      <x:c r="C112" s="172" t="str">
        <x:f>IF(A112="","",IFERROR(INDEX(Frozen_Predictions!$E$4:$E$203,MATCH(A112,Frozen_Predictions!$A$4:$A$203,0)),""))</x:f>
      </x:c>
      <x:c r="D112" s="172" t="str">
        <x:f>IF(A112="","",IFERROR(INDEX(Frozen_Predictions!$F$4:$F$203,MATCH(A112,Frozen_Predictions!$A$4:$A$203,0)),""))</x:f>
      </x:c>
      <x:c r="E112" s="172" t="str">
        <x:f>IF(A112="","",IFERROR(INDEX(Frozen_Predictions!$G$4:$G$203,MATCH(A112,Frozen_Predictions!$A$4:$A$203,0)),""))</x:f>
      </x:c>
      <x:c r="F112" s="172" t="str">
        <x:f>IF(A112="","",IFERROR(INDEX(Frozen_Predictions!$H$4:$H$203,MATCH(A112,Frozen_Predictions!$A$4:$A$203,0)),""))</x:f>
      </x:c>
      <x:c r="G112" s="172" t="str">
        <x:f>IF(A112="","",IFERROR(INDEX(Frozen_Predictions!$I$4:$I$203,MATCH(A112,Frozen_Predictions!$A$4:$A$203,0)),""))</x:f>
      </x:c>
      <x:c r="H112" s="172" t="str">
        <x:f>IF(A112="","",IFERROR(INDEX(Frozen_Predictions!$J$4:$J$203,MATCH(A112,Frozen_Predictions!$A$4:$A$203,0)),""))</x:f>
      </x:c>
      <x:c r="I112" s="192" t="str">
        <x:f>IF(A112="","",IFERROR(INDEX(Frozen_Predictions!$L$4:$L$203,MATCH(A112,Frozen_Predictions!$A$4:$A$203,0)),""))</x:f>
      </x:c>
      <x:c r="J112" s="172" t="str">
        <x:f>IF(X112&lt;&gt;"SETTLED","",IF(N112&lt;=IF(G112="U3.5",3,IF(G112="U4.5",4,5)),1,0))</x:f>
      </x:c>
      <x:c r="K112" s="195" t="str">
        <x:f>IF(X112&lt;&gt;"SETTLED","",IF(AND(OR(V112="DEFENSIV",V112="PRUDENT",V112="MODERAT",V112="RIDICAT"),ISNUMBER(INDEX(Frozen_Predictions!$Y$4:$Y$203,MATCH(A112,Frozen_Predictions!$A$4:$A$203,0))),INDEX(Frozen_Predictions!$Y$4:$Y$203,MATCH(A112,Frozen_Predictions!$A$4:$A$203,0))&gt;1),IF(J112=1,INDEX(Frozen_Predictions!$Y$4:$Y$203,MATCH(A112,Frozen_Predictions!$A$4:$A$203,0))-1,-1),""))</x:f>
      </x:c>
      <x:c r="L112" s="175"/>
      <x:c r="M112" s="175"/>
      <x:c r="N112" s="172" t="str">
        <x:f>IFERROR(IF(AND(ISNUMBER(L112),ISNUMBER(M112),L112&gt;=0,M112&gt;=0,INT(L112)=L112,INT(M112)=M112),L112+M112,""),"")</x:f>
      </x:c>
      <x:c r="O112" s="172" t="str">
        <x:f>IF(X112&lt;&gt;"SETTLED","",IF(J112=1,"WIN",IF(N112=IF(G112="U3.5",4,IF(G112="U4.5",5,6)),"NEAR TAIL","SEVERE TAIL")))</x:f>
      </x:c>
      <x:c r="P112" s="175"/>
      <x:c r="Q112" s="177"/>
      <x:c r="R112" s="213" t="str">
        <x:f>IF(X112&lt;&gt;"SETTLED","",(I112-J112)^2)</x:f>
      </x:c>
      <x:c r="S112" s="213" t="str">
        <x:f>IF(X112&lt;&gt;"SETTLED","",-(J112*LN(MAX(0.000001,MIN(0.999999,I112)))+(1-J112)*LN(MAX(0.000001,MIN(0.999999,1-I112)))))</x:f>
      </x:c>
      <x:c r="T112" s="172" t="str">
        <x:f>IF(A112="","",IFERROR(INDEX(Frozen_Predictions!$N$4:$N$203,MATCH(A112,Frozen_Predictions!$A$4:$A$203,0)),""))</x:f>
      </x:c>
      <x:c r="U112" s="172" t="str">
        <x:f>IF(A112="","",IFERROR(INDEX(Frozen_Predictions!$O$4:$O$203,MATCH(A112,Frozen_Predictions!$A$4:$A$203,0)),""))</x:f>
      </x:c>
      <x:c r="V112" s="172" t="str">
        <x:f>IF(A112="","",IFERROR(INDEX(Frozen_Predictions!$M$4:$M$203,MATCH(A112,Frozen_Predictions!$A$4:$A$203,0)),""))</x:f>
      </x:c>
      <x:c r="W112" s="175"/>
      <x:c r="X112" s="172" t="str">
        <x:f>IF(A112="","",IF(NOT(COUNTIFS(Frozen_Predictions!$A$4:$A$203,A112)=1),"SNAPSHOT ID INVALID",IFERROR(IF(NOT(AND(INDEX(Frozen_Predictions!$Q$4:$Q$203,MATCH(A112,Frozen_Predictions!$A$4:$A$203,0))="DA",ISNUMBER(INDEX(Frozen_Predictions!$B$4:$B$203,MATCH(A112,Frozen_Predictions!$A$4:$A$203,0))),ISNUMBER(INDEX(Frozen_Predictions!$C$4:$C$203,MATCH(A112,Frozen_Predictions!$A$4:$A$203,0))),INDEX(Frozen_Predictions!$B$4:$B$203,MATCH(A112,Frozen_Predictions!$A$4:$A$203,0))&lt;INDEX(Frozen_Predictions!$C$4:$C$203,MATCH(A112,Frozen_Predictions!$A$4:$A$203,0)),INDEX(Frozen_Predictions!$V$4:$V$203,MATCH(A112,Frozen_Predictions!$A$4:$A$203,0))="READY",INDEX(Frozen_Predictions!$O$4:$O$203,MATCH(A112,Frozen_Predictions!$A$4:$A$203,0))="PASS",INDEX(Frozen_Predictions!$J$4:$J$203,MATCH(A112,Frozen_Predictions!$A$4:$A$203,0))=Under_LineCal_v9!$B$45,COUNTIFS(Frozen_Predictions!$A$4:$A$203,A112,Frozen_Predictions!$L$4:$L$203,"&lt;&gt;",Frozen_Predictions!$L$4:$L$203,"&gt;=0",Frozen_Predictions!$L$4:$L$203,"&lt;=1")=1,COUNTIFS($A$4:$A$203,A112)=1)),"SNAPSHOT NOT VALID",IF(AND(ISNUMBER(I112),I112&gt;=0,I112&lt;=1,ISNUMBER(N112),P112&lt;&gt;"",ISNUMBER(Q112),Q112&gt;=B112,OR(G112="U3.5",G112="U4.5",G112="U5.5")),"SETTLED","PENDING RESULT")),"SNAPSHOT NOT VALID")))</x:f>
      </x:c>
    </x:row>
    <x:row r="113" ht="23" customHeight="1">
      <x:c r="A113" s="175"/>
      <x:c r="B113" s="200" t="str">
        <x:f>IF(A113="","",IFERROR(INDEX(Frozen_Predictions!$C$4:$C$203,MATCH(A113,Frozen_Predictions!$A$4:$A$203,0)),""))</x:f>
      </x:c>
      <x:c r="C113" s="172" t="str">
        <x:f>IF(A113="","",IFERROR(INDEX(Frozen_Predictions!$E$4:$E$203,MATCH(A113,Frozen_Predictions!$A$4:$A$203,0)),""))</x:f>
      </x:c>
      <x:c r="D113" s="172" t="str">
        <x:f>IF(A113="","",IFERROR(INDEX(Frozen_Predictions!$F$4:$F$203,MATCH(A113,Frozen_Predictions!$A$4:$A$203,0)),""))</x:f>
      </x:c>
      <x:c r="E113" s="172" t="str">
        <x:f>IF(A113="","",IFERROR(INDEX(Frozen_Predictions!$G$4:$G$203,MATCH(A113,Frozen_Predictions!$A$4:$A$203,0)),""))</x:f>
      </x:c>
      <x:c r="F113" s="172" t="str">
        <x:f>IF(A113="","",IFERROR(INDEX(Frozen_Predictions!$H$4:$H$203,MATCH(A113,Frozen_Predictions!$A$4:$A$203,0)),""))</x:f>
      </x:c>
      <x:c r="G113" s="172" t="str">
        <x:f>IF(A113="","",IFERROR(INDEX(Frozen_Predictions!$I$4:$I$203,MATCH(A113,Frozen_Predictions!$A$4:$A$203,0)),""))</x:f>
      </x:c>
      <x:c r="H113" s="172" t="str">
        <x:f>IF(A113="","",IFERROR(INDEX(Frozen_Predictions!$J$4:$J$203,MATCH(A113,Frozen_Predictions!$A$4:$A$203,0)),""))</x:f>
      </x:c>
      <x:c r="I113" s="192" t="str">
        <x:f>IF(A113="","",IFERROR(INDEX(Frozen_Predictions!$L$4:$L$203,MATCH(A113,Frozen_Predictions!$A$4:$A$203,0)),""))</x:f>
      </x:c>
      <x:c r="J113" s="172" t="str">
        <x:f>IF(X113&lt;&gt;"SETTLED","",IF(N113&lt;=IF(G113="U3.5",3,IF(G113="U4.5",4,5)),1,0))</x:f>
      </x:c>
      <x:c r="K113" s="195" t="str">
        <x:f>IF(X113&lt;&gt;"SETTLED","",IF(AND(OR(V113="DEFENSIV",V113="PRUDENT",V113="MODERAT",V113="RIDICAT"),ISNUMBER(INDEX(Frozen_Predictions!$Y$4:$Y$203,MATCH(A113,Frozen_Predictions!$A$4:$A$203,0))),INDEX(Frozen_Predictions!$Y$4:$Y$203,MATCH(A113,Frozen_Predictions!$A$4:$A$203,0))&gt;1),IF(J113=1,INDEX(Frozen_Predictions!$Y$4:$Y$203,MATCH(A113,Frozen_Predictions!$A$4:$A$203,0))-1,-1),""))</x:f>
      </x:c>
      <x:c r="L113" s="175"/>
      <x:c r="M113" s="175"/>
      <x:c r="N113" s="172" t="str">
        <x:f>IFERROR(IF(AND(ISNUMBER(L113),ISNUMBER(M113),L113&gt;=0,M113&gt;=0,INT(L113)=L113,INT(M113)=M113),L113+M113,""),"")</x:f>
      </x:c>
      <x:c r="O113" s="172" t="str">
        <x:f>IF(X113&lt;&gt;"SETTLED","",IF(J113=1,"WIN",IF(N113=IF(G113="U3.5",4,IF(G113="U4.5",5,6)),"NEAR TAIL","SEVERE TAIL")))</x:f>
      </x:c>
      <x:c r="P113" s="175"/>
      <x:c r="Q113" s="177"/>
      <x:c r="R113" s="213" t="str">
        <x:f>IF(X113&lt;&gt;"SETTLED","",(I113-J113)^2)</x:f>
      </x:c>
      <x:c r="S113" s="213" t="str">
        <x:f>IF(X113&lt;&gt;"SETTLED","",-(J113*LN(MAX(0.000001,MIN(0.999999,I113)))+(1-J113)*LN(MAX(0.000001,MIN(0.999999,1-I113)))))</x:f>
      </x:c>
      <x:c r="T113" s="172" t="str">
        <x:f>IF(A113="","",IFERROR(INDEX(Frozen_Predictions!$N$4:$N$203,MATCH(A113,Frozen_Predictions!$A$4:$A$203,0)),""))</x:f>
      </x:c>
      <x:c r="U113" s="172" t="str">
        <x:f>IF(A113="","",IFERROR(INDEX(Frozen_Predictions!$O$4:$O$203,MATCH(A113,Frozen_Predictions!$A$4:$A$203,0)),""))</x:f>
      </x:c>
      <x:c r="V113" s="172" t="str">
        <x:f>IF(A113="","",IFERROR(INDEX(Frozen_Predictions!$M$4:$M$203,MATCH(A113,Frozen_Predictions!$A$4:$A$203,0)),""))</x:f>
      </x:c>
      <x:c r="W113" s="175"/>
      <x:c r="X113" s="172" t="str">
        <x:f>IF(A113="","",IF(NOT(COUNTIFS(Frozen_Predictions!$A$4:$A$203,A113)=1),"SNAPSHOT ID INVALID",IFERROR(IF(NOT(AND(INDEX(Frozen_Predictions!$Q$4:$Q$203,MATCH(A113,Frozen_Predictions!$A$4:$A$203,0))="DA",ISNUMBER(INDEX(Frozen_Predictions!$B$4:$B$203,MATCH(A113,Frozen_Predictions!$A$4:$A$203,0))),ISNUMBER(INDEX(Frozen_Predictions!$C$4:$C$203,MATCH(A113,Frozen_Predictions!$A$4:$A$203,0))),INDEX(Frozen_Predictions!$B$4:$B$203,MATCH(A113,Frozen_Predictions!$A$4:$A$203,0))&lt;INDEX(Frozen_Predictions!$C$4:$C$203,MATCH(A113,Frozen_Predictions!$A$4:$A$203,0)),INDEX(Frozen_Predictions!$V$4:$V$203,MATCH(A113,Frozen_Predictions!$A$4:$A$203,0))="READY",INDEX(Frozen_Predictions!$O$4:$O$203,MATCH(A113,Frozen_Predictions!$A$4:$A$203,0))="PASS",INDEX(Frozen_Predictions!$J$4:$J$203,MATCH(A113,Frozen_Predictions!$A$4:$A$203,0))=Under_LineCal_v9!$B$45,COUNTIFS(Frozen_Predictions!$A$4:$A$203,A113,Frozen_Predictions!$L$4:$L$203,"&lt;&gt;",Frozen_Predictions!$L$4:$L$203,"&gt;=0",Frozen_Predictions!$L$4:$L$203,"&lt;=1")=1,COUNTIFS($A$4:$A$203,A113)=1)),"SNAPSHOT NOT VALID",IF(AND(ISNUMBER(I113),I113&gt;=0,I113&lt;=1,ISNUMBER(N113),P113&lt;&gt;"",ISNUMBER(Q113),Q113&gt;=B113,OR(G113="U3.5",G113="U4.5",G113="U5.5")),"SETTLED","PENDING RESULT")),"SNAPSHOT NOT VALID")))</x:f>
      </x:c>
    </x:row>
    <x:row r="114" ht="23" customHeight="1">
      <x:c r="A114" s="175"/>
      <x:c r="B114" s="200" t="str">
        <x:f>IF(A114="","",IFERROR(INDEX(Frozen_Predictions!$C$4:$C$203,MATCH(A114,Frozen_Predictions!$A$4:$A$203,0)),""))</x:f>
      </x:c>
      <x:c r="C114" s="172" t="str">
        <x:f>IF(A114="","",IFERROR(INDEX(Frozen_Predictions!$E$4:$E$203,MATCH(A114,Frozen_Predictions!$A$4:$A$203,0)),""))</x:f>
      </x:c>
      <x:c r="D114" s="172" t="str">
        <x:f>IF(A114="","",IFERROR(INDEX(Frozen_Predictions!$F$4:$F$203,MATCH(A114,Frozen_Predictions!$A$4:$A$203,0)),""))</x:f>
      </x:c>
      <x:c r="E114" s="172" t="str">
        <x:f>IF(A114="","",IFERROR(INDEX(Frozen_Predictions!$G$4:$G$203,MATCH(A114,Frozen_Predictions!$A$4:$A$203,0)),""))</x:f>
      </x:c>
      <x:c r="F114" s="172" t="str">
        <x:f>IF(A114="","",IFERROR(INDEX(Frozen_Predictions!$H$4:$H$203,MATCH(A114,Frozen_Predictions!$A$4:$A$203,0)),""))</x:f>
      </x:c>
      <x:c r="G114" s="172" t="str">
        <x:f>IF(A114="","",IFERROR(INDEX(Frozen_Predictions!$I$4:$I$203,MATCH(A114,Frozen_Predictions!$A$4:$A$203,0)),""))</x:f>
      </x:c>
      <x:c r="H114" s="172" t="str">
        <x:f>IF(A114="","",IFERROR(INDEX(Frozen_Predictions!$J$4:$J$203,MATCH(A114,Frozen_Predictions!$A$4:$A$203,0)),""))</x:f>
      </x:c>
      <x:c r="I114" s="192" t="str">
        <x:f>IF(A114="","",IFERROR(INDEX(Frozen_Predictions!$L$4:$L$203,MATCH(A114,Frozen_Predictions!$A$4:$A$203,0)),""))</x:f>
      </x:c>
      <x:c r="J114" s="172" t="str">
        <x:f>IF(X114&lt;&gt;"SETTLED","",IF(N114&lt;=IF(G114="U3.5",3,IF(G114="U4.5",4,5)),1,0))</x:f>
      </x:c>
      <x:c r="K114" s="195" t="str">
        <x:f>IF(X114&lt;&gt;"SETTLED","",IF(AND(OR(V114="DEFENSIV",V114="PRUDENT",V114="MODERAT",V114="RIDICAT"),ISNUMBER(INDEX(Frozen_Predictions!$Y$4:$Y$203,MATCH(A114,Frozen_Predictions!$A$4:$A$203,0))),INDEX(Frozen_Predictions!$Y$4:$Y$203,MATCH(A114,Frozen_Predictions!$A$4:$A$203,0))&gt;1),IF(J114=1,INDEX(Frozen_Predictions!$Y$4:$Y$203,MATCH(A114,Frozen_Predictions!$A$4:$A$203,0))-1,-1),""))</x:f>
      </x:c>
      <x:c r="L114" s="175"/>
      <x:c r="M114" s="175"/>
      <x:c r="N114" s="172" t="str">
        <x:f>IFERROR(IF(AND(ISNUMBER(L114),ISNUMBER(M114),L114&gt;=0,M114&gt;=0,INT(L114)=L114,INT(M114)=M114),L114+M114,""),"")</x:f>
      </x:c>
      <x:c r="O114" s="172" t="str">
        <x:f>IF(X114&lt;&gt;"SETTLED","",IF(J114=1,"WIN",IF(N114=IF(G114="U3.5",4,IF(G114="U4.5",5,6)),"NEAR TAIL","SEVERE TAIL")))</x:f>
      </x:c>
      <x:c r="P114" s="175"/>
      <x:c r="Q114" s="177"/>
      <x:c r="R114" s="213" t="str">
        <x:f>IF(X114&lt;&gt;"SETTLED","",(I114-J114)^2)</x:f>
      </x:c>
      <x:c r="S114" s="213" t="str">
        <x:f>IF(X114&lt;&gt;"SETTLED","",-(J114*LN(MAX(0.000001,MIN(0.999999,I114)))+(1-J114)*LN(MAX(0.000001,MIN(0.999999,1-I114)))))</x:f>
      </x:c>
      <x:c r="T114" s="172" t="str">
        <x:f>IF(A114="","",IFERROR(INDEX(Frozen_Predictions!$N$4:$N$203,MATCH(A114,Frozen_Predictions!$A$4:$A$203,0)),""))</x:f>
      </x:c>
      <x:c r="U114" s="172" t="str">
        <x:f>IF(A114="","",IFERROR(INDEX(Frozen_Predictions!$O$4:$O$203,MATCH(A114,Frozen_Predictions!$A$4:$A$203,0)),""))</x:f>
      </x:c>
      <x:c r="V114" s="172" t="str">
        <x:f>IF(A114="","",IFERROR(INDEX(Frozen_Predictions!$M$4:$M$203,MATCH(A114,Frozen_Predictions!$A$4:$A$203,0)),""))</x:f>
      </x:c>
      <x:c r="W114" s="175"/>
      <x:c r="X114" s="172" t="str">
        <x:f>IF(A114="","",IF(NOT(COUNTIFS(Frozen_Predictions!$A$4:$A$203,A114)=1),"SNAPSHOT ID INVALID",IFERROR(IF(NOT(AND(INDEX(Frozen_Predictions!$Q$4:$Q$203,MATCH(A114,Frozen_Predictions!$A$4:$A$203,0))="DA",ISNUMBER(INDEX(Frozen_Predictions!$B$4:$B$203,MATCH(A114,Frozen_Predictions!$A$4:$A$203,0))),ISNUMBER(INDEX(Frozen_Predictions!$C$4:$C$203,MATCH(A114,Frozen_Predictions!$A$4:$A$203,0))),INDEX(Frozen_Predictions!$B$4:$B$203,MATCH(A114,Frozen_Predictions!$A$4:$A$203,0))&lt;INDEX(Frozen_Predictions!$C$4:$C$203,MATCH(A114,Frozen_Predictions!$A$4:$A$203,0)),INDEX(Frozen_Predictions!$V$4:$V$203,MATCH(A114,Frozen_Predictions!$A$4:$A$203,0))="READY",INDEX(Frozen_Predictions!$O$4:$O$203,MATCH(A114,Frozen_Predictions!$A$4:$A$203,0))="PASS",INDEX(Frozen_Predictions!$J$4:$J$203,MATCH(A114,Frozen_Predictions!$A$4:$A$203,0))=Under_LineCal_v9!$B$45,COUNTIFS(Frozen_Predictions!$A$4:$A$203,A114,Frozen_Predictions!$L$4:$L$203,"&lt;&gt;",Frozen_Predictions!$L$4:$L$203,"&gt;=0",Frozen_Predictions!$L$4:$L$203,"&lt;=1")=1,COUNTIFS($A$4:$A$203,A114)=1)),"SNAPSHOT NOT VALID",IF(AND(ISNUMBER(I114),I114&gt;=0,I114&lt;=1,ISNUMBER(N114),P114&lt;&gt;"",ISNUMBER(Q114),Q114&gt;=B114,OR(G114="U3.5",G114="U4.5",G114="U5.5")),"SETTLED","PENDING RESULT")),"SNAPSHOT NOT VALID")))</x:f>
      </x:c>
    </x:row>
    <x:row r="115" ht="23" customHeight="1">
      <x:c r="A115" s="175"/>
      <x:c r="B115" s="200" t="str">
        <x:f>IF(A115="","",IFERROR(INDEX(Frozen_Predictions!$C$4:$C$203,MATCH(A115,Frozen_Predictions!$A$4:$A$203,0)),""))</x:f>
      </x:c>
      <x:c r="C115" s="172" t="str">
        <x:f>IF(A115="","",IFERROR(INDEX(Frozen_Predictions!$E$4:$E$203,MATCH(A115,Frozen_Predictions!$A$4:$A$203,0)),""))</x:f>
      </x:c>
      <x:c r="D115" s="172" t="str">
        <x:f>IF(A115="","",IFERROR(INDEX(Frozen_Predictions!$F$4:$F$203,MATCH(A115,Frozen_Predictions!$A$4:$A$203,0)),""))</x:f>
      </x:c>
      <x:c r="E115" s="172" t="str">
        <x:f>IF(A115="","",IFERROR(INDEX(Frozen_Predictions!$G$4:$G$203,MATCH(A115,Frozen_Predictions!$A$4:$A$203,0)),""))</x:f>
      </x:c>
      <x:c r="F115" s="172" t="str">
        <x:f>IF(A115="","",IFERROR(INDEX(Frozen_Predictions!$H$4:$H$203,MATCH(A115,Frozen_Predictions!$A$4:$A$203,0)),""))</x:f>
      </x:c>
      <x:c r="G115" s="172" t="str">
        <x:f>IF(A115="","",IFERROR(INDEX(Frozen_Predictions!$I$4:$I$203,MATCH(A115,Frozen_Predictions!$A$4:$A$203,0)),""))</x:f>
      </x:c>
      <x:c r="H115" s="172" t="str">
        <x:f>IF(A115="","",IFERROR(INDEX(Frozen_Predictions!$J$4:$J$203,MATCH(A115,Frozen_Predictions!$A$4:$A$203,0)),""))</x:f>
      </x:c>
      <x:c r="I115" s="192" t="str">
        <x:f>IF(A115="","",IFERROR(INDEX(Frozen_Predictions!$L$4:$L$203,MATCH(A115,Frozen_Predictions!$A$4:$A$203,0)),""))</x:f>
      </x:c>
      <x:c r="J115" s="172" t="str">
        <x:f>IF(X115&lt;&gt;"SETTLED","",IF(N115&lt;=IF(G115="U3.5",3,IF(G115="U4.5",4,5)),1,0))</x:f>
      </x:c>
      <x:c r="K115" s="195" t="str">
        <x:f>IF(X115&lt;&gt;"SETTLED","",IF(AND(OR(V115="DEFENSIV",V115="PRUDENT",V115="MODERAT",V115="RIDICAT"),ISNUMBER(INDEX(Frozen_Predictions!$Y$4:$Y$203,MATCH(A115,Frozen_Predictions!$A$4:$A$203,0))),INDEX(Frozen_Predictions!$Y$4:$Y$203,MATCH(A115,Frozen_Predictions!$A$4:$A$203,0))&gt;1),IF(J115=1,INDEX(Frozen_Predictions!$Y$4:$Y$203,MATCH(A115,Frozen_Predictions!$A$4:$A$203,0))-1,-1),""))</x:f>
      </x:c>
      <x:c r="L115" s="175"/>
      <x:c r="M115" s="175"/>
      <x:c r="N115" s="172" t="str">
        <x:f>IFERROR(IF(AND(ISNUMBER(L115),ISNUMBER(M115),L115&gt;=0,M115&gt;=0,INT(L115)=L115,INT(M115)=M115),L115+M115,""),"")</x:f>
      </x:c>
      <x:c r="O115" s="172" t="str">
        <x:f>IF(X115&lt;&gt;"SETTLED","",IF(J115=1,"WIN",IF(N115=IF(G115="U3.5",4,IF(G115="U4.5",5,6)),"NEAR TAIL","SEVERE TAIL")))</x:f>
      </x:c>
      <x:c r="P115" s="175"/>
      <x:c r="Q115" s="177"/>
      <x:c r="R115" s="213" t="str">
        <x:f>IF(X115&lt;&gt;"SETTLED","",(I115-J115)^2)</x:f>
      </x:c>
      <x:c r="S115" s="213" t="str">
        <x:f>IF(X115&lt;&gt;"SETTLED","",-(J115*LN(MAX(0.000001,MIN(0.999999,I115)))+(1-J115)*LN(MAX(0.000001,MIN(0.999999,1-I115)))))</x:f>
      </x:c>
      <x:c r="T115" s="172" t="str">
        <x:f>IF(A115="","",IFERROR(INDEX(Frozen_Predictions!$N$4:$N$203,MATCH(A115,Frozen_Predictions!$A$4:$A$203,0)),""))</x:f>
      </x:c>
      <x:c r="U115" s="172" t="str">
        <x:f>IF(A115="","",IFERROR(INDEX(Frozen_Predictions!$O$4:$O$203,MATCH(A115,Frozen_Predictions!$A$4:$A$203,0)),""))</x:f>
      </x:c>
      <x:c r="V115" s="172" t="str">
        <x:f>IF(A115="","",IFERROR(INDEX(Frozen_Predictions!$M$4:$M$203,MATCH(A115,Frozen_Predictions!$A$4:$A$203,0)),""))</x:f>
      </x:c>
      <x:c r="W115" s="175"/>
      <x:c r="X115" s="172" t="str">
        <x:f>IF(A115="","",IF(NOT(COUNTIFS(Frozen_Predictions!$A$4:$A$203,A115)=1),"SNAPSHOT ID INVALID",IFERROR(IF(NOT(AND(INDEX(Frozen_Predictions!$Q$4:$Q$203,MATCH(A115,Frozen_Predictions!$A$4:$A$203,0))="DA",ISNUMBER(INDEX(Frozen_Predictions!$B$4:$B$203,MATCH(A115,Frozen_Predictions!$A$4:$A$203,0))),ISNUMBER(INDEX(Frozen_Predictions!$C$4:$C$203,MATCH(A115,Frozen_Predictions!$A$4:$A$203,0))),INDEX(Frozen_Predictions!$B$4:$B$203,MATCH(A115,Frozen_Predictions!$A$4:$A$203,0))&lt;INDEX(Frozen_Predictions!$C$4:$C$203,MATCH(A115,Frozen_Predictions!$A$4:$A$203,0)),INDEX(Frozen_Predictions!$V$4:$V$203,MATCH(A115,Frozen_Predictions!$A$4:$A$203,0))="READY",INDEX(Frozen_Predictions!$O$4:$O$203,MATCH(A115,Frozen_Predictions!$A$4:$A$203,0))="PASS",INDEX(Frozen_Predictions!$J$4:$J$203,MATCH(A115,Frozen_Predictions!$A$4:$A$203,0))=Under_LineCal_v9!$B$45,COUNTIFS(Frozen_Predictions!$A$4:$A$203,A115,Frozen_Predictions!$L$4:$L$203,"&lt;&gt;",Frozen_Predictions!$L$4:$L$203,"&gt;=0",Frozen_Predictions!$L$4:$L$203,"&lt;=1")=1,COUNTIFS($A$4:$A$203,A115)=1)),"SNAPSHOT NOT VALID",IF(AND(ISNUMBER(I115),I115&gt;=0,I115&lt;=1,ISNUMBER(N115),P115&lt;&gt;"",ISNUMBER(Q115),Q115&gt;=B115,OR(G115="U3.5",G115="U4.5",G115="U5.5")),"SETTLED","PENDING RESULT")),"SNAPSHOT NOT VALID")))</x:f>
      </x:c>
    </x:row>
    <x:row r="116" ht="23" customHeight="1">
      <x:c r="A116" s="175"/>
      <x:c r="B116" s="200" t="str">
        <x:f>IF(A116="","",IFERROR(INDEX(Frozen_Predictions!$C$4:$C$203,MATCH(A116,Frozen_Predictions!$A$4:$A$203,0)),""))</x:f>
      </x:c>
      <x:c r="C116" s="172" t="str">
        <x:f>IF(A116="","",IFERROR(INDEX(Frozen_Predictions!$E$4:$E$203,MATCH(A116,Frozen_Predictions!$A$4:$A$203,0)),""))</x:f>
      </x:c>
      <x:c r="D116" s="172" t="str">
        <x:f>IF(A116="","",IFERROR(INDEX(Frozen_Predictions!$F$4:$F$203,MATCH(A116,Frozen_Predictions!$A$4:$A$203,0)),""))</x:f>
      </x:c>
      <x:c r="E116" s="172" t="str">
        <x:f>IF(A116="","",IFERROR(INDEX(Frozen_Predictions!$G$4:$G$203,MATCH(A116,Frozen_Predictions!$A$4:$A$203,0)),""))</x:f>
      </x:c>
      <x:c r="F116" s="172" t="str">
        <x:f>IF(A116="","",IFERROR(INDEX(Frozen_Predictions!$H$4:$H$203,MATCH(A116,Frozen_Predictions!$A$4:$A$203,0)),""))</x:f>
      </x:c>
      <x:c r="G116" s="172" t="str">
        <x:f>IF(A116="","",IFERROR(INDEX(Frozen_Predictions!$I$4:$I$203,MATCH(A116,Frozen_Predictions!$A$4:$A$203,0)),""))</x:f>
      </x:c>
      <x:c r="H116" s="172" t="str">
        <x:f>IF(A116="","",IFERROR(INDEX(Frozen_Predictions!$J$4:$J$203,MATCH(A116,Frozen_Predictions!$A$4:$A$203,0)),""))</x:f>
      </x:c>
      <x:c r="I116" s="192" t="str">
        <x:f>IF(A116="","",IFERROR(INDEX(Frozen_Predictions!$L$4:$L$203,MATCH(A116,Frozen_Predictions!$A$4:$A$203,0)),""))</x:f>
      </x:c>
      <x:c r="J116" s="172" t="str">
        <x:f>IF(X116&lt;&gt;"SETTLED","",IF(N116&lt;=IF(G116="U3.5",3,IF(G116="U4.5",4,5)),1,0))</x:f>
      </x:c>
      <x:c r="K116" s="195" t="str">
        <x:f>IF(X116&lt;&gt;"SETTLED","",IF(AND(OR(V116="DEFENSIV",V116="PRUDENT",V116="MODERAT",V116="RIDICAT"),ISNUMBER(INDEX(Frozen_Predictions!$Y$4:$Y$203,MATCH(A116,Frozen_Predictions!$A$4:$A$203,0))),INDEX(Frozen_Predictions!$Y$4:$Y$203,MATCH(A116,Frozen_Predictions!$A$4:$A$203,0))&gt;1),IF(J116=1,INDEX(Frozen_Predictions!$Y$4:$Y$203,MATCH(A116,Frozen_Predictions!$A$4:$A$203,0))-1,-1),""))</x:f>
      </x:c>
      <x:c r="L116" s="175"/>
      <x:c r="M116" s="175"/>
      <x:c r="N116" s="172" t="str">
        <x:f>IFERROR(IF(AND(ISNUMBER(L116),ISNUMBER(M116),L116&gt;=0,M116&gt;=0,INT(L116)=L116,INT(M116)=M116),L116+M116,""),"")</x:f>
      </x:c>
      <x:c r="O116" s="172" t="str">
        <x:f>IF(X116&lt;&gt;"SETTLED","",IF(J116=1,"WIN",IF(N116=IF(G116="U3.5",4,IF(G116="U4.5",5,6)),"NEAR TAIL","SEVERE TAIL")))</x:f>
      </x:c>
      <x:c r="P116" s="175"/>
      <x:c r="Q116" s="177"/>
      <x:c r="R116" s="213" t="str">
        <x:f>IF(X116&lt;&gt;"SETTLED","",(I116-J116)^2)</x:f>
      </x:c>
      <x:c r="S116" s="213" t="str">
        <x:f>IF(X116&lt;&gt;"SETTLED","",-(J116*LN(MAX(0.000001,MIN(0.999999,I116)))+(1-J116)*LN(MAX(0.000001,MIN(0.999999,1-I116)))))</x:f>
      </x:c>
      <x:c r="T116" s="172" t="str">
        <x:f>IF(A116="","",IFERROR(INDEX(Frozen_Predictions!$N$4:$N$203,MATCH(A116,Frozen_Predictions!$A$4:$A$203,0)),""))</x:f>
      </x:c>
      <x:c r="U116" s="172" t="str">
        <x:f>IF(A116="","",IFERROR(INDEX(Frozen_Predictions!$O$4:$O$203,MATCH(A116,Frozen_Predictions!$A$4:$A$203,0)),""))</x:f>
      </x:c>
      <x:c r="V116" s="172" t="str">
        <x:f>IF(A116="","",IFERROR(INDEX(Frozen_Predictions!$M$4:$M$203,MATCH(A116,Frozen_Predictions!$A$4:$A$203,0)),""))</x:f>
      </x:c>
      <x:c r="W116" s="175"/>
      <x:c r="X116" s="172" t="str">
        <x:f>IF(A116="","",IF(NOT(COUNTIFS(Frozen_Predictions!$A$4:$A$203,A116)=1),"SNAPSHOT ID INVALID",IFERROR(IF(NOT(AND(INDEX(Frozen_Predictions!$Q$4:$Q$203,MATCH(A116,Frozen_Predictions!$A$4:$A$203,0))="DA",ISNUMBER(INDEX(Frozen_Predictions!$B$4:$B$203,MATCH(A116,Frozen_Predictions!$A$4:$A$203,0))),ISNUMBER(INDEX(Frozen_Predictions!$C$4:$C$203,MATCH(A116,Frozen_Predictions!$A$4:$A$203,0))),INDEX(Frozen_Predictions!$B$4:$B$203,MATCH(A116,Frozen_Predictions!$A$4:$A$203,0))&lt;INDEX(Frozen_Predictions!$C$4:$C$203,MATCH(A116,Frozen_Predictions!$A$4:$A$203,0)),INDEX(Frozen_Predictions!$V$4:$V$203,MATCH(A116,Frozen_Predictions!$A$4:$A$203,0))="READY",INDEX(Frozen_Predictions!$O$4:$O$203,MATCH(A116,Frozen_Predictions!$A$4:$A$203,0))="PASS",INDEX(Frozen_Predictions!$J$4:$J$203,MATCH(A116,Frozen_Predictions!$A$4:$A$203,0))=Under_LineCal_v9!$B$45,COUNTIFS(Frozen_Predictions!$A$4:$A$203,A116,Frozen_Predictions!$L$4:$L$203,"&lt;&gt;",Frozen_Predictions!$L$4:$L$203,"&gt;=0",Frozen_Predictions!$L$4:$L$203,"&lt;=1")=1,COUNTIFS($A$4:$A$203,A116)=1)),"SNAPSHOT NOT VALID",IF(AND(ISNUMBER(I116),I116&gt;=0,I116&lt;=1,ISNUMBER(N116),P116&lt;&gt;"",ISNUMBER(Q116),Q116&gt;=B116,OR(G116="U3.5",G116="U4.5",G116="U5.5")),"SETTLED","PENDING RESULT")),"SNAPSHOT NOT VALID")))</x:f>
      </x:c>
    </x:row>
    <x:row r="117" ht="23" customHeight="1">
      <x:c r="A117" s="175"/>
      <x:c r="B117" s="200" t="str">
        <x:f>IF(A117="","",IFERROR(INDEX(Frozen_Predictions!$C$4:$C$203,MATCH(A117,Frozen_Predictions!$A$4:$A$203,0)),""))</x:f>
      </x:c>
      <x:c r="C117" s="172" t="str">
        <x:f>IF(A117="","",IFERROR(INDEX(Frozen_Predictions!$E$4:$E$203,MATCH(A117,Frozen_Predictions!$A$4:$A$203,0)),""))</x:f>
      </x:c>
      <x:c r="D117" s="172" t="str">
        <x:f>IF(A117="","",IFERROR(INDEX(Frozen_Predictions!$F$4:$F$203,MATCH(A117,Frozen_Predictions!$A$4:$A$203,0)),""))</x:f>
      </x:c>
      <x:c r="E117" s="172" t="str">
        <x:f>IF(A117="","",IFERROR(INDEX(Frozen_Predictions!$G$4:$G$203,MATCH(A117,Frozen_Predictions!$A$4:$A$203,0)),""))</x:f>
      </x:c>
      <x:c r="F117" s="172" t="str">
        <x:f>IF(A117="","",IFERROR(INDEX(Frozen_Predictions!$H$4:$H$203,MATCH(A117,Frozen_Predictions!$A$4:$A$203,0)),""))</x:f>
      </x:c>
      <x:c r="G117" s="172" t="str">
        <x:f>IF(A117="","",IFERROR(INDEX(Frozen_Predictions!$I$4:$I$203,MATCH(A117,Frozen_Predictions!$A$4:$A$203,0)),""))</x:f>
      </x:c>
      <x:c r="H117" s="172" t="str">
        <x:f>IF(A117="","",IFERROR(INDEX(Frozen_Predictions!$J$4:$J$203,MATCH(A117,Frozen_Predictions!$A$4:$A$203,0)),""))</x:f>
      </x:c>
      <x:c r="I117" s="192" t="str">
        <x:f>IF(A117="","",IFERROR(INDEX(Frozen_Predictions!$L$4:$L$203,MATCH(A117,Frozen_Predictions!$A$4:$A$203,0)),""))</x:f>
      </x:c>
      <x:c r="J117" s="172" t="str">
        <x:f>IF(X117&lt;&gt;"SETTLED","",IF(N117&lt;=IF(G117="U3.5",3,IF(G117="U4.5",4,5)),1,0))</x:f>
      </x:c>
      <x:c r="K117" s="195" t="str">
        <x:f>IF(X117&lt;&gt;"SETTLED","",IF(AND(OR(V117="DEFENSIV",V117="PRUDENT",V117="MODERAT",V117="RIDICAT"),ISNUMBER(INDEX(Frozen_Predictions!$Y$4:$Y$203,MATCH(A117,Frozen_Predictions!$A$4:$A$203,0))),INDEX(Frozen_Predictions!$Y$4:$Y$203,MATCH(A117,Frozen_Predictions!$A$4:$A$203,0))&gt;1),IF(J117=1,INDEX(Frozen_Predictions!$Y$4:$Y$203,MATCH(A117,Frozen_Predictions!$A$4:$A$203,0))-1,-1),""))</x:f>
      </x:c>
      <x:c r="L117" s="175"/>
      <x:c r="M117" s="175"/>
      <x:c r="N117" s="172" t="str">
        <x:f>IFERROR(IF(AND(ISNUMBER(L117),ISNUMBER(M117),L117&gt;=0,M117&gt;=0,INT(L117)=L117,INT(M117)=M117),L117+M117,""),"")</x:f>
      </x:c>
      <x:c r="O117" s="172" t="str">
        <x:f>IF(X117&lt;&gt;"SETTLED","",IF(J117=1,"WIN",IF(N117=IF(G117="U3.5",4,IF(G117="U4.5",5,6)),"NEAR TAIL","SEVERE TAIL")))</x:f>
      </x:c>
      <x:c r="P117" s="175"/>
      <x:c r="Q117" s="177"/>
      <x:c r="R117" s="213" t="str">
        <x:f>IF(X117&lt;&gt;"SETTLED","",(I117-J117)^2)</x:f>
      </x:c>
      <x:c r="S117" s="213" t="str">
        <x:f>IF(X117&lt;&gt;"SETTLED","",-(J117*LN(MAX(0.000001,MIN(0.999999,I117)))+(1-J117)*LN(MAX(0.000001,MIN(0.999999,1-I117)))))</x:f>
      </x:c>
      <x:c r="T117" s="172" t="str">
        <x:f>IF(A117="","",IFERROR(INDEX(Frozen_Predictions!$N$4:$N$203,MATCH(A117,Frozen_Predictions!$A$4:$A$203,0)),""))</x:f>
      </x:c>
      <x:c r="U117" s="172" t="str">
        <x:f>IF(A117="","",IFERROR(INDEX(Frozen_Predictions!$O$4:$O$203,MATCH(A117,Frozen_Predictions!$A$4:$A$203,0)),""))</x:f>
      </x:c>
      <x:c r="V117" s="172" t="str">
        <x:f>IF(A117="","",IFERROR(INDEX(Frozen_Predictions!$M$4:$M$203,MATCH(A117,Frozen_Predictions!$A$4:$A$203,0)),""))</x:f>
      </x:c>
      <x:c r="W117" s="175"/>
      <x:c r="X117" s="172" t="str">
        <x:f>IF(A117="","",IF(NOT(COUNTIFS(Frozen_Predictions!$A$4:$A$203,A117)=1),"SNAPSHOT ID INVALID",IFERROR(IF(NOT(AND(INDEX(Frozen_Predictions!$Q$4:$Q$203,MATCH(A117,Frozen_Predictions!$A$4:$A$203,0))="DA",ISNUMBER(INDEX(Frozen_Predictions!$B$4:$B$203,MATCH(A117,Frozen_Predictions!$A$4:$A$203,0))),ISNUMBER(INDEX(Frozen_Predictions!$C$4:$C$203,MATCH(A117,Frozen_Predictions!$A$4:$A$203,0))),INDEX(Frozen_Predictions!$B$4:$B$203,MATCH(A117,Frozen_Predictions!$A$4:$A$203,0))&lt;INDEX(Frozen_Predictions!$C$4:$C$203,MATCH(A117,Frozen_Predictions!$A$4:$A$203,0)),INDEX(Frozen_Predictions!$V$4:$V$203,MATCH(A117,Frozen_Predictions!$A$4:$A$203,0))="READY",INDEX(Frozen_Predictions!$O$4:$O$203,MATCH(A117,Frozen_Predictions!$A$4:$A$203,0))="PASS",INDEX(Frozen_Predictions!$J$4:$J$203,MATCH(A117,Frozen_Predictions!$A$4:$A$203,0))=Under_LineCal_v9!$B$45,COUNTIFS(Frozen_Predictions!$A$4:$A$203,A117,Frozen_Predictions!$L$4:$L$203,"&lt;&gt;",Frozen_Predictions!$L$4:$L$203,"&gt;=0",Frozen_Predictions!$L$4:$L$203,"&lt;=1")=1,COUNTIFS($A$4:$A$203,A117)=1)),"SNAPSHOT NOT VALID",IF(AND(ISNUMBER(I117),I117&gt;=0,I117&lt;=1,ISNUMBER(N117),P117&lt;&gt;"",ISNUMBER(Q117),Q117&gt;=B117,OR(G117="U3.5",G117="U4.5",G117="U5.5")),"SETTLED","PENDING RESULT")),"SNAPSHOT NOT VALID")))</x:f>
      </x:c>
    </x:row>
    <x:row r="118" ht="23" customHeight="1">
      <x:c r="A118" s="175"/>
      <x:c r="B118" s="200" t="str">
        <x:f>IF(A118="","",IFERROR(INDEX(Frozen_Predictions!$C$4:$C$203,MATCH(A118,Frozen_Predictions!$A$4:$A$203,0)),""))</x:f>
      </x:c>
      <x:c r="C118" s="172" t="str">
        <x:f>IF(A118="","",IFERROR(INDEX(Frozen_Predictions!$E$4:$E$203,MATCH(A118,Frozen_Predictions!$A$4:$A$203,0)),""))</x:f>
      </x:c>
      <x:c r="D118" s="172" t="str">
        <x:f>IF(A118="","",IFERROR(INDEX(Frozen_Predictions!$F$4:$F$203,MATCH(A118,Frozen_Predictions!$A$4:$A$203,0)),""))</x:f>
      </x:c>
      <x:c r="E118" s="172" t="str">
        <x:f>IF(A118="","",IFERROR(INDEX(Frozen_Predictions!$G$4:$G$203,MATCH(A118,Frozen_Predictions!$A$4:$A$203,0)),""))</x:f>
      </x:c>
      <x:c r="F118" s="172" t="str">
        <x:f>IF(A118="","",IFERROR(INDEX(Frozen_Predictions!$H$4:$H$203,MATCH(A118,Frozen_Predictions!$A$4:$A$203,0)),""))</x:f>
      </x:c>
      <x:c r="G118" s="172" t="str">
        <x:f>IF(A118="","",IFERROR(INDEX(Frozen_Predictions!$I$4:$I$203,MATCH(A118,Frozen_Predictions!$A$4:$A$203,0)),""))</x:f>
      </x:c>
      <x:c r="H118" s="172" t="str">
        <x:f>IF(A118="","",IFERROR(INDEX(Frozen_Predictions!$J$4:$J$203,MATCH(A118,Frozen_Predictions!$A$4:$A$203,0)),""))</x:f>
      </x:c>
      <x:c r="I118" s="192" t="str">
        <x:f>IF(A118="","",IFERROR(INDEX(Frozen_Predictions!$L$4:$L$203,MATCH(A118,Frozen_Predictions!$A$4:$A$203,0)),""))</x:f>
      </x:c>
      <x:c r="J118" s="172" t="str">
        <x:f>IF(X118&lt;&gt;"SETTLED","",IF(N118&lt;=IF(G118="U3.5",3,IF(G118="U4.5",4,5)),1,0))</x:f>
      </x:c>
      <x:c r="K118" s="195" t="str">
        <x:f>IF(X118&lt;&gt;"SETTLED","",IF(AND(OR(V118="DEFENSIV",V118="PRUDENT",V118="MODERAT",V118="RIDICAT"),ISNUMBER(INDEX(Frozen_Predictions!$Y$4:$Y$203,MATCH(A118,Frozen_Predictions!$A$4:$A$203,0))),INDEX(Frozen_Predictions!$Y$4:$Y$203,MATCH(A118,Frozen_Predictions!$A$4:$A$203,0))&gt;1),IF(J118=1,INDEX(Frozen_Predictions!$Y$4:$Y$203,MATCH(A118,Frozen_Predictions!$A$4:$A$203,0))-1,-1),""))</x:f>
      </x:c>
      <x:c r="L118" s="175"/>
      <x:c r="M118" s="175"/>
      <x:c r="N118" s="172" t="str">
        <x:f>IFERROR(IF(AND(ISNUMBER(L118),ISNUMBER(M118),L118&gt;=0,M118&gt;=0,INT(L118)=L118,INT(M118)=M118),L118+M118,""),"")</x:f>
      </x:c>
      <x:c r="O118" s="172" t="str">
        <x:f>IF(X118&lt;&gt;"SETTLED","",IF(J118=1,"WIN",IF(N118=IF(G118="U3.5",4,IF(G118="U4.5",5,6)),"NEAR TAIL","SEVERE TAIL")))</x:f>
      </x:c>
      <x:c r="P118" s="175"/>
      <x:c r="Q118" s="177"/>
      <x:c r="R118" s="213" t="str">
        <x:f>IF(X118&lt;&gt;"SETTLED","",(I118-J118)^2)</x:f>
      </x:c>
      <x:c r="S118" s="213" t="str">
        <x:f>IF(X118&lt;&gt;"SETTLED","",-(J118*LN(MAX(0.000001,MIN(0.999999,I118)))+(1-J118)*LN(MAX(0.000001,MIN(0.999999,1-I118)))))</x:f>
      </x:c>
      <x:c r="T118" s="172" t="str">
        <x:f>IF(A118="","",IFERROR(INDEX(Frozen_Predictions!$N$4:$N$203,MATCH(A118,Frozen_Predictions!$A$4:$A$203,0)),""))</x:f>
      </x:c>
      <x:c r="U118" s="172" t="str">
        <x:f>IF(A118="","",IFERROR(INDEX(Frozen_Predictions!$O$4:$O$203,MATCH(A118,Frozen_Predictions!$A$4:$A$203,0)),""))</x:f>
      </x:c>
      <x:c r="V118" s="172" t="str">
        <x:f>IF(A118="","",IFERROR(INDEX(Frozen_Predictions!$M$4:$M$203,MATCH(A118,Frozen_Predictions!$A$4:$A$203,0)),""))</x:f>
      </x:c>
      <x:c r="W118" s="175"/>
      <x:c r="X118" s="172" t="str">
        <x:f>IF(A118="","",IF(NOT(COUNTIFS(Frozen_Predictions!$A$4:$A$203,A118)=1),"SNAPSHOT ID INVALID",IFERROR(IF(NOT(AND(INDEX(Frozen_Predictions!$Q$4:$Q$203,MATCH(A118,Frozen_Predictions!$A$4:$A$203,0))="DA",ISNUMBER(INDEX(Frozen_Predictions!$B$4:$B$203,MATCH(A118,Frozen_Predictions!$A$4:$A$203,0))),ISNUMBER(INDEX(Frozen_Predictions!$C$4:$C$203,MATCH(A118,Frozen_Predictions!$A$4:$A$203,0))),INDEX(Frozen_Predictions!$B$4:$B$203,MATCH(A118,Frozen_Predictions!$A$4:$A$203,0))&lt;INDEX(Frozen_Predictions!$C$4:$C$203,MATCH(A118,Frozen_Predictions!$A$4:$A$203,0)),INDEX(Frozen_Predictions!$V$4:$V$203,MATCH(A118,Frozen_Predictions!$A$4:$A$203,0))="READY",INDEX(Frozen_Predictions!$O$4:$O$203,MATCH(A118,Frozen_Predictions!$A$4:$A$203,0))="PASS",INDEX(Frozen_Predictions!$J$4:$J$203,MATCH(A118,Frozen_Predictions!$A$4:$A$203,0))=Under_LineCal_v9!$B$45,COUNTIFS(Frozen_Predictions!$A$4:$A$203,A118,Frozen_Predictions!$L$4:$L$203,"&lt;&gt;",Frozen_Predictions!$L$4:$L$203,"&gt;=0",Frozen_Predictions!$L$4:$L$203,"&lt;=1")=1,COUNTIFS($A$4:$A$203,A118)=1)),"SNAPSHOT NOT VALID",IF(AND(ISNUMBER(I118),I118&gt;=0,I118&lt;=1,ISNUMBER(N118),P118&lt;&gt;"",ISNUMBER(Q118),Q118&gt;=B118,OR(G118="U3.5",G118="U4.5",G118="U5.5")),"SETTLED","PENDING RESULT")),"SNAPSHOT NOT VALID")))</x:f>
      </x:c>
    </x:row>
    <x:row r="119" ht="23" customHeight="1">
      <x:c r="A119" s="175"/>
      <x:c r="B119" s="200" t="str">
        <x:f>IF(A119="","",IFERROR(INDEX(Frozen_Predictions!$C$4:$C$203,MATCH(A119,Frozen_Predictions!$A$4:$A$203,0)),""))</x:f>
      </x:c>
      <x:c r="C119" s="172" t="str">
        <x:f>IF(A119="","",IFERROR(INDEX(Frozen_Predictions!$E$4:$E$203,MATCH(A119,Frozen_Predictions!$A$4:$A$203,0)),""))</x:f>
      </x:c>
      <x:c r="D119" s="172" t="str">
        <x:f>IF(A119="","",IFERROR(INDEX(Frozen_Predictions!$F$4:$F$203,MATCH(A119,Frozen_Predictions!$A$4:$A$203,0)),""))</x:f>
      </x:c>
      <x:c r="E119" s="172" t="str">
        <x:f>IF(A119="","",IFERROR(INDEX(Frozen_Predictions!$G$4:$G$203,MATCH(A119,Frozen_Predictions!$A$4:$A$203,0)),""))</x:f>
      </x:c>
      <x:c r="F119" s="172" t="str">
        <x:f>IF(A119="","",IFERROR(INDEX(Frozen_Predictions!$H$4:$H$203,MATCH(A119,Frozen_Predictions!$A$4:$A$203,0)),""))</x:f>
      </x:c>
      <x:c r="G119" s="172" t="str">
        <x:f>IF(A119="","",IFERROR(INDEX(Frozen_Predictions!$I$4:$I$203,MATCH(A119,Frozen_Predictions!$A$4:$A$203,0)),""))</x:f>
      </x:c>
      <x:c r="H119" s="172" t="str">
        <x:f>IF(A119="","",IFERROR(INDEX(Frozen_Predictions!$J$4:$J$203,MATCH(A119,Frozen_Predictions!$A$4:$A$203,0)),""))</x:f>
      </x:c>
      <x:c r="I119" s="192" t="str">
        <x:f>IF(A119="","",IFERROR(INDEX(Frozen_Predictions!$L$4:$L$203,MATCH(A119,Frozen_Predictions!$A$4:$A$203,0)),""))</x:f>
      </x:c>
      <x:c r="J119" s="172" t="str">
        <x:f>IF(X119&lt;&gt;"SETTLED","",IF(N119&lt;=IF(G119="U3.5",3,IF(G119="U4.5",4,5)),1,0))</x:f>
      </x:c>
      <x:c r="K119" s="195" t="str">
        <x:f>IF(X119&lt;&gt;"SETTLED","",IF(AND(OR(V119="DEFENSIV",V119="PRUDENT",V119="MODERAT",V119="RIDICAT"),ISNUMBER(INDEX(Frozen_Predictions!$Y$4:$Y$203,MATCH(A119,Frozen_Predictions!$A$4:$A$203,0))),INDEX(Frozen_Predictions!$Y$4:$Y$203,MATCH(A119,Frozen_Predictions!$A$4:$A$203,0))&gt;1),IF(J119=1,INDEX(Frozen_Predictions!$Y$4:$Y$203,MATCH(A119,Frozen_Predictions!$A$4:$A$203,0))-1,-1),""))</x:f>
      </x:c>
      <x:c r="L119" s="175"/>
      <x:c r="M119" s="175"/>
      <x:c r="N119" s="172" t="str">
        <x:f>IFERROR(IF(AND(ISNUMBER(L119),ISNUMBER(M119),L119&gt;=0,M119&gt;=0,INT(L119)=L119,INT(M119)=M119),L119+M119,""),"")</x:f>
      </x:c>
      <x:c r="O119" s="172" t="str">
        <x:f>IF(X119&lt;&gt;"SETTLED","",IF(J119=1,"WIN",IF(N119=IF(G119="U3.5",4,IF(G119="U4.5",5,6)),"NEAR TAIL","SEVERE TAIL")))</x:f>
      </x:c>
      <x:c r="P119" s="175"/>
      <x:c r="Q119" s="177"/>
      <x:c r="R119" s="213" t="str">
        <x:f>IF(X119&lt;&gt;"SETTLED","",(I119-J119)^2)</x:f>
      </x:c>
      <x:c r="S119" s="213" t="str">
        <x:f>IF(X119&lt;&gt;"SETTLED","",-(J119*LN(MAX(0.000001,MIN(0.999999,I119)))+(1-J119)*LN(MAX(0.000001,MIN(0.999999,1-I119)))))</x:f>
      </x:c>
      <x:c r="T119" s="172" t="str">
        <x:f>IF(A119="","",IFERROR(INDEX(Frozen_Predictions!$N$4:$N$203,MATCH(A119,Frozen_Predictions!$A$4:$A$203,0)),""))</x:f>
      </x:c>
      <x:c r="U119" s="172" t="str">
        <x:f>IF(A119="","",IFERROR(INDEX(Frozen_Predictions!$O$4:$O$203,MATCH(A119,Frozen_Predictions!$A$4:$A$203,0)),""))</x:f>
      </x:c>
      <x:c r="V119" s="172" t="str">
        <x:f>IF(A119="","",IFERROR(INDEX(Frozen_Predictions!$M$4:$M$203,MATCH(A119,Frozen_Predictions!$A$4:$A$203,0)),""))</x:f>
      </x:c>
      <x:c r="W119" s="175"/>
      <x:c r="X119" s="172" t="str">
        <x:f>IF(A119="","",IF(NOT(COUNTIFS(Frozen_Predictions!$A$4:$A$203,A119)=1),"SNAPSHOT ID INVALID",IFERROR(IF(NOT(AND(INDEX(Frozen_Predictions!$Q$4:$Q$203,MATCH(A119,Frozen_Predictions!$A$4:$A$203,0))="DA",ISNUMBER(INDEX(Frozen_Predictions!$B$4:$B$203,MATCH(A119,Frozen_Predictions!$A$4:$A$203,0))),ISNUMBER(INDEX(Frozen_Predictions!$C$4:$C$203,MATCH(A119,Frozen_Predictions!$A$4:$A$203,0))),INDEX(Frozen_Predictions!$B$4:$B$203,MATCH(A119,Frozen_Predictions!$A$4:$A$203,0))&lt;INDEX(Frozen_Predictions!$C$4:$C$203,MATCH(A119,Frozen_Predictions!$A$4:$A$203,0)),INDEX(Frozen_Predictions!$V$4:$V$203,MATCH(A119,Frozen_Predictions!$A$4:$A$203,0))="READY",INDEX(Frozen_Predictions!$O$4:$O$203,MATCH(A119,Frozen_Predictions!$A$4:$A$203,0))="PASS",INDEX(Frozen_Predictions!$J$4:$J$203,MATCH(A119,Frozen_Predictions!$A$4:$A$203,0))=Under_LineCal_v9!$B$45,COUNTIFS(Frozen_Predictions!$A$4:$A$203,A119,Frozen_Predictions!$L$4:$L$203,"&lt;&gt;",Frozen_Predictions!$L$4:$L$203,"&gt;=0",Frozen_Predictions!$L$4:$L$203,"&lt;=1")=1,COUNTIFS($A$4:$A$203,A119)=1)),"SNAPSHOT NOT VALID",IF(AND(ISNUMBER(I119),I119&gt;=0,I119&lt;=1,ISNUMBER(N119),P119&lt;&gt;"",ISNUMBER(Q119),Q119&gt;=B119,OR(G119="U3.5",G119="U4.5",G119="U5.5")),"SETTLED","PENDING RESULT")),"SNAPSHOT NOT VALID")))</x:f>
      </x:c>
    </x:row>
    <x:row r="120" ht="23" customHeight="1">
      <x:c r="A120" s="175"/>
      <x:c r="B120" s="200" t="str">
        <x:f>IF(A120="","",IFERROR(INDEX(Frozen_Predictions!$C$4:$C$203,MATCH(A120,Frozen_Predictions!$A$4:$A$203,0)),""))</x:f>
      </x:c>
      <x:c r="C120" s="172" t="str">
        <x:f>IF(A120="","",IFERROR(INDEX(Frozen_Predictions!$E$4:$E$203,MATCH(A120,Frozen_Predictions!$A$4:$A$203,0)),""))</x:f>
      </x:c>
      <x:c r="D120" s="172" t="str">
        <x:f>IF(A120="","",IFERROR(INDEX(Frozen_Predictions!$F$4:$F$203,MATCH(A120,Frozen_Predictions!$A$4:$A$203,0)),""))</x:f>
      </x:c>
      <x:c r="E120" s="172" t="str">
        <x:f>IF(A120="","",IFERROR(INDEX(Frozen_Predictions!$G$4:$G$203,MATCH(A120,Frozen_Predictions!$A$4:$A$203,0)),""))</x:f>
      </x:c>
      <x:c r="F120" s="172" t="str">
        <x:f>IF(A120="","",IFERROR(INDEX(Frozen_Predictions!$H$4:$H$203,MATCH(A120,Frozen_Predictions!$A$4:$A$203,0)),""))</x:f>
      </x:c>
      <x:c r="G120" s="172" t="str">
        <x:f>IF(A120="","",IFERROR(INDEX(Frozen_Predictions!$I$4:$I$203,MATCH(A120,Frozen_Predictions!$A$4:$A$203,0)),""))</x:f>
      </x:c>
      <x:c r="H120" s="172" t="str">
        <x:f>IF(A120="","",IFERROR(INDEX(Frozen_Predictions!$J$4:$J$203,MATCH(A120,Frozen_Predictions!$A$4:$A$203,0)),""))</x:f>
      </x:c>
      <x:c r="I120" s="192" t="str">
        <x:f>IF(A120="","",IFERROR(INDEX(Frozen_Predictions!$L$4:$L$203,MATCH(A120,Frozen_Predictions!$A$4:$A$203,0)),""))</x:f>
      </x:c>
      <x:c r="J120" s="172" t="str">
        <x:f>IF(X120&lt;&gt;"SETTLED","",IF(N120&lt;=IF(G120="U3.5",3,IF(G120="U4.5",4,5)),1,0))</x:f>
      </x:c>
      <x:c r="K120" s="195" t="str">
        <x:f>IF(X120&lt;&gt;"SETTLED","",IF(AND(OR(V120="DEFENSIV",V120="PRUDENT",V120="MODERAT",V120="RIDICAT"),ISNUMBER(INDEX(Frozen_Predictions!$Y$4:$Y$203,MATCH(A120,Frozen_Predictions!$A$4:$A$203,0))),INDEX(Frozen_Predictions!$Y$4:$Y$203,MATCH(A120,Frozen_Predictions!$A$4:$A$203,0))&gt;1),IF(J120=1,INDEX(Frozen_Predictions!$Y$4:$Y$203,MATCH(A120,Frozen_Predictions!$A$4:$A$203,0))-1,-1),""))</x:f>
      </x:c>
      <x:c r="L120" s="175"/>
      <x:c r="M120" s="175"/>
      <x:c r="N120" s="172" t="str">
        <x:f>IFERROR(IF(AND(ISNUMBER(L120),ISNUMBER(M120),L120&gt;=0,M120&gt;=0,INT(L120)=L120,INT(M120)=M120),L120+M120,""),"")</x:f>
      </x:c>
      <x:c r="O120" s="172" t="str">
        <x:f>IF(X120&lt;&gt;"SETTLED","",IF(J120=1,"WIN",IF(N120=IF(G120="U3.5",4,IF(G120="U4.5",5,6)),"NEAR TAIL","SEVERE TAIL")))</x:f>
      </x:c>
      <x:c r="P120" s="175"/>
      <x:c r="Q120" s="177"/>
      <x:c r="R120" s="213" t="str">
        <x:f>IF(X120&lt;&gt;"SETTLED","",(I120-J120)^2)</x:f>
      </x:c>
      <x:c r="S120" s="213" t="str">
        <x:f>IF(X120&lt;&gt;"SETTLED","",-(J120*LN(MAX(0.000001,MIN(0.999999,I120)))+(1-J120)*LN(MAX(0.000001,MIN(0.999999,1-I120)))))</x:f>
      </x:c>
      <x:c r="T120" s="172" t="str">
        <x:f>IF(A120="","",IFERROR(INDEX(Frozen_Predictions!$N$4:$N$203,MATCH(A120,Frozen_Predictions!$A$4:$A$203,0)),""))</x:f>
      </x:c>
      <x:c r="U120" s="172" t="str">
        <x:f>IF(A120="","",IFERROR(INDEX(Frozen_Predictions!$O$4:$O$203,MATCH(A120,Frozen_Predictions!$A$4:$A$203,0)),""))</x:f>
      </x:c>
      <x:c r="V120" s="172" t="str">
        <x:f>IF(A120="","",IFERROR(INDEX(Frozen_Predictions!$M$4:$M$203,MATCH(A120,Frozen_Predictions!$A$4:$A$203,0)),""))</x:f>
      </x:c>
      <x:c r="W120" s="175"/>
      <x:c r="X120" s="172" t="str">
        <x:f>IF(A120="","",IF(NOT(COUNTIFS(Frozen_Predictions!$A$4:$A$203,A120)=1),"SNAPSHOT ID INVALID",IFERROR(IF(NOT(AND(INDEX(Frozen_Predictions!$Q$4:$Q$203,MATCH(A120,Frozen_Predictions!$A$4:$A$203,0))="DA",ISNUMBER(INDEX(Frozen_Predictions!$B$4:$B$203,MATCH(A120,Frozen_Predictions!$A$4:$A$203,0))),ISNUMBER(INDEX(Frozen_Predictions!$C$4:$C$203,MATCH(A120,Frozen_Predictions!$A$4:$A$203,0))),INDEX(Frozen_Predictions!$B$4:$B$203,MATCH(A120,Frozen_Predictions!$A$4:$A$203,0))&lt;INDEX(Frozen_Predictions!$C$4:$C$203,MATCH(A120,Frozen_Predictions!$A$4:$A$203,0)),INDEX(Frozen_Predictions!$V$4:$V$203,MATCH(A120,Frozen_Predictions!$A$4:$A$203,0))="READY",INDEX(Frozen_Predictions!$O$4:$O$203,MATCH(A120,Frozen_Predictions!$A$4:$A$203,0))="PASS",INDEX(Frozen_Predictions!$J$4:$J$203,MATCH(A120,Frozen_Predictions!$A$4:$A$203,0))=Under_LineCal_v9!$B$45,COUNTIFS(Frozen_Predictions!$A$4:$A$203,A120,Frozen_Predictions!$L$4:$L$203,"&lt;&gt;",Frozen_Predictions!$L$4:$L$203,"&gt;=0",Frozen_Predictions!$L$4:$L$203,"&lt;=1")=1,COUNTIFS($A$4:$A$203,A120)=1)),"SNAPSHOT NOT VALID",IF(AND(ISNUMBER(I120),I120&gt;=0,I120&lt;=1,ISNUMBER(N120),P120&lt;&gt;"",ISNUMBER(Q120),Q120&gt;=B120,OR(G120="U3.5",G120="U4.5",G120="U5.5")),"SETTLED","PENDING RESULT")),"SNAPSHOT NOT VALID")))</x:f>
      </x:c>
    </x:row>
    <x:row r="121" ht="23" customHeight="1">
      <x:c r="A121" s="175"/>
      <x:c r="B121" s="200" t="str">
        <x:f>IF(A121="","",IFERROR(INDEX(Frozen_Predictions!$C$4:$C$203,MATCH(A121,Frozen_Predictions!$A$4:$A$203,0)),""))</x:f>
      </x:c>
      <x:c r="C121" s="172" t="str">
        <x:f>IF(A121="","",IFERROR(INDEX(Frozen_Predictions!$E$4:$E$203,MATCH(A121,Frozen_Predictions!$A$4:$A$203,0)),""))</x:f>
      </x:c>
      <x:c r="D121" s="172" t="str">
        <x:f>IF(A121="","",IFERROR(INDEX(Frozen_Predictions!$F$4:$F$203,MATCH(A121,Frozen_Predictions!$A$4:$A$203,0)),""))</x:f>
      </x:c>
      <x:c r="E121" s="172" t="str">
        <x:f>IF(A121="","",IFERROR(INDEX(Frozen_Predictions!$G$4:$G$203,MATCH(A121,Frozen_Predictions!$A$4:$A$203,0)),""))</x:f>
      </x:c>
      <x:c r="F121" s="172" t="str">
        <x:f>IF(A121="","",IFERROR(INDEX(Frozen_Predictions!$H$4:$H$203,MATCH(A121,Frozen_Predictions!$A$4:$A$203,0)),""))</x:f>
      </x:c>
      <x:c r="G121" s="172" t="str">
        <x:f>IF(A121="","",IFERROR(INDEX(Frozen_Predictions!$I$4:$I$203,MATCH(A121,Frozen_Predictions!$A$4:$A$203,0)),""))</x:f>
      </x:c>
      <x:c r="H121" s="172" t="str">
        <x:f>IF(A121="","",IFERROR(INDEX(Frozen_Predictions!$J$4:$J$203,MATCH(A121,Frozen_Predictions!$A$4:$A$203,0)),""))</x:f>
      </x:c>
      <x:c r="I121" s="192" t="str">
        <x:f>IF(A121="","",IFERROR(INDEX(Frozen_Predictions!$L$4:$L$203,MATCH(A121,Frozen_Predictions!$A$4:$A$203,0)),""))</x:f>
      </x:c>
      <x:c r="J121" s="172" t="str">
        <x:f>IF(X121&lt;&gt;"SETTLED","",IF(N121&lt;=IF(G121="U3.5",3,IF(G121="U4.5",4,5)),1,0))</x:f>
      </x:c>
      <x:c r="K121" s="195" t="str">
        <x:f>IF(X121&lt;&gt;"SETTLED","",IF(AND(OR(V121="DEFENSIV",V121="PRUDENT",V121="MODERAT",V121="RIDICAT"),ISNUMBER(INDEX(Frozen_Predictions!$Y$4:$Y$203,MATCH(A121,Frozen_Predictions!$A$4:$A$203,0))),INDEX(Frozen_Predictions!$Y$4:$Y$203,MATCH(A121,Frozen_Predictions!$A$4:$A$203,0))&gt;1),IF(J121=1,INDEX(Frozen_Predictions!$Y$4:$Y$203,MATCH(A121,Frozen_Predictions!$A$4:$A$203,0))-1,-1),""))</x:f>
      </x:c>
      <x:c r="L121" s="175"/>
      <x:c r="M121" s="175"/>
      <x:c r="N121" s="172" t="str">
        <x:f>IFERROR(IF(AND(ISNUMBER(L121),ISNUMBER(M121),L121&gt;=0,M121&gt;=0,INT(L121)=L121,INT(M121)=M121),L121+M121,""),"")</x:f>
      </x:c>
      <x:c r="O121" s="172" t="str">
        <x:f>IF(X121&lt;&gt;"SETTLED","",IF(J121=1,"WIN",IF(N121=IF(G121="U3.5",4,IF(G121="U4.5",5,6)),"NEAR TAIL","SEVERE TAIL")))</x:f>
      </x:c>
      <x:c r="P121" s="175"/>
      <x:c r="Q121" s="177"/>
      <x:c r="R121" s="213" t="str">
        <x:f>IF(X121&lt;&gt;"SETTLED","",(I121-J121)^2)</x:f>
      </x:c>
      <x:c r="S121" s="213" t="str">
        <x:f>IF(X121&lt;&gt;"SETTLED","",-(J121*LN(MAX(0.000001,MIN(0.999999,I121)))+(1-J121)*LN(MAX(0.000001,MIN(0.999999,1-I121)))))</x:f>
      </x:c>
      <x:c r="T121" s="172" t="str">
        <x:f>IF(A121="","",IFERROR(INDEX(Frozen_Predictions!$N$4:$N$203,MATCH(A121,Frozen_Predictions!$A$4:$A$203,0)),""))</x:f>
      </x:c>
      <x:c r="U121" s="172" t="str">
        <x:f>IF(A121="","",IFERROR(INDEX(Frozen_Predictions!$O$4:$O$203,MATCH(A121,Frozen_Predictions!$A$4:$A$203,0)),""))</x:f>
      </x:c>
      <x:c r="V121" s="172" t="str">
        <x:f>IF(A121="","",IFERROR(INDEX(Frozen_Predictions!$M$4:$M$203,MATCH(A121,Frozen_Predictions!$A$4:$A$203,0)),""))</x:f>
      </x:c>
      <x:c r="W121" s="175"/>
      <x:c r="X121" s="172" t="str">
        <x:f>IF(A121="","",IF(NOT(COUNTIFS(Frozen_Predictions!$A$4:$A$203,A121)=1),"SNAPSHOT ID INVALID",IFERROR(IF(NOT(AND(INDEX(Frozen_Predictions!$Q$4:$Q$203,MATCH(A121,Frozen_Predictions!$A$4:$A$203,0))="DA",ISNUMBER(INDEX(Frozen_Predictions!$B$4:$B$203,MATCH(A121,Frozen_Predictions!$A$4:$A$203,0))),ISNUMBER(INDEX(Frozen_Predictions!$C$4:$C$203,MATCH(A121,Frozen_Predictions!$A$4:$A$203,0))),INDEX(Frozen_Predictions!$B$4:$B$203,MATCH(A121,Frozen_Predictions!$A$4:$A$203,0))&lt;INDEX(Frozen_Predictions!$C$4:$C$203,MATCH(A121,Frozen_Predictions!$A$4:$A$203,0)),INDEX(Frozen_Predictions!$V$4:$V$203,MATCH(A121,Frozen_Predictions!$A$4:$A$203,0))="READY",INDEX(Frozen_Predictions!$O$4:$O$203,MATCH(A121,Frozen_Predictions!$A$4:$A$203,0))="PASS",INDEX(Frozen_Predictions!$J$4:$J$203,MATCH(A121,Frozen_Predictions!$A$4:$A$203,0))=Under_LineCal_v9!$B$45,COUNTIFS(Frozen_Predictions!$A$4:$A$203,A121,Frozen_Predictions!$L$4:$L$203,"&lt;&gt;",Frozen_Predictions!$L$4:$L$203,"&gt;=0",Frozen_Predictions!$L$4:$L$203,"&lt;=1")=1,COUNTIFS($A$4:$A$203,A121)=1)),"SNAPSHOT NOT VALID",IF(AND(ISNUMBER(I121),I121&gt;=0,I121&lt;=1,ISNUMBER(N121),P121&lt;&gt;"",ISNUMBER(Q121),Q121&gt;=B121,OR(G121="U3.5",G121="U4.5",G121="U5.5")),"SETTLED","PENDING RESULT")),"SNAPSHOT NOT VALID")))</x:f>
      </x:c>
    </x:row>
    <x:row r="122" ht="23" customHeight="1">
      <x:c r="A122" s="175"/>
      <x:c r="B122" s="200" t="str">
        <x:f>IF(A122="","",IFERROR(INDEX(Frozen_Predictions!$C$4:$C$203,MATCH(A122,Frozen_Predictions!$A$4:$A$203,0)),""))</x:f>
      </x:c>
      <x:c r="C122" s="172" t="str">
        <x:f>IF(A122="","",IFERROR(INDEX(Frozen_Predictions!$E$4:$E$203,MATCH(A122,Frozen_Predictions!$A$4:$A$203,0)),""))</x:f>
      </x:c>
      <x:c r="D122" s="172" t="str">
        <x:f>IF(A122="","",IFERROR(INDEX(Frozen_Predictions!$F$4:$F$203,MATCH(A122,Frozen_Predictions!$A$4:$A$203,0)),""))</x:f>
      </x:c>
      <x:c r="E122" s="172" t="str">
        <x:f>IF(A122="","",IFERROR(INDEX(Frozen_Predictions!$G$4:$G$203,MATCH(A122,Frozen_Predictions!$A$4:$A$203,0)),""))</x:f>
      </x:c>
      <x:c r="F122" s="172" t="str">
        <x:f>IF(A122="","",IFERROR(INDEX(Frozen_Predictions!$H$4:$H$203,MATCH(A122,Frozen_Predictions!$A$4:$A$203,0)),""))</x:f>
      </x:c>
      <x:c r="G122" s="172" t="str">
        <x:f>IF(A122="","",IFERROR(INDEX(Frozen_Predictions!$I$4:$I$203,MATCH(A122,Frozen_Predictions!$A$4:$A$203,0)),""))</x:f>
      </x:c>
      <x:c r="H122" s="172" t="str">
        <x:f>IF(A122="","",IFERROR(INDEX(Frozen_Predictions!$J$4:$J$203,MATCH(A122,Frozen_Predictions!$A$4:$A$203,0)),""))</x:f>
      </x:c>
      <x:c r="I122" s="192" t="str">
        <x:f>IF(A122="","",IFERROR(INDEX(Frozen_Predictions!$L$4:$L$203,MATCH(A122,Frozen_Predictions!$A$4:$A$203,0)),""))</x:f>
      </x:c>
      <x:c r="J122" s="172" t="str">
        <x:f>IF(X122&lt;&gt;"SETTLED","",IF(N122&lt;=IF(G122="U3.5",3,IF(G122="U4.5",4,5)),1,0))</x:f>
      </x:c>
      <x:c r="K122" s="195" t="str">
        <x:f>IF(X122&lt;&gt;"SETTLED","",IF(AND(OR(V122="DEFENSIV",V122="PRUDENT",V122="MODERAT",V122="RIDICAT"),ISNUMBER(INDEX(Frozen_Predictions!$Y$4:$Y$203,MATCH(A122,Frozen_Predictions!$A$4:$A$203,0))),INDEX(Frozen_Predictions!$Y$4:$Y$203,MATCH(A122,Frozen_Predictions!$A$4:$A$203,0))&gt;1),IF(J122=1,INDEX(Frozen_Predictions!$Y$4:$Y$203,MATCH(A122,Frozen_Predictions!$A$4:$A$203,0))-1,-1),""))</x:f>
      </x:c>
      <x:c r="L122" s="175"/>
      <x:c r="M122" s="175"/>
      <x:c r="N122" s="172" t="str">
        <x:f>IFERROR(IF(AND(ISNUMBER(L122),ISNUMBER(M122),L122&gt;=0,M122&gt;=0,INT(L122)=L122,INT(M122)=M122),L122+M122,""),"")</x:f>
      </x:c>
      <x:c r="O122" s="172" t="str">
        <x:f>IF(X122&lt;&gt;"SETTLED","",IF(J122=1,"WIN",IF(N122=IF(G122="U3.5",4,IF(G122="U4.5",5,6)),"NEAR TAIL","SEVERE TAIL")))</x:f>
      </x:c>
      <x:c r="P122" s="175"/>
      <x:c r="Q122" s="177"/>
      <x:c r="R122" s="213" t="str">
        <x:f>IF(X122&lt;&gt;"SETTLED","",(I122-J122)^2)</x:f>
      </x:c>
      <x:c r="S122" s="213" t="str">
        <x:f>IF(X122&lt;&gt;"SETTLED","",-(J122*LN(MAX(0.000001,MIN(0.999999,I122)))+(1-J122)*LN(MAX(0.000001,MIN(0.999999,1-I122)))))</x:f>
      </x:c>
      <x:c r="T122" s="172" t="str">
        <x:f>IF(A122="","",IFERROR(INDEX(Frozen_Predictions!$N$4:$N$203,MATCH(A122,Frozen_Predictions!$A$4:$A$203,0)),""))</x:f>
      </x:c>
      <x:c r="U122" s="172" t="str">
        <x:f>IF(A122="","",IFERROR(INDEX(Frozen_Predictions!$O$4:$O$203,MATCH(A122,Frozen_Predictions!$A$4:$A$203,0)),""))</x:f>
      </x:c>
      <x:c r="V122" s="172" t="str">
        <x:f>IF(A122="","",IFERROR(INDEX(Frozen_Predictions!$M$4:$M$203,MATCH(A122,Frozen_Predictions!$A$4:$A$203,0)),""))</x:f>
      </x:c>
      <x:c r="W122" s="175"/>
      <x:c r="X122" s="172" t="str">
        <x:f>IF(A122="","",IF(NOT(COUNTIFS(Frozen_Predictions!$A$4:$A$203,A122)=1),"SNAPSHOT ID INVALID",IFERROR(IF(NOT(AND(INDEX(Frozen_Predictions!$Q$4:$Q$203,MATCH(A122,Frozen_Predictions!$A$4:$A$203,0))="DA",ISNUMBER(INDEX(Frozen_Predictions!$B$4:$B$203,MATCH(A122,Frozen_Predictions!$A$4:$A$203,0))),ISNUMBER(INDEX(Frozen_Predictions!$C$4:$C$203,MATCH(A122,Frozen_Predictions!$A$4:$A$203,0))),INDEX(Frozen_Predictions!$B$4:$B$203,MATCH(A122,Frozen_Predictions!$A$4:$A$203,0))&lt;INDEX(Frozen_Predictions!$C$4:$C$203,MATCH(A122,Frozen_Predictions!$A$4:$A$203,0)),INDEX(Frozen_Predictions!$V$4:$V$203,MATCH(A122,Frozen_Predictions!$A$4:$A$203,0))="READY",INDEX(Frozen_Predictions!$O$4:$O$203,MATCH(A122,Frozen_Predictions!$A$4:$A$203,0))="PASS",INDEX(Frozen_Predictions!$J$4:$J$203,MATCH(A122,Frozen_Predictions!$A$4:$A$203,0))=Under_LineCal_v9!$B$45,COUNTIFS(Frozen_Predictions!$A$4:$A$203,A122,Frozen_Predictions!$L$4:$L$203,"&lt;&gt;",Frozen_Predictions!$L$4:$L$203,"&gt;=0",Frozen_Predictions!$L$4:$L$203,"&lt;=1")=1,COUNTIFS($A$4:$A$203,A122)=1)),"SNAPSHOT NOT VALID",IF(AND(ISNUMBER(I122),I122&gt;=0,I122&lt;=1,ISNUMBER(N122),P122&lt;&gt;"",ISNUMBER(Q122),Q122&gt;=B122,OR(G122="U3.5",G122="U4.5",G122="U5.5")),"SETTLED","PENDING RESULT")),"SNAPSHOT NOT VALID")))</x:f>
      </x:c>
    </x:row>
    <x:row r="123" ht="23" customHeight="1">
      <x:c r="A123" s="175"/>
      <x:c r="B123" s="200" t="str">
        <x:f>IF(A123="","",IFERROR(INDEX(Frozen_Predictions!$C$4:$C$203,MATCH(A123,Frozen_Predictions!$A$4:$A$203,0)),""))</x:f>
      </x:c>
      <x:c r="C123" s="172" t="str">
        <x:f>IF(A123="","",IFERROR(INDEX(Frozen_Predictions!$E$4:$E$203,MATCH(A123,Frozen_Predictions!$A$4:$A$203,0)),""))</x:f>
      </x:c>
      <x:c r="D123" s="172" t="str">
        <x:f>IF(A123="","",IFERROR(INDEX(Frozen_Predictions!$F$4:$F$203,MATCH(A123,Frozen_Predictions!$A$4:$A$203,0)),""))</x:f>
      </x:c>
      <x:c r="E123" s="172" t="str">
        <x:f>IF(A123="","",IFERROR(INDEX(Frozen_Predictions!$G$4:$G$203,MATCH(A123,Frozen_Predictions!$A$4:$A$203,0)),""))</x:f>
      </x:c>
      <x:c r="F123" s="172" t="str">
        <x:f>IF(A123="","",IFERROR(INDEX(Frozen_Predictions!$H$4:$H$203,MATCH(A123,Frozen_Predictions!$A$4:$A$203,0)),""))</x:f>
      </x:c>
      <x:c r="G123" s="172" t="str">
        <x:f>IF(A123="","",IFERROR(INDEX(Frozen_Predictions!$I$4:$I$203,MATCH(A123,Frozen_Predictions!$A$4:$A$203,0)),""))</x:f>
      </x:c>
      <x:c r="H123" s="172" t="str">
        <x:f>IF(A123="","",IFERROR(INDEX(Frozen_Predictions!$J$4:$J$203,MATCH(A123,Frozen_Predictions!$A$4:$A$203,0)),""))</x:f>
      </x:c>
      <x:c r="I123" s="192" t="str">
        <x:f>IF(A123="","",IFERROR(INDEX(Frozen_Predictions!$L$4:$L$203,MATCH(A123,Frozen_Predictions!$A$4:$A$203,0)),""))</x:f>
      </x:c>
      <x:c r="J123" s="172" t="str">
        <x:f>IF(X123&lt;&gt;"SETTLED","",IF(N123&lt;=IF(G123="U3.5",3,IF(G123="U4.5",4,5)),1,0))</x:f>
      </x:c>
      <x:c r="K123" s="195" t="str">
        <x:f>IF(X123&lt;&gt;"SETTLED","",IF(AND(OR(V123="DEFENSIV",V123="PRUDENT",V123="MODERAT",V123="RIDICAT"),ISNUMBER(INDEX(Frozen_Predictions!$Y$4:$Y$203,MATCH(A123,Frozen_Predictions!$A$4:$A$203,0))),INDEX(Frozen_Predictions!$Y$4:$Y$203,MATCH(A123,Frozen_Predictions!$A$4:$A$203,0))&gt;1),IF(J123=1,INDEX(Frozen_Predictions!$Y$4:$Y$203,MATCH(A123,Frozen_Predictions!$A$4:$A$203,0))-1,-1),""))</x:f>
      </x:c>
      <x:c r="L123" s="175"/>
      <x:c r="M123" s="175"/>
      <x:c r="N123" s="172" t="str">
        <x:f>IFERROR(IF(AND(ISNUMBER(L123),ISNUMBER(M123),L123&gt;=0,M123&gt;=0,INT(L123)=L123,INT(M123)=M123),L123+M123,""),"")</x:f>
      </x:c>
      <x:c r="O123" s="172" t="str">
        <x:f>IF(X123&lt;&gt;"SETTLED","",IF(J123=1,"WIN",IF(N123=IF(G123="U3.5",4,IF(G123="U4.5",5,6)),"NEAR TAIL","SEVERE TAIL")))</x:f>
      </x:c>
      <x:c r="P123" s="175"/>
      <x:c r="Q123" s="177"/>
      <x:c r="R123" s="213" t="str">
        <x:f>IF(X123&lt;&gt;"SETTLED","",(I123-J123)^2)</x:f>
      </x:c>
      <x:c r="S123" s="213" t="str">
        <x:f>IF(X123&lt;&gt;"SETTLED","",-(J123*LN(MAX(0.000001,MIN(0.999999,I123)))+(1-J123)*LN(MAX(0.000001,MIN(0.999999,1-I123)))))</x:f>
      </x:c>
      <x:c r="T123" s="172" t="str">
        <x:f>IF(A123="","",IFERROR(INDEX(Frozen_Predictions!$N$4:$N$203,MATCH(A123,Frozen_Predictions!$A$4:$A$203,0)),""))</x:f>
      </x:c>
      <x:c r="U123" s="172" t="str">
        <x:f>IF(A123="","",IFERROR(INDEX(Frozen_Predictions!$O$4:$O$203,MATCH(A123,Frozen_Predictions!$A$4:$A$203,0)),""))</x:f>
      </x:c>
      <x:c r="V123" s="172" t="str">
        <x:f>IF(A123="","",IFERROR(INDEX(Frozen_Predictions!$M$4:$M$203,MATCH(A123,Frozen_Predictions!$A$4:$A$203,0)),""))</x:f>
      </x:c>
      <x:c r="W123" s="175"/>
      <x:c r="X123" s="172" t="str">
        <x:f>IF(A123="","",IF(NOT(COUNTIFS(Frozen_Predictions!$A$4:$A$203,A123)=1),"SNAPSHOT ID INVALID",IFERROR(IF(NOT(AND(INDEX(Frozen_Predictions!$Q$4:$Q$203,MATCH(A123,Frozen_Predictions!$A$4:$A$203,0))="DA",ISNUMBER(INDEX(Frozen_Predictions!$B$4:$B$203,MATCH(A123,Frozen_Predictions!$A$4:$A$203,0))),ISNUMBER(INDEX(Frozen_Predictions!$C$4:$C$203,MATCH(A123,Frozen_Predictions!$A$4:$A$203,0))),INDEX(Frozen_Predictions!$B$4:$B$203,MATCH(A123,Frozen_Predictions!$A$4:$A$203,0))&lt;INDEX(Frozen_Predictions!$C$4:$C$203,MATCH(A123,Frozen_Predictions!$A$4:$A$203,0)),INDEX(Frozen_Predictions!$V$4:$V$203,MATCH(A123,Frozen_Predictions!$A$4:$A$203,0))="READY",INDEX(Frozen_Predictions!$O$4:$O$203,MATCH(A123,Frozen_Predictions!$A$4:$A$203,0))="PASS",INDEX(Frozen_Predictions!$J$4:$J$203,MATCH(A123,Frozen_Predictions!$A$4:$A$203,0))=Under_LineCal_v9!$B$45,COUNTIFS(Frozen_Predictions!$A$4:$A$203,A123,Frozen_Predictions!$L$4:$L$203,"&lt;&gt;",Frozen_Predictions!$L$4:$L$203,"&gt;=0",Frozen_Predictions!$L$4:$L$203,"&lt;=1")=1,COUNTIFS($A$4:$A$203,A123)=1)),"SNAPSHOT NOT VALID",IF(AND(ISNUMBER(I123),I123&gt;=0,I123&lt;=1,ISNUMBER(N123),P123&lt;&gt;"",ISNUMBER(Q123),Q123&gt;=B123,OR(G123="U3.5",G123="U4.5",G123="U5.5")),"SETTLED","PENDING RESULT")),"SNAPSHOT NOT VALID")))</x:f>
      </x:c>
    </x:row>
    <x:row r="124" ht="23" customHeight="1">
      <x:c r="A124" s="175"/>
      <x:c r="B124" s="200" t="str">
        <x:f>IF(A124="","",IFERROR(INDEX(Frozen_Predictions!$C$4:$C$203,MATCH(A124,Frozen_Predictions!$A$4:$A$203,0)),""))</x:f>
      </x:c>
      <x:c r="C124" s="172" t="str">
        <x:f>IF(A124="","",IFERROR(INDEX(Frozen_Predictions!$E$4:$E$203,MATCH(A124,Frozen_Predictions!$A$4:$A$203,0)),""))</x:f>
      </x:c>
      <x:c r="D124" s="172" t="str">
        <x:f>IF(A124="","",IFERROR(INDEX(Frozen_Predictions!$F$4:$F$203,MATCH(A124,Frozen_Predictions!$A$4:$A$203,0)),""))</x:f>
      </x:c>
      <x:c r="E124" s="172" t="str">
        <x:f>IF(A124="","",IFERROR(INDEX(Frozen_Predictions!$G$4:$G$203,MATCH(A124,Frozen_Predictions!$A$4:$A$203,0)),""))</x:f>
      </x:c>
      <x:c r="F124" s="172" t="str">
        <x:f>IF(A124="","",IFERROR(INDEX(Frozen_Predictions!$H$4:$H$203,MATCH(A124,Frozen_Predictions!$A$4:$A$203,0)),""))</x:f>
      </x:c>
      <x:c r="G124" s="172" t="str">
        <x:f>IF(A124="","",IFERROR(INDEX(Frozen_Predictions!$I$4:$I$203,MATCH(A124,Frozen_Predictions!$A$4:$A$203,0)),""))</x:f>
      </x:c>
      <x:c r="H124" s="172" t="str">
        <x:f>IF(A124="","",IFERROR(INDEX(Frozen_Predictions!$J$4:$J$203,MATCH(A124,Frozen_Predictions!$A$4:$A$203,0)),""))</x:f>
      </x:c>
      <x:c r="I124" s="192" t="str">
        <x:f>IF(A124="","",IFERROR(INDEX(Frozen_Predictions!$L$4:$L$203,MATCH(A124,Frozen_Predictions!$A$4:$A$203,0)),""))</x:f>
      </x:c>
      <x:c r="J124" s="172" t="str">
        <x:f>IF(X124&lt;&gt;"SETTLED","",IF(N124&lt;=IF(G124="U3.5",3,IF(G124="U4.5",4,5)),1,0))</x:f>
      </x:c>
      <x:c r="K124" s="195" t="str">
        <x:f>IF(X124&lt;&gt;"SETTLED","",IF(AND(OR(V124="DEFENSIV",V124="PRUDENT",V124="MODERAT",V124="RIDICAT"),ISNUMBER(INDEX(Frozen_Predictions!$Y$4:$Y$203,MATCH(A124,Frozen_Predictions!$A$4:$A$203,0))),INDEX(Frozen_Predictions!$Y$4:$Y$203,MATCH(A124,Frozen_Predictions!$A$4:$A$203,0))&gt;1),IF(J124=1,INDEX(Frozen_Predictions!$Y$4:$Y$203,MATCH(A124,Frozen_Predictions!$A$4:$A$203,0))-1,-1),""))</x:f>
      </x:c>
      <x:c r="L124" s="175"/>
      <x:c r="M124" s="175"/>
      <x:c r="N124" s="172" t="str">
        <x:f>IFERROR(IF(AND(ISNUMBER(L124),ISNUMBER(M124),L124&gt;=0,M124&gt;=0,INT(L124)=L124,INT(M124)=M124),L124+M124,""),"")</x:f>
      </x:c>
      <x:c r="O124" s="172" t="str">
        <x:f>IF(X124&lt;&gt;"SETTLED","",IF(J124=1,"WIN",IF(N124=IF(G124="U3.5",4,IF(G124="U4.5",5,6)),"NEAR TAIL","SEVERE TAIL")))</x:f>
      </x:c>
      <x:c r="P124" s="175"/>
      <x:c r="Q124" s="177"/>
      <x:c r="R124" s="213" t="str">
        <x:f>IF(X124&lt;&gt;"SETTLED","",(I124-J124)^2)</x:f>
      </x:c>
      <x:c r="S124" s="213" t="str">
        <x:f>IF(X124&lt;&gt;"SETTLED","",-(J124*LN(MAX(0.000001,MIN(0.999999,I124)))+(1-J124)*LN(MAX(0.000001,MIN(0.999999,1-I124)))))</x:f>
      </x:c>
      <x:c r="T124" s="172" t="str">
        <x:f>IF(A124="","",IFERROR(INDEX(Frozen_Predictions!$N$4:$N$203,MATCH(A124,Frozen_Predictions!$A$4:$A$203,0)),""))</x:f>
      </x:c>
      <x:c r="U124" s="172" t="str">
        <x:f>IF(A124="","",IFERROR(INDEX(Frozen_Predictions!$O$4:$O$203,MATCH(A124,Frozen_Predictions!$A$4:$A$203,0)),""))</x:f>
      </x:c>
      <x:c r="V124" s="172" t="str">
        <x:f>IF(A124="","",IFERROR(INDEX(Frozen_Predictions!$M$4:$M$203,MATCH(A124,Frozen_Predictions!$A$4:$A$203,0)),""))</x:f>
      </x:c>
      <x:c r="W124" s="175"/>
      <x:c r="X124" s="172" t="str">
        <x:f>IF(A124="","",IF(NOT(COUNTIFS(Frozen_Predictions!$A$4:$A$203,A124)=1),"SNAPSHOT ID INVALID",IFERROR(IF(NOT(AND(INDEX(Frozen_Predictions!$Q$4:$Q$203,MATCH(A124,Frozen_Predictions!$A$4:$A$203,0))="DA",ISNUMBER(INDEX(Frozen_Predictions!$B$4:$B$203,MATCH(A124,Frozen_Predictions!$A$4:$A$203,0))),ISNUMBER(INDEX(Frozen_Predictions!$C$4:$C$203,MATCH(A124,Frozen_Predictions!$A$4:$A$203,0))),INDEX(Frozen_Predictions!$B$4:$B$203,MATCH(A124,Frozen_Predictions!$A$4:$A$203,0))&lt;INDEX(Frozen_Predictions!$C$4:$C$203,MATCH(A124,Frozen_Predictions!$A$4:$A$203,0)),INDEX(Frozen_Predictions!$V$4:$V$203,MATCH(A124,Frozen_Predictions!$A$4:$A$203,0))="READY",INDEX(Frozen_Predictions!$O$4:$O$203,MATCH(A124,Frozen_Predictions!$A$4:$A$203,0))="PASS",INDEX(Frozen_Predictions!$J$4:$J$203,MATCH(A124,Frozen_Predictions!$A$4:$A$203,0))=Under_LineCal_v9!$B$45,COUNTIFS(Frozen_Predictions!$A$4:$A$203,A124,Frozen_Predictions!$L$4:$L$203,"&lt;&gt;",Frozen_Predictions!$L$4:$L$203,"&gt;=0",Frozen_Predictions!$L$4:$L$203,"&lt;=1")=1,COUNTIFS($A$4:$A$203,A124)=1)),"SNAPSHOT NOT VALID",IF(AND(ISNUMBER(I124),I124&gt;=0,I124&lt;=1,ISNUMBER(N124),P124&lt;&gt;"",ISNUMBER(Q124),Q124&gt;=B124,OR(G124="U3.5",G124="U4.5",G124="U5.5")),"SETTLED","PENDING RESULT")),"SNAPSHOT NOT VALID")))</x:f>
      </x:c>
    </x:row>
    <x:row r="125" ht="23" customHeight="1">
      <x:c r="A125" s="175"/>
      <x:c r="B125" s="200" t="str">
        <x:f>IF(A125="","",IFERROR(INDEX(Frozen_Predictions!$C$4:$C$203,MATCH(A125,Frozen_Predictions!$A$4:$A$203,0)),""))</x:f>
      </x:c>
      <x:c r="C125" s="172" t="str">
        <x:f>IF(A125="","",IFERROR(INDEX(Frozen_Predictions!$E$4:$E$203,MATCH(A125,Frozen_Predictions!$A$4:$A$203,0)),""))</x:f>
      </x:c>
      <x:c r="D125" s="172" t="str">
        <x:f>IF(A125="","",IFERROR(INDEX(Frozen_Predictions!$F$4:$F$203,MATCH(A125,Frozen_Predictions!$A$4:$A$203,0)),""))</x:f>
      </x:c>
      <x:c r="E125" s="172" t="str">
        <x:f>IF(A125="","",IFERROR(INDEX(Frozen_Predictions!$G$4:$G$203,MATCH(A125,Frozen_Predictions!$A$4:$A$203,0)),""))</x:f>
      </x:c>
      <x:c r="F125" s="172" t="str">
        <x:f>IF(A125="","",IFERROR(INDEX(Frozen_Predictions!$H$4:$H$203,MATCH(A125,Frozen_Predictions!$A$4:$A$203,0)),""))</x:f>
      </x:c>
      <x:c r="G125" s="172" t="str">
        <x:f>IF(A125="","",IFERROR(INDEX(Frozen_Predictions!$I$4:$I$203,MATCH(A125,Frozen_Predictions!$A$4:$A$203,0)),""))</x:f>
      </x:c>
      <x:c r="H125" s="172" t="str">
        <x:f>IF(A125="","",IFERROR(INDEX(Frozen_Predictions!$J$4:$J$203,MATCH(A125,Frozen_Predictions!$A$4:$A$203,0)),""))</x:f>
      </x:c>
      <x:c r="I125" s="192" t="str">
        <x:f>IF(A125="","",IFERROR(INDEX(Frozen_Predictions!$L$4:$L$203,MATCH(A125,Frozen_Predictions!$A$4:$A$203,0)),""))</x:f>
      </x:c>
      <x:c r="J125" s="172" t="str">
        <x:f>IF(X125&lt;&gt;"SETTLED","",IF(N125&lt;=IF(G125="U3.5",3,IF(G125="U4.5",4,5)),1,0))</x:f>
      </x:c>
      <x:c r="K125" s="195" t="str">
        <x:f>IF(X125&lt;&gt;"SETTLED","",IF(AND(OR(V125="DEFENSIV",V125="PRUDENT",V125="MODERAT",V125="RIDICAT"),ISNUMBER(INDEX(Frozen_Predictions!$Y$4:$Y$203,MATCH(A125,Frozen_Predictions!$A$4:$A$203,0))),INDEX(Frozen_Predictions!$Y$4:$Y$203,MATCH(A125,Frozen_Predictions!$A$4:$A$203,0))&gt;1),IF(J125=1,INDEX(Frozen_Predictions!$Y$4:$Y$203,MATCH(A125,Frozen_Predictions!$A$4:$A$203,0))-1,-1),""))</x:f>
      </x:c>
      <x:c r="L125" s="175"/>
      <x:c r="M125" s="175"/>
      <x:c r="N125" s="172" t="str">
        <x:f>IFERROR(IF(AND(ISNUMBER(L125),ISNUMBER(M125),L125&gt;=0,M125&gt;=0,INT(L125)=L125,INT(M125)=M125),L125+M125,""),"")</x:f>
      </x:c>
      <x:c r="O125" s="172" t="str">
        <x:f>IF(X125&lt;&gt;"SETTLED","",IF(J125=1,"WIN",IF(N125=IF(G125="U3.5",4,IF(G125="U4.5",5,6)),"NEAR TAIL","SEVERE TAIL")))</x:f>
      </x:c>
      <x:c r="P125" s="175"/>
      <x:c r="Q125" s="177"/>
      <x:c r="R125" s="213" t="str">
        <x:f>IF(X125&lt;&gt;"SETTLED","",(I125-J125)^2)</x:f>
      </x:c>
      <x:c r="S125" s="213" t="str">
        <x:f>IF(X125&lt;&gt;"SETTLED","",-(J125*LN(MAX(0.000001,MIN(0.999999,I125)))+(1-J125)*LN(MAX(0.000001,MIN(0.999999,1-I125)))))</x:f>
      </x:c>
      <x:c r="T125" s="172" t="str">
        <x:f>IF(A125="","",IFERROR(INDEX(Frozen_Predictions!$N$4:$N$203,MATCH(A125,Frozen_Predictions!$A$4:$A$203,0)),""))</x:f>
      </x:c>
      <x:c r="U125" s="172" t="str">
        <x:f>IF(A125="","",IFERROR(INDEX(Frozen_Predictions!$O$4:$O$203,MATCH(A125,Frozen_Predictions!$A$4:$A$203,0)),""))</x:f>
      </x:c>
      <x:c r="V125" s="172" t="str">
        <x:f>IF(A125="","",IFERROR(INDEX(Frozen_Predictions!$M$4:$M$203,MATCH(A125,Frozen_Predictions!$A$4:$A$203,0)),""))</x:f>
      </x:c>
      <x:c r="W125" s="175"/>
      <x:c r="X125" s="172" t="str">
        <x:f>IF(A125="","",IF(NOT(COUNTIFS(Frozen_Predictions!$A$4:$A$203,A125)=1),"SNAPSHOT ID INVALID",IFERROR(IF(NOT(AND(INDEX(Frozen_Predictions!$Q$4:$Q$203,MATCH(A125,Frozen_Predictions!$A$4:$A$203,0))="DA",ISNUMBER(INDEX(Frozen_Predictions!$B$4:$B$203,MATCH(A125,Frozen_Predictions!$A$4:$A$203,0))),ISNUMBER(INDEX(Frozen_Predictions!$C$4:$C$203,MATCH(A125,Frozen_Predictions!$A$4:$A$203,0))),INDEX(Frozen_Predictions!$B$4:$B$203,MATCH(A125,Frozen_Predictions!$A$4:$A$203,0))&lt;INDEX(Frozen_Predictions!$C$4:$C$203,MATCH(A125,Frozen_Predictions!$A$4:$A$203,0)),INDEX(Frozen_Predictions!$V$4:$V$203,MATCH(A125,Frozen_Predictions!$A$4:$A$203,0))="READY",INDEX(Frozen_Predictions!$O$4:$O$203,MATCH(A125,Frozen_Predictions!$A$4:$A$203,0))="PASS",INDEX(Frozen_Predictions!$J$4:$J$203,MATCH(A125,Frozen_Predictions!$A$4:$A$203,0))=Under_LineCal_v9!$B$45,COUNTIFS(Frozen_Predictions!$A$4:$A$203,A125,Frozen_Predictions!$L$4:$L$203,"&lt;&gt;",Frozen_Predictions!$L$4:$L$203,"&gt;=0",Frozen_Predictions!$L$4:$L$203,"&lt;=1")=1,COUNTIFS($A$4:$A$203,A125)=1)),"SNAPSHOT NOT VALID",IF(AND(ISNUMBER(I125),I125&gt;=0,I125&lt;=1,ISNUMBER(N125),P125&lt;&gt;"",ISNUMBER(Q125),Q125&gt;=B125,OR(G125="U3.5",G125="U4.5",G125="U5.5")),"SETTLED","PENDING RESULT")),"SNAPSHOT NOT VALID")))</x:f>
      </x:c>
    </x:row>
    <x:row r="126" ht="23" customHeight="1">
      <x:c r="A126" s="175"/>
      <x:c r="B126" s="200" t="str">
        <x:f>IF(A126="","",IFERROR(INDEX(Frozen_Predictions!$C$4:$C$203,MATCH(A126,Frozen_Predictions!$A$4:$A$203,0)),""))</x:f>
      </x:c>
      <x:c r="C126" s="172" t="str">
        <x:f>IF(A126="","",IFERROR(INDEX(Frozen_Predictions!$E$4:$E$203,MATCH(A126,Frozen_Predictions!$A$4:$A$203,0)),""))</x:f>
      </x:c>
      <x:c r="D126" s="172" t="str">
        <x:f>IF(A126="","",IFERROR(INDEX(Frozen_Predictions!$F$4:$F$203,MATCH(A126,Frozen_Predictions!$A$4:$A$203,0)),""))</x:f>
      </x:c>
      <x:c r="E126" s="172" t="str">
        <x:f>IF(A126="","",IFERROR(INDEX(Frozen_Predictions!$G$4:$G$203,MATCH(A126,Frozen_Predictions!$A$4:$A$203,0)),""))</x:f>
      </x:c>
      <x:c r="F126" s="172" t="str">
        <x:f>IF(A126="","",IFERROR(INDEX(Frozen_Predictions!$H$4:$H$203,MATCH(A126,Frozen_Predictions!$A$4:$A$203,0)),""))</x:f>
      </x:c>
      <x:c r="G126" s="172" t="str">
        <x:f>IF(A126="","",IFERROR(INDEX(Frozen_Predictions!$I$4:$I$203,MATCH(A126,Frozen_Predictions!$A$4:$A$203,0)),""))</x:f>
      </x:c>
      <x:c r="H126" s="172" t="str">
        <x:f>IF(A126="","",IFERROR(INDEX(Frozen_Predictions!$J$4:$J$203,MATCH(A126,Frozen_Predictions!$A$4:$A$203,0)),""))</x:f>
      </x:c>
      <x:c r="I126" s="192" t="str">
        <x:f>IF(A126="","",IFERROR(INDEX(Frozen_Predictions!$L$4:$L$203,MATCH(A126,Frozen_Predictions!$A$4:$A$203,0)),""))</x:f>
      </x:c>
      <x:c r="J126" s="172" t="str">
        <x:f>IF(X126&lt;&gt;"SETTLED","",IF(N126&lt;=IF(G126="U3.5",3,IF(G126="U4.5",4,5)),1,0))</x:f>
      </x:c>
      <x:c r="K126" s="195" t="str">
        <x:f>IF(X126&lt;&gt;"SETTLED","",IF(AND(OR(V126="DEFENSIV",V126="PRUDENT",V126="MODERAT",V126="RIDICAT"),ISNUMBER(INDEX(Frozen_Predictions!$Y$4:$Y$203,MATCH(A126,Frozen_Predictions!$A$4:$A$203,0))),INDEX(Frozen_Predictions!$Y$4:$Y$203,MATCH(A126,Frozen_Predictions!$A$4:$A$203,0))&gt;1),IF(J126=1,INDEX(Frozen_Predictions!$Y$4:$Y$203,MATCH(A126,Frozen_Predictions!$A$4:$A$203,0))-1,-1),""))</x:f>
      </x:c>
      <x:c r="L126" s="175"/>
      <x:c r="M126" s="175"/>
      <x:c r="N126" s="172" t="str">
        <x:f>IFERROR(IF(AND(ISNUMBER(L126),ISNUMBER(M126),L126&gt;=0,M126&gt;=0,INT(L126)=L126,INT(M126)=M126),L126+M126,""),"")</x:f>
      </x:c>
      <x:c r="O126" s="172" t="str">
        <x:f>IF(X126&lt;&gt;"SETTLED","",IF(J126=1,"WIN",IF(N126=IF(G126="U3.5",4,IF(G126="U4.5",5,6)),"NEAR TAIL","SEVERE TAIL")))</x:f>
      </x:c>
      <x:c r="P126" s="175"/>
      <x:c r="Q126" s="177"/>
      <x:c r="R126" s="213" t="str">
        <x:f>IF(X126&lt;&gt;"SETTLED","",(I126-J126)^2)</x:f>
      </x:c>
      <x:c r="S126" s="213" t="str">
        <x:f>IF(X126&lt;&gt;"SETTLED","",-(J126*LN(MAX(0.000001,MIN(0.999999,I126)))+(1-J126)*LN(MAX(0.000001,MIN(0.999999,1-I126)))))</x:f>
      </x:c>
      <x:c r="T126" s="172" t="str">
        <x:f>IF(A126="","",IFERROR(INDEX(Frozen_Predictions!$N$4:$N$203,MATCH(A126,Frozen_Predictions!$A$4:$A$203,0)),""))</x:f>
      </x:c>
      <x:c r="U126" s="172" t="str">
        <x:f>IF(A126="","",IFERROR(INDEX(Frozen_Predictions!$O$4:$O$203,MATCH(A126,Frozen_Predictions!$A$4:$A$203,0)),""))</x:f>
      </x:c>
      <x:c r="V126" s="172" t="str">
        <x:f>IF(A126="","",IFERROR(INDEX(Frozen_Predictions!$M$4:$M$203,MATCH(A126,Frozen_Predictions!$A$4:$A$203,0)),""))</x:f>
      </x:c>
      <x:c r="W126" s="175"/>
      <x:c r="X126" s="172" t="str">
        <x:f>IF(A126="","",IF(NOT(COUNTIFS(Frozen_Predictions!$A$4:$A$203,A126)=1),"SNAPSHOT ID INVALID",IFERROR(IF(NOT(AND(INDEX(Frozen_Predictions!$Q$4:$Q$203,MATCH(A126,Frozen_Predictions!$A$4:$A$203,0))="DA",ISNUMBER(INDEX(Frozen_Predictions!$B$4:$B$203,MATCH(A126,Frozen_Predictions!$A$4:$A$203,0))),ISNUMBER(INDEX(Frozen_Predictions!$C$4:$C$203,MATCH(A126,Frozen_Predictions!$A$4:$A$203,0))),INDEX(Frozen_Predictions!$B$4:$B$203,MATCH(A126,Frozen_Predictions!$A$4:$A$203,0))&lt;INDEX(Frozen_Predictions!$C$4:$C$203,MATCH(A126,Frozen_Predictions!$A$4:$A$203,0)),INDEX(Frozen_Predictions!$V$4:$V$203,MATCH(A126,Frozen_Predictions!$A$4:$A$203,0))="READY",INDEX(Frozen_Predictions!$O$4:$O$203,MATCH(A126,Frozen_Predictions!$A$4:$A$203,0))="PASS",INDEX(Frozen_Predictions!$J$4:$J$203,MATCH(A126,Frozen_Predictions!$A$4:$A$203,0))=Under_LineCal_v9!$B$45,COUNTIFS(Frozen_Predictions!$A$4:$A$203,A126,Frozen_Predictions!$L$4:$L$203,"&lt;&gt;",Frozen_Predictions!$L$4:$L$203,"&gt;=0",Frozen_Predictions!$L$4:$L$203,"&lt;=1")=1,COUNTIFS($A$4:$A$203,A126)=1)),"SNAPSHOT NOT VALID",IF(AND(ISNUMBER(I126),I126&gt;=0,I126&lt;=1,ISNUMBER(N126),P126&lt;&gt;"",ISNUMBER(Q126),Q126&gt;=B126,OR(G126="U3.5",G126="U4.5",G126="U5.5")),"SETTLED","PENDING RESULT")),"SNAPSHOT NOT VALID")))</x:f>
      </x:c>
    </x:row>
    <x:row r="127" ht="23" customHeight="1">
      <x:c r="A127" s="175"/>
      <x:c r="B127" s="200" t="str">
        <x:f>IF(A127="","",IFERROR(INDEX(Frozen_Predictions!$C$4:$C$203,MATCH(A127,Frozen_Predictions!$A$4:$A$203,0)),""))</x:f>
      </x:c>
      <x:c r="C127" s="172" t="str">
        <x:f>IF(A127="","",IFERROR(INDEX(Frozen_Predictions!$E$4:$E$203,MATCH(A127,Frozen_Predictions!$A$4:$A$203,0)),""))</x:f>
      </x:c>
      <x:c r="D127" s="172" t="str">
        <x:f>IF(A127="","",IFERROR(INDEX(Frozen_Predictions!$F$4:$F$203,MATCH(A127,Frozen_Predictions!$A$4:$A$203,0)),""))</x:f>
      </x:c>
      <x:c r="E127" s="172" t="str">
        <x:f>IF(A127="","",IFERROR(INDEX(Frozen_Predictions!$G$4:$G$203,MATCH(A127,Frozen_Predictions!$A$4:$A$203,0)),""))</x:f>
      </x:c>
      <x:c r="F127" s="172" t="str">
        <x:f>IF(A127="","",IFERROR(INDEX(Frozen_Predictions!$H$4:$H$203,MATCH(A127,Frozen_Predictions!$A$4:$A$203,0)),""))</x:f>
      </x:c>
      <x:c r="G127" s="172" t="str">
        <x:f>IF(A127="","",IFERROR(INDEX(Frozen_Predictions!$I$4:$I$203,MATCH(A127,Frozen_Predictions!$A$4:$A$203,0)),""))</x:f>
      </x:c>
      <x:c r="H127" s="172" t="str">
        <x:f>IF(A127="","",IFERROR(INDEX(Frozen_Predictions!$J$4:$J$203,MATCH(A127,Frozen_Predictions!$A$4:$A$203,0)),""))</x:f>
      </x:c>
      <x:c r="I127" s="192" t="str">
        <x:f>IF(A127="","",IFERROR(INDEX(Frozen_Predictions!$L$4:$L$203,MATCH(A127,Frozen_Predictions!$A$4:$A$203,0)),""))</x:f>
      </x:c>
      <x:c r="J127" s="172" t="str">
        <x:f>IF(X127&lt;&gt;"SETTLED","",IF(N127&lt;=IF(G127="U3.5",3,IF(G127="U4.5",4,5)),1,0))</x:f>
      </x:c>
      <x:c r="K127" s="195" t="str">
        <x:f>IF(X127&lt;&gt;"SETTLED","",IF(AND(OR(V127="DEFENSIV",V127="PRUDENT",V127="MODERAT",V127="RIDICAT"),ISNUMBER(INDEX(Frozen_Predictions!$Y$4:$Y$203,MATCH(A127,Frozen_Predictions!$A$4:$A$203,0))),INDEX(Frozen_Predictions!$Y$4:$Y$203,MATCH(A127,Frozen_Predictions!$A$4:$A$203,0))&gt;1),IF(J127=1,INDEX(Frozen_Predictions!$Y$4:$Y$203,MATCH(A127,Frozen_Predictions!$A$4:$A$203,0))-1,-1),""))</x:f>
      </x:c>
      <x:c r="L127" s="175"/>
      <x:c r="M127" s="175"/>
      <x:c r="N127" s="172" t="str">
        <x:f>IFERROR(IF(AND(ISNUMBER(L127),ISNUMBER(M127),L127&gt;=0,M127&gt;=0,INT(L127)=L127,INT(M127)=M127),L127+M127,""),"")</x:f>
      </x:c>
      <x:c r="O127" s="172" t="str">
        <x:f>IF(X127&lt;&gt;"SETTLED","",IF(J127=1,"WIN",IF(N127=IF(G127="U3.5",4,IF(G127="U4.5",5,6)),"NEAR TAIL","SEVERE TAIL")))</x:f>
      </x:c>
      <x:c r="P127" s="175"/>
      <x:c r="Q127" s="177"/>
      <x:c r="R127" s="213" t="str">
        <x:f>IF(X127&lt;&gt;"SETTLED","",(I127-J127)^2)</x:f>
      </x:c>
      <x:c r="S127" s="213" t="str">
        <x:f>IF(X127&lt;&gt;"SETTLED","",-(J127*LN(MAX(0.000001,MIN(0.999999,I127)))+(1-J127)*LN(MAX(0.000001,MIN(0.999999,1-I127)))))</x:f>
      </x:c>
      <x:c r="T127" s="172" t="str">
        <x:f>IF(A127="","",IFERROR(INDEX(Frozen_Predictions!$N$4:$N$203,MATCH(A127,Frozen_Predictions!$A$4:$A$203,0)),""))</x:f>
      </x:c>
      <x:c r="U127" s="172" t="str">
        <x:f>IF(A127="","",IFERROR(INDEX(Frozen_Predictions!$O$4:$O$203,MATCH(A127,Frozen_Predictions!$A$4:$A$203,0)),""))</x:f>
      </x:c>
      <x:c r="V127" s="172" t="str">
        <x:f>IF(A127="","",IFERROR(INDEX(Frozen_Predictions!$M$4:$M$203,MATCH(A127,Frozen_Predictions!$A$4:$A$203,0)),""))</x:f>
      </x:c>
      <x:c r="W127" s="175"/>
      <x:c r="X127" s="172" t="str">
        <x:f>IF(A127="","",IF(NOT(COUNTIFS(Frozen_Predictions!$A$4:$A$203,A127)=1),"SNAPSHOT ID INVALID",IFERROR(IF(NOT(AND(INDEX(Frozen_Predictions!$Q$4:$Q$203,MATCH(A127,Frozen_Predictions!$A$4:$A$203,0))="DA",ISNUMBER(INDEX(Frozen_Predictions!$B$4:$B$203,MATCH(A127,Frozen_Predictions!$A$4:$A$203,0))),ISNUMBER(INDEX(Frozen_Predictions!$C$4:$C$203,MATCH(A127,Frozen_Predictions!$A$4:$A$203,0))),INDEX(Frozen_Predictions!$B$4:$B$203,MATCH(A127,Frozen_Predictions!$A$4:$A$203,0))&lt;INDEX(Frozen_Predictions!$C$4:$C$203,MATCH(A127,Frozen_Predictions!$A$4:$A$203,0)),INDEX(Frozen_Predictions!$V$4:$V$203,MATCH(A127,Frozen_Predictions!$A$4:$A$203,0))="READY",INDEX(Frozen_Predictions!$O$4:$O$203,MATCH(A127,Frozen_Predictions!$A$4:$A$203,0))="PASS",INDEX(Frozen_Predictions!$J$4:$J$203,MATCH(A127,Frozen_Predictions!$A$4:$A$203,0))=Under_LineCal_v9!$B$45,COUNTIFS(Frozen_Predictions!$A$4:$A$203,A127,Frozen_Predictions!$L$4:$L$203,"&lt;&gt;",Frozen_Predictions!$L$4:$L$203,"&gt;=0",Frozen_Predictions!$L$4:$L$203,"&lt;=1")=1,COUNTIFS($A$4:$A$203,A127)=1)),"SNAPSHOT NOT VALID",IF(AND(ISNUMBER(I127),I127&gt;=0,I127&lt;=1,ISNUMBER(N127),P127&lt;&gt;"",ISNUMBER(Q127),Q127&gt;=B127,OR(G127="U3.5",G127="U4.5",G127="U5.5")),"SETTLED","PENDING RESULT")),"SNAPSHOT NOT VALID")))</x:f>
      </x:c>
    </x:row>
    <x:row r="128" ht="23" customHeight="1">
      <x:c r="A128" s="175"/>
      <x:c r="B128" s="200" t="str">
        <x:f>IF(A128="","",IFERROR(INDEX(Frozen_Predictions!$C$4:$C$203,MATCH(A128,Frozen_Predictions!$A$4:$A$203,0)),""))</x:f>
      </x:c>
      <x:c r="C128" s="172" t="str">
        <x:f>IF(A128="","",IFERROR(INDEX(Frozen_Predictions!$E$4:$E$203,MATCH(A128,Frozen_Predictions!$A$4:$A$203,0)),""))</x:f>
      </x:c>
      <x:c r="D128" s="172" t="str">
        <x:f>IF(A128="","",IFERROR(INDEX(Frozen_Predictions!$F$4:$F$203,MATCH(A128,Frozen_Predictions!$A$4:$A$203,0)),""))</x:f>
      </x:c>
      <x:c r="E128" s="172" t="str">
        <x:f>IF(A128="","",IFERROR(INDEX(Frozen_Predictions!$G$4:$G$203,MATCH(A128,Frozen_Predictions!$A$4:$A$203,0)),""))</x:f>
      </x:c>
      <x:c r="F128" s="172" t="str">
        <x:f>IF(A128="","",IFERROR(INDEX(Frozen_Predictions!$H$4:$H$203,MATCH(A128,Frozen_Predictions!$A$4:$A$203,0)),""))</x:f>
      </x:c>
      <x:c r="G128" s="172" t="str">
        <x:f>IF(A128="","",IFERROR(INDEX(Frozen_Predictions!$I$4:$I$203,MATCH(A128,Frozen_Predictions!$A$4:$A$203,0)),""))</x:f>
      </x:c>
      <x:c r="H128" s="172" t="str">
        <x:f>IF(A128="","",IFERROR(INDEX(Frozen_Predictions!$J$4:$J$203,MATCH(A128,Frozen_Predictions!$A$4:$A$203,0)),""))</x:f>
      </x:c>
      <x:c r="I128" s="192" t="str">
        <x:f>IF(A128="","",IFERROR(INDEX(Frozen_Predictions!$L$4:$L$203,MATCH(A128,Frozen_Predictions!$A$4:$A$203,0)),""))</x:f>
      </x:c>
      <x:c r="J128" s="172" t="str">
        <x:f>IF(X128&lt;&gt;"SETTLED","",IF(N128&lt;=IF(G128="U3.5",3,IF(G128="U4.5",4,5)),1,0))</x:f>
      </x:c>
      <x:c r="K128" s="195" t="str">
        <x:f>IF(X128&lt;&gt;"SETTLED","",IF(AND(OR(V128="DEFENSIV",V128="PRUDENT",V128="MODERAT",V128="RIDICAT"),ISNUMBER(INDEX(Frozen_Predictions!$Y$4:$Y$203,MATCH(A128,Frozen_Predictions!$A$4:$A$203,0))),INDEX(Frozen_Predictions!$Y$4:$Y$203,MATCH(A128,Frozen_Predictions!$A$4:$A$203,0))&gt;1),IF(J128=1,INDEX(Frozen_Predictions!$Y$4:$Y$203,MATCH(A128,Frozen_Predictions!$A$4:$A$203,0))-1,-1),""))</x:f>
      </x:c>
      <x:c r="L128" s="175"/>
      <x:c r="M128" s="175"/>
      <x:c r="N128" s="172" t="str">
        <x:f>IFERROR(IF(AND(ISNUMBER(L128),ISNUMBER(M128),L128&gt;=0,M128&gt;=0,INT(L128)=L128,INT(M128)=M128),L128+M128,""),"")</x:f>
      </x:c>
      <x:c r="O128" s="172" t="str">
        <x:f>IF(X128&lt;&gt;"SETTLED","",IF(J128=1,"WIN",IF(N128=IF(G128="U3.5",4,IF(G128="U4.5",5,6)),"NEAR TAIL","SEVERE TAIL")))</x:f>
      </x:c>
      <x:c r="P128" s="175"/>
      <x:c r="Q128" s="177"/>
      <x:c r="R128" s="213" t="str">
        <x:f>IF(X128&lt;&gt;"SETTLED","",(I128-J128)^2)</x:f>
      </x:c>
      <x:c r="S128" s="213" t="str">
        <x:f>IF(X128&lt;&gt;"SETTLED","",-(J128*LN(MAX(0.000001,MIN(0.999999,I128)))+(1-J128)*LN(MAX(0.000001,MIN(0.999999,1-I128)))))</x:f>
      </x:c>
      <x:c r="T128" s="172" t="str">
        <x:f>IF(A128="","",IFERROR(INDEX(Frozen_Predictions!$N$4:$N$203,MATCH(A128,Frozen_Predictions!$A$4:$A$203,0)),""))</x:f>
      </x:c>
      <x:c r="U128" s="172" t="str">
        <x:f>IF(A128="","",IFERROR(INDEX(Frozen_Predictions!$O$4:$O$203,MATCH(A128,Frozen_Predictions!$A$4:$A$203,0)),""))</x:f>
      </x:c>
      <x:c r="V128" s="172" t="str">
        <x:f>IF(A128="","",IFERROR(INDEX(Frozen_Predictions!$M$4:$M$203,MATCH(A128,Frozen_Predictions!$A$4:$A$203,0)),""))</x:f>
      </x:c>
      <x:c r="W128" s="175"/>
      <x:c r="X128" s="172" t="str">
        <x:f>IF(A128="","",IF(NOT(COUNTIFS(Frozen_Predictions!$A$4:$A$203,A128)=1),"SNAPSHOT ID INVALID",IFERROR(IF(NOT(AND(INDEX(Frozen_Predictions!$Q$4:$Q$203,MATCH(A128,Frozen_Predictions!$A$4:$A$203,0))="DA",ISNUMBER(INDEX(Frozen_Predictions!$B$4:$B$203,MATCH(A128,Frozen_Predictions!$A$4:$A$203,0))),ISNUMBER(INDEX(Frozen_Predictions!$C$4:$C$203,MATCH(A128,Frozen_Predictions!$A$4:$A$203,0))),INDEX(Frozen_Predictions!$B$4:$B$203,MATCH(A128,Frozen_Predictions!$A$4:$A$203,0))&lt;INDEX(Frozen_Predictions!$C$4:$C$203,MATCH(A128,Frozen_Predictions!$A$4:$A$203,0)),INDEX(Frozen_Predictions!$V$4:$V$203,MATCH(A128,Frozen_Predictions!$A$4:$A$203,0))="READY",INDEX(Frozen_Predictions!$O$4:$O$203,MATCH(A128,Frozen_Predictions!$A$4:$A$203,0))="PASS",INDEX(Frozen_Predictions!$J$4:$J$203,MATCH(A128,Frozen_Predictions!$A$4:$A$203,0))=Under_LineCal_v9!$B$45,COUNTIFS(Frozen_Predictions!$A$4:$A$203,A128,Frozen_Predictions!$L$4:$L$203,"&lt;&gt;",Frozen_Predictions!$L$4:$L$203,"&gt;=0",Frozen_Predictions!$L$4:$L$203,"&lt;=1")=1,COUNTIFS($A$4:$A$203,A128)=1)),"SNAPSHOT NOT VALID",IF(AND(ISNUMBER(I128),I128&gt;=0,I128&lt;=1,ISNUMBER(N128),P128&lt;&gt;"",ISNUMBER(Q128),Q128&gt;=B128,OR(G128="U3.5",G128="U4.5",G128="U5.5")),"SETTLED","PENDING RESULT")),"SNAPSHOT NOT VALID")))</x:f>
      </x:c>
    </x:row>
    <x:row r="129" ht="23" customHeight="1">
      <x:c r="A129" s="175"/>
      <x:c r="B129" s="200" t="str">
        <x:f>IF(A129="","",IFERROR(INDEX(Frozen_Predictions!$C$4:$C$203,MATCH(A129,Frozen_Predictions!$A$4:$A$203,0)),""))</x:f>
      </x:c>
      <x:c r="C129" s="172" t="str">
        <x:f>IF(A129="","",IFERROR(INDEX(Frozen_Predictions!$E$4:$E$203,MATCH(A129,Frozen_Predictions!$A$4:$A$203,0)),""))</x:f>
      </x:c>
      <x:c r="D129" s="172" t="str">
        <x:f>IF(A129="","",IFERROR(INDEX(Frozen_Predictions!$F$4:$F$203,MATCH(A129,Frozen_Predictions!$A$4:$A$203,0)),""))</x:f>
      </x:c>
      <x:c r="E129" s="172" t="str">
        <x:f>IF(A129="","",IFERROR(INDEX(Frozen_Predictions!$G$4:$G$203,MATCH(A129,Frozen_Predictions!$A$4:$A$203,0)),""))</x:f>
      </x:c>
      <x:c r="F129" s="172" t="str">
        <x:f>IF(A129="","",IFERROR(INDEX(Frozen_Predictions!$H$4:$H$203,MATCH(A129,Frozen_Predictions!$A$4:$A$203,0)),""))</x:f>
      </x:c>
      <x:c r="G129" s="172" t="str">
        <x:f>IF(A129="","",IFERROR(INDEX(Frozen_Predictions!$I$4:$I$203,MATCH(A129,Frozen_Predictions!$A$4:$A$203,0)),""))</x:f>
      </x:c>
      <x:c r="H129" s="172" t="str">
        <x:f>IF(A129="","",IFERROR(INDEX(Frozen_Predictions!$J$4:$J$203,MATCH(A129,Frozen_Predictions!$A$4:$A$203,0)),""))</x:f>
      </x:c>
      <x:c r="I129" s="192" t="str">
        <x:f>IF(A129="","",IFERROR(INDEX(Frozen_Predictions!$L$4:$L$203,MATCH(A129,Frozen_Predictions!$A$4:$A$203,0)),""))</x:f>
      </x:c>
      <x:c r="J129" s="172" t="str">
        <x:f>IF(X129&lt;&gt;"SETTLED","",IF(N129&lt;=IF(G129="U3.5",3,IF(G129="U4.5",4,5)),1,0))</x:f>
      </x:c>
      <x:c r="K129" s="195" t="str">
        <x:f>IF(X129&lt;&gt;"SETTLED","",IF(AND(OR(V129="DEFENSIV",V129="PRUDENT",V129="MODERAT",V129="RIDICAT"),ISNUMBER(INDEX(Frozen_Predictions!$Y$4:$Y$203,MATCH(A129,Frozen_Predictions!$A$4:$A$203,0))),INDEX(Frozen_Predictions!$Y$4:$Y$203,MATCH(A129,Frozen_Predictions!$A$4:$A$203,0))&gt;1),IF(J129=1,INDEX(Frozen_Predictions!$Y$4:$Y$203,MATCH(A129,Frozen_Predictions!$A$4:$A$203,0))-1,-1),""))</x:f>
      </x:c>
      <x:c r="L129" s="175"/>
      <x:c r="M129" s="175"/>
      <x:c r="N129" s="172" t="str">
        <x:f>IFERROR(IF(AND(ISNUMBER(L129),ISNUMBER(M129),L129&gt;=0,M129&gt;=0,INT(L129)=L129,INT(M129)=M129),L129+M129,""),"")</x:f>
      </x:c>
      <x:c r="O129" s="172" t="str">
        <x:f>IF(X129&lt;&gt;"SETTLED","",IF(J129=1,"WIN",IF(N129=IF(G129="U3.5",4,IF(G129="U4.5",5,6)),"NEAR TAIL","SEVERE TAIL")))</x:f>
      </x:c>
      <x:c r="P129" s="175"/>
      <x:c r="Q129" s="177"/>
      <x:c r="R129" s="213" t="str">
        <x:f>IF(X129&lt;&gt;"SETTLED","",(I129-J129)^2)</x:f>
      </x:c>
      <x:c r="S129" s="213" t="str">
        <x:f>IF(X129&lt;&gt;"SETTLED","",-(J129*LN(MAX(0.000001,MIN(0.999999,I129)))+(1-J129)*LN(MAX(0.000001,MIN(0.999999,1-I129)))))</x:f>
      </x:c>
      <x:c r="T129" s="172" t="str">
        <x:f>IF(A129="","",IFERROR(INDEX(Frozen_Predictions!$N$4:$N$203,MATCH(A129,Frozen_Predictions!$A$4:$A$203,0)),""))</x:f>
      </x:c>
      <x:c r="U129" s="172" t="str">
        <x:f>IF(A129="","",IFERROR(INDEX(Frozen_Predictions!$O$4:$O$203,MATCH(A129,Frozen_Predictions!$A$4:$A$203,0)),""))</x:f>
      </x:c>
      <x:c r="V129" s="172" t="str">
        <x:f>IF(A129="","",IFERROR(INDEX(Frozen_Predictions!$M$4:$M$203,MATCH(A129,Frozen_Predictions!$A$4:$A$203,0)),""))</x:f>
      </x:c>
      <x:c r="W129" s="175"/>
      <x:c r="X129" s="172" t="str">
        <x:f>IF(A129="","",IF(NOT(COUNTIFS(Frozen_Predictions!$A$4:$A$203,A129)=1),"SNAPSHOT ID INVALID",IFERROR(IF(NOT(AND(INDEX(Frozen_Predictions!$Q$4:$Q$203,MATCH(A129,Frozen_Predictions!$A$4:$A$203,0))="DA",ISNUMBER(INDEX(Frozen_Predictions!$B$4:$B$203,MATCH(A129,Frozen_Predictions!$A$4:$A$203,0))),ISNUMBER(INDEX(Frozen_Predictions!$C$4:$C$203,MATCH(A129,Frozen_Predictions!$A$4:$A$203,0))),INDEX(Frozen_Predictions!$B$4:$B$203,MATCH(A129,Frozen_Predictions!$A$4:$A$203,0))&lt;INDEX(Frozen_Predictions!$C$4:$C$203,MATCH(A129,Frozen_Predictions!$A$4:$A$203,0)),INDEX(Frozen_Predictions!$V$4:$V$203,MATCH(A129,Frozen_Predictions!$A$4:$A$203,0))="READY",INDEX(Frozen_Predictions!$O$4:$O$203,MATCH(A129,Frozen_Predictions!$A$4:$A$203,0))="PASS",INDEX(Frozen_Predictions!$J$4:$J$203,MATCH(A129,Frozen_Predictions!$A$4:$A$203,0))=Under_LineCal_v9!$B$45,COUNTIFS(Frozen_Predictions!$A$4:$A$203,A129,Frozen_Predictions!$L$4:$L$203,"&lt;&gt;",Frozen_Predictions!$L$4:$L$203,"&gt;=0",Frozen_Predictions!$L$4:$L$203,"&lt;=1")=1,COUNTIFS($A$4:$A$203,A129)=1)),"SNAPSHOT NOT VALID",IF(AND(ISNUMBER(I129),I129&gt;=0,I129&lt;=1,ISNUMBER(N129),P129&lt;&gt;"",ISNUMBER(Q129),Q129&gt;=B129,OR(G129="U3.5",G129="U4.5",G129="U5.5")),"SETTLED","PENDING RESULT")),"SNAPSHOT NOT VALID")))</x:f>
      </x:c>
    </x:row>
    <x:row r="130" ht="23" customHeight="1">
      <x:c r="A130" s="175"/>
      <x:c r="B130" s="200" t="str">
        <x:f>IF(A130="","",IFERROR(INDEX(Frozen_Predictions!$C$4:$C$203,MATCH(A130,Frozen_Predictions!$A$4:$A$203,0)),""))</x:f>
      </x:c>
      <x:c r="C130" s="172" t="str">
        <x:f>IF(A130="","",IFERROR(INDEX(Frozen_Predictions!$E$4:$E$203,MATCH(A130,Frozen_Predictions!$A$4:$A$203,0)),""))</x:f>
      </x:c>
      <x:c r="D130" s="172" t="str">
        <x:f>IF(A130="","",IFERROR(INDEX(Frozen_Predictions!$F$4:$F$203,MATCH(A130,Frozen_Predictions!$A$4:$A$203,0)),""))</x:f>
      </x:c>
      <x:c r="E130" s="172" t="str">
        <x:f>IF(A130="","",IFERROR(INDEX(Frozen_Predictions!$G$4:$G$203,MATCH(A130,Frozen_Predictions!$A$4:$A$203,0)),""))</x:f>
      </x:c>
      <x:c r="F130" s="172" t="str">
        <x:f>IF(A130="","",IFERROR(INDEX(Frozen_Predictions!$H$4:$H$203,MATCH(A130,Frozen_Predictions!$A$4:$A$203,0)),""))</x:f>
      </x:c>
      <x:c r="G130" s="172" t="str">
        <x:f>IF(A130="","",IFERROR(INDEX(Frozen_Predictions!$I$4:$I$203,MATCH(A130,Frozen_Predictions!$A$4:$A$203,0)),""))</x:f>
      </x:c>
      <x:c r="H130" s="172" t="str">
        <x:f>IF(A130="","",IFERROR(INDEX(Frozen_Predictions!$J$4:$J$203,MATCH(A130,Frozen_Predictions!$A$4:$A$203,0)),""))</x:f>
      </x:c>
      <x:c r="I130" s="192" t="str">
        <x:f>IF(A130="","",IFERROR(INDEX(Frozen_Predictions!$L$4:$L$203,MATCH(A130,Frozen_Predictions!$A$4:$A$203,0)),""))</x:f>
      </x:c>
      <x:c r="J130" s="172" t="str">
        <x:f>IF(X130&lt;&gt;"SETTLED","",IF(N130&lt;=IF(G130="U3.5",3,IF(G130="U4.5",4,5)),1,0))</x:f>
      </x:c>
      <x:c r="K130" s="195" t="str">
        <x:f>IF(X130&lt;&gt;"SETTLED","",IF(AND(OR(V130="DEFENSIV",V130="PRUDENT",V130="MODERAT",V130="RIDICAT"),ISNUMBER(INDEX(Frozen_Predictions!$Y$4:$Y$203,MATCH(A130,Frozen_Predictions!$A$4:$A$203,0))),INDEX(Frozen_Predictions!$Y$4:$Y$203,MATCH(A130,Frozen_Predictions!$A$4:$A$203,0))&gt;1),IF(J130=1,INDEX(Frozen_Predictions!$Y$4:$Y$203,MATCH(A130,Frozen_Predictions!$A$4:$A$203,0))-1,-1),""))</x:f>
      </x:c>
      <x:c r="L130" s="175"/>
      <x:c r="M130" s="175"/>
      <x:c r="N130" s="172" t="str">
        <x:f>IFERROR(IF(AND(ISNUMBER(L130),ISNUMBER(M130),L130&gt;=0,M130&gt;=0,INT(L130)=L130,INT(M130)=M130),L130+M130,""),"")</x:f>
      </x:c>
      <x:c r="O130" s="172" t="str">
        <x:f>IF(X130&lt;&gt;"SETTLED","",IF(J130=1,"WIN",IF(N130=IF(G130="U3.5",4,IF(G130="U4.5",5,6)),"NEAR TAIL","SEVERE TAIL")))</x:f>
      </x:c>
      <x:c r="P130" s="175"/>
      <x:c r="Q130" s="177"/>
      <x:c r="R130" s="213" t="str">
        <x:f>IF(X130&lt;&gt;"SETTLED","",(I130-J130)^2)</x:f>
      </x:c>
      <x:c r="S130" s="213" t="str">
        <x:f>IF(X130&lt;&gt;"SETTLED","",-(J130*LN(MAX(0.000001,MIN(0.999999,I130)))+(1-J130)*LN(MAX(0.000001,MIN(0.999999,1-I130)))))</x:f>
      </x:c>
      <x:c r="T130" s="172" t="str">
        <x:f>IF(A130="","",IFERROR(INDEX(Frozen_Predictions!$N$4:$N$203,MATCH(A130,Frozen_Predictions!$A$4:$A$203,0)),""))</x:f>
      </x:c>
      <x:c r="U130" s="172" t="str">
        <x:f>IF(A130="","",IFERROR(INDEX(Frozen_Predictions!$O$4:$O$203,MATCH(A130,Frozen_Predictions!$A$4:$A$203,0)),""))</x:f>
      </x:c>
      <x:c r="V130" s="172" t="str">
        <x:f>IF(A130="","",IFERROR(INDEX(Frozen_Predictions!$M$4:$M$203,MATCH(A130,Frozen_Predictions!$A$4:$A$203,0)),""))</x:f>
      </x:c>
      <x:c r="W130" s="175"/>
      <x:c r="X130" s="172" t="str">
        <x:f>IF(A130="","",IF(NOT(COUNTIFS(Frozen_Predictions!$A$4:$A$203,A130)=1),"SNAPSHOT ID INVALID",IFERROR(IF(NOT(AND(INDEX(Frozen_Predictions!$Q$4:$Q$203,MATCH(A130,Frozen_Predictions!$A$4:$A$203,0))="DA",ISNUMBER(INDEX(Frozen_Predictions!$B$4:$B$203,MATCH(A130,Frozen_Predictions!$A$4:$A$203,0))),ISNUMBER(INDEX(Frozen_Predictions!$C$4:$C$203,MATCH(A130,Frozen_Predictions!$A$4:$A$203,0))),INDEX(Frozen_Predictions!$B$4:$B$203,MATCH(A130,Frozen_Predictions!$A$4:$A$203,0))&lt;INDEX(Frozen_Predictions!$C$4:$C$203,MATCH(A130,Frozen_Predictions!$A$4:$A$203,0)),INDEX(Frozen_Predictions!$V$4:$V$203,MATCH(A130,Frozen_Predictions!$A$4:$A$203,0))="READY",INDEX(Frozen_Predictions!$O$4:$O$203,MATCH(A130,Frozen_Predictions!$A$4:$A$203,0))="PASS",INDEX(Frozen_Predictions!$J$4:$J$203,MATCH(A130,Frozen_Predictions!$A$4:$A$203,0))=Under_LineCal_v9!$B$45,COUNTIFS(Frozen_Predictions!$A$4:$A$203,A130,Frozen_Predictions!$L$4:$L$203,"&lt;&gt;",Frozen_Predictions!$L$4:$L$203,"&gt;=0",Frozen_Predictions!$L$4:$L$203,"&lt;=1")=1,COUNTIFS($A$4:$A$203,A130)=1)),"SNAPSHOT NOT VALID",IF(AND(ISNUMBER(I130),I130&gt;=0,I130&lt;=1,ISNUMBER(N130),P130&lt;&gt;"",ISNUMBER(Q130),Q130&gt;=B130,OR(G130="U3.5",G130="U4.5",G130="U5.5")),"SETTLED","PENDING RESULT")),"SNAPSHOT NOT VALID")))</x:f>
      </x:c>
    </x:row>
    <x:row r="131" ht="23" customHeight="1">
      <x:c r="A131" s="175"/>
      <x:c r="B131" s="200" t="str">
        <x:f>IF(A131="","",IFERROR(INDEX(Frozen_Predictions!$C$4:$C$203,MATCH(A131,Frozen_Predictions!$A$4:$A$203,0)),""))</x:f>
      </x:c>
      <x:c r="C131" s="172" t="str">
        <x:f>IF(A131="","",IFERROR(INDEX(Frozen_Predictions!$E$4:$E$203,MATCH(A131,Frozen_Predictions!$A$4:$A$203,0)),""))</x:f>
      </x:c>
      <x:c r="D131" s="172" t="str">
        <x:f>IF(A131="","",IFERROR(INDEX(Frozen_Predictions!$F$4:$F$203,MATCH(A131,Frozen_Predictions!$A$4:$A$203,0)),""))</x:f>
      </x:c>
      <x:c r="E131" s="172" t="str">
        <x:f>IF(A131="","",IFERROR(INDEX(Frozen_Predictions!$G$4:$G$203,MATCH(A131,Frozen_Predictions!$A$4:$A$203,0)),""))</x:f>
      </x:c>
      <x:c r="F131" s="172" t="str">
        <x:f>IF(A131="","",IFERROR(INDEX(Frozen_Predictions!$H$4:$H$203,MATCH(A131,Frozen_Predictions!$A$4:$A$203,0)),""))</x:f>
      </x:c>
      <x:c r="G131" s="172" t="str">
        <x:f>IF(A131="","",IFERROR(INDEX(Frozen_Predictions!$I$4:$I$203,MATCH(A131,Frozen_Predictions!$A$4:$A$203,0)),""))</x:f>
      </x:c>
      <x:c r="H131" s="172" t="str">
        <x:f>IF(A131="","",IFERROR(INDEX(Frozen_Predictions!$J$4:$J$203,MATCH(A131,Frozen_Predictions!$A$4:$A$203,0)),""))</x:f>
      </x:c>
      <x:c r="I131" s="192" t="str">
        <x:f>IF(A131="","",IFERROR(INDEX(Frozen_Predictions!$L$4:$L$203,MATCH(A131,Frozen_Predictions!$A$4:$A$203,0)),""))</x:f>
      </x:c>
      <x:c r="J131" s="172" t="str">
        <x:f>IF(X131&lt;&gt;"SETTLED","",IF(N131&lt;=IF(G131="U3.5",3,IF(G131="U4.5",4,5)),1,0))</x:f>
      </x:c>
      <x:c r="K131" s="195" t="str">
        <x:f>IF(X131&lt;&gt;"SETTLED","",IF(AND(OR(V131="DEFENSIV",V131="PRUDENT",V131="MODERAT",V131="RIDICAT"),ISNUMBER(INDEX(Frozen_Predictions!$Y$4:$Y$203,MATCH(A131,Frozen_Predictions!$A$4:$A$203,0))),INDEX(Frozen_Predictions!$Y$4:$Y$203,MATCH(A131,Frozen_Predictions!$A$4:$A$203,0))&gt;1),IF(J131=1,INDEX(Frozen_Predictions!$Y$4:$Y$203,MATCH(A131,Frozen_Predictions!$A$4:$A$203,0))-1,-1),""))</x:f>
      </x:c>
      <x:c r="L131" s="175"/>
      <x:c r="M131" s="175"/>
      <x:c r="N131" s="172" t="str">
        <x:f>IFERROR(IF(AND(ISNUMBER(L131),ISNUMBER(M131),L131&gt;=0,M131&gt;=0,INT(L131)=L131,INT(M131)=M131),L131+M131,""),"")</x:f>
      </x:c>
      <x:c r="O131" s="172" t="str">
        <x:f>IF(X131&lt;&gt;"SETTLED","",IF(J131=1,"WIN",IF(N131=IF(G131="U3.5",4,IF(G131="U4.5",5,6)),"NEAR TAIL","SEVERE TAIL")))</x:f>
      </x:c>
      <x:c r="P131" s="175"/>
      <x:c r="Q131" s="177"/>
      <x:c r="R131" s="213" t="str">
        <x:f>IF(X131&lt;&gt;"SETTLED","",(I131-J131)^2)</x:f>
      </x:c>
      <x:c r="S131" s="213" t="str">
        <x:f>IF(X131&lt;&gt;"SETTLED","",-(J131*LN(MAX(0.000001,MIN(0.999999,I131)))+(1-J131)*LN(MAX(0.000001,MIN(0.999999,1-I131)))))</x:f>
      </x:c>
      <x:c r="T131" s="172" t="str">
        <x:f>IF(A131="","",IFERROR(INDEX(Frozen_Predictions!$N$4:$N$203,MATCH(A131,Frozen_Predictions!$A$4:$A$203,0)),""))</x:f>
      </x:c>
      <x:c r="U131" s="172" t="str">
        <x:f>IF(A131="","",IFERROR(INDEX(Frozen_Predictions!$O$4:$O$203,MATCH(A131,Frozen_Predictions!$A$4:$A$203,0)),""))</x:f>
      </x:c>
      <x:c r="V131" s="172" t="str">
        <x:f>IF(A131="","",IFERROR(INDEX(Frozen_Predictions!$M$4:$M$203,MATCH(A131,Frozen_Predictions!$A$4:$A$203,0)),""))</x:f>
      </x:c>
      <x:c r="W131" s="175"/>
      <x:c r="X131" s="172" t="str">
        <x:f>IF(A131="","",IF(NOT(COUNTIFS(Frozen_Predictions!$A$4:$A$203,A131)=1),"SNAPSHOT ID INVALID",IFERROR(IF(NOT(AND(INDEX(Frozen_Predictions!$Q$4:$Q$203,MATCH(A131,Frozen_Predictions!$A$4:$A$203,0))="DA",ISNUMBER(INDEX(Frozen_Predictions!$B$4:$B$203,MATCH(A131,Frozen_Predictions!$A$4:$A$203,0))),ISNUMBER(INDEX(Frozen_Predictions!$C$4:$C$203,MATCH(A131,Frozen_Predictions!$A$4:$A$203,0))),INDEX(Frozen_Predictions!$B$4:$B$203,MATCH(A131,Frozen_Predictions!$A$4:$A$203,0))&lt;INDEX(Frozen_Predictions!$C$4:$C$203,MATCH(A131,Frozen_Predictions!$A$4:$A$203,0)),INDEX(Frozen_Predictions!$V$4:$V$203,MATCH(A131,Frozen_Predictions!$A$4:$A$203,0))="READY",INDEX(Frozen_Predictions!$O$4:$O$203,MATCH(A131,Frozen_Predictions!$A$4:$A$203,0))="PASS",INDEX(Frozen_Predictions!$J$4:$J$203,MATCH(A131,Frozen_Predictions!$A$4:$A$203,0))=Under_LineCal_v9!$B$45,COUNTIFS(Frozen_Predictions!$A$4:$A$203,A131,Frozen_Predictions!$L$4:$L$203,"&lt;&gt;",Frozen_Predictions!$L$4:$L$203,"&gt;=0",Frozen_Predictions!$L$4:$L$203,"&lt;=1")=1,COUNTIFS($A$4:$A$203,A131)=1)),"SNAPSHOT NOT VALID",IF(AND(ISNUMBER(I131),I131&gt;=0,I131&lt;=1,ISNUMBER(N131),P131&lt;&gt;"",ISNUMBER(Q131),Q131&gt;=B131,OR(G131="U3.5",G131="U4.5",G131="U5.5")),"SETTLED","PENDING RESULT")),"SNAPSHOT NOT VALID")))</x:f>
      </x:c>
    </x:row>
    <x:row r="132" ht="23" customHeight="1">
      <x:c r="A132" s="175"/>
      <x:c r="B132" s="200" t="str">
        <x:f>IF(A132="","",IFERROR(INDEX(Frozen_Predictions!$C$4:$C$203,MATCH(A132,Frozen_Predictions!$A$4:$A$203,0)),""))</x:f>
      </x:c>
      <x:c r="C132" s="172" t="str">
        <x:f>IF(A132="","",IFERROR(INDEX(Frozen_Predictions!$E$4:$E$203,MATCH(A132,Frozen_Predictions!$A$4:$A$203,0)),""))</x:f>
      </x:c>
      <x:c r="D132" s="172" t="str">
        <x:f>IF(A132="","",IFERROR(INDEX(Frozen_Predictions!$F$4:$F$203,MATCH(A132,Frozen_Predictions!$A$4:$A$203,0)),""))</x:f>
      </x:c>
      <x:c r="E132" s="172" t="str">
        <x:f>IF(A132="","",IFERROR(INDEX(Frozen_Predictions!$G$4:$G$203,MATCH(A132,Frozen_Predictions!$A$4:$A$203,0)),""))</x:f>
      </x:c>
      <x:c r="F132" s="172" t="str">
        <x:f>IF(A132="","",IFERROR(INDEX(Frozen_Predictions!$H$4:$H$203,MATCH(A132,Frozen_Predictions!$A$4:$A$203,0)),""))</x:f>
      </x:c>
      <x:c r="G132" s="172" t="str">
        <x:f>IF(A132="","",IFERROR(INDEX(Frozen_Predictions!$I$4:$I$203,MATCH(A132,Frozen_Predictions!$A$4:$A$203,0)),""))</x:f>
      </x:c>
      <x:c r="H132" s="172" t="str">
        <x:f>IF(A132="","",IFERROR(INDEX(Frozen_Predictions!$J$4:$J$203,MATCH(A132,Frozen_Predictions!$A$4:$A$203,0)),""))</x:f>
      </x:c>
      <x:c r="I132" s="192" t="str">
        <x:f>IF(A132="","",IFERROR(INDEX(Frozen_Predictions!$L$4:$L$203,MATCH(A132,Frozen_Predictions!$A$4:$A$203,0)),""))</x:f>
      </x:c>
      <x:c r="J132" s="172" t="str">
        <x:f>IF(X132&lt;&gt;"SETTLED","",IF(N132&lt;=IF(G132="U3.5",3,IF(G132="U4.5",4,5)),1,0))</x:f>
      </x:c>
      <x:c r="K132" s="195" t="str">
        <x:f>IF(X132&lt;&gt;"SETTLED","",IF(AND(OR(V132="DEFENSIV",V132="PRUDENT",V132="MODERAT",V132="RIDICAT"),ISNUMBER(INDEX(Frozen_Predictions!$Y$4:$Y$203,MATCH(A132,Frozen_Predictions!$A$4:$A$203,0))),INDEX(Frozen_Predictions!$Y$4:$Y$203,MATCH(A132,Frozen_Predictions!$A$4:$A$203,0))&gt;1),IF(J132=1,INDEX(Frozen_Predictions!$Y$4:$Y$203,MATCH(A132,Frozen_Predictions!$A$4:$A$203,0))-1,-1),""))</x:f>
      </x:c>
      <x:c r="L132" s="175"/>
      <x:c r="M132" s="175"/>
      <x:c r="N132" s="172" t="str">
        <x:f>IFERROR(IF(AND(ISNUMBER(L132),ISNUMBER(M132),L132&gt;=0,M132&gt;=0,INT(L132)=L132,INT(M132)=M132),L132+M132,""),"")</x:f>
      </x:c>
      <x:c r="O132" s="172" t="str">
        <x:f>IF(X132&lt;&gt;"SETTLED","",IF(J132=1,"WIN",IF(N132=IF(G132="U3.5",4,IF(G132="U4.5",5,6)),"NEAR TAIL","SEVERE TAIL")))</x:f>
      </x:c>
      <x:c r="P132" s="175"/>
      <x:c r="Q132" s="177"/>
      <x:c r="R132" s="213" t="str">
        <x:f>IF(X132&lt;&gt;"SETTLED","",(I132-J132)^2)</x:f>
      </x:c>
      <x:c r="S132" s="213" t="str">
        <x:f>IF(X132&lt;&gt;"SETTLED","",-(J132*LN(MAX(0.000001,MIN(0.999999,I132)))+(1-J132)*LN(MAX(0.000001,MIN(0.999999,1-I132)))))</x:f>
      </x:c>
      <x:c r="T132" s="172" t="str">
        <x:f>IF(A132="","",IFERROR(INDEX(Frozen_Predictions!$N$4:$N$203,MATCH(A132,Frozen_Predictions!$A$4:$A$203,0)),""))</x:f>
      </x:c>
      <x:c r="U132" s="172" t="str">
        <x:f>IF(A132="","",IFERROR(INDEX(Frozen_Predictions!$O$4:$O$203,MATCH(A132,Frozen_Predictions!$A$4:$A$203,0)),""))</x:f>
      </x:c>
      <x:c r="V132" s="172" t="str">
        <x:f>IF(A132="","",IFERROR(INDEX(Frozen_Predictions!$M$4:$M$203,MATCH(A132,Frozen_Predictions!$A$4:$A$203,0)),""))</x:f>
      </x:c>
      <x:c r="W132" s="175"/>
      <x:c r="X132" s="172" t="str">
        <x:f>IF(A132="","",IF(NOT(COUNTIFS(Frozen_Predictions!$A$4:$A$203,A132)=1),"SNAPSHOT ID INVALID",IFERROR(IF(NOT(AND(INDEX(Frozen_Predictions!$Q$4:$Q$203,MATCH(A132,Frozen_Predictions!$A$4:$A$203,0))="DA",ISNUMBER(INDEX(Frozen_Predictions!$B$4:$B$203,MATCH(A132,Frozen_Predictions!$A$4:$A$203,0))),ISNUMBER(INDEX(Frozen_Predictions!$C$4:$C$203,MATCH(A132,Frozen_Predictions!$A$4:$A$203,0))),INDEX(Frozen_Predictions!$B$4:$B$203,MATCH(A132,Frozen_Predictions!$A$4:$A$203,0))&lt;INDEX(Frozen_Predictions!$C$4:$C$203,MATCH(A132,Frozen_Predictions!$A$4:$A$203,0)),INDEX(Frozen_Predictions!$V$4:$V$203,MATCH(A132,Frozen_Predictions!$A$4:$A$203,0))="READY",INDEX(Frozen_Predictions!$O$4:$O$203,MATCH(A132,Frozen_Predictions!$A$4:$A$203,0))="PASS",INDEX(Frozen_Predictions!$J$4:$J$203,MATCH(A132,Frozen_Predictions!$A$4:$A$203,0))=Under_LineCal_v9!$B$45,COUNTIFS(Frozen_Predictions!$A$4:$A$203,A132,Frozen_Predictions!$L$4:$L$203,"&lt;&gt;",Frozen_Predictions!$L$4:$L$203,"&gt;=0",Frozen_Predictions!$L$4:$L$203,"&lt;=1")=1,COUNTIFS($A$4:$A$203,A132)=1)),"SNAPSHOT NOT VALID",IF(AND(ISNUMBER(I132),I132&gt;=0,I132&lt;=1,ISNUMBER(N132),P132&lt;&gt;"",ISNUMBER(Q132),Q132&gt;=B132,OR(G132="U3.5",G132="U4.5",G132="U5.5")),"SETTLED","PENDING RESULT")),"SNAPSHOT NOT VALID")))</x:f>
      </x:c>
    </x:row>
    <x:row r="133" ht="23" customHeight="1">
      <x:c r="A133" s="175"/>
      <x:c r="B133" s="200" t="str">
        <x:f>IF(A133="","",IFERROR(INDEX(Frozen_Predictions!$C$4:$C$203,MATCH(A133,Frozen_Predictions!$A$4:$A$203,0)),""))</x:f>
      </x:c>
      <x:c r="C133" s="172" t="str">
        <x:f>IF(A133="","",IFERROR(INDEX(Frozen_Predictions!$E$4:$E$203,MATCH(A133,Frozen_Predictions!$A$4:$A$203,0)),""))</x:f>
      </x:c>
      <x:c r="D133" s="172" t="str">
        <x:f>IF(A133="","",IFERROR(INDEX(Frozen_Predictions!$F$4:$F$203,MATCH(A133,Frozen_Predictions!$A$4:$A$203,0)),""))</x:f>
      </x:c>
      <x:c r="E133" s="172" t="str">
        <x:f>IF(A133="","",IFERROR(INDEX(Frozen_Predictions!$G$4:$G$203,MATCH(A133,Frozen_Predictions!$A$4:$A$203,0)),""))</x:f>
      </x:c>
      <x:c r="F133" s="172" t="str">
        <x:f>IF(A133="","",IFERROR(INDEX(Frozen_Predictions!$H$4:$H$203,MATCH(A133,Frozen_Predictions!$A$4:$A$203,0)),""))</x:f>
      </x:c>
      <x:c r="G133" s="172" t="str">
        <x:f>IF(A133="","",IFERROR(INDEX(Frozen_Predictions!$I$4:$I$203,MATCH(A133,Frozen_Predictions!$A$4:$A$203,0)),""))</x:f>
      </x:c>
      <x:c r="H133" s="172" t="str">
        <x:f>IF(A133="","",IFERROR(INDEX(Frozen_Predictions!$J$4:$J$203,MATCH(A133,Frozen_Predictions!$A$4:$A$203,0)),""))</x:f>
      </x:c>
      <x:c r="I133" s="192" t="str">
        <x:f>IF(A133="","",IFERROR(INDEX(Frozen_Predictions!$L$4:$L$203,MATCH(A133,Frozen_Predictions!$A$4:$A$203,0)),""))</x:f>
      </x:c>
      <x:c r="J133" s="172" t="str">
        <x:f>IF(X133&lt;&gt;"SETTLED","",IF(N133&lt;=IF(G133="U3.5",3,IF(G133="U4.5",4,5)),1,0))</x:f>
      </x:c>
      <x:c r="K133" s="195" t="str">
        <x:f>IF(X133&lt;&gt;"SETTLED","",IF(AND(OR(V133="DEFENSIV",V133="PRUDENT",V133="MODERAT",V133="RIDICAT"),ISNUMBER(INDEX(Frozen_Predictions!$Y$4:$Y$203,MATCH(A133,Frozen_Predictions!$A$4:$A$203,0))),INDEX(Frozen_Predictions!$Y$4:$Y$203,MATCH(A133,Frozen_Predictions!$A$4:$A$203,0))&gt;1),IF(J133=1,INDEX(Frozen_Predictions!$Y$4:$Y$203,MATCH(A133,Frozen_Predictions!$A$4:$A$203,0))-1,-1),""))</x:f>
      </x:c>
      <x:c r="L133" s="175"/>
      <x:c r="M133" s="175"/>
      <x:c r="N133" s="172" t="str">
        <x:f>IFERROR(IF(AND(ISNUMBER(L133),ISNUMBER(M133),L133&gt;=0,M133&gt;=0,INT(L133)=L133,INT(M133)=M133),L133+M133,""),"")</x:f>
      </x:c>
      <x:c r="O133" s="172" t="str">
        <x:f>IF(X133&lt;&gt;"SETTLED","",IF(J133=1,"WIN",IF(N133=IF(G133="U3.5",4,IF(G133="U4.5",5,6)),"NEAR TAIL","SEVERE TAIL")))</x:f>
      </x:c>
      <x:c r="P133" s="175"/>
      <x:c r="Q133" s="177"/>
      <x:c r="R133" s="213" t="str">
        <x:f>IF(X133&lt;&gt;"SETTLED","",(I133-J133)^2)</x:f>
      </x:c>
      <x:c r="S133" s="213" t="str">
        <x:f>IF(X133&lt;&gt;"SETTLED","",-(J133*LN(MAX(0.000001,MIN(0.999999,I133)))+(1-J133)*LN(MAX(0.000001,MIN(0.999999,1-I133)))))</x:f>
      </x:c>
      <x:c r="T133" s="172" t="str">
        <x:f>IF(A133="","",IFERROR(INDEX(Frozen_Predictions!$N$4:$N$203,MATCH(A133,Frozen_Predictions!$A$4:$A$203,0)),""))</x:f>
      </x:c>
      <x:c r="U133" s="172" t="str">
        <x:f>IF(A133="","",IFERROR(INDEX(Frozen_Predictions!$O$4:$O$203,MATCH(A133,Frozen_Predictions!$A$4:$A$203,0)),""))</x:f>
      </x:c>
      <x:c r="V133" s="172" t="str">
        <x:f>IF(A133="","",IFERROR(INDEX(Frozen_Predictions!$M$4:$M$203,MATCH(A133,Frozen_Predictions!$A$4:$A$203,0)),""))</x:f>
      </x:c>
      <x:c r="W133" s="175"/>
      <x:c r="X133" s="172" t="str">
        <x:f>IF(A133="","",IF(NOT(COUNTIFS(Frozen_Predictions!$A$4:$A$203,A133)=1),"SNAPSHOT ID INVALID",IFERROR(IF(NOT(AND(INDEX(Frozen_Predictions!$Q$4:$Q$203,MATCH(A133,Frozen_Predictions!$A$4:$A$203,0))="DA",ISNUMBER(INDEX(Frozen_Predictions!$B$4:$B$203,MATCH(A133,Frozen_Predictions!$A$4:$A$203,0))),ISNUMBER(INDEX(Frozen_Predictions!$C$4:$C$203,MATCH(A133,Frozen_Predictions!$A$4:$A$203,0))),INDEX(Frozen_Predictions!$B$4:$B$203,MATCH(A133,Frozen_Predictions!$A$4:$A$203,0))&lt;INDEX(Frozen_Predictions!$C$4:$C$203,MATCH(A133,Frozen_Predictions!$A$4:$A$203,0)),INDEX(Frozen_Predictions!$V$4:$V$203,MATCH(A133,Frozen_Predictions!$A$4:$A$203,0))="READY",INDEX(Frozen_Predictions!$O$4:$O$203,MATCH(A133,Frozen_Predictions!$A$4:$A$203,0))="PASS",INDEX(Frozen_Predictions!$J$4:$J$203,MATCH(A133,Frozen_Predictions!$A$4:$A$203,0))=Under_LineCal_v9!$B$45,COUNTIFS(Frozen_Predictions!$A$4:$A$203,A133,Frozen_Predictions!$L$4:$L$203,"&lt;&gt;",Frozen_Predictions!$L$4:$L$203,"&gt;=0",Frozen_Predictions!$L$4:$L$203,"&lt;=1")=1,COUNTIFS($A$4:$A$203,A133)=1)),"SNAPSHOT NOT VALID",IF(AND(ISNUMBER(I133),I133&gt;=0,I133&lt;=1,ISNUMBER(N133),P133&lt;&gt;"",ISNUMBER(Q133),Q133&gt;=B133,OR(G133="U3.5",G133="U4.5",G133="U5.5")),"SETTLED","PENDING RESULT")),"SNAPSHOT NOT VALID")))</x:f>
      </x:c>
    </x:row>
    <x:row r="134" ht="23" customHeight="1">
      <x:c r="A134" s="175"/>
      <x:c r="B134" s="200" t="str">
        <x:f>IF(A134="","",IFERROR(INDEX(Frozen_Predictions!$C$4:$C$203,MATCH(A134,Frozen_Predictions!$A$4:$A$203,0)),""))</x:f>
      </x:c>
      <x:c r="C134" s="172" t="str">
        <x:f>IF(A134="","",IFERROR(INDEX(Frozen_Predictions!$E$4:$E$203,MATCH(A134,Frozen_Predictions!$A$4:$A$203,0)),""))</x:f>
      </x:c>
      <x:c r="D134" s="172" t="str">
        <x:f>IF(A134="","",IFERROR(INDEX(Frozen_Predictions!$F$4:$F$203,MATCH(A134,Frozen_Predictions!$A$4:$A$203,0)),""))</x:f>
      </x:c>
      <x:c r="E134" s="172" t="str">
        <x:f>IF(A134="","",IFERROR(INDEX(Frozen_Predictions!$G$4:$G$203,MATCH(A134,Frozen_Predictions!$A$4:$A$203,0)),""))</x:f>
      </x:c>
      <x:c r="F134" s="172" t="str">
        <x:f>IF(A134="","",IFERROR(INDEX(Frozen_Predictions!$H$4:$H$203,MATCH(A134,Frozen_Predictions!$A$4:$A$203,0)),""))</x:f>
      </x:c>
      <x:c r="G134" s="172" t="str">
        <x:f>IF(A134="","",IFERROR(INDEX(Frozen_Predictions!$I$4:$I$203,MATCH(A134,Frozen_Predictions!$A$4:$A$203,0)),""))</x:f>
      </x:c>
      <x:c r="H134" s="172" t="str">
        <x:f>IF(A134="","",IFERROR(INDEX(Frozen_Predictions!$J$4:$J$203,MATCH(A134,Frozen_Predictions!$A$4:$A$203,0)),""))</x:f>
      </x:c>
      <x:c r="I134" s="192" t="str">
        <x:f>IF(A134="","",IFERROR(INDEX(Frozen_Predictions!$L$4:$L$203,MATCH(A134,Frozen_Predictions!$A$4:$A$203,0)),""))</x:f>
      </x:c>
      <x:c r="J134" s="172" t="str">
        <x:f>IF(X134&lt;&gt;"SETTLED","",IF(N134&lt;=IF(G134="U3.5",3,IF(G134="U4.5",4,5)),1,0))</x:f>
      </x:c>
      <x:c r="K134" s="195" t="str">
        <x:f>IF(X134&lt;&gt;"SETTLED","",IF(AND(OR(V134="DEFENSIV",V134="PRUDENT",V134="MODERAT",V134="RIDICAT"),ISNUMBER(INDEX(Frozen_Predictions!$Y$4:$Y$203,MATCH(A134,Frozen_Predictions!$A$4:$A$203,0))),INDEX(Frozen_Predictions!$Y$4:$Y$203,MATCH(A134,Frozen_Predictions!$A$4:$A$203,0))&gt;1),IF(J134=1,INDEX(Frozen_Predictions!$Y$4:$Y$203,MATCH(A134,Frozen_Predictions!$A$4:$A$203,0))-1,-1),""))</x:f>
      </x:c>
      <x:c r="L134" s="175"/>
      <x:c r="M134" s="175"/>
      <x:c r="N134" s="172" t="str">
        <x:f>IFERROR(IF(AND(ISNUMBER(L134),ISNUMBER(M134),L134&gt;=0,M134&gt;=0,INT(L134)=L134,INT(M134)=M134),L134+M134,""),"")</x:f>
      </x:c>
      <x:c r="O134" s="172" t="str">
        <x:f>IF(X134&lt;&gt;"SETTLED","",IF(J134=1,"WIN",IF(N134=IF(G134="U3.5",4,IF(G134="U4.5",5,6)),"NEAR TAIL","SEVERE TAIL")))</x:f>
      </x:c>
      <x:c r="P134" s="175"/>
      <x:c r="Q134" s="177"/>
      <x:c r="R134" s="213" t="str">
        <x:f>IF(X134&lt;&gt;"SETTLED","",(I134-J134)^2)</x:f>
      </x:c>
      <x:c r="S134" s="213" t="str">
        <x:f>IF(X134&lt;&gt;"SETTLED","",-(J134*LN(MAX(0.000001,MIN(0.999999,I134)))+(1-J134)*LN(MAX(0.000001,MIN(0.999999,1-I134)))))</x:f>
      </x:c>
      <x:c r="T134" s="172" t="str">
        <x:f>IF(A134="","",IFERROR(INDEX(Frozen_Predictions!$N$4:$N$203,MATCH(A134,Frozen_Predictions!$A$4:$A$203,0)),""))</x:f>
      </x:c>
      <x:c r="U134" s="172" t="str">
        <x:f>IF(A134="","",IFERROR(INDEX(Frozen_Predictions!$O$4:$O$203,MATCH(A134,Frozen_Predictions!$A$4:$A$203,0)),""))</x:f>
      </x:c>
      <x:c r="V134" s="172" t="str">
        <x:f>IF(A134="","",IFERROR(INDEX(Frozen_Predictions!$M$4:$M$203,MATCH(A134,Frozen_Predictions!$A$4:$A$203,0)),""))</x:f>
      </x:c>
      <x:c r="W134" s="175"/>
      <x:c r="X134" s="172" t="str">
        <x:f>IF(A134="","",IF(NOT(COUNTIFS(Frozen_Predictions!$A$4:$A$203,A134)=1),"SNAPSHOT ID INVALID",IFERROR(IF(NOT(AND(INDEX(Frozen_Predictions!$Q$4:$Q$203,MATCH(A134,Frozen_Predictions!$A$4:$A$203,0))="DA",ISNUMBER(INDEX(Frozen_Predictions!$B$4:$B$203,MATCH(A134,Frozen_Predictions!$A$4:$A$203,0))),ISNUMBER(INDEX(Frozen_Predictions!$C$4:$C$203,MATCH(A134,Frozen_Predictions!$A$4:$A$203,0))),INDEX(Frozen_Predictions!$B$4:$B$203,MATCH(A134,Frozen_Predictions!$A$4:$A$203,0))&lt;INDEX(Frozen_Predictions!$C$4:$C$203,MATCH(A134,Frozen_Predictions!$A$4:$A$203,0)),INDEX(Frozen_Predictions!$V$4:$V$203,MATCH(A134,Frozen_Predictions!$A$4:$A$203,0))="READY",INDEX(Frozen_Predictions!$O$4:$O$203,MATCH(A134,Frozen_Predictions!$A$4:$A$203,0))="PASS",INDEX(Frozen_Predictions!$J$4:$J$203,MATCH(A134,Frozen_Predictions!$A$4:$A$203,0))=Under_LineCal_v9!$B$45,COUNTIFS(Frozen_Predictions!$A$4:$A$203,A134,Frozen_Predictions!$L$4:$L$203,"&lt;&gt;",Frozen_Predictions!$L$4:$L$203,"&gt;=0",Frozen_Predictions!$L$4:$L$203,"&lt;=1")=1,COUNTIFS($A$4:$A$203,A134)=1)),"SNAPSHOT NOT VALID",IF(AND(ISNUMBER(I134),I134&gt;=0,I134&lt;=1,ISNUMBER(N134),P134&lt;&gt;"",ISNUMBER(Q134),Q134&gt;=B134,OR(G134="U3.5",G134="U4.5",G134="U5.5")),"SETTLED","PENDING RESULT")),"SNAPSHOT NOT VALID")))</x:f>
      </x:c>
    </x:row>
    <x:row r="135" ht="23" customHeight="1">
      <x:c r="A135" s="175"/>
      <x:c r="B135" s="200" t="str">
        <x:f>IF(A135="","",IFERROR(INDEX(Frozen_Predictions!$C$4:$C$203,MATCH(A135,Frozen_Predictions!$A$4:$A$203,0)),""))</x:f>
      </x:c>
      <x:c r="C135" s="172" t="str">
        <x:f>IF(A135="","",IFERROR(INDEX(Frozen_Predictions!$E$4:$E$203,MATCH(A135,Frozen_Predictions!$A$4:$A$203,0)),""))</x:f>
      </x:c>
      <x:c r="D135" s="172" t="str">
        <x:f>IF(A135="","",IFERROR(INDEX(Frozen_Predictions!$F$4:$F$203,MATCH(A135,Frozen_Predictions!$A$4:$A$203,0)),""))</x:f>
      </x:c>
      <x:c r="E135" s="172" t="str">
        <x:f>IF(A135="","",IFERROR(INDEX(Frozen_Predictions!$G$4:$G$203,MATCH(A135,Frozen_Predictions!$A$4:$A$203,0)),""))</x:f>
      </x:c>
      <x:c r="F135" s="172" t="str">
        <x:f>IF(A135="","",IFERROR(INDEX(Frozen_Predictions!$H$4:$H$203,MATCH(A135,Frozen_Predictions!$A$4:$A$203,0)),""))</x:f>
      </x:c>
      <x:c r="G135" s="172" t="str">
        <x:f>IF(A135="","",IFERROR(INDEX(Frozen_Predictions!$I$4:$I$203,MATCH(A135,Frozen_Predictions!$A$4:$A$203,0)),""))</x:f>
      </x:c>
      <x:c r="H135" s="172" t="str">
        <x:f>IF(A135="","",IFERROR(INDEX(Frozen_Predictions!$J$4:$J$203,MATCH(A135,Frozen_Predictions!$A$4:$A$203,0)),""))</x:f>
      </x:c>
      <x:c r="I135" s="192" t="str">
        <x:f>IF(A135="","",IFERROR(INDEX(Frozen_Predictions!$L$4:$L$203,MATCH(A135,Frozen_Predictions!$A$4:$A$203,0)),""))</x:f>
      </x:c>
      <x:c r="J135" s="172" t="str">
        <x:f>IF(X135&lt;&gt;"SETTLED","",IF(N135&lt;=IF(G135="U3.5",3,IF(G135="U4.5",4,5)),1,0))</x:f>
      </x:c>
      <x:c r="K135" s="195" t="str">
        <x:f>IF(X135&lt;&gt;"SETTLED","",IF(AND(OR(V135="DEFENSIV",V135="PRUDENT",V135="MODERAT",V135="RIDICAT"),ISNUMBER(INDEX(Frozen_Predictions!$Y$4:$Y$203,MATCH(A135,Frozen_Predictions!$A$4:$A$203,0))),INDEX(Frozen_Predictions!$Y$4:$Y$203,MATCH(A135,Frozen_Predictions!$A$4:$A$203,0))&gt;1),IF(J135=1,INDEX(Frozen_Predictions!$Y$4:$Y$203,MATCH(A135,Frozen_Predictions!$A$4:$A$203,0))-1,-1),""))</x:f>
      </x:c>
      <x:c r="L135" s="175"/>
      <x:c r="M135" s="175"/>
      <x:c r="N135" s="172" t="str">
        <x:f>IFERROR(IF(AND(ISNUMBER(L135),ISNUMBER(M135),L135&gt;=0,M135&gt;=0,INT(L135)=L135,INT(M135)=M135),L135+M135,""),"")</x:f>
      </x:c>
      <x:c r="O135" s="172" t="str">
        <x:f>IF(X135&lt;&gt;"SETTLED","",IF(J135=1,"WIN",IF(N135=IF(G135="U3.5",4,IF(G135="U4.5",5,6)),"NEAR TAIL","SEVERE TAIL")))</x:f>
      </x:c>
      <x:c r="P135" s="175"/>
      <x:c r="Q135" s="177"/>
      <x:c r="R135" s="213" t="str">
        <x:f>IF(X135&lt;&gt;"SETTLED","",(I135-J135)^2)</x:f>
      </x:c>
      <x:c r="S135" s="213" t="str">
        <x:f>IF(X135&lt;&gt;"SETTLED","",-(J135*LN(MAX(0.000001,MIN(0.999999,I135)))+(1-J135)*LN(MAX(0.000001,MIN(0.999999,1-I135)))))</x:f>
      </x:c>
      <x:c r="T135" s="172" t="str">
        <x:f>IF(A135="","",IFERROR(INDEX(Frozen_Predictions!$N$4:$N$203,MATCH(A135,Frozen_Predictions!$A$4:$A$203,0)),""))</x:f>
      </x:c>
      <x:c r="U135" s="172" t="str">
        <x:f>IF(A135="","",IFERROR(INDEX(Frozen_Predictions!$O$4:$O$203,MATCH(A135,Frozen_Predictions!$A$4:$A$203,0)),""))</x:f>
      </x:c>
      <x:c r="V135" s="172" t="str">
        <x:f>IF(A135="","",IFERROR(INDEX(Frozen_Predictions!$M$4:$M$203,MATCH(A135,Frozen_Predictions!$A$4:$A$203,0)),""))</x:f>
      </x:c>
      <x:c r="W135" s="175"/>
      <x:c r="X135" s="172" t="str">
        <x:f>IF(A135="","",IF(NOT(COUNTIFS(Frozen_Predictions!$A$4:$A$203,A135)=1),"SNAPSHOT ID INVALID",IFERROR(IF(NOT(AND(INDEX(Frozen_Predictions!$Q$4:$Q$203,MATCH(A135,Frozen_Predictions!$A$4:$A$203,0))="DA",ISNUMBER(INDEX(Frozen_Predictions!$B$4:$B$203,MATCH(A135,Frozen_Predictions!$A$4:$A$203,0))),ISNUMBER(INDEX(Frozen_Predictions!$C$4:$C$203,MATCH(A135,Frozen_Predictions!$A$4:$A$203,0))),INDEX(Frozen_Predictions!$B$4:$B$203,MATCH(A135,Frozen_Predictions!$A$4:$A$203,0))&lt;INDEX(Frozen_Predictions!$C$4:$C$203,MATCH(A135,Frozen_Predictions!$A$4:$A$203,0)),INDEX(Frozen_Predictions!$V$4:$V$203,MATCH(A135,Frozen_Predictions!$A$4:$A$203,0))="READY",INDEX(Frozen_Predictions!$O$4:$O$203,MATCH(A135,Frozen_Predictions!$A$4:$A$203,0))="PASS",INDEX(Frozen_Predictions!$J$4:$J$203,MATCH(A135,Frozen_Predictions!$A$4:$A$203,0))=Under_LineCal_v9!$B$45,COUNTIFS(Frozen_Predictions!$A$4:$A$203,A135,Frozen_Predictions!$L$4:$L$203,"&lt;&gt;",Frozen_Predictions!$L$4:$L$203,"&gt;=0",Frozen_Predictions!$L$4:$L$203,"&lt;=1")=1,COUNTIFS($A$4:$A$203,A135)=1)),"SNAPSHOT NOT VALID",IF(AND(ISNUMBER(I135),I135&gt;=0,I135&lt;=1,ISNUMBER(N135),P135&lt;&gt;"",ISNUMBER(Q135),Q135&gt;=B135,OR(G135="U3.5",G135="U4.5",G135="U5.5")),"SETTLED","PENDING RESULT")),"SNAPSHOT NOT VALID")))</x:f>
      </x:c>
    </x:row>
    <x:row r="136" ht="23" customHeight="1">
      <x:c r="A136" s="175"/>
      <x:c r="B136" s="200" t="str">
        <x:f>IF(A136="","",IFERROR(INDEX(Frozen_Predictions!$C$4:$C$203,MATCH(A136,Frozen_Predictions!$A$4:$A$203,0)),""))</x:f>
      </x:c>
      <x:c r="C136" s="172" t="str">
        <x:f>IF(A136="","",IFERROR(INDEX(Frozen_Predictions!$E$4:$E$203,MATCH(A136,Frozen_Predictions!$A$4:$A$203,0)),""))</x:f>
      </x:c>
      <x:c r="D136" s="172" t="str">
        <x:f>IF(A136="","",IFERROR(INDEX(Frozen_Predictions!$F$4:$F$203,MATCH(A136,Frozen_Predictions!$A$4:$A$203,0)),""))</x:f>
      </x:c>
      <x:c r="E136" s="172" t="str">
        <x:f>IF(A136="","",IFERROR(INDEX(Frozen_Predictions!$G$4:$G$203,MATCH(A136,Frozen_Predictions!$A$4:$A$203,0)),""))</x:f>
      </x:c>
      <x:c r="F136" s="172" t="str">
        <x:f>IF(A136="","",IFERROR(INDEX(Frozen_Predictions!$H$4:$H$203,MATCH(A136,Frozen_Predictions!$A$4:$A$203,0)),""))</x:f>
      </x:c>
      <x:c r="G136" s="172" t="str">
        <x:f>IF(A136="","",IFERROR(INDEX(Frozen_Predictions!$I$4:$I$203,MATCH(A136,Frozen_Predictions!$A$4:$A$203,0)),""))</x:f>
      </x:c>
      <x:c r="H136" s="172" t="str">
        <x:f>IF(A136="","",IFERROR(INDEX(Frozen_Predictions!$J$4:$J$203,MATCH(A136,Frozen_Predictions!$A$4:$A$203,0)),""))</x:f>
      </x:c>
      <x:c r="I136" s="192" t="str">
        <x:f>IF(A136="","",IFERROR(INDEX(Frozen_Predictions!$L$4:$L$203,MATCH(A136,Frozen_Predictions!$A$4:$A$203,0)),""))</x:f>
      </x:c>
      <x:c r="J136" s="172" t="str">
        <x:f>IF(X136&lt;&gt;"SETTLED","",IF(N136&lt;=IF(G136="U3.5",3,IF(G136="U4.5",4,5)),1,0))</x:f>
      </x:c>
      <x:c r="K136" s="195" t="str">
        <x:f>IF(X136&lt;&gt;"SETTLED","",IF(AND(OR(V136="DEFENSIV",V136="PRUDENT",V136="MODERAT",V136="RIDICAT"),ISNUMBER(INDEX(Frozen_Predictions!$Y$4:$Y$203,MATCH(A136,Frozen_Predictions!$A$4:$A$203,0))),INDEX(Frozen_Predictions!$Y$4:$Y$203,MATCH(A136,Frozen_Predictions!$A$4:$A$203,0))&gt;1),IF(J136=1,INDEX(Frozen_Predictions!$Y$4:$Y$203,MATCH(A136,Frozen_Predictions!$A$4:$A$203,0))-1,-1),""))</x:f>
      </x:c>
      <x:c r="L136" s="175"/>
      <x:c r="M136" s="175"/>
      <x:c r="N136" s="172" t="str">
        <x:f>IFERROR(IF(AND(ISNUMBER(L136),ISNUMBER(M136),L136&gt;=0,M136&gt;=0,INT(L136)=L136,INT(M136)=M136),L136+M136,""),"")</x:f>
      </x:c>
      <x:c r="O136" s="172" t="str">
        <x:f>IF(X136&lt;&gt;"SETTLED","",IF(J136=1,"WIN",IF(N136=IF(G136="U3.5",4,IF(G136="U4.5",5,6)),"NEAR TAIL","SEVERE TAIL")))</x:f>
      </x:c>
      <x:c r="P136" s="175"/>
      <x:c r="Q136" s="177"/>
      <x:c r="R136" s="213" t="str">
        <x:f>IF(X136&lt;&gt;"SETTLED","",(I136-J136)^2)</x:f>
      </x:c>
      <x:c r="S136" s="213" t="str">
        <x:f>IF(X136&lt;&gt;"SETTLED","",-(J136*LN(MAX(0.000001,MIN(0.999999,I136)))+(1-J136)*LN(MAX(0.000001,MIN(0.999999,1-I136)))))</x:f>
      </x:c>
      <x:c r="T136" s="172" t="str">
        <x:f>IF(A136="","",IFERROR(INDEX(Frozen_Predictions!$N$4:$N$203,MATCH(A136,Frozen_Predictions!$A$4:$A$203,0)),""))</x:f>
      </x:c>
      <x:c r="U136" s="172" t="str">
        <x:f>IF(A136="","",IFERROR(INDEX(Frozen_Predictions!$O$4:$O$203,MATCH(A136,Frozen_Predictions!$A$4:$A$203,0)),""))</x:f>
      </x:c>
      <x:c r="V136" s="172" t="str">
        <x:f>IF(A136="","",IFERROR(INDEX(Frozen_Predictions!$M$4:$M$203,MATCH(A136,Frozen_Predictions!$A$4:$A$203,0)),""))</x:f>
      </x:c>
      <x:c r="W136" s="175"/>
      <x:c r="X136" s="172" t="str">
        <x:f>IF(A136="","",IF(NOT(COUNTIFS(Frozen_Predictions!$A$4:$A$203,A136)=1),"SNAPSHOT ID INVALID",IFERROR(IF(NOT(AND(INDEX(Frozen_Predictions!$Q$4:$Q$203,MATCH(A136,Frozen_Predictions!$A$4:$A$203,0))="DA",ISNUMBER(INDEX(Frozen_Predictions!$B$4:$B$203,MATCH(A136,Frozen_Predictions!$A$4:$A$203,0))),ISNUMBER(INDEX(Frozen_Predictions!$C$4:$C$203,MATCH(A136,Frozen_Predictions!$A$4:$A$203,0))),INDEX(Frozen_Predictions!$B$4:$B$203,MATCH(A136,Frozen_Predictions!$A$4:$A$203,0))&lt;INDEX(Frozen_Predictions!$C$4:$C$203,MATCH(A136,Frozen_Predictions!$A$4:$A$203,0)),INDEX(Frozen_Predictions!$V$4:$V$203,MATCH(A136,Frozen_Predictions!$A$4:$A$203,0))="READY",INDEX(Frozen_Predictions!$O$4:$O$203,MATCH(A136,Frozen_Predictions!$A$4:$A$203,0))="PASS",INDEX(Frozen_Predictions!$J$4:$J$203,MATCH(A136,Frozen_Predictions!$A$4:$A$203,0))=Under_LineCal_v9!$B$45,COUNTIFS(Frozen_Predictions!$A$4:$A$203,A136,Frozen_Predictions!$L$4:$L$203,"&lt;&gt;",Frozen_Predictions!$L$4:$L$203,"&gt;=0",Frozen_Predictions!$L$4:$L$203,"&lt;=1")=1,COUNTIFS($A$4:$A$203,A136)=1)),"SNAPSHOT NOT VALID",IF(AND(ISNUMBER(I136),I136&gt;=0,I136&lt;=1,ISNUMBER(N136),P136&lt;&gt;"",ISNUMBER(Q136),Q136&gt;=B136,OR(G136="U3.5",G136="U4.5",G136="U5.5")),"SETTLED","PENDING RESULT")),"SNAPSHOT NOT VALID")))</x:f>
      </x:c>
    </x:row>
    <x:row r="137" ht="23" customHeight="1">
      <x:c r="A137" s="175"/>
      <x:c r="B137" s="200" t="str">
        <x:f>IF(A137="","",IFERROR(INDEX(Frozen_Predictions!$C$4:$C$203,MATCH(A137,Frozen_Predictions!$A$4:$A$203,0)),""))</x:f>
      </x:c>
      <x:c r="C137" s="172" t="str">
        <x:f>IF(A137="","",IFERROR(INDEX(Frozen_Predictions!$E$4:$E$203,MATCH(A137,Frozen_Predictions!$A$4:$A$203,0)),""))</x:f>
      </x:c>
      <x:c r="D137" s="172" t="str">
        <x:f>IF(A137="","",IFERROR(INDEX(Frozen_Predictions!$F$4:$F$203,MATCH(A137,Frozen_Predictions!$A$4:$A$203,0)),""))</x:f>
      </x:c>
      <x:c r="E137" s="172" t="str">
        <x:f>IF(A137="","",IFERROR(INDEX(Frozen_Predictions!$G$4:$G$203,MATCH(A137,Frozen_Predictions!$A$4:$A$203,0)),""))</x:f>
      </x:c>
      <x:c r="F137" s="172" t="str">
        <x:f>IF(A137="","",IFERROR(INDEX(Frozen_Predictions!$H$4:$H$203,MATCH(A137,Frozen_Predictions!$A$4:$A$203,0)),""))</x:f>
      </x:c>
      <x:c r="G137" s="172" t="str">
        <x:f>IF(A137="","",IFERROR(INDEX(Frozen_Predictions!$I$4:$I$203,MATCH(A137,Frozen_Predictions!$A$4:$A$203,0)),""))</x:f>
      </x:c>
      <x:c r="H137" s="172" t="str">
        <x:f>IF(A137="","",IFERROR(INDEX(Frozen_Predictions!$J$4:$J$203,MATCH(A137,Frozen_Predictions!$A$4:$A$203,0)),""))</x:f>
      </x:c>
      <x:c r="I137" s="192" t="str">
        <x:f>IF(A137="","",IFERROR(INDEX(Frozen_Predictions!$L$4:$L$203,MATCH(A137,Frozen_Predictions!$A$4:$A$203,0)),""))</x:f>
      </x:c>
      <x:c r="J137" s="172" t="str">
        <x:f>IF(X137&lt;&gt;"SETTLED","",IF(N137&lt;=IF(G137="U3.5",3,IF(G137="U4.5",4,5)),1,0))</x:f>
      </x:c>
      <x:c r="K137" s="195" t="str">
        <x:f>IF(X137&lt;&gt;"SETTLED","",IF(AND(OR(V137="DEFENSIV",V137="PRUDENT",V137="MODERAT",V137="RIDICAT"),ISNUMBER(INDEX(Frozen_Predictions!$Y$4:$Y$203,MATCH(A137,Frozen_Predictions!$A$4:$A$203,0))),INDEX(Frozen_Predictions!$Y$4:$Y$203,MATCH(A137,Frozen_Predictions!$A$4:$A$203,0))&gt;1),IF(J137=1,INDEX(Frozen_Predictions!$Y$4:$Y$203,MATCH(A137,Frozen_Predictions!$A$4:$A$203,0))-1,-1),""))</x:f>
      </x:c>
      <x:c r="L137" s="175"/>
      <x:c r="M137" s="175"/>
      <x:c r="N137" s="172" t="str">
        <x:f>IFERROR(IF(AND(ISNUMBER(L137),ISNUMBER(M137),L137&gt;=0,M137&gt;=0,INT(L137)=L137,INT(M137)=M137),L137+M137,""),"")</x:f>
      </x:c>
      <x:c r="O137" s="172" t="str">
        <x:f>IF(X137&lt;&gt;"SETTLED","",IF(J137=1,"WIN",IF(N137=IF(G137="U3.5",4,IF(G137="U4.5",5,6)),"NEAR TAIL","SEVERE TAIL")))</x:f>
      </x:c>
      <x:c r="P137" s="175"/>
      <x:c r="Q137" s="177"/>
      <x:c r="R137" s="213" t="str">
        <x:f>IF(X137&lt;&gt;"SETTLED","",(I137-J137)^2)</x:f>
      </x:c>
      <x:c r="S137" s="213" t="str">
        <x:f>IF(X137&lt;&gt;"SETTLED","",-(J137*LN(MAX(0.000001,MIN(0.999999,I137)))+(1-J137)*LN(MAX(0.000001,MIN(0.999999,1-I137)))))</x:f>
      </x:c>
      <x:c r="T137" s="172" t="str">
        <x:f>IF(A137="","",IFERROR(INDEX(Frozen_Predictions!$N$4:$N$203,MATCH(A137,Frozen_Predictions!$A$4:$A$203,0)),""))</x:f>
      </x:c>
      <x:c r="U137" s="172" t="str">
        <x:f>IF(A137="","",IFERROR(INDEX(Frozen_Predictions!$O$4:$O$203,MATCH(A137,Frozen_Predictions!$A$4:$A$203,0)),""))</x:f>
      </x:c>
      <x:c r="V137" s="172" t="str">
        <x:f>IF(A137="","",IFERROR(INDEX(Frozen_Predictions!$M$4:$M$203,MATCH(A137,Frozen_Predictions!$A$4:$A$203,0)),""))</x:f>
      </x:c>
      <x:c r="W137" s="175"/>
      <x:c r="X137" s="172" t="str">
        <x:f>IF(A137="","",IF(NOT(COUNTIFS(Frozen_Predictions!$A$4:$A$203,A137)=1),"SNAPSHOT ID INVALID",IFERROR(IF(NOT(AND(INDEX(Frozen_Predictions!$Q$4:$Q$203,MATCH(A137,Frozen_Predictions!$A$4:$A$203,0))="DA",ISNUMBER(INDEX(Frozen_Predictions!$B$4:$B$203,MATCH(A137,Frozen_Predictions!$A$4:$A$203,0))),ISNUMBER(INDEX(Frozen_Predictions!$C$4:$C$203,MATCH(A137,Frozen_Predictions!$A$4:$A$203,0))),INDEX(Frozen_Predictions!$B$4:$B$203,MATCH(A137,Frozen_Predictions!$A$4:$A$203,0))&lt;INDEX(Frozen_Predictions!$C$4:$C$203,MATCH(A137,Frozen_Predictions!$A$4:$A$203,0)),INDEX(Frozen_Predictions!$V$4:$V$203,MATCH(A137,Frozen_Predictions!$A$4:$A$203,0))="READY",INDEX(Frozen_Predictions!$O$4:$O$203,MATCH(A137,Frozen_Predictions!$A$4:$A$203,0))="PASS",INDEX(Frozen_Predictions!$J$4:$J$203,MATCH(A137,Frozen_Predictions!$A$4:$A$203,0))=Under_LineCal_v9!$B$45,COUNTIFS(Frozen_Predictions!$A$4:$A$203,A137,Frozen_Predictions!$L$4:$L$203,"&lt;&gt;",Frozen_Predictions!$L$4:$L$203,"&gt;=0",Frozen_Predictions!$L$4:$L$203,"&lt;=1")=1,COUNTIFS($A$4:$A$203,A137)=1)),"SNAPSHOT NOT VALID",IF(AND(ISNUMBER(I137),I137&gt;=0,I137&lt;=1,ISNUMBER(N137),P137&lt;&gt;"",ISNUMBER(Q137),Q137&gt;=B137,OR(G137="U3.5",G137="U4.5",G137="U5.5")),"SETTLED","PENDING RESULT")),"SNAPSHOT NOT VALID")))</x:f>
      </x:c>
    </x:row>
    <x:row r="138" ht="23" customHeight="1">
      <x:c r="A138" s="175"/>
      <x:c r="B138" s="200" t="str">
        <x:f>IF(A138="","",IFERROR(INDEX(Frozen_Predictions!$C$4:$C$203,MATCH(A138,Frozen_Predictions!$A$4:$A$203,0)),""))</x:f>
      </x:c>
      <x:c r="C138" s="172" t="str">
        <x:f>IF(A138="","",IFERROR(INDEX(Frozen_Predictions!$E$4:$E$203,MATCH(A138,Frozen_Predictions!$A$4:$A$203,0)),""))</x:f>
      </x:c>
      <x:c r="D138" s="172" t="str">
        <x:f>IF(A138="","",IFERROR(INDEX(Frozen_Predictions!$F$4:$F$203,MATCH(A138,Frozen_Predictions!$A$4:$A$203,0)),""))</x:f>
      </x:c>
      <x:c r="E138" s="172" t="str">
        <x:f>IF(A138="","",IFERROR(INDEX(Frozen_Predictions!$G$4:$G$203,MATCH(A138,Frozen_Predictions!$A$4:$A$203,0)),""))</x:f>
      </x:c>
      <x:c r="F138" s="172" t="str">
        <x:f>IF(A138="","",IFERROR(INDEX(Frozen_Predictions!$H$4:$H$203,MATCH(A138,Frozen_Predictions!$A$4:$A$203,0)),""))</x:f>
      </x:c>
      <x:c r="G138" s="172" t="str">
        <x:f>IF(A138="","",IFERROR(INDEX(Frozen_Predictions!$I$4:$I$203,MATCH(A138,Frozen_Predictions!$A$4:$A$203,0)),""))</x:f>
      </x:c>
      <x:c r="H138" s="172" t="str">
        <x:f>IF(A138="","",IFERROR(INDEX(Frozen_Predictions!$J$4:$J$203,MATCH(A138,Frozen_Predictions!$A$4:$A$203,0)),""))</x:f>
      </x:c>
      <x:c r="I138" s="192" t="str">
        <x:f>IF(A138="","",IFERROR(INDEX(Frozen_Predictions!$L$4:$L$203,MATCH(A138,Frozen_Predictions!$A$4:$A$203,0)),""))</x:f>
      </x:c>
      <x:c r="J138" s="172" t="str">
        <x:f>IF(X138&lt;&gt;"SETTLED","",IF(N138&lt;=IF(G138="U3.5",3,IF(G138="U4.5",4,5)),1,0))</x:f>
      </x:c>
      <x:c r="K138" s="195" t="str">
        <x:f>IF(X138&lt;&gt;"SETTLED","",IF(AND(OR(V138="DEFENSIV",V138="PRUDENT",V138="MODERAT",V138="RIDICAT"),ISNUMBER(INDEX(Frozen_Predictions!$Y$4:$Y$203,MATCH(A138,Frozen_Predictions!$A$4:$A$203,0))),INDEX(Frozen_Predictions!$Y$4:$Y$203,MATCH(A138,Frozen_Predictions!$A$4:$A$203,0))&gt;1),IF(J138=1,INDEX(Frozen_Predictions!$Y$4:$Y$203,MATCH(A138,Frozen_Predictions!$A$4:$A$203,0))-1,-1),""))</x:f>
      </x:c>
      <x:c r="L138" s="175"/>
      <x:c r="M138" s="175"/>
      <x:c r="N138" s="172" t="str">
        <x:f>IFERROR(IF(AND(ISNUMBER(L138),ISNUMBER(M138),L138&gt;=0,M138&gt;=0,INT(L138)=L138,INT(M138)=M138),L138+M138,""),"")</x:f>
      </x:c>
      <x:c r="O138" s="172" t="str">
        <x:f>IF(X138&lt;&gt;"SETTLED","",IF(J138=1,"WIN",IF(N138=IF(G138="U3.5",4,IF(G138="U4.5",5,6)),"NEAR TAIL","SEVERE TAIL")))</x:f>
      </x:c>
      <x:c r="P138" s="175"/>
      <x:c r="Q138" s="177"/>
      <x:c r="R138" s="213" t="str">
        <x:f>IF(X138&lt;&gt;"SETTLED","",(I138-J138)^2)</x:f>
      </x:c>
      <x:c r="S138" s="213" t="str">
        <x:f>IF(X138&lt;&gt;"SETTLED","",-(J138*LN(MAX(0.000001,MIN(0.999999,I138)))+(1-J138)*LN(MAX(0.000001,MIN(0.999999,1-I138)))))</x:f>
      </x:c>
      <x:c r="T138" s="172" t="str">
        <x:f>IF(A138="","",IFERROR(INDEX(Frozen_Predictions!$N$4:$N$203,MATCH(A138,Frozen_Predictions!$A$4:$A$203,0)),""))</x:f>
      </x:c>
      <x:c r="U138" s="172" t="str">
        <x:f>IF(A138="","",IFERROR(INDEX(Frozen_Predictions!$O$4:$O$203,MATCH(A138,Frozen_Predictions!$A$4:$A$203,0)),""))</x:f>
      </x:c>
      <x:c r="V138" s="172" t="str">
        <x:f>IF(A138="","",IFERROR(INDEX(Frozen_Predictions!$M$4:$M$203,MATCH(A138,Frozen_Predictions!$A$4:$A$203,0)),""))</x:f>
      </x:c>
      <x:c r="W138" s="175"/>
      <x:c r="X138" s="172" t="str">
        <x:f>IF(A138="","",IF(NOT(COUNTIFS(Frozen_Predictions!$A$4:$A$203,A138)=1),"SNAPSHOT ID INVALID",IFERROR(IF(NOT(AND(INDEX(Frozen_Predictions!$Q$4:$Q$203,MATCH(A138,Frozen_Predictions!$A$4:$A$203,0))="DA",ISNUMBER(INDEX(Frozen_Predictions!$B$4:$B$203,MATCH(A138,Frozen_Predictions!$A$4:$A$203,0))),ISNUMBER(INDEX(Frozen_Predictions!$C$4:$C$203,MATCH(A138,Frozen_Predictions!$A$4:$A$203,0))),INDEX(Frozen_Predictions!$B$4:$B$203,MATCH(A138,Frozen_Predictions!$A$4:$A$203,0))&lt;INDEX(Frozen_Predictions!$C$4:$C$203,MATCH(A138,Frozen_Predictions!$A$4:$A$203,0)),INDEX(Frozen_Predictions!$V$4:$V$203,MATCH(A138,Frozen_Predictions!$A$4:$A$203,0))="READY",INDEX(Frozen_Predictions!$O$4:$O$203,MATCH(A138,Frozen_Predictions!$A$4:$A$203,0))="PASS",INDEX(Frozen_Predictions!$J$4:$J$203,MATCH(A138,Frozen_Predictions!$A$4:$A$203,0))=Under_LineCal_v9!$B$45,COUNTIFS(Frozen_Predictions!$A$4:$A$203,A138,Frozen_Predictions!$L$4:$L$203,"&lt;&gt;",Frozen_Predictions!$L$4:$L$203,"&gt;=0",Frozen_Predictions!$L$4:$L$203,"&lt;=1")=1,COUNTIFS($A$4:$A$203,A138)=1)),"SNAPSHOT NOT VALID",IF(AND(ISNUMBER(I138),I138&gt;=0,I138&lt;=1,ISNUMBER(N138),P138&lt;&gt;"",ISNUMBER(Q138),Q138&gt;=B138,OR(G138="U3.5",G138="U4.5",G138="U5.5")),"SETTLED","PENDING RESULT")),"SNAPSHOT NOT VALID")))</x:f>
      </x:c>
    </x:row>
    <x:row r="139" ht="23" customHeight="1">
      <x:c r="A139" s="175"/>
      <x:c r="B139" s="200" t="str">
        <x:f>IF(A139="","",IFERROR(INDEX(Frozen_Predictions!$C$4:$C$203,MATCH(A139,Frozen_Predictions!$A$4:$A$203,0)),""))</x:f>
      </x:c>
      <x:c r="C139" s="172" t="str">
        <x:f>IF(A139="","",IFERROR(INDEX(Frozen_Predictions!$E$4:$E$203,MATCH(A139,Frozen_Predictions!$A$4:$A$203,0)),""))</x:f>
      </x:c>
      <x:c r="D139" s="172" t="str">
        <x:f>IF(A139="","",IFERROR(INDEX(Frozen_Predictions!$F$4:$F$203,MATCH(A139,Frozen_Predictions!$A$4:$A$203,0)),""))</x:f>
      </x:c>
      <x:c r="E139" s="172" t="str">
        <x:f>IF(A139="","",IFERROR(INDEX(Frozen_Predictions!$G$4:$G$203,MATCH(A139,Frozen_Predictions!$A$4:$A$203,0)),""))</x:f>
      </x:c>
      <x:c r="F139" s="172" t="str">
        <x:f>IF(A139="","",IFERROR(INDEX(Frozen_Predictions!$H$4:$H$203,MATCH(A139,Frozen_Predictions!$A$4:$A$203,0)),""))</x:f>
      </x:c>
      <x:c r="G139" s="172" t="str">
        <x:f>IF(A139="","",IFERROR(INDEX(Frozen_Predictions!$I$4:$I$203,MATCH(A139,Frozen_Predictions!$A$4:$A$203,0)),""))</x:f>
      </x:c>
      <x:c r="H139" s="172" t="str">
        <x:f>IF(A139="","",IFERROR(INDEX(Frozen_Predictions!$J$4:$J$203,MATCH(A139,Frozen_Predictions!$A$4:$A$203,0)),""))</x:f>
      </x:c>
      <x:c r="I139" s="192" t="str">
        <x:f>IF(A139="","",IFERROR(INDEX(Frozen_Predictions!$L$4:$L$203,MATCH(A139,Frozen_Predictions!$A$4:$A$203,0)),""))</x:f>
      </x:c>
      <x:c r="J139" s="172" t="str">
        <x:f>IF(X139&lt;&gt;"SETTLED","",IF(N139&lt;=IF(G139="U3.5",3,IF(G139="U4.5",4,5)),1,0))</x:f>
      </x:c>
      <x:c r="K139" s="195" t="str">
        <x:f>IF(X139&lt;&gt;"SETTLED","",IF(AND(OR(V139="DEFENSIV",V139="PRUDENT",V139="MODERAT",V139="RIDICAT"),ISNUMBER(INDEX(Frozen_Predictions!$Y$4:$Y$203,MATCH(A139,Frozen_Predictions!$A$4:$A$203,0))),INDEX(Frozen_Predictions!$Y$4:$Y$203,MATCH(A139,Frozen_Predictions!$A$4:$A$203,0))&gt;1),IF(J139=1,INDEX(Frozen_Predictions!$Y$4:$Y$203,MATCH(A139,Frozen_Predictions!$A$4:$A$203,0))-1,-1),""))</x:f>
      </x:c>
      <x:c r="L139" s="175"/>
      <x:c r="M139" s="175"/>
      <x:c r="N139" s="172" t="str">
        <x:f>IFERROR(IF(AND(ISNUMBER(L139),ISNUMBER(M139),L139&gt;=0,M139&gt;=0,INT(L139)=L139,INT(M139)=M139),L139+M139,""),"")</x:f>
      </x:c>
      <x:c r="O139" s="172" t="str">
        <x:f>IF(X139&lt;&gt;"SETTLED","",IF(J139=1,"WIN",IF(N139=IF(G139="U3.5",4,IF(G139="U4.5",5,6)),"NEAR TAIL","SEVERE TAIL")))</x:f>
      </x:c>
      <x:c r="P139" s="175"/>
      <x:c r="Q139" s="177"/>
      <x:c r="R139" s="213" t="str">
        <x:f>IF(X139&lt;&gt;"SETTLED","",(I139-J139)^2)</x:f>
      </x:c>
      <x:c r="S139" s="213" t="str">
        <x:f>IF(X139&lt;&gt;"SETTLED","",-(J139*LN(MAX(0.000001,MIN(0.999999,I139)))+(1-J139)*LN(MAX(0.000001,MIN(0.999999,1-I139)))))</x:f>
      </x:c>
      <x:c r="T139" s="172" t="str">
        <x:f>IF(A139="","",IFERROR(INDEX(Frozen_Predictions!$N$4:$N$203,MATCH(A139,Frozen_Predictions!$A$4:$A$203,0)),""))</x:f>
      </x:c>
      <x:c r="U139" s="172" t="str">
        <x:f>IF(A139="","",IFERROR(INDEX(Frozen_Predictions!$O$4:$O$203,MATCH(A139,Frozen_Predictions!$A$4:$A$203,0)),""))</x:f>
      </x:c>
      <x:c r="V139" s="172" t="str">
        <x:f>IF(A139="","",IFERROR(INDEX(Frozen_Predictions!$M$4:$M$203,MATCH(A139,Frozen_Predictions!$A$4:$A$203,0)),""))</x:f>
      </x:c>
      <x:c r="W139" s="175"/>
      <x:c r="X139" s="172" t="str">
        <x:f>IF(A139="","",IF(NOT(COUNTIFS(Frozen_Predictions!$A$4:$A$203,A139)=1),"SNAPSHOT ID INVALID",IFERROR(IF(NOT(AND(INDEX(Frozen_Predictions!$Q$4:$Q$203,MATCH(A139,Frozen_Predictions!$A$4:$A$203,0))="DA",ISNUMBER(INDEX(Frozen_Predictions!$B$4:$B$203,MATCH(A139,Frozen_Predictions!$A$4:$A$203,0))),ISNUMBER(INDEX(Frozen_Predictions!$C$4:$C$203,MATCH(A139,Frozen_Predictions!$A$4:$A$203,0))),INDEX(Frozen_Predictions!$B$4:$B$203,MATCH(A139,Frozen_Predictions!$A$4:$A$203,0))&lt;INDEX(Frozen_Predictions!$C$4:$C$203,MATCH(A139,Frozen_Predictions!$A$4:$A$203,0)),INDEX(Frozen_Predictions!$V$4:$V$203,MATCH(A139,Frozen_Predictions!$A$4:$A$203,0))="READY",INDEX(Frozen_Predictions!$O$4:$O$203,MATCH(A139,Frozen_Predictions!$A$4:$A$203,0))="PASS",INDEX(Frozen_Predictions!$J$4:$J$203,MATCH(A139,Frozen_Predictions!$A$4:$A$203,0))=Under_LineCal_v9!$B$45,COUNTIFS(Frozen_Predictions!$A$4:$A$203,A139,Frozen_Predictions!$L$4:$L$203,"&lt;&gt;",Frozen_Predictions!$L$4:$L$203,"&gt;=0",Frozen_Predictions!$L$4:$L$203,"&lt;=1")=1,COUNTIFS($A$4:$A$203,A139)=1)),"SNAPSHOT NOT VALID",IF(AND(ISNUMBER(I139),I139&gt;=0,I139&lt;=1,ISNUMBER(N139),P139&lt;&gt;"",ISNUMBER(Q139),Q139&gt;=B139,OR(G139="U3.5",G139="U4.5",G139="U5.5")),"SETTLED","PENDING RESULT")),"SNAPSHOT NOT VALID")))</x:f>
      </x:c>
    </x:row>
    <x:row r="140" ht="23" customHeight="1">
      <x:c r="A140" s="175"/>
      <x:c r="B140" s="200" t="str">
        <x:f>IF(A140="","",IFERROR(INDEX(Frozen_Predictions!$C$4:$C$203,MATCH(A140,Frozen_Predictions!$A$4:$A$203,0)),""))</x:f>
      </x:c>
      <x:c r="C140" s="172" t="str">
        <x:f>IF(A140="","",IFERROR(INDEX(Frozen_Predictions!$E$4:$E$203,MATCH(A140,Frozen_Predictions!$A$4:$A$203,0)),""))</x:f>
      </x:c>
      <x:c r="D140" s="172" t="str">
        <x:f>IF(A140="","",IFERROR(INDEX(Frozen_Predictions!$F$4:$F$203,MATCH(A140,Frozen_Predictions!$A$4:$A$203,0)),""))</x:f>
      </x:c>
      <x:c r="E140" s="172" t="str">
        <x:f>IF(A140="","",IFERROR(INDEX(Frozen_Predictions!$G$4:$G$203,MATCH(A140,Frozen_Predictions!$A$4:$A$203,0)),""))</x:f>
      </x:c>
      <x:c r="F140" s="172" t="str">
        <x:f>IF(A140="","",IFERROR(INDEX(Frozen_Predictions!$H$4:$H$203,MATCH(A140,Frozen_Predictions!$A$4:$A$203,0)),""))</x:f>
      </x:c>
      <x:c r="G140" s="172" t="str">
        <x:f>IF(A140="","",IFERROR(INDEX(Frozen_Predictions!$I$4:$I$203,MATCH(A140,Frozen_Predictions!$A$4:$A$203,0)),""))</x:f>
      </x:c>
      <x:c r="H140" s="172" t="str">
        <x:f>IF(A140="","",IFERROR(INDEX(Frozen_Predictions!$J$4:$J$203,MATCH(A140,Frozen_Predictions!$A$4:$A$203,0)),""))</x:f>
      </x:c>
      <x:c r="I140" s="192" t="str">
        <x:f>IF(A140="","",IFERROR(INDEX(Frozen_Predictions!$L$4:$L$203,MATCH(A140,Frozen_Predictions!$A$4:$A$203,0)),""))</x:f>
      </x:c>
      <x:c r="J140" s="172" t="str">
        <x:f>IF(X140&lt;&gt;"SETTLED","",IF(N140&lt;=IF(G140="U3.5",3,IF(G140="U4.5",4,5)),1,0))</x:f>
      </x:c>
      <x:c r="K140" s="195" t="str">
        <x:f>IF(X140&lt;&gt;"SETTLED","",IF(AND(OR(V140="DEFENSIV",V140="PRUDENT",V140="MODERAT",V140="RIDICAT"),ISNUMBER(INDEX(Frozen_Predictions!$Y$4:$Y$203,MATCH(A140,Frozen_Predictions!$A$4:$A$203,0))),INDEX(Frozen_Predictions!$Y$4:$Y$203,MATCH(A140,Frozen_Predictions!$A$4:$A$203,0))&gt;1),IF(J140=1,INDEX(Frozen_Predictions!$Y$4:$Y$203,MATCH(A140,Frozen_Predictions!$A$4:$A$203,0))-1,-1),""))</x:f>
      </x:c>
      <x:c r="L140" s="175"/>
      <x:c r="M140" s="175"/>
      <x:c r="N140" s="172" t="str">
        <x:f>IFERROR(IF(AND(ISNUMBER(L140),ISNUMBER(M140),L140&gt;=0,M140&gt;=0,INT(L140)=L140,INT(M140)=M140),L140+M140,""),"")</x:f>
      </x:c>
      <x:c r="O140" s="172" t="str">
        <x:f>IF(X140&lt;&gt;"SETTLED","",IF(J140=1,"WIN",IF(N140=IF(G140="U3.5",4,IF(G140="U4.5",5,6)),"NEAR TAIL","SEVERE TAIL")))</x:f>
      </x:c>
      <x:c r="P140" s="175"/>
      <x:c r="Q140" s="177"/>
      <x:c r="R140" s="213" t="str">
        <x:f>IF(X140&lt;&gt;"SETTLED","",(I140-J140)^2)</x:f>
      </x:c>
      <x:c r="S140" s="213" t="str">
        <x:f>IF(X140&lt;&gt;"SETTLED","",-(J140*LN(MAX(0.000001,MIN(0.999999,I140)))+(1-J140)*LN(MAX(0.000001,MIN(0.999999,1-I140)))))</x:f>
      </x:c>
      <x:c r="T140" s="172" t="str">
        <x:f>IF(A140="","",IFERROR(INDEX(Frozen_Predictions!$N$4:$N$203,MATCH(A140,Frozen_Predictions!$A$4:$A$203,0)),""))</x:f>
      </x:c>
      <x:c r="U140" s="172" t="str">
        <x:f>IF(A140="","",IFERROR(INDEX(Frozen_Predictions!$O$4:$O$203,MATCH(A140,Frozen_Predictions!$A$4:$A$203,0)),""))</x:f>
      </x:c>
      <x:c r="V140" s="172" t="str">
        <x:f>IF(A140="","",IFERROR(INDEX(Frozen_Predictions!$M$4:$M$203,MATCH(A140,Frozen_Predictions!$A$4:$A$203,0)),""))</x:f>
      </x:c>
      <x:c r="W140" s="175"/>
      <x:c r="X140" s="172" t="str">
        <x:f>IF(A140="","",IF(NOT(COUNTIFS(Frozen_Predictions!$A$4:$A$203,A140)=1),"SNAPSHOT ID INVALID",IFERROR(IF(NOT(AND(INDEX(Frozen_Predictions!$Q$4:$Q$203,MATCH(A140,Frozen_Predictions!$A$4:$A$203,0))="DA",ISNUMBER(INDEX(Frozen_Predictions!$B$4:$B$203,MATCH(A140,Frozen_Predictions!$A$4:$A$203,0))),ISNUMBER(INDEX(Frozen_Predictions!$C$4:$C$203,MATCH(A140,Frozen_Predictions!$A$4:$A$203,0))),INDEX(Frozen_Predictions!$B$4:$B$203,MATCH(A140,Frozen_Predictions!$A$4:$A$203,0))&lt;INDEX(Frozen_Predictions!$C$4:$C$203,MATCH(A140,Frozen_Predictions!$A$4:$A$203,0)),INDEX(Frozen_Predictions!$V$4:$V$203,MATCH(A140,Frozen_Predictions!$A$4:$A$203,0))="READY",INDEX(Frozen_Predictions!$O$4:$O$203,MATCH(A140,Frozen_Predictions!$A$4:$A$203,0))="PASS",INDEX(Frozen_Predictions!$J$4:$J$203,MATCH(A140,Frozen_Predictions!$A$4:$A$203,0))=Under_LineCal_v9!$B$45,COUNTIFS(Frozen_Predictions!$A$4:$A$203,A140,Frozen_Predictions!$L$4:$L$203,"&lt;&gt;",Frozen_Predictions!$L$4:$L$203,"&gt;=0",Frozen_Predictions!$L$4:$L$203,"&lt;=1")=1,COUNTIFS($A$4:$A$203,A140)=1)),"SNAPSHOT NOT VALID",IF(AND(ISNUMBER(I140),I140&gt;=0,I140&lt;=1,ISNUMBER(N140),P140&lt;&gt;"",ISNUMBER(Q140),Q140&gt;=B140,OR(G140="U3.5",G140="U4.5",G140="U5.5")),"SETTLED","PENDING RESULT")),"SNAPSHOT NOT VALID")))</x:f>
      </x:c>
    </x:row>
    <x:row r="141" ht="23" customHeight="1">
      <x:c r="A141" s="175"/>
      <x:c r="B141" s="200" t="str">
        <x:f>IF(A141="","",IFERROR(INDEX(Frozen_Predictions!$C$4:$C$203,MATCH(A141,Frozen_Predictions!$A$4:$A$203,0)),""))</x:f>
      </x:c>
      <x:c r="C141" s="172" t="str">
        <x:f>IF(A141="","",IFERROR(INDEX(Frozen_Predictions!$E$4:$E$203,MATCH(A141,Frozen_Predictions!$A$4:$A$203,0)),""))</x:f>
      </x:c>
      <x:c r="D141" s="172" t="str">
        <x:f>IF(A141="","",IFERROR(INDEX(Frozen_Predictions!$F$4:$F$203,MATCH(A141,Frozen_Predictions!$A$4:$A$203,0)),""))</x:f>
      </x:c>
      <x:c r="E141" s="172" t="str">
        <x:f>IF(A141="","",IFERROR(INDEX(Frozen_Predictions!$G$4:$G$203,MATCH(A141,Frozen_Predictions!$A$4:$A$203,0)),""))</x:f>
      </x:c>
      <x:c r="F141" s="172" t="str">
        <x:f>IF(A141="","",IFERROR(INDEX(Frozen_Predictions!$H$4:$H$203,MATCH(A141,Frozen_Predictions!$A$4:$A$203,0)),""))</x:f>
      </x:c>
      <x:c r="G141" s="172" t="str">
        <x:f>IF(A141="","",IFERROR(INDEX(Frozen_Predictions!$I$4:$I$203,MATCH(A141,Frozen_Predictions!$A$4:$A$203,0)),""))</x:f>
      </x:c>
      <x:c r="H141" s="172" t="str">
        <x:f>IF(A141="","",IFERROR(INDEX(Frozen_Predictions!$J$4:$J$203,MATCH(A141,Frozen_Predictions!$A$4:$A$203,0)),""))</x:f>
      </x:c>
      <x:c r="I141" s="192" t="str">
        <x:f>IF(A141="","",IFERROR(INDEX(Frozen_Predictions!$L$4:$L$203,MATCH(A141,Frozen_Predictions!$A$4:$A$203,0)),""))</x:f>
      </x:c>
      <x:c r="J141" s="172" t="str">
        <x:f>IF(X141&lt;&gt;"SETTLED","",IF(N141&lt;=IF(G141="U3.5",3,IF(G141="U4.5",4,5)),1,0))</x:f>
      </x:c>
      <x:c r="K141" s="195" t="str">
        <x:f>IF(X141&lt;&gt;"SETTLED","",IF(AND(OR(V141="DEFENSIV",V141="PRUDENT",V141="MODERAT",V141="RIDICAT"),ISNUMBER(INDEX(Frozen_Predictions!$Y$4:$Y$203,MATCH(A141,Frozen_Predictions!$A$4:$A$203,0))),INDEX(Frozen_Predictions!$Y$4:$Y$203,MATCH(A141,Frozen_Predictions!$A$4:$A$203,0))&gt;1),IF(J141=1,INDEX(Frozen_Predictions!$Y$4:$Y$203,MATCH(A141,Frozen_Predictions!$A$4:$A$203,0))-1,-1),""))</x:f>
      </x:c>
      <x:c r="L141" s="175"/>
      <x:c r="M141" s="175"/>
      <x:c r="N141" s="172" t="str">
        <x:f>IFERROR(IF(AND(ISNUMBER(L141),ISNUMBER(M141),L141&gt;=0,M141&gt;=0,INT(L141)=L141,INT(M141)=M141),L141+M141,""),"")</x:f>
      </x:c>
      <x:c r="O141" s="172" t="str">
        <x:f>IF(X141&lt;&gt;"SETTLED","",IF(J141=1,"WIN",IF(N141=IF(G141="U3.5",4,IF(G141="U4.5",5,6)),"NEAR TAIL","SEVERE TAIL")))</x:f>
      </x:c>
      <x:c r="P141" s="175"/>
      <x:c r="Q141" s="177"/>
      <x:c r="R141" s="213" t="str">
        <x:f>IF(X141&lt;&gt;"SETTLED","",(I141-J141)^2)</x:f>
      </x:c>
      <x:c r="S141" s="213" t="str">
        <x:f>IF(X141&lt;&gt;"SETTLED","",-(J141*LN(MAX(0.000001,MIN(0.999999,I141)))+(1-J141)*LN(MAX(0.000001,MIN(0.999999,1-I141)))))</x:f>
      </x:c>
      <x:c r="T141" s="172" t="str">
        <x:f>IF(A141="","",IFERROR(INDEX(Frozen_Predictions!$N$4:$N$203,MATCH(A141,Frozen_Predictions!$A$4:$A$203,0)),""))</x:f>
      </x:c>
      <x:c r="U141" s="172" t="str">
        <x:f>IF(A141="","",IFERROR(INDEX(Frozen_Predictions!$O$4:$O$203,MATCH(A141,Frozen_Predictions!$A$4:$A$203,0)),""))</x:f>
      </x:c>
      <x:c r="V141" s="172" t="str">
        <x:f>IF(A141="","",IFERROR(INDEX(Frozen_Predictions!$M$4:$M$203,MATCH(A141,Frozen_Predictions!$A$4:$A$203,0)),""))</x:f>
      </x:c>
      <x:c r="W141" s="175"/>
      <x:c r="X141" s="172" t="str">
        <x:f>IF(A141="","",IF(NOT(COUNTIFS(Frozen_Predictions!$A$4:$A$203,A141)=1),"SNAPSHOT ID INVALID",IFERROR(IF(NOT(AND(INDEX(Frozen_Predictions!$Q$4:$Q$203,MATCH(A141,Frozen_Predictions!$A$4:$A$203,0))="DA",ISNUMBER(INDEX(Frozen_Predictions!$B$4:$B$203,MATCH(A141,Frozen_Predictions!$A$4:$A$203,0))),ISNUMBER(INDEX(Frozen_Predictions!$C$4:$C$203,MATCH(A141,Frozen_Predictions!$A$4:$A$203,0))),INDEX(Frozen_Predictions!$B$4:$B$203,MATCH(A141,Frozen_Predictions!$A$4:$A$203,0))&lt;INDEX(Frozen_Predictions!$C$4:$C$203,MATCH(A141,Frozen_Predictions!$A$4:$A$203,0)),INDEX(Frozen_Predictions!$V$4:$V$203,MATCH(A141,Frozen_Predictions!$A$4:$A$203,0))="READY",INDEX(Frozen_Predictions!$O$4:$O$203,MATCH(A141,Frozen_Predictions!$A$4:$A$203,0))="PASS",INDEX(Frozen_Predictions!$J$4:$J$203,MATCH(A141,Frozen_Predictions!$A$4:$A$203,0))=Under_LineCal_v9!$B$45,COUNTIFS(Frozen_Predictions!$A$4:$A$203,A141,Frozen_Predictions!$L$4:$L$203,"&lt;&gt;",Frozen_Predictions!$L$4:$L$203,"&gt;=0",Frozen_Predictions!$L$4:$L$203,"&lt;=1")=1,COUNTIFS($A$4:$A$203,A141)=1)),"SNAPSHOT NOT VALID",IF(AND(ISNUMBER(I141),I141&gt;=0,I141&lt;=1,ISNUMBER(N141),P141&lt;&gt;"",ISNUMBER(Q141),Q141&gt;=B141,OR(G141="U3.5",G141="U4.5",G141="U5.5")),"SETTLED","PENDING RESULT")),"SNAPSHOT NOT VALID")))</x:f>
      </x:c>
    </x:row>
    <x:row r="142" ht="23" customHeight="1">
      <x:c r="A142" s="175"/>
      <x:c r="B142" s="200" t="str">
        <x:f>IF(A142="","",IFERROR(INDEX(Frozen_Predictions!$C$4:$C$203,MATCH(A142,Frozen_Predictions!$A$4:$A$203,0)),""))</x:f>
      </x:c>
      <x:c r="C142" s="172" t="str">
        <x:f>IF(A142="","",IFERROR(INDEX(Frozen_Predictions!$E$4:$E$203,MATCH(A142,Frozen_Predictions!$A$4:$A$203,0)),""))</x:f>
      </x:c>
      <x:c r="D142" s="172" t="str">
        <x:f>IF(A142="","",IFERROR(INDEX(Frozen_Predictions!$F$4:$F$203,MATCH(A142,Frozen_Predictions!$A$4:$A$203,0)),""))</x:f>
      </x:c>
      <x:c r="E142" s="172" t="str">
        <x:f>IF(A142="","",IFERROR(INDEX(Frozen_Predictions!$G$4:$G$203,MATCH(A142,Frozen_Predictions!$A$4:$A$203,0)),""))</x:f>
      </x:c>
      <x:c r="F142" s="172" t="str">
        <x:f>IF(A142="","",IFERROR(INDEX(Frozen_Predictions!$H$4:$H$203,MATCH(A142,Frozen_Predictions!$A$4:$A$203,0)),""))</x:f>
      </x:c>
      <x:c r="G142" s="172" t="str">
        <x:f>IF(A142="","",IFERROR(INDEX(Frozen_Predictions!$I$4:$I$203,MATCH(A142,Frozen_Predictions!$A$4:$A$203,0)),""))</x:f>
      </x:c>
      <x:c r="H142" s="172" t="str">
        <x:f>IF(A142="","",IFERROR(INDEX(Frozen_Predictions!$J$4:$J$203,MATCH(A142,Frozen_Predictions!$A$4:$A$203,0)),""))</x:f>
      </x:c>
      <x:c r="I142" s="192" t="str">
        <x:f>IF(A142="","",IFERROR(INDEX(Frozen_Predictions!$L$4:$L$203,MATCH(A142,Frozen_Predictions!$A$4:$A$203,0)),""))</x:f>
      </x:c>
      <x:c r="J142" s="172" t="str">
        <x:f>IF(X142&lt;&gt;"SETTLED","",IF(N142&lt;=IF(G142="U3.5",3,IF(G142="U4.5",4,5)),1,0))</x:f>
      </x:c>
      <x:c r="K142" s="195" t="str">
        <x:f>IF(X142&lt;&gt;"SETTLED","",IF(AND(OR(V142="DEFENSIV",V142="PRUDENT",V142="MODERAT",V142="RIDICAT"),ISNUMBER(INDEX(Frozen_Predictions!$Y$4:$Y$203,MATCH(A142,Frozen_Predictions!$A$4:$A$203,0))),INDEX(Frozen_Predictions!$Y$4:$Y$203,MATCH(A142,Frozen_Predictions!$A$4:$A$203,0))&gt;1),IF(J142=1,INDEX(Frozen_Predictions!$Y$4:$Y$203,MATCH(A142,Frozen_Predictions!$A$4:$A$203,0))-1,-1),""))</x:f>
      </x:c>
      <x:c r="L142" s="175"/>
      <x:c r="M142" s="175"/>
      <x:c r="N142" s="172" t="str">
        <x:f>IFERROR(IF(AND(ISNUMBER(L142),ISNUMBER(M142),L142&gt;=0,M142&gt;=0,INT(L142)=L142,INT(M142)=M142),L142+M142,""),"")</x:f>
      </x:c>
      <x:c r="O142" s="172" t="str">
        <x:f>IF(X142&lt;&gt;"SETTLED","",IF(J142=1,"WIN",IF(N142=IF(G142="U3.5",4,IF(G142="U4.5",5,6)),"NEAR TAIL","SEVERE TAIL")))</x:f>
      </x:c>
      <x:c r="P142" s="175"/>
      <x:c r="Q142" s="177"/>
      <x:c r="R142" s="213" t="str">
        <x:f>IF(X142&lt;&gt;"SETTLED","",(I142-J142)^2)</x:f>
      </x:c>
      <x:c r="S142" s="213" t="str">
        <x:f>IF(X142&lt;&gt;"SETTLED","",-(J142*LN(MAX(0.000001,MIN(0.999999,I142)))+(1-J142)*LN(MAX(0.000001,MIN(0.999999,1-I142)))))</x:f>
      </x:c>
      <x:c r="T142" s="172" t="str">
        <x:f>IF(A142="","",IFERROR(INDEX(Frozen_Predictions!$N$4:$N$203,MATCH(A142,Frozen_Predictions!$A$4:$A$203,0)),""))</x:f>
      </x:c>
      <x:c r="U142" s="172" t="str">
        <x:f>IF(A142="","",IFERROR(INDEX(Frozen_Predictions!$O$4:$O$203,MATCH(A142,Frozen_Predictions!$A$4:$A$203,0)),""))</x:f>
      </x:c>
      <x:c r="V142" s="172" t="str">
        <x:f>IF(A142="","",IFERROR(INDEX(Frozen_Predictions!$M$4:$M$203,MATCH(A142,Frozen_Predictions!$A$4:$A$203,0)),""))</x:f>
      </x:c>
      <x:c r="W142" s="175"/>
      <x:c r="X142" s="172" t="str">
        <x:f>IF(A142="","",IF(NOT(COUNTIFS(Frozen_Predictions!$A$4:$A$203,A142)=1),"SNAPSHOT ID INVALID",IFERROR(IF(NOT(AND(INDEX(Frozen_Predictions!$Q$4:$Q$203,MATCH(A142,Frozen_Predictions!$A$4:$A$203,0))="DA",ISNUMBER(INDEX(Frozen_Predictions!$B$4:$B$203,MATCH(A142,Frozen_Predictions!$A$4:$A$203,0))),ISNUMBER(INDEX(Frozen_Predictions!$C$4:$C$203,MATCH(A142,Frozen_Predictions!$A$4:$A$203,0))),INDEX(Frozen_Predictions!$B$4:$B$203,MATCH(A142,Frozen_Predictions!$A$4:$A$203,0))&lt;INDEX(Frozen_Predictions!$C$4:$C$203,MATCH(A142,Frozen_Predictions!$A$4:$A$203,0)),INDEX(Frozen_Predictions!$V$4:$V$203,MATCH(A142,Frozen_Predictions!$A$4:$A$203,0))="READY",INDEX(Frozen_Predictions!$O$4:$O$203,MATCH(A142,Frozen_Predictions!$A$4:$A$203,0))="PASS",INDEX(Frozen_Predictions!$J$4:$J$203,MATCH(A142,Frozen_Predictions!$A$4:$A$203,0))=Under_LineCal_v9!$B$45,COUNTIFS(Frozen_Predictions!$A$4:$A$203,A142,Frozen_Predictions!$L$4:$L$203,"&lt;&gt;",Frozen_Predictions!$L$4:$L$203,"&gt;=0",Frozen_Predictions!$L$4:$L$203,"&lt;=1")=1,COUNTIFS($A$4:$A$203,A142)=1)),"SNAPSHOT NOT VALID",IF(AND(ISNUMBER(I142),I142&gt;=0,I142&lt;=1,ISNUMBER(N142),P142&lt;&gt;"",ISNUMBER(Q142),Q142&gt;=B142,OR(G142="U3.5",G142="U4.5",G142="U5.5")),"SETTLED","PENDING RESULT")),"SNAPSHOT NOT VALID")))</x:f>
      </x:c>
    </x:row>
    <x:row r="143" ht="23" customHeight="1">
      <x:c r="A143" s="175"/>
      <x:c r="B143" s="200" t="str">
        <x:f>IF(A143="","",IFERROR(INDEX(Frozen_Predictions!$C$4:$C$203,MATCH(A143,Frozen_Predictions!$A$4:$A$203,0)),""))</x:f>
      </x:c>
      <x:c r="C143" s="172" t="str">
        <x:f>IF(A143="","",IFERROR(INDEX(Frozen_Predictions!$E$4:$E$203,MATCH(A143,Frozen_Predictions!$A$4:$A$203,0)),""))</x:f>
      </x:c>
      <x:c r="D143" s="172" t="str">
        <x:f>IF(A143="","",IFERROR(INDEX(Frozen_Predictions!$F$4:$F$203,MATCH(A143,Frozen_Predictions!$A$4:$A$203,0)),""))</x:f>
      </x:c>
      <x:c r="E143" s="172" t="str">
        <x:f>IF(A143="","",IFERROR(INDEX(Frozen_Predictions!$G$4:$G$203,MATCH(A143,Frozen_Predictions!$A$4:$A$203,0)),""))</x:f>
      </x:c>
      <x:c r="F143" s="172" t="str">
        <x:f>IF(A143="","",IFERROR(INDEX(Frozen_Predictions!$H$4:$H$203,MATCH(A143,Frozen_Predictions!$A$4:$A$203,0)),""))</x:f>
      </x:c>
      <x:c r="G143" s="172" t="str">
        <x:f>IF(A143="","",IFERROR(INDEX(Frozen_Predictions!$I$4:$I$203,MATCH(A143,Frozen_Predictions!$A$4:$A$203,0)),""))</x:f>
      </x:c>
      <x:c r="H143" s="172" t="str">
        <x:f>IF(A143="","",IFERROR(INDEX(Frozen_Predictions!$J$4:$J$203,MATCH(A143,Frozen_Predictions!$A$4:$A$203,0)),""))</x:f>
      </x:c>
      <x:c r="I143" s="192" t="str">
        <x:f>IF(A143="","",IFERROR(INDEX(Frozen_Predictions!$L$4:$L$203,MATCH(A143,Frozen_Predictions!$A$4:$A$203,0)),""))</x:f>
      </x:c>
      <x:c r="J143" s="172" t="str">
        <x:f>IF(X143&lt;&gt;"SETTLED","",IF(N143&lt;=IF(G143="U3.5",3,IF(G143="U4.5",4,5)),1,0))</x:f>
      </x:c>
      <x:c r="K143" s="195" t="str">
        <x:f>IF(X143&lt;&gt;"SETTLED","",IF(AND(OR(V143="DEFENSIV",V143="PRUDENT",V143="MODERAT",V143="RIDICAT"),ISNUMBER(INDEX(Frozen_Predictions!$Y$4:$Y$203,MATCH(A143,Frozen_Predictions!$A$4:$A$203,0))),INDEX(Frozen_Predictions!$Y$4:$Y$203,MATCH(A143,Frozen_Predictions!$A$4:$A$203,0))&gt;1),IF(J143=1,INDEX(Frozen_Predictions!$Y$4:$Y$203,MATCH(A143,Frozen_Predictions!$A$4:$A$203,0))-1,-1),""))</x:f>
      </x:c>
      <x:c r="L143" s="175"/>
      <x:c r="M143" s="175"/>
      <x:c r="N143" s="172" t="str">
        <x:f>IFERROR(IF(AND(ISNUMBER(L143),ISNUMBER(M143),L143&gt;=0,M143&gt;=0,INT(L143)=L143,INT(M143)=M143),L143+M143,""),"")</x:f>
      </x:c>
      <x:c r="O143" s="172" t="str">
        <x:f>IF(X143&lt;&gt;"SETTLED","",IF(J143=1,"WIN",IF(N143=IF(G143="U3.5",4,IF(G143="U4.5",5,6)),"NEAR TAIL","SEVERE TAIL")))</x:f>
      </x:c>
      <x:c r="P143" s="175"/>
      <x:c r="Q143" s="177"/>
      <x:c r="R143" s="213" t="str">
        <x:f>IF(X143&lt;&gt;"SETTLED","",(I143-J143)^2)</x:f>
      </x:c>
      <x:c r="S143" s="213" t="str">
        <x:f>IF(X143&lt;&gt;"SETTLED","",-(J143*LN(MAX(0.000001,MIN(0.999999,I143)))+(1-J143)*LN(MAX(0.000001,MIN(0.999999,1-I143)))))</x:f>
      </x:c>
      <x:c r="T143" s="172" t="str">
        <x:f>IF(A143="","",IFERROR(INDEX(Frozen_Predictions!$N$4:$N$203,MATCH(A143,Frozen_Predictions!$A$4:$A$203,0)),""))</x:f>
      </x:c>
      <x:c r="U143" s="172" t="str">
        <x:f>IF(A143="","",IFERROR(INDEX(Frozen_Predictions!$O$4:$O$203,MATCH(A143,Frozen_Predictions!$A$4:$A$203,0)),""))</x:f>
      </x:c>
      <x:c r="V143" s="172" t="str">
        <x:f>IF(A143="","",IFERROR(INDEX(Frozen_Predictions!$M$4:$M$203,MATCH(A143,Frozen_Predictions!$A$4:$A$203,0)),""))</x:f>
      </x:c>
      <x:c r="W143" s="175"/>
      <x:c r="X143" s="172" t="str">
        <x:f>IF(A143="","",IF(NOT(COUNTIFS(Frozen_Predictions!$A$4:$A$203,A143)=1),"SNAPSHOT ID INVALID",IFERROR(IF(NOT(AND(INDEX(Frozen_Predictions!$Q$4:$Q$203,MATCH(A143,Frozen_Predictions!$A$4:$A$203,0))="DA",ISNUMBER(INDEX(Frozen_Predictions!$B$4:$B$203,MATCH(A143,Frozen_Predictions!$A$4:$A$203,0))),ISNUMBER(INDEX(Frozen_Predictions!$C$4:$C$203,MATCH(A143,Frozen_Predictions!$A$4:$A$203,0))),INDEX(Frozen_Predictions!$B$4:$B$203,MATCH(A143,Frozen_Predictions!$A$4:$A$203,0))&lt;INDEX(Frozen_Predictions!$C$4:$C$203,MATCH(A143,Frozen_Predictions!$A$4:$A$203,0)),INDEX(Frozen_Predictions!$V$4:$V$203,MATCH(A143,Frozen_Predictions!$A$4:$A$203,0))="READY",INDEX(Frozen_Predictions!$O$4:$O$203,MATCH(A143,Frozen_Predictions!$A$4:$A$203,0))="PASS",INDEX(Frozen_Predictions!$J$4:$J$203,MATCH(A143,Frozen_Predictions!$A$4:$A$203,0))=Under_LineCal_v9!$B$45,COUNTIFS(Frozen_Predictions!$A$4:$A$203,A143,Frozen_Predictions!$L$4:$L$203,"&lt;&gt;",Frozen_Predictions!$L$4:$L$203,"&gt;=0",Frozen_Predictions!$L$4:$L$203,"&lt;=1")=1,COUNTIFS($A$4:$A$203,A143)=1)),"SNAPSHOT NOT VALID",IF(AND(ISNUMBER(I143),I143&gt;=0,I143&lt;=1,ISNUMBER(N143),P143&lt;&gt;"",ISNUMBER(Q143),Q143&gt;=B143,OR(G143="U3.5",G143="U4.5",G143="U5.5")),"SETTLED","PENDING RESULT")),"SNAPSHOT NOT VALID")))</x:f>
      </x:c>
    </x:row>
    <x:row r="144" ht="23" customHeight="1">
      <x:c r="A144" s="175"/>
      <x:c r="B144" s="200" t="str">
        <x:f>IF(A144="","",IFERROR(INDEX(Frozen_Predictions!$C$4:$C$203,MATCH(A144,Frozen_Predictions!$A$4:$A$203,0)),""))</x:f>
      </x:c>
      <x:c r="C144" s="172" t="str">
        <x:f>IF(A144="","",IFERROR(INDEX(Frozen_Predictions!$E$4:$E$203,MATCH(A144,Frozen_Predictions!$A$4:$A$203,0)),""))</x:f>
      </x:c>
      <x:c r="D144" s="172" t="str">
        <x:f>IF(A144="","",IFERROR(INDEX(Frozen_Predictions!$F$4:$F$203,MATCH(A144,Frozen_Predictions!$A$4:$A$203,0)),""))</x:f>
      </x:c>
      <x:c r="E144" s="172" t="str">
        <x:f>IF(A144="","",IFERROR(INDEX(Frozen_Predictions!$G$4:$G$203,MATCH(A144,Frozen_Predictions!$A$4:$A$203,0)),""))</x:f>
      </x:c>
      <x:c r="F144" s="172" t="str">
        <x:f>IF(A144="","",IFERROR(INDEX(Frozen_Predictions!$H$4:$H$203,MATCH(A144,Frozen_Predictions!$A$4:$A$203,0)),""))</x:f>
      </x:c>
      <x:c r="G144" s="172" t="str">
        <x:f>IF(A144="","",IFERROR(INDEX(Frozen_Predictions!$I$4:$I$203,MATCH(A144,Frozen_Predictions!$A$4:$A$203,0)),""))</x:f>
      </x:c>
      <x:c r="H144" s="172" t="str">
        <x:f>IF(A144="","",IFERROR(INDEX(Frozen_Predictions!$J$4:$J$203,MATCH(A144,Frozen_Predictions!$A$4:$A$203,0)),""))</x:f>
      </x:c>
      <x:c r="I144" s="192" t="str">
        <x:f>IF(A144="","",IFERROR(INDEX(Frozen_Predictions!$L$4:$L$203,MATCH(A144,Frozen_Predictions!$A$4:$A$203,0)),""))</x:f>
      </x:c>
      <x:c r="J144" s="172" t="str">
        <x:f>IF(X144&lt;&gt;"SETTLED","",IF(N144&lt;=IF(G144="U3.5",3,IF(G144="U4.5",4,5)),1,0))</x:f>
      </x:c>
      <x:c r="K144" s="195" t="str">
        <x:f>IF(X144&lt;&gt;"SETTLED","",IF(AND(OR(V144="DEFENSIV",V144="PRUDENT",V144="MODERAT",V144="RIDICAT"),ISNUMBER(INDEX(Frozen_Predictions!$Y$4:$Y$203,MATCH(A144,Frozen_Predictions!$A$4:$A$203,0))),INDEX(Frozen_Predictions!$Y$4:$Y$203,MATCH(A144,Frozen_Predictions!$A$4:$A$203,0))&gt;1),IF(J144=1,INDEX(Frozen_Predictions!$Y$4:$Y$203,MATCH(A144,Frozen_Predictions!$A$4:$A$203,0))-1,-1),""))</x:f>
      </x:c>
      <x:c r="L144" s="175"/>
      <x:c r="M144" s="175"/>
      <x:c r="N144" s="172" t="str">
        <x:f>IFERROR(IF(AND(ISNUMBER(L144),ISNUMBER(M144),L144&gt;=0,M144&gt;=0,INT(L144)=L144,INT(M144)=M144),L144+M144,""),"")</x:f>
      </x:c>
      <x:c r="O144" s="172" t="str">
        <x:f>IF(X144&lt;&gt;"SETTLED","",IF(J144=1,"WIN",IF(N144=IF(G144="U3.5",4,IF(G144="U4.5",5,6)),"NEAR TAIL","SEVERE TAIL")))</x:f>
      </x:c>
      <x:c r="P144" s="175"/>
      <x:c r="Q144" s="177"/>
      <x:c r="R144" s="213" t="str">
        <x:f>IF(X144&lt;&gt;"SETTLED","",(I144-J144)^2)</x:f>
      </x:c>
      <x:c r="S144" s="213" t="str">
        <x:f>IF(X144&lt;&gt;"SETTLED","",-(J144*LN(MAX(0.000001,MIN(0.999999,I144)))+(1-J144)*LN(MAX(0.000001,MIN(0.999999,1-I144)))))</x:f>
      </x:c>
      <x:c r="T144" s="172" t="str">
        <x:f>IF(A144="","",IFERROR(INDEX(Frozen_Predictions!$N$4:$N$203,MATCH(A144,Frozen_Predictions!$A$4:$A$203,0)),""))</x:f>
      </x:c>
      <x:c r="U144" s="172" t="str">
        <x:f>IF(A144="","",IFERROR(INDEX(Frozen_Predictions!$O$4:$O$203,MATCH(A144,Frozen_Predictions!$A$4:$A$203,0)),""))</x:f>
      </x:c>
      <x:c r="V144" s="172" t="str">
        <x:f>IF(A144="","",IFERROR(INDEX(Frozen_Predictions!$M$4:$M$203,MATCH(A144,Frozen_Predictions!$A$4:$A$203,0)),""))</x:f>
      </x:c>
      <x:c r="W144" s="175"/>
      <x:c r="X144" s="172" t="str">
        <x:f>IF(A144="","",IF(NOT(COUNTIFS(Frozen_Predictions!$A$4:$A$203,A144)=1),"SNAPSHOT ID INVALID",IFERROR(IF(NOT(AND(INDEX(Frozen_Predictions!$Q$4:$Q$203,MATCH(A144,Frozen_Predictions!$A$4:$A$203,0))="DA",ISNUMBER(INDEX(Frozen_Predictions!$B$4:$B$203,MATCH(A144,Frozen_Predictions!$A$4:$A$203,0))),ISNUMBER(INDEX(Frozen_Predictions!$C$4:$C$203,MATCH(A144,Frozen_Predictions!$A$4:$A$203,0))),INDEX(Frozen_Predictions!$B$4:$B$203,MATCH(A144,Frozen_Predictions!$A$4:$A$203,0))&lt;INDEX(Frozen_Predictions!$C$4:$C$203,MATCH(A144,Frozen_Predictions!$A$4:$A$203,0)),INDEX(Frozen_Predictions!$V$4:$V$203,MATCH(A144,Frozen_Predictions!$A$4:$A$203,0))="READY",INDEX(Frozen_Predictions!$O$4:$O$203,MATCH(A144,Frozen_Predictions!$A$4:$A$203,0))="PASS",INDEX(Frozen_Predictions!$J$4:$J$203,MATCH(A144,Frozen_Predictions!$A$4:$A$203,0))=Under_LineCal_v9!$B$45,COUNTIFS(Frozen_Predictions!$A$4:$A$203,A144,Frozen_Predictions!$L$4:$L$203,"&lt;&gt;",Frozen_Predictions!$L$4:$L$203,"&gt;=0",Frozen_Predictions!$L$4:$L$203,"&lt;=1")=1,COUNTIFS($A$4:$A$203,A144)=1)),"SNAPSHOT NOT VALID",IF(AND(ISNUMBER(I144),I144&gt;=0,I144&lt;=1,ISNUMBER(N144),P144&lt;&gt;"",ISNUMBER(Q144),Q144&gt;=B144,OR(G144="U3.5",G144="U4.5",G144="U5.5")),"SETTLED","PENDING RESULT")),"SNAPSHOT NOT VALID")))</x:f>
      </x:c>
    </x:row>
    <x:row r="145" ht="23" customHeight="1">
      <x:c r="A145" s="175"/>
      <x:c r="B145" s="200" t="str">
        <x:f>IF(A145="","",IFERROR(INDEX(Frozen_Predictions!$C$4:$C$203,MATCH(A145,Frozen_Predictions!$A$4:$A$203,0)),""))</x:f>
      </x:c>
      <x:c r="C145" s="172" t="str">
        <x:f>IF(A145="","",IFERROR(INDEX(Frozen_Predictions!$E$4:$E$203,MATCH(A145,Frozen_Predictions!$A$4:$A$203,0)),""))</x:f>
      </x:c>
      <x:c r="D145" s="172" t="str">
        <x:f>IF(A145="","",IFERROR(INDEX(Frozen_Predictions!$F$4:$F$203,MATCH(A145,Frozen_Predictions!$A$4:$A$203,0)),""))</x:f>
      </x:c>
      <x:c r="E145" s="172" t="str">
        <x:f>IF(A145="","",IFERROR(INDEX(Frozen_Predictions!$G$4:$G$203,MATCH(A145,Frozen_Predictions!$A$4:$A$203,0)),""))</x:f>
      </x:c>
      <x:c r="F145" s="172" t="str">
        <x:f>IF(A145="","",IFERROR(INDEX(Frozen_Predictions!$H$4:$H$203,MATCH(A145,Frozen_Predictions!$A$4:$A$203,0)),""))</x:f>
      </x:c>
      <x:c r="G145" s="172" t="str">
        <x:f>IF(A145="","",IFERROR(INDEX(Frozen_Predictions!$I$4:$I$203,MATCH(A145,Frozen_Predictions!$A$4:$A$203,0)),""))</x:f>
      </x:c>
      <x:c r="H145" s="172" t="str">
        <x:f>IF(A145="","",IFERROR(INDEX(Frozen_Predictions!$J$4:$J$203,MATCH(A145,Frozen_Predictions!$A$4:$A$203,0)),""))</x:f>
      </x:c>
      <x:c r="I145" s="192" t="str">
        <x:f>IF(A145="","",IFERROR(INDEX(Frozen_Predictions!$L$4:$L$203,MATCH(A145,Frozen_Predictions!$A$4:$A$203,0)),""))</x:f>
      </x:c>
      <x:c r="J145" s="172" t="str">
        <x:f>IF(X145&lt;&gt;"SETTLED","",IF(N145&lt;=IF(G145="U3.5",3,IF(G145="U4.5",4,5)),1,0))</x:f>
      </x:c>
      <x:c r="K145" s="195" t="str">
        <x:f>IF(X145&lt;&gt;"SETTLED","",IF(AND(OR(V145="DEFENSIV",V145="PRUDENT",V145="MODERAT",V145="RIDICAT"),ISNUMBER(INDEX(Frozen_Predictions!$Y$4:$Y$203,MATCH(A145,Frozen_Predictions!$A$4:$A$203,0))),INDEX(Frozen_Predictions!$Y$4:$Y$203,MATCH(A145,Frozen_Predictions!$A$4:$A$203,0))&gt;1),IF(J145=1,INDEX(Frozen_Predictions!$Y$4:$Y$203,MATCH(A145,Frozen_Predictions!$A$4:$A$203,0))-1,-1),""))</x:f>
      </x:c>
      <x:c r="L145" s="175"/>
      <x:c r="M145" s="175"/>
      <x:c r="N145" s="172" t="str">
        <x:f>IFERROR(IF(AND(ISNUMBER(L145),ISNUMBER(M145),L145&gt;=0,M145&gt;=0,INT(L145)=L145,INT(M145)=M145),L145+M145,""),"")</x:f>
      </x:c>
      <x:c r="O145" s="172" t="str">
        <x:f>IF(X145&lt;&gt;"SETTLED","",IF(J145=1,"WIN",IF(N145=IF(G145="U3.5",4,IF(G145="U4.5",5,6)),"NEAR TAIL","SEVERE TAIL")))</x:f>
      </x:c>
      <x:c r="P145" s="175"/>
      <x:c r="Q145" s="177"/>
      <x:c r="R145" s="213" t="str">
        <x:f>IF(X145&lt;&gt;"SETTLED","",(I145-J145)^2)</x:f>
      </x:c>
      <x:c r="S145" s="213" t="str">
        <x:f>IF(X145&lt;&gt;"SETTLED","",-(J145*LN(MAX(0.000001,MIN(0.999999,I145)))+(1-J145)*LN(MAX(0.000001,MIN(0.999999,1-I145)))))</x:f>
      </x:c>
      <x:c r="T145" s="172" t="str">
        <x:f>IF(A145="","",IFERROR(INDEX(Frozen_Predictions!$N$4:$N$203,MATCH(A145,Frozen_Predictions!$A$4:$A$203,0)),""))</x:f>
      </x:c>
      <x:c r="U145" s="172" t="str">
        <x:f>IF(A145="","",IFERROR(INDEX(Frozen_Predictions!$O$4:$O$203,MATCH(A145,Frozen_Predictions!$A$4:$A$203,0)),""))</x:f>
      </x:c>
      <x:c r="V145" s="172" t="str">
        <x:f>IF(A145="","",IFERROR(INDEX(Frozen_Predictions!$M$4:$M$203,MATCH(A145,Frozen_Predictions!$A$4:$A$203,0)),""))</x:f>
      </x:c>
      <x:c r="W145" s="175"/>
      <x:c r="X145" s="172" t="str">
        <x:f>IF(A145="","",IF(NOT(COUNTIFS(Frozen_Predictions!$A$4:$A$203,A145)=1),"SNAPSHOT ID INVALID",IFERROR(IF(NOT(AND(INDEX(Frozen_Predictions!$Q$4:$Q$203,MATCH(A145,Frozen_Predictions!$A$4:$A$203,0))="DA",ISNUMBER(INDEX(Frozen_Predictions!$B$4:$B$203,MATCH(A145,Frozen_Predictions!$A$4:$A$203,0))),ISNUMBER(INDEX(Frozen_Predictions!$C$4:$C$203,MATCH(A145,Frozen_Predictions!$A$4:$A$203,0))),INDEX(Frozen_Predictions!$B$4:$B$203,MATCH(A145,Frozen_Predictions!$A$4:$A$203,0))&lt;INDEX(Frozen_Predictions!$C$4:$C$203,MATCH(A145,Frozen_Predictions!$A$4:$A$203,0)),INDEX(Frozen_Predictions!$V$4:$V$203,MATCH(A145,Frozen_Predictions!$A$4:$A$203,0))="READY",INDEX(Frozen_Predictions!$O$4:$O$203,MATCH(A145,Frozen_Predictions!$A$4:$A$203,0))="PASS",INDEX(Frozen_Predictions!$J$4:$J$203,MATCH(A145,Frozen_Predictions!$A$4:$A$203,0))=Under_LineCal_v9!$B$45,COUNTIFS(Frozen_Predictions!$A$4:$A$203,A145,Frozen_Predictions!$L$4:$L$203,"&lt;&gt;",Frozen_Predictions!$L$4:$L$203,"&gt;=0",Frozen_Predictions!$L$4:$L$203,"&lt;=1")=1,COUNTIFS($A$4:$A$203,A145)=1)),"SNAPSHOT NOT VALID",IF(AND(ISNUMBER(I145),I145&gt;=0,I145&lt;=1,ISNUMBER(N145),P145&lt;&gt;"",ISNUMBER(Q145),Q145&gt;=B145,OR(G145="U3.5",G145="U4.5",G145="U5.5")),"SETTLED","PENDING RESULT")),"SNAPSHOT NOT VALID")))</x:f>
      </x:c>
    </x:row>
    <x:row r="146" ht="23" customHeight="1">
      <x:c r="A146" s="175"/>
      <x:c r="B146" s="200" t="str">
        <x:f>IF(A146="","",IFERROR(INDEX(Frozen_Predictions!$C$4:$C$203,MATCH(A146,Frozen_Predictions!$A$4:$A$203,0)),""))</x:f>
      </x:c>
      <x:c r="C146" s="172" t="str">
        <x:f>IF(A146="","",IFERROR(INDEX(Frozen_Predictions!$E$4:$E$203,MATCH(A146,Frozen_Predictions!$A$4:$A$203,0)),""))</x:f>
      </x:c>
      <x:c r="D146" s="172" t="str">
        <x:f>IF(A146="","",IFERROR(INDEX(Frozen_Predictions!$F$4:$F$203,MATCH(A146,Frozen_Predictions!$A$4:$A$203,0)),""))</x:f>
      </x:c>
      <x:c r="E146" s="172" t="str">
        <x:f>IF(A146="","",IFERROR(INDEX(Frozen_Predictions!$G$4:$G$203,MATCH(A146,Frozen_Predictions!$A$4:$A$203,0)),""))</x:f>
      </x:c>
      <x:c r="F146" s="172" t="str">
        <x:f>IF(A146="","",IFERROR(INDEX(Frozen_Predictions!$H$4:$H$203,MATCH(A146,Frozen_Predictions!$A$4:$A$203,0)),""))</x:f>
      </x:c>
      <x:c r="G146" s="172" t="str">
        <x:f>IF(A146="","",IFERROR(INDEX(Frozen_Predictions!$I$4:$I$203,MATCH(A146,Frozen_Predictions!$A$4:$A$203,0)),""))</x:f>
      </x:c>
      <x:c r="H146" s="172" t="str">
        <x:f>IF(A146="","",IFERROR(INDEX(Frozen_Predictions!$J$4:$J$203,MATCH(A146,Frozen_Predictions!$A$4:$A$203,0)),""))</x:f>
      </x:c>
      <x:c r="I146" s="192" t="str">
        <x:f>IF(A146="","",IFERROR(INDEX(Frozen_Predictions!$L$4:$L$203,MATCH(A146,Frozen_Predictions!$A$4:$A$203,0)),""))</x:f>
      </x:c>
      <x:c r="J146" s="172" t="str">
        <x:f>IF(X146&lt;&gt;"SETTLED","",IF(N146&lt;=IF(G146="U3.5",3,IF(G146="U4.5",4,5)),1,0))</x:f>
      </x:c>
      <x:c r="K146" s="195" t="str">
        <x:f>IF(X146&lt;&gt;"SETTLED","",IF(AND(OR(V146="DEFENSIV",V146="PRUDENT",V146="MODERAT",V146="RIDICAT"),ISNUMBER(INDEX(Frozen_Predictions!$Y$4:$Y$203,MATCH(A146,Frozen_Predictions!$A$4:$A$203,0))),INDEX(Frozen_Predictions!$Y$4:$Y$203,MATCH(A146,Frozen_Predictions!$A$4:$A$203,0))&gt;1),IF(J146=1,INDEX(Frozen_Predictions!$Y$4:$Y$203,MATCH(A146,Frozen_Predictions!$A$4:$A$203,0))-1,-1),""))</x:f>
      </x:c>
      <x:c r="L146" s="175"/>
      <x:c r="M146" s="175"/>
      <x:c r="N146" s="172" t="str">
        <x:f>IFERROR(IF(AND(ISNUMBER(L146),ISNUMBER(M146),L146&gt;=0,M146&gt;=0,INT(L146)=L146,INT(M146)=M146),L146+M146,""),"")</x:f>
      </x:c>
      <x:c r="O146" s="172" t="str">
        <x:f>IF(X146&lt;&gt;"SETTLED","",IF(J146=1,"WIN",IF(N146=IF(G146="U3.5",4,IF(G146="U4.5",5,6)),"NEAR TAIL","SEVERE TAIL")))</x:f>
      </x:c>
      <x:c r="P146" s="175"/>
      <x:c r="Q146" s="177"/>
      <x:c r="R146" s="213" t="str">
        <x:f>IF(X146&lt;&gt;"SETTLED","",(I146-J146)^2)</x:f>
      </x:c>
      <x:c r="S146" s="213" t="str">
        <x:f>IF(X146&lt;&gt;"SETTLED","",-(J146*LN(MAX(0.000001,MIN(0.999999,I146)))+(1-J146)*LN(MAX(0.000001,MIN(0.999999,1-I146)))))</x:f>
      </x:c>
      <x:c r="T146" s="172" t="str">
        <x:f>IF(A146="","",IFERROR(INDEX(Frozen_Predictions!$N$4:$N$203,MATCH(A146,Frozen_Predictions!$A$4:$A$203,0)),""))</x:f>
      </x:c>
      <x:c r="U146" s="172" t="str">
        <x:f>IF(A146="","",IFERROR(INDEX(Frozen_Predictions!$O$4:$O$203,MATCH(A146,Frozen_Predictions!$A$4:$A$203,0)),""))</x:f>
      </x:c>
      <x:c r="V146" s="172" t="str">
        <x:f>IF(A146="","",IFERROR(INDEX(Frozen_Predictions!$M$4:$M$203,MATCH(A146,Frozen_Predictions!$A$4:$A$203,0)),""))</x:f>
      </x:c>
      <x:c r="W146" s="175"/>
      <x:c r="X146" s="172" t="str">
        <x:f>IF(A146="","",IF(NOT(COUNTIFS(Frozen_Predictions!$A$4:$A$203,A146)=1),"SNAPSHOT ID INVALID",IFERROR(IF(NOT(AND(INDEX(Frozen_Predictions!$Q$4:$Q$203,MATCH(A146,Frozen_Predictions!$A$4:$A$203,0))="DA",ISNUMBER(INDEX(Frozen_Predictions!$B$4:$B$203,MATCH(A146,Frozen_Predictions!$A$4:$A$203,0))),ISNUMBER(INDEX(Frozen_Predictions!$C$4:$C$203,MATCH(A146,Frozen_Predictions!$A$4:$A$203,0))),INDEX(Frozen_Predictions!$B$4:$B$203,MATCH(A146,Frozen_Predictions!$A$4:$A$203,0))&lt;INDEX(Frozen_Predictions!$C$4:$C$203,MATCH(A146,Frozen_Predictions!$A$4:$A$203,0)),INDEX(Frozen_Predictions!$V$4:$V$203,MATCH(A146,Frozen_Predictions!$A$4:$A$203,0))="READY",INDEX(Frozen_Predictions!$O$4:$O$203,MATCH(A146,Frozen_Predictions!$A$4:$A$203,0))="PASS",INDEX(Frozen_Predictions!$J$4:$J$203,MATCH(A146,Frozen_Predictions!$A$4:$A$203,0))=Under_LineCal_v9!$B$45,COUNTIFS(Frozen_Predictions!$A$4:$A$203,A146,Frozen_Predictions!$L$4:$L$203,"&lt;&gt;",Frozen_Predictions!$L$4:$L$203,"&gt;=0",Frozen_Predictions!$L$4:$L$203,"&lt;=1")=1,COUNTIFS($A$4:$A$203,A146)=1)),"SNAPSHOT NOT VALID",IF(AND(ISNUMBER(I146),I146&gt;=0,I146&lt;=1,ISNUMBER(N146),P146&lt;&gt;"",ISNUMBER(Q146),Q146&gt;=B146,OR(G146="U3.5",G146="U4.5",G146="U5.5")),"SETTLED","PENDING RESULT")),"SNAPSHOT NOT VALID")))</x:f>
      </x:c>
    </x:row>
    <x:row r="147" ht="23" customHeight="1">
      <x:c r="A147" s="175"/>
      <x:c r="B147" s="200" t="str">
        <x:f>IF(A147="","",IFERROR(INDEX(Frozen_Predictions!$C$4:$C$203,MATCH(A147,Frozen_Predictions!$A$4:$A$203,0)),""))</x:f>
      </x:c>
      <x:c r="C147" s="172" t="str">
        <x:f>IF(A147="","",IFERROR(INDEX(Frozen_Predictions!$E$4:$E$203,MATCH(A147,Frozen_Predictions!$A$4:$A$203,0)),""))</x:f>
      </x:c>
      <x:c r="D147" s="172" t="str">
        <x:f>IF(A147="","",IFERROR(INDEX(Frozen_Predictions!$F$4:$F$203,MATCH(A147,Frozen_Predictions!$A$4:$A$203,0)),""))</x:f>
      </x:c>
      <x:c r="E147" s="172" t="str">
        <x:f>IF(A147="","",IFERROR(INDEX(Frozen_Predictions!$G$4:$G$203,MATCH(A147,Frozen_Predictions!$A$4:$A$203,0)),""))</x:f>
      </x:c>
      <x:c r="F147" s="172" t="str">
        <x:f>IF(A147="","",IFERROR(INDEX(Frozen_Predictions!$H$4:$H$203,MATCH(A147,Frozen_Predictions!$A$4:$A$203,0)),""))</x:f>
      </x:c>
      <x:c r="G147" s="172" t="str">
        <x:f>IF(A147="","",IFERROR(INDEX(Frozen_Predictions!$I$4:$I$203,MATCH(A147,Frozen_Predictions!$A$4:$A$203,0)),""))</x:f>
      </x:c>
      <x:c r="H147" s="172" t="str">
        <x:f>IF(A147="","",IFERROR(INDEX(Frozen_Predictions!$J$4:$J$203,MATCH(A147,Frozen_Predictions!$A$4:$A$203,0)),""))</x:f>
      </x:c>
      <x:c r="I147" s="192" t="str">
        <x:f>IF(A147="","",IFERROR(INDEX(Frozen_Predictions!$L$4:$L$203,MATCH(A147,Frozen_Predictions!$A$4:$A$203,0)),""))</x:f>
      </x:c>
      <x:c r="J147" s="172" t="str">
        <x:f>IF(X147&lt;&gt;"SETTLED","",IF(N147&lt;=IF(G147="U3.5",3,IF(G147="U4.5",4,5)),1,0))</x:f>
      </x:c>
      <x:c r="K147" s="195" t="str">
        <x:f>IF(X147&lt;&gt;"SETTLED","",IF(AND(OR(V147="DEFENSIV",V147="PRUDENT",V147="MODERAT",V147="RIDICAT"),ISNUMBER(INDEX(Frozen_Predictions!$Y$4:$Y$203,MATCH(A147,Frozen_Predictions!$A$4:$A$203,0))),INDEX(Frozen_Predictions!$Y$4:$Y$203,MATCH(A147,Frozen_Predictions!$A$4:$A$203,0))&gt;1),IF(J147=1,INDEX(Frozen_Predictions!$Y$4:$Y$203,MATCH(A147,Frozen_Predictions!$A$4:$A$203,0))-1,-1),""))</x:f>
      </x:c>
      <x:c r="L147" s="175"/>
      <x:c r="M147" s="175"/>
      <x:c r="N147" s="172" t="str">
        <x:f>IFERROR(IF(AND(ISNUMBER(L147),ISNUMBER(M147),L147&gt;=0,M147&gt;=0,INT(L147)=L147,INT(M147)=M147),L147+M147,""),"")</x:f>
      </x:c>
      <x:c r="O147" s="172" t="str">
        <x:f>IF(X147&lt;&gt;"SETTLED","",IF(J147=1,"WIN",IF(N147=IF(G147="U3.5",4,IF(G147="U4.5",5,6)),"NEAR TAIL","SEVERE TAIL")))</x:f>
      </x:c>
      <x:c r="P147" s="175"/>
      <x:c r="Q147" s="177"/>
      <x:c r="R147" s="213" t="str">
        <x:f>IF(X147&lt;&gt;"SETTLED","",(I147-J147)^2)</x:f>
      </x:c>
      <x:c r="S147" s="213" t="str">
        <x:f>IF(X147&lt;&gt;"SETTLED","",-(J147*LN(MAX(0.000001,MIN(0.999999,I147)))+(1-J147)*LN(MAX(0.000001,MIN(0.999999,1-I147)))))</x:f>
      </x:c>
      <x:c r="T147" s="172" t="str">
        <x:f>IF(A147="","",IFERROR(INDEX(Frozen_Predictions!$N$4:$N$203,MATCH(A147,Frozen_Predictions!$A$4:$A$203,0)),""))</x:f>
      </x:c>
      <x:c r="U147" s="172" t="str">
        <x:f>IF(A147="","",IFERROR(INDEX(Frozen_Predictions!$O$4:$O$203,MATCH(A147,Frozen_Predictions!$A$4:$A$203,0)),""))</x:f>
      </x:c>
      <x:c r="V147" s="172" t="str">
        <x:f>IF(A147="","",IFERROR(INDEX(Frozen_Predictions!$M$4:$M$203,MATCH(A147,Frozen_Predictions!$A$4:$A$203,0)),""))</x:f>
      </x:c>
      <x:c r="W147" s="175"/>
      <x:c r="X147" s="172" t="str">
        <x:f>IF(A147="","",IF(NOT(COUNTIFS(Frozen_Predictions!$A$4:$A$203,A147)=1),"SNAPSHOT ID INVALID",IFERROR(IF(NOT(AND(INDEX(Frozen_Predictions!$Q$4:$Q$203,MATCH(A147,Frozen_Predictions!$A$4:$A$203,0))="DA",ISNUMBER(INDEX(Frozen_Predictions!$B$4:$B$203,MATCH(A147,Frozen_Predictions!$A$4:$A$203,0))),ISNUMBER(INDEX(Frozen_Predictions!$C$4:$C$203,MATCH(A147,Frozen_Predictions!$A$4:$A$203,0))),INDEX(Frozen_Predictions!$B$4:$B$203,MATCH(A147,Frozen_Predictions!$A$4:$A$203,0))&lt;INDEX(Frozen_Predictions!$C$4:$C$203,MATCH(A147,Frozen_Predictions!$A$4:$A$203,0)),INDEX(Frozen_Predictions!$V$4:$V$203,MATCH(A147,Frozen_Predictions!$A$4:$A$203,0))="READY",INDEX(Frozen_Predictions!$O$4:$O$203,MATCH(A147,Frozen_Predictions!$A$4:$A$203,0))="PASS",INDEX(Frozen_Predictions!$J$4:$J$203,MATCH(A147,Frozen_Predictions!$A$4:$A$203,0))=Under_LineCal_v9!$B$45,COUNTIFS(Frozen_Predictions!$A$4:$A$203,A147,Frozen_Predictions!$L$4:$L$203,"&lt;&gt;",Frozen_Predictions!$L$4:$L$203,"&gt;=0",Frozen_Predictions!$L$4:$L$203,"&lt;=1")=1,COUNTIFS($A$4:$A$203,A147)=1)),"SNAPSHOT NOT VALID",IF(AND(ISNUMBER(I147),I147&gt;=0,I147&lt;=1,ISNUMBER(N147),P147&lt;&gt;"",ISNUMBER(Q147),Q147&gt;=B147,OR(G147="U3.5",G147="U4.5",G147="U5.5")),"SETTLED","PENDING RESULT")),"SNAPSHOT NOT VALID")))</x:f>
      </x:c>
    </x:row>
    <x:row r="148" ht="23" customHeight="1">
      <x:c r="A148" s="175"/>
      <x:c r="B148" s="200" t="str">
        <x:f>IF(A148="","",IFERROR(INDEX(Frozen_Predictions!$C$4:$C$203,MATCH(A148,Frozen_Predictions!$A$4:$A$203,0)),""))</x:f>
      </x:c>
      <x:c r="C148" s="172" t="str">
        <x:f>IF(A148="","",IFERROR(INDEX(Frozen_Predictions!$E$4:$E$203,MATCH(A148,Frozen_Predictions!$A$4:$A$203,0)),""))</x:f>
      </x:c>
      <x:c r="D148" s="172" t="str">
        <x:f>IF(A148="","",IFERROR(INDEX(Frozen_Predictions!$F$4:$F$203,MATCH(A148,Frozen_Predictions!$A$4:$A$203,0)),""))</x:f>
      </x:c>
      <x:c r="E148" s="172" t="str">
        <x:f>IF(A148="","",IFERROR(INDEX(Frozen_Predictions!$G$4:$G$203,MATCH(A148,Frozen_Predictions!$A$4:$A$203,0)),""))</x:f>
      </x:c>
      <x:c r="F148" s="172" t="str">
        <x:f>IF(A148="","",IFERROR(INDEX(Frozen_Predictions!$H$4:$H$203,MATCH(A148,Frozen_Predictions!$A$4:$A$203,0)),""))</x:f>
      </x:c>
      <x:c r="G148" s="172" t="str">
        <x:f>IF(A148="","",IFERROR(INDEX(Frozen_Predictions!$I$4:$I$203,MATCH(A148,Frozen_Predictions!$A$4:$A$203,0)),""))</x:f>
      </x:c>
      <x:c r="H148" s="172" t="str">
        <x:f>IF(A148="","",IFERROR(INDEX(Frozen_Predictions!$J$4:$J$203,MATCH(A148,Frozen_Predictions!$A$4:$A$203,0)),""))</x:f>
      </x:c>
      <x:c r="I148" s="192" t="str">
        <x:f>IF(A148="","",IFERROR(INDEX(Frozen_Predictions!$L$4:$L$203,MATCH(A148,Frozen_Predictions!$A$4:$A$203,0)),""))</x:f>
      </x:c>
      <x:c r="J148" s="172" t="str">
        <x:f>IF(X148&lt;&gt;"SETTLED","",IF(N148&lt;=IF(G148="U3.5",3,IF(G148="U4.5",4,5)),1,0))</x:f>
      </x:c>
      <x:c r="K148" s="195" t="str">
        <x:f>IF(X148&lt;&gt;"SETTLED","",IF(AND(OR(V148="DEFENSIV",V148="PRUDENT",V148="MODERAT",V148="RIDICAT"),ISNUMBER(INDEX(Frozen_Predictions!$Y$4:$Y$203,MATCH(A148,Frozen_Predictions!$A$4:$A$203,0))),INDEX(Frozen_Predictions!$Y$4:$Y$203,MATCH(A148,Frozen_Predictions!$A$4:$A$203,0))&gt;1),IF(J148=1,INDEX(Frozen_Predictions!$Y$4:$Y$203,MATCH(A148,Frozen_Predictions!$A$4:$A$203,0))-1,-1),""))</x:f>
      </x:c>
      <x:c r="L148" s="175"/>
      <x:c r="M148" s="175"/>
      <x:c r="N148" s="172" t="str">
        <x:f>IFERROR(IF(AND(ISNUMBER(L148),ISNUMBER(M148),L148&gt;=0,M148&gt;=0,INT(L148)=L148,INT(M148)=M148),L148+M148,""),"")</x:f>
      </x:c>
      <x:c r="O148" s="172" t="str">
        <x:f>IF(X148&lt;&gt;"SETTLED","",IF(J148=1,"WIN",IF(N148=IF(G148="U3.5",4,IF(G148="U4.5",5,6)),"NEAR TAIL","SEVERE TAIL")))</x:f>
      </x:c>
      <x:c r="P148" s="175"/>
      <x:c r="Q148" s="177"/>
      <x:c r="R148" s="213" t="str">
        <x:f>IF(X148&lt;&gt;"SETTLED","",(I148-J148)^2)</x:f>
      </x:c>
      <x:c r="S148" s="213" t="str">
        <x:f>IF(X148&lt;&gt;"SETTLED","",-(J148*LN(MAX(0.000001,MIN(0.999999,I148)))+(1-J148)*LN(MAX(0.000001,MIN(0.999999,1-I148)))))</x:f>
      </x:c>
      <x:c r="T148" s="172" t="str">
        <x:f>IF(A148="","",IFERROR(INDEX(Frozen_Predictions!$N$4:$N$203,MATCH(A148,Frozen_Predictions!$A$4:$A$203,0)),""))</x:f>
      </x:c>
      <x:c r="U148" s="172" t="str">
        <x:f>IF(A148="","",IFERROR(INDEX(Frozen_Predictions!$O$4:$O$203,MATCH(A148,Frozen_Predictions!$A$4:$A$203,0)),""))</x:f>
      </x:c>
      <x:c r="V148" s="172" t="str">
        <x:f>IF(A148="","",IFERROR(INDEX(Frozen_Predictions!$M$4:$M$203,MATCH(A148,Frozen_Predictions!$A$4:$A$203,0)),""))</x:f>
      </x:c>
      <x:c r="W148" s="175"/>
      <x:c r="X148" s="172" t="str">
        <x:f>IF(A148="","",IF(NOT(COUNTIFS(Frozen_Predictions!$A$4:$A$203,A148)=1),"SNAPSHOT ID INVALID",IFERROR(IF(NOT(AND(INDEX(Frozen_Predictions!$Q$4:$Q$203,MATCH(A148,Frozen_Predictions!$A$4:$A$203,0))="DA",ISNUMBER(INDEX(Frozen_Predictions!$B$4:$B$203,MATCH(A148,Frozen_Predictions!$A$4:$A$203,0))),ISNUMBER(INDEX(Frozen_Predictions!$C$4:$C$203,MATCH(A148,Frozen_Predictions!$A$4:$A$203,0))),INDEX(Frozen_Predictions!$B$4:$B$203,MATCH(A148,Frozen_Predictions!$A$4:$A$203,0))&lt;INDEX(Frozen_Predictions!$C$4:$C$203,MATCH(A148,Frozen_Predictions!$A$4:$A$203,0)),INDEX(Frozen_Predictions!$V$4:$V$203,MATCH(A148,Frozen_Predictions!$A$4:$A$203,0))="READY",INDEX(Frozen_Predictions!$O$4:$O$203,MATCH(A148,Frozen_Predictions!$A$4:$A$203,0))="PASS",INDEX(Frozen_Predictions!$J$4:$J$203,MATCH(A148,Frozen_Predictions!$A$4:$A$203,0))=Under_LineCal_v9!$B$45,COUNTIFS(Frozen_Predictions!$A$4:$A$203,A148,Frozen_Predictions!$L$4:$L$203,"&lt;&gt;",Frozen_Predictions!$L$4:$L$203,"&gt;=0",Frozen_Predictions!$L$4:$L$203,"&lt;=1")=1,COUNTIFS($A$4:$A$203,A148)=1)),"SNAPSHOT NOT VALID",IF(AND(ISNUMBER(I148),I148&gt;=0,I148&lt;=1,ISNUMBER(N148),P148&lt;&gt;"",ISNUMBER(Q148),Q148&gt;=B148,OR(G148="U3.5",G148="U4.5",G148="U5.5")),"SETTLED","PENDING RESULT")),"SNAPSHOT NOT VALID")))</x:f>
      </x:c>
    </x:row>
    <x:row r="149" ht="23" customHeight="1">
      <x:c r="A149" s="175"/>
      <x:c r="B149" s="200" t="str">
        <x:f>IF(A149="","",IFERROR(INDEX(Frozen_Predictions!$C$4:$C$203,MATCH(A149,Frozen_Predictions!$A$4:$A$203,0)),""))</x:f>
      </x:c>
      <x:c r="C149" s="172" t="str">
        <x:f>IF(A149="","",IFERROR(INDEX(Frozen_Predictions!$E$4:$E$203,MATCH(A149,Frozen_Predictions!$A$4:$A$203,0)),""))</x:f>
      </x:c>
      <x:c r="D149" s="172" t="str">
        <x:f>IF(A149="","",IFERROR(INDEX(Frozen_Predictions!$F$4:$F$203,MATCH(A149,Frozen_Predictions!$A$4:$A$203,0)),""))</x:f>
      </x:c>
      <x:c r="E149" s="172" t="str">
        <x:f>IF(A149="","",IFERROR(INDEX(Frozen_Predictions!$G$4:$G$203,MATCH(A149,Frozen_Predictions!$A$4:$A$203,0)),""))</x:f>
      </x:c>
      <x:c r="F149" s="172" t="str">
        <x:f>IF(A149="","",IFERROR(INDEX(Frozen_Predictions!$H$4:$H$203,MATCH(A149,Frozen_Predictions!$A$4:$A$203,0)),""))</x:f>
      </x:c>
      <x:c r="G149" s="172" t="str">
        <x:f>IF(A149="","",IFERROR(INDEX(Frozen_Predictions!$I$4:$I$203,MATCH(A149,Frozen_Predictions!$A$4:$A$203,0)),""))</x:f>
      </x:c>
      <x:c r="H149" s="172" t="str">
        <x:f>IF(A149="","",IFERROR(INDEX(Frozen_Predictions!$J$4:$J$203,MATCH(A149,Frozen_Predictions!$A$4:$A$203,0)),""))</x:f>
      </x:c>
      <x:c r="I149" s="192" t="str">
        <x:f>IF(A149="","",IFERROR(INDEX(Frozen_Predictions!$L$4:$L$203,MATCH(A149,Frozen_Predictions!$A$4:$A$203,0)),""))</x:f>
      </x:c>
      <x:c r="J149" s="172" t="str">
        <x:f>IF(X149&lt;&gt;"SETTLED","",IF(N149&lt;=IF(G149="U3.5",3,IF(G149="U4.5",4,5)),1,0))</x:f>
      </x:c>
      <x:c r="K149" s="195" t="str">
        <x:f>IF(X149&lt;&gt;"SETTLED","",IF(AND(OR(V149="DEFENSIV",V149="PRUDENT",V149="MODERAT",V149="RIDICAT"),ISNUMBER(INDEX(Frozen_Predictions!$Y$4:$Y$203,MATCH(A149,Frozen_Predictions!$A$4:$A$203,0))),INDEX(Frozen_Predictions!$Y$4:$Y$203,MATCH(A149,Frozen_Predictions!$A$4:$A$203,0))&gt;1),IF(J149=1,INDEX(Frozen_Predictions!$Y$4:$Y$203,MATCH(A149,Frozen_Predictions!$A$4:$A$203,0))-1,-1),""))</x:f>
      </x:c>
      <x:c r="L149" s="175"/>
      <x:c r="M149" s="175"/>
      <x:c r="N149" s="172" t="str">
        <x:f>IFERROR(IF(AND(ISNUMBER(L149),ISNUMBER(M149),L149&gt;=0,M149&gt;=0,INT(L149)=L149,INT(M149)=M149),L149+M149,""),"")</x:f>
      </x:c>
      <x:c r="O149" s="172" t="str">
        <x:f>IF(X149&lt;&gt;"SETTLED","",IF(J149=1,"WIN",IF(N149=IF(G149="U3.5",4,IF(G149="U4.5",5,6)),"NEAR TAIL","SEVERE TAIL")))</x:f>
      </x:c>
      <x:c r="P149" s="175"/>
      <x:c r="Q149" s="177"/>
      <x:c r="R149" s="213" t="str">
        <x:f>IF(X149&lt;&gt;"SETTLED","",(I149-J149)^2)</x:f>
      </x:c>
      <x:c r="S149" s="213" t="str">
        <x:f>IF(X149&lt;&gt;"SETTLED","",-(J149*LN(MAX(0.000001,MIN(0.999999,I149)))+(1-J149)*LN(MAX(0.000001,MIN(0.999999,1-I149)))))</x:f>
      </x:c>
      <x:c r="T149" s="172" t="str">
        <x:f>IF(A149="","",IFERROR(INDEX(Frozen_Predictions!$N$4:$N$203,MATCH(A149,Frozen_Predictions!$A$4:$A$203,0)),""))</x:f>
      </x:c>
      <x:c r="U149" s="172" t="str">
        <x:f>IF(A149="","",IFERROR(INDEX(Frozen_Predictions!$O$4:$O$203,MATCH(A149,Frozen_Predictions!$A$4:$A$203,0)),""))</x:f>
      </x:c>
      <x:c r="V149" s="172" t="str">
        <x:f>IF(A149="","",IFERROR(INDEX(Frozen_Predictions!$M$4:$M$203,MATCH(A149,Frozen_Predictions!$A$4:$A$203,0)),""))</x:f>
      </x:c>
      <x:c r="W149" s="175"/>
      <x:c r="X149" s="172" t="str">
        <x:f>IF(A149="","",IF(NOT(COUNTIFS(Frozen_Predictions!$A$4:$A$203,A149)=1),"SNAPSHOT ID INVALID",IFERROR(IF(NOT(AND(INDEX(Frozen_Predictions!$Q$4:$Q$203,MATCH(A149,Frozen_Predictions!$A$4:$A$203,0))="DA",ISNUMBER(INDEX(Frozen_Predictions!$B$4:$B$203,MATCH(A149,Frozen_Predictions!$A$4:$A$203,0))),ISNUMBER(INDEX(Frozen_Predictions!$C$4:$C$203,MATCH(A149,Frozen_Predictions!$A$4:$A$203,0))),INDEX(Frozen_Predictions!$B$4:$B$203,MATCH(A149,Frozen_Predictions!$A$4:$A$203,0))&lt;INDEX(Frozen_Predictions!$C$4:$C$203,MATCH(A149,Frozen_Predictions!$A$4:$A$203,0)),INDEX(Frozen_Predictions!$V$4:$V$203,MATCH(A149,Frozen_Predictions!$A$4:$A$203,0))="READY",INDEX(Frozen_Predictions!$O$4:$O$203,MATCH(A149,Frozen_Predictions!$A$4:$A$203,0))="PASS",INDEX(Frozen_Predictions!$J$4:$J$203,MATCH(A149,Frozen_Predictions!$A$4:$A$203,0))=Under_LineCal_v9!$B$45,COUNTIFS(Frozen_Predictions!$A$4:$A$203,A149,Frozen_Predictions!$L$4:$L$203,"&lt;&gt;",Frozen_Predictions!$L$4:$L$203,"&gt;=0",Frozen_Predictions!$L$4:$L$203,"&lt;=1")=1,COUNTIFS($A$4:$A$203,A149)=1)),"SNAPSHOT NOT VALID",IF(AND(ISNUMBER(I149),I149&gt;=0,I149&lt;=1,ISNUMBER(N149),P149&lt;&gt;"",ISNUMBER(Q149),Q149&gt;=B149,OR(G149="U3.5",G149="U4.5",G149="U5.5")),"SETTLED","PENDING RESULT")),"SNAPSHOT NOT VALID")))</x:f>
      </x:c>
    </x:row>
    <x:row r="150" ht="23" customHeight="1">
      <x:c r="A150" s="175"/>
      <x:c r="B150" s="200" t="str">
        <x:f>IF(A150="","",IFERROR(INDEX(Frozen_Predictions!$C$4:$C$203,MATCH(A150,Frozen_Predictions!$A$4:$A$203,0)),""))</x:f>
      </x:c>
      <x:c r="C150" s="172" t="str">
        <x:f>IF(A150="","",IFERROR(INDEX(Frozen_Predictions!$E$4:$E$203,MATCH(A150,Frozen_Predictions!$A$4:$A$203,0)),""))</x:f>
      </x:c>
      <x:c r="D150" s="172" t="str">
        <x:f>IF(A150="","",IFERROR(INDEX(Frozen_Predictions!$F$4:$F$203,MATCH(A150,Frozen_Predictions!$A$4:$A$203,0)),""))</x:f>
      </x:c>
      <x:c r="E150" s="172" t="str">
        <x:f>IF(A150="","",IFERROR(INDEX(Frozen_Predictions!$G$4:$G$203,MATCH(A150,Frozen_Predictions!$A$4:$A$203,0)),""))</x:f>
      </x:c>
      <x:c r="F150" s="172" t="str">
        <x:f>IF(A150="","",IFERROR(INDEX(Frozen_Predictions!$H$4:$H$203,MATCH(A150,Frozen_Predictions!$A$4:$A$203,0)),""))</x:f>
      </x:c>
      <x:c r="G150" s="172" t="str">
        <x:f>IF(A150="","",IFERROR(INDEX(Frozen_Predictions!$I$4:$I$203,MATCH(A150,Frozen_Predictions!$A$4:$A$203,0)),""))</x:f>
      </x:c>
      <x:c r="H150" s="172" t="str">
        <x:f>IF(A150="","",IFERROR(INDEX(Frozen_Predictions!$J$4:$J$203,MATCH(A150,Frozen_Predictions!$A$4:$A$203,0)),""))</x:f>
      </x:c>
      <x:c r="I150" s="192" t="str">
        <x:f>IF(A150="","",IFERROR(INDEX(Frozen_Predictions!$L$4:$L$203,MATCH(A150,Frozen_Predictions!$A$4:$A$203,0)),""))</x:f>
      </x:c>
      <x:c r="J150" s="172" t="str">
        <x:f>IF(X150&lt;&gt;"SETTLED","",IF(N150&lt;=IF(G150="U3.5",3,IF(G150="U4.5",4,5)),1,0))</x:f>
      </x:c>
      <x:c r="K150" s="195" t="str">
        <x:f>IF(X150&lt;&gt;"SETTLED","",IF(AND(OR(V150="DEFENSIV",V150="PRUDENT",V150="MODERAT",V150="RIDICAT"),ISNUMBER(INDEX(Frozen_Predictions!$Y$4:$Y$203,MATCH(A150,Frozen_Predictions!$A$4:$A$203,0))),INDEX(Frozen_Predictions!$Y$4:$Y$203,MATCH(A150,Frozen_Predictions!$A$4:$A$203,0))&gt;1),IF(J150=1,INDEX(Frozen_Predictions!$Y$4:$Y$203,MATCH(A150,Frozen_Predictions!$A$4:$A$203,0))-1,-1),""))</x:f>
      </x:c>
      <x:c r="L150" s="175"/>
      <x:c r="M150" s="175"/>
      <x:c r="N150" s="172" t="str">
        <x:f>IFERROR(IF(AND(ISNUMBER(L150),ISNUMBER(M150),L150&gt;=0,M150&gt;=0,INT(L150)=L150,INT(M150)=M150),L150+M150,""),"")</x:f>
      </x:c>
      <x:c r="O150" s="172" t="str">
        <x:f>IF(X150&lt;&gt;"SETTLED","",IF(J150=1,"WIN",IF(N150=IF(G150="U3.5",4,IF(G150="U4.5",5,6)),"NEAR TAIL","SEVERE TAIL")))</x:f>
      </x:c>
      <x:c r="P150" s="175"/>
      <x:c r="Q150" s="177"/>
      <x:c r="R150" s="213" t="str">
        <x:f>IF(X150&lt;&gt;"SETTLED","",(I150-J150)^2)</x:f>
      </x:c>
      <x:c r="S150" s="213" t="str">
        <x:f>IF(X150&lt;&gt;"SETTLED","",-(J150*LN(MAX(0.000001,MIN(0.999999,I150)))+(1-J150)*LN(MAX(0.000001,MIN(0.999999,1-I150)))))</x:f>
      </x:c>
      <x:c r="T150" s="172" t="str">
        <x:f>IF(A150="","",IFERROR(INDEX(Frozen_Predictions!$N$4:$N$203,MATCH(A150,Frozen_Predictions!$A$4:$A$203,0)),""))</x:f>
      </x:c>
      <x:c r="U150" s="172" t="str">
        <x:f>IF(A150="","",IFERROR(INDEX(Frozen_Predictions!$O$4:$O$203,MATCH(A150,Frozen_Predictions!$A$4:$A$203,0)),""))</x:f>
      </x:c>
      <x:c r="V150" s="172" t="str">
        <x:f>IF(A150="","",IFERROR(INDEX(Frozen_Predictions!$M$4:$M$203,MATCH(A150,Frozen_Predictions!$A$4:$A$203,0)),""))</x:f>
      </x:c>
      <x:c r="W150" s="175"/>
      <x:c r="X150" s="172" t="str">
        <x:f>IF(A150="","",IF(NOT(COUNTIFS(Frozen_Predictions!$A$4:$A$203,A150)=1),"SNAPSHOT ID INVALID",IFERROR(IF(NOT(AND(INDEX(Frozen_Predictions!$Q$4:$Q$203,MATCH(A150,Frozen_Predictions!$A$4:$A$203,0))="DA",ISNUMBER(INDEX(Frozen_Predictions!$B$4:$B$203,MATCH(A150,Frozen_Predictions!$A$4:$A$203,0))),ISNUMBER(INDEX(Frozen_Predictions!$C$4:$C$203,MATCH(A150,Frozen_Predictions!$A$4:$A$203,0))),INDEX(Frozen_Predictions!$B$4:$B$203,MATCH(A150,Frozen_Predictions!$A$4:$A$203,0))&lt;INDEX(Frozen_Predictions!$C$4:$C$203,MATCH(A150,Frozen_Predictions!$A$4:$A$203,0)),INDEX(Frozen_Predictions!$V$4:$V$203,MATCH(A150,Frozen_Predictions!$A$4:$A$203,0))="READY",INDEX(Frozen_Predictions!$O$4:$O$203,MATCH(A150,Frozen_Predictions!$A$4:$A$203,0))="PASS",INDEX(Frozen_Predictions!$J$4:$J$203,MATCH(A150,Frozen_Predictions!$A$4:$A$203,0))=Under_LineCal_v9!$B$45,COUNTIFS(Frozen_Predictions!$A$4:$A$203,A150,Frozen_Predictions!$L$4:$L$203,"&lt;&gt;",Frozen_Predictions!$L$4:$L$203,"&gt;=0",Frozen_Predictions!$L$4:$L$203,"&lt;=1")=1,COUNTIFS($A$4:$A$203,A150)=1)),"SNAPSHOT NOT VALID",IF(AND(ISNUMBER(I150),I150&gt;=0,I150&lt;=1,ISNUMBER(N150),P150&lt;&gt;"",ISNUMBER(Q150),Q150&gt;=B150,OR(G150="U3.5",G150="U4.5",G150="U5.5")),"SETTLED","PENDING RESULT")),"SNAPSHOT NOT VALID")))</x:f>
      </x:c>
    </x:row>
    <x:row r="151" ht="23" customHeight="1">
      <x:c r="A151" s="175"/>
      <x:c r="B151" s="200" t="str">
        <x:f>IF(A151="","",IFERROR(INDEX(Frozen_Predictions!$C$4:$C$203,MATCH(A151,Frozen_Predictions!$A$4:$A$203,0)),""))</x:f>
      </x:c>
      <x:c r="C151" s="172" t="str">
        <x:f>IF(A151="","",IFERROR(INDEX(Frozen_Predictions!$E$4:$E$203,MATCH(A151,Frozen_Predictions!$A$4:$A$203,0)),""))</x:f>
      </x:c>
      <x:c r="D151" s="172" t="str">
        <x:f>IF(A151="","",IFERROR(INDEX(Frozen_Predictions!$F$4:$F$203,MATCH(A151,Frozen_Predictions!$A$4:$A$203,0)),""))</x:f>
      </x:c>
      <x:c r="E151" s="172" t="str">
        <x:f>IF(A151="","",IFERROR(INDEX(Frozen_Predictions!$G$4:$G$203,MATCH(A151,Frozen_Predictions!$A$4:$A$203,0)),""))</x:f>
      </x:c>
      <x:c r="F151" s="172" t="str">
        <x:f>IF(A151="","",IFERROR(INDEX(Frozen_Predictions!$H$4:$H$203,MATCH(A151,Frozen_Predictions!$A$4:$A$203,0)),""))</x:f>
      </x:c>
      <x:c r="G151" s="172" t="str">
        <x:f>IF(A151="","",IFERROR(INDEX(Frozen_Predictions!$I$4:$I$203,MATCH(A151,Frozen_Predictions!$A$4:$A$203,0)),""))</x:f>
      </x:c>
      <x:c r="H151" s="172" t="str">
        <x:f>IF(A151="","",IFERROR(INDEX(Frozen_Predictions!$J$4:$J$203,MATCH(A151,Frozen_Predictions!$A$4:$A$203,0)),""))</x:f>
      </x:c>
      <x:c r="I151" s="192" t="str">
        <x:f>IF(A151="","",IFERROR(INDEX(Frozen_Predictions!$L$4:$L$203,MATCH(A151,Frozen_Predictions!$A$4:$A$203,0)),""))</x:f>
      </x:c>
      <x:c r="J151" s="172" t="str">
        <x:f>IF(X151&lt;&gt;"SETTLED","",IF(N151&lt;=IF(G151="U3.5",3,IF(G151="U4.5",4,5)),1,0))</x:f>
      </x:c>
      <x:c r="K151" s="195" t="str">
        <x:f>IF(X151&lt;&gt;"SETTLED","",IF(AND(OR(V151="DEFENSIV",V151="PRUDENT",V151="MODERAT",V151="RIDICAT"),ISNUMBER(INDEX(Frozen_Predictions!$Y$4:$Y$203,MATCH(A151,Frozen_Predictions!$A$4:$A$203,0))),INDEX(Frozen_Predictions!$Y$4:$Y$203,MATCH(A151,Frozen_Predictions!$A$4:$A$203,0))&gt;1),IF(J151=1,INDEX(Frozen_Predictions!$Y$4:$Y$203,MATCH(A151,Frozen_Predictions!$A$4:$A$203,0))-1,-1),""))</x:f>
      </x:c>
      <x:c r="L151" s="175"/>
      <x:c r="M151" s="175"/>
      <x:c r="N151" s="172" t="str">
        <x:f>IFERROR(IF(AND(ISNUMBER(L151),ISNUMBER(M151),L151&gt;=0,M151&gt;=0,INT(L151)=L151,INT(M151)=M151),L151+M151,""),"")</x:f>
      </x:c>
      <x:c r="O151" s="172" t="str">
        <x:f>IF(X151&lt;&gt;"SETTLED","",IF(J151=1,"WIN",IF(N151=IF(G151="U3.5",4,IF(G151="U4.5",5,6)),"NEAR TAIL","SEVERE TAIL")))</x:f>
      </x:c>
      <x:c r="P151" s="175"/>
      <x:c r="Q151" s="177"/>
      <x:c r="R151" s="213" t="str">
        <x:f>IF(X151&lt;&gt;"SETTLED","",(I151-J151)^2)</x:f>
      </x:c>
      <x:c r="S151" s="213" t="str">
        <x:f>IF(X151&lt;&gt;"SETTLED","",-(J151*LN(MAX(0.000001,MIN(0.999999,I151)))+(1-J151)*LN(MAX(0.000001,MIN(0.999999,1-I151)))))</x:f>
      </x:c>
      <x:c r="T151" s="172" t="str">
        <x:f>IF(A151="","",IFERROR(INDEX(Frozen_Predictions!$N$4:$N$203,MATCH(A151,Frozen_Predictions!$A$4:$A$203,0)),""))</x:f>
      </x:c>
      <x:c r="U151" s="172" t="str">
        <x:f>IF(A151="","",IFERROR(INDEX(Frozen_Predictions!$O$4:$O$203,MATCH(A151,Frozen_Predictions!$A$4:$A$203,0)),""))</x:f>
      </x:c>
      <x:c r="V151" s="172" t="str">
        <x:f>IF(A151="","",IFERROR(INDEX(Frozen_Predictions!$M$4:$M$203,MATCH(A151,Frozen_Predictions!$A$4:$A$203,0)),""))</x:f>
      </x:c>
      <x:c r="W151" s="175"/>
      <x:c r="X151" s="172" t="str">
        <x:f>IF(A151="","",IF(NOT(COUNTIFS(Frozen_Predictions!$A$4:$A$203,A151)=1),"SNAPSHOT ID INVALID",IFERROR(IF(NOT(AND(INDEX(Frozen_Predictions!$Q$4:$Q$203,MATCH(A151,Frozen_Predictions!$A$4:$A$203,0))="DA",ISNUMBER(INDEX(Frozen_Predictions!$B$4:$B$203,MATCH(A151,Frozen_Predictions!$A$4:$A$203,0))),ISNUMBER(INDEX(Frozen_Predictions!$C$4:$C$203,MATCH(A151,Frozen_Predictions!$A$4:$A$203,0))),INDEX(Frozen_Predictions!$B$4:$B$203,MATCH(A151,Frozen_Predictions!$A$4:$A$203,0))&lt;INDEX(Frozen_Predictions!$C$4:$C$203,MATCH(A151,Frozen_Predictions!$A$4:$A$203,0)),INDEX(Frozen_Predictions!$V$4:$V$203,MATCH(A151,Frozen_Predictions!$A$4:$A$203,0))="READY",INDEX(Frozen_Predictions!$O$4:$O$203,MATCH(A151,Frozen_Predictions!$A$4:$A$203,0))="PASS",INDEX(Frozen_Predictions!$J$4:$J$203,MATCH(A151,Frozen_Predictions!$A$4:$A$203,0))=Under_LineCal_v9!$B$45,COUNTIFS(Frozen_Predictions!$A$4:$A$203,A151,Frozen_Predictions!$L$4:$L$203,"&lt;&gt;",Frozen_Predictions!$L$4:$L$203,"&gt;=0",Frozen_Predictions!$L$4:$L$203,"&lt;=1")=1,COUNTIFS($A$4:$A$203,A151)=1)),"SNAPSHOT NOT VALID",IF(AND(ISNUMBER(I151),I151&gt;=0,I151&lt;=1,ISNUMBER(N151),P151&lt;&gt;"",ISNUMBER(Q151),Q151&gt;=B151,OR(G151="U3.5",G151="U4.5",G151="U5.5")),"SETTLED","PENDING RESULT")),"SNAPSHOT NOT VALID")))</x:f>
      </x:c>
    </x:row>
    <x:row r="152" ht="23" customHeight="1">
      <x:c r="A152" s="175"/>
      <x:c r="B152" s="200" t="str">
        <x:f>IF(A152="","",IFERROR(INDEX(Frozen_Predictions!$C$4:$C$203,MATCH(A152,Frozen_Predictions!$A$4:$A$203,0)),""))</x:f>
      </x:c>
      <x:c r="C152" s="172" t="str">
        <x:f>IF(A152="","",IFERROR(INDEX(Frozen_Predictions!$E$4:$E$203,MATCH(A152,Frozen_Predictions!$A$4:$A$203,0)),""))</x:f>
      </x:c>
      <x:c r="D152" s="172" t="str">
        <x:f>IF(A152="","",IFERROR(INDEX(Frozen_Predictions!$F$4:$F$203,MATCH(A152,Frozen_Predictions!$A$4:$A$203,0)),""))</x:f>
      </x:c>
      <x:c r="E152" s="172" t="str">
        <x:f>IF(A152="","",IFERROR(INDEX(Frozen_Predictions!$G$4:$G$203,MATCH(A152,Frozen_Predictions!$A$4:$A$203,0)),""))</x:f>
      </x:c>
      <x:c r="F152" s="172" t="str">
        <x:f>IF(A152="","",IFERROR(INDEX(Frozen_Predictions!$H$4:$H$203,MATCH(A152,Frozen_Predictions!$A$4:$A$203,0)),""))</x:f>
      </x:c>
      <x:c r="G152" s="172" t="str">
        <x:f>IF(A152="","",IFERROR(INDEX(Frozen_Predictions!$I$4:$I$203,MATCH(A152,Frozen_Predictions!$A$4:$A$203,0)),""))</x:f>
      </x:c>
      <x:c r="H152" s="172" t="str">
        <x:f>IF(A152="","",IFERROR(INDEX(Frozen_Predictions!$J$4:$J$203,MATCH(A152,Frozen_Predictions!$A$4:$A$203,0)),""))</x:f>
      </x:c>
      <x:c r="I152" s="192" t="str">
        <x:f>IF(A152="","",IFERROR(INDEX(Frozen_Predictions!$L$4:$L$203,MATCH(A152,Frozen_Predictions!$A$4:$A$203,0)),""))</x:f>
      </x:c>
      <x:c r="J152" s="172" t="str">
        <x:f>IF(X152&lt;&gt;"SETTLED","",IF(N152&lt;=IF(G152="U3.5",3,IF(G152="U4.5",4,5)),1,0))</x:f>
      </x:c>
      <x:c r="K152" s="195" t="str">
        <x:f>IF(X152&lt;&gt;"SETTLED","",IF(AND(OR(V152="DEFENSIV",V152="PRUDENT",V152="MODERAT",V152="RIDICAT"),ISNUMBER(INDEX(Frozen_Predictions!$Y$4:$Y$203,MATCH(A152,Frozen_Predictions!$A$4:$A$203,0))),INDEX(Frozen_Predictions!$Y$4:$Y$203,MATCH(A152,Frozen_Predictions!$A$4:$A$203,0))&gt;1),IF(J152=1,INDEX(Frozen_Predictions!$Y$4:$Y$203,MATCH(A152,Frozen_Predictions!$A$4:$A$203,0))-1,-1),""))</x:f>
      </x:c>
      <x:c r="L152" s="175"/>
      <x:c r="M152" s="175"/>
      <x:c r="N152" s="172" t="str">
        <x:f>IFERROR(IF(AND(ISNUMBER(L152),ISNUMBER(M152),L152&gt;=0,M152&gt;=0,INT(L152)=L152,INT(M152)=M152),L152+M152,""),"")</x:f>
      </x:c>
      <x:c r="O152" s="172" t="str">
        <x:f>IF(X152&lt;&gt;"SETTLED","",IF(J152=1,"WIN",IF(N152=IF(G152="U3.5",4,IF(G152="U4.5",5,6)),"NEAR TAIL","SEVERE TAIL")))</x:f>
      </x:c>
      <x:c r="P152" s="175"/>
      <x:c r="Q152" s="177"/>
      <x:c r="R152" s="213" t="str">
        <x:f>IF(X152&lt;&gt;"SETTLED","",(I152-J152)^2)</x:f>
      </x:c>
      <x:c r="S152" s="213" t="str">
        <x:f>IF(X152&lt;&gt;"SETTLED","",-(J152*LN(MAX(0.000001,MIN(0.999999,I152)))+(1-J152)*LN(MAX(0.000001,MIN(0.999999,1-I152)))))</x:f>
      </x:c>
      <x:c r="T152" s="172" t="str">
        <x:f>IF(A152="","",IFERROR(INDEX(Frozen_Predictions!$N$4:$N$203,MATCH(A152,Frozen_Predictions!$A$4:$A$203,0)),""))</x:f>
      </x:c>
      <x:c r="U152" s="172" t="str">
        <x:f>IF(A152="","",IFERROR(INDEX(Frozen_Predictions!$O$4:$O$203,MATCH(A152,Frozen_Predictions!$A$4:$A$203,0)),""))</x:f>
      </x:c>
      <x:c r="V152" s="172" t="str">
        <x:f>IF(A152="","",IFERROR(INDEX(Frozen_Predictions!$M$4:$M$203,MATCH(A152,Frozen_Predictions!$A$4:$A$203,0)),""))</x:f>
      </x:c>
      <x:c r="W152" s="175"/>
      <x:c r="X152" s="172" t="str">
        <x:f>IF(A152="","",IF(NOT(COUNTIFS(Frozen_Predictions!$A$4:$A$203,A152)=1),"SNAPSHOT ID INVALID",IFERROR(IF(NOT(AND(INDEX(Frozen_Predictions!$Q$4:$Q$203,MATCH(A152,Frozen_Predictions!$A$4:$A$203,0))="DA",ISNUMBER(INDEX(Frozen_Predictions!$B$4:$B$203,MATCH(A152,Frozen_Predictions!$A$4:$A$203,0))),ISNUMBER(INDEX(Frozen_Predictions!$C$4:$C$203,MATCH(A152,Frozen_Predictions!$A$4:$A$203,0))),INDEX(Frozen_Predictions!$B$4:$B$203,MATCH(A152,Frozen_Predictions!$A$4:$A$203,0))&lt;INDEX(Frozen_Predictions!$C$4:$C$203,MATCH(A152,Frozen_Predictions!$A$4:$A$203,0)),INDEX(Frozen_Predictions!$V$4:$V$203,MATCH(A152,Frozen_Predictions!$A$4:$A$203,0))="READY",INDEX(Frozen_Predictions!$O$4:$O$203,MATCH(A152,Frozen_Predictions!$A$4:$A$203,0))="PASS",INDEX(Frozen_Predictions!$J$4:$J$203,MATCH(A152,Frozen_Predictions!$A$4:$A$203,0))=Under_LineCal_v9!$B$45,COUNTIFS(Frozen_Predictions!$A$4:$A$203,A152,Frozen_Predictions!$L$4:$L$203,"&lt;&gt;",Frozen_Predictions!$L$4:$L$203,"&gt;=0",Frozen_Predictions!$L$4:$L$203,"&lt;=1")=1,COUNTIFS($A$4:$A$203,A152)=1)),"SNAPSHOT NOT VALID",IF(AND(ISNUMBER(I152),I152&gt;=0,I152&lt;=1,ISNUMBER(N152),P152&lt;&gt;"",ISNUMBER(Q152),Q152&gt;=B152,OR(G152="U3.5",G152="U4.5",G152="U5.5")),"SETTLED","PENDING RESULT")),"SNAPSHOT NOT VALID")))</x:f>
      </x:c>
    </x:row>
    <x:row r="153" ht="23" customHeight="1">
      <x:c r="A153" s="175"/>
      <x:c r="B153" s="200" t="str">
        <x:f>IF(A153="","",IFERROR(INDEX(Frozen_Predictions!$C$4:$C$203,MATCH(A153,Frozen_Predictions!$A$4:$A$203,0)),""))</x:f>
      </x:c>
      <x:c r="C153" s="172" t="str">
        <x:f>IF(A153="","",IFERROR(INDEX(Frozen_Predictions!$E$4:$E$203,MATCH(A153,Frozen_Predictions!$A$4:$A$203,0)),""))</x:f>
      </x:c>
      <x:c r="D153" s="172" t="str">
        <x:f>IF(A153="","",IFERROR(INDEX(Frozen_Predictions!$F$4:$F$203,MATCH(A153,Frozen_Predictions!$A$4:$A$203,0)),""))</x:f>
      </x:c>
      <x:c r="E153" s="172" t="str">
        <x:f>IF(A153="","",IFERROR(INDEX(Frozen_Predictions!$G$4:$G$203,MATCH(A153,Frozen_Predictions!$A$4:$A$203,0)),""))</x:f>
      </x:c>
      <x:c r="F153" s="172" t="str">
        <x:f>IF(A153="","",IFERROR(INDEX(Frozen_Predictions!$H$4:$H$203,MATCH(A153,Frozen_Predictions!$A$4:$A$203,0)),""))</x:f>
      </x:c>
      <x:c r="G153" s="172" t="str">
        <x:f>IF(A153="","",IFERROR(INDEX(Frozen_Predictions!$I$4:$I$203,MATCH(A153,Frozen_Predictions!$A$4:$A$203,0)),""))</x:f>
      </x:c>
      <x:c r="H153" s="172" t="str">
        <x:f>IF(A153="","",IFERROR(INDEX(Frozen_Predictions!$J$4:$J$203,MATCH(A153,Frozen_Predictions!$A$4:$A$203,0)),""))</x:f>
      </x:c>
      <x:c r="I153" s="192" t="str">
        <x:f>IF(A153="","",IFERROR(INDEX(Frozen_Predictions!$L$4:$L$203,MATCH(A153,Frozen_Predictions!$A$4:$A$203,0)),""))</x:f>
      </x:c>
      <x:c r="J153" s="172" t="str">
        <x:f>IF(X153&lt;&gt;"SETTLED","",IF(N153&lt;=IF(G153="U3.5",3,IF(G153="U4.5",4,5)),1,0))</x:f>
      </x:c>
      <x:c r="K153" s="195" t="str">
        <x:f>IF(X153&lt;&gt;"SETTLED","",IF(AND(OR(V153="DEFENSIV",V153="PRUDENT",V153="MODERAT",V153="RIDICAT"),ISNUMBER(INDEX(Frozen_Predictions!$Y$4:$Y$203,MATCH(A153,Frozen_Predictions!$A$4:$A$203,0))),INDEX(Frozen_Predictions!$Y$4:$Y$203,MATCH(A153,Frozen_Predictions!$A$4:$A$203,0))&gt;1),IF(J153=1,INDEX(Frozen_Predictions!$Y$4:$Y$203,MATCH(A153,Frozen_Predictions!$A$4:$A$203,0))-1,-1),""))</x:f>
      </x:c>
      <x:c r="L153" s="175"/>
      <x:c r="M153" s="175"/>
      <x:c r="N153" s="172" t="str">
        <x:f>IFERROR(IF(AND(ISNUMBER(L153),ISNUMBER(M153),L153&gt;=0,M153&gt;=0,INT(L153)=L153,INT(M153)=M153),L153+M153,""),"")</x:f>
      </x:c>
      <x:c r="O153" s="172" t="str">
        <x:f>IF(X153&lt;&gt;"SETTLED","",IF(J153=1,"WIN",IF(N153=IF(G153="U3.5",4,IF(G153="U4.5",5,6)),"NEAR TAIL","SEVERE TAIL")))</x:f>
      </x:c>
      <x:c r="P153" s="175"/>
      <x:c r="Q153" s="177"/>
      <x:c r="R153" s="213" t="str">
        <x:f>IF(X153&lt;&gt;"SETTLED","",(I153-J153)^2)</x:f>
      </x:c>
      <x:c r="S153" s="213" t="str">
        <x:f>IF(X153&lt;&gt;"SETTLED","",-(J153*LN(MAX(0.000001,MIN(0.999999,I153)))+(1-J153)*LN(MAX(0.000001,MIN(0.999999,1-I153)))))</x:f>
      </x:c>
      <x:c r="T153" s="172" t="str">
        <x:f>IF(A153="","",IFERROR(INDEX(Frozen_Predictions!$N$4:$N$203,MATCH(A153,Frozen_Predictions!$A$4:$A$203,0)),""))</x:f>
      </x:c>
      <x:c r="U153" s="172" t="str">
        <x:f>IF(A153="","",IFERROR(INDEX(Frozen_Predictions!$O$4:$O$203,MATCH(A153,Frozen_Predictions!$A$4:$A$203,0)),""))</x:f>
      </x:c>
      <x:c r="V153" s="172" t="str">
        <x:f>IF(A153="","",IFERROR(INDEX(Frozen_Predictions!$M$4:$M$203,MATCH(A153,Frozen_Predictions!$A$4:$A$203,0)),""))</x:f>
      </x:c>
      <x:c r="W153" s="175"/>
      <x:c r="X153" s="172" t="str">
        <x:f>IF(A153="","",IF(NOT(COUNTIFS(Frozen_Predictions!$A$4:$A$203,A153)=1),"SNAPSHOT ID INVALID",IFERROR(IF(NOT(AND(INDEX(Frozen_Predictions!$Q$4:$Q$203,MATCH(A153,Frozen_Predictions!$A$4:$A$203,0))="DA",ISNUMBER(INDEX(Frozen_Predictions!$B$4:$B$203,MATCH(A153,Frozen_Predictions!$A$4:$A$203,0))),ISNUMBER(INDEX(Frozen_Predictions!$C$4:$C$203,MATCH(A153,Frozen_Predictions!$A$4:$A$203,0))),INDEX(Frozen_Predictions!$B$4:$B$203,MATCH(A153,Frozen_Predictions!$A$4:$A$203,0))&lt;INDEX(Frozen_Predictions!$C$4:$C$203,MATCH(A153,Frozen_Predictions!$A$4:$A$203,0)),INDEX(Frozen_Predictions!$V$4:$V$203,MATCH(A153,Frozen_Predictions!$A$4:$A$203,0))="READY",INDEX(Frozen_Predictions!$O$4:$O$203,MATCH(A153,Frozen_Predictions!$A$4:$A$203,0))="PASS",INDEX(Frozen_Predictions!$J$4:$J$203,MATCH(A153,Frozen_Predictions!$A$4:$A$203,0))=Under_LineCal_v9!$B$45,COUNTIFS(Frozen_Predictions!$A$4:$A$203,A153,Frozen_Predictions!$L$4:$L$203,"&lt;&gt;",Frozen_Predictions!$L$4:$L$203,"&gt;=0",Frozen_Predictions!$L$4:$L$203,"&lt;=1")=1,COUNTIFS($A$4:$A$203,A153)=1)),"SNAPSHOT NOT VALID",IF(AND(ISNUMBER(I153),I153&gt;=0,I153&lt;=1,ISNUMBER(N153),P153&lt;&gt;"",ISNUMBER(Q153),Q153&gt;=B153,OR(G153="U3.5",G153="U4.5",G153="U5.5")),"SETTLED","PENDING RESULT")),"SNAPSHOT NOT VALID")))</x:f>
      </x:c>
    </x:row>
    <x:row r="154" ht="23" customHeight="1">
      <x:c r="A154" s="175"/>
      <x:c r="B154" s="200" t="str">
        <x:f>IF(A154="","",IFERROR(INDEX(Frozen_Predictions!$C$4:$C$203,MATCH(A154,Frozen_Predictions!$A$4:$A$203,0)),""))</x:f>
      </x:c>
      <x:c r="C154" s="172" t="str">
        <x:f>IF(A154="","",IFERROR(INDEX(Frozen_Predictions!$E$4:$E$203,MATCH(A154,Frozen_Predictions!$A$4:$A$203,0)),""))</x:f>
      </x:c>
      <x:c r="D154" s="172" t="str">
        <x:f>IF(A154="","",IFERROR(INDEX(Frozen_Predictions!$F$4:$F$203,MATCH(A154,Frozen_Predictions!$A$4:$A$203,0)),""))</x:f>
      </x:c>
      <x:c r="E154" s="172" t="str">
        <x:f>IF(A154="","",IFERROR(INDEX(Frozen_Predictions!$G$4:$G$203,MATCH(A154,Frozen_Predictions!$A$4:$A$203,0)),""))</x:f>
      </x:c>
      <x:c r="F154" s="172" t="str">
        <x:f>IF(A154="","",IFERROR(INDEX(Frozen_Predictions!$H$4:$H$203,MATCH(A154,Frozen_Predictions!$A$4:$A$203,0)),""))</x:f>
      </x:c>
      <x:c r="G154" s="172" t="str">
        <x:f>IF(A154="","",IFERROR(INDEX(Frozen_Predictions!$I$4:$I$203,MATCH(A154,Frozen_Predictions!$A$4:$A$203,0)),""))</x:f>
      </x:c>
      <x:c r="H154" s="172" t="str">
        <x:f>IF(A154="","",IFERROR(INDEX(Frozen_Predictions!$J$4:$J$203,MATCH(A154,Frozen_Predictions!$A$4:$A$203,0)),""))</x:f>
      </x:c>
      <x:c r="I154" s="192" t="str">
        <x:f>IF(A154="","",IFERROR(INDEX(Frozen_Predictions!$L$4:$L$203,MATCH(A154,Frozen_Predictions!$A$4:$A$203,0)),""))</x:f>
      </x:c>
      <x:c r="J154" s="172" t="str">
        <x:f>IF(X154&lt;&gt;"SETTLED","",IF(N154&lt;=IF(G154="U3.5",3,IF(G154="U4.5",4,5)),1,0))</x:f>
      </x:c>
      <x:c r="K154" s="195" t="str">
        <x:f>IF(X154&lt;&gt;"SETTLED","",IF(AND(OR(V154="DEFENSIV",V154="PRUDENT",V154="MODERAT",V154="RIDICAT"),ISNUMBER(INDEX(Frozen_Predictions!$Y$4:$Y$203,MATCH(A154,Frozen_Predictions!$A$4:$A$203,0))),INDEX(Frozen_Predictions!$Y$4:$Y$203,MATCH(A154,Frozen_Predictions!$A$4:$A$203,0))&gt;1),IF(J154=1,INDEX(Frozen_Predictions!$Y$4:$Y$203,MATCH(A154,Frozen_Predictions!$A$4:$A$203,0))-1,-1),""))</x:f>
      </x:c>
      <x:c r="L154" s="175"/>
      <x:c r="M154" s="175"/>
      <x:c r="N154" s="172" t="str">
        <x:f>IFERROR(IF(AND(ISNUMBER(L154),ISNUMBER(M154),L154&gt;=0,M154&gt;=0,INT(L154)=L154,INT(M154)=M154),L154+M154,""),"")</x:f>
      </x:c>
      <x:c r="O154" s="172" t="str">
        <x:f>IF(X154&lt;&gt;"SETTLED","",IF(J154=1,"WIN",IF(N154=IF(G154="U3.5",4,IF(G154="U4.5",5,6)),"NEAR TAIL","SEVERE TAIL")))</x:f>
      </x:c>
      <x:c r="P154" s="175"/>
      <x:c r="Q154" s="177"/>
      <x:c r="R154" s="213" t="str">
        <x:f>IF(X154&lt;&gt;"SETTLED","",(I154-J154)^2)</x:f>
      </x:c>
      <x:c r="S154" s="213" t="str">
        <x:f>IF(X154&lt;&gt;"SETTLED","",-(J154*LN(MAX(0.000001,MIN(0.999999,I154)))+(1-J154)*LN(MAX(0.000001,MIN(0.999999,1-I154)))))</x:f>
      </x:c>
      <x:c r="T154" s="172" t="str">
        <x:f>IF(A154="","",IFERROR(INDEX(Frozen_Predictions!$N$4:$N$203,MATCH(A154,Frozen_Predictions!$A$4:$A$203,0)),""))</x:f>
      </x:c>
      <x:c r="U154" s="172" t="str">
        <x:f>IF(A154="","",IFERROR(INDEX(Frozen_Predictions!$O$4:$O$203,MATCH(A154,Frozen_Predictions!$A$4:$A$203,0)),""))</x:f>
      </x:c>
      <x:c r="V154" s="172" t="str">
        <x:f>IF(A154="","",IFERROR(INDEX(Frozen_Predictions!$M$4:$M$203,MATCH(A154,Frozen_Predictions!$A$4:$A$203,0)),""))</x:f>
      </x:c>
      <x:c r="W154" s="175"/>
      <x:c r="X154" s="172" t="str">
        <x:f>IF(A154="","",IF(NOT(COUNTIFS(Frozen_Predictions!$A$4:$A$203,A154)=1),"SNAPSHOT ID INVALID",IFERROR(IF(NOT(AND(INDEX(Frozen_Predictions!$Q$4:$Q$203,MATCH(A154,Frozen_Predictions!$A$4:$A$203,0))="DA",ISNUMBER(INDEX(Frozen_Predictions!$B$4:$B$203,MATCH(A154,Frozen_Predictions!$A$4:$A$203,0))),ISNUMBER(INDEX(Frozen_Predictions!$C$4:$C$203,MATCH(A154,Frozen_Predictions!$A$4:$A$203,0))),INDEX(Frozen_Predictions!$B$4:$B$203,MATCH(A154,Frozen_Predictions!$A$4:$A$203,0))&lt;INDEX(Frozen_Predictions!$C$4:$C$203,MATCH(A154,Frozen_Predictions!$A$4:$A$203,0)),INDEX(Frozen_Predictions!$V$4:$V$203,MATCH(A154,Frozen_Predictions!$A$4:$A$203,0))="READY",INDEX(Frozen_Predictions!$O$4:$O$203,MATCH(A154,Frozen_Predictions!$A$4:$A$203,0))="PASS",INDEX(Frozen_Predictions!$J$4:$J$203,MATCH(A154,Frozen_Predictions!$A$4:$A$203,0))=Under_LineCal_v9!$B$45,COUNTIFS(Frozen_Predictions!$A$4:$A$203,A154,Frozen_Predictions!$L$4:$L$203,"&lt;&gt;",Frozen_Predictions!$L$4:$L$203,"&gt;=0",Frozen_Predictions!$L$4:$L$203,"&lt;=1")=1,COUNTIFS($A$4:$A$203,A154)=1)),"SNAPSHOT NOT VALID",IF(AND(ISNUMBER(I154),I154&gt;=0,I154&lt;=1,ISNUMBER(N154),P154&lt;&gt;"",ISNUMBER(Q154),Q154&gt;=B154,OR(G154="U3.5",G154="U4.5",G154="U5.5")),"SETTLED","PENDING RESULT")),"SNAPSHOT NOT VALID")))</x:f>
      </x:c>
    </x:row>
    <x:row r="155" ht="23" customHeight="1">
      <x:c r="A155" s="175"/>
      <x:c r="B155" s="200" t="str">
        <x:f>IF(A155="","",IFERROR(INDEX(Frozen_Predictions!$C$4:$C$203,MATCH(A155,Frozen_Predictions!$A$4:$A$203,0)),""))</x:f>
      </x:c>
      <x:c r="C155" s="172" t="str">
        <x:f>IF(A155="","",IFERROR(INDEX(Frozen_Predictions!$E$4:$E$203,MATCH(A155,Frozen_Predictions!$A$4:$A$203,0)),""))</x:f>
      </x:c>
      <x:c r="D155" s="172" t="str">
        <x:f>IF(A155="","",IFERROR(INDEX(Frozen_Predictions!$F$4:$F$203,MATCH(A155,Frozen_Predictions!$A$4:$A$203,0)),""))</x:f>
      </x:c>
      <x:c r="E155" s="172" t="str">
        <x:f>IF(A155="","",IFERROR(INDEX(Frozen_Predictions!$G$4:$G$203,MATCH(A155,Frozen_Predictions!$A$4:$A$203,0)),""))</x:f>
      </x:c>
      <x:c r="F155" s="172" t="str">
        <x:f>IF(A155="","",IFERROR(INDEX(Frozen_Predictions!$H$4:$H$203,MATCH(A155,Frozen_Predictions!$A$4:$A$203,0)),""))</x:f>
      </x:c>
      <x:c r="G155" s="172" t="str">
        <x:f>IF(A155="","",IFERROR(INDEX(Frozen_Predictions!$I$4:$I$203,MATCH(A155,Frozen_Predictions!$A$4:$A$203,0)),""))</x:f>
      </x:c>
      <x:c r="H155" s="172" t="str">
        <x:f>IF(A155="","",IFERROR(INDEX(Frozen_Predictions!$J$4:$J$203,MATCH(A155,Frozen_Predictions!$A$4:$A$203,0)),""))</x:f>
      </x:c>
      <x:c r="I155" s="192" t="str">
        <x:f>IF(A155="","",IFERROR(INDEX(Frozen_Predictions!$L$4:$L$203,MATCH(A155,Frozen_Predictions!$A$4:$A$203,0)),""))</x:f>
      </x:c>
      <x:c r="J155" s="172" t="str">
        <x:f>IF(X155&lt;&gt;"SETTLED","",IF(N155&lt;=IF(G155="U3.5",3,IF(G155="U4.5",4,5)),1,0))</x:f>
      </x:c>
      <x:c r="K155" s="195" t="str">
        <x:f>IF(X155&lt;&gt;"SETTLED","",IF(AND(OR(V155="DEFENSIV",V155="PRUDENT",V155="MODERAT",V155="RIDICAT"),ISNUMBER(INDEX(Frozen_Predictions!$Y$4:$Y$203,MATCH(A155,Frozen_Predictions!$A$4:$A$203,0))),INDEX(Frozen_Predictions!$Y$4:$Y$203,MATCH(A155,Frozen_Predictions!$A$4:$A$203,0))&gt;1),IF(J155=1,INDEX(Frozen_Predictions!$Y$4:$Y$203,MATCH(A155,Frozen_Predictions!$A$4:$A$203,0))-1,-1),""))</x:f>
      </x:c>
      <x:c r="L155" s="175"/>
      <x:c r="M155" s="175"/>
      <x:c r="N155" s="172" t="str">
        <x:f>IFERROR(IF(AND(ISNUMBER(L155),ISNUMBER(M155),L155&gt;=0,M155&gt;=0,INT(L155)=L155,INT(M155)=M155),L155+M155,""),"")</x:f>
      </x:c>
      <x:c r="O155" s="172" t="str">
        <x:f>IF(X155&lt;&gt;"SETTLED","",IF(J155=1,"WIN",IF(N155=IF(G155="U3.5",4,IF(G155="U4.5",5,6)),"NEAR TAIL","SEVERE TAIL")))</x:f>
      </x:c>
      <x:c r="P155" s="175"/>
      <x:c r="Q155" s="177"/>
      <x:c r="R155" s="213" t="str">
        <x:f>IF(X155&lt;&gt;"SETTLED","",(I155-J155)^2)</x:f>
      </x:c>
      <x:c r="S155" s="213" t="str">
        <x:f>IF(X155&lt;&gt;"SETTLED","",-(J155*LN(MAX(0.000001,MIN(0.999999,I155)))+(1-J155)*LN(MAX(0.000001,MIN(0.999999,1-I155)))))</x:f>
      </x:c>
      <x:c r="T155" s="172" t="str">
        <x:f>IF(A155="","",IFERROR(INDEX(Frozen_Predictions!$N$4:$N$203,MATCH(A155,Frozen_Predictions!$A$4:$A$203,0)),""))</x:f>
      </x:c>
      <x:c r="U155" s="172" t="str">
        <x:f>IF(A155="","",IFERROR(INDEX(Frozen_Predictions!$O$4:$O$203,MATCH(A155,Frozen_Predictions!$A$4:$A$203,0)),""))</x:f>
      </x:c>
      <x:c r="V155" s="172" t="str">
        <x:f>IF(A155="","",IFERROR(INDEX(Frozen_Predictions!$M$4:$M$203,MATCH(A155,Frozen_Predictions!$A$4:$A$203,0)),""))</x:f>
      </x:c>
      <x:c r="W155" s="175"/>
      <x:c r="X155" s="172" t="str">
        <x:f>IF(A155="","",IF(NOT(COUNTIFS(Frozen_Predictions!$A$4:$A$203,A155)=1),"SNAPSHOT ID INVALID",IFERROR(IF(NOT(AND(INDEX(Frozen_Predictions!$Q$4:$Q$203,MATCH(A155,Frozen_Predictions!$A$4:$A$203,0))="DA",ISNUMBER(INDEX(Frozen_Predictions!$B$4:$B$203,MATCH(A155,Frozen_Predictions!$A$4:$A$203,0))),ISNUMBER(INDEX(Frozen_Predictions!$C$4:$C$203,MATCH(A155,Frozen_Predictions!$A$4:$A$203,0))),INDEX(Frozen_Predictions!$B$4:$B$203,MATCH(A155,Frozen_Predictions!$A$4:$A$203,0))&lt;INDEX(Frozen_Predictions!$C$4:$C$203,MATCH(A155,Frozen_Predictions!$A$4:$A$203,0)),INDEX(Frozen_Predictions!$V$4:$V$203,MATCH(A155,Frozen_Predictions!$A$4:$A$203,0))="READY",INDEX(Frozen_Predictions!$O$4:$O$203,MATCH(A155,Frozen_Predictions!$A$4:$A$203,0))="PASS",INDEX(Frozen_Predictions!$J$4:$J$203,MATCH(A155,Frozen_Predictions!$A$4:$A$203,0))=Under_LineCal_v9!$B$45,COUNTIFS(Frozen_Predictions!$A$4:$A$203,A155,Frozen_Predictions!$L$4:$L$203,"&lt;&gt;",Frozen_Predictions!$L$4:$L$203,"&gt;=0",Frozen_Predictions!$L$4:$L$203,"&lt;=1")=1,COUNTIFS($A$4:$A$203,A155)=1)),"SNAPSHOT NOT VALID",IF(AND(ISNUMBER(I155),I155&gt;=0,I155&lt;=1,ISNUMBER(N155),P155&lt;&gt;"",ISNUMBER(Q155),Q155&gt;=B155,OR(G155="U3.5",G155="U4.5",G155="U5.5")),"SETTLED","PENDING RESULT")),"SNAPSHOT NOT VALID")))</x:f>
      </x:c>
    </x:row>
    <x:row r="156" ht="23" customHeight="1">
      <x:c r="A156" s="175"/>
      <x:c r="B156" s="200" t="str">
        <x:f>IF(A156="","",IFERROR(INDEX(Frozen_Predictions!$C$4:$C$203,MATCH(A156,Frozen_Predictions!$A$4:$A$203,0)),""))</x:f>
      </x:c>
      <x:c r="C156" s="172" t="str">
        <x:f>IF(A156="","",IFERROR(INDEX(Frozen_Predictions!$E$4:$E$203,MATCH(A156,Frozen_Predictions!$A$4:$A$203,0)),""))</x:f>
      </x:c>
      <x:c r="D156" s="172" t="str">
        <x:f>IF(A156="","",IFERROR(INDEX(Frozen_Predictions!$F$4:$F$203,MATCH(A156,Frozen_Predictions!$A$4:$A$203,0)),""))</x:f>
      </x:c>
      <x:c r="E156" s="172" t="str">
        <x:f>IF(A156="","",IFERROR(INDEX(Frozen_Predictions!$G$4:$G$203,MATCH(A156,Frozen_Predictions!$A$4:$A$203,0)),""))</x:f>
      </x:c>
      <x:c r="F156" s="172" t="str">
        <x:f>IF(A156="","",IFERROR(INDEX(Frozen_Predictions!$H$4:$H$203,MATCH(A156,Frozen_Predictions!$A$4:$A$203,0)),""))</x:f>
      </x:c>
      <x:c r="G156" s="172" t="str">
        <x:f>IF(A156="","",IFERROR(INDEX(Frozen_Predictions!$I$4:$I$203,MATCH(A156,Frozen_Predictions!$A$4:$A$203,0)),""))</x:f>
      </x:c>
      <x:c r="H156" s="172" t="str">
        <x:f>IF(A156="","",IFERROR(INDEX(Frozen_Predictions!$J$4:$J$203,MATCH(A156,Frozen_Predictions!$A$4:$A$203,0)),""))</x:f>
      </x:c>
      <x:c r="I156" s="192" t="str">
        <x:f>IF(A156="","",IFERROR(INDEX(Frozen_Predictions!$L$4:$L$203,MATCH(A156,Frozen_Predictions!$A$4:$A$203,0)),""))</x:f>
      </x:c>
      <x:c r="J156" s="172" t="str">
        <x:f>IF(X156&lt;&gt;"SETTLED","",IF(N156&lt;=IF(G156="U3.5",3,IF(G156="U4.5",4,5)),1,0))</x:f>
      </x:c>
      <x:c r="K156" s="195" t="str">
        <x:f>IF(X156&lt;&gt;"SETTLED","",IF(AND(OR(V156="DEFENSIV",V156="PRUDENT",V156="MODERAT",V156="RIDICAT"),ISNUMBER(INDEX(Frozen_Predictions!$Y$4:$Y$203,MATCH(A156,Frozen_Predictions!$A$4:$A$203,0))),INDEX(Frozen_Predictions!$Y$4:$Y$203,MATCH(A156,Frozen_Predictions!$A$4:$A$203,0))&gt;1),IF(J156=1,INDEX(Frozen_Predictions!$Y$4:$Y$203,MATCH(A156,Frozen_Predictions!$A$4:$A$203,0))-1,-1),""))</x:f>
      </x:c>
      <x:c r="L156" s="175"/>
      <x:c r="M156" s="175"/>
      <x:c r="N156" s="172" t="str">
        <x:f>IFERROR(IF(AND(ISNUMBER(L156),ISNUMBER(M156),L156&gt;=0,M156&gt;=0,INT(L156)=L156,INT(M156)=M156),L156+M156,""),"")</x:f>
      </x:c>
      <x:c r="O156" s="172" t="str">
        <x:f>IF(X156&lt;&gt;"SETTLED","",IF(J156=1,"WIN",IF(N156=IF(G156="U3.5",4,IF(G156="U4.5",5,6)),"NEAR TAIL","SEVERE TAIL")))</x:f>
      </x:c>
      <x:c r="P156" s="175"/>
      <x:c r="Q156" s="177"/>
      <x:c r="R156" s="213" t="str">
        <x:f>IF(X156&lt;&gt;"SETTLED","",(I156-J156)^2)</x:f>
      </x:c>
      <x:c r="S156" s="213" t="str">
        <x:f>IF(X156&lt;&gt;"SETTLED","",-(J156*LN(MAX(0.000001,MIN(0.999999,I156)))+(1-J156)*LN(MAX(0.000001,MIN(0.999999,1-I156)))))</x:f>
      </x:c>
      <x:c r="T156" s="172" t="str">
        <x:f>IF(A156="","",IFERROR(INDEX(Frozen_Predictions!$N$4:$N$203,MATCH(A156,Frozen_Predictions!$A$4:$A$203,0)),""))</x:f>
      </x:c>
      <x:c r="U156" s="172" t="str">
        <x:f>IF(A156="","",IFERROR(INDEX(Frozen_Predictions!$O$4:$O$203,MATCH(A156,Frozen_Predictions!$A$4:$A$203,0)),""))</x:f>
      </x:c>
      <x:c r="V156" s="172" t="str">
        <x:f>IF(A156="","",IFERROR(INDEX(Frozen_Predictions!$M$4:$M$203,MATCH(A156,Frozen_Predictions!$A$4:$A$203,0)),""))</x:f>
      </x:c>
      <x:c r="W156" s="175"/>
      <x:c r="X156" s="172" t="str">
        <x:f>IF(A156="","",IF(NOT(COUNTIFS(Frozen_Predictions!$A$4:$A$203,A156)=1),"SNAPSHOT ID INVALID",IFERROR(IF(NOT(AND(INDEX(Frozen_Predictions!$Q$4:$Q$203,MATCH(A156,Frozen_Predictions!$A$4:$A$203,0))="DA",ISNUMBER(INDEX(Frozen_Predictions!$B$4:$B$203,MATCH(A156,Frozen_Predictions!$A$4:$A$203,0))),ISNUMBER(INDEX(Frozen_Predictions!$C$4:$C$203,MATCH(A156,Frozen_Predictions!$A$4:$A$203,0))),INDEX(Frozen_Predictions!$B$4:$B$203,MATCH(A156,Frozen_Predictions!$A$4:$A$203,0))&lt;INDEX(Frozen_Predictions!$C$4:$C$203,MATCH(A156,Frozen_Predictions!$A$4:$A$203,0)),INDEX(Frozen_Predictions!$V$4:$V$203,MATCH(A156,Frozen_Predictions!$A$4:$A$203,0))="READY",INDEX(Frozen_Predictions!$O$4:$O$203,MATCH(A156,Frozen_Predictions!$A$4:$A$203,0))="PASS",INDEX(Frozen_Predictions!$J$4:$J$203,MATCH(A156,Frozen_Predictions!$A$4:$A$203,0))=Under_LineCal_v9!$B$45,COUNTIFS(Frozen_Predictions!$A$4:$A$203,A156,Frozen_Predictions!$L$4:$L$203,"&lt;&gt;",Frozen_Predictions!$L$4:$L$203,"&gt;=0",Frozen_Predictions!$L$4:$L$203,"&lt;=1")=1,COUNTIFS($A$4:$A$203,A156)=1)),"SNAPSHOT NOT VALID",IF(AND(ISNUMBER(I156),I156&gt;=0,I156&lt;=1,ISNUMBER(N156),P156&lt;&gt;"",ISNUMBER(Q156),Q156&gt;=B156,OR(G156="U3.5",G156="U4.5",G156="U5.5")),"SETTLED","PENDING RESULT")),"SNAPSHOT NOT VALID")))</x:f>
      </x:c>
    </x:row>
    <x:row r="157" ht="23" customHeight="1">
      <x:c r="A157" s="175"/>
      <x:c r="B157" s="200" t="str">
        <x:f>IF(A157="","",IFERROR(INDEX(Frozen_Predictions!$C$4:$C$203,MATCH(A157,Frozen_Predictions!$A$4:$A$203,0)),""))</x:f>
      </x:c>
      <x:c r="C157" s="172" t="str">
        <x:f>IF(A157="","",IFERROR(INDEX(Frozen_Predictions!$E$4:$E$203,MATCH(A157,Frozen_Predictions!$A$4:$A$203,0)),""))</x:f>
      </x:c>
      <x:c r="D157" s="172" t="str">
        <x:f>IF(A157="","",IFERROR(INDEX(Frozen_Predictions!$F$4:$F$203,MATCH(A157,Frozen_Predictions!$A$4:$A$203,0)),""))</x:f>
      </x:c>
      <x:c r="E157" s="172" t="str">
        <x:f>IF(A157="","",IFERROR(INDEX(Frozen_Predictions!$G$4:$G$203,MATCH(A157,Frozen_Predictions!$A$4:$A$203,0)),""))</x:f>
      </x:c>
      <x:c r="F157" s="172" t="str">
        <x:f>IF(A157="","",IFERROR(INDEX(Frozen_Predictions!$H$4:$H$203,MATCH(A157,Frozen_Predictions!$A$4:$A$203,0)),""))</x:f>
      </x:c>
      <x:c r="G157" s="172" t="str">
        <x:f>IF(A157="","",IFERROR(INDEX(Frozen_Predictions!$I$4:$I$203,MATCH(A157,Frozen_Predictions!$A$4:$A$203,0)),""))</x:f>
      </x:c>
      <x:c r="H157" s="172" t="str">
        <x:f>IF(A157="","",IFERROR(INDEX(Frozen_Predictions!$J$4:$J$203,MATCH(A157,Frozen_Predictions!$A$4:$A$203,0)),""))</x:f>
      </x:c>
      <x:c r="I157" s="192" t="str">
        <x:f>IF(A157="","",IFERROR(INDEX(Frozen_Predictions!$L$4:$L$203,MATCH(A157,Frozen_Predictions!$A$4:$A$203,0)),""))</x:f>
      </x:c>
      <x:c r="J157" s="172" t="str">
        <x:f>IF(X157&lt;&gt;"SETTLED","",IF(N157&lt;=IF(G157="U3.5",3,IF(G157="U4.5",4,5)),1,0))</x:f>
      </x:c>
      <x:c r="K157" s="195" t="str">
        <x:f>IF(X157&lt;&gt;"SETTLED","",IF(AND(OR(V157="DEFENSIV",V157="PRUDENT",V157="MODERAT",V157="RIDICAT"),ISNUMBER(INDEX(Frozen_Predictions!$Y$4:$Y$203,MATCH(A157,Frozen_Predictions!$A$4:$A$203,0))),INDEX(Frozen_Predictions!$Y$4:$Y$203,MATCH(A157,Frozen_Predictions!$A$4:$A$203,0))&gt;1),IF(J157=1,INDEX(Frozen_Predictions!$Y$4:$Y$203,MATCH(A157,Frozen_Predictions!$A$4:$A$203,0))-1,-1),""))</x:f>
      </x:c>
      <x:c r="L157" s="175"/>
      <x:c r="M157" s="175"/>
      <x:c r="N157" s="172" t="str">
        <x:f>IFERROR(IF(AND(ISNUMBER(L157),ISNUMBER(M157),L157&gt;=0,M157&gt;=0,INT(L157)=L157,INT(M157)=M157),L157+M157,""),"")</x:f>
      </x:c>
      <x:c r="O157" s="172" t="str">
        <x:f>IF(X157&lt;&gt;"SETTLED","",IF(J157=1,"WIN",IF(N157=IF(G157="U3.5",4,IF(G157="U4.5",5,6)),"NEAR TAIL","SEVERE TAIL")))</x:f>
      </x:c>
      <x:c r="P157" s="175"/>
      <x:c r="Q157" s="177"/>
      <x:c r="R157" s="213" t="str">
        <x:f>IF(X157&lt;&gt;"SETTLED","",(I157-J157)^2)</x:f>
      </x:c>
      <x:c r="S157" s="213" t="str">
        <x:f>IF(X157&lt;&gt;"SETTLED","",-(J157*LN(MAX(0.000001,MIN(0.999999,I157)))+(1-J157)*LN(MAX(0.000001,MIN(0.999999,1-I157)))))</x:f>
      </x:c>
      <x:c r="T157" s="172" t="str">
        <x:f>IF(A157="","",IFERROR(INDEX(Frozen_Predictions!$N$4:$N$203,MATCH(A157,Frozen_Predictions!$A$4:$A$203,0)),""))</x:f>
      </x:c>
      <x:c r="U157" s="172" t="str">
        <x:f>IF(A157="","",IFERROR(INDEX(Frozen_Predictions!$O$4:$O$203,MATCH(A157,Frozen_Predictions!$A$4:$A$203,0)),""))</x:f>
      </x:c>
      <x:c r="V157" s="172" t="str">
        <x:f>IF(A157="","",IFERROR(INDEX(Frozen_Predictions!$M$4:$M$203,MATCH(A157,Frozen_Predictions!$A$4:$A$203,0)),""))</x:f>
      </x:c>
      <x:c r="W157" s="175"/>
      <x:c r="X157" s="172" t="str">
        <x:f>IF(A157="","",IF(NOT(COUNTIFS(Frozen_Predictions!$A$4:$A$203,A157)=1),"SNAPSHOT ID INVALID",IFERROR(IF(NOT(AND(INDEX(Frozen_Predictions!$Q$4:$Q$203,MATCH(A157,Frozen_Predictions!$A$4:$A$203,0))="DA",ISNUMBER(INDEX(Frozen_Predictions!$B$4:$B$203,MATCH(A157,Frozen_Predictions!$A$4:$A$203,0))),ISNUMBER(INDEX(Frozen_Predictions!$C$4:$C$203,MATCH(A157,Frozen_Predictions!$A$4:$A$203,0))),INDEX(Frozen_Predictions!$B$4:$B$203,MATCH(A157,Frozen_Predictions!$A$4:$A$203,0))&lt;INDEX(Frozen_Predictions!$C$4:$C$203,MATCH(A157,Frozen_Predictions!$A$4:$A$203,0)),INDEX(Frozen_Predictions!$V$4:$V$203,MATCH(A157,Frozen_Predictions!$A$4:$A$203,0))="READY",INDEX(Frozen_Predictions!$O$4:$O$203,MATCH(A157,Frozen_Predictions!$A$4:$A$203,0))="PASS",INDEX(Frozen_Predictions!$J$4:$J$203,MATCH(A157,Frozen_Predictions!$A$4:$A$203,0))=Under_LineCal_v9!$B$45,COUNTIFS(Frozen_Predictions!$A$4:$A$203,A157,Frozen_Predictions!$L$4:$L$203,"&lt;&gt;",Frozen_Predictions!$L$4:$L$203,"&gt;=0",Frozen_Predictions!$L$4:$L$203,"&lt;=1")=1,COUNTIFS($A$4:$A$203,A157)=1)),"SNAPSHOT NOT VALID",IF(AND(ISNUMBER(I157),I157&gt;=0,I157&lt;=1,ISNUMBER(N157),P157&lt;&gt;"",ISNUMBER(Q157),Q157&gt;=B157,OR(G157="U3.5",G157="U4.5",G157="U5.5")),"SETTLED","PENDING RESULT")),"SNAPSHOT NOT VALID")))</x:f>
      </x:c>
    </x:row>
    <x:row r="158" ht="23" customHeight="1">
      <x:c r="A158" s="175"/>
      <x:c r="B158" s="200" t="str">
        <x:f>IF(A158="","",IFERROR(INDEX(Frozen_Predictions!$C$4:$C$203,MATCH(A158,Frozen_Predictions!$A$4:$A$203,0)),""))</x:f>
      </x:c>
      <x:c r="C158" s="172" t="str">
        <x:f>IF(A158="","",IFERROR(INDEX(Frozen_Predictions!$E$4:$E$203,MATCH(A158,Frozen_Predictions!$A$4:$A$203,0)),""))</x:f>
      </x:c>
      <x:c r="D158" s="172" t="str">
        <x:f>IF(A158="","",IFERROR(INDEX(Frozen_Predictions!$F$4:$F$203,MATCH(A158,Frozen_Predictions!$A$4:$A$203,0)),""))</x:f>
      </x:c>
      <x:c r="E158" s="172" t="str">
        <x:f>IF(A158="","",IFERROR(INDEX(Frozen_Predictions!$G$4:$G$203,MATCH(A158,Frozen_Predictions!$A$4:$A$203,0)),""))</x:f>
      </x:c>
      <x:c r="F158" s="172" t="str">
        <x:f>IF(A158="","",IFERROR(INDEX(Frozen_Predictions!$H$4:$H$203,MATCH(A158,Frozen_Predictions!$A$4:$A$203,0)),""))</x:f>
      </x:c>
      <x:c r="G158" s="172" t="str">
        <x:f>IF(A158="","",IFERROR(INDEX(Frozen_Predictions!$I$4:$I$203,MATCH(A158,Frozen_Predictions!$A$4:$A$203,0)),""))</x:f>
      </x:c>
      <x:c r="H158" s="172" t="str">
        <x:f>IF(A158="","",IFERROR(INDEX(Frozen_Predictions!$J$4:$J$203,MATCH(A158,Frozen_Predictions!$A$4:$A$203,0)),""))</x:f>
      </x:c>
      <x:c r="I158" s="192" t="str">
        <x:f>IF(A158="","",IFERROR(INDEX(Frozen_Predictions!$L$4:$L$203,MATCH(A158,Frozen_Predictions!$A$4:$A$203,0)),""))</x:f>
      </x:c>
      <x:c r="J158" s="172" t="str">
        <x:f>IF(X158&lt;&gt;"SETTLED","",IF(N158&lt;=IF(G158="U3.5",3,IF(G158="U4.5",4,5)),1,0))</x:f>
      </x:c>
      <x:c r="K158" s="195" t="str">
        <x:f>IF(X158&lt;&gt;"SETTLED","",IF(AND(OR(V158="DEFENSIV",V158="PRUDENT",V158="MODERAT",V158="RIDICAT"),ISNUMBER(INDEX(Frozen_Predictions!$Y$4:$Y$203,MATCH(A158,Frozen_Predictions!$A$4:$A$203,0))),INDEX(Frozen_Predictions!$Y$4:$Y$203,MATCH(A158,Frozen_Predictions!$A$4:$A$203,0))&gt;1),IF(J158=1,INDEX(Frozen_Predictions!$Y$4:$Y$203,MATCH(A158,Frozen_Predictions!$A$4:$A$203,0))-1,-1),""))</x:f>
      </x:c>
      <x:c r="L158" s="175"/>
      <x:c r="M158" s="175"/>
      <x:c r="N158" s="172" t="str">
        <x:f>IFERROR(IF(AND(ISNUMBER(L158),ISNUMBER(M158),L158&gt;=0,M158&gt;=0,INT(L158)=L158,INT(M158)=M158),L158+M158,""),"")</x:f>
      </x:c>
      <x:c r="O158" s="172" t="str">
        <x:f>IF(X158&lt;&gt;"SETTLED","",IF(J158=1,"WIN",IF(N158=IF(G158="U3.5",4,IF(G158="U4.5",5,6)),"NEAR TAIL","SEVERE TAIL")))</x:f>
      </x:c>
      <x:c r="P158" s="175"/>
      <x:c r="Q158" s="177"/>
      <x:c r="R158" s="213" t="str">
        <x:f>IF(X158&lt;&gt;"SETTLED","",(I158-J158)^2)</x:f>
      </x:c>
      <x:c r="S158" s="213" t="str">
        <x:f>IF(X158&lt;&gt;"SETTLED","",-(J158*LN(MAX(0.000001,MIN(0.999999,I158)))+(1-J158)*LN(MAX(0.000001,MIN(0.999999,1-I158)))))</x:f>
      </x:c>
      <x:c r="T158" s="172" t="str">
        <x:f>IF(A158="","",IFERROR(INDEX(Frozen_Predictions!$N$4:$N$203,MATCH(A158,Frozen_Predictions!$A$4:$A$203,0)),""))</x:f>
      </x:c>
      <x:c r="U158" s="172" t="str">
        <x:f>IF(A158="","",IFERROR(INDEX(Frozen_Predictions!$O$4:$O$203,MATCH(A158,Frozen_Predictions!$A$4:$A$203,0)),""))</x:f>
      </x:c>
      <x:c r="V158" s="172" t="str">
        <x:f>IF(A158="","",IFERROR(INDEX(Frozen_Predictions!$M$4:$M$203,MATCH(A158,Frozen_Predictions!$A$4:$A$203,0)),""))</x:f>
      </x:c>
      <x:c r="W158" s="175"/>
      <x:c r="X158" s="172" t="str">
        <x:f>IF(A158="","",IF(NOT(COUNTIFS(Frozen_Predictions!$A$4:$A$203,A158)=1),"SNAPSHOT ID INVALID",IFERROR(IF(NOT(AND(INDEX(Frozen_Predictions!$Q$4:$Q$203,MATCH(A158,Frozen_Predictions!$A$4:$A$203,0))="DA",ISNUMBER(INDEX(Frozen_Predictions!$B$4:$B$203,MATCH(A158,Frozen_Predictions!$A$4:$A$203,0))),ISNUMBER(INDEX(Frozen_Predictions!$C$4:$C$203,MATCH(A158,Frozen_Predictions!$A$4:$A$203,0))),INDEX(Frozen_Predictions!$B$4:$B$203,MATCH(A158,Frozen_Predictions!$A$4:$A$203,0))&lt;INDEX(Frozen_Predictions!$C$4:$C$203,MATCH(A158,Frozen_Predictions!$A$4:$A$203,0)),INDEX(Frozen_Predictions!$V$4:$V$203,MATCH(A158,Frozen_Predictions!$A$4:$A$203,0))="READY",INDEX(Frozen_Predictions!$O$4:$O$203,MATCH(A158,Frozen_Predictions!$A$4:$A$203,0))="PASS",INDEX(Frozen_Predictions!$J$4:$J$203,MATCH(A158,Frozen_Predictions!$A$4:$A$203,0))=Under_LineCal_v9!$B$45,COUNTIFS(Frozen_Predictions!$A$4:$A$203,A158,Frozen_Predictions!$L$4:$L$203,"&lt;&gt;",Frozen_Predictions!$L$4:$L$203,"&gt;=0",Frozen_Predictions!$L$4:$L$203,"&lt;=1")=1,COUNTIFS($A$4:$A$203,A158)=1)),"SNAPSHOT NOT VALID",IF(AND(ISNUMBER(I158),I158&gt;=0,I158&lt;=1,ISNUMBER(N158),P158&lt;&gt;"",ISNUMBER(Q158),Q158&gt;=B158,OR(G158="U3.5",G158="U4.5",G158="U5.5")),"SETTLED","PENDING RESULT")),"SNAPSHOT NOT VALID")))</x:f>
      </x:c>
    </x:row>
    <x:row r="159" ht="23" customHeight="1">
      <x:c r="A159" s="175"/>
      <x:c r="B159" s="200" t="str">
        <x:f>IF(A159="","",IFERROR(INDEX(Frozen_Predictions!$C$4:$C$203,MATCH(A159,Frozen_Predictions!$A$4:$A$203,0)),""))</x:f>
      </x:c>
      <x:c r="C159" s="172" t="str">
        <x:f>IF(A159="","",IFERROR(INDEX(Frozen_Predictions!$E$4:$E$203,MATCH(A159,Frozen_Predictions!$A$4:$A$203,0)),""))</x:f>
      </x:c>
      <x:c r="D159" s="172" t="str">
        <x:f>IF(A159="","",IFERROR(INDEX(Frozen_Predictions!$F$4:$F$203,MATCH(A159,Frozen_Predictions!$A$4:$A$203,0)),""))</x:f>
      </x:c>
      <x:c r="E159" s="172" t="str">
        <x:f>IF(A159="","",IFERROR(INDEX(Frozen_Predictions!$G$4:$G$203,MATCH(A159,Frozen_Predictions!$A$4:$A$203,0)),""))</x:f>
      </x:c>
      <x:c r="F159" s="172" t="str">
        <x:f>IF(A159="","",IFERROR(INDEX(Frozen_Predictions!$H$4:$H$203,MATCH(A159,Frozen_Predictions!$A$4:$A$203,0)),""))</x:f>
      </x:c>
      <x:c r="G159" s="172" t="str">
        <x:f>IF(A159="","",IFERROR(INDEX(Frozen_Predictions!$I$4:$I$203,MATCH(A159,Frozen_Predictions!$A$4:$A$203,0)),""))</x:f>
      </x:c>
      <x:c r="H159" s="172" t="str">
        <x:f>IF(A159="","",IFERROR(INDEX(Frozen_Predictions!$J$4:$J$203,MATCH(A159,Frozen_Predictions!$A$4:$A$203,0)),""))</x:f>
      </x:c>
      <x:c r="I159" s="192" t="str">
        <x:f>IF(A159="","",IFERROR(INDEX(Frozen_Predictions!$L$4:$L$203,MATCH(A159,Frozen_Predictions!$A$4:$A$203,0)),""))</x:f>
      </x:c>
      <x:c r="J159" s="172" t="str">
        <x:f>IF(X159&lt;&gt;"SETTLED","",IF(N159&lt;=IF(G159="U3.5",3,IF(G159="U4.5",4,5)),1,0))</x:f>
      </x:c>
      <x:c r="K159" s="195" t="str">
        <x:f>IF(X159&lt;&gt;"SETTLED","",IF(AND(OR(V159="DEFENSIV",V159="PRUDENT",V159="MODERAT",V159="RIDICAT"),ISNUMBER(INDEX(Frozen_Predictions!$Y$4:$Y$203,MATCH(A159,Frozen_Predictions!$A$4:$A$203,0))),INDEX(Frozen_Predictions!$Y$4:$Y$203,MATCH(A159,Frozen_Predictions!$A$4:$A$203,0))&gt;1),IF(J159=1,INDEX(Frozen_Predictions!$Y$4:$Y$203,MATCH(A159,Frozen_Predictions!$A$4:$A$203,0))-1,-1),""))</x:f>
      </x:c>
      <x:c r="L159" s="175"/>
      <x:c r="M159" s="175"/>
      <x:c r="N159" s="172" t="str">
        <x:f>IFERROR(IF(AND(ISNUMBER(L159),ISNUMBER(M159),L159&gt;=0,M159&gt;=0,INT(L159)=L159,INT(M159)=M159),L159+M159,""),"")</x:f>
      </x:c>
      <x:c r="O159" s="172" t="str">
        <x:f>IF(X159&lt;&gt;"SETTLED","",IF(J159=1,"WIN",IF(N159=IF(G159="U3.5",4,IF(G159="U4.5",5,6)),"NEAR TAIL","SEVERE TAIL")))</x:f>
      </x:c>
      <x:c r="P159" s="175"/>
      <x:c r="Q159" s="177"/>
      <x:c r="R159" s="213" t="str">
        <x:f>IF(X159&lt;&gt;"SETTLED","",(I159-J159)^2)</x:f>
      </x:c>
      <x:c r="S159" s="213" t="str">
        <x:f>IF(X159&lt;&gt;"SETTLED","",-(J159*LN(MAX(0.000001,MIN(0.999999,I159)))+(1-J159)*LN(MAX(0.000001,MIN(0.999999,1-I159)))))</x:f>
      </x:c>
      <x:c r="T159" s="172" t="str">
        <x:f>IF(A159="","",IFERROR(INDEX(Frozen_Predictions!$N$4:$N$203,MATCH(A159,Frozen_Predictions!$A$4:$A$203,0)),""))</x:f>
      </x:c>
      <x:c r="U159" s="172" t="str">
        <x:f>IF(A159="","",IFERROR(INDEX(Frozen_Predictions!$O$4:$O$203,MATCH(A159,Frozen_Predictions!$A$4:$A$203,0)),""))</x:f>
      </x:c>
      <x:c r="V159" s="172" t="str">
        <x:f>IF(A159="","",IFERROR(INDEX(Frozen_Predictions!$M$4:$M$203,MATCH(A159,Frozen_Predictions!$A$4:$A$203,0)),""))</x:f>
      </x:c>
      <x:c r="W159" s="175"/>
      <x:c r="X159" s="172" t="str">
        <x:f>IF(A159="","",IF(NOT(COUNTIFS(Frozen_Predictions!$A$4:$A$203,A159)=1),"SNAPSHOT ID INVALID",IFERROR(IF(NOT(AND(INDEX(Frozen_Predictions!$Q$4:$Q$203,MATCH(A159,Frozen_Predictions!$A$4:$A$203,0))="DA",ISNUMBER(INDEX(Frozen_Predictions!$B$4:$B$203,MATCH(A159,Frozen_Predictions!$A$4:$A$203,0))),ISNUMBER(INDEX(Frozen_Predictions!$C$4:$C$203,MATCH(A159,Frozen_Predictions!$A$4:$A$203,0))),INDEX(Frozen_Predictions!$B$4:$B$203,MATCH(A159,Frozen_Predictions!$A$4:$A$203,0))&lt;INDEX(Frozen_Predictions!$C$4:$C$203,MATCH(A159,Frozen_Predictions!$A$4:$A$203,0)),INDEX(Frozen_Predictions!$V$4:$V$203,MATCH(A159,Frozen_Predictions!$A$4:$A$203,0))="READY",INDEX(Frozen_Predictions!$O$4:$O$203,MATCH(A159,Frozen_Predictions!$A$4:$A$203,0))="PASS",INDEX(Frozen_Predictions!$J$4:$J$203,MATCH(A159,Frozen_Predictions!$A$4:$A$203,0))=Under_LineCal_v9!$B$45,COUNTIFS(Frozen_Predictions!$A$4:$A$203,A159,Frozen_Predictions!$L$4:$L$203,"&lt;&gt;",Frozen_Predictions!$L$4:$L$203,"&gt;=0",Frozen_Predictions!$L$4:$L$203,"&lt;=1")=1,COUNTIFS($A$4:$A$203,A159)=1)),"SNAPSHOT NOT VALID",IF(AND(ISNUMBER(I159),I159&gt;=0,I159&lt;=1,ISNUMBER(N159),P159&lt;&gt;"",ISNUMBER(Q159),Q159&gt;=B159,OR(G159="U3.5",G159="U4.5",G159="U5.5")),"SETTLED","PENDING RESULT")),"SNAPSHOT NOT VALID")))</x:f>
      </x:c>
    </x:row>
    <x:row r="160" ht="23" customHeight="1">
      <x:c r="A160" s="175"/>
      <x:c r="B160" s="200" t="str">
        <x:f>IF(A160="","",IFERROR(INDEX(Frozen_Predictions!$C$4:$C$203,MATCH(A160,Frozen_Predictions!$A$4:$A$203,0)),""))</x:f>
      </x:c>
      <x:c r="C160" s="172" t="str">
        <x:f>IF(A160="","",IFERROR(INDEX(Frozen_Predictions!$E$4:$E$203,MATCH(A160,Frozen_Predictions!$A$4:$A$203,0)),""))</x:f>
      </x:c>
      <x:c r="D160" s="172" t="str">
        <x:f>IF(A160="","",IFERROR(INDEX(Frozen_Predictions!$F$4:$F$203,MATCH(A160,Frozen_Predictions!$A$4:$A$203,0)),""))</x:f>
      </x:c>
      <x:c r="E160" s="172" t="str">
        <x:f>IF(A160="","",IFERROR(INDEX(Frozen_Predictions!$G$4:$G$203,MATCH(A160,Frozen_Predictions!$A$4:$A$203,0)),""))</x:f>
      </x:c>
      <x:c r="F160" s="172" t="str">
        <x:f>IF(A160="","",IFERROR(INDEX(Frozen_Predictions!$H$4:$H$203,MATCH(A160,Frozen_Predictions!$A$4:$A$203,0)),""))</x:f>
      </x:c>
      <x:c r="G160" s="172" t="str">
        <x:f>IF(A160="","",IFERROR(INDEX(Frozen_Predictions!$I$4:$I$203,MATCH(A160,Frozen_Predictions!$A$4:$A$203,0)),""))</x:f>
      </x:c>
      <x:c r="H160" s="172" t="str">
        <x:f>IF(A160="","",IFERROR(INDEX(Frozen_Predictions!$J$4:$J$203,MATCH(A160,Frozen_Predictions!$A$4:$A$203,0)),""))</x:f>
      </x:c>
      <x:c r="I160" s="192" t="str">
        <x:f>IF(A160="","",IFERROR(INDEX(Frozen_Predictions!$L$4:$L$203,MATCH(A160,Frozen_Predictions!$A$4:$A$203,0)),""))</x:f>
      </x:c>
      <x:c r="J160" s="172" t="str">
        <x:f>IF(X160&lt;&gt;"SETTLED","",IF(N160&lt;=IF(G160="U3.5",3,IF(G160="U4.5",4,5)),1,0))</x:f>
      </x:c>
      <x:c r="K160" s="195" t="str">
        <x:f>IF(X160&lt;&gt;"SETTLED","",IF(AND(OR(V160="DEFENSIV",V160="PRUDENT",V160="MODERAT",V160="RIDICAT"),ISNUMBER(INDEX(Frozen_Predictions!$Y$4:$Y$203,MATCH(A160,Frozen_Predictions!$A$4:$A$203,0))),INDEX(Frozen_Predictions!$Y$4:$Y$203,MATCH(A160,Frozen_Predictions!$A$4:$A$203,0))&gt;1),IF(J160=1,INDEX(Frozen_Predictions!$Y$4:$Y$203,MATCH(A160,Frozen_Predictions!$A$4:$A$203,0))-1,-1),""))</x:f>
      </x:c>
      <x:c r="L160" s="175"/>
      <x:c r="M160" s="175"/>
      <x:c r="N160" s="172" t="str">
        <x:f>IFERROR(IF(AND(ISNUMBER(L160),ISNUMBER(M160),L160&gt;=0,M160&gt;=0,INT(L160)=L160,INT(M160)=M160),L160+M160,""),"")</x:f>
      </x:c>
      <x:c r="O160" s="172" t="str">
        <x:f>IF(X160&lt;&gt;"SETTLED","",IF(J160=1,"WIN",IF(N160=IF(G160="U3.5",4,IF(G160="U4.5",5,6)),"NEAR TAIL","SEVERE TAIL")))</x:f>
      </x:c>
      <x:c r="P160" s="175"/>
      <x:c r="Q160" s="177"/>
      <x:c r="R160" s="213" t="str">
        <x:f>IF(X160&lt;&gt;"SETTLED","",(I160-J160)^2)</x:f>
      </x:c>
      <x:c r="S160" s="213" t="str">
        <x:f>IF(X160&lt;&gt;"SETTLED","",-(J160*LN(MAX(0.000001,MIN(0.999999,I160)))+(1-J160)*LN(MAX(0.000001,MIN(0.999999,1-I160)))))</x:f>
      </x:c>
      <x:c r="T160" s="172" t="str">
        <x:f>IF(A160="","",IFERROR(INDEX(Frozen_Predictions!$N$4:$N$203,MATCH(A160,Frozen_Predictions!$A$4:$A$203,0)),""))</x:f>
      </x:c>
      <x:c r="U160" s="172" t="str">
        <x:f>IF(A160="","",IFERROR(INDEX(Frozen_Predictions!$O$4:$O$203,MATCH(A160,Frozen_Predictions!$A$4:$A$203,0)),""))</x:f>
      </x:c>
      <x:c r="V160" s="172" t="str">
        <x:f>IF(A160="","",IFERROR(INDEX(Frozen_Predictions!$M$4:$M$203,MATCH(A160,Frozen_Predictions!$A$4:$A$203,0)),""))</x:f>
      </x:c>
      <x:c r="W160" s="175"/>
      <x:c r="X160" s="172" t="str">
        <x:f>IF(A160="","",IF(NOT(COUNTIFS(Frozen_Predictions!$A$4:$A$203,A160)=1),"SNAPSHOT ID INVALID",IFERROR(IF(NOT(AND(INDEX(Frozen_Predictions!$Q$4:$Q$203,MATCH(A160,Frozen_Predictions!$A$4:$A$203,0))="DA",ISNUMBER(INDEX(Frozen_Predictions!$B$4:$B$203,MATCH(A160,Frozen_Predictions!$A$4:$A$203,0))),ISNUMBER(INDEX(Frozen_Predictions!$C$4:$C$203,MATCH(A160,Frozen_Predictions!$A$4:$A$203,0))),INDEX(Frozen_Predictions!$B$4:$B$203,MATCH(A160,Frozen_Predictions!$A$4:$A$203,0))&lt;INDEX(Frozen_Predictions!$C$4:$C$203,MATCH(A160,Frozen_Predictions!$A$4:$A$203,0)),INDEX(Frozen_Predictions!$V$4:$V$203,MATCH(A160,Frozen_Predictions!$A$4:$A$203,0))="READY",INDEX(Frozen_Predictions!$O$4:$O$203,MATCH(A160,Frozen_Predictions!$A$4:$A$203,0))="PASS",INDEX(Frozen_Predictions!$J$4:$J$203,MATCH(A160,Frozen_Predictions!$A$4:$A$203,0))=Under_LineCal_v9!$B$45,COUNTIFS(Frozen_Predictions!$A$4:$A$203,A160,Frozen_Predictions!$L$4:$L$203,"&lt;&gt;",Frozen_Predictions!$L$4:$L$203,"&gt;=0",Frozen_Predictions!$L$4:$L$203,"&lt;=1")=1,COUNTIFS($A$4:$A$203,A160)=1)),"SNAPSHOT NOT VALID",IF(AND(ISNUMBER(I160),I160&gt;=0,I160&lt;=1,ISNUMBER(N160),P160&lt;&gt;"",ISNUMBER(Q160),Q160&gt;=B160,OR(G160="U3.5",G160="U4.5",G160="U5.5")),"SETTLED","PENDING RESULT")),"SNAPSHOT NOT VALID")))</x:f>
      </x:c>
    </x:row>
    <x:row r="161" ht="23" customHeight="1">
      <x:c r="A161" s="175"/>
      <x:c r="B161" s="200" t="str">
        <x:f>IF(A161="","",IFERROR(INDEX(Frozen_Predictions!$C$4:$C$203,MATCH(A161,Frozen_Predictions!$A$4:$A$203,0)),""))</x:f>
      </x:c>
      <x:c r="C161" s="172" t="str">
        <x:f>IF(A161="","",IFERROR(INDEX(Frozen_Predictions!$E$4:$E$203,MATCH(A161,Frozen_Predictions!$A$4:$A$203,0)),""))</x:f>
      </x:c>
      <x:c r="D161" s="172" t="str">
        <x:f>IF(A161="","",IFERROR(INDEX(Frozen_Predictions!$F$4:$F$203,MATCH(A161,Frozen_Predictions!$A$4:$A$203,0)),""))</x:f>
      </x:c>
      <x:c r="E161" s="172" t="str">
        <x:f>IF(A161="","",IFERROR(INDEX(Frozen_Predictions!$G$4:$G$203,MATCH(A161,Frozen_Predictions!$A$4:$A$203,0)),""))</x:f>
      </x:c>
      <x:c r="F161" s="172" t="str">
        <x:f>IF(A161="","",IFERROR(INDEX(Frozen_Predictions!$H$4:$H$203,MATCH(A161,Frozen_Predictions!$A$4:$A$203,0)),""))</x:f>
      </x:c>
      <x:c r="G161" s="172" t="str">
        <x:f>IF(A161="","",IFERROR(INDEX(Frozen_Predictions!$I$4:$I$203,MATCH(A161,Frozen_Predictions!$A$4:$A$203,0)),""))</x:f>
      </x:c>
      <x:c r="H161" s="172" t="str">
        <x:f>IF(A161="","",IFERROR(INDEX(Frozen_Predictions!$J$4:$J$203,MATCH(A161,Frozen_Predictions!$A$4:$A$203,0)),""))</x:f>
      </x:c>
      <x:c r="I161" s="192" t="str">
        <x:f>IF(A161="","",IFERROR(INDEX(Frozen_Predictions!$L$4:$L$203,MATCH(A161,Frozen_Predictions!$A$4:$A$203,0)),""))</x:f>
      </x:c>
      <x:c r="J161" s="172" t="str">
        <x:f>IF(X161&lt;&gt;"SETTLED","",IF(N161&lt;=IF(G161="U3.5",3,IF(G161="U4.5",4,5)),1,0))</x:f>
      </x:c>
      <x:c r="K161" s="195" t="str">
        <x:f>IF(X161&lt;&gt;"SETTLED","",IF(AND(OR(V161="DEFENSIV",V161="PRUDENT",V161="MODERAT",V161="RIDICAT"),ISNUMBER(INDEX(Frozen_Predictions!$Y$4:$Y$203,MATCH(A161,Frozen_Predictions!$A$4:$A$203,0))),INDEX(Frozen_Predictions!$Y$4:$Y$203,MATCH(A161,Frozen_Predictions!$A$4:$A$203,0))&gt;1),IF(J161=1,INDEX(Frozen_Predictions!$Y$4:$Y$203,MATCH(A161,Frozen_Predictions!$A$4:$A$203,0))-1,-1),""))</x:f>
      </x:c>
      <x:c r="L161" s="175"/>
      <x:c r="M161" s="175"/>
      <x:c r="N161" s="172" t="str">
        <x:f>IFERROR(IF(AND(ISNUMBER(L161),ISNUMBER(M161),L161&gt;=0,M161&gt;=0,INT(L161)=L161,INT(M161)=M161),L161+M161,""),"")</x:f>
      </x:c>
      <x:c r="O161" s="172" t="str">
        <x:f>IF(X161&lt;&gt;"SETTLED","",IF(J161=1,"WIN",IF(N161=IF(G161="U3.5",4,IF(G161="U4.5",5,6)),"NEAR TAIL","SEVERE TAIL")))</x:f>
      </x:c>
      <x:c r="P161" s="175"/>
      <x:c r="Q161" s="177"/>
      <x:c r="R161" s="213" t="str">
        <x:f>IF(X161&lt;&gt;"SETTLED","",(I161-J161)^2)</x:f>
      </x:c>
      <x:c r="S161" s="213" t="str">
        <x:f>IF(X161&lt;&gt;"SETTLED","",-(J161*LN(MAX(0.000001,MIN(0.999999,I161)))+(1-J161)*LN(MAX(0.000001,MIN(0.999999,1-I161)))))</x:f>
      </x:c>
      <x:c r="T161" s="172" t="str">
        <x:f>IF(A161="","",IFERROR(INDEX(Frozen_Predictions!$N$4:$N$203,MATCH(A161,Frozen_Predictions!$A$4:$A$203,0)),""))</x:f>
      </x:c>
      <x:c r="U161" s="172" t="str">
        <x:f>IF(A161="","",IFERROR(INDEX(Frozen_Predictions!$O$4:$O$203,MATCH(A161,Frozen_Predictions!$A$4:$A$203,0)),""))</x:f>
      </x:c>
      <x:c r="V161" s="172" t="str">
        <x:f>IF(A161="","",IFERROR(INDEX(Frozen_Predictions!$M$4:$M$203,MATCH(A161,Frozen_Predictions!$A$4:$A$203,0)),""))</x:f>
      </x:c>
      <x:c r="W161" s="175"/>
      <x:c r="X161" s="172" t="str">
        <x:f>IF(A161="","",IF(NOT(COUNTIFS(Frozen_Predictions!$A$4:$A$203,A161)=1),"SNAPSHOT ID INVALID",IFERROR(IF(NOT(AND(INDEX(Frozen_Predictions!$Q$4:$Q$203,MATCH(A161,Frozen_Predictions!$A$4:$A$203,0))="DA",ISNUMBER(INDEX(Frozen_Predictions!$B$4:$B$203,MATCH(A161,Frozen_Predictions!$A$4:$A$203,0))),ISNUMBER(INDEX(Frozen_Predictions!$C$4:$C$203,MATCH(A161,Frozen_Predictions!$A$4:$A$203,0))),INDEX(Frozen_Predictions!$B$4:$B$203,MATCH(A161,Frozen_Predictions!$A$4:$A$203,0))&lt;INDEX(Frozen_Predictions!$C$4:$C$203,MATCH(A161,Frozen_Predictions!$A$4:$A$203,0)),INDEX(Frozen_Predictions!$V$4:$V$203,MATCH(A161,Frozen_Predictions!$A$4:$A$203,0))="READY",INDEX(Frozen_Predictions!$O$4:$O$203,MATCH(A161,Frozen_Predictions!$A$4:$A$203,0))="PASS",INDEX(Frozen_Predictions!$J$4:$J$203,MATCH(A161,Frozen_Predictions!$A$4:$A$203,0))=Under_LineCal_v9!$B$45,COUNTIFS(Frozen_Predictions!$A$4:$A$203,A161,Frozen_Predictions!$L$4:$L$203,"&lt;&gt;",Frozen_Predictions!$L$4:$L$203,"&gt;=0",Frozen_Predictions!$L$4:$L$203,"&lt;=1")=1,COUNTIFS($A$4:$A$203,A161)=1)),"SNAPSHOT NOT VALID",IF(AND(ISNUMBER(I161),I161&gt;=0,I161&lt;=1,ISNUMBER(N161),P161&lt;&gt;"",ISNUMBER(Q161),Q161&gt;=B161,OR(G161="U3.5",G161="U4.5",G161="U5.5")),"SETTLED","PENDING RESULT")),"SNAPSHOT NOT VALID")))</x:f>
      </x:c>
    </x:row>
    <x:row r="162" ht="23" customHeight="1">
      <x:c r="A162" s="175"/>
      <x:c r="B162" s="200" t="str">
        <x:f>IF(A162="","",IFERROR(INDEX(Frozen_Predictions!$C$4:$C$203,MATCH(A162,Frozen_Predictions!$A$4:$A$203,0)),""))</x:f>
      </x:c>
      <x:c r="C162" s="172" t="str">
        <x:f>IF(A162="","",IFERROR(INDEX(Frozen_Predictions!$E$4:$E$203,MATCH(A162,Frozen_Predictions!$A$4:$A$203,0)),""))</x:f>
      </x:c>
      <x:c r="D162" s="172" t="str">
        <x:f>IF(A162="","",IFERROR(INDEX(Frozen_Predictions!$F$4:$F$203,MATCH(A162,Frozen_Predictions!$A$4:$A$203,0)),""))</x:f>
      </x:c>
      <x:c r="E162" s="172" t="str">
        <x:f>IF(A162="","",IFERROR(INDEX(Frozen_Predictions!$G$4:$G$203,MATCH(A162,Frozen_Predictions!$A$4:$A$203,0)),""))</x:f>
      </x:c>
      <x:c r="F162" s="172" t="str">
        <x:f>IF(A162="","",IFERROR(INDEX(Frozen_Predictions!$H$4:$H$203,MATCH(A162,Frozen_Predictions!$A$4:$A$203,0)),""))</x:f>
      </x:c>
      <x:c r="G162" s="172" t="str">
        <x:f>IF(A162="","",IFERROR(INDEX(Frozen_Predictions!$I$4:$I$203,MATCH(A162,Frozen_Predictions!$A$4:$A$203,0)),""))</x:f>
      </x:c>
      <x:c r="H162" s="172" t="str">
        <x:f>IF(A162="","",IFERROR(INDEX(Frozen_Predictions!$J$4:$J$203,MATCH(A162,Frozen_Predictions!$A$4:$A$203,0)),""))</x:f>
      </x:c>
      <x:c r="I162" s="192" t="str">
        <x:f>IF(A162="","",IFERROR(INDEX(Frozen_Predictions!$L$4:$L$203,MATCH(A162,Frozen_Predictions!$A$4:$A$203,0)),""))</x:f>
      </x:c>
      <x:c r="J162" s="172" t="str">
        <x:f>IF(X162&lt;&gt;"SETTLED","",IF(N162&lt;=IF(G162="U3.5",3,IF(G162="U4.5",4,5)),1,0))</x:f>
      </x:c>
      <x:c r="K162" s="195" t="str">
        <x:f>IF(X162&lt;&gt;"SETTLED","",IF(AND(OR(V162="DEFENSIV",V162="PRUDENT",V162="MODERAT",V162="RIDICAT"),ISNUMBER(INDEX(Frozen_Predictions!$Y$4:$Y$203,MATCH(A162,Frozen_Predictions!$A$4:$A$203,0))),INDEX(Frozen_Predictions!$Y$4:$Y$203,MATCH(A162,Frozen_Predictions!$A$4:$A$203,0))&gt;1),IF(J162=1,INDEX(Frozen_Predictions!$Y$4:$Y$203,MATCH(A162,Frozen_Predictions!$A$4:$A$203,0))-1,-1),""))</x:f>
      </x:c>
      <x:c r="L162" s="175"/>
      <x:c r="M162" s="175"/>
      <x:c r="N162" s="172" t="str">
        <x:f>IFERROR(IF(AND(ISNUMBER(L162),ISNUMBER(M162),L162&gt;=0,M162&gt;=0,INT(L162)=L162,INT(M162)=M162),L162+M162,""),"")</x:f>
      </x:c>
      <x:c r="O162" s="172" t="str">
        <x:f>IF(X162&lt;&gt;"SETTLED","",IF(J162=1,"WIN",IF(N162=IF(G162="U3.5",4,IF(G162="U4.5",5,6)),"NEAR TAIL","SEVERE TAIL")))</x:f>
      </x:c>
      <x:c r="P162" s="175"/>
      <x:c r="Q162" s="177"/>
      <x:c r="R162" s="213" t="str">
        <x:f>IF(X162&lt;&gt;"SETTLED","",(I162-J162)^2)</x:f>
      </x:c>
      <x:c r="S162" s="213" t="str">
        <x:f>IF(X162&lt;&gt;"SETTLED","",-(J162*LN(MAX(0.000001,MIN(0.999999,I162)))+(1-J162)*LN(MAX(0.000001,MIN(0.999999,1-I162)))))</x:f>
      </x:c>
      <x:c r="T162" s="172" t="str">
        <x:f>IF(A162="","",IFERROR(INDEX(Frozen_Predictions!$N$4:$N$203,MATCH(A162,Frozen_Predictions!$A$4:$A$203,0)),""))</x:f>
      </x:c>
      <x:c r="U162" s="172" t="str">
        <x:f>IF(A162="","",IFERROR(INDEX(Frozen_Predictions!$O$4:$O$203,MATCH(A162,Frozen_Predictions!$A$4:$A$203,0)),""))</x:f>
      </x:c>
      <x:c r="V162" s="172" t="str">
        <x:f>IF(A162="","",IFERROR(INDEX(Frozen_Predictions!$M$4:$M$203,MATCH(A162,Frozen_Predictions!$A$4:$A$203,0)),""))</x:f>
      </x:c>
      <x:c r="W162" s="175"/>
      <x:c r="X162" s="172" t="str">
        <x:f>IF(A162="","",IF(NOT(COUNTIFS(Frozen_Predictions!$A$4:$A$203,A162)=1),"SNAPSHOT ID INVALID",IFERROR(IF(NOT(AND(INDEX(Frozen_Predictions!$Q$4:$Q$203,MATCH(A162,Frozen_Predictions!$A$4:$A$203,0))="DA",ISNUMBER(INDEX(Frozen_Predictions!$B$4:$B$203,MATCH(A162,Frozen_Predictions!$A$4:$A$203,0))),ISNUMBER(INDEX(Frozen_Predictions!$C$4:$C$203,MATCH(A162,Frozen_Predictions!$A$4:$A$203,0))),INDEX(Frozen_Predictions!$B$4:$B$203,MATCH(A162,Frozen_Predictions!$A$4:$A$203,0))&lt;INDEX(Frozen_Predictions!$C$4:$C$203,MATCH(A162,Frozen_Predictions!$A$4:$A$203,0)),INDEX(Frozen_Predictions!$V$4:$V$203,MATCH(A162,Frozen_Predictions!$A$4:$A$203,0))="READY",INDEX(Frozen_Predictions!$O$4:$O$203,MATCH(A162,Frozen_Predictions!$A$4:$A$203,0))="PASS",INDEX(Frozen_Predictions!$J$4:$J$203,MATCH(A162,Frozen_Predictions!$A$4:$A$203,0))=Under_LineCal_v9!$B$45,COUNTIFS(Frozen_Predictions!$A$4:$A$203,A162,Frozen_Predictions!$L$4:$L$203,"&lt;&gt;",Frozen_Predictions!$L$4:$L$203,"&gt;=0",Frozen_Predictions!$L$4:$L$203,"&lt;=1")=1,COUNTIFS($A$4:$A$203,A162)=1)),"SNAPSHOT NOT VALID",IF(AND(ISNUMBER(I162),I162&gt;=0,I162&lt;=1,ISNUMBER(N162),P162&lt;&gt;"",ISNUMBER(Q162),Q162&gt;=B162,OR(G162="U3.5",G162="U4.5",G162="U5.5")),"SETTLED","PENDING RESULT")),"SNAPSHOT NOT VALID")))</x:f>
      </x:c>
    </x:row>
    <x:row r="163" ht="23" customHeight="1">
      <x:c r="A163" s="175"/>
      <x:c r="B163" s="200" t="str">
        <x:f>IF(A163="","",IFERROR(INDEX(Frozen_Predictions!$C$4:$C$203,MATCH(A163,Frozen_Predictions!$A$4:$A$203,0)),""))</x:f>
      </x:c>
      <x:c r="C163" s="172" t="str">
        <x:f>IF(A163="","",IFERROR(INDEX(Frozen_Predictions!$E$4:$E$203,MATCH(A163,Frozen_Predictions!$A$4:$A$203,0)),""))</x:f>
      </x:c>
      <x:c r="D163" s="172" t="str">
        <x:f>IF(A163="","",IFERROR(INDEX(Frozen_Predictions!$F$4:$F$203,MATCH(A163,Frozen_Predictions!$A$4:$A$203,0)),""))</x:f>
      </x:c>
      <x:c r="E163" s="172" t="str">
        <x:f>IF(A163="","",IFERROR(INDEX(Frozen_Predictions!$G$4:$G$203,MATCH(A163,Frozen_Predictions!$A$4:$A$203,0)),""))</x:f>
      </x:c>
      <x:c r="F163" s="172" t="str">
        <x:f>IF(A163="","",IFERROR(INDEX(Frozen_Predictions!$H$4:$H$203,MATCH(A163,Frozen_Predictions!$A$4:$A$203,0)),""))</x:f>
      </x:c>
      <x:c r="G163" s="172" t="str">
        <x:f>IF(A163="","",IFERROR(INDEX(Frozen_Predictions!$I$4:$I$203,MATCH(A163,Frozen_Predictions!$A$4:$A$203,0)),""))</x:f>
      </x:c>
      <x:c r="H163" s="172" t="str">
        <x:f>IF(A163="","",IFERROR(INDEX(Frozen_Predictions!$J$4:$J$203,MATCH(A163,Frozen_Predictions!$A$4:$A$203,0)),""))</x:f>
      </x:c>
      <x:c r="I163" s="192" t="str">
        <x:f>IF(A163="","",IFERROR(INDEX(Frozen_Predictions!$L$4:$L$203,MATCH(A163,Frozen_Predictions!$A$4:$A$203,0)),""))</x:f>
      </x:c>
      <x:c r="J163" s="172" t="str">
        <x:f>IF(X163&lt;&gt;"SETTLED","",IF(N163&lt;=IF(G163="U3.5",3,IF(G163="U4.5",4,5)),1,0))</x:f>
      </x:c>
      <x:c r="K163" s="195" t="str">
        <x:f>IF(X163&lt;&gt;"SETTLED","",IF(AND(OR(V163="DEFENSIV",V163="PRUDENT",V163="MODERAT",V163="RIDICAT"),ISNUMBER(INDEX(Frozen_Predictions!$Y$4:$Y$203,MATCH(A163,Frozen_Predictions!$A$4:$A$203,0))),INDEX(Frozen_Predictions!$Y$4:$Y$203,MATCH(A163,Frozen_Predictions!$A$4:$A$203,0))&gt;1),IF(J163=1,INDEX(Frozen_Predictions!$Y$4:$Y$203,MATCH(A163,Frozen_Predictions!$A$4:$A$203,0))-1,-1),""))</x:f>
      </x:c>
      <x:c r="L163" s="175"/>
      <x:c r="M163" s="175"/>
      <x:c r="N163" s="172" t="str">
        <x:f>IFERROR(IF(AND(ISNUMBER(L163),ISNUMBER(M163),L163&gt;=0,M163&gt;=0,INT(L163)=L163,INT(M163)=M163),L163+M163,""),"")</x:f>
      </x:c>
      <x:c r="O163" s="172" t="str">
        <x:f>IF(X163&lt;&gt;"SETTLED","",IF(J163=1,"WIN",IF(N163=IF(G163="U3.5",4,IF(G163="U4.5",5,6)),"NEAR TAIL","SEVERE TAIL")))</x:f>
      </x:c>
      <x:c r="P163" s="175"/>
      <x:c r="Q163" s="177"/>
      <x:c r="R163" s="213" t="str">
        <x:f>IF(X163&lt;&gt;"SETTLED","",(I163-J163)^2)</x:f>
      </x:c>
      <x:c r="S163" s="213" t="str">
        <x:f>IF(X163&lt;&gt;"SETTLED","",-(J163*LN(MAX(0.000001,MIN(0.999999,I163)))+(1-J163)*LN(MAX(0.000001,MIN(0.999999,1-I163)))))</x:f>
      </x:c>
      <x:c r="T163" s="172" t="str">
        <x:f>IF(A163="","",IFERROR(INDEX(Frozen_Predictions!$N$4:$N$203,MATCH(A163,Frozen_Predictions!$A$4:$A$203,0)),""))</x:f>
      </x:c>
      <x:c r="U163" s="172" t="str">
        <x:f>IF(A163="","",IFERROR(INDEX(Frozen_Predictions!$O$4:$O$203,MATCH(A163,Frozen_Predictions!$A$4:$A$203,0)),""))</x:f>
      </x:c>
      <x:c r="V163" s="172" t="str">
        <x:f>IF(A163="","",IFERROR(INDEX(Frozen_Predictions!$M$4:$M$203,MATCH(A163,Frozen_Predictions!$A$4:$A$203,0)),""))</x:f>
      </x:c>
      <x:c r="W163" s="175"/>
      <x:c r="X163" s="172" t="str">
        <x:f>IF(A163="","",IF(NOT(COUNTIFS(Frozen_Predictions!$A$4:$A$203,A163)=1),"SNAPSHOT ID INVALID",IFERROR(IF(NOT(AND(INDEX(Frozen_Predictions!$Q$4:$Q$203,MATCH(A163,Frozen_Predictions!$A$4:$A$203,0))="DA",ISNUMBER(INDEX(Frozen_Predictions!$B$4:$B$203,MATCH(A163,Frozen_Predictions!$A$4:$A$203,0))),ISNUMBER(INDEX(Frozen_Predictions!$C$4:$C$203,MATCH(A163,Frozen_Predictions!$A$4:$A$203,0))),INDEX(Frozen_Predictions!$B$4:$B$203,MATCH(A163,Frozen_Predictions!$A$4:$A$203,0))&lt;INDEX(Frozen_Predictions!$C$4:$C$203,MATCH(A163,Frozen_Predictions!$A$4:$A$203,0)),INDEX(Frozen_Predictions!$V$4:$V$203,MATCH(A163,Frozen_Predictions!$A$4:$A$203,0))="READY",INDEX(Frozen_Predictions!$O$4:$O$203,MATCH(A163,Frozen_Predictions!$A$4:$A$203,0))="PASS",INDEX(Frozen_Predictions!$J$4:$J$203,MATCH(A163,Frozen_Predictions!$A$4:$A$203,0))=Under_LineCal_v9!$B$45,COUNTIFS(Frozen_Predictions!$A$4:$A$203,A163,Frozen_Predictions!$L$4:$L$203,"&lt;&gt;",Frozen_Predictions!$L$4:$L$203,"&gt;=0",Frozen_Predictions!$L$4:$L$203,"&lt;=1")=1,COUNTIFS($A$4:$A$203,A163)=1)),"SNAPSHOT NOT VALID",IF(AND(ISNUMBER(I163),I163&gt;=0,I163&lt;=1,ISNUMBER(N163),P163&lt;&gt;"",ISNUMBER(Q163),Q163&gt;=B163,OR(G163="U3.5",G163="U4.5",G163="U5.5")),"SETTLED","PENDING RESULT")),"SNAPSHOT NOT VALID")))</x:f>
      </x:c>
    </x:row>
    <x:row r="164" ht="23" customHeight="1">
      <x:c r="A164" s="175"/>
      <x:c r="B164" s="200" t="str">
        <x:f>IF(A164="","",IFERROR(INDEX(Frozen_Predictions!$C$4:$C$203,MATCH(A164,Frozen_Predictions!$A$4:$A$203,0)),""))</x:f>
      </x:c>
      <x:c r="C164" s="172" t="str">
        <x:f>IF(A164="","",IFERROR(INDEX(Frozen_Predictions!$E$4:$E$203,MATCH(A164,Frozen_Predictions!$A$4:$A$203,0)),""))</x:f>
      </x:c>
      <x:c r="D164" s="172" t="str">
        <x:f>IF(A164="","",IFERROR(INDEX(Frozen_Predictions!$F$4:$F$203,MATCH(A164,Frozen_Predictions!$A$4:$A$203,0)),""))</x:f>
      </x:c>
      <x:c r="E164" s="172" t="str">
        <x:f>IF(A164="","",IFERROR(INDEX(Frozen_Predictions!$G$4:$G$203,MATCH(A164,Frozen_Predictions!$A$4:$A$203,0)),""))</x:f>
      </x:c>
      <x:c r="F164" s="172" t="str">
        <x:f>IF(A164="","",IFERROR(INDEX(Frozen_Predictions!$H$4:$H$203,MATCH(A164,Frozen_Predictions!$A$4:$A$203,0)),""))</x:f>
      </x:c>
      <x:c r="G164" s="172" t="str">
        <x:f>IF(A164="","",IFERROR(INDEX(Frozen_Predictions!$I$4:$I$203,MATCH(A164,Frozen_Predictions!$A$4:$A$203,0)),""))</x:f>
      </x:c>
      <x:c r="H164" s="172" t="str">
        <x:f>IF(A164="","",IFERROR(INDEX(Frozen_Predictions!$J$4:$J$203,MATCH(A164,Frozen_Predictions!$A$4:$A$203,0)),""))</x:f>
      </x:c>
      <x:c r="I164" s="192" t="str">
        <x:f>IF(A164="","",IFERROR(INDEX(Frozen_Predictions!$L$4:$L$203,MATCH(A164,Frozen_Predictions!$A$4:$A$203,0)),""))</x:f>
      </x:c>
      <x:c r="J164" s="172" t="str">
        <x:f>IF(X164&lt;&gt;"SETTLED","",IF(N164&lt;=IF(G164="U3.5",3,IF(G164="U4.5",4,5)),1,0))</x:f>
      </x:c>
      <x:c r="K164" s="195" t="str">
        <x:f>IF(X164&lt;&gt;"SETTLED","",IF(AND(OR(V164="DEFENSIV",V164="PRUDENT",V164="MODERAT",V164="RIDICAT"),ISNUMBER(INDEX(Frozen_Predictions!$Y$4:$Y$203,MATCH(A164,Frozen_Predictions!$A$4:$A$203,0))),INDEX(Frozen_Predictions!$Y$4:$Y$203,MATCH(A164,Frozen_Predictions!$A$4:$A$203,0))&gt;1),IF(J164=1,INDEX(Frozen_Predictions!$Y$4:$Y$203,MATCH(A164,Frozen_Predictions!$A$4:$A$203,0))-1,-1),""))</x:f>
      </x:c>
      <x:c r="L164" s="175"/>
      <x:c r="M164" s="175"/>
      <x:c r="N164" s="172" t="str">
        <x:f>IFERROR(IF(AND(ISNUMBER(L164),ISNUMBER(M164),L164&gt;=0,M164&gt;=0,INT(L164)=L164,INT(M164)=M164),L164+M164,""),"")</x:f>
      </x:c>
      <x:c r="O164" s="172" t="str">
        <x:f>IF(X164&lt;&gt;"SETTLED","",IF(J164=1,"WIN",IF(N164=IF(G164="U3.5",4,IF(G164="U4.5",5,6)),"NEAR TAIL","SEVERE TAIL")))</x:f>
      </x:c>
      <x:c r="P164" s="175"/>
      <x:c r="Q164" s="177"/>
      <x:c r="R164" s="213" t="str">
        <x:f>IF(X164&lt;&gt;"SETTLED","",(I164-J164)^2)</x:f>
      </x:c>
      <x:c r="S164" s="213" t="str">
        <x:f>IF(X164&lt;&gt;"SETTLED","",-(J164*LN(MAX(0.000001,MIN(0.999999,I164)))+(1-J164)*LN(MAX(0.000001,MIN(0.999999,1-I164)))))</x:f>
      </x:c>
      <x:c r="T164" s="172" t="str">
        <x:f>IF(A164="","",IFERROR(INDEX(Frozen_Predictions!$N$4:$N$203,MATCH(A164,Frozen_Predictions!$A$4:$A$203,0)),""))</x:f>
      </x:c>
      <x:c r="U164" s="172" t="str">
        <x:f>IF(A164="","",IFERROR(INDEX(Frozen_Predictions!$O$4:$O$203,MATCH(A164,Frozen_Predictions!$A$4:$A$203,0)),""))</x:f>
      </x:c>
      <x:c r="V164" s="172" t="str">
        <x:f>IF(A164="","",IFERROR(INDEX(Frozen_Predictions!$M$4:$M$203,MATCH(A164,Frozen_Predictions!$A$4:$A$203,0)),""))</x:f>
      </x:c>
      <x:c r="W164" s="175"/>
      <x:c r="X164" s="172" t="str">
        <x:f>IF(A164="","",IF(NOT(COUNTIFS(Frozen_Predictions!$A$4:$A$203,A164)=1),"SNAPSHOT ID INVALID",IFERROR(IF(NOT(AND(INDEX(Frozen_Predictions!$Q$4:$Q$203,MATCH(A164,Frozen_Predictions!$A$4:$A$203,0))="DA",ISNUMBER(INDEX(Frozen_Predictions!$B$4:$B$203,MATCH(A164,Frozen_Predictions!$A$4:$A$203,0))),ISNUMBER(INDEX(Frozen_Predictions!$C$4:$C$203,MATCH(A164,Frozen_Predictions!$A$4:$A$203,0))),INDEX(Frozen_Predictions!$B$4:$B$203,MATCH(A164,Frozen_Predictions!$A$4:$A$203,0))&lt;INDEX(Frozen_Predictions!$C$4:$C$203,MATCH(A164,Frozen_Predictions!$A$4:$A$203,0)),INDEX(Frozen_Predictions!$V$4:$V$203,MATCH(A164,Frozen_Predictions!$A$4:$A$203,0))="READY",INDEX(Frozen_Predictions!$O$4:$O$203,MATCH(A164,Frozen_Predictions!$A$4:$A$203,0))="PASS",INDEX(Frozen_Predictions!$J$4:$J$203,MATCH(A164,Frozen_Predictions!$A$4:$A$203,0))=Under_LineCal_v9!$B$45,COUNTIFS(Frozen_Predictions!$A$4:$A$203,A164,Frozen_Predictions!$L$4:$L$203,"&lt;&gt;",Frozen_Predictions!$L$4:$L$203,"&gt;=0",Frozen_Predictions!$L$4:$L$203,"&lt;=1")=1,COUNTIFS($A$4:$A$203,A164)=1)),"SNAPSHOT NOT VALID",IF(AND(ISNUMBER(I164),I164&gt;=0,I164&lt;=1,ISNUMBER(N164),P164&lt;&gt;"",ISNUMBER(Q164),Q164&gt;=B164,OR(G164="U3.5",G164="U4.5",G164="U5.5")),"SETTLED","PENDING RESULT")),"SNAPSHOT NOT VALID")))</x:f>
      </x:c>
    </x:row>
    <x:row r="165" ht="23" customHeight="1">
      <x:c r="A165" s="175"/>
      <x:c r="B165" s="200" t="str">
        <x:f>IF(A165="","",IFERROR(INDEX(Frozen_Predictions!$C$4:$C$203,MATCH(A165,Frozen_Predictions!$A$4:$A$203,0)),""))</x:f>
      </x:c>
      <x:c r="C165" s="172" t="str">
        <x:f>IF(A165="","",IFERROR(INDEX(Frozen_Predictions!$E$4:$E$203,MATCH(A165,Frozen_Predictions!$A$4:$A$203,0)),""))</x:f>
      </x:c>
      <x:c r="D165" s="172" t="str">
        <x:f>IF(A165="","",IFERROR(INDEX(Frozen_Predictions!$F$4:$F$203,MATCH(A165,Frozen_Predictions!$A$4:$A$203,0)),""))</x:f>
      </x:c>
      <x:c r="E165" s="172" t="str">
        <x:f>IF(A165="","",IFERROR(INDEX(Frozen_Predictions!$G$4:$G$203,MATCH(A165,Frozen_Predictions!$A$4:$A$203,0)),""))</x:f>
      </x:c>
      <x:c r="F165" s="172" t="str">
        <x:f>IF(A165="","",IFERROR(INDEX(Frozen_Predictions!$H$4:$H$203,MATCH(A165,Frozen_Predictions!$A$4:$A$203,0)),""))</x:f>
      </x:c>
      <x:c r="G165" s="172" t="str">
        <x:f>IF(A165="","",IFERROR(INDEX(Frozen_Predictions!$I$4:$I$203,MATCH(A165,Frozen_Predictions!$A$4:$A$203,0)),""))</x:f>
      </x:c>
      <x:c r="H165" s="172" t="str">
        <x:f>IF(A165="","",IFERROR(INDEX(Frozen_Predictions!$J$4:$J$203,MATCH(A165,Frozen_Predictions!$A$4:$A$203,0)),""))</x:f>
      </x:c>
      <x:c r="I165" s="192" t="str">
        <x:f>IF(A165="","",IFERROR(INDEX(Frozen_Predictions!$L$4:$L$203,MATCH(A165,Frozen_Predictions!$A$4:$A$203,0)),""))</x:f>
      </x:c>
      <x:c r="J165" s="172" t="str">
        <x:f>IF(X165&lt;&gt;"SETTLED","",IF(N165&lt;=IF(G165="U3.5",3,IF(G165="U4.5",4,5)),1,0))</x:f>
      </x:c>
      <x:c r="K165" s="195" t="str">
        <x:f>IF(X165&lt;&gt;"SETTLED","",IF(AND(OR(V165="DEFENSIV",V165="PRUDENT",V165="MODERAT",V165="RIDICAT"),ISNUMBER(INDEX(Frozen_Predictions!$Y$4:$Y$203,MATCH(A165,Frozen_Predictions!$A$4:$A$203,0))),INDEX(Frozen_Predictions!$Y$4:$Y$203,MATCH(A165,Frozen_Predictions!$A$4:$A$203,0))&gt;1),IF(J165=1,INDEX(Frozen_Predictions!$Y$4:$Y$203,MATCH(A165,Frozen_Predictions!$A$4:$A$203,0))-1,-1),""))</x:f>
      </x:c>
      <x:c r="L165" s="175"/>
      <x:c r="M165" s="175"/>
      <x:c r="N165" s="172" t="str">
        <x:f>IFERROR(IF(AND(ISNUMBER(L165),ISNUMBER(M165),L165&gt;=0,M165&gt;=0,INT(L165)=L165,INT(M165)=M165),L165+M165,""),"")</x:f>
      </x:c>
      <x:c r="O165" s="172" t="str">
        <x:f>IF(X165&lt;&gt;"SETTLED","",IF(J165=1,"WIN",IF(N165=IF(G165="U3.5",4,IF(G165="U4.5",5,6)),"NEAR TAIL","SEVERE TAIL")))</x:f>
      </x:c>
      <x:c r="P165" s="175"/>
      <x:c r="Q165" s="177"/>
      <x:c r="R165" s="213" t="str">
        <x:f>IF(X165&lt;&gt;"SETTLED","",(I165-J165)^2)</x:f>
      </x:c>
      <x:c r="S165" s="213" t="str">
        <x:f>IF(X165&lt;&gt;"SETTLED","",-(J165*LN(MAX(0.000001,MIN(0.999999,I165)))+(1-J165)*LN(MAX(0.000001,MIN(0.999999,1-I165)))))</x:f>
      </x:c>
      <x:c r="T165" s="172" t="str">
        <x:f>IF(A165="","",IFERROR(INDEX(Frozen_Predictions!$N$4:$N$203,MATCH(A165,Frozen_Predictions!$A$4:$A$203,0)),""))</x:f>
      </x:c>
      <x:c r="U165" s="172" t="str">
        <x:f>IF(A165="","",IFERROR(INDEX(Frozen_Predictions!$O$4:$O$203,MATCH(A165,Frozen_Predictions!$A$4:$A$203,0)),""))</x:f>
      </x:c>
      <x:c r="V165" s="172" t="str">
        <x:f>IF(A165="","",IFERROR(INDEX(Frozen_Predictions!$M$4:$M$203,MATCH(A165,Frozen_Predictions!$A$4:$A$203,0)),""))</x:f>
      </x:c>
      <x:c r="W165" s="175"/>
      <x:c r="X165" s="172" t="str">
        <x:f>IF(A165="","",IF(NOT(COUNTIFS(Frozen_Predictions!$A$4:$A$203,A165)=1),"SNAPSHOT ID INVALID",IFERROR(IF(NOT(AND(INDEX(Frozen_Predictions!$Q$4:$Q$203,MATCH(A165,Frozen_Predictions!$A$4:$A$203,0))="DA",ISNUMBER(INDEX(Frozen_Predictions!$B$4:$B$203,MATCH(A165,Frozen_Predictions!$A$4:$A$203,0))),ISNUMBER(INDEX(Frozen_Predictions!$C$4:$C$203,MATCH(A165,Frozen_Predictions!$A$4:$A$203,0))),INDEX(Frozen_Predictions!$B$4:$B$203,MATCH(A165,Frozen_Predictions!$A$4:$A$203,0))&lt;INDEX(Frozen_Predictions!$C$4:$C$203,MATCH(A165,Frozen_Predictions!$A$4:$A$203,0)),INDEX(Frozen_Predictions!$V$4:$V$203,MATCH(A165,Frozen_Predictions!$A$4:$A$203,0))="READY",INDEX(Frozen_Predictions!$O$4:$O$203,MATCH(A165,Frozen_Predictions!$A$4:$A$203,0))="PASS",INDEX(Frozen_Predictions!$J$4:$J$203,MATCH(A165,Frozen_Predictions!$A$4:$A$203,0))=Under_LineCal_v9!$B$45,COUNTIFS(Frozen_Predictions!$A$4:$A$203,A165,Frozen_Predictions!$L$4:$L$203,"&lt;&gt;",Frozen_Predictions!$L$4:$L$203,"&gt;=0",Frozen_Predictions!$L$4:$L$203,"&lt;=1")=1,COUNTIFS($A$4:$A$203,A165)=1)),"SNAPSHOT NOT VALID",IF(AND(ISNUMBER(I165),I165&gt;=0,I165&lt;=1,ISNUMBER(N165),P165&lt;&gt;"",ISNUMBER(Q165),Q165&gt;=B165,OR(G165="U3.5",G165="U4.5",G165="U5.5")),"SETTLED","PENDING RESULT")),"SNAPSHOT NOT VALID")))</x:f>
      </x:c>
    </x:row>
    <x:row r="166" ht="23" customHeight="1">
      <x:c r="A166" s="175"/>
      <x:c r="B166" s="200" t="str">
        <x:f>IF(A166="","",IFERROR(INDEX(Frozen_Predictions!$C$4:$C$203,MATCH(A166,Frozen_Predictions!$A$4:$A$203,0)),""))</x:f>
      </x:c>
      <x:c r="C166" s="172" t="str">
        <x:f>IF(A166="","",IFERROR(INDEX(Frozen_Predictions!$E$4:$E$203,MATCH(A166,Frozen_Predictions!$A$4:$A$203,0)),""))</x:f>
      </x:c>
      <x:c r="D166" s="172" t="str">
        <x:f>IF(A166="","",IFERROR(INDEX(Frozen_Predictions!$F$4:$F$203,MATCH(A166,Frozen_Predictions!$A$4:$A$203,0)),""))</x:f>
      </x:c>
      <x:c r="E166" s="172" t="str">
        <x:f>IF(A166="","",IFERROR(INDEX(Frozen_Predictions!$G$4:$G$203,MATCH(A166,Frozen_Predictions!$A$4:$A$203,0)),""))</x:f>
      </x:c>
      <x:c r="F166" s="172" t="str">
        <x:f>IF(A166="","",IFERROR(INDEX(Frozen_Predictions!$H$4:$H$203,MATCH(A166,Frozen_Predictions!$A$4:$A$203,0)),""))</x:f>
      </x:c>
      <x:c r="G166" s="172" t="str">
        <x:f>IF(A166="","",IFERROR(INDEX(Frozen_Predictions!$I$4:$I$203,MATCH(A166,Frozen_Predictions!$A$4:$A$203,0)),""))</x:f>
      </x:c>
      <x:c r="H166" s="172" t="str">
        <x:f>IF(A166="","",IFERROR(INDEX(Frozen_Predictions!$J$4:$J$203,MATCH(A166,Frozen_Predictions!$A$4:$A$203,0)),""))</x:f>
      </x:c>
      <x:c r="I166" s="192" t="str">
        <x:f>IF(A166="","",IFERROR(INDEX(Frozen_Predictions!$L$4:$L$203,MATCH(A166,Frozen_Predictions!$A$4:$A$203,0)),""))</x:f>
      </x:c>
      <x:c r="J166" s="172" t="str">
        <x:f>IF(X166&lt;&gt;"SETTLED","",IF(N166&lt;=IF(G166="U3.5",3,IF(G166="U4.5",4,5)),1,0))</x:f>
      </x:c>
      <x:c r="K166" s="195" t="str">
        <x:f>IF(X166&lt;&gt;"SETTLED","",IF(AND(OR(V166="DEFENSIV",V166="PRUDENT",V166="MODERAT",V166="RIDICAT"),ISNUMBER(INDEX(Frozen_Predictions!$Y$4:$Y$203,MATCH(A166,Frozen_Predictions!$A$4:$A$203,0))),INDEX(Frozen_Predictions!$Y$4:$Y$203,MATCH(A166,Frozen_Predictions!$A$4:$A$203,0))&gt;1),IF(J166=1,INDEX(Frozen_Predictions!$Y$4:$Y$203,MATCH(A166,Frozen_Predictions!$A$4:$A$203,0))-1,-1),""))</x:f>
      </x:c>
      <x:c r="L166" s="175"/>
      <x:c r="M166" s="175"/>
      <x:c r="N166" s="172" t="str">
        <x:f>IFERROR(IF(AND(ISNUMBER(L166),ISNUMBER(M166),L166&gt;=0,M166&gt;=0,INT(L166)=L166,INT(M166)=M166),L166+M166,""),"")</x:f>
      </x:c>
      <x:c r="O166" s="172" t="str">
        <x:f>IF(X166&lt;&gt;"SETTLED","",IF(J166=1,"WIN",IF(N166=IF(G166="U3.5",4,IF(G166="U4.5",5,6)),"NEAR TAIL","SEVERE TAIL")))</x:f>
      </x:c>
      <x:c r="P166" s="175"/>
      <x:c r="Q166" s="177"/>
      <x:c r="R166" s="213" t="str">
        <x:f>IF(X166&lt;&gt;"SETTLED","",(I166-J166)^2)</x:f>
      </x:c>
      <x:c r="S166" s="213" t="str">
        <x:f>IF(X166&lt;&gt;"SETTLED","",-(J166*LN(MAX(0.000001,MIN(0.999999,I166)))+(1-J166)*LN(MAX(0.000001,MIN(0.999999,1-I166)))))</x:f>
      </x:c>
      <x:c r="T166" s="172" t="str">
        <x:f>IF(A166="","",IFERROR(INDEX(Frozen_Predictions!$N$4:$N$203,MATCH(A166,Frozen_Predictions!$A$4:$A$203,0)),""))</x:f>
      </x:c>
      <x:c r="U166" s="172" t="str">
        <x:f>IF(A166="","",IFERROR(INDEX(Frozen_Predictions!$O$4:$O$203,MATCH(A166,Frozen_Predictions!$A$4:$A$203,0)),""))</x:f>
      </x:c>
      <x:c r="V166" s="172" t="str">
        <x:f>IF(A166="","",IFERROR(INDEX(Frozen_Predictions!$M$4:$M$203,MATCH(A166,Frozen_Predictions!$A$4:$A$203,0)),""))</x:f>
      </x:c>
      <x:c r="W166" s="175"/>
      <x:c r="X166" s="172" t="str">
        <x:f>IF(A166="","",IF(NOT(COUNTIFS(Frozen_Predictions!$A$4:$A$203,A166)=1),"SNAPSHOT ID INVALID",IFERROR(IF(NOT(AND(INDEX(Frozen_Predictions!$Q$4:$Q$203,MATCH(A166,Frozen_Predictions!$A$4:$A$203,0))="DA",ISNUMBER(INDEX(Frozen_Predictions!$B$4:$B$203,MATCH(A166,Frozen_Predictions!$A$4:$A$203,0))),ISNUMBER(INDEX(Frozen_Predictions!$C$4:$C$203,MATCH(A166,Frozen_Predictions!$A$4:$A$203,0))),INDEX(Frozen_Predictions!$B$4:$B$203,MATCH(A166,Frozen_Predictions!$A$4:$A$203,0))&lt;INDEX(Frozen_Predictions!$C$4:$C$203,MATCH(A166,Frozen_Predictions!$A$4:$A$203,0)),INDEX(Frozen_Predictions!$V$4:$V$203,MATCH(A166,Frozen_Predictions!$A$4:$A$203,0))="READY",INDEX(Frozen_Predictions!$O$4:$O$203,MATCH(A166,Frozen_Predictions!$A$4:$A$203,0))="PASS",INDEX(Frozen_Predictions!$J$4:$J$203,MATCH(A166,Frozen_Predictions!$A$4:$A$203,0))=Under_LineCal_v9!$B$45,COUNTIFS(Frozen_Predictions!$A$4:$A$203,A166,Frozen_Predictions!$L$4:$L$203,"&lt;&gt;",Frozen_Predictions!$L$4:$L$203,"&gt;=0",Frozen_Predictions!$L$4:$L$203,"&lt;=1")=1,COUNTIFS($A$4:$A$203,A166)=1)),"SNAPSHOT NOT VALID",IF(AND(ISNUMBER(I166),I166&gt;=0,I166&lt;=1,ISNUMBER(N166),P166&lt;&gt;"",ISNUMBER(Q166),Q166&gt;=B166,OR(G166="U3.5",G166="U4.5",G166="U5.5")),"SETTLED","PENDING RESULT")),"SNAPSHOT NOT VALID")))</x:f>
      </x:c>
    </x:row>
    <x:row r="167" ht="23" customHeight="1">
      <x:c r="A167" s="175"/>
      <x:c r="B167" s="200" t="str">
        <x:f>IF(A167="","",IFERROR(INDEX(Frozen_Predictions!$C$4:$C$203,MATCH(A167,Frozen_Predictions!$A$4:$A$203,0)),""))</x:f>
      </x:c>
      <x:c r="C167" s="172" t="str">
        <x:f>IF(A167="","",IFERROR(INDEX(Frozen_Predictions!$E$4:$E$203,MATCH(A167,Frozen_Predictions!$A$4:$A$203,0)),""))</x:f>
      </x:c>
      <x:c r="D167" s="172" t="str">
        <x:f>IF(A167="","",IFERROR(INDEX(Frozen_Predictions!$F$4:$F$203,MATCH(A167,Frozen_Predictions!$A$4:$A$203,0)),""))</x:f>
      </x:c>
      <x:c r="E167" s="172" t="str">
        <x:f>IF(A167="","",IFERROR(INDEX(Frozen_Predictions!$G$4:$G$203,MATCH(A167,Frozen_Predictions!$A$4:$A$203,0)),""))</x:f>
      </x:c>
      <x:c r="F167" s="172" t="str">
        <x:f>IF(A167="","",IFERROR(INDEX(Frozen_Predictions!$H$4:$H$203,MATCH(A167,Frozen_Predictions!$A$4:$A$203,0)),""))</x:f>
      </x:c>
      <x:c r="G167" s="172" t="str">
        <x:f>IF(A167="","",IFERROR(INDEX(Frozen_Predictions!$I$4:$I$203,MATCH(A167,Frozen_Predictions!$A$4:$A$203,0)),""))</x:f>
      </x:c>
      <x:c r="H167" s="172" t="str">
        <x:f>IF(A167="","",IFERROR(INDEX(Frozen_Predictions!$J$4:$J$203,MATCH(A167,Frozen_Predictions!$A$4:$A$203,0)),""))</x:f>
      </x:c>
      <x:c r="I167" s="192" t="str">
        <x:f>IF(A167="","",IFERROR(INDEX(Frozen_Predictions!$L$4:$L$203,MATCH(A167,Frozen_Predictions!$A$4:$A$203,0)),""))</x:f>
      </x:c>
      <x:c r="J167" s="172" t="str">
        <x:f>IF(X167&lt;&gt;"SETTLED","",IF(N167&lt;=IF(G167="U3.5",3,IF(G167="U4.5",4,5)),1,0))</x:f>
      </x:c>
      <x:c r="K167" s="195" t="str">
        <x:f>IF(X167&lt;&gt;"SETTLED","",IF(AND(OR(V167="DEFENSIV",V167="PRUDENT",V167="MODERAT",V167="RIDICAT"),ISNUMBER(INDEX(Frozen_Predictions!$Y$4:$Y$203,MATCH(A167,Frozen_Predictions!$A$4:$A$203,0))),INDEX(Frozen_Predictions!$Y$4:$Y$203,MATCH(A167,Frozen_Predictions!$A$4:$A$203,0))&gt;1),IF(J167=1,INDEX(Frozen_Predictions!$Y$4:$Y$203,MATCH(A167,Frozen_Predictions!$A$4:$A$203,0))-1,-1),""))</x:f>
      </x:c>
      <x:c r="L167" s="175"/>
      <x:c r="M167" s="175"/>
      <x:c r="N167" s="172" t="str">
        <x:f>IFERROR(IF(AND(ISNUMBER(L167),ISNUMBER(M167),L167&gt;=0,M167&gt;=0,INT(L167)=L167,INT(M167)=M167),L167+M167,""),"")</x:f>
      </x:c>
      <x:c r="O167" s="172" t="str">
        <x:f>IF(X167&lt;&gt;"SETTLED","",IF(J167=1,"WIN",IF(N167=IF(G167="U3.5",4,IF(G167="U4.5",5,6)),"NEAR TAIL","SEVERE TAIL")))</x:f>
      </x:c>
      <x:c r="P167" s="175"/>
      <x:c r="Q167" s="177"/>
      <x:c r="R167" s="213" t="str">
        <x:f>IF(X167&lt;&gt;"SETTLED","",(I167-J167)^2)</x:f>
      </x:c>
      <x:c r="S167" s="213" t="str">
        <x:f>IF(X167&lt;&gt;"SETTLED","",-(J167*LN(MAX(0.000001,MIN(0.999999,I167)))+(1-J167)*LN(MAX(0.000001,MIN(0.999999,1-I167)))))</x:f>
      </x:c>
      <x:c r="T167" s="172" t="str">
        <x:f>IF(A167="","",IFERROR(INDEX(Frozen_Predictions!$N$4:$N$203,MATCH(A167,Frozen_Predictions!$A$4:$A$203,0)),""))</x:f>
      </x:c>
      <x:c r="U167" s="172" t="str">
        <x:f>IF(A167="","",IFERROR(INDEX(Frozen_Predictions!$O$4:$O$203,MATCH(A167,Frozen_Predictions!$A$4:$A$203,0)),""))</x:f>
      </x:c>
      <x:c r="V167" s="172" t="str">
        <x:f>IF(A167="","",IFERROR(INDEX(Frozen_Predictions!$M$4:$M$203,MATCH(A167,Frozen_Predictions!$A$4:$A$203,0)),""))</x:f>
      </x:c>
      <x:c r="W167" s="175"/>
      <x:c r="X167" s="172" t="str">
        <x:f>IF(A167="","",IF(NOT(COUNTIFS(Frozen_Predictions!$A$4:$A$203,A167)=1),"SNAPSHOT ID INVALID",IFERROR(IF(NOT(AND(INDEX(Frozen_Predictions!$Q$4:$Q$203,MATCH(A167,Frozen_Predictions!$A$4:$A$203,0))="DA",ISNUMBER(INDEX(Frozen_Predictions!$B$4:$B$203,MATCH(A167,Frozen_Predictions!$A$4:$A$203,0))),ISNUMBER(INDEX(Frozen_Predictions!$C$4:$C$203,MATCH(A167,Frozen_Predictions!$A$4:$A$203,0))),INDEX(Frozen_Predictions!$B$4:$B$203,MATCH(A167,Frozen_Predictions!$A$4:$A$203,0))&lt;INDEX(Frozen_Predictions!$C$4:$C$203,MATCH(A167,Frozen_Predictions!$A$4:$A$203,0)),INDEX(Frozen_Predictions!$V$4:$V$203,MATCH(A167,Frozen_Predictions!$A$4:$A$203,0))="READY",INDEX(Frozen_Predictions!$O$4:$O$203,MATCH(A167,Frozen_Predictions!$A$4:$A$203,0))="PASS",INDEX(Frozen_Predictions!$J$4:$J$203,MATCH(A167,Frozen_Predictions!$A$4:$A$203,0))=Under_LineCal_v9!$B$45,COUNTIFS(Frozen_Predictions!$A$4:$A$203,A167,Frozen_Predictions!$L$4:$L$203,"&lt;&gt;",Frozen_Predictions!$L$4:$L$203,"&gt;=0",Frozen_Predictions!$L$4:$L$203,"&lt;=1")=1,COUNTIFS($A$4:$A$203,A167)=1)),"SNAPSHOT NOT VALID",IF(AND(ISNUMBER(I167),I167&gt;=0,I167&lt;=1,ISNUMBER(N167),P167&lt;&gt;"",ISNUMBER(Q167),Q167&gt;=B167,OR(G167="U3.5",G167="U4.5",G167="U5.5")),"SETTLED","PENDING RESULT")),"SNAPSHOT NOT VALID")))</x:f>
      </x:c>
    </x:row>
    <x:row r="168" ht="23" customHeight="1">
      <x:c r="A168" s="175"/>
      <x:c r="B168" s="200" t="str">
        <x:f>IF(A168="","",IFERROR(INDEX(Frozen_Predictions!$C$4:$C$203,MATCH(A168,Frozen_Predictions!$A$4:$A$203,0)),""))</x:f>
      </x:c>
      <x:c r="C168" s="172" t="str">
        <x:f>IF(A168="","",IFERROR(INDEX(Frozen_Predictions!$E$4:$E$203,MATCH(A168,Frozen_Predictions!$A$4:$A$203,0)),""))</x:f>
      </x:c>
      <x:c r="D168" s="172" t="str">
        <x:f>IF(A168="","",IFERROR(INDEX(Frozen_Predictions!$F$4:$F$203,MATCH(A168,Frozen_Predictions!$A$4:$A$203,0)),""))</x:f>
      </x:c>
      <x:c r="E168" s="172" t="str">
        <x:f>IF(A168="","",IFERROR(INDEX(Frozen_Predictions!$G$4:$G$203,MATCH(A168,Frozen_Predictions!$A$4:$A$203,0)),""))</x:f>
      </x:c>
      <x:c r="F168" s="172" t="str">
        <x:f>IF(A168="","",IFERROR(INDEX(Frozen_Predictions!$H$4:$H$203,MATCH(A168,Frozen_Predictions!$A$4:$A$203,0)),""))</x:f>
      </x:c>
      <x:c r="G168" s="172" t="str">
        <x:f>IF(A168="","",IFERROR(INDEX(Frozen_Predictions!$I$4:$I$203,MATCH(A168,Frozen_Predictions!$A$4:$A$203,0)),""))</x:f>
      </x:c>
      <x:c r="H168" s="172" t="str">
        <x:f>IF(A168="","",IFERROR(INDEX(Frozen_Predictions!$J$4:$J$203,MATCH(A168,Frozen_Predictions!$A$4:$A$203,0)),""))</x:f>
      </x:c>
      <x:c r="I168" s="192" t="str">
        <x:f>IF(A168="","",IFERROR(INDEX(Frozen_Predictions!$L$4:$L$203,MATCH(A168,Frozen_Predictions!$A$4:$A$203,0)),""))</x:f>
      </x:c>
      <x:c r="J168" s="172" t="str">
        <x:f>IF(X168&lt;&gt;"SETTLED","",IF(N168&lt;=IF(G168="U3.5",3,IF(G168="U4.5",4,5)),1,0))</x:f>
      </x:c>
      <x:c r="K168" s="195" t="str">
        <x:f>IF(X168&lt;&gt;"SETTLED","",IF(AND(OR(V168="DEFENSIV",V168="PRUDENT",V168="MODERAT",V168="RIDICAT"),ISNUMBER(INDEX(Frozen_Predictions!$Y$4:$Y$203,MATCH(A168,Frozen_Predictions!$A$4:$A$203,0))),INDEX(Frozen_Predictions!$Y$4:$Y$203,MATCH(A168,Frozen_Predictions!$A$4:$A$203,0))&gt;1),IF(J168=1,INDEX(Frozen_Predictions!$Y$4:$Y$203,MATCH(A168,Frozen_Predictions!$A$4:$A$203,0))-1,-1),""))</x:f>
      </x:c>
      <x:c r="L168" s="175"/>
      <x:c r="M168" s="175"/>
      <x:c r="N168" s="172" t="str">
        <x:f>IFERROR(IF(AND(ISNUMBER(L168),ISNUMBER(M168),L168&gt;=0,M168&gt;=0,INT(L168)=L168,INT(M168)=M168),L168+M168,""),"")</x:f>
      </x:c>
      <x:c r="O168" s="172" t="str">
        <x:f>IF(X168&lt;&gt;"SETTLED","",IF(J168=1,"WIN",IF(N168=IF(G168="U3.5",4,IF(G168="U4.5",5,6)),"NEAR TAIL","SEVERE TAIL")))</x:f>
      </x:c>
      <x:c r="P168" s="175"/>
      <x:c r="Q168" s="177"/>
      <x:c r="R168" s="213" t="str">
        <x:f>IF(X168&lt;&gt;"SETTLED","",(I168-J168)^2)</x:f>
      </x:c>
      <x:c r="S168" s="213" t="str">
        <x:f>IF(X168&lt;&gt;"SETTLED","",-(J168*LN(MAX(0.000001,MIN(0.999999,I168)))+(1-J168)*LN(MAX(0.000001,MIN(0.999999,1-I168)))))</x:f>
      </x:c>
      <x:c r="T168" s="172" t="str">
        <x:f>IF(A168="","",IFERROR(INDEX(Frozen_Predictions!$N$4:$N$203,MATCH(A168,Frozen_Predictions!$A$4:$A$203,0)),""))</x:f>
      </x:c>
      <x:c r="U168" s="172" t="str">
        <x:f>IF(A168="","",IFERROR(INDEX(Frozen_Predictions!$O$4:$O$203,MATCH(A168,Frozen_Predictions!$A$4:$A$203,0)),""))</x:f>
      </x:c>
      <x:c r="V168" s="172" t="str">
        <x:f>IF(A168="","",IFERROR(INDEX(Frozen_Predictions!$M$4:$M$203,MATCH(A168,Frozen_Predictions!$A$4:$A$203,0)),""))</x:f>
      </x:c>
      <x:c r="W168" s="175"/>
      <x:c r="X168" s="172" t="str">
        <x:f>IF(A168="","",IF(NOT(COUNTIFS(Frozen_Predictions!$A$4:$A$203,A168)=1),"SNAPSHOT ID INVALID",IFERROR(IF(NOT(AND(INDEX(Frozen_Predictions!$Q$4:$Q$203,MATCH(A168,Frozen_Predictions!$A$4:$A$203,0))="DA",ISNUMBER(INDEX(Frozen_Predictions!$B$4:$B$203,MATCH(A168,Frozen_Predictions!$A$4:$A$203,0))),ISNUMBER(INDEX(Frozen_Predictions!$C$4:$C$203,MATCH(A168,Frozen_Predictions!$A$4:$A$203,0))),INDEX(Frozen_Predictions!$B$4:$B$203,MATCH(A168,Frozen_Predictions!$A$4:$A$203,0))&lt;INDEX(Frozen_Predictions!$C$4:$C$203,MATCH(A168,Frozen_Predictions!$A$4:$A$203,0)),INDEX(Frozen_Predictions!$V$4:$V$203,MATCH(A168,Frozen_Predictions!$A$4:$A$203,0))="READY",INDEX(Frozen_Predictions!$O$4:$O$203,MATCH(A168,Frozen_Predictions!$A$4:$A$203,0))="PASS",INDEX(Frozen_Predictions!$J$4:$J$203,MATCH(A168,Frozen_Predictions!$A$4:$A$203,0))=Under_LineCal_v9!$B$45,COUNTIFS(Frozen_Predictions!$A$4:$A$203,A168,Frozen_Predictions!$L$4:$L$203,"&lt;&gt;",Frozen_Predictions!$L$4:$L$203,"&gt;=0",Frozen_Predictions!$L$4:$L$203,"&lt;=1")=1,COUNTIFS($A$4:$A$203,A168)=1)),"SNAPSHOT NOT VALID",IF(AND(ISNUMBER(I168),I168&gt;=0,I168&lt;=1,ISNUMBER(N168),P168&lt;&gt;"",ISNUMBER(Q168),Q168&gt;=B168,OR(G168="U3.5",G168="U4.5",G168="U5.5")),"SETTLED","PENDING RESULT")),"SNAPSHOT NOT VALID")))</x:f>
      </x:c>
    </x:row>
    <x:row r="169" ht="23" customHeight="1">
      <x:c r="A169" s="175"/>
      <x:c r="B169" s="200" t="str">
        <x:f>IF(A169="","",IFERROR(INDEX(Frozen_Predictions!$C$4:$C$203,MATCH(A169,Frozen_Predictions!$A$4:$A$203,0)),""))</x:f>
      </x:c>
      <x:c r="C169" s="172" t="str">
        <x:f>IF(A169="","",IFERROR(INDEX(Frozen_Predictions!$E$4:$E$203,MATCH(A169,Frozen_Predictions!$A$4:$A$203,0)),""))</x:f>
      </x:c>
      <x:c r="D169" s="172" t="str">
        <x:f>IF(A169="","",IFERROR(INDEX(Frozen_Predictions!$F$4:$F$203,MATCH(A169,Frozen_Predictions!$A$4:$A$203,0)),""))</x:f>
      </x:c>
      <x:c r="E169" s="172" t="str">
        <x:f>IF(A169="","",IFERROR(INDEX(Frozen_Predictions!$G$4:$G$203,MATCH(A169,Frozen_Predictions!$A$4:$A$203,0)),""))</x:f>
      </x:c>
      <x:c r="F169" s="172" t="str">
        <x:f>IF(A169="","",IFERROR(INDEX(Frozen_Predictions!$H$4:$H$203,MATCH(A169,Frozen_Predictions!$A$4:$A$203,0)),""))</x:f>
      </x:c>
      <x:c r="G169" s="172" t="str">
        <x:f>IF(A169="","",IFERROR(INDEX(Frozen_Predictions!$I$4:$I$203,MATCH(A169,Frozen_Predictions!$A$4:$A$203,0)),""))</x:f>
      </x:c>
      <x:c r="H169" s="172" t="str">
        <x:f>IF(A169="","",IFERROR(INDEX(Frozen_Predictions!$J$4:$J$203,MATCH(A169,Frozen_Predictions!$A$4:$A$203,0)),""))</x:f>
      </x:c>
      <x:c r="I169" s="192" t="str">
        <x:f>IF(A169="","",IFERROR(INDEX(Frozen_Predictions!$L$4:$L$203,MATCH(A169,Frozen_Predictions!$A$4:$A$203,0)),""))</x:f>
      </x:c>
      <x:c r="J169" s="172" t="str">
        <x:f>IF(X169&lt;&gt;"SETTLED","",IF(N169&lt;=IF(G169="U3.5",3,IF(G169="U4.5",4,5)),1,0))</x:f>
      </x:c>
      <x:c r="K169" s="195" t="str">
        <x:f>IF(X169&lt;&gt;"SETTLED","",IF(AND(OR(V169="DEFENSIV",V169="PRUDENT",V169="MODERAT",V169="RIDICAT"),ISNUMBER(INDEX(Frozen_Predictions!$Y$4:$Y$203,MATCH(A169,Frozen_Predictions!$A$4:$A$203,0))),INDEX(Frozen_Predictions!$Y$4:$Y$203,MATCH(A169,Frozen_Predictions!$A$4:$A$203,0))&gt;1),IF(J169=1,INDEX(Frozen_Predictions!$Y$4:$Y$203,MATCH(A169,Frozen_Predictions!$A$4:$A$203,0))-1,-1),""))</x:f>
      </x:c>
      <x:c r="L169" s="175"/>
      <x:c r="M169" s="175"/>
      <x:c r="N169" s="172" t="str">
        <x:f>IFERROR(IF(AND(ISNUMBER(L169),ISNUMBER(M169),L169&gt;=0,M169&gt;=0,INT(L169)=L169,INT(M169)=M169),L169+M169,""),"")</x:f>
      </x:c>
      <x:c r="O169" s="172" t="str">
        <x:f>IF(X169&lt;&gt;"SETTLED","",IF(J169=1,"WIN",IF(N169=IF(G169="U3.5",4,IF(G169="U4.5",5,6)),"NEAR TAIL","SEVERE TAIL")))</x:f>
      </x:c>
      <x:c r="P169" s="175"/>
      <x:c r="Q169" s="177"/>
      <x:c r="R169" s="213" t="str">
        <x:f>IF(X169&lt;&gt;"SETTLED","",(I169-J169)^2)</x:f>
      </x:c>
      <x:c r="S169" s="213" t="str">
        <x:f>IF(X169&lt;&gt;"SETTLED","",-(J169*LN(MAX(0.000001,MIN(0.999999,I169)))+(1-J169)*LN(MAX(0.000001,MIN(0.999999,1-I169)))))</x:f>
      </x:c>
      <x:c r="T169" s="172" t="str">
        <x:f>IF(A169="","",IFERROR(INDEX(Frozen_Predictions!$N$4:$N$203,MATCH(A169,Frozen_Predictions!$A$4:$A$203,0)),""))</x:f>
      </x:c>
      <x:c r="U169" s="172" t="str">
        <x:f>IF(A169="","",IFERROR(INDEX(Frozen_Predictions!$O$4:$O$203,MATCH(A169,Frozen_Predictions!$A$4:$A$203,0)),""))</x:f>
      </x:c>
      <x:c r="V169" s="172" t="str">
        <x:f>IF(A169="","",IFERROR(INDEX(Frozen_Predictions!$M$4:$M$203,MATCH(A169,Frozen_Predictions!$A$4:$A$203,0)),""))</x:f>
      </x:c>
      <x:c r="W169" s="175"/>
      <x:c r="X169" s="172" t="str">
        <x:f>IF(A169="","",IF(NOT(COUNTIFS(Frozen_Predictions!$A$4:$A$203,A169)=1),"SNAPSHOT ID INVALID",IFERROR(IF(NOT(AND(INDEX(Frozen_Predictions!$Q$4:$Q$203,MATCH(A169,Frozen_Predictions!$A$4:$A$203,0))="DA",ISNUMBER(INDEX(Frozen_Predictions!$B$4:$B$203,MATCH(A169,Frozen_Predictions!$A$4:$A$203,0))),ISNUMBER(INDEX(Frozen_Predictions!$C$4:$C$203,MATCH(A169,Frozen_Predictions!$A$4:$A$203,0))),INDEX(Frozen_Predictions!$B$4:$B$203,MATCH(A169,Frozen_Predictions!$A$4:$A$203,0))&lt;INDEX(Frozen_Predictions!$C$4:$C$203,MATCH(A169,Frozen_Predictions!$A$4:$A$203,0)),INDEX(Frozen_Predictions!$V$4:$V$203,MATCH(A169,Frozen_Predictions!$A$4:$A$203,0))="READY",INDEX(Frozen_Predictions!$O$4:$O$203,MATCH(A169,Frozen_Predictions!$A$4:$A$203,0))="PASS",INDEX(Frozen_Predictions!$J$4:$J$203,MATCH(A169,Frozen_Predictions!$A$4:$A$203,0))=Under_LineCal_v9!$B$45,COUNTIFS(Frozen_Predictions!$A$4:$A$203,A169,Frozen_Predictions!$L$4:$L$203,"&lt;&gt;",Frozen_Predictions!$L$4:$L$203,"&gt;=0",Frozen_Predictions!$L$4:$L$203,"&lt;=1")=1,COUNTIFS($A$4:$A$203,A169)=1)),"SNAPSHOT NOT VALID",IF(AND(ISNUMBER(I169),I169&gt;=0,I169&lt;=1,ISNUMBER(N169),P169&lt;&gt;"",ISNUMBER(Q169),Q169&gt;=B169,OR(G169="U3.5",G169="U4.5",G169="U5.5")),"SETTLED","PENDING RESULT")),"SNAPSHOT NOT VALID")))</x:f>
      </x:c>
    </x:row>
    <x:row r="170" ht="23" customHeight="1">
      <x:c r="A170" s="175"/>
      <x:c r="B170" s="200" t="str">
        <x:f>IF(A170="","",IFERROR(INDEX(Frozen_Predictions!$C$4:$C$203,MATCH(A170,Frozen_Predictions!$A$4:$A$203,0)),""))</x:f>
      </x:c>
      <x:c r="C170" s="172" t="str">
        <x:f>IF(A170="","",IFERROR(INDEX(Frozen_Predictions!$E$4:$E$203,MATCH(A170,Frozen_Predictions!$A$4:$A$203,0)),""))</x:f>
      </x:c>
      <x:c r="D170" s="172" t="str">
        <x:f>IF(A170="","",IFERROR(INDEX(Frozen_Predictions!$F$4:$F$203,MATCH(A170,Frozen_Predictions!$A$4:$A$203,0)),""))</x:f>
      </x:c>
      <x:c r="E170" s="172" t="str">
        <x:f>IF(A170="","",IFERROR(INDEX(Frozen_Predictions!$G$4:$G$203,MATCH(A170,Frozen_Predictions!$A$4:$A$203,0)),""))</x:f>
      </x:c>
      <x:c r="F170" s="172" t="str">
        <x:f>IF(A170="","",IFERROR(INDEX(Frozen_Predictions!$H$4:$H$203,MATCH(A170,Frozen_Predictions!$A$4:$A$203,0)),""))</x:f>
      </x:c>
      <x:c r="G170" s="172" t="str">
        <x:f>IF(A170="","",IFERROR(INDEX(Frozen_Predictions!$I$4:$I$203,MATCH(A170,Frozen_Predictions!$A$4:$A$203,0)),""))</x:f>
      </x:c>
      <x:c r="H170" s="172" t="str">
        <x:f>IF(A170="","",IFERROR(INDEX(Frozen_Predictions!$J$4:$J$203,MATCH(A170,Frozen_Predictions!$A$4:$A$203,0)),""))</x:f>
      </x:c>
      <x:c r="I170" s="192" t="str">
        <x:f>IF(A170="","",IFERROR(INDEX(Frozen_Predictions!$L$4:$L$203,MATCH(A170,Frozen_Predictions!$A$4:$A$203,0)),""))</x:f>
      </x:c>
      <x:c r="J170" s="172" t="str">
        <x:f>IF(X170&lt;&gt;"SETTLED","",IF(N170&lt;=IF(G170="U3.5",3,IF(G170="U4.5",4,5)),1,0))</x:f>
      </x:c>
      <x:c r="K170" s="195" t="str">
        <x:f>IF(X170&lt;&gt;"SETTLED","",IF(AND(OR(V170="DEFENSIV",V170="PRUDENT",V170="MODERAT",V170="RIDICAT"),ISNUMBER(INDEX(Frozen_Predictions!$Y$4:$Y$203,MATCH(A170,Frozen_Predictions!$A$4:$A$203,0))),INDEX(Frozen_Predictions!$Y$4:$Y$203,MATCH(A170,Frozen_Predictions!$A$4:$A$203,0))&gt;1),IF(J170=1,INDEX(Frozen_Predictions!$Y$4:$Y$203,MATCH(A170,Frozen_Predictions!$A$4:$A$203,0))-1,-1),""))</x:f>
      </x:c>
      <x:c r="L170" s="175"/>
      <x:c r="M170" s="175"/>
      <x:c r="N170" s="172" t="str">
        <x:f>IFERROR(IF(AND(ISNUMBER(L170),ISNUMBER(M170),L170&gt;=0,M170&gt;=0,INT(L170)=L170,INT(M170)=M170),L170+M170,""),"")</x:f>
      </x:c>
      <x:c r="O170" s="172" t="str">
        <x:f>IF(X170&lt;&gt;"SETTLED","",IF(J170=1,"WIN",IF(N170=IF(G170="U3.5",4,IF(G170="U4.5",5,6)),"NEAR TAIL","SEVERE TAIL")))</x:f>
      </x:c>
      <x:c r="P170" s="175"/>
      <x:c r="Q170" s="177"/>
      <x:c r="R170" s="213" t="str">
        <x:f>IF(X170&lt;&gt;"SETTLED","",(I170-J170)^2)</x:f>
      </x:c>
      <x:c r="S170" s="213" t="str">
        <x:f>IF(X170&lt;&gt;"SETTLED","",-(J170*LN(MAX(0.000001,MIN(0.999999,I170)))+(1-J170)*LN(MAX(0.000001,MIN(0.999999,1-I170)))))</x:f>
      </x:c>
      <x:c r="T170" s="172" t="str">
        <x:f>IF(A170="","",IFERROR(INDEX(Frozen_Predictions!$N$4:$N$203,MATCH(A170,Frozen_Predictions!$A$4:$A$203,0)),""))</x:f>
      </x:c>
      <x:c r="U170" s="172" t="str">
        <x:f>IF(A170="","",IFERROR(INDEX(Frozen_Predictions!$O$4:$O$203,MATCH(A170,Frozen_Predictions!$A$4:$A$203,0)),""))</x:f>
      </x:c>
      <x:c r="V170" s="172" t="str">
        <x:f>IF(A170="","",IFERROR(INDEX(Frozen_Predictions!$M$4:$M$203,MATCH(A170,Frozen_Predictions!$A$4:$A$203,0)),""))</x:f>
      </x:c>
      <x:c r="W170" s="175"/>
      <x:c r="X170" s="172" t="str">
        <x:f>IF(A170="","",IF(NOT(COUNTIFS(Frozen_Predictions!$A$4:$A$203,A170)=1),"SNAPSHOT ID INVALID",IFERROR(IF(NOT(AND(INDEX(Frozen_Predictions!$Q$4:$Q$203,MATCH(A170,Frozen_Predictions!$A$4:$A$203,0))="DA",ISNUMBER(INDEX(Frozen_Predictions!$B$4:$B$203,MATCH(A170,Frozen_Predictions!$A$4:$A$203,0))),ISNUMBER(INDEX(Frozen_Predictions!$C$4:$C$203,MATCH(A170,Frozen_Predictions!$A$4:$A$203,0))),INDEX(Frozen_Predictions!$B$4:$B$203,MATCH(A170,Frozen_Predictions!$A$4:$A$203,0))&lt;INDEX(Frozen_Predictions!$C$4:$C$203,MATCH(A170,Frozen_Predictions!$A$4:$A$203,0)),INDEX(Frozen_Predictions!$V$4:$V$203,MATCH(A170,Frozen_Predictions!$A$4:$A$203,0))="READY",INDEX(Frozen_Predictions!$O$4:$O$203,MATCH(A170,Frozen_Predictions!$A$4:$A$203,0))="PASS",INDEX(Frozen_Predictions!$J$4:$J$203,MATCH(A170,Frozen_Predictions!$A$4:$A$203,0))=Under_LineCal_v9!$B$45,COUNTIFS(Frozen_Predictions!$A$4:$A$203,A170,Frozen_Predictions!$L$4:$L$203,"&lt;&gt;",Frozen_Predictions!$L$4:$L$203,"&gt;=0",Frozen_Predictions!$L$4:$L$203,"&lt;=1")=1,COUNTIFS($A$4:$A$203,A170)=1)),"SNAPSHOT NOT VALID",IF(AND(ISNUMBER(I170),I170&gt;=0,I170&lt;=1,ISNUMBER(N170),P170&lt;&gt;"",ISNUMBER(Q170),Q170&gt;=B170,OR(G170="U3.5",G170="U4.5",G170="U5.5")),"SETTLED","PENDING RESULT")),"SNAPSHOT NOT VALID")))</x:f>
      </x:c>
    </x:row>
    <x:row r="171" ht="23" customHeight="1">
      <x:c r="A171" s="175"/>
      <x:c r="B171" s="200" t="str">
        <x:f>IF(A171="","",IFERROR(INDEX(Frozen_Predictions!$C$4:$C$203,MATCH(A171,Frozen_Predictions!$A$4:$A$203,0)),""))</x:f>
      </x:c>
      <x:c r="C171" s="172" t="str">
        <x:f>IF(A171="","",IFERROR(INDEX(Frozen_Predictions!$E$4:$E$203,MATCH(A171,Frozen_Predictions!$A$4:$A$203,0)),""))</x:f>
      </x:c>
      <x:c r="D171" s="172" t="str">
        <x:f>IF(A171="","",IFERROR(INDEX(Frozen_Predictions!$F$4:$F$203,MATCH(A171,Frozen_Predictions!$A$4:$A$203,0)),""))</x:f>
      </x:c>
      <x:c r="E171" s="172" t="str">
        <x:f>IF(A171="","",IFERROR(INDEX(Frozen_Predictions!$G$4:$G$203,MATCH(A171,Frozen_Predictions!$A$4:$A$203,0)),""))</x:f>
      </x:c>
      <x:c r="F171" s="172" t="str">
        <x:f>IF(A171="","",IFERROR(INDEX(Frozen_Predictions!$H$4:$H$203,MATCH(A171,Frozen_Predictions!$A$4:$A$203,0)),""))</x:f>
      </x:c>
      <x:c r="G171" s="172" t="str">
        <x:f>IF(A171="","",IFERROR(INDEX(Frozen_Predictions!$I$4:$I$203,MATCH(A171,Frozen_Predictions!$A$4:$A$203,0)),""))</x:f>
      </x:c>
      <x:c r="H171" s="172" t="str">
        <x:f>IF(A171="","",IFERROR(INDEX(Frozen_Predictions!$J$4:$J$203,MATCH(A171,Frozen_Predictions!$A$4:$A$203,0)),""))</x:f>
      </x:c>
      <x:c r="I171" s="192" t="str">
        <x:f>IF(A171="","",IFERROR(INDEX(Frozen_Predictions!$L$4:$L$203,MATCH(A171,Frozen_Predictions!$A$4:$A$203,0)),""))</x:f>
      </x:c>
      <x:c r="J171" s="172" t="str">
        <x:f>IF(X171&lt;&gt;"SETTLED","",IF(N171&lt;=IF(G171="U3.5",3,IF(G171="U4.5",4,5)),1,0))</x:f>
      </x:c>
      <x:c r="K171" s="195" t="str">
        <x:f>IF(X171&lt;&gt;"SETTLED","",IF(AND(OR(V171="DEFENSIV",V171="PRUDENT",V171="MODERAT",V171="RIDICAT"),ISNUMBER(INDEX(Frozen_Predictions!$Y$4:$Y$203,MATCH(A171,Frozen_Predictions!$A$4:$A$203,0))),INDEX(Frozen_Predictions!$Y$4:$Y$203,MATCH(A171,Frozen_Predictions!$A$4:$A$203,0))&gt;1),IF(J171=1,INDEX(Frozen_Predictions!$Y$4:$Y$203,MATCH(A171,Frozen_Predictions!$A$4:$A$203,0))-1,-1),""))</x:f>
      </x:c>
      <x:c r="L171" s="175"/>
      <x:c r="M171" s="175"/>
      <x:c r="N171" s="172" t="str">
        <x:f>IFERROR(IF(AND(ISNUMBER(L171),ISNUMBER(M171),L171&gt;=0,M171&gt;=0,INT(L171)=L171,INT(M171)=M171),L171+M171,""),"")</x:f>
      </x:c>
      <x:c r="O171" s="172" t="str">
        <x:f>IF(X171&lt;&gt;"SETTLED","",IF(J171=1,"WIN",IF(N171=IF(G171="U3.5",4,IF(G171="U4.5",5,6)),"NEAR TAIL","SEVERE TAIL")))</x:f>
      </x:c>
      <x:c r="P171" s="175"/>
      <x:c r="Q171" s="177"/>
      <x:c r="R171" s="213" t="str">
        <x:f>IF(X171&lt;&gt;"SETTLED","",(I171-J171)^2)</x:f>
      </x:c>
      <x:c r="S171" s="213" t="str">
        <x:f>IF(X171&lt;&gt;"SETTLED","",-(J171*LN(MAX(0.000001,MIN(0.999999,I171)))+(1-J171)*LN(MAX(0.000001,MIN(0.999999,1-I171)))))</x:f>
      </x:c>
      <x:c r="T171" s="172" t="str">
        <x:f>IF(A171="","",IFERROR(INDEX(Frozen_Predictions!$N$4:$N$203,MATCH(A171,Frozen_Predictions!$A$4:$A$203,0)),""))</x:f>
      </x:c>
      <x:c r="U171" s="172" t="str">
        <x:f>IF(A171="","",IFERROR(INDEX(Frozen_Predictions!$O$4:$O$203,MATCH(A171,Frozen_Predictions!$A$4:$A$203,0)),""))</x:f>
      </x:c>
      <x:c r="V171" s="172" t="str">
        <x:f>IF(A171="","",IFERROR(INDEX(Frozen_Predictions!$M$4:$M$203,MATCH(A171,Frozen_Predictions!$A$4:$A$203,0)),""))</x:f>
      </x:c>
      <x:c r="W171" s="175"/>
      <x:c r="X171" s="172" t="str">
        <x:f>IF(A171="","",IF(NOT(COUNTIFS(Frozen_Predictions!$A$4:$A$203,A171)=1),"SNAPSHOT ID INVALID",IFERROR(IF(NOT(AND(INDEX(Frozen_Predictions!$Q$4:$Q$203,MATCH(A171,Frozen_Predictions!$A$4:$A$203,0))="DA",ISNUMBER(INDEX(Frozen_Predictions!$B$4:$B$203,MATCH(A171,Frozen_Predictions!$A$4:$A$203,0))),ISNUMBER(INDEX(Frozen_Predictions!$C$4:$C$203,MATCH(A171,Frozen_Predictions!$A$4:$A$203,0))),INDEX(Frozen_Predictions!$B$4:$B$203,MATCH(A171,Frozen_Predictions!$A$4:$A$203,0))&lt;INDEX(Frozen_Predictions!$C$4:$C$203,MATCH(A171,Frozen_Predictions!$A$4:$A$203,0)),INDEX(Frozen_Predictions!$V$4:$V$203,MATCH(A171,Frozen_Predictions!$A$4:$A$203,0))="READY",INDEX(Frozen_Predictions!$O$4:$O$203,MATCH(A171,Frozen_Predictions!$A$4:$A$203,0))="PASS",INDEX(Frozen_Predictions!$J$4:$J$203,MATCH(A171,Frozen_Predictions!$A$4:$A$203,0))=Under_LineCal_v9!$B$45,COUNTIFS(Frozen_Predictions!$A$4:$A$203,A171,Frozen_Predictions!$L$4:$L$203,"&lt;&gt;",Frozen_Predictions!$L$4:$L$203,"&gt;=0",Frozen_Predictions!$L$4:$L$203,"&lt;=1")=1,COUNTIFS($A$4:$A$203,A171)=1)),"SNAPSHOT NOT VALID",IF(AND(ISNUMBER(I171),I171&gt;=0,I171&lt;=1,ISNUMBER(N171),P171&lt;&gt;"",ISNUMBER(Q171),Q171&gt;=B171,OR(G171="U3.5",G171="U4.5",G171="U5.5")),"SETTLED","PENDING RESULT")),"SNAPSHOT NOT VALID")))</x:f>
      </x:c>
    </x:row>
    <x:row r="172" ht="23" customHeight="1">
      <x:c r="A172" s="175"/>
      <x:c r="B172" s="200" t="str">
        <x:f>IF(A172="","",IFERROR(INDEX(Frozen_Predictions!$C$4:$C$203,MATCH(A172,Frozen_Predictions!$A$4:$A$203,0)),""))</x:f>
      </x:c>
      <x:c r="C172" s="172" t="str">
        <x:f>IF(A172="","",IFERROR(INDEX(Frozen_Predictions!$E$4:$E$203,MATCH(A172,Frozen_Predictions!$A$4:$A$203,0)),""))</x:f>
      </x:c>
      <x:c r="D172" s="172" t="str">
        <x:f>IF(A172="","",IFERROR(INDEX(Frozen_Predictions!$F$4:$F$203,MATCH(A172,Frozen_Predictions!$A$4:$A$203,0)),""))</x:f>
      </x:c>
      <x:c r="E172" s="172" t="str">
        <x:f>IF(A172="","",IFERROR(INDEX(Frozen_Predictions!$G$4:$G$203,MATCH(A172,Frozen_Predictions!$A$4:$A$203,0)),""))</x:f>
      </x:c>
      <x:c r="F172" s="172" t="str">
        <x:f>IF(A172="","",IFERROR(INDEX(Frozen_Predictions!$H$4:$H$203,MATCH(A172,Frozen_Predictions!$A$4:$A$203,0)),""))</x:f>
      </x:c>
      <x:c r="G172" s="172" t="str">
        <x:f>IF(A172="","",IFERROR(INDEX(Frozen_Predictions!$I$4:$I$203,MATCH(A172,Frozen_Predictions!$A$4:$A$203,0)),""))</x:f>
      </x:c>
      <x:c r="H172" s="172" t="str">
        <x:f>IF(A172="","",IFERROR(INDEX(Frozen_Predictions!$J$4:$J$203,MATCH(A172,Frozen_Predictions!$A$4:$A$203,0)),""))</x:f>
      </x:c>
      <x:c r="I172" s="192" t="str">
        <x:f>IF(A172="","",IFERROR(INDEX(Frozen_Predictions!$L$4:$L$203,MATCH(A172,Frozen_Predictions!$A$4:$A$203,0)),""))</x:f>
      </x:c>
      <x:c r="J172" s="172" t="str">
        <x:f>IF(X172&lt;&gt;"SETTLED","",IF(N172&lt;=IF(G172="U3.5",3,IF(G172="U4.5",4,5)),1,0))</x:f>
      </x:c>
      <x:c r="K172" s="195" t="str">
        <x:f>IF(X172&lt;&gt;"SETTLED","",IF(AND(OR(V172="DEFENSIV",V172="PRUDENT",V172="MODERAT",V172="RIDICAT"),ISNUMBER(INDEX(Frozen_Predictions!$Y$4:$Y$203,MATCH(A172,Frozen_Predictions!$A$4:$A$203,0))),INDEX(Frozen_Predictions!$Y$4:$Y$203,MATCH(A172,Frozen_Predictions!$A$4:$A$203,0))&gt;1),IF(J172=1,INDEX(Frozen_Predictions!$Y$4:$Y$203,MATCH(A172,Frozen_Predictions!$A$4:$A$203,0))-1,-1),""))</x:f>
      </x:c>
      <x:c r="L172" s="175"/>
      <x:c r="M172" s="175"/>
      <x:c r="N172" s="172" t="str">
        <x:f>IFERROR(IF(AND(ISNUMBER(L172),ISNUMBER(M172),L172&gt;=0,M172&gt;=0,INT(L172)=L172,INT(M172)=M172),L172+M172,""),"")</x:f>
      </x:c>
      <x:c r="O172" s="172" t="str">
        <x:f>IF(X172&lt;&gt;"SETTLED","",IF(J172=1,"WIN",IF(N172=IF(G172="U3.5",4,IF(G172="U4.5",5,6)),"NEAR TAIL","SEVERE TAIL")))</x:f>
      </x:c>
      <x:c r="P172" s="175"/>
      <x:c r="Q172" s="177"/>
      <x:c r="R172" s="213" t="str">
        <x:f>IF(X172&lt;&gt;"SETTLED","",(I172-J172)^2)</x:f>
      </x:c>
      <x:c r="S172" s="213" t="str">
        <x:f>IF(X172&lt;&gt;"SETTLED","",-(J172*LN(MAX(0.000001,MIN(0.999999,I172)))+(1-J172)*LN(MAX(0.000001,MIN(0.999999,1-I172)))))</x:f>
      </x:c>
      <x:c r="T172" s="172" t="str">
        <x:f>IF(A172="","",IFERROR(INDEX(Frozen_Predictions!$N$4:$N$203,MATCH(A172,Frozen_Predictions!$A$4:$A$203,0)),""))</x:f>
      </x:c>
      <x:c r="U172" s="172" t="str">
        <x:f>IF(A172="","",IFERROR(INDEX(Frozen_Predictions!$O$4:$O$203,MATCH(A172,Frozen_Predictions!$A$4:$A$203,0)),""))</x:f>
      </x:c>
      <x:c r="V172" s="172" t="str">
        <x:f>IF(A172="","",IFERROR(INDEX(Frozen_Predictions!$M$4:$M$203,MATCH(A172,Frozen_Predictions!$A$4:$A$203,0)),""))</x:f>
      </x:c>
      <x:c r="W172" s="175"/>
      <x:c r="X172" s="172" t="str">
        <x:f>IF(A172="","",IF(NOT(COUNTIFS(Frozen_Predictions!$A$4:$A$203,A172)=1),"SNAPSHOT ID INVALID",IFERROR(IF(NOT(AND(INDEX(Frozen_Predictions!$Q$4:$Q$203,MATCH(A172,Frozen_Predictions!$A$4:$A$203,0))="DA",ISNUMBER(INDEX(Frozen_Predictions!$B$4:$B$203,MATCH(A172,Frozen_Predictions!$A$4:$A$203,0))),ISNUMBER(INDEX(Frozen_Predictions!$C$4:$C$203,MATCH(A172,Frozen_Predictions!$A$4:$A$203,0))),INDEX(Frozen_Predictions!$B$4:$B$203,MATCH(A172,Frozen_Predictions!$A$4:$A$203,0))&lt;INDEX(Frozen_Predictions!$C$4:$C$203,MATCH(A172,Frozen_Predictions!$A$4:$A$203,0)),INDEX(Frozen_Predictions!$V$4:$V$203,MATCH(A172,Frozen_Predictions!$A$4:$A$203,0))="READY",INDEX(Frozen_Predictions!$O$4:$O$203,MATCH(A172,Frozen_Predictions!$A$4:$A$203,0))="PASS",INDEX(Frozen_Predictions!$J$4:$J$203,MATCH(A172,Frozen_Predictions!$A$4:$A$203,0))=Under_LineCal_v9!$B$45,COUNTIFS(Frozen_Predictions!$A$4:$A$203,A172,Frozen_Predictions!$L$4:$L$203,"&lt;&gt;",Frozen_Predictions!$L$4:$L$203,"&gt;=0",Frozen_Predictions!$L$4:$L$203,"&lt;=1")=1,COUNTIFS($A$4:$A$203,A172)=1)),"SNAPSHOT NOT VALID",IF(AND(ISNUMBER(I172),I172&gt;=0,I172&lt;=1,ISNUMBER(N172),P172&lt;&gt;"",ISNUMBER(Q172),Q172&gt;=B172,OR(G172="U3.5",G172="U4.5",G172="U5.5")),"SETTLED","PENDING RESULT")),"SNAPSHOT NOT VALID")))</x:f>
      </x:c>
    </x:row>
    <x:row r="173" ht="23" customHeight="1">
      <x:c r="A173" s="175"/>
      <x:c r="B173" s="200" t="str">
        <x:f>IF(A173="","",IFERROR(INDEX(Frozen_Predictions!$C$4:$C$203,MATCH(A173,Frozen_Predictions!$A$4:$A$203,0)),""))</x:f>
      </x:c>
      <x:c r="C173" s="172" t="str">
        <x:f>IF(A173="","",IFERROR(INDEX(Frozen_Predictions!$E$4:$E$203,MATCH(A173,Frozen_Predictions!$A$4:$A$203,0)),""))</x:f>
      </x:c>
      <x:c r="D173" s="172" t="str">
        <x:f>IF(A173="","",IFERROR(INDEX(Frozen_Predictions!$F$4:$F$203,MATCH(A173,Frozen_Predictions!$A$4:$A$203,0)),""))</x:f>
      </x:c>
      <x:c r="E173" s="172" t="str">
        <x:f>IF(A173="","",IFERROR(INDEX(Frozen_Predictions!$G$4:$G$203,MATCH(A173,Frozen_Predictions!$A$4:$A$203,0)),""))</x:f>
      </x:c>
      <x:c r="F173" s="172" t="str">
        <x:f>IF(A173="","",IFERROR(INDEX(Frozen_Predictions!$H$4:$H$203,MATCH(A173,Frozen_Predictions!$A$4:$A$203,0)),""))</x:f>
      </x:c>
      <x:c r="G173" s="172" t="str">
        <x:f>IF(A173="","",IFERROR(INDEX(Frozen_Predictions!$I$4:$I$203,MATCH(A173,Frozen_Predictions!$A$4:$A$203,0)),""))</x:f>
      </x:c>
      <x:c r="H173" s="172" t="str">
        <x:f>IF(A173="","",IFERROR(INDEX(Frozen_Predictions!$J$4:$J$203,MATCH(A173,Frozen_Predictions!$A$4:$A$203,0)),""))</x:f>
      </x:c>
      <x:c r="I173" s="192" t="str">
        <x:f>IF(A173="","",IFERROR(INDEX(Frozen_Predictions!$L$4:$L$203,MATCH(A173,Frozen_Predictions!$A$4:$A$203,0)),""))</x:f>
      </x:c>
      <x:c r="J173" s="172" t="str">
        <x:f>IF(X173&lt;&gt;"SETTLED","",IF(N173&lt;=IF(G173="U3.5",3,IF(G173="U4.5",4,5)),1,0))</x:f>
      </x:c>
      <x:c r="K173" s="195" t="str">
        <x:f>IF(X173&lt;&gt;"SETTLED","",IF(AND(OR(V173="DEFENSIV",V173="PRUDENT",V173="MODERAT",V173="RIDICAT"),ISNUMBER(INDEX(Frozen_Predictions!$Y$4:$Y$203,MATCH(A173,Frozen_Predictions!$A$4:$A$203,0))),INDEX(Frozen_Predictions!$Y$4:$Y$203,MATCH(A173,Frozen_Predictions!$A$4:$A$203,0))&gt;1),IF(J173=1,INDEX(Frozen_Predictions!$Y$4:$Y$203,MATCH(A173,Frozen_Predictions!$A$4:$A$203,0))-1,-1),""))</x:f>
      </x:c>
      <x:c r="L173" s="175"/>
      <x:c r="M173" s="175"/>
      <x:c r="N173" s="172" t="str">
        <x:f>IFERROR(IF(AND(ISNUMBER(L173),ISNUMBER(M173),L173&gt;=0,M173&gt;=0,INT(L173)=L173,INT(M173)=M173),L173+M173,""),"")</x:f>
      </x:c>
      <x:c r="O173" s="172" t="str">
        <x:f>IF(X173&lt;&gt;"SETTLED","",IF(J173=1,"WIN",IF(N173=IF(G173="U3.5",4,IF(G173="U4.5",5,6)),"NEAR TAIL","SEVERE TAIL")))</x:f>
      </x:c>
      <x:c r="P173" s="175"/>
      <x:c r="Q173" s="177"/>
      <x:c r="R173" s="213" t="str">
        <x:f>IF(X173&lt;&gt;"SETTLED","",(I173-J173)^2)</x:f>
      </x:c>
      <x:c r="S173" s="213" t="str">
        <x:f>IF(X173&lt;&gt;"SETTLED","",-(J173*LN(MAX(0.000001,MIN(0.999999,I173)))+(1-J173)*LN(MAX(0.000001,MIN(0.999999,1-I173)))))</x:f>
      </x:c>
      <x:c r="T173" s="172" t="str">
        <x:f>IF(A173="","",IFERROR(INDEX(Frozen_Predictions!$N$4:$N$203,MATCH(A173,Frozen_Predictions!$A$4:$A$203,0)),""))</x:f>
      </x:c>
      <x:c r="U173" s="172" t="str">
        <x:f>IF(A173="","",IFERROR(INDEX(Frozen_Predictions!$O$4:$O$203,MATCH(A173,Frozen_Predictions!$A$4:$A$203,0)),""))</x:f>
      </x:c>
      <x:c r="V173" s="172" t="str">
        <x:f>IF(A173="","",IFERROR(INDEX(Frozen_Predictions!$M$4:$M$203,MATCH(A173,Frozen_Predictions!$A$4:$A$203,0)),""))</x:f>
      </x:c>
      <x:c r="W173" s="175"/>
      <x:c r="X173" s="172" t="str">
        <x:f>IF(A173="","",IF(NOT(COUNTIFS(Frozen_Predictions!$A$4:$A$203,A173)=1),"SNAPSHOT ID INVALID",IFERROR(IF(NOT(AND(INDEX(Frozen_Predictions!$Q$4:$Q$203,MATCH(A173,Frozen_Predictions!$A$4:$A$203,0))="DA",ISNUMBER(INDEX(Frozen_Predictions!$B$4:$B$203,MATCH(A173,Frozen_Predictions!$A$4:$A$203,0))),ISNUMBER(INDEX(Frozen_Predictions!$C$4:$C$203,MATCH(A173,Frozen_Predictions!$A$4:$A$203,0))),INDEX(Frozen_Predictions!$B$4:$B$203,MATCH(A173,Frozen_Predictions!$A$4:$A$203,0))&lt;INDEX(Frozen_Predictions!$C$4:$C$203,MATCH(A173,Frozen_Predictions!$A$4:$A$203,0)),INDEX(Frozen_Predictions!$V$4:$V$203,MATCH(A173,Frozen_Predictions!$A$4:$A$203,0))="READY",INDEX(Frozen_Predictions!$O$4:$O$203,MATCH(A173,Frozen_Predictions!$A$4:$A$203,0))="PASS",INDEX(Frozen_Predictions!$J$4:$J$203,MATCH(A173,Frozen_Predictions!$A$4:$A$203,0))=Under_LineCal_v9!$B$45,COUNTIFS(Frozen_Predictions!$A$4:$A$203,A173,Frozen_Predictions!$L$4:$L$203,"&lt;&gt;",Frozen_Predictions!$L$4:$L$203,"&gt;=0",Frozen_Predictions!$L$4:$L$203,"&lt;=1")=1,COUNTIFS($A$4:$A$203,A173)=1)),"SNAPSHOT NOT VALID",IF(AND(ISNUMBER(I173),I173&gt;=0,I173&lt;=1,ISNUMBER(N173),P173&lt;&gt;"",ISNUMBER(Q173),Q173&gt;=B173,OR(G173="U3.5",G173="U4.5",G173="U5.5")),"SETTLED","PENDING RESULT")),"SNAPSHOT NOT VALID")))</x:f>
      </x:c>
    </x:row>
    <x:row r="174" ht="23" customHeight="1">
      <x:c r="A174" s="175"/>
      <x:c r="B174" s="200" t="str">
        <x:f>IF(A174="","",IFERROR(INDEX(Frozen_Predictions!$C$4:$C$203,MATCH(A174,Frozen_Predictions!$A$4:$A$203,0)),""))</x:f>
      </x:c>
      <x:c r="C174" s="172" t="str">
        <x:f>IF(A174="","",IFERROR(INDEX(Frozen_Predictions!$E$4:$E$203,MATCH(A174,Frozen_Predictions!$A$4:$A$203,0)),""))</x:f>
      </x:c>
      <x:c r="D174" s="172" t="str">
        <x:f>IF(A174="","",IFERROR(INDEX(Frozen_Predictions!$F$4:$F$203,MATCH(A174,Frozen_Predictions!$A$4:$A$203,0)),""))</x:f>
      </x:c>
      <x:c r="E174" s="172" t="str">
        <x:f>IF(A174="","",IFERROR(INDEX(Frozen_Predictions!$G$4:$G$203,MATCH(A174,Frozen_Predictions!$A$4:$A$203,0)),""))</x:f>
      </x:c>
      <x:c r="F174" s="172" t="str">
        <x:f>IF(A174="","",IFERROR(INDEX(Frozen_Predictions!$H$4:$H$203,MATCH(A174,Frozen_Predictions!$A$4:$A$203,0)),""))</x:f>
      </x:c>
      <x:c r="G174" s="172" t="str">
        <x:f>IF(A174="","",IFERROR(INDEX(Frozen_Predictions!$I$4:$I$203,MATCH(A174,Frozen_Predictions!$A$4:$A$203,0)),""))</x:f>
      </x:c>
      <x:c r="H174" s="172" t="str">
        <x:f>IF(A174="","",IFERROR(INDEX(Frozen_Predictions!$J$4:$J$203,MATCH(A174,Frozen_Predictions!$A$4:$A$203,0)),""))</x:f>
      </x:c>
      <x:c r="I174" s="192" t="str">
        <x:f>IF(A174="","",IFERROR(INDEX(Frozen_Predictions!$L$4:$L$203,MATCH(A174,Frozen_Predictions!$A$4:$A$203,0)),""))</x:f>
      </x:c>
      <x:c r="J174" s="172" t="str">
        <x:f>IF(X174&lt;&gt;"SETTLED","",IF(N174&lt;=IF(G174="U3.5",3,IF(G174="U4.5",4,5)),1,0))</x:f>
      </x:c>
      <x:c r="K174" s="195" t="str">
        <x:f>IF(X174&lt;&gt;"SETTLED","",IF(AND(OR(V174="DEFENSIV",V174="PRUDENT",V174="MODERAT",V174="RIDICAT"),ISNUMBER(INDEX(Frozen_Predictions!$Y$4:$Y$203,MATCH(A174,Frozen_Predictions!$A$4:$A$203,0))),INDEX(Frozen_Predictions!$Y$4:$Y$203,MATCH(A174,Frozen_Predictions!$A$4:$A$203,0))&gt;1),IF(J174=1,INDEX(Frozen_Predictions!$Y$4:$Y$203,MATCH(A174,Frozen_Predictions!$A$4:$A$203,0))-1,-1),""))</x:f>
      </x:c>
      <x:c r="L174" s="175"/>
      <x:c r="M174" s="175"/>
      <x:c r="N174" s="172" t="str">
        <x:f>IFERROR(IF(AND(ISNUMBER(L174),ISNUMBER(M174),L174&gt;=0,M174&gt;=0,INT(L174)=L174,INT(M174)=M174),L174+M174,""),"")</x:f>
      </x:c>
      <x:c r="O174" s="172" t="str">
        <x:f>IF(X174&lt;&gt;"SETTLED","",IF(J174=1,"WIN",IF(N174=IF(G174="U3.5",4,IF(G174="U4.5",5,6)),"NEAR TAIL","SEVERE TAIL")))</x:f>
      </x:c>
      <x:c r="P174" s="175"/>
      <x:c r="Q174" s="177"/>
      <x:c r="R174" s="213" t="str">
        <x:f>IF(X174&lt;&gt;"SETTLED","",(I174-J174)^2)</x:f>
      </x:c>
      <x:c r="S174" s="213" t="str">
        <x:f>IF(X174&lt;&gt;"SETTLED","",-(J174*LN(MAX(0.000001,MIN(0.999999,I174)))+(1-J174)*LN(MAX(0.000001,MIN(0.999999,1-I174)))))</x:f>
      </x:c>
      <x:c r="T174" s="172" t="str">
        <x:f>IF(A174="","",IFERROR(INDEX(Frozen_Predictions!$N$4:$N$203,MATCH(A174,Frozen_Predictions!$A$4:$A$203,0)),""))</x:f>
      </x:c>
      <x:c r="U174" s="172" t="str">
        <x:f>IF(A174="","",IFERROR(INDEX(Frozen_Predictions!$O$4:$O$203,MATCH(A174,Frozen_Predictions!$A$4:$A$203,0)),""))</x:f>
      </x:c>
      <x:c r="V174" s="172" t="str">
        <x:f>IF(A174="","",IFERROR(INDEX(Frozen_Predictions!$M$4:$M$203,MATCH(A174,Frozen_Predictions!$A$4:$A$203,0)),""))</x:f>
      </x:c>
      <x:c r="W174" s="175"/>
      <x:c r="X174" s="172" t="str">
        <x:f>IF(A174="","",IF(NOT(COUNTIFS(Frozen_Predictions!$A$4:$A$203,A174)=1),"SNAPSHOT ID INVALID",IFERROR(IF(NOT(AND(INDEX(Frozen_Predictions!$Q$4:$Q$203,MATCH(A174,Frozen_Predictions!$A$4:$A$203,0))="DA",ISNUMBER(INDEX(Frozen_Predictions!$B$4:$B$203,MATCH(A174,Frozen_Predictions!$A$4:$A$203,0))),ISNUMBER(INDEX(Frozen_Predictions!$C$4:$C$203,MATCH(A174,Frozen_Predictions!$A$4:$A$203,0))),INDEX(Frozen_Predictions!$B$4:$B$203,MATCH(A174,Frozen_Predictions!$A$4:$A$203,0))&lt;INDEX(Frozen_Predictions!$C$4:$C$203,MATCH(A174,Frozen_Predictions!$A$4:$A$203,0)),INDEX(Frozen_Predictions!$V$4:$V$203,MATCH(A174,Frozen_Predictions!$A$4:$A$203,0))="READY",INDEX(Frozen_Predictions!$O$4:$O$203,MATCH(A174,Frozen_Predictions!$A$4:$A$203,0))="PASS",INDEX(Frozen_Predictions!$J$4:$J$203,MATCH(A174,Frozen_Predictions!$A$4:$A$203,0))=Under_LineCal_v9!$B$45,COUNTIFS(Frozen_Predictions!$A$4:$A$203,A174,Frozen_Predictions!$L$4:$L$203,"&lt;&gt;",Frozen_Predictions!$L$4:$L$203,"&gt;=0",Frozen_Predictions!$L$4:$L$203,"&lt;=1")=1,COUNTIFS($A$4:$A$203,A174)=1)),"SNAPSHOT NOT VALID",IF(AND(ISNUMBER(I174),I174&gt;=0,I174&lt;=1,ISNUMBER(N174),P174&lt;&gt;"",ISNUMBER(Q174),Q174&gt;=B174,OR(G174="U3.5",G174="U4.5",G174="U5.5")),"SETTLED","PENDING RESULT")),"SNAPSHOT NOT VALID")))</x:f>
      </x:c>
    </x:row>
    <x:row r="175" ht="23" customHeight="1">
      <x:c r="A175" s="175"/>
      <x:c r="B175" s="200" t="str">
        <x:f>IF(A175="","",IFERROR(INDEX(Frozen_Predictions!$C$4:$C$203,MATCH(A175,Frozen_Predictions!$A$4:$A$203,0)),""))</x:f>
      </x:c>
      <x:c r="C175" s="172" t="str">
        <x:f>IF(A175="","",IFERROR(INDEX(Frozen_Predictions!$E$4:$E$203,MATCH(A175,Frozen_Predictions!$A$4:$A$203,0)),""))</x:f>
      </x:c>
      <x:c r="D175" s="172" t="str">
        <x:f>IF(A175="","",IFERROR(INDEX(Frozen_Predictions!$F$4:$F$203,MATCH(A175,Frozen_Predictions!$A$4:$A$203,0)),""))</x:f>
      </x:c>
      <x:c r="E175" s="172" t="str">
        <x:f>IF(A175="","",IFERROR(INDEX(Frozen_Predictions!$G$4:$G$203,MATCH(A175,Frozen_Predictions!$A$4:$A$203,0)),""))</x:f>
      </x:c>
      <x:c r="F175" s="172" t="str">
        <x:f>IF(A175="","",IFERROR(INDEX(Frozen_Predictions!$H$4:$H$203,MATCH(A175,Frozen_Predictions!$A$4:$A$203,0)),""))</x:f>
      </x:c>
      <x:c r="G175" s="172" t="str">
        <x:f>IF(A175="","",IFERROR(INDEX(Frozen_Predictions!$I$4:$I$203,MATCH(A175,Frozen_Predictions!$A$4:$A$203,0)),""))</x:f>
      </x:c>
      <x:c r="H175" s="172" t="str">
        <x:f>IF(A175="","",IFERROR(INDEX(Frozen_Predictions!$J$4:$J$203,MATCH(A175,Frozen_Predictions!$A$4:$A$203,0)),""))</x:f>
      </x:c>
      <x:c r="I175" s="192" t="str">
        <x:f>IF(A175="","",IFERROR(INDEX(Frozen_Predictions!$L$4:$L$203,MATCH(A175,Frozen_Predictions!$A$4:$A$203,0)),""))</x:f>
      </x:c>
      <x:c r="J175" s="172" t="str">
        <x:f>IF(X175&lt;&gt;"SETTLED","",IF(N175&lt;=IF(G175="U3.5",3,IF(G175="U4.5",4,5)),1,0))</x:f>
      </x:c>
      <x:c r="K175" s="195" t="str">
        <x:f>IF(X175&lt;&gt;"SETTLED","",IF(AND(OR(V175="DEFENSIV",V175="PRUDENT",V175="MODERAT",V175="RIDICAT"),ISNUMBER(INDEX(Frozen_Predictions!$Y$4:$Y$203,MATCH(A175,Frozen_Predictions!$A$4:$A$203,0))),INDEX(Frozen_Predictions!$Y$4:$Y$203,MATCH(A175,Frozen_Predictions!$A$4:$A$203,0))&gt;1),IF(J175=1,INDEX(Frozen_Predictions!$Y$4:$Y$203,MATCH(A175,Frozen_Predictions!$A$4:$A$203,0))-1,-1),""))</x:f>
      </x:c>
      <x:c r="L175" s="175"/>
      <x:c r="M175" s="175"/>
      <x:c r="N175" s="172" t="str">
        <x:f>IFERROR(IF(AND(ISNUMBER(L175),ISNUMBER(M175),L175&gt;=0,M175&gt;=0,INT(L175)=L175,INT(M175)=M175),L175+M175,""),"")</x:f>
      </x:c>
      <x:c r="O175" s="172" t="str">
        <x:f>IF(X175&lt;&gt;"SETTLED","",IF(J175=1,"WIN",IF(N175=IF(G175="U3.5",4,IF(G175="U4.5",5,6)),"NEAR TAIL","SEVERE TAIL")))</x:f>
      </x:c>
      <x:c r="P175" s="175"/>
      <x:c r="Q175" s="177"/>
      <x:c r="R175" s="213" t="str">
        <x:f>IF(X175&lt;&gt;"SETTLED","",(I175-J175)^2)</x:f>
      </x:c>
      <x:c r="S175" s="213" t="str">
        <x:f>IF(X175&lt;&gt;"SETTLED","",-(J175*LN(MAX(0.000001,MIN(0.999999,I175)))+(1-J175)*LN(MAX(0.000001,MIN(0.999999,1-I175)))))</x:f>
      </x:c>
      <x:c r="T175" s="172" t="str">
        <x:f>IF(A175="","",IFERROR(INDEX(Frozen_Predictions!$N$4:$N$203,MATCH(A175,Frozen_Predictions!$A$4:$A$203,0)),""))</x:f>
      </x:c>
      <x:c r="U175" s="172" t="str">
        <x:f>IF(A175="","",IFERROR(INDEX(Frozen_Predictions!$O$4:$O$203,MATCH(A175,Frozen_Predictions!$A$4:$A$203,0)),""))</x:f>
      </x:c>
      <x:c r="V175" s="172" t="str">
        <x:f>IF(A175="","",IFERROR(INDEX(Frozen_Predictions!$M$4:$M$203,MATCH(A175,Frozen_Predictions!$A$4:$A$203,0)),""))</x:f>
      </x:c>
      <x:c r="W175" s="175"/>
      <x:c r="X175" s="172" t="str">
        <x:f>IF(A175="","",IF(NOT(COUNTIFS(Frozen_Predictions!$A$4:$A$203,A175)=1),"SNAPSHOT ID INVALID",IFERROR(IF(NOT(AND(INDEX(Frozen_Predictions!$Q$4:$Q$203,MATCH(A175,Frozen_Predictions!$A$4:$A$203,0))="DA",ISNUMBER(INDEX(Frozen_Predictions!$B$4:$B$203,MATCH(A175,Frozen_Predictions!$A$4:$A$203,0))),ISNUMBER(INDEX(Frozen_Predictions!$C$4:$C$203,MATCH(A175,Frozen_Predictions!$A$4:$A$203,0))),INDEX(Frozen_Predictions!$B$4:$B$203,MATCH(A175,Frozen_Predictions!$A$4:$A$203,0))&lt;INDEX(Frozen_Predictions!$C$4:$C$203,MATCH(A175,Frozen_Predictions!$A$4:$A$203,0)),INDEX(Frozen_Predictions!$V$4:$V$203,MATCH(A175,Frozen_Predictions!$A$4:$A$203,0))="READY",INDEX(Frozen_Predictions!$O$4:$O$203,MATCH(A175,Frozen_Predictions!$A$4:$A$203,0))="PASS",INDEX(Frozen_Predictions!$J$4:$J$203,MATCH(A175,Frozen_Predictions!$A$4:$A$203,0))=Under_LineCal_v9!$B$45,COUNTIFS(Frozen_Predictions!$A$4:$A$203,A175,Frozen_Predictions!$L$4:$L$203,"&lt;&gt;",Frozen_Predictions!$L$4:$L$203,"&gt;=0",Frozen_Predictions!$L$4:$L$203,"&lt;=1")=1,COUNTIFS($A$4:$A$203,A175)=1)),"SNAPSHOT NOT VALID",IF(AND(ISNUMBER(I175),I175&gt;=0,I175&lt;=1,ISNUMBER(N175),P175&lt;&gt;"",ISNUMBER(Q175),Q175&gt;=B175,OR(G175="U3.5",G175="U4.5",G175="U5.5")),"SETTLED","PENDING RESULT")),"SNAPSHOT NOT VALID")))</x:f>
      </x:c>
    </x:row>
    <x:row r="176" ht="23" customHeight="1">
      <x:c r="A176" s="175"/>
      <x:c r="B176" s="200" t="str">
        <x:f>IF(A176="","",IFERROR(INDEX(Frozen_Predictions!$C$4:$C$203,MATCH(A176,Frozen_Predictions!$A$4:$A$203,0)),""))</x:f>
      </x:c>
      <x:c r="C176" s="172" t="str">
        <x:f>IF(A176="","",IFERROR(INDEX(Frozen_Predictions!$E$4:$E$203,MATCH(A176,Frozen_Predictions!$A$4:$A$203,0)),""))</x:f>
      </x:c>
      <x:c r="D176" s="172" t="str">
        <x:f>IF(A176="","",IFERROR(INDEX(Frozen_Predictions!$F$4:$F$203,MATCH(A176,Frozen_Predictions!$A$4:$A$203,0)),""))</x:f>
      </x:c>
      <x:c r="E176" s="172" t="str">
        <x:f>IF(A176="","",IFERROR(INDEX(Frozen_Predictions!$G$4:$G$203,MATCH(A176,Frozen_Predictions!$A$4:$A$203,0)),""))</x:f>
      </x:c>
      <x:c r="F176" s="172" t="str">
        <x:f>IF(A176="","",IFERROR(INDEX(Frozen_Predictions!$H$4:$H$203,MATCH(A176,Frozen_Predictions!$A$4:$A$203,0)),""))</x:f>
      </x:c>
      <x:c r="G176" s="172" t="str">
        <x:f>IF(A176="","",IFERROR(INDEX(Frozen_Predictions!$I$4:$I$203,MATCH(A176,Frozen_Predictions!$A$4:$A$203,0)),""))</x:f>
      </x:c>
      <x:c r="H176" s="172" t="str">
        <x:f>IF(A176="","",IFERROR(INDEX(Frozen_Predictions!$J$4:$J$203,MATCH(A176,Frozen_Predictions!$A$4:$A$203,0)),""))</x:f>
      </x:c>
      <x:c r="I176" s="192" t="str">
        <x:f>IF(A176="","",IFERROR(INDEX(Frozen_Predictions!$L$4:$L$203,MATCH(A176,Frozen_Predictions!$A$4:$A$203,0)),""))</x:f>
      </x:c>
      <x:c r="J176" s="172" t="str">
        <x:f>IF(X176&lt;&gt;"SETTLED","",IF(N176&lt;=IF(G176="U3.5",3,IF(G176="U4.5",4,5)),1,0))</x:f>
      </x:c>
      <x:c r="K176" s="195" t="str">
        <x:f>IF(X176&lt;&gt;"SETTLED","",IF(AND(OR(V176="DEFENSIV",V176="PRUDENT",V176="MODERAT",V176="RIDICAT"),ISNUMBER(INDEX(Frozen_Predictions!$Y$4:$Y$203,MATCH(A176,Frozen_Predictions!$A$4:$A$203,0))),INDEX(Frozen_Predictions!$Y$4:$Y$203,MATCH(A176,Frozen_Predictions!$A$4:$A$203,0))&gt;1),IF(J176=1,INDEX(Frozen_Predictions!$Y$4:$Y$203,MATCH(A176,Frozen_Predictions!$A$4:$A$203,0))-1,-1),""))</x:f>
      </x:c>
      <x:c r="L176" s="175"/>
      <x:c r="M176" s="175"/>
      <x:c r="N176" s="172" t="str">
        <x:f>IFERROR(IF(AND(ISNUMBER(L176),ISNUMBER(M176),L176&gt;=0,M176&gt;=0,INT(L176)=L176,INT(M176)=M176),L176+M176,""),"")</x:f>
      </x:c>
      <x:c r="O176" s="172" t="str">
        <x:f>IF(X176&lt;&gt;"SETTLED","",IF(J176=1,"WIN",IF(N176=IF(G176="U3.5",4,IF(G176="U4.5",5,6)),"NEAR TAIL","SEVERE TAIL")))</x:f>
      </x:c>
      <x:c r="P176" s="175"/>
      <x:c r="Q176" s="177"/>
      <x:c r="R176" s="213" t="str">
        <x:f>IF(X176&lt;&gt;"SETTLED","",(I176-J176)^2)</x:f>
      </x:c>
      <x:c r="S176" s="213" t="str">
        <x:f>IF(X176&lt;&gt;"SETTLED","",-(J176*LN(MAX(0.000001,MIN(0.999999,I176)))+(1-J176)*LN(MAX(0.000001,MIN(0.999999,1-I176)))))</x:f>
      </x:c>
      <x:c r="T176" s="172" t="str">
        <x:f>IF(A176="","",IFERROR(INDEX(Frozen_Predictions!$N$4:$N$203,MATCH(A176,Frozen_Predictions!$A$4:$A$203,0)),""))</x:f>
      </x:c>
      <x:c r="U176" s="172" t="str">
        <x:f>IF(A176="","",IFERROR(INDEX(Frozen_Predictions!$O$4:$O$203,MATCH(A176,Frozen_Predictions!$A$4:$A$203,0)),""))</x:f>
      </x:c>
      <x:c r="V176" s="172" t="str">
        <x:f>IF(A176="","",IFERROR(INDEX(Frozen_Predictions!$M$4:$M$203,MATCH(A176,Frozen_Predictions!$A$4:$A$203,0)),""))</x:f>
      </x:c>
      <x:c r="W176" s="175"/>
      <x:c r="X176" s="172" t="str">
        <x:f>IF(A176="","",IF(NOT(COUNTIFS(Frozen_Predictions!$A$4:$A$203,A176)=1),"SNAPSHOT ID INVALID",IFERROR(IF(NOT(AND(INDEX(Frozen_Predictions!$Q$4:$Q$203,MATCH(A176,Frozen_Predictions!$A$4:$A$203,0))="DA",ISNUMBER(INDEX(Frozen_Predictions!$B$4:$B$203,MATCH(A176,Frozen_Predictions!$A$4:$A$203,0))),ISNUMBER(INDEX(Frozen_Predictions!$C$4:$C$203,MATCH(A176,Frozen_Predictions!$A$4:$A$203,0))),INDEX(Frozen_Predictions!$B$4:$B$203,MATCH(A176,Frozen_Predictions!$A$4:$A$203,0))&lt;INDEX(Frozen_Predictions!$C$4:$C$203,MATCH(A176,Frozen_Predictions!$A$4:$A$203,0)),INDEX(Frozen_Predictions!$V$4:$V$203,MATCH(A176,Frozen_Predictions!$A$4:$A$203,0))="READY",INDEX(Frozen_Predictions!$O$4:$O$203,MATCH(A176,Frozen_Predictions!$A$4:$A$203,0))="PASS",INDEX(Frozen_Predictions!$J$4:$J$203,MATCH(A176,Frozen_Predictions!$A$4:$A$203,0))=Under_LineCal_v9!$B$45,COUNTIFS(Frozen_Predictions!$A$4:$A$203,A176,Frozen_Predictions!$L$4:$L$203,"&lt;&gt;",Frozen_Predictions!$L$4:$L$203,"&gt;=0",Frozen_Predictions!$L$4:$L$203,"&lt;=1")=1,COUNTIFS($A$4:$A$203,A176)=1)),"SNAPSHOT NOT VALID",IF(AND(ISNUMBER(I176),I176&gt;=0,I176&lt;=1,ISNUMBER(N176),P176&lt;&gt;"",ISNUMBER(Q176),Q176&gt;=B176,OR(G176="U3.5",G176="U4.5",G176="U5.5")),"SETTLED","PENDING RESULT")),"SNAPSHOT NOT VALID")))</x:f>
      </x:c>
    </x:row>
    <x:row r="177" ht="23" customHeight="1">
      <x:c r="A177" s="175"/>
      <x:c r="B177" s="200" t="str">
        <x:f>IF(A177="","",IFERROR(INDEX(Frozen_Predictions!$C$4:$C$203,MATCH(A177,Frozen_Predictions!$A$4:$A$203,0)),""))</x:f>
      </x:c>
      <x:c r="C177" s="172" t="str">
        <x:f>IF(A177="","",IFERROR(INDEX(Frozen_Predictions!$E$4:$E$203,MATCH(A177,Frozen_Predictions!$A$4:$A$203,0)),""))</x:f>
      </x:c>
      <x:c r="D177" s="172" t="str">
        <x:f>IF(A177="","",IFERROR(INDEX(Frozen_Predictions!$F$4:$F$203,MATCH(A177,Frozen_Predictions!$A$4:$A$203,0)),""))</x:f>
      </x:c>
      <x:c r="E177" s="172" t="str">
        <x:f>IF(A177="","",IFERROR(INDEX(Frozen_Predictions!$G$4:$G$203,MATCH(A177,Frozen_Predictions!$A$4:$A$203,0)),""))</x:f>
      </x:c>
      <x:c r="F177" s="172" t="str">
        <x:f>IF(A177="","",IFERROR(INDEX(Frozen_Predictions!$H$4:$H$203,MATCH(A177,Frozen_Predictions!$A$4:$A$203,0)),""))</x:f>
      </x:c>
      <x:c r="G177" s="172" t="str">
        <x:f>IF(A177="","",IFERROR(INDEX(Frozen_Predictions!$I$4:$I$203,MATCH(A177,Frozen_Predictions!$A$4:$A$203,0)),""))</x:f>
      </x:c>
      <x:c r="H177" s="172" t="str">
        <x:f>IF(A177="","",IFERROR(INDEX(Frozen_Predictions!$J$4:$J$203,MATCH(A177,Frozen_Predictions!$A$4:$A$203,0)),""))</x:f>
      </x:c>
      <x:c r="I177" s="192" t="str">
        <x:f>IF(A177="","",IFERROR(INDEX(Frozen_Predictions!$L$4:$L$203,MATCH(A177,Frozen_Predictions!$A$4:$A$203,0)),""))</x:f>
      </x:c>
      <x:c r="J177" s="172" t="str">
        <x:f>IF(X177&lt;&gt;"SETTLED","",IF(N177&lt;=IF(G177="U3.5",3,IF(G177="U4.5",4,5)),1,0))</x:f>
      </x:c>
      <x:c r="K177" s="195" t="str">
        <x:f>IF(X177&lt;&gt;"SETTLED","",IF(AND(OR(V177="DEFENSIV",V177="PRUDENT",V177="MODERAT",V177="RIDICAT"),ISNUMBER(INDEX(Frozen_Predictions!$Y$4:$Y$203,MATCH(A177,Frozen_Predictions!$A$4:$A$203,0))),INDEX(Frozen_Predictions!$Y$4:$Y$203,MATCH(A177,Frozen_Predictions!$A$4:$A$203,0))&gt;1),IF(J177=1,INDEX(Frozen_Predictions!$Y$4:$Y$203,MATCH(A177,Frozen_Predictions!$A$4:$A$203,0))-1,-1),""))</x:f>
      </x:c>
      <x:c r="L177" s="175"/>
      <x:c r="M177" s="175"/>
      <x:c r="N177" s="172" t="str">
        <x:f>IFERROR(IF(AND(ISNUMBER(L177),ISNUMBER(M177),L177&gt;=0,M177&gt;=0,INT(L177)=L177,INT(M177)=M177),L177+M177,""),"")</x:f>
      </x:c>
      <x:c r="O177" s="172" t="str">
        <x:f>IF(X177&lt;&gt;"SETTLED","",IF(J177=1,"WIN",IF(N177=IF(G177="U3.5",4,IF(G177="U4.5",5,6)),"NEAR TAIL","SEVERE TAIL")))</x:f>
      </x:c>
      <x:c r="P177" s="175"/>
      <x:c r="Q177" s="177"/>
      <x:c r="R177" s="213" t="str">
        <x:f>IF(X177&lt;&gt;"SETTLED","",(I177-J177)^2)</x:f>
      </x:c>
      <x:c r="S177" s="213" t="str">
        <x:f>IF(X177&lt;&gt;"SETTLED","",-(J177*LN(MAX(0.000001,MIN(0.999999,I177)))+(1-J177)*LN(MAX(0.000001,MIN(0.999999,1-I177)))))</x:f>
      </x:c>
      <x:c r="T177" s="172" t="str">
        <x:f>IF(A177="","",IFERROR(INDEX(Frozen_Predictions!$N$4:$N$203,MATCH(A177,Frozen_Predictions!$A$4:$A$203,0)),""))</x:f>
      </x:c>
      <x:c r="U177" s="172" t="str">
        <x:f>IF(A177="","",IFERROR(INDEX(Frozen_Predictions!$O$4:$O$203,MATCH(A177,Frozen_Predictions!$A$4:$A$203,0)),""))</x:f>
      </x:c>
      <x:c r="V177" s="172" t="str">
        <x:f>IF(A177="","",IFERROR(INDEX(Frozen_Predictions!$M$4:$M$203,MATCH(A177,Frozen_Predictions!$A$4:$A$203,0)),""))</x:f>
      </x:c>
      <x:c r="W177" s="175"/>
      <x:c r="X177" s="172" t="str">
        <x:f>IF(A177="","",IF(NOT(COUNTIFS(Frozen_Predictions!$A$4:$A$203,A177)=1),"SNAPSHOT ID INVALID",IFERROR(IF(NOT(AND(INDEX(Frozen_Predictions!$Q$4:$Q$203,MATCH(A177,Frozen_Predictions!$A$4:$A$203,0))="DA",ISNUMBER(INDEX(Frozen_Predictions!$B$4:$B$203,MATCH(A177,Frozen_Predictions!$A$4:$A$203,0))),ISNUMBER(INDEX(Frozen_Predictions!$C$4:$C$203,MATCH(A177,Frozen_Predictions!$A$4:$A$203,0))),INDEX(Frozen_Predictions!$B$4:$B$203,MATCH(A177,Frozen_Predictions!$A$4:$A$203,0))&lt;INDEX(Frozen_Predictions!$C$4:$C$203,MATCH(A177,Frozen_Predictions!$A$4:$A$203,0)),INDEX(Frozen_Predictions!$V$4:$V$203,MATCH(A177,Frozen_Predictions!$A$4:$A$203,0))="READY",INDEX(Frozen_Predictions!$O$4:$O$203,MATCH(A177,Frozen_Predictions!$A$4:$A$203,0))="PASS",INDEX(Frozen_Predictions!$J$4:$J$203,MATCH(A177,Frozen_Predictions!$A$4:$A$203,0))=Under_LineCal_v9!$B$45,COUNTIFS(Frozen_Predictions!$A$4:$A$203,A177,Frozen_Predictions!$L$4:$L$203,"&lt;&gt;",Frozen_Predictions!$L$4:$L$203,"&gt;=0",Frozen_Predictions!$L$4:$L$203,"&lt;=1")=1,COUNTIFS($A$4:$A$203,A177)=1)),"SNAPSHOT NOT VALID",IF(AND(ISNUMBER(I177),I177&gt;=0,I177&lt;=1,ISNUMBER(N177),P177&lt;&gt;"",ISNUMBER(Q177),Q177&gt;=B177,OR(G177="U3.5",G177="U4.5",G177="U5.5")),"SETTLED","PENDING RESULT")),"SNAPSHOT NOT VALID")))</x:f>
      </x:c>
    </x:row>
    <x:row r="178" ht="23" customHeight="1">
      <x:c r="A178" s="175"/>
      <x:c r="B178" s="200" t="str">
        <x:f>IF(A178="","",IFERROR(INDEX(Frozen_Predictions!$C$4:$C$203,MATCH(A178,Frozen_Predictions!$A$4:$A$203,0)),""))</x:f>
      </x:c>
      <x:c r="C178" s="172" t="str">
        <x:f>IF(A178="","",IFERROR(INDEX(Frozen_Predictions!$E$4:$E$203,MATCH(A178,Frozen_Predictions!$A$4:$A$203,0)),""))</x:f>
      </x:c>
      <x:c r="D178" s="172" t="str">
        <x:f>IF(A178="","",IFERROR(INDEX(Frozen_Predictions!$F$4:$F$203,MATCH(A178,Frozen_Predictions!$A$4:$A$203,0)),""))</x:f>
      </x:c>
      <x:c r="E178" s="172" t="str">
        <x:f>IF(A178="","",IFERROR(INDEX(Frozen_Predictions!$G$4:$G$203,MATCH(A178,Frozen_Predictions!$A$4:$A$203,0)),""))</x:f>
      </x:c>
      <x:c r="F178" s="172" t="str">
        <x:f>IF(A178="","",IFERROR(INDEX(Frozen_Predictions!$H$4:$H$203,MATCH(A178,Frozen_Predictions!$A$4:$A$203,0)),""))</x:f>
      </x:c>
      <x:c r="G178" s="172" t="str">
        <x:f>IF(A178="","",IFERROR(INDEX(Frozen_Predictions!$I$4:$I$203,MATCH(A178,Frozen_Predictions!$A$4:$A$203,0)),""))</x:f>
      </x:c>
      <x:c r="H178" s="172" t="str">
        <x:f>IF(A178="","",IFERROR(INDEX(Frozen_Predictions!$J$4:$J$203,MATCH(A178,Frozen_Predictions!$A$4:$A$203,0)),""))</x:f>
      </x:c>
      <x:c r="I178" s="192" t="str">
        <x:f>IF(A178="","",IFERROR(INDEX(Frozen_Predictions!$L$4:$L$203,MATCH(A178,Frozen_Predictions!$A$4:$A$203,0)),""))</x:f>
      </x:c>
      <x:c r="J178" s="172" t="str">
        <x:f>IF(X178&lt;&gt;"SETTLED","",IF(N178&lt;=IF(G178="U3.5",3,IF(G178="U4.5",4,5)),1,0))</x:f>
      </x:c>
      <x:c r="K178" s="195" t="str">
        <x:f>IF(X178&lt;&gt;"SETTLED","",IF(AND(OR(V178="DEFENSIV",V178="PRUDENT",V178="MODERAT",V178="RIDICAT"),ISNUMBER(INDEX(Frozen_Predictions!$Y$4:$Y$203,MATCH(A178,Frozen_Predictions!$A$4:$A$203,0))),INDEX(Frozen_Predictions!$Y$4:$Y$203,MATCH(A178,Frozen_Predictions!$A$4:$A$203,0))&gt;1),IF(J178=1,INDEX(Frozen_Predictions!$Y$4:$Y$203,MATCH(A178,Frozen_Predictions!$A$4:$A$203,0))-1,-1),""))</x:f>
      </x:c>
      <x:c r="L178" s="175"/>
      <x:c r="M178" s="175"/>
      <x:c r="N178" s="172" t="str">
        <x:f>IFERROR(IF(AND(ISNUMBER(L178),ISNUMBER(M178),L178&gt;=0,M178&gt;=0,INT(L178)=L178,INT(M178)=M178),L178+M178,""),"")</x:f>
      </x:c>
      <x:c r="O178" s="172" t="str">
        <x:f>IF(X178&lt;&gt;"SETTLED","",IF(J178=1,"WIN",IF(N178=IF(G178="U3.5",4,IF(G178="U4.5",5,6)),"NEAR TAIL","SEVERE TAIL")))</x:f>
      </x:c>
      <x:c r="P178" s="175"/>
      <x:c r="Q178" s="177"/>
      <x:c r="R178" s="213" t="str">
        <x:f>IF(X178&lt;&gt;"SETTLED","",(I178-J178)^2)</x:f>
      </x:c>
      <x:c r="S178" s="213" t="str">
        <x:f>IF(X178&lt;&gt;"SETTLED","",-(J178*LN(MAX(0.000001,MIN(0.999999,I178)))+(1-J178)*LN(MAX(0.000001,MIN(0.999999,1-I178)))))</x:f>
      </x:c>
      <x:c r="T178" s="172" t="str">
        <x:f>IF(A178="","",IFERROR(INDEX(Frozen_Predictions!$N$4:$N$203,MATCH(A178,Frozen_Predictions!$A$4:$A$203,0)),""))</x:f>
      </x:c>
      <x:c r="U178" s="172" t="str">
        <x:f>IF(A178="","",IFERROR(INDEX(Frozen_Predictions!$O$4:$O$203,MATCH(A178,Frozen_Predictions!$A$4:$A$203,0)),""))</x:f>
      </x:c>
      <x:c r="V178" s="172" t="str">
        <x:f>IF(A178="","",IFERROR(INDEX(Frozen_Predictions!$M$4:$M$203,MATCH(A178,Frozen_Predictions!$A$4:$A$203,0)),""))</x:f>
      </x:c>
      <x:c r="W178" s="175"/>
      <x:c r="X178" s="172" t="str">
        <x:f>IF(A178="","",IF(NOT(COUNTIFS(Frozen_Predictions!$A$4:$A$203,A178)=1),"SNAPSHOT ID INVALID",IFERROR(IF(NOT(AND(INDEX(Frozen_Predictions!$Q$4:$Q$203,MATCH(A178,Frozen_Predictions!$A$4:$A$203,0))="DA",ISNUMBER(INDEX(Frozen_Predictions!$B$4:$B$203,MATCH(A178,Frozen_Predictions!$A$4:$A$203,0))),ISNUMBER(INDEX(Frozen_Predictions!$C$4:$C$203,MATCH(A178,Frozen_Predictions!$A$4:$A$203,0))),INDEX(Frozen_Predictions!$B$4:$B$203,MATCH(A178,Frozen_Predictions!$A$4:$A$203,0))&lt;INDEX(Frozen_Predictions!$C$4:$C$203,MATCH(A178,Frozen_Predictions!$A$4:$A$203,0)),INDEX(Frozen_Predictions!$V$4:$V$203,MATCH(A178,Frozen_Predictions!$A$4:$A$203,0))="READY",INDEX(Frozen_Predictions!$O$4:$O$203,MATCH(A178,Frozen_Predictions!$A$4:$A$203,0))="PASS",INDEX(Frozen_Predictions!$J$4:$J$203,MATCH(A178,Frozen_Predictions!$A$4:$A$203,0))=Under_LineCal_v9!$B$45,COUNTIFS(Frozen_Predictions!$A$4:$A$203,A178,Frozen_Predictions!$L$4:$L$203,"&lt;&gt;",Frozen_Predictions!$L$4:$L$203,"&gt;=0",Frozen_Predictions!$L$4:$L$203,"&lt;=1")=1,COUNTIFS($A$4:$A$203,A178)=1)),"SNAPSHOT NOT VALID",IF(AND(ISNUMBER(I178),I178&gt;=0,I178&lt;=1,ISNUMBER(N178),P178&lt;&gt;"",ISNUMBER(Q178),Q178&gt;=B178,OR(G178="U3.5",G178="U4.5",G178="U5.5")),"SETTLED","PENDING RESULT")),"SNAPSHOT NOT VALID")))</x:f>
      </x:c>
    </x:row>
    <x:row r="179" ht="23" customHeight="1">
      <x:c r="A179" s="175"/>
      <x:c r="B179" s="200" t="str">
        <x:f>IF(A179="","",IFERROR(INDEX(Frozen_Predictions!$C$4:$C$203,MATCH(A179,Frozen_Predictions!$A$4:$A$203,0)),""))</x:f>
      </x:c>
      <x:c r="C179" s="172" t="str">
        <x:f>IF(A179="","",IFERROR(INDEX(Frozen_Predictions!$E$4:$E$203,MATCH(A179,Frozen_Predictions!$A$4:$A$203,0)),""))</x:f>
      </x:c>
      <x:c r="D179" s="172" t="str">
        <x:f>IF(A179="","",IFERROR(INDEX(Frozen_Predictions!$F$4:$F$203,MATCH(A179,Frozen_Predictions!$A$4:$A$203,0)),""))</x:f>
      </x:c>
      <x:c r="E179" s="172" t="str">
        <x:f>IF(A179="","",IFERROR(INDEX(Frozen_Predictions!$G$4:$G$203,MATCH(A179,Frozen_Predictions!$A$4:$A$203,0)),""))</x:f>
      </x:c>
      <x:c r="F179" s="172" t="str">
        <x:f>IF(A179="","",IFERROR(INDEX(Frozen_Predictions!$H$4:$H$203,MATCH(A179,Frozen_Predictions!$A$4:$A$203,0)),""))</x:f>
      </x:c>
      <x:c r="G179" s="172" t="str">
        <x:f>IF(A179="","",IFERROR(INDEX(Frozen_Predictions!$I$4:$I$203,MATCH(A179,Frozen_Predictions!$A$4:$A$203,0)),""))</x:f>
      </x:c>
      <x:c r="H179" s="172" t="str">
        <x:f>IF(A179="","",IFERROR(INDEX(Frozen_Predictions!$J$4:$J$203,MATCH(A179,Frozen_Predictions!$A$4:$A$203,0)),""))</x:f>
      </x:c>
      <x:c r="I179" s="192" t="str">
        <x:f>IF(A179="","",IFERROR(INDEX(Frozen_Predictions!$L$4:$L$203,MATCH(A179,Frozen_Predictions!$A$4:$A$203,0)),""))</x:f>
      </x:c>
      <x:c r="J179" s="172" t="str">
        <x:f>IF(X179&lt;&gt;"SETTLED","",IF(N179&lt;=IF(G179="U3.5",3,IF(G179="U4.5",4,5)),1,0))</x:f>
      </x:c>
      <x:c r="K179" s="195" t="str">
        <x:f>IF(X179&lt;&gt;"SETTLED","",IF(AND(OR(V179="DEFENSIV",V179="PRUDENT",V179="MODERAT",V179="RIDICAT"),ISNUMBER(INDEX(Frozen_Predictions!$Y$4:$Y$203,MATCH(A179,Frozen_Predictions!$A$4:$A$203,0))),INDEX(Frozen_Predictions!$Y$4:$Y$203,MATCH(A179,Frozen_Predictions!$A$4:$A$203,0))&gt;1),IF(J179=1,INDEX(Frozen_Predictions!$Y$4:$Y$203,MATCH(A179,Frozen_Predictions!$A$4:$A$203,0))-1,-1),""))</x:f>
      </x:c>
      <x:c r="L179" s="175"/>
      <x:c r="M179" s="175"/>
      <x:c r="N179" s="172" t="str">
        <x:f>IFERROR(IF(AND(ISNUMBER(L179),ISNUMBER(M179),L179&gt;=0,M179&gt;=0,INT(L179)=L179,INT(M179)=M179),L179+M179,""),"")</x:f>
      </x:c>
      <x:c r="O179" s="172" t="str">
        <x:f>IF(X179&lt;&gt;"SETTLED","",IF(J179=1,"WIN",IF(N179=IF(G179="U3.5",4,IF(G179="U4.5",5,6)),"NEAR TAIL","SEVERE TAIL")))</x:f>
      </x:c>
      <x:c r="P179" s="175"/>
      <x:c r="Q179" s="177"/>
      <x:c r="R179" s="213" t="str">
        <x:f>IF(X179&lt;&gt;"SETTLED","",(I179-J179)^2)</x:f>
      </x:c>
      <x:c r="S179" s="213" t="str">
        <x:f>IF(X179&lt;&gt;"SETTLED","",-(J179*LN(MAX(0.000001,MIN(0.999999,I179)))+(1-J179)*LN(MAX(0.000001,MIN(0.999999,1-I179)))))</x:f>
      </x:c>
      <x:c r="T179" s="172" t="str">
        <x:f>IF(A179="","",IFERROR(INDEX(Frozen_Predictions!$N$4:$N$203,MATCH(A179,Frozen_Predictions!$A$4:$A$203,0)),""))</x:f>
      </x:c>
      <x:c r="U179" s="172" t="str">
        <x:f>IF(A179="","",IFERROR(INDEX(Frozen_Predictions!$O$4:$O$203,MATCH(A179,Frozen_Predictions!$A$4:$A$203,0)),""))</x:f>
      </x:c>
      <x:c r="V179" s="172" t="str">
        <x:f>IF(A179="","",IFERROR(INDEX(Frozen_Predictions!$M$4:$M$203,MATCH(A179,Frozen_Predictions!$A$4:$A$203,0)),""))</x:f>
      </x:c>
      <x:c r="W179" s="175"/>
      <x:c r="X179" s="172" t="str">
        <x:f>IF(A179="","",IF(NOT(COUNTIFS(Frozen_Predictions!$A$4:$A$203,A179)=1),"SNAPSHOT ID INVALID",IFERROR(IF(NOT(AND(INDEX(Frozen_Predictions!$Q$4:$Q$203,MATCH(A179,Frozen_Predictions!$A$4:$A$203,0))="DA",ISNUMBER(INDEX(Frozen_Predictions!$B$4:$B$203,MATCH(A179,Frozen_Predictions!$A$4:$A$203,0))),ISNUMBER(INDEX(Frozen_Predictions!$C$4:$C$203,MATCH(A179,Frozen_Predictions!$A$4:$A$203,0))),INDEX(Frozen_Predictions!$B$4:$B$203,MATCH(A179,Frozen_Predictions!$A$4:$A$203,0))&lt;INDEX(Frozen_Predictions!$C$4:$C$203,MATCH(A179,Frozen_Predictions!$A$4:$A$203,0)),INDEX(Frozen_Predictions!$V$4:$V$203,MATCH(A179,Frozen_Predictions!$A$4:$A$203,0))="READY",INDEX(Frozen_Predictions!$O$4:$O$203,MATCH(A179,Frozen_Predictions!$A$4:$A$203,0))="PASS",INDEX(Frozen_Predictions!$J$4:$J$203,MATCH(A179,Frozen_Predictions!$A$4:$A$203,0))=Under_LineCal_v9!$B$45,COUNTIFS(Frozen_Predictions!$A$4:$A$203,A179,Frozen_Predictions!$L$4:$L$203,"&lt;&gt;",Frozen_Predictions!$L$4:$L$203,"&gt;=0",Frozen_Predictions!$L$4:$L$203,"&lt;=1")=1,COUNTIFS($A$4:$A$203,A179)=1)),"SNAPSHOT NOT VALID",IF(AND(ISNUMBER(I179),I179&gt;=0,I179&lt;=1,ISNUMBER(N179),P179&lt;&gt;"",ISNUMBER(Q179),Q179&gt;=B179,OR(G179="U3.5",G179="U4.5",G179="U5.5")),"SETTLED","PENDING RESULT")),"SNAPSHOT NOT VALID")))</x:f>
      </x:c>
    </x:row>
    <x:row r="180" ht="23" customHeight="1">
      <x:c r="A180" s="175"/>
      <x:c r="B180" s="200" t="str">
        <x:f>IF(A180="","",IFERROR(INDEX(Frozen_Predictions!$C$4:$C$203,MATCH(A180,Frozen_Predictions!$A$4:$A$203,0)),""))</x:f>
      </x:c>
      <x:c r="C180" s="172" t="str">
        <x:f>IF(A180="","",IFERROR(INDEX(Frozen_Predictions!$E$4:$E$203,MATCH(A180,Frozen_Predictions!$A$4:$A$203,0)),""))</x:f>
      </x:c>
      <x:c r="D180" s="172" t="str">
        <x:f>IF(A180="","",IFERROR(INDEX(Frozen_Predictions!$F$4:$F$203,MATCH(A180,Frozen_Predictions!$A$4:$A$203,0)),""))</x:f>
      </x:c>
      <x:c r="E180" s="172" t="str">
        <x:f>IF(A180="","",IFERROR(INDEX(Frozen_Predictions!$G$4:$G$203,MATCH(A180,Frozen_Predictions!$A$4:$A$203,0)),""))</x:f>
      </x:c>
      <x:c r="F180" s="172" t="str">
        <x:f>IF(A180="","",IFERROR(INDEX(Frozen_Predictions!$H$4:$H$203,MATCH(A180,Frozen_Predictions!$A$4:$A$203,0)),""))</x:f>
      </x:c>
      <x:c r="G180" s="172" t="str">
        <x:f>IF(A180="","",IFERROR(INDEX(Frozen_Predictions!$I$4:$I$203,MATCH(A180,Frozen_Predictions!$A$4:$A$203,0)),""))</x:f>
      </x:c>
      <x:c r="H180" s="172" t="str">
        <x:f>IF(A180="","",IFERROR(INDEX(Frozen_Predictions!$J$4:$J$203,MATCH(A180,Frozen_Predictions!$A$4:$A$203,0)),""))</x:f>
      </x:c>
      <x:c r="I180" s="192" t="str">
        <x:f>IF(A180="","",IFERROR(INDEX(Frozen_Predictions!$L$4:$L$203,MATCH(A180,Frozen_Predictions!$A$4:$A$203,0)),""))</x:f>
      </x:c>
      <x:c r="J180" s="172" t="str">
        <x:f>IF(X180&lt;&gt;"SETTLED","",IF(N180&lt;=IF(G180="U3.5",3,IF(G180="U4.5",4,5)),1,0))</x:f>
      </x:c>
      <x:c r="K180" s="195" t="str">
        <x:f>IF(X180&lt;&gt;"SETTLED","",IF(AND(OR(V180="DEFENSIV",V180="PRUDENT",V180="MODERAT",V180="RIDICAT"),ISNUMBER(INDEX(Frozen_Predictions!$Y$4:$Y$203,MATCH(A180,Frozen_Predictions!$A$4:$A$203,0))),INDEX(Frozen_Predictions!$Y$4:$Y$203,MATCH(A180,Frozen_Predictions!$A$4:$A$203,0))&gt;1),IF(J180=1,INDEX(Frozen_Predictions!$Y$4:$Y$203,MATCH(A180,Frozen_Predictions!$A$4:$A$203,0))-1,-1),""))</x:f>
      </x:c>
      <x:c r="L180" s="175"/>
      <x:c r="M180" s="175"/>
      <x:c r="N180" s="172" t="str">
        <x:f>IFERROR(IF(AND(ISNUMBER(L180),ISNUMBER(M180),L180&gt;=0,M180&gt;=0,INT(L180)=L180,INT(M180)=M180),L180+M180,""),"")</x:f>
      </x:c>
      <x:c r="O180" s="172" t="str">
        <x:f>IF(X180&lt;&gt;"SETTLED","",IF(J180=1,"WIN",IF(N180=IF(G180="U3.5",4,IF(G180="U4.5",5,6)),"NEAR TAIL","SEVERE TAIL")))</x:f>
      </x:c>
      <x:c r="P180" s="175"/>
      <x:c r="Q180" s="177"/>
      <x:c r="R180" s="213" t="str">
        <x:f>IF(X180&lt;&gt;"SETTLED","",(I180-J180)^2)</x:f>
      </x:c>
      <x:c r="S180" s="213" t="str">
        <x:f>IF(X180&lt;&gt;"SETTLED","",-(J180*LN(MAX(0.000001,MIN(0.999999,I180)))+(1-J180)*LN(MAX(0.000001,MIN(0.999999,1-I180)))))</x:f>
      </x:c>
      <x:c r="T180" s="172" t="str">
        <x:f>IF(A180="","",IFERROR(INDEX(Frozen_Predictions!$N$4:$N$203,MATCH(A180,Frozen_Predictions!$A$4:$A$203,0)),""))</x:f>
      </x:c>
      <x:c r="U180" s="172" t="str">
        <x:f>IF(A180="","",IFERROR(INDEX(Frozen_Predictions!$O$4:$O$203,MATCH(A180,Frozen_Predictions!$A$4:$A$203,0)),""))</x:f>
      </x:c>
      <x:c r="V180" s="172" t="str">
        <x:f>IF(A180="","",IFERROR(INDEX(Frozen_Predictions!$M$4:$M$203,MATCH(A180,Frozen_Predictions!$A$4:$A$203,0)),""))</x:f>
      </x:c>
      <x:c r="W180" s="175"/>
      <x:c r="X180" s="172" t="str">
        <x:f>IF(A180="","",IF(NOT(COUNTIFS(Frozen_Predictions!$A$4:$A$203,A180)=1),"SNAPSHOT ID INVALID",IFERROR(IF(NOT(AND(INDEX(Frozen_Predictions!$Q$4:$Q$203,MATCH(A180,Frozen_Predictions!$A$4:$A$203,0))="DA",ISNUMBER(INDEX(Frozen_Predictions!$B$4:$B$203,MATCH(A180,Frozen_Predictions!$A$4:$A$203,0))),ISNUMBER(INDEX(Frozen_Predictions!$C$4:$C$203,MATCH(A180,Frozen_Predictions!$A$4:$A$203,0))),INDEX(Frozen_Predictions!$B$4:$B$203,MATCH(A180,Frozen_Predictions!$A$4:$A$203,0))&lt;INDEX(Frozen_Predictions!$C$4:$C$203,MATCH(A180,Frozen_Predictions!$A$4:$A$203,0)),INDEX(Frozen_Predictions!$V$4:$V$203,MATCH(A180,Frozen_Predictions!$A$4:$A$203,0))="READY",INDEX(Frozen_Predictions!$O$4:$O$203,MATCH(A180,Frozen_Predictions!$A$4:$A$203,0))="PASS",INDEX(Frozen_Predictions!$J$4:$J$203,MATCH(A180,Frozen_Predictions!$A$4:$A$203,0))=Under_LineCal_v9!$B$45,COUNTIFS(Frozen_Predictions!$A$4:$A$203,A180,Frozen_Predictions!$L$4:$L$203,"&lt;&gt;",Frozen_Predictions!$L$4:$L$203,"&gt;=0",Frozen_Predictions!$L$4:$L$203,"&lt;=1")=1,COUNTIFS($A$4:$A$203,A180)=1)),"SNAPSHOT NOT VALID",IF(AND(ISNUMBER(I180),I180&gt;=0,I180&lt;=1,ISNUMBER(N180),P180&lt;&gt;"",ISNUMBER(Q180),Q180&gt;=B180,OR(G180="U3.5",G180="U4.5",G180="U5.5")),"SETTLED","PENDING RESULT")),"SNAPSHOT NOT VALID")))</x:f>
      </x:c>
    </x:row>
    <x:row r="181" ht="23" customHeight="1">
      <x:c r="A181" s="175"/>
      <x:c r="B181" s="200" t="str">
        <x:f>IF(A181="","",IFERROR(INDEX(Frozen_Predictions!$C$4:$C$203,MATCH(A181,Frozen_Predictions!$A$4:$A$203,0)),""))</x:f>
      </x:c>
      <x:c r="C181" s="172" t="str">
        <x:f>IF(A181="","",IFERROR(INDEX(Frozen_Predictions!$E$4:$E$203,MATCH(A181,Frozen_Predictions!$A$4:$A$203,0)),""))</x:f>
      </x:c>
      <x:c r="D181" s="172" t="str">
        <x:f>IF(A181="","",IFERROR(INDEX(Frozen_Predictions!$F$4:$F$203,MATCH(A181,Frozen_Predictions!$A$4:$A$203,0)),""))</x:f>
      </x:c>
      <x:c r="E181" s="172" t="str">
        <x:f>IF(A181="","",IFERROR(INDEX(Frozen_Predictions!$G$4:$G$203,MATCH(A181,Frozen_Predictions!$A$4:$A$203,0)),""))</x:f>
      </x:c>
      <x:c r="F181" s="172" t="str">
        <x:f>IF(A181="","",IFERROR(INDEX(Frozen_Predictions!$H$4:$H$203,MATCH(A181,Frozen_Predictions!$A$4:$A$203,0)),""))</x:f>
      </x:c>
      <x:c r="G181" s="172" t="str">
        <x:f>IF(A181="","",IFERROR(INDEX(Frozen_Predictions!$I$4:$I$203,MATCH(A181,Frozen_Predictions!$A$4:$A$203,0)),""))</x:f>
      </x:c>
      <x:c r="H181" s="172" t="str">
        <x:f>IF(A181="","",IFERROR(INDEX(Frozen_Predictions!$J$4:$J$203,MATCH(A181,Frozen_Predictions!$A$4:$A$203,0)),""))</x:f>
      </x:c>
      <x:c r="I181" s="192" t="str">
        <x:f>IF(A181="","",IFERROR(INDEX(Frozen_Predictions!$L$4:$L$203,MATCH(A181,Frozen_Predictions!$A$4:$A$203,0)),""))</x:f>
      </x:c>
      <x:c r="J181" s="172" t="str">
        <x:f>IF(X181&lt;&gt;"SETTLED","",IF(N181&lt;=IF(G181="U3.5",3,IF(G181="U4.5",4,5)),1,0))</x:f>
      </x:c>
      <x:c r="K181" s="195" t="str">
        <x:f>IF(X181&lt;&gt;"SETTLED","",IF(AND(OR(V181="DEFENSIV",V181="PRUDENT",V181="MODERAT",V181="RIDICAT"),ISNUMBER(INDEX(Frozen_Predictions!$Y$4:$Y$203,MATCH(A181,Frozen_Predictions!$A$4:$A$203,0))),INDEX(Frozen_Predictions!$Y$4:$Y$203,MATCH(A181,Frozen_Predictions!$A$4:$A$203,0))&gt;1),IF(J181=1,INDEX(Frozen_Predictions!$Y$4:$Y$203,MATCH(A181,Frozen_Predictions!$A$4:$A$203,0))-1,-1),""))</x:f>
      </x:c>
      <x:c r="L181" s="175"/>
      <x:c r="M181" s="175"/>
      <x:c r="N181" s="172" t="str">
        <x:f>IFERROR(IF(AND(ISNUMBER(L181),ISNUMBER(M181),L181&gt;=0,M181&gt;=0,INT(L181)=L181,INT(M181)=M181),L181+M181,""),"")</x:f>
      </x:c>
      <x:c r="O181" s="172" t="str">
        <x:f>IF(X181&lt;&gt;"SETTLED","",IF(J181=1,"WIN",IF(N181=IF(G181="U3.5",4,IF(G181="U4.5",5,6)),"NEAR TAIL","SEVERE TAIL")))</x:f>
      </x:c>
      <x:c r="P181" s="175"/>
      <x:c r="Q181" s="177"/>
      <x:c r="R181" s="213" t="str">
        <x:f>IF(X181&lt;&gt;"SETTLED","",(I181-J181)^2)</x:f>
      </x:c>
      <x:c r="S181" s="213" t="str">
        <x:f>IF(X181&lt;&gt;"SETTLED","",-(J181*LN(MAX(0.000001,MIN(0.999999,I181)))+(1-J181)*LN(MAX(0.000001,MIN(0.999999,1-I181)))))</x:f>
      </x:c>
      <x:c r="T181" s="172" t="str">
        <x:f>IF(A181="","",IFERROR(INDEX(Frozen_Predictions!$N$4:$N$203,MATCH(A181,Frozen_Predictions!$A$4:$A$203,0)),""))</x:f>
      </x:c>
      <x:c r="U181" s="172" t="str">
        <x:f>IF(A181="","",IFERROR(INDEX(Frozen_Predictions!$O$4:$O$203,MATCH(A181,Frozen_Predictions!$A$4:$A$203,0)),""))</x:f>
      </x:c>
      <x:c r="V181" s="172" t="str">
        <x:f>IF(A181="","",IFERROR(INDEX(Frozen_Predictions!$M$4:$M$203,MATCH(A181,Frozen_Predictions!$A$4:$A$203,0)),""))</x:f>
      </x:c>
      <x:c r="W181" s="175"/>
      <x:c r="X181" s="172" t="str">
        <x:f>IF(A181="","",IF(NOT(COUNTIFS(Frozen_Predictions!$A$4:$A$203,A181)=1),"SNAPSHOT ID INVALID",IFERROR(IF(NOT(AND(INDEX(Frozen_Predictions!$Q$4:$Q$203,MATCH(A181,Frozen_Predictions!$A$4:$A$203,0))="DA",ISNUMBER(INDEX(Frozen_Predictions!$B$4:$B$203,MATCH(A181,Frozen_Predictions!$A$4:$A$203,0))),ISNUMBER(INDEX(Frozen_Predictions!$C$4:$C$203,MATCH(A181,Frozen_Predictions!$A$4:$A$203,0))),INDEX(Frozen_Predictions!$B$4:$B$203,MATCH(A181,Frozen_Predictions!$A$4:$A$203,0))&lt;INDEX(Frozen_Predictions!$C$4:$C$203,MATCH(A181,Frozen_Predictions!$A$4:$A$203,0)),INDEX(Frozen_Predictions!$V$4:$V$203,MATCH(A181,Frozen_Predictions!$A$4:$A$203,0))="READY",INDEX(Frozen_Predictions!$O$4:$O$203,MATCH(A181,Frozen_Predictions!$A$4:$A$203,0))="PASS",INDEX(Frozen_Predictions!$J$4:$J$203,MATCH(A181,Frozen_Predictions!$A$4:$A$203,0))=Under_LineCal_v9!$B$45,COUNTIFS(Frozen_Predictions!$A$4:$A$203,A181,Frozen_Predictions!$L$4:$L$203,"&lt;&gt;",Frozen_Predictions!$L$4:$L$203,"&gt;=0",Frozen_Predictions!$L$4:$L$203,"&lt;=1")=1,COUNTIFS($A$4:$A$203,A181)=1)),"SNAPSHOT NOT VALID",IF(AND(ISNUMBER(I181),I181&gt;=0,I181&lt;=1,ISNUMBER(N181),P181&lt;&gt;"",ISNUMBER(Q181),Q181&gt;=B181,OR(G181="U3.5",G181="U4.5",G181="U5.5")),"SETTLED","PENDING RESULT")),"SNAPSHOT NOT VALID")))</x:f>
      </x:c>
    </x:row>
    <x:row r="182" ht="23" customHeight="1">
      <x:c r="A182" s="175"/>
      <x:c r="B182" s="200" t="str">
        <x:f>IF(A182="","",IFERROR(INDEX(Frozen_Predictions!$C$4:$C$203,MATCH(A182,Frozen_Predictions!$A$4:$A$203,0)),""))</x:f>
      </x:c>
      <x:c r="C182" s="172" t="str">
        <x:f>IF(A182="","",IFERROR(INDEX(Frozen_Predictions!$E$4:$E$203,MATCH(A182,Frozen_Predictions!$A$4:$A$203,0)),""))</x:f>
      </x:c>
      <x:c r="D182" s="172" t="str">
        <x:f>IF(A182="","",IFERROR(INDEX(Frozen_Predictions!$F$4:$F$203,MATCH(A182,Frozen_Predictions!$A$4:$A$203,0)),""))</x:f>
      </x:c>
      <x:c r="E182" s="172" t="str">
        <x:f>IF(A182="","",IFERROR(INDEX(Frozen_Predictions!$G$4:$G$203,MATCH(A182,Frozen_Predictions!$A$4:$A$203,0)),""))</x:f>
      </x:c>
      <x:c r="F182" s="172" t="str">
        <x:f>IF(A182="","",IFERROR(INDEX(Frozen_Predictions!$H$4:$H$203,MATCH(A182,Frozen_Predictions!$A$4:$A$203,0)),""))</x:f>
      </x:c>
      <x:c r="G182" s="172" t="str">
        <x:f>IF(A182="","",IFERROR(INDEX(Frozen_Predictions!$I$4:$I$203,MATCH(A182,Frozen_Predictions!$A$4:$A$203,0)),""))</x:f>
      </x:c>
      <x:c r="H182" s="172" t="str">
        <x:f>IF(A182="","",IFERROR(INDEX(Frozen_Predictions!$J$4:$J$203,MATCH(A182,Frozen_Predictions!$A$4:$A$203,0)),""))</x:f>
      </x:c>
      <x:c r="I182" s="192" t="str">
        <x:f>IF(A182="","",IFERROR(INDEX(Frozen_Predictions!$L$4:$L$203,MATCH(A182,Frozen_Predictions!$A$4:$A$203,0)),""))</x:f>
      </x:c>
      <x:c r="J182" s="172" t="str">
        <x:f>IF(X182&lt;&gt;"SETTLED","",IF(N182&lt;=IF(G182="U3.5",3,IF(G182="U4.5",4,5)),1,0))</x:f>
      </x:c>
      <x:c r="K182" s="195" t="str">
        <x:f>IF(X182&lt;&gt;"SETTLED","",IF(AND(OR(V182="DEFENSIV",V182="PRUDENT",V182="MODERAT",V182="RIDICAT"),ISNUMBER(INDEX(Frozen_Predictions!$Y$4:$Y$203,MATCH(A182,Frozen_Predictions!$A$4:$A$203,0))),INDEX(Frozen_Predictions!$Y$4:$Y$203,MATCH(A182,Frozen_Predictions!$A$4:$A$203,0))&gt;1),IF(J182=1,INDEX(Frozen_Predictions!$Y$4:$Y$203,MATCH(A182,Frozen_Predictions!$A$4:$A$203,0))-1,-1),""))</x:f>
      </x:c>
      <x:c r="L182" s="175"/>
      <x:c r="M182" s="175"/>
      <x:c r="N182" s="172" t="str">
        <x:f>IFERROR(IF(AND(ISNUMBER(L182),ISNUMBER(M182),L182&gt;=0,M182&gt;=0,INT(L182)=L182,INT(M182)=M182),L182+M182,""),"")</x:f>
      </x:c>
      <x:c r="O182" s="172" t="str">
        <x:f>IF(X182&lt;&gt;"SETTLED","",IF(J182=1,"WIN",IF(N182=IF(G182="U3.5",4,IF(G182="U4.5",5,6)),"NEAR TAIL","SEVERE TAIL")))</x:f>
      </x:c>
      <x:c r="P182" s="175"/>
      <x:c r="Q182" s="177"/>
      <x:c r="R182" s="213" t="str">
        <x:f>IF(X182&lt;&gt;"SETTLED","",(I182-J182)^2)</x:f>
      </x:c>
      <x:c r="S182" s="213" t="str">
        <x:f>IF(X182&lt;&gt;"SETTLED","",-(J182*LN(MAX(0.000001,MIN(0.999999,I182)))+(1-J182)*LN(MAX(0.000001,MIN(0.999999,1-I182)))))</x:f>
      </x:c>
      <x:c r="T182" s="172" t="str">
        <x:f>IF(A182="","",IFERROR(INDEX(Frozen_Predictions!$N$4:$N$203,MATCH(A182,Frozen_Predictions!$A$4:$A$203,0)),""))</x:f>
      </x:c>
      <x:c r="U182" s="172" t="str">
        <x:f>IF(A182="","",IFERROR(INDEX(Frozen_Predictions!$O$4:$O$203,MATCH(A182,Frozen_Predictions!$A$4:$A$203,0)),""))</x:f>
      </x:c>
      <x:c r="V182" s="172" t="str">
        <x:f>IF(A182="","",IFERROR(INDEX(Frozen_Predictions!$M$4:$M$203,MATCH(A182,Frozen_Predictions!$A$4:$A$203,0)),""))</x:f>
      </x:c>
      <x:c r="W182" s="175"/>
      <x:c r="X182" s="172" t="str">
        <x:f>IF(A182="","",IF(NOT(COUNTIFS(Frozen_Predictions!$A$4:$A$203,A182)=1),"SNAPSHOT ID INVALID",IFERROR(IF(NOT(AND(INDEX(Frozen_Predictions!$Q$4:$Q$203,MATCH(A182,Frozen_Predictions!$A$4:$A$203,0))="DA",ISNUMBER(INDEX(Frozen_Predictions!$B$4:$B$203,MATCH(A182,Frozen_Predictions!$A$4:$A$203,0))),ISNUMBER(INDEX(Frozen_Predictions!$C$4:$C$203,MATCH(A182,Frozen_Predictions!$A$4:$A$203,0))),INDEX(Frozen_Predictions!$B$4:$B$203,MATCH(A182,Frozen_Predictions!$A$4:$A$203,0))&lt;INDEX(Frozen_Predictions!$C$4:$C$203,MATCH(A182,Frozen_Predictions!$A$4:$A$203,0)),INDEX(Frozen_Predictions!$V$4:$V$203,MATCH(A182,Frozen_Predictions!$A$4:$A$203,0))="READY",INDEX(Frozen_Predictions!$O$4:$O$203,MATCH(A182,Frozen_Predictions!$A$4:$A$203,0))="PASS",INDEX(Frozen_Predictions!$J$4:$J$203,MATCH(A182,Frozen_Predictions!$A$4:$A$203,0))=Under_LineCal_v9!$B$45,COUNTIFS(Frozen_Predictions!$A$4:$A$203,A182,Frozen_Predictions!$L$4:$L$203,"&lt;&gt;",Frozen_Predictions!$L$4:$L$203,"&gt;=0",Frozen_Predictions!$L$4:$L$203,"&lt;=1")=1,COUNTIFS($A$4:$A$203,A182)=1)),"SNAPSHOT NOT VALID",IF(AND(ISNUMBER(I182),I182&gt;=0,I182&lt;=1,ISNUMBER(N182),P182&lt;&gt;"",ISNUMBER(Q182),Q182&gt;=B182,OR(G182="U3.5",G182="U4.5",G182="U5.5")),"SETTLED","PENDING RESULT")),"SNAPSHOT NOT VALID")))</x:f>
      </x:c>
    </x:row>
    <x:row r="183" ht="23" customHeight="1">
      <x:c r="A183" s="175"/>
      <x:c r="B183" s="200" t="str">
        <x:f>IF(A183="","",IFERROR(INDEX(Frozen_Predictions!$C$4:$C$203,MATCH(A183,Frozen_Predictions!$A$4:$A$203,0)),""))</x:f>
      </x:c>
      <x:c r="C183" s="172" t="str">
        <x:f>IF(A183="","",IFERROR(INDEX(Frozen_Predictions!$E$4:$E$203,MATCH(A183,Frozen_Predictions!$A$4:$A$203,0)),""))</x:f>
      </x:c>
      <x:c r="D183" s="172" t="str">
        <x:f>IF(A183="","",IFERROR(INDEX(Frozen_Predictions!$F$4:$F$203,MATCH(A183,Frozen_Predictions!$A$4:$A$203,0)),""))</x:f>
      </x:c>
      <x:c r="E183" s="172" t="str">
        <x:f>IF(A183="","",IFERROR(INDEX(Frozen_Predictions!$G$4:$G$203,MATCH(A183,Frozen_Predictions!$A$4:$A$203,0)),""))</x:f>
      </x:c>
      <x:c r="F183" s="172" t="str">
        <x:f>IF(A183="","",IFERROR(INDEX(Frozen_Predictions!$H$4:$H$203,MATCH(A183,Frozen_Predictions!$A$4:$A$203,0)),""))</x:f>
      </x:c>
      <x:c r="G183" s="172" t="str">
        <x:f>IF(A183="","",IFERROR(INDEX(Frozen_Predictions!$I$4:$I$203,MATCH(A183,Frozen_Predictions!$A$4:$A$203,0)),""))</x:f>
      </x:c>
      <x:c r="H183" s="172" t="str">
        <x:f>IF(A183="","",IFERROR(INDEX(Frozen_Predictions!$J$4:$J$203,MATCH(A183,Frozen_Predictions!$A$4:$A$203,0)),""))</x:f>
      </x:c>
      <x:c r="I183" s="192" t="str">
        <x:f>IF(A183="","",IFERROR(INDEX(Frozen_Predictions!$L$4:$L$203,MATCH(A183,Frozen_Predictions!$A$4:$A$203,0)),""))</x:f>
      </x:c>
      <x:c r="J183" s="172" t="str">
        <x:f>IF(X183&lt;&gt;"SETTLED","",IF(N183&lt;=IF(G183="U3.5",3,IF(G183="U4.5",4,5)),1,0))</x:f>
      </x:c>
      <x:c r="K183" s="195" t="str">
        <x:f>IF(X183&lt;&gt;"SETTLED","",IF(AND(OR(V183="DEFENSIV",V183="PRUDENT",V183="MODERAT",V183="RIDICAT"),ISNUMBER(INDEX(Frozen_Predictions!$Y$4:$Y$203,MATCH(A183,Frozen_Predictions!$A$4:$A$203,0))),INDEX(Frozen_Predictions!$Y$4:$Y$203,MATCH(A183,Frozen_Predictions!$A$4:$A$203,0))&gt;1),IF(J183=1,INDEX(Frozen_Predictions!$Y$4:$Y$203,MATCH(A183,Frozen_Predictions!$A$4:$A$203,0))-1,-1),""))</x:f>
      </x:c>
      <x:c r="L183" s="175"/>
      <x:c r="M183" s="175"/>
      <x:c r="N183" s="172" t="str">
        <x:f>IFERROR(IF(AND(ISNUMBER(L183),ISNUMBER(M183),L183&gt;=0,M183&gt;=0,INT(L183)=L183,INT(M183)=M183),L183+M183,""),"")</x:f>
      </x:c>
      <x:c r="O183" s="172" t="str">
        <x:f>IF(X183&lt;&gt;"SETTLED","",IF(J183=1,"WIN",IF(N183=IF(G183="U3.5",4,IF(G183="U4.5",5,6)),"NEAR TAIL","SEVERE TAIL")))</x:f>
      </x:c>
      <x:c r="P183" s="175"/>
      <x:c r="Q183" s="177"/>
      <x:c r="R183" s="213" t="str">
        <x:f>IF(X183&lt;&gt;"SETTLED","",(I183-J183)^2)</x:f>
      </x:c>
      <x:c r="S183" s="213" t="str">
        <x:f>IF(X183&lt;&gt;"SETTLED","",-(J183*LN(MAX(0.000001,MIN(0.999999,I183)))+(1-J183)*LN(MAX(0.000001,MIN(0.999999,1-I183)))))</x:f>
      </x:c>
      <x:c r="T183" s="172" t="str">
        <x:f>IF(A183="","",IFERROR(INDEX(Frozen_Predictions!$N$4:$N$203,MATCH(A183,Frozen_Predictions!$A$4:$A$203,0)),""))</x:f>
      </x:c>
      <x:c r="U183" s="172" t="str">
        <x:f>IF(A183="","",IFERROR(INDEX(Frozen_Predictions!$O$4:$O$203,MATCH(A183,Frozen_Predictions!$A$4:$A$203,0)),""))</x:f>
      </x:c>
      <x:c r="V183" s="172" t="str">
        <x:f>IF(A183="","",IFERROR(INDEX(Frozen_Predictions!$M$4:$M$203,MATCH(A183,Frozen_Predictions!$A$4:$A$203,0)),""))</x:f>
      </x:c>
      <x:c r="W183" s="175"/>
      <x:c r="X183" s="172" t="str">
        <x:f>IF(A183="","",IF(NOT(COUNTIFS(Frozen_Predictions!$A$4:$A$203,A183)=1),"SNAPSHOT ID INVALID",IFERROR(IF(NOT(AND(INDEX(Frozen_Predictions!$Q$4:$Q$203,MATCH(A183,Frozen_Predictions!$A$4:$A$203,0))="DA",ISNUMBER(INDEX(Frozen_Predictions!$B$4:$B$203,MATCH(A183,Frozen_Predictions!$A$4:$A$203,0))),ISNUMBER(INDEX(Frozen_Predictions!$C$4:$C$203,MATCH(A183,Frozen_Predictions!$A$4:$A$203,0))),INDEX(Frozen_Predictions!$B$4:$B$203,MATCH(A183,Frozen_Predictions!$A$4:$A$203,0))&lt;INDEX(Frozen_Predictions!$C$4:$C$203,MATCH(A183,Frozen_Predictions!$A$4:$A$203,0)),INDEX(Frozen_Predictions!$V$4:$V$203,MATCH(A183,Frozen_Predictions!$A$4:$A$203,0))="READY",INDEX(Frozen_Predictions!$O$4:$O$203,MATCH(A183,Frozen_Predictions!$A$4:$A$203,0))="PASS",INDEX(Frozen_Predictions!$J$4:$J$203,MATCH(A183,Frozen_Predictions!$A$4:$A$203,0))=Under_LineCal_v9!$B$45,COUNTIFS(Frozen_Predictions!$A$4:$A$203,A183,Frozen_Predictions!$L$4:$L$203,"&lt;&gt;",Frozen_Predictions!$L$4:$L$203,"&gt;=0",Frozen_Predictions!$L$4:$L$203,"&lt;=1")=1,COUNTIFS($A$4:$A$203,A183)=1)),"SNAPSHOT NOT VALID",IF(AND(ISNUMBER(I183),I183&gt;=0,I183&lt;=1,ISNUMBER(N183),P183&lt;&gt;"",ISNUMBER(Q183),Q183&gt;=B183,OR(G183="U3.5",G183="U4.5",G183="U5.5")),"SETTLED","PENDING RESULT")),"SNAPSHOT NOT VALID")))</x:f>
      </x:c>
    </x:row>
    <x:row r="184" ht="23" customHeight="1">
      <x:c r="A184" s="175"/>
      <x:c r="B184" s="200" t="str">
        <x:f>IF(A184="","",IFERROR(INDEX(Frozen_Predictions!$C$4:$C$203,MATCH(A184,Frozen_Predictions!$A$4:$A$203,0)),""))</x:f>
      </x:c>
      <x:c r="C184" s="172" t="str">
        <x:f>IF(A184="","",IFERROR(INDEX(Frozen_Predictions!$E$4:$E$203,MATCH(A184,Frozen_Predictions!$A$4:$A$203,0)),""))</x:f>
      </x:c>
      <x:c r="D184" s="172" t="str">
        <x:f>IF(A184="","",IFERROR(INDEX(Frozen_Predictions!$F$4:$F$203,MATCH(A184,Frozen_Predictions!$A$4:$A$203,0)),""))</x:f>
      </x:c>
      <x:c r="E184" s="172" t="str">
        <x:f>IF(A184="","",IFERROR(INDEX(Frozen_Predictions!$G$4:$G$203,MATCH(A184,Frozen_Predictions!$A$4:$A$203,0)),""))</x:f>
      </x:c>
      <x:c r="F184" s="172" t="str">
        <x:f>IF(A184="","",IFERROR(INDEX(Frozen_Predictions!$H$4:$H$203,MATCH(A184,Frozen_Predictions!$A$4:$A$203,0)),""))</x:f>
      </x:c>
      <x:c r="G184" s="172" t="str">
        <x:f>IF(A184="","",IFERROR(INDEX(Frozen_Predictions!$I$4:$I$203,MATCH(A184,Frozen_Predictions!$A$4:$A$203,0)),""))</x:f>
      </x:c>
      <x:c r="H184" s="172" t="str">
        <x:f>IF(A184="","",IFERROR(INDEX(Frozen_Predictions!$J$4:$J$203,MATCH(A184,Frozen_Predictions!$A$4:$A$203,0)),""))</x:f>
      </x:c>
      <x:c r="I184" s="192" t="str">
        <x:f>IF(A184="","",IFERROR(INDEX(Frozen_Predictions!$L$4:$L$203,MATCH(A184,Frozen_Predictions!$A$4:$A$203,0)),""))</x:f>
      </x:c>
      <x:c r="J184" s="172" t="str">
        <x:f>IF(X184&lt;&gt;"SETTLED","",IF(N184&lt;=IF(G184="U3.5",3,IF(G184="U4.5",4,5)),1,0))</x:f>
      </x:c>
      <x:c r="K184" s="195" t="str">
        <x:f>IF(X184&lt;&gt;"SETTLED","",IF(AND(OR(V184="DEFENSIV",V184="PRUDENT",V184="MODERAT",V184="RIDICAT"),ISNUMBER(INDEX(Frozen_Predictions!$Y$4:$Y$203,MATCH(A184,Frozen_Predictions!$A$4:$A$203,0))),INDEX(Frozen_Predictions!$Y$4:$Y$203,MATCH(A184,Frozen_Predictions!$A$4:$A$203,0))&gt;1),IF(J184=1,INDEX(Frozen_Predictions!$Y$4:$Y$203,MATCH(A184,Frozen_Predictions!$A$4:$A$203,0))-1,-1),""))</x:f>
      </x:c>
      <x:c r="L184" s="175"/>
      <x:c r="M184" s="175"/>
      <x:c r="N184" s="172" t="str">
        <x:f>IFERROR(IF(AND(ISNUMBER(L184),ISNUMBER(M184),L184&gt;=0,M184&gt;=0,INT(L184)=L184,INT(M184)=M184),L184+M184,""),"")</x:f>
      </x:c>
      <x:c r="O184" s="172" t="str">
        <x:f>IF(X184&lt;&gt;"SETTLED","",IF(J184=1,"WIN",IF(N184=IF(G184="U3.5",4,IF(G184="U4.5",5,6)),"NEAR TAIL","SEVERE TAIL")))</x:f>
      </x:c>
      <x:c r="P184" s="175"/>
      <x:c r="Q184" s="177"/>
      <x:c r="R184" s="213" t="str">
        <x:f>IF(X184&lt;&gt;"SETTLED","",(I184-J184)^2)</x:f>
      </x:c>
      <x:c r="S184" s="213" t="str">
        <x:f>IF(X184&lt;&gt;"SETTLED","",-(J184*LN(MAX(0.000001,MIN(0.999999,I184)))+(1-J184)*LN(MAX(0.000001,MIN(0.999999,1-I184)))))</x:f>
      </x:c>
      <x:c r="T184" s="172" t="str">
        <x:f>IF(A184="","",IFERROR(INDEX(Frozen_Predictions!$N$4:$N$203,MATCH(A184,Frozen_Predictions!$A$4:$A$203,0)),""))</x:f>
      </x:c>
      <x:c r="U184" s="172" t="str">
        <x:f>IF(A184="","",IFERROR(INDEX(Frozen_Predictions!$O$4:$O$203,MATCH(A184,Frozen_Predictions!$A$4:$A$203,0)),""))</x:f>
      </x:c>
      <x:c r="V184" s="172" t="str">
        <x:f>IF(A184="","",IFERROR(INDEX(Frozen_Predictions!$M$4:$M$203,MATCH(A184,Frozen_Predictions!$A$4:$A$203,0)),""))</x:f>
      </x:c>
      <x:c r="W184" s="175"/>
      <x:c r="X184" s="172" t="str">
        <x:f>IF(A184="","",IF(NOT(COUNTIFS(Frozen_Predictions!$A$4:$A$203,A184)=1),"SNAPSHOT ID INVALID",IFERROR(IF(NOT(AND(INDEX(Frozen_Predictions!$Q$4:$Q$203,MATCH(A184,Frozen_Predictions!$A$4:$A$203,0))="DA",ISNUMBER(INDEX(Frozen_Predictions!$B$4:$B$203,MATCH(A184,Frozen_Predictions!$A$4:$A$203,0))),ISNUMBER(INDEX(Frozen_Predictions!$C$4:$C$203,MATCH(A184,Frozen_Predictions!$A$4:$A$203,0))),INDEX(Frozen_Predictions!$B$4:$B$203,MATCH(A184,Frozen_Predictions!$A$4:$A$203,0))&lt;INDEX(Frozen_Predictions!$C$4:$C$203,MATCH(A184,Frozen_Predictions!$A$4:$A$203,0)),INDEX(Frozen_Predictions!$V$4:$V$203,MATCH(A184,Frozen_Predictions!$A$4:$A$203,0))="READY",INDEX(Frozen_Predictions!$O$4:$O$203,MATCH(A184,Frozen_Predictions!$A$4:$A$203,0))="PASS",INDEX(Frozen_Predictions!$J$4:$J$203,MATCH(A184,Frozen_Predictions!$A$4:$A$203,0))=Under_LineCal_v9!$B$45,COUNTIFS(Frozen_Predictions!$A$4:$A$203,A184,Frozen_Predictions!$L$4:$L$203,"&lt;&gt;",Frozen_Predictions!$L$4:$L$203,"&gt;=0",Frozen_Predictions!$L$4:$L$203,"&lt;=1")=1,COUNTIFS($A$4:$A$203,A184)=1)),"SNAPSHOT NOT VALID",IF(AND(ISNUMBER(I184),I184&gt;=0,I184&lt;=1,ISNUMBER(N184),P184&lt;&gt;"",ISNUMBER(Q184),Q184&gt;=B184,OR(G184="U3.5",G184="U4.5",G184="U5.5")),"SETTLED","PENDING RESULT")),"SNAPSHOT NOT VALID")))</x:f>
      </x:c>
    </x:row>
    <x:row r="185" ht="23" customHeight="1">
      <x:c r="A185" s="175"/>
      <x:c r="B185" s="200" t="str">
        <x:f>IF(A185="","",IFERROR(INDEX(Frozen_Predictions!$C$4:$C$203,MATCH(A185,Frozen_Predictions!$A$4:$A$203,0)),""))</x:f>
      </x:c>
      <x:c r="C185" s="172" t="str">
        <x:f>IF(A185="","",IFERROR(INDEX(Frozen_Predictions!$E$4:$E$203,MATCH(A185,Frozen_Predictions!$A$4:$A$203,0)),""))</x:f>
      </x:c>
      <x:c r="D185" s="172" t="str">
        <x:f>IF(A185="","",IFERROR(INDEX(Frozen_Predictions!$F$4:$F$203,MATCH(A185,Frozen_Predictions!$A$4:$A$203,0)),""))</x:f>
      </x:c>
      <x:c r="E185" s="172" t="str">
        <x:f>IF(A185="","",IFERROR(INDEX(Frozen_Predictions!$G$4:$G$203,MATCH(A185,Frozen_Predictions!$A$4:$A$203,0)),""))</x:f>
      </x:c>
      <x:c r="F185" s="172" t="str">
        <x:f>IF(A185="","",IFERROR(INDEX(Frozen_Predictions!$H$4:$H$203,MATCH(A185,Frozen_Predictions!$A$4:$A$203,0)),""))</x:f>
      </x:c>
      <x:c r="G185" s="172" t="str">
        <x:f>IF(A185="","",IFERROR(INDEX(Frozen_Predictions!$I$4:$I$203,MATCH(A185,Frozen_Predictions!$A$4:$A$203,0)),""))</x:f>
      </x:c>
      <x:c r="H185" s="172" t="str">
        <x:f>IF(A185="","",IFERROR(INDEX(Frozen_Predictions!$J$4:$J$203,MATCH(A185,Frozen_Predictions!$A$4:$A$203,0)),""))</x:f>
      </x:c>
      <x:c r="I185" s="192" t="str">
        <x:f>IF(A185="","",IFERROR(INDEX(Frozen_Predictions!$L$4:$L$203,MATCH(A185,Frozen_Predictions!$A$4:$A$203,0)),""))</x:f>
      </x:c>
      <x:c r="J185" s="172" t="str">
        <x:f>IF(X185&lt;&gt;"SETTLED","",IF(N185&lt;=IF(G185="U3.5",3,IF(G185="U4.5",4,5)),1,0))</x:f>
      </x:c>
      <x:c r="K185" s="195" t="str">
        <x:f>IF(X185&lt;&gt;"SETTLED","",IF(AND(OR(V185="DEFENSIV",V185="PRUDENT",V185="MODERAT",V185="RIDICAT"),ISNUMBER(INDEX(Frozen_Predictions!$Y$4:$Y$203,MATCH(A185,Frozen_Predictions!$A$4:$A$203,0))),INDEX(Frozen_Predictions!$Y$4:$Y$203,MATCH(A185,Frozen_Predictions!$A$4:$A$203,0))&gt;1),IF(J185=1,INDEX(Frozen_Predictions!$Y$4:$Y$203,MATCH(A185,Frozen_Predictions!$A$4:$A$203,0))-1,-1),""))</x:f>
      </x:c>
      <x:c r="L185" s="175"/>
      <x:c r="M185" s="175"/>
      <x:c r="N185" s="172" t="str">
        <x:f>IFERROR(IF(AND(ISNUMBER(L185),ISNUMBER(M185),L185&gt;=0,M185&gt;=0,INT(L185)=L185,INT(M185)=M185),L185+M185,""),"")</x:f>
      </x:c>
      <x:c r="O185" s="172" t="str">
        <x:f>IF(X185&lt;&gt;"SETTLED","",IF(J185=1,"WIN",IF(N185=IF(G185="U3.5",4,IF(G185="U4.5",5,6)),"NEAR TAIL","SEVERE TAIL")))</x:f>
      </x:c>
      <x:c r="P185" s="175"/>
      <x:c r="Q185" s="177"/>
      <x:c r="R185" s="213" t="str">
        <x:f>IF(X185&lt;&gt;"SETTLED","",(I185-J185)^2)</x:f>
      </x:c>
      <x:c r="S185" s="213" t="str">
        <x:f>IF(X185&lt;&gt;"SETTLED","",-(J185*LN(MAX(0.000001,MIN(0.999999,I185)))+(1-J185)*LN(MAX(0.000001,MIN(0.999999,1-I185)))))</x:f>
      </x:c>
      <x:c r="T185" s="172" t="str">
        <x:f>IF(A185="","",IFERROR(INDEX(Frozen_Predictions!$N$4:$N$203,MATCH(A185,Frozen_Predictions!$A$4:$A$203,0)),""))</x:f>
      </x:c>
      <x:c r="U185" s="172" t="str">
        <x:f>IF(A185="","",IFERROR(INDEX(Frozen_Predictions!$O$4:$O$203,MATCH(A185,Frozen_Predictions!$A$4:$A$203,0)),""))</x:f>
      </x:c>
      <x:c r="V185" s="172" t="str">
        <x:f>IF(A185="","",IFERROR(INDEX(Frozen_Predictions!$M$4:$M$203,MATCH(A185,Frozen_Predictions!$A$4:$A$203,0)),""))</x:f>
      </x:c>
      <x:c r="W185" s="175"/>
      <x:c r="X185" s="172" t="str">
        <x:f>IF(A185="","",IF(NOT(COUNTIFS(Frozen_Predictions!$A$4:$A$203,A185)=1),"SNAPSHOT ID INVALID",IFERROR(IF(NOT(AND(INDEX(Frozen_Predictions!$Q$4:$Q$203,MATCH(A185,Frozen_Predictions!$A$4:$A$203,0))="DA",ISNUMBER(INDEX(Frozen_Predictions!$B$4:$B$203,MATCH(A185,Frozen_Predictions!$A$4:$A$203,0))),ISNUMBER(INDEX(Frozen_Predictions!$C$4:$C$203,MATCH(A185,Frozen_Predictions!$A$4:$A$203,0))),INDEX(Frozen_Predictions!$B$4:$B$203,MATCH(A185,Frozen_Predictions!$A$4:$A$203,0))&lt;INDEX(Frozen_Predictions!$C$4:$C$203,MATCH(A185,Frozen_Predictions!$A$4:$A$203,0)),INDEX(Frozen_Predictions!$V$4:$V$203,MATCH(A185,Frozen_Predictions!$A$4:$A$203,0))="READY",INDEX(Frozen_Predictions!$O$4:$O$203,MATCH(A185,Frozen_Predictions!$A$4:$A$203,0))="PASS",INDEX(Frozen_Predictions!$J$4:$J$203,MATCH(A185,Frozen_Predictions!$A$4:$A$203,0))=Under_LineCal_v9!$B$45,COUNTIFS(Frozen_Predictions!$A$4:$A$203,A185,Frozen_Predictions!$L$4:$L$203,"&lt;&gt;",Frozen_Predictions!$L$4:$L$203,"&gt;=0",Frozen_Predictions!$L$4:$L$203,"&lt;=1")=1,COUNTIFS($A$4:$A$203,A185)=1)),"SNAPSHOT NOT VALID",IF(AND(ISNUMBER(I185),I185&gt;=0,I185&lt;=1,ISNUMBER(N185),P185&lt;&gt;"",ISNUMBER(Q185),Q185&gt;=B185,OR(G185="U3.5",G185="U4.5",G185="U5.5")),"SETTLED","PENDING RESULT")),"SNAPSHOT NOT VALID")))</x:f>
      </x:c>
    </x:row>
    <x:row r="186" ht="23" customHeight="1">
      <x:c r="A186" s="175"/>
      <x:c r="B186" s="200" t="str">
        <x:f>IF(A186="","",IFERROR(INDEX(Frozen_Predictions!$C$4:$C$203,MATCH(A186,Frozen_Predictions!$A$4:$A$203,0)),""))</x:f>
      </x:c>
      <x:c r="C186" s="172" t="str">
        <x:f>IF(A186="","",IFERROR(INDEX(Frozen_Predictions!$E$4:$E$203,MATCH(A186,Frozen_Predictions!$A$4:$A$203,0)),""))</x:f>
      </x:c>
      <x:c r="D186" s="172" t="str">
        <x:f>IF(A186="","",IFERROR(INDEX(Frozen_Predictions!$F$4:$F$203,MATCH(A186,Frozen_Predictions!$A$4:$A$203,0)),""))</x:f>
      </x:c>
      <x:c r="E186" s="172" t="str">
        <x:f>IF(A186="","",IFERROR(INDEX(Frozen_Predictions!$G$4:$G$203,MATCH(A186,Frozen_Predictions!$A$4:$A$203,0)),""))</x:f>
      </x:c>
      <x:c r="F186" s="172" t="str">
        <x:f>IF(A186="","",IFERROR(INDEX(Frozen_Predictions!$H$4:$H$203,MATCH(A186,Frozen_Predictions!$A$4:$A$203,0)),""))</x:f>
      </x:c>
      <x:c r="G186" s="172" t="str">
        <x:f>IF(A186="","",IFERROR(INDEX(Frozen_Predictions!$I$4:$I$203,MATCH(A186,Frozen_Predictions!$A$4:$A$203,0)),""))</x:f>
      </x:c>
      <x:c r="H186" s="172" t="str">
        <x:f>IF(A186="","",IFERROR(INDEX(Frozen_Predictions!$J$4:$J$203,MATCH(A186,Frozen_Predictions!$A$4:$A$203,0)),""))</x:f>
      </x:c>
      <x:c r="I186" s="192" t="str">
        <x:f>IF(A186="","",IFERROR(INDEX(Frozen_Predictions!$L$4:$L$203,MATCH(A186,Frozen_Predictions!$A$4:$A$203,0)),""))</x:f>
      </x:c>
      <x:c r="J186" s="172" t="str">
        <x:f>IF(X186&lt;&gt;"SETTLED","",IF(N186&lt;=IF(G186="U3.5",3,IF(G186="U4.5",4,5)),1,0))</x:f>
      </x:c>
      <x:c r="K186" s="195" t="str">
        <x:f>IF(X186&lt;&gt;"SETTLED","",IF(AND(OR(V186="DEFENSIV",V186="PRUDENT",V186="MODERAT",V186="RIDICAT"),ISNUMBER(INDEX(Frozen_Predictions!$Y$4:$Y$203,MATCH(A186,Frozen_Predictions!$A$4:$A$203,0))),INDEX(Frozen_Predictions!$Y$4:$Y$203,MATCH(A186,Frozen_Predictions!$A$4:$A$203,0))&gt;1),IF(J186=1,INDEX(Frozen_Predictions!$Y$4:$Y$203,MATCH(A186,Frozen_Predictions!$A$4:$A$203,0))-1,-1),""))</x:f>
      </x:c>
      <x:c r="L186" s="175"/>
      <x:c r="M186" s="175"/>
      <x:c r="N186" s="172" t="str">
        <x:f>IFERROR(IF(AND(ISNUMBER(L186),ISNUMBER(M186),L186&gt;=0,M186&gt;=0,INT(L186)=L186,INT(M186)=M186),L186+M186,""),"")</x:f>
      </x:c>
      <x:c r="O186" s="172" t="str">
        <x:f>IF(X186&lt;&gt;"SETTLED","",IF(J186=1,"WIN",IF(N186=IF(G186="U3.5",4,IF(G186="U4.5",5,6)),"NEAR TAIL","SEVERE TAIL")))</x:f>
      </x:c>
      <x:c r="P186" s="175"/>
      <x:c r="Q186" s="177"/>
      <x:c r="R186" s="213" t="str">
        <x:f>IF(X186&lt;&gt;"SETTLED","",(I186-J186)^2)</x:f>
      </x:c>
      <x:c r="S186" s="213" t="str">
        <x:f>IF(X186&lt;&gt;"SETTLED","",-(J186*LN(MAX(0.000001,MIN(0.999999,I186)))+(1-J186)*LN(MAX(0.000001,MIN(0.999999,1-I186)))))</x:f>
      </x:c>
      <x:c r="T186" s="172" t="str">
        <x:f>IF(A186="","",IFERROR(INDEX(Frozen_Predictions!$N$4:$N$203,MATCH(A186,Frozen_Predictions!$A$4:$A$203,0)),""))</x:f>
      </x:c>
      <x:c r="U186" s="172" t="str">
        <x:f>IF(A186="","",IFERROR(INDEX(Frozen_Predictions!$O$4:$O$203,MATCH(A186,Frozen_Predictions!$A$4:$A$203,0)),""))</x:f>
      </x:c>
      <x:c r="V186" s="172" t="str">
        <x:f>IF(A186="","",IFERROR(INDEX(Frozen_Predictions!$M$4:$M$203,MATCH(A186,Frozen_Predictions!$A$4:$A$203,0)),""))</x:f>
      </x:c>
      <x:c r="W186" s="175"/>
      <x:c r="X186" s="172" t="str">
        <x:f>IF(A186="","",IF(NOT(COUNTIFS(Frozen_Predictions!$A$4:$A$203,A186)=1),"SNAPSHOT ID INVALID",IFERROR(IF(NOT(AND(INDEX(Frozen_Predictions!$Q$4:$Q$203,MATCH(A186,Frozen_Predictions!$A$4:$A$203,0))="DA",ISNUMBER(INDEX(Frozen_Predictions!$B$4:$B$203,MATCH(A186,Frozen_Predictions!$A$4:$A$203,0))),ISNUMBER(INDEX(Frozen_Predictions!$C$4:$C$203,MATCH(A186,Frozen_Predictions!$A$4:$A$203,0))),INDEX(Frozen_Predictions!$B$4:$B$203,MATCH(A186,Frozen_Predictions!$A$4:$A$203,0))&lt;INDEX(Frozen_Predictions!$C$4:$C$203,MATCH(A186,Frozen_Predictions!$A$4:$A$203,0)),INDEX(Frozen_Predictions!$V$4:$V$203,MATCH(A186,Frozen_Predictions!$A$4:$A$203,0))="READY",INDEX(Frozen_Predictions!$O$4:$O$203,MATCH(A186,Frozen_Predictions!$A$4:$A$203,0))="PASS",INDEX(Frozen_Predictions!$J$4:$J$203,MATCH(A186,Frozen_Predictions!$A$4:$A$203,0))=Under_LineCal_v9!$B$45,COUNTIFS(Frozen_Predictions!$A$4:$A$203,A186,Frozen_Predictions!$L$4:$L$203,"&lt;&gt;",Frozen_Predictions!$L$4:$L$203,"&gt;=0",Frozen_Predictions!$L$4:$L$203,"&lt;=1")=1,COUNTIFS($A$4:$A$203,A186)=1)),"SNAPSHOT NOT VALID",IF(AND(ISNUMBER(I186),I186&gt;=0,I186&lt;=1,ISNUMBER(N186),P186&lt;&gt;"",ISNUMBER(Q186),Q186&gt;=B186,OR(G186="U3.5",G186="U4.5",G186="U5.5")),"SETTLED","PENDING RESULT")),"SNAPSHOT NOT VALID")))</x:f>
      </x:c>
    </x:row>
    <x:row r="187" ht="23" customHeight="1">
      <x:c r="A187" s="175"/>
      <x:c r="B187" s="200" t="str">
        <x:f>IF(A187="","",IFERROR(INDEX(Frozen_Predictions!$C$4:$C$203,MATCH(A187,Frozen_Predictions!$A$4:$A$203,0)),""))</x:f>
      </x:c>
      <x:c r="C187" s="172" t="str">
        <x:f>IF(A187="","",IFERROR(INDEX(Frozen_Predictions!$E$4:$E$203,MATCH(A187,Frozen_Predictions!$A$4:$A$203,0)),""))</x:f>
      </x:c>
      <x:c r="D187" s="172" t="str">
        <x:f>IF(A187="","",IFERROR(INDEX(Frozen_Predictions!$F$4:$F$203,MATCH(A187,Frozen_Predictions!$A$4:$A$203,0)),""))</x:f>
      </x:c>
      <x:c r="E187" s="172" t="str">
        <x:f>IF(A187="","",IFERROR(INDEX(Frozen_Predictions!$G$4:$G$203,MATCH(A187,Frozen_Predictions!$A$4:$A$203,0)),""))</x:f>
      </x:c>
      <x:c r="F187" s="172" t="str">
        <x:f>IF(A187="","",IFERROR(INDEX(Frozen_Predictions!$H$4:$H$203,MATCH(A187,Frozen_Predictions!$A$4:$A$203,0)),""))</x:f>
      </x:c>
      <x:c r="G187" s="172" t="str">
        <x:f>IF(A187="","",IFERROR(INDEX(Frozen_Predictions!$I$4:$I$203,MATCH(A187,Frozen_Predictions!$A$4:$A$203,0)),""))</x:f>
      </x:c>
      <x:c r="H187" s="172" t="str">
        <x:f>IF(A187="","",IFERROR(INDEX(Frozen_Predictions!$J$4:$J$203,MATCH(A187,Frozen_Predictions!$A$4:$A$203,0)),""))</x:f>
      </x:c>
      <x:c r="I187" s="192" t="str">
        <x:f>IF(A187="","",IFERROR(INDEX(Frozen_Predictions!$L$4:$L$203,MATCH(A187,Frozen_Predictions!$A$4:$A$203,0)),""))</x:f>
      </x:c>
      <x:c r="J187" s="172" t="str">
        <x:f>IF(X187&lt;&gt;"SETTLED","",IF(N187&lt;=IF(G187="U3.5",3,IF(G187="U4.5",4,5)),1,0))</x:f>
      </x:c>
      <x:c r="K187" s="195" t="str">
        <x:f>IF(X187&lt;&gt;"SETTLED","",IF(AND(OR(V187="DEFENSIV",V187="PRUDENT",V187="MODERAT",V187="RIDICAT"),ISNUMBER(INDEX(Frozen_Predictions!$Y$4:$Y$203,MATCH(A187,Frozen_Predictions!$A$4:$A$203,0))),INDEX(Frozen_Predictions!$Y$4:$Y$203,MATCH(A187,Frozen_Predictions!$A$4:$A$203,0))&gt;1),IF(J187=1,INDEX(Frozen_Predictions!$Y$4:$Y$203,MATCH(A187,Frozen_Predictions!$A$4:$A$203,0))-1,-1),""))</x:f>
      </x:c>
      <x:c r="L187" s="175"/>
      <x:c r="M187" s="175"/>
      <x:c r="N187" s="172" t="str">
        <x:f>IFERROR(IF(AND(ISNUMBER(L187),ISNUMBER(M187),L187&gt;=0,M187&gt;=0,INT(L187)=L187,INT(M187)=M187),L187+M187,""),"")</x:f>
      </x:c>
      <x:c r="O187" s="172" t="str">
        <x:f>IF(X187&lt;&gt;"SETTLED","",IF(J187=1,"WIN",IF(N187=IF(G187="U3.5",4,IF(G187="U4.5",5,6)),"NEAR TAIL","SEVERE TAIL")))</x:f>
      </x:c>
      <x:c r="P187" s="175"/>
      <x:c r="Q187" s="177"/>
      <x:c r="R187" s="213" t="str">
        <x:f>IF(X187&lt;&gt;"SETTLED","",(I187-J187)^2)</x:f>
      </x:c>
      <x:c r="S187" s="213" t="str">
        <x:f>IF(X187&lt;&gt;"SETTLED","",-(J187*LN(MAX(0.000001,MIN(0.999999,I187)))+(1-J187)*LN(MAX(0.000001,MIN(0.999999,1-I187)))))</x:f>
      </x:c>
      <x:c r="T187" s="172" t="str">
        <x:f>IF(A187="","",IFERROR(INDEX(Frozen_Predictions!$N$4:$N$203,MATCH(A187,Frozen_Predictions!$A$4:$A$203,0)),""))</x:f>
      </x:c>
      <x:c r="U187" s="172" t="str">
        <x:f>IF(A187="","",IFERROR(INDEX(Frozen_Predictions!$O$4:$O$203,MATCH(A187,Frozen_Predictions!$A$4:$A$203,0)),""))</x:f>
      </x:c>
      <x:c r="V187" s="172" t="str">
        <x:f>IF(A187="","",IFERROR(INDEX(Frozen_Predictions!$M$4:$M$203,MATCH(A187,Frozen_Predictions!$A$4:$A$203,0)),""))</x:f>
      </x:c>
      <x:c r="W187" s="175"/>
      <x:c r="X187" s="172" t="str">
        <x:f>IF(A187="","",IF(NOT(COUNTIFS(Frozen_Predictions!$A$4:$A$203,A187)=1),"SNAPSHOT ID INVALID",IFERROR(IF(NOT(AND(INDEX(Frozen_Predictions!$Q$4:$Q$203,MATCH(A187,Frozen_Predictions!$A$4:$A$203,0))="DA",ISNUMBER(INDEX(Frozen_Predictions!$B$4:$B$203,MATCH(A187,Frozen_Predictions!$A$4:$A$203,0))),ISNUMBER(INDEX(Frozen_Predictions!$C$4:$C$203,MATCH(A187,Frozen_Predictions!$A$4:$A$203,0))),INDEX(Frozen_Predictions!$B$4:$B$203,MATCH(A187,Frozen_Predictions!$A$4:$A$203,0))&lt;INDEX(Frozen_Predictions!$C$4:$C$203,MATCH(A187,Frozen_Predictions!$A$4:$A$203,0)),INDEX(Frozen_Predictions!$V$4:$V$203,MATCH(A187,Frozen_Predictions!$A$4:$A$203,0))="READY",INDEX(Frozen_Predictions!$O$4:$O$203,MATCH(A187,Frozen_Predictions!$A$4:$A$203,0))="PASS",INDEX(Frozen_Predictions!$J$4:$J$203,MATCH(A187,Frozen_Predictions!$A$4:$A$203,0))=Under_LineCal_v9!$B$45,COUNTIFS(Frozen_Predictions!$A$4:$A$203,A187,Frozen_Predictions!$L$4:$L$203,"&lt;&gt;",Frozen_Predictions!$L$4:$L$203,"&gt;=0",Frozen_Predictions!$L$4:$L$203,"&lt;=1")=1,COUNTIFS($A$4:$A$203,A187)=1)),"SNAPSHOT NOT VALID",IF(AND(ISNUMBER(I187),I187&gt;=0,I187&lt;=1,ISNUMBER(N187),P187&lt;&gt;"",ISNUMBER(Q187),Q187&gt;=B187,OR(G187="U3.5",G187="U4.5",G187="U5.5")),"SETTLED","PENDING RESULT")),"SNAPSHOT NOT VALID")))</x:f>
      </x:c>
    </x:row>
    <x:row r="188" ht="23" customHeight="1">
      <x:c r="A188" s="175"/>
      <x:c r="B188" s="200" t="str">
        <x:f>IF(A188="","",IFERROR(INDEX(Frozen_Predictions!$C$4:$C$203,MATCH(A188,Frozen_Predictions!$A$4:$A$203,0)),""))</x:f>
      </x:c>
      <x:c r="C188" s="172" t="str">
        <x:f>IF(A188="","",IFERROR(INDEX(Frozen_Predictions!$E$4:$E$203,MATCH(A188,Frozen_Predictions!$A$4:$A$203,0)),""))</x:f>
      </x:c>
      <x:c r="D188" s="172" t="str">
        <x:f>IF(A188="","",IFERROR(INDEX(Frozen_Predictions!$F$4:$F$203,MATCH(A188,Frozen_Predictions!$A$4:$A$203,0)),""))</x:f>
      </x:c>
      <x:c r="E188" s="172" t="str">
        <x:f>IF(A188="","",IFERROR(INDEX(Frozen_Predictions!$G$4:$G$203,MATCH(A188,Frozen_Predictions!$A$4:$A$203,0)),""))</x:f>
      </x:c>
      <x:c r="F188" s="172" t="str">
        <x:f>IF(A188="","",IFERROR(INDEX(Frozen_Predictions!$H$4:$H$203,MATCH(A188,Frozen_Predictions!$A$4:$A$203,0)),""))</x:f>
      </x:c>
      <x:c r="G188" s="172" t="str">
        <x:f>IF(A188="","",IFERROR(INDEX(Frozen_Predictions!$I$4:$I$203,MATCH(A188,Frozen_Predictions!$A$4:$A$203,0)),""))</x:f>
      </x:c>
      <x:c r="H188" s="172" t="str">
        <x:f>IF(A188="","",IFERROR(INDEX(Frozen_Predictions!$J$4:$J$203,MATCH(A188,Frozen_Predictions!$A$4:$A$203,0)),""))</x:f>
      </x:c>
      <x:c r="I188" s="192" t="str">
        <x:f>IF(A188="","",IFERROR(INDEX(Frozen_Predictions!$L$4:$L$203,MATCH(A188,Frozen_Predictions!$A$4:$A$203,0)),""))</x:f>
      </x:c>
      <x:c r="J188" s="172" t="str">
        <x:f>IF(X188&lt;&gt;"SETTLED","",IF(N188&lt;=IF(G188="U3.5",3,IF(G188="U4.5",4,5)),1,0))</x:f>
      </x:c>
      <x:c r="K188" s="195" t="str">
        <x:f>IF(X188&lt;&gt;"SETTLED","",IF(AND(OR(V188="DEFENSIV",V188="PRUDENT",V188="MODERAT",V188="RIDICAT"),ISNUMBER(INDEX(Frozen_Predictions!$Y$4:$Y$203,MATCH(A188,Frozen_Predictions!$A$4:$A$203,0))),INDEX(Frozen_Predictions!$Y$4:$Y$203,MATCH(A188,Frozen_Predictions!$A$4:$A$203,0))&gt;1),IF(J188=1,INDEX(Frozen_Predictions!$Y$4:$Y$203,MATCH(A188,Frozen_Predictions!$A$4:$A$203,0))-1,-1),""))</x:f>
      </x:c>
      <x:c r="L188" s="175"/>
      <x:c r="M188" s="175"/>
      <x:c r="N188" s="172" t="str">
        <x:f>IFERROR(IF(AND(ISNUMBER(L188),ISNUMBER(M188),L188&gt;=0,M188&gt;=0,INT(L188)=L188,INT(M188)=M188),L188+M188,""),"")</x:f>
      </x:c>
      <x:c r="O188" s="172" t="str">
        <x:f>IF(X188&lt;&gt;"SETTLED","",IF(J188=1,"WIN",IF(N188=IF(G188="U3.5",4,IF(G188="U4.5",5,6)),"NEAR TAIL","SEVERE TAIL")))</x:f>
      </x:c>
      <x:c r="P188" s="175"/>
      <x:c r="Q188" s="177"/>
      <x:c r="R188" s="213" t="str">
        <x:f>IF(X188&lt;&gt;"SETTLED","",(I188-J188)^2)</x:f>
      </x:c>
      <x:c r="S188" s="213" t="str">
        <x:f>IF(X188&lt;&gt;"SETTLED","",-(J188*LN(MAX(0.000001,MIN(0.999999,I188)))+(1-J188)*LN(MAX(0.000001,MIN(0.999999,1-I188)))))</x:f>
      </x:c>
      <x:c r="T188" s="172" t="str">
        <x:f>IF(A188="","",IFERROR(INDEX(Frozen_Predictions!$N$4:$N$203,MATCH(A188,Frozen_Predictions!$A$4:$A$203,0)),""))</x:f>
      </x:c>
      <x:c r="U188" s="172" t="str">
        <x:f>IF(A188="","",IFERROR(INDEX(Frozen_Predictions!$O$4:$O$203,MATCH(A188,Frozen_Predictions!$A$4:$A$203,0)),""))</x:f>
      </x:c>
      <x:c r="V188" s="172" t="str">
        <x:f>IF(A188="","",IFERROR(INDEX(Frozen_Predictions!$M$4:$M$203,MATCH(A188,Frozen_Predictions!$A$4:$A$203,0)),""))</x:f>
      </x:c>
      <x:c r="W188" s="175"/>
      <x:c r="X188" s="172" t="str">
        <x:f>IF(A188="","",IF(NOT(COUNTIFS(Frozen_Predictions!$A$4:$A$203,A188)=1),"SNAPSHOT ID INVALID",IFERROR(IF(NOT(AND(INDEX(Frozen_Predictions!$Q$4:$Q$203,MATCH(A188,Frozen_Predictions!$A$4:$A$203,0))="DA",ISNUMBER(INDEX(Frozen_Predictions!$B$4:$B$203,MATCH(A188,Frozen_Predictions!$A$4:$A$203,0))),ISNUMBER(INDEX(Frozen_Predictions!$C$4:$C$203,MATCH(A188,Frozen_Predictions!$A$4:$A$203,0))),INDEX(Frozen_Predictions!$B$4:$B$203,MATCH(A188,Frozen_Predictions!$A$4:$A$203,0))&lt;INDEX(Frozen_Predictions!$C$4:$C$203,MATCH(A188,Frozen_Predictions!$A$4:$A$203,0)),INDEX(Frozen_Predictions!$V$4:$V$203,MATCH(A188,Frozen_Predictions!$A$4:$A$203,0))="READY",INDEX(Frozen_Predictions!$O$4:$O$203,MATCH(A188,Frozen_Predictions!$A$4:$A$203,0))="PASS",INDEX(Frozen_Predictions!$J$4:$J$203,MATCH(A188,Frozen_Predictions!$A$4:$A$203,0))=Under_LineCal_v9!$B$45,COUNTIFS(Frozen_Predictions!$A$4:$A$203,A188,Frozen_Predictions!$L$4:$L$203,"&lt;&gt;",Frozen_Predictions!$L$4:$L$203,"&gt;=0",Frozen_Predictions!$L$4:$L$203,"&lt;=1")=1,COUNTIFS($A$4:$A$203,A188)=1)),"SNAPSHOT NOT VALID",IF(AND(ISNUMBER(I188),I188&gt;=0,I188&lt;=1,ISNUMBER(N188),P188&lt;&gt;"",ISNUMBER(Q188),Q188&gt;=B188,OR(G188="U3.5",G188="U4.5",G188="U5.5")),"SETTLED","PENDING RESULT")),"SNAPSHOT NOT VALID")))</x:f>
      </x:c>
    </x:row>
    <x:row r="189" ht="23" customHeight="1">
      <x:c r="A189" s="175"/>
      <x:c r="B189" s="200" t="str">
        <x:f>IF(A189="","",IFERROR(INDEX(Frozen_Predictions!$C$4:$C$203,MATCH(A189,Frozen_Predictions!$A$4:$A$203,0)),""))</x:f>
      </x:c>
      <x:c r="C189" s="172" t="str">
        <x:f>IF(A189="","",IFERROR(INDEX(Frozen_Predictions!$E$4:$E$203,MATCH(A189,Frozen_Predictions!$A$4:$A$203,0)),""))</x:f>
      </x:c>
      <x:c r="D189" s="172" t="str">
        <x:f>IF(A189="","",IFERROR(INDEX(Frozen_Predictions!$F$4:$F$203,MATCH(A189,Frozen_Predictions!$A$4:$A$203,0)),""))</x:f>
      </x:c>
      <x:c r="E189" s="172" t="str">
        <x:f>IF(A189="","",IFERROR(INDEX(Frozen_Predictions!$G$4:$G$203,MATCH(A189,Frozen_Predictions!$A$4:$A$203,0)),""))</x:f>
      </x:c>
      <x:c r="F189" s="172" t="str">
        <x:f>IF(A189="","",IFERROR(INDEX(Frozen_Predictions!$H$4:$H$203,MATCH(A189,Frozen_Predictions!$A$4:$A$203,0)),""))</x:f>
      </x:c>
      <x:c r="G189" s="172" t="str">
        <x:f>IF(A189="","",IFERROR(INDEX(Frozen_Predictions!$I$4:$I$203,MATCH(A189,Frozen_Predictions!$A$4:$A$203,0)),""))</x:f>
      </x:c>
      <x:c r="H189" s="172" t="str">
        <x:f>IF(A189="","",IFERROR(INDEX(Frozen_Predictions!$J$4:$J$203,MATCH(A189,Frozen_Predictions!$A$4:$A$203,0)),""))</x:f>
      </x:c>
      <x:c r="I189" s="192" t="str">
        <x:f>IF(A189="","",IFERROR(INDEX(Frozen_Predictions!$L$4:$L$203,MATCH(A189,Frozen_Predictions!$A$4:$A$203,0)),""))</x:f>
      </x:c>
      <x:c r="J189" s="172" t="str">
        <x:f>IF(X189&lt;&gt;"SETTLED","",IF(N189&lt;=IF(G189="U3.5",3,IF(G189="U4.5",4,5)),1,0))</x:f>
      </x:c>
      <x:c r="K189" s="195" t="str">
        <x:f>IF(X189&lt;&gt;"SETTLED","",IF(AND(OR(V189="DEFENSIV",V189="PRUDENT",V189="MODERAT",V189="RIDICAT"),ISNUMBER(INDEX(Frozen_Predictions!$Y$4:$Y$203,MATCH(A189,Frozen_Predictions!$A$4:$A$203,0))),INDEX(Frozen_Predictions!$Y$4:$Y$203,MATCH(A189,Frozen_Predictions!$A$4:$A$203,0))&gt;1),IF(J189=1,INDEX(Frozen_Predictions!$Y$4:$Y$203,MATCH(A189,Frozen_Predictions!$A$4:$A$203,0))-1,-1),""))</x:f>
      </x:c>
      <x:c r="L189" s="175"/>
      <x:c r="M189" s="175"/>
      <x:c r="N189" s="172" t="str">
        <x:f>IFERROR(IF(AND(ISNUMBER(L189),ISNUMBER(M189),L189&gt;=0,M189&gt;=0,INT(L189)=L189,INT(M189)=M189),L189+M189,""),"")</x:f>
      </x:c>
      <x:c r="O189" s="172" t="str">
        <x:f>IF(X189&lt;&gt;"SETTLED","",IF(J189=1,"WIN",IF(N189=IF(G189="U3.5",4,IF(G189="U4.5",5,6)),"NEAR TAIL","SEVERE TAIL")))</x:f>
      </x:c>
      <x:c r="P189" s="175"/>
      <x:c r="Q189" s="177"/>
      <x:c r="R189" s="213" t="str">
        <x:f>IF(X189&lt;&gt;"SETTLED","",(I189-J189)^2)</x:f>
      </x:c>
      <x:c r="S189" s="213" t="str">
        <x:f>IF(X189&lt;&gt;"SETTLED","",-(J189*LN(MAX(0.000001,MIN(0.999999,I189)))+(1-J189)*LN(MAX(0.000001,MIN(0.999999,1-I189)))))</x:f>
      </x:c>
      <x:c r="T189" s="172" t="str">
        <x:f>IF(A189="","",IFERROR(INDEX(Frozen_Predictions!$N$4:$N$203,MATCH(A189,Frozen_Predictions!$A$4:$A$203,0)),""))</x:f>
      </x:c>
      <x:c r="U189" s="172" t="str">
        <x:f>IF(A189="","",IFERROR(INDEX(Frozen_Predictions!$O$4:$O$203,MATCH(A189,Frozen_Predictions!$A$4:$A$203,0)),""))</x:f>
      </x:c>
      <x:c r="V189" s="172" t="str">
        <x:f>IF(A189="","",IFERROR(INDEX(Frozen_Predictions!$M$4:$M$203,MATCH(A189,Frozen_Predictions!$A$4:$A$203,0)),""))</x:f>
      </x:c>
      <x:c r="W189" s="175"/>
      <x:c r="X189" s="172" t="str">
        <x:f>IF(A189="","",IF(NOT(COUNTIFS(Frozen_Predictions!$A$4:$A$203,A189)=1),"SNAPSHOT ID INVALID",IFERROR(IF(NOT(AND(INDEX(Frozen_Predictions!$Q$4:$Q$203,MATCH(A189,Frozen_Predictions!$A$4:$A$203,0))="DA",ISNUMBER(INDEX(Frozen_Predictions!$B$4:$B$203,MATCH(A189,Frozen_Predictions!$A$4:$A$203,0))),ISNUMBER(INDEX(Frozen_Predictions!$C$4:$C$203,MATCH(A189,Frozen_Predictions!$A$4:$A$203,0))),INDEX(Frozen_Predictions!$B$4:$B$203,MATCH(A189,Frozen_Predictions!$A$4:$A$203,0))&lt;INDEX(Frozen_Predictions!$C$4:$C$203,MATCH(A189,Frozen_Predictions!$A$4:$A$203,0)),INDEX(Frozen_Predictions!$V$4:$V$203,MATCH(A189,Frozen_Predictions!$A$4:$A$203,0))="READY",INDEX(Frozen_Predictions!$O$4:$O$203,MATCH(A189,Frozen_Predictions!$A$4:$A$203,0))="PASS",INDEX(Frozen_Predictions!$J$4:$J$203,MATCH(A189,Frozen_Predictions!$A$4:$A$203,0))=Under_LineCal_v9!$B$45,COUNTIFS(Frozen_Predictions!$A$4:$A$203,A189,Frozen_Predictions!$L$4:$L$203,"&lt;&gt;",Frozen_Predictions!$L$4:$L$203,"&gt;=0",Frozen_Predictions!$L$4:$L$203,"&lt;=1")=1,COUNTIFS($A$4:$A$203,A189)=1)),"SNAPSHOT NOT VALID",IF(AND(ISNUMBER(I189),I189&gt;=0,I189&lt;=1,ISNUMBER(N189),P189&lt;&gt;"",ISNUMBER(Q189),Q189&gt;=B189,OR(G189="U3.5",G189="U4.5",G189="U5.5")),"SETTLED","PENDING RESULT")),"SNAPSHOT NOT VALID")))</x:f>
      </x:c>
    </x:row>
    <x:row r="190" ht="23" customHeight="1">
      <x:c r="A190" s="175"/>
      <x:c r="B190" s="200" t="str">
        <x:f>IF(A190="","",IFERROR(INDEX(Frozen_Predictions!$C$4:$C$203,MATCH(A190,Frozen_Predictions!$A$4:$A$203,0)),""))</x:f>
      </x:c>
      <x:c r="C190" s="172" t="str">
        <x:f>IF(A190="","",IFERROR(INDEX(Frozen_Predictions!$E$4:$E$203,MATCH(A190,Frozen_Predictions!$A$4:$A$203,0)),""))</x:f>
      </x:c>
      <x:c r="D190" s="172" t="str">
        <x:f>IF(A190="","",IFERROR(INDEX(Frozen_Predictions!$F$4:$F$203,MATCH(A190,Frozen_Predictions!$A$4:$A$203,0)),""))</x:f>
      </x:c>
      <x:c r="E190" s="172" t="str">
        <x:f>IF(A190="","",IFERROR(INDEX(Frozen_Predictions!$G$4:$G$203,MATCH(A190,Frozen_Predictions!$A$4:$A$203,0)),""))</x:f>
      </x:c>
      <x:c r="F190" s="172" t="str">
        <x:f>IF(A190="","",IFERROR(INDEX(Frozen_Predictions!$H$4:$H$203,MATCH(A190,Frozen_Predictions!$A$4:$A$203,0)),""))</x:f>
      </x:c>
      <x:c r="G190" s="172" t="str">
        <x:f>IF(A190="","",IFERROR(INDEX(Frozen_Predictions!$I$4:$I$203,MATCH(A190,Frozen_Predictions!$A$4:$A$203,0)),""))</x:f>
      </x:c>
      <x:c r="H190" s="172" t="str">
        <x:f>IF(A190="","",IFERROR(INDEX(Frozen_Predictions!$J$4:$J$203,MATCH(A190,Frozen_Predictions!$A$4:$A$203,0)),""))</x:f>
      </x:c>
      <x:c r="I190" s="192" t="str">
        <x:f>IF(A190="","",IFERROR(INDEX(Frozen_Predictions!$L$4:$L$203,MATCH(A190,Frozen_Predictions!$A$4:$A$203,0)),""))</x:f>
      </x:c>
      <x:c r="J190" s="172" t="str">
        <x:f>IF(X190&lt;&gt;"SETTLED","",IF(N190&lt;=IF(G190="U3.5",3,IF(G190="U4.5",4,5)),1,0))</x:f>
      </x:c>
      <x:c r="K190" s="195" t="str">
        <x:f>IF(X190&lt;&gt;"SETTLED","",IF(AND(OR(V190="DEFENSIV",V190="PRUDENT",V190="MODERAT",V190="RIDICAT"),ISNUMBER(INDEX(Frozen_Predictions!$Y$4:$Y$203,MATCH(A190,Frozen_Predictions!$A$4:$A$203,0))),INDEX(Frozen_Predictions!$Y$4:$Y$203,MATCH(A190,Frozen_Predictions!$A$4:$A$203,0))&gt;1),IF(J190=1,INDEX(Frozen_Predictions!$Y$4:$Y$203,MATCH(A190,Frozen_Predictions!$A$4:$A$203,0))-1,-1),""))</x:f>
      </x:c>
      <x:c r="L190" s="175"/>
      <x:c r="M190" s="175"/>
      <x:c r="N190" s="172" t="str">
        <x:f>IFERROR(IF(AND(ISNUMBER(L190),ISNUMBER(M190),L190&gt;=0,M190&gt;=0,INT(L190)=L190,INT(M190)=M190),L190+M190,""),"")</x:f>
      </x:c>
      <x:c r="O190" s="172" t="str">
        <x:f>IF(X190&lt;&gt;"SETTLED","",IF(J190=1,"WIN",IF(N190=IF(G190="U3.5",4,IF(G190="U4.5",5,6)),"NEAR TAIL","SEVERE TAIL")))</x:f>
      </x:c>
      <x:c r="P190" s="175"/>
      <x:c r="Q190" s="177"/>
      <x:c r="R190" s="213" t="str">
        <x:f>IF(X190&lt;&gt;"SETTLED","",(I190-J190)^2)</x:f>
      </x:c>
      <x:c r="S190" s="213" t="str">
        <x:f>IF(X190&lt;&gt;"SETTLED","",-(J190*LN(MAX(0.000001,MIN(0.999999,I190)))+(1-J190)*LN(MAX(0.000001,MIN(0.999999,1-I190)))))</x:f>
      </x:c>
      <x:c r="T190" s="172" t="str">
        <x:f>IF(A190="","",IFERROR(INDEX(Frozen_Predictions!$N$4:$N$203,MATCH(A190,Frozen_Predictions!$A$4:$A$203,0)),""))</x:f>
      </x:c>
      <x:c r="U190" s="172" t="str">
        <x:f>IF(A190="","",IFERROR(INDEX(Frozen_Predictions!$O$4:$O$203,MATCH(A190,Frozen_Predictions!$A$4:$A$203,0)),""))</x:f>
      </x:c>
      <x:c r="V190" s="172" t="str">
        <x:f>IF(A190="","",IFERROR(INDEX(Frozen_Predictions!$M$4:$M$203,MATCH(A190,Frozen_Predictions!$A$4:$A$203,0)),""))</x:f>
      </x:c>
      <x:c r="W190" s="175"/>
      <x:c r="X190" s="172" t="str">
        <x:f>IF(A190="","",IF(NOT(COUNTIFS(Frozen_Predictions!$A$4:$A$203,A190)=1),"SNAPSHOT ID INVALID",IFERROR(IF(NOT(AND(INDEX(Frozen_Predictions!$Q$4:$Q$203,MATCH(A190,Frozen_Predictions!$A$4:$A$203,0))="DA",ISNUMBER(INDEX(Frozen_Predictions!$B$4:$B$203,MATCH(A190,Frozen_Predictions!$A$4:$A$203,0))),ISNUMBER(INDEX(Frozen_Predictions!$C$4:$C$203,MATCH(A190,Frozen_Predictions!$A$4:$A$203,0))),INDEX(Frozen_Predictions!$B$4:$B$203,MATCH(A190,Frozen_Predictions!$A$4:$A$203,0))&lt;INDEX(Frozen_Predictions!$C$4:$C$203,MATCH(A190,Frozen_Predictions!$A$4:$A$203,0)),INDEX(Frozen_Predictions!$V$4:$V$203,MATCH(A190,Frozen_Predictions!$A$4:$A$203,0))="READY",INDEX(Frozen_Predictions!$O$4:$O$203,MATCH(A190,Frozen_Predictions!$A$4:$A$203,0))="PASS",INDEX(Frozen_Predictions!$J$4:$J$203,MATCH(A190,Frozen_Predictions!$A$4:$A$203,0))=Under_LineCal_v9!$B$45,COUNTIFS(Frozen_Predictions!$A$4:$A$203,A190,Frozen_Predictions!$L$4:$L$203,"&lt;&gt;",Frozen_Predictions!$L$4:$L$203,"&gt;=0",Frozen_Predictions!$L$4:$L$203,"&lt;=1")=1,COUNTIFS($A$4:$A$203,A190)=1)),"SNAPSHOT NOT VALID",IF(AND(ISNUMBER(I190),I190&gt;=0,I190&lt;=1,ISNUMBER(N190),P190&lt;&gt;"",ISNUMBER(Q190),Q190&gt;=B190,OR(G190="U3.5",G190="U4.5",G190="U5.5")),"SETTLED","PENDING RESULT")),"SNAPSHOT NOT VALID")))</x:f>
      </x:c>
    </x:row>
    <x:row r="191" ht="23" customHeight="1">
      <x:c r="A191" s="175"/>
      <x:c r="B191" s="200" t="str">
        <x:f>IF(A191="","",IFERROR(INDEX(Frozen_Predictions!$C$4:$C$203,MATCH(A191,Frozen_Predictions!$A$4:$A$203,0)),""))</x:f>
      </x:c>
      <x:c r="C191" s="172" t="str">
        <x:f>IF(A191="","",IFERROR(INDEX(Frozen_Predictions!$E$4:$E$203,MATCH(A191,Frozen_Predictions!$A$4:$A$203,0)),""))</x:f>
      </x:c>
      <x:c r="D191" s="172" t="str">
        <x:f>IF(A191="","",IFERROR(INDEX(Frozen_Predictions!$F$4:$F$203,MATCH(A191,Frozen_Predictions!$A$4:$A$203,0)),""))</x:f>
      </x:c>
      <x:c r="E191" s="172" t="str">
        <x:f>IF(A191="","",IFERROR(INDEX(Frozen_Predictions!$G$4:$G$203,MATCH(A191,Frozen_Predictions!$A$4:$A$203,0)),""))</x:f>
      </x:c>
      <x:c r="F191" s="172" t="str">
        <x:f>IF(A191="","",IFERROR(INDEX(Frozen_Predictions!$H$4:$H$203,MATCH(A191,Frozen_Predictions!$A$4:$A$203,0)),""))</x:f>
      </x:c>
      <x:c r="G191" s="172" t="str">
        <x:f>IF(A191="","",IFERROR(INDEX(Frozen_Predictions!$I$4:$I$203,MATCH(A191,Frozen_Predictions!$A$4:$A$203,0)),""))</x:f>
      </x:c>
      <x:c r="H191" s="172" t="str">
        <x:f>IF(A191="","",IFERROR(INDEX(Frozen_Predictions!$J$4:$J$203,MATCH(A191,Frozen_Predictions!$A$4:$A$203,0)),""))</x:f>
      </x:c>
      <x:c r="I191" s="192" t="str">
        <x:f>IF(A191="","",IFERROR(INDEX(Frozen_Predictions!$L$4:$L$203,MATCH(A191,Frozen_Predictions!$A$4:$A$203,0)),""))</x:f>
      </x:c>
      <x:c r="J191" s="172" t="str">
        <x:f>IF(X191&lt;&gt;"SETTLED","",IF(N191&lt;=IF(G191="U3.5",3,IF(G191="U4.5",4,5)),1,0))</x:f>
      </x:c>
      <x:c r="K191" s="195" t="str">
        <x:f>IF(X191&lt;&gt;"SETTLED","",IF(AND(OR(V191="DEFENSIV",V191="PRUDENT",V191="MODERAT",V191="RIDICAT"),ISNUMBER(INDEX(Frozen_Predictions!$Y$4:$Y$203,MATCH(A191,Frozen_Predictions!$A$4:$A$203,0))),INDEX(Frozen_Predictions!$Y$4:$Y$203,MATCH(A191,Frozen_Predictions!$A$4:$A$203,0))&gt;1),IF(J191=1,INDEX(Frozen_Predictions!$Y$4:$Y$203,MATCH(A191,Frozen_Predictions!$A$4:$A$203,0))-1,-1),""))</x:f>
      </x:c>
      <x:c r="L191" s="175"/>
      <x:c r="M191" s="175"/>
      <x:c r="N191" s="172" t="str">
        <x:f>IFERROR(IF(AND(ISNUMBER(L191),ISNUMBER(M191),L191&gt;=0,M191&gt;=0,INT(L191)=L191,INT(M191)=M191),L191+M191,""),"")</x:f>
      </x:c>
      <x:c r="O191" s="172" t="str">
        <x:f>IF(X191&lt;&gt;"SETTLED","",IF(J191=1,"WIN",IF(N191=IF(G191="U3.5",4,IF(G191="U4.5",5,6)),"NEAR TAIL","SEVERE TAIL")))</x:f>
      </x:c>
      <x:c r="P191" s="175"/>
      <x:c r="Q191" s="177"/>
      <x:c r="R191" s="213" t="str">
        <x:f>IF(X191&lt;&gt;"SETTLED","",(I191-J191)^2)</x:f>
      </x:c>
      <x:c r="S191" s="213" t="str">
        <x:f>IF(X191&lt;&gt;"SETTLED","",-(J191*LN(MAX(0.000001,MIN(0.999999,I191)))+(1-J191)*LN(MAX(0.000001,MIN(0.999999,1-I191)))))</x:f>
      </x:c>
      <x:c r="T191" s="172" t="str">
        <x:f>IF(A191="","",IFERROR(INDEX(Frozen_Predictions!$N$4:$N$203,MATCH(A191,Frozen_Predictions!$A$4:$A$203,0)),""))</x:f>
      </x:c>
      <x:c r="U191" s="172" t="str">
        <x:f>IF(A191="","",IFERROR(INDEX(Frozen_Predictions!$O$4:$O$203,MATCH(A191,Frozen_Predictions!$A$4:$A$203,0)),""))</x:f>
      </x:c>
      <x:c r="V191" s="172" t="str">
        <x:f>IF(A191="","",IFERROR(INDEX(Frozen_Predictions!$M$4:$M$203,MATCH(A191,Frozen_Predictions!$A$4:$A$203,0)),""))</x:f>
      </x:c>
      <x:c r="W191" s="175"/>
      <x:c r="X191" s="172" t="str">
        <x:f>IF(A191="","",IF(NOT(COUNTIFS(Frozen_Predictions!$A$4:$A$203,A191)=1),"SNAPSHOT ID INVALID",IFERROR(IF(NOT(AND(INDEX(Frozen_Predictions!$Q$4:$Q$203,MATCH(A191,Frozen_Predictions!$A$4:$A$203,0))="DA",ISNUMBER(INDEX(Frozen_Predictions!$B$4:$B$203,MATCH(A191,Frozen_Predictions!$A$4:$A$203,0))),ISNUMBER(INDEX(Frozen_Predictions!$C$4:$C$203,MATCH(A191,Frozen_Predictions!$A$4:$A$203,0))),INDEX(Frozen_Predictions!$B$4:$B$203,MATCH(A191,Frozen_Predictions!$A$4:$A$203,0))&lt;INDEX(Frozen_Predictions!$C$4:$C$203,MATCH(A191,Frozen_Predictions!$A$4:$A$203,0)),INDEX(Frozen_Predictions!$V$4:$V$203,MATCH(A191,Frozen_Predictions!$A$4:$A$203,0))="READY",INDEX(Frozen_Predictions!$O$4:$O$203,MATCH(A191,Frozen_Predictions!$A$4:$A$203,0))="PASS",INDEX(Frozen_Predictions!$J$4:$J$203,MATCH(A191,Frozen_Predictions!$A$4:$A$203,0))=Under_LineCal_v9!$B$45,COUNTIFS(Frozen_Predictions!$A$4:$A$203,A191,Frozen_Predictions!$L$4:$L$203,"&lt;&gt;",Frozen_Predictions!$L$4:$L$203,"&gt;=0",Frozen_Predictions!$L$4:$L$203,"&lt;=1")=1,COUNTIFS($A$4:$A$203,A191)=1)),"SNAPSHOT NOT VALID",IF(AND(ISNUMBER(I191),I191&gt;=0,I191&lt;=1,ISNUMBER(N191),P191&lt;&gt;"",ISNUMBER(Q191),Q191&gt;=B191,OR(G191="U3.5",G191="U4.5",G191="U5.5")),"SETTLED","PENDING RESULT")),"SNAPSHOT NOT VALID")))</x:f>
      </x:c>
    </x:row>
    <x:row r="192" ht="23" customHeight="1">
      <x:c r="A192" s="175"/>
      <x:c r="B192" s="200" t="str">
        <x:f>IF(A192="","",IFERROR(INDEX(Frozen_Predictions!$C$4:$C$203,MATCH(A192,Frozen_Predictions!$A$4:$A$203,0)),""))</x:f>
      </x:c>
      <x:c r="C192" s="172" t="str">
        <x:f>IF(A192="","",IFERROR(INDEX(Frozen_Predictions!$E$4:$E$203,MATCH(A192,Frozen_Predictions!$A$4:$A$203,0)),""))</x:f>
      </x:c>
      <x:c r="D192" s="172" t="str">
        <x:f>IF(A192="","",IFERROR(INDEX(Frozen_Predictions!$F$4:$F$203,MATCH(A192,Frozen_Predictions!$A$4:$A$203,0)),""))</x:f>
      </x:c>
      <x:c r="E192" s="172" t="str">
        <x:f>IF(A192="","",IFERROR(INDEX(Frozen_Predictions!$G$4:$G$203,MATCH(A192,Frozen_Predictions!$A$4:$A$203,0)),""))</x:f>
      </x:c>
      <x:c r="F192" s="172" t="str">
        <x:f>IF(A192="","",IFERROR(INDEX(Frozen_Predictions!$H$4:$H$203,MATCH(A192,Frozen_Predictions!$A$4:$A$203,0)),""))</x:f>
      </x:c>
      <x:c r="G192" s="172" t="str">
        <x:f>IF(A192="","",IFERROR(INDEX(Frozen_Predictions!$I$4:$I$203,MATCH(A192,Frozen_Predictions!$A$4:$A$203,0)),""))</x:f>
      </x:c>
      <x:c r="H192" s="172" t="str">
        <x:f>IF(A192="","",IFERROR(INDEX(Frozen_Predictions!$J$4:$J$203,MATCH(A192,Frozen_Predictions!$A$4:$A$203,0)),""))</x:f>
      </x:c>
      <x:c r="I192" s="192" t="str">
        <x:f>IF(A192="","",IFERROR(INDEX(Frozen_Predictions!$L$4:$L$203,MATCH(A192,Frozen_Predictions!$A$4:$A$203,0)),""))</x:f>
      </x:c>
      <x:c r="J192" s="172" t="str">
        <x:f>IF(X192&lt;&gt;"SETTLED","",IF(N192&lt;=IF(G192="U3.5",3,IF(G192="U4.5",4,5)),1,0))</x:f>
      </x:c>
      <x:c r="K192" s="195" t="str">
        <x:f>IF(X192&lt;&gt;"SETTLED","",IF(AND(OR(V192="DEFENSIV",V192="PRUDENT",V192="MODERAT",V192="RIDICAT"),ISNUMBER(INDEX(Frozen_Predictions!$Y$4:$Y$203,MATCH(A192,Frozen_Predictions!$A$4:$A$203,0))),INDEX(Frozen_Predictions!$Y$4:$Y$203,MATCH(A192,Frozen_Predictions!$A$4:$A$203,0))&gt;1),IF(J192=1,INDEX(Frozen_Predictions!$Y$4:$Y$203,MATCH(A192,Frozen_Predictions!$A$4:$A$203,0))-1,-1),""))</x:f>
      </x:c>
      <x:c r="L192" s="175"/>
      <x:c r="M192" s="175"/>
      <x:c r="N192" s="172" t="str">
        <x:f>IFERROR(IF(AND(ISNUMBER(L192),ISNUMBER(M192),L192&gt;=0,M192&gt;=0,INT(L192)=L192,INT(M192)=M192),L192+M192,""),"")</x:f>
      </x:c>
      <x:c r="O192" s="172" t="str">
        <x:f>IF(X192&lt;&gt;"SETTLED","",IF(J192=1,"WIN",IF(N192=IF(G192="U3.5",4,IF(G192="U4.5",5,6)),"NEAR TAIL","SEVERE TAIL")))</x:f>
      </x:c>
      <x:c r="P192" s="175"/>
      <x:c r="Q192" s="177"/>
      <x:c r="R192" s="213" t="str">
        <x:f>IF(X192&lt;&gt;"SETTLED","",(I192-J192)^2)</x:f>
      </x:c>
      <x:c r="S192" s="213" t="str">
        <x:f>IF(X192&lt;&gt;"SETTLED","",-(J192*LN(MAX(0.000001,MIN(0.999999,I192)))+(1-J192)*LN(MAX(0.000001,MIN(0.999999,1-I192)))))</x:f>
      </x:c>
      <x:c r="T192" s="172" t="str">
        <x:f>IF(A192="","",IFERROR(INDEX(Frozen_Predictions!$N$4:$N$203,MATCH(A192,Frozen_Predictions!$A$4:$A$203,0)),""))</x:f>
      </x:c>
      <x:c r="U192" s="172" t="str">
        <x:f>IF(A192="","",IFERROR(INDEX(Frozen_Predictions!$O$4:$O$203,MATCH(A192,Frozen_Predictions!$A$4:$A$203,0)),""))</x:f>
      </x:c>
      <x:c r="V192" s="172" t="str">
        <x:f>IF(A192="","",IFERROR(INDEX(Frozen_Predictions!$M$4:$M$203,MATCH(A192,Frozen_Predictions!$A$4:$A$203,0)),""))</x:f>
      </x:c>
      <x:c r="W192" s="175"/>
      <x:c r="X192" s="172" t="str">
        <x:f>IF(A192="","",IF(NOT(COUNTIFS(Frozen_Predictions!$A$4:$A$203,A192)=1),"SNAPSHOT ID INVALID",IFERROR(IF(NOT(AND(INDEX(Frozen_Predictions!$Q$4:$Q$203,MATCH(A192,Frozen_Predictions!$A$4:$A$203,0))="DA",ISNUMBER(INDEX(Frozen_Predictions!$B$4:$B$203,MATCH(A192,Frozen_Predictions!$A$4:$A$203,0))),ISNUMBER(INDEX(Frozen_Predictions!$C$4:$C$203,MATCH(A192,Frozen_Predictions!$A$4:$A$203,0))),INDEX(Frozen_Predictions!$B$4:$B$203,MATCH(A192,Frozen_Predictions!$A$4:$A$203,0))&lt;INDEX(Frozen_Predictions!$C$4:$C$203,MATCH(A192,Frozen_Predictions!$A$4:$A$203,0)),INDEX(Frozen_Predictions!$V$4:$V$203,MATCH(A192,Frozen_Predictions!$A$4:$A$203,0))="READY",INDEX(Frozen_Predictions!$O$4:$O$203,MATCH(A192,Frozen_Predictions!$A$4:$A$203,0))="PASS",INDEX(Frozen_Predictions!$J$4:$J$203,MATCH(A192,Frozen_Predictions!$A$4:$A$203,0))=Under_LineCal_v9!$B$45,COUNTIFS(Frozen_Predictions!$A$4:$A$203,A192,Frozen_Predictions!$L$4:$L$203,"&lt;&gt;",Frozen_Predictions!$L$4:$L$203,"&gt;=0",Frozen_Predictions!$L$4:$L$203,"&lt;=1")=1,COUNTIFS($A$4:$A$203,A192)=1)),"SNAPSHOT NOT VALID",IF(AND(ISNUMBER(I192),I192&gt;=0,I192&lt;=1,ISNUMBER(N192),P192&lt;&gt;"",ISNUMBER(Q192),Q192&gt;=B192,OR(G192="U3.5",G192="U4.5",G192="U5.5")),"SETTLED","PENDING RESULT")),"SNAPSHOT NOT VALID")))</x:f>
      </x:c>
    </x:row>
    <x:row r="193" ht="23" customHeight="1">
      <x:c r="A193" s="175"/>
      <x:c r="B193" s="200" t="str">
        <x:f>IF(A193="","",IFERROR(INDEX(Frozen_Predictions!$C$4:$C$203,MATCH(A193,Frozen_Predictions!$A$4:$A$203,0)),""))</x:f>
      </x:c>
      <x:c r="C193" s="172" t="str">
        <x:f>IF(A193="","",IFERROR(INDEX(Frozen_Predictions!$E$4:$E$203,MATCH(A193,Frozen_Predictions!$A$4:$A$203,0)),""))</x:f>
      </x:c>
      <x:c r="D193" s="172" t="str">
        <x:f>IF(A193="","",IFERROR(INDEX(Frozen_Predictions!$F$4:$F$203,MATCH(A193,Frozen_Predictions!$A$4:$A$203,0)),""))</x:f>
      </x:c>
      <x:c r="E193" s="172" t="str">
        <x:f>IF(A193="","",IFERROR(INDEX(Frozen_Predictions!$G$4:$G$203,MATCH(A193,Frozen_Predictions!$A$4:$A$203,0)),""))</x:f>
      </x:c>
      <x:c r="F193" s="172" t="str">
        <x:f>IF(A193="","",IFERROR(INDEX(Frozen_Predictions!$H$4:$H$203,MATCH(A193,Frozen_Predictions!$A$4:$A$203,0)),""))</x:f>
      </x:c>
      <x:c r="G193" s="172" t="str">
        <x:f>IF(A193="","",IFERROR(INDEX(Frozen_Predictions!$I$4:$I$203,MATCH(A193,Frozen_Predictions!$A$4:$A$203,0)),""))</x:f>
      </x:c>
      <x:c r="H193" s="172" t="str">
        <x:f>IF(A193="","",IFERROR(INDEX(Frozen_Predictions!$J$4:$J$203,MATCH(A193,Frozen_Predictions!$A$4:$A$203,0)),""))</x:f>
      </x:c>
      <x:c r="I193" s="192" t="str">
        <x:f>IF(A193="","",IFERROR(INDEX(Frozen_Predictions!$L$4:$L$203,MATCH(A193,Frozen_Predictions!$A$4:$A$203,0)),""))</x:f>
      </x:c>
      <x:c r="J193" s="172" t="str">
        <x:f>IF(X193&lt;&gt;"SETTLED","",IF(N193&lt;=IF(G193="U3.5",3,IF(G193="U4.5",4,5)),1,0))</x:f>
      </x:c>
      <x:c r="K193" s="195" t="str">
        <x:f>IF(X193&lt;&gt;"SETTLED","",IF(AND(OR(V193="DEFENSIV",V193="PRUDENT",V193="MODERAT",V193="RIDICAT"),ISNUMBER(INDEX(Frozen_Predictions!$Y$4:$Y$203,MATCH(A193,Frozen_Predictions!$A$4:$A$203,0))),INDEX(Frozen_Predictions!$Y$4:$Y$203,MATCH(A193,Frozen_Predictions!$A$4:$A$203,0))&gt;1),IF(J193=1,INDEX(Frozen_Predictions!$Y$4:$Y$203,MATCH(A193,Frozen_Predictions!$A$4:$A$203,0))-1,-1),""))</x:f>
      </x:c>
      <x:c r="L193" s="175"/>
      <x:c r="M193" s="175"/>
      <x:c r="N193" s="172" t="str">
        <x:f>IFERROR(IF(AND(ISNUMBER(L193),ISNUMBER(M193),L193&gt;=0,M193&gt;=0,INT(L193)=L193,INT(M193)=M193),L193+M193,""),"")</x:f>
      </x:c>
      <x:c r="O193" s="172" t="str">
        <x:f>IF(X193&lt;&gt;"SETTLED","",IF(J193=1,"WIN",IF(N193=IF(G193="U3.5",4,IF(G193="U4.5",5,6)),"NEAR TAIL","SEVERE TAIL")))</x:f>
      </x:c>
      <x:c r="P193" s="175"/>
      <x:c r="Q193" s="177"/>
      <x:c r="R193" s="213" t="str">
        <x:f>IF(X193&lt;&gt;"SETTLED","",(I193-J193)^2)</x:f>
      </x:c>
      <x:c r="S193" s="213" t="str">
        <x:f>IF(X193&lt;&gt;"SETTLED","",-(J193*LN(MAX(0.000001,MIN(0.999999,I193)))+(1-J193)*LN(MAX(0.000001,MIN(0.999999,1-I193)))))</x:f>
      </x:c>
      <x:c r="T193" s="172" t="str">
        <x:f>IF(A193="","",IFERROR(INDEX(Frozen_Predictions!$N$4:$N$203,MATCH(A193,Frozen_Predictions!$A$4:$A$203,0)),""))</x:f>
      </x:c>
      <x:c r="U193" s="172" t="str">
        <x:f>IF(A193="","",IFERROR(INDEX(Frozen_Predictions!$O$4:$O$203,MATCH(A193,Frozen_Predictions!$A$4:$A$203,0)),""))</x:f>
      </x:c>
      <x:c r="V193" s="172" t="str">
        <x:f>IF(A193="","",IFERROR(INDEX(Frozen_Predictions!$M$4:$M$203,MATCH(A193,Frozen_Predictions!$A$4:$A$203,0)),""))</x:f>
      </x:c>
      <x:c r="W193" s="175"/>
      <x:c r="X193" s="172" t="str">
        <x:f>IF(A193="","",IF(NOT(COUNTIFS(Frozen_Predictions!$A$4:$A$203,A193)=1),"SNAPSHOT ID INVALID",IFERROR(IF(NOT(AND(INDEX(Frozen_Predictions!$Q$4:$Q$203,MATCH(A193,Frozen_Predictions!$A$4:$A$203,0))="DA",ISNUMBER(INDEX(Frozen_Predictions!$B$4:$B$203,MATCH(A193,Frozen_Predictions!$A$4:$A$203,0))),ISNUMBER(INDEX(Frozen_Predictions!$C$4:$C$203,MATCH(A193,Frozen_Predictions!$A$4:$A$203,0))),INDEX(Frozen_Predictions!$B$4:$B$203,MATCH(A193,Frozen_Predictions!$A$4:$A$203,0))&lt;INDEX(Frozen_Predictions!$C$4:$C$203,MATCH(A193,Frozen_Predictions!$A$4:$A$203,0)),INDEX(Frozen_Predictions!$V$4:$V$203,MATCH(A193,Frozen_Predictions!$A$4:$A$203,0))="READY",INDEX(Frozen_Predictions!$O$4:$O$203,MATCH(A193,Frozen_Predictions!$A$4:$A$203,0))="PASS",INDEX(Frozen_Predictions!$J$4:$J$203,MATCH(A193,Frozen_Predictions!$A$4:$A$203,0))=Under_LineCal_v9!$B$45,COUNTIFS(Frozen_Predictions!$A$4:$A$203,A193,Frozen_Predictions!$L$4:$L$203,"&lt;&gt;",Frozen_Predictions!$L$4:$L$203,"&gt;=0",Frozen_Predictions!$L$4:$L$203,"&lt;=1")=1,COUNTIFS($A$4:$A$203,A193)=1)),"SNAPSHOT NOT VALID",IF(AND(ISNUMBER(I193),I193&gt;=0,I193&lt;=1,ISNUMBER(N193),P193&lt;&gt;"",ISNUMBER(Q193),Q193&gt;=B193,OR(G193="U3.5",G193="U4.5",G193="U5.5")),"SETTLED","PENDING RESULT")),"SNAPSHOT NOT VALID")))</x:f>
      </x:c>
    </x:row>
    <x:row r="194" ht="23" customHeight="1">
      <x:c r="A194" s="175"/>
      <x:c r="B194" s="200" t="str">
        <x:f>IF(A194="","",IFERROR(INDEX(Frozen_Predictions!$C$4:$C$203,MATCH(A194,Frozen_Predictions!$A$4:$A$203,0)),""))</x:f>
      </x:c>
      <x:c r="C194" s="172" t="str">
        <x:f>IF(A194="","",IFERROR(INDEX(Frozen_Predictions!$E$4:$E$203,MATCH(A194,Frozen_Predictions!$A$4:$A$203,0)),""))</x:f>
      </x:c>
      <x:c r="D194" s="172" t="str">
        <x:f>IF(A194="","",IFERROR(INDEX(Frozen_Predictions!$F$4:$F$203,MATCH(A194,Frozen_Predictions!$A$4:$A$203,0)),""))</x:f>
      </x:c>
      <x:c r="E194" s="172" t="str">
        <x:f>IF(A194="","",IFERROR(INDEX(Frozen_Predictions!$G$4:$G$203,MATCH(A194,Frozen_Predictions!$A$4:$A$203,0)),""))</x:f>
      </x:c>
      <x:c r="F194" s="172" t="str">
        <x:f>IF(A194="","",IFERROR(INDEX(Frozen_Predictions!$H$4:$H$203,MATCH(A194,Frozen_Predictions!$A$4:$A$203,0)),""))</x:f>
      </x:c>
      <x:c r="G194" s="172" t="str">
        <x:f>IF(A194="","",IFERROR(INDEX(Frozen_Predictions!$I$4:$I$203,MATCH(A194,Frozen_Predictions!$A$4:$A$203,0)),""))</x:f>
      </x:c>
      <x:c r="H194" s="172" t="str">
        <x:f>IF(A194="","",IFERROR(INDEX(Frozen_Predictions!$J$4:$J$203,MATCH(A194,Frozen_Predictions!$A$4:$A$203,0)),""))</x:f>
      </x:c>
      <x:c r="I194" s="192" t="str">
        <x:f>IF(A194="","",IFERROR(INDEX(Frozen_Predictions!$L$4:$L$203,MATCH(A194,Frozen_Predictions!$A$4:$A$203,0)),""))</x:f>
      </x:c>
      <x:c r="J194" s="172" t="str">
        <x:f>IF(X194&lt;&gt;"SETTLED","",IF(N194&lt;=IF(G194="U3.5",3,IF(G194="U4.5",4,5)),1,0))</x:f>
      </x:c>
      <x:c r="K194" s="195" t="str">
        <x:f>IF(X194&lt;&gt;"SETTLED","",IF(AND(OR(V194="DEFENSIV",V194="PRUDENT",V194="MODERAT",V194="RIDICAT"),ISNUMBER(INDEX(Frozen_Predictions!$Y$4:$Y$203,MATCH(A194,Frozen_Predictions!$A$4:$A$203,0))),INDEX(Frozen_Predictions!$Y$4:$Y$203,MATCH(A194,Frozen_Predictions!$A$4:$A$203,0))&gt;1),IF(J194=1,INDEX(Frozen_Predictions!$Y$4:$Y$203,MATCH(A194,Frozen_Predictions!$A$4:$A$203,0))-1,-1),""))</x:f>
      </x:c>
      <x:c r="L194" s="175"/>
      <x:c r="M194" s="175"/>
      <x:c r="N194" s="172" t="str">
        <x:f>IFERROR(IF(AND(ISNUMBER(L194),ISNUMBER(M194),L194&gt;=0,M194&gt;=0,INT(L194)=L194,INT(M194)=M194),L194+M194,""),"")</x:f>
      </x:c>
      <x:c r="O194" s="172" t="str">
        <x:f>IF(X194&lt;&gt;"SETTLED","",IF(J194=1,"WIN",IF(N194=IF(G194="U3.5",4,IF(G194="U4.5",5,6)),"NEAR TAIL","SEVERE TAIL")))</x:f>
      </x:c>
      <x:c r="P194" s="175"/>
      <x:c r="Q194" s="177"/>
      <x:c r="R194" s="213" t="str">
        <x:f>IF(X194&lt;&gt;"SETTLED","",(I194-J194)^2)</x:f>
      </x:c>
      <x:c r="S194" s="213" t="str">
        <x:f>IF(X194&lt;&gt;"SETTLED","",-(J194*LN(MAX(0.000001,MIN(0.999999,I194)))+(1-J194)*LN(MAX(0.000001,MIN(0.999999,1-I194)))))</x:f>
      </x:c>
      <x:c r="T194" s="172" t="str">
        <x:f>IF(A194="","",IFERROR(INDEX(Frozen_Predictions!$N$4:$N$203,MATCH(A194,Frozen_Predictions!$A$4:$A$203,0)),""))</x:f>
      </x:c>
      <x:c r="U194" s="172" t="str">
        <x:f>IF(A194="","",IFERROR(INDEX(Frozen_Predictions!$O$4:$O$203,MATCH(A194,Frozen_Predictions!$A$4:$A$203,0)),""))</x:f>
      </x:c>
      <x:c r="V194" s="172" t="str">
        <x:f>IF(A194="","",IFERROR(INDEX(Frozen_Predictions!$M$4:$M$203,MATCH(A194,Frozen_Predictions!$A$4:$A$203,0)),""))</x:f>
      </x:c>
      <x:c r="W194" s="175"/>
      <x:c r="X194" s="172" t="str">
        <x:f>IF(A194="","",IF(NOT(COUNTIFS(Frozen_Predictions!$A$4:$A$203,A194)=1),"SNAPSHOT ID INVALID",IFERROR(IF(NOT(AND(INDEX(Frozen_Predictions!$Q$4:$Q$203,MATCH(A194,Frozen_Predictions!$A$4:$A$203,0))="DA",ISNUMBER(INDEX(Frozen_Predictions!$B$4:$B$203,MATCH(A194,Frozen_Predictions!$A$4:$A$203,0))),ISNUMBER(INDEX(Frozen_Predictions!$C$4:$C$203,MATCH(A194,Frozen_Predictions!$A$4:$A$203,0))),INDEX(Frozen_Predictions!$B$4:$B$203,MATCH(A194,Frozen_Predictions!$A$4:$A$203,0))&lt;INDEX(Frozen_Predictions!$C$4:$C$203,MATCH(A194,Frozen_Predictions!$A$4:$A$203,0)),INDEX(Frozen_Predictions!$V$4:$V$203,MATCH(A194,Frozen_Predictions!$A$4:$A$203,0))="READY",INDEX(Frozen_Predictions!$O$4:$O$203,MATCH(A194,Frozen_Predictions!$A$4:$A$203,0))="PASS",INDEX(Frozen_Predictions!$J$4:$J$203,MATCH(A194,Frozen_Predictions!$A$4:$A$203,0))=Under_LineCal_v9!$B$45,COUNTIFS(Frozen_Predictions!$A$4:$A$203,A194,Frozen_Predictions!$L$4:$L$203,"&lt;&gt;",Frozen_Predictions!$L$4:$L$203,"&gt;=0",Frozen_Predictions!$L$4:$L$203,"&lt;=1")=1,COUNTIFS($A$4:$A$203,A194)=1)),"SNAPSHOT NOT VALID",IF(AND(ISNUMBER(I194),I194&gt;=0,I194&lt;=1,ISNUMBER(N194),P194&lt;&gt;"",ISNUMBER(Q194),Q194&gt;=B194,OR(G194="U3.5",G194="U4.5",G194="U5.5")),"SETTLED","PENDING RESULT")),"SNAPSHOT NOT VALID")))</x:f>
      </x:c>
    </x:row>
    <x:row r="195" ht="23" customHeight="1">
      <x:c r="A195" s="175"/>
      <x:c r="B195" s="200" t="str">
        <x:f>IF(A195="","",IFERROR(INDEX(Frozen_Predictions!$C$4:$C$203,MATCH(A195,Frozen_Predictions!$A$4:$A$203,0)),""))</x:f>
      </x:c>
      <x:c r="C195" s="172" t="str">
        <x:f>IF(A195="","",IFERROR(INDEX(Frozen_Predictions!$E$4:$E$203,MATCH(A195,Frozen_Predictions!$A$4:$A$203,0)),""))</x:f>
      </x:c>
      <x:c r="D195" s="172" t="str">
        <x:f>IF(A195="","",IFERROR(INDEX(Frozen_Predictions!$F$4:$F$203,MATCH(A195,Frozen_Predictions!$A$4:$A$203,0)),""))</x:f>
      </x:c>
      <x:c r="E195" s="172" t="str">
        <x:f>IF(A195="","",IFERROR(INDEX(Frozen_Predictions!$G$4:$G$203,MATCH(A195,Frozen_Predictions!$A$4:$A$203,0)),""))</x:f>
      </x:c>
      <x:c r="F195" s="172" t="str">
        <x:f>IF(A195="","",IFERROR(INDEX(Frozen_Predictions!$H$4:$H$203,MATCH(A195,Frozen_Predictions!$A$4:$A$203,0)),""))</x:f>
      </x:c>
      <x:c r="G195" s="172" t="str">
        <x:f>IF(A195="","",IFERROR(INDEX(Frozen_Predictions!$I$4:$I$203,MATCH(A195,Frozen_Predictions!$A$4:$A$203,0)),""))</x:f>
      </x:c>
      <x:c r="H195" s="172" t="str">
        <x:f>IF(A195="","",IFERROR(INDEX(Frozen_Predictions!$J$4:$J$203,MATCH(A195,Frozen_Predictions!$A$4:$A$203,0)),""))</x:f>
      </x:c>
      <x:c r="I195" s="192" t="str">
        <x:f>IF(A195="","",IFERROR(INDEX(Frozen_Predictions!$L$4:$L$203,MATCH(A195,Frozen_Predictions!$A$4:$A$203,0)),""))</x:f>
      </x:c>
      <x:c r="J195" s="172" t="str">
        <x:f>IF(X195&lt;&gt;"SETTLED","",IF(N195&lt;=IF(G195="U3.5",3,IF(G195="U4.5",4,5)),1,0))</x:f>
      </x:c>
      <x:c r="K195" s="195" t="str">
        <x:f>IF(X195&lt;&gt;"SETTLED","",IF(AND(OR(V195="DEFENSIV",V195="PRUDENT",V195="MODERAT",V195="RIDICAT"),ISNUMBER(INDEX(Frozen_Predictions!$Y$4:$Y$203,MATCH(A195,Frozen_Predictions!$A$4:$A$203,0))),INDEX(Frozen_Predictions!$Y$4:$Y$203,MATCH(A195,Frozen_Predictions!$A$4:$A$203,0))&gt;1),IF(J195=1,INDEX(Frozen_Predictions!$Y$4:$Y$203,MATCH(A195,Frozen_Predictions!$A$4:$A$203,0))-1,-1),""))</x:f>
      </x:c>
      <x:c r="L195" s="175"/>
      <x:c r="M195" s="175"/>
      <x:c r="N195" s="172" t="str">
        <x:f>IFERROR(IF(AND(ISNUMBER(L195),ISNUMBER(M195),L195&gt;=0,M195&gt;=0,INT(L195)=L195,INT(M195)=M195),L195+M195,""),"")</x:f>
      </x:c>
      <x:c r="O195" s="172" t="str">
        <x:f>IF(X195&lt;&gt;"SETTLED","",IF(J195=1,"WIN",IF(N195=IF(G195="U3.5",4,IF(G195="U4.5",5,6)),"NEAR TAIL","SEVERE TAIL")))</x:f>
      </x:c>
      <x:c r="P195" s="175"/>
      <x:c r="Q195" s="177"/>
      <x:c r="R195" s="213" t="str">
        <x:f>IF(X195&lt;&gt;"SETTLED","",(I195-J195)^2)</x:f>
      </x:c>
      <x:c r="S195" s="213" t="str">
        <x:f>IF(X195&lt;&gt;"SETTLED","",-(J195*LN(MAX(0.000001,MIN(0.999999,I195)))+(1-J195)*LN(MAX(0.000001,MIN(0.999999,1-I195)))))</x:f>
      </x:c>
      <x:c r="T195" s="172" t="str">
        <x:f>IF(A195="","",IFERROR(INDEX(Frozen_Predictions!$N$4:$N$203,MATCH(A195,Frozen_Predictions!$A$4:$A$203,0)),""))</x:f>
      </x:c>
      <x:c r="U195" s="172" t="str">
        <x:f>IF(A195="","",IFERROR(INDEX(Frozen_Predictions!$O$4:$O$203,MATCH(A195,Frozen_Predictions!$A$4:$A$203,0)),""))</x:f>
      </x:c>
      <x:c r="V195" s="172" t="str">
        <x:f>IF(A195="","",IFERROR(INDEX(Frozen_Predictions!$M$4:$M$203,MATCH(A195,Frozen_Predictions!$A$4:$A$203,0)),""))</x:f>
      </x:c>
      <x:c r="W195" s="175"/>
      <x:c r="X195" s="172" t="str">
        <x:f>IF(A195="","",IF(NOT(COUNTIFS(Frozen_Predictions!$A$4:$A$203,A195)=1),"SNAPSHOT ID INVALID",IFERROR(IF(NOT(AND(INDEX(Frozen_Predictions!$Q$4:$Q$203,MATCH(A195,Frozen_Predictions!$A$4:$A$203,0))="DA",ISNUMBER(INDEX(Frozen_Predictions!$B$4:$B$203,MATCH(A195,Frozen_Predictions!$A$4:$A$203,0))),ISNUMBER(INDEX(Frozen_Predictions!$C$4:$C$203,MATCH(A195,Frozen_Predictions!$A$4:$A$203,0))),INDEX(Frozen_Predictions!$B$4:$B$203,MATCH(A195,Frozen_Predictions!$A$4:$A$203,0))&lt;INDEX(Frozen_Predictions!$C$4:$C$203,MATCH(A195,Frozen_Predictions!$A$4:$A$203,0)),INDEX(Frozen_Predictions!$V$4:$V$203,MATCH(A195,Frozen_Predictions!$A$4:$A$203,0))="READY",INDEX(Frozen_Predictions!$O$4:$O$203,MATCH(A195,Frozen_Predictions!$A$4:$A$203,0))="PASS",INDEX(Frozen_Predictions!$J$4:$J$203,MATCH(A195,Frozen_Predictions!$A$4:$A$203,0))=Under_LineCal_v9!$B$45,COUNTIFS(Frozen_Predictions!$A$4:$A$203,A195,Frozen_Predictions!$L$4:$L$203,"&lt;&gt;",Frozen_Predictions!$L$4:$L$203,"&gt;=0",Frozen_Predictions!$L$4:$L$203,"&lt;=1")=1,COUNTIFS($A$4:$A$203,A195)=1)),"SNAPSHOT NOT VALID",IF(AND(ISNUMBER(I195),I195&gt;=0,I195&lt;=1,ISNUMBER(N195),P195&lt;&gt;"",ISNUMBER(Q195),Q195&gt;=B195,OR(G195="U3.5",G195="U4.5",G195="U5.5")),"SETTLED","PENDING RESULT")),"SNAPSHOT NOT VALID")))</x:f>
      </x:c>
    </x:row>
    <x:row r="196" ht="23" customHeight="1">
      <x:c r="A196" s="175"/>
      <x:c r="B196" s="200" t="str">
        <x:f>IF(A196="","",IFERROR(INDEX(Frozen_Predictions!$C$4:$C$203,MATCH(A196,Frozen_Predictions!$A$4:$A$203,0)),""))</x:f>
      </x:c>
      <x:c r="C196" s="172" t="str">
        <x:f>IF(A196="","",IFERROR(INDEX(Frozen_Predictions!$E$4:$E$203,MATCH(A196,Frozen_Predictions!$A$4:$A$203,0)),""))</x:f>
      </x:c>
      <x:c r="D196" s="172" t="str">
        <x:f>IF(A196="","",IFERROR(INDEX(Frozen_Predictions!$F$4:$F$203,MATCH(A196,Frozen_Predictions!$A$4:$A$203,0)),""))</x:f>
      </x:c>
      <x:c r="E196" s="172" t="str">
        <x:f>IF(A196="","",IFERROR(INDEX(Frozen_Predictions!$G$4:$G$203,MATCH(A196,Frozen_Predictions!$A$4:$A$203,0)),""))</x:f>
      </x:c>
      <x:c r="F196" s="172" t="str">
        <x:f>IF(A196="","",IFERROR(INDEX(Frozen_Predictions!$H$4:$H$203,MATCH(A196,Frozen_Predictions!$A$4:$A$203,0)),""))</x:f>
      </x:c>
      <x:c r="G196" s="172" t="str">
        <x:f>IF(A196="","",IFERROR(INDEX(Frozen_Predictions!$I$4:$I$203,MATCH(A196,Frozen_Predictions!$A$4:$A$203,0)),""))</x:f>
      </x:c>
      <x:c r="H196" s="172" t="str">
        <x:f>IF(A196="","",IFERROR(INDEX(Frozen_Predictions!$J$4:$J$203,MATCH(A196,Frozen_Predictions!$A$4:$A$203,0)),""))</x:f>
      </x:c>
      <x:c r="I196" s="192" t="str">
        <x:f>IF(A196="","",IFERROR(INDEX(Frozen_Predictions!$L$4:$L$203,MATCH(A196,Frozen_Predictions!$A$4:$A$203,0)),""))</x:f>
      </x:c>
      <x:c r="J196" s="172" t="str">
        <x:f>IF(X196&lt;&gt;"SETTLED","",IF(N196&lt;=IF(G196="U3.5",3,IF(G196="U4.5",4,5)),1,0))</x:f>
      </x:c>
      <x:c r="K196" s="195" t="str">
        <x:f>IF(X196&lt;&gt;"SETTLED","",IF(AND(OR(V196="DEFENSIV",V196="PRUDENT",V196="MODERAT",V196="RIDICAT"),ISNUMBER(INDEX(Frozen_Predictions!$Y$4:$Y$203,MATCH(A196,Frozen_Predictions!$A$4:$A$203,0))),INDEX(Frozen_Predictions!$Y$4:$Y$203,MATCH(A196,Frozen_Predictions!$A$4:$A$203,0))&gt;1),IF(J196=1,INDEX(Frozen_Predictions!$Y$4:$Y$203,MATCH(A196,Frozen_Predictions!$A$4:$A$203,0))-1,-1),""))</x:f>
      </x:c>
      <x:c r="L196" s="175"/>
      <x:c r="M196" s="175"/>
      <x:c r="N196" s="172" t="str">
        <x:f>IFERROR(IF(AND(ISNUMBER(L196),ISNUMBER(M196),L196&gt;=0,M196&gt;=0,INT(L196)=L196,INT(M196)=M196),L196+M196,""),"")</x:f>
      </x:c>
      <x:c r="O196" s="172" t="str">
        <x:f>IF(X196&lt;&gt;"SETTLED","",IF(J196=1,"WIN",IF(N196=IF(G196="U3.5",4,IF(G196="U4.5",5,6)),"NEAR TAIL","SEVERE TAIL")))</x:f>
      </x:c>
      <x:c r="P196" s="175"/>
      <x:c r="Q196" s="177"/>
      <x:c r="R196" s="213" t="str">
        <x:f>IF(X196&lt;&gt;"SETTLED","",(I196-J196)^2)</x:f>
      </x:c>
      <x:c r="S196" s="213" t="str">
        <x:f>IF(X196&lt;&gt;"SETTLED","",-(J196*LN(MAX(0.000001,MIN(0.999999,I196)))+(1-J196)*LN(MAX(0.000001,MIN(0.999999,1-I196)))))</x:f>
      </x:c>
      <x:c r="T196" s="172" t="str">
        <x:f>IF(A196="","",IFERROR(INDEX(Frozen_Predictions!$N$4:$N$203,MATCH(A196,Frozen_Predictions!$A$4:$A$203,0)),""))</x:f>
      </x:c>
      <x:c r="U196" s="172" t="str">
        <x:f>IF(A196="","",IFERROR(INDEX(Frozen_Predictions!$O$4:$O$203,MATCH(A196,Frozen_Predictions!$A$4:$A$203,0)),""))</x:f>
      </x:c>
      <x:c r="V196" s="172" t="str">
        <x:f>IF(A196="","",IFERROR(INDEX(Frozen_Predictions!$M$4:$M$203,MATCH(A196,Frozen_Predictions!$A$4:$A$203,0)),""))</x:f>
      </x:c>
      <x:c r="W196" s="175"/>
      <x:c r="X196" s="172" t="str">
        <x:f>IF(A196="","",IF(NOT(COUNTIFS(Frozen_Predictions!$A$4:$A$203,A196)=1),"SNAPSHOT ID INVALID",IFERROR(IF(NOT(AND(INDEX(Frozen_Predictions!$Q$4:$Q$203,MATCH(A196,Frozen_Predictions!$A$4:$A$203,0))="DA",ISNUMBER(INDEX(Frozen_Predictions!$B$4:$B$203,MATCH(A196,Frozen_Predictions!$A$4:$A$203,0))),ISNUMBER(INDEX(Frozen_Predictions!$C$4:$C$203,MATCH(A196,Frozen_Predictions!$A$4:$A$203,0))),INDEX(Frozen_Predictions!$B$4:$B$203,MATCH(A196,Frozen_Predictions!$A$4:$A$203,0))&lt;INDEX(Frozen_Predictions!$C$4:$C$203,MATCH(A196,Frozen_Predictions!$A$4:$A$203,0)),INDEX(Frozen_Predictions!$V$4:$V$203,MATCH(A196,Frozen_Predictions!$A$4:$A$203,0))="READY",INDEX(Frozen_Predictions!$O$4:$O$203,MATCH(A196,Frozen_Predictions!$A$4:$A$203,0))="PASS",INDEX(Frozen_Predictions!$J$4:$J$203,MATCH(A196,Frozen_Predictions!$A$4:$A$203,0))=Under_LineCal_v9!$B$45,COUNTIFS(Frozen_Predictions!$A$4:$A$203,A196,Frozen_Predictions!$L$4:$L$203,"&lt;&gt;",Frozen_Predictions!$L$4:$L$203,"&gt;=0",Frozen_Predictions!$L$4:$L$203,"&lt;=1")=1,COUNTIFS($A$4:$A$203,A196)=1)),"SNAPSHOT NOT VALID",IF(AND(ISNUMBER(I196),I196&gt;=0,I196&lt;=1,ISNUMBER(N196),P196&lt;&gt;"",ISNUMBER(Q196),Q196&gt;=B196,OR(G196="U3.5",G196="U4.5",G196="U5.5")),"SETTLED","PENDING RESULT")),"SNAPSHOT NOT VALID")))</x:f>
      </x:c>
    </x:row>
    <x:row r="197" ht="23" customHeight="1">
      <x:c r="A197" s="175"/>
      <x:c r="B197" s="200" t="str">
        <x:f>IF(A197="","",IFERROR(INDEX(Frozen_Predictions!$C$4:$C$203,MATCH(A197,Frozen_Predictions!$A$4:$A$203,0)),""))</x:f>
      </x:c>
      <x:c r="C197" s="172" t="str">
        <x:f>IF(A197="","",IFERROR(INDEX(Frozen_Predictions!$E$4:$E$203,MATCH(A197,Frozen_Predictions!$A$4:$A$203,0)),""))</x:f>
      </x:c>
      <x:c r="D197" s="172" t="str">
        <x:f>IF(A197="","",IFERROR(INDEX(Frozen_Predictions!$F$4:$F$203,MATCH(A197,Frozen_Predictions!$A$4:$A$203,0)),""))</x:f>
      </x:c>
      <x:c r="E197" s="172" t="str">
        <x:f>IF(A197="","",IFERROR(INDEX(Frozen_Predictions!$G$4:$G$203,MATCH(A197,Frozen_Predictions!$A$4:$A$203,0)),""))</x:f>
      </x:c>
      <x:c r="F197" s="172" t="str">
        <x:f>IF(A197="","",IFERROR(INDEX(Frozen_Predictions!$H$4:$H$203,MATCH(A197,Frozen_Predictions!$A$4:$A$203,0)),""))</x:f>
      </x:c>
      <x:c r="G197" s="172" t="str">
        <x:f>IF(A197="","",IFERROR(INDEX(Frozen_Predictions!$I$4:$I$203,MATCH(A197,Frozen_Predictions!$A$4:$A$203,0)),""))</x:f>
      </x:c>
      <x:c r="H197" s="172" t="str">
        <x:f>IF(A197="","",IFERROR(INDEX(Frozen_Predictions!$J$4:$J$203,MATCH(A197,Frozen_Predictions!$A$4:$A$203,0)),""))</x:f>
      </x:c>
      <x:c r="I197" s="192" t="str">
        <x:f>IF(A197="","",IFERROR(INDEX(Frozen_Predictions!$L$4:$L$203,MATCH(A197,Frozen_Predictions!$A$4:$A$203,0)),""))</x:f>
      </x:c>
      <x:c r="J197" s="172" t="str">
        <x:f>IF(X197&lt;&gt;"SETTLED","",IF(N197&lt;=IF(G197="U3.5",3,IF(G197="U4.5",4,5)),1,0))</x:f>
      </x:c>
      <x:c r="K197" s="195" t="str">
        <x:f>IF(X197&lt;&gt;"SETTLED","",IF(AND(OR(V197="DEFENSIV",V197="PRUDENT",V197="MODERAT",V197="RIDICAT"),ISNUMBER(INDEX(Frozen_Predictions!$Y$4:$Y$203,MATCH(A197,Frozen_Predictions!$A$4:$A$203,0))),INDEX(Frozen_Predictions!$Y$4:$Y$203,MATCH(A197,Frozen_Predictions!$A$4:$A$203,0))&gt;1),IF(J197=1,INDEX(Frozen_Predictions!$Y$4:$Y$203,MATCH(A197,Frozen_Predictions!$A$4:$A$203,0))-1,-1),""))</x:f>
      </x:c>
      <x:c r="L197" s="175"/>
      <x:c r="M197" s="175"/>
      <x:c r="N197" s="172" t="str">
        <x:f>IFERROR(IF(AND(ISNUMBER(L197),ISNUMBER(M197),L197&gt;=0,M197&gt;=0,INT(L197)=L197,INT(M197)=M197),L197+M197,""),"")</x:f>
      </x:c>
      <x:c r="O197" s="172" t="str">
        <x:f>IF(X197&lt;&gt;"SETTLED","",IF(J197=1,"WIN",IF(N197=IF(G197="U3.5",4,IF(G197="U4.5",5,6)),"NEAR TAIL","SEVERE TAIL")))</x:f>
      </x:c>
      <x:c r="P197" s="175"/>
      <x:c r="Q197" s="177"/>
      <x:c r="R197" s="213" t="str">
        <x:f>IF(X197&lt;&gt;"SETTLED","",(I197-J197)^2)</x:f>
      </x:c>
      <x:c r="S197" s="213" t="str">
        <x:f>IF(X197&lt;&gt;"SETTLED","",-(J197*LN(MAX(0.000001,MIN(0.999999,I197)))+(1-J197)*LN(MAX(0.000001,MIN(0.999999,1-I197)))))</x:f>
      </x:c>
      <x:c r="T197" s="172" t="str">
        <x:f>IF(A197="","",IFERROR(INDEX(Frozen_Predictions!$N$4:$N$203,MATCH(A197,Frozen_Predictions!$A$4:$A$203,0)),""))</x:f>
      </x:c>
      <x:c r="U197" s="172" t="str">
        <x:f>IF(A197="","",IFERROR(INDEX(Frozen_Predictions!$O$4:$O$203,MATCH(A197,Frozen_Predictions!$A$4:$A$203,0)),""))</x:f>
      </x:c>
      <x:c r="V197" s="172" t="str">
        <x:f>IF(A197="","",IFERROR(INDEX(Frozen_Predictions!$M$4:$M$203,MATCH(A197,Frozen_Predictions!$A$4:$A$203,0)),""))</x:f>
      </x:c>
      <x:c r="W197" s="175"/>
      <x:c r="X197" s="172" t="str">
        <x:f>IF(A197="","",IF(NOT(COUNTIFS(Frozen_Predictions!$A$4:$A$203,A197)=1),"SNAPSHOT ID INVALID",IFERROR(IF(NOT(AND(INDEX(Frozen_Predictions!$Q$4:$Q$203,MATCH(A197,Frozen_Predictions!$A$4:$A$203,0))="DA",ISNUMBER(INDEX(Frozen_Predictions!$B$4:$B$203,MATCH(A197,Frozen_Predictions!$A$4:$A$203,0))),ISNUMBER(INDEX(Frozen_Predictions!$C$4:$C$203,MATCH(A197,Frozen_Predictions!$A$4:$A$203,0))),INDEX(Frozen_Predictions!$B$4:$B$203,MATCH(A197,Frozen_Predictions!$A$4:$A$203,0))&lt;INDEX(Frozen_Predictions!$C$4:$C$203,MATCH(A197,Frozen_Predictions!$A$4:$A$203,0)),INDEX(Frozen_Predictions!$V$4:$V$203,MATCH(A197,Frozen_Predictions!$A$4:$A$203,0))="READY",INDEX(Frozen_Predictions!$O$4:$O$203,MATCH(A197,Frozen_Predictions!$A$4:$A$203,0))="PASS",INDEX(Frozen_Predictions!$J$4:$J$203,MATCH(A197,Frozen_Predictions!$A$4:$A$203,0))=Under_LineCal_v9!$B$45,COUNTIFS(Frozen_Predictions!$A$4:$A$203,A197,Frozen_Predictions!$L$4:$L$203,"&lt;&gt;",Frozen_Predictions!$L$4:$L$203,"&gt;=0",Frozen_Predictions!$L$4:$L$203,"&lt;=1")=1,COUNTIFS($A$4:$A$203,A197)=1)),"SNAPSHOT NOT VALID",IF(AND(ISNUMBER(I197),I197&gt;=0,I197&lt;=1,ISNUMBER(N197),P197&lt;&gt;"",ISNUMBER(Q197),Q197&gt;=B197,OR(G197="U3.5",G197="U4.5",G197="U5.5")),"SETTLED","PENDING RESULT")),"SNAPSHOT NOT VALID")))</x:f>
      </x:c>
    </x:row>
    <x:row r="198" ht="23" customHeight="1">
      <x:c r="A198" s="175"/>
      <x:c r="B198" s="200" t="str">
        <x:f>IF(A198="","",IFERROR(INDEX(Frozen_Predictions!$C$4:$C$203,MATCH(A198,Frozen_Predictions!$A$4:$A$203,0)),""))</x:f>
      </x:c>
      <x:c r="C198" s="172" t="str">
        <x:f>IF(A198="","",IFERROR(INDEX(Frozen_Predictions!$E$4:$E$203,MATCH(A198,Frozen_Predictions!$A$4:$A$203,0)),""))</x:f>
      </x:c>
      <x:c r="D198" s="172" t="str">
        <x:f>IF(A198="","",IFERROR(INDEX(Frozen_Predictions!$F$4:$F$203,MATCH(A198,Frozen_Predictions!$A$4:$A$203,0)),""))</x:f>
      </x:c>
      <x:c r="E198" s="172" t="str">
        <x:f>IF(A198="","",IFERROR(INDEX(Frozen_Predictions!$G$4:$G$203,MATCH(A198,Frozen_Predictions!$A$4:$A$203,0)),""))</x:f>
      </x:c>
      <x:c r="F198" s="172" t="str">
        <x:f>IF(A198="","",IFERROR(INDEX(Frozen_Predictions!$H$4:$H$203,MATCH(A198,Frozen_Predictions!$A$4:$A$203,0)),""))</x:f>
      </x:c>
      <x:c r="G198" s="172" t="str">
        <x:f>IF(A198="","",IFERROR(INDEX(Frozen_Predictions!$I$4:$I$203,MATCH(A198,Frozen_Predictions!$A$4:$A$203,0)),""))</x:f>
      </x:c>
      <x:c r="H198" s="172" t="str">
        <x:f>IF(A198="","",IFERROR(INDEX(Frozen_Predictions!$J$4:$J$203,MATCH(A198,Frozen_Predictions!$A$4:$A$203,0)),""))</x:f>
      </x:c>
      <x:c r="I198" s="192" t="str">
        <x:f>IF(A198="","",IFERROR(INDEX(Frozen_Predictions!$L$4:$L$203,MATCH(A198,Frozen_Predictions!$A$4:$A$203,0)),""))</x:f>
      </x:c>
      <x:c r="J198" s="172" t="str">
        <x:f>IF(X198&lt;&gt;"SETTLED","",IF(N198&lt;=IF(G198="U3.5",3,IF(G198="U4.5",4,5)),1,0))</x:f>
      </x:c>
      <x:c r="K198" s="195" t="str">
        <x:f>IF(X198&lt;&gt;"SETTLED","",IF(AND(OR(V198="DEFENSIV",V198="PRUDENT",V198="MODERAT",V198="RIDICAT"),ISNUMBER(INDEX(Frozen_Predictions!$Y$4:$Y$203,MATCH(A198,Frozen_Predictions!$A$4:$A$203,0))),INDEX(Frozen_Predictions!$Y$4:$Y$203,MATCH(A198,Frozen_Predictions!$A$4:$A$203,0))&gt;1),IF(J198=1,INDEX(Frozen_Predictions!$Y$4:$Y$203,MATCH(A198,Frozen_Predictions!$A$4:$A$203,0))-1,-1),""))</x:f>
      </x:c>
      <x:c r="L198" s="175"/>
      <x:c r="M198" s="175"/>
      <x:c r="N198" s="172" t="str">
        <x:f>IFERROR(IF(AND(ISNUMBER(L198),ISNUMBER(M198),L198&gt;=0,M198&gt;=0,INT(L198)=L198,INT(M198)=M198),L198+M198,""),"")</x:f>
      </x:c>
      <x:c r="O198" s="172" t="str">
        <x:f>IF(X198&lt;&gt;"SETTLED","",IF(J198=1,"WIN",IF(N198=IF(G198="U3.5",4,IF(G198="U4.5",5,6)),"NEAR TAIL","SEVERE TAIL")))</x:f>
      </x:c>
      <x:c r="P198" s="175"/>
      <x:c r="Q198" s="177"/>
      <x:c r="R198" s="213" t="str">
        <x:f>IF(X198&lt;&gt;"SETTLED","",(I198-J198)^2)</x:f>
      </x:c>
      <x:c r="S198" s="213" t="str">
        <x:f>IF(X198&lt;&gt;"SETTLED","",-(J198*LN(MAX(0.000001,MIN(0.999999,I198)))+(1-J198)*LN(MAX(0.000001,MIN(0.999999,1-I198)))))</x:f>
      </x:c>
      <x:c r="T198" s="172" t="str">
        <x:f>IF(A198="","",IFERROR(INDEX(Frozen_Predictions!$N$4:$N$203,MATCH(A198,Frozen_Predictions!$A$4:$A$203,0)),""))</x:f>
      </x:c>
      <x:c r="U198" s="172" t="str">
        <x:f>IF(A198="","",IFERROR(INDEX(Frozen_Predictions!$O$4:$O$203,MATCH(A198,Frozen_Predictions!$A$4:$A$203,0)),""))</x:f>
      </x:c>
      <x:c r="V198" s="172" t="str">
        <x:f>IF(A198="","",IFERROR(INDEX(Frozen_Predictions!$M$4:$M$203,MATCH(A198,Frozen_Predictions!$A$4:$A$203,0)),""))</x:f>
      </x:c>
      <x:c r="W198" s="175"/>
      <x:c r="X198" s="172" t="str">
        <x:f>IF(A198="","",IF(NOT(COUNTIFS(Frozen_Predictions!$A$4:$A$203,A198)=1),"SNAPSHOT ID INVALID",IFERROR(IF(NOT(AND(INDEX(Frozen_Predictions!$Q$4:$Q$203,MATCH(A198,Frozen_Predictions!$A$4:$A$203,0))="DA",ISNUMBER(INDEX(Frozen_Predictions!$B$4:$B$203,MATCH(A198,Frozen_Predictions!$A$4:$A$203,0))),ISNUMBER(INDEX(Frozen_Predictions!$C$4:$C$203,MATCH(A198,Frozen_Predictions!$A$4:$A$203,0))),INDEX(Frozen_Predictions!$B$4:$B$203,MATCH(A198,Frozen_Predictions!$A$4:$A$203,0))&lt;INDEX(Frozen_Predictions!$C$4:$C$203,MATCH(A198,Frozen_Predictions!$A$4:$A$203,0)),INDEX(Frozen_Predictions!$V$4:$V$203,MATCH(A198,Frozen_Predictions!$A$4:$A$203,0))="READY",INDEX(Frozen_Predictions!$O$4:$O$203,MATCH(A198,Frozen_Predictions!$A$4:$A$203,0))="PASS",INDEX(Frozen_Predictions!$J$4:$J$203,MATCH(A198,Frozen_Predictions!$A$4:$A$203,0))=Under_LineCal_v9!$B$45,COUNTIFS(Frozen_Predictions!$A$4:$A$203,A198,Frozen_Predictions!$L$4:$L$203,"&lt;&gt;",Frozen_Predictions!$L$4:$L$203,"&gt;=0",Frozen_Predictions!$L$4:$L$203,"&lt;=1")=1,COUNTIFS($A$4:$A$203,A198)=1)),"SNAPSHOT NOT VALID",IF(AND(ISNUMBER(I198),I198&gt;=0,I198&lt;=1,ISNUMBER(N198),P198&lt;&gt;"",ISNUMBER(Q198),Q198&gt;=B198,OR(G198="U3.5",G198="U4.5",G198="U5.5")),"SETTLED","PENDING RESULT")),"SNAPSHOT NOT VALID")))</x:f>
      </x:c>
    </x:row>
    <x:row r="199" ht="23" customHeight="1">
      <x:c r="A199" s="175"/>
      <x:c r="B199" s="200" t="str">
        <x:f>IF(A199="","",IFERROR(INDEX(Frozen_Predictions!$C$4:$C$203,MATCH(A199,Frozen_Predictions!$A$4:$A$203,0)),""))</x:f>
      </x:c>
      <x:c r="C199" s="172" t="str">
        <x:f>IF(A199="","",IFERROR(INDEX(Frozen_Predictions!$E$4:$E$203,MATCH(A199,Frozen_Predictions!$A$4:$A$203,0)),""))</x:f>
      </x:c>
      <x:c r="D199" s="172" t="str">
        <x:f>IF(A199="","",IFERROR(INDEX(Frozen_Predictions!$F$4:$F$203,MATCH(A199,Frozen_Predictions!$A$4:$A$203,0)),""))</x:f>
      </x:c>
      <x:c r="E199" s="172" t="str">
        <x:f>IF(A199="","",IFERROR(INDEX(Frozen_Predictions!$G$4:$G$203,MATCH(A199,Frozen_Predictions!$A$4:$A$203,0)),""))</x:f>
      </x:c>
      <x:c r="F199" s="172" t="str">
        <x:f>IF(A199="","",IFERROR(INDEX(Frozen_Predictions!$H$4:$H$203,MATCH(A199,Frozen_Predictions!$A$4:$A$203,0)),""))</x:f>
      </x:c>
      <x:c r="G199" s="172" t="str">
        <x:f>IF(A199="","",IFERROR(INDEX(Frozen_Predictions!$I$4:$I$203,MATCH(A199,Frozen_Predictions!$A$4:$A$203,0)),""))</x:f>
      </x:c>
      <x:c r="H199" s="172" t="str">
        <x:f>IF(A199="","",IFERROR(INDEX(Frozen_Predictions!$J$4:$J$203,MATCH(A199,Frozen_Predictions!$A$4:$A$203,0)),""))</x:f>
      </x:c>
      <x:c r="I199" s="192" t="str">
        <x:f>IF(A199="","",IFERROR(INDEX(Frozen_Predictions!$L$4:$L$203,MATCH(A199,Frozen_Predictions!$A$4:$A$203,0)),""))</x:f>
      </x:c>
      <x:c r="J199" s="172" t="str">
        <x:f>IF(X199&lt;&gt;"SETTLED","",IF(N199&lt;=IF(G199="U3.5",3,IF(G199="U4.5",4,5)),1,0))</x:f>
      </x:c>
      <x:c r="K199" s="195" t="str">
        <x:f>IF(X199&lt;&gt;"SETTLED","",IF(AND(OR(V199="DEFENSIV",V199="PRUDENT",V199="MODERAT",V199="RIDICAT"),ISNUMBER(INDEX(Frozen_Predictions!$Y$4:$Y$203,MATCH(A199,Frozen_Predictions!$A$4:$A$203,0))),INDEX(Frozen_Predictions!$Y$4:$Y$203,MATCH(A199,Frozen_Predictions!$A$4:$A$203,0))&gt;1),IF(J199=1,INDEX(Frozen_Predictions!$Y$4:$Y$203,MATCH(A199,Frozen_Predictions!$A$4:$A$203,0))-1,-1),""))</x:f>
      </x:c>
      <x:c r="L199" s="175"/>
      <x:c r="M199" s="175"/>
      <x:c r="N199" s="172" t="str">
        <x:f>IFERROR(IF(AND(ISNUMBER(L199),ISNUMBER(M199),L199&gt;=0,M199&gt;=0,INT(L199)=L199,INT(M199)=M199),L199+M199,""),"")</x:f>
      </x:c>
      <x:c r="O199" s="172" t="str">
        <x:f>IF(X199&lt;&gt;"SETTLED","",IF(J199=1,"WIN",IF(N199=IF(G199="U3.5",4,IF(G199="U4.5",5,6)),"NEAR TAIL","SEVERE TAIL")))</x:f>
      </x:c>
      <x:c r="P199" s="175"/>
      <x:c r="Q199" s="177"/>
      <x:c r="R199" s="213" t="str">
        <x:f>IF(X199&lt;&gt;"SETTLED","",(I199-J199)^2)</x:f>
      </x:c>
      <x:c r="S199" s="213" t="str">
        <x:f>IF(X199&lt;&gt;"SETTLED","",-(J199*LN(MAX(0.000001,MIN(0.999999,I199)))+(1-J199)*LN(MAX(0.000001,MIN(0.999999,1-I199)))))</x:f>
      </x:c>
      <x:c r="T199" s="172" t="str">
        <x:f>IF(A199="","",IFERROR(INDEX(Frozen_Predictions!$N$4:$N$203,MATCH(A199,Frozen_Predictions!$A$4:$A$203,0)),""))</x:f>
      </x:c>
      <x:c r="U199" s="172" t="str">
        <x:f>IF(A199="","",IFERROR(INDEX(Frozen_Predictions!$O$4:$O$203,MATCH(A199,Frozen_Predictions!$A$4:$A$203,0)),""))</x:f>
      </x:c>
      <x:c r="V199" s="172" t="str">
        <x:f>IF(A199="","",IFERROR(INDEX(Frozen_Predictions!$M$4:$M$203,MATCH(A199,Frozen_Predictions!$A$4:$A$203,0)),""))</x:f>
      </x:c>
      <x:c r="W199" s="175"/>
      <x:c r="X199" s="172" t="str">
        <x:f>IF(A199="","",IF(NOT(COUNTIFS(Frozen_Predictions!$A$4:$A$203,A199)=1),"SNAPSHOT ID INVALID",IFERROR(IF(NOT(AND(INDEX(Frozen_Predictions!$Q$4:$Q$203,MATCH(A199,Frozen_Predictions!$A$4:$A$203,0))="DA",ISNUMBER(INDEX(Frozen_Predictions!$B$4:$B$203,MATCH(A199,Frozen_Predictions!$A$4:$A$203,0))),ISNUMBER(INDEX(Frozen_Predictions!$C$4:$C$203,MATCH(A199,Frozen_Predictions!$A$4:$A$203,0))),INDEX(Frozen_Predictions!$B$4:$B$203,MATCH(A199,Frozen_Predictions!$A$4:$A$203,0))&lt;INDEX(Frozen_Predictions!$C$4:$C$203,MATCH(A199,Frozen_Predictions!$A$4:$A$203,0)),INDEX(Frozen_Predictions!$V$4:$V$203,MATCH(A199,Frozen_Predictions!$A$4:$A$203,0))="READY",INDEX(Frozen_Predictions!$O$4:$O$203,MATCH(A199,Frozen_Predictions!$A$4:$A$203,0))="PASS",INDEX(Frozen_Predictions!$J$4:$J$203,MATCH(A199,Frozen_Predictions!$A$4:$A$203,0))=Under_LineCal_v9!$B$45,COUNTIFS(Frozen_Predictions!$A$4:$A$203,A199,Frozen_Predictions!$L$4:$L$203,"&lt;&gt;",Frozen_Predictions!$L$4:$L$203,"&gt;=0",Frozen_Predictions!$L$4:$L$203,"&lt;=1")=1,COUNTIFS($A$4:$A$203,A199)=1)),"SNAPSHOT NOT VALID",IF(AND(ISNUMBER(I199),I199&gt;=0,I199&lt;=1,ISNUMBER(N199),P199&lt;&gt;"",ISNUMBER(Q199),Q199&gt;=B199,OR(G199="U3.5",G199="U4.5",G199="U5.5")),"SETTLED","PENDING RESULT")),"SNAPSHOT NOT VALID")))</x:f>
      </x:c>
    </x:row>
    <x:row r="200" ht="23" customHeight="1">
      <x:c r="A200" s="175"/>
      <x:c r="B200" s="200" t="str">
        <x:f>IF(A200="","",IFERROR(INDEX(Frozen_Predictions!$C$4:$C$203,MATCH(A200,Frozen_Predictions!$A$4:$A$203,0)),""))</x:f>
      </x:c>
      <x:c r="C200" s="172" t="str">
        <x:f>IF(A200="","",IFERROR(INDEX(Frozen_Predictions!$E$4:$E$203,MATCH(A200,Frozen_Predictions!$A$4:$A$203,0)),""))</x:f>
      </x:c>
      <x:c r="D200" s="172" t="str">
        <x:f>IF(A200="","",IFERROR(INDEX(Frozen_Predictions!$F$4:$F$203,MATCH(A200,Frozen_Predictions!$A$4:$A$203,0)),""))</x:f>
      </x:c>
      <x:c r="E200" s="172" t="str">
        <x:f>IF(A200="","",IFERROR(INDEX(Frozen_Predictions!$G$4:$G$203,MATCH(A200,Frozen_Predictions!$A$4:$A$203,0)),""))</x:f>
      </x:c>
      <x:c r="F200" s="172" t="str">
        <x:f>IF(A200="","",IFERROR(INDEX(Frozen_Predictions!$H$4:$H$203,MATCH(A200,Frozen_Predictions!$A$4:$A$203,0)),""))</x:f>
      </x:c>
      <x:c r="G200" s="172" t="str">
        <x:f>IF(A200="","",IFERROR(INDEX(Frozen_Predictions!$I$4:$I$203,MATCH(A200,Frozen_Predictions!$A$4:$A$203,0)),""))</x:f>
      </x:c>
      <x:c r="H200" s="172" t="str">
        <x:f>IF(A200="","",IFERROR(INDEX(Frozen_Predictions!$J$4:$J$203,MATCH(A200,Frozen_Predictions!$A$4:$A$203,0)),""))</x:f>
      </x:c>
      <x:c r="I200" s="192" t="str">
        <x:f>IF(A200="","",IFERROR(INDEX(Frozen_Predictions!$L$4:$L$203,MATCH(A200,Frozen_Predictions!$A$4:$A$203,0)),""))</x:f>
      </x:c>
      <x:c r="J200" s="172" t="str">
        <x:f>IF(X200&lt;&gt;"SETTLED","",IF(N200&lt;=IF(G200="U3.5",3,IF(G200="U4.5",4,5)),1,0))</x:f>
      </x:c>
      <x:c r="K200" s="195" t="str">
        <x:f>IF(X200&lt;&gt;"SETTLED","",IF(AND(OR(V200="DEFENSIV",V200="PRUDENT",V200="MODERAT",V200="RIDICAT"),ISNUMBER(INDEX(Frozen_Predictions!$Y$4:$Y$203,MATCH(A200,Frozen_Predictions!$A$4:$A$203,0))),INDEX(Frozen_Predictions!$Y$4:$Y$203,MATCH(A200,Frozen_Predictions!$A$4:$A$203,0))&gt;1),IF(J200=1,INDEX(Frozen_Predictions!$Y$4:$Y$203,MATCH(A200,Frozen_Predictions!$A$4:$A$203,0))-1,-1),""))</x:f>
      </x:c>
      <x:c r="L200" s="175"/>
      <x:c r="M200" s="175"/>
      <x:c r="N200" s="172" t="str">
        <x:f>IFERROR(IF(AND(ISNUMBER(L200),ISNUMBER(M200),L200&gt;=0,M200&gt;=0,INT(L200)=L200,INT(M200)=M200),L200+M200,""),"")</x:f>
      </x:c>
      <x:c r="O200" s="172" t="str">
        <x:f>IF(X200&lt;&gt;"SETTLED","",IF(J200=1,"WIN",IF(N200=IF(G200="U3.5",4,IF(G200="U4.5",5,6)),"NEAR TAIL","SEVERE TAIL")))</x:f>
      </x:c>
      <x:c r="P200" s="175"/>
      <x:c r="Q200" s="177"/>
      <x:c r="R200" s="213" t="str">
        <x:f>IF(X200&lt;&gt;"SETTLED","",(I200-J200)^2)</x:f>
      </x:c>
      <x:c r="S200" s="213" t="str">
        <x:f>IF(X200&lt;&gt;"SETTLED","",-(J200*LN(MAX(0.000001,MIN(0.999999,I200)))+(1-J200)*LN(MAX(0.000001,MIN(0.999999,1-I200)))))</x:f>
      </x:c>
      <x:c r="T200" s="172" t="str">
        <x:f>IF(A200="","",IFERROR(INDEX(Frozen_Predictions!$N$4:$N$203,MATCH(A200,Frozen_Predictions!$A$4:$A$203,0)),""))</x:f>
      </x:c>
      <x:c r="U200" s="172" t="str">
        <x:f>IF(A200="","",IFERROR(INDEX(Frozen_Predictions!$O$4:$O$203,MATCH(A200,Frozen_Predictions!$A$4:$A$203,0)),""))</x:f>
      </x:c>
      <x:c r="V200" s="172" t="str">
        <x:f>IF(A200="","",IFERROR(INDEX(Frozen_Predictions!$M$4:$M$203,MATCH(A200,Frozen_Predictions!$A$4:$A$203,0)),""))</x:f>
      </x:c>
      <x:c r="W200" s="175"/>
      <x:c r="X200" s="172" t="str">
        <x:f>IF(A200="","",IF(NOT(COUNTIFS(Frozen_Predictions!$A$4:$A$203,A200)=1),"SNAPSHOT ID INVALID",IFERROR(IF(NOT(AND(INDEX(Frozen_Predictions!$Q$4:$Q$203,MATCH(A200,Frozen_Predictions!$A$4:$A$203,0))="DA",ISNUMBER(INDEX(Frozen_Predictions!$B$4:$B$203,MATCH(A200,Frozen_Predictions!$A$4:$A$203,0))),ISNUMBER(INDEX(Frozen_Predictions!$C$4:$C$203,MATCH(A200,Frozen_Predictions!$A$4:$A$203,0))),INDEX(Frozen_Predictions!$B$4:$B$203,MATCH(A200,Frozen_Predictions!$A$4:$A$203,0))&lt;INDEX(Frozen_Predictions!$C$4:$C$203,MATCH(A200,Frozen_Predictions!$A$4:$A$203,0)),INDEX(Frozen_Predictions!$V$4:$V$203,MATCH(A200,Frozen_Predictions!$A$4:$A$203,0))="READY",INDEX(Frozen_Predictions!$O$4:$O$203,MATCH(A200,Frozen_Predictions!$A$4:$A$203,0))="PASS",INDEX(Frozen_Predictions!$J$4:$J$203,MATCH(A200,Frozen_Predictions!$A$4:$A$203,0))=Under_LineCal_v9!$B$45,COUNTIFS(Frozen_Predictions!$A$4:$A$203,A200,Frozen_Predictions!$L$4:$L$203,"&lt;&gt;",Frozen_Predictions!$L$4:$L$203,"&gt;=0",Frozen_Predictions!$L$4:$L$203,"&lt;=1")=1,COUNTIFS($A$4:$A$203,A200)=1)),"SNAPSHOT NOT VALID",IF(AND(ISNUMBER(I200),I200&gt;=0,I200&lt;=1,ISNUMBER(N200),P200&lt;&gt;"",ISNUMBER(Q200),Q200&gt;=B200,OR(G200="U3.5",G200="U4.5",G200="U5.5")),"SETTLED","PENDING RESULT")),"SNAPSHOT NOT VALID")))</x:f>
      </x:c>
    </x:row>
    <x:row r="201" ht="23" customHeight="1">
      <x:c r="A201" s="175"/>
      <x:c r="B201" s="200" t="str">
        <x:f>IF(A201="","",IFERROR(INDEX(Frozen_Predictions!$C$4:$C$203,MATCH(A201,Frozen_Predictions!$A$4:$A$203,0)),""))</x:f>
      </x:c>
      <x:c r="C201" s="172" t="str">
        <x:f>IF(A201="","",IFERROR(INDEX(Frozen_Predictions!$E$4:$E$203,MATCH(A201,Frozen_Predictions!$A$4:$A$203,0)),""))</x:f>
      </x:c>
      <x:c r="D201" s="172" t="str">
        <x:f>IF(A201="","",IFERROR(INDEX(Frozen_Predictions!$F$4:$F$203,MATCH(A201,Frozen_Predictions!$A$4:$A$203,0)),""))</x:f>
      </x:c>
      <x:c r="E201" s="172" t="str">
        <x:f>IF(A201="","",IFERROR(INDEX(Frozen_Predictions!$G$4:$G$203,MATCH(A201,Frozen_Predictions!$A$4:$A$203,0)),""))</x:f>
      </x:c>
      <x:c r="F201" s="172" t="str">
        <x:f>IF(A201="","",IFERROR(INDEX(Frozen_Predictions!$H$4:$H$203,MATCH(A201,Frozen_Predictions!$A$4:$A$203,0)),""))</x:f>
      </x:c>
      <x:c r="G201" s="172" t="str">
        <x:f>IF(A201="","",IFERROR(INDEX(Frozen_Predictions!$I$4:$I$203,MATCH(A201,Frozen_Predictions!$A$4:$A$203,0)),""))</x:f>
      </x:c>
      <x:c r="H201" s="172" t="str">
        <x:f>IF(A201="","",IFERROR(INDEX(Frozen_Predictions!$J$4:$J$203,MATCH(A201,Frozen_Predictions!$A$4:$A$203,0)),""))</x:f>
      </x:c>
      <x:c r="I201" s="192" t="str">
        <x:f>IF(A201="","",IFERROR(INDEX(Frozen_Predictions!$L$4:$L$203,MATCH(A201,Frozen_Predictions!$A$4:$A$203,0)),""))</x:f>
      </x:c>
      <x:c r="J201" s="172" t="str">
        <x:f>IF(X201&lt;&gt;"SETTLED","",IF(N201&lt;=IF(G201="U3.5",3,IF(G201="U4.5",4,5)),1,0))</x:f>
      </x:c>
      <x:c r="K201" s="195" t="str">
        <x:f>IF(X201&lt;&gt;"SETTLED","",IF(AND(OR(V201="DEFENSIV",V201="PRUDENT",V201="MODERAT",V201="RIDICAT"),ISNUMBER(INDEX(Frozen_Predictions!$Y$4:$Y$203,MATCH(A201,Frozen_Predictions!$A$4:$A$203,0))),INDEX(Frozen_Predictions!$Y$4:$Y$203,MATCH(A201,Frozen_Predictions!$A$4:$A$203,0))&gt;1),IF(J201=1,INDEX(Frozen_Predictions!$Y$4:$Y$203,MATCH(A201,Frozen_Predictions!$A$4:$A$203,0))-1,-1),""))</x:f>
      </x:c>
      <x:c r="L201" s="175"/>
      <x:c r="M201" s="175"/>
      <x:c r="N201" s="172" t="str">
        <x:f>IFERROR(IF(AND(ISNUMBER(L201),ISNUMBER(M201),L201&gt;=0,M201&gt;=0,INT(L201)=L201,INT(M201)=M201),L201+M201,""),"")</x:f>
      </x:c>
      <x:c r="O201" s="172" t="str">
        <x:f>IF(X201&lt;&gt;"SETTLED","",IF(J201=1,"WIN",IF(N201=IF(G201="U3.5",4,IF(G201="U4.5",5,6)),"NEAR TAIL","SEVERE TAIL")))</x:f>
      </x:c>
      <x:c r="P201" s="175"/>
      <x:c r="Q201" s="177"/>
      <x:c r="R201" s="213" t="str">
        <x:f>IF(X201&lt;&gt;"SETTLED","",(I201-J201)^2)</x:f>
      </x:c>
      <x:c r="S201" s="213" t="str">
        <x:f>IF(X201&lt;&gt;"SETTLED","",-(J201*LN(MAX(0.000001,MIN(0.999999,I201)))+(1-J201)*LN(MAX(0.000001,MIN(0.999999,1-I201)))))</x:f>
      </x:c>
      <x:c r="T201" s="172" t="str">
        <x:f>IF(A201="","",IFERROR(INDEX(Frozen_Predictions!$N$4:$N$203,MATCH(A201,Frozen_Predictions!$A$4:$A$203,0)),""))</x:f>
      </x:c>
      <x:c r="U201" s="172" t="str">
        <x:f>IF(A201="","",IFERROR(INDEX(Frozen_Predictions!$O$4:$O$203,MATCH(A201,Frozen_Predictions!$A$4:$A$203,0)),""))</x:f>
      </x:c>
      <x:c r="V201" s="172" t="str">
        <x:f>IF(A201="","",IFERROR(INDEX(Frozen_Predictions!$M$4:$M$203,MATCH(A201,Frozen_Predictions!$A$4:$A$203,0)),""))</x:f>
      </x:c>
      <x:c r="W201" s="175"/>
      <x:c r="X201" s="172" t="str">
        <x:f>IF(A201="","",IF(NOT(COUNTIFS(Frozen_Predictions!$A$4:$A$203,A201)=1),"SNAPSHOT ID INVALID",IFERROR(IF(NOT(AND(INDEX(Frozen_Predictions!$Q$4:$Q$203,MATCH(A201,Frozen_Predictions!$A$4:$A$203,0))="DA",ISNUMBER(INDEX(Frozen_Predictions!$B$4:$B$203,MATCH(A201,Frozen_Predictions!$A$4:$A$203,0))),ISNUMBER(INDEX(Frozen_Predictions!$C$4:$C$203,MATCH(A201,Frozen_Predictions!$A$4:$A$203,0))),INDEX(Frozen_Predictions!$B$4:$B$203,MATCH(A201,Frozen_Predictions!$A$4:$A$203,0))&lt;INDEX(Frozen_Predictions!$C$4:$C$203,MATCH(A201,Frozen_Predictions!$A$4:$A$203,0)),INDEX(Frozen_Predictions!$V$4:$V$203,MATCH(A201,Frozen_Predictions!$A$4:$A$203,0))="READY",INDEX(Frozen_Predictions!$O$4:$O$203,MATCH(A201,Frozen_Predictions!$A$4:$A$203,0))="PASS",INDEX(Frozen_Predictions!$J$4:$J$203,MATCH(A201,Frozen_Predictions!$A$4:$A$203,0))=Under_LineCal_v9!$B$45,COUNTIFS(Frozen_Predictions!$A$4:$A$203,A201,Frozen_Predictions!$L$4:$L$203,"&lt;&gt;",Frozen_Predictions!$L$4:$L$203,"&gt;=0",Frozen_Predictions!$L$4:$L$203,"&lt;=1")=1,COUNTIFS($A$4:$A$203,A201)=1)),"SNAPSHOT NOT VALID",IF(AND(ISNUMBER(I201),I201&gt;=0,I201&lt;=1,ISNUMBER(N201),P201&lt;&gt;"",ISNUMBER(Q201),Q201&gt;=B201,OR(G201="U3.5",G201="U4.5",G201="U5.5")),"SETTLED","PENDING RESULT")),"SNAPSHOT NOT VALID")))</x:f>
      </x:c>
    </x:row>
    <x:row r="202" ht="23" customHeight="1">
      <x:c r="A202" s="175"/>
      <x:c r="B202" s="200" t="str">
        <x:f>IF(A202="","",IFERROR(INDEX(Frozen_Predictions!$C$4:$C$203,MATCH(A202,Frozen_Predictions!$A$4:$A$203,0)),""))</x:f>
      </x:c>
      <x:c r="C202" s="172" t="str">
        <x:f>IF(A202="","",IFERROR(INDEX(Frozen_Predictions!$E$4:$E$203,MATCH(A202,Frozen_Predictions!$A$4:$A$203,0)),""))</x:f>
      </x:c>
      <x:c r="D202" s="172" t="str">
        <x:f>IF(A202="","",IFERROR(INDEX(Frozen_Predictions!$F$4:$F$203,MATCH(A202,Frozen_Predictions!$A$4:$A$203,0)),""))</x:f>
      </x:c>
      <x:c r="E202" s="172" t="str">
        <x:f>IF(A202="","",IFERROR(INDEX(Frozen_Predictions!$G$4:$G$203,MATCH(A202,Frozen_Predictions!$A$4:$A$203,0)),""))</x:f>
      </x:c>
      <x:c r="F202" s="172" t="str">
        <x:f>IF(A202="","",IFERROR(INDEX(Frozen_Predictions!$H$4:$H$203,MATCH(A202,Frozen_Predictions!$A$4:$A$203,0)),""))</x:f>
      </x:c>
      <x:c r="G202" s="172" t="str">
        <x:f>IF(A202="","",IFERROR(INDEX(Frozen_Predictions!$I$4:$I$203,MATCH(A202,Frozen_Predictions!$A$4:$A$203,0)),""))</x:f>
      </x:c>
      <x:c r="H202" s="172" t="str">
        <x:f>IF(A202="","",IFERROR(INDEX(Frozen_Predictions!$J$4:$J$203,MATCH(A202,Frozen_Predictions!$A$4:$A$203,0)),""))</x:f>
      </x:c>
      <x:c r="I202" s="192" t="str">
        <x:f>IF(A202="","",IFERROR(INDEX(Frozen_Predictions!$L$4:$L$203,MATCH(A202,Frozen_Predictions!$A$4:$A$203,0)),""))</x:f>
      </x:c>
      <x:c r="J202" s="172" t="str">
        <x:f>IF(X202&lt;&gt;"SETTLED","",IF(N202&lt;=IF(G202="U3.5",3,IF(G202="U4.5",4,5)),1,0))</x:f>
      </x:c>
      <x:c r="K202" s="195" t="str">
        <x:f>IF(X202&lt;&gt;"SETTLED","",IF(AND(OR(V202="DEFENSIV",V202="PRUDENT",V202="MODERAT",V202="RIDICAT"),ISNUMBER(INDEX(Frozen_Predictions!$Y$4:$Y$203,MATCH(A202,Frozen_Predictions!$A$4:$A$203,0))),INDEX(Frozen_Predictions!$Y$4:$Y$203,MATCH(A202,Frozen_Predictions!$A$4:$A$203,0))&gt;1),IF(J202=1,INDEX(Frozen_Predictions!$Y$4:$Y$203,MATCH(A202,Frozen_Predictions!$A$4:$A$203,0))-1,-1),""))</x:f>
      </x:c>
      <x:c r="L202" s="175"/>
      <x:c r="M202" s="175"/>
      <x:c r="N202" s="172" t="str">
        <x:f>IFERROR(IF(AND(ISNUMBER(L202),ISNUMBER(M202),L202&gt;=0,M202&gt;=0,INT(L202)=L202,INT(M202)=M202),L202+M202,""),"")</x:f>
      </x:c>
      <x:c r="O202" s="172" t="str">
        <x:f>IF(X202&lt;&gt;"SETTLED","",IF(J202=1,"WIN",IF(N202=IF(G202="U3.5",4,IF(G202="U4.5",5,6)),"NEAR TAIL","SEVERE TAIL")))</x:f>
      </x:c>
      <x:c r="P202" s="175"/>
      <x:c r="Q202" s="177"/>
      <x:c r="R202" s="213" t="str">
        <x:f>IF(X202&lt;&gt;"SETTLED","",(I202-J202)^2)</x:f>
      </x:c>
      <x:c r="S202" s="213" t="str">
        <x:f>IF(X202&lt;&gt;"SETTLED","",-(J202*LN(MAX(0.000001,MIN(0.999999,I202)))+(1-J202)*LN(MAX(0.000001,MIN(0.999999,1-I202)))))</x:f>
      </x:c>
      <x:c r="T202" s="172" t="str">
        <x:f>IF(A202="","",IFERROR(INDEX(Frozen_Predictions!$N$4:$N$203,MATCH(A202,Frozen_Predictions!$A$4:$A$203,0)),""))</x:f>
      </x:c>
      <x:c r="U202" s="172" t="str">
        <x:f>IF(A202="","",IFERROR(INDEX(Frozen_Predictions!$O$4:$O$203,MATCH(A202,Frozen_Predictions!$A$4:$A$203,0)),""))</x:f>
      </x:c>
      <x:c r="V202" s="172" t="str">
        <x:f>IF(A202="","",IFERROR(INDEX(Frozen_Predictions!$M$4:$M$203,MATCH(A202,Frozen_Predictions!$A$4:$A$203,0)),""))</x:f>
      </x:c>
      <x:c r="W202" s="175"/>
      <x:c r="X202" s="172" t="str">
        <x:f>IF(A202="","",IF(NOT(COUNTIFS(Frozen_Predictions!$A$4:$A$203,A202)=1),"SNAPSHOT ID INVALID",IFERROR(IF(NOT(AND(INDEX(Frozen_Predictions!$Q$4:$Q$203,MATCH(A202,Frozen_Predictions!$A$4:$A$203,0))="DA",ISNUMBER(INDEX(Frozen_Predictions!$B$4:$B$203,MATCH(A202,Frozen_Predictions!$A$4:$A$203,0))),ISNUMBER(INDEX(Frozen_Predictions!$C$4:$C$203,MATCH(A202,Frozen_Predictions!$A$4:$A$203,0))),INDEX(Frozen_Predictions!$B$4:$B$203,MATCH(A202,Frozen_Predictions!$A$4:$A$203,0))&lt;INDEX(Frozen_Predictions!$C$4:$C$203,MATCH(A202,Frozen_Predictions!$A$4:$A$203,0)),INDEX(Frozen_Predictions!$V$4:$V$203,MATCH(A202,Frozen_Predictions!$A$4:$A$203,0))="READY",INDEX(Frozen_Predictions!$O$4:$O$203,MATCH(A202,Frozen_Predictions!$A$4:$A$203,0))="PASS",INDEX(Frozen_Predictions!$J$4:$J$203,MATCH(A202,Frozen_Predictions!$A$4:$A$203,0))=Under_LineCal_v9!$B$45,COUNTIFS(Frozen_Predictions!$A$4:$A$203,A202,Frozen_Predictions!$L$4:$L$203,"&lt;&gt;",Frozen_Predictions!$L$4:$L$203,"&gt;=0",Frozen_Predictions!$L$4:$L$203,"&lt;=1")=1,COUNTIFS($A$4:$A$203,A202)=1)),"SNAPSHOT NOT VALID",IF(AND(ISNUMBER(I202),I202&gt;=0,I202&lt;=1,ISNUMBER(N202),P202&lt;&gt;"",ISNUMBER(Q202),Q202&gt;=B202,OR(G202="U3.5",G202="U4.5",G202="U5.5")),"SETTLED","PENDING RESULT")),"SNAPSHOT NOT VALID")))</x:f>
      </x:c>
    </x:row>
    <x:row r="203" ht="23" customHeight="1">
      <x:c r="A203" s="175"/>
      <x:c r="B203" s="200" t="str">
        <x:f>IF(A203="","",IFERROR(INDEX(Frozen_Predictions!$C$4:$C$203,MATCH(A203,Frozen_Predictions!$A$4:$A$203,0)),""))</x:f>
      </x:c>
      <x:c r="C203" s="172" t="str">
        <x:f>IF(A203="","",IFERROR(INDEX(Frozen_Predictions!$E$4:$E$203,MATCH(A203,Frozen_Predictions!$A$4:$A$203,0)),""))</x:f>
      </x:c>
      <x:c r="D203" s="172" t="str">
        <x:f>IF(A203="","",IFERROR(INDEX(Frozen_Predictions!$F$4:$F$203,MATCH(A203,Frozen_Predictions!$A$4:$A$203,0)),""))</x:f>
      </x:c>
      <x:c r="E203" s="172" t="str">
        <x:f>IF(A203="","",IFERROR(INDEX(Frozen_Predictions!$G$4:$G$203,MATCH(A203,Frozen_Predictions!$A$4:$A$203,0)),""))</x:f>
      </x:c>
      <x:c r="F203" s="172" t="str">
        <x:f>IF(A203="","",IFERROR(INDEX(Frozen_Predictions!$H$4:$H$203,MATCH(A203,Frozen_Predictions!$A$4:$A$203,0)),""))</x:f>
      </x:c>
      <x:c r="G203" s="172" t="str">
        <x:f>IF(A203="","",IFERROR(INDEX(Frozen_Predictions!$I$4:$I$203,MATCH(A203,Frozen_Predictions!$A$4:$A$203,0)),""))</x:f>
      </x:c>
      <x:c r="H203" s="172" t="str">
        <x:f>IF(A203="","",IFERROR(INDEX(Frozen_Predictions!$J$4:$J$203,MATCH(A203,Frozen_Predictions!$A$4:$A$203,0)),""))</x:f>
      </x:c>
      <x:c r="I203" s="192" t="str">
        <x:f>IF(A203="","",IFERROR(INDEX(Frozen_Predictions!$L$4:$L$203,MATCH(A203,Frozen_Predictions!$A$4:$A$203,0)),""))</x:f>
      </x:c>
      <x:c r="J203" s="172" t="str">
        <x:f>IF(X203&lt;&gt;"SETTLED","",IF(N203&lt;=IF(G203="U3.5",3,IF(G203="U4.5",4,5)),1,0))</x:f>
      </x:c>
      <x:c r="K203" s="195" t="str">
        <x:f>IF(X203&lt;&gt;"SETTLED","",IF(AND(OR(V203="DEFENSIV",V203="PRUDENT",V203="MODERAT",V203="RIDICAT"),ISNUMBER(INDEX(Frozen_Predictions!$Y$4:$Y$203,MATCH(A203,Frozen_Predictions!$A$4:$A$203,0))),INDEX(Frozen_Predictions!$Y$4:$Y$203,MATCH(A203,Frozen_Predictions!$A$4:$A$203,0))&gt;1),IF(J203=1,INDEX(Frozen_Predictions!$Y$4:$Y$203,MATCH(A203,Frozen_Predictions!$A$4:$A$203,0))-1,-1),""))</x:f>
      </x:c>
      <x:c r="L203" s="175"/>
      <x:c r="M203" s="175"/>
      <x:c r="N203" s="172" t="str">
        <x:f>IFERROR(IF(AND(ISNUMBER(L203),ISNUMBER(M203),L203&gt;=0,M203&gt;=0,INT(L203)=L203,INT(M203)=M203),L203+M203,""),"")</x:f>
      </x:c>
      <x:c r="O203" s="172" t="str">
        <x:f>IF(X203&lt;&gt;"SETTLED","",IF(J203=1,"WIN",IF(N203=IF(G203="U3.5",4,IF(G203="U4.5",5,6)),"NEAR TAIL","SEVERE TAIL")))</x:f>
      </x:c>
      <x:c r="P203" s="175"/>
      <x:c r="Q203" s="177"/>
      <x:c r="R203" s="213" t="str">
        <x:f>IF(X203&lt;&gt;"SETTLED","",(I203-J203)^2)</x:f>
      </x:c>
      <x:c r="S203" s="213" t="str">
        <x:f>IF(X203&lt;&gt;"SETTLED","",-(J203*LN(MAX(0.000001,MIN(0.999999,I203)))+(1-J203)*LN(MAX(0.000001,MIN(0.999999,1-I203)))))</x:f>
      </x:c>
      <x:c r="T203" s="172" t="str">
        <x:f>IF(A203="","",IFERROR(INDEX(Frozen_Predictions!$N$4:$N$203,MATCH(A203,Frozen_Predictions!$A$4:$A$203,0)),""))</x:f>
      </x:c>
      <x:c r="U203" s="172" t="str">
        <x:f>IF(A203="","",IFERROR(INDEX(Frozen_Predictions!$O$4:$O$203,MATCH(A203,Frozen_Predictions!$A$4:$A$203,0)),""))</x:f>
      </x:c>
      <x:c r="V203" s="172" t="str">
        <x:f>IF(A203="","",IFERROR(INDEX(Frozen_Predictions!$M$4:$M$203,MATCH(A203,Frozen_Predictions!$A$4:$A$203,0)),""))</x:f>
      </x:c>
      <x:c r="W203" s="175"/>
      <x:c r="X203" s="172" t="str">
        <x:f>IF(A203="","",IF(NOT(COUNTIFS(Frozen_Predictions!$A$4:$A$203,A203)=1),"SNAPSHOT ID INVALID",IFERROR(IF(NOT(AND(INDEX(Frozen_Predictions!$Q$4:$Q$203,MATCH(A203,Frozen_Predictions!$A$4:$A$203,0))="DA",ISNUMBER(INDEX(Frozen_Predictions!$B$4:$B$203,MATCH(A203,Frozen_Predictions!$A$4:$A$203,0))),ISNUMBER(INDEX(Frozen_Predictions!$C$4:$C$203,MATCH(A203,Frozen_Predictions!$A$4:$A$203,0))),INDEX(Frozen_Predictions!$B$4:$B$203,MATCH(A203,Frozen_Predictions!$A$4:$A$203,0))&lt;INDEX(Frozen_Predictions!$C$4:$C$203,MATCH(A203,Frozen_Predictions!$A$4:$A$203,0)),INDEX(Frozen_Predictions!$V$4:$V$203,MATCH(A203,Frozen_Predictions!$A$4:$A$203,0))="READY",INDEX(Frozen_Predictions!$O$4:$O$203,MATCH(A203,Frozen_Predictions!$A$4:$A$203,0))="PASS",INDEX(Frozen_Predictions!$J$4:$J$203,MATCH(A203,Frozen_Predictions!$A$4:$A$203,0))=Under_LineCal_v9!$B$45,COUNTIFS(Frozen_Predictions!$A$4:$A$203,A203,Frozen_Predictions!$L$4:$L$203,"&lt;&gt;",Frozen_Predictions!$L$4:$L$203,"&gt;=0",Frozen_Predictions!$L$4:$L$203,"&lt;=1")=1,COUNTIFS($A$4:$A$203,A203)=1)),"SNAPSHOT NOT VALID",IF(AND(ISNUMBER(I203),I203&gt;=0,I203&lt;=1,ISNUMBER(N203),P203&lt;&gt;"",ISNUMBER(Q203),Q203&gt;=B203,OR(G203="U3.5",G203="U4.5",G203="U5.5")),"SETTLED","PENDING RESULT")),"SNAPSHOT NOT VALID")))</x:f>
      </x:c>
    </x:row>
    <x:row r="204" ht="23" customHeight="1">
      <x:c r="A204" s="172"/>
      <x:c r="B204" s="172"/>
      <x:c r="C204" s="172"/>
      <x:c r="D204" s="172"/>
      <x:c r="E204" s="172"/>
      <x:c r="F204" s="172"/>
      <x:c r="G204" s="172"/>
      <x:c r="H204" s="172"/>
      <x:c r="I204" s="172"/>
      <x:c r="J204" s="172"/>
      <x:c r="K204" s="172"/>
      <x:c r="L204" s="172"/>
      <x:c r="M204" s="172"/>
      <x:c r="N204" s="172"/>
      <x:c r="O204" s="172"/>
      <x:c r="P204" s="172"/>
      <x:c r="Q204" s="172"/>
      <x:c r="R204" s="172"/>
      <x:c r="S204" s="172"/>
      <x:c r="T204" s="172"/>
      <x:c r="U204" s="172"/>
      <x:c r="V204" s="172"/>
      <x:c r="W204" s="172"/>
      <x:c r="X204" s="172"/>
    </x:row>
    <x:row r="205" ht="23" customHeight="1">
      <x:c r="A205" s="172"/>
      <x:c r="B205" s="172"/>
      <x:c r="C205" s="172"/>
      <x:c r="D205" s="172"/>
      <x:c r="E205" s="172"/>
      <x:c r="F205" s="172"/>
      <x:c r="G205" s="172"/>
      <x:c r="H205" s="172"/>
      <x:c r="I205" s="172"/>
      <x:c r="J205" s="172"/>
      <x:c r="K205" s="172"/>
      <x:c r="L205" s="172"/>
      <x:c r="M205" s="172"/>
      <x:c r="N205" s="172"/>
      <x:c r="O205" s="172"/>
      <x:c r="P205" s="172"/>
      <x:c r="Q205" s="172"/>
      <x:c r="R205" s="172"/>
      <x:c r="S205" s="172"/>
      <x:c r="T205" s="172"/>
      <x:c r="U205" s="172"/>
      <x:c r="V205" s="172"/>
      <x:c r="W205" s="172"/>
      <x:c r="X205" s="172"/>
    </x:row>
    <x:row r="206" ht="23" customHeight="1">
      <x:c r="A206" s="172"/>
      <x:c r="B206" s="172"/>
      <x:c r="C206" s="172"/>
      <x:c r="D206" s="172"/>
      <x:c r="E206" s="172"/>
      <x:c r="F206" s="172"/>
      <x:c r="G206" s="172"/>
      <x:c r="H206" s="172"/>
      <x:c r="I206" s="172"/>
      <x:c r="J206" s="172"/>
      <x:c r="K206" s="172"/>
      <x:c r="L206" s="172"/>
      <x:c r="M206" s="172"/>
      <x:c r="N206" s="172"/>
      <x:c r="O206" s="172"/>
      <x:c r="P206" s="172"/>
      <x:c r="Q206" s="172"/>
      <x:c r="R206" s="172"/>
      <x:c r="S206" s="172"/>
      <x:c r="T206" s="172"/>
      <x:c r="U206" s="172"/>
      <x:c r="V206" s="172"/>
      <x:c r="W206" s="172"/>
      <x:c r="X206" s="172"/>
    </x:row>
    <x:row r="207" ht="23" customHeight="1">
      <x:c r="A207" s="172"/>
      <x:c r="B207" s="172"/>
      <x:c r="C207" s="172"/>
      <x:c r="D207" s="172"/>
      <x:c r="E207" s="172"/>
      <x:c r="F207" s="172"/>
      <x:c r="G207" s="172"/>
      <x:c r="H207" s="172"/>
      <x:c r="I207" s="172"/>
      <x:c r="J207" s="172"/>
      <x:c r="K207" s="172"/>
      <x:c r="L207" s="172"/>
      <x:c r="M207" s="172"/>
      <x:c r="N207" s="172"/>
      <x:c r="O207" s="172"/>
      <x:c r="P207" s="172"/>
      <x:c r="Q207" s="172"/>
      <x:c r="R207" s="172"/>
      <x:c r="S207" s="172"/>
      <x:c r="T207" s="172"/>
      <x:c r="U207" s="172"/>
      <x:c r="V207" s="172"/>
      <x:c r="W207" s="172"/>
      <x:c r="X207" s="172"/>
    </x:row>
    <x:row r="208" ht="23" customHeight="1">
      <x:c r="A208" s="172"/>
      <x:c r="B208" s="172"/>
      <x:c r="C208" s="172"/>
      <x:c r="D208" s="172"/>
      <x:c r="E208" s="172"/>
      <x:c r="F208" s="172"/>
      <x:c r="G208" s="172"/>
      <x:c r="H208" s="172"/>
      <x:c r="I208" s="172"/>
      <x:c r="J208" s="172"/>
      <x:c r="K208" s="172"/>
      <x:c r="L208" s="172"/>
      <x:c r="M208" s="172"/>
      <x:c r="N208" s="172"/>
      <x:c r="O208" s="172"/>
      <x:c r="P208" s="172"/>
      <x:c r="Q208" s="172"/>
      <x:c r="R208" s="172"/>
      <x:c r="S208" s="172"/>
      <x:c r="T208" s="172"/>
      <x:c r="U208" s="172"/>
      <x:c r="V208" s="172"/>
      <x:c r="W208" s="172"/>
      <x:c r="X208" s="172"/>
    </x:row>
    <x:row r="209" ht="23" customHeight="1">
      <x:c r="A209" s="172"/>
      <x:c r="B209" s="172"/>
      <x:c r="C209" s="172"/>
      <x:c r="D209" s="172"/>
      <x:c r="E209" s="172"/>
      <x:c r="F209" s="172"/>
      <x:c r="G209" s="172"/>
      <x:c r="H209" s="172"/>
      <x:c r="I209" s="172"/>
      <x:c r="J209" s="172"/>
      <x:c r="K209" s="172"/>
      <x:c r="L209" s="172"/>
      <x:c r="M209" s="172"/>
      <x:c r="N209" s="172"/>
      <x:c r="O209" s="172"/>
      <x:c r="P209" s="172"/>
      <x:c r="Q209" s="172"/>
      <x:c r="R209" s="172"/>
      <x:c r="S209" s="172"/>
      <x:c r="T209" s="172"/>
      <x:c r="U209" s="172"/>
      <x:c r="V209" s="172"/>
      <x:c r="W209" s="172"/>
      <x:c r="X209" s="172"/>
    </x:row>
    <x:row r="210" ht="23" customHeight="1">
      <x:c r="A210" s="172"/>
      <x:c r="B210" s="172"/>
      <x:c r="C210" s="172"/>
      <x:c r="D210" s="172"/>
      <x:c r="E210" s="172"/>
      <x:c r="F210" s="172"/>
      <x:c r="G210" s="172"/>
      <x:c r="H210" s="172"/>
      <x:c r="I210" s="172"/>
      <x:c r="J210" s="172"/>
      <x:c r="K210" s="172"/>
      <x:c r="L210" s="172"/>
      <x:c r="M210" s="172"/>
      <x:c r="N210" s="172"/>
      <x:c r="O210" s="172"/>
      <x:c r="P210" s="172"/>
      <x:c r="Q210" s="172"/>
      <x:c r="R210" s="172"/>
      <x:c r="S210" s="172"/>
      <x:c r="T210" s="172"/>
      <x:c r="U210" s="172"/>
      <x:c r="V210" s="172"/>
      <x:c r="W210" s="172"/>
      <x:c r="X210" s="172"/>
    </x:row>
    <x:row r="211" ht="23" customHeight="1">
      <x:c r="A211" s="172"/>
      <x:c r="B211" s="172"/>
      <x:c r="C211" s="172"/>
      <x:c r="D211" s="172"/>
      <x:c r="E211" s="172"/>
      <x:c r="F211" s="172"/>
      <x:c r="G211" s="172"/>
      <x:c r="H211" s="172"/>
      <x:c r="I211" s="172"/>
      <x:c r="J211" s="172"/>
      <x:c r="K211" s="172"/>
      <x:c r="L211" s="172"/>
      <x:c r="M211" s="172"/>
      <x:c r="N211" s="172"/>
      <x:c r="O211" s="172"/>
      <x:c r="P211" s="172"/>
      <x:c r="Q211" s="172"/>
      <x:c r="R211" s="172"/>
      <x:c r="S211" s="172"/>
      <x:c r="T211" s="172"/>
      <x:c r="U211" s="172"/>
      <x:c r="V211" s="172"/>
      <x:c r="W211" s="172"/>
      <x:c r="X211" s="172"/>
    </x:row>
    <x:row r="212" ht="23" customHeight="1">
      <x:c r="A212" s="172"/>
      <x:c r="B212" s="172"/>
      <x:c r="C212" s="172"/>
      <x:c r="D212" s="172"/>
      <x:c r="E212" s="172"/>
      <x:c r="F212" s="172"/>
      <x:c r="G212" s="172"/>
      <x:c r="H212" s="172"/>
      <x:c r="I212" s="172"/>
      <x:c r="J212" s="172"/>
      <x:c r="K212" s="172"/>
      <x:c r="L212" s="172"/>
      <x:c r="M212" s="172"/>
      <x:c r="N212" s="172"/>
      <x:c r="O212" s="172"/>
      <x:c r="P212" s="172"/>
      <x:c r="Q212" s="172"/>
      <x:c r="R212" s="172"/>
      <x:c r="S212" s="172"/>
      <x:c r="T212" s="172"/>
      <x:c r="U212" s="172"/>
      <x:c r="V212" s="172"/>
      <x:c r="W212" s="172"/>
      <x:c r="X212" s="172"/>
    </x:row>
    <x:row r="213" ht="23" customHeight="1">
      <x:c r="A213" s="172"/>
      <x:c r="B213" s="172"/>
      <x:c r="C213" s="172"/>
      <x:c r="D213" s="172"/>
      <x:c r="E213" s="172"/>
      <x:c r="F213" s="172"/>
      <x:c r="G213" s="172"/>
      <x:c r="H213" s="172"/>
      <x:c r="I213" s="172"/>
      <x:c r="J213" s="172"/>
      <x:c r="K213" s="172"/>
      <x:c r="L213" s="172"/>
      <x:c r="M213" s="172"/>
      <x:c r="N213" s="172"/>
      <x:c r="O213" s="172"/>
      <x:c r="P213" s="172"/>
      <x:c r="Q213" s="172"/>
      <x:c r="R213" s="172"/>
      <x:c r="S213" s="172"/>
      <x:c r="T213" s="172"/>
      <x:c r="U213" s="172"/>
      <x:c r="V213" s="172"/>
      <x:c r="W213" s="172"/>
      <x:c r="X213" s="172"/>
    </x:row>
    <x:row r="214" ht="23" customHeight="1">
      <x:c r="A214" s="172"/>
      <x:c r="B214" s="172"/>
      <x:c r="C214" s="172"/>
      <x:c r="D214" s="172"/>
      <x:c r="E214" s="172"/>
      <x:c r="F214" s="172"/>
      <x:c r="G214" s="172"/>
      <x:c r="H214" s="172"/>
      <x:c r="I214" s="172"/>
      <x:c r="J214" s="172"/>
      <x:c r="K214" s="172"/>
      <x:c r="L214" s="172"/>
      <x:c r="M214" s="172"/>
      <x:c r="N214" s="172"/>
      <x:c r="O214" s="172"/>
      <x:c r="P214" s="172"/>
      <x:c r="Q214" s="172"/>
      <x:c r="R214" s="172"/>
      <x:c r="S214" s="172"/>
      <x:c r="T214" s="172"/>
      <x:c r="U214" s="172"/>
      <x:c r="V214" s="172"/>
      <x:c r="W214" s="172"/>
      <x:c r="X214" s="172"/>
    </x:row>
    <x:row r="215" ht="23" customHeight="1">
      <x:c r="A215" s="172"/>
      <x:c r="B215" s="172"/>
      <x:c r="C215" s="172"/>
      <x:c r="D215" s="172"/>
      <x:c r="E215" s="172"/>
      <x:c r="F215" s="172"/>
      <x:c r="G215" s="172"/>
      <x:c r="H215" s="172"/>
      <x:c r="I215" s="172"/>
      <x:c r="J215" s="172"/>
      <x:c r="K215" s="172"/>
      <x:c r="L215" s="172"/>
      <x:c r="M215" s="172"/>
      <x:c r="N215" s="172"/>
      <x:c r="O215" s="172"/>
      <x:c r="P215" s="172"/>
      <x:c r="Q215" s="172"/>
      <x:c r="R215" s="172"/>
      <x:c r="S215" s="172"/>
      <x:c r="T215" s="172"/>
      <x:c r="U215" s="172"/>
      <x:c r="V215" s="172"/>
      <x:c r="W215" s="172"/>
      <x:c r="X215" s="172"/>
    </x:row>
    <x:row r="216" ht="23" customHeight="1">
      <x:c r="A216" s="172"/>
      <x:c r="B216" s="172"/>
      <x:c r="C216" s="172"/>
      <x:c r="D216" s="172"/>
      <x:c r="E216" s="172"/>
      <x:c r="F216" s="172"/>
      <x:c r="G216" s="172"/>
      <x:c r="H216" s="172"/>
      <x:c r="I216" s="172"/>
      <x:c r="J216" s="172"/>
      <x:c r="K216" s="172"/>
      <x:c r="L216" s="172"/>
      <x:c r="M216" s="172"/>
      <x:c r="N216" s="172"/>
      <x:c r="O216" s="172"/>
      <x:c r="P216" s="172"/>
      <x:c r="Q216" s="172"/>
      <x:c r="R216" s="172"/>
      <x:c r="S216" s="172"/>
      <x:c r="T216" s="172"/>
      <x:c r="U216" s="172"/>
      <x:c r="V216" s="172"/>
      <x:c r="W216" s="172"/>
      <x:c r="X216" s="172"/>
    </x:row>
    <x:row r="217" ht="23" customHeight="1">
      <x:c r="A217" s="172"/>
      <x:c r="B217" s="172"/>
      <x:c r="C217" s="172"/>
      <x:c r="D217" s="172"/>
      <x:c r="E217" s="172"/>
      <x:c r="F217" s="172"/>
      <x:c r="G217" s="172"/>
      <x:c r="H217" s="172"/>
      <x:c r="I217" s="172"/>
      <x:c r="J217" s="172"/>
      <x:c r="K217" s="172"/>
      <x:c r="L217" s="172"/>
      <x:c r="M217" s="172"/>
      <x:c r="N217" s="172"/>
      <x:c r="O217" s="172"/>
      <x:c r="P217" s="172"/>
      <x:c r="Q217" s="172"/>
      <x:c r="R217" s="172"/>
      <x:c r="S217" s="172"/>
      <x:c r="T217" s="172"/>
      <x:c r="U217" s="172"/>
      <x:c r="V217" s="172"/>
      <x:c r="W217" s="172"/>
      <x:c r="X217" s="172"/>
    </x:row>
    <x:row r="218" ht="23" customHeight="1">
      <x:c r="A218" s="172"/>
      <x:c r="B218" s="172"/>
      <x:c r="C218" s="172"/>
      <x:c r="D218" s="172"/>
      <x:c r="E218" s="172"/>
      <x:c r="F218" s="172"/>
      <x:c r="G218" s="172"/>
      <x:c r="H218" s="172"/>
      <x:c r="I218" s="172"/>
      <x:c r="J218" s="172"/>
      <x:c r="K218" s="172"/>
      <x:c r="L218" s="172"/>
      <x:c r="M218" s="172"/>
      <x:c r="N218" s="172"/>
      <x:c r="O218" s="172"/>
      <x:c r="P218" s="172"/>
      <x:c r="Q218" s="172"/>
      <x:c r="R218" s="172"/>
      <x:c r="S218" s="172"/>
      <x:c r="T218" s="172"/>
      <x:c r="U218" s="172"/>
      <x:c r="V218" s="172"/>
      <x:c r="W218" s="172"/>
      <x:c r="X218" s="172"/>
    </x:row>
    <x:row r="219" ht="23" customHeight="1">
      <x:c r="A219" s="172"/>
      <x:c r="B219" s="172"/>
      <x:c r="C219" s="172"/>
      <x:c r="D219" s="172"/>
      <x:c r="E219" s="172"/>
      <x:c r="F219" s="172"/>
      <x:c r="G219" s="172"/>
      <x:c r="H219" s="172"/>
      <x:c r="I219" s="172"/>
      <x:c r="J219" s="172"/>
      <x:c r="K219" s="172"/>
      <x:c r="L219" s="172"/>
      <x:c r="M219" s="172"/>
      <x:c r="N219" s="172"/>
      <x:c r="O219" s="172"/>
      <x:c r="P219" s="172"/>
      <x:c r="Q219" s="172"/>
      <x:c r="R219" s="172"/>
      <x:c r="S219" s="172"/>
      <x:c r="T219" s="172"/>
      <x:c r="U219" s="172"/>
      <x:c r="V219" s="172"/>
      <x:c r="W219" s="172"/>
      <x:c r="X219" s="172"/>
    </x:row>
    <x:row r="220" ht="23" customHeight="1">
      <x:c r="A220" s="172"/>
      <x:c r="B220" s="172"/>
      <x:c r="C220" s="172"/>
      <x:c r="D220" s="172"/>
      <x:c r="E220" s="172"/>
      <x:c r="F220" s="172"/>
      <x:c r="G220" s="172"/>
      <x:c r="H220" s="172"/>
      <x:c r="I220" s="172"/>
      <x:c r="J220" s="172"/>
      <x:c r="K220" s="172"/>
      <x:c r="L220" s="172"/>
      <x:c r="M220" s="172"/>
      <x:c r="N220" s="172"/>
      <x:c r="O220" s="172"/>
      <x:c r="P220" s="172"/>
      <x:c r="Q220" s="172"/>
      <x:c r="R220" s="172"/>
      <x:c r="S220" s="172"/>
      <x:c r="T220" s="172"/>
      <x:c r="U220" s="172"/>
      <x:c r="V220" s="172"/>
      <x:c r="W220" s="172"/>
      <x:c r="X220" s="172"/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sheetData>
    <x:row r="1" ht="18" customHeight="1">
      <x:c r="A1" s="155" t="str">
        <x:v>RISK LEVEL SUMMARY</x:v>
      </x:c>
      <x:c r="B1" s="155"/>
      <x:c r="C1" s="155"/>
      <x:c r="D1" s="155"/>
      <x:c r="E1" s="155"/>
      <x:c r="F1" s="155"/>
    </x:row>
    <x:row r="2">
      <x:c r="A2" s="158" t="str">
        <x:v>Evaluate levels 1–5 separately; hard-gate fail overrides score.</x:v>
      </x:c>
      <x:c r="B2" s="158"/>
      <x:c r="C2" s="158"/>
      <x:c r="D2" s="158"/>
      <x:c r="E2" s="158"/>
      <x:c r="F2" s="158"/>
    </x:row>
    <x:row r="3" ht="30" customHeight="1">
      <x:c r="A3" s="164" t="str">
        <x:v>Risk Level</x:v>
      </x:c>
      <x:c r="B3" s="164" t="str">
        <x:v>N</x:v>
      </x:c>
      <x:c r="C3" s="164" t="str">
        <x:v>Wins</x:v>
      </x:c>
      <x:c r="D3" s="164" t="str">
        <x:v>Hit Rate</x:v>
      </x:c>
      <x:c r="E3" s="164" t="str">
        <x:v>Brier</x:v>
      </x:c>
      <x:c r="F3" s="164" t="str">
        <x:v>Fail Rate</x:v>
      </x:c>
    </x:row>
    <x:row r="4">
      <x:c r="A4" s="8" t="n">
        <x:v>1</x:v>
      </x:c>
      <x:c r="B4" s="8" t="n">
        <x:f>COUNTIFS(Settlement!$T$4:$T$203,A4,Settlement!$X$4:$X$203,"SETTLED")</x:f>
        <x:v>0</x:v>
      </x:c>
      <x:c r="C4" s="8" t="n">
        <x:f>SUMIFS(Settlement!$J$4:$J$203,Settlement!$T$4:$T$203,A4,Settlement!$X$4:$X$203,"SETTLED")</x:f>
        <x:v>0</x:v>
      </x:c>
      <x:c r="D4" s="8" t="str">
        <x:f>IFERROR(C4/B4,"")</x:f>
      </x:c>
      <x:c r="E4" s="8" t="str">
        <x:f>IFERROR(SUMIFS(Settlement!$R$4:$R$203,Settlement!$T$4:$T$203,A4,Settlement!$X$4:$X$203,"SETTLED")/B4,"")</x:f>
      </x:c>
      <x:c r="F4" s="8" t="str">
        <x:f>IF(D4="","",1-D4)</x:f>
      </x:c>
    </x:row>
    <x:row r="5">
      <x:c r="A5" s="8" t="n">
        <x:v>2</x:v>
      </x:c>
      <x:c r="B5" s="8" t="n">
        <x:f>COUNTIFS(Settlement!$T$4:$T$203,A5,Settlement!$X$4:$X$203,"SETTLED")</x:f>
        <x:v>0</x:v>
      </x:c>
      <x:c r="C5" s="8" t="n">
        <x:f>SUMIFS(Settlement!$J$4:$J$203,Settlement!$T$4:$T$203,A5,Settlement!$X$4:$X$203,"SETTLED")</x:f>
        <x:v>0</x:v>
      </x:c>
      <x:c r="D5" s="8" t="str">
        <x:f>IFERROR(C5/B5,"")</x:f>
      </x:c>
      <x:c r="E5" s="8" t="str">
        <x:f>IFERROR(SUMIFS(Settlement!$R$4:$R$203,Settlement!$T$4:$T$203,A5,Settlement!$X$4:$X$203,"SETTLED")/B5,"")</x:f>
      </x:c>
      <x:c r="F5" s="8" t="str">
        <x:f>IF(D5="","",1-D5)</x:f>
      </x:c>
    </x:row>
    <x:row r="6">
      <x:c r="A6" s="8" t="n">
        <x:v>3</x:v>
      </x:c>
      <x:c r="B6" s="8" t="n">
        <x:f>COUNTIFS(Settlement!$T$4:$T$203,A6,Settlement!$X$4:$X$203,"SETTLED")</x:f>
        <x:v>0</x:v>
      </x:c>
      <x:c r="C6" s="8" t="n">
        <x:f>SUMIFS(Settlement!$J$4:$J$203,Settlement!$T$4:$T$203,A6,Settlement!$X$4:$X$203,"SETTLED")</x:f>
        <x:v>0</x:v>
      </x:c>
      <x:c r="D6" s="8" t="str">
        <x:f>IFERROR(C6/B6,"")</x:f>
      </x:c>
      <x:c r="E6" s="8" t="str">
        <x:f>IFERROR(SUMIFS(Settlement!$R$4:$R$203,Settlement!$T$4:$T$203,A6,Settlement!$X$4:$X$203,"SETTLED")/B6,"")</x:f>
      </x:c>
      <x:c r="F6" s="8" t="str">
        <x:f>IF(D6="","",1-D6)</x:f>
      </x:c>
    </x:row>
    <x:row r="7">
      <x:c r="A7" s="8" t="n">
        <x:v>4</x:v>
      </x:c>
      <x:c r="B7" s="8" t="n">
        <x:f>COUNTIFS(Settlement!$T$4:$T$203,A7,Settlement!$X$4:$X$203,"SETTLED")</x:f>
        <x:v>0</x:v>
      </x:c>
      <x:c r="C7" s="8" t="n">
        <x:f>SUMIFS(Settlement!$J$4:$J$203,Settlement!$T$4:$T$203,A7,Settlement!$X$4:$X$203,"SETTLED")</x:f>
        <x:v>0</x:v>
      </x:c>
      <x:c r="D7" s="8" t="str">
        <x:f>IFERROR(C7/B7,"")</x:f>
      </x:c>
      <x:c r="E7" s="8" t="str">
        <x:f>IFERROR(SUMIFS(Settlement!$R$4:$R$203,Settlement!$T$4:$T$203,A7,Settlement!$X$4:$X$203,"SETTLED")/B7,"")</x:f>
      </x:c>
      <x:c r="F7" s="8" t="str">
        <x:f>IF(D7="","",1-D7)</x:f>
      </x:c>
    </x:row>
    <x:row r="8">
      <x:c r="A8" s="8" t="n">
        <x:v>5</x:v>
      </x:c>
      <x:c r="B8" s="8" t="n">
        <x:f>COUNTIFS(Settlement!$T$4:$T$203,A8,Settlement!$X$4:$X$203,"SETTLED")</x:f>
        <x:v>0</x:v>
      </x:c>
      <x:c r="C8" s="8" t="n">
        <x:f>SUMIFS(Settlement!$J$4:$J$203,Settlement!$T$4:$T$203,A8,Settlement!$X$4:$X$203,"SETTLED")</x:f>
        <x:v>0</x:v>
      </x:c>
      <x:c r="D8" s="8" t="str">
        <x:f>IFERROR(C8/B8,"")</x:f>
      </x:c>
      <x:c r="E8" s="8" t="str">
        <x:f>IFERROR(SUMIFS(Settlement!$R$4:$R$203,Settlement!$T$4:$T$203,A8,Settlement!$X$4:$X$203,"SETTLED")/B8,"")</x:f>
      </x:c>
      <x:c r="F8" s="8" t="str">
        <x:f>IF(D8="","",1-D8)</x:f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Pr>
    <x:tabColor rgb="FF117E80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</x:cols>
  <x:sheetData>
    <x:row r="1" ht="23" customHeight="1">
      <x:c r="A1" s="173" t="str">
        <x:v>CALIBRARE FROZEN – PE FIECARE LINIE</x:v>
      </x:c>
      <x:c r="B1" s="172"/>
      <x:c r="C1" s="172"/>
      <x:c r="D1" s="172"/>
      <x:c r="E1" s="172"/>
      <x:c r="F1" s="172"/>
      <x:c r="G1" s="172"/>
      <x:c r="H1" s="172"/>
      <x:c r="I1" s="172"/>
      <x:c r="J1" s="172"/>
      <x:c r="K1" s="172"/>
    </x:row>
    <x:row r="2" ht="23" customHeight="1">
      <x:c r="A2" s="172"/>
      <x:c r="B2" s="172"/>
      <x:c r="C2" s="172"/>
      <x:c r="D2" s="172"/>
      <x:c r="E2" s="172"/>
      <x:c r="F2" s="172"/>
      <x:c r="G2" s="172"/>
      <x:c r="H2" s="172"/>
      <x:c r="I2" s="172" t="str">
        <x:v>Linie analizată</x:v>
      </x:c>
      <x:c r="J2" s="175" t="str">
        <x:v>U4.5</x:v>
      </x:c>
      <x:c r="K2" s="172"/>
    </x:row>
    <x:row r="3" ht="36" customHeight="1">
      <x:c r="A3" s="181" t="str">
        <x:v>P de la</x:v>
      </x:c>
      <x:c r="B3" s="181" t="str">
        <x:v>P până la</x:v>
      </x:c>
      <x:c r="C3" s="181" t="str">
        <x:v>N settled</x:v>
      </x:c>
      <x:c r="D3" s="181" t="str">
        <x:v>P medie</x:v>
      </x:c>
      <x:c r="E3" s="181" t="str">
        <x:v>Rată observată</x:v>
      </x:c>
      <x:c r="F3" s="181" t="str">
        <x:v>Diferență</x:v>
      </x:c>
      <x:c r="G3" s="181" t="str">
        <x:v>Diagnostic</x:v>
      </x:c>
      <x:c r="H3" s="172"/>
      <x:c r="I3" s="172"/>
      <x:c r="J3" s="172"/>
      <x:c r="K3" s="172"/>
    </x:row>
    <x:row r="4" ht="23" customHeight="1">
      <x:c r="A4" s="192" t="n">
        <x:v>0</x:v>
      </x:c>
      <x:c r="B4" s="192" t="n">
        <x:v>0.5</x:v>
      </x:c>
      <x:c r="C4" s="172" t="n">
        <x:f>COUNTIFS(Settlement!$I$4:$I$203,"&gt;="&amp;A4,Settlement!$I$4:$I$203,"&lt;"&amp;B4,Settlement!$X$4:$X$203,"SETTLED",Settlement!$G$4:$G$203,$J$2)</x:f>
        <x:v>0</x:v>
      </x:c>
      <x:c r="D4" s="192" t="str">
        <x:f>IFERROR(SUMIFS(Settlement!$I$4:$I$203,Settlement!$I$4:$I$203,"&gt;="&amp;A4,Settlement!$I$4:$I$203,"&lt;"&amp;B4,Settlement!$X$4:$X$203,"SETTLED",Settlement!$G$4:$G$203,$J$2)/C4,"")</x:f>
      </x:c>
      <x:c r="E4" s="192" t="str">
        <x:f>IFERROR(SUMIFS(Settlement!$J$4:$J$203,Settlement!$I$4:$I$203,"&gt;="&amp;A4,Settlement!$I$4:$I$203,"&lt;"&amp;B4,Settlement!$X$4:$X$203,"SETTLED",Settlement!$G$4:$G$203,$J$2)/C4,"")</x:f>
      </x:c>
      <x:c r="F4" s="192" t="str">
        <x:f>IF(C4=0,"",D4-E4)</x:f>
      </x:c>
      <x:c r="G4" s="172" t="str">
        <x:f>IF(C4&lt;10,"LOW N",IF(ABS(F4)&lt;=0.03,"OK",IF(ABS(F4)&lt;=0.06,"WATCH","DRIFT")))</x:f>
        <x:v>LOW N</x:v>
      </x:c>
      <x:c r="H4" s="172"/>
      <x:c r="I4" s="172"/>
      <x:c r="J4" s="172"/>
      <x:c r="K4" s="172"/>
    </x:row>
    <x:row r="5" ht="23" customHeight="1">
      <x:c r="A5" s="192" t="n">
        <x:v>0.5</x:v>
      </x:c>
      <x:c r="B5" s="192" t="n">
        <x:v>0.6</x:v>
      </x:c>
      <x:c r="C5" s="172" t="n">
        <x:f>COUNTIFS(Settlement!$I$4:$I$203,"&gt;="&amp;A5,Settlement!$I$4:$I$203,"&lt;"&amp;B5,Settlement!$X$4:$X$203,"SETTLED",Settlement!$G$4:$G$203,$J$2)</x:f>
        <x:v>0</x:v>
      </x:c>
      <x:c r="D5" s="192" t="str">
        <x:f>IFERROR(SUMIFS(Settlement!$I$4:$I$203,Settlement!$I$4:$I$203,"&gt;="&amp;A5,Settlement!$I$4:$I$203,"&lt;"&amp;B5,Settlement!$X$4:$X$203,"SETTLED",Settlement!$G$4:$G$203,$J$2)/C5,"")</x:f>
      </x:c>
      <x:c r="E5" s="192" t="str">
        <x:f>IFERROR(SUMIFS(Settlement!$J$4:$J$203,Settlement!$I$4:$I$203,"&gt;="&amp;A5,Settlement!$I$4:$I$203,"&lt;"&amp;B5,Settlement!$X$4:$X$203,"SETTLED",Settlement!$G$4:$G$203,$J$2)/C5,"")</x:f>
      </x:c>
      <x:c r="F5" s="192" t="str">
        <x:f>IF(C5=0,"",D5-E5)</x:f>
      </x:c>
      <x:c r="G5" s="172" t="str">
        <x:f>IF(C5&lt;10,"LOW N",IF(ABS(F5)&lt;=0.03,"OK",IF(ABS(F5)&lt;=0.06,"WATCH","DRIFT")))</x:f>
        <x:v>LOW N</x:v>
      </x:c>
      <x:c r="H5" s="172"/>
      <x:c r="I5" s="172"/>
      <x:c r="J5" s="172"/>
      <x:c r="K5" s="172"/>
    </x:row>
    <x:row r="6" ht="23" customHeight="1">
      <x:c r="A6" s="192" t="n">
        <x:v>0.6</x:v>
      </x:c>
      <x:c r="B6" s="192" t="n">
        <x:v>0.7</x:v>
      </x:c>
      <x:c r="C6" s="172" t="n">
        <x:f>COUNTIFS(Settlement!$I$4:$I$203,"&gt;="&amp;A6,Settlement!$I$4:$I$203,"&lt;"&amp;B6,Settlement!$X$4:$X$203,"SETTLED",Settlement!$G$4:$G$203,$J$2)</x:f>
        <x:v>0</x:v>
      </x:c>
      <x:c r="D6" s="192" t="str">
        <x:f>IFERROR(SUMIFS(Settlement!$I$4:$I$203,Settlement!$I$4:$I$203,"&gt;="&amp;A6,Settlement!$I$4:$I$203,"&lt;"&amp;B6,Settlement!$X$4:$X$203,"SETTLED",Settlement!$G$4:$G$203,$J$2)/C6,"")</x:f>
      </x:c>
      <x:c r="E6" s="192" t="str">
        <x:f>IFERROR(SUMIFS(Settlement!$J$4:$J$203,Settlement!$I$4:$I$203,"&gt;="&amp;A6,Settlement!$I$4:$I$203,"&lt;"&amp;B6,Settlement!$X$4:$X$203,"SETTLED",Settlement!$G$4:$G$203,$J$2)/C6,"")</x:f>
      </x:c>
      <x:c r="F6" s="192" t="str">
        <x:f>IF(C6=0,"",D6-E6)</x:f>
      </x:c>
      <x:c r="G6" s="172" t="str">
        <x:f>IF(C6&lt;10,"LOW N",IF(ABS(F6)&lt;=0.03,"OK",IF(ABS(F6)&lt;=0.06,"WATCH","DRIFT")))</x:f>
        <x:v>LOW N</x:v>
      </x:c>
      <x:c r="H6" s="172"/>
      <x:c r="I6" s="172"/>
      <x:c r="J6" s="172"/>
      <x:c r="K6" s="172"/>
    </x:row>
    <x:row r="7" ht="23" customHeight="1">
      <x:c r="A7" s="192" t="n">
        <x:v>0.7</x:v>
      </x:c>
      <x:c r="B7" s="192" t="n">
        <x:v>0.8</x:v>
      </x:c>
      <x:c r="C7" s="172" t="n">
        <x:f>COUNTIFS(Settlement!$I$4:$I$203,"&gt;="&amp;A7,Settlement!$I$4:$I$203,"&lt;"&amp;B7,Settlement!$X$4:$X$203,"SETTLED",Settlement!$G$4:$G$203,$J$2)</x:f>
        <x:v>0</x:v>
      </x:c>
      <x:c r="D7" s="192" t="str">
        <x:f>IFERROR(SUMIFS(Settlement!$I$4:$I$203,Settlement!$I$4:$I$203,"&gt;="&amp;A7,Settlement!$I$4:$I$203,"&lt;"&amp;B7,Settlement!$X$4:$X$203,"SETTLED",Settlement!$G$4:$G$203,$J$2)/C7,"")</x:f>
      </x:c>
      <x:c r="E7" s="192" t="str">
        <x:f>IFERROR(SUMIFS(Settlement!$J$4:$J$203,Settlement!$I$4:$I$203,"&gt;="&amp;A7,Settlement!$I$4:$I$203,"&lt;"&amp;B7,Settlement!$X$4:$X$203,"SETTLED",Settlement!$G$4:$G$203,$J$2)/C7,"")</x:f>
      </x:c>
      <x:c r="F7" s="192" t="str">
        <x:f>IF(C7=0,"",D7-E7)</x:f>
      </x:c>
      <x:c r="G7" s="172" t="str">
        <x:f>IF(C7&lt;10,"LOW N",IF(ABS(F7)&lt;=0.03,"OK",IF(ABS(F7)&lt;=0.06,"WATCH","DRIFT")))</x:f>
        <x:v>LOW N</x:v>
      </x:c>
      <x:c r="H7" s="172"/>
      <x:c r="I7" s="172"/>
      <x:c r="J7" s="172"/>
      <x:c r="K7" s="172"/>
    </x:row>
    <x:row r="8" ht="23" customHeight="1">
      <x:c r="A8" s="192" t="n">
        <x:v>0.8</x:v>
      </x:c>
      <x:c r="B8" s="192" t="n">
        <x:v>0.85</x:v>
      </x:c>
      <x:c r="C8" s="172" t="n">
        <x:f>COUNTIFS(Settlement!$I$4:$I$203,"&gt;="&amp;A8,Settlement!$I$4:$I$203,"&lt;"&amp;B8,Settlement!$X$4:$X$203,"SETTLED",Settlement!$G$4:$G$203,$J$2)</x:f>
        <x:v>0</x:v>
      </x:c>
      <x:c r="D8" s="192" t="str">
        <x:f>IFERROR(SUMIFS(Settlement!$I$4:$I$203,Settlement!$I$4:$I$203,"&gt;="&amp;A8,Settlement!$I$4:$I$203,"&lt;"&amp;B8,Settlement!$X$4:$X$203,"SETTLED",Settlement!$G$4:$G$203,$J$2)/C8,"")</x:f>
      </x:c>
      <x:c r="E8" s="192" t="str">
        <x:f>IFERROR(SUMIFS(Settlement!$J$4:$J$203,Settlement!$I$4:$I$203,"&gt;="&amp;A8,Settlement!$I$4:$I$203,"&lt;"&amp;B8,Settlement!$X$4:$X$203,"SETTLED",Settlement!$G$4:$G$203,$J$2)/C8,"")</x:f>
      </x:c>
      <x:c r="F8" s="192" t="str">
        <x:f>IF(C8=0,"",D8-E8)</x:f>
      </x:c>
      <x:c r="G8" s="172" t="str">
        <x:f>IF(C8&lt;10,"LOW N",IF(ABS(F8)&lt;=0.03,"OK",IF(ABS(F8)&lt;=0.06,"WATCH","DRIFT")))</x:f>
        <x:v>LOW N</x:v>
      </x:c>
      <x:c r="H8" s="172"/>
      <x:c r="I8" s="172"/>
      <x:c r="J8" s="172"/>
      <x:c r="K8" s="172"/>
    </x:row>
    <x:row r="9" ht="23" customHeight="1">
      <x:c r="A9" s="192" t="n">
        <x:v>0.85</x:v>
      </x:c>
      <x:c r="B9" s="192" t="n">
        <x:v>0.9</x:v>
      </x:c>
      <x:c r="C9" s="172" t="n">
        <x:f>COUNTIFS(Settlement!$I$4:$I$203,"&gt;="&amp;A9,Settlement!$I$4:$I$203,"&lt;"&amp;B9,Settlement!$X$4:$X$203,"SETTLED",Settlement!$G$4:$G$203,$J$2)</x:f>
        <x:v>0</x:v>
      </x:c>
      <x:c r="D9" s="192" t="str">
        <x:f>IFERROR(SUMIFS(Settlement!$I$4:$I$203,Settlement!$I$4:$I$203,"&gt;="&amp;A9,Settlement!$I$4:$I$203,"&lt;"&amp;B9,Settlement!$X$4:$X$203,"SETTLED",Settlement!$G$4:$G$203,$J$2)/C9,"")</x:f>
      </x:c>
      <x:c r="E9" s="192" t="str">
        <x:f>IFERROR(SUMIFS(Settlement!$J$4:$J$203,Settlement!$I$4:$I$203,"&gt;="&amp;A9,Settlement!$I$4:$I$203,"&lt;"&amp;B9,Settlement!$X$4:$X$203,"SETTLED",Settlement!$G$4:$G$203,$J$2)/C9,"")</x:f>
      </x:c>
      <x:c r="F9" s="192" t="str">
        <x:f>IF(C9=0,"",D9-E9)</x:f>
      </x:c>
      <x:c r="G9" s="172" t="str">
        <x:f>IF(C9&lt;10,"LOW N",IF(ABS(F9)&lt;=0.03,"OK",IF(ABS(F9)&lt;=0.06,"WATCH","DRIFT")))</x:f>
        <x:v>LOW N</x:v>
      </x:c>
      <x:c r="H9" s="172"/>
      <x:c r="I9" s="172"/>
      <x:c r="J9" s="172"/>
      <x:c r="K9" s="172"/>
    </x:row>
    <x:row r="10" ht="23" customHeight="1">
      <x:c r="A10" s="192" t="n">
        <x:v>0.9</x:v>
      </x:c>
      <x:c r="B10" s="192" t="n">
        <x:v>0.92</x:v>
      </x:c>
      <x:c r="C10" s="172" t="n">
        <x:f>COUNTIFS(Settlement!$I$4:$I$203,"&gt;="&amp;A10,Settlement!$I$4:$I$203,"&lt;"&amp;B10,Settlement!$X$4:$X$203,"SETTLED",Settlement!$G$4:$G$203,$J$2)</x:f>
        <x:v>0</x:v>
      </x:c>
      <x:c r="D10" s="192" t="str">
        <x:f>IFERROR(SUMIFS(Settlement!$I$4:$I$203,Settlement!$I$4:$I$203,"&gt;="&amp;A10,Settlement!$I$4:$I$203,"&lt;"&amp;B10,Settlement!$X$4:$X$203,"SETTLED",Settlement!$G$4:$G$203,$J$2)/C10,"")</x:f>
      </x:c>
      <x:c r="E10" s="192" t="str">
        <x:f>IFERROR(SUMIFS(Settlement!$J$4:$J$203,Settlement!$I$4:$I$203,"&gt;="&amp;A10,Settlement!$I$4:$I$203,"&lt;"&amp;B10,Settlement!$X$4:$X$203,"SETTLED",Settlement!$G$4:$G$203,$J$2)/C10,"")</x:f>
      </x:c>
      <x:c r="F10" s="192" t="str">
        <x:f>IF(C10=0,"",D10-E10)</x:f>
      </x:c>
      <x:c r="G10" s="172" t="str">
        <x:f>IF(C10&lt;10,"LOW N",IF(ABS(F10)&lt;=0.03,"OK",IF(ABS(F10)&lt;=0.06,"WATCH","DRIFT")))</x:f>
        <x:v>LOW N</x:v>
      </x:c>
      <x:c r="H10" s="172"/>
      <x:c r="I10" s="172"/>
      <x:c r="J10" s="172"/>
      <x:c r="K10" s="172"/>
    </x:row>
    <x:row r="11" ht="23" customHeight="1">
      <x:c r="A11" s="192" t="n">
        <x:v>0.92</x:v>
      </x:c>
      <x:c r="B11" s="192" t="n">
        <x:v>0.95</x:v>
      </x:c>
      <x:c r="C11" s="172" t="n">
        <x:f>COUNTIFS(Settlement!$I$4:$I$203,"&gt;="&amp;A11,Settlement!$I$4:$I$203,"&lt;"&amp;B11,Settlement!$X$4:$X$203,"SETTLED",Settlement!$G$4:$G$203,$J$2)</x:f>
        <x:v>0</x:v>
      </x:c>
      <x:c r="D11" s="192" t="str">
        <x:f>IFERROR(SUMIFS(Settlement!$I$4:$I$203,Settlement!$I$4:$I$203,"&gt;="&amp;A11,Settlement!$I$4:$I$203,"&lt;"&amp;B11,Settlement!$X$4:$X$203,"SETTLED",Settlement!$G$4:$G$203,$J$2)/C11,"")</x:f>
      </x:c>
      <x:c r="E11" s="192" t="str">
        <x:f>IFERROR(SUMIFS(Settlement!$J$4:$J$203,Settlement!$I$4:$I$203,"&gt;="&amp;A11,Settlement!$I$4:$I$203,"&lt;"&amp;B11,Settlement!$X$4:$X$203,"SETTLED",Settlement!$G$4:$G$203,$J$2)/C11,"")</x:f>
      </x:c>
      <x:c r="F11" s="192" t="str">
        <x:f>IF(C11=0,"",D11-E11)</x:f>
      </x:c>
      <x:c r="G11" s="172" t="str">
        <x:f>IF(C11&lt;10,"LOW N",IF(ABS(F11)&lt;=0.03,"OK",IF(ABS(F11)&lt;=0.06,"WATCH","DRIFT")))</x:f>
        <x:v>LOW N</x:v>
      </x:c>
      <x:c r="H11" s="172"/>
      <x:c r="I11" s="172"/>
      <x:c r="J11" s="172"/>
      <x:c r="K11" s="172"/>
    </x:row>
    <x:row r="12" ht="23" customHeight="1">
      <x:c r="A12" s="192" t="n">
        <x:v>0.95</x:v>
      </x:c>
      <x:c r="B12" s="192" t="n">
        <x:v>1.000001</x:v>
      </x:c>
      <x:c r="C12" s="172" t="n">
        <x:f>COUNTIFS(Settlement!$I$4:$I$203,"&gt;="&amp;A12,Settlement!$I$4:$I$203,"&lt;"&amp;B12,Settlement!$X$4:$X$203,"SETTLED",Settlement!$G$4:$G$203,$J$2)</x:f>
        <x:v>0</x:v>
      </x:c>
      <x:c r="D12" s="192" t="str">
        <x:f>IFERROR(SUMIFS(Settlement!$I$4:$I$203,Settlement!$I$4:$I$203,"&gt;="&amp;A12,Settlement!$I$4:$I$203,"&lt;"&amp;B12,Settlement!$X$4:$X$203,"SETTLED",Settlement!$G$4:$G$203,$J$2)/C12,"")</x:f>
      </x:c>
      <x:c r="E12" s="192" t="str">
        <x:f>IFERROR(SUMIFS(Settlement!$J$4:$J$203,Settlement!$I$4:$I$203,"&gt;="&amp;A12,Settlement!$I$4:$I$203,"&lt;"&amp;B12,Settlement!$X$4:$X$203,"SETTLED",Settlement!$G$4:$G$203,$J$2)/C12,"")</x:f>
      </x:c>
      <x:c r="F12" s="192" t="str">
        <x:f>IF(C12=0,"",D12-E12)</x:f>
      </x:c>
      <x:c r="G12" s="172" t="str">
        <x:f>IF(C12&lt;10,"LOW N",IF(ABS(F12)&lt;=0.03,"OK",IF(ABS(F12)&lt;=0.06,"WATCH","DRIFT")))</x:f>
        <x:v>LOW N</x:v>
      </x:c>
      <x:c r="H12" s="172"/>
      <x:c r="I12" s="172"/>
      <x:c r="J12" s="172"/>
      <x:c r="K12" s="172"/>
    </x:row>
    <x:row r="13" ht="23" customHeight="1">
      <x:c r="A13" s="172"/>
      <x:c r="B13" s="172"/>
      <x:c r="C13" s="172"/>
      <x:c r="D13" s="172"/>
      <x:c r="E13" s="172"/>
      <x:c r="F13" s="172"/>
      <x:c r="G13" s="172"/>
      <x:c r="H13" s="172"/>
      <x:c r="I13" s="172"/>
      <x:c r="J13" s="172"/>
      <x:c r="K13" s="172"/>
    </x:row>
    <x:row r="14" ht="23" customHeight="1">
      <x:c r="A14" s="172"/>
      <x:c r="B14" s="172"/>
      <x:c r="C14" s="172"/>
      <x:c r="D14" s="172"/>
      <x:c r="E14" s="172"/>
      <x:c r="F14" s="172"/>
      <x:c r="G14" s="172"/>
      <x:c r="H14" s="172"/>
      <x:c r="I14" s="172"/>
      <x:c r="J14" s="172"/>
      <x:c r="K14" s="172"/>
    </x:row>
    <x:row r="15" ht="23" customHeight="1">
      <x:c r="A15" s="172" t="str">
        <x:v>Benzile sunt [de la, până la); ultima include 100%. OK este diagnostic, nu validare a unui prag.</x:v>
      </x:c>
      <x:c r="B15" s="172"/>
      <x:c r="C15" s="172"/>
      <x:c r="D15" s="172"/>
      <x:c r="E15" s="172"/>
      <x:c r="F15" s="172"/>
      <x:c r="G15" s="172"/>
      <x:c r="H15" s="172"/>
      <x:c r="I15" s="172"/>
      <x:c r="J15" s="172"/>
      <x:c r="K15" s="172"/>
    </x:row>
    <x:row r="16" ht="23" customHeight="1">
      <x:c r="A16" s="172"/>
      <x:c r="B16" s="172"/>
      <x:c r="C16" s="172"/>
      <x:c r="D16" s="172"/>
      <x:c r="E16" s="172"/>
      <x:c r="F16" s="172"/>
      <x:c r="G16" s="172"/>
      <x:c r="H16" s="172"/>
      <x:c r="I16" s="172"/>
      <x:c r="J16" s="172"/>
      <x:c r="K16" s="172"/>
    </x:row>
    <x:row r="17" ht="23" customHeight="1">
      <x:c r="A17" s="172"/>
      <x:c r="B17" s="172"/>
      <x:c r="C17" s="172"/>
      <x:c r="D17" s="172"/>
      <x:c r="E17" s="172"/>
      <x:c r="F17" s="172"/>
      <x:c r="G17" s="172"/>
      <x:c r="H17" s="172"/>
      <x:c r="I17" s="172"/>
      <x:c r="J17" s="172"/>
      <x:c r="K17" s="172"/>
    </x:row>
    <x:row r="18" ht="23" customHeight="1">
      <x:c r="A18" s="172"/>
      <x:c r="B18" s="172"/>
      <x:c r="C18" s="172"/>
      <x:c r="D18" s="172"/>
      <x:c r="E18" s="172"/>
      <x:c r="F18" s="172"/>
      <x:c r="G18" s="172"/>
      <x:c r="H18" s="172"/>
      <x:c r="I18" s="172"/>
      <x:c r="J18" s="172"/>
      <x:c r="K18" s="172"/>
    </x:row>
    <x:row r="19" ht="23" customHeight="1">
      <x:c r="A19" s="172"/>
      <x:c r="B19" s="172"/>
      <x:c r="C19" s="172"/>
      <x:c r="D19" s="172"/>
      <x:c r="E19" s="172"/>
      <x:c r="F19" s="172"/>
      <x:c r="G19" s="172"/>
      <x:c r="H19" s="172"/>
      <x:c r="I19" s="172"/>
      <x:c r="J19" s="172"/>
      <x:c r="K19" s="172"/>
    </x:row>
    <x:row r="20" ht="23" customHeight="1">
      <x:c r="A20" s="172"/>
      <x:c r="B20" s="172"/>
      <x:c r="C20" s="172"/>
      <x:c r="D20" s="172"/>
      <x:c r="E20" s="172"/>
      <x:c r="F20" s="172"/>
      <x:c r="G20" s="172"/>
      <x:c r="H20" s="172"/>
      <x:c r="I20" s="172"/>
      <x:c r="J20" s="172"/>
      <x:c r="K20" s="172"/>
    </x:row>
    <x:row r="21" ht="23" customHeight="1">
      <x:c r="A21" s="172"/>
      <x:c r="B21" s="172"/>
      <x:c r="C21" s="172"/>
      <x:c r="D21" s="172"/>
      <x:c r="E21" s="172"/>
      <x:c r="F21" s="172"/>
      <x:c r="G21" s="172"/>
      <x:c r="H21" s="172"/>
      <x:c r="I21" s="172"/>
      <x:c r="J21" s="172"/>
      <x:c r="K21" s="172"/>
    </x:row>
    <x:row r="22" ht="23" customHeight="1">
      <x:c r="A22" s="172"/>
      <x:c r="B22" s="172"/>
      <x:c r="C22" s="172"/>
      <x:c r="D22" s="172"/>
      <x:c r="E22" s="172"/>
      <x:c r="F22" s="172"/>
      <x:c r="G22" s="172"/>
      <x:c r="H22" s="172"/>
      <x:c r="I22" s="172"/>
      <x:c r="J22" s="172"/>
      <x:c r="K22" s="172"/>
    </x:row>
    <x:row r="23" ht="23" customHeight="1">
      <x:c r="A23" s="172"/>
      <x:c r="B23" s="172"/>
      <x:c r="C23" s="172"/>
      <x:c r="D23" s="172"/>
      <x:c r="E23" s="172"/>
      <x:c r="F23" s="172"/>
      <x:c r="G23" s="172"/>
      <x:c r="H23" s="172"/>
      <x:c r="I23" s="172"/>
      <x:c r="J23" s="172"/>
      <x:c r="K23" s="172"/>
    </x:row>
    <x:row r="24" ht="23" customHeight="1">
      <x:c r="A24" s="172"/>
      <x:c r="B24" s="172"/>
      <x:c r="C24" s="172"/>
      <x:c r="D24" s="172"/>
      <x:c r="E24" s="172"/>
      <x:c r="F24" s="172"/>
      <x:c r="G24" s="172"/>
      <x:c r="H24" s="172"/>
      <x:c r="I24" s="172"/>
      <x:c r="J24" s="172"/>
      <x:c r="K24" s="172"/>
    </x:row>
    <x:row r="25" ht="23" customHeight="1">
      <x:c r="A25" s="172"/>
      <x:c r="B25" s="172"/>
      <x:c r="C25" s="172"/>
      <x:c r="D25" s="172"/>
      <x:c r="E25" s="172"/>
      <x:c r="F25" s="172"/>
      <x:c r="G25" s="172"/>
      <x:c r="H25" s="172"/>
      <x:c r="I25" s="172"/>
      <x:c r="J25" s="172"/>
      <x:c r="K25" s="172"/>
    </x:row>
    <x:row r="26" ht="23" customHeight="1">
      <x:c r="A26" s="172"/>
      <x:c r="B26" s="172"/>
      <x:c r="C26" s="172"/>
      <x:c r="D26" s="172"/>
      <x:c r="E26" s="172"/>
      <x:c r="F26" s="172"/>
      <x:c r="G26" s="172"/>
      <x:c r="H26" s="172"/>
      <x:c r="I26" s="172"/>
      <x:c r="J26" s="172"/>
      <x:c r="K26" s="172"/>
    </x:row>
    <x:row r="27" ht="23" customHeight="1">
      <x:c r="A27" s="172"/>
      <x:c r="B27" s="172"/>
      <x:c r="C27" s="172"/>
      <x:c r="D27" s="172"/>
      <x:c r="E27" s="172"/>
      <x:c r="F27" s="172"/>
      <x:c r="G27" s="172"/>
      <x:c r="H27" s="172"/>
      <x:c r="I27" s="172"/>
      <x:c r="J27" s="172"/>
      <x:c r="K27" s="172"/>
    </x:row>
    <x:row r="28" ht="23" customHeight="1">
      <x:c r="A28" s="172"/>
      <x:c r="B28" s="172"/>
      <x:c r="C28" s="172"/>
      <x:c r="D28" s="172"/>
      <x:c r="E28" s="172"/>
      <x:c r="F28" s="172"/>
      <x:c r="G28" s="172"/>
      <x:c r="H28" s="172"/>
      <x:c r="I28" s="172"/>
      <x:c r="J28" s="172"/>
      <x:c r="K28" s="172"/>
    </x:row>
    <x:row r="29" ht="23" customHeight="1">
      <x:c r="A29" s="172"/>
      <x:c r="B29" s="172"/>
      <x:c r="C29" s="172"/>
      <x:c r="D29" s="172"/>
      <x:c r="E29" s="172"/>
      <x:c r="F29" s="172"/>
      <x:c r="G29" s="172"/>
      <x:c r="H29" s="172"/>
      <x:c r="I29" s="172"/>
      <x:c r="J29" s="172"/>
      <x:c r="K29" s="172"/>
    </x:row>
    <x:row r="30" ht="23" customHeight="1">
      <x:c r="A30" s="172"/>
      <x:c r="B30" s="172"/>
      <x:c r="C30" s="172"/>
      <x:c r="D30" s="172"/>
      <x:c r="E30" s="172"/>
      <x:c r="F30" s="172"/>
      <x:c r="G30" s="172"/>
      <x:c r="H30" s="172"/>
      <x:c r="I30" s="172"/>
      <x:c r="J30" s="172"/>
      <x:c r="K30" s="172"/>
    </x:row>
    <x:row r="31" ht="23" customHeight="1">
      <x:c r="A31" s="172"/>
      <x:c r="B31" s="172"/>
      <x:c r="C31" s="172"/>
      <x:c r="D31" s="172"/>
      <x:c r="E31" s="172"/>
      <x:c r="F31" s="172"/>
      <x:c r="G31" s="172"/>
      <x:c r="H31" s="172"/>
      <x:c r="I31" s="172"/>
      <x:c r="J31" s="172"/>
      <x:c r="K31" s="172"/>
    </x:row>
    <x:row r="32" ht="23" customHeight="1">
      <x:c r="A32" s="172"/>
      <x:c r="B32" s="172"/>
      <x:c r="C32" s="172"/>
      <x:c r="D32" s="172"/>
      <x:c r="E32" s="172"/>
      <x:c r="F32" s="172"/>
      <x:c r="G32" s="172"/>
      <x:c r="H32" s="172"/>
      <x:c r="I32" s="172"/>
      <x:c r="J32" s="172"/>
      <x:c r="K32" s="172"/>
    </x:row>
  </x:sheetData>
  <x:dataValidations count="1">
    <x:dataValidation type="list" sqref="J2">
      <x:formula1>"U3.5,U4.5,U5.5"</x:formula1>
    </x:dataValidation>
  </x:dataValidation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Pr>
    <x:tabColor rgb="FF117E80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24" hidden="0" customWidth="1"/>
    <x:col min="3" max="3" width="24" hidden="0" customWidth="1"/>
    <x:col min="4" max="4" width="24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</x:cols>
  <x:sheetData>
    <x:row r="1" ht="23" customHeight="1">
      <x:c r="A1" s="173" t="str">
        <x:v>DISTRIBUȚIA EȘECURILOR – PE LINIE</x:v>
      </x:c>
      <x:c r="B1" s="172"/>
      <x:c r="C1" s="172"/>
      <x:c r="D1" s="172"/>
      <x:c r="E1" s="172"/>
      <x:c r="F1" s="172"/>
      <x:c r="G1" s="172"/>
      <x:c r="H1" s="172"/>
      <x:c r="I1" s="172"/>
      <x:c r="J1" s="172"/>
    </x:row>
    <x:row r="2" ht="23" customHeight="1">
      <x:c r="A2" s="172"/>
      <x:c r="B2" s="172"/>
      <x:c r="C2" s="172"/>
      <x:c r="D2" s="172"/>
      <x:c r="E2" s="172"/>
      <x:c r="F2" s="172"/>
      <x:c r="G2" s="172"/>
      <x:c r="H2" s="172"/>
      <x:c r="I2" s="172"/>
      <x:c r="J2" s="172"/>
    </x:row>
    <x:row r="3" ht="23" customHeight="1">
      <x:c r="A3" s="174" t="str">
        <x:v>Numai snapshoturi valide și rezultate finale. Near-tail și severe-tail sunt separate.</x:v>
      </x:c>
      <x:c r="B3" s="172"/>
      <x:c r="C3" s="172"/>
      <x:c r="D3" s="172"/>
      <x:c r="E3" s="172"/>
      <x:c r="F3" s="172"/>
      <x:c r="G3" s="172"/>
      <x:c r="H3" s="172"/>
      <x:c r="I3" s="172"/>
      <x:c r="J3" s="172"/>
    </x:row>
    <x:row r="4" ht="23" customHeight="1">
      <x:c r="A4" s="172"/>
      <x:c r="B4" s="172"/>
      <x:c r="C4" s="172"/>
      <x:c r="D4" s="172"/>
      <x:c r="E4" s="172"/>
      <x:c r="F4" s="172"/>
      <x:c r="G4" s="172"/>
      <x:c r="H4" s="172"/>
      <x:c r="I4" s="172"/>
      <x:c r="J4" s="172"/>
    </x:row>
    <x:row r="5" ht="36" customHeight="1">
      <x:c r="A5" s="181" t="str">
        <x:v>Linie</x:v>
      </x:c>
      <x:c r="B5" s="181" t="str">
        <x:v>Failure</x:v>
      </x:c>
      <x:c r="C5" s="181" t="str">
        <x:v>Număr</x:v>
      </x:c>
      <x:c r="D5" s="181" t="str">
        <x:v>Total eșecuri linie</x:v>
      </x:c>
      <x:c r="E5" s="181" t="str">
        <x:v>Pondere</x:v>
      </x:c>
      <x:c r="F5" s="172"/>
      <x:c r="G5" s="172"/>
      <x:c r="H5" s="172"/>
      <x:c r="I5" s="172"/>
      <x:c r="J5" s="172"/>
    </x:row>
    <x:row r="6" ht="23" customHeight="1">
      <x:c r="A6" s="172" t="str">
        <x:v>U3.5</x:v>
      </x:c>
      <x:c r="B6" s="172" t="str">
        <x:v>NEAR TAIL</x:v>
      </x:c>
      <x:c r="C6" s="172" t="n">
        <x:f>COUNTIFS(Settlement!$G$4:$G$203,A6,Settlement!$J$4:$J$203,0,Settlement!$X$4:$X$203,"SETTLED",Settlement!$O$4:$O$203,B6)</x:f>
        <x:v>0</x:v>
      </x:c>
      <x:c r="D6" s="172" t="n">
        <x:f>COUNTIFS(Settlement!$G$4:$G$203,A6,Settlement!$J$4:$J$203,0,Settlement!$X$4:$X$203,"SETTLED")</x:f>
        <x:v>0</x:v>
      </x:c>
      <x:c r="E6" s="192" t="str">
        <x:f>IF(D6=0,"",C6/D6)</x:f>
      </x:c>
      <x:c r="F6" s="172"/>
      <x:c r="G6" s="172"/>
      <x:c r="H6" s="172"/>
      <x:c r="I6" s="172"/>
      <x:c r="J6" s="172"/>
    </x:row>
    <x:row r="7" ht="23" customHeight="1">
      <x:c r="A7" s="172" t="str">
        <x:v>U3.5</x:v>
      </x:c>
      <x:c r="B7" s="172" t="str">
        <x:v>SEVERE TAIL</x:v>
      </x:c>
      <x:c r="C7" s="172" t="n">
        <x:f>COUNTIFS(Settlement!$G$4:$G$203,A7,Settlement!$J$4:$J$203,0,Settlement!$X$4:$X$203,"SETTLED",Settlement!$O$4:$O$203,B7)</x:f>
        <x:v>0</x:v>
      </x:c>
      <x:c r="D7" s="172" t="n">
        <x:f>COUNTIFS(Settlement!$G$4:$G$203,A7,Settlement!$J$4:$J$203,0,Settlement!$X$4:$X$203,"SETTLED")</x:f>
        <x:v>0</x:v>
      </x:c>
      <x:c r="E7" s="192" t="str">
        <x:f>IF(D7=0,"",C7/D7)</x:f>
      </x:c>
      <x:c r="F7" s="172"/>
      <x:c r="G7" s="172"/>
      <x:c r="H7" s="172"/>
      <x:c r="I7" s="172"/>
      <x:c r="J7" s="172"/>
    </x:row>
    <x:row r="8" ht="23" customHeight="1">
      <x:c r="A8" s="172" t="str">
        <x:v>U4.5</x:v>
      </x:c>
      <x:c r="B8" s="172" t="str">
        <x:v>NEAR TAIL</x:v>
      </x:c>
      <x:c r="C8" s="172" t="n">
        <x:f>COUNTIFS(Settlement!$G$4:$G$203,A8,Settlement!$J$4:$J$203,0,Settlement!$X$4:$X$203,"SETTLED",Settlement!$O$4:$O$203,B8)</x:f>
        <x:v>0</x:v>
      </x:c>
      <x:c r="D8" s="172" t="n">
        <x:f>COUNTIFS(Settlement!$G$4:$G$203,A8,Settlement!$J$4:$J$203,0,Settlement!$X$4:$X$203,"SETTLED")</x:f>
        <x:v>0</x:v>
      </x:c>
      <x:c r="E8" s="192" t="str">
        <x:f>IF(D8=0,"",C8/D8)</x:f>
      </x:c>
      <x:c r="F8" s="172"/>
      <x:c r="G8" s="172"/>
      <x:c r="H8" s="172"/>
      <x:c r="I8" s="172"/>
      <x:c r="J8" s="172"/>
    </x:row>
    <x:row r="9" ht="23" customHeight="1">
      <x:c r="A9" s="172" t="str">
        <x:v>U4.5</x:v>
      </x:c>
      <x:c r="B9" s="172" t="str">
        <x:v>SEVERE TAIL</x:v>
      </x:c>
      <x:c r="C9" s="172" t="n">
        <x:f>COUNTIFS(Settlement!$G$4:$G$203,A9,Settlement!$J$4:$J$203,0,Settlement!$X$4:$X$203,"SETTLED",Settlement!$O$4:$O$203,B9)</x:f>
        <x:v>0</x:v>
      </x:c>
      <x:c r="D9" s="172" t="n">
        <x:f>COUNTIFS(Settlement!$G$4:$G$203,A9,Settlement!$J$4:$J$203,0,Settlement!$X$4:$X$203,"SETTLED")</x:f>
        <x:v>0</x:v>
      </x:c>
      <x:c r="E9" s="192" t="str">
        <x:f>IF(D9=0,"",C9/D9)</x:f>
      </x:c>
      <x:c r="F9" s="172"/>
      <x:c r="G9" s="172"/>
      <x:c r="H9" s="172"/>
      <x:c r="I9" s="172"/>
      <x:c r="J9" s="172"/>
    </x:row>
    <x:row r="10" ht="23" customHeight="1">
      <x:c r="A10" s="172" t="str">
        <x:v>U5.5</x:v>
      </x:c>
      <x:c r="B10" s="172" t="str">
        <x:v>NEAR TAIL</x:v>
      </x:c>
      <x:c r="C10" s="172" t="n">
        <x:f>COUNTIFS(Settlement!$G$4:$G$203,A10,Settlement!$J$4:$J$203,0,Settlement!$X$4:$X$203,"SETTLED",Settlement!$O$4:$O$203,B10)</x:f>
        <x:v>0</x:v>
      </x:c>
      <x:c r="D10" s="172" t="n">
        <x:f>COUNTIFS(Settlement!$G$4:$G$203,A10,Settlement!$J$4:$J$203,0,Settlement!$X$4:$X$203,"SETTLED")</x:f>
        <x:v>0</x:v>
      </x:c>
      <x:c r="E10" s="192" t="str">
        <x:f>IF(D10=0,"",C10/D10)</x:f>
      </x:c>
      <x:c r="F10" s="172"/>
      <x:c r="G10" s="172"/>
      <x:c r="H10" s="172"/>
      <x:c r="I10" s="172"/>
      <x:c r="J10" s="172"/>
    </x:row>
    <x:row r="11" ht="23" customHeight="1">
      <x:c r="A11" s="172" t="str">
        <x:v>U5.5</x:v>
      </x:c>
      <x:c r="B11" s="172" t="str">
        <x:v>SEVERE TAIL</x:v>
      </x:c>
      <x:c r="C11" s="172" t="n">
        <x:f>COUNTIFS(Settlement!$G$4:$G$203,A11,Settlement!$J$4:$J$203,0,Settlement!$X$4:$X$203,"SETTLED",Settlement!$O$4:$O$203,B11)</x:f>
        <x:v>0</x:v>
      </x:c>
      <x:c r="D11" s="172" t="n">
        <x:f>COUNTIFS(Settlement!$G$4:$G$203,A11,Settlement!$J$4:$J$203,0,Settlement!$X$4:$X$203,"SETTLED")</x:f>
        <x:v>0</x:v>
      </x:c>
      <x:c r="E11" s="192" t="str">
        <x:f>IF(D11=0,"",C11/D11)</x:f>
      </x:c>
      <x:c r="F11" s="172"/>
      <x:c r="G11" s="172"/>
      <x:c r="H11" s="172"/>
      <x:c r="I11" s="172"/>
      <x:c r="J11" s="172"/>
    </x:row>
    <x:row r="12" ht="23" customHeight="1">
      <x:c r="A12" s="172"/>
      <x:c r="B12" s="172"/>
      <x:c r="C12" s="172"/>
      <x:c r="D12" s="172"/>
      <x:c r="E12" s="172"/>
      <x:c r="F12" s="172"/>
      <x:c r="G12" s="172"/>
      <x:c r="H12" s="172"/>
      <x:c r="I12" s="172"/>
      <x:c r="J12" s="172"/>
    </x:row>
    <x:row r="13" ht="23" customHeight="1">
      <x:c r="A13" s="172"/>
      <x:c r="B13" s="172"/>
      <x:c r="C13" s="172"/>
      <x:c r="D13" s="172"/>
      <x:c r="E13" s="172"/>
      <x:c r="F13" s="172"/>
      <x:c r="G13" s="172"/>
      <x:c r="H13" s="172"/>
      <x:c r="I13" s="172"/>
      <x:c r="J13" s="172"/>
    </x:row>
    <x:row r="14" ht="23" customHeight="1">
      <x:c r="A14" s="172"/>
      <x:c r="B14" s="172"/>
      <x:c r="C14" s="172"/>
      <x:c r="D14" s="172"/>
      <x:c r="E14" s="172"/>
      <x:c r="F14" s="172"/>
      <x:c r="G14" s="172"/>
      <x:c r="H14" s="172"/>
      <x:c r="I14" s="172"/>
      <x:c r="J14" s="172"/>
    </x:row>
    <x:row r="15" ht="23" customHeight="1">
      <x:c r="A15" s="172"/>
      <x:c r="B15" s="172"/>
      <x:c r="C15" s="172"/>
      <x:c r="D15" s="172"/>
      <x:c r="E15" s="172"/>
      <x:c r="F15" s="172"/>
      <x:c r="G15" s="172"/>
      <x:c r="H15" s="172"/>
      <x:c r="I15" s="172"/>
      <x:c r="J15" s="172"/>
    </x:row>
    <x:row r="16" ht="23" customHeight="1">
      <x:c r="A16" s="172"/>
      <x:c r="B16" s="172"/>
      <x:c r="C16" s="172"/>
      <x:c r="D16" s="172"/>
      <x:c r="E16" s="172"/>
      <x:c r="F16" s="172"/>
      <x:c r="G16" s="172"/>
      <x:c r="H16" s="172"/>
      <x:c r="I16" s="172"/>
      <x:c r="J16" s="172"/>
    </x:row>
    <x:row r="17" ht="23" customHeight="1">
      <x:c r="A17" s="172"/>
      <x:c r="B17" s="172"/>
      <x:c r="C17" s="172"/>
      <x:c r="D17" s="172"/>
      <x:c r="E17" s="172"/>
      <x:c r="F17" s="172"/>
      <x:c r="G17" s="172"/>
      <x:c r="H17" s="172"/>
      <x:c r="I17" s="172"/>
      <x:c r="J17" s="172"/>
    </x:row>
    <x:row r="18" ht="23" customHeight="1">
      <x:c r="A18" s="172"/>
      <x:c r="B18" s="172"/>
      <x:c r="C18" s="172"/>
      <x:c r="D18" s="172"/>
      <x:c r="E18" s="172"/>
      <x:c r="F18" s="172"/>
      <x:c r="G18" s="172"/>
      <x:c r="H18" s="172"/>
      <x:c r="I18" s="172"/>
      <x:c r="J18" s="172"/>
    </x:row>
    <x:row r="19" ht="23" customHeight="1">
      <x:c r="A19" s="172"/>
      <x:c r="B19" s="172"/>
      <x:c r="C19" s="172"/>
      <x:c r="D19" s="172"/>
      <x:c r="E19" s="172"/>
      <x:c r="F19" s="172"/>
      <x:c r="G19" s="172"/>
      <x:c r="H19" s="172"/>
      <x:c r="I19" s="172"/>
      <x:c r="J19" s="172"/>
    </x:row>
    <x:row r="20" ht="23" customHeight="1">
      <x:c r="A20" s="172"/>
      <x:c r="B20" s="172"/>
      <x:c r="C20" s="172"/>
      <x:c r="D20" s="172"/>
      <x:c r="E20" s="172"/>
      <x:c r="F20" s="172"/>
      <x:c r="G20" s="172"/>
      <x:c r="H20" s="172"/>
      <x:c r="I20" s="172"/>
      <x:c r="J20" s="172"/>
    </x:row>
    <x:row r="21" ht="23" customHeight="1">
      <x:c r="A21" s="172"/>
      <x:c r="B21" s="172"/>
      <x:c r="C21" s="172"/>
      <x:c r="D21" s="172"/>
      <x:c r="E21" s="172"/>
      <x:c r="F21" s="172"/>
      <x:c r="G21" s="172"/>
      <x:c r="H21" s="172"/>
      <x:c r="I21" s="172"/>
      <x:c r="J21" s="172"/>
    </x:row>
    <x:row r="22" ht="23" customHeight="1">
      <x:c r="A22" s="172"/>
      <x:c r="B22" s="172"/>
      <x:c r="C22" s="172"/>
      <x:c r="D22" s="172"/>
      <x:c r="E22" s="172"/>
      <x:c r="F22" s="172"/>
      <x:c r="G22" s="172"/>
      <x:c r="H22" s="172"/>
      <x:c r="I22" s="172"/>
      <x:c r="J22" s="172"/>
    </x:row>
    <x:row r="23" ht="23" customHeight="1">
      <x:c r="A23" s="172"/>
      <x:c r="B23" s="172"/>
      <x:c r="C23" s="172"/>
      <x:c r="D23" s="172"/>
      <x:c r="E23" s="172"/>
      <x:c r="F23" s="172"/>
      <x:c r="G23" s="172"/>
      <x:c r="H23" s="172"/>
      <x:c r="I23" s="172"/>
      <x:c r="J23" s="172"/>
    </x:row>
    <x:row r="24" ht="23" customHeight="1">
      <x:c r="A24" s="172"/>
      <x:c r="B24" s="172"/>
      <x:c r="C24" s="172"/>
      <x:c r="D24" s="172"/>
      <x:c r="E24" s="172"/>
      <x:c r="F24" s="172"/>
      <x:c r="G24" s="172"/>
      <x:c r="H24" s="172"/>
      <x:c r="I24" s="172"/>
      <x:c r="J24" s="172"/>
    </x:row>
    <x:row r="25" ht="23" customHeight="1">
      <x:c r="A25" s="172"/>
      <x:c r="B25" s="172"/>
      <x:c r="C25" s="172"/>
      <x:c r="D25" s="172"/>
      <x:c r="E25" s="172"/>
      <x:c r="F25" s="172"/>
      <x:c r="G25" s="172"/>
      <x:c r="H25" s="172"/>
      <x:c r="I25" s="172"/>
      <x:c r="J25" s="172"/>
    </x:row>
    <x:row r="26" ht="23" customHeight="1">
      <x:c r="A26" s="172"/>
      <x:c r="B26" s="172"/>
      <x:c r="C26" s="172"/>
      <x:c r="D26" s="172"/>
      <x:c r="E26" s="172"/>
      <x:c r="F26" s="172"/>
      <x:c r="G26" s="172"/>
      <x:c r="H26" s="172"/>
      <x:c r="I26" s="172"/>
      <x:c r="J26" s="172"/>
    </x:row>
    <x:row r="27" ht="23" customHeight="1">
      <x:c r="A27" s="172"/>
      <x:c r="B27" s="172"/>
      <x:c r="C27" s="172"/>
      <x:c r="D27" s="172"/>
      <x:c r="E27" s="172"/>
      <x:c r="F27" s="172"/>
      <x:c r="G27" s="172"/>
      <x:c r="H27" s="172"/>
      <x:c r="I27" s="172"/>
      <x:c r="J27" s="172"/>
    </x:row>
    <x:row r="28" ht="23" customHeight="1">
      <x:c r="A28" s="172"/>
      <x:c r="B28" s="172"/>
      <x:c r="C28" s="172"/>
      <x:c r="D28" s="172"/>
      <x:c r="E28" s="172"/>
      <x:c r="F28" s="172"/>
      <x:c r="G28" s="172"/>
      <x:c r="H28" s="172"/>
      <x:c r="I28" s="172"/>
      <x:c r="J28" s="172"/>
    </x:row>
    <x:row r="29" ht="23" customHeight="1">
      <x:c r="A29" s="172"/>
      <x:c r="B29" s="172"/>
      <x:c r="C29" s="172"/>
      <x:c r="D29" s="172"/>
      <x:c r="E29" s="172"/>
      <x:c r="F29" s="172"/>
      <x:c r="G29" s="172"/>
      <x:c r="H29" s="172"/>
      <x:c r="I29" s="172"/>
      <x:c r="J29" s="172"/>
    </x:row>
    <x:row r="30" ht="23" customHeight="1">
      <x:c r="A30" s="172"/>
      <x:c r="B30" s="172"/>
      <x:c r="C30" s="172"/>
      <x:c r="D30" s="172"/>
      <x:c r="E30" s="172"/>
      <x:c r="F30" s="172"/>
      <x:c r="G30" s="172"/>
      <x:c r="H30" s="172"/>
      <x:c r="I30" s="172"/>
      <x:c r="J30" s="172"/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sheetData>
    <x:row r="1" ht="18" customHeight="1">
      <x:c r="A1" s="155" t="str">
        <x:v>LEAGUE SUMMARY</x:v>
      </x:c>
      <x:c r="B1" s="155"/>
      <x:c r="C1" s="155"/>
      <x:c r="D1" s="155"/>
      <x:c r="E1" s="155"/>
      <x:c r="F1" s="155"/>
      <x:c r="G1" s="155"/>
      <x:c r="H1" s="155"/>
    </x:row>
    <x:row r="2">
      <x:c r="A2" s="158" t="str">
        <x:v>Enter leagues in column A. Threshold changes require stable effects across multiple leagues.</x:v>
      </x:c>
      <x:c r="B2" s="158"/>
      <x:c r="C2" s="158"/>
      <x:c r="D2" s="158"/>
      <x:c r="E2" s="158"/>
      <x:c r="F2" s="158"/>
      <x:c r="G2" s="158"/>
      <x:c r="H2" s="158"/>
    </x:row>
    <x:row r="3" ht="30" customHeight="1">
      <x:c r="A3" s="164" t="str">
        <x:v>League</x:v>
      </x:c>
      <x:c r="B3" s="164" t="str">
        <x:v>N</x:v>
      </x:c>
      <x:c r="C3" s="164" t="str">
        <x:v>Wins</x:v>
      </x:c>
      <x:c r="D3" s="164" t="str">
        <x:v>Hit Rate</x:v>
      </x:c>
      <x:c r="E3" s="164" t="str">
        <x:v>Mean P</x:v>
      </x:c>
      <x:c r="F3" s="164" t="str">
        <x:v>Calibration Gap</x:v>
      </x:c>
      <x:c r="G3" s="164" t="str">
        <x:v>Brier</x:v>
      </x:c>
      <x:c r="H3" s="164" t="str">
        <x:v>Stability</x:v>
      </x:c>
    </x:row>
    <x:row r="4">
      <x:c r="A4" s="8"/>
      <x:c r="B4" s="8" t="str">
        <x:f>IF(A4="","",COUNTIFS(Settlement!$C$4:$C$203,A4,Settlement!$X$4:$X$203,"SETTLED"))</x:f>
      </x:c>
      <x:c r="C4" s="8" t="str">
        <x:f>IF(A4="","",IFERROR(SUMIFS(Settlement!$J$4:$J$203,Settlement!$C$4:$C$203,A4,Settlement!$X$4:$X$203,"SETTLED"),""))</x:f>
      </x:c>
      <x:c r="D4" s="8" t="str">
        <x:f>IFERROR(C4/B4,"")</x:f>
      </x:c>
      <x:c r="E4" s="8" t="str">
        <x:f>IF(A4="","",IFERROR(SUMIFS(Settlement!$I$4:$I$203,Settlement!$C$4:$C$203,A4,Settlement!$X$4:$X$203,"SETTLED")/B4,""))</x:f>
      </x:c>
      <x:c r="F4" s="8" t="str">
        <x:f>IF(OR(D4="",E4=""),"",E4-D4)</x:f>
      </x:c>
      <x:c r="G4" s="8" t="str">
        <x:f>IF(A4="","",IFERROR(SUMIFS(Settlement!$R$4:$R$203,Settlement!$C$4:$C$203,A4,Settlement!$X$4:$X$203,"SETTLED")/B4,""))</x:f>
      </x:c>
      <x:c r="H4" s="8" t="str">
        <x:f>IF(A4="","",IF(B4&lt;10,"LOW N",IF(ABS(F4)&lt;=0.05,"STABLE","WATCH")))</x:f>
      </x:c>
    </x:row>
    <x:row r="5">
      <x:c r="A5" s="8"/>
      <x:c r="B5" s="8" t="str">
        <x:f>IF(A5="","",COUNTIFS(Settlement!$C$4:$C$203,A5,Settlement!$X$4:$X$203,"SETTLED"))</x:f>
      </x:c>
      <x:c r="C5" s="8" t="str">
        <x:f>IF(A5="","",IFERROR(SUMIFS(Settlement!$J$4:$J$203,Settlement!$C$4:$C$203,A5,Settlement!$X$4:$X$203,"SETTLED"),""))</x:f>
      </x:c>
      <x:c r="D5" s="8" t="str">
        <x:f>IFERROR(C5/B5,"")</x:f>
      </x:c>
      <x:c r="E5" s="8" t="str">
        <x:f>IF(A5="","",IFERROR(SUMIFS(Settlement!$I$4:$I$203,Settlement!$C$4:$C$203,A5,Settlement!$X$4:$X$203,"SETTLED")/B5,""))</x:f>
      </x:c>
      <x:c r="F5" s="8" t="str">
        <x:f>IF(OR(D5="",E5=""),"",E5-D5)</x:f>
      </x:c>
      <x:c r="G5" s="8" t="str">
        <x:f>IF(A5="","",IFERROR(SUMIFS(Settlement!$R$4:$R$203,Settlement!$C$4:$C$203,A5,Settlement!$X$4:$X$203,"SETTLED")/B5,""))</x:f>
      </x:c>
      <x:c r="H5" s="8" t="str">
        <x:f>IF(A5="","",IF(B5&lt;10,"LOW N",IF(ABS(F5)&lt;=0.05,"STABLE","WATCH")))</x:f>
      </x:c>
    </x:row>
    <x:row r="6">
      <x:c r="A6" s="8"/>
      <x:c r="B6" s="8" t="str">
        <x:f>IF(A6="","",COUNTIFS(Settlement!$C$4:$C$203,A6,Settlement!$X$4:$X$203,"SETTLED"))</x:f>
      </x:c>
      <x:c r="C6" s="8" t="str">
        <x:f>IF(A6="","",IFERROR(SUMIFS(Settlement!$J$4:$J$203,Settlement!$C$4:$C$203,A6,Settlement!$X$4:$X$203,"SETTLED"),""))</x:f>
      </x:c>
      <x:c r="D6" s="8" t="str">
        <x:f>IFERROR(C6/B6,"")</x:f>
      </x:c>
      <x:c r="E6" s="8" t="str">
        <x:f>IF(A6="","",IFERROR(SUMIFS(Settlement!$I$4:$I$203,Settlement!$C$4:$C$203,A6,Settlement!$X$4:$X$203,"SETTLED")/B6,""))</x:f>
      </x:c>
      <x:c r="F6" s="8" t="str">
        <x:f>IF(OR(D6="",E6=""),"",E6-D6)</x:f>
      </x:c>
      <x:c r="G6" s="8" t="str">
        <x:f>IF(A6="","",IFERROR(SUMIFS(Settlement!$R$4:$R$203,Settlement!$C$4:$C$203,A6,Settlement!$X$4:$X$203,"SETTLED")/B6,""))</x:f>
      </x:c>
      <x:c r="H6" s="8" t="str">
        <x:f>IF(A6="","",IF(B6&lt;10,"LOW N",IF(ABS(F6)&lt;=0.05,"STABLE","WATCH")))</x:f>
      </x:c>
    </x:row>
    <x:row r="7">
      <x:c r="A7" s="8"/>
      <x:c r="B7" s="8" t="str">
        <x:f>IF(A7="","",COUNTIFS(Settlement!$C$4:$C$203,A7,Settlement!$X$4:$X$203,"SETTLED"))</x:f>
      </x:c>
      <x:c r="C7" s="8" t="str">
        <x:f>IF(A7="","",IFERROR(SUMIFS(Settlement!$J$4:$J$203,Settlement!$C$4:$C$203,A7,Settlement!$X$4:$X$203,"SETTLED"),""))</x:f>
      </x:c>
      <x:c r="D7" s="8" t="str">
        <x:f>IFERROR(C7/B7,"")</x:f>
      </x:c>
      <x:c r="E7" s="8" t="str">
        <x:f>IF(A7="","",IFERROR(SUMIFS(Settlement!$I$4:$I$203,Settlement!$C$4:$C$203,A7,Settlement!$X$4:$X$203,"SETTLED")/B7,""))</x:f>
      </x:c>
      <x:c r="F7" s="8" t="str">
        <x:f>IF(OR(D7="",E7=""),"",E7-D7)</x:f>
      </x:c>
      <x:c r="G7" s="8" t="str">
        <x:f>IF(A7="","",IFERROR(SUMIFS(Settlement!$R$4:$R$203,Settlement!$C$4:$C$203,A7,Settlement!$X$4:$X$203,"SETTLED")/B7,""))</x:f>
      </x:c>
      <x:c r="H7" s="8" t="str">
        <x:f>IF(A7="","",IF(B7&lt;10,"LOW N",IF(ABS(F7)&lt;=0.05,"STABLE","WATCH")))</x:f>
      </x:c>
    </x:row>
    <x:row r="8">
      <x:c r="A8" s="8"/>
      <x:c r="B8" s="8" t="str">
        <x:f>IF(A8="","",COUNTIFS(Settlement!$C$4:$C$203,A8,Settlement!$X$4:$X$203,"SETTLED"))</x:f>
      </x:c>
      <x:c r="C8" s="8" t="str">
        <x:f>IF(A8="","",IFERROR(SUMIFS(Settlement!$J$4:$J$203,Settlement!$C$4:$C$203,A8,Settlement!$X$4:$X$203,"SETTLED"),""))</x:f>
      </x:c>
      <x:c r="D8" s="8" t="str">
        <x:f>IFERROR(C8/B8,"")</x:f>
      </x:c>
      <x:c r="E8" s="8" t="str">
        <x:f>IF(A8="","",IFERROR(SUMIFS(Settlement!$I$4:$I$203,Settlement!$C$4:$C$203,A8,Settlement!$X$4:$X$203,"SETTLED")/B8,""))</x:f>
      </x:c>
      <x:c r="F8" s="8" t="str">
        <x:f>IF(OR(D8="",E8=""),"",E8-D8)</x:f>
      </x:c>
      <x:c r="G8" s="8" t="str">
        <x:f>IF(A8="","",IFERROR(SUMIFS(Settlement!$R$4:$R$203,Settlement!$C$4:$C$203,A8,Settlement!$X$4:$X$203,"SETTLED")/B8,""))</x:f>
      </x:c>
      <x:c r="H8" s="8" t="str">
        <x:f>IF(A8="","",IF(B8&lt;10,"LOW N",IF(ABS(F8)&lt;=0.05,"STABLE","WATCH")))</x:f>
      </x:c>
    </x:row>
    <x:row r="9">
      <x:c r="A9" s="8"/>
      <x:c r="B9" s="8" t="str">
        <x:f>IF(A9="","",COUNTIFS(Settlement!$C$4:$C$203,A9,Settlement!$X$4:$X$203,"SETTLED"))</x:f>
      </x:c>
      <x:c r="C9" s="8" t="str">
        <x:f>IF(A9="","",IFERROR(SUMIFS(Settlement!$J$4:$J$203,Settlement!$C$4:$C$203,A9,Settlement!$X$4:$X$203,"SETTLED"),""))</x:f>
      </x:c>
      <x:c r="D9" s="8" t="str">
        <x:f>IFERROR(C9/B9,"")</x:f>
      </x:c>
      <x:c r="E9" s="8" t="str">
        <x:f>IF(A9="","",IFERROR(SUMIFS(Settlement!$I$4:$I$203,Settlement!$C$4:$C$203,A9,Settlement!$X$4:$X$203,"SETTLED")/B9,""))</x:f>
      </x:c>
      <x:c r="F9" s="8" t="str">
        <x:f>IF(OR(D9="",E9=""),"",E9-D9)</x:f>
      </x:c>
      <x:c r="G9" s="8" t="str">
        <x:f>IF(A9="","",IFERROR(SUMIFS(Settlement!$R$4:$R$203,Settlement!$C$4:$C$203,A9,Settlement!$X$4:$X$203,"SETTLED")/B9,""))</x:f>
      </x:c>
      <x:c r="H9" s="8" t="str">
        <x:f>IF(A9="","",IF(B9&lt;10,"LOW N",IF(ABS(F9)&lt;=0.05,"STABLE","WATCH")))</x:f>
      </x:c>
    </x:row>
    <x:row r="10">
      <x:c r="A10" s="8"/>
      <x:c r="B10" s="8" t="str">
        <x:f>IF(A10="","",COUNTIFS(Settlement!$C$4:$C$203,A10,Settlement!$X$4:$X$203,"SETTLED"))</x:f>
      </x:c>
      <x:c r="C10" s="8" t="str">
        <x:f>IF(A10="","",IFERROR(SUMIFS(Settlement!$J$4:$J$203,Settlement!$C$4:$C$203,A10,Settlement!$X$4:$X$203,"SETTLED"),""))</x:f>
      </x:c>
      <x:c r="D10" s="8" t="str">
        <x:f>IFERROR(C10/B10,"")</x:f>
      </x:c>
      <x:c r="E10" s="8" t="str">
        <x:f>IF(A10="","",IFERROR(SUMIFS(Settlement!$I$4:$I$203,Settlement!$C$4:$C$203,A10,Settlement!$X$4:$X$203,"SETTLED")/B10,""))</x:f>
      </x:c>
      <x:c r="F10" s="8" t="str">
        <x:f>IF(OR(D10="",E10=""),"",E10-D10)</x:f>
      </x:c>
      <x:c r="G10" s="8" t="str">
        <x:f>IF(A10="","",IFERROR(SUMIFS(Settlement!$R$4:$R$203,Settlement!$C$4:$C$203,A10,Settlement!$X$4:$X$203,"SETTLED")/B10,""))</x:f>
      </x:c>
      <x:c r="H10" s="8" t="str">
        <x:f>IF(A10="","",IF(B10&lt;10,"LOW N",IF(ABS(F10)&lt;=0.05,"STABLE","WATCH")))</x:f>
      </x:c>
    </x:row>
    <x:row r="11">
      <x:c r="A11" s="8"/>
      <x:c r="B11" s="8" t="str">
        <x:f>IF(A11="","",COUNTIFS(Settlement!$C$4:$C$203,A11,Settlement!$X$4:$X$203,"SETTLED"))</x:f>
      </x:c>
      <x:c r="C11" s="8" t="str">
        <x:f>IF(A11="","",IFERROR(SUMIFS(Settlement!$J$4:$J$203,Settlement!$C$4:$C$203,A11,Settlement!$X$4:$X$203,"SETTLED"),""))</x:f>
      </x:c>
      <x:c r="D11" s="8" t="str">
        <x:f>IFERROR(C11/B11,"")</x:f>
      </x:c>
      <x:c r="E11" s="8" t="str">
        <x:f>IF(A11="","",IFERROR(SUMIFS(Settlement!$I$4:$I$203,Settlement!$C$4:$C$203,A11,Settlement!$X$4:$X$203,"SETTLED")/B11,""))</x:f>
      </x:c>
      <x:c r="F11" s="8" t="str">
        <x:f>IF(OR(D11="",E11=""),"",E11-D11)</x:f>
      </x:c>
      <x:c r="G11" s="8" t="str">
        <x:f>IF(A11="","",IFERROR(SUMIFS(Settlement!$R$4:$R$203,Settlement!$C$4:$C$203,A11,Settlement!$X$4:$X$203,"SETTLED")/B11,""))</x:f>
      </x:c>
      <x:c r="H11" s="8" t="str">
        <x:f>IF(A11="","",IF(B11&lt;10,"LOW N",IF(ABS(F11)&lt;=0.05,"STABLE","WATCH")))</x:f>
      </x:c>
    </x:row>
    <x:row r="12">
      <x:c r="A12" s="8"/>
      <x:c r="B12" s="8" t="str">
        <x:f>IF(A12="","",COUNTIFS(Settlement!$C$4:$C$203,A12,Settlement!$X$4:$X$203,"SETTLED"))</x:f>
      </x:c>
      <x:c r="C12" s="8" t="str">
        <x:f>IF(A12="","",IFERROR(SUMIFS(Settlement!$J$4:$J$203,Settlement!$C$4:$C$203,A12,Settlement!$X$4:$X$203,"SETTLED"),""))</x:f>
      </x:c>
      <x:c r="D12" s="8" t="str">
        <x:f>IFERROR(C12/B12,"")</x:f>
      </x:c>
      <x:c r="E12" s="8" t="str">
        <x:f>IF(A12="","",IFERROR(SUMIFS(Settlement!$I$4:$I$203,Settlement!$C$4:$C$203,A12,Settlement!$X$4:$X$203,"SETTLED")/B12,""))</x:f>
      </x:c>
      <x:c r="F12" s="8" t="str">
        <x:f>IF(OR(D12="",E12=""),"",E12-D12)</x:f>
      </x:c>
      <x:c r="G12" s="8" t="str">
        <x:f>IF(A12="","",IFERROR(SUMIFS(Settlement!$R$4:$R$203,Settlement!$C$4:$C$203,A12,Settlement!$X$4:$X$203,"SETTLED")/B12,""))</x:f>
      </x:c>
      <x:c r="H12" s="8" t="str">
        <x:f>IF(A12="","",IF(B12&lt;10,"LOW N",IF(ABS(F12)&lt;=0.05,"STABLE","WATCH")))</x:f>
      </x:c>
    </x:row>
    <x:row r="13">
      <x:c r="A13" s="8"/>
      <x:c r="B13" s="8" t="str">
        <x:f>IF(A13="","",COUNTIFS(Settlement!$C$4:$C$203,A13,Settlement!$X$4:$X$203,"SETTLED"))</x:f>
      </x:c>
      <x:c r="C13" s="8" t="str">
        <x:f>IF(A13="","",IFERROR(SUMIFS(Settlement!$J$4:$J$203,Settlement!$C$4:$C$203,A13,Settlement!$X$4:$X$203,"SETTLED"),""))</x:f>
      </x:c>
      <x:c r="D13" s="8" t="str">
        <x:f>IFERROR(C13/B13,"")</x:f>
      </x:c>
      <x:c r="E13" s="8" t="str">
        <x:f>IF(A13="","",IFERROR(SUMIFS(Settlement!$I$4:$I$203,Settlement!$C$4:$C$203,A13,Settlement!$X$4:$X$203,"SETTLED")/B13,""))</x:f>
      </x:c>
      <x:c r="F13" s="8" t="str">
        <x:f>IF(OR(D13="",E13=""),"",E13-D13)</x:f>
      </x:c>
      <x:c r="G13" s="8" t="str">
        <x:f>IF(A13="","",IFERROR(SUMIFS(Settlement!$R$4:$R$203,Settlement!$C$4:$C$203,A13,Settlement!$X$4:$X$203,"SETTLED")/B13,""))</x:f>
      </x:c>
      <x:c r="H13" s="8" t="str">
        <x:f>IF(A13="","",IF(B13&lt;10,"LOW N",IF(ABS(F13)&lt;=0.05,"STABLE","WATCH")))</x:f>
      </x:c>
    </x:row>
    <x:row r="14">
      <x:c r="A14" s="8"/>
      <x:c r="B14" s="8" t="str">
        <x:f>IF(A14="","",COUNTIFS(Settlement!$C$4:$C$203,A14,Settlement!$X$4:$X$203,"SETTLED"))</x:f>
      </x:c>
      <x:c r="C14" s="8" t="str">
        <x:f>IF(A14="","",IFERROR(SUMIFS(Settlement!$J$4:$J$203,Settlement!$C$4:$C$203,A14,Settlement!$X$4:$X$203,"SETTLED"),""))</x:f>
      </x:c>
      <x:c r="D14" s="8" t="str">
        <x:f>IFERROR(C14/B14,"")</x:f>
      </x:c>
      <x:c r="E14" s="8" t="str">
        <x:f>IF(A14="","",IFERROR(SUMIFS(Settlement!$I$4:$I$203,Settlement!$C$4:$C$203,A14,Settlement!$X$4:$X$203,"SETTLED")/B14,""))</x:f>
      </x:c>
      <x:c r="F14" s="8" t="str">
        <x:f>IF(OR(D14="",E14=""),"",E14-D14)</x:f>
      </x:c>
      <x:c r="G14" s="8" t="str">
        <x:f>IF(A14="","",IFERROR(SUMIFS(Settlement!$R$4:$R$203,Settlement!$C$4:$C$203,A14,Settlement!$X$4:$X$203,"SETTLED")/B14,""))</x:f>
      </x:c>
      <x:c r="H14" s="8" t="str">
        <x:f>IF(A14="","",IF(B14&lt;10,"LOW N",IF(ABS(F14)&lt;=0.05,"STABLE","WATCH")))</x:f>
      </x:c>
    </x:row>
    <x:row r="15">
      <x:c r="A15" s="8"/>
      <x:c r="B15" s="8" t="str">
        <x:f>IF(A15="","",COUNTIFS(Settlement!$C$4:$C$203,A15,Settlement!$X$4:$X$203,"SETTLED"))</x:f>
      </x:c>
      <x:c r="C15" s="8" t="str">
        <x:f>IF(A15="","",IFERROR(SUMIFS(Settlement!$J$4:$J$203,Settlement!$C$4:$C$203,A15,Settlement!$X$4:$X$203,"SETTLED"),""))</x:f>
      </x:c>
      <x:c r="D15" s="8" t="str">
        <x:f>IFERROR(C15/B15,"")</x:f>
      </x:c>
      <x:c r="E15" s="8" t="str">
        <x:f>IF(A15="","",IFERROR(SUMIFS(Settlement!$I$4:$I$203,Settlement!$C$4:$C$203,A15,Settlement!$X$4:$X$203,"SETTLED")/B15,""))</x:f>
      </x:c>
      <x:c r="F15" s="8" t="str">
        <x:f>IF(OR(D15="",E15=""),"",E15-D15)</x:f>
      </x:c>
      <x:c r="G15" s="8" t="str">
        <x:f>IF(A15="","",IFERROR(SUMIFS(Settlement!$R$4:$R$203,Settlement!$C$4:$C$203,A15,Settlement!$X$4:$X$203,"SETTLED")/B15,""))</x:f>
      </x:c>
      <x:c r="H15" s="8" t="str">
        <x:f>IF(A15="","",IF(B15&lt;10,"LOW N",IF(ABS(F15)&lt;=0.05,"STABLE","WATCH")))</x:f>
      </x:c>
    </x:row>
    <x:row r="16">
      <x:c r="A16" s="8"/>
      <x:c r="B16" s="8" t="str">
        <x:f>IF(A16="","",COUNTIFS(Settlement!$C$4:$C$203,A16,Settlement!$X$4:$X$203,"SETTLED"))</x:f>
      </x:c>
      <x:c r="C16" s="8" t="str">
        <x:f>IF(A16="","",IFERROR(SUMIFS(Settlement!$J$4:$J$203,Settlement!$C$4:$C$203,A16,Settlement!$X$4:$X$203,"SETTLED"),""))</x:f>
      </x:c>
      <x:c r="D16" s="8" t="str">
        <x:f>IFERROR(C16/B16,"")</x:f>
      </x:c>
      <x:c r="E16" s="8" t="str">
        <x:f>IF(A16="","",IFERROR(SUMIFS(Settlement!$I$4:$I$203,Settlement!$C$4:$C$203,A16,Settlement!$X$4:$X$203,"SETTLED")/B16,""))</x:f>
      </x:c>
      <x:c r="F16" s="8" t="str">
        <x:f>IF(OR(D16="",E16=""),"",E16-D16)</x:f>
      </x:c>
      <x:c r="G16" s="8" t="str">
        <x:f>IF(A16="","",IFERROR(SUMIFS(Settlement!$R$4:$R$203,Settlement!$C$4:$C$203,A16,Settlement!$X$4:$X$203,"SETTLED")/B16,""))</x:f>
      </x:c>
      <x:c r="H16" s="8" t="str">
        <x:f>IF(A16="","",IF(B16&lt;10,"LOW N",IF(ABS(F16)&lt;=0.05,"STABLE","WATCH")))</x:f>
      </x:c>
    </x:row>
    <x:row r="17">
      <x:c r="A17" s="8"/>
      <x:c r="B17" s="8" t="str">
        <x:f>IF(A17="","",COUNTIFS(Settlement!$C$4:$C$203,A17,Settlement!$X$4:$X$203,"SETTLED"))</x:f>
      </x:c>
      <x:c r="C17" s="8" t="str">
        <x:f>IF(A17="","",IFERROR(SUMIFS(Settlement!$J$4:$J$203,Settlement!$C$4:$C$203,A17,Settlement!$X$4:$X$203,"SETTLED"),""))</x:f>
      </x:c>
      <x:c r="D17" s="8" t="str">
        <x:f>IFERROR(C17/B17,"")</x:f>
      </x:c>
      <x:c r="E17" s="8" t="str">
        <x:f>IF(A17="","",IFERROR(SUMIFS(Settlement!$I$4:$I$203,Settlement!$C$4:$C$203,A17,Settlement!$X$4:$X$203,"SETTLED")/B17,""))</x:f>
      </x:c>
      <x:c r="F17" s="8" t="str">
        <x:f>IF(OR(D17="",E17=""),"",E17-D17)</x:f>
      </x:c>
      <x:c r="G17" s="8" t="str">
        <x:f>IF(A17="","",IFERROR(SUMIFS(Settlement!$R$4:$R$203,Settlement!$C$4:$C$203,A17,Settlement!$X$4:$X$203,"SETTLED")/B17,""))</x:f>
      </x:c>
      <x:c r="H17" s="8" t="str">
        <x:f>IF(A17="","",IF(B17&lt;10,"LOW N",IF(ABS(F17)&lt;=0.05,"STABLE","WATCH")))</x:f>
      </x:c>
    </x:row>
    <x:row r="18">
      <x:c r="A18" s="8"/>
      <x:c r="B18" s="8" t="str">
        <x:f>IF(A18="","",COUNTIFS(Settlement!$C$4:$C$203,A18,Settlement!$X$4:$X$203,"SETTLED"))</x:f>
      </x:c>
      <x:c r="C18" s="8" t="str">
        <x:f>IF(A18="","",IFERROR(SUMIFS(Settlement!$J$4:$J$203,Settlement!$C$4:$C$203,A18,Settlement!$X$4:$X$203,"SETTLED"),""))</x:f>
      </x:c>
      <x:c r="D18" s="8" t="str">
        <x:f>IFERROR(C18/B18,"")</x:f>
      </x:c>
      <x:c r="E18" s="8" t="str">
        <x:f>IF(A18="","",IFERROR(SUMIFS(Settlement!$I$4:$I$203,Settlement!$C$4:$C$203,A18,Settlement!$X$4:$X$203,"SETTLED")/B18,""))</x:f>
      </x:c>
      <x:c r="F18" s="8" t="str">
        <x:f>IF(OR(D18="",E18=""),"",E18-D18)</x:f>
      </x:c>
      <x:c r="G18" s="8" t="str">
        <x:f>IF(A18="","",IFERROR(SUMIFS(Settlement!$R$4:$R$203,Settlement!$C$4:$C$203,A18,Settlement!$X$4:$X$203,"SETTLED")/B18,""))</x:f>
      </x:c>
      <x:c r="H18" s="8" t="str">
        <x:f>IF(A18="","",IF(B18&lt;10,"LOW N",IF(ABS(F18)&lt;=0.05,"STABLE","WATCH")))</x:f>
      </x:c>
    </x:row>
    <x:row r="19">
      <x:c r="A19" s="8"/>
      <x:c r="B19" s="8" t="str">
        <x:f>IF(A19="","",COUNTIFS(Settlement!$C$4:$C$203,A19,Settlement!$X$4:$X$203,"SETTLED"))</x:f>
      </x:c>
      <x:c r="C19" s="8" t="str">
        <x:f>IF(A19="","",IFERROR(SUMIFS(Settlement!$J$4:$J$203,Settlement!$C$4:$C$203,A19,Settlement!$X$4:$X$203,"SETTLED"),""))</x:f>
      </x:c>
      <x:c r="D19" s="8" t="str">
        <x:f>IFERROR(C19/B19,"")</x:f>
      </x:c>
      <x:c r="E19" s="8" t="str">
        <x:f>IF(A19="","",IFERROR(SUMIFS(Settlement!$I$4:$I$203,Settlement!$C$4:$C$203,A19,Settlement!$X$4:$X$203,"SETTLED")/B19,""))</x:f>
      </x:c>
      <x:c r="F19" s="8" t="str">
        <x:f>IF(OR(D19="",E19=""),"",E19-D19)</x:f>
      </x:c>
      <x:c r="G19" s="8" t="str">
        <x:f>IF(A19="","",IFERROR(SUMIFS(Settlement!$R$4:$R$203,Settlement!$C$4:$C$203,A19,Settlement!$X$4:$X$203,"SETTLED")/B19,""))</x:f>
      </x:c>
      <x:c r="H19" s="8" t="str">
        <x:f>IF(A19="","",IF(B19&lt;10,"LOW N",IF(ABS(F19)&lt;=0.05,"STABLE","WATCH")))</x:f>
      </x:c>
    </x:row>
    <x:row r="20">
      <x:c r="A20" s="8"/>
      <x:c r="B20" s="8" t="str">
        <x:f>IF(A20="","",COUNTIFS(Settlement!$C$4:$C$203,A20,Settlement!$X$4:$X$203,"SETTLED"))</x:f>
      </x:c>
      <x:c r="C20" s="8" t="str">
        <x:f>IF(A20="","",IFERROR(SUMIFS(Settlement!$J$4:$J$203,Settlement!$C$4:$C$203,A20,Settlement!$X$4:$X$203,"SETTLED"),""))</x:f>
      </x:c>
      <x:c r="D20" s="8" t="str">
        <x:f>IFERROR(C20/B20,"")</x:f>
      </x:c>
      <x:c r="E20" s="8" t="str">
        <x:f>IF(A20="","",IFERROR(SUMIFS(Settlement!$I$4:$I$203,Settlement!$C$4:$C$203,A20,Settlement!$X$4:$X$203,"SETTLED")/B20,""))</x:f>
      </x:c>
      <x:c r="F20" s="8" t="str">
        <x:f>IF(OR(D20="",E20=""),"",E20-D20)</x:f>
      </x:c>
      <x:c r="G20" s="8" t="str">
        <x:f>IF(A20="","",IFERROR(SUMIFS(Settlement!$R$4:$R$203,Settlement!$C$4:$C$203,A20,Settlement!$X$4:$X$203,"SETTLED")/B20,""))</x:f>
      </x:c>
      <x:c r="H20" s="8" t="str">
        <x:f>IF(A20="","",IF(B20&lt;10,"LOW N",IF(ABS(F20)&lt;=0.05,"STABLE","WATCH")))</x:f>
      </x:c>
    </x:row>
    <x:row r="21">
      <x:c r="A21" s="8"/>
      <x:c r="B21" s="8" t="str">
        <x:f>IF(A21="","",COUNTIFS(Settlement!$C$4:$C$203,A21,Settlement!$X$4:$X$203,"SETTLED"))</x:f>
      </x:c>
      <x:c r="C21" s="8" t="str">
        <x:f>IF(A21="","",IFERROR(SUMIFS(Settlement!$J$4:$J$203,Settlement!$C$4:$C$203,A21,Settlement!$X$4:$X$203,"SETTLED"),""))</x:f>
      </x:c>
      <x:c r="D21" s="8" t="str">
        <x:f>IFERROR(C21/B21,"")</x:f>
      </x:c>
      <x:c r="E21" s="8" t="str">
        <x:f>IF(A21="","",IFERROR(SUMIFS(Settlement!$I$4:$I$203,Settlement!$C$4:$C$203,A21,Settlement!$X$4:$X$203,"SETTLED")/B21,""))</x:f>
      </x:c>
      <x:c r="F21" s="8" t="str">
        <x:f>IF(OR(D21="",E21=""),"",E21-D21)</x:f>
      </x:c>
      <x:c r="G21" s="8" t="str">
        <x:f>IF(A21="","",IFERROR(SUMIFS(Settlement!$R$4:$R$203,Settlement!$C$4:$C$203,A21,Settlement!$X$4:$X$203,"SETTLED")/B21,""))</x:f>
      </x:c>
      <x:c r="H21" s="8" t="str">
        <x:f>IF(A21="","",IF(B21&lt;10,"LOW N",IF(ABS(F21)&lt;=0.05,"STABLE","WATCH")))</x:f>
      </x:c>
    </x:row>
    <x:row r="22">
      <x:c r="A22" s="8"/>
      <x:c r="B22" s="8" t="str">
        <x:f>IF(A22="","",COUNTIFS(Settlement!$C$4:$C$203,A22,Settlement!$X$4:$X$203,"SETTLED"))</x:f>
      </x:c>
      <x:c r="C22" s="8" t="str">
        <x:f>IF(A22="","",IFERROR(SUMIFS(Settlement!$J$4:$J$203,Settlement!$C$4:$C$203,A22,Settlement!$X$4:$X$203,"SETTLED"),""))</x:f>
      </x:c>
      <x:c r="D22" s="8" t="str">
        <x:f>IFERROR(C22/B22,"")</x:f>
      </x:c>
      <x:c r="E22" s="8" t="str">
        <x:f>IF(A22="","",IFERROR(SUMIFS(Settlement!$I$4:$I$203,Settlement!$C$4:$C$203,A22,Settlement!$X$4:$X$203,"SETTLED")/B22,""))</x:f>
      </x:c>
      <x:c r="F22" s="8" t="str">
        <x:f>IF(OR(D22="",E22=""),"",E22-D22)</x:f>
      </x:c>
      <x:c r="G22" s="8" t="str">
        <x:f>IF(A22="","",IFERROR(SUMIFS(Settlement!$R$4:$R$203,Settlement!$C$4:$C$203,A22,Settlement!$X$4:$X$203,"SETTLED")/B22,""))</x:f>
      </x:c>
      <x:c r="H22" s="8" t="str">
        <x:f>IF(A22="","",IF(B22&lt;10,"LOW N",IF(ABS(F22)&lt;=0.05,"STABLE","WATCH")))</x:f>
      </x:c>
    </x:row>
    <x:row r="23">
      <x:c r="A23" s="8"/>
      <x:c r="B23" s="8" t="str">
        <x:f>IF(A23="","",COUNTIFS(Settlement!$C$4:$C$203,A23,Settlement!$X$4:$X$203,"SETTLED"))</x:f>
      </x:c>
      <x:c r="C23" s="8" t="str">
        <x:f>IF(A23="","",IFERROR(SUMIFS(Settlement!$J$4:$J$203,Settlement!$C$4:$C$203,A23,Settlement!$X$4:$X$203,"SETTLED"),""))</x:f>
      </x:c>
      <x:c r="D23" s="8" t="str">
        <x:f>IFERROR(C23/B23,"")</x:f>
      </x:c>
      <x:c r="E23" s="8" t="str">
        <x:f>IF(A23="","",IFERROR(SUMIFS(Settlement!$I$4:$I$203,Settlement!$C$4:$C$203,A23,Settlement!$X$4:$X$203,"SETTLED")/B23,""))</x:f>
      </x:c>
      <x:c r="F23" s="8" t="str">
        <x:f>IF(OR(D23="",E23=""),"",E23-D23)</x:f>
      </x:c>
      <x:c r="G23" s="8" t="str">
        <x:f>IF(A23="","",IFERROR(SUMIFS(Settlement!$R$4:$R$203,Settlement!$C$4:$C$203,A23,Settlement!$X$4:$X$203,"SETTLED")/B23,""))</x:f>
      </x:c>
      <x:c r="H23" s="8" t="str">
        <x:f>IF(A23="","",IF(B23&lt;10,"LOW N",IF(ABS(F23)&lt;=0.05,"STABLE","WATCH")))</x:f>
      </x:c>
    </x:row>
    <x:row r="24">
      <x:c r="A24" s="8"/>
      <x:c r="B24" s="8" t="str">
        <x:f>IF(A24="","",COUNTIFS(Settlement!$C$4:$C$203,A24,Settlement!$X$4:$X$203,"SETTLED"))</x:f>
      </x:c>
      <x:c r="C24" s="8" t="str">
        <x:f>IF(A24="","",IFERROR(SUMIFS(Settlement!$J$4:$J$203,Settlement!$C$4:$C$203,A24,Settlement!$X$4:$X$203,"SETTLED"),""))</x:f>
      </x:c>
      <x:c r="D24" s="8" t="str">
        <x:f>IFERROR(C24/B24,"")</x:f>
      </x:c>
      <x:c r="E24" s="8" t="str">
        <x:f>IF(A24="","",IFERROR(SUMIFS(Settlement!$I$4:$I$203,Settlement!$C$4:$C$203,A24,Settlement!$X$4:$X$203,"SETTLED")/B24,""))</x:f>
      </x:c>
      <x:c r="F24" s="8" t="str">
        <x:f>IF(OR(D24="",E24=""),"",E24-D24)</x:f>
      </x:c>
      <x:c r="G24" s="8" t="str">
        <x:f>IF(A24="","",IFERROR(SUMIFS(Settlement!$R$4:$R$203,Settlement!$C$4:$C$203,A24,Settlement!$X$4:$X$203,"SETTLED")/B24,""))</x:f>
      </x:c>
      <x:c r="H24" s="8" t="str">
        <x:f>IF(A24="","",IF(B24&lt;10,"LOW N",IF(ABS(F24)&lt;=0.05,"STABLE","WATCH")))</x:f>
      </x:c>
    </x:row>
    <x:row r="25">
      <x:c r="A25" s="8"/>
      <x:c r="B25" s="8" t="str">
        <x:f>IF(A25="","",COUNTIFS(Settlement!$C$4:$C$203,A25,Settlement!$X$4:$X$203,"SETTLED"))</x:f>
      </x:c>
      <x:c r="C25" s="8" t="str">
        <x:f>IF(A25="","",IFERROR(SUMIFS(Settlement!$J$4:$J$203,Settlement!$C$4:$C$203,A25,Settlement!$X$4:$X$203,"SETTLED"),""))</x:f>
      </x:c>
      <x:c r="D25" s="8" t="str">
        <x:f>IFERROR(C25/B25,"")</x:f>
      </x:c>
      <x:c r="E25" s="8" t="str">
        <x:f>IF(A25="","",IFERROR(SUMIFS(Settlement!$I$4:$I$203,Settlement!$C$4:$C$203,A25,Settlement!$X$4:$X$203,"SETTLED")/B25,""))</x:f>
      </x:c>
      <x:c r="F25" s="8" t="str">
        <x:f>IF(OR(D25="",E25=""),"",E25-D25)</x:f>
      </x:c>
      <x:c r="G25" s="8" t="str">
        <x:f>IF(A25="","",IFERROR(SUMIFS(Settlement!$R$4:$R$203,Settlement!$C$4:$C$203,A25,Settlement!$X$4:$X$203,"SETTLED")/B25,""))</x:f>
      </x:c>
      <x:c r="H25" s="8" t="str">
        <x:f>IF(A25="","",IF(B25&lt;10,"LOW N",IF(ABS(F25)&lt;=0.05,"STABLE","WATCH")))</x:f>
      </x:c>
    </x:row>
    <x:row r="26">
      <x:c r="A26" s="8"/>
      <x:c r="B26" s="8" t="str">
        <x:f>IF(A26="","",COUNTIFS(Settlement!$C$4:$C$203,A26,Settlement!$X$4:$X$203,"SETTLED"))</x:f>
      </x:c>
      <x:c r="C26" s="8" t="str">
        <x:f>IF(A26="","",IFERROR(SUMIFS(Settlement!$J$4:$J$203,Settlement!$C$4:$C$203,A26,Settlement!$X$4:$X$203,"SETTLED"),""))</x:f>
      </x:c>
      <x:c r="D26" s="8" t="str">
        <x:f>IFERROR(C26/B26,"")</x:f>
      </x:c>
      <x:c r="E26" s="8" t="str">
        <x:f>IF(A26="","",IFERROR(SUMIFS(Settlement!$I$4:$I$203,Settlement!$C$4:$C$203,A26,Settlement!$X$4:$X$203,"SETTLED")/B26,""))</x:f>
      </x:c>
      <x:c r="F26" s="8" t="str">
        <x:f>IF(OR(D26="",E26=""),"",E26-D26)</x:f>
      </x:c>
      <x:c r="G26" s="8" t="str">
        <x:f>IF(A26="","",IFERROR(SUMIFS(Settlement!$R$4:$R$203,Settlement!$C$4:$C$203,A26,Settlement!$X$4:$X$203,"SETTLED")/B26,""))</x:f>
      </x:c>
      <x:c r="H26" s="8" t="str">
        <x:f>IF(A26="","",IF(B26&lt;10,"LOW N",IF(ABS(F26)&lt;=0.05,"STABLE","WATCH")))</x:f>
      </x:c>
    </x:row>
    <x:row r="27">
      <x:c r="A27" s="8"/>
      <x:c r="B27" s="8" t="str">
        <x:f>IF(A27="","",COUNTIFS(Settlement!$C$4:$C$203,A27,Settlement!$X$4:$X$203,"SETTLED"))</x:f>
      </x:c>
      <x:c r="C27" s="8" t="str">
        <x:f>IF(A27="","",IFERROR(SUMIFS(Settlement!$J$4:$J$203,Settlement!$C$4:$C$203,A27,Settlement!$X$4:$X$203,"SETTLED"),""))</x:f>
      </x:c>
      <x:c r="D27" s="8" t="str">
        <x:f>IFERROR(C27/B27,"")</x:f>
      </x:c>
      <x:c r="E27" s="8" t="str">
        <x:f>IF(A27="","",IFERROR(SUMIFS(Settlement!$I$4:$I$203,Settlement!$C$4:$C$203,A27,Settlement!$X$4:$X$203,"SETTLED")/B27,""))</x:f>
      </x:c>
      <x:c r="F27" s="8" t="str">
        <x:f>IF(OR(D27="",E27=""),"",E27-D27)</x:f>
      </x:c>
      <x:c r="G27" s="8" t="str">
        <x:f>IF(A27="","",IFERROR(SUMIFS(Settlement!$R$4:$R$203,Settlement!$C$4:$C$203,A27,Settlement!$X$4:$X$203,"SETTLED")/B27,""))</x:f>
      </x:c>
      <x:c r="H27" s="8" t="str">
        <x:f>IF(A27="","",IF(B27&lt;10,"LOW N",IF(ABS(F27)&lt;=0.05,"STABLE","WATCH")))</x:f>
      </x:c>
    </x:row>
    <x:row r="28">
      <x:c r="A28" s="8"/>
      <x:c r="B28" s="8" t="str">
        <x:f>IF(A28="","",COUNTIFS(Settlement!$C$4:$C$203,A28,Settlement!$X$4:$X$203,"SETTLED"))</x:f>
      </x:c>
      <x:c r="C28" s="8" t="str">
        <x:f>IF(A28="","",IFERROR(SUMIFS(Settlement!$J$4:$J$203,Settlement!$C$4:$C$203,A28,Settlement!$X$4:$X$203,"SETTLED"),""))</x:f>
      </x:c>
      <x:c r="D28" s="8" t="str">
        <x:f>IFERROR(C28/B28,"")</x:f>
      </x:c>
      <x:c r="E28" s="8" t="str">
        <x:f>IF(A28="","",IFERROR(SUMIFS(Settlement!$I$4:$I$203,Settlement!$C$4:$C$203,A28,Settlement!$X$4:$X$203,"SETTLED")/B28,""))</x:f>
      </x:c>
      <x:c r="F28" s="8" t="str">
        <x:f>IF(OR(D28="",E28=""),"",E28-D28)</x:f>
      </x:c>
      <x:c r="G28" s="8" t="str">
        <x:f>IF(A28="","",IFERROR(SUMIFS(Settlement!$R$4:$R$203,Settlement!$C$4:$C$203,A28,Settlement!$X$4:$X$203,"SETTLED")/B28,""))</x:f>
      </x:c>
      <x:c r="H28" s="8" t="str">
        <x:f>IF(A28="","",IF(B28&lt;10,"LOW N",IF(ABS(F28)&lt;=0.05,"STABLE","WATCH")))</x:f>
      </x:c>
    </x:row>
    <x:row r="29">
      <x:c r="A29" s="8"/>
      <x:c r="B29" s="8" t="str">
        <x:f>IF(A29="","",COUNTIFS(Settlement!$C$4:$C$203,A29,Settlement!$X$4:$X$203,"SETTLED"))</x:f>
      </x:c>
      <x:c r="C29" s="8" t="str">
        <x:f>IF(A29="","",IFERROR(SUMIFS(Settlement!$J$4:$J$203,Settlement!$C$4:$C$203,A29,Settlement!$X$4:$X$203,"SETTLED"),""))</x:f>
      </x:c>
      <x:c r="D29" s="8" t="str">
        <x:f>IFERROR(C29/B29,"")</x:f>
      </x:c>
      <x:c r="E29" s="8" t="str">
        <x:f>IF(A29="","",IFERROR(SUMIFS(Settlement!$I$4:$I$203,Settlement!$C$4:$C$203,A29,Settlement!$X$4:$X$203,"SETTLED")/B29,""))</x:f>
      </x:c>
      <x:c r="F29" s="8" t="str">
        <x:f>IF(OR(D29="",E29=""),"",E29-D29)</x:f>
      </x:c>
      <x:c r="G29" s="8" t="str">
        <x:f>IF(A29="","",IFERROR(SUMIFS(Settlement!$R$4:$R$203,Settlement!$C$4:$C$203,A29,Settlement!$X$4:$X$203,"SETTLED")/B29,""))</x:f>
      </x:c>
      <x:c r="H29" s="8" t="str">
        <x:f>IF(A29="","",IF(B29&lt;10,"LOW N",IF(ABS(F29)&lt;=0.05,"STABLE","WATCH")))</x:f>
      </x:c>
    </x:row>
    <x:row r="30">
      <x:c r="A30" s="8"/>
      <x:c r="B30" s="8" t="str">
        <x:f>IF(A30="","",COUNTIFS(Settlement!$C$4:$C$203,A30,Settlement!$X$4:$X$203,"SETTLED"))</x:f>
      </x:c>
      <x:c r="C30" s="8" t="str">
        <x:f>IF(A30="","",IFERROR(SUMIFS(Settlement!$J$4:$J$203,Settlement!$C$4:$C$203,A30,Settlement!$X$4:$X$203,"SETTLED"),""))</x:f>
      </x:c>
      <x:c r="D30" s="8" t="str">
        <x:f>IFERROR(C30/B30,"")</x:f>
      </x:c>
      <x:c r="E30" s="8" t="str">
        <x:f>IF(A30="","",IFERROR(SUMIFS(Settlement!$I$4:$I$203,Settlement!$C$4:$C$203,A30,Settlement!$X$4:$X$203,"SETTLED")/B30,""))</x:f>
      </x:c>
      <x:c r="F30" s="8" t="str">
        <x:f>IF(OR(D30="",E30=""),"",E30-D30)</x:f>
      </x:c>
      <x:c r="G30" s="8" t="str">
        <x:f>IF(A30="","",IFERROR(SUMIFS(Settlement!$R$4:$R$203,Settlement!$C$4:$C$203,A30,Settlement!$X$4:$X$203,"SETTLED")/B30,""))</x:f>
      </x:c>
      <x:c r="H30" s="8" t="str">
        <x:f>IF(A30="","",IF(B30&lt;10,"LOW N",IF(ABS(F30)&lt;=0.05,"STABLE","WATCH")))</x:f>
      </x:c>
    </x:row>
    <x:row r="31">
      <x:c r="A31" s="8"/>
      <x:c r="B31" s="8" t="str">
        <x:f>IF(A31="","",COUNTIFS(Settlement!$C$4:$C$203,A31,Settlement!$X$4:$X$203,"SETTLED"))</x:f>
      </x:c>
      <x:c r="C31" s="8" t="str">
        <x:f>IF(A31="","",IFERROR(SUMIFS(Settlement!$J$4:$J$203,Settlement!$C$4:$C$203,A31,Settlement!$X$4:$X$203,"SETTLED"),""))</x:f>
      </x:c>
      <x:c r="D31" s="8" t="str">
        <x:f>IFERROR(C31/B31,"")</x:f>
      </x:c>
      <x:c r="E31" s="8" t="str">
        <x:f>IF(A31="","",IFERROR(SUMIFS(Settlement!$I$4:$I$203,Settlement!$C$4:$C$203,A31,Settlement!$X$4:$X$203,"SETTLED")/B31,""))</x:f>
      </x:c>
      <x:c r="F31" s="8" t="str">
        <x:f>IF(OR(D31="",E31=""),"",E31-D31)</x:f>
      </x:c>
      <x:c r="G31" s="8" t="str">
        <x:f>IF(A31="","",IFERROR(SUMIFS(Settlement!$R$4:$R$203,Settlement!$C$4:$C$203,A31,Settlement!$X$4:$X$203,"SETTLED")/B31,""))</x:f>
      </x:c>
      <x:c r="H31" s="8" t="str">
        <x:f>IF(A31="","",IF(B31&lt;10,"LOW N",IF(ABS(F31)&lt;=0.05,"STABLE","WATCH")))</x:f>
      </x:c>
    </x:row>
    <x:row r="32">
      <x:c r="A32" s="8"/>
      <x:c r="B32" s="8" t="str">
        <x:f>IF(A32="","",COUNTIFS(Settlement!$C$4:$C$203,A32,Settlement!$X$4:$X$203,"SETTLED"))</x:f>
      </x:c>
      <x:c r="C32" s="8" t="str">
        <x:f>IF(A32="","",IFERROR(SUMIFS(Settlement!$J$4:$J$203,Settlement!$C$4:$C$203,A32,Settlement!$X$4:$X$203,"SETTLED"),""))</x:f>
      </x:c>
      <x:c r="D32" s="8" t="str">
        <x:f>IFERROR(C32/B32,"")</x:f>
      </x:c>
      <x:c r="E32" s="8" t="str">
        <x:f>IF(A32="","",IFERROR(SUMIFS(Settlement!$I$4:$I$203,Settlement!$C$4:$C$203,A32,Settlement!$X$4:$X$203,"SETTLED")/B32,""))</x:f>
      </x:c>
      <x:c r="F32" s="8" t="str">
        <x:f>IF(OR(D32="",E32=""),"",E32-D32)</x:f>
      </x:c>
      <x:c r="G32" s="8" t="str">
        <x:f>IF(A32="","",IFERROR(SUMIFS(Settlement!$R$4:$R$203,Settlement!$C$4:$C$203,A32,Settlement!$X$4:$X$203,"SETTLED")/B32,""))</x:f>
      </x:c>
      <x:c r="H32" s="8" t="str">
        <x:f>IF(A32="","",IF(B32&lt;10,"LOW N",IF(ABS(F32)&lt;=0.05,"STABLE","WATCH")))</x:f>
      </x:c>
    </x:row>
    <x:row r="33">
      <x:c r="A33" s="8"/>
      <x:c r="B33" s="8" t="str">
        <x:f>IF(A33="","",COUNTIFS(Settlement!$C$4:$C$203,A33,Settlement!$X$4:$X$203,"SETTLED"))</x:f>
      </x:c>
      <x:c r="C33" s="8" t="str">
        <x:f>IF(A33="","",IFERROR(SUMIFS(Settlement!$J$4:$J$203,Settlement!$C$4:$C$203,A33,Settlement!$X$4:$X$203,"SETTLED"),""))</x:f>
      </x:c>
      <x:c r="D33" s="8" t="str">
        <x:f>IFERROR(C33/B33,"")</x:f>
      </x:c>
      <x:c r="E33" s="8" t="str">
        <x:f>IF(A33="","",IFERROR(SUMIFS(Settlement!$I$4:$I$203,Settlement!$C$4:$C$203,A33,Settlement!$X$4:$X$203,"SETTLED")/B33,""))</x:f>
      </x:c>
      <x:c r="F33" s="8" t="str">
        <x:f>IF(OR(D33="",E33=""),"",E33-D33)</x:f>
      </x:c>
      <x:c r="G33" s="8" t="str">
        <x:f>IF(A33="","",IFERROR(SUMIFS(Settlement!$R$4:$R$203,Settlement!$C$4:$C$203,A33,Settlement!$X$4:$X$203,"SETTLED")/B33,""))</x:f>
      </x:c>
      <x:c r="H33" s="8" t="str">
        <x:f>IF(A33="","",IF(B33&lt;10,"LOW N",IF(ABS(F33)&lt;=0.05,"STABLE","WATCH")))</x:f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sheetData>
    <x:row r="1" ht="18" customHeight="1">
      <x:c r="A1" s="155" t="str">
        <x:v>MONTHLY SUMMARY</x:v>
      </x:c>
      <x:c r="B1" s="155"/>
      <x:c r="C1" s="155"/>
      <x:c r="D1" s="155"/>
      <x:c r="E1" s="155"/>
      <x:c r="F1" s="155"/>
      <x:c r="G1" s="155"/>
    </x:row>
    <x:row r="2">
      <x:c r="A2" s="158" t="str">
        <x:v>Monitor temporal drift; do not adopt a threshold that works in one month only.</x:v>
      </x:c>
      <x:c r="B2" s="158"/>
      <x:c r="C2" s="158"/>
      <x:c r="D2" s="158"/>
      <x:c r="E2" s="158"/>
      <x:c r="F2" s="158"/>
      <x:c r="G2" s="158"/>
    </x:row>
    <x:row r="3" ht="30" customHeight="1">
      <x:c r="A3" s="164" t="str">
        <x:v>Month Start</x:v>
      </x:c>
      <x:c r="B3" s="164" t="str">
        <x:v>N</x:v>
      </x:c>
      <x:c r="C3" s="164" t="str">
        <x:v>Wins</x:v>
      </x:c>
      <x:c r="D3" s="164" t="str">
        <x:v>Hit Rate</x:v>
      </x:c>
      <x:c r="E3" s="164" t="str">
        <x:v>Mean P</x:v>
      </x:c>
      <x:c r="F3" s="164" t="str">
        <x:v>Calibration Gap</x:v>
      </x:c>
      <x:c r="G3" s="164" t="str">
        <x:v>Brier</x:v>
      </x:c>
    </x:row>
    <x:row r="4">
      <x:c r="A4" s="8" t="n">
        <x:v>46235</x:v>
      </x:c>
      <x:c r="B4" s="8" t="n">
        <x:f>IF(A4="","",COUNTIFS(Settlement!$B$4:$B$203,"&gt;="&amp;A4,Settlement!$B$4:$B$203,"&lt;"&amp;EDATE(A4,1),Settlement!$X$4:$X$203,"SETTLED"))</x:f>
        <x:v>0</x:v>
      </x:c>
      <x:c r="C4" s="8" t="n">
        <x:f>IF(A4="","",IFERROR(SUMIFS(Settlement!$J$4:$J$203,Settlement!$B$4:$B$203,"&gt;="&amp;A4,Settlement!$B$4:$B$203,"&lt;"&amp;EDATE(A4,1),Settlement!$X$4:$X$203,"SETTLED"),""))</x:f>
        <x:v>0</x:v>
      </x:c>
      <x:c r="D4" s="8" t="str">
        <x:f>IFERROR(C4/B4,"")</x:f>
      </x:c>
      <x:c r="E4" s="8" t="str">
        <x:f>IF(A4="","",IFERROR(SUMIFS(Settlement!$I$4:$I$203,Settlement!$B$4:$B$203,"&gt;="&amp;A4,Settlement!$B$4:$B$203,"&lt;"&amp;EDATE(A4,1),Settlement!$X$4:$X$203,"SETTLED")/B4,""))</x:f>
      </x:c>
      <x:c r="F4" s="8" t="str">
        <x:f>IF(OR(D4="",E4=""),"",E4-D4)</x:f>
      </x:c>
      <x:c r="G4" s="8" t="str">
        <x:f>IF(A4="","",IFERROR(SUMIFS(Settlement!$R$4:$R$203,Settlement!$B$4:$B$203,"&gt;="&amp;A4,Settlement!$B$4:$B$203,"&lt;"&amp;EDATE(A4,1),Settlement!$X$4:$X$203,"SETTLED")/B4,""))</x:f>
      </x:c>
    </x:row>
    <x:row r="5">
      <x:c r="A5" s="8"/>
      <x:c r="B5" s="8" t="str">
        <x:f>IF(A5="","",COUNTIFS(Settlement!$B$4:$B$203,"&gt;="&amp;A5,Settlement!$B$4:$B$203,"&lt;"&amp;EDATE(A5,1),Settlement!$X$4:$X$203,"SETTLED"))</x:f>
      </x:c>
      <x:c r="C5" s="8" t="str">
        <x:f>IF(A5="","",IFERROR(SUMIFS(Settlement!$J$4:$J$203,Settlement!$B$4:$B$203,"&gt;="&amp;A5,Settlement!$B$4:$B$203,"&lt;"&amp;EDATE(A5,1),Settlement!$X$4:$X$203,"SETTLED"),""))</x:f>
      </x:c>
      <x:c r="D5" s="8" t="str">
        <x:f>IFERROR(C5/B5,"")</x:f>
      </x:c>
      <x:c r="E5" s="8" t="str">
        <x:f>IF(A5="","",IFERROR(SUMIFS(Settlement!$I$4:$I$203,Settlement!$B$4:$B$203,"&gt;="&amp;A5,Settlement!$B$4:$B$203,"&lt;"&amp;EDATE(A5,1),Settlement!$X$4:$X$203,"SETTLED")/B5,""))</x:f>
      </x:c>
      <x:c r="F5" s="8" t="str">
        <x:f>IF(OR(D5="",E5=""),"",E5-D5)</x:f>
      </x:c>
      <x:c r="G5" s="8" t="str">
        <x:f>IF(A5="","",IFERROR(SUMIFS(Settlement!$R$4:$R$203,Settlement!$B$4:$B$203,"&gt;="&amp;A5,Settlement!$B$4:$B$203,"&lt;"&amp;EDATE(A5,1),Settlement!$X$4:$X$203,"SETTLED")/B5,""))</x:f>
      </x:c>
    </x:row>
    <x:row r="6">
      <x:c r="A6" s="8"/>
      <x:c r="B6" s="8" t="str">
        <x:f>IF(A6="","",COUNTIFS(Settlement!$B$4:$B$203,"&gt;="&amp;A6,Settlement!$B$4:$B$203,"&lt;"&amp;EDATE(A6,1),Settlement!$X$4:$X$203,"SETTLED"))</x:f>
      </x:c>
      <x:c r="C6" s="8" t="str">
        <x:f>IF(A6="","",IFERROR(SUMIFS(Settlement!$J$4:$J$203,Settlement!$B$4:$B$203,"&gt;="&amp;A6,Settlement!$B$4:$B$203,"&lt;"&amp;EDATE(A6,1),Settlement!$X$4:$X$203,"SETTLED"),""))</x:f>
      </x:c>
      <x:c r="D6" s="8" t="str">
        <x:f>IFERROR(C6/B6,"")</x:f>
      </x:c>
      <x:c r="E6" s="8" t="str">
        <x:f>IF(A6="","",IFERROR(SUMIFS(Settlement!$I$4:$I$203,Settlement!$B$4:$B$203,"&gt;="&amp;A6,Settlement!$B$4:$B$203,"&lt;"&amp;EDATE(A6,1),Settlement!$X$4:$X$203,"SETTLED")/B6,""))</x:f>
      </x:c>
      <x:c r="F6" s="8" t="str">
        <x:f>IF(OR(D6="",E6=""),"",E6-D6)</x:f>
      </x:c>
      <x:c r="G6" s="8" t="str">
        <x:f>IF(A6="","",IFERROR(SUMIFS(Settlement!$R$4:$R$203,Settlement!$B$4:$B$203,"&gt;="&amp;A6,Settlement!$B$4:$B$203,"&lt;"&amp;EDATE(A6,1),Settlement!$X$4:$X$203,"SETTLED")/B6,""))</x:f>
      </x:c>
    </x:row>
    <x:row r="7">
      <x:c r="A7" s="8"/>
      <x:c r="B7" s="8" t="str">
        <x:f>IF(A7="","",COUNTIFS(Settlement!$B$4:$B$203,"&gt;="&amp;A7,Settlement!$B$4:$B$203,"&lt;"&amp;EDATE(A7,1),Settlement!$X$4:$X$203,"SETTLED"))</x:f>
      </x:c>
      <x:c r="C7" s="8" t="str">
        <x:f>IF(A7="","",IFERROR(SUMIFS(Settlement!$J$4:$J$203,Settlement!$B$4:$B$203,"&gt;="&amp;A7,Settlement!$B$4:$B$203,"&lt;"&amp;EDATE(A7,1),Settlement!$X$4:$X$203,"SETTLED"),""))</x:f>
      </x:c>
      <x:c r="D7" s="8" t="str">
        <x:f>IFERROR(C7/B7,"")</x:f>
      </x:c>
      <x:c r="E7" s="8" t="str">
        <x:f>IF(A7="","",IFERROR(SUMIFS(Settlement!$I$4:$I$203,Settlement!$B$4:$B$203,"&gt;="&amp;A7,Settlement!$B$4:$B$203,"&lt;"&amp;EDATE(A7,1),Settlement!$X$4:$X$203,"SETTLED")/B7,""))</x:f>
      </x:c>
      <x:c r="F7" s="8" t="str">
        <x:f>IF(OR(D7="",E7=""),"",E7-D7)</x:f>
      </x:c>
      <x:c r="G7" s="8" t="str">
        <x:f>IF(A7="","",IFERROR(SUMIFS(Settlement!$R$4:$R$203,Settlement!$B$4:$B$203,"&gt;="&amp;A7,Settlement!$B$4:$B$203,"&lt;"&amp;EDATE(A7,1),Settlement!$X$4:$X$203,"SETTLED")/B7,""))</x:f>
      </x:c>
    </x:row>
    <x:row r="8">
      <x:c r="A8" s="8"/>
      <x:c r="B8" s="8" t="str">
        <x:f>IF(A8="","",COUNTIFS(Settlement!$B$4:$B$203,"&gt;="&amp;A8,Settlement!$B$4:$B$203,"&lt;"&amp;EDATE(A8,1),Settlement!$X$4:$X$203,"SETTLED"))</x:f>
      </x:c>
      <x:c r="C8" s="8" t="str">
        <x:f>IF(A8="","",IFERROR(SUMIFS(Settlement!$J$4:$J$203,Settlement!$B$4:$B$203,"&gt;="&amp;A8,Settlement!$B$4:$B$203,"&lt;"&amp;EDATE(A8,1),Settlement!$X$4:$X$203,"SETTLED"),""))</x:f>
      </x:c>
      <x:c r="D8" s="8" t="str">
        <x:f>IFERROR(C8/B8,"")</x:f>
      </x:c>
      <x:c r="E8" s="8" t="str">
        <x:f>IF(A8="","",IFERROR(SUMIFS(Settlement!$I$4:$I$203,Settlement!$B$4:$B$203,"&gt;="&amp;A8,Settlement!$B$4:$B$203,"&lt;"&amp;EDATE(A8,1),Settlement!$X$4:$X$203,"SETTLED")/B8,""))</x:f>
      </x:c>
      <x:c r="F8" s="8" t="str">
        <x:f>IF(OR(D8="",E8=""),"",E8-D8)</x:f>
      </x:c>
      <x:c r="G8" s="8" t="str">
        <x:f>IF(A8="","",IFERROR(SUMIFS(Settlement!$R$4:$R$203,Settlement!$B$4:$B$203,"&gt;="&amp;A8,Settlement!$B$4:$B$203,"&lt;"&amp;EDATE(A8,1),Settlement!$X$4:$X$203,"SETTLED")/B8,""))</x:f>
      </x:c>
    </x:row>
    <x:row r="9">
      <x:c r="A9" s="8"/>
      <x:c r="B9" s="8" t="str">
        <x:f>IF(A9="","",COUNTIFS(Settlement!$B$4:$B$203,"&gt;="&amp;A9,Settlement!$B$4:$B$203,"&lt;"&amp;EDATE(A9,1),Settlement!$X$4:$X$203,"SETTLED"))</x:f>
      </x:c>
      <x:c r="C9" s="8" t="str">
        <x:f>IF(A9="","",IFERROR(SUMIFS(Settlement!$J$4:$J$203,Settlement!$B$4:$B$203,"&gt;="&amp;A9,Settlement!$B$4:$B$203,"&lt;"&amp;EDATE(A9,1),Settlement!$X$4:$X$203,"SETTLED"),""))</x:f>
      </x:c>
      <x:c r="D9" s="8" t="str">
        <x:f>IFERROR(C9/B9,"")</x:f>
      </x:c>
      <x:c r="E9" s="8" t="str">
        <x:f>IF(A9="","",IFERROR(SUMIFS(Settlement!$I$4:$I$203,Settlement!$B$4:$B$203,"&gt;="&amp;A9,Settlement!$B$4:$B$203,"&lt;"&amp;EDATE(A9,1),Settlement!$X$4:$X$203,"SETTLED")/B9,""))</x:f>
      </x:c>
      <x:c r="F9" s="8" t="str">
        <x:f>IF(OR(D9="",E9=""),"",E9-D9)</x:f>
      </x:c>
      <x:c r="G9" s="8" t="str">
        <x:f>IF(A9="","",IFERROR(SUMIFS(Settlement!$R$4:$R$203,Settlement!$B$4:$B$203,"&gt;="&amp;A9,Settlement!$B$4:$B$203,"&lt;"&amp;EDATE(A9,1),Settlement!$X$4:$X$203,"SETTLED")/B9,""))</x:f>
      </x:c>
    </x:row>
    <x:row r="10">
      <x:c r="A10" s="8"/>
      <x:c r="B10" s="8" t="str">
        <x:f>IF(A10="","",COUNTIFS(Settlement!$B$4:$B$203,"&gt;="&amp;A10,Settlement!$B$4:$B$203,"&lt;"&amp;EDATE(A10,1),Settlement!$X$4:$X$203,"SETTLED"))</x:f>
      </x:c>
      <x:c r="C10" s="8" t="str">
        <x:f>IF(A10="","",IFERROR(SUMIFS(Settlement!$J$4:$J$203,Settlement!$B$4:$B$203,"&gt;="&amp;A10,Settlement!$B$4:$B$203,"&lt;"&amp;EDATE(A10,1),Settlement!$X$4:$X$203,"SETTLED"),""))</x:f>
      </x:c>
      <x:c r="D10" s="8" t="str">
        <x:f>IFERROR(C10/B10,"")</x:f>
      </x:c>
      <x:c r="E10" s="8" t="str">
        <x:f>IF(A10="","",IFERROR(SUMIFS(Settlement!$I$4:$I$203,Settlement!$B$4:$B$203,"&gt;="&amp;A10,Settlement!$B$4:$B$203,"&lt;"&amp;EDATE(A10,1),Settlement!$X$4:$X$203,"SETTLED")/B10,""))</x:f>
      </x:c>
      <x:c r="F10" s="8" t="str">
        <x:f>IF(OR(D10="",E10=""),"",E10-D10)</x:f>
      </x:c>
      <x:c r="G10" s="8" t="str">
        <x:f>IF(A10="","",IFERROR(SUMIFS(Settlement!$R$4:$R$203,Settlement!$B$4:$B$203,"&gt;="&amp;A10,Settlement!$B$4:$B$203,"&lt;"&amp;EDATE(A10,1),Settlement!$X$4:$X$203,"SETTLED")/B10,""))</x:f>
      </x:c>
    </x:row>
    <x:row r="11">
      <x:c r="A11" s="8"/>
      <x:c r="B11" s="8" t="str">
        <x:f>IF(A11="","",COUNTIFS(Settlement!$B$4:$B$203,"&gt;="&amp;A11,Settlement!$B$4:$B$203,"&lt;"&amp;EDATE(A11,1),Settlement!$X$4:$X$203,"SETTLED"))</x:f>
      </x:c>
      <x:c r="C11" s="8" t="str">
        <x:f>IF(A11="","",IFERROR(SUMIFS(Settlement!$J$4:$J$203,Settlement!$B$4:$B$203,"&gt;="&amp;A11,Settlement!$B$4:$B$203,"&lt;"&amp;EDATE(A11,1),Settlement!$X$4:$X$203,"SETTLED"),""))</x:f>
      </x:c>
      <x:c r="D11" s="8" t="str">
        <x:f>IFERROR(C11/B11,"")</x:f>
      </x:c>
      <x:c r="E11" s="8" t="str">
        <x:f>IF(A11="","",IFERROR(SUMIFS(Settlement!$I$4:$I$203,Settlement!$B$4:$B$203,"&gt;="&amp;A11,Settlement!$B$4:$B$203,"&lt;"&amp;EDATE(A11,1),Settlement!$X$4:$X$203,"SETTLED")/B11,""))</x:f>
      </x:c>
      <x:c r="F11" s="8" t="str">
        <x:f>IF(OR(D11="",E11=""),"",E11-D11)</x:f>
      </x:c>
      <x:c r="G11" s="8" t="str">
        <x:f>IF(A11="","",IFERROR(SUMIFS(Settlement!$R$4:$R$203,Settlement!$B$4:$B$203,"&gt;="&amp;A11,Settlement!$B$4:$B$203,"&lt;"&amp;EDATE(A11,1),Settlement!$X$4:$X$203,"SETTLED")/B11,""))</x:f>
      </x:c>
    </x:row>
    <x:row r="12">
      <x:c r="A12" s="8"/>
      <x:c r="B12" s="8" t="str">
        <x:f>IF(A12="","",COUNTIFS(Settlement!$B$4:$B$203,"&gt;="&amp;A12,Settlement!$B$4:$B$203,"&lt;"&amp;EDATE(A12,1),Settlement!$X$4:$X$203,"SETTLED"))</x:f>
      </x:c>
      <x:c r="C12" s="8" t="str">
        <x:f>IF(A12="","",IFERROR(SUMIFS(Settlement!$J$4:$J$203,Settlement!$B$4:$B$203,"&gt;="&amp;A12,Settlement!$B$4:$B$203,"&lt;"&amp;EDATE(A12,1),Settlement!$X$4:$X$203,"SETTLED"),""))</x:f>
      </x:c>
      <x:c r="D12" s="8" t="str">
        <x:f>IFERROR(C12/B12,"")</x:f>
      </x:c>
      <x:c r="E12" s="8" t="str">
        <x:f>IF(A12="","",IFERROR(SUMIFS(Settlement!$I$4:$I$203,Settlement!$B$4:$B$203,"&gt;="&amp;A12,Settlement!$B$4:$B$203,"&lt;"&amp;EDATE(A12,1),Settlement!$X$4:$X$203,"SETTLED")/B12,""))</x:f>
      </x:c>
      <x:c r="F12" s="8" t="str">
        <x:f>IF(OR(D12="",E12=""),"",E12-D12)</x:f>
      </x:c>
      <x:c r="G12" s="8" t="str">
        <x:f>IF(A12="","",IFERROR(SUMIFS(Settlement!$R$4:$R$203,Settlement!$B$4:$B$203,"&gt;="&amp;A12,Settlement!$B$4:$B$203,"&lt;"&amp;EDATE(A12,1),Settlement!$X$4:$X$203,"SETTLED")/B12,""))</x:f>
      </x:c>
    </x:row>
    <x:row r="13">
      <x:c r="A13" s="8"/>
      <x:c r="B13" s="8" t="str">
        <x:f>IF(A13="","",COUNTIFS(Settlement!$B$4:$B$203,"&gt;="&amp;A13,Settlement!$B$4:$B$203,"&lt;"&amp;EDATE(A13,1),Settlement!$X$4:$X$203,"SETTLED"))</x:f>
      </x:c>
      <x:c r="C13" s="8" t="str">
        <x:f>IF(A13="","",IFERROR(SUMIFS(Settlement!$J$4:$J$203,Settlement!$B$4:$B$203,"&gt;="&amp;A13,Settlement!$B$4:$B$203,"&lt;"&amp;EDATE(A13,1),Settlement!$X$4:$X$203,"SETTLED"),""))</x:f>
      </x:c>
      <x:c r="D13" s="8" t="str">
        <x:f>IFERROR(C13/B13,"")</x:f>
      </x:c>
      <x:c r="E13" s="8" t="str">
        <x:f>IF(A13="","",IFERROR(SUMIFS(Settlement!$I$4:$I$203,Settlement!$B$4:$B$203,"&gt;="&amp;A13,Settlement!$B$4:$B$203,"&lt;"&amp;EDATE(A13,1),Settlement!$X$4:$X$203,"SETTLED")/B13,""))</x:f>
      </x:c>
      <x:c r="F13" s="8" t="str">
        <x:f>IF(OR(D13="",E13=""),"",E13-D13)</x:f>
      </x:c>
      <x:c r="G13" s="8" t="str">
        <x:f>IF(A13="","",IFERROR(SUMIFS(Settlement!$R$4:$R$203,Settlement!$B$4:$B$203,"&gt;="&amp;A13,Settlement!$B$4:$B$203,"&lt;"&amp;EDATE(A13,1),Settlement!$X$4:$X$203,"SETTLED")/B13,""))</x:f>
      </x:c>
    </x:row>
    <x:row r="14">
      <x:c r="A14" s="8"/>
      <x:c r="B14" s="8" t="str">
        <x:f>IF(A14="","",COUNTIFS(Settlement!$B$4:$B$203,"&gt;="&amp;A14,Settlement!$B$4:$B$203,"&lt;"&amp;EDATE(A14,1),Settlement!$X$4:$X$203,"SETTLED"))</x:f>
      </x:c>
      <x:c r="C14" s="8" t="str">
        <x:f>IF(A14="","",IFERROR(SUMIFS(Settlement!$J$4:$J$203,Settlement!$B$4:$B$203,"&gt;="&amp;A14,Settlement!$B$4:$B$203,"&lt;"&amp;EDATE(A14,1),Settlement!$X$4:$X$203,"SETTLED"),""))</x:f>
      </x:c>
      <x:c r="D14" s="8" t="str">
        <x:f>IFERROR(C14/B14,"")</x:f>
      </x:c>
      <x:c r="E14" s="8" t="str">
        <x:f>IF(A14="","",IFERROR(SUMIFS(Settlement!$I$4:$I$203,Settlement!$B$4:$B$203,"&gt;="&amp;A14,Settlement!$B$4:$B$203,"&lt;"&amp;EDATE(A14,1),Settlement!$X$4:$X$203,"SETTLED")/B14,""))</x:f>
      </x:c>
      <x:c r="F14" s="8" t="str">
        <x:f>IF(OR(D14="",E14=""),"",E14-D14)</x:f>
      </x:c>
      <x:c r="G14" s="8" t="str">
        <x:f>IF(A14="","",IFERROR(SUMIFS(Settlement!$R$4:$R$203,Settlement!$B$4:$B$203,"&gt;="&amp;A14,Settlement!$B$4:$B$203,"&lt;"&amp;EDATE(A14,1),Settlement!$X$4:$X$203,"SETTLED")/B14,""))</x:f>
      </x:c>
    </x:row>
    <x:row r="15">
      <x:c r="A15" s="8"/>
      <x:c r="B15" s="8" t="str">
        <x:f>IF(A15="","",COUNTIFS(Settlement!$B$4:$B$203,"&gt;="&amp;A15,Settlement!$B$4:$B$203,"&lt;"&amp;EDATE(A15,1),Settlement!$X$4:$X$203,"SETTLED"))</x:f>
      </x:c>
      <x:c r="C15" s="8" t="str">
        <x:f>IF(A15="","",IFERROR(SUMIFS(Settlement!$J$4:$J$203,Settlement!$B$4:$B$203,"&gt;="&amp;A15,Settlement!$B$4:$B$203,"&lt;"&amp;EDATE(A15,1),Settlement!$X$4:$X$203,"SETTLED"),""))</x:f>
      </x:c>
      <x:c r="D15" s="8" t="str">
        <x:f>IFERROR(C15/B15,"")</x:f>
      </x:c>
      <x:c r="E15" s="8" t="str">
        <x:f>IF(A15="","",IFERROR(SUMIFS(Settlement!$I$4:$I$203,Settlement!$B$4:$B$203,"&gt;="&amp;A15,Settlement!$B$4:$B$203,"&lt;"&amp;EDATE(A15,1),Settlement!$X$4:$X$203,"SETTLED")/B15,""))</x:f>
      </x:c>
      <x:c r="F15" s="8" t="str">
        <x:f>IF(OR(D15="",E15=""),"",E15-D15)</x:f>
      </x:c>
      <x:c r="G15" s="8" t="str">
        <x:f>IF(A15="","",IFERROR(SUMIFS(Settlement!$R$4:$R$203,Settlement!$B$4:$B$203,"&gt;="&amp;A15,Settlement!$B$4:$B$203,"&lt;"&amp;EDATE(A15,1),Settlement!$X$4:$X$203,"SETTLED")/B15,""))</x:f>
      </x:c>
    </x:row>
    <x:row r="16">
      <x:c r="A16" s="8"/>
      <x:c r="B16" s="8" t="str">
        <x:f>IF(A16="","",COUNTIFS(Settlement!$B$4:$B$203,"&gt;="&amp;A16,Settlement!$B$4:$B$203,"&lt;"&amp;EDATE(A16,1),Settlement!$X$4:$X$203,"SETTLED"))</x:f>
      </x:c>
      <x:c r="C16" s="8" t="str">
        <x:f>IF(A16="","",IFERROR(SUMIFS(Settlement!$J$4:$J$203,Settlement!$B$4:$B$203,"&gt;="&amp;A16,Settlement!$B$4:$B$203,"&lt;"&amp;EDATE(A16,1),Settlement!$X$4:$X$203,"SETTLED"),""))</x:f>
      </x:c>
      <x:c r="D16" s="8" t="str">
        <x:f>IFERROR(C16/B16,"")</x:f>
      </x:c>
      <x:c r="E16" s="8" t="str">
        <x:f>IF(A16="","",IFERROR(SUMIFS(Settlement!$I$4:$I$203,Settlement!$B$4:$B$203,"&gt;="&amp;A16,Settlement!$B$4:$B$203,"&lt;"&amp;EDATE(A16,1),Settlement!$X$4:$X$203,"SETTLED")/B16,""))</x:f>
      </x:c>
      <x:c r="F16" s="8" t="str">
        <x:f>IF(OR(D16="",E16=""),"",E16-D16)</x:f>
      </x:c>
      <x:c r="G16" s="8" t="str">
        <x:f>IF(A16="","",IFERROR(SUMIFS(Settlement!$R$4:$R$203,Settlement!$B$4:$B$203,"&gt;="&amp;A16,Settlement!$B$4:$B$203,"&lt;"&amp;EDATE(A16,1),Settlement!$X$4:$X$203,"SETTLED")/B16,""))</x:f>
      </x:c>
    </x:row>
    <x:row r="17">
      <x:c r="A17" s="8"/>
      <x:c r="B17" s="8" t="str">
        <x:f>IF(A17="","",COUNTIFS(Settlement!$B$4:$B$203,"&gt;="&amp;A17,Settlement!$B$4:$B$203,"&lt;"&amp;EDATE(A17,1),Settlement!$X$4:$X$203,"SETTLED"))</x:f>
      </x:c>
      <x:c r="C17" s="8" t="str">
        <x:f>IF(A17="","",IFERROR(SUMIFS(Settlement!$J$4:$J$203,Settlement!$B$4:$B$203,"&gt;="&amp;A17,Settlement!$B$4:$B$203,"&lt;"&amp;EDATE(A17,1),Settlement!$X$4:$X$203,"SETTLED"),""))</x:f>
      </x:c>
      <x:c r="D17" s="8" t="str">
        <x:f>IFERROR(C17/B17,"")</x:f>
      </x:c>
      <x:c r="E17" s="8" t="str">
        <x:f>IF(A17="","",IFERROR(SUMIFS(Settlement!$I$4:$I$203,Settlement!$B$4:$B$203,"&gt;="&amp;A17,Settlement!$B$4:$B$203,"&lt;"&amp;EDATE(A17,1),Settlement!$X$4:$X$203,"SETTLED")/B17,""))</x:f>
      </x:c>
      <x:c r="F17" s="8" t="str">
        <x:f>IF(OR(D17="",E17=""),"",E17-D17)</x:f>
      </x:c>
      <x:c r="G17" s="8" t="str">
        <x:f>IF(A17="","",IFERROR(SUMIFS(Settlement!$R$4:$R$203,Settlement!$B$4:$B$203,"&gt;="&amp;A17,Settlement!$B$4:$B$203,"&lt;"&amp;EDATE(A17,1),Settlement!$X$4:$X$203,"SETTLED")/B17,""))</x:f>
      </x:c>
    </x:row>
    <x:row r="18">
      <x:c r="A18" s="8"/>
      <x:c r="B18" s="8" t="str">
        <x:f>IF(A18="","",COUNTIFS(Settlement!$B$4:$B$203,"&gt;="&amp;A18,Settlement!$B$4:$B$203,"&lt;"&amp;EDATE(A18,1),Settlement!$X$4:$X$203,"SETTLED"))</x:f>
      </x:c>
      <x:c r="C18" s="8" t="str">
        <x:f>IF(A18="","",IFERROR(SUMIFS(Settlement!$J$4:$J$203,Settlement!$B$4:$B$203,"&gt;="&amp;A18,Settlement!$B$4:$B$203,"&lt;"&amp;EDATE(A18,1),Settlement!$X$4:$X$203,"SETTLED"),""))</x:f>
      </x:c>
      <x:c r="D18" s="8" t="str">
        <x:f>IFERROR(C18/B18,"")</x:f>
      </x:c>
      <x:c r="E18" s="8" t="str">
        <x:f>IF(A18="","",IFERROR(SUMIFS(Settlement!$I$4:$I$203,Settlement!$B$4:$B$203,"&gt;="&amp;A18,Settlement!$B$4:$B$203,"&lt;"&amp;EDATE(A18,1),Settlement!$X$4:$X$203,"SETTLED")/B18,""))</x:f>
      </x:c>
      <x:c r="F18" s="8" t="str">
        <x:f>IF(OR(D18="",E18=""),"",E18-D18)</x:f>
      </x:c>
      <x:c r="G18" s="8" t="str">
        <x:f>IF(A18="","",IFERROR(SUMIFS(Settlement!$R$4:$R$203,Settlement!$B$4:$B$203,"&gt;="&amp;A18,Settlement!$B$4:$B$203,"&lt;"&amp;EDATE(A18,1),Settlement!$X$4:$X$203,"SETTLED")/B18,""))</x:f>
      </x:c>
    </x:row>
    <x:row r="19">
      <x:c r="A19" s="8"/>
      <x:c r="B19" s="8" t="str">
        <x:f>IF(A19="","",COUNTIFS(Settlement!$B$4:$B$203,"&gt;="&amp;A19,Settlement!$B$4:$B$203,"&lt;"&amp;EDATE(A19,1),Settlement!$X$4:$X$203,"SETTLED"))</x:f>
      </x:c>
      <x:c r="C19" s="8" t="str">
        <x:f>IF(A19="","",IFERROR(SUMIFS(Settlement!$J$4:$J$203,Settlement!$B$4:$B$203,"&gt;="&amp;A19,Settlement!$B$4:$B$203,"&lt;"&amp;EDATE(A19,1),Settlement!$X$4:$X$203,"SETTLED"),""))</x:f>
      </x:c>
      <x:c r="D19" s="8" t="str">
        <x:f>IFERROR(C19/B19,"")</x:f>
      </x:c>
      <x:c r="E19" s="8" t="str">
        <x:f>IF(A19="","",IFERROR(SUMIFS(Settlement!$I$4:$I$203,Settlement!$B$4:$B$203,"&gt;="&amp;A19,Settlement!$B$4:$B$203,"&lt;"&amp;EDATE(A19,1),Settlement!$X$4:$X$203,"SETTLED")/B19,""))</x:f>
      </x:c>
      <x:c r="F19" s="8" t="str">
        <x:f>IF(OR(D19="",E19=""),"",E19-D19)</x:f>
      </x:c>
      <x:c r="G19" s="8" t="str">
        <x:f>IF(A19="","",IFERROR(SUMIFS(Settlement!$R$4:$R$203,Settlement!$B$4:$B$203,"&gt;="&amp;A19,Settlement!$B$4:$B$203,"&lt;"&amp;EDATE(A19,1),Settlement!$X$4:$X$203,"SETTLED")/B19,""))</x:f>
      </x:c>
    </x:row>
    <x:row r="20">
      <x:c r="A20" s="8"/>
      <x:c r="B20" s="8" t="str">
        <x:f>IF(A20="","",COUNTIFS(Settlement!$B$4:$B$203,"&gt;="&amp;A20,Settlement!$B$4:$B$203,"&lt;"&amp;EDATE(A20,1),Settlement!$X$4:$X$203,"SETTLED"))</x:f>
      </x:c>
      <x:c r="C20" s="8" t="str">
        <x:f>IF(A20="","",IFERROR(SUMIFS(Settlement!$J$4:$J$203,Settlement!$B$4:$B$203,"&gt;="&amp;A20,Settlement!$B$4:$B$203,"&lt;"&amp;EDATE(A20,1),Settlement!$X$4:$X$203,"SETTLED"),""))</x:f>
      </x:c>
      <x:c r="D20" s="8" t="str">
        <x:f>IFERROR(C20/B20,"")</x:f>
      </x:c>
      <x:c r="E20" s="8" t="str">
        <x:f>IF(A20="","",IFERROR(SUMIFS(Settlement!$I$4:$I$203,Settlement!$B$4:$B$203,"&gt;="&amp;A20,Settlement!$B$4:$B$203,"&lt;"&amp;EDATE(A20,1),Settlement!$X$4:$X$203,"SETTLED")/B20,""))</x:f>
      </x:c>
      <x:c r="F20" s="8" t="str">
        <x:f>IF(OR(D20="",E20=""),"",E20-D20)</x:f>
      </x:c>
      <x:c r="G20" s="8" t="str">
        <x:f>IF(A20="","",IFERROR(SUMIFS(Settlement!$R$4:$R$203,Settlement!$B$4:$B$203,"&gt;="&amp;A20,Settlement!$B$4:$B$203,"&lt;"&amp;EDATE(A20,1),Settlement!$X$4:$X$203,"SETTLED")/B20,""))</x:f>
      </x:c>
    </x:row>
    <x:row r="21">
      <x:c r="A21" s="8"/>
      <x:c r="B21" s="8" t="str">
        <x:f>IF(A21="","",COUNTIFS(Settlement!$B$4:$B$203,"&gt;="&amp;A21,Settlement!$B$4:$B$203,"&lt;"&amp;EDATE(A21,1),Settlement!$X$4:$X$203,"SETTLED"))</x:f>
      </x:c>
      <x:c r="C21" s="8" t="str">
        <x:f>IF(A21="","",IFERROR(SUMIFS(Settlement!$J$4:$J$203,Settlement!$B$4:$B$203,"&gt;="&amp;A21,Settlement!$B$4:$B$203,"&lt;"&amp;EDATE(A21,1),Settlement!$X$4:$X$203,"SETTLED"),""))</x:f>
      </x:c>
      <x:c r="D21" s="8" t="str">
        <x:f>IFERROR(C21/B21,"")</x:f>
      </x:c>
      <x:c r="E21" s="8" t="str">
        <x:f>IF(A21="","",IFERROR(SUMIFS(Settlement!$I$4:$I$203,Settlement!$B$4:$B$203,"&gt;="&amp;A21,Settlement!$B$4:$B$203,"&lt;"&amp;EDATE(A21,1),Settlement!$X$4:$X$203,"SETTLED")/B21,""))</x:f>
      </x:c>
      <x:c r="F21" s="8" t="str">
        <x:f>IF(OR(D21="",E21=""),"",E21-D21)</x:f>
      </x:c>
      <x:c r="G21" s="8" t="str">
        <x:f>IF(A21="","",IFERROR(SUMIFS(Settlement!$R$4:$R$203,Settlement!$B$4:$B$203,"&gt;="&amp;A21,Settlement!$B$4:$B$203,"&lt;"&amp;EDATE(A21,1),Settlement!$X$4:$X$203,"SETTLED")/B21,""))</x:f>
      </x:c>
    </x:row>
    <x:row r="22">
      <x:c r="A22" s="8"/>
      <x:c r="B22" s="8" t="str">
        <x:f>IF(A22="","",COUNTIFS(Settlement!$B$4:$B$203,"&gt;="&amp;A22,Settlement!$B$4:$B$203,"&lt;"&amp;EDATE(A22,1),Settlement!$X$4:$X$203,"SETTLED"))</x:f>
      </x:c>
      <x:c r="C22" s="8" t="str">
        <x:f>IF(A22="","",IFERROR(SUMIFS(Settlement!$J$4:$J$203,Settlement!$B$4:$B$203,"&gt;="&amp;A22,Settlement!$B$4:$B$203,"&lt;"&amp;EDATE(A22,1),Settlement!$X$4:$X$203,"SETTLED"),""))</x:f>
      </x:c>
      <x:c r="D22" s="8" t="str">
        <x:f>IFERROR(C22/B22,"")</x:f>
      </x:c>
      <x:c r="E22" s="8" t="str">
        <x:f>IF(A22="","",IFERROR(SUMIFS(Settlement!$I$4:$I$203,Settlement!$B$4:$B$203,"&gt;="&amp;A22,Settlement!$B$4:$B$203,"&lt;"&amp;EDATE(A22,1),Settlement!$X$4:$X$203,"SETTLED")/B22,""))</x:f>
      </x:c>
      <x:c r="F22" s="8" t="str">
        <x:f>IF(OR(D22="",E22=""),"",E22-D22)</x:f>
      </x:c>
      <x:c r="G22" s="8" t="str">
        <x:f>IF(A22="","",IFERROR(SUMIFS(Settlement!$R$4:$R$203,Settlement!$B$4:$B$203,"&gt;="&amp;A22,Settlement!$B$4:$B$203,"&lt;"&amp;EDATE(A22,1),Settlement!$X$4:$X$203,"SETTLED")/B22,""))</x:f>
      </x:c>
    </x:row>
    <x:row r="23">
      <x:c r="A23" s="8"/>
      <x:c r="B23" s="8" t="str">
        <x:f>IF(A23="","",COUNTIFS(Settlement!$B$4:$B$203,"&gt;="&amp;A23,Settlement!$B$4:$B$203,"&lt;"&amp;EDATE(A23,1),Settlement!$X$4:$X$203,"SETTLED"))</x:f>
      </x:c>
      <x:c r="C23" s="8" t="str">
        <x:f>IF(A23="","",IFERROR(SUMIFS(Settlement!$J$4:$J$203,Settlement!$B$4:$B$203,"&gt;="&amp;A23,Settlement!$B$4:$B$203,"&lt;"&amp;EDATE(A23,1),Settlement!$X$4:$X$203,"SETTLED"),""))</x:f>
      </x:c>
      <x:c r="D23" s="8" t="str">
        <x:f>IFERROR(C23/B23,"")</x:f>
      </x:c>
      <x:c r="E23" s="8" t="str">
        <x:f>IF(A23="","",IFERROR(SUMIFS(Settlement!$I$4:$I$203,Settlement!$B$4:$B$203,"&gt;="&amp;A23,Settlement!$B$4:$B$203,"&lt;"&amp;EDATE(A23,1),Settlement!$X$4:$X$203,"SETTLED")/B23,""))</x:f>
      </x:c>
      <x:c r="F23" s="8" t="str">
        <x:f>IF(OR(D23="",E23=""),"",E23-D23)</x:f>
      </x:c>
      <x:c r="G23" s="8" t="str">
        <x:f>IF(A23="","",IFERROR(SUMIFS(Settlement!$R$4:$R$203,Settlement!$B$4:$B$203,"&gt;="&amp;A23,Settlement!$B$4:$B$203,"&lt;"&amp;EDATE(A23,1),Settlement!$X$4:$X$203,"SETTLED")/B23,""))</x:f>
      </x:c>
    </x:row>
    <x:row r="24">
      <x:c r="A24" s="8"/>
      <x:c r="B24" s="8" t="str">
        <x:f>IF(A24="","",COUNTIFS(Settlement!$B$4:$B$203,"&gt;="&amp;A24,Settlement!$B$4:$B$203,"&lt;"&amp;EDATE(A24,1),Settlement!$X$4:$X$203,"SETTLED"))</x:f>
      </x:c>
      <x:c r="C24" s="8" t="str">
        <x:f>IF(A24="","",IFERROR(SUMIFS(Settlement!$J$4:$J$203,Settlement!$B$4:$B$203,"&gt;="&amp;A24,Settlement!$B$4:$B$203,"&lt;"&amp;EDATE(A24,1),Settlement!$X$4:$X$203,"SETTLED"),""))</x:f>
      </x:c>
      <x:c r="D24" s="8" t="str">
        <x:f>IFERROR(C24/B24,"")</x:f>
      </x:c>
      <x:c r="E24" s="8" t="str">
        <x:f>IF(A24="","",IFERROR(SUMIFS(Settlement!$I$4:$I$203,Settlement!$B$4:$B$203,"&gt;="&amp;A24,Settlement!$B$4:$B$203,"&lt;"&amp;EDATE(A24,1),Settlement!$X$4:$X$203,"SETTLED")/B24,""))</x:f>
      </x:c>
      <x:c r="F24" s="8" t="str">
        <x:f>IF(OR(D24="",E24=""),"",E24-D24)</x:f>
      </x:c>
      <x:c r="G24" s="8" t="str">
        <x:f>IF(A24="","",IFERROR(SUMIFS(Settlement!$R$4:$R$203,Settlement!$B$4:$B$203,"&gt;="&amp;A24,Settlement!$B$4:$B$203,"&lt;"&amp;EDATE(A24,1),Settlement!$X$4:$X$203,"SETTLED")/B24,""))</x:f>
      </x:c>
    </x:row>
    <x:row r="25">
      <x:c r="A25" s="8"/>
      <x:c r="B25" s="8" t="str">
        <x:f>IF(A25="","",COUNTIFS(Settlement!$B$4:$B$203,"&gt;="&amp;A25,Settlement!$B$4:$B$203,"&lt;"&amp;EDATE(A25,1),Settlement!$X$4:$X$203,"SETTLED"))</x:f>
      </x:c>
      <x:c r="C25" s="8" t="str">
        <x:f>IF(A25="","",IFERROR(SUMIFS(Settlement!$J$4:$J$203,Settlement!$B$4:$B$203,"&gt;="&amp;A25,Settlement!$B$4:$B$203,"&lt;"&amp;EDATE(A25,1),Settlement!$X$4:$X$203,"SETTLED"),""))</x:f>
      </x:c>
      <x:c r="D25" s="8" t="str">
        <x:f>IFERROR(C25/B25,"")</x:f>
      </x:c>
      <x:c r="E25" s="8" t="str">
        <x:f>IF(A25="","",IFERROR(SUMIFS(Settlement!$I$4:$I$203,Settlement!$B$4:$B$203,"&gt;="&amp;A25,Settlement!$B$4:$B$203,"&lt;"&amp;EDATE(A25,1),Settlement!$X$4:$X$203,"SETTLED")/B25,""))</x:f>
      </x:c>
      <x:c r="F25" s="8" t="str">
        <x:f>IF(OR(D25="",E25=""),"",E25-D25)</x:f>
      </x:c>
      <x:c r="G25" s="8" t="str">
        <x:f>IF(A25="","",IFERROR(SUMIFS(Settlement!$R$4:$R$203,Settlement!$B$4:$B$203,"&gt;="&amp;A25,Settlement!$B$4:$B$203,"&lt;"&amp;EDATE(A25,1),Settlement!$X$4:$X$203,"SETTLED")/B25,""))</x:f>
      </x:c>
    </x:row>
    <x:row r="26">
      <x:c r="A26" s="8"/>
      <x:c r="B26" s="8" t="str">
        <x:f>IF(A26="","",COUNTIFS(Settlement!$B$4:$B$203,"&gt;="&amp;A26,Settlement!$B$4:$B$203,"&lt;"&amp;EDATE(A26,1),Settlement!$X$4:$X$203,"SETTLED"))</x:f>
      </x:c>
      <x:c r="C26" s="8" t="str">
        <x:f>IF(A26="","",IFERROR(SUMIFS(Settlement!$J$4:$J$203,Settlement!$B$4:$B$203,"&gt;="&amp;A26,Settlement!$B$4:$B$203,"&lt;"&amp;EDATE(A26,1),Settlement!$X$4:$X$203,"SETTLED"),""))</x:f>
      </x:c>
      <x:c r="D26" s="8" t="str">
        <x:f>IFERROR(C26/B26,"")</x:f>
      </x:c>
      <x:c r="E26" s="8" t="str">
        <x:f>IF(A26="","",IFERROR(SUMIFS(Settlement!$I$4:$I$203,Settlement!$B$4:$B$203,"&gt;="&amp;A26,Settlement!$B$4:$B$203,"&lt;"&amp;EDATE(A26,1),Settlement!$X$4:$X$203,"SETTLED")/B26,""))</x:f>
      </x:c>
      <x:c r="F26" s="8" t="str">
        <x:f>IF(OR(D26="",E26=""),"",E26-D26)</x:f>
      </x:c>
      <x:c r="G26" s="8" t="str">
        <x:f>IF(A26="","",IFERROR(SUMIFS(Settlement!$R$4:$R$203,Settlement!$B$4:$B$203,"&gt;="&amp;A26,Settlement!$B$4:$B$203,"&lt;"&amp;EDATE(A26,1),Settlement!$X$4:$X$203,"SETTLED")/B26,""))</x:f>
      </x:c>
    </x:row>
    <x:row r="27">
      <x:c r="A27" s="8"/>
      <x:c r="B27" s="8" t="str">
        <x:f>IF(A27="","",COUNTIFS(Settlement!$B$4:$B$203,"&gt;="&amp;A27,Settlement!$B$4:$B$203,"&lt;"&amp;EDATE(A27,1),Settlement!$X$4:$X$203,"SETTLED"))</x:f>
      </x:c>
      <x:c r="C27" s="8" t="str">
        <x:f>IF(A27="","",IFERROR(SUMIFS(Settlement!$J$4:$J$203,Settlement!$B$4:$B$203,"&gt;="&amp;A27,Settlement!$B$4:$B$203,"&lt;"&amp;EDATE(A27,1),Settlement!$X$4:$X$203,"SETTLED"),""))</x:f>
      </x:c>
      <x:c r="D27" s="8" t="str">
        <x:f>IFERROR(C27/B27,"")</x:f>
      </x:c>
      <x:c r="E27" s="8" t="str">
        <x:f>IF(A27="","",IFERROR(SUMIFS(Settlement!$I$4:$I$203,Settlement!$B$4:$B$203,"&gt;="&amp;A27,Settlement!$B$4:$B$203,"&lt;"&amp;EDATE(A27,1),Settlement!$X$4:$X$203,"SETTLED")/B27,""))</x:f>
      </x:c>
      <x:c r="F27" s="8" t="str">
        <x:f>IF(OR(D27="",E27=""),"",E27-D27)</x:f>
      </x:c>
      <x:c r="G27" s="8" t="str">
        <x:f>IF(A27="","",IFERROR(SUMIFS(Settlement!$R$4:$R$203,Settlement!$B$4:$B$203,"&gt;="&amp;A27,Settlement!$B$4:$B$203,"&lt;"&amp;EDATE(A27,1),Settlement!$X$4:$X$203,"SETTLED")/B27,""))</x:f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sheetData>
    <x:row r="1" ht="18" customHeight="1">
      <x:c r="A1" s="155" t="str">
        <x:v>BUILDER MARGINAL FAILS</x:v>
      </x:c>
      <x:c r="B1" s="155"/>
      <x:c r="C1" s="155"/>
      <x:c r="D1" s="155"/>
      <x:c r="E1" s="155"/>
      <x:c r="F1" s="155"/>
      <x:c r="G1" s="155"/>
      <x:c r="H1" s="155"/>
      <x:c r="I1" s="155"/>
      <x:c r="J1" s="155"/>
      <x:c r="K1" s="155"/>
      <x:c r="L1" s="155"/>
    </x:row>
    <x:row r="2">
      <x:c r="A2" s="158" t="str">
        <x:v>Common audit interface; populated primarily in Bet Builder.</x:v>
      </x:c>
      <x:c r="B2" s="158"/>
      <x:c r="C2" s="158"/>
      <x:c r="D2" s="158"/>
      <x:c r="E2" s="158"/>
      <x:c r="F2" s="158"/>
      <x:c r="G2" s="158"/>
      <x:c r="H2" s="158"/>
      <x:c r="I2" s="158"/>
      <x:c r="J2" s="158"/>
      <x:c r="K2" s="158"/>
      <x:c r="L2" s="158"/>
    </x:row>
    <x:row r="3" ht="60" customHeight="1">
      <x:c r="A3" s="164" t="str">
        <x:v>Builder_ID</x:v>
      </x:c>
      <x:c r="B3" s="164" t="str">
        <x:v>Builder_Type</x:v>
      </x:c>
      <x:c r="C3" s="164" t="str">
        <x:v>Match</x:v>
      </x:c>
      <x:c r="D3" s="164" t="str">
        <x:v>Failed_Leg</x:v>
      </x:c>
      <x:c r="E3" s="164" t="str">
        <x:v>Source_Model</x:v>
      </x:c>
      <x:c r="F3" s="164" t="str">
        <x:v>Leg_P</x:v>
      </x:c>
      <x:c r="G3" s="164" t="str">
        <x:v>Leg_Risk</x:v>
      </x:c>
      <x:c r="H3" s="164" t="str">
        <x:v>Source_Gates</x:v>
      </x:c>
      <x:c r="I3" s="164" t="str">
        <x:v>Correlation</x:v>
      </x:c>
      <x:c r="J3" s="164" t="str">
        <x:v>Uncertainty</x:v>
      </x:c>
      <x:c r="K3" s="164" t="str">
        <x:v>Marginal_Fail_Contribution</x:v>
      </x:c>
      <x:c r="L3" s="164" t="str">
        <x:v>Notes</x:v>
      </x:c>
    </x:row>
    <x:row r="4">
      <x:c r="A4" s="8" t="str">
        <x:v>N/A</x:v>
      </x:c>
      <x:c r="B4" s="8" t="str">
        <x:v>N/A</x:v>
      </x:c>
      <x:c r="C4" s="8" t="str">
        <x:v>Standard interface; populate in Bet Builder v6.</x:v>
      </x:c>
      <x:c r="D4" s="8"/>
      <x:c r="E4" s="8"/>
      <x:c r="F4" s="8"/>
      <x:c r="G4" s="8"/>
      <x:c r="H4" s="8"/>
      <x:c r="I4" s="8"/>
      <x:c r="J4" s="8"/>
      <x:c r="K4" s="8"/>
      <x:c r="L4" s="8"/>
    </x:row>
  </x:sheetData>
  <x:mergeCells>
    <x:mergeCell ref="A1:L1"/>
    <x:mergeCell ref="A2:L2"/>
  </x:mergeCells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4" hidden="0" customWidth="1"/>
    <x:col min="2" max="2" width="20" hidden="0" customWidth="1"/>
    <x:col min="3" max="3" width="30" hidden="0" customWidth="1"/>
    <x:col min="4" max="4" width="30" hidden="0" customWidth="1"/>
    <x:col min="5" max="5" width="50" hidden="0" customWidth="1"/>
    <x:col min="6" max="6" width="18" hidden="0" customWidth="1"/>
    <x:col min="7" max="7" width="26" hidden="0" customWidth="1"/>
    <x:col min="8" max="8" width="24" hidden="0" customWidth="1"/>
  </x:cols>
  <x:sheetData>
    <x:row r="1" ht="18" customHeight="1">
      <x:c r="A1" s="155" t="str">
        <x:v>BACKTEST SUMMARY – WALK-FORWARD GOVERNANCE</x:v>
      </x:c>
      <x:c r="B1" s="155"/>
      <x:c r="C1" s="155"/>
      <x:c r="D1" s="155"/>
      <x:c r="E1" s="155"/>
      <x:c r="F1" s="155"/>
      <x:c r="G1" s="155"/>
      <x:c r="H1" s="155"/>
    </x:row>
    <x:row r="2">
      <x:c r="A2" s="158" t="str">
        <x:v>Validare separată a motorului statistic v11. Datele istorice din V1 rămân referință și nu calibrează automat modelul nou.</x:v>
      </x:c>
      <x:c r="B2" s="158"/>
      <x:c r="C2" s="158"/>
      <x:c r="D2" s="158"/>
      <x:c r="E2" s="158"/>
      <x:c r="F2" s="158"/>
      <x:c r="G2" s="158"/>
      <x:c r="H2" s="158"/>
    </x:row>
    <x:row r="3" ht="30" customHeight="1">
      <x:c r="A3" s="164" t="str">
        <x:v>Metric</x:v>
      </x:c>
      <x:c r="B3" s="164" t="str">
        <x:v>Walk-forward value</x:v>
      </x:c>
      <x:c r="C3" s="164" t="str">
        <x:v>Meaning</x:v>
      </x:c>
      <x:c r="D3" s="164" t="str">
        <x:v>Threshold-change role</x:v>
      </x:c>
      <x:c r="E3" s="164" t="str">
        <x:v>Reference evidence</x:v>
      </x:c>
      <x:c r="F3" s="164" t="str">
        <x:v>Reference N / value</x:v>
      </x:c>
      <x:c r="G3" s="164" t="str">
        <x:v>Reference Wilson / metric</x:v>
      </x:c>
      <x:c r="H3" s="164" t="str">
        <x:v>Status</x:v>
      </x:c>
    </x:row>
    <x:row r="4">
      <x:c r="A4" s="8" t="str">
        <x:v>Settled N</x:v>
      </x:c>
      <x:c r="B4" s="8" t="n">
        <x:f>COUNT(Settlement!$J$4:$J$203)</x:f>
        <x:v>0</x:v>
      </x:c>
      <x:c r="C4" s="8" t="str">
        <x:v>Frozen + settled observations</x:v>
      </x:c>
      <x:c r="D4" s="8" t="str">
        <x:v>OOS volume</x:v>
      </x:c>
      <x:c r="E4" s="8" t="str">
        <x:v>Historical initial backtest 29.08: 73 recommended, 60 wins (82.2%), Brier raw 0.1681. Workbook states v2 snapshots were retrospective, so this cannot tune a new P5 threshold.</x:v>
      </x:c>
      <x:c r="F4" s="8" t="n">
        <x:v>73</x:v>
      </x:c>
      <x:c r="G4" s="8" t="str">
        <x:v>71.9%–89.3%</x:v>
      </x:c>
      <x:c r="H4" s="8" t="str">
        <x:v>REFERENCE ≠ candidate OOS</x:v>
      </x:c>
    </x:row>
    <x:row r="5">
      <x:c r="A5" s="8" t="str">
        <x:v>Wins</x:v>
      </x:c>
      <x:c r="B5" s="8" t="n">
        <x:f>SUM(Settlement!$J$4:$J$203)</x:f>
        <x:v>0</x:v>
      </x:c>
      <x:c r="C5" s="8" t="str">
        <x:v>Outcome=1</x:v>
      </x:c>
      <x:c r="D5" s="8" t="str">
        <x:v>Numerator</x:v>
      </x:c>
      <x:c r="E5" s="8"/>
      <x:c r="F5" s="8" t="n">
        <x:v>60</x:v>
      </x:c>
      <x:c r="G5" s="8"/>
      <x:c r="H5" s="8"/>
    </x:row>
    <x:row r="6">
      <x:c r="A6" s="8" t="str">
        <x:v>Hit rate</x:v>
      </x:c>
      <x:c r="B6" s="8" t="str">
        <x:f>IFERROR(B5/B4,"")</x:f>
      </x:c>
      <x:c r="C6" s="8" t="str">
        <x:v>Observed rate</x:v>
      </x:c>
      <x:c r="D6" s="8" t="str">
        <x:v>Diagnostic only</x:v>
      </x:c>
      <x:c r="E6" s="8"/>
      <x:c r="F6" s="8"/>
      <x:c r="G6" s="8"/>
      <x:c r="H6" s="8"/>
    </x:row>
    <x:row r="7">
      <x:c r="A7" s="8" t="str">
        <x:v>Wilson 95% low</x:v>
      </x:c>
      <x:c r="B7" s="8" t="str">
        <x:f>IF(B4=0,"",((B5/B4)+(1.96^2)/(2*B4)-1.96*SQRT((B5/B4)*(1-B5/B4)/B4+(1.96^2)/(4*B4^2)))/(1+(1.96^2)/B4))</x:f>
      </x:c>
      <x:c r="C7" s="8" t="str">
        <x:v>Lower bound</x:v>
      </x:c>
      <x:c r="D7" s="8" t="str">
        <x:v>Required</x:v>
      </x:c>
      <x:c r="E7" s="8"/>
      <x:c r="F7" s="8"/>
      <x:c r="G7" s="8"/>
      <x:c r="H7" s="8"/>
    </x:row>
    <x:row r="8">
      <x:c r="A8" s="8" t="str">
        <x:v>Wilson 95% high</x:v>
      </x:c>
      <x:c r="B8" s="8" t="str">
        <x:f>IF(B4=0,"",((B5/B4)+(1.96^2)/(2*B4)+1.96*SQRT((B5/B4)*(1-B5/B4)/B4+(1.96^2)/(4*B4^2)))/(1+(1.96^2)/B4))</x:f>
      </x:c>
      <x:c r="C8" s="8" t="str">
        <x:v>Upper bound</x:v>
      </x:c>
      <x:c r="D8" s="8" t="str">
        <x:v>Required</x:v>
      </x:c>
      <x:c r="E8" s="8"/>
      <x:c r="F8" s="8"/>
      <x:c r="G8" s="8"/>
      <x:c r="H8" s="8"/>
    </x:row>
    <x:row r="9">
      <x:c r="A9" s="8" t="str">
        <x:v>Mean P Final</x:v>
      </x:c>
      <x:c r="B9" s="8" t="str">
        <x:f>IFERROR(AVERAGEIFS(Settlement!$I$4:$I$203,Settlement!$X$4:$X$203,"SETTLED"),"")</x:f>
      </x:c>
      <x:c r="C9" s="8" t="str">
        <x:v>Frozen mean probability</x:v>
      </x:c>
      <x:c r="D9" s="8" t="str">
        <x:v>Calibration</x:v>
      </x:c>
      <x:c r="E9" s="8"/>
      <x:c r="F9" s="8"/>
      <x:c r="G9" s="8"/>
      <x:c r="H9" s="8"/>
    </x:row>
    <x:row r="10">
      <x:c r="A10" s="8" t="str">
        <x:v>Calibration gap</x:v>
      </x:c>
      <x:c r="B10" s="8" t="str">
        <x:f>IF(OR(B9="",B6=""),"",B9-B6)</x:f>
      </x:c>
      <x:c r="C10" s="8" t="str">
        <x:v>Mean P - hit rate</x:v>
      </x:c>
      <x:c r="D10" s="8" t="str">
        <x:v>Required</x:v>
      </x:c>
      <x:c r="E10" s="8"/>
      <x:c r="F10" s="8"/>
      <x:c r="G10" s="8"/>
      <x:c r="H10" s="8"/>
    </x:row>
    <x:row r="11">
      <x:c r="A11" s="8" t="str">
        <x:v>Brier</x:v>
      </x:c>
      <x:c r="B11" s="8" t="str">
        <x:f>IFERROR(AVERAGE(Settlement!$R$4:$R$203),"")</x:f>
      </x:c>
      <x:c r="C11" s="8" t="str">
        <x:v>Lower is better</x:v>
      </x:c>
      <x:c r="D11" s="8" t="str">
        <x:v>Required</x:v>
      </x:c>
      <x:c r="E11" s="8"/>
      <x:c r="F11" s="8"/>
      <x:c r="G11" s="8" t="n">
        <x:v>0.16811882873561823</x:v>
      </x:c>
      <x:c r="H11" s="8"/>
    </x:row>
    <x:row r="12">
      <x:c r="A12" s="8" t="str">
        <x:v>Log-loss</x:v>
      </x:c>
      <x:c r="B12" s="8" t="str">
        <x:f>IFERROR(AVERAGE(Settlement!$S$4:$S$203),"")</x:f>
      </x:c>
      <x:c r="C12" s="8" t="str">
        <x:v>Lower is better</x:v>
      </x:c>
      <x:c r="D12" s="8" t="str">
        <x:v>Required</x:v>
      </x:c>
      <x:c r="E12" s="8"/>
      <x:c r="F12" s="8"/>
      <x:c r="G12" s="8" t="str">
        <x:v>N/A</x:v>
      </x:c>
      <x:c r="H12" s="8"/>
    </x:row>
    <x:row r="13">
      <x:c r="A13" s="8" t="str">
        <x:v>Leagues evaluated</x:v>
      </x:c>
      <x:c r="B13" s="8" t="n">
        <x:f>COUNTIF(League_Summary!$B$4:$B$33,"&gt;0")</x:f>
        <x:v>0</x:v>
      </x:c>
      <x:c r="C13" s="8" t="str">
        <x:v>Number of leagues</x:v>
      </x:c>
      <x:c r="D13" s="8" t="str">
        <x:v>Required</x:v>
      </x:c>
      <x:c r="E13" s="8"/>
      <x:c r="F13" s="8"/>
      <x:c r="G13" s="8"/>
      <x:c r="H13" s="8"/>
    </x:row>
    <x:row r="14">
      <x:c r="A14" s="8" t="str">
        <x:v>Stable leagues</x:v>
      </x:c>
      <x:c r="B14" s="8" t="n">
        <x:f>COUNTIF(League_Summary!$H$4:$H$33,"STABLE")</x:f>
        <x:v>0</x:v>
      </x:c>
      <x:c r="C14" s="8" t="str">
        <x:v>Stable calibration leagues</x:v>
      </x:c>
      <x:c r="D14" s="8" t="str">
        <x:v>Required</x:v>
      </x:c>
      <x:c r="E14" s="8"/>
      <x:c r="F14" s="8"/>
      <x:c r="G14" s="8"/>
      <x:c r="H14" s="8"/>
    </x:row>
    <x:row r="15">
      <x:c r="A15" s="8" t="str">
        <x:v>Threshold decision</x:v>
      </x:c>
      <x:c r="B15" s="8" t="str">
        <x:v>KEEP CURRENT</x:v>
      </x:c>
      <x:c r="C15" s="8" t="str">
        <x:v>Manual governance</x:v>
      </x:c>
      <x:c r="D15" s="8" t="str">
        <x:v>Change only after non-degrading multi-metric OOS result</x:v>
      </x:c>
      <x:c r="E15" s="8"/>
      <x:c r="F15" s="8"/>
      <x:c r="G15" s="8"/>
      <x:c r="H15" s="8" t="str">
        <x:v>MANUAL</x:v>
      </x:c>
    </x:row>
    <x:row r="19" ht="36" customHeight="1">
      <x:c r="A19" s="181" t="str">
        <x:v>Linie</x:v>
      </x:c>
      <x:c r="B19" s="181" t="str">
        <x:v>N settled</x:v>
      </x:c>
      <x:c r="C19" s="181" t="str">
        <x:v>Câștiguri</x:v>
      </x:c>
      <x:c r="D19" s="181" t="str">
        <x:v>Rată observată</x:v>
      </x:c>
      <x:c r="E19" s="181" t="str">
        <x:v>P medie</x:v>
      </x:c>
      <x:c r="F19" s="181" t="str">
        <x:v>Brier</x:v>
      </x:c>
      <x:c r="G19" s="181" t="str">
        <x:v>LogLoss</x:v>
      </x:c>
      <x:c r="H19" s="181" t="str">
        <x:v>Diferență</x:v>
      </x:c>
    </x:row>
    <x:row r="20">
      <x:c r="A20" t="str">
        <x:v>U3.5</x:v>
      </x:c>
      <x:c r="B20" t="n">
        <x:f>COUNTIFS(Settlement!$G$4:$G$203,A20,Settlement!$X$4:$X$203,"SETTLED")</x:f>
        <x:v>0</x:v>
      </x:c>
      <x:c r="C20" t="n">
        <x:f>SUMIFS(Settlement!$J$4:$J$203,Settlement!$G$4:$G$203,A20,Settlement!$X$4:$X$203,"SETTLED")</x:f>
        <x:v>0</x:v>
      </x:c>
      <x:c r="D20" s="27" t="str">
        <x:f>IFERROR(C20/B20,"")</x:f>
      </x:c>
      <x:c r="E20" s="27" t="str">
        <x:f>IFERROR(SUMIFS(Settlement!$I$4:$I$203,Settlement!$G$4:$G$203,A20,Settlement!$X$4:$X$203,"SETTLED")/B20,"")</x:f>
      </x:c>
      <x:c r="F20" s="220" t="str">
        <x:f>IFERROR(SUMIFS(Settlement!$R$4:$R$203,Settlement!$G$4:$G$203,A20,Settlement!$X$4:$X$203,"SETTLED")/B20,"")</x:f>
      </x:c>
      <x:c r="G20" s="220" t="str">
        <x:f>IFERROR(SUMIFS(Settlement!$S$4:$S$203,Settlement!$G$4:$G$203,A20,Settlement!$X$4:$X$203,"SETTLED")/B20,"")</x:f>
      </x:c>
      <x:c r="H20" s="27" t="str">
        <x:f>IF(B20=0,"",E20-D20)</x:f>
      </x:c>
    </x:row>
    <x:row r="21">
      <x:c r="A21" t="str">
        <x:v>U4.5</x:v>
      </x:c>
      <x:c r="B21" t="n">
        <x:f>COUNTIFS(Settlement!$G$4:$G$203,A21,Settlement!$X$4:$X$203,"SETTLED")</x:f>
        <x:v>0</x:v>
      </x:c>
      <x:c r="C21" t="n">
        <x:f>SUMIFS(Settlement!$J$4:$J$203,Settlement!$G$4:$G$203,A21,Settlement!$X$4:$X$203,"SETTLED")</x:f>
        <x:v>0</x:v>
      </x:c>
      <x:c r="D21" s="27" t="str">
        <x:f>IFERROR(C21/B21,"")</x:f>
      </x:c>
      <x:c r="E21" s="27" t="str">
        <x:f>IFERROR(SUMIFS(Settlement!$I$4:$I$203,Settlement!$G$4:$G$203,A21,Settlement!$X$4:$X$203,"SETTLED")/B21,"")</x:f>
      </x:c>
      <x:c r="F21" s="220" t="str">
        <x:f>IFERROR(SUMIFS(Settlement!$R$4:$R$203,Settlement!$G$4:$G$203,A21,Settlement!$X$4:$X$203,"SETTLED")/B21,"")</x:f>
      </x:c>
      <x:c r="G21" s="220" t="str">
        <x:f>IFERROR(SUMIFS(Settlement!$S$4:$S$203,Settlement!$G$4:$G$203,A21,Settlement!$X$4:$X$203,"SETTLED")/B21,"")</x:f>
      </x:c>
      <x:c r="H21" s="27" t="str">
        <x:f>IF(B21=0,"",E21-D21)</x:f>
      </x:c>
    </x:row>
    <x:row r="22">
      <x:c r="A22" t="str">
        <x:v>U5.5</x:v>
      </x:c>
      <x:c r="B22" t="n">
        <x:f>COUNTIFS(Settlement!$G$4:$G$203,A22,Settlement!$X$4:$X$203,"SETTLED")</x:f>
        <x:v>0</x:v>
      </x:c>
      <x:c r="C22" t="n">
        <x:f>SUMIFS(Settlement!$J$4:$J$203,Settlement!$G$4:$G$203,A22,Settlement!$X$4:$X$203,"SETTLED")</x:f>
        <x:v>0</x:v>
      </x:c>
      <x:c r="D22" s="27" t="str">
        <x:f>IFERROR(C22/B22,"")</x:f>
      </x:c>
      <x:c r="E22" s="27" t="str">
        <x:f>IFERROR(SUMIFS(Settlement!$I$4:$I$203,Settlement!$G$4:$G$203,A22,Settlement!$X$4:$X$203,"SETTLED")/B22,"")</x:f>
      </x:c>
      <x:c r="F22" s="220" t="str">
        <x:f>IFERROR(SUMIFS(Settlement!$R$4:$R$203,Settlement!$G$4:$G$203,A22,Settlement!$X$4:$X$203,"SETTLED")/B22,"")</x:f>
      </x:c>
      <x:c r="G22" s="220" t="str">
        <x:f>IFERROR(SUMIFS(Settlement!$S$4:$S$203,Settlement!$G$4:$G$203,A22,Settlement!$X$4:$X$203,"SETTLED")/B22,"")</x:f>
      </x:c>
      <x:c r="H22" s="27" t="str">
        <x:f>IF(B22=0,"",E22-D22)</x:f>
      </x:c>
    </x:row>
    <x:row r="25">
      <x:c r="A25" t="str">
        <x:v>Totalul reunește selecții corelate din același meci; Wilson agregat este descriptiv. Promovarea se evaluează pe linie și meci independent.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Pr>
    <x:tabColor rgb="FF117E80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4" hidden="0" customWidth="1"/>
    <x:col min="2" max="2" width="34" hidden="0" customWidth="1"/>
    <x:col min="3" max="3" width="34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</x:cols>
  <x:sheetData>
    <x:row r="1" ht="23" customHeight="1">
      <x:c r="A1" s="173" t="str">
        <x:v>DESCOMPUNEREA FAILURE PENTRU U4,5</x:v>
      </x:c>
      <x:c r="B1" s="172"/>
      <x:c r="C1" s="172"/>
      <x:c r="D1" s="172"/>
      <x:c r="E1" s="172"/>
      <x:c r="F1" s="172"/>
      <x:c r="G1" s="172"/>
    </x:row>
    <x:row r="2" ht="23" customHeight="1">
      <x:c r="A2" s="172"/>
      <x:c r="B2" s="172"/>
      <x:c r="C2" s="172"/>
      <x:c r="D2" s="172"/>
      <x:c r="E2" s="172"/>
      <x:c r="F2" s="172"/>
      <x:c r="G2" s="172"/>
    </x:row>
    <x:row r="3" ht="23" customHeight="1">
      <x:c r="A3" s="174" t="str">
        <x:v>Toate valorile sunt legate la distribuția comună și selectorul unic.</x:v>
      </x:c>
      <x:c r="B3" s="172"/>
      <x:c r="C3" s="172"/>
      <x:c r="D3" s="172"/>
      <x:c r="E3" s="172"/>
      <x:c r="F3" s="172"/>
      <x:c r="G3" s="172"/>
    </x:row>
    <x:row r="4" ht="23" customHeight="1">
      <x:c r="A4" s="172" t="str">
        <x:v>Exact 5 goluri</x:v>
      </x:c>
      <x:c r="B4" s="193" t="str">
        <x:f>IF(Under_MultiLine_v9!D6="","",Under_MultiLine_v9!D6)</x:f>
      </x:c>
      <x:c r="C4" s="172"/>
      <x:c r="D4" s="172"/>
      <x:c r="E4" s="172"/>
      <x:c r="F4" s="172"/>
      <x:c r="G4" s="172"/>
    </x:row>
    <x:row r="5" ht="23" customHeight="1">
      <x:c r="A5" s="172" t="str">
        <x:v>6+ goluri</x:v>
      </x:c>
      <x:c r="B5" s="193" t="str">
        <x:f>IF(Under_MultiLine_v9!E6="","",Under_MultiLine_v9!E6)</x:f>
      </x:c>
      <x:c r="C5" s="172"/>
      <x:c r="D5" s="172"/>
      <x:c r="E5" s="172"/>
      <x:c r="F5" s="172"/>
      <x:c r="G5" s="172"/>
    </x:row>
    <x:row r="6" ht="23" customHeight="1">
      <x:c r="A6" s="172" t="str">
        <x:v>5+ goluri</x:v>
      </x:c>
      <x:c r="B6" s="193" t="str">
        <x:f>IF(Under_MultiLine_v9!C6="","",Under_MultiLine_v9!C6)</x:f>
      </x:c>
      <x:c r="C6" s="172"/>
      <x:c r="D6" s="172"/>
      <x:c r="E6" s="172"/>
      <x:c r="F6" s="172"/>
      <x:c r="G6" s="172"/>
    </x:row>
    <x:row r="7" ht="23" customHeight="1">
      <x:c r="A7" s="172"/>
      <x:c r="B7" s="172"/>
      <x:c r="C7" s="172"/>
      <x:c r="D7" s="172"/>
      <x:c r="E7" s="172"/>
      <x:c r="F7" s="172"/>
      <x:c r="G7" s="172"/>
    </x:row>
    <x:row r="8" ht="23" customHeight="1">
      <x:c r="A8" s="172"/>
      <x:c r="B8" s="172"/>
      <x:c r="C8" s="172"/>
      <x:c r="D8" s="172"/>
      <x:c r="E8" s="172"/>
      <x:c r="F8" s="172"/>
      <x:c r="G8" s="172"/>
    </x:row>
    <x:row r="9" ht="23" customHeight="1">
      <x:c r="A9" s="172"/>
      <x:c r="B9" s="172"/>
      <x:c r="C9" s="172"/>
      <x:c r="D9" s="172"/>
      <x:c r="E9" s="172"/>
      <x:c r="F9" s="172"/>
      <x:c r="G9" s="172"/>
    </x:row>
    <x:row r="10" ht="23" customHeight="1">
      <x:c r="A10" s="172"/>
      <x:c r="B10" s="172"/>
      <x:c r="C10" s="172"/>
      <x:c r="D10" s="172"/>
      <x:c r="E10" s="172"/>
      <x:c r="F10" s="172"/>
      <x:c r="G10" s="172"/>
    </x:row>
    <x:row r="11" ht="23" customHeight="1">
      <x:c r="A11" s="172"/>
      <x:c r="B11" s="172"/>
      <x:c r="C11" s="172"/>
      <x:c r="D11" s="172"/>
      <x:c r="E11" s="172"/>
      <x:c r="F11" s="172"/>
      <x:c r="G11" s="172"/>
    </x:row>
    <x:row r="12" ht="23" customHeight="1">
      <x:c r="A12" s="172"/>
      <x:c r="B12" s="172"/>
      <x:c r="C12" s="172"/>
      <x:c r="D12" s="172"/>
      <x:c r="E12" s="172"/>
      <x:c r="F12" s="172"/>
      <x:c r="G12" s="172"/>
    </x:row>
    <x:row r="13" ht="23" customHeight="1">
      <x:c r="A13" s="172"/>
      <x:c r="B13" s="172"/>
      <x:c r="C13" s="172"/>
      <x:c r="D13" s="172"/>
      <x:c r="E13" s="172"/>
      <x:c r="F13" s="172"/>
      <x:c r="G13" s="172"/>
    </x:row>
    <x:row r="14" ht="23" customHeight="1">
      <x:c r="A14" s="172"/>
      <x:c r="B14" s="172"/>
      <x:c r="C14" s="172"/>
      <x:c r="D14" s="172"/>
      <x:c r="E14" s="172"/>
      <x:c r="F14" s="172"/>
      <x:c r="G14" s="172"/>
    </x:row>
    <x:row r="15" ht="23" customHeight="1">
      <x:c r="A15" s="172"/>
      <x:c r="B15" s="172"/>
      <x:c r="C15" s="172"/>
      <x:c r="D15" s="172"/>
      <x:c r="E15" s="172"/>
      <x:c r="F15" s="172"/>
      <x:c r="G15" s="172"/>
    </x:row>
    <x:row r="16" ht="23" customHeight="1">
      <x:c r="A16" s="172"/>
      <x:c r="B16" s="172"/>
      <x:c r="C16" s="172"/>
      <x:c r="D16" s="172"/>
      <x:c r="E16" s="172"/>
      <x:c r="F16" s="172"/>
      <x:c r="G16" s="172"/>
    </x:row>
    <x:row r="17" ht="23" customHeight="1">
      <x:c r="A17" s="172" t="str">
        <x:v>Near-tail class</x:v>
      </x:c>
      <x:c r="B17" s="172" t="str">
        <x:f>IF(Under_MultiLine_v9!J6="","",Under_MultiLine_v9!J6)</x:f>
        <x:v>PENDING</x:v>
      </x:c>
      <x:c r="C17" s="172"/>
      <x:c r="D17" s="172"/>
      <x:c r="E17" s="172"/>
      <x:c r="F17" s="172"/>
      <x:c r="G17" s="172"/>
    </x:row>
    <x:row r="18" ht="23" customHeight="1">
      <x:c r="A18" s="172" t="str">
        <x:v>Gate tail</x:v>
      </x:c>
      <x:c r="B18" s="172" t="str">
        <x:f>IF(Under_MultiLine_v9!Y6="","",Under_MultiLine_v9!Y6)</x:f>
        <x:v>PENDING</x:v>
      </x:c>
      <x:c r="C18" s="172"/>
      <x:c r="D18" s="172"/>
      <x:c r="E18" s="172"/>
      <x:c r="F18" s="172"/>
      <x:c r="G18" s="172"/>
    </x:row>
    <x:row r="19" ht="23" customHeight="1">
      <x:c r="A19" s="172"/>
      <x:c r="B19" s="172"/>
      <x:c r="C19" s="172"/>
      <x:c r="D19" s="172"/>
      <x:c r="E19" s="172"/>
      <x:c r="F19" s="172"/>
      <x:c r="G19" s="172"/>
    </x:row>
    <x:row r="20" ht="23" customHeight="1">
      <x:c r="A20" s="172" t="str">
        <x:v>Verdict final</x:v>
      </x:c>
      <x:c r="B20" s="172" t="str">
        <x:f>IF(Under_MultiLine_v9!P6="","",Under_MultiLine_v9!P6)</x:f>
        <x:v>NEELIBERAT</x:v>
      </x:c>
      <x:c r="C20" s="172"/>
      <x:c r="D20" s="172"/>
      <x:c r="E20" s="172"/>
      <x:c r="F20" s="172"/>
      <x:c r="G20" s="172"/>
    </x:row>
    <x:row r="21" ht="23" customHeight="1">
      <x:c r="A21" s="172"/>
      <x:c r="B21" s="172"/>
      <x:c r="C21" s="172"/>
      <x:c r="D21" s="172"/>
      <x:c r="E21" s="172"/>
      <x:c r="F21" s="172"/>
      <x:c r="G21" s="172"/>
    </x:row>
    <x:row r="22" ht="23" customHeight="1">
      <x:c r="A22" s="172"/>
      <x:c r="B22" s="172"/>
      <x:c r="C22" s="172"/>
      <x:c r="D22" s="172"/>
      <x:c r="E22" s="172"/>
      <x:c r="F22" s="172"/>
      <x:c r="G22" s="172"/>
    </x:row>
    <x:row r="23" ht="23" customHeight="1">
      <x:c r="A23" s="172"/>
      <x:c r="B23" s="172"/>
      <x:c r="C23" s="172"/>
      <x:c r="D23" s="172"/>
      <x:c r="E23" s="172"/>
      <x:c r="F23" s="172"/>
      <x:c r="G23" s="172"/>
    </x:row>
    <x:row r="24" ht="23" customHeight="1">
      <x:c r="A24" s="172"/>
      <x:c r="B24" s="172"/>
      <x:c r="C24" s="172"/>
      <x:c r="D24" s="172"/>
      <x:c r="E24" s="172"/>
      <x:c r="F24" s="172"/>
      <x:c r="G24" s="172"/>
    </x:row>
    <x:row r="25" ht="23" customHeight="1">
      <x:c r="A25" s="172"/>
      <x:c r="B25" s="172"/>
      <x:c r="C25" s="172"/>
      <x:c r="D25" s="172"/>
      <x:c r="E25" s="172"/>
      <x:c r="F25" s="172"/>
      <x:c r="G25" s="172"/>
    </x:row>
    <x:row r="26" ht="23" customHeight="1">
      <x:c r="A26" s="172"/>
      <x:c r="B26" s="172"/>
      <x:c r="C26" s="172"/>
      <x:c r="D26" s="172"/>
      <x:c r="E26" s="172"/>
      <x:c r="F26" s="172"/>
      <x:c r="G26" s="172"/>
    </x:row>
    <x:row r="27" ht="23" customHeight="1">
      <x:c r="A27" s="172"/>
      <x:c r="B27" s="172"/>
      <x:c r="C27" s="172"/>
      <x:c r="D27" s="172"/>
      <x:c r="E27" s="172"/>
      <x:c r="F27" s="172"/>
      <x:c r="G27" s="172"/>
    </x:row>
    <x:row r="28" ht="23" customHeight="1">
      <x:c r="A28" s="172"/>
      <x:c r="B28" s="172"/>
      <x:c r="C28" s="172"/>
      <x:c r="D28" s="172"/>
      <x:c r="E28" s="172"/>
      <x:c r="F28" s="172"/>
      <x:c r="G28" s="172"/>
    </x:row>
    <x:row r="29" ht="23" customHeight="1">
      <x:c r="A29" s="172"/>
      <x:c r="B29" s="172"/>
      <x:c r="C29" s="172"/>
      <x:c r="D29" s="172"/>
      <x:c r="E29" s="172"/>
      <x:c r="F29" s="172"/>
      <x:c r="G29" s="172"/>
    </x:row>
    <x:row r="30" ht="23" customHeight="1">
      <x:c r="A30" s="172"/>
      <x:c r="B30" s="172"/>
      <x:c r="C30" s="172"/>
      <x:c r="D30" s="172"/>
      <x:c r="E30" s="172"/>
      <x:c r="F30" s="172"/>
      <x:c r="G30" s="172"/>
    </x:row>
    <x:row r="31" ht="23" customHeight="1">
      <x:c r="A31" s="172"/>
      <x:c r="B31" s="172"/>
      <x:c r="C31" s="172"/>
      <x:c r="D31" s="172"/>
      <x:c r="E31" s="172"/>
      <x:c r="F31" s="172"/>
      <x:c r="G31" s="172"/>
    </x:row>
    <x:row r="32" ht="23" customHeight="1">
      <x:c r="A32" s="172"/>
      <x:c r="B32" s="172"/>
      <x:c r="C32" s="172"/>
      <x:c r="D32" s="172"/>
      <x:c r="E32" s="172"/>
      <x:c r="F32" s="172"/>
      <x:c r="G32" s="172"/>
    </x:row>
    <x:row r="33" ht="23" customHeight="1">
      <x:c r="A33" s="172"/>
      <x:c r="B33" s="172"/>
      <x:c r="C33" s="172"/>
      <x:c r="D33" s="172"/>
      <x:c r="E33" s="172"/>
      <x:c r="F33" s="172"/>
      <x:c r="G33" s="172"/>
    </x:row>
    <x:row r="34" ht="23" customHeight="1">
      <x:c r="A34" s="172"/>
      <x:c r="B34" s="172"/>
      <x:c r="C34" s="172"/>
      <x:c r="D34" s="172"/>
      <x:c r="E34" s="172"/>
      <x:c r="F34" s="172"/>
      <x:c r="G34" s="172"/>
    </x:row>
    <x:row r="35" ht="23" customHeight="1">
      <x:c r="A35" s="172"/>
      <x:c r="B35" s="172"/>
      <x:c r="C35" s="172"/>
      <x:c r="D35" s="172"/>
      <x:c r="E35" s="172"/>
      <x:c r="F35" s="172"/>
      <x:c r="G35" s="172"/>
    </x:row>
  </x:sheetData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Pr>
    <x:tabColor rgb="FF117E80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4" hidden="0" customWidth="1"/>
    <x:col min="2" max="2" width="34" hidden="0" customWidth="1"/>
    <x:col min="3" max="3" width="34" hidden="0" customWidth="1"/>
    <x:col min="4" max="4" width="15" hidden="0" customWidth="1"/>
    <x:col min="5" max="5" width="15" hidden="0" customWidth="1"/>
    <x:col min="6" max="6" width="15" hidden="0" customWidth="1"/>
  </x:cols>
  <x:sheetData>
    <x:row r="1" ht="23" customHeight="1">
      <x:c r="A1" s="173" t="str">
        <x:v>SURCHARGE EXACT-5 PENTRU U4,5</x:v>
      </x:c>
      <x:c r="B1" s="172"/>
      <x:c r="C1" s="172"/>
      <x:c r="D1" s="172"/>
      <x:c r="E1" s="172"/>
      <x:c r="F1" s="172"/>
    </x:row>
    <x:row r="2" ht="23" customHeight="1">
      <x:c r="A2" s="172"/>
      <x:c r="B2" s="172"/>
      <x:c r="C2" s="172"/>
      <x:c r="D2" s="172"/>
      <x:c r="E2" s="172"/>
      <x:c r="F2" s="172"/>
    </x:row>
    <x:row r="3" ht="23" customHeight="1">
      <x:c r="A3" s="174" t="str">
        <x:v>Penalizarea de risc este limitată la o clasă și nu produce singură nivel 5.</x:v>
      </x:c>
      <x:c r="B3" s="172"/>
      <x:c r="C3" s="172"/>
      <x:c r="D3" s="172"/>
      <x:c r="E3" s="172"/>
      <x:c r="F3" s="172"/>
    </x:row>
    <x:row r="4" ht="23" customHeight="1">
      <x:c r="A4" s="172"/>
      <x:c r="B4" s="172"/>
      <x:c r="C4" s="172"/>
      <x:c r="D4" s="172"/>
      <x:c r="E4" s="172"/>
      <x:c r="F4" s="172"/>
    </x:row>
    <x:row r="5" ht="23" customHeight="1">
      <x:c r="A5" s="172" t="str">
        <x:v>Lambda total</x:v>
      </x:c>
      <x:c r="B5" s="172" t="str">
        <x:f>IF('Model adaptiv'!B62="","",'Model adaptiv'!B62)</x:f>
      </x:c>
      <x:c r="C5" s="172"/>
      <x:c r="D5" s="172"/>
      <x:c r="E5" s="172"/>
      <x:c r="F5" s="172"/>
    </x:row>
    <x:row r="6" ht="23" customHeight="1">
      <x:c r="A6" s="172" t="str">
        <x:v>Lambda favorit</x:v>
      </x:c>
      <x:c r="B6" s="172" t="str">
        <x:f>IF('Model adaptiv'!B62="","",MAX('Model adaptiv'!B61,'Model adaptiv'!C61))</x:f>
      </x:c>
      <x:c r="C6" s="172"/>
      <x:c r="D6" s="172"/>
      <x:c r="E6" s="172"/>
      <x:c r="F6" s="172"/>
    </x:row>
    <x:row r="7" ht="23" customHeight="1">
      <x:c r="A7" s="172" t="str">
        <x:v>Favorite share</x:v>
      </x:c>
      <x:c r="B7" s="193" t="str">
        <x:f>IF(OR(B5="",B5&lt;=0),"",B6/B5)</x:f>
      </x:c>
      <x:c r="C7" s="172"/>
      <x:c r="D7" s="172"/>
      <x:c r="E7" s="172"/>
      <x:c r="F7" s="172"/>
    </x:row>
    <x:row r="8" ht="23" customHeight="1">
      <x:c r="A8" s="172" t="str">
        <x:v>P(5+) mixture</x:v>
      </x:c>
      <x:c r="B8" s="193" t="str">
        <x:f>IF(Goals_Distribution_v9!K7&lt;&gt;"READY","",Goals_Distribution_v9!F9)</x:f>
      </x:c>
      <x:c r="C8" s="172"/>
      <x:c r="D8" s="172"/>
      <x:c r="E8" s="172"/>
      <x:c r="F8" s="172"/>
    </x:row>
    <x:row r="9" ht="23" customHeight="1">
      <x:c r="A9" s="172" t="str">
        <x:v>P5 Poisson</x:v>
      </x:c>
      <x:c r="B9" s="193" t="str">
        <x:f>IF(Goals_Distribution_v9!K7&lt;&gt;"READY","",Goals_Distribution_v9!B10)</x:f>
      </x:c>
      <x:c r="C9" s="172"/>
      <x:c r="D9" s="172"/>
      <x:c r="E9" s="172"/>
      <x:c r="F9" s="172"/>
    </x:row>
    <x:row r="10" ht="23" customHeight="1">
      <x:c r="A10" s="172" t="str">
        <x:v>P5 NB</x:v>
      </x:c>
      <x:c r="B10" s="193" t="str">
        <x:f>IF(Goals_Distribution_v9!K7&lt;&gt;"READY","",Goals_Distribution_v9!C10)</x:f>
      </x:c>
      <x:c r="C10" s="172"/>
      <x:c r="D10" s="172"/>
      <x:c r="E10" s="172"/>
      <x:c r="F10" s="172"/>
    </x:row>
    <x:row r="11" ht="23" customHeight="1">
      <x:c r="A11" s="172" t="str">
        <x:v>P5 mixture</x:v>
      </x:c>
      <x:c r="B11" s="193" t="str">
        <x:f>IF(Goals_Distribution_v9!K7&lt;&gt;"READY","",Goals_Distribution_v9!D10)</x:f>
      </x:c>
      <x:c r="C11" s="172"/>
      <x:c r="D11" s="172"/>
      <x:c r="E11" s="172"/>
      <x:c r="F11" s="172"/>
    </x:row>
    <x:row r="12" ht="23" customHeight="1">
      <x:c r="A12" s="172" t="str">
        <x:v>P6+ mixture</x:v>
      </x:c>
      <x:c r="B12" s="193" t="str">
        <x:f>IF(Goals_Distribution_v9!K7&lt;&gt;"READY","",Goals_Distribution_v9!F10)</x:f>
      </x:c>
      <x:c r="C12" s="172"/>
      <x:c r="D12" s="172"/>
      <x:c r="E12" s="172"/>
      <x:c r="F12" s="172"/>
    </x:row>
    <x:row r="13" ht="23" customHeight="1">
      <x:c r="A13" s="172"/>
      <x:c r="B13" s="172"/>
      <x:c r="C13" s="172"/>
      <x:c r="D13" s="172"/>
      <x:c r="E13" s="172"/>
      <x:c r="F13" s="172"/>
    </x:row>
    <x:row r="14" ht="23" customHeight="1">
      <x:c r="A14" s="172"/>
      <x:c r="B14" s="172"/>
      <x:c r="C14" s="172"/>
      <x:c r="D14" s="172"/>
      <x:c r="E14" s="172"/>
      <x:c r="F14" s="172"/>
    </x:row>
    <x:row r="15" ht="23" customHeight="1">
      <x:c r="A15" s="172"/>
      <x:c r="B15" s="172"/>
      <x:c r="C15" s="172"/>
      <x:c r="D15" s="172"/>
      <x:c r="E15" s="172"/>
      <x:c r="F15" s="172"/>
    </x:row>
    <x:row r="16" ht="23" customHeight="1">
      <x:c r="A16" s="172"/>
      <x:c r="B16" s="172"/>
      <x:c r="C16" s="172"/>
      <x:c r="D16" s="172"/>
      <x:c r="E16" s="172"/>
      <x:c r="F16" s="172"/>
    </x:row>
    <x:row r="17" ht="23" customHeight="1">
      <x:c r="A17" s="172"/>
      <x:c r="B17" s="172"/>
      <x:c r="C17" s="172"/>
      <x:c r="D17" s="172"/>
      <x:c r="E17" s="172"/>
      <x:c r="F17" s="172"/>
    </x:row>
    <x:row r="18" ht="23" customHeight="1">
      <x:c r="A18" s="172" t="str">
        <x:v>P5 clasă</x:v>
      </x:c>
      <x:c r="B18" s="172" t="str">
        <x:f>Under_MultiLine_v9!J6</x:f>
        <x:v>PENDING</x:v>
      </x:c>
      <x:c r="C18" s="172"/>
      <x:c r="D18" s="172"/>
      <x:c r="E18" s="172"/>
      <x:c r="F18" s="172"/>
    </x:row>
    <x:row r="19" ht="23" customHeight="1">
      <x:c r="A19" s="172"/>
      <x:c r="B19" s="172"/>
      <x:c r="C19" s="172"/>
      <x:c r="D19" s="172"/>
      <x:c r="E19" s="172"/>
      <x:c r="F19" s="172"/>
    </x:row>
    <x:row r="20" ht="23" customHeight="1">
      <x:c r="A20" s="172" t="str">
        <x:v>Downgrade propus</x:v>
      </x:c>
      <x:c r="B20" s="172" t="n">
        <x:f>IF(OR(B18="MODERAT",B18="RIDICAT"),Under_LineCal_v9!P6,0)</x:f>
        <x:v>0</x:v>
      </x:c>
      <x:c r="C20" s="172"/>
      <x:c r="D20" s="172"/>
      <x:c r="E20" s="172"/>
      <x:c r="F20" s="172"/>
    </x:row>
    <x:row r="21" ht="23" customHeight="1">
      <x:c r="A21" s="172" t="str">
        <x:v>Haircut P5</x:v>
      </x:c>
      <x:c r="B21" s="192" t="n">
        <x:f>IF(B18="MODERAT",B25,IF(B18="RIDICAT",B26,0))</x:f>
        <x:v>0</x:v>
      </x:c>
      <x:c r="C21" s="172"/>
      <x:c r="D21" s="172"/>
      <x:c r="E21" s="172"/>
      <x:c r="F21" s="172"/>
    </x:row>
    <x:row r="22" ht="23" customHeight="1">
      <x:c r="A22" s="172" t="str">
        <x:v>Plafon verdict</x:v>
      </x:c>
      <x:c r="B22" s="172" t="str">
        <x:f>IF(B18="RIDICAT","MAXIM PRUDENT",IF(B18="MODERAT","RISK +1","NONE"))</x:f>
        <x:v>NONE</x:v>
      </x:c>
      <x:c r="C22" s="172"/>
      <x:c r="D22" s="172"/>
      <x:c r="E22" s="172"/>
      <x:c r="F22" s="172"/>
    </x:row>
    <x:row r="23" ht="23" customHeight="1">
      <x:c r="A23" s="172" t="str">
        <x:v>Gate tail</x:v>
      </x:c>
      <x:c r="B23" s="172" t="str">
        <x:f>'Tail Risk v3'!B21</x:f>
        <x:v>PENDING</x:v>
      </x:c>
      <x:c r="C23" s="172"/>
      <x:c r="D23" s="172"/>
      <x:c r="E23" s="172"/>
      <x:c r="F23" s="172"/>
    </x:row>
    <x:row r="24" ht="23" customHeight="1">
      <x:c r="A24" s="172"/>
      <x:c r="B24" s="172"/>
      <x:c r="C24" s="172"/>
      <x:c r="D24" s="172"/>
      <x:c r="E24" s="172"/>
      <x:c r="F24" s="172"/>
    </x:row>
    <x:row r="25" ht="23" customHeight="1">
      <x:c r="A25" s="172" t="str">
        <x:v>Haircut MODERAT</x:v>
      </x:c>
      <x:c r="B25" s="192" t="n">
        <x:v>0</x:v>
      </x:c>
      <x:c r="C25" s="172" t="str">
        <x:v>Neutru până la calibrare OOS</x:v>
      </x:c>
      <x:c r="D25" s="172"/>
      <x:c r="E25" s="172"/>
      <x:c r="F25" s="172"/>
    </x:row>
    <x:row r="26" ht="23" customHeight="1">
      <x:c r="A26" s="172" t="str">
        <x:v>Haircut RIDICAT</x:v>
      </x:c>
      <x:c r="B26" s="192" t="n">
        <x:v>0</x:v>
      </x:c>
      <x:c r="C26" s="172" t="str">
        <x:v>Neutru până la calibrare OOS</x:v>
      </x:c>
      <x:c r="D26" s="172"/>
      <x:c r="E26" s="172"/>
      <x:c r="F26" s="172"/>
    </x:row>
    <x:row r="27" ht="23" customHeight="1">
      <x:c r="A27" s="172"/>
      <x:c r="B27" s="172"/>
      <x:c r="C27" s="172"/>
      <x:c r="D27" s="172"/>
      <x:c r="E27" s="172"/>
      <x:c r="F27" s="172"/>
    </x:row>
    <x:row r="28" ht="23" customHeight="1">
      <x:c r="A28" s="172"/>
      <x:c r="B28" s="172"/>
      <x:c r="C28" s="172"/>
      <x:c r="D28" s="172"/>
      <x:c r="E28" s="172"/>
      <x:c r="F28" s="172"/>
    </x:row>
    <x:row r="29" ht="23" customHeight="1">
      <x:c r="A29" s="172"/>
      <x:c r="B29" s="172"/>
      <x:c r="C29" s="172"/>
      <x:c r="D29" s="172"/>
      <x:c r="E29" s="172"/>
      <x:c r="F29" s="172"/>
    </x:row>
    <x:row r="30" ht="23" customHeight="1">
      <x:c r="A30" s="172"/>
      <x:c r="B30" s="172"/>
      <x:c r="C30" s="172"/>
      <x:c r="D30" s="172"/>
      <x:c r="E30" s="172"/>
      <x:c r="F30" s="172"/>
    </x:row>
    <x:row r="31" ht="23" customHeight="1">
      <x:c r="A31" s="172"/>
      <x:c r="B31" s="172"/>
      <x:c r="C31" s="172"/>
      <x:c r="D31" s="172"/>
      <x:c r="E31" s="172"/>
      <x:c r="F31" s="172"/>
    </x:row>
    <x:row r="32" ht="23" customHeight="1">
      <x:c r="A32" s="172"/>
      <x:c r="B32" s="172"/>
      <x:c r="C32" s="172"/>
      <x:c r="D32" s="172"/>
      <x:c r="E32" s="172"/>
      <x:c r="F32" s="172"/>
    </x:row>
    <x:row r="33" ht="23" customHeight="1">
      <x:c r="A33" s="172"/>
      <x:c r="B33" s="172"/>
      <x:c r="C33" s="172"/>
      <x:c r="D33" s="172"/>
      <x:c r="E33" s="172"/>
      <x:c r="F33" s="172"/>
    </x:row>
    <x:row r="34" ht="23" customHeight="1">
      <x:c r="A34" s="172"/>
      <x:c r="B34" s="172"/>
      <x:c r="C34" s="172"/>
      <x:c r="D34" s="172"/>
      <x:c r="E34" s="172"/>
      <x:c r="F34" s="172"/>
    </x:row>
    <x:row r="35" ht="23" customHeight="1">
      <x:c r="A35" s="172"/>
      <x:c r="B35" s="172"/>
      <x:c r="C35" s="172"/>
      <x:c r="D35" s="172"/>
      <x:c r="E35" s="172"/>
      <x:c r="F35" s="172"/>
    </x:row>
    <x:row r="36" ht="23" customHeight="1">
      <x:c r="A36" s="172"/>
      <x:c r="B36" s="172"/>
      <x:c r="C36" s="172"/>
      <x:c r="D36" s="172"/>
      <x:c r="E36" s="172"/>
      <x:c r="F36" s="172"/>
    </x:row>
    <x:row r="37" ht="23" customHeight="1">
      <x:c r="A37" s="172"/>
      <x:c r="B37" s="172"/>
      <x:c r="C37" s="172"/>
      <x:c r="D37" s="172"/>
      <x:c r="E37" s="172"/>
      <x:c r="F37" s="172"/>
    </x:row>
    <x:row r="38" ht="23" customHeight="1">
      <x:c r="A38" s="172"/>
      <x:c r="B38" s="172"/>
      <x:c r="C38" s="172"/>
      <x:c r="D38" s="172"/>
      <x:c r="E38" s="172"/>
      <x:c r="F38" s="172"/>
    </x:row>
    <x:row r="39" ht="23" customHeight="1">
      <x:c r="A39" s="172"/>
      <x:c r="B39" s="172"/>
      <x:c r="C39" s="172"/>
      <x:c r="D39" s="172"/>
      <x:c r="E39" s="172"/>
      <x:c r="F39" s="172"/>
    </x:row>
    <x:row r="40" ht="23" customHeight="1">
      <x:c r="A40" s="172"/>
      <x:c r="B40" s="172"/>
      <x:c r="C40" s="172"/>
      <x:c r="D40" s="172"/>
      <x:c r="E40" s="172"/>
      <x:c r="F40" s="172"/>
    </x:row>
  </x:sheetData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Pr>
    <x:tabColor rgb="FF117E80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4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29" hidden="0" customWidth="1"/>
    <x:col min="9" max="9" width="29" hidden="0" customWidth="1"/>
    <x:col min="10" max="10" width="15" hidden="0" customWidth="1"/>
    <x:col min="11" max="11" width="15" hidden="0" customWidth="1"/>
    <x:col min="12" max="12" width="15" hidden="0" customWidth="1"/>
  </x:cols>
  <x:sheetData>
    <x:row r="1" ht="23" customHeight="1">
      <x:c r="A1" s="173" t="str">
        <x:v>P5 EMPIRIC ȘI PRIOR</x:v>
      </x:c>
      <x:c r="B1" s="172"/>
      <x:c r="C1" s="172"/>
      <x:c r="D1" s="172"/>
      <x:c r="E1" s="172"/>
      <x:c r="F1" s="172"/>
      <x:c r="G1" s="172"/>
      <x:c r="H1" s="172"/>
      <x:c r="I1" s="172"/>
      <x:c r="J1" s="172"/>
      <x:c r="K1" s="172"/>
      <x:c r="L1" s="172"/>
    </x:row>
    <x:row r="2" ht="23" customHeight="1">
      <x:c r="A2" s="172"/>
      <x:c r="B2" s="172"/>
      <x:c r="C2" s="172"/>
      <x:c r="D2" s="172"/>
      <x:c r="E2" s="172"/>
      <x:c r="F2" s="172"/>
      <x:c r="G2" s="172"/>
      <x:c r="H2" s="172"/>
      <x:c r="I2" s="172"/>
      <x:c r="J2" s="172"/>
      <x:c r="K2" s="172"/>
      <x:c r="L2" s="172"/>
    </x:row>
    <x:row r="3" ht="36" customHeight="1">
      <x:c r="A3" s="181" t="str">
        <x:v>Segment</x:v>
      </x:c>
      <x:c r="B3" s="181" t="str">
        <x:v>N curent</x:v>
      </x:c>
      <x:c r="C3" s="181" t="str">
        <x:v>P5 curent</x:v>
      </x:c>
      <x:c r="D3" s="181" t="str">
        <x:v>P6+</x:v>
      </x:c>
      <x:c r="E3" s="181" t="str">
        <x:v>N prior</x:v>
      </x:c>
      <x:c r="F3" s="181" t="str">
        <x:v>P5 prior</x:v>
      </x:c>
      <x:c r="G3" s="181" t="str">
        <x:v>P6+ prior</x:v>
      </x:c>
      <x:c r="H3" s="181" t="str">
        <x:v>Data Status</x:v>
      </x:c>
      <x:c r="I3" s="181" t="str">
        <x:v>Stare calcul</x:v>
      </x:c>
      <x:c r="J3" s="181" t="str">
        <x:v>P5 utilizat</x:v>
      </x:c>
      <x:c r="K3" s="172"/>
      <x:c r="L3" s="172"/>
    </x:row>
    <x:row r="4" ht="23" customHeight="1">
      <x:c r="A4" s="172" t="str">
        <x:v>League/match profile</x:v>
      </x:c>
      <x:c r="B4" s="172" t="str">
        <x:f>IF('Date statistice'!D70="","",'Date statistice'!D70)</x:f>
      </x:c>
      <x:c r="C4" s="172" t="str">
        <x:f>IF('Date statistice'!C70="","",'Date statistice'!C70)</x:f>
      </x:c>
      <x:c r="D4" s="172"/>
      <x:c r="E4" s="172" t="str">
        <x:f>IF('Date statistice'!F70="","",'Date statistice'!F70)</x:f>
      </x:c>
      <x:c r="F4" s="172" t="str">
        <x:f>IF('Date statistice'!E70="","",'Date statistice'!E70)</x:f>
      </x:c>
      <x:c r="G4" s="172"/>
      <x:c r="H4" s="172" t="str">
        <x:f>IF('Date statistice'!G70="","",'Date statistice'!G70)</x:f>
        <x:v>AVAILABLE – NOT CHECKED</x:v>
      </x:c>
      <x:c r="I4" s="172" t="str">
        <x:f>IFERROR(IF('Date statistice'!G70="SOURCE CONFLICT","SOURCE CONFLICT",IF('Date statistice'!G70="NOT AVAILABLE","NOT AVAILABLE",IF(NOT(OR('Date statistice'!G70="VERIFIED",'Date statistice'!G70="DERIVED",'Date statistice'!G70="SMALL SAMPLE",'Date statistice'!G70="PRIOR / SHRINKAGE",'Date statistice'!G70="PROXY ONLY")),"INCOMPLETE",IF(AND(AND(OR(AND('Date statistice'!C70="",'Date statistice'!D70=""),AND(ISNUMBER('Date statistice'!C70),'Date statistice'!C70&gt;=0,'Date statistice'!C70&lt;=1,ISNUMBER('Date statistice'!D70),'Date statistice'!D70&gt;0,INT('Date statistice'!D70)='Date statistice'!D70)),OR(AND('Date statistice'!E70="",'Date statistice'!F70=""),AND(ISNUMBER('Date statistice'!E70),'Date statistice'!E70&gt;=0,'Date statistice'!E70&lt;=1,ISNUMBER('Date statistice'!F70),'Date statistice'!F70&gt;0,INT('Date statistice'!F70)='Date statistice'!F70))),OR(AND(ISNUMBER('Date statistice'!C70),'Date statistice'!C70&gt;=0,'Date statistice'!C70&lt;=1,ISNUMBER('Date statistice'!D70),'Date statistice'!D70&gt;0,INT('Date statistice'!D70)='Date statistice'!D70),AND(ISNUMBER('Date statistice'!E70),'Date statistice'!E70&gt;=0,'Date statistice'!E70&lt;=1,ISNUMBER('Date statistice'!F70),'Date statistice'!F70&gt;0,INT('Date statistice'!F70)='Date statistice'!F70)),'Date statistice'!H70&lt;&gt;"",ISNUMBER('Date statistice'!I70),'Date statistice'!I70&lt;'Date statistice'!$B$10,'Date statistice'!J70&lt;&gt;""),"READY","INVALID")))),"INVALID")</x:f>
        <x:v>INCOMPLETE</x:v>
      </x:c>
      <x:c r="J4" s="192" t="str">
        <x:f>IF(I4&lt;&gt;"READY","",(IF(ISNUMBER(C4),C4,0)*IF(ISNUMBER(B4),B4,0)+IF(ISNUMBER(F4),F4,0)*IF(ISNUMBER(E4),E4,0))/(SUM(B4,E4)))</x:f>
      </x:c>
      <x:c r="K4" s="172"/>
      <x:c r="L4" s="172"/>
    </x:row>
    <x:row r="5" ht="23" customHeight="1">
      <x:c r="A5" s="172" t="str">
        <x:v>Favorite team tail</x:v>
      </x:c>
      <x:c r="B5" s="172" t="str">
        <x:f>IF('Date statistice'!D71="","",'Date statistice'!D71)</x:f>
      </x:c>
      <x:c r="C5" s="172" t="str">
        <x:f>IF('Date statistice'!C71="","",'Date statistice'!C71)</x:f>
      </x:c>
      <x:c r="D5" s="172"/>
      <x:c r="E5" s="172" t="str">
        <x:f>IF('Date statistice'!F71="","",'Date statistice'!F71)</x:f>
      </x:c>
      <x:c r="F5" s="172" t="str">
        <x:f>IF('Date statistice'!E71="","",'Date statistice'!E71)</x:f>
      </x:c>
      <x:c r="G5" s="172"/>
      <x:c r="H5" s="172" t="str">
        <x:f>IF('Date statistice'!G71="","",'Date statistice'!G71)</x:f>
        <x:v>AVAILABLE – NOT CHECKED</x:v>
      </x:c>
      <x:c r="I5" s="172" t="str">
        <x:f>IFERROR(IF('Date statistice'!G71="SOURCE CONFLICT","SOURCE CONFLICT",IF('Date statistice'!G71="NOT AVAILABLE","NOT AVAILABLE",IF(NOT(OR('Date statistice'!G71="VERIFIED",'Date statistice'!G71="DERIVED",'Date statistice'!G71="SMALL SAMPLE",'Date statistice'!G71="PRIOR / SHRINKAGE",'Date statistice'!G71="PROXY ONLY")),"INCOMPLETE",IF(AND(AND(OR(AND('Date statistice'!C71="",'Date statistice'!D71=""),AND(ISNUMBER('Date statistice'!C71),'Date statistice'!C71&gt;=0,'Date statistice'!C71&lt;=1,ISNUMBER('Date statistice'!D71),'Date statistice'!D71&gt;0,INT('Date statistice'!D71)='Date statistice'!D71)),OR(AND('Date statistice'!E71="",'Date statistice'!F71=""),AND(ISNUMBER('Date statistice'!E71),'Date statistice'!E71&gt;=0,'Date statistice'!E71&lt;=1,ISNUMBER('Date statistice'!F71),'Date statistice'!F71&gt;0,INT('Date statistice'!F71)='Date statistice'!F71))),OR(AND(ISNUMBER('Date statistice'!C71),'Date statistice'!C71&gt;=0,'Date statistice'!C71&lt;=1,ISNUMBER('Date statistice'!D71),'Date statistice'!D71&gt;0,INT('Date statistice'!D71)='Date statistice'!D71),AND(ISNUMBER('Date statistice'!E71),'Date statistice'!E71&gt;=0,'Date statistice'!E71&lt;=1,ISNUMBER('Date statistice'!F71),'Date statistice'!F71&gt;0,INT('Date statistice'!F71)='Date statistice'!F71)),'Date statistice'!H71&lt;&gt;"",ISNUMBER('Date statistice'!I71),'Date statistice'!I71&lt;'Date statistice'!$B$10,'Date statistice'!J71&lt;&gt;""),"READY","INVALID")))),"INVALID")</x:f>
        <x:v>INCOMPLETE</x:v>
      </x:c>
      <x:c r="J5" s="192" t="str">
        <x:f>IF(I5&lt;&gt;"READY","",(IF(ISNUMBER(C5),C5,0)*IF(ISNUMBER(B5),B5,0)+IF(ISNUMBER(F5),F5,0)*IF(ISNUMBER(E5),E5,0))/(SUM(B5,E5)))</x:f>
      </x:c>
      <x:c r="K5" s="172"/>
      <x:c r="L5" s="172"/>
    </x:row>
    <x:row r="6" ht="23" customHeight="1">
      <x:c r="A6" s="172" t="str">
        <x:v>Opponent defensive collapse</x:v>
      </x:c>
      <x:c r="B6" s="172" t="str">
        <x:f>IF('Date statistice'!D72="","",'Date statistice'!D72)</x:f>
      </x:c>
      <x:c r="C6" s="172" t="str">
        <x:f>IF('Date statistice'!C72="","",'Date statistice'!C72)</x:f>
      </x:c>
      <x:c r="D6" s="172"/>
      <x:c r="E6" s="172" t="str">
        <x:f>IF('Date statistice'!F72="","",'Date statistice'!F72)</x:f>
      </x:c>
      <x:c r="F6" s="172" t="str">
        <x:f>IF('Date statistice'!E72="","",'Date statistice'!E72)</x:f>
      </x:c>
      <x:c r="G6" s="172"/>
      <x:c r="H6" s="172" t="str">
        <x:f>IF('Date statistice'!G72="","",'Date statistice'!G72)</x:f>
        <x:v>AVAILABLE – NOT CHECKED</x:v>
      </x:c>
      <x:c r="I6" s="172" t="str">
        <x:f>IFERROR(IF('Date statistice'!G72="SOURCE CONFLICT","SOURCE CONFLICT",IF('Date statistice'!G72="NOT AVAILABLE","NOT AVAILABLE",IF(NOT(OR('Date statistice'!G72="VERIFIED",'Date statistice'!G72="DERIVED",'Date statistice'!G72="SMALL SAMPLE",'Date statistice'!G72="PRIOR / SHRINKAGE",'Date statistice'!G72="PROXY ONLY")),"INCOMPLETE",IF(AND(AND(OR(AND('Date statistice'!C72="",'Date statistice'!D72=""),AND(ISNUMBER('Date statistice'!C72),'Date statistice'!C72&gt;=0,'Date statistice'!C72&lt;=1,ISNUMBER('Date statistice'!D72),'Date statistice'!D72&gt;0,INT('Date statistice'!D72)='Date statistice'!D72)),OR(AND('Date statistice'!E72="",'Date statistice'!F72=""),AND(ISNUMBER('Date statistice'!E72),'Date statistice'!E72&gt;=0,'Date statistice'!E72&lt;=1,ISNUMBER('Date statistice'!F72),'Date statistice'!F72&gt;0,INT('Date statistice'!F72)='Date statistice'!F72))),OR(AND(ISNUMBER('Date statistice'!C72),'Date statistice'!C72&gt;=0,'Date statistice'!C72&lt;=1,ISNUMBER('Date statistice'!D72),'Date statistice'!D72&gt;0,INT('Date statistice'!D72)='Date statistice'!D72),AND(ISNUMBER('Date statistice'!E72),'Date statistice'!E72&gt;=0,'Date statistice'!E72&lt;=1,ISNUMBER('Date statistice'!F72),'Date statistice'!F72&gt;0,INT('Date statistice'!F72)='Date statistice'!F72)),'Date statistice'!H72&lt;&gt;"",ISNUMBER('Date statistice'!I72),'Date statistice'!I72&lt;'Date statistice'!$B$10,'Date statistice'!J72&lt;&gt;""),"READY","INVALID")))),"INVALID")</x:f>
        <x:v>INCOMPLETE</x:v>
      </x:c>
      <x:c r="J6" s="192" t="str">
        <x:f>IF(I6&lt;&gt;"READY","",(IF(ISNUMBER(C6),C6,0)*IF(ISNUMBER(B6),B6,0)+IF(ISNUMBER(F6),F6,0)*IF(ISNUMBER(E6),E6,0))/(SUM(B6,E6)))</x:f>
      </x:c>
      <x:c r="K6" s="172"/>
      <x:c r="L6" s="172"/>
    </x:row>
    <x:row r="7" ht="23" customHeight="1">
      <x:c r="A7" s="172" t="str">
        <x:v>Recent L10</x:v>
      </x:c>
      <x:c r="B7" s="172" t="str">
        <x:f>IF('Date statistice'!D73="","",'Date statistice'!D73)</x:f>
      </x:c>
      <x:c r="C7" s="172" t="str">
        <x:f>IF('Date statistice'!C73="","",'Date statistice'!C73)</x:f>
      </x:c>
      <x:c r="D7" s="172"/>
      <x:c r="E7" s="172" t="str">
        <x:f>IF('Date statistice'!F73="","",'Date statistice'!F73)</x:f>
      </x:c>
      <x:c r="F7" s="172" t="str">
        <x:f>IF('Date statistice'!E73="","",'Date statistice'!E73)</x:f>
      </x:c>
      <x:c r="G7" s="172"/>
      <x:c r="H7" s="172" t="str">
        <x:f>IF('Date statistice'!G73="","",'Date statistice'!G73)</x:f>
        <x:v>AVAILABLE – NOT CHECKED</x:v>
      </x:c>
      <x:c r="I7" s="172" t="str">
        <x:f>IFERROR(IF('Date statistice'!G73="SOURCE CONFLICT","SOURCE CONFLICT",IF('Date statistice'!G73="NOT AVAILABLE","NOT AVAILABLE",IF(NOT(OR('Date statistice'!G73="VERIFIED",'Date statistice'!G73="DERIVED",'Date statistice'!G73="SMALL SAMPLE",'Date statistice'!G73="PRIOR / SHRINKAGE",'Date statistice'!G73="PROXY ONLY")),"INCOMPLETE",IF(AND(AND(OR(AND('Date statistice'!C73="",'Date statistice'!D73=""),AND(ISNUMBER('Date statistice'!C73),'Date statistice'!C73&gt;=0,'Date statistice'!C73&lt;=1,ISNUMBER('Date statistice'!D73),'Date statistice'!D73&gt;0,INT('Date statistice'!D73)='Date statistice'!D73)),OR(AND('Date statistice'!E73="",'Date statistice'!F73=""),AND(ISNUMBER('Date statistice'!E73),'Date statistice'!E73&gt;=0,'Date statistice'!E73&lt;=1,ISNUMBER('Date statistice'!F73),'Date statistice'!F73&gt;0,INT('Date statistice'!F73)='Date statistice'!F73))),OR(AND(ISNUMBER('Date statistice'!C73),'Date statistice'!C73&gt;=0,'Date statistice'!C73&lt;=1,ISNUMBER('Date statistice'!D73),'Date statistice'!D73&gt;0,INT('Date statistice'!D73)='Date statistice'!D73),AND(ISNUMBER('Date statistice'!E73),'Date statistice'!E73&gt;=0,'Date statistice'!E73&lt;=1,ISNUMBER('Date statistice'!F73),'Date statistice'!F73&gt;0,INT('Date statistice'!F73)='Date statistice'!F73)),'Date statistice'!H73&lt;&gt;"",ISNUMBER('Date statistice'!I73),'Date statistice'!I73&lt;'Date statistice'!$B$10,'Date statistice'!J73&lt;&gt;""),"READY","INVALID")))),"INVALID")</x:f>
        <x:v>INCOMPLETE</x:v>
      </x:c>
      <x:c r="J7" s="192" t="str">
        <x:f>IF(I7&lt;&gt;"READY","",(IF(ISNUMBER(C7),C7,0)*IF(ISNUMBER(B7),B7,0)+IF(ISNUMBER(F7),F7,0)*IF(ISNUMBER(E7),E7,0))/(SUM(B7,E7)))</x:f>
      </x:c>
      <x:c r="K7" s="172"/>
      <x:c r="L7" s="172"/>
    </x:row>
    <x:row r="8" ht="23" customHeight="1">
      <x:c r="A8" s="172"/>
      <x:c r="B8" s="172"/>
      <x:c r="C8" s="172"/>
      <x:c r="D8" s="172"/>
      <x:c r="E8" s="172"/>
      <x:c r="F8" s="172"/>
      <x:c r="G8" s="172"/>
      <x:c r="H8" s="172"/>
      <x:c r="I8" s="172"/>
      <x:c r="J8" s="172"/>
      <x:c r="K8" s="172"/>
      <x:c r="L8" s="172"/>
    </x:row>
    <x:row r="9" ht="23" customHeight="1">
      <x:c r="A9" s="172"/>
      <x:c r="B9" s="172"/>
      <x:c r="C9" s="172"/>
      <x:c r="D9" s="172"/>
      <x:c r="E9" s="172"/>
      <x:c r="F9" s="172"/>
      <x:c r="G9" s="172"/>
      <x:c r="H9" s="172"/>
      <x:c r="I9" s="172"/>
      <x:c r="J9" s="172"/>
      <x:c r="K9" s="172"/>
      <x:c r="L9" s="172"/>
    </x:row>
    <x:row r="10" ht="23" customHeight="1">
      <x:c r="A10" s="172"/>
      <x:c r="B10" s="172"/>
      <x:c r="C10" s="172"/>
      <x:c r="D10" s="172"/>
      <x:c r="E10" s="172"/>
      <x:c r="F10" s="172"/>
      <x:c r="G10" s="172"/>
      <x:c r="H10" s="172"/>
      <x:c r="I10" s="172"/>
      <x:c r="J10" s="172"/>
      <x:c r="K10" s="172"/>
      <x:c r="L10" s="172"/>
    </x:row>
    <x:row r="11" ht="23" customHeight="1">
      <x:c r="A11" s="172"/>
      <x:c r="B11" s="172"/>
      <x:c r="C11" s="172"/>
      <x:c r="D11" s="172"/>
      <x:c r="E11" s="172"/>
      <x:c r="F11" s="172"/>
      <x:c r="G11" s="172"/>
      <x:c r="H11" s="172"/>
      <x:c r="I11" s="172"/>
      <x:c r="J11" s="172"/>
      <x:c r="K11" s="172"/>
      <x:c r="L11" s="172"/>
    </x:row>
    <x:row r="12" ht="23" customHeight="1">
      <x:c r="A12" s="172"/>
      <x:c r="B12" s="172"/>
      <x:c r="C12" s="172"/>
      <x:c r="D12" s="172"/>
      <x:c r="E12" s="172"/>
      <x:c r="F12" s="172"/>
      <x:c r="G12" s="172"/>
      <x:c r="H12" s="172"/>
      <x:c r="I12" s="172"/>
      <x:c r="J12" s="172"/>
      <x:c r="K12" s="172"/>
      <x:c r="L12" s="172"/>
    </x:row>
    <x:row r="13" ht="23" customHeight="1">
      <x:c r="A13" s="172"/>
      <x:c r="B13" s="172"/>
      <x:c r="C13" s="172"/>
      <x:c r="D13" s="172"/>
      <x:c r="E13" s="172"/>
      <x:c r="F13" s="172"/>
      <x:c r="G13" s="172"/>
      <x:c r="H13" s="172"/>
      <x:c r="I13" s="172"/>
      <x:c r="J13" s="172"/>
      <x:c r="K13" s="172"/>
      <x:c r="L13" s="172"/>
    </x:row>
    <x:row r="14" ht="23" customHeight="1">
      <x:c r="A14" s="172"/>
      <x:c r="B14" s="172"/>
      <x:c r="C14" s="172"/>
      <x:c r="D14" s="172"/>
      <x:c r="E14" s="172"/>
      <x:c r="F14" s="172"/>
      <x:c r="G14" s="172"/>
      <x:c r="H14" s="172"/>
      <x:c r="I14" s="172"/>
      <x:c r="J14" s="172"/>
      <x:c r="K14" s="172"/>
      <x:c r="L14" s="172"/>
    </x:row>
    <x:row r="15" ht="23" customHeight="1">
      <x:c r="A15" s="172"/>
      <x:c r="B15" s="172"/>
      <x:c r="C15" s="172"/>
      <x:c r="D15" s="172"/>
      <x:c r="E15" s="172"/>
      <x:c r="F15" s="172"/>
      <x:c r="G15" s="172"/>
      <x:c r="H15" s="172"/>
      <x:c r="I15" s="172"/>
      <x:c r="J15" s="172"/>
      <x:c r="K15" s="172"/>
      <x:c r="L15" s="172"/>
    </x:row>
    <x:row r="16" ht="23" customHeight="1">
      <x:c r="A16" s="172"/>
      <x:c r="B16" s="172"/>
      <x:c r="C16" s="172"/>
      <x:c r="D16" s="172"/>
      <x:c r="E16" s="172"/>
      <x:c r="F16" s="172"/>
      <x:c r="G16" s="172"/>
      <x:c r="H16" s="172"/>
      <x:c r="I16" s="172"/>
      <x:c r="J16" s="172"/>
      <x:c r="K16" s="172"/>
      <x:c r="L16" s="172"/>
    </x:row>
    <x:row r="17" ht="23" customHeight="1">
      <x:c r="A17" s="172"/>
      <x:c r="B17" s="172"/>
      <x:c r="C17" s="172"/>
      <x:c r="D17" s="172"/>
      <x:c r="E17" s="172"/>
      <x:c r="F17" s="172"/>
      <x:c r="G17" s="172"/>
      <x:c r="H17" s="172"/>
      <x:c r="I17" s="172"/>
      <x:c r="J17" s="172"/>
      <x:c r="K17" s="172"/>
      <x:c r="L17" s="172"/>
    </x:row>
    <x:row r="18" ht="23" customHeight="1">
      <x:c r="A18" s="172"/>
      <x:c r="B18" s="172"/>
      <x:c r="C18" s="172"/>
      <x:c r="D18" s="172"/>
      <x:c r="E18" s="172"/>
      <x:c r="F18" s="172"/>
      <x:c r="G18" s="172"/>
      <x:c r="H18" s="172"/>
      <x:c r="I18" s="172"/>
      <x:c r="J18" s="172"/>
      <x:c r="K18" s="172"/>
      <x:c r="L18" s="172"/>
    </x:row>
    <x:row r="19" ht="23" customHeight="1">
      <x:c r="A19" s="172"/>
      <x:c r="B19" s="172"/>
      <x:c r="C19" s="172"/>
      <x:c r="D19" s="172"/>
      <x:c r="E19" s="172"/>
      <x:c r="F19" s="172"/>
      <x:c r="G19" s="172"/>
      <x:c r="H19" s="172"/>
      <x:c r="I19" s="172"/>
      <x:c r="J19" s="172"/>
      <x:c r="K19" s="172"/>
      <x:c r="L19" s="172"/>
    </x:row>
    <x:row r="20" ht="23" customHeight="1">
      <x:c r="A20" s="172"/>
      <x:c r="B20" s="172"/>
      <x:c r="C20" s="172"/>
      <x:c r="D20" s="172"/>
      <x:c r="E20" s="172"/>
      <x:c r="F20" s="172"/>
      <x:c r="G20" s="172"/>
      <x:c r="H20" s="172"/>
      <x:c r="I20" s="172"/>
      <x:c r="J20" s="172"/>
      <x:c r="K20" s="172"/>
      <x:c r="L20" s="172"/>
    </x:row>
    <x:row r="21" ht="23" customHeight="1">
      <x:c r="A21" s="172"/>
      <x:c r="B21" s="172"/>
      <x:c r="C21" s="172"/>
      <x:c r="D21" s="172"/>
      <x:c r="E21" s="172"/>
      <x:c r="F21" s="172"/>
      <x:c r="G21" s="172"/>
      <x:c r="H21" s="172"/>
      <x:c r="I21" s="172"/>
      <x:c r="J21" s="172"/>
      <x:c r="K21" s="172"/>
      <x:c r="L21" s="172"/>
    </x:row>
    <x:row r="22" ht="23" customHeight="1">
      <x:c r="A22" s="172"/>
      <x:c r="B22" s="172"/>
      <x:c r="C22" s="172"/>
      <x:c r="D22" s="172"/>
      <x:c r="E22" s="172"/>
      <x:c r="F22" s="172"/>
      <x:c r="G22" s="172"/>
      <x:c r="H22" s="172"/>
      <x:c r="I22" s="172"/>
      <x:c r="J22" s="172"/>
      <x:c r="K22" s="172"/>
      <x:c r="L22" s="172"/>
    </x:row>
    <x:row r="23" ht="23" customHeight="1">
      <x:c r="A23" s="172"/>
      <x:c r="B23" s="172"/>
      <x:c r="C23" s="172"/>
      <x:c r="D23" s="172"/>
      <x:c r="E23" s="172"/>
      <x:c r="F23" s="172"/>
      <x:c r="G23" s="172"/>
      <x:c r="H23" s="172"/>
      <x:c r="I23" s="172"/>
      <x:c r="J23" s="172"/>
      <x:c r="K23" s="172"/>
      <x:c r="L23" s="172"/>
    </x:row>
    <x:row r="24" ht="23" customHeight="1">
      <x:c r="A24" s="172"/>
      <x:c r="B24" s="172"/>
      <x:c r="C24" s="172"/>
      <x:c r="D24" s="172"/>
      <x:c r="E24" s="172"/>
      <x:c r="F24" s="172"/>
      <x:c r="G24" s="172"/>
      <x:c r="H24" s="172"/>
      <x:c r="I24" s="172"/>
      <x:c r="J24" s="172"/>
      <x:c r="K24" s="172"/>
      <x:c r="L24" s="172"/>
    </x:row>
    <x:row r="25" ht="23" customHeight="1">
      <x:c r="A25" s="172"/>
      <x:c r="B25" s="172"/>
      <x:c r="C25" s="172"/>
      <x:c r="D25" s="172"/>
      <x:c r="E25" s="172"/>
      <x:c r="F25" s="172"/>
      <x:c r="G25" s="172"/>
      <x:c r="H25" s="172"/>
      <x:c r="I25" s="172"/>
      <x:c r="J25" s="172"/>
      <x:c r="K25" s="172"/>
      <x:c r="L25" s="172"/>
    </x:row>
    <x:row r="26" ht="23" customHeight="1">
      <x:c r="A26" s="172"/>
      <x:c r="B26" s="172"/>
      <x:c r="C26" s="172"/>
      <x:c r="D26" s="172"/>
      <x:c r="E26" s="172"/>
      <x:c r="F26" s="172"/>
      <x:c r="G26" s="172"/>
      <x:c r="H26" s="172"/>
      <x:c r="I26" s="172"/>
      <x:c r="J26" s="172"/>
      <x:c r="K26" s="172"/>
      <x:c r="L26" s="172"/>
    </x:row>
    <x:row r="27" ht="23" customHeight="1">
      <x:c r="A27" s="172"/>
      <x:c r="B27" s="172"/>
      <x:c r="C27" s="172"/>
      <x:c r="D27" s="172"/>
      <x:c r="E27" s="172"/>
      <x:c r="F27" s="172"/>
      <x:c r="G27" s="172"/>
      <x:c r="H27" s="172"/>
      <x:c r="I27" s="172"/>
      <x:c r="J27" s="172"/>
      <x:c r="K27" s="172"/>
      <x:c r="L27" s="172"/>
    </x:row>
    <x:row r="28" ht="23" customHeight="1">
      <x:c r="A28" s="172"/>
      <x:c r="B28" s="172"/>
      <x:c r="C28" s="172"/>
      <x:c r="D28" s="172"/>
      <x:c r="E28" s="172"/>
      <x:c r="F28" s="172"/>
      <x:c r="G28" s="172"/>
      <x:c r="H28" s="172"/>
      <x:c r="I28" s="172"/>
      <x:c r="J28" s="172"/>
      <x:c r="K28" s="172"/>
      <x:c r="L28" s="172"/>
    </x:row>
    <x:row r="29" ht="23" customHeight="1">
      <x:c r="A29" s="172"/>
      <x:c r="B29" s="172"/>
      <x:c r="C29" s="172"/>
      <x:c r="D29" s="172"/>
      <x:c r="E29" s="172"/>
      <x:c r="F29" s="172"/>
      <x:c r="G29" s="172"/>
      <x:c r="H29" s="172"/>
      <x:c r="I29" s="172"/>
      <x:c r="J29" s="172"/>
      <x:c r="K29" s="172"/>
      <x:c r="L29" s="172"/>
    </x:row>
    <x:row r="30" ht="23" customHeight="1">
      <x:c r="A30" s="172"/>
      <x:c r="B30" s="172"/>
      <x:c r="C30" s="172"/>
      <x:c r="D30" s="172"/>
      <x:c r="E30" s="172"/>
      <x:c r="F30" s="172"/>
      <x:c r="G30" s="172"/>
      <x:c r="H30" s="172"/>
      <x:c r="I30" s="172"/>
      <x:c r="J30" s="172"/>
      <x:c r="K30" s="172"/>
      <x:c r="L30" s="172"/>
    </x:row>
    <x:row r="31" ht="23" customHeight="1">
      <x:c r="A31" s="172"/>
      <x:c r="B31" s="172"/>
      <x:c r="C31" s="172"/>
      <x:c r="D31" s="172"/>
      <x:c r="E31" s="172"/>
      <x:c r="F31" s="172"/>
      <x:c r="G31" s="172"/>
      <x:c r="H31" s="172"/>
      <x:c r="I31" s="172"/>
      <x:c r="J31" s="172"/>
      <x:c r="K31" s="172"/>
      <x:c r="L31" s="172"/>
    </x:row>
    <x:row r="32" ht="23" customHeight="1">
      <x:c r="A32" s="172"/>
      <x:c r="B32" s="172"/>
      <x:c r="C32" s="172"/>
      <x:c r="D32" s="172"/>
      <x:c r="E32" s="172"/>
      <x:c r="F32" s="172"/>
      <x:c r="G32" s="172"/>
      <x:c r="H32" s="172"/>
      <x:c r="I32" s="172"/>
      <x:c r="J32" s="172"/>
      <x:c r="K32" s="172"/>
      <x:c r="L32" s="172"/>
    </x:row>
    <x:row r="33" ht="23" customHeight="1">
      <x:c r="A33" s="172"/>
      <x:c r="B33" s="172"/>
      <x:c r="C33" s="172"/>
      <x:c r="D33" s="172"/>
      <x:c r="E33" s="172"/>
      <x:c r="F33" s="172"/>
      <x:c r="G33" s="172"/>
      <x:c r="H33" s="172"/>
      <x:c r="I33" s="172"/>
      <x:c r="J33" s="172"/>
      <x:c r="K33" s="172"/>
      <x:c r="L33" s="172"/>
    </x:row>
    <x:row r="34" ht="23" customHeight="1">
      <x:c r="A34" s="172"/>
      <x:c r="B34" s="172"/>
      <x:c r="C34" s="172"/>
      <x:c r="D34" s="172"/>
      <x:c r="E34" s="172"/>
      <x:c r="F34" s="172"/>
      <x:c r="G34" s="172"/>
      <x:c r="H34" s="172"/>
      <x:c r="I34" s="172"/>
      <x:c r="J34" s="172"/>
      <x:c r="K34" s="172"/>
      <x:c r="L34" s="172"/>
    </x:row>
    <x:row r="35" ht="23" customHeight="1">
      <x:c r="A35" s="172"/>
      <x:c r="B35" s="172"/>
      <x:c r="C35" s="172"/>
      <x:c r="D35" s="172"/>
      <x:c r="E35" s="172"/>
      <x:c r="F35" s="172"/>
      <x:c r="G35" s="172"/>
      <x:c r="H35" s="172"/>
      <x:c r="I35" s="172"/>
      <x:c r="J35" s="172"/>
      <x:c r="K35" s="172"/>
      <x:c r="L35" s="172"/>
    </x:row>
    <x:row r="36" ht="23" customHeight="1">
      <x:c r="A36" s="172"/>
      <x:c r="B36" s="172"/>
      <x:c r="C36" s="172"/>
      <x:c r="D36" s="172"/>
      <x:c r="E36" s="172"/>
      <x:c r="F36" s="172"/>
      <x:c r="G36" s="172"/>
      <x:c r="H36" s="172"/>
      <x:c r="I36" s="172"/>
      <x:c r="J36" s="172"/>
      <x:c r="K36" s="172"/>
      <x:c r="L36" s="172"/>
    </x:row>
    <x:row r="37" ht="23" customHeight="1">
      <x:c r="A37" s="172"/>
      <x:c r="B37" s="172"/>
      <x:c r="C37" s="172"/>
      <x:c r="D37" s="172"/>
      <x:c r="E37" s="172"/>
      <x:c r="F37" s="172"/>
      <x:c r="G37" s="172"/>
      <x:c r="H37" s="172"/>
      <x:c r="I37" s="172"/>
      <x:c r="J37" s="172"/>
      <x:c r="K37" s="172"/>
      <x:c r="L37" s="172"/>
    </x:row>
    <x:row r="38" ht="23" customHeight="1">
      <x:c r="A38" s="172"/>
      <x:c r="B38" s="172"/>
      <x:c r="C38" s="172"/>
      <x:c r="D38" s="172"/>
      <x:c r="E38" s="172"/>
      <x:c r="F38" s="172"/>
      <x:c r="G38" s="172"/>
      <x:c r="H38" s="172"/>
      <x:c r="I38" s="172"/>
      <x:c r="J38" s="172"/>
      <x:c r="K38" s="172"/>
      <x:c r="L38" s="172"/>
    </x:row>
    <x:row r="39" ht="23" customHeight="1">
      <x:c r="A39" s="172"/>
      <x:c r="B39" s="172"/>
      <x:c r="C39" s="172"/>
      <x:c r="D39" s="172"/>
      <x:c r="E39" s="172"/>
      <x:c r="F39" s="172"/>
      <x:c r="G39" s="172"/>
      <x:c r="H39" s="172"/>
      <x:c r="I39" s="172"/>
      <x:c r="J39" s="172"/>
      <x:c r="K39" s="172"/>
      <x:c r="L39" s="172"/>
    </x:row>
    <x:row r="40" ht="23" customHeight="1">
      <x:c r="A40" s="172"/>
      <x:c r="B40" s="172"/>
      <x:c r="C40" s="172"/>
      <x:c r="D40" s="172"/>
      <x:c r="E40" s="172"/>
      <x:c r="F40" s="172"/>
      <x:c r="G40" s="172"/>
      <x:c r="H40" s="172"/>
      <x:c r="I40" s="172"/>
      <x:c r="J40" s="172"/>
      <x:c r="K40" s="172"/>
      <x:c r="L40" s="172"/>
    </x:row>
  </x:sheetData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Pr>
    <x:tabColor rgb="FF117E80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3" hidden="0" customWidth="1"/>
    <x:col min="2" max="2" width="47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23" customHeight="1">
      <x:c r="A1" s="173" t="str">
        <x:v>EXACT 5 GOLURI ÎN RISC ȘI CLASAMENT</x:v>
      </x:c>
      <x:c r="B1" s="172"/>
      <x:c r="C1" s="172"/>
      <x:c r="D1" s="172"/>
      <x:c r="E1" s="172"/>
      <x:c r="F1" s="172"/>
      <x:c r="G1" s="172"/>
      <x:c r="H1" s="172"/>
    </x:row>
    <x:row r="2" ht="23" customHeight="1">
      <x:c r="A2" s="172"/>
      <x:c r="B2" s="172"/>
      <x:c r="C2" s="172"/>
      <x:c r="D2" s="172"/>
      <x:c r="E2" s="172"/>
      <x:c r="F2" s="172"/>
      <x:c r="G2" s="172"/>
      <x:c r="H2" s="172"/>
    </x:row>
    <x:row r="3" ht="23" customHeight="1">
      <x:c r="A3" s="174" t="str">
        <x:v>Scorul combină Poisson, NB și segmentul empiric eligibil. Lipsa P5 empiric nu blochează un motor comun valid.</x:v>
      </x:c>
      <x:c r="B3" s="172"/>
      <x:c r="C3" s="172"/>
      <x:c r="D3" s="172"/>
      <x:c r="E3" s="172"/>
      <x:c r="F3" s="172"/>
      <x:c r="G3" s="172"/>
      <x:c r="H3" s="172"/>
    </x:row>
    <x:row r="4" ht="36" customHeight="1">
      <x:c r="A4" s="181" t="str">
        <x:v>Componentă</x:v>
      </x:c>
      <x:c r="B4" s="181" t="str">
        <x:v>Valoare</x:v>
      </x:c>
      <x:c r="C4" s="181" t="str">
        <x:v>Pondere</x:v>
      </x:c>
      <x:c r="D4" s="181" t="str">
        <x:v>Contribuție</x:v>
      </x:c>
      <x:c r="E4" s="172"/>
      <x:c r="F4" s="172"/>
      <x:c r="G4" s="172"/>
      <x:c r="H4" s="172"/>
    </x:row>
    <x:row r="5" ht="23" customHeight="1">
      <x:c r="A5" s="172" t="str">
        <x:v>P5 Poisson</x:v>
      </x:c>
      <x:c r="B5" s="193" t="str">
        <x:f>IF(Goals_Distribution_v9!K7&lt;&gt;"READY","",Goals_Distribution_v9!B10)</x:f>
      </x:c>
      <x:c r="C5" s="172" t="n">
        <x:v>0.3333333333333333</x:v>
      </x:c>
      <x:c r="D5" s="172" t="n">
        <x:f>IF(ISNUMBER(B5),B5*C5,0)</x:f>
        <x:v>0</x:v>
      </x:c>
      <x:c r="E5" s="172"/>
      <x:c r="F5" s="172"/>
      <x:c r="G5" s="172"/>
      <x:c r="H5" s="172"/>
    </x:row>
    <x:row r="6" ht="23" customHeight="1">
      <x:c r="A6" s="172" t="str">
        <x:v>P5 empiric</x:v>
      </x:c>
      <x:c r="B6" s="193" t="str">
        <x:f>IF(INDEX(Tail_Data_v7!I4:I7,MATCH('Date statistice'!B76,Tail_Data_v7!A4:A7,0))="READY",INDEX(Tail_Data_v7!J4:J7,MATCH('Date statistice'!B76,Tail_Data_v7!A4:A7,0)),"")</x:f>
      </x:c>
      <x:c r="C6" s="172" t="n">
        <x:v>0.3333333333333333</x:v>
      </x:c>
      <x:c r="D6" s="172" t="n">
        <x:f>IF(ISNUMBER(B6),B6*C6,0)</x:f>
        <x:v>0</x:v>
      </x:c>
      <x:c r="E6" s="172"/>
      <x:c r="F6" s="172"/>
      <x:c r="G6" s="172"/>
      <x:c r="H6" s="172"/>
    </x:row>
    <x:row r="7" ht="23" customHeight="1">
      <x:c r="A7" s="172" t="str">
        <x:v>P5 NB</x:v>
      </x:c>
      <x:c r="B7" s="193" t="str">
        <x:f>IF(Goals_Distribution_v9!K7&lt;&gt;"READY","",Goals_Distribution_v9!C10)</x:f>
      </x:c>
      <x:c r="C7" s="172" t="n">
        <x:v>0.3333333333333333</x:v>
      </x:c>
      <x:c r="D7" s="172" t="n">
        <x:f>IF(ISNUMBER(B7),B7*C7,0)</x:f>
        <x:v>0</x:v>
      </x:c>
      <x:c r="E7" s="172"/>
      <x:c r="F7" s="172"/>
      <x:c r="G7" s="172"/>
      <x:c r="H7" s="172"/>
    </x:row>
    <x:row r="8" ht="23" customHeight="1">
      <x:c r="A8" s="172" t="str">
        <x:v>NearTailScore</x:v>
      </x:c>
      <x:c r="B8" s="193" t="str">
        <x:f>IF(OR(NOT(ISNUMBER(B5)),NOT(ISNUMBER(B7))),"",SUM(D5:D7)/(C5+C7+IF(ISNUMBER(B6),C6,0)))</x:f>
      </x:c>
      <x:c r="C8" s="172"/>
      <x:c r="D8" s="172"/>
      <x:c r="E8" s="172"/>
      <x:c r="F8" s="172"/>
      <x:c r="G8" s="172"/>
      <x:c r="H8" s="172"/>
    </x:row>
    <x:row r="9" ht="23" customHeight="1">
      <x:c r="A9" s="172" t="str">
        <x:v>P6+ sever</x:v>
      </x:c>
      <x:c r="B9" s="193" t="str">
        <x:f>IF(Goals_Distribution_v9!K7&lt;&gt;"READY","",Goals_Distribution_v9!F10)</x:f>
      </x:c>
      <x:c r="C9" s="172"/>
      <x:c r="D9" s="172"/>
      <x:c r="E9" s="172"/>
      <x:c r="F9" s="172"/>
      <x:c r="G9" s="172"/>
      <x:c r="H9" s="172"/>
    </x:row>
    <x:row r="10" ht="23" customHeight="1">
      <x:c r="A10" s="172"/>
      <x:c r="B10" s="172"/>
      <x:c r="C10" s="172"/>
      <x:c r="D10" s="172"/>
      <x:c r="E10" s="172"/>
      <x:c r="F10" s="172"/>
      <x:c r="G10" s="172"/>
      <x:c r="H10" s="172"/>
    </x:row>
    <x:row r="11" ht="23" customHeight="1">
      <x:c r="A11" s="172"/>
      <x:c r="B11" s="172"/>
      <x:c r="C11" s="172"/>
      <x:c r="D11" s="172"/>
      <x:c r="E11" s="172"/>
      <x:c r="F11" s="172"/>
      <x:c r="G11" s="172"/>
      <x:c r="H11" s="172"/>
    </x:row>
    <x:row r="12" ht="23" customHeight="1">
      <x:c r="A12" s="172"/>
      <x:c r="B12" s="172"/>
      <x:c r="C12" s="172"/>
      <x:c r="D12" s="172"/>
      <x:c r="E12" s="172"/>
      <x:c r="F12" s="172"/>
      <x:c r="G12" s="172"/>
      <x:c r="H12" s="172"/>
    </x:row>
    <x:row r="13" ht="23" customHeight="1">
      <x:c r="A13" s="172"/>
      <x:c r="B13" s="172"/>
      <x:c r="C13" s="172"/>
      <x:c r="D13" s="172"/>
      <x:c r="E13" s="172"/>
      <x:c r="F13" s="172"/>
      <x:c r="G13" s="172"/>
      <x:c r="H13" s="172"/>
    </x:row>
    <x:row r="14" ht="23" customHeight="1">
      <x:c r="A14" s="172" t="str">
        <x:v>Clasă exact-5</x:v>
      </x:c>
      <x:c r="B14" s="172" t="str">
        <x:f>Under_MultiLine_v9!J6</x:f>
        <x:v>PENDING</x:v>
      </x:c>
      <x:c r="C14" s="172"/>
      <x:c r="D14" s="172"/>
      <x:c r="E14" s="172"/>
      <x:c r="F14" s="172"/>
      <x:c r="G14" s="172"/>
      <x:c r="H14" s="172"/>
    </x:row>
    <x:row r="15" ht="23" customHeight="1">
      <x:c r="A15" s="172" t="str">
        <x:v>Downgrade efectiv</x:v>
      </x:c>
      <x:c r="B15" s="172" t="str">
        <x:f>Under_MultiLine_v9!X6</x:f>
      </x:c>
      <x:c r="C15" s="172"/>
      <x:c r="D15" s="172"/>
      <x:c r="E15" s="172"/>
      <x:c r="F15" s="172"/>
      <x:c r="G15" s="172"/>
      <x:c r="H15" s="172"/>
    </x:row>
    <x:row r="16" ht="23" customHeight="1">
      <x:c r="A16" s="172" t="str">
        <x:v>Alternativă U5,5</x:v>
      </x:c>
      <x:c r="B16" s="172" t="str">
        <x:f>IF(AND(B14="RIDICAT",ISNUMBER(B9),ISNUMBER(B8),B9&lt;B8),IF(Under_MultiLine_v9!AA7=1,"U5,5 ELIGIBIL – VERIFICĂ RISCUL","U5,5 DE EVALUAT SEPARAT"),"FĂRĂ PREFERINȚĂ AUTOMATĂ")</x:f>
        <x:v>FĂRĂ PREFERINȚĂ AUTOMATĂ</x:v>
      </x:c>
      <x:c r="C16" s="172"/>
      <x:c r="D16" s="172"/>
      <x:c r="E16" s="172"/>
      <x:c r="F16" s="172"/>
      <x:c r="G16" s="172"/>
      <x:c r="H16" s="172"/>
    </x:row>
    <x:row r="17" ht="23" customHeight="1">
      <x:c r="A17" s="172"/>
      <x:c r="B17" s="172"/>
      <x:c r="C17" s="172"/>
      <x:c r="D17" s="172"/>
      <x:c r="E17" s="172"/>
      <x:c r="F17" s="172"/>
      <x:c r="G17" s="172"/>
      <x:c r="H17" s="172"/>
    </x:row>
    <x:row r="18" ht="23" customHeight="1">
      <x:c r="A18" s="172"/>
      <x:c r="B18" s="172"/>
      <x:c r="C18" s="172"/>
      <x:c r="D18" s="172"/>
      <x:c r="E18" s="172"/>
      <x:c r="F18" s="172"/>
      <x:c r="G18" s="172"/>
      <x:c r="H18" s="172"/>
    </x:row>
    <x:row r="19" ht="23" customHeight="1">
      <x:c r="A19" s="172"/>
      <x:c r="B19" s="172"/>
      <x:c r="C19" s="172"/>
      <x:c r="D19" s="172"/>
      <x:c r="E19" s="172"/>
      <x:c r="F19" s="172"/>
      <x:c r="G19" s="172"/>
      <x:c r="H19" s="172"/>
    </x:row>
    <x:row r="20" ht="23" customHeight="1">
      <x:c r="A20" s="172" t="str">
        <x:v>Ordine: eligibilitate, Risk Level crescător, near-tail crescător, P ajustată descrescător, Confidence descrescător.</x:v>
      </x:c>
      <x:c r="B20" s="172"/>
      <x:c r="C20" s="172"/>
      <x:c r="D20" s="172"/>
      <x:c r="E20" s="172"/>
      <x:c r="F20" s="172"/>
      <x:c r="G20" s="172"/>
      <x:c r="H20" s="172"/>
    </x:row>
    <x:row r="21" ht="23" customHeight="1">
      <x:c r="A21" s="172"/>
      <x:c r="B21" s="172"/>
      <x:c r="C21" s="172"/>
      <x:c r="D21" s="172"/>
      <x:c r="E21" s="172"/>
      <x:c r="F21" s="172"/>
      <x:c r="G21" s="172"/>
      <x:c r="H21" s="172"/>
    </x:row>
    <x:row r="22" ht="23" customHeight="1">
      <x:c r="A22" s="172"/>
      <x:c r="B22" s="172"/>
      <x:c r="C22" s="172"/>
      <x:c r="D22" s="172"/>
      <x:c r="E22" s="172"/>
      <x:c r="F22" s="172"/>
      <x:c r="G22" s="172"/>
      <x:c r="H22" s="172"/>
    </x:row>
    <x:row r="23" ht="23" customHeight="1">
      <x:c r="A23" s="172"/>
      <x:c r="B23" s="172"/>
      <x:c r="C23" s="172"/>
      <x:c r="D23" s="172"/>
      <x:c r="E23" s="172"/>
      <x:c r="F23" s="172"/>
      <x:c r="G23" s="172"/>
      <x:c r="H23" s="172"/>
    </x:row>
    <x:row r="24" ht="23" customHeight="1">
      <x:c r="A24" s="172"/>
      <x:c r="B24" s="172"/>
      <x:c r="C24" s="172"/>
      <x:c r="D24" s="172"/>
      <x:c r="E24" s="172"/>
      <x:c r="F24" s="172"/>
      <x:c r="G24" s="172"/>
      <x:c r="H24" s="172"/>
    </x:row>
    <x:row r="25" ht="23" customHeight="1">
      <x:c r="A25" s="172"/>
      <x:c r="B25" s="172"/>
      <x:c r="C25" s="172"/>
      <x:c r="D25" s="172"/>
      <x:c r="E25" s="172"/>
      <x:c r="F25" s="172"/>
      <x:c r="G25" s="172"/>
      <x:c r="H25" s="172"/>
    </x:row>
    <x:row r="26" ht="23" customHeight="1">
      <x:c r="A26" s="172"/>
      <x:c r="B26" s="172"/>
      <x:c r="C26" s="172"/>
      <x:c r="D26" s="172"/>
      <x:c r="E26" s="172"/>
      <x:c r="F26" s="172"/>
      <x:c r="G26" s="172"/>
      <x:c r="H26" s="172"/>
    </x:row>
    <x:row r="27" ht="23" customHeight="1">
      <x:c r="A27" s="172"/>
      <x:c r="B27" s="172"/>
      <x:c r="C27" s="172"/>
      <x:c r="D27" s="172"/>
      <x:c r="E27" s="172"/>
      <x:c r="F27" s="172"/>
      <x:c r="G27" s="172"/>
      <x:c r="H27" s="172"/>
    </x:row>
    <x:row r="28" ht="23" customHeight="1">
      <x:c r="A28" s="172"/>
      <x:c r="B28" s="172"/>
      <x:c r="C28" s="172"/>
      <x:c r="D28" s="172"/>
      <x:c r="E28" s="172"/>
      <x:c r="F28" s="172"/>
      <x:c r="G28" s="172"/>
      <x:c r="H28" s="172"/>
    </x:row>
    <x:row r="29" ht="23" customHeight="1">
      <x:c r="A29" s="172"/>
      <x:c r="B29" s="172"/>
      <x:c r="C29" s="172"/>
      <x:c r="D29" s="172"/>
      <x:c r="E29" s="172"/>
      <x:c r="F29" s="172"/>
      <x:c r="G29" s="172"/>
      <x:c r="H29" s="172"/>
    </x:row>
    <x:row r="30" ht="23" customHeight="1">
      <x:c r="A30" s="172"/>
      <x:c r="B30" s="172"/>
      <x:c r="C30" s="172"/>
      <x:c r="D30" s="172"/>
      <x:c r="E30" s="172"/>
      <x:c r="F30" s="172"/>
      <x:c r="G30" s="172"/>
      <x:c r="H30" s="172"/>
    </x:row>
    <x:row r="31" ht="23" customHeight="1">
      <x:c r="A31" s="172"/>
      <x:c r="B31" s="172"/>
      <x:c r="C31" s="172"/>
      <x:c r="D31" s="172"/>
      <x:c r="E31" s="172"/>
      <x:c r="F31" s="172"/>
      <x:c r="G31" s="172"/>
      <x:c r="H31" s="172"/>
    </x:row>
    <x:row r="32" ht="23" customHeight="1">
      <x:c r="A32" s="172"/>
      <x:c r="B32" s="172"/>
      <x:c r="C32" s="172"/>
      <x:c r="D32" s="172"/>
      <x:c r="E32" s="172"/>
      <x:c r="F32" s="172"/>
      <x:c r="G32" s="172"/>
      <x:c r="H32" s="172"/>
    </x:row>
    <x:row r="33" ht="23" customHeight="1">
      <x:c r="A33" s="172"/>
      <x:c r="B33" s="172"/>
      <x:c r="C33" s="172"/>
      <x:c r="D33" s="172"/>
      <x:c r="E33" s="172"/>
      <x:c r="F33" s="172"/>
      <x:c r="G33" s="172"/>
      <x:c r="H33" s="172"/>
    </x:row>
    <x:row r="34" ht="23" customHeight="1">
      <x:c r="A34" s="172"/>
      <x:c r="B34" s="172"/>
      <x:c r="C34" s="172"/>
      <x:c r="D34" s="172"/>
      <x:c r="E34" s="172"/>
      <x:c r="F34" s="172"/>
      <x:c r="G34" s="172"/>
      <x:c r="H34" s="172"/>
    </x:row>
    <x:row r="35" ht="23" customHeight="1">
      <x:c r="A35" s="172"/>
      <x:c r="B35" s="172"/>
      <x:c r="C35" s="172"/>
      <x:c r="D35" s="172"/>
      <x:c r="E35" s="172"/>
      <x:c r="F35" s="172"/>
      <x:c r="G35" s="172"/>
      <x:c r="H35" s="172"/>
    </x:row>
    <x:row r="36" ht="23" customHeight="1">
      <x:c r="A36" s="172"/>
      <x:c r="B36" s="172"/>
      <x:c r="C36" s="172"/>
      <x:c r="D36" s="172"/>
      <x:c r="E36" s="172"/>
      <x:c r="F36" s="172"/>
      <x:c r="G36" s="172"/>
      <x:c r="H36" s="172"/>
    </x:row>
    <x:row r="37" ht="23" customHeight="1">
      <x:c r="A37" s="172"/>
      <x:c r="B37" s="172"/>
      <x:c r="C37" s="172"/>
      <x:c r="D37" s="172"/>
      <x:c r="E37" s="172"/>
      <x:c r="F37" s="172"/>
      <x:c r="G37" s="172"/>
      <x:c r="H37" s="172"/>
    </x:row>
    <x:row r="38" ht="23" customHeight="1">
      <x:c r="A38" s="172"/>
      <x:c r="B38" s="172"/>
      <x:c r="C38" s="172"/>
      <x:c r="D38" s="172"/>
      <x:c r="E38" s="172"/>
      <x:c r="F38" s="172"/>
      <x:c r="G38" s="172"/>
      <x:c r="H38" s="172"/>
    </x:row>
    <x:row r="39" ht="23" customHeight="1">
      <x:c r="A39" s="172"/>
      <x:c r="B39" s="172"/>
      <x:c r="C39" s="172"/>
      <x:c r="D39" s="172"/>
      <x:c r="E39" s="172"/>
      <x:c r="F39" s="172"/>
      <x:c r="G39" s="172"/>
      <x:c r="H39" s="172"/>
    </x:row>
    <x:row r="40" ht="23" customHeight="1">
      <x:c r="A40" s="172"/>
      <x:c r="B40" s="172"/>
      <x:c r="C40" s="172"/>
      <x:c r="D40" s="172"/>
      <x:c r="E40" s="172"/>
      <x:c r="F40" s="172"/>
      <x:c r="G40" s="172"/>
      <x:c r="H40" s="172"/>
    </x:row>
  </x:sheetData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Pr>
    <x:tabColor rgb="FF117E80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2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15" hidden="0" customWidth="1"/>
    <x:col min="8" max="8" width="15" hidden="0" customWidth="1"/>
    <x:col min="9" max="9" width="15" hidden="0" customWidth="1"/>
    <x:col min="10" max="10" width="24" hidden="0" customWidth="1"/>
    <x:col min="11" max="11" width="24" hidden="0" customWidth="1"/>
    <x:col min="12" max="12" width="15" hidden="0" customWidth="1"/>
    <x:col min="13" max="13" width="15" hidden="0" customWidth="1"/>
  </x:cols>
  <x:sheetData>
    <x:row r="1" ht="23" customHeight="1">
      <x:c r="A1" s="173" t="str">
        <x:v>DISTRIBUȚIA COMUNĂ A GOLURILOR</x:v>
      </x:c>
      <x:c r="B1" s="172"/>
      <x:c r="C1" s="172"/>
      <x:c r="D1" s="172"/>
      <x:c r="E1" s="172"/>
      <x:c r="F1" s="172"/>
      <x:c r="G1" s="172"/>
      <x:c r="H1" s="172"/>
      <x:c r="I1" s="172"/>
      <x:c r="J1" s="172"/>
      <x:c r="K1" s="172"/>
      <x:c r="L1" s="172"/>
      <x:c r="M1" s="172"/>
    </x:row>
    <x:row r="2" ht="23" customHeight="1">
      <x:c r="A2" s="172"/>
      <x:c r="B2" s="172"/>
      <x:c r="C2" s="172"/>
      <x:c r="D2" s="172"/>
      <x:c r="E2" s="172"/>
      <x:c r="F2" s="172"/>
      <x:c r="G2" s="172"/>
      <x:c r="H2" s="172"/>
      <x:c r="I2" s="172"/>
      <x:c r="J2" s="172"/>
      <x:c r="K2" s="172"/>
      <x:c r="L2" s="172"/>
      <x:c r="M2" s="172"/>
    </x:row>
    <x:row r="3" ht="23" customHeight="1">
      <x:c r="A3" s="174" t="str">
        <x:v>Un motor Poisson + Negative Binomial pentru toate cele trei linii.</x:v>
      </x:c>
      <x:c r="B3" s="172"/>
      <x:c r="C3" s="172"/>
      <x:c r="D3" s="172"/>
      <x:c r="E3" s="172"/>
      <x:c r="F3" s="172"/>
      <x:c r="G3" s="172"/>
      <x:c r="H3" s="172"/>
      <x:c r="I3" s="172"/>
      <x:c r="J3" s="172" t="str">
        <x:v>Motor</x:v>
      </x:c>
      <x:c r="K3" s="172" t="str">
        <x:v>Poisson + NB</x:v>
      </x:c>
      <x:c r="L3" s="172"/>
      <x:c r="M3" s="172"/>
    </x:row>
    <x:row r="4" ht="36" customHeight="1">
      <x:c r="A4" s="181" t="str">
        <x:v>Goluri k</x:v>
      </x:c>
      <x:c r="B4" s="181" t="str">
        <x:v>P Poisson</x:v>
      </x:c>
      <x:c r="C4" s="181" t="str">
        <x:v>P NB</x:v>
      </x:c>
      <x:c r="D4" s="181" t="str">
        <x:v>P mixture</x:v>
      </x:c>
      <x:c r="E4" s="181" t="str">
        <x:v>CDF mixture</x:v>
      </x:c>
      <x:c r="F4" s="181" t="str">
        <x:v>P(k+1 sau mai mult)</x:v>
      </x:c>
      <x:c r="G4" s="172"/>
      <x:c r="H4" s="172"/>
      <x:c r="I4" s="172"/>
      <x:c r="J4" s="172" t="str">
        <x:v>Lambda total</x:v>
      </x:c>
      <x:c r="K4" s="172" t="str">
        <x:f>IF('Model adaptiv'!B62="","",'Model adaptiv'!B62)</x:f>
      </x:c>
      <x:c r="L4" s="172"/>
      <x:c r="M4" s="172"/>
    </x:row>
    <x:row r="5" ht="23" customHeight="1">
      <x:c r="A5" s="172" t="n">
        <x:v>0</x:v>
      </x:c>
      <x:c r="B5" s="193" t="str">
        <x:f>IF($K$7&lt;&gt;"READY","",EXP(-$K$4)*$K$4^A5/FACT(A5))</x:f>
      </x:c>
      <x:c r="C5" s="193" t="str">
        <x:f>IF($K$7&lt;&gt;"READY","",COMBIN(A5+$K$5-1,A5)*($K$5/($K$5+$K$4))^$K$5*($K$4/($K$5+$K$4))^A5)</x:f>
      </x:c>
      <x:c r="D5" s="193" t="str">
        <x:f>IF($K$7&lt;&gt;"READY","",(1-$K$6)*B5+$K$6*C5)</x:f>
      </x:c>
      <x:c r="E5" s="193" t="str">
        <x:f>IF($K$7&lt;&gt;"READY","",SUM($D$5:D5))</x:f>
      </x:c>
      <x:c r="F5" s="193" t="str">
        <x:f>IF($K$7&lt;&gt;"READY","",MAX(0,1-E5))</x:f>
      </x:c>
      <x:c r="G5" s="172"/>
      <x:c r="H5" s="172"/>
      <x:c r="I5" s="172"/>
      <x:c r="J5" s="172" t="str">
        <x:v>NB r</x:v>
      </x:c>
      <x:c r="K5" s="172" t="n">
        <x:f>Under_LineCal_v9!$B$12</x:f>
        <x:v>4</x:v>
      </x:c>
      <x:c r="L5" s="172"/>
      <x:c r="M5" s="172"/>
    </x:row>
    <x:row r="6" ht="23" customHeight="1">
      <x:c r="A6" s="172" t="n">
        <x:v>1</x:v>
      </x:c>
      <x:c r="B6" s="193" t="str">
        <x:f>IF($K$7&lt;&gt;"READY","",EXP(-$K$4)*$K$4^A6/FACT(A6))</x:f>
      </x:c>
      <x:c r="C6" s="193" t="str">
        <x:f>IF($K$7&lt;&gt;"READY","",COMBIN(A6+$K$5-1,A6)*($K$5/($K$5+$K$4))^$K$5*($K$4/($K$5+$K$4))^A6)</x:f>
      </x:c>
      <x:c r="D6" s="193" t="str">
        <x:f>IF($K$7&lt;&gt;"READY","",(1-$K$6)*B6+$K$6*C6)</x:f>
      </x:c>
      <x:c r="E6" s="193" t="str">
        <x:f>IF($K$7&lt;&gt;"READY","",SUM($D$5:D6))</x:f>
      </x:c>
      <x:c r="F6" s="193" t="str">
        <x:f>IF($K$7&lt;&gt;"READY","",MAX(0,1-E6))</x:f>
      </x:c>
      <x:c r="G6" s="172"/>
      <x:c r="H6" s="172"/>
      <x:c r="I6" s="172"/>
      <x:c r="J6" s="172" t="str">
        <x:v>Pondere NB</x:v>
      </x:c>
      <x:c r="K6" s="172" t="n">
        <x:f>Under_LineCal_v9!$B$13</x:f>
        <x:v>0.65</x:v>
      </x:c>
      <x:c r="L6" s="172"/>
      <x:c r="M6" s="172"/>
    </x:row>
    <x:row r="7" ht="23" customHeight="1">
      <x:c r="A7" s="172" t="n">
        <x:v>2</x:v>
      </x:c>
      <x:c r="B7" s="193" t="str">
        <x:f>IF($K$7&lt;&gt;"READY","",EXP(-$K$4)*$K$4^A7/FACT(A7))</x:f>
      </x:c>
      <x:c r="C7" s="193" t="str">
        <x:f>IF($K$7&lt;&gt;"READY","",COMBIN(A7+$K$5-1,A7)*($K$5/($K$5+$K$4))^$K$5*($K$4/($K$5+$K$4))^A7)</x:f>
      </x:c>
      <x:c r="D7" s="193" t="str">
        <x:f>IF($K$7&lt;&gt;"READY","",(1-$K$6)*B7+$K$6*C7)</x:f>
      </x:c>
      <x:c r="E7" s="193" t="str">
        <x:f>IF($K$7&lt;&gt;"READY","",SUM($D$5:D7))</x:f>
      </x:c>
      <x:c r="F7" s="193" t="str">
        <x:f>IF($K$7&lt;&gt;"READY","",MAX(0,1-E7))</x:f>
      </x:c>
      <x:c r="G7" s="172"/>
      <x:c r="H7" s="172"/>
      <x:c r="I7" s="172"/>
      <x:c r="J7" s="172" t="str">
        <x:v>Stare parametri</x:v>
      </x:c>
      <x:c r="K7" s="172" t="str">
        <x:f>IF(OR('Model adaptiv'!J5&lt;&gt;"PASS",NOT(ISNUMBER(K4)),K4&lt;=0,NOT(ISNUMBER(K5)),K5&lt;1,K5&gt;30,INT(K5)&lt;&gt;K5,NOT(ISNUMBER(K6)),K6&lt;0,K6&gt;1),"NOT READY","READY")</x:f>
        <x:v>NOT READY</x:v>
      </x:c>
      <x:c r="L7" s="172"/>
      <x:c r="M7" s="172"/>
    </x:row>
    <x:row r="8" ht="23" customHeight="1">
      <x:c r="A8" s="172" t="n">
        <x:v>3</x:v>
      </x:c>
      <x:c r="B8" s="193" t="str">
        <x:f>IF($K$7&lt;&gt;"READY","",EXP(-$K$4)*$K$4^A8/FACT(A8))</x:f>
      </x:c>
      <x:c r="C8" s="193" t="str">
        <x:f>IF($K$7&lt;&gt;"READY","",COMBIN(A8+$K$5-1,A8)*($K$5/($K$5+$K$4))^$K$5*($K$4/($K$5+$K$4))^A8)</x:f>
      </x:c>
      <x:c r="D8" s="193" t="str">
        <x:f>IF($K$7&lt;&gt;"READY","",(1-$K$6)*B8+$K$6*C8)</x:f>
      </x:c>
      <x:c r="E8" s="193" t="str">
        <x:f>IF($K$7&lt;&gt;"READY","",SUM($D$5:D8))</x:f>
      </x:c>
      <x:c r="F8" s="193" t="str">
        <x:f>IF($K$7&lt;&gt;"READY","",MAX(0,1-E8))</x:f>
      </x:c>
      <x:c r="G8" s="172"/>
      <x:c r="H8" s="172"/>
      <x:c r="I8" s="172"/>
      <x:c r="J8" s="172"/>
      <x:c r="K8" s="172"/>
      <x:c r="L8" s="172"/>
      <x:c r="M8" s="172"/>
    </x:row>
    <x:row r="9" ht="23" customHeight="1">
      <x:c r="A9" s="172" t="n">
        <x:v>4</x:v>
      </x:c>
      <x:c r="B9" s="193" t="str">
        <x:f>IF($K$7&lt;&gt;"READY","",EXP(-$K$4)*$K$4^A9/FACT(A9))</x:f>
      </x:c>
      <x:c r="C9" s="193" t="str">
        <x:f>IF($K$7&lt;&gt;"READY","",COMBIN(A9+$K$5-1,A9)*($K$5/($K$5+$K$4))^$K$5*($K$4/($K$5+$K$4))^A9)</x:f>
      </x:c>
      <x:c r="D9" s="193" t="str">
        <x:f>IF($K$7&lt;&gt;"READY","",(1-$K$6)*B9+$K$6*C9)</x:f>
      </x:c>
      <x:c r="E9" s="193" t="str">
        <x:f>IF($K$7&lt;&gt;"READY","",SUM($D$5:D9))</x:f>
      </x:c>
      <x:c r="F9" s="193" t="str">
        <x:f>IF($K$7&lt;&gt;"READY","",MAX(0,1-E9))</x:f>
      </x:c>
      <x:c r="G9" s="172"/>
      <x:c r="H9" s="172"/>
      <x:c r="I9" s="172"/>
      <x:c r="J9" s="172"/>
      <x:c r="K9" s="172"/>
      <x:c r="L9" s="172"/>
      <x:c r="M9" s="172"/>
    </x:row>
    <x:row r="10" ht="23" customHeight="1">
      <x:c r="A10" s="172" t="n">
        <x:v>5</x:v>
      </x:c>
      <x:c r="B10" s="193" t="str">
        <x:f>IF($K$7&lt;&gt;"READY","",EXP(-$K$4)*$K$4^A10/FACT(A10))</x:f>
      </x:c>
      <x:c r="C10" s="193" t="str">
        <x:f>IF($K$7&lt;&gt;"READY","",COMBIN(A10+$K$5-1,A10)*($K$5/($K$5+$K$4))^$K$5*($K$4/($K$5+$K$4))^A10)</x:f>
      </x:c>
      <x:c r="D10" s="193" t="str">
        <x:f>IF($K$7&lt;&gt;"READY","",(1-$K$6)*B10+$K$6*C10)</x:f>
      </x:c>
      <x:c r="E10" s="193" t="str">
        <x:f>IF($K$7&lt;&gt;"READY","",SUM($D$5:D10))</x:f>
      </x:c>
      <x:c r="F10" s="193" t="str">
        <x:f>IF($K$7&lt;&gt;"READY","",MAX(0,1-E10))</x:f>
      </x:c>
      <x:c r="G10" s="172"/>
      <x:c r="H10" s="172"/>
      <x:c r="I10" s="172"/>
      <x:c r="J10" s="172"/>
      <x:c r="K10" s="172"/>
      <x:c r="L10" s="172"/>
      <x:c r="M10" s="172"/>
    </x:row>
    <x:row r="11" ht="23" customHeight="1">
      <x:c r="A11" s="172" t="n">
        <x:v>6</x:v>
      </x:c>
      <x:c r="B11" s="193" t="str">
        <x:f>IF($K$7&lt;&gt;"READY","",EXP(-$K$4)*$K$4^A11/FACT(A11))</x:f>
      </x:c>
      <x:c r="C11" s="193" t="str">
        <x:f>IF($K$7&lt;&gt;"READY","",COMBIN(A11+$K$5-1,A11)*($K$5/($K$5+$K$4))^$K$5*($K$4/($K$5+$K$4))^A11)</x:f>
      </x:c>
      <x:c r="D11" s="193" t="str">
        <x:f>IF($K$7&lt;&gt;"READY","",(1-$K$6)*B11+$K$6*C11)</x:f>
      </x:c>
      <x:c r="E11" s="193" t="str">
        <x:f>IF($K$7&lt;&gt;"READY","",SUM($D$5:D11))</x:f>
      </x:c>
      <x:c r="F11" s="193" t="str">
        <x:f>IF($K$7&lt;&gt;"READY","",MAX(0,1-E11))</x:f>
      </x:c>
      <x:c r="G11" s="172"/>
      <x:c r="H11" s="172"/>
      <x:c r="I11" s="172"/>
      <x:c r="J11" s="172"/>
      <x:c r="K11" s="172"/>
      <x:c r="L11" s="172"/>
      <x:c r="M11" s="172"/>
    </x:row>
    <x:row r="12" ht="23" customHeight="1">
      <x:c r="A12" s="172" t="n">
        <x:v>7</x:v>
      </x:c>
      <x:c r="B12" s="193" t="str">
        <x:f>IF($K$7&lt;&gt;"READY","",EXP(-$K$4)*$K$4^A12/FACT(A12))</x:f>
      </x:c>
      <x:c r="C12" s="193" t="str">
        <x:f>IF($K$7&lt;&gt;"READY","",COMBIN(A12+$K$5-1,A12)*($K$5/($K$5+$K$4))^$K$5*($K$4/($K$5+$K$4))^A12)</x:f>
      </x:c>
      <x:c r="D12" s="193" t="str">
        <x:f>IF($K$7&lt;&gt;"READY","",(1-$K$6)*B12+$K$6*C12)</x:f>
      </x:c>
      <x:c r="E12" s="193" t="str">
        <x:f>IF($K$7&lt;&gt;"READY","",SUM($D$5:D12))</x:f>
      </x:c>
      <x:c r="F12" s="193" t="str">
        <x:f>IF($K$7&lt;&gt;"READY","",MAX(0,1-E12))</x:f>
      </x:c>
      <x:c r="G12" s="172"/>
      <x:c r="H12" s="172"/>
      <x:c r="I12" s="172"/>
      <x:c r="J12" s="172"/>
      <x:c r="K12" s="172"/>
      <x:c r="L12" s="172"/>
      <x:c r="M12" s="172"/>
    </x:row>
    <x:row r="13" ht="23" customHeight="1">
      <x:c r="A13" s="172" t="n">
        <x:v>8</x:v>
      </x:c>
      <x:c r="B13" s="193" t="str">
        <x:f>IF($K$7&lt;&gt;"READY","",EXP(-$K$4)*$K$4^A13/FACT(A13))</x:f>
      </x:c>
      <x:c r="C13" s="193" t="str">
        <x:f>IF($K$7&lt;&gt;"READY","",COMBIN(A13+$K$5-1,A13)*($K$5/($K$5+$K$4))^$K$5*($K$4/($K$5+$K$4))^A13)</x:f>
      </x:c>
      <x:c r="D13" s="193" t="str">
        <x:f>IF($K$7&lt;&gt;"READY","",(1-$K$6)*B13+$K$6*C13)</x:f>
      </x:c>
      <x:c r="E13" s="193" t="str">
        <x:f>IF($K$7&lt;&gt;"READY","",SUM($D$5:D13))</x:f>
      </x:c>
      <x:c r="F13" s="193" t="str">
        <x:f>IF($K$7&lt;&gt;"READY","",MAX(0,1-E13))</x:f>
      </x:c>
      <x:c r="G13" s="172"/>
      <x:c r="H13" s="172"/>
      <x:c r="I13" s="172"/>
      <x:c r="J13" s="172"/>
      <x:c r="K13" s="172"/>
      <x:c r="L13" s="172"/>
      <x:c r="M13" s="172"/>
    </x:row>
    <x:row r="14" ht="23" customHeight="1">
      <x:c r="A14" s="172" t="n">
        <x:v>9</x:v>
      </x:c>
      <x:c r="B14" s="193" t="str">
        <x:f>IF($K$7&lt;&gt;"READY","",EXP(-$K$4)*$K$4^A14/FACT(A14))</x:f>
      </x:c>
      <x:c r="C14" s="193" t="str">
        <x:f>IF($K$7&lt;&gt;"READY","",COMBIN(A14+$K$5-1,A14)*($K$5/($K$5+$K$4))^$K$5*($K$4/($K$5+$K$4))^A14)</x:f>
      </x:c>
      <x:c r="D14" s="193" t="str">
        <x:f>IF($K$7&lt;&gt;"READY","",(1-$K$6)*B14+$K$6*C14)</x:f>
      </x:c>
      <x:c r="E14" s="193" t="str">
        <x:f>IF($K$7&lt;&gt;"READY","",SUM($D$5:D14))</x:f>
      </x:c>
      <x:c r="F14" s="193" t="str">
        <x:f>IF($K$7&lt;&gt;"READY","",MAX(0,1-E14))</x:f>
      </x:c>
      <x:c r="G14" s="172"/>
      <x:c r="H14" s="172"/>
      <x:c r="I14" s="172"/>
      <x:c r="J14" s="172"/>
      <x:c r="K14" s="172"/>
      <x:c r="L14" s="172"/>
      <x:c r="M14" s="172"/>
    </x:row>
    <x:row r="15" ht="23" customHeight="1">
      <x:c r="A15" s="172" t="n">
        <x:v>10</x:v>
      </x:c>
      <x:c r="B15" s="193" t="str">
        <x:f>IF($K$7&lt;&gt;"READY","",EXP(-$K$4)*$K$4^A15/FACT(A15))</x:f>
      </x:c>
      <x:c r="C15" s="193" t="str">
        <x:f>IF($K$7&lt;&gt;"READY","",COMBIN(A15+$K$5-1,A15)*($K$5/($K$5+$K$4))^$K$5*($K$4/($K$5+$K$4))^A15)</x:f>
      </x:c>
      <x:c r="D15" s="193" t="str">
        <x:f>IF($K$7&lt;&gt;"READY","",(1-$K$6)*B15+$K$6*C15)</x:f>
      </x:c>
      <x:c r="E15" s="193" t="str">
        <x:f>IF($K$7&lt;&gt;"READY","",SUM($D$5:D15))</x:f>
      </x:c>
      <x:c r="F15" s="193" t="str">
        <x:f>IF($K$7&lt;&gt;"READY","",MAX(0,1-E15))</x:f>
      </x:c>
      <x:c r="G15" s="172"/>
      <x:c r="H15" s="172"/>
      <x:c r="I15" s="172"/>
      <x:c r="J15" s="172"/>
      <x:c r="K15" s="172"/>
      <x:c r="L15" s="172"/>
      <x:c r="M15" s="172"/>
    </x:row>
    <x:row r="16" ht="23" customHeight="1">
      <x:c r="A16" s="172" t="n">
        <x:v>11</x:v>
      </x:c>
      <x:c r="B16" s="193" t="str">
        <x:f>IF($K$7&lt;&gt;"READY","",EXP(-$K$4)*$K$4^A16/FACT(A16))</x:f>
      </x:c>
      <x:c r="C16" s="193" t="str">
        <x:f>IF($K$7&lt;&gt;"READY","",COMBIN(A16+$K$5-1,A16)*($K$5/($K$5+$K$4))^$K$5*($K$4/($K$5+$K$4))^A16)</x:f>
      </x:c>
      <x:c r="D16" s="193" t="str">
        <x:f>IF($K$7&lt;&gt;"READY","",(1-$K$6)*B16+$K$6*C16)</x:f>
      </x:c>
      <x:c r="E16" s="193" t="str">
        <x:f>IF($K$7&lt;&gt;"READY","",SUM($D$5:D16))</x:f>
      </x:c>
      <x:c r="F16" s="193" t="str">
        <x:f>IF($K$7&lt;&gt;"READY","",MAX(0,1-E16))</x:f>
      </x:c>
      <x:c r="G16" s="172"/>
      <x:c r="H16" s="172"/>
      <x:c r="I16" s="172"/>
      <x:c r="J16" s="172"/>
      <x:c r="K16" s="172"/>
      <x:c r="L16" s="172"/>
      <x:c r="M16" s="172"/>
    </x:row>
    <x:row r="17" ht="23" customHeight="1">
      <x:c r="A17" s="172" t="n">
        <x:v>12</x:v>
      </x:c>
      <x:c r="B17" s="193" t="str">
        <x:f>IF($K$7&lt;&gt;"READY","",EXP(-$K$4)*$K$4^A17/FACT(A17))</x:f>
      </x:c>
      <x:c r="C17" s="193" t="str">
        <x:f>IF($K$7&lt;&gt;"READY","",COMBIN(A17+$K$5-1,A17)*($K$5/($K$5+$K$4))^$K$5*($K$4/($K$5+$K$4))^A17)</x:f>
      </x:c>
      <x:c r="D17" s="193" t="str">
        <x:f>IF($K$7&lt;&gt;"READY","",(1-$K$6)*B17+$K$6*C17)</x:f>
      </x:c>
      <x:c r="E17" s="193" t="str">
        <x:f>IF($K$7&lt;&gt;"READY","",SUM($D$5:D17))</x:f>
      </x:c>
      <x:c r="F17" s="193" t="str">
        <x:f>IF($K$7&lt;&gt;"READY","",MAX(0,1-E17))</x:f>
      </x:c>
      <x:c r="G17" s="172"/>
      <x:c r="H17" s="172"/>
      <x:c r="I17" s="172"/>
      <x:c r="J17" s="172"/>
      <x:c r="K17" s="172"/>
      <x:c r="L17" s="172"/>
      <x:c r="M17" s="172"/>
    </x:row>
    <x:row r="18" ht="23" customHeight="1">
      <x:c r="A18" s="172" t="n">
        <x:v>13</x:v>
      </x:c>
      <x:c r="B18" s="193" t="str">
        <x:f>IF($K$7&lt;&gt;"READY","",EXP(-$K$4)*$K$4^A18/FACT(A18))</x:f>
      </x:c>
      <x:c r="C18" s="193" t="str">
        <x:f>IF($K$7&lt;&gt;"READY","",COMBIN(A18+$K$5-1,A18)*($K$5/($K$5+$K$4))^$K$5*($K$4/($K$5+$K$4))^A18)</x:f>
      </x:c>
      <x:c r="D18" s="193" t="str">
        <x:f>IF($K$7&lt;&gt;"READY","",(1-$K$6)*B18+$K$6*C18)</x:f>
      </x:c>
      <x:c r="E18" s="193" t="str">
        <x:f>IF($K$7&lt;&gt;"READY","",SUM($D$5:D18))</x:f>
      </x:c>
      <x:c r="F18" s="193" t="str">
        <x:f>IF($K$7&lt;&gt;"READY","",MAX(0,1-E18))</x:f>
      </x:c>
      <x:c r="G18" s="172"/>
      <x:c r="H18" s="172"/>
      <x:c r="I18" s="172"/>
      <x:c r="J18" s="172"/>
      <x:c r="K18" s="172"/>
      <x:c r="L18" s="172"/>
      <x:c r="M18" s="172"/>
    </x:row>
    <x:row r="19" ht="23" customHeight="1">
      <x:c r="A19" s="172" t="n">
        <x:v>14</x:v>
      </x:c>
      <x:c r="B19" s="193" t="str">
        <x:f>IF($K$7&lt;&gt;"READY","",EXP(-$K$4)*$K$4^A19/FACT(A19))</x:f>
      </x:c>
      <x:c r="C19" s="193" t="str">
        <x:f>IF($K$7&lt;&gt;"READY","",COMBIN(A19+$K$5-1,A19)*($K$5/($K$5+$K$4))^$K$5*($K$4/($K$5+$K$4))^A19)</x:f>
      </x:c>
      <x:c r="D19" s="193" t="str">
        <x:f>IF($K$7&lt;&gt;"READY","",(1-$K$6)*B19+$K$6*C19)</x:f>
      </x:c>
      <x:c r="E19" s="193" t="str">
        <x:f>IF($K$7&lt;&gt;"READY","",SUM($D$5:D19))</x:f>
      </x:c>
      <x:c r="F19" s="193" t="str">
        <x:f>IF($K$7&lt;&gt;"READY","",MAX(0,1-E19))</x:f>
      </x:c>
      <x:c r="G19" s="172"/>
      <x:c r="H19" s="172"/>
      <x:c r="I19" s="172"/>
      <x:c r="J19" s="172"/>
      <x:c r="K19" s="172"/>
      <x:c r="L19" s="172"/>
      <x:c r="M19" s="172"/>
    </x:row>
    <x:row r="20" ht="23" customHeight="1">
      <x:c r="A20" s="172" t="n">
        <x:v>15</x:v>
      </x:c>
      <x:c r="B20" s="193" t="str">
        <x:f>IF($K$7&lt;&gt;"READY","",EXP(-$K$4)*$K$4^A20/FACT(A20))</x:f>
      </x:c>
      <x:c r="C20" s="193" t="str">
        <x:f>IF($K$7&lt;&gt;"READY","",COMBIN(A20+$K$5-1,A20)*($K$5/($K$5+$K$4))^$K$5*($K$4/($K$5+$K$4))^A20)</x:f>
      </x:c>
      <x:c r="D20" s="193" t="str">
        <x:f>IF($K$7&lt;&gt;"READY","",(1-$K$6)*B20+$K$6*C20)</x:f>
      </x:c>
      <x:c r="E20" s="193" t="str">
        <x:f>IF($K$7&lt;&gt;"READY","",SUM($D$5:D20))</x:f>
      </x:c>
      <x:c r="F20" s="193" t="str">
        <x:f>IF($K$7&lt;&gt;"READY","",MAX(0,1-E20))</x:f>
      </x:c>
      <x:c r="G20" s="172"/>
      <x:c r="H20" s="172"/>
      <x:c r="I20" s="172"/>
      <x:c r="J20" s="172"/>
      <x:c r="K20" s="172"/>
      <x:c r="L20" s="172"/>
      <x:c r="M20" s="172"/>
    </x:row>
    <x:row r="21" ht="23" customHeight="1">
      <x:c r="A21" s="172" t="n">
        <x:v>16</x:v>
      </x:c>
      <x:c r="B21" s="193" t="str">
        <x:f>IF($K$7&lt;&gt;"READY","",EXP(-$K$4)*$K$4^A21/FACT(A21))</x:f>
      </x:c>
      <x:c r="C21" s="193" t="str">
        <x:f>IF($K$7&lt;&gt;"READY","",COMBIN(A21+$K$5-1,A21)*($K$5/($K$5+$K$4))^$K$5*($K$4/($K$5+$K$4))^A21)</x:f>
      </x:c>
      <x:c r="D21" s="193" t="str">
        <x:f>IF($K$7&lt;&gt;"READY","",(1-$K$6)*B21+$K$6*C21)</x:f>
      </x:c>
      <x:c r="E21" s="193" t="str">
        <x:f>IF($K$7&lt;&gt;"READY","",SUM($D$5:D21))</x:f>
      </x:c>
      <x:c r="F21" s="193" t="str">
        <x:f>IF($K$7&lt;&gt;"READY","",MAX(0,1-E21))</x:f>
      </x:c>
      <x:c r="G21" s="172"/>
      <x:c r="H21" s="172"/>
      <x:c r="I21" s="172"/>
      <x:c r="J21" s="172"/>
      <x:c r="K21" s="172"/>
      <x:c r="L21" s="172"/>
      <x:c r="M21" s="172"/>
    </x:row>
    <x:row r="22" ht="23" customHeight="1">
      <x:c r="A22" s="172" t="n">
        <x:v>17</x:v>
      </x:c>
      <x:c r="B22" s="193" t="str">
        <x:f>IF($K$7&lt;&gt;"READY","",EXP(-$K$4)*$K$4^A22/FACT(A22))</x:f>
      </x:c>
      <x:c r="C22" s="193" t="str">
        <x:f>IF($K$7&lt;&gt;"READY","",COMBIN(A22+$K$5-1,A22)*($K$5/($K$5+$K$4))^$K$5*($K$4/($K$5+$K$4))^A22)</x:f>
      </x:c>
      <x:c r="D22" s="193" t="str">
        <x:f>IF($K$7&lt;&gt;"READY","",(1-$K$6)*B22+$K$6*C22)</x:f>
      </x:c>
      <x:c r="E22" s="193" t="str">
        <x:f>IF($K$7&lt;&gt;"READY","",SUM($D$5:D22))</x:f>
      </x:c>
      <x:c r="F22" s="193" t="str">
        <x:f>IF($K$7&lt;&gt;"READY","",MAX(0,1-E22))</x:f>
      </x:c>
      <x:c r="G22" s="172"/>
      <x:c r="H22" s="172"/>
      <x:c r="I22" s="172"/>
      <x:c r="J22" s="172"/>
      <x:c r="K22" s="172"/>
      <x:c r="L22" s="172"/>
      <x:c r="M22" s="172"/>
    </x:row>
    <x:row r="23" ht="23" customHeight="1">
      <x:c r="A23" s="172" t="n">
        <x:v>18</x:v>
      </x:c>
      <x:c r="B23" s="193" t="str">
        <x:f>IF($K$7&lt;&gt;"READY","",EXP(-$K$4)*$K$4^A23/FACT(A23))</x:f>
      </x:c>
      <x:c r="C23" s="193" t="str">
        <x:f>IF($K$7&lt;&gt;"READY","",COMBIN(A23+$K$5-1,A23)*($K$5/($K$5+$K$4))^$K$5*($K$4/($K$5+$K$4))^A23)</x:f>
      </x:c>
      <x:c r="D23" s="193" t="str">
        <x:f>IF($K$7&lt;&gt;"READY","",(1-$K$6)*B23+$K$6*C23)</x:f>
      </x:c>
      <x:c r="E23" s="193" t="str">
        <x:f>IF($K$7&lt;&gt;"READY","",SUM($D$5:D23))</x:f>
      </x:c>
      <x:c r="F23" s="193" t="str">
        <x:f>IF($K$7&lt;&gt;"READY","",MAX(0,1-E23))</x:f>
      </x:c>
      <x:c r="G23" s="172"/>
      <x:c r="H23" s="172"/>
      <x:c r="I23" s="172"/>
      <x:c r="J23" s="172"/>
      <x:c r="K23" s="172"/>
      <x:c r="L23" s="172"/>
      <x:c r="M23" s="172"/>
    </x:row>
    <x:row r="24" ht="23" customHeight="1">
      <x:c r="A24" s="172" t="n">
        <x:v>19</x:v>
      </x:c>
      <x:c r="B24" s="193" t="str">
        <x:f>IF($K$7&lt;&gt;"READY","",EXP(-$K$4)*$K$4^A24/FACT(A24))</x:f>
      </x:c>
      <x:c r="C24" s="193" t="str">
        <x:f>IF($K$7&lt;&gt;"READY","",COMBIN(A24+$K$5-1,A24)*($K$5/($K$5+$K$4))^$K$5*($K$4/($K$5+$K$4))^A24)</x:f>
      </x:c>
      <x:c r="D24" s="193" t="str">
        <x:f>IF($K$7&lt;&gt;"READY","",(1-$K$6)*B24+$K$6*C24)</x:f>
      </x:c>
      <x:c r="E24" s="193" t="str">
        <x:f>IF($K$7&lt;&gt;"READY","",SUM($D$5:D24))</x:f>
      </x:c>
      <x:c r="F24" s="193" t="str">
        <x:f>IF($K$7&lt;&gt;"READY","",MAX(0,1-E24))</x:f>
      </x:c>
      <x:c r="G24" s="172"/>
      <x:c r="H24" s="172"/>
      <x:c r="I24" s="172"/>
      <x:c r="J24" s="172"/>
      <x:c r="K24" s="172"/>
      <x:c r="L24" s="172"/>
      <x:c r="M24" s="172"/>
    </x:row>
    <x:row r="25" ht="23" customHeight="1">
      <x:c r="A25" s="172" t="n">
        <x:v>20</x:v>
      </x:c>
      <x:c r="B25" s="193" t="str">
        <x:f>IF($K$7&lt;&gt;"READY","",EXP(-$K$4)*$K$4^A25/FACT(A25))</x:f>
      </x:c>
      <x:c r="C25" s="193" t="str">
        <x:f>IF($K$7&lt;&gt;"READY","",COMBIN(A25+$K$5-1,A25)*($K$5/($K$5+$K$4))^$K$5*($K$4/($K$5+$K$4))^A25)</x:f>
      </x:c>
      <x:c r="D25" s="193" t="str">
        <x:f>IF($K$7&lt;&gt;"READY","",(1-$K$6)*B25+$K$6*C25)</x:f>
      </x:c>
      <x:c r="E25" s="193" t="str">
        <x:f>IF($K$7&lt;&gt;"READY","",SUM($D$5:D25))</x:f>
      </x:c>
      <x:c r="F25" s="193" t="str">
        <x:f>IF($K$7&lt;&gt;"READY","",MAX(0,1-E25))</x:f>
      </x:c>
      <x:c r="G25" s="172"/>
      <x:c r="H25" s="172"/>
      <x:c r="I25" s="172"/>
      <x:c r="J25" s="172"/>
      <x:c r="K25" s="172"/>
      <x:c r="L25" s="172"/>
      <x:c r="M25" s="172"/>
    </x:row>
    <x:row r="26" ht="23" customHeight="1">
      <x:c r="A26" s="172" t="n">
        <x:v>21</x:v>
      </x:c>
      <x:c r="B26" s="193" t="str">
        <x:f>IF($K$7&lt;&gt;"READY","",EXP(-$K$4)*$K$4^A26/FACT(A26))</x:f>
      </x:c>
      <x:c r="C26" s="193" t="str">
        <x:f>IF($K$7&lt;&gt;"READY","",COMBIN(A26+$K$5-1,A26)*($K$5/($K$5+$K$4))^$K$5*($K$4/($K$5+$K$4))^A26)</x:f>
      </x:c>
      <x:c r="D26" s="193" t="str">
        <x:f>IF($K$7&lt;&gt;"READY","",(1-$K$6)*B26+$K$6*C26)</x:f>
      </x:c>
      <x:c r="E26" s="193" t="str">
        <x:f>IF($K$7&lt;&gt;"READY","",SUM($D$5:D26))</x:f>
      </x:c>
      <x:c r="F26" s="193" t="str">
        <x:f>IF($K$7&lt;&gt;"READY","",MAX(0,1-E26))</x:f>
      </x:c>
      <x:c r="G26" s="172"/>
      <x:c r="H26" s="172"/>
      <x:c r="I26" s="172"/>
      <x:c r="J26" s="172"/>
      <x:c r="K26" s="172"/>
      <x:c r="L26" s="172"/>
      <x:c r="M26" s="172"/>
    </x:row>
    <x:row r="27" ht="23" customHeight="1">
      <x:c r="A27" s="172" t="n">
        <x:v>22</x:v>
      </x:c>
      <x:c r="B27" s="193" t="str">
        <x:f>IF($K$7&lt;&gt;"READY","",EXP(-$K$4)*$K$4^A27/FACT(A27))</x:f>
      </x:c>
      <x:c r="C27" s="193" t="str">
        <x:f>IF($K$7&lt;&gt;"READY","",COMBIN(A27+$K$5-1,A27)*($K$5/($K$5+$K$4))^$K$5*($K$4/($K$5+$K$4))^A27)</x:f>
      </x:c>
      <x:c r="D27" s="193" t="str">
        <x:f>IF($K$7&lt;&gt;"READY","",(1-$K$6)*B27+$K$6*C27)</x:f>
      </x:c>
      <x:c r="E27" s="193" t="str">
        <x:f>IF($K$7&lt;&gt;"READY","",SUM($D$5:D27))</x:f>
      </x:c>
      <x:c r="F27" s="193" t="str">
        <x:f>IF($K$7&lt;&gt;"READY","",MAX(0,1-E27))</x:f>
      </x:c>
      <x:c r="G27" s="172"/>
      <x:c r="H27" s="172"/>
      <x:c r="I27" s="172"/>
      <x:c r="J27" s="172"/>
      <x:c r="K27" s="172"/>
      <x:c r="L27" s="172"/>
      <x:c r="M27" s="172"/>
    </x:row>
    <x:row r="28" ht="23" customHeight="1">
      <x:c r="A28" s="172" t="n">
        <x:v>23</x:v>
      </x:c>
      <x:c r="B28" s="193" t="str">
        <x:f>IF($K$7&lt;&gt;"READY","",EXP(-$K$4)*$K$4^A28/FACT(A28))</x:f>
      </x:c>
      <x:c r="C28" s="193" t="str">
        <x:f>IF($K$7&lt;&gt;"READY","",COMBIN(A28+$K$5-1,A28)*($K$5/($K$5+$K$4))^$K$5*($K$4/($K$5+$K$4))^A28)</x:f>
      </x:c>
      <x:c r="D28" s="193" t="str">
        <x:f>IF($K$7&lt;&gt;"READY","",(1-$K$6)*B28+$K$6*C28)</x:f>
      </x:c>
      <x:c r="E28" s="193" t="str">
        <x:f>IF($K$7&lt;&gt;"READY","",SUM($D$5:D28))</x:f>
      </x:c>
      <x:c r="F28" s="193" t="str">
        <x:f>IF($K$7&lt;&gt;"READY","",MAX(0,1-E28))</x:f>
      </x:c>
      <x:c r="G28" s="172"/>
      <x:c r="H28" s="172"/>
      <x:c r="I28" s="172"/>
      <x:c r="J28" s="172"/>
      <x:c r="K28" s="172"/>
      <x:c r="L28" s="172"/>
      <x:c r="M28" s="172"/>
    </x:row>
    <x:row r="29" ht="23" customHeight="1">
      <x:c r="A29" s="172" t="n">
        <x:v>24</x:v>
      </x:c>
      <x:c r="B29" s="193" t="str">
        <x:f>IF($K$7&lt;&gt;"READY","",EXP(-$K$4)*$K$4^A29/FACT(A29))</x:f>
      </x:c>
      <x:c r="C29" s="193" t="str">
        <x:f>IF($K$7&lt;&gt;"READY","",COMBIN(A29+$K$5-1,A29)*($K$5/($K$5+$K$4))^$K$5*($K$4/($K$5+$K$4))^A29)</x:f>
      </x:c>
      <x:c r="D29" s="193" t="str">
        <x:f>IF($K$7&lt;&gt;"READY","",(1-$K$6)*B29+$K$6*C29)</x:f>
      </x:c>
      <x:c r="E29" s="193" t="str">
        <x:f>IF($K$7&lt;&gt;"READY","",SUM($D$5:D29))</x:f>
      </x:c>
      <x:c r="F29" s="193" t="str">
        <x:f>IF($K$7&lt;&gt;"READY","",MAX(0,1-E29))</x:f>
      </x:c>
      <x:c r="G29" s="172"/>
      <x:c r="H29" s="172"/>
      <x:c r="I29" s="172"/>
      <x:c r="J29" s="172"/>
      <x:c r="K29" s="172"/>
      <x:c r="L29" s="172"/>
      <x:c r="M29" s="172"/>
    </x:row>
    <x:row r="30" ht="23" customHeight="1">
      <x:c r="A30" s="172" t="n">
        <x:v>25</x:v>
      </x:c>
      <x:c r="B30" s="193" t="str">
        <x:f>IF($K$7&lt;&gt;"READY","",EXP(-$K$4)*$K$4^A30/FACT(A30))</x:f>
      </x:c>
      <x:c r="C30" s="193" t="str">
        <x:f>IF($K$7&lt;&gt;"READY","",COMBIN(A30+$K$5-1,A30)*($K$5/($K$5+$K$4))^$K$5*($K$4/($K$5+$K$4))^A30)</x:f>
      </x:c>
      <x:c r="D30" s="193" t="str">
        <x:f>IF($K$7&lt;&gt;"READY","",(1-$K$6)*B30+$K$6*C30)</x:f>
      </x:c>
      <x:c r="E30" s="193" t="str">
        <x:f>IF($K$7&lt;&gt;"READY","",SUM($D$5:D30))</x:f>
      </x:c>
      <x:c r="F30" s="193" t="str">
        <x:f>IF($K$7&lt;&gt;"READY","",MAX(0,1-E30))</x:f>
      </x:c>
      <x:c r="G30" s="172"/>
      <x:c r="H30" s="172"/>
      <x:c r="I30" s="172"/>
      <x:c r="J30" s="172"/>
      <x:c r="K30" s="172"/>
      <x:c r="L30" s="172"/>
      <x:c r="M30" s="172"/>
    </x:row>
    <x:row r="31" ht="23" customHeight="1">
      <x:c r="A31" s="172" t="n">
        <x:v>26</x:v>
      </x:c>
      <x:c r="B31" s="193" t="str">
        <x:f>IF($K$7&lt;&gt;"READY","",EXP(-$K$4)*$K$4^A31/FACT(A31))</x:f>
      </x:c>
      <x:c r="C31" s="193" t="str">
        <x:f>IF($K$7&lt;&gt;"READY","",COMBIN(A31+$K$5-1,A31)*($K$5/($K$5+$K$4))^$K$5*($K$4/($K$5+$K$4))^A31)</x:f>
      </x:c>
      <x:c r="D31" s="193" t="str">
        <x:f>IF($K$7&lt;&gt;"READY","",(1-$K$6)*B31+$K$6*C31)</x:f>
      </x:c>
      <x:c r="E31" s="193" t="str">
        <x:f>IF($K$7&lt;&gt;"READY","",SUM($D$5:D31))</x:f>
      </x:c>
      <x:c r="F31" s="193" t="str">
        <x:f>IF($K$7&lt;&gt;"READY","",MAX(0,1-E31))</x:f>
      </x:c>
      <x:c r="G31" s="172"/>
      <x:c r="H31" s="172"/>
      <x:c r="I31" s="172"/>
      <x:c r="J31" s="172"/>
      <x:c r="K31" s="172"/>
      <x:c r="L31" s="172"/>
      <x:c r="M31" s="172"/>
    </x:row>
    <x:row r="32" ht="23" customHeight="1">
      <x:c r="A32" s="172" t="n">
        <x:v>27</x:v>
      </x:c>
      <x:c r="B32" s="193" t="str">
        <x:f>IF($K$7&lt;&gt;"READY","",EXP(-$K$4)*$K$4^A32/FACT(A32))</x:f>
      </x:c>
      <x:c r="C32" s="193" t="str">
        <x:f>IF($K$7&lt;&gt;"READY","",COMBIN(A32+$K$5-1,A32)*($K$5/($K$5+$K$4))^$K$5*($K$4/($K$5+$K$4))^A32)</x:f>
      </x:c>
      <x:c r="D32" s="193" t="str">
        <x:f>IF($K$7&lt;&gt;"READY","",(1-$K$6)*B32+$K$6*C32)</x:f>
      </x:c>
      <x:c r="E32" s="193" t="str">
        <x:f>IF($K$7&lt;&gt;"READY","",SUM($D$5:D32))</x:f>
      </x:c>
      <x:c r="F32" s="193" t="str">
        <x:f>IF($K$7&lt;&gt;"READY","",MAX(0,1-E32))</x:f>
      </x:c>
      <x:c r="G32" s="172"/>
      <x:c r="H32" s="172"/>
      <x:c r="I32" s="172"/>
      <x:c r="J32" s="172"/>
      <x:c r="K32" s="172"/>
      <x:c r="L32" s="172"/>
      <x:c r="M32" s="172"/>
    </x:row>
    <x:row r="33" ht="23" customHeight="1">
      <x:c r="A33" s="172" t="n">
        <x:v>28</x:v>
      </x:c>
      <x:c r="B33" s="193" t="str">
        <x:f>IF($K$7&lt;&gt;"READY","",EXP(-$K$4)*$K$4^A33/FACT(A33))</x:f>
      </x:c>
      <x:c r="C33" s="193" t="str">
        <x:f>IF($K$7&lt;&gt;"READY","",COMBIN(A33+$K$5-1,A33)*($K$5/($K$5+$K$4))^$K$5*($K$4/($K$5+$K$4))^A33)</x:f>
      </x:c>
      <x:c r="D33" s="193" t="str">
        <x:f>IF($K$7&lt;&gt;"READY","",(1-$K$6)*B33+$K$6*C33)</x:f>
      </x:c>
      <x:c r="E33" s="193" t="str">
        <x:f>IF($K$7&lt;&gt;"READY","",SUM($D$5:D33))</x:f>
      </x:c>
      <x:c r="F33" s="193" t="str">
        <x:f>IF($K$7&lt;&gt;"READY","",MAX(0,1-E33))</x:f>
      </x:c>
      <x:c r="G33" s="172"/>
      <x:c r="H33" s="172"/>
      <x:c r="I33" s="172"/>
      <x:c r="J33" s="172"/>
      <x:c r="K33" s="172"/>
      <x:c r="L33" s="172"/>
      <x:c r="M33" s="172"/>
    </x:row>
    <x:row r="34" ht="23" customHeight="1">
      <x:c r="A34" s="172" t="n">
        <x:v>29</x:v>
      </x:c>
      <x:c r="B34" s="193" t="str">
        <x:f>IF($K$7&lt;&gt;"READY","",EXP(-$K$4)*$K$4^A34/FACT(A34))</x:f>
      </x:c>
      <x:c r="C34" s="193" t="str">
        <x:f>IF($K$7&lt;&gt;"READY","",COMBIN(A34+$K$5-1,A34)*($K$5/($K$5+$K$4))^$K$5*($K$4/($K$5+$K$4))^A34)</x:f>
      </x:c>
      <x:c r="D34" s="193" t="str">
        <x:f>IF($K$7&lt;&gt;"READY","",(1-$K$6)*B34+$K$6*C34)</x:f>
      </x:c>
      <x:c r="E34" s="193" t="str">
        <x:f>IF($K$7&lt;&gt;"READY","",SUM($D$5:D34))</x:f>
      </x:c>
      <x:c r="F34" s="193" t="str">
        <x:f>IF($K$7&lt;&gt;"READY","",MAX(0,1-E34))</x:f>
      </x:c>
      <x:c r="G34" s="172"/>
      <x:c r="H34" s="172"/>
      <x:c r="I34" s="172"/>
      <x:c r="J34" s="172"/>
      <x:c r="K34" s="172"/>
      <x:c r="L34" s="172"/>
      <x:c r="M34" s="172"/>
    </x:row>
    <x:row r="35" ht="23" customHeight="1">
      <x:c r="A35" s="172" t="n">
        <x:v>30</x:v>
      </x:c>
      <x:c r="B35" s="193" t="str">
        <x:f>IF($K$7&lt;&gt;"READY","",EXP(-$K$4)*$K$4^A35/FACT(A35))</x:f>
      </x:c>
      <x:c r="C35" s="193" t="str">
        <x:f>IF($K$7&lt;&gt;"READY","",COMBIN(A35+$K$5-1,A35)*($K$5/($K$5+$K$4))^$K$5*($K$4/($K$5+$K$4))^A35)</x:f>
      </x:c>
      <x:c r="D35" s="193" t="str">
        <x:f>IF($K$7&lt;&gt;"READY","",(1-$K$6)*B35+$K$6*C35)</x:f>
      </x:c>
      <x:c r="E35" s="193" t="str">
        <x:f>IF($K$7&lt;&gt;"READY","",SUM($D$5:D35))</x:f>
      </x:c>
      <x:c r="F35" s="193" t="str">
        <x:f>IF($K$7&lt;&gt;"READY","",MAX(0,1-E35))</x:f>
      </x:c>
      <x:c r="G35" s="172"/>
      <x:c r="H35" s="172"/>
      <x:c r="I35" s="172"/>
      <x:c r="J35" s="172"/>
      <x:c r="K35" s="172"/>
      <x:c r="L35" s="172"/>
      <x:c r="M35" s="172"/>
    </x:row>
    <x:row r="36" ht="23" customHeight="1">
      <x:c r="A36" s="172" t="n">
        <x:v>31</x:v>
      </x:c>
      <x:c r="B36" s="193" t="str">
        <x:f>IF($K$7&lt;&gt;"READY","",EXP(-$K$4)*$K$4^A36/FACT(A36))</x:f>
      </x:c>
      <x:c r="C36" s="193" t="str">
        <x:f>IF($K$7&lt;&gt;"READY","",COMBIN(A36+$K$5-1,A36)*($K$5/($K$5+$K$4))^$K$5*($K$4/($K$5+$K$4))^A36)</x:f>
      </x:c>
      <x:c r="D36" s="193" t="str">
        <x:f>IF($K$7&lt;&gt;"READY","",(1-$K$6)*B36+$K$6*C36)</x:f>
      </x:c>
      <x:c r="E36" s="193" t="str">
        <x:f>IF($K$7&lt;&gt;"READY","",SUM($D$5:D36))</x:f>
      </x:c>
      <x:c r="F36" s="193" t="str">
        <x:f>IF($K$7&lt;&gt;"READY","",MAX(0,1-E36))</x:f>
      </x:c>
      <x:c r="G36" s="172"/>
      <x:c r="H36" s="172"/>
      <x:c r="I36" s="172"/>
      <x:c r="J36" s="172"/>
      <x:c r="K36" s="172"/>
      <x:c r="L36" s="172"/>
      <x:c r="M36" s="172"/>
    </x:row>
    <x:row r="37" ht="23" customHeight="1">
      <x:c r="A37" s="172" t="n">
        <x:v>32</x:v>
      </x:c>
      <x:c r="B37" s="193" t="str">
        <x:f>IF($K$7&lt;&gt;"READY","",EXP(-$K$4)*$K$4^A37/FACT(A37))</x:f>
      </x:c>
      <x:c r="C37" s="193" t="str">
        <x:f>IF($K$7&lt;&gt;"READY","",COMBIN(A37+$K$5-1,A37)*($K$5/($K$5+$K$4))^$K$5*($K$4/($K$5+$K$4))^A37)</x:f>
      </x:c>
      <x:c r="D37" s="193" t="str">
        <x:f>IF($K$7&lt;&gt;"READY","",(1-$K$6)*B37+$K$6*C37)</x:f>
      </x:c>
      <x:c r="E37" s="193" t="str">
        <x:f>IF($K$7&lt;&gt;"READY","",SUM($D$5:D37))</x:f>
      </x:c>
      <x:c r="F37" s="193" t="str">
        <x:f>IF($K$7&lt;&gt;"READY","",MAX(0,1-E37))</x:f>
      </x:c>
      <x:c r="G37" s="172"/>
      <x:c r="H37" s="172"/>
      <x:c r="I37" s="172"/>
      <x:c r="J37" s="172"/>
      <x:c r="K37" s="172"/>
      <x:c r="L37" s="172"/>
      <x:c r="M37" s="172"/>
    </x:row>
    <x:row r="38" ht="23" customHeight="1">
      <x:c r="A38" s="172" t="n">
        <x:v>33</x:v>
      </x:c>
      <x:c r="B38" s="193" t="str">
        <x:f>IF($K$7&lt;&gt;"READY","",EXP(-$K$4)*$K$4^A38/FACT(A38))</x:f>
      </x:c>
      <x:c r="C38" s="193" t="str">
        <x:f>IF($K$7&lt;&gt;"READY","",COMBIN(A38+$K$5-1,A38)*($K$5/($K$5+$K$4))^$K$5*($K$4/($K$5+$K$4))^A38)</x:f>
      </x:c>
      <x:c r="D38" s="193" t="str">
        <x:f>IF($K$7&lt;&gt;"READY","",(1-$K$6)*B38+$K$6*C38)</x:f>
      </x:c>
      <x:c r="E38" s="193" t="str">
        <x:f>IF($K$7&lt;&gt;"READY","",SUM($D$5:D38))</x:f>
      </x:c>
      <x:c r="F38" s="193" t="str">
        <x:f>IF($K$7&lt;&gt;"READY","",MAX(0,1-E38))</x:f>
      </x:c>
      <x:c r="G38" s="172"/>
      <x:c r="H38" s="172"/>
      <x:c r="I38" s="172"/>
      <x:c r="J38" s="172"/>
      <x:c r="K38" s="172"/>
      <x:c r="L38" s="172"/>
      <x:c r="M38" s="172"/>
    </x:row>
    <x:row r="39" ht="23" customHeight="1">
      <x:c r="A39" s="172" t="n">
        <x:v>34</x:v>
      </x:c>
      <x:c r="B39" s="193" t="str">
        <x:f>IF($K$7&lt;&gt;"READY","",EXP(-$K$4)*$K$4^A39/FACT(A39))</x:f>
      </x:c>
      <x:c r="C39" s="193" t="str">
        <x:f>IF($K$7&lt;&gt;"READY","",COMBIN(A39+$K$5-1,A39)*($K$5/($K$5+$K$4))^$K$5*($K$4/($K$5+$K$4))^A39)</x:f>
      </x:c>
      <x:c r="D39" s="193" t="str">
        <x:f>IF($K$7&lt;&gt;"READY","",(1-$K$6)*B39+$K$6*C39)</x:f>
      </x:c>
      <x:c r="E39" s="193" t="str">
        <x:f>IF($K$7&lt;&gt;"READY","",SUM($D$5:D39))</x:f>
      </x:c>
      <x:c r="F39" s="193" t="str">
        <x:f>IF($K$7&lt;&gt;"READY","",MAX(0,1-E39))</x:f>
      </x:c>
      <x:c r="G39" s="172"/>
      <x:c r="H39" s="172"/>
      <x:c r="I39" s="172"/>
      <x:c r="J39" s="172"/>
      <x:c r="K39" s="172"/>
      <x:c r="L39" s="172"/>
      <x:c r="M39" s="172"/>
    </x:row>
    <x:row r="40" ht="23" customHeight="1">
      <x:c r="A40" s="172" t="n">
        <x:v>35</x:v>
      </x:c>
      <x:c r="B40" s="193" t="str">
        <x:f>IF($K$7&lt;&gt;"READY","",EXP(-$K$4)*$K$4^A40/FACT(A40))</x:f>
      </x:c>
      <x:c r="C40" s="193" t="str">
        <x:f>IF($K$7&lt;&gt;"READY","",COMBIN(A40+$K$5-1,A40)*($K$5/($K$5+$K$4))^$K$5*($K$4/($K$5+$K$4))^A40)</x:f>
      </x:c>
      <x:c r="D40" s="193" t="str">
        <x:f>IF($K$7&lt;&gt;"READY","",(1-$K$6)*B40+$K$6*C40)</x:f>
      </x:c>
      <x:c r="E40" s="193" t="str">
        <x:f>IF($K$7&lt;&gt;"READY","",SUM($D$5:D40))</x:f>
      </x:c>
      <x:c r="F40" s="193" t="str">
        <x:f>IF($K$7&lt;&gt;"READY","",MAX(0,1-E40))</x:f>
      </x:c>
      <x:c r="G40" s="172"/>
      <x:c r="H40" s="172"/>
      <x:c r="I40" s="172"/>
      <x:c r="J40" s="172"/>
      <x:c r="K40" s="172"/>
      <x:c r="L40" s="172"/>
      <x:c r="M40" s="172"/>
    </x:row>
    <x:row r="41" ht="23" customHeight="1">
      <x:c r="A41" s="172" t="n">
        <x:v>36</x:v>
      </x:c>
      <x:c r="B41" s="193" t="str">
        <x:f>IF($K$7&lt;&gt;"READY","",EXP(-$K$4)*$K$4^A41/FACT(A41))</x:f>
      </x:c>
      <x:c r="C41" s="193" t="str">
        <x:f>IF($K$7&lt;&gt;"READY","",COMBIN(A41+$K$5-1,A41)*($K$5/($K$5+$K$4))^$K$5*($K$4/($K$5+$K$4))^A41)</x:f>
      </x:c>
      <x:c r="D41" s="193" t="str">
        <x:f>IF($K$7&lt;&gt;"READY","",(1-$K$6)*B41+$K$6*C41)</x:f>
      </x:c>
      <x:c r="E41" s="193" t="str">
        <x:f>IF($K$7&lt;&gt;"READY","",SUM($D$5:D41))</x:f>
      </x:c>
      <x:c r="F41" s="193" t="str">
        <x:f>IF($K$7&lt;&gt;"READY","",MAX(0,1-E41))</x:f>
      </x:c>
      <x:c r="G41" s="172"/>
      <x:c r="H41" s="172"/>
      <x:c r="I41" s="172"/>
      <x:c r="J41" s="172"/>
      <x:c r="K41" s="172"/>
      <x:c r="L41" s="172"/>
      <x:c r="M41" s="172"/>
    </x:row>
    <x:row r="42" ht="23" customHeight="1">
      <x:c r="A42" s="172" t="n">
        <x:v>37</x:v>
      </x:c>
      <x:c r="B42" s="193" t="str">
        <x:f>IF($K$7&lt;&gt;"READY","",EXP(-$K$4)*$K$4^A42/FACT(A42))</x:f>
      </x:c>
      <x:c r="C42" s="193" t="str">
        <x:f>IF($K$7&lt;&gt;"READY","",COMBIN(A42+$K$5-1,A42)*($K$5/($K$5+$K$4))^$K$5*($K$4/($K$5+$K$4))^A42)</x:f>
      </x:c>
      <x:c r="D42" s="193" t="str">
        <x:f>IF($K$7&lt;&gt;"READY","",(1-$K$6)*B42+$K$6*C42)</x:f>
      </x:c>
      <x:c r="E42" s="193" t="str">
        <x:f>IF($K$7&lt;&gt;"READY","",SUM($D$5:D42))</x:f>
      </x:c>
      <x:c r="F42" s="193" t="str">
        <x:f>IF($K$7&lt;&gt;"READY","",MAX(0,1-E42))</x:f>
      </x:c>
      <x:c r="G42" s="172"/>
      <x:c r="H42" s="172"/>
      <x:c r="I42" s="172"/>
      <x:c r="J42" s="172"/>
      <x:c r="K42" s="172"/>
      <x:c r="L42" s="172"/>
      <x:c r="M42" s="172"/>
    </x:row>
    <x:row r="43" ht="23" customHeight="1">
      <x:c r="A43" s="172" t="n">
        <x:v>38</x:v>
      </x:c>
      <x:c r="B43" s="193" t="str">
        <x:f>IF($K$7&lt;&gt;"READY","",EXP(-$K$4)*$K$4^A43/FACT(A43))</x:f>
      </x:c>
      <x:c r="C43" s="193" t="str">
        <x:f>IF($K$7&lt;&gt;"READY","",COMBIN(A43+$K$5-1,A43)*($K$5/($K$5+$K$4))^$K$5*($K$4/($K$5+$K$4))^A43)</x:f>
      </x:c>
      <x:c r="D43" s="193" t="str">
        <x:f>IF($K$7&lt;&gt;"READY","",(1-$K$6)*B43+$K$6*C43)</x:f>
      </x:c>
      <x:c r="E43" s="193" t="str">
        <x:f>IF($K$7&lt;&gt;"READY","",SUM($D$5:D43))</x:f>
      </x:c>
      <x:c r="F43" s="193" t="str">
        <x:f>IF($K$7&lt;&gt;"READY","",MAX(0,1-E43))</x:f>
      </x:c>
      <x:c r="G43" s="172"/>
      <x:c r="H43" s="172"/>
      <x:c r="I43" s="172"/>
      <x:c r="J43" s="172"/>
      <x:c r="K43" s="172"/>
      <x:c r="L43" s="172"/>
      <x:c r="M43" s="172"/>
    </x:row>
    <x:row r="44" ht="23" customHeight="1">
      <x:c r="A44" s="172" t="n">
        <x:v>39</x:v>
      </x:c>
      <x:c r="B44" s="193" t="str">
        <x:f>IF($K$7&lt;&gt;"READY","",EXP(-$K$4)*$K$4^A44/FACT(A44))</x:f>
      </x:c>
      <x:c r="C44" s="193" t="str">
        <x:f>IF($K$7&lt;&gt;"READY","",COMBIN(A44+$K$5-1,A44)*($K$5/($K$5+$K$4))^$K$5*($K$4/($K$5+$K$4))^A44)</x:f>
      </x:c>
      <x:c r="D44" s="193" t="str">
        <x:f>IF($K$7&lt;&gt;"READY","",(1-$K$6)*B44+$K$6*C44)</x:f>
      </x:c>
      <x:c r="E44" s="193" t="str">
        <x:f>IF($K$7&lt;&gt;"READY","",SUM($D$5:D44))</x:f>
      </x:c>
      <x:c r="F44" s="193" t="str">
        <x:f>IF($K$7&lt;&gt;"READY","",MAX(0,1-E44))</x:f>
      </x:c>
      <x:c r="G44" s="172"/>
      <x:c r="H44" s="172"/>
      <x:c r="I44" s="172"/>
      <x:c r="J44" s="172"/>
      <x:c r="K44" s="172"/>
      <x:c r="L44" s="172"/>
      <x:c r="M44" s="172"/>
    </x:row>
    <x:row r="45" ht="23" customHeight="1">
      <x:c r="A45" s="172" t="n">
        <x:v>40</x:v>
      </x:c>
      <x:c r="B45" s="193" t="str">
        <x:f>IF($K$7&lt;&gt;"READY","",EXP(-$K$4)*$K$4^A45/FACT(A45))</x:f>
      </x:c>
      <x:c r="C45" s="193" t="str">
        <x:f>IF($K$7&lt;&gt;"READY","",COMBIN(A45+$K$5-1,A45)*($K$5/($K$5+$K$4))^$K$5*($K$4/($K$5+$K$4))^A45)</x:f>
      </x:c>
      <x:c r="D45" s="193" t="str">
        <x:f>IF($K$7&lt;&gt;"READY","",(1-$K$6)*B45+$K$6*C45)</x:f>
      </x:c>
      <x:c r="E45" s="193" t="str">
        <x:f>IF($K$7&lt;&gt;"READY","",SUM($D$5:D45))</x:f>
      </x:c>
      <x:c r="F45" s="193" t="str">
        <x:f>IF($K$7&lt;&gt;"READY","",MAX(0,1-E45))</x:f>
      </x:c>
      <x:c r="G45" s="172"/>
      <x:c r="H45" s="172"/>
      <x:c r="I45" s="172"/>
      <x:c r="J45" s="172"/>
      <x:c r="K45" s="172"/>
      <x:c r="L45" s="172"/>
      <x:c r="M45" s="172"/>
    </x:row>
    <x:row r="46" ht="23" customHeight="1">
      <x:c r="A46" s="172"/>
      <x:c r="B46" s="193"/>
      <x:c r="C46" s="193"/>
      <x:c r="D46" s="193"/>
      <x:c r="E46" s="193"/>
      <x:c r="F46" s="193"/>
      <x:c r="G46" s="172"/>
      <x:c r="H46" s="172"/>
      <x:c r="I46" s="172"/>
      <x:c r="J46" s="172"/>
      <x:c r="K46" s="172"/>
      <x:c r="L46" s="172"/>
      <x:c r="M46" s="172"/>
    </x:row>
    <x:row r="47" ht="23" customHeight="1">
      <x:c r="A47" s="172"/>
      <x:c r="B47" s="193"/>
      <x:c r="C47" s="193"/>
      <x:c r="D47" s="193"/>
      <x:c r="E47" s="193"/>
      <x:c r="F47" s="193"/>
      <x:c r="G47" s="172"/>
      <x:c r="H47" s="172"/>
      <x:c r="I47" s="172"/>
      <x:c r="J47" s="172"/>
      <x:c r="K47" s="172"/>
      <x:c r="L47" s="172"/>
      <x:c r="M47" s="172"/>
    </x:row>
    <x:row r="48" ht="23" customHeight="1">
      <x:c r="A48" s="172" t="str">
        <x:v>Masă peste 40</x:v>
      </x:c>
      <x:c r="B48" s="193" t="str">
        <x:f>IF(K7&lt;&gt;"READY","",MAX(0,1-SUM(D5:D45)))</x:f>
      </x:c>
      <x:c r="C48" s="193"/>
      <x:c r="D48" s="193"/>
      <x:c r="E48" s="193"/>
      <x:c r="F48" s="193"/>
      <x:c r="G48" s="172"/>
      <x:c r="H48" s="172"/>
      <x:c r="I48" s="172"/>
      <x:c r="J48" s="172"/>
      <x:c r="K48" s="172"/>
      <x:c r="L48" s="172"/>
      <x:c r="M48" s="172"/>
    </x:row>
    <x:row r="49" ht="23" customHeight="1">
      <x:c r="A49" s="172" t="str">
        <x:v>Masă totală inclusiv reziduu</x:v>
      </x:c>
      <x:c r="B49" s="193" t="str">
        <x:f>IF(K7&lt;&gt;"READY","",SUM(D5:D45)+B48)</x:f>
      </x:c>
      <x:c r="C49" s="193"/>
      <x:c r="D49" s="193"/>
      <x:c r="E49" s="193"/>
      <x:c r="F49" s="193"/>
      <x:c r="G49" s="172"/>
      <x:c r="H49" s="172"/>
      <x:c r="I49" s="172"/>
      <x:c r="J49" s="172"/>
      <x:c r="K49" s="172"/>
      <x:c r="L49" s="172"/>
      <x:c r="M49" s="172"/>
    </x:row>
    <x:row r="50" ht="23" customHeight="1">
      <x:c r="A50" s="172"/>
      <x:c r="B50" s="172"/>
      <x:c r="C50" s="172"/>
      <x:c r="D50" s="172"/>
      <x:c r="E50" s="172"/>
      <x:c r="F50" s="172"/>
      <x:c r="G50" s="172"/>
      <x:c r="H50" s="172"/>
      <x:c r="I50" s="172"/>
      <x:c r="J50" s="172"/>
      <x:c r="K50" s="172"/>
      <x:c r="L50" s="172"/>
      <x:c r="M50" s="172"/>
    </x:row>
    <x:row r="51" ht="23" customHeight="1">
      <x:c r="A51" s="172"/>
      <x:c r="B51" s="172"/>
      <x:c r="C51" s="172"/>
      <x:c r="D51" s="172"/>
      <x:c r="E51" s="172"/>
      <x:c r="F51" s="172"/>
      <x:c r="G51" s="172"/>
      <x:c r="H51" s="172"/>
      <x:c r="I51" s="172"/>
      <x:c r="J51" s="172"/>
      <x:c r="K51" s="172"/>
      <x:c r="L51" s="172"/>
      <x:c r="M51" s="172"/>
    </x:row>
    <x:row r="52" ht="23" customHeight="1">
      <x:c r="A52" s="172"/>
      <x:c r="B52" s="172"/>
      <x:c r="C52" s="172"/>
      <x:c r="D52" s="172"/>
      <x:c r="E52" s="172"/>
      <x:c r="F52" s="172"/>
      <x:c r="G52" s="172"/>
      <x:c r="H52" s="172"/>
      <x:c r="I52" s="172"/>
      <x:c r="J52" s="172"/>
      <x:c r="K52" s="172"/>
      <x:c r="L52" s="172"/>
      <x:c r="M52" s="172"/>
    </x:row>
    <x:row r="53" ht="23" customHeight="1">
      <x:c r="A53" s="172"/>
      <x:c r="B53" s="172"/>
      <x:c r="C53" s="172"/>
      <x:c r="D53" s="172"/>
      <x:c r="E53" s="172"/>
      <x:c r="F53" s="172"/>
      <x:c r="G53" s="172"/>
      <x:c r="H53" s="172"/>
      <x:c r="I53" s="172"/>
      <x:c r="J53" s="172"/>
      <x:c r="K53" s="172"/>
      <x:c r="L53" s="172"/>
      <x:c r="M53" s="172"/>
    </x:row>
    <x:row r="54" ht="23" customHeight="1">
      <x:c r="A54" s="172"/>
      <x:c r="B54" s="172"/>
      <x:c r="C54" s="172"/>
      <x:c r="D54" s="172"/>
      <x:c r="E54" s="172"/>
      <x:c r="F54" s="172"/>
      <x:c r="G54" s="172"/>
      <x:c r="H54" s="172"/>
      <x:c r="I54" s="172"/>
      <x:c r="J54" s="172"/>
      <x:c r="K54" s="172"/>
      <x:c r="L54" s="172"/>
      <x:c r="M54" s="172"/>
    </x:row>
    <x:row r="55" ht="23" customHeight="1">
      <x:c r="A55" s="172"/>
      <x:c r="B55" s="172"/>
      <x:c r="C55" s="172"/>
      <x:c r="D55" s="172"/>
      <x:c r="E55" s="172"/>
      <x:c r="F55" s="172"/>
      <x:c r="G55" s="172"/>
      <x:c r="H55" s="172"/>
      <x:c r="I55" s="172"/>
      <x:c r="J55" s="172"/>
      <x:c r="K55" s="172"/>
      <x:c r="L55" s="172"/>
      <x:c r="M55" s="172"/>
    </x:row>
    <x:row r="56" ht="23" customHeight="1">
      <x:c r="A56" s="172"/>
      <x:c r="B56" s="172"/>
      <x:c r="C56" s="172"/>
      <x:c r="D56" s="172"/>
      <x:c r="E56" s="172"/>
      <x:c r="F56" s="172"/>
      <x:c r="G56" s="172"/>
      <x:c r="H56" s="172"/>
      <x:c r="I56" s="172"/>
      <x:c r="J56" s="172"/>
      <x:c r="K56" s="172"/>
      <x:c r="L56" s="172"/>
      <x:c r="M56" s="172"/>
    </x:row>
    <x:row r="57" ht="23" customHeight="1">
      <x:c r="A57" s="172"/>
      <x:c r="B57" s="172"/>
      <x:c r="C57" s="172"/>
      <x:c r="D57" s="172"/>
      <x:c r="E57" s="172"/>
      <x:c r="F57" s="172"/>
      <x:c r="G57" s="172"/>
      <x:c r="H57" s="172"/>
      <x:c r="I57" s="172"/>
      <x:c r="J57" s="172"/>
      <x:c r="K57" s="172"/>
      <x:c r="L57" s="172"/>
      <x:c r="M57" s="172"/>
    </x:row>
    <x:row r="58" ht="23" customHeight="1">
      <x:c r="A58" s="172"/>
      <x:c r="B58" s="172"/>
      <x:c r="C58" s="172"/>
      <x:c r="D58" s="172"/>
      <x:c r="E58" s="172"/>
      <x:c r="F58" s="172"/>
      <x:c r="G58" s="172"/>
      <x:c r="H58" s="172"/>
      <x:c r="I58" s="172"/>
      <x:c r="J58" s="172"/>
      <x:c r="K58" s="172"/>
      <x:c r="L58" s="172"/>
      <x:c r="M58" s="172"/>
    </x:row>
    <x:row r="59" ht="23" customHeight="1">
      <x:c r="A59" s="172"/>
      <x:c r="B59" s="172"/>
      <x:c r="C59" s="172"/>
      <x:c r="D59" s="172"/>
      <x:c r="E59" s="172"/>
      <x:c r="F59" s="172"/>
      <x:c r="G59" s="172"/>
      <x:c r="H59" s="172"/>
      <x:c r="I59" s="172"/>
      <x:c r="J59" s="172"/>
      <x:c r="K59" s="172"/>
      <x:c r="L59" s="172"/>
      <x:c r="M59" s="172"/>
    </x:row>
    <x:row r="60" ht="23" customHeight="1">
      <x:c r="A60" s="172"/>
      <x:c r="B60" s="172"/>
      <x:c r="C60" s="172"/>
      <x:c r="D60" s="172"/>
      <x:c r="E60" s="172"/>
      <x:c r="F60" s="172"/>
      <x:c r="G60" s="172"/>
      <x:c r="H60" s="172"/>
      <x:c r="I60" s="172"/>
      <x:c r="J60" s="172"/>
      <x:c r="K60" s="172"/>
      <x:c r="L60" s="172"/>
      <x:c r="M60" s="172"/>
    </x:row>
    <x:row r="61" ht="23" customHeight="1">
      <x:c r="A61" s="172"/>
      <x:c r="B61" s="172"/>
      <x:c r="C61" s="172"/>
      <x:c r="D61" s="172"/>
      <x:c r="E61" s="172"/>
      <x:c r="F61" s="172"/>
      <x:c r="G61" s="172"/>
      <x:c r="H61" s="172"/>
      <x:c r="I61" s="172"/>
      <x:c r="J61" s="172"/>
      <x:c r="K61" s="172"/>
      <x:c r="L61" s="172"/>
      <x:c r="M61" s="172"/>
    </x:row>
    <x:row r="62" ht="23" customHeight="1">
      <x:c r="A62" s="172"/>
      <x:c r="B62" s="172"/>
      <x:c r="C62" s="172"/>
      <x:c r="D62" s="172"/>
      <x:c r="E62" s="172"/>
      <x:c r="F62" s="172"/>
      <x:c r="G62" s="172"/>
      <x:c r="H62" s="172"/>
      <x:c r="I62" s="172"/>
      <x:c r="J62" s="172"/>
      <x:c r="K62" s="172"/>
      <x:c r="L62" s="172"/>
      <x:c r="M62" s="172"/>
    </x:row>
    <x:row r="63" ht="23" customHeight="1">
      <x:c r="A63" s="172"/>
      <x:c r="B63" s="172"/>
      <x:c r="C63" s="172"/>
      <x:c r="D63" s="172"/>
      <x:c r="E63" s="172"/>
      <x:c r="F63" s="172"/>
      <x:c r="G63" s="172"/>
      <x:c r="H63" s="172"/>
      <x:c r="I63" s="172"/>
      <x:c r="J63" s="172"/>
      <x:c r="K63" s="172"/>
      <x:c r="L63" s="172"/>
      <x:c r="M63" s="172"/>
    </x:row>
    <x:row r="64" ht="23" customHeight="1">
      <x:c r="A64" s="172"/>
      <x:c r="B64" s="172"/>
      <x:c r="C64" s="172"/>
      <x:c r="D64" s="172"/>
      <x:c r="E64" s="172"/>
      <x:c r="F64" s="172"/>
      <x:c r="G64" s="172"/>
      <x:c r="H64" s="172"/>
      <x:c r="I64" s="172"/>
      <x:c r="J64" s="172"/>
      <x:c r="K64" s="172"/>
      <x:c r="L64" s="172"/>
      <x:c r="M64" s="172"/>
    </x:row>
    <x:row r="65" ht="23" customHeight="1">
      <x:c r="A65" s="172"/>
      <x:c r="B65" s="172"/>
      <x:c r="C65" s="172"/>
      <x:c r="D65" s="172"/>
      <x:c r="E65" s="172"/>
      <x:c r="F65" s="172"/>
      <x:c r="G65" s="172"/>
      <x:c r="H65" s="172"/>
      <x:c r="I65" s="172"/>
      <x:c r="J65" s="172"/>
      <x:c r="K65" s="172"/>
      <x:c r="L65" s="172"/>
      <x:c r="M65" s="172"/>
    </x:row>
    <x:row r="66" ht="23" customHeight="1">
      <x:c r="A66" s="172"/>
      <x:c r="B66" s="172"/>
      <x:c r="C66" s="172"/>
      <x:c r="D66" s="172"/>
      <x:c r="E66" s="172"/>
      <x:c r="F66" s="172"/>
      <x:c r="G66" s="172"/>
      <x:c r="H66" s="172"/>
      <x:c r="I66" s="172"/>
      <x:c r="J66" s="172"/>
      <x:c r="K66" s="172"/>
      <x:c r="L66" s="172"/>
      <x:c r="M66" s="172"/>
    </x:row>
    <x:row r="67" ht="23" customHeight="1">
      <x:c r="A67" s="172"/>
      <x:c r="B67" s="172"/>
      <x:c r="C67" s="172"/>
      <x:c r="D67" s="172"/>
      <x:c r="E67" s="172"/>
      <x:c r="F67" s="172"/>
      <x:c r="G67" s="172"/>
      <x:c r="H67" s="172"/>
      <x:c r="I67" s="172"/>
      <x:c r="J67" s="172"/>
      <x:c r="K67" s="172"/>
      <x:c r="L67" s="172"/>
      <x:c r="M67" s="172"/>
    </x:row>
    <x:row r="68" ht="23" customHeight="1">
      <x:c r="A68" s="172"/>
      <x:c r="B68" s="172"/>
      <x:c r="C68" s="172"/>
      <x:c r="D68" s="172"/>
      <x:c r="E68" s="172"/>
      <x:c r="F68" s="172"/>
      <x:c r="G68" s="172"/>
      <x:c r="H68" s="172"/>
      <x:c r="I68" s="172"/>
      <x:c r="J68" s="172"/>
      <x:c r="K68" s="172"/>
      <x:c r="L68" s="172"/>
      <x:c r="M68" s="172"/>
    </x:row>
    <x:row r="69" ht="23" customHeight="1">
      <x:c r="A69" s="172"/>
      <x:c r="B69" s="172"/>
      <x:c r="C69" s="172"/>
      <x:c r="D69" s="172"/>
      <x:c r="E69" s="172"/>
      <x:c r="F69" s="172"/>
      <x:c r="G69" s="172"/>
      <x:c r="H69" s="172"/>
      <x:c r="I69" s="172"/>
      <x:c r="J69" s="172"/>
      <x:c r="K69" s="172"/>
      <x:c r="L69" s="172"/>
      <x:c r="M69" s="172"/>
    </x:row>
    <x:row r="70" ht="23" customHeight="1">
      <x:c r="A70" s="172"/>
      <x:c r="B70" s="172"/>
      <x:c r="C70" s="172"/>
      <x:c r="D70" s="172"/>
      <x:c r="E70" s="172"/>
      <x:c r="F70" s="172"/>
      <x:c r="G70" s="172"/>
      <x:c r="H70" s="172"/>
      <x:c r="I70" s="172"/>
      <x:c r="J70" s="172"/>
      <x:c r="K70" s="172"/>
      <x:c r="L70" s="172"/>
      <x:c r="M70" s="172"/>
    </x:row>
    <x:row r="71" ht="23" customHeight="1">
      <x:c r="A71" s="172"/>
      <x:c r="B71" s="172"/>
      <x:c r="C71" s="172"/>
      <x:c r="D71" s="172"/>
      <x:c r="E71" s="172"/>
      <x:c r="F71" s="172"/>
      <x:c r="G71" s="172"/>
      <x:c r="H71" s="172"/>
      <x:c r="I71" s="172"/>
      <x:c r="J71" s="172"/>
      <x:c r="K71" s="172"/>
      <x:c r="L71" s="172"/>
      <x:c r="M71" s="172"/>
    </x:row>
    <x:row r="72" ht="23" customHeight="1">
      <x:c r="A72" s="172"/>
      <x:c r="B72" s="172"/>
      <x:c r="C72" s="172"/>
      <x:c r="D72" s="172"/>
      <x:c r="E72" s="172"/>
      <x:c r="F72" s="172"/>
      <x:c r="G72" s="172"/>
      <x:c r="H72" s="172"/>
      <x:c r="I72" s="172"/>
      <x:c r="J72" s="172"/>
      <x:c r="K72" s="172"/>
      <x:c r="L72" s="172"/>
      <x:c r="M72" s="172"/>
    </x:row>
    <x:row r="73" ht="23" customHeight="1">
      <x:c r="A73" s="172"/>
      <x:c r="B73" s="172"/>
      <x:c r="C73" s="172"/>
      <x:c r="D73" s="172"/>
      <x:c r="E73" s="172"/>
      <x:c r="F73" s="172"/>
      <x:c r="G73" s="172"/>
      <x:c r="H73" s="172"/>
      <x:c r="I73" s="172"/>
      <x:c r="J73" s="172"/>
      <x:c r="K73" s="172"/>
      <x:c r="L73" s="172"/>
      <x:c r="M73" s="172"/>
    </x:row>
    <x:row r="74" ht="23" customHeight="1">
      <x:c r="A74" s="172"/>
      <x:c r="B74" s="172"/>
      <x:c r="C74" s="172"/>
      <x:c r="D74" s="172"/>
      <x:c r="E74" s="172"/>
      <x:c r="F74" s="172"/>
      <x:c r="G74" s="172"/>
      <x:c r="H74" s="172"/>
      <x:c r="I74" s="172"/>
      <x:c r="J74" s="172"/>
      <x:c r="K74" s="172"/>
      <x:c r="L74" s="172"/>
      <x:c r="M74" s="172"/>
    </x:row>
    <x:row r="75" ht="23" customHeight="1">
      <x:c r="A75" s="172"/>
      <x:c r="B75" s="172"/>
      <x:c r="C75" s="172"/>
      <x:c r="D75" s="172"/>
      <x:c r="E75" s="172"/>
      <x:c r="F75" s="172"/>
      <x:c r="G75" s="172"/>
      <x:c r="H75" s="172"/>
      <x:c r="I75" s="172"/>
      <x:c r="J75" s="172"/>
      <x:c r="K75" s="172"/>
      <x:c r="L75" s="172"/>
      <x:c r="M75" s="172"/>
    </x:row>
    <x:row r="76" ht="23" customHeight="1">
      <x:c r="A76" s="172"/>
      <x:c r="B76" s="172"/>
      <x:c r="C76" s="172"/>
      <x:c r="D76" s="172"/>
      <x:c r="E76" s="172"/>
      <x:c r="F76" s="172"/>
      <x:c r="G76" s="172"/>
      <x:c r="H76" s="172"/>
      <x:c r="I76" s="172"/>
      <x:c r="J76" s="172"/>
      <x:c r="K76" s="172"/>
      <x:c r="L76" s="172"/>
      <x:c r="M76" s="172"/>
    </x:row>
    <x:row r="77" ht="23" customHeight="1">
      <x:c r="A77" s="172"/>
      <x:c r="B77" s="172"/>
      <x:c r="C77" s="172"/>
      <x:c r="D77" s="172"/>
      <x:c r="E77" s="172"/>
      <x:c r="F77" s="172"/>
      <x:c r="G77" s="172"/>
      <x:c r="H77" s="172"/>
      <x:c r="I77" s="172"/>
      <x:c r="J77" s="172"/>
      <x:c r="K77" s="172"/>
      <x:c r="L77" s="172"/>
      <x:c r="M77" s="172"/>
    </x:row>
    <x:row r="78" ht="23" customHeight="1">
      <x:c r="A78" s="172"/>
      <x:c r="B78" s="172"/>
      <x:c r="C78" s="172"/>
      <x:c r="D78" s="172"/>
      <x:c r="E78" s="172"/>
      <x:c r="F78" s="172"/>
      <x:c r="G78" s="172"/>
      <x:c r="H78" s="172"/>
      <x:c r="I78" s="172"/>
      <x:c r="J78" s="172"/>
      <x:c r="K78" s="172"/>
      <x:c r="L78" s="172"/>
      <x:c r="M78" s="172"/>
    </x:row>
    <x:row r="79" ht="23" customHeight="1">
      <x:c r="A79" s="172"/>
      <x:c r="B79" s="172"/>
      <x:c r="C79" s="172"/>
      <x:c r="D79" s="172"/>
      <x:c r="E79" s="172"/>
      <x:c r="F79" s="172"/>
      <x:c r="G79" s="172"/>
      <x:c r="H79" s="172"/>
      <x:c r="I79" s="172"/>
      <x:c r="J79" s="172"/>
      <x:c r="K79" s="172"/>
      <x:c r="L79" s="172"/>
      <x:c r="M79" s="172"/>
    </x:row>
    <x:row r="80" ht="23" customHeight="1">
      <x:c r="A80" s="172"/>
      <x:c r="B80" s="172"/>
      <x:c r="C80" s="172"/>
      <x:c r="D80" s="172"/>
      <x:c r="E80" s="172"/>
      <x:c r="F80" s="172"/>
      <x:c r="G80" s="172"/>
      <x:c r="H80" s="172"/>
      <x:c r="I80" s="172"/>
      <x:c r="J80" s="172"/>
      <x:c r="K80" s="172"/>
      <x:c r="L80" s="172"/>
      <x:c r="M80" s="172"/>
    </x:row>
  </x:sheetData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Pr>
    <x:tabColor rgb="FF117E80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8" hidden="0" customWidth="1"/>
    <x:col min="2" max="2" width="20" hidden="0" customWidth="1"/>
    <x:col min="3" max="3" width="58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27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</x:cols>
  <x:sheetData>
    <x:row r="1" ht="23" customHeight="1">
      <x:c r="A1" s="173" t="str">
        <x:v>PRAGURI ȘI PARAMETRI PE LINIE</x:v>
      </x:c>
      <x:c r="B1" s="172"/>
      <x:c r="C1" s="172"/>
      <x:c r="D1" s="172"/>
      <x:c r="E1" s="172"/>
      <x:c r="F1" s="172"/>
      <x:c r="G1" s="172"/>
      <x:c r="H1" s="172"/>
      <x:c r="I1" s="172"/>
      <x:c r="J1" s="172"/>
      <x:c r="K1" s="172"/>
      <x:c r="L1" s="172"/>
      <x:c r="M1" s="172"/>
      <x:c r="N1" s="172"/>
      <x:c r="O1" s="172"/>
      <x:c r="P1" s="172"/>
      <x:c r="Q1" s="172"/>
      <x:c r="R1" s="172"/>
      <x:c r="S1" s="172"/>
      <x:c r="T1" s="172"/>
      <x:c r="U1" s="172"/>
      <x:c r="V1" s="172"/>
      <x:c r="W1" s="172"/>
      <x:c r="X1" s="172"/>
      <x:c r="Y1" s="172"/>
      <x:c r="Z1" s="172"/>
    </x:row>
    <x:row r="2" ht="23" customHeight="1">
      <x:c r="A2" s="172"/>
      <x:c r="B2" s="172"/>
      <x:c r="C2" s="172"/>
      <x:c r="D2" s="172"/>
      <x:c r="E2" s="172"/>
      <x:c r="F2" s="172"/>
      <x:c r="G2" s="172"/>
      <x:c r="H2" s="172"/>
      <x:c r="I2" s="172"/>
      <x:c r="J2" s="172"/>
      <x:c r="K2" s="172"/>
      <x:c r="L2" s="172"/>
      <x:c r="M2" s="172"/>
      <x:c r="N2" s="172"/>
      <x:c r="O2" s="172"/>
      <x:c r="P2" s="172"/>
      <x:c r="Q2" s="172"/>
      <x:c r="R2" s="172"/>
      <x:c r="S2" s="172"/>
      <x:c r="T2" s="172"/>
      <x:c r="U2" s="172"/>
      <x:c r="V2" s="172"/>
      <x:c r="W2" s="172"/>
      <x:c r="X2" s="172"/>
      <x:c r="Y2" s="172"/>
      <x:c r="Z2" s="172"/>
    </x:row>
    <x:row r="3" ht="23" customHeight="1">
      <x:c r="A3" s="174" t="str">
        <x:v>Workbook optimizat_V2. Metodologie: UNDER MULTI-LINE STATISTIC v11; validarea OOS rămâne distinctă.</x:v>
      </x:c>
      <x:c r="B3" s="172"/>
      <x:c r="C3" s="172"/>
      <x:c r="D3" s="172"/>
      <x:c r="E3" s="172"/>
      <x:c r="F3" s="172"/>
      <x:c r="G3" s="172"/>
      <x:c r="H3" s="172"/>
      <x:c r="I3" s="172"/>
      <x:c r="J3" s="172"/>
      <x:c r="K3" s="172"/>
      <x:c r="L3" s="172"/>
      <x:c r="M3" s="172"/>
      <x:c r="N3" s="172"/>
      <x:c r="O3" s="172"/>
      <x:c r="P3" s="172"/>
      <x:c r="Q3" s="172"/>
      <x:c r="R3" s="172"/>
      <x:c r="S3" s="172"/>
      <x:c r="T3" s="172"/>
      <x:c r="U3" s="172"/>
      <x:c r="V3" s="172"/>
      <x:c r="W3" s="172"/>
      <x:c r="X3" s="172"/>
      <x:c r="Y3" s="172"/>
      <x:c r="Z3" s="172"/>
    </x:row>
    <x:row r="4" ht="45" customHeight="1">
      <x:c r="A4" s="181" t="str">
        <x:v>Linie</x:v>
      </x:c>
      <x:c r="B4" s="181" t="str">
        <x:v>Factor calibrare</x:v>
      </x:c>
      <x:c r="C4" s="181" t="str">
        <x:v>P defensiv</x:v>
      </x:c>
      <x:c r="D4" s="181" t="str">
        <x:v>P prudent</x:v>
      </x:c>
      <x:c r="E4" s="181" t="str">
        <x:v>P moderat</x:v>
      </x:c>
      <x:c r="F4" s="181" t="str">
        <x:v>Near PASS max</x:v>
      </x:c>
      <x:c r="G4" s="181" t="str">
        <x:v>Near HIGH min</x:v>
      </x:c>
      <x:c r="H4" s="181" t="str">
        <x:v>Severe PASS max</x:v>
      </x:c>
      <x:c r="I4" s="181" t="str">
        <x:v>Severe WATCH min</x:v>
      </x:c>
      <x:c r="J4" s="181" t="str">
        <x:v>Floor</x:v>
      </x:c>
      <x:c r="K4" s="181" t="str">
        <x:v>Validare tail OOS</x:v>
      </x:c>
      <x:c r="L4" s="181" t="str">
        <x:v>Conf defensiv</x:v>
      </x:c>
      <x:c r="M4" s="181" t="str">
        <x:v>Conf prudent</x:v>
      </x:c>
      <x:c r="N4" s="181" t="str">
        <x:v>Conf moderat</x:v>
      </x:c>
      <x:c r="O4" s="181" t="str">
        <x:v>Conf ridicat</x:v>
      </x:c>
      <x:c r="P4" s="181" t="str">
        <x:v>Near +nivel</x:v>
      </x:c>
      <x:c r="Q4" s="181" t="str">
        <x:v>Near HIGH floor</x:v>
      </x:c>
      <x:c r="R4" s="181" t="str">
        <x:v>Tail NO BET &gt;</x:v>
      </x:c>
      <x:c r="S4" s="181" t="str">
        <x:v>Tail cap &gt;</x:v>
      </x:c>
      <x:c r="T4" s="181" t="str">
        <x:v>Vol NO BET ≥</x:v>
      </x:c>
      <x:c r="U4" s="181" t="str">
        <x:v>Vol cap ≥</x:v>
      </x:c>
      <x:c r="V4" s="172"/>
      <x:c r="W4" s="172"/>
      <x:c r="X4" s="172"/>
      <x:c r="Y4" s="172"/>
      <x:c r="Z4" s="172"/>
    </x:row>
    <x:row r="5" ht="45" customHeight="1">
      <x:c r="A5" s="172" t="str">
        <x:v>U3.5</x:v>
      </x:c>
      <x:c r="B5" s="175" t="n">
        <x:v>1</x:v>
      </x:c>
      <x:c r="C5" s="184" t="n">
        <x:v>0.82</x:v>
      </x:c>
      <x:c r="D5" s="184" t="n">
        <x:v>0.76</x:v>
      </x:c>
      <x:c r="E5" s="184" t="n">
        <x:v>0.68</x:v>
      </x:c>
      <x:c r="F5" s="184"/>
      <x:c r="G5" s="184"/>
      <x:c r="H5" s="184"/>
      <x:c r="I5" s="184"/>
      <x:c r="J5" s="175" t="n">
        <x:v>2</x:v>
      </x:c>
      <x:c r="K5" s="175" t="str">
        <x:v>PENDING FROZEN OOS</x:v>
      </x:c>
      <x:c r="L5" s="175" t="n">
        <x:v>70</x:v>
      </x:c>
      <x:c r="M5" s="175" t="n">
        <x:v>60</x:v>
      </x:c>
      <x:c r="N5" s="175" t="n">
        <x:v>60</x:v>
      </x:c>
      <x:c r="O5" s="175" t="n">
        <x:v>60</x:v>
      </x:c>
      <x:c r="P5" s="175" t="n">
        <x:v>1</x:v>
      </x:c>
      <x:c r="Q5" s="175" t="n">
        <x:v>2</x:v>
      </x:c>
      <x:c r="R5" s="175"/>
      <x:c r="S5" s="175"/>
      <x:c r="T5" s="175"/>
      <x:c r="U5" s="175"/>
      <x:c r="V5" s="172"/>
      <x:c r="W5" s="172"/>
      <x:c r="X5" s="172"/>
      <x:c r="Y5" s="172"/>
      <x:c r="Z5" s="172"/>
    </x:row>
    <x:row r="6" ht="45" customHeight="1">
      <x:c r="A6" s="172" t="str">
        <x:v>U4.5</x:v>
      </x:c>
      <x:c r="B6" s="175" t="n">
        <x:v>1</x:v>
      </x:c>
      <x:c r="C6" s="184" t="n">
        <x:v>0.88</x:v>
      </x:c>
      <x:c r="D6" s="184" t="n">
        <x:v>0.82</x:v>
      </x:c>
      <x:c r="E6" s="184" t="n">
        <x:v>0.76</x:v>
      </x:c>
      <x:c r="F6" s="184"/>
      <x:c r="G6" s="184"/>
      <x:c r="H6" s="184"/>
      <x:c r="I6" s="184"/>
      <x:c r="J6" s="175" t="n">
        <x:v>1</x:v>
      </x:c>
      <x:c r="K6" s="175" t="str">
        <x:v>PENDING FROZEN OOS</x:v>
      </x:c>
      <x:c r="L6" s="175" t="n">
        <x:v>70</x:v>
      </x:c>
      <x:c r="M6" s="175" t="n">
        <x:v>60</x:v>
      </x:c>
      <x:c r="N6" s="175" t="n">
        <x:v>60</x:v>
      </x:c>
      <x:c r="O6" s="175" t="n">
        <x:v>60</x:v>
      </x:c>
      <x:c r="P6" s="175" t="n">
        <x:v>1</x:v>
      </x:c>
      <x:c r="Q6" s="175" t="n">
        <x:v>2</x:v>
      </x:c>
      <x:c r="R6" s="175" t="n">
        <x:v>40</x:v>
      </x:c>
      <x:c r="S6" s="175" t="n">
        <x:v>30</x:v>
      </x:c>
      <x:c r="T6" s="175" t="n">
        <x:v>70</x:v>
      </x:c>
      <x:c r="U6" s="175" t="n">
        <x:v>50</x:v>
      </x:c>
      <x:c r="V6" s="172"/>
      <x:c r="W6" s="172"/>
      <x:c r="X6" s="172"/>
      <x:c r="Y6" s="172"/>
      <x:c r="Z6" s="172"/>
    </x:row>
    <x:row r="7" ht="45" customHeight="1">
      <x:c r="A7" s="172" t="str">
        <x:v>U5.5</x:v>
      </x:c>
      <x:c r="B7" s="175" t="n">
        <x:v>1</x:v>
      </x:c>
      <x:c r="C7" s="184" t="n">
        <x:v>0.9</x:v>
      </x:c>
      <x:c r="D7" s="184" t="n">
        <x:v>0.85</x:v>
      </x:c>
      <x:c r="E7" s="184" t="n">
        <x:v>0.8</x:v>
      </x:c>
      <x:c r="F7" s="184"/>
      <x:c r="G7" s="184"/>
      <x:c r="H7" s="184"/>
      <x:c r="I7" s="184"/>
      <x:c r="J7" s="175" t="n">
        <x:v>1</x:v>
      </x:c>
      <x:c r="K7" s="175" t="str">
        <x:v>PENDING FROZEN OOS</x:v>
      </x:c>
      <x:c r="L7" s="175" t="n">
        <x:v>70</x:v>
      </x:c>
      <x:c r="M7" s="175" t="n">
        <x:v>60</x:v>
      </x:c>
      <x:c r="N7" s="175" t="n">
        <x:v>60</x:v>
      </x:c>
      <x:c r="O7" s="175" t="n">
        <x:v>60</x:v>
      </x:c>
      <x:c r="P7" s="175" t="n">
        <x:v>1</x:v>
      </x:c>
      <x:c r="Q7" s="175" t="n">
        <x:v>2</x:v>
      </x:c>
      <x:c r="R7" s="175"/>
      <x:c r="S7" s="175"/>
      <x:c r="T7" s="175"/>
      <x:c r="U7" s="175"/>
      <x:c r="V7" s="172"/>
      <x:c r="W7" s="172"/>
      <x:c r="X7" s="172"/>
      <x:c r="Y7" s="172"/>
      <x:c r="Z7" s="172"/>
    </x:row>
    <x:row r="8" ht="23" customHeight="1">
      <x:c r="A8" s="172"/>
      <x:c r="B8" s="172"/>
      <x:c r="C8" s="172"/>
      <x:c r="D8" s="172"/>
      <x:c r="E8" s="172"/>
      <x:c r="F8" s="172"/>
      <x:c r="G8" s="172"/>
      <x:c r="H8" s="172"/>
      <x:c r="I8" s="172"/>
      <x:c r="J8" s="172"/>
      <x:c r="K8" s="172"/>
      <x:c r="L8" s="172"/>
      <x:c r="M8" s="172"/>
      <x:c r="N8" s="172"/>
      <x:c r="O8" s="172"/>
      <x:c r="P8" s="172"/>
      <x:c r="Q8" s="172"/>
      <x:c r="R8" s="172"/>
      <x:c r="S8" s="172"/>
      <x:c r="T8" s="172"/>
      <x:c r="U8" s="172"/>
      <x:c r="V8" s="172"/>
      <x:c r="W8" s="172"/>
      <x:c r="X8" s="172"/>
      <x:c r="Y8" s="172"/>
      <x:c r="Z8" s="172"/>
    </x:row>
    <x:row r="9" ht="23" customHeight="1">
      <x:c r="A9" s="172"/>
      <x:c r="B9" s="172"/>
      <x:c r="C9" s="172"/>
      <x:c r="D9" s="172"/>
      <x:c r="E9" s="172"/>
      <x:c r="F9" s="172"/>
      <x:c r="G9" s="172"/>
      <x:c r="H9" s="172"/>
      <x:c r="I9" s="172"/>
      <x:c r="J9" s="172"/>
      <x:c r="K9" s="172"/>
      <x:c r="L9" s="172"/>
      <x:c r="M9" s="172"/>
      <x:c r="N9" s="172"/>
      <x:c r="O9" s="172"/>
      <x:c r="P9" s="172"/>
      <x:c r="Q9" s="172"/>
      <x:c r="R9" s="172"/>
      <x:c r="S9" s="172"/>
      <x:c r="T9" s="172"/>
      <x:c r="U9" s="172"/>
      <x:c r="V9" s="172"/>
      <x:c r="W9" s="172"/>
      <x:c r="X9" s="172"/>
      <x:c r="Y9" s="172"/>
      <x:c r="Z9" s="172"/>
    </x:row>
    <x:row r="10" ht="23" customHeight="1">
      <x:c r="A10" s="172"/>
      <x:c r="B10" s="172"/>
      <x:c r="C10" s="172"/>
      <x:c r="D10" s="172"/>
      <x:c r="E10" s="172"/>
      <x:c r="F10" s="172"/>
      <x:c r="G10" s="172"/>
      <x:c r="H10" s="172"/>
      <x:c r="I10" s="172"/>
      <x:c r="J10" s="172"/>
      <x:c r="K10" s="172"/>
      <x:c r="L10" s="172"/>
      <x:c r="M10" s="172"/>
      <x:c r="N10" s="172"/>
      <x:c r="O10" s="172"/>
      <x:c r="P10" s="172"/>
      <x:c r="Q10" s="172"/>
      <x:c r="R10" s="172"/>
      <x:c r="S10" s="172"/>
      <x:c r="T10" s="172"/>
      <x:c r="U10" s="172"/>
      <x:c r="V10" s="172"/>
      <x:c r="W10" s="172"/>
      <x:c r="X10" s="172"/>
      <x:c r="Y10" s="172"/>
      <x:c r="Z10" s="172"/>
    </x:row>
    <x:row r="11" ht="36" customHeight="1">
      <x:c r="A11" s="181" t="str">
        <x:v>PARAMETRU COMUN</x:v>
      </x:c>
      <x:c r="B11" s="181" t="str">
        <x:v>Valoare</x:v>
      </x:c>
      <x:c r="C11" s="181" t="str">
        <x:v>Regulă / proveniență</x:v>
      </x:c>
      <x:c r="D11" s="172"/>
      <x:c r="E11" s="172"/>
      <x:c r="F11" s="172"/>
      <x:c r="G11" s="172"/>
      <x:c r="H11" s="172"/>
      <x:c r="I11" s="172"/>
      <x:c r="J11" s="172"/>
      <x:c r="K11" s="172"/>
      <x:c r="L11" s="172"/>
      <x:c r="M11" s="172"/>
      <x:c r="N11" s="172"/>
      <x:c r="O11" s="172"/>
      <x:c r="P11" s="172"/>
      <x:c r="Q11" s="172"/>
      <x:c r="R11" s="172"/>
      <x:c r="S11" s="172"/>
      <x:c r="T11" s="172"/>
      <x:c r="U11" s="172"/>
      <x:c r="V11" s="172"/>
      <x:c r="W11" s="172"/>
      <x:c r="X11" s="172"/>
      <x:c r="Y11" s="172"/>
      <x:c r="Z11" s="172"/>
    </x:row>
    <x:row r="12" ht="34" customHeight="1">
      <x:c r="A12" s="172" t="str">
        <x:v>NB r</x:v>
      </x:c>
      <x:c r="B12" s="175" t="n">
        <x:v>4</x:v>
      </x:c>
      <x:c r="C12" s="187" t="str">
        <x:v>Întreg 1–30; valoare moștenită, OOS pending</x:v>
      </x:c>
      <x:c r="D12" s="172"/>
      <x:c r="E12" s="172"/>
      <x:c r="F12" s="172"/>
      <x:c r="G12" s="172"/>
      <x:c r="H12" s="172"/>
      <x:c r="I12" s="172"/>
      <x:c r="J12" s="172"/>
      <x:c r="K12" s="172"/>
      <x:c r="L12" s="172"/>
      <x:c r="M12" s="172"/>
      <x:c r="N12" s="172"/>
      <x:c r="O12" s="172"/>
      <x:c r="P12" s="172"/>
      <x:c r="Q12" s="172"/>
      <x:c r="R12" s="172"/>
      <x:c r="S12" s="172"/>
      <x:c r="T12" s="172"/>
      <x:c r="U12" s="172"/>
      <x:c r="V12" s="172"/>
      <x:c r="W12" s="172"/>
      <x:c r="X12" s="172"/>
      <x:c r="Y12" s="172"/>
      <x:c r="Z12" s="172"/>
    </x:row>
    <x:row r="13" ht="34" customHeight="1">
      <x:c r="A13" s="172" t="str">
        <x:v>Pondere NB</x:v>
      </x:c>
      <x:c r="B13" s="175" t="n">
        <x:v>0.65</x:v>
      </x:c>
      <x:c r="C13" s="187" t="str">
        <x:v>Mixture moștenit; 0 Poisson, 1 NB</x:v>
      </x:c>
      <x:c r="D13" s="172"/>
      <x:c r="E13" s="172"/>
      <x:c r="F13" s="172"/>
      <x:c r="G13" s="172"/>
      <x:c r="H13" s="172"/>
      <x:c r="I13" s="172"/>
      <x:c r="J13" s="172"/>
      <x:c r="K13" s="172"/>
      <x:c r="L13" s="172"/>
      <x:c r="M13" s="172"/>
      <x:c r="N13" s="172"/>
      <x:c r="O13" s="172"/>
      <x:c r="P13" s="172"/>
      <x:c r="Q13" s="172"/>
      <x:c r="R13" s="172"/>
      <x:c r="S13" s="172"/>
      <x:c r="T13" s="172"/>
      <x:c r="U13" s="172"/>
      <x:c r="V13" s="172"/>
      <x:c r="W13" s="172"/>
      <x:c r="X13" s="172"/>
      <x:c r="Y13" s="172"/>
      <x:c r="Z13" s="172"/>
    </x:row>
    <x:row r="14" ht="34" customHeight="1">
      <x:c r="A14" s="172" t="str">
        <x:v>Prag N domestic</x:v>
      </x:c>
      <x:c r="B14" s="175" t="n">
        <x:v>8</x:v>
      </x:c>
      <x:c r="C14" s="187" t="str">
        <x:v>Pondere redusă gradual sub prag</x:v>
      </x:c>
      <x:c r="D14" s="172"/>
      <x:c r="E14" s="172"/>
      <x:c r="F14" s="172"/>
      <x:c r="G14" s="172"/>
      <x:c r="H14" s="172"/>
      <x:c r="I14" s="172"/>
      <x:c r="J14" s="172"/>
      <x:c r="K14" s="172"/>
      <x:c r="L14" s="172"/>
      <x:c r="M14" s="172"/>
      <x:c r="N14" s="172"/>
      <x:c r="O14" s="172"/>
      <x:c r="P14" s="172"/>
      <x:c r="Q14" s="172"/>
      <x:c r="R14" s="172"/>
      <x:c r="S14" s="172"/>
      <x:c r="T14" s="172"/>
      <x:c r="U14" s="172"/>
      <x:c r="V14" s="172"/>
      <x:c r="W14" s="172"/>
      <x:c r="X14" s="172"/>
      <x:c r="Y14" s="172"/>
      <x:c r="Z14" s="172"/>
    </x:row>
    <x:row r="15" ht="34" customHeight="1">
      <x:c r="A15" s="172" t="str">
        <x:v>Prag N recent</x:v>
      </x:c>
      <x:c r="B15" s="175" t="n">
        <x:v>5</x:v>
      </x:c>
      <x:c r="C15" s="187" t="str">
        <x:v>Pondere redusă gradual sub prag</x:v>
      </x:c>
      <x:c r="D15" s="172"/>
      <x:c r="E15" s="172"/>
      <x:c r="F15" s="172"/>
      <x:c r="G15" s="172"/>
      <x:c r="H15" s="172"/>
      <x:c r="I15" s="172"/>
      <x:c r="J15" s="172"/>
      <x:c r="K15" s="172"/>
      <x:c r="L15" s="172"/>
      <x:c r="M15" s="172"/>
      <x:c r="N15" s="172"/>
      <x:c r="O15" s="172"/>
      <x:c r="P15" s="172"/>
      <x:c r="Q15" s="172"/>
      <x:c r="R15" s="172"/>
      <x:c r="S15" s="172"/>
      <x:c r="T15" s="172"/>
      <x:c r="U15" s="172"/>
      <x:c r="V15" s="172"/>
      <x:c r="W15" s="172"/>
      <x:c r="X15" s="172"/>
      <x:c r="Y15" s="172"/>
      <x:c r="Z15" s="172"/>
    </x:row>
    <x:row r="16" ht="34" customHeight="1">
      <x:c r="A16" s="172" t="str">
        <x:v>Prag N Europa</x:v>
      </x:c>
      <x:c r="B16" s="175" t="n">
        <x:v>5</x:v>
      </x:c>
      <x:c r="C16" s="187" t="str">
        <x:v>Pondere redusă gradual sub prag</x:v>
      </x:c>
      <x:c r="D16" s="172"/>
      <x:c r="E16" s="172"/>
      <x:c r="F16" s="172"/>
      <x:c r="G16" s="172"/>
      <x:c r="H16" s="172"/>
      <x:c r="I16" s="172"/>
      <x:c r="J16" s="172"/>
      <x:c r="K16" s="172"/>
      <x:c r="L16" s="172"/>
      <x:c r="M16" s="172"/>
      <x:c r="N16" s="172"/>
      <x:c r="O16" s="172"/>
      <x:c r="P16" s="172"/>
      <x:c r="Q16" s="172"/>
      <x:c r="R16" s="172"/>
      <x:c r="S16" s="172"/>
      <x:c r="T16" s="172"/>
      <x:c r="U16" s="172"/>
      <x:c r="V16" s="172"/>
      <x:c r="W16" s="172"/>
      <x:c r="X16" s="172"/>
      <x:c r="Y16" s="172"/>
      <x:c r="Z16" s="172"/>
    </x:row>
    <x:row r="17" ht="34" customHeight="1">
      <x:c r="A17" s="172" t="str">
        <x:v>Confidence cap proxy</x:v>
      </x:c>
      <x:c r="B17" s="175" t="n">
        <x:v>60</x:v>
      </x:c>
      <x:c r="C17" s="187" t="str">
        <x:v>Prag moștenit; proxy documentat</x:v>
      </x:c>
      <x:c r="D17" s="172"/>
      <x:c r="E17" s="172"/>
      <x:c r="F17" s="172"/>
      <x:c r="G17" s="172"/>
      <x:c r="H17" s="172"/>
      <x:c r="I17" s="172"/>
      <x:c r="J17" s="172"/>
      <x:c r="K17" s="172"/>
      <x:c r="L17" s="172"/>
      <x:c r="M17" s="172"/>
      <x:c r="N17" s="172"/>
      <x:c r="O17" s="172"/>
      <x:c r="P17" s="172"/>
      <x:c r="Q17" s="172"/>
      <x:c r="R17" s="172"/>
      <x:c r="S17" s="172"/>
      <x:c r="T17" s="172"/>
      <x:c r="U17" s="172"/>
      <x:c r="V17" s="172"/>
      <x:c r="W17" s="172"/>
      <x:c r="X17" s="172"/>
      <x:c r="Y17" s="172"/>
      <x:c r="Z17" s="172"/>
    </x:row>
    <x:row r="18" ht="34" customHeight="1">
      <x:c r="A18" s="172" t="str">
        <x:v>Confidence cap sursă bună</x:v>
      </x:c>
      <x:c r="B18" s="175" t="n">
        <x:v>90</x:v>
      </x:c>
      <x:c r="C18" s="187" t="str">
        <x:v>Prag moștenit</x:v>
      </x:c>
      <x:c r="D18" s="172"/>
      <x:c r="E18" s="172"/>
      <x:c r="F18" s="172"/>
      <x:c r="G18" s="172"/>
      <x:c r="H18" s="172"/>
      <x:c r="I18" s="172"/>
      <x:c r="J18" s="172"/>
      <x:c r="K18" s="172"/>
      <x:c r="L18" s="172"/>
      <x:c r="M18" s="172"/>
      <x:c r="N18" s="172"/>
      <x:c r="O18" s="172"/>
      <x:c r="P18" s="172"/>
      <x:c r="Q18" s="172"/>
      <x:c r="R18" s="172"/>
      <x:c r="S18" s="172"/>
      <x:c r="T18" s="172"/>
      <x:c r="U18" s="172"/>
      <x:c r="V18" s="172"/>
      <x:c r="W18" s="172"/>
      <x:c r="X18" s="172"/>
      <x:c r="Y18" s="172"/>
      <x:c r="Z18" s="172"/>
    </x:row>
    <x:row r="19" ht="34" customHeight="1">
      <x:c r="A19" s="172" t="str">
        <x:v>Penalizare start sezon</x:v>
      </x:c>
      <x:c r="B19" s="175" t="n">
        <x:v>10</x:v>
      </x:c>
      <x:c r="C19" s="187" t="str">
        <x:v>Prag moștenit; fără floor de risc automat</x:v>
      </x:c>
      <x:c r="D19" s="172"/>
      <x:c r="E19" s="172"/>
      <x:c r="F19" s="172"/>
      <x:c r="G19" s="172"/>
      <x:c r="H19" s="172"/>
      <x:c r="I19" s="172"/>
      <x:c r="J19" s="172"/>
      <x:c r="K19" s="172"/>
      <x:c r="L19" s="172"/>
      <x:c r="M19" s="172"/>
      <x:c r="N19" s="172"/>
      <x:c r="O19" s="172"/>
      <x:c r="P19" s="172"/>
      <x:c r="Q19" s="172"/>
      <x:c r="R19" s="172"/>
      <x:c r="S19" s="172"/>
      <x:c r="T19" s="172"/>
      <x:c r="U19" s="172"/>
      <x:c r="V19" s="172"/>
      <x:c r="W19" s="172"/>
      <x:c r="X19" s="172"/>
      <x:c r="Y19" s="172"/>
      <x:c r="Z19" s="172"/>
    </x:row>
    <x:row r="20" ht="34" customHeight="1">
      <x:c r="A20" s="172" t="str">
        <x:v>Penalizare tail OOS pending</x:v>
      </x:c>
      <x:c r="B20" s="175" t="n">
        <x:v>8</x:v>
      </x:c>
      <x:c r="C20" s="187" t="str">
        <x:v>Prag moștenit Multi-Line</x:v>
      </x:c>
      <x:c r="D20" s="172"/>
      <x:c r="E20" s="172"/>
      <x:c r="F20" s="172"/>
      <x:c r="G20" s="172"/>
      <x:c r="H20" s="172"/>
      <x:c r="I20" s="172"/>
      <x:c r="J20" s="172"/>
      <x:c r="K20" s="172"/>
      <x:c r="L20" s="172"/>
      <x:c r="M20" s="172"/>
      <x:c r="N20" s="172"/>
      <x:c r="O20" s="172"/>
      <x:c r="P20" s="172"/>
      <x:c r="Q20" s="172"/>
      <x:c r="R20" s="172"/>
      <x:c r="S20" s="172"/>
      <x:c r="T20" s="172"/>
      <x:c r="U20" s="172"/>
      <x:c r="V20" s="172"/>
      <x:c r="W20" s="172"/>
      <x:c r="X20" s="172"/>
      <x:c r="Y20" s="172"/>
      <x:c r="Z20" s="172"/>
    </x:row>
    <x:row r="21" ht="34" customHeight="1">
      <x:c r="A21" s="172" t="str">
        <x:v>Penalizare Confidence risc 4+</x:v>
      </x:c>
      <x:c r="B21" s="175" t="n">
        <x:v>5</x:v>
      </x:c>
      <x:c r="C21" s="187" t="str">
        <x:v>Prag moștenit</x:v>
      </x:c>
      <x:c r="D21" s="172"/>
      <x:c r="E21" s="172"/>
      <x:c r="F21" s="172"/>
      <x:c r="G21" s="172"/>
      <x:c r="H21" s="172"/>
      <x:c r="I21" s="172"/>
      <x:c r="J21" s="172"/>
      <x:c r="K21" s="172"/>
      <x:c r="L21" s="172"/>
      <x:c r="M21" s="172"/>
      <x:c r="N21" s="172"/>
      <x:c r="O21" s="172"/>
      <x:c r="P21" s="172"/>
      <x:c r="Q21" s="172"/>
      <x:c r="R21" s="172"/>
      <x:c r="S21" s="172"/>
      <x:c r="T21" s="172"/>
      <x:c r="U21" s="172"/>
      <x:c r="V21" s="172"/>
      <x:c r="W21" s="172"/>
      <x:c r="X21" s="172"/>
      <x:c r="Y21" s="172"/>
      <x:c r="Z21" s="172"/>
    </x:row>
    <x:row r="22" ht="34" customHeight="1">
      <x:c r="A22" s="172" t="str">
        <x:v>Confidence / Tail peste 30</x:v>
      </x:c>
      <x:c r="B22" s="175" t="n">
        <x:v>0.3</x:v>
      </x:c>
      <x:c r="C22" s="187" t="str">
        <x:v>Numai U4,5; prag moștenit</x:v>
      </x:c>
      <x:c r="D22" s="172"/>
      <x:c r="E22" s="172"/>
      <x:c r="F22" s="172"/>
      <x:c r="G22" s="172"/>
      <x:c r="H22" s="172"/>
      <x:c r="I22" s="172"/>
      <x:c r="J22" s="172"/>
      <x:c r="K22" s="172"/>
      <x:c r="L22" s="172"/>
      <x:c r="M22" s="172"/>
      <x:c r="N22" s="172"/>
      <x:c r="O22" s="172"/>
      <x:c r="P22" s="172"/>
      <x:c r="Q22" s="172"/>
      <x:c r="R22" s="172"/>
      <x:c r="S22" s="172"/>
      <x:c r="T22" s="172"/>
      <x:c r="U22" s="172"/>
      <x:c r="V22" s="172"/>
      <x:c r="W22" s="172"/>
      <x:c r="X22" s="172"/>
      <x:c r="Y22" s="172"/>
      <x:c r="Z22" s="172"/>
    </x:row>
    <x:row r="23" ht="34" customHeight="1">
      <x:c r="A23" s="172" t="str">
        <x:v>Cap ajustare context</x:v>
      </x:c>
      <x:c r="B23" s="175" t="n">
        <x:v>0.2</x:v>
      </x:c>
      <x:c r="C23" s="187" t="str">
        <x:v>Interval moștenit ±20% pentru ajustarea totală</x:v>
      </x:c>
      <x:c r="D23" s="172"/>
      <x:c r="E23" s="172"/>
      <x:c r="F23" s="172"/>
      <x:c r="G23" s="172"/>
      <x:c r="H23" s="172"/>
      <x:c r="I23" s="172"/>
      <x:c r="J23" s="172"/>
      <x:c r="K23" s="172"/>
      <x:c r="L23" s="172"/>
      <x:c r="M23" s="172"/>
      <x:c r="N23" s="172"/>
      <x:c r="O23" s="172"/>
      <x:c r="P23" s="172"/>
      <x:c r="Q23" s="172"/>
      <x:c r="R23" s="172"/>
      <x:c r="S23" s="172"/>
      <x:c r="T23" s="172"/>
      <x:c r="U23" s="172"/>
      <x:c r="V23" s="172"/>
      <x:c r="W23" s="172"/>
      <x:c r="X23" s="172"/>
      <x:c r="Y23" s="172"/>
      <x:c r="Z23" s="172"/>
    </x:row>
    <x:row r="24" ht="34" customHeight="1">
      <x:c r="A24" s="172" t="str">
        <x:v>Lambda minim</x:v>
      </x:c>
      <x:c r="B24" s="175" t="n">
        <x:v>0.1</x:v>
      </x:c>
      <x:c r="C24" s="187" t="str">
        <x:v>Cap tehnic moștenit</x:v>
      </x:c>
      <x:c r="D24" s="172"/>
      <x:c r="E24" s="172"/>
      <x:c r="F24" s="172"/>
      <x:c r="G24" s="172"/>
      <x:c r="H24" s="172"/>
      <x:c r="I24" s="172"/>
      <x:c r="J24" s="172"/>
      <x:c r="K24" s="172"/>
      <x:c r="L24" s="172"/>
      <x:c r="M24" s="172"/>
      <x:c r="N24" s="172"/>
      <x:c r="O24" s="172"/>
      <x:c r="P24" s="172"/>
      <x:c r="Q24" s="172"/>
      <x:c r="R24" s="172"/>
      <x:c r="S24" s="172"/>
      <x:c r="T24" s="172"/>
      <x:c r="U24" s="172"/>
      <x:c r="V24" s="172"/>
      <x:c r="W24" s="172"/>
      <x:c r="X24" s="172"/>
      <x:c r="Y24" s="172"/>
      <x:c r="Z24" s="172"/>
    </x:row>
    <x:row r="25" ht="34" customHeight="1">
      <x:c r="A25" s="172" t="str">
        <x:v>Lambda maxim pe echipă</x:v>
      </x:c>
      <x:c r="B25" s="175" t="n">
        <x:v>4.5</x:v>
      </x:c>
      <x:c r="C25" s="187" t="str">
        <x:v>Cap tehnic moștenit</x:v>
      </x:c>
      <x:c r="D25" s="172"/>
      <x:c r="E25" s="172"/>
      <x:c r="F25" s="172"/>
      <x:c r="G25" s="172"/>
      <x:c r="H25" s="172"/>
      <x:c r="I25" s="172"/>
      <x:c r="J25" s="172"/>
      <x:c r="K25" s="172"/>
      <x:c r="L25" s="172"/>
      <x:c r="M25" s="172"/>
      <x:c r="N25" s="172"/>
      <x:c r="O25" s="172"/>
      <x:c r="P25" s="172"/>
      <x:c r="Q25" s="172"/>
      <x:c r="R25" s="172"/>
      <x:c r="S25" s="172"/>
      <x:c r="T25" s="172"/>
      <x:c r="U25" s="172"/>
      <x:c r="V25" s="172"/>
      <x:c r="W25" s="172"/>
      <x:c r="X25" s="172"/>
      <x:c r="Y25" s="172"/>
      <x:c r="Z25" s="172"/>
    </x:row>
    <x:row r="26" ht="34" customHeight="1">
      <x:c r="A26" s="172" t="str">
        <x:v>P ajustată maxim</x:v>
      </x:c>
      <x:c r="B26" s="175" t="n">
        <x:v>0.995</x:v>
      </x:c>
      <x:c r="C26" s="187" t="str">
        <x:v>Nu există prag inferior artificial de 50%</x:v>
      </x:c>
      <x:c r="D26" s="172"/>
      <x:c r="E26" s="172"/>
      <x:c r="F26" s="172"/>
      <x:c r="G26" s="172"/>
      <x:c r="H26" s="172"/>
      <x:c r="I26" s="172"/>
      <x:c r="J26" s="172"/>
      <x:c r="K26" s="172"/>
      <x:c r="L26" s="172"/>
      <x:c r="M26" s="172"/>
      <x:c r="N26" s="172"/>
      <x:c r="O26" s="172"/>
      <x:c r="P26" s="172"/>
      <x:c r="Q26" s="172"/>
      <x:c r="R26" s="172"/>
      <x:c r="S26" s="172"/>
      <x:c r="T26" s="172"/>
      <x:c r="U26" s="172"/>
      <x:c r="V26" s="172"/>
      <x:c r="W26" s="172"/>
      <x:c r="X26" s="172"/>
      <x:c r="Y26" s="172"/>
      <x:c r="Z26" s="172"/>
    </x:row>
    <x:row r="27" ht="34" customHeight="1">
      <x:c r="A27" s="172" t="str">
        <x:v>Penalizare calibrare nouă</x:v>
      </x:c>
      <x:c r="B27" s="175" t="n">
        <x:v>0</x:v>
      </x:c>
      <x:c r="C27" s="187" t="str">
        <x:v>Neutru până la validarea motorului fără preț; fără retro-fit</x:v>
      </x:c>
      <x:c r="D27" s="172"/>
      <x:c r="E27" s="172"/>
      <x:c r="F27" s="172"/>
      <x:c r="G27" s="172"/>
      <x:c r="H27" s="172"/>
      <x:c r="I27" s="172"/>
      <x:c r="J27" s="172"/>
      <x:c r="K27" s="172"/>
      <x:c r="L27" s="172"/>
      <x:c r="M27" s="172"/>
      <x:c r="N27" s="172"/>
      <x:c r="O27" s="172"/>
      <x:c r="P27" s="172"/>
      <x:c r="Q27" s="172"/>
      <x:c r="R27" s="172"/>
      <x:c r="S27" s="172"/>
      <x:c r="T27" s="172"/>
      <x:c r="U27" s="172"/>
      <x:c r="V27" s="172"/>
      <x:c r="W27" s="172"/>
      <x:c r="X27" s="172"/>
      <x:c r="Y27" s="172"/>
      <x:c r="Z27" s="172"/>
    </x:row>
    <x:row r="28" ht="34" customHeight="1">
      <x:c r="A28" s="172" t="str">
        <x:v>Penalizare P proxy</x:v>
      </x:c>
      <x:c r="B28" s="175" t="n">
        <x:v>0.02</x:v>
      </x:c>
      <x:c r="C28" s="187" t="str">
        <x:v>Control moștenit pentru proxy documentat</x:v>
      </x:c>
      <x:c r="D28" s="172"/>
      <x:c r="E28" s="172"/>
      <x:c r="F28" s="172"/>
      <x:c r="G28" s="172"/>
      <x:c r="H28" s="172"/>
      <x:c r="I28" s="172"/>
      <x:c r="J28" s="172"/>
      <x:c r="K28" s="172"/>
      <x:c r="L28" s="172"/>
      <x:c r="M28" s="172"/>
      <x:c r="N28" s="172"/>
      <x:c r="O28" s="172"/>
      <x:c r="P28" s="172"/>
      <x:c r="Q28" s="172"/>
      <x:c r="R28" s="172"/>
      <x:c r="S28" s="172"/>
      <x:c r="T28" s="172"/>
      <x:c r="U28" s="172"/>
      <x:c r="V28" s="172"/>
      <x:c r="W28" s="172"/>
      <x:c r="X28" s="172"/>
      <x:c r="Y28" s="172"/>
      <x:c r="Z28" s="172"/>
    </x:row>
    <x:row r="29" ht="34" customHeight="1">
      <x:c r="A29" s="172" t="str">
        <x:v>Penalizare P G1 pending</x:v>
      </x:c>
      <x:c r="B29" s="175" t="n">
        <x:v>0</x:v>
      </x:c>
      <x:c r="C29" s="187" t="str">
        <x:v>Nu se inventează un haircut; starea este raportată</x:v>
      </x:c>
      <x:c r="D29" s="172"/>
      <x:c r="E29" s="172"/>
      <x:c r="F29" s="172"/>
      <x:c r="G29" s="172"/>
      <x:c r="H29" s="172"/>
      <x:c r="I29" s="172"/>
      <x:c r="J29" s="172"/>
      <x:c r="K29" s="172"/>
      <x:c r="L29" s="172"/>
      <x:c r="M29" s="172"/>
      <x:c r="N29" s="172"/>
      <x:c r="O29" s="172"/>
      <x:c r="P29" s="172"/>
      <x:c r="Q29" s="172"/>
      <x:c r="R29" s="172"/>
      <x:c r="S29" s="172"/>
      <x:c r="T29" s="172"/>
      <x:c r="U29" s="172"/>
      <x:c r="V29" s="172"/>
      <x:c r="W29" s="172"/>
      <x:c r="X29" s="172"/>
      <x:c r="Y29" s="172"/>
      <x:c r="Z29" s="172"/>
    </x:row>
    <x:row r="30" ht="34" customHeight="1">
      <x:c r="A30" s="172" t="str">
        <x:v>Risk: failure ajustat</x:v>
      </x:c>
      <x:c r="B30" s="175" t="n">
        <x:v>45</x:v>
      </x:c>
      <x:c r="C30" s="187" t="str">
        <x:v>Coeficient moștenit</x:v>
      </x:c>
      <x:c r="D30" s="172"/>
      <x:c r="E30" s="172"/>
      <x:c r="F30" s="172"/>
      <x:c r="G30" s="172"/>
      <x:c r="H30" s="172"/>
      <x:c r="I30" s="172"/>
      <x:c r="J30" s="172"/>
      <x:c r="K30" s="172"/>
      <x:c r="L30" s="172"/>
      <x:c r="M30" s="172"/>
      <x:c r="N30" s="172"/>
      <x:c r="O30" s="172"/>
      <x:c r="P30" s="172"/>
      <x:c r="Q30" s="172"/>
      <x:c r="R30" s="172"/>
      <x:c r="S30" s="172"/>
      <x:c r="T30" s="172"/>
      <x:c r="U30" s="172"/>
      <x:c r="V30" s="172"/>
      <x:c r="W30" s="172"/>
      <x:c r="X30" s="172"/>
      <x:c r="Y30" s="172"/>
      <x:c r="Z30" s="172"/>
    </x:row>
    <x:row r="31" ht="34" customHeight="1">
      <x:c r="A31" s="172" t="str">
        <x:v>Risk: near-tail</x:v>
      </x:c>
      <x:c r="B31" s="175" t="n">
        <x:v>20</x:v>
      </x:c>
      <x:c r="C31" s="187" t="str">
        <x:v>Coeficient moștenit</x:v>
      </x:c>
      <x:c r="D31" s="172"/>
      <x:c r="E31" s="172"/>
      <x:c r="F31" s="172"/>
      <x:c r="G31" s="172"/>
      <x:c r="H31" s="172"/>
      <x:c r="I31" s="172"/>
      <x:c r="J31" s="172"/>
      <x:c r="K31" s="172"/>
      <x:c r="L31" s="172"/>
      <x:c r="M31" s="172"/>
      <x:c r="N31" s="172"/>
      <x:c r="O31" s="172"/>
      <x:c r="P31" s="172"/>
      <x:c r="Q31" s="172"/>
      <x:c r="R31" s="172"/>
      <x:c r="S31" s="172"/>
      <x:c r="T31" s="172"/>
      <x:c r="U31" s="172"/>
      <x:c r="V31" s="172"/>
      <x:c r="W31" s="172"/>
      <x:c r="X31" s="172"/>
      <x:c r="Y31" s="172"/>
      <x:c r="Z31" s="172"/>
    </x:row>
    <x:row r="32" ht="34" customHeight="1">
      <x:c r="A32" s="172" t="str">
        <x:v>Risk: severe-tail</x:v>
      </x:c>
      <x:c r="B32" s="175" t="n">
        <x:v>20</x:v>
      </x:c>
      <x:c r="C32" s="187" t="str">
        <x:v>Coeficient moștenit</x:v>
      </x:c>
      <x:c r="D32" s="172"/>
      <x:c r="E32" s="172"/>
      <x:c r="F32" s="172"/>
      <x:c r="G32" s="172"/>
      <x:c r="H32" s="172"/>
      <x:c r="I32" s="172"/>
      <x:c r="J32" s="172"/>
      <x:c r="K32" s="172"/>
      <x:c r="L32" s="172"/>
      <x:c r="M32" s="172"/>
      <x:c r="N32" s="172"/>
      <x:c r="O32" s="172"/>
      <x:c r="P32" s="172"/>
      <x:c r="Q32" s="172"/>
      <x:c r="R32" s="172"/>
      <x:c r="S32" s="172"/>
      <x:c r="T32" s="172"/>
      <x:c r="U32" s="172"/>
      <x:c r="V32" s="172"/>
      <x:c r="W32" s="172"/>
      <x:c r="X32" s="172"/>
      <x:c r="Y32" s="172"/>
      <x:c r="Z32" s="172"/>
    </x:row>
    <x:row r="33" ht="34" customHeight="1">
      <x:c r="A33" s="172" t="str">
        <x:v>Risk: favorite share × severe</x:v>
      </x:c>
      <x:c r="B33" s="175" t="n">
        <x:v>10</x:v>
      </x:c>
      <x:c r="C33" s="187" t="str">
        <x:v>Coeficient moștenit</x:v>
      </x:c>
      <x:c r="D33" s="172"/>
      <x:c r="E33" s="172"/>
      <x:c r="F33" s="172"/>
      <x:c r="G33" s="172"/>
      <x:c r="H33" s="172"/>
      <x:c r="I33" s="172"/>
      <x:c r="J33" s="172"/>
      <x:c r="K33" s="172"/>
      <x:c r="L33" s="172"/>
      <x:c r="M33" s="172"/>
      <x:c r="N33" s="172"/>
      <x:c r="O33" s="172"/>
      <x:c r="P33" s="172"/>
      <x:c r="Q33" s="172"/>
      <x:c r="R33" s="172"/>
      <x:c r="S33" s="172"/>
      <x:c r="T33" s="172"/>
      <x:c r="U33" s="172"/>
      <x:c r="V33" s="172"/>
      <x:c r="W33" s="172"/>
      <x:c r="X33" s="172"/>
      <x:c r="Y33" s="172"/>
      <x:c r="Z33" s="172"/>
    </x:row>
    <x:row r="34" ht="34" customHeight="1">
      <x:c r="A34" s="172" t="str">
        <x:v>Risk: Confidence insuficient</x:v>
      </x:c>
      <x:c r="B34" s="175" t="n">
        <x:v>0.25</x:v>
      </x:c>
      <x:c r="C34" s="187" t="str">
        <x:v>Coeficient moștenit, reper 70</x:v>
      </x:c>
      <x:c r="D34" s="172"/>
      <x:c r="E34" s="172"/>
      <x:c r="F34" s="172"/>
      <x:c r="G34" s="172"/>
      <x:c r="H34" s="172"/>
      <x:c r="I34" s="172"/>
      <x:c r="J34" s="172"/>
      <x:c r="K34" s="172"/>
      <x:c r="L34" s="172"/>
      <x:c r="M34" s="172"/>
      <x:c r="N34" s="172"/>
      <x:c r="O34" s="172"/>
      <x:c r="P34" s="172"/>
      <x:c r="Q34" s="172"/>
      <x:c r="R34" s="172"/>
      <x:c r="S34" s="172"/>
      <x:c r="T34" s="172"/>
      <x:c r="U34" s="172"/>
      <x:c r="V34" s="172"/>
      <x:c r="W34" s="172"/>
      <x:c r="X34" s="172"/>
      <x:c r="Y34" s="172"/>
      <x:c r="Z34" s="172"/>
    </x:row>
    <x:row r="35" ht="34" customHeight="1">
      <x:c r="A35" s="172" t="str">
        <x:v>Risk: tail/context</x:v>
      </x:c>
      <x:c r="B35" s="175" t="n">
        <x:v>0.15</x:v>
      </x:c>
      <x:c r="C35" s="187" t="str">
        <x:v>U4,5: Tail Score; U3,5/U5,5: volatilitate defensivă</x:v>
      </x:c>
      <x:c r="D35" s="172"/>
      <x:c r="E35" s="172"/>
      <x:c r="F35" s="172"/>
      <x:c r="G35" s="172"/>
      <x:c r="H35" s="172"/>
      <x:c r="I35" s="172"/>
      <x:c r="J35" s="172"/>
      <x:c r="K35" s="172"/>
      <x:c r="L35" s="172"/>
      <x:c r="M35" s="172"/>
      <x:c r="N35" s="172"/>
      <x:c r="O35" s="172"/>
      <x:c r="P35" s="172"/>
      <x:c r="Q35" s="172"/>
      <x:c r="R35" s="172"/>
      <x:c r="S35" s="172"/>
      <x:c r="T35" s="172"/>
      <x:c r="U35" s="172"/>
      <x:c r="V35" s="172"/>
      <x:c r="W35" s="172"/>
      <x:c r="X35" s="172"/>
      <x:c r="Y35" s="172"/>
      <x:c r="Z35" s="172"/>
    </x:row>
    <x:row r="36" ht="34" customHeight="1">
      <x:c r="A36" s="172" t="str">
        <x:v>Reper Confidence risc</x:v>
      </x:c>
      <x:c r="B36" s="175" t="n">
        <x:v>70</x:v>
      </x:c>
      <x:c r="C36" s="187" t="str">
        <x:v>Reper moștenit</x:v>
      </x:c>
      <x:c r="D36" s="172"/>
      <x:c r="E36" s="172"/>
      <x:c r="F36" s="172"/>
      <x:c r="G36" s="172"/>
      <x:c r="H36" s="172"/>
      <x:c r="I36" s="172"/>
      <x:c r="J36" s="172"/>
      <x:c r="K36" s="172"/>
      <x:c r="L36" s="172"/>
      <x:c r="M36" s="172"/>
      <x:c r="N36" s="172"/>
      <x:c r="O36" s="172"/>
      <x:c r="P36" s="172"/>
      <x:c r="Q36" s="172"/>
      <x:c r="R36" s="172"/>
      <x:c r="S36" s="172"/>
      <x:c r="T36" s="172"/>
      <x:c r="U36" s="172"/>
      <x:c r="V36" s="172"/>
      <x:c r="W36" s="172"/>
      <x:c r="X36" s="172"/>
      <x:c r="Y36" s="172"/>
      <x:c r="Z36" s="172"/>
    </x:row>
    <x:row r="37" ht="34" customHeight="1">
      <x:c r="A37" s="172" t="str">
        <x:v>Risk Level 1 max</x:v>
      </x:c>
      <x:c r="B37" s="175" t="n">
        <x:v>20</x:v>
      </x:c>
      <x:c r="C37" s="187" t="str">
        <x:v>Scor ≤20</x:v>
      </x:c>
      <x:c r="D37" s="172"/>
      <x:c r="E37" s="172"/>
      <x:c r="F37" s="172"/>
      <x:c r="G37" s="172"/>
      <x:c r="H37" s="172"/>
      <x:c r="I37" s="172"/>
      <x:c r="J37" s="172"/>
      <x:c r="K37" s="172"/>
      <x:c r="L37" s="172"/>
      <x:c r="M37" s="172"/>
      <x:c r="N37" s="172"/>
      <x:c r="O37" s="172"/>
      <x:c r="P37" s="172"/>
      <x:c r="Q37" s="172"/>
      <x:c r="R37" s="172"/>
      <x:c r="S37" s="172"/>
      <x:c r="T37" s="172"/>
      <x:c r="U37" s="172"/>
      <x:c r="V37" s="172"/>
      <x:c r="W37" s="172"/>
      <x:c r="X37" s="172"/>
      <x:c r="Y37" s="172"/>
      <x:c r="Z37" s="172"/>
    </x:row>
    <x:row r="38" ht="34" customHeight="1">
      <x:c r="A38" s="172" t="str">
        <x:v>Risk Level 2 max</x:v>
      </x:c>
      <x:c r="B38" s="175" t="n">
        <x:v>40</x:v>
      </x:c>
      <x:c r="C38" s="187" t="str">
        <x:v>20 &lt; scor ≤40</x:v>
      </x:c>
      <x:c r="D38" s="172"/>
      <x:c r="E38" s="172"/>
      <x:c r="F38" s="172"/>
      <x:c r="G38" s="172"/>
      <x:c r="H38" s="172"/>
      <x:c r="I38" s="172"/>
      <x:c r="J38" s="172"/>
      <x:c r="K38" s="172"/>
      <x:c r="L38" s="172"/>
      <x:c r="M38" s="172"/>
      <x:c r="N38" s="172"/>
      <x:c r="O38" s="172"/>
      <x:c r="P38" s="172"/>
      <x:c r="Q38" s="172"/>
      <x:c r="R38" s="172"/>
      <x:c r="S38" s="172"/>
      <x:c r="T38" s="172"/>
      <x:c r="U38" s="172"/>
      <x:c r="V38" s="172"/>
      <x:c r="W38" s="172"/>
      <x:c r="X38" s="172"/>
      <x:c r="Y38" s="172"/>
      <x:c r="Z38" s="172"/>
    </x:row>
    <x:row r="39" ht="34" customHeight="1">
      <x:c r="A39" s="172" t="str">
        <x:v>Risk Level 3 max</x:v>
      </x:c>
      <x:c r="B39" s="175" t="n">
        <x:v>60</x:v>
      </x:c>
      <x:c r="C39" s="187" t="str">
        <x:v>40 &lt; scor ≤60</x:v>
      </x:c>
      <x:c r="D39" s="172"/>
      <x:c r="E39" s="172"/>
      <x:c r="F39" s="172"/>
      <x:c r="G39" s="172"/>
      <x:c r="H39" s="172"/>
      <x:c r="I39" s="172"/>
      <x:c r="J39" s="172"/>
      <x:c r="K39" s="172"/>
      <x:c r="L39" s="172"/>
      <x:c r="M39" s="172"/>
      <x:c r="N39" s="172"/>
      <x:c r="O39" s="172"/>
      <x:c r="P39" s="172"/>
      <x:c r="Q39" s="172"/>
      <x:c r="R39" s="172"/>
      <x:c r="S39" s="172"/>
      <x:c r="T39" s="172"/>
      <x:c r="U39" s="172"/>
      <x:c r="V39" s="172"/>
      <x:c r="W39" s="172"/>
      <x:c r="X39" s="172"/>
      <x:c r="Y39" s="172"/>
      <x:c r="Z39" s="172"/>
    </x:row>
    <x:row r="40" ht="34" customHeight="1">
      <x:c r="A40" s="172" t="str">
        <x:v>Risk Level 4 max</x:v>
      </x:c>
      <x:c r="B40" s="175" t="n">
        <x:v>80</x:v>
      </x:c>
      <x:c r="C40" s="187" t="str">
        <x:v>80 &lt; scor =&gt; nivel 5</x:v>
      </x:c>
      <x:c r="D40" s="172"/>
      <x:c r="E40" s="172"/>
      <x:c r="F40" s="172"/>
      <x:c r="G40" s="172"/>
      <x:c r="H40" s="172"/>
      <x:c r="I40" s="172"/>
      <x:c r="J40" s="172"/>
      <x:c r="K40" s="172"/>
      <x:c r="L40" s="172"/>
      <x:c r="M40" s="172"/>
      <x:c r="N40" s="172"/>
      <x:c r="O40" s="172"/>
      <x:c r="P40" s="172"/>
      <x:c r="Q40" s="172"/>
      <x:c r="R40" s="172"/>
      <x:c r="S40" s="172"/>
      <x:c r="T40" s="172"/>
      <x:c r="U40" s="172"/>
      <x:c r="V40" s="172"/>
      <x:c r="W40" s="172"/>
      <x:c r="X40" s="172"/>
      <x:c r="Y40" s="172"/>
      <x:c r="Z40" s="172"/>
    </x:row>
    <x:row r="41" ht="34" customHeight="1">
      <x:c r="A41" s="172" t="str">
        <x:v>Favorite share stress</x:v>
      </x:c>
      <x:c r="B41" s="175" t="n">
        <x:v>0.65</x:v>
      </x:c>
      <x:c r="C41" s="187" t="str">
        <x:v>Diagnostic moștenit, fără cota favoritei</x:v>
      </x:c>
      <x:c r="D41" s="172"/>
      <x:c r="E41" s="172"/>
      <x:c r="F41" s="172"/>
      <x:c r="G41" s="172"/>
      <x:c r="H41" s="172"/>
      <x:c r="I41" s="172"/>
      <x:c r="J41" s="172"/>
      <x:c r="K41" s="172"/>
      <x:c r="L41" s="172"/>
      <x:c r="M41" s="172"/>
      <x:c r="N41" s="172"/>
      <x:c r="O41" s="172"/>
      <x:c r="P41" s="172"/>
      <x:c r="Q41" s="172"/>
      <x:c r="R41" s="172"/>
      <x:c r="S41" s="172"/>
      <x:c r="T41" s="172"/>
      <x:c r="U41" s="172"/>
      <x:c r="V41" s="172"/>
      <x:c r="W41" s="172"/>
      <x:c r="X41" s="172"/>
      <x:c r="Y41" s="172"/>
      <x:c r="Z41" s="172"/>
    </x:row>
    <x:row r="42" ht="34" customHeight="1">
      <x:c r="A42" s="172" t="str">
        <x:v>Lambda total preferat U4,5</x:v>
      </x:c>
      <x:c r="B42" s="175" t="n">
        <x:v>2.7</x:v>
      </x:c>
      <x:c r="C42" s="187" t="str">
        <x:v>Diagnostic; nu este NO BET automat</x:v>
      </x:c>
      <x:c r="D42" s="172"/>
      <x:c r="E42" s="172"/>
      <x:c r="F42" s="172"/>
      <x:c r="G42" s="172"/>
      <x:c r="H42" s="172"/>
      <x:c r="I42" s="172"/>
      <x:c r="J42" s="172"/>
      <x:c r="K42" s="172"/>
      <x:c r="L42" s="172"/>
      <x:c r="M42" s="172"/>
      <x:c r="N42" s="172"/>
      <x:c r="O42" s="172"/>
      <x:c r="P42" s="172"/>
      <x:c r="Q42" s="172"/>
      <x:c r="R42" s="172"/>
      <x:c r="S42" s="172"/>
      <x:c r="T42" s="172"/>
      <x:c r="U42" s="172"/>
      <x:c r="V42" s="172"/>
      <x:c r="W42" s="172"/>
      <x:c r="X42" s="172"/>
      <x:c r="Y42" s="172"/>
      <x:c r="Z42" s="172"/>
    </x:row>
    <x:row r="43" ht="34" customHeight="1">
      <x:c r="A43" s="172" t="str">
        <x:v>Lambda individual diagnostic</x:v>
      </x:c>
      <x:c r="B43" s="175" t="n">
        <x:v>2.8</x:v>
      </x:c>
      <x:c r="C43" s="187" t="str">
        <x:v>Diagnostic de concentrare</x:v>
      </x:c>
      <x:c r="D43" s="172"/>
      <x:c r="E43" s="172"/>
      <x:c r="F43" s="172"/>
      <x:c r="G43" s="172"/>
      <x:c r="H43" s="172"/>
      <x:c r="I43" s="172"/>
      <x:c r="J43" s="172"/>
      <x:c r="K43" s="172"/>
      <x:c r="L43" s="172"/>
      <x:c r="M43" s="172"/>
      <x:c r="N43" s="172"/>
      <x:c r="O43" s="172"/>
      <x:c r="P43" s="172"/>
      <x:c r="Q43" s="172"/>
      <x:c r="R43" s="172"/>
      <x:c r="S43" s="172"/>
      <x:c r="T43" s="172"/>
      <x:c r="U43" s="172"/>
      <x:c r="V43" s="172"/>
      <x:c r="W43" s="172"/>
      <x:c r="X43" s="172"/>
      <x:c r="Y43" s="172"/>
      <x:c r="Z43" s="172"/>
    </x:row>
    <x:row r="44" ht="34" customHeight="1">
      <x:c r="A44" s="172" t="str">
        <x:v>Conf cap G1 neclar</x:v>
      </x:c>
      <x:c r="B44" s="175" t="n">
        <x:v>60</x:v>
      </x:c>
      <x:c r="C44" s="187" t="str">
        <x:v>Regulă explicită v11: soft pending plafonează încrederea, fără G0 fail</x:v>
      </x:c>
      <x:c r="D44" s="172"/>
      <x:c r="E44" s="172"/>
      <x:c r="F44" s="172"/>
      <x:c r="G44" s="172"/>
      <x:c r="H44" s="172"/>
      <x:c r="I44" s="172"/>
      <x:c r="J44" s="172"/>
      <x:c r="K44" s="172"/>
      <x:c r="L44" s="172"/>
      <x:c r="M44" s="172"/>
      <x:c r="N44" s="172"/>
      <x:c r="O44" s="172"/>
      <x:c r="P44" s="172"/>
      <x:c r="Q44" s="172"/>
      <x:c r="R44" s="172"/>
      <x:c r="S44" s="172"/>
      <x:c r="T44" s="172"/>
      <x:c r="U44" s="172"/>
      <x:c r="V44" s="172"/>
      <x:c r="W44" s="172"/>
      <x:c r="X44" s="172"/>
      <x:c r="Y44" s="172"/>
      <x:c r="Z44" s="172"/>
    </x:row>
    <x:row r="45" ht="34" customHeight="1">
      <x:c r="A45" s="172" t="str">
        <x:v>Metodologie</x:v>
      </x:c>
      <x:c r="B45" s="172" t="str">
        <x:v>UNDER MULTI-LINE STATISTIC v11</x:v>
      </x:c>
      <x:c r="C45" s="187" t="str">
        <x:v>Fără cote/EV în inputurile probabilistice</x:v>
      </x:c>
      <x:c r="D45" s="172"/>
      <x:c r="E45" s="172"/>
      <x:c r="F45" s="172"/>
      <x:c r="G45" s="172"/>
      <x:c r="H45" s="172"/>
      <x:c r="I45" s="172"/>
      <x:c r="J45" s="172"/>
      <x:c r="K45" s="172"/>
      <x:c r="L45" s="172"/>
      <x:c r="M45" s="172"/>
      <x:c r="N45" s="172"/>
      <x:c r="O45" s="172"/>
      <x:c r="P45" s="172"/>
      <x:c r="Q45" s="172"/>
      <x:c r="R45" s="172"/>
      <x:c r="S45" s="172"/>
      <x:c r="T45" s="172"/>
      <x:c r="U45" s="172"/>
      <x:c r="V45" s="172"/>
      <x:c r="W45" s="172"/>
      <x:c r="X45" s="172"/>
      <x:c r="Y45" s="172"/>
      <x:c r="Z45" s="172"/>
    </x:row>
    <x:row r="46" ht="34" customHeight="1">
      <x:c r="A46" s="172" t="str">
        <x:v>Workbook</x:v>
      </x:c>
      <x:c r="B46" s="172" t="str">
        <x:v>optimizat_V2</x:v>
      </x:c>
      <x:c r="C46" s="187" t="str">
        <x:v>Fișier nou; istoric păstrat</x:v>
      </x:c>
      <x:c r="D46" s="172"/>
      <x:c r="E46" s="172"/>
      <x:c r="F46" s="172"/>
      <x:c r="G46" s="172"/>
      <x:c r="H46" s="172"/>
      <x:c r="I46" s="172"/>
      <x:c r="J46" s="172"/>
      <x:c r="K46" s="172"/>
      <x:c r="L46" s="172"/>
      <x:c r="M46" s="172"/>
      <x:c r="N46" s="172"/>
      <x:c r="O46" s="172"/>
      <x:c r="P46" s="172"/>
      <x:c r="Q46" s="172"/>
      <x:c r="R46" s="172"/>
      <x:c r="S46" s="172"/>
      <x:c r="T46" s="172"/>
      <x:c r="U46" s="172"/>
      <x:c r="V46" s="172"/>
      <x:c r="W46" s="172"/>
      <x:c r="X46" s="172"/>
      <x:c r="Y46" s="172"/>
      <x:c r="Z46" s="172"/>
    </x:row>
    <x:row r="47" ht="34" customHeight="1">
      <x:c r="A47" s="172" t="str">
        <x:v>Data actualizării</x:v>
      </x:c>
      <x:c r="B47" s="188" t="n">
        <x:v>46277</x:v>
      </x:c>
      <x:c r="C47" s="187" t="str">
        <x:v>12.09.2026</x:v>
      </x:c>
      <x:c r="D47" s="172"/>
      <x:c r="E47" s="172"/>
      <x:c r="F47" s="172"/>
      <x:c r="G47" s="172"/>
      <x:c r="H47" s="172"/>
      <x:c r="I47" s="172"/>
      <x:c r="J47" s="172"/>
      <x:c r="K47" s="172"/>
      <x:c r="L47" s="172"/>
      <x:c r="M47" s="172"/>
      <x:c r="N47" s="172"/>
      <x:c r="O47" s="172"/>
      <x:c r="P47" s="172"/>
      <x:c r="Q47" s="172"/>
      <x:c r="R47" s="172"/>
      <x:c r="S47" s="172"/>
      <x:c r="T47" s="172"/>
      <x:c r="U47" s="172"/>
      <x:c r="V47" s="172"/>
      <x:c r="W47" s="172"/>
      <x:c r="X47" s="172"/>
      <x:c r="Y47" s="172"/>
      <x:c r="Z47" s="172"/>
    </x:row>
    <x:row r="48" ht="34" customHeight="1">
      <x:c r="A48" s="172" t="str">
        <x:v>Conf minim pentru recomandare</x:v>
      </x:c>
      <x:c r="B48" s="172" t="n">
        <x:v>60</x:v>
      </x:c>
      <x:c r="C48" s="187" t="str">
        <x:v>Prag 60 moștenit și extins explicit la MODERAT/RIDICAT; sub prag WATCH</x:v>
      </x:c>
      <x:c r="D48" s="172"/>
      <x:c r="E48" s="172"/>
      <x:c r="F48" s="172"/>
      <x:c r="G48" s="172"/>
      <x:c r="H48" s="172"/>
      <x:c r="I48" s="172"/>
      <x:c r="J48" s="172"/>
      <x:c r="K48" s="172"/>
      <x:c r="L48" s="172"/>
      <x:c r="M48" s="172"/>
      <x:c r="N48" s="172"/>
      <x:c r="O48" s="172"/>
      <x:c r="P48" s="172"/>
      <x:c r="Q48" s="172"/>
      <x:c r="R48" s="172"/>
      <x:c r="S48" s="172"/>
      <x:c r="T48" s="172"/>
      <x:c r="U48" s="172"/>
      <x:c r="V48" s="172"/>
      <x:c r="W48" s="172"/>
      <x:c r="X48" s="172"/>
      <x:c r="Y48" s="172"/>
      <x:c r="Z48" s="172"/>
    </x:row>
    <x:row r="49" ht="23" customHeight="1">
      <x:c r="A49" s="172"/>
      <x:c r="B49" s="172"/>
      <x:c r="C49" s="172"/>
      <x:c r="D49" s="172"/>
      <x:c r="E49" s="172"/>
      <x:c r="F49" s="172"/>
      <x:c r="G49" s="172"/>
      <x:c r="H49" s="172"/>
      <x:c r="I49" s="172"/>
      <x:c r="J49" s="172"/>
      <x:c r="K49" s="172"/>
      <x:c r="L49" s="172"/>
      <x:c r="M49" s="172"/>
      <x:c r="N49" s="172"/>
      <x:c r="O49" s="172"/>
      <x:c r="P49" s="172"/>
      <x:c r="Q49" s="172"/>
      <x:c r="R49" s="172"/>
      <x:c r="S49" s="172"/>
      <x:c r="T49" s="172"/>
      <x:c r="U49" s="172"/>
      <x:c r="V49" s="172"/>
      <x:c r="W49" s="172"/>
      <x:c r="X49" s="172"/>
      <x:c r="Y49" s="172"/>
      <x:c r="Z49" s="172"/>
    </x:row>
    <x:row r="50" ht="23" customHeight="1">
      <x:c r="A50" s="172"/>
      <x:c r="B50" s="172"/>
      <x:c r="C50" s="172"/>
      <x:c r="D50" s="172"/>
      <x:c r="E50" s="172"/>
      <x:c r="F50" s="172"/>
      <x:c r="G50" s="172"/>
      <x:c r="H50" s="172"/>
      <x:c r="I50" s="172"/>
      <x:c r="J50" s="172"/>
      <x:c r="K50" s="172"/>
      <x:c r="L50" s="172"/>
      <x:c r="M50" s="172"/>
      <x:c r="N50" s="172"/>
      <x:c r="O50" s="172"/>
      <x:c r="P50" s="172"/>
      <x:c r="Q50" s="172"/>
      <x:c r="R50" s="172"/>
      <x:c r="S50" s="172"/>
      <x:c r="T50" s="172"/>
      <x:c r="U50" s="172"/>
      <x:c r="V50" s="172"/>
      <x:c r="W50" s="172"/>
      <x:c r="X50" s="172"/>
      <x:c r="Y50" s="172"/>
      <x:c r="Z50" s="172"/>
    </x:row>
    <x:row r="51" ht="36" customHeight="1">
      <x:c r="A51" s="181" t="str">
        <x:v>Componentă statistică</x:v>
      </x:c>
      <x:c r="B51" s="181" t="str">
        <x:v>Intern</x:v>
      </x:c>
      <x:c r="C51" s="181" t="str">
        <x:v>Cupe / Europa</x:v>
      </x:c>
      <x:c r="D51" s="181" t="str">
        <x:v>Observație</x:v>
      </x:c>
      <x:c r="E51" s="172"/>
      <x:c r="F51" s="172"/>
      <x:c r="G51" s="172"/>
      <x:c r="H51" s="172"/>
      <x:c r="I51" s="172"/>
      <x:c r="J51" s="172"/>
      <x:c r="K51" s="172"/>
      <x:c r="L51" s="172"/>
      <x:c r="M51" s="172"/>
      <x:c r="N51" s="172"/>
      <x:c r="O51" s="172"/>
      <x:c r="P51" s="172"/>
      <x:c r="Q51" s="172"/>
      <x:c r="R51" s="172"/>
      <x:c r="S51" s="172"/>
      <x:c r="T51" s="172"/>
      <x:c r="U51" s="172"/>
      <x:c r="V51" s="172"/>
      <x:c r="W51" s="172"/>
      <x:c r="X51" s="172"/>
      <x:c r="Y51" s="172"/>
      <x:c r="Z51" s="172"/>
    </x:row>
    <x:row r="52" ht="23" customHeight="1">
      <x:c r="A52" s="172" t="str">
        <x:v>xG domestic</x:v>
      </x:c>
      <x:c r="B52" s="184" t="n">
        <x:v>0.35</x:v>
      </x:c>
      <x:c r="C52" s="184" t="n">
        <x:v>0.2</x:v>
      </x:c>
      <x:c r="D52" s="172" t="str">
        <x:v>Forță ligă aplicată</x:v>
      </x:c>
      <x:c r="E52" s="172"/>
      <x:c r="F52" s="172"/>
      <x:c r="G52" s="172"/>
      <x:c r="H52" s="172"/>
      <x:c r="I52" s="172"/>
      <x:c r="J52" s="172"/>
      <x:c r="K52" s="172"/>
      <x:c r="L52" s="172"/>
      <x:c r="M52" s="172"/>
      <x:c r="N52" s="172"/>
      <x:c r="O52" s="172"/>
      <x:c r="P52" s="172"/>
      <x:c r="Q52" s="172"/>
      <x:c r="R52" s="172"/>
      <x:c r="S52" s="172"/>
      <x:c r="T52" s="172"/>
      <x:c r="U52" s="172"/>
      <x:c r="V52" s="172"/>
      <x:c r="W52" s="172"/>
      <x:c r="X52" s="172"/>
      <x:c r="Y52" s="172"/>
      <x:c r="Z52" s="172"/>
    </x:row>
    <x:row r="53" ht="23" customHeight="1">
      <x:c r="A53" s="172" t="str">
        <x:v>xGA adversar domestic</x:v>
      </x:c>
      <x:c r="B53" s="184" t="n">
        <x:v>0.2</x:v>
      </x:c>
      <x:c r="C53" s="184" t="n">
        <x:v>0.15</x:v>
      </x:c>
      <x:c r="D53" s="172" t="str">
        <x:v>Forță ligă aplicată</x:v>
      </x:c>
      <x:c r="E53" s="172"/>
      <x:c r="F53" s="172"/>
      <x:c r="G53" s="172"/>
      <x:c r="H53" s="172"/>
      <x:c r="I53" s="172"/>
      <x:c r="J53" s="172"/>
      <x:c r="K53" s="172"/>
      <x:c r="L53" s="172"/>
      <x:c r="M53" s="172"/>
      <x:c r="N53" s="172"/>
      <x:c r="O53" s="172"/>
      <x:c r="P53" s="172"/>
      <x:c r="Q53" s="172"/>
      <x:c r="R53" s="172"/>
      <x:c r="S53" s="172"/>
      <x:c r="T53" s="172"/>
      <x:c r="U53" s="172"/>
      <x:c r="V53" s="172"/>
      <x:c r="W53" s="172"/>
      <x:c r="X53" s="172"/>
      <x:c r="Y53" s="172"/>
      <x:c r="Z53" s="172"/>
    </x:row>
    <x:row r="54" ht="23" customHeight="1">
      <x:c r="A54" s="172" t="str">
        <x:v>xG recent</x:v>
      </x:c>
      <x:c r="B54" s="184" t="n">
        <x:v>0.2</x:v>
      </x:c>
      <x:c r="C54" s="184" t="n">
        <x:v>0.1</x:v>
      </x:c>
      <x:c r="D54" s="172" t="str">
        <x:v>Nu dubla un eșantion deja folosit în Europa</x:v>
      </x:c>
      <x:c r="E54" s="172"/>
      <x:c r="F54" s="172"/>
      <x:c r="G54" s="172"/>
      <x:c r="H54" s="172"/>
      <x:c r="I54" s="172"/>
      <x:c r="J54" s="172"/>
      <x:c r="K54" s="172"/>
      <x:c r="L54" s="172"/>
      <x:c r="M54" s="172"/>
      <x:c r="N54" s="172"/>
      <x:c r="O54" s="172"/>
      <x:c r="P54" s="172"/>
      <x:c r="Q54" s="172"/>
      <x:c r="R54" s="172"/>
      <x:c r="S54" s="172"/>
      <x:c r="T54" s="172"/>
      <x:c r="U54" s="172"/>
      <x:c r="V54" s="172"/>
      <x:c r="W54" s="172"/>
      <x:c r="X54" s="172"/>
      <x:c r="Y54" s="172"/>
      <x:c r="Z54" s="172"/>
    </x:row>
    <x:row r="55" ht="23" customHeight="1">
      <x:c r="A55" s="172" t="str">
        <x:v>xG Europa</x:v>
      </x:c>
      <x:c r="B55" s="184" t="n">
        <x:v>0</x:v>
      </x:c>
      <x:c r="C55" s="184" t="n">
        <x:v>0.15</x:v>
      </x:c>
      <x:c r="D55" s="172" t="str">
        <x:v>Activ numai la Cupe / Europa</x:v>
      </x:c>
      <x:c r="E55" s="172"/>
      <x:c r="F55" s="172"/>
      <x:c r="G55" s="172"/>
      <x:c r="H55" s="172"/>
      <x:c r="I55" s="172"/>
      <x:c r="J55" s="172"/>
      <x:c r="K55" s="172"/>
      <x:c r="L55" s="172"/>
      <x:c r="M55" s="172"/>
      <x:c r="N55" s="172"/>
      <x:c r="O55" s="172"/>
      <x:c r="P55" s="172"/>
      <x:c r="Q55" s="172"/>
      <x:c r="R55" s="172"/>
      <x:c r="S55" s="172"/>
      <x:c r="T55" s="172"/>
      <x:c r="U55" s="172"/>
      <x:c r="V55" s="172"/>
      <x:c r="W55" s="172"/>
      <x:c r="X55" s="172"/>
      <x:c r="Y55" s="172"/>
      <x:c r="Z55" s="172"/>
    </x:row>
    <x:row r="56" ht="23" customHeight="1">
      <x:c r="A56" s="172" t="str">
        <x:v>xGA adversar Europa</x:v>
      </x:c>
      <x:c r="B56" s="184" t="n">
        <x:v>0</x:v>
      </x:c>
      <x:c r="C56" s="184" t="n">
        <x:v>0.1</x:v>
      </x:c>
      <x:c r="D56" s="172" t="str">
        <x:v>Activ numai la Cupe / Europa</x:v>
      </x:c>
      <x:c r="E56" s="172"/>
      <x:c r="F56" s="172"/>
      <x:c r="G56" s="172"/>
      <x:c r="H56" s="172"/>
      <x:c r="I56" s="172"/>
      <x:c r="J56" s="172"/>
      <x:c r="K56" s="172"/>
      <x:c r="L56" s="172"/>
      <x:c r="M56" s="172"/>
      <x:c r="N56" s="172"/>
      <x:c r="O56" s="172"/>
      <x:c r="P56" s="172"/>
      <x:c r="Q56" s="172"/>
      <x:c r="R56" s="172"/>
      <x:c r="S56" s="172"/>
      <x:c r="T56" s="172"/>
      <x:c r="U56" s="172"/>
      <x:c r="V56" s="172"/>
      <x:c r="W56" s="172"/>
      <x:c r="X56" s="172"/>
      <x:c r="Y56" s="172"/>
      <x:c r="Z56" s="172"/>
    </x:row>
    <x:row r="57" ht="23" customHeight="1">
      <x:c r="A57" s="172"/>
      <x:c r="B57" s="172"/>
      <x:c r="C57" s="172"/>
      <x:c r="D57" s="172"/>
      <x:c r="E57" s="172"/>
      <x:c r="F57" s="172"/>
      <x:c r="G57" s="172"/>
      <x:c r="H57" s="172"/>
      <x:c r="I57" s="172"/>
      <x:c r="J57" s="172"/>
      <x:c r="K57" s="172"/>
      <x:c r="L57" s="172"/>
      <x:c r="M57" s="172"/>
      <x:c r="N57" s="172"/>
      <x:c r="O57" s="172"/>
      <x:c r="P57" s="172"/>
      <x:c r="Q57" s="172"/>
      <x:c r="R57" s="172"/>
      <x:c r="S57" s="172"/>
      <x:c r="T57" s="172"/>
      <x:c r="U57" s="172"/>
      <x:c r="V57" s="172"/>
      <x:c r="W57" s="172"/>
      <x:c r="X57" s="172"/>
      <x:c r="Y57" s="172"/>
      <x:c r="Z57" s="172"/>
    </x:row>
    <x:row r="58" ht="23" customHeight="1">
      <x:c r="A58" s="172"/>
      <x:c r="B58" s="172"/>
      <x:c r="C58" s="172"/>
      <x:c r="D58" s="172"/>
      <x:c r="E58" s="172"/>
      <x:c r="F58" s="172"/>
      <x:c r="G58" s="172"/>
      <x:c r="H58" s="172"/>
      <x:c r="I58" s="172"/>
      <x:c r="J58" s="172"/>
      <x:c r="K58" s="172"/>
      <x:c r="L58" s="172"/>
      <x:c r="M58" s="172"/>
      <x:c r="N58" s="172"/>
      <x:c r="O58" s="172"/>
      <x:c r="P58" s="172"/>
      <x:c r="Q58" s="172"/>
      <x:c r="R58" s="172"/>
      <x:c r="S58" s="172"/>
      <x:c r="T58" s="172"/>
      <x:c r="U58" s="172"/>
      <x:c r="V58" s="172"/>
      <x:c r="W58" s="172"/>
      <x:c r="X58" s="172"/>
      <x:c r="Y58" s="172"/>
      <x:c r="Z58" s="172"/>
    </x:row>
    <x:row r="59" ht="23" customHeight="1">
      <x:c r="A59" s="172" t="str">
        <x:v>Ponderile statistice sunt moștenite și renormalizate după eliminarea componentelor bazate pe cote.</x:v>
      </x:c>
      <x:c r="B59" s="172"/>
      <x:c r="C59" s="172"/>
      <x:c r="D59" s="172"/>
      <x:c r="E59" s="172"/>
      <x:c r="F59" s="172"/>
      <x:c r="G59" s="172"/>
      <x:c r="H59" s="172"/>
      <x:c r="I59" s="172"/>
      <x:c r="J59" s="172"/>
      <x:c r="K59" s="172"/>
      <x:c r="L59" s="172"/>
      <x:c r="M59" s="172"/>
      <x:c r="N59" s="172"/>
      <x:c r="O59" s="172"/>
      <x:c r="P59" s="172"/>
      <x:c r="Q59" s="172"/>
      <x:c r="R59" s="172"/>
      <x:c r="S59" s="172"/>
      <x:c r="T59" s="172"/>
      <x:c r="U59" s="172"/>
      <x:c r="V59" s="172"/>
      <x:c r="W59" s="172"/>
      <x:c r="X59" s="172"/>
      <x:c r="Y59" s="172"/>
      <x:c r="Z59" s="172"/>
    </x:row>
    <x:row r="60" ht="23" customHeight="1">
      <x:c r="A60" s="172" t="str">
        <x:v>Contextul și lotul ajustează lambda statistic numai cu o justificare verificată; ajustarea totală este limitată la ±20%.</x:v>
      </x:c>
      <x:c r="B60" s="172"/>
      <x:c r="C60" s="172"/>
      <x:c r="D60" s="172"/>
      <x:c r="E60" s="172"/>
      <x:c r="F60" s="172"/>
      <x:c r="G60" s="172"/>
      <x:c r="H60" s="172"/>
      <x:c r="I60" s="172"/>
      <x:c r="J60" s="172"/>
      <x:c r="K60" s="172"/>
      <x:c r="L60" s="172"/>
      <x:c r="M60" s="172"/>
      <x:c r="N60" s="172"/>
      <x:c r="O60" s="172"/>
      <x:c r="P60" s="172"/>
      <x:c r="Q60" s="172"/>
      <x:c r="R60" s="172"/>
      <x:c r="S60" s="172"/>
      <x:c r="T60" s="172"/>
      <x:c r="U60" s="172"/>
      <x:c r="V60" s="172"/>
      <x:c r="W60" s="172"/>
      <x:c r="X60" s="172"/>
      <x:c r="Y60" s="172"/>
      <x:c r="Z60" s="172"/>
    </x:row>
    <x:row r="61" ht="23" customHeight="1">
      <x:c r="A61" s="172" t="str">
        <x:v>Pragurile P și Confidence sunt controale provizorii. Introducerea lor nu certifică validarea statistică a motorului v11.</x:v>
      </x:c>
      <x:c r="B61" s="172"/>
      <x:c r="C61" s="172"/>
      <x:c r="D61" s="172"/>
      <x:c r="E61" s="172"/>
      <x:c r="F61" s="172"/>
      <x:c r="G61" s="172"/>
      <x:c r="H61" s="172"/>
      <x:c r="I61" s="172"/>
      <x:c r="J61" s="172"/>
      <x:c r="K61" s="172"/>
      <x:c r="L61" s="172"/>
      <x:c r="M61" s="172"/>
      <x:c r="N61" s="172"/>
      <x:c r="O61" s="172"/>
      <x:c r="P61" s="172"/>
      <x:c r="Q61" s="172"/>
      <x:c r="R61" s="172"/>
      <x:c r="S61" s="172"/>
      <x:c r="T61" s="172"/>
      <x:c r="U61" s="172"/>
      <x:c r="V61" s="172"/>
      <x:c r="W61" s="172"/>
      <x:c r="X61" s="172"/>
      <x:c r="Y61" s="172"/>
      <x:c r="Z61" s="172"/>
    </x:row>
    <x:row r="62" ht="23" customHeight="1">
      <x:c r="A62" s="172" t="str">
        <x:v>Pragurile near/severe se activează numai cu validare frozen OOS. P5 HIGH nu produce singur NO BET.</x:v>
      </x:c>
      <x:c r="B62" s="172"/>
      <x:c r="C62" s="172"/>
      <x:c r="D62" s="172"/>
      <x:c r="E62" s="172"/>
      <x:c r="F62" s="172"/>
      <x:c r="G62" s="172"/>
      <x:c r="H62" s="172"/>
      <x:c r="I62" s="172"/>
      <x:c r="J62" s="172"/>
      <x:c r="K62" s="172"/>
      <x:c r="L62" s="172"/>
      <x:c r="M62" s="172"/>
      <x:c r="N62" s="172"/>
      <x:c r="O62" s="172"/>
      <x:c r="P62" s="172"/>
      <x:c r="Q62" s="172"/>
      <x:c r="R62" s="172"/>
      <x:c r="S62" s="172"/>
      <x:c r="T62" s="172"/>
      <x:c r="U62" s="172"/>
      <x:c r="V62" s="172"/>
      <x:c r="W62" s="172"/>
      <x:c r="X62" s="172"/>
      <x:c r="Y62" s="172"/>
      <x:c r="Z62" s="172"/>
    </x:row>
    <x:row r="63" ht="23" customHeight="1">
      <x:c r="A63" s="172" t="str">
        <x:v>NOT AVAILABLE critic =&gt; G0 FAIL; AVAILABLE – NOT CHECKED =&gt; sourcing de reluat, verdict neeliberat.</x:v>
      </x:c>
      <x:c r="B63" s="172"/>
      <x:c r="C63" s="172"/>
      <x:c r="D63" s="172"/>
      <x:c r="E63" s="172"/>
      <x:c r="F63" s="172"/>
      <x:c r="G63" s="172"/>
      <x:c r="H63" s="172"/>
      <x:c r="I63" s="172"/>
      <x:c r="J63" s="172"/>
      <x:c r="K63" s="172"/>
      <x:c r="L63" s="172"/>
      <x:c r="M63" s="172"/>
      <x:c r="N63" s="172"/>
      <x:c r="O63" s="172"/>
      <x:c r="P63" s="172"/>
      <x:c r="Q63" s="172"/>
      <x:c r="R63" s="172"/>
      <x:c r="S63" s="172"/>
      <x:c r="T63" s="172"/>
      <x:c r="U63" s="172"/>
      <x:c r="V63" s="172"/>
      <x:c r="W63" s="172"/>
      <x:c r="X63" s="172"/>
      <x:c r="Y63" s="172"/>
      <x:c r="Z63" s="172"/>
    </x:row>
    <x:row r="64" ht="23" customHeight="1">
      <x:c r="A64" s="172"/>
      <x:c r="B64" s="172"/>
      <x:c r="C64" s="172"/>
      <x:c r="D64" s="172"/>
      <x:c r="E64" s="172"/>
      <x:c r="F64" s="172"/>
      <x:c r="G64" s="172"/>
      <x:c r="H64" s="172"/>
      <x:c r="I64" s="172"/>
      <x:c r="J64" s="172"/>
      <x:c r="K64" s="172"/>
      <x:c r="L64" s="172"/>
      <x:c r="M64" s="172"/>
      <x:c r="N64" s="172"/>
      <x:c r="O64" s="172"/>
      <x:c r="P64" s="172"/>
      <x:c r="Q64" s="172"/>
      <x:c r="R64" s="172"/>
      <x:c r="S64" s="172"/>
      <x:c r="T64" s="172"/>
      <x:c r="U64" s="172"/>
      <x:c r="V64" s="172"/>
      <x:c r="W64" s="172"/>
      <x:c r="X64" s="172"/>
      <x:c r="Y64" s="172"/>
      <x:c r="Z64" s="172"/>
    </x:row>
    <x:row r="65" ht="23" customHeight="1">
      <x:c r="A65" s="172"/>
      <x:c r="B65" s="172"/>
      <x:c r="C65" s="172"/>
      <x:c r="D65" s="172"/>
      <x:c r="E65" s="172"/>
      <x:c r="F65" s="172"/>
      <x:c r="G65" s="172"/>
      <x:c r="H65" s="172"/>
      <x:c r="I65" s="172"/>
      <x:c r="J65" s="172"/>
      <x:c r="K65" s="172"/>
      <x:c r="L65" s="172"/>
      <x:c r="M65" s="172"/>
      <x:c r="N65" s="172"/>
      <x:c r="O65" s="172"/>
      <x:c r="P65" s="172"/>
      <x:c r="Q65" s="172"/>
      <x:c r="R65" s="172"/>
      <x:c r="S65" s="172"/>
      <x:c r="T65" s="172"/>
      <x:c r="U65" s="172"/>
      <x:c r="V65" s="172"/>
      <x:c r="W65" s="172"/>
      <x:c r="X65" s="172"/>
      <x:c r="Y65" s="172"/>
      <x:c r="Z65" s="172"/>
    </x:row>
    <x:row r="66" ht="23" customHeight="1">
      <x:c r="A66" s="172"/>
      <x:c r="B66" s="172"/>
      <x:c r="C66" s="172"/>
      <x:c r="D66" s="172"/>
      <x:c r="E66" s="172"/>
      <x:c r="F66" s="172"/>
      <x:c r="G66" s="172"/>
      <x:c r="H66" s="172"/>
      <x:c r="I66" s="172"/>
      <x:c r="J66" s="172"/>
      <x:c r="K66" s="172"/>
      <x:c r="L66" s="172"/>
      <x:c r="M66" s="172"/>
      <x:c r="N66" s="172"/>
      <x:c r="O66" s="172"/>
      <x:c r="P66" s="172"/>
      <x:c r="Q66" s="172"/>
      <x:c r="R66" s="172"/>
      <x:c r="S66" s="172"/>
      <x:c r="T66" s="172"/>
      <x:c r="U66" s="172"/>
      <x:c r="V66" s="172"/>
      <x:c r="W66" s="172"/>
      <x:c r="X66" s="172"/>
      <x:c r="Y66" s="172"/>
      <x:c r="Z66" s="172"/>
    </x:row>
    <x:row r="67" ht="23" customHeight="1">
      <x:c r="A67" s="172"/>
      <x:c r="B67" s="172"/>
      <x:c r="C67" s="172"/>
      <x:c r="D67" s="172"/>
      <x:c r="E67" s="172"/>
      <x:c r="F67" s="172"/>
      <x:c r="G67" s="172"/>
      <x:c r="H67" s="172"/>
      <x:c r="I67" s="172"/>
      <x:c r="J67" s="172"/>
      <x:c r="K67" s="172"/>
      <x:c r="L67" s="172"/>
      <x:c r="M67" s="172"/>
      <x:c r="N67" s="172"/>
      <x:c r="O67" s="172"/>
      <x:c r="P67" s="172"/>
      <x:c r="Q67" s="172"/>
      <x:c r="R67" s="172"/>
      <x:c r="S67" s="172"/>
      <x:c r="T67" s="172"/>
      <x:c r="U67" s="172"/>
      <x:c r="V67" s="172"/>
      <x:c r="W67" s="172"/>
      <x:c r="X67" s="172"/>
      <x:c r="Y67" s="172"/>
      <x:c r="Z67" s="172"/>
    </x:row>
    <x:row r="68" ht="23" customHeight="1">
      <x:c r="A68" s="172"/>
      <x:c r="B68" s="172"/>
      <x:c r="C68" s="172"/>
      <x:c r="D68" s="172"/>
      <x:c r="E68" s="172"/>
      <x:c r="F68" s="172"/>
      <x:c r="G68" s="172"/>
      <x:c r="H68" s="172"/>
      <x:c r="I68" s="172"/>
      <x:c r="J68" s="172"/>
      <x:c r="K68" s="172"/>
      <x:c r="L68" s="172"/>
      <x:c r="M68" s="172"/>
      <x:c r="N68" s="172"/>
      <x:c r="O68" s="172"/>
      <x:c r="P68" s="172"/>
      <x:c r="Q68" s="172"/>
      <x:c r="R68" s="172"/>
      <x:c r="S68" s="172"/>
      <x:c r="T68" s="172"/>
      <x:c r="U68" s="172"/>
      <x:c r="V68" s="172"/>
      <x:c r="W68" s="172"/>
      <x:c r="X68" s="172"/>
      <x:c r="Y68" s="172"/>
      <x:c r="Z68" s="172"/>
    </x:row>
    <x:row r="69" ht="23" customHeight="1">
      <x:c r="A69" s="172"/>
      <x:c r="B69" s="172"/>
      <x:c r="C69" s="172"/>
      <x:c r="D69" s="172"/>
      <x:c r="E69" s="172"/>
      <x:c r="F69" s="172"/>
      <x:c r="G69" s="172"/>
      <x:c r="H69" s="172"/>
      <x:c r="I69" s="172"/>
      <x:c r="J69" s="172"/>
      <x:c r="K69" s="172"/>
      <x:c r="L69" s="172"/>
      <x:c r="M69" s="172"/>
      <x:c r="N69" s="172"/>
      <x:c r="O69" s="172"/>
      <x:c r="P69" s="172"/>
      <x:c r="Q69" s="172"/>
      <x:c r="R69" s="172"/>
      <x:c r="S69" s="172"/>
      <x:c r="T69" s="172"/>
      <x:c r="U69" s="172"/>
      <x:c r="V69" s="172"/>
      <x:c r="W69" s="172"/>
      <x:c r="X69" s="172"/>
      <x:c r="Y69" s="172"/>
      <x:c r="Z69" s="172"/>
    </x:row>
    <x:row r="70" ht="23" customHeight="1">
      <x:c r="A70" s="172"/>
      <x:c r="B70" s="172"/>
      <x:c r="C70" s="172"/>
      <x:c r="D70" s="172"/>
      <x:c r="E70" s="172"/>
      <x:c r="F70" s="172"/>
      <x:c r="G70" s="172"/>
      <x:c r="H70" s="172"/>
      <x:c r="I70" s="172"/>
      <x:c r="J70" s="172"/>
      <x:c r="K70" s="172"/>
      <x:c r="L70" s="172"/>
      <x:c r="M70" s="172"/>
      <x:c r="N70" s="172"/>
      <x:c r="O70" s="172"/>
      <x:c r="P70" s="172"/>
      <x:c r="Q70" s="172"/>
      <x:c r="R70" s="172"/>
      <x:c r="S70" s="172"/>
      <x:c r="T70" s="172"/>
      <x:c r="U70" s="172"/>
      <x:c r="V70" s="172"/>
      <x:c r="W70" s="172"/>
      <x:c r="X70" s="172"/>
      <x:c r="Y70" s="172"/>
      <x:c r="Z70" s="172"/>
    </x:row>
    <x:row r="71" ht="23" customHeight="1">
      <x:c r="A71" s="172"/>
      <x:c r="B71" s="172"/>
      <x:c r="C71" s="172"/>
      <x:c r="D71" s="172"/>
      <x:c r="E71" s="172"/>
      <x:c r="F71" s="172"/>
      <x:c r="G71" s="172"/>
      <x:c r="H71" s="172"/>
      <x:c r="I71" s="172"/>
      <x:c r="J71" s="172"/>
      <x:c r="K71" s="172"/>
      <x:c r="L71" s="172"/>
      <x:c r="M71" s="172"/>
      <x:c r="N71" s="172"/>
      <x:c r="O71" s="172"/>
      <x:c r="P71" s="172"/>
      <x:c r="Q71" s="172"/>
      <x:c r="R71" s="172"/>
      <x:c r="S71" s="172"/>
      <x:c r="T71" s="172"/>
      <x:c r="U71" s="172"/>
      <x:c r="V71" s="172"/>
      <x:c r="W71" s="172"/>
      <x:c r="X71" s="172"/>
      <x:c r="Y71" s="172"/>
      <x:c r="Z71" s="172"/>
    </x:row>
    <x:row r="72" ht="23" customHeight="1">
      <x:c r="A72" s="172"/>
      <x:c r="B72" s="172"/>
      <x:c r="C72" s="172"/>
      <x:c r="D72" s="172"/>
      <x:c r="E72" s="172"/>
      <x:c r="F72" s="172"/>
      <x:c r="G72" s="172"/>
      <x:c r="H72" s="172"/>
      <x:c r="I72" s="172"/>
      <x:c r="J72" s="172"/>
      <x:c r="K72" s="172"/>
      <x:c r="L72" s="172"/>
      <x:c r="M72" s="172"/>
      <x:c r="N72" s="172"/>
      <x:c r="O72" s="172"/>
      <x:c r="P72" s="172"/>
      <x:c r="Q72" s="172"/>
      <x:c r="R72" s="172"/>
      <x:c r="S72" s="172"/>
      <x:c r="T72" s="172"/>
      <x:c r="U72" s="172"/>
      <x:c r="V72" s="172"/>
      <x:c r="W72" s="172"/>
      <x:c r="X72" s="172"/>
      <x:c r="Y72" s="172"/>
      <x:c r="Z72" s="172"/>
    </x:row>
    <x:row r="73" ht="23" customHeight="1">
      <x:c r="A73" s="172"/>
      <x:c r="B73" s="172"/>
      <x:c r="C73" s="172"/>
      <x:c r="D73" s="172"/>
      <x:c r="E73" s="172"/>
      <x:c r="F73" s="172"/>
      <x:c r="G73" s="172"/>
      <x:c r="H73" s="172"/>
      <x:c r="I73" s="172"/>
      <x:c r="J73" s="172"/>
      <x:c r="K73" s="172"/>
      <x:c r="L73" s="172"/>
      <x:c r="M73" s="172"/>
      <x:c r="N73" s="172"/>
      <x:c r="O73" s="172"/>
      <x:c r="P73" s="172"/>
      <x:c r="Q73" s="172"/>
      <x:c r="R73" s="172"/>
      <x:c r="S73" s="172"/>
      <x:c r="T73" s="172"/>
      <x:c r="U73" s="172"/>
      <x:c r="V73" s="172"/>
      <x:c r="W73" s="172"/>
      <x:c r="X73" s="172"/>
      <x:c r="Y73" s="172"/>
      <x:c r="Z73" s="172"/>
    </x:row>
    <x:row r="74" ht="23" customHeight="1">
      <x:c r="A74" s="172"/>
      <x:c r="B74" s="172"/>
      <x:c r="C74" s="172"/>
      <x:c r="D74" s="172"/>
      <x:c r="E74" s="172"/>
      <x:c r="F74" s="172"/>
      <x:c r="G74" s="172"/>
      <x:c r="H74" s="172"/>
      <x:c r="I74" s="172"/>
      <x:c r="J74" s="172"/>
      <x:c r="K74" s="172"/>
      <x:c r="L74" s="172"/>
      <x:c r="M74" s="172"/>
      <x:c r="N74" s="172"/>
      <x:c r="O74" s="172"/>
      <x:c r="P74" s="172"/>
      <x:c r="Q74" s="172"/>
      <x:c r="R74" s="172"/>
      <x:c r="S74" s="172"/>
      <x:c r="T74" s="172"/>
      <x:c r="U74" s="172"/>
      <x:c r="V74" s="172"/>
      <x:c r="W74" s="172"/>
      <x:c r="X74" s="172"/>
      <x:c r="Y74" s="172"/>
      <x:c r="Z74" s="172"/>
    </x:row>
    <x:row r="75" ht="23" customHeight="1">
      <x:c r="A75" s="172"/>
      <x:c r="B75" s="172"/>
      <x:c r="C75" s="172"/>
      <x:c r="D75" s="172"/>
      <x:c r="E75" s="172"/>
      <x:c r="F75" s="172"/>
      <x:c r="G75" s="172"/>
      <x:c r="H75" s="172"/>
      <x:c r="I75" s="172"/>
      <x:c r="J75" s="172"/>
      <x:c r="K75" s="172"/>
      <x:c r="L75" s="172"/>
      <x:c r="M75" s="172"/>
      <x:c r="N75" s="172"/>
      <x:c r="O75" s="172"/>
      <x:c r="P75" s="172"/>
      <x:c r="Q75" s="172"/>
      <x:c r="R75" s="172"/>
      <x:c r="S75" s="172"/>
      <x:c r="T75" s="172"/>
      <x:c r="U75" s="172"/>
      <x:c r="V75" s="172"/>
      <x:c r="W75" s="172"/>
      <x:c r="X75" s="172"/>
      <x:c r="Y75" s="172"/>
      <x:c r="Z75" s="172"/>
    </x:row>
    <x:row r="76" ht="23" customHeight="1">
      <x:c r="A76" s="172"/>
      <x:c r="B76" s="172"/>
      <x:c r="C76" s="172"/>
      <x:c r="D76" s="172"/>
      <x:c r="E76" s="172"/>
      <x:c r="F76" s="172"/>
      <x:c r="G76" s="172"/>
      <x:c r="H76" s="172"/>
      <x:c r="I76" s="172"/>
      <x:c r="J76" s="172"/>
      <x:c r="K76" s="172"/>
      <x:c r="L76" s="172"/>
      <x:c r="M76" s="172"/>
      <x:c r="N76" s="172"/>
      <x:c r="O76" s="172"/>
      <x:c r="P76" s="172"/>
      <x:c r="Q76" s="172"/>
      <x:c r="R76" s="172"/>
      <x:c r="S76" s="172"/>
      <x:c r="T76" s="172"/>
      <x:c r="U76" s="172"/>
      <x:c r="V76" s="172"/>
      <x:c r="W76" s="172"/>
      <x:c r="X76" s="172"/>
      <x:c r="Y76" s="172"/>
      <x:c r="Z76" s="172"/>
    </x:row>
    <x:row r="77" ht="23" customHeight="1">
      <x:c r="A77" s="172"/>
      <x:c r="B77" s="172"/>
      <x:c r="C77" s="172"/>
      <x:c r="D77" s="172"/>
      <x:c r="E77" s="172"/>
      <x:c r="F77" s="172"/>
      <x:c r="G77" s="172"/>
      <x:c r="H77" s="172"/>
      <x:c r="I77" s="172"/>
      <x:c r="J77" s="172"/>
      <x:c r="K77" s="172"/>
      <x:c r="L77" s="172"/>
      <x:c r="M77" s="172"/>
      <x:c r="N77" s="172"/>
      <x:c r="O77" s="172"/>
      <x:c r="P77" s="172"/>
      <x:c r="Q77" s="172"/>
      <x:c r="R77" s="172"/>
      <x:c r="S77" s="172"/>
      <x:c r="T77" s="172"/>
      <x:c r="U77" s="172"/>
      <x:c r="V77" s="172"/>
      <x:c r="W77" s="172"/>
      <x:c r="X77" s="172"/>
      <x:c r="Y77" s="172"/>
      <x:c r="Z77" s="172"/>
    </x:row>
    <x:row r="78" ht="23" customHeight="1">
      <x:c r="A78" s="172"/>
      <x:c r="B78" s="172"/>
      <x:c r="C78" s="172"/>
      <x:c r="D78" s="172"/>
      <x:c r="E78" s="172"/>
      <x:c r="F78" s="172"/>
      <x:c r="G78" s="172"/>
      <x:c r="H78" s="172"/>
      <x:c r="I78" s="172"/>
      <x:c r="J78" s="172"/>
      <x:c r="K78" s="172"/>
      <x:c r="L78" s="172"/>
      <x:c r="M78" s="172"/>
      <x:c r="N78" s="172"/>
      <x:c r="O78" s="172"/>
      <x:c r="P78" s="172"/>
      <x:c r="Q78" s="172"/>
      <x:c r="R78" s="172"/>
      <x:c r="S78" s="172"/>
      <x:c r="T78" s="172"/>
      <x:c r="U78" s="172"/>
      <x:c r="V78" s="172"/>
      <x:c r="W78" s="172"/>
      <x:c r="X78" s="172"/>
      <x:c r="Y78" s="172"/>
      <x:c r="Z78" s="172"/>
    </x:row>
    <x:row r="79" ht="23" customHeight="1">
      <x:c r="A79" s="172"/>
      <x:c r="B79" s="172"/>
      <x:c r="C79" s="172"/>
      <x:c r="D79" s="172"/>
      <x:c r="E79" s="172"/>
      <x:c r="F79" s="172"/>
      <x:c r="G79" s="172"/>
      <x:c r="H79" s="172"/>
      <x:c r="I79" s="172"/>
      <x:c r="J79" s="172"/>
      <x:c r="K79" s="172"/>
      <x:c r="L79" s="172"/>
      <x:c r="M79" s="172"/>
      <x:c r="N79" s="172"/>
      <x:c r="O79" s="172"/>
      <x:c r="P79" s="172"/>
      <x:c r="Q79" s="172"/>
      <x:c r="R79" s="172"/>
      <x:c r="S79" s="172"/>
      <x:c r="T79" s="172"/>
      <x:c r="U79" s="172"/>
      <x:c r="V79" s="172"/>
      <x:c r="W79" s="172"/>
      <x:c r="X79" s="172"/>
      <x:c r="Y79" s="172"/>
      <x:c r="Z79" s="172"/>
    </x:row>
    <x:row r="80" ht="23" customHeight="1">
      <x:c r="A80" s="172"/>
      <x:c r="B80" s="172"/>
      <x:c r="C80" s="172"/>
      <x:c r="D80" s="172"/>
      <x:c r="E80" s="172"/>
      <x:c r="F80" s="172"/>
      <x:c r="G80" s="172"/>
      <x:c r="H80" s="172"/>
      <x:c r="I80" s="172"/>
      <x:c r="J80" s="172"/>
      <x:c r="K80" s="172"/>
      <x:c r="L80" s="172"/>
      <x:c r="M80" s="172"/>
      <x:c r="N80" s="172"/>
      <x:c r="O80" s="172"/>
      <x:c r="P80" s="172"/>
      <x:c r="Q80" s="172"/>
      <x:c r="R80" s="172"/>
      <x:c r="S80" s="172"/>
      <x:c r="T80" s="172"/>
      <x:c r="U80" s="172"/>
      <x:c r="V80" s="172"/>
      <x:c r="W80" s="172"/>
      <x:c r="X80" s="172"/>
      <x:c r="Y80" s="172"/>
      <x:c r="Z80" s="172"/>
    </x:row>
    <x:row r="81" ht="23" customHeight="1">
      <x:c r="A81" s="172"/>
      <x:c r="B81" s="172"/>
      <x:c r="C81" s="172"/>
      <x:c r="D81" s="172"/>
      <x:c r="E81" s="172"/>
      <x:c r="F81" s="172"/>
      <x:c r="G81" s="172"/>
      <x:c r="H81" s="172"/>
      <x:c r="I81" s="172"/>
      <x:c r="J81" s="172"/>
      <x:c r="K81" s="172"/>
      <x:c r="L81" s="172"/>
      <x:c r="M81" s="172"/>
      <x:c r="N81" s="172"/>
      <x:c r="O81" s="172"/>
      <x:c r="P81" s="172"/>
      <x:c r="Q81" s="172"/>
      <x:c r="R81" s="172"/>
      <x:c r="S81" s="172"/>
      <x:c r="T81" s="172"/>
      <x:c r="U81" s="172"/>
      <x:c r="V81" s="172"/>
      <x:c r="W81" s="172"/>
      <x:c r="X81" s="172"/>
      <x:c r="Y81" s="172"/>
      <x:c r="Z81" s="172"/>
    </x:row>
    <x:row r="82" ht="23" customHeight="1">
      <x:c r="A82" s="172"/>
      <x:c r="B82" s="172"/>
      <x:c r="C82" s="172"/>
      <x:c r="D82" s="172"/>
      <x:c r="E82" s="172"/>
      <x:c r="F82" s="172"/>
      <x:c r="G82" s="172"/>
      <x:c r="H82" s="172"/>
      <x:c r="I82" s="172"/>
      <x:c r="J82" s="172"/>
      <x:c r="K82" s="172"/>
      <x:c r="L82" s="172"/>
      <x:c r="M82" s="172"/>
      <x:c r="N82" s="172"/>
      <x:c r="O82" s="172"/>
      <x:c r="P82" s="172"/>
      <x:c r="Q82" s="172"/>
      <x:c r="R82" s="172"/>
      <x:c r="S82" s="172"/>
      <x:c r="T82" s="172"/>
      <x:c r="U82" s="172"/>
      <x:c r="V82" s="172"/>
      <x:c r="W82" s="172"/>
      <x:c r="X82" s="172"/>
      <x:c r="Y82" s="172"/>
      <x:c r="Z82" s="172"/>
    </x:row>
    <x:row r="83" ht="23" customHeight="1">
      <x:c r="A83" s="172"/>
      <x:c r="B83" s="172"/>
      <x:c r="C83" s="172"/>
      <x:c r="D83" s="172"/>
      <x:c r="E83" s="172"/>
      <x:c r="F83" s="172"/>
      <x:c r="G83" s="172"/>
      <x:c r="H83" s="172"/>
      <x:c r="I83" s="172"/>
      <x:c r="J83" s="172"/>
      <x:c r="K83" s="172"/>
      <x:c r="L83" s="172"/>
      <x:c r="M83" s="172"/>
      <x:c r="N83" s="172"/>
      <x:c r="O83" s="172"/>
      <x:c r="P83" s="172"/>
      <x:c r="Q83" s="172"/>
      <x:c r="R83" s="172"/>
      <x:c r="S83" s="172"/>
      <x:c r="T83" s="172"/>
      <x:c r="U83" s="172"/>
      <x:c r="V83" s="172"/>
      <x:c r="W83" s="172"/>
      <x:c r="X83" s="172"/>
      <x:c r="Y83" s="172"/>
      <x:c r="Z83" s="172"/>
    </x:row>
    <x:row r="84" ht="23" customHeight="1">
      <x:c r="A84" s="172"/>
      <x:c r="B84" s="172"/>
      <x:c r="C84" s="172"/>
      <x:c r="D84" s="172"/>
      <x:c r="E84" s="172"/>
      <x:c r="F84" s="172"/>
      <x:c r="G84" s="172"/>
      <x:c r="H84" s="172"/>
      <x:c r="I84" s="172"/>
      <x:c r="J84" s="172"/>
      <x:c r="K84" s="172"/>
      <x:c r="L84" s="172"/>
      <x:c r="M84" s="172"/>
      <x:c r="N84" s="172"/>
      <x:c r="O84" s="172"/>
      <x:c r="P84" s="172"/>
      <x:c r="Q84" s="172"/>
      <x:c r="R84" s="172"/>
      <x:c r="S84" s="172"/>
      <x:c r="T84" s="172"/>
      <x:c r="U84" s="172"/>
      <x:c r="V84" s="172"/>
      <x:c r="W84" s="172"/>
      <x:c r="X84" s="172"/>
      <x:c r="Y84" s="172"/>
      <x:c r="Z84" s="172"/>
    </x:row>
    <x:row r="85" ht="23" customHeight="1">
      <x:c r="A85" s="172"/>
      <x:c r="B85" s="172"/>
      <x:c r="C85" s="172"/>
      <x:c r="D85" s="172"/>
      <x:c r="E85" s="172"/>
      <x:c r="F85" s="172"/>
      <x:c r="G85" s="172"/>
      <x:c r="H85" s="172"/>
      <x:c r="I85" s="172"/>
      <x:c r="J85" s="172"/>
      <x:c r="K85" s="172"/>
      <x:c r="L85" s="172"/>
      <x:c r="M85" s="172"/>
      <x:c r="N85" s="172"/>
      <x:c r="O85" s="172"/>
      <x:c r="P85" s="172"/>
      <x:c r="Q85" s="172"/>
      <x:c r="R85" s="172"/>
      <x:c r="S85" s="172"/>
      <x:c r="T85" s="172"/>
      <x:c r="U85" s="172"/>
      <x:c r="V85" s="172"/>
      <x:c r="W85" s="172"/>
      <x:c r="X85" s="172"/>
      <x:c r="Y85" s="172"/>
      <x:c r="Z85" s="172"/>
    </x:row>
    <x:row r="86" ht="23" customHeight="1">
      <x:c r="A86" s="172"/>
      <x:c r="B86" s="172"/>
      <x:c r="C86" s="172"/>
      <x:c r="D86" s="172"/>
      <x:c r="E86" s="172"/>
      <x:c r="F86" s="172"/>
      <x:c r="G86" s="172"/>
      <x:c r="H86" s="172"/>
      <x:c r="I86" s="172"/>
      <x:c r="J86" s="172"/>
      <x:c r="K86" s="172"/>
      <x:c r="L86" s="172"/>
      <x:c r="M86" s="172"/>
      <x:c r="N86" s="172"/>
      <x:c r="O86" s="172"/>
      <x:c r="P86" s="172"/>
      <x:c r="Q86" s="172"/>
      <x:c r="R86" s="172"/>
      <x:c r="S86" s="172"/>
      <x:c r="T86" s="172"/>
      <x:c r="U86" s="172"/>
      <x:c r="V86" s="172"/>
      <x:c r="W86" s="172"/>
      <x:c r="X86" s="172"/>
      <x:c r="Y86" s="172"/>
      <x:c r="Z86" s="172"/>
    </x:row>
    <x:row r="87" ht="23" customHeight="1">
      <x:c r="A87" s="172"/>
      <x:c r="B87" s="172"/>
      <x:c r="C87" s="172"/>
      <x:c r="D87" s="172"/>
      <x:c r="E87" s="172"/>
      <x:c r="F87" s="172"/>
      <x:c r="G87" s="172"/>
      <x:c r="H87" s="172"/>
      <x:c r="I87" s="172"/>
      <x:c r="J87" s="172"/>
      <x:c r="K87" s="172"/>
      <x:c r="L87" s="172"/>
      <x:c r="M87" s="172"/>
      <x:c r="N87" s="172"/>
      <x:c r="O87" s="172"/>
      <x:c r="P87" s="172"/>
      <x:c r="Q87" s="172"/>
      <x:c r="R87" s="172"/>
      <x:c r="S87" s="172"/>
      <x:c r="T87" s="172"/>
      <x:c r="U87" s="172"/>
      <x:c r="V87" s="172"/>
      <x:c r="W87" s="172"/>
      <x:c r="X87" s="172"/>
      <x:c r="Y87" s="172"/>
      <x:c r="Z87" s="172"/>
    </x:row>
    <x:row r="88" ht="23" customHeight="1">
      <x:c r="A88" s="172"/>
      <x:c r="B88" s="172"/>
      <x:c r="C88" s="172"/>
      <x:c r="D88" s="172"/>
      <x:c r="E88" s="172"/>
      <x:c r="F88" s="172"/>
      <x:c r="G88" s="172"/>
      <x:c r="H88" s="172"/>
      <x:c r="I88" s="172"/>
      <x:c r="J88" s="172"/>
      <x:c r="K88" s="172"/>
      <x:c r="L88" s="172"/>
      <x:c r="M88" s="172"/>
      <x:c r="N88" s="172"/>
      <x:c r="O88" s="172"/>
      <x:c r="P88" s="172"/>
      <x:c r="Q88" s="172"/>
      <x:c r="R88" s="172"/>
      <x:c r="S88" s="172"/>
      <x:c r="T88" s="172"/>
      <x:c r="U88" s="172"/>
      <x:c r="V88" s="172"/>
      <x:c r="W88" s="172"/>
      <x:c r="X88" s="172"/>
      <x:c r="Y88" s="172"/>
      <x:c r="Z88" s="172"/>
    </x:row>
    <x:row r="89" ht="23" customHeight="1">
      <x:c r="A89" s="172"/>
      <x:c r="B89" s="172"/>
      <x:c r="C89" s="172"/>
      <x:c r="D89" s="172"/>
      <x:c r="E89" s="172"/>
      <x:c r="F89" s="172"/>
      <x:c r="G89" s="172"/>
      <x:c r="H89" s="172"/>
      <x:c r="I89" s="172"/>
      <x:c r="J89" s="172"/>
      <x:c r="K89" s="172"/>
      <x:c r="L89" s="172"/>
      <x:c r="M89" s="172"/>
      <x:c r="N89" s="172"/>
      <x:c r="O89" s="172"/>
      <x:c r="P89" s="172"/>
      <x:c r="Q89" s="172"/>
      <x:c r="R89" s="172"/>
      <x:c r="S89" s="172"/>
      <x:c r="T89" s="172"/>
      <x:c r="U89" s="172"/>
      <x:c r="V89" s="172"/>
      <x:c r="W89" s="172"/>
      <x:c r="X89" s="172"/>
      <x:c r="Y89" s="172"/>
      <x:c r="Z89" s="172"/>
    </x:row>
    <x:row r="90" ht="23" customHeight="1">
      <x:c r="A90" s="172"/>
      <x:c r="B90" s="172"/>
      <x:c r="C90" s="172"/>
      <x:c r="D90" s="172"/>
      <x:c r="E90" s="172"/>
      <x:c r="F90" s="172"/>
      <x:c r="G90" s="172"/>
      <x:c r="H90" s="172"/>
      <x:c r="I90" s="172"/>
      <x:c r="J90" s="172"/>
      <x:c r="K90" s="172"/>
      <x:c r="L90" s="172"/>
      <x:c r="M90" s="172"/>
      <x:c r="N90" s="172"/>
      <x:c r="O90" s="172"/>
      <x:c r="P90" s="172"/>
      <x:c r="Q90" s="172"/>
      <x:c r="R90" s="172"/>
      <x:c r="S90" s="172"/>
      <x:c r="T90" s="172"/>
      <x:c r="U90" s="172"/>
      <x:c r="V90" s="172"/>
      <x:c r="W90" s="172"/>
      <x:c r="X90" s="172"/>
      <x:c r="Y90" s="172"/>
      <x:c r="Z90" s="172"/>
    </x:row>
    <x:row r="91" ht="23" customHeight="1">
      <x:c r="A91" s="172"/>
      <x:c r="B91" s="172"/>
      <x:c r="C91" s="172"/>
      <x:c r="D91" s="172"/>
      <x:c r="E91" s="172"/>
      <x:c r="F91" s="172"/>
      <x:c r="G91" s="172"/>
      <x:c r="H91" s="172"/>
      <x:c r="I91" s="172"/>
      <x:c r="J91" s="172"/>
      <x:c r="K91" s="172"/>
      <x:c r="L91" s="172"/>
      <x:c r="M91" s="172"/>
      <x:c r="N91" s="172"/>
      <x:c r="O91" s="172"/>
      <x:c r="P91" s="172"/>
      <x:c r="Q91" s="172"/>
      <x:c r="R91" s="172"/>
      <x:c r="S91" s="172"/>
      <x:c r="T91" s="172"/>
      <x:c r="U91" s="172"/>
      <x:c r="V91" s="172"/>
      <x:c r="W91" s="172"/>
      <x:c r="X91" s="172"/>
      <x:c r="Y91" s="172"/>
      <x:c r="Z91" s="172"/>
    </x:row>
    <x:row r="92" ht="23" customHeight="1">
      <x:c r="A92" s="172"/>
      <x:c r="B92" s="172"/>
      <x:c r="C92" s="172"/>
      <x:c r="D92" s="172"/>
      <x:c r="E92" s="172"/>
      <x:c r="F92" s="172"/>
      <x:c r="G92" s="172"/>
      <x:c r="H92" s="172"/>
      <x:c r="I92" s="172"/>
      <x:c r="J92" s="172"/>
      <x:c r="K92" s="172"/>
      <x:c r="L92" s="172"/>
      <x:c r="M92" s="172"/>
      <x:c r="N92" s="172"/>
      <x:c r="O92" s="172"/>
      <x:c r="P92" s="172"/>
      <x:c r="Q92" s="172"/>
      <x:c r="R92" s="172"/>
      <x:c r="S92" s="172"/>
      <x:c r="T92" s="172"/>
      <x:c r="U92" s="172"/>
      <x:c r="V92" s="172"/>
      <x:c r="W92" s="172"/>
      <x:c r="X92" s="172"/>
      <x:c r="Y92" s="172"/>
      <x:c r="Z92" s="172"/>
    </x:row>
    <x:row r="93" ht="23" customHeight="1">
      <x:c r="A93" s="172"/>
      <x:c r="B93" s="172"/>
      <x:c r="C93" s="172"/>
      <x:c r="D93" s="172"/>
      <x:c r="E93" s="172"/>
      <x:c r="F93" s="172"/>
      <x:c r="G93" s="172"/>
      <x:c r="H93" s="172"/>
      <x:c r="I93" s="172"/>
      <x:c r="J93" s="172"/>
      <x:c r="K93" s="172"/>
      <x:c r="L93" s="172"/>
      <x:c r="M93" s="172"/>
      <x:c r="N93" s="172"/>
      <x:c r="O93" s="172"/>
      <x:c r="P93" s="172"/>
      <x:c r="Q93" s="172"/>
      <x:c r="R93" s="172"/>
      <x:c r="S93" s="172"/>
      <x:c r="T93" s="172"/>
      <x:c r="U93" s="172"/>
      <x:c r="V93" s="172"/>
      <x:c r="W93" s="172"/>
      <x:c r="X93" s="172"/>
      <x:c r="Y93" s="172"/>
      <x:c r="Z93" s="172"/>
    </x:row>
    <x:row r="94" ht="23" customHeight="1">
      <x:c r="A94" s="172"/>
      <x:c r="B94" s="172"/>
      <x:c r="C94" s="172"/>
      <x:c r="D94" s="172"/>
      <x:c r="E94" s="172"/>
      <x:c r="F94" s="172"/>
      <x:c r="G94" s="172"/>
      <x:c r="H94" s="172"/>
      <x:c r="I94" s="172"/>
      <x:c r="J94" s="172"/>
      <x:c r="K94" s="172"/>
      <x:c r="L94" s="172"/>
      <x:c r="M94" s="172"/>
      <x:c r="N94" s="172"/>
      <x:c r="O94" s="172"/>
      <x:c r="P94" s="172"/>
      <x:c r="Q94" s="172"/>
      <x:c r="R94" s="172"/>
      <x:c r="S94" s="172"/>
      <x:c r="T94" s="172"/>
      <x:c r="U94" s="172"/>
      <x:c r="V94" s="172"/>
      <x:c r="W94" s="172"/>
      <x:c r="X94" s="172"/>
      <x:c r="Y94" s="172"/>
      <x:c r="Z94" s="172"/>
    </x:row>
    <x:row r="95" ht="23" customHeight="1">
      <x:c r="A95" s="172"/>
      <x:c r="B95" s="172"/>
      <x:c r="C95" s="172"/>
      <x:c r="D95" s="172"/>
      <x:c r="E95" s="172"/>
      <x:c r="F95" s="172"/>
      <x:c r="G95" s="172"/>
      <x:c r="H95" s="172"/>
      <x:c r="I95" s="172"/>
      <x:c r="J95" s="172"/>
      <x:c r="K95" s="172"/>
      <x:c r="L95" s="172"/>
      <x:c r="M95" s="172"/>
      <x:c r="N95" s="172"/>
      <x:c r="O95" s="172"/>
      <x:c r="P95" s="172"/>
      <x:c r="Q95" s="172"/>
      <x:c r="R95" s="172"/>
      <x:c r="S95" s="172"/>
      <x:c r="T95" s="172"/>
      <x:c r="U95" s="172"/>
      <x:c r="V95" s="172"/>
      <x:c r="W95" s="172"/>
      <x:c r="X95" s="172"/>
      <x:c r="Y95" s="172"/>
      <x:c r="Z95" s="172"/>
    </x:row>
  </x:sheetData>
  <x:dataValidations count="1">
    <x:dataValidation type="list" sqref="K5:K7">
      <x:formula1>"PENDING FROZEN OOS,VALIDATED FROZEN OOS"</x:formula1>
    </x:dataValidation>
  </x:dataValidations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Pr>
    <x:tabColor rgb="FF117E80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23" hidden="0" customWidth="1"/>
    <x:col min="17" max="17" width="17" hidden="0" customWidth="1"/>
    <x:col min="18" max="18" width="43" hidden="0" customWidth="1"/>
    <x:col min="19" max="19" width="43" hidden="0" customWidth="1"/>
    <x:col min="20" max="20" width="43" hidden="0" customWidth="1"/>
    <x:col min="21" max="21" width="17" hidden="0" customWidth="1"/>
    <x:col min="22" max="22" width="17" hidden="0" customWidth="1"/>
    <x:col min="23" max="23" width="17" hidden="0" customWidth="1"/>
    <x:col min="24" max="24" width="17" hidden="0" customWidth="1"/>
    <x:col min="25" max="25" width="17" hidden="0" customWidth="1"/>
    <x:col min="26" max="26" width="17" hidden="0" customWidth="1"/>
    <x:col min="27" max="27" width="17" hidden="0" customWidth="1"/>
    <x:col min="28" max="28" width="17" hidden="0" customWidth="1"/>
    <x:col min="29" max="29" width="15" hidden="0" customWidth="1"/>
    <x:col min="30" max="30" width="15" hidden="0" customWidth="1"/>
    <x:col min="31" max="31" width="15" hidden="0" customWidth="1"/>
    <x:col min="32" max="32" width="15" hidden="0" customWidth="1"/>
  </x:cols>
  <x:sheetData>
    <x:row r="1" ht="23" customHeight="1">
      <x:c r="A1" s="173" t="str">
        <x:v>UNDER TOTAL GOALS MULTI-LINE</x:v>
      </x:c>
      <x:c r="B1" s="172"/>
      <x:c r="C1" s="172"/>
      <x:c r="D1" s="172"/>
      <x:c r="E1" s="172"/>
      <x:c r="F1" s="172"/>
      <x:c r="G1" s="172"/>
      <x:c r="H1" s="172"/>
      <x:c r="I1" s="172"/>
      <x:c r="J1" s="172"/>
      <x:c r="K1" s="172"/>
      <x:c r="L1" s="172"/>
      <x:c r="M1" s="172"/>
      <x:c r="N1" s="172"/>
      <x:c r="O1" s="172"/>
      <x:c r="P1" s="172"/>
      <x:c r="Q1" s="172"/>
      <x:c r="R1" s="172"/>
      <x:c r="S1" s="172"/>
      <x:c r="T1" s="172"/>
      <x:c r="U1" s="172"/>
      <x:c r="V1" s="172"/>
      <x:c r="W1" s="172"/>
      <x:c r="X1" s="172"/>
      <x:c r="Y1" s="172"/>
      <x:c r="Z1" s="172"/>
      <x:c r="AA1" s="172"/>
      <x:c r="AB1" s="172"/>
      <x:c r="AC1" s="172"/>
      <x:c r="AD1" s="172"/>
      <x:c r="AE1" s="172"/>
      <x:c r="AF1" s="172"/>
    </x:row>
    <x:row r="2" ht="23" customHeight="1">
      <x:c r="A2" s="172"/>
      <x:c r="B2" s="172"/>
      <x:c r="C2" s="172"/>
      <x:c r="D2" s="172"/>
      <x:c r="E2" s="172"/>
      <x:c r="F2" s="172"/>
      <x:c r="G2" s="172"/>
      <x:c r="H2" s="172"/>
      <x:c r="I2" s="172"/>
      <x:c r="J2" s="172"/>
      <x:c r="K2" s="172"/>
      <x:c r="L2" s="172"/>
      <x:c r="M2" s="172"/>
      <x:c r="N2" s="172"/>
      <x:c r="O2" s="172"/>
      <x:c r="P2" s="172"/>
      <x:c r="Q2" s="172"/>
      <x:c r="R2" s="172"/>
      <x:c r="S2" s="172"/>
      <x:c r="T2" s="172"/>
      <x:c r="U2" s="172"/>
      <x:c r="V2" s="172"/>
      <x:c r="W2" s="172"/>
      <x:c r="X2" s="172"/>
      <x:c r="Y2" s="172"/>
      <x:c r="Z2" s="172"/>
      <x:c r="AA2" s="172"/>
      <x:c r="AB2" s="172"/>
      <x:c r="AC2" s="172"/>
      <x:c r="AD2" s="172"/>
      <x:c r="AE2" s="172"/>
      <x:c r="AF2" s="172"/>
    </x:row>
    <x:row r="3" ht="23" customHeight="1">
      <x:c r="A3" s="174" t="str">
        <x:v>Selector unic: U3,5 / U4,5 / U5,5. NEELIBERAT descrie sourcing-ul, nu o recomandare de pariere.</x:v>
      </x:c>
      <x:c r="B3" s="172"/>
      <x:c r="C3" s="172"/>
      <x:c r="D3" s="172"/>
      <x:c r="E3" s="172"/>
      <x:c r="F3" s="172"/>
      <x:c r="G3" s="172"/>
      <x:c r="H3" s="172"/>
      <x:c r="I3" s="172"/>
      <x:c r="J3" s="172"/>
      <x:c r="K3" s="172"/>
      <x:c r="L3" s="172"/>
      <x:c r="M3" s="172"/>
      <x:c r="N3" s="172"/>
      <x:c r="O3" s="172"/>
      <x:c r="P3" s="172"/>
      <x:c r="Q3" s="172"/>
      <x:c r="R3" s="172"/>
      <x:c r="S3" s="172"/>
      <x:c r="T3" s="172"/>
      <x:c r="U3" s="172"/>
      <x:c r="V3" s="172"/>
      <x:c r="W3" s="172"/>
      <x:c r="X3" s="172"/>
      <x:c r="Y3" s="172"/>
      <x:c r="Z3" s="172"/>
      <x:c r="AA3" s="172"/>
      <x:c r="AB3" s="172"/>
      <x:c r="AC3" s="172"/>
      <x:c r="AD3" s="172"/>
      <x:c r="AE3" s="172"/>
      <x:c r="AF3" s="172"/>
    </x:row>
    <x:row r="4" ht="36" customHeight="1">
      <x:c r="A4" s="181" t="str">
        <x:v>Linie</x:v>
      </x:c>
      <x:c r="B4" s="181" t="str">
        <x:v>Max goluri</x:v>
      </x:c>
      <x:c r="C4" s="181" t="str">
        <x:v>Failure raw</x:v>
      </x:c>
      <x:c r="D4" s="181" t="str">
        <x:v>Near-tail</x:v>
      </x:c>
      <x:c r="E4" s="181" t="str">
        <x:v>Severe-tail</x:v>
      </x:c>
      <x:c r="F4" s="181" t="str">
        <x:v>P raw</x:v>
      </x:c>
      <x:c r="G4" s="181" t="str">
        <x:v>P ajustată</x:v>
      </x:c>
      <x:c r="H4" s="181" t="str">
        <x:v>Empiric 83: istoric</x:v>
      </x:c>
      <x:c r="I4" s="181" t="str">
        <x:v>Factor calibrare</x:v>
      </x:c>
      <x:c r="J4" s="181" t="str">
        <x:v>Near class</x:v>
      </x:c>
      <x:c r="K4" s="181" t="str">
        <x:v>Severe gate</x:v>
      </x:c>
      <x:c r="L4" s="181" t="str">
        <x:v>Share × severe</x:v>
      </x:c>
      <x:c r="M4" s="181" t="str">
        <x:v>Risk Score</x:v>
      </x:c>
      <x:c r="N4" s="181" t="str">
        <x:v>Risk Level</x:v>
      </x:c>
      <x:c r="O4" s="181" t="str">
        <x:v>Confidence</x:v>
      </x:c>
      <x:c r="P4" s="181" t="str">
        <x:v>Verdict unic</x:v>
      </x:c>
      <x:c r="Q4" s="181" t="str">
        <x:v>Poziție eligibilă</x:v>
      </x:c>
      <x:c r="R4" s="181" t="str">
        <x:v>Validare OOS</x:v>
      </x:c>
      <x:c r="S4" s="181" t="str">
        <x:v>Motivație</x:v>
      </x:c>
      <x:c r="T4" s="181" t="str">
        <x:v>Data Status</x:v>
      </x:c>
      <x:c r="U4" s="181" t="str">
        <x:v>G0</x:v>
      </x:c>
      <x:c r="V4" s="181" t="str">
        <x:v>Release</x:v>
      </x:c>
      <x:c r="W4" s="181" t="str">
        <x:v>Nivel înainte P5</x:v>
      </x:c>
      <x:c r="X4" s="181" t="str">
        <x:v>Downgrade P5</x:v>
      </x:c>
      <x:c r="Y4" s="181" t="str">
        <x:v>Gate Tail U4,5</x:v>
      </x:c>
      <x:c r="Z4" s="181" t="str">
        <x:v>Bandă Confidence</x:v>
      </x:c>
      <x:c r="AA4" s="181" t="str">
        <x:v>Eligibil</x:v>
      </x:c>
      <x:c r="AB4" s="181" t="str">
        <x:v>Near ranking key</x:v>
      </x:c>
      <x:c r="AC4" s="172"/>
      <x:c r="AD4" s="172"/>
      <x:c r="AE4" s="172"/>
      <x:c r="AF4" s="172"/>
    </x:row>
    <x:row r="5" ht="57" customHeight="1">
      <x:c r="A5" s="172" t="str">
        <x:v>U3.5</x:v>
      </x:c>
      <x:c r="B5" s="172" t="n">
        <x:v>3</x:v>
      </x:c>
      <x:c r="C5" s="192" t="str">
        <x:f>IF(Goals_Distribution_v9!$K$7&lt;&gt;"READY","",INDEX(Goals_Distribution_v9!$F$5:$F$45,MATCH(B5,Goals_Distribution_v9!$A$5:$A$45,0)))</x:f>
      </x:c>
      <x:c r="D5" s="192" t="str">
        <x:f>IF(C5="","",INDEX(Goals_Distribution_v9!$D$5:$D$45,MATCH(B5+1,Goals_Distribution_v9!$A$5:$A$45,0)))</x:f>
      </x:c>
      <x:c r="E5" s="192" t="str">
        <x:f>IF(C5="","",INDEX(Goals_Distribution_v9!$F$5:$F$45,MATCH(B5+1,Goals_Distribution_v9!$A$5:$A$45,0)))</x:f>
      </x:c>
      <x:c r="F5" s="192" t="str">
        <x:f>IF(C5="","",1-C5)</x:f>
      </x:c>
      <x:c r="G5" s="192" t="str">
        <x:f>IF(F5="","",MAX(0,MIN(Under_LineCal_v9!$B$26,F5-Under_LineCal_v9!$B$27*I5-'Tail Risk v3'!$B$9)))</x:f>
      </x:c>
      <x:c r="H5" s="192" t="n">
        <x:f>IFERROR(COUNTIFS('Rezultate &amp; Comparatie'!$L$2:$L$84,"&gt;="&amp;(B5+1))/COUNT('Rezultate &amp; Comparatie'!$L$2:$L$84),"")</x:f>
        <x:v>0.3614457831325301</x:v>
      </x:c>
      <x:c r="I5" s="195" t="n">
        <x:f>Under_LineCal_v9!B5</x:f>
        <x:v>1</x:v>
      </x:c>
      <x:c r="J5" s="187" t="str">
        <x:f>IF(D5="","PENDING",IF(OR(Under_LineCal_v9!K5&lt;&gt;"VALIDATED FROZEN OOS",NOT(ISNUMBER(Under_LineCal_v9!F5)),NOT(ISNUMBER(Under_LineCal_v9!G5))),"MONITOR",IF(D5&lt;=Under_LineCal_v9!F5,"PASS",IF(D5&gt;=Under_LineCal_v9!G5,"RIDICAT","MODERAT"))))</x:f>
        <x:v>PENDING</x:v>
      </x:c>
      <x:c r="K5" s="187" t="str">
        <x:f>IF(E5="","PENDING",IF(OR(Under_LineCal_v9!K5&lt;&gt;"VALIDATED FROZEN OOS",NOT(ISNUMBER(Under_LineCal_v9!H5)),NOT(ISNUMBER(Under_LineCal_v9!I5))),"MONITOR",IF(E5&lt;=Under_LineCal_v9!H5,"PASS",IF(E5&gt;Under_LineCal_v9!I5,"WATCH","PENALTY"))))</x:f>
        <x:v>PENDING</x:v>
      </x:c>
      <x:c r="L5" s="197" t="str">
        <x:f>IF(OR(E5="",NearTail_Surcharge_v6!$B$7=""),"",NearTail_Surcharge_v6!$B$7*E5)</x:f>
      </x:c>
      <x:c r="M5" s="198" t="str">
        <x:f>IF(V5&lt;&gt;"READY","",MIN(100,(1-G5)*Under_LineCal_v9!$B$30+AB5*Under_LineCal_v9!$B$31+E5*Under_LineCal_v9!$B$32+L5*Under_LineCal_v9!$B$33+MAX(0,Under_LineCal_v9!$B$36-'Model adaptiv'!$J$15)*Under_LineCal_v9!$B$34+'Model adaptiv'!$B$82*Under_LineCal_v9!$B$35))</x:f>
      </x:c>
      <x:c r="N5" s="199" t="str">
        <x:f>IF(OR(U5="FAIL",Y5="NO BET",K5="WATCH"),5,IF(W5="","",IF(W5&gt;=5,5,MAX(Under_LineCal_v9!J5,W5+X5,IF(J5="RIDICAT",Under_LineCal_v9!Q5,1),IF(Y5="MAXIM PRUDENT",2,1)))))</x:f>
      </x:c>
      <x:c r="O5" s="198" t="str">
        <x:f>IF(V5&lt;&gt;"READY","",MAX(0,'Model adaptiv'!$J$15-IF(OR(J5="MONITOR",K5="MONITOR"),Under_LineCal_v9!$B$20,0)-IF(N5&gt;=4,Under_LineCal_v9!$B$21,0)))</x:f>
      </x:c>
      <x:c r="P5" s="187" t="str">
        <x:f>IF(OR(U5="FAIL",N5=5,Y5="NO BET",K5="WATCH"),"NO BET",IF(V5&lt;&gt;"READY","NEELIBERAT",IF(AND(N5=1,G5&gt;=Under_LineCal_v9!C5,O5&gt;=Under_LineCal_v9!L5),"DEFENSIV",IF(AND(N5&lt;=2,G5&gt;=Under_LineCal_v9!D5,O5&gt;=Under_LineCal_v9!M5),"PRUDENT",IF(AND(N5&lt;=3,G5&gt;=Under_LineCal_v9!E5,O5&gt;=Under_LineCal_v9!N5),"MODERAT",IF(AND(N5=4,G5&gt;=Under_LineCal_v9!E5,O5&gt;=Under_LineCal_v9!O5),"RIDICAT","WATCH"))))))</x:f>
        <x:v>NEELIBERAT</x:v>
      </x:c>
      <x:c r="Q5" s="187" t="str">
        <x:f>IF(AA5=0,"",1+COUNTIFS($AA$5:$AA$7,1,$N$5:$N$7,"&lt;"&amp;N5)+COUNTIFS($AA$5:$AA$7,1,$N$5:$N$7,N5,$AB$5:$AB$7,"&lt;"&amp;AB5)+COUNTIFS($AA$5:$AA$7,1,$N$5:$N$7,N5,$AB$5:$AB$7,AB5,$G$5:$G$7,"&gt;"&amp;G5)+COUNTIFS($AA$5:$AA$7,1,$N$5:$N$7,N5,$AB$5:$AB$7,AB5,$G$5:$G$7,G5,$O$5:$O$7,"&gt;"&amp;O5)+COUNTIFS($AA$5:AA5,1,$N$5:N5,N5,$AB$5:AB5,AB5,$G$5:G5,G5,$O$5:O5,O5)-1)</x:f>
      </x:c>
      <x:c r="R5" s="187" t="str">
        <x:f>Under_LineCal_v9!K5</x:f>
        <x:v>PENDING FROZEN OOS</x:v>
      </x:c>
      <x:c r="S5" s="187" t="str">
        <x:f>IF(U5="FAIL","Input critic indisponibil sau conflict nereconciliat",IF(V5&lt;&gt;"READY",IF(U5="INCOMPLETE","Închide verificarea datelor relevante; nu este NO BET automat","Verifică parametrii metodei"),"Failure "&amp;TEXT(C5,"0.0%")&amp;"; exact "&amp;(B5+1)&amp;": "&amp;TEXT(D5,"0.0%")&amp;"; sever "&amp;TEXT(E5,"0.0%")&amp;"; "&amp;Y5&amp;"; Conf "&amp;TEXT(O5,"0.0")))</x:f>
        <x:v>Închide verificarea datelor relevante; nu este NO BET automat</x:v>
      </x:c>
      <x:c r="T5" s="187" t="str">
        <x:f>IF(U5="FAIL","NOT AVAILABLE / SOURCE CONFLICT CRITIC",IF(U5="INCOMPLETE","SOURCING INCOMPLETE",IF(V5&lt;&gt;"READY","METHOD / CONFIG CHECK",IF('Model adaptiv'!$J$8="DA","READY; G1 PENDING","READY"))))</x:f>
        <x:v>SOURCING INCOMPLETE</x:v>
      </x:c>
      <x:c r="U5" s="187" t="str">
        <x:f>IF(OR('Model adaptiv'!$J$5="FAIL",'Model adaptiv'!$J$43="FAIL",AND(AND('Date statistice'!$B$39="DA",OR('Date statistice'!$B$41=A5,'Date statistice'!$B$41="TOATE")),OR('Date statistice'!$B$38="NOT AVAILABLE",'Date statistice'!$B$38="SOURCE CONFLICT"))),"FAIL",IF(OR('Model adaptiv'!$J$5&lt;&gt;"PASS",'Model adaptiv'!$J$43&lt;&gt;"PASS",AND(AND('Date statistice'!$B$39="DA",OR('Date statistice'!$B$41=A5,'Date statistice'!$B$41="TOATE")),OR(NOT(OR('Date statistice'!$B$38="VERIFIED",'Date statistice'!$B$38="DERIVED",'Date statistice'!$B$38="SMALL SAMPLE",'Date statistice'!$B$38="PRIOR / SHRINKAGE",'Date statistice'!$B$38="PROXY ONLY")), 'Date statistice'!$B$40=""))),"INCOMPLETE","PASS"))</x:f>
        <x:v>INCOMPLETE</x:v>
      </x:c>
      <x:c r="V5" s="187" t="str">
        <x:f>IF(U5="FAIL","G0 FAIL",IF(NOT(AND(COUNT(Under_LineCal_v9!L5:O5)=4,MIN(Under_LineCal_v9!L5:O5)&gt;=0,MAX(Under_LineCal_v9!L5:O5)&lt;=100,Under_LineCal_v9!L5&gt;=Under_LineCal_v9!M5,Under_LineCal_v9!M5&gt;=Under_LineCal_v9!N5,Under_LineCal_v9!N5&gt;=Under_LineCal_v9!O5,ISNUMBER(Under_LineCal_v9!B5),Under_LineCal_v9!B5&gt;=0,INT(Under_LineCal_v9!J5)=Under_LineCal_v9!J5,ISNUMBER(Under_LineCal_v9!P5),Under_LineCal_v9!P5&gt;=0,Under_LineCal_v9!P5&lt;=1,OR(Under_LineCal_v9!K5="PENDING FROZEN OOS",Under_LineCal_v9!K5="VALIDATED FROZEN OOS"),ISNUMBER(Under_LineCal_v9!$B$14),Under_LineCal_v9!$B$14&gt;0,ISNUMBER(Under_LineCal_v9!$B$15),Under_LineCal_v9!$B$15&gt;0,ISNUMBER(Under_LineCal_v9!$B$16),Under_LineCal_v9!$B$16&gt;0,COUNT(NearTail_Surcharge_v6!B25:B26)=2,MIN(NearTail_Surcharge_v6!B25:B26)&gt;=0,MAX(NearTail_Surcharge_v6!B25:B26)&lt;=1)),"NOT RELEASED",IF(U5="FAIL","G0 FAIL",IF(AND(U5="PASS",Goals_Distribution_v9!$K$7="READY",AND(ISNUMBER(Under_LineCal_v9!C5),ISNUMBER(Under_LineCal_v9!D5),ISNUMBER(Under_LineCal_v9!E5),Under_LineCal_v9!C5&gt;=Under_LineCal_v9!D5,Under_LineCal_v9!D5&gt;=Under_LineCal_v9!E5,Under_LineCal_v9!C5&lt;=1,Under_LineCal_v9!E5&gt;0,ISNUMBER(Under_LineCal_v9!J5),Under_LineCal_v9!J5&gt;=1,Under_LineCal_v9!J5&lt;=5,ISNUMBER('Model adaptiv'!$J$15),OR(Under_LineCal_v9!K5&lt;&gt;"VALIDATED FROZEN OOS",AND(COUNT(Under_LineCal_v9!F5:I5)=4,Under_LineCal_v9!F5&gt;=0,Under_LineCal_v9!G5&gt;Under_LineCal_v9!F5,Under_LineCal_v9!G5&lt;=1,Under_LineCal_v9!H5&gt;=0,Under_LineCal_v9!I5&gt;Under_LineCal_v9!H5,Under_LineCal_v9!I5&lt;=1)))),"READY","NOT RELEASED"))))</x:f>
        <x:v>NOT RELEASED</x:v>
      </x:c>
      <x:c r="W5" s="187" t="str">
        <x:f>IF(M5="","",MAX(Under_LineCal_v9!J5,IF(M5&lt;=Under_LineCal_v9!$B$37,1,IF(M5&lt;=Under_LineCal_v9!$B$38,2,IF(M5&lt;=Under_LineCal_v9!$B$39,3,IF(M5&lt;=Under_LineCal_v9!$B$40,4,5))))))</x:f>
      </x:c>
      <x:c r="X5" s="187" t="str">
        <x:f>IF(W5="","",IF(W5&gt;=5,0,IF(OR(J5="MODERAT",J5="RIDICAT"),MIN(Under_LineCal_v9!P5,MAX(0,4-W5)),0)))</x:f>
      </x:c>
      <x:c r="Y5" s="187" t="str">
        <x:f>"PASS"</x:f>
        <x:v>PASS</x:v>
      </x:c>
      <x:c r="Z5" s="187" t="str">
        <x:f>IF(O5="","",IF(O5&gt;=Under_LineCal_v9!L5,"DEFENSIV PERMIS",IF(O5&gt;=Under_LineCal_v9!M5,"PRUDENT/MODERAT PERMIS","SUB PRAG")))</x:f>
      </x:c>
      <x:c r="AA5" s="187" t="n">
        <x:f>IF(AND(V5="READY",OR(P5="DEFENSIV",P5="PRUDENT",P5="MODERAT",P5="RIDICAT")),1,0)</x:f>
        <x:v>0</x:v>
      </x:c>
      <x:c r="AB5" s="197" t="str">
        <x:f>IF(D5="","",D5)</x:f>
      </x:c>
      <x:c r="AC5" s="172"/>
      <x:c r="AD5" s="172"/>
      <x:c r="AE5" s="172"/>
      <x:c r="AF5" s="172"/>
    </x:row>
    <x:row r="6" ht="57" customHeight="1">
      <x:c r="A6" s="172" t="str">
        <x:v>U4.5</x:v>
      </x:c>
      <x:c r="B6" s="172" t="n">
        <x:v>4</x:v>
      </x:c>
      <x:c r="C6" s="192" t="str">
        <x:f>IF(Goals_Distribution_v9!$K$7&lt;&gt;"READY","",INDEX(Goals_Distribution_v9!$F$5:$F$45,MATCH(B6,Goals_Distribution_v9!$A$5:$A$45,0)))</x:f>
      </x:c>
      <x:c r="D6" s="192" t="str">
        <x:f>IF(C6="","",INDEX(Goals_Distribution_v9!$D$5:$D$45,MATCH(B6+1,Goals_Distribution_v9!$A$5:$A$45,0)))</x:f>
      </x:c>
      <x:c r="E6" s="192" t="str">
        <x:f>IF(C6="","",INDEX(Goals_Distribution_v9!$F$5:$F$45,MATCH(B6+1,Goals_Distribution_v9!$A$5:$A$45,0)))</x:f>
      </x:c>
      <x:c r="F6" s="192" t="str">
        <x:f>IF(C6="","",1-C6)</x:f>
      </x:c>
      <x:c r="G6" s="192" t="str">
        <x:f>IF(F6="","",MAX(0,MIN(Under_LineCal_v9!$B$26,F6-Under_LineCal_v9!$B$27*I6-'Tail Risk v3'!$B$9-NearTail_Surcharge_v6!$B$21)))</x:f>
      </x:c>
      <x:c r="H6" s="192" t="n">
        <x:f>IFERROR(COUNTIFS('Rezultate &amp; Comparatie'!$L$2:$L$84,"&gt;="&amp;(B6+1))/COUNT('Rezultate &amp; Comparatie'!$L$2:$L$84),"")</x:f>
        <x:v>0.20481927710843373</x:v>
      </x:c>
      <x:c r="I6" s="195" t="n">
        <x:f>Under_LineCal_v9!B6</x:f>
        <x:v>1</x:v>
      </x:c>
      <x:c r="J6" s="187" t="str">
        <x:f>IF(D6="","PENDING",IF(OR(Under_LineCal_v9!K6&lt;&gt;"VALIDATED FROZEN OOS",NOT(ISNUMBER(Under_LineCal_v9!F6)),NOT(ISNUMBER(Under_LineCal_v9!G6))),"MONITOR",IF(D6&lt;=Under_LineCal_v9!F6,"PASS",IF(D6&gt;=Under_LineCal_v9!G6,"RIDICAT","MODERAT"))))</x:f>
        <x:v>PENDING</x:v>
      </x:c>
      <x:c r="K6" s="187" t="str">
        <x:f>IF(E6="","PENDING",IF(OR(Under_LineCal_v9!K6&lt;&gt;"VALIDATED FROZEN OOS",NOT(ISNUMBER(Under_LineCal_v9!H6)),NOT(ISNUMBER(Under_LineCal_v9!I6))),"MONITOR",IF(E6&lt;=Under_LineCal_v9!H6,"PASS",IF(E6&gt;Under_LineCal_v9!I6,"WATCH","PENALTY"))))</x:f>
        <x:v>PENDING</x:v>
      </x:c>
      <x:c r="L6" s="197" t="str">
        <x:f>IF(OR(E6="",NearTail_Surcharge_v6!$B$7=""),"",NearTail_Surcharge_v6!$B$7*E6)</x:f>
      </x:c>
      <x:c r="M6" s="198" t="str">
        <x:f>IF(V6&lt;&gt;"READY","",MIN(100,(1-G6)*Under_LineCal_v9!$B$30+AB6*Under_LineCal_v9!$B$31+E6*Under_LineCal_v9!$B$32+L6*Under_LineCal_v9!$B$33+MAX(0,Under_LineCal_v9!$B$36-'Model adaptiv'!$J$15)*Under_LineCal_v9!$B$34+'Model adaptiv'!$J$41*Under_LineCal_v9!$B$35))</x:f>
      </x:c>
      <x:c r="N6" s="199" t="str">
        <x:f>IF(OR(U6="FAIL",Y6="NO BET",K6="WATCH"),5,IF(W6="","",IF(W6&gt;=5,5,MAX(Under_LineCal_v9!J6,W6+X6,IF(J6="RIDICAT",Under_LineCal_v9!Q6,1),IF(Y6="MAXIM PRUDENT",2,1)))))</x:f>
      </x:c>
      <x:c r="O6" s="198" t="str">
        <x:f>IF(V6&lt;&gt;"READY","",MAX(0,'Model adaptiv'!$J$15-IF(OR(J6="MONITOR",K6="MONITOR"),Under_LineCal_v9!$B$20,0)-IF(N6&gt;=4,Under_LineCal_v9!$B$21,0)-MAX(0,'Model adaptiv'!$J$41-Under_LineCal_v9!S6)*Under_LineCal_v9!$B$22))</x:f>
      </x:c>
      <x:c r="P6" s="187" t="str">
        <x:f>IF(OR(U6="FAIL",N6=5,Y6="NO BET",K6="WATCH"),"NO BET",IF(V6&lt;&gt;"READY","NEELIBERAT",IF(AND(N6=1,G6&gt;=Under_LineCal_v9!C6,O6&gt;=Under_LineCal_v9!L6),"DEFENSIV",IF(AND(N6&lt;=2,G6&gt;=Under_LineCal_v9!D6,O6&gt;=Under_LineCal_v9!M6),"PRUDENT",IF(AND(N6&lt;=3,G6&gt;=Under_LineCal_v9!E6,O6&gt;=Under_LineCal_v9!N6),"MODERAT",IF(AND(N6=4,G6&gt;=Under_LineCal_v9!E6,O6&gt;=Under_LineCal_v9!O6),"RIDICAT","WATCH"))))))</x:f>
        <x:v>NEELIBERAT</x:v>
      </x:c>
      <x:c r="Q6" s="187" t="str">
        <x:f>IF(AA6=0,"",1+COUNTIFS($AA$5:$AA$7,1,$N$5:$N$7,"&lt;"&amp;N6)+COUNTIFS($AA$5:$AA$7,1,$N$5:$N$7,N6,$AB$5:$AB$7,"&lt;"&amp;AB6)+COUNTIFS($AA$5:$AA$7,1,$N$5:$N$7,N6,$AB$5:$AB$7,AB6,$G$5:$G$7,"&gt;"&amp;G6)+COUNTIFS($AA$5:$AA$7,1,$N$5:$N$7,N6,$AB$5:$AB$7,AB6,$G$5:$G$7,G6,$O$5:$O$7,"&gt;"&amp;O6)+COUNTIFS($AA$5:AA6,1,$N$5:N6,N6,$AB$5:AB6,AB6,$G$5:G6,G6,$O$5:O6,O6)-1)</x:f>
      </x:c>
      <x:c r="R6" s="187" t="str">
        <x:f>Under_LineCal_v9!K6</x:f>
        <x:v>PENDING FROZEN OOS</x:v>
      </x:c>
      <x:c r="S6" s="187" t="str">
        <x:f>IF(U6="FAIL","Input critic indisponibil sau conflict nereconciliat",IF(V6&lt;&gt;"READY",IF(U6="INCOMPLETE","Închide verificarea datelor relevante; nu este NO BET automat","Verifică parametrii metodei"),"Failure "&amp;TEXT(C6,"0.0%")&amp;"; exact "&amp;(B6+1)&amp;": "&amp;TEXT(D6,"0.0%")&amp;"; sever "&amp;TEXT(E6,"0.0%")&amp;"; "&amp;Y6&amp;"; Conf "&amp;TEXT(O6,"0.0")))</x:f>
        <x:v>Închide verificarea datelor relevante; nu este NO BET automat</x:v>
      </x:c>
      <x:c r="T6" s="187" t="str">
        <x:f>IF(U6="FAIL","NOT AVAILABLE / SOURCE CONFLICT CRITIC",IF(U6="INCOMPLETE","SOURCING INCOMPLETE",IF(V6&lt;&gt;"READY","METHOD / CONFIG CHECK",IF('Model adaptiv'!$J$8="DA","READY; G1 PENDING","READY"))))</x:f>
        <x:v>SOURCING INCOMPLETE</x:v>
      </x:c>
      <x:c r="U6" s="187" t="str">
        <x:f>IF(OR('Model adaptiv'!$J$5="FAIL",'Model adaptiv'!$J$42="FAIL",AND(AND('Date statistice'!$B$39="DA",OR('Date statistice'!$B$41=A6,'Date statistice'!$B$41="TOATE")),OR('Date statistice'!$B$38="NOT AVAILABLE",'Date statistice'!$B$38="SOURCE CONFLICT"))),"FAIL",IF(OR('Model adaptiv'!$J$5&lt;&gt;"PASS",'Model adaptiv'!$J$42&lt;&gt;"PASS",AND(AND('Date statistice'!$B$39="DA",OR('Date statistice'!$B$41=A6,'Date statistice'!$B$41="TOATE")),OR(NOT(OR('Date statistice'!$B$38="VERIFIED",'Date statistice'!$B$38="DERIVED",'Date statistice'!$B$38="SMALL SAMPLE",'Date statistice'!$B$38="PRIOR / SHRINKAGE",'Date statistice'!$B$38="PROXY ONLY")), 'Date statistice'!$B$40=""))),"INCOMPLETE","PASS"))</x:f>
        <x:v>INCOMPLETE</x:v>
      </x:c>
      <x:c r="V6" s="187" t="str">
        <x:f>IF(U6="FAIL","G0 FAIL",IF(NOT(AND(COUNT(Under_LineCal_v9!L6:O6)=4,MIN(Under_LineCal_v9!L6:O6)&gt;=0,MAX(Under_LineCal_v9!L6:O6)&lt;=100,Under_LineCal_v9!L6&gt;=Under_LineCal_v9!M6,Under_LineCal_v9!M6&gt;=Under_LineCal_v9!N6,Under_LineCal_v9!N6&gt;=Under_LineCal_v9!O6,ISNUMBER(Under_LineCal_v9!B6),Under_LineCal_v9!B6&gt;=0,INT(Under_LineCal_v9!J6)=Under_LineCal_v9!J6,ISNUMBER(Under_LineCal_v9!P6),Under_LineCal_v9!P6&gt;=0,Under_LineCal_v9!P6&lt;=1,OR(Under_LineCal_v9!K6="PENDING FROZEN OOS",Under_LineCal_v9!K6="VALIDATED FROZEN OOS"),ISNUMBER(Under_LineCal_v9!$B$14),Under_LineCal_v9!$B$14&gt;0,ISNUMBER(Under_LineCal_v9!$B$15),Under_LineCal_v9!$B$15&gt;0,ISNUMBER(Under_LineCal_v9!$B$16),Under_LineCal_v9!$B$16&gt;0,COUNT(NearTail_Surcharge_v6!B25:B26)=2,MIN(NearTail_Surcharge_v6!B25:B26)&gt;=0,MAX(NearTail_Surcharge_v6!B25:B26)&lt;=1)),"NOT RELEASED",IF(U6="FAIL","G0 FAIL",IF(AND(U6="PASS",Goals_Distribution_v9!$K$7="READY",AND(ISNUMBER(Under_LineCal_v9!C6),ISNUMBER(Under_LineCal_v9!D6),ISNUMBER(Under_LineCal_v9!E6),Under_LineCal_v9!C6&gt;=Under_LineCal_v9!D6,Under_LineCal_v9!D6&gt;=Under_LineCal_v9!E6,Under_LineCal_v9!C6&lt;=1,Under_LineCal_v9!E6&gt;0,ISNUMBER(Under_LineCal_v9!J6),Under_LineCal_v9!J6&gt;=1,Under_LineCal_v9!J6&lt;=5,ISNUMBER('Model adaptiv'!$J$15),OR(Under_LineCal_v9!K6&lt;&gt;"VALIDATED FROZEN OOS",AND(COUNT(Under_LineCal_v9!F6:I6)=4,Under_LineCal_v9!F6&gt;=0,Under_LineCal_v9!G6&gt;Under_LineCal_v9!F6,Under_LineCal_v9!G6&lt;=1,Under_LineCal_v9!H6&gt;=0,Under_LineCal_v9!I6&gt;Under_LineCal_v9!H6,Under_LineCal_v9!I6&lt;=1)))),"READY","NOT RELEASED"))))</x:f>
        <x:v>NOT RELEASED</x:v>
      </x:c>
      <x:c r="W6" s="187" t="str">
        <x:f>IF(M6="","",MAX(Under_LineCal_v9!J6,IF(M6&lt;=Under_LineCal_v9!$B$37,1,IF(M6&lt;=Under_LineCal_v9!$B$38,2,IF(M6&lt;=Under_LineCal_v9!$B$39,3,IF(M6&lt;=Under_LineCal_v9!$B$40,4,5))))))</x:f>
      </x:c>
      <x:c r="X6" s="187" t="str">
        <x:f>IF(W6="","",IF(W6&gt;=5,0,IF(OR(J6="MODERAT",J6="RIDICAT"),MIN(Under_LineCal_v9!P6,MAX(0,4-W6)),0)))</x:f>
      </x:c>
      <x:c r="Y6" s="187" t="str">
        <x:f>'Tail Risk v3'!B21</x:f>
        <x:v>PENDING</x:v>
      </x:c>
      <x:c r="Z6" s="187" t="str">
        <x:f>IF(O6="","",IF(O6&gt;=Under_LineCal_v9!L6,"DEFENSIV PERMIS",IF(O6&gt;=Under_LineCal_v9!M6,"PRUDENT/MODERAT PERMIS","SUB PRAG")))</x:f>
      </x:c>
      <x:c r="AA6" s="187" t="n">
        <x:f>IF(AND(V6="READY",OR(P6="DEFENSIV",P6="PRUDENT",P6="MODERAT",P6="RIDICAT")),1,0)</x:f>
        <x:v>0</x:v>
      </x:c>
      <x:c r="AB6" s="197" t="str">
        <x:f>IF(NearTail_Ranking_v8!B8="","",NearTail_Ranking_v8!B8)</x:f>
      </x:c>
      <x:c r="AC6" s="172"/>
      <x:c r="AD6" s="172"/>
      <x:c r="AE6" s="172"/>
      <x:c r="AF6" s="172"/>
    </x:row>
    <x:row r="7" ht="57" customHeight="1">
      <x:c r="A7" s="172" t="str">
        <x:v>U5.5</x:v>
      </x:c>
      <x:c r="B7" s="172" t="n">
        <x:v>5</x:v>
      </x:c>
      <x:c r="C7" s="192" t="str">
        <x:f>IF(Goals_Distribution_v9!$K$7&lt;&gt;"READY","",INDEX(Goals_Distribution_v9!$F$5:$F$45,MATCH(B7,Goals_Distribution_v9!$A$5:$A$45,0)))</x:f>
      </x:c>
      <x:c r="D7" s="192" t="str">
        <x:f>IF(C7="","",INDEX(Goals_Distribution_v9!$D$5:$D$45,MATCH(B7+1,Goals_Distribution_v9!$A$5:$A$45,0)))</x:f>
      </x:c>
      <x:c r="E7" s="192" t="str">
        <x:f>IF(C7="","",INDEX(Goals_Distribution_v9!$F$5:$F$45,MATCH(B7+1,Goals_Distribution_v9!$A$5:$A$45,0)))</x:f>
      </x:c>
      <x:c r="F7" s="192" t="str">
        <x:f>IF(C7="","",1-C7)</x:f>
      </x:c>
      <x:c r="G7" s="192" t="str">
        <x:f>IF(F7="","",MAX(0,MIN(Under_LineCal_v9!$B$26,F7-Under_LineCal_v9!$B$27*I7-'Tail Risk v3'!$B$9)))</x:f>
      </x:c>
      <x:c r="H7" s="192" t="n">
        <x:f>IFERROR(COUNTIFS('Rezultate &amp; Comparatie'!$L$2:$L$84,"&gt;="&amp;(B7+1))/COUNT('Rezultate &amp; Comparatie'!$L$2:$L$84),"")</x:f>
        <x:v>0.08433734939759036</x:v>
      </x:c>
      <x:c r="I7" s="195" t="n">
        <x:f>Under_LineCal_v9!B7</x:f>
        <x:v>1</x:v>
      </x:c>
      <x:c r="J7" s="187" t="str">
        <x:f>IF(D7="","PENDING",IF(OR(Under_LineCal_v9!K7&lt;&gt;"VALIDATED FROZEN OOS",NOT(ISNUMBER(Under_LineCal_v9!F7)),NOT(ISNUMBER(Under_LineCal_v9!G7))),"MONITOR",IF(D7&lt;=Under_LineCal_v9!F7,"PASS",IF(D7&gt;=Under_LineCal_v9!G7,"RIDICAT","MODERAT"))))</x:f>
        <x:v>PENDING</x:v>
      </x:c>
      <x:c r="K7" s="187" t="str">
        <x:f>IF(E7="","PENDING",IF(OR(Under_LineCal_v9!K7&lt;&gt;"VALIDATED FROZEN OOS",NOT(ISNUMBER(Under_LineCal_v9!H7)),NOT(ISNUMBER(Under_LineCal_v9!I7))),"MONITOR",IF(E7&lt;=Under_LineCal_v9!H7,"PASS",IF(E7&gt;Under_LineCal_v9!I7,"WATCH","PENALTY"))))</x:f>
        <x:v>PENDING</x:v>
      </x:c>
      <x:c r="L7" s="197" t="str">
        <x:f>IF(OR(E7="",NearTail_Surcharge_v6!$B$7=""),"",NearTail_Surcharge_v6!$B$7*E7)</x:f>
      </x:c>
      <x:c r="M7" s="198" t="str">
        <x:f>IF(V7&lt;&gt;"READY","",MIN(100,(1-G7)*Under_LineCal_v9!$B$30+AB7*Under_LineCal_v9!$B$31+E7*Under_LineCal_v9!$B$32+L7*Under_LineCal_v9!$B$33+MAX(0,Under_LineCal_v9!$B$36-'Model adaptiv'!$J$15)*Under_LineCal_v9!$B$34+'Model adaptiv'!$B$82*Under_LineCal_v9!$B$35))</x:f>
      </x:c>
      <x:c r="N7" s="199" t="str">
        <x:f>IF(OR(U7="FAIL",Y7="NO BET",K7="WATCH"),5,IF(W7="","",IF(W7&gt;=5,5,MAX(Under_LineCal_v9!J7,W7+X7,IF(J7="RIDICAT",Under_LineCal_v9!Q7,1),IF(Y7="MAXIM PRUDENT",2,1)))))</x:f>
      </x:c>
      <x:c r="O7" s="198" t="str">
        <x:f>IF(V7&lt;&gt;"READY","",MAX(0,'Model adaptiv'!$J$15-IF(OR(J7="MONITOR",K7="MONITOR"),Under_LineCal_v9!$B$20,0)-IF(N7&gt;=4,Under_LineCal_v9!$B$21,0)))</x:f>
      </x:c>
      <x:c r="P7" s="187" t="str">
        <x:f>IF(OR(U7="FAIL",N7=5,Y7="NO BET",K7="WATCH"),"NO BET",IF(V7&lt;&gt;"READY","NEELIBERAT",IF(AND(N7=1,G7&gt;=Under_LineCal_v9!C7,O7&gt;=Under_LineCal_v9!L7),"DEFENSIV",IF(AND(N7&lt;=2,G7&gt;=Under_LineCal_v9!D7,O7&gt;=Under_LineCal_v9!M7),"PRUDENT",IF(AND(N7&lt;=3,G7&gt;=Under_LineCal_v9!E7,O7&gt;=Under_LineCal_v9!N7),"MODERAT",IF(AND(N7=4,G7&gt;=Under_LineCal_v9!E7,O7&gt;=Under_LineCal_v9!O7),"RIDICAT","WATCH"))))))</x:f>
        <x:v>NEELIBERAT</x:v>
      </x:c>
      <x:c r="Q7" s="187" t="str">
        <x:f>IF(AA7=0,"",1+COUNTIFS($AA$5:$AA$7,1,$N$5:$N$7,"&lt;"&amp;N7)+COUNTIFS($AA$5:$AA$7,1,$N$5:$N$7,N7,$AB$5:$AB$7,"&lt;"&amp;AB7)+COUNTIFS($AA$5:$AA$7,1,$N$5:$N$7,N7,$AB$5:$AB$7,AB7,$G$5:$G$7,"&gt;"&amp;G7)+COUNTIFS($AA$5:$AA$7,1,$N$5:$N$7,N7,$AB$5:$AB$7,AB7,$G$5:$G$7,G7,$O$5:$O$7,"&gt;"&amp;O7)+COUNTIFS($AA$5:AA7,1,$N$5:N7,N7,$AB$5:AB7,AB7,$G$5:G7,G7,$O$5:O7,O7)-1)</x:f>
      </x:c>
      <x:c r="R7" s="187" t="str">
        <x:f>Under_LineCal_v9!K7</x:f>
        <x:v>PENDING FROZEN OOS</x:v>
      </x:c>
      <x:c r="S7" s="187" t="str">
        <x:f>IF(U7="FAIL","Input critic indisponibil sau conflict nereconciliat",IF(V7&lt;&gt;"READY",IF(U7="INCOMPLETE","Închide verificarea datelor relevante; nu este NO BET automat","Verifică parametrii metodei"),"Failure "&amp;TEXT(C7,"0.0%")&amp;"; exact "&amp;(B7+1)&amp;": "&amp;TEXT(D7,"0.0%")&amp;"; sever "&amp;TEXT(E7,"0.0%")&amp;"; "&amp;Y7&amp;"; Conf "&amp;TEXT(O7,"0.0")))</x:f>
        <x:v>Închide verificarea datelor relevante; nu este NO BET automat</x:v>
      </x:c>
      <x:c r="T7" s="187" t="str">
        <x:f>IF(U7="FAIL","NOT AVAILABLE / SOURCE CONFLICT CRITIC",IF(U7="INCOMPLETE","SOURCING INCOMPLETE",IF(V7&lt;&gt;"READY","METHOD / CONFIG CHECK",IF('Model adaptiv'!$J$8="DA","READY; G1 PENDING","READY"))))</x:f>
        <x:v>SOURCING INCOMPLETE</x:v>
      </x:c>
      <x:c r="U7" s="187" t="str">
        <x:f>IF(OR('Model adaptiv'!$J$5="FAIL",'Model adaptiv'!$J$43="FAIL",AND(AND('Date statistice'!$B$39="DA",OR('Date statistice'!$B$41=A7,'Date statistice'!$B$41="TOATE")),OR('Date statistice'!$B$38="NOT AVAILABLE",'Date statistice'!$B$38="SOURCE CONFLICT"))),"FAIL",IF(OR('Model adaptiv'!$J$5&lt;&gt;"PASS",'Model adaptiv'!$J$43&lt;&gt;"PASS",AND(AND('Date statistice'!$B$39="DA",OR('Date statistice'!$B$41=A7,'Date statistice'!$B$41="TOATE")),OR(NOT(OR('Date statistice'!$B$38="VERIFIED",'Date statistice'!$B$38="DERIVED",'Date statistice'!$B$38="SMALL SAMPLE",'Date statistice'!$B$38="PRIOR / SHRINKAGE",'Date statistice'!$B$38="PROXY ONLY")), 'Date statistice'!$B$40=""))),"INCOMPLETE","PASS"))</x:f>
        <x:v>INCOMPLETE</x:v>
      </x:c>
      <x:c r="V7" s="187" t="str">
        <x:f>IF(U7="FAIL","G0 FAIL",IF(NOT(AND(COUNT(Under_LineCal_v9!L7:O7)=4,MIN(Under_LineCal_v9!L7:O7)&gt;=0,MAX(Under_LineCal_v9!L7:O7)&lt;=100,Under_LineCal_v9!L7&gt;=Under_LineCal_v9!M7,Under_LineCal_v9!M7&gt;=Under_LineCal_v9!N7,Under_LineCal_v9!N7&gt;=Under_LineCal_v9!O7,ISNUMBER(Under_LineCal_v9!B7),Under_LineCal_v9!B7&gt;=0,INT(Under_LineCal_v9!J7)=Under_LineCal_v9!J7,ISNUMBER(Under_LineCal_v9!P7),Under_LineCal_v9!P7&gt;=0,Under_LineCal_v9!P7&lt;=1,OR(Under_LineCal_v9!K7="PENDING FROZEN OOS",Under_LineCal_v9!K7="VALIDATED FROZEN OOS"),ISNUMBER(Under_LineCal_v9!$B$14),Under_LineCal_v9!$B$14&gt;0,ISNUMBER(Under_LineCal_v9!$B$15),Under_LineCal_v9!$B$15&gt;0,ISNUMBER(Under_LineCal_v9!$B$16),Under_LineCal_v9!$B$16&gt;0,COUNT(NearTail_Surcharge_v6!B25:B26)=2,MIN(NearTail_Surcharge_v6!B25:B26)&gt;=0,MAX(NearTail_Surcharge_v6!B25:B26)&lt;=1)),"NOT RELEASED",IF(U7="FAIL","G0 FAIL",IF(AND(U7="PASS",Goals_Distribution_v9!$K$7="READY",AND(ISNUMBER(Under_LineCal_v9!C7),ISNUMBER(Under_LineCal_v9!D7),ISNUMBER(Under_LineCal_v9!E7),Under_LineCal_v9!C7&gt;=Under_LineCal_v9!D7,Under_LineCal_v9!D7&gt;=Under_LineCal_v9!E7,Under_LineCal_v9!C7&lt;=1,Under_LineCal_v9!E7&gt;0,ISNUMBER(Under_LineCal_v9!J7),Under_LineCal_v9!J7&gt;=1,Under_LineCal_v9!J7&lt;=5,ISNUMBER('Model adaptiv'!$J$15),OR(Under_LineCal_v9!K7&lt;&gt;"VALIDATED FROZEN OOS",AND(COUNT(Under_LineCal_v9!F7:I7)=4,Under_LineCal_v9!F7&gt;=0,Under_LineCal_v9!G7&gt;Under_LineCal_v9!F7,Under_LineCal_v9!G7&lt;=1,Under_LineCal_v9!H7&gt;=0,Under_LineCal_v9!I7&gt;Under_LineCal_v9!H7,Under_LineCal_v9!I7&lt;=1)))),"READY","NOT RELEASED"))))</x:f>
        <x:v>NOT RELEASED</x:v>
      </x:c>
      <x:c r="W7" s="187" t="str">
        <x:f>IF(M7="","",MAX(Under_LineCal_v9!J7,IF(M7&lt;=Under_LineCal_v9!$B$37,1,IF(M7&lt;=Under_LineCal_v9!$B$38,2,IF(M7&lt;=Under_LineCal_v9!$B$39,3,IF(M7&lt;=Under_LineCal_v9!$B$40,4,5))))))</x:f>
      </x:c>
      <x:c r="X7" s="187" t="str">
        <x:f>IF(W7="","",IF(W7&gt;=5,0,IF(OR(J7="MODERAT",J7="RIDICAT"),MIN(Under_LineCal_v9!P7,MAX(0,4-W7)),0)))</x:f>
      </x:c>
      <x:c r="Y7" s="187" t="str">
        <x:f>"PASS"</x:f>
        <x:v>PASS</x:v>
      </x:c>
      <x:c r="Z7" s="187" t="str">
        <x:f>IF(O7="","",IF(O7&gt;=Under_LineCal_v9!L7,"DEFENSIV PERMIS",IF(O7&gt;=Under_LineCal_v9!M7,"PRUDENT/MODERAT PERMIS","SUB PRAG")))</x:f>
      </x:c>
      <x:c r="AA7" s="187" t="n">
        <x:f>IF(AND(V7="READY",OR(P7="DEFENSIV",P7="PRUDENT",P7="MODERAT",P7="RIDICAT")),1,0)</x:f>
        <x:v>0</x:v>
      </x:c>
      <x:c r="AB7" s="197" t="str">
        <x:f>IF(D7="","",D7)</x:f>
      </x:c>
      <x:c r="AC7" s="172"/>
      <x:c r="AD7" s="172"/>
      <x:c r="AE7" s="172"/>
      <x:c r="AF7" s="172"/>
    </x:row>
    <x:row r="8" ht="23" customHeight="1">
      <x:c r="A8" s="172"/>
      <x:c r="B8" s="172"/>
      <x:c r="C8" s="172"/>
      <x:c r="D8" s="172"/>
      <x:c r="E8" s="172"/>
      <x:c r="F8" s="172"/>
      <x:c r="G8" s="172"/>
      <x:c r="H8" s="172"/>
      <x:c r="I8" s="172"/>
      <x:c r="J8" s="172"/>
      <x:c r="K8" s="172"/>
      <x:c r="L8" s="172"/>
      <x:c r="M8" s="172"/>
      <x:c r="N8" s="172"/>
      <x:c r="O8" s="172"/>
      <x:c r="P8" s="172"/>
      <x:c r="Q8" s="172"/>
      <x:c r="R8" s="172"/>
      <x:c r="S8" s="172"/>
      <x:c r="T8" s="172"/>
      <x:c r="U8" s="172"/>
      <x:c r="V8" s="172"/>
      <x:c r="W8" s="172"/>
      <x:c r="X8" s="172"/>
      <x:c r="Y8" s="172"/>
      <x:c r="Z8" s="172"/>
      <x:c r="AA8" s="172"/>
      <x:c r="AB8" s="172"/>
      <x:c r="AC8" s="172"/>
      <x:c r="AD8" s="172"/>
      <x:c r="AE8" s="172"/>
      <x:c r="AF8" s="172"/>
    </x:row>
    <x:row r="9" ht="23" customHeight="1">
      <x:c r="A9" s="172"/>
      <x:c r="B9" s="172"/>
      <x:c r="C9" s="172"/>
      <x:c r="D9" s="172"/>
      <x:c r="E9" s="172"/>
      <x:c r="F9" s="172"/>
      <x:c r="G9" s="172"/>
      <x:c r="H9" s="172"/>
      <x:c r="I9" s="172"/>
      <x:c r="J9" s="172"/>
      <x:c r="K9" s="172"/>
      <x:c r="L9" s="172"/>
      <x:c r="M9" s="172"/>
      <x:c r="N9" s="172"/>
      <x:c r="O9" s="172"/>
      <x:c r="P9" s="172"/>
      <x:c r="Q9" s="172"/>
      <x:c r="R9" s="172"/>
      <x:c r="S9" s="172"/>
      <x:c r="T9" s="172"/>
      <x:c r="U9" s="172"/>
      <x:c r="V9" s="172"/>
      <x:c r="W9" s="172"/>
      <x:c r="X9" s="172"/>
      <x:c r="Y9" s="172"/>
      <x:c r="Z9" s="172"/>
      <x:c r="AA9" s="172"/>
      <x:c r="AB9" s="172"/>
      <x:c r="AC9" s="172"/>
      <x:c r="AD9" s="172"/>
      <x:c r="AE9" s="172"/>
      <x:c r="AF9" s="172"/>
    </x:row>
    <x:row r="10" ht="23" customHeight="1">
      <x:c r="A10" s="172" t="str">
        <x:v>Ordinea de decizie: Data Readiness → G0 → hard tail → Risk Level și surcharge → P ajustată → Confidence → verdict.</x:v>
      </x:c>
      <x:c r="B10" s="172"/>
      <x:c r="C10" s="172"/>
      <x:c r="D10" s="172"/>
      <x:c r="E10" s="172"/>
      <x:c r="F10" s="172"/>
      <x:c r="G10" s="172"/>
      <x:c r="H10" s="172"/>
      <x:c r="I10" s="172"/>
      <x:c r="J10" s="172"/>
      <x:c r="K10" s="172"/>
      <x:c r="L10" s="172"/>
      <x:c r="M10" s="172"/>
      <x:c r="N10" s="172"/>
      <x:c r="O10" s="172"/>
      <x:c r="P10" s="172"/>
      <x:c r="Q10" s="172"/>
      <x:c r="R10" s="172"/>
      <x:c r="S10" s="172"/>
      <x:c r="T10" s="172"/>
      <x:c r="U10" s="172"/>
      <x:c r="V10" s="172"/>
      <x:c r="W10" s="172"/>
      <x:c r="X10" s="172"/>
      <x:c r="Y10" s="172"/>
      <x:c r="Z10" s="172"/>
      <x:c r="AA10" s="172"/>
      <x:c r="AB10" s="172"/>
      <x:c r="AC10" s="172"/>
      <x:c r="AD10" s="172"/>
      <x:c r="AE10" s="172"/>
      <x:c r="AF10" s="172"/>
    </x:row>
    <x:row r="11" ht="23" customHeight="1">
      <x:c r="A11" s="172" t="str">
        <x:v>Empiricul celor 83 de meciuri este numai diagnostic istoric. Nu calibrează automat acest motor.</x:v>
      </x:c>
      <x:c r="B11" s="172"/>
      <x:c r="C11" s="172"/>
      <x:c r="D11" s="172"/>
      <x:c r="E11" s="172"/>
      <x:c r="F11" s="172"/>
      <x:c r="G11" s="172"/>
      <x:c r="H11" s="172"/>
      <x:c r="I11" s="172"/>
      <x:c r="J11" s="172"/>
      <x:c r="K11" s="172"/>
      <x:c r="L11" s="172"/>
      <x:c r="M11" s="172"/>
      <x:c r="N11" s="172"/>
      <x:c r="O11" s="172"/>
      <x:c r="P11" s="172"/>
      <x:c r="Q11" s="172"/>
      <x:c r="R11" s="172"/>
      <x:c r="S11" s="172"/>
      <x:c r="T11" s="172"/>
      <x:c r="U11" s="172"/>
      <x:c r="V11" s="172"/>
      <x:c r="W11" s="172"/>
      <x:c r="X11" s="172"/>
      <x:c r="Y11" s="172"/>
      <x:c r="Z11" s="172"/>
      <x:c r="AA11" s="172"/>
      <x:c r="AB11" s="172"/>
      <x:c r="AC11" s="172"/>
      <x:c r="AD11" s="172"/>
      <x:c r="AE11" s="172"/>
      <x:c r="AF11" s="172"/>
    </x:row>
    <x:row r="12" ht="23" customHeight="1">
      <x:c r="A12" s="172" t="str">
        <x:v>U3,5 și U5,5 rămân linii challenger. P5 ridicat poate propune U5,5 numai după propria evaluare a acestei linii.</x:v>
      </x:c>
      <x:c r="B12" s="172"/>
      <x:c r="C12" s="172"/>
      <x:c r="D12" s="172"/>
      <x:c r="E12" s="172"/>
      <x:c r="F12" s="172"/>
      <x:c r="G12" s="172"/>
      <x:c r="H12" s="172"/>
      <x:c r="I12" s="172"/>
      <x:c r="J12" s="172"/>
      <x:c r="K12" s="172"/>
      <x:c r="L12" s="172"/>
      <x:c r="M12" s="172"/>
      <x:c r="N12" s="172"/>
      <x:c r="O12" s="172"/>
      <x:c r="P12" s="172"/>
      <x:c r="Q12" s="172"/>
      <x:c r="R12" s="172"/>
      <x:c r="S12" s="172"/>
      <x:c r="T12" s="172"/>
      <x:c r="U12" s="172"/>
      <x:c r="V12" s="172"/>
      <x:c r="W12" s="172"/>
      <x:c r="X12" s="172"/>
      <x:c r="Y12" s="172"/>
      <x:c r="Z12" s="172"/>
      <x:c r="AA12" s="172"/>
      <x:c r="AB12" s="172"/>
      <x:c r="AC12" s="172"/>
      <x:c r="AD12" s="172"/>
      <x:c r="AE12" s="172"/>
      <x:c r="AF12" s="172"/>
    </x:row>
    <x:row r="13" ht="23" customHeight="1">
      <x:c r="A13" s="172"/>
      <x:c r="B13" s="172"/>
      <x:c r="C13" s="172"/>
      <x:c r="D13" s="172"/>
      <x:c r="E13" s="172"/>
      <x:c r="F13" s="172"/>
      <x:c r="G13" s="172"/>
      <x:c r="H13" s="172"/>
      <x:c r="I13" s="172"/>
      <x:c r="J13" s="172"/>
      <x:c r="K13" s="172"/>
      <x:c r="L13" s="172"/>
      <x:c r="M13" s="172"/>
      <x:c r="N13" s="172"/>
      <x:c r="O13" s="172"/>
      <x:c r="P13" s="172"/>
      <x:c r="Q13" s="172"/>
      <x:c r="R13" s="172"/>
      <x:c r="S13" s="172"/>
      <x:c r="T13" s="172"/>
      <x:c r="U13" s="172"/>
      <x:c r="V13" s="172"/>
      <x:c r="W13" s="172"/>
      <x:c r="X13" s="172"/>
      <x:c r="Y13" s="172"/>
      <x:c r="Z13" s="172"/>
      <x:c r="AA13" s="172"/>
      <x:c r="AB13" s="172"/>
      <x:c r="AC13" s="172"/>
      <x:c r="AD13" s="172"/>
      <x:c r="AE13" s="172"/>
      <x:c r="AF13" s="172"/>
    </x:row>
    <x:row r="14" ht="23" customHeight="1">
      <x:c r="A14" s="172"/>
      <x:c r="B14" s="172"/>
      <x:c r="C14" s="172"/>
      <x:c r="D14" s="172"/>
      <x:c r="E14" s="172"/>
      <x:c r="F14" s="172"/>
      <x:c r="G14" s="172"/>
      <x:c r="H14" s="172"/>
      <x:c r="I14" s="172"/>
      <x:c r="J14" s="172"/>
      <x:c r="K14" s="172"/>
      <x:c r="L14" s="172"/>
      <x:c r="M14" s="172"/>
      <x:c r="N14" s="172"/>
      <x:c r="O14" s="172"/>
      <x:c r="P14" s="172"/>
      <x:c r="Q14" s="172"/>
      <x:c r="R14" s="172"/>
      <x:c r="S14" s="172"/>
      <x:c r="T14" s="172"/>
      <x:c r="U14" s="172"/>
      <x:c r="V14" s="172"/>
      <x:c r="W14" s="172"/>
      <x:c r="X14" s="172"/>
      <x:c r="Y14" s="172"/>
      <x:c r="Z14" s="172"/>
      <x:c r="AA14" s="172"/>
      <x:c r="AB14" s="172"/>
      <x:c r="AC14" s="172"/>
      <x:c r="AD14" s="172"/>
      <x:c r="AE14" s="172"/>
      <x:c r="AF14" s="172"/>
    </x:row>
    <x:row r="15" ht="23" customHeight="1">
      <x:c r="A15" s="172"/>
      <x:c r="B15" s="172"/>
      <x:c r="C15" s="172"/>
      <x:c r="D15" s="172"/>
      <x:c r="E15" s="172"/>
      <x:c r="F15" s="172"/>
      <x:c r="G15" s="172"/>
      <x:c r="H15" s="172"/>
      <x:c r="I15" s="172"/>
      <x:c r="J15" s="172"/>
      <x:c r="K15" s="172"/>
      <x:c r="L15" s="172"/>
      <x:c r="M15" s="172"/>
      <x:c r="N15" s="172"/>
      <x:c r="O15" s="172"/>
      <x:c r="P15" s="172"/>
      <x:c r="Q15" s="172"/>
      <x:c r="R15" s="172"/>
      <x:c r="S15" s="172"/>
      <x:c r="T15" s="172"/>
      <x:c r="U15" s="172"/>
      <x:c r="V15" s="172"/>
      <x:c r="W15" s="172"/>
      <x:c r="X15" s="172"/>
      <x:c r="Y15" s="172"/>
      <x:c r="Z15" s="172"/>
      <x:c r="AA15" s="172"/>
      <x:c r="AB15" s="172"/>
      <x:c r="AC15" s="172"/>
      <x:c r="AD15" s="172"/>
      <x:c r="AE15" s="172"/>
      <x:c r="AF15" s="172"/>
    </x:row>
    <x:row r="16" ht="23" customHeight="1">
      <x:c r="A16" s="172"/>
      <x:c r="B16" s="172"/>
      <x:c r="C16" s="172"/>
      <x:c r="D16" s="172"/>
      <x:c r="E16" s="172"/>
      <x:c r="F16" s="172"/>
      <x:c r="G16" s="172"/>
      <x:c r="H16" s="172"/>
      <x:c r="I16" s="172"/>
      <x:c r="J16" s="172"/>
      <x:c r="K16" s="172"/>
      <x:c r="L16" s="172"/>
      <x:c r="M16" s="172"/>
      <x:c r="N16" s="172"/>
      <x:c r="O16" s="172"/>
      <x:c r="P16" s="172"/>
      <x:c r="Q16" s="172"/>
      <x:c r="R16" s="172"/>
      <x:c r="S16" s="172"/>
      <x:c r="T16" s="172"/>
      <x:c r="U16" s="172"/>
      <x:c r="V16" s="172"/>
      <x:c r="W16" s="172"/>
      <x:c r="X16" s="172"/>
      <x:c r="Y16" s="172"/>
      <x:c r="Z16" s="172"/>
      <x:c r="AA16" s="172"/>
      <x:c r="AB16" s="172"/>
      <x:c r="AC16" s="172"/>
      <x:c r="AD16" s="172"/>
      <x:c r="AE16" s="172"/>
      <x:c r="AF16" s="172"/>
    </x:row>
    <x:row r="17" ht="23" customHeight="1">
      <x:c r="A17" s="172"/>
      <x:c r="B17" s="172"/>
      <x:c r="C17" s="172"/>
      <x:c r="D17" s="172"/>
      <x:c r="E17" s="172"/>
      <x:c r="F17" s="172"/>
      <x:c r="G17" s="172"/>
      <x:c r="H17" s="172"/>
      <x:c r="I17" s="172"/>
      <x:c r="J17" s="172"/>
      <x:c r="K17" s="172"/>
      <x:c r="L17" s="172"/>
      <x:c r="M17" s="172"/>
      <x:c r="N17" s="172"/>
      <x:c r="O17" s="172"/>
      <x:c r="P17" s="172"/>
      <x:c r="Q17" s="172"/>
      <x:c r="R17" s="172"/>
      <x:c r="S17" s="172"/>
      <x:c r="T17" s="172"/>
      <x:c r="U17" s="172"/>
      <x:c r="V17" s="172"/>
      <x:c r="W17" s="172"/>
      <x:c r="X17" s="172"/>
      <x:c r="Y17" s="172"/>
      <x:c r="Z17" s="172"/>
      <x:c r="AA17" s="172"/>
      <x:c r="AB17" s="172"/>
      <x:c r="AC17" s="172"/>
      <x:c r="AD17" s="172"/>
      <x:c r="AE17" s="172"/>
      <x:c r="AF17" s="172"/>
    </x:row>
    <x:row r="18" ht="23" customHeight="1">
      <x:c r="A18" s="172"/>
      <x:c r="B18" s="172"/>
      <x:c r="C18" s="172"/>
      <x:c r="D18" s="172"/>
      <x:c r="E18" s="172"/>
      <x:c r="F18" s="172"/>
      <x:c r="G18" s="172"/>
      <x:c r="H18" s="172"/>
      <x:c r="I18" s="172"/>
      <x:c r="J18" s="172"/>
      <x:c r="K18" s="172"/>
      <x:c r="L18" s="172"/>
      <x:c r="M18" s="172"/>
      <x:c r="N18" s="172"/>
      <x:c r="O18" s="172"/>
      <x:c r="P18" s="172"/>
      <x:c r="Q18" s="172"/>
      <x:c r="R18" s="172"/>
      <x:c r="S18" s="172"/>
      <x:c r="T18" s="172"/>
      <x:c r="U18" s="172"/>
      <x:c r="V18" s="172"/>
      <x:c r="W18" s="172"/>
      <x:c r="X18" s="172"/>
      <x:c r="Y18" s="172"/>
      <x:c r="Z18" s="172"/>
      <x:c r="AA18" s="172"/>
      <x:c r="AB18" s="172"/>
      <x:c r="AC18" s="172"/>
      <x:c r="AD18" s="172"/>
      <x:c r="AE18" s="172"/>
      <x:c r="AF18" s="172"/>
    </x:row>
    <x:row r="19" ht="23" customHeight="1">
      <x:c r="A19" s="172"/>
      <x:c r="B19" s="172"/>
      <x:c r="C19" s="172"/>
      <x:c r="D19" s="172"/>
      <x:c r="E19" s="172"/>
      <x:c r="F19" s="172"/>
      <x:c r="G19" s="172"/>
      <x:c r="H19" s="172"/>
      <x:c r="I19" s="172"/>
      <x:c r="J19" s="172"/>
      <x:c r="K19" s="172"/>
      <x:c r="L19" s="172"/>
      <x:c r="M19" s="172"/>
      <x:c r="N19" s="172"/>
      <x:c r="O19" s="172"/>
      <x:c r="P19" s="172"/>
      <x:c r="Q19" s="172"/>
      <x:c r="R19" s="172"/>
      <x:c r="S19" s="172"/>
      <x:c r="T19" s="172"/>
      <x:c r="U19" s="172"/>
      <x:c r="V19" s="172"/>
      <x:c r="W19" s="172"/>
      <x:c r="X19" s="172"/>
      <x:c r="Y19" s="172"/>
      <x:c r="Z19" s="172"/>
      <x:c r="AA19" s="172"/>
      <x:c r="AB19" s="172"/>
      <x:c r="AC19" s="172"/>
      <x:c r="AD19" s="172"/>
      <x:c r="AE19" s="172"/>
      <x:c r="AF19" s="172"/>
    </x:row>
    <x:row r="20" ht="23" customHeight="1">
      <x:c r="A20" s="172"/>
      <x:c r="B20" s="172"/>
      <x:c r="C20" s="172"/>
      <x:c r="D20" s="172"/>
      <x:c r="E20" s="172"/>
      <x:c r="F20" s="172"/>
      <x:c r="G20" s="172"/>
      <x:c r="H20" s="172"/>
      <x:c r="I20" s="172"/>
      <x:c r="J20" s="172"/>
      <x:c r="K20" s="172"/>
      <x:c r="L20" s="172"/>
      <x:c r="M20" s="172"/>
      <x:c r="N20" s="172"/>
      <x:c r="O20" s="172"/>
      <x:c r="P20" s="172"/>
      <x:c r="Q20" s="172"/>
      <x:c r="R20" s="172"/>
      <x:c r="S20" s="172"/>
      <x:c r="T20" s="172"/>
      <x:c r="U20" s="172"/>
      <x:c r="V20" s="172"/>
      <x:c r="W20" s="172"/>
      <x:c r="X20" s="172"/>
      <x:c r="Y20" s="172"/>
      <x:c r="Z20" s="172"/>
      <x:c r="AA20" s="172"/>
      <x:c r="AB20" s="172"/>
      <x:c r="AC20" s="172"/>
      <x:c r="AD20" s="172"/>
      <x:c r="AE20" s="172"/>
      <x:c r="AF20" s="172"/>
    </x:row>
    <x:row r="21" ht="23" customHeight="1">
      <x:c r="A21" s="172"/>
      <x:c r="B21" s="172"/>
      <x:c r="C21" s="172"/>
      <x:c r="D21" s="172"/>
      <x:c r="E21" s="172"/>
      <x:c r="F21" s="172"/>
      <x:c r="G21" s="172"/>
      <x:c r="H21" s="172"/>
      <x:c r="I21" s="172"/>
      <x:c r="J21" s="172"/>
      <x:c r="K21" s="172"/>
      <x:c r="L21" s="172"/>
      <x:c r="M21" s="172"/>
      <x:c r="N21" s="172"/>
      <x:c r="O21" s="172"/>
      <x:c r="P21" s="172"/>
      <x:c r="Q21" s="172"/>
      <x:c r="R21" s="172"/>
      <x:c r="S21" s="172"/>
      <x:c r="T21" s="172"/>
      <x:c r="U21" s="172"/>
      <x:c r="V21" s="172"/>
      <x:c r="W21" s="172"/>
      <x:c r="X21" s="172"/>
      <x:c r="Y21" s="172"/>
      <x:c r="Z21" s="172"/>
      <x:c r="AA21" s="172"/>
      <x:c r="AB21" s="172"/>
      <x:c r="AC21" s="172"/>
      <x:c r="AD21" s="172"/>
      <x:c r="AE21" s="172"/>
      <x:c r="AF21" s="172"/>
    </x:row>
    <x:row r="22" ht="23" customHeight="1">
      <x:c r="A22" s="172"/>
      <x:c r="B22" s="172"/>
      <x:c r="C22" s="172"/>
      <x:c r="D22" s="172"/>
      <x:c r="E22" s="172"/>
      <x:c r="F22" s="172"/>
      <x:c r="G22" s="172"/>
      <x:c r="H22" s="172"/>
      <x:c r="I22" s="172"/>
      <x:c r="J22" s="172"/>
      <x:c r="K22" s="172"/>
      <x:c r="L22" s="172"/>
      <x:c r="M22" s="172"/>
      <x:c r="N22" s="172"/>
      <x:c r="O22" s="172"/>
      <x:c r="P22" s="172"/>
      <x:c r="Q22" s="172"/>
      <x:c r="R22" s="172"/>
      <x:c r="S22" s="172"/>
      <x:c r="T22" s="172"/>
      <x:c r="U22" s="172"/>
      <x:c r="V22" s="172"/>
      <x:c r="W22" s="172"/>
      <x:c r="X22" s="172"/>
      <x:c r="Y22" s="172"/>
      <x:c r="Z22" s="172"/>
      <x:c r="AA22" s="172"/>
      <x:c r="AB22" s="172"/>
      <x:c r="AC22" s="172"/>
      <x:c r="AD22" s="172"/>
      <x:c r="AE22" s="172"/>
      <x:c r="AF22" s="172"/>
    </x:row>
    <x:row r="23" ht="23" customHeight="1">
      <x:c r="A23" s="172"/>
      <x:c r="B23" s="172"/>
      <x:c r="C23" s="172"/>
      <x:c r="D23" s="172"/>
      <x:c r="E23" s="172"/>
      <x:c r="F23" s="172"/>
      <x:c r="G23" s="172"/>
      <x:c r="H23" s="172"/>
      <x:c r="I23" s="172"/>
      <x:c r="J23" s="172"/>
      <x:c r="K23" s="172"/>
      <x:c r="L23" s="172"/>
      <x:c r="M23" s="172"/>
      <x:c r="N23" s="172"/>
      <x:c r="O23" s="172"/>
      <x:c r="P23" s="172"/>
      <x:c r="Q23" s="172"/>
      <x:c r="R23" s="172"/>
      <x:c r="S23" s="172"/>
      <x:c r="T23" s="172"/>
      <x:c r="U23" s="172"/>
      <x:c r="V23" s="172"/>
      <x:c r="W23" s="172"/>
      <x:c r="X23" s="172"/>
      <x:c r="Y23" s="172"/>
      <x:c r="Z23" s="172"/>
      <x:c r="AA23" s="172"/>
      <x:c r="AB23" s="172"/>
      <x:c r="AC23" s="172"/>
      <x:c r="AD23" s="172"/>
      <x:c r="AE23" s="172"/>
      <x:c r="AF23" s="172"/>
    </x:row>
    <x:row r="24" ht="23" customHeight="1">
      <x:c r="A24" s="172"/>
      <x:c r="B24" s="172"/>
      <x:c r="C24" s="172"/>
      <x:c r="D24" s="172"/>
      <x:c r="E24" s="172"/>
      <x:c r="F24" s="172"/>
      <x:c r="G24" s="172"/>
      <x:c r="H24" s="172"/>
      <x:c r="I24" s="172"/>
      <x:c r="J24" s="172"/>
      <x:c r="K24" s="172"/>
      <x:c r="L24" s="172"/>
      <x:c r="M24" s="172"/>
      <x:c r="N24" s="172"/>
      <x:c r="O24" s="172"/>
      <x:c r="P24" s="172"/>
      <x:c r="Q24" s="172"/>
      <x:c r="R24" s="172"/>
      <x:c r="S24" s="172"/>
      <x:c r="T24" s="172"/>
      <x:c r="U24" s="172"/>
      <x:c r="V24" s="172"/>
      <x:c r="W24" s="172"/>
      <x:c r="X24" s="172"/>
      <x:c r="Y24" s="172"/>
      <x:c r="Z24" s="172"/>
      <x:c r="AA24" s="172"/>
      <x:c r="AB24" s="172"/>
      <x:c r="AC24" s="172"/>
      <x:c r="AD24" s="172"/>
      <x:c r="AE24" s="172"/>
      <x:c r="AF24" s="172"/>
    </x:row>
    <x:row r="25" ht="23" customHeight="1">
      <x:c r="A25" s="172"/>
      <x:c r="B25" s="172"/>
      <x:c r="C25" s="172"/>
      <x:c r="D25" s="172"/>
      <x:c r="E25" s="172"/>
      <x:c r="F25" s="172"/>
      <x:c r="G25" s="172"/>
      <x:c r="H25" s="172"/>
      <x:c r="I25" s="172"/>
      <x:c r="J25" s="172"/>
      <x:c r="K25" s="172"/>
      <x:c r="L25" s="172"/>
      <x:c r="M25" s="172"/>
      <x:c r="N25" s="172"/>
      <x:c r="O25" s="172"/>
      <x:c r="P25" s="172"/>
      <x:c r="Q25" s="172"/>
      <x:c r="R25" s="172"/>
      <x:c r="S25" s="172"/>
      <x:c r="T25" s="172"/>
      <x:c r="U25" s="172"/>
      <x:c r="V25" s="172"/>
      <x:c r="W25" s="172"/>
      <x:c r="X25" s="172"/>
      <x:c r="Y25" s="172"/>
      <x:c r="Z25" s="172"/>
      <x:c r="AA25" s="172"/>
      <x:c r="AB25" s="172"/>
      <x:c r="AC25" s="172"/>
      <x:c r="AD25" s="172"/>
      <x:c r="AE25" s="172"/>
      <x:c r="AF25" s="172"/>
    </x:row>
    <x:row r="26" ht="23" customHeight="1">
      <x:c r="A26" s="172"/>
      <x:c r="B26" s="172"/>
      <x:c r="C26" s="172"/>
      <x:c r="D26" s="172"/>
      <x:c r="E26" s="172"/>
      <x:c r="F26" s="172"/>
      <x:c r="G26" s="172"/>
      <x:c r="H26" s="172"/>
      <x:c r="I26" s="172"/>
      <x:c r="J26" s="172"/>
      <x:c r="K26" s="172"/>
      <x:c r="L26" s="172"/>
      <x:c r="M26" s="172"/>
      <x:c r="N26" s="172"/>
      <x:c r="O26" s="172"/>
      <x:c r="P26" s="172"/>
      <x:c r="Q26" s="172"/>
      <x:c r="R26" s="172"/>
      <x:c r="S26" s="172"/>
      <x:c r="T26" s="172"/>
      <x:c r="U26" s="172"/>
      <x:c r="V26" s="172"/>
      <x:c r="W26" s="172"/>
      <x:c r="X26" s="172"/>
      <x:c r="Y26" s="172"/>
      <x:c r="Z26" s="172"/>
      <x:c r="AA26" s="172"/>
      <x:c r="AB26" s="172"/>
      <x:c r="AC26" s="172"/>
      <x:c r="AD26" s="172"/>
      <x:c r="AE26" s="172"/>
      <x:c r="AF26" s="172"/>
    </x:row>
    <x:row r="27" ht="23" customHeight="1">
      <x:c r="A27" s="172"/>
      <x:c r="B27" s="172"/>
      <x:c r="C27" s="172"/>
      <x:c r="D27" s="172"/>
      <x:c r="E27" s="172"/>
      <x:c r="F27" s="172"/>
      <x:c r="G27" s="172"/>
      <x:c r="H27" s="172"/>
      <x:c r="I27" s="172"/>
      <x:c r="J27" s="172"/>
      <x:c r="K27" s="172"/>
      <x:c r="L27" s="172"/>
      <x:c r="M27" s="172"/>
      <x:c r="N27" s="172"/>
      <x:c r="O27" s="172"/>
      <x:c r="P27" s="172"/>
      <x:c r="Q27" s="172"/>
      <x:c r="R27" s="172"/>
      <x:c r="S27" s="172"/>
      <x:c r="T27" s="172"/>
      <x:c r="U27" s="172"/>
      <x:c r="V27" s="172"/>
      <x:c r="W27" s="172"/>
      <x:c r="X27" s="172"/>
      <x:c r="Y27" s="172"/>
      <x:c r="Z27" s="172"/>
      <x:c r="AA27" s="172"/>
      <x:c r="AB27" s="172"/>
      <x:c r="AC27" s="172"/>
      <x:c r="AD27" s="172"/>
      <x:c r="AE27" s="172"/>
      <x:c r="AF27" s="172"/>
    </x:row>
    <x:row r="28" ht="23" customHeight="1">
      <x:c r="A28" s="172"/>
      <x:c r="B28" s="172"/>
      <x:c r="C28" s="172"/>
      <x:c r="D28" s="172"/>
      <x:c r="E28" s="172"/>
      <x:c r="F28" s="172"/>
      <x:c r="G28" s="172"/>
      <x:c r="H28" s="172"/>
      <x:c r="I28" s="172"/>
      <x:c r="J28" s="172"/>
      <x:c r="K28" s="172"/>
      <x:c r="L28" s="172"/>
      <x:c r="M28" s="172"/>
      <x:c r="N28" s="172"/>
      <x:c r="O28" s="172"/>
      <x:c r="P28" s="172"/>
      <x:c r="Q28" s="172"/>
      <x:c r="R28" s="172"/>
      <x:c r="S28" s="172"/>
      <x:c r="T28" s="172"/>
      <x:c r="U28" s="172"/>
      <x:c r="V28" s="172"/>
      <x:c r="W28" s="172"/>
      <x:c r="X28" s="172"/>
      <x:c r="Y28" s="172"/>
      <x:c r="Z28" s="172"/>
      <x:c r="AA28" s="172"/>
      <x:c r="AB28" s="172"/>
      <x:c r="AC28" s="172"/>
      <x:c r="AD28" s="172"/>
      <x:c r="AE28" s="172"/>
      <x:c r="AF28" s="172"/>
    </x:row>
    <x:row r="29" ht="23" customHeight="1">
      <x:c r="A29" s="172"/>
      <x:c r="B29" s="172"/>
      <x:c r="C29" s="172"/>
      <x:c r="D29" s="172"/>
      <x:c r="E29" s="172"/>
      <x:c r="F29" s="172"/>
      <x:c r="G29" s="172"/>
      <x:c r="H29" s="172"/>
      <x:c r="I29" s="172"/>
      <x:c r="J29" s="172"/>
      <x:c r="K29" s="172"/>
      <x:c r="L29" s="172"/>
      <x:c r="M29" s="172"/>
      <x:c r="N29" s="172"/>
      <x:c r="O29" s="172"/>
      <x:c r="P29" s="172"/>
      <x:c r="Q29" s="172"/>
      <x:c r="R29" s="172"/>
      <x:c r="S29" s="172"/>
      <x:c r="T29" s="172"/>
      <x:c r="U29" s="172"/>
      <x:c r="V29" s="172"/>
      <x:c r="W29" s="172"/>
      <x:c r="X29" s="172"/>
      <x:c r="Y29" s="172"/>
      <x:c r="Z29" s="172"/>
      <x:c r="AA29" s="172"/>
      <x:c r="AB29" s="172"/>
      <x:c r="AC29" s="172"/>
      <x:c r="AD29" s="172"/>
      <x:c r="AE29" s="172"/>
      <x:c r="AF29" s="172"/>
    </x:row>
    <x:row r="30" ht="23" customHeight="1">
      <x:c r="A30" s="172"/>
      <x:c r="B30" s="172"/>
      <x:c r="C30" s="172"/>
      <x:c r="D30" s="172"/>
      <x:c r="E30" s="172"/>
      <x:c r="F30" s="172"/>
      <x:c r="G30" s="172"/>
      <x:c r="H30" s="172"/>
      <x:c r="I30" s="172"/>
      <x:c r="J30" s="172"/>
      <x:c r="K30" s="172"/>
      <x:c r="L30" s="172"/>
      <x:c r="M30" s="172"/>
      <x:c r="N30" s="172"/>
      <x:c r="O30" s="172"/>
      <x:c r="P30" s="172"/>
      <x:c r="Q30" s="172"/>
      <x:c r="R30" s="172"/>
      <x:c r="S30" s="172"/>
      <x:c r="T30" s="172"/>
      <x:c r="U30" s="172"/>
      <x:c r="V30" s="172"/>
      <x:c r="W30" s="172"/>
      <x:c r="X30" s="172"/>
      <x:c r="Y30" s="172"/>
      <x:c r="Z30" s="172"/>
      <x:c r="AA30" s="172"/>
      <x:c r="AB30" s="172"/>
      <x:c r="AC30" s="172"/>
      <x:c r="AD30" s="172"/>
      <x:c r="AE30" s="172"/>
      <x:c r="AF30" s="172"/>
    </x:row>
    <x:row r="31" ht="23" customHeight="1">
      <x:c r="A31" s="172"/>
      <x:c r="B31" s="172"/>
      <x:c r="C31" s="172"/>
      <x:c r="D31" s="172"/>
      <x:c r="E31" s="172"/>
      <x:c r="F31" s="172"/>
      <x:c r="G31" s="172"/>
      <x:c r="H31" s="172"/>
      <x:c r="I31" s="172"/>
      <x:c r="J31" s="172"/>
      <x:c r="K31" s="172"/>
      <x:c r="L31" s="172"/>
      <x:c r="M31" s="172"/>
      <x:c r="N31" s="172"/>
      <x:c r="O31" s="172"/>
      <x:c r="P31" s="172"/>
      <x:c r="Q31" s="172"/>
      <x:c r="R31" s="172"/>
      <x:c r="S31" s="172"/>
      <x:c r="T31" s="172"/>
      <x:c r="U31" s="172"/>
      <x:c r="V31" s="172"/>
      <x:c r="W31" s="172"/>
      <x:c r="X31" s="172"/>
      <x:c r="Y31" s="172"/>
      <x:c r="Z31" s="172"/>
      <x:c r="AA31" s="172"/>
      <x:c r="AB31" s="172"/>
      <x:c r="AC31" s="172"/>
      <x:c r="AD31" s="172"/>
      <x:c r="AE31" s="172"/>
      <x:c r="AF31" s="172"/>
    </x:row>
    <x:row r="32" ht="23" customHeight="1">
      <x:c r="A32" s="172"/>
      <x:c r="B32" s="172"/>
      <x:c r="C32" s="172"/>
      <x:c r="D32" s="172"/>
      <x:c r="E32" s="172"/>
      <x:c r="F32" s="172"/>
      <x:c r="G32" s="172"/>
      <x:c r="H32" s="172"/>
      <x:c r="I32" s="172"/>
      <x:c r="J32" s="172"/>
      <x:c r="K32" s="172"/>
      <x:c r="L32" s="172"/>
      <x:c r="M32" s="172"/>
      <x:c r="N32" s="172"/>
      <x:c r="O32" s="172"/>
      <x:c r="P32" s="172"/>
      <x:c r="Q32" s="172"/>
      <x:c r="R32" s="172"/>
      <x:c r="S32" s="172"/>
      <x:c r="T32" s="172"/>
      <x:c r="U32" s="172"/>
      <x:c r="V32" s="172"/>
      <x:c r="W32" s="172"/>
      <x:c r="X32" s="172"/>
      <x:c r="Y32" s="172"/>
      <x:c r="Z32" s="172"/>
      <x:c r="AA32" s="172"/>
      <x:c r="AB32" s="172"/>
      <x:c r="AC32" s="172"/>
      <x:c r="AD32" s="172"/>
      <x:c r="AE32" s="172"/>
      <x:c r="AF32" s="172"/>
    </x:row>
    <x:row r="33" ht="23" customHeight="1">
      <x:c r="A33" s="172"/>
      <x:c r="B33" s="172"/>
      <x:c r="C33" s="172"/>
      <x:c r="D33" s="172"/>
      <x:c r="E33" s="172"/>
      <x:c r="F33" s="172"/>
      <x:c r="G33" s="172"/>
      <x:c r="H33" s="172"/>
      <x:c r="I33" s="172"/>
      <x:c r="J33" s="172"/>
      <x:c r="K33" s="172"/>
      <x:c r="L33" s="172"/>
      <x:c r="M33" s="172"/>
      <x:c r="N33" s="172"/>
      <x:c r="O33" s="172"/>
      <x:c r="P33" s="172"/>
      <x:c r="Q33" s="172"/>
      <x:c r="R33" s="172"/>
      <x:c r="S33" s="172"/>
      <x:c r="T33" s="172"/>
      <x:c r="U33" s="172"/>
      <x:c r="V33" s="172"/>
      <x:c r="W33" s="172"/>
      <x:c r="X33" s="172"/>
      <x:c r="Y33" s="172"/>
      <x:c r="Z33" s="172"/>
      <x:c r="AA33" s="172"/>
      <x:c r="AB33" s="172"/>
      <x:c r="AC33" s="172"/>
      <x:c r="AD33" s="172"/>
      <x:c r="AE33" s="172"/>
      <x:c r="AF33" s="172"/>
    </x:row>
    <x:row r="34" ht="23" customHeight="1">
      <x:c r="A34" s="172"/>
      <x:c r="B34" s="172"/>
      <x:c r="C34" s="172"/>
      <x:c r="D34" s="172"/>
      <x:c r="E34" s="172"/>
      <x:c r="F34" s="172"/>
      <x:c r="G34" s="172"/>
      <x:c r="H34" s="172"/>
      <x:c r="I34" s="172"/>
      <x:c r="J34" s="172"/>
      <x:c r="K34" s="172"/>
      <x:c r="L34" s="172"/>
      <x:c r="M34" s="172"/>
      <x:c r="N34" s="172"/>
      <x:c r="O34" s="172"/>
      <x:c r="P34" s="172"/>
      <x:c r="Q34" s="172"/>
      <x:c r="R34" s="172"/>
      <x:c r="S34" s="172"/>
      <x:c r="T34" s="172"/>
      <x:c r="U34" s="172"/>
      <x:c r="V34" s="172"/>
      <x:c r="W34" s="172"/>
      <x:c r="X34" s="172"/>
      <x:c r="Y34" s="172"/>
      <x:c r="Z34" s="172"/>
      <x:c r="AA34" s="172"/>
      <x:c r="AB34" s="172"/>
      <x:c r="AC34" s="172"/>
      <x:c r="AD34" s="172"/>
      <x:c r="AE34" s="172"/>
      <x:c r="AF34" s="172"/>
    </x:row>
    <x:row r="35" ht="23" customHeight="1">
      <x:c r="A35" s="172"/>
      <x:c r="B35" s="172"/>
      <x:c r="C35" s="172"/>
      <x:c r="D35" s="172"/>
      <x:c r="E35" s="172"/>
      <x:c r="F35" s="172"/>
      <x:c r="G35" s="172"/>
      <x:c r="H35" s="172"/>
      <x:c r="I35" s="172"/>
      <x:c r="J35" s="172"/>
      <x:c r="K35" s="172"/>
      <x:c r="L35" s="172"/>
      <x:c r="M35" s="172"/>
      <x:c r="N35" s="172"/>
      <x:c r="O35" s="172"/>
      <x:c r="P35" s="172"/>
      <x:c r="Q35" s="172"/>
      <x:c r="R35" s="172"/>
      <x:c r="S35" s="172"/>
      <x:c r="T35" s="172"/>
      <x:c r="U35" s="172"/>
      <x:c r="V35" s="172"/>
      <x:c r="W35" s="172"/>
      <x:c r="X35" s="172"/>
      <x:c r="Y35" s="172"/>
      <x:c r="Z35" s="172"/>
      <x:c r="AA35" s="172"/>
      <x:c r="AB35" s="172"/>
      <x:c r="AC35" s="172"/>
      <x:c r="AD35" s="172"/>
      <x:c r="AE35" s="172"/>
      <x:c r="AF35" s="172"/>
    </x:row>
    <x:row r="36" ht="23" customHeight="1">
      <x:c r="A36" s="172"/>
      <x:c r="B36" s="172"/>
      <x:c r="C36" s="172"/>
      <x:c r="D36" s="172"/>
      <x:c r="E36" s="172"/>
      <x:c r="F36" s="172"/>
      <x:c r="G36" s="172"/>
      <x:c r="H36" s="172"/>
      <x:c r="I36" s="172"/>
      <x:c r="J36" s="172"/>
      <x:c r="K36" s="172"/>
      <x:c r="L36" s="172"/>
      <x:c r="M36" s="172"/>
      <x:c r="N36" s="172"/>
      <x:c r="O36" s="172"/>
      <x:c r="P36" s="172"/>
      <x:c r="Q36" s="172"/>
      <x:c r="R36" s="172"/>
      <x:c r="S36" s="172"/>
      <x:c r="T36" s="172"/>
      <x:c r="U36" s="172"/>
      <x:c r="V36" s="172"/>
      <x:c r="W36" s="172"/>
      <x:c r="X36" s="172"/>
      <x:c r="Y36" s="172"/>
      <x:c r="Z36" s="172"/>
      <x:c r="AA36" s="172"/>
      <x:c r="AB36" s="172"/>
      <x:c r="AC36" s="172"/>
      <x:c r="AD36" s="172"/>
      <x:c r="AE36" s="172"/>
      <x:c r="AF36" s="172"/>
    </x:row>
    <x:row r="37" ht="23" customHeight="1">
      <x:c r="A37" s="172"/>
      <x:c r="B37" s="172"/>
      <x:c r="C37" s="172"/>
      <x:c r="D37" s="172"/>
      <x:c r="E37" s="172"/>
      <x:c r="F37" s="172"/>
      <x:c r="G37" s="172"/>
      <x:c r="H37" s="172"/>
      <x:c r="I37" s="172"/>
      <x:c r="J37" s="172"/>
      <x:c r="K37" s="172"/>
      <x:c r="L37" s="172"/>
      <x:c r="M37" s="172"/>
      <x:c r="N37" s="172"/>
      <x:c r="O37" s="172"/>
      <x:c r="P37" s="172"/>
      <x:c r="Q37" s="172"/>
      <x:c r="R37" s="172"/>
      <x:c r="S37" s="172"/>
      <x:c r="T37" s="172"/>
      <x:c r="U37" s="172"/>
      <x:c r="V37" s="172"/>
      <x:c r="W37" s="172"/>
      <x:c r="X37" s="172"/>
      <x:c r="Y37" s="172"/>
      <x:c r="Z37" s="172"/>
      <x:c r="AA37" s="172"/>
      <x:c r="AB37" s="172"/>
      <x:c r="AC37" s="172"/>
      <x:c r="AD37" s="172"/>
      <x:c r="AE37" s="172"/>
      <x:c r="AF37" s="172"/>
    </x:row>
    <x:row r="38" ht="23" customHeight="1">
      <x:c r="A38" s="172"/>
      <x:c r="B38" s="172"/>
      <x:c r="C38" s="172"/>
      <x:c r="D38" s="172"/>
      <x:c r="E38" s="172"/>
      <x:c r="F38" s="172"/>
      <x:c r="G38" s="172"/>
      <x:c r="H38" s="172"/>
      <x:c r="I38" s="172"/>
      <x:c r="J38" s="172"/>
      <x:c r="K38" s="172"/>
      <x:c r="L38" s="172"/>
      <x:c r="M38" s="172"/>
      <x:c r="N38" s="172"/>
      <x:c r="O38" s="172"/>
      <x:c r="P38" s="172"/>
      <x:c r="Q38" s="172"/>
      <x:c r="R38" s="172"/>
      <x:c r="S38" s="172"/>
      <x:c r="T38" s="172"/>
      <x:c r="U38" s="172"/>
      <x:c r="V38" s="172"/>
      <x:c r="W38" s="172"/>
      <x:c r="X38" s="172"/>
      <x:c r="Y38" s="172"/>
      <x:c r="Z38" s="172"/>
      <x:c r="AA38" s="172"/>
      <x:c r="AB38" s="172"/>
      <x:c r="AC38" s="172"/>
      <x:c r="AD38" s="172"/>
      <x:c r="AE38" s="172"/>
      <x:c r="AF38" s="172"/>
    </x:row>
    <x:row r="39" ht="23" customHeight="1">
      <x:c r="A39" s="172"/>
      <x:c r="B39" s="172"/>
      <x:c r="C39" s="172"/>
      <x:c r="D39" s="172"/>
      <x:c r="E39" s="172"/>
      <x:c r="F39" s="172"/>
      <x:c r="G39" s="172"/>
      <x:c r="H39" s="172"/>
      <x:c r="I39" s="172"/>
      <x:c r="J39" s="172"/>
      <x:c r="K39" s="172"/>
      <x:c r="L39" s="172"/>
      <x:c r="M39" s="172"/>
      <x:c r="N39" s="172"/>
      <x:c r="O39" s="172"/>
      <x:c r="P39" s="172"/>
      <x:c r="Q39" s="172"/>
      <x:c r="R39" s="172"/>
      <x:c r="S39" s="172"/>
      <x:c r="T39" s="172"/>
      <x:c r="U39" s="172"/>
      <x:c r="V39" s="172"/>
      <x:c r="W39" s="172"/>
      <x:c r="X39" s="172"/>
      <x:c r="Y39" s="172"/>
      <x:c r="Z39" s="172"/>
      <x:c r="AA39" s="172"/>
      <x:c r="AB39" s="172"/>
      <x:c r="AC39" s="172"/>
      <x:c r="AD39" s="172"/>
      <x:c r="AE39" s="172"/>
      <x:c r="AF39" s="172"/>
    </x:row>
    <x:row r="40" ht="23" customHeight="1">
      <x:c r="A40" s="172"/>
      <x:c r="B40" s="172"/>
      <x:c r="C40" s="172"/>
      <x:c r="D40" s="172"/>
      <x:c r="E40" s="172"/>
      <x:c r="F40" s="172"/>
      <x:c r="G40" s="172"/>
      <x:c r="H40" s="172"/>
      <x:c r="I40" s="172"/>
      <x:c r="J40" s="172"/>
      <x:c r="K40" s="172"/>
      <x:c r="L40" s="172"/>
      <x:c r="M40" s="172"/>
      <x:c r="N40" s="172"/>
      <x:c r="O40" s="172"/>
      <x:c r="P40" s="172"/>
      <x:c r="Q40" s="172"/>
      <x:c r="R40" s="172"/>
      <x:c r="S40" s="172"/>
      <x:c r="T40" s="172"/>
      <x:c r="U40" s="172"/>
      <x:c r="V40" s="172"/>
      <x:c r="W40" s="172"/>
      <x:c r="X40" s="172"/>
      <x:c r="Y40" s="172"/>
      <x:c r="Z40" s="172"/>
      <x:c r="AA40" s="172"/>
      <x:c r="AB40" s="172"/>
      <x:c r="AC40" s="172"/>
      <x:c r="AD40" s="172"/>
      <x:c r="AE40" s="172"/>
      <x:c r="AF40" s="172"/>
    </x:row>
    <x:row r="41" ht="23" customHeight="1">
      <x:c r="A41" s="172"/>
      <x:c r="B41" s="172"/>
      <x:c r="C41" s="172"/>
      <x:c r="D41" s="172"/>
      <x:c r="E41" s="172"/>
      <x:c r="F41" s="172"/>
      <x:c r="G41" s="172"/>
      <x:c r="H41" s="172"/>
      <x:c r="I41" s="172"/>
      <x:c r="J41" s="172"/>
      <x:c r="K41" s="172"/>
      <x:c r="L41" s="172"/>
      <x:c r="M41" s="172"/>
      <x:c r="N41" s="172"/>
      <x:c r="O41" s="172"/>
      <x:c r="P41" s="172"/>
      <x:c r="Q41" s="172"/>
      <x:c r="R41" s="172"/>
      <x:c r="S41" s="172"/>
      <x:c r="T41" s="172"/>
      <x:c r="U41" s="172"/>
      <x:c r="V41" s="172"/>
      <x:c r="W41" s="172"/>
      <x:c r="X41" s="172"/>
      <x:c r="Y41" s="172"/>
      <x:c r="Z41" s="172"/>
      <x:c r="AA41" s="172"/>
      <x:c r="AB41" s="172"/>
      <x:c r="AC41" s="172"/>
      <x:c r="AD41" s="172"/>
      <x:c r="AE41" s="172"/>
      <x:c r="AF41" s="172"/>
    </x:row>
    <x:row r="42" ht="23" customHeight="1">
      <x:c r="A42" s="172"/>
      <x:c r="B42" s="172"/>
      <x:c r="C42" s="172"/>
      <x:c r="D42" s="172"/>
      <x:c r="E42" s="172"/>
      <x:c r="F42" s="172"/>
      <x:c r="G42" s="172"/>
      <x:c r="H42" s="172"/>
      <x:c r="I42" s="172"/>
      <x:c r="J42" s="172"/>
      <x:c r="K42" s="172"/>
      <x:c r="L42" s="172"/>
      <x:c r="M42" s="172"/>
      <x:c r="N42" s="172"/>
      <x:c r="O42" s="172"/>
      <x:c r="P42" s="172"/>
      <x:c r="Q42" s="172"/>
      <x:c r="R42" s="172"/>
      <x:c r="S42" s="172"/>
      <x:c r="T42" s="172"/>
      <x:c r="U42" s="172"/>
      <x:c r="V42" s="172"/>
      <x:c r="W42" s="172"/>
      <x:c r="X42" s="172"/>
      <x:c r="Y42" s="172"/>
      <x:c r="Z42" s="172"/>
      <x:c r="AA42" s="172"/>
      <x:c r="AB42" s="172"/>
      <x:c r="AC42" s="172"/>
      <x:c r="AD42" s="172"/>
      <x:c r="AE42" s="172"/>
      <x:c r="AF42" s="172"/>
    </x:row>
    <x:row r="43" ht="23" customHeight="1">
      <x:c r="A43" s="172"/>
      <x:c r="B43" s="172"/>
      <x:c r="C43" s="172"/>
      <x:c r="D43" s="172"/>
      <x:c r="E43" s="172"/>
      <x:c r="F43" s="172"/>
      <x:c r="G43" s="172"/>
      <x:c r="H43" s="172"/>
      <x:c r="I43" s="172"/>
      <x:c r="J43" s="172"/>
      <x:c r="K43" s="172"/>
      <x:c r="L43" s="172"/>
      <x:c r="M43" s="172"/>
      <x:c r="N43" s="172"/>
      <x:c r="O43" s="172"/>
      <x:c r="P43" s="172"/>
      <x:c r="Q43" s="172"/>
      <x:c r="R43" s="172"/>
      <x:c r="S43" s="172"/>
      <x:c r="T43" s="172"/>
      <x:c r="U43" s="172"/>
      <x:c r="V43" s="172"/>
      <x:c r="W43" s="172"/>
      <x:c r="X43" s="172"/>
      <x:c r="Y43" s="172"/>
      <x:c r="Z43" s="172"/>
      <x:c r="AA43" s="172"/>
      <x:c r="AB43" s="172"/>
      <x:c r="AC43" s="172"/>
      <x:c r="AD43" s="172"/>
      <x:c r="AE43" s="172"/>
      <x:c r="AF43" s="172"/>
    </x:row>
    <x:row r="44" ht="23" customHeight="1">
      <x:c r="A44" s="172"/>
      <x:c r="B44" s="172"/>
      <x:c r="C44" s="172"/>
      <x:c r="D44" s="172"/>
      <x:c r="E44" s="172"/>
      <x:c r="F44" s="172"/>
      <x:c r="G44" s="172"/>
      <x:c r="H44" s="172"/>
      <x:c r="I44" s="172"/>
      <x:c r="J44" s="172"/>
      <x:c r="K44" s="172"/>
      <x:c r="L44" s="172"/>
      <x:c r="M44" s="172"/>
      <x:c r="N44" s="172"/>
      <x:c r="O44" s="172"/>
      <x:c r="P44" s="172"/>
      <x:c r="Q44" s="172"/>
      <x:c r="R44" s="172"/>
      <x:c r="S44" s="172"/>
      <x:c r="T44" s="172"/>
      <x:c r="U44" s="172"/>
      <x:c r="V44" s="172"/>
      <x:c r="W44" s="172"/>
      <x:c r="X44" s="172"/>
      <x:c r="Y44" s="172"/>
      <x:c r="Z44" s="172"/>
      <x:c r="AA44" s="172"/>
      <x:c r="AB44" s="172"/>
      <x:c r="AC44" s="172"/>
      <x:c r="AD44" s="172"/>
      <x:c r="AE44" s="172"/>
      <x:c r="AF44" s="172"/>
    </x:row>
    <x:row r="45" ht="23" customHeight="1">
      <x:c r="A45" s="172"/>
      <x:c r="B45" s="172"/>
      <x:c r="C45" s="172"/>
      <x:c r="D45" s="172"/>
      <x:c r="E45" s="172"/>
      <x:c r="F45" s="172"/>
      <x:c r="G45" s="172"/>
      <x:c r="H45" s="172"/>
      <x:c r="I45" s="172"/>
      <x:c r="J45" s="172"/>
      <x:c r="K45" s="172"/>
      <x:c r="L45" s="172"/>
      <x:c r="M45" s="172"/>
      <x:c r="N45" s="172"/>
      <x:c r="O45" s="172"/>
      <x:c r="P45" s="172"/>
      <x:c r="Q45" s="172"/>
      <x:c r="R45" s="172"/>
      <x:c r="S45" s="172"/>
      <x:c r="T45" s="172"/>
      <x:c r="U45" s="172"/>
      <x:c r="V45" s="172"/>
      <x:c r="W45" s="172"/>
      <x:c r="X45" s="172"/>
      <x:c r="Y45" s="172"/>
      <x:c r="Z45" s="172"/>
      <x:c r="AA45" s="172"/>
      <x:c r="AB45" s="172"/>
      <x:c r="AC45" s="172"/>
      <x:c r="AD45" s="172"/>
      <x:c r="AE45" s="172"/>
      <x:c r="AF45" s="172"/>
    </x:row>
    <x:row r="46" ht="23" customHeight="1">
      <x:c r="A46" s="172"/>
      <x:c r="B46" s="172"/>
      <x:c r="C46" s="172"/>
      <x:c r="D46" s="172"/>
      <x:c r="E46" s="172"/>
      <x:c r="F46" s="172"/>
      <x:c r="G46" s="172"/>
      <x:c r="H46" s="172"/>
      <x:c r="I46" s="172"/>
      <x:c r="J46" s="172"/>
      <x:c r="K46" s="172"/>
      <x:c r="L46" s="172"/>
      <x:c r="M46" s="172"/>
      <x:c r="N46" s="172"/>
      <x:c r="O46" s="172"/>
      <x:c r="P46" s="172"/>
      <x:c r="Q46" s="172"/>
      <x:c r="R46" s="172"/>
      <x:c r="S46" s="172"/>
      <x:c r="T46" s="172"/>
      <x:c r="U46" s="172"/>
      <x:c r="V46" s="172"/>
      <x:c r="W46" s="172"/>
      <x:c r="X46" s="172"/>
      <x:c r="Y46" s="172"/>
      <x:c r="Z46" s="172"/>
      <x:c r="AA46" s="172"/>
      <x:c r="AB46" s="172"/>
      <x:c r="AC46" s="172"/>
      <x:c r="AD46" s="172"/>
      <x:c r="AE46" s="172"/>
      <x:c r="AF46" s="172"/>
    </x:row>
    <x:row r="47" ht="23" customHeight="1">
      <x:c r="A47" s="172"/>
      <x:c r="B47" s="172"/>
      <x:c r="C47" s="172"/>
      <x:c r="D47" s="172"/>
      <x:c r="E47" s="172"/>
      <x:c r="F47" s="172"/>
      <x:c r="G47" s="172"/>
      <x:c r="H47" s="172"/>
      <x:c r="I47" s="172"/>
      <x:c r="J47" s="172"/>
      <x:c r="K47" s="172"/>
      <x:c r="L47" s="172"/>
      <x:c r="M47" s="172"/>
      <x:c r="N47" s="172"/>
      <x:c r="O47" s="172"/>
      <x:c r="P47" s="172"/>
      <x:c r="Q47" s="172"/>
      <x:c r="R47" s="172"/>
      <x:c r="S47" s="172"/>
      <x:c r="T47" s="172"/>
      <x:c r="U47" s="172"/>
      <x:c r="V47" s="172"/>
      <x:c r="W47" s="172"/>
      <x:c r="X47" s="172"/>
      <x:c r="Y47" s="172"/>
      <x:c r="Z47" s="172"/>
      <x:c r="AA47" s="172"/>
      <x:c r="AB47" s="172"/>
      <x:c r="AC47" s="172"/>
      <x:c r="AD47" s="172"/>
      <x:c r="AE47" s="172"/>
      <x:c r="AF47" s="172"/>
    </x:row>
    <x:row r="48" ht="23" customHeight="1">
      <x:c r="A48" s="172"/>
      <x:c r="B48" s="172"/>
      <x:c r="C48" s="172"/>
      <x:c r="D48" s="172"/>
      <x:c r="E48" s="172"/>
      <x:c r="F48" s="172"/>
      <x:c r="G48" s="172"/>
      <x:c r="H48" s="172"/>
      <x:c r="I48" s="172"/>
      <x:c r="J48" s="172"/>
      <x:c r="K48" s="172"/>
      <x:c r="L48" s="172"/>
      <x:c r="M48" s="172"/>
      <x:c r="N48" s="172"/>
      <x:c r="O48" s="172"/>
      <x:c r="P48" s="172"/>
      <x:c r="Q48" s="172"/>
      <x:c r="R48" s="172"/>
      <x:c r="S48" s="172"/>
      <x:c r="T48" s="172"/>
      <x:c r="U48" s="172"/>
      <x:c r="V48" s="172"/>
      <x:c r="W48" s="172"/>
      <x:c r="X48" s="172"/>
      <x:c r="Y48" s="172"/>
      <x:c r="Z48" s="172"/>
      <x:c r="AA48" s="172"/>
      <x:c r="AB48" s="172"/>
      <x:c r="AC48" s="172"/>
      <x:c r="AD48" s="172"/>
      <x:c r="AE48" s="172"/>
      <x:c r="AF48" s="172"/>
    </x:row>
    <x:row r="49" ht="23" customHeight="1">
      <x:c r="A49" s="172"/>
      <x:c r="B49" s="172"/>
      <x:c r="C49" s="172"/>
      <x:c r="D49" s="172"/>
      <x:c r="E49" s="172"/>
      <x:c r="F49" s="172"/>
      <x:c r="G49" s="172"/>
      <x:c r="H49" s="172"/>
      <x:c r="I49" s="172"/>
      <x:c r="J49" s="172"/>
      <x:c r="K49" s="172"/>
      <x:c r="L49" s="172"/>
      <x:c r="M49" s="172"/>
      <x:c r="N49" s="172"/>
      <x:c r="O49" s="172"/>
      <x:c r="P49" s="172"/>
      <x:c r="Q49" s="172"/>
      <x:c r="R49" s="172"/>
      <x:c r="S49" s="172"/>
      <x:c r="T49" s="172"/>
      <x:c r="U49" s="172"/>
      <x:c r="V49" s="172"/>
      <x:c r="W49" s="172"/>
      <x:c r="X49" s="172"/>
      <x:c r="Y49" s="172"/>
      <x:c r="Z49" s="172"/>
      <x:c r="AA49" s="172"/>
      <x:c r="AB49" s="172"/>
      <x:c r="AC49" s="172"/>
      <x:c r="AD49" s="172"/>
      <x:c r="AE49" s="172"/>
      <x:c r="AF49" s="172"/>
    </x:row>
    <x:row r="50" ht="23" customHeight="1">
      <x:c r="A50" s="172"/>
      <x:c r="B50" s="172"/>
      <x:c r="C50" s="172"/>
      <x:c r="D50" s="172"/>
      <x:c r="E50" s="172"/>
      <x:c r="F50" s="172"/>
      <x:c r="G50" s="172"/>
      <x:c r="H50" s="172"/>
      <x:c r="I50" s="172"/>
      <x:c r="J50" s="172"/>
      <x:c r="K50" s="172"/>
      <x:c r="L50" s="172"/>
      <x:c r="M50" s="172"/>
      <x:c r="N50" s="172"/>
      <x:c r="O50" s="172"/>
      <x:c r="P50" s="172"/>
      <x:c r="Q50" s="172"/>
      <x:c r="R50" s="172"/>
      <x:c r="S50" s="172"/>
      <x:c r="T50" s="172"/>
      <x:c r="U50" s="172"/>
      <x:c r="V50" s="172"/>
      <x:c r="W50" s="172"/>
      <x:c r="X50" s="172"/>
      <x:c r="Y50" s="172"/>
      <x:c r="Z50" s="172"/>
      <x:c r="AA50" s="172"/>
      <x:c r="AB50" s="172"/>
      <x:c r="AC50" s="172"/>
      <x:c r="AD50" s="172"/>
      <x:c r="AE50" s="172"/>
      <x:c r="AF50" s="172"/>
    </x:row>
  </x:sheetData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4" hidden="0" customWidth="1"/>
    <x:col min="2" max="2" width="30" hidden="0" customWidth="1"/>
    <x:col min="3" max="3" width="30" hidden="0" customWidth="1"/>
    <x:col min="4" max="4" width="30" hidden="0" customWidth="1"/>
    <x:col min="5" max="5" width="30" hidden="0" customWidth="1"/>
    <x:col min="6" max="6" width="30" hidden="0" customWidth="1"/>
    <x:col min="7" max="7" width="30" hidden="0" customWidth="1"/>
    <x:col min="8" max="8" width="30" hidden="0" customWidth="1"/>
  </x:cols>
  <x:sheetData>
    <x:row r="1" ht="24" customHeight="1">
      <x:c r="A1" s="165" t="str">
        <x:v>ISTORICUL MODIFICĂRILOR – V2 TEHNIC / METODOLOGIE v11</x:v>
      </x:c>
      <x:c r="B1" s="165"/>
      <x:c r="C1" s="165"/>
      <x:c r="D1" s="165"/>
      <x:c r="E1" s="165"/>
      <x:c r="F1" s="165"/>
      <x:c r="G1" s="165"/>
    </x:row>
    <x:row r="2">
      <x:c r="A2" s="167" t="str">
        <x:v>Intrările vechi descriu etape istorice. Regulile active sunt în DOCUMENTATIE_MODEL și Under_LineCal_v9.</x:v>
      </x:c>
      <x:c r="B2" s="167"/>
      <x:c r="C2" s="167"/>
      <x:c r="D2" s="167"/>
      <x:c r="E2" s="167"/>
      <x:c r="F2" s="167"/>
      <x:c r="G2" s="167"/>
    </x:row>
    <x:row r="3">
      <x:c r="A3" s="8"/>
      <x:c r="B3" s="8"/>
      <x:c r="C3" s="8"/>
      <x:c r="D3" s="8"/>
      <x:c r="E3" s="8"/>
      <x:c r="F3" s="8"/>
      <x:c r="G3" s="8"/>
    </x:row>
    <x:row r="4" ht="15" customHeight="1">
      <x:c r="A4" s="170" t="str">
        <x:v>SURSĂ CONSOLIDATĂ: Update metodologie v3</x:v>
      </x:c>
      <x:c r="B4" s="170"/>
      <x:c r="C4" s="170"/>
      <x:c r="D4" s="170"/>
      <x:c r="E4" s="170"/>
      <x:c r="F4" s="170"/>
      <x:c r="G4" s="170"/>
    </x:row>
    <x:row r="5" ht="28.5" customHeight="1">
      <x:c r="A5" s="9" t="str">
        <x:v>UPDATE METODOLOGIE V3 – UNDER 4,5 GOLURI</x:v>
      </x:c>
      <x:c r="B5" s="9" t="str">
        <x:v>UPDATE METODOLOGIE V3 – UNDER 4,5 GOLURI</x:v>
      </x:c>
      <x:c r="C5" s="9" t="str">
        <x:v>UPDATE METODOLOGIE V3 – UNDER 4,5 GOLURI</x:v>
      </x:c>
      <x:c r="D5" s="9" t="str">
        <x:v>UPDATE METODOLOGIE V3 – UNDER 4,5 GOLURI</x:v>
      </x:c>
      <x:c r="E5" s="9" t="str">
        <x:v>UPDATE METODOLOGIE V3 – UNDER 4,5 GOLURI</x:v>
      </x:c>
      <x:c r="F5" s="9" t="str">
        <x:v>UPDATE METODOLOGIE V3 – UNDER 4,5 GOLURI</x:v>
      </x:c>
      <x:c r="G5" s="8"/>
    </x:row>
    <x:row r="6" ht="71.25" customHeight="1">
      <x:c r="A6" s="9" t="str">
        <x:v>Implementarea P1 din analiza rezultatelor din 30.08: supra-dispersie, collapse risk și praguri operaționale mai stricte.</x:v>
      </x:c>
      <x:c r="B6" s="9" t="str">
        <x:v>Implementarea P1 din analiza rezultatelor din 30.08: supra-dispersie, collapse risk și praguri operaționale mai stricte.</x:v>
      </x:c>
      <x:c r="C6" s="9" t="str">
        <x:v>Implementarea P1 din analiza rezultatelor din 30.08: supra-dispersie, collapse risk și praguri operaționale mai stricte.</x:v>
      </x:c>
      <x:c r="D6" s="9" t="str">
        <x:v>Implementarea P1 din analiza rezultatelor din 30.08: supra-dispersie, collapse risk și praguri operaționale mai stricte.</x:v>
      </x:c>
      <x:c r="E6" s="9" t="str">
        <x:v>Implementarea P1 din analiza rezultatelor din 30.08: supra-dispersie, collapse risk și praguri operaționale mai stricte.</x:v>
      </x:c>
      <x:c r="F6" s="9" t="str">
        <x:v>Implementarea P1 din analiza rezultatelor din 30.08: supra-dispersie, collapse risk și praguri operaționale mai stricte.</x:v>
      </x:c>
      <x:c r="G6" s="8"/>
    </x:row>
    <x:row r="7">
      <x:c r="A7" s="9"/>
      <x:c r="B7" s="9"/>
      <x:c r="C7" s="9"/>
      <x:c r="D7" s="9"/>
      <x:c r="E7" s="9"/>
      <x:c r="F7" s="9"/>
      <x:c r="G7" s="8"/>
    </x:row>
    <x:row r="8">
      <x:c r="A8" s="9" t="str">
        <x:v>Prioritate</x:v>
      </x:c>
      <x:c r="B8" s="9" t="str">
        <x:v>Model / problemă</x:v>
      </x:c>
      <x:c r="C8" s="9" t="str">
        <x:v>Constatare 30.08</x:v>
      </x:c>
      <x:c r="D8" s="9" t="str">
        <x:v>Modificare recomandată</x:v>
      </x:c>
      <x:c r="E8" s="9" t="str">
        <x:v>Regulă operațională</x:v>
      </x:c>
      <x:c r="F8" s="9" t="str">
        <x:v>Implementare în v3</x:v>
      </x:c>
      <x:c r="G8" s="8"/>
    </x:row>
    <x:row r="9" ht="71.25" customHeight="1">
      <x:c r="A9" s="9" t="str">
        <x:v>P1</x:v>
      </x:c>
      <x:c r="B9" s="9" t="str">
        <x:v>Under 4,5 – tail 5+</x:v>
      </x:c>
      <x:c r="C9" s="9" t="str">
        <x:v>4/26 recomandări au ajuns la 5+ goluri: Hartberg–Ried, Arezzo–Palermo, St Mirren–Motherwell, Nacional–Estrela.</x:v>
      </x:c>
      <x:c r="D9" s="9" t="str">
        <x:v>Poisson completat cu Negative Binomial/mixture pentru supra-dispersie și collapse risk.</x:v>
      </x:c>
      <x:c r="E9" s="9" t="str">
        <x:v>Tail Risk 31–40 sau volatilitate ridicată =&gt; maxim PRUDENT; Tail Risk &gt;40 =&gt; NO BET.</x:v>
      </x:c>
      <x:c r="F9" s="9" t="str">
        <x:v>Sheet Tail Risk v3; r și pondere NB editabile; P(5+) mixture; gate automat în verdict și dashboard.</x:v>
      </x:c>
      <x:c r="G9" s="8"/>
    </x:row>
    <x:row r="10">
      <x:c r="A10" s="9"/>
      <x:c r="B10" s="9"/>
      <x:c r="C10" s="9"/>
      <x:c r="D10" s="9"/>
      <x:c r="E10" s="9"/>
      <x:c r="F10" s="9"/>
      <x:c r="G10" s="8"/>
    </x:row>
    <x:row r="11">
      <x:c r="A11" s="9"/>
      <x:c r="B11" s="9"/>
      <x:c r="C11" s="9"/>
      <x:c r="D11" s="9"/>
      <x:c r="E11" s="9"/>
      <x:c r="F11" s="9"/>
      <x:c r="G11" s="8"/>
    </x:row>
    <x:row r="12">
      <x:c r="A12" s="9" t="str">
        <x:v>Control</x:v>
      </x:c>
      <x:c r="B12" s="9" t="str">
        <x:v>Definiție</x:v>
      </x:c>
      <x:c r="C12" s="9" t="str">
        <x:v>Minim</x:v>
      </x:c>
      <x:c r="D12" s="9" t="str">
        <x:v>Ideal</x:v>
      </x:c>
      <x:c r="E12" s="9" t="str">
        <x:v>Acțiune</x:v>
      </x:c>
      <x:c r="F12" s="9" t="str">
        <x:v>Observație</x:v>
      </x:c>
      <x:c r="G12" s="8"/>
    </x:row>
    <x:row r="13" ht="28.5" customHeight="1">
      <x:c r="A13" s="9" t="str">
        <x:v>Dispersion r</x:v>
      </x:c>
      <x:c r="B13" s="9" t="str">
        <x:v>Parametrul NB; mic = coadă grea</x:v>
      </x:c>
      <x:c r="C13" s="9" t="str">
        <x:v>&gt;0</x:v>
      </x:c>
      <x:c r="D13" s="9" t="str">
        <x:v>Calibrat pe ligă</x:v>
      </x:c>
      <x:c r="E13" s="9" t="str">
        <x:v>Implicit 4 până la backtest</x:v>
      </x:c>
      <x:c r="F13" s="9" t="str">
        <x:v>Nu se compară direct între furnizori fără aceeași definiție</x:v>
      </x:c>
      <x:c r="G13" s="8"/>
    </x:row>
    <x:row r="14">
      <x:c r="A14" s="9" t="str">
        <x:v>Pondere NB</x:v>
      </x:c>
      <x:c r="B14" s="9" t="str">
        <x:v>Cât din mixture vine din NB</x:v>
      </x:c>
      <x:c r="C14" s="9" t="str">
        <x:v>0%</x:v>
      </x:c>
      <x:c r="D14" s="9" t="str">
        <x:v>Calibrat 50–80%</x:v>
      </x:c>
      <x:c r="E14" s="9" t="str">
        <x:v>Implicit 65%</x:v>
      </x:c>
      <x:c r="F14" s="9" t="str">
        <x:v>0% revine la Poisson pur</x:v>
      </x:c>
      <x:c r="G14" s="8"/>
    </x:row>
    <x:row r="15" ht="28.5" customHeight="1">
      <x:c r="A15" s="9" t="str">
        <x:v>Tail Risk Score</x:v>
      </x:c>
      <x:c r="B15" s="9" t="str">
        <x:v>Profil 5+ și colaps</x:v>
      </x:c>
      <x:c r="C15" s="9" t="n">
        <x:v>0</x:v>
      </x:c>
      <x:c r="D15" s="9" t="str">
        <x:v>≤30</x:v>
      </x:c>
      <x:c r="E15" s="9" t="str">
        <x:v>31–40 maxim PRUDENT; &gt;40 NO BET</x:v>
      </x:c>
      <x:c r="F15" s="9" t="str">
        <x:v>Hard gate, nu simplă penalizare de Confidence</x:v>
      </x:c>
      <x:c r="G15" s="8"/>
    </x:row>
    <x:row r="16" ht="28.5" customHeight="1">
      <x:c r="A16" s="9" t="str">
        <x:v>Volatilitate defensivă</x:v>
      </x:c>
      <x:c r="B16" s="9" t="str">
        <x:v>Instabilitatea apărării / tranzițiilor</x:v>
      </x:c>
      <x:c r="C16" s="9" t="n">
        <x:v>0</x:v>
      </x:c>
      <x:c r="D16" s="9" t="str">
        <x:v>&lt;50</x:v>
      </x:c>
      <x:c r="E16" s="9" t="str">
        <x:v>50–69 maxim PRUDENT; ≥70 NO BET</x:v>
      </x:c>
      <x:c r="F16" s="9" t="str">
        <x:v>Se completează în Tail Risk Builder</x:v>
      </x:c>
      <x:c r="G16" s="8"/>
    </x:row>
    <x:row r="17" ht="28.5" customHeight="1">
      <x:c r="A17" s="9" t="str">
        <x:v>Validare</x:v>
      </x:c>
      <x:c r="B17" s="9" t="str">
        <x:v>Backtest rolling pe ligă</x:v>
      </x:c>
      <x:c r="C17" s="9" t="n">
        <x:v>100</x:v>
      </x:c>
      <x:c r="D17" s="9" t="str">
        <x:v>≥300 meciuri</x:v>
      </x:c>
      <x:c r="E17" s="9" t="str">
        <x:v>Recalibrează r și weight</x:v>
      </x:c>
      <x:c r="F17" s="9" t="str">
        <x:v>Urmărește hit rate, Brier, tail calibration și ROI</x:v>
      </x:c>
      <x:c r="G17" s="8"/>
    </x:row>
    <x:row r="18">
      <x:c r="A18" s="8"/>
      <x:c r="B18" s="8"/>
      <x:c r="C18" s="8"/>
      <x:c r="D18" s="8"/>
      <x:c r="E18" s="8"/>
      <x:c r="F18" s="8"/>
      <x:c r="G18" s="8"/>
    </x:row>
    <x:row r="19">
      <x:c r="A19" s="8"/>
      <x:c r="B19" s="8"/>
      <x:c r="C19" s="8"/>
      <x:c r="D19" s="8"/>
      <x:c r="E19" s="8"/>
      <x:c r="F19" s="8"/>
      <x:c r="G19" s="8"/>
    </x:row>
    <x:row r="20" ht="15" customHeight="1">
      <x:c r="A20" s="170" t="str">
        <x:v>SURSĂ CONSOLIDATĂ: Update_v4</x:v>
      </x:c>
      <x:c r="B20" s="170"/>
      <x:c r="C20" s="170"/>
      <x:c r="D20" s="170"/>
      <x:c r="E20" s="170"/>
      <x:c r="F20" s="170"/>
      <x:c r="G20" s="170"/>
    </x:row>
    <x:row r="21" ht="28.5" customHeight="1">
      <x:c r="A21" s="9" t="str">
        <x:v>UPDATE METODOLOGIE – v4</x:v>
      </x:c>
      <x:c r="B21" s="9"/>
      <x:c r="C21" s="9"/>
      <x:c r="D21" s="9"/>
      <x:c r="E21" s="9"/>
      <x:c r="F21" s="9"/>
      <x:c r="G21" s="8"/>
    </x:row>
    <x:row r="22">
      <x:c r="A22" s="9"/>
      <x:c r="B22" s="9"/>
      <x:c r="C22" s="9"/>
      <x:c r="D22" s="9"/>
      <x:c r="E22" s="9"/>
      <x:c r="F22" s="9"/>
      <x:c r="G22" s="8"/>
    </x:row>
    <x:row r="23">
      <x:c r="A23" s="9" t="str">
        <x:v>Prioritate</x:v>
      </x:c>
      <x:c r="B23" s="9" t="str">
        <x:v>Update</x:v>
      </x:c>
      <x:c r="C23" s="9" t="str">
        <x:v>Problemă / motiv</x:v>
      </x:c>
      <x:c r="D23" s="9" t="str">
        <x:v>Regulă operațională</x:v>
      </x:c>
      <x:c r="E23" s="9" t="str">
        <x:v>Implementare</x:v>
      </x:c>
      <x:c r="F23" s="9" t="str">
        <x:v>Impact risc</x:v>
      </x:c>
      <x:c r="G23" s="8"/>
    </x:row>
    <x:row r="24" ht="42.75" customHeight="1">
      <x:c r="A24" s="9" t="str">
        <x:v>P0/P1</x:v>
      </x:c>
      <x:c r="B24" s="9" t="str">
        <x:v>Unificare Risk Classification</x:v>
      </x:c>
      <x:c r="C24" s="9" t="str">
        <x:v>Tail Risk v3 rămâne motorul principal</x:v>
      </x:c>
      <x:c r="D24" s="9" t="str">
        <x:v>Tail &gt;40 sau defensive volatility ≥70 =&gt; Nivel 5/NO BET; 31–40 =&gt; maxim Nivel 2.</x:v>
      </x:c>
      <x:c r="E24" s="9" t="str">
        <x:v>Risk_Classification</x:v>
      </x:c>
      <x:c r="F24" s="9" t="str">
        <x:v>Comparabil cu celelalte piețe</x:v>
      </x:c>
      <x:c r="G24" s="8"/>
    </x:row>
    <x:row r="25" ht="42.75" customHeight="1">
      <x:c r="A25" s="9" t="str">
        <x:v>P1</x:v>
      </x:c>
      <x:c r="B25" s="9" t="str">
        <x:v>Blowout components</x:v>
      </x:c>
      <x:c r="C25" s="9" t="str">
        <x:v>Tail total trebuie explicat</x:v>
      </x:c>
      <x:c r="D25" s="9" t="str">
        <x:v>Raportează P(team 4+), P(team 5+), share λ favorit și stress 4–0/5–0/5–1/6–0.</x:v>
      </x:c>
      <x:c r="E25" s="9" t="str">
        <x:v>Update v4</x:v>
      </x:c>
      <x:c r="F25" s="9" t="str">
        <x:v>Separă sursa tail-ului</x:v>
      </x:c>
      <x:c r="G25" s="8"/>
    </x:row>
    <x:row r="26" ht="28.5" customHeight="1">
      <x:c r="A26" s="9" t="str">
        <x:v>P2</x:v>
      </x:c>
      <x:c r="B26" s="9" t="str">
        <x:v>Builder eligibility</x:v>
      </x:c>
      <x:c r="C26" s="9" t="str">
        <x:v>Leg-ul U4,5 nu poate intra dacă modelul este WATCH/NO BET</x:v>
      </x:c>
      <x:c r="D26" s="9" t="str">
        <x:v>Builder Eligible numai P0 PASS + verdict eligibil.</x:v>
      </x:c>
      <x:c r="E26" s="9" t="str">
        <x:v>Risk_Classification</x:v>
      </x:c>
      <x:c r="F26" s="9" t="str">
        <x:v>Consistență arhitectură</x:v>
      </x:c>
      <x:c r="G26" s="8"/>
    </x:row>
    <x:row r="27">
      <x:c r="A27" s="8"/>
      <x:c r="B27" s="8"/>
      <x:c r="C27" s="8"/>
      <x:c r="D27" s="8"/>
      <x:c r="E27" s="8"/>
      <x:c r="F27" s="8"/>
      <x:c r="G27" s="8"/>
    </x:row>
    <x:row r="28">
      <x:c r="A28" s="8"/>
      <x:c r="B28" s="8"/>
      <x:c r="C28" s="8"/>
      <x:c r="D28" s="8"/>
      <x:c r="E28" s="8"/>
      <x:c r="F28" s="8"/>
      <x:c r="G28" s="8"/>
    </x:row>
    <x:row r="29" ht="15" customHeight="1">
      <x:c r="A29" s="170" t="str">
        <x:v>SURSĂ CONSOLIDATĂ: WF_Update_v4</x:v>
      </x:c>
      <x:c r="B29" s="170"/>
      <x:c r="C29" s="170"/>
      <x:c r="D29" s="170"/>
      <x:c r="E29" s="170"/>
      <x:c r="F29" s="170"/>
      <x:c r="G29" s="170"/>
    </x:row>
    <x:row r="30" ht="42.75" customHeight="1">
      <x:c r="A30" s="9" t="str">
        <x:v>UPDATE U4.5 v4 – WALK-FORWARD / OOS GOVERNANCE</x:v>
      </x:c>
      <x:c r="B30" s="9"/>
      <x:c r="C30" s="9"/>
      <x:c r="D30" s="9"/>
      <x:c r="E30" s="9"/>
      <x:c r="F30" s="9"/>
      <x:c r="G30" s="9"/>
    </x:row>
    <x:row r="31" ht="128.25" customHeight="1">
      <x:c r="A31" s="9" t="str">
        <x:v>Historical initial backtest 29.08: 73 recommended, 60 wins (82.2%), Brier raw 0.1681. Workbook states v2 snapshots were retrospective, so this cannot tune a new P5 threshold. | Reference Wilson 95%: 71.9%–89.3%.</x:v>
      </x:c>
      <x:c r="B31" s="9"/>
      <x:c r="C31" s="9"/>
      <x:c r="D31" s="9"/>
      <x:c r="E31" s="9"/>
      <x:c r="F31" s="9"/>
      <x:c r="G31" s="9"/>
    </x:row>
    <x:row r="32">
      <x:c r="A32" s="9" t="str">
        <x:v>Priority</x:v>
      </x:c>
      <x:c r="B32" s="9" t="str">
        <x:v>Change</x:v>
      </x:c>
      <x:c r="C32" s="9" t="str">
        <x:v>Evidence status</x:v>
      </x:c>
      <x:c r="D32" s="9" t="str">
        <x:v>Operational rule</x:v>
      </x:c>
      <x:c r="E32" s="9" t="str">
        <x:v>Threshold action</x:v>
      </x:c>
      <x:c r="F32" s="9" t="str">
        <x:v>Builder impact</x:v>
      </x:c>
      <x:c r="G32" s="9" t="str">
        <x:v>Audit note</x:v>
      </x:c>
    </x:row>
    <x:row r="33" ht="42.75" customHeight="1">
      <x:c r="A33" s="9" t="str">
        <x:v>P0</x:v>
      </x:c>
      <x:c r="B33" s="9" t="str">
        <x:v>Split P(5+)</x:v>
      </x:c>
      <x:c r="C33" s="9" t="str">
        <x:v>Reference sample shows calibration issues, candidate P5 rule lacks frozen OOS</x:v>
      </x:c>
      <x:c r="D33" s="9" t="str">
        <x:v>Report P5 and P6Plus separately</x:v>
      </x:c>
      <x:c r="E33" s="9" t="str">
        <x:v>KEEP Tail&gt;40 / DefVol&gt;=70</x:v>
      </x:c>
      <x:c r="F33" s="9" t="str">
        <x:v>NO WATCH/NO BET legs</x:v>
      </x:c>
      <x:c r="G33" s="9" t="str">
        <x:v>NearTail diagnostic until calibrated</x:v>
      </x:c>
    </x:row>
    <x:row r="34">
      <x:c r="A34" s="9" t="str">
        <x:v>P1</x:v>
      </x:c>
      <x:c r="B34" s="9" t="str">
        <x:v>Stress scenarios</x:v>
      </x:c>
      <x:c r="C34" s="9" t="str">
        <x:v>Need exact-5 vs 6+ fail distribution</x:v>
      </x:c>
      <x:c r="D34" s="9" t="str">
        <x:v>Report 4-1,3-2,5-0,4-2,5-1,6-0</x:v>
      </x:c>
      <x:c r="E34" s="9" t="str">
        <x:v>NO threshold change</x:v>
      </x:c>
      <x:c r="F34" s="9" t="str">
        <x:v>Source gates inherited</x:v>
      </x:c>
      <x:c r="G34" s="9" t="str">
        <x:v>Audit only</x:v>
      </x:c>
    </x:row>
    <x:row r="35">
      <x:c r="A35" s="8"/>
      <x:c r="B35" s="8"/>
      <x:c r="C35" s="8"/>
      <x:c r="D35" s="8"/>
      <x:c r="E35" s="8"/>
      <x:c r="F35" s="8"/>
      <x:c r="G35" s="8"/>
    </x:row>
    <x:row r="36">
      <x:c r="A36" s="8"/>
      <x:c r="B36" s="8"/>
      <x:c r="C36" s="8"/>
      <x:c r="D36" s="8"/>
      <x:c r="E36" s="8"/>
      <x:c r="F36" s="8"/>
      <x:c r="G36" s="8"/>
    </x:row>
    <x:row r="37" ht="15" customHeight="1">
      <x:c r="A37" s="170" t="str">
        <x:v>SURSĂ CONSOLIDATĂ: Update_v6</x:v>
      </x:c>
      <x:c r="B37" s="170"/>
      <x:c r="C37" s="170"/>
      <x:c r="D37" s="170"/>
      <x:c r="E37" s="170"/>
      <x:c r="F37" s="170"/>
      <x:c r="G37" s="170"/>
    </x:row>
    <x:row r="38" ht="42.75" customHeight="1">
      <x:c r="A38" s="9" t="str">
        <x:v>UPDATE UNDER 4,5 v6 – EXACT-5 NEAR-TAIL SURCHARGE</x:v>
      </x:c>
      <x:c r="B38" s="9"/>
      <x:c r="C38" s="9"/>
      <x:c r="D38" s="9"/>
      <x:c r="E38" s="9"/>
      <x:c r="F38" s="9"/>
      <x:c r="G38" s="8"/>
    </x:row>
    <x:row r="39">
      <x:c r="A39" s="9"/>
      <x:c r="B39" s="9"/>
      <x:c r="C39" s="9"/>
      <x:c r="D39" s="9"/>
      <x:c r="E39" s="9"/>
      <x:c r="F39" s="9"/>
      <x:c r="G39" s="8"/>
    </x:row>
    <x:row r="40">
      <x:c r="A40" s="9" t="str">
        <x:v>Prioritate</x:v>
      </x:c>
      <x:c r="B40" s="9" t="str">
        <x:v>Modificare</x:v>
      </x:c>
      <x:c r="C40" s="9" t="str">
        <x:v>Ce rămâne neschimbat</x:v>
      </x:c>
      <x:c r="D40" s="9" t="str">
        <x:v>Implementare v6</x:v>
      </x:c>
      <x:c r="E40" s="9" t="str">
        <x:v>Praguri</x:v>
      </x:c>
      <x:c r="F40" s="9" t="str">
        <x:v>Impact Builder</x:v>
      </x:c>
      <x:c r="G40" s="8"/>
    </x:row>
    <x:row r="41" ht="28.5" customHeight="1">
      <x:c r="A41" s="9" t="str">
        <x:v>P0</x:v>
      </x:c>
      <x:c r="B41" s="9" t="str">
        <x:v>P5 devine Near-Tail Risk Surcharge</x:v>
      </x:c>
      <x:c r="C41" s="9" t="str">
        <x:v>Tail Risk 5+ / DefVol hard gates</x:v>
      </x:c>
      <x:c r="D41" s="9" t="str">
        <x:v>P5 separat de P6+; clasă + surcharge risc</x:v>
      </x:c>
      <x:c r="E41" s="9" t="str">
        <x:v>P5 thresholds PENDING OOS</x:v>
      </x:c>
      <x:c r="F41" s="9" t="str">
        <x:v>WATCH/NO BET rămân neeligibile</x:v>
      </x:c>
      <x:c r="G41" s="8"/>
    </x:row>
    <x:row r="42">
      <x:c r="A42" s="9" t="str">
        <x:v>P0</x:v>
      </x:c>
      <x:c r="B42" s="9" t="str">
        <x:v>P6+ separat</x:v>
      </x:c>
      <x:c r="C42" s="9" t="str">
        <x:v>Blowout sever</x:v>
      </x:c>
      <x:c r="D42" s="9" t="str">
        <x:v>P6+=P5+ mixture − P5 mixture</x:v>
      </x:c>
      <x:c r="E42" s="9" t="str">
        <x:v>fără prag nou</x:v>
      </x:c>
      <x:c r="F42" s="9" t="str">
        <x:v>raportat separat</x:v>
      </x:c>
      <x:c r="G42" s="8"/>
    </x:row>
    <x:row r="43">
      <x:c r="A43" s="9" t="str">
        <x:v>P1</x:v>
      </x:c>
      <x:c r="B43" s="9" t="str">
        <x:v>Moderate P5</x:v>
      </x:c>
      <x:c r="C43" s="9" t="str">
        <x:v>Probabilitatea de bază</x:v>
      </x:c>
      <x:c r="D43" s="9" t="str">
        <x:v>Risk Level +1; haircut configurabil</x:v>
      </x:c>
      <x:c r="E43" s="9" t="str">
        <x:v>haircut 0 până la OOS</x:v>
      </x:c>
      <x:c r="F43" s="9" t="str">
        <x:v>nu relaxează nimic</x:v>
      </x:c>
      <x:c r="G43" s="8"/>
    </x:row>
    <x:row r="44" ht="28.5" customHeight="1">
      <x:c r="A44" s="9" t="str">
        <x:v>P1</x:v>
      </x:c>
      <x:c r="B44" s="9" t="str">
        <x:v>High P5 + λ/share mare</x:v>
      </x:c>
      <x:c r="C44" s="9" t="str">
        <x:v>Tail gate existent</x:v>
      </x:c>
      <x:c r="D44" s="9" t="str">
        <x:v>cap PRUDENT / WATCH</x:v>
      </x:c>
      <x:c r="E44" s="9" t="str">
        <x:v>favorite-share 65% moștenit; λ din model</x:v>
      </x:c>
      <x:c r="F44" s="9" t="str">
        <x:v>WATCH exclude Builder</x:v>
      </x:c>
      <x:c r="G44" s="8"/>
    </x:row>
    <x:row r="45" ht="28.5" customHeight="1">
      <x:c r="A45" s="9" t="str">
        <x:v>Audit</x:v>
      </x:c>
      <x:c r="B45" s="9" t="str">
        <x:v>Frozen fields</x:v>
      </x:c>
      <x:c r="C45" s="9" t="str">
        <x:v>Backtest walk-forward</x:v>
      </x:c>
      <x:c r="D45" s="9" t="str">
        <x:v>salvează P5/P6+/class/surcharge/cap</x:v>
      </x:c>
      <x:c r="E45" s="9" t="str">
        <x:v>nu regla retrospectiv</x:v>
      </x:c>
      <x:c r="F45" s="9" t="str">
        <x:v>fail attribution exact-5 vs 6+</x:v>
      </x:c>
      <x:c r="G45" s="8"/>
    </x:row>
    <x:row r="46">
      <x:c r="A46" s="8"/>
      <x:c r="B46" s="8"/>
      <x:c r="C46" s="8"/>
      <x:c r="D46" s="8"/>
      <x:c r="E46" s="8"/>
      <x:c r="F46" s="8"/>
      <x:c r="G46" s="8"/>
    </x:row>
    <x:row r="47">
      <x:c r="A47" s="8"/>
      <x:c r="B47" s="8"/>
      <x:c r="C47" s="8"/>
      <x:c r="D47" s="8"/>
      <x:c r="E47" s="8"/>
      <x:c r="F47" s="8"/>
      <x:c r="G47" s="8"/>
    </x:row>
    <x:row r="48" ht="15" customHeight="1">
      <x:c r="A48" s="170" t="str">
        <x:v>SURSĂ CONSOLIDATĂ: Update_v7</x:v>
      </x:c>
      <x:c r="B48" s="170"/>
      <x:c r="C48" s="170"/>
      <x:c r="D48" s="170"/>
      <x:c r="E48" s="170"/>
      <x:c r="F48" s="170"/>
      <x:c r="G48" s="170"/>
    </x:row>
    <x:row r="49">
      <x:c r="A49" s="9" t="str">
        <x:v>UPDATE v7 – Under 4,5</x:v>
      </x:c>
      <x:c r="B49" s="9"/>
      <x:c r="C49" s="9"/>
      <x:c r="D49" s="9"/>
      <x:c r="E49" s="9"/>
      <x:c r="F49" s="9"/>
      <x:c r="G49" s="8"/>
    </x:row>
    <x:row r="50">
      <x:c r="A50" s="9"/>
      <x:c r="B50" s="9"/>
      <x:c r="C50" s="9"/>
      <x:c r="D50" s="9"/>
      <x:c r="E50" s="9"/>
      <x:c r="F50" s="9"/>
      <x:c r="G50" s="8"/>
    </x:row>
    <x:row r="51">
      <x:c r="A51" s="9" t="str">
        <x:v>Prioritate</x:v>
      </x:c>
      <x:c r="B51" s="9" t="str">
        <x:v>Modificare</x:v>
      </x:c>
      <x:c r="C51" s="9" t="str">
        <x:v>Implementare</x:v>
      </x:c>
      <x:c r="D51" s="9" t="str">
        <x:v>Impact</x:v>
      </x:c>
      <x:c r="E51" s="9" t="str">
        <x:v>Praguri vechi</x:v>
      </x:c>
      <x:c r="F51" s="9" t="str">
        <x:v>Observație</x:v>
      </x:c>
      <x:c r="G51" s="8"/>
    </x:row>
    <x:row r="52" ht="42.75" customHeight="1">
      <x:c r="A52" s="9" t="str">
        <x:v>P1</x:v>
      </x:c>
      <x:c r="B52" s="9" t="str">
        <x:v>EV gate removed</x:v>
      </x:c>
      <x:c r="C52" s="9" t="str">
        <x:v>filter EV row forced PASS; EV output blank; J20 no longer waits for odds</x:v>
      </x:c>
      <x:c r="D52" s="9" t="str">
        <x:v>technical tail model</x:v>
      </x:c>
      <x:c r="E52" s="9" t="str">
        <x:v>Tail 30/40 and volatility thresholds unchanged</x:v>
      </x:c>
      <x:c r="F52" s="9"/>
      <x:c r="G52" s="8"/>
    </x:row>
    <x:row r="53" ht="28.5" customHeight="1">
      <x:c r="A53" s="9" t="str">
        <x:v>P2</x:v>
      </x:c>
      <x:c r="B53" s="9" t="str">
        <x:v>Tail data governance</x:v>
      </x:c>
      <x:c r="C53" s="9" t="str">
        <x:v>Tail_Data_v7 added</x:v>
      </x:c>
      <x:c r="D53" s="9" t="str">
        <x:v>pG5/pG6+ treated as derived, not generic missing data</x:v>
      </x:c>
      <x:c r="E53" s="9" t="str">
        <x:v>P5 surcharge unchanged</x:v>
      </x:c>
      <x:c r="F53" s="9"/>
      <x:c r="G53" s="8"/>
    </x:row>
    <x:row r="54">
      <x:c r="A54" s="9" t="str">
        <x:v>P3</x:v>
      </x:c>
      <x:c r="B54" s="9" t="str">
        <x:v>Early-season</x:v>
      </x:c>
      <x:c r="C54" s="9" t="str">
        <x:v>current/prior statuses standardized</x:v>
      </x:c>
      <x:c r="D54" s="9" t="str">
        <x:v>reduces false LIPSA DATE</x:v>
      </x:c>
      <x:c r="E54" s="9" t="str">
        <x:v>no new numeric thresholds</x:v>
      </x:c>
      <x:c r="F54" s="9"/>
      <x:c r="G54" s="8"/>
    </x:row>
    <x:row r="55" ht="28.5" customHeight="1">
      <x:c r="A55" s="9" t="str">
        <x:v>P4</x:v>
      </x:c>
      <x:c r="B55" s="9" t="str">
        <x:v>Lineup</x:v>
      </x:c>
      <x:c r="C55" s="9" t="str">
        <x:v>defensive lineup remains G1/haircut unless critical</x:v>
      </x:c>
      <x:c r="D55" s="9" t="str">
        <x:v>no blanket hard fail</x:v>
      </x:c>
      <x:c r="E55" s="9" t="str">
        <x:v>unchanged</x:v>
      </x:c>
      <x:c r="F55" s="9"/>
      <x:c r="G55" s="8"/>
    </x:row>
    <x:row r="56">
      <x:c r="A56" s="9" t="str">
        <x:v>P5</x:v>
      </x:c>
      <x:c r="B56" s="9" t="str">
        <x:v>Settlement removed</x:v>
      </x:c>
      <x:c r="C56" s="9" t="str">
        <x:v>historical sheet deprecated</x:v>
      </x:c>
      <x:c r="D56" s="9" t="str">
        <x:v>no active impact</x:v>
      </x:c>
      <x:c r="E56" s="9" t="str">
        <x:v>unchanged</x:v>
      </x:c>
      <x:c r="F56" s="9"/>
      <x:c r="G56" s="8"/>
    </x:row>
    <x:row r="57">
      <x:c r="A57" s="8"/>
      <x:c r="B57" s="8"/>
      <x:c r="C57" s="8"/>
      <x:c r="D57" s="8"/>
      <x:c r="E57" s="8"/>
      <x:c r="F57" s="8"/>
      <x:c r="G57" s="8"/>
    </x:row>
    <x:row r="58">
      <x:c r="A58" s="8"/>
      <x:c r="B58" s="8"/>
      <x:c r="C58" s="8"/>
      <x:c r="D58" s="8"/>
      <x:c r="E58" s="8"/>
      <x:c r="F58" s="8"/>
      <x:c r="G58" s="8"/>
    </x:row>
    <x:row r="59" ht="15" customHeight="1">
      <x:c r="A59" s="170" t="str">
        <x:v>SURSĂ CONSOLIDATĂ: Update_v8</x:v>
      </x:c>
      <x:c r="B59" s="170"/>
      <x:c r="C59" s="170"/>
      <x:c r="D59" s="170"/>
      <x:c r="E59" s="170"/>
      <x:c r="F59" s="170"/>
      <x:c r="G59" s="170"/>
    </x:row>
    <x:row r="60">
      <x:c r="A60" s="9" t="str">
        <x:v>UPDATE v8 – UNDER 4,5</x:v>
      </x:c>
      <x:c r="B60" s="9"/>
      <x:c r="C60" s="9"/>
      <x:c r="D60" s="9"/>
      <x:c r="E60" s="9"/>
      <x:c r="F60" s="9"/>
      <x:c r="G60" s="8"/>
    </x:row>
    <x:row r="61">
      <x:c r="A61" s="9"/>
      <x:c r="B61" s="9"/>
      <x:c r="C61" s="9"/>
      <x:c r="D61" s="9"/>
      <x:c r="E61" s="9"/>
      <x:c r="F61" s="9"/>
      <x:c r="G61" s="8"/>
    </x:row>
    <x:row r="62">
      <x:c r="A62" s="9" t="str">
        <x:v>Prioritate</x:v>
      </x:c>
      <x:c r="B62" s="9" t="str">
        <x:v>Modificare</x:v>
      </x:c>
      <x:c r="C62" s="9" t="str">
        <x:v>Implementare</x:v>
      </x:c>
      <x:c r="D62" s="9" t="str">
        <x:v>Impact</x:v>
      </x:c>
      <x:c r="E62" s="9" t="str">
        <x:v>Praguri</x:v>
      </x:c>
      <x:c r="F62" s="9" t="str">
        <x:v>Observație</x:v>
      </x:c>
      <x:c r="G62" s="8"/>
    </x:row>
    <x:row r="63" ht="28.5" customHeight="1">
      <x:c r="A63" s="9" t="str">
        <x:v>P1</x:v>
      </x:c>
      <x:c r="B63" s="9" t="str">
        <x:v>NearTailScore</x:v>
      </x:c>
      <x:c r="C63" s="9" t="str">
        <x:v>w1·P5model + w2·P5empirical + w3·P5NB</x:v>
      </x:c>
      <x:c r="D63" s="9" t="str">
        <x:v>P5 intră explicit în ranking/Risk</x:v>
      </x:c>
      <x:c r="E63" s="9" t="str">
        <x:v>ponderi pilot egale; calibrare OOS</x:v>
      </x:c>
      <x:c r="F63" s="9" t="str">
        <x:v>nu înlocuiește P6+</x:v>
      </x:c>
      <x:c r="G63" s="8"/>
    </x:row>
    <x:row r="64" ht="28.5" customHeight="1">
      <x:c r="A64" s="9" t="str">
        <x:v>P2</x:v>
      </x:c>
      <x:c r="B64" s="9" t="str">
        <x:v>P5 ranking influence</x:v>
      </x:c>
      <x:c r="C64" s="9" t="str">
        <x:v>NearTailScore ASC înainte de P_adjusted</x:v>
      </x:c>
      <x:c r="D64" s="9" t="str">
        <x:v>U4,5 cu P5 mare este deprioritizat</x:v>
      </x:c>
      <x:c r="E64" s="9" t="str">
        <x:v>fără prag numeric nou</x:v>
      </x:c>
      <x:c r="F64" s="9" t="str">
        <x:v>ranking, nu hard gate</x:v>
      </x:c>
      <x:c r="G64" s="8"/>
    </x:row>
    <x:row r="65" ht="28.5" customHeight="1">
      <x:c r="A65" s="9" t="str">
        <x:v>P3</x:v>
      </x:c>
      <x:c r="B65" s="9" t="str">
        <x:v>Risk downgrade</x:v>
      </x:c>
      <x:c r="C65" s="9" t="str">
        <x:v>P5 RIDICAT poate coborî U4,5 cu o clasă</x:v>
      </x:c>
      <x:c r="D65" s="9" t="str">
        <x:v>nu mai este promovat agresiv</x:v>
      </x:c>
      <x:c r="E65" s="9" t="str">
        <x:v>max +1 clasă din P5</x:v>
      </x:c>
      <x:c r="F65" s="9" t="str">
        <x:v>Tail hard gate rămâne dominant</x:v>
      </x:c>
      <x:c r="G65" s="8"/>
    </x:row>
    <x:row r="66" ht="28.5" customHeight="1">
      <x:c r="A66" s="9" t="str">
        <x:v>P4</x:v>
      </x:c>
      <x:c r="B66" s="9" t="str">
        <x:v>P5 ridicat + P6+ mic</x:v>
      </x:c>
      <x:c r="C66" s="9" t="str">
        <x:v>cap PRUDENT / prefer U5,5</x:v>
      </x:c>
      <x:c r="D66" s="9" t="str">
        <x:v>evită NO BET automat din exact-5</x:v>
      </x:c>
      <x:c r="E66" s="9" t="str">
        <x:v>P6+ separat</x:v>
      </x:c>
      <x:c r="F66" s="9" t="str">
        <x:v>U5,5 este indicator alternativ, nu model complet</x:v>
      </x:c>
      <x:c r="G66" s="8"/>
    </x:row>
    <x:row r="67" ht="28.5" customHeight="1">
      <x:c r="A67" s="9" t="str">
        <x:v>P5</x:v>
      </x:c>
      <x:c r="B67" s="9" t="str">
        <x:v>P6+</x:v>
      </x:c>
      <x:c r="C67" s="9" t="str">
        <x:v>severe-tail separat și neschimbat</x:v>
      </x:c>
      <x:c r="D67" s="9" t="str">
        <x:v>blowout rămâne măsurat independent</x:v>
      </x:c>
      <x:c r="E67" s="9" t="str">
        <x:v>praguri existente</x:v>
      </x:c>
      <x:c r="F67" s="9" t="str">
        <x:v>nu se diluează în NearTailScore</x:v>
      </x:c>
      <x:c r="G67" s="8"/>
    </x:row>
    <x:row r="68" ht="28.5" customHeight="1">
      <x:c r="A68" s="9" t="str">
        <x:v>P6</x:v>
      </x:c>
      <x:c r="B68" s="9" t="str">
        <x:v>Audit / frozen</x:v>
      </x:c>
      <x:c r="C68" s="9" t="str">
        <x:v>salvează NearTailScore, P5 class, downgrade și alternativă</x:v>
      </x:c>
      <x:c r="D68" s="9" t="str">
        <x:v>walk-forward comparabil</x:v>
      </x:c>
      <x:c r="E68" s="9" t="str">
        <x:v>OOS</x:v>
      </x:c>
      <x:c r="F68" s="9" t="str">
        <x:v>fără look-ahead</x:v>
      </x:c>
      <x:c r="G68" s="8"/>
    </x:row>
    <x:row r="69">
      <x:c r="A69" s="8"/>
      <x:c r="B69" s="8"/>
      <x:c r="C69" s="8"/>
      <x:c r="D69" s="8"/>
      <x:c r="E69" s="8"/>
      <x:c r="F69" s="8"/>
      <x:c r="G69" s="8"/>
    </x:row>
    <x:row r="70">
      <x:c r="A70" s="8"/>
      <x:c r="B70" s="8"/>
      <x:c r="C70" s="8"/>
      <x:c r="D70" s="8"/>
      <x:c r="E70" s="8"/>
      <x:c r="F70" s="8"/>
      <x:c r="G70" s="8"/>
    </x:row>
    <x:row r="71" ht="15" customHeight="1">
      <x:c r="A71" s="170" t="str">
        <x:v>SURSĂ CONSOLIDATĂ: Update_v9</x:v>
      </x:c>
      <x:c r="B71" s="170"/>
      <x:c r="C71" s="170"/>
      <x:c r="D71" s="170"/>
      <x:c r="E71" s="170"/>
      <x:c r="F71" s="170"/>
      <x:c r="G71" s="170"/>
    </x:row>
    <x:row r="72" ht="28.5" customHeight="1">
      <x:c r="A72" s="9" t="str">
        <x:v>UPDATE v9 – UNDER TOTAL GOALS MULTI-LINE</x:v>
      </x:c>
      <x:c r="B72" s="9"/>
      <x:c r="C72" s="9"/>
      <x:c r="D72" s="9"/>
      <x:c r="E72" s="9"/>
      <x:c r="F72" s="9"/>
      <x:c r="G72" s="8"/>
    </x:row>
    <x:row r="73">
      <x:c r="A73" s="9"/>
      <x:c r="B73" s="9"/>
      <x:c r="C73" s="9"/>
      <x:c r="D73" s="9"/>
      <x:c r="E73" s="9"/>
      <x:c r="F73" s="9"/>
      <x:c r="G73" s="8"/>
    </x:row>
    <x:row r="74">
      <x:c r="A74" s="9" t="str">
        <x:v>Prioritate</x:v>
      </x:c>
      <x:c r="B74" s="9" t="str">
        <x:v>Modificare</x:v>
      </x:c>
      <x:c r="C74" s="9" t="str">
        <x:v>Implementare</x:v>
      </x:c>
      <x:c r="D74" s="9" t="str">
        <x:v>Impact</x:v>
      </x:c>
      <x:c r="E74" s="9" t="str">
        <x:v>Calibrare</x:v>
      </x:c>
      <x:c r="F74" s="9" t="str">
        <x:v>Observație</x:v>
      </x:c>
      <x:c r="G74" s="8"/>
    </x:row>
    <x:row r="75">
      <x:c r="A75" s="9" t="str">
        <x:v>P1</x:v>
      </x:c>
      <x:c r="B75" s="9" t="str">
        <x:v>Single distribution engine</x:v>
      </x:c>
      <x:c r="C75" s="9" t="str">
        <x:v>Poisson + NB mixture comun</x:v>
      </x:c>
      <x:c r="D75" s="9" t="str">
        <x:v>elimină modele duplicate</x:v>
      </x:c>
      <x:c r="E75" s="9" t="str">
        <x:v>inherited v8</x:v>
      </x:c>
      <x:c r="F75" s="9" t="str">
        <x:v>U3.5/U4.5/U5.5</x:v>
      </x:c>
      <x:c r="G75" s="8"/>
    </x:row>
    <x:row r="76">
      <x:c r="A76" s="9" t="str">
        <x:v>P2</x:v>
      </x:c>
      <x:c r="B76" s="9" t="str">
        <x:v>U3.5 branch</x:v>
      </x:c>
      <x:c r="C76" s="9" t="str">
        <x:v>Failure P4+; near P4; severe P5+</x:v>
      </x:c>
      <x:c r="D76" s="9" t="str">
        <x:v>line-specific risk</x:v>
      </x:c>
      <x:c r="E76" s="9" t="str">
        <x:v>frozen OOS pending</x:v>
      </x:c>
      <x:c r="F76" s="9" t="str">
        <x:v>max structural floor 2</x:v>
      </x:c>
      <x:c r="G76" s="8"/>
    </x:row>
    <x:row r="77">
      <x:c r="A77" s="9" t="str">
        <x:v>P3</x:v>
      </x:c>
      <x:c r="B77" s="9" t="str">
        <x:v>U4.5 branch</x:v>
      </x:c>
      <x:c r="C77" s="9" t="str">
        <x:v>Failure P5+; near P5; severe P6+</x:v>
      </x:c>
      <x:c r="D77" s="9" t="str">
        <x:v>păstrează v8</x:v>
      </x:c>
      <x:c r="E77" s="9" t="str">
        <x:v>inherited</x:v>
      </x:c>
      <x:c r="F77" s="9" t="str">
        <x:v>NearTailScore logic preserved</x:v>
      </x:c>
      <x:c r="G77" s="8"/>
    </x:row>
    <x:row r="78">
      <x:c r="A78" s="9" t="str">
        <x:v>P4</x:v>
      </x:c>
      <x:c r="B78" s="9" t="str">
        <x:v>U5.5 branch</x:v>
      </x:c>
      <x:c r="C78" s="9" t="str">
        <x:v>Failure P6+; near P6; severe P7+</x:v>
      </x:c>
      <x:c r="D78" s="9" t="str">
        <x:v>alternative becomes full model</x:v>
      </x:c>
      <x:c r="E78" s="9" t="str">
        <x:v>frozen OOS pending</x:v>
      </x:c>
      <x:c r="F78" s="9" t="str">
        <x:v>nu mai este proxy</x:v>
      </x:c>
      <x:c r="G78" s="8"/>
    </x:row>
    <x:row r="79" ht="28.5" customHeight="1">
      <x:c r="A79" s="9" t="str">
        <x:v>P5</x:v>
      </x:c>
      <x:c r="B79" s="9" t="str">
        <x:v>Line calibration</x:v>
      </x:c>
      <x:c r="C79" s="9" t="str">
        <x:v>factor separat + empirical diagnostic</x:v>
      </x:c>
      <x:c r="D79" s="9" t="str">
        <x:v>auditabil</x:v>
      </x:c>
      <x:c r="E79" s="9" t="str">
        <x:v>neutral factor 1.00 until OOS</x:v>
      </x:c>
      <x:c r="F79" s="9" t="str">
        <x:v>no retro-fit</x:v>
      </x:c>
      <x:c r="G79" s="8"/>
    </x:row>
    <x:row r="80" ht="28.5" customHeight="1">
      <x:c r="A80" s="9" t="str">
        <x:v>P6</x:v>
      </x:c>
      <x:c r="B80" s="9" t="str">
        <x:v>Risk/Ranking</x:v>
      </x:c>
      <x:c r="C80" s="9" t="str">
        <x:v>risk score/level/confidence/verdict per line</x:v>
      </x:c>
      <x:c r="D80" s="9" t="str">
        <x:v>topuri coerente</x:v>
      </x:c>
      <x:c r="E80" s="9" t="str">
        <x:v>pilot transparent</x:v>
      </x:c>
      <x:c r="F80" s="9" t="str">
        <x:v>hard gates dominate</x:v>
      </x:c>
      <x:c r="G80" s="8"/>
    </x:row>
    <x:row r="81" ht="28.5" customHeight="1">
      <x:c r="A81" s="9" t="str">
        <x:v>P7</x:v>
      </x:c>
      <x:c r="B81" s="9" t="str">
        <x:v>Frozen OOS</x:v>
      </x:c>
      <x:c r="C81" s="9" t="str">
        <x:v>line outputs must be saved pre-match</x:v>
      </x:c>
      <x:c r="D81" s="9" t="str">
        <x:v>walk-forward</x:v>
      </x:c>
      <x:c r="E81" s="9" t="str">
        <x:v>required</x:v>
      </x:c>
      <x:c r="F81" s="9" t="str">
        <x:v>no look-ahead</x:v>
      </x:c>
      <x:c r="G81" s="8"/>
    </x:row>
    <x:row r="82">
      <x:c r="A82" s="8"/>
      <x:c r="B82" s="8"/>
      <x:c r="C82" s="8"/>
      <x:c r="D82" s="8"/>
      <x:c r="E82" s="8"/>
      <x:c r="F82" s="8"/>
      <x:c r="G82" s="8"/>
    </x:row>
    <x:row r="83">
      <x:c r="A83" s="8"/>
      <x:c r="B83" s="8"/>
      <x:c r="C83" s="8"/>
      <x:c r="D83" s="8"/>
      <x:c r="E83" s="8"/>
      <x:c r="F83" s="8"/>
      <x:c r="G83" s="8"/>
    </x:row>
    <x:row r="84" ht="15" customHeight="1">
      <x:c r="A84" s="170" t="str">
        <x:v>SURSĂ CONSOLIDATĂ: Update_Risk_v10</x:v>
      </x:c>
      <x:c r="B84" s="170"/>
      <x:c r="C84" s="170"/>
      <x:c r="D84" s="170"/>
      <x:c r="E84" s="170"/>
      <x:c r="F84" s="170"/>
      <x:c r="G84" s="170"/>
    </x:row>
    <x:row r="85" ht="42.75" customHeight="1">
      <x:c r="A85" s="9" t="str">
        <x:v>UPDATE v10 – STRUCTURAL FLOOR / VERDICT CONTROL</x:v>
      </x:c>
      <x:c r="B85" s="9"/>
      <x:c r="C85" s="9"/>
      <x:c r="D85" s="9"/>
      <x:c r="E85" s="9"/>
      <x:c r="F85" s="9"/>
      <x:c r="G85" s="8"/>
    </x:row>
    <x:row r="86">
      <x:c r="A86" s="9" t="str">
        <x:v>Regulă</x:v>
      </x:c>
      <x:c r="B86" s="9" t="str">
        <x:v>Înainte</x:v>
      </x:c>
      <x:c r="C86" s="9" t="str">
        <x:v>Update</x:v>
      </x:c>
      <x:c r="D86" s="9" t="str">
        <x:v>După</x:v>
      </x:c>
      <x:c r="E86" s="9" t="str">
        <x:v>Impact</x:v>
      </x:c>
      <x:c r="F86" s="9" t="str">
        <x:v>Status</x:v>
      </x:c>
      <x:c r="G86" s="8"/>
    </x:row>
    <x:row r="87" ht="28.5" customHeight="1">
      <x:c r="A87" s="9" t="str">
        <x:v>Motor line-specific</x:v>
      </x:c>
      <x:c r="B87" s="9" t="str">
        <x:v>corect deja</x:v>
      </x:c>
      <x:c r="C87" s="9" t="str">
        <x:v>păstrat floor U3,5=2; U4,5=1; U5,5=1</x:v>
      </x:c>
      <x:c r="D87" s="9" t="str">
        <x:v>neschimbat</x:v>
      </x:c>
      <x:c r="E87" s="9" t="str">
        <x:v>fără retro-fit</x:v>
      </x:c>
      <x:c r="F87" s="9" t="str">
        <x:v>PASS</x:v>
      </x:c>
      <x:c r="G87" s="8"/>
    </x:row>
    <x:row r="88" ht="28.5" customHeight="1">
      <x:c r="A88" s="9" t="str">
        <x:v>Verdict</x:v>
      </x:c>
      <x:c r="B88" s="9" t="str">
        <x:v>putea fi mai bun decât Risk Level în anumite combinații</x:v>
      </x:c>
      <x:c r="C88" s="9" t="str">
        <x:v>formula P5:P7 plafonează verdictul la categoria Risk</x:v>
      </x:c>
      <x:c r="D88" s="9" t="str">
        <x:v>Risk 3 nu poate deveni PRUDENT; Risk 4 nu poate deveni MODERAT</x:v>
      </x:c>
      <x:c r="E88" s="9" t="str">
        <x:v>regulă unică</x:v>
      </x:c>
      <x:c r="F88" s="9" t="str">
        <x:v>PASS</x:v>
      </x:c>
      <x:c r="G88" s="8"/>
    </x:row>
    <x:row r="89">
      <x:c r="A89" s="9" t="str">
        <x:v>Risk_Classification</x:v>
      </x:c>
      <x:c r="B89" s="9" t="str">
        <x:v>generic/legacy</x:v>
      </x:c>
      <x:c r="C89" s="9" t="str">
        <x:v>marcat REFERENCE ONLY</x:v>
      </x:c>
      <x:c r="D89" s="9" t="str">
        <x:v>autoritatea este motorul Multi-Line</x:v>
      </x:c>
      <x:c r="E89" s="9" t="str">
        <x:v>elimină ambiguitatea</x:v>
      </x:c>
      <x:c r="F89" s="9" t="str">
        <x:v>PASS</x:v>
      </x:c>
      <x:c r="G89" s="8"/>
    </x:row>
    <x:row r="94" ht="65" customHeight="1">
      <x:c r="A94" s="214" t="str">
        <x:v>12.09.2026</x:v>
      </x:c>
      <x:c r="B94" s="214" t="str">
        <x:v>optimizat_V2</x:v>
      </x:c>
      <x:c r="C94" s="214" t="str">
        <x:v>UNDER MULTI-LINE STATISTIC v11</x:v>
      </x:c>
      <x:c r="D94" s="214" t="str">
        <x:v>Remediere integrală aprobată: selector unic, fără cote/EV, gates reconectate, inputuri centralizate, istoric păstrat.</x:v>
      </x:c>
    </x:row>
    <x:row r="95" ht="65" customHeight="1">
      <x:c r="A95" s="214" t="str">
        <x:v>Metodologie</x:v>
      </x:c>
      <x:c r="B95" s="214" t="str">
        <x:v>Confidence</x:v>
      </x:c>
      <x:c r="C95" s="214" t="str">
        <x:v>70 defensiv; 60 pentru celelalte recomandări</x:v>
      </x:c>
      <x:c r="D95" s="214" t="str">
        <x:v>Sub prag WATCH; hard fail păstrează NO BET. Extindere explicită provizorie.</x:v>
      </x:c>
    </x:row>
    <x:row r="96" ht="65" customHeight="1">
      <x:c r="A96" s="214" t="str">
        <x:v>Calibrare</x:v>
      </x:c>
      <x:c r="B96" s="214" t="str">
        <x:v>Motor fără preț</x:v>
      </x:c>
      <x:c r="C96" s="214" t="str">
        <x:v>Penalizare globală nouă 0</x:v>
      </x:c>
      <x:c r="D96" s="214" t="str">
        <x:v>Rămâne neutră până la frozen OOS; parametrii vechi nu se transferă automat.</x:v>
      </x:c>
    </x:row>
    <x:row r="97" ht="65" customHeight="1">
      <x:c r="A97" s="214" t="str">
        <x:v>Native input</x:v>
      </x:c>
      <x:c r="B97" s="214" t="str">
        <x:v>Zero ≠ necunoscut</x:v>
      </x:c>
      <x:c r="C97" s="214" t="str">
        <x:v>Fără fallback Tail=35 / Vol=0</x:v>
      </x:c>
      <x:c r="D97" s="214" t="str">
        <x:v>Prior/shrinkage documentat sau sourcing reluat.</x:v>
      </x:c>
    </x:row>
    <x:row r="98" ht="65" customHeight="1">
      <x:c r="A98" s="214" t="str">
        <x:v>QA</x:v>
      </x:c>
      <x:c r="B98" s="214" t="str">
        <x:v>Scenarii controlate</x:v>
      </x:c>
      <x:c r="C98" s="214" t="str">
        <x:v>Separat de istoricul meciurilor</x:v>
      </x:c>
      <x:c r="D98" s="214" t="str">
        <x:v>57 verificări controlate trecute. Structura Excel este reconstruită pentru a elimina formulele shared vechi. Verificarea tehnică nu reprezintă validare statistică OOS.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Pr>
    <x:tabColor rgb="FF117E80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0" hidden="0" customWidth="1"/>
    <x:col min="2" max="2" width="119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</x:cols>
  <x:sheetData>
    <x:row r="1" ht="23" customHeight="1">
      <x:c r="A1" s="173" t="str">
        <x:v>GHIDUL MODELULUI MULTI-LINE</x:v>
      </x:c>
      <x:c r="B1" s="172"/>
      <x:c r="C1" s="172"/>
      <x:c r="D1" s="172"/>
      <x:c r="E1" s="172"/>
      <x:c r="F1" s="172"/>
      <x:c r="G1" s="172"/>
      <x:c r="H1" s="172"/>
      <x:c r="I1" s="172"/>
      <x:c r="J1" s="172"/>
      <x:c r="K1" s="172"/>
      <x:c r="L1" s="172"/>
      <x:c r="M1" s="172"/>
      <x:c r="N1" s="172"/>
      <x:c r="O1" s="172"/>
      <x:c r="P1" s="172"/>
      <x:c r="Q1" s="172"/>
      <x:c r="R1" s="172"/>
      <x:c r="S1" s="172"/>
      <x:c r="T1" s="172"/>
      <x:c r="U1" s="172"/>
    </x:row>
    <x:row r="2" ht="23" customHeight="1">
      <x:c r="A2" s="172"/>
      <x:c r="B2" s="172"/>
      <x:c r="C2" s="172"/>
      <x:c r="D2" s="172"/>
      <x:c r="E2" s="172"/>
      <x:c r="F2" s="172"/>
      <x:c r="G2" s="172"/>
      <x:c r="H2" s="172"/>
      <x:c r="I2" s="172"/>
      <x:c r="J2" s="172"/>
      <x:c r="K2" s="172"/>
      <x:c r="L2" s="172"/>
      <x:c r="M2" s="172"/>
      <x:c r="N2" s="172"/>
      <x:c r="O2" s="172"/>
      <x:c r="P2" s="172"/>
      <x:c r="Q2" s="172"/>
      <x:c r="R2" s="172"/>
      <x:c r="S2" s="172"/>
      <x:c r="T2" s="172"/>
      <x:c r="U2" s="172"/>
    </x:row>
    <x:row r="3" ht="23" customHeight="1">
      <x:c r="A3" s="174" t="str">
        <x:v>Metodologie UNDER MULTI-LINE STATISTIC v11 · workbook optimizat_V2 · 12.09.2026</x:v>
      </x:c>
      <x:c r="B3" s="172"/>
      <x:c r="C3" s="172"/>
      <x:c r="D3" s="172"/>
      <x:c r="E3" s="172"/>
      <x:c r="F3" s="172"/>
      <x:c r="G3" s="172"/>
      <x:c r="H3" s="172"/>
      <x:c r="I3" s="172"/>
      <x:c r="J3" s="172"/>
      <x:c r="K3" s="172"/>
      <x:c r="L3" s="172"/>
      <x:c r="M3" s="172"/>
      <x:c r="N3" s="172"/>
      <x:c r="O3" s="172"/>
      <x:c r="P3" s="172"/>
      <x:c r="Q3" s="172"/>
      <x:c r="R3" s="172"/>
      <x:c r="S3" s="172"/>
      <x:c r="T3" s="172"/>
      <x:c r="U3" s="172"/>
    </x:row>
    <x:row r="4" ht="23" customHeight="1">
      <x:c r="A4" s="172"/>
      <x:c r="B4" s="172"/>
      <x:c r="C4" s="172"/>
      <x:c r="D4" s="172"/>
      <x:c r="E4" s="172"/>
      <x:c r="F4" s="172"/>
      <x:c r="G4" s="172"/>
      <x:c r="H4" s="172"/>
      <x:c r="I4" s="172"/>
      <x:c r="J4" s="172"/>
      <x:c r="K4" s="172"/>
      <x:c r="L4" s="172"/>
      <x:c r="M4" s="172"/>
      <x:c r="N4" s="172"/>
      <x:c r="O4" s="172"/>
      <x:c r="P4" s="172"/>
      <x:c r="Q4" s="172"/>
      <x:c r="R4" s="172"/>
      <x:c r="S4" s="172"/>
      <x:c r="T4" s="172"/>
      <x:c r="U4" s="172"/>
    </x:row>
    <x:row r="5" ht="36" customHeight="1">
      <x:c r="A5" s="181" t="str">
        <x:v>Subiect</x:v>
      </x:c>
      <x:c r="B5" s="181" t="str">
        <x:v>Regula curentă</x:v>
      </x:c>
      <x:c r="C5" s="172"/>
      <x:c r="D5" s="172"/>
      <x:c r="E5" s="172"/>
      <x:c r="F5" s="172"/>
      <x:c r="G5" s="172"/>
      <x:c r="H5" s="172"/>
      <x:c r="I5" s="172"/>
      <x:c r="J5" s="172"/>
      <x:c r="K5" s="172"/>
      <x:c r="L5" s="172"/>
      <x:c r="M5" s="172"/>
      <x:c r="N5" s="172"/>
      <x:c r="O5" s="172"/>
      <x:c r="P5" s="172"/>
      <x:c r="Q5" s="172"/>
      <x:c r="R5" s="172"/>
      <x:c r="S5" s="172"/>
      <x:c r="T5" s="172"/>
      <x:c r="U5" s="172"/>
    </x:row>
    <x:row r="6" ht="62" customHeight="1">
      <x:c r="A6" s="187" t="str">
        <x:v>Scop</x:v>
      </x:c>
      <x:c r="B6" s="187" t="str">
        <x:v>Modelul evaluează Under 3,5, Under 4,5 și Under 5,5 dintr-o singură distribuție de goluri. Fiecare linie are propriul failure, risc și verdict.</x:v>
      </x:c>
      <x:c r="C6" s="172"/>
      <x:c r="D6" s="172"/>
      <x:c r="E6" s="172"/>
      <x:c r="F6" s="172"/>
      <x:c r="G6" s="172"/>
      <x:c r="H6" s="172"/>
      <x:c r="I6" s="172"/>
      <x:c r="J6" s="172"/>
      <x:c r="K6" s="172"/>
      <x:c r="L6" s="172"/>
      <x:c r="M6" s="172"/>
      <x:c r="N6" s="172"/>
      <x:c r="O6" s="172"/>
      <x:c r="P6" s="172"/>
      <x:c r="Q6" s="172"/>
      <x:c r="R6" s="172"/>
      <x:c r="S6" s="172"/>
      <x:c r="T6" s="172"/>
      <x:c r="U6" s="172"/>
    </x:row>
    <x:row r="7" ht="62" customHeight="1">
      <x:c r="A7" s="187" t="str">
        <x:v>Versiuni distincte</x:v>
      </x:c>
      <x:c r="B7" s="187" t="str">
        <x:v>optimizat_V2 identifică fișierul. UNDER MULTI-LINE STATISTIC v11 identifică metodologia care elimină cotele din estimarea golurilor.</x:v>
      </x:c>
      <x:c r="C7" s="172"/>
      <x:c r="D7" s="172"/>
      <x:c r="E7" s="172"/>
      <x:c r="F7" s="172"/>
      <x:c r="G7" s="172"/>
      <x:c r="H7" s="172"/>
      <x:c r="I7" s="172"/>
      <x:c r="J7" s="172"/>
      <x:c r="K7" s="172"/>
      <x:c r="L7" s="172"/>
      <x:c r="M7" s="172"/>
      <x:c r="N7" s="172"/>
      <x:c r="O7" s="172"/>
      <x:c r="P7" s="172"/>
      <x:c r="Q7" s="172"/>
      <x:c r="R7" s="172"/>
      <x:c r="S7" s="172"/>
      <x:c r="T7" s="172"/>
      <x:c r="U7" s="172"/>
    </x:row>
    <x:row r="8" ht="62" customHeight="1">
      <x:c r="A8" s="187" t="str">
        <x:v>Autoritate unică</x:v>
      </x:c>
      <x:c r="B8" s="187" t="str">
        <x:v>Under_MultiLine_v9, coloana P, este singurul selector activ. Dashboard, Model adaptiv, Tail Risk și Risk_Classification citesc același rezultat. Denumirile tehnice ale foilor sunt păstrate pentru compatibilitate.</x:v>
      </x:c>
      <x:c r="C8" s="172"/>
      <x:c r="D8" s="172"/>
      <x:c r="E8" s="172"/>
      <x:c r="F8" s="172"/>
      <x:c r="G8" s="172"/>
      <x:c r="H8" s="172"/>
      <x:c r="I8" s="172"/>
      <x:c r="J8" s="172"/>
      <x:c r="K8" s="172"/>
      <x:c r="L8" s="172"/>
      <x:c r="M8" s="172"/>
      <x:c r="N8" s="172"/>
      <x:c r="O8" s="172"/>
      <x:c r="P8" s="172"/>
      <x:c r="Q8" s="172"/>
      <x:c r="R8" s="172"/>
      <x:c r="S8" s="172"/>
      <x:c r="T8" s="172"/>
      <x:c r="U8" s="172"/>
    </x:row>
    <x:row r="9" ht="62" customHeight="1">
      <x:c r="A9" s="187" t="str">
        <x:v>Date</x:v>
      </x:c>
      <x:c r="B9" s="187" t="str">
        <x:v>Toate inputurile curente sunt în Date statistice. Pentru fiecare indicator: valoare, N, prior și N prior dacă există, statut, sursă, cutoff și metodă. Valorile importate din exemplul vechi necesită reverificare.</x:v>
      </x:c>
      <x:c r="C9" s="172"/>
      <x:c r="D9" s="172"/>
      <x:c r="E9" s="172"/>
      <x:c r="F9" s="172"/>
      <x:c r="G9" s="172"/>
      <x:c r="H9" s="172"/>
      <x:c r="I9" s="172"/>
      <x:c r="J9" s="172"/>
      <x:c r="K9" s="172"/>
      <x:c r="L9" s="172"/>
      <x:c r="M9" s="172"/>
      <x:c r="N9" s="172"/>
      <x:c r="O9" s="172"/>
      <x:c r="P9" s="172"/>
      <x:c r="Q9" s="172"/>
      <x:c r="R9" s="172"/>
      <x:c r="S9" s="172"/>
      <x:c r="T9" s="172"/>
      <x:c r="U9" s="172"/>
    </x:row>
    <x:row r="10" ht="62" customHeight="1">
      <x:c r="A10" s="187" t="str">
        <x:v>Statistică</x:v>
      </x:c>
      <x:c r="B10" s="187" t="str">
        <x:v>Se folosesc xG și xGA relevante H/A, xG recent și date europene când se aplică. xG nu este prezentat drept npxG. Un proxy este etichetat explicit.</x:v>
      </x:c>
      <x:c r="C10" s="172"/>
      <x:c r="D10" s="172"/>
      <x:c r="E10" s="172"/>
      <x:c r="F10" s="172"/>
      <x:c r="G10" s="172"/>
      <x:c r="H10" s="172"/>
      <x:c r="I10" s="172"/>
      <x:c r="J10" s="172"/>
      <x:c r="K10" s="172"/>
      <x:c r="L10" s="172"/>
      <x:c r="M10" s="172"/>
      <x:c r="N10" s="172"/>
      <x:c r="O10" s="172"/>
      <x:c r="P10" s="172"/>
      <x:c r="Q10" s="172"/>
      <x:c r="R10" s="172"/>
      <x:c r="S10" s="172"/>
      <x:c r="T10" s="172"/>
      <x:c r="U10" s="172"/>
    </x:row>
    <x:row r="11" ht="62" customHeight="1">
      <x:c r="A11" s="187" t="str">
        <x:v>Prior și sample</x:v>
      </x:c>
      <x:c r="B11" s="187" t="str">
        <x:v>Greutatea curentului este limitată la pragul N. Priorul documentat completează diferența până la prag. Fără prior, N mic reduce gradual ponderea și plafonul Confidence: 60 + 30 × fiabilitatea minimă activă. Cu prior suficient, plafonul revine la 90; statusul SMALL SAMPLE nu adaugă un floor. Regula este provizorie.</x:v>
      </x:c>
      <x:c r="C11" s="172"/>
      <x:c r="D11" s="172"/>
      <x:c r="E11" s="172"/>
      <x:c r="F11" s="172"/>
      <x:c r="G11" s="172"/>
      <x:c r="H11" s="172"/>
      <x:c r="I11" s="172"/>
      <x:c r="J11" s="172"/>
      <x:c r="K11" s="172"/>
      <x:c r="L11" s="172"/>
      <x:c r="M11" s="172"/>
      <x:c r="N11" s="172"/>
      <x:c r="O11" s="172"/>
      <x:c r="P11" s="172"/>
      <x:c r="Q11" s="172"/>
      <x:c r="R11" s="172"/>
      <x:c r="S11" s="172"/>
      <x:c r="T11" s="172"/>
      <x:c r="U11" s="172"/>
    </x:row>
    <x:row r="12" ht="62" customHeight="1">
      <x:c r="A12" s="187" t="str">
        <x:v>Ponderi</x:v>
      </x:c>
      <x:c r="B12" s="187" t="str">
        <x:v>Ponderile componentelor statistice sunt moștenite și renormalizate după eliminarea componentelor bazate pe piață. O componentă indisponibilă confirmat poate fi exclusă numai dacă baza de atac și apărare rămâne identificabilă.</x:v>
      </x:c>
      <x:c r="C12" s="172"/>
      <x:c r="D12" s="172"/>
      <x:c r="E12" s="172"/>
      <x:c r="F12" s="172"/>
      <x:c r="G12" s="172"/>
      <x:c r="H12" s="172"/>
      <x:c r="I12" s="172"/>
      <x:c r="J12" s="172"/>
      <x:c r="K12" s="172"/>
      <x:c r="L12" s="172"/>
      <x:c r="M12" s="172"/>
      <x:c r="N12" s="172"/>
      <x:c r="O12" s="172"/>
      <x:c r="P12" s="172"/>
      <x:c r="Q12" s="172"/>
      <x:c r="R12" s="172"/>
      <x:c r="S12" s="172"/>
      <x:c r="T12" s="172"/>
      <x:c r="U12" s="172"/>
    </x:row>
    <x:row r="13" ht="62" customHeight="1">
      <x:c r="A13" s="187" t="str">
        <x:v>Suprapuneri</x:v>
      </x:c>
      <x:c r="B13" s="187" t="str">
        <x:v>Dacă xG recent este același eșantion cu xG Europa, scrie ACELAȘI EȘANTION EUROPA în câmpul metodă al rândului recent. Motorul nu îl numără de două ori la Cupe / Europa.</x:v>
      </x:c>
      <x:c r="C13" s="172"/>
      <x:c r="D13" s="172"/>
      <x:c r="E13" s="172"/>
      <x:c r="F13" s="172"/>
      <x:c r="G13" s="172"/>
      <x:c r="H13" s="172"/>
      <x:c r="I13" s="172"/>
      <x:c r="J13" s="172"/>
      <x:c r="K13" s="172"/>
      <x:c r="L13" s="172"/>
      <x:c r="M13" s="172"/>
      <x:c r="N13" s="172"/>
      <x:c r="O13" s="172"/>
      <x:c r="P13" s="172"/>
      <x:c r="Q13" s="172"/>
      <x:c r="R13" s="172"/>
      <x:c r="S13" s="172"/>
      <x:c r="T13" s="172"/>
      <x:c r="U13" s="172"/>
    </x:row>
    <x:row r="14" ht="62" customHeight="1">
      <x:c r="A14" s="187" t="str">
        <x:v>Context și lot</x:v>
      </x:c>
      <x:c r="B14" s="187" t="str">
        <x:v>Ajustările sunt aplicate pe lambda statistic, numai cu statut admis și justificare/cutoff. Ajustarea totală este limitată la ±20%. Informația soft neverificată este raportată G1 pending și plafonează Confidence la 60.</x:v>
      </x:c>
      <x:c r="C14" s="172"/>
      <x:c r="D14" s="172"/>
      <x:c r="E14" s="172"/>
      <x:c r="F14" s="172"/>
      <x:c r="G14" s="172"/>
      <x:c r="H14" s="172"/>
      <x:c r="I14" s="172"/>
      <x:c r="J14" s="172"/>
      <x:c r="K14" s="172"/>
      <x:c r="L14" s="172"/>
      <x:c r="M14" s="172"/>
      <x:c r="N14" s="172"/>
      <x:c r="O14" s="172"/>
      <x:c r="P14" s="172"/>
      <x:c r="Q14" s="172"/>
      <x:c r="R14" s="172"/>
      <x:c r="S14" s="172"/>
      <x:c r="T14" s="172"/>
      <x:c r="U14" s="172"/>
    </x:row>
    <x:row r="15" ht="62" customHeight="1">
      <x:c r="A15" s="187" t="str">
        <x:v>Lineup</x:v>
      </x:c>
      <x:c r="B15" s="187" t="str">
        <x:v>PENDING OFFICIAL nu produce automat G0 FAIL. Pentru o informație de lot critică se precizează DA, linia afectată și motivul. Pending critic =&gt; sourcing neînchis; NOT AVAILABLE / SOURCE CONFLICT critic =&gt; FAIL.</x:v>
      </x:c>
      <x:c r="C15" s="172"/>
      <x:c r="D15" s="172"/>
      <x:c r="E15" s="172"/>
      <x:c r="F15" s="172"/>
      <x:c r="G15" s="172"/>
      <x:c r="H15" s="172"/>
      <x:c r="I15" s="172"/>
      <x:c r="J15" s="172"/>
      <x:c r="K15" s="172"/>
      <x:c r="L15" s="172"/>
      <x:c r="M15" s="172"/>
      <x:c r="N15" s="172"/>
      <x:c r="O15" s="172"/>
      <x:c r="P15" s="172"/>
      <x:c r="Q15" s="172"/>
      <x:c r="R15" s="172"/>
      <x:c r="S15" s="172"/>
      <x:c r="T15" s="172"/>
      <x:c r="U15" s="172"/>
    </x:row>
    <x:row r="16" ht="62" customHeight="1">
      <x:c r="A16" s="187" t="str">
        <x:v>Distribuție</x:v>
      </x:c>
      <x:c r="B16" s="187" t="str">
        <x:v>Mixture Poisson + Negative Binomial, r=4 și pondere NB=65% moștenite ca punct de pornire. Parametrii rămân provizorii până la validare pe date frozen OOS. Distribuția include și masa reziduală peste 40 de goluri.</x:v>
      </x:c>
      <x:c r="C16" s="172"/>
      <x:c r="D16" s="172"/>
      <x:c r="E16" s="172"/>
      <x:c r="F16" s="172"/>
      <x:c r="G16" s="172"/>
      <x:c r="H16" s="172"/>
      <x:c r="I16" s="172"/>
      <x:c r="J16" s="172"/>
      <x:c r="K16" s="172"/>
      <x:c r="L16" s="172"/>
      <x:c r="M16" s="172"/>
      <x:c r="N16" s="172"/>
      <x:c r="O16" s="172"/>
      <x:c r="P16" s="172"/>
      <x:c r="Q16" s="172"/>
      <x:c r="R16" s="172"/>
      <x:c r="S16" s="172"/>
      <x:c r="T16" s="172"/>
      <x:c r="U16" s="172"/>
    </x:row>
    <x:row r="17" ht="62" customHeight="1">
      <x:c r="A17" s="187" t="str">
        <x:v>Failure pe linie</x:v>
      </x:c>
      <x:c r="B17" s="187" t="str">
        <x:v>U3,5: exact 4 + 5+. U4,5: exact 5 + 6+. U5,5: exact 6 + 7+. Probabilitățile sunt derivate din motor; nu se cer ca valori web separate.</x:v>
      </x:c>
      <x:c r="C17" s="172"/>
      <x:c r="D17" s="172"/>
      <x:c r="E17" s="172"/>
      <x:c r="F17" s="172"/>
      <x:c r="G17" s="172"/>
      <x:c r="H17" s="172"/>
      <x:c r="I17" s="172"/>
      <x:c r="J17" s="172"/>
      <x:c r="K17" s="172"/>
      <x:c r="L17" s="172"/>
      <x:c r="M17" s="172"/>
      <x:c r="N17" s="172"/>
      <x:c r="O17" s="172"/>
      <x:c r="P17" s="172"/>
      <x:c r="Q17" s="172"/>
      <x:c r="R17" s="172"/>
      <x:c r="S17" s="172"/>
      <x:c r="T17" s="172"/>
      <x:c r="U17" s="172"/>
    </x:row>
    <x:row r="18" ht="62" customHeight="1">
      <x:c r="A18" s="187" t="str">
        <x:v>P ajustată</x:v>
      </x:c>
      <x:c r="B18" s="187" t="str">
        <x:v>P raw minus penalizările aplicabile, cu limită 0–99,5%. A fost eliminat pragul inferior artificial de 50%. Calibrarea motorului anterior nu se transferă automat la motorul fără cote; penalizarea globală nouă este inițial 0.</x:v>
      </x:c>
      <x:c r="C18" s="172"/>
      <x:c r="D18" s="172"/>
      <x:c r="E18" s="172"/>
      <x:c r="F18" s="172"/>
      <x:c r="G18" s="172"/>
      <x:c r="H18" s="172"/>
      <x:c r="I18" s="172"/>
      <x:c r="J18" s="172"/>
      <x:c r="K18" s="172"/>
      <x:c r="L18" s="172"/>
      <x:c r="M18" s="172"/>
      <x:c r="N18" s="172"/>
      <x:c r="O18" s="172"/>
      <x:c r="P18" s="172"/>
      <x:c r="Q18" s="172"/>
      <x:c r="R18" s="172"/>
      <x:c r="S18" s="172"/>
      <x:c r="T18" s="172"/>
      <x:c r="U18" s="172"/>
    </x:row>
    <x:row r="19" ht="62" customHeight="1">
      <x:c r="A19" s="187" t="str">
        <x:v>Preț și EV</x:v>
      </x:c>
      <x:c r="B19" s="187" t="str">
        <x:v>Cotele nu intră în lambda, distribuție, Risk Score, Confidence, gate-uri sau verdict. EV și profitul sunt informații economice separate. Schimbarea cotei nu schimbă recomandarea tehnică.</x:v>
      </x:c>
      <x:c r="C19" s="172"/>
      <x:c r="D19" s="172"/>
      <x:c r="E19" s="172"/>
      <x:c r="F19" s="172"/>
      <x:c r="G19" s="172"/>
      <x:c r="H19" s="172"/>
      <x:c r="I19" s="172"/>
      <x:c r="J19" s="172"/>
      <x:c r="K19" s="172"/>
      <x:c r="L19" s="172"/>
      <x:c r="M19" s="172"/>
      <x:c r="N19" s="172"/>
      <x:c r="O19" s="172"/>
      <x:c r="P19" s="172"/>
      <x:c r="Q19" s="172"/>
      <x:c r="R19" s="172"/>
      <x:c r="S19" s="172"/>
      <x:c r="T19" s="172"/>
      <x:c r="U19" s="172"/>
    </x:row>
    <x:row r="20" ht="62" customHeight="1">
      <x:c r="A20" s="187" t="str">
        <x:v>Tail U4,5</x:v>
      </x:c>
      <x:c r="B20" s="187" t="str">
        <x:v>Tail Risk este suma ponderată a celor nouă componente verificate sau susținute de prior. Dacă lipsesc, nu se introduce 35 sau zero. Tail &gt;40 ori volatilitate ≥70 =&gt; nivel 5 / NO BET. Tail &gt;30–40 ori volatilitate ≥50 și &lt;70 =&gt; cel mult PRUDENT.</x:v>
      </x:c>
      <x:c r="C20" s="172"/>
      <x:c r="D20" s="172"/>
      <x:c r="E20" s="172"/>
      <x:c r="F20" s="172"/>
      <x:c r="G20" s="172"/>
      <x:c r="H20" s="172"/>
      <x:c r="I20" s="172"/>
      <x:c r="J20" s="172"/>
      <x:c r="K20" s="172"/>
      <x:c r="L20" s="172"/>
      <x:c r="M20" s="172"/>
      <x:c r="N20" s="172"/>
      <x:c r="O20" s="172"/>
      <x:c r="P20" s="172"/>
      <x:c r="Q20" s="172"/>
      <x:c r="R20" s="172"/>
      <x:c r="S20" s="172"/>
      <x:c r="T20" s="172"/>
      <x:c r="U20" s="172"/>
    </x:row>
    <x:row r="21" ht="62" customHeight="1">
      <x:c r="A21" s="187" t="str">
        <x:v>Celelalte linii</x:v>
      </x:c>
      <x:c r="B21" s="187" t="str">
        <x:v>Gate-urile numerice 30/40 și 50/70 nu sunt copiate pe U3,5/U5,5. Aceste linii folosesc propriile failure tails și praguri OOS; volatilitatea observată intră în componenta contextuală a scorului.</x:v>
      </x:c>
      <x:c r="C21" s="172"/>
      <x:c r="D21" s="172"/>
      <x:c r="E21" s="172"/>
      <x:c r="F21" s="172"/>
      <x:c r="G21" s="172"/>
      <x:c r="H21" s="172"/>
      <x:c r="I21" s="172"/>
      <x:c r="J21" s="172"/>
      <x:c r="K21" s="172"/>
      <x:c r="L21" s="172"/>
      <x:c r="M21" s="172"/>
      <x:c r="N21" s="172"/>
      <x:c r="O21" s="172"/>
      <x:c r="P21" s="172"/>
      <x:c r="Q21" s="172"/>
      <x:c r="R21" s="172"/>
      <x:c r="S21" s="172"/>
      <x:c r="T21" s="172"/>
      <x:c r="U21" s="172"/>
    </x:row>
    <x:row r="22" ht="62" customHeight="1">
      <x:c r="A22" s="187" t="str">
        <x:v>Near-tail</x:v>
      </x:c>
      <x:c r="B22" s="187" t="str">
        <x:v>Pragurile near/severe se activează numai când sunt completate coerent și marcate VALIDATED FROZEN OOS. Până atunci: MONITOR. Nu se inventează praguri din rezultatele celor 83 de meciuri.</x:v>
      </x:c>
      <x:c r="C22" s="172"/>
      <x:c r="D22" s="172"/>
      <x:c r="E22" s="172"/>
      <x:c r="F22" s="172"/>
      <x:c r="G22" s="172"/>
      <x:c r="H22" s="172"/>
      <x:c r="I22" s="172"/>
      <x:c r="J22" s="172"/>
      <x:c r="K22" s="172"/>
      <x:c r="L22" s="172"/>
      <x:c r="M22" s="172"/>
      <x:c r="N22" s="172"/>
      <x:c r="O22" s="172"/>
      <x:c r="P22" s="172"/>
      <x:c r="Q22" s="172"/>
      <x:c r="R22" s="172"/>
      <x:c r="S22" s="172"/>
      <x:c r="T22" s="172"/>
      <x:c r="U22" s="172"/>
    </x:row>
    <x:row r="23" ht="62" customHeight="1">
      <x:c r="A23" s="187" t="str">
        <x:v>P5 surcharge</x:v>
      </x:c>
      <x:c r="B23" s="187" t="str">
        <x:v>Clasa MODERAT/RIDICAT poate coborî o singură clasă de risc, fără a produce singură nivel 5. P5 RIDICAT plafonează U4,5 la cel mult PRUDENT. Haircut-urile P5 rămân 0 până la calibrare.</x:v>
      </x:c>
      <x:c r="C23" s="172"/>
      <x:c r="D23" s="172"/>
      <x:c r="E23" s="172"/>
      <x:c r="F23" s="172"/>
      <x:c r="G23" s="172"/>
      <x:c r="H23" s="172"/>
      <x:c r="I23" s="172"/>
      <x:c r="J23" s="172"/>
      <x:c r="K23" s="172"/>
      <x:c r="L23" s="172"/>
      <x:c r="M23" s="172"/>
      <x:c r="N23" s="172"/>
      <x:c r="O23" s="172"/>
      <x:c r="P23" s="172"/>
      <x:c r="Q23" s="172"/>
      <x:c r="R23" s="172"/>
      <x:c r="S23" s="172"/>
      <x:c r="T23" s="172"/>
      <x:c r="U23" s="172"/>
    </x:row>
    <x:row r="24" ht="62" customHeight="1">
      <x:c r="A24" s="187" t="str">
        <x:v>NearTailScore</x:v>
      </x:c>
      <x:c r="B24" s="187" t="str">
        <x:v>Pentru U4,5, scorul de ranking combină Poisson, NB și un singur segment empiric eligibil, cu ponderi pilot egale renormalizate pe componente disponibile. P5 empiric absent nu blochează un motor valid.</x:v>
      </x:c>
      <x:c r="C24" s="172"/>
      <x:c r="D24" s="172"/>
      <x:c r="E24" s="172"/>
      <x:c r="F24" s="172"/>
      <x:c r="G24" s="172"/>
      <x:c r="H24" s="172"/>
      <x:c r="I24" s="172"/>
      <x:c r="J24" s="172"/>
      <x:c r="K24" s="172"/>
      <x:c r="L24" s="172"/>
      <x:c r="M24" s="172"/>
      <x:c r="N24" s="172"/>
      <x:c r="O24" s="172"/>
      <x:c r="P24" s="172"/>
      <x:c r="Q24" s="172"/>
      <x:c r="R24" s="172"/>
      <x:c r="S24" s="172"/>
      <x:c r="T24" s="172"/>
      <x:c r="U24" s="172"/>
    </x:row>
    <x:row r="25" ht="62" customHeight="1">
      <x:c r="A25" s="187" t="str">
        <x:v>Confidence</x:v>
      </x:c>
      <x:c r="B25" s="187" t="str">
        <x:v>Baza se plafonează la 90 pentru sursă bună sau 60 pentru proxy/G1 neclar. Startul de sezon scade 10 puncte; tail OOS pending scade 8; nivelul 4+ scade 5. La U4,5, Tail peste 30 scade suplimentar 0,3 puncte per punct Tail.</x:v>
      </x:c>
      <x:c r="C25" s="172"/>
      <x:c r="D25" s="172"/>
      <x:c r="E25" s="172"/>
      <x:c r="F25" s="172"/>
      <x:c r="G25" s="172"/>
      <x:c r="H25" s="172"/>
      <x:c r="I25" s="172"/>
      <x:c r="J25" s="172"/>
      <x:c r="K25" s="172"/>
      <x:c r="L25" s="172"/>
      <x:c r="M25" s="172"/>
      <x:c r="N25" s="172"/>
      <x:c r="O25" s="172"/>
      <x:c r="P25" s="172"/>
      <x:c r="Q25" s="172"/>
      <x:c r="R25" s="172"/>
      <x:c r="S25" s="172"/>
      <x:c r="T25" s="172"/>
      <x:c r="U25" s="172"/>
    </x:row>
    <x:row r="26" ht="62" customHeight="1">
      <x:c r="A26" s="187" t="str">
        <x:v>Confidence și verdict</x:v>
      </x:c>
      <x:c r="B26" s="187" t="str">
        <x:v>Pragurile 70 pentru DEFENSIV și 60 pentru PRUDENT sunt moștenite. În v11, pragul 60 este extins explicit la MODERAT/RIDICAT pentru un tratament complet; sub prag rezultă WATCH, dacă nu există hard fail. Regula este provizorie și declarată înaintea oricărei rulări.</x:v>
      </x:c>
      <x:c r="C26" s="172"/>
      <x:c r="D26" s="172"/>
      <x:c r="E26" s="172"/>
      <x:c r="F26" s="172"/>
      <x:c r="G26" s="172"/>
      <x:c r="H26" s="172"/>
      <x:c r="I26" s="172"/>
      <x:c r="J26" s="172"/>
      <x:c r="K26" s="172"/>
      <x:c r="L26" s="172"/>
      <x:c r="M26" s="172"/>
      <x:c r="N26" s="172"/>
      <x:c r="O26" s="172"/>
      <x:c r="P26" s="172"/>
      <x:c r="Q26" s="172"/>
      <x:c r="R26" s="172"/>
      <x:c r="S26" s="172"/>
      <x:c r="T26" s="172"/>
      <x:c r="U26" s="172"/>
    </x:row>
    <x:row r="27" ht="62" customHeight="1">
      <x:c r="A27" s="187" t="str">
        <x:v>Praguri P</x:v>
      </x:c>
      <x:c r="B27" s="187" t="str">
        <x:v>U3,5: 82% / 76% / 68%; U4,5: 88% / 82% / 76%; U5,5: 90% / 85% / 80%, în ordinea DEFENSIV / PRUDENT / MODERAT. Categoria trebuie permisă simultan de risc și Confidence.</x:v>
      </x:c>
      <x:c r="C27" s="172"/>
      <x:c r="D27" s="172"/>
      <x:c r="E27" s="172"/>
      <x:c r="F27" s="172"/>
      <x:c r="G27" s="172"/>
      <x:c r="H27" s="172"/>
      <x:c r="I27" s="172"/>
      <x:c r="J27" s="172"/>
      <x:c r="K27" s="172"/>
      <x:c r="L27" s="172"/>
      <x:c r="M27" s="172"/>
      <x:c r="N27" s="172"/>
      <x:c r="O27" s="172"/>
      <x:c r="P27" s="172"/>
      <x:c r="Q27" s="172"/>
      <x:c r="R27" s="172"/>
      <x:c r="S27" s="172"/>
      <x:c r="T27" s="172"/>
      <x:c r="U27" s="172"/>
    </x:row>
    <x:row r="28" ht="62" customHeight="1">
      <x:c r="A28" s="187" t="str">
        <x:v>Risk Level</x:v>
      </x:c>
      <x:c r="B28" s="187" t="str">
        <x:v>Scor ≤20: nivel 1; &gt;20–40: nivel 2; &gt;40–60: nivel 3; &gt;60–80: nivel 4; &gt;80 sau hard fail: nivel 5. Floor: U3,5=2; U4,5=1; U5,5=1. Un verdict nu poate fi mai bun decât nivelul de risc.</x:v>
      </x:c>
      <x:c r="C28" s="172"/>
      <x:c r="D28" s="172"/>
      <x:c r="E28" s="172"/>
      <x:c r="F28" s="172"/>
      <x:c r="G28" s="172"/>
      <x:c r="H28" s="172"/>
      <x:c r="I28" s="172"/>
      <x:c r="J28" s="172"/>
      <x:c r="K28" s="172"/>
      <x:c r="L28" s="172"/>
      <x:c r="M28" s="172"/>
      <x:c r="N28" s="172"/>
      <x:c r="O28" s="172"/>
      <x:c r="P28" s="172"/>
      <x:c r="Q28" s="172"/>
      <x:c r="R28" s="172"/>
      <x:c r="S28" s="172"/>
      <x:c r="T28" s="172"/>
      <x:c r="U28" s="172"/>
    </x:row>
    <x:row r="29" ht="62" customHeight="1">
      <x:c r="A29" s="187" t="str">
        <x:v>Data Readiness</x:v>
      </x:c>
      <x:c r="B29" s="187" t="str">
        <x:v>VERIFIED, DERIVED, SMALL SAMPLE, PRIOR / SHRINKAGE și PROXY ONLY pot fi folosite cu valoare/N/trasabilitate valide. AVAILABLE – NOT CHECKED și PENDING OFFICIAL se diferențiază de indisponibilitatea reală.</x:v>
      </x:c>
      <x:c r="C29" s="172"/>
      <x:c r="D29" s="172"/>
      <x:c r="E29" s="172"/>
      <x:c r="F29" s="172"/>
      <x:c r="G29" s="172"/>
      <x:c r="H29" s="172"/>
      <x:c r="I29" s="172"/>
      <x:c r="J29" s="172"/>
      <x:c r="K29" s="172"/>
      <x:c r="L29" s="172"/>
      <x:c r="M29" s="172"/>
      <x:c r="N29" s="172"/>
      <x:c r="O29" s="172"/>
      <x:c r="P29" s="172"/>
      <x:c r="Q29" s="172"/>
      <x:c r="R29" s="172"/>
      <x:c r="S29" s="172"/>
      <x:c r="T29" s="172"/>
      <x:c r="U29" s="172"/>
    </x:row>
    <x:row r="30" ht="62" customHeight="1">
      <x:c r="A30" s="187" t="str">
        <x:v>Release</x:v>
      </x:c>
      <x:c r="B30" s="187" t="str">
        <x:v>NEELIBERAT / NOT RELEASED reprezintă verificare de date sau configurație neînchisă. Nu este WATCH/NO BET inventat. NOT AVAILABLE sau SOURCE CONFLICT produce hard fail numai pentru inputuri critice pentru linie.</x:v>
      </x:c>
      <x:c r="C30" s="172"/>
      <x:c r="D30" s="172"/>
      <x:c r="E30" s="172"/>
      <x:c r="F30" s="172"/>
      <x:c r="G30" s="172"/>
      <x:c r="H30" s="172"/>
      <x:c r="I30" s="172"/>
      <x:c r="J30" s="172"/>
      <x:c r="K30" s="172"/>
      <x:c r="L30" s="172"/>
      <x:c r="M30" s="172"/>
      <x:c r="N30" s="172"/>
      <x:c r="O30" s="172"/>
      <x:c r="P30" s="172"/>
      <x:c r="Q30" s="172"/>
      <x:c r="R30" s="172"/>
      <x:c r="S30" s="172"/>
      <x:c r="T30" s="172"/>
      <x:c r="U30" s="172"/>
    </x:row>
    <x:row r="31" ht="62" customHeight="1">
      <x:c r="A31" s="187" t="str">
        <x:v>Clasament</x:v>
      </x:c>
      <x:c r="B31" s="187" t="str">
        <x:v>Se ordonează numai selecțiile eligibile: Risk Level crescător, near-tail crescător, P ajustată descrescător, Confidence descrescător. Poziția din Q respectă această ordine, fără EV.</x:v>
      </x:c>
      <x:c r="C31" s="172"/>
      <x:c r="D31" s="172"/>
      <x:c r="E31" s="172"/>
      <x:c r="F31" s="172"/>
      <x:c r="G31" s="172"/>
      <x:c r="H31" s="172"/>
      <x:c r="I31" s="172"/>
      <x:c r="J31" s="172"/>
      <x:c r="K31" s="172"/>
      <x:c r="L31" s="172"/>
      <x:c r="M31" s="172"/>
      <x:c r="N31" s="172"/>
      <x:c r="O31" s="172"/>
      <x:c r="P31" s="172"/>
      <x:c r="Q31" s="172"/>
      <x:c r="R31" s="172"/>
      <x:c r="S31" s="172"/>
      <x:c r="T31" s="172"/>
      <x:c r="U31" s="172"/>
    </x:row>
    <x:row r="32" ht="62" customHeight="1">
      <x:c r="A32" s="187" t="str">
        <x:v>Predicții frozen</x:v>
      </x:c>
      <x:c r="B32" s="187" t="str">
        <x:v>În Frozen_Predictions se salvează câte un rând per linie, ca valori, înainte de kickoff. ID-ul este unic, timestampul anterior kickoff-ului și PreMatch_Frozen = DA. Candidații de la baza foii nu sunt predicții înghețate.</x:v>
      </x:c>
      <x:c r="C32" s="172"/>
      <x:c r="D32" s="172"/>
      <x:c r="E32" s="172"/>
      <x:c r="F32" s="172"/>
      <x:c r="G32" s="172"/>
      <x:c r="H32" s="172"/>
      <x:c r="I32" s="172"/>
      <x:c r="J32" s="172"/>
      <x:c r="K32" s="172"/>
      <x:c r="L32" s="172"/>
      <x:c r="M32" s="172"/>
      <x:c r="N32" s="172"/>
      <x:c r="O32" s="172"/>
      <x:c r="P32" s="172"/>
      <x:c r="Q32" s="172"/>
      <x:c r="R32" s="172"/>
      <x:c r="S32" s="172"/>
      <x:c r="T32" s="172"/>
      <x:c r="U32" s="172"/>
    </x:row>
    <x:row r="33" ht="62" customHeight="1">
      <x:c r="A33" s="187" t="str">
        <x:v>Rezultate</x:v>
      </x:c>
      <x:c r="B33" s="187" t="str">
        <x:v>În Settlement se introduc ID-ul, scorul final, sursa și momentul confirmării. Se acceptă numai snapshoturi valide ale metodei active. Un scor parțial/necompletat nu devine rezultat zero.</x:v>
      </x:c>
      <x:c r="C33" s="172"/>
      <x:c r="D33" s="172"/>
      <x:c r="E33" s="172"/>
      <x:c r="F33" s="172"/>
      <x:c r="G33" s="172"/>
      <x:c r="H33" s="172"/>
      <x:c r="I33" s="172"/>
      <x:c r="J33" s="172"/>
      <x:c r="K33" s="172"/>
      <x:c r="L33" s="172"/>
      <x:c r="M33" s="172"/>
      <x:c r="N33" s="172"/>
      <x:c r="O33" s="172"/>
      <x:c r="P33" s="172"/>
      <x:c r="Q33" s="172"/>
      <x:c r="R33" s="172"/>
      <x:c r="S33" s="172"/>
      <x:c r="T33" s="172"/>
      <x:c r="U33" s="172"/>
    </x:row>
    <x:row r="34" ht="62" customHeight="1">
      <x:c r="A34" s="187" t="str">
        <x:v>Profit</x:v>
      </x:c>
      <x:c r="B34" s="187" t="str">
        <x:v>Profitul este calculat numai pentru o selecție eligibilă, rezultat final și cotă &gt;1. În registrul vechi, formulele viitoare folosesc constant PARIU U4,5. Nicio formulă de profit nu alimentează modelul.</x:v>
      </x:c>
      <x:c r="C34" s="172"/>
      <x:c r="D34" s="172"/>
      <x:c r="E34" s="172"/>
      <x:c r="F34" s="172"/>
      <x:c r="G34" s="172"/>
      <x:c r="H34" s="172"/>
      <x:c r="I34" s="172"/>
      <x:c r="J34" s="172"/>
      <x:c r="K34" s="172"/>
      <x:c r="L34" s="172"/>
      <x:c r="M34" s="172"/>
      <x:c r="N34" s="172"/>
      <x:c r="O34" s="172"/>
      <x:c r="P34" s="172"/>
      <x:c r="Q34" s="172"/>
      <x:c r="R34" s="172"/>
      <x:c r="S34" s="172"/>
      <x:c r="T34" s="172"/>
      <x:c r="U34" s="172"/>
    </x:row>
    <x:row r="35" ht="62" customHeight="1">
      <x:c r="A35" s="187" t="str">
        <x:v>Istoric</x:v>
      </x:c>
      <x:c r="B35" s="187" t="str">
        <x:v>Cele 83 de meciuri, predicțiile inițiale și rezultatele sunt păstrate. Calibrare v2, Analiza 83 și Rezumat 83 sunt arhive. Ele nu reprezintă validare OOS a motorului statistic v11.</x:v>
      </x:c>
      <x:c r="C35" s="172"/>
      <x:c r="D35" s="172"/>
      <x:c r="E35" s="172"/>
      <x:c r="F35" s="172"/>
      <x:c r="G35" s="172"/>
      <x:c r="H35" s="172"/>
      <x:c r="I35" s="172"/>
      <x:c r="J35" s="172"/>
      <x:c r="K35" s="172"/>
      <x:c r="L35" s="172"/>
      <x:c r="M35" s="172"/>
      <x:c r="N35" s="172"/>
      <x:c r="O35" s="172"/>
      <x:c r="P35" s="172"/>
      <x:c r="Q35" s="172"/>
      <x:c r="R35" s="172"/>
      <x:c r="S35" s="172"/>
      <x:c r="T35" s="172"/>
      <x:c r="U35" s="172"/>
    </x:row>
    <x:row r="36" ht="62" customHeight="1">
      <x:c r="A36" s="187" t="str">
        <x:v>Cadrul și Matricea</x:v>
      </x:c>
      <x:c r="B36" s="187" t="str">
        <x:v>Implementarea urmează Cadrul v5 și Matricea v4: hard gates înaintea probabilității, floor structural, failure specific liniei, separarea readiness/LD/calibrare, fără EV în riscul tehnic.</x:v>
      </x:c>
      <x:c r="C36" s="172"/>
      <x:c r="D36" s="172"/>
      <x:c r="E36" s="172"/>
      <x:c r="F36" s="172"/>
      <x:c r="G36" s="172"/>
      <x:c r="H36" s="172"/>
      <x:c r="I36" s="172"/>
      <x:c r="J36" s="172"/>
      <x:c r="K36" s="172"/>
      <x:c r="L36" s="172"/>
      <x:c r="M36" s="172"/>
      <x:c r="N36" s="172"/>
      <x:c r="O36" s="172"/>
      <x:c r="P36" s="172"/>
      <x:c r="Q36" s="172"/>
      <x:c r="R36" s="172"/>
      <x:c r="S36" s="172"/>
      <x:c r="T36" s="172"/>
      <x:c r="U36" s="172"/>
    </x:row>
    <x:row r="37" ht="62" customHeight="1">
      <x:c r="A37" s="187" t="str">
        <x:v>Limita validării</x:v>
      </x:c>
      <x:c r="B37" s="187" t="str">
        <x:v>Verificarea tehnică confirmă funcționarea formulelor și a controalelor. Precizia probabilităților și a pragurilor necesită validare viitoare pe predicții frozen OOS; fișierul nu declară această validare efectuată.</x:v>
      </x:c>
      <x:c r="C37" s="172"/>
      <x:c r="D37" s="172"/>
      <x:c r="E37" s="172"/>
      <x:c r="F37" s="172"/>
      <x:c r="G37" s="172"/>
      <x:c r="H37" s="172"/>
      <x:c r="I37" s="172"/>
      <x:c r="J37" s="172"/>
      <x:c r="K37" s="172"/>
      <x:c r="L37" s="172"/>
      <x:c r="M37" s="172"/>
      <x:c r="N37" s="172"/>
      <x:c r="O37" s="172"/>
      <x:c r="P37" s="172"/>
      <x:c r="Q37" s="172"/>
      <x:c r="R37" s="172"/>
      <x:c r="S37" s="172"/>
      <x:c r="T37" s="172"/>
      <x:c r="U37" s="172"/>
    </x:row>
    <x:row r="38" ht="23" customHeight="1">
      <x:c r="A38" s="172"/>
      <x:c r="B38" s="172"/>
      <x:c r="C38" s="172"/>
      <x:c r="D38" s="172"/>
      <x:c r="E38" s="172"/>
      <x:c r="F38" s="172"/>
      <x:c r="G38" s="172"/>
      <x:c r="H38" s="172"/>
      <x:c r="I38" s="172"/>
      <x:c r="J38" s="172"/>
      <x:c r="K38" s="172"/>
      <x:c r="L38" s="172"/>
      <x:c r="M38" s="172"/>
      <x:c r="N38" s="172"/>
      <x:c r="O38" s="172"/>
      <x:c r="P38" s="172"/>
      <x:c r="Q38" s="172"/>
      <x:c r="R38" s="172"/>
      <x:c r="S38" s="172"/>
      <x:c r="T38" s="172"/>
      <x:c r="U38" s="172"/>
    </x:row>
    <x:row r="39" ht="23" customHeight="1">
      <x:c r="A39" s="172"/>
      <x:c r="B39" s="172"/>
      <x:c r="C39" s="172"/>
      <x:c r="D39" s="172"/>
      <x:c r="E39" s="172"/>
      <x:c r="F39" s="172"/>
      <x:c r="G39" s="172"/>
      <x:c r="H39" s="172"/>
      <x:c r="I39" s="172"/>
      <x:c r="J39" s="172"/>
      <x:c r="K39" s="172"/>
      <x:c r="L39" s="172"/>
      <x:c r="M39" s="172"/>
      <x:c r="N39" s="172"/>
      <x:c r="O39" s="172"/>
      <x:c r="P39" s="172"/>
      <x:c r="Q39" s="172"/>
      <x:c r="R39" s="172"/>
      <x:c r="S39" s="172"/>
      <x:c r="T39" s="172"/>
      <x:c r="U39" s="172"/>
    </x:row>
    <x:row r="40" ht="23" customHeight="1">
      <x:c r="A40" s="172"/>
      <x:c r="B40" s="172"/>
      <x:c r="C40" s="172"/>
      <x:c r="D40" s="172"/>
      <x:c r="E40" s="172"/>
      <x:c r="F40" s="172"/>
      <x:c r="G40" s="172"/>
      <x:c r="H40" s="172"/>
      <x:c r="I40" s="172"/>
      <x:c r="J40" s="172"/>
      <x:c r="K40" s="172"/>
      <x:c r="L40" s="172"/>
      <x:c r="M40" s="172"/>
      <x:c r="N40" s="172"/>
      <x:c r="O40" s="172"/>
      <x:c r="P40" s="172"/>
      <x:c r="Q40" s="172"/>
      <x:c r="R40" s="172"/>
      <x:c r="S40" s="172"/>
      <x:c r="T40" s="172"/>
      <x:c r="U40" s="172"/>
    </x:row>
    <x:row r="41" ht="23" customHeight="1">
      <x:c r="A41" s="172"/>
      <x:c r="B41" s="172"/>
      <x:c r="C41" s="172"/>
      <x:c r="D41" s="172"/>
      <x:c r="E41" s="172"/>
      <x:c r="F41" s="172"/>
      <x:c r="G41" s="172"/>
      <x:c r="H41" s="172"/>
      <x:c r="I41" s="172"/>
      <x:c r="J41" s="172"/>
      <x:c r="K41" s="172"/>
      <x:c r="L41" s="172"/>
      <x:c r="M41" s="172"/>
      <x:c r="N41" s="172"/>
      <x:c r="O41" s="172"/>
      <x:c r="P41" s="172"/>
      <x:c r="Q41" s="172"/>
      <x:c r="R41" s="172"/>
      <x:c r="S41" s="172"/>
      <x:c r="T41" s="172"/>
      <x:c r="U41" s="172"/>
    </x:row>
    <x:row r="42" ht="23" customHeight="1">
      <x:c r="A42" s="172"/>
      <x:c r="B42" s="172"/>
      <x:c r="C42" s="172"/>
      <x:c r="D42" s="172"/>
      <x:c r="E42" s="172"/>
      <x:c r="F42" s="172"/>
      <x:c r="G42" s="172"/>
      <x:c r="H42" s="172"/>
      <x:c r="I42" s="172"/>
      <x:c r="J42" s="172"/>
      <x:c r="K42" s="172"/>
      <x:c r="L42" s="172"/>
      <x:c r="M42" s="172"/>
      <x:c r="N42" s="172"/>
      <x:c r="O42" s="172"/>
      <x:c r="P42" s="172"/>
      <x:c r="Q42" s="172"/>
      <x:c r="R42" s="172"/>
      <x:c r="S42" s="172"/>
      <x:c r="T42" s="172"/>
      <x:c r="U42" s="172"/>
    </x:row>
    <x:row r="43" ht="23" customHeight="1">
      <x:c r="A43" s="172"/>
      <x:c r="B43" s="172"/>
      <x:c r="C43" s="172"/>
      <x:c r="D43" s="172"/>
      <x:c r="E43" s="172"/>
      <x:c r="F43" s="172"/>
      <x:c r="G43" s="172"/>
      <x:c r="H43" s="172"/>
      <x:c r="I43" s="172"/>
      <x:c r="J43" s="172"/>
      <x:c r="K43" s="172"/>
      <x:c r="L43" s="172"/>
      <x:c r="M43" s="172"/>
      <x:c r="N43" s="172"/>
      <x:c r="O43" s="172"/>
      <x:c r="P43" s="172"/>
      <x:c r="Q43" s="172"/>
      <x:c r="R43" s="172"/>
      <x:c r="S43" s="172"/>
      <x:c r="T43" s="172"/>
      <x:c r="U43" s="172"/>
    </x:row>
    <x:row r="44" ht="23" customHeight="1">
      <x:c r="A44" s="172"/>
      <x:c r="B44" s="172"/>
      <x:c r="C44" s="172"/>
      <x:c r="D44" s="172"/>
      <x:c r="E44" s="172"/>
      <x:c r="F44" s="172"/>
      <x:c r="G44" s="172"/>
      <x:c r="H44" s="172"/>
      <x:c r="I44" s="172"/>
      <x:c r="J44" s="172"/>
      <x:c r="K44" s="172"/>
      <x:c r="L44" s="172"/>
      <x:c r="M44" s="172"/>
      <x:c r="N44" s="172"/>
      <x:c r="O44" s="172"/>
      <x:c r="P44" s="172"/>
      <x:c r="Q44" s="172"/>
      <x:c r="R44" s="172"/>
      <x:c r="S44" s="172"/>
      <x:c r="T44" s="172"/>
      <x:c r="U44" s="172"/>
    </x:row>
    <x:row r="45" ht="23" customHeight="1">
      <x:c r="A45" s="172"/>
      <x:c r="B45" s="172"/>
      <x:c r="C45" s="172"/>
      <x:c r="D45" s="172"/>
      <x:c r="E45" s="172"/>
      <x:c r="F45" s="172"/>
      <x:c r="G45" s="172"/>
      <x:c r="H45" s="172"/>
      <x:c r="I45" s="172"/>
      <x:c r="J45" s="172"/>
      <x:c r="K45" s="172"/>
      <x:c r="L45" s="172"/>
      <x:c r="M45" s="172"/>
      <x:c r="N45" s="172"/>
      <x:c r="O45" s="172"/>
      <x:c r="P45" s="172"/>
      <x:c r="Q45" s="172"/>
      <x:c r="R45" s="172"/>
      <x:c r="S45" s="172"/>
      <x:c r="T45" s="172"/>
      <x:c r="U45" s="172"/>
    </x:row>
    <x:row r="46" ht="23" customHeight="1">
      <x:c r="A46" s="172"/>
      <x:c r="B46" s="172"/>
      <x:c r="C46" s="172"/>
      <x:c r="D46" s="172"/>
      <x:c r="E46" s="172"/>
      <x:c r="F46" s="172"/>
      <x:c r="G46" s="172"/>
      <x:c r="H46" s="172"/>
      <x:c r="I46" s="172"/>
      <x:c r="J46" s="172"/>
      <x:c r="K46" s="172"/>
      <x:c r="L46" s="172"/>
      <x:c r="M46" s="172"/>
      <x:c r="N46" s="172"/>
      <x:c r="O46" s="172"/>
      <x:c r="P46" s="172"/>
      <x:c r="Q46" s="172"/>
      <x:c r="R46" s="172"/>
      <x:c r="S46" s="172"/>
      <x:c r="T46" s="172"/>
      <x:c r="U46" s="172"/>
    </x:row>
    <x:row r="47" ht="23" customHeight="1">
      <x:c r="A47" s="172"/>
      <x:c r="B47" s="172"/>
      <x:c r="C47" s="172"/>
      <x:c r="D47" s="172"/>
      <x:c r="E47" s="172"/>
      <x:c r="F47" s="172"/>
      <x:c r="G47" s="172"/>
      <x:c r="H47" s="172"/>
      <x:c r="I47" s="172"/>
      <x:c r="J47" s="172"/>
      <x:c r="K47" s="172"/>
      <x:c r="L47" s="172"/>
      <x:c r="M47" s="172"/>
      <x:c r="N47" s="172"/>
      <x:c r="O47" s="172"/>
      <x:c r="P47" s="172"/>
      <x:c r="Q47" s="172"/>
      <x:c r="R47" s="172"/>
      <x:c r="S47" s="172"/>
      <x:c r="T47" s="172"/>
      <x:c r="U47" s="172"/>
    </x:row>
    <x:row r="48" ht="23" customHeight="1">
      <x:c r="A48" s="172"/>
      <x:c r="B48" s="172"/>
      <x:c r="C48" s="172"/>
      <x:c r="D48" s="172"/>
      <x:c r="E48" s="172"/>
      <x:c r="F48" s="172"/>
      <x:c r="G48" s="172"/>
      <x:c r="H48" s="172"/>
      <x:c r="I48" s="172"/>
      <x:c r="J48" s="172"/>
      <x:c r="K48" s="172"/>
      <x:c r="L48" s="172"/>
      <x:c r="M48" s="172"/>
      <x:c r="N48" s="172"/>
      <x:c r="O48" s="172"/>
      <x:c r="P48" s="172"/>
      <x:c r="Q48" s="172"/>
      <x:c r="R48" s="172"/>
      <x:c r="S48" s="172"/>
      <x:c r="T48" s="172"/>
      <x:c r="U48" s="172"/>
    </x:row>
    <x:row r="49" ht="23" customHeight="1">
      <x:c r="A49" s="172"/>
      <x:c r="B49" s="172"/>
      <x:c r="C49" s="172"/>
      <x:c r="D49" s="172"/>
      <x:c r="E49" s="172"/>
      <x:c r="F49" s="172"/>
      <x:c r="G49" s="172"/>
      <x:c r="H49" s="172"/>
      <x:c r="I49" s="172"/>
      <x:c r="J49" s="172"/>
      <x:c r="K49" s="172"/>
      <x:c r="L49" s="172"/>
      <x:c r="M49" s="172"/>
      <x:c r="N49" s="172"/>
      <x:c r="O49" s="172"/>
      <x:c r="P49" s="172"/>
      <x:c r="Q49" s="172"/>
      <x:c r="R49" s="172"/>
      <x:c r="S49" s="172"/>
      <x:c r="T49" s="172"/>
      <x:c r="U49" s="172"/>
    </x:row>
    <x:row r="50" ht="23" customHeight="1">
      <x:c r="A50" s="172"/>
      <x:c r="B50" s="172"/>
      <x:c r="C50" s="172"/>
      <x:c r="D50" s="172"/>
      <x:c r="E50" s="172"/>
      <x:c r="F50" s="172"/>
      <x:c r="G50" s="172"/>
      <x:c r="H50" s="172"/>
      <x:c r="I50" s="172"/>
      <x:c r="J50" s="172"/>
      <x:c r="K50" s="172"/>
      <x:c r="L50" s="172"/>
      <x:c r="M50" s="172"/>
      <x:c r="N50" s="172"/>
      <x:c r="O50" s="172"/>
      <x:c r="P50" s="172"/>
      <x:c r="Q50" s="172"/>
      <x:c r="R50" s="172"/>
      <x:c r="S50" s="172"/>
      <x:c r="T50" s="172"/>
      <x:c r="U50" s="172"/>
    </x:row>
    <x:row r="51" ht="23" customHeight="1">
      <x:c r="A51" s="172"/>
      <x:c r="B51" s="172"/>
      <x:c r="C51" s="172"/>
      <x:c r="D51" s="172"/>
      <x:c r="E51" s="172"/>
      <x:c r="F51" s="172"/>
      <x:c r="G51" s="172"/>
      <x:c r="H51" s="172"/>
      <x:c r="I51" s="172"/>
      <x:c r="J51" s="172"/>
      <x:c r="K51" s="172"/>
      <x:c r="L51" s="172"/>
      <x:c r="M51" s="172"/>
      <x:c r="N51" s="172"/>
      <x:c r="O51" s="172"/>
      <x:c r="P51" s="172"/>
      <x:c r="Q51" s="172"/>
      <x:c r="R51" s="172"/>
      <x:c r="S51" s="172"/>
      <x:c r="T51" s="172"/>
      <x:c r="U51" s="172"/>
    </x:row>
    <x:row r="52" ht="23" customHeight="1">
      <x:c r="A52" s="172"/>
      <x:c r="B52" s="172"/>
      <x:c r="C52" s="172"/>
      <x:c r="D52" s="172"/>
      <x:c r="E52" s="172"/>
      <x:c r="F52" s="172"/>
      <x:c r="G52" s="172"/>
      <x:c r="H52" s="172"/>
      <x:c r="I52" s="172"/>
      <x:c r="J52" s="172"/>
      <x:c r="K52" s="172"/>
      <x:c r="L52" s="172"/>
      <x:c r="M52" s="172"/>
      <x:c r="N52" s="172"/>
      <x:c r="O52" s="172"/>
      <x:c r="P52" s="172"/>
      <x:c r="Q52" s="172"/>
      <x:c r="R52" s="172"/>
      <x:c r="S52" s="172"/>
      <x:c r="T52" s="172"/>
      <x:c r="U52" s="172"/>
    </x:row>
    <x:row r="53" ht="23" customHeight="1">
      <x:c r="A53" s="172"/>
      <x:c r="B53" s="172"/>
      <x:c r="C53" s="172"/>
      <x:c r="D53" s="172"/>
      <x:c r="E53" s="172"/>
      <x:c r="F53" s="172"/>
      <x:c r="G53" s="172"/>
      <x:c r="H53" s="172"/>
      <x:c r="I53" s="172"/>
      <x:c r="J53" s="172"/>
      <x:c r="K53" s="172"/>
      <x:c r="L53" s="172"/>
      <x:c r="M53" s="172"/>
      <x:c r="N53" s="172"/>
      <x:c r="O53" s="172"/>
      <x:c r="P53" s="172"/>
      <x:c r="Q53" s="172"/>
      <x:c r="R53" s="172"/>
      <x:c r="S53" s="172"/>
      <x:c r="T53" s="172"/>
      <x:c r="U53" s="172"/>
    </x:row>
    <x:row r="54" ht="23" customHeight="1">
      <x:c r="A54" s="172"/>
      <x:c r="B54" s="172"/>
      <x:c r="C54" s="172"/>
      <x:c r="D54" s="172"/>
      <x:c r="E54" s="172"/>
      <x:c r="F54" s="172"/>
      <x:c r="G54" s="172"/>
      <x:c r="H54" s="172"/>
      <x:c r="I54" s="172"/>
      <x:c r="J54" s="172"/>
      <x:c r="K54" s="172"/>
      <x:c r="L54" s="172"/>
      <x:c r="M54" s="172"/>
      <x:c r="N54" s="172"/>
      <x:c r="O54" s="172"/>
      <x:c r="P54" s="172"/>
      <x:c r="Q54" s="172"/>
      <x:c r="R54" s="172"/>
      <x:c r="S54" s="172"/>
      <x:c r="T54" s="172"/>
      <x:c r="U54" s="172"/>
    </x:row>
    <x:row r="55" ht="23" customHeight="1">
      <x:c r="A55" s="172"/>
      <x:c r="B55" s="172"/>
      <x:c r="C55" s="172"/>
      <x:c r="D55" s="172"/>
      <x:c r="E55" s="172"/>
      <x:c r="F55" s="172"/>
      <x:c r="G55" s="172"/>
      <x:c r="H55" s="172"/>
      <x:c r="I55" s="172"/>
      <x:c r="J55" s="172"/>
      <x:c r="K55" s="172"/>
      <x:c r="L55" s="172"/>
      <x:c r="M55" s="172"/>
      <x:c r="N55" s="172"/>
      <x:c r="O55" s="172"/>
      <x:c r="P55" s="172"/>
      <x:c r="Q55" s="172"/>
      <x:c r="R55" s="172"/>
      <x:c r="S55" s="172"/>
      <x:c r="T55" s="172"/>
      <x:c r="U55" s="172"/>
    </x:row>
    <x:row r="56" ht="23" customHeight="1">
      <x:c r="A56" s="172"/>
      <x:c r="B56" s="172"/>
      <x:c r="C56" s="172"/>
      <x:c r="D56" s="172"/>
      <x:c r="E56" s="172"/>
      <x:c r="F56" s="172"/>
      <x:c r="G56" s="172"/>
      <x:c r="H56" s="172"/>
      <x:c r="I56" s="172"/>
      <x:c r="J56" s="172"/>
      <x:c r="K56" s="172"/>
      <x:c r="L56" s="172"/>
      <x:c r="M56" s="172"/>
      <x:c r="N56" s="172"/>
      <x:c r="O56" s="172"/>
      <x:c r="P56" s="172"/>
      <x:c r="Q56" s="172"/>
      <x:c r="R56" s="172"/>
      <x:c r="S56" s="172"/>
      <x:c r="T56" s="172"/>
      <x:c r="U56" s="172"/>
    </x:row>
    <x:row r="57" ht="23" customHeight="1">
      <x:c r="A57" s="172"/>
      <x:c r="B57" s="172"/>
      <x:c r="C57" s="172"/>
      <x:c r="D57" s="172"/>
      <x:c r="E57" s="172"/>
      <x:c r="F57" s="172"/>
      <x:c r="G57" s="172"/>
      <x:c r="H57" s="172"/>
      <x:c r="I57" s="172"/>
      <x:c r="J57" s="172"/>
      <x:c r="K57" s="172"/>
      <x:c r="L57" s="172"/>
      <x:c r="M57" s="172"/>
      <x:c r="N57" s="172"/>
      <x:c r="O57" s="172"/>
      <x:c r="P57" s="172"/>
      <x:c r="Q57" s="172"/>
      <x:c r="R57" s="172"/>
      <x:c r="S57" s="172"/>
      <x:c r="T57" s="172"/>
      <x:c r="U57" s="172"/>
    </x:row>
    <x:row r="58" ht="23" customHeight="1">
      <x:c r="A58" s="172"/>
      <x:c r="B58" s="172"/>
      <x:c r="C58" s="172"/>
      <x:c r="D58" s="172"/>
      <x:c r="E58" s="172"/>
      <x:c r="F58" s="172"/>
      <x:c r="G58" s="172"/>
      <x:c r="H58" s="172"/>
      <x:c r="I58" s="172"/>
      <x:c r="J58" s="172"/>
      <x:c r="K58" s="172"/>
      <x:c r="L58" s="172"/>
      <x:c r="M58" s="172"/>
      <x:c r="N58" s="172"/>
      <x:c r="O58" s="172"/>
      <x:c r="P58" s="172"/>
      <x:c r="Q58" s="172"/>
      <x:c r="R58" s="172"/>
      <x:c r="S58" s="172"/>
      <x:c r="T58" s="172"/>
      <x:c r="U58" s="172"/>
    </x:row>
    <x:row r="59" ht="23" customHeight="1">
      <x:c r="A59" s="172"/>
      <x:c r="B59" s="172"/>
      <x:c r="C59" s="172"/>
      <x:c r="D59" s="172"/>
      <x:c r="E59" s="172"/>
      <x:c r="F59" s="172"/>
      <x:c r="G59" s="172"/>
      <x:c r="H59" s="172"/>
      <x:c r="I59" s="172"/>
      <x:c r="J59" s="172"/>
      <x:c r="K59" s="172"/>
      <x:c r="L59" s="172"/>
      <x:c r="M59" s="172"/>
      <x:c r="N59" s="172"/>
      <x:c r="O59" s="172"/>
      <x:c r="P59" s="172"/>
      <x:c r="Q59" s="172"/>
      <x:c r="R59" s="172"/>
      <x:c r="S59" s="172"/>
      <x:c r="T59" s="172"/>
      <x:c r="U59" s="172"/>
    </x:row>
    <x:row r="60" ht="23" customHeight="1">
      <x:c r="A60" s="172"/>
      <x:c r="B60" s="172"/>
      <x:c r="C60" s="172"/>
      <x:c r="D60" s="172"/>
      <x:c r="E60" s="172"/>
      <x:c r="F60" s="172"/>
      <x:c r="G60" s="172"/>
      <x:c r="H60" s="172"/>
      <x:c r="I60" s="172"/>
      <x:c r="J60" s="172"/>
      <x:c r="K60" s="172"/>
      <x:c r="L60" s="172"/>
      <x:c r="M60" s="172"/>
      <x:c r="N60" s="172"/>
      <x:c r="O60" s="172"/>
      <x:c r="P60" s="172"/>
      <x:c r="Q60" s="172"/>
      <x:c r="R60" s="172"/>
      <x:c r="S60" s="172"/>
      <x:c r="T60" s="172"/>
      <x:c r="U60" s="172"/>
    </x:row>
    <x:row r="61" ht="23" customHeight="1">
      <x:c r="A61" s="172"/>
      <x:c r="B61" s="172"/>
      <x:c r="C61" s="172"/>
      <x:c r="D61" s="172"/>
      <x:c r="E61" s="172"/>
      <x:c r="F61" s="172"/>
      <x:c r="G61" s="172"/>
      <x:c r="H61" s="172"/>
      <x:c r="I61" s="172"/>
      <x:c r="J61" s="172"/>
      <x:c r="K61" s="172"/>
      <x:c r="L61" s="172"/>
      <x:c r="M61" s="172"/>
      <x:c r="N61" s="172"/>
      <x:c r="O61" s="172"/>
      <x:c r="P61" s="172"/>
      <x:c r="Q61" s="172"/>
      <x:c r="R61" s="172"/>
      <x:c r="S61" s="172"/>
      <x:c r="T61" s="172"/>
      <x:c r="U61" s="172"/>
    </x:row>
    <x:row r="62" ht="23" customHeight="1">
      <x:c r="A62" s="172"/>
      <x:c r="B62" s="172"/>
      <x:c r="C62" s="172"/>
      <x:c r="D62" s="172"/>
      <x:c r="E62" s="172"/>
      <x:c r="F62" s="172"/>
      <x:c r="G62" s="172"/>
      <x:c r="H62" s="172"/>
      <x:c r="I62" s="172"/>
      <x:c r="J62" s="172"/>
      <x:c r="K62" s="172"/>
      <x:c r="L62" s="172"/>
      <x:c r="M62" s="172"/>
      <x:c r="N62" s="172"/>
      <x:c r="O62" s="172"/>
      <x:c r="P62" s="172"/>
      <x:c r="Q62" s="172"/>
      <x:c r="R62" s="172"/>
      <x:c r="S62" s="172"/>
      <x:c r="T62" s="172"/>
      <x:c r="U62" s="172"/>
    </x:row>
    <x:row r="63" ht="23" customHeight="1">
      <x:c r="A63" s="172"/>
      <x:c r="B63" s="172"/>
      <x:c r="C63" s="172"/>
      <x:c r="D63" s="172"/>
      <x:c r="E63" s="172"/>
      <x:c r="F63" s="172"/>
      <x:c r="G63" s="172"/>
      <x:c r="H63" s="172"/>
      <x:c r="I63" s="172"/>
      <x:c r="J63" s="172"/>
      <x:c r="K63" s="172"/>
      <x:c r="L63" s="172"/>
      <x:c r="M63" s="172"/>
      <x:c r="N63" s="172"/>
      <x:c r="O63" s="172"/>
      <x:c r="P63" s="172"/>
      <x:c r="Q63" s="172"/>
      <x:c r="R63" s="172"/>
      <x:c r="S63" s="172"/>
      <x:c r="T63" s="172"/>
      <x:c r="U63" s="172"/>
    </x:row>
    <x:row r="64" ht="23" customHeight="1">
      <x:c r="A64" s="172"/>
      <x:c r="B64" s="172"/>
      <x:c r="C64" s="172"/>
      <x:c r="D64" s="172"/>
      <x:c r="E64" s="172"/>
      <x:c r="F64" s="172"/>
      <x:c r="G64" s="172"/>
      <x:c r="H64" s="172"/>
      <x:c r="I64" s="172"/>
      <x:c r="J64" s="172"/>
      <x:c r="K64" s="172"/>
      <x:c r="L64" s="172"/>
      <x:c r="M64" s="172"/>
      <x:c r="N64" s="172"/>
      <x:c r="O64" s="172"/>
      <x:c r="P64" s="172"/>
      <x:c r="Q64" s="172"/>
      <x:c r="R64" s="172"/>
      <x:c r="S64" s="172"/>
      <x:c r="T64" s="172"/>
      <x:c r="U64" s="172"/>
    </x:row>
    <x:row r="65" ht="23" customHeight="1">
      <x:c r="A65" s="172"/>
      <x:c r="B65" s="172"/>
      <x:c r="C65" s="172"/>
      <x:c r="D65" s="172"/>
      <x:c r="E65" s="172"/>
      <x:c r="F65" s="172"/>
      <x:c r="G65" s="172"/>
      <x:c r="H65" s="172"/>
      <x:c r="I65" s="172"/>
      <x:c r="J65" s="172"/>
      <x:c r="K65" s="172"/>
      <x:c r="L65" s="172"/>
      <x:c r="M65" s="172"/>
      <x:c r="N65" s="172"/>
      <x:c r="O65" s="172"/>
      <x:c r="P65" s="172"/>
      <x:c r="Q65" s="172"/>
      <x:c r="R65" s="172"/>
      <x:c r="S65" s="172"/>
      <x:c r="T65" s="172"/>
      <x:c r="U65" s="172"/>
    </x:row>
    <x:row r="66" ht="23" customHeight="1">
      <x:c r="A66" s="172"/>
      <x:c r="B66" s="172"/>
      <x:c r="C66" s="172"/>
      <x:c r="D66" s="172"/>
      <x:c r="E66" s="172"/>
      <x:c r="F66" s="172"/>
      <x:c r="G66" s="172"/>
      <x:c r="H66" s="172"/>
      <x:c r="I66" s="172"/>
      <x:c r="J66" s="172"/>
      <x:c r="K66" s="172"/>
      <x:c r="L66" s="172"/>
      <x:c r="M66" s="172"/>
      <x:c r="N66" s="172"/>
      <x:c r="O66" s="172"/>
      <x:c r="P66" s="172"/>
      <x:c r="Q66" s="172"/>
      <x:c r="R66" s="172"/>
      <x:c r="S66" s="172"/>
      <x:c r="T66" s="172"/>
      <x:c r="U66" s="172"/>
    </x:row>
    <x:row r="67" ht="23" customHeight="1">
      <x:c r="A67" s="172"/>
      <x:c r="B67" s="172"/>
      <x:c r="C67" s="172"/>
      <x:c r="D67" s="172"/>
      <x:c r="E67" s="172"/>
      <x:c r="F67" s="172"/>
      <x:c r="G67" s="172"/>
      <x:c r="H67" s="172"/>
      <x:c r="I67" s="172"/>
      <x:c r="J67" s="172"/>
      <x:c r="K67" s="172"/>
      <x:c r="L67" s="172"/>
      <x:c r="M67" s="172"/>
      <x:c r="N67" s="172"/>
      <x:c r="O67" s="172"/>
      <x:c r="P67" s="172"/>
      <x:c r="Q67" s="172"/>
      <x:c r="R67" s="172"/>
      <x:c r="S67" s="172"/>
      <x:c r="T67" s="172"/>
      <x:c r="U67" s="172"/>
    </x:row>
    <x:row r="68" ht="23" customHeight="1">
      <x:c r="A68" s="172"/>
      <x:c r="B68" s="172"/>
      <x:c r="C68" s="172"/>
      <x:c r="D68" s="172"/>
      <x:c r="E68" s="172"/>
      <x:c r="F68" s="172"/>
      <x:c r="G68" s="172"/>
      <x:c r="H68" s="172"/>
      <x:c r="I68" s="172"/>
      <x:c r="J68" s="172"/>
      <x:c r="K68" s="172"/>
      <x:c r="L68" s="172"/>
      <x:c r="M68" s="172"/>
      <x:c r="N68" s="172"/>
      <x:c r="O68" s="172"/>
      <x:c r="P68" s="172"/>
      <x:c r="Q68" s="172"/>
      <x:c r="R68" s="172"/>
      <x:c r="S68" s="172"/>
      <x:c r="T68" s="172"/>
      <x:c r="U68" s="172"/>
    </x:row>
    <x:row r="69" ht="23" customHeight="1">
      <x:c r="A69" s="172"/>
      <x:c r="B69" s="172"/>
      <x:c r="C69" s="172"/>
      <x:c r="D69" s="172"/>
      <x:c r="E69" s="172"/>
      <x:c r="F69" s="172"/>
      <x:c r="G69" s="172"/>
      <x:c r="H69" s="172"/>
      <x:c r="I69" s="172"/>
      <x:c r="J69" s="172"/>
      <x:c r="K69" s="172"/>
      <x:c r="L69" s="172"/>
      <x:c r="M69" s="172"/>
      <x:c r="N69" s="172"/>
      <x:c r="O69" s="172"/>
      <x:c r="P69" s="172"/>
      <x:c r="Q69" s="172"/>
      <x:c r="R69" s="172"/>
      <x:c r="S69" s="172"/>
      <x:c r="T69" s="172"/>
      <x:c r="U69" s="172"/>
    </x:row>
    <x:row r="70" ht="23" customHeight="1">
      <x:c r="A70" s="172"/>
      <x:c r="B70" s="172"/>
      <x:c r="C70" s="172"/>
      <x:c r="D70" s="172"/>
      <x:c r="E70" s="172"/>
      <x:c r="F70" s="172"/>
      <x:c r="G70" s="172"/>
      <x:c r="H70" s="172"/>
      <x:c r="I70" s="172"/>
      <x:c r="J70" s="172"/>
      <x:c r="K70" s="172"/>
      <x:c r="L70" s="172"/>
      <x:c r="M70" s="172"/>
      <x:c r="N70" s="172"/>
      <x:c r="O70" s="172"/>
      <x:c r="P70" s="172"/>
      <x:c r="Q70" s="172"/>
      <x:c r="R70" s="172"/>
      <x:c r="S70" s="172"/>
      <x:c r="T70" s="172"/>
      <x:c r="U70" s="172"/>
    </x:row>
    <x:row r="71" ht="23" customHeight="1">
      <x:c r="A71" s="172"/>
      <x:c r="B71" s="172"/>
      <x:c r="C71" s="172"/>
      <x:c r="D71" s="172"/>
      <x:c r="E71" s="172"/>
      <x:c r="F71" s="172"/>
      <x:c r="G71" s="172"/>
      <x:c r="H71" s="172"/>
      <x:c r="I71" s="172"/>
      <x:c r="J71" s="172"/>
      <x:c r="K71" s="172"/>
      <x:c r="L71" s="172"/>
      <x:c r="M71" s="172"/>
      <x:c r="N71" s="172"/>
      <x:c r="O71" s="172"/>
      <x:c r="P71" s="172"/>
      <x:c r="Q71" s="172"/>
      <x:c r="R71" s="172"/>
      <x:c r="S71" s="172"/>
      <x:c r="T71" s="172"/>
      <x:c r="U71" s="172"/>
    </x:row>
    <x:row r="72" ht="23" customHeight="1">
      <x:c r="A72" s="172"/>
      <x:c r="B72" s="172"/>
      <x:c r="C72" s="172"/>
      <x:c r="D72" s="172"/>
      <x:c r="E72" s="172"/>
      <x:c r="F72" s="172"/>
      <x:c r="G72" s="172"/>
      <x:c r="H72" s="172"/>
      <x:c r="I72" s="172"/>
      <x:c r="J72" s="172"/>
      <x:c r="K72" s="172"/>
      <x:c r="L72" s="172"/>
      <x:c r="M72" s="172"/>
      <x:c r="N72" s="172"/>
      <x:c r="O72" s="172"/>
      <x:c r="P72" s="172"/>
      <x:c r="Q72" s="172"/>
      <x:c r="R72" s="172"/>
      <x:c r="S72" s="172"/>
      <x:c r="T72" s="172"/>
      <x:c r="U72" s="172"/>
    </x:row>
    <x:row r="73" ht="23" customHeight="1">
      <x:c r="A73" s="172"/>
      <x:c r="B73" s="172"/>
      <x:c r="C73" s="172"/>
      <x:c r="D73" s="172"/>
      <x:c r="E73" s="172"/>
      <x:c r="F73" s="172"/>
      <x:c r="G73" s="172"/>
      <x:c r="H73" s="172"/>
      <x:c r="I73" s="172"/>
      <x:c r="J73" s="172"/>
      <x:c r="K73" s="172"/>
      <x:c r="L73" s="172"/>
      <x:c r="M73" s="172"/>
      <x:c r="N73" s="172"/>
      <x:c r="O73" s="172"/>
      <x:c r="P73" s="172"/>
      <x:c r="Q73" s="172"/>
      <x:c r="R73" s="172"/>
      <x:c r="S73" s="172"/>
      <x:c r="T73" s="172"/>
      <x:c r="U73" s="172"/>
    </x:row>
    <x:row r="74" ht="23" customHeight="1">
      <x:c r="A74" s="172"/>
      <x:c r="B74" s="172"/>
      <x:c r="C74" s="172"/>
      <x:c r="D74" s="172"/>
      <x:c r="E74" s="172"/>
      <x:c r="F74" s="172"/>
      <x:c r="G74" s="172"/>
      <x:c r="H74" s="172"/>
      <x:c r="I74" s="172"/>
      <x:c r="J74" s="172"/>
      <x:c r="K74" s="172"/>
      <x:c r="L74" s="172"/>
      <x:c r="M74" s="172"/>
      <x:c r="N74" s="172"/>
      <x:c r="O74" s="172"/>
      <x:c r="P74" s="172"/>
      <x:c r="Q74" s="172"/>
      <x:c r="R74" s="172"/>
      <x:c r="S74" s="172"/>
      <x:c r="T74" s="172"/>
      <x:c r="U74" s="172"/>
    </x:row>
    <x:row r="75" ht="23" customHeight="1">
      <x:c r="A75" s="172"/>
      <x:c r="B75" s="172"/>
      <x:c r="C75" s="172"/>
      <x:c r="D75" s="172"/>
      <x:c r="E75" s="172"/>
      <x:c r="F75" s="172"/>
      <x:c r="G75" s="172"/>
      <x:c r="H75" s="172"/>
      <x:c r="I75" s="172"/>
      <x:c r="J75" s="172"/>
      <x:c r="K75" s="172"/>
      <x:c r="L75" s="172"/>
      <x:c r="M75" s="172"/>
      <x:c r="N75" s="172"/>
      <x:c r="O75" s="172"/>
      <x:c r="P75" s="172"/>
      <x:c r="Q75" s="172"/>
      <x:c r="R75" s="172"/>
      <x:c r="S75" s="172"/>
      <x:c r="T75" s="172"/>
      <x:c r="U75" s="172"/>
    </x:row>
    <x:row r="76" ht="23" customHeight="1">
      <x:c r="A76" s="172"/>
      <x:c r="B76" s="172"/>
      <x:c r="C76" s="172"/>
      <x:c r="D76" s="172"/>
      <x:c r="E76" s="172"/>
      <x:c r="F76" s="172"/>
      <x:c r="G76" s="172"/>
      <x:c r="H76" s="172"/>
      <x:c r="I76" s="172"/>
      <x:c r="J76" s="172"/>
      <x:c r="K76" s="172"/>
      <x:c r="L76" s="172"/>
      <x:c r="M76" s="172"/>
      <x:c r="N76" s="172"/>
      <x:c r="O76" s="172"/>
      <x:c r="P76" s="172"/>
      <x:c r="Q76" s="172"/>
      <x:c r="R76" s="172"/>
      <x:c r="S76" s="172"/>
      <x:c r="T76" s="172"/>
      <x:c r="U76" s="172"/>
    </x:row>
    <x:row r="77" ht="23" customHeight="1">
      <x:c r="A77" s="172"/>
      <x:c r="B77" s="172"/>
      <x:c r="C77" s="172"/>
      <x:c r="D77" s="172"/>
      <x:c r="E77" s="172"/>
      <x:c r="F77" s="172"/>
      <x:c r="G77" s="172"/>
      <x:c r="H77" s="172"/>
      <x:c r="I77" s="172"/>
      <x:c r="J77" s="172"/>
      <x:c r="K77" s="172"/>
      <x:c r="L77" s="172"/>
      <x:c r="M77" s="172"/>
      <x:c r="N77" s="172"/>
      <x:c r="O77" s="172"/>
      <x:c r="P77" s="172"/>
      <x:c r="Q77" s="172"/>
      <x:c r="R77" s="172"/>
      <x:c r="S77" s="172"/>
      <x:c r="T77" s="172"/>
      <x:c r="U77" s="172"/>
    </x:row>
    <x:row r="78" ht="23" customHeight="1">
      <x:c r="A78" s="172"/>
      <x:c r="B78" s="172"/>
      <x:c r="C78" s="172"/>
      <x:c r="D78" s="172"/>
      <x:c r="E78" s="172"/>
      <x:c r="F78" s="172"/>
      <x:c r="G78" s="172"/>
      <x:c r="H78" s="172"/>
      <x:c r="I78" s="172"/>
      <x:c r="J78" s="172"/>
      <x:c r="K78" s="172"/>
      <x:c r="L78" s="172"/>
      <x:c r="M78" s="172"/>
      <x:c r="N78" s="172"/>
      <x:c r="O78" s="172"/>
      <x:c r="P78" s="172"/>
      <x:c r="Q78" s="172"/>
      <x:c r="R78" s="172"/>
      <x:c r="S78" s="172"/>
      <x:c r="T78" s="172"/>
      <x:c r="U78" s="172"/>
    </x:row>
    <x:row r="79" ht="23" customHeight="1">
      <x:c r="A79" s="172"/>
      <x:c r="B79" s="172"/>
      <x:c r="C79" s="172"/>
      <x:c r="D79" s="172"/>
      <x:c r="E79" s="172"/>
      <x:c r="F79" s="172"/>
      <x:c r="G79" s="172"/>
      <x:c r="H79" s="172"/>
      <x:c r="I79" s="172"/>
      <x:c r="J79" s="172"/>
      <x:c r="K79" s="172"/>
      <x:c r="L79" s="172"/>
      <x:c r="M79" s="172"/>
      <x:c r="N79" s="172"/>
      <x:c r="O79" s="172"/>
      <x:c r="P79" s="172"/>
      <x:c r="Q79" s="172"/>
      <x:c r="R79" s="172"/>
      <x:c r="S79" s="172"/>
      <x:c r="T79" s="172"/>
      <x:c r="U79" s="172"/>
    </x:row>
    <x:row r="80" ht="23" customHeight="1">
      <x:c r="A80" s="172"/>
      <x:c r="B80" s="172"/>
      <x:c r="C80" s="172"/>
      <x:c r="D80" s="172"/>
      <x:c r="E80" s="172"/>
      <x:c r="F80" s="172"/>
      <x:c r="G80" s="172"/>
      <x:c r="H80" s="172"/>
      <x:c r="I80" s="172"/>
      <x:c r="J80" s="172"/>
      <x:c r="K80" s="172"/>
      <x:c r="L80" s="172"/>
      <x:c r="M80" s="172"/>
      <x:c r="N80" s="172"/>
      <x:c r="O80" s="172"/>
      <x:c r="P80" s="172"/>
      <x:c r="Q80" s="172"/>
      <x:c r="R80" s="172"/>
      <x:c r="S80" s="172"/>
      <x:c r="T80" s="172"/>
      <x:c r="U80" s="172"/>
    </x:row>
    <x:row r="81" ht="23" customHeight="1">
      <x:c r="A81" s="172"/>
      <x:c r="B81" s="172"/>
      <x:c r="C81" s="172"/>
      <x:c r="D81" s="172"/>
      <x:c r="E81" s="172"/>
      <x:c r="F81" s="172"/>
      <x:c r="G81" s="172"/>
      <x:c r="H81" s="172"/>
      <x:c r="I81" s="172"/>
      <x:c r="J81" s="172"/>
      <x:c r="K81" s="172"/>
      <x:c r="L81" s="172"/>
      <x:c r="M81" s="172"/>
      <x:c r="N81" s="172"/>
      <x:c r="O81" s="172"/>
      <x:c r="P81" s="172"/>
      <x:c r="Q81" s="172"/>
      <x:c r="R81" s="172"/>
      <x:c r="S81" s="172"/>
      <x:c r="T81" s="172"/>
      <x:c r="U81" s="172"/>
    </x:row>
    <x:row r="82" ht="23" customHeight="1">
      <x:c r="A82" s="172"/>
      <x:c r="B82" s="172"/>
      <x:c r="C82" s="172"/>
      <x:c r="D82" s="172"/>
      <x:c r="E82" s="172"/>
      <x:c r="F82" s="172"/>
      <x:c r="G82" s="172"/>
      <x:c r="H82" s="172"/>
      <x:c r="I82" s="172"/>
      <x:c r="J82" s="172"/>
      <x:c r="K82" s="172"/>
      <x:c r="L82" s="172"/>
      <x:c r="M82" s="172"/>
      <x:c r="N82" s="172"/>
      <x:c r="O82" s="172"/>
      <x:c r="P82" s="172"/>
      <x:c r="Q82" s="172"/>
      <x:c r="R82" s="172"/>
      <x:c r="S82" s="172"/>
      <x:c r="T82" s="172"/>
      <x:c r="U82" s="172"/>
    </x:row>
    <x:row r="83" ht="23" customHeight="1">
      <x:c r="A83" s="172"/>
      <x:c r="B83" s="172"/>
      <x:c r="C83" s="172"/>
      <x:c r="D83" s="172"/>
      <x:c r="E83" s="172"/>
      <x:c r="F83" s="172"/>
      <x:c r="G83" s="172"/>
      <x:c r="H83" s="172"/>
      <x:c r="I83" s="172"/>
      <x:c r="J83" s="172"/>
      <x:c r="K83" s="172"/>
      <x:c r="L83" s="172"/>
      <x:c r="M83" s="172"/>
      <x:c r="N83" s="172"/>
      <x:c r="O83" s="172"/>
      <x:c r="P83" s="172"/>
      <x:c r="Q83" s="172"/>
      <x:c r="R83" s="172"/>
      <x:c r="S83" s="172"/>
      <x:c r="T83" s="172"/>
      <x:c r="U83" s="172"/>
    </x:row>
    <x:row r="84" ht="23" customHeight="1">
      <x:c r="A84" s="172"/>
      <x:c r="B84" s="172"/>
      <x:c r="C84" s="172"/>
      <x:c r="D84" s="172"/>
      <x:c r="E84" s="172"/>
      <x:c r="F84" s="172"/>
      <x:c r="G84" s="172"/>
      <x:c r="H84" s="172"/>
      <x:c r="I84" s="172"/>
      <x:c r="J84" s="172"/>
      <x:c r="K84" s="172"/>
      <x:c r="L84" s="172"/>
      <x:c r="M84" s="172"/>
      <x:c r="N84" s="172"/>
      <x:c r="O84" s="172"/>
      <x:c r="P84" s="172"/>
      <x:c r="Q84" s="172"/>
      <x:c r="R84" s="172"/>
      <x:c r="S84" s="172"/>
      <x:c r="T84" s="172"/>
      <x:c r="U84" s="172"/>
    </x:row>
    <x:row r="85" ht="23" customHeight="1">
      <x:c r="A85" s="172"/>
      <x:c r="B85" s="172"/>
      <x:c r="C85" s="172"/>
      <x:c r="D85" s="172"/>
      <x:c r="E85" s="172"/>
      <x:c r="F85" s="172"/>
      <x:c r="G85" s="172"/>
      <x:c r="H85" s="172"/>
      <x:c r="I85" s="172"/>
      <x:c r="J85" s="172"/>
      <x:c r="K85" s="172"/>
      <x:c r="L85" s="172"/>
      <x:c r="M85" s="172"/>
      <x:c r="N85" s="172"/>
      <x:c r="O85" s="172"/>
      <x:c r="P85" s="172"/>
      <x:c r="Q85" s="172"/>
      <x:c r="R85" s="172"/>
      <x:c r="S85" s="172"/>
      <x:c r="T85" s="172"/>
      <x:c r="U85" s="172"/>
    </x:row>
    <x:row r="86" ht="23" customHeight="1">
      <x:c r="A86" s="172"/>
      <x:c r="B86" s="172"/>
      <x:c r="C86" s="172"/>
      <x:c r="D86" s="172"/>
      <x:c r="E86" s="172"/>
      <x:c r="F86" s="172"/>
      <x:c r="G86" s="172"/>
      <x:c r="H86" s="172"/>
      <x:c r="I86" s="172"/>
      <x:c r="J86" s="172"/>
      <x:c r="K86" s="172"/>
      <x:c r="L86" s="172"/>
      <x:c r="M86" s="172"/>
      <x:c r="N86" s="172"/>
      <x:c r="O86" s="172"/>
      <x:c r="P86" s="172"/>
      <x:c r="Q86" s="172"/>
      <x:c r="R86" s="172"/>
      <x:c r="S86" s="172"/>
      <x:c r="T86" s="172"/>
      <x:c r="U86" s="172"/>
    </x:row>
    <x:row r="87" ht="23" customHeight="1">
      <x:c r="A87" s="172"/>
      <x:c r="B87" s="172"/>
      <x:c r="C87" s="172"/>
      <x:c r="D87" s="172"/>
      <x:c r="E87" s="172"/>
      <x:c r="F87" s="172"/>
      <x:c r="G87" s="172"/>
      <x:c r="H87" s="172"/>
      <x:c r="I87" s="172"/>
      <x:c r="J87" s="172"/>
      <x:c r="K87" s="172"/>
      <x:c r="L87" s="172"/>
      <x:c r="M87" s="172"/>
      <x:c r="N87" s="172"/>
      <x:c r="O87" s="172"/>
      <x:c r="P87" s="172"/>
      <x:c r="Q87" s="172"/>
      <x:c r="R87" s="172"/>
      <x:c r="S87" s="172"/>
      <x:c r="T87" s="172"/>
      <x:c r="U87" s="172"/>
    </x:row>
    <x:row r="88" ht="23" customHeight="1">
      <x:c r="A88" s="172"/>
      <x:c r="B88" s="172"/>
      <x:c r="C88" s="172"/>
      <x:c r="D88" s="172"/>
      <x:c r="E88" s="172"/>
      <x:c r="F88" s="172"/>
      <x:c r="G88" s="172"/>
      <x:c r="H88" s="172"/>
      <x:c r="I88" s="172"/>
      <x:c r="J88" s="172"/>
      <x:c r="K88" s="172"/>
      <x:c r="L88" s="172"/>
      <x:c r="M88" s="172"/>
      <x:c r="N88" s="172"/>
      <x:c r="O88" s="172"/>
      <x:c r="P88" s="172"/>
      <x:c r="Q88" s="172"/>
      <x:c r="R88" s="172"/>
      <x:c r="S88" s="172"/>
      <x:c r="T88" s="172"/>
      <x:c r="U88" s="172"/>
    </x:row>
    <x:row r="89" ht="23" customHeight="1">
      <x:c r="A89" s="172"/>
      <x:c r="B89" s="172"/>
      <x:c r="C89" s="172"/>
      <x:c r="D89" s="172"/>
      <x:c r="E89" s="172"/>
      <x:c r="F89" s="172"/>
      <x:c r="G89" s="172"/>
      <x:c r="H89" s="172"/>
      <x:c r="I89" s="172"/>
      <x:c r="J89" s="172"/>
      <x:c r="K89" s="172"/>
      <x:c r="L89" s="172"/>
      <x:c r="M89" s="172"/>
      <x:c r="N89" s="172"/>
      <x:c r="O89" s="172"/>
      <x:c r="P89" s="172"/>
      <x:c r="Q89" s="172"/>
      <x:c r="R89" s="172"/>
      <x:c r="S89" s="172"/>
      <x:c r="T89" s="172"/>
      <x:c r="U89" s="172"/>
    </x:row>
    <x:row r="90" ht="23" customHeight="1">
      <x:c r="A90" s="172"/>
      <x:c r="B90" s="172"/>
      <x:c r="C90" s="172"/>
      <x:c r="D90" s="172"/>
      <x:c r="E90" s="172"/>
      <x:c r="F90" s="172"/>
      <x:c r="G90" s="172"/>
      <x:c r="H90" s="172"/>
      <x:c r="I90" s="172"/>
      <x:c r="J90" s="172"/>
      <x:c r="K90" s="172"/>
      <x:c r="L90" s="172"/>
      <x:c r="M90" s="172"/>
      <x:c r="N90" s="172"/>
      <x:c r="O90" s="172"/>
      <x:c r="P90" s="172"/>
      <x:c r="Q90" s="172"/>
      <x:c r="R90" s="172"/>
      <x:c r="S90" s="172"/>
      <x:c r="T90" s="172"/>
      <x:c r="U90" s="172"/>
    </x:row>
    <x:row r="91" ht="23" customHeight="1">
      <x:c r="A91" s="172"/>
      <x:c r="B91" s="172"/>
      <x:c r="C91" s="172"/>
      <x:c r="D91" s="172"/>
      <x:c r="E91" s="172"/>
      <x:c r="F91" s="172"/>
      <x:c r="G91" s="172"/>
      <x:c r="H91" s="172"/>
      <x:c r="I91" s="172"/>
      <x:c r="J91" s="172"/>
      <x:c r="K91" s="172"/>
      <x:c r="L91" s="172"/>
      <x:c r="M91" s="172"/>
      <x:c r="N91" s="172"/>
      <x:c r="O91" s="172"/>
      <x:c r="P91" s="172"/>
      <x:c r="Q91" s="172"/>
      <x:c r="R91" s="172"/>
      <x:c r="S91" s="172"/>
      <x:c r="T91" s="172"/>
      <x:c r="U91" s="172"/>
    </x:row>
    <x:row r="92" ht="23" customHeight="1">
      <x:c r="A92" s="172"/>
      <x:c r="B92" s="172"/>
      <x:c r="C92" s="172"/>
      <x:c r="D92" s="172"/>
      <x:c r="E92" s="172"/>
      <x:c r="F92" s="172"/>
      <x:c r="G92" s="172"/>
      <x:c r="H92" s="172"/>
      <x:c r="I92" s="172"/>
      <x:c r="J92" s="172"/>
      <x:c r="K92" s="172"/>
      <x:c r="L92" s="172"/>
      <x:c r="M92" s="172"/>
      <x:c r="N92" s="172"/>
      <x:c r="O92" s="172"/>
      <x:c r="P92" s="172"/>
      <x:c r="Q92" s="172"/>
      <x:c r="R92" s="172"/>
      <x:c r="S92" s="172"/>
      <x:c r="T92" s="172"/>
      <x:c r="U92" s="172"/>
    </x:row>
    <x:row r="93" ht="23" customHeight="1">
      <x:c r="A93" s="172"/>
      <x:c r="B93" s="172"/>
      <x:c r="C93" s="172"/>
      <x:c r="D93" s="172"/>
      <x:c r="E93" s="172"/>
      <x:c r="F93" s="172"/>
      <x:c r="G93" s="172"/>
      <x:c r="H93" s="172"/>
      <x:c r="I93" s="172"/>
      <x:c r="J93" s="172"/>
      <x:c r="K93" s="172"/>
      <x:c r="L93" s="172"/>
      <x:c r="M93" s="172"/>
      <x:c r="N93" s="172"/>
      <x:c r="O93" s="172"/>
      <x:c r="P93" s="172"/>
      <x:c r="Q93" s="172"/>
      <x:c r="R93" s="172"/>
      <x:c r="S93" s="172"/>
      <x:c r="T93" s="172"/>
      <x:c r="U93" s="172"/>
    </x:row>
    <x:row r="94" ht="23" customHeight="1">
      <x:c r="A94" s="172"/>
      <x:c r="B94" s="172"/>
      <x:c r="C94" s="172"/>
      <x:c r="D94" s="172"/>
      <x:c r="E94" s="172"/>
      <x:c r="F94" s="172"/>
      <x:c r="G94" s="172"/>
      <x:c r="H94" s="172"/>
      <x:c r="I94" s="172"/>
      <x:c r="J94" s="172"/>
      <x:c r="K94" s="172"/>
      <x:c r="L94" s="172"/>
      <x:c r="M94" s="172"/>
      <x:c r="N94" s="172"/>
      <x:c r="O94" s="172"/>
      <x:c r="P94" s="172"/>
      <x:c r="Q94" s="172"/>
      <x:c r="R94" s="172"/>
      <x:c r="S94" s="172"/>
      <x:c r="T94" s="172"/>
      <x:c r="U94" s="172"/>
    </x:row>
    <x:row r="95" ht="23" customHeight="1">
      <x:c r="A95" s="172"/>
      <x:c r="B95" s="172"/>
      <x:c r="C95" s="172"/>
      <x:c r="D95" s="172"/>
      <x:c r="E95" s="172"/>
      <x:c r="F95" s="172"/>
      <x:c r="G95" s="172"/>
      <x:c r="H95" s="172"/>
      <x:c r="I95" s="172"/>
      <x:c r="J95" s="172"/>
      <x:c r="K95" s="172"/>
      <x:c r="L95" s="172"/>
      <x:c r="M95" s="172"/>
      <x:c r="N95" s="172"/>
      <x:c r="O95" s="172"/>
      <x:c r="P95" s="172"/>
      <x:c r="Q95" s="172"/>
      <x:c r="R95" s="172"/>
      <x:c r="S95" s="172"/>
      <x:c r="T95" s="172"/>
      <x:c r="U95" s="172"/>
    </x:row>
    <x:row r="96" ht="23" customHeight="1">
      <x:c r="A96" s="172"/>
      <x:c r="B96" s="172"/>
      <x:c r="C96" s="172"/>
      <x:c r="D96" s="172"/>
      <x:c r="E96" s="172"/>
      <x:c r="F96" s="172"/>
      <x:c r="G96" s="172"/>
      <x:c r="H96" s="172"/>
      <x:c r="I96" s="172"/>
      <x:c r="J96" s="172"/>
      <x:c r="K96" s="172"/>
      <x:c r="L96" s="172"/>
      <x:c r="M96" s="172"/>
      <x:c r="N96" s="172"/>
      <x:c r="O96" s="172"/>
      <x:c r="P96" s="172"/>
      <x:c r="Q96" s="172"/>
      <x:c r="R96" s="172"/>
      <x:c r="S96" s="172"/>
      <x:c r="T96" s="172"/>
      <x:c r="U96" s="172"/>
    </x:row>
    <x:row r="97" ht="23" customHeight="1">
      <x:c r="A97" s="172"/>
      <x:c r="B97" s="172"/>
      <x:c r="C97" s="172"/>
      <x:c r="D97" s="172"/>
      <x:c r="E97" s="172"/>
      <x:c r="F97" s="172"/>
      <x:c r="G97" s="172"/>
      <x:c r="H97" s="172"/>
      <x:c r="I97" s="172"/>
      <x:c r="J97" s="172"/>
      <x:c r="K97" s="172"/>
      <x:c r="L97" s="172"/>
      <x:c r="M97" s="172"/>
      <x:c r="N97" s="172"/>
      <x:c r="O97" s="172"/>
      <x:c r="P97" s="172"/>
      <x:c r="Q97" s="172"/>
      <x:c r="R97" s="172"/>
      <x:c r="S97" s="172"/>
      <x:c r="T97" s="172"/>
      <x:c r="U97" s="172"/>
    </x:row>
    <x:row r="98" ht="23" customHeight="1">
      <x:c r="A98" s="172"/>
      <x:c r="B98" s="172"/>
      <x:c r="C98" s="172"/>
      <x:c r="D98" s="172"/>
      <x:c r="E98" s="172"/>
      <x:c r="F98" s="172"/>
      <x:c r="G98" s="172"/>
      <x:c r="H98" s="172"/>
      <x:c r="I98" s="172"/>
      <x:c r="J98" s="172"/>
      <x:c r="K98" s="172"/>
      <x:c r="L98" s="172"/>
      <x:c r="M98" s="172"/>
      <x:c r="N98" s="172"/>
      <x:c r="O98" s="172"/>
      <x:c r="P98" s="172"/>
      <x:c r="Q98" s="172"/>
      <x:c r="R98" s="172"/>
      <x:c r="S98" s="172"/>
      <x:c r="T98" s="172"/>
      <x:c r="U98" s="172"/>
    </x:row>
    <x:row r="99" ht="23" customHeight="1">
      <x:c r="A99" s="172"/>
      <x:c r="B99" s="172"/>
      <x:c r="C99" s="172"/>
      <x:c r="D99" s="172"/>
      <x:c r="E99" s="172"/>
      <x:c r="F99" s="172"/>
      <x:c r="G99" s="172"/>
      <x:c r="H99" s="172"/>
      <x:c r="I99" s="172"/>
      <x:c r="J99" s="172"/>
      <x:c r="K99" s="172"/>
      <x:c r="L99" s="172"/>
      <x:c r="M99" s="172"/>
      <x:c r="N99" s="172"/>
      <x:c r="O99" s="172"/>
      <x:c r="P99" s="172"/>
      <x:c r="Q99" s="172"/>
      <x:c r="R99" s="172"/>
      <x:c r="S99" s="172"/>
      <x:c r="T99" s="172"/>
      <x:c r="U99" s="172"/>
    </x:row>
    <x:row r="100" ht="23" customHeight="1">
      <x:c r="A100" s="172"/>
      <x:c r="B100" s="172"/>
      <x:c r="C100" s="172"/>
      <x:c r="D100" s="172"/>
      <x:c r="E100" s="172"/>
      <x:c r="F100" s="172"/>
      <x:c r="G100" s="172"/>
      <x:c r="H100" s="172"/>
      <x:c r="I100" s="172"/>
      <x:c r="J100" s="172"/>
      <x:c r="K100" s="172"/>
      <x:c r="L100" s="172"/>
      <x:c r="M100" s="172"/>
      <x:c r="N100" s="172"/>
      <x:c r="O100" s="172"/>
      <x:c r="P100" s="172"/>
      <x:c r="Q100" s="172"/>
      <x:c r="R100" s="172"/>
      <x:c r="S100" s="172"/>
      <x:c r="T100" s="172"/>
      <x:c r="U100" s="172"/>
    </x:row>
    <x:row r="101" ht="23" customHeight="1">
      <x:c r="A101" s="172"/>
      <x:c r="B101" s="172"/>
      <x:c r="C101" s="172"/>
      <x:c r="D101" s="172"/>
      <x:c r="E101" s="172"/>
      <x:c r="F101" s="172"/>
      <x:c r="G101" s="172"/>
      <x:c r="H101" s="172"/>
      <x:c r="I101" s="172"/>
      <x:c r="J101" s="172"/>
      <x:c r="K101" s="172"/>
      <x:c r="L101" s="172"/>
      <x:c r="M101" s="172"/>
      <x:c r="N101" s="172"/>
      <x:c r="O101" s="172"/>
      <x:c r="P101" s="172"/>
      <x:c r="Q101" s="172"/>
      <x:c r="R101" s="172"/>
      <x:c r="S101" s="172"/>
      <x:c r="T101" s="172"/>
      <x:c r="U101" s="172"/>
    </x:row>
    <x:row r="102" ht="23" customHeight="1">
      <x:c r="A102" s="172"/>
      <x:c r="B102" s="172"/>
      <x:c r="C102" s="172"/>
      <x:c r="D102" s="172"/>
      <x:c r="E102" s="172"/>
      <x:c r="F102" s="172"/>
      <x:c r="G102" s="172"/>
      <x:c r="H102" s="172"/>
      <x:c r="I102" s="172"/>
      <x:c r="J102" s="172"/>
      <x:c r="K102" s="172"/>
      <x:c r="L102" s="172"/>
      <x:c r="M102" s="172"/>
      <x:c r="N102" s="172"/>
      <x:c r="O102" s="172"/>
      <x:c r="P102" s="172"/>
      <x:c r="Q102" s="172"/>
      <x:c r="R102" s="172"/>
      <x:c r="S102" s="172"/>
      <x:c r="T102" s="172"/>
      <x:c r="U102" s="172"/>
    </x:row>
    <x:row r="103" ht="23" customHeight="1">
      <x:c r="A103" s="172"/>
      <x:c r="B103" s="172"/>
      <x:c r="C103" s="172"/>
      <x:c r="D103" s="172"/>
      <x:c r="E103" s="172"/>
      <x:c r="F103" s="172"/>
      <x:c r="G103" s="172"/>
      <x:c r="H103" s="172"/>
      <x:c r="I103" s="172"/>
      <x:c r="J103" s="172"/>
      <x:c r="K103" s="172"/>
      <x:c r="L103" s="172"/>
      <x:c r="M103" s="172"/>
      <x:c r="N103" s="172"/>
      <x:c r="O103" s="172"/>
      <x:c r="P103" s="172"/>
      <x:c r="Q103" s="172"/>
      <x:c r="R103" s="172"/>
      <x:c r="S103" s="172"/>
      <x:c r="T103" s="172"/>
      <x:c r="U103" s="172"/>
    </x:row>
    <x:row r="104" ht="23" customHeight="1">
      <x:c r="A104" s="172"/>
      <x:c r="B104" s="172"/>
      <x:c r="C104" s="172"/>
      <x:c r="D104" s="172"/>
      <x:c r="E104" s="172"/>
      <x:c r="F104" s="172"/>
      <x:c r="G104" s="172"/>
      <x:c r="H104" s="172"/>
      <x:c r="I104" s="172"/>
      <x:c r="J104" s="172"/>
      <x:c r="K104" s="172"/>
      <x:c r="L104" s="172"/>
      <x:c r="M104" s="172"/>
      <x:c r="N104" s="172"/>
      <x:c r="O104" s="172"/>
      <x:c r="P104" s="172"/>
      <x:c r="Q104" s="172"/>
      <x:c r="R104" s="172"/>
      <x:c r="S104" s="172"/>
      <x:c r="T104" s="172"/>
      <x:c r="U104" s="172"/>
    </x:row>
    <x:row r="105" ht="23" customHeight="1">
      <x:c r="A105" s="172"/>
      <x:c r="B105" s="172"/>
      <x:c r="C105" s="172"/>
      <x:c r="D105" s="172"/>
      <x:c r="E105" s="172"/>
      <x:c r="F105" s="172"/>
      <x:c r="G105" s="172"/>
      <x:c r="H105" s="172"/>
      <x:c r="I105" s="172"/>
      <x:c r="J105" s="172"/>
      <x:c r="K105" s="172"/>
      <x:c r="L105" s="172"/>
      <x:c r="M105" s="172"/>
      <x:c r="N105" s="172"/>
      <x:c r="O105" s="172"/>
      <x:c r="P105" s="172"/>
      <x:c r="Q105" s="172"/>
      <x:c r="R105" s="172"/>
      <x:c r="S105" s="172"/>
      <x:c r="T105" s="172"/>
      <x:c r="U105" s="172"/>
    </x:row>
    <x:row r="106" ht="23" customHeight="1">
      <x:c r="A106" s="172"/>
      <x:c r="B106" s="172"/>
      <x:c r="C106" s="172"/>
      <x:c r="D106" s="172"/>
      <x:c r="E106" s="172"/>
      <x:c r="F106" s="172"/>
      <x:c r="G106" s="172"/>
      <x:c r="H106" s="172"/>
      <x:c r="I106" s="172"/>
      <x:c r="J106" s="172"/>
      <x:c r="K106" s="172"/>
      <x:c r="L106" s="172"/>
      <x:c r="M106" s="172"/>
      <x:c r="N106" s="172"/>
      <x:c r="O106" s="172"/>
      <x:c r="P106" s="172"/>
      <x:c r="Q106" s="172"/>
      <x:c r="R106" s="172"/>
      <x:c r="S106" s="172"/>
      <x:c r="T106" s="172"/>
      <x:c r="U106" s="172"/>
    </x:row>
    <x:row r="107" ht="23" customHeight="1">
      <x:c r="A107" s="172"/>
      <x:c r="B107" s="172"/>
      <x:c r="C107" s="172"/>
      <x:c r="D107" s="172"/>
      <x:c r="E107" s="172"/>
      <x:c r="F107" s="172"/>
      <x:c r="G107" s="172"/>
      <x:c r="H107" s="172"/>
      <x:c r="I107" s="172"/>
      <x:c r="J107" s="172"/>
      <x:c r="K107" s="172"/>
      <x:c r="L107" s="172"/>
      <x:c r="M107" s="172"/>
      <x:c r="N107" s="172"/>
      <x:c r="O107" s="172"/>
      <x:c r="P107" s="172"/>
      <x:c r="Q107" s="172"/>
      <x:c r="R107" s="172"/>
      <x:c r="S107" s="172"/>
      <x:c r="T107" s="172"/>
      <x:c r="U107" s="172"/>
    </x:row>
    <x:row r="108" ht="23" customHeight="1">
      <x:c r="A108" s="172"/>
      <x:c r="B108" s="172"/>
      <x:c r="C108" s="172"/>
      <x:c r="D108" s="172"/>
      <x:c r="E108" s="172"/>
      <x:c r="F108" s="172"/>
      <x:c r="G108" s="172"/>
      <x:c r="H108" s="172"/>
      <x:c r="I108" s="172"/>
      <x:c r="J108" s="172"/>
      <x:c r="K108" s="172"/>
      <x:c r="L108" s="172"/>
      <x:c r="M108" s="172"/>
      <x:c r="N108" s="172"/>
      <x:c r="O108" s="172"/>
      <x:c r="P108" s="172"/>
      <x:c r="Q108" s="172"/>
      <x:c r="R108" s="172"/>
      <x:c r="S108" s="172"/>
      <x:c r="T108" s="172"/>
      <x:c r="U108" s="172"/>
    </x:row>
    <x:row r="109" ht="23" customHeight="1">
      <x:c r="A109" s="172"/>
      <x:c r="B109" s="172"/>
      <x:c r="C109" s="172"/>
      <x:c r="D109" s="172"/>
      <x:c r="E109" s="172"/>
      <x:c r="F109" s="172"/>
      <x:c r="G109" s="172"/>
      <x:c r="H109" s="172"/>
      <x:c r="I109" s="172"/>
      <x:c r="J109" s="172"/>
      <x:c r="K109" s="172"/>
      <x:c r="L109" s="172"/>
      <x:c r="M109" s="172"/>
      <x:c r="N109" s="172"/>
      <x:c r="O109" s="172"/>
      <x:c r="P109" s="172"/>
      <x:c r="Q109" s="172"/>
      <x:c r="R109" s="172"/>
      <x:c r="S109" s="172"/>
      <x:c r="T109" s="172"/>
      <x:c r="U109" s="172"/>
    </x:row>
    <x:row r="110" ht="23" customHeight="1">
      <x:c r="A110" s="172"/>
      <x:c r="B110" s="172"/>
      <x:c r="C110" s="172"/>
      <x:c r="D110" s="172"/>
      <x:c r="E110" s="172"/>
      <x:c r="F110" s="172"/>
      <x:c r="G110" s="172"/>
      <x:c r="H110" s="172"/>
      <x:c r="I110" s="172"/>
      <x:c r="J110" s="172"/>
      <x:c r="K110" s="172"/>
      <x:c r="L110" s="172"/>
      <x:c r="M110" s="172"/>
      <x:c r="N110" s="172"/>
      <x:c r="O110" s="172"/>
      <x:c r="P110" s="172"/>
      <x:c r="Q110" s="172"/>
      <x:c r="R110" s="172"/>
      <x:c r="S110" s="172"/>
      <x:c r="T110" s="172"/>
      <x:c r="U110" s="172"/>
    </x:row>
    <x:row r="111" ht="23" customHeight="1">
      <x:c r="A111" s="172"/>
      <x:c r="B111" s="172"/>
      <x:c r="C111" s="172"/>
      <x:c r="D111" s="172"/>
      <x:c r="E111" s="172"/>
      <x:c r="F111" s="172"/>
      <x:c r="G111" s="172"/>
      <x:c r="H111" s="172"/>
      <x:c r="I111" s="172"/>
      <x:c r="J111" s="172"/>
      <x:c r="K111" s="172"/>
      <x:c r="L111" s="172"/>
      <x:c r="M111" s="172"/>
      <x:c r="N111" s="172"/>
      <x:c r="O111" s="172"/>
      <x:c r="P111" s="172"/>
      <x:c r="Q111" s="172"/>
      <x:c r="R111" s="172"/>
      <x:c r="S111" s="172"/>
      <x:c r="T111" s="172"/>
      <x:c r="U111" s="172"/>
    </x:row>
    <x:row r="112" ht="23" customHeight="1">
      <x:c r="A112" s="172"/>
      <x:c r="B112" s="172"/>
      <x:c r="C112" s="172"/>
      <x:c r="D112" s="172"/>
      <x:c r="E112" s="172"/>
      <x:c r="F112" s="172"/>
      <x:c r="G112" s="172"/>
      <x:c r="H112" s="172"/>
      <x:c r="I112" s="172"/>
      <x:c r="J112" s="172"/>
      <x:c r="K112" s="172"/>
      <x:c r="L112" s="172"/>
      <x:c r="M112" s="172"/>
      <x:c r="N112" s="172"/>
      <x:c r="O112" s="172"/>
      <x:c r="P112" s="172"/>
      <x:c r="Q112" s="172"/>
      <x:c r="R112" s="172"/>
      <x:c r="S112" s="172"/>
      <x:c r="T112" s="172"/>
      <x:c r="U112" s="172"/>
    </x:row>
    <x:row r="113" ht="23" customHeight="1">
      <x:c r="A113" s="172"/>
      <x:c r="B113" s="172"/>
      <x:c r="C113" s="172"/>
      <x:c r="D113" s="172"/>
      <x:c r="E113" s="172"/>
      <x:c r="F113" s="172"/>
      <x:c r="G113" s="172"/>
      <x:c r="H113" s="172"/>
      <x:c r="I113" s="172"/>
      <x:c r="J113" s="172"/>
      <x:c r="K113" s="172"/>
      <x:c r="L113" s="172"/>
      <x:c r="M113" s="172"/>
      <x:c r="N113" s="172"/>
      <x:c r="O113" s="172"/>
      <x:c r="P113" s="172"/>
      <x:c r="Q113" s="172"/>
      <x:c r="R113" s="172"/>
      <x:c r="S113" s="172"/>
      <x:c r="T113" s="172"/>
      <x:c r="U113" s="172"/>
    </x:row>
    <x:row r="114" ht="23" customHeight="1">
      <x:c r="A114" s="172"/>
      <x:c r="B114" s="172"/>
      <x:c r="C114" s="172"/>
      <x:c r="D114" s="172"/>
      <x:c r="E114" s="172"/>
      <x:c r="F114" s="172"/>
      <x:c r="G114" s="172"/>
      <x:c r="H114" s="172"/>
      <x:c r="I114" s="172"/>
      <x:c r="J114" s="172"/>
      <x:c r="K114" s="172"/>
      <x:c r="L114" s="172"/>
      <x:c r="M114" s="172"/>
      <x:c r="N114" s="172"/>
      <x:c r="O114" s="172"/>
      <x:c r="P114" s="172"/>
      <x:c r="Q114" s="172"/>
      <x:c r="R114" s="172"/>
      <x:c r="S114" s="172"/>
      <x:c r="T114" s="172"/>
      <x:c r="U114" s="172"/>
    </x:row>
    <x:row r="115" ht="23" customHeight="1">
      <x:c r="A115" s="172"/>
      <x:c r="B115" s="172"/>
      <x:c r="C115" s="172"/>
      <x:c r="D115" s="172"/>
      <x:c r="E115" s="172"/>
      <x:c r="F115" s="172"/>
      <x:c r="G115" s="172"/>
      <x:c r="H115" s="172"/>
      <x:c r="I115" s="172"/>
      <x:c r="J115" s="172"/>
      <x:c r="K115" s="172"/>
      <x:c r="L115" s="172"/>
      <x:c r="M115" s="172"/>
      <x:c r="N115" s="172"/>
      <x:c r="O115" s="172"/>
      <x:c r="P115" s="172"/>
      <x:c r="Q115" s="172"/>
      <x:c r="R115" s="172"/>
      <x:c r="S115" s="172"/>
      <x:c r="T115" s="172"/>
      <x:c r="U115" s="172"/>
    </x:row>
    <x:row r="116" ht="23" customHeight="1">
      <x:c r="A116" s="172"/>
      <x:c r="B116" s="172"/>
      <x:c r="C116" s="172"/>
      <x:c r="D116" s="172"/>
      <x:c r="E116" s="172"/>
      <x:c r="F116" s="172"/>
      <x:c r="G116" s="172"/>
      <x:c r="H116" s="172"/>
      <x:c r="I116" s="172"/>
      <x:c r="J116" s="172"/>
      <x:c r="K116" s="172"/>
      <x:c r="L116" s="172"/>
      <x:c r="M116" s="172"/>
      <x:c r="N116" s="172"/>
      <x:c r="O116" s="172"/>
      <x:c r="P116" s="172"/>
      <x:c r="Q116" s="172"/>
      <x:c r="R116" s="172"/>
      <x:c r="S116" s="172"/>
      <x:c r="T116" s="172"/>
      <x:c r="U116" s="172"/>
    </x:row>
    <x:row r="117" ht="23" customHeight="1">
      <x:c r="A117" s="172"/>
      <x:c r="B117" s="172"/>
      <x:c r="C117" s="172"/>
      <x:c r="D117" s="172"/>
      <x:c r="E117" s="172"/>
      <x:c r="F117" s="172"/>
      <x:c r="G117" s="172"/>
      <x:c r="H117" s="172"/>
      <x:c r="I117" s="172"/>
      <x:c r="J117" s="172"/>
      <x:c r="K117" s="172"/>
      <x:c r="L117" s="172"/>
      <x:c r="M117" s="172"/>
      <x:c r="N117" s="172"/>
      <x:c r="O117" s="172"/>
      <x:c r="P117" s="172"/>
      <x:c r="Q117" s="172"/>
      <x:c r="R117" s="172"/>
      <x:c r="S117" s="172"/>
      <x:c r="T117" s="172"/>
      <x:c r="U117" s="172"/>
    </x:row>
    <x:row r="118" ht="23" customHeight="1">
      <x:c r="A118" s="172"/>
      <x:c r="B118" s="172"/>
      <x:c r="C118" s="172"/>
      <x:c r="D118" s="172"/>
      <x:c r="E118" s="172"/>
      <x:c r="F118" s="172"/>
      <x:c r="G118" s="172"/>
      <x:c r="H118" s="172"/>
      <x:c r="I118" s="172"/>
      <x:c r="J118" s="172"/>
      <x:c r="K118" s="172"/>
      <x:c r="L118" s="172"/>
      <x:c r="M118" s="172"/>
      <x:c r="N118" s="172"/>
      <x:c r="O118" s="172"/>
      <x:c r="P118" s="172"/>
      <x:c r="Q118" s="172"/>
      <x:c r="R118" s="172"/>
      <x:c r="S118" s="172"/>
      <x:c r="T118" s="172"/>
      <x:c r="U118" s="172"/>
    </x:row>
    <x:row r="119" ht="23" customHeight="1">
      <x:c r="A119" s="172"/>
      <x:c r="B119" s="172"/>
      <x:c r="C119" s="172"/>
      <x:c r="D119" s="172"/>
      <x:c r="E119" s="172"/>
      <x:c r="F119" s="172"/>
      <x:c r="G119" s="172"/>
      <x:c r="H119" s="172"/>
      <x:c r="I119" s="172"/>
      <x:c r="J119" s="172"/>
      <x:c r="K119" s="172"/>
      <x:c r="L119" s="172"/>
      <x:c r="M119" s="172"/>
      <x:c r="N119" s="172"/>
      <x:c r="O119" s="172"/>
      <x:c r="P119" s="172"/>
      <x:c r="Q119" s="172"/>
      <x:c r="R119" s="172"/>
      <x:c r="S119" s="172"/>
      <x:c r="T119" s="172"/>
      <x:c r="U119" s="172"/>
    </x:row>
    <x:row r="120" ht="23" customHeight="1">
      <x:c r="A120" s="172"/>
      <x:c r="B120" s="172"/>
      <x:c r="C120" s="172"/>
      <x:c r="D120" s="172"/>
      <x:c r="E120" s="172"/>
      <x:c r="F120" s="172"/>
      <x:c r="G120" s="172"/>
      <x:c r="H120" s="172"/>
      <x:c r="I120" s="172"/>
      <x:c r="J120" s="172"/>
      <x:c r="K120" s="172"/>
      <x:c r="L120" s="172"/>
      <x:c r="M120" s="172"/>
      <x:c r="N120" s="172"/>
      <x:c r="O120" s="172"/>
      <x:c r="P120" s="172"/>
      <x:c r="Q120" s="172"/>
      <x:c r="R120" s="172"/>
      <x:c r="S120" s="172"/>
      <x:c r="T120" s="172"/>
      <x:c r="U120" s="172"/>
    </x:row>
    <x:row r="121" ht="23" customHeight="1">
      <x:c r="A121" s="172"/>
      <x:c r="B121" s="172"/>
      <x:c r="C121" s="172"/>
      <x:c r="D121" s="172"/>
      <x:c r="E121" s="172"/>
      <x:c r="F121" s="172"/>
      <x:c r="G121" s="172"/>
      <x:c r="H121" s="172"/>
      <x:c r="I121" s="172"/>
      <x:c r="J121" s="172"/>
      <x:c r="K121" s="172"/>
      <x:c r="L121" s="172"/>
      <x:c r="M121" s="172"/>
      <x:c r="N121" s="172"/>
      <x:c r="O121" s="172"/>
      <x:c r="P121" s="172"/>
      <x:c r="Q121" s="172"/>
      <x:c r="R121" s="172"/>
      <x:c r="S121" s="172"/>
      <x:c r="T121" s="172"/>
      <x:c r="U121" s="172"/>
    </x:row>
    <x:row r="122" ht="23" customHeight="1">
      <x:c r="A122" s="172"/>
      <x:c r="B122" s="172"/>
      <x:c r="C122" s="172"/>
      <x:c r="D122" s="172"/>
      <x:c r="E122" s="172"/>
      <x:c r="F122" s="172"/>
      <x:c r="G122" s="172"/>
      <x:c r="H122" s="172"/>
      <x:c r="I122" s="172"/>
      <x:c r="J122" s="172"/>
      <x:c r="K122" s="172"/>
      <x:c r="L122" s="172"/>
      <x:c r="M122" s="172"/>
      <x:c r="N122" s="172"/>
      <x:c r="O122" s="172"/>
      <x:c r="P122" s="172"/>
      <x:c r="Q122" s="172"/>
      <x:c r="R122" s="172"/>
      <x:c r="S122" s="172"/>
      <x:c r="T122" s="172"/>
      <x:c r="U122" s="172"/>
    </x:row>
    <x:row r="123" ht="23" customHeight="1">
      <x:c r="A123" s="172"/>
      <x:c r="B123" s="172"/>
      <x:c r="C123" s="172"/>
      <x:c r="D123" s="172"/>
      <x:c r="E123" s="172"/>
      <x:c r="F123" s="172"/>
      <x:c r="G123" s="172"/>
      <x:c r="H123" s="172"/>
      <x:c r="I123" s="172"/>
      <x:c r="J123" s="172"/>
      <x:c r="K123" s="172"/>
      <x:c r="L123" s="172"/>
      <x:c r="M123" s="172"/>
      <x:c r="N123" s="172"/>
      <x:c r="O123" s="172"/>
      <x:c r="P123" s="172"/>
      <x:c r="Q123" s="172"/>
      <x:c r="R123" s="172"/>
      <x:c r="S123" s="172"/>
      <x:c r="T123" s="172"/>
      <x:c r="U123" s="172"/>
    </x:row>
    <x:row r="124" ht="23" customHeight="1">
      <x:c r="A124" s="172"/>
      <x:c r="B124" s="172"/>
      <x:c r="C124" s="172"/>
      <x:c r="D124" s="172"/>
      <x:c r="E124" s="172"/>
      <x:c r="F124" s="172"/>
      <x:c r="G124" s="172"/>
      <x:c r="H124" s="172"/>
      <x:c r="I124" s="172"/>
      <x:c r="J124" s="172"/>
      <x:c r="K124" s="172"/>
      <x:c r="L124" s="172"/>
      <x:c r="M124" s="172"/>
      <x:c r="N124" s="172"/>
      <x:c r="O124" s="172"/>
      <x:c r="P124" s="172"/>
      <x:c r="Q124" s="172"/>
      <x:c r="R124" s="172"/>
      <x:c r="S124" s="172"/>
      <x:c r="T124" s="172"/>
      <x:c r="U124" s="172"/>
    </x:row>
    <x:row r="125" ht="23" customHeight="1">
      <x:c r="A125" s="172"/>
      <x:c r="B125" s="172"/>
      <x:c r="C125" s="172"/>
      <x:c r="D125" s="172"/>
      <x:c r="E125" s="172"/>
      <x:c r="F125" s="172"/>
      <x:c r="G125" s="172"/>
      <x:c r="H125" s="172"/>
      <x:c r="I125" s="172"/>
      <x:c r="J125" s="172"/>
      <x:c r="K125" s="172"/>
      <x:c r="L125" s="172"/>
      <x:c r="M125" s="172"/>
      <x:c r="N125" s="172"/>
      <x:c r="O125" s="172"/>
      <x:c r="P125" s="172"/>
      <x:c r="Q125" s="172"/>
      <x:c r="R125" s="172"/>
      <x:c r="S125" s="172"/>
      <x:c r="T125" s="172"/>
      <x:c r="U125" s="172"/>
    </x:row>
    <x:row r="126" ht="23" customHeight="1">
      <x:c r="A126" s="172"/>
      <x:c r="B126" s="172"/>
      <x:c r="C126" s="172"/>
      <x:c r="D126" s="172"/>
      <x:c r="E126" s="172"/>
      <x:c r="F126" s="172"/>
      <x:c r="G126" s="172"/>
      <x:c r="H126" s="172"/>
      <x:c r="I126" s="172"/>
      <x:c r="J126" s="172"/>
      <x:c r="K126" s="172"/>
      <x:c r="L126" s="172"/>
      <x:c r="M126" s="172"/>
      <x:c r="N126" s="172"/>
      <x:c r="O126" s="172"/>
      <x:c r="P126" s="172"/>
      <x:c r="Q126" s="172"/>
      <x:c r="R126" s="172"/>
      <x:c r="S126" s="172"/>
      <x:c r="T126" s="172"/>
      <x:c r="U126" s="172"/>
    </x:row>
    <x:row r="127" ht="23" customHeight="1">
      <x:c r="A127" s="172"/>
      <x:c r="B127" s="172"/>
      <x:c r="C127" s="172"/>
      <x:c r="D127" s="172"/>
      <x:c r="E127" s="172"/>
      <x:c r="F127" s="172"/>
      <x:c r="G127" s="172"/>
      <x:c r="H127" s="172"/>
      <x:c r="I127" s="172"/>
      <x:c r="J127" s="172"/>
      <x:c r="K127" s="172"/>
      <x:c r="L127" s="172"/>
      <x:c r="M127" s="172"/>
      <x:c r="N127" s="172"/>
      <x:c r="O127" s="172"/>
      <x:c r="P127" s="172"/>
      <x:c r="Q127" s="172"/>
      <x:c r="R127" s="172"/>
      <x:c r="S127" s="172"/>
      <x:c r="T127" s="172"/>
      <x:c r="U127" s="172"/>
    </x:row>
    <x:row r="128" ht="23" customHeight="1">
      <x:c r="A128" s="172"/>
      <x:c r="B128" s="172"/>
      <x:c r="C128" s="172"/>
      <x:c r="D128" s="172"/>
      <x:c r="E128" s="172"/>
      <x:c r="F128" s="172"/>
      <x:c r="G128" s="172"/>
      <x:c r="H128" s="172"/>
      <x:c r="I128" s="172"/>
      <x:c r="J128" s="172"/>
      <x:c r="K128" s="172"/>
      <x:c r="L128" s="172"/>
      <x:c r="M128" s="172"/>
      <x:c r="N128" s="172"/>
      <x:c r="O128" s="172"/>
      <x:c r="P128" s="172"/>
      <x:c r="Q128" s="172"/>
      <x:c r="R128" s="172"/>
      <x:c r="S128" s="172"/>
      <x:c r="T128" s="172"/>
      <x:c r="U128" s="172"/>
    </x:row>
    <x:row r="129" ht="23" customHeight="1">
      <x:c r="A129" s="172"/>
      <x:c r="B129" s="172"/>
      <x:c r="C129" s="172"/>
      <x:c r="D129" s="172"/>
      <x:c r="E129" s="172"/>
      <x:c r="F129" s="172"/>
      <x:c r="G129" s="172"/>
      <x:c r="H129" s="172"/>
      <x:c r="I129" s="172"/>
      <x:c r="J129" s="172"/>
      <x:c r="K129" s="172"/>
      <x:c r="L129" s="172"/>
      <x:c r="M129" s="172"/>
      <x:c r="N129" s="172"/>
      <x:c r="O129" s="172"/>
      <x:c r="P129" s="172"/>
      <x:c r="Q129" s="172"/>
      <x:c r="R129" s="172"/>
      <x:c r="S129" s="172"/>
      <x:c r="T129" s="172"/>
      <x:c r="U129" s="172"/>
    </x:row>
    <x:row r="130" ht="23" customHeight="1">
      <x:c r="A130" s="172"/>
      <x:c r="B130" s="172"/>
      <x:c r="C130" s="172"/>
      <x:c r="D130" s="172"/>
      <x:c r="E130" s="172"/>
      <x:c r="F130" s="172"/>
      <x:c r="G130" s="172"/>
      <x:c r="H130" s="172"/>
      <x:c r="I130" s="172"/>
      <x:c r="J130" s="172"/>
      <x:c r="K130" s="172"/>
      <x:c r="L130" s="172"/>
      <x:c r="M130" s="172"/>
      <x:c r="N130" s="172"/>
      <x:c r="O130" s="172"/>
      <x:c r="P130" s="172"/>
      <x:c r="Q130" s="172"/>
      <x:c r="R130" s="172"/>
      <x:c r="S130" s="172"/>
      <x:c r="T130" s="172"/>
      <x:c r="U130" s="172"/>
    </x:row>
    <x:row r="131" ht="23" customHeight="1">
      <x:c r="A131" s="172"/>
      <x:c r="B131" s="172"/>
      <x:c r="C131" s="172"/>
      <x:c r="D131" s="172"/>
      <x:c r="E131" s="172"/>
      <x:c r="F131" s="172"/>
      <x:c r="G131" s="172"/>
      <x:c r="H131" s="172"/>
      <x:c r="I131" s="172"/>
      <x:c r="J131" s="172"/>
      <x:c r="K131" s="172"/>
      <x:c r="L131" s="172"/>
      <x:c r="M131" s="172"/>
      <x:c r="N131" s="172"/>
      <x:c r="O131" s="172"/>
      <x:c r="P131" s="172"/>
      <x:c r="Q131" s="172"/>
      <x:c r="R131" s="172"/>
      <x:c r="S131" s="172"/>
      <x:c r="T131" s="172"/>
      <x:c r="U131" s="172"/>
    </x:row>
    <x:row r="132" ht="23" customHeight="1">
      <x:c r="A132" s="172"/>
      <x:c r="B132" s="172"/>
      <x:c r="C132" s="172"/>
      <x:c r="D132" s="172"/>
      <x:c r="E132" s="172"/>
      <x:c r="F132" s="172"/>
      <x:c r="G132" s="172"/>
      <x:c r="H132" s="172"/>
      <x:c r="I132" s="172"/>
      <x:c r="J132" s="172"/>
      <x:c r="K132" s="172"/>
      <x:c r="L132" s="172"/>
      <x:c r="M132" s="172"/>
      <x:c r="N132" s="172"/>
      <x:c r="O132" s="172"/>
      <x:c r="P132" s="172"/>
      <x:c r="Q132" s="172"/>
      <x:c r="R132" s="172"/>
      <x:c r="S132" s="172"/>
      <x:c r="T132" s="172"/>
      <x:c r="U132" s="172"/>
    </x:row>
    <x:row r="133" ht="23" customHeight="1">
      <x:c r="A133" s="172"/>
      <x:c r="B133" s="172"/>
      <x:c r="C133" s="172"/>
      <x:c r="D133" s="172"/>
      <x:c r="E133" s="172"/>
      <x:c r="F133" s="172"/>
      <x:c r="G133" s="172"/>
      <x:c r="H133" s="172"/>
      <x:c r="I133" s="172"/>
      <x:c r="J133" s="172"/>
      <x:c r="K133" s="172"/>
      <x:c r="L133" s="172"/>
      <x:c r="M133" s="172"/>
      <x:c r="N133" s="172"/>
      <x:c r="O133" s="172"/>
      <x:c r="P133" s="172"/>
      <x:c r="Q133" s="172"/>
      <x:c r="R133" s="172"/>
      <x:c r="S133" s="172"/>
      <x:c r="T133" s="172"/>
      <x:c r="U133" s="172"/>
    </x:row>
    <x:row r="134" ht="23" customHeight="1">
      <x:c r="A134" s="172"/>
      <x:c r="B134" s="172"/>
      <x:c r="C134" s="172"/>
      <x:c r="D134" s="172"/>
      <x:c r="E134" s="172"/>
      <x:c r="F134" s="172"/>
      <x:c r="G134" s="172"/>
      <x:c r="H134" s="172"/>
      <x:c r="I134" s="172"/>
      <x:c r="J134" s="172"/>
      <x:c r="K134" s="172"/>
      <x:c r="L134" s="172"/>
      <x:c r="M134" s="172"/>
      <x:c r="N134" s="172"/>
      <x:c r="O134" s="172"/>
      <x:c r="P134" s="172"/>
      <x:c r="Q134" s="172"/>
      <x:c r="R134" s="172"/>
      <x:c r="S134" s="172"/>
      <x:c r="T134" s="172"/>
      <x:c r="U134" s="172"/>
    </x:row>
    <x:row r="135" ht="23" customHeight="1">
      <x:c r="A135" s="172"/>
      <x:c r="B135" s="172"/>
      <x:c r="C135" s="172"/>
      <x:c r="D135" s="172"/>
      <x:c r="E135" s="172"/>
      <x:c r="F135" s="172"/>
      <x:c r="G135" s="172"/>
      <x:c r="H135" s="172"/>
      <x:c r="I135" s="172"/>
      <x:c r="J135" s="172"/>
      <x:c r="K135" s="172"/>
      <x:c r="L135" s="172"/>
      <x:c r="M135" s="172"/>
      <x:c r="N135" s="172"/>
      <x:c r="O135" s="172"/>
      <x:c r="P135" s="172"/>
      <x:c r="Q135" s="172"/>
      <x:c r="R135" s="172"/>
      <x:c r="S135" s="172"/>
      <x:c r="T135" s="172"/>
      <x:c r="U135" s="172"/>
    </x:row>
    <x:row r="136" ht="23" customHeight="1">
      <x:c r="A136" s="172"/>
      <x:c r="B136" s="172"/>
      <x:c r="C136" s="172"/>
      <x:c r="D136" s="172"/>
      <x:c r="E136" s="172"/>
      <x:c r="F136" s="172"/>
      <x:c r="G136" s="172"/>
      <x:c r="H136" s="172"/>
      <x:c r="I136" s="172"/>
      <x:c r="J136" s="172"/>
      <x:c r="K136" s="172"/>
      <x:c r="L136" s="172"/>
      <x:c r="M136" s="172"/>
      <x:c r="N136" s="172"/>
      <x:c r="O136" s="172"/>
      <x:c r="P136" s="172"/>
      <x:c r="Q136" s="172"/>
      <x:c r="R136" s="172"/>
      <x:c r="S136" s="172"/>
      <x:c r="T136" s="172"/>
      <x:c r="U136" s="172"/>
    </x:row>
    <x:row r="137" ht="23" customHeight="1">
      <x:c r="A137" s="172"/>
      <x:c r="B137" s="172"/>
      <x:c r="C137" s="172"/>
      <x:c r="D137" s="172"/>
      <x:c r="E137" s="172"/>
      <x:c r="F137" s="172"/>
      <x:c r="G137" s="172"/>
      <x:c r="H137" s="172"/>
      <x:c r="I137" s="172"/>
      <x:c r="J137" s="172"/>
      <x:c r="K137" s="172"/>
      <x:c r="L137" s="172"/>
      <x:c r="M137" s="172"/>
      <x:c r="N137" s="172"/>
      <x:c r="O137" s="172"/>
      <x:c r="P137" s="172"/>
      <x:c r="Q137" s="172"/>
      <x:c r="R137" s="172"/>
      <x:c r="S137" s="172"/>
      <x:c r="T137" s="172"/>
      <x:c r="U137" s="172"/>
    </x:row>
    <x:row r="138" ht="23" customHeight="1">
      <x:c r="A138" s="172"/>
      <x:c r="B138" s="172"/>
      <x:c r="C138" s="172"/>
      <x:c r="D138" s="172"/>
      <x:c r="E138" s="172"/>
      <x:c r="F138" s="172"/>
      <x:c r="G138" s="172"/>
      <x:c r="H138" s="172"/>
      <x:c r="I138" s="172"/>
      <x:c r="J138" s="172"/>
      <x:c r="K138" s="172"/>
      <x:c r="L138" s="172"/>
      <x:c r="M138" s="172"/>
      <x:c r="N138" s="172"/>
      <x:c r="O138" s="172"/>
      <x:c r="P138" s="172"/>
      <x:c r="Q138" s="172"/>
      <x:c r="R138" s="172"/>
      <x:c r="S138" s="172"/>
      <x:c r="T138" s="172"/>
      <x:c r="U138" s="172"/>
    </x:row>
    <x:row r="139" ht="23" customHeight="1">
      <x:c r="A139" s="172"/>
      <x:c r="B139" s="172"/>
      <x:c r="C139" s="172"/>
      <x:c r="D139" s="172"/>
      <x:c r="E139" s="172"/>
      <x:c r="F139" s="172"/>
      <x:c r="G139" s="172"/>
      <x:c r="H139" s="172"/>
      <x:c r="I139" s="172"/>
      <x:c r="J139" s="172"/>
      <x:c r="K139" s="172"/>
      <x:c r="L139" s="172"/>
      <x:c r="M139" s="172"/>
      <x:c r="N139" s="172"/>
      <x:c r="O139" s="172"/>
      <x:c r="P139" s="172"/>
      <x:c r="Q139" s="172"/>
      <x:c r="R139" s="172"/>
      <x:c r="S139" s="172"/>
      <x:c r="T139" s="172"/>
      <x:c r="U139" s="172"/>
    </x:row>
    <x:row r="140" ht="23" customHeight="1">
      <x:c r="A140" s="172"/>
      <x:c r="B140" s="172"/>
      <x:c r="C140" s="172"/>
      <x:c r="D140" s="172"/>
      <x:c r="E140" s="172"/>
      <x:c r="F140" s="172"/>
      <x:c r="G140" s="172"/>
      <x:c r="H140" s="172"/>
      <x:c r="I140" s="172"/>
      <x:c r="J140" s="172"/>
      <x:c r="K140" s="172"/>
      <x:c r="L140" s="172"/>
      <x:c r="M140" s="172"/>
      <x:c r="N140" s="172"/>
      <x:c r="O140" s="172"/>
      <x:c r="P140" s="172"/>
      <x:c r="Q140" s="172"/>
      <x:c r="R140" s="172"/>
      <x:c r="S140" s="172"/>
      <x:c r="T140" s="172"/>
      <x:c r="U140" s="172"/>
    </x:row>
    <x:row r="141" ht="23" customHeight="1">
      <x:c r="A141" s="172"/>
      <x:c r="B141" s="172"/>
      <x:c r="C141" s="172"/>
      <x:c r="D141" s="172"/>
      <x:c r="E141" s="172"/>
      <x:c r="F141" s="172"/>
      <x:c r="G141" s="172"/>
      <x:c r="H141" s="172"/>
      <x:c r="I141" s="172"/>
      <x:c r="J141" s="172"/>
      <x:c r="K141" s="172"/>
      <x:c r="L141" s="172"/>
      <x:c r="M141" s="172"/>
      <x:c r="N141" s="172"/>
      <x:c r="O141" s="172"/>
      <x:c r="P141" s="172"/>
      <x:c r="Q141" s="172"/>
      <x:c r="R141" s="172"/>
      <x:c r="S141" s="172"/>
      <x:c r="T141" s="172"/>
      <x:c r="U141" s="172"/>
    </x:row>
    <x:row r="142" ht="23" customHeight="1">
      <x:c r="A142" s="172"/>
      <x:c r="B142" s="172"/>
      <x:c r="C142" s="172"/>
      <x:c r="D142" s="172"/>
      <x:c r="E142" s="172"/>
      <x:c r="F142" s="172"/>
      <x:c r="G142" s="172"/>
      <x:c r="H142" s="172"/>
      <x:c r="I142" s="172"/>
      <x:c r="J142" s="172"/>
      <x:c r="K142" s="172"/>
      <x:c r="L142" s="172"/>
      <x:c r="M142" s="172"/>
      <x:c r="N142" s="172"/>
      <x:c r="O142" s="172"/>
      <x:c r="P142" s="172"/>
      <x:c r="Q142" s="172"/>
      <x:c r="R142" s="172"/>
      <x:c r="S142" s="172"/>
      <x:c r="T142" s="172"/>
      <x:c r="U142" s="172"/>
    </x:row>
    <x:row r="143" ht="23" customHeight="1">
      <x:c r="A143" s="172"/>
      <x:c r="B143" s="172"/>
      <x:c r="C143" s="172"/>
      <x:c r="D143" s="172"/>
      <x:c r="E143" s="172"/>
      <x:c r="F143" s="172"/>
      <x:c r="G143" s="172"/>
      <x:c r="H143" s="172"/>
      <x:c r="I143" s="172"/>
      <x:c r="J143" s="172"/>
      <x:c r="K143" s="172"/>
      <x:c r="L143" s="172"/>
      <x:c r="M143" s="172"/>
      <x:c r="N143" s="172"/>
      <x:c r="O143" s="172"/>
      <x:c r="P143" s="172"/>
      <x:c r="Q143" s="172"/>
      <x:c r="R143" s="172"/>
      <x:c r="S143" s="172"/>
      <x:c r="T143" s="172"/>
      <x:c r="U143" s="172"/>
    </x:row>
    <x:row r="144" ht="23" customHeight="1">
      <x:c r="A144" s="172"/>
      <x:c r="B144" s="172"/>
      <x:c r="C144" s="172"/>
      <x:c r="D144" s="172"/>
      <x:c r="E144" s="172"/>
      <x:c r="F144" s="172"/>
      <x:c r="G144" s="172"/>
      <x:c r="H144" s="172"/>
      <x:c r="I144" s="172"/>
      <x:c r="J144" s="172"/>
      <x:c r="K144" s="172"/>
      <x:c r="L144" s="172"/>
      <x:c r="M144" s="172"/>
      <x:c r="N144" s="172"/>
      <x:c r="O144" s="172"/>
      <x:c r="P144" s="172"/>
      <x:c r="Q144" s="172"/>
      <x:c r="R144" s="172"/>
      <x:c r="S144" s="172"/>
      <x:c r="T144" s="172"/>
      <x:c r="U144" s="172"/>
    </x:row>
    <x:row r="145" ht="23" customHeight="1">
      <x:c r="A145" s="172"/>
      <x:c r="B145" s="172"/>
      <x:c r="C145" s="172"/>
      <x:c r="D145" s="172"/>
      <x:c r="E145" s="172"/>
      <x:c r="F145" s="172"/>
      <x:c r="G145" s="172"/>
      <x:c r="H145" s="172"/>
      <x:c r="I145" s="172"/>
      <x:c r="J145" s="172"/>
      <x:c r="K145" s="172"/>
      <x:c r="L145" s="172"/>
      <x:c r="M145" s="172"/>
      <x:c r="N145" s="172"/>
      <x:c r="O145" s="172"/>
      <x:c r="P145" s="172"/>
      <x:c r="Q145" s="172"/>
      <x:c r="R145" s="172"/>
      <x:c r="S145" s="172"/>
      <x:c r="T145" s="172"/>
      <x:c r="U145" s="172"/>
    </x:row>
    <x:row r="146" ht="23" customHeight="1">
      <x:c r="A146" s="172"/>
      <x:c r="B146" s="172"/>
      <x:c r="C146" s="172"/>
      <x:c r="D146" s="172"/>
      <x:c r="E146" s="172"/>
      <x:c r="F146" s="172"/>
      <x:c r="G146" s="172"/>
      <x:c r="H146" s="172"/>
      <x:c r="I146" s="172"/>
      <x:c r="J146" s="172"/>
      <x:c r="K146" s="172"/>
      <x:c r="L146" s="172"/>
      <x:c r="M146" s="172"/>
      <x:c r="N146" s="172"/>
      <x:c r="O146" s="172"/>
      <x:c r="P146" s="172"/>
      <x:c r="Q146" s="172"/>
      <x:c r="R146" s="172"/>
      <x:c r="S146" s="172"/>
      <x:c r="T146" s="172"/>
      <x:c r="U146" s="172"/>
    </x:row>
    <x:row r="147" ht="23" customHeight="1">
      <x:c r="A147" s="172"/>
      <x:c r="B147" s="172"/>
      <x:c r="C147" s="172"/>
      <x:c r="D147" s="172"/>
      <x:c r="E147" s="172"/>
      <x:c r="F147" s="172"/>
      <x:c r="G147" s="172"/>
      <x:c r="H147" s="172"/>
      <x:c r="I147" s="172"/>
      <x:c r="J147" s="172"/>
      <x:c r="K147" s="172"/>
      <x:c r="L147" s="172"/>
      <x:c r="M147" s="172"/>
      <x:c r="N147" s="172"/>
      <x:c r="O147" s="172"/>
      <x:c r="P147" s="172"/>
      <x:c r="Q147" s="172"/>
      <x:c r="R147" s="172"/>
      <x:c r="S147" s="172"/>
      <x:c r="T147" s="172"/>
      <x:c r="U147" s="172"/>
    </x:row>
    <x:row r="148" ht="23" customHeight="1">
      <x:c r="A148" s="172"/>
      <x:c r="B148" s="172"/>
      <x:c r="C148" s="172"/>
      <x:c r="D148" s="172"/>
      <x:c r="E148" s="172"/>
      <x:c r="F148" s="172"/>
      <x:c r="G148" s="172"/>
      <x:c r="H148" s="172"/>
      <x:c r="I148" s="172"/>
      <x:c r="J148" s="172"/>
      <x:c r="K148" s="172"/>
      <x:c r="L148" s="172"/>
      <x:c r="M148" s="172"/>
      <x:c r="N148" s="172"/>
      <x:c r="O148" s="172"/>
      <x:c r="P148" s="172"/>
      <x:c r="Q148" s="172"/>
      <x:c r="R148" s="172"/>
      <x:c r="S148" s="172"/>
      <x:c r="T148" s="172"/>
      <x:c r="U148" s="172"/>
    </x:row>
    <x:row r="149" ht="23" customHeight="1">
      <x:c r="A149" s="172"/>
      <x:c r="B149" s="172"/>
      <x:c r="C149" s="172"/>
      <x:c r="D149" s="172"/>
      <x:c r="E149" s="172"/>
      <x:c r="F149" s="172"/>
      <x:c r="G149" s="172"/>
      <x:c r="H149" s="172"/>
      <x:c r="I149" s="172"/>
      <x:c r="J149" s="172"/>
      <x:c r="K149" s="172"/>
      <x:c r="L149" s="172"/>
      <x:c r="M149" s="172"/>
      <x:c r="N149" s="172"/>
      <x:c r="O149" s="172"/>
      <x:c r="P149" s="172"/>
      <x:c r="Q149" s="172"/>
      <x:c r="R149" s="172"/>
      <x:c r="S149" s="172"/>
      <x:c r="T149" s="172"/>
      <x:c r="U149" s="172"/>
    </x:row>
    <x:row r="150" ht="23" customHeight="1">
      <x:c r="A150" s="172"/>
      <x:c r="B150" s="172"/>
      <x:c r="C150" s="172"/>
      <x:c r="D150" s="172"/>
      <x:c r="E150" s="172"/>
      <x:c r="F150" s="172"/>
      <x:c r="G150" s="172"/>
      <x:c r="H150" s="172"/>
      <x:c r="I150" s="172"/>
      <x:c r="J150" s="172"/>
      <x:c r="K150" s="172"/>
      <x:c r="L150" s="172"/>
      <x:c r="M150" s="172"/>
      <x:c r="N150" s="172"/>
      <x:c r="O150" s="172"/>
      <x:c r="P150" s="172"/>
      <x:c r="Q150" s="172"/>
      <x:c r="R150" s="172"/>
      <x:c r="S150" s="172"/>
      <x:c r="T150" s="172"/>
      <x:c r="U150" s="172"/>
    </x:row>
    <x:row r="151" ht="23" customHeight="1">
      <x:c r="A151" s="172"/>
      <x:c r="B151" s="172"/>
      <x:c r="C151" s="172"/>
      <x:c r="D151" s="172"/>
      <x:c r="E151" s="172"/>
      <x:c r="F151" s="172"/>
      <x:c r="G151" s="172"/>
      <x:c r="H151" s="172"/>
      <x:c r="I151" s="172"/>
      <x:c r="J151" s="172"/>
      <x:c r="K151" s="172"/>
      <x:c r="L151" s="172"/>
      <x:c r="M151" s="172"/>
      <x:c r="N151" s="172"/>
      <x:c r="O151" s="172"/>
      <x:c r="P151" s="172"/>
      <x:c r="Q151" s="172"/>
      <x:c r="R151" s="172"/>
      <x:c r="S151" s="172"/>
      <x:c r="T151" s="172"/>
      <x:c r="U151" s="172"/>
    </x:row>
    <x:row r="152" ht="23" customHeight="1">
      <x:c r="A152" s="172"/>
      <x:c r="B152" s="172"/>
      <x:c r="C152" s="172"/>
      <x:c r="D152" s="172"/>
      <x:c r="E152" s="172"/>
      <x:c r="F152" s="172"/>
      <x:c r="G152" s="172"/>
      <x:c r="H152" s="172"/>
      <x:c r="I152" s="172"/>
      <x:c r="J152" s="172"/>
      <x:c r="K152" s="172"/>
      <x:c r="L152" s="172"/>
      <x:c r="M152" s="172"/>
      <x:c r="N152" s="172"/>
      <x:c r="O152" s="172"/>
      <x:c r="P152" s="172"/>
      <x:c r="Q152" s="172"/>
      <x:c r="R152" s="172"/>
      <x:c r="S152" s="172"/>
      <x:c r="T152" s="172"/>
      <x:c r="U152" s="172"/>
    </x:row>
    <x:row r="153" ht="23" customHeight="1">
      <x:c r="A153" s="172"/>
      <x:c r="B153" s="172"/>
      <x:c r="C153" s="172"/>
      <x:c r="D153" s="172"/>
      <x:c r="E153" s="172"/>
      <x:c r="F153" s="172"/>
      <x:c r="G153" s="172"/>
      <x:c r="H153" s="172"/>
      <x:c r="I153" s="172"/>
      <x:c r="J153" s="172"/>
      <x:c r="K153" s="172"/>
      <x:c r="L153" s="172"/>
      <x:c r="M153" s="172"/>
      <x:c r="N153" s="172"/>
      <x:c r="O153" s="172"/>
      <x:c r="P153" s="172"/>
      <x:c r="Q153" s="172"/>
      <x:c r="R153" s="172"/>
      <x:c r="S153" s="172"/>
      <x:c r="T153" s="172"/>
      <x:c r="U153" s="172"/>
    </x:row>
    <x:row r="154" ht="23" customHeight="1">
      <x:c r="A154" s="172"/>
      <x:c r="B154" s="172"/>
      <x:c r="C154" s="172"/>
      <x:c r="D154" s="172"/>
      <x:c r="E154" s="172"/>
      <x:c r="F154" s="172"/>
      <x:c r="G154" s="172"/>
      <x:c r="H154" s="172"/>
      <x:c r="I154" s="172"/>
      <x:c r="J154" s="172"/>
      <x:c r="K154" s="172"/>
      <x:c r="L154" s="172"/>
      <x:c r="M154" s="172"/>
      <x:c r="N154" s="172"/>
      <x:c r="O154" s="172"/>
      <x:c r="P154" s="172"/>
      <x:c r="Q154" s="172"/>
      <x:c r="R154" s="172"/>
      <x:c r="S154" s="172"/>
      <x:c r="T154" s="172"/>
      <x:c r="U154" s="172"/>
    </x:row>
    <x:row r="155" ht="23" customHeight="1">
      <x:c r="A155" s="172"/>
      <x:c r="B155" s="172"/>
      <x:c r="C155" s="172"/>
      <x:c r="D155" s="172"/>
      <x:c r="E155" s="172"/>
      <x:c r="F155" s="172"/>
      <x:c r="G155" s="172"/>
      <x:c r="H155" s="172"/>
      <x:c r="I155" s="172"/>
      <x:c r="J155" s="172"/>
      <x:c r="K155" s="172"/>
      <x:c r="L155" s="172"/>
      <x:c r="M155" s="172"/>
      <x:c r="N155" s="172"/>
      <x:c r="O155" s="172"/>
      <x:c r="P155" s="172"/>
      <x:c r="Q155" s="172"/>
      <x:c r="R155" s="172"/>
      <x:c r="S155" s="172"/>
      <x:c r="T155" s="172"/>
      <x:c r="U155" s="172"/>
    </x:row>
    <x:row r="156" ht="23" customHeight="1">
      <x:c r="A156" s="172"/>
      <x:c r="B156" s="172"/>
      <x:c r="C156" s="172"/>
      <x:c r="D156" s="172"/>
      <x:c r="E156" s="172"/>
      <x:c r="F156" s="172"/>
      <x:c r="G156" s="172"/>
      <x:c r="H156" s="172"/>
      <x:c r="I156" s="172"/>
      <x:c r="J156" s="172"/>
      <x:c r="K156" s="172"/>
      <x:c r="L156" s="172"/>
      <x:c r="M156" s="172"/>
      <x:c r="N156" s="172"/>
      <x:c r="O156" s="172"/>
      <x:c r="P156" s="172"/>
      <x:c r="Q156" s="172"/>
      <x:c r="R156" s="172"/>
      <x:c r="S156" s="172"/>
      <x:c r="T156" s="172"/>
      <x:c r="U156" s="172"/>
    </x:row>
    <x:row r="157" ht="23" customHeight="1">
      <x:c r="A157" s="172"/>
      <x:c r="B157" s="172"/>
      <x:c r="C157" s="172"/>
      <x:c r="D157" s="172"/>
      <x:c r="E157" s="172"/>
      <x:c r="F157" s="172"/>
      <x:c r="G157" s="172"/>
      <x:c r="H157" s="172"/>
      <x:c r="I157" s="172"/>
      <x:c r="J157" s="172"/>
      <x:c r="K157" s="172"/>
      <x:c r="L157" s="172"/>
      <x:c r="M157" s="172"/>
      <x:c r="N157" s="172"/>
      <x:c r="O157" s="172"/>
      <x:c r="P157" s="172"/>
      <x:c r="Q157" s="172"/>
      <x:c r="R157" s="172"/>
      <x:c r="S157" s="172"/>
      <x:c r="T157" s="172"/>
      <x:c r="U157" s="172"/>
    </x:row>
    <x:row r="158" ht="23" customHeight="1">
      <x:c r="A158" s="172"/>
      <x:c r="B158" s="172"/>
      <x:c r="C158" s="172"/>
      <x:c r="D158" s="172"/>
      <x:c r="E158" s="172"/>
      <x:c r="F158" s="172"/>
      <x:c r="G158" s="172"/>
      <x:c r="H158" s="172"/>
      <x:c r="I158" s="172"/>
      <x:c r="J158" s="172"/>
      <x:c r="K158" s="172"/>
      <x:c r="L158" s="172"/>
      <x:c r="M158" s="172"/>
      <x:c r="N158" s="172"/>
      <x:c r="O158" s="172"/>
      <x:c r="P158" s="172"/>
      <x:c r="Q158" s="172"/>
      <x:c r="R158" s="172"/>
      <x:c r="S158" s="172"/>
      <x:c r="T158" s="172"/>
      <x:c r="U158" s="172"/>
    </x:row>
    <x:row r="159" ht="23" customHeight="1">
      <x:c r="A159" s="172"/>
      <x:c r="B159" s="172"/>
      <x:c r="C159" s="172"/>
      <x:c r="D159" s="172"/>
      <x:c r="E159" s="172"/>
      <x:c r="F159" s="172"/>
      <x:c r="G159" s="172"/>
      <x:c r="H159" s="172"/>
      <x:c r="I159" s="172"/>
      <x:c r="J159" s="172"/>
      <x:c r="K159" s="172"/>
      <x:c r="L159" s="172"/>
      <x:c r="M159" s="172"/>
      <x:c r="N159" s="172"/>
      <x:c r="O159" s="172"/>
      <x:c r="P159" s="172"/>
      <x:c r="Q159" s="172"/>
      <x:c r="R159" s="172"/>
      <x:c r="S159" s="172"/>
      <x:c r="T159" s="172"/>
      <x:c r="U159" s="172"/>
    </x:row>
    <x:row r="160" ht="23" customHeight="1">
      <x:c r="A160" s="172"/>
      <x:c r="B160" s="172"/>
      <x:c r="C160" s="172"/>
      <x:c r="D160" s="172"/>
      <x:c r="E160" s="172"/>
      <x:c r="F160" s="172"/>
      <x:c r="G160" s="172"/>
      <x:c r="H160" s="172"/>
      <x:c r="I160" s="172"/>
      <x:c r="J160" s="172"/>
      <x:c r="K160" s="172"/>
      <x:c r="L160" s="172"/>
      <x:c r="M160" s="172"/>
      <x:c r="N160" s="172"/>
      <x:c r="O160" s="172"/>
      <x:c r="P160" s="172"/>
      <x:c r="Q160" s="172"/>
      <x:c r="R160" s="172"/>
      <x:c r="S160" s="172"/>
      <x:c r="T160" s="172"/>
      <x:c r="U160" s="172"/>
    </x:row>
    <x:row r="161" ht="23" customHeight="1">
      <x:c r="A161" s="172"/>
      <x:c r="B161" s="172"/>
      <x:c r="C161" s="172"/>
      <x:c r="D161" s="172"/>
      <x:c r="E161" s="172"/>
      <x:c r="F161" s="172"/>
      <x:c r="G161" s="172"/>
      <x:c r="H161" s="172"/>
      <x:c r="I161" s="172"/>
      <x:c r="J161" s="172"/>
      <x:c r="K161" s="172"/>
      <x:c r="L161" s="172"/>
      <x:c r="M161" s="172"/>
      <x:c r="N161" s="172"/>
      <x:c r="O161" s="172"/>
      <x:c r="P161" s="172"/>
      <x:c r="Q161" s="172"/>
      <x:c r="R161" s="172"/>
      <x:c r="S161" s="172"/>
      <x:c r="T161" s="172"/>
      <x:c r="U161" s="172"/>
    </x:row>
    <x:row r="162" ht="23" customHeight="1">
      <x:c r="A162" s="172"/>
      <x:c r="B162" s="172"/>
      <x:c r="C162" s="172"/>
      <x:c r="D162" s="172"/>
      <x:c r="E162" s="172"/>
      <x:c r="F162" s="172"/>
      <x:c r="G162" s="172"/>
      <x:c r="H162" s="172"/>
      <x:c r="I162" s="172"/>
      <x:c r="J162" s="172"/>
      <x:c r="K162" s="172"/>
      <x:c r="L162" s="172"/>
      <x:c r="M162" s="172"/>
      <x:c r="N162" s="172"/>
      <x:c r="O162" s="172"/>
      <x:c r="P162" s="172"/>
      <x:c r="Q162" s="172"/>
      <x:c r="R162" s="172"/>
      <x:c r="S162" s="172"/>
      <x:c r="T162" s="172"/>
      <x:c r="U162" s="172"/>
    </x:row>
    <x:row r="163" ht="23" customHeight="1">
      <x:c r="A163" s="172"/>
      <x:c r="B163" s="172"/>
      <x:c r="C163" s="172"/>
      <x:c r="D163" s="172"/>
      <x:c r="E163" s="172"/>
      <x:c r="F163" s="172"/>
      <x:c r="G163" s="172"/>
      <x:c r="H163" s="172"/>
      <x:c r="I163" s="172"/>
      <x:c r="J163" s="172"/>
      <x:c r="K163" s="172"/>
      <x:c r="L163" s="172"/>
      <x:c r="M163" s="172"/>
      <x:c r="N163" s="172"/>
      <x:c r="O163" s="172"/>
      <x:c r="P163" s="172"/>
      <x:c r="Q163" s="172"/>
      <x:c r="R163" s="172"/>
      <x:c r="S163" s="172"/>
      <x:c r="T163" s="172"/>
      <x:c r="U163" s="172"/>
    </x:row>
    <x:row r="164" ht="23" customHeight="1">
      <x:c r="A164" s="172"/>
      <x:c r="B164" s="172"/>
      <x:c r="C164" s="172"/>
      <x:c r="D164" s="172"/>
      <x:c r="E164" s="172"/>
      <x:c r="F164" s="172"/>
      <x:c r="G164" s="172"/>
      <x:c r="H164" s="172"/>
      <x:c r="I164" s="172"/>
      <x:c r="J164" s="172"/>
      <x:c r="K164" s="172"/>
      <x:c r="L164" s="172"/>
      <x:c r="M164" s="172"/>
      <x:c r="N164" s="172"/>
      <x:c r="O164" s="172"/>
      <x:c r="P164" s="172"/>
      <x:c r="Q164" s="172"/>
      <x:c r="R164" s="172"/>
      <x:c r="S164" s="172"/>
      <x:c r="T164" s="172"/>
      <x:c r="U164" s="172"/>
    </x:row>
    <x:row r="165" ht="23" customHeight="1">
      <x:c r="A165" s="172"/>
      <x:c r="B165" s="172"/>
      <x:c r="C165" s="172"/>
      <x:c r="D165" s="172"/>
      <x:c r="E165" s="172"/>
      <x:c r="F165" s="172"/>
      <x:c r="G165" s="172"/>
      <x:c r="H165" s="172"/>
      <x:c r="I165" s="172"/>
      <x:c r="J165" s="172"/>
      <x:c r="K165" s="172"/>
      <x:c r="L165" s="172"/>
      <x:c r="M165" s="172"/>
      <x:c r="N165" s="172"/>
      <x:c r="O165" s="172"/>
      <x:c r="P165" s="172"/>
      <x:c r="Q165" s="172"/>
      <x:c r="R165" s="172"/>
      <x:c r="S165" s="172"/>
      <x:c r="T165" s="172"/>
      <x:c r="U165" s="172"/>
    </x:row>
    <x:row r="166" ht="23" customHeight="1">
      <x:c r="A166" s="172"/>
      <x:c r="B166" s="172"/>
      <x:c r="C166" s="172"/>
      <x:c r="D166" s="172"/>
      <x:c r="E166" s="172"/>
      <x:c r="F166" s="172"/>
      <x:c r="G166" s="172"/>
      <x:c r="H166" s="172"/>
      <x:c r="I166" s="172"/>
      <x:c r="J166" s="172"/>
      <x:c r="K166" s="172"/>
      <x:c r="L166" s="172"/>
      <x:c r="M166" s="172"/>
      <x:c r="N166" s="172"/>
      <x:c r="O166" s="172"/>
      <x:c r="P166" s="172"/>
      <x:c r="Q166" s="172"/>
      <x:c r="R166" s="172"/>
      <x:c r="S166" s="172"/>
      <x:c r="T166" s="172"/>
      <x:c r="U166" s="172"/>
    </x:row>
    <x:row r="167" ht="23" customHeight="1">
      <x:c r="A167" s="172"/>
      <x:c r="B167" s="172"/>
      <x:c r="C167" s="172"/>
      <x:c r="D167" s="172"/>
      <x:c r="E167" s="172"/>
      <x:c r="F167" s="172"/>
      <x:c r="G167" s="172"/>
      <x:c r="H167" s="172"/>
      <x:c r="I167" s="172"/>
      <x:c r="J167" s="172"/>
      <x:c r="K167" s="172"/>
      <x:c r="L167" s="172"/>
      <x:c r="M167" s="172"/>
      <x:c r="N167" s="172"/>
      <x:c r="O167" s="172"/>
      <x:c r="P167" s="172"/>
      <x:c r="Q167" s="172"/>
      <x:c r="R167" s="172"/>
      <x:c r="S167" s="172"/>
      <x:c r="T167" s="172"/>
      <x:c r="U167" s="172"/>
    </x:row>
    <x:row r="168" ht="23" customHeight="1">
      <x:c r="A168" s="172"/>
      <x:c r="B168" s="172"/>
      <x:c r="C168" s="172"/>
      <x:c r="D168" s="172"/>
      <x:c r="E168" s="172"/>
      <x:c r="F168" s="172"/>
      <x:c r="G168" s="172"/>
      <x:c r="H168" s="172"/>
      <x:c r="I168" s="172"/>
      <x:c r="J168" s="172"/>
      <x:c r="K168" s="172"/>
      <x:c r="L168" s="172"/>
      <x:c r="M168" s="172"/>
      <x:c r="N168" s="172"/>
      <x:c r="O168" s="172"/>
      <x:c r="P168" s="172"/>
      <x:c r="Q168" s="172"/>
      <x:c r="R168" s="172"/>
      <x:c r="S168" s="172"/>
      <x:c r="T168" s="172"/>
      <x:c r="U168" s="172"/>
    </x:row>
    <x:row r="169" ht="23" customHeight="1">
      <x:c r="A169" s="172"/>
      <x:c r="B169" s="172"/>
      <x:c r="C169" s="172"/>
      <x:c r="D169" s="172"/>
      <x:c r="E169" s="172"/>
      <x:c r="F169" s="172"/>
      <x:c r="G169" s="172"/>
      <x:c r="H169" s="172"/>
      <x:c r="I169" s="172"/>
      <x:c r="J169" s="172"/>
      <x:c r="K169" s="172"/>
      <x:c r="L169" s="172"/>
      <x:c r="M169" s="172"/>
      <x:c r="N169" s="172"/>
      <x:c r="O169" s="172"/>
      <x:c r="P169" s="172"/>
      <x:c r="Q169" s="172"/>
      <x:c r="R169" s="172"/>
      <x:c r="S169" s="172"/>
      <x:c r="T169" s="172"/>
      <x:c r="U169" s="172"/>
    </x:row>
    <x:row r="170" ht="23" customHeight="1">
      <x:c r="A170" s="172"/>
      <x:c r="B170" s="172"/>
      <x:c r="C170" s="172"/>
      <x:c r="D170" s="172"/>
      <x:c r="E170" s="172"/>
      <x:c r="F170" s="172"/>
      <x:c r="G170" s="172"/>
      <x:c r="H170" s="172"/>
      <x:c r="I170" s="172"/>
      <x:c r="J170" s="172"/>
      <x:c r="K170" s="172"/>
      <x:c r="L170" s="172"/>
      <x:c r="M170" s="172"/>
      <x:c r="N170" s="172"/>
      <x:c r="O170" s="172"/>
      <x:c r="P170" s="172"/>
      <x:c r="Q170" s="172"/>
      <x:c r="R170" s="172"/>
      <x:c r="S170" s="172"/>
      <x:c r="T170" s="172"/>
      <x:c r="U170" s="172"/>
    </x:row>
    <x:row r="171" ht="23" customHeight="1">
      <x:c r="A171" s="172"/>
      <x:c r="B171" s="172"/>
      <x:c r="C171" s="172"/>
      <x:c r="D171" s="172"/>
      <x:c r="E171" s="172"/>
      <x:c r="F171" s="172"/>
      <x:c r="G171" s="172"/>
      <x:c r="H171" s="172"/>
      <x:c r="I171" s="172"/>
      <x:c r="J171" s="172"/>
      <x:c r="K171" s="172"/>
      <x:c r="L171" s="172"/>
      <x:c r="M171" s="172"/>
      <x:c r="N171" s="172"/>
      <x:c r="O171" s="172"/>
      <x:c r="P171" s="172"/>
      <x:c r="Q171" s="172"/>
      <x:c r="R171" s="172"/>
      <x:c r="S171" s="172"/>
      <x:c r="T171" s="172"/>
      <x:c r="U171" s="172"/>
    </x:row>
    <x:row r="172" ht="23" customHeight="1">
      <x:c r="A172" s="172"/>
      <x:c r="B172" s="172"/>
      <x:c r="C172" s="172"/>
      <x:c r="D172" s="172"/>
      <x:c r="E172" s="172"/>
      <x:c r="F172" s="172"/>
      <x:c r="G172" s="172"/>
      <x:c r="H172" s="172"/>
      <x:c r="I172" s="172"/>
      <x:c r="J172" s="172"/>
      <x:c r="K172" s="172"/>
      <x:c r="L172" s="172"/>
      <x:c r="M172" s="172"/>
      <x:c r="N172" s="172"/>
      <x:c r="O172" s="172"/>
      <x:c r="P172" s="172"/>
      <x:c r="Q172" s="172"/>
      <x:c r="R172" s="172"/>
      <x:c r="S172" s="172"/>
      <x:c r="T172" s="172"/>
      <x:c r="U172" s="172"/>
    </x:row>
    <x:row r="173" ht="23" customHeight="1">
      <x:c r="A173" s="172"/>
      <x:c r="B173" s="172"/>
      <x:c r="C173" s="172"/>
      <x:c r="D173" s="172"/>
      <x:c r="E173" s="172"/>
      <x:c r="F173" s="172"/>
      <x:c r="G173" s="172"/>
      <x:c r="H173" s="172"/>
      <x:c r="I173" s="172"/>
      <x:c r="J173" s="172"/>
      <x:c r="K173" s="172"/>
      <x:c r="L173" s="172"/>
      <x:c r="M173" s="172"/>
      <x:c r="N173" s="172"/>
      <x:c r="O173" s="172"/>
      <x:c r="P173" s="172"/>
      <x:c r="Q173" s="172"/>
      <x:c r="R173" s="172"/>
      <x:c r="S173" s="172"/>
      <x:c r="T173" s="172"/>
      <x:c r="U173" s="172"/>
    </x:row>
    <x:row r="174" ht="23" customHeight="1">
      <x:c r="A174" s="172"/>
      <x:c r="B174" s="172"/>
      <x:c r="C174" s="172"/>
      <x:c r="D174" s="172"/>
      <x:c r="E174" s="172"/>
      <x:c r="F174" s="172"/>
      <x:c r="G174" s="172"/>
      <x:c r="H174" s="172"/>
      <x:c r="I174" s="172"/>
      <x:c r="J174" s="172"/>
      <x:c r="K174" s="172"/>
      <x:c r="L174" s="172"/>
      <x:c r="M174" s="172"/>
      <x:c r="N174" s="172"/>
      <x:c r="O174" s="172"/>
      <x:c r="P174" s="172"/>
      <x:c r="Q174" s="172"/>
      <x:c r="R174" s="172"/>
      <x:c r="S174" s="172"/>
      <x:c r="T174" s="172"/>
      <x:c r="U174" s="172"/>
    </x:row>
    <x:row r="175" ht="23" customHeight="1">
      <x:c r="A175" s="172"/>
      <x:c r="B175" s="172"/>
      <x:c r="C175" s="172"/>
      <x:c r="D175" s="172"/>
      <x:c r="E175" s="172"/>
      <x:c r="F175" s="172"/>
      <x:c r="G175" s="172"/>
      <x:c r="H175" s="172"/>
      <x:c r="I175" s="172"/>
      <x:c r="J175" s="172"/>
      <x:c r="K175" s="172"/>
      <x:c r="L175" s="172"/>
      <x:c r="M175" s="172"/>
      <x:c r="N175" s="172"/>
      <x:c r="O175" s="172"/>
      <x:c r="P175" s="172"/>
      <x:c r="Q175" s="172"/>
      <x:c r="R175" s="172"/>
      <x:c r="S175" s="172"/>
      <x:c r="T175" s="172"/>
      <x:c r="U175" s="172"/>
    </x:row>
    <x:row r="176" ht="23" customHeight="1">
      <x:c r="A176" s="172"/>
      <x:c r="B176" s="172"/>
      <x:c r="C176" s="172"/>
      <x:c r="D176" s="172"/>
      <x:c r="E176" s="172"/>
      <x:c r="F176" s="172"/>
      <x:c r="G176" s="172"/>
      <x:c r="H176" s="172"/>
      <x:c r="I176" s="172"/>
      <x:c r="J176" s="172"/>
      <x:c r="K176" s="172"/>
      <x:c r="L176" s="172"/>
      <x:c r="M176" s="172"/>
      <x:c r="N176" s="172"/>
      <x:c r="O176" s="172"/>
      <x:c r="P176" s="172"/>
      <x:c r="Q176" s="172"/>
      <x:c r="R176" s="172"/>
      <x:c r="S176" s="172"/>
      <x:c r="T176" s="172"/>
      <x:c r="U176" s="172"/>
    </x:row>
    <x:row r="177" ht="23" customHeight="1">
      <x:c r="A177" s="172"/>
      <x:c r="B177" s="172"/>
      <x:c r="C177" s="172"/>
      <x:c r="D177" s="172"/>
      <x:c r="E177" s="172"/>
      <x:c r="F177" s="172"/>
      <x:c r="G177" s="172"/>
      <x:c r="H177" s="172"/>
      <x:c r="I177" s="172"/>
      <x:c r="J177" s="172"/>
      <x:c r="K177" s="172"/>
      <x:c r="L177" s="172"/>
      <x:c r="M177" s="172"/>
      <x:c r="N177" s="172"/>
      <x:c r="O177" s="172"/>
      <x:c r="P177" s="172"/>
      <x:c r="Q177" s="172"/>
      <x:c r="R177" s="172"/>
      <x:c r="S177" s="172"/>
      <x:c r="T177" s="172"/>
      <x:c r="U177" s="172"/>
    </x:row>
    <x:row r="178" ht="23" customHeight="1">
      <x:c r="A178" s="172"/>
      <x:c r="B178" s="172"/>
      <x:c r="C178" s="172"/>
      <x:c r="D178" s="172"/>
      <x:c r="E178" s="172"/>
      <x:c r="F178" s="172"/>
      <x:c r="G178" s="172"/>
      <x:c r="H178" s="172"/>
      <x:c r="I178" s="172"/>
      <x:c r="J178" s="172"/>
      <x:c r="K178" s="172"/>
      <x:c r="L178" s="172"/>
      <x:c r="M178" s="172"/>
      <x:c r="N178" s="172"/>
      <x:c r="O178" s="172"/>
      <x:c r="P178" s="172"/>
      <x:c r="Q178" s="172"/>
      <x:c r="R178" s="172"/>
      <x:c r="S178" s="172"/>
      <x:c r="T178" s="172"/>
      <x:c r="U178" s="172"/>
    </x:row>
    <x:row r="179" ht="23" customHeight="1">
      <x:c r="A179" s="172"/>
      <x:c r="B179" s="172"/>
      <x:c r="C179" s="172"/>
      <x:c r="D179" s="172"/>
      <x:c r="E179" s="172"/>
      <x:c r="F179" s="172"/>
      <x:c r="G179" s="172"/>
      <x:c r="H179" s="172"/>
      <x:c r="I179" s="172"/>
      <x:c r="J179" s="172"/>
      <x:c r="K179" s="172"/>
      <x:c r="L179" s="172"/>
      <x:c r="M179" s="172"/>
      <x:c r="N179" s="172"/>
      <x:c r="O179" s="172"/>
      <x:c r="P179" s="172"/>
      <x:c r="Q179" s="172"/>
      <x:c r="R179" s="172"/>
      <x:c r="S179" s="172"/>
      <x:c r="T179" s="172"/>
      <x:c r="U179" s="172"/>
    </x:row>
    <x:row r="180" ht="23" customHeight="1">
      <x:c r="A180" s="172"/>
      <x:c r="B180" s="172"/>
      <x:c r="C180" s="172"/>
      <x:c r="D180" s="172"/>
      <x:c r="E180" s="172"/>
      <x:c r="F180" s="172"/>
      <x:c r="G180" s="172"/>
      <x:c r="H180" s="172"/>
      <x:c r="I180" s="172"/>
      <x:c r="J180" s="172"/>
      <x:c r="K180" s="172"/>
      <x:c r="L180" s="172"/>
      <x:c r="M180" s="172"/>
      <x:c r="N180" s="172"/>
      <x:c r="O180" s="172"/>
      <x:c r="P180" s="172"/>
      <x:c r="Q180" s="172"/>
      <x:c r="R180" s="172"/>
      <x:c r="S180" s="172"/>
      <x:c r="T180" s="172"/>
      <x:c r="U180" s="172"/>
    </x:row>
    <x:row r="181" ht="23" customHeight="1">
      <x:c r="A181" s="172"/>
      <x:c r="B181" s="172"/>
      <x:c r="C181" s="172"/>
      <x:c r="D181" s="172"/>
      <x:c r="E181" s="172"/>
      <x:c r="F181" s="172"/>
      <x:c r="G181" s="172"/>
      <x:c r="H181" s="172"/>
      <x:c r="I181" s="172"/>
      <x:c r="J181" s="172"/>
      <x:c r="K181" s="172"/>
      <x:c r="L181" s="172"/>
      <x:c r="M181" s="172"/>
      <x:c r="N181" s="172"/>
      <x:c r="O181" s="172"/>
      <x:c r="P181" s="172"/>
      <x:c r="Q181" s="172"/>
      <x:c r="R181" s="172"/>
      <x:c r="S181" s="172"/>
      <x:c r="T181" s="172"/>
      <x:c r="U181" s="172"/>
    </x:row>
    <x:row r="182" ht="23" customHeight="1">
      <x:c r="A182" s="172"/>
      <x:c r="B182" s="172"/>
      <x:c r="C182" s="172"/>
      <x:c r="D182" s="172"/>
      <x:c r="E182" s="172"/>
      <x:c r="F182" s="172"/>
      <x:c r="G182" s="172"/>
      <x:c r="H182" s="172"/>
      <x:c r="I182" s="172"/>
      <x:c r="J182" s="172"/>
      <x:c r="K182" s="172"/>
      <x:c r="L182" s="172"/>
      <x:c r="M182" s="172"/>
      <x:c r="N182" s="172"/>
      <x:c r="O182" s="172"/>
      <x:c r="P182" s="172"/>
      <x:c r="Q182" s="172"/>
      <x:c r="R182" s="172"/>
      <x:c r="S182" s="172"/>
      <x:c r="T182" s="172"/>
      <x:c r="U182" s="172"/>
    </x:row>
    <x:row r="183" ht="23" customHeight="1">
      <x:c r="A183" s="172"/>
      <x:c r="B183" s="172"/>
      <x:c r="C183" s="172"/>
      <x:c r="D183" s="172"/>
      <x:c r="E183" s="172"/>
      <x:c r="F183" s="172"/>
      <x:c r="G183" s="172"/>
      <x:c r="H183" s="172"/>
      <x:c r="I183" s="172"/>
      <x:c r="J183" s="172"/>
      <x:c r="K183" s="172"/>
      <x:c r="L183" s="172"/>
      <x:c r="M183" s="172"/>
      <x:c r="N183" s="172"/>
      <x:c r="O183" s="172"/>
      <x:c r="P183" s="172"/>
      <x:c r="Q183" s="172"/>
      <x:c r="R183" s="172"/>
      <x:c r="S183" s="172"/>
      <x:c r="T183" s="172"/>
      <x:c r="U183" s="172"/>
    </x:row>
    <x:row r="184" ht="23" customHeight="1">
      <x:c r="A184" s="172"/>
      <x:c r="B184" s="172"/>
      <x:c r="C184" s="172"/>
      <x:c r="D184" s="172"/>
      <x:c r="E184" s="172"/>
      <x:c r="F184" s="172"/>
      <x:c r="G184" s="172"/>
      <x:c r="H184" s="172"/>
      <x:c r="I184" s="172"/>
      <x:c r="J184" s="172"/>
      <x:c r="K184" s="172"/>
      <x:c r="L184" s="172"/>
      <x:c r="M184" s="172"/>
      <x:c r="N184" s="172"/>
      <x:c r="O184" s="172"/>
      <x:c r="P184" s="172"/>
      <x:c r="Q184" s="172"/>
      <x:c r="R184" s="172"/>
      <x:c r="S184" s="172"/>
      <x:c r="T184" s="172"/>
      <x:c r="U184" s="172"/>
    </x:row>
    <x:row r="185" ht="23" customHeight="1">
      <x:c r="A185" s="172"/>
      <x:c r="B185" s="172"/>
      <x:c r="C185" s="172"/>
      <x:c r="D185" s="172"/>
      <x:c r="E185" s="172"/>
      <x:c r="F185" s="172"/>
      <x:c r="G185" s="172"/>
      <x:c r="H185" s="172"/>
      <x:c r="I185" s="172"/>
      <x:c r="J185" s="172"/>
      <x:c r="K185" s="172"/>
      <x:c r="L185" s="172"/>
      <x:c r="M185" s="172"/>
      <x:c r="N185" s="172"/>
      <x:c r="O185" s="172"/>
      <x:c r="P185" s="172"/>
      <x:c r="Q185" s="172"/>
      <x:c r="R185" s="172"/>
      <x:c r="S185" s="172"/>
      <x:c r="T185" s="172"/>
      <x:c r="U185" s="172"/>
    </x:row>
    <x:row r="186" ht="23" customHeight="1">
      <x:c r="A186" s="172"/>
      <x:c r="B186" s="172"/>
      <x:c r="C186" s="172"/>
      <x:c r="D186" s="172"/>
      <x:c r="E186" s="172"/>
      <x:c r="F186" s="172"/>
      <x:c r="G186" s="172"/>
      <x:c r="H186" s="172"/>
      <x:c r="I186" s="172"/>
      <x:c r="J186" s="172"/>
      <x:c r="K186" s="172"/>
      <x:c r="L186" s="172"/>
      <x:c r="M186" s="172"/>
      <x:c r="N186" s="172"/>
      <x:c r="O186" s="172"/>
      <x:c r="P186" s="172"/>
      <x:c r="Q186" s="172"/>
      <x:c r="R186" s="172"/>
      <x:c r="S186" s="172"/>
      <x:c r="T186" s="172"/>
      <x:c r="U186" s="172"/>
    </x:row>
    <x:row r="187" ht="23" customHeight="1">
      <x:c r="A187" s="172"/>
      <x:c r="B187" s="172"/>
      <x:c r="C187" s="172"/>
      <x:c r="D187" s="172"/>
      <x:c r="E187" s="172"/>
      <x:c r="F187" s="172"/>
      <x:c r="G187" s="172"/>
      <x:c r="H187" s="172"/>
      <x:c r="I187" s="172"/>
      <x:c r="J187" s="172"/>
      <x:c r="K187" s="172"/>
      <x:c r="L187" s="172"/>
      <x:c r="M187" s="172"/>
      <x:c r="N187" s="172"/>
      <x:c r="O187" s="172"/>
      <x:c r="P187" s="172"/>
      <x:c r="Q187" s="172"/>
      <x:c r="R187" s="172"/>
      <x:c r="S187" s="172"/>
      <x:c r="T187" s="172"/>
      <x:c r="U187" s="172"/>
    </x:row>
    <x:row r="188" ht="23" customHeight="1">
      <x:c r="A188" s="172"/>
      <x:c r="B188" s="172"/>
      <x:c r="C188" s="172"/>
      <x:c r="D188" s="172"/>
      <x:c r="E188" s="172"/>
      <x:c r="F188" s="172"/>
      <x:c r="G188" s="172"/>
      <x:c r="H188" s="172"/>
      <x:c r="I188" s="172"/>
      <x:c r="J188" s="172"/>
      <x:c r="K188" s="172"/>
      <x:c r="L188" s="172"/>
      <x:c r="M188" s="172"/>
      <x:c r="N188" s="172"/>
      <x:c r="O188" s="172"/>
      <x:c r="P188" s="172"/>
      <x:c r="Q188" s="172"/>
      <x:c r="R188" s="172"/>
      <x:c r="S188" s="172"/>
      <x:c r="T188" s="172"/>
      <x:c r="U188" s="172"/>
    </x:row>
    <x:row r="189" ht="23" customHeight="1">
      <x:c r="A189" s="172"/>
      <x:c r="B189" s="172"/>
      <x:c r="C189" s="172"/>
      <x:c r="D189" s="172"/>
      <x:c r="E189" s="172"/>
      <x:c r="F189" s="172"/>
      <x:c r="G189" s="172"/>
      <x:c r="H189" s="172"/>
      <x:c r="I189" s="172"/>
      <x:c r="J189" s="172"/>
      <x:c r="K189" s="172"/>
      <x:c r="L189" s="172"/>
      <x:c r="M189" s="172"/>
      <x:c r="N189" s="172"/>
      <x:c r="O189" s="172"/>
      <x:c r="P189" s="172"/>
      <x:c r="Q189" s="172"/>
      <x:c r="R189" s="172"/>
      <x:c r="S189" s="172"/>
      <x:c r="T189" s="172"/>
      <x:c r="U189" s="172"/>
    </x:row>
    <x:row r="190" ht="23" customHeight="1">
      <x:c r="A190" s="172"/>
      <x:c r="B190" s="172"/>
      <x:c r="C190" s="172"/>
      <x:c r="D190" s="172"/>
      <x:c r="E190" s="172"/>
      <x:c r="F190" s="172"/>
      <x:c r="G190" s="172"/>
      <x:c r="H190" s="172"/>
      <x:c r="I190" s="172"/>
      <x:c r="J190" s="172"/>
      <x:c r="K190" s="172"/>
      <x:c r="L190" s="172"/>
      <x:c r="M190" s="172"/>
      <x:c r="N190" s="172"/>
      <x:c r="O190" s="172"/>
      <x:c r="P190" s="172"/>
      <x:c r="Q190" s="172"/>
      <x:c r="R190" s="172"/>
      <x:c r="S190" s="172"/>
      <x:c r="T190" s="172"/>
      <x:c r="U190" s="172"/>
    </x:row>
    <x:row r="191" ht="23" customHeight="1">
      <x:c r="A191" s="172"/>
      <x:c r="B191" s="172"/>
      <x:c r="C191" s="172"/>
      <x:c r="D191" s="172"/>
      <x:c r="E191" s="172"/>
      <x:c r="F191" s="172"/>
      <x:c r="G191" s="172"/>
      <x:c r="H191" s="172"/>
      <x:c r="I191" s="172"/>
      <x:c r="J191" s="172"/>
      <x:c r="K191" s="172"/>
      <x:c r="L191" s="172"/>
      <x:c r="M191" s="172"/>
      <x:c r="N191" s="172"/>
      <x:c r="O191" s="172"/>
      <x:c r="P191" s="172"/>
      <x:c r="Q191" s="172"/>
      <x:c r="R191" s="172"/>
      <x:c r="S191" s="172"/>
      <x:c r="T191" s="172"/>
      <x:c r="U191" s="172"/>
    </x:row>
    <x:row r="192" ht="23" customHeight="1">
      <x:c r="A192" s="172"/>
      <x:c r="B192" s="172"/>
      <x:c r="C192" s="172"/>
      <x:c r="D192" s="172"/>
      <x:c r="E192" s="172"/>
      <x:c r="F192" s="172"/>
      <x:c r="G192" s="172"/>
      <x:c r="H192" s="172"/>
      <x:c r="I192" s="172"/>
      <x:c r="J192" s="172"/>
      <x:c r="K192" s="172"/>
      <x:c r="L192" s="172"/>
      <x:c r="M192" s="172"/>
      <x:c r="N192" s="172"/>
      <x:c r="O192" s="172"/>
      <x:c r="P192" s="172"/>
      <x:c r="Q192" s="172"/>
      <x:c r="R192" s="172"/>
      <x:c r="S192" s="172"/>
      <x:c r="T192" s="172"/>
      <x:c r="U192" s="172"/>
    </x:row>
    <x:row r="193" ht="23" customHeight="1">
      <x:c r="A193" s="172"/>
      <x:c r="B193" s="172"/>
      <x:c r="C193" s="172"/>
      <x:c r="D193" s="172"/>
      <x:c r="E193" s="172"/>
      <x:c r="F193" s="172"/>
      <x:c r="G193" s="172"/>
      <x:c r="H193" s="172"/>
      <x:c r="I193" s="172"/>
      <x:c r="J193" s="172"/>
      <x:c r="K193" s="172"/>
      <x:c r="L193" s="172"/>
      <x:c r="M193" s="172"/>
      <x:c r="N193" s="172"/>
      <x:c r="O193" s="172"/>
      <x:c r="P193" s="172"/>
      <x:c r="Q193" s="172"/>
      <x:c r="R193" s="172"/>
      <x:c r="S193" s="172"/>
      <x:c r="T193" s="172"/>
      <x:c r="U193" s="172"/>
    </x:row>
    <x:row r="194" ht="23" customHeight="1">
      <x:c r="A194" s="172"/>
      <x:c r="B194" s="172"/>
      <x:c r="C194" s="172"/>
      <x:c r="D194" s="172"/>
      <x:c r="E194" s="172"/>
      <x:c r="F194" s="172"/>
      <x:c r="G194" s="172"/>
      <x:c r="H194" s="172"/>
      <x:c r="I194" s="172"/>
      <x:c r="J194" s="172"/>
      <x:c r="K194" s="172"/>
      <x:c r="L194" s="172"/>
      <x:c r="M194" s="172"/>
      <x:c r="N194" s="172"/>
      <x:c r="O194" s="172"/>
      <x:c r="P194" s="172"/>
      <x:c r="Q194" s="172"/>
      <x:c r="R194" s="172"/>
      <x:c r="S194" s="172"/>
      <x:c r="T194" s="172"/>
      <x:c r="U194" s="172"/>
    </x:row>
    <x:row r="195" ht="23" customHeight="1">
      <x:c r="A195" s="172"/>
      <x:c r="B195" s="172"/>
      <x:c r="C195" s="172"/>
      <x:c r="D195" s="172"/>
      <x:c r="E195" s="172"/>
      <x:c r="F195" s="172"/>
      <x:c r="G195" s="172"/>
      <x:c r="H195" s="172"/>
      <x:c r="I195" s="172"/>
      <x:c r="J195" s="172"/>
      <x:c r="K195" s="172"/>
      <x:c r="L195" s="172"/>
      <x:c r="M195" s="172"/>
      <x:c r="N195" s="172"/>
      <x:c r="O195" s="172"/>
      <x:c r="P195" s="172"/>
      <x:c r="Q195" s="172"/>
      <x:c r="R195" s="172"/>
      <x:c r="S195" s="172"/>
      <x:c r="T195" s="172"/>
      <x:c r="U195" s="172"/>
    </x:row>
    <x:row r="196" ht="23" customHeight="1">
      <x:c r="A196" s="172"/>
      <x:c r="B196" s="172"/>
      <x:c r="C196" s="172"/>
      <x:c r="D196" s="172"/>
      <x:c r="E196" s="172"/>
      <x:c r="F196" s="172"/>
      <x:c r="G196" s="172"/>
      <x:c r="H196" s="172"/>
      <x:c r="I196" s="172"/>
      <x:c r="J196" s="172"/>
      <x:c r="K196" s="172"/>
      <x:c r="L196" s="172"/>
      <x:c r="M196" s="172"/>
      <x:c r="N196" s="172"/>
      <x:c r="O196" s="172"/>
      <x:c r="P196" s="172"/>
      <x:c r="Q196" s="172"/>
      <x:c r="R196" s="172"/>
      <x:c r="S196" s="172"/>
      <x:c r="T196" s="172"/>
      <x:c r="U196" s="172"/>
    </x:row>
    <x:row r="197" ht="23" customHeight="1">
      <x:c r="A197" s="172"/>
      <x:c r="B197" s="172"/>
      <x:c r="C197" s="172"/>
      <x:c r="D197" s="172"/>
      <x:c r="E197" s="172"/>
      <x:c r="F197" s="172"/>
      <x:c r="G197" s="172"/>
      <x:c r="H197" s="172"/>
      <x:c r="I197" s="172"/>
      <x:c r="J197" s="172"/>
      <x:c r="K197" s="172"/>
      <x:c r="L197" s="172"/>
      <x:c r="M197" s="172"/>
      <x:c r="N197" s="172"/>
      <x:c r="O197" s="172"/>
      <x:c r="P197" s="172"/>
      <x:c r="Q197" s="172"/>
      <x:c r="R197" s="172"/>
      <x:c r="S197" s="172"/>
      <x:c r="T197" s="172"/>
      <x:c r="U197" s="172"/>
    </x:row>
    <x:row r="198" ht="23" customHeight="1">
      <x:c r="A198" s="172"/>
      <x:c r="B198" s="172"/>
      <x:c r="C198" s="172"/>
      <x:c r="D198" s="172"/>
      <x:c r="E198" s="172"/>
      <x:c r="F198" s="172"/>
      <x:c r="G198" s="172"/>
      <x:c r="H198" s="172"/>
      <x:c r="I198" s="172"/>
      <x:c r="J198" s="172"/>
      <x:c r="K198" s="172"/>
      <x:c r="L198" s="172"/>
      <x:c r="M198" s="172"/>
      <x:c r="N198" s="172"/>
      <x:c r="O198" s="172"/>
      <x:c r="P198" s="172"/>
      <x:c r="Q198" s="172"/>
      <x:c r="R198" s="172"/>
      <x:c r="S198" s="172"/>
      <x:c r="T198" s="172"/>
      <x:c r="U198" s="172"/>
    </x:row>
    <x:row r="199" ht="23" customHeight="1">
      <x:c r="A199" s="172"/>
      <x:c r="B199" s="172"/>
      <x:c r="C199" s="172"/>
      <x:c r="D199" s="172"/>
      <x:c r="E199" s="172"/>
      <x:c r="F199" s="172"/>
      <x:c r="G199" s="172"/>
      <x:c r="H199" s="172"/>
      <x:c r="I199" s="172"/>
      <x:c r="J199" s="172"/>
      <x:c r="K199" s="172"/>
      <x:c r="L199" s="172"/>
      <x:c r="M199" s="172"/>
      <x:c r="N199" s="172"/>
      <x:c r="O199" s="172"/>
      <x:c r="P199" s="172"/>
      <x:c r="Q199" s="172"/>
      <x:c r="R199" s="172"/>
      <x:c r="S199" s="172"/>
      <x:c r="T199" s="172"/>
      <x:c r="U199" s="172"/>
    </x:row>
    <x:row r="200" ht="23" customHeight="1">
      <x:c r="A200" s="172"/>
      <x:c r="B200" s="172"/>
      <x:c r="C200" s="172"/>
      <x:c r="D200" s="172"/>
      <x:c r="E200" s="172"/>
      <x:c r="F200" s="172"/>
      <x:c r="G200" s="172"/>
      <x:c r="H200" s="172"/>
      <x:c r="I200" s="172"/>
      <x:c r="J200" s="172"/>
      <x:c r="K200" s="172"/>
      <x:c r="L200" s="172"/>
      <x:c r="M200" s="172"/>
      <x:c r="N200" s="172"/>
      <x:c r="O200" s="172"/>
      <x:c r="P200" s="172"/>
      <x:c r="Q200" s="172"/>
      <x:c r="R200" s="172"/>
      <x:c r="S200" s="172"/>
      <x:c r="T200" s="172"/>
      <x:c r="U200" s="172"/>
    </x:row>
    <x:row r="201" ht="23" customHeight="1">
      <x:c r="A201" s="172"/>
      <x:c r="B201" s="172"/>
      <x:c r="C201" s="172"/>
      <x:c r="D201" s="172"/>
      <x:c r="E201" s="172"/>
      <x:c r="F201" s="172"/>
      <x:c r="G201" s="172"/>
      <x:c r="H201" s="172"/>
      <x:c r="I201" s="172"/>
      <x:c r="J201" s="172"/>
      <x:c r="K201" s="172"/>
      <x:c r="L201" s="172"/>
      <x:c r="M201" s="172"/>
      <x:c r="N201" s="172"/>
      <x:c r="O201" s="172"/>
      <x:c r="P201" s="172"/>
      <x:c r="Q201" s="172"/>
      <x:c r="R201" s="172"/>
      <x:c r="S201" s="172"/>
      <x:c r="T201" s="172"/>
      <x:c r="U201" s="172"/>
    </x:row>
    <x:row r="202" ht="23" customHeight="1">
      <x:c r="A202" s="172"/>
      <x:c r="B202" s="172"/>
      <x:c r="C202" s="172"/>
      <x:c r="D202" s="172"/>
      <x:c r="E202" s="172"/>
      <x:c r="F202" s="172"/>
      <x:c r="G202" s="172"/>
      <x:c r="H202" s="172"/>
      <x:c r="I202" s="172"/>
      <x:c r="J202" s="172"/>
      <x:c r="K202" s="172"/>
      <x:c r="L202" s="172"/>
      <x:c r="M202" s="172"/>
      <x:c r="N202" s="172"/>
      <x:c r="O202" s="172"/>
      <x:c r="P202" s="172"/>
      <x:c r="Q202" s="172"/>
      <x:c r="R202" s="172"/>
      <x:c r="S202" s="172"/>
      <x:c r="T202" s="172"/>
      <x:c r="U202" s="172"/>
    </x:row>
    <x:row r="203" ht="23" customHeight="1">
      <x:c r="A203" s="172"/>
      <x:c r="B203" s="172"/>
      <x:c r="C203" s="172"/>
      <x:c r="D203" s="172"/>
      <x:c r="E203" s="172"/>
      <x:c r="F203" s="172"/>
      <x:c r="G203" s="172"/>
      <x:c r="H203" s="172"/>
      <x:c r="I203" s="172"/>
      <x:c r="J203" s="172"/>
      <x:c r="K203" s="172"/>
      <x:c r="L203" s="172"/>
      <x:c r="M203" s="172"/>
      <x:c r="N203" s="172"/>
      <x:c r="O203" s="172"/>
      <x:c r="P203" s="172"/>
      <x:c r="Q203" s="172"/>
      <x:c r="R203" s="172"/>
      <x:c r="S203" s="172"/>
      <x:c r="T203" s="172"/>
      <x:c r="U203" s="172"/>
    </x:row>
    <x:row r="204" ht="23" customHeight="1">
      <x:c r="A204" s="172"/>
      <x:c r="B204" s="172"/>
      <x:c r="C204" s="172"/>
      <x:c r="D204" s="172"/>
      <x:c r="E204" s="172"/>
      <x:c r="F204" s="172"/>
      <x:c r="G204" s="172"/>
      <x:c r="H204" s="172"/>
      <x:c r="I204" s="172"/>
      <x:c r="J204" s="172"/>
      <x:c r="K204" s="172"/>
      <x:c r="L204" s="172"/>
      <x:c r="M204" s="172"/>
      <x:c r="N204" s="172"/>
      <x:c r="O204" s="172"/>
      <x:c r="P204" s="172"/>
      <x:c r="Q204" s="172"/>
      <x:c r="R204" s="172"/>
      <x:c r="S204" s="172"/>
      <x:c r="T204" s="172"/>
      <x:c r="U204" s="172"/>
    </x:row>
    <x:row r="205" ht="23" customHeight="1">
      <x:c r="A205" s="172"/>
      <x:c r="B205" s="172"/>
      <x:c r="C205" s="172"/>
      <x:c r="D205" s="172"/>
      <x:c r="E205" s="172"/>
      <x:c r="F205" s="172"/>
      <x:c r="G205" s="172"/>
      <x:c r="H205" s="172"/>
      <x:c r="I205" s="172"/>
      <x:c r="J205" s="172"/>
      <x:c r="K205" s="172"/>
      <x:c r="L205" s="172"/>
      <x:c r="M205" s="172"/>
      <x:c r="N205" s="172"/>
      <x:c r="O205" s="172"/>
      <x:c r="P205" s="172"/>
      <x:c r="Q205" s="172"/>
      <x:c r="R205" s="172"/>
      <x:c r="S205" s="172"/>
      <x:c r="T205" s="172"/>
      <x:c r="U205" s="172"/>
    </x:row>
    <x:row r="206" ht="23" customHeight="1">
      <x:c r="A206" s="172"/>
      <x:c r="B206" s="172"/>
      <x:c r="C206" s="172"/>
      <x:c r="D206" s="172"/>
      <x:c r="E206" s="172"/>
      <x:c r="F206" s="172"/>
      <x:c r="G206" s="172"/>
      <x:c r="H206" s="172"/>
      <x:c r="I206" s="172"/>
      <x:c r="J206" s="172"/>
      <x:c r="K206" s="172"/>
      <x:c r="L206" s="172"/>
      <x:c r="M206" s="172"/>
      <x:c r="N206" s="172"/>
      <x:c r="O206" s="172"/>
      <x:c r="P206" s="172"/>
      <x:c r="Q206" s="172"/>
      <x:c r="R206" s="172"/>
      <x:c r="S206" s="172"/>
      <x:c r="T206" s="172"/>
      <x:c r="U206" s="172"/>
    </x:row>
    <x:row r="207" ht="23" customHeight="1">
      <x:c r="A207" s="172"/>
      <x:c r="B207" s="172"/>
      <x:c r="C207" s="172"/>
      <x:c r="D207" s="172"/>
      <x:c r="E207" s="172"/>
      <x:c r="F207" s="172"/>
      <x:c r="G207" s="172"/>
      <x:c r="H207" s="172"/>
      <x:c r="I207" s="172"/>
      <x:c r="J207" s="172"/>
      <x:c r="K207" s="172"/>
      <x:c r="L207" s="172"/>
      <x:c r="M207" s="172"/>
      <x:c r="N207" s="172"/>
      <x:c r="O207" s="172"/>
      <x:c r="P207" s="172"/>
      <x:c r="Q207" s="172"/>
      <x:c r="R207" s="172"/>
      <x:c r="S207" s="172"/>
      <x:c r="T207" s="172"/>
      <x:c r="U207" s="172"/>
    </x:row>
    <x:row r="208" ht="23" customHeight="1">
      <x:c r="A208" s="172"/>
      <x:c r="B208" s="172"/>
      <x:c r="C208" s="172"/>
      <x:c r="D208" s="172"/>
      <x:c r="E208" s="172"/>
      <x:c r="F208" s="172"/>
      <x:c r="G208" s="172"/>
      <x:c r="H208" s="172"/>
      <x:c r="I208" s="172"/>
      <x:c r="J208" s="172"/>
      <x:c r="K208" s="172"/>
      <x:c r="L208" s="172"/>
      <x:c r="M208" s="172"/>
      <x:c r="N208" s="172"/>
      <x:c r="O208" s="172"/>
      <x:c r="P208" s="172"/>
      <x:c r="Q208" s="172"/>
      <x:c r="R208" s="172"/>
      <x:c r="S208" s="172"/>
      <x:c r="T208" s="172"/>
      <x:c r="U208" s="172"/>
    </x:row>
    <x:row r="209" ht="23" customHeight="1">
      <x:c r="A209" s="172"/>
      <x:c r="B209" s="172"/>
      <x:c r="C209" s="172"/>
      <x:c r="D209" s="172"/>
      <x:c r="E209" s="172"/>
      <x:c r="F209" s="172"/>
      <x:c r="G209" s="172"/>
      <x:c r="H209" s="172"/>
      <x:c r="I209" s="172"/>
      <x:c r="J209" s="172"/>
      <x:c r="K209" s="172"/>
      <x:c r="L209" s="172"/>
      <x:c r="M209" s="172"/>
      <x:c r="N209" s="172"/>
      <x:c r="O209" s="172"/>
      <x:c r="P209" s="172"/>
      <x:c r="Q209" s="172"/>
      <x:c r="R209" s="172"/>
      <x:c r="S209" s="172"/>
      <x:c r="T209" s="172"/>
      <x:c r="U209" s="172"/>
    </x:row>
    <x:row r="210" ht="23" customHeight="1">
      <x:c r="A210" s="172"/>
      <x:c r="B210" s="172"/>
      <x:c r="C210" s="172"/>
      <x:c r="D210" s="172"/>
      <x:c r="E210" s="172"/>
      <x:c r="F210" s="172"/>
      <x:c r="G210" s="172"/>
      <x:c r="H210" s="172"/>
      <x:c r="I210" s="172"/>
      <x:c r="J210" s="172"/>
      <x:c r="K210" s="172"/>
      <x:c r="L210" s="172"/>
      <x:c r="M210" s="172"/>
      <x:c r="N210" s="172"/>
      <x:c r="O210" s="172"/>
      <x:c r="P210" s="172"/>
      <x:c r="Q210" s="172"/>
      <x:c r="R210" s="172"/>
      <x:c r="S210" s="172"/>
      <x:c r="T210" s="172"/>
      <x:c r="U210" s="172"/>
    </x:row>
  </x:sheetData>
  <x:pageMargins left="0.7" right="0.7" top="0.75" bottom="0.75" header="0.3" footer="0.3"/>
</x:worksheet>
</file>