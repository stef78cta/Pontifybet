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6a2af2395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1fddc37f0d64670"/>
    <x:sheet xmlns:r="http://schemas.openxmlformats.org/officeDocument/2006/relationships" name="1_Statistici" sheetId="2" r:id="R76e2d61691ff405b"/>
    <x:sheet xmlns:r="http://schemas.openxmlformats.org/officeDocument/2006/relationships" name="2_Context" sheetId="3" r:id="Rc3bb305579a34776"/>
    <x:sheet xmlns:r="http://schemas.openxmlformats.org/officeDocument/2006/relationships" name="3_Calcul_BTTS" sheetId="4" r:id="Refd7c17e5539466e"/>
    <x:sheet xmlns:r="http://schemas.openxmlformats.org/officeDocument/2006/relationships" name="4_Piata_EV" sheetId="5" r:id="Rc4a9bf9c7a5b45ff"/>
    <x:sheet xmlns:r="http://schemas.openxmlformats.org/officeDocument/2006/relationships" name="5_Scoring_Factori" sheetId="6" r:id="Rf9cdb52bd5964d1f"/>
    <x:sheet xmlns:r="http://schemas.openxmlformats.org/officeDocument/2006/relationships" name="Risk_Classification" sheetId="9" r:id="R14c4d8446ecb4ba1"/>
    <x:sheet xmlns:r="http://schemas.openxmlformats.org/officeDocument/2006/relationships" name="BTTS_Gates_v3" sheetId="11" r:id="R5c3facd075344212"/>
    <x:sheet xmlns:r="http://schemas.openxmlformats.org/officeDocument/2006/relationships" name="Frozen_Predictions" sheetId="12" r:id="R0cc54fd72771457c"/>
    <x:sheet xmlns:r="http://schemas.openxmlformats.org/officeDocument/2006/relationships" name="Settlement" sheetId="13" r:id="R3f9d058043bd449e"/>
    <x:sheet xmlns:r="http://schemas.openxmlformats.org/officeDocument/2006/relationships" name="Risk_Level_Summary" sheetId="14" r:id="Ra6b5a19fcd134a7e"/>
    <x:sheet xmlns:r="http://schemas.openxmlformats.org/officeDocument/2006/relationships" name="Calibration" sheetId="15" r:id="R73bd75221bb34c20"/>
    <x:sheet xmlns:r="http://schemas.openxmlformats.org/officeDocument/2006/relationships" name="Fail_Distribution" sheetId="16" r:id="R3cea6eac6a674e36"/>
    <x:sheet xmlns:r="http://schemas.openxmlformats.org/officeDocument/2006/relationships" name="League_Summary" sheetId="17" r:id="Raf33e02d53b8428c"/>
    <x:sheet xmlns:r="http://schemas.openxmlformats.org/officeDocument/2006/relationships" name="Monthly_Summary" sheetId="18" r:id="R23a15503d5814bc2"/>
    <x:sheet xmlns:r="http://schemas.openxmlformats.org/officeDocument/2006/relationships" name="Builder_Marginal_Fails" sheetId="19" r:id="Ra16800f316cf41ea"/>
    <x:sheet xmlns:r="http://schemas.openxmlformats.org/officeDocument/2006/relationships" name="Backtest_Summary" sheetId="20" r:id="R701869e2be3d44a8"/>
    <x:sheet xmlns:r="http://schemas.openxmlformats.org/officeDocument/2006/relationships" name="BTTS_Gates_v4" sheetId="21" r:id="R51a2607249d84686"/>
    <x:sheet xmlns:r="http://schemas.openxmlformats.org/officeDocument/2006/relationships" name="BTTS_Prior_v5" sheetId="24" r:id="R1fa23a594ceb49e6"/>
    <x:sheet xmlns:r="http://schemas.openxmlformats.org/officeDocument/2006/relationships" name="CHANGELOG_VERSIUNI" sheetId="27" r:id="R1e7ecf860d984be0"/>
    <x:sheet xmlns:r="http://schemas.openxmlformats.org/officeDocument/2006/relationships" name="DOCUMENTATIE_MODEL" sheetId="28" r:id="Rc83056b4c81a4cce"/>
    <x:sheet xmlns:r="http://schemas.openxmlformats.org/officeDocument/2006/relationships" name="Config_BTTS" sheetId="29" r:id="R6a00bb473e144c29"/>
  </x:sheets>
</x:workbook>
</file>

<file path=xl/sharedStrings.xml><?xml version="1.0" encoding="utf-8"?>
<x:sst xmlns:x="http://schemas.openxmlformats.org/spreadsheetml/2006/main">
  <x:si>
    <x:t xml:space="preserve">Indicator</x:t>
  </x:si>
  <x:si>
    <x:t xml:space="preserve">Gazde</x:t>
  </x:si>
  <x:si>
    <x:t xml:space="preserve">Oaspeți</x:t>
  </x:si>
  <x:si>
    <x:t xml:space="preserve">Unitate</x:t>
  </x:si>
  <x:si>
    <x:t xml:space="preserve">Pondere / utilizare</x:t>
  </x:si>
  <x:si>
    <x:t xml:space="preserve">Observații</x:t>
  </x:si>
  <x:si>
    <x:t xml:space="preserve">Echipa</x:t>
  </x:si>
  <x:si>
    <x:t xml:space="preserve">text</x:t>
  </x:si>
  <x:si>
    <x:t xml:space="preserve">Identificare</x:t>
  </x:si>
  <x:si>
    <x:t xml:space="preserve">Meciuri eșantion relevante</x:t>
  </x:si>
  <x:si>
    <x:t xml:space="preserve">nr.</x:t>
  </x:si>
  <x:si>
    <x:t xml:space="preserve">Calitate eșantion</x:t>
  </x:si>
  <x:si>
    <x:t xml:space="preserve">Preferabil home/away + ultimele 5–10</x:t>
  </x:si>
  <x:si>
    <x:t xml:space="preserve">Goluri / meci total</x:t>
  </x:si>
  <x:si>
    <x:t xml:space="preserve">goluri</x:t>
  </x:si>
  <x:si>
    <x:t xml:space="preserve">confirmare</x:t>
  </x:si>
  <x:si>
    <x:t xml:space="preserve">xG / meci total</x:t>
  </x:si>
  <x:si>
    <x:t xml:space="preserve">xG</x:t>
  </x:si>
  <x:si>
    <x:t xml:space="preserve">xGA / meci total</x:t>
  </x:si>
  <x:si>
    <x:t xml:space="preserve">xGA</x:t>
  </x:si>
  <x:si>
    <x:t xml:space="preserve">Goluri marcate HOME/AWAY</x:t>
  </x:si>
  <x:si>
    <x:t xml:space="preserve">input principal</x:t>
  </x:si>
  <x:si>
    <x:t xml:space="preserve">Gazde acasă / Oaspeți deplasare</x:t>
  </x:si>
  <x:si>
    <x:t xml:space="preserve">Goluri primite HOME/AWAY</x:t>
  </x:si>
  <x:si>
    <x:t xml:space="preserve">xG HOME/AWAY</x:t>
  </x:si>
  <x:si>
    <x:t xml:space="preserve">xGA HOME/AWAY</x:t>
  </x:si>
  <x:si>
    <x:t xml:space="preserve">% meciuri în care marchează HOME/AWAY</x:t>
  </x:si>
  <x:si>
    <x:t xml:space="preserve">%</x:t>
  </x:si>
  <x:si>
    <x:t xml:space="preserve">15% scored/conceded</x:t>
  </x:si>
  <x:si>
    <x:t xml:space="preserve">% meciuri în care primește HOME/AWAY</x:t>
  </x:si>
  <x:si>
    <x:t xml:space="preserve">% BTTS total</x:t>
  </x:si>
  <x:si>
    <x:t xml:space="preserve">% BTTS HOME/AWAY</x:t>
  </x:si>
  <x:si>
    <x:t xml:space="preserve">% BTTS ultimele 5</x:t>
  </x:si>
  <x:si>
    <x:t xml:space="preserve">formă</x:t>
  </x:si>
  <x:si>
    <x:t xml:space="preserve">% BTTS ultimele 10</x:t>
  </x:si>
  <x:si>
    <x:t xml:space="preserve">% clean sheets HOME/AWAY</x:t>
  </x:si>
  <x:si>
    <x:t xml:space="preserve">risc blank</x:t>
  </x:si>
  <x:si>
    <x:t xml:space="preserve">% meciuri fără gol HOME/AWAY</x:t>
  </x:si>
  <x:si>
    <x:t xml:space="preserve">risc blank direct</x:t>
  </x:si>
  <x:si>
    <x:t xml:space="preserve">Șuturi / meci</x:t>
  </x:si>
  <x:si>
    <x:t xml:space="preserve">5% shot quality</x:t>
  </x:si>
  <x:si>
    <x:t xml:space="preserve">Șuturi pe poartă / meci</x:t>
  </x:si>
  <x:si>
    <x:t xml:space="preserve">Big Chances / meci</x:t>
  </x:si>
  <x:si>
    <x:t xml:space="preserve">Big Chances conceded / meci</x:t>
  </x:si>
  <x:si>
    <x:t xml:space="preserve">apărare</x:t>
  </x:si>
  <x:si>
    <x:t xml:space="preserve">xG ultimele 5</x:t>
  </x:si>
  <x:si>
    <x:t xml:space="preserve">xGA ultimele 5</x:t>
  </x:si>
  <x:si>
    <x:t xml:space="preserve">Goluri ultimele 5 / meci</x:t>
  </x:si>
  <x:si>
    <x:t xml:space="preserve">Goluri primite ultimele 5 / meci</x:t>
  </x:si>
  <x:si>
    <x:t xml:space="preserve">Penalty-uri obținute / meci</x:t>
  </x:si>
  <x:si>
    <x:t xml:space="preserve">ajustare mică</x:t>
  </x:si>
  <x:si>
    <x:t xml:space="preserve">Penalty-uri acordate adversarilor / meci</x:t>
  </x:si>
  <x:si>
    <x:t xml:space="preserve">Cartonașe roșii / meci</x:t>
  </x:si>
  <x:si>
    <x:t xml:space="preserve">varianță mare</x:t>
  </x:si>
  <x:si>
    <x:t xml:space="preserve">Factor</x:t>
  </x:si>
  <x:si>
    <x:t xml:space="preserve">Scală / valori</x:t>
  </x:si>
  <x:si>
    <x:t xml:space="preserve">Impact BTTS</x:t>
  </x:si>
  <x:si>
    <x:t xml:space="preserve">Notă</x:t>
  </x:si>
  <x:si>
    <x:t xml:space="preserve">Tip meci</x:t>
  </x:si>
  <x:si>
    <x:t xml:space="preserve">Campionat</x:t>
  </x:si>
  <x:si>
    <x:t xml:space="preserve">Campionat / Cupă / Europa tur / Europa retur / Derby / Ultima etapă</x:t>
  </x:si>
  <x:si>
    <x:t xml:space="preserve">Adaptiv</x:t>
  </x:si>
  <x:si>
    <x:t xml:space="preserve">Scor prima manșă</x:t>
  </x:si>
  <x:si>
    <x:t xml:space="preserve">ex. 0-0 / 2-1 / N/A</x:t>
  </x:si>
  <x:si>
    <x:t xml:space="preserve">Europa retur</x:t>
  </x:si>
  <x:si>
    <x:t xml:space="preserve">Necesitate victorie / gol</x:t>
  </x:si>
  <x:si>
    <x:t xml:space="preserve">-2...+2</x:t>
  </x:si>
  <x:si>
    <x:t xml:space="preserve">context</x:t>
  </x:si>
  <x:si>
    <x:t xml:space="preserve">-2 prudent, +2 trebuie să atace</x:t>
  </x:si>
  <x:si>
    <x:t xml:space="preserve">Stil ofensiv / presing</x:t>
  </x:si>
  <x:si>
    <x:t xml:space="preserve">stil</x:t>
  </x:si>
  <x:si>
    <x:t xml:space="preserve">Tranziții / spații oferite</x:t>
  </x:si>
  <x:si>
    <x:t xml:space="preserve">Se retrage după avantaj</x:t>
  </x:si>
  <x:si>
    <x:t xml:space="preserve">negativ BTTS</x:t>
  </x:si>
  <x:si>
    <x:t xml:space="preserve">Atacanți titulari disponibili</x:t>
  </x:si>
  <x:si>
    <x:t xml:space="preserve">lot atac</x:t>
  </x:si>
  <x:si>
    <x:t xml:space="preserve">Creator/playmaker disponibil</x:t>
  </x:si>
  <x:si>
    <x:t xml:space="preserve">Executant penalty disponibil</x:t>
  </x:si>
  <x:si>
    <x:t xml:space="preserve">-1...+1</x:t>
  </x:si>
  <x:si>
    <x:t xml:space="preserve">Fundași centrali absenți</x:t>
  </x:si>
  <x:si>
    <x:t xml:space="preserve">favorizează adversarul</x:t>
  </x:si>
  <x:si>
    <x:t xml:space="preserve">Portar titular absent</x:t>
  </x:si>
  <x:si>
    <x:t xml:space="preserve">Oboseală / zile puține odihnă</x:t>
  </x:si>
  <x:si>
    <x:t xml:space="preserve">poate afecta atac/apărare</x:t>
  </x:si>
  <x:si>
    <x:t xml:space="preserve">Deplasare lungă / teren artificial</x:t>
  </x:si>
  <x:si>
    <x:t xml:space="preserve">extern</x:t>
  </x:si>
  <x:si>
    <x:t xml:space="preserve">Vreme/gazon nefavorabil atacului</x:t>
  </x:si>
  <x:si>
    <x:t xml:space="preserve">Risc dezechilibru valoric</x:t>
  </x:si>
  <x:si>
    <x:t xml:space="preserve">0...2</x:t>
  </x:si>
  <x:si>
    <x:t xml:space="preserve">negativ BTTS dacă mare</x:t>
  </x:si>
  <x:si>
    <x:t xml:space="preserve">Diferență Elo / power rating</x:t>
  </x:si>
  <x:si>
    <x:t xml:space="preserve">puncte</x:t>
  </x:si>
  <x:si>
    <x:t xml:space="preserve">5% forță relativă</x:t>
  </x:si>
  <x:si>
    <x:t xml:space="preserve">Poziție în clasament</x:t>
  </x:si>
  <x:si>
    <x:t xml:space="preserve">loc</x:t>
  </x:si>
  <x:si>
    <x:t xml:space="preserve">Arbitru: penalty / roșii peste medie</x:t>
  </x:si>
  <x:si>
    <x:t xml:space="preserve">pondere redusă</x:t>
  </x:si>
  <x:si>
    <x:t xml:space="preserve">A. λ DE BAZĂ – xG/xGA HOME/AWAY + FORMĂ + GOLURI</x:t>
  </x:si>
  <x:si>
    <x:t xml:space="preserve">Componentă</x:t>
  </x:si>
  <x:si>
    <x:t xml:space="preserve">Gazde λ</x:t>
  </x:si>
  <x:si>
    <x:t xml:space="preserve">Oaspeți λ</x:t>
  </x:si>
  <x:si>
    <x:t xml:space="preserve">Pondere</x:t>
  </x:si>
  <x:si>
    <x:t xml:space="preserve">Gazde contrib.</x:t>
  </x:si>
  <x:si>
    <x:t xml:space="preserve">Oaspeți contrib.</x:t>
  </x:si>
  <x:si>
    <x:t xml:space="preserve">Explicație</x:t>
  </x:si>
  <x:si>
    <x:t xml:space="preserve">xG atac HOME/AWAY</x:t>
  </x:si>
  <x:si>
    <x:t xml:space="preserve">producție ofensivă specifică</x:t>
  </x:si>
  <x:si>
    <x:t xml:space="preserve">xGA adversar HOME/AWAY</x:t>
  </x:si>
  <x:si>
    <x:t xml:space="preserve">vulnerabilitatea adversarului</x:t>
  </x:si>
  <x:si>
    <x:t xml:space="preserve">formă recentă ofensivă</x:t>
  </x:si>
  <x:si>
    <x:t xml:space="preserve">xGA adversar ultimele 5</x:t>
  </x:si>
  <x:si>
    <x:t xml:space="preserve">formă defensivă recentă</x:t>
  </x:si>
  <x:si>
    <x:t xml:space="preserve">confirmare rezultat</x:t>
  </x:si>
  <x:si>
    <x:t xml:space="preserve">Goluri primite adversar HOME/AWAY</x:t>
  </x:si>
  <x:si>
    <x:t xml:space="preserve">λ statistic de bază</x:t>
  </x:si>
  <x:si>
    <x:t xml:space="preserve">B. AJUSTĂRI ADAPTIVE – CONTEXT, LOT, STIL, DEZECHILIBRU</x:t>
  </x:si>
  <x:si>
    <x:t xml:space="preserve">Ajustare</x:t>
  </x:si>
  <x:si>
    <x:t xml:space="preserve">Coeficient</x:t>
  </x:si>
  <x:si>
    <x:t xml:space="preserve">Δ λ Gazde</x:t>
  </x:si>
  <x:si>
    <x:t xml:space="preserve">Δ λ Oaspeți</x:t>
  </x:si>
  <x:si>
    <x:t xml:space="preserve">Logică</x:t>
  </x:si>
  <x:si>
    <x:t xml:space="preserve">Observație</x:t>
  </x:si>
  <x:si>
    <x:t xml:space="preserve">Necesitate gol/victorie</x:t>
  </x:si>
  <x:si>
    <x:t xml:space="preserve">crește/scade intenția ofensivă</x:t>
  </x:si>
  <x:si>
    <x:t xml:space="preserve">Stil ofensiv/presing</x:t>
  </x:si>
  <x:si>
    <x:t xml:space="preserve">ritm și recuperare sus</x:t>
  </x:si>
  <x:si>
    <x:t xml:space="preserve">Tranziții/spații</x:t>
  </x:si>
  <x:si>
    <x:t xml:space="preserve">ocazii în tranziție</x:t>
  </x:si>
  <x:si>
    <x:t xml:space="preserve">Retragere după avantaj</x:t>
  </x:si>
  <x:si>
    <x:t xml:space="preserve">reduce reciprocitatea golurilor</x:t>
  </x:si>
  <x:si>
    <x:t xml:space="preserve">Atacanți disponibili</x:t>
  </x:si>
  <x:si>
    <x:t xml:space="preserve">calitatea finalizării</x:t>
  </x:si>
  <x:si>
    <x:t xml:space="preserve">Playmaker disponibil</x:t>
  </x:si>
  <x:si>
    <x:t xml:space="preserve">creație</x:t>
  </x:si>
  <x:si>
    <x:t xml:space="preserve">Penalty taker disponibil</x:t>
  </x:si>
  <x:si>
    <x:t xml:space="preserve">impact mic</x:t>
  </x:si>
  <x:si>
    <x:t xml:space="preserve">Fundași centrali adverși absenți</x:t>
  </x:si>
  <x:si>
    <x:t xml:space="preserve">slăbește apărarea adversă</x:t>
  </x:si>
  <x:si>
    <x:t xml:space="preserve">Portar advers absent</x:t>
  </x:si>
  <x:si>
    <x:t xml:space="preserve">crește conversia adversă</x:t>
  </x:si>
  <x:si>
    <x:t xml:space="preserve">Oboseală</x:t>
  </x:si>
  <x:si>
    <x:t xml:space="preserve">impact net prudent</x:t>
  </x:si>
  <x:si>
    <x:t xml:space="preserve">Extern: deplasare/teren</x:t>
  </x:si>
  <x:si>
    <x:t xml:space="preserve">fricțiune externă</x:t>
  </x:si>
  <x:si>
    <x:t xml:space="preserve">Vreme/gazon nefavorabil</x:t>
  </x:si>
  <x:si>
    <x:t xml:space="preserve">reduce calitatea atacului</x:t>
  </x:si>
  <x:si>
    <x:t xml:space="preserve">Dezechilibru valoric</x:t>
  </x:si>
  <x:si>
    <x:t xml:space="preserve">penalizează veriga slabă</x:t>
  </x:si>
  <x:si>
    <x:t xml:space="preserve">Arbitru penalty/roșii</x:t>
  </x:si>
  <x:si>
    <x:t xml:space="preserve">pondere redusă / varianță mare</x:t>
  </x:si>
  <x:si>
    <x:t xml:space="preserve">λ după ajustări</x:t>
  </x:si>
  <x:si>
    <x:t xml:space="preserve">λ minim protejat</x:t>
  </x:si>
  <x:si>
    <x:t xml:space="preserve">λ total</x:t>
  </x:si>
  <x:si>
    <x:t xml:space="preserve">C. PROBABILITĂȚI POISSON ȘI RISCUL DE BLANK</x:t>
  </x:si>
  <x:si>
    <x:t xml:space="preserve">P(Gazde marchează ≥1)</x:t>
  </x:si>
  <x:si>
    <x:t xml:space="preserve">P(Oaspeți marchează ≥1)</x:t>
  </x:si>
  <x:si>
    <x:t xml:space="preserve">BTTS Poisson independent</x:t>
  </x:si>
  <x:si>
    <x:t xml:space="preserve">Weakest Team Scoring Probability</x:t>
  </x:si>
  <x:si>
    <x:t xml:space="preserve">D. CONFIRMARE ISTORICĂ / SCORED-CONCEDED / SHOTS</x:t>
  </x:si>
  <x:si>
    <x:t xml:space="preserve">Scored/Conceded confirmare Gazde</x:t>
  </x:si>
  <x:si>
    <x:t xml:space="preserve">Scored/Conceded confirmare Oaspeți</x:t>
  </x:si>
  <x:si>
    <x:t xml:space="preserve">BTTS istoric combinat</x:t>
  </x:si>
  <x:si>
    <x:t xml:space="preserve">Shot-quality Gazde (normalizat)</x:t>
  </x:si>
  <x:si>
    <x:t xml:space="preserve">Shot-quality Oaspeți (normalizat)</x:t>
  </x:si>
  <x:si>
    <x:t xml:space="preserve">Valoare</x:t>
  </x:si>
  <x:si>
    <x:t xml:space="preserve">Contribuție</x:t>
  </x:si>
  <x:si>
    <x:t xml:space="preserve">Probabilitate finală brută</x:t>
  </x:si>
  <x:si>
    <x:t xml:space="preserve">Penalizare blank / dezechilibru</x:t>
  </x:si>
  <x:si>
    <x:t xml:space="preserve">Probabilitate finală ajustată</x:t>
  </x:si>
  <x:si>
    <x:t xml:space="preserve">Fair Odds BTTS YES</x:t>
  </x:si>
  <x:si>
    <x:t xml:space="preserve">Încredere statistică</x:t>
  </x:si>
  <x:si>
    <x:t xml:space="preserve">F. UPDATE v2 P1 – WEAKEST TEAM, MISMATCH ȘI RECIPROCITATE</x:t>
  </x:si>
  <x:si>
    <x:t xml:space="preserve">Prag STRONG</x:t>
  </x:si>
  <x:si>
    <x:t xml:space="preserve">Prag BET</x:t>
  </x:si>
  <x:si>
    <x:t xml:space="preserve">Penalizare / rol</x:t>
  </x:si>
  <x:si>
    <x:t xml:space="preserve">Interpretare</x:t>
  </x:si>
  <x:si>
    <x:t xml:space="preserve">Status</x:t>
  </x:si>
  <x:si>
    <x:t xml:space="preserve">Metodologie</x:t>
  </x:si>
  <x:si>
    <x:t xml:space="preserve">P(score) calibrată Gazde</x:t>
  </x:si>
  <x:si>
    <x:t xml:space="preserve">nucleu reciprocitate</x:t>
  </x:si>
  <x:si>
    <x:t xml:space="preserve">Poisson + scored/conceded + blank history</x:t>
  </x:si>
  <x:si>
    <x:t xml:space="preserve">P1</x:t>
  </x:si>
  <x:si>
    <x:t xml:space="preserve">P(score) calibrată Oaspeți</x:t>
  </x:si>
  <x:si>
    <x:t xml:space="preserve">Weakest P(score) calibrată</x:t>
  </x:si>
  <x:si>
    <x:t xml:space="preserve">hard gate STRONG</x:t>
  </x:si>
  <x:si>
    <x:t xml:space="preserve">veriga slabă</x:t>
  </x:si>
  <x:si>
    <x:t xml:space="preserve">Mismatch P(score)</x:t>
  </x:si>
  <x:si>
    <x:t xml:space="preserve">≤12 pp</x:t>
  </x:si>
  <x:si>
    <x:t xml:space="preserve">≤18 pp</x:t>
  </x:si>
  <x:si>
    <x:t xml:space="preserve">penalizare progresivă</x:t>
  </x:si>
  <x:si>
    <x:t xml:space="preserve">diferență absolută între echipe</x:t>
  </x:si>
  <x:si>
    <x:t xml:space="preserve">Blank probability weakest</x:t>
  </x:si>
  <x:si>
    <x:t xml:space="preserve">penalizare majorată</x:t>
  </x:si>
  <x:si>
    <x:t xml:space="preserve">1 - weakest calibrated</x:t>
  </x:si>
  <x:si>
    <x:t xml:space="preserve">Unilateral total-goals risk</x:t>
  </x:si>
  <x:si>
    <x:t xml:space="preserve">NU</x:t>
  </x:si>
  <x:si>
    <x:t xml:space="preserve">controlat</x:t>
  </x:si>
  <x:si>
    <x:t xml:space="preserve">penalizare separată</x:t>
  </x:si>
  <x:si>
    <x:t xml:space="preserve">λ total bun, dar weakest slab</x:t>
  </x:si>
  <x:si>
    <x:t xml:space="preserve">Reciprocity factor</x:t>
  </x:si>
  <x:si>
    <x:t xml:space="preserve">reduce modelul dacă mismatch mare</x:t>
  </x:si>
  <x:si>
    <x:t xml:space="preserve">separă total-goals de BTTS</x:t>
  </x:si>
  <x:si>
    <x:t xml:space="preserve">BTTS reciprocity probability</x:t>
  </x:si>
  <x:si>
    <x:t xml:space="preserve">produs calibrat × reciprocity</x:t>
  </x:si>
  <x:si>
    <x:t xml:space="preserve">probabilitate specifică BTTS</x:t>
  </x:si>
  <x:si>
    <x:t xml:space="preserve">Penalizare P1 total</x:t>
  </x:si>
  <x:si>
    <x:t xml:space="preserve">cap 22 pp</x:t>
  </x:si>
  <x:si>
    <x:t xml:space="preserve">BTTS reciprocity calibrat</x:t>
  </x:si>
  <x:si>
    <x:t xml:space="preserve">Scored/Conceded – weakest</x:t>
  </x:si>
  <x:si>
    <x:t xml:space="preserve">BTTS istoric</x:t>
  </x:si>
  <x:si>
    <x:t xml:space="preserve">Shot quality – weakest</x:t>
  </x:si>
  <x:si>
    <x:t xml:space="preserve">Probabilitate finală brută v2</x:t>
  </x:si>
  <x:si>
    <x:t xml:space="preserve">Penalizare P1 weakest/mismatch/blank</x:t>
  </x:si>
  <x:si>
    <x:t xml:space="preserve">Fair Odds BTTS YES v2</x:t>
  </x:si>
  <x:si>
    <x:t xml:space="preserve">Hard Gate STRONG v2</x:t>
  </x:si>
  <x:si>
    <x:t xml:space="preserve">Piață</x:t>
  </x:si>
  <x:si>
    <x:t xml:space="preserve">Cotă</x:t>
  </x:si>
  <x:si>
    <x:t xml:space="preserve">Prob. implicită brută</x:t>
  </x:si>
  <x:si>
    <x:t xml:space="preserve">Prob. normalizată</x:t>
  </x:si>
  <x:si>
    <x:t xml:space="preserve">Utilizare</x:t>
  </x:si>
  <x:si>
    <x:t xml:space="preserve">Sursă / notă</x:t>
  </x:si>
  <x:si>
    <x:t xml:space="preserve">1</x:t>
  </x:si>
  <x:si>
    <x:t xml:space="preserve">X</x:t>
  </x:si>
  <x:si>
    <x:t xml:space="preserve">2</x:t>
  </x:si>
  <x:si>
    <x:t xml:space="preserve">BTTS YES</x:t>
  </x:si>
  <x:si>
    <x:t xml:space="preserve">BTTS NO</x:t>
  </x:si>
  <x:si>
    <x:t xml:space="preserve">Over 1.5</x:t>
  </x:si>
  <x:si>
    <x:t xml:space="preserve">Under 1.5</x:t>
  </x:si>
  <x:si>
    <x:t xml:space="preserve">Over 2.5</x:t>
  </x:si>
  <x:si>
    <x:t xml:space="preserve">Under 2.5</x:t>
  </x:si>
  <x:si>
    <x:t xml:space="preserve">Asian Goal Line / Total line</x:t>
  </x:si>
  <x:si>
    <x:t xml:space="preserve">Team Total Gazde O0.5</x:t>
  </x:si>
  <x:si>
    <x:t xml:space="preserve">Team Total Oaspeți O0.5</x:t>
  </x:si>
  <x:si>
    <x:t xml:space="preserve">FROZEN PREDICTIONS – WALK-FORWARD / NO LOOK-AHEAD</x:t>
  </x:si>
  <x:si>
    <x:t xml:space="preserve">Save as values before kickoff. Do not overwrite pre-match probabilities after results.</x:t>
  </x:si>
  <x:si>
    <x:t xml:space="preserve">Snapshot_ID</x:t>
  </x:si>
  <x:si>
    <x:t xml:space="preserve">Snapshot_TS</x:t>
  </x:si>
  <x:si>
    <x:t xml:space="preserve">Match_Date</x:t>
  </x:si>
  <x:si>
    <x:t xml:space="preserve">Country</x:t>
  </x:si>
  <x:si>
    <x:t xml:space="preserve">League</x:t>
  </x:si>
  <x:si>
    <x:t xml:space="preserve">Home</x:t>
  </x:si>
  <x:si>
    <x:t xml:space="preserve">Away</x:t>
  </x:si>
  <x:si>
    <x:t xml:space="preserve">Market</x:t>
  </x:si>
  <x:si>
    <x:t xml:space="preserve">Line</x:t>
  </x:si>
  <x:si>
    <x:t xml:space="preserve">Model_Version</x:t>
  </x:si>
  <x:si>
    <x:t xml:space="preserve">P_Model</x:t>
  </x:si>
  <x:si>
    <x:t xml:space="preserve">P_Final</x:t>
  </x:si>
  <x:si>
    <x:t xml:space="preserve">Verdict</x:t>
  </x:si>
  <x:si>
    <x:t xml:space="preserve">Risk_Level</x:t>
  </x:si>
  <x:si>
    <x:t xml:space="preserve">Hard_Gates</x:t>
  </x:si>
  <x:si>
    <x:t xml:space="preserve">Data_Grade</x:t>
  </x:si>
  <x:si>
    <x:t xml:space="preserve">PreMatch_Frozen</x:t>
  </x:si>
  <x:si>
    <x:t xml:space="preserve">Pscore_home_homecontext</x:t>
  </x:si>
  <x:si>
    <x:t xml:space="preserve">Pscore_away_awaycontext</x:t>
  </x:si>
  <x:si>
    <x:t xml:space="preserve">HomeBlankRate</x:t>
  </x:si>
  <x:si>
    <x:t xml:space="preserve">AwayBlankRate</x:t>
  </x:si>
  <x:si>
    <x:t xml:space="preserve">OpponentHomeCS</x:t>
  </x:si>
  <x:si>
    <x:t xml:space="preserve">OpponentAwayCS</x:t>
  </x:si>
  <x:si>
    <x:t xml:space="preserve">WeakestSide</x:t>
  </x:si>
  <x:si>
    <x:t xml:space="preserve">WeakestSideContext</x:t>
  </x:si>
  <x:si>
    <x:t xml:space="preserve">AwayScoringGate</x:t>
  </x:si>
  <x:si>
    <x:t xml:space="preserve">CleanSheetGate</x:t>
  </x:si>
  <x:si>
    <x:t xml:space="preserve">CombinedBTTSGate</x:t>
  </x:si>
  <x:si>
    <x:t xml:space="preserve">Candidate_Threshold_ID</x:t>
  </x:si>
  <x:si>
    <x:t xml:space="preserve">Notes</x:t>
  </x:si>
  <x:si>
    <x:t xml:space="preserve">P_Final_Frozen</x:t>
  </x:si>
  <x:si>
    <x:t xml:space="preserve">Outcome_1_0</x:t>
  </x:si>
  <x:si>
    <x:t xml:space="preserve">Profit_1u</x:t>
  </x:si>
  <x:si>
    <x:t xml:space="preserve">Score_H</x:t>
  </x:si>
  <x:si>
    <x:t xml:space="preserve">Score_A</x:t>
  </x:si>
  <x:si>
    <x:t xml:space="preserve">Total</x:t>
  </x:si>
  <x:si>
    <x:t xml:space="preserve">Fail_Mode</x:t>
  </x:si>
  <x:si>
    <x:t xml:space="preserve">Settlement_Source</x:t>
  </x:si>
  <x:si>
    <x:t xml:space="preserve">Settled_TS</x:t>
  </x:si>
  <x:si>
    <x:t xml:space="preserve">Brier</x:t>
  </x:si>
  <x:si>
    <x:t xml:space="preserve">LogLoss</x:t>
  </x:si>
  <x:si>
    <x:t xml:space="preserve">Hard_Gates_Frozen</x:t>
  </x:si>
  <x:si>
    <x:t xml:space="preserve">Verdict_Frozen</x:t>
  </x:si>
  <x:si>
    <x:t xml:space="preserve">RISK LEVEL SUMMARY</x:t>
  </x:si>
  <x:si>
    <x:t xml:space="preserve">Evaluate levels 1–5 separately; hard-gate fail overrides score.</x:t>
  </x:si>
  <x:si>
    <x:t xml:space="preserve">Risk Level</x:t>
  </x:si>
  <x:si>
    <x:t xml:space="preserve">N</x:t>
  </x:si>
  <x:si>
    <x:t xml:space="preserve">Wins</x:t>
  </x:si>
  <x:si>
    <x:t xml:space="preserve">Hit Rate</x:t>
  </x:si>
  <x:si>
    <x:t xml:space="preserve">Fail Rate</x:t>
  </x:si>
  <x:si>
    <x:t xml:space="preserve">CALIBRATION – FROZEN P_FINAL</x:t>
  </x:si>
  <x:si>
    <x:t xml:space="preserve">Calibration uses only frozen probabilities and settled outcomes.</x:t>
  </x:si>
  <x:si>
    <x:t xml:space="preserve">P low</x:t>
  </x:si>
  <x:si>
    <x:t xml:space="preserve">P high</x:t>
  </x:si>
  <x:si>
    <x:t xml:space="preserve">Mean P</x:t>
  </x:si>
  <x:si>
    <x:t xml:space="preserve">Observed Rate</x:t>
  </x:si>
  <x:si>
    <x:t xml:space="preserve">Calibration Gap</x:t>
  </x:si>
  <x:si>
    <x:t xml:space="preserve">FAIL DISTRIBUTION</x:t>
  </x:si>
  <x:si>
    <x:t xml:space="preserve">Code failure modes only after settlement; use for threshold diagnostics, not retroactive tuning.</x:t>
  </x:si>
  <x:si>
    <x:t xml:space="preserve">Fail Mode</x:t>
  </x:si>
  <x:si>
    <x:t xml:space="preserve">Fails</x:t>
  </x:si>
  <x:si>
    <x:t xml:space="preserve">Share of Fails</x:t>
  </x:si>
  <x:si>
    <x:t xml:space="preserve">Model relevance</x:t>
  </x:si>
  <x:si>
    <x:t xml:space="preserve">Home blank</x:t>
  </x:si>
  <x:si>
    <x:t xml:space="preserve">Away blank</x:t>
  </x:si>
  <x:si>
    <x:t xml:space="preserve">Opponent home clean sheet</x:t>
  </x:si>
  <x:si>
    <x:t xml:space="preserve">Opponent away clean sheet</x:t>
  </x:si>
  <x:si>
    <x:t xml:space="preserve">Away scoring gate</x:t>
  </x:si>
  <x:si>
    <x:t xml:space="preserve">Weakest-side gate</x:t>
  </x:si>
  <x:si>
    <x:t xml:space="preserve">Mismatch / unilateral lambda</x:t>
  </x:si>
  <x:si>
    <x:t xml:space="preserve">Other</x:t>
  </x:si>
  <x:si>
    <x:t xml:space="preserve">LEAGUE SUMMARY</x:t>
  </x:si>
  <x:si>
    <x:t xml:space="preserve">Enter leagues in column A. Threshold changes require stable effects across multiple leagues.</x:t>
  </x:si>
  <x:si>
    <x:t xml:space="preserve">Stability</x:t>
  </x:si>
  <x:si>
    <x:t xml:space="preserve">MONTHLY SUMMARY</x:t>
  </x:si>
  <x:si>
    <x:t xml:space="preserve">Monitor temporal drift; do not adopt a threshold that works in one month only.</x:t>
  </x:si>
  <x:si>
    <x:t xml:space="preserve">Month Start</x:t>
  </x:si>
  <x:si>
    <x:t xml:space="preserve">BUILDER MARGINAL FAILS</x:t>
  </x:si>
  <x:si>
    <x:t xml:space="preserve">Common audit interface; populated primarily in Bet Builder.</x:t>
  </x:si>
  <x:si>
    <x:t xml:space="preserve">Builder_ID</x:t>
  </x:si>
  <x:si>
    <x:t xml:space="preserve">Builder_Type</x:t>
  </x:si>
  <x:si>
    <x:t xml:space="preserve">Match</x:t>
  </x:si>
  <x:si>
    <x:t xml:space="preserve">Failed_Leg</x:t>
  </x:si>
  <x:si>
    <x:t xml:space="preserve">Source_Model</x:t>
  </x:si>
  <x:si>
    <x:t xml:space="preserve">Leg_P</x:t>
  </x:si>
  <x:si>
    <x:t xml:space="preserve">Leg_Risk</x:t>
  </x:si>
  <x:si>
    <x:t xml:space="preserve">Source_Gates</x:t>
  </x:si>
  <x:si>
    <x:t xml:space="preserve">Correlation</x:t>
  </x:si>
  <x:si>
    <x:t xml:space="preserve">Uncertainty</x:t>
  </x:si>
  <x:si>
    <x:t xml:space="preserve">Marginal_Fail_Contribution</x:t>
  </x:si>
  <x:si>
    <x:t xml:space="preserve">N/A</x:t>
  </x:si>
  <x:si>
    <x:t xml:space="preserve">Standard interface; populate in Bet Builder v6.</x:t>
  </x:si>
  <x:si>
    <x:t xml:space="preserve">BACKTEST SUMMARY – WALK-FORWARD GOVERNANCE</x:t>
  </x:si>
  <x:si>
    <x:t xml:space="preserve">Metric</x:t>
  </x:si>
  <x:si>
    <x:t xml:space="preserve">Walk-forward value</x:t>
  </x:si>
  <x:si>
    <x:t xml:space="preserve">Meaning</x:t>
  </x:si>
  <x:si>
    <x:t xml:space="preserve">Threshold-change role</x:t>
  </x:si>
  <x:si>
    <x:t xml:space="preserve">Reference evidence</x:t>
  </x:si>
  <x:si>
    <x:t xml:space="preserve">Reference N / value</x:t>
  </x:si>
  <x:si>
    <x:t xml:space="preserve">Reference Wilson / metric</x:t>
  </x:si>
  <x:si>
    <x:t xml:space="preserve">Settled N</x:t>
  </x:si>
  <x:si>
    <x:t xml:space="preserve">Frozen + settled observations</x:t>
  </x:si>
  <x:si>
    <x:t xml:space="preserve">OOS volume</x:t>
  </x:si>
  <x:si>
    <x:t xml:space="preserve">No populated frozen OOS backtest exists in v3; current weakest-team / clean-sheet thresholds remain operational.</x:t>
  </x:si>
  <x:si>
    <x:t xml:space="preserve">REFERENCE ≠ candidate OOS</x:t>
  </x:si>
  <x:si>
    <x:t xml:space="preserve">Outcome=1</x:t>
  </x:si>
  <x:si>
    <x:t xml:space="preserve">Numerator</x:t>
  </x:si>
  <x:si>
    <x:t xml:space="preserve">Hit rate</x:t>
  </x:si>
  <x:si>
    <x:t xml:space="preserve">Observed rate</x:t>
  </x:si>
  <x:si>
    <x:t xml:space="preserve">Diagnostic only</x:t>
  </x:si>
  <x:si>
    <x:t xml:space="preserve">Wilson 95% low</x:t>
  </x:si>
  <x:si>
    <x:t xml:space="preserve">Lower bound</x:t>
  </x:si>
  <x:si>
    <x:t xml:space="preserve">Required</x:t>
  </x:si>
  <x:si>
    <x:t xml:space="preserve">Wilson 95% high</x:t>
  </x:si>
  <x:si>
    <x:t xml:space="preserve">Upper bound</x:t>
  </x:si>
  <x:si>
    <x:t xml:space="preserve">Mean P Final</x:t>
  </x:si>
  <x:si>
    <x:t xml:space="preserve">Frozen mean probability</x:t>
  </x:si>
  <x:si>
    <x:t xml:space="preserve">Calibration</x:t>
  </x:si>
  <x:si>
    <x:t xml:space="preserve">Calibration gap</x:t>
  </x:si>
  <x:si>
    <x:t xml:space="preserve">Mean P - hit rate</x:t>
  </x:si>
  <x:si>
    <x:t xml:space="preserve">Lower is better</x:t>
  </x:si>
  <x:si>
    <x:t xml:space="preserve">Log-loss</x:t>
  </x:si>
  <x:si>
    <x:t xml:space="preserve">Leagues evaluated</x:t>
  </x:si>
  <x:si>
    <x:t xml:space="preserve">Number of leagues</x:t>
  </x:si>
  <x:si>
    <x:t xml:space="preserve">Stable leagues</x:t>
  </x:si>
  <x:si>
    <x:t xml:space="preserve">Stable calibration leagues</x:t>
  </x:si>
  <x:si>
    <x:t xml:space="preserve">Threshold decision</x:t>
  </x:si>
  <x:si>
    <x:t xml:space="preserve">Manual governance</x:t>
  </x:si>
  <x:si>
    <x:t xml:space="preserve">MANUAL</x:t>
  </x:si>
</x:sst>
</file>

<file path=xl/styles.xml><?xml version="1.0" encoding="utf-8"?>
<x:styleSheet xmlns:x="http://schemas.openxmlformats.org/spreadsheetml/2006/main">
  <x:numFmts count="7">
    <x:numFmt numFmtId="164" formatCode="0.0%"/>
    <x:numFmt numFmtId="200" formatCode="0.00"/>
    <x:numFmt numFmtId="201" formatCode="0%"/>
    <x:numFmt numFmtId="202" formatCode="dd.mm.yyyy hh:mm"/>
    <x:numFmt numFmtId="203" formatCode="0.0"/>
    <x:numFmt numFmtId="204" formatCode="0"/>
    <x:numFmt numFmtId="205" formatCode="mmm yyyy"/>
  </x:numFmts>
  <x:fonts count="1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b/>
      <x:sz val="14"/>
      <x:color rgb="FFFFFFFF"/>
      <x:name val="Carlito"/>
    </x:font>
    <x:font>
      <x:i/>
      <x:sz val="11"/>
      <x:color rgb="FF7F6000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4"/>
      <x:color rgb="FF7F6000"/>
      <x:name val="Carlito"/>
    </x:font>
    <x:font>
      <x:b/>
      <x:sz val="13"/>
      <x:color rgb="FFFFFFFF"/>
      <x:name val="Carlito"/>
    </x:font>
    <x:font>
      <x:i/>
      <x:sz val="11"/>
      <x:color rgb="FF666666"/>
      <x:name val="Carlito"/>
    </x:font>
    <x:font>
      <x:sz val="10"/>
      <x:color rgb="FF172B40"/>
      <x:name val="Arial"/>
    </x:font>
    <x:font>
      <x:b/>
      <x:sz val="14"/>
      <x:color rgb="FFFFFFFF"/>
      <x:name val="Arial"/>
    </x:font>
    <x:font>
      <x:b/>
      <x:sz val="10"/>
      <x:color rgb="FF172B40"/>
      <x:name val="Arial"/>
    </x:font>
    <x:font>
      <x:i/>
      <x:sz val="10"/>
      <x:color rgb="FF172B40"/>
      <x:name val="Arial"/>
    </x:font>
    <x:font>
      <x:b/>
      <x:sz val="10"/>
      <x:color rgb="FFFFFFFF"/>
      <x:name val="Carlito"/>
    </x:font>
  </x:fonts>
  <x:fills count="2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243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93A60"/>
      </x:patternFill>
    </x:fill>
    <x:fill>
      <x:patternFill patternType="solid">
        <x:fgColor rgb="FFDCEAF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CEAF5"/>
      </x:patternFill>
    </x:fill>
    <x:fill>
      <x:patternFill patternType="solid">
        <x:fgColor rgb="FFFFF2CC"/>
      </x:patternFill>
    </x:fill>
    <x:fill>
      <x:patternFill patternType="solid">
        <x:fgColor rgb="FF214F78"/>
      </x:patternFill>
    </x:fill>
    <x:fill>
      <x:patternFill patternType="solid">
        <x:fgColor rgb="FFFFFFFF"/>
      </x:patternFill>
    </x:fill>
  </x:fills>
  <x:borders count="10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231">
    <x:xf numFmtId="0" fontId="0" fillId="0" borderId="0" xfId="0"/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3" fillId="4" borderId="0" xfId="0" applyFont="1" applyFill="1" applyAlignment="1">
      <x:alignment wrapText="1"/>
    </x:xf>
    <x:xf numFmtId="164" fontId="3" fillId="4" borderId="0" xfId="0" applyNumberFormat="1" applyFont="1" applyFill="1" applyAlignment="1">
      <x:alignment wrapText="1"/>
    </x:xf>
    <x:xf numFmtId="2" fontId="3" fillId="4" borderId="0" xfId="0" applyNumberFormat="1" applyFont="1" applyFill="1"/>
    <x:xf numFmtId="164" fontId="0" fillId="0" borderId="0" xfId="0" applyNumberFormat="1"/>
    <x:xf numFmtId="164" fontId="0" fillId="0" borderId="0" xfId="0" applyNumberFormat="1" applyAlignment="1">
      <x:alignment wrapText="1"/>
    </x:xf>
    <x:xf numFmtId="2" fontId="0" fillId="0" borderId="0" xfId="0" applyNumberFormat="1" applyAlignment="1">
      <x:alignment wrapText="1"/>
    </x:xf>
    <x:xf numFmtId="0" fontId="5" fillId="6" borderId="0" xfId="0" applyFont="1" applyFill="1" applyAlignment="1">
      <x:alignment horizontal="center" vertical="center" wrapText="1"/>
    </x:xf>
    <x:xf numFmtId="0" fontId="4" fillId="7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4" fillId="7" borderId="0" xfId="0" applyFont="1" applyFill="1" applyAlignment="1">
      <x:alignment horizontal="center" vertical="top" wrapText="1"/>
    </x:xf>
    <x:xf numFmtId="0" fontId="6" fillId="8" borderId="0" xfId="0" applyFont="1" applyFill="1" applyAlignment="1">
      <x:alignment vertical="top" wrapText="1"/>
    </x:xf>
    <x:xf numFmtId="1" fontId="0" fillId="0" borderId="0" xfId="0" applyNumberFormat="1" applyAlignment="1">
      <x:alignment vertical="top" wrapText="1"/>
    </x:xf>
    <x:xf numFmtId="9" fontId="0" fillId="0" borderId="0" xfId="0" applyNumberFormat="1" applyAlignment="1">
      <x:alignment vertical="top" wrapText="1"/>
    </x:xf>
    <x:xf numFmtId="0" fontId="4" fillId="11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left" vertical="center" wrapText="1"/>
    </x:xf>
    <x:xf numFmtId="0" fontId="0" fillId="0" borderId="0" xfId="0" applyAlignment="1">
      <x:alignment wrapText="1"/>
    </x:xf>
    <x:xf numFmtId="0" fontId="4" fillId="2" borderId="0" xfId="0" applyFont="1" applyFill="1" applyAlignment="1">
      <x:alignment horizontal="left" vertical="center" wrapText="1"/>
    </x:xf>
    <x:xf numFmtId="0" fontId="4" fillId="5" borderId="0" xfId="0" applyFont="1" applyFill="1" applyAlignment="1">
      <x:alignment horizontal="left" vertical="center" wrapText="1"/>
    </x:xf>
    <x:xf numFmtId="0" fontId="1" fillId="2" borderId="0" xfId="0" applyFont="1" applyFill="1" applyAlignment="1">
      <x:alignment horizontal="left" vertical="center"/>
    </x:xf>
    <x:xf numFmtId="0" fontId="0" fillId="0" borderId="0" xfId="0"/>
    <x:xf numFmtId="0" fontId="7" fillId="9" borderId="0" xfId="0" applyFont="1" applyFill="1" applyAlignment="1">
      <x:alignment vertical="center"/>
    </x:xf>
    <x:xf numFmtId="0" fontId="8" fillId="10" borderId="0" xfId="0" applyFont="1" applyFill="1" applyAlignment="1">
      <x:alignment wrapText="1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164" fontId="3" fillId="4" borderId="1" xfId="0" applyNumberFormat="1" applyFont="1" applyFill="1" applyBorder="1" applyAlignment="1">
      <x:alignment wrapText="1"/>
    </x:xf>
    <x:xf numFmtId="2" fontId="3" fillId="4" borderId="1" xfId="0" applyNumberFormat="1" applyFont="1" applyFill="1" applyBorder="1"/>
    <x:xf numFmtId="164" fontId="0" fillId="0" borderId="1" xfId="0" applyNumberFormat="1" applyFont="1" applyFill="1" applyBorder="1"/>
    <x:xf numFmtId="164" fontId="0" fillId="0" borderId="1" xfId="0" applyNumberFormat="1" applyFont="1" applyFill="1" applyBorder="1" applyAlignment="1">
      <x:alignment wrapText="1"/>
    </x:xf>
    <x:xf numFmtId="2" fontId="0" fillId="0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6" fillId="3" borderId="1" xfId="0" applyNumberFormat="1" applyFont="1" applyFill="1" applyBorder="1" applyAlignment="1">
      <x:alignment vertical="top" wrapText="1"/>
    </x:xf>
    <x:xf numFmtId="1" fontId="0" fillId="0" borderId="1" xfId="0" applyNumberFormat="1" applyFont="1" applyFill="1" applyBorder="1" applyAlignment="1">
      <x:alignment vertical="top" wrapText="1"/>
    </x:xf>
    <x:xf numFmtId="9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7" fillId="9" borderId="1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/>
    </x:xf>
    <x:xf numFmtId="0" fontId="7" fillId="12" borderId="0" xfId="0" applyNumberFormat="1" applyFont="1" applyFill="1" applyBorder="1" applyAlignment="1">
      <x:alignment horizontal="left" vertical="center"/>
    </x:xf>
    <x:xf numFmtId="0" fontId="0" fillId="12" borderId="1" xfId="0" applyNumberFormat="1" applyFont="1" applyFill="1" applyBorder="1"/>
    <x:xf numFmtId="0" fontId="7" fillId="12" borderId="1" xfId="0" applyNumberFormat="1" applyFont="1" applyFill="1" applyBorder="1"/>
    <x:xf numFmtId="0" fontId="7" fillId="12" borderId="1" xfId="0" applyNumberFormat="1" applyFont="1" applyFill="1" applyBorder="1" applyAlignment="1">
      <x:alignment horizontal="left"/>
    </x:xf>
    <x:xf numFmtId="0" fontId="7" fillId="12" borderId="1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horizont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/>
    <x:xf numFmtId="0" fontId="9" fillId="13" borderId="1" xfId="0" applyNumberFormat="1" applyFont="1" applyFill="1" applyBorder="1"/>
    <x:xf numFmtId="0" fontId="9" fillId="13" borderId="1" xfId="0" applyNumberFormat="1" applyFont="1" applyFill="1" applyBorder="1" applyAlignment="1">
      <x:alignment wrapText="1"/>
    </x:xf>
    <x:xf numFmtId="0" fontId="9" fillId="13" borderId="1" xfId="0" applyNumberFormat="1" applyFont="1" applyFill="1" applyBorder="1" applyAlignment="1">
      <x:alignment horizontal="center" wrapText="1"/>
    </x:xf>
    <x:xf numFmtId="0" fontId="9" fillId="1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0" fillId="14" borderId="1" xfId="0" applyNumberFormat="1" applyFont="1" applyFill="1" applyBorder="1"/>
    <x:xf numFmtId="0" fontId="10" fillId="14" borderId="1" xfId="0" applyNumberFormat="1" applyFont="1" applyFill="1" applyBorder="1"/>
    <x:xf numFmtId="0" fontId="10" fillId="14" borderId="1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/>
    </x:xf>
    <x:xf numFmtId="0" fontId="11" fillId="15" borderId="0" xfId="0" applyNumberFormat="1" applyFont="1" applyFill="1" applyBorder="1" applyAlignment="1">
      <x:alignment vertical="center"/>
    </x:xf>
    <x:xf numFmtId="0" fontId="11" fillId="15" borderId="0" xfId="0" applyNumberFormat="1" applyFont="1" applyFill="1" applyBorder="1" applyAlignment="1">
      <x:alignment vertical="center" wrapText="1"/>
    </x:xf>
    <x:xf numFmtId="0" fontId="7" fillId="15" borderId="1" xfId="0" applyNumberFormat="1" applyFont="1" applyFill="1" applyBorder="1" applyAlignment="1">
      <x:alignment vertical="center"/>
    </x:xf>
    <x:xf numFmtId="0" fontId="11" fillId="15" borderId="1" xfId="0" applyNumberFormat="1" applyFont="1" applyFill="1" applyBorder="1" applyAlignment="1">
      <x:alignment vertical="center"/>
    </x:xf>
    <x:xf numFmtId="0" fontId="11" fillId="15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164" fontId="3" fillId="4" borderId="0" xfId="0" applyNumberFormat="1" applyFont="1" applyFill="1" applyBorder="1" applyAlignment="1">
      <x:alignment wrapText="1"/>
    </x:xf>
    <x:xf numFmtId="2" fontId="3" fillId="4" borderId="0" xfId="0" applyNumberFormat="1" applyFont="1" applyFill="1" applyBorder="1"/>
    <x:xf numFmtId="164" fontId="0" fillId="0" borderId="0" xfId="0" applyNumberFormat="1" applyFont="1" applyFill="1" applyBorder="1"/>
    <x:xf numFmtId="164" fontId="0" fillId="0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vertical="top" wrapText="1"/>
    </x:xf>
    <x:xf numFmtId="1" fontId="0" fillId="0" borderId="0" xfId="0" applyNumberFormat="1" applyFont="1" applyFill="1" applyBorder="1" applyAlignment="1">
      <x:alignment vertical="top" wrapText="1"/>
    </x:xf>
    <x:xf numFmtId="9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7" fillId="9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2" fillId="17" borderId="0" xfId="0" applyNumberFormat="1" applyFont="1" applyFill="1" applyBorder="1"/>
    <x:xf numFmtId="0" fontId="12" fillId="17" borderId="0" xfId="0" applyNumberFormat="1" applyFont="1" applyFill="1" applyBorder="1" applyAlignment="1">
      <x:alignment horizontal="center"/>
    </x:xf>
    <x:xf numFmtId="0" fontId="12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horizont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12" fillId="17" borderId="2" xfId="0" applyNumberFormat="1" applyFont="1" applyFill="1" applyBorder="1" applyAlignment="1">
      <x:alignment horizontal="center" vertical="center"/>
    </x:xf>
    <x:xf numFmtId="0" fontId="12" fillId="17" borderId="3" xfId="0" applyNumberFormat="1" applyFont="1" applyFill="1" applyBorder="1" applyAlignment="1">
      <x:alignment horizontal="center" vertical="center"/>
    </x:xf>
    <x:xf numFmtId="0" fontId="12" fillId="17" borderId="4" xfId="0" applyNumberFormat="1" applyFont="1" applyFill="1" applyBorder="1" applyAlignment="1">
      <x:alignment horizontal="center" vertical="center"/>
    </x:xf>
    <x:xf numFmtId="0" fontId="2" fillId="18" borderId="5" xfId="0" applyNumberFormat="1" applyFont="1" applyFill="1" applyBorder="1" applyAlignment="1">
      <x:alignment horizontal="center" vertical="center" wrapText="1"/>
    </x:xf>
    <x:xf numFmtId="0" fontId="2" fillId="18" xfId="0" applyNumberFormat="1" applyFont="1" applyFill="1" applyBorder="0" applyAlignment="1">
      <x:alignment horizontal="center" vertical="center" wrapText="1"/>
    </x:xf>
    <x:xf numFmtId="0" fontId="2" fillId="18" borderId="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12" fillId="7" borderId="2" xfId="0" applyNumberFormat="1" applyFont="1" applyFill="1" applyBorder="1" applyAlignment="1">
      <x:alignment horizontal="center" vertical="center"/>
    </x:xf>
    <x:xf numFmtId="0" fontId="12" fillId="7" borderId="3" xfId="0" applyNumberFormat="1" applyFont="1" applyFill="1" applyBorder="1" applyAlignment="1">
      <x:alignment horizontal="center" vertical="center"/>
    </x:xf>
    <x:xf numFmtId="0" fontId="12" fillId="7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0" fillId="20" borderId="0" xfId="0" applyNumberFormat="1" applyFont="1" applyFill="1" applyBorder="1"/>
    <x:xf numFmtId="0" fontId="9" fillId="20" borderId="0" xfId="0" applyNumberFormat="1" applyFont="1" applyFill="1" applyBorder="1"/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21" borderId="0" xfId="0" applyNumberFormat="1" applyFont="1" applyFill="1" applyBorder="1" applyAlignment="1">
      <x:alignment vertical="center" wrapText="1"/>
    </x:xf>
    <x:xf numFmtId="0" fontId="15" fillId="21" borderId="0" xfId="0" applyNumberFormat="1" applyFont="1" applyFill="1" applyBorder="1" applyAlignment="1">
      <x:alignment vertical="center" wrapText="1"/>
    </x:xf>
    <x:xf numFmtId="0" fontId="14" fillId="22" borderId="0" xfId="0" applyNumberFormat="1" applyFont="1" applyFill="1" applyBorder="1" applyAlignment="1">
      <x:alignment vertical="center" wrapText="1"/>
    </x:xf>
    <x:xf numFmtId="0" fontId="16" fillId="22" borderId="0" xfId="0" applyNumberFormat="1" applyFont="1" applyFill="1" applyBorder="1" applyAlignment="1">
      <x:alignment vertical="center" wrapText="1"/>
    </x:xf>
    <x:xf numFmtId="164" fontId="14" fillId="0" borderId="0" xfId="0" applyNumberFormat="1" applyFont="1" applyFill="1" applyBorder="1" applyAlignment="1">
      <x:alignment vertical="center" wrapText="1"/>
    </x:xf>
    <x:xf numFmtId="200" fontId="14" fillId="0" borderId="0" xfId="0" applyNumberFormat="1" applyFont="1" applyFill="1" applyBorder="1" applyAlignment="1">
      <x:alignment vertical="center" wrapText="1"/>
    </x:xf>
    <x:xf numFmtId="164" fontId="14" fillId="23" borderId="0" xfId="0" applyNumberFormat="1" applyFont="1" applyFill="1" applyBorder="1" applyAlignment="1">
      <x:alignment vertical="center" wrapText="1"/>
    </x:xf>
    <x:xf numFmtId="200" fontId="14" fillId="23" borderId="0" xfId="0" applyNumberFormat="1" applyFont="1" applyFill="1" applyBorder="1" applyAlignment="1">
      <x:alignment vertical="center" wrapText="1"/>
    </x:xf>
    <x:xf numFmtId="201" fontId="14" fillId="0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wrapText="1"/>
    </x:xf>
    <x:xf numFmtId="164" fontId="0" fillId="23" borderId="0" xfId="0" applyNumberFormat="1" applyFont="1" applyFill="1" applyBorder="1" applyAlignment="1">
      <x:alignment wrapText="1"/>
    </x:xf>
    <x:xf numFmtId="202" fontId="0" fillId="2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6" fillId="2" borderId="0" xfId="0" applyNumberFormat="1" applyFont="1" applyFill="1" applyBorder="1" applyAlignment="1">
      <x:alignment horizontal="left" vertical="center"/>
    </x:xf>
    <x:xf numFmtId="0" fontId="16" fillId="3" borderId="0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horizontal="left" vertical="center" wrapText="1"/>
    </x:xf>
    <x:xf numFmtId="0" fontId="16" fillId="21" borderId="0" xfId="0" applyNumberFormat="1" applyFont="1" applyFill="1" applyBorder="1" applyAlignment="1">
      <x:alignment horizontal="left" vertical="center" wrapText="1"/>
    </x:xf>
    <x:xf numFmtId="0" fontId="15" fillId="21" borderId="0" xfId="0" applyNumberFormat="1" applyFont="1" applyFill="1" applyBorder="1" applyAlignment="1">
      <x:alignment horizontal="left" vertical="center" wrapText="1"/>
    </x:xf>
    <x:xf numFmtId="0" fontId="16" fillId="22" borderId="0" xfId="0" applyNumberFormat="1" applyFont="1" applyFill="1" applyBorder="1" applyAlignment="1">
      <x:alignment horizontal="center" vertical="center" wrapText="1"/>
    </x:xf>
    <x:xf numFmtId="0" fontId="14" fillId="23" borderId="0" xfId="0" applyNumberFormat="1" applyFont="1" applyFill="1" applyBorder="1" applyAlignment="1">
      <x:alignment vertical="center" wrapText="1"/>
    </x:xf>
    <x:xf numFmtId="202" fontId="14" fillId="23" borderId="0" xfId="0" applyNumberFormat="1" applyFont="1" applyFill="1" applyBorder="1" applyAlignment="1">
      <x:alignment vertical="center" wrapText="1"/>
    </x:xf>
    <x:xf numFmtId="0" fontId="16" fillId="9" borderId="0" xfId="0" applyNumberFormat="1" applyFont="1" applyFill="1" applyBorder="1" applyAlignment="1">
      <x:alignment vertical="center"/>
    </x:xf>
    <x:xf numFmtId="0" fontId="17" fillId="4" borderId="0" xfId="0" applyNumberFormat="1" applyFont="1" applyFill="1" applyBorder="1" applyAlignment="1">
      <x:alignment wrapText="1"/>
    </x:xf>
    <x:xf numFmtId="0" fontId="16" fillId="7" borderId="0" xfId="0" applyNumberFormat="1" applyFont="1" applyFill="1" applyBorder="1" applyAlignment="1">
      <x:alignment horizontal="center" vertical="center" wrapText="1"/>
    </x:xf>
    <x:xf numFmtId="0" fontId="16" fillId="9" borderId="0" xfId="0" applyNumberFormat="1" applyFont="1" applyFill="1" applyBorder="1" applyAlignment="1">
      <x:alignment vertical="center" wrapText="1"/>
    </x:xf>
    <x:xf numFmtId="0" fontId="17" fillId="4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 applyAlignment="1">
      <x:alignment vertical="center" wrapText="1"/>
    </x:xf>
    <x:xf numFmtId="164" fontId="14" fillId="0" borderId="0" xfId="0" applyNumberFormat="1" applyFont="1" applyFill="1" applyBorder="1"/>
    <x:xf numFmtId="164" fontId="14" fillId="0" borderId="0" xfId="0" applyNumberFormat="1" applyFont="1" applyFill="1" applyBorder="1" applyAlignment="1">
      <x:alignment wrapText="1"/>
    </x:xf>
    <x:xf numFmtId="203" fontId="14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horizontal="center" vertical="top" wrapText="1"/>
    </x:xf>
    <x:xf numFmtId="1" fontId="14" fillId="0" borderId="0" xfId="0" applyNumberFormat="1" applyFont="1" applyFill="1" applyBorder="1" applyAlignment="1">
      <x:alignment vertical="top" wrapText="1"/>
    </x:xf>
    <x:xf numFmtId="9" fontId="14" fillId="0" borderId="0" xfId="0" applyNumberFormat="1" applyFont="1" applyFill="1" applyBorder="1" applyAlignment="1">
      <x:alignment vertical="top" wrapText="1"/>
    </x:xf>
    <x:xf numFmtId="0" fontId="16" fillId="3" borderId="0" xfId="0" applyNumberFormat="1" applyFont="1" applyFill="1" applyBorder="1" applyAlignment="1">
      <x:alignment vertical="top" wrapText="1"/>
    </x:xf>
    <x:xf numFmtId="0" fontId="16" fillId="4" borderId="0" xfId="0" applyNumberFormat="1" applyFont="1" applyFill="1" applyBorder="1" applyAlignment="1">
      <x:alignment vertical="top" wrapText="1"/>
    </x:xf>
    <x:xf numFmtId="1" fontId="14" fillId="0" borderId="0" xfId="0" applyNumberFormat="1" applyFont="1" applyFill="1" applyBorder="1" applyAlignment="1">
      <x:alignment vertical="center" wrapText="1"/>
    </x:xf>
    <x:xf numFmtId="9" fontId="14" fillId="0" borderId="0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 applyAlignment="1">
      <x:alignment horizontal="center" vertical="center" wrapText="1"/>
    </x:xf>
    <x:xf numFmtId="0" fontId="15" fillId="21" borderId="0" xfId="0" applyNumberFormat="1" applyFont="1" applyFill="1" applyBorder="1" applyAlignment="1">
      <x:alignment horizontal="center" vertical="center" wrapText="1"/>
    </x:xf>
    <x:xf numFmtId="203" fontId="16" fillId="3" borderId="0" xfId="0" applyNumberFormat="1" applyFont="1" applyFill="1" applyBorder="1" applyAlignment="1">
      <x:alignment vertical="center" wrapText="1"/>
    </x:xf>
    <x:xf numFmtId="2" fontId="14" fillId="0" borderId="0" xfId="0" applyNumberFormat="1" applyFont="1" applyFill="1" applyBorder="1" applyAlignment="1">
      <x:alignment wrapText="1"/>
    </x:xf>
    <x:xf numFmtId="0" fontId="16" fillId="4" borderId="0" xfId="0" applyNumberFormat="1" applyFont="1" applyFill="1" applyBorder="1" applyAlignment="1">
      <x:alignment wrapText="1"/>
    </x:xf>
    <x:xf numFmtId="2" fontId="14" fillId="0" borderId="0" xfId="0" applyNumberFormat="1" applyFont="1" applyFill="1" applyBorder="1" applyAlignment="1">
      <x:alignment vertical="center" wrapText="1"/>
    </x:xf>
    <x:xf numFmtId="0" fontId="16" fillId="23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6" fillId="3" borderId="0" xfId="0" applyNumberFormat="1" applyFont="1" applyFill="1" applyBorder="1"/>
    <x:xf numFmtId="0" fontId="16" fillId="7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wrapText="1"/>
    </x:xf>
    <x:xf numFmtId="0" fontId="16" fillId="3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vertical="center" wrapText="1"/>
    </x:xf>
    <x:xf numFmtId="0" fontId="16" fillId="24" borderId="0" xfId="0" applyNumberFormat="1" applyFont="1" applyFill="1" applyBorder="1" applyAlignment="1">
      <x:alignment horizontal="left" vertical="center" wrapText="1"/>
    </x:xf>
    <x:xf numFmtId="0" fontId="14" fillId="24" borderId="0" xfId="0" applyNumberFormat="1" applyFont="1" applyFill="1" applyBorder="1" applyAlignment="1">
      <x:alignment vertical="center" wrapText="1"/>
    </x:xf>
    <x:xf numFmtId="0" fontId="16" fillId="24" borderId="0" xfId="0" applyNumberFormat="1" applyFont="1" applyFill="1" applyBorder="1" applyAlignment="1">
      <x:alignment horizontal="center" vertical="center" wrapText="1"/>
    </x:xf>
    <x:xf numFmtId="0" fontId="14" fillId="25" borderId="0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 applyAlignment="1">
      <x:alignment wrapText="1"/>
    </x:xf>
    <x:xf numFmtId="164" fontId="3" fillId="26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202" fontId="0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18" fillId="27" borderId="0" xfId="0" applyNumberFormat="1" applyFont="1" applyFill="1" applyBorder="1"/>
    <x:xf numFmtId="0" fontId="18" fillId="27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16" fillId="28" borderId="0" xfId="0" applyNumberFormat="1" applyFont="1" applyFill="1" applyBorder="1" applyAlignment="1">
      <x:alignment horizontal="center" vertical="center" wrapText="1"/>
    </x:xf>
    <x:xf numFmtId="0" fontId="14" fillId="28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</x:cellXfs>
  <x:cellStyles count="1">
    <x:cellStyle name="Normal" xfId="0"/>
  </x:cellStyles>
  <x:dxfs count="24"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ea616c7634637" /><Relationship Type="http://schemas.openxmlformats.org/officeDocument/2006/relationships/theme" Target="/xl/theme/theme1.xml" Id="Rdca37b792e1e420d" /><Relationship Type="http://schemas.openxmlformats.org/officeDocument/2006/relationships/sharedStrings" Target="/xl/sharedStrings.xml" Id="R9722455c2c3c4c27" /><Relationship Type="http://schemas.openxmlformats.org/officeDocument/2006/relationships/worksheet" Target="/xl/worksheets/sheet1.xml" Id="Rc1fddc37f0d64670" /><Relationship Type="http://schemas.openxmlformats.org/officeDocument/2006/relationships/worksheet" Target="/xl/worksheets/sheet2.xml" Id="R76e2d61691ff405b" /><Relationship Type="http://schemas.openxmlformats.org/officeDocument/2006/relationships/worksheet" Target="/xl/worksheets/sheet3.xml" Id="Rc3bb305579a34776" /><Relationship Type="http://schemas.openxmlformats.org/officeDocument/2006/relationships/worksheet" Target="/xl/worksheets/sheet4.xml" Id="Refd7c17e5539466e" /><Relationship Type="http://schemas.openxmlformats.org/officeDocument/2006/relationships/worksheet" Target="/xl/worksheets/sheet5.xml" Id="Rc4a9bf9c7a5b45ff" /><Relationship Type="http://schemas.openxmlformats.org/officeDocument/2006/relationships/worksheet" Target="/xl/worksheets/sheet6.xml" Id="Rf9cdb52bd5964d1f" /><Relationship Type="http://schemas.openxmlformats.org/officeDocument/2006/relationships/worksheet" Target="/xl/worksheets/sheet7.xml" Id="R14c4d8446ecb4ba1" /><Relationship Type="http://schemas.openxmlformats.org/officeDocument/2006/relationships/worksheet" Target="/xl/worksheets/sheet8.xml" Id="R5c3facd075344212" /><Relationship Type="http://schemas.openxmlformats.org/officeDocument/2006/relationships/worksheet" Target="/xl/worksheets/sheet9.xml" Id="R0cc54fd72771457c" /><Relationship Type="http://schemas.openxmlformats.org/officeDocument/2006/relationships/worksheet" Target="/xl/worksheets/sheet10.xml" Id="R3f9d058043bd449e" /><Relationship Type="http://schemas.openxmlformats.org/officeDocument/2006/relationships/worksheet" Target="/xl/worksheets/sheet11.xml" Id="Ra6b5a19fcd134a7e" /><Relationship Type="http://schemas.openxmlformats.org/officeDocument/2006/relationships/worksheet" Target="/xl/worksheets/sheet12.xml" Id="R73bd75221bb34c20" /><Relationship Type="http://schemas.openxmlformats.org/officeDocument/2006/relationships/worksheet" Target="/xl/worksheets/sheet13.xml" Id="R3cea6eac6a674e36" /><Relationship Type="http://schemas.openxmlformats.org/officeDocument/2006/relationships/worksheet" Target="/xl/worksheets/sheet14.xml" Id="Raf33e02d53b8428c" /><Relationship Type="http://schemas.openxmlformats.org/officeDocument/2006/relationships/worksheet" Target="/xl/worksheets/sheet15.xml" Id="R23a15503d5814bc2" /><Relationship Type="http://schemas.openxmlformats.org/officeDocument/2006/relationships/worksheet" Target="/xl/worksheets/sheet16.xml" Id="Ra16800f316cf41ea" /><Relationship Type="http://schemas.openxmlformats.org/officeDocument/2006/relationships/worksheet" Target="/xl/worksheets/sheet17.xml" Id="R701869e2be3d44a8" /><Relationship Type="http://schemas.openxmlformats.org/officeDocument/2006/relationships/worksheet" Target="/xl/worksheets/sheet18.xml" Id="R51a2607249d84686" /><Relationship Type="http://schemas.openxmlformats.org/officeDocument/2006/relationships/worksheet" Target="/xl/worksheets/sheet19.xml" Id="R1fa23a594ceb49e6" /><Relationship Type="http://schemas.openxmlformats.org/officeDocument/2006/relationships/worksheet" Target="/xl/worksheets/sheet20.xml" Id="R1e7ecf860d984be0" /><Relationship Type="http://schemas.openxmlformats.org/officeDocument/2006/relationships/worksheet" Target="/xl/worksheets/sheet21.xml" Id="Rc83056b4c81a4cce" /><Relationship Type="http://schemas.openxmlformats.org/officeDocument/2006/relationships/worksheet" Target="/xl/worksheets/sheet22.xml" Id="R6a00bb473e144c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6" hidden="0" customWidth="1"/>
    <x:col min="2" max="2" width="25" hidden="0" customWidth="1"/>
    <x:col min="3" max="3" width="4" hidden="0" customWidth="1"/>
    <x:col min="4" max="4" width="32" hidden="0" customWidth="1"/>
    <x:col min="5" max="5" width="27" hidden="0" customWidth="1"/>
    <x:col min="6" max="6" width="4" hidden="0" customWidth="1"/>
    <x:col min="7" max="7" width="20" hidden="0" customWidth="1"/>
    <x:col min="8" max="8" width="20" hidden="0" customWidth="1"/>
  </x:cols>
  <x:sheetData>
    <x:row r="1" ht="32" customHeight="1">
      <x:c r="A1" s="179" t="str">
        <x:v>BTTS optimizat_v2 – recomandare și risc</x:v>
      </x:c>
      <x:c r="B1" s="163"/>
      <x:c r="C1" s="163"/>
      <x:c r="D1" s="163"/>
      <x:c r="E1" s="163"/>
      <x:c r="F1" s="163"/>
      <x:c r="G1" s="163"/>
      <x:c r="H1" s="163"/>
    </x:row>
    <x:row r="2" ht="28" customHeight="1">
      <x:c r="A2" s="161"/>
      <x:c r="B2" s="161"/>
      <x:c r="C2" s="161"/>
      <x:c r="D2" s="161"/>
      <x:c r="E2" s="161"/>
      <x:c r="F2" s="161"/>
      <x:c r="G2" s="161"/>
      <x:c r="H2" s="161"/>
    </x:row>
    <x:row r="3" ht="28" customHeight="1">
      <x:c r="A3" s="161" t="str">
        <x:v>Meci</x:v>
      </x:c>
      <x:c r="B3" s="161" t="str">
        <x:f>IF(OR('1_Statistici'!B3="",'1_Statistici'!C3=""),"Meci necompletat",'1_Statistici'!B3&amp;" – "&amp;'1_Statistici'!C3)</x:f>
        <x:v>Meci necompletat</x:v>
      </x:c>
      <x:c r="C3" s="161"/>
      <x:c r="D3" s="176" t="str">
        <x:v>Control final</x:v>
      </x:c>
      <x:c r="E3" s="176"/>
      <x:c r="F3" s="161"/>
      <x:c r="G3" s="161"/>
      <x:c r="H3" s="161"/>
    </x:row>
    <x:row r="4" ht="28" customHeight="1">
      <x:c r="A4" s="161" t="str">
        <x:v>Tip meci</x:v>
      </x:c>
      <x:c r="B4" s="161" t="str">
        <x:f>'2_Context'!B3</x:f>
        <x:v>Campionat</x:v>
      </x:c>
      <x:c r="C4" s="161"/>
      <x:c r="D4" s="161" t="str">
        <x:v>Data Readiness</x:v>
      </x:c>
      <x:c r="E4" s="207" t="str">
        <x:f>BTTS_Prior_v5!B46</x:f>
        <x:v>INCOMPLETE</x:v>
      </x:c>
      <x:c r="F4" s="161"/>
      <x:c r="G4" s="161"/>
      <x:c r="H4" s="161"/>
    </x:row>
    <x:row r="5" ht="28" customHeight="1">
      <x:c r="A5" s="161" t="str">
        <x:v>Goluri estimate Gazde</x:v>
      </x:c>
      <x:c r="B5" s="191" t="str">
        <x:f>IF(ISNUMBER('3_Calcul_BTTS'!B31),'3_Calcul_BTTS'!B31,"")</x:f>
      </x:c>
      <x:c r="C5" s="161"/>
      <x:c r="D5" s="161" t="str">
        <x:v>Scor de risc</x:v>
      </x:c>
      <x:c r="E5" s="191" t="str">
        <x:f>IF(ISNUMBER(Risk_Classification!B36),Risk_Classification!B36,"")</x:f>
      </x:c>
      <x:c r="F5" s="161"/>
      <x:c r="G5" s="161"/>
      <x:c r="H5" s="161"/>
    </x:row>
    <x:row r="6" ht="28" customHeight="1">
      <x:c r="A6" s="161" t="str">
        <x:v>Goluri estimate Oaspeți</x:v>
      </x:c>
      <x:c r="B6" s="191" t="str">
        <x:f>IF(ISNUMBER('3_Calcul_BTTS'!C31),'3_Calcul_BTTS'!C31,"")</x:f>
      </x:c>
      <x:c r="C6" s="161"/>
      <x:c r="D6" s="161" t="str">
        <x:v>Gate DEFENSIV</x:v>
      </x:c>
      <x:c r="E6" s="207" t="str">
        <x:f>BTTS_Gates_v4!B19</x:f>
        <x:v>INCOMPLETE</x:v>
      </x:c>
      <x:c r="F6" s="161"/>
      <x:c r="G6" s="161"/>
      <x:c r="H6" s="161"/>
    </x:row>
    <x:row r="7" ht="28" customHeight="1">
      <x:c r="A7" s="161" t="str">
        <x:v>Goluri estimate total</x:v>
      </x:c>
      <x:c r="B7" s="191" t="str">
        <x:f>IF(ISNUMBER('3_Calcul_BTTS'!B32),'3_Calcul_BTTS'!B32,"")</x:f>
      </x:c>
      <x:c r="C7" s="161"/>
      <x:c r="D7" s="161" t="str">
        <x:v>Date recente H/A</x:v>
      </x:c>
      <x:c r="E7" s="166" t="str">
        <x:f>BTTS_Gates_v4!B20</x:f>
        <x:v>INCOMPLETE</x:v>
      </x:c>
      <x:c r="F7" s="161"/>
      <x:c r="G7" s="161"/>
      <x:c r="H7" s="161"/>
    </x:row>
    <x:row r="8" ht="28" customHeight="1">
      <x:c r="A8" s="161" t="str">
        <x:v>P Gazde marchează</x:v>
      </x:c>
      <x:c r="B8" s="166" t="str">
        <x:f>IF(ISNUMBER('3_Calcul_BTTS'!B69),'3_Calcul_BTTS'!B69,"")</x:f>
      </x:c>
      <x:c r="C8" s="161"/>
      <x:c r="D8" s="161" t="str">
        <x:v>Cota / EV</x:v>
      </x:c>
      <x:c r="E8" s="166" t="str">
        <x:v>EXCLUSE DIN DECIZIE</x:v>
      </x:c>
      <x:c r="F8" s="161"/>
      <x:c r="G8" s="161"/>
      <x:c r="H8" s="161"/>
    </x:row>
    <x:row r="9" ht="28" customHeight="1">
      <x:c r="A9" s="161" t="str">
        <x:v>P Oaspeți marchează</x:v>
      </x:c>
      <x:c r="B9" s="166" t="str">
        <x:f>IF(ISNUMBER('3_Calcul_BTTS'!B70),'3_Calcul_BTTS'!B70,"")</x:f>
      </x:c>
      <x:c r="C9" s="161"/>
      <x:c r="D9" s="161" t="str">
        <x:v>Scor factori</x:v>
      </x:c>
      <x:c r="E9" s="191" t="str">
        <x:f>IF(ISNUMBER('5_Scoring_Factori'!B14),'5_Scoring_Factori'!B14,"")</x:f>
      </x:c>
      <x:c r="F9" s="161"/>
      <x:c r="G9" s="161"/>
      <x:c r="H9" s="161"/>
    </x:row>
    <x:row r="10" ht="28" customHeight="1">
      <x:c r="A10" s="161" t="str">
        <x:v>P BTTS DA ajustată</x:v>
      </x:c>
      <x:c r="B10" s="166" t="str">
        <x:f>IF(ISNUMBER('3_Calcul_BTTS'!B90),'3_Calcul_BTTS'!B90,"")</x:f>
      </x:c>
      <x:c r="C10" s="161"/>
      <x:c r="D10" s="161" t="str">
        <x:v>Încredere statistică</x:v>
      </x:c>
      <x:c r="E10" s="166" t="str">
        <x:f>IF(ISNUMBER('3_Calcul_BTTS'!B65),'3_Calcul_BTTS'!B65,"")</x:f>
      </x:c>
      <x:c r="F10" s="161"/>
      <x:c r="G10" s="161"/>
      <x:c r="H10" s="161"/>
    </x:row>
    <x:row r="11" ht="28" customHeight="1">
      <x:c r="A11" s="161" t="str">
        <x:v>Weakest P(score)</x:v>
      </x:c>
      <x:c r="B11" s="166" t="str">
        <x:f>IF(ISNUMBER('3_Calcul_BTTS'!B71),'3_Calcul_BTTS'!B71,"")</x:f>
      </x:c>
      <x:c r="C11" s="161"/>
      <x:c r="D11" s="181" t="str">
        <x:v>Verdict final</x:v>
      </x:c>
      <x:c r="E11" s="181" t="str">
        <x:f>'5_Scoring_Factori'!B18</x:f>
        <x:v>ANALIZA INCOMPLETA</x:v>
      </x:c>
      <x:c r="F11" s="161"/>
      <x:c r="G11" s="161"/>
      <x:c r="H11" s="161"/>
    </x:row>
    <x:row r="12" ht="28" customHeight="1">
      <x:c r="A12" s="161" t="str">
        <x:v>Combined Gate</x:v>
      </x:c>
      <x:c r="B12" s="161" t="str">
        <x:f>BTTS_Gates_v4!B16</x:f>
        <x:v>INCOMPLETE</x:v>
      </x:c>
      <x:c r="C12" s="161"/>
      <x:c r="D12" s="208" t="str">
        <x:v>Risk Level final</x:v>
      </x:c>
      <x:c r="E12" s="208" t="str">
        <x:f>IF(ISNUMBER(Risk_Classification!B39),Risk_Classification!B39,"")</x:f>
      </x:c>
      <x:c r="F12" s="161"/>
      <x:c r="G12" s="161"/>
      <x:c r="H12" s="161"/>
    </x:row>
    <x:row r="13" ht="28" customHeight="1">
      <x:c r="A13" s="161" t="str">
        <x:v>Builder Eligible</x:v>
      </x:c>
      <x:c r="B13" s="161" t="str">
        <x:f>BTTS_Gates_v4!B22</x:f>
        <x:v>NO</x:v>
      </x:c>
      <x:c r="C13" s="161"/>
      <x:c r="D13" s="208" t="str">
        <x:v>Risk Verdict</x:v>
      </x:c>
      <x:c r="E13" s="208" t="str">
        <x:f>Risk_Classification!B40</x:f>
        <x:v>ANALIZA INCOMPLETA</x:v>
      </x:c>
      <x:c r="F13" s="161"/>
      <x:c r="G13" s="161"/>
      <x:c r="H13" s="161"/>
    </x:row>
    <x:row r="14" ht="28" customHeight="1">
      <x:c r="A14" s="216"/>
      <x:c r="B14" s="217"/>
      <x:c r="C14" s="217"/>
      <x:c r="D14" s="217"/>
      <x:c r="E14" s="217"/>
      <x:c r="F14" s="216"/>
      <x:c r="G14" s="217"/>
      <x:c r="H14" s="217"/>
    </x:row>
    <x:row r="15" ht="28" customHeight="1">
      <x:c r="A15" s="218"/>
      <x:c r="B15" s="218"/>
      <x:c r="C15" s="218"/>
      <x:c r="D15" s="218"/>
      <x:c r="E15" s="217"/>
      <x:c r="F15" s="217"/>
      <x:c r="G15" s="217"/>
      <x:c r="H15" s="217"/>
    </x:row>
    <x:row r="16" ht="38" customHeight="1">
      <x:c r="A16" s="165" t="str">
        <x:v>Criteriu DEFENSIV</x:v>
      </x:c>
      <x:c r="B16" s="165" t="str">
        <x:v>Valoare</x:v>
      </x:c>
      <x:c r="C16" s="165" t="str"/>
      <x:c r="D16" s="165" t="str">
        <x:v>Prag</x:v>
      </x:c>
      <x:c r="E16" s="165" t="str">
        <x:v>Status</x:v>
      </x:c>
      <x:c r="F16" s="161"/>
      <x:c r="G16" s="166"/>
      <x:c r="H16" s="161"/>
    </x:row>
    <x:row r="17" ht="28" customHeight="1">
      <x:c r="A17" s="161" t="str">
        <x:v>P BTTS DA</x:v>
      </x:c>
      <x:c r="B17" s="166" t="str">
        <x:f>IF(BTTS_Prior_v5!B46&lt;&gt;"PASS","",'3_Calcul_BTTS'!B90)</x:f>
      </x:c>
      <x:c r="C17" s="161"/>
      <x:c r="D17" s="166" t="n">
        <x:f>Config_BTTS!B4</x:f>
        <x:v>0.8</x:v>
      </x:c>
      <x:c r="E17" s="161" t="str">
        <x:f>IF(NOT(ISNUMBER(B17)),"INCOMPLETE",IF(B17&gt;=D17,"PASS","FAIL"))</x:f>
        <x:v>INCOMPLETE</x:v>
      </x:c>
      <x:c r="F17" s="161"/>
      <x:c r="G17" s="166"/>
      <x:c r="H17" s="161"/>
    </x:row>
    <x:row r="18" ht="28" customHeight="1">
      <x:c r="A18" s="161" t="str">
        <x:v>P(score) cea mai slabă</x:v>
      </x:c>
      <x:c r="B18" s="166" t="str">
        <x:f>IF(BTTS_Prior_v5!B46&lt;&gt;"PASS","",'3_Calcul_BTTS'!B71)</x:f>
      </x:c>
      <x:c r="C18" s="161"/>
      <x:c r="D18" s="166" t="n">
        <x:f>Config_BTTS!B5</x:f>
        <x:v>0.85</x:v>
      </x:c>
      <x:c r="E18" s="161" t="str">
        <x:f>IF(NOT(ISNUMBER(B18)),"INCOMPLETE",IF(B18&gt;=D18,"PASS","FAIL"))</x:f>
        <x:v>INCOMPLETE</x:v>
      </x:c>
      <x:c r="F18" s="161"/>
      <x:c r="G18" s="166"/>
      <x:c r="H18" s="161"/>
    </x:row>
    <x:row r="19" ht="28" customHeight="1">
      <x:c r="A19" s="161" t="str">
        <x:v>Diferența dintre echipe</x:v>
      </x:c>
      <x:c r="B19" s="166" t="str">
        <x:f>IF(BTTS_Prior_v5!B46&lt;&gt;"PASS","",'3_Calcul_BTTS'!B72)</x:f>
      </x:c>
      <x:c r="C19" s="161"/>
      <x:c r="D19" s="166" t="n">
        <x:f>Config_BTTS!B6</x:f>
        <x:v>0.1</x:v>
      </x:c>
      <x:c r="E19" s="161" t="str">
        <x:f>IF(NOT(ISNUMBER(B19)),"INCOMPLETE",IF(B19&lt;=D19,"PASS","FAIL"))</x:f>
        <x:v>INCOMPLETE</x:v>
      </x:c>
      <x:c r="F19" s="161"/>
      <x:c r="G19" s="166"/>
      <x:c r="H19" s="161"/>
    </x:row>
    <x:row r="20" ht="28" customHeight="1">
      <x:c r="A20" s="161" t="str">
        <x:v>Maximum blank recent</x:v>
      </x:c>
      <x:c r="B20" s="166" t="str">
        <x:f>IF(BTTS_Prior_v5!B46&lt;&gt;"PASS","",IF(BTTS_Gates_v4!B20&lt;&gt;"PASS","",MAX(BTTS_Prior_v5!P20,BTTS_Prior_v5!P38)))</x:f>
      </x:c>
      <x:c r="C20" s="161"/>
      <x:c r="D20" s="166" t="n">
        <x:f>Config_BTTS!B7</x:f>
        <x:v>0.15</x:v>
      </x:c>
      <x:c r="E20" s="161" t="str">
        <x:f>IF(NOT(ISNUMBER(B20)),"INCOMPLETE",IF(B20&lt;=D20,"PASS","FAIL"))</x:f>
        <x:v>INCOMPLETE</x:v>
      </x:c>
      <x:c r="F20" s="161"/>
      <x:c r="G20" s="161"/>
      <x:c r="H20" s="161"/>
    </x:row>
    <x:row r="21" ht="28" customHeight="1">
      <x:c r="A21" s="161" t="str">
        <x:v>Maximum CS advers recent</x:v>
      </x:c>
      <x:c r="B21" s="166" t="str">
        <x:f>IF(BTTS_Prior_v5!B46&lt;&gt;"PASS","",IF(BTTS_Gates_v4!B20&lt;&gt;"PASS","",MAX(BTTS_Prior_v5!P21,BTTS_Prior_v5!P39)))</x:f>
      </x:c>
      <x:c r="C21" s="161"/>
      <x:c r="D21" s="166" t="n">
        <x:f>Config_BTTS!B8</x:f>
        <x:v>0.15</x:v>
      </x:c>
      <x:c r="E21" s="161" t="str">
        <x:f>IF(NOT(ISNUMBER(B21)),"INCOMPLETE",IF(B21&lt;=D21,"PASS","FAIL"))</x:f>
        <x:v>INCOMPLETE</x:v>
      </x:c>
      <x:c r="F21" s="161"/>
      <x:c r="G21" s="161"/>
      <x:c r="H21" s="161"/>
    </x:row>
    <x:row r="22" ht="28" customHeight="1">
      <x:c r="A22" s="161" t="str">
        <x:v>Risk Score</x:v>
      </x:c>
      <x:c r="B22" s="191" t="str">
        <x:f>IF(BTTS_Prior_v5!B46&lt;&gt;"PASS","",Risk_Classification!B36)</x:f>
      </x:c>
      <x:c r="C22" s="161"/>
      <x:c r="D22" s="161" t="n">
        <x:f>Config_BTTS!B9</x:f>
        <x:v>20</x:v>
      </x:c>
      <x:c r="E22" s="161" t="str">
        <x:f>IF(NOT(ISNUMBER(B22)),"INCOMPLETE",IF(B22&lt;=D22,"PASS","FAIL"))</x:f>
        <x:v>INCOMPLETE</x:v>
      </x:c>
      <x:c r="F22" s="161"/>
      <x:c r="G22" s="161"/>
      <x:c r="H22" s="161"/>
    </x:row>
    <x:row r="23" ht="28" customHeight="1">
      <x:c r="A23" s="161"/>
      <x:c r="B23" s="166"/>
      <x:c r="C23" s="161"/>
      <x:c r="D23" s="161"/>
      <x:c r="E23" s="161"/>
      <x:c r="F23" s="161"/>
      <x:c r="G23" s="161"/>
      <x:c r="H23" s="161"/>
    </x:row>
    <x:row r="24" ht="28" customHeight="1">
      <x:c r="A24" s="216"/>
      <x:c r="B24" s="217"/>
      <x:c r="C24" s="217"/>
      <x:c r="D24" s="217"/>
      <x:c r="E24" s="217"/>
      <x:c r="F24" s="217"/>
      <x:c r="G24" s="217"/>
      <x:c r="H24" s="217"/>
    </x:row>
    <x:row r="25" ht="42" customHeight="1">
      <x:c r="A25" s="161" t="str">
        <x:v>Flux: statistici H/A → current/prior → probabilități → gate-uri → risc → recomandare unică.</x:v>
      </x:c>
      <x:c r="B25" s="166"/>
      <x:c r="C25" s="161"/>
      <x:c r="D25" s="161"/>
      <x:c r="E25" s="161"/>
      <x:c r="F25" s="161"/>
      <x:c r="G25" s="161"/>
      <x:c r="H25" s="161"/>
    </x:row>
    <x:row r="26" ht="42" customHeight="1">
      <x:c r="A26" s="161" t="str">
        <x:v>Câmpurile galbene sunt intrări. Începeți cu 1_Statistici și completați trasabilitatea în BTTS_Prior_v5.</x:v>
      </x:c>
      <x:c r="B26" s="166"/>
      <x:c r="C26" s="161"/>
      <x:c r="D26" s="161"/>
      <x:c r="E26" s="161"/>
      <x:c r="F26" s="161"/>
      <x:c r="G26" s="161"/>
      <x:c r="H26" s="161"/>
    </x:row>
    <x:row r="27" ht="42" customHeight="1">
      <x:c r="A27" s="161" t="str">
        <x:v>INCOMPLETE înseamnă analiză neterminată. FAIL / NO BET este un rezultat al controalelor efective.</x:v>
      </x:c>
      <x:c r="B27" s="166"/>
      <x:c r="C27" s="161"/>
      <x:c r="D27" s="161"/>
      <x:c r="E27" s="161"/>
      <x:c r="F27" s="161"/>
      <x:c r="G27" s="161"/>
      <x:c r="H27" s="161"/>
    </x:row>
    <x:row r="28" ht="42" customHeight="1">
      <x:c r="A28" s="161" t="str">
        <x:v>DEFENSIV este o clasificare internă după pragurile aprobate; nu reprezintă o garanție de rezultat.</x:v>
      </x:c>
      <x:c r="B28" s="166"/>
      <x:c r="C28" s="161"/>
      <x:c r="D28" s="161"/>
      <x:c r="E28" s="161"/>
      <x:c r="F28" s="161"/>
      <x:c r="G28" s="161"/>
      <x:c r="H28" s="161"/>
    </x:row>
    <x:row r="29" ht="28" customHeight="1">
      <x:c r="A29" s="161"/>
      <x:c r="B29" s="161"/>
      <x:c r="C29" s="161"/>
      <x:c r="D29" s="161"/>
      <x:c r="E29" s="161"/>
      <x:c r="F29" s="161"/>
      <x:c r="G29" s="161"/>
      <x:c r="H29" s="161"/>
    </x:row>
    <x:row r="30" ht="28" customHeight="1">
      <x:c r="A30" s="161"/>
      <x:c r="B30" s="161"/>
      <x:c r="C30" s="161"/>
      <x:c r="D30" s="161"/>
      <x:c r="E30" s="161"/>
      <x:c r="F30" s="161"/>
      <x:c r="G30" s="161"/>
      <x:c r="H30" s="161"/>
    </x:row>
    <x:row r="31" ht="28" customHeight="1">
      <x:c r="A31" s="161"/>
      <x:c r="B31" s="161"/>
      <x:c r="C31" s="161"/>
      <x:c r="D31" s="161"/>
      <x:c r="E31" s="161"/>
      <x:c r="F31" s="161"/>
      <x:c r="G31" s="161"/>
      <x:c r="H31" s="161"/>
    </x:row>
    <x:row r="32" ht="28" customHeight="1">
      <x:c r="A32" s="161"/>
      <x:c r="B32" s="161"/>
      <x:c r="C32" s="161"/>
      <x:c r="D32" s="161"/>
      <x:c r="E32" s="161"/>
      <x:c r="F32" s="161"/>
      <x:c r="G32" s="161"/>
      <x:c r="H32" s="161"/>
    </x:row>
    <x:row r="33" ht="28" customHeight="1">
      <x:c r="A33" s="161"/>
      <x:c r="B33" s="161"/>
      <x:c r="C33" s="161"/>
      <x:c r="D33" s="161"/>
      <x:c r="E33" s="161"/>
      <x:c r="F33" s="161"/>
      <x:c r="G33" s="161"/>
      <x:c r="H33" s="161"/>
    </x:row>
    <x:row r="34" ht="28" customHeight="1">
      <x:c r="A34" s="161"/>
      <x:c r="B34" s="161"/>
      <x:c r="C34" s="161"/>
      <x:c r="D34" s="161"/>
      <x:c r="E34" s="161"/>
      <x:c r="F34" s="161"/>
      <x:c r="G34" s="161"/>
      <x:c r="H34" s="161"/>
    </x:row>
    <x:row r="35" ht="28" customHeight="1">
      <x:c r="A35" s="161"/>
      <x:c r="B35" s="161"/>
      <x:c r="C35" s="161"/>
      <x:c r="D35" s="161"/>
      <x:c r="E35" s="161"/>
      <x:c r="F35" s="161"/>
      <x:c r="G35" s="161"/>
      <x:c r="H35" s="161"/>
    </x:row>
    <x:row r="36" ht="28" customHeight="1">
      <x:c r="A36" s="161"/>
      <x:c r="B36" s="161"/>
      <x:c r="C36" s="161"/>
      <x:c r="D36" s="161"/>
      <x:c r="E36" s="161"/>
      <x:c r="F36" s="161"/>
      <x:c r="G36" s="161"/>
      <x:c r="H36" s="161"/>
    </x:row>
    <x:row r="37" ht="28" customHeight="1">
      <x:c r="A37" s="161"/>
      <x:c r="B37" s="161"/>
      <x:c r="C37" s="161"/>
      <x:c r="D37" s="161"/>
      <x:c r="E37" s="161"/>
      <x:c r="F37" s="161"/>
      <x:c r="G37" s="161"/>
      <x:c r="H37" s="161"/>
    </x:row>
    <x:row r="38" ht="28" customHeight="1">
      <x:c r="A38" s="161"/>
      <x:c r="B38" s="161"/>
      <x:c r="C38" s="161"/>
      <x:c r="D38" s="161"/>
      <x:c r="E38" s="161"/>
      <x:c r="F38" s="161"/>
      <x:c r="G38" s="161"/>
      <x:c r="H38" s="161"/>
    </x:row>
    <x:row r="39" ht="28" customHeight="1">
      <x:c r="A39" s="161"/>
      <x:c r="B39" s="161"/>
      <x:c r="C39" s="161"/>
      <x:c r="D39" s="161"/>
      <x:c r="E39" s="161"/>
      <x:c r="F39" s="161"/>
      <x:c r="G39" s="161"/>
      <x:c r="H39" s="161"/>
    </x:row>
    <x:row r="40" ht="28" customHeight="1">
      <x:c r="A40" s="161"/>
      <x:c r="B40" s="161"/>
      <x:c r="C40" s="161"/>
      <x:c r="D40" s="161"/>
      <x:c r="E40" s="161"/>
      <x:c r="F40" s="161"/>
      <x:c r="G40" s="161"/>
      <x:c r="H40" s="161"/>
    </x:row>
  </x:sheetData>
  <x:mergeCells>
    <x:mergeCell ref="A1:H1"/>
    <x:mergeCell ref="A25:H25"/>
    <x:mergeCell ref="A26:H26"/>
    <x:mergeCell ref="A27:H27"/>
    <x:mergeCell ref="A28:H28"/>
  </x:mergeCells>
  <x:conditionalFormatting sqref="E4:E22">
    <x:cfRule type="containsText" dxfId="16" priority="1" operator="containsText" text="FAIL"/>
    <x:cfRule type="containsText" dxfId="17" priority="2" operator="containsText" text="INCOMPLETE"/>
    <x:cfRule type="containsText" dxfId="18" priority="3" operator="containsText" text="NO BET"/>
    <x:cfRule type="containsText" dxfId="19" priority="4" operator="containsText" text="DEFENSIV"/>
  </x:conditionalFormatting>
  <x:conditionalFormatting sqref="B12:B13">
    <x:cfRule type="containsText" dxfId="20" priority="5" operator="containsText" text="FAIL"/>
    <x:cfRule type="containsText" dxfId="21" priority="6" operator="containsText" text="INCOMPLETE"/>
    <x:cfRule type="containsText" dxfId="22" priority="7" operator="containsText" text="NO BET"/>
    <x:cfRule type="containsText" dxfId="23" priority="8" operator="containsText" text="DEFENSIV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2" customWidth="1"/>
    <x:col min="2" max="3" width="14" customWidth="1"/>
    <x:col min="4" max="4" width="12" customWidth="1"/>
    <x:col min="5" max="5" width="22" customWidth="1"/>
    <x:col min="6" max="6" width="34" customWidth="1"/>
  </x:cols>
  <x:sheetData>
    <x:row r="1">
      <x:c r="A1" s="17" t="str">
        <x:v>BTTS optimizat_v2 – statistici H/A</x:v>
      </x:c>
      <x:c r="B1" s="18"/>
      <x:c r="C1" s="18"/>
      <x:c r="D1" s="18"/>
      <x:c r="E1" s="18"/>
      <x:c r="F1" s="18"/>
    </x:row>
    <x:row r="2" ht="15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</x:row>
    <x:row r="3">
      <x:c r="A3" s="2" t="s">
        <x:v>6</x:v>
      </x:c>
      <x:c r="B3" s="3"/>
      <x:c r="C3" s="3"/>
      <x:c r="D3" s="2" t="s">
        <x:v>7</x:v>
      </x:c>
      <x:c r="E3" s="2" t="s">
        <x:v>8</x:v>
      </x:c>
      <x:c r="F3" s="2"/>
    </x:row>
    <x:row r="4">
      <x:c r="A4" s="2" t="s">
        <x:v>9</x:v>
      </x:c>
      <x:c r="B4" s="220"/>
      <x:c r="C4" s="220"/>
      <x:c r="D4" s="2" t="s">
        <x:v>10</x:v>
      </x:c>
      <x:c r="E4" s="2" t="s">
        <x:v>11</x:v>
      </x:c>
      <x:c r="F4" s="2" t="s">
        <x:v>12</x:v>
      </x:c>
    </x:row>
    <x:row r="5">
      <x:c r="A5" s="2" t="s">
        <x:v>13</x:v>
      </x:c>
      <x:c r="B5" s="220"/>
      <x:c r="C5" s="220"/>
      <x:c r="D5" s="2" t="s">
        <x:v>14</x:v>
      </x:c>
      <x:c r="E5" s="2" t="s">
        <x:v>15</x:v>
      </x:c>
      <x:c r="F5" s="2"/>
    </x:row>
    <x:row r="6">
      <x:c r="A6" s="2" t="s">
        <x:v>16</x:v>
      </x:c>
      <x:c r="B6" s="220"/>
      <x:c r="C6" s="220"/>
      <x:c r="D6" s="2" t="s">
        <x:v>17</x:v>
      </x:c>
      <x:c r="E6" s="2" t="s">
        <x:v>15</x:v>
      </x:c>
      <x:c r="F6" s="2"/>
    </x:row>
    <x:row r="7">
      <x:c r="A7" s="2" t="s">
        <x:v>18</x:v>
      </x:c>
      <x:c r="B7" s="220"/>
      <x:c r="C7" s="220"/>
      <x:c r="D7" s="2" t="s">
        <x:v>19</x:v>
      </x:c>
      <x:c r="E7" s="2" t="s">
        <x:v>15</x:v>
      </x:c>
      <x:c r="F7" s="2"/>
    </x:row>
    <x:row r="8">
      <x:c r="A8" s="2" t="s">
        <x:v>20</x:v>
      </x:c>
      <x:c r="B8" s="220"/>
      <x:c r="C8" s="220"/>
      <x:c r="D8" s="2" t="s">
        <x:v>14</x:v>
      </x:c>
      <x:c r="E8" s="2" t="s">
        <x:v>21</x:v>
      </x:c>
      <x:c r="F8" s="2" t="s">
        <x:v>22</x:v>
      </x:c>
    </x:row>
    <x:row r="9">
      <x:c r="A9" s="2" t="s">
        <x:v>23</x:v>
      </x:c>
      <x:c r="B9" s="220"/>
      <x:c r="C9" s="220"/>
      <x:c r="D9" s="2" t="s">
        <x:v>14</x:v>
      </x:c>
      <x:c r="E9" s="2" t="s">
        <x:v>21</x:v>
      </x:c>
      <x:c r="F9" s="2"/>
    </x:row>
    <x:row r="10">
      <x:c r="A10" s="2" t="s">
        <x:v>24</x:v>
      </x:c>
      <x:c r="B10" s="220"/>
      <x:c r="C10" s="220"/>
      <x:c r="D10" s="2" t="s">
        <x:v>17</x:v>
      </x:c>
      <x:c r="E10" s="2" t="str">
        <x:v>30% lambda; motor actual</x:v>
      </x:c>
      <x:c r="F10" s="2"/>
    </x:row>
    <x:row r="11">
      <x:c r="A11" s="2" t="s">
        <x:v>25</x:v>
      </x:c>
      <x:c r="B11" s="220"/>
      <x:c r="C11" s="220"/>
      <x:c r="D11" s="2" t="s">
        <x:v>19</x:v>
      </x:c>
      <x:c r="E11" s="2" t="str">
        <x:v>30% lambda; adversar</x:v>
      </x:c>
      <x:c r="F11" s="2"/>
    </x:row>
    <x:row r="12" ht="28.5">
      <x:c r="A12" s="2" t="s">
        <x:v>26</x:v>
      </x:c>
      <x:c r="B12" s="221"/>
      <x:c r="C12" s="221"/>
      <x:c r="D12" s="2" t="s">
        <x:v>27</x:v>
      </x:c>
      <x:c r="E12" s="2" t="s">
        <x:v>28</x:v>
      </x:c>
      <x:c r="F12" s="2"/>
    </x:row>
    <x:row r="13" ht="28.5">
      <x:c r="A13" s="2" t="s">
        <x:v>29</x:v>
      </x:c>
      <x:c r="B13" s="221"/>
      <x:c r="C13" s="221"/>
      <x:c r="D13" s="2" t="s">
        <x:v>27</x:v>
      </x:c>
      <x:c r="E13" s="2" t="s">
        <x:v>28</x:v>
      </x:c>
      <x:c r="F13" s="2"/>
    </x:row>
    <x:row r="14">
      <x:c r="A14" s="2" t="s">
        <x:v>30</x:v>
      </x:c>
      <x:c r="B14" s="221"/>
      <x:c r="C14" s="221"/>
      <x:c r="D14" s="2" t="s">
        <x:v>27</x:v>
      </x:c>
      <x:c r="E14" s="2" t="s">
        <x:v>15</x:v>
      </x:c>
      <x:c r="F14" s="2"/>
    </x:row>
    <x:row r="15">
      <x:c r="A15" s="2" t="s">
        <x:v>31</x:v>
      </x:c>
      <x:c r="B15" s="221"/>
      <x:c r="C15" s="221"/>
      <x:c r="D15" s="2" t="s">
        <x:v>27</x:v>
      </x:c>
      <x:c r="E15" s="2" t="str">
        <x:v>7/92% din blend, dacă toate componentele există</x:v>
      </x:c>
      <x:c r="F15" s="2"/>
    </x:row>
    <x:row r="16">
      <x:c r="A16" s="2" t="s">
        <x:v>32</x:v>
      </x:c>
      <x:c r="B16" s="221"/>
      <x:c r="C16" s="221"/>
      <x:c r="D16" s="2" t="s">
        <x:v>27</x:v>
      </x:c>
      <x:c r="E16" s="2" t="s">
        <x:v>33</x:v>
      </x:c>
      <x:c r="F16" s="2"/>
    </x:row>
    <x:row r="17">
      <x:c r="A17" s="2" t="s">
        <x:v>34</x:v>
      </x:c>
      <x:c r="B17" s="221"/>
      <x:c r="C17" s="221"/>
      <x:c r="D17" s="2" t="s">
        <x:v>27</x:v>
      </x:c>
      <x:c r="E17" s="2" t="s">
        <x:v>33</x:v>
      </x:c>
      <x:c r="F17" s="2"/>
    </x:row>
    <x:row r="18">
      <x:c r="A18" s="2" t="s">
        <x:v>35</x:v>
      </x:c>
      <x:c r="B18" s="221"/>
      <x:c r="C18" s="221"/>
      <x:c r="D18" s="2" t="s">
        <x:v>27</x:v>
      </x:c>
      <x:c r="E18" s="2" t="s">
        <x:v>36</x:v>
      </x:c>
      <x:c r="F18" s="2"/>
    </x:row>
    <x:row r="19">
      <x:c r="A19" s="2" t="s">
        <x:v>37</x:v>
      </x:c>
      <x:c r="B19" s="221"/>
      <x:c r="C19" s="221"/>
      <x:c r="D19" s="2" t="s">
        <x:v>27</x:v>
      </x:c>
      <x:c r="E19" s="2" t="s">
        <x:v>38</x:v>
      </x:c>
      <x:c r="F19" s="2"/>
    </x:row>
    <x:row r="20">
      <x:c r="A20" s="2" t="s">
        <x:v>39</x:v>
      </x:c>
      <x:c r="B20" s="220"/>
      <x:c r="C20" s="220"/>
      <x:c r="D20" s="2" t="s">
        <x:v>10</x:v>
      </x:c>
      <x:c r="E20" s="2" t="s">
        <x:v>40</x:v>
      </x:c>
      <x:c r="F20" s="2"/>
    </x:row>
    <x:row r="21">
      <x:c r="A21" s="2" t="s">
        <x:v>41</x:v>
      </x:c>
      <x:c r="B21" s="220"/>
      <x:c r="C21" s="220"/>
      <x:c r="D21" s="2" t="s">
        <x:v>10</x:v>
      </x:c>
      <x:c r="E21" s="2" t="s">
        <x:v>40</x:v>
      </x:c>
      <x:c r="F21" s="2"/>
    </x:row>
    <x:row r="22">
      <x:c r="A22" s="2" t="s">
        <x:v>42</x:v>
      </x:c>
      <x:c r="B22" s="220"/>
      <x:c r="C22" s="220"/>
      <x:c r="D22" s="2" t="s">
        <x:v>10</x:v>
      </x:c>
      <x:c r="E22" s="2" t="s">
        <x:v>40</x:v>
      </x:c>
      <x:c r="F22" s="2"/>
    </x:row>
    <x:row r="23">
      <x:c r="A23" s="2" t="s">
        <x:v>43</x:v>
      </x:c>
      <x:c r="B23" s="220"/>
      <x:c r="C23" s="220"/>
      <x:c r="D23" s="2" t="s">
        <x:v>10</x:v>
      </x:c>
      <x:c r="E23" s="2" t="s">
        <x:v>44</x:v>
      </x:c>
      <x:c r="F23" s="2"/>
    </x:row>
    <x:row r="24">
      <x:c r="A24" s="2" t="s">
        <x:v>45</x:v>
      </x:c>
      <x:c r="B24" s="220"/>
      <x:c r="C24" s="220"/>
      <x:c r="D24" s="2" t="s">
        <x:v>17</x:v>
      </x:c>
      <x:c r="E24" s="2" t="str">
        <x:v>15% lambda</x:v>
      </x:c>
      <x:c r="F24" s="2"/>
    </x:row>
    <x:row r="25">
      <x:c r="A25" s="2" t="s">
        <x:v>46</x:v>
      </x:c>
      <x:c r="B25" s="220"/>
      <x:c r="C25" s="220"/>
      <x:c r="D25" s="2" t="s">
        <x:v>19</x:v>
      </x:c>
      <x:c r="E25" s="2" t="str">
        <x:v>10% lambda</x:v>
      </x:c>
      <x:c r="F25" s="2"/>
    </x:row>
    <x:row r="26">
      <x:c r="A26" s="2" t="s">
        <x:v>47</x:v>
      </x:c>
      <x:c r="B26" s="220"/>
      <x:c r="C26" s="220"/>
      <x:c r="D26" s="2" t="s">
        <x:v>14</x:v>
      </x:c>
      <x:c r="E26" s="2" t="s">
        <x:v>15</x:v>
      </x:c>
      <x:c r="F26" s="2"/>
    </x:row>
    <x:row r="27">
      <x:c r="A27" s="2" t="s">
        <x:v>48</x:v>
      </x:c>
      <x:c r="B27" s="220"/>
      <x:c r="C27" s="220"/>
      <x:c r="D27" s="2" t="s">
        <x:v>14</x:v>
      </x:c>
      <x:c r="E27" s="2" t="s">
        <x:v>15</x:v>
      </x:c>
      <x:c r="F27" s="2"/>
    </x:row>
    <x:row r="28">
      <x:c r="A28" s="2" t="s">
        <x:v>49</x:v>
      </x:c>
      <x:c r="B28" s="220"/>
      <x:c r="C28" s="220"/>
      <x:c r="D28" s="2" t="s">
        <x:v>10</x:v>
      </x:c>
      <x:c r="E28" s="2" t="s">
        <x:v>50</x:v>
      </x:c>
      <x:c r="F28" s="2"/>
    </x:row>
    <x:row r="29" ht="28.5">
      <x:c r="A29" s="2" t="s">
        <x:v>51</x:v>
      </x:c>
      <x:c r="B29" s="220"/>
      <x:c r="C29" s="220"/>
      <x:c r="D29" s="2" t="s">
        <x:v>10</x:v>
      </x:c>
      <x:c r="E29" s="2" t="s">
        <x:v>50</x:v>
      </x:c>
      <x:c r="F29" s="2"/>
    </x:row>
    <x:row r="30">
      <x:c r="A30" s="2" t="s">
        <x:v>52</x:v>
      </x:c>
      <x:c r="B30" s="220"/>
      <x:c r="C30" s="220"/>
      <x:c r="D30" s="2" t="s">
        <x:v>10</x:v>
      </x:c>
      <x:c r="E30" s="2" t="s">
        <x:v>53</x:v>
      </x:c>
      <x:c r="F30" s="2"/>
    </x:row>
    <x:row r="31">
      <x:c r="A31" s="2"/>
      <x:c r="B31" s="2"/>
      <x:c r="C31" s="2"/>
      <x:c r="D31" s="2"/>
      <x:c r="E31" s="2"/>
      <x:c r="F31" s="2"/>
    </x:row>
    <x:row r="32" ht="40" customHeight="1">
      <x:c r="A32" s="64" t="str">
        <x:v>Blank recent H/A</x:v>
      </x:c>
      <x:c r="B32" s="172"/>
      <x:c r="C32" s="172"/>
      <x:c r="D32" s="64" t="str">
        <x:v>%</x:v>
      </x:c>
      <x:c r="E32" s="64" t="str">
        <x:v>DEFENSIV ≤15%</x:v>
      </x:c>
      <x:c r="F32" s="64" t="str">
        <x:v>Fereastră recentă H/A</x:v>
      </x:c>
    </x:row>
    <x:row r="33" ht="40" customHeight="1">
      <x:c r="A33" s="64" t="str">
        <x:v>Clean-sheet recent H/A</x:v>
      </x:c>
      <x:c r="B33" s="172"/>
      <x:c r="C33" s="172"/>
      <x:c r="D33" s="64" t="str">
        <x:v>%</x:v>
      </x:c>
      <x:c r="E33" s="64" t="str">
        <x:v>DEFENSIV ≤15%</x:v>
      </x:c>
      <x:c r="F33" s="64" t="str">
        <x:v>Propriu; motorul mapează adversarul</x:v>
      </x:c>
    </x:row>
    <x:row r="34" ht="40" customHeight="1">
      <x:c r="A34" s="64" t="str">
        <x:v>N recent H/A</x:v>
      </x:c>
      <x:c r="B34" s="171"/>
      <x:c r="C34" s="171"/>
      <x:c r="D34" s="64" t="str">
        <x:v>meciuri</x:v>
      </x:c>
      <x:c r="E34" s="64" t="str">
        <x:v>Rândurile 32–33</x:v>
      </x:c>
      <x:c r="F34" s="64" t="str">
        <x:v>Fără N presetat</x:v>
      </x:c>
    </x:row>
    <x:row r="35" ht="40" customHeight="1">
      <x:c r="A35" s="64" t="str">
        <x:v>Data și ora meciului</x:v>
      </x:c>
      <x:c r="B35" s="173"/>
      <x:c r="C35" s="171"/>
      <x:c r="D35" s="64" t="str">
        <x:v>dată</x:v>
      </x:c>
      <x:c r="E35" s="64" t="str">
        <x:v>Obligatoriu</x:v>
      </x:c>
      <x:c r="F35" s="64" t="str">
        <x:v>Același fus orar pentru toate datele</x:v>
      </x:c>
    </x:row>
    <x:row r="36" ht="40" customHeight="1">
      <x:c r="A36" s="64" t="str">
        <x:v>Cutoff analiză</x:v>
      </x:c>
      <x:c r="B36" s="173"/>
      <x:c r="C36" s="171"/>
      <x:c r="D36" s="64" t="str">
        <x:v>dată</x:v>
      </x:c>
      <x:c r="E36" s="64" t="str">
        <x:v>Obligatoriu</x:v>
      </x:c>
      <x:c r="F36" s="64" t="str">
        <x:v>Datele-sursă nu depășesc cutoff-ul</x:v>
      </x:c>
    </x:row>
  </x:sheetData>
  <x:mergeCells>
    <x:mergeCell ref="A1:F1"/>
  </x:mergeCells>
  <x:dataValidations count="10">
    <x:dataValidation type="decimal" operator="between" sqref="B12:C12">
      <x:formula1>0</x:formula1>
      <x:formula2>1</x:formula2>
    </x:dataValidation>
    <x:dataValidation type="decimal" operator="between" sqref="B13:C13">
      <x:formula1>0</x:formula1>
      <x:formula2>1</x:formula2>
    </x:dataValidation>
    <x:dataValidation type="decimal" operator="between" sqref="B14:C14">
      <x:formula1>0</x:formula1>
      <x:formula2>1</x:formula2>
    </x:dataValidation>
    <x:dataValidation type="decimal" operator="between" sqref="B15:C15">
      <x:formula1>0</x:formula1>
      <x:formula2>1</x:formula2>
    </x:dataValidation>
    <x:dataValidation type="decimal" operator="between" sqref="B16:C16">
      <x:formula1>0</x:formula1>
      <x:formula2>1</x:formula2>
    </x:dataValidation>
    <x:dataValidation type="decimal" operator="between" sqref="B17:C17">
      <x:formula1>0</x:formula1>
      <x:formula2>1</x:formula2>
    </x:dataValidation>
    <x:dataValidation type="decimal" operator="between" sqref="B18:C18">
      <x:formula1>0</x:formula1>
      <x:formula2>1</x:formula2>
    </x:dataValidation>
    <x:dataValidation type="decimal" operator="between" sqref="B19:C19">
      <x:formula1>0</x:formula1>
      <x:formula2>1</x:formula2>
    </x:dataValidation>
    <x:dataValidation type="decimal" operator="between" sqref="B32:C32">
      <x:formula1>0</x:formula1>
      <x:formula2>1</x:formula2>
    </x:dataValidation>
    <x:dataValidation type="decimal" operator="between" sqref="B33:C33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34" customWidth="1"/>
    <x:col min="2" max="3" width="18" customWidth="1"/>
    <x:col min="4" max="4" width="28" customWidth="1"/>
    <x:col min="5" max="5" width="25" customWidth="1"/>
    <x:col min="6" max="6" width="35" customWidth="1"/>
  </x:cols>
  <x:sheetData>
    <x:row r="1">
      <x:c r="A1" s="17" t="str">
        <x:v>BTTS optimizat_v2 – context și disponibilitate</x:v>
      </x:c>
      <x:c r="B1" s="18"/>
      <x:c r="C1" s="18"/>
      <x:c r="D1" s="18"/>
      <x:c r="E1" s="18"/>
      <x:c r="F1" s="18"/>
    </x:row>
    <x:row r="2" ht="15">
      <x:c r="A2" s="1" t="s">
        <x:v>54</x:v>
      </x:c>
      <x:c r="B2" s="1" t="s">
        <x:v>1</x:v>
      </x:c>
      <x:c r="C2" s="1" t="s">
        <x:v>2</x:v>
      </x:c>
      <x:c r="D2" s="1" t="s">
        <x:v>55</x:v>
      </x:c>
      <x:c r="E2" s="1" t="s">
        <x:v>56</x:v>
      </x:c>
      <x:c r="F2" s="1" t="s">
        <x:v>57</x:v>
      </x:c>
    </x:row>
    <x:row r="3" ht="42.75">
      <x:c r="A3" s="2" t="s">
        <x:v>58</x:v>
      </x:c>
      <x:c r="B3" s="3" t="s">
        <x:v>59</x:v>
      </x:c>
      <x:c r="C3" s="3"/>
      <x:c r="D3" s="2" t="s">
        <x:v>60</x:v>
      </x:c>
      <x:c r="E3" s="2" t="s">
        <x:v>61</x:v>
      </x:c>
      <x:c r="F3" s="2"/>
    </x:row>
    <x:row r="4">
      <x:c r="A4" s="2" t="s">
        <x:v>62</x:v>
      </x:c>
      <x:c r="B4" s="3"/>
      <x:c r="C4" s="3"/>
      <x:c r="D4" s="2" t="s">
        <x:v>63</x:v>
      </x:c>
      <x:c r="E4" s="2" t="s">
        <x:v>64</x:v>
      </x:c>
      <x:c r="F4" s="2"/>
    </x:row>
    <x:row r="5">
      <x:c r="A5" s="2" t="s">
        <x:v>65</x:v>
      </x:c>
      <x:c r="B5" s="3">
        <x:v>0</x:v>
      </x:c>
      <x:c r="C5" s="3">
        <x:v>0</x:v>
      </x:c>
      <x:c r="D5" s="2" t="s">
        <x:v>66</x:v>
      </x:c>
      <x:c r="E5" s="2" t="s">
        <x:v>67</x:v>
      </x:c>
      <x:c r="F5" s="2" t="s">
        <x:v>68</x:v>
      </x:c>
    </x:row>
    <x:row r="6">
      <x:c r="A6" s="2" t="s">
        <x:v>69</x:v>
      </x:c>
      <x:c r="B6" s="3">
        <x:v>0</x:v>
      </x:c>
      <x:c r="C6" s="3">
        <x:v>0</x:v>
      </x:c>
      <x:c r="D6" s="2" t="s">
        <x:v>66</x:v>
      </x:c>
      <x:c r="E6" s="2" t="s">
        <x:v>70</x:v>
      </x:c>
      <x:c r="F6" s="2"/>
    </x:row>
    <x:row r="7">
      <x:c r="A7" s="2" t="s">
        <x:v>71</x:v>
      </x:c>
      <x:c r="B7" s="3">
        <x:v>0</x:v>
      </x:c>
      <x:c r="C7" s="3">
        <x:v>0</x:v>
      </x:c>
      <x:c r="D7" s="2" t="s">
        <x:v>66</x:v>
      </x:c>
      <x:c r="E7" s="2" t="s">
        <x:v>70</x:v>
      </x:c>
      <x:c r="F7" s="2"/>
    </x:row>
    <x:row r="8">
      <x:c r="A8" s="2" t="s">
        <x:v>72</x:v>
      </x:c>
      <x:c r="B8" s="3">
        <x:v>0</x:v>
      </x:c>
      <x:c r="C8" s="3">
        <x:v>0</x:v>
      </x:c>
      <x:c r="D8" s="2" t="s">
        <x:v>66</x:v>
      </x:c>
      <x:c r="E8" s="2" t="s">
        <x:v>73</x:v>
      </x:c>
      <x:c r="F8" s="2"/>
    </x:row>
    <x:row r="9">
      <x:c r="A9" s="2" t="s">
        <x:v>74</x:v>
      </x:c>
      <x:c r="B9" s="3">
        <x:v>0</x:v>
      </x:c>
      <x:c r="C9" s="3">
        <x:v>0</x:v>
      </x:c>
      <x:c r="D9" s="2" t="s">
        <x:v>66</x:v>
      </x:c>
      <x:c r="E9" s="2" t="s">
        <x:v>75</x:v>
      </x:c>
      <x:c r="F9" s="2"/>
    </x:row>
    <x:row r="10">
      <x:c r="A10" s="2" t="s">
        <x:v>76</x:v>
      </x:c>
      <x:c r="B10" s="3">
        <x:v>0</x:v>
      </x:c>
      <x:c r="C10" s="3">
        <x:v>0</x:v>
      </x:c>
      <x:c r="D10" s="2" t="s">
        <x:v>66</x:v>
      </x:c>
      <x:c r="E10" s="2" t="s">
        <x:v>75</x:v>
      </x:c>
      <x:c r="F10" s="2"/>
    </x:row>
    <x:row r="11">
      <x:c r="A11" s="2" t="s">
        <x:v>77</x:v>
      </x:c>
      <x:c r="B11" s="3">
        <x:v>0</x:v>
      </x:c>
      <x:c r="C11" s="3">
        <x:v>0</x:v>
      </x:c>
      <x:c r="D11" s="2" t="s">
        <x:v>78</x:v>
      </x:c>
      <x:c r="E11" s="2" t="s">
        <x:v>75</x:v>
      </x:c>
      <x:c r="F11" s="2"/>
    </x:row>
    <x:row r="12">
      <x:c r="A12" s="2" t="s">
        <x:v>79</x:v>
      </x:c>
      <x:c r="B12" s="3">
        <x:v>0</x:v>
      </x:c>
      <x:c r="C12" s="3">
        <x:v>0</x:v>
      </x:c>
      <x:c r="D12" s="2" t="s">
        <x:v>66</x:v>
      </x:c>
      <x:c r="E12" s="2" t="s">
        <x:v>80</x:v>
      </x:c>
      <x:c r="F12" s="2"/>
    </x:row>
    <x:row r="13">
      <x:c r="A13" s="2" t="s">
        <x:v>81</x:v>
      </x:c>
      <x:c r="B13" s="3">
        <x:v>0</x:v>
      </x:c>
      <x:c r="C13" s="3">
        <x:v>0</x:v>
      </x:c>
      <x:c r="D13" s="2" t="s">
        <x:v>66</x:v>
      </x:c>
      <x:c r="E13" s="2" t="s">
        <x:v>80</x:v>
      </x:c>
      <x:c r="F13" s="2"/>
    </x:row>
    <x:row r="14">
      <x:c r="A14" s="2" t="s">
        <x:v>82</x:v>
      </x:c>
      <x:c r="B14" s="3">
        <x:v>0</x:v>
      </x:c>
      <x:c r="C14" s="3">
        <x:v>0</x:v>
      </x:c>
      <x:c r="D14" s="2" t="s">
        <x:v>66</x:v>
      </x:c>
      <x:c r="E14" s="2" t="s">
        <x:v>83</x:v>
      </x:c>
      <x:c r="F14" s="2"/>
    </x:row>
    <x:row r="15">
      <x:c r="A15" s="2" t="s">
        <x:v>84</x:v>
      </x:c>
      <x:c r="B15" s="3">
        <x:v>0</x:v>
      </x:c>
      <x:c r="C15" s="3">
        <x:v>0</x:v>
      </x:c>
      <x:c r="D15" s="2" t="s">
        <x:v>66</x:v>
      </x:c>
      <x:c r="E15" s="2" t="s">
        <x:v>85</x:v>
      </x:c>
      <x:c r="F15" s="2"/>
    </x:row>
    <x:row r="16">
      <x:c r="A16" s="2" t="s">
        <x:v>86</x:v>
      </x:c>
      <x:c r="B16" s="3">
        <x:v>0</x:v>
      </x:c>
      <x:c r="C16" s="3">
        <x:v>0</x:v>
      </x:c>
      <x:c r="D16" s="2" t="s">
        <x:v>66</x:v>
      </x:c>
      <x:c r="E16" s="2" t="s">
        <x:v>85</x:v>
      </x:c>
      <x:c r="F16" s="2"/>
    </x:row>
    <x:row r="17">
      <x:c r="A17" s="2" t="s">
        <x:v>87</x:v>
      </x:c>
      <x:c r="B17" s="3">
        <x:v>0</x:v>
      </x:c>
      <x:c r="C17" s="3">
        <x:v>0</x:v>
      </x:c>
      <x:c r="D17" s="2" t="s">
        <x:v>88</x:v>
      </x:c>
      <x:c r="E17" s="2" t="s">
        <x:v>89</x:v>
      </x:c>
      <x:c r="F17" s="2"/>
    </x:row>
    <x:row r="18">
      <x:c r="A18" s="2" t="s">
        <x:v>90</x:v>
      </x:c>
      <x:c r="B18" s="3"/>
      <x:c r="C18" s="3"/>
      <x:c r="D18" s="2" t="s">
        <x:v>91</x:v>
      </x:c>
      <x:c r="E18" s="2" t="s">
        <x:v>92</x:v>
      </x:c>
      <x:c r="F18" s="2"/>
    </x:row>
    <x:row r="19">
      <x:c r="A19" s="2" t="s">
        <x:v>93</x:v>
      </x:c>
      <x:c r="B19" s="3"/>
      <x:c r="C19" s="3"/>
      <x:c r="D19" s="2" t="s">
        <x:v>94</x:v>
      </x:c>
      <x:c r="E19" s="2" t="s">
        <x:v>67</x:v>
      </x:c>
      <x:c r="F19" s="2"/>
    </x:row>
    <x:row r="20">
      <x:c r="A20" s="2" t="s">
        <x:v>95</x:v>
      </x:c>
      <x:c r="B20" s="3">
        <x:v>0</x:v>
      </x:c>
      <x:c r="C20" s="3">
        <x:v>0</x:v>
      </x:c>
      <x:c r="D20" s="2" t="s">
        <x:v>78</x:v>
      </x:c>
      <x:c r="E20" s="2" t="s">
        <x:v>96</x:v>
      </x:c>
      <x:c r="F20" s="2"/>
    </x:row>
    <x:row r="21">
      <x:c r="A21" s="2"/>
      <x:c r="B21" s="2"/>
      <x:c r="C21" s="2"/>
      <x:c r="D21" s="2"/>
      <x:c r="E21" s="2"/>
      <x:c r="F21" s="2"/>
    </x:row>
    <x:row r="22" ht="36" customHeight="1">
      <x:c r="A22" s="64" t="str">
        <x:v>Official XI</x:v>
      </x:c>
      <x:c r="B22" s="222" t="str">
        <x:v>PENDING OFFICIAL</x:v>
      </x:c>
      <x:c r="C22" s="64"/>
      <x:c r="D22" s="64" t="str">
        <x:v>Status</x:v>
      </x:c>
      <x:c r="E22" s="64" t="str">
        <x:v>Nu blochează DEFENSIV</x:v>
      </x:c>
      <x:c r="F22" s="64"/>
    </x:row>
    <x:row r="23" ht="36" customHeight="1">
      <x:c r="A23" s="64" t="str">
        <x:v>Refresh XI planificat</x:v>
      </x:c>
      <x:c r="B23" s="223"/>
      <x:c r="C23" s="64"/>
      <x:c r="D23" s="64" t="str">
        <x:v>dată</x:v>
      </x:c>
      <x:c r="E23" s="64" t="str">
        <x:v>T-75/T-60</x:v>
      </x:c>
      <x:c r="F23" s="64"/>
    </x:row>
    <x:row r="24" ht="36" customHeight="1">
      <x:c r="A24" s="64" t="str">
        <x:v>Evaluare context</x:v>
      </x:c>
      <x:c r="B24" s="222" t="str">
        <x:v>AVAILABLE – NOT CHECKED</x:v>
      </x:c>
      <x:c r="C24" s="64"/>
      <x:c r="D24" s="64" t="str">
        <x:v>Status</x:v>
      </x:c>
      <x:c r="E24" s="64" t="str">
        <x:v>VERIFIED după verificare</x:v>
      </x:c>
      <x:c r="F24" s="64"/>
    </x:row>
    <x:row r="25" ht="36" customHeight="1">
      <x:c r="A25" s="64" t="str">
        <x:v>Sursă XI / absențe</x:v>
      </x:c>
      <x:c r="B25" s="222"/>
      <x:c r="C25" s="64"/>
      <x:c r="D25" s="64" t="str">
        <x:v>URL</x:v>
      </x:c>
      <x:c r="E25" s="64" t="str">
        <x:v>Sursă factuală</x:v>
      </x:c>
      <x:c r="F25" s="64"/>
    </x:row>
    <x:row r="26" ht="36" customHeight="1">
      <x:c r="A26" s="64" t="str">
        <x:v>Sursă evaluare context</x:v>
      </x:c>
      <x:c r="B26" s="222"/>
      <x:c r="C26" s="64"/>
      <x:c r="D26" s="64" t="str">
        <x:v>URL</x:v>
      </x:c>
      <x:c r="E26" s="64" t="str">
        <x:v>Necesară pentru context VERIFIED</x:v>
      </x:c>
      <x:c r="F26" s="64"/>
    </x:row>
    <x:row r="27" ht="36" customHeight="1">
      <x:c r="A27" s="64" t="str">
        <x:v>Cutoff context</x:v>
      </x:c>
      <x:c r="B27" s="223"/>
      <x:c r="C27" s="64"/>
      <x:c r="D27" s="64" t="str">
        <x:v>dată</x:v>
      </x:c>
      <x:c r="E27" s="64" t="str">
        <x:v>Anterior cutoff-ului analizei</x:v>
      </x:c>
      <x:c r="F27" s="64"/>
    </x:row>
    <x:row r="28" ht="36" customHeight="1">
      <x:c r="A28" s="64" t="str">
        <x:v>Context verificat</x:v>
      </x:c>
      <x:c r="B28" s="64" t="str">
        <x:f>IF(AND(B24="VERIFIED",B26&lt;&gt;"",ISNUMBER(B27),ISNUMBER('1_Statistici'!B36),B27&lt;='1_Statistici'!B36),"VERIFIED","AVAILABLE – NOT CHECKED")</x:f>
        <x:v>AVAILABLE – NOT CHECKED</x:v>
      </x:c>
      <x:c r="C28" s="64"/>
      <x:c r="D28" s="64" t="str">
        <x:v>calcul</x:v>
      </x:c>
      <x:c r="E28" s="64" t="str">
        <x:v>Controlează folosirea factorilor</x:v>
      </x:c>
      <x:c r="F28" s="64"/>
    </x:row>
    <x:row r="29" ht="36" customHeight="1">
      <x:c r="A29" s="64" t="str">
        <x:v>Haircut marginal PRE-XI</x:v>
      </x:c>
      <x:c r="B29" s="84" t="n">
        <x:f>IF(AND(B22="VERIFIED",B25&lt;&gt;""),0,Config_BTTS!B32)</x:f>
        <x:v>0.01</x:v>
      </x:c>
      <x:c r="C29" s="64"/>
      <x:c r="D29" s="64" t="str">
        <x:v>probabilitate</x:v>
      </x:c>
      <x:c r="E29" s="64" t="str">
        <x:v>Soft; fără hard fail</x:v>
      </x:c>
      <x:c r="F29" s="64"/>
    </x:row>
    <x:row r="30" ht="36" customHeight="1">
      <x:c r="A30" s="64" t="str">
        <x:v>Status refresh</x:v>
      </x:c>
      <x:c r="B30" s="64" t="str">
        <x:f>IF(AND(B22="VERIFIED",B25&lt;&gt;""),"FINAL-XI",IF(ISNUMBER(B23),"REFRESH PLANIFICAT","REFRESH DE PLANIFICAT"))</x:f>
        <x:v>REFRESH DE PLANIFICAT</x:v>
      </x:c>
      <x:c r="C30" s="64"/>
      <x:c r="D30" s="64" t="str">
        <x:v>calcul</x:v>
      </x:c>
      <x:c r="E30" s="64" t="str">
        <x:v>Refresh planificat</x:v>
      </x:c>
      <x:c r="F30" s="64"/>
    </x:row>
  </x:sheetData>
  <x:mergeCells>
    <x:mergeCell ref="A1:F1"/>
  </x:mergeCells>
  <x:dataValidations count="2">
    <x:dataValidation type="list" sqref="B22">
      <x:formula1>"PENDING OFFICIAL,VERIFIED"</x:formula1>
    </x:dataValidation>
    <x:dataValidation type="list" sqref="B24">
      <x:formula1>"AVAILABLE – NOT CHECKED,VERIFIED"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47" hidden="0" customWidth="1"/>
    <x:col min="2" max="5" width="16" customWidth="1"/>
    <x:col min="6" max="6" width="34" customWidth="1"/>
    <x:col min="7" max="7" width="35" customWidth="1"/>
    <x:col min="8" max="8" width="20" customWidth="1"/>
  </x:cols>
  <x:sheetData>
    <x:row r="1">
      <x:c r="A1" s="17" t="str">
        <x:v>BTTS optimizat_v2 – motor unic fără cote / EV</x:v>
      </x:c>
      <x:c r="B1" s="18"/>
      <x:c r="C1" s="18"/>
      <x:c r="D1" s="18"/>
      <x:c r="E1" s="18"/>
      <x:c r="F1" s="18"/>
      <x:c r="G1" s="18"/>
      <x:c r="H1" s="18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19" t="s">
        <x:v>97</x:v>
      </x:c>
      <x:c r="B3" s="18"/>
      <x:c r="C3" s="18"/>
      <x:c r="D3" s="18"/>
      <x:c r="E3" s="18"/>
      <x:c r="F3" s="18"/>
      <x:c r="G3" s="18"/>
      <x:c r="H3" s="18"/>
    </x:row>
    <x:row r="4" ht="32" customHeight="1">
      <x:c r="A4" s="1" t="s">
        <x:v>98</x:v>
      </x:c>
      <x:c r="B4" s="1" t="s">
        <x:v>99</x:v>
      </x:c>
      <x:c r="C4" s="1" t="s">
        <x:v>100</x:v>
      </x:c>
      <x:c r="D4" s="1" t="s">
        <x:v>101</x:v>
      </x:c>
      <x:c r="E4" s="1" t="s">
        <x:v>102</x:v>
      </x:c>
      <x:c r="F4" s="1" t="s">
        <x:v>103</x:v>
      </x:c>
      <x:c r="G4" s="1" t="s">
        <x:v>104</x:v>
      </x:c>
      <x:c r="H4" s="79" t="str">
        <x:v>Pondere activă H</x:v>
      </x:c>
      <x:c r="I4" s="64" t="str">
        <x:v>Pondere activă A</x:v>
      </x:c>
    </x:row>
    <x:row r="5" ht="32" customHeight="1">
      <x:c r="A5" s="2" t="s">
        <x:v>105</x:v>
      </x:c>
      <x:c r="B5" s="2" t="str">
        <x:f>IF(BTTS_Prior_v5!$B$46&lt;&gt;"PASS","",BTTS_Prior_v5!P6)</x:f>
      </x:c>
      <x:c r="C5" s="2" t="str">
        <x:f>IF(BTTS_Prior_v5!$B$46&lt;&gt;"PASS","",BTTS_Prior_v5!P24)</x:f>
      </x:c>
      <x:c r="D5" s="7">
        <x:v>0.3</x:v>
      </x:c>
      <x:c r="E5" s="2" t="str">
        <x:f t="shared" ref="E5:E10" si="0">IF(BTTS_Prior_v5!$B$46&lt;&gt;"PASS","",IF(ISNUMBER(B5),B5*D5,0))</x:f>
      </x:c>
      <x:c r="F5" s="2" t="str">
        <x:f t="shared" ref="F5:F10" si="1">IF(BTTS_Prior_v5!$B$46&lt;&gt;"PASS","",IF(ISNUMBER(C5),C5*D5,0))</x:f>
      </x:c>
      <x:c r="G5" s="2" t="s">
        <x:v>106</x:v>
      </x:c>
      <x:c r="H5" s="64" t="str">
        <x:f>IF(BTTS_Prior_v5!$B$46&lt;&gt;"PASS","",IF(ISNUMBER(B5),D5,0))</x:f>
      </x:c>
      <x:c r="I5" s="64" t="str">
        <x:f>IF(BTTS_Prior_v5!$B$46&lt;&gt;"PASS","",IF(ISNUMBER(C5),D5,0))</x:f>
      </x:c>
    </x:row>
    <x:row r="6" ht="32" customHeight="1">
      <x:c r="A6" s="2" t="s">
        <x:v>107</x:v>
      </x:c>
      <x:c r="B6" s="2" t="str">
        <x:f>IF(BTTS_Prior_v5!$B$46&lt;&gt;"PASS","",BTTS_Prior_v5!P25)</x:f>
      </x:c>
      <x:c r="C6" s="2" t="str">
        <x:f>IF(BTTS_Prior_v5!$B$46&lt;&gt;"PASS","",BTTS_Prior_v5!P7)</x:f>
      </x:c>
      <x:c r="D6" s="7">
        <x:v>0.3</x:v>
      </x:c>
      <x:c r="E6" s="2" t="str">
        <x:f t="shared" si="0">IF(BTTS_Prior_v5!$B$46&lt;&gt;"PASS","",IF(ISNUMBER(B6),B6*D6,0))</x:f>
      </x:c>
      <x:c r="F6" s="2" t="str">
        <x:f t="shared" si="1">IF(BTTS_Prior_v5!$B$46&lt;&gt;"PASS","",IF(ISNUMBER(C6),C6*D6,0))</x:f>
      </x:c>
      <x:c r="G6" s="2" t="s">
        <x:v>108</x:v>
      </x:c>
      <x:c r="H6" s="64" t="str">
        <x:f>IF(BTTS_Prior_v5!$B$46&lt;&gt;"PASS","",IF(ISNUMBER(B6),D6,0))</x:f>
      </x:c>
      <x:c r="I6" s="64" t="str">
        <x:f>IF(BTTS_Prior_v5!$B$46&lt;&gt;"PASS","",IF(ISNUMBER(C6),D6,0))</x:f>
      </x:c>
    </x:row>
    <x:row r="7" ht="32" customHeight="1">
      <x:c r="A7" s="2" t="s">
        <x:v>45</x:v>
      </x:c>
      <x:c r="B7" s="2" t="str">
        <x:f>IF(BTTS_Prior_v5!$B$46&lt;&gt;"PASS","",BTTS_Prior_v5!P18)</x:f>
      </x:c>
      <x:c r="C7" s="2" t="str">
        <x:f>IF(BTTS_Prior_v5!$B$46&lt;&gt;"PASS","",BTTS_Prior_v5!P36)</x:f>
      </x:c>
      <x:c r="D7" s="7">
        <x:v>0.15</x:v>
      </x:c>
      <x:c r="E7" s="2" t="str">
        <x:f t="shared" si="0">IF(BTTS_Prior_v5!$B$46&lt;&gt;"PASS","",IF(ISNUMBER(B7),B7*D7,0))</x:f>
      </x:c>
      <x:c r="F7" s="2" t="str">
        <x:f t="shared" si="1">IF(BTTS_Prior_v5!$B$46&lt;&gt;"PASS","",IF(ISNUMBER(C7),C7*D7,0))</x:f>
      </x:c>
      <x:c r="G7" s="2" t="s">
        <x:v>109</x:v>
      </x:c>
      <x:c r="H7" s="64" t="str">
        <x:f>IF(BTTS_Prior_v5!$B$46&lt;&gt;"PASS","",IF(ISNUMBER(B7),D7,0))</x:f>
      </x:c>
      <x:c r="I7" s="64" t="str">
        <x:f>IF(BTTS_Prior_v5!$B$46&lt;&gt;"PASS","",IF(ISNUMBER(C7),D7,0))</x:f>
      </x:c>
    </x:row>
    <x:row r="8" ht="32" customHeight="1">
      <x:c r="A8" s="2" t="s">
        <x:v>110</x:v>
      </x:c>
      <x:c r="B8" s="2" t="str">
        <x:f>IF(BTTS_Prior_v5!$B$46&lt;&gt;"PASS","",BTTS_Prior_v5!P37)</x:f>
      </x:c>
      <x:c r="C8" s="2" t="str">
        <x:f>IF(BTTS_Prior_v5!$B$46&lt;&gt;"PASS","",BTTS_Prior_v5!P19)</x:f>
      </x:c>
      <x:c r="D8" s="7">
        <x:v>0.1</x:v>
      </x:c>
      <x:c r="E8" s="2" t="str">
        <x:f t="shared" si="0">IF(BTTS_Prior_v5!$B$46&lt;&gt;"PASS","",IF(ISNUMBER(B8),B8*D8,0))</x:f>
      </x:c>
      <x:c r="F8" s="2" t="str">
        <x:f t="shared" si="1">IF(BTTS_Prior_v5!$B$46&lt;&gt;"PASS","",IF(ISNUMBER(C8),C8*D8,0))</x:f>
      </x:c>
      <x:c r="G8" s="2" t="s">
        <x:v>111</x:v>
      </x:c>
      <x:c r="H8" s="64" t="str">
        <x:f>IF(BTTS_Prior_v5!$B$46&lt;&gt;"PASS","",IF(ISNUMBER(B8),D8,0))</x:f>
      </x:c>
      <x:c r="I8" s="64" t="str">
        <x:f>IF(BTTS_Prior_v5!$B$46&lt;&gt;"PASS","",IF(ISNUMBER(C8),D8,0))</x:f>
      </x:c>
    </x:row>
    <x:row r="9" ht="32" customHeight="1">
      <x:c r="A9" s="2" t="s">
        <x:v>20</x:v>
      </x:c>
      <x:c r="B9" s="2" t="str">
        <x:f>IF(BTTS_Prior_v5!$B$46&lt;&gt;"PASS","",BTTS_Prior_v5!P4)</x:f>
      </x:c>
      <x:c r="C9" s="2" t="str">
        <x:f>IF(BTTS_Prior_v5!$B$46&lt;&gt;"PASS","",BTTS_Prior_v5!P22)</x:f>
      </x:c>
      <x:c r="D9" s="7">
        <x:v>7.4999999999999997E-2</x:v>
      </x:c>
      <x:c r="E9" s="2" t="str">
        <x:f t="shared" si="0">IF(BTTS_Prior_v5!$B$46&lt;&gt;"PASS","",IF(ISNUMBER(B9),B9*D9,0))</x:f>
      </x:c>
      <x:c r="F9" s="2" t="str">
        <x:f t="shared" si="1">IF(BTTS_Prior_v5!$B$46&lt;&gt;"PASS","",IF(ISNUMBER(C9),C9*D9,0))</x:f>
      </x:c>
      <x:c r="G9" s="2" t="s">
        <x:v>112</x:v>
      </x:c>
      <x:c r="H9" s="64" t="str">
        <x:f>IF(BTTS_Prior_v5!$B$46&lt;&gt;"PASS","",IF(ISNUMBER(B9),D9,0))</x:f>
      </x:c>
      <x:c r="I9" s="64" t="str">
        <x:f>IF(BTTS_Prior_v5!$B$46&lt;&gt;"PASS","",IF(ISNUMBER(C9),D9,0))</x:f>
      </x:c>
    </x:row>
    <x:row r="10" ht="32" customHeight="1">
      <x:c r="A10" s="2" t="s">
        <x:v>113</x:v>
      </x:c>
      <x:c r="B10" s="2" t="str">
        <x:f>IF(BTTS_Prior_v5!$B$46&lt;&gt;"PASS","",BTTS_Prior_v5!P23)</x:f>
      </x:c>
      <x:c r="C10" s="2" t="str">
        <x:f>IF(BTTS_Prior_v5!$B$46&lt;&gt;"PASS","",BTTS_Prior_v5!P5)</x:f>
      </x:c>
      <x:c r="D10" s="7">
        <x:v>7.4999999999999997E-2</x:v>
      </x:c>
      <x:c r="E10" s="2" t="str">
        <x:f t="shared" si="0">IF(BTTS_Prior_v5!$B$46&lt;&gt;"PASS","",IF(ISNUMBER(B10),B10*D10,0))</x:f>
      </x:c>
      <x:c r="F10" s="2" t="str">
        <x:f t="shared" si="1">IF(BTTS_Prior_v5!$B$46&lt;&gt;"PASS","",IF(ISNUMBER(C10),C10*D10,0))</x:f>
      </x:c>
      <x:c r="G10" s="2" t="s">
        <x:v>112</x:v>
      </x:c>
      <x:c r="H10" s="64" t="str">
        <x:f>IF(BTTS_Prior_v5!$B$46&lt;&gt;"PASS","",IF(ISNUMBER(B10),D10,0))</x:f>
      </x:c>
      <x:c r="I10" s="64" t="str">
        <x:f>IF(BTTS_Prior_v5!$B$46&lt;&gt;"PASS","",IF(ISNUMBER(C10),D10,0))</x:f>
      </x:c>
    </x:row>
    <x:row r="11">
      <x:c r="A11" s="2" t="s">
        <x:v>114</x:v>
      </x:c>
      <x:c r="B11" s="2" t="str">
        <x:f>IF(BTTS_Prior_v5!$B$46&lt;&gt;"PASS","",SUM(E5:E10)/SUM(H5:H10))</x:f>
      </x:c>
      <x:c r="C11" s="2" t="str">
        <x:f>IF(BTTS_Prior_v5!$B$46&lt;&gt;"PASS","",SUM(F5:F10)/SUM(I5:I10))</x:f>
      </x:c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19" t="s">
        <x:v>115</x:v>
      </x:c>
      <x:c r="B13" s="18"/>
      <x:c r="C13" s="18"/>
      <x:c r="D13" s="18"/>
      <x:c r="E13" s="18"/>
      <x:c r="F13" s="18"/>
      <x:c r="G13" s="18"/>
      <x:c r="H13" s="18"/>
    </x:row>
    <x:row r="14" ht="15">
      <x:c r="A14" s="1" t="s">
        <x:v>116</x:v>
      </x:c>
      <x:c r="B14" s="1" t="s">
        <x:v>1</x:v>
      </x:c>
      <x:c r="C14" s="1" t="s">
        <x:v>2</x:v>
      </x:c>
      <x:c r="D14" s="1" t="s">
        <x:v>117</x:v>
      </x:c>
      <x:c r="E14" s="1" t="s">
        <x:v>118</x:v>
      </x:c>
      <x:c r="F14" s="1" t="s">
        <x:v>119</x:v>
      </x:c>
      <x:c r="G14" s="1" t="s">
        <x:v>120</x:v>
      </x:c>
      <x:c r="H14" s="1" t="s">
        <x:v>121</x:v>
      </x:c>
    </x:row>
    <x:row r="15">
      <x:c r="A15" s="2" t="s">
        <x:v>122</x:v>
      </x:c>
      <x:c r="B15" s="2" t="str">
        <x:f>IF(BTTS_Prior_v5!$B$46&lt;&gt;"PASS","",IF('2_Context'!B28="VERIFIED",IF(ISNUMBER('2_Context'!B5),MAX(-2,MIN(2,'2_Context'!B5)),0),0))</x:f>
      </x:c>
      <x:c r="C15" s="2" t="str">
        <x:f>IF(BTTS_Prior_v5!$B$46&lt;&gt;"PASS","",IF('2_Context'!B28="VERIFIED",IF(ISNUMBER('2_Context'!C5),MAX(-2,MIN(2,'2_Context'!C5)),0),0))</x:f>
      </x:c>
      <x:c r="D15" s="2">
        <x:v>0.04</x:v>
      </x:c>
      <x:c r="E15" s="2" t="str">
        <x:f t="shared" ref="E15:E28" si="2">IF(BTTS_Prior_v5!$B$46&lt;&gt;"PASS","",B15*D15)</x:f>
      </x:c>
      <x:c r="F15" s="2" t="str">
        <x:f t="shared" ref="F15:F28" si="3">IF(BTTS_Prior_v5!$B$46&lt;&gt;"PASS","",C15*D15)</x:f>
      </x:c>
      <x:c r="G15" s="2" t="s">
        <x:v>123</x:v>
      </x:c>
      <x:c r="H15" s="2"/>
    </x:row>
    <x:row r="16">
      <x:c r="A16" s="2" t="s">
        <x:v>124</x:v>
      </x:c>
      <x:c r="B16" s="2" t="str">
        <x:f>IF(BTTS_Prior_v5!$B$46&lt;&gt;"PASS","",IF('2_Context'!B28="VERIFIED",IF(ISNUMBER('2_Context'!B6),MAX(-2,MIN(2,'2_Context'!B6)),0),0))</x:f>
      </x:c>
      <x:c r="C16" s="2" t="str">
        <x:f>IF(BTTS_Prior_v5!$B$46&lt;&gt;"PASS","",IF('2_Context'!B28="VERIFIED",IF(ISNUMBER('2_Context'!C6),MAX(-2,MIN(2,'2_Context'!C6)),0),0))</x:f>
      </x:c>
      <x:c r="D16" s="2">
        <x:v>3.5000000000000003E-2</x:v>
      </x:c>
      <x:c r="E16" s="2">
        <x:f t="shared" si="2"/>
        <x:v>0</x:v>
      </x:c>
      <x:c r="F16" s="2">
        <x:f t="shared" si="3"/>
        <x:v>0</x:v>
      </x:c>
      <x:c r="G16" s="2" t="s">
        <x:v>125</x:v>
      </x:c>
      <x:c r="H16" s="2"/>
    </x:row>
    <x:row r="17">
      <x:c r="A17" s="2" t="s">
        <x:v>126</x:v>
      </x:c>
      <x:c r="B17" s="2" t="str">
        <x:f>IF(BTTS_Prior_v5!$B$46&lt;&gt;"PASS","",IF('2_Context'!B28="VERIFIED",IF(ISNUMBER('2_Context'!B7),MAX(-2,MIN(2,'2_Context'!B7)),0),0))</x:f>
      </x:c>
      <x:c r="C17" s="2" t="str">
        <x:f>IF(BTTS_Prior_v5!$B$46&lt;&gt;"PASS","",IF('2_Context'!B28="VERIFIED",IF(ISNUMBER('2_Context'!C7),MAX(-2,MIN(2,'2_Context'!C7)),0),0))</x:f>
      </x:c>
      <x:c r="D17" s="2">
        <x:v>2.5000000000000001E-2</x:v>
      </x:c>
      <x:c r="E17" s="2">
        <x:f t="shared" si="2"/>
        <x:v>0</x:v>
      </x:c>
      <x:c r="F17" s="2">
        <x:f t="shared" si="3"/>
        <x:v>0</x:v>
      </x:c>
      <x:c r="G17" s="2" t="s">
        <x:v>127</x:v>
      </x:c>
      <x:c r="H17" s="2"/>
    </x:row>
    <x:row r="18">
      <x:c r="A18" s="2" t="s">
        <x:v>128</x:v>
      </x:c>
      <x:c r="B18" s="2" t="str">
        <x:f>IF(BTTS_Prior_v5!$B$46&lt;&gt;"PASS","",IF('2_Context'!B28="VERIFIED",IF(ISNUMBER('2_Context'!B8),MAX(-2,MIN(2,'2_Context'!B8)),0),0))</x:f>
      </x:c>
      <x:c r="C18" s="2" t="str">
        <x:f>IF(BTTS_Prior_v5!$B$46&lt;&gt;"PASS","",IF('2_Context'!B28="VERIFIED",IF(ISNUMBER('2_Context'!C8),MAX(-2,MIN(2,'2_Context'!C8)),0),0))</x:f>
      </x:c>
      <x:c r="D18" s="2">
        <x:v>-2.5000000000000001E-2</x:v>
      </x:c>
      <x:c r="E18" s="2">
        <x:f t="shared" si="2"/>
        <x:v>0</x:v>
      </x:c>
      <x:c r="F18" s="2">
        <x:f t="shared" si="3"/>
        <x:v>0</x:v>
      </x:c>
      <x:c r="G18" s="2" t="s">
        <x:v>129</x:v>
      </x:c>
      <x:c r="H18" s="2"/>
    </x:row>
    <x:row r="19">
      <x:c r="A19" s="2" t="s">
        <x:v>130</x:v>
      </x:c>
      <x:c r="B19" s="2" t="str">
        <x:f>IF(BTTS_Prior_v5!$B$46&lt;&gt;"PASS","",IF('2_Context'!B28="VERIFIED",IF(ISNUMBER('2_Context'!B9),MAX(-2,MIN(2,'2_Context'!B9)),0),0))</x:f>
      </x:c>
      <x:c r="C19" s="2" t="str">
        <x:f>IF(BTTS_Prior_v5!$B$46&lt;&gt;"PASS","",IF('2_Context'!B28="VERIFIED",IF(ISNUMBER('2_Context'!C9),MAX(-2,MIN(2,'2_Context'!C9)),0),0))</x:f>
      </x:c>
      <x:c r="D19" s="2">
        <x:v>0.04</x:v>
      </x:c>
      <x:c r="E19" s="2">
        <x:f t="shared" si="2"/>
        <x:v>0</x:v>
      </x:c>
      <x:c r="F19" s="2">
        <x:f t="shared" si="3"/>
        <x:v>0</x:v>
      </x:c>
      <x:c r="G19" s="2" t="s">
        <x:v>131</x:v>
      </x:c>
      <x:c r="H19" s="2"/>
    </x:row>
    <x:row r="20">
      <x:c r="A20" s="2" t="s">
        <x:v>132</x:v>
      </x:c>
      <x:c r="B20" s="2" t="str">
        <x:f>IF(BTTS_Prior_v5!$B$46&lt;&gt;"PASS","",IF('2_Context'!B28="VERIFIED",IF(ISNUMBER('2_Context'!B10),MAX(-2,MIN(2,'2_Context'!B10)),0),0))</x:f>
      </x:c>
      <x:c r="C20" s="2" t="str">
        <x:f>IF(BTTS_Prior_v5!$B$46&lt;&gt;"PASS","",IF('2_Context'!B28="VERIFIED",IF(ISNUMBER('2_Context'!C10),MAX(-2,MIN(2,'2_Context'!C10)),0),0))</x:f>
      </x:c>
      <x:c r="D20" s="2">
        <x:v>2.5000000000000001E-2</x:v>
      </x:c>
      <x:c r="E20" s="2">
        <x:f t="shared" si="2"/>
        <x:v>0</x:v>
      </x:c>
      <x:c r="F20" s="2">
        <x:f t="shared" si="3"/>
        <x:v>0</x:v>
      </x:c>
      <x:c r="G20" s="2" t="s">
        <x:v>133</x:v>
      </x:c>
      <x:c r="H20" s="2"/>
    </x:row>
    <x:row r="21">
      <x:c r="A21" s="2" t="s">
        <x:v>134</x:v>
      </x:c>
      <x:c r="B21" s="2" t="str">
        <x:f>IF(BTTS_Prior_v5!$B$46&lt;&gt;"PASS","",IF('2_Context'!B28="VERIFIED",IF(ISNUMBER('2_Context'!B11),MAX(-2,MIN(2,'2_Context'!B11)),0),0))</x:f>
      </x:c>
      <x:c r="C21" s="2" t="str">
        <x:f>IF(BTTS_Prior_v5!$B$46&lt;&gt;"PASS","",IF('2_Context'!B28="VERIFIED",IF(ISNUMBER('2_Context'!C11),MAX(-2,MIN(2,'2_Context'!C11)),0),0))</x:f>
      </x:c>
      <x:c r="D21" s="2">
        <x:v>0.01</x:v>
      </x:c>
      <x:c r="E21" s="2">
        <x:f t="shared" si="2"/>
        <x:v>0</x:v>
      </x:c>
      <x:c r="F21" s="2">
        <x:f t="shared" si="3"/>
        <x:v>0</x:v>
      </x:c>
      <x:c r="G21" s="2" t="s">
        <x:v>135</x:v>
      </x:c>
      <x:c r="H21" s="2"/>
    </x:row>
    <x:row r="22">
      <x:c r="A22" s="2" t="s">
        <x:v>136</x:v>
      </x:c>
      <x:c r="B22" s="2" t="str">
        <x:f>IF(BTTS_Prior_v5!$B$46&lt;&gt;"PASS","",IF('2_Context'!B28="VERIFIED",IF(ISNUMBER('2_Context'!C12),MAX(-2,MIN(2,'2_Context'!C12)),0),0))</x:f>
      </x:c>
      <x:c r="C22" s="2" t="str">
        <x:f>IF(BTTS_Prior_v5!$B$46&lt;&gt;"PASS","",IF('2_Context'!B28="VERIFIED",IF(ISNUMBER('2_Context'!B12),MAX(-2,MIN(2,'2_Context'!B12)),0),0))</x:f>
      </x:c>
      <x:c r="D22" s="2">
        <x:v>3.5000000000000003E-2</x:v>
      </x:c>
      <x:c r="E22" s="2">
        <x:f t="shared" si="2"/>
        <x:v>0</x:v>
      </x:c>
      <x:c r="F22" s="2">
        <x:f t="shared" si="3"/>
        <x:v>0</x:v>
      </x:c>
      <x:c r="G22" s="2" t="s">
        <x:v>137</x:v>
      </x:c>
      <x:c r="H22" s="2"/>
    </x:row>
    <x:row r="23">
      <x:c r="A23" s="2" t="s">
        <x:v>138</x:v>
      </x:c>
      <x:c r="B23" s="2" t="str">
        <x:f>IF(BTTS_Prior_v5!$B$46&lt;&gt;"PASS","",IF('2_Context'!B28="VERIFIED",IF(ISNUMBER('2_Context'!C13),MAX(-2,MIN(2,'2_Context'!C13)),0),0))</x:f>
      </x:c>
      <x:c r="C23" s="2" t="str">
        <x:f>IF(BTTS_Prior_v5!$B$46&lt;&gt;"PASS","",IF('2_Context'!B28="VERIFIED",IF(ISNUMBER('2_Context'!B13),MAX(-2,MIN(2,'2_Context'!B13)),0),0))</x:f>
      </x:c>
      <x:c r="D23" s="2">
        <x:v>2.5000000000000001E-2</x:v>
      </x:c>
      <x:c r="E23" s="2">
        <x:f t="shared" si="2"/>
        <x:v>0</x:v>
      </x:c>
      <x:c r="F23" s="2">
        <x:f t="shared" si="3"/>
        <x:v>0</x:v>
      </x:c>
      <x:c r="G23" s="2" t="s">
        <x:v>139</x:v>
      </x:c>
      <x:c r="H23" s="2"/>
    </x:row>
    <x:row r="24">
      <x:c r="A24" s="2" t="s">
        <x:v>140</x:v>
      </x:c>
      <x:c r="B24" s="2" t="str">
        <x:f>IF(BTTS_Prior_v5!$B$46&lt;&gt;"PASS","",IF('2_Context'!B28="VERIFIED",IF(ISNUMBER('2_Context'!B14),MAX(-2,MIN(2,'2_Context'!B14)),0),0))</x:f>
      </x:c>
      <x:c r="C24" s="2" t="str">
        <x:f>IF(BTTS_Prior_v5!$B$46&lt;&gt;"PASS","",IF('2_Context'!B28="VERIFIED",IF(ISNUMBER('2_Context'!C14),MAX(-2,MIN(2,'2_Context'!C14)),0),0))</x:f>
      </x:c>
      <x:c r="D24" s="2">
        <x:v>-1.4999999999999999E-2</x:v>
      </x:c>
      <x:c r="E24" s="2">
        <x:f t="shared" si="2"/>
        <x:v>0</x:v>
      </x:c>
      <x:c r="F24" s="2">
        <x:f t="shared" si="3"/>
        <x:v>0</x:v>
      </x:c>
      <x:c r="G24" s="2" t="s">
        <x:v>141</x:v>
      </x:c>
      <x:c r="H24" s="2"/>
    </x:row>
    <x:row r="25">
      <x:c r="A25" s="2" t="s">
        <x:v>142</x:v>
      </x:c>
      <x:c r="B25" s="2" t="str">
        <x:f>IF(BTTS_Prior_v5!$B$46&lt;&gt;"PASS","",IF('2_Context'!B28="VERIFIED",IF(ISNUMBER('2_Context'!B15),MAX(-2,MIN(2,'2_Context'!B15)),0),0))</x:f>
      </x:c>
      <x:c r="C25" s="2" t="str">
        <x:f>IF(BTTS_Prior_v5!$B$46&lt;&gt;"PASS","",IF('2_Context'!B28="VERIFIED",IF(ISNUMBER('2_Context'!C15),MAX(-2,MIN(2,'2_Context'!C15)),0),0))</x:f>
      </x:c>
      <x:c r="D25" s="2">
        <x:v>-1.4999999999999999E-2</x:v>
      </x:c>
      <x:c r="E25" s="2">
        <x:f t="shared" si="2"/>
        <x:v>0</x:v>
      </x:c>
      <x:c r="F25" s="2">
        <x:f t="shared" si="3"/>
        <x:v>0</x:v>
      </x:c>
      <x:c r="G25" s="2" t="s">
        <x:v>143</x:v>
      </x:c>
      <x:c r="H25" s="2"/>
    </x:row>
    <x:row r="26">
      <x:c r="A26" s="2" t="s">
        <x:v>144</x:v>
      </x:c>
      <x:c r="B26" s="2" t="str">
        <x:f>IF(BTTS_Prior_v5!$B$46&lt;&gt;"PASS","",IF('2_Context'!B28="VERIFIED",IF(ISNUMBER('2_Context'!B16),MAX(-2,MIN(2,'2_Context'!B16)),0),0))</x:f>
      </x:c>
      <x:c r="C26" s="2" t="str">
        <x:f>IF(BTTS_Prior_v5!$B$46&lt;&gt;"PASS","",IF('2_Context'!B28="VERIFIED",IF(ISNUMBER('2_Context'!C16),MAX(-2,MIN(2,'2_Context'!C16)),0),0))</x:f>
      </x:c>
      <x:c r="D26" s="2">
        <x:v>-0.02</x:v>
      </x:c>
      <x:c r="E26" s="2">
        <x:f t="shared" si="2"/>
        <x:v>0</x:v>
      </x:c>
      <x:c r="F26" s="2">
        <x:f t="shared" si="3"/>
        <x:v>0</x:v>
      </x:c>
      <x:c r="G26" s="2" t="s">
        <x:v>145</x:v>
      </x:c>
      <x:c r="H26" s="2"/>
    </x:row>
    <x:row r="27">
      <x:c r="A27" s="2" t="s">
        <x:v>146</x:v>
      </x:c>
      <x:c r="B27" s="2" t="str">
        <x:f>IF(BTTS_Prior_v5!$B$46&lt;&gt;"PASS","",IF('2_Context'!B28="VERIFIED",IF(ISNUMBER('2_Context'!B17),MAX(-2,MIN(2,'2_Context'!B17)),0),0))</x:f>
      </x:c>
      <x:c r="C27" s="2" t="str">
        <x:f>IF(BTTS_Prior_v5!$B$46&lt;&gt;"PASS","",IF('2_Context'!B28="VERIFIED",IF(ISNUMBER('2_Context'!C17),MAX(-2,MIN(2,'2_Context'!C17)),0),0))</x:f>
      </x:c>
      <x:c r="D27" s="2">
        <x:v>-0.05</x:v>
      </x:c>
      <x:c r="E27" s="2">
        <x:f t="shared" si="2"/>
        <x:v>0</x:v>
      </x:c>
      <x:c r="F27" s="2">
        <x:f t="shared" si="3"/>
        <x:v>0</x:v>
      </x:c>
      <x:c r="G27" s="2" t="s">
        <x:v>147</x:v>
      </x:c>
      <x:c r="H27" s="2"/>
    </x:row>
    <x:row r="28">
      <x:c r="A28" s="2" t="s">
        <x:v>148</x:v>
      </x:c>
      <x:c r="B28" s="2" t="str">
        <x:f>IF(BTTS_Prior_v5!$B$46&lt;&gt;"PASS","",IF('2_Context'!B28="VERIFIED",IF(ISNUMBER('2_Context'!B20),MAX(-2,MIN(2,'2_Context'!B20)),0),0))</x:f>
      </x:c>
      <x:c r="C28" s="2" t="str">
        <x:f>IF(BTTS_Prior_v5!$B$46&lt;&gt;"PASS","",IF('2_Context'!B28="VERIFIED",IF(ISNUMBER('2_Context'!C20),MAX(-2,MIN(2,'2_Context'!C20)),0),0))</x:f>
      </x:c>
      <x:c r="D28" s="2">
        <x:v>0.01</x:v>
      </x:c>
      <x:c r="E28" s="2">
        <x:f t="shared" si="2"/>
        <x:v>0</x:v>
      </x:c>
      <x:c r="F28" s="2">
        <x:f t="shared" si="3"/>
        <x:v>0</x:v>
      </x:c>
      <x:c r="G28" s="2" t="s">
        <x:v>149</x:v>
      </x:c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 t="s">
        <x:v>150</x:v>
      </x:c>
      <x:c r="B30" s="2" t="str">
        <x:f>IF(BTTS_Prior_v5!$B$46&lt;&gt;"PASS","",MAX(0.05,B11*(1+SUM(E15:E28))))</x:f>
      </x:c>
      <x:c r="C30" s="2" t="str">
        <x:f>IF(BTTS_Prior_v5!$B$46&lt;&gt;"PASS","",MAX(0.05,C11*(1+SUM(F15:F28))))</x:f>
      </x:c>
      <x:c r="D30" s="2"/>
      <x:c r="E30" s="2"/>
      <x:c r="F30" s="2"/>
      <x:c r="G30" s="2"/>
      <x:c r="H30" s="2"/>
    </x:row>
    <x:row r="31">
      <x:c r="A31" s="2" t="s">
        <x:v>151</x:v>
      </x:c>
      <x:c r="B31" s="2" t="str">
        <x:f>IF(BTTS_Prior_v5!$B$46&lt;&gt;"PASS","",B30)</x:f>
      </x:c>
      <x:c r="C31" s="2" t="str">
        <x:f>IF(BTTS_Prior_v5!$B$46&lt;&gt;"PASS","",C30)</x:f>
      </x:c>
      <x:c r="D31" s="2"/>
      <x:c r="E31" s="2"/>
      <x:c r="F31" s="2"/>
      <x:c r="G31" s="2"/>
      <x:c r="H31" s="2"/>
    </x:row>
    <x:row r="32">
      <x:c r="A32" s="2" t="s">
        <x:v>152</x:v>
      </x:c>
      <x:c r="B32" s="2" t="str">
        <x:f>IF(BTTS_Prior_v5!$B$46&lt;&gt;"PASS","",B31+C31)</x:f>
      </x:c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19" t="s">
        <x:v>153</x:v>
      </x:c>
      <x:c r="B34" s="18"/>
      <x:c r="C34" s="18"/>
      <x:c r="D34" s="18"/>
      <x:c r="E34" s="18"/>
      <x:c r="F34" s="18"/>
      <x:c r="G34" s="18"/>
      <x:c r="H34" s="18"/>
    </x:row>
    <x:row r="35">
      <x:c r="A35" s="2" t="s">
        <x:v>154</x:v>
      </x:c>
      <x:c r="B35" s="7" t="str">
        <x:f>IF(BTTS_Prior_v5!$B$46&lt;&gt;"PASS","",1-EXP(-B31))</x:f>
      </x:c>
      <x:c r="C35" s="2"/>
      <x:c r="D35" s="2"/>
      <x:c r="E35" s="2"/>
      <x:c r="F35" s="2"/>
      <x:c r="G35" s="2"/>
      <x:c r="H35" s="2"/>
    </x:row>
    <x:row r="36">
      <x:c r="A36" s="2" t="s">
        <x:v>155</x:v>
      </x:c>
      <x:c r="B36" s="7" t="str">
        <x:f>IF(BTTS_Prior_v5!$B$46&lt;&gt;"PASS","",1-EXP(-C31))</x:f>
      </x:c>
      <x:c r="C36" s="2"/>
      <x:c r="D36" s="2"/>
      <x:c r="E36" s="2"/>
      <x:c r="F36" s="2"/>
      <x:c r="G36" s="2"/>
      <x:c r="H36" s="2"/>
    </x:row>
    <x:row r="37">
      <x:c r="A37" s="2" t="s">
        <x:v>156</x:v>
      </x:c>
      <x:c r="B37" s="7" t="str">
        <x:f>IF(BTTS_Prior_v5!$B$46&lt;&gt;"PASS","",B35*B36)</x:f>
      </x:c>
      <x:c r="C37" s="2"/>
      <x:c r="D37" s="2"/>
      <x:c r="E37" s="2"/>
      <x:c r="F37" s="2"/>
      <x:c r="G37" s="2"/>
      <x:c r="H37" s="2"/>
    </x:row>
    <x:row r="38">
      <x:c r="A38" s="2" t="str">
        <x:v>P(0–0) Poisson independent</x:v>
      </x:c>
      <x:c r="B38" s="7" t="str">
        <x:f>IF(BTTS_Prior_v5!$B$46&lt;&gt;"PASS","",EXP(-B31)*EXP(-C31))</x:f>
      </x:c>
      <x:c r="C38" s="2"/>
      <x:c r="D38" s="2"/>
      <x:c r="E38" s="2"/>
      <x:c r="F38" s="2"/>
      <x:c r="G38" s="2"/>
      <x:c r="H38" s="2"/>
    </x:row>
    <x:row r="39">
      <x:c r="A39" s="2" t="str">
        <x:v>P(Gazde 0) Poisson</x:v>
      </x:c>
      <x:c r="B39" s="7" t="str">
        <x:f>IF(BTTS_Prior_v5!$B$46&lt;&gt;"PASS","",EXP(-B31))</x:f>
      </x:c>
      <x:c r="C39" s="2"/>
      <x:c r="D39" s="2"/>
      <x:c r="E39" s="2"/>
      <x:c r="F39" s="2"/>
      <x:c r="G39" s="2"/>
      <x:c r="H39" s="2"/>
    </x:row>
    <x:row r="40">
      <x:c r="A40" s="2" t="str">
        <x:v>P(Oaspeți 0) Poisson</x:v>
      </x:c>
      <x:c r="B40" s="7" t="str">
        <x:f>IF(BTTS_Prior_v5!$B$46&lt;&gt;"PASS","",EXP(-C31))</x:f>
      </x:c>
      <x:c r="C40" s="2"/>
      <x:c r="D40" s="2"/>
      <x:c r="E40" s="2"/>
      <x:c r="F40" s="2"/>
      <x:c r="G40" s="2"/>
      <x:c r="H40" s="2"/>
    </x:row>
    <x:row r="41">
      <x:c r="A41" s="2" t="s">
        <x:v>157</x:v>
      </x:c>
      <x:c r="B41" s="7" t="str">
        <x:f>IF(BTTS_Prior_v5!$B$46&lt;&gt;"PASS","",MIN(B35,B36))</x:f>
      </x:c>
      <x:c r="C41" s="2"/>
      <x:c r="D41" s="2"/>
      <x:c r="E41" s="2"/>
      <x:c r="F41" s="2"/>
      <x:c r="G41" s="2"/>
      <x:c r="H41" s="2"/>
    </x:row>
    <x:row r="42">
      <x:c r="A42" s="2" t="str">
        <x:v>Failure BTTS final = 1 − P ajustată</x:v>
      </x:c>
      <x:c r="B42" s="7" t="str">
        <x:f>IF(BTTS_Prior_v5!$B$46&lt;&gt;"PASS","",1-B90)</x:f>
      </x:c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19" t="s">
        <x:v>158</x:v>
      </x:c>
      <x:c r="B44" s="18"/>
      <x:c r="C44" s="18"/>
      <x:c r="D44" s="18"/>
      <x:c r="E44" s="18"/>
      <x:c r="F44" s="18"/>
      <x:c r="G44" s="18"/>
      <x:c r="H44" s="18"/>
    </x:row>
    <x:row r="45">
      <x:c r="A45" s="2" t="s">
        <x:v>159</x:v>
      </x:c>
      <x:c r="B45" s="7" t="str">
        <x:f>IF(BTTS_Prior_v5!$B$46&lt;&gt;"PASS","",(BTTS_Prior_v5!P8+BTTS_Prior_v5!P27)/2)</x:f>
      </x:c>
      <x:c r="C45" s="2"/>
      <x:c r="D45" s="2"/>
      <x:c r="E45" s="2"/>
      <x:c r="F45" s="2"/>
      <x:c r="G45" s="2"/>
      <x:c r="H45" s="2"/>
    </x:row>
    <x:row r="46">
      <x:c r="A46" s="2" t="s">
        <x:v>160</x:v>
      </x:c>
      <x:c r="B46" s="7" t="str">
        <x:f>IF(BTTS_Prior_v5!$B$46&lt;&gt;"PASS","",(BTTS_Prior_v5!P26+BTTS_Prior_v5!P9)/2)</x:f>
      </x:c>
      <x:c r="C46" s="2"/>
      <x:c r="D46" s="2"/>
      <x:c r="E46" s="2"/>
      <x:c r="F46" s="2"/>
      <x:c r="G46" s="2"/>
      <x:c r="H46" s="2"/>
    </x:row>
    <x:row r="47">
      <x:c r="A47" s="2" t="s">
        <x:v>161</x:v>
      </x:c>
      <x:c r="B47" s="7" t="str">
        <x:f>IF(BTTS_Prior_v5!$B$46&lt;&gt;"PASS","",IF(COUNT(BTTS_Prior_v5!P10,BTTS_Prior_v5!P11,BTTS_Prior_v5!P12,BTTS_Prior_v5!P28,BTTS_Prior_v5!P29,BTTS_Prior_v5!P30)=0,"",AVERAGE(BTTS_Prior_v5!P10,BTTS_Prior_v5!P11,BTTS_Prior_v5!P12,BTTS_Prior_v5!P28,BTTS_Prior_v5!P29,BTTS_Prior_v5!P30)))</x:f>
      </x:c>
      <x:c r="C47" s="2"/>
      <x:c r="D47" s="2"/>
      <x:c r="E47" s="2"/>
      <x:c r="F47" s="2"/>
      <x:c r="G47" s="2"/>
      <x:c r="H47" s="2"/>
    </x:row>
    <x:row r="48">
      <x:c r="A48" s="2" t="s">
        <x:v>162</x:v>
      </x:c>
      <x:c r="B48" s="7" t="str">
        <x:f>IF(BTTS_Prior_v5!B46&lt;&gt;"PASS","",IF(COUNT(BTTS_Prior_v5!P15,BTTS_Prior_v5!P16,BTTS_Prior_v5!P17)=0,"",MIN(1,SUM(IF(ISNUMBER(BTTS_Prior_v5!P15),BTTS_Prior_v5!P15/5,0),IF(ISNUMBER(BTTS_Prior_v5!P16),BTTS_Prior_v5!P16/2,0),IF(ISNUMBER(BTTS_Prior_v5!P17),BTTS_Prior_v5!P17/1.5,0))/COUNT(BTTS_Prior_v5!P15,BTTS_Prior_v5!P16,BTTS_Prior_v5!P17))))</x:f>
      </x:c>
      <x:c r="C48" s="2"/>
      <x:c r="D48" s="2"/>
      <x:c r="E48" s="2"/>
      <x:c r="F48" s="2"/>
      <x:c r="G48" s="2"/>
      <x:c r="H48" s="2"/>
    </x:row>
    <x:row r="49">
      <x:c r="A49" s="2" t="s">
        <x:v>163</x:v>
      </x:c>
      <x:c r="B49" s="7" t="str">
        <x:f>IF(BTTS_Prior_v5!B46&lt;&gt;"PASS","",IF(COUNT(BTTS_Prior_v5!P33,BTTS_Prior_v5!P34,BTTS_Prior_v5!P35)=0,"",MIN(1,SUM(IF(ISNUMBER(BTTS_Prior_v5!P33),BTTS_Prior_v5!P33/5,0),IF(ISNUMBER(BTTS_Prior_v5!P34),BTTS_Prior_v5!P34/2,0),IF(ISNUMBER(BTTS_Prior_v5!P35),BTTS_Prior_v5!P35/1.5,0))/COUNT(BTTS_Prior_v5!P33,BTTS_Prior_v5!P34,BTTS_Prior_v5!P35))))</x:f>
      </x:c>
      <x:c r="C49" s="2"/>
      <x:c r="D49" s="2"/>
      <x:c r="E49" s="2"/>
      <x:c r="F49" s="2"/>
      <x:c r="G49" s="2"/>
      <x:c r="H49" s="2"/>
    </x:row>
    <x:row r="50">
      <x:c r="A50" s="2" t="str">
        <x:v>Blank Gazde: propriu + clean-sheet advers</x:v>
      </x:c>
      <x:c r="B50" s="7" t="str">
        <x:f>IF(BTTS_Prior_v5!$B$46&lt;&gt;"PASS","",AVERAGE(BTTS_Prior_v5!P14,BTTS_Prior_v5!P31))</x:f>
      </x:c>
      <x:c r="C50" s="2"/>
      <x:c r="D50" s="2"/>
      <x:c r="E50" s="2"/>
      <x:c r="F50" s="2"/>
      <x:c r="G50" s="2"/>
      <x:c r="H50" s="2"/>
    </x:row>
    <x:row r="51">
      <x:c r="A51" s="2" t="str">
        <x:v>Blank Oaspeți: propriu + clean-sheet advers</x:v>
      </x:c>
      <x:c r="B51" s="7" t="str">
        <x:f>IF(BTTS_Prior_v5!$B$46&lt;&gt;"PASS","",AVERAGE(BTTS_Prior_v5!P32,BTTS_Prior_v5!P13))</x:f>
      </x:c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19" t="str">
        <x:v>E. VEDERE A PROBABILITĂȚII ACTIVE</x:v>
      </x:c>
      <x:c r="B53" s="18"/>
      <x:c r="C53" s="18"/>
      <x:c r="D53" s="18"/>
      <x:c r="E53" s="18"/>
      <x:c r="F53" s="18"/>
      <x:c r="G53" s="18"/>
      <x:c r="H53" s="18"/>
    </x:row>
    <x:row r="54" ht="15">
      <x:c r="A54" s="1" t="s">
        <x:v>98</x:v>
      </x:c>
      <x:c r="B54" s="1" t="s">
        <x:v>164</x:v>
      </x:c>
      <x:c r="C54" s="1" t="s">
        <x:v>101</x:v>
      </x:c>
      <x:c r="D54" s="1" t="s">
        <x:v>165</x:v>
      </x:c>
      <x:c r="E54" s="2"/>
      <x:c r="F54" s="2"/>
      <x:c r="G54" s="2"/>
      <x:c r="H54" s="2"/>
    </x:row>
    <x:row r="55">
      <x:c r="A55" s="2" t="str">
        <x:v>BTTS reciprocitate</x:v>
      </x:c>
      <x:c r="B55" s="7" t="str">
        <x:f>IF(BTTS_Prior_v5!$B$46&lt;&gt;"PASS","",B81)</x:f>
      </x:c>
      <x:c r="C55" s="7" t="str">
        <x:f>IF(BTTS_Prior_v5!$B$46&lt;&gt;"PASS","",IF(E81&gt;0,E81/SUM(E81:E86),0))</x:f>
      </x:c>
      <x:c r="D55" s="7" t="str">
        <x:f>IF(BTTS_Prior_v5!$B$46&lt;&gt;"PASS","",IF(ISNUMBER(B55),B55*C55,0))</x:f>
      </x:c>
      <x:c r="E55" s="2"/>
      <x:c r="F55" s="2"/>
      <x:c r="G55" s="2"/>
      <x:c r="H55" s="2"/>
    </x:row>
    <x:row r="56">
      <x:c r="A56" s="2" t="str">
        <x:v>BTTS Poisson</x:v>
      </x:c>
      <x:c r="B56" s="7" t="str">
        <x:f>IF(BTTS_Prior_v5!$B$46&lt;&gt;"PASS","",B82)</x:f>
      </x:c>
      <x:c r="C56" s="7" t="str">
        <x:f>IF(BTTS_Prior_v5!$B$46&lt;&gt;"PASS","",IF(E82&gt;0,E82/SUM(E81:E86),0))</x:f>
      </x:c>
      <x:c r="D56" s="7" t="str">
        <x:f>IF(BTTS_Prior_v5!$B$46&lt;&gt;"PASS","",IF(ISNUMBER(B56),B56*C56,0))</x:f>
      </x:c>
      <x:c r="E56" s="2"/>
      <x:c r="F56" s="2"/>
      <x:c r="G56" s="2"/>
      <x:c r="H56" s="2"/>
    </x:row>
    <x:row r="57">
      <x:c r="A57" s="2" t="str">
        <x:v>Scored/conceded weakest</x:v>
      </x:c>
      <x:c r="B57" s="7" t="str">
        <x:f>IF(BTTS_Prior_v5!$B$46&lt;&gt;"PASS","",B83)</x:f>
      </x:c>
      <x:c r="C57" s="7" t="str">
        <x:f>IF(BTTS_Prior_v5!$B$46&lt;&gt;"PASS","",IF(E83&gt;0,E83/SUM(E81:E86),0))</x:f>
      </x:c>
      <x:c r="D57" s="7" t="str">
        <x:f>IF(BTTS_Prior_v5!$B$46&lt;&gt;"PASS","",IF(ISNUMBER(B57),B57*C57,0))</x:f>
      </x:c>
      <x:c r="E57" s="2"/>
      <x:c r="F57" s="2"/>
      <x:c r="G57" s="2"/>
      <x:c r="H57" s="2"/>
    </x:row>
    <x:row r="58">
      <x:c r="A58" s="2" t="str">
        <x:v>BTTS istoric</x:v>
      </x:c>
      <x:c r="B58" s="7" t="str">
        <x:f>IF(BTTS_Prior_v5!$B$46&lt;&gt;"PASS","",B84)</x:f>
      </x:c>
      <x:c r="C58" s="7" t="str">
        <x:f>IF(BTTS_Prior_v5!$B$46&lt;&gt;"PASS","",IF(E84&gt;0,E84/SUM(E81:E86),0))</x:f>
      </x:c>
      <x:c r="D58" s="7" t="str">
        <x:f>IF(BTTS_Prior_v5!$B$46&lt;&gt;"PASS","",IF(ISNUMBER(B58),B58*C58,0))</x:f>
      </x:c>
      <x:c r="E58" s="2"/>
      <x:c r="F58" s="2"/>
      <x:c r="G58" s="2"/>
      <x:c r="H58" s="2"/>
    </x:row>
    <x:row r="59">
      <x:c r="A59" s="2" t="str">
        <x:v>Shot quality weakest</x:v>
      </x:c>
      <x:c r="B59" s="7" t="str">
        <x:f>IF(BTTS_Prior_v5!$B$46&lt;&gt;"PASS","",B85)</x:f>
      </x:c>
      <x:c r="C59" s="7" t="str">
        <x:f>IF(BTTS_Prior_v5!$B$46&lt;&gt;"PASS","",IF(E85&gt;0,E85/SUM(E81:E86),0))</x:f>
      </x:c>
      <x:c r="D59" s="7" t="str">
        <x:f>IF(BTTS_Prior_v5!$B$46&lt;&gt;"PASS","",IF(ISNUMBER(B59),B59*C59,0))</x:f>
      </x:c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 t="s">
        <x:v>166</x:v>
      </x:c>
      <x:c r="B61" s="7" t="str">
        <x:f>IF(BTTS_Prior_v5!$B$46&lt;&gt;"PASS","",B88)</x:f>
      </x:c>
      <x:c r="C61" s="2"/>
      <x:c r="D61" s="2"/>
      <x:c r="E61" s="2"/>
      <x:c r="F61" s="2"/>
      <x:c r="G61" s="2"/>
      <x:c r="H61" s="2"/>
    </x:row>
    <x:row r="62">
      <x:c r="A62" s="2" t="s">
        <x:v>167</x:v>
      </x:c>
      <x:c r="B62" s="7" t="str">
        <x:f>IF(BTTS_Prior_v5!$B$46&lt;&gt;"PASS","",B89)</x:f>
      </x:c>
      <x:c r="C62" s="2"/>
      <x:c r="D62" s="2"/>
      <x:c r="E62" s="2"/>
      <x:c r="F62" s="2"/>
      <x:c r="G62" s="2"/>
      <x:c r="H62" s="2"/>
    </x:row>
    <x:row r="63">
      <x:c r="A63" s="2" t="s">
        <x:v>168</x:v>
      </x:c>
      <x:c r="B63" s="7" t="str">
        <x:f>IF(BTTS_Prior_v5!$B$46&lt;&gt;"PASS","",B90)</x:f>
      </x:c>
      <x:c r="C63" s="2"/>
      <x:c r="D63" s="2"/>
      <x:c r="E63" s="2"/>
      <x:c r="F63" s="2"/>
      <x:c r="G63" s="2"/>
      <x:c r="H63" s="2"/>
    </x:row>
    <x:row r="64">
      <x:c r="A64" s="2" t="s">
        <x:v>169</x:v>
      </x:c>
      <x:c r="B64" s="8" t="str">
        <x:f>IF(BTTS_Prior_v5!$B$46&lt;&gt;"PASS","",B91)</x:f>
      </x:c>
      <x:c r="C64" s="2"/>
      <x:c r="D64" s="2"/>
      <x:c r="E64" s="2"/>
      <x:c r="F64" s="2"/>
      <x:c r="G64" s="2"/>
      <x:c r="H64" s="2"/>
    </x:row>
    <x:row r="65">
      <x:c r="A65" s="2" t="s">
        <x:v>170</x:v>
      </x:c>
      <x:c r="B65" s="7" t="str">
        <x:f>IF(BTTS_Prior_v5!$B$46&lt;&gt;"PASS","",MIN(IF('2_Context'!B29&gt;0,Config_BTTS!B33,1),0.5*BTTS_Prior_v5!B47+0.5*BTTS_Prior_v5!B48))</x:f>
      </x:c>
      <x:c r="C65" s="2"/>
      <x:c r="D65" s="2"/>
      <x:c r="E65" s="2"/>
      <x:c r="F65" s="2"/>
      <x:c r="G65" s="2"/>
      <x:c r="H65" s="2"/>
    </x:row>
    <x:row r="67">
      <x:c r="A67" s="20" t="s">
        <x:v>171</x:v>
      </x:c>
      <x:c r="B67" s="18"/>
      <x:c r="C67" s="18"/>
      <x:c r="D67" s="18"/>
      <x:c r="E67" s="18"/>
      <x:c r="F67" s="18"/>
      <x:c r="G67" s="18"/>
      <x:c r="H67" s="18"/>
    </x:row>
    <x:row r="68" ht="15">
      <x:c r="A68" s="9" t="s">
        <x:v>0</x:v>
      </x:c>
      <x:c r="B68" s="9" t="s">
        <x:v>164</x:v>
      </x:c>
      <x:c r="C68" s="9" t="s">
        <x:v>172</x:v>
      </x:c>
      <x:c r="D68" s="9" t="s">
        <x:v>173</x:v>
      </x:c>
      <x:c r="E68" s="9" t="s">
        <x:v>174</x:v>
      </x:c>
      <x:c r="F68" s="9" t="s">
        <x:v>175</x:v>
      </x:c>
      <x:c r="G68" s="9" t="s">
        <x:v>176</x:v>
      </x:c>
      <x:c r="H68" s="9" t="s">
        <x:v>177</x:v>
      </x:c>
    </x:row>
    <x:row r="69" ht="28.5">
      <x:c r="A69" s="2" t="s">
        <x:v>178</x:v>
      </x:c>
      <x:c r="B69" s="7" t="str">
        <x:f>IF(BTTS_Prior_v5!$B$46&lt;&gt;"PASS","",MAX(0,MIN(1,0.55*B35+0.30*B45+0.15*(1-B50)-'2_Context'!B29)))</x:f>
      </x:c>
      <x:c r="C69" s="2" t="str">
        <x:v>≥72%</x:v>
      </x:c>
      <x:c r="D69" s="2" t="str">
        <x:v>≥68%</x:v>
      </x:c>
      <x:c r="E69" s="2" t="s">
        <x:v>179</x:v>
      </x:c>
      <x:c r="F69" s="2" t="s">
        <x:v>180</x:v>
      </x:c>
      <x:c r="G69" s="2" t="str">
        <x:f>IF(BTTS_Prior_v5!$B$46&lt;&gt;"PASS","",IF(B69&gt;=Config_BTTS!B13,"STRONG OK",IF(B69&gt;=Config_BTTS!B10,"BET OK","SUB PRAG")))</x:f>
      </x:c>
      <x:c r="H69" s="2" t="s">
        <x:v>181</x:v>
      </x:c>
    </x:row>
    <x:row r="70" ht="28.5">
      <x:c r="A70" s="2" t="s">
        <x:v>182</x:v>
      </x:c>
      <x:c r="B70" s="7" t="str">
        <x:f>IF(BTTS_Prior_v5!$B$46&lt;&gt;"PASS","",MAX(0,MIN(1,0.55*B36+0.30*B46+0.15*(1-B51)-'2_Context'!B29)))</x:f>
      </x:c>
      <x:c r="C70" s="2" t="str">
        <x:v>≥72%</x:v>
      </x:c>
      <x:c r="D70" s="2" t="str">
        <x:v>≥68%</x:v>
      </x:c>
      <x:c r="E70" s="2" t="s">
        <x:v>179</x:v>
      </x:c>
      <x:c r="F70" s="2" t="s">
        <x:v>180</x:v>
      </x:c>
      <x:c r="G70" s="2" t="str">
        <x:f>IF(BTTS_Prior_v5!$B$46&lt;&gt;"PASS","",IF(B70&gt;=Config_BTTS!B13,"STRONG OK",IF(B70&gt;=Config_BTTS!B10,"BET OK","SUB PRAG")))</x:f>
      </x:c>
      <x:c r="H70" s="2" t="s">
        <x:v>181</x:v>
      </x:c>
    </x:row>
    <x:row r="71" ht="28.5">
      <x:c r="A71" s="2" t="s">
        <x:v>183</x:v>
      </x:c>
      <x:c r="B71" s="7" t="str">
        <x:f>IF(BTTS_Prior_v5!$B$46&lt;&gt;"PASS","",MIN(B69,B70))</x:f>
      </x:c>
      <x:c r="C71" s="2" t="str">
        <x:v>≥72%</x:v>
      </x:c>
      <x:c r="D71" s="2" t="str">
        <x:v>≥68%</x:v>
      </x:c>
      <x:c r="E71" s="2" t="s">
        <x:v>184</x:v>
      </x:c>
      <x:c r="F71" s="2" t="s">
        <x:v>185</x:v>
      </x:c>
      <x:c r="G71" s="2" t="str">
        <x:f>IF(BTTS_Prior_v5!$B$46&lt;&gt;"PASS","",IF(B71&gt;=Config_BTTS!B13,"STRONG OK",IF(B71&gt;=Config_BTTS!B10,"BET OK","SUB PRAG")))</x:f>
      </x:c>
      <x:c r="H71" s="2" t="s">
        <x:v>181</x:v>
      </x:c>
    </x:row>
    <x:row r="72" ht="28.5">
      <x:c r="A72" s="2" t="s">
        <x:v>186</x:v>
      </x:c>
      <x:c r="B72" s="7" t="str">
        <x:f>IF(BTTS_Prior_v5!$B$46&lt;&gt;"PASS","",ABS(B69-B70))</x:f>
      </x:c>
      <x:c r="C72" s="2" t="s">
        <x:v>187</x:v>
      </x:c>
      <x:c r="D72" s="2" t="s">
        <x:v>188</x:v>
      </x:c>
      <x:c r="E72" s="2" t="s">
        <x:v>189</x:v>
      </x:c>
      <x:c r="F72" s="2" t="s">
        <x:v>190</x:v>
      </x:c>
      <x:c r="G72" s="2" t="str">
        <x:f>IF(BTTS_Prior_v5!$B$46&lt;&gt;"PASS","",IF(B72&lt;=0.12,"STRONG OK",IF(B72&lt;=0.18,"BET OK","MISMATCH")))</x:f>
      </x:c>
      <x:c r="H72" s="2" t="s">
        <x:v>181</x:v>
      </x:c>
    </x:row>
    <x:row r="73" ht="28.5">
      <x:c r="A73" s="2" t="s">
        <x:v>191</x:v>
      </x:c>
      <x:c r="B73" s="7" t="str">
        <x:f>IF(BTTS_Prior_v5!$B$46&lt;&gt;"PASS","",1-B71)</x:f>
      </x:c>
      <x:c r="C73" s="2" t="str">
        <x:v>≤28%</x:v>
      </x:c>
      <x:c r="D73" s="2" t="str">
        <x:v>≤32%</x:v>
      </x:c>
      <x:c r="E73" s="2" t="s">
        <x:v>192</x:v>
      </x:c>
      <x:c r="F73" s="2" t="s">
        <x:v>193</x:v>
      </x:c>
      <x:c r="G73" s="2" t="str">
        <x:f>IF(BTTS_Prior_v5!$B$46&lt;&gt;"PASS","",IF(B73&lt;=1-Config_BTTS!B13,"STRONG OK",IF(B73&lt;=1-Config_BTTS!B10,"BET OK","BLANK RISK")))</x:f>
      </x:c>
      <x:c r="H73" s="2" t="s">
        <x:v>181</x:v>
      </x:c>
    </x:row>
    <x:row r="74" ht="28.5">
      <x:c r="A74" s="2" t="s">
        <x:v>194</x:v>
      </x:c>
      <x:c r="B74" s="2" t="str">
        <x:f>IF(BTTS_Prior_v5!$B$46&lt;&gt;"PASS","",IF(AND(B32&gt;=Config_BTTS!B31,B71&lt;Config_BTTS!B10),1,0))</x:f>
      </x:c>
      <x:c r="C74" s="2" t="s">
        <x:v>195</x:v>
      </x:c>
      <x:c r="D74" s="2" t="s">
        <x:v>196</x:v>
      </x:c>
      <x:c r="E74" s="2" t="s">
        <x:v>197</x:v>
      </x:c>
      <x:c r="F74" s="2" t="s">
        <x:v>198</x:v>
      </x:c>
      <x:c r="G74" s="2" t="str">
        <x:f>IF(BTTS_Prior_v5!$B$46&lt;&gt;"PASS","",IF(B74=0,"OK","UNILATERAL RISK"))</x:f>
      </x:c>
      <x:c r="H74" s="2" t="s">
        <x:v>181</x:v>
      </x:c>
    </x:row>
    <x:row r="75" ht="42.75">
      <x:c r="A75" s="2" t="s">
        <x:v>199</x:v>
      </x:c>
      <x:c r="B75" s="7" t="str">
        <x:f>IF(BTTS_Prior_v5!$B$46&lt;&gt;"PASS","",MAX(0.7,1-MIN(0.3,B72*0.85)))</x:f>
      </x:c>
      <x:c r="C75" s="2" t="str">
        <x:v>Diagnostic</x:v>
      </x:c>
      <x:c r="D75" s="2" t="str">
        <x:v>Diagnostic</x:v>
      </x:c>
      <x:c r="E75" s="2" t="s">
        <x:v>200</x:v>
      </x:c>
      <x:c r="F75" s="2" t="s">
        <x:v>201</x:v>
      </x:c>
      <x:c r="G75" s="2" t="str">
        <x:f>IF(BTTS_Prior_v5!$B$46&lt;&gt;"PASS","",IF(B75&gt;=0.9,"STRONG OK",IF(B75&gt;=0.85,"BET OK","RECIPROCITY LOW")))</x:f>
      </x:c>
      <x:c r="H75" s="2" t="s">
        <x:v>181</x:v>
      </x:c>
    </x:row>
    <x:row r="76" ht="28.5">
      <x:c r="A76" s="2" t="s">
        <x:v>202</x:v>
      </x:c>
      <x:c r="B76" s="7" t="str">
        <x:f>IF(BTTS_Prior_v5!$B$46&lt;&gt;"PASS","",B69*B70*B75)</x:f>
      </x:c>
      <x:c r="C76" s="2" t="str">
        <x:v>Diagnostic</x:v>
      </x:c>
      <x:c r="D76" s="2" t="str">
        <x:v>Diagnostic</x:v>
      </x:c>
      <x:c r="E76" s="2" t="s">
        <x:v>203</x:v>
      </x:c>
      <x:c r="F76" s="2" t="s">
        <x:v>204</x:v>
      </x:c>
      <x:c r="G76" s="2" t="str">
        <x:f>IF(BTTS_Prior_v5!$B$46&lt;&gt;"PASS","",IF(B76&gt;=0.6,"STRONG OK",IF(B76&gt;=0.55,"BET OK","LOW")))</x:f>
      </x:c>
      <x:c r="H76" s="2" t="s">
        <x:v>181</x:v>
      </x:c>
    </x:row>
    <x:row r="77" ht="28.5">
      <x:c r="A77" s="2" t="s">
        <x:v>205</x:v>
      </x:c>
      <x:c r="B77" s="7" t="str">
        <x:f>IF(BTTS_Prior_v5!$B$46&lt;&gt;"PASS","",MIN(Config_BTTS!B29,MAX(0,(Config_BTTS!B13-B71)*0.55)+MAX(0,(B73-(1-Config_BTTS!B13))*0.35)+MAX(0,(B72-0.10)*0.45)+IF(B74=1,Config_BTTS!B30,0)))</x:f>
      </x:c>
      <x:c r="C77" s="2" t="str">
        <x:v>Diagnostic</x:v>
      </x:c>
      <x:c r="D77" s="2" t="str">
        <x:v>Diagnostic</x:v>
      </x:c>
      <x:c r="E77" s="2" t="s">
        <x:v>206</x:v>
      </x:c>
      <x:c r="F77" s="2" t="str">
        <x:v>Penalizare în P finală; nu este gate separat</x:v>
      </x:c>
      <x:c r="G77" s="2" t="str">
        <x:f>IF(BTTS_Prior_v5!$B$46&lt;&gt;"PASS","",IF(B77&lt;=0.05,"STRONG OK",IF(B77&lt;=0.1,"BET OK","HIGH PENALTY")))</x:f>
      </x:c>
      <x:c r="H77" s="2" t="s">
        <x:v>181</x:v>
      </x:c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0" t="str">
        <x:v>G. MOTOR ACTIV – RECIPROCITATE</x:v>
      </x:c>
      <x:c r="B79" s="18"/>
      <x:c r="C79" s="18"/>
      <x:c r="D79" s="18"/>
      <x:c r="E79" s="18"/>
      <x:c r="F79" s="18"/>
      <x:c r="G79" s="18"/>
      <x:c r="H79" s="18"/>
    </x:row>
    <x:row r="80" ht="27" customHeight="1">
      <x:c r="A80" s="9" t="s">
        <x:v>98</x:v>
      </x:c>
      <x:c r="B80" s="9" t="s">
        <x:v>164</x:v>
      </x:c>
      <x:c r="C80" s="9" t="str">
        <x:v>Pondere relativă</x:v>
      </x:c>
      <x:c r="D80" s="9" t="s">
        <x:v>165</x:v>
      </x:c>
      <x:c r="E80" s="2" t="str">
        <x:v>Pondere activă</x:v>
      </x:c>
      <x:c r="F80" s="2"/>
      <x:c r="G80" s="2"/>
      <x:c r="H80" s="2"/>
    </x:row>
    <x:row r="81" ht="27" customHeight="1">
      <x:c r="A81" s="2" t="s">
        <x:v>207</x:v>
      </x:c>
      <x:c r="B81" s="7" t="str">
        <x:f>IF(BTTS_Prior_v5!$B$46&lt;&gt;"PASS","",B76)</x:f>
      </x:c>
      <x:c r="C81" s="7">
        <x:v>0.5</x:v>
      </x:c>
      <x:c r="D81" s="7" t="str">
        <x:f t="shared" ref="D81:D86" si="4">IF(BTTS_Prior_v5!$B$46&lt;&gt;"PASS","",IF(ISNUMBER(B81),B81*C81,0))</x:f>
      </x:c>
      <x:c r="E81" s="2" t="str">
        <x:f>IF(BTTS_Prior_v5!$B$46&lt;&gt;"PASS","",IF(ISNUMBER(B81),C81,0))</x:f>
      </x:c>
      <x:c r="F81" s="2"/>
      <x:c r="G81" s="2"/>
      <x:c r="H81" s="2"/>
    </x:row>
    <x:row r="82" ht="27" customHeight="1">
      <x:c r="A82" s="2" t="s">
        <x:v>156</x:v>
      </x:c>
      <x:c r="B82" s="7" t="str">
        <x:f>IF(BTTS_Prior_v5!$B$46&lt;&gt;"PASS","",B37)</x:f>
      </x:c>
      <x:c r="C82" s="7">
        <x:v>0.2</x:v>
      </x:c>
      <x:c r="D82" s="7" t="str">
        <x:f t="shared" si="4">IF(BTTS_Prior_v5!$B$46&lt;&gt;"PASS","",IF(ISNUMBER(B82),B82*C82,0))</x:f>
      </x:c>
      <x:c r="E82" s="2" t="str">
        <x:f>IF(BTTS_Prior_v5!$B$46&lt;&gt;"PASS","",IF(ISNUMBER(B82),C82,0))</x:f>
      </x:c>
      <x:c r="F82" s="2"/>
      <x:c r="G82" s="2"/>
      <x:c r="H82" s="2"/>
    </x:row>
    <x:row r="83" ht="27" customHeight="1">
      <x:c r="A83" s="2" t="s">
        <x:v>208</x:v>
      </x:c>
      <x:c r="B83" s="7" t="str">
        <x:f>IF(BTTS_Prior_v5!$B$46&lt;&gt;"PASS","",MIN(B45,B46))</x:f>
      </x:c>
      <x:c r="C83" s="7">
        <x:v>0.1</x:v>
      </x:c>
      <x:c r="D83" s="7" t="str">
        <x:f t="shared" si="4">IF(BTTS_Prior_v5!$B$46&lt;&gt;"PASS","",IF(ISNUMBER(B83),B83*C83,0))</x:f>
      </x:c>
      <x:c r="E83" s="2" t="str">
        <x:f>IF(BTTS_Prior_v5!$B$46&lt;&gt;"PASS","",IF(ISNUMBER(B83),C83,0))</x:f>
      </x:c>
      <x:c r="F83" s="2"/>
      <x:c r="G83" s="2"/>
      <x:c r="H83" s="2"/>
    </x:row>
    <x:row r="84" ht="27" customHeight="1">
      <x:c r="A84" s="2" t="s">
        <x:v>209</x:v>
      </x:c>
      <x:c r="B84" s="7" t="str">
        <x:f>IF(BTTS_Prior_v5!$B$46&lt;&gt;"PASS","",B47)</x:f>
      </x:c>
      <x:c r="C84" s="7">
        <x:v>7.0000000000000007E-2</x:v>
      </x:c>
      <x:c r="D84" s="7" t="str">
        <x:f t="shared" si="4">IF(BTTS_Prior_v5!$B$46&lt;&gt;"PASS","",IF(ISNUMBER(B84),B84*C84,0))</x:f>
      </x:c>
      <x:c r="E84" s="2" t="str">
        <x:f>IF(BTTS_Prior_v5!$B$46&lt;&gt;"PASS","",IF(ISNUMBER(B84),C84,0))</x:f>
      </x:c>
      <x:c r="F84" s="2"/>
      <x:c r="G84" s="2"/>
      <x:c r="H84" s="2"/>
    </x:row>
    <x:row r="85" ht="27" customHeight="1">
      <x:c r="A85" s="2" t="s">
        <x:v>210</x:v>
      </x:c>
      <x:c r="B85" s="7" t="str">
        <x:f>IF(BTTS_Prior_v5!$B$46&lt;&gt;"PASS","",IF(COUNT(B48:B49)=2,MIN(B48:B49),""))</x:f>
      </x:c>
      <x:c r="C85" s="7">
        <x:v>0.05</x:v>
      </x:c>
      <x:c r="D85" s="7" t="str">
        <x:f t="shared" si="4">IF(BTTS_Prior_v5!$B$46&lt;&gt;"PASS","",IF(ISNUMBER(B85),B85*C85,0))</x:f>
      </x:c>
      <x:c r="E85" s="2" t="str">
        <x:f>IF(BTTS_Prior_v5!$B$46&lt;&gt;"PASS","",IF(ISNUMBER(B85),C85,0))</x:f>
      </x:c>
      <x:c r="F85" s="2"/>
      <x:c r="G85" s="2"/>
      <x:c r="H85" s="2"/>
    </x:row>
    <x:row r="86" ht="27" customHeight="1">
      <x:c r="A86" s="2" t="str">
        <x:v>Piață exclusă din motor</x:v>
      </x:c>
      <x:c r="B86" s="7" t="str">
        <x:f>IF(BTTS_Prior_v5!$B$46&lt;&gt;"PASS","","")</x:f>
      </x:c>
      <x:c r="C86" s="7" t="n">
        <x:v>0</x:v>
      </x:c>
      <x:c r="D86" s="7" t="str">
        <x:f t="shared" si="4">IF(BTTS_Prior_v5!$B$46&lt;&gt;"PASS","",0)</x:f>
      </x:c>
      <x:c r="E86" s="2" t="str">
        <x:f>IF(BTTS_Prior_v5!$B$46&lt;&gt;"PASS","",0)</x:f>
      </x:c>
      <x:c r="F86" s="2"/>
      <x:c r="G86" s="2"/>
      <x:c r="H86" s="2"/>
    </x:row>
    <x:row r="87" ht="27" customHeight="1">
      <x:c r="A87" s="2"/>
      <x:c r="B87" s="2"/>
      <x:c r="C87" s="2"/>
      <x:c r="D87" s="2"/>
      <x:c r="E87" s="2"/>
      <x:c r="F87" s="2"/>
      <x:c r="G87" s="2"/>
      <x:c r="H87" s="2"/>
    </x:row>
    <x:row r="88" ht="27" customHeight="1">
      <x:c r="A88" s="2" t="s">
        <x:v>211</x:v>
      </x:c>
      <x:c r="B88" s="7" t="str">
        <x:f>IF(BTTS_Prior_v5!$B$46&lt;&gt;"PASS","",SUM(D81:D86)/SUM(E81:E86))</x:f>
      </x:c>
      <x:c r="C88" s="2"/>
      <x:c r="D88" s="2"/>
      <x:c r="E88" s="2"/>
      <x:c r="F88" s="2"/>
      <x:c r="G88" s="2"/>
      <x:c r="H88" s="2"/>
    </x:row>
    <x:row r="89" ht="27" customHeight="1">
      <x:c r="A89" s="2" t="s">
        <x:v>212</x:v>
      </x:c>
      <x:c r="B89" s="7" t="str">
        <x:f>IF(BTTS_Prior_v5!$B$46&lt;&gt;"PASS","",B77)</x:f>
      </x:c>
      <x:c r="C89" s="2"/>
      <x:c r="D89" s="2"/>
      <x:c r="E89" s="2"/>
      <x:c r="F89" s="2"/>
      <x:c r="G89" s="2"/>
      <x:c r="H89" s="2"/>
    </x:row>
    <x:row r="90" ht="27" customHeight="1">
      <x:c r="A90" s="2" t="str">
        <x:v>P BTTS ajustată în limitele marginalelor</x:v>
      </x:c>
      <x:c r="B90" s="7" t="str">
        <x:f>IF(BTTS_Prior_v5!$B$46&lt;&gt;"PASS","",MAX(MAX(0,B69+B70-1),MIN(1,B69,B70,B88-B89)))</x:f>
      </x:c>
      <x:c r="C90" s="2"/>
      <x:c r="D90" s="2"/>
      <x:c r="E90" s="2"/>
      <x:c r="F90" s="2"/>
      <x:c r="G90" s="2"/>
      <x:c r="H90" s="2"/>
    </x:row>
    <x:row r="91" ht="27" customHeight="1">
      <x:c r="A91" s="2" t="s">
        <x:v>213</x:v>
      </x:c>
      <x:c r="B91" s="8" t="str">
        <x:f>IF(BTTS_Prior_v5!$B$46&lt;&gt;"PASS","",IF(B90&gt;0,1/B90,""))</x:f>
      </x:c>
      <x:c r="C91" s="2"/>
      <x:c r="D91" s="2"/>
      <x:c r="E91" s="2"/>
      <x:c r="F91" s="2"/>
      <x:c r="G91" s="2"/>
      <x:c r="H91" s="2"/>
    </x:row>
    <x:row r="92" ht="27" customHeight="1">
      <x:c r="A92" s="2" t="s">
        <x:v>214</x:v>
      </x:c>
      <x:c r="B92" s="2" t="str">
        <x:f>IF(BTTS_Prior_v5!$B$46&lt;&gt;"PASS","",IF(AND(B69&gt;=Config_BTTS!B13,B70&gt;=Config_BTTS!B13,B72&lt;=Config_BTTS!B14,BTTS_Gates_v4!B18="PASS"),"PASS","FAIL"))</x:f>
      </x:c>
      <x:c r="C92" s="2"/>
      <x:c r="D92" s="2"/>
      <x:c r="E92" s="2"/>
      <x:c r="F92" s="2"/>
      <x:c r="G92" s="2"/>
      <x:c r="H92" s="2"/>
    </x:row>
  </x:sheetData>
  <x:mergeCells>
    <x:mergeCell ref="A67:H67"/>
    <x:mergeCell ref="A79:H79"/>
    <x:mergeCell ref="A53:H53"/>
    <x:mergeCell ref="A1:H1"/>
    <x:mergeCell ref="A3:H3"/>
    <x:mergeCell ref="A13:H13"/>
    <x:mergeCell ref="A34:H34"/>
    <x:mergeCell ref="A44:H4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7" customWidth="1"/>
    <x:col min="2" max="4" width="16" customWidth="1"/>
    <x:col min="5" max="5" width="25" customWidth="1"/>
    <x:col min="6" max="6" width="32" customWidth="1"/>
  </x:cols>
  <x:sheetData>
    <x:row r="1" ht="19.5">
      <x:c r="A1" s="21" t="str">
        <x:v>BTTS v2 – cote strict informative; fără EV</x:v>
      </x:c>
      <x:c r="B1" s="22"/>
      <x:c r="C1" s="22"/>
      <x:c r="D1" s="22"/>
      <x:c r="E1" s="22"/>
      <x:c r="F1" s="22"/>
    </x:row>
    <x:row r="2" ht="30">
      <x:c r="A2" s="1" t="s">
        <x:v>215</x:v>
      </x:c>
      <x:c r="B2" s="1" t="s">
        <x:v>216</x:v>
      </x:c>
      <x:c r="C2" s="1" t="s">
        <x:v>217</x:v>
      </x:c>
      <x:c r="D2" s="1" t="s">
        <x:v>218</x:v>
      </x:c>
      <x:c r="E2" s="1" t="s">
        <x:v>219</x:v>
      </x:c>
      <x:c r="F2" s="1" t="s">
        <x:v>220</x:v>
      </x:c>
    </x:row>
    <x:row r="3">
      <x:c r="A3" t="s">
        <x:v>221</x:v>
      </x:c>
      <x:c r="B3" s="5"/>
      <x:c r="C3" s="6" t="str">
        <x:f t="shared" ref="C3:C14" si="0">IFERROR(1/B3,"")</x:f>
      </x:c>
      <x:c r="D3" s="6" t="str">
        <x:f>IF(AND(COUNT(B3:B5)=3,MIN(B3:B5)&gt;1),C3/SUM(C3:C5),"")</x:f>
      </x:c>
      <x:c r="E3" t="str">
        <x:v>INFORMATIV – fără influență</x:v>
      </x:c>
    </x:row>
    <x:row r="4">
      <x:c r="A4" t="s">
        <x:v>222</x:v>
      </x:c>
      <x:c r="B4" s="5"/>
      <x:c r="C4" s="6" t="str">
        <x:f t="shared" si="0"/>
      </x:c>
      <x:c r="D4" s="6" t="str">
        <x:f>IF(AND(COUNT(B3:B5)=3,MIN(B3:B5)&gt;1),C4/SUM(C3:C5),"")</x:f>
      </x:c>
      <x:c r="E4" t="str">
        <x:v>INFORMATIV – fără influență</x:v>
      </x:c>
    </x:row>
    <x:row r="5">
      <x:c r="A5" t="s">
        <x:v>223</x:v>
      </x:c>
      <x:c r="B5" s="5"/>
      <x:c r="C5" s="6" t="str">
        <x:f t="shared" si="0"/>
      </x:c>
      <x:c r="D5" s="6" t="str">
        <x:f>IF(AND(COUNT(B3:B5)=3,MIN(B3:B5)&gt;1),C5/SUM(C3:C5),"")</x:f>
      </x:c>
      <x:c r="E5" t="str">
        <x:v>INFORMATIV – fără influență</x:v>
      </x:c>
    </x:row>
    <x:row r="6">
      <x:c r="A6" t="s">
        <x:v>224</x:v>
      </x:c>
      <x:c r="B6" s="5"/>
      <x:c r="C6" s="6" t="str">
        <x:f t="shared" si="0"/>
      </x:c>
      <x:c r="D6" s="6" t="str">
        <x:f>IF(AND(COUNT(B6:B7)=2,MIN(B6:B7)&gt;1),C6/SUM(C6:C7),"")</x:f>
      </x:c>
      <x:c r="E6" t="str">
        <x:v>INFORMATIV – fără influență</x:v>
      </x:c>
    </x:row>
    <x:row r="7">
      <x:c r="A7" t="s">
        <x:v>225</x:v>
      </x:c>
      <x:c r="B7" s="5"/>
      <x:c r="C7" s="6" t="str">
        <x:f t="shared" si="0"/>
      </x:c>
      <x:c r="D7" s="6" t="str">
        <x:f>IF(AND(COUNT(B6:B7)=2,MIN(B6:B7)&gt;1),C7/SUM(C6:C7),"")</x:f>
      </x:c>
      <x:c r="E7" t="str">
        <x:v>INFORMATIV – fără influență</x:v>
      </x:c>
    </x:row>
    <x:row r="8">
      <x:c r="A8" t="s">
        <x:v>226</x:v>
      </x:c>
      <x:c r="B8" s="5"/>
      <x:c r="C8" s="6" t="str">
        <x:f t="shared" si="0"/>
      </x:c>
      <x:c r="D8" s="6" t="str">
        <x:f>IF(AND(COUNT(B8:B9)=2,MIN(B8:B9)&gt;1),C8/SUM(C8:C9),"")</x:f>
      </x:c>
      <x:c r="E8" t="str">
        <x:v>INFORMATIV – fără influență</x:v>
      </x:c>
    </x:row>
    <x:row r="9">
      <x:c r="A9" t="s">
        <x:v>227</x:v>
      </x:c>
      <x:c r="B9" s="5"/>
      <x:c r="C9" s="6" t="str">
        <x:f t="shared" si="0"/>
      </x:c>
      <x:c r="D9" s="6" t="str">
        <x:f>IF(AND(COUNT(B8:B9)=2,MIN(B8:B9)&gt;1),C9/SUM(C8:C9),"")</x:f>
      </x:c>
      <x:c r="E9" t="str">
        <x:v>INFORMATIV – fără influență</x:v>
      </x:c>
    </x:row>
    <x:row r="10">
      <x:c r="A10" t="s">
        <x:v>228</x:v>
      </x:c>
      <x:c r="B10" s="5"/>
      <x:c r="C10" s="6" t="str">
        <x:f t="shared" si="0"/>
      </x:c>
      <x:c r="D10" s="6" t="str">
        <x:f>IF(AND(COUNT(B10:B11)=2,MIN(B10:B11)&gt;1),C10/SUM(C10:C11),"")</x:f>
      </x:c>
      <x:c r="E10" t="str">
        <x:v>INFORMATIV – fără influență</x:v>
      </x:c>
    </x:row>
    <x:row r="11">
      <x:c r="A11" t="s">
        <x:v>229</x:v>
      </x:c>
      <x:c r="B11" s="5"/>
      <x:c r="C11" s="6" t="str">
        <x:f t="shared" si="0"/>
      </x:c>
      <x:c r="D11" s="6" t="str">
        <x:f>IF(AND(COUNT(B10:B11)=2,MIN(B10:B11)&gt;1),C11/SUM(C10:C11),"")</x:f>
      </x:c>
      <x:c r="E11" t="str">
        <x:v>INFORMATIV – fără influență</x:v>
      </x:c>
    </x:row>
    <x:row r="12">
      <x:c r="A12" t="s">
        <x:v>230</x:v>
      </x:c>
      <x:c r="B12" s="5"/>
      <x:c r="C12" s="6" t="str">
        <x:f t="shared" si="0"/>
      </x:c>
      <x:c r="D12" s="6"/>
      <x:c r="E12" t="str">
        <x:v>INFORMATIV – fără influență</x:v>
      </x:c>
    </x:row>
    <x:row r="13">
      <x:c r="A13" t="s">
        <x:v>231</x:v>
      </x:c>
      <x:c r="B13" s="5"/>
      <x:c r="C13" s="6" t="str">
        <x:f t="shared" si="0"/>
      </x:c>
      <x:c r="D13" s="6"/>
      <x:c r="E13" t="str">
        <x:v>INFORMATIV – fără influență</x:v>
      </x:c>
    </x:row>
    <x:row r="14">
      <x:c r="A14" t="s">
        <x:v>232</x:v>
      </x:c>
      <x:c r="B14" s="5"/>
      <x:c r="C14" s="6" t="str">
        <x:f t="shared" si="0"/>
      </x:c>
      <x:c r="D14" s="6"/>
      <x:c r="E14" t="str">
        <x:v>INFORMATIV – fără influență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3" hidden="0" customWidth="1"/>
    <x:col min="2" max="2" width="22" hidden="0" customWidth="1"/>
    <x:col min="3" max="5" width="15" customWidth="1"/>
    <x:col min="6" max="6" width="22" hidden="0" customWidth="1"/>
    <x:col min="7" max="7" width="22" hidden="0" customWidth="1"/>
    <x:col min="3" max="3" width="22" hidden="0" customWidth="1"/>
    <x:col min="4" max="4" width="22" hidden="0" customWidth="1"/>
    <x:col min="5" max="5" width="22" hidden="0" customWidth="1"/>
    <x:col min="8" max="8" width="22" hidden="0" customWidth="1"/>
  </x:cols>
  <x:sheetData>
    <x:row r="1" ht="32" customHeight="1">
      <x:c r="A1" s="179" t="str">
        <x:v>BTTS v2 – scoring și selector unic</x:v>
      </x:c>
      <x:c r="B1" s="163"/>
      <x:c r="C1" s="163"/>
      <x:c r="D1" s="163"/>
      <x:c r="E1" s="163"/>
      <x:c r="F1" s="163"/>
      <x:c r="G1" s="163"/>
      <x:c r="H1" s="163"/>
    </x:row>
    <x:row r="2" ht="38" customHeight="1">
      <x:c r="A2" s="180" t="str">
        <x:v>Factor</x:v>
      </x:c>
      <x:c r="B2" s="180" t="str">
        <x:v>Măsură</x:v>
      </x:c>
      <x:c r="C2" s="180" t="str">
        <x:v>Scor 0–100</x:v>
      </x:c>
      <x:c r="D2" s="180" t="str">
        <x:v>Pondere relativă</x:v>
      </x:c>
      <x:c r="E2" s="180" t="str">
        <x:v>Contribuție</x:v>
      </x:c>
      <x:c r="F2" s="180" t="str">
        <x:v>Pondere activă</x:v>
      </x:c>
      <x:c r="G2" s="180"/>
      <x:c r="H2" s="165"/>
    </x:row>
    <x:row r="3" ht="28" customHeight="1">
      <x:c r="A3" s="161" t="str">
        <x:v>xG/xGA și lambda H/A</x:v>
      </x:c>
      <x:c r="B3" s="161"/>
      <x:c r="C3" s="161" t="str">
        <x:f>IF(BTTS_Prior_v5!B46&lt;&gt;"PASS","",MIN(100,AVERAGE(MIN(100,'3_Calcul_BTTS'!B31/1.5*100),MIN(100,'3_Calcul_BTTS'!C31/1.35*100),'3_Calcul_BTTS'!B41*100)))</x:f>
      </x:c>
      <x:c r="D3" s="166" t="n">
        <x:v>45</x:v>
      </x:c>
      <x:c r="E3" s="161" t="str">
        <x:f t="shared" ref="E3:E12" si="0">IF(BTTS_Prior_v5!B46&lt;&gt;"PASS","",IF(ISNUMBER(C3),C3*D3,0))</x:f>
      </x:c>
      <x:c r="F3" s="161" t="str">
        <x:f>IF(BTTS_Prior_v5!B46&lt;&gt;"PASS","",IF(ISNUMBER(C3),D3,0))</x:f>
      </x:c>
      <x:c r="G3" s="161"/>
      <x:c r="H3" s="161"/>
    </x:row>
    <x:row r="4" ht="28" customHeight="1">
      <x:c r="A4" s="161" t="str">
        <x:v>Scored / conceded</x:v>
      </x:c>
      <x:c r="B4" s="161"/>
      <x:c r="C4" s="161" t="str">
        <x:f>IF(BTTS_Prior_v5!B46&lt;&gt;"PASS","",AVERAGE('3_Calcul_BTTS'!B45,'3_Calcul_BTTS'!B46)*100)</x:f>
      </x:c>
      <x:c r="D4" s="166" t="n">
        <x:v>15</x:v>
      </x:c>
      <x:c r="E4" s="161" t="str">
        <x:f t="shared" si="0">IF(BTTS_Prior_v5!B46&lt;&gt;"PASS","",IF(ISNUMBER(C4),C4*D4,0))</x:f>
      </x:c>
      <x:c r="F4" s="161" t="str">
        <x:f>IF(BTTS_Prior_v5!B46&lt;&gt;"PASS","",IF(ISNUMBER(C4),D4,0))</x:f>
      </x:c>
      <x:c r="G4" s="161"/>
      <x:c r="H4" s="161"/>
    </x:row>
    <x:row r="5" ht="28" customHeight="1">
      <x:c r="A5" s="161" t="str">
        <x:v>Formă recentă xG/xGA</x:v>
      </x:c>
      <x:c r="B5" s="161"/>
      <x:c r="C5" s="161" t="str">
        <x:f>IF(BTTS_Prior_v5!B46&lt;&gt;"PASS","",IF(COUNT(BTTS_Prior_v5!P18,BTTS_Prior_v5!P19,BTTS_Prior_v5!P36,BTTS_Prior_v5!P37)=0,"",MIN(100,SUM(IF(ISNUMBER(BTTS_Prior_v5!P18),MIN(1,BTTS_Prior_v5!P18/1.4),0),IF(ISNUMBER(BTTS_Prior_v5!P19),MIN(1,BTTS_Prior_v5!P19/1.4),0),IF(ISNUMBER(BTTS_Prior_v5!P36),MIN(1,BTTS_Prior_v5!P36/1.4),0),IF(ISNUMBER(BTTS_Prior_v5!P37),MIN(1,BTTS_Prior_v5!P37/1.4),0))/COUNT(BTTS_Prior_v5!P18,BTTS_Prior_v5!P19,BTTS_Prior_v5!P36,BTTS_Prior_v5!P37)*100)))</x:f>
      </x:c>
      <x:c r="D5" s="166" t="n">
        <x:v>10</x:v>
      </x:c>
      <x:c r="E5" s="161" t="str">
        <x:f t="shared" si="0">IF(BTTS_Prior_v5!B46&lt;&gt;"PASS","",IF(ISNUMBER(C5),C5*D5,0))</x:f>
      </x:c>
      <x:c r="F5" s="161" t="str">
        <x:f>IF(BTTS_Prior_v5!B46&lt;&gt;"PASS","",IF(ISNUMBER(C5),D5,0))</x:f>
      </x:c>
      <x:c r="G5" s="161"/>
      <x:c r="H5" s="161"/>
    </x:row>
    <x:row r="6" ht="28" customHeight="1">
      <x:c r="A6" s="161" t="str">
        <x:v>BTTS istoric</x:v>
      </x:c>
      <x:c r="B6" s="161"/>
      <x:c r="C6" s="161" t="str">
        <x:f>IF(BTTS_Prior_v5!B46&lt;&gt;"PASS","",IF(ISNUMBER('3_Calcul_BTTS'!B47),'3_Calcul_BTTS'!B47*100,""))</x:f>
      </x:c>
      <x:c r="D6" s="166" t="n">
        <x:v>7</x:v>
      </x:c>
      <x:c r="E6" s="161" t="str">
        <x:f t="shared" si="0">IF(BTTS_Prior_v5!B46&lt;&gt;"PASS","",IF(ISNUMBER(C6),C6*D6,0))</x:f>
      </x:c>
      <x:c r="F6" s="161" t="str">
        <x:f>IF(BTTS_Prior_v5!B46&lt;&gt;"PASS","",IF(ISNUMBER(C6),D6,0))</x:f>
      </x:c>
      <x:c r="G6" s="161"/>
      <x:c r="H6" s="161"/>
    </x:row>
    <x:row r="7" ht="28" customHeight="1">
      <x:c r="A7" s="161" t="str">
        <x:v>Șuturi / SOT / big chances</x:v>
      </x:c>
      <x:c r="B7" s="161"/>
      <x:c r="C7" s="161" t="str">
        <x:f>IF(BTTS_Prior_v5!B46&lt;&gt;"PASS","",IF(COUNT('3_Calcul_BTTS'!B48:B49)=0,"",AVERAGE('3_Calcul_BTTS'!B48:B49)*100))</x:f>
      </x:c>
      <x:c r="D7" s="166" t="n">
        <x:v>5</x:v>
      </x:c>
      <x:c r="E7" s="161" t="str">
        <x:f t="shared" si="0">IF(BTTS_Prior_v5!B46&lt;&gt;"PASS","",IF(ISNUMBER(C7),C7*D7,0))</x:f>
      </x:c>
      <x:c r="F7" s="161" t="str">
        <x:f>IF(BTTS_Prior_v5!B46&lt;&gt;"PASS","",IF(ISNUMBER(C7),D7,0))</x:f>
      </x:c>
      <x:c r="G7" s="161"/>
      <x:c r="H7" s="161"/>
    </x:row>
    <x:row r="8" ht="28" customHeight="1">
      <x:c r="A8" s="161" t="str">
        <x:v>Dezechilibru bilateral</x:v>
      </x:c>
      <x:c r="B8" s="161"/>
      <x:c r="C8" s="161" t="str">
        <x:f>IF(BTTS_Prior_v5!B46&lt;&gt;"PASS","",MAX(0,100-ABS('3_Calcul_BTTS'!B69-'3_Calcul_BTTS'!B70)*120))</x:f>
      </x:c>
      <x:c r="D8" s="166" t="n">
        <x:v>5</x:v>
      </x:c>
      <x:c r="E8" s="161" t="str">
        <x:f t="shared" si="0">IF(BTTS_Prior_v5!B46&lt;&gt;"PASS","",IF(ISNUMBER(C8),C8*D8,0))</x:f>
      </x:c>
      <x:c r="F8" s="161" t="str">
        <x:f>IF(BTTS_Prior_v5!B46&lt;&gt;"PASS","",IF(ISNUMBER(C8),D8,0))</x:f>
      </x:c>
      <x:c r="G8" s="161"/>
      <x:c r="H8" s="161"/>
    </x:row>
    <x:row r="9" ht="28" customHeight="1">
      <x:c r="A9" s="161" t="str">
        <x:v>Preț / EV exclus</x:v>
      </x:c>
      <x:c r="B9" s="161"/>
      <x:c r="C9" s="161" t="str">
        <x:f>IF(BTTS_Prior_v5!B46&lt;&gt;"PASS","","")</x:f>
      </x:c>
      <x:c r="D9" s="166" t="n">
        <x:v>0</x:v>
      </x:c>
      <x:c r="E9" s="161" t="str">
        <x:f t="shared" si="0">IF(BTTS_Prior_v5!B46&lt;&gt;"PASS","",IF(ISNUMBER(C9),C9*D9,0))</x:f>
      </x:c>
      <x:c r="F9" s="161" t="str">
        <x:f>IF(BTTS_Prior_v5!B46&lt;&gt;"PASS","",IF(ISNUMBER(C9),D9,0))</x:f>
      </x:c>
      <x:c r="G9" s="161"/>
      <x:c r="H9" s="161"/>
    </x:row>
    <x:row r="10" ht="28" customHeight="1">
      <x:c r="A10" s="161" t="str">
        <x:v>Disponibilitate atac</x:v>
      </x:c>
      <x:c r="B10" s="161"/>
      <x:c r="C10" s="161" t="str">
        <x:f>IF(BTTS_Prior_v5!B46&lt;&gt;"PASS","",IF('2_Context'!B28="VERIFIED",MIN(100,MAX(0,50+AVERAGE('2_Context'!B9:C10)*12.5)),""))</x:f>
      </x:c>
      <x:c r="D10" s="166" t="n">
        <x:v>4</x:v>
      </x:c>
      <x:c r="E10" s="161" t="str">
        <x:f t="shared" si="0">IF(BTTS_Prior_v5!B46&lt;&gt;"PASS","",IF(ISNUMBER(C10),C10*D10,0))</x:f>
      </x:c>
      <x:c r="F10" s="161" t="str">
        <x:f>IF(BTTS_Prior_v5!B46&lt;&gt;"PASS","",IF(ISNUMBER(C10),D10,0))</x:f>
      </x:c>
      <x:c r="G10" s="161"/>
      <x:c r="H10" s="161"/>
    </x:row>
    <x:row r="11" ht="28" customHeight="1">
      <x:c r="A11" s="161" t="str">
        <x:v>Stil / tactică</x:v>
      </x:c>
      <x:c r="B11" s="161"/>
      <x:c r="C11" s="161" t="str">
        <x:f>IF(BTTS_Prior_v5!B46&lt;&gt;"PASS","",IF('2_Context'!B28="VERIFIED",MIN(100,MAX(0,50+AVERAGE('2_Context'!B6:C7,-'2_Context'!B8,-'2_Context'!C8)*10)),""))</x:f>
      </x:c>
      <x:c r="D11" s="166" t="n">
        <x:v>2</x:v>
      </x:c>
      <x:c r="E11" s="161" t="str">
        <x:f t="shared" si="0">IF(BTTS_Prior_v5!B46&lt;&gt;"PASS","",IF(ISNUMBER(C11),C11*D11,0))</x:f>
      </x:c>
      <x:c r="F11" s="161" t="str">
        <x:f>IF(BTTS_Prior_v5!B46&lt;&gt;"PASS","",IF(ISNUMBER(C11),D11,0))</x:f>
      </x:c>
      <x:c r="G11" s="161"/>
      <x:c r="H11" s="161"/>
    </x:row>
    <x:row r="12" ht="28" customHeight="1">
      <x:c r="A12" s="161" t="str">
        <x:v>Miză / context</x:v>
      </x:c>
      <x:c r="B12" s="161"/>
      <x:c r="C12" s="161" t="str">
        <x:f>IF(BTTS_Prior_v5!B46&lt;&gt;"PASS","",IF('2_Context'!B28="VERIFIED",MIN(100,MAX(0,50+AVERAGE('2_Context'!B5:C5)*12.5)),""))</x:f>
      </x:c>
      <x:c r="D12" s="166" t="n">
        <x:v>2</x:v>
      </x:c>
      <x:c r="E12" s="161" t="str">
        <x:f t="shared" si="0">IF(BTTS_Prior_v5!B46&lt;&gt;"PASS","",IF(ISNUMBER(C12),C12*D12,0))</x:f>
      </x:c>
      <x:c r="F12" s="161" t="str">
        <x:f>IF(BTTS_Prior_v5!B46&lt;&gt;"PASS","",IF(ISNUMBER(C12),D12,0))</x:f>
      </x:c>
      <x:c r="G12" s="161"/>
      <x:c r="H12" s="161"/>
    </x:row>
    <x:row r="13" ht="28" customHeight="1">
      <x:c r="A13" s="161"/>
      <x:c r="B13" s="161"/>
      <x:c r="C13" s="161"/>
      <x:c r="D13" s="161"/>
      <x:c r="E13" s="161"/>
      <x:c r="F13" s="161"/>
      <x:c r="G13" s="161"/>
      <x:c r="H13" s="161"/>
    </x:row>
    <x:row r="14" ht="28" customHeight="1">
      <x:c r="A14" s="161" t="str">
        <x:v>Scor total BTTS</x:v>
      </x:c>
      <x:c r="B14" s="191" t="str">
        <x:f>IF(BTTS_Prior_v5!B46&lt;&gt;"PASS","",SUM(E3:E12)/SUM(F3:F12))</x:f>
      </x:c>
      <x:c r="C14" s="161"/>
      <x:c r="D14" s="161"/>
      <x:c r="E14" s="161"/>
      <x:c r="F14" s="161"/>
      <x:c r="G14" s="161"/>
      <x:c r="H14" s="161"/>
    </x:row>
    <x:row r="15" ht="28" customHeight="1">
      <x:c r="A15" s="161" t="str">
        <x:v>Lambda total</x:v>
      </x:c>
      <x:c r="B15" s="161" t="str">
        <x:f>IF(BTTS_Prior_v5!B46&lt;&gt;"PASS","",'3_Calcul_BTTS'!B32)</x:f>
      </x:c>
      <x:c r="C15" s="161"/>
      <x:c r="D15" s="161"/>
      <x:c r="E15" s="161"/>
      <x:c r="F15" s="161"/>
      <x:c r="G15" s="161"/>
      <x:c r="H15" s="161"/>
    </x:row>
    <x:row r="16" ht="28" customHeight="1">
      <x:c r="A16" s="161" t="str">
        <x:v>Weakest P(score)</x:v>
      </x:c>
      <x:c r="B16" s="166" t="str">
        <x:f>IF(BTTS_Prior_v5!B46&lt;&gt;"PASS","",'3_Calcul_BTTS'!B71)</x:f>
      </x:c>
      <x:c r="C16" s="161"/>
      <x:c r="D16" s="161"/>
      <x:c r="E16" s="161"/>
      <x:c r="F16" s="161"/>
      <x:c r="G16" s="161"/>
      <x:c r="H16" s="161"/>
    </x:row>
    <x:row r="17" ht="28" customHeight="1">
      <x:c r="A17" s="161" t="str">
        <x:v>P BTTS ajustată</x:v>
      </x:c>
      <x:c r="B17" s="166" t="str">
        <x:f>IF(BTTS_Prior_v5!B46&lt;&gt;"PASS","",'3_Calcul_BTTS'!B90)</x:f>
      </x:c>
      <x:c r="C17" s="161"/>
      <x:c r="D17" s="161"/>
      <x:c r="E17" s="161"/>
      <x:c r="F17" s="161"/>
      <x:c r="G17" s="161"/>
      <x:c r="H17" s="161"/>
    </x:row>
    <x:row r="18" ht="28" customHeight="1">
      <x:c r="A18" s="161" t="str">
        <x:v>Verdict final unic</x:v>
      </x:c>
      <x:c r="B18" s="161" t="str">
        <x:f>IF(BTTS_Prior_v5!B46="INCOMPLETE","ANALIZA INCOMPLETA",IF(OR(BTTS_Prior_v5!B46="FAIL",BTTS_Gates_v4!B16&lt;&gt;"PASS"),"NO BET",IF(Risk_Classification!B39=5,"NO BET",B28)))</x:f>
        <x:v>ANALIZA INCOMPLETA</x:v>
      </x:c>
      <x:c r="C18" s="161"/>
      <x:c r="D18" s="161"/>
      <x:c r="E18" s="161"/>
      <x:c r="F18" s="161"/>
      <x:c r="G18" s="161"/>
      <x:c r="H18" s="161"/>
    </x:row>
    <x:row r="19" ht="28" customHeight="1">
      <x:c r="A19" s="161"/>
      <x:c r="B19" s="161"/>
      <x:c r="C19" s="161"/>
      <x:c r="D19" s="161"/>
      <x:c r="E19" s="161"/>
      <x:c r="F19" s="161"/>
      <x:c r="G19" s="161"/>
      <x:c r="H19" s="161"/>
    </x:row>
    <x:row r="20" ht="28" customHeight="1">
      <x:c r="A20" s="216"/>
      <x:c r="B20" s="217"/>
      <x:c r="C20" s="217"/>
      <x:c r="D20" s="217"/>
      <x:c r="E20" s="217"/>
      <x:c r="F20" s="217"/>
      <x:c r="G20" s="217"/>
      <x:c r="H20" s="217"/>
    </x:row>
    <x:row r="21" ht="28" customHeight="1">
      <x:c r="A21" s="161" t="str">
        <x:v>Scoring Gazde</x:v>
      </x:c>
      <x:c r="B21" s="166" t="str">
        <x:f>IF(BTTS_Prior_v5!B46&lt;&gt;"PASS","",'3_Calcul_BTTS'!B69)</x:f>
      </x:c>
      <x:c r="C21" s="161"/>
      <x:c r="D21" s="161"/>
      <x:c r="E21" s="161"/>
      <x:c r="F21" s="161"/>
      <x:c r="G21" s="161"/>
      <x:c r="H21" s="161"/>
    </x:row>
    <x:row r="22" ht="28" customHeight="1">
      <x:c r="A22" s="161" t="str">
        <x:v>Scoring Oaspeți</x:v>
      </x:c>
      <x:c r="B22" s="166" t="str">
        <x:f>IF(BTTS_Prior_v5!B46&lt;&gt;"PASS","",'3_Calcul_BTTS'!B70)</x:f>
      </x:c>
      <x:c r="C22" s="161"/>
      <x:c r="D22" s="161"/>
      <x:c r="E22" s="161"/>
      <x:c r="F22" s="161"/>
      <x:c r="G22" s="161"/>
      <x:c r="H22" s="161"/>
    </x:row>
    <x:row r="23" ht="28" customHeight="1">
      <x:c r="A23" s="161" t="str">
        <x:v>Weakest scoring</x:v>
      </x:c>
      <x:c r="B23" s="166" t="str">
        <x:f>IF(BTTS_Prior_v5!B46&lt;&gt;"PASS","",'3_Calcul_BTTS'!B71)</x:f>
      </x:c>
      <x:c r="C23" s="161"/>
      <x:c r="D23" s="161"/>
      <x:c r="E23" s="161"/>
      <x:c r="F23" s="161"/>
      <x:c r="G23" s="161"/>
      <x:c r="H23" s="161"/>
    </x:row>
    <x:row r="24" ht="28" customHeight="1">
      <x:c r="A24" s="161" t="str">
        <x:v>Mismatch</x:v>
      </x:c>
      <x:c r="B24" s="166" t="str">
        <x:f>IF(BTTS_Prior_v5!B46&lt;&gt;"PASS","",'3_Calcul_BTTS'!B72)</x:f>
      </x:c>
      <x:c r="C24" s="161"/>
      <x:c r="D24" s="161"/>
      <x:c r="E24" s="161"/>
      <x:c r="F24" s="161"/>
      <x:c r="G24" s="161"/>
      <x:c r="H24" s="161"/>
    </x:row>
    <x:row r="25" ht="28" customHeight="1">
      <x:c r="A25" s="161" t="str">
        <x:v>Blank estimat weakest</x:v>
      </x:c>
      <x:c r="B25" s="166" t="str">
        <x:f>IF(BTTS_Prior_v5!B46&lt;&gt;"PASS","",'3_Calcul_BTTS'!B73)</x:f>
      </x:c>
      <x:c r="C25" s="161"/>
      <x:c r="D25" s="161"/>
      <x:c r="E25" s="161"/>
      <x:c r="F25" s="161"/>
      <x:c r="G25" s="161"/>
      <x:c r="H25" s="161"/>
    </x:row>
    <x:row r="26" ht="28" customHeight="1">
      <x:c r="A26" s="161" t="str">
        <x:v>Penalizare P1</x:v>
      </x:c>
      <x:c r="B26" s="166" t="str">
        <x:f>IF(BTTS_Prior_v5!B46&lt;&gt;"PASS","",'3_Calcul_BTTS'!B77)</x:f>
      </x:c>
      <x:c r="C26" s="161"/>
      <x:c r="D26" s="161"/>
      <x:c r="E26" s="161"/>
      <x:c r="F26" s="161"/>
      <x:c r="G26" s="161"/>
      <x:c r="H26" s="161"/>
    </x:row>
    <x:row r="27" ht="28" customHeight="1">
      <x:c r="A27" s="161"/>
      <x:c r="B27" s="161"/>
      <x:c r="C27" s="161"/>
      <x:c r="D27" s="161"/>
      <x:c r="E27" s="161"/>
      <x:c r="F27" s="161"/>
      <x:c r="G27" s="161"/>
      <x:c r="H27" s="161"/>
    </x:row>
    <x:row r="28" ht="28" customHeight="1">
      <x:c r="A28" s="161" t="str">
        <x:v>Semnal probabilistic brut</x:v>
      </x:c>
      <x:c r="B28" s="161" t="str">
        <x:f>IF(BTTS_Prior_v5!B46&lt;&gt;"PASS","",IF(OR('3_Calcul_BTTS'!B71&lt;Config_BTTS!B23,'3_Calcul_BTTS'!B72&gt;Config_BTTS!B24),"AVOID",IF(AND(B17&gt;=Config_BTTS!B17,B14&gt;=Config_BTTS!B18,'3_Calcul_BTTS'!B92="PASS"),"STRONG BET",IF(AND(B17&gt;=Config_BTTS!B19,B14&gt;=Config_BTTS!B20,'3_Calcul_BTTS'!B71&gt;=Config_BTTS!B10,'3_Calcul_BTTS'!B72&lt;=Config_BTTS!B21),"BET",IF(B17&gt;=Config_BTTS!B22,"LEAN","NO BET")))))</x:f>
      </x:c>
      <x:c r="C28" s="161"/>
      <x:c r="D28" s="161"/>
      <x:c r="E28" s="161"/>
      <x:c r="F28" s="161"/>
      <x:c r="G28" s="161"/>
      <x:c r="H28" s="161"/>
    </x:row>
    <x:row r="29" ht="28" customHeight="1">
      <x:c r="A29" s="161" t="str">
        <x:v>Risk Level final</x:v>
      </x:c>
      <x:c r="B29" s="161" t="str">
        <x:f>IF(ISNUMBER(Risk_Classification!B39),Risk_Classification!B39,"")</x:f>
      </x:c>
      <x:c r="C29" s="161"/>
      <x:c r="D29" s="161"/>
      <x:c r="E29" s="161"/>
      <x:c r="F29" s="161"/>
      <x:c r="G29" s="161"/>
      <x:c r="H29" s="161"/>
    </x:row>
    <x:row r="30" ht="28" customHeight="1">
      <x:c r="A30" s="161" t="str">
        <x:v>Risk Verdict</x:v>
      </x:c>
      <x:c r="B30" s="161" t="str">
        <x:f>Risk_Classification!B40</x:f>
        <x:v>ANALIZA INCOMPLETA</x:v>
      </x:c>
      <x:c r="C30" s="161"/>
      <x:c r="D30" s="161"/>
      <x:c r="E30" s="161"/>
      <x:c r="F30" s="161"/>
      <x:c r="G30" s="161"/>
      <x:c r="H30" s="161"/>
    </x:row>
    <x:row r="31" ht="28" customHeight="1">
      <x:c r="A31" s="161" t="str">
        <x:v>Builder Eligible</x:v>
      </x:c>
      <x:c r="B31" s="161" t="str">
        <x:f>BTTS_Gates_v4!B22</x:f>
        <x:v>NO</x:v>
      </x:c>
      <x:c r="C31" s="161"/>
      <x:c r="D31" s="161"/>
      <x:c r="E31" s="161"/>
      <x:c r="F31" s="161"/>
      <x:c r="G31" s="161"/>
      <x:c r="H31" s="161"/>
    </x:row>
    <x:row r="32" ht="28" customHeight="1">
      <x:c r="A32" s="161"/>
      <x:c r="B32" s="161"/>
      <x:c r="C32" s="161"/>
      <x:c r="D32" s="161"/>
      <x:c r="E32" s="161"/>
      <x:c r="F32" s="161"/>
      <x:c r="G32" s="161"/>
      <x:c r="H32" s="161"/>
    </x:row>
    <x:row r="33" ht="28" customHeight="1">
      <x:c r="A33" s="161"/>
      <x:c r="B33" s="161"/>
      <x:c r="C33" s="161"/>
      <x:c r="D33" s="161"/>
      <x:c r="E33" s="161"/>
      <x:c r="F33" s="161"/>
      <x:c r="G33" s="161"/>
      <x:c r="H33" s="161"/>
    </x:row>
    <x:row r="34" ht="28" customHeight="1">
      <x:c r="A34" s="161"/>
      <x:c r="B34" s="161"/>
      <x:c r="C34" s="161"/>
      <x:c r="D34" s="161"/>
      <x:c r="E34" s="161"/>
      <x:c r="F34" s="161"/>
      <x:c r="G34" s="161"/>
      <x:c r="H34" s="161"/>
    </x:row>
    <x:row r="35" ht="28" customHeight="1">
      <x:c r="A35" s="161"/>
      <x:c r="B35" s="161"/>
      <x:c r="C35" s="161"/>
      <x:c r="D35" s="161"/>
      <x:c r="E35" s="161"/>
      <x:c r="F35" s="161"/>
      <x:c r="G35" s="161"/>
      <x:c r="H35" s="161"/>
    </x:row>
  </x:sheetData>
  <x:mergeCells>
    <x:mergeCell ref="A1:H1"/>
  </x:mergeCells>
  <x:conditionalFormatting sqref="B18:B31">
    <x:cfRule type="containsText" dxfId="8" priority="1" operator="containsText" text="FAIL"/>
    <x:cfRule type="containsText" dxfId="9" priority="2" operator="containsText" text="INCOMPLETE"/>
    <x:cfRule type="containsText" dxfId="10" priority="3" operator="containsText" text="NO BET"/>
    <x:cfRule type="containsText" dxfId="11" priority="4" operator="containsText" text="DEFENSIV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8" customWidth="1"/>
    <x:col min="3" max="3" width="22" hidden="0" customWidth="1"/>
    <x:col min="4" max="5" width="42" customWidth="1"/>
    <x:col min="6" max="7" width="20" customWidth="1"/>
    <x:col min="8" max="8" width="22" hidden="0" customWidth="1"/>
    <x:col min="1" max="1" width="43" hidden="0" customWidth="1"/>
    <x:col min="2" max="2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2" customHeight="1">
      <x:c r="A1" s="203" t="str">
        <x:v>BTTS v2 – risc calculat automat</x:v>
      </x:c>
      <x:c r="B1" s="203"/>
      <x:c r="C1" s="203"/>
      <x:c r="D1" s="203"/>
      <x:c r="E1" s="203"/>
      <x:c r="F1" s="203"/>
      <x:c r="G1" s="203"/>
      <x:c r="H1" s="203"/>
    </x:row>
    <x:row r="2" ht="28" customHeight="1">
      <x:c r="A2" s="161"/>
      <x:c r="B2" s="161"/>
      <x:c r="C2" s="161"/>
      <x:c r="D2" s="161"/>
      <x:c r="E2" s="161"/>
      <x:c r="F2" s="161"/>
      <x:c r="G2" s="161"/>
      <x:c r="H2" s="161"/>
    </x:row>
    <x:row r="3" ht="38" customHeight="1">
      <x:c r="A3" s="180" t="str">
        <x:v>Componentă</x:v>
      </x:c>
      <x:c r="B3" s="180" t="str">
        <x:v>Pondere</x:v>
      </x:c>
      <x:c r="C3" s="180" t="str">
        <x:v>Scor 0–100</x:v>
      </x:c>
      <x:c r="D3" s="180" t="str">
        <x:v>Definiție</x:v>
      </x:c>
      <x:c r="E3" s="180"/>
      <x:c r="F3" s="165"/>
      <x:c r="G3" s="165"/>
      <x:c r="H3" s="165"/>
    </x:row>
    <x:row r="4" ht="28" customHeight="1">
      <x:c r="A4" s="161" t="str">
        <x:v>Data Quality</x:v>
      </x:c>
      <x:c r="B4" s="170" t="n">
        <x:f>Config_BTTS!B43</x:f>
        <x:v>0.25</x:v>
      </x:c>
      <x:c r="C4" s="161" t="str">
        <x:f>IF(ISNUMBER(B28),B28,"")</x:f>
      </x:c>
      <x:c r="D4" s="161"/>
      <x:c r="E4" s="161"/>
      <x:c r="F4" s="161"/>
      <x:c r="G4" s="161"/>
      <x:c r="H4" s="161"/>
    </x:row>
    <x:row r="5" ht="28" customHeight="1">
      <x:c r="A5" s="161" t="str">
        <x:v>Tail / Failure BTTS</x:v>
      </x:c>
      <x:c r="B5" s="170" t="n">
        <x:f>Config_BTTS!B44</x:f>
        <x:v>0.3</x:v>
      </x:c>
      <x:c r="C5" s="161" t="str">
        <x:f>IF(ISNUMBER(B29),B29,"")</x:f>
      </x:c>
      <x:c r="D5" s="161"/>
      <x:c r="E5" s="161"/>
      <x:c r="F5" s="161"/>
      <x:c r="G5" s="161"/>
      <x:c r="H5" s="161"/>
    </x:row>
    <x:row r="6" ht="28" customHeight="1">
      <x:c r="A6" s="161" t="str">
        <x:v>Structură bilaterală</x:v>
      </x:c>
      <x:c r="B6" s="170" t="n">
        <x:f>Config_BTTS!B45</x:f>
        <x:v>0.15</x:v>
      </x:c>
      <x:c r="C6" s="161" t="str">
        <x:f>IF(ISNUMBER(B30),B30,"")</x:f>
      </x:c>
      <x:c r="D6" s="161"/>
      <x:c r="E6" s="161"/>
      <x:c r="F6" s="161"/>
      <x:c r="G6" s="161"/>
      <x:c r="H6" s="161"/>
    </x:row>
    <x:row r="7" ht="28" customHeight="1">
      <x:c r="A7" s="161" t="str">
        <x:v>Context / Game-State</x:v>
      </x:c>
      <x:c r="B7" s="170" t="n">
        <x:f>Config_BTTS!B46</x:f>
        <x:v>0.15</x:v>
      </x:c>
      <x:c r="C7" s="161" t="str">
        <x:f>IF(ISNUMBER(B31),B31,"")</x:f>
      </x:c>
      <x:c r="D7" s="161"/>
      <x:c r="E7" s="161"/>
      <x:c r="F7" s="161"/>
      <x:c r="G7" s="161"/>
      <x:c r="H7" s="161"/>
    </x:row>
    <x:row r="8" ht="28" customHeight="1">
      <x:c r="A8" s="161" t="str">
        <x:v>Model Uncertainty</x:v>
      </x:c>
      <x:c r="B8" s="170" t="n">
        <x:f>Config_BTTS!B47</x:f>
        <x:v>0.1</x:v>
      </x:c>
      <x:c r="C8" s="161" t="str">
        <x:f>IF(ISNUMBER(B32),B32,"")</x:f>
      </x:c>
      <x:c r="D8" s="161"/>
      <x:c r="E8" s="161"/>
      <x:c r="F8" s="161"/>
      <x:c r="G8" s="161"/>
      <x:c r="H8" s="161"/>
    </x:row>
    <x:row r="9" ht="28" customHeight="1">
      <x:c r="A9" s="161" t="str">
        <x:v>Market / Price</x:v>
      </x:c>
      <x:c r="B9" s="170" t="n">
        <x:f>Config_BTTS!B48</x:f>
        <x:v>0</x:v>
      </x:c>
      <x:c r="C9" s="161" t="str">
        <x:f>IF(ISNUMBER(B33),B33,"")</x:f>
      </x:c>
      <x:c r="D9" s="161"/>
      <x:c r="E9" s="161"/>
      <x:c r="F9" s="161"/>
      <x:c r="G9" s="161"/>
      <x:c r="H9" s="161"/>
    </x:row>
    <x:row r="10" ht="28" customHeight="1">
      <x:c r="A10" s="161" t="str">
        <x:v>Compound blank</x:v>
      </x:c>
      <x:c r="B10" s="170" t="n">
        <x:f>Config_BTTS!B49</x:f>
        <x:v>0.05</x:v>
      </x:c>
      <x:c r="C10" s="161" t="str">
        <x:f>IF(ISNUMBER(B34),B34,"")</x:f>
      </x:c>
      <x:c r="D10" s="161"/>
      <x:c r="E10" s="161"/>
      <x:c r="F10" s="161"/>
      <x:c r="G10" s="161"/>
      <x:c r="H10" s="161"/>
    </x:row>
    <x:row r="11" ht="28" customHeight="1">
      <x:c r="A11" s="161"/>
      <x:c r="B11" s="161"/>
      <x:c r="C11" s="161"/>
      <x:c r="D11" s="161"/>
      <x:c r="E11" s="161"/>
      <x:c r="F11" s="161"/>
      <x:c r="G11" s="161"/>
      <x:c r="H11" s="161"/>
    </x:row>
    <x:row r="12" ht="28" customHeight="1">
      <x:c r="A12" s="185"/>
      <x:c r="B12" s="185"/>
      <x:c r="C12" s="185"/>
      <x:c r="D12" s="185"/>
      <x:c r="E12" s="161"/>
      <x:c r="F12" s="161"/>
      <x:c r="G12" s="161"/>
      <x:c r="H12" s="161"/>
    </x:row>
    <x:row r="13" ht="42" customHeight="1">
      <x:c r="A13" s="161" t="str">
        <x:v>0–20: Level 1 numai cu gate DEFENSIV PASS; altfel minimum Level 2.</x:v>
      </x:c>
      <x:c r="B13" s="161"/>
      <x:c r="C13" s="161"/>
      <x:c r="D13" s="161"/>
      <x:c r="E13" s="161"/>
      <x:c r="F13" s="161"/>
      <x:c r="G13" s="161"/>
      <x:c r="H13" s="161"/>
    </x:row>
    <x:row r="14" ht="42" customHeight="1">
      <x:c r="A14" s="161" t="str">
        <x:v>Peste 20–40: Level 2; peste 40–60: Level 3; peste 60–80: Level 4; peste 80: Level 5.</x:v>
      </x:c>
      <x:c r="B14" s="161"/>
      <x:c r="C14" s="161"/>
      <x:c r="D14" s="161"/>
      <x:c r="E14" s="161"/>
      <x:c r="F14" s="161"/>
      <x:c r="G14" s="161"/>
      <x:c r="H14" s="161"/>
    </x:row>
    <x:row r="15" ht="42" customHeight="1">
      <x:c r="A15" s="161" t="str">
        <x:v>G0 FAIL / NO BET prevalează: Level 5. Date neînchise: nivel neatribuit, ANALIZA INCOMPLETA.</x:v>
      </x:c>
      <x:c r="B15" s="161"/>
      <x:c r="C15" s="161"/>
      <x:c r="D15" s="161"/>
      <x:c r="E15" s="161"/>
      <x:c r="F15" s="161"/>
      <x:c r="G15" s="161"/>
      <x:c r="H15" s="161"/>
    </x:row>
    <x:row r="16" ht="42" customHeight="1">
      <x:c r="A16" s="161" t="str">
        <x:v>Scorurile provin din date. Nicio intrare manuală zero nu certifică un risc mic.</x:v>
      </x:c>
      <x:c r="B16" s="161"/>
      <x:c r="C16" s="161"/>
      <x:c r="D16" s="161"/>
      <x:c r="E16" s="161"/>
      <x:c r="F16" s="161"/>
      <x:c r="G16" s="161"/>
      <x:c r="H16" s="161"/>
    </x:row>
    <x:row r="17" ht="28" customHeight="1">
      <x:c r="A17" s="161"/>
      <x:c r="B17" s="161"/>
      <x:c r="C17" s="161"/>
      <x:c r="D17" s="161"/>
      <x:c r="E17" s="161"/>
      <x:c r="F17" s="161"/>
      <x:c r="G17" s="161"/>
      <x:c r="H17" s="161"/>
    </x:row>
    <x:row r="18" ht="28" customHeight="1">
      <x:c r="A18" s="161"/>
      <x:c r="B18" s="161"/>
      <x:c r="C18" s="161"/>
      <x:c r="D18" s="161"/>
      <x:c r="E18" s="161"/>
      <x:c r="F18" s="161"/>
      <x:c r="G18" s="161"/>
      <x:c r="H18" s="161"/>
    </x:row>
    <x:row r="19" ht="28" customHeight="1">
      <x:c r="A19" s="185"/>
      <x:c r="B19" s="185"/>
      <x:c r="C19" s="185"/>
      <x:c r="D19" s="185"/>
      <x:c r="E19" s="161"/>
      <x:c r="F19" s="161"/>
      <x:c r="G19" s="161"/>
      <x:c r="H19" s="161"/>
    </x:row>
    <x:row r="20" ht="28" customHeight="1">
      <x:c r="A20" s="161" t="str">
        <x:v>Floor BTTS</x:v>
      </x:c>
      <x:c r="B20" s="161" t="str">
        <x:v>1 condiționat</x:v>
      </x:c>
      <x:c r="C20" s="161"/>
      <x:c r="D20" s="161"/>
      <x:c r="E20" s="161"/>
      <x:c r="F20" s="161"/>
      <x:c r="G20" s="161"/>
      <x:c r="H20" s="161"/>
    </x:row>
    <x:row r="21" ht="28" customHeight="1">
      <x:c r="A21" s="161" t="str">
        <x:v>Failure dominant</x:v>
      </x:c>
      <x:c r="B21" s="161" t="str">
        <x:v>Weakest blank / opponent CS</x:v>
      </x:c>
      <x:c r="C21" s="161"/>
      <x:c r="D21" s="161"/>
      <x:c r="E21" s="161"/>
      <x:c r="F21" s="161"/>
      <x:c r="G21" s="161"/>
      <x:c r="H21" s="161"/>
    </x:row>
    <x:row r="22" ht="28" customHeight="1">
      <x:c r="A22" s="161" t="str">
        <x:v>Hard fail</x:v>
      </x:c>
      <x:c r="B22" s="161" t="str">
        <x:v>FAIL =&gt; 5</x:v>
      </x:c>
      <x:c r="C22" s="161"/>
      <x:c r="D22" s="161"/>
      <x:c r="E22" s="161"/>
      <x:c r="F22" s="161"/>
      <x:c r="G22" s="161"/>
      <x:c r="H22" s="161"/>
    </x:row>
    <x:row r="23" ht="28" customHeight="1">
      <x:c r="A23" s="161" t="str">
        <x:v>EV / preț</x:v>
      </x:c>
      <x:c r="B23" s="161" t="str">
        <x:v>0% influență</x:v>
      </x:c>
      <x:c r="C23" s="161"/>
      <x:c r="D23" s="161"/>
      <x:c r="E23" s="161"/>
      <x:c r="F23" s="161"/>
      <x:c r="G23" s="161"/>
      <x:c r="H23" s="161"/>
    </x:row>
    <x:row r="24" ht="28" customHeight="1">
      <x:c r="A24" s="161" t="str">
        <x:v>Builder</x:v>
      </x:c>
      <x:c r="B24" s="161" t="str">
        <x:v>Verdict unic + G0 PASS</x:v>
      </x:c>
      <x:c r="C24" s="161"/>
      <x:c r="D24" s="161"/>
      <x:c r="E24" s="161"/>
      <x:c r="F24" s="161"/>
      <x:c r="G24" s="161"/>
      <x:c r="H24" s="161"/>
    </x:row>
    <x:row r="25" ht="28" customHeight="1">
      <x:c r="A25" s="161" t="str">
        <x:v>Ordine ranking</x:v>
      </x:c>
      <x:c r="B25" s="161" t="str">
        <x:v>G0 &gt; Risk &gt; P &gt; Confidence</x:v>
      </x:c>
      <x:c r="C25" s="161"/>
      <x:c r="D25" s="161"/>
      <x:c r="E25" s="161"/>
      <x:c r="F25" s="161"/>
      <x:c r="G25" s="161"/>
      <x:c r="H25" s="161"/>
    </x:row>
    <x:row r="26" ht="28" customHeight="1">
      <x:c r="A26" s="161"/>
      <x:c r="B26" s="161"/>
      <x:c r="C26" s="161"/>
      <x:c r="D26" s="161"/>
      <x:c r="E26" s="161"/>
      <x:c r="F26" s="161"/>
      <x:c r="G26" s="161"/>
      <x:c r="H26" s="161"/>
    </x:row>
    <x:row r="27" ht="28" customHeight="1">
      <x:c r="A27" s="219" t="str">
        <x:v>Componentă calculată</x:v>
      </x:c>
      <x:c r="B27" s="219" t="str">
        <x:v>Scor 0–100</x:v>
      </x:c>
      <x:c r="C27" s="219"/>
      <x:c r="D27" s="219"/>
      <x:c r="E27" s="219" t="str">
        <x:v>Pondere</x:v>
      </x:c>
      <x:c r="F27" s="219"/>
      <x:c r="G27" s="161"/>
      <x:c r="H27" s="161"/>
    </x:row>
    <x:row r="28" ht="28" customHeight="1">
      <x:c r="A28" s="161" t="str">
        <x:v>Data Quality</x:v>
      </x:c>
      <x:c r="B28" s="191" t="str">
        <x:f>IF(BTTS_Prior_v5!B46&lt;&gt;"PASS","",100*(1-BTTS_Prior_v5!B47))</x:f>
      </x:c>
      <x:c r="C28" s="161"/>
      <x:c r="D28" s="161"/>
      <x:c r="E28" s="170" t="n">
        <x:f>B4</x:f>
        <x:v>0.25</x:v>
      </x:c>
      <x:c r="F28" s="161"/>
      <x:c r="G28" s="161"/>
      <x:c r="H28" s="161"/>
    </x:row>
    <x:row r="29" ht="28" customHeight="1">
      <x:c r="A29" s="161" t="str">
        <x:v>Tail / Failure BTTS</x:v>
      </x:c>
      <x:c r="B29" s="191" t="str">
        <x:f>IF(BTTS_Prior_v5!B46&lt;&gt;"PASS","",100*(1-'3_Calcul_BTTS'!B90))</x:f>
      </x:c>
      <x:c r="C29" s="161"/>
      <x:c r="D29" s="161"/>
      <x:c r="E29" s="170" t="n">
        <x:f>B5</x:f>
        <x:v>0.3</x:v>
      </x:c>
      <x:c r="F29" s="161"/>
      <x:c r="G29" s="161"/>
      <x:c r="H29" s="161"/>
    </x:row>
    <x:row r="30" ht="28" customHeight="1">
      <x:c r="A30" s="161" t="str">
        <x:v>Structură bilaterală</x:v>
      </x:c>
      <x:c r="B30" s="191" t="str">
        <x:f>IF(BTTS_Prior_v5!B46&lt;&gt;"PASS","",100*MAX(BTTS_Gates_v4!B6:B9,'3_Calcul_BTTS'!B72))</x:f>
      </x:c>
      <x:c r="C30" s="161"/>
      <x:c r="D30" s="161"/>
      <x:c r="E30" s="170" t="n">
        <x:f>B6</x:f>
        <x:v>0.15</x:v>
      </x:c>
      <x:c r="F30" s="161"/>
      <x:c r="G30" s="161"/>
      <x:c r="H30" s="161"/>
    </x:row>
    <x:row r="31" ht="28" customHeight="1">
      <x:c r="A31" s="161" t="str">
        <x:v>Context / Game-State</x:v>
      </x:c>
      <x:c r="B31" s="191" t="str">
        <x:f>IF(BTTS_Prior_v5!B46&lt;&gt;"PASS","",IF('2_Context'!B28&lt;&gt;"VERIFIED",Config_BTTS!B34,MIN(100,25*(MAX(0,-'2_Context'!B5)+MAX(0,-'2_Context'!C5)+MAX(0,'2_Context'!B8)+MAX(0,'2_Context'!C8)+MAX(0,-'2_Context'!B9)+MAX(0,-'2_Context'!C9)+MAX(0,'2_Context'!B16)+MAX(0,'2_Context'!C16))/4)))</x:f>
      </x:c>
      <x:c r="C31" s="161"/>
      <x:c r="D31" s="161"/>
      <x:c r="E31" s="170" t="n">
        <x:f>B7</x:f>
        <x:v>0.15</x:v>
      </x:c>
      <x:c r="F31" s="161"/>
      <x:c r="G31" s="161"/>
      <x:c r="H31" s="161"/>
    </x:row>
    <x:row r="32" ht="28" customHeight="1">
      <x:c r="A32" s="161" t="str">
        <x:v>Model Uncertainty</x:v>
      </x:c>
      <x:c r="B32" s="191" t="str">
        <x:f>IF(BTTS_Prior_v5!B46&lt;&gt;"PASS","",100*AVERAGE(1-BTTS_Prior_v5!B48,MIN(1,ABS('3_Calcul_BTTS'!B37-'3_Calcul_BTTS'!B76)/Config_BTTS!B35)))</x:f>
      </x:c>
      <x:c r="C32" s="161"/>
      <x:c r="D32" s="161"/>
      <x:c r="E32" s="170" t="n">
        <x:f>B8</x:f>
        <x:v>0.1</x:v>
      </x:c>
      <x:c r="F32" s="161"/>
      <x:c r="G32" s="161"/>
      <x:c r="H32" s="161"/>
    </x:row>
    <x:row r="33" ht="28" customHeight="1">
      <x:c r="A33" s="161" t="str">
        <x:v>Market / Price</x:v>
      </x:c>
      <x:c r="B33" s="191" t="str">
        <x:f>IF(BTTS_Prior_v5!B46&lt;&gt;"PASS","",0)</x:f>
      </x:c>
      <x:c r="C33" s="161"/>
      <x:c r="D33" s="161"/>
      <x:c r="E33" s="170" t="n">
        <x:f>B9</x:f>
        <x:v>0</x:v>
      </x:c>
      <x:c r="F33" s="161"/>
      <x:c r="G33" s="161"/>
      <x:c r="H33" s="161"/>
    </x:row>
    <x:row r="34" ht="28" customHeight="1">
      <x:c r="A34" s="161" t="str">
        <x:v>Compound blank</x:v>
      </x:c>
      <x:c r="B34" s="191" t="str">
        <x:f>IF(BTTS_Prior_v5!B46&lt;&gt;"PASS","",100*MIN(1,(1-'3_Calcul_BTTS'!B69)*(1-'3_Calcul_BTTS'!B70)/Config_BTTS!B36))</x:f>
      </x:c>
      <x:c r="C34" s="161"/>
      <x:c r="D34" s="161"/>
      <x:c r="E34" s="170" t="n">
        <x:f>B10</x:f>
        <x:v>0.05</x:v>
      </x:c>
      <x:c r="F34" s="161"/>
      <x:c r="G34" s="161"/>
      <x:c r="H34" s="161"/>
    </x:row>
    <x:row r="35" ht="28" customHeight="1">
      <x:c r="A35" s="161"/>
      <x:c r="B35" s="191"/>
      <x:c r="C35" s="161"/>
      <x:c r="D35" s="161"/>
      <x:c r="E35" s="161"/>
      <x:c r="F35" s="161"/>
      <x:c r="G35" s="161"/>
      <x:c r="H35" s="161"/>
    </x:row>
    <x:row r="36" ht="28" customHeight="1">
      <x:c r="A36" s="200" t="str">
        <x:v>Risk Score calculat</x:v>
      </x:c>
      <x:c r="B36" s="204" t="str">
        <x:f>IF(BTTS_Prior_v5!B46&lt;&gt;"PASS","",SUMPRODUCT(B28:B34,E28:E34))</x:f>
      </x:c>
      <x:c r="C36" s="161"/>
      <x:c r="D36" s="161"/>
      <x:c r="E36" s="161"/>
      <x:c r="F36" s="161"/>
      <x:c r="G36" s="161"/>
      <x:c r="H36" s="161"/>
    </x:row>
    <x:row r="37" ht="28" customHeight="1">
      <x:c r="A37" s="200" t="str">
        <x:v>Risk Level brut</x:v>
      </x:c>
      <x:c r="B37" s="200" t="str">
        <x:f>IF(BTTS_Prior_v5!B46&lt;&gt;"PASS","",IF(B36&lt;=Config_BTTS!B9,1,IF(B36&lt;=Config_BTTS!B37,2,IF(B36&lt;=Config_BTTS!B38,3,IF(B36&lt;=Config_BTTS!B39,4,5)))))</x:f>
      </x:c>
      <x:c r="C37" s="161"/>
      <x:c r="D37" s="161"/>
      <x:c r="E37" s="161"/>
      <x:c r="F37" s="161"/>
      <x:c r="G37" s="161"/>
      <x:c r="H37" s="161"/>
    </x:row>
    <x:row r="38" ht="28" customHeight="1">
      <x:c r="A38" s="200" t="str">
        <x:v>P0 status automat</x:v>
      </x:c>
      <x:c r="B38" s="200" t="str">
        <x:f>BTTS_Gates_v4!B16</x:f>
        <x:v>INCOMPLETE</x:v>
      </x:c>
      <x:c r="C38" s="161"/>
      <x:c r="D38" s="161"/>
      <x:c r="E38" s="161"/>
      <x:c r="F38" s="161"/>
      <x:c r="G38" s="161"/>
      <x:c r="H38" s="161"/>
    </x:row>
    <x:row r="39" ht="28" customHeight="1">
      <x:c r="A39" s="201" t="str">
        <x:v>Final Risk Level</x:v>
      </x:c>
      <x:c r="B39" s="201" t="str">
        <x:f>IF(BTTS_Prior_v5!B46="INCOMPLETE","",IF(OR(BTTS_Prior_v5!B46="FAIL",B38&lt;&gt;"PASS"),5,IF(OR('5_Scoring_Factori'!B28="NO BET",'5_Scoring_Factori'!B28="AVOID"),5,IF('5_Scoring_Factori'!B28="LEAN",MAX(3,B37),IF(BTTS_Gates_v4!B19="PASS",1,MAX(2,B37))))))</x:f>
      </x:c>
      <x:c r="C39" s="161"/>
      <x:c r="D39" s="161"/>
      <x:c r="E39" s="161"/>
      <x:c r="F39" s="161"/>
      <x:c r="G39" s="161"/>
      <x:c r="H39" s="161"/>
    </x:row>
    <x:row r="40" ht="28" customHeight="1">
      <x:c r="A40" s="201" t="str">
        <x:v>Final Risk Verdict</x:v>
      </x:c>
      <x:c r="B40" s="201" t="str">
        <x:f>IF(B39="","ANALIZA INCOMPLETA",IF(B39=1,"DEFENSIV",IF(B39=2,"PRUDENT",IF(B39=3,"MODERAT",IF(B39=4,"RIDICAT","WATCH / NO BET")))))</x:f>
        <x:v>ANALIZA INCOMPLETA</x:v>
      </x:c>
      <x:c r="C40" s="161"/>
      <x:c r="D40" s="161"/>
      <x:c r="E40" s="161"/>
      <x:c r="F40" s="161"/>
      <x:c r="G40" s="161"/>
      <x:c r="H40" s="161"/>
    </x:row>
    <x:row r="41" ht="28" customHeight="1">
      <x:c r="A41" s="161"/>
      <x:c r="B41" s="161"/>
      <x:c r="C41" s="161"/>
      <x:c r="D41" s="161"/>
      <x:c r="E41" s="161"/>
      <x:c r="F41" s="161"/>
      <x:c r="G41" s="161"/>
      <x:c r="H41" s="161"/>
    </x:row>
    <x:row r="42" ht="28" customHeight="1">
      <x:c r="A42" s="161"/>
      <x:c r="B42" s="161"/>
      <x:c r="C42" s="161"/>
      <x:c r="D42" s="161"/>
      <x:c r="E42" s="161"/>
      <x:c r="F42" s="161"/>
      <x:c r="G42" s="161"/>
      <x:c r="H42" s="161"/>
    </x:row>
    <x:row r="43" ht="28" customHeight="1">
      <x:c r="A43" s="161"/>
      <x:c r="B43" s="161"/>
      <x:c r="C43" s="161"/>
      <x:c r="D43" s="161"/>
      <x:c r="E43" s="161"/>
      <x:c r="F43" s="161"/>
      <x:c r="G43" s="161"/>
      <x:c r="H43" s="161"/>
    </x:row>
  </x:sheetData>
  <x:mergeCells>
    <x:mergeCell ref="A1:H1"/>
    <x:mergeCell ref="A13:H13"/>
    <x:mergeCell ref="A14:H14"/>
    <x:mergeCell ref="A15:H15"/>
    <x:mergeCell ref="A16:H16"/>
  </x:mergeCells>
  <x:conditionalFormatting sqref="B38:B40">
    <x:cfRule type="containsText" dxfId="12" priority="1" operator="containsText" text="FAIL"/>
    <x:cfRule type="containsText" dxfId="13" priority="2" operator="containsText" text="INCOMPLETE"/>
    <x:cfRule type="containsText" dxfId="14" priority="3" operator="containsText" text="NO BET"/>
    <x:cfRule type="containsText" dxfId="15" priority="4" operator="containsText" text="DEFENSIV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8" customWidth="1"/>
    <x:col min="3" max="3" width="22" hidden="0" customWidth="1"/>
    <x:col min="4" max="5" width="42" customWidth="1"/>
    <x:col min="6" max="7" width="20" customWidth="1"/>
    <x:col min="8" max="8" width="22" hidden="0" customWidth="1"/>
    <x:col min="1" max="1" width="43" hidden="0" customWidth="1"/>
    <x:col min="2" max="2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2" customHeight="1">
      <x:c r="A1" s="203" t="str">
        <x:v>BTTS v2 – compatibilitate gate-uri</x:v>
      </x:c>
      <x:c r="B1" s="203"/>
      <x:c r="C1" s="203"/>
      <x:c r="D1" s="203"/>
      <x:c r="E1" s="203"/>
      <x:c r="F1" s="203"/>
      <x:c r="G1" s="163"/>
      <x:c r="H1" s="163"/>
    </x:row>
    <x:row r="2" ht="28" customHeight="1">
      <x:c r="A2" s="161"/>
      <x:c r="B2" s="161"/>
      <x:c r="C2" s="161"/>
      <x:c r="D2" s="161"/>
      <x:c r="E2" s="161"/>
      <x:c r="F2" s="161"/>
      <x:c r="G2" s="161"/>
      <x:c r="H2" s="161"/>
    </x:row>
    <x:row r="3" ht="28" customHeight="1">
      <x:c r="A3" s="228"/>
      <x:c r="B3" s="228"/>
      <x:c r="C3" s="228"/>
      <x:c r="D3" s="228"/>
      <x:c r="E3" s="228"/>
      <x:c r="F3" s="228"/>
      <x:c r="G3" s="229"/>
      <x:c r="H3" s="229"/>
    </x:row>
    <x:row r="4" ht="28" customHeight="1">
      <x:c r="A4" s="161" t="str">
        <x:v>Weakest P(score)</x:v>
      </x:c>
      <x:c r="B4" s="161" t="str">
        <x:f>IF(BTTS_Prior_v5!B46="INCOMPLETE","INCOMPLETE",'3_Calcul_BTTS'!B71)</x:f>
        <x:v>INCOMPLETE</x:v>
      </x:c>
      <x:c r="C4" s="161"/>
      <x:c r="D4" s="161"/>
      <x:c r="E4" s="161"/>
      <x:c r="F4" s="161"/>
      <x:c r="G4" s="161"/>
      <x:c r="H4" s="161"/>
    </x:row>
    <x:row r="5" ht="28" customHeight="1">
      <x:c r="A5" s="161" t="str">
        <x:v>Mismatch</x:v>
      </x:c>
      <x:c r="B5" s="161" t="str">
        <x:f>IF(BTTS_Prior_v5!B46="INCOMPLETE","INCOMPLETE",'3_Calcul_BTTS'!B72)</x:f>
        <x:v>INCOMPLETE</x:v>
      </x:c>
      <x:c r="C5" s="161"/>
      <x:c r="D5" s="161"/>
      <x:c r="E5" s="161"/>
      <x:c r="F5" s="161"/>
      <x:c r="G5" s="161"/>
      <x:c r="H5" s="161"/>
    </x:row>
    <x:row r="6" ht="28" customHeight="1">
      <x:c r="A6" s="161" t="str">
        <x:v>Maximum blank</x:v>
      </x:c>
      <x:c r="B6" s="161" t="str">
        <x:f>IF(BTTS_Prior_v5!B46="INCOMPLETE","INCOMPLETE",MAX(BTTS_Gates_v4!B6:B7))</x:f>
        <x:v>INCOMPLETE</x:v>
      </x:c>
      <x:c r="C6" s="161"/>
      <x:c r="D6" s="161"/>
      <x:c r="E6" s="161"/>
      <x:c r="F6" s="161"/>
      <x:c r="G6" s="161"/>
      <x:c r="H6" s="161"/>
    </x:row>
    <x:row r="7" ht="28" customHeight="1">
      <x:c r="A7" s="161" t="str">
        <x:v>Maximum opponent CS</x:v>
      </x:c>
      <x:c r="B7" s="161" t="str">
        <x:f>IF(BTTS_Prior_v5!B46="INCOMPLETE","INCOMPLETE",MAX(BTTS_Gates_v4!B8:B9))</x:f>
        <x:v>INCOMPLETE</x:v>
      </x:c>
      <x:c r="C7" s="161"/>
      <x:c r="D7" s="161"/>
      <x:c r="E7" s="161"/>
      <x:c r="F7" s="161"/>
      <x:c r="G7" s="161"/>
      <x:c r="H7" s="161"/>
    </x:row>
    <x:row r="8" ht="28" customHeight="1">
      <x:c r="A8" s="161" t="str">
        <x:v>Clean-Sheet Gate</x:v>
      </x:c>
      <x:c r="B8" s="161" t="str">
        <x:f>IF(BTTS_Prior_v5!B46="INCOMPLETE","INCOMPLETE",BTTS_Gates_v4!B15)</x:f>
        <x:v>INCOMPLETE</x:v>
      </x:c>
      <x:c r="C8" s="161"/>
      <x:c r="D8" s="161"/>
      <x:c r="E8" s="161"/>
      <x:c r="F8" s="161"/>
      <x:c r="G8" s="161"/>
      <x:c r="H8" s="161"/>
    </x:row>
    <x:row r="9" ht="28" customHeight="1">
      <x:c r="A9" s="161" t="str">
        <x:v>Scoring Gate</x:v>
      </x:c>
      <x:c r="B9" s="161" t="str">
        <x:f>IF(BTTS_Prior_v5!B46="INCOMPLETE","INCOMPLETE",IF(AND(BTTS_Gates_v4!B12="PASS",BTTS_Gates_v4!B13="PASS"),"PASS",BTTS_Gates_v4!B16))</x:f>
        <x:v>INCOMPLETE</x:v>
      </x:c>
      <x:c r="C9" s="161"/>
      <x:c r="D9" s="161"/>
      <x:c r="E9" s="161"/>
      <x:c r="F9" s="161"/>
      <x:c r="G9" s="161"/>
      <x:c r="H9" s="161"/>
    </x:row>
    <x:row r="10" ht="28" customHeight="1">
      <x:c r="A10" s="161" t="str">
        <x:v>Combined Gate</x:v>
      </x:c>
      <x:c r="B10" s="161" t="str">
        <x:f>IF(BTTS_Prior_v5!B46="INCOMPLETE","INCOMPLETE",BTTS_Gates_v4!B16)</x:f>
        <x:v>INCOMPLETE</x:v>
      </x:c>
      <x:c r="C10" s="161"/>
      <x:c r="D10" s="161"/>
      <x:c r="E10" s="161"/>
      <x:c r="F10" s="161"/>
      <x:c r="G10" s="161"/>
      <x:c r="H10" s="161"/>
    </x:row>
    <x:row r="11" ht="28" customHeight="1">
      <x:c r="A11" s="161" t="str">
        <x:v>Builder Eligible</x:v>
      </x:c>
      <x:c r="B11" s="161" t="str">
        <x:f>IF(BTTS_Prior_v5!B46="INCOMPLETE","INCOMPLETE",BTTS_Gates_v4!B22)</x:f>
        <x:v>INCOMPLETE</x:v>
      </x:c>
      <x:c r="C11" s="161"/>
      <x:c r="D11" s="161"/>
      <x:c r="E11" s="161"/>
      <x:c r="F11" s="161"/>
      <x:c r="G11" s="161"/>
      <x:c r="H11" s="161"/>
    </x:row>
    <x:row r="12" ht="28" customHeight="1">
      <x:c r="A12" s="161"/>
      <x:c r="B12" s="161"/>
      <x:c r="C12" s="161"/>
      <x:c r="D12" s="161"/>
      <x:c r="E12" s="161"/>
      <x:c r="F12" s="161"/>
      <x:c r="G12" s="161"/>
      <x:c r="H12" s="161"/>
    </x:row>
    <x:row r="13" ht="28" customHeight="1">
      <x:c r="A13" s="228"/>
      <x:c r="B13" s="228"/>
      <x:c r="C13" s="228"/>
      <x:c r="D13" s="228"/>
      <x:c r="E13" s="228"/>
      <x:c r="F13" s="229"/>
      <x:c r="G13" s="229"/>
      <x:c r="H13" s="229"/>
    </x:row>
    <x:row r="14" ht="42" customHeight="1">
      <x:c r="A14" s="161" t="str">
        <x:v>Pragurile sunt administrate exclusiv în Config_BTTS și aplicate de BTTS_Gates_v4.</x:v>
      </x:c>
      <x:c r="B14" s="161"/>
      <x:c r="C14" s="161"/>
      <x:c r="D14" s="161"/>
      <x:c r="E14" s="161"/>
      <x:c r="F14" s="161"/>
      <x:c r="G14" s="161"/>
      <x:c r="H14" s="161"/>
    </x:row>
    <x:row r="15" ht="28" customHeight="1">
      <x:c r="A15" s="161"/>
      <x:c r="B15" s="161"/>
      <x:c r="C15" s="161"/>
      <x:c r="D15" s="161"/>
      <x:c r="E15" s="161"/>
      <x:c r="F15" s="161"/>
      <x:c r="G15" s="161"/>
      <x:c r="H15" s="161"/>
    </x:row>
    <x:row r="16" ht="42" customHeight="1">
      <x:c r="A16" s="161" t="str">
        <x:v>Acest sheet este o vedere de compatibilitate. Nu conține un motor alternativ.</x:v>
      </x:c>
      <x:c r="B16" s="161"/>
      <x:c r="C16" s="161"/>
      <x:c r="D16" s="161"/>
      <x:c r="E16" s="161"/>
      <x:c r="F16" s="161"/>
      <x:c r="G16" s="161"/>
      <x:c r="H16" s="161"/>
    </x:row>
    <x:row r="17" ht="28" customHeight="1">
      <x:c r="A17" s="161"/>
      <x:c r="B17" s="161"/>
      <x:c r="C17" s="161"/>
      <x:c r="D17" s="161"/>
      <x:c r="E17" s="161"/>
      <x:c r="F17" s="161"/>
      <x:c r="G17" s="161"/>
      <x:c r="H17" s="161"/>
    </x:row>
    <x:row r="18" ht="28" customHeight="1">
      <x:c r="A18" s="161"/>
      <x:c r="B18" s="161"/>
      <x:c r="C18" s="161"/>
      <x:c r="D18" s="161"/>
      <x:c r="E18" s="161"/>
      <x:c r="F18" s="161"/>
      <x:c r="G18" s="161"/>
      <x:c r="H18" s="161"/>
    </x:row>
    <x:row r="19" ht="28" customHeight="1">
      <x:c r="A19" s="161"/>
      <x:c r="B19" s="161"/>
      <x:c r="C19" s="161"/>
      <x:c r="D19" s="161"/>
      <x:c r="E19" s="161"/>
      <x:c r="F19" s="161"/>
      <x:c r="G19" s="161"/>
      <x:c r="H19" s="161"/>
    </x:row>
    <x:row r="20" ht="28" customHeight="1">
      <x:c r="A20" s="161"/>
      <x:c r="B20" s="161"/>
      <x:c r="C20" s="161"/>
      <x:c r="D20" s="161"/>
      <x:c r="E20" s="161"/>
      <x:c r="F20" s="161"/>
      <x:c r="G20" s="161"/>
      <x:c r="H20" s="161"/>
    </x:row>
    <x:row r="21" ht="28" customHeight="1">
      <x:c r="A21" s="161"/>
      <x:c r="B21" s="161"/>
      <x:c r="C21" s="161"/>
      <x:c r="D21" s="161"/>
      <x:c r="E21" s="161"/>
      <x:c r="F21" s="161"/>
      <x:c r="G21" s="161"/>
      <x:c r="H21" s="161"/>
    </x:row>
    <x:row r="22" ht="28" customHeight="1">
      <x:c r="A22" s="161"/>
      <x:c r="B22" s="161"/>
      <x:c r="C22" s="161"/>
      <x:c r="D22" s="161"/>
      <x:c r="E22" s="161"/>
      <x:c r="F22" s="161"/>
      <x:c r="G22" s="161"/>
      <x:c r="H22" s="161"/>
    </x:row>
    <x:row r="23" ht="28" customHeight="1">
      <x:c r="A23" s="161"/>
      <x:c r="B23" s="161"/>
      <x:c r="C23" s="161"/>
      <x:c r="D23" s="161"/>
      <x:c r="E23" s="161"/>
      <x:c r="F23" s="161"/>
      <x:c r="G23" s="161"/>
      <x:c r="H23" s="161"/>
    </x:row>
    <x:row r="24" ht="28" customHeight="1">
      <x:c r="A24" s="161"/>
      <x:c r="B24" s="161"/>
      <x:c r="C24" s="161"/>
      <x:c r="D24" s="161"/>
      <x:c r="E24" s="161"/>
      <x:c r="F24" s="161"/>
      <x:c r="G24" s="161"/>
      <x:c r="H24" s="161"/>
    </x:row>
  </x:sheetData>
  <x:mergeCells>
    <x:mergeCell ref="A1:H1"/>
    <x:mergeCell ref="A14:H14"/>
    <x:mergeCell ref="A16:H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1" width="18" customWidth="1"/>
    <x:col min="2" max="2" width="20" customWidth="1"/>
    <x:col min="3" max="4" width="14" customWidth="1"/>
    <x:col min="5" max="5" width="20" customWidth="1"/>
    <x:col min="6" max="7" width="22" customWidth="1"/>
    <x:col min="8" max="8" width="18" customWidth="1"/>
    <x:col min="9" max="9" width="10" customWidth="1"/>
    <x:col min="10" max="10" width="16" customWidth="1"/>
    <x:col min="11" max="12" width="12" customWidth="1"/>
    <x:col min="13" max="13" width="16" customWidth="1"/>
    <x:col min="14" max="14" width="10" customWidth="1"/>
    <x:col min="15" max="15" width="16" customWidth="1"/>
    <x:col min="16" max="16" width="12" customWidth="1"/>
    <x:col min="17" max="17" width="14" customWidth="1"/>
  </x:cols>
  <x:sheetData>
    <x:row r="1" ht="18">
      <x:c r="A1" s="23" t="s">
        <x:v>233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>
      <x:c r="A2" s="24" t="s">
        <x:v>234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 ht="60">
      <x:c r="A3" s="16" t="s">
        <x:v>235</x:v>
      </x:c>
      <x:c r="B3" s="16" t="s">
        <x:v>236</x:v>
      </x:c>
      <x:c r="C3" s="16" t="s">
        <x:v>237</x:v>
      </x:c>
      <x:c r="D3" s="16" t="s">
        <x:v>238</x:v>
      </x:c>
      <x:c r="E3" s="16" t="s">
        <x:v>239</x:v>
      </x:c>
      <x:c r="F3" s="16" t="s">
        <x:v>240</x:v>
      </x:c>
      <x:c r="G3" s="16" t="s">
        <x:v>241</x:v>
      </x:c>
      <x:c r="H3" s="16" t="s">
        <x:v>242</x:v>
      </x:c>
      <x:c r="I3" s="16" t="s">
        <x:v>243</x:v>
      </x:c>
      <x:c r="J3" s="16" t="s">
        <x:v>244</x:v>
      </x:c>
      <x:c r="K3" s="16" t="s">
        <x:v>245</x:v>
      </x:c>
      <x:c r="L3" s="16" t="s">
        <x:v>246</x:v>
      </x:c>
      <x:c r="M3" s="16" t="s">
        <x:v>247</x:v>
      </x:c>
      <x:c r="N3" s="16" t="s">
        <x:v>248</x:v>
      </x:c>
      <x:c r="O3" s="16" t="s">
        <x:v>249</x:v>
      </x:c>
      <x:c r="P3" s="16" t="s">
        <x:v>250</x:v>
      </x:c>
      <x:c r="Q3" s="16" t="s">
        <x:v>251</x:v>
      </x:c>
      <x:c r="R3" s="16" t="s">
        <x:v>252</x:v>
      </x:c>
      <x:c r="S3" s="16" t="s">
        <x:v>253</x:v>
      </x:c>
      <x:c r="T3" s="16" t="s">
        <x:v>254</x:v>
      </x:c>
      <x:c r="U3" s="16" t="s">
        <x:v>255</x:v>
      </x:c>
      <x:c r="V3" s="16" t="s">
        <x:v>256</x:v>
      </x:c>
      <x:c r="W3" s="16" t="s">
        <x:v>257</x:v>
      </x:c>
      <x:c r="X3" s="16" t="s">
        <x:v>258</x:v>
      </x:c>
      <x:c r="Y3" s="16" t="s">
        <x:v>259</x:v>
      </x:c>
      <x:c r="Z3" s="16" t="s">
        <x:v>260</x:v>
      </x:c>
      <x:c r="AA3" s="16" t="s">
        <x:v>261</x:v>
      </x:c>
      <x:c r="AB3" s="16" t="s">
        <x:v>262</x:v>
      </x:c>
      <x:c r="AC3" s="16" t="s">
        <x:v>263</x:v>
      </x:c>
      <x:c r="AD3" s="16" t="s">
        <x:v>264</x:v>
      </x:c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</x:row>
  </x:sheetData>
  <x:mergeCells>
    <x:mergeCell ref="A1:Z1"/>
    <x:mergeCell ref="A2:Z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24" max="24" width="25" hidden="0" customWidth="1"/>
  </x:cols>
  <x:sheetData>
    <x:row r="1" ht="18">
      <x:c r="A1" s="73" t="str">
        <x:v>SETTLEMENT – monitorizare istorică separată de motor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</x:row>
    <x:row r="2">
      <x:c r="A2" s="77" t="str">
        <x:v>Nu influențează probabilitatea, gate-urile, riscul sau verdictul pre-match. X validează perechea frozen + rezultat.</x:v>
      </x:c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</x:row>
    <x:row r="3" ht="45">
      <x:c r="A3" s="16" t="s">
        <x:v>235</x:v>
      </x:c>
      <x:c r="B3" s="16" t="s">
        <x:v>237</x:v>
      </x:c>
      <x:c r="C3" s="16" t="s">
        <x:v>239</x:v>
      </x:c>
      <x:c r="D3" s="16" t="s">
        <x:v>240</x:v>
      </x:c>
      <x:c r="E3" s="16" t="s">
        <x:v>241</x:v>
      </x:c>
      <x:c r="F3" s="16" t="s">
        <x:v>242</x:v>
      </x:c>
      <x:c r="G3" s="16" t="s">
        <x:v>243</x:v>
      </x:c>
      <x:c r="H3" s="16" t="s">
        <x:v>244</x:v>
      </x:c>
      <x:c r="I3" s="16" t="s">
        <x:v>265</x:v>
      </x:c>
      <x:c r="J3" s="16" t="s">
        <x:v>266</x:v>
      </x:c>
      <x:c r="K3" s="16" t="s">
        <x:v>267</x:v>
      </x:c>
      <x:c r="L3" s="16" t="s">
        <x:v>268</x:v>
      </x:c>
      <x:c r="M3" s="16" t="s">
        <x:v>269</x:v>
      </x:c>
      <x:c r="N3" s="16" t="s">
        <x:v>270</x:v>
      </x:c>
      <x:c r="O3" s="16" t="s">
        <x:v>271</x:v>
      </x:c>
      <x:c r="P3" s="16" t="s">
        <x:v>272</x:v>
      </x:c>
      <x:c r="Q3" s="16" t="s">
        <x:v>273</x:v>
      </x:c>
      <x:c r="R3" s="16" t="s">
        <x:v>274</x:v>
      </x:c>
      <x:c r="S3" s="16" t="s">
        <x:v>275</x:v>
      </x:c>
      <x:c r="T3" s="16" t="s">
        <x:v>248</x:v>
      </x:c>
      <x:c r="U3" s="16" t="s">
        <x:v>276</x:v>
      </x:c>
      <x:c r="V3" s="16" t="s">
        <x:v>277</x:v>
      </x:c>
      <x:c r="W3" s="16" t="s">
        <x:v>264</x:v>
      </x:c>
      <x:c r="X3" s="226" t="str">
        <x:v>Eligible_Frozen_Settled</x:v>
      </x:c>
    </x:row>
    <x:row r="4">
      <x:c r="A4"/>
      <x:c r="I4"/>
      <x:c r="J4"/>
      <x:c r="R4" t="str">
        <x:f t="shared" ref="R4:R35" si="0">IF(X4&lt;&gt;1,"",POWER(I4-J4,2))</x:f>
      </x:c>
      <x:c r="S4" t="str">
        <x:f t="shared" ref="S4:S35" si="1">IF(X4&lt;&gt;1,"",-J4*LN(MAX(MIN(I4,0.999999),0.000001))-(1-J4)*LN(MAX(MIN(1-I4,0.999999),0.000001)))</x:f>
      </x:c>
      <x:c r="X4" s="227" t="n">
        <x:f>IF(OR(A4="",NOT(ISNUMBER(I4)),NOT(ISNUMBER(J4))),0,IF(AND(I4&gt;=0,I4&lt;=1,OR(J4=0,J4=1),COUNTIFS($A$4:$A$203,A4)=1,COUNTIFS(Frozen_Predictions!$A$4:$A$203,A4)=1),IFERROR(IF(AND(INDEX(Frozen_Predictions!$Q$4:$Q$203,MATCH(A4,Frozen_Predictions!$A$4:$A$203,0))="YES",ISNUMBER(INDEX(Frozen_Predictions!$B$4:$B$203,MATCH(A4,Frozen_Predictions!$A$4:$A$203,0))),ISNUMBER(INDEX(Frozen_Predictions!$C$4:$C$203,MATCH(A4,Frozen_Predictions!$A$4:$A$203,0))),INDEX(Frozen_Predictions!$B$4:$B$203,MATCH(A4,Frozen_Predictions!$A$4:$A$203,0))&lt;=INDEX(Frozen_Predictions!$C$4:$C$203,MATCH(A4,Frozen_Predictions!$A$4:$A$203,0)),ISNUMBER(INDEX(Frozen_Predictions!$L$4:$L$203,MATCH(A4,Frozen_Predictions!$A$4:$A$203,0))),ABS(I4-INDEX(Frozen_Predictions!$L$4:$L$203,MATCH(A4,Frozen_Predictions!$A$4:$A$203,0)))&lt;0.0000000001),1,0),0),0))</x:f>
        <x:v>0</x:v>
      </x:c>
    </x:row>
    <x:row r="5">
      <x:c r="A5"/>
      <x:c r="I5"/>
      <x:c r="R5" t="str">
        <x:f t="shared" si="0">IF(X5&lt;&gt;1,"",POWER(I5-J5,2))</x:f>
      </x:c>
      <x:c r="S5" t="str">
        <x:f t="shared" si="1">IF(X5&lt;&gt;1,"",-J5*LN(MAX(MIN(I5,0.999999),0.000001))-(1-J5)*LN(MAX(MIN(1-I5,0.999999),0.000001)))</x:f>
      </x:c>
      <x:c r="X5" s="227" t="n">
        <x:f>IF(OR(A5="",NOT(ISNUMBER(I5)),NOT(ISNUMBER(J5))),0,IF(AND(I5&gt;=0,I5&lt;=1,OR(J5=0,J5=1),COUNTIFS($A$4:$A$203,A5)=1,COUNTIFS(Frozen_Predictions!$A$4:$A$203,A5)=1),IFERROR(IF(AND(INDEX(Frozen_Predictions!$Q$4:$Q$203,MATCH(A5,Frozen_Predictions!$A$4:$A$203,0))="YES",ISNUMBER(INDEX(Frozen_Predictions!$B$4:$B$203,MATCH(A5,Frozen_Predictions!$A$4:$A$203,0))),ISNUMBER(INDEX(Frozen_Predictions!$C$4:$C$203,MATCH(A5,Frozen_Predictions!$A$4:$A$203,0))),INDEX(Frozen_Predictions!$B$4:$B$203,MATCH(A5,Frozen_Predictions!$A$4:$A$203,0))&lt;=INDEX(Frozen_Predictions!$C$4:$C$203,MATCH(A5,Frozen_Predictions!$A$4:$A$203,0)),ISNUMBER(INDEX(Frozen_Predictions!$L$4:$L$203,MATCH(A5,Frozen_Predictions!$A$4:$A$203,0))),ABS(I5-INDEX(Frozen_Predictions!$L$4:$L$203,MATCH(A5,Frozen_Predictions!$A$4:$A$203,0)))&lt;0.0000000001),1,0),0),0))</x:f>
        <x:v>0</x:v>
      </x:c>
    </x:row>
    <x:row r="6">
      <x:c r="R6" t="str">
        <x:f t="shared" si="0">IF(X6&lt;&gt;1,"",POWER(I6-J6,2))</x:f>
      </x:c>
      <x:c r="S6" t="str">
        <x:f t="shared" si="1">IF(X6&lt;&gt;1,"",-J6*LN(MAX(MIN(I6,0.999999),0.000001))-(1-J6)*LN(MAX(MIN(1-I6,0.999999),0.000001)))</x:f>
      </x:c>
      <x:c r="X6" s="227" t="n">
        <x:f>IF(OR(A6="",NOT(ISNUMBER(I6)),NOT(ISNUMBER(J6))),0,IF(AND(I6&gt;=0,I6&lt;=1,OR(J6=0,J6=1),COUNTIFS($A$4:$A$203,A6)=1,COUNTIFS(Frozen_Predictions!$A$4:$A$203,A6)=1),IFERROR(IF(AND(INDEX(Frozen_Predictions!$Q$4:$Q$203,MATCH(A6,Frozen_Predictions!$A$4:$A$203,0))="YES",ISNUMBER(INDEX(Frozen_Predictions!$B$4:$B$203,MATCH(A6,Frozen_Predictions!$A$4:$A$203,0))),ISNUMBER(INDEX(Frozen_Predictions!$C$4:$C$203,MATCH(A6,Frozen_Predictions!$A$4:$A$203,0))),INDEX(Frozen_Predictions!$B$4:$B$203,MATCH(A6,Frozen_Predictions!$A$4:$A$203,0))&lt;=INDEX(Frozen_Predictions!$C$4:$C$203,MATCH(A6,Frozen_Predictions!$A$4:$A$203,0)),ISNUMBER(INDEX(Frozen_Predictions!$L$4:$L$203,MATCH(A6,Frozen_Predictions!$A$4:$A$203,0))),ABS(I6-INDEX(Frozen_Predictions!$L$4:$L$203,MATCH(A6,Frozen_Predictions!$A$4:$A$203,0)))&lt;0.0000000001),1,0),0),0))</x:f>
        <x:v>0</x:v>
      </x:c>
    </x:row>
    <x:row r="7">
      <x:c r="R7" t="str">
        <x:f t="shared" si="0">IF(X7&lt;&gt;1,"",POWER(I7-J7,2))</x:f>
      </x:c>
      <x:c r="S7" t="str">
        <x:f t="shared" si="1">IF(X7&lt;&gt;1,"",-J7*LN(MAX(MIN(I7,0.999999),0.000001))-(1-J7)*LN(MAX(MIN(1-I7,0.999999),0.000001)))</x:f>
      </x:c>
      <x:c r="X7" s="227" t="n">
        <x:f>IF(OR(A7="",NOT(ISNUMBER(I7)),NOT(ISNUMBER(J7))),0,IF(AND(I7&gt;=0,I7&lt;=1,OR(J7=0,J7=1),COUNTIFS($A$4:$A$203,A7)=1,COUNTIFS(Frozen_Predictions!$A$4:$A$203,A7)=1),IFERROR(IF(AND(INDEX(Frozen_Predictions!$Q$4:$Q$203,MATCH(A7,Frozen_Predictions!$A$4:$A$203,0))="YES",ISNUMBER(INDEX(Frozen_Predictions!$B$4:$B$203,MATCH(A7,Frozen_Predictions!$A$4:$A$203,0))),ISNUMBER(INDEX(Frozen_Predictions!$C$4:$C$203,MATCH(A7,Frozen_Predictions!$A$4:$A$203,0))),INDEX(Frozen_Predictions!$B$4:$B$203,MATCH(A7,Frozen_Predictions!$A$4:$A$203,0))&lt;=INDEX(Frozen_Predictions!$C$4:$C$203,MATCH(A7,Frozen_Predictions!$A$4:$A$203,0)),ISNUMBER(INDEX(Frozen_Predictions!$L$4:$L$203,MATCH(A7,Frozen_Predictions!$A$4:$A$203,0))),ABS(I7-INDEX(Frozen_Predictions!$L$4:$L$203,MATCH(A7,Frozen_Predictions!$A$4:$A$203,0)))&lt;0.0000000001),1,0),0),0))</x:f>
        <x:v>0</x:v>
      </x:c>
    </x:row>
    <x:row r="8">
      <x:c r="R8" t="str">
        <x:f t="shared" si="0">IF(X8&lt;&gt;1,"",POWER(I8-J8,2))</x:f>
      </x:c>
      <x:c r="S8" t="str">
        <x:f t="shared" si="1">IF(X8&lt;&gt;1,"",-J8*LN(MAX(MIN(I8,0.999999),0.000001))-(1-J8)*LN(MAX(MIN(1-I8,0.999999),0.000001)))</x:f>
      </x:c>
      <x:c r="X8" s="227" t="n">
        <x:f>IF(OR(A8="",NOT(ISNUMBER(I8)),NOT(ISNUMBER(J8))),0,IF(AND(I8&gt;=0,I8&lt;=1,OR(J8=0,J8=1),COUNTIFS($A$4:$A$203,A8)=1,COUNTIFS(Frozen_Predictions!$A$4:$A$203,A8)=1),IFERROR(IF(AND(INDEX(Frozen_Predictions!$Q$4:$Q$203,MATCH(A8,Frozen_Predictions!$A$4:$A$203,0))="YES",ISNUMBER(INDEX(Frozen_Predictions!$B$4:$B$203,MATCH(A8,Frozen_Predictions!$A$4:$A$203,0))),ISNUMBER(INDEX(Frozen_Predictions!$C$4:$C$203,MATCH(A8,Frozen_Predictions!$A$4:$A$203,0))),INDEX(Frozen_Predictions!$B$4:$B$203,MATCH(A8,Frozen_Predictions!$A$4:$A$203,0))&lt;=INDEX(Frozen_Predictions!$C$4:$C$203,MATCH(A8,Frozen_Predictions!$A$4:$A$203,0)),ISNUMBER(INDEX(Frozen_Predictions!$L$4:$L$203,MATCH(A8,Frozen_Predictions!$A$4:$A$203,0))),ABS(I8-INDEX(Frozen_Predictions!$L$4:$L$203,MATCH(A8,Frozen_Predictions!$A$4:$A$203,0)))&lt;0.0000000001),1,0),0),0))</x:f>
        <x:v>0</x:v>
      </x:c>
    </x:row>
    <x:row r="9">
      <x:c r="R9" t="str">
        <x:f t="shared" si="0">IF(X9&lt;&gt;1,"",POWER(I9-J9,2))</x:f>
      </x:c>
      <x:c r="S9" t="str">
        <x:f t="shared" si="1">IF(X9&lt;&gt;1,"",-J9*LN(MAX(MIN(I9,0.999999),0.000001))-(1-J9)*LN(MAX(MIN(1-I9,0.999999),0.000001)))</x:f>
      </x:c>
      <x:c r="X9" s="227" t="n">
        <x:f>IF(OR(A9="",NOT(ISNUMBER(I9)),NOT(ISNUMBER(J9))),0,IF(AND(I9&gt;=0,I9&lt;=1,OR(J9=0,J9=1),COUNTIFS($A$4:$A$203,A9)=1,COUNTIFS(Frozen_Predictions!$A$4:$A$203,A9)=1),IFERROR(IF(AND(INDEX(Frozen_Predictions!$Q$4:$Q$203,MATCH(A9,Frozen_Predictions!$A$4:$A$203,0))="YES",ISNUMBER(INDEX(Frozen_Predictions!$B$4:$B$203,MATCH(A9,Frozen_Predictions!$A$4:$A$203,0))),ISNUMBER(INDEX(Frozen_Predictions!$C$4:$C$203,MATCH(A9,Frozen_Predictions!$A$4:$A$203,0))),INDEX(Frozen_Predictions!$B$4:$B$203,MATCH(A9,Frozen_Predictions!$A$4:$A$203,0))&lt;=INDEX(Frozen_Predictions!$C$4:$C$203,MATCH(A9,Frozen_Predictions!$A$4:$A$203,0)),ISNUMBER(INDEX(Frozen_Predictions!$L$4:$L$203,MATCH(A9,Frozen_Predictions!$A$4:$A$203,0))),ABS(I9-INDEX(Frozen_Predictions!$L$4:$L$203,MATCH(A9,Frozen_Predictions!$A$4:$A$203,0)))&lt;0.0000000001),1,0),0),0))</x:f>
        <x:v>0</x:v>
      </x:c>
    </x:row>
    <x:row r="10">
      <x:c r="R10" t="str">
        <x:f t="shared" si="0">IF(X10&lt;&gt;1,"",POWER(I10-J10,2))</x:f>
      </x:c>
      <x:c r="S10" t="str">
        <x:f t="shared" si="1">IF(X10&lt;&gt;1,"",-J10*LN(MAX(MIN(I10,0.999999),0.000001))-(1-J10)*LN(MAX(MIN(1-I10,0.999999),0.000001)))</x:f>
      </x:c>
      <x:c r="X10" s="227" t="n">
        <x:f>IF(OR(A10="",NOT(ISNUMBER(I10)),NOT(ISNUMBER(J10))),0,IF(AND(I10&gt;=0,I10&lt;=1,OR(J10=0,J10=1),COUNTIFS($A$4:$A$203,A10)=1,COUNTIFS(Frozen_Predictions!$A$4:$A$203,A10)=1),IFERROR(IF(AND(INDEX(Frozen_Predictions!$Q$4:$Q$203,MATCH(A10,Frozen_Predictions!$A$4:$A$203,0))="YES",ISNUMBER(INDEX(Frozen_Predictions!$B$4:$B$203,MATCH(A10,Frozen_Predictions!$A$4:$A$203,0))),ISNUMBER(INDEX(Frozen_Predictions!$C$4:$C$203,MATCH(A10,Frozen_Predictions!$A$4:$A$203,0))),INDEX(Frozen_Predictions!$B$4:$B$203,MATCH(A10,Frozen_Predictions!$A$4:$A$203,0))&lt;=INDEX(Frozen_Predictions!$C$4:$C$203,MATCH(A10,Frozen_Predictions!$A$4:$A$203,0)),ISNUMBER(INDEX(Frozen_Predictions!$L$4:$L$203,MATCH(A10,Frozen_Predictions!$A$4:$A$203,0))),ABS(I10-INDEX(Frozen_Predictions!$L$4:$L$203,MATCH(A10,Frozen_Predictions!$A$4:$A$203,0)))&lt;0.0000000001),1,0),0),0))</x:f>
        <x:v>0</x:v>
      </x:c>
    </x:row>
    <x:row r="11">
      <x:c r="R11" t="str">
        <x:f t="shared" si="0">IF(X11&lt;&gt;1,"",POWER(I11-J11,2))</x:f>
      </x:c>
      <x:c r="S11" t="str">
        <x:f t="shared" si="1">IF(X11&lt;&gt;1,"",-J11*LN(MAX(MIN(I11,0.999999),0.000001))-(1-J11)*LN(MAX(MIN(1-I11,0.999999),0.000001)))</x:f>
      </x:c>
      <x:c r="X11" s="227" t="n">
        <x:f>IF(OR(A11="",NOT(ISNUMBER(I11)),NOT(ISNUMBER(J11))),0,IF(AND(I11&gt;=0,I11&lt;=1,OR(J11=0,J11=1),COUNTIFS($A$4:$A$203,A11)=1,COUNTIFS(Frozen_Predictions!$A$4:$A$203,A11)=1),IFERROR(IF(AND(INDEX(Frozen_Predictions!$Q$4:$Q$203,MATCH(A11,Frozen_Predictions!$A$4:$A$203,0))="YES",ISNUMBER(INDEX(Frozen_Predictions!$B$4:$B$203,MATCH(A11,Frozen_Predictions!$A$4:$A$203,0))),ISNUMBER(INDEX(Frozen_Predictions!$C$4:$C$203,MATCH(A11,Frozen_Predictions!$A$4:$A$203,0))),INDEX(Frozen_Predictions!$B$4:$B$203,MATCH(A11,Frozen_Predictions!$A$4:$A$203,0))&lt;=INDEX(Frozen_Predictions!$C$4:$C$203,MATCH(A11,Frozen_Predictions!$A$4:$A$203,0)),ISNUMBER(INDEX(Frozen_Predictions!$L$4:$L$203,MATCH(A11,Frozen_Predictions!$A$4:$A$203,0))),ABS(I11-INDEX(Frozen_Predictions!$L$4:$L$203,MATCH(A11,Frozen_Predictions!$A$4:$A$203,0)))&lt;0.0000000001),1,0),0),0))</x:f>
        <x:v>0</x:v>
      </x:c>
    </x:row>
    <x:row r="12">
      <x:c r="R12" t="str">
        <x:f t="shared" si="0">IF(X12&lt;&gt;1,"",POWER(I12-J12,2))</x:f>
      </x:c>
      <x:c r="S12" t="str">
        <x:f t="shared" si="1">IF(X12&lt;&gt;1,"",-J12*LN(MAX(MIN(I12,0.999999),0.000001))-(1-J12)*LN(MAX(MIN(1-I12,0.999999),0.000001)))</x:f>
      </x:c>
      <x:c r="X12" s="227" t="n">
        <x:f>IF(OR(A12="",NOT(ISNUMBER(I12)),NOT(ISNUMBER(J12))),0,IF(AND(I12&gt;=0,I12&lt;=1,OR(J12=0,J12=1),COUNTIFS($A$4:$A$203,A12)=1,COUNTIFS(Frozen_Predictions!$A$4:$A$203,A12)=1),IFERROR(IF(AND(INDEX(Frozen_Predictions!$Q$4:$Q$203,MATCH(A12,Frozen_Predictions!$A$4:$A$203,0))="YES",ISNUMBER(INDEX(Frozen_Predictions!$B$4:$B$203,MATCH(A12,Frozen_Predictions!$A$4:$A$203,0))),ISNUMBER(INDEX(Frozen_Predictions!$C$4:$C$203,MATCH(A12,Frozen_Predictions!$A$4:$A$203,0))),INDEX(Frozen_Predictions!$B$4:$B$203,MATCH(A12,Frozen_Predictions!$A$4:$A$203,0))&lt;=INDEX(Frozen_Predictions!$C$4:$C$203,MATCH(A12,Frozen_Predictions!$A$4:$A$203,0)),ISNUMBER(INDEX(Frozen_Predictions!$L$4:$L$203,MATCH(A12,Frozen_Predictions!$A$4:$A$203,0))),ABS(I12-INDEX(Frozen_Predictions!$L$4:$L$203,MATCH(A12,Frozen_Predictions!$A$4:$A$203,0)))&lt;0.0000000001),1,0),0),0))</x:f>
        <x:v>0</x:v>
      </x:c>
    </x:row>
    <x:row r="13">
      <x:c r="R13" t="str">
        <x:f t="shared" si="0">IF(X13&lt;&gt;1,"",POWER(I13-J13,2))</x:f>
      </x:c>
      <x:c r="S13" t="str">
        <x:f t="shared" si="1">IF(X13&lt;&gt;1,"",-J13*LN(MAX(MIN(I13,0.999999),0.000001))-(1-J13)*LN(MAX(MIN(1-I13,0.999999),0.000001)))</x:f>
      </x:c>
      <x:c r="X13" s="227" t="n">
        <x:f>IF(OR(A13="",NOT(ISNUMBER(I13)),NOT(ISNUMBER(J13))),0,IF(AND(I13&gt;=0,I13&lt;=1,OR(J13=0,J13=1),COUNTIFS($A$4:$A$203,A13)=1,COUNTIFS(Frozen_Predictions!$A$4:$A$203,A13)=1),IFERROR(IF(AND(INDEX(Frozen_Predictions!$Q$4:$Q$203,MATCH(A13,Frozen_Predictions!$A$4:$A$203,0))="YES",ISNUMBER(INDEX(Frozen_Predictions!$B$4:$B$203,MATCH(A13,Frozen_Predictions!$A$4:$A$203,0))),ISNUMBER(INDEX(Frozen_Predictions!$C$4:$C$203,MATCH(A13,Frozen_Predictions!$A$4:$A$203,0))),INDEX(Frozen_Predictions!$B$4:$B$203,MATCH(A13,Frozen_Predictions!$A$4:$A$203,0))&lt;=INDEX(Frozen_Predictions!$C$4:$C$203,MATCH(A13,Frozen_Predictions!$A$4:$A$203,0)),ISNUMBER(INDEX(Frozen_Predictions!$L$4:$L$203,MATCH(A13,Frozen_Predictions!$A$4:$A$203,0))),ABS(I13-INDEX(Frozen_Predictions!$L$4:$L$203,MATCH(A13,Frozen_Predictions!$A$4:$A$203,0)))&lt;0.0000000001),1,0),0),0))</x:f>
        <x:v>0</x:v>
      </x:c>
    </x:row>
    <x:row r="14">
      <x:c r="R14" t="str">
        <x:f t="shared" si="0">IF(X14&lt;&gt;1,"",POWER(I14-J14,2))</x:f>
      </x:c>
      <x:c r="S14" t="str">
        <x:f t="shared" si="1">IF(X14&lt;&gt;1,"",-J14*LN(MAX(MIN(I14,0.999999),0.000001))-(1-J14)*LN(MAX(MIN(1-I14,0.999999),0.000001)))</x:f>
      </x:c>
      <x:c r="X14" s="227" t="n">
        <x:f>IF(OR(A14="",NOT(ISNUMBER(I14)),NOT(ISNUMBER(J14))),0,IF(AND(I14&gt;=0,I14&lt;=1,OR(J14=0,J14=1),COUNTIFS($A$4:$A$203,A14)=1,COUNTIFS(Frozen_Predictions!$A$4:$A$203,A14)=1),IFERROR(IF(AND(INDEX(Frozen_Predictions!$Q$4:$Q$203,MATCH(A14,Frozen_Predictions!$A$4:$A$203,0))="YES",ISNUMBER(INDEX(Frozen_Predictions!$B$4:$B$203,MATCH(A14,Frozen_Predictions!$A$4:$A$203,0))),ISNUMBER(INDEX(Frozen_Predictions!$C$4:$C$203,MATCH(A14,Frozen_Predictions!$A$4:$A$203,0))),INDEX(Frozen_Predictions!$B$4:$B$203,MATCH(A14,Frozen_Predictions!$A$4:$A$203,0))&lt;=INDEX(Frozen_Predictions!$C$4:$C$203,MATCH(A14,Frozen_Predictions!$A$4:$A$203,0)),ISNUMBER(INDEX(Frozen_Predictions!$L$4:$L$203,MATCH(A14,Frozen_Predictions!$A$4:$A$203,0))),ABS(I14-INDEX(Frozen_Predictions!$L$4:$L$203,MATCH(A14,Frozen_Predictions!$A$4:$A$203,0)))&lt;0.0000000001),1,0),0),0))</x:f>
        <x:v>0</x:v>
      </x:c>
    </x:row>
    <x:row r="15">
      <x:c r="R15" t="str">
        <x:f t="shared" si="0">IF(X15&lt;&gt;1,"",POWER(I15-J15,2))</x:f>
      </x:c>
      <x:c r="S15" t="str">
        <x:f t="shared" si="1">IF(X15&lt;&gt;1,"",-J15*LN(MAX(MIN(I15,0.999999),0.000001))-(1-J15)*LN(MAX(MIN(1-I15,0.999999),0.000001)))</x:f>
      </x:c>
      <x:c r="X15" s="227" t="n">
        <x:f>IF(OR(A15="",NOT(ISNUMBER(I15)),NOT(ISNUMBER(J15))),0,IF(AND(I15&gt;=0,I15&lt;=1,OR(J15=0,J15=1),COUNTIFS($A$4:$A$203,A15)=1,COUNTIFS(Frozen_Predictions!$A$4:$A$203,A15)=1),IFERROR(IF(AND(INDEX(Frozen_Predictions!$Q$4:$Q$203,MATCH(A15,Frozen_Predictions!$A$4:$A$203,0))="YES",ISNUMBER(INDEX(Frozen_Predictions!$B$4:$B$203,MATCH(A15,Frozen_Predictions!$A$4:$A$203,0))),ISNUMBER(INDEX(Frozen_Predictions!$C$4:$C$203,MATCH(A15,Frozen_Predictions!$A$4:$A$203,0))),INDEX(Frozen_Predictions!$B$4:$B$203,MATCH(A15,Frozen_Predictions!$A$4:$A$203,0))&lt;=INDEX(Frozen_Predictions!$C$4:$C$203,MATCH(A15,Frozen_Predictions!$A$4:$A$203,0)),ISNUMBER(INDEX(Frozen_Predictions!$L$4:$L$203,MATCH(A15,Frozen_Predictions!$A$4:$A$203,0))),ABS(I15-INDEX(Frozen_Predictions!$L$4:$L$203,MATCH(A15,Frozen_Predictions!$A$4:$A$203,0)))&lt;0.0000000001),1,0),0),0))</x:f>
        <x:v>0</x:v>
      </x:c>
    </x:row>
    <x:row r="16">
      <x:c r="R16" t="str">
        <x:f t="shared" si="0">IF(X16&lt;&gt;1,"",POWER(I16-J16,2))</x:f>
      </x:c>
      <x:c r="S16" t="str">
        <x:f t="shared" si="1">IF(X16&lt;&gt;1,"",-J16*LN(MAX(MIN(I16,0.999999),0.000001))-(1-J16)*LN(MAX(MIN(1-I16,0.999999),0.000001)))</x:f>
      </x:c>
      <x:c r="X16" s="227" t="n">
        <x:f>IF(OR(A16="",NOT(ISNUMBER(I16)),NOT(ISNUMBER(J16))),0,IF(AND(I16&gt;=0,I16&lt;=1,OR(J16=0,J16=1),COUNTIFS($A$4:$A$203,A16)=1,COUNTIFS(Frozen_Predictions!$A$4:$A$203,A16)=1),IFERROR(IF(AND(INDEX(Frozen_Predictions!$Q$4:$Q$203,MATCH(A16,Frozen_Predictions!$A$4:$A$203,0))="YES",ISNUMBER(INDEX(Frozen_Predictions!$B$4:$B$203,MATCH(A16,Frozen_Predictions!$A$4:$A$203,0))),ISNUMBER(INDEX(Frozen_Predictions!$C$4:$C$203,MATCH(A16,Frozen_Predictions!$A$4:$A$203,0))),INDEX(Frozen_Predictions!$B$4:$B$203,MATCH(A16,Frozen_Predictions!$A$4:$A$203,0))&lt;=INDEX(Frozen_Predictions!$C$4:$C$203,MATCH(A16,Frozen_Predictions!$A$4:$A$203,0)),ISNUMBER(INDEX(Frozen_Predictions!$L$4:$L$203,MATCH(A16,Frozen_Predictions!$A$4:$A$203,0))),ABS(I16-INDEX(Frozen_Predictions!$L$4:$L$203,MATCH(A16,Frozen_Predictions!$A$4:$A$203,0)))&lt;0.0000000001),1,0),0),0))</x:f>
        <x:v>0</x:v>
      </x:c>
    </x:row>
    <x:row r="17">
      <x:c r="R17" t="str">
        <x:f t="shared" si="0">IF(X17&lt;&gt;1,"",POWER(I17-J17,2))</x:f>
      </x:c>
      <x:c r="S17" t="str">
        <x:f t="shared" si="1">IF(X17&lt;&gt;1,"",-J17*LN(MAX(MIN(I17,0.999999),0.000001))-(1-J17)*LN(MAX(MIN(1-I17,0.999999),0.000001)))</x:f>
      </x:c>
      <x:c r="X17" s="227" t="n">
        <x:f>IF(OR(A17="",NOT(ISNUMBER(I17)),NOT(ISNUMBER(J17))),0,IF(AND(I17&gt;=0,I17&lt;=1,OR(J17=0,J17=1),COUNTIFS($A$4:$A$203,A17)=1,COUNTIFS(Frozen_Predictions!$A$4:$A$203,A17)=1),IFERROR(IF(AND(INDEX(Frozen_Predictions!$Q$4:$Q$203,MATCH(A17,Frozen_Predictions!$A$4:$A$203,0))="YES",ISNUMBER(INDEX(Frozen_Predictions!$B$4:$B$203,MATCH(A17,Frozen_Predictions!$A$4:$A$203,0))),ISNUMBER(INDEX(Frozen_Predictions!$C$4:$C$203,MATCH(A17,Frozen_Predictions!$A$4:$A$203,0))),INDEX(Frozen_Predictions!$B$4:$B$203,MATCH(A17,Frozen_Predictions!$A$4:$A$203,0))&lt;=INDEX(Frozen_Predictions!$C$4:$C$203,MATCH(A17,Frozen_Predictions!$A$4:$A$203,0)),ISNUMBER(INDEX(Frozen_Predictions!$L$4:$L$203,MATCH(A17,Frozen_Predictions!$A$4:$A$203,0))),ABS(I17-INDEX(Frozen_Predictions!$L$4:$L$203,MATCH(A17,Frozen_Predictions!$A$4:$A$203,0)))&lt;0.0000000001),1,0),0),0))</x:f>
        <x:v>0</x:v>
      </x:c>
    </x:row>
    <x:row r="18">
      <x:c r="R18" t="str">
        <x:f t="shared" si="0">IF(X18&lt;&gt;1,"",POWER(I18-J18,2))</x:f>
      </x:c>
      <x:c r="S18" t="str">
        <x:f t="shared" si="1">IF(X18&lt;&gt;1,"",-J18*LN(MAX(MIN(I18,0.999999),0.000001))-(1-J18)*LN(MAX(MIN(1-I18,0.999999),0.000001)))</x:f>
      </x:c>
      <x:c r="X18" s="227" t="n">
        <x:f>IF(OR(A18="",NOT(ISNUMBER(I18)),NOT(ISNUMBER(J18))),0,IF(AND(I18&gt;=0,I18&lt;=1,OR(J18=0,J18=1),COUNTIFS($A$4:$A$203,A18)=1,COUNTIFS(Frozen_Predictions!$A$4:$A$203,A18)=1),IFERROR(IF(AND(INDEX(Frozen_Predictions!$Q$4:$Q$203,MATCH(A18,Frozen_Predictions!$A$4:$A$203,0))="YES",ISNUMBER(INDEX(Frozen_Predictions!$B$4:$B$203,MATCH(A18,Frozen_Predictions!$A$4:$A$203,0))),ISNUMBER(INDEX(Frozen_Predictions!$C$4:$C$203,MATCH(A18,Frozen_Predictions!$A$4:$A$203,0))),INDEX(Frozen_Predictions!$B$4:$B$203,MATCH(A18,Frozen_Predictions!$A$4:$A$203,0))&lt;=INDEX(Frozen_Predictions!$C$4:$C$203,MATCH(A18,Frozen_Predictions!$A$4:$A$203,0)),ISNUMBER(INDEX(Frozen_Predictions!$L$4:$L$203,MATCH(A18,Frozen_Predictions!$A$4:$A$203,0))),ABS(I18-INDEX(Frozen_Predictions!$L$4:$L$203,MATCH(A18,Frozen_Predictions!$A$4:$A$203,0)))&lt;0.0000000001),1,0),0),0))</x:f>
        <x:v>0</x:v>
      </x:c>
    </x:row>
    <x:row r="19">
      <x:c r="R19" t="str">
        <x:f t="shared" si="0">IF(X19&lt;&gt;1,"",POWER(I19-J19,2))</x:f>
      </x:c>
      <x:c r="S19" t="str">
        <x:f t="shared" si="1">IF(X19&lt;&gt;1,"",-J19*LN(MAX(MIN(I19,0.999999),0.000001))-(1-J19)*LN(MAX(MIN(1-I19,0.999999),0.000001)))</x:f>
      </x:c>
      <x:c r="X19" s="227" t="n">
        <x:f>IF(OR(A19="",NOT(ISNUMBER(I19)),NOT(ISNUMBER(J19))),0,IF(AND(I19&gt;=0,I19&lt;=1,OR(J19=0,J19=1),COUNTIFS($A$4:$A$203,A19)=1,COUNTIFS(Frozen_Predictions!$A$4:$A$203,A19)=1),IFERROR(IF(AND(INDEX(Frozen_Predictions!$Q$4:$Q$203,MATCH(A19,Frozen_Predictions!$A$4:$A$203,0))="YES",ISNUMBER(INDEX(Frozen_Predictions!$B$4:$B$203,MATCH(A19,Frozen_Predictions!$A$4:$A$203,0))),ISNUMBER(INDEX(Frozen_Predictions!$C$4:$C$203,MATCH(A19,Frozen_Predictions!$A$4:$A$203,0))),INDEX(Frozen_Predictions!$B$4:$B$203,MATCH(A19,Frozen_Predictions!$A$4:$A$203,0))&lt;=INDEX(Frozen_Predictions!$C$4:$C$203,MATCH(A19,Frozen_Predictions!$A$4:$A$203,0)),ISNUMBER(INDEX(Frozen_Predictions!$L$4:$L$203,MATCH(A19,Frozen_Predictions!$A$4:$A$203,0))),ABS(I19-INDEX(Frozen_Predictions!$L$4:$L$203,MATCH(A19,Frozen_Predictions!$A$4:$A$203,0)))&lt;0.0000000001),1,0),0),0))</x:f>
        <x:v>0</x:v>
      </x:c>
    </x:row>
    <x:row r="20">
      <x:c r="R20" t="str">
        <x:f t="shared" si="0">IF(X20&lt;&gt;1,"",POWER(I20-J20,2))</x:f>
      </x:c>
      <x:c r="S20" t="str">
        <x:f t="shared" si="1">IF(X20&lt;&gt;1,"",-J20*LN(MAX(MIN(I20,0.999999),0.000001))-(1-J20)*LN(MAX(MIN(1-I20,0.999999),0.000001)))</x:f>
      </x:c>
      <x:c r="X20" s="227" t="n">
        <x:f>IF(OR(A20="",NOT(ISNUMBER(I20)),NOT(ISNUMBER(J20))),0,IF(AND(I20&gt;=0,I20&lt;=1,OR(J20=0,J20=1),COUNTIFS($A$4:$A$203,A20)=1,COUNTIFS(Frozen_Predictions!$A$4:$A$203,A20)=1),IFERROR(IF(AND(INDEX(Frozen_Predictions!$Q$4:$Q$203,MATCH(A20,Frozen_Predictions!$A$4:$A$203,0))="YES",ISNUMBER(INDEX(Frozen_Predictions!$B$4:$B$203,MATCH(A20,Frozen_Predictions!$A$4:$A$203,0))),ISNUMBER(INDEX(Frozen_Predictions!$C$4:$C$203,MATCH(A20,Frozen_Predictions!$A$4:$A$203,0))),INDEX(Frozen_Predictions!$B$4:$B$203,MATCH(A20,Frozen_Predictions!$A$4:$A$203,0))&lt;=INDEX(Frozen_Predictions!$C$4:$C$203,MATCH(A20,Frozen_Predictions!$A$4:$A$203,0)),ISNUMBER(INDEX(Frozen_Predictions!$L$4:$L$203,MATCH(A20,Frozen_Predictions!$A$4:$A$203,0))),ABS(I20-INDEX(Frozen_Predictions!$L$4:$L$203,MATCH(A20,Frozen_Predictions!$A$4:$A$203,0)))&lt;0.0000000001),1,0),0),0))</x:f>
        <x:v>0</x:v>
      </x:c>
    </x:row>
    <x:row r="21">
      <x:c r="R21" t="str">
        <x:f t="shared" si="0">IF(X21&lt;&gt;1,"",POWER(I21-J21,2))</x:f>
      </x:c>
      <x:c r="S21" t="str">
        <x:f t="shared" si="1">IF(X21&lt;&gt;1,"",-J21*LN(MAX(MIN(I21,0.999999),0.000001))-(1-J21)*LN(MAX(MIN(1-I21,0.999999),0.000001)))</x:f>
      </x:c>
      <x:c r="X21" s="227" t="n">
        <x:f>IF(OR(A21="",NOT(ISNUMBER(I21)),NOT(ISNUMBER(J21))),0,IF(AND(I21&gt;=0,I21&lt;=1,OR(J21=0,J21=1),COUNTIFS($A$4:$A$203,A21)=1,COUNTIFS(Frozen_Predictions!$A$4:$A$203,A21)=1),IFERROR(IF(AND(INDEX(Frozen_Predictions!$Q$4:$Q$203,MATCH(A21,Frozen_Predictions!$A$4:$A$203,0))="YES",ISNUMBER(INDEX(Frozen_Predictions!$B$4:$B$203,MATCH(A21,Frozen_Predictions!$A$4:$A$203,0))),ISNUMBER(INDEX(Frozen_Predictions!$C$4:$C$203,MATCH(A21,Frozen_Predictions!$A$4:$A$203,0))),INDEX(Frozen_Predictions!$B$4:$B$203,MATCH(A21,Frozen_Predictions!$A$4:$A$203,0))&lt;=INDEX(Frozen_Predictions!$C$4:$C$203,MATCH(A21,Frozen_Predictions!$A$4:$A$203,0)),ISNUMBER(INDEX(Frozen_Predictions!$L$4:$L$203,MATCH(A21,Frozen_Predictions!$A$4:$A$203,0))),ABS(I21-INDEX(Frozen_Predictions!$L$4:$L$203,MATCH(A21,Frozen_Predictions!$A$4:$A$203,0)))&lt;0.0000000001),1,0),0),0))</x:f>
        <x:v>0</x:v>
      </x:c>
    </x:row>
    <x:row r="22">
      <x:c r="R22" t="str">
        <x:f t="shared" si="0">IF(X22&lt;&gt;1,"",POWER(I22-J22,2))</x:f>
      </x:c>
      <x:c r="S22" t="str">
        <x:f t="shared" si="1">IF(X22&lt;&gt;1,"",-J22*LN(MAX(MIN(I22,0.999999),0.000001))-(1-J22)*LN(MAX(MIN(1-I22,0.999999),0.000001)))</x:f>
      </x:c>
      <x:c r="X22" s="227" t="n">
        <x:f>IF(OR(A22="",NOT(ISNUMBER(I22)),NOT(ISNUMBER(J22))),0,IF(AND(I22&gt;=0,I22&lt;=1,OR(J22=0,J22=1),COUNTIFS($A$4:$A$203,A22)=1,COUNTIFS(Frozen_Predictions!$A$4:$A$203,A22)=1),IFERROR(IF(AND(INDEX(Frozen_Predictions!$Q$4:$Q$203,MATCH(A22,Frozen_Predictions!$A$4:$A$203,0))="YES",ISNUMBER(INDEX(Frozen_Predictions!$B$4:$B$203,MATCH(A22,Frozen_Predictions!$A$4:$A$203,0))),ISNUMBER(INDEX(Frozen_Predictions!$C$4:$C$203,MATCH(A22,Frozen_Predictions!$A$4:$A$203,0))),INDEX(Frozen_Predictions!$B$4:$B$203,MATCH(A22,Frozen_Predictions!$A$4:$A$203,0))&lt;=INDEX(Frozen_Predictions!$C$4:$C$203,MATCH(A22,Frozen_Predictions!$A$4:$A$203,0)),ISNUMBER(INDEX(Frozen_Predictions!$L$4:$L$203,MATCH(A22,Frozen_Predictions!$A$4:$A$203,0))),ABS(I22-INDEX(Frozen_Predictions!$L$4:$L$203,MATCH(A22,Frozen_Predictions!$A$4:$A$203,0)))&lt;0.0000000001),1,0),0),0))</x:f>
        <x:v>0</x:v>
      </x:c>
    </x:row>
    <x:row r="23">
      <x:c r="R23" t="str">
        <x:f t="shared" si="0">IF(X23&lt;&gt;1,"",POWER(I23-J23,2))</x:f>
      </x:c>
      <x:c r="S23" t="str">
        <x:f t="shared" si="1">IF(X23&lt;&gt;1,"",-J23*LN(MAX(MIN(I23,0.999999),0.000001))-(1-J23)*LN(MAX(MIN(1-I23,0.999999),0.000001)))</x:f>
      </x:c>
      <x:c r="X23" s="227" t="n">
        <x:f>IF(OR(A23="",NOT(ISNUMBER(I23)),NOT(ISNUMBER(J23))),0,IF(AND(I23&gt;=0,I23&lt;=1,OR(J23=0,J23=1),COUNTIFS($A$4:$A$203,A23)=1,COUNTIFS(Frozen_Predictions!$A$4:$A$203,A23)=1),IFERROR(IF(AND(INDEX(Frozen_Predictions!$Q$4:$Q$203,MATCH(A23,Frozen_Predictions!$A$4:$A$203,0))="YES",ISNUMBER(INDEX(Frozen_Predictions!$B$4:$B$203,MATCH(A23,Frozen_Predictions!$A$4:$A$203,0))),ISNUMBER(INDEX(Frozen_Predictions!$C$4:$C$203,MATCH(A23,Frozen_Predictions!$A$4:$A$203,0))),INDEX(Frozen_Predictions!$B$4:$B$203,MATCH(A23,Frozen_Predictions!$A$4:$A$203,0))&lt;=INDEX(Frozen_Predictions!$C$4:$C$203,MATCH(A23,Frozen_Predictions!$A$4:$A$203,0)),ISNUMBER(INDEX(Frozen_Predictions!$L$4:$L$203,MATCH(A23,Frozen_Predictions!$A$4:$A$203,0))),ABS(I23-INDEX(Frozen_Predictions!$L$4:$L$203,MATCH(A23,Frozen_Predictions!$A$4:$A$203,0)))&lt;0.0000000001),1,0),0),0))</x:f>
        <x:v>0</x:v>
      </x:c>
    </x:row>
    <x:row r="24">
      <x:c r="R24" t="str">
        <x:f t="shared" si="0">IF(X24&lt;&gt;1,"",POWER(I24-J24,2))</x:f>
      </x:c>
      <x:c r="S24" t="str">
        <x:f t="shared" si="1">IF(X24&lt;&gt;1,"",-J24*LN(MAX(MIN(I24,0.999999),0.000001))-(1-J24)*LN(MAX(MIN(1-I24,0.999999),0.000001)))</x:f>
      </x:c>
      <x:c r="X24" s="227" t="n">
        <x:f>IF(OR(A24="",NOT(ISNUMBER(I24)),NOT(ISNUMBER(J24))),0,IF(AND(I24&gt;=0,I24&lt;=1,OR(J24=0,J24=1),COUNTIFS($A$4:$A$203,A24)=1,COUNTIFS(Frozen_Predictions!$A$4:$A$203,A24)=1),IFERROR(IF(AND(INDEX(Frozen_Predictions!$Q$4:$Q$203,MATCH(A24,Frozen_Predictions!$A$4:$A$203,0))="YES",ISNUMBER(INDEX(Frozen_Predictions!$B$4:$B$203,MATCH(A24,Frozen_Predictions!$A$4:$A$203,0))),ISNUMBER(INDEX(Frozen_Predictions!$C$4:$C$203,MATCH(A24,Frozen_Predictions!$A$4:$A$203,0))),INDEX(Frozen_Predictions!$B$4:$B$203,MATCH(A24,Frozen_Predictions!$A$4:$A$203,0))&lt;=INDEX(Frozen_Predictions!$C$4:$C$203,MATCH(A24,Frozen_Predictions!$A$4:$A$203,0)),ISNUMBER(INDEX(Frozen_Predictions!$L$4:$L$203,MATCH(A24,Frozen_Predictions!$A$4:$A$203,0))),ABS(I24-INDEX(Frozen_Predictions!$L$4:$L$203,MATCH(A24,Frozen_Predictions!$A$4:$A$203,0)))&lt;0.0000000001),1,0),0),0))</x:f>
        <x:v>0</x:v>
      </x:c>
    </x:row>
    <x:row r="25">
      <x:c r="R25" t="str">
        <x:f t="shared" si="0">IF(X25&lt;&gt;1,"",POWER(I25-J25,2))</x:f>
      </x:c>
      <x:c r="S25" t="str">
        <x:f t="shared" si="1">IF(X25&lt;&gt;1,"",-J25*LN(MAX(MIN(I25,0.999999),0.000001))-(1-J25)*LN(MAX(MIN(1-I25,0.999999),0.000001)))</x:f>
      </x:c>
      <x:c r="X25" s="227" t="n">
        <x:f>IF(OR(A25="",NOT(ISNUMBER(I25)),NOT(ISNUMBER(J25))),0,IF(AND(I25&gt;=0,I25&lt;=1,OR(J25=0,J25=1),COUNTIFS($A$4:$A$203,A25)=1,COUNTIFS(Frozen_Predictions!$A$4:$A$203,A25)=1),IFERROR(IF(AND(INDEX(Frozen_Predictions!$Q$4:$Q$203,MATCH(A25,Frozen_Predictions!$A$4:$A$203,0))="YES",ISNUMBER(INDEX(Frozen_Predictions!$B$4:$B$203,MATCH(A25,Frozen_Predictions!$A$4:$A$203,0))),ISNUMBER(INDEX(Frozen_Predictions!$C$4:$C$203,MATCH(A25,Frozen_Predictions!$A$4:$A$203,0))),INDEX(Frozen_Predictions!$B$4:$B$203,MATCH(A25,Frozen_Predictions!$A$4:$A$203,0))&lt;=INDEX(Frozen_Predictions!$C$4:$C$203,MATCH(A25,Frozen_Predictions!$A$4:$A$203,0)),ISNUMBER(INDEX(Frozen_Predictions!$L$4:$L$203,MATCH(A25,Frozen_Predictions!$A$4:$A$203,0))),ABS(I25-INDEX(Frozen_Predictions!$L$4:$L$203,MATCH(A25,Frozen_Predictions!$A$4:$A$203,0)))&lt;0.0000000001),1,0),0),0))</x:f>
        <x:v>0</x:v>
      </x:c>
    </x:row>
    <x:row r="26">
      <x:c r="R26" t="str">
        <x:f t="shared" si="0">IF(X26&lt;&gt;1,"",POWER(I26-J26,2))</x:f>
      </x:c>
      <x:c r="S26" t="str">
        <x:f t="shared" si="1">IF(X26&lt;&gt;1,"",-J26*LN(MAX(MIN(I26,0.999999),0.000001))-(1-J26)*LN(MAX(MIN(1-I26,0.999999),0.000001)))</x:f>
      </x:c>
      <x:c r="X26" s="227" t="n">
        <x:f>IF(OR(A26="",NOT(ISNUMBER(I26)),NOT(ISNUMBER(J26))),0,IF(AND(I26&gt;=0,I26&lt;=1,OR(J26=0,J26=1),COUNTIFS($A$4:$A$203,A26)=1,COUNTIFS(Frozen_Predictions!$A$4:$A$203,A26)=1),IFERROR(IF(AND(INDEX(Frozen_Predictions!$Q$4:$Q$203,MATCH(A26,Frozen_Predictions!$A$4:$A$203,0))="YES",ISNUMBER(INDEX(Frozen_Predictions!$B$4:$B$203,MATCH(A26,Frozen_Predictions!$A$4:$A$203,0))),ISNUMBER(INDEX(Frozen_Predictions!$C$4:$C$203,MATCH(A26,Frozen_Predictions!$A$4:$A$203,0))),INDEX(Frozen_Predictions!$B$4:$B$203,MATCH(A26,Frozen_Predictions!$A$4:$A$203,0))&lt;=INDEX(Frozen_Predictions!$C$4:$C$203,MATCH(A26,Frozen_Predictions!$A$4:$A$203,0)),ISNUMBER(INDEX(Frozen_Predictions!$L$4:$L$203,MATCH(A26,Frozen_Predictions!$A$4:$A$203,0))),ABS(I26-INDEX(Frozen_Predictions!$L$4:$L$203,MATCH(A26,Frozen_Predictions!$A$4:$A$203,0)))&lt;0.0000000001),1,0),0),0))</x:f>
        <x:v>0</x:v>
      </x:c>
    </x:row>
    <x:row r="27">
      <x:c r="R27" t="str">
        <x:f t="shared" si="0">IF(X27&lt;&gt;1,"",POWER(I27-J27,2))</x:f>
      </x:c>
      <x:c r="S27" t="str">
        <x:f t="shared" si="1">IF(X27&lt;&gt;1,"",-J27*LN(MAX(MIN(I27,0.999999),0.000001))-(1-J27)*LN(MAX(MIN(1-I27,0.999999),0.000001)))</x:f>
      </x:c>
      <x:c r="X27" s="227" t="n">
        <x:f>IF(OR(A27="",NOT(ISNUMBER(I27)),NOT(ISNUMBER(J27))),0,IF(AND(I27&gt;=0,I27&lt;=1,OR(J27=0,J27=1),COUNTIFS($A$4:$A$203,A27)=1,COUNTIFS(Frozen_Predictions!$A$4:$A$203,A27)=1),IFERROR(IF(AND(INDEX(Frozen_Predictions!$Q$4:$Q$203,MATCH(A27,Frozen_Predictions!$A$4:$A$203,0))="YES",ISNUMBER(INDEX(Frozen_Predictions!$B$4:$B$203,MATCH(A27,Frozen_Predictions!$A$4:$A$203,0))),ISNUMBER(INDEX(Frozen_Predictions!$C$4:$C$203,MATCH(A27,Frozen_Predictions!$A$4:$A$203,0))),INDEX(Frozen_Predictions!$B$4:$B$203,MATCH(A27,Frozen_Predictions!$A$4:$A$203,0))&lt;=INDEX(Frozen_Predictions!$C$4:$C$203,MATCH(A27,Frozen_Predictions!$A$4:$A$203,0)),ISNUMBER(INDEX(Frozen_Predictions!$L$4:$L$203,MATCH(A27,Frozen_Predictions!$A$4:$A$203,0))),ABS(I27-INDEX(Frozen_Predictions!$L$4:$L$203,MATCH(A27,Frozen_Predictions!$A$4:$A$203,0)))&lt;0.0000000001),1,0),0),0))</x:f>
        <x:v>0</x:v>
      </x:c>
    </x:row>
    <x:row r="28">
      <x:c r="R28" t="str">
        <x:f t="shared" si="0">IF(X28&lt;&gt;1,"",POWER(I28-J28,2))</x:f>
      </x:c>
      <x:c r="S28" t="str">
        <x:f t="shared" si="1">IF(X28&lt;&gt;1,"",-J28*LN(MAX(MIN(I28,0.999999),0.000001))-(1-J28)*LN(MAX(MIN(1-I28,0.999999),0.000001)))</x:f>
      </x:c>
      <x:c r="X28" s="227" t="n">
        <x:f>IF(OR(A28="",NOT(ISNUMBER(I28)),NOT(ISNUMBER(J28))),0,IF(AND(I28&gt;=0,I28&lt;=1,OR(J28=0,J28=1),COUNTIFS($A$4:$A$203,A28)=1,COUNTIFS(Frozen_Predictions!$A$4:$A$203,A28)=1),IFERROR(IF(AND(INDEX(Frozen_Predictions!$Q$4:$Q$203,MATCH(A28,Frozen_Predictions!$A$4:$A$203,0))="YES",ISNUMBER(INDEX(Frozen_Predictions!$B$4:$B$203,MATCH(A28,Frozen_Predictions!$A$4:$A$203,0))),ISNUMBER(INDEX(Frozen_Predictions!$C$4:$C$203,MATCH(A28,Frozen_Predictions!$A$4:$A$203,0))),INDEX(Frozen_Predictions!$B$4:$B$203,MATCH(A28,Frozen_Predictions!$A$4:$A$203,0))&lt;=INDEX(Frozen_Predictions!$C$4:$C$203,MATCH(A28,Frozen_Predictions!$A$4:$A$203,0)),ISNUMBER(INDEX(Frozen_Predictions!$L$4:$L$203,MATCH(A28,Frozen_Predictions!$A$4:$A$203,0))),ABS(I28-INDEX(Frozen_Predictions!$L$4:$L$203,MATCH(A28,Frozen_Predictions!$A$4:$A$203,0)))&lt;0.0000000001),1,0),0),0))</x:f>
        <x:v>0</x:v>
      </x:c>
    </x:row>
    <x:row r="29">
      <x:c r="R29" t="str">
        <x:f t="shared" si="0">IF(X29&lt;&gt;1,"",POWER(I29-J29,2))</x:f>
      </x:c>
      <x:c r="S29" t="str">
        <x:f t="shared" si="1">IF(X29&lt;&gt;1,"",-J29*LN(MAX(MIN(I29,0.999999),0.000001))-(1-J29)*LN(MAX(MIN(1-I29,0.999999),0.000001)))</x:f>
      </x:c>
      <x:c r="X29" s="227" t="n">
        <x:f>IF(OR(A29="",NOT(ISNUMBER(I29)),NOT(ISNUMBER(J29))),0,IF(AND(I29&gt;=0,I29&lt;=1,OR(J29=0,J29=1),COUNTIFS($A$4:$A$203,A29)=1,COUNTIFS(Frozen_Predictions!$A$4:$A$203,A29)=1),IFERROR(IF(AND(INDEX(Frozen_Predictions!$Q$4:$Q$203,MATCH(A29,Frozen_Predictions!$A$4:$A$203,0))="YES",ISNUMBER(INDEX(Frozen_Predictions!$B$4:$B$203,MATCH(A29,Frozen_Predictions!$A$4:$A$203,0))),ISNUMBER(INDEX(Frozen_Predictions!$C$4:$C$203,MATCH(A29,Frozen_Predictions!$A$4:$A$203,0))),INDEX(Frozen_Predictions!$B$4:$B$203,MATCH(A29,Frozen_Predictions!$A$4:$A$203,0))&lt;=INDEX(Frozen_Predictions!$C$4:$C$203,MATCH(A29,Frozen_Predictions!$A$4:$A$203,0)),ISNUMBER(INDEX(Frozen_Predictions!$L$4:$L$203,MATCH(A29,Frozen_Predictions!$A$4:$A$203,0))),ABS(I29-INDEX(Frozen_Predictions!$L$4:$L$203,MATCH(A29,Frozen_Predictions!$A$4:$A$203,0)))&lt;0.0000000001),1,0),0),0))</x:f>
        <x:v>0</x:v>
      </x:c>
    </x:row>
    <x:row r="30">
      <x:c r="R30" t="str">
        <x:f t="shared" si="0">IF(X30&lt;&gt;1,"",POWER(I30-J30,2))</x:f>
      </x:c>
      <x:c r="S30" t="str">
        <x:f t="shared" si="1">IF(X30&lt;&gt;1,"",-J30*LN(MAX(MIN(I30,0.999999),0.000001))-(1-J30)*LN(MAX(MIN(1-I30,0.999999),0.000001)))</x:f>
      </x:c>
      <x:c r="X30" s="227" t="n">
        <x:f>IF(OR(A30="",NOT(ISNUMBER(I30)),NOT(ISNUMBER(J30))),0,IF(AND(I30&gt;=0,I30&lt;=1,OR(J30=0,J30=1),COUNTIFS($A$4:$A$203,A30)=1,COUNTIFS(Frozen_Predictions!$A$4:$A$203,A30)=1),IFERROR(IF(AND(INDEX(Frozen_Predictions!$Q$4:$Q$203,MATCH(A30,Frozen_Predictions!$A$4:$A$203,0))="YES",ISNUMBER(INDEX(Frozen_Predictions!$B$4:$B$203,MATCH(A30,Frozen_Predictions!$A$4:$A$203,0))),ISNUMBER(INDEX(Frozen_Predictions!$C$4:$C$203,MATCH(A30,Frozen_Predictions!$A$4:$A$203,0))),INDEX(Frozen_Predictions!$B$4:$B$203,MATCH(A30,Frozen_Predictions!$A$4:$A$203,0))&lt;=INDEX(Frozen_Predictions!$C$4:$C$203,MATCH(A30,Frozen_Predictions!$A$4:$A$203,0)),ISNUMBER(INDEX(Frozen_Predictions!$L$4:$L$203,MATCH(A30,Frozen_Predictions!$A$4:$A$203,0))),ABS(I30-INDEX(Frozen_Predictions!$L$4:$L$203,MATCH(A30,Frozen_Predictions!$A$4:$A$203,0)))&lt;0.0000000001),1,0),0),0))</x:f>
        <x:v>0</x:v>
      </x:c>
    </x:row>
    <x:row r="31">
      <x:c r="R31" t="str">
        <x:f t="shared" si="0">IF(X31&lt;&gt;1,"",POWER(I31-J31,2))</x:f>
      </x:c>
      <x:c r="S31" t="str">
        <x:f t="shared" si="1">IF(X31&lt;&gt;1,"",-J31*LN(MAX(MIN(I31,0.999999),0.000001))-(1-J31)*LN(MAX(MIN(1-I31,0.999999),0.000001)))</x:f>
      </x:c>
      <x:c r="X31" s="227" t="n">
        <x:f>IF(OR(A31="",NOT(ISNUMBER(I31)),NOT(ISNUMBER(J31))),0,IF(AND(I31&gt;=0,I31&lt;=1,OR(J31=0,J31=1),COUNTIFS($A$4:$A$203,A31)=1,COUNTIFS(Frozen_Predictions!$A$4:$A$203,A31)=1),IFERROR(IF(AND(INDEX(Frozen_Predictions!$Q$4:$Q$203,MATCH(A31,Frozen_Predictions!$A$4:$A$203,0))="YES",ISNUMBER(INDEX(Frozen_Predictions!$B$4:$B$203,MATCH(A31,Frozen_Predictions!$A$4:$A$203,0))),ISNUMBER(INDEX(Frozen_Predictions!$C$4:$C$203,MATCH(A31,Frozen_Predictions!$A$4:$A$203,0))),INDEX(Frozen_Predictions!$B$4:$B$203,MATCH(A31,Frozen_Predictions!$A$4:$A$203,0))&lt;=INDEX(Frozen_Predictions!$C$4:$C$203,MATCH(A31,Frozen_Predictions!$A$4:$A$203,0)),ISNUMBER(INDEX(Frozen_Predictions!$L$4:$L$203,MATCH(A31,Frozen_Predictions!$A$4:$A$203,0))),ABS(I31-INDEX(Frozen_Predictions!$L$4:$L$203,MATCH(A31,Frozen_Predictions!$A$4:$A$203,0)))&lt;0.0000000001),1,0),0),0))</x:f>
        <x:v>0</x:v>
      </x:c>
    </x:row>
    <x:row r="32">
      <x:c r="R32" t="str">
        <x:f t="shared" si="0">IF(X32&lt;&gt;1,"",POWER(I32-J32,2))</x:f>
      </x:c>
      <x:c r="S32" t="str">
        <x:f t="shared" si="1">IF(X32&lt;&gt;1,"",-J32*LN(MAX(MIN(I32,0.999999),0.000001))-(1-J32)*LN(MAX(MIN(1-I32,0.999999),0.000001)))</x:f>
      </x:c>
      <x:c r="X32" s="227" t="n">
        <x:f>IF(OR(A32="",NOT(ISNUMBER(I32)),NOT(ISNUMBER(J32))),0,IF(AND(I32&gt;=0,I32&lt;=1,OR(J32=0,J32=1),COUNTIFS($A$4:$A$203,A32)=1,COUNTIFS(Frozen_Predictions!$A$4:$A$203,A32)=1),IFERROR(IF(AND(INDEX(Frozen_Predictions!$Q$4:$Q$203,MATCH(A32,Frozen_Predictions!$A$4:$A$203,0))="YES",ISNUMBER(INDEX(Frozen_Predictions!$B$4:$B$203,MATCH(A32,Frozen_Predictions!$A$4:$A$203,0))),ISNUMBER(INDEX(Frozen_Predictions!$C$4:$C$203,MATCH(A32,Frozen_Predictions!$A$4:$A$203,0))),INDEX(Frozen_Predictions!$B$4:$B$203,MATCH(A32,Frozen_Predictions!$A$4:$A$203,0))&lt;=INDEX(Frozen_Predictions!$C$4:$C$203,MATCH(A32,Frozen_Predictions!$A$4:$A$203,0)),ISNUMBER(INDEX(Frozen_Predictions!$L$4:$L$203,MATCH(A32,Frozen_Predictions!$A$4:$A$203,0))),ABS(I32-INDEX(Frozen_Predictions!$L$4:$L$203,MATCH(A32,Frozen_Predictions!$A$4:$A$203,0)))&lt;0.0000000001),1,0),0),0))</x:f>
        <x:v>0</x:v>
      </x:c>
    </x:row>
    <x:row r="33">
      <x:c r="R33" t="str">
        <x:f t="shared" si="0">IF(X33&lt;&gt;1,"",POWER(I33-J33,2))</x:f>
      </x:c>
      <x:c r="S33" t="str">
        <x:f t="shared" si="1">IF(X33&lt;&gt;1,"",-J33*LN(MAX(MIN(I33,0.999999),0.000001))-(1-J33)*LN(MAX(MIN(1-I33,0.999999),0.000001)))</x:f>
      </x:c>
      <x:c r="X33" s="227" t="n">
        <x:f>IF(OR(A33="",NOT(ISNUMBER(I33)),NOT(ISNUMBER(J33))),0,IF(AND(I33&gt;=0,I33&lt;=1,OR(J33=0,J33=1),COUNTIFS($A$4:$A$203,A33)=1,COUNTIFS(Frozen_Predictions!$A$4:$A$203,A33)=1),IFERROR(IF(AND(INDEX(Frozen_Predictions!$Q$4:$Q$203,MATCH(A33,Frozen_Predictions!$A$4:$A$203,0))="YES",ISNUMBER(INDEX(Frozen_Predictions!$B$4:$B$203,MATCH(A33,Frozen_Predictions!$A$4:$A$203,0))),ISNUMBER(INDEX(Frozen_Predictions!$C$4:$C$203,MATCH(A33,Frozen_Predictions!$A$4:$A$203,0))),INDEX(Frozen_Predictions!$B$4:$B$203,MATCH(A33,Frozen_Predictions!$A$4:$A$203,0))&lt;=INDEX(Frozen_Predictions!$C$4:$C$203,MATCH(A33,Frozen_Predictions!$A$4:$A$203,0)),ISNUMBER(INDEX(Frozen_Predictions!$L$4:$L$203,MATCH(A33,Frozen_Predictions!$A$4:$A$203,0))),ABS(I33-INDEX(Frozen_Predictions!$L$4:$L$203,MATCH(A33,Frozen_Predictions!$A$4:$A$203,0)))&lt;0.0000000001),1,0),0),0))</x:f>
        <x:v>0</x:v>
      </x:c>
    </x:row>
    <x:row r="34">
      <x:c r="R34" t="str">
        <x:f t="shared" si="0">IF(X34&lt;&gt;1,"",POWER(I34-J34,2))</x:f>
      </x:c>
      <x:c r="S34" t="str">
        <x:f t="shared" si="1">IF(X34&lt;&gt;1,"",-J34*LN(MAX(MIN(I34,0.999999),0.000001))-(1-J34)*LN(MAX(MIN(1-I34,0.999999),0.000001)))</x:f>
      </x:c>
      <x:c r="X34" s="227" t="n">
        <x:f>IF(OR(A34="",NOT(ISNUMBER(I34)),NOT(ISNUMBER(J34))),0,IF(AND(I34&gt;=0,I34&lt;=1,OR(J34=0,J34=1),COUNTIFS($A$4:$A$203,A34)=1,COUNTIFS(Frozen_Predictions!$A$4:$A$203,A34)=1),IFERROR(IF(AND(INDEX(Frozen_Predictions!$Q$4:$Q$203,MATCH(A34,Frozen_Predictions!$A$4:$A$203,0))="YES",ISNUMBER(INDEX(Frozen_Predictions!$B$4:$B$203,MATCH(A34,Frozen_Predictions!$A$4:$A$203,0))),ISNUMBER(INDEX(Frozen_Predictions!$C$4:$C$203,MATCH(A34,Frozen_Predictions!$A$4:$A$203,0))),INDEX(Frozen_Predictions!$B$4:$B$203,MATCH(A34,Frozen_Predictions!$A$4:$A$203,0))&lt;=INDEX(Frozen_Predictions!$C$4:$C$203,MATCH(A34,Frozen_Predictions!$A$4:$A$203,0)),ISNUMBER(INDEX(Frozen_Predictions!$L$4:$L$203,MATCH(A34,Frozen_Predictions!$A$4:$A$203,0))),ABS(I34-INDEX(Frozen_Predictions!$L$4:$L$203,MATCH(A34,Frozen_Predictions!$A$4:$A$203,0)))&lt;0.0000000001),1,0),0),0))</x:f>
        <x:v>0</x:v>
      </x:c>
    </x:row>
    <x:row r="35">
      <x:c r="R35" t="str">
        <x:f t="shared" si="0">IF(X35&lt;&gt;1,"",POWER(I35-J35,2))</x:f>
      </x:c>
      <x:c r="S35" t="str">
        <x:f t="shared" si="1">IF(X35&lt;&gt;1,"",-J35*LN(MAX(MIN(I35,0.999999),0.000001))-(1-J35)*LN(MAX(MIN(1-I35,0.999999),0.000001)))</x:f>
      </x:c>
      <x:c r="X35" s="227" t="n">
        <x:f>IF(OR(A35="",NOT(ISNUMBER(I35)),NOT(ISNUMBER(J35))),0,IF(AND(I35&gt;=0,I35&lt;=1,OR(J35=0,J35=1),COUNTIFS($A$4:$A$203,A35)=1,COUNTIFS(Frozen_Predictions!$A$4:$A$203,A35)=1),IFERROR(IF(AND(INDEX(Frozen_Predictions!$Q$4:$Q$203,MATCH(A35,Frozen_Predictions!$A$4:$A$203,0))="YES",ISNUMBER(INDEX(Frozen_Predictions!$B$4:$B$203,MATCH(A35,Frozen_Predictions!$A$4:$A$203,0))),ISNUMBER(INDEX(Frozen_Predictions!$C$4:$C$203,MATCH(A35,Frozen_Predictions!$A$4:$A$203,0))),INDEX(Frozen_Predictions!$B$4:$B$203,MATCH(A35,Frozen_Predictions!$A$4:$A$203,0))&lt;=INDEX(Frozen_Predictions!$C$4:$C$203,MATCH(A35,Frozen_Predictions!$A$4:$A$203,0)),ISNUMBER(INDEX(Frozen_Predictions!$L$4:$L$203,MATCH(A35,Frozen_Predictions!$A$4:$A$203,0))),ABS(I35-INDEX(Frozen_Predictions!$L$4:$L$203,MATCH(A35,Frozen_Predictions!$A$4:$A$203,0)))&lt;0.0000000001),1,0),0),0))</x:f>
        <x:v>0</x:v>
      </x:c>
    </x:row>
    <x:row r="36">
      <x:c r="R36" t="str">
        <x:f t="shared" ref="R36:R67" si="2">IF(X36&lt;&gt;1,"",POWER(I36-J36,2))</x:f>
      </x:c>
      <x:c r="S36" t="str">
        <x:f t="shared" ref="S36:S67" si="3">IF(X36&lt;&gt;1,"",-J36*LN(MAX(MIN(I36,0.999999),0.000001))-(1-J36)*LN(MAX(MIN(1-I36,0.999999),0.000001)))</x:f>
      </x:c>
      <x:c r="X36" s="227" t="n">
        <x:f>IF(OR(A36="",NOT(ISNUMBER(I36)),NOT(ISNUMBER(J36))),0,IF(AND(I36&gt;=0,I36&lt;=1,OR(J36=0,J36=1),COUNTIFS($A$4:$A$203,A36)=1,COUNTIFS(Frozen_Predictions!$A$4:$A$203,A36)=1),IFERROR(IF(AND(INDEX(Frozen_Predictions!$Q$4:$Q$203,MATCH(A36,Frozen_Predictions!$A$4:$A$203,0))="YES",ISNUMBER(INDEX(Frozen_Predictions!$B$4:$B$203,MATCH(A36,Frozen_Predictions!$A$4:$A$203,0))),ISNUMBER(INDEX(Frozen_Predictions!$C$4:$C$203,MATCH(A36,Frozen_Predictions!$A$4:$A$203,0))),INDEX(Frozen_Predictions!$B$4:$B$203,MATCH(A36,Frozen_Predictions!$A$4:$A$203,0))&lt;=INDEX(Frozen_Predictions!$C$4:$C$203,MATCH(A36,Frozen_Predictions!$A$4:$A$203,0)),ISNUMBER(INDEX(Frozen_Predictions!$L$4:$L$203,MATCH(A36,Frozen_Predictions!$A$4:$A$203,0))),ABS(I36-INDEX(Frozen_Predictions!$L$4:$L$203,MATCH(A36,Frozen_Predictions!$A$4:$A$203,0)))&lt;0.0000000001),1,0),0),0))</x:f>
        <x:v>0</x:v>
      </x:c>
    </x:row>
    <x:row r="37">
      <x:c r="R37" t="str">
        <x:f t="shared" si="2">IF(X37&lt;&gt;1,"",POWER(I37-J37,2))</x:f>
      </x:c>
      <x:c r="S37" t="str">
        <x:f t="shared" si="3">IF(X37&lt;&gt;1,"",-J37*LN(MAX(MIN(I37,0.999999),0.000001))-(1-J37)*LN(MAX(MIN(1-I37,0.999999),0.000001)))</x:f>
      </x:c>
      <x:c r="X37" s="227" t="n">
        <x:f>IF(OR(A37="",NOT(ISNUMBER(I37)),NOT(ISNUMBER(J37))),0,IF(AND(I37&gt;=0,I37&lt;=1,OR(J37=0,J37=1),COUNTIFS($A$4:$A$203,A37)=1,COUNTIFS(Frozen_Predictions!$A$4:$A$203,A37)=1),IFERROR(IF(AND(INDEX(Frozen_Predictions!$Q$4:$Q$203,MATCH(A37,Frozen_Predictions!$A$4:$A$203,0))="YES",ISNUMBER(INDEX(Frozen_Predictions!$B$4:$B$203,MATCH(A37,Frozen_Predictions!$A$4:$A$203,0))),ISNUMBER(INDEX(Frozen_Predictions!$C$4:$C$203,MATCH(A37,Frozen_Predictions!$A$4:$A$203,0))),INDEX(Frozen_Predictions!$B$4:$B$203,MATCH(A37,Frozen_Predictions!$A$4:$A$203,0))&lt;=INDEX(Frozen_Predictions!$C$4:$C$203,MATCH(A37,Frozen_Predictions!$A$4:$A$203,0)),ISNUMBER(INDEX(Frozen_Predictions!$L$4:$L$203,MATCH(A37,Frozen_Predictions!$A$4:$A$203,0))),ABS(I37-INDEX(Frozen_Predictions!$L$4:$L$203,MATCH(A37,Frozen_Predictions!$A$4:$A$203,0)))&lt;0.0000000001),1,0),0),0))</x:f>
        <x:v>0</x:v>
      </x:c>
    </x:row>
    <x:row r="38">
      <x:c r="R38" t="str">
        <x:f t="shared" si="2">IF(X38&lt;&gt;1,"",POWER(I38-J38,2))</x:f>
      </x:c>
      <x:c r="S38" t="str">
        <x:f t="shared" si="3">IF(X38&lt;&gt;1,"",-J38*LN(MAX(MIN(I38,0.999999),0.000001))-(1-J38)*LN(MAX(MIN(1-I38,0.999999),0.000001)))</x:f>
      </x:c>
      <x:c r="X38" s="227" t="n">
        <x:f>IF(OR(A38="",NOT(ISNUMBER(I38)),NOT(ISNUMBER(J38))),0,IF(AND(I38&gt;=0,I38&lt;=1,OR(J38=0,J38=1),COUNTIFS($A$4:$A$203,A38)=1,COUNTIFS(Frozen_Predictions!$A$4:$A$203,A38)=1),IFERROR(IF(AND(INDEX(Frozen_Predictions!$Q$4:$Q$203,MATCH(A38,Frozen_Predictions!$A$4:$A$203,0))="YES",ISNUMBER(INDEX(Frozen_Predictions!$B$4:$B$203,MATCH(A38,Frozen_Predictions!$A$4:$A$203,0))),ISNUMBER(INDEX(Frozen_Predictions!$C$4:$C$203,MATCH(A38,Frozen_Predictions!$A$4:$A$203,0))),INDEX(Frozen_Predictions!$B$4:$B$203,MATCH(A38,Frozen_Predictions!$A$4:$A$203,0))&lt;=INDEX(Frozen_Predictions!$C$4:$C$203,MATCH(A38,Frozen_Predictions!$A$4:$A$203,0)),ISNUMBER(INDEX(Frozen_Predictions!$L$4:$L$203,MATCH(A38,Frozen_Predictions!$A$4:$A$203,0))),ABS(I38-INDEX(Frozen_Predictions!$L$4:$L$203,MATCH(A38,Frozen_Predictions!$A$4:$A$203,0)))&lt;0.0000000001),1,0),0),0))</x:f>
        <x:v>0</x:v>
      </x:c>
    </x:row>
    <x:row r="39">
      <x:c r="R39" t="str">
        <x:f t="shared" si="2">IF(X39&lt;&gt;1,"",POWER(I39-J39,2))</x:f>
      </x:c>
      <x:c r="S39" t="str">
        <x:f t="shared" si="3">IF(X39&lt;&gt;1,"",-J39*LN(MAX(MIN(I39,0.999999),0.000001))-(1-J39)*LN(MAX(MIN(1-I39,0.999999),0.000001)))</x:f>
      </x:c>
      <x:c r="X39" s="227" t="n">
        <x:f>IF(OR(A39="",NOT(ISNUMBER(I39)),NOT(ISNUMBER(J39))),0,IF(AND(I39&gt;=0,I39&lt;=1,OR(J39=0,J39=1),COUNTIFS($A$4:$A$203,A39)=1,COUNTIFS(Frozen_Predictions!$A$4:$A$203,A39)=1),IFERROR(IF(AND(INDEX(Frozen_Predictions!$Q$4:$Q$203,MATCH(A39,Frozen_Predictions!$A$4:$A$203,0))="YES",ISNUMBER(INDEX(Frozen_Predictions!$B$4:$B$203,MATCH(A39,Frozen_Predictions!$A$4:$A$203,0))),ISNUMBER(INDEX(Frozen_Predictions!$C$4:$C$203,MATCH(A39,Frozen_Predictions!$A$4:$A$203,0))),INDEX(Frozen_Predictions!$B$4:$B$203,MATCH(A39,Frozen_Predictions!$A$4:$A$203,0))&lt;=INDEX(Frozen_Predictions!$C$4:$C$203,MATCH(A39,Frozen_Predictions!$A$4:$A$203,0)),ISNUMBER(INDEX(Frozen_Predictions!$L$4:$L$203,MATCH(A39,Frozen_Predictions!$A$4:$A$203,0))),ABS(I39-INDEX(Frozen_Predictions!$L$4:$L$203,MATCH(A39,Frozen_Predictions!$A$4:$A$203,0)))&lt;0.0000000001),1,0),0),0))</x:f>
        <x:v>0</x:v>
      </x:c>
    </x:row>
    <x:row r="40">
      <x:c r="R40" t="str">
        <x:f t="shared" si="2">IF(X40&lt;&gt;1,"",POWER(I40-J40,2))</x:f>
      </x:c>
      <x:c r="S40" t="str">
        <x:f t="shared" si="3">IF(X40&lt;&gt;1,"",-J40*LN(MAX(MIN(I40,0.999999),0.000001))-(1-J40)*LN(MAX(MIN(1-I40,0.999999),0.000001)))</x:f>
      </x:c>
      <x:c r="X40" s="227" t="n">
        <x:f>IF(OR(A40="",NOT(ISNUMBER(I40)),NOT(ISNUMBER(J40))),0,IF(AND(I40&gt;=0,I40&lt;=1,OR(J40=0,J40=1),COUNTIFS($A$4:$A$203,A40)=1,COUNTIFS(Frozen_Predictions!$A$4:$A$203,A40)=1),IFERROR(IF(AND(INDEX(Frozen_Predictions!$Q$4:$Q$203,MATCH(A40,Frozen_Predictions!$A$4:$A$203,0))="YES",ISNUMBER(INDEX(Frozen_Predictions!$B$4:$B$203,MATCH(A40,Frozen_Predictions!$A$4:$A$203,0))),ISNUMBER(INDEX(Frozen_Predictions!$C$4:$C$203,MATCH(A40,Frozen_Predictions!$A$4:$A$203,0))),INDEX(Frozen_Predictions!$B$4:$B$203,MATCH(A40,Frozen_Predictions!$A$4:$A$203,0))&lt;=INDEX(Frozen_Predictions!$C$4:$C$203,MATCH(A40,Frozen_Predictions!$A$4:$A$203,0)),ISNUMBER(INDEX(Frozen_Predictions!$L$4:$L$203,MATCH(A40,Frozen_Predictions!$A$4:$A$203,0))),ABS(I40-INDEX(Frozen_Predictions!$L$4:$L$203,MATCH(A40,Frozen_Predictions!$A$4:$A$203,0)))&lt;0.0000000001),1,0),0),0))</x:f>
        <x:v>0</x:v>
      </x:c>
    </x:row>
    <x:row r="41">
      <x:c r="R41" t="str">
        <x:f t="shared" si="2">IF(X41&lt;&gt;1,"",POWER(I41-J41,2))</x:f>
      </x:c>
      <x:c r="S41" t="str">
        <x:f t="shared" si="3">IF(X41&lt;&gt;1,"",-J41*LN(MAX(MIN(I41,0.999999),0.000001))-(1-J41)*LN(MAX(MIN(1-I41,0.999999),0.000001)))</x:f>
      </x:c>
      <x:c r="X41" s="227" t="n">
        <x:f>IF(OR(A41="",NOT(ISNUMBER(I41)),NOT(ISNUMBER(J41))),0,IF(AND(I41&gt;=0,I41&lt;=1,OR(J41=0,J41=1),COUNTIFS($A$4:$A$203,A41)=1,COUNTIFS(Frozen_Predictions!$A$4:$A$203,A41)=1),IFERROR(IF(AND(INDEX(Frozen_Predictions!$Q$4:$Q$203,MATCH(A41,Frozen_Predictions!$A$4:$A$203,0))="YES",ISNUMBER(INDEX(Frozen_Predictions!$B$4:$B$203,MATCH(A41,Frozen_Predictions!$A$4:$A$203,0))),ISNUMBER(INDEX(Frozen_Predictions!$C$4:$C$203,MATCH(A41,Frozen_Predictions!$A$4:$A$203,0))),INDEX(Frozen_Predictions!$B$4:$B$203,MATCH(A41,Frozen_Predictions!$A$4:$A$203,0))&lt;=INDEX(Frozen_Predictions!$C$4:$C$203,MATCH(A41,Frozen_Predictions!$A$4:$A$203,0)),ISNUMBER(INDEX(Frozen_Predictions!$L$4:$L$203,MATCH(A41,Frozen_Predictions!$A$4:$A$203,0))),ABS(I41-INDEX(Frozen_Predictions!$L$4:$L$203,MATCH(A41,Frozen_Predictions!$A$4:$A$203,0)))&lt;0.0000000001),1,0),0),0))</x:f>
        <x:v>0</x:v>
      </x:c>
    </x:row>
    <x:row r="42">
      <x:c r="R42" t="str">
        <x:f t="shared" si="2">IF(X42&lt;&gt;1,"",POWER(I42-J42,2))</x:f>
      </x:c>
      <x:c r="S42" t="str">
        <x:f t="shared" si="3">IF(X42&lt;&gt;1,"",-J42*LN(MAX(MIN(I42,0.999999),0.000001))-(1-J42)*LN(MAX(MIN(1-I42,0.999999),0.000001)))</x:f>
      </x:c>
      <x:c r="X42" s="227" t="n">
        <x:f>IF(OR(A42="",NOT(ISNUMBER(I42)),NOT(ISNUMBER(J42))),0,IF(AND(I42&gt;=0,I42&lt;=1,OR(J42=0,J42=1),COUNTIFS($A$4:$A$203,A42)=1,COUNTIFS(Frozen_Predictions!$A$4:$A$203,A42)=1),IFERROR(IF(AND(INDEX(Frozen_Predictions!$Q$4:$Q$203,MATCH(A42,Frozen_Predictions!$A$4:$A$203,0))="YES",ISNUMBER(INDEX(Frozen_Predictions!$B$4:$B$203,MATCH(A42,Frozen_Predictions!$A$4:$A$203,0))),ISNUMBER(INDEX(Frozen_Predictions!$C$4:$C$203,MATCH(A42,Frozen_Predictions!$A$4:$A$203,0))),INDEX(Frozen_Predictions!$B$4:$B$203,MATCH(A42,Frozen_Predictions!$A$4:$A$203,0))&lt;=INDEX(Frozen_Predictions!$C$4:$C$203,MATCH(A42,Frozen_Predictions!$A$4:$A$203,0)),ISNUMBER(INDEX(Frozen_Predictions!$L$4:$L$203,MATCH(A42,Frozen_Predictions!$A$4:$A$203,0))),ABS(I42-INDEX(Frozen_Predictions!$L$4:$L$203,MATCH(A42,Frozen_Predictions!$A$4:$A$203,0)))&lt;0.0000000001),1,0),0),0))</x:f>
        <x:v>0</x:v>
      </x:c>
    </x:row>
    <x:row r="43">
      <x:c r="R43" t="str">
        <x:f t="shared" si="2">IF(X43&lt;&gt;1,"",POWER(I43-J43,2))</x:f>
      </x:c>
      <x:c r="S43" t="str">
        <x:f t="shared" si="3">IF(X43&lt;&gt;1,"",-J43*LN(MAX(MIN(I43,0.999999),0.000001))-(1-J43)*LN(MAX(MIN(1-I43,0.999999),0.000001)))</x:f>
      </x:c>
      <x:c r="X43" s="227" t="n">
        <x:f>IF(OR(A43="",NOT(ISNUMBER(I43)),NOT(ISNUMBER(J43))),0,IF(AND(I43&gt;=0,I43&lt;=1,OR(J43=0,J43=1),COUNTIFS($A$4:$A$203,A43)=1,COUNTIFS(Frozen_Predictions!$A$4:$A$203,A43)=1),IFERROR(IF(AND(INDEX(Frozen_Predictions!$Q$4:$Q$203,MATCH(A43,Frozen_Predictions!$A$4:$A$203,0))="YES",ISNUMBER(INDEX(Frozen_Predictions!$B$4:$B$203,MATCH(A43,Frozen_Predictions!$A$4:$A$203,0))),ISNUMBER(INDEX(Frozen_Predictions!$C$4:$C$203,MATCH(A43,Frozen_Predictions!$A$4:$A$203,0))),INDEX(Frozen_Predictions!$B$4:$B$203,MATCH(A43,Frozen_Predictions!$A$4:$A$203,0))&lt;=INDEX(Frozen_Predictions!$C$4:$C$203,MATCH(A43,Frozen_Predictions!$A$4:$A$203,0)),ISNUMBER(INDEX(Frozen_Predictions!$L$4:$L$203,MATCH(A43,Frozen_Predictions!$A$4:$A$203,0))),ABS(I43-INDEX(Frozen_Predictions!$L$4:$L$203,MATCH(A43,Frozen_Predictions!$A$4:$A$203,0)))&lt;0.0000000001),1,0),0),0))</x:f>
        <x:v>0</x:v>
      </x:c>
    </x:row>
    <x:row r="44">
      <x:c r="R44" t="str">
        <x:f t="shared" si="2">IF(X44&lt;&gt;1,"",POWER(I44-J44,2))</x:f>
      </x:c>
      <x:c r="S44" t="str">
        <x:f t="shared" si="3">IF(X44&lt;&gt;1,"",-J44*LN(MAX(MIN(I44,0.999999),0.000001))-(1-J44)*LN(MAX(MIN(1-I44,0.999999),0.000001)))</x:f>
      </x:c>
      <x:c r="X44" s="227" t="n">
        <x:f>IF(OR(A44="",NOT(ISNUMBER(I44)),NOT(ISNUMBER(J44))),0,IF(AND(I44&gt;=0,I44&lt;=1,OR(J44=0,J44=1),COUNTIFS($A$4:$A$203,A44)=1,COUNTIFS(Frozen_Predictions!$A$4:$A$203,A44)=1),IFERROR(IF(AND(INDEX(Frozen_Predictions!$Q$4:$Q$203,MATCH(A44,Frozen_Predictions!$A$4:$A$203,0))="YES",ISNUMBER(INDEX(Frozen_Predictions!$B$4:$B$203,MATCH(A44,Frozen_Predictions!$A$4:$A$203,0))),ISNUMBER(INDEX(Frozen_Predictions!$C$4:$C$203,MATCH(A44,Frozen_Predictions!$A$4:$A$203,0))),INDEX(Frozen_Predictions!$B$4:$B$203,MATCH(A44,Frozen_Predictions!$A$4:$A$203,0))&lt;=INDEX(Frozen_Predictions!$C$4:$C$203,MATCH(A44,Frozen_Predictions!$A$4:$A$203,0)),ISNUMBER(INDEX(Frozen_Predictions!$L$4:$L$203,MATCH(A44,Frozen_Predictions!$A$4:$A$203,0))),ABS(I44-INDEX(Frozen_Predictions!$L$4:$L$203,MATCH(A44,Frozen_Predictions!$A$4:$A$203,0)))&lt;0.0000000001),1,0),0),0))</x:f>
        <x:v>0</x:v>
      </x:c>
    </x:row>
    <x:row r="45">
      <x:c r="R45" t="str">
        <x:f t="shared" si="2">IF(X45&lt;&gt;1,"",POWER(I45-J45,2))</x:f>
      </x:c>
      <x:c r="S45" t="str">
        <x:f t="shared" si="3">IF(X45&lt;&gt;1,"",-J45*LN(MAX(MIN(I45,0.999999),0.000001))-(1-J45)*LN(MAX(MIN(1-I45,0.999999),0.000001)))</x:f>
      </x:c>
      <x:c r="X45" s="227" t="n">
        <x:f>IF(OR(A45="",NOT(ISNUMBER(I45)),NOT(ISNUMBER(J45))),0,IF(AND(I45&gt;=0,I45&lt;=1,OR(J45=0,J45=1),COUNTIFS($A$4:$A$203,A45)=1,COUNTIFS(Frozen_Predictions!$A$4:$A$203,A45)=1),IFERROR(IF(AND(INDEX(Frozen_Predictions!$Q$4:$Q$203,MATCH(A45,Frozen_Predictions!$A$4:$A$203,0))="YES",ISNUMBER(INDEX(Frozen_Predictions!$B$4:$B$203,MATCH(A45,Frozen_Predictions!$A$4:$A$203,0))),ISNUMBER(INDEX(Frozen_Predictions!$C$4:$C$203,MATCH(A45,Frozen_Predictions!$A$4:$A$203,0))),INDEX(Frozen_Predictions!$B$4:$B$203,MATCH(A45,Frozen_Predictions!$A$4:$A$203,0))&lt;=INDEX(Frozen_Predictions!$C$4:$C$203,MATCH(A45,Frozen_Predictions!$A$4:$A$203,0)),ISNUMBER(INDEX(Frozen_Predictions!$L$4:$L$203,MATCH(A45,Frozen_Predictions!$A$4:$A$203,0))),ABS(I45-INDEX(Frozen_Predictions!$L$4:$L$203,MATCH(A45,Frozen_Predictions!$A$4:$A$203,0)))&lt;0.0000000001),1,0),0),0))</x:f>
        <x:v>0</x:v>
      </x:c>
    </x:row>
    <x:row r="46">
      <x:c r="R46" t="str">
        <x:f t="shared" si="2">IF(X46&lt;&gt;1,"",POWER(I46-J46,2))</x:f>
      </x:c>
      <x:c r="S46" t="str">
        <x:f t="shared" si="3">IF(X46&lt;&gt;1,"",-J46*LN(MAX(MIN(I46,0.999999),0.000001))-(1-J46)*LN(MAX(MIN(1-I46,0.999999),0.000001)))</x:f>
      </x:c>
      <x:c r="X46" s="227" t="n">
        <x:f>IF(OR(A46="",NOT(ISNUMBER(I46)),NOT(ISNUMBER(J46))),0,IF(AND(I46&gt;=0,I46&lt;=1,OR(J46=0,J46=1),COUNTIFS($A$4:$A$203,A46)=1,COUNTIFS(Frozen_Predictions!$A$4:$A$203,A46)=1),IFERROR(IF(AND(INDEX(Frozen_Predictions!$Q$4:$Q$203,MATCH(A46,Frozen_Predictions!$A$4:$A$203,0))="YES",ISNUMBER(INDEX(Frozen_Predictions!$B$4:$B$203,MATCH(A46,Frozen_Predictions!$A$4:$A$203,0))),ISNUMBER(INDEX(Frozen_Predictions!$C$4:$C$203,MATCH(A46,Frozen_Predictions!$A$4:$A$203,0))),INDEX(Frozen_Predictions!$B$4:$B$203,MATCH(A46,Frozen_Predictions!$A$4:$A$203,0))&lt;=INDEX(Frozen_Predictions!$C$4:$C$203,MATCH(A46,Frozen_Predictions!$A$4:$A$203,0)),ISNUMBER(INDEX(Frozen_Predictions!$L$4:$L$203,MATCH(A46,Frozen_Predictions!$A$4:$A$203,0))),ABS(I46-INDEX(Frozen_Predictions!$L$4:$L$203,MATCH(A46,Frozen_Predictions!$A$4:$A$203,0)))&lt;0.0000000001),1,0),0),0))</x:f>
        <x:v>0</x:v>
      </x:c>
    </x:row>
    <x:row r="47">
      <x:c r="R47" t="str">
        <x:f t="shared" si="2">IF(X47&lt;&gt;1,"",POWER(I47-J47,2))</x:f>
      </x:c>
      <x:c r="S47" t="str">
        <x:f t="shared" si="3">IF(X47&lt;&gt;1,"",-J47*LN(MAX(MIN(I47,0.999999),0.000001))-(1-J47)*LN(MAX(MIN(1-I47,0.999999),0.000001)))</x:f>
      </x:c>
      <x:c r="X47" s="227" t="n">
        <x:f>IF(OR(A47="",NOT(ISNUMBER(I47)),NOT(ISNUMBER(J47))),0,IF(AND(I47&gt;=0,I47&lt;=1,OR(J47=0,J47=1),COUNTIFS($A$4:$A$203,A47)=1,COUNTIFS(Frozen_Predictions!$A$4:$A$203,A47)=1),IFERROR(IF(AND(INDEX(Frozen_Predictions!$Q$4:$Q$203,MATCH(A47,Frozen_Predictions!$A$4:$A$203,0))="YES",ISNUMBER(INDEX(Frozen_Predictions!$B$4:$B$203,MATCH(A47,Frozen_Predictions!$A$4:$A$203,0))),ISNUMBER(INDEX(Frozen_Predictions!$C$4:$C$203,MATCH(A47,Frozen_Predictions!$A$4:$A$203,0))),INDEX(Frozen_Predictions!$B$4:$B$203,MATCH(A47,Frozen_Predictions!$A$4:$A$203,0))&lt;=INDEX(Frozen_Predictions!$C$4:$C$203,MATCH(A47,Frozen_Predictions!$A$4:$A$203,0)),ISNUMBER(INDEX(Frozen_Predictions!$L$4:$L$203,MATCH(A47,Frozen_Predictions!$A$4:$A$203,0))),ABS(I47-INDEX(Frozen_Predictions!$L$4:$L$203,MATCH(A47,Frozen_Predictions!$A$4:$A$203,0)))&lt;0.0000000001),1,0),0),0))</x:f>
        <x:v>0</x:v>
      </x:c>
    </x:row>
    <x:row r="48">
      <x:c r="R48" t="str">
        <x:f t="shared" si="2">IF(X48&lt;&gt;1,"",POWER(I48-J48,2))</x:f>
      </x:c>
      <x:c r="S48" t="str">
        <x:f t="shared" si="3">IF(X48&lt;&gt;1,"",-J48*LN(MAX(MIN(I48,0.999999),0.000001))-(1-J48)*LN(MAX(MIN(1-I48,0.999999),0.000001)))</x:f>
      </x:c>
      <x:c r="X48" s="227" t="n">
        <x:f>IF(OR(A48="",NOT(ISNUMBER(I48)),NOT(ISNUMBER(J48))),0,IF(AND(I48&gt;=0,I48&lt;=1,OR(J48=0,J48=1),COUNTIFS($A$4:$A$203,A48)=1,COUNTIFS(Frozen_Predictions!$A$4:$A$203,A48)=1),IFERROR(IF(AND(INDEX(Frozen_Predictions!$Q$4:$Q$203,MATCH(A48,Frozen_Predictions!$A$4:$A$203,0))="YES",ISNUMBER(INDEX(Frozen_Predictions!$B$4:$B$203,MATCH(A48,Frozen_Predictions!$A$4:$A$203,0))),ISNUMBER(INDEX(Frozen_Predictions!$C$4:$C$203,MATCH(A48,Frozen_Predictions!$A$4:$A$203,0))),INDEX(Frozen_Predictions!$B$4:$B$203,MATCH(A48,Frozen_Predictions!$A$4:$A$203,0))&lt;=INDEX(Frozen_Predictions!$C$4:$C$203,MATCH(A48,Frozen_Predictions!$A$4:$A$203,0)),ISNUMBER(INDEX(Frozen_Predictions!$L$4:$L$203,MATCH(A48,Frozen_Predictions!$A$4:$A$203,0))),ABS(I48-INDEX(Frozen_Predictions!$L$4:$L$203,MATCH(A48,Frozen_Predictions!$A$4:$A$203,0)))&lt;0.0000000001),1,0),0),0))</x:f>
        <x:v>0</x:v>
      </x:c>
    </x:row>
    <x:row r="49">
      <x:c r="R49" t="str">
        <x:f t="shared" si="2">IF(X49&lt;&gt;1,"",POWER(I49-J49,2))</x:f>
      </x:c>
      <x:c r="S49" t="str">
        <x:f t="shared" si="3">IF(X49&lt;&gt;1,"",-J49*LN(MAX(MIN(I49,0.999999),0.000001))-(1-J49)*LN(MAX(MIN(1-I49,0.999999),0.000001)))</x:f>
      </x:c>
      <x:c r="X49" s="227" t="n">
        <x:f>IF(OR(A49="",NOT(ISNUMBER(I49)),NOT(ISNUMBER(J49))),0,IF(AND(I49&gt;=0,I49&lt;=1,OR(J49=0,J49=1),COUNTIFS($A$4:$A$203,A49)=1,COUNTIFS(Frozen_Predictions!$A$4:$A$203,A49)=1),IFERROR(IF(AND(INDEX(Frozen_Predictions!$Q$4:$Q$203,MATCH(A49,Frozen_Predictions!$A$4:$A$203,0))="YES",ISNUMBER(INDEX(Frozen_Predictions!$B$4:$B$203,MATCH(A49,Frozen_Predictions!$A$4:$A$203,0))),ISNUMBER(INDEX(Frozen_Predictions!$C$4:$C$203,MATCH(A49,Frozen_Predictions!$A$4:$A$203,0))),INDEX(Frozen_Predictions!$B$4:$B$203,MATCH(A49,Frozen_Predictions!$A$4:$A$203,0))&lt;=INDEX(Frozen_Predictions!$C$4:$C$203,MATCH(A49,Frozen_Predictions!$A$4:$A$203,0)),ISNUMBER(INDEX(Frozen_Predictions!$L$4:$L$203,MATCH(A49,Frozen_Predictions!$A$4:$A$203,0))),ABS(I49-INDEX(Frozen_Predictions!$L$4:$L$203,MATCH(A49,Frozen_Predictions!$A$4:$A$203,0)))&lt;0.0000000001),1,0),0),0))</x:f>
        <x:v>0</x:v>
      </x:c>
    </x:row>
    <x:row r="50">
      <x:c r="R50" t="str">
        <x:f t="shared" si="2">IF(X50&lt;&gt;1,"",POWER(I50-J50,2))</x:f>
      </x:c>
      <x:c r="S50" t="str">
        <x:f t="shared" si="3">IF(X50&lt;&gt;1,"",-J50*LN(MAX(MIN(I50,0.999999),0.000001))-(1-J50)*LN(MAX(MIN(1-I50,0.999999),0.000001)))</x:f>
      </x:c>
      <x:c r="X50" s="227" t="n">
        <x:f>IF(OR(A50="",NOT(ISNUMBER(I50)),NOT(ISNUMBER(J50))),0,IF(AND(I50&gt;=0,I50&lt;=1,OR(J50=0,J50=1),COUNTIFS($A$4:$A$203,A50)=1,COUNTIFS(Frozen_Predictions!$A$4:$A$203,A50)=1),IFERROR(IF(AND(INDEX(Frozen_Predictions!$Q$4:$Q$203,MATCH(A50,Frozen_Predictions!$A$4:$A$203,0))="YES",ISNUMBER(INDEX(Frozen_Predictions!$B$4:$B$203,MATCH(A50,Frozen_Predictions!$A$4:$A$203,0))),ISNUMBER(INDEX(Frozen_Predictions!$C$4:$C$203,MATCH(A50,Frozen_Predictions!$A$4:$A$203,0))),INDEX(Frozen_Predictions!$B$4:$B$203,MATCH(A50,Frozen_Predictions!$A$4:$A$203,0))&lt;=INDEX(Frozen_Predictions!$C$4:$C$203,MATCH(A50,Frozen_Predictions!$A$4:$A$203,0)),ISNUMBER(INDEX(Frozen_Predictions!$L$4:$L$203,MATCH(A50,Frozen_Predictions!$A$4:$A$203,0))),ABS(I50-INDEX(Frozen_Predictions!$L$4:$L$203,MATCH(A50,Frozen_Predictions!$A$4:$A$203,0)))&lt;0.0000000001),1,0),0),0))</x:f>
        <x:v>0</x:v>
      </x:c>
    </x:row>
    <x:row r="51">
      <x:c r="R51" t="str">
        <x:f t="shared" si="2">IF(X51&lt;&gt;1,"",POWER(I51-J51,2))</x:f>
      </x:c>
      <x:c r="S51" t="str">
        <x:f t="shared" si="3">IF(X51&lt;&gt;1,"",-J51*LN(MAX(MIN(I51,0.999999),0.000001))-(1-J51)*LN(MAX(MIN(1-I51,0.999999),0.000001)))</x:f>
      </x:c>
      <x:c r="X51" s="227" t="n">
        <x:f>IF(OR(A51="",NOT(ISNUMBER(I51)),NOT(ISNUMBER(J51))),0,IF(AND(I51&gt;=0,I51&lt;=1,OR(J51=0,J51=1),COUNTIFS($A$4:$A$203,A51)=1,COUNTIFS(Frozen_Predictions!$A$4:$A$203,A51)=1),IFERROR(IF(AND(INDEX(Frozen_Predictions!$Q$4:$Q$203,MATCH(A51,Frozen_Predictions!$A$4:$A$203,0))="YES",ISNUMBER(INDEX(Frozen_Predictions!$B$4:$B$203,MATCH(A51,Frozen_Predictions!$A$4:$A$203,0))),ISNUMBER(INDEX(Frozen_Predictions!$C$4:$C$203,MATCH(A51,Frozen_Predictions!$A$4:$A$203,0))),INDEX(Frozen_Predictions!$B$4:$B$203,MATCH(A51,Frozen_Predictions!$A$4:$A$203,0))&lt;=INDEX(Frozen_Predictions!$C$4:$C$203,MATCH(A51,Frozen_Predictions!$A$4:$A$203,0)),ISNUMBER(INDEX(Frozen_Predictions!$L$4:$L$203,MATCH(A51,Frozen_Predictions!$A$4:$A$203,0))),ABS(I51-INDEX(Frozen_Predictions!$L$4:$L$203,MATCH(A51,Frozen_Predictions!$A$4:$A$203,0)))&lt;0.0000000001),1,0),0),0))</x:f>
        <x:v>0</x:v>
      </x:c>
    </x:row>
    <x:row r="52">
      <x:c r="R52" t="str">
        <x:f t="shared" si="2">IF(X52&lt;&gt;1,"",POWER(I52-J52,2))</x:f>
      </x:c>
      <x:c r="S52" t="str">
        <x:f t="shared" si="3">IF(X52&lt;&gt;1,"",-J52*LN(MAX(MIN(I52,0.999999),0.000001))-(1-J52)*LN(MAX(MIN(1-I52,0.999999),0.000001)))</x:f>
      </x:c>
      <x:c r="X52" s="227" t="n">
        <x:f>IF(OR(A52="",NOT(ISNUMBER(I52)),NOT(ISNUMBER(J52))),0,IF(AND(I52&gt;=0,I52&lt;=1,OR(J52=0,J52=1),COUNTIFS($A$4:$A$203,A52)=1,COUNTIFS(Frozen_Predictions!$A$4:$A$203,A52)=1),IFERROR(IF(AND(INDEX(Frozen_Predictions!$Q$4:$Q$203,MATCH(A52,Frozen_Predictions!$A$4:$A$203,0))="YES",ISNUMBER(INDEX(Frozen_Predictions!$B$4:$B$203,MATCH(A52,Frozen_Predictions!$A$4:$A$203,0))),ISNUMBER(INDEX(Frozen_Predictions!$C$4:$C$203,MATCH(A52,Frozen_Predictions!$A$4:$A$203,0))),INDEX(Frozen_Predictions!$B$4:$B$203,MATCH(A52,Frozen_Predictions!$A$4:$A$203,0))&lt;=INDEX(Frozen_Predictions!$C$4:$C$203,MATCH(A52,Frozen_Predictions!$A$4:$A$203,0)),ISNUMBER(INDEX(Frozen_Predictions!$L$4:$L$203,MATCH(A52,Frozen_Predictions!$A$4:$A$203,0))),ABS(I52-INDEX(Frozen_Predictions!$L$4:$L$203,MATCH(A52,Frozen_Predictions!$A$4:$A$203,0)))&lt;0.0000000001),1,0),0),0))</x:f>
        <x:v>0</x:v>
      </x:c>
    </x:row>
    <x:row r="53">
      <x:c r="R53" t="str">
        <x:f t="shared" si="2">IF(X53&lt;&gt;1,"",POWER(I53-J53,2))</x:f>
      </x:c>
      <x:c r="S53" t="str">
        <x:f t="shared" si="3">IF(X53&lt;&gt;1,"",-J53*LN(MAX(MIN(I53,0.999999),0.000001))-(1-J53)*LN(MAX(MIN(1-I53,0.999999),0.000001)))</x:f>
      </x:c>
      <x:c r="X53" s="227" t="n">
        <x:f>IF(OR(A53="",NOT(ISNUMBER(I53)),NOT(ISNUMBER(J53))),0,IF(AND(I53&gt;=0,I53&lt;=1,OR(J53=0,J53=1),COUNTIFS($A$4:$A$203,A53)=1,COUNTIFS(Frozen_Predictions!$A$4:$A$203,A53)=1),IFERROR(IF(AND(INDEX(Frozen_Predictions!$Q$4:$Q$203,MATCH(A53,Frozen_Predictions!$A$4:$A$203,0))="YES",ISNUMBER(INDEX(Frozen_Predictions!$B$4:$B$203,MATCH(A53,Frozen_Predictions!$A$4:$A$203,0))),ISNUMBER(INDEX(Frozen_Predictions!$C$4:$C$203,MATCH(A53,Frozen_Predictions!$A$4:$A$203,0))),INDEX(Frozen_Predictions!$B$4:$B$203,MATCH(A53,Frozen_Predictions!$A$4:$A$203,0))&lt;=INDEX(Frozen_Predictions!$C$4:$C$203,MATCH(A53,Frozen_Predictions!$A$4:$A$203,0)),ISNUMBER(INDEX(Frozen_Predictions!$L$4:$L$203,MATCH(A53,Frozen_Predictions!$A$4:$A$203,0))),ABS(I53-INDEX(Frozen_Predictions!$L$4:$L$203,MATCH(A53,Frozen_Predictions!$A$4:$A$203,0)))&lt;0.0000000001),1,0),0),0))</x:f>
        <x:v>0</x:v>
      </x:c>
    </x:row>
    <x:row r="54">
      <x:c r="R54" t="str">
        <x:f t="shared" si="2">IF(X54&lt;&gt;1,"",POWER(I54-J54,2))</x:f>
      </x:c>
      <x:c r="S54" t="str">
        <x:f t="shared" si="3">IF(X54&lt;&gt;1,"",-J54*LN(MAX(MIN(I54,0.999999),0.000001))-(1-J54)*LN(MAX(MIN(1-I54,0.999999),0.000001)))</x:f>
      </x:c>
      <x:c r="X54" s="227" t="n">
        <x:f>IF(OR(A54="",NOT(ISNUMBER(I54)),NOT(ISNUMBER(J54))),0,IF(AND(I54&gt;=0,I54&lt;=1,OR(J54=0,J54=1),COUNTIFS($A$4:$A$203,A54)=1,COUNTIFS(Frozen_Predictions!$A$4:$A$203,A54)=1),IFERROR(IF(AND(INDEX(Frozen_Predictions!$Q$4:$Q$203,MATCH(A54,Frozen_Predictions!$A$4:$A$203,0))="YES",ISNUMBER(INDEX(Frozen_Predictions!$B$4:$B$203,MATCH(A54,Frozen_Predictions!$A$4:$A$203,0))),ISNUMBER(INDEX(Frozen_Predictions!$C$4:$C$203,MATCH(A54,Frozen_Predictions!$A$4:$A$203,0))),INDEX(Frozen_Predictions!$B$4:$B$203,MATCH(A54,Frozen_Predictions!$A$4:$A$203,0))&lt;=INDEX(Frozen_Predictions!$C$4:$C$203,MATCH(A54,Frozen_Predictions!$A$4:$A$203,0)),ISNUMBER(INDEX(Frozen_Predictions!$L$4:$L$203,MATCH(A54,Frozen_Predictions!$A$4:$A$203,0))),ABS(I54-INDEX(Frozen_Predictions!$L$4:$L$203,MATCH(A54,Frozen_Predictions!$A$4:$A$203,0)))&lt;0.0000000001),1,0),0),0))</x:f>
        <x:v>0</x:v>
      </x:c>
    </x:row>
    <x:row r="55">
      <x:c r="R55" t="str">
        <x:f t="shared" si="2">IF(X55&lt;&gt;1,"",POWER(I55-J55,2))</x:f>
      </x:c>
      <x:c r="S55" t="str">
        <x:f t="shared" si="3">IF(X55&lt;&gt;1,"",-J55*LN(MAX(MIN(I55,0.999999),0.000001))-(1-J55)*LN(MAX(MIN(1-I55,0.999999),0.000001)))</x:f>
      </x:c>
      <x:c r="X55" s="227" t="n">
        <x:f>IF(OR(A55="",NOT(ISNUMBER(I55)),NOT(ISNUMBER(J55))),0,IF(AND(I55&gt;=0,I55&lt;=1,OR(J55=0,J55=1),COUNTIFS($A$4:$A$203,A55)=1,COUNTIFS(Frozen_Predictions!$A$4:$A$203,A55)=1),IFERROR(IF(AND(INDEX(Frozen_Predictions!$Q$4:$Q$203,MATCH(A55,Frozen_Predictions!$A$4:$A$203,0))="YES",ISNUMBER(INDEX(Frozen_Predictions!$B$4:$B$203,MATCH(A55,Frozen_Predictions!$A$4:$A$203,0))),ISNUMBER(INDEX(Frozen_Predictions!$C$4:$C$203,MATCH(A55,Frozen_Predictions!$A$4:$A$203,0))),INDEX(Frozen_Predictions!$B$4:$B$203,MATCH(A55,Frozen_Predictions!$A$4:$A$203,0))&lt;=INDEX(Frozen_Predictions!$C$4:$C$203,MATCH(A55,Frozen_Predictions!$A$4:$A$203,0)),ISNUMBER(INDEX(Frozen_Predictions!$L$4:$L$203,MATCH(A55,Frozen_Predictions!$A$4:$A$203,0))),ABS(I55-INDEX(Frozen_Predictions!$L$4:$L$203,MATCH(A55,Frozen_Predictions!$A$4:$A$203,0)))&lt;0.0000000001),1,0),0),0))</x:f>
        <x:v>0</x:v>
      </x:c>
    </x:row>
    <x:row r="56">
      <x:c r="R56" t="str">
        <x:f t="shared" si="2">IF(X56&lt;&gt;1,"",POWER(I56-J56,2))</x:f>
      </x:c>
      <x:c r="S56" t="str">
        <x:f t="shared" si="3">IF(X56&lt;&gt;1,"",-J56*LN(MAX(MIN(I56,0.999999),0.000001))-(1-J56)*LN(MAX(MIN(1-I56,0.999999),0.000001)))</x:f>
      </x:c>
      <x:c r="X56" s="227" t="n">
        <x:f>IF(OR(A56="",NOT(ISNUMBER(I56)),NOT(ISNUMBER(J56))),0,IF(AND(I56&gt;=0,I56&lt;=1,OR(J56=0,J56=1),COUNTIFS($A$4:$A$203,A56)=1,COUNTIFS(Frozen_Predictions!$A$4:$A$203,A56)=1),IFERROR(IF(AND(INDEX(Frozen_Predictions!$Q$4:$Q$203,MATCH(A56,Frozen_Predictions!$A$4:$A$203,0))="YES",ISNUMBER(INDEX(Frozen_Predictions!$B$4:$B$203,MATCH(A56,Frozen_Predictions!$A$4:$A$203,0))),ISNUMBER(INDEX(Frozen_Predictions!$C$4:$C$203,MATCH(A56,Frozen_Predictions!$A$4:$A$203,0))),INDEX(Frozen_Predictions!$B$4:$B$203,MATCH(A56,Frozen_Predictions!$A$4:$A$203,0))&lt;=INDEX(Frozen_Predictions!$C$4:$C$203,MATCH(A56,Frozen_Predictions!$A$4:$A$203,0)),ISNUMBER(INDEX(Frozen_Predictions!$L$4:$L$203,MATCH(A56,Frozen_Predictions!$A$4:$A$203,0))),ABS(I56-INDEX(Frozen_Predictions!$L$4:$L$203,MATCH(A56,Frozen_Predictions!$A$4:$A$203,0)))&lt;0.0000000001),1,0),0),0))</x:f>
        <x:v>0</x:v>
      </x:c>
    </x:row>
    <x:row r="57">
      <x:c r="R57" t="str">
        <x:f t="shared" si="2">IF(X57&lt;&gt;1,"",POWER(I57-J57,2))</x:f>
      </x:c>
      <x:c r="S57" t="str">
        <x:f t="shared" si="3">IF(X57&lt;&gt;1,"",-J57*LN(MAX(MIN(I57,0.999999),0.000001))-(1-J57)*LN(MAX(MIN(1-I57,0.999999),0.000001)))</x:f>
      </x:c>
      <x:c r="X57" s="227" t="n">
        <x:f>IF(OR(A57="",NOT(ISNUMBER(I57)),NOT(ISNUMBER(J57))),0,IF(AND(I57&gt;=0,I57&lt;=1,OR(J57=0,J57=1),COUNTIFS($A$4:$A$203,A57)=1,COUNTIFS(Frozen_Predictions!$A$4:$A$203,A57)=1),IFERROR(IF(AND(INDEX(Frozen_Predictions!$Q$4:$Q$203,MATCH(A57,Frozen_Predictions!$A$4:$A$203,0))="YES",ISNUMBER(INDEX(Frozen_Predictions!$B$4:$B$203,MATCH(A57,Frozen_Predictions!$A$4:$A$203,0))),ISNUMBER(INDEX(Frozen_Predictions!$C$4:$C$203,MATCH(A57,Frozen_Predictions!$A$4:$A$203,0))),INDEX(Frozen_Predictions!$B$4:$B$203,MATCH(A57,Frozen_Predictions!$A$4:$A$203,0))&lt;=INDEX(Frozen_Predictions!$C$4:$C$203,MATCH(A57,Frozen_Predictions!$A$4:$A$203,0)),ISNUMBER(INDEX(Frozen_Predictions!$L$4:$L$203,MATCH(A57,Frozen_Predictions!$A$4:$A$203,0))),ABS(I57-INDEX(Frozen_Predictions!$L$4:$L$203,MATCH(A57,Frozen_Predictions!$A$4:$A$203,0)))&lt;0.0000000001),1,0),0),0))</x:f>
        <x:v>0</x:v>
      </x:c>
    </x:row>
    <x:row r="58">
      <x:c r="R58" t="str">
        <x:f t="shared" si="2">IF(X58&lt;&gt;1,"",POWER(I58-J58,2))</x:f>
      </x:c>
      <x:c r="S58" t="str">
        <x:f t="shared" si="3">IF(X58&lt;&gt;1,"",-J58*LN(MAX(MIN(I58,0.999999),0.000001))-(1-J58)*LN(MAX(MIN(1-I58,0.999999),0.000001)))</x:f>
      </x:c>
      <x:c r="X58" s="227" t="n">
        <x:f>IF(OR(A58="",NOT(ISNUMBER(I58)),NOT(ISNUMBER(J58))),0,IF(AND(I58&gt;=0,I58&lt;=1,OR(J58=0,J58=1),COUNTIFS($A$4:$A$203,A58)=1,COUNTIFS(Frozen_Predictions!$A$4:$A$203,A58)=1),IFERROR(IF(AND(INDEX(Frozen_Predictions!$Q$4:$Q$203,MATCH(A58,Frozen_Predictions!$A$4:$A$203,0))="YES",ISNUMBER(INDEX(Frozen_Predictions!$B$4:$B$203,MATCH(A58,Frozen_Predictions!$A$4:$A$203,0))),ISNUMBER(INDEX(Frozen_Predictions!$C$4:$C$203,MATCH(A58,Frozen_Predictions!$A$4:$A$203,0))),INDEX(Frozen_Predictions!$B$4:$B$203,MATCH(A58,Frozen_Predictions!$A$4:$A$203,0))&lt;=INDEX(Frozen_Predictions!$C$4:$C$203,MATCH(A58,Frozen_Predictions!$A$4:$A$203,0)),ISNUMBER(INDEX(Frozen_Predictions!$L$4:$L$203,MATCH(A58,Frozen_Predictions!$A$4:$A$203,0))),ABS(I58-INDEX(Frozen_Predictions!$L$4:$L$203,MATCH(A58,Frozen_Predictions!$A$4:$A$203,0)))&lt;0.0000000001),1,0),0),0))</x:f>
        <x:v>0</x:v>
      </x:c>
    </x:row>
    <x:row r="59">
      <x:c r="R59" t="str">
        <x:f t="shared" si="2">IF(X59&lt;&gt;1,"",POWER(I59-J59,2))</x:f>
      </x:c>
      <x:c r="S59" t="str">
        <x:f t="shared" si="3">IF(X59&lt;&gt;1,"",-J59*LN(MAX(MIN(I59,0.999999),0.000001))-(1-J59)*LN(MAX(MIN(1-I59,0.999999),0.000001)))</x:f>
      </x:c>
      <x:c r="X59" s="227" t="n">
        <x:f>IF(OR(A59="",NOT(ISNUMBER(I59)),NOT(ISNUMBER(J59))),0,IF(AND(I59&gt;=0,I59&lt;=1,OR(J59=0,J59=1),COUNTIFS($A$4:$A$203,A59)=1,COUNTIFS(Frozen_Predictions!$A$4:$A$203,A59)=1),IFERROR(IF(AND(INDEX(Frozen_Predictions!$Q$4:$Q$203,MATCH(A59,Frozen_Predictions!$A$4:$A$203,0))="YES",ISNUMBER(INDEX(Frozen_Predictions!$B$4:$B$203,MATCH(A59,Frozen_Predictions!$A$4:$A$203,0))),ISNUMBER(INDEX(Frozen_Predictions!$C$4:$C$203,MATCH(A59,Frozen_Predictions!$A$4:$A$203,0))),INDEX(Frozen_Predictions!$B$4:$B$203,MATCH(A59,Frozen_Predictions!$A$4:$A$203,0))&lt;=INDEX(Frozen_Predictions!$C$4:$C$203,MATCH(A59,Frozen_Predictions!$A$4:$A$203,0)),ISNUMBER(INDEX(Frozen_Predictions!$L$4:$L$203,MATCH(A59,Frozen_Predictions!$A$4:$A$203,0))),ABS(I59-INDEX(Frozen_Predictions!$L$4:$L$203,MATCH(A59,Frozen_Predictions!$A$4:$A$203,0)))&lt;0.0000000001),1,0),0),0))</x:f>
        <x:v>0</x:v>
      </x:c>
    </x:row>
    <x:row r="60">
      <x:c r="R60" t="str">
        <x:f t="shared" si="2">IF(X60&lt;&gt;1,"",POWER(I60-J60,2))</x:f>
      </x:c>
      <x:c r="S60" t="str">
        <x:f t="shared" si="3">IF(X60&lt;&gt;1,"",-J60*LN(MAX(MIN(I60,0.999999),0.000001))-(1-J60)*LN(MAX(MIN(1-I60,0.999999),0.000001)))</x:f>
      </x:c>
      <x:c r="X60" s="227" t="n">
        <x:f>IF(OR(A60="",NOT(ISNUMBER(I60)),NOT(ISNUMBER(J60))),0,IF(AND(I60&gt;=0,I60&lt;=1,OR(J60=0,J60=1),COUNTIFS($A$4:$A$203,A60)=1,COUNTIFS(Frozen_Predictions!$A$4:$A$203,A60)=1),IFERROR(IF(AND(INDEX(Frozen_Predictions!$Q$4:$Q$203,MATCH(A60,Frozen_Predictions!$A$4:$A$203,0))="YES",ISNUMBER(INDEX(Frozen_Predictions!$B$4:$B$203,MATCH(A60,Frozen_Predictions!$A$4:$A$203,0))),ISNUMBER(INDEX(Frozen_Predictions!$C$4:$C$203,MATCH(A60,Frozen_Predictions!$A$4:$A$203,0))),INDEX(Frozen_Predictions!$B$4:$B$203,MATCH(A60,Frozen_Predictions!$A$4:$A$203,0))&lt;=INDEX(Frozen_Predictions!$C$4:$C$203,MATCH(A60,Frozen_Predictions!$A$4:$A$203,0)),ISNUMBER(INDEX(Frozen_Predictions!$L$4:$L$203,MATCH(A60,Frozen_Predictions!$A$4:$A$203,0))),ABS(I60-INDEX(Frozen_Predictions!$L$4:$L$203,MATCH(A60,Frozen_Predictions!$A$4:$A$203,0)))&lt;0.0000000001),1,0),0),0))</x:f>
        <x:v>0</x:v>
      </x:c>
    </x:row>
    <x:row r="61">
      <x:c r="R61" t="str">
        <x:f t="shared" si="2">IF(X61&lt;&gt;1,"",POWER(I61-J61,2))</x:f>
      </x:c>
      <x:c r="S61" t="str">
        <x:f t="shared" si="3">IF(X61&lt;&gt;1,"",-J61*LN(MAX(MIN(I61,0.999999),0.000001))-(1-J61)*LN(MAX(MIN(1-I61,0.999999),0.000001)))</x:f>
      </x:c>
      <x:c r="X61" s="227" t="n">
        <x:f>IF(OR(A61="",NOT(ISNUMBER(I61)),NOT(ISNUMBER(J61))),0,IF(AND(I61&gt;=0,I61&lt;=1,OR(J61=0,J61=1),COUNTIFS($A$4:$A$203,A61)=1,COUNTIFS(Frozen_Predictions!$A$4:$A$203,A61)=1),IFERROR(IF(AND(INDEX(Frozen_Predictions!$Q$4:$Q$203,MATCH(A61,Frozen_Predictions!$A$4:$A$203,0))="YES",ISNUMBER(INDEX(Frozen_Predictions!$B$4:$B$203,MATCH(A61,Frozen_Predictions!$A$4:$A$203,0))),ISNUMBER(INDEX(Frozen_Predictions!$C$4:$C$203,MATCH(A61,Frozen_Predictions!$A$4:$A$203,0))),INDEX(Frozen_Predictions!$B$4:$B$203,MATCH(A61,Frozen_Predictions!$A$4:$A$203,0))&lt;=INDEX(Frozen_Predictions!$C$4:$C$203,MATCH(A61,Frozen_Predictions!$A$4:$A$203,0)),ISNUMBER(INDEX(Frozen_Predictions!$L$4:$L$203,MATCH(A61,Frozen_Predictions!$A$4:$A$203,0))),ABS(I61-INDEX(Frozen_Predictions!$L$4:$L$203,MATCH(A61,Frozen_Predictions!$A$4:$A$203,0)))&lt;0.0000000001),1,0),0),0))</x:f>
        <x:v>0</x:v>
      </x:c>
    </x:row>
    <x:row r="62">
      <x:c r="R62" t="str">
        <x:f t="shared" si="2">IF(X62&lt;&gt;1,"",POWER(I62-J62,2))</x:f>
      </x:c>
      <x:c r="S62" t="str">
        <x:f t="shared" si="3">IF(X62&lt;&gt;1,"",-J62*LN(MAX(MIN(I62,0.999999),0.000001))-(1-J62)*LN(MAX(MIN(1-I62,0.999999),0.000001)))</x:f>
      </x:c>
      <x:c r="X62" s="227" t="n">
        <x:f>IF(OR(A62="",NOT(ISNUMBER(I62)),NOT(ISNUMBER(J62))),0,IF(AND(I62&gt;=0,I62&lt;=1,OR(J62=0,J62=1),COUNTIFS($A$4:$A$203,A62)=1,COUNTIFS(Frozen_Predictions!$A$4:$A$203,A62)=1),IFERROR(IF(AND(INDEX(Frozen_Predictions!$Q$4:$Q$203,MATCH(A62,Frozen_Predictions!$A$4:$A$203,0))="YES",ISNUMBER(INDEX(Frozen_Predictions!$B$4:$B$203,MATCH(A62,Frozen_Predictions!$A$4:$A$203,0))),ISNUMBER(INDEX(Frozen_Predictions!$C$4:$C$203,MATCH(A62,Frozen_Predictions!$A$4:$A$203,0))),INDEX(Frozen_Predictions!$B$4:$B$203,MATCH(A62,Frozen_Predictions!$A$4:$A$203,0))&lt;=INDEX(Frozen_Predictions!$C$4:$C$203,MATCH(A62,Frozen_Predictions!$A$4:$A$203,0)),ISNUMBER(INDEX(Frozen_Predictions!$L$4:$L$203,MATCH(A62,Frozen_Predictions!$A$4:$A$203,0))),ABS(I62-INDEX(Frozen_Predictions!$L$4:$L$203,MATCH(A62,Frozen_Predictions!$A$4:$A$203,0)))&lt;0.0000000001),1,0),0),0))</x:f>
        <x:v>0</x:v>
      </x:c>
    </x:row>
    <x:row r="63">
      <x:c r="R63" t="str">
        <x:f t="shared" si="2">IF(X63&lt;&gt;1,"",POWER(I63-J63,2))</x:f>
      </x:c>
      <x:c r="S63" t="str">
        <x:f t="shared" si="3">IF(X63&lt;&gt;1,"",-J63*LN(MAX(MIN(I63,0.999999),0.000001))-(1-J63)*LN(MAX(MIN(1-I63,0.999999),0.000001)))</x:f>
      </x:c>
      <x:c r="X63" s="227" t="n">
        <x:f>IF(OR(A63="",NOT(ISNUMBER(I63)),NOT(ISNUMBER(J63))),0,IF(AND(I63&gt;=0,I63&lt;=1,OR(J63=0,J63=1),COUNTIFS($A$4:$A$203,A63)=1,COUNTIFS(Frozen_Predictions!$A$4:$A$203,A63)=1),IFERROR(IF(AND(INDEX(Frozen_Predictions!$Q$4:$Q$203,MATCH(A63,Frozen_Predictions!$A$4:$A$203,0))="YES",ISNUMBER(INDEX(Frozen_Predictions!$B$4:$B$203,MATCH(A63,Frozen_Predictions!$A$4:$A$203,0))),ISNUMBER(INDEX(Frozen_Predictions!$C$4:$C$203,MATCH(A63,Frozen_Predictions!$A$4:$A$203,0))),INDEX(Frozen_Predictions!$B$4:$B$203,MATCH(A63,Frozen_Predictions!$A$4:$A$203,0))&lt;=INDEX(Frozen_Predictions!$C$4:$C$203,MATCH(A63,Frozen_Predictions!$A$4:$A$203,0)),ISNUMBER(INDEX(Frozen_Predictions!$L$4:$L$203,MATCH(A63,Frozen_Predictions!$A$4:$A$203,0))),ABS(I63-INDEX(Frozen_Predictions!$L$4:$L$203,MATCH(A63,Frozen_Predictions!$A$4:$A$203,0)))&lt;0.0000000001),1,0),0),0))</x:f>
        <x:v>0</x:v>
      </x:c>
    </x:row>
    <x:row r="64">
      <x:c r="R64" t="str">
        <x:f t="shared" si="2">IF(X64&lt;&gt;1,"",POWER(I64-J64,2))</x:f>
      </x:c>
      <x:c r="S64" t="str">
        <x:f t="shared" si="3">IF(X64&lt;&gt;1,"",-J64*LN(MAX(MIN(I64,0.999999),0.000001))-(1-J64)*LN(MAX(MIN(1-I64,0.999999),0.000001)))</x:f>
      </x:c>
      <x:c r="X64" s="227" t="n">
        <x:f>IF(OR(A64="",NOT(ISNUMBER(I64)),NOT(ISNUMBER(J64))),0,IF(AND(I64&gt;=0,I64&lt;=1,OR(J64=0,J64=1),COUNTIFS($A$4:$A$203,A64)=1,COUNTIFS(Frozen_Predictions!$A$4:$A$203,A64)=1),IFERROR(IF(AND(INDEX(Frozen_Predictions!$Q$4:$Q$203,MATCH(A64,Frozen_Predictions!$A$4:$A$203,0))="YES",ISNUMBER(INDEX(Frozen_Predictions!$B$4:$B$203,MATCH(A64,Frozen_Predictions!$A$4:$A$203,0))),ISNUMBER(INDEX(Frozen_Predictions!$C$4:$C$203,MATCH(A64,Frozen_Predictions!$A$4:$A$203,0))),INDEX(Frozen_Predictions!$B$4:$B$203,MATCH(A64,Frozen_Predictions!$A$4:$A$203,0))&lt;=INDEX(Frozen_Predictions!$C$4:$C$203,MATCH(A64,Frozen_Predictions!$A$4:$A$203,0)),ISNUMBER(INDEX(Frozen_Predictions!$L$4:$L$203,MATCH(A64,Frozen_Predictions!$A$4:$A$203,0))),ABS(I64-INDEX(Frozen_Predictions!$L$4:$L$203,MATCH(A64,Frozen_Predictions!$A$4:$A$203,0)))&lt;0.0000000001),1,0),0),0))</x:f>
        <x:v>0</x:v>
      </x:c>
    </x:row>
    <x:row r="65">
      <x:c r="R65" t="str">
        <x:f t="shared" si="2">IF(X65&lt;&gt;1,"",POWER(I65-J65,2))</x:f>
      </x:c>
      <x:c r="S65" t="str">
        <x:f t="shared" si="3">IF(X65&lt;&gt;1,"",-J65*LN(MAX(MIN(I65,0.999999),0.000001))-(1-J65)*LN(MAX(MIN(1-I65,0.999999),0.000001)))</x:f>
      </x:c>
      <x:c r="X65" s="227" t="n">
        <x:f>IF(OR(A65="",NOT(ISNUMBER(I65)),NOT(ISNUMBER(J65))),0,IF(AND(I65&gt;=0,I65&lt;=1,OR(J65=0,J65=1),COUNTIFS($A$4:$A$203,A65)=1,COUNTIFS(Frozen_Predictions!$A$4:$A$203,A65)=1),IFERROR(IF(AND(INDEX(Frozen_Predictions!$Q$4:$Q$203,MATCH(A65,Frozen_Predictions!$A$4:$A$203,0))="YES",ISNUMBER(INDEX(Frozen_Predictions!$B$4:$B$203,MATCH(A65,Frozen_Predictions!$A$4:$A$203,0))),ISNUMBER(INDEX(Frozen_Predictions!$C$4:$C$203,MATCH(A65,Frozen_Predictions!$A$4:$A$203,0))),INDEX(Frozen_Predictions!$B$4:$B$203,MATCH(A65,Frozen_Predictions!$A$4:$A$203,0))&lt;=INDEX(Frozen_Predictions!$C$4:$C$203,MATCH(A65,Frozen_Predictions!$A$4:$A$203,0)),ISNUMBER(INDEX(Frozen_Predictions!$L$4:$L$203,MATCH(A65,Frozen_Predictions!$A$4:$A$203,0))),ABS(I65-INDEX(Frozen_Predictions!$L$4:$L$203,MATCH(A65,Frozen_Predictions!$A$4:$A$203,0)))&lt;0.0000000001),1,0),0),0))</x:f>
        <x:v>0</x:v>
      </x:c>
    </x:row>
    <x:row r="66">
      <x:c r="R66" t="str">
        <x:f t="shared" si="2">IF(X66&lt;&gt;1,"",POWER(I66-J66,2))</x:f>
      </x:c>
      <x:c r="S66" t="str">
        <x:f t="shared" si="3">IF(X66&lt;&gt;1,"",-J66*LN(MAX(MIN(I66,0.999999),0.000001))-(1-J66)*LN(MAX(MIN(1-I66,0.999999),0.000001)))</x:f>
      </x:c>
      <x:c r="X66" s="227" t="n">
        <x:f>IF(OR(A66="",NOT(ISNUMBER(I66)),NOT(ISNUMBER(J66))),0,IF(AND(I66&gt;=0,I66&lt;=1,OR(J66=0,J66=1),COUNTIFS($A$4:$A$203,A66)=1,COUNTIFS(Frozen_Predictions!$A$4:$A$203,A66)=1),IFERROR(IF(AND(INDEX(Frozen_Predictions!$Q$4:$Q$203,MATCH(A66,Frozen_Predictions!$A$4:$A$203,0))="YES",ISNUMBER(INDEX(Frozen_Predictions!$B$4:$B$203,MATCH(A66,Frozen_Predictions!$A$4:$A$203,0))),ISNUMBER(INDEX(Frozen_Predictions!$C$4:$C$203,MATCH(A66,Frozen_Predictions!$A$4:$A$203,0))),INDEX(Frozen_Predictions!$B$4:$B$203,MATCH(A66,Frozen_Predictions!$A$4:$A$203,0))&lt;=INDEX(Frozen_Predictions!$C$4:$C$203,MATCH(A66,Frozen_Predictions!$A$4:$A$203,0)),ISNUMBER(INDEX(Frozen_Predictions!$L$4:$L$203,MATCH(A66,Frozen_Predictions!$A$4:$A$203,0))),ABS(I66-INDEX(Frozen_Predictions!$L$4:$L$203,MATCH(A66,Frozen_Predictions!$A$4:$A$203,0)))&lt;0.0000000001),1,0),0),0))</x:f>
        <x:v>0</x:v>
      </x:c>
    </x:row>
    <x:row r="67">
      <x:c r="R67" t="str">
        <x:f t="shared" si="2">IF(X67&lt;&gt;1,"",POWER(I67-J67,2))</x:f>
      </x:c>
      <x:c r="S67" t="str">
        <x:f t="shared" si="3">IF(X67&lt;&gt;1,"",-J67*LN(MAX(MIN(I67,0.999999),0.000001))-(1-J67)*LN(MAX(MIN(1-I67,0.999999),0.000001)))</x:f>
      </x:c>
      <x:c r="X67" s="227" t="n">
        <x:f>IF(OR(A67="",NOT(ISNUMBER(I67)),NOT(ISNUMBER(J67))),0,IF(AND(I67&gt;=0,I67&lt;=1,OR(J67=0,J67=1),COUNTIFS($A$4:$A$203,A67)=1,COUNTIFS(Frozen_Predictions!$A$4:$A$203,A67)=1),IFERROR(IF(AND(INDEX(Frozen_Predictions!$Q$4:$Q$203,MATCH(A67,Frozen_Predictions!$A$4:$A$203,0))="YES",ISNUMBER(INDEX(Frozen_Predictions!$B$4:$B$203,MATCH(A67,Frozen_Predictions!$A$4:$A$203,0))),ISNUMBER(INDEX(Frozen_Predictions!$C$4:$C$203,MATCH(A67,Frozen_Predictions!$A$4:$A$203,0))),INDEX(Frozen_Predictions!$B$4:$B$203,MATCH(A67,Frozen_Predictions!$A$4:$A$203,0))&lt;=INDEX(Frozen_Predictions!$C$4:$C$203,MATCH(A67,Frozen_Predictions!$A$4:$A$203,0)),ISNUMBER(INDEX(Frozen_Predictions!$L$4:$L$203,MATCH(A67,Frozen_Predictions!$A$4:$A$203,0))),ABS(I67-INDEX(Frozen_Predictions!$L$4:$L$203,MATCH(A67,Frozen_Predictions!$A$4:$A$203,0)))&lt;0.0000000001),1,0),0),0))</x:f>
        <x:v>0</x:v>
      </x:c>
    </x:row>
    <x:row r="68">
      <x:c r="R68" t="str">
        <x:f t="shared" ref="R68:R99" si="4">IF(X68&lt;&gt;1,"",POWER(I68-J68,2))</x:f>
      </x:c>
      <x:c r="S68" t="str">
        <x:f t="shared" ref="S68:S99" si="5">IF(X68&lt;&gt;1,"",-J68*LN(MAX(MIN(I68,0.999999),0.000001))-(1-J68)*LN(MAX(MIN(1-I68,0.999999),0.000001)))</x:f>
      </x:c>
      <x:c r="X68" s="227" t="n">
        <x:f>IF(OR(A68="",NOT(ISNUMBER(I68)),NOT(ISNUMBER(J68))),0,IF(AND(I68&gt;=0,I68&lt;=1,OR(J68=0,J68=1),COUNTIFS($A$4:$A$203,A68)=1,COUNTIFS(Frozen_Predictions!$A$4:$A$203,A68)=1),IFERROR(IF(AND(INDEX(Frozen_Predictions!$Q$4:$Q$203,MATCH(A68,Frozen_Predictions!$A$4:$A$203,0))="YES",ISNUMBER(INDEX(Frozen_Predictions!$B$4:$B$203,MATCH(A68,Frozen_Predictions!$A$4:$A$203,0))),ISNUMBER(INDEX(Frozen_Predictions!$C$4:$C$203,MATCH(A68,Frozen_Predictions!$A$4:$A$203,0))),INDEX(Frozen_Predictions!$B$4:$B$203,MATCH(A68,Frozen_Predictions!$A$4:$A$203,0))&lt;=INDEX(Frozen_Predictions!$C$4:$C$203,MATCH(A68,Frozen_Predictions!$A$4:$A$203,0)),ISNUMBER(INDEX(Frozen_Predictions!$L$4:$L$203,MATCH(A68,Frozen_Predictions!$A$4:$A$203,0))),ABS(I68-INDEX(Frozen_Predictions!$L$4:$L$203,MATCH(A68,Frozen_Predictions!$A$4:$A$203,0)))&lt;0.0000000001),1,0),0),0))</x:f>
        <x:v>0</x:v>
      </x:c>
    </x:row>
    <x:row r="69">
      <x:c r="R69" t="str">
        <x:f t="shared" si="4">IF(X69&lt;&gt;1,"",POWER(I69-J69,2))</x:f>
      </x:c>
      <x:c r="S69" t="str">
        <x:f t="shared" si="5">IF(X69&lt;&gt;1,"",-J69*LN(MAX(MIN(I69,0.999999),0.000001))-(1-J69)*LN(MAX(MIN(1-I69,0.999999),0.000001)))</x:f>
      </x:c>
      <x:c r="X69" s="227" t="n">
        <x:f>IF(OR(A69="",NOT(ISNUMBER(I69)),NOT(ISNUMBER(J69))),0,IF(AND(I69&gt;=0,I69&lt;=1,OR(J69=0,J69=1),COUNTIFS($A$4:$A$203,A69)=1,COUNTIFS(Frozen_Predictions!$A$4:$A$203,A69)=1),IFERROR(IF(AND(INDEX(Frozen_Predictions!$Q$4:$Q$203,MATCH(A69,Frozen_Predictions!$A$4:$A$203,0))="YES",ISNUMBER(INDEX(Frozen_Predictions!$B$4:$B$203,MATCH(A69,Frozen_Predictions!$A$4:$A$203,0))),ISNUMBER(INDEX(Frozen_Predictions!$C$4:$C$203,MATCH(A69,Frozen_Predictions!$A$4:$A$203,0))),INDEX(Frozen_Predictions!$B$4:$B$203,MATCH(A69,Frozen_Predictions!$A$4:$A$203,0))&lt;=INDEX(Frozen_Predictions!$C$4:$C$203,MATCH(A69,Frozen_Predictions!$A$4:$A$203,0)),ISNUMBER(INDEX(Frozen_Predictions!$L$4:$L$203,MATCH(A69,Frozen_Predictions!$A$4:$A$203,0))),ABS(I69-INDEX(Frozen_Predictions!$L$4:$L$203,MATCH(A69,Frozen_Predictions!$A$4:$A$203,0)))&lt;0.0000000001),1,0),0),0))</x:f>
        <x:v>0</x:v>
      </x:c>
    </x:row>
    <x:row r="70">
      <x:c r="R70" t="str">
        <x:f t="shared" si="4">IF(X70&lt;&gt;1,"",POWER(I70-J70,2))</x:f>
      </x:c>
      <x:c r="S70" t="str">
        <x:f t="shared" si="5">IF(X70&lt;&gt;1,"",-J70*LN(MAX(MIN(I70,0.999999),0.000001))-(1-J70)*LN(MAX(MIN(1-I70,0.999999),0.000001)))</x:f>
      </x:c>
      <x:c r="X70" s="227" t="n">
        <x:f>IF(OR(A70="",NOT(ISNUMBER(I70)),NOT(ISNUMBER(J70))),0,IF(AND(I70&gt;=0,I70&lt;=1,OR(J70=0,J70=1),COUNTIFS($A$4:$A$203,A70)=1,COUNTIFS(Frozen_Predictions!$A$4:$A$203,A70)=1),IFERROR(IF(AND(INDEX(Frozen_Predictions!$Q$4:$Q$203,MATCH(A70,Frozen_Predictions!$A$4:$A$203,0))="YES",ISNUMBER(INDEX(Frozen_Predictions!$B$4:$B$203,MATCH(A70,Frozen_Predictions!$A$4:$A$203,0))),ISNUMBER(INDEX(Frozen_Predictions!$C$4:$C$203,MATCH(A70,Frozen_Predictions!$A$4:$A$203,0))),INDEX(Frozen_Predictions!$B$4:$B$203,MATCH(A70,Frozen_Predictions!$A$4:$A$203,0))&lt;=INDEX(Frozen_Predictions!$C$4:$C$203,MATCH(A70,Frozen_Predictions!$A$4:$A$203,0)),ISNUMBER(INDEX(Frozen_Predictions!$L$4:$L$203,MATCH(A70,Frozen_Predictions!$A$4:$A$203,0))),ABS(I70-INDEX(Frozen_Predictions!$L$4:$L$203,MATCH(A70,Frozen_Predictions!$A$4:$A$203,0)))&lt;0.0000000001),1,0),0),0))</x:f>
        <x:v>0</x:v>
      </x:c>
    </x:row>
    <x:row r="71">
      <x:c r="R71" t="str">
        <x:f t="shared" si="4">IF(X71&lt;&gt;1,"",POWER(I71-J71,2))</x:f>
      </x:c>
      <x:c r="S71" t="str">
        <x:f t="shared" si="5">IF(X71&lt;&gt;1,"",-J71*LN(MAX(MIN(I71,0.999999),0.000001))-(1-J71)*LN(MAX(MIN(1-I71,0.999999),0.000001)))</x:f>
      </x:c>
      <x:c r="X71" s="227" t="n">
        <x:f>IF(OR(A71="",NOT(ISNUMBER(I71)),NOT(ISNUMBER(J71))),0,IF(AND(I71&gt;=0,I71&lt;=1,OR(J71=0,J71=1),COUNTIFS($A$4:$A$203,A71)=1,COUNTIFS(Frozen_Predictions!$A$4:$A$203,A71)=1),IFERROR(IF(AND(INDEX(Frozen_Predictions!$Q$4:$Q$203,MATCH(A71,Frozen_Predictions!$A$4:$A$203,0))="YES",ISNUMBER(INDEX(Frozen_Predictions!$B$4:$B$203,MATCH(A71,Frozen_Predictions!$A$4:$A$203,0))),ISNUMBER(INDEX(Frozen_Predictions!$C$4:$C$203,MATCH(A71,Frozen_Predictions!$A$4:$A$203,0))),INDEX(Frozen_Predictions!$B$4:$B$203,MATCH(A71,Frozen_Predictions!$A$4:$A$203,0))&lt;=INDEX(Frozen_Predictions!$C$4:$C$203,MATCH(A71,Frozen_Predictions!$A$4:$A$203,0)),ISNUMBER(INDEX(Frozen_Predictions!$L$4:$L$203,MATCH(A71,Frozen_Predictions!$A$4:$A$203,0))),ABS(I71-INDEX(Frozen_Predictions!$L$4:$L$203,MATCH(A71,Frozen_Predictions!$A$4:$A$203,0)))&lt;0.0000000001),1,0),0),0))</x:f>
        <x:v>0</x:v>
      </x:c>
    </x:row>
    <x:row r="72">
      <x:c r="R72" t="str">
        <x:f t="shared" si="4">IF(X72&lt;&gt;1,"",POWER(I72-J72,2))</x:f>
      </x:c>
      <x:c r="S72" t="str">
        <x:f t="shared" si="5">IF(X72&lt;&gt;1,"",-J72*LN(MAX(MIN(I72,0.999999),0.000001))-(1-J72)*LN(MAX(MIN(1-I72,0.999999),0.000001)))</x:f>
      </x:c>
      <x:c r="X72" s="227" t="n">
        <x:f>IF(OR(A72="",NOT(ISNUMBER(I72)),NOT(ISNUMBER(J72))),0,IF(AND(I72&gt;=0,I72&lt;=1,OR(J72=0,J72=1),COUNTIFS($A$4:$A$203,A72)=1,COUNTIFS(Frozen_Predictions!$A$4:$A$203,A72)=1),IFERROR(IF(AND(INDEX(Frozen_Predictions!$Q$4:$Q$203,MATCH(A72,Frozen_Predictions!$A$4:$A$203,0))="YES",ISNUMBER(INDEX(Frozen_Predictions!$B$4:$B$203,MATCH(A72,Frozen_Predictions!$A$4:$A$203,0))),ISNUMBER(INDEX(Frozen_Predictions!$C$4:$C$203,MATCH(A72,Frozen_Predictions!$A$4:$A$203,0))),INDEX(Frozen_Predictions!$B$4:$B$203,MATCH(A72,Frozen_Predictions!$A$4:$A$203,0))&lt;=INDEX(Frozen_Predictions!$C$4:$C$203,MATCH(A72,Frozen_Predictions!$A$4:$A$203,0)),ISNUMBER(INDEX(Frozen_Predictions!$L$4:$L$203,MATCH(A72,Frozen_Predictions!$A$4:$A$203,0))),ABS(I72-INDEX(Frozen_Predictions!$L$4:$L$203,MATCH(A72,Frozen_Predictions!$A$4:$A$203,0)))&lt;0.0000000001),1,0),0),0))</x:f>
        <x:v>0</x:v>
      </x:c>
    </x:row>
    <x:row r="73">
      <x:c r="R73" t="str">
        <x:f t="shared" si="4">IF(X73&lt;&gt;1,"",POWER(I73-J73,2))</x:f>
      </x:c>
      <x:c r="S73" t="str">
        <x:f t="shared" si="5">IF(X73&lt;&gt;1,"",-J73*LN(MAX(MIN(I73,0.999999),0.000001))-(1-J73)*LN(MAX(MIN(1-I73,0.999999),0.000001)))</x:f>
      </x:c>
      <x:c r="X73" s="227" t="n">
        <x:f>IF(OR(A73="",NOT(ISNUMBER(I73)),NOT(ISNUMBER(J73))),0,IF(AND(I73&gt;=0,I73&lt;=1,OR(J73=0,J73=1),COUNTIFS($A$4:$A$203,A73)=1,COUNTIFS(Frozen_Predictions!$A$4:$A$203,A73)=1),IFERROR(IF(AND(INDEX(Frozen_Predictions!$Q$4:$Q$203,MATCH(A73,Frozen_Predictions!$A$4:$A$203,0))="YES",ISNUMBER(INDEX(Frozen_Predictions!$B$4:$B$203,MATCH(A73,Frozen_Predictions!$A$4:$A$203,0))),ISNUMBER(INDEX(Frozen_Predictions!$C$4:$C$203,MATCH(A73,Frozen_Predictions!$A$4:$A$203,0))),INDEX(Frozen_Predictions!$B$4:$B$203,MATCH(A73,Frozen_Predictions!$A$4:$A$203,0))&lt;=INDEX(Frozen_Predictions!$C$4:$C$203,MATCH(A73,Frozen_Predictions!$A$4:$A$203,0)),ISNUMBER(INDEX(Frozen_Predictions!$L$4:$L$203,MATCH(A73,Frozen_Predictions!$A$4:$A$203,0))),ABS(I73-INDEX(Frozen_Predictions!$L$4:$L$203,MATCH(A73,Frozen_Predictions!$A$4:$A$203,0)))&lt;0.0000000001),1,0),0),0))</x:f>
        <x:v>0</x:v>
      </x:c>
    </x:row>
    <x:row r="74">
      <x:c r="R74" t="str">
        <x:f t="shared" si="4">IF(X74&lt;&gt;1,"",POWER(I74-J74,2))</x:f>
      </x:c>
      <x:c r="S74" t="str">
        <x:f t="shared" si="5">IF(X74&lt;&gt;1,"",-J74*LN(MAX(MIN(I74,0.999999),0.000001))-(1-J74)*LN(MAX(MIN(1-I74,0.999999),0.000001)))</x:f>
      </x:c>
      <x:c r="X74" s="227" t="n">
        <x:f>IF(OR(A74="",NOT(ISNUMBER(I74)),NOT(ISNUMBER(J74))),0,IF(AND(I74&gt;=0,I74&lt;=1,OR(J74=0,J74=1),COUNTIFS($A$4:$A$203,A74)=1,COUNTIFS(Frozen_Predictions!$A$4:$A$203,A74)=1),IFERROR(IF(AND(INDEX(Frozen_Predictions!$Q$4:$Q$203,MATCH(A74,Frozen_Predictions!$A$4:$A$203,0))="YES",ISNUMBER(INDEX(Frozen_Predictions!$B$4:$B$203,MATCH(A74,Frozen_Predictions!$A$4:$A$203,0))),ISNUMBER(INDEX(Frozen_Predictions!$C$4:$C$203,MATCH(A74,Frozen_Predictions!$A$4:$A$203,0))),INDEX(Frozen_Predictions!$B$4:$B$203,MATCH(A74,Frozen_Predictions!$A$4:$A$203,0))&lt;=INDEX(Frozen_Predictions!$C$4:$C$203,MATCH(A74,Frozen_Predictions!$A$4:$A$203,0)),ISNUMBER(INDEX(Frozen_Predictions!$L$4:$L$203,MATCH(A74,Frozen_Predictions!$A$4:$A$203,0))),ABS(I74-INDEX(Frozen_Predictions!$L$4:$L$203,MATCH(A74,Frozen_Predictions!$A$4:$A$203,0)))&lt;0.0000000001),1,0),0),0))</x:f>
        <x:v>0</x:v>
      </x:c>
    </x:row>
    <x:row r="75">
      <x:c r="R75" t="str">
        <x:f t="shared" si="4">IF(X75&lt;&gt;1,"",POWER(I75-J75,2))</x:f>
      </x:c>
      <x:c r="S75" t="str">
        <x:f t="shared" si="5">IF(X75&lt;&gt;1,"",-J75*LN(MAX(MIN(I75,0.999999),0.000001))-(1-J75)*LN(MAX(MIN(1-I75,0.999999),0.000001)))</x:f>
      </x:c>
      <x:c r="X75" s="227" t="n">
        <x:f>IF(OR(A75="",NOT(ISNUMBER(I75)),NOT(ISNUMBER(J75))),0,IF(AND(I75&gt;=0,I75&lt;=1,OR(J75=0,J75=1),COUNTIFS($A$4:$A$203,A75)=1,COUNTIFS(Frozen_Predictions!$A$4:$A$203,A75)=1),IFERROR(IF(AND(INDEX(Frozen_Predictions!$Q$4:$Q$203,MATCH(A75,Frozen_Predictions!$A$4:$A$203,0))="YES",ISNUMBER(INDEX(Frozen_Predictions!$B$4:$B$203,MATCH(A75,Frozen_Predictions!$A$4:$A$203,0))),ISNUMBER(INDEX(Frozen_Predictions!$C$4:$C$203,MATCH(A75,Frozen_Predictions!$A$4:$A$203,0))),INDEX(Frozen_Predictions!$B$4:$B$203,MATCH(A75,Frozen_Predictions!$A$4:$A$203,0))&lt;=INDEX(Frozen_Predictions!$C$4:$C$203,MATCH(A75,Frozen_Predictions!$A$4:$A$203,0)),ISNUMBER(INDEX(Frozen_Predictions!$L$4:$L$203,MATCH(A75,Frozen_Predictions!$A$4:$A$203,0))),ABS(I75-INDEX(Frozen_Predictions!$L$4:$L$203,MATCH(A75,Frozen_Predictions!$A$4:$A$203,0)))&lt;0.0000000001),1,0),0),0))</x:f>
        <x:v>0</x:v>
      </x:c>
    </x:row>
    <x:row r="76">
      <x:c r="R76" t="str">
        <x:f t="shared" si="4">IF(X76&lt;&gt;1,"",POWER(I76-J76,2))</x:f>
      </x:c>
      <x:c r="S76" t="str">
        <x:f t="shared" si="5">IF(X76&lt;&gt;1,"",-J76*LN(MAX(MIN(I76,0.999999),0.000001))-(1-J76)*LN(MAX(MIN(1-I76,0.999999),0.000001)))</x:f>
      </x:c>
      <x:c r="X76" s="227" t="n">
        <x:f>IF(OR(A76="",NOT(ISNUMBER(I76)),NOT(ISNUMBER(J76))),0,IF(AND(I76&gt;=0,I76&lt;=1,OR(J76=0,J76=1),COUNTIFS($A$4:$A$203,A76)=1,COUNTIFS(Frozen_Predictions!$A$4:$A$203,A76)=1),IFERROR(IF(AND(INDEX(Frozen_Predictions!$Q$4:$Q$203,MATCH(A76,Frozen_Predictions!$A$4:$A$203,0))="YES",ISNUMBER(INDEX(Frozen_Predictions!$B$4:$B$203,MATCH(A76,Frozen_Predictions!$A$4:$A$203,0))),ISNUMBER(INDEX(Frozen_Predictions!$C$4:$C$203,MATCH(A76,Frozen_Predictions!$A$4:$A$203,0))),INDEX(Frozen_Predictions!$B$4:$B$203,MATCH(A76,Frozen_Predictions!$A$4:$A$203,0))&lt;=INDEX(Frozen_Predictions!$C$4:$C$203,MATCH(A76,Frozen_Predictions!$A$4:$A$203,0)),ISNUMBER(INDEX(Frozen_Predictions!$L$4:$L$203,MATCH(A76,Frozen_Predictions!$A$4:$A$203,0))),ABS(I76-INDEX(Frozen_Predictions!$L$4:$L$203,MATCH(A76,Frozen_Predictions!$A$4:$A$203,0)))&lt;0.0000000001),1,0),0),0))</x:f>
        <x:v>0</x:v>
      </x:c>
    </x:row>
    <x:row r="77">
      <x:c r="R77" t="str">
        <x:f t="shared" si="4">IF(X77&lt;&gt;1,"",POWER(I77-J77,2))</x:f>
      </x:c>
      <x:c r="S77" t="str">
        <x:f t="shared" si="5">IF(X77&lt;&gt;1,"",-J77*LN(MAX(MIN(I77,0.999999),0.000001))-(1-J77)*LN(MAX(MIN(1-I77,0.999999),0.000001)))</x:f>
      </x:c>
      <x:c r="X77" s="227" t="n">
        <x:f>IF(OR(A77="",NOT(ISNUMBER(I77)),NOT(ISNUMBER(J77))),0,IF(AND(I77&gt;=0,I77&lt;=1,OR(J77=0,J77=1),COUNTIFS($A$4:$A$203,A77)=1,COUNTIFS(Frozen_Predictions!$A$4:$A$203,A77)=1),IFERROR(IF(AND(INDEX(Frozen_Predictions!$Q$4:$Q$203,MATCH(A77,Frozen_Predictions!$A$4:$A$203,0))="YES",ISNUMBER(INDEX(Frozen_Predictions!$B$4:$B$203,MATCH(A77,Frozen_Predictions!$A$4:$A$203,0))),ISNUMBER(INDEX(Frozen_Predictions!$C$4:$C$203,MATCH(A77,Frozen_Predictions!$A$4:$A$203,0))),INDEX(Frozen_Predictions!$B$4:$B$203,MATCH(A77,Frozen_Predictions!$A$4:$A$203,0))&lt;=INDEX(Frozen_Predictions!$C$4:$C$203,MATCH(A77,Frozen_Predictions!$A$4:$A$203,0)),ISNUMBER(INDEX(Frozen_Predictions!$L$4:$L$203,MATCH(A77,Frozen_Predictions!$A$4:$A$203,0))),ABS(I77-INDEX(Frozen_Predictions!$L$4:$L$203,MATCH(A77,Frozen_Predictions!$A$4:$A$203,0)))&lt;0.0000000001),1,0),0),0))</x:f>
        <x:v>0</x:v>
      </x:c>
    </x:row>
    <x:row r="78">
      <x:c r="R78" t="str">
        <x:f t="shared" si="4">IF(X78&lt;&gt;1,"",POWER(I78-J78,2))</x:f>
      </x:c>
      <x:c r="S78" t="str">
        <x:f t="shared" si="5">IF(X78&lt;&gt;1,"",-J78*LN(MAX(MIN(I78,0.999999),0.000001))-(1-J78)*LN(MAX(MIN(1-I78,0.999999),0.000001)))</x:f>
      </x:c>
      <x:c r="X78" s="227" t="n">
        <x:f>IF(OR(A78="",NOT(ISNUMBER(I78)),NOT(ISNUMBER(J78))),0,IF(AND(I78&gt;=0,I78&lt;=1,OR(J78=0,J78=1),COUNTIFS($A$4:$A$203,A78)=1,COUNTIFS(Frozen_Predictions!$A$4:$A$203,A78)=1),IFERROR(IF(AND(INDEX(Frozen_Predictions!$Q$4:$Q$203,MATCH(A78,Frozen_Predictions!$A$4:$A$203,0))="YES",ISNUMBER(INDEX(Frozen_Predictions!$B$4:$B$203,MATCH(A78,Frozen_Predictions!$A$4:$A$203,0))),ISNUMBER(INDEX(Frozen_Predictions!$C$4:$C$203,MATCH(A78,Frozen_Predictions!$A$4:$A$203,0))),INDEX(Frozen_Predictions!$B$4:$B$203,MATCH(A78,Frozen_Predictions!$A$4:$A$203,0))&lt;=INDEX(Frozen_Predictions!$C$4:$C$203,MATCH(A78,Frozen_Predictions!$A$4:$A$203,0)),ISNUMBER(INDEX(Frozen_Predictions!$L$4:$L$203,MATCH(A78,Frozen_Predictions!$A$4:$A$203,0))),ABS(I78-INDEX(Frozen_Predictions!$L$4:$L$203,MATCH(A78,Frozen_Predictions!$A$4:$A$203,0)))&lt;0.0000000001),1,0),0),0))</x:f>
        <x:v>0</x:v>
      </x:c>
    </x:row>
    <x:row r="79">
      <x:c r="R79" t="str">
        <x:f t="shared" si="4">IF(X79&lt;&gt;1,"",POWER(I79-J79,2))</x:f>
      </x:c>
      <x:c r="S79" t="str">
        <x:f t="shared" si="5">IF(X79&lt;&gt;1,"",-J79*LN(MAX(MIN(I79,0.999999),0.000001))-(1-J79)*LN(MAX(MIN(1-I79,0.999999),0.000001)))</x:f>
      </x:c>
      <x:c r="X79" s="227" t="n">
        <x:f>IF(OR(A79="",NOT(ISNUMBER(I79)),NOT(ISNUMBER(J79))),0,IF(AND(I79&gt;=0,I79&lt;=1,OR(J79=0,J79=1),COUNTIFS($A$4:$A$203,A79)=1,COUNTIFS(Frozen_Predictions!$A$4:$A$203,A79)=1),IFERROR(IF(AND(INDEX(Frozen_Predictions!$Q$4:$Q$203,MATCH(A79,Frozen_Predictions!$A$4:$A$203,0))="YES",ISNUMBER(INDEX(Frozen_Predictions!$B$4:$B$203,MATCH(A79,Frozen_Predictions!$A$4:$A$203,0))),ISNUMBER(INDEX(Frozen_Predictions!$C$4:$C$203,MATCH(A79,Frozen_Predictions!$A$4:$A$203,0))),INDEX(Frozen_Predictions!$B$4:$B$203,MATCH(A79,Frozen_Predictions!$A$4:$A$203,0))&lt;=INDEX(Frozen_Predictions!$C$4:$C$203,MATCH(A79,Frozen_Predictions!$A$4:$A$203,0)),ISNUMBER(INDEX(Frozen_Predictions!$L$4:$L$203,MATCH(A79,Frozen_Predictions!$A$4:$A$203,0))),ABS(I79-INDEX(Frozen_Predictions!$L$4:$L$203,MATCH(A79,Frozen_Predictions!$A$4:$A$203,0)))&lt;0.0000000001),1,0),0),0))</x:f>
        <x:v>0</x:v>
      </x:c>
    </x:row>
    <x:row r="80">
      <x:c r="R80" t="str">
        <x:f t="shared" si="4">IF(X80&lt;&gt;1,"",POWER(I80-J80,2))</x:f>
      </x:c>
      <x:c r="S80" t="str">
        <x:f t="shared" si="5">IF(X80&lt;&gt;1,"",-J80*LN(MAX(MIN(I80,0.999999),0.000001))-(1-J80)*LN(MAX(MIN(1-I80,0.999999),0.000001)))</x:f>
      </x:c>
      <x:c r="X80" s="227" t="n">
        <x:f>IF(OR(A80="",NOT(ISNUMBER(I80)),NOT(ISNUMBER(J80))),0,IF(AND(I80&gt;=0,I80&lt;=1,OR(J80=0,J80=1),COUNTIFS($A$4:$A$203,A80)=1,COUNTIFS(Frozen_Predictions!$A$4:$A$203,A80)=1),IFERROR(IF(AND(INDEX(Frozen_Predictions!$Q$4:$Q$203,MATCH(A80,Frozen_Predictions!$A$4:$A$203,0))="YES",ISNUMBER(INDEX(Frozen_Predictions!$B$4:$B$203,MATCH(A80,Frozen_Predictions!$A$4:$A$203,0))),ISNUMBER(INDEX(Frozen_Predictions!$C$4:$C$203,MATCH(A80,Frozen_Predictions!$A$4:$A$203,0))),INDEX(Frozen_Predictions!$B$4:$B$203,MATCH(A80,Frozen_Predictions!$A$4:$A$203,0))&lt;=INDEX(Frozen_Predictions!$C$4:$C$203,MATCH(A80,Frozen_Predictions!$A$4:$A$203,0)),ISNUMBER(INDEX(Frozen_Predictions!$L$4:$L$203,MATCH(A80,Frozen_Predictions!$A$4:$A$203,0))),ABS(I80-INDEX(Frozen_Predictions!$L$4:$L$203,MATCH(A80,Frozen_Predictions!$A$4:$A$203,0)))&lt;0.0000000001),1,0),0),0))</x:f>
        <x:v>0</x:v>
      </x:c>
    </x:row>
    <x:row r="81">
      <x:c r="R81" t="str">
        <x:f t="shared" si="4">IF(X81&lt;&gt;1,"",POWER(I81-J81,2))</x:f>
      </x:c>
      <x:c r="S81" t="str">
        <x:f t="shared" si="5">IF(X81&lt;&gt;1,"",-J81*LN(MAX(MIN(I81,0.999999),0.000001))-(1-J81)*LN(MAX(MIN(1-I81,0.999999),0.000001)))</x:f>
      </x:c>
      <x:c r="X81" s="227" t="n">
        <x:f>IF(OR(A81="",NOT(ISNUMBER(I81)),NOT(ISNUMBER(J81))),0,IF(AND(I81&gt;=0,I81&lt;=1,OR(J81=0,J81=1),COUNTIFS($A$4:$A$203,A81)=1,COUNTIFS(Frozen_Predictions!$A$4:$A$203,A81)=1),IFERROR(IF(AND(INDEX(Frozen_Predictions!$Q$4:$Q$203,MATCH(A81,Frozen_Predictions!$A$4:$A$203,0))="YES",ISNUMBER(INDEX(Frozen_Predictions!$B$4:$B$203,MATCH(A81,Frozen_Predictions!$A$4:$A$203,0))),ISNUMBER(INDEX(Frozen_Predictions!$C$4:$C$203,MATCH(A81,Frozen_Predictions!$A$4:$A$203,0))),INDEX(Frozen_Predictions!$B$4:$B$203,MATCH(A81,Frozen_Predictions!$A$4:$A$203,0))&lt;=INDEX(Frozen_Predictions!$C$4:$C$203,MATCH(A81,Frozen_Predictions!$A$4:$A$203,0)),ISNUMBER(INDEX(Frozen_Predictions!$L$4:$L$203,MATCH(A81,Frozen_Predictions!$A$4:$A$203,0))),ABS(I81-INDEX(Frozen_Predictions!$L$4:$L$203,MATCH(A81,Frozen_Predictions!$A$4:$A$203,0)))&lt;0.0000000001),1,0),0),0))</x:f>
        <x:v>0</x:v>
      </x:c>
    </x:row>
    <x:row r="82">
      <x:c r="R82" t="str">
        <x:f t="shared" si="4">IF(X82&lt;&gt;1,"",POWER(I82-J82,2))</x:f>
      </x:c>
      <x:c r="S82" t="str">
        <x:f t="shared" si="5">IF(X82&lt;&gt;1,"",-J82*LN(MAX(MIN(I82,0.999999),0.000001))-(1-J82)*LN(MAX(MIN(1-I82,0.999999),0.000001)))</x:f>
      </x:c>
      <x:c r="X82" s="227" t="n">
        <x:f>IF(OR(A82="",NOT(ISNUMBER(I82)),NOT(ISNUMBER(J82))),0,IF(AND(I82&gt;=0,I82&lt;=1,OR(J82=0,J82=1),COUNTIFS($A$4:$A$203,A82)=1,COUNTIFS(Frozen_Predictions!$A$4:$A$203,A82)=1),IFERROR(IF(AND(INDEX(Frozen_Predictions!$Q$4:$Q$203,MATCH(A82,Frozen_Predictions!$A$4:$A$203,0))="YES",ISNUMBER(INDEX(Frozen_Predictions!$B$4:$B$203,MATCH(A82,Frozen_Predictions!$A$4:$A$203,0))),ISNUMBER(INDEX(Frozen_Predictions!$C$4:$C$203,MATCH(A82,Frozen_Predictions!$A$4:$A$203,0))),INDEX(Frozen_Predictions!$B$4:$B$203,MATCH(A82,Frozen_Predictions!$A$4:$A$203,0))&lt;=INDEX(Frozen_Predictions!$C$4:$C$203,MATCH(A82,Frozen_Predictions!$A$4:$A$203,0)),ISNUMBER(INDEX(Frozen_Predictions!$L$4:$L$203,MATCH(A82,Frozen_Predictions!$A$4:$A$203,0))),ABS(I82-INDEX(Frozen_Predictions!$L$4:$L$203,MATCH(A82,Frozen_Predictions!$A$4:$A$203,0)))&lt;0.0000000001),1,0),0),0))</x:f>
        <x:v>0</x:v>
      </x:c>
    </x:row>
    <x:row r="83">
      <x:c r="R83" t="str">
        <x:f t="shared" si="4">IF(X83&lt;&gt;1,"",POWER(I83-J83,2))</x:f>
      </x:c>
      <x:c r="S83" t="str">
        <x:f t="shared" si="5">IF(X83&lt;&gt;1,"",-J83*LN(MAX(MIN(I83,0.999999),0.000001))-(1-J83)*LN(MAX(MIN(1-I83,0.999999),0.000001)))</x:f>
      </x:c>
      <x:c r="X83" s="227" t="n">
        <x:f>IF(OR(A83="",NOT(ISNUMBER(I83)),NOT(ISNUMBER(J83))),0,IF(AND(I83&gt;=0,I83&lt;=1,OR(J83=0,J83=1),COUNTIFS($A$4:$A$203,A83)=1,COUNTIFS(Frozen_Predictions!$A$4:$A$203,A83)=1),IFERROR(IF(AND(INDEX(Frozen_Predictions!$Q$4:$Q$203,MATCH(A83,Frozen_Predictions!$A$4:$A$203,0))="YES",ISNUMBER(INDEX(Frozen_Predictions!$B$4:$B$203,MATCH(A83,Frozen_Predictions!$A$4:$A$203,0))),ISNUMBER(INDEX(Frozen_Predictions!$C$4:$C$203,MATCH(A83,Frozen_Predictions!$A$4:$A$203,0))),INDEX(Frozen_Predictions!$B$4:$B$203,MATCH(A83,Frozen_Predictions!$A$4:$A$203,0))&lt;=INDEX(Frozen_Predictions!$C$4:$C$203,MATCH(A83,Frozen_Predictions!$A$4:$A$203,0)),ISNUMBER(INDEX(Frozen_Predictions!$L$4:$L$203,MATCH(A83,Frozen_Predictions!$A$4:$A$203,0))),ABS(I83-INDEX(Frozen_Predictions!$L$4:$L$203,MATCH(A83,Frozen_Predictions!$A$4:$A$203,0)))&lt;0.0000000001),1,0),0),0))</x:f>
        <x:v>0</x:v>
      </x:c>
    </x:row>
    <x:row r="84">
      <x:c r="R84" t="str">
        <x:f t="shared" si="4">IF(X84&lt;&gt;1,"",POWER(I84-J84,2))</x:f>
      </x:c>
      <x:c r="S84" t="str">
        <x:f t="shared" si="5">IF(X84&lt;&gt;1,"",-J84*LN(MAX(MIN(I84,0.999999),0.000001))-(1-J84)*LN(MAX(MIN(1-I84,0.999999),0.000001)))</x:f>
      </x:c>
      <x:c r="X84" s="227" t="n">
        <x:f>IF(OR(A84="",NOT(ISNUMBER(I84)),NOT(ISNUMBER(J84))),0,IF(AND(I84&gt;=0,I84&lt;=1,OR(J84=0,J84=1),COUNTIFS($A$4:$A$203,A84)=1,COUNTIFS(Frozen_Predictions!$A$4:$A$203,A84)=1),IFERROR(IF(AND(INDEX(Frozen_Predictions!$Q$4:$Q$203,MATCH(A84,Frozen_Predictions!$A$4:$A$203,0))="YES",ISNUMBER(INDEX(Frozen_Predictions!$B$4:$B$203,MATCH(A84,Frozen_Predictions!$A$4:$A$203,0))),ISNUMBER(INDEX(Frozen_Predictions!$C$4:$C$203,MATCH(A84,Frozen_Predictions!$A$4:$A$203,0))),INDEX(Frozen_Predictions!$B$4:$B$203,MATCH(A84,Frozen_Predictions!$A$4:$A$203,0))&lt;=INDEX(Frozen_Predictions!$C$4:$C$203,MATCH(A84,Frozen_Predictions!$A$4:$A$203,0)),ISNUMBER(INDEX(Frozen_Predictions!$L$4:$L$203,MATCH(A84,Frozen_Predictions!$A$4:$A$203,0))),ABS(I84-INDEX(Frozen_Predictions!$L$4:$L$203,MATCH(A84,Frozen_Predictions!$A$4:$A$203,0)))&lt;0.0000000001),1,0),0),0))</x:f>
        <x:v>0</x:v>
      </x:c>
    </x:row>
    <x:row r="85">
      <x:c r="R85" t="str">
        <x:f t="shared" si="4">IF(X85&lt;&gt;1,"",POWER(I85-J85,2))</x:f>
      </x:c>
      <x:c r="S85" t="str">
        <x:f t="shared" si="5">IF(X85&lt;&gt;1,"",-J85*LN(MAX(MIN(I85,0.999999),0.000001))-(1-J85)*LN(MAX(MIN(1-I85,0.999999),0.000001)))</x:f>
      </x:c>
      <x:c r="X85" s="227" t="n">
        <x:f>IF(OR(A85="",NOT(ISNUMBER(I85)),NOT(ISNUMBER(J85))),0,IF(AND(I85&gt;=0,I85&lt;=1,OR(J85=0,J85=1),COUNTIFS($A$4:$A$203,A85)=1,COUNTIFS(Frozen_Predictions!$A$4:$A$203,A85)=1),IFERROR(IF(AND(INDEX(Frozen_Predictions!$Q$4:$Q$203,MATCH(A85,Frozen_Predictions!$A$4:$A$203,0))="YES",ISNUMBER(INDEX(Frozen_Predictions!$B$4:$B$203,MATCH(A85,Frozen_Predictions!$A$4:$A$203,0))),ISNUMBER(INDEX(Frozen_Predictions!$C$4:$C$203,MATCH(A85,Frozen_Predictions!$A$4:$A$203,0))),INDEX(Frozen_Predictions!$B$4:$B$203,MATCH(A85,Frozen_Predictions!$A$4:$A$203,0))&lt;=INDEX(Frozen_Predictions!$C$4:$C$203,MATCH(A85,Frozen_Predictions!$A$4:$A$203,0)),ISNUMBER(INDEX(Frozen_Predictions!$L$4:$L$203,MATCH(A85,Frozen_Predictions!$A$4:$A$203,0))),ABS(I85-INDEX(Frozen_Predictions!$L$4:$L$203,MATCH(A85,Frozen_Predictions!$A$4:$A$203,0)))&lt;0.0000000001),1,0),0),0))</x:f>
        <x:v>0</x:v>
      </x:c>
    </x:row>
    <x:row r="86">
      <x:c r="R86" t="str">
        <x:f t="shared" si="4">IF(X86&lt;&gt;1,"",POWER(I86-J86,2))</x:f>
      </x:c>
      <x:c r="S86" t="str">
        <x:f t="shared" si="5">IF(X86&lt;&gt;1,"",-J86*LN(MAX(MIN(I86,0.999999),0.000001))-(1-J86)*LN(MAX(MIN(1-I86,0.999999),0.000001)))</x:f>
      </x:c>
      <x:c r="X86" s="227" t="n">
        <x:f>IF(OR(A86="",NOT(ISNUMBER(I86)),NOT(ISNUMBER(J86))),0,IF(AND(I86&gt;=0,I86&lt;=1,OR(J86=0,J86=1),COUNTIFS($A$4:$A$203,A86)=1,COUNTIFS(Frozen_Predictions!$A$4:$A$203,A86)=1),IFERROR(IF(AND(INDEX(Frozen_Predictions!$Q$4:$Q$203,MATCH(A86,Frozen_Predictions!$A$4:$A$203,0))="YES",ISNUMBER(INDEX(Frozen_Predictions!$B$4:$B$203,MATCH(A86,Frozen_Predictions!$A$4:$A$203,0))),ISNUMBER(INDEX(Frozen_Predictions!$C$4:$C$203,MATCH(A86,Frozen_Predictions!$A$4:$A$203,0))),INDEX(Frozen_Predictions!$B$4:$B$203,MATCH(A86,Frozen_Predictions!$A$4:$A$203,0))&lt;=INDEX(Frozen_Predictions!$C$4:$C$203,MATCH(A86,Frozen_Predictions!$A$4:$A$203,0)),ISNUMBER(INDEX(Frozen_Predictions!$L$4:$L$203,MATCH(A86,Frozen_Predictions!$A$4:$A$203,0))),ABS(I86-INDEX(Frozen_Predictions!$L$4:$L$203,MATCH(A86,Frozen_Predictions!$A$4:$A$203,0)))&lt;0.0000000001),1,0),0),0))</x:f>
        <x:v>0</x:v>
      </x:c>
    </x:row>
    <x:row r="87">
      <x:c r="R87" t="str">
        <x:f t="shared" si="4">IF(X87&lt;&gt;1,"",POWER(I87-J87,2))</x:f>
      </x:c>
      <x:c r="S87" t="str">
        <x:f t="shared" si="5">IF(X87&lt;&gt;1,"",-J87*LN(MAX(MIN(I87,0.999999),0.000001))-(1-J87)*LN(MAX(MIN(1-I87,0.999999),0.000001)))</x:f>
      </x:c>
      <x:c r="X87" s="227" t="n">
        <x:f>IF(OR(A87="",NOT(ISNUMBER(I87)),NOT(ISNUMBER(J87))),0,IF(AND(I87&gt;=0,I87&lt;=1,OR(J87=0,J87=1),COUNTIFS($A$4:$A$203,A87)=1,COUNTIFS(Frozen_Predictions!$A$4:$A$203,A87)=1),IFERROR(IF(AND(INDEX(Frozen_Predictions!$Q$4:$Q$203,MATCH(A87,Frozen_Predictions!$A$4:$A$203,0))="YES",ISNUMBER(INDEX(Frozen_Predictions!$B$4:$B$203,MATCH(A87,Frozen_Predictions!$A$4:$A$203,0))),ISNUMBER(INDEX(Frozen_Predictions!$C$4:$C$203,MATCH(A87,Frozen_Predictions!$A$4:$A$203,0))),INDEX(Frozen_Predictions!$B$4:$B$203,MATCH(A87,Frozen_Predictions!$A$4:$A$203,0))&lt;=INDEX(Frozen_Predictions!$C$4:$C$203,MATCH(A87,Frozen_Predictions!$A$4:$A$203,0)),ISNUMBER(INDEX(Frozen_Predictions!$L$4:$L$203,MATCH(A87,Frozen_Predictions!$A$4:$A$203,0))),ABS(I87-INDEX(Frozen_Predictions!$L$4:$L$203,MATCH(A87,Frozen_Predictions!$A$4:$A$203,0)))&lt;0.0000000001),1,0),0),0))</x:f>
        <x:v>0</x:v>
      </x:c>
    </x:row>
    <x:row r="88">
      <x:c r="R88" t="str">
        <x:f t="shared" si="4">IF(X88&lt;&gt;1,"",POWER(I88-J88,2))</x:f>
      </x:c>
      <x:c r="S88" t="str">
        <x:f t="shared" si="5">IF(X88&lt;&gt;1,"",-J88*LN(MAX(MIN(I88,0.999999),0.000001))-(1-J88)*LN(MAX(MIN(1-I88,0.999999),0.000001)))</x:f>
      </x:c>
      <x:c r="X88" s="227" t="n">
        <x:f>IF(OR(A88="",NOT(ISNUMBER(I88)),NOT(ISNUMBER(J88))),0,IF(AND(I88&gt;=0,I88&lt;=1,OR(J88=0,J88=1),COUNTIFS($A$4:$A$203,A88)=1,COUNTIFS(Frozen_Predictions!$A$4:$A$203,A88)=1),IFERROR(IF(AND(INDEX(Frozen_Predictions!$Q$4:$Q$203,MATCH(A88,Frozen_Predictions!$A$4:$A$203,0))="YES",ISNUMBER(INDEX(Frozen_Predictions!$B$4:$B$203,MATCH(A88,Frozen_Predictions!$A$4:$A$203,0))),ISNUMBER(INDEX(Frozen_Predictions!$C$4:$C$203,MATCH(A88,Frozen_Predictions!$A$4:$A$203,0))),INDEX(Frozen_Predictions!$B$4:$B$203,MATCH(A88,Frozen_Predictions!$A$4:$A$203,0))&lt;=INDEX(Frozen_Predictions!$C$4:$C$203,MATCH(A88,Frozen_Predictions!$A$4:$A$203,0)),ISNUMBER(INDEX(Frozen_Predictions!$L$4:$L$203,MATCH(A88,Frozen_Predictions!$A$4:$A$203,0))),ABS(I88-INDEX(Frozen_Predictions!$L$4:$L$203,MATCH(A88,Frozen_Predictions!$A$4:$A$203,0)))&lt;0.0000000001),1,0),0),0))</x:f>
        <x:v>0</x:v>
      </x:c>
    </x:row>
    <x:row r="89">
      <x:c r="R89" t="str">
        <x:f t="shared" si="4">IF(X89&lt;&gt;1,"",POWER(I89-J89,2))</x:f>
      </x:c>
      <x:c r="S89" t="str">
        <x:f t="shared" si="5">IF(X89&lt;&gt;1,"",-J89*LN(MAX(MIN(I89,0.999999),0.000001))-(1-J89)*LN(MAX(MIN(1-I89,0.999999),0.000001)))</x:f>
      </x:c>
      <x:c r="X89" s="227" t="n">
        <x:f>IF(OR(A89="",NOT(ISNUMBER(I89)),NOT(ISNUMBER(J89))),0,IF(AND(I89&gt;=0,I89&lt;=1,OR(J89=0,J89=1),COUNTIFS($A$4:$A$203,A89)=1,COUNTIFS(Frozen_Predictions!$A$4:$A$203,A89)=1),IFERROR(IF(AND(INDEX(Frozen_Predictions!$Q$4:$Q$203,MATCH(A89,Frozen_Predictions!$A$4:$A$203,0))="YES",ISNUMBER(INDEX(Frozen_Predictions!$B$4:$B$203,MATCH(A89,Frozen_Predictions!$A$4:$A$203,0))),ISNUMBER(INDEX(Frozen_Predictions!$C$4:$C$203,MATCH(A89,Frozen_Predictions!$A$4:$A$203,0))),INDEX(Frozen_Predictions!$B$4:$B$203,MATCH(A89,Frozen_Predictions!$A$4:$A$203,0))&lt;=INDEX(Frozen_Predictions!$C$4:$C$203,MATCH(A89,Frozen_Predictions!$A$4:$A$203,0)),ISNUMBER(INDEX(Frozen_Predictions!$L$4:$L$203,MATCH(A89,Frozen_Predictions!$A$4:$A$203,0))),ABS(I89-INDEX(Frozen_Predictions!$L$4:$L$203,MATCH(A89,Frozen_Predictions!$A$4:$A$203,0)))&lt;0.0000000001),1,0),0),0))</x:f>
        <x:v>0</x:v>
      </x:c>
    </x:row>
    <x:row r="90">
      <x:c r="R90" t="str">
        <x:f t="shared" si="4">IF(X90&lt;&gt;1,"",POWER(I90-J90,2))</x:f>
      </x:c>
      <x:c r="S90" t="str">
        <x:f t="shared" si="5">IF(X90&lt;&gt;1,"",-J90*LN(MAX(MIN(I90,0.999999),0.000001))-(1-J90)*LN(MAX(MIN(1-I90,0.999999),0.000001)))</x:f>
      </x:c>
      <x:c r="X90" s="227" t="n">
        <x:f>IF(OR(A90="",NOT(ISNUMBER(I90)),NOT(ISNUMBER(J90))),0,IF(AND(I90&gt;=0,I90&lt;=1,OR(J90=0,J90=1),COUNTIFS($A$4:$A$203,A90)=1,COUNTIFS(Frozen_Predictions!$A$4:$A$203,A90)=1),IFERROR(IF(AND(INDEX(Frozen_Predictions!$Q$4:$Q$203,MATCH(A90,Frozen_Predictions!$A$4:$A$203,0))="YES",ISNUMBER(INDEX(Frozen_Predictions!$B$4:$B$203,MATCH(A90,Frozen_Predictions!$A$4:$A$203,0))),ISNUMBER(INDEX(Frozen_Predictions!$C$4:$C$203,MATCH(A90,Frozen_Predictions!$A$4:$A$203,0))),INDEX(Frozen_Predictions!$B$4:$B$203,MATCH(A90,Frozen_Predictions!$A$4:$A$203,0))&lt;=INDEX(Frozen_Predictions!$C$4:$C$203,MATCH(A90,Frozen_Predictions!$A$4:$A$203,0)),ISNUMBER(INDEX(Frozen_Predictions!$L$4:$L$203,MATCH(A90,Frozen_Predictions!$A$4:$A$203,0))),ABS(I90-INDEX(Frozen_Predictions!$L$4:$L$203,MATCH(A90,Frozen_Predictions!$A$4:$A$203,0)))&lt;0.0000000001),1,0),0),0))</x:f>
        <x:v>0</x:v>
      </x:c>
    </x:row>
    <x:row r="91">
      <x:c r="R91" t="str">
        <x:f t="shared" si="4">IF(X91&lt;&gt;1,"",POWER(I91-J91,2))</x:f>
      </x:c>
      <x:c r="S91" t="str">
        <x:f t="shared" si="5">IF(X91&lt;&gt;1,"",-J91*LN(MAX(MIN(I91,0.999999),0.000001))-(1-J91)*LN(MAX(MIN(1-I91,0.999999),0.000001)))</x:f>
      </x:c>
      <x:c r="X91" s="227" t="n">
        <x:f>IF(OR(A91="",NOT(ISNUMBER(I91)),NOT(ISNUMBER(J91))),0,IF(AND(I91&gt;=0,I91&lt;=1,OR(J91=0,J91=1),COUNTIFS($A$4:$A$203,A91)=1,COUNTIFS(Frozen_Predictions!$A$4:$A$203,A91)=1),IFERROR(IF(AND(INDEX(Frozen_Predictions!$Q$4:$Q$203,MATCH(A91,Frozen_Predictions!$A$4:$A$203,0))="YES",ISNUMBER(INDEX(Frozen_Predictions!$B$4:$B$203,MATCH(A91,Frozen_Predictions!$A$4:$A$203,0))),ISNUMBER(INDEX(Frozen_Predictions!$C$4:$C$203,MATCH(A91,Frozen_Predictions!$A$4:$A$203,0))),INDEX(Frozen_Predictions!$B$4:$B$203,MATCH(A91,Frozen_Predictions!$A$4:$A$203,0))&lt;=INDEX(Frozen_Predictions!$C$4:$C$203,MATCH(A91,Frozen_Predictions!$A$4:$A$203,0)),ISNUMBER(INDEX(Frozen_Predictions!$L$4:$L$203,MATCH(A91,Frozen_Predictions!$A$4:$A$203,0))),ABS(I91-INDEX(Frozen_Predictions!$L$4:$L$203,MATCH(A91,Frozen_Predictions!$A$4:$A$203,0)))&lt;0.0000000001),1,0),0),0))</x:f>
        <x:v>0</x:v>
      </x:c>
    </x:row>
    <x:row r="92">
      <x:c r="R92" t="str">
        <x:f t="shared" si="4">IF(X92&lt;&gt;1,"",POWER(I92-J92,2))</x:f>
      </x:c>
      <x:c r="S92" t="str">
        <x:f t="shared" si="5">IF(X92&lt;&gt;1,"",-J92*LN(MAX(MIN(I92,0.999999),0.000001))-(1-J92)*LN(MAX(MIN(1-I92,0.999999),0.000001)))</x:f>
      </x:c>
      <x:c r="X92" s="227" t="n">
        <x:f>IF(OR(A92="",NOT(ISNUMBER(I92)),NOT(ISNUMBER(J92))),0,IF(AND(I92&gt;=0,I92&lt;=1,OR(J92=0,J92=1),COUNTIFS($A$4:$A$203,A92)=1,COUNTIFS(Frozen_Predictions!$A$4:$A$203,A92)=1),IFERROR(IF(AND(INDEX(Frozen_Predictions!$Q$4:$Q$203,MATCH(A92,Frozen_Predictions!$A$4:$A$203,0))="YES",ISNUMBER(INDEX(Frozen_Predictions!$B$4:$B$203,MATCH(A92,Frozen_Predictions!$A$4:$A$203,0))),ISNUMBER(INDEX(Frozen_Predictions!$C$4:$C$203,MATCH(A92,Frozen_Predictions!$A$4:$A$203,0))),INDEX(Frozen_Predictions!$B$4:$B$203,MATCH(A92,Frozen_Predictions!$A$4:$A$203,0))&lt;=INDEX(Frozen_Predictions!$C$4:$C$203,MATCH(A92,Frozen_Predictions!$A$4:$A$203,0)),ISNUMBER(INDEX(Frozen_Predictions!$L$4:$L$203,MATCH(A92,Frozen_Predictions!$A$4:$A$203,0))),ABS(I92-INDEX(Frozen_Predictions!$L$4:$L$203,MATCH(A92,Frozen_Predictions!$A$4:$A$203,0)))&lt;0.0000000001),1,0),0),0))</x:f>
        <x:v>0</x:v>
      </x:c>
    </x:row>
    <x:row r="93">
      <x:c r="R93" t="str">
        <x:f t="shared" si="4">IF(X93&lt;&gt;1,"",POWER(I93-J93,2))</x:f>
      </x:c>
      <x:c r="S93" t="str">
        <x:f t="shared" si="5">IF(X93&lt;&gt;1,"",-J93*LN(MAX(MIN(I93,0.999999),0.000001))-(1-J93)*LN(MAX(MIN(1-I93,0.999999),0.000001)))</x:f>
      </x:c>
      <x:c r="X93" s="227" t="n">
        <x:f>IF(OR(A93="",NOT(ISNUMBER(I93)),NOT(ISNUMBER(J93))),0,IF(AND(I93&gt;=0,I93&lt;=1,OR(J93=0,J93=1),COUNTIFS($A$4:$A$203,A93)=1,COUNTIFS(Frozen_Predictions!$A$4:$A$203,A93)=1),IFERROR(IF(AND(INDEX(Frozen_Predictions!$Q$4:$Q$203,MATCH(A93,Frozen_Predictions!$A$4:$A$203,0))="YES",ISNUMBER(INDEX(Frozen_Predictions!$B$4:$B$203,MATCH(A93,Frozen_Predictions!$A$4:$A$203,0))),ISNUMBER(INDEX(Frozen_Predictions!$C$4:$C$203,MATCH(A93,Frozen_Predictions!$A$4:$A$203,0))),INDEX(Frozen_Predictions!$B$4:$B$203,MATCH(A93,Frozen_Predictions!$A$4:$A$203,0))&lt;=INDEX(Frozen_Predictions!$C$4:$C$203,MATCH(A93,Frozen_Predictions!$A$4:$A$203,0)),ISNUMBER(INDEX(Frozen_Predictions!$L$4:$L$203,MATCH(A93,Frozen_Predictions!$A$4:$A$203,0))),ABS(I93-INDEX(Frozen_Predictions!$L$4:$L$203,MATCH(A93,Frozen_Predictions!$A$4:$A$203,0)))&lt;0.0000000001),1,0),0),0))</x:f>
        <x:v>0</x:v>
      </x:c>
    </x:row>
    <x:row r="94">
      <x:c r="R94" t="str">
        <x:f t="shared" si="4">IF(X94&lt;&gt;1,"",POWER(I94-J94,2))</x:f>
      </x:c>
      <x:c r="S94" t="str">
        <x:f t="shared" si="5">IF(X94&lt;&gt;1,"",-J94*LN(MAX(MIN(I94,0.999999),0.000001))-(1-J94)*LN(MAX(MIN(1-I94,0.999999),0.000001)))</x:f>
      </x:c>
      <x:c r="X94" s="227" t="n">
        <x:f>IF(OR(A94="",NOT(ISNUMBER(I94)),NOT(ISNUMBER(J94))),0,IF(AND(I94&gt;=0,I94&lt;=1,OR(J94=0,J94=1),COUNTIFS($A$4:$A$203,A94)=1,COUNTIFS(Frozen_Predictions!$A$4:$A$203,A94)=1),IFERROR(IF(AND(INDEX(Frozen_Predictions!$Q$4:$Q$203,MATCH(A94,Frozen_Predictions!$A$4:$A$203,0))="YES",ISNUMBER(INDEX(Frozen_Predictions!$B$4:$B$203,MATCH(A94,Frozen_Predictions!$A$4:$A$203,0))),ISNUMBER(INDEX(Frozen_Predictions!$C$4:$C$203,MATCH(A94,Frozen_Predictions!$A$4:$A$203,0))),INDEX(Frozen_Predictions!$B$4:$B$203,MATCH(A94,Frozen_Predictions!$A$4:$A$203,0))&lt;=INDEX(Frozen_Predictions!$C$4:$C$203,MATCH(A94,Frozen_Predictions!$A$4:$A$203,0)),ISNUMBER(INDEX(Frozen_Predictions!$L$4:$L$203,MATCH(A94,Frozen_Predictions!$A$4:$A$203,0))),ABS(I94-INDEX(Frozen_Predictions!$L$4:$L$203,MATCH(A94,Frozen_Predictions!$A$4:$A$203,0)))&lt;0.0000000001),1,0),0),0))</x:f>
        <x:v>0</x:v>
      </x:c>
    </x:row>
    <x:row r="95">
      <x:c r="R95" t="str">
        <x:f t="shared" si="4">IF(X95&lt;&gt;1,"",POWER(I95-J95,2))</x:f>
      </x:c>
      <x:c r="S95" t="str">
        <x:f t="shared" si="5">IF(X95&lt;&gt;1,"",-J95*LN(MAX(MIN(I95,0.999999),0.000001))-(1-J95)*LN(MAX(MIN(1-I95,0.999999),0.000001)))</x:f>
      </x:c>
      <x:c r="X95" s="227" t="n">
        <x:f>IF(OR(A95="",NOT(ISNUMBER(I95)),NOT(ISNUMBER(J95))),0,IF(AND(I95&gt;=0,I95&lt;=1,OR(J95=0,J95=1),COUNTIFS($A$4:$A$203,A95)=1,COUNTIFS(Frozen_Predictions!$A$4:$A$203,A95)=1),IFERROR(IF(AND(INDEX(Frozen_Predictions!$Q$4:$Q$203,MATCH(A95,Frozen_Predictions!$A$4:$A$203,0))="YES",ISNUMBER(INDEX(Frozen_Predictions!$B$4:$B$203,MATCH(A95,Frozen_Predictions!$A$4:$A$203,0))),ISNUMBER(INDEX(Frozen_Predictions!$C$4:$C$203,MATCH(A95,Frozen_Predictions!$A$4:$A$203,0))),INDEX(Frozen_Predictions!$B$4:$B$203,MATCH(A95,Frozen_Predictions!$A$4:$A$203,0))&lt;=INDEX(Frozen_Predictions!$C$4:$C$203,MATCH(A95,Frozen_Predictions!$A$4:$A$203,0)),ISNUMBER(INDEX(Frozen_Predictions!$L$4:$L$203,MATCH(A95,Frozen_Predictions!$A$4:$A$203,0))),ABS(I95-INDEX(Frozen_Predictions!$L$4:$L$203,MATCH(A95,Frozen_Predictions!$A$4:$A$203,0)))&lt;0.0000000001),1,0),0),0))</x:f>
        <x:v>0</x:v>
      </x:c>
    </x:row>
    <x:row r="96">
      <x:c r="R96" t="str">
        <x:f t="shared" si="4">IF(X96&lt;&gt;1,"",POWER(I96-J96,2))</x:f>
      </x:c>
      <x:c r="S96" t="str">
        <x:f t="shared" si="5">IF(X96&lt;&gt;1,"",-J96*LN(MAX(MIN(I96,0.999999),0.000001))-(1-J96)*LN(MAX(MIN(1-I96,0.999999),0.000001)))</x:f>
      </x:c>
      <x:c r="X96" s="227" t="n">
        <x:f>IF(OR(A96="",NOT(ISNUMBER(I96)),NOT(ISNUMBER(J96))),0,IF(AND(I96&gt;=0,I96&lt;=1,OR(J96=0,J96=1),COUNTIFS($A$4:$A$203,A96)=1,COUNTIFS(Frozen_Predictions!$A$4:$A$203,A96)=1),IFERROR(IF(AND(INDEX(Frozen_Predictions!$Q$4:$Q$203,MATCH(A96,Frozen_Predictions!$A$4:$A$203,0))="YES",ISNUMBER(INDEX(Frozen_Predictions!$B$4:$B$203,MATCH(A96,Frozen_Predictions!$A$4:$A$203,0))),ISNUMBER(INDEX(Frozen_Predictions!$C$4:$C$203,MATCH(A96,Frozen_Predictions!$A$4:$A$203,0))),INDEX(Frozen_Predictions!$B$4:$B$203,MATCH(A96,Frozen_Predictions!$A$4:$A$203,0))&lt;=INDEX(Frozen_Predictions!$C$4:$C$203,MATCH(A96,Frozen_Predictions!$A$4:$A$203,0)),ISNUMBER(INDEX(Frozen_Predictions!$L$4:$L$203,MATCH(A96,Frozen_Predictions!$A$4:$A$203,0))),ABS(I96-INDEX(Frozen_Predictions!$L$4:$L$203,MATCH(A96,Frozen_Predictions!$A$4:$A$203,0)))&lt;0.0000000001),1,0),0),0))</x:f>
        <x:v>0</x:v>
      </x:c>
    </x:row>
    <x:row r="97">
      <x:c r="R97" t="str">
        <x:f t="shared" si="4">IF(X97&lt;&gt;1,"",POWER(I97-J97,2))</x:f>
      </x:c>
      <x:c r="S97" t="str">
        <x:f t="shared" si="5">IF(X97&lt;&gt;1,"",-J97*LN(MAX(MIN(I97,0.999999),0.000001))-(1-J97)*LN(MAX(MIN(1-I97,0.999999),0.000001)))</x:f>
      </x:c>
      <x:c r="X97" s="227" t="n">
        <x:f>IF(OR(A97="",NOT(ISNUMBER(I97)),NOT(ISNUMBER(J97))),0,IF(AND(I97&gt;=0,I97&lt;=1,OR(J97=0,J97=1),COUNTIFS($A$4:$A$203,A97)=1,COUNTIFS(Frozen_Predictions!$A$4:$A$203,A97)=1),IFERROR(IF(AND(INDEX(Frozen_Predictions!$Q$4:$Q$203,MATCH(A97,Frozen_Predictions!$A$4:$A$203,0))="YES",ISNUMBER(INDEX(Frozen_Predictions!$B$4:$B$203,MATCH(A97,Frozen_Predictions!$A$4:$A$203,0))),ISNUMBER(INDEX(Frozen_Predictions!$C$4:$C$203,MATCH(A97,Frozen_Predictions!$A$4:$A$203,0))),INDEX(Frozen_Predictions!$B$4:$B$203,MATCH(A97,Frozen_Predictions!$A$4:$A$203,0))&lt;=INDEX(Frozen_Predictions!$C$4:$C$203,MATCH(A97,Frozen_Predictions!$A$4:$A$203,0)),ISNUMBER(INDEX(Frozen_Predictions!$L$4:$L$203,MATCH(A97,Frozen_Predictions!$A$4:$A$203,0))),ABS(I97-INDEX(Frozen_Predictions!$L$4:$L$203,MATCH(A97,Frozen_Predictions!$A$4:$A$203,0)))&lt;0.0000000001),1,0),0),0))</x:f>
        <x:v>0</x:v>
      </x:c>
    </x:row>
    <x:row r="98">
      <x:c r="R98" t="str">
        <x:f t="shared" si="4">IF(X98&lt;&gt;1,"",POWER(I98-J98,2))</x:f>
      </x:c>
      <x:c r="S98" t="str">
        <x:f t="shared" si="5">IF(X98&lt;&gt;1,"",-J98*LN(MAX(MIN(I98,0.999999),0.000001))-(1-J98)*LN(MAX(MIN(1-I98,0.999999),0.000001)))</x:f>
      </x:c>
      <x:c r="X98" s="227" t="n">
        <x:f>IF(OR(A98="",NOT(ISNUMBER(I98)),NOT(ISNUMBER(J98))),0,IF(AND(I98&gt;=0,I98&lt;=1,OR(J98=0,J98=1),COUNTIFS($A$4:$A$203,A98)=1,COUNTIFS(Frozen_Predictions!$A$4:$A$203,A98)=1),IFERROR(IF(AND(INDEX(Frozen_Predictions!$Q$4:$Q$203,MATCH(A98,Frozen_Predictions!$A$4:$A$203,0))="YES",ISNUMBER(INDEX(Frozen_Predictions!$B$4:$B$203,MATCH(A98,Frozen_Predictions!$A$4:$A$203,0))),ISNUMBER(INDEX(Frozen_Predictions!$C$4:$C$203,MATCH(A98,Frozen_Predictions!$A$4:$A$203,0))),INDEX(Frozen_Predictions!$B$4:$B$203,MATCH(A98,Frozen_Predictions!$A$4:$A$203,0))&lt;=INDEX(Frozen_Predictions!$C$4:$C$203,MATCH(A98,Frozen_Predictions!$A$4:$A$203,0)),ISNUMBER(INDEX(Frozen_Predictions!$L$4:$L$203,MATCH(A98,Frozen_Predictions!$A$4:$A$203,0))),ABS(I98-INDEX(Frozen_Predictions!$L$4:$L$203,MATCH(A98,Frozen_Predictions!$A$4:$A$203,0)))&lt;0.0000000001),1,0),0),0))</x:f>
        <x:v>0</x:v>
      </x:c>
    </x:row>
    <x:row r="99">
      <x:c r="R99" t="str">
        <x:f t="shared" si="4">IF(X99&lt;&gt;1,"",POWER(I99-J99,2))</x:f>
      </x:c>
      <x:c r="S99" t="str">
        <x:f t="shared" si="5">IF(X99&lt;&gt;1,"",-J99*LN(MAX(MIN(I99,0.999999),0.000001))-(1-J99)*LN(MAX(MIN(1-I99,0.999999),0.000001)))</x:f>
      </x:c>
      <x:c r="X99" s="227" t="n">
        <x:f>IF(OR(A99="",NOT(ISNUMBER(I99)),NOT(ISNUMBER(J99))),0,IF(AND(I99&gt;=0,I99&lt;=1,OR(J99=0,J99=1),COUNTIFS($A$4:$A$203,A99)=1,COUNTIFS(Frozen_Predictions!$A$4:$A$203,A99)=1),IFERROR(IF(AND(INDEX(Frozen_Predictions!$Q$4:$Q$203,MATCH(A99,Frozen_Predictions!$A$4:$A$203,0))="YES",ISNUMBER(INDEX(Frozen_Predictions!$B$4:$B$203,MATCH(A99,Frozen_Predictions!$A$4:$A$203,0))),ISNUMBER(INDEX(Frozen_Predictions!$C$4:$C$203,MATCH(A99,Frozen_Predictions!$A$4:$A$203,0))),INDEX(Frozen_Predictions!$B$4:$B$203,MATCH(A99,Frozen_Predictions!$A$4:$A$203,0))&lt;=INDEX(Frozen_Predictions!$C$4:$C$203,MATCH(A99,Frozen_Predictions!$A$4:$A$203,0)),ISNUMBER(INDEX(Frozen_Predictions!$L$4:$L$203,MATCH(A99,Frozen_Predictions!$A$4:$A$203,0))),ABS(I99-INDEX(Frozen_Predictions!$L$4:$L$203,MATCH(A99,Frozen_Predictions!$A$4:$A$203,0)))&lt;0.0000000001),1,0),0),0))</x:f>
        <x:v>0</x:v>
      </x:c>
    </x:row>
    <x:row r="100">
      <x:c r="R100" t="str">
        <x:f t="shared" ref="R100:R131" si="6">IF(X100&lt;&gt;1,"",POWER(I100-J100,2))</x:f>
      </x:c>
      <x:c r="S100" t="str">
        <x:f t="shared" ref="S100:S131" si="7">IF(X100&lt;&gt;1,"",-J100*LN(MAX(MIN(I100,0.999999),0.000001))-(1-J100)*LN(MAX(MIN(1-I100,0.999999),0.000001)))</x:f>
      </x:c>
      <x:c r="X100" s="227" t="n">
        <x:f>IF(OR(A100="",NOT(ISNUMBER(I100)),NOT(ISNUMBER(J100))),0,IF(AND(I100&gt;=0,I100&lt;=1,OR(J100=0,J100=1),COUNTIFS($A$4:$A$203,A100)=1,COUNTIFS(Frozen_Predictions!$A$4:$A$203,A100)=1),IFERROR(IF(AND(INDEX(Frozen_Predictions!$Q$4:$Q$203,MATCH(A100,Frozen_Predictions!$A$4:$A$203,0))="YES",ISNUMBER(INDEX(Frozen_Predictions!$B$4:$B$203,MATCH(A100,Frozen_Predictions!$A$4:$A$203,0))),ISNUMBER(INDEX(Frozen_Predictions!$C$4:$C$203,MATCH(A100,Frozen_Predictions!$A$4:$A$203,0))),INDEX(Frozen_Predictions!$B$4:$B$203,MATCH(A100,Frozen_Predictions!$A$4:$A$203,0))&lt;=INDEX(Frozen_Predictions!$C$4:$C$203,MATCH(A100,Frozen_Predictions!$A$4:$A$203,0)),ISNUMBER(INDEX(Frozen_Predictions!$L$4:$L$203,MATCH(A100,Frozen_Predictions!$A$4:$A$203,0))),ABS(I100-INDEX(Frozen_Predictions!$L$4:$L$203,MATCH(A100,Frozen_Predictions!$A$4:$A$203,0)))&lt;0.0000000001),1,0),0),0))</x:f>
        <x:v>0</x:v>
      </x:c>
    </x:row>
    <x:row r="101">
      <x:c r="R101" t="str">
        <x:f t="shared" si="6">IF(X101&lt;&gt;1,"",POWER(I101-J101,2))</x:f>
      </x:c>
      <x:c r="S101" t="str">
        <x:f t="shared" si="7">IF(X101&lt;&gt;1,"",-J101*LN(MAX(MIN(I101,0.999999),0.000001))-(1-J101)*LN(MAX(MIN(1-I101,0.999999),0.000001)))</x:f>
      </x:c>
      <x:c r="X101" s="227" t="n">
        <x:f>IF(OR(A101="",NOT(ISNUMBER(I101)),NOT(ISNUMBER(J101))),0,IF(AND(I101&gt;=0,I101&lt;=1,OR(J101=0,J101=1),COUNTIFS($A$4:$A$203,A101)=1,COUNTIFS(Frozen_Predictions!$A$4:$A$203,A101)=1),IFERROR(IF(AND(INDEX(Frozen_Predictions!$Q$4:$Q$203,MATCH(A101,Frozen_Predictions!$A$4:$A$203,0))="YES",ISNUMBER(INDEX(Frozen_Predictions!$B$4:$B$203,MATCH(A101,Frozen_Predictions!$A$4:$A$203,0))),ISNUMBER(INDEX(Frozen_Predictions!$C$4:$C$203,MATCH(A101,Frozen_Predictions!$A$4:$A$203,0))),INDEX(Frozen_Predictions!$B$4:$B$203,MATCH(A101,Frozen_Predictions!$A$4:$A$203,0))&lt;=INDEX(Frozen_Predictions!$C$4:$C$203,MATCH(A101,Frozen_Predictions!$A$4:$A$203,0)),ISNUMBER(INDEX(Frozen_Predictions!$L$4:$L$203,MATCH(A101,Frozen_Predictions!$A$4:$A$203,0))),ABS(I101-INDEX(Frozen_Predictions!$L$4:$L$203,MATCH(A101,Frozen_Predictions!$A$4:$A$203,0)))&lt;0.0000000001),1,0),0),0))</x:f>
        <x:v>0</x:v>
      </x:c>
    </x:row>
    <x:row r="102">
      <x:c r="R102" t="str">
        <x:f t="shared" si="6">IF(X102&lt;&gt;1,"",POWER(I102-J102,2))</x:f>
      </x:c>
      <x:c r="S102" t="str">
        <x:f t="shared" si="7">IF(X102&lt;&gt;1,"",-J102*LN(MAX(MIN(I102,0.999999),0.000001))-(1-J102)*LN(MAX(MIN(1-I102,0.999999),0.000001)))</x:f>
      </x:c>
      <x:c r="X102" s="227" t="n">
        <x:f>IF(OR(A102="",NOT(ISNUMBER(I102)),NOT(ISNUMBER(J102))),0,IF(AND(I102&gt;=0,I102&lt;=1,OR(J102=0,J102=1),COUNTIFS($A$4:$A$203,A102)=1,COUNTIFS(Frozen_Predictions!$A$4:$A$203,A102)=1),IFERROR(IF(AND(INDEX(Frozen_Predictions!$Q$4:$Q$203,MATCH(A102,Frozen_Predictions!$A$4:$A$203,0))="YES",ISNUMBER(INDEX(Frozen_Predictions!$B$4:$B$203,MATCH(A102,Frozen_Predictions!$A$4:$A$203,0))),ISNUMBER(INDEX(Frozen_Predictions!$C$4:$C$203,MATCH(A102,Frozen_Predictions!$A$4:$A$203,0))),INDEX(Frozen_Predictions!$B$4:$B$203,MATCH(A102,Frozen_Predictions!$A$4:$A$203,0))&lt;=INDEX(Frozen_Predictions!$C$4:$C$203,MATCH(A102,Frozen_Predictions!$A$4:$A$203,0)),ISNUMBER(INDEX(Frozen_Predictions!$L$4:$L$203,MATCH(A102,Frozen_Predictions!$A$4:$A$203,0))),ABS(I102-INDEX(Frozen_Predictions!$L$4:$L$203,MATCH(A102,Frozen_Predictions!$A$4:$A$203,0)))&lt;0.0000000001),1,0),0),0))</x:f>
        <x:v>0</x:v>
      </x:c>
    </x:row>
    <x:row r="103">
      <x:c r="R103" t="str">
        <x:f t="shared" si="6">IF(X103&lt;&gt;1,"",POWER(I103-J103,2))</x:f>
      </x:c>
      <x:c r="S103" t="str">
        <x:f t="shared" si="7">IF(X103&lt;&gt;1,"",-J103*LN(MAX(MIN(I103,0.999999),0.000001))-(1-J103)*LN(MAX(MIN(1-I103,0.999999),0.000001)))</x:f>
      </x:c>
      <x:c r="X103" s="227" t="n">
        <x:f>IF(OR(A103="",NOT(ISNUMBER(I103)),NOT(ISNUMBER(J103))),0,IF(AND(I103&gt;=0,I103&lt;=1,OR(J103=0,J103=1),COUNTIFS($A$4:$A$203,A103)=1,COUNTIFS(Frozen_Predictions!$A$4:$A$203,A103)=1),IFERROR(IF(AND(INDEX(Frozen_Predictions!$Q$4:$Q$203,MATCH(A103,Frozen_Predictions!$A$4:$A$203,0))="YES",ISNUMBER(INDEX(Frozen_Predictions!$B$4:$B$203,MATCH(A103,Frozen_Predictions!$A$4:$A$203,0))),ISNUMBER(INDEX(Frozen_Predictions!$C$4:$C$203,MATCH(A103,Frozen_Predictions!$A$4:$A$203,0))),INDEX(Frozen_Predictions!$B$4:$B$203,MATCH(A103,Frozen_Predictions!$A$4:$A$203,0))&lt;=INDEX(Frozen_Predictions!$C$4:$C$203,MATCH(A103,Frozen_Predictions!$A$4:$A$203,0)),ISNUMBER(INDEX(Frozen_Predictions!$L$4:$L$203,MATCH(A103,Frozen_Predictions!$A$4:$A$203,0))),ABS(I103-INDEX(Frozen_Predictions!$L$4:$L$203,MATCH(A103,Frozen_Predictions!$A$4:$A$203,0)))&lt;0.0000000001),1,0),0),0))</x:f>
        <x:v>0</x:v>
      </x:c>
    </x:row>
    <x:row r="104">
      <x:c r="R104" t="str">
        <x:f t="shared" si="6">IF(X104&lt;&gt;1,"",POWER(I104-J104,2))</x:f>
      </x:c>
      <x:c r="S104" t="str">
        <x:f t="shared" si="7">IF(X104&lt;&gt;1,"",-J104*LN(MAX(MIN(I104,0.999999),0.000001))-(1-J104)*LN(MAX(MIN(1-I104,0.999999),0.000001)))</x:f>
      </x:c>
      <x:c r="X104" s="227" t="n">
        <x:f>IF(OR(A104="",NOT(ISNUMBER(I104)),NOT(ISNUMBER(J104))),0,IF(AND(I104&gt;=0,I104&lt;=1,OR(J104=0,J104=1),COUNTIFS($A$4:$A$203,A104)=1,COUNTIFS(Frozen_Predictions!$A$4:$A$203,A104)=1),IFERROR(IF(AND(INDEX(Frozen_Predictions!$Q$4:$Q$203,MATCH(A104,Frozen_Predictions!$A$4:$A$203,0))="YES",ISNUMBER(INDEX(Frozen_Predictions!$B$4:$B$203,MATCH(A104,Frozen_Predictions!$A$4:$A$203,0))),ISNUMBER(INDEX(Frozen_Predictions!$C$4:$C$203,MATCH(A104,Frozen_Predictions!$A$4:$A$203,0))),INDEX(Frozen_Predictions!$B$4:$B$203,MATCH(A104,Frozen_Predictions!$A$4:$A$203,0))&lt;=INDEX(Frozen_Predictions!$C$4:$C$203,MATCH(A104,Frozen_Predictions!$A$4:$A$203,0)),ISNUMBER(INDEX(Frozen_Predictions!$L$4:$L$203,MATCH(A104,Frozen_Predictions!$A$4:$A$203,0))),ABS(I104-INDEX(Frozen_Predictions!$L$4:$L$203,MATCH(A104,Frozen_Predictions!$A$4:$A$203,0)))&lt;0.0000000001),1,0),0),0))</x:f>
        <x:v>0</x:v>
      </x:c>
    </x:row>
    <x:row r="105">
      <x:c r="R105" t="str">
        <x:f t="shared" si="6">IF(X105&lt;&gt;1,"",POWER(I105-J105,2))</x:f>
      </x:c>
      <x:c r="S105" t="str">
        <x:f t="shared" si="7">IF(X105&lt;&gt;1,"",-J105*LN(MAX(MIN(I105,0.999999),0.000001))-(1-J105)*LN(MAX(MIN(1-I105,0.999999),0.000001)))</x:f>
      </x:c>
      <x:c r="X105" s="227" t="n">
        <x:f>IF(OR(A105="",NOT(ISNUMBER(I105)),NOT(ISNUMBER(J105))),0,IF(AND(I105&gt;=0,I105&lt;=1,OR(J105=0,J105=1),COUNTIFS($A$4:$A$203,A105)=1,COUNTIFS(Frozen_Predictions!$A$4:$A$203,A105)=1),IFERROR(IF(AND(INDEX(Frozen_Predictions!$Q$4:$Q$203,MATCH(A105,Frozen_Predictions!$A$4:$A$203,0))="YES",ISNUMBER(INDEX(Frozen_Predictions!$B$4:$B$203,MATCH(A105,Frozen_Predictions!$A$4:$A$203,0))),ISNUMBER(INDEX(Frozen_Predictions!$C$4:$C$203,MATCH(A105,Frozen_Predictions!$A$4:$A$203,0))),INDEX(Frozen_Predictions!$B$4:$B$203,MATCH(A105,Frozen_Predictions!$A$4:$A$203,0))&lt;=INDEX(Frozen_Predictions!$C$4:$C$203,MATCH(A105,Frozen_Predictions!$A$4:$A$203,0)),ISNUMBER(INDEX(Frozen_Predictions!$L$4:$L$203,MATCH(A105,Frozen_Predictions!$A$4:$A$203,0))),ABS(I105-INDEX(Frozen_Predictions!$L$4:$L$203,MATCH(A105,Frozen_Predictions!$A$4:$A$203,0)))&lt;0.0000000001),1,0),0),0))</x:f>
        <x:v>0</x:v>
      </x:c>
    </x:row>
    <x:row r="106">
      <x:c r="R106" t="str">
        <x:f t="shared" si="6">IF(X106&lt;&gt;1,"",POWER(I106-J106,2))</x:f>
      </x:c>
      <x:c r="S106" t="str">
        <x:f t="shared" si="7">IF(X106&lt;&gt;1,"",-J106*LN(MAX(MIN(I106,0.999999),0.000001))-(1-J106)*LN(MAX(MIN(1-I106,0.999999),0.000001)))</x:f>
      </x:c>
      <x:c r="X106" s="227" t="n">
        <x:f>IF(OR(A106="",NOT(ISNUMBER(I106)),NOT(ISNUMBER(J106))),0,IF(AND(I106&gt;=0,I106&lt;=1,OR(J106=0,J106=1),COUNTIFS($A$4:$A$203,A106)=1,COUNTIFS(Frozen_Predictions!$A$4:$A$203,A106)=1),IFERROR(IF(AND(INDEX(Frozen_Predictions!$Q$4:$Q$203,MATCH(A106,Frozen_Predictions!$A$4:$A$203,0))="YES",ISNUMBER(INDEX(Frozen_Predictions!$B$4:$B$203,MATCH(A106,Frozen_Predictions!$A$4:$A$203,0))),ISNUMBER(INDEX(Frozen_Predictions!$C$4:$C$203,MATCH(A106,Frozen_Predictions!$A$4:$A$203,0))),INDEX(Frozen_Predictions!$B$4:$B$203,MATCH(A106,Frozen_Predictions!$A$4:$A$203,0))&lt;=INDEX(Frozen_Predictions!$C$4:$C$203,MATCH(A106,Frozen_Predictions!$A$4:$A$203,0)),ISNUMBER(INDEX(Frozen_Predictions!$L$4:$L$203,MATCH(A106,Frozen_Predictions!$A$4:$A$203,0))),ABS(I106-INDEX(Frozen_Predictions!$L$4:$L$203,MATCH(A106,Frozen_Predictions!$A$4:$A$203,0)))&lt;0.0000000001),1,0),0),0))</x:f>
        <x:v>0</x:v>
      </x:c>
    </x:row>
    <x:row r="107">
      <x:c r="R107" t="str">
        <x:f t="shared" si="6">IF(X107&lt;&gt;1,"",POWER(I107-J107,2))</x:f>
      </x:c>
      <x:c r="S107" t="str">
        <x:f t="shared" si="7">IF(X107&lt;&gt;1,"",-J107*LN(MAX(MIN(I107,0.999999),0.000001))-(1-J107)*LN(MAX(MIN(1-I107,0.999999),0.000001)))</x:f>
      </x:c>
      <x:c r="X107" s="227" t="n">
        <x:f>IF(OR(A107="",NOT(ISNUMBER(I107)),NOT(ISNUMBER(J107))),0,IF(AND(I107&gt;=0,I107&lt;=1,OR(J107=0,J107=1),COUNTIFS($A$4:$A$203,A107)=1,COUNTIFS(Frozen_Predictions!$A$4:$A$203,A107)=1),IFERROR(IF(AND(INDEX(Frozen_Predictions!$Q$4:$Q$203,MATCH(A107,Frozen_Predictions!$A$4:$A$203,0))="YES",ISNUMBER(INDEX(Frozen_Predictions!$B$4:$B$203,MATCH(A107,Frozen_Predictions!$A$4:$A$203,0))),ISNUMBER(INDEX(Frozen_Predictions!$C$4:$C$203,MATCH(A107,Frozen_Predictions!$A$4:$A$203,0))),INDEX(Frozen_Predictions!$B$4:$B$203,MATCH(A107,Frozen_Predictions!$A$4:$A$203,0))&lt;=INDEX(Frozen_Predictions!$C$4:$C$203,MATCH(A107,Frozen_Predictions!$A$4:$A$203,0)),ISNUMBER(INDEX(Frozen_Predictions!$L$4:$L$203,MATCH(A107,Frozen_Predictions!$A$4:$A$203,0))),ABS(I107-INDEX(Frozen_Predictions!$L$4:$L$203,MATCH(A107,Frozen_Predictions!$A$4:$A$203,0)))&lt;0.0000000001),1,0),0),0))</x:f>
        <x:v>0</x:v>
      </x:c>
    </x:row>
    <x:row r="108">
      <x:c r="R108" t="str">
        <x:f t="shared" si="6">IF(X108&lt;&gt;1,"",POWER(I108-J108,2))</x:f>
      </x:c>
      <x:c r="S108" t="str">
        <x:f t="shared" si="7">IF(X108&lt;&gt;1,"",-J108*LN(MAX(MIN(I108,0.999999),0.000001))-(1-J108)*LN(MAX(MIN(1-I108,0.999999),0.000001)))</x:f>
      </x:c>
      <x:c r="X108" s="227" t="n">
        <x:f>IF(OR(A108="",NOT(ISNUMBER(I108)),NOT(ISNUMBER(J108))),0,IF(AND(I108&gt;=0,I108&lt;=1,OR(J108=0,J108=1),COUNTIFS($A$4:$A$203,A108)=1,COUNTIFS(Frozen_Predictions!$A$4:$A$203,A108)=1),IFERROR(IF(AND(INDEX(Frozen_Predictions!$Q$4:$Q$203,MATCH(A108,Frozen_Predictions!$A$4:$A$203,0))="YES",ISNUMBER(INDEX(Frozen_Predictions!$B$4:$B$203,MATCH(A108,Frozen_Predictions!$A$4:$A$203,0))),ISNUMBER(INDEX(Frozen_Predictions!$C$4:$C$203,MATCH(A108,Frozen_Predictions!$A$4:$A$203,0))),INDEX(Frozen_Predictions!$B$4:$B$203,MATCH(A108,Frozen_Predictions!$A$4:$A$203,0))&lt;=INDEX(Frozen_Predictions!$C$4:$C$203,MATCH(A108,Frozen_Predictions!$A$4:$A$203,0)),ISNUMBER(INDEX(Frozen_Predictions!$L$4:$L$203,MATCH(A108,Frozen_Predictions!$A$4:$A$203,0))),ABS(I108-INDEX(Frozen_Predictions!$L$4:$L$203,MATCH(A108,Frozen_Predictions!$A$4:$A$203,0)))&lt;0.0000000001),1,0),0),0))</x:f>
        <x:v>0</x:v>
      </x:c>
    </x:row>
    <x:row r="109">
      <x:c r="R109" t="str">
        <x:f t="shared" si="6">IF(X109&lt;&gt;1,"",POWER(I109-J109,2))</x:f>
      </x:c>
      <x:c r="S109" t="str">
        <x:f t="shared" si="7">IF(X109&lt;&gt;1,"",-J109*LN(MAX(MIN(I109,0.999999),0.000001))-(1-J109)*LN(MAX(MIN(1-I109,0.999999),0.000001)))</x:f>
      </x:c>
      <x:c r="X109" s="227" t="n">
        <x:f>IF(OR(A109="",NOT(ISNUMBER(I109)),NOT(ISNUMBER(J109))),0,IF(AND(I109&gt;=0,I109&lt;=1,OR(J109=0,J109=1),COUNTIFS($A$4:$A$203,A109)=1,COUNTIFS(Frozen_Predictions!$A$4:$A$203,A109)=1),IFERROR(IF(AND(INDEX(Frozen_Predictions!$Q$4:$Q$203,MATCH(A109,Frozen_Predictions!$A$4:$A$203,0))="YES",ISNUMBER(INDEX(Frozen_Predictions!$B$4:$B$203,MATCH(A109,Frozen_Predictions!$A$4:$A$203,0))),ISNUMBER(INDEX(Frozen_Predictions!$C$4:$C$203,MATCH(A109,Frozen_Predictions!$A$4:$A$203,0))),INDEX(Frozen_Predictions!$B$4:$B$203,MATCH(A109,Frozen_Predictions!$A$4:$A$203,0))&lt;=INDEX(Frozen_Predictions!$C$4:$C$203,MATCH(A109,Frozen_Predictions!$A$4:$A$203,0)),ISNUMBER(INDEX(Frozen_Predictions!$L$4:$L$203,MATCH(A109,Frozen_Predictions!$A$4:$A$203,0))),ABS(I109-INDEX(Frozen_Predictions!$L$4:$L$203,MATCH(A109,Frozen_Predictions!$A$4:$A$203,0)))&lt;0.0000000001),1,0),0),0))</x:f>
        <x:v>0</x:v>
      </x:c>
    </x:row>
    <x:row r="110">
      <x:c r="R110" t="str">
        <x:f t="shared" si="6">IF(X110&lt;&gt;1,"",POWER(I110-J110,2))</x:f>
      </x:c>
      <x:c r="S110" t="str">
        <x:f t="shared" si="7">IF(X110&lt;&gt;1,"",-J110*LN(MAX(MIN(I110,0.999999),0.000001))-(1-J110)*LN(MAX(MIN(1-I110,0.999999),0.000001)))</x:f>
      </x:c>
      <x:c r="X110" s="227" t="n">
        <x:f>IF(OR(A110="",NOT(ISNUMBER(I110)),NOT(ISNUMBER(J110))),0,IF(AND(I110&gt;=0,I110&lt;=1,OR(J110=0,J110=1),COUNTIFS($A$4:$A$203,A110)=1,COUNTIFS(Frozen_Predictions!$A$4:$A$203,A110)=1),IFERROR(IF(AND(INDEX(Frozen_Predictions!$Q$4:$Q$203,MATCH(A110,Frozen_Predictions!$A$4:$A$203,0))="YES",ISNUMBER(INDEX(Frozen_Predictions!$B$4:$B$203,MATCH(A110,Frozen_Predictions!$A$4:$A$203,0))),ISNUMBER(INDEX(Frozen_Predictions!$C$4:$C$203,MATCH(A110,Frozen_Predictions!$A$4:$A$203,0))),INDEX(Frozen_Predictions!$B$4:$B$203,MATCH(A110,Frozen_Predictions!$A$4:$A$203,0))&lt;=INDEX(Frozen_Predictions!$C$4:$C$203,MATCH(A110,Frozen_Predictions!$A$4:$A$203,0)),ISNUMBER(INDEX(Frozen_Predictions!$L$4:$L$203,MATCH(A110,Frozen_Predictions!$A$4:$A$203,0))),ABS(I110-INDEX(Frozen_Predictions!$L$4:$L$203,MATCH(A110,Frozen_Predictions!$A$4:$A$203,0)))&lt;0.0000000001),1,0),0),0))</x:f>
        <x:v>0</x:v>
      </x:c>
    </x:row>
    <x:row r="111">
      <x:c r="R111" t="str">
        <x:f t="shared" si="6">IF(X111&lt;&gt;1,"",POWER(I111-J111,2))</x:f>
      </x:c>
      <x:c r="S111" t="str">
        <x:f t="shared" si="7">IF(X111&lt;&gt;1,"",-J111*LN(MAX(MIN(I111,0.999999),0.000001))-(1-J111)*LN(MAX(MIN(1-I111,0.999999),0.000001)))</x:f>
      </x:c>
      <x:c r="X111" s="227" t="n">
        <x:f>IF(OR(A111="",NOT(ISNUMBER(I111)),NOT(ISNUMBER(J111))),0,IF(AND(I111&gt;=0,I111&lt;=1,OR(J111=0,J111=1),COUNTIFS($A$4:$A$203,A111)=1,COUNTIFS(Frozen_Predictions!$A$4:$A$203,A111)=1),IFERROR(IF(AND(INDEX(Frozen_Predictions!$Q$4:$Q$203,MATCH(A111,Frozen_Predictions!$A$4:$A$203,0))="YES",ISNUMBER(INDEX(Frozen_Predictions!$B$4:$B$203,MATCH(A111,Frozen_Predictions!$A$4:$A$203,0))),ISNUMBER(INDEX(Frozen_Predictions!$C$4:$C$203,MATCH(A111,Frozen_Predictions!$A$4:$A$203,0))),INDEX(Frozen_Predictions!$B$4:$B$203,MATCH(A111,Frozen_Predictions!$A$4:$A$203,0))&lt;=INDEX(Frozen_Predictions!$C$4:$C$203,MATCH(A111,Frozen_Predictions!$A$4:$A$203,0)),ISNUMBER(INDEX(Frozen_Predictions!$L$4:$L$203,MATCH(A111,Frozen_Predictions!$A$4:$A$203,0))),ABS(I111-INDEX(Frozen_Predictions!$L$4:$L$203,MATCH(A111,Frozen_Predictions!$A$4:$A$203,0)))&lt;0.0000000001),1,0),0),0))</x:f>
        <x:v>0</x:v>
      </x:c>
    </x:row>
    <x:row r="112">
      <x:c r="R112" t="str">
        <x:f t="shared" si="6">IF(X112&lt;&gt;1,"",POWER(I112-J112,2))</x:f>
      </x:c>
      <x:c r="S112" t="str">
        <x:f t="shared" si="7">IF(X112&lt;&gt;1,"",-J112*LN(MAX(MIN(I112,0.999999),0.000001))-(1-J112)*LN(MAX(MIN(1-I112,0.999999),0.000001)))</x:f>
      </x:c>
      <x:c r="X112" s="227" t="n">
        <x:f>IF(OR(A112="",NOT(ISNUMBER(I112)),NOT(ISNUMBER(J112))),0,IF(AND(I112&gt;=0,I112&lt;=1,OR(J112=0,J112=1),COUNTIFS($A$4:$A$203,A112)=1,COUNTIFS(Frozen_Predictions!$A$4:$A$203,A112)=1),IFERROR(IF(AND(INDEX(Frozen_Predictions!$Q$4:$Q$203,MATCH(A112,Frozen_Predictions!$A$4:$A$203,0))="YES",ISNUMBER(INDEX(Frozen_Predictions!$B$4:$B$203,MATCH(A112,Frozen_Predictions!$A$4:$A$203,0))),ISNUMBER(INDEX(Frozen_Predictions!$C$4:$C$203,MATCH(A112,Frozen_Predictions!$A$4:$A$203,0))),INDEX(Frozen_Predictions!$B$4:$B$203,MATCH(A112,Frozen_Predictions!$A$4:$A$203,0))&lt;=INDEX(Frozen_Predictions!$C$4:$C$203,MATCH(A112,Frozen_Predictions!$A$4:$A$203,0)),ISNUMBER(INDEX(Frozen_Predictions!$L$4:$L$203,MATCH(A112,Frozen_Predictions!$A$4:$A$203,0))),ABS(I112-INDEX(Frozen_Predictions!$L$4:$L$203,MATCH(A112,Frozen_Predictions!$A$4:$A$203,0)))&lt;0.0000000001),1,0),0),0))</x:f>
        <x:v>0</x:v>
      </x:c>
    </x:row>
    <x:row r="113">
      <x:c r="R113" t="str">
        <x:f t="shared" si="6">IF(X113&lt;&gt;1,"",POWER(I113-J113,2))</x:f>
      </x:c>
      <x:c r="S113" t="str">
        <x:f t="shared" si="7">IF(X113&lt;&gt;1,"",-J113*LN(MAX(MIN(I113,0.999999),0.000001))-(1-J113)*LN(MAX(MIN(1-I113,0.999999),0.000001)))</x:f>
      </x:c>
      <x:c r="X113" s="227" t="n">
        <x:f>IF(OR(A113="",NOT(ISNUMBER(I113)),NOT(ISNUMBER(J113))),0,IF(AND(I113&gt;=0,I113&lt;=1,OR(J113=0,J113=1),COUNTIFS($A$4:$A$203,A113)=1,COUNTIFS(Frozen_Predictions!$A$4:$A$203,A113)=1),IFERROR(IF(AND(INDEX(Frozen_Predictions!$Q$4:$Q$203,MATCH(A113,Frozen_Predictions!$A$4:$A$203,0))="YES",ISNUMBER(INDEX(Frozen_Predictions!$B$4:$B$203,MATCH(A113,Frozen_Predictions!$A$4:$A$203,0))),ISNUMBER(INDEX(Frozen_Predictions!$C$4:$C$203,MATCH(A113,Frozen_Predictions!$A$4:$A$203,0))),INDEX(Frozen_Predictions!$B$4:$B$203,MATCH(A113,Frozen_Predictions!$A$4:$A$203,0))&lt;=INDEX(Frozen_Predictions!$C$4:$C$203,MATCH(A113,Frozen_Predictions!$A$4:$A$203,0)),ISNUMBER(INDEX(Frozen_Predictions!$L$4:$L$203,MATCH(A113,Frozen_Predictions!$A$4:$A$203,0))),ABS(I113-INDEX(Frozen_Predictions!$L$4:$L$203,MATCH(A113,Frozen_Predictions!$A$4:$A$203,0)))&lt;0.0000000001),1,0),0),0))</x:f>
        <x:v>0</x:v>
      </x:c>
    </x:row>
    <x:row r="114">
      <x:c r="R114" t="str">
        <x:f t="shared" si="6">IF(X114&lt;&gt;1,"",POWER(I114-J114,2))</x:f>
      </x:c>
      <x:c r="S114" t="str">
        <x:f t="shared" si="7">IF(X114&lt;&gt;1,"",-J114*LN(MAX(MIN(I114,0.999999),0.000001))-(1-J114)*LN(MAX(MIN(1-I114,0.999999),0.000001)))</x:f>
      </x:c>
      <x:c r="X114" s="227" t="n">
        <x:f>IF(OR(A114="",NOT(ISNUMBER(I114)),NOT(ISNUMBER(J114))),0,IF(AND(I114&gt;=0,I114&lt;=1,OR(J114=0,J114=1),COUNTIFS($A$4:$A$203,A114)=1,COUNTIFS(Frozen_Predictions!$A$4:$A$203,A114)=1),IFERROR(IF(AND(INDEX(Frozen_Predictions!$Q$4:$Q$203,MATCH(A114,Frozen_Predictions!$A$4:$A$203,0))="YES",ISNUMBER(INDEX(Frozen_Predictions!$B$4:$B$203,MATCH(A114,Frozen_Predictions!$A$4:$A$203,0))),ISNUMBER(INDEX(Frozen_Predictions!$C$4:$C$203,MATCH(A114,Frozen_Predictions!$A$4:$A$203,0))),INDEX(Frozen_Predictions!$B$4:$B$203,MATCH(A114,Frozen_Predictions!$A$4:$A$203,0))&lt;=INDEX(Frozen_Predictions!$C$4:$C$203,MATCH(A114,Frozen_Predictions!$A$4:$A$203,0)),ISNUMBER(INDEX(Frozen_Predictions!$L$4:$L$203,MATCH(A114,Frozen_Predictions!$A$4:$A$203,0))),ABS(I114-INDEX(Frozen_Predictions!$L$4:$L$203,MATCH(A114,Frozen_Predictions!$A$4:$A$203,0)))&lt;0.0000000001),1,0),0),0))</x:f>
        <x:v>0</x:v>
      </x:c>
    </x:row>
    <x:row r="115">
      <x:c r="R115" t="str">
        <x:f t="shared" si="6">IF(X115&lt;&gt;1,"",POWER(I115-J115,2))</x:f>
      </x:c>
      <x:c r="S115" t="str">
        <x:f t="shared" si="7">IF(X115&lt;&gt;1,"",-J115*LN(MAX(MIN(I115,0.999999),0.000001))-(1-J115)*LN(MAX(MIN(1-I115,0.999999),0.000001)))</x:f>
      </x:c>
      <x:c r="X115" s="227" t="n">
        <x:f>IF(OR(A115="",NOT(ISNUMBER(I115)),NOT(ISNUMBER(J115))),0,IF(AND(I115&gt;=0,I115&lt;=1,OR(J115=0,J115=1),COUNTIFS($A$4:$A$203,A115)=1,COUNTIFS(Frozen_Predictions!$A$4:$A$203,A115)=1),IFERROR(IF(AND(INDEX(Frozen_Predictions!$Q$4:$Q$203,MATCH(A115,Frozen_Predictions!$A$4:$A$203,0))="YES",ISNUMBER(INDEX(Frozen_Predictions!$B$4:$B$203,MATCH(A115,Frozen_Predictions!$A$4:$A$203,0))),ISNUMBER(INDEX(Frozen_Predictions!$C$4:$C$203,MATCH(A115,Frozen_Predictions!$A$4:$A$203,0))),INDEX(Frozen_Predictions!$B$4:$B$203,MATCH(A115,Frozen_Predictions!$A$4:$A$203,0))&lt;=INDEX(Frozen_Predictions!$C$4:$C$203,MATCH(A115,Frozen_Predictions!$A$4:$A$203,0)),ISNUMBER(INDEX(Frozen_Predictions!$L$4:$L$203,MATCH(A115,Frozen_Predictions!$A$4:$A$203,0))),ABS(I115-INDEX(Frozen_Predictions!$L$4:$L$203,MATCH(A115,Frozen_Predictions!$A$4:$A$203,0)))&lt;0.0000000001),1,0),0),0))</x:f>
        <x:v>0</x:v>
      </x:c>
    </x:row>
    <x:row r="116">
      <x:c r="R116" t="str">
        <x:f t="shared" si="6">IF(X116&lt;&gt;1,"",POWER(I116-J116,2))</x:f>
      </x:c>
      <x:c r="S116" t="str">
        <x:f t="shared" si="7">IF(X116&lt;&gt;1,"",-J116*LN(MAX(MIN(I116,0.999999),0.000001))-(1-J116)*LN(MAX(MIN(1-I116,0.999999),0.000001)))</x:f>
      </x:c>
      <x:c r="X116" s="227" t="n">
        <x:f>IF(OR(A116="",NOT(ISNUMBER(I116)),NOT(ISNUMBER(J116))),0,IF(AND(I116&gt;=0,I116&lt;=1,OR(J116=0,J116=1),COUNTIFS($A$4:$A$203,A116)=1,COUNTIFS(Frozen_Predictions!$A$4:$A$203,A116)=1),IFERROR(IF(AND(INDEX(Frozen_Predictions!$Q$4:$Q$203,MATCH(A116,Frozen_Predictions!$A$4:$A$203,0))="YES",ISNUMBER(INDEX(Frozen_Predictions!$B$4:$B$203,MATCH(A116,Frozen_Predictions!$A$4:$A$203,0))),ISNUMBER(INDEX(Frozen_Predictions!$C$4:$C$203,MATCH(A116,Frozen_Predictions!$A$4:$A$203,0))),INDEX(Frozen_Predictions!$B$4:$B$203,MATCH(A116,Frozen_Predictions!$A$4:$A$203,0))&lt;=INDEX(Frozen_Predictions!$C$4:$C$203,MATCH(A116,Frozen_Predictions!$A$4:$A$203,0)),ISNUMBER(INDEX(Frozen_Predictions!$L$4:$L$203,MATCH(A116,Frozen_Predictions!$A$4:$A$203,0))),ABS(I116-INDEX(Frozen_Predictions!$L$4:$L$203,MATCH(A116,Frozen_Predictions!$A$4:$A$203,0)))&lt;0.0000000001),1,0),0),0))</x:f>
        <x:v>0</x:v>
      </x:c>
    </x:row>
    <x:row r="117">
      <x:c r="R117" t="str">
        <x:f t="shared" si="6">IF(X117&lt;&gt;1,"",POWER(I117-J117,2))</x:f>
      </x:c>
      <x:c r="S117" t="str">
        <x:f t="shared" si="7">IF(X117&lt;&gt;1,"",-J117*LN(MAX(MIN(I117,0.999999),0.000001))-(1-J117)*LN(MAX(MIN(1-I117,0.999999),0.000001)))</x:f>
      </x:c>
      <x:c r="X117" s="227" t="n">
        <x:f>IF(OR(A117="",NOT(ISNUMBER(I117)),NOT(ISNUMBER(J117))),0,IF(AND(I117&gt;=0,I117&lt;=1,OR(J117=0,J117=1),COUNTIFS($A$4:$A$203,A117)=1,COUNTIFS(Frozen_Predictions!$A$4:$A$203,A117)=1),IFERROR(IF(AND(INDEX(Frozen_Predictions!$Q$4:$Q$203,MATCH(A117,Frozen_Predictions!$A$4:$A$203,0))="YES",ISNUMBER(INDEX(Frozen_Predictions!$B$4:$B$203,MATCH(A117,Frozen_Predictions!$A$4:$A$203,0))),ISNUMBER(INDEX(Frozen_Predictions!$C$4:$C$203,MATCH(A117,Frozen_Predictions!$A$4:$A$203,0))),INDEX(Frozen_Predictions!$B$4:$B$203,MATCH(A117,Frozen_Predictions!$A$4:$A$203,0))&lt;=INDEX(Frozen_Predictions!$C$4:$C$203,MATCH(A117,Frozen_Predictions!$A$4:$A$203,0)),ISNUMBER(INDEX(Frozen_Predictions!$L$4:$L$203,MATCH(A117,Frozen_Predictions!$A$4:$A$203,0))),ABS(I117-INDEX(Frozen_Predictions!$L$4:$L$203,MATCH(A117,Frozen_Predictions!$A$4:$A$203,0)))&lt;0.0000000001),1,0),0),0))</x:f>
        <x:v>0</x:v>
      </x:c>
    </x:row>
    <x:row r="118">
      <x:c r="R118" t="str">
        <x:f t="shared" si="6">IF(X118&lt;&gt;1,"",POWER(I118-J118,2))</x:f>
      </x:c>
      <x:c r="S118" t="str">
        <x:f t="shared" si="7">IF(X118&lt;&gt;1,"",-J118*LN(MAX(MIN(I118,0.999999),0.000001))-(1-J118)*LN(MAX(MIN(1-I118,0.999999),0.000001)))</x:f>
      </x:c>
      <x:c r="X118" s="227" t="n">
        <x:f>IF(OR(A118="",NOT(ISNUMBER(I118)),NOT(ISNUMBER(J118))),0,IF(AND(I118&gt;=0,I118&lt;=1,OR(J118=0,J118=1),COUNTIFS($A$4:$A$203,A118)=1,COUNTIFS(Frozen_Predictions!$A$4:$A$203,A118)=1),IFERROR(IF(AND(INDEX(Frozen_Predictions!$Q$4:$Q$203,MATCH(A118,Frozen_Predictions!$A$4:$A$203,0))="YES",ISNUMBER(INDEX(Frozen_Predictions!$B$4:$B$203,MATCH(A118,Frozen_Predictions!$A$4:$A$203,0))),ISNUMBER(INDEX(Frozen_Predictions!$C$4:$C$203,MATCH(A118,Frozen_Predictions!$A$4:$A$203,0))),INDEX(Frozen_Predictions!$B$4:$B$203,MATCH(A118,Frozen_Predictions!$A$4:$A$203,0))&lt;=INDEX(Frozen_Predictions!$C$4:$C$203,MATCH(A118,Frozen_Predictions!$A$4:$A$203,0)),ISNUMBER(INDEX(Frozen_Predictions!$L$4:$L$203,MATCH(A118,Frozen_Predictions!$A$4:$A$203,0))),ABS(I118-INDEX(Frozen_Predictions!$L$4:$L$203,MATCH(A118,Frozen_Predictions!$A$4:$A$203,0)))&lt;0.0000000001),1,0),0),0))</x:f>
        <x:v>0</x:v>
      </x:c>
    </x:row>
    <x:row r="119">
      <x:c r="R119" t="str">
        <x:f t="shared" si="6">IF(X119&lt;&gt;1,"",POWER(I119-J119,2))</x:f>
      </x:c>
      <x:c r="S119" t="str">
        <x:f t="shared" si="7">IF(X119&lt;&gt;1,"",-J119*LN(MAX(MIN(I119,0.999999),0.000001))-(1-J119)*LN(MAX(MIN(1-I119,0.999999),0.000001)))</x:f>
      </x:c>
      <x:c r="X119" s="227" t="n">
        <x:f>IF(OR(A119="",NOT(ISNUMBER(I119)),NOT(ISNUMBER(J119))),0,IF(AND(I119&gt;=0,I119&lt;=1,OR(J119=0,J119=1),COUNTIFS($A$4:$A$203,A119)=1,COUNTIFS(Frozen_Predictions!$A$4:$A$203,A119)=1),IFERROR(IF(AND(INDEX(Frozen_Predictions!$Q$4:$Q$203,MATCH(A119,Frozen_Predictions!$A$4:$A$203,0))="YES",ISNUMBER(INDEX(Frozen_Predictions!$B$4:$B$203,MATCH(A119,Frozen_Predictions!$A$4:$A$203,0))),ISNUMBER(INDEX(Frozen_Predictions!$C$4:$C$203,MATCH(A119,Frozen_Predictions!$A$4:$A$203,0))),INDEX(Frozen_Predictions!$B$4:$B$203,MATCH(A119,Frozen_Predictions!$A$4:$A$203,0))&lt;=INDEX(Frozen_Predictions!$C$4:$C$203,MATCH(A119,Frozen_Predictions!$A$4:$A$203,0)),ISNUMBER(INDEX(Frozen_Predictions!$L$4:$L$203,MATCH(A119,Frozen_Predictions!$A$4:$A$203,0))),ABS(I119-INDEX(Frozen_Predictions!$L$4:$L$203,MATCH(A119,Frozen_Predictions!$A$4:$A$203,0)))&lt;0.0000000001),1,0),0),0))</x:f>
        <x:v>0</x:v>
      </x:c>
    </x:row>
    <x:row r="120">
      <x:c r="R120" t="str">
        <x:f t="shared" si="6">IF(X120&lt;&gt;1,"",POWER(I120-J120,2))</x:f>
      </x:c>
      <x:c r="S120" t="str">
        <x:f t="shared" si="7">IF(X120&lt;&gt;1,"",-J120*LN(MAX(MIN(I120,0.999999),0.000001))-(1-J120)*LN(MAX(MIN(1-I120,0.999999),0.000001)))</x:f>
      </x:c>
      <x:c r="X120" s="227" t="n">
        <x:f>IF(OR(A120="",NOT(ISNUMBER(I120)),NOT(ISNUMBER(J120))),0,IF(AND(I120&gt;=0,I120&lt;=1,OR(J120=0,J120=1),COUNTIFS($A$4:$A$203,A120)=1,COUNTIFS(Frozen_Predictions!$A$4:$A$203,A120)=1),IFERROR(IF(AND(INDEX(Frozen_Predictions!$Q$4:$Q$203,MATCH(A120,Frozen_Predictions!$A$4:$A$203,0))="YES",ISNUMBER(INDEX(Frozen_Predictions!$B$4:$B$203,MATCH(A120,Frozen_Predictions!$A$4:$A$203,0))),ISNUMBER(INDEX(Frozen_Predictions!$C$4:$C$203,MATCH(A120,Frozen_Predictions!$A$4:$A$203,0))),INDEX(Frozen_Predictions!$B$4:$B$203,MATCH(A120,Frozen_Predictions!$A$4:$A$203,0))&lt;=INDEX(Frozen_Predictions!$C$4:$C$203,MATCH(A120,Frozen_Predictions!$A$4:$A$203,0)),ISNUMBER(INDEX(Frozen_Predictions!$L$4:$L$203,MATCH(A120,Frozen_Predictions!$A$4:$A$203,0))),ABS(I120-INDEX(Frozen_Predictions!$L$4:$L$203,MATCH(A120,Frozen_Predictions!$A$4:$A$203,0)))&lt;0.0000000001),1,0),0),0))</x:f>
        <x:v>0</x:v>
      </x:c>
    </x:row>
    <x:row r="121">
      <x:c r="R121" t="str">
        <x:f t="shared" si="6">IF(X121&lt;&gt;1,"",POWER(I121-J121,2))</x:f>
      </x:c>
      <x:c r="S121" t="str">
        <x:f t="shared" si="7">IF(X121&lt;&gt;1,"",-J121*LN(MAX(MIN(I121,0.999999),0.000001))-(1-J121)*LN(MAX(MIN(1-I121,0.999999),0.000001)))</x:f>
      </x:c>
      <x:c r="X121" s="227" t="n">
        <x:f>IF(OR(A121="",NOT(ISNUMBER(I121)),NOT(ISNUMBER(J121))),0,IF(AND(I121&gt;=0,I121&lt;=1,OR(J121=0,J121=1),COUNTIFS($A$4:$A$203,A121)=1,COUNTIFS(Frozen_Predictions!$A$4:$A$203,A121)=1),IFERROR(IF(AND(INDEX(Frozen_Predictions!$Q$4:$Q$203,MATCH(A121,Frozen_Predictions!$A$4:$A$203,0))="YES",ISNUMBER(INDEX(Frozen_Predictions!$B$4:$B$203,MATCH(A121,Frozen_Predictions!$A$4:$A$203,0))),ISNUMBER(INDEX(Frozen_Predictions!$C$4:$C$203,MATCH(A121,Frozen_Predictions!$A$4:$A$203,0))),INDEX(Frozen_Predictions!$B$4:$B$203,MATCH(A121,Frozen_Predictions!$A$4:$A$203,0))&lt;=INDEX(Frozen_Predictions!$C$4:$C$203,MATCH(A121,Frozen_Predictions!$A$4:$A$203,0)),ISNUMBER(INDEX(Frozen_Predictions!$L$4:$L$203,MATCH(A121,Frozen_Predictions!$A$4:$A$203,0))),ABS(I121-INDEX(Frozen_Predictions!$L$4:$L$203,MATCH(A121,Frozen_Predictions!$A$4:$A$203,0)))&lt;0.0000000001),1,0),0),0))</x:f>
        <x:v>0</x:v>
      </x:c>
    </x:row>
    <x:row r="122">
      <x:c r="R122" t="str">
        <x:f t="shared" si="6">IF(X122&lt;&gt;1,"",POWER(I122-J122,2))</x:f>
      </x:c>
      <x:c r="S122" t="str">
        <x:f t="shared" si="7">IF(X122&lt;&gt;1,"",-J122*LN(MAX(MIN(I122,0.999999),0.000001))-(1-J122)*LN(MAX(MIN(1-I122,0.999999),0.000001)))</x:f>
      </x:c>
      <x:c r="X122" s="227" t="n">
        <x:f>IF(OR(A122="",NOT(ISNUMBER(I122)),NOT(ISNUMBER(J122))),0,IF(AND(I122&gt;=0,I122&lt;=1,OR(J122=0,J122=1),COUNTIFS($A$4:$A$203,A122)=1,COUNTIFS(Frozen_Predictions!$A$4:$A$203,A122)=1),IFERROR(IF(AND(INDEX(Frozen_Predictions!$Q$4:$Q$203,MATCH(A122,Frozen_Predictions!$A$4:$A$203,0))="YES",ISNUMBER(INDEX(Frozen_Predictions!$B$4:$B$203,MATCH(A122,Frozen_Predictions!$A$4:$A$203,0))),ISNUMBER(INDEX(Frozen_Predictions!$C$4:$C$203,MATCH(A122,Frozen_Predictions!$A$4:$A$203,0))),INDEX(Frozen_Predictions!$B$4:$B$203,MATCH(A122,Frozen_Predictions!$A$4:$A$203,0))&lt;=INDEX(Frozen_Predictions!$C$4:$C$203,MATCH(A122,Frozen_Predictions!$A$4:$A$203,0)),ISNUMBER(INDEX(Frozen_Predictions!$L$4:$L$203,MATCH(A122,Frozen_Predictions!$A$4:$A$203,0))),ABS(I122-INDEX(Frozen_Predictions!$L$4:$L$203,MATCH(A122,Frozen_Predictions!$A$4:$A$203,0)))&lt;0.0000000001),1,0),0),0))</x:f>
        <x:v>0</x:v>
      </x:c>
    </x:row>
    <x:row r="123">
      <x:c r="R123" t="str">
        <x:f t="shared" si="6">IF(X123&lt;&gt;1,"",POWER(I123-J123,2))</x:f>
      </x:c>
      <x:c r="S123" t="str">
        <x:f t="shared" si="7">IF(X123&lt;&gt;1,"",-J123*LN(MAX(MIN(I123,0.999999),0.000001))-(1-J123)*LN(MAX(MIN(1-I123,0.999999),0.000001)))</x:f>
      </x:c>
      <x:c r="X123" s="227" t="n">
        <x:f>IF(OR(A123="",NOT(ISNUMBER(I123)),NOT(ISNUMBER(J123))),0,IF(AND(I123&gt;=0,I123&lt;=1,OR(J123=0,J123=1),COUNTIFS($A$4:$A$203,A123)=1,COUNTIFS(Frozen_Predictions!$A$4:$A$203,A123)=1),IFERROR(IF(AND(INDEX(Frozen_Predictions!$Q$4:$Q$203,MATCH(A123,Frozen_Predictions!$A$4:$A$203,0))="YES",ISNUMBER(INDEX(Frozen_Predictions!$B$4:$B$203,MATCH(A123,Frozen_Predictions!$A$4:$A$203,0))),ISNUMBER(INDEX(Frozen_Predictions!$C$4:$C$203,MATCH(A123,Frozen_Predictions!$A$4:$A$203,0))),INDEX(Frozen_Predictions!$B$4:$B$203,MATCH(A123,Frozen_Predictions!$A$4:$A$203,0))&lt;=INDEX(Frozen_Predictions!$C$4:$C$203,MATCH(A123,Frozen_Predictions!$A$4:$A$203,0)),ISNUMBER(INDEX(Frozen_Predictions!$L$4:$L$203,MATCH(A123,Frozen_Predictions!$A$4:$A$203,0))),ABS(I123-INDEX(Frozen_Predictions!$L$4:$L$203,MATCH(A123,Frozen_Predictions!$A$4:$A$203,0)))&lt;0.0000000001),1,0),0),0))</x:f>
        <x:v>0</x:v>
      </x:c>
    </x:row>
    <x:row r="124">
      <x:c r="R124" t="str">
        <x:f t="shared" si="6">IF(X124&lt;&gt;1,"",POWER(I124-J124,2))</x:f>
      </x:c>
      <x:c r="S124" t="str">
        <x:f t="shared" si="7">IF(X124&lt;&gt;1,"",-J124*LN(MAX(MIN(I124,0.999999),0.000001))-(1-J124)*LN(MAX(MIN(1-I124,0.999999),0.000001)))</x:f>
      </x:c>
      <x:c r="X124" s="227" t="n">
        <x:f>IF(OR(A124="",NOT(ISNUMBER(I124)),NOT(ISNUMBER(J124))),0,IF(AND(I124&gt;=0,I124&lt;=1,OR(J124=0,J124=1),COUNTIFS($A$4:$A$203,A124)=1,COUNTIFS(Frozen_Predictions!$A$4:$A$203,A124)=1),IFERROR(IF(AND(INDEX(Frozen_Predictions!$Q$4:$Q$203,MATCH(A124,Frozen_Predictions!$A$4:$A$203,0))="YES",ISNUMBER(INDEX(Frozen_Predictions!$B$4:$B$203,MATCH(A124,Frozen_Predictions!$A$4:$A$203,0))),ISNUMBER(INDEX(Frozen_Predictions!$C$4:$C$203,MATCH(A124,Frozen_Predictions!$A$4:$A$203,0))),INDEX(Frozen_Predictions!$B$4:$B$203,MATCH(A124,Frozen_Predictions!$A$4:$A$203,0))&lt;=INDEX(Frozen_Predictions!$C$4:$C$203,MATCH(A124,Frozen_Predictions!$A$4:$A$203,0)),ISNUMBER(INDEX(Frozen_Predictions!$L$4:$L$203,MATCH(A124,Frozen_Predictions!$A$4:$A$203,0))),ABS(I124-INDEX(Frozen_Predictions!$L$4:$L$203,MATCH(A124,Frozen_Predictions!$A$4:$A$203,0)))&lt;0.0000000001),1,0),0),0))</x:f>
        <x:v>0</x:v>
      </x:c>
    </x:row>
    <x:row r="125">
      <x:c r="R125" t="str">
        <x:f t="shared" si="6">IF(X125&lt;&gt;1,"",POWER(I125-J125,2))</x:f>
      </x:c>
      <x:c r="S125" t="str">
        <x:f t="shared" si="7">IF(X125&lt;&gt;1,"",-J125*LN(MAX(MIN(I125,0.999999),0.000001))-(1-J125)*LN(MAX(MIN(1-I125,0.999999),0.000001)))</x:f>
      </x:c>
      <x:c r="X125" s="227" t="n">
        <x:f>IF(OR(A125="",NOT(ISNUMBER(I125)),NOT(ISNUMBER(J125))),0,IF(AND(I125&gt;=0,I125&lt;=1,OR(J125=0,J125=1),COUNTIFS($A$4:$A$203,A125)=1,COUNTIFS(Frozen_Predictions!$A$4:$A$203,A125)=1),IFERROR(IF(AND(INDEX(Frozen_Predictions!$Q$4:$Q$203,MATCH(A125,Frozen_Predictions!$A$4:$A$203,0))="YES",ISNUMBER(INDEX(Frozen_Predictions!$B$4:$B$203,MATCH(A125,Frozen_Predictions!$A$4:$A$203,0))),ISNUMBER(INDEX(Frozen_Predictions!$C$4:$C$203,MATCH(A125,Frozen_Predictions!$A$4:$A$203,0))),INDEX(Frozen_Predictions!$B$4:$B$203,MATCH(A125,Frozen_Predictions!$A$4:$A$203,0))&lt;=INDEX(Frozen_Predictions!$C$4:$C$203,MATCH(A125,Frozen_Predictions!$A$4:$A$203,0)),ISNUMBER(INDEX(Frozen_Predictions!$L$4:$L$203,MATCH(A125,Frozen_Predictions!$A$4:$A$203,0))),ABS(I125-INDEX(Frozen_Predictions!$L$4:$L$203,MATCH(A125,Frozen_Predictions!$A$4:$A$203,0)))&lt;0.0000000001),1,0),0),0))</x:f>
        <x:v>0</x:v>
      </x:c>
    </x:row>
    <x:row r="126">
      <x:c r="R126" t="str">
        <x:f t="shared" si="6">IF(X126&lt;&gt;1,"",POWER(I126-J126,2))</x:f>
      </x:c>
      <x:c r="S126" t="str">
        <x:f t="shared" si="7">IF(X126&lt;&gt;1,"",-J126*LN(MAX(MIN(I126,0.999999),0.000001))-(1-J126)*LN(MAX(MIN(1-I126,0.999999),0.000001)))</x:f>
      </x:c>
      <x:c r="X126" s="227" t="n">
        <x:f>IF(OR(A126="",NOT(ISNUMBER(I126)),NOT(ISNUMBER(J126))),0,IF(AND(I126&gt;=0,I126&lt;=1,OR(J126=0,J126=1),COUNTIFS($A$4:$A$203,A126)=1,COUNTIFS(Frozen_Predictions!$A$4:$A$203,A126)=1),IFERROR(IF(AND(INDEX(Frozen_Predictions!$Q$4:$Q$203,MATCH(A126,Frozen_Predictions!$A$4:$A$203,0))="YES",ISNUMBER(INDEX(Frozen_Predictions!$B$4:$B$203,MATCH(A126,Frozen_Predictions!$A$4:$A$203,0))),ISNUMBER(INDEX(Frozen_Predictions!$C$4:$C$203,MATCH(A126,Frozen_Predictions!$A$4:$A$203,0))),INDEX(Frozen_Predictions!$B$4:$B$203,MATCH(A126,Frozen_Predictions!$A$4:$A$203,0))&lt;=INDEX(Frozen_Predictions!$C$4:$C$203,MATCH(A126,Frozen_Predictions!$A$4:$A$203,0)),ISNUMBER(INDEX(Frozen_Predictions!$L$4:$L$203,MATCH(A126,Frozen_Predictions!$A$4:$A$203,0))),ABS(I126-INDEX(Frozen_Predictions!$L$4:$L$203,MATCH(A126,Frozen_Predictions!$A$4:$A$203,0)))&lt;0.0000000001),1,0),0),0))</x:f>
        <x:v>0</x:v>
      </x:c>
    </x:row>
    <x:row r="127">
      <x:c r="R127" t="str">
        <x:f t="shared" si="6">IF(X127&lt;&gt;1,"",POWER(I127-J127,2))</x:f>
      </x:c>
      <x:c r="S127" t="str">
        <x:f t="shared" si="7">IF(X127&lt;&gt;1,"",-J127*LN(MAX(MIN(I127,0.999999),0.000001))-(1-J127)*LN(MAX(MIN(1-I127,0.999999),0.000001)))</x:f>
      </x:c>
      <x:c r="X127" s="227" t="n">
        <x:f>IF(OR(A127="",NOT(ISNUMBER(I127)),NOT(ISNUMBER(J127))),0,IF(AND(I127&gt;=0,I127&lt;=1,OR(J127=0,J127=1),COUNTIFS($A$4:$A$203,A127)=1,COUNTIFS(Frozen_Predictions!$A$4:$A$203,A127)=1),IFERROR(IF(AND(INDEX(Frozen_Predictions!$Q$4:$Q$203,MATCH(A127,Frozen_Predictions!$A$4:$A$203,0))="YES",ISNUMBER(INDEX(Frozen_Predictions!$B$4:$B$203,MATCH(A127,Frozen_Predictions!$A$4:$A$203,0))),ISNUMBER(INDEX(Frozen_Predictions!$C$4:$C$203,MATCH(A127,Frozen_Predictions!$A$4:$A$203,0))),INDEX(Frozen_Predictions!$B$4:$B$203,MATCH(A127,Frozen_Predictions!$A$4:$A$203,0))&lt;=INDEX(Frozen_Predictions!$C$4:$C$203,MATCH(A127,Frozen_Predictions!$A$4:$A$203,0)),ISNUMBER(INDEX(Frozen_Predictions!$L$4:$L$203,MATCH(A127,Frozen_Predictions!$A$4:$A$203,0))),ABS(I127-INDEX(Frozen_Predictions!$L$4:$L$203,MATCH(A127,Frozen_Predictions!$A$4:$A$203,0)))&lt;0.0000000001),1,0),0),0))</x:f>
        <x:v>0</x:v>
      </x:c>
    </x:row>
    <x:row r="128">
      <x:c r="R128" t="str">
        <x:f t="shared" si="6">IF(X128&lt;&gt;1,"",POWER(I128-J128,2))</x:f>
      </x:c>
      <x:c r="S128" t="str">
        <x:f t="shared" si="7">IF(X128&lt;&gt;1,"",-J128*LN(MAX(MIN(I128,0.999999),0.000001))-(1-J128)*LN(MAX(MIN(1-I128,0.999999),0.000001)))</x:f>
      </x:c>
      <x:c r="X128" s="227" t="n">
        <x:f>IF(OR(A128="",NOT(ISNUMBER(I128)),NOT(ISNUMBER(J128))),0,IF(AND(I128&gt;=0,I128&lt;=1,OR(J128=0,J128=1),COUNTIFS($A$4:$A$203,A128)=1,COUNTIFS(Frozen_Predictions!$A$4:$A$203,A128)=1),IFERROR(IF(AND(INDEX(Frozen_Predictions!$Q$4:$Q$203,MATCH(A128,Frozen_Predictions!$A$4:$A$203,0))="YES",ISNUMBER(INDEX(Frozen_Predictions!$B$4:$B$203,MATCH(A128,Frozen_Predictions!$A$4:$A$203,0))),ISNUMBER(INDEX(Frozen_Predictions!$C$4:$C$203,MATCH(A128,Frozen_Predictions!$A$4:$A$203,0))),INDEX(Frozen_Predictions!$B$4:$B$203,MATCH(A128,Frozen_Predictions!$A$4:$A$203,0))&lt;=INDEX(Frozen_Predictions!$C$4:$C$203,MATCH(A128,Frozen_Predictions!$A$4:$A$203,0)),ISNUMBER(INDEX(Frozen_Predictions!$L$4:$L$203,MATCH(A128,Frozen_Predictions!$A$4:$A$203,0))),ABS(I128-INDEX(Frozen_Predictions!$L$4:$L$203,MATCH(A128,Frozen_Predictions!$A$4:$A$203,0)))&lt;0.0000000001),1,0),0),0))</x:f>
        <x:v>0</x:v>
      </x:c>
    </x:row>
    <x:row r="129">
      <x:c r="R129" t="str">
        <x:f t="shared" si="6">IF(X129&lt;&gt;1,"",POWER(I129-J129,2))</x:f>
      </x:c>
      <x:c r="S129" t="str">
        <x:f t="shared" si="7">IF(X129&lt;&gt;1,"",-J129*LN(MAX(MIN(I129,0.999999),0.000001))-(1-J129)*LN(MAX(MIN(1-I129,0.999999),0.000001)))</x:f>
      </x:c>
      <x:c r="X129" s="227" t="n">
        <x:f>IF(OR(A129="",NOT(ISNUMBER(I129)),NOT(ISNUMBER(J129))),0,IF(AND(I129&gt;=0,I129&lt;=1,OR(J129=0,J129=1),COUNTIFS($A$4:$A$203,A129)=1,COUNTIFS(Frozen_Predictions!$A$4:$A$203,A129)=1),IFERROR(IF(AND(INDEX(Frozen_Predictions!$Q$4:$Q$203,MATCH(A129,Frozen_Predictions!$A$4:$A$203,0))="YES",ISNUMBER(INDEX(Frozen_Predictions!$B$4:$B$203,MATCH(A129,Frozen_Predictions!$A$4:$A$203,0))),ISNUMBER(INDEX(Frozen_Predictions!$C$4:$C$203,MATCH(A129,Frozen_Predictions!$A$4:$A$203,0))),INDEX(Frozen_Predictions!$B$4:$B$203,MATCH(A129,Frozen_Predictions!$A$4:$A$203,0))&lt;=INDEX(Frozen_Predictions!$C$4:$C$203,MATCH(A129,Frozen_Predictions!$A$4:$A$203,0)),ISNUMBER(INDEX(Frozen_Predictions!$L$4:$L$203,MATCH(A129,Frozen_Predictions!$A$4:$A$203,0))),ABS(I129-INDEX(Frozen_Predictions!$L$4:$L$203,MATCH(A129,Frozen_Predictions!$A$4:$A$203,0)))&lt;0.0000000001),1,0),0),0))</x:f>
        <x:v>0</x:v>
      </x:c>
    </x:row>
    <x:row r="130">
      <x:c r="R130" t="str">
        <x:f t="shared" si="6">IF(X130&lt;&gt;1,"",POWER(I130-J130,2))</x:f>
      </x:c>
      <x:c r="S130" t="str">
        <x:f t="shared" si="7">IF(X130&lt;&gt;1,"",-J130*LN(MAX(MIN(I130,0.999999),0.000001))-(1-J130)*LN(MAX(MIN(1-I130,0.999999),0.000001)))</x:f>
      </x:c>
      <x:c r="X130" s="227" t="n">
        <x:f>IF(OR(A130="",NOT(ISNUMBER(I130)),NOT(ISNUMBER(J130))),0,IF(AND(I130&gt;=0,I130&lt;=1,OR(J130=0,J130=1),COUNTIFS($A$4:$A$203,A130)=1,COUNTIFS(Frozen_Predictions!$A$4:$A$203,A130)=1),IFERROR(IF(AND(INDEX(Frozen_Predictions!$Q$4:$Q$203,MATCH(A130,Frozen_Predictions!$A$4:$A$203,0))="YES",ISNUMBER(INDEX(Frozen_Predictions!$B$4:$B$203,MATCH(A130,Frozen_Predictions!$A$4:$A$203,0))),ISNUMBER(INDEX(Frozen_Predictions!$C$4:$C$203,MATCH(A130,Frozen_Predictions!$A$4:$A$203,0))),INDEX(Frozen_Predictions!$B$4:$B$203,MATCH(A130,Frozen_Predictions!$A$4:$A$203,0))&lt;=INDEX(Frozen_Predictions!$C$4:$C$203,MATCH(A130,Frozen_Predictions!$A$4:$A$203,0)),ISNUMBER(INDEX(Frozen_Predictions!$L$4:$L$203,MATCH(A130,Frozen_Predictions!$A$4:$A$203,0))),ABS(I130-INDEX(Frozen_Predictions!$L$4:$L$203,MATCH(A130,Frozen_Predictions!$A$4:$A$203,0)))&lt;0.0000000001),1,0),0),0))</x:f>
        <x:v>0</x:v>
      </x:c>
    </x:row>
    <x:row r="131">
      <x:c r="R131" t="str">
        <x:f t="shared" si="6">IF(X131&lt;&gt;1,"",POWER(I131-J131,2))</x:f>
      </x:c>
      <x:c r="S131" t="str">
        <x:f t="shared" si="7">IF(X131&lt;&gt;1,"",-J131*LN(MAX(MIN(I131,0.999999),0.000001))-(1-J131)*LN(MAX(MIN(1-I131,0.999999),0.000001)))</x:f>
      </x:c>
      <x:c r="X131" s="227" t="n">
        <x:f>IF(OR(A131="",NOT(ISNUMBER(I131)),NOT(ISNUMBER(J131))),0,IF(AND(I131&gt;=0,I131&lt;=1,OR(J131=0,J131=1),COUNTIFS($A$4:$A$203,A131)=1,COUNTIFS(Frozen_Predictions!$A$4:$A$203,A131)=1),IFERROR(IF(AND(INDEX(Frozen_Predictions!$Q$4:$Q$203,MATCH(A131,Frozen_Predictions!$A$4:$A$203,0))="YES",ISNUMBER(INDEX(Frozen_Predictions!$B$4:$B$203,MATCH(A131,Frozen_Predictions!$A$4:$A$203,0))),ISNUMBER(INDEX(Frozen_Predictions!$C$4:$C$203,MATCH(A131,Frozen_Predictions!$A$4:$A$203,0))),INDEX(Frozen_Predictions!$B$4:$B$203,MATCH(A131,Frozen_Predictions!$A$4:$A$203,0))&lt;=INDEX(Frozen_Predictions!$C$4:$C$203,MATCH(A131,Frozen_Predictions!$A$4:$A$203,0)),ISNUMBER(INDEX(Frozen_Predictions!$L$4:$L$203,MATCH(A131,Frozen_Predictions!$A$4:$A$203,0))),ABS(I131-INDEX(Frozen_Predictions!$L$4:$L$203,MATCH(A131,Frozen_Predictions!$A$4:$A$203,0)))&lt;0.0000000001),1,0),0),0))</x:f>
        <x:v>0</x:v>
      </x:c>
    </x:row>
    <x:row r="132">
      <x:c r="R132" t="str">
        <x:f t="shared" ref="R132:R163" si="8">IF(X132&lt;&gt;1,"",POWER(I132-J132,2))</x:f>
      </x:c>
      <x:c r="S132" t="str">
        <x:f t="shared" ref="S132:S163" si="9">IF(X132&lt;&gt;1,"",-J132*LN(MAX(MIN(I132,0.999999),0.000001))-(1-J132)*LN(MAX(MIN(1-I132,0.999999),0.000001)))</x:f>
      </x:c>
      <x:c r="X132" s="227" t="n">
        <x:f>IF(OR(A132="",NOT(ISNUMBER(I132)),NOT(ISNUMBER(J132))),0,IF(AND(I132&gt;=0,I132&lt;=1,OR(J132=0,J132=1),COUNTIFS($A$4:$A$203,A132)=1,COUNTIFS(Frozen_Predictions!$A$4:$A$203,A132)=1),IFERROR(IF(AND(INDEX(Frozen_Predictions!$Q$4:$Q$203,MATCH(A132,Frozen_Predictions!$A$4:$A$203,0))="YES",ISNUMBER(INDEX(Frozen_Predictions!$B$4:$B$203,MATCH(A132,Frozen_Predictions!$A$4:$A$203,0))),ISNUMBER(INDEX(Frozen_Predictions!$C$4:$C$203,MATCH(A132,Frozen_Predictions!$A$4:$A$203,0))),INDEX(Frozen_Predictions!$B$4:$B$203,MATCH(A132,Frozen_Predictions!$A$4:$A$203,0))&lt;=INDEX(Frozen_Predictions!$C$4:$C$203,MATCH(A132,Frozen_Predictions!$A$4:$A$203,0)),ISNUMBER(INDEX(Frozen_Predictions!$L$4:$L$203,MATCH(A132,Frozen_Predictions!$A$4:$A$203,0))),ABS(I132-INDEX(Frozen_Predictions!$L$4:$L$203,MATCH(A132,Frozen_Predictions!$A$4:$A$203,0)))&lt;0.0000000001),1,0),0),0))</x:f>
        <x:v>0</x:v>
      </x:c>
    </x:row>
    <x:row r="133">
      <x:c r="R133" t="str">
        <x:f t="shared" si="8">IF(X133&lt;&gt;1,"",POWER(I133-J133,2))</x:f>
      </x:c>
      <x:c r="S133" t="str">
        <x:f t="shared" si="9">IF(X133&lt;&gt;1,"",-J133*LN(MAX(MIN(I133,0.999999),0.000001))-(1-J133)*LN(MAX(MIN(1-I133,0.999999),0.000001)))</x:f>
      </x:c>
      <x:c r="X133" s="227" t="n">
        <x:f>IF(OR(A133="",NOT(ISNUMBER(I133)),NOT(ISNUMBER(J133))),0,IF(AND(I133&gt;=0,I133&lt;=1,OR(J133=0,J133=1),COUNTIFS($A$4:$A$203,A133)=1,COUNTIFS(Frozen_Predictions!$A$4:$A$203,A133)=1),IFERROR(IF(AND(INDEX(Frozen_Predictions!$Q$4:$Q$203,MATCH(A133,Frozen_Predictions!$A$4:$A$203,0))="YES",ISNUMBER(INDEX(Frozen_Predictions!$B$4:$B$203,MATCH(A133,Frozen_Predictions!$A$4:$A$203,0))),ISNUMBER(INDEX(Frozen_Predictions!$C$4:$C$203,MATCH(A133,Frozen_Predictions!$A$4:$A$203,0))),INDEX(Frozen_Predictions!$B$4:$B$203,MATCH(A133,Frozen_Predictions!$A$4:$A$203,0))&lt;=INDEX(Frozen_Predictions!$C$4:$C$203,MATCH(A133,Frozen_Predictions!$A$4:$A$203,0)),ISNUMBER(INDEX(Frozen_Predictions!$L$4:$L$203,MATCH(A133,Frozen_Predictions!$A$4:$A$203,0))),ABS(I133-INDEX(Frozen_Predictions!$L$4:$L$203,MATCH(A133,Frozen_Predictions!$A$4:$A$203,0)))&lt;0.0000000001),1,0),0),0))</x:f>
        <x:v>0</x:v>
      </x:c>
    </x:row>
    <x:row r="134">
      <x:c r="R134" t="str">
        <x:f t="shared" si="8">IF(X134&lt;&gt;1,"",POWER(I134-J134,2))</x:f>
      </x:c>
      <x:c r="S134" t="str">
        <x:f t="shared" si="9">IF(X134&lt;&gt;1,"",-J134*LN(MAX(MIN(I134,0.999999),0.000001))-(1-J134)*LN(MAX(MIN(1-I134,0.999999),0.000001)))</x:f>
      </x:c>
      <x:c r="X134" s="227" t="n">
        <x:f>IF(OR(A134="",NOT(ISNUMBER(I134)),NOT(ISNUMBER(J134))),0,IF(AND(I134&gt;=0,I134&lt;=1,OR(J134=0,J134=1),COUNTIFS($A$4:$A$203,A134)=1,COUNTIFS(Frozen_Predictions!$A$4:$A$203,A134)=1),IFERROR(IF(AND(INDEX(Frozen_Predictions!$Q$4:$Q$203,MATCH(A134,Frozen_Predictions!$A$4:$A$203,0))="YES",ISNUMBER(INDEX(Frozen_Predictions!$B$4:$B$203,MATCH(A134,Frozen_Predictions!$A$4:$A$203,0))),ISNUMBER(INDEX(Frozen_Predictions!$C$4:$C$203,MATCH(A134,Frozen_Predictions!$A$4:$A$203,0))),INDEX(Frozen_Predictions!$B$4:$B$203,MATCH(A134,Frozen_Predictions!$A$4:$A$203,0))&lt;=INDEX(Frozen_Predictions!$C$4:$C$203,MATCH(A134,Frozen_Predictions!$A$4:$A$203,0)),ISNUMBER(INDEX(Frozen_Predictions!$L$4:$L$203,MATCH(A134,Frozen_Predictions!$A$4:$A$203,0))),ABS(I134-INDEX(Frozen_Predictions!$L$4:$L$203,MATCH(A134,Frozen_Predictions!$A$4:$A$203,0)))&lt;0.0000000001),1,0),0),0))</x:f>
        <x:v>0</x:v>
      </x:c>
    </x:row>
    <x:row r="135">
      <x:c r="R135" t="str">
        <x:f t="shared" si="8">IF(X135&lt;&gt;1,"",POWER(I135-J135,2))</x:f>
      </x:c>
      <x:c r="S135" t="str">
        <x:f t="shared" si="9">IF(X135&lt;&gt;1,"",-J135*LN(MAX(MIN(I135,0.999999),0.000001))-(1-J135)*LN(MAX(MIN(1-I135,0.999999),0.000001)))</x:f>
      </x:c>
      <x:c r="X135" s="227" t="n">
        <x:f>IF(OR(A135="",NOT(ISNUMBER(I135)),NOT(ISNUMBER(J135))),0,IF(AND(I135&gt;=0,I135&lt;=1,OR(J135=0,J135=1),COUNTIFS($A$4:$A$203,A135)=1,COUNTIFS(Frozen_Predictions!$A$4:$A$203,A135)=1),IFERROR(IF(AND(INDEX(Frozen_Predictions!$Q$4:$Q$203,MATCH(A135,Frozen_Predictions!$A$4:$A$203,0))="YES",ISNUMBER(INDEX(Frozen_Predictions!$B$4:$B$203,MATCH(A135,Frozen_Predictions!$A$4:$A$203,0))),ISNUMBER(INDEX(Frozen_Predictions!$C$4:$C$203,MATCH(A135,Frozen_Predictions!$A$4:$A$203,0))),INDEX(Frozen_Predictions!$B$4:$B$203,MATCH(A135,Frozen_Predictions!$A$4:$A$203,0))&lt;=INDEX(Frozen_Predictions!$C$4:$C$203,MATCH(A135,Frozen_Predictions!$A$4:$A$203,0)),ISNUMBER(INDEX(Frozen_Predictions!$L$4:$L$203,MATCH(A135,Frozen_Predictions!$A$4:$A$203,0))),ABS(I135-INDEX(Frozen_Predictions!$L$4:$L$203,MATCH(A135,Frozen_Predictions!$A$4:$A$203,0)))&lt;0.0000000001),1,0),0),0))</x:f>
        <x:v>0</x:v>
      </x:c>
    </x:row>
    <x:row r="136">
      <x:c r="R136" t="str">
        <x:f t="shared" si="8">IF(X136&lt;&gt;1,"",POWER(I136-J136,2))</x:f>
      </x:c>
      <x:c r="S136" t="str">
        <x:f t="shared" si="9">IF(X136&lt;&gt;1,"",-J136*LN(MAX(MIN(I136,0.999999),0.000001))-(1-J136)*LN(MAX(MIN(1-I136,0.999999),0.000001)))</x:f>
      </x:c>
      <x:c r="X136" s="227" t="n">
        <x:f>IF(OR(A136="",NOT(ISNUMBER(I136)),NOT(ISNUMBER(J136))),0,IF(AND(I136&gt;=0,I136&lt;=1,OR(J136=0,J136=1),COUNTIFS($A$4:$A$203,A136)=1,COUNTIFS(Frozen_Predictions!$A$4:$A$203,A136)=1),IFERROR(IF(AND(INDEX(Frozen_Predictions!$Q$4:$Q$203,MATCH(A136,Frozen_Predictions!$A$4:$A$203,0))="YES",ISNUMBER(INDEX(Frozen_Predictions!$B$4:$B$203,MATCH(A136,Frozen_Predictions!$A$4:$A$203,0))),ISNUMBER(INDEX(Frozen_Predictions!$C$4:$C$203,MATCH(A136,Frozen_Predictions!$A$4:$A$203,0))),INDEX(Frozen_Predictions!$B$4:$B$203,MATCH(A136,Frozen_Predictions!$A$4:$A$203,0))&lt;=INDEX(Frozen_Predictions!$C$4:$C$203,MATCH(A136,Frozen_Predictions!$A$4:$A$203,0)),ISNUMBER(INDEX(Frozen_Predictions!$L$4:$L$203,MATCH(A136,Frozen_Predictions!$A$4:$A$203,0))),ABS(I136-INDEX(Frozen_Predictions!$L$4:$L$203,MATCH(A136,Frozen_Predictions!$A$4:$A$203,0)))&lt;0.0000000001),1,0),0),0))</x:f>
        <x:v>0</x:v>
      </x:c>
    </x:row>
    <x:row r="137">
      <x:c r="R137" t="str">
        <x:f t="shared" si="8">IF(X137&lt;&gt;1,"",POWER(I137-J137,2))</x:f>
      </x:c>
      <x:c r="S137" t="str">
        <x:f t="shared" si="9">IF(X137&lt;&gt;1,"",-J137*LN(MAX(MIN(I137,0.999999),0.000001))-(1-J137)*LN(MAX(MIN(1-I137,0.999999),0.000001)))</x:f>
      </x:c>
      <x:c r="X137" s="227" t="n">
        <x:f>IF(OR(A137="",NOT(ISNUMBER(I137)),NOT(ISNUMBER(J137))),0,IF(AND(I137&gt;=0,I137&lt;=1,OR(J137=0,J137=1),COUNTIFS($A$4:$A$203,A137)=1,COUNTIFS(Frozen_Predictions!$A$4:$A$203,A137)=1),IFERROR(IF(AND(INDEX(Frozen_Predictions!$Q$4:$Q$203,MATCH(A137,Frozen_Predictions!$A$4:$A$203,0))="YES",ISNUMBER(INDEX(Frozen_Predictions!$B$4:$B$203,MATCH(A137,Frozen_Predictions!$A$4:$A$203,0))),ISNUMBER(INDEX(Frozen_Predictions!$C$4:$C$203,MATCH(A137,Frozen_Predictions!$A$4:$A$203,0))),INDEX(Frozen_Predictions!$B$4:$B$203,MATCH(A137,Frozen_Predictions!$A$4:$A$203,0))&lt;=INDEX(Frozen_Predictions!$C$4:$C$203,MATCH(A137,Frozen_Predictions!$A$4:$A$203,0)),ISNUMBER(INDEX(Frozen_Predictions!$L$4:$L$203,MATCH(A137,Frozen_Predictions!$A$4:$A$203,0))),ABS(I137-INDEX(Frozen_Predictions!$L$4:$L$203,MATCH(A137,Frozen_Predictions!$A$4:$A$203,0)))&lt;0.0000000001),1,0),0),0))</x:f>
        <x:v>0</x:v>
      </x:c>
    </x:row>
    <x:row r="138">
      <x:c r="R138" t="str">
        <x:f t="shared" si="8">IF(X138&lt;&gt;1,"",POWER(I138-J138,2))</x:f>
      </x:c>
      <x:c r="S138" t="str">
        <x:f t="shared" si="9">IF(X138&lt;&gt;1,"",-J138*LN(MAX(MIN(I138,0.999999),0.000001))-(1-J138)*LN(MAX(MIN(1-I138,0.999999),0.000001)))</x:f>
      </x:c>
      <x:c r="X138" s="227" t="n">
        <x:f>IF(OR(A138="",NOT(ISNUMBER(I138)),NOT(ISNUMBER(J138))),0,IF(AND(I138&gt;=0,I138&lt;=1,OR(J138=0,J138=1),COUNTIFS($A$4:$A$203,A138)=1,COUNTIFS(Frozen_Predictions!$A$4:$A$203,A138)=1),IFERROR(IF(AND(INDEX(Frozen_Predictions!$Q$4:$Q$203,MATCH(A138,Frozen_Predictions!$A$4:$A$203,0))="YES",ISNUMBER(INDEX(Frozen_Predictions!$B$4:$B$203,MATCH(A138,Frozen_Predictions!$A$4:$A$203,0))),ISNUMBER(INDEX(Frozen_Predictions!$C$4:$C$203,MATCH(A138,Frozen_Predictions!$A$4:$A$203,0))),INDEX(Frozen_Predictions!$B$4:$B$203,MATCH(A138,Frozen_Predictions!$A$4:$A$203,0))&lt;=INDEX(Frozen_Predictions!$C$4:$C$203,MATCH(A138,Frozen_Predictions!$A$4:$A$203,0)),ISNUMBER(INDEX(Frozen_Predictions!$L$4:$L$203,MATCH(A138,Frozen_Predictions!$A$4:$A$203,0))),ABS(I138-INDEX(Frozen_Predictions!$L$4:$L$203,MATCH(A138,Frozen_Predictions!$A$4:$A$203,0)))&lt;0.0000000001),1,0),0),0))</x:f>
        <x:v>0</x:v>
      </x:c>
    </x:row>
    <x:row r="139">
      <x:c r="R139" t="str">
        <x:f t="shared" si="8">IF(X139&lt;&gt;1,"",POWER(I139-J139,2))</x:f>
      </x:c>
      <x:c r="S139" t="str">
        <x:f t="shared" si="9">IF(X139&lt;&gt;1,"",-J139*LN(MAX(MIN(I139,0.999999),0.000001))-(1-J139)*LN(MAX(MIN(1-I139,0.999999),0.000001)))</x:f>
      </x:c>
      <x:c r="X139" s="227" t="n">
        <x:f>IF(OR(A139="",NOT(ISNUMBER(I139)),NOT(ISNUMBER(J139))),0,IF(AND(I139&gt;=0,I139&lt;=1,OR(J139=0,J139=1),COUNTIFS($A$4:$A$203,A139)=1,COUNTIFS(Frozen_Predictions!$A$4:$A$203,A139)=1),IFERROR(IF(AND(INDEX(Frozen_Predictions!$Q$4:$Q$203,MATCH(A139,Frozen_Predictions!$A$4:$A$203,0))="YES",ISNUMBER(INDEX(Frozen_Predictions!$B$4:$B$203,MATCH(A139,Frozen_Predictions!$A$4:$A$203,0))),ISNUMBER(INDEX(Frozen_Predictions!$C$4:$C$203,MATCH(A139,Frozen_Predictions!$A$4:$A$203,0))),INDEX(Frozen_Predictions!$B$4:$B$203,MATCH(A139,Frozen_Predictions!$A$4:$A$203,0))&lt;=INDEX(Frozen_Predictions!$C$4:$C$203,MATCH(A139,Frozen_Predictions!$A$4:$A$203,0)),ISNUMBER(INDEX(Frozen_Predictions!$L$4:$L$203,MATCH(A139,Frozen_Predictions!$A$4:$A$203,0))),ABS(I139-INDEX(Frozen_Predictions!$L$4:$L$203,MATCH(A139,Frozen_Predictions!$A$4:$A$203,0)))&lt;0.0000000001),1,0),0),0))</x:f>
        <x:v>0</x:v>
      </x:c>
    </x:row>
    <x:row r="140">
      <x:c r="R140" t="str">
        <x:f t="shared" si="8">IF(X140&lt;&gt;1,"",POWER(I140-J140,2))</x:f>
      </x:c>
      <x:c r="S140" t="str">
        <x:f t="shared" si="9">IF(X140&lt;&gt;1,"",-J140*LN(MAX(MIN(I140,0.999999),0.000001))-(1-J140)*LN(MAX(MIN(1-I140,0.999999),0.000001)))</x:f>
      </x:c>
      <x:c r="X140" s="227" t="n">
        <x:f>IF(OR(A140="",NOT(ISNUMBER(I140)),NOT(ISNUMBER(J140))),0,IF(AND(I140&gt;=0,I140&lt;=1,OR(J140=0,J140=1),COUNTIFS($A$4:$A$203,A140)=1,COUNTIFS(Frozen_Predictions!$A$4:$A$203,A140)=1),IFERROR(IF(AND(INDEX(Frozen_Predictions!$Q$4:$Q$203,MATCH(A140,Frozen_Predictions!$A$4:$A$203,0))="YES",ISNUMBER(INDEX(Frozen_Predictions!$B$4:$B$203,MATCH(A140,Frozen_Predictions!$A$4:$A$203,0))),ISNUMBER(INDEX(Frozen_Predictions!$C$4:$C$203,MATCH(A140,Frozen_Predictions!$A$4:$A$203,0))),INDEX(Frozen_Predictions!$B$4:$B$203,MATCH(A140,Frozen_Predictions!$A$4:$A$203,0))&lt;=INDEX(Frozen_Predictions!$C$4:$C$203,MATCH(A140,Frozen_Predictions!$A$4:$A$203,0)),ISNUMBER(INDEX(Frozen_Predictions!$L$4:$L$203,MATCH(A140,Frozen_Predictions!$A$4:$A$203,0))),ABS(I140-INDEX(Frozen_Predictions!$L$4:$L$203,MATCH(A140,Frozen_Predictions!$A$4:$A$203,0)))&lt;0.0000000001),1,0),0),0))</x:f>
        <x:v>0</x:v>
      </x:c>
    </x:row>
    <x:row r="141">
      <x:c r="R141" t="str">
        <x:f t="shared" si="8">IF(X141&lt;&gt;1,"",POWER(I141-J141,2))</x:f>
      </x:c>
      <x:c r="S141" t="str">
        <x:f t="shared" si="9">IF(X141&lt;&gt;1,"",-J141*LN(MAX(MIN(I141,0.999999),0.000001))-(1-J141)*LN(MAX(MIN(1-I141,0.999999),0.000001)))</x:f>
      </x:c>
      <x:c r="X141" s="227" t="n">
        <x:f>IF(OR(A141="",NOT(ISNUMBER(I141)),NOT(ISNUMBER(J141))),0,IF(AND(I141&gt;=0,I141&lt;=1,OR(J141=0,J141=1),COUNTIFS($A$4:$A$203,A141)=1,COUNTIFS(Frozen_Predictions!$A$4:$A$203,A141)=1),IFERROR(IF(AND(INDEX(Frozen_Predictions!$Q$4:$Q$203,MATCH(A141,Frozen_Predictions!$A$4:$A$203,0))="YES",ISNUMBER(INDEX(Frozen_Predictions!$B$4:$B$203,MATCH(A141,Frozen_Predictions!$A$4:$A$203,0))),ISNUMBER(INDEX(Frozen_Predictions!$C$4:$C$203,MATCH(A141,Frozen_Predictions!$A$4:$A$203,0))),INDEX(Frozen_Predictions!$B$4:$B$203,MATCH(A141,Frozen_Predictions!$A$4:$A$203,0))&lt;=INDEX(Frozen_Predictions!$C$4:$C$203,MATCH(A141,Frozen_Predictions!$A$4:$A$203,0)),ISNUMBER(INDEX(Frozen_Predictions!$L$4:$L$203,MATCH(A141,Frozen_Predictions!$A$4:$A$203,0))),ABS(I141-INDEX(Frozen_Predictions!$L$4:$L$203,MATCH(A141,Frozen_Predictions!$A$4:$A$203,0)))&lt;0.0000000001),1,0),0),0))</x:f>
        <x:v>0</x:v>
      </x:c>
    </x:row>
    <x:row r="142">
      <x:c r="R142" t="str">
        <x:f t="shared" si="8">IF(X142&lt;&gt;1,"",POWER(I142-J142,2))</x:f>
      </x:c>
      <x:c r="S142" t="str">
        <x:f t="shared" si="9">IF(X142&lt;&gt;1,"",-J142*LN(MAX(MIN(I142,0.999999),0.000001))-(1-J142)*LN(MAX(MIN(1-I142,0.999999),0.000001)))</x:f>
      </x:c>
      <x:c r="X142" s="227" t="n">
        <x:f>IF(OR(A142="",NOT(ISNUMBER(I142)),NOT(ISNUMBER(J142))),0,IF(AND(I142&gt;=0,I142&lt;=1,OR(J142=0,J142=1),COUNTIFS($A$4:$A$203,A142)=1,COUNTIFS(Frozen_Predictions!$A$4:$A$203,A142)=1),IFERROR(IF(AND(INDEX(Frozen_Predictions!$Q$4:$Q$203,MATCH(A142,Frozen_Predictions!$A$4:$A$203,0))="YES",ISNUMBER(INDEX(Frozen_Predictions!$B$4:$B$203,MATCH(A142,Frozen_Predictions!$A$4:$A$203,0))),ISNUMBER(INDEX(Frozen_Predictions!$C$4:$C$203,MATCH(A142,Frozen_Predictions!$A$4:$A$203,0))),INDEX(Frozen_Predictions!$B$4:$B$203,MATCH(A142,Frozen_Predictions!$A$4:$A$203,0))&lt;=INDEX(Frozen_Predictions!$C$4:$C$203,MATCH(A142,Frozen_Predictions!$A$4:$A$203,0)),ISNUMBER(INDEX(Frozen_Predictions!$L$4:$L$203,MATCH(A142,Frozen_Predictions!$A$4:$A$203,0))),ABS(I142-INDEX(Frozen_Predictions!$L$4:$L$203,MATCH(A142,Frozen_Predictions!$A$4:$A$203,0)))&lt;0.0000000001),1,0),0),0))</x:f>
        <x:v>0</x:v>
      </x:c>
    </x:row>
    <x:row r="143">
      <x:c r="R143" t="str">
        <x:f t="shared" si="8">IF(X143&lt;&gt;1,"",POWER(I143-J143,2))</x:f>
      </x:c>
      <x:c r="S143" t="str">
        <x:f t="shared" si="9">IF(X143&lt;&gt;1,"",-J143*LN(MAX(MIN(I143,0.999999),0.000001))-(1-J143)*LN(MAX(MIN(1-I143,0.999999),0.000001)))</x:f>
      </x:c>
      <x:c r="X143" s="227" t="n">
        <x:f>IF(OR(A143="",NOT(ISNUMBER(I143)),NOT(ISNUMBER(J143))),0,IF(AND(I143&gt;=0,I143&lt;=1,OR(J143=0,J143=1),COUNTIFS($A$4:$A$203,A143)=1,COUNTIFS(Frozen_Predictions!$A$4:$A$203,A143)=1),IFERROR(IF(AND(INDEX(Frozen_Predictions!$Q$4:$Q$203,MATCH(A143,Frozen_Predictions!$A$4:$A$203,0))="YES",ISNUMBER(INDEX(Frozen_Predictions!$B$4:$B$203,MATCH(A143,Frozen_Predictions!$A$4:$A$203,0))),ISNUMBER(INDEX(Frozen_Predictions!$C$4:$C$203,MATCH(A143,Frozen_Predictions!$A$4:$A$203,0))),INDEX(Frozen_Predictions!$B$4:$B$203,MATCH(A143,Frozen_Predictions!$A$4:$A$203,0))&lt;=INDEX(Frozen_Predictions!$C$4:$C$203,MATCH(A143,Frozen_Predictions!$A$4:$A$203,0)),ISNUMBER(INDEX(Frozen_Predictions!$L$4:$L$203,MATCH(A143,Frozen_Predictions!$A$4:$A$203,0))),ABS(I143-INDEX(Frozen_Predictions!$L$4:$L$203,MATCH(A143,Frozen_Predictions!$A$4:$A$203,0)))&lt;0.0000000001),1,0),0),0))</x:f>
        <x:v>0</x:v>
      </x:c>
    </x:row>
    <x:row r="144">
      <x:c r="R144" t="str">
        <x:f t="shared" si="8">IF(X144&lt;&gt;1,"",POWER(I144-J144,2))</x:f>
      </x:c>
      <x:c r="S144" t="str">
        <x:f t="shared" si="9">IF(X144&lt;&gt;1,"",-J144*LN(MAX(MIN(I144,0.999999),0.000001))-(1-J144)*LN(MAX(MIN(1-I144,0.999999),0.000001)))</x:f>
      </x:c>
      <x:c r="X144" s="227" t="n">
        <x:f>IF(OR(A144="",NOT(ISNUMBER(I144)),NOT(ISNUMBER(J144))),0,IF(AND(I144&gt;=0,I144&lt;=1,OR(J144=0,J144=1),COUNTIFS($A$4:$A$203,A144)=1,COUNTIFS(Frozen_Predictions!$A$4:$A$203,A144)=1),IFERROR(IF(AND(INDEX(Frozen_Predictions!$Q$4:$Q$203,MATCH(A144,Frozen_Predictions!$A$4:$A$203,0))="YES",ISNUMBER(INDEX(Frozen_Predictions!$B$4:$B$203,MATCH(A144,Frozen_Predictions!$A$4:$A$203,0))),ISNUMBER(INDEX(Frozen_Predictions!$C$4:$C$203,MATCH(A144,Frozen_Predictions!$A$4:$A$203,0))),INDEX(Frozen_Predictions!$B$4:$B$203,MATCH(A144,Frozen_Predictions!$A$4:$A$203,0))&lt;=INDEX(Frozen_Predictions!$C$4:$C$203,MATCH(A144,Frozen_Predictions!$A$4:$A$203,0)),ISNUMBER(INDEX(Frozen_Predictions!$L$4:$L$203,MATCH(A144,Frozen_Predictions!$A$4:$A$203,0))),ABS(I144-INDEX(Frozen_Predictions!$L$4:$L$203,MATCH(A144,Frozen_Predictions!$A$4:$A$203,0)))&lt;0.0000000001),1,0),0),0))</x:f>
        <x:v>0</x:v>
      </x:c>
    </x:row>
    <x:row r="145">
      <x:c r="R145" t="str">
        <x:f t="shared" si="8">IF(X145&lt;&gt;1,"",POWER(I145-J145,2))</x:f>
      </x:c>
      <x:c r="S145" t="str">
        <x:f t="shared" si="9">IF(X145&lt;&gt;1,"",-J145*LN(MAX(MIN(I145,0.999999),0.000001))-(1-J145)*LN(MAX(MIN(1-I145,0.999999),0.000001)))</x:f>
      </x:c>
      <x:c r="X145" s="227" t="n">
        <x:f>IF(OR(A145="",NOT(ISNUMBER(I145)),NOT(ISNUMBER(J145))),0,IF(AND(I145&gt;=0,I145&lt;=1,OR(J145=0,J145=1),COUNTIFS($A$4:$A$203,A145)=1,COUNTIFS(Frozen_Predictions!$A$4:$A$203,A145)=1),IFERROR(IF(AND(INDEX(Frozen_Predictions!$Q$4:$Q$203,MATCH(A145,Frozen_Predictions!$A$4:$A$203,0))="YES",ISNUMBER(INDEX(Frozen_Predictions!$B$4:$B$203,MATCH(A145,Frozen_Predictions!$A$4:$A$203,0))),ISNUMBER(INDEX(Frozen_Predictions!$C$4:$C$203,MATCH(A145,Frozen_Predictions!$A$4:$A$203,0))),INDEX(Frozen_Predictions!$B$4:$B$203,MATCH(A145,Frozen_Predictions!$A$4:$A$203,0))&lt;=INDEX(Frozen_Predictions!$C$4:$C$203,MATCH(A145,Frozen_Predictions!$A$4:$A$203,0)),ISNUMBER(INDEX(Frozen_Predictions!$L$4:$L$203,MATCH(A145,Frozen_Predictions!$A$4:$A$203,0))),ABS(I145-INDEX(Frozen_Predictions!$L$4:$L$203,MATCH(A145,Frozen_Predictions!$A$4:$A$203,0)))&lt;0.0000000001),1,0),0),0))</x:f>
        <x:v>0</x:v>
      </x:c>
    </x:row>
    <x:row r="146">
      <x:c r="R146" t="str">
        <x:f t="shared" si="8">IF(X146&lt;&gt;1,"",POWER(I146-J146,2))</x:f>
      </x:c>
      <x:c r="S146" t="str">
        <x:f t="shared" si="9">IF(X146&lt;&gt;1,"",-J146*LN(MAX(MIN(I146,0.999999),0.000001))-(1-J146)*LN(MAX(MIN(1-I146,0.999999),0.000001)))</x:f>
      </x:c>
      <x:c r="X146" s="227" t="n">
        <x:f>IF(OR(A146="",NOT(ISNUMBER(I146)),NOT(ISNUMBER(J146))),0,IF(AND(I146&gt;=0,I146&lt;=1,OR(J146=0,J146=1),COUNTIFS($A$4:$A$203,A146)=1,COUNTIFS(Frozen_Predictions!$A$4:$A$203,A146)=1),IFERROR(IF(AND(INDEX(Frozen_Predictions!$Q$4:$Q$203,MATCH(A146,Frozen_Predictions!$A$4:$A$203,0))="YES",ISNUMBER(INDEX(Frozen_Predictions!$B$4:$B$203,MATCH(A146,Frozen_Predictions!$A$4:$A$203,0))),ISNUMBER(INDEX(Frozen_Predictions!$C$4:$C$203,MATCH(A146,Frozen_Predictions!$A$4:$A$203,0))),INDEX(Frozen_Predictions!$B$4:$B$203,MATCH(A146,Frozen_Predictions!$A$4:$A$203,0))&lt;=INDEX(Frozen_Predictions!$C$4:$C$203,MATCH(A146,Frozen_Predictions!$A$4:$A$203,0)),ISNUMBER(INDEX(Frozen_Predictions!$L$4:$L$203,MATCH(A146,Frozen_Predictions!$A$4:$A$203,0))),ABS(I146-INDEX(Frozen_Predictions!$L$4:$L$203,MATCH(A146,Frozen_Predictions!$A$4:$A$203,0)))&lt;0.0000000001),1,0),0),0))</x:f>
        <x:v>0</x:v>
      </x:c>
    </x:row>
    <x:row r="147">
      <x:c r="R147" t="str">
        <x:f t="shared" si="8">IF(X147&lt;&gt;1,"",POWER(I147-J147,2))</x:f>
      </x:c>
      <x:c r="S147" t="str">
        <x:f t="shared" si="9">IF(X147&lt;&gt;1,"",-J147*LN(MAX(MIN(I147,0.999999),0.000001))-(1-J147)*LN(MAX(MIN(1-I147,0.999999),0.000001)))</x:f>
      </x:c>
      <x:c r="X147" s="227" t="n">
        <x:f>IF(OR(A147="",NOT(ISNUMBER(I147)),NOT(ISNUMBER(J147))),0,IF(AND(I147&gt;=0,I147&lt;=1,OR(J147=0,J147=1),COUNTIFS($A$4:$A$203,A147)=1,COUNTIFS(Frozen_Predictions!$A$4:$A$203,A147)=1),IFERROR(IF(AND(INDEX(Frozen_Predictions!$Q$4:$Q$203,MATCH(A147,Frozen_Predictions!$A$4:$A$203,0))="YES",ISNUMBER(INDEX(Frozen_Predictions!$B$4:$B$203,MATCH(A147,Frozen_Predictions!$A$4:$A$203,0))),ISNUMBER(INDEX(Frozen_Predictions!$C$4:$C$203,MATCH(A147,Frozen_Predictions!$A$4:$A$203,0))),INDEX(Frozen_Predictions!$B$4:$B$203,MATCH(A147,Frozen_Predictions!$A$4:$A$203,0))&lt;=INDEX(Frozen_Predictions!$C$4:$C$203,MATCH(A147,Frozen_Predictions!$A$4:$A$203,0)),ISNUMBER(INDEX(Frozen_Predictions!$L$4:$L$203,MATCH(A147,Frozen_Predictions!$A$4:$A$203,0))),ABS(I147-INDEX(Frozen_Predictions!$L$4:$L$203,MATCH(A147,Frozen_Predictions!$A$4:$A$203,0)))&lt;0.0000000001),1,0),0),0))</x:f>
        <x:v>0</x:v>
      </x:c>
    </x:row>
    <x:row r="148">
      <x:c r="R148" t="str">
        <x:f t="shared" si="8">IF(X148&lt;&gt;1,"",POWER(I148-J148,2))</x:f>
      </x:c>
      <x:c r="S148" t="str">
        <x:f t="shared" si="9">IF(X148&lt;&gt;1,"",-J148*LN(MAX(MIN(I148,0.999999),0.000001))-(1-J148)*LN(MAX(MIN(1-I148,0.999999),0.000001)))</x:f>
      </x:c>
      <x:c r="X148" s="227" t="n">
        <x:f>IF(OR(A148="",NOT(ISNUMBER(I148)),NOT(ISNUMBER(J148))),0,IF(AND(I148&gt;=0,I148&lt;=1,OR(J148=0,J148=1),COUNTIFS($A$4:$A$203,A148)=1,COUNTIFS(Frozen_Predictions!$A$4:$A$203,A148)=1),IFERROR(IF(AND(INDEX(Frozen_Predictions!$Q$4:$Q$203,MATCH(A148,Frozen_Predictions!$A$4:$A$203,0))="YES",ISNUMBER(INDEX(Frozen_Predictions!$B$4:$B$203,MATCH(A148,Frozen_Predictions!$A$4:$A$203,0))),ISNUMBER(INDEX(Frozen_Predictions!$C$4:$C$203,MATCH(A148,Frozen_Predictions!$A$4:$A$203,0))),INDEX(Frozen_Predictions!$B$4:$B$203,MATCH(A148,Frozen_Predictions!$A$4:$A$203,0))&lt;=INDEX(Frozen_Predictions!$C$4:$C$203,MATCH(A148,Frozen_Predictions!$A$4:$A$203,0)),ISNUMBER(INDEX(Frozen_Predictions!$L$4:$L$203,MATCH(A148,Frozen_Predictions!$A$4:$A$203,0))),ABS(I148-INDEX(Frozen_Predictions!$L$4:$L$203,MATCH(A148,Frozen_Predictions!$A$4:$A$203,0)))&lt;0.0000000001),1,0),0),0))</x:f>
        <x:v>0</x:v>
      </x:c>
    </x:row>
    <x:row r="149">
      <x:c r="R149" t="str">
        <x:f t="shared" si="8">IF(X149&lt;&gt;1,"",POWER(I149-J149,2))</x:f>
      </x:c>
      <x:c r="S149" t="str">
        <x:f t="shared" si="9">IF(X149&lt;&gt;1,"",-J149*LN(MAX(MIN(I149,0.999999),0.000001))-(1-J149)*LN(MAX(MIN(1-I149,0.999999),0.000001)))</x:f>
      </x:c>
      <x:c r="X149" s="227" t="n">
        <x:f>IF(OR(A149="",NOT(ISNUMBER(I149)),NOT(ISNUMBER(J149))),0,IF(AND(I149&gt;=0,I149&lt;=1,OR(J149=0,J149=1),COUNTIFS($A$4:$A$203,A149)=1,COUNTIFS(Frozen_Predictions!$A$4:$A$203,A149)=1),IFERROR(IF(AND(INDEX(Frozen_Predictions!$Q$4:$Q$203,MATCH(A149,Frozen_Predictions!$A$4:$A$203,0))="YES",ISNUMBER(INDEX(Frozen_Predictions!$B$4:$B$203,MATCH(A149,Frozen_Predictions!$A$4:$A$203,0))),ISNUMBER(INDEX(Frozen_Predictions!$C$4:$C$203,MATCH(A149,Frozen_Predictions!$A$4:$A$203,0))),INDEX(Frozen_Predictions!$B$4:$B$203,MATCH(A149,Frozen_Predictions!$A$4:$A$203,0))&lt;=INDEX(Frozen_Predictions!$C$4:$C$203,MATCH(A149,Frozen_Predictions!$A$4:$A$203,0)),ISNUMBER(INDEX(Frozen_Predictions!$L$4:$L$203,MATCH(A149,Frozen_Predictions!$A$4:$A$203,0))),ABS(I149-INDEX(Frozen_Predictions!$L$4:$L$203,MATCH(A149,Frozen_Predictions!$A$4:$A$203,0)))&lt;0.0000000001),1,0),0),0))</x:f>
        <x:v>0</x:v>
      </x:c>
    </x:row>
    <x:row r="150">
      <x:c r="R150" t="str">
        <x:f t="shared" si="8">IF(X150&lt;&gt;1,"",POWER(I150-J150,2))</x:f>
      </x:c>
      <x:c r="S150" t="str">
        <x:f t="shared" si="9">IF(X150&lt;&gt;1,"",-J150*LN(MAX(MIN(I150,0.999999),0.000001))-(1-J150)*LN(MAX(MIN(1-I150,0.999999),0.000001)))</x:f>
      </x:c>
      <x:c r="X150" s="227" t="n">
        <x:f>IF(OR(A150="",NOT(ISNUMBER(I150)),NOT(ISNUMBER(J150))),0,IF(AND(I150&gt;=0,I150&lt;=1,OR(J150=0,J150=1),COUNTIFS($A$4:$A$203,A150)=1,COUNTIFS(Frozen_Predictions!$A$4:$A$203,A150)=1),IFERROR(IF(AND(INDEX(Frozen_Predictions!$Q$4:$Q$203,MATCH(A150,Frozen_Predictions!$A$4:$A$203,0))="YES",ISNUMBER(INDEX(Frozen_Predictions!$B$4:$B$203,MATCH(A150,Frozen_Predictions!$A$4:$A$203,0))),ISNUMBER(INDEX(Frozen_Predictions!$C$4:$C$203,MATCH(A150,Frozen_Predictions!$A$4:$A$203,0))),INDEX(Frozen_Predictions!$B$4:$B$203,MATCH(A150,Frozen_Predictions!$A$4:$A$203,0))&lt;=INDEX(Frozen_Predictions!$C$4:$C$203,MATCH(A150,Frozen_Predictions!$A$4:$A$203,0)),ISNUMBER(INDEX(Frozen_Predictions!$L$4:$L$203,MATCH(A150,Frozen_Predictions!$A$4:$A$203,0))),ABS(I150-INDEX(Frozen_Predictions!$L$4:$L$203,MATCH(A150,Frozen_Predictions!$A$4:$A$203,0)))&lt;0.0000000001),1,0),0),0))</x:f>
        <x:v>0</x:v>
      </x:c>
    </x:row>
    <x:row r="151">
      <x:c r="R151" t="str">
        <x:f t="shared" si="8">IF(X151&lt;&gt;1,"",POWER(I151-J151,2))</x:f>
      </x:c>
      <x:c r="S151" t="str">
        <x:f t="shared" si="9">IF(X151&lt;&gt;1,"",-J151*LN(MAX(MIN(I151,0.999999),0.000001))-(1-J151)*LN(MAX(MIN(1-I151,0.999999),0.000001)))</x:f>
      </x:c>
      <x:c r="X151" s="227" t="n">
        <x:f>IF(OR(A151="",NOT(ISNUMBER(I151)),NOT(ISNUMBER(J151))),0,IF(AND(I151&gt;=0,I151&lt;=1,OR(J151=0,J151=1),COUNTIFS($A$4:$A$203,A151)=1,COUNTIFS(Frozen_Predictions!$A$4:$A$203,A151)=1),IFERROR(IF(AND(INDEX(Frozen_Predictions!$Q$4:$Q$203,MATCH(A151,Frozen_Predictions!$A$4:$A$203,0))="YES",ISNUMBER(INDEX(Frozen_Predictions!$B$4:$B$203,MATCH(A151,Frozen_Predictions!$A$4:$A$203,0))),ISNUMBER(INDEX(Frozen_Predictions!$C$4:$C$203,MATCH(A151,Frozen_Predictions!$A$4:$A$203,0))),INDEX(Frozen_Predictions!$B$4:$B$203,MATCH(A151,Frozen_Predictions!$A$4:$A$203,0))&lt;=INDEX(Frozen_Predictions!$C$4:$C$203,MATCH(A151,Frozen_Predictions!$A$4:$A$203,0)),ISNUMBER(INDEX(Frozen_Predictions!$L$4:$L$203,MATCH(A151,Frozen_Predictions!$A$4:$A$203,0))),ABS(I151-INDEX(Frozen_Predictions!$L$4:$L$203,MATCH(A151,Frozen_Predictions!$A$4:$A$203,0)))&lt;0.0000000001),1,0),0),0))</x:f>
        <x:v>0</x:v>
      </x:c>
    </x:row>
    <x:row r="152">
      <x:c r="R152" t="str">
        <x:f t="shared" si="8">IF(X152&lt;&gt;1,"",POWER(I152-J152,2))</x:f>
      </x:c>
      <x:c r="S152" t="str">
        <x:f t="shared" si="9">IF(X152&lt;&gt;1,"",-J152*LN(MAX(MIN(I152,0.999999),0.000001))-(1-J152)*LN(MAX(MIN(1-I152,0.999999),0.000001)))</x:f>
      </x:c>
      <x:c r="X152" s="227" t="n">
        <x:f>IF(OR(A152="",NOT(ISNUMBER(I152)),NOT(ISNUMBER(J152))),0,IF(AND(I152&gt;=0,I152&lt;=1,OR(J152=0,J152=1),COUNTIFS($A$4:$A$203,A152)=1,COUNTIFS(Frozen_Predictions!$A$4:$A$203,A152)=1),IFERROR(IF(AND(INDEX(Frozen_Predictions!$Q$4:$Q$203,MATCH(A152,Frozen_Predictions!$A$4:$A$203,0))="YES",ISNUMBER(INDEX(Frozen_Predictions!$B$4:$B$203,MATCH(A152,Frozen_Predictions!$A$4:$A$203,0))),ISNUMBER(INDEX(Frozen_Predictions!$C$4:$C$203,MATCH(A152,Frozen_Predictions!$A$4:$A$203,0))),INDEX(Frozen_Predictions!$B$4:$B$203,MATCH(A152,Frozen_Predictions!$A$4:$A$203,0))&lt;=INDEX(Frozen_Predictions!$C$4:$C$203,MATCH(A152,Frozen_Predictions!$A$4:$A$203,0)),ISNUMBER(INDEX(Frozen_Predictions!$L$4:$L$203,MATCH(A152,Frozen_Predictions!$A$4:$A$203,0))),ABS(I152-INDEX(Frozen_Predictions!$L$4:$L$203,MATCH(A152,Frozen_Predictions!$A$4:$A$203,0)))&lt;0.0000000001),1,0),0),0))</x:f>
        <x:v>0</x:v>
      </x:c>
    </x:row>
    <x:row r="153">
      <x:c r="R153" t="str">
        <x:f t="shared" si="8">IF(X153&lt;&gt;1,"",POWER(I153-J153,2))</x:f>
      </x:c>
      <x:c r="S153" t="str">
        <x:f t="shared" si="9">IF(X153&lt;&gt;1,"",-J153*LN(MAX(MIN(I153,0.999999),0.000001))-(1-J153)*LN(MAX(MIN(1-I153,0.999999),0.000001)))</x:f>
      </x:c>
      <x:c r="X153" s="227" t="n">
        <x:f>IF(OR(A153="",NOT(ISNUMBER(I153)),NOT(ISNUMBER(J153))),0,IF(AND(I153&gt;=0,I153&lt;=1,OR(J153=0,J153=1),COUNTIFS($A$4:$A$203,A153)=1,COUNTIFS(Frozen_Predictions!$A$4:$A$203,A153)=1),IFERROR(IF(AND(INDEX(Frozen_Predictions!$Q$4:$Q$203,MATCH(A153,Frozen_Predictions!$A$4:$A$203,0))="YES",ISNUMBER(INDEX(Frozen_Predictions!$B$4:$B$203,MATCH(A153,Frozen_Predictions!$A$4:$A$203,0))),ISNUMBER(INDEX(Frozen_Predictions!$C$4:$C$203,MATCH(A153,Frozen_Predictions!$A$4:$A$203,0))),INDEX(Frozen_Predictions!$B$4:$B$203,MATCH(A153,Frozen_Predictions!$A$4:$A$203,0))&lt;=INDEX(Frozen_Predictions!$C$4:$C$203,MATCH(A153,Frozen_Predictions!$A$4:$A$203,0)),ISNUMBER(INDEX(Frozen_Predictions!$L$4:$L$203,MATCH(A153,Frozen_Predictions!$A$4:$A$203,0))),ABS(I153-INDEX(Frozen_Predictions!$L$4:$L$203,MATCH(A153,Frozen_Predictions!$A$4:$A$203,0)))&lt;0.0000000001),1,0),0),0))</x:f>
        <x:v>0</x:v>
      </x:c>
    </x:row>
    <x:row r="154">
      <x:c r="R154" t="str">
        <x:f t="shared" si="8">IF(X154&lt;&gt;1,"",POWER(I154-J154,2))</x:f>
      </x:c>
      <x:c r="S154" t="str">
        <x:f t="shared" si="9">IF(X154&lt;&gt;1,"",-J154*LN(MAX(MIN(I154,0.999999),0.000001))-(1-J154)*LN(MAX(MIN(1-I154,0.999999),0.000001)))</x:f>
      </x:c>
      <x:c r="X154" s="227" t="n">
        <x:f>IF(OR(A154="",NOT(ISNUMBER(I154)),NOT(ISNUMBER(J154))),0,IF(AND(I154&gt;=0,I154&lt;=1,OR(J154=0,J154=1),COUNTIFS($A$4:$A$203,A154)=1,COUNTIFS(Frozen_Predictions!$A$4:$A$203,A154)=1),IFERROR(IF(AND(INDEX(Frozen_Predictions!$Q$4:$Q$203,MATCH(A154,Frozen_Predictions!$A$4:$A$203,0))="YES",ISNUMBER(INDEX(Frozen_Predictions!$B$4:$B$203,MATCH(A154,Frozen_Predictions!$A$4:$A$203,0))),ISNUMBER(INDEX(Frozen_Predictions!$C$4:$C$203,MATCH(A154,Frozen_Predictions!$A$4:$A$203,0))),INDEX(Frozen_Predictions!$B$4:$B$203,MATCH(A154,Frozen_Predictions!$A$4:$A$203,0))&lt;=INDEX(Frozen_Predictions!$C$4:$C$203,MATCH(A154,Frozen_Predictions!$A$4:$A$203,0)),ISNUMBER(INDEX(Frozen_Predictions!$L$4:$L$203,MATCH(A154,Frozen_Predictions!$A$4:$A$203,0))),ABS(I154-INDEX(Frozen_Predictions!$L$4:$L$203,MATCH(A154,Frozen_Predictions!$A$4:$A$203,0)))&lt;0.0000000001),1,0),0),0))</x:f>
        <x:v>0</x:v>
      </x:c>
    </x:row>
    <x:row r="155">
      <x:c r="R155" t="str">
        <x:f t="shared" si="8">IF(X155&lt;&gt;1,"",POWER(I155-J155,2))</x:f>
      </x:c>
      <x:c r="S155" t="str">
        <x:f t="shared" si="9">IF(X155&lt;&gt;1,"",-J155*LN(MAX(MIN(I155,0.999999),0.000001))-(1-J155)*LN(MAX(MIN(1-I155,0.999999),0.000001)))</x:f>
      </x:c>
      <x:c r="X155" s="227" t="n">
        <x:f>IF(OR(A155="",NOT(ISNUMBER(I155)),NOT(ISNUMBER(J155))),0,IF(AND(I155&gt;=0,I155&lt;=1,OR(J155=0,J155=1),COUNTIFS($A$4:$A$203,A155)=1,COUNTIFS(Frozen_Predictions!$A$4:$A$203,A155)=1),IFERROR(IF(AND(INDEX(Frozen_Predictions!$Q$4:$Q$203,MATCH(A155,Frozen_Predictions!$A$4:$A$203,0))="YES",ISNUMBER(INDEX(Frozen_Predictions!$B$4:$B$203,MATCH(A155,Frozen_Predictions!$A$4:$A$203,0))),ISNUMBER(INDEX(Frozen_Predictions!$C$4:$C$203,MATCH(A155,Frozen_Predictions!$A$4:$A$203,0))),INDEX(Frozen_Predictions!$B$4:$B$203,MATCH(A155,Frozen_Predictions!$A$4:$A$203,0))&lt;=INDEX(Frozen_Predictions!$C$4:$C$203,MATCH(A155,Frozen_Predictions!$A$4:$A$203,0)),ISNUMBER(INDEX(Frozen_Predictions!$L$4:$L$203,MATCH(A155,Frozen_Predictions!$A$4:$A$203,0))),ABS(I155-INDEX(Frozen_Predictions!$L$4:$L$203,MATCH(A155,Frozen_Predictions!$A$4:$A$203,0)))&lt;0.0000000001),1,0),0),0))</x:f>
        <x:v>0</x:v>
      </x:c>
    </x:row>
    <x:row r="156">
      <x:c r="R156" t="str">
        <x:f t="shared" si="8">IF(X156&lt;&gt;1,"",POWER(I156-J156,2))</x:f>
      </x:c>
      <x:c r="S156" t="str">
        <x:f t="shared" si="9">IF(X156&lt;&gt;1,"",-J156*LN(MAX(MIN(I156,0.999999),0.000001))-(1-J156)*LN(MAX(MIN(1-I156,0.999999),0.000001)))</x:f>
      </x:c>
      <x:c r="X156" s="227" t="n">
        <x:f>IF(OR(A156="",NOT(ISNUMBER(I156)),NOT(ISNUMBER(J156))),0,IF(AND(I156&gt;=0,I156&lt;=1,OR(J156=0,J156=1),COUNTIFS($A$4:$A$203,A156)=1,COUNTIFS(Frozen_Predictions!$A$4:$A$203,A156)=1),IFERROR(IF(AND(INDEX(Frozen_Predictions!$Q$4:$Q$203,MATCH(A156,Frozen_Predictions!$A$4:$A$203,0))="YES",ISNUMBER(INDEX(Frozen_Predictions!$B$4:$B$203,MATCH(A156,Frozen_Predictions!$A$4:$A$203,0))),ISNUMBER(INDEX(Frozen_Predictions!$C$4:$C$203,MATCH(A156,Frozen_Predictions!$A$4:$A$203,0))),INDEX(Frozen_Predictions!$B$4:$B$203,MATCH(A156,Frozen_Predictions!$A$4:$A$203,0))&lt;=INDEX(Frozen_Predictions!$C$4:$C$203,MATCH(A156,Frozen_Predictions!$A$4:$A$203,0)),ISNUMBER(INDEX(Frozen_Predictions!$L$4:$L$203,MATCH(A156,Frozen_Predictions!$A$4:$A$203,0))),ABS(I156-INDEX(Frozen_Predictions!$L$4:$L$203,MATCH(A156,Frozen_Predictions!$A$4:$A$203,0)))&lt;0.0000000001),1,0),0),0))</x:f>
        <x:v>0</x:v>
      </x:c>
    </x:row>
    <x:row r="157">
      <x:c r="R157" t="str">
        <x:f t="shared" si="8">IF(X157&lt;&gt;1,"",POWER(I157-J157,2))</x:f>
      </x:c>
      <x:c r="S157" t="str">
        <x:f t="shared" si="9">IF(X157&lt;&gt;1,"",-J157*LN(MAX(MIN(I157,0.999999),0.000001))-(1-J157)*LN(MAX(MIN(1-I157,0.999999),0.000001)))</x:f>
      </x:c>
      <x:c r="X157" s="227" t="n">
        <x:f>IF(OR(A157="",NOT(ISNUMBER(I157)),NOT(ISNUMBER(J157))),0,IF(AND(I157&gt;=0,I157&lt;=1,OR(J157=0,J157=1),COUNTIFS($A$4:$A$203,A157)=1,COUNTIFS(Frozen_Predictions!$A$4:$A$203,A157)=1),IFERROR(IF(AND(INDEX(Frozen_Predictions!$Q$4:$Q$203,MATCH(A157,Frozen_Predictions!$A$4:$A$203,0))="YES",ISNUMBER(INDEX(Frozen_Predictions!$B$4:$B$203,MATCH(A157,Frozen_Predictions!$A$4:$A$203,0))),ISNUMBER(INDEX(Frozen_Predictions!$C$4:$C$203,MATCH(A157,Frozen_Predictions!$A$4:$A$203,0))),INDEX(Frozen_Predictions!$B$4:$B$203,MATCH(A157,Frozen_Predictions!$A$4:$A$203,0))&lt;=INDEX(Frozen_Predictions!$C$4:$C$203,MATCH(A157,Frozen_Predictions!$A$4:$A$203,0)),ISNUMBER(INDEX(Frozen_Predictions!$L$4:$L$203,MATCH(A157,Frozen_Predictions!$A$4:$A$203,0))),ABS(I157-INDEX(Frozen_Predictions!$L$4:$L$203,MATCH(A157,Frozen_Predictions!$A$4:$A$203,0)))&lt;0.0000000001),1,0),0),0))</x:f>
        <x:v>0</x:v>
      </x:c>
    </x:row>
    <x:row r="158">
      <x:c r="R158" t="str">
        <x:f t="shared" si="8">IF(X158&lt;&gt;1,"",POWER(I158-J158,2))</x:f>
      </x:c>
      <x:c r="S158" t="str">
        <x:f t="shared" si="9">IF(X158&lt;&gt;1,"",-J158*LN(MAX(MIN(I158,0.999999),0.000001))-(1-J158)*LN(MAX(MIN(1-I158,0.999999),0.000001)))</x:f>
      </x:c>
      <x:c r="X158" s="227" t="n">
        <x:f>IF(OR(A158="",NOT(ISNUMBER(I158)),NOT(ISNUMBER(J158))),0,IF(AND(I158&gt;=0,I158&lt;=1,OR(J158=0,J158=1),COUNTIFS($A$4:$A$203,A158)=1,COUNTIFS(Frozen_Predictions!$A$4:$A$203,A158)=1),IFERROR(IF(AND(INDEX(Frozen_Predictions!$Q$4:$Q$203,MATCH(A158,Frozen_Predictions!$A$4:$A$203,0))="YES",ISNUMBER(INDEX(Frozen_Predictions!$B$4:$B$203,MATCH(A158,Frozen_Predictions!$A$4:$A$203,0))),ISNUMBER(INDEX(Frozen_Predictions!$C$4:$C$203,MATCH(A158,Frozen_Predictions!$A$4:$A$203,0))),INDEX(Frozen_Predictions!$B$4:$B$203,MATCH(A158,Frozen_Predictions!$A$4:$A$203,0))&lt;=INDEX(Frozen_Predictions!$C$4:$C$203,MATCH(A158,Frozen_Predictions!$A$4:$A$203,0)),ISNUMBER(INDEX(Frozen_Predictions!$L$4:$L$203,MATCH(A158,Frozen_Predictions!$A$4:$A$203,0))),ABS(I158-INDEX(Frozen_Predictions!$L$4:$L$203,MATCH(A158,Frozen_Predictions!$A$4:$A$203,0)))&lt;0.0000000001),1,0),0),0))</x:f>
        <x:v>0</x:v>
      </x:c>
    </x:row>
    <x:row r="159">
      <x:c r="R159" t="str">
        <x:f t="shared" si="8">IF(X159&lt;&gt;1,"",POWER(I159-J159,2))</x:f>
      </x:c>
      <x:c r="S159" t="str">
        <x:f t="shared" si="9">IF(X159&lt;&gt;1,"",-J159*LN(MAX(MIN(I159,0.999999),0.000001))-(1-J159)*LN(MAX(MIN(1-I159,0.999999),0.000001)))</x:f>
      </x:c>
      <x:c r="X159" s="227" t="n">
        <x:f>IF(OR(A159="",NOT(ISNUMBER(I159)),NOT(ISNUMBER(J159))),0,IF(AND(I159&gt;=0,I159&lt;=1,OR(J159=0,J159=1),COUNTIFS($A$4:$A$203,A159)=1,COUNTIFS(Frozen_Predictions!$A$4:$A$203,A159)=1),IFERROR(IF(AND(INDEX(Frozen_Predictions!$Q$4:$Q$203,MATCH(A159,Frozen_Predictions!$A$4:$A$203,0))="YES",ISNUMBER(INDEX(Frozen_Predictions!$B$4:$B$203,MATCH(A159,Frozen_Predictions!$A$4:$A$203,0))),ISNUMBER(INDEX(Frozen_Predictions!$C$4:$C$203,MATCH(A159,Frozen_Predictions!$A$4:$A$203,0))),INDEX(Frozen_Predictions!$B$4:$B$203,MATCH(A159,Frozen_Predictions!$A$4:$A$203,0))&lt;=INDEX(Frozen_Predictions!$C$4:$C$203,MATCH(A159,Frozen_Predictions!$A$4:$A$203,0)),ISNUMBER(INDEX(Frozen_Predictions!$L$4:$L$203,MATCH(A159,Frozen_Predictions!$A$4:$A$203,0))),ABS(I159-INDEX(Frozen_Predictions!$L$4:$L$203,MATCH(A159,Frozen_Predictions!$A$4:$A$203,0)))&lt;0.0000000001),1,0),0),0))</x:f>
        <x:v>0</x:v>
      </x:c>
    </x:row>
    <x:row r="160">
      <x:c r="R160" t="str">
        <x:f t="shared" si="8">IF(X160&lt;&gt;1,"",POWER(I160-J160,2))</x:f>
      </x:c>
      <x:c r="S160" t="str">
        <x:f t="shared" si="9">IF(X160&lt;&gt;1,"",-J160*LN(MAX(MIN(I160,0.999999),0.000001))-(1-J160)*LN(MAX(MIN(1-I160,0.999999),0.000001)))</x:f>
      </x:c>
      <x:c r="X160" s="227" t="n">
        <x:f>IF(OR(A160="",NOT(ISNUMBER(I160)),NOT(ISNUMBER(J160))),0,IF(AND(I160&gt;=0,I160&lt;=1,OR(J160=0,J160=1),COUNTIFS($A$4:$A$203,A160)=1,COUNTIFS(Frozen_Predictions!$A$4:$A$203,A160)=1),IFERROR(IF(AND(INDEX(Frozen_Predictions!$Q$4:$Q$203,MATCH(A160,Frozen_Predictions!$A$4:$A$203,0))="YES",ISNUMBER(INDEX(Frozen_Predictions!$B$4:$B$203,MATCH(A160,Frozen_Predictions!$A$4:$A$203,0))),ISNUMBER(INDEX(Frozen_Predictions!$C$4:$C$203,MATCH(A160,Frozen_Predictions!$A$4:$A$203,0))),INDEX(Frozen_Predictions!$B$4:$B$203,MATCH(A160,Frozen_Predictions!$A$4:$A$203,0))&lt;=INDEX(Frozen_Predictions!$C$4:$C$203,MATCH(A160,Frozen_Predictions!$A$4:$A$203,0)),ISNUMBER(INDEX(Frozen_Predictions!$L$4:$L$203,MATCH(A160,Frozen_Predictions!$A$4:$A$203,0))),ABS(I160-INDEX(Frozen_Predictions!$L$4:$L$203,MATCH(A160,Frozen_Predictions!$A$4:$A$203,0)))&lt;0.0000000001),1,0),0),0))</x:f>
        <x:v>0</x:v>
      </x:c>
    </x:row>
    <x:row r="161">
      <x:c r="R161" t="str">
        <x:f t="shared" si="8">IF(X161&lt;&gt;1,"",POWER(I161-J161,2))</x:f>
      </x:c>
      <x:c r="S161" t="str">
        <x:f t="shared" si="9">IF(X161&lt;&gt;1,"",-J161*LN(MAX(MIN(I161,0.999999),0.000001))-(1-J161)*LN(MAX(MIN(1-I161,0.999999),0.000001)))</x:f>
      </x:c>
      <x:c r="X161" s="227" t="n">
        <x:f>IF(OR(A161="",NOT(ISNUMBER(I161)),NOT(ISNUMBER(J161))),0,IF(AND(I161&gt;=0,I161&lt;=1,OR(J161=0,J161=1),COUNTIFS($A$4:$A$203,A161)=1,COUNTIFS(Frozen_Predictions!$A$4:$A$203,A161)=1),IFERROR(IF(AND(INDEX(Frozen_Predictions!$Q$4:$Q$203,MATCH(A161,Frozen_Predictions!$A$4:$A$203,0))="YES",ISNUMBER(INDEX(Frozen_Predictions!$B$4:$B$203,MATCH(A161,Frozen_Predictions!$A$4:$A$203,0))),ISNUMBER(INDEX(Frozen_Predictions!$C$4:$C$203,MATCH(A161,Frozen_Predictions!$A$4:$A$203,0))),INDEX(Frozen_Predictions!$B$4:$B$203,MATCH(A161,Frozen_Predictions!$A$4:$A$203,0))&lt;=INDEX(Frozen_Predictions!$C$4:$C$203,MATCH(A161,Frozen_Predictions!$A$4:$A$203,0)),ISNUMBER(INDEX(Frozen_Predictions!$L$4:$L$203,MATCH(A161,Frozen_Predictions!$A$4:$A$203,0))),ABS(I161-INDEX(Frozen_Predictions!$L$4:$L$203,MATCH(A161,Frozen_Predictions!$A$4:$A$203,0)))&lt;0.0000000001),1,0),0),0))</x:f>
        <x:v>0</x:v>
      </x:c>
    </x:row>
    <x:row r="162">
      <x:c r="R162" t="str">
        <x:f t="shared" si="8">IF(X162&lt;&gt;1,"",POWER(I162-J162,2))</x:f>
      </x:c>
      <x:c r="S162" t="str">
        <x:f t="shared" si="9">IF(X162&lt;&gt;1,"",-J162*LN(MAX(MIN(I162,0.999999),0.000001))-(1-J162)*LN(MAX(MIN(1-I162,0.999999),0.000001)))</x:f>
      </x:c>
      <x:c r="X162" s="227" t="n">
        <x:f>IF(OR(A162="",NOT(ISNUMBER(I162)),NOT(ISNUMBER(J162))),0,IF(AND(I162&gt;=0,I162&lt;=1,OR(J162=0,J162=1),COUNTIFS($A$4:$A$203,A162)=1,COUNTIFS(Frozen_Predictions!$A$4:$A$203,A162)=1),IFERROR(IF(AND(INDEX(Frozen_Predictions!$Q$4:$Q$203,MATCH(A162,Frozen_Predictions!$A$4:$A$203,0))="YES",ISNUMBER(INDEX(Frozen_Predictions!$B$4:$B$203,MATCH(A162,Frozen_Predictions!$A$4:$A$203,0))),ISNUMBER(INDEX(Frozen_Predictions!$C$4:$C$203,MATCH(A162,Frozen_Predictions!$A$4:$A$203,0))),INDEX(Frozen_Predictions!$B$4:$B$203,MATCH(A162,Frozen_Predictions!$A$4:$A$203,0))&lt;=INDEX(Frozen_Predictions!$C$4:$C$203,MATCH(A162,Frozen_Predictions!$A$4:$A$203,0)),ISNUMBER(INDEX(Frozen_Predictions!$L$4:$L$203,MATCH(A162,Frozen_Predictions!$A$4:$A$203,0))),ABS(I162-INDEX(Frozen_Predictions!$L$4:$L$203,MATCH(A162,Frozen_Predictions!$A$4:$A$203,0)))&lt;0.0000000001),1,0),0),0))</x:f>
        <x:v>0</x:v>
      </x:c>
    </x:row>
    <x:row r="163">
      <x:c r="R163" t="str">
        <x:f t="shared" si="8">IF(X163&lt;&gt;1,"",POWER(I163-J163,2))</x:f>
      </x:c>
      <x:c r="S163" t="str">
        <x:f t="shared" si="9">IF(X163&lt;&gt;1,"",-J163*LN(MAX(MIN(I163,0.999999),0.000001))-(1-J163)*LN(MAX(MIN(1-I163,0.999999),0.000001)))</x:f>
      </x:c>
      <x:c r="X163" s="227" t="n">
        <x:f>IF(OR(A163="",NOT(ISNUMBER(I163)),NOT(ISNUMBER(J163))),0,IF(AND(I163&gt;=0,I163&lt;=1,OR(J163=0,J163=1),COUNTIFS($A$4:$A$203,A163)=1,COUNTIFS(Frozen_Predictions!$A$4:$A$203,A163)=1),IFERROR(IF(AND(INDEX(Frozen_Predictions!$Q$4:$Q$203,MATCH(A163,Frozen_Predictions!$A$4:$A$203,0))="YES",ISNUMBER(INDEX(Frozen_Predictions!$B$4:$B$203,MATCH(A163,Frozen_Predictions!$A$4:$A$203,0))),ISNUMBER(INDEX(Frozen_Predictions!$C$4:$C$203,MATCH(A163,Frozen_Predictions!$A$4:$A$203,0))),INDEX(Frozen_Predictions!$B$4:$B$203,MATCH(A163,Frozen_Predictions!$A$4:$A$203,0))&lt;=INDEX(Frozen_Predictions!$C$4:$C$203,MATCH(A163,Frozen_Predictions!$A$4:$A$203,0)),ISNUMBER(INDEX(Frozen_Predictions!$L$4:$L$203,MATCH(A163,Frozen_Predictions!$A$4:$A$203,0))),ABS(I163-INDEX(Frozen_Predictions!$L$4:$L$203,MATCH(A163,Frozen_Predictions!$A$4:$A$203,0)))&lt;0.0000000001),1,0),0),0))</x:f>
        <x:v>0</x:v>
      </x:c>
    </x:row>
    <x:row r="164">
      <x:c r="R164" t="str">
        <x:f t="shared" ref="R164:R195" si="10">IF(X164&lt;&gt;1,"",POWER(I164-J164,2))</x:f>
      </x:c>
      <x:c r="S164" t="str">
        <x:f t="shared" ref="S164:S195" si="11">IF(X164&lt;&gt;1,"",-J164*LN(MAX(MIN(I164,0.999999),0.000001))-(1-J164)*LN(MAX(MIN(1-I164,0.999999),0.000001)))</x:f>
      </x:c>
      <x:c r="X164" s="227" t="n">
        <x:f>IF(OR(A164="",NOT(ISNUMBER(I164)),NOT(ISNUMBER(J164))),0,IF(AND(I164&gt;=0,I164&lt;=1,OR(J164=0,J164=1),COUNTIFS($A$4:$A$203,A164)=1,COUNTIFS(Frozen_Predictions!$A$4:$A$203,A164)=1),IFERROR(IF(AND(INDEX(Frozen_Predictions!$Q$4:$Q$203,MATCH(A164,Frozen_Predictions!$A$4:$A$203,0))="YES",ISNUMBER(INDEX(Frozen_Predictions!$B$4:$B$203,MATCH(A164,Frozen_Predictions!$A$4:$A$203,0))),ISNUMBER(INDEX(Frozen_Predictions!$C$4:$C$203,MATCH(A164,Frozen_Predictions!$A$4:$A$203,0))),INDEX(Frozen_Predictions!$B$4:$B$203,MATCH(A164,Frozen_Predictions!$A$4:$A$203,0))&lt;=INDEX(Frozen_Predictions!$C$4:$C$203,MATCH(A164,Frozen_Predictions!$A$4:$A$203,0)),ISNUMBER(INDEX(Frozen_Predictions!$L$4:$L$203,MATCH(A164,Frozen_Predictions!$A$4:$A$203,0))),ABS(I164-INDEX(Frozen_Predictions!$L$4:$L$203,MATCH(A164,Frozen_Predictions!$A$4:$A$203,0)))&lt;0.0000000001),1,0),0),0))</x:f>
        <x:v>0</x:v>
      </x:c>
    </x:row>
    <x:row r="165">
      <x:c r="R165" t="str">
        <x:f t="shared" si="10">IF(X165&lt;&gt;1,"",POWER(I165-J165,2))</x:f>
      </x:c>
      <x:c r="S165" t="str">
        <x:f t="shared" si="11">IF(X165&lt;&gt;1,"",-J165*LN(MAX(MIN(I165,0.999999),0.000001))-(1-J165)*LN(MAX(MIN(1-I165,0.999999),0.000001)))</x:f>
      </x:c>
      <x:c r="X165" s="227" t="n">
        <x:f>IF(OR(A165="",NOT(ISNUMBER(I165)),NOT(ISNUMBER(J165))),0,IF(AND(I165&gt;=0,I165&lt;=1,OR(J165=0,J165=1),COUNTIFS($A$4:$A$203,A165)=1,COUNTIFS(Frozen_Predictions!$A$4:$A$203,A165)=1),IFERROR(IF(AND(INDEX(Frozen_Predictions!$Q$4:$Q$203,MATCH(A165,Frozen_Predictions!$A$4:$A$203,0))="YES",ISNUMBER(INDEX(Frozen_Predictions!$B$4:$B$203,MATCH(A165,Frozen_Predictions!$A$4:$A$203,0))),ISNUMBER(INDEX(Frozen_Predictions!$C$4:$C$203,MATCH(A165,Frozen_Predictions!$A$4:$A$203,0))),INDEX(Frozen_Predictions!$B$4:$B$203,MATCH(A165,Frozen_Predictions!$A$4:$A$203,0))&lt;=INDEX(Frozen_Predictions!$C$4:$C$203,MATCH(A165,Frozen_Predictions!$A$4:$A$203,0)),ISNUMBER(INDEX(Frozen_Predictions!$L$4:$L$203,MATCH(A165,Frozen_Predictions!$A$4:$A$203,0))),ABS(I165-INDEX(Frozen_Predictions!$L$4:$L$203,MATCH(A165,Frozen_Predictions!$A$4:$A$203,0)))&lt;0.0000000001),1,0),0),0))</x:f>
        <x:v>0</x:v>
      </x:c>
    </x:row>
    <x:row r="166">
      <x:c r="R166" t="str">
        <x:f t="shared" si="10">IF(X166&lt;&gt;1,"",POWER(I166-J166,2))</x:f>
      </x:c>
      <x:c r="S166" t="str">
        <x:f t="shared" si="11">IF(X166&lt;&gt;1,"",-J166*LN(MAX(MIN(I166,0.999999),0.000001))-(1-J166)*LN(MAX(MIN(1-I166,0.999999),0.000001)))</x:f>
      </x:c>
      <x:c r="X166" s="227" t="n">
        <x:f>IF(OR(A166="",NOT(ISNUMBER(I166)),NOT(ISNUMBER(J166))),0,IF(AND(I166&gt;=0,I166&lt;=1,OR(J166=0,J166=1),COUNTIFS($A$4:$A$203,A166)=1,COUNTIFS(Frozen_Predictions!$A$4:$A$203,A166)=1),IFERROR(IF(AND(INDEX(Frozen_Predictions!$Q$4:$Q$203,MATCH(A166,Frozen_Predictions!$A$4:$A$203,0))="YES",ISNUMBER(INDEX(Frozen_Predictions!$B$4:$B$203,MATCH(A166,Frozen_Predictions!$A$4:$A$203,0))),ISNUMBER(INDEX(Frozen_Predictions!$C$4:$C$203,MATCH(A166,Frozen_Predictions!$A$4:$A$203,0))),INDEX(Frozen_Predictions!$B$4:$B$203,MATCH(A166,Frozen_Predictions!$A$4:$A$203,0))&lt;=INDEX(Frozen_Predictions!$C$4:$C$203,MATCH(A166,Frozen_Predictions!$A$4:$A$203,0)),ISNUMBER(INDEX(Frozen_Predictions!$L$4:$L$203,MATCH(A166,Frozen_Predictions!$A$4:$A$203,0))),ABS(I166-INDEX(Frozen_Predictions!$L$4:$L$203,MATCH(A166,Frozen_Predictions!$A$4:$A$203,0)))&lt;0.0000000001),1,0),0),0))</x:f>
        <x:v>0</x:v>
      </x:c>
    </x:row>
    <x:row r="167">
      <x:c r="R167" t="str">
        <x:f t="shared" si="10">IF(X167&lt;&gt;1,"",POWER(I167-J167,2))</x:f>
      </x:c>
      <x:c r="S167" t="str">
        <x:f t="shared" si="11">IF(X167&lt;&gt;1,"",-J167*LN(MAX(MIN(I167,0.999999),0.000001))-(1-J167)*LN(MAX(MIN(1-I167,0.999999),0.000001)))</x:f>
      </x:c>
      <x:c r="X167" s="227" t="n">
        <x:f>IF(OR(A167="",NOT(ISNUMBER(I167)),NOT(ISNUMBER(J167))),0,IF(AND(I167&gt;=0,I167&lt;=1,OR(J167=0,J167=1),COUNTIFS($A$4:$A$203,A167)=1,COUNTIFS(Frozen_Predictions!$A$4:$A$203,A167)=1),IFERROR(IF(AND(INDEX(Frozen_Predictions!$Q$4:$Q$203,MATCH(A167,Frozen_Predictions!$A$4:$A$203,0))="YES",ISNUMBER(INDEX(Frozen_Predictions!$B$4:$B$203,MATCH(A167,Frozen_Predictions!$A$4:$A$203,0))),ISNUMBER(INDEX(Frozen_Predictions!$C$4:$C$203,MATCH(A167,Frozen_Predictions!$A$4:$A$203,0))),INDEX(Frozen_Predictions!$B$4:$B$203,MATCH(A167,Frozen_Predictions!$A$4:$A$203,0))&lt;=INDEX(Frozen_Predictions!$C$4:$C$203,MATCH(A167,Frozen_Predictions!$A$4:$A$203,0)),ISNUMBER(INDEX(Frozen_Predictions!$L$4:$L$203,MATCH(A167,Frozen_Predictions!$A$4:$A$203,0))),ABS(I167-INDEX(Frozen_Predictions!$L$4:$L$203,MATCH(A167,Frozen_Predictions!$A$4:$A$203,0)))&lt;0.0000000001),1,0),0),0))</x:f>
        <x:v>0</x:v>
      </x:c>
    </x:row>
    <x:row r="168">
      <x:c r="R168" t="str">
        <x:f t="shared" si="10">IF(X168&lt;&gt;1,"",POWER(I168-J168,2))</x:f>
      </x:c>
      <x:c r="S168" t="str">
        <x:f t="shared" si="11">IF(X168&lt;&gt;1,"",-J168*LN(MAX(MIN(I168,0.999999),0.000001))-(1-J168)*LN(MAX(MIN(1-I168,0.999999),0.000001)))</x:f>
      </x:c>
      <x:c r="X168" s="227" t="n">
        <x:f>IF(OR(A168="",NOT(ISNUMBER(I168)),NOT(ISNUMBER(J168))),0,IF(AND(I168&gt;=0,I168&lt;=1,OR(J168=0,J168=1),COUNTIFS($A$4:$A$203,A168)=1,COUNTIFS(Frozen_Predictions!$A$4:$A$203,A168)=1),IFERROR(IF(AND(INDEX(Frozen_Predictions!$Q$4:$Q$203,MATCH(A168,Frozen_Predictions!$A$4:$A$203,0))="YES",ISNUMBER(INDEX(Frozen_Predictions!$B$4:$B$203,MATCH(A168,Frozen_Predictions!$A$4:$A$203,0))),ISNUMBER(INDEX(Frozen_Predictions!$C$4:$C$203,MATCH(A168,Frozen_Predictions!$A$4:$A$203,0))),INDEX(Frozen_Predictions!$B$4:$B$203,MATCH(A168,Frozen_Predictions!$A$4:$A$203,0))&lt;=INDEX(Frozen_Predictions!$C$4:$C$203,MATCH(A168,Frozen_Predictions!$A$4:$A$203,0)),ISNUMBER(INDEX(Frozen_Predictions!$L$4:$L$203,MATCH(A168,Frozen_Predictions!$A$4:$A$203,0))),ABS(I168-INDEX(Frozen_Predictions!$L$4:$L$203,MATCH(A168,Frozen_Predictions!$A$4:$A$203,0)))&lt;0.0000000001),1,0),0),0))</x:f>
        <x:v>0</x:v>
      </x:c>
    </x:row>
    <x:row r="169">
      <x:c r="R169" t="str">
        <x:f t="shared" si="10">IF(X169&lt;&gt;1,"",POWER(I169-J169,2))</x:f>
      </x:c>
      <x:c r="S169" t="str">
        <x:f t="shared" si="11">IF(X169&lt;&gt;1,"",-J169*LN(MAX(MIN(I169,0.999999),0.000001))-(1-J169)*LN(MAX(MIN(1-I169,0.999999),0.000001)))</x:f>
      </x:c>
      <x:c r="X169" s="227" t="n">
        <x:f>IF(OR(A169="",NOT(ISNUMBER(I169)),NOT(ISNUMBER(J169))),0,IF(AND(I169&gt;=0,I169&lt;=1,OR(J169=0,J169=1),COUNTIFS($A$4:$A$203,A169)=1,COUNTIFS(Frozen_Predictions!$A$4:$A$203,A169)=1),IFERROR(IF(AND(INDEX(Frozen_Predictions!$Q$4:$Q$203,MATCH(A169,Frozen_Predictions!$A$4:$A$203,0))="YES",ISNUMBER(INDEX(Frozen_Predictions!$B$4:$B$203,MATCH(A169,Frozen_Predictions!$A$4:$A$203,0))),ISNUMBER(INDEX(Frozen_Predictions!$C$4:$C$203,MATCH(A169,Frozen_Predictions!$A$4:$A$203,0))),INDEX(Frozen_Predictions!$B$4:$B$203,MATCH(A169,Frozen_Predictions!$A$4:$A$203,0))&lt;=INDEX(Frozen_Predictions!$C$4:$C$203,MATCH(A169,Frozen_Predictions!$A$4:$A$203,0)),ISNUMBER(INDEX(Frozen_Predictions!$L$4:$L$203,MATCH(A169,Frozen_Predictions!$A$4:$A$203,0))),ABS(I169-INDEX(Frozen_Predictions!$L$4:$L$203,MATCH(A169,Frozen_Predictions!$A$4:$A$203,0)))&lt;0.0000000001),1,0),0),0))</x:f>
        <x:v>0</x:v>
      </x:c>
    </x:row>
    <x:row r="170">
      <x:c r="R170" t="str">
        <x:f t="shared" si="10">IF(X170&lt;&gt;1,"",POWER(I170-J170,2))</x:f>
      </x:c>
      <x:c r="S170" t="str">
        <x:f t="shared" si="11">IF(X170&lt;&gt;1,"",-J170*LN(MAX(MIN(I170,0.999999),0.000001))-(1-J170)*LN(MAX(MIN(1-I170,0.999999),0.000001)))</x:f>
      </x:c>
      <x:c r="X170" s="227" t="n">
        <x:f>IF(OR(A170="",NOT(ISNUMBER(I170)),NOT(ISNUMBER(J170))),0,IF(AND(I170&gt;=0,I170&lt;=1,OR(J170=0,J170=1),COUNTIFS($A$4:$A$203,A170)=1,COUNTIFS(Frozen_Predictions!$A$4:$A$203,A170)=1),IFERROR(IF(AND(INDEX(Frozen_Predictions!$Q$4:$Q$203,MATCH(A170,Frozen_Predictions!$A$4:$A$203,0))="YES",ISNUMBER(INDEX(Frozen_Predictions!$B$4:$B$203,MATCH(A170,Frozen_Predictions!$A$4:$A$203,0))),ISNUMBER(INDEX(Frozen_Predictions!$C$4:$C$203,MATCH(A170,Frozen_Predictions!$A$4:$A$203,0))),INDEX(Frozen_Predictions!$B$4:$B$203,MATCH(A170,Frozen_Predictions!$A$4:$A$203,0))&lt;=INDEX(Frozen_Predictions!$C$4:$C$203,MATCH(A170,Frozen_Predictions!$A$4:$A$203,0)),ISNUMBER(INDEX(Frozen_Predictions!$L$4:$L$203,MATCH(A170,Frozen_Predictions!$A$4:$A$203,0))),ABS(I170-INDEX(Frozen_Predictions!$L$4:$L$203,MATCH(A170,Frozen_Predictions!$A$4:$A$203,0)))&lt;0.0000000001),1,0),0),0))</x:f>
        <x:v>0</x:v>
      </x:c>
    </x:row>
    <x:row r="171">
      <x:c r="R171" t="str">
        <x:f t="shared" si="10">IF(X171&lt;&gt;1,"",POWER(I171-J171,2))</x:f>
      </x:c>
      <x:c r="S171" t="str">
        <x:f t="shared" si="11">IF(X171&lt;&gt;1,"",-J171*LN(MAX(MIN(I171,0.999999),0.000001))-(1-J171)*LN(MAX(MIN(1-I171,0.999999),0.000001)))</x:f>
      </x:c>
      <x:c r="X171" s="227" t="n">
        <x:f>IF(OR(A171="",NOT(ISNUMBER(I171)),NOT(ISNUMBER(J171))),0,IF(AND(I171&gt;=0,I171&lt;=1,OR(J171=0,J171=1),COUNTIFS($A$4:$A$203,A171)=1,COUNTIFS(Frozen_Predictions!$A$4:$A$203,A171)=1),IFERROR(IF(AND(INDEX(Frozen_Predictions!$Q$4:$Q$203,MATCH(A171,Frozen_Predictions!$A$4:$A$203,0))="YES",ISNUMBER(INDEX(Frozen_Predictions!$B$4:$B$203,MATCH(A171,Frozen_Predictions!$A$4:$A$203,0))),ISNUMBER(INDEX(Frozen_Predictions!$C$4:$C$203,MATCH(A171,Frozen_Predictions!$A$4:$A$203,0))),INDEX(Frozen_Predictions!$B$4:$B$203,MATCH(A171,Frozen_Predictions!$A$4:$A$203,0))&lt;=INDEX(Frozen_Predictions!$C$4:$C$203,MATCH(A171,Frozen_Predictions!$A$4:$A$203,0)),ISNUMBER(INDEX(Frozen_Predictions!$L$4:$L$203,MATCH(A171,Frozen_Predictions!$A$4:$A$203,0))),ABS(I171-INDEX(Frozen_Predictions!$L$4:$L$203,MATCH(A171,Frozen_Predictions!$A$4:$A$203,0)))&lt;0.0000000001),1,0),0),0))</x:f>
        <x:v>0</x:v>
      </x:c>
    </x:row>
    <x:row r="172">
      <x:c r="R172" t="str">
        <x:f t="shared" si="10">IF(X172&lt;&gt;1,"",POWER(I172-J172,2))</x:f>
      </x:c>
      <x:c r="S172" t="str">
        <x:f t="shared" si="11">IF(X172&lt;&gt;1,"",-J172*LN(MAX(MIN(I172,0.999999),0.000001))-(1-J172)*LN(MAX(MIN(1-I172,0.999999),0.000001)))</x:f>
      </x:c>
      <x:c r="X172" s="227" t="n">
        <x:f>IF(OR(A172="",NOT(ISNUMBER(I172)),NOT(ISNUMBER(J172))),0,IF(AND(I172&gt;=0,I172&lt;=1,OR(J172=0,J172=1),COUNTIFS($A$4:$A$203,A172)=1,COUNTIFS(Frozen_Predictions!$A$4:$A$203,A172)=1),IFERROR(IF(AND(INDEX(Frozen_Predictions!$Q$4:$Q$203,MATCH(A172,Frozen_Predictions!$A$4:$A$203,0))="YES",ISNUMBER(INDEX(Frozen_Predictions!$B$4:$B$203,MATCH(A172,Frozen_Predictions!$A$4:$A$203,0))),ISNUMBER(INDEX(Frozen_Predictions!$C$4:$C$203,MATCH(A172,Frozen_Predictions!$A$4:$A$203,0))),INDEX(Frozen_Predictions!$B$4:$B$203,MATCH(A172,Frozen_Predictions!$A$4:$A$203,0))&lt;=INDEX(Frozen_Predictions!$C$4:$C$203,MATCH(A172,Frozen_Predictions!$A$4:$A$203,0)),ISNUMBER(INDEX(Frozen_Predictions!$L$4:$L$203,MATCH(A172,Frozen_Predictions!$A$4:$A$203,0))),ABS(I172-INDEX(Frozen_Predictions!$L$4:$L$203,MATCH(A172,Frozen_Predictions!$A$4:$A$203,0)))&lt;0.0000000001),1,0),0),0))</x:f>
        <x:v>0</x:v>
      </x:c>
    </x:row>
    <x:row r="173">
      <x:c r="R173" t="str">
        <x:f t="shared" si="10">IF(X173&lt;&gt;1,"",POWER(I173-J173,2))</x:f>
      </x:c>
      <x:c r="S173" t="str">
        <x:f t="shared" si="11">IF(X173&lt;&gt;1,"",-J173*LN(MAX(MIN(I173,0.999999),0.000001))-(1-J173)*LN(MAX(MIN(1-I173,0.999999),0.000001)))</x:f>
      </x:c>
      <x:c r="X173" s="227" t="n">
        <x:f>IF(OR(A173="",NOT(ISNUMBER(I173)),NOT(ISNUMBER(J173))),0,IF(AND(I173&gt;=0,I173&lt;=1,OR(J173=0,J173=1),COUNTIFS($A$4:$A$203,A173)=1,COUNTIFS(Frozen_Predictions!$A$4:$A$203,A173)=1),IFERROR(IF(AND(INDEX(Frozen_Predictions!$Q$4:$Q$203,MATCH(A173,Frozen_Predictions!$A$4:$A$203,0))="YES",ISNUMBER(INDEX(Frozen_Predictions!$B$4:$B$203,MATCH(A173,Frozen_Predictions!$A$4:$A$203,0))),ISNUMBER(INDEX(Frozen_Predictions!$C$4:$C$203,MATCH(A173,Frozen_Predictions!$A$4:$A$203,0))),INDEX(Frozen_Predictions!$B$4:$B$203,MATCH(A173,Frozen_Predictions!$A$4:$A$203,0))&lt;=INDEX(Frozen_Predictions!$C$4:$C$203,MATCH(A173,Frozen_Predictions!$A$4:$A$203,0)),ISNUMBER(INDEX(Frozen_Predictions!$L$4:$L$203,MATCH(A173,Frozen_Predictions!$A$4:$A$203,0))),ABS(I173-INDEX(Frozen_Predictions!$L$4:$L$203,MATCH(A173,Frozen_Predictions!$A$4:$A$203,0)))&lt;0.0000000001),1,0),0),0))</x:f>
        <x:v>0</x:v>
      </x:c>
    </x:row>
    <x:row r="174">
      <x:c r="R174" t="str">
        <x:f t="shared" si="10">IF(X174&lt;&gt;1,"",POWER(I174-J174,2))</x:f>
      </x:c>
      <x:c r="S174" t="str">
        <x:f t="shared" si="11">IF(X174&lt;&gt;1,"",-J174*LN(MAX(MIN(I174,0.999999),0.000001))-(1-J174)*LN(MAX(MIN(1-I174,0.999999),0.000001)))</x:f>
      </x:c>
      <x:c r="X174" s="227" t="n">
        <x:f>IF(OR(A174="",NOT(ISNUMBER(I174)),NOT(ISNUMBER(J174))),0,IF(AND(I174&gt;=0,I174&lt;=1,OR(J174=0,J174=1),COUNTIFS($A$4:$A$203,A174)=1,COUNTIFS(Frozen_Predictions!$A$4:$A$203,A174)=1),IFERROR(IF(AND(INDEX(Frozen_Predictions!$Q$4:$Q$203,MATCH(A174,Frozen_Predictions!$A$4:$A$203,0))="YES",ISNUMBER(INDEX(Frozen_Predictions!$B$4:$B$203,MATCH(A174,Frozen_Predictions!$A$4:$A$203,0))),ISNUMBER(INDEX(Frozen_Predictions!$C$4:$C$203,MATCH(A174,Frozen_Predictions!$A$4:$A$203,0))),INDEX(Frozen_Predictions!$B$4:$B$203,MATCH(A174,Frozen_Predictions!$A$4:$A$203,0))&lt;=INDEX(Frozen_Predictions!$C$4:$C$203,MATCH(A174,Frozen_Predictions!$A$4:$A$203,0)),ISNUMBER(INDEX(Frozen_Predictions!$L$4:$L$203,MATCH(A174,Frozen_Predictions!$A$4:$A$203,0))),ABS(I174-INDEX(Frozen_Predictions!$L$4:$L$203,MATCH(A174,Frozen_Predictions!$A$4:$A$203,0)))&lt;0.0000000001),1,0),0),0))</x:f>
        <x:v>0</x:v>
      </x:c>
    </x:row>
    <x:row r="175">
      <x:c r="R175" t="str">
        <x:f t="shared" si="10">IF(X175&lt;&gt;1,"",POWER(I175-J175,2))</x:f>
      </x:c>
      <x:c r="S175" t="str">
        <x:f t="shared" si="11">IF(X175&lt;&gt;1,"",-J175*LN(MAX(MIN(I175,0.999999),0.000001))-(1-J175)*LN(MAX(MIN(1-I175,0.999999),0.000001)))</x:f>
      </x:c>
      <x:c r="X175" s="227" t="n">
        <x:f>IF(OR(A175="",NOT(ISNUMBER(I175)),NOT(ISNUMBER(J175))),0,IF(AND(I175&gt;=0,I175&lt;=1,OR(J175=0,J175=1),COUNTIFS($A$4:$A$203,A175)=1,COUNTIFS(Frozen_Predictions!$A$4:$A$203,A175)=1),IFERROR(IF(AND(INDEX(Frozen_Predictions!$Q$4:$Q$203,MATCH(A175,Frozen_Predictions!$A$4:$A$203,0))="YES",ISNUMBER(INDEX(Frozen_Predictions!$B$4:$B$203,MATCH(A175,Frozen_Predictions!$A$4:$A$203,0))),ISNUMBER(INDEX(Frozen_Predictions!$C$4:$C$203,MATCH(A175,Frozen_Predictions!$A$4:$A$203,0))),INDEX(Frozen_Predictions!$B$4:$B$203,MATCH(A175,Frozen_Predictions!$A$4:$A$203,0))&lt;=INDEX(Frozen_Predictions!$C$4:$C$203,MATCH(A175,Frozen_Predictions!$A$4:$A$203,0)),ISNUMBER(INDEX(Frozen_Predictions!$L$4:$L$203,MATCH(A175,Frozen_Predictions!$A$4:$A$203,0))),ABS(I175-INDEX(Frozen_Predictions!$L$4:$L$203,MATCH(A175,Frozen_Predictions!$A$4:$A$203,0)))&lt;0.0000000001),1,0),0),0))</x:f>
        <x:v>0</x:v>
      </x:c>
    </x:row>
    <x:row r="176">
      <x:c r="R176" t="str">
        <x:f t="shared" si="10">IF(X176&lt;&gt;1,"",POWER(I176-J176,2))</x:f>
      </x:c>
      <x:c r="S176" t="str">
        <x:f t="shared" si="11">IF(X176&lt;&gt;1,"",-J176*LN(MAX(MIN(I176,0.999999),0.000001))-(1-J176)*LN(MAX(MIN(1-I176,0.999999),0.000001)))</x:f>
      </x:c>
      <x:c r="X176" s="227" t="n">
        <x:f>IF(OR(A176="",NOT(ISNUMBER(I176)),NOT(ISNUMBER(J176))),0,IF(AND(I176&gt;=0,I176&lt;=1,OR(J176=0,J176=1),COUNTIFS($A$4:$A$203,A176)=1,COUNTIFS(Frozen_Predictions!$A$4:$A$203,A176)=1),IFERROR(IF(AND(INDEX(Frozen_Predictions!$Q$4:$Q$203,MATCH(A176,Frozen_Predictions!$A$4:$A$203,0))="YES",ISNUMBER(INDEX(Frozen_Predictions!$B$4:$B$203,MATCH(A176,Frozen_Predictions!$A$4:$A$203,0))),ISNUMBER(INDEX(Frozen_Predictions!$C$4:$C$203,MATCH(A176,Frozen_Predictions!$A$4:$A$203,0))),INDEX(Frozen_Predictions!$B$4:$B$203,MATCH(A176,Frozen_Predictions!$A$4:$A$203,0))&lt;=INDEX(Frozen_Predictions!$C$4:$C$203,MATCH(A176,Frozen_Predictions!$A$4:$A$203,0)),ISNUMBER(INDEX(Frozen_Predictions!$L$4:$L$203,MATCH(A176,Frozen_Predictions!$A$4:$A$203,0))),ABS(I176-INDEX(Frozen_Predictions!$L$4:$L$203,MATCH(A176,Frozen_Predictions!$A$4:$A$203,0)))&lt;0.0000000001),1,0),0),0))</x:f>
        <x:v>0</x:v>
      </x:c>
    </x:row>
    <x:row r="177">
      <x:c r="R177" t="str">
        <x:f t="shared" si="10">IF(X177&lt;&gt;1,"",POWER(I177-J177,2))</x:f>
      </x:c>
      <x:c r="S177" t="str">
        <x:f t="shared" si="11">IF(X177&lt;&gt;1,"",-J177*LN(MAX(MIN(I177,0.999999),0.000001))-(1-J177)*LN(MAX(MIN(1-I177,0.999999),0.000001)))</x:f>
      </x:c>
      <x:c r="X177" s="227" t="n">
        <x:f>IF(OR(A177="",NOT(ISNUMBER(I177)),NOT(ISNUMBER(J177))),0,IF(AND(I177&gt;=0,I177&lt;=1,OR(J177=0,J177=1),COUNTIFS($A$4:$A$203,A177)=1,COUNTIFS(Frozen_Predictions!$A$4:$A$203,A177)=1),IFERROR(IF(AND(INDEX(Frozen_Predictions!$Q$4:$Q$203,MATCH(A177,Frozen_Predictions!$A$4:$A$203,0))="YES",ISNUMBER(INDEX(Frozen_Predictions!$B$4:$B$203,MATCH(A177,Frozen_Predictions!$A$4:$A$203,0))),ISNUMBER(INDEX(Frozen_Predictions!$C$4:$C$203,MATCH(A177,Frozen_Predictions!$A$4:$A$203,0))),INDEX(Frozen_Predictions!$B$4:$B$203,MATCH(A177,Frozen_Predictions!$A$4:$A$203,0))&lt;=INDEX(Frozen_Predictions!$C$4:$C$203,MATCH(A177,Frozen_Predictions!$A$4:$A$203,0)),ISNUMBER(INDEX(Frozen_Predictions!$L$4:$L$203,MATCH(A177,Frozen_Predictions!$A$4:$A$203,0))),ABS(I177-INDEX(Frozen_Predictions!$L$4:$L$203,MATCH(A177,Frozen_Predictions!$A$4:$A$203,0)))&lt;0.0000000001),1,0),0),0))</x:f>
        <x:v>0</x:v>
      </x:c>
    </x:row>
    <x:row r="178">
      <x:c r="R178" t="str">
        <x:f t="shared" si="10">IF(X178&lt;&gt;1,"",POWER(I178-J178,2))</x:f>
      </x:c>
      <x:c r="S178" t="str">
        <x:f t="shared" si="11">IF(X178&lt;&gt;1,"",-J178*LN(MAX(MIN(I178,0.999999),0.000001))-(1-J178)*LN(MAX(MIN(1-I178,0.999999),0.000001)))</x:f>
      </x:c>
      <x:c r="X178" s="227" t="n">
        <x:f>IF(OR(A178="",NOT(ISNUMBER(I178)),NOT(ISNUMBER(J178))),0,IF(AND(I178&gt;=0,I178&lt;=1,OR(J178=0,J178=1),COUNTIFS($A$4:$A$203,A178)=1,COUNTIFS(Frozen_Predictions!$A$4:$A$203,A178)=1),IFERROR(IF(AND(INDEX(Frozen_Predictions!$Q$4:$Q$203,MATCH(A178,Frozen_Predictions!$A$4:$A$203,0))="YES",ISNUMBER(INDEX(Frozen_Predictions!$B$4:$B$203,MATCH(A178,Frozen_Predictions!$A$4:$A$203,0))),ISNUMBER(INDEX(Frozen_Predictions!$C$4:$C$203,MATCH(A178,Frozen_Predictions!$A$4:$A$203,0))),INDEX(Frozen_Predictions!$B$4:$B$203,MATCH(A178,Frozen_Predictions!$A$4:$A$203,0))&lt;=INDEX(Frozen_Predictions!$C$4:$C$203,MATCH(A178,Frozen_Predictions!$A$4:$A$203,0)),ISNUMBER(INDEX(Frozen_Predictions!$L$4:$L$203,MATCH(A178,Frozen_Predictions!$A$4:$A$203,0))),ABS(I178-INDEX(Frozen_Predictions!$L$4:$L$203,MATCH(A178,Frozen_Predictions!$A$4:$A$203,0)))&lt;0.0000000001),1,0),0),0))</x:f>
        <x:v>0</x:v>
      </x:c>
    </x:row>
    <x:row r="179">
      <x:c r="R179" t="str">
        <x:f t="shared" si="10">IF(X179&lt;&gt;1,"",POWER(I179-J179,2))</x:f>
      </x:c>
      <x:c r="S179" t="str">
        <x:f t="shared" si="11">IF(X179&lt;&gt;1,"",-J179*LN(MAX(MIN(I179,0.999999),0.000001))-(1-J179)*LN(MAX(MIN(1-I179,0.999999),0.000001)))</x:f>
      </x:c>
      <x:c r="X179" s="227" t="n">
        <x:f>IF(OR(A179="",NOT(ISNUMBER(I179)),NOT(ISNUMBER(J179))),0,IF(AND(I179&gt;=0,I179&lt;=1,OR(J179=0,J179=1),COUNTIFS($A$4:$A$203,A179)=1,COUNTIFS(Frozen_Predictions!$A$4:$A$203,A179)=1),IFERROR(IF(AND(INDEX(Frozen_Predictions!$Q$4:$Q$203,MATCH(A179,Frozen_Predictions!$A$4:$A$203,0))="YES",ISNUMBER(INDEX(Frozen_Predictions!$B$4:$B$203,MATCH(A179,Frozen_Predictions!$A$4:$A$203,0))),ISNUMBER(INDEX(Frozen_Predictions!$C$4:$C$203,MATCH(A179,Frozen_Predictions!$A$4:$A$203,0))),INDEX(Frozen_Predictions!$B$4:$B$203,MATCH(A179,Frozen_Predictions!$A$4:$A$203,0))&lt;=INDEX(Frozen_Predictions!$C$4:$C$203,MATCH(A179,Frozen_Predictions!$A$4:$A$203,0)),ISNUMBER(INDEX(Frozen_Predictions!$L$4:$L$203,MATCH(A179,Frozen_Predictions!$A$4:$A$203,0))),ABS(I179-INDEX(Frozen_Predictions!$L$4:$L$203,MATCH(A179,Frozen_Predictions!$A$4:$A$203,0)))&lt;0.0000000001),1,0),0),0))</x:f>
        <x:v>0</x:v>
      </x:c>
    </x:row>
    <x:row r="180">
      <x:c r="R180" t="str">
        <x:f t="shared" si="10">IF(X180&lt;&gt;1,"",POWER(I180-J180,2))</x:f>
      </x:c>
      <x:c r="S180" t="str">
        <x:f t="shared" si="11">IF(X180&lt;&gt;1,"",-J180*LN(MAX(MIN(I180,0.999999),0.000001))-(1-J180)*LN(MAX(MIN(1-I180,0.999999),0.000001)))</x:f>
      </x:c>
      <x:c r="X180" s="227" t="n">
        <x:f>IF(OR(A180="",NOT(ISNUMBER(I180)),NOT(ISNUMBER(J180))),0,IF(AND(I180&gt;=0,I180&lt;=1,OR(J180=0,J180=1),COUNTIFS($A$4:$A$203,A180)=1,COUNTIFS(Frozen_Predictions!$A$4:$A$203,A180)=1),IFERROR(IF(AND(INDEX(Frozen_Predictions!$Q$4:$Q$203,MATCH(A180,Frozen_Predictions!$A$4:$A$203,0))="YES",ISNUMBER(INDEX(Frozen_Predictions!$B$4:$B$203,MATCH(A180,Frozen_Predictions!$A$4:$A$203,0))),ISNUMBER(INDEX(Frozen_Predictions!$C$4:$C$203,MATCH(A180,Frozen_Predictions!$A$4:$A$203,0))),INDEX(Frozen_Predictions!$B$4:$B$203,MATCH(A180,Frozen_Predictions!$A$4:$A$203,0))&lt;=INDEX(Frozen_Predictions!$C$4:$C$203,MATCH(A180,Frozen_Predictions!$A$4:$A$203,0)),ISNUMBER(INDEX(Frozen_Predictions!$L$4:$L$203,MATCH(A180,Frozen_Predictions!$A$4:$A$203,0))),ABS(I180-INDEX(Frozen_Predictions!$L$4:$L$203,MATCH(A180,Frozen_Predictions!$A$4:$A$203,0)))&lt;0.0000000001),1,0),0),0))</x:f>
        <x:v>0</x:v>
      </x:c>
    </x:row>
    <x:row r="181">
      <x:c r="R181" t="str">
        <x:f t="shared" si="10">IF(X181&lt;&gt;1,"",POWER(I181-J181,2))</x:f>
      </x:c>
      <x:c r="S181" t="str">
        <x:f t="shared" si="11">IF(X181&lt;&gt;1,"",-J181*LN(MAX(MIN(I181,0.999999),0.000001))-(1-J181)*LN(MAX(MIN(1-I181,0.999999),0.000001)))</x:f>
      </x:c>
      <x:c r="X181" s="227" t="n">
        <x:f>IF(OR(A181="",NOT(ISNUMBER(I181)),NOT(ISNUMBER(J181))),0,IF(AND(I181&gt;=0,I181&lt;=1,OR(J181=0,J181=1),COUNTIFS($A$4:$A$203,A181)=1,COUNTIFS(Frozen_Predictions!$A$4:$A$203,A181)=1),IFERROR(IF(AND(INDEX(Frozen_Predictions!$Q$4:$Q$203,MATCH(A181,Frozen_Predictions!$A$4:$A$203,0))="YES",ISNUMBER(INDEX(Frozen_Predictions!$B$4:$B$203,MATCH(A181,Frozen_Predictions!$A$4:$A$203,0))),ISNUMBER(INDEX(Frozen_Predictions!$C$4:$C$203,MATCH(A181,Frozen_Predictions!$A$4:$A$203,0))),INDEX(Frozen_Predictions!$B$4:$B$203,MATCH(A181,Frozen_Predictions!$A$4:$A$203,0))&lt;=INDEX(Frozen_Predictions!$C$4:$C$203,MATCH(A181,Frozen_Predictions!$A$4:$A$203,0)),ISNUMBER(INDEX(Frozen_Predictions!$L$4:$L$203,MATCH(A181,Frozen_Predictions!$A$4:$A$203,0))),ABS(I181-INDEX(Frozen_Predictions!$L$4:$L$203,MATCH(A181,Frozen_Predictions!$A$4:$A$203,0)))&lt;0.0000000001),1,0),0),0))</x:f>
        <x:v>0</x:v>
      </x:c>
    </x:row>
    <x:row r="182">
      <x:c r="R182" t="str">
        <x:f t="shared" si="10">IF(X182&lt;&gt;1,"",POWER(I182-J182,2))</x:f>
      </x:c>
      <x:c r="S182" t="str">
        <x:f t="shared" si="11">IF(X182&lt;&gt;1,"",-J182*LN(MAX(MIN(I182,0.999999),0.000001))-(1-J182)*LN(MAX(MIN(1-I182,0.999999),0.000001)))</x:f>
      </x:c>
      <x:c r="X182" s="227" t="n">
        <x:f>IF(OR(A182="",NOT(ISNUMBER(I182)),NOT(ISNUMBER(J182))),0,IF(AND(I182&gt;=0,I182&lt;=1,OR(J182=0,J182=1),COUNTIFS($A$4:$A$203,A182)=1,COUNTIFS(Frozen_Predictions!$A$4:$A$203,A182)=1),IFERROR(IF(AND(INDEX(Frozen_Predictions!$Q$4:$Q$203,MATCH(A182,Frozen_Predictions!$A$4:$A$203,0))="YES",ISNUMBER(INDEX(Frozen_Predictions!$B$4:$B$203,MATCH(A182,Frozen_Predictions!$A$4:$A$203,0))),ISNUMBER(INDEX(Frozen_Predictions!$C$4:$C$203,MATCH(A182,Frozen_Predictions!$A$4:$A$203,0))),INDEX(Frozen_Predictions!$B$4:$B$203,MATCH(A182,Frozen_Predictions!$A$4:$A$203,0))&lt;=INDEX(Frozen_Predictions!$C$4:$C$203,MATCH(A182,Frozen_Predictions!$A$4:$A$203,0)),ISNUMBER(INDEX(Frozen_Predictions!$L$4:$L$203,MATCH(A182,Frozen_Predictions!$A$4:$A$203,0))),ABS(I182-INDEX(Frozen_Predictions!$L$4:$L$203,MATCH(A182,Frozen_Predictions!$A$4:$A$203,0)))&lt;0.0000000001),1,0),0),0))</x:f>
        <x:v>0</x:v>
      </x:c>
    </x:row>
    <x:row r="183">
      <x:c r="R183" t="str">
        <x:f t="shared" si="10">IF(X183&lt;&gt;1,"",POWER(I183-J183,2))</x:f>
      </x:c>
      <x:c r="S183" t="str">
        <x:f t="shared" si="11">IF(X183&lt;&gt;1,"",-J183*LN(MAX(MIN(I183,0.999999),0.000001))-(1-J183)*LN(MAX(MIN(1-I183,0.999999),0.000001)))</x:f>
      </x:c>
      <x:c r="X183" s="227" t="n">
        <x:f>IF(OR(A183="",NOT(ISNUMBER(I183)),NOT(ISNUMBER(J183))),0,IF(AND(I183&gt;=0,I183&lt;=1,OR(J183=0,J183=1),COUNTIFS($A$4:$A$203,A183)=1,COUNTIFS(Frozen_Predictions!$A$4:$A$203,A183)=1),IFERROR(IF(AND(INDEX(Frozen_Predictions!$Q$4:$Q$203,MATCH(A183,Frozen_Predictions!$A$4:$A$203,0))="YES",ISNUMBER(INDEX(Frozen_Predictions!$B$4:$B$203,MATCH(A183,Frozen_Predictions!$A$4:$A$203,0))),ISNUMBER(INDEX(Frozen_Predictions!$C$4:$C$203,MATCH(A183,Frozen_Predictions!$A$4:$A$203,0))),INDEX(Frozen_Predictions!$B$4:$B$203,MATCH(A183,Frozen_Predictions!$A$4:$A$203,0))&lt;=INDEX(Frozen_Predictions!$C$4:$C$203,MATCH(A183,Frozen_Predictions!$A$4:$A$203,0)),ISNUMBER(INDEX(Frozen_Predictions!$L$4:$L$203,MATCH(A183,Frozen_Predictions!$A$4:$A$203,0))),ABS(I183-INDEX(Frozen_Predictions!$L$4:$L$203,MATCH(A183,Frozen_Predictions!$A$4:$A$203,0)))&lt;0.0000000001),1,0),0),0))</x:f>
        <x:v>0</x:v>
      </x:c>
    </x:row>
    <x:row r="184">
      <x:c r="R184" t="str">
        <x:f t="shared" si="10">IF(X184&lt;&gt;1,"",POWER(I184-J184,2))</x:f>
      </x:c>
      <x:c r="S184" t="str">
        <x:f t="shared" si="11">IF(X184&lt;&gt;1,"",-J184*LN(MAX(MIN(I184,0.999999),0.000001))-(1-J184)*LN(MAX(MIN(1-I184,0.999999),0.000001)))</x:f>
      </x:c>
      <x:c r="X184" s="227" t="n">
        <x:f>IF(OR(A184="",NOT(ISNUMBER(I184)),NOT(ISNUMBER(J184))),0,IF(AND(I184&gt;=0,I184&lt;=1,OR(J184=0,J184=1),COUNTIFS($A$4:$A$203,A184)=1,COUNTIFS(Frozen_Predictions!$A$4:$A$203,A184)=1),IFERROR(IF(AND(INDEX(Frozen_Predictions!$Q$4:$Q$203,MATCH(A184,Frozen_Predictions!$A$4:$A$203,0))="YES",ISNUMBER(INDEX(Frozen_Predictions!$B$4:$B$203,MATCH(A184,Frozen_Predictions!$A$4:$A$203,0))),ISNUMBER(INDEX(Frozen_Predictions!$C$4:$C$203,MATCH(A184,Frozen_Predictions!$A$4:$A$203,0))),INDEX(Frozen_Predictions!$B$4:$B$203,MATCH(A184,Frozen_Predictions!$A$4:$A$203,0))&lt;=INDEX(Frozen_Predictions!$C$4:$C$203,MATCH(A184,Frozen_Predictions!$A$4:$A$203,0)),ISNUMBER(INDEX(Frozen_Predictions!$L$4:$L$203,MATCH(A184,Frozen_Predictions!$A$4:$A$203,0))),ABS(I184-INDEX(Frozen_Predictions!$L$4:$L$203,MATCH(A184,Frozen_Predictions!$A$4:$A$203,0)))&lt;0.0000000001),1,0),0),0))</x:f>
        <x:v>0</x:v>
      </x:c>
    </x:row>
    <x:row r="185">
      <x:c r="R185" t="str">
        <x:f t="shared" si="10">IF(X185&lt;&gt;1,"",POWER(I185-J185,2))</x:f>
      </x:c>
      <x:c r="S185" t="str">
        <x:f t="shared" si="11">IF(X185&lt;&gt;1,"",-J185*LN(MAX(MIN(I185,0.999999),0.000001))-(1-J185)*LN(MAX(MIN(1-I185,0.999999),0.000001)))</x:f>
      </x:c>
      <x:c r="X185" s="227" t="n">
        <x:f>IF(OR(A185="",NOT(ISNUMBER(I185)),NOT(ISNUMBER(J185))),0,IF(AND(I185&gt;=0,I185&lt;=1,OR(J185=0,J185=1),COUNTIFS($A$4:$A$203,A185)=1,COUNTIFS(Frozen_Predictions!$A$4:$A$203,A185)=1),IFERROR(IF(AND(INDEX(Frozen_Predictions!$Q$4:$Q$203,MATCH(A185,Frozen_Predictions!$A$4:$A$203,0))="YES",ISNUMBER(INDEX(Frozen_Predictions!$B$4:$B$203,MATCH(A185,Frozen_Predictions!$A$4:$A$203,0))),ISNUMBER(INDEX(Frozen_Predictions!$C$4:$C$203,MATCH(A185,Frozen_Predictions!$A$4:$A$203,0))),INDEX(Frozen_Predictions!$B$4:$B$203,MATCH(A185,Frozen_Predictions!$A$4:$A$203,0))&lt;=INDEX(Frozen_Predictions!$C$4:$C$203,MATCH(A185,Frozen_Predictions!$A$4:$A$203,0)),ISNUMBER(INDEX(Frozen_Predictions!$L$4:$L$203,MATCH(A185,Frozen_Predictions!$A$4:$A$203,0))),ABS(I185-INDEX(Frozen_Predictions!$L$4:$L$203,MATCH(A185,Frozen_Predictions!$A$4:$A$203,0)))&lt;0.0000000001),1,0),0),0))</x:f>
        <x:v>0</x:v>
      </x:c>
    </x:row>
    <x:row r="186">
      <x:c r="R186" t="str">
        <x:f t="shared" si="10">IF(X186&lt;&gt;1,"",POWER(I186-J186,2))</x:f>
      </x:c>
      <x:c r="S186" t="str">
        <x:f t="shared" si="11">IF(X186&lt;&gt;1,"",-J186*LN(MAX(MIN(I186,0.999999),0.000001))-(1-J186)*LN(MAX(MIN(1-I186,0.999999),0.000001)))</x:f>
      </x:c>
      <x:c r="X186" s="227" t="n">
        <x:f>IF(OR(A186="",NOT(ISNUMBER(I186)),NOT(ISNUMBER(J186))),0,IF(AND(I186&gt;=0,I186&lt;=1,OR(J186=0,J186=1),COUNTIFS($A$4:$A$203,A186)=1,COUNTIFS(Frozen_Predictions!$A$4:$A$203,A186)=1),IFERROR(IF(AND(INDEX(Frozen_Predictions!$Q$4:$Q$203,MATCH(A186,Frozen_Predictions!$A$4:$A$203,0))="YES",ISNUMBER(INDEX(Frozen_Predictions!$B$4:$B$203,MATCH(A186,Frozen_Predictions!$A$4:$A$203,0))),ISNUMBER(INDEX(Frozen_Predictions!$C$4:$C$203,MATCH(A186,Frozen_Predictions!$A$4:$A$203,0))),INDEX(Frozen_Predictions!$B$4:$B$203,MATCH(A186,Frozen_Predictions!$A$4:$A$203,0))&lt;=INDEX(Frozen_Predictions!$C$4:$C$203,MATCH(A186,Frozen_Predictions!$A$4:$A$203,0)),ISNUMBER(INDEX(Frozen_Predictions!$L$4:$L$203,MATCH(A186,Frozen_Predictions!$A$4:$A$203,0))),ABS(I186-INDEX(Frozen_Predictions!$L$4:$L$203,MATCH(A186,Frozen_Predictions!$A$4:$A$203,0)))&lt;0.0000000001),1,0),0),0))</x:f>
        <x:v>0</x:v>
      </x:c>
    </x:row>
    <x:row r="187">
      <x:c r="R187" t="str">
        <x:f t="shared" si="10">IF(X187&lt;&gt;1,"",POWER(I187-J187,2))</x:f>
      </x:c>
      <x:c r="S187" t="str">
        <x:f t="shared" si="11">IF(X187&lt;&gt;1,"",-J187*LN(MAX(MIN(I187,0.999999),0.000001))-(1-J187)*LN(MAX(MIN(1-I187,0.999999),0.000001)))</x:f>
      </x:c>
      <x:c r="X187" s="227" t="n">
        <x:f>IF(OR(A187="",NOT(ISNUMBER(I187)),NOT(ISNUMBER(J187))),0,IF(AND(I187&gt;=0,I187&lt;=1,OR(J187=0,J187=1),COUNTIFS($A$4:$A$203,A187)=1,COUNTIFS(Frozen_Predictions!$A$4:$A$203,A187)=1),IFERROR(IF(AND(INDEX(Frozen_Predictions!$Q$4:$Q$203,MATCH(A187,Frozen_Predictions!$A$4:$A$203,0))="YES",ISNUMBER(INDEX(Frozen_Predictions!$B$4:$B$203,MATCH(A187,Frozen_Predictions!$A$4:$A$203,0))),ISNUMBER(INDEX(Frozen_Predictions!$C$4:$C$203,MATCH(A187,Frozen_Predictions!$A$4:$A$203,0))),INDEX(Frozen_Predictions!$B$4:$B$203,MATCH(A187,Frozen_Predictions!$A$4:$A$203,0))&lt;=INDEX(Frozen_Predictions!$C$4:$C$203,MATCH(A187,Frozen_Predictions!$A$4:$A$203,0)),ISNUMBER(INDEX(Frozen_Predictions!$L$4:$L$203,MATCH(A187,Frozen_Predictions!$A$4:$A$203,0))),ABS(I187-INDEX(Frozen_Predictions!$L$4:$L$203,MATCH(A187,Frozen_Predictions!$A$4:$A$203,0)))&lt;0.0000000001),1,0),0),0))</x:f>
        <x:v>0</x:v>
      </x:c>
    </x:row>
    <x:row r="188">
      <x:c r="R188" t="str">
        <x:f t="shared" si="10">IF(X188&lt;&gt;1,"",POWER(I188-J188,2))</x:f>
      </x:c>
      <x:c r="S188" t="str">
        <x:f t="shared" si="11">IF(X188&lt;&gt;1,"",-J188*LN(MAX(MIN(I188,0.999999),0.000001))-(1-J188)*LN(MAX(MIN(1-I188,0.999999),0.000001)))</x:f>
      </x:c>
      <x:c r="X188" s="227" t="n">
        <x:f>IF(OR(A188="",NOT(ISNUMBER(I188)),NOT(ISNUMBER(J188))),0,IF(AND(I188&gt;=0,I188&lt;=1,OR(J188=0,J188=1),COUNTIFS($A$4:$A$203,A188)=1,COUNTIFS(Frozen_Predictions!$A$4:$A$203,A188)=1),IFERROR(IF(AND(INDEX(Frozen_Predictions!$Q$4:$Q$203,MATCH(A188,Frozen_Predictions!$A$4:$A$203,0))="YES",ISNUMBER(INDEX(Frozen_Predictions!$B$4:$B$203,MATCH(A188,Frozen_Predictions!$A$4:$A$203,0))),ISNUMBER(INDEX(Frozen_Predictions!$C$4:$C$203,MATCH(A188,Frozen_Predictions!$A$4:$A$203,0))),INDEX(Frozen_Predictions!$B$4:$B$203,MATCH(A188,Frozen_Predictions!$A$4:$A$203,0))&lt;=INDEX(Frozen_Predictions!$C$4:$C$203,MATCH(A188,Frozen_Predictions!$A$4:$A$203,0)),ISNUMBER(INDEX(Frozen_Predictions!$L$4:$L$203,MATCH(A188,Frozen_Predictions!$A$4:$A$203,0))),ABS(I188-INDEX(Frozen_Predictions!$L$4:$L$203,MATCH(A188,Frozen_Predictions!$A$4:$A$203,0)))&lt;0.0000000001),1,0),0),0))</x:f>
        <x:v>0</x:v>
      </x:c>
    </x:row>
    <x:row r="189">
      <x:c r="R189" t="str">
        <x:f t="shared" si="10">IF(X189&lt;&gt;1,"",POWER(I189-J189,2))</x:f>
      </x:c>
      <x:c r="S189" t="str">
        <x:f t="shared" si="11">IF(X189&lt;&gt;1,"",-J189*LN(MAX(MIN(I189,0.999999),0.000001))-(1-J189)*LN(MAX(MIN(1-I189,0.999999),0.000001)))</x:f>
      </x:c>
      <x:c r="X189" s="227" t="n">
        <x:f>IF(OR(A189="",NOT(ISNUMBER(I189)),NOT(ISNUMBER(J189))),0,IF(AND(I189&gt;=0,I189&lt;=1,OR(J189=0,J189=1),COUNTIFS($A$4:$A$203,A189)=1,COUNTIFS(Frozen_Predictions!$A$4:$A$203,A189)=1),IFERROR(IF(AND(INDEX(Frozen_Predictions!$Q$4:$Q$203,MATCH(A189,Frozen_Predictions!$A$4:$A$203,0))="YES",ISNUMBER(INDEX(Frozen_Predictions!$B$4:$B$203,MATCH(A189,Frozen_Predictions!$A$4:$A$203,0))),ISNUMBER(INDEX(Frozen_Predictions!$C$4:$C$203,MATCH(A189,Frozen_Predictions!$A$4:$A$203,0))),INDEX(Frozen_Predictions!$B$4:$B$203,MATCH(A189,Frozen_Predictions!$A$4:$A$203,0))&lt;=INDEX(Frozen_Predictions!$C$4:$C$203,MATCH(A189,Frozen_Predictions!$A$4:$A$203,0)),ISNUMBER(INDEX(Frozen_Predictions!$L$4:$L$203,MATCH(A189,Frozen_Predictions!$A$4:$A$203,0))),ABS(I189-INDEX(Frozen_Predictions!$L$4:$L$203,MATCH(A189,Frozen_Predictions!$A$4:$A$203,0)))&lt;0.0000000001),1,0),0),0))</x:f>
        <x:v>0</x:v>
      </x:c>
    </x:row>
    <x:row r="190">
      <x:c r="R190" t="str">
        <x:f t="shared" si="10">IF(X190&lt;&gt;1,"",POWER(I190-J190,2))</x:f>
      </x:c>
      <x:c r="S190" t="str">
        <x:f t="shared" si="11">IF(X190&lt;&gt;1,"",-J190*LN(MAX(MIN(I190,0.999999),0.000001))-(1-J190)*LN(MAX(MIN(1-I190,0.999999),0.000001)))</x:f>
      </x:c>
      <x:c r="X190" s="227" t="n">
        <x:f>IF(OR(A190="",NOT(ISNUMBER(I190)),NOT(ISNUMBER(J190))),0,IF(AND(I190&gt;=0,I190&lt;=1,OR(J190=0,J190=1),COUNTIFS($A$4:$A$203,A190)=1,COUNTIFS(Frozen_Predictions!$A$4:$A$203,A190)=1),IFERROR(IF(AND(INDEX(Frozen_Predictions!$Q$4:$Q$203,MATCH(A190,Frozen_Predictions!$A$4:$A$203,0))="YES",ISNUMBER(INDEX(Frozen_Predictions!$B$4:$B$203,MATCH(A190,Frozen_Predictions!$A$4:$A$203,0))),ISNUMBER(INDEX(Frozen_Predictions!$C$4:$C$203,MATCH(A190,Frozen_Predictions!$A$4:$A$203,0))),INDEX(Frozen_Predictions!$B$4:$B$203,MATCH(A190,Frozen_Predictions!$A$4:$A$203,0))&lt;=INDEX(Frozen_Predictions!$C$4:$C$203,MATCH(A190,Frozen_Predictions!$A$4:$A$203,0)),ISNUMBER(INDEX(Frozen_Predictions!$L$4:$L$203,MATCH(A190,Frozen_Predictions!$A$4:$A$203,0))),ABS(I190-INDEX(Frozen_Predictions!$L$4:$L$203,MATCH(A190,Frozen_Predictions!$A$4:$A$203,0)))&lt;0.0000000001),1,0),0),0))</x:f>
        <x:v>0</x:v>
      </x:c>
    </x:row>
    <x:row r="191">
      <x:c r="R191" t="str">
        <x:f t="shared" si="10">IF(X191&lt;&gt;1,"",POWER(I191-J191,2))</x:f>
      </x:c>
      <x:c r="S191" t="str">
        <x:f t="shared" si="11">IF(X191&lt;&gt;1,"",-J191*LN(MAX(MIN(I191,0.999999),0.000001))-(1-J191)*LN(MAX(MIN(1-I191,0.999999),0.000001)))</x:f>
      </x:c>
      <x:c r="X191" s="227" t="n">
        <x:f>IF(OR(A191="",NOT(ISNUMBER(I191)),NOT(ISNUMBER(J191))),0,IF(AND(I191&gt;=0,I191&lt;=1,OR(J191=0,J191=1),COUNTIFS($A$4:$A$203,A191)=1,COUNTIFS(Frozen_Predictions!$A$4:$A$203,A191)=1),IFERROR(IF(AND(INDEX(Frozen_Predictions!$Q$4:$Q$203,MATCH(A191,Frozen_Predictions!$A$4:$A$203,0))="YES",ISNUMBER(INDEX(Frozen_Predictions!$B$4:$B$203,MATCH(A191,Frozen_Predictions!$A$4:$A$203,0))),ISNUMBER(INDEX(Frozen_Predictions!$C$4:$C$203,MATCH(A191,Frozen_Predictions!$A$4:$A$203,0))),INDEX(Frozen_Predictions!$B$4:$B$203,MATCH(A191,Frozen_Predictions!$A$4:$A$203,0))&lt;=INDEX(Frozen_Predictions!$C$4:$C$203,MATCH(A191,Frozen_Predictions!$A$4:$A$203,0)),ISNUMBER(INDEX(Frozen_Predictions!$L$4:$L$203,MATCH(A191,Frozen_Predictions!$A$4:$A$203,0))),ABS(I191-INDEX(Frozen_Predictions!$L$4:$L$203,MATCH(A191,Frozen_Predictions!$A$4:$A$203,0)))&lt;0.0000000001),1,0),0),0))</x:f>
        <x:v>0</x:v>
      </x:c>
    </x:row>
    <x:row r="192">
      <x:c r="R192" t="str">
        <x:f t="shared" si="10">IF(X192&lt;&gt;1,"",POWER(I192-J192,2))</x:f>
      </x:c>
      <x:c r="S192" t="str">
        <x:f t="shared" si="11">IF(X192&lt;&gt;1,"",-J192*LN(MAX(MIN(I192,0.999999),0.000001))-(1-J192)*LN(MAX(MIN(1-I192,0.999999),0.000001)))</x:f>
      </x:c>
      <x:c r="X192" s="227" t="n">
        <x:f>IF(OR(A192="",NOT(ISNUMBER(I192)),NOT(ISNUMBER(J192))),0,IF(AND(I192&gt;=0,I192&lt;=1,OR(J192=0,J192=1),COUNTIFS($A$4:$A$203,A192)=1,COUNTIFS(Frozen_Predictions!$A$4:$A$203,A192)=1),IFERROR(IF(AND(INDEX(Frozen_Predictions!$Q$4:$Q$203,MATCH(A192,Frozen_Predictions!$A$4:$A$203,0))="YES",ISNUMBER(INDEX(Frozen_Predictions!$B$4:$B$203,MATCH(A192,Frozen_Predictions!$A$4:$A$203,0))),ISNUMBER(INDEX(Frozen_Predictions!$C$4:$C$203,MATCH(A192,Frozen_Predictions!$A$4:$A$203,0))),INDEX(Frozen_Predictions!$B$4:$B$203,MATCH(A192,Frozen_Predictions!$A$4:$A$203,0))&lt;=INDEX(Frozen_Predictions!$C$4:$C$203,MATCH(A192,Frozen_Predictions!$A$4:$A$203,0)),ISNUMBER(INDEX(Frozen_Predictions!$L$4:$L$203,MATCH(A192,Frozen_Predictions!$A$4:$A$203,0))),ABS(I192-INDEX(Frozen_Predictions!$L$4:$L$203,MATCH(A192,Frozen_Predictions!$A$4:$A$203,0)))&lt;0.0000000001),1,0),0),0))</x:f>
        <x:v>0</x:v>
      </x:c>
    </x:row>
    <x:row r="193">
      <x:c r="R193" t="str">
        <x:f t="shared" si="10">IF(X193&lt;&gt;1,"",POWER(I193-J193,2))</x:f>
      </x:c>
      <x:c r="S193" t="str">
        <x:f t="shared" si="11">IF(X193&lt;&gt;1,"",-J193*LN(MAX(MIN(I193,0.999999),0.000001))-(1-J193)*LN(MAX(MIN(1-I193,0.999999),0.000001)))</x:f>
      </x:c>
      <x:c r="X193" s="227" t="n">
        <x:f>IF(OR(A193="",NOT(ISNUMBER(I193)),NOT(ISNUMBER(J193))),0,IF(AND(I193&gt;=0,I193&lt;=1,OR(J193=0,J193=1),COUNTIFS($A$4:$A$203,A193)=1,COUNTIFS(Frozen_Predictions!$A$4:$A$203,A193)=1),IFERROR(IF(AND(INDEX(Frozen_Predictions!$Q$4:$Q$203,MATCH(A193,Frozen_Predictions!$A$4:$A$203,0))="YES",ISNUMBER(INDEX(Frozen_Predictions!$B$4:$B$203,MATCH(A193,Frozen_Predictions!$A$4:$A$203,0))),ISNUMBER(INDEX(Frozen_Predictions!$C$4:$C$203,MATCH(A193,Frozen_Predictions!$A$4:$A$203,0))),INDEX(Frozen_Predictions!$B$4:$B$203,MATCH(A193,Frozen_Predictions!$A$4:$A$203,0))&lt;=INDEX(Frozen_Predictions!$C$4:$C$203,MATCH(A193,Frozen_Predictions!$A$4:$A$203,0)),ISNUMBER(INDEX(Frozen_Predictions!$L$4:$L$203,MATCH(A193,Frozen_Predictions!$A$4:$A$203,0))),ABS(I193-INDEX(Frozen_Predictions!$L$4:$L$203,MATCH(A193,Frozen_Predictions!$A$4:$A$203,0)))&lt;0.0000000001),1,0),0),0))</x:f>
        <x:v>0</x:v>
      </x:c>
    </x:row>
    <x:row r="194">
      <x:c r="R194" t="str">
        <x:f t="shared" si="10">IF(X194&lt;&gt;1,"",POWER(I194-J194,2))</x:f>
      </x:c>
      <x:c r="S194" t="str">
        <x:f t="shared" si="11">IF(X194&lt;&gt;1,"",-J194*LN(MAX(MIN(I194,0.999999),0.000001))-(1-J194)*LN(MAX(MIN(1-I194,0.999999),0.000001)))</x:f>
      </x:c>
      <x:c r="X194" s="227" t="n">
        <x:f>IF(OR(A194="",NOT(ISNUMBER(I194)),NOT(ISNUMBER(J194))),0,IF(AND(I194&gt;=0,I194&lt;=1,OR(J194=0,J194=1),COUNTIFS($A$4:$A$203,A194)=1,COUNTIFS(Frozen_Predictions!$A$4:$A$203,A194)=1),IFERROR(IF(AND(INDEX(Frozen_Predictions!$Q$4:$Q$203,MATCH(A194,Frozen_Predictions!$A$4:$A$203,0))="YES",ISNUMBER(INDEX(Frozen_Predictions!$B$4:$B$203,MATCH(A194,Frozen_Predictions!$A$4:$A$203,0))),ISNUMBER(INDEX(Frozen_Predictions!$C$4:$C$203,MATCH(A194,Frozen_Predictions!$A$4:$A$203,0))),INDEX(Frozen_Predictions!$B$4:$B$203,MATCH(A194,Frozen_Predictions!$A$4:$A$203,0))&lt;=INDEX(Frozen_Predictions!$C$4:$C$203,MATCH(A194,Frozen_Predictions!$A$4:$A$203,0)),ISNUMBER(INDEX(Frozen_Predictions!$L$4:$L$203,MATCH(A194,Frozen_Predictions!$A$4:$A$203,0))),ABS(I194-INDEX(Frozen_Predictions!$L$4:$L$203,MATCH(A194,Frozen_Predictions!$A$4:$A$203,0)))&lt;0.0000000001),1,0),0),0))</x:f>
        <x:v>0</x:v>
      </x:c>
    </x:row>
    <x:row r="195">
      <x:c r="R195" t="str">
        <x:f t="shared" si="10">IF(X195&lt;&gt;1,"",POWER(I195-J195,2))</x:f>
      </x:c>
      <x:c r="S195" t="str">
        <x:f t="shared" si="11">IF(X195&lt;&gt;1,"",-J195*LN(MAX(MIN(I195,0.999999),0.000001))-(1-J195)*LN(MAX(MIN(1-I195,0.999999),0.000001)))</x:f>
      </x:c>
      <x:c r="X195" s="227" t="n">
        <x:f>IF(OR(A195="",NOT(ISNUMBER(I195)),NOT(ISNUMBER(J195))),0,IF(AND(I195&gt;=0,I195&lt;=1,OR(J195=0,J195=1),COUNTIFS($A$4:$A$203,A195)=1,COUNTIFS(Frozen_Predictions!$A$4:$A$203,A195)=1),IFERROR(IF(AND(INDEX(Frozen_Predictions!$Q$4:$Q$203,MATCH(A195,Frozen_Predictions!$A$4:$A$203,0))="YES",ISNUMBER(INDEX(Frozen_Predictions!$B$4:$B$203,MATCH(A195,Frozen_Predictions!$A$4:$A$203,0))),ISNUMBER(INDEX(Frozen_Predictions!$C$4:$C$203,MATCH(A195,Frozen_Predictions!$A$4:$A$203,0))),INDEX(Frozen_Predictions!$B$4:$B$203,MATCH(A195,Frozen_Predictions!$A$4:$A$203,0))&lt;=INDEX(Frozen_Predictions!$C$4:$C$203,MATCH(A195,Frozen_Predictions!$A$4:$A$203,0)),ISNUMBER(INDEX(Frozen_Predictions!$L$4:$L$203,MATCH(A195,Frozen_Predictions!$A$4:$A$203,0))),ABS(I195-INDEX(Frozen_Predictions!$L$4:$L$203,MATCH(A195,Frozen_Predictions!$A$4:$A$203,0)))&lt;0.0000000001),1,0),0),0))</x:f>
        <x:v>0</x:v>
      </x:c>
    </x:row>
    <x:row r="196">
      <x:c r="R196" t="str">
        <x:f t="shared" ref="R196:R203" si="12">IF(X196&lt;&gt;1,"",POWER(I196-J196,2))</x:f>
      </x:c>
      <x:c r="S196" t="str">
        <x:f t="shared" ref="S196:S203" si="13">IF(X196&lt;&gt;1,"",-J196*LN(MAX(MIN(I196,0.999999),0.000001))-(1-J196)*LN(MAX(MIN(1-I196,0.999999),0.000001)))</x:f>
      </x:c>
      <x:c r="X196" s="227" t="n">
        <x:f>IF(OR(A196="",NOT(ISNUMBER(I196)),NOT(ISNUMBER(J196))),0,IF(AND(I196&gt;=0,I196&lt;=1,OR(J196=0,J196=1),COUNTIFS($A$4:$A$203,A196)=1,COUNTIFS(Frozen_Predictions!$A$4:$A$203,A196)=1),IFERROR(IF(AND(INDEX(Frozen_Predictions!$Q$4:$Q$203,MATCH(A196,Frozen_Predictions!$A$4:$A$203,0))="YES",ISNUMBER(INDEX(Frozen_Predictions!$B$4:$B$203,MATCH(A196,Frozen_Predictions!$A$4:$A$203,0))),ISNUMBER(INDEX(Frozen_Predictions!$C$4:$C$203,MATCH(A196,Frozen_Predictions!$A$4:$A$203,0))),INDEX(Frozen_Predictions!$B$4:$B$203,MATCH(A196,Frozen_Predictions!$A$4:$A$203,0))&lt;=INDEX(Frozen_Predictions!$C$4:$C$203,MATCH(A196,Frozen_Predictions!$A$4:$A$203,0)),ISNUMBER(INDEX(Frozen_Predictions!$L$4:$L$203,MATCH(A196,Frozen_Predictions!$A$4:$A$203,0))),ABS(I196-INDEX(Frozen_Predictions!$L$4:$L$203,MATCH(A196,Frozen_Predictions!$A$4:$A$203,0)))&lt;0.0000000001),1,0),0),0))</x:f>
        <x:v>0</x:v>
      </x:c>
    </x:row>
    <x:row r="197">
      <x:c r="R197" t="str">
        <x:f t="shared" si="12">IF(X197&lt;&gt;1,"",POWER(I197-J197,2))</x:f>
      </x:c>
      <x:c r="S197" t="str">
        <x:f t="shared" si="13">IF(X197&lt;&gt;1,"",-J197*LN(MAX(MIN(I197,0.999999),0.000001))-(1-J197)*LN(MAX(MIN(1-I197,0.999999),0.000001)))</x:f>
      </x:c>
      <x:c r="X197" s="227" t="n">
        <x:f>IF(OR(A197="",NOT(ISNUMBER(I197)),NOT(ISNUMBER(J197))),0,IF(AND(I197&gt;=0,I197&lt;=1,OR(J197=0,J197=1),COUNTIFS($A$4:$A$203,A197)=1,COUNTIFS(Frozen_Predictions!$A$4:$A$203,A197)=1),IFERROR(IF(AND(INDEX(Frozen_Predictions!$Q$4:$Q$203,MATCH(A197,Frozen_Predictions!$A$4:$A$203,0))="YES",ISNUMBER(INDEX(Frozen_Predictions!$B$4:$B$203,MATCH(A197,Frozen_Predictions!$A$4:$A$203,0))),ISNUMBER(INDEX(Frozen_Predictions!$C$4:$C$203,MATCH(A197,Frozen_Predictions!$A$4:$A$203,0))),INDEX(Frozen_Predictions!$B$4:$B$203,MATCH(A197,Frozen_Predictions!$A$4:$A$203,0))&lt;=INDEX(Frozen_Predictions!$C$4:$C$203,MATCH(A197,Frozen_Predictions!$A$4:$A$203,0)),ISNUMBER(INDEX(Frozen_Predictions!$L$4:$L$203,MATCH(A197,Frozen_Predictions!$A$4:$A$203,0))),ABS(I197-INDEX(Frozen_Predictions!$L$4:$L$203,MATCH(A197,Frozen_Predictions!$A$4:$A$203,0)))&lt;0.0000000001),1,0),0),0))</x:f>
        <x:v>0</x:v>
      </x:c>
    </x:row>
    <x:row r="198">
      <x:c r="R198" t="str">
        <x:f t="shared" si="12">IF(X198&lt;&gt;1,"",POWER(I198-J198,2))</x:f>
      </x:c>
      <x:c r="S198" t="str">
        <x:f t="shared" si="13">IF(X198&lt;&gt;1,"",-J198*LN(MAX(MIN(I198,0.999999),0.000001))-(1-J198)*LN(MAX(MIN(1-I198,0.999999),0.000001)))</x:f>
      </x:c>
      <x:c r="X198" s="227" t="n">
        <x:f>IF(OR(A198="",NOT(ISNUMBER(I198)),NOT(ISNUMBER(J198))),0,IF(AND(I198&gt;=0,I198&lt;=1,OR(J198=0,J198=1),COUNTIFS($A$4:$A$203,A198)=1,COUNTIFS(Frozen_Predictions!$A$4:$A$203,A198)=1),IFERROR(IF(AND(INDEX(Frozen_Predictions!$Q$4:$Q$203,MATCH(A198,Frozen_Predictions!$A$4:$A$203,0))="YES",ISNUMBER(INDEX(Frozen_Predictions!$B$4:$B$203,MATCH(A198,Frozen_Predictions!$A$4:$A$203,0))),ISNUMBER(INDEX(Frozen_Predictions!$C$4:$C$203,MATCH(A198,Frozen_Predictions!$A$4:$A$203,0))),INDEX(Frozen_Predictions!$B$4:$B$203,MATCH(A198,Frozen_Predictions!$A$4:$A$203,0))&lt;=INDEX(Frozen_Predictions!$C$4:$C$203,MATCH(A198,Frozen_Predictions!$A$4:$A$203,0)),ISNUMBER(INDEX(Frozen_Predictions!$L$4:$L$203,MATCH(A198,Frozen_Predictions!$A$4:$A$203,0))),ABS(I198-INDEX(Frozen_Predictions!$L$4:$L$203,MATCH(A198,Frozen_Predictions!$A$4:$A$203,0)))&lt;0.0000000001),1,0),0),0))</x:f>
        <x:v>0</x:v>
      </x:c>
    </x:row>
    <x:row r="199">
      <x:c r="R199" t="str">
        <x:f t="shared" si="12">IF(X199&lt;&gt;1,"",POWER(I199-J199,2))</x:f>
      </x:c>
      <x:c r="S199" t="str">
        <x:f t="shared" si="13">IF(X199&lt;&gt;1,"",-J199*LN(MAX(MIN(I199,0.999999),0.000001))-(1-J199)*LN(MAX(MIN(1-I199,0.999999),0.000001)))</x:f>
      </x:c>
      <x:c r="X199" s="227" t="n">
        <x:f>IF(OR(A199="",NOT(ISNUMBER(I199)),NOT(ISNUMBER(J199))),0,IF(AND(I199&gt;=0,I199&lt;=1,OR(J199=0,J199=1),COUNTIFS($A$4:$A$203,A199)=1,COUNTIFS(Frozen_Predictions!$A$4:$A$203,A199)=1),IFERROR(IF(AND(INDEX(Frozen_Predictions!$Q$4:$Q$203,MATCH(A199,Frozen_Predictions!$A$4:$A$203,0))="YES",ISNUMBER(INDEX(Frozen_Predictions!$B$4:$B$203,MATCH(A199,Frozen_Predictions!$A$4:$A$203,0))),ISNUMBER(INDEX(Frozen_Predictions!$C$4:$C$203,MATCH(A199,Frozen_Predictions!$A$4:$A$203,0))),INDEX(Frozen_Predictions!$B$4:$B$203,MATCH(A199,Frozen_Predictions!$A$4:$A$203,0))&lt;=INDEX(Frozen_Predictions!$C$4:$C$203,MATCH(A199,Frozen_Predictions!$A$4:$A$203,0)),ISNUMBER(INDEX(Frozen_Predictions!$L$4:$L$203,MATCH(A199,Frozen_Predictions!$A$4:$A$203,0))),ABS(I199-INDEX(Frozen_Predictions!$L$4:$L$203,MATCH(A199,Frozen_Predictions!$A$4:$A$203,0)))&lt;0.0000000001),1,0),0),0))</x:f>
        <x:v>0</x:v>
      </x:c>
    </x:row>
    <x:row r="200">
      <x:c r="R200" t="str">
        <x:f t="shared" si="12">IF(X200&lt;&gt;1,"",POWER(I200-J200,2))</x:f>
      </x:c>
      <x:c r="S200" t="str">
        <x:f t="shared" si="13">IF(X200&lt;&gt;1,"",-J200*LN(MAX(MIN(I200,0.999999),0.000001))-(1-J200)*LN(MAX(MIN(1-I200,0.999999),0.000001)))</x:f>
      </x:c>
      <x:c r="X200" s="227" t="n">
        <x:f>IF(OR(A200="",NOT(ISNUMBER(I200)),NOT(ISNUMBER(J200))),0,IF(AND(I200&gt;=0,I200&lt;=1,OR(J200=0,J200=1),COUNTIFS($A$4:$A$203,A200)=1,COUNTIFS(Frozen_Predictions!$A$4:$A$203,A200)=1),IFERROR(IF(AND(INDEX(Frozen_Predictions!$Q$4:$Q$203,MATCH(A200,Frozen_Predictions!$A$4:$A$203,0))="YES",ISNUMBER(INDEX(Frozen_Predictions!$B$4:$B$203,MATCH(A200,Frozen_Predictions!$A$4:$A$203,0))),ISNUMBER(INDEX(Frozen_Predictions!$C$4:$C$203,MATCH(A200,Frozen_Predictions!$A$4:$A$203,0))),INDEX(Frozen_Predictions!$B$4:$B$203,MATCH(A200,Frozen_Predictions!$A$4:$A$203,0))&lt;=INDEX(Frozen_Predictions!$C$4:$C$203,MATCH(A200,Frozen_Predictions!$A$4:$A$203,0)),ISNUMBER(INDEX(Frozen_Predictions!$L$4:$L$203,MATCH(A200,Frozen_Predictions!$A$4:$A$203,0))),ABS(I200-INDEX(Frozen_Predictions!$L$4:$L$203,MATCH(A200,Frozen_Predictions!$A$4:$A$203,0)))&lt;0.0000000001),1,0),0),0))</x:f>
        <x:v>0</x:v>
      </x:c>
    </x:row>
    <x:row r="201">
      <x:c r="R201" t="str">
        <x:f t="shared" si="12">IF(X201&lt;&gt;1,"",POWER(I201-J201,2))</x:f>
      </x:c>
      <x:c r="S201" t="str">
        <x:f t="shared" si="13">IF(X201&lt;&gt;1,"",-J201*LN(MAX(MIN(I201,0.999999),0.000001))-(1-J201)*LN(MAX(MIN(1-I201,0.999999),0.000001)))</x:f>
      </x:c>
      <x:c r="X201" s="227" t="n">
        <x:f>IF(OR(A201="",NOT(ISNUMBER(I201)),NOT(ISNUMBER(J201))),0,IF(AND(I201&gt;=0,I201&lt;=1,OR(J201=0,J201=1),COUNTIFS($A$4:$A$203,A201)=1,COUNTIFS(Frozen_Predictions!$A$4:$A$203,A201)=1),IFERROR(IF(AND(INDEX(Frozen_Predictions!$Q$4:$Q$203,MATCH(A201,Frozen_Predictions!$A$4:$A$203,0))="YES",ISNUMBER(INDEX(Frozen_Predictions!$B$4:$B$203,MATCH(A201,Frozen_Predictions!$A$4:$A$203,0))),ISNUMBER(INDEX(Frozen_Predictions!$C$4:$C$203,MATCH(A201,Frozen_Predictions!$A$4:$A$203,0))),INDEX(Frozen_Predictions!$B$4:$B$203,MATCH(A201,Frozen_Predictions!$A$4:$A$203,0))&lt;=INDEX(Frozen_Predictions!$C$4:$C$203,MATCH(A201,Frozen_Predictions!$A$4:$A$203,0)),ISNUMBER(INDEX(Frozen_Predictions!$L$4:$L$203,MATCH(A201,Frozen_Predictions!$A$4:$A$203,0))),ABS(I201-INDEX(Frozen_Predictions!$L$4:$L$203,MATCH(A201,Frozen_Predictions!$A$4:$A$203,0)))&lt;0.0000000001),1,0),0),0))</x:f>
        <x:v>0</x:v>
      </x:c>
    </x:row>
    <x:row r="202">
      <x:c r="R202" t="str">
        <x:f t="shared" si="12">IF(X202&lt;&gt;1,"",POWER(I202-J202,2))</x:f>
      </x:c>
      <x:c r="S202" t="str">
        <x:f t="shared" si="13">IF(X202&lt;&gt;1,"",-J202*LN(MAX(MIN(I202,0.999999),0.000001))-(1-J202)*LN(MAX(MIN(1-I202,0.999999),0.000001)))</x:f>
      </x:c>
      <x:c r="X202" s="227" t="n">
        <x:f>IF(OR(A202="",NOT(ISNUMBER(I202)),NOT(ISNUMBER(J202))),0,IF(AND(I202&gt;=0,I202&lt;=1,OR(J202=0,J202=1),COUNTIFS($A$4:$A$203,A202)=1,COUNTIFS(Frozen_Predictions!$A$4:$A$203,A202)=1),IFERROR(IF(AND(INDEX(Frozen_Predictions!$Q$4:$Q$203,MATCH(A202,Frozen_Predictions!$A$4:$A$203,0))="YES",ISNUMBER(INDEX(Frozen_Predictions!$B$4:$B$203,MATCH(A202,Frozen_Predictions!$A$4:$A$203,0))),ISNUMBER(INDEX(Frozen_Predictions!$C$4:$C$203,MATCH(A202,Frozen_Predictions!$A$4:$A$203,0))),INDEX(Frozen_Predictions!$B$4:$B$203,MATCH(A202,Frozen_Predictions!$A$4:$A$203,0))&lt;=INDEX(Frozen_Predictions!$C$4:$C$203,MATCH(A202,Frozen_Predictions!$A$4:$A$203,0)),ISNUMBER(INDEX(Frozen_Predictions!$L$4:$L$203,MATCH(A202,Frozen_Predictions!$A$4:$A$203,0))),ABS(I202-INDEX(Frozen_Predictions!$L$4:$L$203,MATCH(A202,Frozen_Predictions!$A$4:$A$203,0)))&lt;0.0000000001),1,0),0),0))</x:f>
        <x:v>0</x:v>
      </x:c>
    </x:row>
    <x:row r="203">
      <x:c r="R203" t="str">
        <x:f t="shared" si="12">IF(X203&lt;&gt;1,"",POWER(I203-J203,2))</x:f>
      </x:c>
      <x:c r="S203" t="str">
        <x:f t="shared" si="13">IF(X203&lt;&gt;1,"",-J203*LN(MAX(MIN(I203,0.999999),0.000001))-(1-J203)*LN(MAX(MIN(1-I203,0.999999),0.000001)))</x:f>
      </x:c>
      <x:c r="X203" s="227" t="n">
        <x:f>IF(OR(A203="",NOT(ISNUMBER(I203)),NOT(ISNUMBER(J203))),0,IF(AND(I203&gt;=0,I203&lt;=1,OR(J203=0,J203=1),COUNTIFS($A$4:$A$203,A203)=1,COUNTIFS(Frozen_Predictions!$A$4:$A$203,A203)=1),IFERROR(IF(AND(INDEX(Frozen_Predictions!$Q$4:$Q$203,MATCH(A203,Frozen_Predictions!$A$4:$A$203,0))="YES",ISNUMBER(INDEX(Frozen_Predictions!$B$4:$B$203,MATCH(A203,Frozen_Predictions!$A$4:$A$203,0))),ISNUMBER(INDEX(Frozen_Predictions!$C$4:$C$203,MATCH(A203,Frozen_Predictions!$A$4:$A$203,0))),INDEX(Frozen_Predictions!$B$4:$B$203,MATCH(A203,Frozen_Predictions!$A$4:$A$203,0))&lt;=INDEX(Frozen_Predictions!$C$4:$C$203,MATCH(A203,Frozen_Predictions!$A$4:$A$203,0)),ISNUMBER(INDEX(Frozen_Predictions!$L$4:$L$203,MATCH(A203,Frozen_Predictions!$A$4:$A$203,0))),ABS(I203-INDEX(Frozen_Predictions!$L$4:$L$203,MATCH(A203,Frozen_Predictions!$A$4:$A$203,0)))&lt;0.0000000001),1,0),0),0))</x:f>
        <x:v>0</x:v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25"/>
  <x:sheetData>
    <x:row r="1" ht="18">
      <x:c r="A1" s="23" t="s">
        <x:v>278</x:v>
      </x:c>
      <x:c r="B1" s="23"/>
      <x:c r="C1" s="23"/>
      <x:c r="D1" s="23"/>
      <x:c r="E1" s="23"/>
      <x:c r="F1" s="23"/>
    </x:row>
    <x:row r="2">
      <x:c r="A2" s="24" t="s">
        <x:v>279</x:v>
      </x:c>
      <x:c r="B2" s="24"/>
      <x:c r="C2" s="24"/>
      <x:c r="D2" s="24"/>
      <x:c r="E2" s="24"/>
      <x:c r="F2" s="24"/>
    </x:row>
    <x:row r="3" ht="30">
      <x:c r="A3" s="16" t="s">
        <x:v>280</x:v>
      </x:c>
      <x:c r="B3" s="16" t="s">
        <x:v>281</x:v>
      </x:c>
      <x:c r="C3" s="16" t="s">
        <x:v>282</x:v>
      </x:c>
      <x:c r="D3" s="16" t="s">
        <x:v>283</x:v>
      </x:c>
      <x:c r="E3" s="16" t="s">
        <x:v>274</x:v>
      </x:c>
      <x:c r="F3" s="16" t="s">
        <x:v>284</x:v>
      </x:c>
    </x:row>
    <x:row r="4">
      <x:c r="A4">
        <x:v>1</x:v>
      </x:c>
      <x:c r="B4" t="n">
        <x:f>COUNTIFS(Settlement!$T$4:$T$203,A4,Settlement!$X$4:$X$203,1)</x:f>
        <x:v>0</x:v>
      </x:c>
      <x:c r="C4" t="n">
        <x:f>SUMIFS(Settlement!$J$4:$J$203,Settlement!$T$4:$T$203,A4,Settlement!$X$4:$X$203,1)</x:f>
        <x:v>0</x:v>
      </x:c>
      <x:c r="D4" t="str">
        <x:f>IFERROR(C4/B4,"")</x:f>
      </x:c>
      <x:c r="E4" t="str">
        <x:f>IF(B4=0,"",SUMIFS(Settlement!$R$4:$R$203,Settlement!$T$4:$T$203,A4,Settlement!$X$4:$X$203,1)/B4)</x:f>
      </x:c>
      <x:c r="F4" t="str">
        <x:f>IF(D4="","",1-D4)</x:f>
      </x:c>
    </x:row>
    <x:row r="5">
      <x:c r="A5">
        <x:v>2</x:v>
      </x:c>
      <x:c r="B5" t="n">
        <x:f>COUNTIFS(Settlement!$T$4:$T$203,A5,Settlement!$X$4:$X$203,1)</x:f>
        <x:v>0</x:v>
      </x:c>
      <x:c r="C5" t="n">
        <x:f>SUMIFS(Settlement!$J$4:$J$203,Settlement!$T$4:$T$203,A5,Settlement!$X$4:$X$203,1)</x:f>
        <x:v>0</x:v>
      </x:c>
      <x:c r="D5" t="str">
        <x:f>IFERROR(C5/B5,"")</x:f>
      </x:c>
      <x:c r="E5" t="str">
        <x:f>IF(B5=0,"",SUMIFS(Settlement!$R$4:$R$203,Settlement!$T$4:$T$203,A5,Settlement!$X$4:$X$203,1)/B5)</x:f>
      </x:c>
      <x:c r="F5" t="str">
        <x:f>IF(D5="","",1-D5)</x:f>
      </x:c>
    </x:row>
    <x:row r="6">
      <x:c r="A6">
        <x:v>3</x:v>
      </x:c>
      <x:c r="B6" t="n">
        <x:f>COUNTIFS(Settlement!$T$4:$T$203,A6,Settlement!$X$4:$X$203,1)</x:f>
        <x:v>0</x:v>
      </x:c>
      <x:c r="C6" t="n">
        <x:f>SUMIFS(Settlement!$J$4:$J$203,Settlement!$T$4:$T$203,A6,Settlement!$X$4:$X$203,1)</x:f>
        <x:v>0</x:v>
      </x:c>
      <x:c r="D6" t="str">
        <x:f>IFERROR(C6/B6,"")</x:f>
      </x:c>
      <x:c r="E6" t="str">
        <x:f>IF(B6=0,"",SUMIFS(Settlement!$R$4:$R$203,Settlement!$T$4:$T$203,A6,Settlement!$X$4:$X$203,1)/B6)</x:f>
      </x:c>
      <x:c r="F6" t="str">
        <x:f>IF(D6="","",1-D6)</x:f>
      </x:c>
    </x:row>
    <x:row r="7">
      <x:c r="A7">
        <x:v>4</x:v>
      </x:c>
      <x:c r="B7" t="n">
        <x:f>COUNTIFS(Settlement!$T$4:$T$203,A7,Settlement!$X$4:$X$203,1)</x:f>
        <x:v>0</x:v>
      </x:c>
      <x:c r="C7" t="n">
        <x:f>SUMIFS(Settlement!$J$4:$J$203,Settlement!$T$4:$T$203,A7,Settlement!$X$4:$X$203,1)</x:f>
        <x:v>0</x:v>
      </x:c>
      <x:c r="D7" t="str">
        <x:f>IFERROR(C7/B7,"")</x:f>
      </x:c>
      <x:c r="E7" t="str">
        <x:f>IF(B7=0,"",SUMIFS(Settlement!$R$4:$R$203,Settlement!$T$4:$T$203,A7,Settlement!$X$4:$X$203,1)/B7)</x:f>
      </x:c>
      <x:c r="F7" t="str">
        <x:f>IF(D7="","",1-D7)</x:f>
      </x:c>
    </x:row>
    <x:row r="8">
      <x:c r="A8">
        <x:v>5</x:v>
      </x:c>
      <x:c r="B8" t="n">
        <x:f>COUNTIFS(Settlement!$T$4:$T$203,A8,Settlement!$X$4:$X$203,1)</x:f>
        <x:v>0</x:v>
      </x:c>
      <x:c r="C8" t="n">
        <x:f>SUMIFS(Settlement!$J$4:$J$203,Settlement!$T$4:$T$203,A8,Settlement!$X$4:$X$203,1)</x:f>
        <x:v>0</x:v>
      </x:c>
      <x:c r="D8" t="str">
        <x:f>IFERROR(C8/B8,"")</x:f>
      </x:c>
      <x:c r="E8" t="str">
        <x:f>IF(B8=0,"",SUMIFS(Settlement!$R$4:$R$203,Settlement!$T$4:$T$203,A8,Settlement!$X$4:$X$203,1)/B8)</x:f>
      </x:c>
      <x:c r="F8" t="str">
        <x:f>IF(D8="","",1-D8)</x:f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25"/>
  <x:sheetData>
    <x:row r="1" ht="18">
      <x:c r="A1" s="23" t="s">
        <x:v>285</x:v>
      </x:c>
      <x:c r="B1" s="23"/>
      <x:c r="C1" s="23"/>
      <x:c r="D1" s="23"/>
      <x:c r="E1" s="23"/>
      <x:c r="F1" s="23"/>
      <x:c r="G1" s="23"/>
    </x:row>
    <x:row r="2">
      <x:c r="A2" s="24" t="s">
        <x:v>286</x:v>
      </x:c>
      <x:c r="B2" s="24"/>
      <x:c r="C2" s="24"/>
      <x:c r="D2" s="24"/>
      <x:c r="E2" s="24"/>
      <x:c r="F2" s="24"/>
      <x:c r="G2" s="24"/>
    </x:row>
    <x:row r="3" ht="30">
      <x:c r="A3" s="16" t="s">
        <x:v>287</x:v>
      </x:c>
      <x:c r="B3" s="16" t="s">
        <x:v>288</x:v>
      </x:c>
      <x:c r="C3" s="16" t="s">
        <x:v>281</x:v>
      </x:c>
      <x:c r="D3" s="16" t="s">
        <x:v>289</x:v>
      </x:c>
      <x:c r="E3" s="16" t="s">
        <x:v>290</x:v>
      </x:c>
      <x:c r="F3" s="16" t="s">
        <x:v>291</x:v>
      </x:c>
      <x:c r="G3" s="16" t="s">
        <x:v>176</x:v>
      </x:c>
    </x:row>
    <x:row r="4">
      <x:c r="A4">
        <x:v>0.5</x:v>
      </x:c>
      <x:c r="B4">
        <x:v>0.6</x:v>
      </x:c>
      <x:c r="C4" t="n">
        <x:f>COUNTIFS(Settlement!$I$4:$I$203,"&gt;="&amp;A4,Settlement!$I$4:$I$203,"&lt;"&amp;B4,Settlement!$X$4:$X$203,1)</x:f>
        <x:v>0</x:v>
      </x:c>
      <x:c r="D4" t="str">
        <x:f>IF(C4=0,"",SUMIFS(Settlement!$I$4:$I$203,Settlement!$I$4:$I$203,"&gt;="&amp;A4,Settlement!$I$4:$I$203,"&lt;"&amp;B4,Settlement!$X$4:$X$203,1)/C4)</x:f>
      </x:c>
      <x:c r="E4" t="str">
        <x:f>IF(C4=0,"",SUMIFS(Settlement!$J$4:$J$203,Settlement!$I$4:$I$203,"&gt;="&amp;A4,Settlement!$I$4:$I$203,"&lt;"&amp;B4,Settlement!$X$4:$X$203,1)/C4)</x:f>
      </x:c>
      <x:c r="F4" t="str">
        <x:f t="shared" ref="F4:F11" si="0">IF(OR(D4="",E4=""),"",D4-E4)</x:f>
      </x:c>
      <x:c r="G4" t="str">
        <x:f t="shared" ref="G4:G11" si="1">IF(C4&lt;10,"LOW N",IF(ABS(F4)&lt;=0.03,"OK",IF(ABS(F4)&lt;=0.06,"WATCH","DRIFT")))</x:f>
        <x:v>LOW N</x:v>
      </x:c>
    </x:row>
    <x:row r="5">
      <x:c r="A5">
        <x:v>0.6</x:v>
      </x:c>
      <x:c r="B5">
        <x:v>0.7</x:v>
      </x:c>
      <x:c r="C5" t="n">
        <x:f>COUNTIFS(Settlement!$I$4:$I$203,"&gt;="&amp;A5,Settlement!$I$4:$I$203,"&lt;"&amp;B5,Settlement!$X$4:$X$203,1)</x:f>
        <x:v>0</x:v>
      </x:c>
      <x:c r="D5" t="str">
        <x:f>IF(C5=0,"",SUMIFS(Settlement!$I$4:$I$203,Settlement!$I$4:$I$203,"&gt;="&amp;A5,Settlement!$I$4:$I$203,"&lt;"&amp;B5,Settlement!$X$4:$X$203,1)/C5)</x:f>
      </x:c>
      <x:c r="E5" t="str">
        <x:f>IF(C5=0,"",SUMIFS(Settlement!$J$4:$J$203,Settlement!$I$4:$I$203,"&gt;="&amp;A5,Settlement!$I$4:$I$203,"&lt;"&amp;B5,Settlement!$X$4:$X$203,1)/C5)</x:f>
      </x:c>
      <x:c r="F5" t="str">
        <x:f t="shared" si="0"/>
      </x:c>
      <x:c r="G5" t="str">
        <x:f t="shared" si="1"/>
        <x:v>LOW N</x:v>
      </x:c>
    </x:row>
    <x:row r="6">
      <x:c r="A6">
        <x:v>0.7</x:v>
      </x:c>
      <x:c r="B6">
        <x:v>0.8</x:v>
      </x:c>
      <x:c r="C6" t="n">
        <x:f>COUNTIFS(Settlement!$I$4:$I$203,"&gt;="&amp;A6,Settlement!$I$4:$I$203,"&lt;"&amp;B6,Settlement!$X$4:$X$203,1)</x:f>
        <x:v>0</x:v>
      </x:c>
      <x:c r="D6" t="str">
        <x:f>IF(C6=0,"",SUMIFS(Settlement!$I$4:$I$203,Settlement!$I$4:$I$203,"&gt;="&amp;A6,Settlement!$I$4:$I$203,"&lt;"&amp;B6,Settlement!$X$4:$X$203,1)/C6)</x:f>
      </x:c>
      <x:c r="E6" t="str">
        <x:f>IF(C6=0,"",SUMIFS(Settlement!$J$4:$J$203,Settlement!$I$4:$I$203,"&gt;="&amp;A6,Settlement!$I$4:$I$203,"&lt;"&amp;B6,Settlement!$X$4:$X$203,1)/C6)</x:f>
      </x:c>
      <x:c r="F6" t="str">
        <x:f t="shared" si="0"/>
      </x:c>
      <x:c r="G6" t="str">
        <x:f t="shared" si="1"/>
        <x:v>LOW N</x:v>
      </x:c>
    </x:row>
    <x:row r="7">
      <x:c r="A7">
        <x:v>0.8</x:v>
      </x:c>
      <x:c r="B7">
        <x:v>0.85</x:v>
      </x:c>
      <x:c r="C7" t="n">
        <x:f>COUNTIFS(Settlement!$I$4:$I$203,"&gt;="&amp;A7,Settlement!$I$4:$I$203,"&lt;"&amp;B7,Settlement!$X$4:$X$203,1)</x:f>
        <x:v>0</x:v>
      </x:c>
      <x:c r="D7" t="str">
        <x:f>IF(C7=0,"",SUMIFS(Settlement!$I$4:$I$203,Settlement!$I$4:$I$203,"&gt;="&amp;A7,Settlement!$I$4:$I$203,"&lt;"&amp;B7,Settlement!$X$4:$X$203,1)/C7)</x:f>
      </x:c>
      <x:c r="E7" t="str">
        <x:f>IF(C7=0,"",SUMIFS(Settlement!$J$4:$J$203,Settlement!$I$4:$I$203,"&gt;="&amp;A7,Settlement!$I$4:$I$203,"&lt;"&amp;B7,Settlement!$X$4:$X$203,1)/C7)</x:f>
      </x:c>
      <x:c r="F7" t="str">
        <x:f t="shared" si="0"/>
      </x:c>
      <x:c r="G7" t="str">
        <x:f t="shared" si="1"/>
        <x:v>LOW N</x:v>
      </x:c>
    </x:row>
    <x:row r="8">
      <x:c r="A8">
        <x:v>0.85</x:v>
      </x:c>
      <x:c r="B8">
        <x:v>0.9</x:v>
      </x:c>
      <x:c r="C8" t="n">
        <x:f>COUNTIFS(Settlement!$I$4:$I$203,"&gt;="&amp;A8,Settlement!$I$4:$I$203,"&lt;"&amp;B8,Settlement!$X$4:$X$203,1)</x:f>
        <x:v>0</x:v>
      </x:c>
      <x:c r="D8" t="str">
        <x:f>IF(C8=0,"",SUMIFS(Settlement!$I$4:$I$203,Settlement!$I$4:$I$203,"&gt;="&amp;A8,Settlement!$I$4:$I$203,"&lt;"&amp;B8,Settlement!$X$4:$X$203,1)/C8)</x:f>
      </x:c>
      <x:c r="E8" t="str">
        <x:f>IF(C8=0,"",SUMIFS(Settlement!$J$4:$J$203,Settlement!$I$4:$I$203,"&gt;="&amp;A8,Settlement!$I$4:$I$203,"&lt;"&amp;B8,Settlement!$X$4:$X$203,1)/C8)</x:f>
      </x:c>
      <x:c r="F8" t="str">
        <x:f t="shared" si="0"/>
      </x:c>
      <x:c r="G8" t="str">
        <x:f t="shared" si="1"/>
        <x:v>LOW N</x:v>
      </x:c>
    </x:row>
    <x:row r="9">
      <x:c r="A9">
        <x:v>0.9</x:v>
      </x:c>
      <x:c r="B9">
        <x:v>0.92</x:v>
      </x:c>
      <x:c r="C9" t="n">
        <x:f>COUNTIFS(Settlement!$I$4:$I$203,"&gt;="&amp;A9,Settlement!$I$4:$I$203,"&lt;"&amp;B9,Settlement!$X$4:$X$203,1)</x:f>
        <x:v>0</x:v>
      </x:c>
      <x:c r="D9" t="str">
        <x:f>IF(C9=0,"",SUMIFS(Settlement!$I$4:$I$203,Settlement!$I$4:$I$203,"&gt;="&amp;A9,Settlement!$I$4:$I$203,"&lt;"&amp;B9,Settlement!$X$4:$X$203,1)/C9)</x:f>
      </x:c>
      <x:c r="E9" t="str">
        <x:f>IF(C9=0,"",SUMIFS(Settlement!$J$4:$J$203,Settlement!$I$4:$I$203,"&gt;="&amp;A9,Settlement!$I$4:$I$203,"&lt;"&amp;B9,Settlement!$X$4:$X$203,1)/C9)</x:f>
      </x:c>
      <x:c r="F9" t="str">
        <x:f t="shared" si="0"/>
      </x:c>
      <x:c r="G9" t="str">
        <x:f t="shared" si="1"/>
        <x:v>LOW N</x:v>
      </x:c>
    </x:row>
    <x:row r="10">
      <x:c r="A10">
        <x:v>0.92</x:v>
      </x:c>
      <x:c r="B10">
        <x:v>0.95</x:v>
      </x:c>
      <x:c r="C10" t="n">
        <x:f>COUNTIFS(Settlement!$I$4:$I$203,"&gt;="&amp;A10,Settlement!$I$4:$I$203,"&lt;"&amp;B10,Settlement!$X$4:$X$203,1)</x:f>
        <x:v>0</x:v>
      </x:c>
      <x:c r="D10" t="str">
        <x:f>IF(C10=0,"",SUMIFS(Settlement!$I$4:$I$203,Settlement!$I$4:$I$203,"&gt;="&amp;A10,Settlement!$I$4:$I$203,"&lt;"&amp;B10,Settlement!$X$4:$X$203,1)/C10)</x:f>
      </x:c>
      <x:c r="E10" t="str">
        <x:f>IF(C10=0,"",SUMIFS(Settlement!$J$4:$J$203,Settlement!$I$4:$I$203,"&gt;="&amp;A10,Settlement!$I$4:$I$203,"&lt;"&amp;B10,Settlement!$X$4:$X$203,1)/C10)</x:f>
      </x:c>
      <x:c r="F10" t="str">
        <x:f t="shared" si="0"/>
      </x:c>
      <x:c r="G10" t="str">
        <x:f t="shared" si="1"/>
        <x:v>LOW N</x:v>
      </x:c>
    </x:row>
    <x:row r="11">
      <x:c r="A11">
        <x:v>0.95</x:v>
      </x:c>
      <x:c r="B11">
        <x:v>1.0009999999999999</x:v>
      </x:c>
      <x:c r="C11" t="n">
        <x:f>COUNTIFS(Settlement!$I$4:$I$203,"&gt;="&amp;A11,Settlement!$I$4:$I$203,"&lt;"&amp;B11,Settlement!$X$4:$X$203,1)</x:f>
        <x:v>0</x:v>
      </x:c>
      <x:c r="D11" t="str">
        <x:f>IF(C11=0,"",SUMIFS(Settlement!$I$4:$I$203,Settlement!$I$4:$I$203,"&gt;="&amp;A11,Settlement!$I$4:$I$203,"&lt;"&amp;B11,Settlement!$X$4:$X$203,1)/C11)</x:f>
      </x:c>
      <x:c r="E11" t="str">
        <x:f>IF(C11=0,"",SUMIFS(Settlement!$J$4:$J$203,Settlement!$I$4:$I$203,"&gt;="&amp;A11,Settlement!$I$4:$I$203,"&lt;"&amp;B11,Settlement!$X$4:$X$203,1)/C11)</x:f>
      </x:c>
      <x:c r="F11" t="str">
        <x:f t="shared" si="0"/>
      </x:c>
      <x:c r="G11" t="str">
        <x:f t="shared" si="1"/>
        <x:v>LOW 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25"/>
  <x:cols>
    <x:col min="1" max="1" width="42" hidden="0" customWidth="1"/>
  </x:cols>
  <x:sheetData>
    <x:row r="1" ht="18">
      <x:c r="A1" s="23" t="s">
        <x:v>292</x:v>
      </x:c>
      <x:c r="B1" s="23"/>
      <x:c r="C1" s="23"/>
      <x:c r="D1" s="23"/>
      <x:c r="E1" s="23"/>
    </x:row>
    <x:row r="2">
      <x:c r="A2" s="24" t="s">
        <x:v>293</x:v>
      </x:c>
      <x:c r="B2" s="24"/>
      <x:c r="C2" s="24"/>
      <x:c r="D2" s="24"/>
      <x:c r="E2" s="24"/>
    </x:row>
    <x:row r="3" ht="45">
      <x:c r="A3" s="16" t="s">
        <x:v>294</x:v>
      </x:c>
      <x:c r="B3" s="16" t="s">
        <x:v>295</x:v>
      </x:c>
      <x:c r="C3" s="16" t="s">
        <x:v>296</x:v>
      </x:c>
      <x:c r="D3" s="16" t="s">
        <x:v>297</x:v>
      </x:c>
      <x:c r="E3" s="16" t="s">
        <x:v>264</x:v>
      </x:c>
    </x:row>
    <x:row r="4" ht="26" customHeight="1">
      <x:c r="A4" s="64" t="s">
        <x:v>298</x:v>
      </x:c>
      <x:c r="B4" t="n">
        <x:f>COUNTIFS(Settlement!$J$4:$J$203,0,Settlement!$O$4:$O$203,A4,Settlement!$X$4:$X$203,1)</x:f>
        <x:v>0</x:v>
      </x:c>
      <x:c r="C4" t="str">
        <x:f>IF(COUNTIFS(Settlement!$J$4:$J$203,0,Settlement!$X$4:$X$203,1)=0,"",B4/COUNTIFS(Settlement!$J$4:$J$203,0,Settlement!$X$4:$X$203,1))</x:f>
      </x:c>
    </x:row>
    <x:row r="5" ht="26" customHeight="1">
      <x:c r="A5" s="64" t="s">
        <x:v>299</x:v>
      </x:c>
      <x:c r="B5" t="n">
        <x:f>COUNTIFS(Settlement!$J$4:$J$203,0,Settlement!$O$4:$O$203,A5,Settlement!$X$4:$X$203,1)</x:f>
        <x:v>0</x:v>
      </x:c>
      <x:c r="C5" t="str">
        <x:f>IF(COUNTIFS(Settlement!$J$4:$J$203,0,Settlement!$X$4:$X$203,1)=0,"",B5/COUNTIFS(Settlement!$J$4:$J$203,0,Settlement!$X$4:$X$203,1))</x:f>
      </x:c>
    </x:row>
    <x:row r="6" ht="26" customHeight="1">
      <x:c r="A6" s="64" t="s">
        <x:v>300</x:v>
      </x:c>
      <x:c r="B6" t="n">
        <x:f>COUNTIFS(Settlement!$J$4:$J$203,0,Settlement!$O$4:$O$203,A6,Settlement!$X$4:$X$203,1)</x:f>
        <x:v>0</x:v>
      </x:c>
      <x:c r="C6" t="str">
        <x:f>IF(COUNTIFS(Settlement!$J$4:$J$203,0,Settlement!$X$4:$X$203,1)=0,"",B6/COUNTIFS(Settlement!$J$4:$J$203,0,Settlement!$X$4:$X$203,1))</x:f>
      </x:c>
    </x:row>
    <x:row r="7" ht="26" customHeight="1">
      <x:c r="A7" s="64" t="s">
        <x:v>301</x:v>
      </x:c>
      <x:c r="B7" t="n">
        <x:f>COUNTIFS(Settlement!$J$4:$J$203,0,Settlement!$O$4:$O$203,A7,Settlement!$X$4:$X$203,1)</x:f>
        <x:v>0</x:v>
      </x:c>
      <x:c r="C7" t="str">
        <x:f>IF(COUNTIFS(Settlement!$J$4:$J$203,0,Settlement!$X$4:$X$203,1)=0,"",B7/COUNTIFS(Settlement!$J$4:$J$203,0,Settlement!$X$4:$X$203,1))</x:f>
      </x:c>
    </x:row>
    <x:row r="8" ht="26" customHeight="1">
      <x:c r="A8" s="64" t="s">
        <x:v>302</x:v>
      </x:c>
      <x:c r="B8" t="n">
        <x:f>COUNTIFS(Settlement!$J$4:$J$203,0,Settlement!$O$4:$O$203,A8,Settlement!$X$4:$X$203,1)</x:f>
        <x:v>0</x:v>
      </x:c>
      <x:c r="C8" t="str">
        <x:f>IF(COUNTIFS(Settlement!$J$4:$J$203,0,Settlement!$X$4:$X$203,1)=0,"",B8/COUNTIFS(Settlement!$J$4:$J$203,0,Settlement!$X$4:$X$203,1))</x:f>
      </x:c>
    </x:row>
    <x:row r="9" ht="26" customHeight="1">
      <x:c r="A9" s="64" t="s">
        <x:v>303</x:v>
      </x:c>
      <x:c r="B9" t="n">
        <x:f>COUNTIFS(Settlement!$J$4:$J$203,0,Settlement!$O$4:$O$203,A9,Settlement!$X$4:$X$203,1)</x:f>
        <x:v>0</x:v>
      </x:c>
      <x:c r="C9" t="str">
        <x:f>IF(COUNTIFS(Settlement!$J$4:$J$203,0,Settlement!$X$4:$X$203,1)=0,"",B9/COUNTIFS(Settlement!$J$4:$J$203,0,Settlement!$X$4:$X$203,1))</x:f>
      </x:c>
    </x:row>
    <x:row r="10" ht="26" customHeight="1">
      <x:c r="A10" s="64" t="s">
        <x:v>304</x:v>
      </x:c>
      <x:c r="B10" t="n">
        <x:f>COUNTIFS(Settlement!$J$4:$J$203,0,Settlement!$O$4:$O$203,A10,Settlement!$X$4:$X$203,1)</x:f>
        <x:v>0</x:v>
      </x:c>
      <x:c r="C10" t="str">
        <x:f>IF(COUNTIFS(Settlement!$J$4:$J$203,0,Settlement!$X$4:$X$203,1)=0,"",B10/COUNTIFS(Settlement!$J$4:$J$203,0,Settlement!$X$4:$X$203,1))</x:f>
      </x:c>
    </x:row>
    <x:row r="11" ht="26" customHeight="1">
      <x:c r="A11" s="64" t="s">
        <x:v>305</x:v>
      </x:c>
      <x:c r="B11" t="n">
        <x:f>COUNTIFS(Settlement!$J$4:$J$203,0,Settlement!$O$4:$O$203,A11,Settlement!$X$4:$X$203,1)</x:f>
        <x:v>0</x:v>
      </x:c>
      <x:c r="C11" t="str">
        <x:f>IF(COUNTIFS(Settlement!$J$4:$J$203,0,Settlement!$X$4:$X$203,1)=0,"",B11/COUNTIFS(Settlement!$J$4:$J$203,0,Settlement!$X$4:$X$203,1))</x:f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25"/>
  <x:sheetData>
    <x:row r="1" ht="18">
      <x:c r="A1" s="23" t="s">
        <x:v>306</x:v>
      </x:c>
      <x:c r="B1" s="23"/>
      <x:c r="C1" s="23"/>
      <x:c r="D1" s="23"/>
      <x:c r="E1" s="23"/>
      <x:c r="F1" s="23"/>
      <x:c r="G1" s="23"/>
      <x:c r="H1" s="23"/>
    </x:row>
    <x:row r="2">
      <x:c r="A2" s="24" t="s">
        <x:v>307</x:v>
      </x:c>
      <x:c r="B2" s="24"/>
      <x:c r="C2" s="24"/>
      <x:c r="D2" s="24"/>
      <x:c r="E2" s="24"/>
      <x:c r="F2" s="24"/>
      <x:c r="G2" s="24"/>
      <x:c r="H2" s="24"/>
    </x:row>
    <x:row r="3" ht="30">
      <x:c r="A3" s="16" t="s">
        <x:v>239</x:v>
      </x:c>
      <x:c r="B3" s="16" t="s">
        <x:v>281</x:v>
      </x:c>
      <x:c r="C3" s="16" t="s">
        <x:v>282</x:v>
      </x:c>
      <x:c r="D3" s="16" t="s">
        <x:v>283</x:v>
      </x:c>
      <x:c r="E3" s="16" t="s">
        <x:v>289</x:v>
      </x:c>
      <x:c r="F3" s="16" t="s">
        <x:v>291</x:v>
      </x:c>
      <x:c r="G3" s="16" t="s">
        <x:v>274</x:v>
      </x:c>
      <x:c r="H3" s="16" t="s">
        <x:v>308</x:v>
      </x:c>
    </x:row>
    <x:row r="4">
      <x:c r="B4" t="str">
        <x:f>IF(A4="","",COUNTIFS(Settlement!$C$4:$C$203,A4,Settlement!$X$4:$X$203,1))</x:f>
      </x:c>
      <x:c r="C4" t="str">
        <x:f>IF(A4="","",SUMIFS(Settlement!$J$4:$J$203,Settlement!$C$4:$C$203,A4,Settlement!$X$4:$X$203,1))</x:f>
      </x:c>
      <x:c r="D4" t="str">
        <x:f t="shared" ref="D4:D33" si="0">IFERROR(C4/B4,"")</x:f>
      </x:c>
      <x:c r="E4" t="str">
        <x:f>IF(OR(A4="",B4=0),"",SUMIFS(Settlement!$I$4:$I$203,Settlement!$C$4:$C$203,A4,Settlement!$X$4:$X$203,1)/B4)</x:f>
      </x:c>
      <x:c r="F4" t="str">
        <x:f t="shared" ref="F4:F33" si="1">IF(OR(D4="",E4=""),"",E4-D4)</x:f>
      </x:c>
      <x:c r="G4" t="str">
        <x:f>IF(OR(A4="",B4=0),"",SUMIFS(Settlement!$R$4:$R$203,Settlement!$C$4:$C$203,A4,Settlement!$X$4:$X$203,1)/B4)</x:f>
      </x:c>
      <x:c r="H4" t="str">
        <x:f t="shared" ref="H4:H33" si="2">IF(A4="","",IF(B4&lt;10,"LOW N",IF(ABS(F4)&lt;=0.05,"STABLE","WATCH")))</x:f>
      </x:c>
    </x:row>
    <x:row r="5">
      <x:c r="B5" t="str">
        <x:f>IF(A5="","",COUNTIFS(Settlement!$C$4:$C$203,A5,Settlement!$X$4:$X$203,1))</x:f>
      </x:c>
      <x:c r="C5" t="str">
        <x:f>IF(A5="","",SUMIFS(Settlement!$J$4:$J$203,Settlement!$C$4:$C$203,A5,Settlement!$X$4:$X$203,1))</x:f>
      </x:c>
      <x:c r="D5" t="str">
        <x:f t="shared" si="0"/>
      </x:c>
      <x:c r="E5" t="str">
        <x:f>IF(OR(A5="",B5=0),"",SUMIFS(Settlement!$I$4:$I$203,Settlement!$C$4:$C$203,A5,Settlement!$X$4:$X$203,1)/B5)</x:f>
      </x:c>
      <x:c r="F5" t="str">
        <x:f t="shared" si="1"/>
      </x:c>
      <x:c r="G5" t="str">
        <x:f>IF(OR(A5="",B5=0),"",SUMIFS(Settlement!$R$4:$R$203,Settlement!$C$4:$C$203,A5,Settlement!$X$4:$X$203,1)/B5)</x:f>
      </x:c>
      <x:c r="H5" t="str">
        <x:f t="shared" si="2"/>
      </x:c>
    </x:row>
    <x:row r="6">
      <x:c r="B6" t="str">
        <x:f>IF(A6="","",COUNTIFS(Settlement!$C$4:$C$203,A6,Settlement!$X$4:$X$203,1))</x:f>
      </x:c>
      <x:c r="C6" t="str">
        <x:f>IF(A6="","",SUMIFS(Settlement!$J$4:$J$203,Settlement!$C$4:$C$203,A6,Settlement!$X$4:$X$203,1))</x:f>
      </x:c>
      <x:c r="D6" t="str">
        <x:f t="shared" si="0"/>
      </x:c>
      <x:c r="E6" t="str">
        <x:f>IF(OR(A6="",B6=0),"",SUMIFS(Settlement!$I$4:$I$203,Settlement!$C$4:$C$203,A6,Settlement!$X$4:$X$203,1)/B6)</x:f>
      </x:c>
      <x:c r="F6" t="str">
        <x:f t="shared" si="1"/>
      </x:c>
      <x:c r="G6" t="str">
        <x:f>IF(OR(A6="",B6=0),"",SUMIFS(Settlement!$R$4:$R$203,Settlement!$C$4:$C$203,A6,Settlement!$X$4:$X$203,1)/B6)</x:f>
      </x:c>
      <x:c r="H6" t="str">
        <x:f t="shared" si="2"/>
      </x:c>
    </x:row>
    <x:row r="7">
      <x:c r="B7" t="str">
        <x:f>IF(A7="","",COUNTIFS(Settlement!$C$4:$C$203,A7,Settlement!$X$4:$X$203,1))</x:f>
      </x:c>
      <x:c r="C7" t="str">
        <x:f>IF(A7="","",SUMIFS(Settlement!$J$4:$J$203,Settlement!$C$4:$C$203,A7,Settlement!$X$4:$X$203,1))</x:f>
      </x:c>
      <x:c r="D7" t="str">
        <x:f t="shared" si="0"/>
      </x:c>
      <x:c r="E7" t="str">
        <x:f>IF(OR(A7="",B7=0),"",SUMIFS(Settlement!$I$4:$I$203,Settlement!$C$4:$C$203,A7,Settlement!$X$4:$X$203,1)/B7)</x:f>
      </x:c>
      <x:c r="F7" t="str">
        <x:f t="shared" si="1"/>
      </x:c>
      <x:c r="G7" t="str">
        <x:f>IF(OR(A7="",B7=0),"",SUMIFS(Settlement!$R$4:$R$203,Settlement!$C$4:$C$203,A7,Settlement!$X$4:$X$203,1)/B7)</x:f>
      </x:c>
      <x:c r="H7" t="str">
        <x:f t="shared" si="2"/>
      </x:c>
    </x:row>
    <x:row r="8">
      <x:c r="B8" t="str">
        <x:f>IF(A8="","",COUNTIFS(Settlement!$C$4:$C$203,A8,Settlement!$X$4:$X$203,1))</x:f>
      </x:c>
      <x:c r="C8" t="str">
        <x:f>IF(A8="","",SUMIFS(Settlement!$J$4:$J$203,Settlement!$C$4:$C$203,A8,Settlement!$X$4:$X$203,1))</x:f>
      </x:c>
      <x:c r="D8" t="str">
        <x:f t="shared" si="0"/>
      </x:c>
      <x:c r="E8" t="str">
        <x:f>IF(OR(A8="",B8=0),"",SUMIFS(Settlement!$I$4:$I$203,Settlement!$C$4:$C$203,A8,Settlement!$X$4:$X$203,1)/B8)</x:f>
      </x:c>
      <x:c r="F8" t="str">
        <x:f t="shared" si="1"/>
      </x:c>
      <x:c r="G8" t="str">
        <x:f>IF(OR(A8="",B8=0),"",SUMIFS(Settlement!$R$4:$R$203,Settlement!$C$4:$C$203,A8,Settlement!$X$4:$X$203,1)/B8)</x:f>
      </x:c>
      <x:c r="H8" t="str">
        <x:f t="shared" si="2"/>
      </x:c>
    </x:row>
    <x:row r="9">
      <x:c r="B9" t="str">
        <x:f>IF(A9="","",COUNTIFS(Settlement!$C$4:$C$203,A9,Settlement!$X$4:$X$203,1))</x:f>
      </x:c>
      <x:c r="C9" t="str">
        <x:f>IF(A9="","",SUMIFS(Settlement!$J$4:$J$203,Settlement!$C$4:$C$203,A9,Settlement!$X$4:$X$203,1))</x:f>
      </x:c>
      <x:c r="D9" t="str">
        <x:f t="shared" si="0"/>
      </x:c>
      <x:c r="E9" t="str">
        <x:f>IF(OR(A9="",B9=0),"",SUMIFS(Settlement!$I$4:$I$203,Settlement!$C$4:$C$203,A9,Settlement!$X$4:$X$203,1)/B9)</x:f>
      </x:c>
      <x:c r="F9" t="str">
        <x:f t="shared" si="1"/>
      </x:c>
      <x:c r="G9" t="str">
        <x:f>IF(OR(A9="",B9=0),"",SUMIFS(Settlement!$R$4:$R$203,Settlement!$C$4:$C$203,A9,Settlement!$X$4:$X$203,1)/B9)</x:f>
      </x:c>
      <x:c r="H9" t="str">
        <x:f t="shared" si="2"/>
      </x:c>
    </x:row>
    <x:row r="10">
      <x:c r="B10" t="str">
        <x:f>IF(A10="","",COUNTIFS(Settlement!$C$4:$C$203,A10,Settlement!$X$4:$X$203,1))</x:f>
      </x:c>
      <x:c r="C10" t="str">
        <x:f>IF(A10="","",SUMIFS(Settlement!$J$4:$J$203,Settlement!$C$4:$C$203,A10,Settlement!$X$4:$X$203,1))</x:f>
      </x:c>
      <x:c r="D10" t="str">
        <x:f t="shared" si="0"/>
      </x:c>
      <x:c r="E10" t="str">
        <x:f>IF(OR(A10="",B10=0),"",SUMIFS(Settlement!$I$4:$I$203,Settlement!$C$4:$C$203,A10,Settlement!$X$4:$X$203,1)/B10)</x:f>
      </x:c>
      <x:c r="F10" t="str">
        <x:f t="shared" si="1"/>
      </x:c>
      <x:c r="G10" t="str">
        <x:f>IF(OR(A10="",B10=0),"",SUMIFS(Settlement!$R$4:$R$203,Settlement!$C$4:$C$203,A10,Settlement!$X$4:$X$203,1)/B10)</x:f>
      </x:c>
      <x:c r="H10" t="str">
        <x:f t="shared" si="2"/>
      </x:c>
    </x:row>
    <x:row r="11">
      <x:c r="B11" t="str">
        <x:f>IF(A11="","",COUNTIFS(Settlement!$C$4:$C$203,A11,Settlement!$X$4:$X$203,1))</x:f>
      </x:c>
      <x:c r="C11" t="str">
        <x:f>IF(A11="","",SUMIFS(Settlement!$J$4:$J$203,Settlement!$C$4:$C$203,A11,Settlement!$X$4:$X$203,1))</x:f>
      </x:c>
      <x:c r="D11" t="str">
        <x:f t="shared" si="0"/>
      </x:c>
      <x:c r="E11" t="str">
        <x:f>IF(OR(A11="",B11=0),"",SUMIFS(Settlement!$I$4:$I$203,Settlement!$C$4:$C$203,A11,Settlement!$X$4:$X$203,1)/B11)</x:f>
      </x:c>
      <x:c r="F11" t="str">
        <x:f t="shared" si="1"/>
      </x:c>
      <x:c r="G11" t="str">
        <x:f>IF(OR(A11="",B11=0),"",SUMIFS(Settlement!$R$4:$R$203,Settlement!$C$4:$C$203,A11,Settlement!$X$4:$X$203,1)/B11)</x:f>
      </x:c>
      <x:c r="H11" t="str">
        <x:f t="shared" si="2"/>
      </x:c>
    </x:row>
    <x:row r="12">
      <x:c r="B12" t="str">
        <x:f>IF(A12="","",COUNTIFS(Settlement!$C$4:$C$203,A12,Settlement!$X$4:$X$203,1))</x:f>
      </x:c>
      <x:c r="C12" t="str">
        <x:f>IF(A12="","",SUMIFS(Settlement!$J$4:$J$203,Settlement!$C$4:$C$203,A12,Settlement!$X$4:$X$203,1))</x:f>
      </x:c>
      <x:c r="D12" t="str">
        <x:f t="shared" si="0"/>
      </x:c>
      <x:c r="E12" t="str">
        <x:f>IF(OR(A12="",B12=0),"",SUMIFS(Settlement!$I$4:$I$203,Settlement!$C$4:$C$203,A12,Settlement!$X$4:$X$203,1)/B12)</x:f>
      </x:c>
      <x:c r="F12" t="str">
        <x:f t="shared" si="1"/>
      </x:c>
      <x:c r="G12" t="str">
        <x:f>IF(OR(A12="",B12=0),"",SUMIFS(Settlement!$R$4:$R$203,Settlement!$C$4:$C$203,A12,Settlement!$X$4:$X$203,1)/B12)</x:f>
      </x:c>
      <x:c r="H12" t="str">
        <x:f t="shared" si="2"/>
      </x:c>
    </x:row>
    <x:row r="13">
      <x:c r="B13" t="str">
        <x:f>IF(A13="","",COUNTIFS(Settlement!$C$4:$C$203,A13,Settlement!$X$4:$X$203,1))</x:f>
      </x:c>
      <x:c r="C13" t="str">
        <x:f>IF(A13="","",SUMIFS(Settlement!$J$4:$J$203,Settlement!$C$4:$C$203,A13,Settlement!$X$4:$X$203,1))</x:f>
      </x:c>
      <x:c r="D13" t="str">
        <x:f t="shared" si="0"/>
      </x:c>
      <x:c r="E13" t="str">
        <x:f>IF(OR(A13="",B13=0),"",SUMIFS(Settlement!$I$4:$I$203,Settlement!$C$4:$C$203,A13,Settlement!$X$4:$X$203,1)/B13)</x:f>
      </x:c>
      <x:c r="F13" t="str">
        <x:f t="shared" si="1"/>
      </x:c>
      <x:c r="G13" t="str">
        <x:f>IF(OR(A13="",B13=0),"",SUMIFS(Settlement!$R$4:$R$203,Settlement!$C$4:$C$203,A13,Settlement!$X$4:$X$203,1)/B13)</x:f>
      </x:c>
      <x:c r="H13" t="str">
        <x:f t="shared" si="2"/>
      </x:c>
    </x:row>
    <x:row r="14">
      <x:c r="B14" t="str">
        <x:f>IF(A14="","",COUNTIFS(Settlement!$C$4:$C$203,A14,Settlement!$X$4:$X$203,1))</x:f>
      </x:c>
      <x:c r="C14" t="str">
        <x:f>IF(A14="","",SUMIFS(Settlement!$J$4:$J$203,Settlement!$C$4:$C$203,A14,Settlement!$X$4:$X$203,1))</x:f>
      </x:c>
      <x:c r="D14" t="str">
        <x:f t="shared" si="0"/>
      </x:c>
      <x:c r="E14" t="str">
        <x:f>IF(OR(A14="",B14=0),"",SUMIFS(Settlement!$I$4:$I$203,Settlement!$C$4:$C$203,A14,Settlement!$X$4:$X$203,1)/B14)</x:f>
      </x:c>
      <x:c r="F14" t="str">
        <x:f t="shared" si="1"/>
      </x:c>
      <x:c r="G14" t="str">
        <x:f>IF(OR(A14="",B14=0),"",SUMIFS(Settlement!$R$4:$R$203,Settlement!$C$4:$C$203,A14,Settlement!$X$4:$X$203,1)/B14)</x:f>
      </x:c>
      <x:c r="H14" t="str">
        <x:f t="shared" si="2"/>
      </x:c>
    </x:row>
    <x:row r="15">
      <x:c r="B15" t="str">
        <x:f>IF(A15="","",COUNTIFS(Settlement!$C$4:$C$203,A15,Settlement!$X$4:$X$203,1))</x:f>
      </x:c>
      <x:c r="C15" t="str">
        <x:f>IF(A15="","",SUMIFS(Settlement!$J$4:$J$203,Settlement!$C$4:$C$203,A15,Settlement!$X$4:$X$203,1))</x:f>
      </x:c>
      <x:c r="D15" t="str">
        <x:f t="shared" si="0"/>
      </x:c>
      <x:c r="E15" t="str">
        <x:f>IF(OR(A15="",B15=0),"",SUMIFS(Settlement!$I$4:$I$203,Settlement!$C$4:$C$203,A15,Settlement!$X$4:$X$203,1)/B15)</x:f>
      </x:c>
      <x:c r="F15" t="str">
        <x:f t="shared" si="1"/>
      </x:c>
      <x:c r="G15" t="str">
        <x:f>IF(OR(A15="",B15=0),"",SUMIFS(Settlement!$R$4:$R$203,Settlement!$C$4:$C$203,A15,Settlement!$X$4:$X$203,1)/B15)</x:f>
      </x:c>
      <x:c r="H15" t="str">
        <x:f t="shared" si="2"/>
      </x:c>
    </x:row>
    <x:row r="16">
      <x:c r="B16" t="str">
        <x:f>IF(A16="","",COUNTIFS(Settlement!$C$4:$C$203,A16,Settlement!$X$4:$X$203,1))</x:f>
      </x:c>
      <x:c r="C16" t="str">
        <x:f>IF(A16="","",SUMIFS(Settlement!$J$4:$J$203,Settlement!$C$4:$C$203,A16,Settlement!$X$4:$X$203,1))</x:f>
      </x:c>
      <x:c r="D16" t="str">
        <x:f t="shared" si="0"/>
      </x:c>
      <x:c r="E16" t="str">
        <x:f>IF(OR(A16="",B16=0),"",SUMIFS(Settlement!$I$4:$I$203,Settlement!$C$4:$C$203,A16,Settlement!$X$4:$X$203,1)/B16)</x:f>
      </x:c>
      <x:c r="F16" t="str">
        <x:f t="shared" si="1"/>
      </x:c>
      <x:c r="G16" t="str">
        <x:f>IF(OR(A16="",B16=0),"",SUMIFS(Settlement!$R$4:$R$203,Settlement!$C$4:$C$203,A16,Settlement!$X$4:$X$203,1)/B16)</x:f>
      </x:c>
      <x:c r="H16" t="str">
        <x:f t="shared" si="2"/>
      </x:c>
    </x:row>
    <x:row r="17">
      <x:c r="B17" t="str">
        <x:f>IF(A17="","",COUNTIFS(Settlement!$C$4:$C$203,A17,Settlement!$X$4:$X$203,1))</x:f>
      </x:c>
      <x:c r="C17" t="str">
        <x:f>IF(A17="","",SUMIFS(Settlement!$J$4:$J$203,Settlement!$C$4:$C$203,A17,Settlement!$X$4:$X$203,1))</x:f>
      </x:c>
      <x:c r="D17" t="str">
        <x:f t="shared" si="0"/>
      </x:c>
      <x:c r="E17" t="str">
        <x:f>IF(OR(A17="",B17=0),"",SUMIFS(Settlement!$I$4:$I$203,Settlement!$C$4:$C$203,A17,Settlement!$X$4:$X$203,1)/B17)</x:f>
      </x:c>
      <x:c r="F17" t="str">
        <x:f t="shared" si="1"/>
      </x:c>
      <x:c r="G17" t="str">
        <x:f>IF(OR(A17="",B17=0),"",SUMIFS(Settlement!$R$4:$R$203,Settlement!$C$4:$C$203,A17,Settlement!$X$4:$X$203,1)/B17)</x:f>
      </x:c>
      <x:c r="H17" t="str">
        <x:f t="shared" si="2"/>
      </x:c>
    </x:row>
    <x:row r="18">
      <x:c r="B18" t="str">
        <x:f>IF(A18="","",COUNTIFS(Settlement!$C$4:$C$203,A18,Settlement!$X$4:$X$203,1))</x:f>
      </x:c>
      <x:c r="C18" t="str">
        <x:f>IF(A18="","",SUMIFS(Settlement!$J$4:$J$203,Settlement!$C$4:$C$203,A18,Settlement!$X$4:$X$203,1))</x:f>
      </x:c>
      <x:c r="D18" t="str">
        <x:f t="shared" si="0"/>
      </x:c>
      <x:c r="E18" t="str">
        <x:f>IF(OR(A18="",B18=0),"",SUMIFS(Settlement!$I$4:$I$203,Settlement!$C$4:$C$203,A18,Settlement!$X$4:$X$203,1)/B18)</x:f>
      </x:c>
      <x:c r="F18" t="str">
        <x:f t="shared" si="1"/>
      </x:c>
      <x:c r="G18" t="str">
        <x:f>IF(OR(A18="",B18=0),"",SUMIFS(Settlement!$R$4:$R$203,Settlement!$C$4:$C$203,A18,Settlement!$X$4:$X$203,1)/B18)</x:f>
      </x:c>
      <x:c r="H18" t="str">
        <x:f t="shared" si="2"/>
      </x:c>
    </x:row>
    <x:row r="19">
      <x:c r="B19" t="str">
        <x:f>IF(A19="","",COUNTIFS(Settlement!$C$4:$C$203,A19,Settlement!$X$4:$X$203,1))</x:f>
      </x:c>
      <x:c r="C19" t="str">
        <x:f>IF(A19="","",SUMIFS(Settlement!$J$4:$J$203,Settlement!$C$4:$C$203,A19,Settlement!$X$4:$X$203,1))</x:f>
      </x:c>
      <x:c r="D19" t="str">
        <x:f t="shared" si="0"/>
      </x:c>
      <x:c r="E19" t="str">
        <x:f>IF(OR(A19="",B19=0),"",SUMIFS(Settlement!$I$4:$I$203,Settlement!$C$4:$C$203,A19,Settlement!$X$4:$X$203,1)/B19)</x:f>
      </x:c>
      <x:c r="F19" t="str">
        <x:f t="shared" si="1"/>
      </x:c>
      <x:c r="G19" t="str">
        <x:f>IF(OR(A19="",B19=0),"",SUMIFS(Settlement!$R$4:$R$203,Settlement!$C$4:$C$203,A19,Settlement!$X$4:$X$203,1)/B19)</x:f>
      </x:c>
      <x:c r="H19" t="str">
        <x:f t="shared" si="2"/>
      </x:c>
    </x:row>
    <x:row r="20">
      <x:c r="B20" t="str">
        <x:f>IF(A20="","",COUNTIFS(Settlement!$C$4:$C$203,A20,Settlement!$X$4:$X$203,1))</x:f>
      </x:c>
      <x:c r="C20" t="str">
        <x:f>IF(A20="","",SUMIFS(Settlement!$J$4:$J$203,Settlement!$C$4:$C$203,A20,Settlement!$X$4:$X$203,1))</x:f>
      </x:c>
      <x:c r="D20" t="str">
        <x:f t="shared" si="0"/>
      </x:c>
      <x:c r="E20" t="str">
        <x:f>IF(OR(A20="",B20=0),"",SUMIFS(Settlement!$I$4:$I$203,Settlement!$C$4:$C$203,A20,Settlement!$X$4:$X$203,1)/B20)</x:f>
      </x:c>
      <x:c r="F20" t="str">
        <x:f t="shared" si="1"/>
      </x:c>
      <x:c r="G20" t="str">
        <x:f>IF(OR(A20="",B20=0),"",SUMIFS(Settlement!$R$4:$R$203,Settlement!$C$4:$C$203,A20,Settlement!$X$4:$X$203,1)/B20)</x:f>
      </x:c>
      <x:c r="H20" t="str">
        <x:f t="shared" si="2"/>
      </x:c>
    </x:row>
    <x:row r="21">
      <x:c r="B21" t="str">
        <x:f>IF(A21="","",COUNTIFS(Settlement!$C$4:$C$203,A21,Settlement!$X$4:$X$203,1))</x:f>
      </x:c>
      <x:c r="C21" t="str">
        <x:f>IF(A21="","",SUMIFS(Settlement!$J$4:$J$203,Settlement!$C$4:$C$203,A21,Settlement!$X$4:$X$203,1))</x:f>
      </x:c>
      <x:c r="D21" t="str">
        <x:f t="shared" si="0"/>
      </x:c>
      <x:c r="E21" t="str">
        <x:f>IF(OR(A21="",B21=0),"",SUMIFS(Settlement!$I$4:$I$203,Settlement!$C$4:$C$203,A21,Settlement!$X$4:$X$203,1)/B21)</x:f>
      </x:c>
      <x:c r="F21" t="str">
        <x:f t="shared" si="1"/>
      </x:c>
      <x:c r="G21" t="str">
        <x:f>IF(OR(A21="",B21=0),"",SUMIFS(Settlement!$R$4:$R$203,Settlement!$C$4:$C$203,A21,Settlement!$X$4:$X$203,1)/B21)</x:f>
      </x:c>
      <x:c r="H21" t="str">
        <x:f t="shared" si="2"/>
      </x:c>
    </x:row>
    <x:row r="22">
      <x:c r="B22" t="str">
        <x:f>IF(A22="","",COUNTIFS(Settlement!$C$4:$C$203,A22,Settlement!$X$4:$X$203,1))</x:f>
      </x:c>
      <x:c r="C22" t="str">
        <x:f>IF(A22="","",SUMIFS(Settlement!$J$4:$J$203,Settlement!$C$4:$C$203,A22,Settlement!$X$4:$X$203,1))</x:f>
      </x:c>
      <x:c r="D22" t="str">
        <x:f t="shared" si="0"/>
      </x:c>
      <x:c r="E22" t="str">
        <x:f>IF(OR(A22="",B22=0),"",SUMIFS(Settlement!$I$4:$I$203,Settlement!$C$4:$C$203,A22,Settlement!$X$4:$X$203,1)/B22)</x:f>
      </x:c>
      <x:c r="F22" t="str">
        <x:f t="shared" si="1"/>
      </x:c>
      <x:c r="G22" t="str">
        <x:f>IF(OR(A22="",B22=0),"",SUMIFS(Settlement!$R$4:$R$203,Settlement!$C$4:$C$203,A22,Settlement!$X$4:$X$203,1)/B22)</x:f>
      </x:c>
      <x:c r="H22" t="str">
        <x:f t="shared" si="2"/>
      </x:c>
    </x:row>
    <x:row r="23">
      <x:c r="B23" t="str">
        <x:f>IF(A23="","",COUNTIFS(Settlement!$C$4:$C$203,A23,Settlement!$X$4:$X$203,1))</x:f>
      </x:c>
      <x:c r="C23" t="str">
        <x:f>IF(A23="","",SUMIFS(Settlement!$J$4:$J$203,Settlement!$C$4:$C$203,A23,Settlement!$X$4:$X$203,1))</x:f>
      </x:c>
      <x:c r="D23" t="str">
        <x:f t="shared" si="0"/>
      </x:c>
      <x:c r="E23" t="str">
        <x:f>IF(OR(A23="",B23=0),"",SUMIFS(Settlement!$I$4:$I$203,Settlement!$C$4:$C$203,A23,Settlement!$X$4:$X$203,1)/B23)</x:f>
      </x:c>
      <x:c r="F23" t="str">
        <x:f t="shared" si="1"/>
      </x:c>
      <x:c r="G23" t="str">
        <x:f>IF(OR(A23="",B23=0),"",SUMIFS(Settlement!$R$4:$R$203,Settlement!$C$4:$C$203,A23,Settlement!$X$4:$X$203,1)/B23)</x:f>
      </x:c>
      <x:c r="H23" t="str">
        <x:f t="shared" si="2"/>
      </x:c>
    </x:row>
    <x:row r="24">
      <x:c r="B24" t="str">
        <x:f>IF(A24="","",COUNTIFS(Settlement!$C$4:$C$203,A24,Settlement!$X$4:$X$203,1))</x:f>
      </x:c>
      <x:c r="C24" t="str">
        <x:f>IF(A24="","",SUMIFS(Settlement!$J$4:$J$203,Settlement!$C$4:$C$203,A24,Settlement!$X$4:$X$203,1))</x:f>
      </x:c>
      <x:c r="D24" t="str">
        <x:f t="shared" si="0"/>
      </x:c>
      <x:c r="E24" t="str">
        <x:f>IF(OR(A24="",B24=0),"",SUMIFS(Settlement!$I$4:$I$203,Settlement!$C$4:$C$203,A24,Settlement!$X$4:$X$203,1)/B24)</x:f>
      </x:c>
      <x:c r="F24" t="str">
        <x:f t="shared" si="1"/>
      </x:c>
      <x:c r="G24" t="str">
        <x:f>IF(OR(A24="",B24=0),"",SUMIFS(Settlement!$R$4:$R$203,Settlement!$C$4:$C$203,A24,Settlement!$X$4:$X$203,1)/B24)</x:f>
      </x:c>
      <x:c r="H24" t="str">
        <x:f t="shared" si="2"/>
      </x:c>
    </x:row>
    <x:row r="25">
      <x:c r="B25" t="str">
        <x:f>IF(A25="","",COUNTIFS(Settlement!$C$4:$C$203,A25,Settlement!$X$4:$X$203,1))</x:f>
      </x:c>
      <x:c r="C25" t="str">
        <x:f>IF(A25="","",SUMIFS(Settlement!$J$4:$J$203,Settlement!$C$4:$C$203,A25,Settlement!$X$4:$X$203,1))</x:f>
      </x:c>
      <x:c r="D25" t="str">
        <x:f t="shared" si="0"/>
      </x:c>
      <x:c r="E25" t="str">
        <x:f>IF(OR(A25="",B25=0),"",SUMIFS(Settlement!$I$4:$I$203,Settlement!$C$4:$C$203,A25,Settlement!$X$4:$X$203,1)/B25)</x:f>
      </x:c>
      <x:c r="F25" t="str">
        <x:f t="shared" si="1"/>
      </x:c>
      <x:c r="G25" t="str">
        <x:f>IF(OR(A25="",B25=0),"",SUMIFS(Settlement!$R$4:$R$203,Settlement!$C$4:$C$203,A25,Settlement!$X$4:$X$203,1)/B25)</x:f>
      </x:c>
      <x:c r="H25" t="str">
        <x:f t="shared" si="2"/>
      </x:c>
    </x:row>
    <x:row r="26">
      <x:c r="B26" t="str">
        <x:f>IF(A26="","",COUNTIFS(Settlement!$C$4:$C$203,A26,Settlement!$X$4:$X$203,1))</x:f>
      </x:c>
      <x:c r="C26" t="str">
        <x:f>IF(A26="","",SUMIFS(Settlement!$J$4:$J$203,Settlement!$C$4:$C$203,A26,Settlement!$X$4:$X$203,1))</x:f>
      </x:c>
      <x:c r="D26" t="str">
        <x:f t="shared" si="0"/>
      </x:c>
      <x:c r="E26" t="str">
        <x:f>IF(OR(A26="",B26=0),"",SUMIFS(Settlement!$I$4:$I$203,Settlement!$C$4:$C$203,A26,Settlement!$X$4:$X$203,1)/B26)</x:f>
      </x:c>
      <x:c r="F26" t="str">
        <x:f t="shared" si="1"/>
      </x:c>
      <x:c r="G26" t="str">
        <x:f>IF(OR(A26="",B26=0),"",SUMIFS(Settlement!$R$4:$R$203,Settlement!$C$4:$C$203,A26,Settlement!$X$4:$X$203,1)/B26)</x:f>
      </x:c>
      <x:c r="H26" t="str">
        <x:f t="shared" si="2"/>
      </x:c>
    </x:row>
    <x:row r="27">
      <x:c r="B27" t="str">
        <x:f>IF(A27="","",COUNTIFS(Settlement!$C$4:$C$203,A27,Settlement!$X$4:$X$203,1))</x:f>
      </x:c>
      <x:c r="C27" t="str">
        <x:f>IF(A27="","",SUMIFS(Settlement!$J$4:$J$203,Settlement!$C$4:$C$203,A27,Settlement!$X$4:$X$203,1))</x:f>
      </x:c>
      <x:c r="D27" t="str">
        <x:f t="shared" si="0"/>
      </x:c>
      <x:c r="E27" t="str">
        <x:f>IF(OR(A27="",B27=0),"",SUMIFS(Settlement!$I$4:$I$203,Settlement!$C$4:$C$203,A27,Settlement!$X$4:$X$203,1)/B27)</x:f>
      </x:c>
      <x:c r="F27" t="str">
        <x:f t="shared" si="1"/>
      </x:c>
      <x:c r="G27" t="str">
        <x:f>IF(OR(A27="",B27=0),"",SUMIFS(Settlement!$R$4:$R$203,Settlement!$C$4:$C$203,A27,Settlement!$X$4:$X$203,1)/B27)</x:f>
      </x:c>
      <x:c r="H27" t="str">
        <x:f t="shared" si="2"/>
      </x:c>
    </x:row>
    <x:row r="28">
      <x:c r="B28" t="str">
        <x:f>IF(A28="","",COUNTIFS(Settlement!$C$4:$C$203,A28,Settlement!$X$4:$X$203,1))</x:f>
      </x:c>
      <x:c r="C28" t="str">
        <x:f>IF(A28="","",SUMIFS(Settlement!$J$4:$J$203,Settlement!$C$4:$C$203,A28,Settlement!$X$4:$X$203,1))</x:f>
      </x:c>
      <x:c r="D28" t="str">
        <x:f t="shared" si="0"/>
      </x:c>
      <x:c r="E28" t="str">
        <x:f>IF(OR(A28="",B28=0),"",SUMIFS(Settlement!$I$4:$I$203,Settlement!$C$4:$C$203,A28,Settlement!$X$4:$X$203,1)/B28)</x:f>
      </x:c>
      <x:c r="F28" t="str">
        <x:f t="shared" si="1"/>
      </x:c>
      <x:c r="G28" t="str">
        <x:f>IF(OR(A28="",B28=0),"",SUMIFS(Settlement!$R$4:$R$203,Settlement!$C$4:$C$203,A28,Settlement!$X$4:$X$203,1)/B28)</x:f>
      </x:c>
      <x:c r="H28" t="str">
        <x:f t="shared" si="2"/>
      </x:c>
    </x:row>
    <x:row r="29">
      <x:c r="B29" t="str">
        <x:f>IF(A29="","",COUNTIFS(Settlement!$C$4:$C$203,A29,Settlement!$X$4:$X$203,1))</x:f>
      </x:c>
      <x:c r="C29" t="str">
        <x:f>IF(A29="","",SUMIFS(Settlement!$J$4:$J$203,Settlement!$C$4:$C$203,A29,Settlement!$X$4:$X$203,1))</x:f>
      </x:c>
      <x:c r="D29" t="str">
        <x:f t="shared" si="0"/>
      </x:c>
      <x:c r="E29" t="str">
        <x:f>IF(OR(A29="",B29=0),"",SUMIFS(Settlement!$I$4:$I$203,Settlement!$C$4:$C$203,A29,Settlement!$X$4:$X$203,1)/B29)</x:f>
      </x:c>
      <x:c r="F29" t="str">
        <x:f t="shared" si="1"/>
      </x:c>
      <x:c r="G29" t="str">
        <x:f>IF(OR(A29="",B29=0),"",SUMIFS(Settlement!$R$4:$R$203,Settlement!$C$4:$C$203,A29,Settlement!$X$4:$X$203,1)/B29)</x:f>
      </x:c>
      <x:c r="H29" t="str">
        <x:f t="shared" si="2"/>
      </x:c>
    </x:row>
    <x:row r="30">
      <x:c r="B30" t="str">
        <x:f>IF(A30="","",COUNTIFS(Settlement!$C$4:$C$203,A30,Settlement!$X$4:$X$203,1))</x:f>
      </x:c>
      <x:c r="C30" t="str">
        <x:f>IF(A30="","",SUMIFS(Settlement!$J$4:$J$203,Settlement!$C$4:$C$203,A30,Settlement!$X$4:$X$203,1))</x:f>
      </x:c>
      <x:c r="D30" t="str">
        <x:f t="shared" si="0"/>
      </x:c>
      <x:c r="E30" t="str">
        <x:f>IF(OR(A30="",B30=0),"",SUMIFS(Settlement!$I$4:$I$203,Settlement!$C$4:$C$203,A30,Settlement!$X$4:$X$203,1)/B30)</x:f>
      </x:c>
      <x:c r="F30" t="str">
        <x:f t="shared" si="1"/>
      </x:c>
      <x:c r="G30" t="str">
        <x:f>IF(OR(A30="",B30=0),"",SUMIFS(Settlement!$R$4:$R$203,Settlement!$C$4:$C$203,A30,Settlement!$X$4:$X$203,1)/B30)</x:f>
      </x:c>
      <x:c r="H30" t="str">
        <x:f t="shared" si="2"/>
      </x:c>
    </x:row>
    <x:row r="31">
      <x:c r="B31" t="str">
        <x:f>IF(A31="","",COUNTIFS(Settlement!$C$4:$C$203,A31,Settlement!$X$4:$X$203,1))</x:f>
      </x:c>
      <x:c r="C31" t="str">
        <x:f>IF(A31="","",SUMIFS(Settlement!$J$4:$J$203,Settlement!$C$4:$C$203,A31,Settlement!$X$4:$X$203,1))</x:f>
      </x:c>
      <x:c r="D31" t="str">
        <x:f t="shared" si="0"/>
      </x:c>
      <x:c r="E31" t="str">
        <x:f>IF(OR(A31="",B31=0),"",SUMIFS(Settlement!$I$4:$I$203,Settlement!$C$4:$C$203,A31,Settlement!$X$4:$X$203,1)/B31)</x:f>
      </x:c>
      <x:c r="F31" t="str">
        <x:f t="shared" si="1"/>
      </x:c>
      <x:c r="G31" t="str">
        <x:f>IF(OR(A31="",B31=0),"",SUMIFS(Settlement!$R$4:$R$203,Settlement!$C$4:$C$203,A31,Settlement!$X$4:$X$203,1)/B31)</x:f>
      </x:c>
      <x:c r="H31" t="str">
        <x:f t="shared" si="2"/>
      </x:c>
    </x:row>
    <x:row r="32">
      <x:c r="B32" t="str">
        <x:f>IF(A32="","",COUNTIFS(Settlement!$C$4:$C$203,A32,Settlement!$X$4:$X$203,1))</x:f>
      </x:c>
      <x:c r="C32" t="str">
        <x:f>IF(A32="","",SUMIFS(Settlement!$J$4:$J$203,Settlement!$C$4:$C$203,A32,Settlement!$X$4:$X$203,1))</x:f>
      </x:c>
      <x:c r="D32" t="str">
        <x:f t="shared" si="0"/>
      </x:c>
      <x:c r="E32" t="str">
        <x:f>IF(OR(A32="",B32=0),"",SUMIFS(Settlement!$I$4:$I$203,Settlement!$C$4:$C$203,A32,Settlement!$X$4:$X$203,1)/B32)</x:f>
      </x:c>
      <x:c r="F32" t="str">
        <x:f t="shared" si="1"/>
      </x:c>
      <x:c r="G32" t="str">
        <x:f>IF(OR(A32="",B32=0),"",SUMIFS(Settlement!$R$4:$R$203,Settlement!$C$4:$C$203,A32,Settlement!$X$4:$X$203,1)/B32)</x:f>
      </x:c>
      <x:c r="H32" t="str">
        <x:f t="shared" si="2"/>
      </x:c>
    </x:row>
    <x:row r="33">
      <x:c r="B33" t="str">
        <x:f>IF(A33="","",COUNTIFS(Settlement!$C$4:$C$203,A33,Settlement!$X$4:$X$203,1))</x:f>
      </x:c>
      <x:c r="C33" t="str">
        <x:f>IF(A33="","",SUMIFS(Settlement!$J$4:$J$203,Settlement!$C$4:$C$203,A33,Settlement!$X$4:$X$203,1))</x:f>
      </x:c>
      <x:c r="D33" t="str">
        <x:f t="shared" si="0"/>
      </x:c>
      <x:c r="E33" t="str">
        <x:f>IF(OR(A33="",B33=0),"",SUMIFS(Settlement!$I$4:$I$203,Settlement!$C$4:$C$203,A33,Settlement!$X$4:$X$203,1)/B33)</x:f>
      </x:c>
      <x:c r="F33" t="str">
        <x:f t="shared" si="1"/>
      </x:c>
      <x:c r="G33" t="str">
        <x:f>IF(OR(A33="",B33=0),"",SUMIFS(Settlement!$R$4:$R$203,Settlement!$C$4:$C$203,A33,Settlement!$X$4:$X$203,1)/B33)</x:f>
      </x:c>
      <x:c r="H33" t="str">
        <x:f t="shared" si="2"/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sheetData>
    <x:row r="1" ht="18">
      <x:c r="A1" s="23" t="s">
        <x:v>309</x:v>
      </x:c>
      <x:c r="B1" s="23"/>
      <x:c r="C1" s="23"/>
      <x:c r="D1" s="23"/>
      <x:c r="E1" s="23"/>
      <x:c r="F1" s="23"/>
      <x:c r="G1" s="23"/>
    </x:row>
    <x:row r="2">
      <x:c r="A2" s="24" t="s">
        <x:v>310</x:v>
      </x:c>
      <x:c r="B2" s="24"/>
      <x:c r="C2" s="24"/>
      <x:c r="D2" s="24"/>
      <x:c r="E2" s="24"/>
      <x:c r="F2" s="24"/>
      <x:c r="G2" s="24"/>
    </x:row>
    <x:row r="3" ht="30">
      <x:c r="A3" s="16" t="s">
        <x:v>311</x:v>
      </x:c>
      <x:c r="B3" s="16" t="s">
        <x:v>281</x:v>
      </x:c>
      <x:c r="C3" s="16" t="s">
        <x:v>282</x:v>
      </x:c>
      <x:c r="D3" s="16" t="s">
        <x:v>283</x:v>
      </x:c>
      <x:c r="E3" s="16" t="s">
        <x:v>289</x:v>
      </x:c>
      <x:c r="F3" s="16" t="s">
        <x:v>291</x:v>
      </x:c>
      <x:c r="G3" s="16" t="s">
        <x:v>274</x:v>
      </x:c>
    </x:row>
    <x:row r="4">
      <x:c r="A4" s="230">
        <x:v>46235</x:v>
      </x:c>
      <x:c r="B4" t="n">
        <x:f>IF(A4="","",COUNTIFS(Settlement!$B$4:$B$203,"&gt;="&amp;A4,Settlement!$B$4:$B$203,"&lt;"&amp;EDATE(A4,1),Settlement!$X$4:$X$203,1))</x:f>
        <x:v>0</x:v>
      </x:c>
      <x:c r="C4" t="n">
        <x:f>IF(A4="","",SUMIFS(Settlement!$J$4:$J$203,Settlement!$B$4:$B$203,"&gt;="&amp;A4,Settlement!$B$4:$B$203,"&lt;"&amp;EDATE(A4,1),Settlement!$X$4:$X$203,1))</x:f>
        <x:v>0</x:v>
      </x:c>
      <x:c r="D4" t="str">
        <x:f t="shared" ref="D4:D27" si="0">IFERROR(C4/B4,"")</x:f>
      </x:c>
      <x:c r="E4" t="str">
        <x:f>IF(OR(A4="",B4=0),"",SUMIFS(Settlement!$I$4:$I$203,Settlement!$B$4:$B$203,"&gt;="&amp;A4,Settlement!$B$4:$B$203,"&lt;"&amp;EDATE(A4,1),Settlement!$X$4:$X$203,1)/B4)</x:f>
      </x:c>
      <x:c r="F4" t="str">
        <x:f t="shared" ref="F4:F27" si="1">IF(OR(D4="",E4=""),"",E4-D4)</x:f>
      </x:c>
      <x:c r="G4" t="str">
        <x:f>IF(OR(A4="",B4=0),"",SUMIFS(Settlement!$R$4:$R$203,Settlement!$B$4:$B$203,"&gt;="&amp;A4,Settlement!$B$4:$B$203,"&lt;"&amp;EDATE(A4,1),Settlement!$X$4:$X$203,1)/B4)</x:f>
      </x:c>
    </x:row>
    <x:row r="5">
      <x:c r="A5" s="230"/>
      <x:c r="B5" t="str">
        <x:f>IF(A5="","",COUNTIFS(Settlement!$B$4:$B$203,"&gt;="&amp;A5,Settlement!$B$4:$B$203,"&lt;"&amp;EDATE(A5,1),Settlement!$X$4:$X$203,1))</x:f>
      </x:c>
      <x:c r="C5" t="str">
        <x:f>IF(A5="","",SUMIFS(Settlement!$J$4:$J$203,Settlement!$B$4:$B$203,"&gt;="&amp;A5,Settlement!$B$4:$B$203,"&lt;"&amp;EDATE(A5,1),Settlement!$X$4:$X$203,1))</x:f>
      </x:c>
      <x:c r="D5" t="str">
        <x:f t="shared" si="0"/>
      </x:c>
      <x:c r="E5" t="str">
        <x:f>IF(OR(A5="",B5=0),"",SUMIFS(Settlement!$I$4:$I$203,Settlement!$B$4:$B$203,"&gt;="&amp;A5,Settlement!$B$4:$B$203,"&lt;"&amp;EDATE(A5,1),Settlement!$X$4:$X$203,1)/B5)</x:f>
      </x:c>
      <x:c r="F5" t="str">
        <x:f t="shared" si="1"/>
      </x:c>
      <x:c r="G5" t="str">
        <x:f>IF(OR(A5="",B5=0),"",SUMIFS(Settlement!$R$4:$R$203,Settlement!$B$4:$B$203,"&gt;="&amp;A5,Settlement!$B$4:$B$203,"&lt;"&amp;EDATE(A5,1),Settlement!$X$4:$X$203,1)/B5)</x:f>
      </x:c>
    </x:row>
    <x:row r="6">
      <x:c r="A6" s="230"/>
      <x:c r="B6" t="str">
        <x:f>IF(A6="","",COUNTIFS(Settlement!$B$4:$B$203,"&gt;="&amp;A6,Settlement!$B$4:$B$203,"&lt;"&amp;EDATE(A6,1),Settlement!$X$4:$X$203,1))</x:f>
      </x:c>
      <x:c r="C6" t="str">
        <x:f>IF(A6="","",SUMIFS(Settlement!$J$4:$J$203,Settlement!$B$4:$B$203,"&gt;="&amp;A6,Settlement!$B$4:$B$203,"&lt;"&amp;EDATE(A6,1),Settlement!$X$4:$X$203,1))</x:f>
      </x:c>
      <x:c r="D6" t="str">
        <x:f t="shared" si="0"/>
      </x:c>
      <x:c r="E6" t="str">
        <x:f>IF(OR(A6="",B6=0),"",SUMIFS(Settlement!$I$4:$I$203,Settlement!$B$4:$B$203,"&gt;="&amp;A6,Settlement!$B$4:$B$203,"&lt;"&amp;EDATE(A6,1),Settlement!$X$4:$X$203,1)/B6)</x:f>
      </x:c>
      <x:c r="F6" t="str">
        <x:f t="shared" si="1"/>
      </x:c>
      <x:c r="G6" t="str">
        <x:f>IF(OR(A6="",B6=0),"",SUMIFS(Settlement!$R$4:$R$203,Settlement!$B$4:$B$203,"&gt;="&amp;A6,Settlement!$B$4:$B$203,"&lt;"&amp;EDATE(A6,1),Settlement!$X$4:$X$203,1)/B6)</x:f>
      </x:c>
    </x:row>
    <x:row r="7">
      <x:c r="A7" s="230"/>
      <x:c r="B7" t="str">
        <x:f>IF(A7="","",COUNTIFS(Settlement!$B$4:$B$203,"&gt;="&amp;A7,Settlement!$B$4:$B$203,"&lt;"&amp;EDATE(A7,1),Settlement!$X$4:$X$203,1))</x:f>
      </x:c>
      <x:c r="C7" t="str">
        <x:f>IF(A7="","",SUMIFS(Settlement!$J$4:$J$203,Settlement!$B$4:$B$203,"&gt;="&amp;A7,Settlement!$B$4:$B$203,"&lt;"&amp;EDATE(A7,1),Settlement!$X$4:$X$203,1))</x:f>
      </x:c>
      <x:c r="D7" t="str">
        <x:f t="shared" si="0"/>
      </x:c>
      <x:c r="E7" t="str">
        <x:f>IF(OR(A7="",B7=0),"",SUMIFS(Settlement!$I$4:$I$203,Settlement!$B$4:$B$203,"&gt;="&amp;A7,Settlement!$B$4:$B$203,"&lt;"&amp;EDATE(A7,1),Settlement!$X$4:$X$203,1)/B7)</x:f>
      </x:c>
      <x:c r="F7" t="str">
        <x:f t="shared" si="1"/>
      </x:c>
      <x:c r="G7" t="str">
        <x:f>IF(OR(A7="",B7=0),"",SUMIFS(Settlement!$R$4:$R$203,Settlement!$B$4:$B$203,"&gt;="&amp;A7,Settlement!$B$4:$B$203,"&lt;"&amp;EDATE(A7,1),Settlement!$X$4:$X$203,1)/B7)</x:f>
      </x:c>
    </x:row>
    <x:row r="8">
      <x:c r="A8" s="230"/>
      <x:c r="B8" t="str">
        <x:f>IF(A8="","",COUNTIFS(Settlement!$B$4:$B$203,"&gt;="&amp;A8,Settlement!$B$4:$B$203,"&lt;"&amp;EDATE(A8,1),Settlement!$X$4:$X$203,1))</x:f>
      </x:c>
      <x:c r="C8" t="str">
        <x:f>IF(A8="","",SUMIFS(Settlement!$J$4:$J$203,Settlement!$B$4:$B$203,"&gt;="&amp;A8,Settlement!$B$4:$B$203,"&lt;"&amp;EDATE(A8,1),Settlement!$X$4:$X$203,1))</x:f>
      </x:c>
      <x:c r="D8" t="str">
        <x:f t="shared" si="0"/>
      </x:c>
      <x:c r="E8" t="str">
        <x:f>IF(OR(A8="",B8=0),"",SUMIFS(Settlement!$I$4:$I$203,Settlement!$B$4:$B$203,"&gt;="&amp;A8,Settlement!$B$4:$B$203,"&lt;"&amp;EDATE(A8,1),Settlement!$X$4:$X$203,1)/B8)</x:f>
      </x:c>
      <x:c r="F8" t="str">
        <x:f t="shared" si="1"/>
      </x:c>
      <x:c r="G8" t="str">
        <x:f>IF(OR(A8="",B8=0),"",SUMIFS(Settlement!$R$4:$R$203,Settlement!$B$4:$B$203,"&gt;="&amp;A8,Settlement!$B$4:$B$203,"&lt;"&amp;EDATE(A8,1),Settlement!$X$4:$X$203,1)/B8)</x:f>
      </x:c>
    </x:row>
    <x:row r="9">
      <x:c r="A9" s="230"/>
      <x:c r="B9" t="str">
        <x:f>IF(A9="","",COUNTIFS(Settlement!$B$4:$B$203,"&gt;="&amp;A9,Settlement!$B$4:$B$203,"&lt;"&amp;EDATE(A9,1),Settlement!$X$4:$X$203,1))</x:f>
      </x:c>
      <x:c r="C9" t="str">
        <x:f>IF(A9="","",SUMIFS(Settlement!$J$4:$J$203,Settlement!$B$4:$B$203,"&gt;="&amp;A9,Settlement!$B$4:$B$203,"&lt;"&amp;EDATE(A9,1),Settlement!$X$4:$X$203,1))</x:f>
      </x:c>
      <x:c r="D9" t="str">
        <x:f t="shared" si="0"/>
      </x:c>
      <x:c r="E9" t="str">
        <x:f>IF(OR(A9="",B9=0),"",SUMIFS(Settlement!$I$4:$I$203,Settlement!$B$4:$B$203,"&gt;="&amp;A9,Settlement!$B$4:$B$203,"&lt;"&amp;EDATE(A9,1),Settlement!$X$4:$X$203,1)/B9)</x:f>
      </x:c>
      <x:c r="F9" t="str">
        <x:f t="shared" si="1"/>
      </x:c>
      <x:c r="G9" t="str">
        <x:f>IF(OR(A9="",B9=0),"",SUMIFS(Settlement!$R$4:$R$203,Settlement!$B$4:$B$203,"&gt;="&amp;A9,Settlement!$B$4:$B$203,"&lt;"&amp;EDATE(A9,1),Settlement!$X$4:$X$203,1)/B9)</x:f>
      </x:c>
    </x:row>
    <x:row r="10">
      <x:c r="A10" s="230"/>
      <x:c r="B10" t="str">
        <x:f>IF(A10="","",COUNTIFS(Settlement!$B$4:$B$203,"&gt;="&amp;A10,Settlement!$B$4:$B$203,"&lt;"&amp;EDATE(A10,1),Settlement!$X$4:$X$203,1))</x:f>
      </x:c>
      <x:c r="C10" t="str">
        <x:f>IF(A10="","",SUMIFS(Settlement!$J$4:$J$203,Settlement!$B$4:$B$203,"&gt;="&amp;A10,Settlement!$B$4:$B$203,"&lt;"&amp;EDATE(A10,1),Settlement!$X$4:$X$203,1))</x:f>
      </x:c>
      <x:c r="D10" t="str">
        <x:f t="shared" si="0"/>
      </x:c>
      <x:c r="E10" t="str">
        <x:f>IF(OR(A10="",B10=0),"",SUMIFS(Settlement!$I$4:$I$203,Settlement!$B$4:$B$203,"&gt;="&amp;A10,Settlement!$B$4:$B$203,"&lt;"&amp;EDATE(A10,1),Settlement!$X$4:$X$203,1)/B10)</x:f>
      </x:c>
      <x:c r="F10" t="str">
        <x:f t="shared" si="1"/>
      </x:c>
      <x:c r="G10" t="str">
        <x:f>IF(OR(A10="",B10=0),"",SUMIFS(Settlement!$R$4:$R$203,Settlement!$B$4:$B$203,"&gt;="&amp;A10,Settlement!$B$4:$B$203,"&lt;"&amp;EDATE(A10,1),Settlement!$X$4:$X$203,1)/B10)</x:f>
      </x:c>
    </x:row>
    <x:row r="11">
      <x:c r="A11" s="230"/>
      <x:c r="B11" t="str">
        <x:f>IF(A11="","",COUNTIFS(Settlement!$B$4:$B$203,"&gt;="&amp;A11,Settlement!$B$4:$B$203,"&lt;"&amp;EDATE(A11,1),Settlement!$X$4:$X$203,1))</x:f>
      </x:c>
      <x:c r="C11" t="str">
        <x:f>IF(A11="","",SUMIFS(Settlement!$J$4:$J$203,Settlement!$B$4:$B$203,"&gt;="&amp;A11,Settlement!$B$4:$B$203,"&lt;"&amp;EDATE(A11,1),Settlement!$X$4:$X$203,1))</x:f>
      </x:c>
      <x:c r="D11" t="str">
        <x:f t="shared" si="0"/>
      </x:c>
      <x:c r="E11" t="str">
        <x:f>IF(OR(A11="",B11=0),"",SUMIFS(Settlement!$I$4:$I$203,Settlement!$B$4:$B$203,"&gt;="&amp;A11,Settlement!$B$4:$B$203,"&lt;"&amp;EDATE(A11,1),Settlement!$X$4:$X$203,1)/B11)</x:f>
      </x:c>
      <x:c r="F11" t="str">
        <x:f t="shared" si="1"/>
      </x:c>
      <x:c r="G11" t="str">
        <x:f>IF(OR(A11="",B11=0),"",SUMIFS(Settlement!$R$4:$R$203,Settlement!$B$4:$B$203,"&gt;="&amp;A11,Settlement!$B$4:$B$203,"&lt;"&amp;EDATE(A11,1),Settlement!$X$4:$X$203,1)/B11)</x:f>
      </x:c>
    </x:row>
    <x:row r="12">
      <x:c r="A12" s="230"/>
      <x:c r="B12" t="str">
        <x:f>IF(A12="","",COUNTIFS(Settlement!$B$4:$B$203,"&gt;="&amp;A12,Settlement!$B$4:$B$203,"&lt;"&amp;EDATE(A12,1),Settlement!$X$4:$X$203,1))</x:f>
      </x:c>
      <x:c r="C12" t="str">
        <x:f>IF(A12="","",SUMIFS(Settlement!$J$4:$J$203,Settlement!$B$4:$B$203,"&gt;="&amp;A12,Settlement!$B$4:$B$203,"&lt;"&amp;EDATE(A12,1),Settlement!$X$4:$X$203,1))</x:f>
      </x:c>
      <x:c r="D12" t="str">
        <x:f t="shared" si="0"/>
      </x:c>
      <x:c r="E12" t="str">
        <x:f>IF(OR(A12="",B12=0),"",SUMIFS(Settlement!$I$4:$I$203,Settlement!$B$4:$B$203,"&gt;="&amp;A12,Settlement!$B$4:$B$203,"&lt;"&amp;EDATE(A12,1),Settlement!$X$4:$X$203,1)/B12)</x:f>
      </x:c>
      <x:c r="F12" t="str">
        <x:f t="shared" si="1"/>
      </x:c>
      <x:c r="G12" t="str">
        <x:f>IF(OR(A12="",B12=0),"",SUMIFS(Settlement!$R$4:$R$203,Settlement!$B$4:$B$203,"&gt;="&amp;A12,Settlement!$B$4:$B$203,"&lt;"&amp;EDATE(A12,1),Settlement!$X$4:$X$203,1)/B12)</x:f>
      </x:c>
    </x:row>
    <x:row r="13">
      <x:c r="A13" s="230"/>
      <x:c r="B13" t="str">
        <x:f>IF(A13="","",COUNTIFS(Settlement!$B$4:$B$203,"&gt;="&amp;A13,Settlement!$B$4:$B$203,"&lt;"&amp;EDATE(A13,1),Settlement!$X$4:$X$203,1))</x:f>
      </x:c>
      <x:c r="C13" t="str">
        <x:f>IF(A13="","",SUMIFS(Settlement!$J$4:$J$203,Settlement!$B$4:$B$203,"&gt;="&amp;A13,Settlement!$B$4:$B$203,"&lt;"&amp;EDATE(A13,1),Settlement!$X$4:$X$203,1))</x:f>
      </x:c>
      <x:c r="D13" t="str">
        <x:f t="shared" si="0"/>
      </x:c>
      <x:c r="E13" t="str">
        <x:f>IF(OR(A13="",B13=0),"",SUMIFS(Settlement!$I$4:$I$203,Settlement!$B$4:$B$203,"&gt;="&amp;A13,Settlement!$B$4:$B$203,"&lt;"&amp;EDATE(A13,1),Settlement!$X$4:$X$203,1)/B13)</x:f>
      </x:c>
      <x:c r="F13" t="str">
        <x:f t="shared" si="1"/>
      </x:c>
      <x:c r="G13" t="str">
        <x:f>IF(OR(A13="",B13=0),"",SUMIFS(Settlement!$R$4:$R$203,Settlement!$B$4:$B$203,"&gt;="&amp;A13,Settlement!$B$4:$B$203,"&lt;"&amp;EDATE(A13,1),Settlement!$X$4:$X$203,1)/B13)</x:f>
      </x:c>
    </x:row>
    <x:row r="14">
      <x:c r="A14" s="230"/>
      <x:c r="B14" t="str">
        <x:f>IF(A14="","",COUNTIFS(Settlement!$B$4:$B$203,"&gt;="&amp;A14,Settlement!$B$4:$B$203,"&lt;"&amp;EDATE(A14,1),Settlement!$X$4:$X$203,1))</x:f>
      </x:c>
      <x:c r="C14" t="str">
        <x:f>IF(A14="","",SUMIFS(Settlement!$J$4:$J$203,Settlement!$B$4:$B$203,"&gt;="&amp;A14,Settlement!$B$4:$B$203,"&lt;"&amp;EDATE(A14,1),Settlement!$X$4:$X$203,1))</x:f>
      </x:c>
      <x:c r="D14" t="str">
        <x:f t="shared" si="0"/>
      </x:c>
      <x:c r="E14" t="str">
        <x:f>IF(OR(A14="",B14=0),"",SUMIFS(Settlement!$I$4:$I$203,Settlement!$B$4:$B$203,"&gt;="&amp;A14,Settlement!$B$4:$B$203,"&lt;"&amp;EDATE(A14,1),Settlement!$X$4:$X$203,1)/B14)</x:f>
      </x:c>
      <x:c r="F14" t="str">
        <x:f t="shared" si="1"/>
      </x:c>
      <x:c r="G14" t="str">
        <x:f>IF(OR(A14="",B14=0),"",SUMIFS(Settlement!$R$4:$R$203,Settlement!$B$4:$B$203,"&gt;="&amp;A14,Settlement!$B$4:$B$203,"&lt;"&amp;EDATE(A14,1),Settlement!$X$4:$X$203,1)/B14)</x:f>
      </x:c>
    </x:row>
    <x:row r="15">
      <x:c r="A15" s="230"/>
      <x:c r="B15" t="str">
        <x:f>IF(A15="","",COUNTIFS(Settlement!$B$4:$B$203,"&gt;="&amp;A15,Settlement!$B$4:$B$203,"&lt;"&amp;EDATE(A15,1),Settlement!$X$4:$X$203,1))</x:f>
      </x:c>
      <x:c r="C15" t="str">
        <x:f>IF(A15="","",SUMIFS(Settlement!$J$4:$J$203,Settlement!$B$4:$B$203,"&gt;="&amp;A15,Settlement!$B$4:$B$203,"&lt;"&amp;EDATE(A15,1),Settlement!$X$4:$X$203,1))</x:f>
      </x:c>
      <x:c r="D15" t="str">
        <x:f t="shared" si="0"/>
      </x:c>
      <x:c r="E15" t="str">
        <x:f>IF(OR(A15="",B15=0),"",SUMIFS(Settlement!$I$4:$I$203,Settlement!$B$4:$B$203,"&gt;="&amp;A15,Settlement!$B$4:$B$203,"&lt;"&amp;EDATE(A15,1),Settlement!$X$4:$X$203,1)/B15)</x:f>
      </x:c>
      <x:c r="F15" t="str">
        <x:f t="shared" si="1"/>
      </x:c>
      <x:c r="G15" t="str">
        <x:f>IF(OR(A15="",B15=0),"",SUMIFS(Settlement!$R$4:$R$203,Settlement!$B$4:$B$203,"&gt;="&amp;A15,Settlement!$B$4:$B$203,"&lt;"&amp;EDATE(A15,1),Settlement!$X$4:$X$203,1)/B15)</x:f>
      </x:c>
    </x:row>
    <x:row r="16">
      <x:c r="A16" s="230"/>
      <x:c r="B16" t="str">
        <x:f>IF(A16="","",COUNTIFS(Settlement!$B$4:$B$203,"&gt;="&amp;A16,Settlement!$B$4:$B$203,"&lt;"&amp;EDATE(A16,1),Settlement!$X$4:$X$203,1))</x:f>
      </x:c>
      <x:c r="C16" t="str">
        <x:f>IF(A16="","",SUMIFS(Settlement!$J$4:$J$203,Settlement!$B$4:$B$203,"&gt;="&amp;A16,Settlement!$B$4:$B$203,"&lt;"&amp;EDATE(A16,1),Settlement!$X$4:$X$203,1))</x:f>
      </x:c>
      <x:c r="D16" t="str">
        <x:f t="shared" si="0"/>
      </x:c>
      <x:c r="E16" t="str">
        <x:f>IF(OR(A16="",B16=0),"",SUMIFS(Settlement!$I$4:$I$203,Settlement!$B$4:$B$203,"&gt;="&amp;A16,Settlement!$B$4:$B$203,"&lt;"&amp;EDATE(A16,1),Settlement!$X$4:$X$203,1)/B16)</x:f>
      </x:c>
      <x:c r="F16" t="str">
        <x:f t="shared" si="1"/>
      </x:c>
      <x:c r="G16" t="str">
        <x:f>IF(OR(A16="",B16=0),"",SUMIFS(Settlement!$R$4:$R$203,Settlement!$B$4:$B$203,"&gt;="&amp;A16,Settlement!$B$4:$B$203,"&lt;"&amp;EDATE(A16,1),Settlement!$X$4:$X$203,1)/B16)</x:f>
      </x:c>
    </x:row>
    <x:row r="17">
      <x:c r="A17" s="230"/>
      <x:c r="B17" t="str">
        <x:f>IF(A17="","",COUNTIFS(Settlement!$B$4:$B$203,"&gt;="&amp;A17,Settlement!$B$4:$B$203,"&lt;"&amp;EDATE(A17,1),Settlement!$X$4:$X$203,1))</x:f>
      </x:c>
      <x:c r="C17" t="str">
        <x:f>IF(A17="","",SUMIFS(Settlement!$J$4:$J$203,Settlement!$B$4:$B$203,"&gt;="&amp;A17,Settlement!$B$4:$B$203,"&lt;"&amp;EDATE(A17,1),Settlement!$X$4:$X$203,1))</x:f>
      </x:c>
      <x:c r="D17" t="str">
        <x:f t="shared" si="0"/>
      </x:c>
      <x:c r="E17" t="str">
        <x:f>IF(OR(A17="",B17=0),"",SUMIFS(Settlement!$I$4:$I$203,Settlement!$B$4:$B$203,"&gt;="&amp;A17,Settlement!$B$4:$B$203,"&lt;"&amp;EDATE(A17,1),Settlement!$X$4:$X$203,1)/B17)</x:f>
      </x:c>
      <x:c r="F17" t="str">
        <x:f t="shared" si="1"/>
      </x:c>
      <x:c r="G17" t="str">
        <x:f>IF(OR(A17="",B17=0),"",SUMIFS(Settlement!$R$4:$R$203,Settlement!$B$4:$B$203,"&gt;="&amp;A17,Settlement!$B$4:$B$203,"&lt;"&amp;EDATE(A17,1),Settlement!$X$4:$X$203,1)/B17)</x:f>
      </x:c>
    </x:row>
    <x:row r="18">
      <x:c r="A18" s="230"/>
      <x:c r="B18" t="str">
        <x:f>IF(A18="","",COUNTIFS(Settlement!$B$4:$B$203,"&gt;="&amp;A18,Settlement!$B$4:$B$203,"&lt;"&amp;EDATE(A18,1),Settlement!$X$4:$X$203,1))</x:f>
      </x:c>
      <x:c r="C18" t="str">
        <x:f>IF(A18="","",SUMIFS(Settlement!$J$4:$J$203,Settlement!$B$4:$B$203,"&gt;="&amp;A18,Settlement!$B$4:$B$203,"&lt;"&amp;EDATE(A18,1),Settlement!$X$4:$X$203,1))</x:f>
      </x:c>
      <x:c r="D18" t="str">
        <x:f t="shared" si="0"/>
      </x:c>
      <x:c r="E18" t="str">
        <x:f>IF(OR(A18="",B18=0),"",SUMIFS(Settlement!$I$4:$I$203,Settlement!$B$4:$B$203,"&gt;="&amp;A18,Settlement!$B$4:$B$203,"&lt;"&amp;EDATE(A18,1),Settlement!$X$4:$X$203,1)/B18)</x:f>
      </x:c>
      <x:c r="F18" t="str">
        <x:f t="shared" si="1"/>
      </x:c>
      <x:c r="G18" t="str">
        <x:f>IF(OR(A18="",B18=0),"",SUMIFS(Settlement!$R$4:$R$203,Settlement!$B$4:$B$203,"&gt;="&amp;A18,Settlement!$B$4:$B$203,"&lt;"&amp;EDATE(A18,1),Settlement!$X$4:$X$203,1)/B18)</x:f>
      </x:c>
    </x:row>
    <x:row r="19">
      <x:c r="A19" s="230"/>
      <x:c r="B19" t="str">
        <x:f>IF(A19="","",COUNTIFS(Settlement!$B$4:$B$203,"&gt;="&amp;A19,Settlement!$B$4:$B$203,"&lt;"&amp;EDATE(A19,1),Settlement!$X$4:$X$203,1))</x:f>
      </x:c>
      <x:c r="C19" t="str">
        <x:f>IF(A19="","",SUMIFS(Settlement!$J$4:$J$203,Settlement!$B$4:$B$203,"&gt;="&amp;A19,Settlement!$B$4:$B$203,"&lt;"&amp;EDATE(A19,1),Settlement!$X$4:$X$203,1))</x:f>
      </x:c>
      <x:c r="D19" t="str">
        <x:f t="shared" si="0"/>
      </x:c>
      <x:c r="E19" t="str">
        <x:f>IF(OR(A19="",B19=0),"",SUMIFS(Settlement!$I$4:$I$203,Settlement!$B$4:$B$203,"&gt;="&amp;A19,Settlement!$B$4:$B$203,"&lt;"&amp;EDATE(A19,1),Settlement!$X$4:$X$203,1)/B19)</x:f>
      </x:c>
      <x:c r="F19" t="str">
        <x:f t="shared" si="1"/>
      </x:c>
      <x:c r="G19" t="str">
        <x:f>IF(OR(A19="",B19=0),"",SUMIFS(Settlement!$R$4:$R$203,Settlement!$B$4:$B$203,"&gt;="&amp;A19,Settlement!$B$4:$B$203,"&lt;"&amp;EDATE(A19,1),Settlement!$X$4:$X$203,1)/B19)</x:f>
      </x:c>
    </x:row>
    <x:row r="20">
      <x:c r="A20" s="230"/>
      <x:c r="B20" t="str">
        <x:f>IF(A20="","",COUNTIFS(Settlement!$B$4:$B$203,"&gt;="&amp;A20,Settlement!$B$4:$B$203,"&lt;"&amp;EDATE(A20,1),Settlement!$X$4:$X$203,1))</x:f>
      </x:c>
      <x:c r="C20" t="str">
        <x:f>IF(A20="","",SUMIFS(Settlement!$J$4:$J$203,Settlement!$B$4:$B$203,"&gt;="&amp;A20,Settlement!$B$4:$B$203,"&lt;"&amp;EDATE(A20,1),Settlement!$X$4:$X$203,1))</x:f>
      </x:c>
      <x:c r="D20" t="str">
        <x:f t="shared" si="0"/>
      </x:c>
      <x:c r="E20" t="str">
        <x:f>IF(OR(A20="",B20=0),"",SUMIFS(Settlement!$I$4:$I$203,Settlement!$B$4:$B$203,"&gt;="&amp;A20,Settlement!$B$4:$B$203,"&lt;"&amp;EDATE(A20,1),Settlement!$X$4:$X$203,1)/B20)</x:f>
      </x:c>
      <x:c r="F20" t="str">
        <x:f t="shared" si="1"/>
      </x:c>
      <x:c r="G20" t="str">
        <x:f>IF(OR(A20="",B20=0),"",SUMIFS(Settlement!$R$4:$R$203,Settlement!$B$4:$B$203,"&gt;="&amp;A20,Settlement!$B$4:$B$203,"&lt;"&amp;EDATE(A20,1),Settlement!$X$4:$X$203,1)/B20)</x:f>
      </x:c>
    </x:row>
    <x:row r="21">
      <x:c r="A21" s="230"/>
      <x:c r="B21" t="str">
        <x:f>IF(A21="","",COUNTIFS(Settlement!$B$4:$B$203,"&gt;="&amp;A21,Settlement!$B$4:$B$203,"&lt;"&amp;EDATE(A21,1),Settlement!$X$4:$X$203,1))</x:f>
      </x:c>
      <x:c r="C21" t="str">
        <x:f>IF(A21="","",SUMIFS(Settlement!$J$4:$J$203,Settlement!$B$4:$B$203,"&gt;="&amp;A21,Settlement!$B$4:$B$203,"&lt;"&amp;EDATE(A21,1),Settlement!$X$4:$X$203,1))</x:f>
      </x:c>
      <x:c r="D21" t="str">
        <x:f t="shared" si="0"/>
      </x:c>
      <x:c r="E21" t="str">
        <x:f>IF(OR(A21="",B21=0),"",SUMIFS(Settlement!$I$4:$I$203,Settlement!$B$4:$B$203,"&gt;="&amp;A21,Settlement!$B$4:$B$203,"&lt;"&amp;EDATE(A21,1),Settlement!$X$4:$X$203,1)/B21)</x:f>
      </x:c>
      <x:c r="F21" t="str">
        <x:f t="shared" si="1"/>
      </x:c>
      <x:c r="G21" t="str">
        <x:f>IF(OR(A21="",B21=0),"",SUMIFS(Settlement!$R$4:$R$203,Settlement!$B$4:$B$203,"&gt;="&amp;A21,Settlement!$B$4:$B$203,"&lt;"&amp;EDATE(A21,1),Settlement!$X$4:$X$203,1)/B21)</x:f>
      </x:c>
    </x:row>
    <x:row r="22">
      <x:c r="A22" s="230"/>
      <x:c r="B22" t="str">
        <x:f>IF(A22="","",COUNTIFS(Settlement!$B$4:$B$203,"&gt;="&amp;A22,Settlement!$B$4:$B$203,"&lt;"&amp;EDATE(A22,1),Settlement!$X$4:$X$203,1))</x:f>
      </x:c>
      <x:c r="C22" t="str">
        <x:f>IF(A22="","",SUMIFS(Settlement!$J$4:$J$203,Settlement!$B$4:$B$203,"&gt;="&amp;A22,Settlement!$B$4:$B$203,"&lt;"&amp;EDATE(A22,1),Settlement!$X$4:$X$203,1))</x:f>
      </x:c>
      <x:c r="D22" t="str">
        <x:f t="shared" si="0"/>
      </x:c>
      <x:c r="E22" t="str">
        <x:f>IF(OR(A22="",B22=0),"",SUMIFS(Settlement!$I$4:$I$203,Settlement!$B$4:$B$203,"&gt;="&amp;A22,Settlement!$B$4:$B$203,"&lt;"&amp;EDATE(A22,1),Settlement!$X$4:$X$203,1)/B22)</x:f>
      </x:c>
      <x:c r="F22" t="str">
        <x:f t="shared" si="1"/>
      </x:c>
      <x:c r="G22" t="str">
        <x:f>IF(OR(A22="",B22=0),"",SUMIFS(Settlement!$R$4:$R$203,Settlement!$B$4:$B$203,"&gt;="&amp;A22,Settlement!$B$4:$B$203,"&lt;"&amp;EDATE(A22,1),Settlement!$X$4:$X$203,1)/B22)</x:f>
      </x:c>
    </x:row>
    <x:row r="23">
      <x:c r="A23" s="230"/>
      <x:c r="B23" t="str">
        <x:f>IF(A23="","",COUNTIFS(Settlement!$B$4:$B$203,"&gt;="&amp;A23,Settlement!$B$4:$B$203,"&lt;"&amp;EDATE(A23,1),Settlement!$X$4:$X$203,1))</x:f>
      </x:c>
      <x:c r="C23" t="str">
        <x:f>IF(A23="","",SUMIFS(Settlement!$J$4:$J$203,Settlement!$B$4:$B$203,"&gt;="&amp;A23,Settlement!$B$4:$B$203,"&lt;"&amp;EDATE(A23,1),Settlement!$X$4:$X$203,1))</x:f>
      </x:c>
      <x:c r="D23" t="str">
        <x:f t="shared" si="0"/>
      </x:c>
      <x:c r="E23" t="str">
        <x:f>IF(OR(A23="",B23=0),"",SUMIFS(Settlement!$I$4:$I$203,Settlement!$B$4:$B$203,"&gt;="&amp;A23,Settlement!$B$4:$B$203,"&lt;"&amp;EDATE(A23,1),Settlement!$X$4:$X$203,1)/B23)</x:f>
      </x:c>
      <x:c r="F23" t="str">
        <x:f t="shared" si="1"/>
      </x:c>
      <x:c r="G23" t="str">
        <x:f>IF(OR(A23="",B23=0),"",SUMIFS(Settlement!$R$4:$R$203,Settlement!$B$4:$B$203,"&gt;="&amp;A23,Settlement!$B$4:$B$203,"&lt;"&amp;EDATE(A23,1),Settlement!$X$4:$X$203,1)/B23)</x:f>
      </x:c>
    </x:row>
    <x:row r="24">
      <x:c r="A24" s="230"/>
      <x:c r="B24" t="str">
        <x:f>IF(A24="","",COUNTIFS(Settlement!$B$4:$B$203,"&gt;="&amp;A24,Settlement!$B$4:$B$203,"&lt;"&amp;EDATE(A24,1),Settlement!$X$4:$X$203,1))</x:f>
      </x:c>
      <x:c r="C24" t="str">
        <x:f>IF(A24="","",SUMIFS(Settlement!$J$4:$J$203,Settlement!$B$4:$B$203,"&gt;="&amp;A24,Settlement!$B$4:$B$203,"&lt;"&amp;EDATE(A24,1),Settlement!$X$4:$X$203,1))</x:f>
      </x:c>
      <x:c r="D24" t="str">
        <x:f t="shared" si="0"/>
      </x:c>
      <x:c r="E24" t="str">
        <x:f>IF(OR(A24="",B24=0),"",SUMIFS(Settlement!$I$4:$I$203,Settlement!$B$4:$B$203,"&gt;="&amp;A24,Settlement!$B$4:$B$203,"&lt;"&amp;EDATE(A24,1),Settlement!$X$4:$X$203,1)/B24)</x:f>
      </x:c>
      <x:c r="F24" t="str">
        <x:f t="shared" si="1"/>
      </x:c>
      <x:c r="G24" t="str">
        <x:f>IF(OR(A24="",B24=0),"",SUMIFS(Settlement!$R$4:$R$203,Settlement!$B$4:$B$203,"&gt;="&amp;A24,Settlement!$B$4:$B$203,"&lt;"&amp;EDATE(A24,1),Settlement!$X$4:$X$203,1)/B24)</x:f>
      </x:c>
    </x:row>
    <x:row r="25">
      <x:c r="A25" s="230"/>
      <x:c r="B25" t="str">
        <x:f>IF(A25="","",COUNTIFS(Settlement!$B$4:$B$203,"&gt;="&amp;A25,Settlement!$B$4:$B$203,"&lt;"&amp;EDATE(A25,1),Settlement!$X$4:$X$203,1))</x:f>
      </x:c>
      <x:c r="C25" t="str">
        <x:f>IF(A25="","",SUMIFS(Settlement!$J$4:$J$203,Settlement!$B$4:$B$203,"&gt;="&amp;A25,Settlement!$B$4:$B$203,"&lt;"&amp;EDATE(A25,1),Settlement!$X$4:$X$203,1))</x:f>
      </x:c>
      <x:c r="D25" t="str">
        <x:f t="shared" si="0"/>
      </x:c>
      <x:c r="E25" t="str">
        <x:f>IF(OR(A25="",B25=0),"",SUMIFS(Settlement!$I$4:$I$203,Settlement!$B$4:$B$203,"&gt;="&amp;A25,Settlement!$B$4:$B$203,"&lt;"&amp;EDATE(A25,1),Settlement!$X$4:$X$203,1)/B25)</x:f>
      </x:c>
      <x:c r="F25" t="str">
        <x:f t="shared" si="1"/>
      </x:c>
      <x:c r="G25" t="str">
        <x:f>IF(OR(A25="",B25=0),"",SUMIFS(Settlement!$R$4:$R$203,Settlement!$B$4:$B$203,"&gt;="&amp;A25,Settlement!$B$4:$B$203,"&lt;"&amp;EDATE(A25,1),Settlement!$X$4:$X$203,1)/B25)</x:f>
      </x:c>
    </x:row>
    <x:row r="26">
      <x:c r="A26" s="230"/>
      <x:c r="B26" t="str">
        <x:f>IF(A26="","",COUNTIFS(Settlement!$B$4:$B$203,"&gt;="&amp;A26,Settlement!$B$4:$B$203,"&lt;"&amp;EDATE(A26,1),Settlement!$X$4:$X$203,1))</x:f>
      </x:c>
      <x:c r="C26" t="str">
        <x:f>IF(A26="","",SUMIFS(Settlement!$J$4:$J$203,Settlement!$B$4:$B$203,"&gt;="&amp;A26,Settlement!$B$4:$B$203,"&lt;"&amp;EDATE(A26,1),Settlement!$X$4:$X$203,1))</x:f>
      </x:c>
      <x:c r="D26" t="str">
        <x:f t="shared" si="0"/>
      </x:c>
      <x:c r="E26" t="str">
        <x:f>IF(OR(A26="",B26=0),"",SUMIFS(Settlement!$I$4:$I$203,Settlement!$B$4:$B$203,"&gt;="&amp;A26,Settlement!$B$4:$B$203,"&lt;"&amp;EDATE(A26,1),Settlement!$X$4:$X$203,1)/B26)</x:f>
      </x:c>
      <x:c r="F26" t="str">
        <x:f t="shared" si="1"/>
      </x:c>
      <x:c r="G26" t="str">
        <x:f>IF(OR(A26="",B26=0),"",SUMIFS(Settlement!$R$4:$R$203,Settlement!$B$4:$B$203,"&gt;="&amp;A26,Settlement!$B$4:$B$203,"&lt;"&amp;EDATE(A26,1),Settlement!$X$4:$X$203,1)/B26)</x:f>
      </x:c>
    </x:row>
    <x:row r="27">
      <x:c r="A27" s="230"/>
      <x:c r="B27" t="str">
        <x:f>IF(A27="","",COUNTIFS(Settlement!$B$4:$B$203,"&gt;="&amp;A27,Settlement!$B$4:$B$203,"&lt;"&amp;EDATE(A27,1),Settlement!$X$4:$X$203,1))</x:f>
      </x:c>
      <x:c r="C27" t="str">
        <x:f>IF(A27="","",SUMIFS(Settlement!$J$4:$J$203,Settlement!$B$4:$B$203,"&gt;="&amp;A27,Settlement!$B$4:$B$203,"&lt;"&amp;EDATE(A27,1),Settlement!$X$4:$X$203,1))</x:f>
      </x:c>
      <x:c r="D27" t="str">
        <x:f t="shared" si="0"/>
      </x:c>
      <x:c r="E27" t="str">
        <x:f>IF(OR(A27="",B27=0),"",SUMIFS(Settlement!$I$4:$I$203,Settlement!$B$4:$B$203,"&gt;="&amp;A27,Settlement!$B$4:$B$203,"&lt;"&amp;EDATE(A27,1),Settlement!$X$4:$X$203,1)/B27)</x:f>
      </x:c>
      <x:c r="F27" t="str">
        <x:f t="shared" si="1"/>
      </x:c>
      <x:c r="G27" t="str">
        <x:f>IF(OR(A27="",B27=0),"",SUMIFS(Settlement!$R$4:$R$203,Settlement!$B$4:$B$203,"&gt;="&amp;A27,Settlement!$B$4:$B$203,"&lt;"&amp;EDATE(A27,1),Settlement!$X$4:$X$203,1)/B27)</x:f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25"/>
  <x:sheetData>
    <x:row r="1" ht="18">
      <x:c r="A1" s="23" t="s">
        <x:v>312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>
      <x:c r="A2" s="24" t="s">
        <x:v>313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 ht="60">
      <x:c r="A3" s="16" t="s">
        <x:v>314</x:v>
      </x:c>
      <x:c r="B3" s="16" t="s">
        <x:v>315</x:v>
      </x:c>
      <x:c r="C3" s="16" t="s">
        <x:v>316</x:v>
      </x:c>
      <x:c r="D3" s="16" t="s">
        <x:v>317</x:v>
      </x:c>
      <x:c r="E3" s="16" t="s">
        <x:v>318</x:v>
      </x:c>
      <x:c r="F3" s="16" t="s">
        <x:v>319</x:v>
      </x:c>
      <x:c r="G3" s="16" t="s">
        <x:v>320</x:v>
      </x:c>
      <x:c r="H3" s="16" t="s">
        <x:v>321</x:v>
      </x:c>
      <x:c r="I3" s="16" t="s">
        <x:v>322</x:v>
      </x:c>
      <x:c r="J3" s="16" t="s">
        <x:v>323</x:v>
      </x:c>
      <x:c r="K3" s="16" t="s">
        <x:v>324</x:v>
      </x:c>
      <x:c r="L3" s="16" t="s">
        <x:v>264</x:v>
      </x:c>
    </x:row>
    <x:row r="4">
      <x:c r="A4" t="s">
        <x:v>325</x:v>
      </x:c>
      <x:c r="B4" t="s">
        <x:v>325</x:v>
      </x:c>
      <x:c r="C4" t="s">
        <x:v>326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25"/>
  <x:cols>
    <x:col min="1" max="1" width="24" customWidth="1"/>
    <x:col min="2" max="2" width="20" customWidth="1"/>
    <x:col min="3" max="4" width="30" customWidth="1"/>
    <x:col min="5" max="5" width="50" customWidth="1"/>
    <x:col min="6" max="6" width="18" customWidth="1"/>
    <x:col min="7" max="7" width="26" customWidth="1"/>
    <x:col min="8" max="8" width="24" customWidth="1"/>
  </x:cols>
  <x:sheetData>
    <x:row r="1" ht="18">
      <x:c r="A1" s="23" t="s">
        <x:v>327</x:v>
      </x:c>
      <x:c r="B1" s="23"/>
      <x:c r="C1" s="23"/>
      <x:c r="D1" s="23"/>
      <x:c r="E1" s="23"/>
      <x:c r="F1" s="23"/>
      <x:c r="G1" s="23"/>
      <x:c r="H1" s="23"/>
    </x:row>
    <x:row r="2">
      <x:c r="A2" s="24" t="str">
        <x:v>Diagnostic ulterior pe predicții frozen valide. OOS nu este condiție pentru rularea BTTS v2 sau pentru DEFENSIV.</x:v>
      </x:c>
      <x:c r="B2" s="24"/>
      <x:c r="C2" s="24"/>
      <x:c r="D2" s="24"/>
      <x:c r="E2" s="24"/>
      <x:c r="F2" s="24"/>
      <x:c r="G2" s="24"/>
      <x:c r="H2" s="24"/>
    </x:row>
    <x:row r="3" ht="30">
      <x:c r="A3" s="16" t="s">
        <x:v>328</x:v>
      </x:c>
      <x:c r="B3" s="16" t="s">
        <x:v>329</x:v>
      </x:c>
      <x:c r="C3" s="16" t="s">
        <x:v>330</x:v>
      </x:c>
      <x:c r="D3" s="16" t="s">
        <x:v>331</x:v>
      </x:c>
      <x:c r="E3" s="16" t="s">
        <x:v>332</x:v>
      </x:c>
      <x:c r="F3" s="16" t="s">
        <x:v>333</x:v>
      </x:c>
      <x:c r="G3" s="16" t="s">
        <x:v>334</x:v>
      </x:c>
      <x:c r="H3" s="16" t="s">
        <x:v>176</x:v>
      </x:c>
    </x:row>
    <x:row r="4">
      <x:c r="A4" t="s">
        <x:v>335</x:v>
      </x:c>
      <x:c r="B4" t="n">
        <x:f>COUNTIFS(Settlement!$X$4:$X$203,1)</x:f>
        <x:v>0</x:v>
      </x:c>
      <x:c r="C4" t="s">
        <x:v>336</x:v>
      </x:c>
      <x:c r="D4" t="s">
        <x:v>337</x:v>
      </x:c>
      <x:c r="E4" t="s">
        <x:v>338</x:v>
      </x:c>
      <x:c r="F4">
        <x:v>0</x:v>
      </x:c>
      <x:c r="H4" t="s">
        <x:v>339</x:v>
      </x:c>
    </x:row>
    <x:row r="5">
      <x:c r="A5" t="s">
        <x:v>282</x:v>
      </x:c>
      <x:c r="B5" t="n">
        <x:f>SUMIFS(Settlement!$J$4:$J$203,Settlement!$X$4:$X$203,1)</x:f>
        <x:v>0</x:v>
      </x:c>
      <x:c r="C5" t="s">
        <x:v>340</x:v>
      </x:c>
      <x:c r="D5" t="s">
        <x:v>341</x:v>
      </x:c>
      <x:c r="F5" t="s">
        <x:v>325</x:v>
      </x:c>
    </x:row>
    <x:row r="6">
      <x:c r="A6" t="s">
        <x:v>342</x:v>
      </x:c>
      <x:c r="B6" t="str">
        <x:f>IFERROR(B5/B4,"")</x:f>
      </x:c>
      <x:c r="C6" t="s">
        <x:v>343</x:v>
      </x:c>
      <x:c r="D6" t="s">
        <x:v>344</x:v>
      </x:c>
    </x:row>
    <x:row r="7">
      <x:c r="A7" t="s">
        <x:v>345</x:v>
      </x:c>
      <x:c r="B7" t="str">
        <x:f>IF(B4=0,"",((B5/B4)+(1.96^2)/(2*B4)-1.96*SQRT((B5/B4)*(1-B5/B4)/B4+(1.96^2)/(4*B4^2)))/(1+(1.96^2)/B4))</x:f>
      </x:c>
      <x:c r="C7" t="s">
        <x:v>346</x:v>
      </x:c>
      <x:c r="D7" t="s">
        <x:v>347</x:v>
      </x:c>
    </x:row>
    <x:row r="8">
      <x:c r="A8" t="s">
        <x:v>348</x:v>
      </x:c>
      <x:c r="B8" t="str">
        <x:f>IF(B4=0,"",((B5/B4)+(1.96^2)/(2*B4)+1.96*SQRT((B5/B4)*(1-B5/B4)/B4+(1.96^2)/(4*B4^2)))/(1+(1.96^2)/B4))</x:f>
      </x:c>
      <x:c r="C8" t="s">
        <x:v>349</x:v>
      </x:c>
      <x:c r="D8" t="s">
        <x:v>347</x:v>
      </x:c>
    </x:row>
    <x:row r="9">
      <x:c r="A9" t="s">
        <x:v>350</x:v>
      </x:c>
      <x:c r="B9" t="str">
        <x:f>IF(B4=0,"",SUMIFS(Settlement!$I$4:$I$203,Settlement!$X$4:$X$203,1)/B4)</x:f>
      </x:c>
      <x:c r="C9" t="s">
        <x:v>351</x:v>
      </x:c>
      <x:c r="D9" t="s">
        <x:v>352</x:v>
      </x:c>
    </x:row>
    <x:row r="10">
      <x:c r="A10" t="s">
        <x:v>353</x:v>
      </x:c>
      <x:c r="B10" t="str">
        <x:f>IF(OR(B9="",B6=""),"",B9-B6)</x:f>
      </x:c>
      <x:c r="C10" t="s">
        <x:v>354</x:v>
      </x:c>
      <x:c r="D10" t="s">
        <x:v>347</x:v>
      </x:c>
    </x:row>
    <x:row r="11">
      <x:c r="A11" t="s">
        <x:v>274</x:v>
      </x:c>
      <x:c r="B11" t="str">
        <x:f>IF(B4=0,"",SUMIFS(Settlement!$R$4:$R$203,Settlement!$X$4:$X$203,1)/B4)</x:f>
      </x:c>
      <x:c r="C11" t="s">
        <x:v>355</x:v>
      </x:c>
      <x:c r="D11" t="s">
        <x:v>347</x:v>
      </x:c>
      <x:c r="G11" t="s">
        <x:v>325</x:v>
      </x:c>
    </x:row>
    <x:row r="12">
      <x:c r="A12" t="s">
        <x:v>356</x:v>
      </x:c>
      <x:c r="B12" t="str">
        <x:f>IF(B4=0,"",SUMIFS(Settlement!$S$4:$S$203,Settlement!$X$4:$X$203,1)/B4)</x:f>
      </x:c>
      <x:c r="C12" t="s">
        <x:v>355</x:v>
      </x:c>
      <x:c r="D12" t="s">
        <x:v>347</x:v>
      </x:c>
      <x:c r="G12" t="s">
        <x:v>325</x:v>
      </x:c>
    </x:row>
    <x:row r="13">
      <x:c r="A13" t="s">
        <x:v>357</x:v>
      </x:c>
      <x:c r="B13" t="n">
        <x:f>COUNTIF(League_Summary!$B$4:$B$33,"&gt;0")</x:f>
        <x:v>0</x:v>
      </x:c>
      <x:c r="C13" t="s">
        <x:v>358</x:v>
      </x:c>
      <x:c r="D13" t="s">
        <x:v>347</x:v>
      </x:c>
    </x:row>
    <x:row r="14">
      <x:c r="A14" t="s">
        <x:v>359</x:v>
      </x:c>
      <x:c r="B14" t="n">
        <x:f>COUNTIF(League_Summary!$H$4:$H$33,"STABLE")</x:f>
        <x:v>0</x:v>
      </x:c>
      <x:c r="C14" t="s">
        <x:v>360</x:v>
      </x:c>
      <x:c r="D14" t="s">
        <x:v>347</x:v>
      </x:c>
    </x:row>
    <x:row r="15">
      <x:c r="A15" t="s">
        <x:v>361</x:v>
      </x:c>
      <x:c r="B15" t="str">
        <x:v>MONITORIZARE</x:v>
      </x:c>
      <x:c r="C15" t="s">
        <x:v>362</x:v>
      </x:c>
      <x:c r="D15" t="str">
        <x:v>Praguri v2 propuse; nu validate OOS</x:v>
      </x:c>
      <x:c r="H15" t="s">
        <x:v>363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3" hidden="0" customWidth="1"/>
    <x:col min="2" max="2" width="22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163" t="str">
        <x:v>BTTS v2 – gate-uri active</x:v>
      </x:c>
      <x:c r="B1" s="163"/>
      <x:c r="C1" s="163"/>
      <x:c r="D1" s="163"/>
      <x:c r="E1" s="163"/>
      <x:c r="F1" s="163"/>
      <x:c r="G1" s="163"/>
      <x:c r="H1" s="163"/>
    </x:row>
    <x:row r="2" ht="28" customHeight="1">
      <x:c r="A2" s="187"/>
      <x:c r="B2" s="187"/>
      <x:c r="C2" s="187"/>
      <x:c r="D2" s="187"/>
      <x:c r="E2" s="187"/>
      <x:c r="F2" s="187"/>
      <x:c r="G2" s="161"/>
      <x:c r="H2" s="161"/>
    </x:row>
    <x:row r="3" ht="38" customHeight="1">
      <x:c r="A3" s="180" t="str">
        <x:v>Control</x:v>
      </x:c>
      <x:c r="B3" s="180" t="str">
        <x:v>Valoare / status</x:v>
      </x:c>
      <x:c r="C3" s="180" t="str">
        <x:v>Sursă / regulă</x:v>
      </x:c>
      <x:c r="D3" s="180" t="str">
        <x:v>Rol</x:v>
      </x:c>
      <x:c r="E3" s="180"/>
      <x:c r="F3" s="180"/>
      <x:c r="G3" s="165"/>
      <x:c r="H3" s="165"/>
    </x:row>
    <x:row r="4" ht="28" customHeight="1">
      <x:c r="A4" s="161" t="str">
        <x:v>Pscore Gazde acasă</x:v>
      </x:c>
      <x:c r="B4" s="166" t="str">
        <x:f>IF(ISNUMBER('3_Calcul_BTTS'!B69),'3_Calcul_BTTS'!B69,"")</x:f>
      </x:c>
      <x:c r="C4" s="161"/>
      <x:c r="D4" s="161"/>
      <x:c r="E4" s="161"/>
      <x:c r="F4" s="161"/>
      <x:c r="G4" s="161"/>
      <x:c r="H4" s="161"/>
    </x:row>
    <x:row r="5" ht="28" customHeight="1">
      <x:c r="A5" s="161" t="str">
        <x:v>Pscore Oaspeți deplasare</x:v>
      </x:c>
      <x:c r="B5" s="166" t="str">
        <x:f>IF(ISNUMBER('3_Calcul_BTTS'!B70),'3_Calcul_BTTS'!B70,"")</x:f>
      </x:c>
      <x:c r="C5" s="161"/>
      <x:c r="D5" s="161"/>
      <x:c r="E5" s="161"/>
      <x:c r="F5" s="161"/>
      <x:c r="G5" s="161"/>
      <x:c r="H5" s="161"/>
    </x:row>
    <x:row r="6" ht="28" customHeight="1">
      <x:c r="A6" s="161" t="str">
        <x:v>Blank Gazde H/A</x:v>
      </x:c>
      <x:c r="B6" s="166" t="str">
        <x:f>IF(BTTS_Prior_v5!B46&lt;&gt;"PASS","",IF(ISNUMBER(BTTS_Prior_v5!P20),BTTS_Prior_v5!P20,BTTS_Prior_v5!P14))</x:f>
      </x:c>
      <x:c r="C6" s="161" t="str">
        <x:f>IF(ISNUMBER(BTTS_Prior_v5!P20),"RECENT H/A","H/A; recent neutilizabil")</x:f>
        <x:v>H/A; recent neutilizabil</x:v>
      </x:c>
      <x:c r="D6" s="161"/>
      <x:c r="E6" s="161"/>
      <x:c r="F6" s="161"/>
      <x:c r="G6" s="161"/>
      <x:c r="H6" s="161"/>
    </x:row>
    <x:row r="7" ht="28" customHeight="1">
      <x:c r="A7" s="161" t="str">
        <x:v>Blank Oaspeți H/A</x:v>
      </x:c>
      <x:c r="B7" s="166" t="str">
        <x:f>IF(BTTS_Prior_v5!B46&lt;&gt;"PASS","",IF(ISNUMBER(BTTS_Prior_v5!P38),BTTS_Prior_v5!P38,BTTS_Prior_v5!P32))</x:f>
      </x:c>
      <x:c r="C7" s="161" t="str">
        <x:f>IF(ISNUMBER(BTTS_Prior_v5!P38),"RECENT H/A","H/A; recent neutilizabil")</x:f>
        <x:v>H/A; recent neutilizabil</x:v>
      </x:c>
      <x:c r="D7" s="161"/>
      <x:c r="E7" s="161"/>
      <x:c r="F7" s="161"/>
      <x:c r="G7" s="161"/>
      <x:c r="H7" s="161"/>
    </x:row>
    <x:row r="8" ht="28" customHeight="1">
      <x:c r="A8" s="161" t="str">
        <x:v>CS advers pentru Gazde</x:v>
      </x:c>
      <x:c r="B8" s="166" t="str">
        <x:f>IF(BTTS_Prior_v5!B46&lt;&gt;"PASS","",IF(ISNUMBER(BTTS_Prior_v5!P39),BTTS_Prior_v5!P39,BTTS_Prior_v5!P31))</x:f>
      </x:c>
      <x:c r="C8" s="161" t="str">
        <x:f>IF(ISNUMBER(BTTS_Prior_v5!P39),"RECENT H/A","H/A; recent neutilizabil")</x:f>
        <x:v>H/A; recent neutilizabil</x:v>
      </x:c>
      <x:c r="D8" s="161"/>
      <x:c r="E8" s="161"/>
      <x:c r="F8" s="161"/>
      <x:c r="G8" s="161"/>
      <x:c r="H8" s="161"/>
    </x:row>
    <x:row r="9" ht="28" customHeight="1">
      <x:c r="A9" s="161" t="str">
        <x:v>CS advers pentru Oaspeți</x:v>
      </x:c>
      <x:c r="B9" s="166" t="str">
        <x:f>IF(BTTS_Prior_v5!B46&lt;&gt;"PASS","",IF(ISNUMBER(BTTS_Prior_v5!P21),BTTS_Prior_v5!P21,BTTS_Prior_v5!P13))</x:f>
      </x:c>
      <x:c r="C9" s="161" t="str">
        <x:f>IF(ISNUMBER(BTTS_Prior_v5!P21),"RECENT H/A","H/A; recent neutilizabil")</x:f>
        <x:v>H/A; recent neutilizabil</x:v>
      </x:c>
      <x:c r="D9" s="161"/>
      <x:c r="E9" s="161"/>
      <x:c r="F9" s="161"/>
      <x:c r="G9" s="161"/>
      <x:c r="H9" s="161"/>
    </x:row>
    <x:row r="10" ht="28" customHeight="1">
      <x:c r="A10" s="161" t="str">
        <x:v>Echipa cu Pscore minim</x:v>
      </x:c>
      <x:c r="B10" s="161" t="str">
        <x:f>IF(COUNT(B4:B5)&lt;2,"",IF(B4&lt;=B5,"GAZDE","OASPEȚI"))</x:f>
      </x:c>
      <x:c r="C10" s="161"/>
      <x:c r="D10" s="161"/>
      <x:c r="E10" s="161"/>
      <x:c r="F10" s="161"/>
      <x:c r="G10" s="161"/>
      <x:c r="H10" s="161"/>
    </x:row>
    <x:row r="11" ht="28" customHeight="1">
      <x:c r="A11" s="161" t="str">
        <x:v>Readiness date</x:v>
      </x:c>
      <x:c r="B11" s="161" t="str">
        <x:f>BTTS_Prior_v5!B46</x:f>
        <x:v>INCOMPLETE</x:v>
      </x:c>
      <x:c r="C11" s="161"/>
      <x:c r="D11" s="161"/>
      <x:c r="E11" s="161"/>
      <x:c r="F11" s="161"/>
      <x:c r="G11" s="161"/>
      <x:c r="H11" s="161"/>
    </x:row>
    <x:row r="12" ht="28" customHeight="1">
      <x:c r="A12" s="161" t="str">
        <x:v>Home scoring gate</x:v>
      </x:c>
      <x:c r="B12" s="161" t="str">
        <x:f>IF(B11&lt;&gt;"PASS",B11,IF(B4&gt;=Config_BTTS!B10,"PASS","FAIL"))</x:f>
        <x:v>INCOMPLETE</x:v>
      </x:c>
      <x:c r="C12" s="161"/>
      <x:c r="D12" s="161" t="str">
        <x:v>G0</x:v>
      </x:c>
      <x:c r="E12" s="161"/>
      <x:c r="F12" s="161"/>
      <x:c r="G12" s="161"/>
      <x:c r="H12" s="161"/>
    </x:row>
    <x:row r="13" ht="28" customHeight="1">
      <x:c r="A13" s="161" t="str">
        <x:v>Away scoring gate</x:v>
      </x:c>
      <x:c r="B13" s="161" t="str">
        <x:f>IF(B11&lt;&gt;"PASS",B11,IF(B5&gt;=Config_BTTS!B10,"PASS","FAIL"))</x:f>
        <x:v>INCOMPLETE</x:v>
      </x:c>
      <x:c r="C13" s="161"/>
      <x:c r="D13" s="161" t="str">
        <x:v>G0</x:v>
      </x:c>
      <x:c r="E13" s="161"/>
      <x:c r="F13" s="161"/>
      <x:c r="G13" s="161"/>
      <x:c r="H13" s="161"/>
    </x:row>
    <x:row r="14" ht="28" customHeight="1">
      <x:c r="A14" s="161" t="str">
        <x:v>Mismatch STRONG</x:v>
      </x:c>
      <x:c r="B14" s="161" t="str">
        <x:f>IF(B11&lt;&gt;"PASS",B11,IF('3_Calcul_BTTS'!B72&lt;=Config_BTTS!B14,"PASS","FAIL"))</x:f>
        <x:v>INCOMPLETE</x:v>
      </x:c>
      <x:c r="C14" s="161"/>
      <x:c r="D14" s="161"/>
      <x:c r="E14" s="161"/>
      <x:c r="F14" s="161"/>
      <x:c r="G14" s="161"/>
      <x:c r="H14" s="161"/>
    </x:row>
    <x:row r="15" ht="28" customHeight="1">
      <x:c r="A15" s="161" t="str">
        <x:v>Clean-Sheet Gate BET</x:v>
      </x:c>
      <x:c r="B15" s="161" t="str">
        <x:f>IF(B11&lt;&gt;"PASS",B11,IF(AND(B6&lt;=Config_BTTS!B11,B7&lt;=Config_BTTS!B11,B8&lt;=Config_BTTS!B12,B9&lt;=Config_BTTS!B12),"PASS","FAIL"))</x:f>
        <x:v>INCOMPLETE</x:v>
      </x:c>
      <x:c r="C15" s="161"/>
      <x:c r="D15" s="161" t="str">
        <x:v>G0</x:v>
      </x:c>
      <x:c r="E15" s="161"/>
      <x:c r="F15" s="161"/>
      <x:c r="G15" s="161"/>
      <x:c r="H15" s="161"/>
    </x:row>
    <x:row r="16" ht="28" customHeight="1">
      <x:c r="A16" s="161" t="str">
        <x:v>Combined Gate operațional</x:v>
      </x:c>
      <x:c r="B16" s="161" t="str">
        <x:f>IF(B11&lt;&gt;"PASS",B11,IF(AND(B12="PASS",B13="PASS",B15="PASS"),"PASS","FAIL"))</x:f>
        <x:v>INCOMPLETE</x:v>
      </x:c>
      <x:c r="C16" s="161"/>
      <x:c r="D16" s="161" t="str">
        <x:v>G0</x:v>
      </x:c>
      <x:c r="E16" s="161"/>
      <x:c r="F16" s="161"/>
      <x:c r="G16" s="161"/>
      <x:c r="H16" s="161"/>
    </x:row>
    <x:row r="17" ht="28" customHeight="1">
      <x:c r="A17" s="161" t="str">
        <x:v>Scoring STRONG</x:v>
      </x:c>
      <x:c r="B17" s="161" t="str">
        <x:f>IF(B11&lt;&gt;"PASS",B11,IF(AND(B4&gt;=Config_BTTS!B13,B5&gt;=Config_BTTS!B13,B14="PASS"),"PASS","FAIL"))</x:f>
        <x:v>INCOMPLETE</x:v>
      </x:c>
      <x:c r="C17" s="161"/>
      <x:c r="D17" s="161"/>
      <x:c r="E17" s="161"/>
      <x:c r="F17" s="161"/>
      <x:c r="G17" s="161"/>
      <x:c r="H17" s="161"/>
    </x:row>
    <x:row r="18" ht="28" customHeight="1">
      <x:c r="A18" s="161" t="str">
        <x:v>Clean-Sheet Gate STRONG</x:v>
      </x:c>
      <x:c r="B18" s="161" t="str">
        <x:f>IF(B11&lt;&gt;"PASS",B11,IF(AND(B6&lt;=Config_BTTS!B15,B7&lt;=Config_BTTS!B15,B8&lt;=Config_BTTS!B16,B9&lt;=Config_BTTS!B16),"PASS","FAIL"))</x:f>
        <x:v>INCOMPLETE</x:v>
      </x:c>
      <x:c r="C18" s="161"/>
      <x:c r="D18" s="161"/>
      <x:c r="E18" s="161"/>
      <x:c r="F18" s="161"/>
      <x:c r="G18" s="161"/>
      <x:c r="H18" s="161"/>
    </x:row>
    <x:row r="19" ht="28" customHeight="1">
      <x:c r="A19" s="161" t="str">
        <x:v>Gate DEFENSIV complet</x:v>
      </x:c>
      <x:c r="B19" s="161" t="str">
        <x:f>IF(B11&lt;&gt;"PASS",B11,IF(AND(B16="PASS",B20="PASS",'3_Calcul_BTTS'!B90&gt;=Config_BTTS!B4,B4&gt;=Config_BTTS!B5,B5&gt;=Config_BTTS!B5,'3_Calcul_BTTS'!B72&lt;=Config_BTTS!B6,B6&lt;=Config_BTTS!B7,B7&lt;=Config_BTTS!B7,B8&lt;=Config_BTTS!B8,B9&lt;=Config_BTTS!B8,ISNUMBER(Risk_Classification!B36),Risk_Classification!B36&lt;=Config_BTTS!B9),"PASS","FAIL"))</x:f>
        <x:v>INCOMPLETE</x:v>
      </x:c>
      <x:c r="C19" s="161"/>
      <x:c r="D19" s="161" t="str">
        <x:v>Level 1</x:v>
      </x:c>
      <x:c r="E19" s="161"/>
      <x:c r="F19" s="161"/>
      <x:c r="G19" s="161"/>
      <x:c r="H19" s="161"/>
    </x:row>
    <x:row r="20" ht="28" customHeight="1">
      <x:c r="A20" s="161" t="str">
        <x:v>Disponibilitate recent H/A</x:v>
      </x:c>
      <x:c r="B20" s="161" t="str">
        <x:f>IF(COUNT(BTTS_Prior_v5!P20,BTTS_Prior_v5!P21,BTTS_Prior_v5!P38,BTTS_Prior_v5!P39)=4,"PASS","INCOMPLETE")</x:f>
        <x:v>INCOMPLETE</x:v>
      </x:c>
      <x:c r="C20" s="161"/>
      <x:c r="D20" s="161"/>
      <x:c r="E20" s="161"/>
      <x:c r="F20" s="161"/>
      <x:c r="G20" s="161"/>
      <x:c r="H20" s="161"/>
    </x:row>
    <x:row r="21" ht="28" customHeight="1">
      <x:c r="A21" s="161" t="str">
        <x:v>P0 status final</x:v>
      </x:c>
      <x:c r="B21" s="161" t="str">
        <x:f>B16</x:f>
        <x:v>INCOMPLETE</x:v>
      </x:c>
      <x:c r="C21" s="161"/>
      <x:c r="D21" s="161" t="str">
        <x:v>G0</x:v>
      </x:c>
      <x:c r="E21" s="161"/>
      <x:c r="F21" s="161"/>
      <x:c r="G21" s="161"/>
      <x:c r="H21" s="161"/>
    </x:row>
    <x:row r="22" ht="28" customHeight="1">
      <x:c r="A22" s="161" t="str">
        <x:v>Builder Eligible</x:v>
      </x:c>
      <x:c r="B22" s="161" t="str">
        <x:f>IF(AND(B16="PASS",OR('5_Scoring_Factori'!B18="BET",'5_Scoring_Factori'!B18="STRONG BET"),ISNUMBER(Risk_Classification!B39),Risk_Classification!B39&lt;5),"YES","NO")</x:f>
        <x:v>NO</x:v>
      </x:c>
      <x:c r="C22" s="161"/>
      <x:c r="D22" s="161"/>
      <x:c r="E22" s="161"/>
      <x:c r="F22" s="161"/>
      <x:c r="G22" s="161"/>
      <x:c r="H22" s="161"/>
    </x:row>
    <x:row r="23" ht="28" customHeight="1">
      <x:c r="A23" s="161" t="str">
        <x:v>Verdict unic</x:v>
      </x:c>
      <x:c r="B23" s="161" t="str">
        <x:f>'5_Scoring_Factori'!B18</x:f>
        <x:v>ANALIZA INCOMPLETA</x:v>
      </x:c>
      <x:c r="C23" s="161"/>
      <x:c r="D23" s="161"/>
      <x:c r="E23" s="161"/>
      <x:c r="F23" s="161"/>
      <x:c r="G23" s="161"/>
      <x:c r="H23" s="161"/>
    </x:row>
    <x:row r="24" ht="28" customHeight="1">
      <x:c r="A24" s="161"/>
      <x:c r="B24" s="161"/>
      <x:c r="C24" s="161"/>
      <x:c r="D24" s="161"/>
      <x:c r="E24" s="161"/>
      <x:c r="F24" s="161"/>
      <x:c r="G24" s="161"/>
      <x:c r="H24" s="161"/>
    </x:row>
    <x:row r="25" ht="28" customHeight="1">
      <x:c r="A25" s="161"/>
      <x:c r="B25" s="161"/>
      <x:c r="C25" s="161"/>
      <x:c r="D25" s="161"/>
      <x:c r="E25" s="161"/>
      <x:c r="F25" s="161"/>
      <x:c r="G25" s="161"/>
      <x:c r="H25" s="161"/>
    </x:row>
    <x:row r="26" ht="42" customHeight="1">
      <x:c r="A26" s="161" t="str">
        <x:v>BET: scoring ≥68%, blank ≤32% și opponent CS ≤30%. Un FAIL prevalează asupra scorului.</x:v>
      </x:c>
      <x:c r="B26" s="161"/>
      <x:c r="C26" s="161"/>
      <x:c r="D26" s="161"/>
      <x:c r="E26" s="161"/>
      <x:c r="F26" s="161"/>
      <x:c r="G26" s="161"/>
      <x:c r="H26" s="161"/>
    </x:row>
    <x:row r="27" ht="42" customHeight="1">
      <x:c r="A27" s="161" t="str">
        <x:v>STRONG: scoring ≥72%, mismatch ≤12 pp, blank ≤28%, opponent CS ≤25%; apoi P ≥66% și scor ≥75.</x:v>
      </x:c>
      <x:c r="B27" s="161"/>
      <x:c r="C27" s="161"/>
      <x:c r="D27" s="161"/>
      <x:c r="E27" s="161"/>
      <x:c r="F27" s="161"/>
      <x:c r="G27" s="161"/>
      <x:c r="H27" s="161"/>
    </x:row>
    <x:row r="28" ht="42" customHeight="1">
      <x:c r="A28" s="161" t="str">
        <x:v>DEFENSIV: P ≥80%, ambele scoring ≥85%, mismatch ≤10 pp, blank/CS recent ≤15%, risc ≤20.</x:v>
      </x:c>
      <x:c r="B28" s="161"/>
      <x:c r="C28" s="161"/>
      <x:c r="D28" s="161"/>
      <x:c r="E28" s="161"/>
      <x:c r="F28" s="161"/>
      <x:c r="G28" s="161"/>
      <x:c r="H28" s="161"/>
    </x:row>
    <x:row r="29" ht="28" customHeight="1">
      <x:c r="A29" s="161"/>
      <x:c r="B29" s="161"/>
      <x:c r="C29" s="161"/>
      <x:c r="D29" s="161"/>
      <x:c r="E29" s="161"/>
      <x:c r="F29" s="161"/>
      <x:c r="G29" s="161"/>
      <x:c r="H29" s="161"/>
    </x:row>
    <x:row r="30" ht="28" customHeight="1">
      <x:c r="A30" s="161"/>
      <x:c r="B30" s="161"/>
      <x:c r="C30" s="161"/>
      <x:c r="D30" s="161"/>
      <x:c r="E30" s="161"/>
      <x:c r="F30" s="161"/>
      <x:c r="G30" s="161"/>
      <x:c r="H30" s="161"/>
    </x:row>
  </x:sheetData>
  <x:mergeCells>
    <x:mergeCell ref="A1:H1"/>
    <x:mergeCell ref="A26:H26"/>
    <x:mergeCell ref="A27:H27"/>
    <x:mergeCell ref="A28:H28"/>
  </x:mergeCells>
  <x:conditionalFormatting sqref="B11:B23">
    <x:cfRule type="containsText" dxfId="4" priority="1" operator="containsText" text="FAIL"/>
    <x:cfRule type="containsText" dxfId="5" priority="2" operator="containsText" text="INCOMPLETE"/>
    <x:cfRule type="containsText" dxfId="6" priority="3" operator="containsText" text="NO BET"/>
    <x:cfRule type="containsText" dxfId="7" priority="4" operator="containsText" text="DEFENSIV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4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 ht="32" customHeight="1">
      <x:c r="A1" s="179" t="str">
        <x:v>BTTS v2 – date utilizabile și prior</x:v>
      </x:c>
      <x:c r="B1" s="179"/>
      <x:c r="C1" s="179"/>
      <x:c r="D1" s="179"/>
      <x:c r="E1" s="179"/>
      <x:c r="F1" s="179"/>
      <x:c r="G1" s="179"/>
      <x:c r="H1" s="179"/>
      <x:c r="I1" s="163"/>
      <x:c r="J1" s="163"/>
      <x:c r="K1" s="163"/>
      <x:c r="L1" s="163"/>
      <x:c r="M1" s="163"/>
      <x:c r="N1" s="163"/>
      <x:c r="O1" s="163"/>
      <x:c r="P1" s="163"/>
      <x:c r="Q1" s="163"/>
      <x:c r="R1" s="163"/>
      <x:c r="S1" s="163"/>
      <x:c r="T1" s="163"/>
      <x:c r="U1" s="163"/>
    </x:row>
    <x:row r="2" ht="42" customHeight="1">
      <x:c r="A2" s="161" t="str">
        <x:v>Completați N, statusul, sursa și cutoff-ul. Valorile curente provin din 1_Statistici; priorul este opțional.</x:v>
      </x:c>
      <x:c r="B2" s="161"/>
      <x:c r="C2" s="161"/>
      <x:c r="D2" s="161"/>
      <x:c r="E2" s="161"/>
      <x:c r="F2" s="161"/>
      <x:c r="G2" s="161"/>
      <x:c r="H2" s="161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</x:row>
    <x:row r="3" ht="54" customHeight="1">
      <x:c r="A3" s="180" t="str">
        <x:v>Indicator</x:v>
      </x:c>
      <x:c r="B3" s="180" t="str">
        <x:v>Echipă</x:v>
      </x:c>
      <x:c r="C3" s="180" t="str">
        <x:v>Rol</x:v>
      </x:c>
      <x:c r="D3" s="180" t="str">
        <x:v>Curent</x:v>
      </x:c>
      <x:c r="E3" s="180" t="str">
        <x:v>N curent</x:v>
      </x:c>
      <x:c r="F3" s="180" t="str">
        <x:v>Prior</x:v>
      </x:c>
      <x:c r="G3" s="180" t="str">
        <x:v>N prior</x:v>
      </x:c>
      <x:c r="H3" s="180" t="str">
        <x:v>Status curent</x:v>
      </x:c>
      <x:c r="I3" s="165" t="str">
        <x:v>Sursă curent</x:v>
      </x:c>
      <x:c r="J3" s="165" t="str">
        <x:v>Cutoff curent</x:v>
      </x:c>
      <x:c r="K3" s="165" t="str">
        <x:v>Sursă prior</x:v>
      </x:c>
      <x:c r="L3" s="165" t="str">
        <x:v>Cutoff prior</x:v>
      </x:c>
      <x:c r="M3" s="165" t="str">
        <x:v>Curent valid</x:v>
      </x:c>
      <x:c r="N3" s="165" t="str">
        <x:v>Prior valid</x:v>
      </x:c>
      <x:c r="O3" s="165" t="str">
        <x:v>Pondere curent</x:v>
      </x:c>
      <x:c r="P3" s="165" t="str">
        <x:v>Valoare utilizată</x:v>
      </x:c>
      <x:c r="Q3" s="165" t="str">
        <x:v>N ponderat</x:v>
      </x:c>
      <x:c r="R3" s="165" t="str">
        <x:v>Tratament</x:v>
      </x:c>
      <x:c r="S3" s="165" t="str">
        <x:v>Fiabilitate</x:v>
      </x:c>
      <x:c r="T3" s="165" t="str">
        <x:v>Metodă / populație</x:v>
      </x:c>
      <x:c r="U3" s="165" t="str">
        <x:v>Status prior</x:v>
      </x:c>
    </x:row>
    <x:row r="4" ht="38" customHeight="1">
      <x:c r="A4" s="161" t="str">
        <x:v>Goluri marcate H/A</x:v>
      </x:c>
      <x:c r="B4" s="161" t="str">
        <x:v>GAZDE</x:v>
      </x:c>
      <x:c r="C4" s="161" t="str">
        <x:v>SUPORT</x:v>
      </x:c>
      <x:c r="D4" s="167" t="str">
        <x:f>IF(ISNUMBER('1_Statistici'!B8),'1_Statistici'!B8,"")</x:f>
      </x:c>
      <x:c r="E4" s="161" t="str">
        <x:f>IF(ISNUMBER('1_Statistici'!B4),'1_Statistici'!B4,"")</x:f>
      </x:c>
      <x:c r="F4" s="169"/>
      <x:c r="G4" s="181"/>
      <x:c r="H4" s="181" t="str">
        <x:v>AVAILABLE – NOT CHECKED</x:v>
      </x:c>
      <x:c r="I4" s="181"/>
      <x:c r="J4" s="182"/>
      <x:c r="K4" s="181"/>
      <x:c r="L4" s="182"/>
      <x:c r="M4" s="161" t="n">
        <x:f>IF(COUNT(D4,E4,J4,'1_Statistici'!$B$36)&lt;&gt;4,0,IF(AND(ISNUMBER(D4),D4&gt;=0,ISNUMBER(E4),E4&gt;0,MOD(E4,1)=0,OR(H4="VERIFIED",H4="DERIVED",H4="SMALL SAMPLE",H4="PRIOR / SHRINKAGE"),I4&lt;&gt;"",ISNUMBER(J4),ISNUMBER('1_Statistici'!$B$36),J4&lt;='1_Statistici'!$B$36,IF(H4="DERIVED",T4&lt;&gt;"",TRUE)),1,0))</x:f>
        <x:v>0</x:v>
      </x:c>
      <x:c r="N4" s="161" t="n">
        <x:f>IF(COUNT(F4,G4,L4,'1_Statistici'!$B$36)&lt;&gt;4,0,IF(AND(ISNUMBER(F4),F4&gt;=0,ISNUMBER(G4),G4&gt;0,MOD(G4,1)=0,OR(U4="VERIFIED",U4="DERIVED",U4="SMALL SAMPLE",U4="PRIOR / SHRINKAGE"),K4&lt;&gt;"",ISNUMBER(L4),ISNUMBER('1_Statistici'!$B$36),L4&lt;='1_Statistici'!$B$36,IF(U4="DERIVED",T4&lt;&gt;"",TRUE)),1,0))</x:f>
        <x:v>0</x:v>
      </x:c>
      <x:c r="O4" s="166" t="n">
        <x:f>IF(M4=1,IF(N4=1,E4/(E4+Config_BTTS!$B$26),1),0)</x:f>
        <x:v>0</x:v>
      </x:c>
      <x:c r="P4" s="167" t="str">
        <x:f>IF(M4+N4=0,"",IF(M4=1,IF(N4=1,O4*D4+(1-O4)*F4,D4),F4))</x:f>
      </x:c>
      <x:c r="Q4" s="161" t="str">
        <x:f>IF(M4+N4=0,"",IF(M4=1,IF(N4=1,O4*E4+(1-O4)*G4,E4),G4))</x:f>
      </x:c>
      <x:c r="R4" s="161" t="str">
        <x:f>IF(M4+N4=0,IF(OR(H4="SOURCE CONFLICT",H4="NOT AVAILABLE"),H4,"INCOMPLETE"),IF(M4=0,"PRIOR / SHRINKAGE",IF(N4=1,"PRIOR / SHRINKAGE",IF(E4&lt;Config_BTTS!$B$25,"SMALL SAMPLE",IF(H4="DERIVED","DERIVED","VERIFIED")))))</x:f>
        <x:v>INCOMPLETE</x:v>
      </x:c>
      <x:c r="S4" s="166" t="n">
        <x:f>IF(M4+N4=0,0,IF(M4=1,IF(N4=1,O4*MIN(1,E4/Config_BTTS!$B$25)+(1-O4)*MIN(1,G4/Config_BTTS!$B$27),MIN(1,E4/Config_BTTS!$B$25)),MIN(1,G4/Config_BTTS!$B$27)))</x:f>
        <x:v>0</x:v>
      </x:c>
      <x:c r="T4" s="181"/>
      <x:c r="U4" s="181" t="str">
        <x:v>AVAILABLE – NOT CHECKED</x:v>
      </x:c>
    </x:row>
    <x:row r="5" ht="38" customHeight="1">
      <x:c r="A5" s="161" t="str">
        <x:v>Goluri primite H/A</x:v>
      </x:c>
      <x:c r="B5" s="161" t="str">
        <x:v>GAZDE</x:v>
      </x:c>
      <x:c r="C5" s="161" t="str">
        <x:v>SUPORT</x:v>
      </x:c>
      <x:c r="D5" s="167" t="str">
        <x:f>IF(ISNUMBER('1_Statistici'!B9),'1_Statistici'!B9,"")</x:f>
      </x:c>
      <x:c r="E5" s="161" t="str">
        <x:f>IF(ISNUMBER('1_Statistici'!B4),'1_Statistici'!B4,"")</x:f>
      </x:c>
      <x:c r="F5" s="169"/>
      <x:c r="G5" s="181"/>
      <x:c r="H5" s="181" t="str">
        <x:v>AVAILABLE – NOT CHECKED</x:v>
      </x:c>
      <x:c r="I5" s="181"/>
      <x:c r="J5" s="182"/>
      <x:c r="K5" s="181"/>
      <x:c r="L5" s="182"/>
      <x:c r="M5" s="161" t="n">
        <x:f>IF(COUNT(D5,E5,J5,'1_Statistici'!$B$36)&lt;&gt;4,0,IF(AND(ISNUMBER(D5),D5&gt;=0,ISNUMBER(E5),E5&gt;0,MOD(E5,1)=0,OR(H5="VERIFIED",H5="DERIVED",H5="SMALL SAMPLE",H5="PRIOR / SHRINKAGE"),I5&lt;&gt;"",ISNUMBER(J5),ISNUMBER('1_Statistici'!$B$36),J5&lt;='1_Statistici'!$B$36,IF(H5="DERIVED",T5&lt;&gt;"",TRUE)),1,0))</x:f>
        <x:v>0</x:v>
      </x:c>
      <x:c r="N5" s="161" t="n">
        <x:f>IF(COUNT(F5,G5,L5,'1_Statistici'!$B$36)&lt;&gt;4,0,IF(AND(ISNUMBER(F5),F5&gt;=0,ISNUMBER(G5),G5&gt;0,MOD(G5,1)=0,OR(U5="VERIFIED",U5="DERIVED",U5="SMALL SAMPLE",U5="PRIOR / SHRINKAGE"),K5&lt;&gt;"",ISNUMBER(L5),ISNUMBER('1_Statistici'!$B$36),L5&lt;='1_Statistici'!$B$36,IF(U5="DERIVED",T5&lt;&gt;"",TRUE)),1,0))</x:f>
        <x:v>0</x:v>
      </x:c>
      <x:c r="O5" s="166" t="n">
        <x:f>IF(M5=1,IF(N5=1,E5/(E5+Config_BTTS!$B$26),1),0)</x:f>
        <x:v>0</x:v>
      </x:c>
      <x:c r="P5" s="167" t="str">
        <x:f>IF(M5+N5=0,"",IF(M5=1,IF(N5=1,O5*D5+(1-O5)*F5,D5),F5))</x:f>
      </x:c>
      <x:c r="Q5" s="161" t="str">
        <x:f>IF(M5+N5=0,"",IF(M5=1,IF(N5=1,O5*E5+(1-O5)*G5,E5),G5))</x:f>
      </x:c>
      <x:c r="R5" s="161" t="str">
        <x:f>IF(M5+N5=0,IF(OR(H5="SOURCE CONFLICT",H5="NOT AVAILABLE"),H5,"INCOMPLETE"),IF(M5=0,"PRIOR / SHRINKAGE",IF(N5=1,"PRIOR / SHRINKAGE",IF(E5&lt;Config_BTTS!$B$25,"SMALL SAMPLE",IF(H5="DERIVED","DERIVED","VERIFIED")))))</x:f>
        <x:v>INCOMPLETE</x:v>
      </x:c>
      <x:c r="S5" s="166" t="n">
        <x:f>IF(M5+N5=0,0,IF(M5=1,IF(N5=1,O5*MIN(1,E5/Config_BTTS!$B$25)+(1-O5)*MIN(1,G5/Config_BTTS!$B$27),MIN(1,E5/Config_BTTS!$B$25)),MIN(1,G5/Config_BTTS!$B$27)))</x:f>
        <x:v>0</x:v>
      </x:c>
      <x:c r="T5" s="181"/>
      <x:c r="U5" s="181" t="str">
        <x:v>AVAILABLE – NOT CHECKED</x:v>
      </x:c>
    </x:row>
    <x:row r="6" ht="38" customHeight="1">
      <x:c r="A6" s="161" t="str">
        <x:v>xG H/A</x:v>
      </x:c>
      <x:c r="B6" s="161" t="str">
        <x:v>GAZDE</x:v>
      </x:c>
      <x:c r="C6" s="161" t="str">
        <x:v>G0</x:v>
      </x:c>
      <x:c r="D6" s="167" t="str">
        <x:f>IF(ISNUMBER('1_Statistici'!B10),'1_Statistici'!B10,"")</x:f>
      </x:c>
      <x:c r="E6" s="161" t="str">
        <x:f>IF(ISNUMBER('1_Statistici'!B4),'1_Statistici'!B4,"")</x:f>
      </x:c>
      <x:c r="F6" s="169"/>
      <x:c r="G6" s="181"/>
      <x:c r="H6" s="181" t="str">
        <x:v>AVAILABLE – NOT CHECKED</x:v>
      </x:c>
      <x:c r="I6" s="181"/>
      <x:c r="J6" s="182"/>
      <x:c r="K6" s="181"/>
      <x:c r="L6" s="182"/>
      <x:c r="M6" s="161" t="n">
        <x:f>IF(COUNT(D6,E6,J6,'1_Statistici'!$B$36)&lt;&gt;4,0,IF(AND(ISNUMBER(D6),D6&gt;=0,ISNUMBER(E6),E6&gt;0,MOD(E6,1)=0,OR(H6="VERIFIED",H6="DERIVED",H6="SMALL SAMPLE",H6="PRIOR / SHRINKAGE"),I6&lt;&gt;"",ISNUMBER(J6),ISNUMBER('1_Statistici'!$B$36),J6&lt;='1_Statistici'!$B$36,IF(H6="DERIVED",T6&lt;&gt;"",TRUE)),1,0))</x:f>
        <x:v>0</x:v>
      </x:c>
      <x:c r="N6" s="161" t="n">
        <x:f>IF(COUNT(F6,G6,L6,'1_Statistici'!$B$36)&lt;&gt;4,0,IF(AND(ISNUMBER(F6),F6&gt;=0,ISNUMBER(G6),G6&gt;0,MOD(G6,1)=0,OR(U6="VERIFIED",U6="DERIVED",U6="SMALL SAMPLE",U6="PRIOR / SHRINKAGE"),K6&lt;&gt;"",ISNUMBER(L6),ISNUMBER('1_Statistici'!$B$36),L6&lt;='1_Statistici'!$B$36,IF(U6="DERIVED",T6&lt;&gt;"",TRUE)),1,0))</x:f>
        <x:v>0</x:v>
      </x:c>
      <x:c r="O6" s="166" t="n">
        <x:f>IF(M6=1,IF(N6=1,E6/(E6+Config_BTTS!$B$26),1),0)</x:f>
        <x:v>0</x:v>
      </x:c>
      <x:c r="P6" s="167" t="str">
        <x:f>IF(M6+N6=0,"",IF(M6=1,IF(N6=1,O6*D6+(1-O6)*F6,D6),F6))</x:f>
      </x:c>
      <x:c r="Q6" s="161" t="str">
        <x:f>IF(M6+N6=0,"",IF(M6=1,IF(N6=1,O6*E6+(1-O6)*G6,E6),G6))</x:f>
      </x:c>
      <x:c r="R6" s="161" t="str">
        <x:f>IF(M6+N6=0,IF(OR(H6="SOURCE CONFLICT",H6="NOT AVAILABLE"),H6,"INCOMPLETE"),IF(M6=0,"PRIOR / SHRINKAGE",IF(N6=1,"PRIOR / SHRINKAGE",IF(E6&lt;Config_BTTS!$B$25,"SMALL SAMPLE",IF(H6="DERIVED","DERIVED","VERIFIED")))))</x:f>
        <x:v>INCOMPLETE</x:v>
      </x:c>
      <x:c r="S6" s="166" t="n">
        <x:f>IF(M6+N6=0,0,IF(M6=1,IF(N6=1,O6*MIN(1,E6/Config_BTTS!$B$25)+(1-O6)*MIN(1,G6/Config_BTTS!$B$27),MIN(1,E6/Config_BTTS!$B$25)),MIN(1,G6/Config_BTTS!$B$27)))</x:f>
        <x:v>0</x:v>
      </x:c>
      <x:c r="T6" s="181"/>
      <x:c r="U6" s="181" t="str">
        <x:v>AVAILABLE – NOT CHECKED</x:v>
      </x:c>
    </x:row>
    <x:row r="7" ht="38" customHeight="1">
      <x:c r="A7" s="161" t="str">
        <x:v>xGA H/A</x:v>
      </x:c>
      <x:c r="B7" s="161" t="str">
        <x:v>GAZDE</x:v>
      </x:c>
      <x:c r="C7" s="161" t="str">
        <x:v>G0</x:v>
      </x:c>
      <x:c r="D7" s="167" t="str">
        <x:f>IF(ISNUMBER('1_Statistici'!B11),'1_Statistici'!B11,"")</x:f>
      </x:c>
      <x:c r="E7" s="161" t="str">
        <x:f>IF(ISNUMBER('1_Statistici'!B4),'1_Statistici'!B4,"")</x:f>
      </x:c>
      <x:c r="F7" s="169"/>
      <x:c r="G7" s="181"/>
      <x:c r="H7" s="181" t="str">
        <x:v>AVAILABLE – NOT CHECKED</x:v>
      </x:c>
      <x:c r="I7" s="181"/>
      <x:c r="J7" s="182"/>
      <x:c r="K7" s="181"/>
      <x:c r="L7" s="182"/>
      <x:c r="M7" s="161" t="n">
        <x:f>IF(COUNT(D7,E7,J7,'1_Statistici'!$B$36)&lt;&gt;4,0,IF(AND(ISNUMBER(D7),D7&gt;=0,ISNUMBER(E7),E7&gt;0,MOD(E7,1)=0,OR(H7="VERIFIED",H7="DERIVED",H7="SMALL SAMPLE",H7="PRIOR / SHRINKAGE"),I7&lt;&gt;"",ISNUMBER(J7),ISNUMBER('1_Statistici'!$B$36),J7&lt;='1_Statistici'!$B$36,IF(H7="DERIVED",T7&lt;&gt;"",TRUE)),1,0))</x:f>
        <x:v>0</x:v>
      </x:c>
      <x:c r="N7" s="161" t="n">
        <x:f>IF(COUNT(F7,G7,L7,'1_Statistici'!$B$36)&lt;&gt;4,0,IF(AND(ISNUMBER(F7),F7&gt;=0,ISNUMBER(G7),G7&gt;0,MOD(G7,1)=0,OR(U7="VERIFIED",U7="DERIVED",U7="SMALL SAMPLE",U7="PRIOR / SHRINKAGE"),K7&lt;&gt;"",ISNUMBER(L7),ISNUMBER('1_Statistici'!$B$36),L7&lt;='1_Statistici'!$B$36,IF(U7="DERIVED",T7&lt;&gt;"",TRUE)),1,0))</x:f>
        <x:v>0</x:v>
      </x:c>
      <x:c r="O7" s="166" t="n">
        <x:f>IF(M7=1,IF(N7=1,E7/(E7+Config_BTTS!$B$26),1),0)</x:f>
        <x:v>0</x:v>
      </x:c>
      <x:c r="P7" s="167" t="str">
        <x:f>IF(M7+N7=0,"",IF(M7=1,IF(N7=1,O7*D7+(1-O7)*F7,D7),F7))</x:f>
      </x:c>
      <x:c r="Q7" s="161" t="str">
        <x:f>IF(M7+N7=0,"",IF(M7=1,IF(N7=1,O7*E7+(1-O7)*G7,E7),G7))</x:f>
      </x:c>
      <x:c r="R7" s="161" t="str">
        <x:f>IF(M7+N7=0,IF(OR(H7="SOURCE CONFLICT",H7="NOT AVAILABLE"),H7,"INCOMPLETE"),IF(M7=0,"PRIOR / SHRINKAGE",IF(N7=1,"PRIOR / SHRINKAGE",IF(E7&lt;Config_BTTS!$B$25,"SMALL SAMPLE",IF(H7="DERIVED","DERIVED","VERIFIED")))))</x:f>
        <x:v>INCOMPLETE</x:v>
      </x:c>
      <x:c r="S7" s="166" t="n">
        <x:f>IF(M7+N7=0,0,IF(M7=1,IF(N7=1,O7*MIN(1,E7/Config_BTTS!$B$25)+(1-O7)*MIN(1,G7/Config_BTTS!$B$27),MIN(1,E7/Config_BTTS!$B$25)),MIN(1,G7/Config_BTTS!$B$27)))</x:f>
        <x:v>0</x:v>
      </x:c>
      <x:c r="T7" s="181"/>
      <x:c r="U7" s="181" t="str">
        <x:v>AVAILABLE – NOT CHECKED</x:v>
      </x:c>
    </x:row>
    <x:row r="8" ht="38" customHeight="1">
      <x:c r="A8" s="161" t="str">
        <x:v>Scored H/A</x:v>
      </x:c>
      <x:c r="B8" s="161" t="str">
        <x:v>GAZDE</x:v>
      </x:c>
      <x:c r="C8" s="161" t="str">
        <x:v>G0</x:v>
      </x:c>
      <x:c r="D8" s="166" t="str">
        <x:f>IF(ISNUMBER('1_Statistici'!B12),'1_Statistici'!B12,"")</x:f>
      </x:c>
      <x:c r="E8" s="161" t="str">
        <x:f>IF(ISNUMBER('1_Statistici'!B4),'1_Statistici'!B4,"")</x:f>
      </x:c>
      <x:c r="F8" s="168"/>
      <x:c r="G8" s="181"/>
      <x:c r="H8" s="181" t="str">
        <x:v>AVAILABLE – NOT CHECKED</x:v>
      </x:c>
      <x:c r="I8" s="181"/>
      <x:c r="J8" s="182"/>
      <x:c r="K8" s="181"/>
      <x:c r="L8" s="182"/>
      <x:c r="M8" s="161" t="n">
        <x:f>IF(COUNT(D8,E8,J8,'1_Statistici'!$B$36)&lt;&gt;4,0,IF(AND(ISNUMBER(D8),D8&gt;=0,D8&lt;=1,ISNUMBER(E8),E8&gt;0,MOD(E8,1)=0,OR(H8="VERIFIED",H8="DERIVED",H8="SMALL SAMPLE",H8="PRIOR / SHRINKAGE"),I8&lt;&gt;"",ISNUMBER(J8),ISNUMBER('1_Statistici'!$B$36),J8&lt;='1_Statistici'!$B$36,IF(H8="DERIVED",T8&lt;&gt;"",TRUE)),1,0))</x:f>
        <x:v>0</x:v>
      </x:c>
      <x:c r="N8" s="161" t="n">
        <x:f>IF(COUNT(F8,G8,L8,'1_Statistici'!$B$36)&lt;&gt;4,0,IF(AND(ISNUMBER(F8),F8&gt;=0,F8&lt;=1,ISNUMBER(G8),G8&gt;0,MOD(G8,1)=0,OR(U8="VERIFIED",U8="DERIVED",U8="SMALL SAMPLE",U8="PRIOR / SHRINKAGE"),K8&lt;&gt;"",ISNUMBER(L8),ISNUMBER('1_Statistici'!$B$36),L8&lt;='1_Statistici'!$B$36,IF(U8="DERIVED",T8&lt;&gt;"",TRUE)),1,0))</x:f>
        <x:v>0</x:v>
      </x:c>
      <x:c r="O8" s="166" t="n">
        <x:f>IF(M8=1,IF(N8=1,E8/(E8+Config_BTTS!$B$26),1),0)</x:f>
        <x:v>0</x:v>
      </x:c>
      <x:c r="P8" s="166" t="str">
        <x:f>IF(M8+N8=0,"",IF(M8=1,IF(N8=1,O8*D8+(1-O8)*F8,D8),F8))</x:f>
      </x:c>
      <x:c r="Q8" s="161" t="str">
        <x:f>IF(M8+N8=0,"",IF(M8=1,IF(N8=1,O8*E8+(1-O8)*G8,E8),G8))</x:f>
      </x:c>
      <x:c r="R8" s="161" t="str">
        <x:f>IF(M8+N8=0,IF(OR(H8="SOURCE CONFLICT",H8="NOT AVAILABLE"),H8,"INCOMPLETE"),IF(M8=0,"PRIOR / SHRINKAGE",IF(N8=1,"PRIOR / SHRINKAGE",IF(E8&lt;Config_BTTS!$B$25,"SMALL SAMPLE",IF(H8="DERIVED","DERIVED","VERIFIED")))))</x:f>
        <x:v>INCOMPLETE</x:v>
      </x:c>
      <x:c r="S8" s="166" t="n">
        <x:f>IF(M8+N8=0,0,IF(M8=1,IF(N8=1,O8*MIN(1,E8/Config_BTTS!$B$25)+(1-O8)*MIN(1,G8/Config_BTTS!$B$27),MIN(1,E8/Config_BTTS!$B$25)),MIN(1,G8/Config_BTTS!$B$27)))</x:f>
        <x:v>0</x:v>
      </x:c>
      <x:c r="T8" s="181"/>
      <x:c r="U8" s="181" t="str">
        <x:v>AVAILABLE – NOT CHECKED</x:v>
      </x:c>
    </x:row>
    <x:row r="9" ht="38" customHeight="1">
      <x:c r="A9" s="161" t="str">
        <x:v>Conceded H/A</x:v>
      </x:c>
      <x:c r="B9" s="161" t="str">
        <x:v>GAZDE</x:v>
      </x:c>
      <x:c r="C9" s="161" t="str">
        <x:v>G0</x:v>
      </x:c>
      <x:c r="D9" s="166" t="str">
        <x:f>IF(ISNUMBER('1_Statistici'!B13),'1_Statistici'!B13,"")</x:f>
      </x:c>
      <x:c r="E9" s="161" t="str">
        <x:f>IF(ISNUMBER('1_Statistici'!B4),'1_Statistici'!B4,"")</x:f>
      </x:c>
      <x:c r="F9" s="168"/>
      <x:c r="G9" s="181"/>
      <x:c r="H9" s="181" t="str">
        <x:v>AVAILABLE – NOT CHECKED</x:v>
      </x:c>
      <x:c r="I9" s="181"/>
      <x:c r="J9" s="182"/>
      <x:c r="K9" s="181"/>
      <x:c r="L9" s="182"/>
      <x:c r="M9" s="161" t="n">
        <x:f>IF(COUNT(D9,E9,J9,'1_Statistici'!$B$36)&lt;&gt;4,0,IF(AND(ISNUMBER(D9),D9&gt;=0,D9&lt;=1,ISNUMBER(E9),E9&gt;0,MOD(E9,1)=0,OR(H9="VERIFIED",H9="DERIVED",H9="SMALL SAMPLE",H9="PRIOR / SHRINKAGE"),I9&lt;&gt;"",ISNUMBER(J9),ISNUMBER('1_Statistici'!$B$36),J9&lt;='1_Statistici'!$B$36,IF(H9="DERIVED",T9&lt;&gt;"",TRUE)),1,0))</x:f>
        <x:v>0</x:v>
      </x:c>
      <x:c r="N9" s="161" t="n">
        <x:f>IF(COUNT(F9,G9,L9,'1_Statistici'!$B$36)&lt;&gt;4,0,IF(AND(ISNUMBER(F9),F9&gt;=0,F9&lt;=1,ISNUMBER(G9),G9&gt;0,MOD(G9,1)=0,OR(U9="VERIFIED",U9="DERIVED",U9="SMALL SAMPLE",U9="PRIOR / SHRINKAGE"),K9&lt;&gt;"",ISNUMBER(L9),ISNUMBER('1_Statistici'!$B$36),L9&lt;='1_Statistici'!$B$36,IF(U9="DERIVED",T9&lt;&gt;"",TRUE)),1,0))</x:f>
        <x:v>0</x:v>
      </x:c>
      <x:c r="O9" s="166" t="n">
        <x:f>IF(M9=1,IF(N9=1,E9/(E9+Config_BTTS!$B$26),1),0)</x:f>
        <x:v>0</x:v>
      </x:c>
      <x:c r="P9" s="166" t="str">
        <x:f>IF(M9+N9=0,"",IF(M9=1,IF(N9=1,O9*D9+(1-O9)*F9,D9),F9))</x:f>
      </x:c>
      <x:c r="Q9" s="161" t="str">
        <x:f>IF(M9+N9=0,"",IF(M9=1,IF(N9=1,O9*E9+(1-O9)*G9,E9),G9))</x:f>
      </x:c>
      <x:c r="R9" s="161" t="str">
        <x:f>IF(M9+N9=0,IF(OR(H9="SOURCE CONFLICT",H9="NOT AVAILABLE"),H9,"INCOMPLETE"),IF(M9=0,"PRIOR / SHRINKAGE",IF(N9=1,"PRIOR / SHRINKAGE",IF(E9&lt;Config_BTTS!$B$25,"SMALL SAMPLE",IF(H9="DERIVED","DERIVED","VERIFIED")))))</x:f>
        <x:v>INCOMPLETE</x:v>
      </x:c>
      <x:c r="S9" s="166" t="n">
        <x:f>IF(M9+N9=0,0,IF(M9=1,IF(N9=1,O9*MIN(1,E9/Config_BTTS!$B$25)+(1-O9)*MIN(1,G9/Config_BTTS!$B$27),MIN(1,E9/Config_BTTS!$B$25)),MIN(1,G9/Config_BTTS!$B$27)))</x:f>
        <x:v>0</x:v>
      </x:c>
      <x:c r="T9" s="181"/>
      <x:c r="U9" s="181" t="str">
        <x:v>AVAILABLE – NOT CHECKED</x:v>
      </x:c>
    </x:row>
    <x:row r="10" ht="38" customHeight="1">
      <x:c r="A10" s="161" t="str">
        <x:v>BTTS H/A</x:v>
      </x:c>
      <x:c r="B10" s="161" t="str">
        <x:v>GAZDE</x:v>
      </x:c>
      <x:c r="C10" s="161" t="str">
        <x:v>SUPORT</x:v>
      </x:c>
      <x:c r="D10" s="166" t="str">
        <x:f>IF(ISNUMBER('1_Statistici'!B15),'1_Statistici'!B15,"")</x:f>
      </x:c>
      <x:c r="E10" s="161" t="str">
        <x:f>IF(ISNUMBER('1_Statistici'!B4),'1_Statistici'!B4,"")</x:f>
      </x:c>
      <x:c r="F10" s="168"/>
      <x:c r="G10" s="181"/>
      <x:c r="H10" s="181" t="str">
        <x:v>AVAILABLE – NOT CHECKED</x:v>
      </x:c>
      <x:c r="I10" s="181"/>
      <x:c r="J10" s="182"/>
      <x:c r="K10" s="181"/>
      <x:c r="L10" s="182"/>
      <x:c r="M10" s="161" t="n">
        <x:f>IF(COUNT(D10,E10,J10,'1_Statistici'!$B$36)&lt;&gt;4,0,IF(AND(ISNUMBER(D10),D10&gt;=0,D10&lt;=1,ISNUMBER(E10),E10&gt;0,MOD(E10,1)=0,OR(H10="VERIFIED",H10="DERIVED",H10="SMALL SAMPLE",H10="PRIOR / SHRINKAGE"),I10&lt;&gt;"",ISNUMBER(J10),ISNUMBER('1_Statistici'!$B$36),J10&lt;='1_Statistici'!$B$36,IF(H10="DERIVED",T10&lt;&gt;"",TRUE)),1,0))</x:f>
        <x:v>0</x:v>
      </x:c>
      <x:c r="N10" s="161" t="n">
        <x:f>IF(COUNT(F10,G10,L10,'1_Statistici'!$B$36)&lt;&gt;4,0,IF(AND(ISNUMBER(F10),F10&gt;=0,F10&lt;=1,ISNUMBER(G10),G10&gt;0,MOD(G10,1)=0,OR(U10="VERIFIED",U10="DERIVED",U10="SMALL SAMPLE",U10="PRIOR / SHRINKAGE"),K10&lt;&gt;"",ISNUMBER(L10),ISNUMBER('1_Statistici'!$B$36),L10&lt;='1_Statistici'!$B$36,IF(U10="DERIVED",T10&lt;&gt;"",TRUE)),1,0))</x:f>
        <x:v>0</x:v>
      </x:c>
      <x:c r="O10" s="166" t="n">
        <x:f>IF(M10=1,IF(N10=1,E10/(E10+Config_BTTS!$B$26),1),0)</x:f>
        <x:v>0</x:v>
      </x:c>
      <x:c r="P10" s="166" t="str">
        <x:f>IF(M10+N10=0,"",IF(M10=1,IF(N10=1,O10*D10+(1-O10)*F10,D10),F10))</x:f>
      </x:c>
      <x:c r="Q10" s="161" t="str">
        <x:f>IF(M10+N10=0,"",IF(M10=1,IF(N10=1,O10*E10+(1-O10)*G10,E10),G10))</x:f>
      </x:c>
      <x:c r="R10" s="161" t="str">
        <x:f>IF(M10+N10=0,IF(OR(H10="SOURCE CONFLICT",H10="NOT AVAILABLE"),H10,"INCOMPLETE"),IF(M10=0,"PRIOR / SHRINKAGE",IF(N10=1,"PRIOR / SHRINKAGE",IF(E10&lt;Config_BTTS!$B$25,"SMALL SAMPLE",IF(H10="DERIVED","DERIVED","VERIFIED")))))</x:f>
        <x:v>INCOMPLETE</x:v>
      </x:c>
      <x:c r="S10" s="166" t="n">
        <x:f>IF(M10+N10=0,0,IF(M10=1,IF(N10=1,O10*MIN(1,E10/Config_BTTS!$B$25)+(1-O10)*MIN(1,G10/Config_BTTS!$B$27),MIN(1,E10/Config_BTTS!$B$25)),MIN(1,G10/Config_BTTS!$B$27)))</x:f>
        <x:v>0</x:v>
      </x:c>
      <x:c r="T10" s="181"/>
      <x:c r="U10" s="181" t="str">
        <x:v>AVAILABLE – NOT CHECKED</x:v>
      </x:c>
    </x:row>
    <x:row r="11" ht="38" customHeight="1">
      <x:c r="A11" s="161" t="str">
        <x:v>BTTS L5</x:v>
      </x:c>
      <x:c r="B11" s="161" t="str">
        <x:v>GAZDE</x:v>
      </x:c>
      <x:c r="C11" s="161" t="str">
        <x:v>SUPORT</x:v>
      </x:c>
      <x:c r="D11" s="166" t="str">
        <x:f>IF(ISNUMBER('1_Statistici'!B16),'1_Statistici'!B16,"")</x:f>
      </x:c>
      <x:c r="E11" s="161" t="str">
        <x:f>IF(ISNUMBER('1_Statistici'!B4),MIN(5,'1_Statistici'!B4),"")</x:f>
      </x:c>
      <x:c r="F11" s="168"/>
      <x:c r="G11" s="181"/>
      <x:c r="H11" s="181" t="str">
        <x:v>AVAILABLE – NOT CHECKED</x:v>
      </x:c>
      <x:c r="I11" s="181"/>
      <x:c r="J11" s="182"/>
      <x:c r="K11" s="181"/>
      <x:c r="L11" s="182"/>
      <x:c r="M11" s="161" t="n">
        <x:f>IF(COUNT(D11,E11,J11,'1_Statistici'!$B$36)&lt;&gt;4,0,IF(AND(ISNUMBER(D11),D11&gt;=0,D11&lt;=1,ISNUMBER(E11),E11&gt;0,MOD(E11,1)=0,OR(H11="VERIFIED",H11="DERIVED",H11="SMALL SAMPLE",H11="PRIOR / SHRINKAGE"),I11&lt;&gt;"",ISNUMBER(J11),ISNUMBER('1_Statistici'!$B$36),J11&lt;='1_Statistici'!$B$36,IF(H11="DERIVED",T11&lt;&gt;"",TRUE)),1,0))</x:f>
        <x:v>0</x:v>
      </x:c>
      <x:c r="N11" s="161" t="n">
        <x:f>IF(COUNT(F11,G11,L11,'1_Statistici'!$B$36)&lt;&gt;4,0,IF(AND(ISNUMBER(F11),F11&gt;=0,F11&lt;=1,ISNUMBER(G11),G11&gt;0,MOD(G11,1)=0,OR(U11="VERIFIED",U11="DERIVED",U11="SMALL SAMPLE",U11="PRIOR / SHRINKAGE"),K11&lt;&gt;"",ISNUMBER(L11),ISNUMBER('1_Statistici'!$B$36),L11&lt;='1_Statistici'!$B$36,IF(U11="DERIVED",T11&lt;&gt;"",TRUE)),1,0))</x:f>
        <x:v>0</x:v>
      </x:c>
      <x:c r="O11" s="166" t="n">
        <x:f>IF(M11=1,IF(N11=1,E11/(E11+Config_BTTS!$B$26),1),0)</x:f>
        <x:v>0</x:v>
      </x:c>
      <x:c r="P11" s="166" t="str">
        <x:f>IF(M11+N11=0,"",IF(M11=1,IF(N11=1,O11*D11+(1-O11)*F11,D11),F11))</x:f>
      </x:c>
      <x:c r="Q11" s="161" t="str">
        <x:f>IF(M11+N11=0,"",IF(M11=1,IF(N11=1,O11*E11+(1-O11)*G11,E11),G11))</x:f>
      </x:c>
      <x:c r="R11" s="161" t="str">
        <x:f>IF(M11+N11=0,IF(OR(H11="SOURCE CONFLICT",H11="NOT AVAILABLE"),H11,"INCOMPLETE"),IF(M11=0,"PRIOR / SHRINKAGE",IF(N11=1,"PRIOR / SHRINKAGE",IF(E11&lt;Config_BTTS!$B$25,"SMALL SAMPLE",IF(H11="DERIVED","DERIVED","VERIFIED")))))</x:f>
        <x:v>INCOMPLETE</x:v>
      </x:c>
      <x:c r="S11" s="166" t="n">
        <x:f>IF(M11+N11=0,0,IF(M11=1,IF(N11=1,O11*MIN(1,E11/Config_BTTS!$B$25)+(1-O11)*MIN(1,G11/Config_BTTS!$B$27),MIN(1,E11/Config_BTTS!$B$25)),MIN(1,G11/Config_BTTS!$B$27)))</x:f>
        <x:v>0</x:v>
      </x:c>
      <x:c r="T11" s="181"/>
      <x:c r="U11" s="181" t="str">
        <x:v>AVAILABLE – NOT CHECKED</x:v>
      </x:c>
    </x:row>
    <x:row r="12" ht="38" customHeight="1">
      <x:c r="A12" s="161" t="str">
        <x:v>BTTS L10</x:v>
      </x:c>
      <x:c r="B12" s="161" t="str">
        <x:v>GAZDE</x:v>
      </x:c>
      <x:c r="C12" s="161" t="str">
        <x:v>SUPORT</x:v>
      </x:c>
      <x:c r="D12" s="166" t="str">
        <x:f>IF(ISNUMBER('1_Statistici'!B17),'1_Statistici'!B17,"")</x:f>
      </x:c>
      <x:c r="E12" s="161" t="str">
        <x:f>IF(ISNUMBER('1_Statistici'!B4),MIN(10,'1_Statistici'!B4),"")</x:f>
      </x:c>
      <x:c r="F12" s="168"/>
      <x:c r="G12" s="181"/>
      <x:c r="H12" s="181" t="str">
        <x:v>AVAILABLE – NOT CHECKED</x:v>
      </x:c>
      <x:c r="I12" s="181"/>
      <x:c r="J12" s="182"/>
      <x:c r="K12" s="181"/>
      <x:c r="L12" s="182"/>
      <x:c r="M12" s="161" t="n">
        <x:f>IF(COUNT(D12,E12,J12,'1_Statistici'!$B$36)&lt;&gt;4,0,IF(AND(ISNUMBER(D12),D12&gt;=0,D12&lt;=1,ISNUMBER(E12),E12&gt;0,MOD(E12,1)=0,OR(H12="VERIFIED",H12="DERIVED",H12="SMALL SAMPLE",H12="PRIOR / SHRINKAGE"),I12&lt;&gt;"",ISNUMBER(J12),ISNUMBER('1_Statistici'!$B$36),J12&lt;='1_Statistici'!$B$36,IF(H12="DERIVED",T12&lt;&gt;"",TRUE)),1,0))</x:f>
        <x:v>0</x:v>
      </x:c>
      <x:c r="N12" s="161" t="n">
        <x:f>IF(COUNT(F12,G12,L12,'1_Statistici'!$B$36)&lt;&gt;4,0,IF(AND(ISNUMBER(F12),F12&gt;=0,F12&lt;=1,ISNUMBER(G12),G12&gt;0,MOD(G12,1)=0,OR(U12="VERIFIED",U12="DERIVED",U12="SMALL SAMPLE",U12="PRIOR / SHRINKAGE"),K12&lt;&gt;"",ISNUMBER(L12),ISNUMBER('1_Statistici'!$B$36),L12&lt;='1_Statistici'!$B$36,IF(U12="DERIVED",T12&lt;&gt;"",TRUE)),1,0))</x:f>
        <x:v>0</x:v>
      </x:c>
      <x:c r="O12" s="166" t="n">
        <x:f>IF(M12=1,IF(N12=1,E12/(E12+Config_BTTS!$B$26),1),0)</x:f>
        <x:v>0</x:v>
      </x:c>
      <x:c r="P12" s="166" t="str">
        <x:f>IF(M12+N12=0,"",IF(M12=1,IF(N12=1,O12*D12+(1-O12)*F12,D12),F12))</x:f>
      </x:c>
      <x:c r="Q12" s="161" t="str">
        <x:f>IF(M12+N12=0,"",IF(M12=1,IF(N12=1,O12*E12+(1-O12)*G12,E12),G12))</x:f>
      </x:c>
      <x:c r="R12" s="161" t="str">
        <x:f>IF(M12+N12=0,IF(OR(H12="SOURCE CONFLICT",H12="NOT AVAILABLE"),H12,"INCOMPLETE"),IF(M12=0,"PRIOR / SHRINKAGE",IF(N12=1,"PRIOR / SHRINKAGE",IF(E12&lt;Config_BTTS!$B$25,"SMALL SAMPLE",IF(H12="DERIVED","DERIVED","VERIFIED")))))</x:f>
        <x:v>INCOMPLETE</x:v>
      </x:c>
      <x:c r="S12" s="166" t="n">
        <x:f>IF(M12+N12=0,0,IF(M12=1,IF(N12=1,O12*MIN(1,E12/Config_BTTS!$B$25)+(1-O12)*MIN(1,G12/Config_BTTS!$B$27),MIN(1,E12/Config_BTTS!$B$25)),MIN(1,G12/Config_BTTS!$B$27)))</x:f>
        <x:v>0</x:v>
      </x:c>
      <x:c r="T12" s="181"/>
      <x:c r="U12" s="181" t="str">
        <x:v>AVAILABLE – NOT CHECKED</x:v>
      </x:c>
    </x:row>
    <x:row r="13" ht="38" customHeight="1">
      <x:c r="A13" s="161" t="str">
        <x:v>Clean-sheet H/A</x:v>
      </x:c>
      <x:c r="B13" s="161" t="str">
        <x:v>GAZDE</x:v>
      </x:c>
      <x:c r="C13" s="161" t="str">
        <x:v>G0</x:v>
      </x:c>
      <x:c r="D13" s="166" t="str">
        <x:f>IF(ISNUMBER('1_Statistici'!B18),'1_Statistici'!B18,"")</x:f>
      </x:c>
      <x:c r="E13" s="161" t="str">
        <x:f>IF(ISNUMBER('1_Statistici'!B4),'1_Statistici'!B4,"")</x:f>
      </x:c>
      <x:c r="F13" s="168"/>
      <x:c r="G13" s="181"/>
      <x:c r="H13" s="181" t="str">
        <x:v>AVAILABLE – NOT CHECKED</x:v>
      </x:c>
      <x:c r="I13" s="181"/>
      <x:c r="J13" s="182"/>
      <x:c r="K13" s="181"/>
      <x:c r="L13" s="182"/>
      <x:c r="M13" s="161" t="n">
        <x:f>IF(COUNT(D13,E13,J13,'1_Statistici'!$B$36)&lt;&gt;4,0,IF(AND(ISNUMBER(D13),D13&gt;=0,D13&lt;=1,ISNUMBER(E13),E13&gt;0,MOD(E13,1)=0,OR(H13="VERIFIED",H13="DERIVED",H13="SMALL SAMPLE",H13="PRIOR / SHRINKAGE"),I13&lt;&gt;"",ISNUMBER(J13),ISNUMBER('1_Statistici'!$B$36),J13&lt;='1_Statistici'!$B$36,IF(H13="DERIVED",T13&lt;&gt;"",TRUE)),1,0))</x:f>
        <x:v>0</x:v>
      </x:c>
      <x:c r="N13" s="161" t="n">
        <x:f>IF(COUNT(F13,G13,L13,'1_Statistici'!$B$36)&lt;&gt;4,0,IF(AND(ISNUMBER(F13),F13&gt;=0,F13&lt;=1,ISNUMBER(G13),G13&gt;0,MOD(G13,1)=0,OR(U13="VERIFIED",U13="DERIVED",U13="SMALL SAMPLE",U13="PRIOR / SHRINKAGE"),K13&lt;&gt;"",ISNUMBER(L13),ISNUMBER('1_Statistici'!$B$36),L13&lt;='1_Statistici'!$B$36,IF(U13="DERIVED",T13&lt;&gt;"",TRUE)),1,0))</x:f>
        <x:v>0</x:v>
      </x:c>
      <x:c r="O13" s="166" t="n">
        <x:f>IF(M13=1,IF(N13=1,E13/(E13+Config_BTTS!$B$26),1),0)</x:f>
        <x:v>0</x:v>
      </x:c>
      <x:c r="P13" s="166" t="str">
        <x:f>IF(M13+N13=0,"",IF(M13=1,IF(N13=1,O13*D13+(1-O13)*F13,D13),F13))</x:f>
      </x:c>
      <x:c r="Q13" s="161" t="str">
        <x:f>IF(M13+N13=0,"",IF(M13=1,IF(N13=1,O13*E13+(1-O13)*G13,E13),G13))</x:f>
      </x:c>
      <x:c r="R13" s="161" t="str">
        <x:f>IF(M13+N13=0,IF(OR(H13="SOURCE CONFLICT",H13="NOT AVAILABLE"),H13,"INCOMPLETE"),IF(M13=0,"PRIOR / SHRINKAGE",IF(N13=1,"PRIOR / SHRINKAGE",IF(E13&lt;Config_BTTS!$B$25,"SMALL SAMPLE",IF(H13="DERIVED","DERIVED","VERIFIED")))))</x:f>
        <x:v>INCOMPLETE</x:v>
      </x:c>
      <x:c r="S13" s="166" t="n">
        <x:f>IF(M13+N13=0,0,IF(M13=1,IF(N13=1,O13*MIN(1,E13/Config_BTTS!$B$25)+(1-O13)*MIN(1,G13/Config_BTTS!$B$27),MIN(1,E13/Config_BTTS!$B$25)),MIN(1,G13/Config_BTTS!$B$27)))</x:f>
        <x:v>0</x:v>
      </x:c>
      <x:c r="T13" s="181"/>
      <x:c r="U13" s="181" t="str">
        <x:v>AVAILABLE – NOT CHECKED</x:v>
      </x:c>
    </x:row>
    <x:row r="14" ht="38" customHeight="1">
      <x:c r="A14" s="161" t="str">
        <x:v>Blank H/A</x:v>
      </x:c>
      <x:c r="B14" s="161" t="str">
        <x:v>GAZDE</x:v>
      </x:c>
      <x:c r="C14" s="161" t="str">
        <x:v>G0</x:v>
      </x:c>
      <x:c r="D14" s="166" t="str">
        <x:f>IF(ISNUMBER('1_Statistici'!B19),'1_Statistici'!B19,"")</x:f>
      </x:c>
      <x:c r="E14" s="161" t="str">
        <x:f>IF(ISNUMBER('1_Statistici'!B4),'1_Statistici'!B4,"")</x:f>
      </x:c>
      <x:c r="F14" s="168"/>
      <x:c r="G14" s="181"/>
      <x:c r="H14" s="181" t="str">
        <x:v>AVAILABLE – NOT CHECKED</x:v>
      </x:c>
      <x:c r="I14" s="181"/>
      <x:c r="J14" s="182"/>
      <x:c r="K14" s="181"/>
      <x:c r="L14" s="182"/>
      <x:c r="M14" s="161" t="n">
        <x:f>IF(COUNT(D14,E14,J14,'1_Statistici'!$B$36)&lt;&gt;4,0,IF(AND(ISNUMBER(D14),D14&gt;=0,D14&lt;=1,ISNUMBER(E14),E14&gt;0,MOD(E14,1)=0,OR(H14="VERIFIED",H14="DERIVED",H14="SMALL SAMPLE",H14="PRIOR / SHRINKAGE"),I14&lt;&gt;"",ISNUMBER(J14),ISNUMBER('1_Statistici'!$B$36),J14&lt;='1_Statistici'!$B$36,IF(H14="DERIVED",T14&lt;&gt;"",TRUE)),1,0))</x:f>
        <x:v>0</x:v>
      </x:c>
      <x:c r="N14" s="161" t="n">
        <x:f>IF(COUNT(F14,G14,L14,'1_Statistici'!$B$36)&lt;&gt;4,0,IF(AND(ISNUMBER(F14),F14&gt;=0,F14&lt;=1,ISNUMBER(G14),G14&gt;0,MOD(G14,1)=0,OR(U14="VERIFIED",U14="DERIVED",U14="SMALL SAMPLE",U14="PRIOR / SHRINKAGE"),K14&lt;&gt;"",ISNUMBER(L14),ISNUMBER('1_Statistici'!$B$36),L14&lt;='1_Statistici'!$B$36,IF(U14="DERIVED",T14&lt;&gt;"",TRUE)),1,0))</x:f>
        <x:v>0</x:v>
      </x:c>
      <x:c r="O14" s="166" t="n">
        <x:f>IF(M14=1,IF(N14=1,E14/(E14+Config_BTTS!$B$26),1),0)</x:f>
        <x:v>0</x:v>
      </x:c>
      <x:c r="P14" s="166" t="str">
        <x:f>IF(M14+N14=0,"",IF(M14=1,IF(N14=1,O14*D14+(1-O14)*F14,D14),F14))</x:f>
      </x:c>
      <x:c r="Q14" s="161" t="str">
        <x:f>IF(M14+N14=0,"",IF(M14=1,IF(N14=1,O14*E14+(1-O14)*G14,E14),G14))</x:f>
      </x:c>
      <x:c r="R14" s="161" t="str">
        <x:f>IF(M14+N14=0,IF(OR(H14="SOURCE CONFLICT",H14="NOT AVAILABLE"),H14,"INCOMPLETE"),IF(M14=0,"PRIOR / SHRINKAGE",IF(N14=1,"PRIOR / SHRINKAGE",IF(E14&lt;Config_BTTS!$B$25,"SMALL SAMPLE",IF(H14="DERIVED","DERIVED","VERIFIED")))))</x:f>
        <x:v>INCOMPLETE</x:v>
      </x:c>
      <x:c r="S14" s="166" t="n">
        <x:f>IF(M14+N14=0,0,IF(M14=1,IF(N14=1,O14*MIN(1,E14/Config_BTTS!$B$25)+(1-O14)*MIN(1,G14/Config_BTTS!$B$27),MIN(1,E14/Config_BTTS!$B$25)),MIN(1,G14/Config_BTTS!$B$27)))</x:f>
        <x:v>0</x:v>
      </x:c>
      <x:c r="T14" s="181"/>
      <x:c r="U14" s="181" t="str">
        <x:v>AVAILABLE – NOT CHECKED</x:v>
      </x:c>
    </x:row>
    <x:row r="15" ht="38" customHeight="1">
      <x:c r="A15" s="161" t="str">
        <x:v>Șuturi</x:v>
      </x:c>
      <x:c r="B15" s="161" t="str">
        <x:v>GAZDE</x:v>
      </x:c>
      <x:c r="C15" s="161" t="str">
        <x:v>SUPORT</x:v>
      </x:c>
      <x:c r="D15" s="167" t="str">
        <x:f>IF(ISNUMBER('1_Statistici'!B20),'1_Statistici'!B20,"")</x:f>
      </x:c>
      <x:c r="E15" s="161" t="str">
        <x:f>IF(ISNUMBER('1_Statistici'!B4),'1_Statistici'!B4,"")</x:f>
      </x:c>
      <x:c r="F15" s="169"/>
      <x:c r="G15" s="181"/>
      <x:c r="H15" s="181" t="str">
        <x:v>AVAILABLE – NOT CHECKED</x:v>
      </x:c>
      <x:c r="I15" s="181"/>
      <x:c r="J15" s="182"/>
      <x:c r="K15" s="181"/>
      <x:c r="L15" s="182"/>
      <x:c r="M15" s="161" t="n">
        <x:f>IF(COUNT(D15,E15,J15,'1_Statistici'!$B$36)&lt;&gt;4,0,IF(AND(ISNUMBER(D15),D15&gt;=0,ISNUMBER(E15),E15&gt;0,MOD(E15,1)=0,OR(H15="VERIFIED",H15="DERIVED",H15="SMALL SAMPLE",H15="PRIOR / SHRINKAGE"),I15&lt;&gt;"",ISNUMBER(J15),ISNUMBER('1_Statistici'!$B$36),J15&lt;='1_Statistici'!$B$36,IF(H15="DERIVED",T15&lt;&gt;"",TRUE)),1,0))</x:f>
        <x:v>0</x:v>
      </x:c>
      <x:c r="N15" s="161" t="n">
        <x:f>IF(COUNT(F15,G15,L15,'1_Statistici'!$B$36)&lt;&gt;4,0,IF(AND(ISNUMBER(F15),F15&gt;=0,ISNUMBER(G15),G15&gt;0,MOD(G15,1)=0,OR(U15="VERIFIED",U15="DERIVED",U15="SMALL SAMPLE",U15="PRIOR / SHRINKAGE"),K15&lt;&gt;"",ISNUMBER(L15),ISNUMBER('1_Statistici'!$B$36),L15&lt;='1_Statistici'!$B$36,IF(U15="DERIVED",T15&lt;&gt;"",TRUE)),1,0))</x:f>
        <x:v>0</x:v>
      </x:c>
      <x:c r="O15" s="166" t="n">
        <x:f>IF(M15=1,IF(N15=1,E15/(E15+Config_BTTS!$B$26),1),0)</x:f>
        <x:v>0</x:v>
      </x:c>
      <x:c r="P15" s="167" t="str">
        <x:f>IF(M15+N15=0,"",IF(M15=1,IF(N15=1,O15*D15+(1-O15)*F15,D15),F15))</x:f>
      </x:c>
      <x:c r="Q15" s="161" t="str">
        <x:f>IF(M15+N15=0,"",IF(M15=1,IF(N15=1,O15*E15+(1-O15)*G15,E15),G15))</x:f>
      </x:c>
      <x:c r="R15" s="161" t="str">
        <x:f>IF(M15+N15=0,IF(OR(H15="SOURCE CONFLICT",H15="NOT AVAILABLE"),H15,"INCOMPLETE"),IF(M15=0,"PRIOR / SHRINKAGE",IF(N15=1,"PRIOR / SHRINKAGE",IF(E15&lt;Config_BTTS!$B$25,"SMALL SAMPLE",IF(H15="DERIVED","DERIVED","VERIFIED")))))</x:f>
        <x:v>INCOMPLETE</x:v>
      </x:c>
      <x:c r="S15" s="166" t="n">
        <x:f>IF(M15+N15=0,0,IF(M15=1,IF(N15=1,O15*MIN(1,E15/Config_BTTS!$B$25)+(1-O15)*MIN(1,G15/Config_BTTS!$B$27),MIN(1,E15/Config_BTTS!$B$25)),MIN(1,G15/Config_BTTS!$B$27)))</x:f>
        <x:v>0</x:v>
      </x:c>
      <x:c r="T15" s="181"/>
      <x:c r="U15" s="181" t="str">
        <x:v>AVAILABLE – NOT CHECKED</x:v>
      </x:c>
    </x:row>
    <x:row r="16" ht="38" customHeight="1">
      <x:c r="A16" s="161" t="str">
        <x:v>Șuturi pe poartă</x:v>
      </x:c>
      <x:c r="B16" s="161" t="str">
        <x:v>GAZDE</x:v>
      </x:c>
      <x:c r="C16" s="161" t="str">
        <x:v>SUPORT</x:v>
      </x:c>
      <x:c r="D16" s="167" t="str">
        <x:f>IF(ISNUMBER('1_Statistici'!B21),'1_Statistici'!B21,"")</x:f>
      </x:c>
      <x:c r="E16" s="161" t="str">
        <x:f>IF(ISNUMBER('1_Statistici'!B4),'1_Statistici'!B4,"")</x:f>
      </x:c>
      <x:c r="F16" s="169"/>
      <x:c r="G16" s="181"/>
      <x:c r="H16" s="181" t="str">
        <x:v>AVAILABLE – NOT CHECKED</x:v>
      </x:c>
      <x:c r="I16" s="181"/>
      <x:c r="J16" s="182"/>
      <x:c r="K16" s="181"/>
      <x:c r="L16" s="182"/>
      <x:c r="M16" s="161" t="n">
        <x:f>IF(COUNT(D16,E16,J16,'1_Statistici'!$B$36)&lt;&gt;4,0,IF(AND(ISNUMBER(D16),D16&gt;=0,ISNUMBER(E16),E16&gt;0,MOD(E16,1)=0,OR(H16="VERIFIED",H16="DERIVED",H16="SMALL SAMPLE",H16="PRIOR / SHRINKAGE"),I16&lt;&gt;"",ISNUMBER(J16),ISNUMBER('1_Statistici'!$B$36),J16&lt;='1_Statistici'!$B$36,IF(H16="DERIVED",T16&lt;&gt;"",TRUE)),1,0))</x:f>
        <x:v>0</x:v>
      </x:c>
      <x:c r="N16" s="161" t="n">
        <x:f>IF(COUNT(F16,G16,L16,'1_Statistici'!$B$36)&lt;&gt;4,0,IF(AND(ISNUMBER(F16),F16&gt;=0,ISNUMBER(G16),G16&gt;0,MOD(G16,1)=0,OR(U16="VERIFIED",U16="DERIVED",U16="SMALL SAMPLE",U16="PRIOR / SHRINKAGE"),K16&lt;&gt;"",ISNUMBER(L16),ISNUMBER('1_Statistici'!$B$36),L16&lt;='1_Statistici'!$B$36,IF(U16="DERIVED",T16&lt;&gt;"",TRUE)),1,0))</x:f>
        <x:v>0</x:v>
      </x:c>
      <x:c r="O16" s="166" t="n">
        <x:f>IF(M16=1,IF(N16=1,E16/(E16+Config_BTTS!$B$26),1),0)</x:f>
        <x:v>0</x:v>
      </x:c>
      <x:c r="P16" s="167" t="str">
        <x:f>IF(M16+N16=0,"",IF(M16=1,IF(N16=1,O16*D16+(1-O16)*F16,D16),F16))</x:f>
      </x:c>
      <x:c r="Q16" s="161" t="str">
        <x:f>IF(M16+N16=0,"",IF(M16=1,IF(N16=1,O16*E16+(1-O16)*G16,E16),G16))</x:f>
      </x:c>
      <x:c r="R16" s="161" t="str">
        <x:f>IF(M16+N16=0,IF(OR(H16="SOURCE CONFLICT",H16="NOT AVAILABLE"),H16,"INCOMPLETE"),IF(M16=0,"PRIOR / SHRINKAGE",IF(N16=1,"PRIOR / SHRINKAGE",IF(E16&lt;Config_BTTS!$B$25,"SMALL SAMPLE",IF(H16="DERIVED","DERIVED","VERIFIED")))))</x:f>
        <x:v>INCOMPLETE</x:v>
      </x:c>
      <x:c r="S16" s="166" t="n">
        <x:f>IF(M16+N16=0,0,IF(M16=1,IF(N16=1,O16*MIN(1,E16/Config_BTTS!$B$25)+(1-O16)*MIN(1,G16/Config_BTTS!$B$27),MIN(1,E16/Config_BTTS!$B$25)),MIN(1,G16/Config_BTTS!$B$27)))</x:f>
        <x:v>0</x:v>
      </x:c>
      <x:c r="T16" s="181"/>
      <x:c r="U16" s="181" t="str">
        <x:v>AVAILABLE – NOT CHECKED</x:v>
      </x:c>
    </x:row>
    <x:row r="17" ht="38" customHeight="1">
      <x:c r="A17" s="161" t="str">
        <x:v>Big chances</x:v>
      </x:c>
      <x:c r="B17" s="161" t="str">
        <x:v>GAZDE</x:v>
      </x:c>
      <x:c r="C17" s="161" t="str">
        <x:v>SUPORT</x:v>
      </x:c>
      <x:c r="D17" s="167" t="str">
        <x:f>IF(ISNUMBER('1_Statistici'!B22),'1_Statistici'!B22,"")</x:f>
      </x:c>
      <x:c r="E17" s="161" t="str">
        <x:f>IF(ISNUMBER('1_Statistici'!B4),'1_Statistici'!B4,"")</x:f>
      </x:c>
      <x:c r="F17" s="169"/>
      <x:c r="G17" s="181"/>
      <x:c r="H17" s="181" t="str">
        <x:v>AVAILABLE – NOT CHECKED</x:v>
      </x:c>
      <x:c r="I17" s="181"/>
      <x:c r="J17" s="182"/>
      <x:c r="K17" s="181"/>
      <x:c r="L17" s="182"/>
      <x:c r="M17" s="161" t="n">
        <x:f>IF(COUNT(D17,E17,J17,'1_Statistici'!$B$36)&lt;&gt;4,0,IF(AND(ISNUMBER(D17),D17&gt;=0,ISNUMBER(E17),E17&gt;0,MOD(E17,1)=0,OR(H17="VERIFIED",H17="DERIVED",H17="SMALL SAMPLE",H17="PRIOR / SHRINKAGE"),I17&lt;&gt;"",ISNUMBER(J17),ISNUMBER('1_Statistici'!$B$36),J17&lt;='1_Statistici'!$B$36,IF(H17="DERIVED",T17&lt;&gt;"",TRUE)),1,0))</x:f>
        <x:v>0</x:v>
      </x:c>
      <x:c r="N17" s="161" t="n">
        <x:f>IF(COUNT(F17,G17,L17,'1_Statistici'!$B$36)&lt;&gt;4,0,IF(AND(ISNUMBER(F17),F17&gt;=0,ISNUMBER(G17),G17&gt;0,MOD(G17,1)=0,OR(U17="VERIFIED",U17="DERIVED",U17="SMALL SAMPLE",U17="PRIOR / SHRINKAGE"),K17&lt;&gt;"",ISNUMBER(L17),ISNUMBER('1_Statistici'!$B$36),L17&lt;='1_Statistici'!$B$36,IF(U17="DERIVED",T17&lt;&gt;"",TRUE)),1,0))</x:f>
        <x:v>0</x:v>
      </x:c>
      <x:c r="O17" s="166" t="n">
        <x:f>IF(M17=1,IF(N17=1,E17/(E17+Config_BTTS!$B$26),1),0)</x:f>
        <x:v>0</x:v>
      </x:c>
      <x:c r="P17" s="167" t="str">
        <x:f>IF(M17+N17=0,"",IF(M17=1,IF(N17=1,O17*D17+(1-O17)*F17,D17),F17))</x:f>
      </x:c>
      <x:c r="Q17" s="161" t="str">
        <x:f>IF(M17+N17=0,"",IF(M17=1,IF(N17=1,O17*E17+(1-O17)*G17,E17),G17))</x:f>
      </x:c>
      <x:c r="R17" s="161" t="str">
        <x:f>IF(M17+N17=0,IF(OR(H17="SOURCE CONFLICT",H17="NOT AVAILABLE"),H17,"INCOMPLETE"),IF(M17=0,"PRIOR / SHRINKAGE",IF(N17=1,"PRIOR / SHRINKAGE",IF(E17&lt;Config_BTTS!$B$25,"SMALL SAMPLE",IF(H17="DERIVED","DERIVED","VERIFIED")))))</x:f>
        <x:v>INCOMPLETE</x:v>
      </x:c>
      <x:c r="S17" s="166" t="n">
        <x:f>IF(M17+N17=0,0,IF(M17=1,IF(N17=1,O17*MIN(1,E17/Config_BTTS!$B$25)+(1-O17)*MIN(1,G17/Config_BTTS!$B$27),MIN(1,E17/Config_BTTS!$B$25)),MIN(1,G17/Config_BTTS!$B$27)))</x:f>
        <x:v>0</x:v>
      </x:c>
      <x:c r="T17" s="181"/>
      <x:c r="U17" s="181" t="str">
        <x:v>AVAILABLE – NOT CHECKED</x:v>
      </x:c>
    </x:row>
    <x:row r="18" ht="38" customHeight="1">
      <x:c r="A18" s="161" t="str">
        <x:v>xG L5</x:v>
      </x:c>
      <x:c r="B18" s="161" t="str">
        <x:v>GAZDE</x:v>
      </x:c>
      <x:c r="C18" s="161" t="str">
        <x:v>SUPORT</x:v>
      </x:c>
      <x:c r="D18" s="167" t="str">
        <x:f>IF(ISNUMBER('1_Statistici'!B24),'1_Statistici'!B24,"")</x:f>
      </x:c>
      <x:c r="E18" s="161" t="str">
        <x:f>IF(ISNUMBER('1_Statistici'!B4),MIN(5,'1_Statistici'!B4),"")</x:f>
      </x:c>
      <x:c r="F18" s="169"/>
      <x:c r="G18" s="181"/>
      <x:c r="H18" s="181" t="str">
        <x:v>AVAILABLE – NOT CHECKED</x:v>
      </x:c>
      <x:c r="I18" s="181"/>
      <x:c r="J18" s="182"/>
      <x:c r="K18" s="181"/>
      <x:c r="L18" s="182"/>
      <x:c r="M18" s="161" t="n">
        <x:f>IF(COUNT(D18,E18,J18,'1_Statistici'!$B$36)&lt;&gt;4,0,IF(AND(ISNUMBER(D18),D18&gt;=0,ISNUMBER(E18),E18&gt;0,MOD(E18,1)=0,OR(H18="VERIFIED",H18="DERIVED",H18="SMALL SAMPLE",H18="PRIOR / SHRINKAGE"),I18&lt;&gt;"",ISNUMBER(J18),ISNUMBER('1_Statistici'!$B$36),J18&lt;='1_Statistici'!$B$36,IF(H18="DERIVED",T18&lt;&gt;"",TRUE)),1,0))</x:f>
        <x:v>0</x:v>
      </x:c>
      <x:c r="N18" s="161" t="n">
        <x:f>IF(COUNT(F18,G18,L18,'1_Statistici'!$B$36)&lt;&gt;4,0,IF(AND(ISNUMBER(F18),F18&gt;=0,ISNUMBER(G18),G18&gt;0,MOD(G18,1)=0,OR(U18="VERIFIED",U18="DERIVED",U18="SMALL SAMPLE",U18="PRIOR / SHRINKAGE"),K18&lt;&gt;"",ISNUMBER(L18),ISNUMBER('1_Statistici'!$B$36),L18&lt;='1_Statistici'!$B$36,IF(U18="DERIVED",T18&lt;&gt;"",TRUE)),1,0))</x:f>
        <x:v>0</x:v>
      </x:c>
      <x:c r="O18" s="166" t="n">
        <x:f>IF(M18=1,IF(N18=1,E18/(E18+Config_BTTS!$B$26),1),0)</x:f>
        <x:v>0</x:v>
      </x:c>
      <x:c r="P18" s="167" t="str">
        <x:f>IF(M18+N18=0,"",IF(M18=1,IF(N18=1,O18*D18+(1-O18)*F18,D18),F18))</x:f>
      </x:c>
      <x:c r="Q18" s="161" t="str">
        <x:f>IF(M18+N18=0,"",IF(M18=1,IF(N18=1,O18*E18+(1-O18)*G18,E18),G18))</x:f>
      </x:c>
      <x:c r="R18" s="161" t="str">
        <x:f>IF(M18+N18=0,IF(OR(H18="SOURCE CONFLICT",H18="NOT AVAILABLE"),H18,"INCOMPLETE"),IF(M18=0,"PRIOR / SHRINKAGE",IF(N18=1,"PRIOR / SHRINKAGE",IF(E18&lt;Config_BTTS!$B$25,"SMALL SAMPLE",IF(H18="DERIVED","DERIVED","VERIFIED")))))</x:f>
        <x:v>INCOMPLETE</x:v>
      </x:c>
      <x:c r="S18" s="166" t="n">
        <x:f>IF(M18+N18=0,0,IF(M18=1,IF(N18=1,O18*MIN(1,E18/Config_BTTS!$B$25)+(1-O18)*MIN(1,G18/Config_BTTS!$B$27),MIN(1,E18/Config_BTTS!$B$25)),MIN(1,G18/Config_BTTS!$B$27)))</x:f>
        <x:v>0</x:v>
      </x:c>
      <x:c r="T18" s="181"/>
      <x:c r="U18" s="181" t="str">
        <x:v>AVAILABLE – NOT CHECKED</x:v>
      </x:c>
    </x:row>
    <x:row r="19" ht="38" customHeight="1">
      <x:c r="A19" s="161" t="str">
        <x:v>xGA L5</x:v>
      </x:c>
      <x:c r="B19" s="161" t="str">
        <x:v>GAZDE</x:v>
      </x:c>
      <x:c r="C19" s="161" t="str">
        <x:v>SUPORT</x:v>
      </x:c>
      <x:c r="D19" s="167" t="str">
        <x:f>IF(ISNUMBER('1_Statistici'!B25),'1_Statistici'!B25,"")</x:f>
      </x:c>
      <x:c r="E19" s="161" t="str">
        <x:f>IF(ISNUMBER('1_Statistici'!B4),MIN(5,'1_Statistici'!B4),"")</x:f>
      </x:c>
      <x:c r="F19" s="169"/>
      <x:c r="G19" s="181"/>
      <x:c r="H19" s="181" t="str">
        <x:v>AVAILABLE – NOT CHECKED</x:v>
      </x:c>
      <x:c r="I19" s="181"/>
      <x:c r="J19" s="182"/>
      <x:c r="K19" s="181"/>
      <x:c r="L19" s="182"/>
      <x:c r="M19" s="161" t="n">
        <x:f>IF(COUNT(D19,E19,J19,'1_Statistici'!$B$36)&lt;&gt;4,0,IF(AND(ISNUMBER(D19),D19&gt;=0,ISNUMBER(E19),E19&gt;0,MOD(E19,1)=0,OR(H19="VERIFIED",H19="DERIVED",H19="SMALL SAMPLE",H19="PRIOR / SHRINKAGE"),I19&lt;&gt;"",ISNUMBER(J19),ISNUMBER('1_Statistici'!$B$36),J19&lt;='1_Statistici'!$B$36,IF(H19="DERIVED",T19&lt;&gt;"",TRUE)),1,0))</x:f>
        <x:v>0</x:v>
      </x:c>
      <x:c r="N19" s="161" t="n">
        <x:f>IF(COUNT(F19,G19,L19,'1_Statistici'!$B$36)&lt;&gt;4,0,IF(AND(ISNUMBER(F19),F19&gt;=0,ISNUMBER(G19),G19&gt;0,MOD(G19,1)=0,OR(U19="VERIFIED",U19="DERIVED",U19="SMALL SAMPLE",U19="PRIOR / SHRINKAGE"),K19&lt;&gt;"",ISNUMBER(L19),ISNUMBER('1_Statistici'!$B$36),L19&lt;='1_Statistici'!$B$36,IF(U19="DERIVED",T19&lt;&gt;"",TRUE)),1,0))</x:f>
        <x:v>0</x:v>
      </x:c>
      <x:c r="O19" s="166" t="n">
        <x:f>IF(M19=1,IF(N19=1,E19/(E19+Config_BTTS!$B$26),1),0)</x:f>
        <x:v>0</x:v>
      </x:c>
      <x:c r="P19" s="167" t="str">
        <x:f>IF(M19+N19=0,"",IF(M19=1,IF(N19=1,O19*D19+(1-O19)*F19,D19),F19))</x:f>
      </x:c>
      <x:c r="Q19" s="161" t="str">
        <x:f>IF(M19+N19=0,"",IF(M19=1,IF(N19=1,O19*E19+(1-O19)*G19,E19),G19))</x:f>
      </x:c>
      <x:c r="R19" s="161" t="str">
        <x:f>IF(M19+N19=0,IF(OR(H19="SOURCE CONFLICT",H19="NOT AVAILABLE"),H19,"INCOMPLETE"),IF(M19=0,"PRIOR / SHRINKAGE",IF(N19=1,"PRIOR / SHRINKAGE",IF(E19&lt;Config_BTTS!$B$25,"SMALL SAMPLE",IF(H19="DERIVED","DERIVED","VERIFIED")))))</x:f>
        <x:v>INCOMPLETE</x:v>
      </x:c>
      <x:c r="S19" s="166" t="n">
        <x:f>IF(M19+N19=0,0,IF(M19=1,IF(N19=1,O19*MIN(1,E19/Config_BTTS!$B$25)+(1-O19)*MIN(1,G19/Config_BTTS!$B$27),MIN(1,E19/Config_BTTS!$B$25)),MIN(1,G19/Config_BTTS!$B$27)))</x:f>
        <x:v>0</x:v>
      </x:c>
      <x:c r="T19" s="181"/>
      <x:c r="U19" s="181" t="str">
        <x:v>AVAILABLE – NOT CHECKED</x:v>
      </x:c>
    </x:row>
    <x:row r="20" ht="38" customHeight="1">
      <x:c r="A20" s="161" t="str">
        <x:v>Blank recent H/A</x:v>
      </x:c>
      <x:c r="B20" s="161" t="str">
        <x:v>GAZDE</x:v>
      </x:c>
      <x:c r="C20" s="161" t="str">
        <x:v>SUPORT</x:v>
      </x:c>
      <x:c r="D20" s="166" t="str">
        <x:f>IF(ISNUMBER('1_Statistici'!B32),'1_Statistici'!B32,"")</x:f>
      </x:c>
      <x:c r="E20" s="161" t="str">
        <x:f>IF(ISNUMBER('1_Statistici'!B34),'1_Statistici'!B34,"")</x:f>
      </x:c>
      <x:c r="F20" s="168"/>
      <x:c r="G20" s="181"/>
      <x:c r="H20" s="181" t="str">
        <x:v>AVAILABLE – NOT CHECKED</x:v>
      </x:c>
      <x:c r="I20" s="181"/>
      <x:c r="J20" s="182"/>
      <x:c r="K20" s="181"/>
      <x:c r="L20" s="182"/>
      <x:c r="M20" s="161" t="n">
        <x:f>IF(COUNT(D20,E20,J20,'1_Statistici'!$B$36)&lt;&gt;4,0,IF(AND(ISNUMBER(D20),D20&gt;=0,D20&lt;=1,ISNUMBER(E20),E20&gt;0,MOD(E20,1)=0,OR(H20="VERIFIED",H20="DERIVED",H20="SMALL SAMPLE",H20="PRIOR / SHRINKAGE"),I20&lt;&gt;"",ISNUMBER(J20),ISNUMBER('1_Statistici'!$B$36),J20&lt;='1_Statistici'!$B$36,IF(H20="DERIVED",T20&lt;&gt;"",TRUE)),1,0))</x:f>
        <x:v>0</x:v>
      </x:c>
      <x:c r="N20" s="161" t="n">
        <x:f>IF(COUNT(F20,G20,L20,'1_Statistici'!$B$36)&lt;&gt;4,0,IF(AND(ISNUMBER(F20),F20&gt;=0,F20&lt;=1,ISNUMBER(G20),G20&gt;0,MOD(G20,1)=0,OR(U20="VERIFIED",U20="DERIVED",U20="SMALL SAMPLE",U20="PRIOR / SHRINKAGE"),K20&lt;&gt;"",ISNUMBER(L20),ISNUMBER('1_Statistici'!$B$36),L20&lt;='1_Statistici'!$B$36,IF(U20="DERIVED",T20&lt;&gt;"",TRUE)),1,0))</x:f>
        <x:v>0</x:v>
      </x:c>
      <x:c r="O20" s="166" t="n">
        <x:f>IF(M20=1,IF(N20=1,E20/(E20+Config_BTTS!$B$26),1),0)</x:f>
        <x:v>0</x:v>
      </x:c>
      <x:c r="P20" s="166" t="str">
        <x:f>IF(M20+N20=0,"",IF(M20=1,IF(N20=1,O20*D20+(1-O20)*F20,D20),F20))</x:f>
      </x:c>
      <x:c r="Q20" s="161" t="str">
        <x:f>IF(M20+N20=0,"",IF(M20=1,IF(N20=1,O20*E20+(1-O20)*G20,E20),G20))</x:f>
      </x:c>
      <x:c r="R20" s="161" t="str">
        <x:f>IF(M20+N20=0,IF(OR(H20="SOURCE CONFLICT",H20="NOT AVAILABLE"),H20,"INCOMPLETE"),IF(M20=0,"PRIOR / SHRINKAGE",IF(N20=1,"PRIOR / SHRINKAGE",IF(E20&lt;Config_BTTS!$B$25,"SMALL SAMPLE",IF(H20="DERIVED","DERIVED","VERIFIED")))))</x:f>
        <x:v>INCOMPLETE</x:v>
      </x:c>
      <x:c r="S20" s="166" t="n">
        <x:f>IF(M20+N20=0,0,IF(M20=1,IF(N20=1,O20*MIN(1,E20/Config_BTTS!$B$25)+(1-O20)*MIN(1,G20/Config_BTTS!$B$27),MIN(1,E20/Config_BTTS!$B$25)),MIN(1,G20/Config_BTTS!$B$27)))</x:f>
        <x:v>0</x:v>
      </x:c>
      <x:c r="T20" s="181"/>
      <x:c r="U20" s="181" t="str">
        <x:v>AVAILABLE – NOT CHECKED</x:v>
      </x:c>
    </x:row>
    <x:row r="21" ht="38" customHeight="1">
      <x:c r="A21" s="161" t="str">
        <x:v>Clean-sheet recent H/A</x:v>
      </x:c>
      <x:c r="B21" s="161" t="str">
        <x:v>GAZDE</x:v>
      </x:c>
      <x:c r="C21" s="161" t="str">
        <x:v>SUPORT</x:v>
      </x:c>
      <x:c r="D21" s="166" t="str">
        <x:f>IF(ISNUMBER('1_Statistici'!B33),'1_Statistici'!B33,"")</x:f>
      </x:c>
      <x:c r="E21" s="161" t="str">
        <x:f>IF(ISNUMBER('1_Statistici'!B34),'1_Statistici'!B34,"")</x:f>
      </x:c>
      <x:c r="F21" s="168"/>
      <x:c r="G21" s="181"/>
      <x:c r="H21" s="181" t="str">
        <x:v>AVAILABLE – NOT CHECKED</x:v>
      </x:c>
      <x:c r="I21" s="181"/>
      <x:c r="J21" s="182"/>
      <x:c r="K21" s="181"/>
      <x:c r="L21" s="182"/>
      <x:c r="M21" s="161" t="n">
        <x:f>IF(COUNT(D21,E21,J21,'1_Statistici'!$B$36)&lt;&gt;4,0,IF(AND(ISNUMBER(D21),D21&gt;=0,D21&lt;=1,ISNUMBER(E21),E21&gt;0,MOD(E21,1)=0,OR(H21="VERIFIED",H21="DERIVED",H21="SMALL SAMPLE",H21="PRIOR / SHRINKAGE"),I21&lt;&gt;"",ISNUMBER(J21),ISNUMBER('1_Statistici'!$B$36),J21&lt;='1_Statistici'!$B$36,IF(H21="DERIVED",T21&lt;&gt;"",TRUE)),1,0))</x:f>
        <x:v>0</x:v>
      </x:c>
      <x:c r="N21" s="161" t="n">
        <x:f>IF(COUNT(F21,G21,L21,'1_Statistici'!$B$36)&lt;&gt;4,0,IF(AND(ISNUMBER(F21),F21&gt;=0,F21&lt;=1,ISNUMBER(G21),G21&gt;0,MOD(G21,1)=0,OR(U21="VERIFIED",U21="DERIVED",U21="SMALL SAMPLE",U21="PRIOR / SHRINKAGE"),K21&lt;&gt;"",ISNUMBER(L21),ISNUMBER('1_Statistici'!$B$36),L21&lt;='1_Statistici'!$B$36,IF(U21="DERIVED",T21&lt;&gt;"",TRUE)),1,0))</x:f>
        <x:v>0</x:v>
      </x:c>
      <x:c r="O21" s="166" t="n">
        <x:f>IF(M21=1,IF(N21=1,E21/(E21+Config_BTTS!$B$26),1),0)</x:f>
        <x:v>0</x:v>
      </x:c>
      <x:c r="P21" s="166" t="str">
        <x:f>IF(M21+N21=0,"",IF(M21=1,IF(N21=1,O21*D21+(1-O21)*F21,D21),F21))</x:f>
      </x:c>
      <x:c r="Q21" s="161" t="str">
        <x:f>IF(M21+N21=0,"",IF(M21=1,IF(N21=1,O21*E21+(1-O21)*G21,E21),G21))</x:f>
      </x:c>
      <x:c r="R21" s="161" t="str">
        <x:f>IF(M21+N21=0,IF(OR(H21="SOURCE CONFLICT",H21="NOT AVAILABLE"),H21,"INCOMPLETE"),IF(M21=0,"PRIOR / SHRINKAGE",IF(N21=1,"PRIOR / SHRINKAGE",IF(E21&lt;Config_BTTS!$B$25,"SMALL SAMPLE",IF(H21="DERIVED","DERIVED","VERIFIED")))))</x:f>
        <x:v>INCOMPLETE</x:v>
      </x:c>
      <x:c r="S21" s="166" t="n">
        <x:f>IF(M21+N21=0,0,IF(M21=1,IF(N21=1,O21*MIN(1,E21/Config_BTTS!$B$25)+(1-O21)*MIN(1,G21/Config_BTTS!$B$27),MIN(1,E21/Config_BTTS!$B$25)),MIN(1,G21/Config_BTTS!$B$27)))</x:f>
        <x:v>0</x:v>
      </x:c>
      <x:c r="T21" s="181"/>
      <x:c r="U21" s="181" t="str">
        <x:v>AVAILABLE – NOT CHECKED</x:v>
      </x:c>
    </x:row>
    <x:row r="22" ht="38" customHeight="1">
      <x:c r="A22" s="161" t="str">
        <x:v>Goluri marcate H/A</x:v>
      </x:c>
      <x:c r="B22" s="161" t="str">
        <x:v>OASPEȚI</x:v>
      </x:c>
      <x:c r="C22" s="161" t="str">
        <x:v>SUPORT</x:v>
      </x:c>
      <x:c r="D22" s="167" t="str">
        <x:f>IF(ISNUMBER('1_Statistici'!C8),'1_Statistici'!C8,"")</x:f>
      </x:c>
      <x:c r="E22" s="161" t="str">
        <x:f>IF(ISNUMBER('1_Statistici'!C4),'1_Statistici'!C4,"")</x:f>
      </x:c>
      <x:c r="F22" s="169"/>
      <x:c r="G22" s="181"/>
      <x:c r="H22" s="181" t="str">
        <x:v>AVAILABLE – NOT CHECKED</x:v>
      </x:c>
      <x:c r="I22" s="181"/>
      <x:c r="J22" s="182"/>
      <x:c r="K22" s="181"/>
      <x:c r="L22" s="182"/>
      <x:c r="M22" s="161" t="n">
        <x:f>IF(COUNT(D22,E22,J22,'1_Statistici'!$B$36)&lt;&gt;4,0,IF(AND(ISNUMBER(D22),D22&gt;=0,ISNUMBER(E22),E22&gt;0,MOD(E22,1)=0,OR(H22="VERIFIED",H22="DERIVED",H22="SMALL SAMPLE",H22="PRIOR / SHRINKAGE"),I22&lt;&gt;"",ISNUMBER(J22),ISNUMBER('1_Statistici'!$B$36),J22&lt;='1_Statistici'!$B$36,IF(H22="DERIVED",T22&lt;&gt;"",TRUE)),1,0))</x:f>
        <x:v>0</x:v>
      </x:c>
      <x:c r="N22" s="161" t="n">
        <x:f>IF(COUNT(F22,G22,L22,'1_Statistici'!$B$36)&lt;&gt;4,0,IF(AND(ISNUMBER(F22),F22&gt;=0,ISNUMBER(G22),G22&gt;0,MOD(G22,1)=0,OR(U22="VERIFIED",U22="DERIVED",U22="SMALL SAMPLE",U22="PRIOR / SHRINKAGE"),K22&lt;&gt;"",ISNUMBER(L22),ISNUMBER('1_Statistici'!$B$36),L22&lt;='1_Statistici'!$B$36,IF(U22="DERIVED",T22&lt;&gt;"",TRUE)),1,0))</x:f>
        <x:v>0</x:v>
      </x:c>
      <x:c r="O22" s="166" t="n">
        <x:f>IF(M22=1,IF(N22=1,E22/(E22+Config_BTTS!$B$26),1),0)</x:f>
        <x:v>0</x:v>
      </x:c>
      <x:c r="P22" s="167" t="str">
        <x:f>IF(M22+N22=0,"",IF(M22=1,IF(N22=1,O22*D22+(1-O22)*F22,D22),F22))</x:f>
      </x:c>
      <x:c r="Q22" s="161" t="str">
        <x:f>IF(M22+N22=0,"",IF(M22=1,IF(N22=1,O22*E22+(1-O22)*G22,E22),G22))</x:f>
      </x:c>
      <x:c r="R22" s="161" t="str">
        <x:f>IF(M22+N22=0,IF(OR(H22="SOURCE CONFLICT",H22="NOT AVAILABLE"),H22,"INCOMPLETE"),IF(M22=0,"PRIOR / SHRINKAGE",IF(N22=1,"PRIOR / SHRINKAGE",IF(E22&lt;Config_BTTS!$B$25,"SMALL SAMPLE",IF(H22="DERIVED","DERIVED","VERIFIED")))))</x:f>
        <x:v>INCOMPLETE</x:v>
      </x:c>
      <x:c r="S22" s="166" t="n">
        <x:f>IF(M22+N22=0,0,IF(M22=1,IF(N22=1,O22*MIN(1,E22/Config_BTTS!$B$25)+(1-O22)*MIN(1,G22/Config_BTTS!$B$27),MIN(1,E22/Config_BTTS!$B$25)),MIN(1,G22/Config_BTTS!$B$27)))</x:f>
        <x:v>0</x:v>
      </x:c>
      <x:c r="T22" s="181"/>
      <x:c r="U22" s="181" t="str">
        <x:v>AVAILABLE – NOT CHECKED</x:v>
      </x:c>
    </x:row>
    <x:row r="23" ht="38" customHeight="1">
      <x:c r="A23" s="161" t="str">
        <x:v>Goluri primite H/A</x:v>
      </x:c>
      <x:c r="B23" s="161" t="str">
        <x:v>OASPEȚI</x:v>
      </x:c>
      <x:c r="C23" s="161" t="str">
        <x:v>SUPORT</x:v>
      </x:c>
      <x:c r="D23" s="167" t="str">
        <x:f>IF(ISNUMBER('1_Statistici'!C9),'1_Statistici'!C9,"")</x:f>
      </x:c>
      <x:c r="E23" s="161" t="str">
        <x:f>IF(ISNUMBER('1_Statistici'!C4),'1_Statistici'!C4,"")</x:f>
      </x:c>
      <x:c r="F23" s="169"/>
      <x:c r="G23" s="181"/>
      <x:c r="H23" s="181" t="str">
        <x:v>AVAILABLE – NOT CHECKED</x:v>
      </x:c>
      <x:c r="I23" s="181"/>
      <x:c r="J23" s="182"/>
      <x:c r="K23" s="181"/>
      <x:c r="L23" s="182"/>
      <x:c r="M23" s="161" t="n">
        <x:f>IF(COUNT(D23,E23,J23,'1_Statistici'!$B$36)&lt;&gt;4,0,IF(AND(ISNUMBER(D23),D23&gt;=0,ISNUMBER(E23),E23&gt;0,MOD(E23,1)=0,OR(H23="VERIFIED",H23="DERIVED",H23="SMALL SAMPLE",H23="PRIOR / SHRINKAGE"),I23&lt;&gt;"",ISNUMBER(J23),ISNUMBER('1_Statistici'!$B$36),J23&lt;='1_Statistici'!$B$36,IF(H23="DERIVED",T23&lt;&gt;"",TRUE)),1,0))</x:f>
        <x:v>0</x:v>
      </x:c>
      <x:c r="N23" s="161" t="n">
        <x:f>IF(COUNT(F23,G23,L23,'1_Statistici'!$B$36)&lt;&gt;4,0,IF(AND(ISNUMBER(F23),F23&gt;=0,ISNUMBER(G23),G23&gt;0,MOD(G23,1)=0,OR(U23="VERIFIED",U23="DERIVED",U23="SMALL SAMPLE",U23="PRIOR / SHRINKAGE"),K23&lt;&gt;"",ISNUMBER(L23),ISNUMBER('1_Statistici'!$B$36),L23&lt;='1_Statistici'!$B$36,IF(U23="DERIVED",T23&lt;&gt;"",TRUE)),1,0))</x:f>
        <x:v>0</x:v>
      </x:c>
      <x:c r="O23" s="166" t="n">
        <x:f>IF(M23=1,IF(N23=1,E23/(E23+Config_BTTS!$B$26),1),0)</x:f>
        <x:v>0</x:v>
      </x:c>
      <x:c r="P23" s="167" t="str">
        <x:f>IF(M23+N23=0,"",IF(M23=1,IF(N23=1,O23*D23+(1-O23)*F23,D23),F23))</x:f>
      </x:c>
      <x:c r="Q23" s="161" t="str">
        <x:f>IF(M23+N23=0,"",IF(M23=1,IF(N23=1,O23*E23+(1-O23)*G23,E23),G23))</x:f>
      </x:c>
      <x:c r="R23" s="161" t="str">
        <x:f>IF(M23+N23=0,IF(OR(H23="SOURCE CONFLICT",H23="NOT AVAILABLE"),H23,"INCOMPLETE"),IF(M23=0,"PRIOR / SHRINKAGE",IF(N23=1,"PRIOR / SHRINKAGE",IF(E23&lt;Config_BTTS!$B$25,"SMALL SAMPLE",IF(H23="DERIVED","DERIVED","VERIFIED")))))</x:f>
        <x:v>INCOMPLETE</x:v>
      </x:c>
      <x:c r="S23" s="166" t="n">
        <x:f>IF(M23+N23=0,0,IF(M23=1,IF(N23=1,O23*MIN(1,E23/Config_BTTS!$B$25)+(1-O23)*MIN(1,G23/Config_BTTS!$B$27),MIN(1,E23/Config_BTTS!$B$25)),MIN(1,G23/Config_BTTS!$B$27)))</x:f>
        <x:v>0</x:v>
      </x:c>
      <x:c r="T23" s="181"/>
      <x:c r="U23" s="181" t="str">
        <x:v>AVAILABLE – NOT CHECKED</x:v>
      </x:c>
    </x:row>
    <x:row r="24" ht="38" customHeight="1">
      <x:c r="A24" s="161" t="str">
        <x:v>xG H/A</x:v>
      </x:c>
      <x:c r="B24" s="161" t="str">
        <x:v>OASPEȚI</x:v>
      </x:c>
      <x:c r="C24" s="161" t="str">
        <x:v>G0</x:v>
      </x:c>
      <x:c r="D24" s="167" t="str">
        <x:f>IF(ISNUMBER('1_Statistici'!C10),'1_Statistici'!C10,"")</x:f>
      </x:c>
      <x:c r="E24" s="161" t="str">
        <x:f>IF(ISNUMBER('1_Statistici'!C4),'1_Statistici'!C4,"")</x:f>
      </x:c>
      <x:c r="F24" s="169"/>
      <x:c r="G24" s="181"/>
      <x:c r="H24" s="181" t="str">
        <x:v>AVAILABLE – NOT CHECKED</x:v>
      </x:c>
      <x:c r="I24" s="181"/>
      <x:c r="J24" s="182"/>
      <x:c r="K24" s="181"/>
      <x:c r="L24" s="182"/>
      <x:c r="M24" s="161" t="n">
        <x:f>IF(COUNT(D24,E24,J24,'1_Statistici'!$B$36)&lt;&gt;4,0,IF(AND(ISNUMBER(D24),D24&gt;=0,ISNUMBER(E24),E24&gt;0,MOD(E24,1)=0,OR(H24="VERIFIED",H24="DERIVED",H24="SMALL SAMPLE",H24="PRIOR / SHRINKAGE"),I24&lt;&gt;"",ISNUMBER(J24),ISNUMBER('1_Statistici'!$B$36),J24&lt;='1_Statistici'!$B$36,IF(H24="DERIVED",T24&lt;&gt;"",TRUE)),1,0))</x:f>
        <x:v>0</x:v>
      </x:c>
      <x:c r="N24" s="161" t="n">
        <x:f>IF(COUNT(F24,G24,L24,'1_Statistici'!$B$36)&lt;&gt;4,0,IF(AND(ISNUMBER(F24),F24&gt;=0,ISNUMBER(G24),G24&gt;0,MOD(G24,1)=0,OR(U24="VERIFIED",U24="DERIVED",U24="SMALL SAMPLE",U24="PRIOR / SHRINKAGE"),K24&lt;&gt;"",ISNUMBER(L24),ISNUMBER('1_Statistici'!$B$36),L24&lt;='1_Statistici'!$B$36,IF(U24="DERIVED",T24&lt;&gt;"",TRUE)),1,0))</x:f>
        <x:v>0</x:v>
      </x:c>
      <x:c r="O24" s="166" t="n">
        <x:f>IF(M24=1,IF(N24=1,E24/(E24+Config_BTTS!$B$26),1),0)</x:f>
        <x:v>0</x:v>
      </x:c>
      <x:c r="P24" s="167" t="str">
        <x:f>IF(M24+N24=0,"",IF(M24=1,IF(N24=1,O24*D24+(1-O24)*F24,D24),F24))</x:f>
      </x:c>
      <x:c r="Q24" s="161" t="str">
        <x:f>IF(M24+N24=0,"",IF(M24=1,IF(N24=1,O24*E24+(1-O24)*G24,E24),G24))</x:f>
      </x:c>
      <x:c r="R24" s="161" t="str">
        <x:f>IF(M24+N24=0,IF(OR(H24="SOURCE CONFLICT",H24="NOT AVAILABLE"),H24,"INCOMPLETE"),IF(M24=0,"PRIOR / SHRINKAGE",IF(N24=1,"PRIOR / SHRINKAGE",IF(E24&lt;Config_BTTS!$B$25,"SMALL SAMPLE",IF(H24="DERIVED","DERIVED","VERIFIED")))))</x:f>
        <x:v>INCOMPLETE</x:v>
      </x:c>
      <x:c r="S24" s="166" t="n">
        <x:f>IF(M24+N24=0,0,IF(M24=1,IF(N24=1,O24*MIN(1,E24/Config_BTTS!$B$25)+(1-O24)*MIN(1,G24/Config_BTTS!$B$27),MIN(1,E24/Config_BTTS!$B$25)),MIN(1,G24/Config_BTTS!$B$27)))</x:f>
        <x:v>0</x:v>
      </x:c>
      <x:c r="T24" s="181"/>
      <x:c r="U24" s="181" t="str">
        <x:v>AVAILABLE – NOT CHECKED</x:v>
      </x:c>
    </x:row>
    <x:row r="25" ht="38" customHeight="1">
      <x:c r="A25" s="161" t="str">
        <x:v>xGA H/A</x:v>
      </x:c>
      <x:c r="B25" s="161" t="str">
        <x:v>OASPEȚI</x:v>
      </x:c>
      <x:c r="C25" s="161" t="str">
        <x:v>G0</x:v>
      </x:c>
      <x:c r="D25" s="167" t="str">
        <x:f>IF(ISNUMBER('1_Statistici'!C11),'1_Statistici'!C11,"")</x:f>
      </x:c>
      <x:c r="E25" s="161" t="str">
        <x:f>IF(ISNUMBER('1_Statistici'!C4),'1_Statistici'!C4,"")</x:f>
      </x:c>
      <x:c r="F25" s="169"/>
      <x:c r="G25" s="181"/>
      <x:c r="H25" s="181" t="str">
        <x:v>AVAILABLE – NOT CHECKED</x:v>
      </x:c>
      <x:c r="I25" s="181"/>
      <x:c r="J25" s="182"/>
      <x:c r="K25" s="181"/>
      <x:c r="L25" s="182"/>
      <x:c r="M25" s="161" t="n">
        <x:f>IF(COUNT(D25,E25,J25,'1_Statistici'!$B$36)&lt;&gt;4,0,IF(AND(ISNUMBER(D25),D25&gt;=0,ISNUMBER(E25),E25&gt;0,MOD(E25,1)=0,OR(H25="VERIFIED",H25="DERIVED",H25="SMALL SAMPLE",H25="PRIOR / SHRINKAGE"),I25&lt;&gt;"",ISNUMBER(J25),ISNUMBER('1_Statistici'!$B$36),J25&lt;='1_Statistici'!$B$36,IF(H25="DERIVED",T25&lt;&gt;"",TRUE)),1,0))</x:f>
        <x:v>0</x:v>
      </x:c>
      <x:c r="N25" s="161" t="n">
        <x:f>IF(COUNT(F25,G25,L25,'1_Statistici'!$B$36)&lt;&gt;4,0,IF(AND(ISNUMBER(F25),F25&gt;=0,ISNUMBER(G25),G25&gt;0,MOD(G25,1)=0,OR(U25="VERIFIED",U25="DERIVED",U25="SMALL SAMPLE",U25="PRIOR / SHRINKAGE"),K25&lt;&gt;"",ISNUMBER(L25),ISNUMBER('1_Statistici'!$B$36),L25&lt;='1_Statistici'!$B$36,IF(U25="DERIVED",T25&lt;&gt;"",TRUE)),1,0))</x:f>
        <x:v>0</x:v>
      </x:c>
      <x:c r="O25" s="166" t="n">
        <x:f>IF(M25=1,IF(N25=1,E25/(E25+Config_BTTS!$B$26),1),0)</x:f>
        <x:v>0</x:v>
      </x:c>
      <x:c r="P25" s="167" t="str">
        <x:f>IF(M25+N25=0,"",IF(M25=1,IF(N25=1,O25*D25+(1-O25)*F25,D25),F25))</x:f>
      </x:c>
      <x:c r="Q25" s="161" t="str">
        <x:f>IF(M25+N25=0,"",IF(M25=1,IF(N25=1,O25*E25+(1-O25)*G25,E25),G25))</x:f>
      </x:c>
      <x:c r="R25" s="161" t="str">
        <x:f>IF(M25+N25=0,IF(OR(H25="SOURCE CONFLICT",H25="NOT AVAILABLE"),H25,"INCOMPLETE"),IF(M25=0,"PRIOR / SHRINKAGE",IF(N25=1,"PRIOR / SHRINKAGE",IF(E25&lt;Config_BTTS!$B$25,"SMALL SAMPLE",IF(H25="DERIVED","DERIVED","VERIFIED")))))</x:f>
        <x:v>INCOMPLETE</x:v>
      </x:c>
      <x:c r="S25" s="166" t="n">
        <x:f>IF(M25+N25=0,0,IF(M25=1,IF(N25=1,O25*MIN(1,E25/Config_BTTS!$B$25)+(1-O25)*MIN(1,G25/Config_BTTS!$B$27),MIN(1,E25/Config_BTTS!$B$25)),MIN(1,G25/Config_BTTS!$B$27)))</x:f>
        <x:v>0</x:v>
      </x:c>
      <x:c r="T25" s="181"/>
      <x:c r="U25" s="181" t="str">
        <x:v>AVAILABLE – NOT CHECKED</x:v>
      </x:c>
    </x:row>
    <x:row r="26" ht="38" customHeight="1">
      <x:c r="A26" s="161" t="str">
        <x:v>Scored H/A</x:v>
      </x:c>
      <x:c r="B26" s="161" t="str">
        <x:v>OASPEȚI</x:v>
      </x:c>
      <x:c r="C26" s="161" t="str">
        <x:v>G0</x:v>
      </x:c>
      <x:c r="D26" s="166" t="str">
        <x:f>IF(ISNUMBER('1_Statistici'!C12),'1_Statistici'!C12,"")</x:f>
      </x:c>
      <x:c r="E26" s="161" t="str">
        <x:f>IF(ISNUMBER('1_Statistici'!C4),'1_Statistici'!C4,"")</x:f>
      </x:c>
      <x:c r="F26" s="168"/>
      <x:c r="G26" s="181"/>
      <x:c r="H26" s="181" t="str">
        <x:v>AVAILABLE – NOT CHECKED</x:v>
      </x:c>
      <x:c r="I26" s="181"/>
      <x:c r="J26" s="182"/>
      <x:c r="K26" s="181"/>
      <x:c r="L26" s="182"/>
      <x:c r="M26" s="161" t="n">
        <x:f>IF(COUNT(D26,E26,J26,'1_Statistici'!$B$36)&lt;&gt;4,0,IF(AND(ISNUMBER(D26),D26&gt;=0,D26&lt;=1,ISNUMBER(E26),E26&gt;0,MOD(E26,1)=0,OR(H26="VERIFIED",H26="DERIVED",H26="SMALL SAMPLE",H26="PRIOR / SHRINKAGE"),I26&lt;&gt;"",ISNUMBER(J26),ISNUMBER('1_Statistici'!$B$36),J26&lt;='1_Statistici'!$B$36,IF(H26="DERIVED",T26&lt;&gt;"",TRUE)),1,0))</x:f>
        <x:v>0</x:v>
      </x:c>
      <x:c r="N26" s="161" t="n">
        <x:f>IF(COUNT(F26,G26,L26,'1_Statistici'!$B$36)&lt;&gt;4,0,IF(AND(ISNUMBER(F26),F26&gt;=0,F26&lt;=1,ISNUMBER(G26),G26&gt;0,MOD(G26,1)=0,OR(U26="VERIFIED",U26="DERIVED",U26="SMALL SAMPLE",U26="PRIOR / SHRINKAGE"),K26&lt;&gt;"",ISNUMBER(L26),ISNUMBER('1_Statistici'!$B$36),L26&lt;='1_Statistici'!$B$36,IF(U26="DERIVED",T26&lt;&gt;"",TRUE)),1,0))</x:f>
        <x:v>0</x:v>
      </x:c>
      <x:c r="O26" s="166" t="n">
        <x:f>IF(M26=1,IF(N26=1,E26/(E26+Config_BTTS!$B$26),1),0)</x:f>
        <x:v>0</x:v>
      </x:c>
      <x:c r="P26" s="166" t="str">
        <x:f>IF(M26+N26=0,"",IF(M26=1,IF(N26=1,O26*D26+(1-O26)*F26,D26),F26))</x:f>
      </x:c>
      <x:c r="Q26" s="161" t="str">
        <x:f>IF(M26+N26=0,"",IF(M26=1,IF(N26=1,O26*E26+(1-O26)*G26,E26),G26))</x:f>
      </x:c>
      <x:c r="R26" s="161" t="str">
        <x:f>IF(M26+N26=0,IF(OR(H26="SOURCE CONFLICT",H26="NOT AVAILABLE"),H26,"INCOMPLETE"),IF(M26=0,"PRIOR / SHRINKAGE",IF(N26=1,"PRIOR / SHRINKAGE",IF(E26&lt;Config_BTTS!$B$25,"SMALL SAMPLE",IF(H26="DERIVED","DERIVED","VERIFIED")))))</x:f>
        <x:v>INCOMPLETE</x:v>
      </x:c>
      <x:c r="S26" s="166" t="n">
        <x:f>IF(M26+N26=0,0,IF(M26=1,IF(N26=1,O26*MIN(1,E26/Config_BTTS!$B$25)+(1-O26)*MIN(1,G26/Config_BTTS!$B$27),MIN(1,E26/Config_BTTS!$B$25)),MIN(1,G26/Config_BTTS!$B$27)))</x:f>
        <x:v>0</x:v>
      </x:c>
      <x:c r="T26" s="181"/>
      <x:c r="U26" s="181" t="str">
        <x:v>AVAILABLE – NOT CHECKED</x:v>
      </x:c>
    </x:row>
    <x:row r="27" ht="38" customHeight="1">
      <x:c r="A27" s="161" t="str">
        <x:v>Conceded H/A</x:v>
      </x:c>
      <x:c r="B27" s="161" t="str">
        <x:v>OASPEȚI</x:v>
      </x:c>
      <x:c r="C27" s="161" t="str">
        <x:v>G0</x:v>
      </x:c>
      <x:c r="D27" s="166" t="str">
        <x:f>IF(ISNUMBER('1_Statistici'!C13),'1_Statistici'!C13,"")</x:f>
      </x:c>
      <x:c r="E27" s="161" t="str">
        <x:f>IF(ISNUMBER('1_Statistici'!C4),'1_Statistici'!C4,"")</x:f>
      </x:c>
      <x:c r="F27" s="168"/>
      <x:c r="G27" s="181"/>
      <x:c r="H27" s="181" t="str">
        <x:v>AVAILABLE – NOT CHECKED</x:v>
      </x:c>
      <x:c r="I27" s="181"/>
      <x:c r="J27" s="182"/>
      <x:c r="K27" s="181"/>
      <x:c r="L27" s="182"/>
      <x:c r="M27" s="161" t="n">
        <x:f>IF(COUNT(D27,E27,J27,'1_Statistici'!$B$36)&lt;&gt;4,0,IF(AND(ISNUMBER(D27),D27&gt;=0,D27&lt;=1,ISNUMBER(E27),E27&gt;0,MOD(E27,1)=0,OR(H27="VERIFIED",H27="DERIVED",H27="SMALL SAMPLE",H27="PRIOR / SHRINKAGE"),I27&lt;&gt;"",ISNUMBER(J27),ISNUMBER('1_Statistici'!$B$36),J27&lt;='1_Statistici'!$B$36,IF(H27="DERIVED",T27&lt;&gt;"",TRUE)),1,0))</x:f>
        <x:v>0</x:v>
      </x:c>
      <x:c r="N27" s="161" t="n">
        <x:f>IF(COUNT(F27,G27,L27,'1_Statistici'!$B$36)&lt;&gt;4,0,IF(AND(ISNUMBER(F27),F27&gt;=0,F27&lt;=1,ISNUMBER(G27),G27&gt;0,MOD(G27,1)=0,OR(U27="VERIFIED",U27="DERIVED",U27="SMALL SAMPLE",U27="PRIOR / SHRINKAGE"),K27&lt;&gt;"",ISNUMBER(L27),ISNUMBER('1_Statistici'!$B$36),L27&lt;='1_Statistici'!$B$36,IF(U27="DERIVED",T27&lt;&gt;"",TRUE)),1,0))</x:f>
        <x:v>0</x:v>
      </x:c>
      <x:c r="O27" s="166" t="n">
        <x:f>IF(M27=1,IF(N27=1,E27/(E27+Config_BTTS!$B$26),1),0)</x:f>
        <x:v>0</x:v>
      </x:c>
      <x:c r="P27" s="166" t="str">
        <x:f>IF(M27+N27=0,"",IF(M27=1,IF(N27=1,O27*D27+(1-O27)*F27,D27),F27))</x:f>
      </x:c>
      <x:c r="Q27" s="161" t="str">
        <x:f>IF(M27+N27=0,"",IF(M27=1,IF(N27=1,O27*E27+(1-O27)*G27,E27),G27))</x:f>
      </x:c>
      <x:c r="R27" s="161" t="str">
        <x:f>IF(M27+N27=0,IF(OR(H27="SOURCE CONFLICT",H27="NOT AVAILABLE"),H27,"INCOMPLETE"),IF(M27=0,"PRIOR / SHRINKAGE",IF(N27=1,"PRIOR / SHRINKAGE",IF(E27&lt;Config_BTTS!$B$25,"SMALL SAMPLE",IF(H27="DERIVED","DERIVED","VERIFIED")))))</x:f>
        <x:v>INCOMPLETE</x:v>
      </x:c>
      <x:c r="S27" s="166" t="n">
        <x:f>IF(M27+N27=0,0,IF(M27=1,IF(N27=1,O27*MIN(1,E27/Config_BTTS!$B$25)+(1-O27)*MIN(1,G27/Config_BTTS!$B$27),MIN(1,E27/Config_BTTS!$B$25)),MIN(1,G27/Config_BTTS!$B$27)))</x:f>
        <x:v>0</x:v>
      </x:c>
      <x:c r="T27" s="181"/>
      <x:c r="U27" s="181" t="str">
        <x:v>AVAILABLE – NOT CHECKED</x:v>
      </x:c>
    </x:row>
    <x:row r="28" ht="38" customHeight="1">
      <x:c r="A28" s="161" t="str">
        <x:v>BTTS H/A</x:v>
      </x:c>
      <x:c r="B28" s="161" t="str">
        <x:v>OASPEȚI</x:v>
      </x:c>
      <x:c r="C28" s="161" t="str">
        <x:v>SUPORT</x:v>
      </x:c>
      <x:c r="D28" s="166" t="str">
        <x:f>IF(ISNUMBER('1_Statistici'!C15),'1_Statistici'!C15,"")</x:f>
      </x:c>
      <x:c r="E28" s="161" t="str">
        <x:f>IF(ISNUMBER('1_Statistici'!C4),'1_Statistici'!C4,"")</x:f>
      </x:c>
      <x:c r="F28" s="168"/>
      <x:c r="G28" s="181"/>
      <x:c r="H28" s="181" t="str">
        <x:v>AVAILABLE – NOT CHECKED</x:v>
      </x:c>
      <x:c r="I28" s="181"/>
      <x:c r="J28" s="182"/>
      <x:c r="K28" s="181"/>
      <x:c r="L28" s="182"/>
      <x:c r="M28" s="161" t="n">
        <x:f>IF(COUNT(D28,E28,J28,'1_Statistici'!$B$36)&lt;&gt;4,0,IF(AND(ISNUMBER(D28),D28&gt;=0,D28&lt;=1,ISNUMBER(E28),E28&gt;0,MOD(E28,1)=0,OR(H28="VERIFIED",H28="DERIVED",H28="SMALL SAMPLE",H28="PRIOR / SHRINKAGE"),I28&lt;&gt;"",ISNUMBER(J28),ISNUMBER('1_Statistici'!$B$36),J28&lt;='1_Statistici'!$B$36,IF(H28="DERIVED",T28&lt;&gt;"",TRUE)),1,0))</x:f>
        <x:v>0</x:v>
      </x:c>
      <x:c r="N28" s="161" t="n">
        <x:f>IF(COUNT(F28,G28,L28,'1_Statistici'!$B$36)&lt;&gt;4,0,IF(AND(ISNUMBER(F28),F28&gt;=0,F28&lt;=1,ISNUMBER(G28),G28&gt;0,MOD(G28,1)=0,OR(U28="VERIFIED",U28="DERIVED",U28="SMALL SAMPLE",U28="PRIOR / SHRINKAGE"),K28&lt;&gt;"",ISNUMBER(L28),ISNUMBER('1_Statistici'!$B$36),L28&lt;='1_Statistici'!$B$36,IF(U28="DERIVED",T28&lt;&gt;"",TRUE)),1,0))</x:f>
        <x:v>0</x:v>
      </x:c>
      <x:c r="O28" s="166" t="n">
        <x:f>IF(M28=1,IF(N28=1,E28/(E28+Config_BTTS!$B$26),1),0)</x:f>
        <x:v>0</x:v>
      </x:c>
      <x:c r="P28" s="166" t="str">
        <x:f>IF(M28+N28=0,"",IF(M28=1,IF(N28=1,O28*D28+(1-O28)*F28,D28),F28))</x:f>
      </x:c>
      <x:c r="Q28" s="161" t="str">
        <x:f>IF(M28+N28=0,"",IF(M28=1,IF(N28=1,O28*E28+(1-O28)*G28,E28),G28))</x:f>
      </x:c>
      <x:c r="R28" s="161" t="str">
        <x:f>IF(M28+N28=0,IF(OR(H28="SOURCE CONFLICT",H28="NOT AVAILABLE"),H28,"INCOMPLETE"),IF(M28=0,"PRIOR / SHRINKAGE",IF(N28=1,"PRIOR / SHRINKAGE",IF(E28&lt;Config_BTTS!$B$25,"SMALL SAMPLE",IF(H28="DERIVED","DERIVED","VERIFIED")))))</x:f>
        <x:v>INCOMPLETE</x:v>
      </x:c>
      <x:c r="S28" s="166" t="n">
        <x:f>IF(M28+N28=0,0,IF(M28=1,IF(N28=1,O28*MIN(1,E28/Config_BTTS!$B$25)+(1-O28)*MIN(1,G28/Config_BTTS!$B$27),MIN(1,E28/Config_BTTS!$B$25)),MIN(1,G28/Config_BTTS!$B$27)))</x:f>
        <x:v>0</x:v>
      </x:c>
      <x:c r="T28" s="181"/>
      <x:c r="U28" s="181" t="str">
        <x:v>AVAILABLE – NOT CHECKED</x:v>
      </x:c>
    </x:row>
    <x:row r="29" ht="38" customHeight="1">
      <x:c r="A29" s="161" t="str">
        <x:v>BTTS L5</x:v>
      </x:c>
      <x:c r="B29" s="161" t="str">
        <x:v>OASPEȚI</x:v>
      </x:c>
      <x:c r="C29" s="161" t="str">
        <x:v>SUPORT</x:v>
      </x:c>
      <x:c r="D29" s="166" t="str">
        <x:f>IF(ISNUMBER('1_Statistici'!C16),'1_Statistici'!C16,"")</x:f>
      </x:c>
      <x:c r="E29" s="161" t="str">
        <x:f>IF(ISNUMBER('1_Statistici'!C4),MIN(5,'1_Statistici'!C4),"")</x:f>
      </x:c>
      <x:c r="F29" s="168"/>
      <x:c r="G29" s="181"/>
      <x:c r="H29" s="181" t="str">
        <x:v>AVAILABLE – NOT CHECKED</x:v>
      </x:c>
      <x:c r="I29" s="181"/>
      <x:c r="J29" s="182"/>
      <x:c r="K29" s="181"/>
      <x:c r="L29" s="182"/>
      <x:c r="M29" s="161" t="n">
        <x:f>IF(COUNT(D29,E29,J29,'1_Statistici'!$B$36)&lt;&gt;4,0,IF(AND(ISNUMBER(D29),D29&gt;=0,D29&lt;=1,ISNUMBER(E29),E29&gt;0,MOD(E29,1)=0,OR(H29="VERIFIED",H29="DERIVED",H29="SMALL SAMPLE",H29="PRIOR / SHRINKAGE"),I29&lt;&gt;"",ISNUMBER(J29),ISNUMBER('1_Statistici'!$B$36),J29&lt;='1_Statistici'!$B$36,IF(H29="DERIVED",T29&lt;&gt;"",TRUE)),1,0))</x:f>
        <x:v>0</x:v>
      </x:c>
      <x:c r="N29" s="161" t="n">
        <x:f>IF(COUNT(F29,G29,L29,'1_Statistici'!$B$36)&lt;&gt;4,0,IF(AND(ISNUMBER(F29),F29&gt;=0,F29&lt;=1,ISNUMBER(G29),G29&gt;0,MOD(G29,1)=0,OR(U29="VERIFIED",U29="DERIVED",U29="SMALL SAMPLE",U29="PRIOR / SHRINKAGE"),K29&lt;&gt;"",ISNUMBER(L29),ISNUMBER('1_Statistici'!$B$36),L29&lt;='1_Statistici'!$B$36,IF(U29="DERIVED",T29&lt;&gt;"",TRUE)),1,0))</x:f>
        <x:v>0</x:v>
      </x:c>
      <x:c r="O29" s="166" t="n">
        <x:f>IF(M29=1,IF(N29=1,E29/(E29+Config_BTTS!$B$26),1),0)</x:f>
        <x:v>0</x:v>
      </x:c>
      <x:c r="P29" s="166" t="str">
        <x:f>IF(M29+N29=0,"",IF(M29=1,IF(N29=1,O29*D29+(1-O29)*F29,D29),F29))</x:f>
      </x:c>
      <x:c r="Q29" s="161" t="str">
        <x:f>IF(M29+N29=0,"",IF(M29=1,IF(N29=1,O29*E29+(1-O29)*G29,E29),G29))</x:f>
      </x:c>
      <x:c r="R29" s="161" t="str">
        <x:f>IF(M29+N29=0,IF(OR(H29="SOURCE CONFLICT",H29="NOT AVAILABLE"),H29,"INCOMPLETE"),IF(M29=0,"PRIOR / SHRINKAGE",IF(N29=1,"PRIOR / SHRINKAGE",IF(E29&lt;Config_BTTS!$B$25,"SMALL SAMPLE",IF(H29="DERIVED","DERIVED","VERIFIED")))))</x:f>
        <x:v>INCOMPLETE</x:v>
      </x:c>
      <x:c r="S29" s="166" t="n">
        <x:f>IF(M29+N29=0,0,IF(M29=1,IF(N29=1,O29*MIN(1,E29/Config_BTTS!$B$25)+(1-O29)*MIN(1,G29/Config_BTTS!$B$27),MIN(1,E29/Config_BTTS!$B$25)),MIN(1,G29/Config_BTTS!$B$27)))</x:f>
        <x:v>0</x:v>
      </x:c>
      <x:c r="T29" s="181"/>
      <x:c r="U29" s="181" t="str">
        <x:v>AVAILABLE – NOT CHECKED</x:v>
      </x:c>
    </x:row>
    <x:row r="30" ht="38" customHeight="1">
      <x:c r="A30" s="161" t="str">
        <x:v>BTTS L10</x:v>
      </x:c>
      <x:c r="B30" s="161" t="str">
        <x:v>OASPEȚI</x:v>
      </x:c>
      <x:c r="C30" s="161" t="str">
        <x:v>SUPORT</x:v>
      </x:c>
      <x:c r="D30" s="166" t="str">
        <x:f>IF(ISNUMBER('1_Statistici'!C17),'1_Statistici'!C17,"")</x:f>
      </x:c>
      <x:c r="E30" s="161" t="str">
        <x:f>IF(ISNUMBER('1_Statistici'!C4),MIN(10,'1_Statistici'!C4),"")</x:f>
      </x:c>
      <x:c r="F30" s="168"/>
      <x:c r="G30" s="181"/>
      <x:c r="H30" s="181" t="str">
        <x:v>AVAILABLE – NOT CHECKED</x:v>
      </x:c>
      <x:c r="I30" s="181"/>
      <x:c r="J30" s="182"/>
      <x:c r="K30" s="181"/>
      <x:c r="L30" s="182"/>
      <x:c r="M30" s="161" t="n">
        <x:f>IF(COUNT(D30,E30,J30,'1_Statistici'!$B$36)&lt;&gt;4,0,IF(AND(ISNUMBER(D30),D30&gt;=0,D30&lt;=1,ISNUMBER(E30),E30&gt;0,MOD(E30,1)=0,OR(H30="VERIFIED",H30="DERIVED",H30="SMALL SAMPLE",H30="PRIOR / SHRINKAGE"),I30&lt;&gt;"",ISNUMBER(J30),ISNUMBER('1_Statistici'!$B$36),J30&lt;='1_Statistici'!$B$36,IF(H30="DERIVED",T30&lt;&gt;"",TRUE)),1,0))</x:f>
        <x:v>0</x:v>
      </x:c>
      <x:c r="N30" s="161" t="n">
        <x:f>IF(COUNT(F30,G30,L30,'1_Statistici'!$B$36)&lt;&gt;4,0,IF(AND(ISNUMBER(F30),F30&gt;=0,F30&lt;=1,ISNUMBER(G30),G30&gt;0,MOD(G30,1)=0,OR(U30="VERIFIED",U30="DERIVED",U30="SMALL SAMPLE",U30="PRIOR / SHRINKAGE"),K30&lt;&gt;"",ISNUMBER(L30),ISNUMBER('1_Statistici'!$B$36),L30&lt;='1_Statistici'!$B$36,IF(U30="DERIVED",T30&lt;&gt;"",TRUE)),1,0))</x:f>
        <x:v>0</x:v>
      </x:c>
      <x:c r="O30" s="166" t="n">
        <x:f>IF(M30=1,IF(N30=1,E30/(E30+Config_BTTS!$B$26),1),0)</x:f>
        <x:v>0</x:v>
      </x:c>
      <x:c r="P30" s="166" t="str">
        <x:f>IF(M30+N30=0,"",IF(M30=1,IF(N30=1,O30*D30+(1-O30)*F30,D30),F30))</x:f>
      </x:c>
      <x:c r="Q30" s="161" t="str">
        <x:f>IF(M30+N30=0,"",IF(M30=1,IF(N30=1,O30*E30+(1-O30)*G30,E30),G30))</x:f>
      </x:c>
      <x:c r="R30" s="161" t="str">
        <x:f>IF(M30+N30=0,IF(OR(H30="SOURCE CONFLICT",H30="NOT AVAILABLE"),H30,"INCOMPLETE"),IF(M30=0,"PRIOR / SHRINKAGE",IF(N30=1,"PRIOR / SHRINKAGE",IF(E30&lt;Config_BTTS!$B$25,"SMALL SAMPLE",IF(H30="DERIVED","DERIVED","VERIFIED")))))</x:f>
        <x:v>INCOMPLETE</x:v>
      </x:c>
      <x:c r="S30" s="166" t="n">
        <x:f>IF(M30+N30=0,0,IF(M30=1,IF(N30=1,O30*MIN(1,E30/Config_BTTS!$B$25)+(1-O30)*MIN(1,G30/Config_BTTS!$B$27),MIN(1,E30/Config_BTTS!$B$25)),MIN(1,G30/Config_BTTS!$B$27)))</x:f>
        <x:v>0</x:v>
      </x:c>
      <x:c r="T30" s="181"/>
      <x:c r="U30" s="181" t="str">
        <x:v>AVAILABLE – NOT CHECKED</x:v>
      </x:c>
    </x:row>
    <x:row r="31" ht="38" customHeight="1">
      <x:c r="A31" s="161" t="str">
        <x:v>Clean-sheet H/A</x:v>
      </x:c>
      <x:c r="B31" s="161" t="str">
        <x:v>OASPEȚI</x:v>
      </x:c>
      <x:c r="C31" s="161" t="str">
        <x:v>G0</x:v>
      </x:c>
      <x:c r="D31" s="166" t="str">
        <x:f>IF(ISNUMBER('1_Statistici'!C18),'1_Statistici'!C18,"")</x:f>
      </x:c>
      <x:c r="E31" s="161" t="str">
        <x:f>IF(ISNUMBER('1_Statistici'!C4),'1_Statistici'!C4,"")</x:f>
      </x:c>
      <x:c r="F31" s="168"/>
      <x:c r="G31" s="181"/>
      <x:c r="H31" s="181" t="str">
        <x:v>AVAILABLE – NOT CHECKED</x:v>
      </x:c>
      <x:c r="I31" s="181"/>
      <x:c r="J31" s="182"/>
      <x:c r="K31" s="181"/>
      <x:c r="L31" s="182"/>
      <x:c r="M31" s="161" t="n">
        <x:f>IF(COUNT(D31,E31,J31,'1_Statistici'!$B$36)&lt;&gt;4,0,IF(AND(ISNUMBER(D31),D31&gt;=0,D31&lt;=1,ISNUMBER(E31),E31&gt;0,MOD(E31,1)=0,OR(H31="VERIFIED",H31="DERIVED",H31="SMALL SAMPLE",H31="PRIOR / SHRINKAGE"),I31&lt;&gt;"",ISNUMBER(J31),ISNUMBER('1_Statistici'!$B$36),J31&lt;='1_Statistici'!$B$36,IF(H31="DERIVED",T31&lt;&gt;"",TRUE)),1,0))</x:f>
        <x:v>0</x:v>
      </x:c>
      <x:c r="N31" s="161" t="n">
        <x:f>IF(COUNT(F31,G31,L31,'1_Statistici'!$B$36)&lt;&gt;4,0,IF(AND(ISNUMBER(F31),F31&gt;=0,F31&lt;=1,ISNUMBER(G31),G31&gt;0,MOD(G31,1)=0,OR(U31="VERIFIED",U31="DERIVED",U31="SMALL SAMPLE",U31="PRIOR / SHRINKAGE"),K31&lt;&gt;"",ISNUMBER(L31),ISNUMBER('1_Statistici'!$B$36),L31&lt;='1_Statistici'!$B$36,IF(U31="DERIVED",T31&lt;&gt;"",TRUE)),1,0))</x:f>
        <x:v>0</x:v>
      </x:c>
      <x:c r="O31" s="166" t="n">
        <x:f>IF(M31=1,IF(N31=1,E31/(E31+Config_BTTS!$B$26),1),0)</x:f>
        <x:v>0</x:v>
      </x:c>
      <x:c r="P31" s="166" t="str">
        <x:f>IF(M31+N31=0,"",IF(M31=1,IF(N31=1,O31*D31+(1-O31)*F31,D31),F31))</x:f>
      </x:c>
      <x:c r="Q31" s="161" t="str">
        <x:f>IF(M31+N31=0,"",IF(M31=1,IF(N31=1,O31*E31+(1-O31)*G31,E31),G31))</x:f>
      </x:c>
      <x:c r="R31" s="161" t="str">
        <x:f>IF(M31+N31=0,IF(OR(H31="SOURCE CONFLICT",H31="NOT AVAILABLE"),H31,"INCOMPLETE"),IF(M31=0,"PRIOR / SHRINKAGE",IF(N31=1,"PRIOR / SHRINKAGE",IF(E31&lt;Config_BTTS!$B$25,"SMALL SAMPLE",IF(H31="DERIVED","DERIVED","VERIFIED")))))</x:f>
        <x:v>INCOMPLETE</x:v>
      </x:c>
      <x:c r="S31" s="166" t="n">
        <x:f>IF(M31+N31=0,0,IF(M31=1,IF(N31=1,O31*MIN(1,E31/Config_BTTS!$B$25)+(1-O31)*MIN(1,G31/Config_BTTS!$B$27),MIN(1,E31/Config_BTTS!$B$25)),MIN(1,G31/Config_BTTS!$B$27)))</x:f>
        <x:v>0</x:v>
      </x:c>
      <x:c r="T31" s="181"/>
      <x:c r="U31" s="181" t="str">
        <x:v>AVAILABLE – NOT CHECKED</x:v>
      </x:c>
    </x:row>
    <x:row r="32" ht="38" customHeight="1">
      <x:c r="A32" s="161" t="str">
        <x:v>Blank H/A</x:v>
      </x:c>
      <x:c r="B32" s="161" t="str">
        <x:v>OASPEȚI</x:v>
      </x:c>
      <x:c r="C32" s="161" t="str">
        <x:v>G0</x:v>
      </x:c>
      <x:c r="D32" s="166" t="str">
        <x:f>IF(ISNUMBER('1_Statistici'!C19),'1_Statistici'!C19,"")</x:f>
      </x:c>
      <x:c r="E32" s="161" t="str">
        <x:f>IF(ISNUMBER('1_Statistici'!C4),'1_Statistici'!C4,"")</x:f>
      </x:c>
      <x:c r="F32" s="168"/>
      <x:c r="G32" s="181"/>
      <x:c r="H32" s="181" t="str">
        <x:v>AVAILABLE – NOT CHECKED</x:v>
      </x:c>
      <x:c r="I32" s="181"/>
      <x:c r="J32" s="182"/>
      <x:c r="K32" s="181"/>
      <x:c r="L32" s="182"/>
      <x:c r="M32" s="161" t="n">
        <x:f>IF(COUNT(D32,E32,J32,'1_Statistici'!$B$36)&lt;&gt;4,0,IF(AND(ISNUMBER(D32),D32&gt;=0,D32&lt;=1,ISNUMBER(E32),E32&gt;0,MOD(E32,1)=0,OR(H32="VERIFIED",H32="DERIVED",H32="SMALL SAMPLE",H32="PRIOR / SHRINKAGE"),I32&lt;&gt;"",ISNUMBER(J32),ISNUMBER('1_Statistici'!$B$36),J32&lt;='1_Statistici'!$B$36,IF(H32="DERIVED",T32&lt;&gt;"",TRUE)),1,0))</x:f>
        <x:v>0</x:v>
      </x:c>
      <x:c r="N32" s="161" t="n">
        <x:f>IF(COUNT(F32,G32,L32,'1_Statistici'!$B$36)&lt;&gt;4,0,IF(AND(ISNUMBER(F32),F32&gt;=0,F32&lt;=1,ISNUMBER(G32),G32&gt;0,MOD(G32,1)=0,OR(U32="VERIFIED",U32="DERIVED",U32="SMALL SAMPLE",U32="PRIOR / SHRINKAGE"),K32&lt;&gt;"",ISNUMBER(L32),ISNUMBER('1_Statistici'!$B$36),L32&lt;='1_Statistici'!$B$36,IF(U32="DERIVED",T32&lt;&gt;"",TRUE)),1,0))</x:f>
        <x:v>0</x:v>
      </x:c>
      <x:c r="O32" s="166" t="n">
        <x:f>IF(M32=1,IF(N32=1,E32/(E32+Config_BTTS!$B$26),1),0)</x:f>
        <x:v>0</x:v>
      </x:c>
      <x:c r="P32" s="166" t="str">
        <x:f>IF(M32+N32=0,"",IF(M32=1,IF(N32=1,O32*D32+(1-O32)*F32,D32),F32))</x:f>
      </x:c>
      <x:c r="Q32" s="161" t="str">
        <x:f>IF(M32+N32=0,"",IF(M32=1,IF(N32=1,O32*E32+(1-O32)*G32,E32),G32))</x:f>
      </x:c>
      <x:c r="R32" s="161" t="str">
        <x:f>IF(M32+N32=0,IF(OR(H32="SOURCE CONFLICT",H32="NOT AVAILABLE"),H32,"INCOMPLETE"),IF(M32=0,"PRIOR / SHRINKAGE",IF(N32=1,"PRIOR / SHRINKAGE",IF(E32&lt;Config_BTTS!$B$25,"SMALL SAMPLE",IF(H32="DERIVED","DERIVED","VERIFIED")))))</x:f>
        <x:v>INCOMPLETE</x:v>
      </x:c>
      <x:c r="S32" s="166" t="n">
        <x:f>IF(M32+N32=0,0,IF(M32=1,IF(N32=1,O32*MIN(1,E32/Config_BTTS!$B$25)+(1-O32)*MIN(1,G32/Config_BTTS!$B$27),MIN(1,E32/Config_BTTS!$B$25)),MIN(1,G32/Config_BTTS!$B$27)))</x:f>
        <x:v>0</x:v>
      </x:c>
      <x:c r="T32" s="181"/>
      <x:c r="U32" s="181" t="str">
        <x:v>AVAILABLE – NOT CHECKED</x:v>
      </x:c>
    </x:row>
    <x:row r="33" ht="38" customHeight="1">
      <x:c r="A33" s="161" t="str">
        <x:v>Șuturi</x:v>
      </x:c>
      <x:c r="B33" s="161" t="str">
        <x:v>OASPEȚI</x:v>
      </x:c>
      <x:c r="C33" s="161" t="str">
        <x:v>SUPORT</x:v>
      </x:c>
      <x:c r="D33" s="167" t="str">
        <x:f>IF(ISNUMBER('1_Statistici'!C20),'1_Statistici'!C20,"")</x:f>
      </x:c>
      <x:c r="E33" s="161" t="str">
        <x:f>IF(ISNUMBER('1_Statistici'!C4),'1_Statistici'!C4,"")</x:f>
      </x:c>
      <x:c r="F33" s="169"/>
      <x:c r="G33" s="181"/>
      <x:c r="H33" s="181" t="str">
        <x:v>AVAILABLE – NOT CHECKED</x:v>
      </x:c>
      <x:c r="I33" s="181"/>
      <x:c r="J33" s="182"/>
      <x:c r="K33" s="181"/>
      <x:c r="L33" s="182"/>
      <x:c r="M33" s="161" t="n">
        <x:f>IF(COUNT(D33,E33,J33,'1_Statistici'!$B$36)&lt;&gt;4,0,IF(AND(ISNUMBER(D33),D33&gt;=0,ISNUMBER(E33),E33&gt;0,MOD(E33,1)=0,OR(H33="VERIFIED",H33="DERIVED",H33="SMALL SAMPLE",H33="PRIOR / SHRINKAGE"),I33&lt;&gt;"",ISNUMBER(J33),ISNUMBER('1_Statistici'!$B$36),J33&lt;='1_Statistici'!$B$36,IF(H33="DERIVED",T33&lt;&gt;"",TRUE)),1,0))</x:f>
        <x:v>0</x:v>
      </x:c>
      <x:c r="N33" s="161" t="n">
        <x:f>IF(COUNT(F33,G33,L33,'1_Statistici'!$B$36)&lt;&gt;4,0,IF(AND(ISNUMBER(F33),F33&gt;=0,ISNUMBER(G33),G33&gt;0,MOD(G33,1)=0,OR(U33="VERIFIED",U33="DERIVED",U33="SMALL SAMPLE",U33="PRIOR / SHRINKAGE"),K33&lt;&gt;"",ISNUMBER(L33),ISNUMBER('1_Statistici'!$B$36),L33&lt;='1_Statistici'!$B$36,IF(U33="DERIVED",T33&lt;&gt;"",TRUE)),1,0))</x:f>
        <x:v>0</x:v>
      </x:c>
      <x:c r="O33" s="166" t="n">
        <x:f>IF(M33=1,IF(N33=1,E33/(E33+Config_BTTS!$B$26),1),0)</x:f>
        <x:v>0</x:v>
      </x:c>
      <x:c r="P33" s="167" t="str">
        <x:f>IF(M33+N33=0,"",IF(M33=1,IF(N33=1,O33*D33+(1-O33)*F33,D33),F33))</x:f>
      </x:c>
      <x:c r="Q33" s="161" t="str">
        <x:f>IF(M33+N33=0,"",IF(M33=1,IF(N33=1,O33*E33+(1-O33)*G33,E33),G33))</x:f>
      </x:c>
      <x:c r="R33" s="161" t="str">
        <x:f>IF(M33+N33=0,IF(OR(H33="SOURCE CONFLICT",H33="NOT AVAILABLE"),H33,"INCOMPLETE"),IF(M33=0,"PRIOR / SHRINKAGE",IF(N33=1,"PRIOR / SHRINKAGE",IF(E33&lt;Config_BTTS!$B$25,"SMALL SAMPLE",IF(H33="DERIVED","DERIVED","VERIFIED")))))</x:f>
        <x:v>INCOMPLETE</x:v>
      </x:c>
      <x:c r="S33" s="166" t="n">
        <x:f>IF(M33+N33=0,0,IF(M33=1,IF(N33=1,O33*MIN(1,E33/Config_BTTS!$B$25)+(1-O33)*MIN(1,G33/Config_BTTS!$B$27),MIN(1,E33/Config_BTTS!$B$25)),MIN(1,G33/Config_BTTS!$B$27)))</x:f>
        <x:v>0</x:v>
      </x:c>
      <x:c r="T33" s="181"/>
      <x:c r="U33" s="181" t="str">
        <x:v>AVAILABLE – NOT CHECKED</x:v>
      </x:c>
    </x:row>
    <x:row r="34" ht="38" customHeight="1">
      <x:c r="A34" s="161" t="str">
        <x:v>Șuturi pe poartă</x:v>
      </x:c>
      <x:c r="B34" s="161" t="str">
        <x:v>OASPEȚI</x:v>
      </x:c>
      <x:c r="C34" s="161" t="str">
        <x:v>SUPORT</x:v>
      </x:c>
      <x:c r="D34" s="167" t="str">
        <x:f>IF(ISNUMBER('1_Statistici'!C21),'1_Statistici'!C21,"")</x:f>
      </x:c>
      <x:c r="E34" s="161" t="str">
        <x:f>IF(ISNUMBER('1_Statistici'!C4),'1_Statistici'!C4,"")</x:f>
      </x:c>
      <x:c r="F34" s="169"/>
      <x:c r="G34" s="181"/>
      <x:c r="H34" s="181" t="str">
        <x:v>AVAILABLE – NOT CHECKED</x:v>
      </x:c>
      <x:c r="I34" s="181"/>
      <x:c r="J34" s="182"/>
      <x:c r="K34" s="181"/>
      <x:c r="L34" s="182"/>
      <x:c r="M34" s="161" t="n">
        <x:f>IF(COUNT(D34,E34,J34,'1_Statistici'!$B$36)&lt;&gt;4,0,IF(AND(ISNUMBER(D34),D34&gt;=0,ISNUMBER(E34),E34&gt;0,MOD(E34,1)=0,OR(H34="VERIFIED",H34="DERIVED",H34="SMALL SAMPLE",H34="PRIOR / SHRINKAGE"),I34&lt;&gt;"",ISNUMBER(J34),ISNUMBER('1_Statistici'!$B$36),J34&lt;='1_Statistici'!$B$36,IF(H34="DERIVED",T34&lt;&gt;"",TRUE)),1,0))</x:f>
        <x:v>0</x:v>
      </x:c>
      <x:c r="N34" s="161" t="n">
        <x:f>IF(COUNT(F34,G34,L34,'1_Statistici'!$B$36)&lt;&gt;4,0,IF(AND(ISNUMBER(F34),F34&gt;=0,ISNUMBER(G34),G34&gt;0,MOD(G34,1)=0,OR(U34="VERIFIED",U34="DERIVED",U34="SMALL SAMPLE",U34="PRIOR / SHRINKAGE"),K34&lt;&gt;"",ISNUMBER(L34),ISNUMBER('1_Statistici'!$B$36),L34&lt;='1_Statistici'!$B$36,IF(U34="DERIVED",T34&lt;&gt;"",TRUE)),1,0))</x:f>
        <x:v>0</x:v>
      </x:c>
      <x:c r="O34" s="166" t="n">
        <x:f>IF(M34=1,IF(N34=1,E34/(E34+Config_BTTS!$B$26),1),0)</x:f>
        <x:v>0</x:v>
      </x:c>
      <x:c r="P34" s="167" t="str">
        <x:f>IF(M34+N34=0,"",IF(M34=1,IF(N34=1,O34*D34+(1-O34)*F34,D34),F34))</x:f>
      </x:c>
      <x:c r="Q34" s="161" t="str">
        <x:f>IF(M34+N34=0,"",IF(M34=1,IF(N34=1,O34*E34+(1-O34)*G34,E34),G34))</x:f>
      </x:c>
      <x:c r="R34" s="161" t="str">
        <x:f>IF(M34+N34=0,IF(OR(H34="SOURCE CONFLICT",H34="NOT AVAILABLE"),H34,"INCOMPLETE"),IF(M34=0,"PRIOR / SHRINKAGE",IF(N34=1,"PRIOR / SHRINKAGE",IF(E34&lt;Config_BTTS!$B$25,"SMALL SAMPLE",IF(H34="DERIVED","DERIVED","VERIFIED")))))</x:f>
        <x:v>INCOMPLETE</x:v>
      </x:c>
      <x:c r="S34" s="166" t="n">
        <x:f>IF(M34+N34=0,0,IF(M34=1,IF(N34=1,O34*MIN(1,E34/Config_BTTS!$B$25)+(1-O34)*MIN(1,G34/Config_BTTS!$B$27),MIN(1,E34/Config_BTTS!$B$25)),MIN(1,G34/Config_BTTS!$B$27)))</x:f>
        <x:v>0</x:v>
      </x:c>
      <x:c r="T34" s="181"/>
      <x:c r="U34" s="181" t="str">
        <x:v>AVAILABLE – NOT CHECKED</x:v>
      </x:c>
    </x:row>
    <x:row r="35" ht="38" customHeight="1">
      <x:c r="A35" s="161" t="str">
        <x:v>Big chances</x:v>
      </x:c>
      <x:c r="B35" s="161" t="str">
        <x:v>OASPEȚI</x:v>
      </x:c>
      <x:c r="C35" s="161" t="str">
        <x:v>SUPORT</x:v>
      </x:c>
      <x:c r="D35" s="167" t="str">
        <x:f>IF(ISNUMBER('1_Statistici'!C22),'1_Statistici'!C22,"")</x:f>
      </x:c>
      <x:c r="E35" s="161" t="str">
        <x:f>IF(ISNUMBER('1_Statistici'!C4),'1_Statistici'!C4,"")</x:f>
      </x:c>
      <x:c r="F35" s="169"/>
      <x:c r="G35" s="181"/>
      <x:c r="H35" s="181" t="str">
        <x:v>AVAILABLE – NOT CHECKED</x:v>
      </x:c>
      <x:c r="I35" s="181"/>
      <x:c r="J35" s="182"/>
      <x:c r="K35" s="181"/>
      <x:c r="L35" s="182"/>
      <x:c r="M35" s="161" t="n">
        <x:f>IF(COUNT(D35,E35,J35,'1_Statistici'!$B$36)&lt;&gt;4,0,IF(AND(ISNUMBER(D35),D35&gt;=0,ISNUMBER(E35),E35&gt;0,MOD(E35,1)=0,OR(H35="VERIFIED",H35="DERIVED",H35="SMALL SAMPLE",H35="PRIOR / SHRINKAGE"),I35&lt;&gt;"",ISNUMBER(J35),ISNUMBER('1_Statistici'!$B$36),J35&lt;='1_Statistici'!$B$36,IF(H35="DERIVED",T35&lt;&gt;"",TRUE)),1,0))</x:f>
        <x:v>0</x:v>
      </x:c>
      <x:c r="N35" s="161" t="n">
        <x:f>IF(COUNT(F35,G35,L35,'1_Statistici'!$B$36)&lt;&gt;4,0,IF(AND(ISNUMBER(F35),F35&gt;=0,ISNUMBER(G35),G35&gt;0,MOD(G35,1)=0,OR(U35="VERIFIED",U35="DERIVED",U35="SMALL SAMPLE",U35="PRIOR / SHRINKAGE"),K35&lt;&gt;"",ISNUMBER(L35),ISNUMBER('1_Statistici'!$B$36),L35&lt;='1_Statistici'!$B$36,IF(U35="DERIVED",T35&lt;&gt;"",TRUE)),1,0))</x:f>
        <x:v>0</x:v>
      </x:c>
      <x:c r="O35" s="166" t="n">
        <x:f>IF(M35=1,IF(N35=1,E35/(E35+Config_BTTS!$B$26),1),0)</x:f>
        <x:v>0</x:v>
      </x:c>
      <x:c r="P35" s="167" t="str">
        <x:f>IF(M35+N35=0,"",IF(M35=1,IF(N35=1,O35*D35+(1-O35)*F35,D35),F35))</x:f>
      </x:c>
      <x:c r="Q35" s="161" t="str">
        <x:f>IF(M35+N35=0,"",IF(M35=1,IF(N35=1,O35*E35+(1-O35)*G35,E35),G35))</x:f>
      </x:c>
      <x:c r="R35" s="161" t="str">
        <x:f>IF(M35+N35=0,IF(OR(H35="SOURCE CONFLICT",H35="NOT AVAILABLE"),H35,"INCOMPLETE"),IF(M35=0,"PRIOR / SHRINKAGE",IF(N35=1,"PRIOR / SHRINKAGE",IF(E35&lt;Config_BTTS!$B$25,"SMALL SAMPLE",IF(H35="DERIVED","DERIVED","VERIFIED")))))</x:f>
        <x:v>INCOMPLETE</x:v>
      </x:c>
      <x:c r="S35" s="166" t="n">
        <x:f>IF(M35+N35=0,0,IF(M35=1,IF(N35=1,O35*MIN(1,E35/Config_BTTS!$B$25)+(1-O35)*MIN(1,G35/Config_BTTS!$B$27),MIN(1,E35/Config_BTTS!$B$25)),MIN(1,G35/Config_BTTS!$B$27)))</x:f>
        <x:v>0</x:v>
      </x:c>
      <x:c r="T35" s="181"/>
      <x:c r="U35" s="181" t="str">
        <x:v>AVAILABLE – NOT CHECKED</x:v>
      </x:c>
    </x:row>
    <x:row r="36" ht="38" customHeight="1">
      <x:c r="A36" s="161" t="str">
        <x:v>xG L5</x:v>
      </x:c>
      <x:c r="B36" s="161" t="str">
        <x:v>OASPEȚI</x:v>
      </x:c>
      <x:c r="C36" s="161" t="str">
        <x:v>SUPORT</x:v>
      </x:c>
      <x:c r="D36" s="167" t="str">
        <x:f>IF(ISNUMBER('1_Statistici'!C24),'1_Statistici'!C24,"")</x:f>
      </x:c>
      <x:c r="E36" s="161" t="str">
        <x:f>IF(ISNUMBER('1_Statistici'!C4),MIN(5,'1_Statistici'!C4),"")</x:f>
      </x:c>
      <x:c r="F36" s="169"/>
      <x:c r="G36" s="181"/>
      <x:c r="H36" s="181" t="str">
        <x:v>AVAILABLE – NOT CHECKED</x:v>
      </x:c>
      <x:c r="I36" s="181"/>
      <x:c r="J36" s="182"/>
      <x:c r="K36" s="181"/>
      <x:c r="L36" s="182"/>
      <x:c r="M36" s="161" t="n">
        <x:f>IF(COUNT(D36,E36,J36,'1_Statistici'!$B$36)&lt;&gt;4,0,IF(AND(ISNUMBER(D36),D36&gt;=0,ISNUMBER(E36),E36&gt;0,MOD(E36,1)=0,OR(H36="VERIFIED",H36="DERIVED",H36="SMALL SAMPLE",H36="PRIOR / SHRINKAGE"),I36&lt;&gt;"",ISNUMBER(J36),ISNUMBER('1_Statistici'!$B$36),J36&lt;='1_Statistici'!$B$36,IF(H36="DERIVED",T36&lt;&gt;"",TRUE)),1,0))</x:f>
        <x:v>0</x:v>
      </x:c>
      <x:c r="N36" s="161" t="n">
        <x:f>IF(COUNT(F36,G36,L36,'1_Statistici'!$B$36)&lt;&gt;4,0,IF(AND(ISNUMBER(F36),F36&gt;=0,ISNUMBER(G36),G36&gt;0,MOD(G36,1)=0,OR(U36="VERIFIED",U36="DERIVED",U36="SMALL SAMPLE",U36="PRIOR / SHRINKAGE"),K36&lt;&gt;"",ISNUMBER(L36),ISNUMBER('1_Statistici'!$B$36),L36&lt;='1_Statistici'!$B$36,IF(U36="DERIVED",T36&lt;&gt;"",TRUE)),1,0))</x:f>
        <x:v>0</x:v>
      </x:c>
      <x:c r="O36" s="166" t="n">
        <x:f>IF(M36=1,IF(N36=1,E36/(E36+Config_BTTS!$B$26),1),0)</x:f>
        <x:v>0</x:v>
      </x:c>
      <x:c r="P36" s="167" t="str">
        <x:f>IF(M36+N36=0,"",IF(M36=1,IF(N36=1,O36*D36+(1-O36)*F36,D36),F36))</x:f>
      </x:c>
      <x:c r="Q36" s="161" t="str">
        <x:f>IF(M36+N36=0,"",IF(M36=1,IF(N36=1,O36*E36+(1-O36)*G36,E36),G36))</x:f>
      </x:c>
      <x:c r="R36" s="161" t="str">
        <x:f>IF(M36+N36=0,IF(OR(H36="SOURCE CONFLICT",H36="NOT AVAILABLE"),H36,"INCOMPLETE"),IF(M36=0,"PRIOR / SHRINKAGE",IF(N36=1,"PRIOR / SHRINKAGE",IF(E36&lt;Config_BTTS!$B$25,"SMALL SAMPLE",IF(H36="DERIVED","DERIVED","VERIFIED")))))</x:f>
        <x:v>INCOMPLETE</x:v>
      </x:c>
      <x:c r="S36" s="166" t="n">
        <x:f>IF(M36+N36=0,0,IF(M36=1,IF(N36=1,O36*MIN(1,E36/Config_BTTS!$B$25)+(1-O36)*MIN(1,G36/Config_BTTS!$B$27),MIN(1,E36/Config_BTTS!$B$25)),MIN(1,G36/Config_BTTS!$B$27)))</x:f>
        <x:v>0</x:v>
      </x:c>
      <x:c r="T36" s="181"/>
      <x:c r="U36" s="181" t="str">
        <x:v>AVAILABLE – NOT CHECKED</x:v>
      </x:c>
    </x:row>
    <x:row r="37" ht="38" customHeight="1">
      <x:c r="A37" s="161" t="str">
        <x:v>xGA L5</x:v>
      </x:c>
      <x:c r="B37" s="161" t="str">
        <x:v>OASPEȚI</x:v>
      </x:c>
      <x:c r="C37" s="161" t="str">
        <x:v>SUPORT</x:v>
      </x:c>
      <x:c r="D37" s="167" t="str">
        <x:f>IF(ISNUMBER('1_Statistici'!C25),'1_Statistici'!C25,"")</x:f>
      </x:c>
      <x:c r="E37" s="161" t="str">
        <x:f>IF(ISNUMBER('1_Statistici'!C4),MIN(5,'1_Statistici'!C4),"")</x:f>
      </x:c>
      <x:c r="F37" s="169"/>
      <x:c r="G37" s="181"/>
      <x:c r="H37" s="181" t="str">
        <x:v>AVAILABLE – NOT CHECKED</x:v>
      </x:c>
      <x:c r="I37" s="181"/>
      <x:c r="J37" s="182"/>
      <x:c r="K37" s="181"/>
      <x:c r="L37" s="182"/>
      <x:c r="M37" s="161" t="n">
        <x:f>IF(COUNT(D37,E37,J37,'1_Statistici'!$B$36)&lt;&gt;4,0,IF(AND(ISNUMBER(D37),D37&gt;=0,ISNUMBER(E37),E37&gt;0,MOD(E37,1)=0,OR(H37="VERIFIED",H37="DERIVED",H37="SMALL SAMPLE",H37="PRIOR / SHRINKAGE"),I37&lt;&gt;"",ISNUMBER(J37),ISNUMBER('1_Statistici'!$B$36),J37&lt;='1_Statistici'!$B$36,IF(H37="DERIVED",T37&lt;&gt;"",TRUE)),1,0))</x:f>
        <x:v>0</x:v>
      </x:c>
      <x:c r="N37" s="161" t="n">
        <x:f>IF(COUNT(F37,G37,L37,'1_Statistici'!$B$36)&lt;&gt;4,0,IF(AND(ISNUMBER(F37),F37&gt;=0,ISNUMBER(G37),G37&gt;0,MOD(G37,1)=0,OR(U37="VERIFIED",U37="DERIVED",U37="SMALL SAMPLE",U37="PRIOR / SHRINKAGE"),K37&lt;&gt;"",ISNUMBER(L37),ISNUMBER('1_Statistici'!$B$36),L37&lt;='1_Statistici'!$B$36,IF(U37="DERIVED",T37&lt;&gt;"",TRUE)),1,0))</x:f>
        <x:v>0</x:v>
      </x:c>
      <x:c r="O37" s="166" t="n">
        <x:f>IF(M37=1,IF(N37=1,E37/(E37+Config_BTTS!$B$26),1),0)</x:f>
        <x:v>0</x:v>
      </x:c>
      <x:c r="P37" s="167" t="str">
        <x:f>IF(M37+N37=0,"",IF(M37=1,IF(N37=1,O37*D37+(1-O37)*F37,D37),F37))</x:f>
      </x:c>
      <x:c r="Q37" s="161" t="str">
        <x:f>IF(M37+N37=0,"",IF(M37=1,IF(N37=1,O37*E37+(1-O37)*G37,E37),G37))</x:f>
      </x:c>
      <x:c r="R37" s="161" t="str">
        <x:f>IF(M37+N37=0,IF(OR(H37="SOURCE CONFLICT",H37="NOT AVAILABLE"),H37,"INCOMPLETE"),IF(M37=0,"PRIOR / SHRINKAGE",IF(N37=1,"PRIOR / SHRINKAGE",IF(E37&lt;Config_BTTS!$B$25,"SMALL SAMPLE",IF(H37="DERIVED","DERIVED","VERIFIED")))))</x:f>
        <x:v>INCOMPLETE</x:v>
      </x:c>
      <x:c r="S37" s="166" t="n">
        <x:f>IF(M37+N37=0,0,IF(M37=1,IF(N37=1,O37*MIN(1,E37/Config_BTTS!$B$25)+(1-O37)*MIN(1,G37/Config_BTTS!$B$27),MIN(1,E37/Config_BTTS!$B$25)),MIN(1,G37/Config_BTTS!$B$27)))</x:f>
        <x:v>0</x:v>
      </x:c>
      <x:c r="T37" s="181"/>
      <x:c r="U37" s="181" t="str">
        <x:v>AVAILABLE – NOT CHECKED</x:v>
      </x:c>
    </x:row>
    <x:row r="38" ht="38" customHeight="1">
      <x:c r="A38" s="161" t="str">
        <x:v>Blank recent H/A</x:v>
      </x:c>
      <x:c r="B38" s="161" t="str">
        <x:v>OASPEȚI</x:v>
      </x:c>
      <x:c r="C38" s="161" t="str">
        <x:v>SUPORT</x:v>
      </x:c>
      <x:c r="D38" s="166" t="str">
        <x:f>IF(ISNUMBER('1_Statistici'!C32),'1_Statistici'!C32,"")</x:f>
      </x:c>
      <x:c r="E38" s="161" t="str">
        <x:f>IF(ISNUMBER('1_Statistici'!C34),'1_Statistici'!C34,"")</x:f>
      </x:c>
      <x:c r="F38" s="168"/>
      <x:c r="G38" s="181"/>
      <x:c r="H38" s="181" t="str">
        <x:v>AVAILABLE – NOT CHECKED</x:v>
      </x:c>
      <x:c r="I38" s="181"/>
      <x:c r="J38" s="182"/>
      <x:c r="K38" s="181"/>
      <x:c r="L38" s="182"/>
      <x:c r="M38" s="161" t="n">
        <x:f>IF(COUNT(D38,E38,J38,'1_Statistici'!$B$36)&lt;&gt;4,0,IF(AND(ISNUMBER(D38),D38&gt;=0,D38&lt;=1,ISNUMBER(E38),E38&gt;0,MOD(E38,1)=0,OR(H38="VERIFIED",H38="DERIVED",H38="SMALL SAMPLE",H38="PRIOR / SHRINKAGE"),I38&lt;&gt;"",ISNUMBER(J38),ISNUMBER('1_Statistici'!$B$36),J38&lt;='1_Statistici'!$B$36,IF(H38="DERIVED",T38&lt;&gt;"",TRUE)),1,0))</x:f>
        <x:v>0</x:v>
      </x:c>
      <x:c r="N38" s="161" t="n">
        <x:f>IF(COUNT(F38,G38,L38,'1_Statistici'!$B$36)&lt;&gt;4,0,IF(AND(ISNUMBER(F38),F38&gt;=0,F38&lt;=1,ISNUMBER(G38),G38&gt;0,MOD(G38,1)=0,OR(U38="VERIFIED",U38="DERIVED",U38="SMALL SAMPLE",U38="PRIOR / SHRINKAGE"),K38&lt;&gt;"",ISNUMBER(L38),ISNUMBER('1_Statistici'!$B$36),L38&lt;='1_Statistici'!$B$36,IF(U38="DERIVED",T38&lt;&gt;"",TRUE)),1,0))</x:f>
        <x:v>0</x:v>
      </x:c>
      <x:c r="O38" s="166" t="n">
        <x:f>IF(M38=1,IF(N38=1,E38/(E38+Config_BTTS!$B$26),1),0)</x:f>
        <x:v>0</x:v>
      </x:c>
      <x:c r="P38" s="166" t="str">
        <x:f>IF(M38+N38=0,"",IF(M38=1,IF(N38=1,O38*D38+(1-O38)*F38,D38),F38))</x:f>
      </x:c>
      <x:c r="Q38" s="161" t="str">
        <x:f>IF(M38+N38=0,"",IF(M38=1,IF(N38=1,O38*E38+(1-O38)*G38,E38),G38))</x:f>
      </x:c>
      <x:c r="R38" s="161" t="str">
        <x:f>IF(M38+N38=0,IF(OR(H38="SOURCE CONFLICT",H38="NOT AVAILABLE"),H38,"INCOMPLETE"),IF(M38=0,"PRIOR / SHRINKAGE",IF(N38=1,"PRIOR / SHRINKAGE",IF(E38&lt;Config_BTTS!$B$25,"SMALL SAMPLE",IF(H38="DERIVED","DERIVED","VERIFIED")))))</x:f>
        <x:v>INCOMPLETE</x:v>
      </x:c>
      <x:c r="S38" s="166" t="n">
        <x:f>IF(M38+N38=0,0,IF(M38=1,IF(N38=1,O38*MIN(1,E38/Config_BTTS!$B$25)+(1-O38)*MIN(1,G38/Config_BTTS!$B$27),MIN(1,E38/Config_BTTS!$B$25)),MIN(1,G38/Config_BTTS!$B$27)))</x:f>
        <x:v>0</x:v>
      </x:c>
      <x:c r="T38" s="181"/>
      <x:c r="U38" s="181" t="str">
        <x:v>AVAILABLE – NOT CHECKED</x:v>
      </x:c>
    </x:row>
    <x:row r="39" ht="38" customHeight="1">
      <x:c r="A39" s="161" t="str">
        <x:v>Clean-sheet recent H/A</x:v>
      </x:c>
      <x:c r="B39" s="161" t="str">
        <x:v>OASPEȚI</x:v>
      </x:c>
      <x:c r="C39" s="161" t="str">
        <x:v>SUPORT</x:v>
      </x:c>
      <x:c r="D39" s="166" t="str">
        <x:f>IF(ISNUMBER('1_Statistici'!C33),'1_Statistici'!C33,"")</x:f>
      </x:c>
      <x:c r="E39" s="161" t="str">
        <x:f>IF(ISNUMBER('1_Statistici'!C34),'1_Statistici'!C34,"")</x:f>
      </x:c>
      <x:c r="F39" s="168"/>
      <x:c r="G39" s="181"/>
      <x:c r="H39" s="181" t="str">
        <x:v>AVAILABLE – NOT CHECKED</x:v>
      </x:c>
      <x:c r="I39" s="181"/>
      <x:c r="J39" s="182"/>
      <x:c r="K39" s="181"/>
      <x:c r="L39" s="182"/>
      <x:c r="M39" s="161" t="n">
        <x:f>IF(COUNT(D39,E39,J39,'1_Statistici'!$B$36)&lt;&gt;4,0,IF(AND(ISNUMBER(D39),D39&gt;=0,D39&lt;=1,ISNUMBER(E39),E39&gt;0,MOD(E39,1)=0,OR(H39="VERIFIED",H39="DERIVED",H39="SMALL SAMPLE",H39="PRIOR / SHRINKAGE"),I39&lt;&gt;"",ISNUMBER(J39),ISNUMBER('1_Statistici'!$B$36),J39&lt;='1_Statistici'!$B$36,IF(H39="DERIVED",T39&lt;&gt;"",TRUE)),1,0))</x:f>
        <x:v>0</x:v>
      </x:c>
      <x:c r="N39" s="161" t="n">
        <x:f>IF(COUNT(F39,G39,L39,'1_Statistici'!$B$36)&lt;&gt;4,0,IF(AND(ISNUMBER(F39),F39&gt;=0,F39&lt;=1,ISNUMBER(G39),G39&gt;0,MOD(G39,1)=0,OR(U39="VERIFIED",U39="DERIVED",U39="SMALL SAMPLE",U39="PRIOR / SHRINKAGE"),K39&lt;&gt;"",ISNUMBER(L39),ISNUMBER('1_Statistici'!$B$36),L39&lt;='1_Statistici'!$B$36,IF(U39="DERIVED",T39&lt;&gt;"",TRUE)),1,0))</x:f>
        <x:v>0</x:v>
      </x:c>
      <x:c r="O39" s="166" t="n">
        <x:f>IF(M39=1,IF(N39=1,E39/(E39+Config_BTTS!$B$26),1),0)</x:f>
        <x:v>0</x:v>
      </x:c>
      <x:c r="P39" s="166" t="str">
        <x:f>IF(M39+N39=0,"",IF(M39=1,IF(N39=1,O39*D39+(1-O39)*F39,D39),F39))</x:f>
      </x:c>
      <x:c r="Q39" s="161" t="str">
        <x:f>IF(M39+N39=0,"",IF(M39=1,IF(N39=1,O39*E39+(1-O39)*G39,E39),G39))</x:f>
      </x:c>
      <x:c r="R39" s="161" t="str">
        <x:f>IF(M39+N39=0,IF(OR(H39="SOURCE CONFLICT",H39="NOT AVAILABLE"),H39,"INCOMPLETE"),IF(M39=0,"PRIOR / SHRINKAGE",IF(N39=1,"PRIOR / SHRINKAGE",IF(E39&lt;Config_BTTS!$B$25,"SMALL SAMPLE",IF(H39="DERIVED","DERIVED","VERIFIED")))))</x:f>
        <x:v>INCOMPLETE</x:v>
      </x:c>
      <x:c r="S39" s="166" t="n">
        <x:f>IF(M39+N39=0,0,IF(M39=1,IF(N39=1,O39*MIN(1,E39/Config_BTTS!$B$25)+(1-O39)*MIN(1,G39/Config_BTTS!$B$27),MIN(1,E39/Config_BTTS!$B$25)),MIN(1,G39/Config_BTTS!$B$27)))</x:f>
        <x:v>0</x:v>
      </x:c>
      <x:c r="T39" s="181"/>
      <x:c r="U39" s="181" t="str">
        <x:v>AVAILABLE – NOT CHECKED</x:v>
      </x:c>
    </x:row>
    <x:row r="40" ht="28" customHeight="1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</x:row>
    <x:row r="41" ht="28" customHeight="1">
      <x:c r="A41" s="161"/>
      <x:c r="B41" s="161"/>
      <x:c r="C41" s="161"/>
      <x:c r="D41" s="161"/>
      <x:c r="E41" s="161"/>
      <x:c r="F41" s="161"/>
      <x:c r="G41" s="161"/>
      <x:c r="H41" s="161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</x:row>
    <x:row r="42" ht="28" customHeight="1">
      <x:c r="A42" s="161"/>
      <x:c r="B42" s="161"/>
      <x:c r="C42" s="161"/>
      <x:c r="D42" s="161"/>
      <x:c r="E42" s="161"/>
      <x:c r="F42" s="161"/>
      <x:c r="G42" s="161"/>
      <x:c r="H42" s="161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</x:row>
    <x:row r="43" ht="28" customHeight="1">
      <x:c r="A43" s="161"/>
      <x:c r="B43" s="161"/>
      <x:c r="C43" s="161"/>
      <x:c r="D43" s="161"/>
      <x:c r="E43" s="161"/>
      <x:c r="F43" s="161"/>
      <x:c r="G43" s="161"/>
      <x:c r="H43" s="161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</x:row>
    <x:row r="44" ht="28" customHeight="1">
      <x:c r="A44" s="161" t="str">
        <x:v>Inputuri G0 necesare</x:v>
      </x:c>
      <x:c r="B44" s="161" t="n">
        <x:v>12</x:v>
      </x:c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</x:row>
    <x:row r="45" ht="28" customHeight="1">
      <x:c r="A45" s="161" t="str">
        <x:v>Inputuri G0 utilizabile</x:v>
      </x:c>
      <x:c r="B45" s="161" t="n">
        <x:f>IF(ISNUMBER(P6),1,0)+IF(ISNUMBER(P7),1,0)+IF(ISNUMBER(P8),1,0)+IF(ISNUMBER(P9),1,0)+IF(ISNUMBER(P13),1,0)+IF(ISNUMBER(P14),1,0)+IF(ISNUMBER(P24),1,0)+IF(ISNUMBER(P25),1,0)+IF(ISNUMBER(P26),1,0)+IF(ISNUMBER(P27),1,0)+IF(ISNUMBER(P31),1,0)+IF(ISNUMBER(P32),1,0)</x:f>
        <x:v>0</x:v>
      </x:c>
      <x:c r="C45" s="161"/>
      <x:c r="D45" s="161"/>
      <x:c r="E45" s="161"/>
      <x:c r="F45" s="161"/>
      <x:c r="G45" s="161"/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</x:row>
    <x:row r="46" ht="28" customHeight="1">
      <x:c r="A46" s="161" t="str">
        <x:v>Data Readiness / G0 date</x:v>
      </x:c>
      <x:c r="B46" s="161" t="str">
        <x:f>IF(OR(B53&gt;0,B54&gt;0,B51&gt;0),"FAIL",IF(OR('1_Statistici'!B3="",'1_Statistici'!C3="",NOT(ISNUMBER('1_Statistici'!B35)),NOT(ISNUMBER('1_Statistici'!B36)),B45&lt;B44),"INCOMPLETE",IF('1_Statistici'!B36&gt;'1_Statistici'!B35,"FAIL","PASS")))</x:f>
        <x:v>INCOMPLETE</x:v>
      </x:c>
      <x:c r="C46" s="161"/>
      <x:c r="D46" s="161"/>
      <x:c r="E46" s="161"/>
      <x:c r="F46" s="161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</x:row>
    <x:row r="47" ht="28" customHeight="1">
      <x:c r="A47" s="161" t="str">
        <x:v>Fiabilitate medie, inclusiv suport</x:v>
      </x:c>
      <x:c r="B47" s="166" t="n">
        <x:f>AVERAGE(S4:S39)</x:f>
        <x:v>0</x:v>
      </x:c>
      <x:c r="C47" s="161"/>
      <x:c r="D47" s="161"/>
      <x:c r="E47" s="161"/>
      <x:c r="F47" s="161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</x:row>
    <x:row r="48" ht="28" customHeight="1">
      <x:c r="A48" s="161" t="str">
        <x:v>Fiabilitate minimă G0</x:v>
      </x:c>
      <x:c r="B48" s="166" t="n">
        <x:f>MIN(S6,S7,S8,S9,S13,S14,S24,S25,S26,S27,S31,S32)</x:f>
        <x:v>0</x:v>
      </x:c>
      <x:c r="C48" s="161"/>
      <x:c r="D48" s="161"/>
      <x:c r="E48" s="161"/>
      <x:c r="F48" s="161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</x:row>
    <x:row r="49" ht="28" customHeight="1">
      <x:c r="A49" s="161" t="str">
        <x:v>Inputuri cu prior activ</x:v>
      </x:c>
      <x:c r="B49" s="161" t="n">
        <x:f>COUNTIFS(R4:R39,"PRIOR / SHRINKAGE")</x:f>
        <x:v>0</x:v>
      </x:c>
      <x:c r="C49" s="161"/>
      <x:c r="D49" s="161"/>
      <x:c r="E49" s="161"/>
      <x:c r="F49" s="161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</x:row>
    <x:row r="50" ht="28" customHeight="1">
      <x:c r="A50" s="161" t="str">
        <x:v>Inputuri suport indisponibile</x:v>
      </x:c>
      <x:c r="B50" s="161" t="n">
        <x:f>36-COUNT(P4:P39)-(B44-B45)</x:f>
        <x:v>24</x:v>
      </x:c>
      <x:c r="C50" s="161"/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</x:row>
    <x:row r="51" ht="28" customHeight="1">
      <x:c r="A51" s="161" t="str">
        <x:v>Contradicții scored/blank sau conceded/CS</x:v>
      </x:c>
      <x:c r="B51" s="161" t="n">
        <x:f>IF(COUNT(P8,P14)=2,IF(ABS(P8+P14-1)&gt;Config_BTTS!B28,1,0),0)+IF(COUNT(P9,P13)=2,IF(ABS(P9+P13-1)&gt;Config_BTTS!B28,1,0),0)+IF(COUNT(P26,P32)=2,IF(ABS(P26+P32-1)&gt;Config_BTTS!B28,1,0),0)+IF(COUNT(P27,P31)=2,IF(ABS(P27+P31-1)&gt;Config_BTTS!B28,1,0),0)</x:f>
        <x:v>0</x:v>
      </x:c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</x:row>
    <x:row r="52" ht="28" customHeight="1">
      <x:c r="A52" s="161" t="str">
        <x:v>Inputuri fără valoare utilizabilă</x:v>
      </x:c>
      <x:c r="B52" s="161" t="n">
        <x:f>36-COUNT(P4:P39)</x:f>
        <x:v>36</x:v>
      </x:c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</x:row>
    <x:row r="53" ht="28" customHeight="1">
      <x:c r="A53" s="161" t="str">
        <x:v>Indisponibilități G0 declarate</x:v>
      </x:c>
      <x:c r="B53" s="161" t="n">
        <x:f>IF(AND(M6+N6=0,OR(H6="NOT AVAILABLE",H6="SOURCE CONFLICT")),1,0)+IF(AND(M7+N7=0,OR(H7="NOT AVAILABLE",H7="SOURCE CONFLICT")),1,0)+IF(AND(M8+N8=0,OR(H8="NOT AVAILABLE",H8="SOURCE CONFLICT")),1,0)+IF(AND(M9+N9=0,OR(H9="NOT AVAILABLE",H9="SOURCE CONFLICT")),1,0)+IF(AND(M13+N13=0,OR(H13="NOT AVAILABLE",H13="SOURCE CONFLICT")),1,0)+IF(AND(M14+N14=0,OR(H14="NOT AVAILABLE",H14="SOURCE CONFLICT")),1,0)+IF(AND(M24+N24=0,OR(H24="NOT AVAILABLE",H24="SOURCE CONFLICT")),1,0)+IF(AND(M25+N25=0,OR(H25="NOT AVAILABLE",H25="SOURCE CONFLICT")),1,0)+IF(AND(M26+N26=0,OR(H26="NOT AVAILABLE",H26="SOURCE CONFLICT")),1,0)+IF(AND(M27+N27=0,OR(H27="NOT AVAILABLE",H27="SOURCE CONFLICT")),1,0)+IF(AND(M31+N31=0,OR(H31="NOT AVAILABLE",H31="SOURCE CONFLICT")),1,0)+IF(AND(M32+N32=0,OR(H32="NOT AVAILABLE",H32="SOURCE CONFLICT")),1,0)</x:f>
        <x:v>0</x:v>
      </x:c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</x:row>
    <x:row r="54" ht="28" customHeight="1">
      <x:c r="A54" s="161" t="str">
        <x:v>Valori G0 invalide</x:v>
      </x:c>
      <x:c r="B54" s="161" t="n">
        <x:f>IF(ISNUMBER('1_Statistici'!B10),IF(OR('1_Statistici'!B10&lt;0,FALSE),1,0),0)+IF(ISNUMBER('1_Statistici'!B11),IF(OR('1_Statistici'!B11&lt;0,FALSE),1,0),0)+IF(ISNUMBER('1_Statistici'!B12),IF(OR('1_Statistici'!B12&lt;0,'1_Statistici'!B12&gt;1),1,0),0)+IF(ISNUMBER('1_Statistici'!B13),IF(OR('1_Statistici'!B13&lt;0,'1_Statistici'!B13&gt;1),1,0),0)+IF(ISNUMBER('1_Statistici'!B18),IF(OR('1_Statistici'!B18&lt;0,'1_Statistici'!B18&gt;1),1,0),0)+IF(ISNUMBER('1_Statistici'!B19),IF(OR('1_Statistici'!B19&lt;0,'1_Statistici'!B19&gt;1),1,0),0)+IF(ISNUMBER('1_Statistici'!C10),IF(OR('1_Statistici'!C10&lt;0,FALSE),1,0),0)+IF(ISNUMBER('1_Statistici'!C11),IF(OR('1_Statistici'!C11&lt;0,FALSE),1,0),0)+IF(ISNUMBER('1_Statistici'!C12),IF(OR('1_Statistici'!C12&lt;0,'1_Statistici'!C12&gt;1),1,0),0)+IF(ISNUMBER('1_Statistici'!C13),IF(OR('1_Statistici'!C13&lt;0,'1_Statistici'!C13&gt;1),1,0),0)+IF(ISNUMBER('1_Statistici'!C18),IF(OR('1_Statistici'!C18&lt;0,'1_Statistici'!C18&gt;1),1,0),0)+IF(ISNUMBER('1_Statistici'!C19),IF(OR('1_Statistici'!C19&lt;0,'1_Statistici'!C19&gt;1),1,0),0)</x:f>
        <x:v>0</x:v>
      </x:c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</x:row>
    <x:row r="55" ht="28" customHeight="1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</x:row>
    <x:row r="56" ht="28" customHeight="1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</x:row>
    <x:row r="57" ht="28" customHeight="1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</x:row>
    <x:row r="58" ht="28" customHeight="1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</x:row>
    <x:row r="59" ht="28" customHeight="1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</x:row>
    <x:row r="60" ht="28" customHeight="1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</x:row>
  </x:sheetData>
  <x:mergeCells>
    <x:mergeCell ref="A1:H1"/>
    <x:mergeCell ref="A2:H2"/>
  </x:mergeCells>
  <x:conditionalFormatting sqref="B46:B46">
    <x:cfRule type="containsText" dxfId="0" priority="1" operator="containsText" text="FAIL"/>
    <x:cfRule type="containsText" dxfId="1" priority="2" operator="containsText" text="INCOMPLETE"/>
    <x:cfRule type="containsText" dxfId="2" priority="3" operator="containsText" text="NO BET"/>
    <x:cfRule type="containsText" dxfId="3" priority="4" operator="containsText" text="DEFENSIV"/>
  </x:conditionalFormatting>
  <x:dataValidations count="2">
    <x:dataValidation type="list" sqref="H4:H39">
      <x:formula1>"AVAILABLE – NOT CHECKED,VERIFIED,DERIVED,SMALL SAMPLE,PRIOR / SHRINKAGE,SOURCE CONFLICT,NOT AVAILABLE,PROXY ONLY"</x:formula1>
    </x:dataValidation>
    <x:dataValidation type="list" sqref="U4:U39">
      <x:formula1>"AVAILABLE – NOT CHECKED,VERIFIED,DERIVED,SMALL SAMPLE,PRIOR / SHRINKAGE,SOURCE CONFLICT,NOT AVAILABLE,PROXY ONLY"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163" t="str">
        <x:v>BTTS optimizat_v2 – modificări implementate</x:v>
      </x:c>
      <x:c r="B1" s="163"/>
      <x:c r="C1" s="163"/>
      <x:c r="D1" s="163"/>
      <x:c r="E1" s="163"/>
      <x:c r="F1" s="163"/>
      <x:c r="G1" s="163"/>
      <x:c r="H1" s="163"/>
    </x:row>
    <x:row r="2" ht="28" customHeight="1">
      <x:c r="A2" s="215"/>
      <x:c r="B2" s="215"/>
      <x:c r="C2" s="215"/>
      <x:c r="D2" s="215"/>
      <x:c r="E2" s="215"/>
      <x:c r="F2" s="215"/>
      <x:c r="G2" s="215"/>
      <x:c r="H2" s="215"/>
    </x:row>
    <x:row r="3" ht="28" customHeight="1">
      <x:c r="A3" s="161"/>
      <x:c r="B3" s="161"/>
      <x:c r="C3" s="161"/>
      <x:c r="D3" s="161"/>
      <x:c r="E3" s="161"/>
      <x:c r="F3" s="161"/>
      <x:c r="G3" s="161"/>
      <x:c r="H3" s="161"/>
    </x:row>
    <x:row r="4" ht="28" customHeight="1">
      <x:c r="A4" s="200" t="str">
        <x:v>Selector unic</x:v>
      </x:c>
      <x:c r="B4" s="200" t="str">
        <x:v>Gate-urile v4 controlează verdictul final; v3 este doar vedere de compatibilitate.</x:v>
      </x:c>
      <x:c r="C4" s="200"/>
      <x:c r="D4" s="200"/>
      <x:c r="E4" s="200"/>
      <x:c r="F4" s="200"/>
      <x:c r="G4" s="200"/>
      <x:c r="H4" s="200"/>
    </x:row>
    <x:row r="5" ht="28" customHeight="1">
      <x:c r="A5" s="161"/>
      <x:c r="B5" s="161"/>
      <x:c r="C5" s="161"/>
      <x:c r="D5" s="161"/>
      <x:c r="E5" s="161"/>
      <x:c r="F5" s="161"/>
      <x:c r="G5" s="161"/>
      <x:c r="H5" s="161"/>
    </x:row>
    <x:row r="6" ht="28" customHeight="1">
      <x:c r="A6" s="161" t="str">
        <x:v>Prag DEFENSIV</x:v>
      </x:c>
      <x:c r="B6" s="161" t="str">
        <x:v>Floor3 eliminat pentru BTTS; nivel1 condiționat de pragurile aprobate.</x:v>
      </x:c>
      <x:c r="C6" s="161"/>
      <x:c r="D6" s="161"/>
      <x:c r="E6" s="161"/>
      <x:c r="F6" s="161"/>
      <x:c r="G6" s="161"/>
      <x:c r="H6" s="161"/>
    </x:row>
    <x:row r="7" ht="28" customHeight="1">
      <x:c r="A7" s="161"/>
      <x:c r="B7" s="161"/>
      <x:c r="C7" s="161"/>
      <x:c r="D7" s="161"/>
      <x:c r="E7" s="161"/>
      <x:c r="F7" s="161"/>
      <x:c r="G7" s="161"/>
      <x:c r="H7" s="161"/>
    </x:row>
    <x:row r="8" ht="28" customHeight="1">
      <x:c r="A8" s="161" t="str">
        <x:v>Risk Score</x:v>
      </x:c>
      <x:c r="B8" s="161" t="str">
        <x:v>Calcul automat; ponderi25/30/15/15/10/0/5%; preț0%.</x:v>
      </x:c>
      <x:c r="C8" s="161"/>
      <x:c r="D8" s="161"/>
      <x:c r="E8" s="161"/>
      <x:c r="F8" s="161"/>
      <x:c r="G8" s="161"/>
      <x:c r="H8" s="161"/>
    </x:row>
    <x:row r="9" ht="28" customHeight="1">
      <x:c r="A9" s="161"/>
      <x:c r="B9" s="161"/>
      <x:c r="C9" s="161"/>
      <x:c r="D9" s="161"/>
      <x:c r="E9" s="161"/>
      <x:c r="F9" s="161"/>
      <x:c r="G9" s="161"/>
      <x:c r="H9" s="161"/>
    </x:row>
    <x:row r="10" ht="28" customHeight="1">
      <x:c r="A10" s="161" t="str">
        <x:v>Date lipsă</x:v>
      </x:c>
      <x:c r="B10" s="161" t="str">
        <x:v>Fără N=10 presetat, fără confidence100% sau risc0 din celule goale.</x:v>
      </x:c>
      <x:c r="C10" s="161"/>
      <x:c r="D10" s="161"/>
      <x:c r="E10" s="161"/>
      <x:c r="F10" s="161"/>
      <x:c r="G10" s="161"/>
      <x:c r="H10" s="161"/>
    </x:row>
    <x:row r="11" ht="28" customHeight="1">
      <x:c r="A11" s="161"/>
      <x:c r="B11" s="161"/>
      <x:c r="C11" s="161"/>
      <x:c r="D11" s="161"/>
      <x:c r="E11" s="161"/>
      <x:c r="F11" s="161"/>
      <x:c r="G11" s="161"/>
      <x:c r="H11" s="161"/>
    </x:row>
    <x:row r="12" ht="28" customHeight="1">
      <x:c r="A12" s="161" t="str">
        <x:v>Blank / clean-sheet</x:v>
      </x:c>
      <x:c r="B12" s="161" t="str">
        <x:v>Blank propriu este combinat cu CS al adversarului.</x:v>
      </x:c>
      <x:c r="C12" s="161"/>
      <x:c r="D12" s="161"/>
      <x:c r="E12" s="161"/>
      <x:c r="F12" s="161"/>
      <x:c r="G12" s="161"/>
      <x:c r="H12" s="161"/>
    </x:row>
    <x:row r="13" ht="28" customHeight="1">
      <x:c r="A13" s="200"/>
      <x:c r="B13" s="200"/>
      <x:c r="C13" s="200"/>
      <x:c r="D13" s="200"/>
      <x:c r="E13" s="200"/>
      <x:c r="F13" s="200"/>
      <x:c r="G13" s="200"/>
      <x:c r="H13" s="200"/>
    </x:row>
    <x:row r="14" ht="28" customHeight="1">
      <x:c r="A14" s="161" t="str">
        <x:v>Praguri reconciliate</x:v>
      </x:c>
      <x:c r="B14" s="161" t="str">
        <x:v>BET scoring68%; STRONG72%; toate pragurile într-un singur Config_BTTS.</x:v>
      </x:c>
      <x:c r="C14" s="161"/>
      <x:c r="D14" s="161"/>
      <x:c r="E14" s="161"/>
      <x:c r="F14" s="161"/>
      <x:c r="G14" s="161"/>
      <x:c r="H14" s="161"/>
    </x:row>
    <x:row r="15" ht="28" customHeight="1">
      <x:c r="A15" s="161"/>
      <x:c r="B15" s="161"/>
      <x:c r="C15" s="161"/>
      <x:c r="D15" s="161"/>
      <x:c r="E15" s="161"/>
      <x:c r="F15" s="161"/>
      <x:c r="G15" s="161"/>
      <x:c r="H15" s="161"/>
    </x:row>
    <x:row r="16" ht="28" customHeight="1">
      <x:c r="A16" s="161" t="str">
        <x:v>Prior / shrinkage</x:v>
      </x:c>
      <x:c r="B16" s="161" t="str">
        <x:v>Valoare, N, status, sursă, cutoff și blend conectate la motor.</x:v>
      </x:c>
      <x:c r="C16" s="161"/>
      <x:c r="D16" s="161"/>
      <x:c r="E16" s="161"/>
      <x:c r="F16" s="161"/>
      <x:c r="G16" s="161"/>
      <x:c r="H16" s="161"/>
    </x:row>
    <x:row r="17" ht="28" customHeight="1">
      <x:c r="A17" s="161"/>
      <x:c r="B17" s="161"/>
      <x:c r="C17" s="161"/>
      <x:c r="D17" s="161"/>
      <x:c r="E17" s="161"/>
      <x:c r="F17" s="161"/>
      <x:c r="G17" s="161"/>
      <x:c r="H17" s="161"/>
    </x:row>
    <x:row r="18" ht="28" customHeight="1">
      <x:c r="A18" s="161" t="str">
        <x:v>PRE-XI</x:v>
      </x:c>
      <x:c r="B18" s="161" t="str">
        <x:v>Haircut soft și confidence cap; refresh vizibil; fără hard gate de lineup.</x:v>
      </x:c>
      <x:c r="C18" s="161"/>
      <x:c r="D18" s="161"/>
      <x:c r="E18" s="161"/>
      <x:c r="F18" s="161"/>
      <x:c r="G18" s="161"/>
      <x:c r="H18" s="161"/>
    </x:row>
    <x:row r="19" ht="28" customHeight="1">
      <x:c r="A19" s="161"/>
      <x:c r="B19" s="161"/>
      <x:c r="C19" s="161"/>
      <x:c r="D19" s="161"/>
      <x:c r="E19" s="161"/>
      <x:c r="F19" s="161"/>
      <x:c r="G19" s="161"/>
      <x:c r="H19" s="161"/>
    </x:row>
    <x:row r="20" ht="28" customHeight="1">
      <x:c r="A20" s="161" t="str">
        <x:v>Builder</x:v>
      </x:c>
      <x:c r="B20" s="161" t="str">
        <x:v>Verdict final + G0PASS + Risk&lt;5; niciodată YES la NO BET / LEAN / analiză incompletă.</x:v>
      </x:c>
      <x:c r="C20" s="161"/>
      <x:c r="D20" s="161"/>
      <x:c r="E20" s="161"/>
      <x:c r="F20" s="161"/>
      <x:c r="G20" s="161"/>
      <x:c r="H20" s="161"/>
    </x:row>
    <x:row r="21" ht="28" customHeight="1">
      <x:c r="A21" s="200"/>
      <x:c r="B21" s="200"/>
      <x:c r="C21" s="200"/>
      <x:c r="D21" s="200"/>
      <x:c r="E21" s="200"/>
      <x:c r="F21" s="200"/>
      <x:c r="G21" s="200"/>
      <x:c r="H21" s="200"/>
    </x:row>
    <x:row r="22" ht="28" customHeight="1">
      <x:c r="A22" s="161" t="str">
        <x:v>Preț / EV</x:v>
      </x:c>
      <x:c r="B22" s="161" t="str">
        <x:v>Toate căile către probabilitate, scoring și risc eliminate.</x:v>
      </x:c>
      <x:c r="C22" s="161"/>
      <x:c r="D22" s="161"/>
      <x:c r="E22" s="161"/>
      <x:c r="F22" s="161"/>
      <x:c r="G22" s="161"/>
      <x:c r="H22" s="161"/>
    </x:row>
    <x:row r="23" ht="28" customHeight="1">
      <x:c r="A23" s="161"/>
      <x:c r="B23" s="161"/>
      <x:c r="C23" s="161"/>
      <x:c r="D23" s="161"/>
      <x:c r="E23" s="161"/>
      <x:c r="F23" s="161"/>
      <x:c r="G23" s="161"/>
      <x:c r="H23" s="161"/>
    </x:row>
    <x:row r="24" ht="28" customHeight="1">
      <x:c r="A24" s="161" t="str">
        <x:v>Probabilități</x:v>
      </x:c>
      <x:c r="B24" s="161" t="str">
        <x:v>Renormalizare pentru suport absent și limite de probabilitate comună.</x:v>
      </x:c>
      <x:c r="C24" s="161"/>
      <x:c r="D24" s="161"/>
      <x:c r="E24" s="161"/>
      <x:c r="F24" s="161"/>
      <x:c r="G24" s="161"/>
      <x:c r="H24" s="161"/>
    </x:row>
    <x:row r="25" ht="28" customHeight="1">
      <x:c r="A25" s="161"/>
      <x:c r="B25" s="161"/>
      <x:c r="C25" s="161"/>
      <x:c r="D25" s="161"/>
      <x:c r="E25" s="161"/>
      <x:c r="F25" s="161"/>
      <x:c r="G25" s="161"/>
      <x:c r="H25" s="161"/>
    </x:row>
    <x:row r="26" ht="28" customHeight="1">
      <x:c r="A26" s="161" t="str">
        <x:v>Calibrare</x:v>
      </x:c>
      <x:c r="B26" s="161" t="str">
        <x:v>Aceeași populație frozen+settled validă pentru medii, rate, Brier și log-loss.</x:v>
      </x:c>
      <x:c r="C26" s="161"/>
      <x:c r="D26" s="161"/>
      <x:c r="E26" s="161"/>
      <x:c r="F26" s="161"/>
      <x:c r="G26" s="161"/>
      <x:c r="H26" s="161"/>
    </x:row>
    <x:row r="27" ht="28" customHeight="1">
      <x:c r="A27" s="161"/>
      <x:c r="B27" s="161"/>
      <x:c r="C27" s="161"/>
      <x:c r="D27" s="161"/>
      <x:c r="E27" s="161"/>
      <x:c r="F27" s="161"/>
      <x:c r="G27" s="161"/>
      <x:c r="H27" s="161"/>
    </x:row>
    <x:row r="28" ht="28" customHeight="1">
      <x:c r="A28" s="161" t="str">
        <x:v>Documentație</x:v>
      </x:c>
      <x:c r="B28" s="161" t="str">
        <x:v>Reguli active și Cadru actualizate; regulile vechi nu mai sunt prezentate ca active.</x:v>
      </x:c>
      <x:c r="C28" s="161"/>
      <x:c r="D28" s="161"/>
      <x:c r="E28" s="161"/>
      <x:c r="F28" s="161"/>
      <x:c r="G28" s="161"/>
      <x:c r="H28" s="161"/>
    </x:row>
    <x:row r="29" ht="28" customHeight="1">
      <x:c r="A29" s="161"/>
      <x:c r="B29" s="161"/>
      <x:c r="C29" s="161"/>
      <x:c r="D29" s="161"/>
      <x:c r="E29" s="161"/>
      <x:c r="F29" s="161"/>
      <x:c r="G29" s="161"/>
      <x:c r="H29" s="161"/>
    </x:row>
    <x:row r="30" ht="28" customHeight="1">
      <x:c r="A30" s="161" t="str">
        <x:v>Validare OOS</x:v>
      </x:c>
      <x:c r="B30" s="161" t="str">
        <x:v>Pragurile sunt propuse; OOS rămâne diagnostic ulterior, nu barieră de execuție.</x:v>
      </x:c>
      <x:c r="C30" s="161"/>
      <x:c r="D30" s="161"/>
      <x:c r="E30" s="161"/>
      <x:c r="F30" s="161"/>
      <x:c r="G30" s="161"/>
      <x:c r="H30" s="161"/>
    </x:row>
    <x:row r="31" ht="28" customHeight="1">
      <x:c r="A31" s="161"/>
      <x:c r="B31" s="161"/>
      <x:c r="C31" s="161"/>
      <x:c r="D31" s="161"/>
      <x:c r="E31" s="161"/>
      <x:c r="F31" s="161"/>
      <x:c r="G31" s="161"/>
      <x:c r="H31" s="161"/>
    </x:row>
    <x:row r="32" ht="28" customHeight="1">
      <x:c r="A32" s="200"/>
      <x:c r="B32" s="200"/>
      <x:c r="C32" s="200"/>
      <x:c r="D32" s="200"/>
      <x:c r="E32" s="200"/>
      <x:c r="F32" s="200"/>
      <x:c r="G32" s="200"/>
      <x:c r="H32" s="200"/>
    </x:row>
    <x:row r="33" ht="28" customHeight="1">
      <x:c r="A33" s="161"/>
      <x:c r="B33" s="161"/>
      <x:c r="C33" s="161"/>
      <x:c r="D33" s="161"/>
      <x:c r="E33" s="161"/>
      <x:c r="F33" s="161"/>
      <x:c r="G33" s="161"/>
      <x:c r="H33" s="161"/>
    </x:row>
    <x:row r="34" ht="28" customHeight="1">
      <x:c r="A34" s="161"/>
      <x:c r="B34" s="161"/>
      <x:c r="C34" s="161"/>
      <x:c r="D34" s="161"/>
      <x:c r="E34" s="161"/>
      <x:c r="F34" s="161"/>
      <x:c r="G34" s="161"/>
      <x:c r="H34" s="161"/>
    </x:row>
    <x:row r="35" ht="28" customHeight="1">
      <x:c r="A35" s="161"/>
      <x:c r="B35" s="161"/>
      <x:c r="C35" s="161"/>
      <x:c r="D35" s="161"/>
      <x:c r="E35" s="161"/>
      <x:c r="F35" s="161"/>
      <x:c r="G35" s="161"/>
      <x:c r="H35" s="161"/>
    </x:row>
    <x:row r="36" ht="28" customHeight="1">
      <x:c r="A36" s="161"/>
      <x:c r="B36" s="161"/>
      <x:c r="C36" s="161"/>
      <x:c r="D36" s="161"/>
      <x:c r="E36" s="161"/>
      <x:c r="F36" s="161"/>
      <x:c r="G36" s="161"/>
      <x:c r="H36" s="161"/>
    </x:row>
    <x:row r="37" ht="28" customHeight="1">
      <x:c r="A37" s="161"/>
      <x:c r="B37" s="161"/>
      <x:c r="C37" s="161"/>
      <x:c r="D37" s="161"/>
      <x:c r="E37" s="161"/>
      <x:c r="F37" s="161"/>
      <x:c r="G37" s="161"/>
      <x:c r="H37" s="161"/>
    </x:row>
    <x:row r="38" ht="28" customHeight="1">
      <x:c r="A38" s="161"/>
      <x:c r="B38" s="161"/>
      <x:c r="C38" s="161"/>
      <x:c r="D38" s="161"/>
      <x:c r="E38" s="161"/>
      <x:c r="F38" s="161"/>
      <x:c r="G38" s="161"/>
      <x:c r="H38" s="161"/>
    </x:row>
    <x:row r="39" ht="28" customHeight="1">
      <x:c r="A39" s="161"/>
      <x:c r="B39" s="161"/>
      <x:c r="C39" s="161"/>
      <x:c r="D39" s="161"/>
      <x:c r="E39" s="161"/>
      <x:c r="F39" s="161"/>
      <x:c r="G39" s="161"/>
      <x:c r="H39" s="161"/>
    </x:row>
    <x:row r="40" ht="28" customHeight="1">
      <x:c r="A40" s="161"/>
      <x:c r="B40" s="161"/>
      <x:c r="C40" s="161"/>
      <x:c r="D40" s="161"/>
      <x:c r="E40" s="161"/>
      <x:c r="F40" s="161"/>
      <x:c r="G40" s="161"/>
      <x:c r="H40" s="161"/>
    </x:row>
    <x:row r="41" ht="28" customHeight="1">
      <x:c r="A41" s="161"/>
      <x:c r="B41" s="161"/>
      <x:c r="C41" s="161"/>
      <x:c r="D41" s="161"/>
      <x:c r="E41" s="161"/>
      <x:c r="F41" s="161"/>
      <x:c r="G41" s="161"/>
      <x:c r="H41" s="161"/>
    </x:row>
    <x:row r="42" ht="28" customHeight="1">
      <x:c r="A42" s="161"/>
      <x:c r="B42" s="161"/>
      <x:c r="C42" s="161"/>
      <x:c r="D42" s="161"/>
      <x:c r="E42" s="161"/>
      <x:c r="F42" s="161"/>
      <x:c r="G42" s="161"/>
      <x:c r="H42" s="161"/>
    </x:row>
    <x:row r="43" ht="28" customHeight="1">
      <x:c r="A43" s="161"/>
      <x:c r="B43" s="161"/>
      <x:c r="C43" s="161"/>
      <x:c r="D43" s="161"/>
      <x:c r="E43" s="161"/>
      <x:c r="F43" s="161"/>
      <x:c r="G43" s="161"/>
      <x:c r="H43" s="161"/>
    </x:row>
    <x:row r="44" ht="28" customHeight="1">
      <x:c r="A44" s="161"/>
      <x:c r="B44" s="161"/>
      <x:c r="C44" s="161"/>
      <x:c r="D44" s="161"/>
      <x:c r="E44" s="161"/>
      <x:c r="F44" s="161"/>
      <x:c r="G44" s="161"/>
      <x:c r="H44" s="161"/>
    </x:row>
    <x:row r="45" ht="28" customHeight="1">
      <x:c r="A45" s="161"/>
      <x:c r="B45" s="161"/>
      <x:c r="C45" s="161"/>
      <x:c r="D45" s="161"/>
      <x:c r="E45" s="161"/>
      <x:c r="F45" s="161"/>
      <x:c r="G45" s="161"/>
      <x:c r="H45" s="161"/>
    </x:row>
  </x:sheetData>
  <x:mergeCells>
    <x:mergeCell ref="A1:H1"/>
    <x:mergeCell ref="B4:H5"/>
    <x:mergeCell ref="A4:A5"/>
    <x:mergeCell ref="B6:H7"/>
    <x:mergeCell ref="A6:A7"/>
    <x:mergeCell ref="B8:H9"/>
    <x:mergeCell ref="A8:A9"/>
    <x:mergeCell ref="B10:H11"/>
    <x:mergeCell ref="A10:A11"/>
    <x:mergeCell ref="B12:H13"/>
    <x:mergeCell ref="A12:A13"/>
    <x:mergeCell ref="B14:H15"/>
    <x:mergeCell ref="A14:A15"/>
    <x:mergeCell ref="B16:H17"/>
    <x:mergeCell ref="A16:A17"/>
    <x:mergeCell ref="B18:H19"/>
    <x:mergeCell ref="A18:A19"/>
    <x:mergeCell ref="B20:H21"/>
    <x:mergeCell ref="A20:A21"/>
    <x:mergeCell ref="B22:H23"/>
    <x:mergeCell ref="A22:A23"/>
    <x:mergeCell ref="B24:H25"/>
    <x:mergeCell ref="A24:A25"/>
    <x:mergeCell ref="B26:H27"/>
    <x:mergeCell ref="A26:A27"/>
    <x:mergeCell ref="B28:H29"/>
    <x:mergeCell ref="A28:A29"/>
    <x:mergeCell ref="B30:H31"/>
    <x:mergeCell ref="A30:A3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163" t="str">
        <x:v>BTTS optimizat_v2 – instrucțiuni și metodologie</x:v>
      </x:c>
      <x:c r="B1" s="163"/>
      <x:c r="C1" s="163"/>
      <x:c r="D1" s="163"/>
      <x:c r="E1" s="163"/>
      <x:c r="F1" s="163"/>
      <x:c r="G1" s="163"/>
      <x:c r="H1" s="163"/>
    </x:row>
    <x:row r="2" ht="28" customHeight="1">
      <x:c r="A2" s="215"/>
      <x:c r="B2" s="215"/>
      <x:c r="C2" s="215"/>
      <x:c r="D2" s="215"/>
      <x:c r="E2" s="215"/>
      <x:c r="F2" s="215"/>
      <x:c r="G2" s="215"/>
      <x:c r="H2" s="215"/>
    </x:row>
    <x:row r="3" ht="28" customHeight="1">
      <x:c r="A3" s="161"/>
      <x:c r="B3" s="161"/>
      <x:c r="C3" s="161"/>
      <x:c r="D3" s="161"/>
      <x:c r="E3" s="161"/>
      <x:c r="F3" s="161"/>
      <x:c r="G3" s="161"/>
      <x:c r="H3" s="161"/>
    </x:row>
    <x:row r="4" ht="27" customHeight="1">
      <x:c r="A4" s="200" t="str">
        <x:v>Ce analizează</x:v>
      </x:c>
      <x:c r="B4" s="200" t="str">
        <x:v>BTTS DA: ambele echipe marchează. LEAN / NO BET nu reprezintă BTTS NU.</x:v>
      </x:c>
      <x:c r="C4" s="200"/>
      <x:c r="D4" s="200"/>
      <x:c r="E4" s="200"/>
      <x:c r="F4" s="200"/>
      <x:c r="G4" s="200"/>
      <x:c r="H4" s="200"/>
    </x:row>
    <x:row r="5" ht="27" customHeight="1">
      <x:c r="A5" s="161"/>
      <x:c r="B5" s="161"/>
      <x:c r="C5" s="161"/>
      <x:c r="D5" s="161"/>
      <x:c r="E5" s="161"/>
      <x:c r="F5" s="161"/>
      <x:c r="G5" s="161"/>
      <x:c r="H5" s="161"/>
    </x:row>
    <x:row r="6" ht="27" customHeight="1">
      <x:c r="A6" s="161" t="str">
        <x:v>1. Datele meciului</x:v>
      </x:c>
      <x:c r="B6" s="161" t="str">
        <x:v>În 1_Statistici completați echipele, N, statisticile, data/ora meciului și cutoff-ul analizei. Toate orele au același fus.</x:v>
      </x:c>
      <x:c r="C6" s="161"/>
      <x:c r="D6" s="161"/>
      <x:c r="E6" s="161"/>
      <x:c r="F6" s="161"/>
      <x:c r="G6" s="161"/>
      <x:c r="H6" s="161"/>
    </x:row>
    <x:row r="7" ht="27" customHeight="1">
      <x:c r="A7" s="161"/>
      <x:c r="B7" s="161"/>
      <x:c r="C7" s="161"/>
      <x:c r="D7" s="161"/>
      <x:c r="E7" s="161"/>
      <x:c r="F7" s="161"/>
      <x:c r="G7" s="161"/>
      <x:c r="H7" s="161"/>
    </x:row>
    <x:row r="8" ht="27" customHeight="1">
      <x:c r="A8" s="161" t="str">
        <x:v>2. Sursele</x:v>
      </x:c>
      <x:c r="B8" s="161" t="str">
        <x:v>În BTTS_Prior_v5, fiecare metrică are N, status, sursă și cutoff. DERIVED cere metoda. Current și prior folosesc aceeași definiție și context H/A.</x:v>
      </x:c>
      <x:c r="C8" s="161"/>
      <x:c r="D8" s="161"/>
      <x:c r="E8" s="161"/>
      <x:c r="F8" s="161"/>
      <x:c r="G8" s="161"/>
      <x:c r="H8" s="161"/>
    </x:row>
    <x:row r="9" ht="27" customHeight="1">
      <x:c r="A9" s="161"/>
      <x:c r="B9" s="161"/>
      <x:c r="C9" s="161"/>
      <x:c r="D9" s="161"/>
      <x:c r="E9" s="161"/>
      <x:c r="F9" s="161"/>
      <x:c r="G9" s="161"/>
      <x:c r="H9" s="161"/>
    </x:row>
    <x:row r="10" ht="27" customHeight="1">
      <x:c r="A10" s="161" t="str">
        <x:v>3. Date critice</x:v>
      </x:c>
      <x:c r="B10" s="161" t="str">
        <x:v>xG H/A, xGA H/A, scored, conceded, blank și clean-sheet H/A pentru fiecare echipă: 12 inputuri G0. Pot proveni din current, prior valid sau blend.</x:v>
      </x:c>
      <x:c r="C10" s="161"/>
      <x:c r="D10" s="161"/>
      <x:c r="E10" s="161"/>
      <x:c r="F10" s="161"/>
      <x:c r="G10" s="161"/>
      <x:c r="H10" s="161"/>
    </x:row>
    <x:row r="11" ht="27" customHeight="1">
      <x:c r="A11" s="161"/>
      <x:c r="B11" s="161"/>
      <x:c r="C11" s="161"/>
      <x:c r="D11" s="161"/>
      <x:c r="E11" s="161"/>
      <x:c r="F11" s="161"/>
      <x:c r="G11" s="161"/>
      <x:c r="H11" s="161"/>
    </x:row>
    <x:row r="12" ht="27" customHeight="1">
      <x:c r="A12" s="161" t="str">
        <x:v>4. Prior și sample</x:v>
      </x:c>
      <x:c r="B12" s="161" t="str">
        <x:v>Cu current și prior valide: w=Ncurent/(Ncurent+10); valoare=w×current+(1−w)×prior. Fără prior se folosește current verificat, cu incertitudine graduală.</x:v>
      </x:c>
      <x:c r="C12" s="161"/>
      <x:c r="D12" s="161"/>
      <x:c r="E12" s="161"/>
      <x:c r="F12" s="161"/>
      <x:c r="G12" s="161"/>
      <x:c r="H12" s="161"/>
    </x:row>
    <x:row r="13" ht="27" customHeight="1">
      <x:c r="A13" s="161"/>
      <x:c r="B13" s="161"/>
      <x:c r="C13" s="161"/>
      <x:c r="D13" s="161"/>
      <x:c r="E13" s="161"/>
      <x:c r="F13" s="161"/>
      <x:c r="G13" s="161"/>
      <x:c r="H13" s="161"/>
    </x:row>
    <x:row r="14" ht="27" customHeight="1">
      <x:c r="A14" s="161" t="str">
        <x:v>5. N și fiabilitate</x:v>
      </x:c>
      <x:c r="B14" s="161" t="str">
        <x:v>Fiabilitate current=min(1,N/10), prior=min(1,Nprior/20), blend ponderat cu w. N ponderat este un indicator descriptiv, nu mărime de eșantion independent.</x:v>
      </x:c>
      <x:c r="C14" s="161"/>
      <x:c r="D14" s="161"/>
      <x:c r="E14" s="161"/>
      <x:c r="F14" s="161"/>
      <x:c r="G14" s="161"/>
      <x:c r="H14" s="161"/>
    </x:row>
    <x:row r="15" ht="27" customHeight="1">
      <x:c r="A15" s="161"/>
      <x:c r="B15" s="161"/>
      <x:c r="C15" s="161"/>
      <x:c r="D15" s="161"/>
      <x:c r="E15" s="161"/>
      <x:c r="F15" s="161"/>
      <x:c r="G15" s="161"/>
      <x:c r="H15" s="161"/>
    </x:row>
    <x:row r="16" ht="27" customHeight="1">
      <x:c r="A16" s="161" t="str">
        <x:v>6. Calitatea datelor</x:v>
      </x:c>
      <x:c r="B16" s="161" t="str">
        <x:v>INCOMPLETE: valoare/sursă/status neînchis. NOT AVAILABLE sau SOURCE CONFLICT G0 fără prior valid: FAIL. Valori imposibile și contradicții scored+blank / conceded+CS: FAIL.</x:v>
      </x:c>
      <x:c r="C16" s="161"/>
      <x:c r="D16" s="161"/>
      <x:c r="E16" s="161"/>
      <x:c r="F16" s="161"/>
      <x:c r="G16" s="161"/>
      <x:c r="H16" s="161"/>
    </x:row>
    <x:row r="17" ht="27" customHeight="1">
      <x:c r="A17" s="161"/>
      <x:c r="B17" s="161"/>
      <x:c r="C17" s="161"/>
      <x:c r="D17" s="161"/>
      <x:c r="E17" s="161"/>
      <x:c r="F17" s="161"/>
      <x:c r="G17" s="161"/>
      <x:c r="H17" s="161"/>
    </x:row>
    <x:row r="18" ht="27" customHeight="1">
      <x:c r="A18" s="161" t="str">
        <x:v>7. Motorul lambda</x:v>
      </x:c>
      <x:c r="B18" s="161" t="str">
        <x:v>xG propriu 30%, xGA advers 30%, xG L5 15%, xGA advers L5 10%, goluri proprii 7,5%, goluri primite advers 7,5%. Ponderile se renormalizează numai pentru suport absent.</x:v>
      </x:c>
      <x:c r="C18" s="161"/>
      <x:c r="D18" s="161"/>
      <x:c r="E18" s="161"/>
      <x:c r="F18" s="161"/>
      <x:c r="G18" s="161"/>
      <x:c r="H18" s="161"/>
    </x:row>
    <x:row r="19" ht="27" customHeight="1">
      <x:c r="A19" s="161"/>
      <x:c r="B19" s="161"/>
      <x:c r="C19" s="161"/>
      <x:c r="D19" s="161"/>
      <x:c r="E19" s="161"/>
      <x:c r="F19" s="161"/>
      <x:c r="G19" s="161"/>
      <x:c r="H19" s="161"/>
    </x:row>
    <x:row r="20" ht="27" customHeight="1">
      <x:c r="A20" s="161" t="str">
        <x:v>8. Probabilitatea de marcare</x:v>
      </x:c>
      <x:c r="B20" s="161" t="str">
        <x:v>55% Poisson + 30% media scored propriu/conceded advers + 15% (1−media blank propriu/CS advers). Haircut PRE-XI: 1 pp per echipă, fără hard fail.</x:v>
      </x:c>
      <x:c r="C20" s="161"/>
      <x:c r="D20" s="161"/>
      <x:c r="E20" s="161"/>
      <x:c r="F20" s="161"/>
      <x:c r="G20" s="161"/>
      <x:c r="H20" s="161"/>
    </x:row>
    <x:row r="21" ht="27" customHeight="1">
      <x:c r="A21" s="161"/>
      <x:c r="B21" s="161"/>
      <x:c r="C21" s="161"/>
      <x:c r="D21" s="161"/>
      <x:c r="E21" s="161"/>
      <x:c r="F21" s="161"/>
      <x:c r="G21" s="161"/>
      <x:c r="H21" s="161"/>
    </x:row>
    <x:row r="22" ht="27" customHeight="1">
      <x:c r="A22" s="161" t="str">
        <x:v>9. Probabilitatea BTTS</x:v>
      </x:c>
      <x:c r="B22" s="161" t="str">
        <x:v>50% reciprocitate + 20% Poisson + 10% scored/conceded weakest + 7% BTTS istoric + 5% shots weakest. Piața este exclusă; ponderile active se renormalizează.</x:v>
      </x:c>
      <x:c r="C22" s="161"/>
      <x:c r="D22" s="161"/>
      <x:c r="E22" s="161"/>
      <x:c r="F22" s="161"/>
      <x:c r="G22" s="161"/>
      <x:c r="H22" s="161"/>
    </x:row>
    <x:row r="23" ht="27" customHeight="1">
      <x:c r="A23" s="161"/>
      <x:c r="B23" s="161"/>
      <x:c r="C23" s="161"/>
      <x:c r="D23" s="161"/>
      <x:c r="E23" s="161"/>
      <x:c r="F23" s="161"/>
      <x:c r="G23" s="161"/>
      <x:c r="H23" s="161"/>
    </x:row>
    <x:row r="24" ht="27" customHeight="1">
      <x:c r="A24" s="161" t="str">
        <x:v>10. Penalizări</x:v>
      </x:c>
      <x:c r="B24" s="161" t="str">
        <x:v>Penalizare weakest, blank, mismatch și risc unilateral; plafon 22 pp. P finală este încadrată în [max(0,pH+pA−1),min(pH,pA)] pentru coerență cu marginalele.</x:v>
      </x:c>
      <x:c r="C24" s="161"/>
      <x:c r="D24" s="161"/>
      <x:c r="E24" s="161"/>
      <x:c r="F24" s="161"/>
      <x:c r="G24" s="161"/>
      <x:c r="H24" s="161"/>
    </x:row>
    <x:row r="25" ht="27" customHeight="1">
      <x:c r="A25" s="161"/>
      <x:c r="B25" s="161"/>
      <x:c r="C25" s="161"/>
      <x:c r="D25" s="161"/>
      <x:c r="E25" s="161"/>
      <x:c r="F25" s="161"/>
      <x:c r="G25" s="161"/>
      <x:c r="H25" s="161"/>
    </x:row>
    <x:row r="26" ht="27" customHeight="1">
      <x:c r="A26" s="161" t="str">
        <x:v>11. Gate operațional</x:v>
      </x:c>
      <x:c r="B26" s="161" t="str">
        <x:v>Ambele Pscore ≥68%, ambele blank ≤32%, ambele clean-sheet advers ≤30%. Se folosește recent H/A dacă este valid; altfel H/A, etichetat explicit. Un FAIL blochează recomandarea.</x:v>
      </x:c>
      <x:c r="C26" s="161"/>
      <x:c r="D26" s="161"/>
      <x:c r="E26" s="161"/>
      <x:c r="F26" s="161"/>
      <x:c r="G26" s="161"/>
      <x:c r="H26" s="161"/>
    </x:row>
    <x:row r="27" ht="27" customHeight="1">
      <x:c r="A27" s="161"/>
      <x:c r="B27" s="161"/>
      <x:c r="C27" s="161"/>
      <x:c r="D27" s="161"/>
      <x:c r="E27" s="161"/>
      <x:c r="F27" s="161"/>
      <x:c r="G27" s="161"/>
      <x:c r="H27" s="161"/>
    </x:row>
    <x:row r="28" ht="27" customHeight="1">
      <x:c r="A28" s="161" t="str">
        <x:v>12. STRONG BET</x:v>
      </x:c>
      <x:c r="B28" s="161" t="str">
        <x:v>P BTTS ≥66%, scor ≥75, fiecare Pscore ≥72%, mismatch ≤12 pp, blank ≤28%, opponent CS ≤25%. G0 trebuie să fie PASS.</x:v>
      </x:c>
      <x:c r="C28" s="161"/>
      <x:c r="D28" s="161"/>
      <x:c r="E28" s="161"/>
      <x:c r="F28" s="161"/>
      <x:c r="G28" s="161"/>
      <x:c r="H28" s="161"/>
    </x:row>
    <x:row r="29" ht="27" customHeight="1">
      <x:c r="A29" s="161"/>
      <x:c r="B29" s="161"/>
      <x:c r="C29" s="161"/>
      <x:c r="D29" s="161"/>
      <x:c r="E29" s="161"/>
      <x:c r="F29" s="161"/>
      <x:c r="G29" s="161"/>
      <x:c r="H29" s="161"/>
    </x:row>
    <x:row r="30" ht="27" customHeight="1">
      <x:c r="A30" s="161" t="str">
        <x:v>13. BET</x:v>
      </x:c>
      <x:c r="B30" s="161" t="str">
        <x:v>P BTTS ≥61%, scor ≥68, fiecare Pscore ≥68%, mismatch ≤18 pp, blank ≤32%, opponent CS ≤30%. G0 trebuie să fie PASS.</x:v>
      </x:c>
      <x:c r="C30" s="161"/>
      <x:c r="D30" s="161"/>
      <x:c r="E30" s="161"/>
      <x:c r="F30" s="161"/>
      <x:c r="G30" s="161"/>
      <x:c r="H30" s="161"/>
    </x:row>
    <x:row r="31" ht="27" customHeight="1">
      <x:c r="A31" s="161"/>
      <x:c r="B31" s="161"/>
      <x:c r="C31" s="161"/>
      <x:c r="D31" s="161"/>
      <x:c r="E31" s="161"/>
      <x:c r="F31" s="161"/>
      <x:c r="G31" s="161"/>
      <x:c r="H31" s="161"/>
    </x:row>
    <x:row r="32" ht="27" customHeight="1">
      <x:c r="A32" s="161" t="str">
        <x:v>14. LEAN / NO BET</x:v>
      </x:c>
      <x:c r="B32" s="161" t="str">
        <x:v>LEAN: P BTTS ≥56% după G0 PASS, fără calificare BET. LEAN are minimum nivel 3 și nu intră în Builder. Hard FAIL, semnal AVOID/NO BET sau risc &gt;80 înseamnă NO BET, nivel 5.</x:v>
      </x:c>
      <x:c r="C32" s="161"/>
      <x:c r="D32" s="161"/>
      <x:c r="E32" s="161"/>
      <x:c r="F32" s="161"/>
      <x:c r="G32" s="161"/>
      <x:c r="H32" s="161"/>
    </x:row>
    <x:row r="33" ht="27" customHeight="1">
      <x:c r="A33" s="161"/>
      <x:c r="B33" s="161"/>
      <x:c r="C33" s="161"/>
      <x:c r="D33" s="161"/>
      <x:c r="E33" s="161"/>
      <x:c r="F33" s="161"/>
      <x:c r="G33" s="161"/>
      <x:c r="H33" s="161"/>
    </x:row>
    <x:row r="34" ht="27" customHeight="1">
      <x:c r="A34" s="161" t="str">
        <x:v>15. DEFENSIV</x:v>
      </x:c>
      <x:c r="B34" s="161" t="str">
        <x:v>P BTTS ≥80%; ambele Pscore ≥85%; mismatch ≤10 pp; ambele blank recente H/A ≤15%; ambele CS recente H/A ≤15%; Risk Score ≤20; G0 PASS. Toate simultan.</x:v>
      </x:c>
      <x:c r="C34" s="161"/>
      <x:c r="D34" s="161"/>
      <x:c r="E34" s="161"/>
      <x:c r="F34" s="161"/>
      <x:c r="G34" s="161"/>
      <x:c r="H34" s="161"/>
    </x:row>
    <x:row r="35" ht="27" customHeight="1">
      <x:c r="A35" s="161"/>
      <x:c r="B35" s="161"/>
      <x:c r="C35" s="161"/>
      <x:c r="D35" s="161"/>
      <x:c r="E35" s="161"/>
      <x:c r="F35" s="161"/>
      <x:c r="G35" s="161"/>
      <x:c r="H35" s="161"/>
    </x:row>
    <x:row r="36" ht="27" customHeight="1">
      <x:c r="A36" s="161" t="str">
        <x:v>16. Date recente</x:v>
      </x:c>
      <x:c r="B36" s="161" t="str">
        <x:v>Pentru DEFENSIV sunt necesare cele patru valori recente utilizabile. Pot fi current, DERIVED sau prior recent comparabil; se declară sursa și fereastra. Nu se copiază media sezonului sub eticheta recent.</x:v>
      </x:c>
      <x:c r="C36" s="161"/>
      <x:c r="D36" s="161"/>
      <x:c r="E36" s="161"/>
      <x:c r="F36" s="161"/>
      <x:c r="G36" s="161"/>
      <x:c r="H36" s="161"/>
    </x:row>
    <x:row r="37" ht="27" customHeight="1">
      <x:c r="A37" s="161"/>
      <x:c r="B37" s="161"/>
      <x:c r="C37" s="161"/>
      <x:c r="D37" s="161"/>
      <x:c r="E37" s="161"/>
      <x:c r="F37" s="161"/>
      <x:c r="G37" s="161"/>
      <x:c r="H37" s="161"/>
    </x:row>
    <x:row r="38" ht="27" customHeight="1">
      <x:c r="A38" s="200" t="str">
        <x:v>17. Niveluri de risc</x:v>
      </x:c>
      <x:c r="B38" s="200" t="str">
        <x:v>Scor ≤20 poate deveni 1 doar cu gate DEFENSIV PASS; altfel minimum 2. Peste20–40:2; peste40–60:3; peste60–80:4; peste80:5. LEAN minimum3. Date neînchise: nivel neatribuit.</x:v>
      </x:c>
      <x:c r="C38" s="200"/>
      <x:c r="D38" s="200"/>
      <x:c r="E38" s="200"/>
      <x:c r="F38" s="200"/>
      <x:c r="G38" s="200"/>
      <x:c r="H38" s="200"/>
    </x:row>
    <x:row r="39" ht="27" customHeight="1">
      <x:c r="A39" s="161"/>
      <x:c r="B39" s="161"/>
      <x:c r="C39" s="161"/>
      <x:c r="D39" s="161"/>
      <x:c r="E39" s="161"/>
      <x:c r="F39" s="161"/>
      <x:c r="G39" s="161"/>
      <x:c r="H39" s="161"/>
    </x:row>
    <x:row r="40" ht="27" customHeight="1">
      <x:c r="A40" s="161" t="str">
        <x:v>18. Scor risc automat</x:v>
      </x:c>
      <x:c r="B40" s="161" t="str">
        <x:v>Ponderi: Data Quality25%, failure30%, structură15%, context15%, uncertainty10%, compound5%. Preț/EV0%. Formulele și scalele sunt vizibile în Risk_Classification și Config_BTTS.</x:v>
      </x:c>
      <x:c r="C40" s="161"/>
      <x:c r="D40" s="161"/>
      <x:c r="E40" s="161"/>
      <x:c r="F40" s="161"/>
      <x:c r="G40" s="161"/>
      <x:c r="H40" s="161"/>
    </x:row>
    <x:row r="41" ht="27" customHeight="1">
      <x:c r="A41" s="161"/>
      <x:c r="B41" s="161"/>
      <x:c r="C41" s="161"/>
      <x:c r="D41" s="161"/>
      <x:c r="E41" s="161"/>
      <x:c r="F41" s="161"/>
      <x:c r="G41" s="161"/>
      <x:c r="H41" s="161"/>
    </x:row>
    <x:row r="42" ht="27" customHeight="1">
      <x:c r="A42" s="161" t="str">
        <x:v>19. Context / XI</x:v>
      </x:c>
      <x:c r="B42" s="161" t="str">
        <x:v>Factorii contextuali sunt utilizați numai după evaluare VERIFIED cu sursă/cutoff. Altfel sunt neutri în lambda și au risc contextual explicit. XI neconfirmat cere refresh; nu interzice DEFENSIV.</x:v>
      </x:c>
      <x:c r="C42" s="161"/>
      <x:c r="D42" s="161"/>
      <x:c r="E42" s="161"/>
      <x:c r="F42" s="161"/>
      <x:c r="G42" s="161"/>
      <x:c r="H42" s="161"/>
    </x:row>
    <x:row r="43" ht="27" customHeight="1">
      <x:c r="A43" s="161"/>
      <x:c r="B43" s="161"/>
      <x:c r="C43" s="161"/>
      <x:c r="D43" s="161"/>
      <x:c r="E43" s="161"/>
      <x:c r="F43" s="161"/>
      <x:c r="G43" s="161"/>
      <x:c r="H43" s="161"/>
    </x:row>
    <x:row r="44" ht="27" customHeight="1">
      <x:c r="A44" s="161" t="str">
        <x:v>20. Confidence</x:v>
      </x:c>
      <x:c r="B44" s="161" t="str">
        <x:v>Minimum dintre cap-ul PRE-XI95% (sau100% după confirmare) și media 50% fiabilitate generală +50% fiabilitate minimă G0. Fără date critice, confidence rămâne necalculată.</x:v>
      </x:c>
      <x:c r="C44" s="161"/>
      <x:c r="D44" s="161"/>
      <x:c r="E44" s="161"/>
      <x:c r="F44" s="161"/>
      <x:c r="G44" s="161"/>
      <x:c r="H44" s="161"/>
    </x:row>
    <x:row r="45" ht="27" customHeight="1">
      <x:c r="A45" s="161"/>
      <x:c r="B45" s="161"/>
      <x:c r="C45" s="161"/>
      <x:c r="D45" s="161"/>
      <x:c r="E45" s="161"/>
      <x:c r="F45" s="161"/>
      <x:c r="G45" s="161"/>
      <x:c r="H45" s="161"/>
    </x:row>
    <x:row r="46" ht="27" customHeight="1">
      <x:c r="A46" s="161" t="str">
        <x:v>21. Builder</x:v>
      </x:c>
      <x:c r="B46" s="161" t="str">
        <x:v>YES numai cu G0 PASS, verdict final BET/STRONG BET și Risk Level &lt;5. Citește același selector ca Dashboard.</x:v>
      </x:c>
      <x:c r="C46" s="161"/>
      <x:c r="D46" s="161"/>
      <x:c r="E46" s="161"/>
      <x:c r="F46" s="161"/>
      <x:c r="G46" s="161"/>
      <x:c r="H46" s="161"/>
    </x:row>
    <x:row r="47" ht="27" customHeight="1">
      <x:c r="A47" s="161"/>
      <x:c r="B47" s="161"/>
      <x:c r="C47" s="161"/>
      <x:c r="D47" s="161"/>
      <x:c r="E47" s="161"/>
      <x:c r="F47" s="161"/>
      <x:c r="G47" s="161"/>
      <x:c r="H47" s="161"/>
    </x:row>
    <x:row r="48" ht="27" customHeight="1">
      <x:c r="A48" s="161" t="str">
        <x:v>22. Cote / EV</x:v>
      </x:c>
      <x:c r="B48" s="161" t="str">
        <x:v>4_Piata_EV este exclusiv informativ. Nicio cotă, diferență model–piață sau EV nu intră în probabilitate, scoring, risc ori eligibilitate.</x:v>
      </x:c>
      <x:c r="C48" s="161"/>
      <x:c r="D48" s="161"/>
      <x:c r="E48" s="161"/>
      <x:c r="F48" s="161"/>
      <x:c r="G48" s="161"/>
      <x:c r="H48" s="161"/>
    </x:row>
    <x:row r="49" ht="27" customHeight="1">
      <x:c r="A49" s="161"/>
      <x:c r="B49" s="161"/>
      <x:c r="C49" s="161"/>
      <x:c r="D49" s="161"/>
      <x:c r="E49" s="161"/>
      <x:c r="F49" s="161"/>
      <x:c r="G49" s="161"/>
      <x:c r="H49" s="161"/>
    </x:row>
    <x:row r="50" ht="27" customHeight="1">
      <x:c r="A50" s="161" t="str">
        <x:v>23. Statutul pragurilor</x:v>
      </x:c>
      <x:c r="B50" s="161" t="str">
        <x:v>Praguri operaționale propuse și aprobate pentru v2, nu demonstrate statistic. Monitorizarea OOS este ulterioară; nu blochează execuția sau DEFENSIV.</x:v>
      </x:c>
      <x:c r="C50" s="161"/>
      <x:c r="D50" s="161"/>
      <x:c r="E50" s="161"/>
      <x:c r="F50" s="161"/>
      <x:c r="G50" s="161"/>
      <x:c r="H50" s="161"/>
    </x:row>
    <x:row r="51" ht="27" customHeight="1">
      <x:c r="A51" s="200"/>
      <x:c r="B51" s="200"/>
      <x:c r="C51" s="200"/>
      <x:c r="D51" s="200"/>
      <x:c r="E51" s="200"/>
      <x:c r="F51" s="200"/>
      <x:c r="G51" s="200"/>
      <x:c r="H51" s="200"/>
    </x:row>
    <x:row r="52" ht="27" customHeight="1">
      <x:c r="A52" s="161" t="str">
        <x:v>24. Monitorizare</x:v>
      </x:c>
      <x:c r="B52" s="161" t="str">
        <x:v>Salvați predicția ca valori înainte de meci în Frozen_Predictions: ID unic, timestamp ≤ kickoff, P_Final și PreMatch_Frozen=YES. Settlement validează ID, probabilitate și rezultat0/1.</x:v>
      </x:c>
      <x:c r="C52" s="161"/>
      <x:c r="D52" s="161"/>
      <x:c r="E52" s="161"/>
      <x:c r="F52" s="161"/>
      <x:c r="G52" s="161"/>
      <x:c r="H52" s="161"/>
    </x:row>
    <x:row r="53" ht="27" customHeight="1">
      <x:c r="A53" s="161"/>
      <x:c r="B53" s="161"/>
      <x:c r="C53" s="161"/>
      <x:c r="D53" s="161"/>
      <x:c r="E53" s="161"/>
      <x:c r="F53" s="161"/>
      <x:c r="G53" s="161"/>
      <x:c r="H53" s="161"/>
    </x:row>
    <x:row r="54" ht="27" customHeight="1">
      <x:c r="A54" s="161" t="str">
        <x:v>25. Calibrare</x:v>
      </x:c>
      <x:c r="B54" s="161" t="str">
        <x:v>Numărătorul și numitorul folosesc exact aceleași observații frozen+settled valide. Meciurile fără rezultat nu intră în rată sau media probabilităților.</x:v>
      </x:c>
      <x:c r="C54" s="161"/>
      <x:c r="D54" s="161"/>
      <x:c r="E54" s="161"/>
      <x:c r="F54" s="161"/>
      <x:c r="G54" s="161"/>
      <x:c r="H54" s="161"/>
    </x:row>
    <x:row r="55" ht="27" customHeight="1">
      <x:c r="A55" s="161"/>
      <x:c r="B55" s="161"/>
      <x:c r="C55" s="161"/>
      <x:c r="D55" s="161"/>
      <x:c r="E55" s="161"/>
      <x:c r="F55" s="161"/>
      <x:c r="G55" s="161"/>
      <x:c r="H55" s="161"/>
    </x:row>
    <x:row r="56" ht="27" customHeight="1">
      <x:c r="A56" s="161" t="str">
        <x:v>26. Versiuni</x:v>
      </x:c>
      <x:c r="B56" s="161" t="str">
        <x:v>BTTS optimizat_v2 înlocuiește regulile active BTTS v1–v6 din fișierul anterior. Cadru v6 (amendament BTTS) permite nivel1 condiționat; alte familii nu sunt modificate.</x:v>
      </x:c>
      <x:c r="C56" s="161"/>
      <x:c r="D56" s="161"/>
      <x:c r="E56" s="161"/>
      <x:c r="F56" s="161"/>
      <x:c r="G56" s="161"/>
      <x:c r="H56" s="161"/>
    </x:row>
    <x:row r="57" ht="27" customHeight="1">
      <x:c r="A57" s="161"/>
      <x:c r="B57" s="161"/>
      <x:c r="C57" s="161"/>
      <x:c r="D57" s="161"/>
      <x:c r="E57" s="161"/>
      <x:c r="F57" s="161"/>
      <x:c r="G57" s="161"/>
      <x:c r="H57" s="161"/>
    </x:row>
    <x:row r="58" ht="27" customHeight="1">
      <x:c r="A58" s="161" t="str">
        <x:v>27. Ordine utilizare</x:v>
      </x:c>
      <x:c r="B58" s="161" t="str">
        <x:v>Date și trasabilitate → motor → gate-uri → risc → selector → Dashboard. Nu completați date fictive ca să obțineți PASS.</x:v>
      </x:c>
      <x:c r="C58" s="161"/>
      <x:c r="D58" s="161"/>
      <x:c r="E58" s="161"/>
      <x:c r="F58" s="161"/>
      <x:c r="G58" s="161"/>
      <x:c r="H58" s="161"/>
    </x:row>
    <x:row r="59" ht="27" customHeight="1">
      <x:c r="A59" s="161"/>
      <x:c r="B59" s="161"/>
      <x:c r="C59" s="161"/>
      <x:c r="D59" s="161"/>
      <x:c r="E59" s="161"/>
      <x:c r="F59" s="161"/>
      <x:c r="G59" s="161"/>
      <x:c r="H59" s="161"/>
    </x:row>
    <x:row r="60" ht="27" customHeight="1">
      <x:c r="A60" s="161" t="str">
        <x:v>28. Identitate recomandare</x:v>
      </x:c>
      <x:c r="B60" s="161" t="str">
        <x:v>STRONG BET este forța semnalului, DEFENSIV este clasa de risc. Cele două etichete sunt raportate separat, dar controlate de aceeași decizie.</x:v>
      </x:c>
      <x:c r="C60" s="161"/>
      <x:c r="D60" s="161"/>
      <x:c r="E60" s="161"/>
      <x:c r="F60" s="161"/>
      <x:c r="G60" s="161"/>
      <x:c r="H60" s="161"/>
    </x:row>
    <x:row r="61" ht="27" customHeight="1">
      <x:c r="A61" s="161"/>
      <x:c r="B61" s="161"/>
      <x:c r="C61" s="161"/>
      <x:c r="D61" s="161"/>
      <x:c r="E61" s="161"/>
      <x:c r="F61" s="161"/>
      <x:c r="G61" s="161"/>
      <x:c r="H61" s="161"/>
    </x:row>
    <x:row r="62" ht="28" customHeight="1">
      <x:c r="A62" s="161"/>
      <x:c r="B62" s="161"/>
      <x:c r="C62" s="161"/>
      <x:c r="D62" s="161"/>
      <x:c r="E62" s="161"/>
      <x:c r="F62" s="161"/>
      <x:c r="G62" s="161"/>
      <x:c r="H62" s="161"/>
    </x:row>
    <x:row r="63" ht="28" customHeight="1">
      <x:c r="A63" s="161"/>
      <x:c r="B63" s="161"/>
      <x:c r="C63" s="161"/>
      <x:c r="D63" s="161"/>
      <x:c r="E63" s="161"/>
      <x:c r="F63" s="161"/>
      <x:c r="G63" s="161"/>
      <x:c r="H63" s="161"/>
    </x:row>
    <x:row r="64" ht="28" customHeight="1">
      <x:c r="A64" s="161"/>
      <x:c r="B64" s="161"/>
      <x:c r="C64" s="161"/>
      <x:c r="D64" s="161"/>
      <x:c r="E64" s="161"/>
      <x:c r="F64" s="161"/>
      <x:c r="G64" s="161"/>
      <x:c r="H64" s="161"/>
    </x:row>
    <x:row r="65" ht="28" customHeight="1">
      <x:c r="A65" s="161"/>
      <x:c r="B65" s="161"/>
      <x:c r="C65" s="161"/>
      <x:c r="D65" s="161"/>
      <x:c r="E65" s="161"/>
      <x:c r="F65" s="161"/>
      <x:c r="G65" s="161"/>
      <x:c r="H65" s="161"/>
    </x:row>
    <x:row r="66" ht="28" customHeight="1">
      <x:c r="A66" s="161"/>
      <x:c r="B66" s="161"/>
      <x:c r="C66" s="161"/>
      <x:c r="D66" s="161"/>
      <x:c r="E66" s="161"/>
      <x:c r="F66" s="161"/>
      <x:c r="G66" s="161"/>
      <x:c r="H66" s="161"/>
    </x:row>
    <x:row r="67" ht="28" customHeight="1">
      <x:c r="A67" s="161"/>
      <x:c r="B67" s="161"/>
      <x:c r="C67" s="161"/>
      <x:c r="D67" s="161"/>
      <x:c r="E67" s="161"/>
      <x:c r="F67" s="161"/>
      <x:c r="G67" s="161"/>
      <x:c r="H67" s="161"/>
    </x:row>
    <x:row r="68" ht="28" customHeight="1">
      <x:c r="A68" s="161"/>
      <x:c r="B68" s="161"/>
      <x:c r="C68" s="161"/>
      <x:c r="D68" s="161"/>
      <x:c r="E68" s="161"/>
      <x:c r="F68" s="161"/>
      <x:c r="G68" s="161"/>
      <x:c r="H68" s="161"/>
    </x:row>
    <x:row r="69" ht="28" customHeight="1">
      <x:c r="A69" s="161"/>
      <x:c r="B69" s="161"/>
      <x:c r="C69" s="161"/>
      <x:c r="D69" s="161"/>
      <x:c r="E69" s="161"/>
      <x:c r="F69" s="161"/>
      <x:c r="G69" s="161"/>
      <x:c r="H69" s="161"/>
    </x:row>
    <x:row r="70" ht="28" customHeight="1">
      <x:c r="A70" s="161"/>
      <x:c r="B70" s="161"/>
      <x:c r="C70" s="161"/>
      <x:c r="D70" s="161"/>
      <x:c r="E70" s="161"/>
      <x:c r="F70" s="161"/>
      <x:c r="G70" s="161"/>
      <x:c r="H70" s="161"/>
    </x:row>
    <x:row r="71" ht="28" customHeight="1">
      <x:c r="A71" s="161"/>
      <x:c r="B71" s="161"/>
      <x:c r="C71" s="161"/>
      <x:c r="D71" s="161"/>
      <x:c r="E71" s="161"/>
      <x:c r="F71" s="161"/>
      <x:c r="G71" s="161"/>
      <x:c r="H71" s="161"/>
    </x:row>
    <x:row r="72" ht="28" customHeight="1">
      <x:c r="A72" s="161"/>
      <x:c r="B72" s="161"/>
      <x:c r="C72" s="161"/>
      <x:c r="D72" s="161"/>
      <x:c r="E72" s="161"/>
      <x:c r="F72" s="161"/>
      <x:c r="G72" s="161"/>
      <x:c r="H72" s="161"/>
    </x:row>
    <x:row r="73" ht="28" customHeight="1">
      <x:c r="A73" s="161"/>
      <x:c r="B73" s="161"/>
      <x:c r="C73" s="161"/>
      <x:c r="D73" s="161"/>
      <x:c r="E73" s="161"/>
      <x:c r="F73" s="161"/>
      <x:c r="G73" s="161"/>
      <x:c r="H73" s="161"/>
    </x:row>
    <x:row r="74" ht="28" customHeight="1">
      <x:c r="A74" s="161"/>
      <x:c r="B74" s="161"/>
      <x:c r="C74" s="161"/>
      <x:c r="D74" s="161"/>
      <x:c r="E74" s="161"/>
      <x:c r="F74" s="161"/>
      <x:c r="G74" s="161"/>
      <x:c r="H74" s="161"/>
    </x:row>
    <x:row r="75" ht="28" customHeight="1">
      <x:c r="A75" s="161"/>
      <x:c r="B75" s="161"/>
      <x:c r="C75" s="161"/>
      <x:c r="D75" s="161"/>
      <x:c r="E75" s="161"/>
      <x:c r="F75" s="161"/>
      <x:c r="G75" s="161"/>
      <x:c r="H75" s="161"/>
    </x:row>
    <x:row r="76" ht="28" customHeight="1">
      <x:c r="A76" s="161"/>
      <x:c r="B76" s="161"/>
      <x:c r="C76" s="161"/>
      <x:c r="D76" s="161"/>
      <x:c r="E76" s="161"/>
      <x:c r="F76" s="161"/>
      <x:c r="G76" s="161"/>
      <x:c r="H76" s="161"/>
    </x:row>
    <x:row r="77" ht="28" customHeight="1">
      <x:c r="A77" s="161"/>
      <x:c r="B77" s="161"/>
      <x:c r="C77" s="161"/>
      <x:c r="D77" s="161"/>
      <x:c r="E77" s="161"/>
      <x:c r="F77" s="161"/>
      <x:c r="G77" s="161"/>
      <x:c r="H77" s="161"/>
    </x:row>
    <x:row r="78" ht="28" customHeight="1">
      <x:c r="A78" s="161"/>
      <x:c r="B78" s="161"/>
      <x:c r="C78" s="161"/>
      <x:c r="D78" s="161"/>
      <x:c r="E78" s="161"/>
      <x:c r="F78" s="161"/>
      <x:c r="G78" s="161"/>
      <x:c r="H78" s="161"/>
    </x:row>
    <x:row r="79" ht="28" customHeight="1">
      <x:c r="A79" s="161"/>
      <x:c r="B79" s="161"/>
      <x:c r="C79" s="161"/>
      <x:c r="D79" s="161"/>
      <x:c r="E79" s="161"/>
      <x:c r="F79" s="161"/>
      <x:c r="G79" s="161"/>
      <x:c r="H79" s="161"/>
    </x:row>
    <x:row r="80" ht="28" customHeight="1">
      <x:c r="A80" s="161"/>
      <x:c r="B80" s="161"/>
      <x:c r="C80" s="161"/>
      <x:c r="D80" s="161"/>
      <x:c r="E80" s="161"/>
      <x:c r="F80" s="161"/>
      <x:c r="G80" s="161"/>
      <x:c r="H80" s="161"/>
    </x:row>
    <x:row r="81" ht="28" customHeight="1">
      <x:c r="A81" s="161"/>
      <x:c r="B81" s="161"/>
      <x:c r="C81" s="161"/>
      <x:c r="D81" s="161"/>
      <x:c r="E81" s="161"/>
      <x:c r="F81" s="161"/>
      <x:c r="G81" s="161"/>
      <x:c r="H81" s="161"/>
    </x:row>
    <x:row r="82" ht="28" customHeight="1">
      <x:c r="A82" s="161"/>
      <x:c r="B82" s="161"/>
      <x:c r="C82" s="161"/>
      <x:c r="D82" s="161"/>
      <x:c r="E82" s="161"/>
      <x:c r="F82" s="161"/>
      <x:c r="G82" s="161"/>
      <x:c r="H82" s="161"/>
    </x:row>
    <x:row r="83" ht="28" customHeight="1">
      <x:c r="A83" s="161"/>
      <x:c r="B83" s="161"/>
      <x:c r="C83" s="161"/>
      <x:c r="D83" s="161"/>
      <x:c r="E83" s="161"/>
      <x:c r="F83" s="161"/>
      <x:c r="G83" s="161"/>
      <x:c r="H83" s="161"/>
    </x:row>
    <x:row r="84" ht="28" customHeight="1">
      <x:c r="A84" s="161"/>
      <x:c r="B84" s="161"/>
      <x:c r="C84" s="161"/>
      <x:c r="D84" s="161"/>
      <x:c r="E84" s="161"/>
      <x:c r="F84" s="161"/>
      <x:c r="G84" s="161"/>
      <x:c r="H84" s="161"/>
    </x:row>
    <x:row r="85" ht="28" customHeight="1">
      <x:c r="A85" s="161"/>
      <x:c r="B85" s="161"/>
      <x:c r="C85" s="161"/>
      <x:c r="D85" s="161"/>
      <x:c r="E85" s="161"/>
      <x:c r="F85" s="161"/>
      <x:c r="G85" s="161"/>
      <x:c r="H85" s="161"/>
    </x:row>
    <x:row r="86" ht="28" customHeight="1">
      <x:c r="A86" s="161"/>
      <x:c r="B86" s="161"/>
      <x:c r="C86" s="161"/>
      <x:c r="D86" s="161"/>
      <x:c r="E86" s="161"/>
      <x:c r="F86" s="161"/>
      <x:c r="G86" s="161"/>
      <x:c r="H86" s="161"/>
    </x:row>
    <x:row r="87" ht="28" customHeight="1">
      <x:c r="A87" s="161"/>
      <x:c r="B87" s="161"/>
      <x:c r="C87" s="161"/>
      <x:c r="D87" s="161"/>
      <x:c r="E87" s="161"/>
      <x:c r="F87" s="161"/>
      <x:c r="G87" s="161"/>
      <x:c r="H87" s="161"/>
    </x:row>
    <x:row r="88" ht="28" customHeight="1">
      <x:c r="A88" s="161"/>
      <x:c r="B88" s="161"/>
      <x:c r="C88" s="161"/>
      <x:c r="D88" s="161"/>
      <x:c r="E88" s="161"/>
      <x:c r="F88" s="161"/>
      <x:c r="G88" s="161"/>
      <x:c r="H88" s="161"/>
    </x:row>
    <x:row r="89" ht="28" customHeight="1">
      <x:c r="A89" s="161"/>
      <x:c r="B89" s="161"/>
      <x:c r="C89" s="161"/>
      <x:c r="D89" s="161"/>
      <x:c r="E89" s="161"/>
      <x:c r="F89" s="161"/>
      <x:c r="G89" s="161"/>
      <x:c r="H89" s="161"/>
    </x:row>
    <x:row r="90" ht="28" customHeight="1">
      <x:c r="A90" s="161"/>
      <x:c r="B90" s="161"/>
      <x:c r="C90" s="161"/>
      <x:c r="D90" s="161"/>
      <x:c r="E90" s="161"/>
      <x:c r="F90" s="161"/>
      <x:c r="G90" s="161"/>
      <x:c r="H90" s="161"/>
    </x:row>
    <x:row r="91" ht="28" customHeight="1">
      <x:c r="A91" s="161"/>
      <x:c r="B91" s="161"/>
      <x:c r="C91" s="161"/>
      <x:c r="D91" s="161"/>
      <x:c r="E91" s="161"/>
      <x:c r="F91" s="161"/>
      <x:c r="G91" s="161"/>
      <x:c r="H91" s="161"/>
    </x:row>
    <x:row r="92" ht="28" customHeight="1">
      <x:c r="A92" s="161"/>
      <x:c r="B92" s="161"/>
      <x:c r="C92" s="161"/>
      <x:c r="D92" s="161"/>
      <x:c r="E92" s="161"/>
      <x:c r="F92" s="161"/>
      <x:c r="G92" s="161"/>
      <x:c r="H92" s="161"/>
    </x:row>
    <x:row r="93" ht="28" customHeight="1">
      <x:c r="A93" s="161"/>
      <x:c r="B93" s="161"/>
      <x:c r="C93" s="161"/>
      <x:c r="D93" s="161"/>
      <x:c r="E93" s="161"/>
      <x:c r="F93" s="161"/>
      <x:c r="G93" s="161"/>
      <x:c r="H93" s="161"/>
    </x:row>
    <x:row r="94" ht="28" customHeight="1">
      <x:c r="A94" s="161"/>
      <x:c r="B94" s="161"/>
      <x:c r="C94" s="161"/>
      <x:c r="D94" s="161"/>
      <x:c r="E94" s="161"/>
      <x:c r="F94" s="161"/>
      <x:c r="G94" s="161"/>
      <x:c r="H94" s="161"/>
    </x:row>
    <x:row r="95" ht="28" customHeight="1">
      <x:c r="A95" s="161"/>
      <x:c r="B95" s="161"/>
      <x:c r="C95" s="161"/>
      <x:c r="D95" s="161"/>
      <x:c r="E95" s="161"/>
      <x:c r="F95" s="161"/>
      <x:c r="G95" s="161"/>
      <x:c r="H95" s="161"/>
    </x:row>
    <x:row r="96" ht="28" customHeight="1">
      <x:c r="A96" s="161"/>
      <x:c r="B96" s="161"/>
      <x:c r="C96" s="161"/>
      <x:c r="D96" s="161"/>
      <x:c r="E96" s="161"/>
      <x:c r="F96" s="161"/>
      <x:c r="G96" s="161"/>
      <x:c r="H96" s="161"/>
    </x:row>
    <x:row r="97" ht="28" customHeight="1">
      <x:c r="A97" s="161"/>
      <x:c r="B97" s="161"/>
      <x:c r="C97" s="161"/>
      <x:c r="D97" s="161"/>
      <x:c r="E97" s="161"/>
      <x:c r="F97" s="161"/>
      <x:c r="G97" s="161"/>
      <x:c r="H97" s="161"/>
    </x:row>
    <x:row r="98" ht="28" customHeight="1">
      <x:c r="A98" s="161"/>
      <x:c r="B98" s="161"/>
      <x:c r="C98" s="161"/>
      <x:c r="D98" s="161"/>
      <x:c r="E98" s="161"/>
      <x:c r="F98" s="161"/>
      <x:c r="G98" s="161"/>
      <x:c r="H98" s="161"/>
    </x:row>
    <x:row r="99" ht="28" customHeight="1">
      <x:c r="A99" s="161"/>
      <x:c r="B99" s="161"/>
      <x:c r="C99" s="161"/>
      <x:c r="D99" s="161"/>
      <x:c r="E99" s="161"/>
      <x:c r="F99" s="161"/>
      <x:c r="G99" s="161"/>
      <x:c r="H99" s="161"/>
    </x:row>
    <x:row r="100" ht="28" customHeight="1">
      <x:c r="A100" s="161"/>
      <x:c r="B100" s="161"/>
      <x:c r="C100" s="161"/>
      <x:c r="D100" s="161"/>
      <x:c r="E100" s="161"/>
      <x:c r="F100" s="161"/>
      <x:c r="G100" s="161"/>
      <x:c r="H100" s="161"/>
    </x:row>
  </x:sheetData>
  <x:mergeCells>
    <x:mergeCell ref="A1:H1"/>
    <x:mergeCell ref="B4:H5"/>
    <x:mergeCell ref="A4:A5"/>
    <x:mergeCell ref="B6:H7"/>
    <x:mergeCell ref="A6:A7"/>
    <x:mergeCell ref="B8:H9"/>
    <x:mergeCell ref="A8:A9"/>
    <x:mergeCell ref="B10:H11"/>
    <x:mergeCell ref="A10:A11"/>
    <x:mergeCell ref="B12:H13"/>
    <x:mergeCell ref="A12:A13"/>
    <x:mergeCell ref="B14:H15"/>
    <x:mergeCell ref="A14:A15"/>
    <x:mergeCell ref="B16:H17"/>
    <x:mergeCell ref="A16:A17"/>
    <x:mergeCell ref="B18:H19"/>
    <x:mergeCell ref="A18:A19"/>
    <x:mergeCell ref="B20:H21"/>
    <x:mergeCell ref="A20:A21"/>
    <x:mergeCell ref="B22:H23"/>
    <x:mergeCell ref="A22:A23"/>
    <x:mergeCell ref="B24:H25"/>
    <x:mergeCell ref="A24:A25"/>
    <x:mergeCell ref="B26:H27"/>
    <x:mergeCell ref="A26:A27"/>
    <x:mergeCell ref="B28:H29"/>
    <x:mergeCell ref="A28:A29"/>
    <x:mergeCell ref="B30:H31"/>
    <x:mergeCell ref="A30:A31"/>
    <x:mergeCell ref="B32:H33"/>
    <x:mergeCell ref="A32:A33"/>
    <x:mergeCell ref="B34:H35"/>
    <x:mergeCell ref="A34:A35"/>
    <x:mergeCell ref="B36:H37"/>
    <x:mergeCell ref="A36:A37"/>
    <x:mergeCell ref="B38:H39"/>
    <x:mergeCell ref="A38:A39"/>
    <x:mergeCell ref="B40:H41"/>
    <x:mergeCell ref="A40:A41"/>
    <x:mergeCell ref="B42:H43"/>
    <x:mergeCell ref="A42:A43"/>
    <x:mergeCell ref="B44:H45"/>
    <x:mergeCell ref="A44:A45"/>
    <x:mergeCell ref="B46:H47"/>
    <x:mergeCell ref="A46:A47"/>
    <x:mergeCell ref="B48:H49"/>
    <x:mergeCell ref="A48:A49"/>
    <x:mergeCell ref="B50:H51"/>
    <x:mergeCell ref="A50:A51"/>
    <x:mergeCell ref="B52:H53"/>
    <x:mergeCell ref="A52:A53"/>
    <x:mergeCell ref="B54:H55"/>
    <x:mergeCell ref="A54:A55"/>
    <x:mergeCell ref="B56:H57"/>
    <x:mergeCell ref="A56:A57"/>
    <x:mergeCell ref="B58:H59"/>
    <x:mergeCell ref="A58:A59"/>
    <x:mergeCell ref="B60:H61"/>
    <x:mergeCell ref="A60:A6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2" customHeight="1">
      <x:c r="A1" s="163" t="str">
        <x:v>BTTS optimizat_v2 – praguri și parametri</x:v>
      </x:c>
      <x:c r="B1" s="163"/>
      <x:c r="C1" s="163"/>
      <x:c r="D1" s="163"/>
    </x:row>
    <x:row r="2" ht="28" customHeight="1">
      <x:c r="A2" s="161"/>
      <x:c r="B2" s="161"/>
      <x:c r="C2" s="161"/>
      <x:c r="D2" s="161"/>
    </x:row>
    <x:row r="3" ht="38" customHeight="1">
      <x:c r="A3" s="165" t="str">
        <x:v>Parametru</x:v>
      </x:c>
      <x:c r="B3" s="165" t="str">
        <x:v>Valoare</x:v>
      </x:c>
      <x:c r="C3" s="165" t="str">
        <x:v>Unitate</x:v>
      </x:c>
      <x:c r="D3" s="165" t="str">
        <x:v>Utilizare</x:v>
      </x:c>
    </x:row>
    <x:row r="4" ht="28" customHeight="1">
      <x:c r="A4" s="161" t="str">
        <x:v>P BTTS DEFENSIV</x:v>
      </x:c>
      <x:c r="B4" s="168" t="n">
        <x:v>0.8</x:v>
      </x:c>
      <x:c r="C4" s="161" t="str">
        <x:v>probabilitate</x:v>
      </x:c>
      <x:c r="D4" s="161" t="str">
        <x:v>Minimum</x:v>
      </x:c>
    </x:row>
    <x:row r="5" ht="28" customHeight="1">
      <x:c r="A5" s="161" t="str">
        <x:v>P(score) fiecare DEFENSIV</x:v>
      </x:c>
      <x:c r="B5" s="168" t="n">
        <x:v>0.85</x:v>
      </x:c>
      <x:c r="C5" s="161" t="str">
        <x:v>probabilitate</x:v>
      </x:c>
      <x:c r="D5" s="161" t="str">
        <x:v>Ambele echipe</x:v>
      </x:c>
    </x:row>
    <x:row r="6" ht="28" customHeight="1">
      <x:c r="A6" s="161" t="str">
        <x:v>Mismatch DEFENSIV</x:v>
      </x:c>
      <x:c r="B6" s="168" t="n">
        <x:v>0.1</x:v>
      </x:c>
      <x:c r="C6" s="161" t="str">
        <x:v>pp / 100</x:v>
      </x:c>
      <x:c r="D6" s="161" t="str">
        <x:v>Maximum</x:v>
      </x:c>
    </x:row>
    <x:row r="7" ht="28" customHeight="1">
      <x:c r="A7" s="161" t="str">
        <x:v>Blank recent H/A DEFENSIV</x:v>
      </x:c>
      <x:c r="B7" s="168" t="n">
        <x:v>0.15</x:v>
      </x:c>
      <x:c r="C7" s="161" t="str">
        <x:v>frecvență</x:v>
      </x:c>
      <x:c r="D7" s="161" t="str">
        <x:v>Ambele echipe</x:v>
      </x:c>
    </x:row>
    <x:row r="8" ht="28" customHeight="1">
      <x:c r="A8" s="161" t="str">
        <x:v>Opponent CS recent DEFENSIV</x:v>
      </x:c>
      <x:c r="B8" s="168" t="n">
        <x:v>0.15</x:v>
      </x:c>
      <x:c r="C8" s="161" t="str">
        <x:v>frecvență</x:v>
      </x:c>
      <x:c r="D8" s="161" t="str">
        <x:v>Ambele sensuri</x:v>
      </x:c>
    </x:row>
    <x:row r="9" ht="28" customHeight="1">
      <x:c r="A9" s="161" t="str">
        <x:v>Risk Score DEFENSIV</x:v>
      </x:c>
      <x:c r="B9" s="169" t="n">
        <x:v>20</x:v>
      </x:c>
      <x:c r="C9" s="161" t="str">
        <x:v>0–100</x:v>
      </x:c>
      <x:c r="D9" s="161" t="str">
        <x:v>Maximum</x:v>
      </x:c>
    </x:row>
    <x:row r="10" ht="28" customHeight="1">
      <x:c r="A10" s="161" t="str">
        <x:v>P(score) BET</x:v>
      </x:c>
      <x:c r="B10" s="168" t="n">
        <x:v>0.68</x:v>
      </x:c>
      <x:c r="C10" s="161" t="str">
        <x:v>probabilitate</x:v>
      </x:c>
      <x:c r="D10" s="161" t="str">
        <x:v>Ambele echipe; G0</x:v>
      </x:c>
    </x:row>
    <x:row r="11" ht="28" customHeight="1">
      <x:c r="A11" s="161" t="str">
        <x:v>Blank BET</x:v>
      </x:c>
      <x:c r="B11" s="168" t="n">
        <x:v>0.32</x:v>
      </x:c>
      <x:c r="C11" s="161" t="str">
        <x:v>frecvență</x:v>
      </x:c>
      <x:c r="D11" s="161" t="str">
        <x:v>Recent H/A; fallback H/A</x:v>
      </x:c>
    </x:row>
    <x:row r="12" ht="28" customHeight="1">
      <x:c r="A12" s="161" t="str">
        <x:v>Opponent CS BET</x:v>
      </x:c>
      <x:c r="B12" s="168" t="n">
        <x:v>0.3</x:v>
      </x:c>
      <x:c r="C12" s="161" t="str">
        <x:v>frecvență</x:v>
      </x:c>
      <x:c r="D12" s="161" t="str">
        <x:v>Recent H/A; fallback H/A</x:v>
      </x:c>
    </x:row>
    <x:row r="13" ht="28" customHeight="1">
      <x:c r="A13" s="161" t="str">
        <x:v>P(score) STRONG</x:v>
      </x:c>
      <x:c r="B13" s="168" t="n">
        <x:v>0.72</x:v>
      </x:c>
      <x:c r="C13" s="161" t="str">
        <x:v>probabilitate</x:v>
      </x:c>
      <x:c r="D13" s="161" t="str">
        <x:v>Prag v3 reconciliat</x:v>
      </x:c>
    </x:row>
    <x:row r="14" ht="28" customHeight="1">
      <x:c r="A14" s="161" t="str">
        <x:v>Mismatch STRONG</x:v>
      </x:c>
      <x:c r="B14" s="168" t="n">
        <x:v>0.12</x:v>
      </x:c>
      <x:c r="C14" s="161" t="str">
        <x:v>pp / 100</x:v>
      </x:c>
      <x:c r="D14" s="161" t="str">
        <x:v>Maximum</x:v>
      </x:c>
    </x:row>
    <x:row r="15" ht="28" customHeight="1">
      <x:c r="A15" s="161" t="str">
        <x:v>Blank STRONG</x:v>
      </x:c>
      <x:c r="B15" s="168" t="n">
        <x:v>0.28</x:v>
      </x:c>
      <x:c r="C15" s="161" t="str">
        <x:v>frecvență</x:v>
      </x:c>
      <x:c r="D15" s="161" t="str">
        <x:v>Maximum</x:v>
      </x:c>
    </x:row>
    <x:row r="16" ht="28" customHeight="1">
      <x:c r="A16" s="161" t="str">
        <x:v>Opponent CS STRONG</x:v>
      </x:c>
      <x:c r="B16" s="168" t="n">
        <x:v>0.25</x:v>
      </x:c>
      <x:c r="C16" s="161" t="str">
        <x:v>frecvență</x:v>
      </x:c>
      <x:c r="D16" s="161" t="str">
        <x:v>Maximum</x:v>
      </x:c>
    </x:row>
    <x:row r="17" ht="28" customHeight="1">
      <x:c r="A17" s="161" t="str">
        <x:v>P BTTS STRONG</x:v>
      </x:c>
      <x:c r="B17" s="168" t="n">
        <x:v>0.66</x:v>
      </x:c>
      <x:c r="C17" s="161" t="str">
        <x:v>probabilitate</x:v>
      </x:c>
      <x:c r="D17" s="161" t="str">
        <x:v>Minimum</x:v>
      </x:c>
    </x:row>
    <x:row r="18" ht="28" customHeight="1">
      <x:c r="A18" s="161" t="str">
        <x:v>Scor STRONG</x:v>
      </x:c>
      <x:c r="B18" s="169" t="n">
        <x:v>75</x:v>
      </x:c>
      <x:c r="C18" s="161" t="str">
        <x:v>0–100</x:v>
      </x:c>
      <x:c r="D18" s="161" t="str">
        <x:v>Minimum</x:v>
      </x:c>
    </x:row>
    <x:row r="19" ht="28" customHeight="1">
      <x:c r="A19" s="161" t="str">
        <x:v>P BTTS BET</x:v>
      </x:c>
      <x:c r="B19" s="168" t="n">
        <x:v>0.61</x:v>
      </x:c>
      <x:c r="C19" s="161" t="str">
        <x:v>probabilitate</x:v>
      </x:c>
      <x:c r="D19" s="161" t="str">
        <x:v>Minimum</x:v>
      </x:c>
    </x:row>
    <x:row r="20" ht="28" customHeight="1">
      <x:c r="A20" s="161" t="str">
        <x:v>Scor BET</x:v>
      </x:c>
      <x:c r="B20" s="169" t="n">
        <x:v>68</x:v>
      </x:c>
      <x:c r="C20" s="161" t="str">
        <x:v>0–100</x:v>
      </x:c>
      <x:c r="D20" s="161" t="str">
        <x:v>Minimum</x:v>
      </x:c>
    </x:row>
    <x:row r="21" ht="28" customHeight="1">
      <x:c r="A21" s="161" t="str">
        <x:v>Mismatch BET</x:v>
      </x:c>
      <x:c r="B21" s="168" t="n">
        <x:v>0.18</x:v>
      </x:c>
      <x:c r="C21" s="161" t="str">
        <x:v>pp / 100</x:v>
      </x:c>
      <x:c r="D21" s="161" t="str">
        <x:v>Maximum</x:v>
      </x:c>
    </x:row>
    <x:row r="22" ht="28" customHeight="1">
      <x:c r="A22" s="161" t="str">
        <x:v>P BTTS LEAN</x:v>
      </x:c>
      <x:c r="B22" s="168" t="n">
        <x:v>0.56</x:v>
      </x:c>
      <x:c r="C22" s="161" t="str">
        <x:v>probabilitate</x:v>
      </x:c>
      <x:c r="D22" s="161" t="str">
        <x:v>Numai după G0 PASS</x:v>
      </x:c>
    </x:row>
    <x:row r="23" ht="28" customHeight="1">
      <x:c r="A23" s="161" t="str">
        <x:v>P(score) AVOID</x:v>
      </x:c>
      <x:c r="B23" s="168" t="n">
        <x:v>0.58</x:v>
      </x:c>
      <x:c r="C23" s="161" t="str">
        <x:v>probabilitate</x:v>
      </x:c>
      <x:c r="D23" s="161" t="str">
        <x:v>Sub prag</x:v>
      </x:c>
    </x:row>
    <x:row r="24" ht="28" customHeight="1">
      <x:c r="A24" s="161" t="str">
        <x:v>Mismatch AVOID</x:v>
      </x:c>
      <x:c r="B24" s="168" t="n">
        <x:v>0.25</x:v>
      </x:c>
      <x:c r="C24" s="161" t="str">
        <x:v>pp / 100</x:v>
      </x:c>
      <x:c r="D24" s="161" t="str">
        <x:v>Peste prag</x:v>
      </x:c>
    </x:row>
    <x:row r="25" ht="28" customHeight="1">
      <x:c r="A25" s="161" t="str">
        <x:v>N țintă curent</x:v>
      </x:c>
      <x:c r="B25" s="169" t="n">
        <x:v>10</x:v>
      </x:c>
      <x:c r="C25" s="161" t="str">
        <x:v>meciuri</x:v>
      </x:c>
      <x:c r="D25" s="161" t="str">
        <x:v>Fiabilitate graduală</x:v>
      </x:c>
    </x:row>
    <x:row r="26" ht="28" customHeight="1">
      <x:c r="A26" s="161" t="str">
        <x:v>Forța priorului k</x:v>
      </x:c>
      <x:c r="B26" s="169" t="n">
        <x:v>10</x:v>
      </x:c>
      <x:c r="C26" s="161" t="str">
        <x:v>meciuri</x:v>
      </x:c>
      <x:c r="D26" s="161" t="str">
        <x:v>w=N/(N+k), cu prior valid</x:v>
      </x:c>
    </x:row>
    <x:row r="27" ht="28" customHeight="1">
      <x:c r="A27" s="161" t="str">
        <x:v>N țintă prior</x:v>
      </x:c>
      <x:c r="B27" s="169" t="n">
        <x:v>20</x:v>
      </x:c>
      <x:c r="C27" s="161" t="str">
        <x:v>meciuri</x:v>
      </x:c>
      <x:c r="D27" s="161" t="str">
        <x:v>Fiabilitate prior</x:v>
      </x:c>
    </x:row>
    <x:row r="28" ht="28" customHeight="1">
      <x:c r="A28" s="161" t="str">
        <x:v>Toleranță scored+blank / conceded+CS</x:v>
      </x:c>
      <x:c r="B28" s="168" t="n">
        <x:v>0.03</x:v>
      </x:c>
      <x:c r="C28" s="161" t="str">
        <x:v>pp / 100</x:v>
      </x:c>
      <x:c r="D28" s="161" t="str">
        <x:v>Aceeași perioadă / populație</x:v>
      </x:c>
    </x:row>
    <x:row r="29" ht="28" customHeight="1">
      <x:c r="A29" s="161" t="str">
        <x:v>Penalty cap</x:v>
      </x:c>
      <x:c r="B29" s="168" t="n">
        <x:v>0.22</x:v>
      </x:c>
      <x:c r="C29" s="161" t="str">
        <x:v>pp / 100</x:v>
      </x:c>
      <x:c r="D29" s="161" t="str">
        <x:v>Weakest / mismatch</x:v>
      </x:c>
    </x:row>
    <x:row r="30" ht="28" customHeight="1">
      <x:c r="A30" s="161" t="str">
        <x:v>Penalty unilateral</x:v>
      </x:c>
      <x:c r="B30" s="168" t="n">
        <x:v>0.04</x:v>
      </x:c>
      <x:c r="C30" s="161" t="str">
        <x:v>pp / 100</x:v>
      </x:c>
      <x:c r="D30" s="161" t="str">
        <x:v>Lambda total mare, weakest slab</x:v>
      </x:c>
    </x:row>
    <x:row r="31" ht="28" customHeight="1">
      <x:c r="A31" s="161" t="str">
        <x:v>Lambda total unilateral</x:v>
      </x:c>
      <x:c r="B31" s="169" t="n">
        <x:v>2.4</x:v>
      </x:c>
      <x:c r="C31" s="161" t="str">
        <x:v>goluri</x:v>
      </x:c>
      <x:c r="D31" s="161" t="str">
        <x:v>Prag control unilateral</x:v>
      </x:c>
    </x:row>
    <x:row r="32" ht="28" customHeight="1">
      <x:c r="A32" s="161" t="str">
        <x:v>PRE-XI haircut P(score)</x:v>
      </x:c>
      <x:c r="B32" s="168" t="n">
        <x:v>0.01</x:v>
      </x:c>
      <x:c r="C32" s="161" t="str">
        <x:v>pp / 100</x:v>
      </x:c>
      <x:c r="D32" s="161" t="str">
        <x:v>Pe fiecare marginală; soft</x:v>
      </x:c>
    </x:row>
    <x:row r="33" ht="28" customHeight="1">
      <x:c r="A33" s="161" t="str">
        <x:v>PRE-XI confidence cap</x:v>
      </x:c>
      <x:c r="B33" s="168" t="n">
        <x:v>0.95</x:v>
      </x:c>
      <x:c r="C33" s="161" t="str">
        <x:v>0–1</x:v>
      </x:c>
      <x:c r="D33" s="161" t="str">
        <x:v>Fără hard gate</x:v>
      </x:c>
    </x:row>
    <x:row r="34" ht="28" customHeight="1">
      <x:c r="A34" s="161" t="str">
        <x:v>Context neverificat: risc</x:v>
      </x:c>
      <x:c r="B34" s="169" t="n">
        <x:v>25</x:v>
      </x:c>
      <x:c r="C34" s="161" t="str">
        <x:v>0–100</x:v>
      </x:c>
      <x:c r="D34" s="161" t="str">
        <x:v>Nu echivalează cu risc zero</x:v>
      </x:c>
    </x:row>
    <x:row r="35" ht="28" customHeight="1">
      <x:c r="A35" s="161" t="str">
        <x:v>Model gap scale</x:v>
      </x:c>
      <x:c r="B35" s="168" t="n">
        <x:v>0.25</x:v>
      </x:c>
      <x:c r="C35" s="161" t="str">
        <x:v>pp / 100</x:v>
      </x:c>
      <x:c r="D35" s="161" t="str">
        <x:v>Diferența între estimatori</x:v>
      </x:c>
    </x:row>
    <x:row r="36" ht="28" customHeight="1">
      <x:c r="A36" s="161" t="str">
        <x:v>Compound scale</x:v>
      </x:c>
      <x:c r="B36" s="168" t="n">
        <x:v>0.25</x:v>
      </x:c>
      <x:c r="C36" s="161" t="str">
        <x:v>probabilitate</x:v>
      </x:c>
      <x:c r="D36" s="161" t="str">
        <x:v>Risc comun de blank</x:v>
      </x:c>
    </x:row>
    <x:row r="37" ht="28" customHeight="1">
      <x:c r="A37" s="161" t="str">
        <x:v>Risk Level 2 max</x:v>
      </x:c>
      <x:c r="B37" s="169" t="n">
        <x:v>40</x:v>
      </x:c>
      <x:c r="C37" s="161" t="str">
        <x:v>0–100</x:v>
      </x:c>
      <x:c r="D37" s="161" t="str">
        <x:v>Peste 20 până la 40</x:v>
      </x:c>
    </x:row>
    <x:row r="38" ht="28" customHeight="1">
      <x:c r="A38" s="161" t="str">
        <x:v>Risk Level 3 max</x:v>
      </x:c>
      <x:c r="B38" s="169" t="n">
        <x:v>60</x:v>
      </x:c>
      <x:c r="C38" s="161" t="str">
        <x:v>0–100</x:v>
      </x:c>
      <x:c r="D38" s="161" t="str">
        <x:v>Peste 40 până la 60</x:v>
      </x:c>
    </x:row>
    <x:row r="39" ht="28" customHeight="1">
      <x:c r="A39" s="161" t="str">
        <x:v>Risk Level 4 max</x:v>
      </x:c>
      <x:c r="B39" s="169" t="n">
        <x:v>80</x:v>
      </x:c>
      <x:c r="C39" s="161" t="str">
        <x:v>0–100</x:v>
      </x:c>
      <x:c r="D39" s="161" t="str">
        <x:v>Peste 60 până la 80</x:v>
      </x:c>
    </x:row>
    <x:row r="40" ht="28" customHeight="1">
      <x:c r="A40" s="161"/>
      <x:c r="B40" s="161"/>
      <x:c r="C40" s="161"/>
      <x:c r="D40" s="161"/>
    </x:row>
    <x:row r="41" ht="28" customHeight="1">
      <x:c r="A41" s="161"/>
      <x:c r="B41" s="161"/>
      <x:c r="C41" s="161"/>
      <x:c r="D41" s="161"/>
    </x:row>
    <x:row r="42" ht="38" customHeight="1">
      <x:c r="A42" s="165" t="str">
        <x:v>Componentă risc</x:v>
      </x:c>
      <x:c r="B42" s="165" t="str">
        <x:v>Pondere</x:v>
      </x:c>
      <x:c r="C42" s="165" t="str">
        <x:v>Definiție</x:v>
      </x:c>
      <x:c r="D42" s="165" t="str"/>
    </x:row>
    <x:row r="43" ht="28" customHeight="1">
      <x:c r="A43" s="161" t="str">
        <x:v>Calitatea datelor</x:v>
      </x:c>
      <x:c r="B43" s="170" t="n">
        <x:v>0.25</x:v>
      </x:c>
      <x:c r="C43" s="161" t="str">
        <x:v>1 − fiabilitatea medie</x:v>
      </x:c>
      <x:c r="D43" s="161" t="str"/>
    </x:row>
    <x:row r="44" ht="28" customHeight="1">
      <x:c r="A44" s="161" t="str">
        <x:v>Failure BTTS</x:v>
      </x:c>
      <x:c r="B44" s="170" t="n">
        <x:v>0.3</x:v>
      </x:c>
      <x:c r="C44" s="161" t="str">
        <x:v>1 − P BTTS ajustată</x:v>
      </x:c>
      <x:c r="D44" s="161" t="str"/>
    </x:row>
    <x:row r="45" ht="28" customHeight="1">
      <x:c r="A45" s="161" t="str">
        <x:v>Structură bilaterală</x:v>
      </x:c>
      <x:c r="B45" s="170" t="n">
        <x:v>0.15</x:v>
      </x:c>
      <x:c r="C45" s="161" t="str">
        <x:v>Maximum blank, CS advers și mismatch</x:v>
      </x:c>
      <x:c r="D45" s="161" t="str"/>
    </x:row>
    <x:row r="46" ht="28" customHeight="1">
      <x:c r="A46" s="161" t="str">
        <x:v>Context / game-state</x:v>
      </x:c>
      <x:c r="B46" s="170" t="n">
        <x:v>0.15</x:v>
      </x:c>
      <x:c r="C46" s="161" t="str">
        <x:v>Factori adversi + incertitudine context</x:v>
      </x:c>
      <x:c r="D46" s="161" t="str"/>
    </x:row>
    <x:row r="47" ht="28" customHeight="1">
      <x:c r="A47" s="161" t="str">
        <x:v>Incertitudine model</x:v>
      </x:c>
      <x:c r="B47" s="170" t="n">
        <x:v>0.1</x:v>
      </x:c>
      <x:c r="C47" s="161" t="str">
        <x:v>Sample/prior și diferența estimatorilor</x:v>
      </x:c>
      <x:c r="D47" s="161" t="str"/>
    </x:row>
    <x:row r="48" ht="28" customHeight="1">
      <x:c r="A48" s="161" t="str">
        <x:v>Preț / EV</x:v>
      </x:c>
      <x:c r="B48" s="170" t="n">
        <x:v>0</x:v>
      </x:c>
      <x:c r="C48" s="161" t="str">
        <x:v>Informativ; fără influență</x:v>
      </x:c>
      <x:c r="D48" s="161" t="str"/>
    </x:row>
    <x:row r="49" ht="28" customHeight="1">
      <x:c r="A49" s="161" t="str">
        <x:v>Risc comun de blank</x:v>
      </x:c>
      <x:c r="B49" s="170" t="n">
        <x:v>0.05</x:v>
      </x:c>
      <x:c r="C49" s="161" t="str">
        <x:v>Produsul probabilităților de nemarcare / scale</x:v>
      </x:c>
      <x:c r="D49" s="161" t="str"/>
    </x:row>
    <x:row r="50" ht="28" customHeight="1">
      <x:c r="A50" s="161"/>
      <x:c r="B50" s="161"/>
      <x:c r="C50" s="161"/>
      <x:c r="D50" s="161"/>
    </x:row>
    <x:row r="51" ht="28" customHeight="1">
      <x:c r="A51" s="161"/>
      <x:c r="B51" s="161"/>
      <x:c r="C51" s="161"/>
      <x:c r="D51" s="161"/>
    </x:row>
    <x:row r="52" ht="42" customHeight="1">
      <x:c r="A52" s="161" t="str">
        <x:v>Praguri operaționale propuse. Nu reprezintă praguri validate statistic.</x:v>
      </x:c>
      <x:c r="B52" s="161"/>
      <x:c r="C52" s="161"/>
      <x:c r="D52" s="161"/>
    </x:row>
    <x:row r="53" ht="42" customHeight="1">
      <x:c r="A53" s="161" t="str">
        <x:v>OOS este monitorizare ulterioară; nu blochează analiza sau DEFENSIV.</x:v>
      </x:c>
      <x:c r="B53" s="161"/>
      <x:c r="C53" s="161"/>
      <x:c r="D53" s="161"/>
    </x:row>
    <x:row r="54" ht="42" customHeight="1">
      <x:c r="A54" s="161" t="str">
        <x:v>Nivel 1 numai cu toate criteriile DEFENSIV. Altfel minimum 2; LEAN minimum 3.</x:v>
      </x:c>
      <x:c r="B54" s="161"/>
      <x:c r="C54" s="161"/>
      <x:c r="D54" s="161"/>
    </x:row>
    <x:row r="55" ht="42" customHeight="1">
      <x:c r="A55" s="161" t="str">
        <x:v>Small sample, prior și PRE-XI modifică gradual incertitudinea, fără floor automat.</x:v>
      </x:c>
      <x:c r="B55" s="161"/>
      <x:c r="C55" s="161"/>
      <x:c r="D55" s="161"/>
    </x:row>
    <x:row r="56" ht="42" customHeight="1">
      <x:c r="A56" s="161" t="str">
        <x:v>Celulele galbene sunt configurabile. Modificarea lor înseamnă o nouă versiune a metodologiei.</x:v>
      </x:c>
      <x:c r="B56" s="161"/>
      <x:c r="C56" s="161"/>
      <x:c r="D56" s="161"/>
    </x:row>
    <x:row r="57" ht="28" customHeight="1">
      <x:c r="A57" s="161"/>
      <x:c r="B57" s="161"/>
      <x:c r="C57" s="161"/>
      <x:c r="D57" s="161"/>
    </x:row>
    <x:row r="58" ht="28" customHeight="1">
      <x:c r="A58" s="161"/>
      <x:c r="B58" s="161"/>
      <x:c r="C58" s="161"/>
      <x:c r="D58" s="161"/>
    </x:row>
    <x:row r="59" ht="28" customHeight="1">
      <x:c r="A59" s="161"/>
      <x:c r="B59" s="161"/>
      <x:c r="C59" s="161"/>
      <x:c r="D59" s="161"/>
    </x:row>
    <x:row r="60" ht="28" customHeight="1">
      <x:c r="A60" s="161"/>
      <x:c r="B60" s="161"/>
      <x:c r="C60" s="161"/>
      <x:c r="D60" s="161"/>
    </x:row>
    <x:row r="61" ht="28" customHeight="1">
      <x:c r="A61" s="161"/>
      <x:c r="B61" s="161"/>
      <x:c r="C61" s="161"/>
      <x:c r="D61" s="161"/>
    </x:row>
    <x:row r="62" ht="28" customHeight="1">
      <x:c r="A62" s="161"/>
      <x:c r="B62" s="161"/>
      <x:c r="C62" s="161"/>
      <x:c r="D62" s="161"/>
    </x:row>
  </x:sheetData>
  <x:mergeCells>
    <x:mergeCell ref="A1:D1"/>
    <x:mergeCell ref="A52:D52"/>
    <x:mergeCell ref="A53:D53"/>
    <x:mergeCell ref="A54:D54"/>
    <x:mergeCell ref="A55:D55"/>
    <x:mergeCell ref="A56:D56"/>
  </x:mergeCells>
  <x:pageMargins left="0.7" right="0.7" top="0.75" bottom="0.75" header="0.3" footer="0.3"/>
</x:worksheet>
</file>