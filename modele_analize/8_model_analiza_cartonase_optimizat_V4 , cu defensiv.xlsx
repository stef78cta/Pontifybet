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f76b08452449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b945f77a42a412f"/>
    <x:sheet xmlns:r="http://schemas.openxmlformats.org/officeDocument/2006/relationships" name="Input_Meci" sheetId="4" r:id="R2a68ffcf49644155"/>
    <x:sheet xmlns:r="http://schemas.openxmlformats.org/officeDocument/2006/relationships" name="Parametri" sheetId="6" r:id="R06d1e3d3e8dd4aa9"/>
    <x:sheet xmlns:r="http://schemas.openxmlformats.org/officeDocument/2006/relationships" name="Calcul_Model" sheetId="7" r:id="R0193a3e8c7614829"/>
    <x:sheet xmlns:r="http://schemas.openxmlformats.org/officeDocument/2006/relationships" name="Distributie" sheetId="8" r:id="Ree55456e90a342a3"/>
    <x:sheet xmlns:r="http://schemas.openxmlformats.org/officeDocument/2006/relationships" name="Market_Odds" sheetId="9" r:id="R266b2bc99e0447c9"/>
    <x:sheet xmlns:r="http://schemas.openxmlformats.org/officeDocument/2006/relationships" name="Linie_Asiatica" sheetId="10" r:id="R3e94d2cd77684fbc"/>
    <x:sheet xmlns:r="http://schemas.openxmlformats.org/officeDocument/2006/relationships" name="Selector" sheetId="11" r:id="R4b9936b309474b49"/>
    <x:sheet xmlns:r="http://schemas.openxmlformats.org/officeDocument/2006/relationships" name="Checklist" sheetId="12" r:id="Rfe4e9c84060b44f5"/>
    <x:sheet xmlns:r="http://schemas.openxmlformats.org/officeDocument/2006/relationships" name="Backtest" sheetId="13" r:id="Rfa67cf96f1f84b7e"/>
    <x:sheet xmlns:r="http://schemas.openxmlformats.org/officeDocument/2006/relationships" name="Risk_Classification" sheetId="17" r:id="R8c6d868aa1cf4624"/>
    <x:sheet xmlns:r="http://schemas.openxmlformats.org/officeDocument/2006/relationships" name="Builder_Eligibility_v3" sheetId="19" r:id="R753ed877d5e84d00"/>
    <x:sheet xmlns:r="http://schemas.openxmlformats.org/officeDocument/2006/relationships" name="Frozen_Predictions" sheetId="20" r:id="Rbae56c0e39334220"/>
    <x:sheet xmlns:r="http://schemas.openxmlformats.org/officeDocument/2006/relationships" name="Settlement" sheetId="21" r:id="R243b8946d8b746e2"/>
    <x:sheet xmlns:r="http://schemas.openxmlformats.org/officeDocument/2006/relationships" name="Risk_Level_Summary" sheetId="22" r:id="Rd8613bc32f594bda"/>
    <x:sheet xmlns:r="http://schemas.openxmlformats.org/officeDocument/2006/relationships" name="Calibration" sheetId="23" r:id="R21d1f604fcab48dd"/>
    <x:sheet xmlns:r="http://schemas.openxmlformats.org/officeDocument/2006/relationships" name="Fail_Distribution" sheetId="24" r:id="Rc779943779cb49f4"/>
    <x:sheet xmlns:r="http://schemas.openxmlformats.org/officeDocument/2006/relationships" name="League_Summary" sheetId="25" r:id="R9615a2bdea984811"/>
    <x:sheet xmlns:r="http://schemas.openxmlformats.org/officeDocument/2006/relationships" name="Monthly_Summary" sheetId="26" r:id="R169ac449fd824d88"/>
    <x:sheet xmlns:r="http://schemas.openxmlformats.org/officeDocument/2006/relationships" name="Builder_Marginal_Fails" sheetId="27" r:id="Rdbdb64db2f254b2c"/>
    <x:sheet xmlns:r="http://schemas.openxmlformats.org/officeDocument/2006/relationships" name="Backtest_Summary" sheetId="28" r:id="Re4a2e28196a2457f"/>
    <x:sheet xmlns:r="http://schemas.openxmlformats.org/officeDocument/2006/relationships" name="LowCard_Gate_v4" sheetId="29" r:id="Rfdf15d15ecf545c7"/>
    <x:sheet xmlns:r="http://schemas.openxmlformats.org/officeDocument/2006/relationships" name="LowCard_Secondary_v5" sheetId="31" r:id="R960671621c8e4d3c"/>
    <x:sheet xmlns:r="http://schemas.openxmlformats.org/officeDocument/2006/relationships" name="Cards_LineCal_v9" sheetId="35" r:id="Re93857b753d74049"/>
    <x:sheet xmlns:r="http://schemas.openxmlformats.org/officeDocument/2006/relationships" name="Cards_MultiLine_v9" sheetId="36" r:id="R683699a9599f4772"/>
    <x:sheet xmlns:r="http://schemas.openxmlformats.org/officeDocument/2006/relationships" name="CHANGELOG_VERSIUNI" sheetId="39" r:id="R5f414ab71fde4cef"/>
    <x:sheet xmlns:r="http://schemas.openxmlformats.org/officeDocument/2006/relationships" name="DOCUMENTATIE_MODEL" sheetId="40" r:id="R7557b6fca3624577"/>
    <x:sheet xmlns:r="http://schemas.openxmlformats.org/officeDocument/2006/relationships" name="Cards_Input_Audit" sheetId="41" r:id="R9bc300bec0934901"/>
    <x:sheet xmlns:r="http://schemas.openxmlformats.org/officeDocument/2006/relationships" name="Sourcing_Queue" sheetId="42" r:id="R6225e5fcd4724b00"/>
    <x:sheet xmlns:r="http://schemas.openxmlformats.org/officeDocument/2006/relationships" name="Completion_Check" sheetId="43" r:id="R18aa970dae0e440f"/>
  </x:sheets>
</x:workbook>
</file>

<file path=xl/comments1.xml><?xml version="1.0" encoding="utf-8"?>
<x:comments xmlns:x="http://schemas.openxmlformats.org/spreadsheetml/2006/main">
  <x:authors>
    <x:author>tc={418E52D8-120E-48F2-B908-CC58997CBA64}</x:author>
    <x:author>tc={CE7790A4-AC9B-400A-9D28-093B0C250F6E}</x:author>
  </x:authors>
  <x:commentList>
    <x:comment ref="E1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P0: confirmă regula direct pe pagina casei înainte de fiecare analiză.</x:t>
        </x:r>
      </x:text>
    </x:comment>
    <x:comment ref="E29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 = Varianță/Medie, calculat pe aceeași unitate de decontare și pe meciuri comparabile.</x:t>
        </x:r>
      </x:text>
    </x:comment>
  </x:commentList>
</x:comments>
</file>

<file path=xl/comments2.xml><?xml version="1.0" encoding="utf-8"?>
<x:comments xmlns:x="http://schemas.openxmlformats.org/spreadsheetml/2006/main">
  <x:authors>
    <x:author>tc={70B1D0D1-232F-4C27-BF61-53FC85B64147}</x:author>
  </x:authors>
  <x:commentList>
    <x:comment ref="E5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Modelul se alege automat: binomial moment-matched / Poisson / negativ binomial.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<x:sst xmlns:x="http://schemas.openxmlformats.org/spreadsheetml/2006/main">
  <x:si>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MECI ȘI CONTROL</x:t>
  </x:si>
  <x:si>
    <x:t xml:space="preserve">Valoare</x:t>
  </x:si>
  <x:si>
    <x:t xml:space="preserve">Interpretare</x:t>
  </x:si>
  <x:si>
    <x:t xml:space="preserve">Status</x:t>
  </x:si>
  <x:si>
    <x:t xml:space="preserve">Meci</x:t>
  </x:si>
  <x:si>
    <x:t xml:space="preserve">fixture analizat</x:t>
  </x:si>
  <x:si>
    <x:t xml:space="preserve">Competiție</x:t>
  </x:si>
  <x:si>
    <x:t xml:space="preserve">baseline</x:t>
  </x:si>
  <x:si>
    <x:t xml:space="preserve">Arbitru</x:t>
  </x:si>
  <x:si>
    <x:t xml:space="preserve">MODEL</x:t>
  </x:si>
  <x:si>
    <x:t xml:space="preserve">Unitate</x:t>
  </x:si>
  <x:si>
    <x:t xml:space="preserve">Lambda gazde</x:t>
  </x:si>
  <x:si>
    <x:t xml:space="preserve">cards</x:t>
  </x:si>
  <x:si>
    <x:t xml:space="preserve">producție ajustată</x:t>
  </x:si>
  <x:si>
    <x:t xml:space="preserve">Lambda oaspeți</x:t>
  </x:si>
  <x:si>
    <x:t xml:space="preserve">Lambda total</x:t>
  </x:si>
  <x:si>
    <x:t xml:space="preserve">medie total</x:t>
  </x:si>
  <x:si>
    <x:t xml:space="preserve">Model total</x:t>
  </x:si>
  <x:si>
    <x:t xml:space="preserve">distribuție</x:t>
  </x:si>
  <x:si>
    <x:t xml:space="preserve">ales după D</x:t>
  </x:si>
  <x:si>
    <x:t xml:space="preserve">D total</x:t>
  </x:si>
  <x:si>
    <x:t xml:space="preserve">Var/Mean</x:t>
  </x:si>
  <x:si>
    <x:t xml:space="preserve">tail control</x:t>
  </x:si>
  <x:si>
    <x:t xml:space="preserve">P ≥1 roșu direct</x:t>
  </x:si>
  <x:si>
    <x:t xml:space="preserve">probabilitate</x:t>
  </x:si>
  <x:si>
    <x:t xml:space="preserve">stress Under</x:t>
  </x:si>
  <x:si>
    <x:t xml:space="preserve">Confidence</x:t>
  </x:si>
  <x:si>
    <x:t xml:space="preserve">0–100</x:t>
  </x:si>
  <x:si>
    <x:t xml:space="preserve">calitatea analizei</x:t>
  </x:si>
  <x:si>
    <x:t xml:space="preserve">Grade</x:t>
  </x:si>
  <x:si>
    <x:t xml:space="preserve">A–E</x:t>
  </x:si>
  <x:si>
    <x:t xml:space="preserve">nu P(win)</x:t>
  </x:si>
  <x:si>
    <x:t xml:space="preserve">Număr cards</x:t>
  </x:si>
  <x:si>
    <x:t xml:space="preserve">Probabilitate total</x:t>
  </x:si>
  <x:si>
    <x:t xml:space="preserve">11+</x:t>
  </x:si>
  <x:si>
    <x:t xml:space="preserve">Regim sample</x:t>
  </x:si>
  <x:si>
    <x:t xml:space="preserve">status</x:t>
  </x:si>
  <x:si>
    <x:t xml:space="preserve">P(5+) total</x:t>
  </x:si>
  <x:si>
    <x:t xml:space="preserve">prob.</x:t>
  </x:si>
  <x:si>
    <x:t xml:space="preserve">P(6+) total</x:t>
  </x:si>
  <x:si>
    <x:t xml:space="preserve">Ref×Context score</x:t>
  </x:si>
  <x:si>
    <x:t xml:space="preserve">0–1</x:t>
  </x:si>
  <x:si>
    <x:t xml:space="preserve">strict arbitru × context</x:t>
  </x:si>
  <x:si>
    <x:t xml:space="preserve">Categorie</x:t>
  </x:si>
  <x:si>
    <x:t xml:space="preserve">Indicator</x:t>
  </x:si>
  <x:si>
    <x:t xml:space="preserve">Gazde</x:t>
  </x:si>
  <x:si>
    <x:t xml:space="preserve">Oaspeți</x:t>
  </x:si>
  <x:si>
    <x:t xml:space="preserve">General / Arbitru</x:t>
  </x:si>
  <x:si>
    <x:t xml:space="preserve">Unitate / listă</x:t>
  </x:si>
  <x:si>
    <x:t xml:space="preserve">Instrucțiune</x:t>
  </x:si>
  <x:si>
    <x:t xml:space="preserve">Echipă</x:t>
  </x:si>
  <x:si>
    <x:t xml:space="preserve">ECHIPA GAZDĂ (EXEMPLU)</x:t>
  </x:si>
  <x:si>
    <x:t xml:space="preserve">ECHIPA OASPETE (EXEMPLU)</x:t>
  </x:si>
  <x:si>
    <x:t xml:space="preserve">text</x:t>
  </x:si>
  <x:si>
    <x:t xml:space="preserve">Înlocuiește numele</x:t>
  </x:si>
  <x:si>
    <x:t xml:space="preserve">Liga – exemplu</x:t>
  </x:si>
  <x:si>
    <x:t xml:space="preserve">Ligă/țară/sezon</x:t>
  </x:si>
  <x:si>
    <x:t xml:space="preserve">Data</x:t>
  </x:si>
  <x:si>
    <x:t xml:space="preserve">data</x:t>
  </x:si>
  <x:si>
    <x:t xml:space="preserve">Data locală a meciului</x:t>
  </x:si>
  <x:si>
    <x:t xml:space="preserve">Tip meci</x:t>
  </x:si>
  <x:si>
    <x:t xml:space="preserve">Campionat intern</x:t>
  </x:si>
  <x:si>
    <x:t xml:space="preserve">listă</x:t>
  </x:si>
  <x:si>
    <x:t xml:space="preserve">Campionat/Cupă/Tur/Retur/Derby</x:t>
  </x:si>
  <x:si>
    <x:t xml:space="preserve">Mod analiză</x:t>
  </x:si>
  <x:si>
    <x:t xml:space="preserve">PRUDENT</x:t>
  </x:si>
  <x:si>
    <x:t xml:space="preserve">PRUDENT / MODERAT</x:t>
  </x:si>
  <x:si>
    <x:t xml:space="preserve">Control P0</x:t>
  </x:si>
  <x:si>
    <x:t xml:space="preserve">Fixture confirmat</x:t>
  </x:si>
  <x:si>
    <x:t xml:space="preserve">CONFIRMAT</x:t>
  </x:si>
  <x:si>
    <x:t xml:space="preserve">CONFIRMAT / INCERT</x:t>
  </x:si>
  <x:si>
    <x:t xml:space="preserve">Sursă oficială + secundară</x:t>
  </x:si>
  <x:si>
    <x:t xml:space="preserve">ARBITRU (EXEMPLU)</x:t>
  </x:si>
  <x:si>
    <x:t xml:space="preserve">Numele arbitrului central</x:t>
  </x:si>
  <x:si>
    <x:t xml:space="preserve">Arbitru confirmat</x:t>
  </x:si>
  <x:si>
    <x:t xml:space="preserve">CONFIRMAT / NECONFIRMAT</x:t>
  </x:si>
  <x:si>
    <x:t xml:space="preserve">Numirea trebuie verificată</x:t>
  </x:si>
  <x:si>
    <x:t xml:space="preserve">Reguli</x:t>
  </x:si>
  <x:si>
    <x:t xml:space="preserve">Bookmaker</x:t>
  </x:si>
  <x:si>
    <x:t xml:space="preserve">bet365 (exemplu)</x:t>
  </x:si>
  <x:si>
    <x:t xml:space="preserve">Scrie operatorul analizat</x:t>
  </x:si>
  <x:si>
    <x:t xml:space="preserve">Unitatea modelată</x:t>
  </x:si>
  <x:si>
    <x:t xml:space="preserve">CARTONASE_ECHIVALENTE</x:t>
  </x:si>
  <x:si>
    <x:t xml:space="preserve">Aceeași unitate în istoric și piață</x:t>
  </x:si>
  <x:si>
    <x:t xml:space="preserve">Greutate galben</x:t>
  </x:si>
  <x:si>
    <x:t xml:space="preserve">număr</x:t>
  </x:si>
  <x:si>
    <x:t xml:space="preserve">wY</x:t>
  </x:si>
  <x:si>
    <x:t xml:space="preserve">Greutate roșu direct</x:t>
  </x:si>
  <x:si>
    <x:t xml:space="preserve">wR</x:t>
  </x:si>
  <x:si>
    <x:t xml:space="preserve">Greutate eveniment 2Y-R</x:t>
  </x:si>
  <x:si>
    <x:t xml:space="preserve">w2Y; după definiția sursei</x:t>
  </x:si>
  <x:si>
    <x:t xml:space="preserve">Cartonașe staff incluse</x:t>
  </x:si>
  <x:si>
    <x:t xml:space="preserve">NU</x:t>
  </x:si>
  <x:si>
    <x:t xml:space="preserve">DA / NU</x:t>
  </x:si>
  <x:si>
    <x:t xml:space="preserve">Conform casei</x:t>
  </x:si>
  <x:si>
    <x:t xml:space="preserve">Rezerve neintrate incluse</x:t>
  </x:si>
  <x:si>
    <x:t xml:space="preserve">Doar 90 minute + minute adiționale</x:t>
  </x:si>
  <x:si>
    <x:t xml:space="preserve">DA</x:t>
  </x:si>
  <x:si>
    <x:t xml:space="preserve">Nu confunda stoppage cu extra-time</x:t>
  </x:si>
  <x:si>
    <x:t xml:space="preserve">Istoric normalizat la aceste reguli</x:t>
  </x:si>
  <x:si>
    <x:t xml:space="preserve">Obligatoriu</x:t>
  </x:si>
  <x:si>
    <x:t xml:space="preserve">Definiția sursei brute verificată</x:t>
  </x:si>
  <x:si>
    <x:t xml:space="preserve">YC / 2Y-R / R separate</x:t>
  </x:si>
  <x:si>
    <x:t xml:space="preserve">BAZA COMPETIȚIEI / LIGII</x:t>
  </x:si>
  <x:si>
    <x:t xml:space="preserve">Ligă</x:t>
  </x:si>
  <x:si>
    <x:t xml:space="preserve">Medie total cartonașe echivalente</x:t>
  </x:si>
  <x:si>
    <x:t xml:space="preserve">cards/meci</x:t>
  </x:si>
  <x:si>
    <x:t xml:space="preserve">Aceeași definiție ca piața</x:t>
  </x:si>
  <x:si>
    <x:t xml:space="preserve">Medie total faulturi</x:t>
  </x:si>
  <x:si>
    <x:t xml:space="preserve">faulturi/meci</x:t>
  </x:si>
  <x:si>
    <x:t xml:space="preserve">Sezon + prior relevant</x:t>
  </x:si>
  <x:si>
    <x:t xml:space="preserve">Dispersie</x:t>
  </x:si>
  <x:si>
    <x:t xml:space="preserve">D total = Varianță/Medie</x:t>
  </x:si>
  <x:si>
    <x:t xml:space="preserve">raport</x:t>
  </x:si>
  <x:si>
    <x:t xml:space="preserve">Calculează pe meciuri comparabile</x:t>
  </x:si>
  <x:si>
    <x:t xml:space="preserve">D cartonașe gazde</x:t>
  </x:si>
  <x:si>
    <x:t xml:space="preserve">Home team count</x:t>
  </x:si>
  <x:si>
    <x:t xml:space="preserve">D cartonașe oaspeți</x:t>
  </x:si>
  <x:si>
    <x:t xml:space="preserve">Away team count</x:t>
  </x:si>
  <x:si>
    <x:t xml:space="preserve">Red tail</x:t>
  </x:si>
  <x:si>
    <x:t xml:space="preserve">Roșii directe / meci – ligă</x:t>
  </x:si>
  <x:si>
    <x:t xml:space="preserve">R/meci</x:t>
  </x:si>
  <x:si>
    <x:t xml:space="preserve">Nu include 2Y-R dacă este separat</x:t>
  </x:si>
  <x:si>
    <x:t xml:space="preserve">Pondere medie cartonașe gazde</x:t>
  </x:si>
  <x:si>
    <x:t xml:space="preserve">% total</x:t>
  </x:si>
  <x:si>
    <x:t xml:space="preserve">Restul revine oaspeților</x:t>
  </x:si>
  <x:si>
    <x:t xml:space="preserve">Context sezon</x:t>
  </x:si>
  <x:si>
    <x:t xml:space="preserve">Schimbare instrucțiuni/regulament</x:t>
  </x:si>
  <x:si>
    <x:t xml:space="preserve">-2…+2</x:t>
  </x:si>
  <x:si>
    <x:t xml:space="preserve">+ = mai strict</x:t>
  </x:si>
  <x:si>
    <x:t xml:space="preserve">Calitate</x:t>
  </x:si>
  <x:si>
    <x:t xml:space="preserve">Nr. meciuri în baza ligii</x:t>
  </x:si>
  <x:si>
    <x:t xml:space="preserve">N</x:t>
  </x:si>
  <x:si>
    <x:t xml:space="preserve">ECHIPE – CARTONAȘE PRIMITE ȘI PROVOCATE</x:t>
  </x:si>
  <x:si>
    <x:t xml:space="preserve">Cartonașe</x:t>
  </x:si>
  <x:si>
    <x:t xml:space="preserve">Primite / meci – sezon</x:t>
  </x:si>
  <x:si>
    <x:t xml:space="preserve">Normalizat</x:t>
  </x:si>
  <x:si>
    <x:t xml:space="preserve">Primite home / away</x:t>
  </x:si>
  <x:si>
    <x:t xml:space="preserve">Split principal</x:t>
  </x:si>
  <x:si>
    <x:t xml:space="preserve">Primite – ultimele 5/10</x:t>
  </x:si>
  <x:si>
    <x:t xml:space="preserve">Formă recentă</x:t>
  </x:si>
  <x:si>
    <x:t xml:space="preserve">Cards drawn</x:t>
  </x:si>
  <x:si>
    <x:t xml:space="preserve">Cartonașe provocate adversarului – sezon</x:t>
  </x:si>
  <x:si>
    <x:t xml:space="preserve">Câte primesc adversarii</x:t>
  </x:si>
  <x:si>
    <x:t xml:space="preserve">Provocate home / away</x:t>
  </x:si>
  <x:si>
    <x:t xml:space="preserve">Split</x:t>
  </x:si>
  <x:si>
    <x:t xml:space="preserve">Provocate – ultimele 5/10</x:t>
  </x:si>
  <x:si>
    <x:t xml:space="preserve">Recent</x:t>
  </x:si>
  <x:si>
    <x:t xml:space="preserve">Roșii directe primite / meci</x:t>
  </x:si>
  <x:si>
    <x:t xml:space="preserve">Separat de 2Y-R</x:t>
  </x:si>
  <x:si>
    <x:t xml:space="preserve">Roșii directe provocate / meci</x:t>
  </x:si>
  <x:si>
    <x:t xml:space="preserve">Adversarii eliminați</x:t>
  </x:si>
  <x:si>
    <x:t xml:space="preserve">Sample</x:t>
  </x:si>
  <x:si>
    <x:t xml:space="preserve">Nr. meciuri sezon</x:t>
  </x:si>
  <x:si>
    <x:t xml:space="preserve">Per echipă</x:t>
  </x:si>
  <x:si>
    <x:t xml:space="preserve">Nr. meciuri home / away</x:t>
  </x:si>
  <x:si>
    <x:t xml:space="preserve">Per split</x:t>
  </x:si>
  <x:si>
    <x:t xml:space="preserve">Nr. meciuri recent</x:t>
  </x:si>
  <x:si>
    <x:t xml:space="preserve">L5/L10</x:t>
  </x:si>
  <x:si>
    <x:t xml:space="preserve">FAULTURI, POSESIE ȘI LOT</x:t>
  </x:si>
  <x:si>
    <x:t xml:space="preserve">Faulturi</x:t>
  </x:si>
  <x:si>
    <x:t xml:space="preserve">Comise / meci – sezon</x:t>
  </x:si>
  <x:si>
    <x:t xml:space="preserve">Nu substituie card rate</x:t>
  </x:si>
  <x:si>
    <x:t xml:space="preserve">Comise home / away</x:t>
  </x:si>
  <x:si>
    <x:t xml:space="preserve">Comise – ultimele 5/10</x:t>
  </x:si>
  <x:si>
    <x:t xml:space="preserve">Faulturi drawn</x:t>
  </x:si>
  <x:si>
    <x:t xml:space="preserve">Faulturi provocate – sezon</x:t>
  </x:si>
  <x:si>
    <x:t xml:space="preserve">Câte comit adversarii</x:t>
  </x:si>
  <x:si>
    <x:t xml:space="preserve">Tactic</x:t>
  </x:si>
  <x:si>
    <x:t xml:space="preserve">Posesie estimată</x:t>
  </x:si>
  <x:si>
    <x:t xml:space="preserve">%</x:t>
  </x:si>
  <x:si>
    <x:t xml:space="preserve">Echipa fără minge are sarcină defensivă</x:t>
  </x:si>
  <x:si>
    <x:t xml:space="preserve">Lot / tactic</x:t>
  </x:si>
  <x:si>
    <x:t xml:space="preserve">Impact disciplinar lineup</x:t>
  </x:si>
  <x:si>
    <x:t xml:space="preserve">+ = mai multe cards</x:t>
  </x:si>
  <x:si>
    <x:t xml:space="preserve">Lot</x:t>
  </x:si>
  <x:si>
    <x:t xml:space="preserve">Titulari predispuși la cartonaș</x:t>
  </x:si>
  <x:si>
    <x:t xml:space="preserve">Fundași/mijlocași/dueluri</x:t>
  </x:si>
  <x:si>
    <x:t xml:space="preserve">Control</x:t>
  </x:si>
  <x:si>
    <x:t xml:space="preserve">Matchup direct confirmat</x:t>
  </x:si>
  <x:si>
    <x:t xml:space="preserve">Extreme vs fundași, dueluri cheie</x:t>
  </x:si>
  <x:si>
    <x:t xml:space="preserve">Status lineup</x:t>
  </x:si>
  <x:si>
    <x:t xml:space="preserve">PROBABIL</x:t>
  </x:si>
  <x:si>
    <x:t xml:space="preserve">CONFIRMAT / PROBABIL / NECUNOSCUT</x:t>
  </x:si>
  <x:si>
    <x:t xml:space="preserve">Verifică aproape de start</x:t>
  </x:si>
  <x:si>
    <x:t xml:space="preserve">ARBITRU</x:t>
  </x:si>
  <x:si>
    <x:t xml:space="preserve">Cartonașe echivalente / meci</x:t>
  </x:si>
  <x:si>
    <x:t xml:space="preserve">Aceeași competiție/standard</x:t>
  </x:si>
  <x:si>
    <x:t xml:space="preserve">Faulturi sancționate / meci</x:t>
  </x:si>
  <x:si>
    <x:t xml:space="preserve">Stil de fluier</x:t>
  </x:si>
  <x:si>
    <x:t xml:space="preserve">Roșii directe / meci</x:t>
  </x:si>
  <x:si>
    <x:t xml:space="preserve">Tail</x:t>
  </x:si>
  <x:si>
    <x:t xml:space="preserve">Meciuri arbitrate în eșantion</x:t>
  </x:si>
  <x:si>
    <x:t xml:space="preserve">Shrinkage automat</x:t>
  </x:si>
  <x:si>
    <x:t xml:space="preserve">Pondere cards gazde</x:t>
  </x:si>
  <x:si>
    <x:t xml:space="preserve">Compară cu liga</x:t>
  </x:si>
  <x:si>
    <x:t xml:space="preserve">Trend L10 vs sezon</x:t>
  </x:si>
  <x:si>
    <x:t xml:space="preserve">+ = mai strict recent</x:t>
  </x:si>
  <x:si>
    <x:t xml:space="preserve">Stabilitate stil arbitru</x:t>
  </x:si>
  <x:si>
    <x:t xml:space="preserve">0–10</x:t>
  </x:si>
  <x:si>
    <x:t xml:space="preserve">Coerență între perioade</x:t>
  </x:si>
  <x:si>
    <x:t xml:space="preserve">CONTEXT MECI ȘI CALITATEA INFORMAȚIEI</x:t>
  </x:si>
  <x:si>
    <x:t xml:space="preserve">Context</x:t>
  </x:si>
  <x:si>
    <x:t xml:space="preserve">Rivalitate / heat</x:t>
  </x:si>
  <x:si>
    <x:t xml:space="preserve">5 = neutru</x:t>
  </x:si>
  <x:si>
    <x:t xml:space="preserve">Miză / eliminare / clasament</x:t>
  </x:si>
  <x:si>
    <x:t xml:space="preserve">Echilibru și tensiune de scor</x:t>
  </x:si>
  <x:si>
    <x:t xml:space="preserve">Meci strâns = mai mult late tension</x:t>
  </x:si>
  <x:si>
    <x:t xml:space="preserve">Tranziții / dribling / mismatch</x:t>
  </x:si>
  <x:si>
    <x:t xml:space="preserve">Dueluri de oprire a atacului</x:t>
  </x:si>
  <x:si>
    <x:t xml:space="preserve">Presiune public / stadion</x:t>
  </x:si>
  <x:si>
    <x:t xml:space="preserve">Folosește prudent</x:t>
  </x:si>
  <x:si>
    <x:t xml:space="preserve">Mediu</x:t>
  </x:si>
  <x:si>
    <x:t xml:space="preserve">Vreme / teren impact</x:t>
  </x:si>
  <x:si>
    <x:t xml:space="preserve">+ = condiții mai conflictuale</x:t>
  </x:si>
  <x:si>
    <x:t xml:space="preserve">Incertitudine</x:t>
  </x:si>
  <x:si>
    <x:t xml:space="preserve">Game-state uncertainty</x:t>
  </x:si>
  <x:si>
    <x:t xml:space="preserve">Nu mută media; crește haircut</x:t>
  </x:si>
  <x:si>
    <x:t xml:space="preserve">Risc rotație</x:t>
  </x:si>
  <x:si>
    <x:t xml:space="preserve">Nu mută media direct</x:t>
  </x:si>
  <x:si>
    <x:t xml:space="preserve">Sursele sunt coerente</x:t>
  </x:si>
  <x:si>
    <x:t xml:space="preserve">Piață</x:t>
  </x:si>
  <x:si>
    <x:t xml:space="preserve">Mișcare piață contra modelului</x:t>
  </x:si>
  <x:si>
    <x:t xml:space="preserve">Nr. surse independente</x:t>
  </x:si>
  <x:si>
    <x:t xml:space="preserve">Cote reale prezente</x:t>
  </x:si>
  <x:si>
    <x:t xml:space="preserve">Fără cote = analiză tehnică</x:t>
  </x:si>
  <x:si>
    <x:t xml:space="preserve">Audit</x:t>
  </x:si>
  <x:si>
    <x:t xml:space="preserve">URL-uri / note surse</x:t>
  </x:si>
  <x:si>
    <x:t xml:space="preserve">Sursă 1; Sursă 2; Sursă arbitru</x:t>
  </x:si>
  <x:si>
    <x:t xml:space="preserve">Păstrează timestamp-ul</x:t>
  </x:si>
  <x:si>
    <x:t xml:space="preserve">EARLY-SEASON PRIOR – SEZON ANTERIOR / EȘANTION ISTORIC</x:t>
  </x:si>
  <x:si>
    <x:t xml:space="preserve">Prior cards</x:t>
  </x:si>
  <x:si>
    <x:t xml:space="preserve">Primite / meci – sezon anterior</x:t>
  </x:si>
  <x:si>
    <x:t xml:space="preserve">Aceeași ligă/regulă; opponent-adjusted ideal</x:t>
  </x:si>
  <x:si>
    <x:t xml:space="preserve">Primite home / away – sezon anterior</x:t>
  </x:si>
  <x:si>
    <x:t xml:space="preserve">Split anterior</x:t>
  </x:si>
  <x:si>
    <x:t xml:space="preserve">Prior drawn</x:t>
  </x:si>
  <x:si>
    <x:t xml:space="preserve">Cards drawn – sezon anterior</x:t>
  </x:si>
  <x:si>
    <x:t xml:space="preserve">Adversarii sancționați</x:t>
  </x:si>
  <x:si>
    <x:t xml:space="preserve">Cards drawn home / away – sezon anterior</x:t>
  </x:si>
  <x:si>
    <x:t xml:space="preserve">Prior fouls</x:t>
  </x:si>
  <x:si>
    <x:t xml:space="preserve">Comise / meci – sezon anterior</x:t>
  </x:si>
  <x:si>
    <x:t xml:space="preserve">Regim comparabil</x:t>
  </x:si>
  <x:si>
    <x:t xml:space="preserve">Comise home / away – sezon anterior</x:t>
  </x:si>
  <x:si>
    <x:t xml:space="preserve">Prior fouls drawn</x:t>
  </x:si>
  <x:si>
    <x:t xml:space="preserve">Provocate / meci – sezon anterior</x:t>
  </x:si>
  <x:si>
    <x:t xml:space="preserve">Provocate home / away – sezon anterior</x:t>
  </x:si>
  <x:si>
    <x:t xml:space="preserve">Sample prior</x:t>
  </x:si>
  <x:si>
    <x:t xml:space="preserve">Nr. meciuri sezon anterior</x:t>
  </x:si>
  <x:si>
    <x:t xml:space="preserve">Minimum configurabil</x:t>
  </x:si>
  <x:si>
    <x:t xml:space="preserve">Control prior</x:t>
  </x:si>
  <x:si>
    <x:t xml:space="preserve">Prior disponibil și normalizat</x:t>
  </x:si>
  <x:si>
    <x:t xml:space="preserve">Aceleași reguli de decontare</x:t>
  </x:si>
  <x:si>
    <x:t xml:space="preserve">Regim comparabil cu sezonul curent</x:t>
  </x:si>
  <x:si>
    <x:t xml:space="preserve">Reguli/manager/competiție fără ruptură majoră</x:t>
  </x:si>
  <x:si>
    <x:t xml:space="preserve">Celulele albastre sunt ipoteze operaționale inițiale și trebuie recalibrate prin backtest pe ligă și tip de piață.</x:t>
  </x:si>
  <x:si>
    <x:t xml:space="preserve">Grup</x:t>
  </x:si>
  <x:si>
    <x:t xml:space="preserve">Parametru</x:t>
  </x:si>
  <x:si>
    <x:t xml:space="preserve">Utilizare</x:t>
  </x:si>
  <x:si>
    <x:t xml:space="preserve">Observație</x:t>
  </x:si>
  <x:si>
    <x:t xml:space="preserve">Ponderi cards</x:t>
  </x:si>
  <x:si>
    <x:t xml:space="preserve">League baseline</x:t>
  </x:si>
  <x:si>
    <x:t xml:space="preserve">baseline team cards</x:t>
  </x:si>
  <x:si>
    <x:t xml:space="preserve">prior stabil</x:t>
  </x:si>
  <x:si>
    <x:t xml:space="preserve">Team season</x:t>
  </x:si>
  <x:si>
    <x:t xml:space="preserve">cards received</x:t>
  </x:si>
  <x:si>
    <x:t xml:space="preserve">sample-adjusted</x:t>
  </x:si>
  <x:si>
    <x:t xml:space="preserve">Team H/A</x:t>
  </x:si>
  <x:si>
    <x:t xml:space="preserve">split</x:t>
  </x:si>
  <x:si>
    <x:t xml:space="preserve">principal</x:t>
  </x:si>
  <x:si>
    <x:t xml:space="preserve">Team recent</x:t>
  </x:si>
  <x:si>
    <x:t xml:space="preserve">shrink dacă N mic</x:t>
  </x:si>
  <x:si>
    <x:t xml:space="preserve">Opponent cards drawn season</x:t>
  </x:si>
  <x:si>
    <x:t xml:space="preserve">matchup</x:t>
  </x:si>
  <x:si>
    <x:t xml:space="preserve">adversar</x:t>
  </x:si>
  <x:si>
    <x:t xml:space="preserve">Opponent cards drawn H/A</x:t>
  </x:si>
  <x:si>
    <x:t xml:space="preserve">matchup split</x:t>
  </x:si>
  <x:si>
    <x:t xml:space="preserve">Opponent cards drawn recent</x:t>
  </x:si>
  <x:si>
    <x:t xml:space="preserve">matchup recent</x:t>
  </x:si>
  <x:si>
    <x:t xml:space="preserve">Sumă ponderi cards</x:t>
  </x:si>
  <x:si>
    <x:t xml:space="preserve">trebuie 100%</x:t>
  </x:si>
  <x:si>
    <x:t xml:space="preserve">formula</x:t>
  </x:si>
  <x:si>
    <x:t xml:space="preserve">Ponderi fouls</x:t>
  </x:si>
  <x:si>
    <x:t xml:space="preserve">League team fouls</x:t>
  </x:si>
  <x:si>
    <x:t xml:space="preserve">Team committed season</x:t>
  </x:si>
  <x:si>
    <x:t xml:space="preserve">direct</x:t>
  </x:si>
  <x:si>
    <x:t xml:space="preserve">Team committed H/A</x:t>
  </x:si>
  <x:si>
    <x:t xml:space="preserve">Team committed recent</x:t>
  </x:si>
  <x:si>
    <x:t xml:space="preserve">Opponent fouls drawn season</x:t>
  </x:si>
  <x:si>
    <x:t xml:space="preserve">Opponent fouls drawn H/A</x:t>
  </x:si>
  <x:si>
    <x:t xml:space="preserve">Opponent fouls drawn recent</x:t>
  </x:si>
  <x:si>
    <x:t xml:space="preserve">Sumă ponderi fouls</x:t>
  </x:si>
  <x:si>
    <x:t xml:space="preserve">Coeficient efect arbitru</x:t>
  </x:si>
  <x:si>
    <x:t xml:space="preserve">coef.</x:t>
  </x:si>
  <x:si>
    <x:t xml:space="preserve">multiplicator</x:t>
  </x:si>
  <x:si>
    <x:t xml:space="preserve">plafonat</x:t>
  </x:si>
  <x:si>
    <x:t xml:space="preserve">K shrinkage arbitru</x:t>
  </x:si>
  <x:si>
    <x:t xml:space="preserve">meciuri</x:t>
  </x:si>
  <x:si>
    <x:t xml:space="preserve">N/(N+K)</x:t>
  </x:si>
  <x:si>
    <x:t xml:space="preserve">prior ligă</x:t>
  </x:si>
  <x:si>
    <x:t xml:space="preserve">Cap ratio inferior</x:t>
  </x:si>
  <x:si>
    <x:t xml:space="preserve">ratio</x:t>
  </x:si>
  <x:si>
    <x:t xml:space="preserve">winsorize</x:t>
  </x:si>
  <x:si>
    <x:t xml:space="preserve">Cap ratio superior</x:t>
  </x:si>
  <x:si>
    <x:t xml:space="preserve">Coeficient home-share</x:t>
  </x:si>
  <x:si>
    <x:t xml:space="preserve">alocare H/A</x:t>
  </x:si>
  <x:si>
    <x:t xml:space="preserve">Coeficient volum fouls</x:t>
  </x:si>
  <x:si>
    <x:t xml:space="preserve">evită dublu-count</x:t>
  </x:si>
  <x:si>
    <x:t xml:space="preserve">Cap ratio fouls inferior</x:t>
  </x:si>
  <x:si>
    <x:t xml:space="preserve">Cap ratio fouls superior</x:t>
  </x:si>
  <x:si>
    <x:t xml:space="preserve">Efect posesie per 10pp</x:t>
  </x:si>
  <x:si>
    <x:t xml:space="preserve">defensive load</x:t>
  </x:si>
  <x:si>
    <x:t xml:space="preserve">cap ±8%</x:t>
  </x:si>
  <x:si>
    <x:t xml:space="preserve">Efect lineup per punct</x:t>
  </x:si>
  <x:si>
    <x:t xml:space="preserve">Cap multiplicator inferior</x:t>
  </x:si>
  <x:si>
    <x:t xml:space="preserve">context total</x:t>
  </x:si>
  <x:si>
    <x:t xml:space="preserve">Cap multiplicator superior</x:t>
  </x:si>
  <x:si>
    <x:t xml:space="preserve">Distribuție</x:t>
  </x:si>
  <x:si>
    <x:t xml:space="preserve">Prag sub-dispersie</x:t>
  </x:si>
  <x:si>
    <x:t xml:space="preserve">D</x:t>
  </x:si>
  <x:si>
    <x:t xml:space="preserve">alegere model</x:t>
  </x:si>
  <x:si>
    <x:t xml:space="preserve">D=Var/Mean</x:t>
  </x:si>
  <x:si>
    <x:t xml:space="preserve">Prag supra-dispersie</x:t>
  </x:si>
  <x:si>
    <x:t xml:space="preserve">Coeficient heat / punct</x:t>
  </x:si>
  <x:si>
    <x:t xml:space="preserve">centru 5</x:t>
  </x:si>
  <x:si>
    <x:t xml:space="preserve">Coeficient miză / punct</x:t>
  </x:si>
  <x:si>
    <x:t xml:space="preserve">Coeficient echilibru / punct</x:t>
  </x:si>
  <x:si>
    <x:t xml:space="preserve">Coeficient tranziții / punct</x:t>
  </x:si>
  <x:si>
    <x:t xml:space="preserve">Coeficient public / punct</x:t>
  </x:si>
  <x:si>
    <x:t xml:space="preserve">Coeficient vreme / punct</x:t>
  </x:si>
  <x:si>
    <x:t xml:space="preserve">centru 0</x:t>
  </x:si>
  <x:si>
    <x:t xml:space="preserve">Coeficient schimbare reguli / punct</x:t>
  </x:si>
  <x:si>
    <x:t xml:space="preserve">Coeficient trend arbitru / punct</x:t>
  </x:si>
  <x:si>
    <x:t xml:space="preserve">cu shrink</x:t>
  </x:si>
  <x:si>
    <x:t xml:space="preserve">Pondere ligă</x:t>
  </x:si>
  <x:si>
    <x:t xml:space="preserve">lambda red</x:t>
  </x:si>
  <x:si>
    <x:t xml:space="preserve">Pondere arbitru</x:t>
  </x:si>
  <x:si>
    <x:t xml:space="preserve">shrink</x:t>
  </x:si>
  <x:si>
    <x:t xml:space="preserve">Pondere echipe</x:t>
  </x:si>
  <x:si>
    <x:t xml:space="preserve">sumă H+A</x:t>
  </x:si>
  <x:si>
    <x:t xml:space="preserve">Pondere cards drawn</x:t>
  </x:si>
  <x:si>
    <x:t xml:space="preserve">Sumă ponderi red</x:t>
  </x:si>
  <x:si>
    <x:t xml:space="preserve">Sample P0</x:t>
  </x:si>
  <x:si>
    <x:t xml:space="preserve">Minimum team season</x:t>
  </x:si>
  <x:si>
    <x:t xml:space="preserve">Minimum team H/A</x:t>
  </x:si>
  <x:si>
    <x:t xml:space="preserve">Minimum recent</x:t>
  </x:si>
  <x:si>
    <x:t xml:space="preserve">Minimum arbitru</x:t>
  </x:si>
  <x:si>
    <x:t xml:space="preserve">Minimum ligă</x:t>
  </x:si>
  <x:si>
    <x:t xml:space="preserve">Surse P0</x:t>
  </x:si>
  <x:si>
    <x:t xml:space="preserve">Minimum surse independente</x:t>
  </x:si>
  <x:si>
    <x:t xml:space="preserve">Prudent</x:t>
  </x:si>
  <x:si>
    <x:t xml:space="preserve">P ajustată minimă</x:t>
  </x:si>
  <x:si>
    <x:t xml:space="preserve">Edge minim</x:t>
  </x:si>
  <x:si>
    <x:t xml:space="preserve">pp</x:t>
  </x:si>
  <x:si>
    <x:t xml:space="preserve">vs de-vig</x:t>
  </x:si>
  <x:si>
    <x:t xml:space="preserve">Buffer minim față de linie</x:t>
  </x:si>
  <x:si>
    <x:t xml:space="preserve">Moderat</x:t>
  </x:si>
  <x:si>
    <x:t xml:space="preserve">Grade A minimum</x:t>
  </x:si>
  <x:si>
    <x:t xml:space="preserve">score</x:t>
  </x:si>
  <x:si>
    <x:t xml:space="preserve">clasificare</x:t>
  </x:si>
  <x:si>
    <x:t xml:space="preserve">Grade B minimum</x:t>
  </x:si>
  <x:si>
    <x:t xml:space="preserve">Grade C minimum</x:t>
  </x:si>
  <x:si>
    <x:t xml:space="preserve">Grade D minimum</x:t>
  </x:si>
  <x:si>
    <x:t xml:space="preserve">Haircut</x:t>
  </x:si>
  <x:si>
    <x:t xml:space="preserve">Grade A</x:t>
  </x:si>
  <x:si>
    <x:t xml:space="preserve">P ajustată</x:t>
  </x:si>
  <x:si>
    <x:t xml:space="preserve">Grade B</x:t>
  </x:si>
  <x:si>
    <x:t xml:space="preserve">Grade C</x:t>
  </x:si>
  <x:si>
    <x:t xml:space="preserve">Grade D</x:t>
  </x:si>
  <x:si>
    <x:t xml:space="preserve">Grade E</x:t>
  </x:si>
  <x:si>
    <x:t xml:space="preserve">Prag P(red) mediu</x:t>
  </x:si>
  <x:si>
    <x:t xml:space="preserve">haircut</x:t>
  </x:si>
  <x:si>
    <x:t xml:space="preserve">Prag P(red) ridicat</x:t>
  </x:si>
  <x:si>
    <x:t xml:space="preserve">gate Under</x:t>
  </x:si>
  <x:si>
    <x:t xml:space="preserve">Red tail mediu</x:t>
  </x:si>
  <x:si>
    <x:t xml:space="preserve">Red tail ridicat</x:t>
  </x:si>
  <x:si>
    <x:t xml:space="preserve">Prag D risc tail</x:t>
  </x:si>
  <x:si>
    <x:t xml:space="preserve">Dispersie ridicată</x:t>
  </x:si>
  <x:si>
    <x:t xml:space="preserve">Under total ≤4.5 cu red-tail</x:t>
  </x:si>
  <x:si>
    <x:t xml:space="preserve">market-specific</x:t>
  </x:si>
  <x:si>
    <x:t xml:space="preserve">Prag sample mic pentru haircut</x:t>
  </x:si>
  <x:si>
    <x:t xml:space="preserve">Sample arbitru mic</x:t>
  </x:si>
  <x:si>
    <x:t xml:space="preserve">Prag game-state</x:t>
  </x:si>
  <x:si>
    <x:t xml:space="preserve">Game-state ridicat</x:t>
  </x:si>
  <x:si>
    <x:t xml:space="preserve">Cap total</x:t>
  </x:si>
  <x:si>
    <x:t xml:space="preserve">Early season</x:t>
  </x:si>
  <x:si>
    <x:t xml:space="preserve">Minimum current team season</x:t>
  </x:si>
  <x:si>
    <x:t xml:space="preserve">Minimum current H/A</x:t>
  </x:si>
  <x:si>
    <x:t xml:space="preserve">Minimum current recent</x:t>
  </x:si>
  <x:si>
    <x:t xml:space="preserve">Minimum prior season</x:t>
  </x:si>
  <x:si>
    <x:t xml:space="preserve">prior eligibil</x:t>
  </x:si>
  <x:si>
    <x:t xml:space="preserve">sezon anterior comparabil</x:t>
  </x:si>
  <x:si>
    <x:t xml:space="preserve">Equivalent N prior season</x:t>
  </x:si>
  <x:si>
    <x:t xml:space="preserve">N echiv.</x:t>
  </x:si>
  <x:si>
    <x:t xml:space="preserve">shrinkage</x:t>
  </x:si>
  <x:si>
    <x:t xml:space="preserve">cap contribuție prior</x:t>
  </x:si>
  <x:si>
    <x:t xml:space="preserve">Equivalent N prior H/A</x:t>
  </x:si>
  <x:si>
    <x:t xml:space="preserve">shrinkage split</x:t>
  </x:si>
  <x:si>
    <x:t xml:space="preserve">Haircut early-season</x:t>
  </x:si>
  <x:si>
    <x:t xml:space="preserve">suplimentar</x:t>
  </x:si>
  <x:si>
    <x:t xml:space="preserve">Confidence cap early-season</x:t>
  </x:si>
  <x:si>
    <x:t xml:space="preserve">confidence</x:t>
  </x:si>
  <x:si>
    <x:t xml:space="preserve">maxim B</x:t>
  </x:si>
  <x:si>
    <x:t xml:space="preserve">Tail v2</x:t>
  </x:si>
  <x:si>
    <x:t xml:space="preserve">P(5+) caution U4.5</x:t>
  </x:si>
  <x:si>
    <x:t xml:space="preserve">PRUDENT blocat</x:t>
  </x:si>
  <x:si>
    <x:t xml:space="preserve">P(5+) hard gate U4.5</x:t>
  </x:si>
  <x:si>
    <x:t xml:space="preserve">NO BET</x:t>
  </x:si>
  <x:si>
    <x:t xml:space="preserve">P(6+) caution U5.5</x:t>
  </x:si>
  <x:si>
    <x:t xml:space="preserve">P(6+) hard gate U5.5</x:t>
  </x:si>
  <x:si>
    <x:t xml:space="preserve">Haircut tail caution</x:t>
  </x:si>
  <x:si>
    <x:t xml:space="preserve">MODERAT între caution și hard</x:t>
  </x:si>
  <x:si>
    <x:t xml:space="preserve">Ref×Context</x:t>
  </x:si>
  <x:si>
    <x:t xml:space="preserve">Strictness ratio threshold</x:t>
  </x:si>
  <x:si>
    <x:t xml:space="preserve">interacțiune</x:t>
  </x:si>
  <x:si>
    <x:t xml:space="preserve">arbitru peste ligă</x:t>
  </x:si>
  <x:si>
    <x:t xml:space="preserve">Context threshold</x:t>
  </x:si>
  <x:si>
    <x:t xml:space="preserve">media heat/miză/echilibru</x:t>
  </x:si>
  <x:si>
    <x:t xml:space="preserve">Mean uplift cap</x:t>
  </x:si>
  <x:si>
    <x:t xml:space="preserve">lambda total</x:t>
  </x:si>
  <x:si>
    <x:t xml:space="preserve">doar scor combinat ridicat</x:t>
  </x:si>
  <x:si>
    <x:t xml:space="preserve">D uplift cap</x:t>
  </x:si>
  <x:si>
    <x:t xml:space="preserve">tail total</x:t>
  </x:si>
  <x:si>
    <x:t xml:space="preserve">poate activa NB</x:t>
  </x:si>
  <x:si>
    <x:t xml:space="preserve">Haircut interaction</x:t>
  </x:si>
  <x:si>
    <x:t xml:space="preserve">când interacțiunea &gt;0</x:t>
  </x:si>
  <x:si>
    <x:t xml:space="preserve">Low-card v5</x:t>
  </x:si>
  <x:si>
    <x:t xml:space="preserve">Secondary penalty cap O2.5</x:t>
  </x:si>
  <x:si>
    <x:t xml:space="preserve">Over 2.5 total</x:t>
  </x:si>
  <x:si>
    <x:t xml:space="preserve">PILOT; calibrate OOS</x:t>
  </x:si>
  <x:si>
    <x:t xml:space="preserve">Penalty type</x:t>
  </x:si>
  <x:si>
    <x:t xml:space="preserve">continuous</x:t>
  </x:si>
  <x:si>
    <x:t xml:space="preserve">score×cap</x:t>
  </x:si>
  <x:si>
    <x:t xml:space="preserve">secondary only</x:t>
  </x:si>
  <x:si>
    <x:t xml:space="preserve">NOT hard gate</x:t>
  </x:si>
  <x:si>
    <x:t xml:space="preserve">Context floor</x:t>
  </x:si>
  <x:si>
    <x:t xml:space="preserve">MAX(overall, context composite)</x:t>
  </x:si>
  <x:si>
    <x:t xml:space="preserve">index</x:t>
  </x:si>
  <x:si>
    <x:t xml:space="preserve">referee cannot offset low-intensity context</x:t>
  </x:si>
  <x:si>
    <x:t xml:space="preserve">ACTIVE</x:t>
  </x:si>
  <x:si>
    <x:t xml:space="preserve">Hard threshold</x:t>
  </x:si>
  <x:si>
    <x:t xml:space="preserve">none</x:t>
  </x:si>
  <x:si>
    <x:t xml:space="preserve">—</x:t>
  </x:si>
  <x:si>
    <x:t xml:space="preserve">no new hard gate without OOS</x:t>
  </x:si>
  <x:si>
    <x:t xml:space="preserve">Toate rezultatele sunt formule auditabile. Nu edita aici; modifică Input_Meci sau Parametri.</x:t>
  </x:si>
  <x:si>
    <x:t xml:space="preserve">Componentă cards</x:t>
  </x:si>
  <x:si>
    <x:t xml:space="preserve">Pondere</x:t>
  </x:si>
  <x:si>
    <x:t xml:space="preserve">Reliability H</x:t>
  </x:si>
  <x:si>
    <x:t xml:space="preserve">Reliability A</x:t>
  </x:si>
  <x:si>
    <x:t xml:space="preserve">Contrib. H</x:t>
  </x:si>
  <x:si>
    <x:t xml:space="preserve">Contrib. A</x:t>
  </x:si>
  <x:si>
    <x:t xml:space="preserve">Logică</x:t>
  </x:si>
  <x:si>
    <x:t xml:space="preserve">structural</x:t>
  </x:si>
  <x:si>
    <x:t xml:space="preserve">recent</x:t>
  </x:si>
  <x:si>
    <x:t xml:space="preserve">Estimare de bază cards</x:t>
  </x:si>
  <x:si>
    <x:t xml:space="preserve">medie ponderată / reliability</x:t>
  </x:si>
  <x:si>
    <x:t xml:space="preserve">Componentă fouls</x:t>
  </x:si>
  <x:si>
    <x:t xml:space="preserve">Faulturi estimate</x:t>
  </x:si>
  <x:si>
    <x:t xml:space="preserve">Ratio vs ligă</x:t>
  </x:si>
  <x:si>
    <x:t xml:space="preserve">Multiplicator fouls</x:t>
  </x:si>
  <x:si>
    <x:t xml:space="preserve">Arbitru / red tail</x:t>
  </x:si>
  <x:si>
    <x:t xml:space="preserve">Gazde / Valoare</x:t>
  </x:si>
  <x:si>
    <x:t xml:space="preserve">Oaspeți / Ref</x:t>
  </x:si>
  <x:si>
    <x:t xml:space="preserve">Total / Ligă</x:t>
  </x:si>
  <x:si>
    <x:t xml:space="preserve">Coef.</x:t>
  </x:si>
  <x:si>
    <x:t xml:space="preserve">Rezultat</x:t>
  </x:si>
  <x:si>
    <x:t xml:space="preserve">Notă</x:t>
  </x:si>
  <x:si>
    <x:t xml:space="preserve">Ratio cards arbitru / ligă</x:t>
  </x:si>
  <x:si>
    <x:t xml:space="preserve">strictness</x:t>
  </x:si>
  <x:si>
    <x:t xml:space="preserve">winsorized</x:t>
  </x:si>
  <x:si>
    <x:t xml:space="preserve">Shrinkage arbitru</x:t>
  </x:si>
  <x:si>
    <x:t xml:space="preserve">Multiplicator arbitru total</x:t>
  </x:si>
  <x:si>
    <x:t xml:space="preserve">aplicat ambelor echipe</x:t>
  </x:si>
  <x:si>
    <x:t xml:space="preserve">Home share ligă vs arbitru</x:t>
  </x:si>
  <x:si>
    <x:t xml:space="preserve">alocare</x:t>
  </x:si>
  <x:si>
    <x:t xml:space="preserve">Multiplicator side H/A</x:t>
  </x:si>
  <x:si>
    <x:t xml:space="preserve">bias controlat</x:t>
  </x:si>
  <x:si>
    <x:t xml:space="preserve">Ratio fouls arbitru / ligă</x:t>
  </x:si>
  <x:si>
    <x:t xml:space="preserve">diagnostic</x:t>
  </x:si>
  <x:si>
    <x:t xml:space="preserve">nu se dublează</x:t>
  </x:si>
  <x:si>
    <x:t xml:space="preserve">Lambda roșu direct</x:t>
  </x:si>
  <x:si>
    <x:t xml:space="preserve">blend</x:t>
  </x:si>
  <x:si>
    <x:t xml:space="preserve">P(cel puțin un roșu direct)</x:t>
  </x:si>
  <x:si>
    <x:t xml:space="preserve">tail</x:t>
  </x:si>
  <x:si>
    <x:t xml:space="preserve">stress test Under</x:t>
  </x:si>
  <x:si>
    <x:t xml:space="preserve">Input</x:t>
  </x:si>
  <x:si>
    <x:t xml:space="preserve">Coeficient</x:t>
  </x:si>
  <x:si>
    <x:t xml:space="preserve">Multiplicator</x:t>
  </x:si>
  <x:si>
    <x:t xml:space="preserve">Heat / rivalitate</x:t>
  </x:si>
  <x:si>
    <x:t xml:space="preserve">Miză</x:t>
  </x:si>
  <x:si>
    <x:t xml:space="preserve">Echilibru / tensiune</x:t>
  </x:si>
  <x:si>
    <x:t xml:space="preserve">Tranziții / mismatch</x:t>
  </x:si>
  <x:si>
    <x:t xml:space="preserve">Presiune public</x:t>
  </x:si>
  <x:si>
    <x:t xml:space="preserve">Vreme / teren</x:t>
  </x:si>
  <x:si>
    <x:t xml:space="preserve">Schimbare reguli sezon</x:t>
  </x:si>
  <x:si>
    <x:t xml:space="preserve">Trend arbitru</x:t>
  </x:si>
  <x:si>
    <x:t xml:space="preserve">Context total (cap)</x:t>
  </x:si>
  <x:si>
    <x:t xml:space="preserve">Multiplicator posesie</x:t>
  </x:si>
  <x:si>
    <x:t xml:space="preserve">Multiplicator lineup/tactic</x:t>
  </x:si>
  <x:si>
    <x:t xml:space="preserve">impact -2…+2</x:t>
  </x:si>
  <x:si>
    <x:t xml:space="preserve">Estimare finală</x:t>
  </x:si>
  <x:si>
    <x:t xml:space="preserve">Total</x:t>
  </x:si>
  <x:si>
    <x:t xml:space="preserve">Lambda cards</x:t>
  </x:si>
  <x:si>
    <x:t xml:space="preserve">Ratio vs baseline ligă</x:t>
  </x:si>
  <x:si>
    <x:t xml:space="preserve">Componentă</x:t>
  </x:si>
  <x:si>
    <x:t xml:space="preserve">Medie μ</x:t>
  </x:si>
  <x:si>
    <x:t xml:space="preserve">Varianță</x:t>
  </x:si>
  <x:si>
    <x:t xml:space="preserve">Model ales</x:t>
  </x:si>
  <x:si>
    <x:t xml:space="preserve">NB r</x:t>
  </x:si>
  <x:si>
    <x:t xml:space="preserve">NB p</x:t>
  </x:si>
  <x:si>
    <x:t xml:space="preserve">Binomial n</x:t>
  </x:si>
  <x:si>
    <x:t xml:space="preserve">Binomial p</x:t>
  </x:si>
  <x:si>
    <x:t xml:space="preserve">Scor</x:t>
  </x:si>
  <x:si>
    <x:t xml:space="preserve">Completitudine date</x:t>
  </x:si>
  <x:si>
    <x:t xml:space="preserve">Adecvare sample</x:t>
  </x:si>
  <x:si>
    <x:t xml:space="preserve">max 20</x:t>
  </x:si>
  <x:si>
    <x:t xml:space="preserve">Certitudine arbitru</x:t>
  </x:si>
  <x:si>
    <x:t xml:space="preserve">Claritate context/lineup</x:t>
  </x:si>
  <x:si>
    <x:t xml:space="preserve">max 15</x:t>
  </x:si>
  <x:si>
    <x:t xml:space="preserve">Confidence total</x:t>
  </x:si>
  <x:si>
    <x:t xml:space="preserve">Haircut bază</x:t>
  </x:si>
  <x:si>
    <x:t xml:space="preserve">după grade</x:t>
  </x:si>
  <x:si>
    <x:t xml:space="preserve">Extra red-tail</x:t>
  </x:si>
  <x:si>
    <x:t xml:space="preserve">după P(red)</x:t>
  </x:si>
  <x:si>
    <x:t xml:space="preserve">Extra dispersie</x:t>
  </x:si>
  <x:si>
    <x:t xml:space="preserve">D ridicat</x:t>
  </x:si>
  <x:si>
    <x:t xml:space="preserve">Extra sample arbitru</x:t>
  </x:si>
  <x:si>
    <x:t xml:space="preserve">N mic</x:t>
  </x:si>
  <x:si>
    <x:t xml:space="preserve">Extra incertitudine</x:t>
  </x:si>
  <x:si>
    <x:t xml:space="preserve">game state</x:t>
  </x:si>
  <x:si>
    <x:t xml:space="preserve">Haircut total</x:t>
  </x:si>
  <x:si>
    <x:t xml:space="preserve">cap configurat</x:t>
  </x:si>
  <x:si>
    <x:t xml:space="preserve">Regulă</x:t>
  </x:si>
  <x:si>
    <x:t xml:space="preserve">Fixture</x:t>
  </x:si>
  <x:si>
    <x:t xml:space="preserve">Settlement/operator</x:t>
  </x:si>
  <x:si>
    <x:t xml:space="preserve">IGNORAT</x:t>
  </x:si>
  <x:si>
    <x:t xml:space="preserve">ELIMINAT v6</x:t>
  </x:si>
  <x:si>
    <x:t xml:space="preserve">Istoric normalizat</x:t>
  </x:si>
  <x:si>
    <x:t xml:space="preserve">Definiție sursă verificată</x:t>
  </x:si>
  <x:si>
    <x:t xml:space="preserve">OK</x:t>
  </x:si>
  <x:si>
    <x:t xml:space="preserve">Surse</x:t>
  </x:si>
  <x:si>
    <x:t xml:space="preserve">Confidence minim</x:t>
  </x:si>
  <x:si>
    <x:t xml:space="preserve">CONTROL v2 – EARLY SEASON, UPPER TAIL ȘI REF×CONTEXT</x:t>
  </x:si>
  <x:si>
    <x:t xml:space="preserve">gate U4.5</x:t>
  </x:si>
  <x:si>
    <x:t xml:space="preserve">gate U5.5</x:t>
  </x:si>
  <x:si>
    <x:t xml:space="preserve">0–1; strictness × heat/miză/echilibru</x:t>
  </x:si>
  <x:si>
    <x:t xml:space="preserve">Multiplicator mean</x:t>
  </x:si>
  <x:si>
    <x:t xml:space="preserve">uplift lambda total plafonat</x:t>
  </x:si>
  <x:si>
    <x:t xml:space="preserve">Uplift D total</x:t>
  </x:si>
  <x:si>
    <x:t xml:space="preserve">tail suplimentar</x:t>
  </x:si>
  <x:si>
    <x:t xml:space="preserve">DISTRIBUȚIA PROBABILITĂȚILOR – 0…25 CARTONAȘE</x:t>
  </x:si>
  <x:si>
    <x:t xml:space="preserve">Modelul este selectat separat pentru Total, Gazde și Oaspeți pe baza indicelui D. Totalul este modelat direct pentru a evita presupunerea de independență H/A.</x:t>
  </x:si>
  <x:si>
    <x:t xml:space="preserve">k</x:t>
  </x:si>
  <x:si>
    <x:t xml:space="preserve">P Total</x:t>
  </x:si>
  <x:si>
    <x:t xml:space="preserve">CDF Total</x:t>
  </x:si>
  <x:si>
    <x:t xml:space="preserve">P Gazde</x:t>
  </x:si>
  <x:si>
    <x:t xml:space="preserve">CDF Gazde</x:t>
  </x:si>
  <x:si>
    <x:t xml:space="preserve">P Oaspeți</x:t>
  </x:si>
  <x:si>
    <x:t xml:space="preserve">CDF Oaspeți</x:t>
  </x:si>
  <x:si>
    <x:t xml:space="preserve">linie uzuală</x:t>
  </x:si>
  <x:si>
    <x:t xml:space="preserve">26+</x:t>
  </x:si>
  <x:si>
    <x:t xml:space="preserve">masă reziduală</x:t>
  </x:si>
  <x:si>
    <x:t xml:space="preserve">Modul</x:t>
  </x:si>
  <x:si>
    <x:t xml:space="preserve">Selecție</x:t>
  </x:si>
  <x:si>
    <x:t xml:space="preserve">Linie</x:t>
  </x:si>
  <x:si>
    <x:t xml:space="preserve">Cotă selecție</x:t>
  </x:si>
  <x:si>
    <x:t xml:space="preserve">Cotă opusă</x:t>
  </x:si>
  <x:si>
    <x:t xml:space="preserve">P implied</x:t>
  </x:si>
  <x:si>
    <x:t xml:space="preserve">P market de-vig</x:t>
  </x:si>
  <x:si>
    <x:t xml:space="preserve">P model brut</x:t>
  </x:si>
  <x:si>
    <x:t xml:space="preserve">Cotă fair adj.</x:t>
  </x:si>
  <x:si>
    <x:t xml:space="preserve">Edge</x:t>
  </x:si>
  <x:si>
    <x:t xml:space="preserve">EV – IGNORAT v6</x:t>
  </x:si>
  <x:si>
    <x:t xml:space="preserve">Buffer</x:t>
  </x:si>
  <x:si>
    <x:t xml:space="preserve">P0</x:t>
  </x:si>
  <x:si>
    <x:t xml:space="preserve">Over</x:t>
  </x:si>
  <x:si>
    <x:t xml:space="preserve">Under</x:t>
  </x:si>
  <x:si>
    <x:t xml:space="preserve">ANALIZĂ LINIE ASIATICĂ – .00 / .25 / .50 / .75</x:t>
  </x:si>
  <x:si>
    <x:t xml:space="preserve">Pentru .25/.75, miza este împărțită egal între cele două linii adiacente. Cotele sunt exemplificative.</x:t>
  </x:si>
  <x:si>
    <x:t xml:space="preserve">P full win</x:t>
  </x:si>
  <x:si>
    <x:t xml:space="preserve">P half win</x:t>
  </x:si>
  <x:si>
    <x:t xml:space="preserve">P push</x:t>
  </x:si>
  <x:si>
    <x:t xml:space="preserve">P half loss</x:t>
  </x:si>
  <x:si>
    <x:t xml:space="preserve">Fracție linie</x:t>
  </x:si>
  <x:si>
    <x:t xml:space="preserve">P full loss</x:t>
  </x:si>
  <x:si>
    <x:t xml:space="preserve">Componenta 1</x:t>
  </x:si>
  <x:si>
    <x:t xml:space="preserve">Win mass efectivă</x:t>
  </x:si>
  <x:si>
    <x:t xml:space="preserve">Componenta 2</x:t>
  </x:si>
  <x:si>
    <x:t xml:space="preserve">Loss mass efectivă</x:t>
  </x:si>
  <x:si>
    <x:t xml:space="preserve">Cotă fair brută</x:t>
  </x:si>
  <x:si>
    <x:t xml:space="preserve">EV brut</x:t>
  </x:si>
  <x:si>
    <x:t xml:space="preserve">EV ajustat</x:t>
  </x:si>
  <x:si>
    <x:t xml:space="preserve">Verdict</x:t>
  </x:si>
  <x:si>
    <x:t xml:space="preserve">P market de-vig (proxy)</x:t>
  </x:si>
  <x:si>
    <x:t xml:space="preserve">Probabilitate</x:t>
  </x:si>
  <x:si>
    <x:t xml:space="preserve">Payoff comp. 1</x:t>
  </x:si>
  <x:si>
    <x:t xml:space="preserve">Payoff comp. 2</x:t>
  </x:si>
  <x:si>
    <x:t xml:space="preserve">Payoff mediu</x:t>
  </x:si>
  <x:si>
    <x:t xml:space="preserve">Clasă</x:t>
  </x:si>
  <x:si>
    <x:t xml:space="preserve">Prioritate</x:t>
  </x:si>
  <x:si>
    <x:t xml:space="preserve">Trigger / prag</x:t>
  </x:si>
  <x:si>
    <x:t xml:space="preserve">Status automat</x:t>
  </x:si>
  <x:si>
    <x:t xml:space="preserve">Acțiune</x:t>
  </x:si>
  <x:si>
    <x:t xml:space="preserve">De ce</x:t>
  </x:si>
  <x:si>
    <x:t xml:space="preserve">Responsabil</x:t>
  </x:si>
  <x:si>
    <x:t xml:space="preserve">Moment</x:t>
  </x:si>
  <x:si>
    <x:t xml:space="preserve">meci greșit = model invalid</x:t>
  </x:si>
  <x:si>
    <x:t xml:space="preserve">analist</x:t>
  </x:si>
  <x:si>
    <x:t xml:space="preserve">T-24h și T-1h</x:t>
  </x:si>
  <x:si>
    <x:t xml:space="preserve">DEPRECATED</x:t>
  </x:si>
  <x:si>
    <x:t xml:space="preserve">nu amesteca Y/R/2Y</x:t>
  </x:si>
  <x:si>
    <x:t xml:space="preserve">setup</x:t>
  </x:si>
  <x:si>
    <x:t xml:space="preserve">Dicționar sursă verificat</x:t>
  </x:si>
  <x:si>
    <x:t xml:space="preserve">YC poate include/exclude 2Y</x:t>
  </x:si>
  <x:si>
    <x:t xml:space="preserve">arbitrul este driver major</x:t>
  </x:si>
  <x:si>
    <x:t xml:space="preserve">după numire</x:t>
  </x:si>
  <x:si>
    <x:t xml:space="preserve">Sample minim</x:t>
  </x:si>
  <x:si>
    <x:t xml:space="preserve">team/ref/league</x:t>
  </x:si>
  <x:si>
    <x:t xml:space="preserve">sample mic se tratează cu prior, nu ca sample matur</x:t>
  </x:si>
  <x:si>
    <x:t xml:space="preserve">model</x:t>
  </x:si>
  <x:si>
    <x:t xml:space="preserve">calcul</x:t>
  </x:si>
  <x:si>
    <x:t xml:space="preserve">G3</x:t>
  </x:si>
  <x:si>
    <x:t xml:space="preserve">Surse coerente</x:t>
  </x:si>
  <x:si>
    <x:t xml:space="preserve">≥ minimum</x:t>
  </x:si>
  <x:si>
    <x:t xml:space="preserve">conflict informațional</x:t>
  </x:si>
  <x:si>
    <x:t xml:space="preserve">T-24h/T-1h</x:t>
  </x:si>
  <x:si>
    <x:t xml:space="preserve">≥ grade C</x:t>
  </x:si>
  <x:si>
    <x:t xml:space="preserve">separat de P(win)</x:t>
  </x:si>
  <x:si>
    <x:t xml:space="preserve">G0</x:t>
  </x:si>
  <x:si>
    <x:t xml:space="preserve">P1</x:t>
  </x:si>
  <x:si>
    <x:t xml:space="preserve">P(red) ≥ prag</x:t>
  </x:si>
  <x:si>
    <x:t xml:space="preserve">Under strâns: omit/lărgește</x:t>
  </x:si>
  <x:si>
    <x:t xml:space="preserve">R poate conta dublu</x:t>
  </x:si>
  <x:si>
    <x:t xml:space="preserve">D în afara benzii</x:t>
  </x:si>
  <x:si>
    <x:t xml:space="preserve">model adaptiv / haircut</x:t>
  </x:si>
  <x:si>
    <x:t xml:space="preserve">cozile se schimbă</x:t>
  </x:si>
  <x:si>
    <x:t xml:space="preserve">Lineup</x:t>
  </x:si>
  <x:si>
    <x:t xml:space="preserve">NECUNOSCUT</x:t>
  </x:si>
  <x:si>
    <x:t xml:space="preserve">haircut / recheck</x:t>
  </x:si>
  <x:si>
    <x:t xml:space="preserve">rolurile contează</x:t>
  </x:si>
  <x:si>
    <x:t xml:space="preserve">T-1h</x:t>
  </x:si>
  <x:si>
    <x:t xml:space="preserve">Buffer față de linie</x:t>
  </x:si>
  <x:si>
    <x:t xml:space="preserve">după mod</x:t>
  </x:si>
  <x:si>
    <x:t xml:space="preserve">evită coin-flip</x:t>
  </x:si>
  <x:si>
    <x:t xml:space="preserve">CLV și backtest</x:t>
  </x:si>
  <x:si>
    <x:t xml:space="preserve">monitorizare</x:t>
  </x:si>
  <x:si>
    <x:t xml:space="preserve">DE COMPLETAT</x:t>
  </x:si>
  <x:si>
    <x:t xml:space="preserve">validare out-of-sample</x:t>
  </x:si>
  <x:si>
    <x:t xml:space="preserve">post-match</x:t>
  </x:si>
  <x:si>
    <x:t xml:space="preserve">Early-season prior</x:t>
  </x:si>
  <x:si>
    <x:t xml:space="preserve">N curent sub P0 strict</x:t>
  </x:si>
  <x:si>
    <x:t xml:space="preserve">AUTO</x:t>
  </x:si>
  <x:si>
    <x:t xml:space="preserve">evită blocarea aproape completă în etapele timpurii fără a ignora sample risk</x:t>
  </x:si>
  <x:si>
    <x:t xml:space="preserve">Upper tail U4.5/U5.5</x:t>
  </x:si>
  <x:si>
    <x:t xml:space="preserve">P(5+)/P(6+) peste prag</x:t>
  </x:si>
  <x:si>
    <x:t xml:space="preserve">protejează contra fail-urilor la 5+ cards</x:t>
  </x:si>
  <x:si>
    <x:t xml:space="preserve">BACKTEST ȘI CALIBRARE – TRACKER GENERAL</x:t>
  </x:si>
  <x:si>
    <x:t xml:space="preserve">Înregistrează numai predicții înghețate înainte de start. Rezultatul trebuie convertit la regula exactă a bookmakerului.</x:t>
  </x:si>
  <x:si>
    <x:t xml:space="preserve">KPI</x:t>
  </x:si>
  <x:si>
    <x:t xml:space="preserve">Selecții</x:t>
  </x:si>
  <x:si>
    <x:t xml:space="preserve">Rezolvate</x:t>
  </x:si>
  <x:si>
    <x:t xml:space="preserve">Profit total (u)</x:t>
  </x:si>
  <x:si>
    <x:t xml:space="preserve">ROI</x:t>
  </x:si>
  <x:si>
    <x:t xml:space="preserve">CLV mediu</x:t>
  </x:si>
  <x:si>
    <x:t xml:space="preserve">Brier mediu (.5)</x:t>
  </x:si>
  <x:si>
    <x:t xml:space="preserve">Cotă luată</x:t>
  </x:si>
  <x:si>
    <x:t xml:space="preserve">Cotă close</x:t>
  </x:si>
  <x:si>
    <x:t xml:space="preserve">μ model</x:t>
  </x:si>
  <x:si>
    <x:t xml:space="preserve">P brut</x:t>
  </x:si>
  <x:si>
    <x:t xml:space="preserve">Gate</x:t>
  </x:si>
  <x:si>
    <x:t xml:space="preserve">Rezultat decontat</x:t>
  </x:si>
  <x:si>
    <x:t xml:space="preserve">Comp. 1</x:t>
  </x:si>
  <x:si>
    <x:t xml:space="preserve">Comp. 2</x:t>
  </x:si>
  <x:si>
    <x:t xml:space="preserve">Profit 1u</x:t>
  </x:si>
  <x:si>
    <x:t xml:space="preserve">Outcome</x:t>
  </x:si>
  <x:si>
    <x:t xml:space="preserve">CLV</x:t>
  </x:si>
  <x:si>
    <x:t xml:space="preserve">Brier (.5)</x:t>
  </x:si>
  <x:si>
    <x:t xml:space="preserve">YC</x:t>
  </x:si>
  <x:si>
    <x:t xml:space="preserve">R direct</x:t>
  </x:si>
  <x:si>
    <x:t xml:space="preserve">2Y-R</x:t>
  </x:si>
  <x:si>
    <x:t xml:space="preserve">Note</x:t>
  </x:si>
  <x:si>
    <x:t xml:space="preserve">Versiune</x:t>
  </x:si>
  <x:si>
    <x:t xml:space="preserve">P(5+) pre-match</x:t>
  </x:si>
  <x:si>
    <x:t xml:space="preserve">P(6+) pre-match</x:t>
  </x:si>
  <x:si>
    <x:t xml:space="preserve">Ref×Context pre-match</x:t>
  </x:si>
  <x:si>
    <x:t xml:space="preserve">v2</x:t>
  </x:si>
  <x:si>
    <x:t xml:space="preserve">Risk Score</x:t>
  </x:si>
  <x:si>
    <x:t xml:space="preserve">Nivel</x:t>
  </x:si>
  <x:si>
    <x:t xml:space="preserve">Regulă comună</x:t>
  </x:si>
  <x:si>
    <x:t xml:space="preserve">Rol</x:t>
  </x:si>
  <x:si>
    <x:t xml:space="preserve">Baseline piață</x:t>
  </x:si>
  <x:si>
    <x:t xml:space="preserve">Failure mode dominant</x:t>
  </x:si>
  <x:si>
    <x:t xml:space="preserve">referee/core team cards + directional tail + red/dispersion</x:t>
  </x:si>
  <x:si>
    <x:t xml:space="preserve">Driver principal</x:t>
  </x:si>
  <x:si>
    <x:t xml:space="preserve">Driver principal actual; settlement eliminat</x:t>
  </x:si>
  <x:si>
    <x:t xml:space="preserve">EV / pricing gate</x:t>
  </x:si>
  <x:si>
    <x:t xml:space="preserve">EV eliminat din verdict și ranking</x:t>
  </x:si>
  <x:si>
    <x:t xml:space="preserve">Builder eligibility</x:t>
  </x:si>
  <x:si>
    <x:t xml:space="preserve">Arhitectură comună</x:t>
  </x:si>
  <x:si>
    <x:t xml:space="preserve">Se aplică tuturor modelelor-sursă</x:t>
  </x:si>
  <x:si>
    <x:t xml:space="preserve">Ordine ranking</x:t>
  </x:si>
  <x:si>
    <x:t xml:space="preserve">Topuri zilnice</x:t>
  </x:si>
  <x:si>
    <x:t xml:space="preserve">fără EV / settlement</x:t>
  </x:si>
  <x:si>
    <x:t xml:space="preserve">Risk Score calculat</x:t>
  </x:si>
  <x:si>
    <x:t xml:space="preserve">Risk Level</x:t>
  </x:si>
  <x:si>
    <x:t xml:space="preserve">Final Risk Level</x:t>
  </x:si>
  <x:si>
    <x:t xml:space="preserve">Final Risk Verdict</x:t>
  </x:si>
  <x:si>
    <x:t xml:space="preserve">Gate sursă</x:t>
  </x:si>
  <x:si>
    <x:t xml:space="preserve">Necesar</x:t>
  </x:si>
  <x:si>
    <x:t xml:space="preserve">Hard?</x:t>
  </x:si>
  <x:si>
    <x:t xml:space="preserve">Builder Eligible impact</x:t>
  </x:si>
  <x:si>
    <x:t xml:space="preserve">Definiții sursă normalizate</x:t>
  </x:si>
  <x:si>
    <x:t xml:space="preserve">PASS</x:t>
  </x:si>
  <x:si>
    <x:t xml:space="preserve">FAIL =&gt; NO</x:t>
  </x:si>
  <x:si>
    <x:t xml:space="preserve">fără settlement/operator</x:t>
  </x:si>
  <x:si>
    <x:t xml:space="preserve">referee P0</x:t>
  </x:si>
  <x:si>
    <x:t xml:space="preserve">Sample / data completeness</x:t>
  </x:si>
  <x:si>
    <x:t xml:space="preserve">team/ref data</x:t>
  </x:si>
  <x:si>
    <x:t xml:space="preserve">Dispersion / red-tail</x:t>
  </x:si>
  <x:si>
    <x:t xml:space="preserve">upper-tail</x:t>
  </x:si>
  <x:si>
    <x:t xml:space="preserve">Verdict model sursă</x:t>
  </x:si>
  <x:si>
    <x:t xml:space="preserve">BET/PRUDENT</x:t>
  </x:si>
  <x:si>
    <x:t xml:space="preserve">WATCH/NO BET =&gt; NO</x:t>
  </x:si>
  <x:si>
    <x:t xml:space="preserve">Toate hard gates</x:t>
  </x:si>
  <x:si>
    <x:t xml:space="preserve">obligatoriu</x:t>
  </x:si>
  <x:si>
    <x:t xml:space="preserve">AND</x:t>
  </x:si>
  <x:si>
    <x:t xml:space="preserve">Builder Eligible</x:t>
  </x:si>
  <x:si>
    <x:t xml:space="preserve">YES</x:t>
  </x:si>
  <x:si>
    <x:t xml:space="preserve">final</x:t>
  </x:si>
  <x:si>
    <x:t xml:space="preserve">YES numai toate PASS</x:t>
  </x:si>
  <x:si>
    <x:t xml:space="preserve">Motiv</x:t>
  </x:si>
  <x:si>
    <x:t xml:space="preserve">audit</x:t>
  </x:si>
  <x:si>
    <x:t xml:space="preserve">FROZEN PREDICTIONS – WALK-FORWARD / NO LOOK-AHEAD</x:t>
  </x:si>
  <x:si>
    <x:t xml:space="preserve">Save as values before kickoff. Do not overwrite pre-match probabilities after results.</x:t>
  </x:si>
  <x:si>
    <x:t xml:space="preserve">Snapshot_ID</x:t>
  </x:si>
  <x:si>
    <x:t xml:space="preserve">Snapshot_TS</x:t>
  </x:si>
  <x:si>
    <x:t xml:space="preserve">Match_Date</x:t>
  </x:si>
  <x:si>
    <x:t xml:space="preserve">Country</x:t>
  </x:si>
  <x:si>
    <x:t xml:space="preserve">League</x:t>
  </x:si>
  <x:si>
    <x:t xml:space="preserve">Home</x:t>
  </x:si>
  <x:si>
    <x:t xml:space="preserve">Away</x:t>
  </x:si>
  <x:si>
    <x:t xml:space="preserve">Market</x:t>
  </x:si>
  <x:si>
    <x:t xml:space="preserve">Line</x:t>
  </x:si>
  <x:si>
    <x:t xml:space="preserve">Model_Version</x:t>
  </x:si>
  <x:si>
    <x:t xml:space="preserve">P_Model</x:t>
  </x:si>
  <x:si>
    <x:t xml:space="preserve">P_Final</x:t>
  </x:si>
  <x:si>
    <x:t xml:space="preserve">Risk_Level</x:t>
  </x:si>
  <x:si>
    <x:t xml:space="preserve">Hard_Gates</x:t>
  </x:si>
  <x:si>
    <x:t xml:space="preserve">Data_Grade</x:t>
  </x:si>
  <x:si>
    <x:t xml:space="preserve">PreMatch_Frozen</x:t>
  </x:si>
  <x:si>
    <x:t xml:space="preserve">P_YC0</x:t>
  </x:si>
  <x:si>
    <x:t xml:space="preserve">P_YC1</x:t>
  </x:si>
  <x:si>
    <x:t xml:space="preserve">P_YC2</x:t>
  </x:si>
  <x:si>
    <x:t xml:space="preserve">P_YC_le2</x:t>
  </x:si>
  <x:si>
    <x:t xml:space="preserve">LowCardModel</x:t>
  </x:si>
  <x:si>
    <x:t xml:space="preserve">LowCardTeamHistory</x:t>
  </x:si>
  <x:si>
    <x:t xml:space="preserve">LowCardReferee</x:t>
  </x:si>
  <x:si>
    <x:t xml:space="preserve">LeagueLowCardRate</x:t>
  </x:si>
  <x:si>
    <x:t xml:space="preserve">LowCardMixture</x:t>
  </x:si>
  <x:si>
    <x:t xml:space="preserve">LowCard_Gate</x:t>
  </x:si>
  <x:si>
    <x:t xml:space="preserve">Dispersion_RedTail_Gate</x:t>
  </x:si>
  <x:si>
    <x:t xml:space="preserve">SettlementGate</x:t>
  </x:si>
  <x:si>
    <x:t xml:space="preserve">RefereeGate</x:t>
  </x:si>
  <x:si>
    <x:t xml:space="preserve">SampleGate</x:t>
  </x:si>
  <x:si>
    <x:t xml:space="preserve">Candidate_Threshold_ID</x:t>
  </x:si>
  <x:si>
    <x:t xml:space="preserve">Notes</x:t>
  </x:si>
  <x:si>
    <x:t xml:space="preserve">P_YC_LE2</x:t>
  </x:si>
  <x:si>
    <x:t xml:space="preserve">LowCard_ContextFloor</x:t>
  </x:si>
  <x:si>
    <x:t xml:space="preserve">LowCard_SecondaryIndex</x:t>
  </x:si>
  <x:si>
    <x:t xml:space="preserve">LowCard_O2.5_Haircut</x:t>
  </x:si>
  <x:si>
    <x:t xml:space="preserve">LowCard_SecondaryStatus</x:t>
  </x:si>
  <x:si>
    <x:t xml:space="preserve">MultiLine_v9</x:t>
  </x:si>
  <x:si>
    <x:t xml:space="preserve">Line_P_Final</x:t>
  </x:si>
  <x:si>
    <x:t xml:space="preserve">Line_Failure_Adj</x:t>
  </x:si>
  <x:si>
    <x:t xml:space="preserve">Tail_Type</x:t>
  </x:si>
  <x:si>
    <x:t xml:space="preserve">Tail_Gate</x:t>
  </x:si>
  <x:si>
    <x:t xml:space="preserve">Line_Risk_v9</x:t>
  </x:si>
  <x:si>
    <x:t xml:space="preserve">Line_Verdict_v9</x:t>
  </x:si>
  <x:si>
    <x:t xml:space="preserve">Line_Rank_v9</x:t>
  </x:si>
  <x:si>
    <x:t xml:space="preserve">OOS_Status_v9</x:t>
  </x:si>
  <x:si>
    <x:t xml:space="preserve">DEPRECATED v6 – SETTLEMENT ELIMINAT DIN ANALIZA MODELULUI</x:t>
  </x:si>
  <x:si>
    <x:t xml:space="preserve">Foaia rămâne doar pentru compatibilitate/audit istoric. Nu este folosită în verdict, Risk Score, ranking sau Builder eligibility.</x:t>
  </x:si>
  <x:si>
    <x:t xml:space="preserve">P_Final_Frozen</x:t>
  </x:si>
  <x:si>
    <x:t xml:space="preserve">Outcome_1_0</x:t>
  </x:si>
  <x:si>
    <x:t xml:space="preserve">Profit_1u</x:t>
  </x:si>
  <x:si>
    <x:t xml:space="preserve">Score_H</x:t>
  </x:si>
  <x:si>
    <x:t xml:space="preserve">Score_A</x:t>
  </x:si>
  <x:si>
    <x:t xml:space="preserve">Fail_Mode</x:t>
  </x:si>
  <x:si>
    <x:t xml:space="preserve">Settlement_Source</x:t>
  </x:si>
  <x:si>
    <x:t xml:space="preserve">Settled_TS</x:t>
  </x:si>
  <x:si>
    <x:t xml:space="preserve">Brier</x:t>
  </x:si>
  <x:si>
    <x:t xml:space="preserve">LogLoss</x:t>
  </x:si>
  <x:si>
    <x:t xml:space="preserve">Hard_Gates_Frozen</x:t>
  </x:si>
  <x:si>
    <x:t xml:space="preserve">Verdict_Frozen</x:t>
  </x:si>
  <x:si>
    <x:t xml:space="preserve">RISK LEVEL SUMMARY</x:t>
  </x:si>
  <x:si>
    <x:t xml:space="preserve">Evaluate levels 1–5 separately; hard-gate fail overrides score.</x:t>
  </x:si>
  <x:si>
    <x:t xml:space="preserve">Wins</x:t>
  </x:si>
  <x:si>
    <x:t xml:space="preserve">Hit Rate</x:t>
  </x:si>
  <x:si>
    <x:t xml:space="preserve">Fail Rate</x:t>
  </x:si>
  <x:si>
    <x:t xml:space="preserve">CALIBRATION – FROZEN P_FINAL</x:t>
  </x:si>
  <x:si>
    <x:t xml:space="preserve">Calibration uses only frozen probabilities and settled outcomes.</x:t>
  </x:si>
  <x:si>
    <x:t xml:space="preserve">P low</x:t>
  </x:si>
  <x:si>
    <x:t xml:space="preserve">P high</x:t>
  </x:si>
  <x:si>
    <x:t xml:space="preserve">Mean P</x:t>
  </x:si>
  <x:si>
    <x:t xml:space="preserve">Observed Rate</x:t>
  </x:si>
  <x:si>
    <x:t xml:space="preserve">Calibration Gap</x:t>
  </x:si>
  <x:si>
    <x:t xml:space="preserve">FAIL DISTRIBUTION</x:t>
  </x:si>
  <x:si>
    <x:t xml:space="preserve">Code failure modes only after settlement; use for threshold diagnostics, not retroactive tuning.</x:t>
  </x:si>
  <x:si>
    <x:t xml:space="preserve">Fail Mode</x:t>
  </x:si>
  <x:si>
    <x:t xml:space="preserve">Fails</x:t>
  </x:si>
  <x:si>
    <x:t xml:space="preserve">Share of Fails</x:t>
  </x:si>
  <x:si>
    <x:t xml:space="preserve">Model relevance</x:t>
  </x:si>
  <x:si>
    <x:t xml:space="preserve">YC=0</x:t>
  </x:si>
  <x:si>
    <x:t xml:space="preserve">YC=1</x:t>
  </x:si>
  <x:si>
    <x:t xml:space="preserve">YC=2</x:t>
  </x:si>
  <x:si>
    <x:t xml:space="preserve">Low-card mixture</x:t>
  </x:si>
  <x:si>
    <x:t xml:space="preserve">Referee</x:t>
  </x:si>
  <x:si>
    <x:t xml:space="preserve">Settlement definition</x:t>
  </x:si>
  <x:si>
    <x:t xml:space="preserve">Sample completeness</x:t>
  </x:si>
  <x:si>
    <x:t xml:space="preserve">Other</x:t>
  </x:si>
  <x:si>
    <x:t xml:space="preserve">LEAGUE SUMMARY</x:t>
  </x:si>
  <x:si>
    <x:t xml:space="preserve">Enter leagues in column A. Threshold changes require stable effects across multiple leagues.</x:t>
  </x:si>
  <x:si>
    <x:t xml:space="preserve">Stability</x:t>
  </x:si>
  <x:si>
    <x:t xml:space="preserve">MONTHLY SUMMARY</x:t>
  </x:si>
  <x:si>
    <x:t xml:space="preserve">Monitor temporal drift; do not adopt a threshold that works in one month only.</x:t>
  </x:si>
  <x:si>
    <x:t xml:space="preserve">Month Start</x:t>
  </x:si>
  <x:si>
    <x:t xml:space="preserve">BUILDER MARGINAL FAILS</x:t>
  </x:si>
  <x:si>
    <x:t xml:space="preserve">Common audit interface; populated primarily in Bet Builder.</x:t>
  </x:si>
  <x:si>
    <x:t xml:space="preserve">Builder_ID</x:t>
  </x:si>
  <x:si>
    <x:t xml:space="preserve">Builder_Type</x:t>
  </x:si>
  <x:si>
    <x:t xml:space="preserve">Match</x:t>
  </x:si>
  <x:si>
    <x:t xml:space="preserve">Failed_Leg</x:t>
  </x:si>
  <x:si>
    <x:t xml:space="preserve">Source_Model</x:t>
  </x:si>
  <x:si>
    <x:t xml:space="preserve">Leg_P</x:t>
  </x:si>
  <x:si>
    <x:t xml:space="preserve">Leg_Risk</x:t>
  </x:si>
  <x:si>
    <x:t xml:space="preserve">Source_Gates</x:t>
  </x:si>
  <x:si>
    <x:t xml:space="preserve">Correlation</x:t>
  </x:si>
  <x:si>
    <x:t xml:space="preserve">Uncertainty</x:t>
  </x:si>
  <x:si>
    <x:t xml:space="preserve">Marginal_Fail_Contribution</x:t>
  </x:si>
  <x:si>
    <x:t xml:space="preserve">N/A</x:t>
  </x:si>
  <x:si>
    <x:t xml:space="preserve">Standard interface; populate in Bet Builder v6.</x:t>
  </x:si>
  <x:si>
    <x:t xml:space="preserve">BACKTEST SUMMARY – WALK-FORWARD GOVERNANCE</x:t>
  </x:si>
  <x:si>
    <x:t xml:space="preserve">No threshold change from retrospective hit-rate alone. Require frozen OOS evidence, Wilson CI, Brier, Log-loss, calibration, fail distribution and multi-league stability.</x:t>
  </x:si>
  <x:si>
    <x:t xml:space="preserve">Metric</x:t>
  </x:si>
  <x:si>
    <x:t xml:space="preserve">Walk-forward value</x:t>
  </x:si>
  <x:si>
    <x:t xml:space="preserve">Meaning</x:t>
  </x:si>
  <x:si>
    <x:t xml:space="preserve">Threshold-change role</x:t>
  </x:si>
  <x:si>
    <x:t xml:space="preserve">Reference evidence</x:t>
  </x:si>
  <x:si>
    <x:t xml:space="preserve">Reference N / value</x:t>
  </x:si>
  <x:si>
    <x:t xml:space="preserve">Reference Wilson / metric</x:t>
  </x:si>
  <x:si>
    <x:t xml:space="preserve">Settled N</x:t>
  </x:si>
  <x:si>
    <x:t xml:space="preserve">Frozen + settled observations</x:t>
  </x:si>
  <x:si>
    <x:t xml:space="preserve">OOS volume</x:t>
  </x:si>
  <x:si>
    <x:t xml:space="preserve">Cards v3 Backtest tracker reports 0 selections / 0 resolved. No numeric low-card hard threshold can be promoted.</x:t>
  </x:si>
  <x:si>
    <x:t xml:space="preserve">REFERENCE ≠ candidate OOS</x:t>
  </x:si>
  <x:si>
    <x:t xml:space="preserve">Outcome=1</x:t>
  </x:si>
  <x:si>
    <x:t xml:space="preserve">Numerator</x:t>
  </x:si>
  <x:si>
    <x:t xml:space="preserve">Hit rate</x:t>
  </x:si>
  <x:si>
    <x:t xml:space="preserve">Observed rate</x:t>
  </x:si>
  <x:si>
    <x:t xml:space="preserve">Diagnostic only</x:t>
  </x:si>
  <x:si>
    <x:t xml:space="preserve">Wilson 95% low</x:t>
  </x:si>
  <x:si>
    <x:t xml:space="preserve">Lower bound</x:t>
  </x:si>
  <x:si>
    <x:t xml:space="preserve">Required</x:t>
  </x:si>
  <x:si>
    <x:t xml:space="preserve">Wilson 95% high</x:t>
  </x:si>
  <x:si>
    <x:t xml:space="preserve">Upper bound</x:t>
  </x:si>
  <x:si>
    <x:t xml:space="preserve">Mean P Final</x:t>
  </x:si>
  <x:si>
    <x:t xml:space="preserve">Frozen mean probability</x:t>
  </x:si>
  <x:si>
    <x:t xml:space="preserve">Calibration</x:t>
  </x:si>
  <x:si>
    <x:t xml:space="preserve">Calibration gap</x:t>
  </x:si>
  <x:si>
    <x:t xml:space="preserve">Mean P - hit rate</x:t>
  </x:si>
  <x:si>
    <x:t xml:space="preserve">Lower is better</x:t>
  </x:si>
  <x:si>
    <x:t xml:space="preserve">Log-loss</x:t>
  </x:si>
  <x:si>
    <x:t xml:space="preserve">Leagues evaluated</x:t>
  </x:si>
  <x:si>
    <x:t xml:space="preserve">Number of leagues</x:t>
  </x:si>
  <x:si>
    <x:t xml:space="preserve">Stable leagues</x:t>
  </x:si>
  <x:si>
    <x:t xml:space="preserve">Stable calibration leagues</x:t>
  </x:si>
  <x:si>
    <x:t xml:space="preserve">Threshold decision</x:t>
  </x:si>
  <x:si>
    <x:t xml:space="preserve">KEEP CURRENT</x:t>
  </x:si>
  <x:si>
    <x:t xml:space="preserve">Manual governance</x:t>
  </x:si>
  <x:si>
    <x:t xml:space="preserve">Change only after non-degrading multi-metric OOS result</x:t>
  </x:si>
  <x:si>
    <x:t xml:space="preserve">MANUAL</x:t>
  </x:si>
  <x:si>
    <x:t xml:space="preserve">Field</x:t>
  </x:si>
  <x:si>
    <x:t xml:space="preserve">Value</x:t>
  </x:si>
  <x:si>
    <x:t xml:space="preserve">Role</x:t>
  </x:si>
  <x:si>
    <x:t xml:space="preserve">Rule</x:t>
  </x:si>
  <x:si>
    <x:t xml:space="preserve">Builder</x:t>
  </x:si>
  <x:si>
    <x:t xml:space="preserve">P(YC=0)</x:t>
  </x:si>
  <x:si>
    <x:t xml:space="preserve">Distribution</x:t>
  </x:si>
  <x:si>
    <x:t xml:space="preserve">NEW</x:t>
  </x:si>
  <x:si>
    <x:t xml:space="preserve">source</x:t>
  </x:si>
  <x:si>
    <x:t xml:space="preserve">P(YC=1)</x:t>
  </x:si>
  <x:si>
    <x:t xml:space="preserve">P(YC=2)</x:t>
  </x:si>
  <x:si>
    <x:t xml:space="preserve">P(YC&lt;=2)</x:t>
  </x:si>
  <x:si>
    <x:t xml:space="preserve">Low-card tail</x:t>
  </x:si>
  <x:si>
    <x:t xml:space="preserve">sum 0..2</x:t>
  </x:si>
  <x:si>
    <x:t xml:space="preserve">LowCard_Model</x:t>
  </x:si>
  <x:si>
    <x:t xml:space="preserve">Model distribution</x:t>
  </x:si>
  <x:si>
    <x:t xml:space="preserve">LowCard_TeamHistory</x:t>
  </x:si>
  <x:si>
    <x:t xml:space="preserve">Teams empirical</x:t>
  </x:si>
  <x:si>
    <x:t xml:space="preserve">H/A/recent</x:t>
  </x:si>
  <x:si>
    <x:t xml:space="preserve">LowCard_Referee</x:t>
  </x:si>
  <x:si>
    <x:t xml:space="preserve">Referee empirical</x:t>
  </x:si>
  <x:si>
    <x:t xml:space="preserve">League_LowCardRate</x:t>
  </x:si>
  <x:si>
    <x:t xml:space="preserve">League prior</x:t>
  </x:si>
  <x:si>
    <x:t xml:space="preserve">league baseline</x:t>
  </x:si>
  <x:si>
    <x:t xml:space="preserve">Weight_Model</x:t>
  </x:si>
  <x:si>
    <x:t xml:space="preserve">Pilot weight</x:t>
  </x:si>
  <x:si>
    <x:t xml:space="preserve">neutral until OOS</x:t>
  </x:si>
  <x:si>
    <x:t xml:space="preserve">PILOT</x:t>
  </x:si>
  <x:si>
    <x:t xml:space="preserve">Weight_Team</x:t>
  </x:si>
  <x:si>
    <x:t xml:space="preserve">Weight_Referee</x:t>
  </x:si>
  <x:si>
    <x:t xml:space="preserve">Weight_League</x:t>
  </x:si>
  <x:si>
    <x:t xml:space="preserve">Blended low-card probability</x:t>
  </x:si>
  <x:si>
    <x:t xml:space="preserve">four-source blend</x:t>
  </x:si>
  <x:si>
    <x:t xml:space="preserve">MONITOR</x:t>
  </x:si>
  <x:si>
    <x:t xml:space="preserve">MONITOR-ONLY</x:t>
  </x:si>
  <x:si>
    <x:t xml:space="preserve">Separate from red-tail</x:t>
  </x:si>
  <x:si>
    <x:t xml:space="preserve">numeric hard threshold pending OOS</x:t>
  </x:si>
  <x:si>
    <x:t xml:space="preserve">NO THRESHOLD CHANGE</x:t>
  </x:si>
  <x:si>
    <x:t xml:space="preserve">Existing gate</x:t>
  </x:si>
  <x:si>
    <x:t xml:space="preserve">separate</x:t>
  </x:si>
  <x:si>
    <x:t xml:space="preserve">UNCHANGED</x:t>
  </x:si>
  <x:si>
    <x:t xml:space="preserve">hard</x:t>
  </x:si>
  <x:si>
    <x:t xml:space="preserve">Referee_Confirmation</x:t>
  </x:si>
  <x:si>
    <x:t xml:space="preserve">Referee P0</x:t>
  </x:si>
  <x:si>
    <x:t xml:space="preserve">must PASS</x:t>
  </x:si>
  <x:si>
    <x:t xml:space="preserve">Sample_Completeness</x:t>
  </x:si>
  <x:si>
    <x:t xml:space="preserve">Sample/data P0</x:t>
  </x:si>
  <x:si>
    <x:t xml:space="preserve">Model_Source_Verdict</x:t>
  </x:si>
  <x:si>
    <x:t xml:space="preserve">Source verdict</x:t>
  </x:si>
  <x:si>
    <x:t xml:space="preserve">BET/PRUDENT only for Builder</x:t>
  </x:si>
  <x:si>
    <x:t xml:space="preserve">BuilderEligible</x:t>
  </x:si>
  <x:si>
    <x:t xml:space="preserve">Final</x:t>
  </x:si>
  <x:si>
    <x:t xml:space="preserve">all hard gates + source verdict eligible</x:t>
  </x:si>
  <x:si>
    <x:t xml:space="preserve">HARD</x:t>
  </x:si>
  <x:si>
    <x:t xml:space="preserve">CARDS v5 – LOW-CARD SECONDARY PENALTY FOR TOTAL O2,5</x:t>
  </x:si>
  <x:si>
    <x:t xml:space="preserve">Low-Card nu devine hard gate nou. Pentru O2,5 se aplică un penalty secundar care combină distribuția, referee shrinkage, team cards H/A, matchup fouls, derby/miză și game-context. Context floor împiedică arbitrul să compenseze singur un profil low-intensity.</x:t>
  </x:si>
  <x:si>
    <x:t xml:space="preserve">Valoare 0–1</x:t>
  </x:si>
  <x:si>
    <x:t xml:space="preserve">Sursă</x:t>
  </x:si>
  <x:si>
    <x:t xml:space="preserve">Normalizare</x:t>
  </x:si>
  <x:si>
    <x:t xml:space="preserve">P(YC≤2) adaptive</x:t>
  </x:si>
  <x:si>
    <x:t xml:space="preserve">Calcul_Model + distribution family</x:t>
  </x:si>
  <x:si>
    <x:t xml:space="preserve">low-card probability</x:t>
  </x:si>
  <x:si>
    <x:t xml:space="preserve">direct probability</x:t>
  </x:si>
  <x:si>
    <x:t xml:space="preserve">distribution</x:t>
  </x:si>
  <x:si>
    <x:t xml:space="preserve">Referee low-card risk</x:t>
  </x:si>
  <x:si>
    <x:t xml:space="preserve">shrunk referee multiplier</x:t>
  </x:si>
  <x:si>
    <x:t xml:space="preserve">strict ref =&gt; risc mai mic</x:t>
  </x:si>
  <x:si>
    <x:t xml:space="preserve">caps 0.75–1.25</x:t>
  </x:si>
  <x:si>
    <x:t xml:space="preserve">referee</x:t>
  </x:si>
  <x:si>
    <x:t xml:space="preserve">Team cards H/A low risk</x:t>
  </x:si>
  <x:si>
    <x:t xml:space="preserve">team H/A vs league baseline</x:t>
  </x:si>
  <x:si>
    <x:t xml:space="preserve">sub baseline =&gt; risc</x:t>
  </x:si>
  <x:si>
    <x:t xml:space="preserve">bounded 0–1</x:t>
  </x:si>
  <x:si>
    <x:t xml:space="preserve">teams</x:t>
  </x:si>
  <x:si>
    <x:t xml:space="preserve">Matchup foul low intensity</x:t>
  </x:si>
  <x:si>
    <x:t xml:space="preserve">estimated fouls vs league</x:t>
  </x:si>
  <x:si>
    <x:t xml:space="preserve">mai puține fouls =&gt; risc</x:t>
  </x:si>
  <x:si>
    <x:t xml:space="preserve">Derby / miză low intensity</x:t>
  </x:si>
  <x:si>
    <x:t xml:space="preserve">heat + stakes</x:t>
  </x:si>
  <x:si>
    <x:t xml:space="preserve">scor mic =&gt; risc</x:t>
  </x:si>
  <x:si>
    <x:t xml:space="preserve">1-average/10</x:t>
  </x:si>
  <x:si>
    <x:t xml:space="preserve">context</x:t>
  </x:si>
  <x:si>
    <x:t xml:space="preserve">Game-context low intensity</x:t>
  </x:si>
  <x:si>
    <x:t xml:space="preserve">balance + transitions + crowd</x:t>
  </x:si>
  <x:si>
    <x:t xml:space="preserve">anticipated context</x:t>
  </x:si>
  <x:si>
    <x:t xml:space="preserve">team/fouls/derby/game</x:t>
  </x:si>
  <x:si>
    <x:t xml:space="preserve">referee excluded</x:t>
  </x:si>
  <x:si>
    <x:t xml:space="preserve">AVERAGE non-ref context</x:t>
  </x:si>
  <x:si>
    <x:t xml:space="preserve">anti-compensation</x:t>
  </x:si>
  <x:si>
    <x:t xml:space="preserve">Overall six-factor mean</x:t>
  </x:si>
  <x:si>
    <x:t xml:space="preserve">all six factors</x:t>
  </x:si>
  <x:si>
    <x:t xml:space="preserve">blended risk</x:t>
  </x:si>
  <x:si>
    <x:t xml:space="preserve">AVERAGE</x:t>
  </x:si>
  <x:si>
    <x:t xml:space="preserve">secondary</x:t>
  </x:si>
  <x:si>
    <x:t xml:space="preserve">LowCard Secondary Index</x:t>
  </x:si>
  <x:si>
    <x:t xml:space="preserve">MAX(overall, context floor)</x:t>
  </x:si>
  <x:si>
    <x:t xml:space="preserve">final risk</x:t>
  </x:si>
  <x:si>
    <x:t xml:space="preserve">context floor enforced</x:t>
  </x:si>
  <x:si>
    <x:t xml:space="preserve">Max penalty cap</x:t>
  </x:si>
  <x:si>
    <x:t xml:space="preserve">Parametri v5</x:t>
  </x:si>
  <x:si>
    <x:t xml:space="preserve">probability haircut</x:t>
  </x:si>
  <x:si>
    <x:t xml:space="preserve">pilot</x:t>
  </x:si>
  <x:si>
    <x:t xml:space="preserve">config</x:t>
  </x:si>
  <x:si>
    <x:t xml:space="preserve">O2.5 secondary haircut</x:t>
  </x:si>
  <x:si>
    <x:t xml:space="preserve">index × cap</x:t>
  </x:si>
  <x:si>
    <x:t xml:space="preserve">applied to Total Over 2.5 only</x:t>
  </x:si>
  <x:si>
    <x:t xml:space="preserve">Secondary status</x:t>
  </x:si>
  <x:si>
    <x:t xml:space="preserve">haircut &gt;0</x:t>
  </x:si>
  <x:si>
    <x:t xml:space="preserve">no hard threshold</x:t>
  </x:si>
  <x:si>
    <x:t xml:space="preserve">PENALTY / NONE</x:t>
  </x:si>
  <x:si>
    <x:t xml:space="preserve">Calibration factor</x:t>
  </x:si>
  <x:si>
    <x:t xml:space="preserve">Empirical team H/A fail</x:t>
  </x:si>
  <x:si>
    <x:t xml:space="preserve">Empirical recent fail</x:t>
  </x:si>
  <x:si>
    <x:t xml:space="preserve">League prior fail</x:t>
  </x:si>
  <x:si>
    <x:t xml:space="preserve">PASS max</x:t>
  </x:si>
  <x:si>
    <x:t xml:space="preserve">WATCH min</x:t>
  </x:si>
  <x:si>
    <x:t xml:space="preserve">OOS status</x:t>
  </x:si>
  <x:si>
    <x:t xml:space="preserve">O1.5</x:t>
  </x:si>
  <x:si>
    <x:t xml:space="preserve">PENDING FROZEN OOS</x:t>
  </x:si>
  <x:si>
    <x:t xml:space="preserve">O2.5</x:t>
  </x:si>
  <x:si>
    <x:t xml:space="preserve">O3.5</x:t>
  </x:si>
  <x:si>
    <x:t xml:space="preserve">O4.5</x:t>
  </x:si>
  <x:si>
    <x:t xml:space="preserve">O5.5</x:t>
  </x:si>
  <x:si>
    <x:t xml:space="preserve">U3.5</x:t>
  </x:si>
  <x:si>
    <x:t xml:space="preserve">U4.5</x:t>
  </x:si>
  <x:si>
    <x:t xml:space="preserve">U5.5</x:t>
  </x:si>
  <x:si>
    <x:t xml:space="preserve">U6.5</x:t>
  </x:si>
  <x:si>
    <x:t xml:space="preserve">U7.5</x:t>
  </x:si>
  <x:si>
    <x:t xml:space="preserve">U8.5</x:t>
  </x:si>
  <x:si>
    <x:t xml:space="preserve">U9.5</x:t>
  </x:si>
  <x:si>
    <x:t xml:space="preserve">U10.5</x:t>
  </x:si>
  <x:si>
    <x:t xml:space="preserve">Tip</x:t>
  </x:si>
  <x:si>
    <x:t xml:space="preserve">Failure raw</x:t>
  </x:si>
  <x:si>
    <x:t xml:space="preserve">P raw</x:t>
  </x:si>
  <x:si>
    <x:t xml:space="preserve">Referee tail risk</x:t>
  </x:si>
  <x:si>
    <x:t xml:space="preserve">Team H/A tail risk</x:t>
  </x:si>
  <x:si>
    <x:t xml:space="preserve">Fouls tail risk</x:t>
  </x:si>
  <x:si>
    <x:t xml:space="preserve">Derby/Stakes tail risk</x:t>
  </x:si>
  <x:si>
    <x:t xml:space="preserve">Game-context tail risk</x:t>
  </x:si>
  <x:si>
    <x:t xml:space="preserve">Red/Dispersion risk</x:t>
  </x:si>
  <x:si>
    <x:t xml:space="preserve">Empirical fail max</x:t>
  </x:si>
  <x:si>
    <x:t xml:space="preserve">Line factor</x:t>
  </x:si>
  <x:si>
    <x:t xml:space="preserve">Failure adjusted</x:t>
  </x:si>
  <x:si>
    <x:t xml:space="preserve">Base haircut</x:t>
  </x:si>
  <x:si>
    <x:t xml:space="preserve">Ranking</x:t>
  </x:si>
  <x:si>
    <x:t xml:space="preserve">LOW-TAIL</x:t>
  </x:si>
  <x:si>
    <x:t xml:space="preserve">UPPER-TAIL</x:t>
  </x:si>
  <x:si>
    <x:t xml:space="preserve">CHANGELOG VERSIUNI – consolidare foi Update / WF_Update</x:t>
  </x:si>
  <x:si>
    <x:t xml:space="preserve">SURSĂ CONSOLIDATĂ: Update_v3</x:t>
  </x:si>
  <x:si>
    <x:t xml:space="preserve">UPDATE METODOLOGIE – v3</x:t>
  </x:si>
  <x:si>
    <x:t xml:space="preserve">Update</x:t>
  </x:si>
  <x:si>
    <x:t xml:space="preserve">Problemă / motiv</x:t>
  </x:si>
  <x:si>
    <x:t xml:space="preserve">Regulă operațională</x:t>
  </x:si>
  <x:si>
    <x:t xml:space="preserve">Implementare</x:t>
  </x:si>
  <x:si>
    <x:t xml:space="preserve">Impact risc</x:t>
  </x:si>
  <x:si>
    <x:t xml:space="preserve">Builder source eligibility</x:t>
  </x:si>
  <x:si>
    <x:t xml:space="preserve">WATCH/P0 nefinalizat nu poate deveni leg Builder</x:t>
  </x:si>
  <x:si>
    <x:t xml:space="preserve">Builder Eligible=YES numai dacă toate hard gate-urile PASS și verdictul sursă este BET/PRUDENT eligibil.</x:t>
  </x:si>
  <x:si>
    <x:t xml:space="preserve">Builder_Eligibility_v3</x:t>
  </x:si>
  <x:si>
    <x:t xml:space="preserve">Elimină inconsistența</x:t>
  </x:si>
  <x:si>
    <x:t xml:space="preserve">Settlement gate</x:t>
  </x:si>
  <x:si>
    <x:t xml:space="preserve">Regula bookmakerului rămâne obligatorie</x:t>
  </x:si>
  <x:si>
    <x:t xml:space="preserve">Orice neclaritate galben/roșu/2Y/staff/90min =&gt; WATCH și Builder Eligible=NO.</x:t>
  </x:si>
  <x:si>
    <x:t xml:space="preserve">Market structure</x:t>
  </x:si>
  <x:si>
    <x:t xml:space="preserve">Risk decomposition</x:t>
  </x:si>
  <x:si>
    <x:t xml:space="preserve">Separă referee, dispersion și red-tail</x:t>
  </x:si>
  <x:si>
    <x:t xml:space="preserve">Scoruri distincte în Risk_Classification.</x:t>
  </x:si>
  <x:si>
    <x:t xml:space="preserve">Risk_Classification</x:t>
  </x:si>
  <x:si>
    <x:t xml:space="preserve">SURSĂ CONSOLIDATĂ: WF_Update_v4</x:t>
  </x:si>
  <x:si>
    <x:t xml:space="preserve">UPDATE Cards v4 – WALK-FORWARD / OOS GOVERNANCE</x:t>
  </x:si>
  <x:si>
    <x:t xml:space="preserve">Priority</x:t>
  </x:si>
  <x:si>
    <x:t xml:space="preserve">Change</x:t>
  </x:si>
  <x:si>
    <x:t xml:space="preserve">Evidence status</x:t>
  </x:si>
  <x:si>
    <x:t xml:space="preserve">Operational rule</x:t>
  </x:si>
  <x:si>
    <x:t xml:space="preserve">Threshold action</x:t>
  </x:si>
  <x:si>
    <x:t xml:space="preserve">Builder impact</x:t>
  </x:si>
  <x:si>
    <x:t xml:space="preserve">Audit note</x:t>
  </x:si>
  <x:si>
    <x:t xml:space="preserve">Low-card decomposition</x:t>
  </x:si>
  <x:si>
    <x:t xml:space="preserve">No resolved OOS cohort</x:t>
  </x:si>
  <x:si>
    <x:t xml:space="preserve">Add YC0/1/2, &lt;=2 and four-source mixture</x:t>
  </x:si>
  <x:si>
    <x:t xml:space="preserve">NO numeric hard threshold promoted</x:t>
  </x:si>
  <x:si>
    <x:t xml:space="preserve">Existing settlement/ref/sample/source verdict remain hard</x:t>
  </x:si>
  <x:si>
    <x:t xml:space="preserve">LowCard is monitored</x:t>
  </x:si>
  <x:si>
    <x:t xml:space="preserve">Separate red-tail</x:t>
  </x:si>
  <x:si>
    <x:t xml:space="preserve">Different failure direction</x:t>
  </x:si>
  <x:si>
    <x:t xml:space="preserve">Keep LowCard_Gate separate from Dispersion_RedTail_Gate</x:t>
  </x:si>
  <x:si>
    <x:t xml:space="preserve">UNCHANGED red-tail</x:t>
  </x:si>
  <x:si>
    <x:t xml:space="preserve">Hard source gates unchanged</x:t>
  </x:si>
  <x:si>
    <x:t xml:space="preserve">No compensation between tails</x:t>
  </x:si>
  <x:si>
    <x:t xml:space="preserve">SURSĂ CONSOLIDATĂ: Update_v5</x:t>
  </x:si>
  <x:si>
    <x:t xml:space="preserve">UPDATE CARDS v5 – LOW-CARD SECONDARY PENALTY O2,5</x:t>
  </x:si>
  <x:si>
    <x:t xml:space="preserve">Componente</x:t>
  </x:si>
  <x:si>
    <x:t xml:space="preserve">Selector impact</x:t>
  </x:si>
  <x:si>
    <x:t xml:space="preserve">LowCard devine secondary penalty O2.5</x:t>
  </x:si>
  <x:si>
    <x:t xml:space="preserve">P(YC≤2)+ref shrink+team H/A+fouls+derby/miză+context</x:t>
  </x:si>
  <x:si>
    <x:t xml:space="preserve">haircut continuu, nu hard gate</x:t>
  </x:si>
  <x:si>
    <x:t xml:space="preserve">NO new hard threshold</x:t>
  </x:si>
  <x:si>
    <x:t xml:space="preserve">se adaugă în Haircut numai Total O2.5</x:t>
  </x:si>
  <x:si>
    <x:t xml:space="preserve">freeze components</x:t>
  </x:si>
  <x:si>
    <x:t xml:space="preserve">team/fouls/derby/game context</x:t>
  </x:si>
  <x:si>
    <x:t xml:space="preserve">Index=max(overall, context floor)</x:t>
  </x:si>
  <x:si>
    <x:t xml:space="preserve">referee nu poate neutraliza singur</x:t>
  </x:si>
  <x:si>
    <x:t xml:space="preserve">Referee shrinkage</x:t>
  </x:si>
  <x:si>
    <x:t xml:space="preserve">multiplicator deja shrinked în model</x:t>
  </x:si>
  <x:si>
    <x:t xml:space="preserve">rămâne 1 din 6 factori</x:t>
  </x:si>
  <x:si>
    <x:t xml:space="preserve">UNCHANGED referee P0</x:t>
  </x:si>
  <x:si>
    <x:t xml:space="preserve">nu domină penalizarea</x:t>
  </x:si>
  <x:si>
    <x:t xml:space="preserve">audit separat</x:t>
  </x:si>
  <x:si>
    <x:t xml:space="preserve">Repair</x:t>
  </x:si>
  <x:si>
    <x:t xml:space="preserve">Distribution formulas</x:t>
  </x:si>
  <x:si>
    <x:t xml:space="preserve">Poisson/NB/Binomial same logic</x:t>
  </x:si>
  <x:si>
    <x:t xml:space="preserve">recurrence formulas fără _xludf</x:t>
  </x:si>
  <x:si>
    <x:t xml:space="preserve">logic unchanged</x:t>
  </x:si>
  <x:si>
    <x:t xml:space="preserve">removes inherited #NAME in Excel engine</x:t>
  </x:si>
  <x:si>
    <x:t xml:space="preserve">technical reliability</x:t>
  </x:si>
  <x:si>
    <x:t xml:space="preserve">SURSĂ CONSOLIDATĂ: Update_v6</x:t>
  </x:si>
  <x:si>
    <x:t xml:space="preserve">UPDATE v6 – Cartonașe</x:t>
  </x:si>
  <x:si>
    <x:t xml:space="preserve">Modificare</x:t>
  </x:si>
  <x:si>
    <x:t xml:space="preserve">Impact</x:t>
  </x:si>
  <x:si>
    <x:t xml:space="preserve">Praguri vechi</x:t>
  </x:si>
  <x:si>
    <x:t xml:space="preserve">Settlement removed</x:t>
  </x:si>
  <x:si>
    <x:t xml:space="preserve">bookmaker rules removed from G0 and Builder eligibility</x:t>
  </x:si>
  <x:si>
    <x:t xml:space="preserve">operator-independent technical model</x:t>
  </x:si>
  <x:si>
    <x:t xml:space="preserve">tail/referee thresholds unchanged</x:t>
  </x:si>
  <x:si>
    <x:t xml:space="preserve">P2</x:t>
  </x:si>
  <x:si>
    <x:t xml:space="preserve">EV removed</x:t>
  </x:si>
  <x:si>
    <x:t xml:space="preserve">Market_Odds M blank; Q/R ranking ignores edge/EV</x:t>
  </x:si>
  <x:si>
    <x:t xml:space="preserve">technical P + buffer + tail + confidence</x:t>
  </x:si>
  <x:si>
    <x:t xml:space="preserve">probability thresholds unchanged</x:t>
  </x:si>
  <x:si>
    <x:t xml:space="preserve">P3</x:t>
  </x:si>
  <x:si>
    <x:t xml:space="preserve">Referee readiness</x:t>
  </x:si>
  <x:si>
    <x:t xml:space="preserve">referee remains G0; source/status audited in Data_Readiness</x:t>
  </x:si>
  <x:si>
    <x:t xml:space="preserve">better distinction AVAILABLE vs NOT AVAILABLE</x:t>
  </x:si>
  <x:si>
    <x:t xml:space="preserve">unchanged</x:t>
  </x:si>
  <x:si>
    <x:t xml:space="preserve">P4</x:t>
  </x:si>
  <x:si>
    <x:t xml:space="preserve">Early-season</x:t>
  </x:si>
  <x:si>
    <x:t xml:space="preserve">existing prior branch retained and standardized</x:t>
  </x:si>
  <x:si>
    <x:t xml:space="preserve">SMALL SAMPLE is not LIPSA DATE</x:t>
  </x:si>
  <x:si>
    <x:t xml:space="preserve">existing prior caps retained</x:t>
  </x:si>
  <x:si>
    <x:t xml:space="preserve">P5</x:t>
  </x:si>
  <x:si>
    <x:t xml:space="preserve">Team discipline</x:t>
  </x:si>
  <x:si>
    <x:t xml:space="preserve">cards/fouls H/A explicitly documented as searchable inputs</x:t>
  </x:si>
  <x:si>
    <x:t xml:space="preserve">reduces false WATCH</x:t>
  </x:si>
  <x:si>
    <x:t xml:space="preserve">SURSĂ CONSOLIDATĂ: Update_v9</x:t>
  </x:si>
  <x:si>
    <x:t xml:space="preserve">UPDATE v9 – CARDS MULTI-LINE</x:t>
  </x:si>
  <x:si>
    <x:t xml:space="preserve">OOS</x:t>
  </x:si>
  <x:si>
    <x:t xml:space="preserve">Single distribution</x:t>
  </x:si>
  <x:si>
    <x:t xml:space="preserve">Distributie total cards v6</x:t>
  </x:si>
  <x:si>
    <x:t xml:space="preserve">un singur motor</x:t>
  </x:si>
  <x:si>
    <x:t xml:space="preserve">inherited</x:t>
  </x:si>
  <x:si>
    <x:t xml:space="preserve">Total cards</x:t>
  </x:si>
  <x:si>
    <x:t xml:space="preserve">Over low-tail engine</x:t>
  </x:si>
  <x:si>
    <x:t xml:space="preserve">O1.5–O5.5 failure P(C≤k)</x:t>
  </x:si>
  <x:si>
    <x:t xml:space="preserve">generalizează O2.5</x:t>
  </x:si>
  <x:si>
    <x:t xml:space="preserve">pending line OOS</x:t>
  </x:si>
  <x:si>
    <x:t xml:space="preserve">ref/team/fouls/context</x:t>
  </x:si>
  <x:si>
    <x:t xml:space="preserve">Under upper-tail engine</x:t>
  </x:si>
  <x:si>
    <x:t xml:space="preserve">U3.5–U10.5 failure P(C≥k+1)</x:t>
  </x:si>
  <x:si>
    <x:t xml:space="preserve">red/dispersion explicit</x:t>
  </x:si>
  <x:si>
    <x:t xml:space="preserve">same distribution</x:t>
  </x:si>
  <x:si>
    <x:t xml:space="preserve">Context direction</x:t>
  </x:si>
  <x:si>
    <x:t xml:space="preserve">low-risk components inverted for Under</x:t>
  </x:si>
  <x:si>
    <x:t xml:space="preserve">tail direction correct</x:t>
  </x:si>
  <x:si>
    <x:t xml:space="preserve">strict ref raises upper-tail risk</x:t>
  </x:si>
  <x:si>
    <x:t xml:space="preserve">Line calibration</x:t>
  </x:si>
  <x:si>
    <x:t xml:space="preserve">factor + empirical failure per line</x:t>
  </x:si>
  <x:si>
    <x:t xml:space="preserve">neutral 1.00</x:t>
  </x:si>
  <x:si>
    <x:t xml:space="preserve">pending</x:t>
  </x:si>
  <x:si>
    <x:t xml:space="preserve">no retro-fit</x:t>
  </x:si>
  <x:si>
    <x:t xml:space="preserve">P6</x:t>
  </x:si>
  <x:si>
    <x:t xml:space="preserve">Risk classification</x:t>
  </x:si>
  <x:si>
    <x:t xml:space="preserve">failure + referee/context + red/disp + confidence</x:t>
  </x:si>
  <x:si>
    <x:t xml:space="preserve">line-specific</x:t>
  </x:si>
  <x:si>
    <x:t xml:space="preserve">cards structural floor 3</x:t>
  </x:si>
  <x:si>
    <x:t xml:space="preserve">P7</x:t>
  </x:si>
  <x:si>
    <x:t xml:space="preserve">Frozen OOS</x:t>
  </x:si>
  <x:si>
    <x:t xml:space="preserve">save line outputs pre-match</x:t>
  </x:si>
  <x:si>
    <x:t xml:space="preserve">walk-forward</x:t>
  </x:si>
  <x:si>
    <x:t xml:space="preserve">required</x:t>
  </x:si>
  <x:si>
    <x:t xml:space="preserve">no look-ahead</x:t>
  </x:si>
  <x:si>
    <x:t xml:space="preserve">SURSĂ CONSOLIDATĂ: Update_Risk_v10</x:t>
  </x:si>
  <x:si>
    <x:t xml:space="preserve">UPDATE v10 – STRUCTURAL FLOOR / VERDICT CONTROL</x:t>
  </x:si>
  <x:si>
    <x:t xml:space="preserve">Înainte</x:t>
  </x:si>
  <x:si>
    <x:t xml:space="preserve">După</x:t>
  </x:si>
  <x:si>
    <x:t xml:space="preserve">Motor activ</x:t>
  </x:si>
  <x:si>
    <x:t xml:space="preserve">floor 3 corect</x:t>
  </x:si>
  <x:si>
    <x:t xml:space="preserve">păstrat</x:t>
  </x:si>
  <x:si>
    <x:t xml:space="preserve">minimum MODERAT</x:t>
  </x:si>
  <x:si>
    <x:t xml:space="preserve">fără schimbare de praguri</x:t>
  </x:si>
  <x:si>
    <x:t xml:space="preserve">Verdict active</x:t>
  </x:si>
  <x:si>
    <x:t xml:space="preserve">deja coerent cu floor 3</x:t>
  </x:si>
  <x:si>
    <x:t xml:space="preserve">validat; nu permite DEFENSIV/PRUDENT</x:t>
  </x:si>
  <x:si>
    <x:t xml:space="preserve">Risk 3=&gt;MODERAT</x:t>
  </x:si>
  <x:si>
    <x:t xml:space="preserve">regulă unică confirmată</x:t>
  </x:si>
  <x:si>
    <x:t xml:space="preserve">legacy putea afișa 1</x:t>
  </x:si>
  <x:si>
    <x:t xml:space="preserve">B39=MAX(3,Risk raw), B40 mapping</x:t>
  </x:si>
  <x:si>
    <x:t xml:space="preserve">nu mai induce în eroare</x:t>
  </x:si>
  <x:si>
    <x:t xml:space="preserve">aliniat v10</x:t>
  </x:si>
  <x:si>
    <x:t xml:space="preserve">Failure mode text</x:t>
  </x:si>
  <x:si>
    <x:t xml:space="preserve">includea settlement legacy</x:t>
  </x:si>
  <x:si>
    <x:t xml:space="preserve">înlocuit cu referee/core cards + directional tail + red/dispersion</x:t>
  </x:si>
  <x:si>
    <x:t xml:space="preserve">settlement rămâne ignorat</x:t>
  </x:si>
  <x:si>
    <x:t xml:space="preserve">aliniat v9/v10</x:t>
  </x:si>
  <x:si>
    <x:t xml:space="preserve">DOCUMENTAȚIE MODEL – metodologie, surse, legendă și guvernanță</x:t>
  </x:si>
  <x:si>
    <x:t xml:space="preserve">SURSĂ CONSOLIDATĂ: Ghid</x:t>
  </x:si>
  <x:si>
    <x:t xml:space="preserve">Pas</x:t>
  </x:si>
  <x:si>
    <x:t xml:space="preserve">Etapă</x:t>
  </x:si>
  <x:si>
    <x:t xml:space="preserve">Ce se verifică / calculează</x:t>
  </x:si>
  <x:si>
    <x:t xml:space="preserve">Input principal</x:t>
  </x:si>
  <x:si>
    <x:t xml:space="preserve">Model</x:t>
  </x:si>
  <x:si>
    <x:t xml:space="preserve">Hard gate</x:t>
  </x:si>
  <x:si>
    <x:t xml:space="preserve">Acțiune dacă nu trece</x:t>
  </x:si>
  <x:si>
    <x:t xml:space="preserve">Date și fixture</x:t>
  </x:si>
  <x:si>
    <x:t xml:space="preserve">Meci, competiție, arbitru și surse confirmate</x:t>
  </x:si>
  <x:si>
    <x:t xml:space="preserve">minimum 2 surse</x:t>
  </x:si>
  <x:si>
    <x:t xml:space="preserve">Data gate</x:t>
  </x:si>
  <x:si>
    <x:t xml:space="preserve">STOP/WATCH</x:t>
  </x:si>
  <x:si>
    <x:t xml:space="preserve">Nu analiza un arbitru neverificat</x:t>
  </x:si>
  <x:si>
    <x:t xml:space="preserve">Baseline ligă</x:t>
  </x:si>
  <x:si>
    <x:t xml:space="preserve">Nivelul structural și schimbarea de regulament</x:t>
  </x:si>
  <x:si>
    <x:t xml:space="preserve">medie, varianță, fouls</x:t>
  </x:si>
  <x:si>
    <x:t xml:space="preserve">Prior de ligă</x:t>
  </x:si>
  <x:si>
    <x:t xml:space="preserve">WATCH</x:t>
  </x:si>
  <x:si>
    <x:t xml:space="preserve">Ligile au culturi disciplinare diferite</x:t>
  </x:si>
  <x:si>
    <x:t xml:space="preserve">Profil echipe</x:t>
  </x:si>
  <x:si>
    <x:t xml:space="preserve">Cartonașe primite/provocate: sezon curent; la sample mic, prior sezon anterior cu shrinkage</x:t>
  </x:si>
  <x:si>
    <x:t xml:space="preserve">sezon + H/A + L5/10</x:t>
  </x:si>
  <x:si>
    <x:t xml:space="preserve">Medie ponderată</x:t>
  </x:si>
  <x:si>
    <x:t xml:space="preserve">Early-season prior / WATCH</x:t>
  </x:si>
  <x:si>
    <x:t xml:space="preserve">Cards drawn surprinde matchup-ul</x:t>
  </x:si>
  <x:si>
    <x:t xml:space="preserve">Volum de faulturi</x:t>
  </x:si>
  <x:si>
    <x:t xml:space="preserve">Faulturi comise vs faulturi provocate</x:t>
  </x:si>
  <x:si>
    <x:t xml:space="preserve">sezon + H/A + recent</x:t>
  </x:si>
  <x:si>
    <x:t xml:space="preserve">Multiplicator limitat</x:t>
  </x:si>
  <x:si>
    <x:t xml:space="preserve">Nu orice fault devine cartonaș</x:t>
  </x:si>
  <x:si>
    <x:t xml:space="preserve">Cards/meci, sample, stabilitate și home share</x:t>
  </x:si>
  <x:si>
    <x:t xml:space="preserve">numire confirmată + N</x:t>
  </x:si>
  <x:si>
    <x:t xml:space="preserve">Shrinkage</x:t>
  </x:si>
  <x:si>
    <x:t xml:space="preserve">Media arbitrului nu se folosește fără shrinkage</x:t>
  </x:si>
  <x:si>
    <x:t xml:space="preserve">Var/Mean, P(5+), P(6+) și probabilitatea de roșu</x:t>
  </x:si>
  <x:si>
    <x:t xml:space="preserve">scoruri 0–10 / -2…+2</x:t>
  </x:si>
  <x:si>
    <x:t xml:space="preserve">Poisson / Binomial / NB + tail gate v2</x:t>
  </x:si>
  <x:si>
    <x:t xml:space="preserve">U4.5/U5.5 pot fi blocate de upper-tail chiar dacă μ este favorabil</x:t>
  </x:si>
  <x:si>
    <x:t xml:space="preserve">Dispersie și tail</x:t>
  </x:si>
  <x:si>
    <x:t xml:space="preserve">Var/Mean și probabilitatea de roșu</x:t>
  </x:si>
  <x:si>
    <x:t xml:space="preserve">D total/H/A + red rate</x:t>
  </x:si>
  <x:si>
    <x:t xml:space="preserve">Poisson / Binomial / NB</x:t>
  </x:si>
  <x:si>
    <x:t xml:space="preserve">DA pentru Under strâns</x:t>
  </x:si>
  <x:si>
    <x:t xml:space="preserve">Lărgește/omit</x:t>
  </x:si>
  <x:si>
    <x:t xml:space="preserve">Nu presupune automat Poisson</x:t>
  </x:si>
  <x:si>
    <x:t xml:space="preserve">FACTORII CU GREUTATEA CEA MAI MARE</x:t>
  </x:si>
  <x:si>
    <x:t xml:space="preserve">Factor</x:t>
  </x:si>
  <x:si>
    <x:t xml:space="preserve">Semnal Over</x:t>
  </x:si>
  <x:si>
    <x:t xml:space="preserve">Semnal Under</x:t>
  </x:si>
  <x:si>
    <x:t xml:space="preserve">Măsurare</x:t>
  </x:si>
  <x:si>
    <x:t xml:space="preserve">De ce contează</x:t>
  </x:si>
  <x:si>
    <x:t xml:space="preserve">Risc de interpretare</x:t>
  </x:si>
  <x:si>
    <x:t xml:space="preserve">Tratament în model</x:t>
  </x:si>
  <x:si>
    <x:t xml:space="preserve">Cards/meci și conversie fault→card ridicate</x:t>
  </x:si>
  <x:si>
    <x:t xml:space="preserve">Arbitru permisiv</x:t>
  </x:si>
  <x:si>
    <x:t xml:space="preserve">sezon + L10 + N</x:t>
  </x:si>
  <x:si>
    <x:t xml:space="preserve">Efect direct și heterogen</x:t>
  </x:si>
  <x:si>
    <x:t xml:space="preserve">Sample mic / ligi amestecate</x:t>
  </x:si>
  <x:si>
    <x:t xml:space="preserve">Shrink la media ligii</x:t>
  </x:si>
  <x:si>
    <x:t xml:space="preserve">Echipe + cards drawn</x:t>
  </x:si>
  <x:si>
    <x:t xml:space="preserve">Ambele produc/provoacă multe sancțiuni</x:t>
  </x:si>
  <x:si>
    <x:t xml:space="preserve">Profiluri disciplinate</x:t>
  </x:si>
  <x:si>
    <x:t xml:space="preserve">sezon, H/A, L5/10</x:t>
  </x:si>
  <x:si>
    <x:t xml:space="preserve">Combină comportamentul ambelor părți</x:t>
  </x:si>
  <x:si>
    <x:t xml:space="preserve">Medie brută fără adversar</x:t>
  </x:si>
  <x:si>
    <x:t xml:space="preserve">Medie ponderată dinamic</x:t>
  </x:si>
  <x:si>
    <x:t xml:space="preserve">Faulturi și dueluri</x:t>
  </x:si>
  <x:si>
    <x:t xml:space="preserve">Multe faulturi, driblinguri și tranziții</x:t>
  </x:si>
  <x:si>
    <x:t xml:space="preserve">Volum redus</x:t>
  </x:si>
  <x:si>
    <x:t xml:space="preserve">fouls committed/drawn</x:t>
  </x:si>
  <x:si>
    <x:t xml:space="preserve">Creează oportunități de sancționare</x:t>
  </x:si>
  <x:si>
    <x:t xml:space="preserve">Nu orice fault este card</x:t>
  </x:si>
  <x:si>
    <x:t xml:space="preserve">Coeficient mic, plafonat</x:t>
  </x:si>
  <x:si>
    <x:t xml:space="preserve">Derby / miză / echilibru</x:t>
  </x:si>
  <x:si>
    <x:t xml:space="preserve">Meci strâns și tensionat</x:t>
  </x:si>
  <x:si>
    <x:t xml:space="preserve">Meci fără presiune</x:t>
  </x:si>
  <x:si>
    <x:t xml:space="preserve">context verificabil</x:t>
  </x:si>
  <x:si>
    <x:t xml:space="preserve">Crește conflictul și time-wasting-ul</x:t>
  </x:si>
  <x:si>
    <x:t xml:space="preserve">Narațiune fără date</x:t>
  </x:si>
  <x:si>
    <x:t xml:space="preserve">Impact moderat + haircut</x:t>
  </x:si>
  <x:si>
    <x:t xml:space="preserve">Dispersie + red-tail</x:t>
  </x:si>
  <x:si>
    <x:t xml:space="preserve">Coada dreaptă mai grea</x:t>
  </x:si>
  <x:si>
    <x:t xml:space="preserve">Sub-dispersie stabilă</x:t>
  </x:si>
  <x:si>
    <x:t xml:space="preserve">Var/Mean + rate roșii</x:t>
  </x:si>
  <x:si>
    <x:t xml:space="preserve">Afectează liniile extreme</x:t>
  </x:si>
  <x:si>
    <x:t xml:space="preserve">Poisson implicit</x:t>
  </x:si>
  <x:si>
    <x:t xml:space="preserve">Model adaptiv + stress gate</x:t>
  </x:si>
  <x:si>
    <x:t xml:space="preserve">MODEL PROBABILISTIC ȘI LIMITĂRI</x:t>
  </x:si>
  <x:si>
    <x:t xml:space="preserve">Regim</x:t>
  </x:si>
  <x:si>
    <x:t xml:space="preserve">Criteriu orientativ</x:t>
  </x:si>
  <x:si>
    <x:t xml:space="preserve">Model Excel v1</x:t>
  </x:si>
  <x:si>
    <x:t xml:space="preserve">Avantaj</x:t>
  </x:si>
  <x:si>
    <x:t xml:space="preserve">Limită</x:t>
  </x:si>
  <x:si>
    <x:t xml:space="preserve">Producție avansată</x:t>
  </x:si>
  <x:si>
    <x:t xml:space="preserve">Sub-dispersat</x:t>
  </x:si>
  <x:si>
    <x:t xml:space="preserve">D &lt; prag inferior</x:t>
  </x:si>
  <x:si>
    <x:t xml:space="preserve">Binomial moment-matched</x:t>
  </x:si>
  <x:si>
    <x:t xml:space="preserve">Cozi mai înguste decât Poisson</x:t>
  </x:si>
  <x:si>
    <x:t xml:space="preserve">Aproximare</x:t>
  </x:si>
  <x:si>
    <x:t xml:space="preserve">Total / team O/U</x:t>
  </x:si>
  <x:si>
    <x:t xml:space="preserve">CMP / bivariate CMP copula</x:t>
  </x:si>
  <x:si>
    <x:t xml:space="preserve">Nu forța Under fără backtest</x:t>
  </x:si>
  <x:si>
    <x:t xml:space="preserve">Echidispersat</x:t>
  </x:si>
  <x:si>
    <x:t xml:space="preserve">D între praguri</x:t>
  </x:si>
  <x:si>
    <x:t xml:space="preserve">Poisson</x:t>
  </x:si>
  <x:si>
    <x:t xml:space="preserve">Transparent și auditabil</x:t>
  </x:si>
  <x:si>
    <x:t xml:space="preserve">Varianță = medie</x:t>
  </x:si>
  <x:si>
    <x:t xml:space="preserve">Baseline</x:t>
  </x:si>
  <x:si>
    <x:t xml:space="preserve">Poisson ierarhic</x:t>
  </x:si>
  <x:si>
    <x:t xml:space="preserve">Aplică haircut</x:t>
  </x:si>
  <x:si>
    <x:t xml:space="preserve">Supra-dispersat</x:t>
  </x:si>
  <x:si>
    <x:t xml:space="preserve">D &gt; prag superior</x:t>
  </x:si>
  <x:si>
    <x:t xml:space="preserve">Negativ binomial</x:t>
  </x:si>
  <x:si>
    <x:t xml:space="preserve">Cozi grele</x:t>
  </x:si>
  <x:si>
    <x:t xml:space="preserve">Necesită D stabil</x:t>
  </x:si>
  <x:si>
    <x:t xml:space="preserve">Protecție Over/Under</x:t>
  </x:si>
  <x:si>
    <x:t xml:space="preserve">Mixture / Bayesian NB</x:t>
  </x:si>
  <x:si>
    <x:t xml:space="preserve">Under strâns = risc</x:t>
  </x:si>
  <x:si>
    <x:t xml:space="preserve">Dependență H/A</x:t>
  </x:si>
  <x:si>
    <x:t xml:space="preserve">Corelație pozitivă</x:t>
  </x:si>
  <x:si>
    <x:t xml:space="preserve">Total modelat direct</x:t>
  </x:si>
  <x:si>
    <x:t xml:space="preserve">Evită produsul independenței</x:t>
  </x:si>
  <x:si>
    <x:t xml:space="preserve">Team legs nu sunt joint model</x:t>
  </x:si>
  <x:si>
    <x:t xml:space="preserve">Copula bivariată</x:t>
  </x:si>
  <x:si>
    <x:t xml:space="preserve">Nu combina automat două team legs</x:t>
  </x:si>
  <x:si>
    <x:t xml:space="preserve">LIMITĂ v2: piețele «jucător să primească un cartonaș» cer lineup confirmat, minute estimate, rol/poziție, adversar direct, fouls/tackles individuale și un model xB. Selectorul v2 rămâne orientat pe total/team cards.</x:t>
  </x:si>
  <x:si>
    <x:t xml:space="preserve">LIMITĂ v1: piețele «jucător să primească un cartonaș» cer lineup confirmat, minute estimate, rol/poziție, adversar direct, fouls/tackles individuale și un model xB. Acestea nu sunt recomandate automat de selectorul v1.</x:t>
  </x:si>
  <x:si>
    <x:t xml:space="preserve">SURSĂ CONSOLIDATĂ: Definitii_Piete</x:t>
  </x:si>
  <x:si>
    <x:t xml:space="preserve">Ce se numără</x:t>
  </x:si>
  <x:si>
    <x:t xml:space="preserve">Timp</x:t>
  </x:si>
  <x:si>
    <x:t xml:space="preserve">Push</x:t>
  </x:si>
  <x:si>
    <x:t xml:space="preserve">Input suplimentar</x:t>
  </x:si>
  <x:si>
    <x:t xml:space="preserve">Eligibil v1</x:t>
  </x:si>
  <x:si>
    <x:t xml:space="preserve">Atenție</x:t>
  </x:si>
  <x:si>
    <x:t xml:space="preserve">Total număr cartonașe</x:t>
  </x:si>
  <x:si>
    <x:t xml:space="preserve">Evenimente/punctaj conform casei</x:t>
  </x:si>
  <x:si>
    <x:t xml:space="preserve">cartonașe echivalente</x:t>
  </x:si>
  <x:si>
    <x:t xml:space="preserve">de regulă 90'+stoppage</x:t>
  </x:si>
  <x:si>
    <x:t xml:space="preserve">la linie întreagă asiatică</x:t>
  </x:si>
  <x:si>
    <x:t xml:space="preserve">reguli Y/R/2Y</x:t>
  </x:si>
  <x:si>
    <x:t xml:space="preserve">R și al doilea galben diferă între case</x:t>
  </x:si>
  <x:si>
    <x:t xml:space="preserve">Total galbene</x:t>
  </x:si>
  <x:si>
    <x:t xml:space="preserve">Doar cartonașe galbene eligibile</x:t>
  </x:si>
  <x:si>
    <x:t xml:space="preserve">galbene</x:t>
  </x:si>
  <x:si>
    <x:t xml:space="preserve">conform regulii</x:t>
  </x:si>
  <x:si>
    <x:t xml:space="preserve">depinde de linie</x:t>
  </x:si>
  <x:si>
    <x:t xml:space="preserve">definiție sursă</x:t>
  </x:si>
  <x:si>
    <x:t xml:space="preserve">DA, după normalizare</x:t>
  </x:si>
  <x:si>
    <x:t xml:space="preserve">Nu amesteca cu booking points</x:t>
  </x:si>
  <x:si>
    <x:t xml:space="preserve">Booking points</x:t>
  </x:si>
  <x:si>
    <x:t xml:space="preserve">Puncte alocate fiecărei sancțiuni</x:t>
  </x:si>
  <x:si>
    <x:t xml:space="preserve">puncte</x:t>
  </x:si>
  <x:si>
    <x:t xml:space="preserve">posibil</x:t>
  </x:si>
  <x:si>
    <x:t xml:space="preserve">tarif Y/R/2Y</x:t>
  </x:si>
  <x:si>
    <x:t xml:space="preserve">DA, cu medii în puncte</x:t>
  </x:si>
  <x:si>
    <x:t xml:space="preserve">Distribuția diferă de numărul brut</x:t>
  </x:si>
  <x:si>
    <x:t xml:space="preserve">Team cards</x:t>
  </x:si>
  <x:si>
    <x:t xml:space="preserve">Cartonașele unei echipe</x:t>
  </x:si>
  <x:si>
    <x:t xml:space="preserve">echivalent/galbene</x:t>
  </x:si>
  <x:si>
    <x:t xml:space="preserve">split H/A</x:t>
  </x:si>
  <x:si>
    <x:t xml:space="preserve">Dependența cu adversarul rămâne</x:t>
  </x:si>
  <x:si>
    <x:t xml:space="preserve">Ambele echipe 1+</x:t>
  </x:si>
  <x:si>
    <x:t xml:space="preserve">Fiecare echipă atinge pragul</x:t>
  </x:si>
  <x:si>
    <x:t xml:space="preserve">eveniment binar</x:t>
  </x:si>
  <x:si>
    <x:t xml:space="preserve">model joint</x:t>
  </x:si>
  <x:si>
    <x:t xml:space="preserve">Nu înmulți simplu probabilitățile</x:t>
  </x:si>
  <x:si>
    <x:t xml:space="preserve">Prima repriză</x:t>
  </x:si>
  <x:si>
    <x:t xml:space="preserve">Doar intervalul eligibil</x:t>
  </x:si>
  <x:si>
    <x:t xml:space="preserve">45'+stoppage</x:t>
  </x:si>
  <x:si>
    <x:t xml:space="preserve">splits pe reprize</x:t>
  </x:si>
  <x:si>
    <x:t xml:space="preserve">Media full-time nu este suficientă</x:t>
  </x:si>
  <x:si>
    <x:t xml:space="preserve">Jucător cartonaș</x:t>
  </x:si>
  <x:si>
    <x:t xml:space="preserve">Sancțiunea unui jucător eligibil</x:t>
  </x:si>
  <x:si>
    <x:t xml:space="preserve">Da/Nu</x:t>
  </x:si>
  <x:si>
    <x:t xml:space="preserve">lineup, minute, matchup, xB</x:t>
  </x:si>
  <x:si>
    <x:t xml:space="preserve">NU automat</x:t>
  </x:si>
  <x:si>
    <x:t xml:space="preserve">Titular/rezerve și momentul intrării contează</x:t>
  </x:si>
  <x:si>
    <x:t xml:space="preserve">Asian cards</x:t>
  </x:si>
  <x:si>
    <x:t xml:space="preserve">Total/team la linie .00/.25/.50/.75</x:t>
  </x:si>
  <x:si>
    <x:t xml:space="preserve">cartonașe echiv.</x:t>
  </x:si>
  <x:si>
    <x:t xml:space="preserve">de regulă 90'</x:t>
  </x:si>
  <x:si>
    <x:t xml:space="preserve">da/parțial</x:t>
  </x:si>
  <x:si>
    <x:t xml:space="preserve">ambele cote</x:t>
  </x:si>
  <x:si>
    <x:t xml:space="preserve">Linia .25/.75 se împarte în două</x:t>
  </x:si>
  <x:si>
    <x:t xml:space="preserve">EXEMPLE DE DIFERENȚE ÎNTRE CASE – VERIFICĂ ÎNTOTDEAUNA REGULA ACTUALĂ</x:t>
  </x:si>
  <x:si>
    <x:t xml:space="preserve">Galben</x:t>
  </x:si>
  <x:si>
    <x:t xml:space="preserve">Roșu direct</x:t>
  </x:si>
  <x:si>
    <x:t xml:space="preserve">Al doilea galben / eliminare</x:t>
  </x:si>
  <x:si>
    <x:t xml:space="preserve">Non-jucători</x:t>
  </x:si>
  <x:si>
    <x:t xml:space="preserve">După fluier</x:t>
  </x:si>
  <x:si>
    <x:t xml:space="preserve">Prelungiri</x:t>
  </x:si>
  <x:si>
    <x:t xml:space="preserve">URL</x:t>
  </x:si>
  <x:si>
    <x:t xml:space="preserve">bet365 – Number of Cards</x:t>
  </x:si>
  <x:si>
    <x:t xml:space="preserve">al doilea galben ignorat; decontare max. 3/jucător</x:t>
  </x:si>
  <x:si>
    <x:t xml:space="preserve">nu</x:t>
  </x:si>
  <x:si>
    <x:t xml:space="preserve">nu implicit</x:t>
  </x:si>
  <x:si>
    <x:t xml:space="preserve">https://help.bet365.com/s/ro/sportsrules/soccer/card-markets</x:t>
  </x:si>
  <x:si>
    <x:t xml:space="preserve">Betfair Sportsbook – Total Cards</x:t>
  </x:si>
  <x:si>
    <x:t xml:space="preserve">două galbene + eliminare = max. 2/jucător</x:t>
  </x:si>
  <x:si>
    <x:t xml:space="preserve">https://support.betfair.com/app/answers/detail/football-soccer-rules/</x:t>
  </x:si>
  <x:si>
    <x:t xml:space="preserve">NORMALIZAREA ISTORICULUI</x:t>
  </x:si>
  <x:si>
    <x:t xml:space="preserve">Câmp</x:t>
  </x:si>
  <x:si>
    <x:t xml:space="preserve">Definiție</x:t>
  </x:si>
  <x:si>
    <x:t xml:space="preserve">Formulă</x:t>
  </x:si>
  <x:si>
    <x:t xml:space="preserve">Exemplu</x:t>
  </x:si>
  <x:si>
    <x:t xml:space="preserve">Risc</x:t>
  </x:si>
  <x:si>
    <x:t xml:space="preserve">Status cerut</x:t>
  </x:si>
  <x:si>
    <x:t xml:space="preserve">YC ordinare/prime</x:t>
  </x:si>
  <x:si>
    <x:t xml:space="preserve">Galbene care contează separat</x:t>
  </x:si>
  <x:si>
    <x:t xml:space="preserve">YC × wY</x:t>
  </x:si>
  <x:si>
    <x:t xml:space="preserve">2 × 1</x:t>
  </x:si>
  <x:si>
    <x:t xml:space="preserve">Sursa poate include al doilea galben</x:t>
  </x:si>
  <x:si>
    <x:t xml:space="preserve">citește dicționarul de date</x:t>
  </x:si>
  <x:si>
    <x:t xml:space="preserve">VERIFICAT</x:t>
  </x:si>
  <x:si>
    <x:t xml:space="preserve">Nu presupune</x:t>
  </x:si>
  <x:si>
    <x:t xml:space="preserve">Evenimentul de eliminare după al doilea galben</x:t>
  </x:si>
  <x:si>
    <x:t xml:space="preserve">2Y-R × w2Y</x:t>
  </x:si>
  <x:si>
    <x:t xml:space="preserve">1 × 2 la regula exemplu</x:t>
  </x:si>
  <x:si>
    <x:t xml:space="preserve">Unele surse îl raportează separat</x:t>
  </x:si>
  <x:si>
    <x:t xml:space="preserve">reconciliere pe meci</x:t>
  </x:si>
  <x:si>
    <x:t xml:space="preserve">Greutate configurabilă</x:t>
  </x:si>
  <x:si>
    <x:t xml:space="preserve">Roșu fără al doilea galben</x:t>
  </x:si>
  <x:si>
    <x:t xml:space="preserve">R × wR</x:t>
  </x:si>
  <x:si>
    <x:t xml:space="preserve">1 × 2</x:t>
  </x:si>
  <x:si>
    <x:t xml:space="preserve">Tail rar, dar influent</x:t>
  </x:si>
  <x:si>
    <x:t xml:space="preserve">rate separate</x:t>
  </x:si>
  <x:si>
    <x:t xml:space="preserve">Stress test Under</x:t>
  </x:si>
  <x:si>
    <x:t xml:space="preserve">Total echivalent</x:t>
  </x:si>
  <x:si>
    <x:t xml:space="preserve">Variabila exactă modelată</x:t>
  </x:si>
  <x:si>
    <x:t xml:space="preserve">YC×wY + 2Y-R×w2Y + R×wR</x:t>
  </x:si>
  <x:si>
    <x:t xml:space="preserve">2+2+2=6</x:t>
  </x:si>
  <x:si>
    <x:t xml:space="preserve">Mixarea definițiilor invalidează modelul</x:t>
  </x:si>
  <x:si>
    <x:t xml:space="preserve">aceeași regulă în train și forecast</x:t>
  </x:si>
  <x:si>
    <x:t xml:space="preserve">SURSĂ CONSOLIDATĂ: Factori</x:t>
  </x:si>
  <x:si>
    <x:t xml:space="preserve">FACTORI DE ANALIZĂ – CARTONAȘE</x:t>
  </x:si>
  <x:si>
    <x:t xml:space="preserve">Importanță</x:t>
  </x:si>
  <x:si>
    <x:t xml:space="preserve">Tratament / capcană</x:t>
  </x:si>
  <x:si>
    <x:t xml:space="preserve">Media și cultura disciplinară</x:t>
  </x:si>
  <x:si>
    <x:t xml:space="preserve">Nivelul de bază diferă între competiții</x:t>
  </x:si>
  <x:si>
    <x:t xml:space="preserve">medie mare</x:t>
  </x:si>
  <x:si>
    <x:t xml:space="preserve">medie mică</x:t>
  </x:si>
  <x:si>
    <x:t xml:space="preserve">Foarte mare</x:t>
  </x:si>
  <x:si>
    <x:t xml:space="preserve">cards/meci, fouls/meci</x:t>
  </x:si>
  <x:si>
    <x:t xml:space="preserve">Folosește sezon + prior</x:t>
  </x:si>
  <x:si>
    <x:t xml:space="preserve">Schimbări de instrucțiuni</x:t>
  </x:si>
  <x:si>
    <x:t xml:space="preserve">Interpretarea faulturilor se poate schimba</x:t>
  </x:si>
  <x:si>
    <x:t xml:space="preserve">aplicare mai strictă</x:t>
  </x:si>
  <x:si>
    <x:t xml:space="preserve">toleranță</x:t>
  </x:si>
  <x:si>
    <x:t xml:space="preserve">Mare</x:t>
  </x:si>
  <x:si>
    <x:t xml:space="preserve">sezon/etape comparabile</x:t>
  </x:si>
  <x:si>
    <x:t xml:space="preserve">Nu combina regimuri</x:t>
  </x:si>
  <x:si>
    <x:t xml:space="preserve">Cartonașe primite</x:t>
  </x:si>
  <x:si>
    <x:t xml:space="preserve">Măsoară disciplina observată</x:t>
  </x:si>
  <x:si>
    <x:t xml:space="preserve">ridicate și stabile</x:t>
  </x:si>
  <x:si>
    <x:t xml:space="preserve">scăzute</x:t>
  </x:si>
  <x:si>
    <x:t xml:space="preserve">Normalizează la piață</x:t>
  </x:si>
  <x:si>
    <x:t xml:space="preserve">Matchup</x:t>
  </x:si>
  <x:si>
    <x:t xml:space="preserve">Adversarul poate provoca sancțiuni</x:t>
  </x:si>
  <x:si>
    <x:t xml:space="preserve">ambele echipe provoacă</x:t>
  </x:si>
  <x:si>
    <x:t xml:space="preserve">ambele provoacă puține</x:t>
  </x:si>
  <x:si>
    <x:t xml:space="preserve">cards adversarilor / meci</x:t>
  </x:si>
  <x:si>
    <x:t xml:space="preserve">Nu folosi doar cards received</x:t>
  </x:si>
  <x:si>
    <x:t xml:space="preserve">Loc</x:t>
  </x:si>
  <x:si>
    <x:t xml:space="preserve">Home / away split</x:t>
  </x:si>
  <x:si>
    <x:t xml:space="preserve">Rolul terenului și posesia schimbă duelurile</x:t>
  </x:si>
  <x:si>
    <x:t xml:space="preserve">away indisciplinat</x:t>
  </x:si>
  <x:si>
    <x:t xml:space="preserve">splituri joase</x:t>
  </x:si>
  <x:si>
    <x:t xml:space="preserve">minimum N</x:t>
  </x:si>
  <x:si>
    <x:t xml:space="preserve">Shrink dacă N mic</x:t>
  </x:si>
  <x:si>
    <x:t xml:space="preserve">Formă</x:t>
  </x:si>
  <x:si>
    <x:t xml:space="preserve">Ultimele 5/10</x:t>
  </x:si>
  <x:si>
    <x:t xml:space="preserve">Captează schimbări de lot și stil</x:t>
  </x:si>
  <x:si>
    <x:t xml:space="preserve">trend confirmat</x:t>
  </x:si>
  <x:si>
    <x:t xml:space="preserve">trend descendent</x:t>
  </x:si>
  <x:si>
    <x:t xml:space="preserve">Mediu-mare</x:t>
  </x:si>
  <x:si>
    <x:t xml:space="preserve">rolling + opponent adjust</x:t>
  </x:si>
  <x:si>
    <x:t xml:space="preserve">L5 singur este zgomotos</x:t>
  </x:si>
  <x:si>
    <x:t xml:space="preserve">Volum</x:t>
  </x:si>
  <x:si>
    <x:t xml:space="preserve">Faulturi comise</x:t>
  </x:si>
  <x:si>
    <x:t xml:space="preserve">Creează oportunități pentru arbitru</x:t>
  </x:si>
  <x:si>
    <x:t xml:space="preserve">volum mare</x:t>
  </x:si>
  <x:si>
    <x:t xml:space="preserve">volum mic</x:t>
  </x:si>
  <x:si>
    <x:t xml:space="preserve">fouls/90</x:t>
  </x:si>
  <x:si>
    <x:t xml:space="preserve">Faulturi provocate</x:t>
  </x:si>
  <x:si>
    <x:t xml:space="preserve">Driblingul și presiunea atrag faulturi</x:t>
  </x:si>
  <x:si>
    <x:t xml:space="preserve">multe drawn</x:t>
  </x:si>
  <x:si>
    <x:t xml:space="preserve">puține drawn</x:t>
  </x:si>
  <x:si>
    <x:t xml:space="preserve">fouls won/90</x:t>
  </x:si>
  <x:si>
    <x:t xml:space="preserve">Încrucișează cu adversarul</x:t>
  </x:si>
  <x:si>
    <x:t xml:space="preserve">Cartonașe / meci</x:t>
  </x:si>
  <x:si>
    <x:t xml:space="preserve">Arbitrii sunt eterogeni</x:t>
  </x:si>
  <x:si>
    <x:t xml:space="preserve">peste ligă</x:t>
  </x:si>
  <x:si>
    <x:t xml:space="preserve">sub ligă</x:t>
  </x:si>
  <x:si>
    <x:t xml:space="preserve">CRITICĂ</x:t>
  </x:si>
  <x:si>
    <x:t xml:space="preserve">aceeași ligă + perioadă</x:t>
  </x:si>
  <x:si>
    <x:t xml:space="preserve">Shrink obligatoriu</x:t>
  </x:si>
  <x:si>
    <x:t xml:space="preserve">Faulturi / meci</x:t>
  </x:si>
  <x:si>
    <x:t xml:space="preserve">Separă whistle volume de card conversion</x:t>
  </x:si>
  <x:si>
    <x:t xml:space="preserve">multe fluierături</x:t>
  </x:si>
  <x:si>
    <x:t xml:space="preserve">lasă jocul</x:t>
  </x:si>
  <x:si>
    <x:t xml:space="preserve">fouls called</x:t>
  </x:si>
  <x:si>
    <x:t xml:space="preserve">Diagnostic, nu dublu-count</x:t>
  </x:si>
  <x:si>
    <x:t xml:space="preserve">Sample și stabilitate</x:t>
  </x:si>
  <x:si>
    <x:t xml:space="preserve">Media mică poate fi accidentală</x:t>
  </x:si>
  <x:si>
    <x:t xml:space="preserve">N mare + trend stabil</x:t>
  </x:si>
  <x:si>
    <x:t xml:space="preserve">N mare permisiv</x:t>
  </x:si>
  <x:si>
    <x:t xml:space="preserve">N + L10 vs sezon</x:t>
  </x:si>
  <x:si>
    <x:t xml:space="preserve">N mic =&gt; prior de ligă</x:t>
  </x:si>
  <x:si>
    <x:t xml:space="preserve">Home/away share</x:t>
  </x:si>
  <x:si>
    <x:t xml:space="preserve">Sancțiunile nu sunt simetric distribuite</x:t>
  </x:si>
  <x:si>
    <x:t xml:space="preserve">away share mare</x:t>
  </x:si>
  <x:si>
    <x:t xml:space="preserve">simetrie/low</x:t>
  </x:si>
  <x:si>
    <x:t xml:space="preserve">% cards gazde</x:t>
  </x:si>
  <x:si>
    <x:t xml:space="preserve">Ajustare plafonată</x:t>
  </x:si>
  <x:si>
    <x:t xml:space="preserve">Posesie / sarcină defensivă</x:t>
  </x:si>
  <x:si>
    <x:t xml:space="preserve">Echipa fără minge intră în mai multe dueluri</x:t>
  </x:si>
  <x:si>
    <x:t xml:space="preserve">posesie mică</x:t>
  </x:si>
  <x:si>
    <x:t xml:space="preserve">posesie mare</x:t>
  </x:si>
  <x:si>
    <x:t xml:space="preserve">expected possession</x:t>
  </x:si>
  <x:si>
    <x:t xml:space="preserve">Nu echivala automat posesia cu cards</x:t>
  </x:si>
  <x:si>
    <x:t xml:space="preserve">Tranziții și driblinguri</x:t>
  </x:si>
  <x:si>
    <x:t xml:space="preserve">Stopping attacks poate produce cautions</x:t>
  </x:si>
  <x:si>
    <x:t xml:space="preserve">mismatch mare</x:t>
  </x:si>
  <x:si>
    <x:t xml:space="preserve">joc pozițional lent</x:t>
  </x:si>
  <x:si>
    <x:t xml:space="preserve">carries, dribbles, counters</x:t>
  </x:si>
  <x:si>
    <x:t xml:space="preserve">Folosește matchup concret</x:t>
  </x:si>
  <x:si>
    <x:t xml:space="preserve">Jucători predispuși</x:t>
  </x:si>
  <x:si>
    <x:t xml:space="preserve">Rolurile și duelurile schimbă riscul</x:t>
  </x:si>
  <x:si>
    <x:t xml:space="preserve">mulți titulari card-prone</x:t>
  </x:si>
  <x:si>
    <x:t xml:space="preserve">absenți / rotați</x:t>
  </x:si>
  <x:si>
    <x:t xml:space="preserve">cards/fouls/tackles per 90</x:t>
  </x:si>
  <x:si>
    <x:t xml:space="preserve">Lineup confirmat ideal</x:t>
  </x:si>
  <x:si>
    <x:t xml:space="preserve">Derby / rivalitate</x:t>
  </x:si>
  <x:si>
    <x:t xml:space="preserve">Intensifică duelurile și protestele</x:t>
  </x:si>
  <x:si>
    <x:t xml:space="preserve">heat ridicat</x:t>
  </x:si>
  <x:si>
    <x:t xml:space="preserve">meci neutru</x:t>
  </x:si>
  <x:si>
    <x:t xml:space="preserve">istoric comparabil + context</x:t>
  </x:si>
  <x:si>
    <x:t xml:space="preserve">Narațiunea singură nu ajunge</x:t>
  </x:si>
  <x:si>
    <x:t xml:space="preserve">Poate produce conflict și time-wasting</x:t>
  </x:si>
  <x:si>
    <x:t xml:space="preserve">decisiv și strâns</x:t>
  </x:si>
  <x:si>
    <x:t xml:space="preserve">miză redusă</x:t>
  </x:si>
  <x:si>
    <x:t xml:space="preserve">standings/aggregate</x:t>
  </x:si>
  <x:si>
    <x:t xml:space="preserve">Direcția poate depinde de scor</x:t>
  </x:si>
  <x:si>
    <x:t xml:space="preserve">Echilibrul așteptat</x:t>
  </x:si>
  <x:si>
    <x:t xml:space="preserve">Meciurile strânse păstrează tensiunea târziu</x:t>
  </x:si>
  <x:si>
    <x:t xml:space="preserve">1X2 echilibrat</x:t>
  </x:si>
  <x:si>
    <x:t xml:space="preserve">favorit controlează ușor</x:t>
  </x:si>
  <x:si>
    <x:t xml:space="preserve">de-vig 1X2</x:t>
  </x:si>
  <x:si>
    <x:t xml:space="preserve">Game state rămâne incert</x:t>
  </x:si>
  <x:si>
    <x:t xml:space="preserve">Public</x:t>
  </x:si>
  <x:si>
    <x:t xml:space="preserve">Presiune stadion</x:t>
  </x:si>
  <x:si>
    <x:t xml:space="preserve">Poate influența deciziile</x:t>
  </x:si>
  <x:si>
    <x:t xml:space="preserve">densitate/hostilitate mare</x:t>
  </x:si>
  <x:si>
    <x:t xml:space="preserve">porți închise</x:t>
  </x:si>
  <x:si>
    <x:t xml:space="preserve">attendance/context</x:t>
  </x:si>
  <x:si>
    <x:t xml:space="preserve">Efect contextual, nu certitudine</x:t>
  </x:si>
  <x:si>
    <x:t xml:space="preserve">Roșii directe / 2Y-R</x:t>
  </x:si>
  <x:si>
    <x:t xml:space="preserve">Greutatea mare schimbă totalul</x:t>
  </x:si>
  <x:si>
    <x:t xml:space="preserve">rate ridicate</x:t>
  </x:si>
  <x:si>
    <x:t xml:space="preserve">rate joase</x:t>
  </x:si>
  <x:si>
    <x:t xml:space="preserve">CRITICĂ la Under</x:t>
  </x:si>
  <x:si>
    <x:t xml:space="preserve">rate ligă/ref/echipe</x:t>
  </x:si>
  <x:si>
    <x:t xml:space="preserve">Evenimente rare; stress test</x:t>
  </x:si>
  <x:si>
    <x:t xml:space="preserve">Varianță / medie</x:t>
  </x:si>
  <x:si>
    <x:t xml:space="preserve">Controlează grosimea cozilor</x:t>
  </x:si>
  <x:si>
    <x:t xml:space="preserve">D &gt; 1</x:t>
  </x:si>
  <x:si>
    <x:t xml:space="preserve">D &lt; 1</x:t>
  </x:si>
  <x:si>
    <x:t xml:space="preserve">istoric comparabil</x:t>
  </x:si>
  <x:si>
    <x:t xml:space="preserve">Poisson poate fi greșit</x:t>
  </x:si>
  <x:si>
    <x:t xml:space="preserve">Dependență</x:t>
  </x:si>
  <x:si>
    <x:t xml:space="preserve">Contagion H/A</x:t>
  </x:si>
  <x:si>
    <x:t xml:space="preserve">Echipele pot acumula cards împreună</x:t>
  </x:si>
  <x:si>
    <x:t xml:space="preserve">ambele ridicate</x:t>
  </x:si>
  <x:si>
    <x:t xml:space="preserve">ambele joase</x:t>
  </x:si>
  <x:si>
    <x:t xml:space="preserve">corelație/joint table</x:t>
  </x:si>
  <x:si>
    <x:t xml:space="preserve">Nu înmulți team probabilities</x:t>
  </x:si>
  <x:si>
    <x:t xml:space="preserve">Validare</x:t>
  </x:si>
  <x:si>
    <x:t xml:space="preserve">CLV, calibrare, Brier</x:t>
  </x:si>
  <x:si>
    <x:t xml:space="preserve">Separă norocul de calitatea modelului</x:t>
  </x:si>
  <x:si>
    <x:t xml:space="preserve">CLV pozitiv stabil</x:t>
  </x:si>
  <x:si>
    <x:t xml:space="preserve">CLV negativ</x:t>
  </x:si>
  <x:si>
    <x:t xml:space="preserve">minimum sute de pariuri</x:t>
  </x:si>
  <x:si>
    <x:t xml:space="preserve">Nu trage concluzii din 10 meciuri</x:t>
  </x:si>
  <x:si>
    <x:t xml:space="preserve">Prior sezon anterior</x:t>
  </x:si>
  <x:si>
    <x:t xml:space="preserve">Permite estimare înainte de N=10 fără a trata sample mic ca matur</x:t>
  </x:si>
  <x:si>
    <x:t xml:space="preserve">prior disciplinar ridicat</x:t>
  </x:si>
  <x:si>
    <x:t xml:space="preserve">prior disciplinat</x:t>
  </x:si>
  <x:si>
    <x:t xml:space="preserve">CRITICĂ în etapele 1–9</x:t>
  </x:si>
  <x:si>
    <x:t xml:space="preserve">sezon anterior + shrinkage</x:t>
  </x:si>
  <x:si>
    <x:t xml:space="preserve">prior normalizat; confidence cap</x:t>
  </x:si>
  <x:si>
    <x:t xml:space="preserve">Interacțiune</x:t>
  </x:si>
  <x:si>
    <x:t xml:space="preserve">Arbitru × context</x:t>
  </x:si>
  <x:si>
    <x:t xml:space="preserve">Strictness mare într-un derby/meci decisiv îngroașă coada</x:t>
  </x:si>
  <x:si>
    <x:t xml:space="preserve">ref strict + heat/miză</x:t>
  </x:si>
  <x:si>
    <x:t xml:space="preserve">ref permisiv/context neutru</x:t>
  </x:si>
  <x:si>
    <x:t xml:space="preserve">Foarte mare la Under</x:t>
  </x:si>
  <x:si>
    <x:t xml:space="preserve">ratio ref × scor context</x:t>
  </x:si>
  <x:si>
    <x:t xml:space="preserve">uplift μ mic + uplift D; cap explicit</x:t>
  </x:si>
  <x:si>
    <x:t xml:space="preserve">SURSĂ CONSOLIDATĂ: Surse</x:t>
  </x:si>
  <x:si>
    <x:t xml:space="preserve">SURSE ȘI FUNDAMENTARE</x:t>
  </x:si>
  <x:si>
    <x:t xml:space="preserve">Ce susține</x:t>
  </x:si>
  <x:si>
    <x:t xml:space="preserve">Utilizare în model</x:t>
  </x:si>
  <x:si>
    <x:t xml:space="preserve">IFAB – Law 12 (2026/27)</x:t>
  </x:si>
  <x:si>
    <x:t xml:space="preserve">Caution, sending-off și autoritatea arbitrului</x:t>
  </x:si>
  <x:si>
    <x:t xml:space="preserve">Definiția sportivă a sancțiunilor</x:t>
  </x:si>
  <x:si>
    <x:t xml:space="preserve">https://www.theifab.com/laws/latest/fouls-and-misconduct/</x:t>
  </x:si>
  <x:si>
    <x:t xml:space="preserve">Oficial</x:t>
  </x:si>
  <x:si>
    <x:t xml:space="preserve">bet365 România – Card Markets</x:t>
  </x:si>
  <x:si>
    <x:t xml:space="preserve">Y=1, R=2, al doilea galben ignorat; 90 minute; non-jucători excluși</x:t>
  </x:si>
  <x:si>
    <x:t xml:space="preserve">Reguli bookmaker</x:t>
  </x:si>
  <x:si>
    <x:t xml:space="preserve">bet365 România – Asian Cards</x:t>
  </x:si>
  <x:si>
    <x:t xml:space="preserve">Linii întregi, jumătăți și sferturi</x:t>
  </x:si>
  <x:si>
    <x:t xml:space="preserve">Logica Asian_Linie</x:t>
  </x:si>
  <x:si>
    <x:t xml:space="preserve">https://help.bet365.com/s/ro/sportsrules/soccer/asian-cards</x:t>
  </x:si>
  <x:si>
    <x:t xml:space="preserve">Betfair Sportsbook Rules</x:t>
  </x:si>
  <x:si>
    <x:t xml:space="preserve">Total cards are altă convenție: Y=1, R=1, max. 2/jucător</x:t>
  </x:si>
  <x:si>
    <x:t xml:space="preserve">Dovadă că regulile diferă între case</x:t>
  </x:si>
  <x:si>
    <x:t xml:space="preserve">Philipson (2026), JRSS A – Yellow fever</x:t>
  </x:si>
  <x:si>
    <x:t xml:space="preserve">Underdispersion, heterogenitate arbitri/echipe și dependență H/A</x:t>
  </x:si>
  <x:si>
    <x:t xml:space="preserve">Selecție model după D; total modelat direct</x:t>
  </x:si>
  <x:si>
    <x:t xml:space="preserve">https://doi.org/10.1093/jrsssa/qnag014</x:t>
  </x:si>
  <x:si>
    <x:t xml:space="preserve">Cercetare peer-reviewed</x:t>
  </x:si>
  <x:si>
    <x:t xml:space="preserve">Goumas (2014), Home advantage and referee bias</x:t>
  </x:si>
  <x:si>
    <x:t xml:space="preserve">Away teams au primit mai multe galbene după controlul dominanței</x:t>
  </x:si>
  <x:si>
    <x:t xml:space="preserve">Home/away share și context public</x:t>
  </x:si>
  <x:si>
    <x:t xml:space="preserve">https://pubmed.ncbi.nlm.nih.gov/24444213/</x:t>
  </x:si>
  <x:si>
    <x:t xml:space="preserve">McCarrick et al. (2021)</x:t>
  </x:si>
  <x:si>
    <x:t xml:space="preserve">Publicul și dominanța ofensivă influențează deciziile disciplinare</x:t>
  </x:si>
  <x:si>
    <x:t xml:space="preserve">Crowd/context și posesie</x:t>
  </x:si>
  <x:si>
    <x:t xml:space="preserve">https://pmc.ncbi.nlm.nih.gov/articles/PMC8422080/</x:t>
  </x:si>
  <x:si>
    <x:t xml:space="preserve">Azmat &amp; Yi (2024) – Expected Booking (xB)</x:t>
  </x:si>
  <x:si>
    <x:t xml:space="preserve">Contextul unui fault poate estima probabilitatea de booking</x:t>
  </x:si>
  <x:si>
    <x:t xml:space="preserve">Extensie pentru player cards / event-level</x:t>
  </x:si>
  <x:si>
    <x:t xml:space="preserve">https://arxiv.org/abs/2401.08718</x:t>
  </x:si>
  <x:si>
    <x:t xml:space="preserve">Preprint</x:t>
  </x:si>
  <x:si>
    <x:t xml:space="preserve">StatsBomb Open Data Specification</x:t>
  </x:si>
  <x:si>
    <x:t xml:space="preserve">Evenimente Foul Committed cu Yellow/Second Yellow/Red</x:t>
  </x:si>
  <x:si>
    <x:t xml:space="preserve">Date event-level și normalizare</x:t>
  </x:si>
  <x:si>
    <x:t xml:space="preserve">https://raw.githubusercontent.com/statsbomb/open-data/master/doc/StatsBomb%20Open%20Data%20Specification%20v1.1.pdf</x:t>
  </x:si>
  <x:si>
    <x:t xml:space="preserve">Specificație date</x:t>
  </x:si>
  <x:si>
    <x:t xml:space="preserve">Football-Data.co.uk</x:t>
  </x:si>
  <x:si>
    <x:t xml:space="preserve">Istoric cu fouls, bookings, red cards și referee în ligile majore</x:t>
  </x:si>
  <x:si>
    <x:t xml:space="preserve">Backtest și baseline</x:t>
  </x:si>
  <x:si>
    <x:t xml:space="preserve">https://www.football-data.co.uk/data</x:t>
  </x:si>
  <x:si>
    <x:t xml:space="preserve">Date publice</x:t>
  </x:si>
  <x:si>
    <x:t xml:space="preserve">StatBunker</x:t>
  </x:si>
  <x:si>
    <x:t xml:space="preserve">Statistici de disciplină și arbitru</x:t>
  </x:si>
  <x:si>
    <x:t xml:space="preserve">Cross-check curent</x:t>
  </x:si>
  <x:si>
    <x:t xml:space="preserve">https://www.statbunker.com/competitions/RefereeYellowCards</x:t>
  </x:si>
  <x:si>
    <x:t xml:space="preserve">Wicker, Orlowski &amp; Weimar (2022)</x:t>
  </x:si>
  <x:si>
    <x:t xml:space="preserve">Comportamentul de acordare a cartonașelor variază cu contextul fizic al meciului</x:t>
  </x:si>
  <x:si>
    <x:t xml:space="preserve">Context și limitarea mediei brute</x:t>
  </x:si>
  <x:si>
    <x:t xml:space="preserve">https://doi.org/10.32731/ijsf.172.052022.01</x:t>
  </x:si>
  <x:si>
    <x:t xml:space="preserve">Backtest intern 28–30.08.2026</x:t>
  </x:si>
  <x:si>
    <x:t xml:space="preserve">A evidențiat blocarea masivă P0 la început de sezon și fail-uri concentrate la 5+ cards pentru benchmark U4.5</x:t>
  </x:si>
  <x:si>
    <x:t xml:space="preserve">Motivarea Early-Season Shrinkage și Upper-Tail Gates v2</x:t>
  </x:si>
  <x:si>
    <x:t xml:space="preserve">Validare internă</x:t>
  </x:si>
  <x:si>
    <x:t xml:space="preserve">SURSĂ CONSOLIDATĂ: Legenda</x:t>
  </x:si>
  <x:si>
    <x:t xml:space="preserve">LEGENDĂ – TERMENI, FORMULE ȘI CULORI | v2</x:t>
  </x:si>
  <x:si>
    <x:t xml:space="preserve">Termen</x:t>
  </x:si>
  <x:si>
    <x:t xml:space="preserve">Formulă / logică</x:t>
  </x:si>
  <x:si>
    <x:t xml:space="preserve">Unde apare</x:t>
  </x:si>
  <x:si>
    <x:t xml:space="preserve">Cards received</x:t>
  </x:si>
  <x:si>
    <x:t xml:space="preserve">Cartonașele primite de echipă</x:t>
  </x:si>
  <x:si>
    <x:t xml:space="preserve">medie/meci</x:t>
  </x:si>
  <x:si>
    <x:t xml:space="preserve">disciplină proprie</x:t>
  </x:si>
  <x:si>
    <x:t xml:space="preserve">Input_Meci</x:t>
  </x:si>
  <x:si>
    <x:t xml:space="preserve">normalizează</x:t>
  </x:si>
  <x:si>
    <x:t xml:space="preserve">Cartonașele primite de adversari contra echipei</x:t>
  </x:si>
  <x:si>
    <x:t xml:space="preserve">opponent cards/meci</x:t>
  </x:si>
  <x:si>
    <x:t xml:space="preserve">capacitate de a provoca sancțiuni</x:t>
  </x:si>
  <x:si>
    <x:t xml:space="preserve">nu este același lucru cu fouls drawn</x:t>
  </x:si>
  <x:si>
    <x:t xml:space="preserve">λ / μ</x:t>
  </x:si>
  <x:si>
    <x:t xml:space="preserve">Numărul mediu estimat</x:t>
  </x:si>
  <x:si>
    <x:t xml:space="preserve">blend × multiplicatori</x:t>
  </x:si>
  <x:si>
    <x:t xml:space="preserve">centrul distribuției</x:t>
  </x:si>
  <x:si>
    <x:t xml:space="preserve">Calcul_Model</x:t>
  </x:si>
  <x:si>
    <x:t xml:space="preserve">nu este scor exact</x:t>
  </x:si>
  <x:si>
    <x:t xml:space="preserve">Indice de dispersie</x:t>
  </x:si>
  <x:si>
    <x:t xml:space="preserve">Varianță / Medie</x:t>
  </x:si>
  <x:si>
    <x:t xml:space="preserve">&lt;1 sub; ≈1 Poisson; &gt;1 supra</x:t>
  </x:si>
  <x:si>
    <x:t xml:space="preserve">Input/Calcul</x:t>
  </x:si>
  <x:si>
    <x:t xml:space="preserve">calculează pe aceeași populație</x:t>
  </x:si>
  <x:si>
    <x:t xml:space="preserve">Tragerea estimării spre priorul ligii</x:t>
  </x:si>
  <x:si>
    <x:t xml:space="preserve">protejează sample mic</x:t>
  </x:si>
  <x:si>
    <x:t xml:space="preserve">K configurabil</x:t>
  </x:si>
  <x:si>
    <x:t xml:space="preserve">Aproximare pentru sub-dispersie</x:t>
  </x:si>
  <x:si>
    <x:t xml:space="preserve">n≈μ/(1-D), p=μ/n</x:t>
  </x:si>
  <x:si>
    <x:t xml:space="preserve">cozi mai înguste</x:t>
  </x:si>
  <x:si>
    <x:t xml:space="preserve">Distributie</x:t>
  </x:si>
  <x:si>
    <x:t xml:space="preserve">CMP este extensia avansată</x:t>
  </x:si>
  <x:si>
    <x:t xml:space="preserve">Model pentru supra-dispersie</x:t>
  </x:si>
  <x:si>
    <x:t xml:space="preserve">r=μ/(D-1), p=1/D</x:t>
  </x:si>
  <x:si>
    <x:t xml:space="preserve">cozi mai grele</x:t>
  </x:si>
  <x:si>
    <x:t xml:space="preserve">D trebuie stabil</x:t>
  </x:si>
  <x:si>
    <x:t xml:space="preserve">Red-tail</x:t>
  </x:si>
  <x:si>
    <x:t xml:space="preserve">Riscul de eveniment roșu cu pondere mare</x:t>
  </x:si>
  <x:si>
    <x:t xml:space="preserve">1-exp(-λR)</x:t>
  </x:si>
  <x:si>
    <x:t xml:space="preserve">critic pentru Under</x:t>
  </x:si>
  <x:si>
    <x:t xml:space="preserve">Calcul/Checklist</x:t>
  </x:si>
  <x:si>
    <x:t xml:space="preserve">eveniment rar</x:t>
  </x:si>
  <x:si>
    <x:t xml:space="preserve">Probabilitatea distribuției</x:t>
  </x:si>
  <x:si>
    <x:t xml:space="preserve">CDF/1-CDF</x:t>
  </x:si>
  <x:si>
    <x:t xml:space="preserve">înainte de incertitudine</x:t>
  </x:si>
  <x:si>
    <x:t xml:space="preserve">Market_Odds</x:t>
  </x:si>
  <x:si>
    <x:t xml:space="preserve">nu este verdict</x:t>
  </x:si>
  <x:si>
    <x:t xml:space="preserve">Calitatea informației/modelului</x:t>
  </x:si>
  <x:si>
    <x:t xml:space="preserve">Calcul/Dashboard</x:t>
  </x:si>
  <x:si>
    <x:t xml:space="preserve">nu transforma în probabilitate</x:t>
  </x:si>
  <x:si>
    <x:t xml:space="preserve">Penalizare de incertitudine</x:t>
  </x:si>
  <x:si>
    <x:t xml:space="preserve">P_adj=P_raw-haircut</x:t>
  </x:si>
  <x:si>
    <x:t xml:space="preserve">conservator</x:t>
  </x:si>
  <x:si>
    <x:t xml:space="preserve">Calcul/Market</x:t>
  </x:si>
  <x:si>
    <x:t xml:space="preserve">candidate-specific</x:t>
  </x:si>
  <x:si>
    <x:t xml:space="preserve">Probabilitatea pieței fără marjă simplă</x:t>
  </x:si>
  <x:si>
    <x:t xml:space="preserve">(1/o)/(1/o+1/o_opus)</x:t>
  </x:si>
  <x:si>
    <x:t xml:space="preserve">benchmark</x:t>
  </x:si>
  <x:si>
    <x:t xml:space="preserve">necesită ambele cote</x:t>
  </x:si>
  <x:si>
    <x:t xml:space="preserve">Cotă fair</x:t>
  </x:si>
  <x:si>
    <x:t xml:space="preserve">Cota neutră modelului</x:t>
  </x:si>
  <x:si>
    <x:t xml:space="preserve">1/P_adj pentru .5</x:t>
  </x:si>
  <x:si>
    <x:t xml:space="preserve">mai mică decât cota poate indica value</x:t>
  </x:si>
  <x:si>
    <x:t xml:space="preserve">Asian push are formulă diferită</x:t>
  </x:si>
  <x:si>
    <x:t xml:space="preserve">Diferența față de piață</x:t>
  </x:si>
  <x:si>
    <x:t xml:space="preserve">P_adj-P_market</x:t>
  </x:si>
  <x:si>
    <x:t xml:space="preserve">în puncte procentuale</x:t>
  </x:si>
  <x:si>
    <x:t xml:space="preserve">nu garantează profit</x:t>
  </x:si>
  <x:si>
    <x:t xml:space="preserve">EV</x:t>
  </x:si>
  <x:si>
    <x:t xml:space="preserve">Valoarea așteptată</x:t>
  </x:si>
  <x:si>
    <x:t xml:space="preserve">P_adj×cotă−1</x:t>
  </x:si>
  <x:si>
    <x:t xml:space="preserve">profit mediu teoretic/unitate</x:t>
  </x:si>
  <x:si>
    <x:t xml:space="preserve">pentru linia .5</x:t>
  </x:si>
  <x:si>
    <x:t xml:space="preserve">Distanța mediei față de linie</x:t>
  </x:si>
  <x:si>
    <x:t xml:space="preserve">μ−L Over / L−μ Under</x:t>
  </x:si>
  <x:si>
    <x:t xml:space="preserve">robustețe de prag</x:t>
  </x:si>
  <x:si>
    <x:t xml:space="preserve">nu înlocuiește distribuția</x:t>
  </x:si>
  <x:si>
    <x:t xml:space="preserve">Analiză incompletă</x:t>
  </x:si>
  <x:si>
    <x:t xml:space="preserve">nu se recomandă</x:t>
  </x:si>
  <x:si>
    <x:t xml:space="preserve">reverifică datele</x:t>
  </x:si>
  <x:si>
    <x:t xml:space="preserve">toate</x:t>
  </x:si>
  <x:si>
    <x:t xml:space="preserve">nu este NO BET definitiv</x:t>
  </x:si>
  <x:si>
    <x:t xml:space="preserve">Closing Line Value</x:t>
  </x:si>
  <x:si>
    <x:t xml:space="preserve">cotă luată/cotă close−1</x:t>
  </x:si>
  <x:si>
    <x:t xml:space="preserve">calitatea execuției</x:t>
  </x:si>
  <x:si>
    <x:t xml:space="preserve">Backtest</x:t>
  </x:si>
  <x:si>
    <x:t xml:space="preserve">compară aceeași piață</x:t>
  </x:si>
  <x:si>
    <x:t xml:space="preserve">Eroare probabilistică binară</x:t>
  </x:si>
  <x:si>
    <x:t xml:space="preserve">(p−y)^2</x:t>
  </x:si>
  <x:si>
    <x:t xml:space="preserve">mai mic este mai bun</x:t>
  </x:si>
  <x:si>
    <x:t xml:space="preserve">în v1 doar linii .5</x:t>
  </x:si>
  <x:si>
    <x:t xml:space="preserve">COD CULORI</x:t>
  </x:si>
  <x:si>
    <x:t xml:space="preserve">Albastru deschis</x:t>
  </x:si>
  <x:si>
    <x:t xml:space="preserve">INPUT editabil</x:t>
  </x:si>
  <x:si>
    <x:t xml:space="preserve">Verde deschis</x:t>
  </x:si>
  <x:si>
    <x:t xml:space="preserve">Calcul / rezultat derivat</x:t>
  </x:si>
  <x:si>
    <x:t xml:space="preserve">Avertisment / exemplu</x:t>
  </x:si>
  <x:si>
    <x:t xml:space="preserve">Roșu</x:t>
  </x:si>
  <x:si>
    <x:t xml:space="preserve">Hard gate / risc</x:t>
  </x:si>
  <x:si>
    <x:t xml:space="preserve">Sezon anterior folosit ca prior când sezonul curent are sample mic</x:t>
  </x:si>
  <x:si>
    <x:t xml:space="preserve">blend ponderat cu N echivalent</x:t>
  </x:si>
  <x:si>
    <x:t xml:space="preserve">permite analiză, nu maturizează artificial sample-ul</x:t>
  </x:si>
  <x:si>
    <x:t xml:space="preserve">necesită compatibilitate</x:t>
  </x:si>
  <x:si>
    <x:t xml:space="preserve">P(5+)</x:t>
  </x:si>
  <x:si>
    <x:t xml:space="preserve">Probabilitatea totalului de cel puțin 5 cartonașe</x:t>
  </x:si>
  <x:si>
    <x:t xml:space="preserve">1-CDF(4)</x:t>
  </x:si>
  <x:si>
    <x:t xml:space="preserve">upper-tail pentru U4.5</x:t>
  </x:si>
  <x:si>
    <x:t xml:space="preserve">prag v2</x:t>
  </x:si>
  <x:si>
    <x:t xml:space="preserve">P(6+)</x:t>
  </x:si>
  <x:si>
    <x:t xml:space="preserve">Probabilitatea totalului de cel puțin 6 cartonașe</x:t>
  </x:si>
  <x:si>
    <x:t xml:space="preserve">1-CDF(5)</x:t>
  </x:si>
  <x:si>
    <x:t xml:space="preserve">upper-tail pentru U5.5</x:t>
  </x:si>
  <x:si>
    <x:t xml:space="preserve">Interacțiune strictness arbitru cu heat/miză/echilibru</x:t>
  </x:si>
  <x:si>
    <x:t xml:space="preserve">scor normalizat 0–1</x:t>
  </x:si>
  <x:si>
    <x:t xml:space="preserve">poate crește μ și D</x:t>
  </x:si>
  <x:si>
    <x:t xml:space="preserve">nu dubla efectele</x:t>
  </x:si>
  <x:si>
    <x:t xml:space="preserve">Tail Gate v2</x:t>
  </x:si>
  <x:si>
    <x:t xml:space="preserve">Control separat de medie pentru Under strâns</x:t>
  </x:si>
  <x:si>
    <x:t xml:space="preserve">caution / hard gate</x:t>
  </x:si>
  <x:si>
    <x:t xml:space="preserve">previne bias spre Under</x:t>
  </x:si>
  <x:si>
    <x:t xml:space="preserve">Market/Asian</x:t>
  </x:si>
  <x:si>
    <x:t xml:space="preserve">poate recomanda linie mai largă</x:t>
  </x:si>
  <x:si>
    <x:t xml:space="preserve">SURSĂ CONSOLIDATĂ: Metodologie_v2</x:t>
  </x:si>
  <x:si>
    <x:t xml:space="preserve">Modificare v2</x:t>
  </x:si>
  <x:si>
    <x:t xml:space="preserve">Trigger</x:t>
  </x:si>
  <x:si>
    <x:t xml:space="preserve">Early-Season Shrinkage</x:t>
  </x:si>
  <x:si>
    <x:t xml:space="preserve">N sezon &lt;10 / H-A &lt;6</x:t>
  </x:si>
  <x:si>
    <x:t xml:space="preserve">Permis numai dacă N curent ≥4, H/A ≥2, recent ≥3, prior sezon anterior ≥20 și priorul este normalizat/comparabil</x:t>
  </x:si>
  <x:si>
    <x:t xml:space="preserve">Reduce WATCH excesiv fără a ignora sample risk</x:t>
  </x:si>
  <x:si>
    <x:t xml:space="preserve">Blend current + prior cu N echivalent; Confidence cap 82; haircut +2,5 pp</x:t>
  </x:si>
  <x:si>
    <x:t xml:space="preserve">Upper Tail Gate U4.5</x:t>
  </x:si>
  <x:si>
    <x:t xml:space="preserve">≥32%: PRUDENT blocat; ≥36%: NO BET</x:t>
  </x:si>
  <x:si>
    <x:t xml:space="preserve">Protejează contra rezultatelor exact 5+</x:t>
  </x:si>
  <x:si>
    <x:t xml:space="preserve">P(5+)=1-CDF(4) din distribuția adaptivă</x:t>
  </x:si>
  <x:si>
    <x:t xml:space="preserve">Upper Tail Gate U5.5</x:t>
  </x:si>
  <x:si>
    <x:t xml:space="preserve">≥22%: PRUDENT blocat; ≥28%: NO BET</x:t>
  </x:si>
  <x:si>
    <x:t xml:space="preserve">Controlează fallback-ul U5.5</x:t>
  </x:si>
  <x:si>
    <x:t xml:space="preserve">P(6+)=1-CDF(5)</x:t>
  </x:si>
  <x:si>
    <x:t xml:space="preserve">Referee × Context</x:t>
  </x:si>
  <x:si>
    <x:t xml:space="preserve">Ref ratio &gt;1,08 și context mediu &gt;6,5</x:t>
  </x:si>
  <x:si>
    <x:t xml:space="preserve">Interacțiunea poate adăuga max +5% la μ și +0,20 la D</x:t>
  </x:si>
  <x:si>
    <x:t xml:space="preserve">Captează derby/miză cu arbitru strict</x:t>
  </x:si>
  <x:si>
    <x:t xml:space="preserve">Scor normalizat 0–1; nu înlocuiește shrinkage arbitru</x:t>
  </x:si>
  <x:si>
    <x:t xml:space="preserve">Linie alternativă</x:t>
  </x:si>
  <x:si>
    <x:t xml:space="preserve">U4.5 blocat de tail</x:t>
  </x:si>
  <x:si>
    <x:t xml:space="preserve">Testează U5.5 numai dacă P(6+) rămâne sub hard gate și există value</x:t>
  </x:si>
  <x:si>
    <x:t xml:space="preserve">Nu forța Under 4.5 doar fiindcă μ&lt;L</x:t>
  </x:si>
  <x:si>
    <x:t xml:space="preserve">Fallback explicit în Calcul_Model</x:t>
  </x:si>
  <x:si>
    <x:t xml:space="preserve">Backtest v2</x:t>
  </x:si>
  <x:si>
    <x:t xml:space="preserve">toate selecțiile înghețate pre-match</x:t>
  </x:si>
  <x:si>
    <x:t xml:space="preserve">Raportează separat NORMAL vs EARLY-SEASON și U4.5/U5.5</x:t>
  </x:si>
  <x:si>
    <x:t xml:space="preserve">Permite calibrare reală a pragurilor</x:t>
  </x:si>
  <x:si>
    <x:t xml:space="preserve">Coloana Versiune = v2; păstrează CLV/Brier/ROI</x:t>
  </x:si>
  <x:si>
    <x:t xml:space="preserve">REGULI-CHEIE v2</x:t>
  </x:si>
  <x:si>
    <x:t xml:space="preserve">1</x:t>
  </x:si>
  <x:si>
    <x:t xml:space="preserve">2</x:t>
  </x:si>
  <x:si>
    <x:t xml:space="preserve">3</x:t>
  </x:si>
  <x:si>
    <x:t xml:space="preserve">4</x:t>
  </x:si>
  <x:si>
    <x:t xml:space="preserve">5</x:t>
  </x:si>
  <x:si>
    <x:t xml:space="preserve">Poate muta distribuția către NB prin uplift D, nu doar media</x:t>
  </x:si>
  <x:si>
    <x:t xml:space="preserve">6</x:t>
  </x:si>
  <x:si>
    <x:t xml:space="preserve">MOTIVARE DIN BACKTEST</x:t>
  </x:si>
  <x:si>
    <x:t xml:space="preserve">Constatare</x:t>
  </x:si>
  <x:si>
    <x:t xml:space="preserve">În setul 28–30 august, P0 strict v1 a blocat majoritatea meciurilor de început de sezon.</x:t>
  </x:si>
  <x:si>
    <x:t xml:space="preserve">Pe subsetul matur, benchmark-ul a avut bias spre Under 4,5, iar mai multe eșecuri au apărut exact la 5+ cartonașe.</x:t>
  </x:si>
  <x:si>
    <x:t xml:space="preserve">Concluzie</x:t>
  </x:si>
  <x:si>
    <x:t xml:space="preserve">Problema nu este numai μ; upper-tail și combinația arbitru strict × context trebuie tratate separat.</x:t>
  </x:si>
  <x:si>
    <x:t xml:space="preserve">Pragurile v2 sunt inițiale și trebuie recalibrate după un eșantion mai mare de predicții înghețate pre-match.</x:t>
  </x:si>
  <x:si>
    <x:t xml:space="preserve">SURSĂ CONSOLIDATĂ: Data_Readiness_v6</x:t>
  </x:si>
  <x:si>
    <x:t xml:space="preserve">Efect în model</x:t>
  </x:si>
  <x:si>
    <x:t xml:space="preserve">Hard fail?</x:t>
  </x:si>
  <x:si>
    <x:t xml:space="preserve">Utilizare recomandată</x:t>
  </x:si>
  <x:si>
    <x:t xml:space="preserve">VERIFIED</x:t>
  </x:si>
  <x:si>
    <x:t xml:space="preserve">Date găsite și verificate</x:t>
  </x:si>
  <x:si>
    <x:t xml:space="preserve">folosire integrală</x:t>
  </x:si>
  <x:si>
    <x:t xml:space="preserve">normal</x:t>
  </x:si>
  <x:si>
    <x:t xml:space="preserve">status țintă</x:t>
  </x:si>
  <x:si>
    <x:t xml:space="preserve">AVAILABLE – NOT CHECKED</x:t>
  </x:si>
  <x:si>
    <x:t xml:space="preserve">Probabil disponibile pe web, încă neverificate</x:t>
  </x:si>
  <x:si>
    <x:t xml:space="preserve">nu se declară LIPSA DATE; se cere verificare</x:t>
  </x:si>
  <x:si>
    <x:t xml:space="preserve">recheck sursă</x:t>
  </x:si>
  <x:si>
    <x:t xml:space="preserve">nu trebuie să forțeze nivel 5</x:t>
  </x:si>
  <x:si>
    <x:t xml:space="preserve">PENDING OFFICIAL</x:t>
  </x:si>
  <x:si>
    <x:t xml:space="preserve">Date oficiale încă nepublicate (ex. XI)</x:t>
  </x:si>
  <x:si>
    <x:t xml:space="preserve">haircut / conditional refresh</x:t>
  </x:si>
  <x:si>
    <x:t xml:space="preserve">NU de regulă</x:t>
  </x:si>
  <x:si>
    <x:t xml:space="preserve">refresh T-75/T-60</x:t>
  </x:si>
  <x:si>
    <x:t xml:space="preserve">hard doar dacă modelul cere confirmare pentru bandă premium</x:t>
  </x:si>
  <x:si>
    <x:t xml:space="preserve">SMALL SAMPLE</x:t>
  </x:si>
  <x:si>
    <x:t xml:space="preserve">Date există, dar N curent este sub prag</x:t>
  </x:si>
  <x:si>
    <x:t xml:space="preserve">prior + shrinkage + confidence cap</x:t>
  </x:si>
  <x:si>
    <x:t xml:space="preserve">NU dacă există prior</x:t>
  </x:si>
  <x:si>
    <x:t xml:space="preserve">EARLY-SEASON</x:t>
  </x:si>
  <x:si>
    <x:t xml:space="preserve">nu se confundă cu LIPSA DATE</x:t>
  </x:si>
  <x:si>
    <x:t xml:space="preserve">PRIOR / SHRINKAGE</x:t>
  </x:si>
  <x:si>
    <x:t xml:space="preserve">Sezon anterior/league prior activ</x:t>
  </x:si>
  <x:si>
    <x:t xml:space="preserve">blend cu sezon curent</x:t>
  </x:si>
  <x:si>
    <x:t xml:space="preserve">folosire controlată</x:t>
  </x:si>
  <x:si>
    <x:t xml:space="preserve">raportează priorul și N</x:t>
  </x:si>
  <x:si>
    <x:t xml:space="preserve">PROXY ONLY</x:t>
  </x:si>
  <x:si>
    <x:t xml:space="preserve">Indicator nativ indisponibil, proxy folosit</x:t>
  </x:si>
  <x:si>
    <x:t xml:space="preserve">haircut + confidence cap</x:t>
  </x:si>
  <x:si>
    <x:t xml:space="preserve">DOAR dacă G0 nativ este obligatoriu</x:t>
  </x:si>
  <x:si>
    <x:t xml:space="preserve">selectiv</x:t>
  </x:si>
  <x:si>
    <x:t xml:space="preserve">proxy nu este echivalent cu nativ</x:t>
  </x:si>
  <x:si>
    <x:t xml:space="preserve">SOURCE CONFLICT</x:t>
  </x:si>
  <x:si>
    <x:t xml:space="preserve">Surse incompatibile material</x:t>
  </x:si>
  <x:si>
    <x:t xml:space="preserve">DA dacă afectează G0</x:t>
  </x:si>
  <x:si>
    <x:t xml:space="preserve">reconciliere</x:t>
  </x:si>
  <x:si>
    <x:t xml:space="preserve">raportează sursele</x:t>
  </x:si>
  <x:si>
    <x:t xml:space="preserve">OPERATOR NOT SPECIFIED</x:t>
  </x:si>
  <x:si>
    <x:t xml:space="preserve">Operator/cotă nespecificată</x:t>
  </x:si>
  <x:si>
    <x:t xml:space="preserve">IGNORAT în această versiune</x:t>
  </x:si>
  <x:si>
    <x:t xml:space="preserve">nu influențează verdictul tehnic</x:t>
  </x:si>
  <x:si>
    <x:t xml:space="preserve">settlement și EV eliminate din analiză</x:t>
  </x:si>
  <x:si>
    <x:t xml:space="preserve">NOT AVAILABLE</x:t>
  </x:si>
  <x:si>
    <x:t xml:space="preserve">Căutare efectuată, datele nu au fost găsite</x:t>
  </x:si>
  <x:si>
    <x:t xml:space="preserve">G0 FAIL numai dacă inputul este critic</x:t>
  </x:si>
  <x:si>
    <x:t xml:space="preserve">CONDIȚIONAL</x:t>
  </x:si>
  <x:si>
    <x:t xml:space="preserve">raportează exact ce lipsește</x:t>
  </x:si>
  <x:si>
    <x:t xml:space="preserve">singurul caz standard de LIPSA DATE</x:t>
  </x:si>
  <x:si>
    <x:t xml:space="preserve">Componentă model</x:t>
  </x:si>
  <x:si>
    <x:t xml:space="preserve">Status input</x:t>
  </x:si>
  <x:si>
    <x:t xml:space="preserve">Tratament</x:t>
  </x:si>
  <x:si>
    <x:t xml:space="preserve">Sursă sugerată</x:t>
  </x:si>
  <x:si>
    <x:t xml:space="preserve">cards received/drawn H/A + L5/L10</x:t>
  </x:si>
  <x:si>
    <x:t xml:space="preserve">G0/G1</x:t>
  </x:si>
  <x:si>
    <x:t xml:space="preserve">normalizare + sample</x:t>
  </x:si>
  <x:si>
    <x:t xml:space="preserve">FootyStats/FBref/league stats</x:t>
  </x:si>
  <x:si>
    <x:t xml:space="preserve">actualizează status după verificare</x:t>
  </x:si>
  <x:si>
    <x:t xml:space="preserve">fouls committed/drawn H/A</x:t>
  </x:si>
  <x:si>
    <x:t xml:space="preserve">G1</x:t>
  </x:si>
  <x:si>
    <x:t xml:space="preserve">matchup discipline</x:t>
  </x:si>
  <x:si>
    <x:t xml:space="preserve">FBref/event provider</x:t>
  </x:si>
  <x:si>
    <x:t xml:space="preserve">arbitru + cards/fouls/N</x:t>
  </x:si>
  <x:si>
    <x:t xml:space="preserve">G0/G2</x:t>
  </x:si>
  <x:si>
    <x:t xml:space="preserve">confirmare + shrinkage</x:t>
  </x:si>
  <x:si>
    <x:t xml:space="preserve">federație/league/referee stats</x:t>
  </x:si>
  <x:si>
    <x:t xml:space="preserve">red-tail/dispersion</x:t>
  </x:si>
  <x:si>
    <x:t xml:space="preserve">G2</x:t>
  </x:si>
  <x:si>
    <x:t xml:space="preserve">derivat/model adaptiv</x:t>
  </x:si>
  <x:si>
    <x:t xml:space="preserve">istoric disciplinar</x:t>
  </x:si>
  <x:si>
    <x:t xml:space="preserve">Nomenclatură nouă</x:t>
  </x:si>
  <x:si>
    <x:t xml:space="preserve">hard gate / obligatoriu</x:t>
  </x:si>
  <x:si>
    <x:t xml:space="preserve">context / factori soft</x:t>
  </x:si>
  <x:si>
    <x:t xml:space="preserve">calibrare / tail / uncertainty</x:t>
  </x:si>
  <x:si>
    <x:t xml:space="preserve">preț/cotă – INFORMATIV, fără EV</x:t>
  </x:si>
  <x:si>
    <x:t xml:space="preserve">G4</x:t>
  </x:si>
  <x:si>
    <x:t xml:space="preserve">selector / verdict final</x:t>
  </x:si>
  <x:si>
    <x:t xml:space="preserve">pG0, pG1 ...</x:t>
  </x:si>
  <x:si>
    <x:t xml:space="preserve">P(exact 0 goluri), P(exact 1) etc.; nu se confundă cu G0/G1</x:t>
  </x:si>
</x:sst>
</file>

<file path=xl/styles.xml><?xml version="1.0" encoding="utf-8"?>
<x:styleSheet xmlns:x="http://schemas.openxmlformats.org/spreadsheetml/2006/main">
  <x:numFmts count="7">
    <x:numFmt numFmtId="164" formatCode="yyyy\-mm\-dd"/>
    <x:numFmt numFmtId="165" formatCode="0.0%"/>
    <x:numFmt numFmtId="166" formatCode="0.0"/>
    <x:numFmt numFmtId="167" formatCode="0.000"/>
    <x:numFmt numFmtId="168" formatCode="0.000%"/>
    <x:numFmt numFmtId="200" formatCode="0"/>
    <x:numFmt numFmtId="201" formatCode="0%"/>
  </x:numFmts>
  <x:fonts count="31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1F1F1F"/>
      <x:name val="Aptos"/>
    </x:font>
    <x:font>
      <x:sz val="10"/>
      <x:name val="Aptos"/>
    </x:font>
    <x:font>
      <x:sz val="11"/>
      <x:color rgb="FF0070C0"/>
      <x:name val="Carlito"/>
    </x:font>
    <x:font>
      <x:sz val="10"/>
      <x:color rgb="FF0070C0"/>
      <x:name val="Aptos"/>
    </x:font>
    <x:font>
      <x:sz val="10"/>
      <x:color rgb="FF385723"/>
      <x:name val="Aptos"/>
    </x:font>
    <x:font>
      <x:b/>
      <x:sz val="9"/>
      <x:color rgb="FFFFFFFF"/>
      <x:name val="Aptos"/>
    </x:font>
    <x:font>
      <x:i/>
      <x:sz val="9"/>
      <x:color rgb="FF1F1F1F"/>
      <x:name val="Aptos"/>
    </x:font>
    <x:font>
      <x:sz val="9"/>
      <x:name val="Aptos"/>
    </x:font>
    <x:font>
      <x:sz val="9"/>
      <x:color rgb="FF0070C0"/>
      <x:name val="Aptos"/>
    </x:font>
    <x:font>
      <x:sz val="9"/>
      <x:color rgb="FF385723"/>
      <x:name val="Aptos"/>
    </x:font>
    <x:font>
      <x:b/>
      <x:sz val="14"/>
      <x:color rgb="FFFFFFFF"/>
      <x:name val="Carlito"/>
    </x:font>
    <x:font>
      <x:sz val="11"/>
      <x:color rgb="FF375623"/>
      <x:name val="Carlito"/>
    </x:font>
    <x:font>
      <x:b/>
      <x:sz val="11"/>
      <x:color rgb="FF1F1F1F"/>
      <x:name val="Carlito"/>
    </x:font>
    <x:font>
      <x:i/>
      <x:sz val="11"/>
      <x:color rgb="FF7F6000"/>
      <x:name val="Carlito"/>
    </x:font>
    <x:font>
      <x:b/>
      <x:sz val="11"/>
      <x:color rgb="FF17365D"/>
      <x:name val="Carlito"/>
    </x:font>
    <x:font>
      <x:b/>
      <x:sz val="14"/>
      <x:color rgb="FF7F6000"/>
      <x:name val="Carlito"/>
    </x:font>
    <x:font>
      <x:b/>
      <x:sz val="14"/>
      <x:color rgb="FF1F1F1F"/>
      <x:name val="Carlito"/>
    </x:font>
    <x:font>
      <x:i/>
      <x:sz val="10"/>
      <x:color rgb="FF404040"/>
      <x:name val="Carlito"/>
    </x:font>
    <x:font>
      <x:b/>
      <x:sz val="11"/>
      <x:name val="Carlito"/>
    </x:font>
    <x:font>
      <x:i/>
      <x:sz val="11"/>
      <x:color rgb="FF666666"/>
      <x:name val="Carlito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4"/>
      <x:color rgb="FFFFFFFF"/>
      <x:name val="Arial"/>
    </x:font>
    <x:font>
      <x:i/>
      <x:sz val="10"/>
      <x:color rgb="FF1F1F1F"/>
      <x:name val="Arial"/>
    </x:font>
    <x:font>
      <x:b/>
      <x:sz val="11"/>
      <x:color rgb="FFFFFFFF"/>
      <x:name val="Arial"/>
    </x:font>
    <x:font>
      <x:sz val="10"/>
      <x:name val="Arial"/>
    </x:font>
  </x:fonts>
  <x:fills count="3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FCE4D6"/>
      </x:patternFill>
    </x:fill>
    <x:fill>
      <x:patternFill patternType="solid">
        <x:fgColor rgb="FFC00000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EAF2F8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243E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</x:fills>
  <x:borders count="61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right style="thin">
        <x:color rgb="FFE7E6E6"/>
      </x:right>
      <x:bottom style="thin">
        <x:color rgb="FFD9D9D9"/>
      </x:bottom>
    </x:border>
    <x:border>
      <x:left style="thin">
        <x:color rgb="FFE7E6E6"/>
      </x:left>
      <x:right style="thin">
        <x:color rgb="FFE7E6E6"/>
      </x:right>
      <x:bottom style="thin">
        <x:color rgb="FFD9D9D9"/>
      </x:bottom>
    </x:border>
    <x:border>
      <x:left style="thin">
        <x:color rgb="FFE7E6E6"/>
      </x:left>
      <x:bottom style="thin">
        <x:color rgb="FFD9D9D9"/>
      </x:bottom>
    </x:border>
    <x:border>
      <x:right style="thin">
        <x:color rgb="FFE7E6E6"/>
      </x:right>
      <x:top style="thin">
        <x:color rgb="FFD9D9D9"/>
      </x:top>
      <x:bottom style="thin">
        <x:color rgb="FFD9D9D9"/>
      </x:bottom>
    </x:border>
    <x:border>
      <x:left style="thin">
        <x:color rgb="FFE7E6E6"/>
      </x:left>
      <x:right style="thin">
        <x:color rgb="FFE7E6E6"/>
      </x:right>
      <x:top style="thin">
        <x:color rgb="FFD9D9D9"/>
      </x:top>
      <x:bottom style="thin">
        <x:color rgb="FFD9D9D9"/>
      </x:bottom>
    </x:border>
    <x:border>
      <x:left style="thin">
        <x:color rgb="FFE7E6E6"/>
      </x:left>
      <x:top style="thin">
        <x:color rgb="FFD9D9D9"/>
      </x:top>
      <x:bottom style="thin">
        <x:color rgb="FFD9D9D9"/>
      </x:bottom>
    </x:border>
    <x:border>
      <x:right style="thin">
        <x:color rgb="FFE7E6E6"/>
      </x:right>
      <x:top style="thin">
        <x:color rgb="FFD9D9D9"/>
      </x:top>
      <x:bottom style="thin">
        <x:color rgb="FFB4C6E7"/>
      </x:bottom>
    </x:border>
    <x:border>
      <x:left style="thin">
        <x:color rgb="FFE7E6E6"/>
      </x:left>
      <x:right style="thin">
        <x:color rgb="FFE7E6E6"/>
      </x:right>
      <x:top style="thin">
        <x:color rgb="FFD9D9D9"/>
      </x:top>
      <x:bottom style="thin">
        <x:color rgb="FFB4C6E7"/>
      </x:bottom>
    </x:border>
    <x:border>
      <x:left style="thin">
        <x:color rgb="FFE7E6E6"/>
      </x:left>
      <x:top style="thin">
        <x:color rgb="FFD9D9D9"/>
      </x:top>
      <x:bottom style="thin">
        <x:color rgb="FFB4C6E7"/>
      </x:bottom>
    </x:border>
    <x:border>
      <x:left style="thin">
        <x:color rgb="FF5B9BD5"/>
      </x:left>
      <x:right style="thin">
        <x:color rgb="FFE7E6E6"/>
      </x:right>
      <x:top style="thin">
        <x:color rgb="FF5B9BD5"/>
      </x:top>
      <x:bottom style="thin">
        <x:color rgb="FF5B9BD5"/>
      </x:bottom>
    </x:border>
    <x:border>
      <x:left style="thin">
        <x:color rgb="FFE7E6E6"/>
      </x:left>
      <x:right style="thin">
        <x:color rgb="FF5B9BD5"/>
      </x:right>
      <x:top style="thin">
        <x:color rgb="FF5B9BD5"/>
      </x:top>
      <x:bottom style="thin">
        <x:color rgb="FF5B9BD5"/>
      </x:bottom>
    </x:border>
    <x:border>
      <x:left style="thin">
        <x:color rgb="FF5B9BD5"/>
      </x:left>
      <x:right style="thin">
        <x:color rgb="FF5B9BD5"/>
      </x:right>
      <x:top style="thin">
        <x:color rgb="FF5B9BD5"/>
      </x:top>
      <x:bottom style="thin">
        <x:color rgb="FFD9D9D9"/>
      </x:bottom>
    </x:border>
    <x:border>
      <x:left style="thin">
        <x:color rgb="FF5B9BD5"/>
      </x:left>
      <x:right style="thin">
        <x:color rgb="FF5B9BD5"/>
      </x:right>
      <x:top style="thin">
        <x:color rgb="FFD9D9D9"/>
      </x:top>
      <x:bottom style="thin">
        <x:color rgb="FFD9D9D9"/>
      </x:bottom>
    </x:border>
    <x:border>
      <x:left style="thin">
        <x:color rgb="FF5B9BD5"/>
      </x:left>
      <x:right style="thin">
        <x:color rgb="FF5B9BD5"/>
      </x:right>
      <x:top style="thin">
        <x:color rgb="FFD9D9D9"/>
      </x:top>
      <x:bottom style="thin">
        <x:color rgb="FF5B9BD5"/>
      </x:bottom>
    </x:border>
    <x:border>
      <x:left style="thin">
        <x:color rgb="FF5B9BD5"/>
      </x:left>
      <x:right style="thin">
        <x:color rgb="FFE7E6E6"/>
      </x:right>
      <x:top style="thin">
        <x:color rgb="FF5B9BD5"/>
      </x:top>
      <x:bottom style="thin">
        <x:color rgb="FFD9D9D9"/>
      </x:bottom>
    </x:border>
    <x:border>
      <x:left style="thin">
        <x:color rgb="FFE7E6E6"/>
      </x:left>
      <x:right style="thin">
        <x:color rgb="FF5B9BD5"/>
      </x:right>
      <x:top style="thin">
        <x:color rgb="FF5B9BD5"/>
      </x:top>
      <x:bottom style="thin">
        <x:color rgb="FFD9D9D9"/>
      </x:bottom>
    </x:border>
    <x:border>
      <x:left style="thin">
        <x:color rgb="FF5B9BD5"/>
      </x:left>
      <x:right style="thin">
        <x:color rgb="FFE7E6E6"/>
      </x:right>
      <x:top style="thin">
        <x:color rgb="FFD9D9D9"/>
      </x:top>
      <x:bottom style="thin">
        <x:color rgb="FFD9D9D9"/>
      </x:bottom>
    </x:border>
    <x:border>
      <x:left style="thin">
        <x:color rgb="FFE7E6E6"/>
      </x:left>
      <x:right style="thin">
        <x:color rgb="FF5B9BD5"/>
      </x:right>
      <x:top style="thin">
        <x:color rgb="FFD9D9D9"/>
      </x:top>
      <x:bottom style="thin">
        <x:color rgb="FFD9D9D9"/>
      </x:bottom>
    </x:border>
    <x:border>
      <x:left style="thin">
        <x:color rgb="FF5B9BD5"/>
      </x:left>
      <x:right style="thin">
        <x:color rgb="FFE7E6E6"/>
      </x:right>
      <x:top style="thin">
        <x:color rgb="FFD9D9D9"/>
      </x:top>
      <x:bottom style="thin">
        <x:color rgb="FF5B9BD5"/>
      </x:bottom>
    </x:border>
    <x:border>
      <x:left style="thin">
        <x:color rgb="FFE7E6E6"/>
      </x:left>
      <x:right style="thin">
        <x:color rgb="FF5B9BD5"/>
      </x:right>
      <x:top style="thin">
        <x:color rgb="FFD9D9D9"/>
      </x:top>
      <x:bottom style="thin">
        <x:color rgb="FF5B9BD5"/>
      </x:bottom>
    </x:border>
    <x:border>
      <x:left style="thin">
        <x:color rgb="FF5B9BD5"/>
      </x:left>
      <x:right style="thin">
        <x:color rgb="FF5B9BD5"/>
      </x:right>
      <x:top style="thin">
        <x:color rgb="FF5B9BD5"/>
      </x:top>
      <x:bottom style="thin">
        <x:color rgb="FF5B9BD5"/>
      </x:bottom>
    </x:border>
    <x:border>
      <x:left style="thin">
        <x:color rgb="FF70AD47"/>
      </x:left>
      <x:right style="thin">
        <x:color rgb="FF70AD47"/>
      </x:right>
      <x:top style="thin">
        <x:color rgb="FF70AD47"/>
      </x:top>
      <x:bottom style="thin">
        <x:color rgb="FF70AD47"/>
      </x:bottom>
    </x:border>
    <x:border>
      <x:left style="thin">
        <x:color rgb="FF5B9BD5"/>
      </x:left>
      <x:right style="thin">
        <x:color rgb="FF5B9BD5"/>
      </x:right>
      <x:top style="thin">
        <x:color rgb="FF5B9BD5"/>
      </x:top>
    </x:border>
    <x:border>
      <x:left style="thin">
        <x:color rgb="FF5B9BD5"/>
      </x:left>
      <x:right style="thin">
        <x:color rgb="FF5B9BD5"/>
      </x:right>
    </x:border>
    <x:border>
      <x:left style="thin">
        <x:color rgb="FF5B9BD5"/>
      </x:left>
      <x:right style="thin">
        <x:color rgb="FF5B9BD5"/>
      </x:right>
      <x:bottom style="thin">
        <x:color rgb="FF5B9BD5"/>
      </x:bottom>
    </x:border>
    <x:border>
      <x:left style="thin">
        <x:color rgb="FF70AD47"/>
      </x:left>
      <x:right style="thin">
        <x:color rgb="FF70AD47"/>
      </x:right>
      <x:top style="thin">
        <x:color rgb="FF70AD47"/>
      </x:top>
    </x:border>
    <x:border>
      <x:left style="thin">
        <x:color rgb="FF70AD47"/>
      </x:left>
      <x:right style="thin">
        <x:color rgb="FF70AD47"/>
      </x:right>
    </x:border>
    <x:border>
      <x:left style="thin">
        <x:color rgb="FF70AD47"/>
      </x:left>
      <x:right style="thin">
        <x:color rgb="FF70AD47"/>
      </x:right>
      <x:bottom style="thin">
        <x:color rgb="FF70AD47"/>
      </x:bottom>
    </x:border>
    <x:border>
      <x:left style="thin">
        <x:color rgb="FFB4C6E7"/>
      </x:left>
      <x:right style="thin">
        <x:color rgb="FFE7E6E6"/>
      </x:right>
      <x:top style="thin">
        <x:color rgb="FFB4C6E7"/>
      </x:top>
      <x:bottom style="thin">
        <x:color rgb="FFD9D9D9"/>
      </x:bottom>
    </x:border>
    <x:border>
      <x:left style="thin">
        <x:color rgb="FFE7E6E6"/>
      </x:left>
      <x:right style="thin">
        <x:color rgb="FFE7E6E6"/>
      </x:right>
      <x:top style="thin">
        <x:color rgb="FFB4C6E7"/>
      </x:top>
      <x:bottom style="thin">
        <x:color rgb="FFD9D9D9"/>
      </x:bottom>
    </x:border>
    <x:border>
      <x:left style="thin">
        <x:color rgb="FFE7E6E6"/>
      </x:left>
      <x:right style="thin">
        <x:color rgb="FFB4C6E7"/>
      </x:right>
      <x:top style="thin">
        <x:color rgb="FFB4C6E7"/>
      </x:top>
      <x:bottom style="thin">
        <x:color rgb="FFD9D9D9"/>
      </x:bottom>
    </x:border>
    <x:border>
      <x:left style="thin">
        <x:color rgb="FFB4C6E7"/>
      </x:left>
      <x:right style="thin">
        <x:color rgb="FFE7E6E6"/>
      </x:right>
      <x:top style="thin">
        <x:color rgb="FFD9D9D9"/>
      </x:top>
      <x:bottom style="thin">
        <x:color rgb="FFD9D9D9"/>
      </x:bottom>
    </x:border>
    <x:border>
      <x:left style="thin">
        <x:color rgb="FFE7E6E6"/>
      </x:left>
      <x:right style="thin">
        <x:color rgb="FFB4C6E7"/>
      </x:right>
      <x:top style="thin">
        <x:color rgb="FFD9D9D9"/>
      </x:top>
      <x:bottom style="thin">
        <x:color rgb="FFD9D9D9"/>
      </x:bottom>
    </x:border>
    <x:border>
      <x:left style="thin">
        <x:color rgb="FFB4C6E7"/>
      </x:left>
      <x:right style="thin">
        <x:color rgb="FFE7E6E6"/>
      </x:right>
      <x:top style="thin">
        <x:color rgb="FFD9D9D9"/>
      </x:top>
      <x:bottom style="thin">
        <x:color rgb="FFB4C6E7"/>
      </x:bottom>
    </x:border>
    <x:border>
      <x:left style="thin">
        <x:color rgb="FFE7E6E6"/>
      </x:left>
      <x:right style="thin">
        <x:color rgb="FFB4C6E7"/>
      </x:right>
      <x:top style="thin">
        <x:color rgb="FFD9D9D9"/>
      </x:top>
      <x:bottom style="thin">
        <x:color rgb="FFB4C6E7"/>
      </x:bottom>
    </x:border>
    <x:border>
      <x:left style="thin">
        <x:color rgb="FF70AD47"/>
      </x:left>
      <x:right style="thin">
        <x:color rgb="FFE7E6E6"/>
      </x:right>
      <x:top style="thin">
        <x:color rgb="FF70AD47"/>
      </x:top>
      <x:bottom style="thin">
        <x:color rgb="FFD9D9D9"/>
      </x:bottom>
    </x:border>
    <x:border>
      <x:left style="thin">
        <x:color rgb="FFE7E6E6"/>
      </x:left>
      <x:right style="thin">
        <x:color rgb="FFE7E6E6"/>
      </x:right>
      <x:top style="thin">
        <x:color rgb="FF70AD47"/>
      </x:top>
      <x:bottom style="thin">
        <x:color rgb="FFD9D9D9"/>
      </x:bottom>
    </x:border>
    <x:border>
      <x:left style="thin">
        <x:color rgb="FFE7E6E6"/>
      </x:left>
      <x:right style="thin">
        <x:color rgb="FF70AD47"/>
      </x:right>
      <x:top style="thin">
        <x:color rgb="FF70AD47"/>
      </x:top>
      <x:bottom style="thin">
        <x:color rgb="FFD9D9D9"/>
      </x:bottom>
    </x:border>
    <x:border>
      <x:left style="thin">
        <x:color rgb="FF70AD47"/>
      </x:left>
      <x:right style="thin">
        <x:color rgb="FFE7E6E6"/>
      </x:right>
      <x:top style="thin">
        <x:color rgb="FFD9D9D9"/>
      </x:top>
      <x:bottom style="thin">
        <x:color rgb="FFD9D9D9"/>
      </x:bottom>
    </x:border>
    <x:border>
      <x:left style="thin">
        <x:color rgb="FFE7E6E6"/>
      </x:left>
      <x:right style="thin">
        <x:color rgb="FF70AD47"/>
      </x:right>
      <x:top style="thin">
        <x:color rgb="FFD9D9D9"/>
      </x:top>
      <x:bottom style="thin">
        <x:color rgb="FFD9D9D9"/>
      </x:bottom>
    </x:border>
    <x:border>
      <x:left style="thin">
        <x:color rgb="FF70AD47"/>
      </x:left>
      <x:right style="thin">
        <x:color rgb="FFE7E6E6"/>
      </x:right>
      <x:top style="thin">
        <x:color rgb="FFD9D9D9"/>
      </x:top>
      <x:bottom style="thin">
        <x:color rgb="FF70AD47"/>
      </x:bottom>
    </x:border>
    <x:border>
      <x:left style="thin">
        <x:color rgb="FFE7E6E6"/>
      </x:left>
      <x:right style="thin">
        <x:color rgb="FFE7E6E6"/>
      </x:right>
      <x:top style="thin">
        <x:color rgb="FFD9D9D9"/>
      </x:top>
      <x:bottom style="thin">
        <x:color rgb="FF70AD47"/>
      </x:bottom>
    </x:border>
    <x:border>
      <x:left style="thin">
        <x:color rgb="FFE7E6E6"/>
      </x:left>
      <x:right style="thin">
        <x:color rgb="FF70AD47"/>
      </x:right>
      <x:top style="thin">
        <x:color rgb="FFD9D9D9"/>
      </x:top>
      <x:bottom style="thin">
        <x:color rgb="FF70AD47"/>
      </x:bottom>
    </x:border>
    <x:border>
      <x:left style="thin">
        <x:color rgb="FFE7E6E6"/>
      </x:left>
      <x:right style="thin">
        <x:color rgb="FFE7E6E6"/>
      </x:right>
      <x:top style="thin">
        <x:color rgb="FF5B9BD5"/>
      </x:top>
      <x:bottom style="thin">
        <x:color rgb="FFD9D9D9"/>
      </x:bottom>
    </x:border>
    <x:border>
      <x:left style="thin">
        <x:color rgb="FFE7E6E6"/>
      </x:left>
      <x:right style="thin">
        <x:color rgb="FFE7E6E6"/>
      </x:right>
      <x:top style="thin">
        <x:color rgb="FFD9D9D9"/>
      </x:top>
      <x:bottom style="thin">
        <x:color rgb="FF5B9BD5"/>
      </x:bottom>
    </x:border>
    <x:border>
      <x:left style="thin">
        <x:color rgb="FF70AD47"/>
      </x:left>
      <x:right style="thin">
        <x:color rgb="FF70AD47"/>
      </x:right>
      <x:top style="thin">
        <x:color rgb="FF70AD47"/>
      </x:top>
      <x:bottom style="thin">
        <x:color rgb="FFD9D9D9"/>
      </x:bottom>
    </x:border>
    <x:border>
      <x:left style="thin">
        <x:color rgb="FF70AD47"/>
      </x:left>
      <x:right style="thin">
        <x:color rgb="FF70AD47"/>
      </x:right>
      <x:top style="thin">
        <x:color rgb="FFD9D9D9"/>
      </x:top>
      <x:bottom style="thin">
        <x:color rgb="FFD9D9D9"/>
      </x:bottom>
    </x:border>
    <x:border>
      <x:left style="thin">
        <x:color rgb="FF70AD47"/>
      </x:left>
      <x:right style="thin">
        <x:color rgb="FF70AD47"/>
      </x:right>
      <x:top style="thin">
        <x:color rgb="FFD9D9D9"/>
      </x:top>
      <x:bottom style="thin">
        <x:color rgb="FF70AD47"/>
      </x:bottom>
    </x:border>
    <x:border>
      <x:bottom style="thin">
        <x:color rgb="FF7F8C8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  <x:right style="thin">
        <x:color rgb="FFD9E1F2"/>
      </x:right>
      <x:top style="thin">
        <x:color rgb="FFD9E1F2"/>
      </x:top>
    </x:border>
    <x:border>
      <x:left style="thin">
        <x:color rgb="FFD9E1F2"/>
      </x:left>
      <x:top style="thin">
        <x:color rgb="FFD9E1F2"/>
      </x:top>
    </x:border>
  </x:borders>
  <x:cellStyleXfs count="1">
    <x:xf numFmtId="0" fontId="0" fillId="0" borderId="0"/>
  </x:cellStyleXfs>
  <x:cellXfs count="387">
    <x:xf numFmtId="0" fontId="0" fillId="0" borderId="0" xfId="0"/>
    <x:xf numFmtId="0" fontId="2" fillId="4" borderId="1" xfId="0" applyFont="1" applyFill="1" applyBorder="1" applyAlignment="1">
      <x:alignment horizontal="center" vertical="center" wrapText="1"/>
    </x:xf>
    <x:xf numFmtId="0" fontId="2" fillId="4" borderId="0" xfId="0" applyFont="1" applyFill="1" applyAlignment="1">
      <x:alignment vertical="center"/>
    </x:xf>
    <x:xf numFmtId="0" fontId="8" fillId="4" borderId="1" xfId="0" applyFont="1" applyFill="1" applyBorder="1" applyAlignment="1">
      <x:alignment horizontal="center" vertical="center" wrapText="1"/>
    </x:xf>
    <x:xf numFmtId="0" fontId="4" fillId="0" borderId="0" xfId="0" applyFont="1" applyAlignment="1">
      <x:alignment vertical="center"/>
    </x:xf>
    <x:xf numFmtId="0" fontId="4" fillId="0" borderId="2" xfId="0" applyFont="1" applyBorder="1" applyAlignment="1">
      <x:alignment vertical="center" wrapText="1"/>
    </x:xf>
    <x:xf numFmtId="0" fontId="7" fillId="8" borderId="47" xfId="0" applyFont="1" applyFill="1" applyBorder="1" applyAlignment="1">
      <x:alignment vertical="center" wrapText="1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7" fillId="8" borderId="48" xfId="0" applyFont="1" applyFill="1" applyBorder="1" applyAlignment="1">
      <x:alignment vertical="center" wrapText="1"/>
    </x:xf>
    <x:xf numFmtId="0" fontId="4" fillId="0" borderId="6" xfId="0" applyFont="1" applyBorder="1" applyAlignment="1">
      <x:alignment vertical="center" wrapText="1"/>
    </x:xf>
    <x:xf numFmtId="0" fontId="4" fillId="0" borderId="7" xfId="0" applyFont="1" applyBorder="1" applyAlignment="1">
      <x:alignment vertical="center" wrapText="1"/>
    </x:xf>
    <x:xf numFmtId="0" fontId="4" fillId="0" borderId="8" xfId="0" applyFont="1" applyBorder="1" applyAlignment="1">
      <x:alignment vertical="center" wrapText="1"/>
    </x:xf>
    <x:xf numFmtId="0" fontId="7" fillId="8" borderId="49" xfId="0" applyFont="1" applyFill="1" applyBorder="1" applyAlignment="1">
      <x:alignment vertical="center" wrapText="1"/>
    </x:xf>
    <x:xf numFmtId="0" fontId="4" fillId="0" borderId="9" xfId="0" applyFont="1" applyBorder="1" applyAlignment="1">
      <x:alignment vertical="center" wrapText="1"/>
    </x:xf>
    <x:xf numFmtId="0" fontId="4" fillId="0" borderId="10" xfId="0" applyFont="1" applyBorder="1" applyAlignment="1">
      <x:alignment vertical="center" wrapText="1"/>
    </x:xf>
    <x:xf numFmtId="2" fontId="7" fillId="8" borderId="47" xfId="0" applyNumberFormat="1" applyFont="1" applyFill="1" applyBorder="1" applyAlignment="1">
      <x:alignment vertical="center" wrapText="1"/>
    </x:xf>
    <x:xf numFmtId="2" fontId="7" fillId="8" borderId="48" xfId="0" applyNumberFormat="1" applyFont="1" applyFill="1" applyBorder="1" applyAlignment="1">
      <x:alignment vertical="center" wrapText="1"/>
    </x:xf>
    <x:xf numFmtId="165" fontId="7" fillId="8" borderId="48" xfId="0" applyNumberFormat="1" applyFont="1" applyFill="1" applyBorder="1" applyAlignment="1">
      <x:alignment vertical="center" wrapText="1"/>
    </x:xf>
    <x:xf numFmtId="1" fontId="7" fillId="8" borderId="48" xfId="0" applyNumberFormat="1" applyFont="1" applyFill="1" applyBorder="1" applyAlignment="1">
      <x:alignment vertical="center" wrapText="1"/>
    </x:xf>
    <x:xf numFmtId="165" fontId="4" fillId="0" borderId="4" xfId="0" applyNumberFormat="1" applyFont="1" applyBorder="1" applyAlignment="1">
      <x:alignment vertical="center" wrapText="1"/>
    </x:xf>
    <x:xf numFmtId="165" fontId="4" fillId="0" borderId="7" xfId="0" applyNumberFormat="1" applyFont="1" applyBorder="1" applyAlignment="1">
      <x:alignment vertical="center" wrapText="1"/>
    </x:xf>
    <x:xf numFmtId="165" fontId="4" fillId="0" borderId="10" xfId="0" applyNumberFormat="1" applyFont="1" applyBorder="1" applyAlignment="1">
      <x:alignment vertical="center" wrapText="1"/>
    </x:xf>
    <x:xf numFmtId="0" fontId="6" fillId="7" borderId="11" xfId="0" applyFont="1" applyFill="1" applyBorder="1" applyAlignment="1">
      <x:alignment vertical="center" wrapText="1"/>
    </x:xf>
    <x:xf numFmtId="0" fontId="6" fillId="7" borderId="12" xfId="0" applyFont="1" applyFill="1" applyBorder="1" applyAlignment="1">
      <x:alignment vertical="center" wrapText="1"/>
    </x:xf>
    <x:xf numFmtId="0" fontId="6" fillId="7" borderId="13" xfId="0" applyFont="1" applyFill="1" applyBorder="1" applyAlignment="1">
      <x:alignment vertical="center" wrapText="1"/>
    </x:xf>
    <x:xf numFmtId="164" fontId="6" fillId="7" borderId="14" xfId="0" applyNumberFormat="1" applyFont="1" applyFill="1" applyBorder="1" applyAlignment="1">
      <x:alignment vertical="center" wrapText="1"/>
    </x:xf>
    <x:xf numFmtId="0" fontId="6" fillId="7" borderId="14" xfId="0" applyFont="1" applyFill="1" applyBorder="1" applyAlignment="1">
      <x:alignment vertical="center" wrapText="1"/>
    </x:xf>
    <x:xf numFmtId="0" fontId="6" fillId="7" borderId="15" xfId="0" applyFont="1" applyFill="1" applyBorder="1" applyAlignment="1">
      <x:alignment vertical="center" wrapText="1"/>
    </x:xf>
    <x:xf numFmtId="2" fontId="6" fillId="7" borderId="14" xfId="0" applyNumberFormat="1" applyFont="1" applyFill="1" applyBorder="1" applyAlignment="1">
      <x:alignment vertical="center" wrapText="1"/>
    </x:xf>
    <x:xf numFmtId="165" fontId="6" fillId="7" borderId="14" xfId="0" applyNumberFormat="1" applyFont="1" applyFill="1" applyBorder="1" applyAlignment="1">
      <x:alignment vertical="center" wrapText="1"/>
    </x:xf>
    <x:xf numFmtId="2" fontId="6" fillId="7" borderId="16" xfId="0" applyNumberFormat="1" applyFont="1" applyFill="1" applyBorder="1" applyAlignment="1">
      <x:alignment vertical="center" wrapText="1"/>
    </x:xf>
    <x:xf numFmtId="2" fontId="6" fillId="7" borderId="17" xfId="0" applyNumberFormat="1" applyFont="1" applyFill="1" applyBorder="1" applyAlignment="1">
      <x:alignment vertical="center" wrapText="1"/>
    </x:xf>
    <x:xf numFmtId="2" fontId="6" fillId="7" borderId="18" xfId="0" applyNumberFormat="1" applyFont="1" applyFill="1" applyBorder="1" applyAlignment="1">
      <x:alignment vertical="center" wrapText="1"/>
    </x:xf>
    <x:xf numFmtId="2" fontId="6" fillId="7" borderId="19" xfId="0" applyNumberFormat="1" applyFont="1" applyFill="1" applyBorder="1" applyAlignment="1">
      <x:alignment vertical="center" wrapText="1"/>
    </x:xf>
    <x:xf numFmtId="0" fontId="6" fillId="7" borderId="18" xfId="0" applyFont="1" applyFill="1" applyBorder="1" applyAlignment="1">
      <x:alignment vertical="center" wrapText="1"/>
    </x:xf>
    <x:xf numFmtId="0" fontId="6" fillId="7" borderId="19" xfId="0" applyFont="1" applyFill="1" applyBorder="1" applyAlignment="1">
      <x:alignment vertical="center" wrapText="1"/>
    </x:xf>
    <x:xf numFmtId="0" fontId="6" fillId="7" borderId="20" xfId="0" applyFont="1" applyFill="1" applyBorder="1" applyAlignment="1">
      <x:alignment vertical="center" wrapText="1"/>
    </x:xf>
    <x:xf numFmtId="0" fontId="6" fillId="7" borderId="21" xfId="0" applyFont="1" applyFill="1" applyBorder="1" applyAlignment="1">
      <x:alignment vertical="center" wrapText="1"/>
    </x:xf>
    <x:xf numFmtId="166" fontId="6" fillId="7" borderId="16" xfId="0" applyNumberFormat="1" applyFont="1" applyFill="1" applyBorder="1" applyAlignment="1">
      <x:alignment vertical="center" wrapText="1"/>
    </x:xf>
    <x:xf numFmtId="166" fontId="6" fillId="7" borderId="17" xfId="0" applyNumberFormat="1" applyFont="1" applyFill="1" applyBorder="1" applyAlignment="1">
      <x:alignment vertical="center" wrapText="1"/>
    </x:xf>
    <x:xf numFmtId="166" fontId="6" fillId="7" borderId="18" xfId="0" applyNumberFormat="1" applyFont="1" applyFill="1" applyBorder="1" applyAlignment="1">
      <x:alignment vertical="center" wrapText="1"/>
    </x:xf>
    <x:xf numFmtId="166" fontId="6" fillId="7" borderId="19" xfId="0" applyNumberFormat="1" applyFont="1" applyFill="1" applyBorder="1" applyAlignment="1">
      <x:alignment vertical="center" wrapText="1"/>
    </x:xf>
    <x:xf numFmtId="0" fontId="6" fillId="7" borderId="22" xfId="0" applyFont="1" applyFill="1" applyBorder="1" applyAlignment="1">
      <x:alignment vertical="center" wrapText="1"/>
    </x:xf>
    <x:xf numFmtId="2" fontId="6" fillId="7" borderId="13" xfId="0" applyNumberFormat="1" applyFont="1" applyFill="1" applyBorder="1" applyAlignment="1">
      <x:alignment vertical="center" wrapText="1"/>
    </x:xf>
    <x:xf numFmtId="165" fontId="6" fillId="7" borderId="13" xfId="0" applyNumberFormat="1" applyFont="1" applyFill="1" applyBorder="1" applyAlignment="1">
      <x:alignment vertical="center" wrapText="1"/>
    </x:xf>
    <x:xf numFmtId="165" fontId="6" fillId="7" borderId="15" xfId="0" applyNumberFormat="1" applyFont="1" applyFill="1" applyBorder="1" applyAlignment="1">
      <x:alignment vertical="center" wrapText="1"/>
    </x:xf>
    <x:xf numFmtId="165" fontId="7" fillId="8" borderId="23" xfId="0" applyNumberFormat="1" applyFont="1" applyFill="1" applyBorder="1" applyAlignment="1">
      <x:alignment vertical="center" wrapText="1"/>
    </x:xf>
    <x:xf numFmtId="165" fontId="4" fillId="0" borderId="3" xfId="0" applyNumberFormat="1" applyFont="1" applyBorder="1" applyAlignment="1">
      <x:alignment vertical="center" wrapText="1"/>
    </x:xf>
    <x:xf numFmtId="165" fontId="4" fillId="0" borderId="6" xfId="0" applyNumberFormat="1" applyFont="1" applyBorder="1" applyAlignment="1">
      <x:alignment vertical="center" wrapText="1"/>
    </x:xf>
    <x:xf numFmtId="0" fontId="7" fillId="8" borderId="5" xfId="0" applyFont="1" applyFill="1" applyBorder="1" applyAlignment="1">
      <x:alignment vertical="center" wrapText="1"/>
    </x:xf>
    <x:xf numFmtId="0" fontId="7" fillId="8" borderId="6" xfId="0" applyFont="1" applyFill="1" applyBorder="1" applyAlignment="1">
      <x:alignment vertical="center" wrapText="1"/>
    </x:xf>
    <x:xf numFmtId="165" fontId="7" fillId="8" borderId="6" xfId="0" applyNumberFormat="1" applyFont="1" applyFill="1" applyBorder="1" applyAlignment="1">
      <x:alignment vertical="center" wrapText="1"/>
    </x:xf>
    <x:xf numFmtId="0" fontId="7" fillId="8" borderId="7" xfId="0" applyFont="1" applyFill="1" applyBorder="1" applyAlignment="1">
      <x:alignment vertical="center" wrapText="1"/>
    </x:xf>
    <x:xf numFmtId="0" fontId="2" fillId="4" borderId="5" xfId="0" applyFont="1" applyFill="1" applyBorder="1" applyAlignment="1">
      <x:alignment horizontal="center" vertical="center" wrapText="1"/>
    </x:xf>
    <x:xf numFmtId="0" fontId="2" fillId="4" borderId="6" xfId="0" applyFont="1" applyFill="1" applyBorder="1" applyAlignment="1">
      <x:alignment horizontal="center" vertical="center" wrapText="1"/>
    </x:xf>
    <x:xf numFmtId="165" fontId="2" fillId="4" borderId="6" xfId="0" applyNumberFormat="1" applyFont="1" applyFill="1" applyBorder="1" applyAlignment="1">
      <x:alignment horizontal="center" vertical="center" wrapText="1"/>
    </x:xf>
    <x:xf numFmtId="0" fontId="2" fillId="4" borderId="7" xfId="0" applyFont="1" applyFill="1" applyBorder="1" applyAlignment="1">
      <x:alignment horizontal="center" vertical="center" wrapText="1"/>
    </x:xf>
    <x:xf numFmtId="2" fontId="7" fillId="8" borderId="6" xfId="0" applyNumberFormat="1" applyFont="1" applyFill="1" applyBorder="1" applyAlignment="1">
      <x:alignment vertical="center" wrapText="1"/>
    </x:xf>
    <x:xf numFmtId="167" fontId="4" fillId="0" borderId="6" xfId="0" applyNumberFormat="1" applyFont="1" applyBorder="1" applyAlignment="1">
      <x:alignment vertical="center" wrapText="1"/>
    </x:xf>
    <x:xf numFmtId="0" fontId="7" fillId="8" borderId="8" xfId="0" applyFont="1" applyFill="1" applyBorder="1" applyAlignment="1">
      <x:alignment vertical="center" wrapText="1"/>
    </x:xf>
    <x:xf numFmtId="0" fontId="7" fillId="8" borderId="9" xfId="0" applyFont="1" applyFill="1" applyBorder="1" applyAlignment="1">
      <x:alignment vertical="center" wrapText="1"/>
    </x:xf>
    <x:xf numFmtId="168" fontId="4" fillId="0" borderId="3" xfId="0" applyNumberFormat="1" applyFont="1" applyBorder="1" applyAlignment="1">
      <x:alignment vertical="center" wrapText="1"/>
    </x:xf>
    <x:xf numFmtId="168" fontId="4" fillId="0" borderId="6" xfId="0" applyNumberFormat="1" applyFont="1" applyBorder="1" applyAlignment="1">
      <x:alignment vertical="center" wrapText="1"/>
    </x:xf>
    <x:xf numFmtId="168" fontId="4" fillId="0" borderId="9" xfId="0" applyNumberFormat="1" applyFont="1" applyBorder="1" applyAlignment="1">
      <x:alignment vertical="center" wrapText="1"/>
    </x:xf>
    <x:xf numFmtId="0" fontId="10" fillId="0" borderId="2" xfId="0" applyFont="1" applyBorder="1" applyAlignment="1">
      <x:alignment vertical="center" wrapText="1"/>
    </x:xf>
    <x:xf numFmtId="0" fontId="10" fillId="0" borderId="3" xfId="0" applyFont="1" applyBorder="1" applyAlignment="1">
      <x:alignment vertical="center" wrapText="1"/>
    </x:xf>
    <x:xf numFmtId="2" fontId="11" fillId="7" borderId="16" xfId="0" applyNumberFormat="1" applyFont="1" applyFill="1" applyBorder="1" applyAlignment="1">
      <x:alignment vertical="center" wrapText="1"/>
    </x:xf>
    <x:xf numFmtId="2" fontId="11" fillId="7" borderId="17" xfId="0" applyNumberFormat="1" applyFont="1" applyFill="1" applyBorder="1" applyAlignment="1">
      <x:alignment vertical="center" wrapText="1"/>
    </x:xf>
    <x:xf numFmtId="165" fontId="10" fillId="0" borderId="3" xfId="0" applyNumberFormat="1" applyFont="1" applyBorder="1" applyAlignment="1">
      <x:alignment vertical="center" wrapText="1"/>
    </x:xf>
    <x:xf numFmtId="2" fontId="10" fillId="0" borderId="3" xfId="0" applyNumberFormat="1" applyFont="1" applyBorder="1" applyAlignment="1">
      <x:alignment vertical="center" wrapText="1"/>
    </x:xf>
    <x:xf numFmtId="1" fontId="10" fillId="0" borderId="3" xfId="0" applyNumberFormat="1" applyFont="1" applyBorder="1" applyAlignment="1">
      <x:alignment vertical="center" wrapText="1"/>
    </x:xf>
    <x:xf numFmtId="0" fontId="10" fillId="0" borderId="4" xfId="0" applyFont="1" applyBorder="1" applyAlignment="1">
      <x:alignment vertical="center" wrapText="1"/>
    </x:xf>
    <x:xf numFmtId="0" fontId="10" fillId="0" borderId="5" xfId="0" applyFont="1" applyBorder="1" applyAlignment="1">
      <x:alignment vertical="center" wrapText="1"/>
    </x:xf>
    <x:xf numFmtId="0" fontId="10" fillId="0" borderId="6" xfId="0" applyFont="1" applyBorder="1" applyAlignment="1">
      <x:alignment vertical="center" wrapText="1"/>
    </x:xf>
    <x:xf numFmtId="2" fontId="11" fillId="7" borderId="18" xfId="0" applyNumberFormat="1" applyFont="1" applyFill="1" applyBorder="1" applyAlignment="1">
      <x:alignment vertical="center" wrapText="1"/>
    </x:xf>
    <x:xf numFmtId="2" fontId="11" fillId="7" borderId="19" xfId="0" applyNumberFormat="1" applyFont="1" applyFill="1" applyBorder="1" applyAlignment="1">
      <x:alignment vertical="center" wrapText="1"/>
    </x:xf>
    <x:xf numFmtId="165" fontId="10" fillId="0" borderId="6" xfId="0" applyNumberFormat="1" applyFont="1" applyBorder="1" applyAlignment="1">
      <x:alignment vertical="center" wrapText="1"/>
    </x:xf>
    <x:xf numFmtId="2" fontId="10" fillId="0" borderId="6" xfId="0" applyNumberFormat="1" applyFont="1" applyBorder="1" applyAlignment="1">
      <x:alignment vertical="center" wrapText="1"/>
    </x:xf>
    <x:xf numFmtId="1" fontId="10" fillId="0" borderId="6" xfId="0" applyNumberFormat="1" applyFont="1" applyBorder="1" applyAlignment="1">
      <x:alignment vertical="center" wrapText="1"/>
    </x:xf>
    <x:xf numFmtId="0" fontId="10" fillId="0" borderId="7" xfId="0" applyFont="1" applyBorder="1" applyAlignment="1">
      <x:alignment vertical="center" wrapText="1"/>
    </x:xf>
    <x:xf numFmtId="0" fontId="10" fillId="0" borderId="8" xfId="0" applyFont="1" applyBorder="1" applyAlignment="1">
      <x:alignment vertical="center" wrapText="1"/>
    </x:xf>
    <x:xf numFmtId="0" fontId="10" fillId="0" borderId="9" xfId="0" applyFont="1" applyBorder="1" applyAlignment="1">
      <x:alignment vertical="center" wrapText="1"/>
    </x:xf>
    <x:xf numFmtId="2" fontId="11" fillId="7" borderId="20" xfId="0" applyNumberFormat="1" applyFont="1" applyFill="1" applyBorder="1" applyAlignment="1">
      <x:alignment vertical="center" wrapText="1"/>
    </x:xf>
    <x:xf numFmtId="2" fontId="11" fillId="7" borderId="21" xfId="0" applyNumberFormat="1" applyFont="1" applyFill="1" applyBorder="1" applyAlignment="1">
      <x:alignment vertical="center" wrapText="1"/>
    </x:xf>
    <x:xf numFmtId="165" fontId="10" fillId="0" borderId="9" xfId="0" applyNumberFormat="1" applyFont="1" applyBorder="1" applyAlignment="1">
      <x:alignment vertical="center" wrapText="1"/>
    </x:xf>
    <x:xf numFmtId="2" fontId="10" fillId="0" borderId="9" xfId="0" applyNumberFormat="1" applyFont="1" applyBorder="1" applyAlignment="1">
      <x:alignment vertical="center" wrapText="1"/>
    </x:xf>
    <x:xf numFmtId="1" fontId="10" fillId="0" borderId="9" xfId="0" applyNumberFormat="1" applyFont="1" applyBorder="1" applyAlignment="1">
      <x:alignment vertical="center" wrapText="1"/>
    </x:xf>
    <x:xf numFmtId="0" fontId="10" fillId="0" borderId="10" xfId="0" applyFont="1" applyBorder="1" applyAlignment="1">
      <x:alignment vertical="center" wrapText="1"/>
    </x:xf>
    <x:xf numFmtId="0" fontId="6" fillId="7" borderId="24" xfId="0" applyFont="1" applyFill="1" applyBorder="1" applyAlignment="1">
      <x:alignment vertical="center"/>
    </x:xf>
    <x:xf numFmtId="0" fontId="6" fillId="7" borderId="25" xfId="0" applyFont="1" applyFill="1" applyBorder="1" applyAlignment="1">
      <x:alignment vertical="center"/>
    </x:xf>
    <x:xf numFmtId="165" fontId="7" fillId="8" borderId="27" xfId="0" applyNumberFormat="1" applyFont="1" applyFill="1" applyBorder="1" applyAlignment="1">
      <x:alignment vertical="center"/>
    </x:xf>
    <x:xf numFmtId="2" fontId="6" fillId="7" borderId="25" xfId="0" applyNumberFormat="1" applyFont="1" applyFill="1" applyBorder="1" applyAlignment="1">
      <x:alignment vertical="center"/>
    </x:xf>
    <x:xf numFmtId="165" fontId="7" fillId="8" borderId="28" xfId="0" applyNumberFormat="1" applyFont="1" applyFill="1" applyBorder="1" applyAlignment="1">
      <x:alignment vertical="center"/>
    </x:xf>
    <x:xf numFmtId="2" fontId="6" fillId="7" borderId="26" xfId="0" applyNumberFormat="1" applyFont="1" applyFill="1" applyBorder="1" applyAlignment="1">
      <x:alignment vertical="center"/>
    </x:xf>
    <x:xf numFmtId="0" fontId="7" fillId="8" borderId="27" xfId="0" applyFont="1" applyFill="1" applyBorder="1" applyAlignment="1">
      <x:alignment vertical="center"/>
    </x:xf>
    <x:xf numFmtId="0" fontId="7" fillId="8" borderId="28" xfId="0" applyFont="1" applyFill="1" applyBorder="1" applyAlignment="1">
      <x:alignment vertical="center"/>
    </x:xf>
    <x:xf numFmtId="2" fontId="7" fillId="8" borderId="28" xfId="0" applyNumberFormat="1" applyFont="1" applyFill="1" applyBorder="1" applyAlignment="1">
      <x:alignment vertical="center"/>
    </x:xf>
    <x:xf numFmtId="0" fontId="7" fillId="8" borderId="29" xfId="0" applyFont="1" applyFill="1" applyBorder="1" applyAlignment="1">
      <x:alignment vertical="center"/>
    </x:xf>
    <x:xf numFmtId="165" fontId="4" fillId="0" borderId="0" xfId="0" applyNumberFormat="1" applyFont="1" applyAlignment="1">
      <x:alignment vertical="center"/>
    </x:xf>
    <x:xf numFmtId="0" fontId="2" fillId="4" borderId="30" xfId="0" applyFont="1" applyFill="1" applyBorder="1" applyAlignment="1">
      <x:alignment horizontal="center" vertical="center" wrapText="1"/>
    </x:xf>
    <x:xf numFmtId="0" fontId="2" fillId="4" borderId="31" xfId="0" applyFont="1" applyFill="1" applyBorder="1" applyAlignment="1">
      <x:alignment horizontal="center" vertical="center" wrapText="1"/>
    </x:xf>
    <x:xf numFmtId="0" fontId="2" fillId="4" borderId="32" xfId="0" applyFont="1" applyFill="1" applyBorder="1" applyAlignment="1">
      <x:alignment horizontal="center" vertical="center" wrapText="1"/>
    </x:xf>
    <x:xf numFmtId="0" fontId="4" fillId="0" borderId="33" xfId="0" applyFont="1" applyBorder="1" applyAlignment="1">
      <x:alignment vertical="center" wrapText="1"/>
    </x:xf>
    <x:xf numFmtId="0" fontId="4" fillId="0" borderId="34" xfId="0" applyFont="1" applyBorder="1" applyAlignment="1">
      <x:alignment vertical="center" wrapText="1"/>
    </x:xf>
    <x:xf numFmtId="0" fontId="4" fillId="0" borderId="35" xfId="0" applyFont="1" applyBorder="1" applyAlignment="1">
      <x:alignment vertical="center" wrapText="1"/>
    </x:xf>
    <x:xf numFmtId="0" fontId="4" fillId="0" borderId="36" xfId="0" applyFont="1" applyBorder="1" applyAlignment="1">
      <x:alignment vertical="center" wrapText="1"/>
    </x:xf>
    <x:xf numFmtId="0" fontId="7" fillId="8" borderId="37" xfId="0" applyFont="1" applyFill="1" applyBorder="1" applyAlignment="1">
      <x:alignment vertical="center" wrapText="1"/>
    </x:xf>
    <x:xf numFmtId="0" fontId="7" fillId="8" borderId="38" xfId="0" applyFont="1" applyFill="1" applyBorder="1" applyAlignment="1">
      <x:alignment vertical="center" wrapText="1"/>
    </x:xf>
    <x:xf numFmtId="2" fontId="7" fillId="8" borderId="38" xfId="0" applyNumberFormat="1" applyFont="1" applyFill="1" applyBorder="1" applyAlignment="1">
      <x:alignment vertical="center" wrapText="1"/>
    </x:xf>
    <x:xf numFmtId="165" fontId="7" fillId="8" borderId="38" xfId="0" applyNumberFormat="1" applyFont="1" applyFill="1" applyBorder="1" applyAlignment="1">
      <x:alignment vertical="center" wrapText="1"/>
    </x:xf>
    <x:xf numFmtId="0" fontId="7" fillId="8" borderId="39" xfId="0" applyFont="1" applyFill="1" applyBorder="1" applyAlignment="1">
      <x:alignment vertical="center" wrapText="1"/>
    </x:xf>
    <x:xf numFmtId="0" fontId="7" fillId="8" borderId="40" xfId="0" applyFont="1" applyFill="1" applyBorder="1" applyAlignment="1">
      <x:alignment vertical="center" wrapText="1"/>
    </x:xf>
    <x:xf numFmtId="0" fontId="7" fillId="8" borderId="41" xfId="0" applyFont="1" applyFill="1" applyBorder="1" applyAlignment="1">
      <x:alignment vertical="center" wrapText="1"/>
    </x:xf>
    <x:xf numFmtId="0" fontId="7" fillId="8" borderId="42" xfId="0" applyFont="1" applyFill="1" applyBorder="1" applyAlignment="1">
      <x:alignment vertical="center" wrapText="1"/>
    </x:xf>
    <x:xf numFmtId="0" fontId="7" fillId="8" borderId="43" xfId="0" applyFont="1" applyFill="1" applyBorder="1" applyAlignment="1">
      <x:alignment vertical="center" wrapText="1"/>
    </x:xf>
    <x:xf numFmtId="2" fontId="7" fillId="8" borderId="43" xfId="0" applyNumberFormat="1" applyFont="1" applyFill="1" applyBorder="1" applyAlignment="1">
      <x:alignment vertical="center" wrapText="1"/>
    </x:xf>
    <x:xf numFmtId="165" fontId="7" fillId="8" borderId="43" xfId="0" applyNumberFormat="1" applyFont="1" applyFill="1" applyBorder="1" applyAlignment="1">
      <x:alignment vertical="center" wrapText="1"/>
    </x:xf>
    <x:xf numFmtId="0" fontId="7" fillId="8" borderId="44" xfId="0" applyFont="1" applyFill="1" applyBorder="1" applyAlignment="1">
      <x:alignment vertical="center" wrapText="1"/>
    </x:xf>
    <x:xf numFmtId="0" fontId="10" fillId="0" borderId="0" xfId="0" applyFont="1" applyAlignment="1">
      <x:alignment vertical="center"/>
    </x:xf>
    <x:xf numFmtId="0" fontId="12" fillId="8" borderId="23" xfId="0" applyFont="1" applyFill="1" applyBorder="1" applyAlignment="1">
      <x:alignment vertical="center"/>
    </x:xf>
    <x:xf numFmtId="165" fontId="12" fillId="8" borderId="23" xfId="0" applyNumberFormat="1" applyFont="1" applyFill="1" applyBorder="1" applyAlignment="1">
      <x:alignment vertical="center"/>
    </x:xf>
    <x:xf numFmtId="165" fontId="10" fillId="0" borderId="0" xfId="0" applyNumberFormat="1" applyFont="1" applyAlignment="1">
      <x:alignment vertical="center"/>
    </x:xf>
    <x:xf numFmtId="167" fontId="12" fillId="8" borderId="23" xfId="0" applyNumberFormat="1" applyFont="1" applyFill="1" applyBorder="1" applyAlignment="1">
      <x:alignment vertical="center"/>
    </x:xf>
    <x:xf numFmtId="164" fontId="11" fillId="7" borderId="16" xfId="0" applyNumberFormat="1" applyFont="1" applyFill="1" applyBorder="1" applyAlignment="1">
      <x:alignment vertical="center" wrapText="1"/>
    </x:xf>
    <x:xf numFmtId="0" fontId="11" fillId="7" borderId="45" xfId="0" applyFont="1" applyFill="1" applyBorder="1" applyAlignment="1">
      <x:alignment vertical="center" wrapText="1"/>
    </x:xf>
    <x:xf numFmtId="2" fontId="11" fillId="7" borderId="45" xfId="0" applyNumberFormat="1" applyFont="1" applyFill="1" applyBorder="1" applyAlignment="1">
      <x:alignment vertical="center" wrapText="1"/>
    </x:xf>
    <x:xf numFmtId="165" fontId="11" fillId="7" borderId="45" xfId="0" applyNumberFormat="1" applyFont="1" applyFill="1" applyBorder="1" applyAlignment="1">
      <x:alignment vertical="center" wrapText="1"/>
    </x:xf>
    <x:xf numFmtId="0" fontId="11" fillId="7" borderId="17" xfId="0" applyFont="1" applyFill="1" applyBorder="1" applyAlignment="1">
      <x:alignment vertical="center" wrapText="1"/>
    </x:xf>
    <x:xf numFmtId="0" fontId="12" fillId="8" borderId="37" xfId="0" applyFont="1" applyFill="1" applyBorder="1" applyAlignment="1">
      <x:alignment vertical="center" wrapText="1"/>
    </x:xf>
    <x:xf numFmtId="0" fontId="12" fillId="8" borderId="38" xfId="0" applyFont="1" applyFill="1" applyBorder="1" applyAlignment="1">
      <x:alignment vertical="center" wrapText="1"/>
    </x:xf>
    <x:xf numFmtId="2" fontId="12" fillId="8" borderId="38" xfId="0" applyNumberFormat="1" applyFont="1" applyFill="1" applyBorder="1" applyAlignment="1">
      <x:alignment vertical="center" wrapText="1"/>
    </x:xf>
    <x:xf numFmtId="165" fontId="12" fillId="8" borderId="38" xfId="0" applyNumberFormat="1" applyFont="1" applyFill="1" applyBorder="1" applyAlignment="1">
      <x:alignment vertical="center" wrapText="1"/>
    </x:xf>
    <x:xf numFmtId="167" fontId="12" fillId="8" borderId="39" xfId="0" applyNumberFormat="1" applyFont="1" applyFill="1" applyBorder="1" applyAlignment="1">
      <x:alignment vertical="center" wrapText="1"/>
    </x:xf>
    <x:xf numFmtId="0" fontId="11" fillId="7" borderId="16" xfId="0" applyFont="1" applyFill="1" applyBorder="1" applyAlignment="1">
      <x:alignment vertical="center" wrapText="1"/>
    </x:xf>
    <x:xf numFmtId="164" fontId="11" fillId="7" borderId="18" xfId="0" applyNumberFormat="1" applyFont="1" applyFill="1" applyBorder="1" applyAlignment="1">
      <x:alignment vertical="center" wrapText="1"/>
    </x:xf>
    <x:xf numFmtId="0" fontId="11" fillId="7" borderId="6" xfId="0" applyFont="1" applyFill="1" applyBorder="1" applyAlignment="1">
      <x:alignment vertical="center" wrapText="1"/>
    </x:xf>
    <x:xf numFmtId="2" fontId="11" fillId="7" borderId="6" xfId="0" applyNumberFormat="1" applyFont="1" applyFill="1" applyBorder="1" applyAlignment="1">
      <x:alignment vertical="center" wrapText="1"/>
    </x:xf>
    <x:xf numFmtId="165" fontId="11" fillId="7" borderId="6" xfId="0" applyNumberFormat="1" applyFont="1" applyFill="1" applyBorder="1" applyAlignment="1">
      <x:alignment vertical="center" wrapText="1"/>
    </x:xf>
    <x:xf numFmtId="0" fontId="11" fillId="7" borderId="19" xfId="0" applyFont="1" applyFill="1" applyBorder="1" applyAlignment="1">
      <x:alignment vertical="center" wrapText="1"/>
    </x:xf>
    <x:xf numFmtId="0" fontId="12" fillId="8" borderId="40" xfId="0" applyFont="1" applyFill="1" applyBorder="1" applyAlignment="1">
      <x:alignment vertical="center" wrapText="1"/>
    </x:xf>
    <x:xf numFmtId="0" fontId="12" fillId="8" borderId="6" xfId="0" applyFont="1" applyFill="1" applyBorder="1" applyAlignment="1">
      <x:alignment vertical="center" wrapText="1"/>
    </x:xf>
    <x:xf numFmtId="2" fontId="12" fillId="8" borderId="6" xfId="0" applyNumberFormat="1" applyFont="1" applyFill="1" applyBorder="1" applyAlignment="1">
      <x:alignment vertical="center" wrapText="1"/>
    </x:xf>
    <x:xf numFmtId="165" fontId="12" fillId="8" borderId="6" xfId="0" applyNumberFormat="1" applyFont="1" applyFill="1" applyBorder="1" applyAlignment="1">
      <x:alignment vertical="center" wrapText="1"/>
    </x:xf>
    <x:xf numFmtId="167" fontId="12" fillId="8" borderId="41" xfId="0" applyNumberFormat="1" applyFont="1" applyFill="1" applyBorder="1" applyAlignment="1">
      <x:alignment vertical="center" wrapText="1"/>
    </x:xf>
    <x:xf numFmtId="0" fontId="11" fillId="7" borderId="18" xfId="0" applyFont="1" applyFill="1" applyBorder="1" applyAlignment="1">
      <x:alignment vertical="center" wrapText="1"/>
    </x:xf>
    <x:xf numFmtId="164" fontId="11" fillId="7" borderId="20" xfId="0" applyNumberFormat="1" applyFont="1" applyFill="1" applyBorder="1" applyAlignment="1">
      <x:alignment vertical="center" wrapText="1"/>
    </x:xf>
    <x:xf numFmtId="0" fontId="11" fillId="7" borderId="46" xfId="0" applyFont="1" applyFill="1" applyBorder="1" applyAlignment="1">
      <x:alignment vertical="center" wrapText="1"/>
    </x:xf>
    <x:xf numFmtId="2" fontId="11" fillId="7" borderId="46" xfId="0" applyNumberFormat="1" applyFont="1" applyFill="1" applyBorder="1" applyAlignment="1">
      <x:alignment vertical="center" wrapText="1"/>
    </x:xf>
    <x:xf numFmtId="165" fontId="11" fillId="7" borderId="46" xfId="0" applyNumberFormat="1" applyFont="1" applyFill="1" applyBorder="1" applyAlignment="1">
      <x:alignment vertical="center" wrapText="1"/>
    </x:xf>
    <x:xf numFmtId="0" fontId="11" fillId="7" borderId="21" xfId="0" applyFont="1" applyFill="1" applyBorder="1" applyAlignment="1">
      <x:alignment vertical="center" wrapText="1"/>
    </x:xf>
    <x:xf numFmtId="0" fontId="12" fillId="8" borderId="42" xfId="0" applyFont="1" applyFill="1" applyBorder="1" applyAlignment="1">
      <x:alignment vertical="center" wrapText="1"/>
    </x:xf>
    <x:xf numFmtId="0" fontId="12" fillId="8" borderId="43" xfId="0" applyFont="1" applyFill="1" applyBorder="1" applyAlignment="1">
      <x:alignment vertical="center" wrapText="1"/>
    </x:xf>
    <x:xf numFmtId="2" fontId="12" fillId="8" borderId="43" xfId="0" applyNumberFormat="1" applyFont="1" applyFill="1" applyBorder="1" applyAlignment="1">
      <x:alignment vertical="center" wrapText="1"/>
    </x:xf>
    <x:xf numFmtId="165" fontId="12" fillId="8" borderId="43" xfId="0" applyNumberFormat="1" applyFont="1" applyFill="1" applyBorder="1" applyAlignment="1">
      <x:alignment vertical="center" wrapText="1"/>
    </x:xf>
    <x:xf numFmtId="167" fontId="12" fillId="8" borderId="44" xfId="0" applyNumberFormat="1" applyFont="1" applyFill="1" applyBorder="1" applyAlignment="1">
      <x:alignment vertical="center" wrapText="1"/>
    </x:xf>
    <x:xf numFmtId="0" fontId="11" fillId="7" borderId="20" xfId="0" applyFont="1" applyFill="1" applyBorder="1" applyAlignment="1">
      <x:alignment vertical="center" wrapText="1"/>
    </x:xf>
    <x:xf numFmtId="0" fontId="1" fillId="11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14" fillId="12" borderId="0" xfId="0" applyFont="1" applyFill="1" applyAlignment="1">
      <x:alignment wrapText="1"/>
    </x:xf>
    <x:xf numFmtId="165" fontId="14" fillId="12" borderId="0" xfId="0" applyNumberFormat="1" applyFont="1" applyFill="1" applyAlignment="1">
      <x:alignment wrapText="1"/>
    </x:xf>
    <x:xf numFmtId="167" fontId="14" fillId="12" borderId="0" xfId="0" applyNumberFormat="1" applyFont="1" applyFill="1" applyAlignment="1">
      <x:alignment wrapText="1"/>
    </x:xf>
    <x:xf numFmtId="0" fontId="5" fillId="13" borderId="0" xfId="0" applyFont="1" applyFill="1"/>
    <x:xf numFmtId="0" fontId="5" fillId="13" borderId="0" xfId="0" applyFont="1" applyFill="1" applyAlignment="1">
      <x:alignment wrapText="1"/>
    </x:xf>
    <x:xf numFmtId="2" fontId="5" fillId="13" borderId="0" xfId="0" applyNumberFormat="1" applyFont="1" applyFill="1" applyAlignment="1">
      <x:alignment wrapText="1"/>
    </x:xf>
    <x:xf numFmtId="1" fontId="5" fillId="13" borderId="0" xfId="0" applyNumberFormat="1" applyFont="1" applyFill="1" applyAlignment="1">
      <x:alignment wrapText="1"/>
    </x:xf>
    <x:xf numFmtId="165" fontId="5" fillId="13" borderId="0" xfId="0" applyNumberFormat="1" applyFont="1" applyFill="1"/>
    <x:xf numFmtId="165" fontId="5" fillId="13" borderId="0" xfId="0" applyNumberFormat="1" applyFont="1" applyFill="1" applyAlignment="1">
      <x:alignment wrapText="1"/>
    </x:xf>
    <x:xf numFmtId="0" fontId="1" fillId="14" borderId="0" xfId="0" applyFont="1" applyFill="1" applyAlignment="1">
      <x:alignment horizontal="center" vertical="center" wrapText="1"/>
    </x:xf>
    <x:xf numFmtId="0" fontId="1" fillId="14" borderId="0" xfId="0" applyFont="1" applyFill="1" applyAlignment="1">
      <x:alignment horizontal="center" vertical="top" wrapText="1"/>
    </x:xf>
    <x:xf numFmtId="0" fontId="15" fillId="15" borderId="0" xfId="0" applyFont="1" applyFill="1" applyAlignment="1">
      <x:alignment vertical="top" wrapText="1"/>
    </x:xf>
    <x:xf numFmtId="1" fontId="0" fillId="0" borderId="0" xfId="0" applyNumberFormat="1" applyAlignment="1">
      <x:alignment vertical="top" wrapText="1"/>
    </x:xf>
    <x:xf numFmtId="9" fontId="0" fillId="0" borderId="0" xfId="0" applyNumberFormat="1" applyAlignment="1">
      <x:alignment vertical="top" wrapText="1"/>
    </x:xf>
    <x:xf numFmtId="0" fontId="1" fillId="18" borderId="0" xfId="0" applyFont="1" applyFill="1" applyAlignment="1">
      <x:alignment horizontal="center" vertical="center" wrapText="1"/>
    </x:xf>
    <x:xf numFmtId="165" fontId="0" fillId="0" borderId="0" xfId="0" applyNumberFormat="1"/>
    <x:xf numFmtId="0" fontId="0" fillId="0" borderId="0" xfId="0" applyAlignment="1">
      <x:alignment vertical="top"/>
    </x:xf>
    <x:xf numFmtId="0" fontId="15" fillId="20" borderId="50" xfId="0" applyFont="1" applyFill="1" applyBorder="1" applyAlignment="1">
      <x:alignment vertical="top" wrapText="1"/>
    </x:xf>
    <x:xf numFmtId="165" fontId="0" fillId="21" borderId="0" xfId="0" applyNumberFormat="1" applyFill="1" applyAlignment="1">
      <x:alignment vertical="top" wrapText="1"/>
    </x:xf>
    <x:xf numFmtId="0" fontId="0" fillId="21" borderId="0" xfId="0" applyFill="1" applyAlignment="1">
      <x:alignment vertical="top" wrapText="1"/>
    </x:xf>
    <x:xf numFmtId="0" fontId="1" fillId="26" borderId="0" xfId="0" applyFont="1" applyFill="1" applyAlignment="1">
      <x:alignment horizontal="center" vertical="center" wrapText="1"/>
    </x:xf>
    <x:xf numFmtId="165" fontId="0" fillId="23" borderId="0" xfId="0" applyNumberFormat="1" applyFill="1" applyAlignment="1">
      <x:alignment vertical="top" wrapText="1"/>
    </x:xf>
    <x:xf numFmtId="10" fontId="0" fillId="0" borderId="0" xfId="0" applyNumberFormat="1" applyAlignment="1">
      <x:alignment vertical="top" wrapText="1"/>
    </x:xf>
    <x:xf numFmtId="166" fontId="0" fillId="0" borderId="0" xfId="0" applyNumberFormat="1" applyAlignment="1">
      <x:alignment vertical="top" wrapText="1"/>
    </x:xf>
    <x:xf numFmtId="2" fontId="0" fillId="23" borderId="0" xfId="0" applyNumberFormat="1" applyFill="1" applyAlignment="1">
      <x:alignment vertical="top" wrapText="1"/>
    </x:xf>
    <x:xf numFmtId="2" fontId="0" fillId="0" borderId="0" xfId="0" applyNumberFormat="1" applyAlignment="1">
      <x:alignment vertical="top" wrapText="1"/>
    </x:xf>
    <x:xf numFmtId="0" fontId="15" fillId="27" borderId="0" xfId="0" applyFont="1" applyFill="1" applyAlignment="1">
      <x:alignment vertical="top" wrapText="1"/>
    </x:xf>
    <x:xf numFmtId="0" fontId="21" fillId="27" borderId="0" xfId="0" applyFont="1" applyFill="1" applyAlignment="1">
      <x:alignment vertical="top" wrapText="1"/>
    </x:xf>
    <x:xf numFmtId="0" fontId="17" fillId="29" borderId="0" xfId="0" applyFont="1" applyFill="1"/>
    <x:xf numFmtId="0" fontId="2" fillId="2" borderId="0" xfId="0" applyFont="1" applyFill="1" applyAlignment="1">
      <x:alignment horizontal="left" vertical="center"/>
    </x:xf>
    <x:xf numFmtId="0" fontId="3" fillId="5" borderId="0" xfId="0" applyFont="1" applyFill="1" applyAlignment="1">
      <x:alignment vertical="center" wrapText="1"/>
    </x:xf>
    <x:xf numFmtId="0" fontId="3" fillId="10" borderId="0" xfId="0" applyFont="1" applyFill="1" applyAlignment="1">
      <x:alignment vertical="center" wrapText="1"/>
    </x:xf>
    <x:xf numFmtId="0" fontId="2" fillId="4" borderId="5" xfId="0" applyFont="1" applyFill="1" applyBorder="1" applyAlignment="1">
      <x:alignment vertical="center" wrapText="1"/>
    </x:xf>
    <x:xf numFmtId="0" fontId="2" fillId="4" borderId="6" xfId="0" applyFont="1" applyFill="1" applyBorder="1" applyAlignment="1">
      <x:alignment vertical="center" wrapText="1"/>
    </x:xf>
    <x:xf numFmtId="0" fontId="2" fillId="4" borderId="7" xfId="0" applyFont="1" applyFill="1" applyBorder="1" applyAlignment="1">
      <x:alignment vertical="center" wrapText="1"/>
    </x:xf>
    <x:xf numFmtId="0" fontId="3" fillId="3" borderId="0" xfId="0" applyFont="1" applyFill="1" applyAlignment="1">
      <x:alignment vertical="center" wrapText="1"/>
    </x:xf>
    <x:xf numFmtId="0" fontId="2" fillId="6" borderId="5" xfId="0" applyFont="1" applyFill="1" applyBorder="1" applyAlignment="1">
      <x:alignment vertical="center" wrapText="1"/>
    </x:xf>
    <x:xf numFmtId="0" fontId="2" fillId="6" borderId="6" xfId="0" applyFont="1" applyFill="1" applyBorder="1" applyAlignment="1">
      <x:alignment vertical="center" wrapText="1"/>
    </x:xf>
    <x:xf numFmtId="0" fontId="2" fillId="6" borderId="7" xfId="0" applyFont="1" applyFill="1" applyBorder="1" applyAlignment="1">
      <x:alignment vertical="center" wrapText="1"/>
    </x:xf>
    <x:xf numFmtId="0" fontId="3" fillId="9" borderId="0" xfId="0" applyFont="1" applyFill="1" applyAlignment="1">
      <x:alignment vertical="center" wrapText="1"/>
    </x:xf>
    <x:xf numFmtId="0" fontId="8" fillId="2" borderId="0" xfId="0" applyFont="1" applyFill="1" applyAlignment="1">
      <x:alignment horizontal="left" vertical="center"/>
    </x:xf>
    <x:xf numFmtId="0" fontId="9" fillId="3" borderId="0" xfId="0" applyFont="1" applyFill="1" applyAlignment="1">
      <x:alignment vertical="center" wrapText="1"/>
    </x:xf>
    <x:xf numFmtId="0" fontId="13" fillId="16" borderId="0" xfId="0" applyFont="1" applyFill="1" applyAlignment="1">
      <x:alignment vertical="center"/>
    </x:xf>
    <x:xf numFmtId="0" fontId="16" fillId="17" borderId="0" xfId="0" applyFont="1" applyFill="1" applyAlignment="1">
      <x:alignment wrapText="1"/>
    </x:xf>
    <x:xf numFmtId="0" fontId="18" fillId="22" borderId="0" xfId="0" applyFont="1" applyFill="1" applyAlignment="1">
      <x:alignment vertical="center" wrapText="1"/>
    </x:xf>
    <x:xf numFmtId="0" fontId="16" fillId="3" borderId="0" xfId="0" applyFont="1" applyFill="1" applyAlignment="1">
      <x:alignment wrapText="1"/>
    </x:xf>
    <x:xf numFmtId="0" fontId="13" fillId="19" borderId="0" xfId="0" applyFont="1" applyFill="1" applyAlignment="1">
      <x:alignment vertical="top" wrapText="1"/>
    </x:xf>
    <x:xf numFmtId="0" fontId="0" fillId="0" borderId="0" xfId="0" applyAlignment="1">
      <x:alignment vertical="top" wrapText="1"/>
    </x:xf>
    <x:xf numFmtId="0" fontId="19" fillId="24" borderId="0" xfId="0" applyFont="1" applyFill="1" applyAlignment="1">
      <x:alignment vertical="center"/>
    </x:xf>
    <x:xf numFmtId="0" fontId="20" fillId="25" borderId="0" xfId="0" applyFont="1" applyFill="1" applyAlignment="1">
      <x:alignment wrapText="1"/>
    </x:xf>
    <x:xf numFmtId="0" fontId="1" fillId="28" borderId="0" xfId="0" applyFont="1" applyFill="1" applyAlignment="1">
      <x:alignment vertical="center"/>
    </x:xf>
    <x:xf numFmtId="0" fontId="22" fillId="0" borderId="0" xfId="0" applyFont="1"/>
    <x:xf numFmtId="0" fontId="0" fillId="30" borderId="0" xfId="0" applyNumberFormat="1" applyFont="1" applyFill="1" applyBorder="1"/>
    <x:xf numFmtId="0" fontId="23" fillId="30" borderId="0" xfId="0" applyNumberFormat="1" applyFont="1" applyFill="1" applyBorder="1"/>
    <x:xf numFmtId="0" fontId="23" fillId="31" borderId="0" xfId="0" applyNumberFormat="1" applyFont="1" applyFill="1" applyBorder="1"/>
    <x:xf numFmtId="0" fontId="0" fillId="32" borderId="0" xfId="0" applyNumberFormat="1" applyFont="1" applyFill="1" applyBorder="1"/>
    <x:xf numFmtId="0" fontId="24" fillId="32" borderId="0" xfId="0" applyNumberFormat="1" applyFont="1" applyFill="1" applyBorder="1"/>
    <x:xf numFmtId="0" fontId="24" fillId="32" borderId="51" xfId="0" applyNumberFormat="1" applyFont="1" applyFill="1" applyBorder="1"/>
    <x:xf numFmtId="0" fontId="24" fillId="32" borderId="51" xfId="0" applyNumberFormat="1" applyFont="1" applyFill="1" applyBorder="1" applyAlignment="1">
      <x:alignment wrapText="1"/>
    </x:xf>
    <x:xf numFmtId="0" fontId="24" fillId="32" borderId="51" xfId="0" applyNumberFormat="1" applyFont="1" applyFill="1" applyBorder="1" applyAlignment="1">
      <x:alignment horizontal="center" wrapText="1"/>
    </x:xf>
    <x:xf numFmtId="0" fontId="24" fillId="32" borderId="51" xfId="0" applyNumberFormat="1" applyFont="1" applyFill="1" applyBorder="1" applyAlignment="1">
      <x:alignment horizontal="center" vertical="center" wrapText="1"/>
    </x:xf>
    <x:xf numFmtId="0" fontId="0" fillId="0" borderId="52" xfId="0" applyNumberFormat="1" applyFont="1" applyFill="1" applyBorder="1"/>
    <x:xf numFmtId="0" fontId="0" fillId="0" borderId="53" xfId="0" applyNumberFormat="1" applyFont="1" applyFill="1" applyBorder="1"/>
    <x:xf numFmtId="0" fontId="0" fillId="0" borderId="54" xfId="0" applyNumberFormat="1" applyFont="1" applyFill="1" applyBorder="1"/>
    <x:xf numFmtId="0" fontId="0" fillId="0" borderId="55" xfId="0" applyNumberFormat="1" applyFont="1" applyFill="1" applyBorder="1"/>
    <x:xf numFmtId="0" fontId="0" fillId="0" borderId="56" xfId="0" applyNumberFormat="1" applyFont="1" applyFill="1" applyBorder="1"/>
    <x:xf numFmtId="0" fontId="0" fillId="0" borderId="57" xfId="0" applyNumberFormat="1" applyFont="1" applyFill="1" applyBorder="1"/>
    <x:xf numFmtId="0" fontId="0" fillId="0" borderId="58" xfId="0" applyNumberFormat="1" applyFont="1" applyFill="1" applyBorder="1"/>
    <x:xf numFmtId="0" fontId="0" fillId="0" borderId="59" xfId="0" applyNumberFormat="1" applyFont="1" applyFill="1" applyBorder="1"/>
    <x:xf numFmtId="0" fontId="0" fillId="0" borderId="60" xfId="0" applyNumberFormat="1" applyFont="1" applyFill="1" applyBorder="1"/>
    <x:xf numFmtId="0" fontId="0" fillId="0" borderId="52" xfId="0" applyNumberFormat="1" applyFont="1" applyFill="1" applyBorder="1" applyAlignment="1">
      <x:alignment wrapText="1"/>
    </x:xf>
    <x:xf numFmtId="0" fontId="0" fillId="0" borderId="53" xfId="0" applyNumberFormat="1" applyFont="1" applyFill="1" applyBorder="1" applyAlignment="1">
      <x:alignment wrapText="1"/>
    </x:xf>
    <x:xf numFmtId="0" fontId="0" fillId="0" borderId="54" xfId="0" applyNumberFormat="1" applyFont="1" applyFill="1" applyBorder="1" applyAlignment="1">
      <x:alignment wrapText="1"/>
    </x:xf>
    <x:xf numFmtId="0" fontId="0" fillId="0" borderId="55" xfId="0" applyNumberFormat="1" applyFont="1" applyFill="1" applyBorder="1" applyAlignment="1">
      <x:alignment wrapText="1"/>
    </x:xf>
    <x:xf numFmtId="0" fontId="0" fillId="0" borderId="56" xfId="0" applyNumberFormat="1" applyFont="1" applyFill="1" applyBorder="1" applyAlignment="1">
      <x:alignment wrapText="1"/>
    </x:xf>
    <x:xf numFmtId="0" fontId="0" fillId="0" borderId="57" xfId="0" applyNumberFormat="1" applyFont="1" applyFill="1" applyBorder="1" applyAlignment="1">
      <x:alignment wrapText="1"/>
    </x:xf>
    <x:xf numFmtId="0" fontId="0" fillId="0" borderId="58" xfId="0" applyNumberFormat="1" applyFont="1" applyFill="1" applyBorder="1" applyAlignment="1">
      <x:alignment wrapText="1"/>
    </x:xf>
    <x:xf numFmtId="0" fontId="0" fillId="0" borderId="59" xfId="0" applyNumberFormat="1" applyFont="1" applyFill="1" applyBorder="1" applyAlignment="1">
      <x:alignment wrapText="1"/>
    </x:xf>
    <x:xf numFmtId="0" fontId="0" fillId="0" borderId="60" xfId="0" applyNumberFormat="1" applyFont="1" applyFill="1" applyBorder="1" applyAlignment="1">
      <x:alignment wrapText="1"/>
    </x:xf>
    <x:xf numFmtId="0" fontId="0" fillId="0" borderId="52" xfId="0" applyNumberFormat="1" applyFont="1" applyFill="1" applyBorder="1" applyAlignment="1">
      <x:alignment vertical="top" wrapText="1"/>
    </x:xf>
    <x:xf numFmtId="0" fontId="0" fillId="0" borderId="53" xfId="0" applyNumberFormat="1" applyFont="1" applyFill="1" applyBorder="1" applyAlignment="1">
      <x:alignment vertical="top" wrapText="1"/>
    </x:xf>
    <x:xf numFmtId="0" fontId="0" fillId="0" borderId="54" xfId="0" applyNumberFormat="1" applyFont="1" applyFill="1" applyBorder="1" applyAlignment="1">
      <x:alignment vertical="top" wrapText="1"/>
    </x:xf>
    <x:xf numFmtId="0" fontId="0" fillId="0" borderId="55" xfId="0" applyNumberFormat="1" applyFont="1" applyFill="1" applyBorder="1" applyAlignment="1">
      <x:alignment vertical="top" wrapText="1"/>
    </x:xf>
    <x:xf numFmtId="0" fontId="0" fillId="0" borderId="56" xfId="0" applyNumberFormat="1" applyFont="1" applyFill="1" applyBorder="1" applyAlignment="1">
      <x:alignment vertical="top" wrapText="1"/>
    </x:xf>
    <x:xf numFmtId="0" fontId="0" fillId="0" borderId="57" xfId="0" applyNumberFormat="1" applyFont="1" applyFill="1" applyBorder="1" applyAlignment="1">
      <x:alignment vertical="top" wrapText="1"/>
    </x:xf>
    <x:xf numFmtId="0" fontId="0" fillId="0" borderId="58" xfId="0" applyNumberFormat="1" applyFont="1" applyFill="1" applyBorder="1" applyAlignment="1">
      <x:alignment vertical="top" wrapText="1"/>
    </x:xf>
    <x:xf numFmtId="0" fontId="0" fillId="0" borderId="59" xfId="0" applyNumberFormat="1" applyFont="1" applyFill="1" applyBorder="1" applyAlignment="1">
      <x:alignment vertical="top" wrapText="1"/>
    </x:xf>
    <x:xf numFmtId="0" fontId="0" fillId="0" borderId="60" xfId="0" applyNumberFormat="1" applyFont="1" applyFill="1" applyBorder="1" applyAlignment="1">
      <x:alignment vertical="top" wrapText="1"/>
    </x:xf>
    <x:xf numFmtId="0" fontId="0" fillId="31" borderId="53" xfId="0" applyNumberFormat="1" applyFont="1" applyFill="1" applyBorder="1" applyAlignment="1">
      <x:alignment vertical="top" wrapText="1"/>
    </x:xf>
    <x:xf numFmtId="0" fontId="0" fillId="31" borderId="56" xfId="0" applyNumberFormat="1" applyFont="1" applyFill="1" applyBorder="1" applyAlignment="1">
      <x:alignment vertical="top" wrapText="1"/>
    </x:xf>
    <x:xf numFmtId="0" fontId="0" fillId="31" borderId="59" xfId="0" applyNumberFormat="1" applyFont="1" applyFill="1" applyBorder="1" applyAlignment="1">
      <x:alignment vertical="top" wrapText="1"/>
    </x:xf>
    <x:xf numFmtId="0" fontId="25" fillId="0" borderId="0" xfId="0" applyNumberFormat="1" applyFont="1" applyFill="1" applyBorder="1"/>
    <x:xf numFmtId="0" fontId="26" fillId="30" borderId="0" xfId="0" applyNumberFormat="1" applyFont="1" applyFill="1" applyBorder="1"/>
    <x:xf numFmtId="0" fontId="26" fillId="31" borderId="0" xfId="0" applyNumberFormat="1" applyFont="1" applyFill="1" applyBorder="1"/>
    <x:xf numFmtId="0" fontId="26" fillId="32" borderId="51" xfId="0" applyNumberFormat="1" applyFont="1" applyFill="1" applyBorder="1" applyAlignment="1">
      <x:alignment horizontal="center" vertical="center" wrapText="1"/>
    </x:xf>
    <x:xf numFmtId="0" fontId="25" fillId="0" borderId="52" xfId="0" applyNumberFormat="1" applyFont="1" applyFill="1" applyBorder="1" applyAlignment="1">
      <x:alignment vertical="top" wrapText="1"/>
    </x:xf>
    <x:xf numFmtId="0" fontId="25" fillId="0" borderId="53" xfId="0" applyNumberFormat="1" applyFont="1" applyFill="1" applyBorder="1" applyAlignment="1">
      <x:alignment vertical="top" wrapText="1"/>
    </x:xf>
    <x:xf numFmtId="0" fontId="25" fillId="31" borderId="53" xfId="0" applyNumberFormat="1" applyFont="1" applyFill="1" applyBorder="1" applyAlignment="1">
      <x:alignment vertical="top" wrapText="1"/>
    </x:xf>
    <x:xf numFmtId="0" fontId="25" fillId="0" borderId="54" xfId="0" applyNumberFormat="1" applyFont="1" applyFill="1" applyBorder="1" applyAlignment="1">
      <x:alignment vertical="top" wrapText="1"/>
    </x:xf>
    <x:xf numFmtId="0" fontId="25" fillId="0" borderId="55" xfId="0" applyNumberFormat="1" applyFont="1" applyFill="1" applyBorder="1" applyAlignment="1">
      <x:alignment vertical="top" wrapText="1"/>
    </x:xf>
    <x:xf numFmtId="0" fontId="25" fillId="0" borderId="56" xfId="0" applyNumberFormat="1" applyFont="1" applyFill="1" applyBorder="1" applyAlignment="1">
      <x:alignment vertical="top" wrapText="1"/>
    </x:xf>
    <x:xf numFmtId="0" fontId="25" fillId="31" borderId="56" xfId="0" applyNumberFormat="1" applyFont="1" applyFill="1" applyBorder="1" applyAlignment="1">
      <x:alignment vertical="top" wrapText="1"/>
    </x:xf>
    <x:xf numFmtId="0" fontId="25" fillId="0" borderId="57" xfId="0" applyNumberFormat="1" applyFont="1" applyFill="1" applyBorder="1" applyAlignment="1">
      <x:alignment vertical="top" wrapText="1"/>
    </x:xf>
    <x:xf numFmtId="0" fontId="25" fillId="0" borderId="58" xfId="0" applyNumberFormat="1" applyFont="1" applyFill="1" applyBorder="1" applyAlignment="1">
      <x:alignment vertical="top" wrapText="1"/>
    </x:xf>
    <x:xf numFmtId="0" fontId="25" fillId="0" borderId="59" xfId="0" applyNumberFormat="1" applyFont="1" applyFill="1" applyBorder="1" applyAlignment="1">
      <x:alignment vertical="top" wrapText="1"/>
    </x:xf>
    <x:xf numFmtId="0" fontId="25" fillId="31" borderId="59" xfId="0" applyNumberFormat="1" applyFont="1" applyFill="1" applyBorder="1" applyAlignment="1">
      <x:alignment vertical="top" wrapText="1"/>
    </x:xf>
    <x:xf numFmtId="0" fontId="25" fillId="0" borderId="60" xfId="0" applyNumberFormat="1" applyFont="1" applyFill="1" applyBorder="1" applyAlignment="1">
      <x:alignment vertical="top" wrapText="1"/>
    </x:xf>
    <x:xf numFmtId="0" fontId="25" fillId="33" borderId="0" xfId="0" applyNumberFormat="1" applyFont="1" applyFill="1" applyBorder="1"/>
    <x:xf numFmtId="0" fontId="27" fillId="33" borderId="0" xfId="0" applyNumberFormat="1" applyFont="1" applyFill="1" applyBorder="1"/>
    <x:xf numFmtId="0" fontId="25" fillId="34" borderId="0" xfId="0" applyNumberFormat="1" applyFont="1" applyFill="1" applyBorder="1"/>
    <x:xf numFmtId="0" fontId="28" fillId="34" borderId="0" xfId="0" applyNumberFormat="1" applyFont="1" applyFill="1" applyBorder="1"/>
    <x:xf numFmtId="0" fontId="28" fillId="34" borderId="0" xfId="0" applyNumberFormat="1" applyFont="1" applyFill="1" applyBorder="1" applyAlignment="1">
      <x:alignment wrapText="1"/>
    </x:xf>
    <x:xf numFmtId="0" fontId="24" fillId="32" borderId="0" xfId="0" applyNumberFormat="1" applyFont="1" applyFill="1" applyBorder="1" applyAlignment="1">
      <x:alignment wrapText="1"/>
    </x:xf>
    <x:xf numFmtId="0" fontId="24" fillId="32" borderId="0" xfId="0" applyNumberFormat="1" applyFont="1" applyFill="1" applyBorder="1" applyAlignment="1">
      <x:alignment horizontal="center" wrapText="1"/>
    </x:xf>
    <x:xf numFmtId="0" fontId="26" fillId="32" borderId="0" xfId="0" applyNumberFormat="1" applyFont="1" applyFill="1" applyBorder="1" applyAlignment="1">
      <x:alignment horizontal="center" wrapText="1"/>
    </x:xf>
    <x:xf numFmtId="0" fontId="25" fillId="0" borderId="52" xfId="0" applyNumberFormat="1" applyFont="1" applyFill="1" applyBorder="1"/>
    <x:xf numFmtId="0" fontId="25" fillId="0" borderId="53" xfId="0" applyNumberFormat="1" applyFont="1" applyFill="1" applyBorder="1"/>
    <x:xf numFmtId="0" fontId="25" fillId="0" borderId="54" xfId="0" applyNumberFormat="1" applyFont="1" applyFill="1" applyBorder="1"/>
    <x:xf numFmtId="0" fontId="25" fillId="0" borderId="55" xfId="0" applyNumberFormat="1" applyFont="1" applyFill="1" applyBorder="1"/>
    <x:xf numFmtId="0" fontId="25" fillId="0" borderId="56" xfId="0" applyNumberFormat="1" applyFont="1" applyFill="1" applyBorder="1"/>
    <x:xf numFmtId="0" fontId="25" fillId="0" borderId="57" xfId="0" applyNumberFormat="1" applyFont="1" applyFill="1" applyBorder="1"/>
    <x:xf numFmtId="0" fontId="25" fillId="0" borderId="58" xfId="0" applyNumberFormat="1" applyFont="1" applyFill="1" applyBorder="1"/>
    <x:xf numFmtId="0" fontId="25" fillId="0" borderId="59" xfId="0" applyNumberFormat="1" applyFont="1" applyFill="1" applyBorder="1"/>
    <x:xf numFmtId="0" fontId="25" fillId="0" borderId="60" xfId="0" applyNumberFormat="1" applyFont="1" applyFill="1" applyBorder="1"/>
    <x:xf numFmtId="0" fontId="25" fillId="0" borderId="52" xfId="0" applyNumberFormat="1" applyFont="1" applyFill="1" applyBorder="1" applyAlignment="1">
      <x:alignment wrapText="1"/>
    </x:xf>
    <x:xf numFmtId="0" fontId="25" fillId="0" borderId="53" xfId="0" applyNumberFormat="1" applyFont="1" applyFill="1" applyBorder="1" applyAlignment="1">
      <x:alignment wrapText="1"/>
    </x:xf>
    <x:xf numFmtId="0" fontId="25" fillId="0" borderId="54" xfId="0" applyNumberFormat="1" applyFont="1" applyFill="1" applyBorder="1" applyAlignment="1">
      <x:alignment wrapText="1"/>
    </x:xf>
    <x:xf numFmtId="0" fontId="25" fillId="0" borderId="55" xfId="0" applyNumberFormat="1" applyFont="1" applyFill="1" applyBorder="1" applyAlignment="1">
      <x:alignment wrapText="1"/>
    </x:xf>
    <x:xf numFmtId="0" fontId="25" fillId="0" borderId="56" xfId="0" applyNumberFormat="1" applyFont="1" applyFill="1" applyBorder="1" applyAlignment="1">
      <x:alignment wrapText="1"/>
    </x:xf>
    <x:xf numFmtId="0" fontId="25" fillId="0" borderId="57" xfId="0" applyNumberFormat="1" applyFont="1" applyFill="1" applyBorder="1" applyAlignment="1">
      <x:alignment wrapText="1"/>
    </x:xf>
    <x:xf numFmtId="0" fontId="25" fillId="0" borderId="58" xfId="0" applyNumberFormat="1" applyFont="1" applyFill="1" applyBorder="1" applyAlignment="1">
      <x:alignment wrapText="1"/>
    </x:xf>
    <x:xf numFmtId="0" fontId="25" fillId="0" borderId="59" xfId="0" applyNumberFormat="1" applyFont="1" applyFill="1" applyBorder="1" applyAlignment="1">
      <x:alignment wrapText="1"/>
    </x:xf>
    <x:xf numFmtId="0" fontId="25" fillId="0" borderId="60" xfId="0" applyNumberFormat="1" applyFont="1" applyFill="1" applyBorder="1" applyAlignment="1">
      <x:alignment wrapText="1"/>
    </x:xf>
    <x:xf numFmtId="0" fontId="24" fillId="32" borderId="0" xfId="0" applyNumberFormat="1" applyFont="1" applyFill="1" applyBorder="1" applyAlignment="1">
      <x:alignment horizontal="center"/>
    </x:xf>
    <x:xf numFmtId="0" fontId="26" fillId="32" borderId="0" xfId="0" applyNumberFormat="1" applyFont="1" applyFill="1" applyBorder="1" applyAlignment="1">
      <x:alignment horizontal="center"/>
    </x:xf>
    <x:xf numFmtId="0" fontId="25" fillId="0" borderId="52" xfId="0" applyNumberFormat="1" applyFont="1" applyFill="1" applyBorder="1" applyAlignment="1">
      <x:alignment vertical="center" wrapText="1"/>
    </x:xf>
    <x:xf numFmtId="0" fontId="25" fillId="0" borderId="53" xfId="0" applyNumberFormat="1" applyFont="1" applyFill="1" applyBorder="1" applyAlignment="1">
      <x:alignment vertical="center" wrapText="1"/>
    </x:xf>
    <x:xf numFmtId="0" fontId="25" fillId="0" borderId="54" xfId="0" applyNumberFormat="1" applyFont="1" applyFill="1" applyBorder="1" applyAlignment="1">
      <x:alignment vertical="center" wrapText="1"/>
    </x:xf>
    <x:xf numFmtId="0" fontId="25" fillId="0" borderId="55" xfId="0" applyNumberFormat="1" applyFont="1" applyFill="1" applyBorder="1" applyAlignment="1">
      <x:alignment vertical="center" wrapText="1"/>
    </x:xf>
    <x:xf numFmtId="0" fontId="25" fillId="0" borderId="56" xfId="0" applyNumberFormat="1" applyFont="1" applyFill="1" applyBorder="1" applyAlignment="1">
      <x:alignment vertical="center" wrapText="1"/>
    </x:xf>
    <x:xf numFmtId="0" fontId="25" fillId="0" borderId="57" xfId="0" applyNumberFormat="1" applyFont="1" applyFill="1" applyBorder="1" applyAlignment="1">
      <x:alignment vertical="center" wrapText="1"/>
    </x:xf>
    <x:xf numFmtId="0" fontId="25" fillId="0" borderId="58" xfId="0" applyNumberFormat="1" applyFont="1" applyFill="1" applyBorder="1" applyAlignment="1">
      <x:alignment vertical="center" wrapText="1"/>
    </x:xf>
    <x:xf numFmtId="0" fontId="25" fillId="0" borderId="59" xfId="0" applyNumberFormat="1" applyFont="1" applyFill="1" applyBorder="1" applyAlignment="1">
      <x:alignment vertical="center" wrapText="1"/>
    </x:xf>
    <x:xf numFmtId="0" fontId="25" fillId="0" borderId="60" xfId="0" applyNumberFormat="1" applyFont="1" applyFill="1" applyBorder="1" applyAlignment="1">
      <x:alignment vertical="center" wrapText="1"/>
    </x:xf>
    <x:xf numFmtId="0" fontId="25" fillId="35" borderId="56" xfId="0" applyNumberFormat="1" applyFont="1" applyFill="1" applyBorder="1" applyAlignment="1">
      <x:alignment vertical="center" wrapText="1"/>
    </x:xf>
    <x:xf numFmtId="0" fontId="26" fillId="35" borderId="56" xfId="0" applyNumberFormat="1" applyFont="1" applyFill="1" applyBorder="1" applyAlignment="1">
      <x:alignment vertical="center" wrapText="1"/>
    </x:xf>
    <x:xf numFmtId="0" fontId="0" fillId="33" borderId="0" xfId="0" applyNumberFormat="1" applyFont="1" applyFill="1" applyBorder="1"/>
    <x:xf numFmtId="0" fontId="29" fillId="33" borderId="0" xfId="0" applyNumberFormat="1" applyFont="1" applyFill="1" applyBorder="1"/>
    <x:xf numFmtId="0" fontId="30" fillId="0" borderId="0" xfId="0" applyNumberFormat="1" applyFont="1" applyFill="1" applyBorder="1"/>
    <x:xf numFmtId="0" fontId="30" fillId="0" borderId="52" xfId="0" applyNumberFormat="1" applyFont="1" applyFill="1" applyBorder="1"/>
    <x:xf numFmtId="0" fontId="30" fillId="0" borderId="53" xfId="0" applyNumberFormat="1" applyFont="1" applyFill="1" applyBorder="1"/>
    <x:xf numFmtId="0" fontId="30" fillId="0" borderId="54" xfId="0" applyNumberFormat="1" applyFont="1" applyFill="1" applyBorder="1"/>
    <x:xf numFmtId="0" fontId="30" fillId="0" borderId="55" xfId="0" applyNumberFormat="1" applyFont="1" applyFill="1" applyBorder="1"/>
    <x:xf numFmtId="0" fontId="30" fillId="0" borderId="56" xfId="0" applyNumberFormat="1" applyFont="1" applyFill="1" applyBorder="1"/>
    <x:xf numFmtId="0" fontId="30" fillId="0" borderId="57" xfId="0" applyNumberFormat="1" applyFont="1" applyFill="1" applyBorder="1"/>
    <x:xf numFmtId="0" fontId="30" fillId="0" borderId="58" xfId="0" applyNumberFormat="1" applyFont="1" applyFill="1" applyBorder="1"/>
    <x:xf numFmtId="0" fontId="30" fillId="0" borderId="59" xfId="0" applyNumberFormat="1" applyFont="1" applyFill="1" applyBorder="1"/>
    <x:xf numFmtId="0" fontId="30" fillId="0" borderId="60" xfId="0" applyNumberFormat="1" applyFont="1" applyFill="1" applyBorder="1"/>
    <x:xf numFmtId="0" fontId="30" fillId="0" borderId="52" xfId="0" applyNumberFormat="1" applyFont="1" applyFill="1" applyBorder="1" applyAlignment="1">
      <x:alignment wrapText="1"/>
    </x:xf>
    <x:xf numFmtId="0" fontId="30" fillId="0" borderId="53" xfId="0" applyNumberFormat="1" applyFont="1" applyFill="1" applyBorder="1" applyAlignment="1">
      <x:alignment wrapText="1"/>
    </x:xf>
    <x:xf numFmtId="0" fontId="30" fillId="0" borderId="54" xfId="0" applyNumberFormat="1" applyFont="1" applyFill="1" applyBorder="1" applyAlignment="1">
      <x:alignment wrapText="1"/>
    </x:xf>
    <x:xf numFmtId="0" fontId="30" fillId="0" borderId="55" xfId="0" applyNumberFormat="1" applyFont="1" applyFill="1" applyBorder="1" applyAlignment="1">
      <x:alignment wrapText="1"/>
    </x:xf>
    <x:xf numFmtId="0" fontId="30" fillId="0" borderId="56" xfId="0" applyNumberFormat="1" applyFont="1" applyFill="1" applyBorder="1" applyAlignment="1">
      <x:alignment wrapText="1"/>
    </x:xf>
    <x:xf numFmtId="0" fontId="30" fillId="0" borderId="57" xfId="0" applyNumberFormat="1" applyFont="1" applyFill="1" applyBorder="1" applyAlignment="1">
      <x:alignment wrapText="1"/>
    </x:xf>
    <x:xf numFmtId="0" fontId="30" fillId="0" borderId="58" xfId="0" applyNumberFormat="1" applyFont="1" applyFill="1" applyBorder="1" applyAlignment="1">
      <x:alignment wrapText="1"/>
    </x:xf>
    <x:xf numFmtId="0" fontId="30" fillId="0" borderId="59" xfId="0" applyNumberFormat="1" applyFont="1" applyFill="1" applyBorder="1" applyAlignment="1">
      <x:alignment wrapText="1"/>
    </x:xf>
    <x:xf numFmtId="0" fontId="30" fillId="0" borderId="60" xfId="0" applyNumberFormat="1" applyFont="1" applyFill="1" applyBorder="1" applyAlignment="1">
      <x:alignment wrapText="1"/>
    </x:xf>
    <x:xf numFmtId="200" fontId="7" fillId="8" borderId="48" xfId="0" applyNumberFormat="1" applyFont="1" applyFill="1" applyBorder="1" applyAlignment="1">
      <x:alignment vertical="center" wrapText="1"/>
    </x:xf>
    <x:xf numFmtId="166" fontId="7" fillId="8" borderId="48" xfId="0" applyNumberFormat="1" applyFont="1" applyFill="1" applyBorder="1" applyAlignment="1">
      <x:alignment vertical="center" wrapText="1"/>
    </x:xf>
    <x:xf numFmtId="200" fontId="7" fillId="8" borderId="38" xfId="0" applyNumberFormat="1" applyFont="1" applyFill="1" applyBorder="1" applyAlignment="1">
      <x:alignment vertical="center" wrapText="1"/>
    </x:xf>
    <x:xf numFmtId="200" fontId="7" fillId="8" borderId="6" xfId="0" applyNumberFormat="1" applyFont="1" applyFill="1" applyBorder="1" applyAlignment="1">
      <x:alignment vertical="center" wrapText="1"/>
    </x:xf>
    <x:xf numFmtId="200" fontId="7" fillId="8" borderId="43" xfId="0" applyNumberFormat="1" applyFont="1" applyFill="1" applyBorder="1" applyAlignment="1">
      <x:alignment vertical="center" wrapText="1"/>
    </x:xf>
    <x:xf numFmtId="166" fontId="7" fillId="8" borderId="38" xfId="0" applyNumberFormat="1" applyFont="1" applyFill="1" applyBorder="1" applyAlignment="1">
      <x:alignment vertical="center" wrapText="1"/>
    </x:xf>
    <x:xf numFmtId="166" fontId="7" fillId="8" borderId="6" xfId="0" applyNumberFormat="1" applyFont="1" applyFill="1" applyBorder="1" applyAlignment="1">
      <x:alignment vertical="center" wrapText="1"/>
    </x:xf>
    <x:xf numFmtId="166" fontId="7" fillId="8" borderId="4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7" fillId="8" borderId="37" xfId="0" applyNumberFormat="1" applyFont="1" applyFill="1" applyBorder="1" applyAlignment="1">
      <x:alignment vertical="center" wrapText="1"/>
    </x:xf>
    <x:xf numFmtId="0" fontId="7" fillId="8" borderId="38" xfId="0" applyNumberFormat="1" applyFont="1" applyFill="1" applyBorder="1" applyAlignment="1">
      <x:alignment vertical="center" wrapText="1"/>
    </x:xf>
    <x:xf numFmtId="0" fontId="7" fillId="8" borderId="39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7" fillId="8" borderId="40" xfId="0" applyNumberFormat="1" applyFont="1" applyFill="1" applyBorder="1" applyAlignment="1">
      <x:alignment vertical="center" wrapText="1"/>
    </x:xf>
    <x:xf numFmtId="0" fontId="7" fillId="8" borderId="6" xfId="0" applyNumberFormat="1" applyFont="1" applyFill="1" applyBorder="1" applyAlignment="1">
      <x:alignment vertical="center" wrapText="1"/>
    </x:xf>
    <x:xf numFmtId="0" fontId="7" fillId="8" borderId="41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7" fillId="8" borderId="42" xfId="0" applyNumberFormat="1" applyFont="1" applyFill="1" applyBorder="1" applyAlignment="1">
      <x:alignment vertical="center" wrapText="1"/>
    </x:xf>
    <x:xf numFmtId="0" fontId="7" fillId="8" borderId="43" xfId="0" applyNumberFormat="1" applyFont="1" applyFill="1" applyBorder="1" applyAlignment="1">
      <x:alignment vertical="center" wrapText="1"/>
    </x:xf>
    <x:xf numFmtId="0" fontId="7" fillId="8" borderId="44" xfId="0" applyNumberFormat="1" applyFont="1" applyFill="1" applyBorder="1" applyAlignment="1">
      <x:alignment vertical="center" wrapText="1"/>
    </x:xf>
    <x:xf numFmtId="0" fontId="19" fillId="15" borderId="0" xfId="0" applyNumberFormat="1" applyFont="1" applyFill="1" applyBorder="1" applyAlignment="1">
      <x:alignment vertical="center"/>
    </x:xf>
    <x:xf numFmtId="0" fontId="20" fillId="2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1" fillId="1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10" fontId="0" fillId="0" borderId="0" xfId="0" applyNumberFormat="1" applyFont="1" applyFill="1" applyBorder="1" applyAlignment="1">
      <x:alignment vertical="center" wrapText="1"/>
    </x:xf>
    <x:xf numFmtId="2" fontId="0" fillId="0" borderId="0" xfId="0" applyNumberFormat="1" applyFont="1" applyFill="1" applyBorder="1" applyAlignment="1">
      <x:alignment vertical="center" wrapText="1"/>
    </x:xf>
    <x:xf numFmtId="166" fontId="0" fillId="0" borderId="0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/>
    <x:xf numFmtId="0" fontId="1" fillId="36" borderId="0" xfId="0" applyNumberFormat="1" applyFont="1" applyFill="1" applyBorder="1"/>
    <x:xf numFmtId="0" fontId="1" fillId="36" borderId="0" xfId="0" applyNumberFormat="1" applyFont="1" applyFill="1" applyBorder="1" applyAlignment="1">
      <x:alignment wrapText="1"/>
    </x:xf>
    <x:xf numFmtId="0" fontId="0" fillId="37" borderId="0" xfId="0" applyNumberFormat="1" applyFont="1" applyFill="1" applyBorder="1"/>
    <x:xf numFmtId="201" fontId="0" fillId="37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37" borderId="0" xfId="0" applyNumberFormat="1" applyFont="1" applyFill="1" applyBorder="1" applyAlignment="1">
      <x:alignment wrapText="1"/>
    </x:xf>
    <x:xf numFmtId="201" fontId="0" fillId="37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 applyAlignment="1">
      <x:alignment wrapText="1"/>
    </x:xf>
    <x:xf numFmtId="0" fontId="7" fillId="8" borderId="49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5" fillId="15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vertical="top" wrapText="1"/>
    </x:xf>
    <x:xf numFmtId="0" fontId="21" fillId="3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166" fontId="0" fillId="0" borderId="0" xfId="0" applyNumberFormat="1" applyFont="1" applyFill="1" applyBorder="1" applyAlignment="1">
      <x:alignment vertical="top" wrapText="1"/>
    </x:xf>
    <x:xf numFmtId="166" fontId="15" fillId="15" borderId="0" xfId="0" applyNumberFormat="1" applyFont="1" applyFill="1" applyBorder="1" applyAlignment="1">
      <x:alignment vertical="top" wrapText="1"/>
    </x:xf>
    <x:xf numFmtId="0" fontId="28" fillId="7" borderId="0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2">
    <x:dxf>
      <x:font>
        <x:b/>
        <x:color rgb="FF385723"/>
      </x:font>
      <x:fill>
        <x:patternFill>
          <x:bgColor rgb="FFE2F0D9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385723"/>
      </x:font>
      <x:fill>
        <x:patternFill>
          <x:bgColor rgb="FFE2F0D9"/>
        </x:patternFill>
      </x:fill>
    </x:dxf>
    <x:dxf>
      <x:font>
        <x:color rgb="FF666666"/>
      </x:font>
      <x:fill>
        <x:patternFill>
          <x:bgColor rgb="FFF2F2F2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385723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385723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385723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3857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65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EFDA"/>
        </x:patternFill>
      </x:fill>
    </x:dxf>
    <x:dxf>
      <x:font>
        <x:color rgb="FF375623"/>
      </x:font>
      <x:fill>
        <x:patternFill patternType="solid">
          <x:bgColor rgb="FFE2EFDA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adeb8a47e14eef" /><Relationship Type="http://schemas.openxmlformats.org/officeDocument/2006/relationships/theme" Target="/xl/theme/theme1.xml" Id="Rdbc55c7caf2d407e" /><Relationship Type="http://schemas.openxmlformats.org/officeDocument/2006/relationships/sharedStrings" Target="/xl/sharedStrings.xml" Id="R1821e0da766047c2" /><Relationship Type="http://schemas.openxmlformats.org/officeDocument/2006/relationships/worksheet" Target="/xl/worksheets/sheet1.xml" Id="Reb945f77a42a412f" /><Relationship Type="http://schemas.openxmlformats.org/officeDocument/2006/relationships/worksheet" Target="/xl/worksheets/sheet2.xml" Id="R2a68ffcf49644155" /><Relationship Type="http://schemas.openxmlformats.org/officeDocument/2006/relationships/worksheet" Target="/xl/worksheets/sheet3.xml" Id="R06d1e3d3e8dd4aa9" /><Relationship Type="http://schemas.openxmlformats.org/officeDocument/2006/relationships/worksheet" Target="/xl/worksheets/sheet4.xml" Id="R0193a3e8c7614829" /><Relationship Type="http://schemas.openxmlformats.org/officeDocument/2006/relationships/worksheet" Target="/xl/worksheets/sheet5.xml" Id="Ree55456e90a342a3" /><Relationship Type="http://schemas.openxmlformats.org/officeDocument/2006/relationships/worksheet" Target="/xl/worksheets/sheet6.xml" Id="R266b2bc99e0447c9" /><Relationship Type="http://schemas.openxmlformats.org/officeDocument/2006/relationships/worksheet" Target="/xl/worksheets/sheet7.xml" Id="R3e94d2cd77684fbc" /><Relationship Type="http://schemas.openxmlformats.org/officeDocument/2006/relationships/worksheet" Target="/xl/worksheets/sheet8.xml" Id="R4b9936b309474b49" /><Relationship Type="http://schemas.openxmlformats.org/officeDocument/2006/relationships/worksheet" Target="/xl/worksheets/sheet9.xml" Id="Rfe4e9c84060b44f5" /><Relationship Type="http://schemas.openxmlformats.org/officeDocument/2006/relationships/worksheet" Target="/xl/worksheets/sheet10.xml" Id="Rfa67cf96f1f84b7e" /><Relationship Type="http://schemas.openxmlformats.org/officeDocument/2006/relationships/worksheet" Target="/xl/worksheets/sheet11.xml" Id="R8c6d868aa1cf4624" /><Relationship Type="http://schemas.openxmlformats.org/officeDocument/2006/relationships/worksheet" Target="/xl/worksheets/sheet12.xml" Id="R753ed877d5e84d00" /><Relationship Type="http://schemas.openxmlformats.org/officeDocument/2006/relationships/worksheet" Target="/xl/worksheets/sheet13.xml" Id="Rbae56c0e39334220" /><Relationship Type="http://schemas.openxmlformats.org/officeDocument/2006/relationships/worksheet" Target="/xl/worksheets/sheet14.xml" Id="R243b8946d8b746e2" /><Relationship Type="http://schemas.openxmlformats.org/officeDocument/2006/relationships/worksheet" Target="/xl/worksheets/sheet15.xml" Id="Rd8613bc32f594bda" /><Relationship Type="http://schemas.openxmlformats.org/officeDocument/2006/relationships/worksheet" Target="/xl/worksheets/sheet16.xml" Id="R21d1f604fcab48dd" /><Relationship Type="http://schemas.openxmlformats.org/officeDocument/2006/relationships/worksheet" Target="/xl/worksheets/sheet17.xml" Id="Rc779943779cb49f4" /><Relationship Type="http://schemas.openxmlformats.org/officeDocument/2006/relationships/worksheet" Target="/xl/worksheets/sheet18.xml" Id="R9615a2bdea984811" /><Relationship Type="http://schemas.openxmlformats.org/officeDocument/2006/relationships/worksheet" Target="/xl/worksheets/sheet19.xml" Id="R169ac449fd824d88" /><Relationship Type="http://schemas.openxmlformats.org/officeDocument/2006/relationships/worksheet" Target="/xl/worksheets/sheet20.xml" Id="Rdbdb64db2f254b2c" /><Relationship Type="http://schemas.openxmlformats.org/officeDocument/2006/relationships/worksheet" Target="/xl/worksheets/sheet21.xml" Id="Re4a2e28196a2457f" /><Relationship Type="http://schemas.openxmlformats.org/officeDocument/2006/relationships/worksheet" Target="/xl/worksheets/sheet22.xml" Id="Rfdf15d15ecf545c7" /><Relationship Type="http://schemas.openxmlformats.org/officeDocument/2006/relationships/worksheet" Target="/xl/worksheets/sheet23.xml" Id="R960671621c8e4d3c" /><Relationship Type="http://schemas.openxmlformats.org/officeDocument/2006/relationships/worksheet" Target="/xl/worksheets/sheet24.xml" Id="Re93857b753d74049" /><Relationship Type="http://schemas.openxmlformats.org/officeDocument/2006/relationships/worksheet" Target="/xl/worksheets/sheet25.xml" Id="R683699a9599f4772" /><Relationship Type="http://schemas.openxmlformats.org/officeDocument/2006/relationships/worksheet" Target="/xl/worksheets/sheet26.xml" Id="R5f414ab71fde4cef" /><Relationship Type="http://schemas.openxmlformats.org/officeDocument/2006/relationships/worksheet" Target="/xl/worksheets/sheet27.xml" Id="R7557b6fca3624577" /><Relationship Type="http://schemas.openxmlformats.org/officeDocument/2006/relationships/worksheet" Target="/xl/worksheets/sheet28.xml" Id="R9bc300bec0934901" /><Relationship Type="http://schemas.openxmlformats.org/officeDocument/2006/relationships/worksheet" Target="/xl/worksheets/sheet29.xml" Id="R6225e5fcd4724b00" /><Relationship Type="http://schemas.openxmlformats.org/officeDocument/2006/relationships/worksheet" Target="/xl/worksheets/sheet30.xml" Id="R18aa970dae0e440f" /><Relationship Type="http://schemas.microsoft.com/office/2017/10/relationships/person" Target="/xl/persons/person.xml" Id="Rfd8f18fa174142d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d6c91fe45524567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Distribuția estimată a totalului de cartonașe</a:t>
            </a:r>
          </a:p>
        </c:rich>
      </c:tx>
      <c:overlay val="1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Probabilitate total</c:v>
          </c:tx>
          <c:cat>
            <c:strRef>
              <c:f>Dashboard!$A$32:$A$43</c:f>
              <c:strCach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11+</c:v>
                </c:pt>
              </c:strCache>
            </c:strRef>
          </c:cat>
          <c:val>
            <c:numRef>
              <c:f>Dashboard!$B$32:$B$43</c:f>
              <c:numCache>
                <c:formatCode>0.0%</c:formatCode>
                <c:ptCount val="12"/>
                <c:pt idx="0">
                  <c:v>0.0036103123625543273</c:v>
                </c:pt>
                <c:pt idx="1">
                  <c:v>0.020304255864737816</c:v>
                </c:pt>
                <c:pt idx="2">
                  <c:v>0.057095171389693895</c:v>
                </c:pt>
                <c:pt idx="3">
                  <c:v>0.10703367207791092</c:v>
                </c:pt>
                <c:pt idx="4">
                  <c:v>0.15048829891790594</c:v>
                </c:pt>
                <c:pt idx="5">
                  <c:v>0.16926806431322078</c:v>
                </c:pt>
                <c:pt idx="6">
                  <c:v>0.15865949823765949</c:v>
                </c:pt>
                <c:pt idx="7">
                  <c:v>0.12747068967537614</c:v>
                </c:pt>
                <c:pt idx="8">
                  <c:v>0.08961127315699417</c:v>
                </c:pt>
                <c:pt idx="9">
                  <c:v>0.05599670043376697</c:v>
                </c:pt>
                <c:pt idx="10">
                  <c:v>0.03149232584362486</c:v>
                </c:pt>
                <c:pt idx="11">
                  <c:v>0.028969737726554867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6c91fe4552456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5</xdr:col>
      <xdr:colOff>228600</xdr:colOff>
      <xdr:row>50</xdr:row>
      <xdr:rowOff>142875</xdr:rowOff>
    </xdr:to>
    <xdr:sp>
      <xdr:nvSpPr>
        <xdr:cNvPr id="1" name="Text Box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000" cy="9525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6</xdr:col>
      <xdr:colOff>533400</xdr:colOff>
      <xdr:row>51</xdr:row>
      <xdr:rowOff>123825</xdr:rowOff>
    </xdr:to>
    <xdr:sp>
      <xdr:nvSpPr>
        <xdr:cNvPr id="1" name="Text 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000" cy="9525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533400</xdr:colOff>
      <xdr:row>51</xdr:row>
      <xdr:rowOff>123825</xdr:rowOff>
    </xdr:to>
    <xdr:sp>
      <xdr:nvSpPr>
        <xdr:cNvPr id="2" name="Text 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000" cy="9525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alex" id="{7C7A7C0D-D184-4195-AB52-B1DE92AC85A9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E15" dT="2026-09-02T18:26:58.139" personId="{7C7A7C0D-D184-4195-AB52-B1DE92AC85A9}" id="{418E52D8-120E-48F2-B908-CC58997CBA64}">
    <xltc:text>P0: confirmă regula direct pe pagina casei înainte de fiecare analiză.</xltc:text>
  </xltc:threadedComment>
  <xltc:threadedComment ref="E29" dT="2026-09-02T18:26:58.14" personId="{7C7A7C0D-D184-4195-AB52-B1DE92AC85A9}" id="{CE7790A4-AC9B-400A-9D28-093B0C250F6E}">
    <xltc:text>D = Varianță/Medie, calculat pe aceeași unitate de decontare și pe meciuri comparabile.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E55" dT="2026-09-02T18:26:58.14" personId="{7C7A7C0D-D184-4195-AB52-B1DE92AC85A9}" id="{70B1D0D1-232F-4C27-BF61-53FC85B64147}">
    <xltc:text>Modelul se alege automat: binomial moment-matched / Poisson / negativ binomial.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4017be5af0246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357acbbe7ab447fe" /><Relationship Type="http://schemas.openxmlformats.org/officeDocument/2006/relationships/vmlDrawing" Target="/xl/drawings/vmldrawing.vml" Id="R12f88a3aae3b4186" /><Relationship Type="http://schemas.microsoft.com/office/2017/10/relationships/threadedComment" Target="/xl/threadedcomments/threadedcomment.xml" Id="R9840a3f2ac884d5c" /><Relationship Type="http://schemas.openxmlformats.org/officeDocument/2006/relationships/drawing" Target="/xl/drawings/drawing2.xml" Id="R638bac509a824b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89c8ebaba13f4536" /><Relationship Type="http://schemas.openxmlformats.org/officeDocument/2006/relationships/vmlDrawing" Target="/xl/drawings/vmldrawing2.vml" Id="Rf31065766473408d" /><Relationship Type="http://schemas.microsoft.com/office/2017/10/relationships/threadedComment" Target="/xl/threadedcomments/threadedcomment2.xml" Id="R9471f291460e42e3" /><Relationship Type="http://schemas.openxmlformats.org/officeDocument/2006/relationships/drawing" Target="/xl/drawings/drawing3.xml" Id="Ra842ca1d8f3645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7" customWidth="1"/>
    <x:col min="2" max="2" width="24" customWidth="1"/>
    <x:col min="3" max="3" width="17" customWidth="1"/>
    <x:col min="4" max="4" width="31" customWidth="1"/>
    <x:col min="5" max="5" width="3" customWidth="1"/>
    <x:col min="6" max="13" width="14" customWidth="1"/>
  </x:cols>
  <x:sheetData>
    <x:row r="1" ht="27.950000762939453" customHeight="1">
      <x:c r="A1" s="190" t="str">
        <x:v>CARTONAȘE MULTI-LINE OPTIMIZAT V4 – SCOR ESTIMATIV</x:v>
      </x:c>
      <x:c r="B1" s="190"/>
      <x:c r="C1" s="190"/>
      <x:c r="D1" s="190"/>
      <x:c r="E1" s="190"/>
      <x:c r="F1" s="190"/>
      <x:c r="G1" s="190"/>
      <x:c r="H1" s="190"/>
      <x:c r="I1" s="190"/>
      <x:c r="J1" s="190"/>
      <x:c r="K1" s="190"/>
      <x:c r="L1" s="190"/>
      <x:c r="M1" s="190"/>
    </x:row>
    <x:row r="2">
      <x:c r="A2" s="191" t="str">
        <x:v>Fără validare OOS obligatorie. DEFENSIV este o etichetă a scorului intern. Setul prezent este DEMO, nu o recomandare pentru un meci real.</x:v>
      </x:c>
      <x:c r="B2" s="191"/>
      <x:c r="C2" s="191"/>
      <x:c r="D2" s="191"/>
      <x:c r="E2" s="191"/>
      <x:c r="F2" s="191"/>
      <x:c r="G2" s="191"/>
      <x:c r="H2" s="191"/>
      <x:c r="I2" s="191"/>
      <x:c r="J2" s="191"/>
      <x:c r="K2" s="191"/>
      <x:c r="L2" s="191"/>
      <x:c r="M2" s="191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>
      <x:c r="A4" s="1" t="s">
        <x:v>0</x:v>
      </x:c>
      <x:c r="B4" s="1" t="s">
        <x:v>1</x:v>
      </x:c>
      <x:c r="C4" s="1" t="s">
        <x:v>2</x:v>
      </x:c>
      <x:c r="D4" s="1" t="s">
        <x:v>3</x:v>
      </x:c>
      <x:c r="E4" s="4"/>
      <x:c r="F4" s="4"/>
      <x:c r="G4" s="4"/>
      <x:c r="H4" s="4"/>
      <x:c r="I4" s="4"/>
      <x:c r="J4" s="4"/>
      <x:c r="K4" s="4"/>
      <x:c r="L4" s="4"/>
      <x:c r="M4" s="4"/>
    </x:row>
    <x:row r="5" ht="27">
      <x:c r="A5" s="5" t="s">
        <x:v>4</x:v>
      </x:c>
      <x:c r="B5" s="6" t="str">
        <x:f>Input_Meci!$C$4&amp;" - "&amp;Input_Meci!$D$4</x:f>
        <x:v>ECHIPA GAZDĂ (EXEMPLU) - ECHIPA OASPETE (EXEMPLU)</x:v>
      </x:c>
      <x:c r="C5" s="7" t="s">
        <x:v>5</x:v>
      </x:c>
      <x:c r="D5" s="8" t="str">
        <x:f>Calcul_Model!$B$106</x:f>
        <x:v>DEMO</x:v>
      </x:c>
      <x:c r="E5" s="4"/>
      <x:c r="F5" s="4"/>
      <x:c r="G5" s="4"/>
      <x:c r="H5" s="4"/>
      <x:c r="I5" s="4"/>
      <x:c r="J5" s="4"/>
      <x:c r="K5" s="4"/>
      <x:c r="L5" s="4"/>
      <x:c r="M5" s="4"/>
    </x:row>
    <x:row r="6">
      <x:c r="A6" s="9" t="s">
        <x:v>6</x:v>
      </x:c>
      <x:c r="B6" s="10" t="str">
        <x:f>Input_Meci!$E$5</x:f>
        <x:v>Liga – exemplu</x:v>
      </x:c>
      <x:c r="C6" s="11" t="s">
        <x:v>7</x:v>
      </x:c>
      <x:c r="D6" s="12" t="str">
        <x:f>Calcul_Model!$B$106</x:f>
        <x:v>DEMO</x:v>
      </x:c>
      <x:c r="E6" s="4"/>
      <x:c r="F6" s="4"/>
      <x:c r="G6" s="4"/>
      <x:c r="H6" s="4"/>
      <x:c r="I6" s="4"/>
      <x:c r="J6" s="4"/>
      <x:c r="K6" s="4"/>
      <x:c r="L6" s="4"/>
      <x:c r="M6" s="4"/>
    </x:row>
    <x:row r="7">
      <x:c r="A7" s="9" t="s">
        <x:v>8</x:v>
      </x:c>
      <x:c r="B7" s="10" t="str">
        <x:f>Input_Meci!$E$10</x:f>
        <x:v>ARBITRU (EXEMPLU)</x:v>
      </x:c>
      <x:c r="C7" s="11" t="str">
        <x:v>profil statistic disponibil</x:v>
      </x:c>
      <x:c r="D7" s="12" t="str">
        <x:f>Calcul_Model!$B$106</x:f>
        <x:v>DEMO</x:v>
      </x:c>
      <x:c r="E7" s="4"/>
      <x:c r="F7" s="4"/>
      <x:c r="G7" s="4"/>
      <x:c r="H7" s="4"/>
      <x:c r="I7" s="4"/>
      <x:c r="J7" s="4"/>
      <x:c r="K7" s="4"/>
      <x:c r="L7" s="4"/>
      <x:c r="M7" s="4"/>
    </x:row>
    <x:row r="8">
      <x:c r="A8" s="9" t="str">
        <x:v>Motor activ</x:v>
      </x:c>
      <x:c r="B8" s="10" t="str">
        <x:v>Multi-Line V4</x:v>
      </x:c>
      <x:c r="C8" s="11" t="str">
        <x:v>Clasificare</x:v>
      </x:c>
      <x:c r="D8" s="12" t="str">
        <x:v>Niveluri 1–5</x:v>
      </x:c>
      <x:c r="E8" s="4"/>
      <x:c r="F8" s="4"/>
      <x:c r="G8" s="4"/>
      <x:c r="H8" s="4"/>
      <x:c r="I8" s="4"/>
      <x:c r="J8" s="4"/>
      <x:c r="K8" s="4"/>
      <x:c r="L8" s="4"/>
      <x:c r="M8" s="4"/>
    </x:row>
    <x:row r="9" ht="32" customHeight="1">
      <x:c r="A9" s="345" t="str">
        <x:v>Calculabilitate</x:v>
      </x:c>
      <x:c r="B9" s="371" t="str">
        <x:f>Calcul_Model!$B$105</x:f>
        <x:v>CALCULABIL</x:v>
      </x:c>
      <x:c r="C9" s="372" t="str">
        <x:v>Minim matematic</x:v>
      </x:c>
      <x:c r="D9" s="373" t="str">
        <x:v>Fără condiții cumulative</x:v>
      </x:c>
      <x:c r="E9" s="4"/>
      <x:c r="F9" s="4"/>
      <x:c r="G9" s="4"/>
      <x:c r="H9" s="4"/>
      <x:c r="I9" s="4"/>
      <x:c r="J9" s="4"/>
      <x:c r="K9" s="4"/>
      <x:c r="L9" s="4"/>
      <x:c r="M9" s="4"/>
    </x:row>
    <x:row r="10" ht="32" customHeight="1">
      <x:c r="A10" s="367" t="str">
        <x:v>Baza rezultatului</x:v>
      </x:c>
      <x:c r="B10" s="367" t="str">
        <x:f>Calcul_Model!$B$106</x:f>
        <x:v>DEMO</x:v>
      </x:c>
      <x:c r="C10" s="367" t="str">
        <x:v>OOS neefectuat</x:v>
      </x:c>
      <x:c r="D10" s="367" t="str">
        <x:v>Audit surse separat</x:v>
      </x:c>
      <x:c r="E10" s="4"/>
      <x:c r="F10" s="4"/>
      <x:c r="G10" s="4"/>
      <x:c r="H10" s="4"/>
      <x:c r="I10" s="4"/>
      <x:c r="J10" s="4"/>
      <x:c r="K10" s="4"/>
      <x:c r="L10" s="4"/>
      <x:c r="M10" s="4"/>
    </x:row>
    <x:row r="11">
      <x:c r="A11" s="1" t="s">
        <x:v>9</x:v>
      </x:c>
      <x:c r="B11" s="1" t="s">
        <x:v>1</x:v>
      </x:c>
      <x:c r="C11" s="1" t="s">
        <x:v>10</x:v>
      </x:c>
      <x:c r="D11" s="1" t="s">
        <x:v>2</x:v>
      </x:c>
      <x:c r="E11" s="4"/>
      <x:c r="F11" s="4"/>
      <x:c r="G11" s="4"/>
      <x:c r="H11" s="4"/>
      <x:c r="I11" s="4"/>
      <x:c r="J11" s="4"/>
      <x:c r="K11" s="4"/>
      <x:c r="L11" s="4"/>
      <x:c r="M11" s="4"/>
    </x:row>
    <x:row r="12">
      <x:c r="A12" s="5" t="s">
        <x:v>11</x:v>
      </x:c>
      <x:c r="B12" s="17" t="n">
        <x:f>Calcul_Model!$B$51</x:f>
        <x:v>2.351751075063486</x:v>
      </x:c>
      <x:c r="C12" s="7" t="s">
        <x:v>12</x:v>
      </x:c>
      <x:c r="D12" s="8" t="s">
        <x:v>13</x:v>
      </x:c>
      <x:c r="E12" s="4"/>
      <x:c r="F12" s="4"/>
      <x:c r="G12" s="4"/>
      <x:c r="H12" s="4"/>
      <x:c r="I12" s="4"/>
      <x:c r="J12" s="4"/>
      <x:c r="K12" s="4"/>
      <x:c r="L12" s="4"/>
      <x:c r="M12" s="4"/>
    </x:row>
    <x:row r="13">
      <x:c r="A13" s="9" t="s">
        <x:v>14</x:v>
      </x:c>
      <x:c r="B13" s="18" t="n">
        <x:f>Calcul_Model!$C$51</x:f>
        <x:v>3.2722099082937492</x:v>
      </x:c>
      <x:c r="C13" s="11" t="s">
        <x:v>12</x:v>
      </x:c>
      <x:c r="D13" s="12" t="s">
        <x:v>13</x:v>
      </x:c>
      <x:c r="E13" s="4"/>
      <x:c r="F13" s="4"/>
      <x:c r="G13" s="4"/>
      <x:c r="H13" s="4"/>
      <x:c r="I13" s="4"/>
      <x:c r="J13" s="4"/>
      <x:c r="K13" s="4"/>
      <x:c r="L13" s="4"/>
      <x:c r="M13" s="4"/>
    </x:row>
    <x:row r="14">
      <x:c r="A14" s="9" t="s">
        <x:v>15</x:v>
      </x:c>
      <x:c r="B14" s="18" t="n">
        <x:f>Calcul_Model!$D$51</x:f>
        <x:v>5.623960983357235</x:v>
      </x:c>
      <x:c r="C14" s="11" t="s">
        <x:v>12</x:v>
      </x:c>
      <x:c r="D14" s="12" t="s">
        <x:v>16</x:v>
      </x:c>
      <x:c r="E14" s="4"/>
      <x:c r="F14" s="4"/>
      <x:c r="G14" s="4"/>
      <x:c r="H14" s="4"/>
      <x:c r="I14" s="4"/>
      <x:c r="J14" s="4"/>
      <x:c r="K14" s="4"/>
      <x:c r="L14" s="4"/>
      <x:c r="M14" s="4"/>
    </x:row>
    <x:row r="15">
      <x:c r="A15" s="9" t="s">
        <x:v>17</x:v>
      </x:c>
      <x:c r="B15" s="10" t="str">
        <x:f>Calcul_Model!$E$55</x:f>
        <x:v>Poisson</x:v>
      </x:c>
      <x:c r="C15" s="11" t="s">
        <x:v>18</x:v>
      </x:c>
      <x:c r="D15" s="12" t="s">
        <x:v>19</x:v>
      </x:c>
      <x:c r="E15" s="4"/>
      <x:c r="F15" s="4"/>
      <x:c r="G15" s="4"/>
      <x:c r="H15" s="4"/>
      <x:c r="I15" s="4"/>
      <x:c r="J15" s="4"/>
      <x:c r="K15" s="4"/>
      <x:c r="L15" s="4"/>
      <x:c r="M15" s="4"/>
    </x:row>
    <x:row r="16">
      <x:c r="A16" s="9" t="s">
        <x:v>20</x:v>
      </x:c>
      <x:c r="B16" s="18" t="n">
        <x:f>Calcul_Model!$C$55</x:f>
        <x:v>0.9516075995615637</x:v>
      </x:c>
      <x:c r="C16" s="11" t="s">
        <x:v>21</x:v>
      </x:c>
      <x:c r="D16" s="12" t="s">
        <x:v>22</x:v>
      </x:c>
      <x:c r="E16" s="4"/>
      <x:c r="F16" s="4"/>
      <x:c r="G16" s="4"/>
      <x:c r="H16" s="4"/>
      <x:c r="I16" s="4"/>
      <x:c r="J16" s="4"/>
      <x:c r="K16" s="4"/>
      <x:c r="L16" s="4"/>
      <x:c r="M16" s="4"/>
    </x:row>
    <x:row r="17">
      <x:c r="A17" s="9" t="s">
        <x:v>23</x:v>
      </x:c>
      <x:c r="B17" s="19" t="n">
        <x:f>Calcul_Model!$B$35</x:f>
        <x:v>0.09721669553725121</x:v>
      </x:c>
      <x:c r="C17" s="11" t="s">
        <x:v>24</x:v>
      </x:c>
      <x:c r="D17" s="12" t="s">
        <x:v>25</x:v>
      </x:c>
      <x:c r="E17" s="4"/>
      <x:c r="F17" s="4"/>
      <x:c r="G17" s="4"/>
      <x:c r="H17" s="4"/>
      <x:c r="I17" s="4"/>
      <x:c r="J17" s="4"/>
      <x:c r="K17" s="4"/>
      <x:c r="L17" s="4"/>
      <x:c r="M17" s="4"/>
    </x:row>
    <x:row r="18">
      <x:c r="A18" s="9" t="s">
        <x:v>26</x:v>
      </x:c>
      <x:c r="B18" s="20" t="n">
        <x:f>Calcul_Model!$B$65</x:f>
        <x:v>91</x:v>
      </x:c>
      <x:c r="C18" s="11" t="s">
        <x:v>27</x:v>
      </x:c>
      <x:c r="D18" s="12" t="s">
        <x:v>28</x:v>
      </x:c>
      <x:c r="E18" s="4"/>
      <x:c r="F18" s="4"/>
      <x:c r="G18" s="4"/>
      <x:c r="H18" s="4"/>
      <x:c r="I18" s="4"/>
      <x:c r="J18" s="4"/>
      <x:c r="K18" s="4"/>
      <x:c r="L18" s="4"/>
      <x:c r="M18" s="4"/>
    </x:row>
    <x:row r="19">
      <x:c r="A19" s="13" t="s">
        <x:v>29</x:v>
      </x:c>
      <x:c r="B19" s="14" t="str">
        <x:f>Calcul_Model!$B$66</x:f>
        <x:v>A</x:v>
      </x:c>
      <x:c r="C19" s="15" t="s">
        <x:v>30</x:v>
      </x:c>
      <x:c r="D19" s="16" t="s">
        <x:v>31</x:v>
      </x:c>
      <x:c r="E19" s="4"/>
      <x:c r="F19" s="4"/>
      <x:c r="G19" s="4"/>
      <x:c r="H19" s="4"/>
      <x:c r="I19" s="4"/>
      <x:c r="J19" s="4"/>
      <x:c r="K19" s="4"/>
      <x:c r="L19" s="4"/>
      <x:c r="M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</x:row>
    <x:row r="21">
      <x:c r="A21" s="1" t="str">
        <x:v>LINIA CU SCORUL CEL MAI MIC – V4</x:v>
      </x:c>
      <x:c r="B21" s="1" t="str">
        <x:v>Valoare</x:v>
      </x:c>
      <x:c r="C21" s="1" t="str">
        <x:v>Unitate</x:v>
      </x:c>
      <x:c r="D21" s="1" t="str">
        <x:v>Observație</x:v>
      </x:c>
      <x:c r="E21" s="4"/>
      <x:c r="F21" s="4"/>
      <x:c r="G21" s="4"/>
      <x:c r="H21" s="4"/>
      <x:c r="I21" s="4"/>
      <x:c r="J21" s="4"/>
      <x:c r="K21" s="4"/>
      <x:c r="L21" s="4"/>
      <x:c r="M21" s="4"/>
    </x:row>
    <x:row r="22">
      <x:c r="A22" s="5" t="str">
        <x:v>Modul</x:v>
      </x:c>
      <x:c r="B22" s="6" t="str">
        <x:f>IF(Selector!$B$5="","Nicio selecție",Selector!$B$5)</x:f>
        <x:v>Total</x:v>
      </x:c>
      <x:c r="C22" s="7" t="str">
        <x:v>piață</x:v>
      </x:c>
      <x:c r="D22" s="8" t="str">
        <x:v>Total cards</x:v>
      </x:c>
      <x:c r="E22" s="4"/>
      <x:c r="F22" s="192" t="str">
        <x:v>V4: scor = 50% risc de eșec ajustat + 20% context + 15% red/dispersie + 15% incertitudine. Nivel 1 ≤20; Nivel 2 ≤40; Nivel 3 ≤60; Nivel 4 ≤80; Nivel 5 &gt;80. Fără prag P, Confidence sau OOS separat. Probabilitatea rămâne afișată. Lipsurile se tratează prin ponderi disponibile sau ipoteze neutre declarate.</x:v>
      </x:c>
      <x:c r="G22" s="192"/>
      <x:c r="H22" s="192"/>
      <x:c r="I22" s="192"/>
      <x:c r="J22" s="192"/>
      <x:c r="K22" s="192"/>
      <x:c r="L22" s="192"/>
      <x:c r="M22" s="192"/>
    </x:row>
    <x:row r="23">
      <x:c r="A23" s="9" t="str">
        <x:v>Selecție</x:v>
      </x:c>
      <x:c r="B23" s="10" t="str">
        <x:f>Selector!$C$5</x:f>
        <x:v>Over</x:v>
      </x:c>
      <x:c r="C23" s="11" t="str">
        <x:v>Over/Under</x:v>
      </x:c>
      <x:c r="D23" s="12" t="str">
        <x:v>motor activ</x:v>
      </x:c>
      <x:c r="E23" s="4"/>
      <x:c r="F23" s="192"/>
      <x:c r="G23" s="192"/>
      <x:c r="H23" s="192"/>
      <x:c r="I23" s="192"/>
      <x:c r="J23" s="192"/>
      <x:c r="K23" s="192"/>
      <x:c r="L23" s="192"/>
      <x:c r="M23" s="192"/>
    </x:row>
    <x:row r="24">
      <x:c r="A24" s="9" t="str">
        <x:v>Linie</x:v>
      </x:c>
      <x:c r="B24" s="18" t="n">
        <x:f>Selector!$D$5</x:f>
        <x:v>1.5</x:v>
      </x:c>
      <x:c r="C24" s="11" t="str">
        <x:v>cards</x:v>
      </x:c>
      <x:c r="D24" s="12" t="str">
        <x:v>linie x,5</x:v>
      </x:c>
      <x:c r="E24" s="4"/>
      <x:c r="F24" s="192"/>
      <x:c r="G24" s="192"/>
      <x:c r="H24" s="192"/>
      <x:c r="I24" s="192"/>
      <x:c r="J24" s="192"/>
      <x:c r="K24" s="192"/>
      <x:c r="L24" s="192"/>
      <x:c r="M24" s="192"/>
    </x:row>
    <x:row r="25">
      <x:c r="A25" s="9" t="str">
        <x:v>Risk Level</x:v>
      </x:c>
      <x:c r="B25" s="328" t="n">
        <x:f>Selector!$E$5</x:f>
        <x:v>1</x:v>
      </x:c>
      <x:c r="C25" s="11" t="str">
        <x:v>1–5</x:v>
      </x:c>
      <x:c r="D25" s="12" t="str">
        <x:v>Fără floor 3</x:v>
      </x:c>
      <x:c r="E25" s="4"/>
      <x:c r="F25" s="192"/>
      <x:c r="G25" s="192"/>
      <x:c r="H25" s="192"/>
      <x:c r="I25" s="192"/>
      <x:c r="J25" s="192"/>
      <x:c r="K25" s="192"/>
      <x:c r="L25" s="192"/>
      <x:c r="M25" s="192"/>
    </x:row>
    <x:row r="26">
      <x:c r="A26" s="9" t="str">
        <x:v>P ajustată</x:v>
      </x:c>
      <x:c r="B26" s="19" t="n">
        <x:f>Selector!$F$5</x:f>
        <x:v>0.954417710513045</x:v>
      </x:c>
      <x:c r="C26" s="11" t="str">
        <x:v>prob.</x:v>
      </x:c>
      <x:c r="D26" s="12" t="str">
        <x:v>Estimare, nu frecvență dovedită</x:v>
      </x:c>
      <x:c r="E26" s="4"/>
      <x:c r="F26" s="192"/>
      <x:c r="G26" s="192"/>
      <x:c r="H26" s="192"/>
      <x:c r="I26" s="192"/>
      <x:c r="J26" s="192"/>
      <x:c r="K26" s="192"/>
      <x:c r="L26" s="192"/>
      <x:c r="M26" s="192"/>
    </x:row>
    <x:row r="27">
      <x:c r="A27" s="9" t="str">
        <x:v>Risk Score</x:v>
      </x:c>
      <x:c r="B27" s="329" t="n">
        <x:f>Selector!$G$5</x:f>
        <x:v>9.512397845482932</x:v>
      </x:c>
      <x:c r="C27" s="11" t="str">
        <x:v>0–100</x:v>
      </x:c>
      <x:c r="D27" s="12" t="str">
        <x:v>fără preț/EV</x:v>
      </x:c>
      <x:c r="E27" s="4"/>
      <x:c r="F27" s="192"/>
      <x:c r="G27" s="192"/>
      <x:c r="H27" s="192"/>
      <x:c r="I27" s="192"/>
      <x:c r="J27" s="192"/>
      <x:c r="K27" s="192"/>
      <x:c r="L27" s="192"/>
      <x:c r="M27" s="192"/>
    </x:row>
    <x:row r="28">
      <x:c r="A28" s="13" t="str">
        <x:v>Verdict</x:v>
      </x:c>
      <x:c r="B28" s="14" t="str">
        <x:f>IF(Calcul_Model!$B$105&lt;&gt;"CALCULABIL","NECALCULABIL",IF(Selector!$I$5="","FĂRĂ LINIE ÎN TOP",Selector!$I$5))</x:f>
        <x:v>DEFENSIV</x:v>
      </x:c>
      <x:c r="C28" s="15" t="str">
        <x:v>decizie</x:v>
      </x:c>
      <x:c r="D28" s="16" t="str">
        <x:v>Clasificare estimativă</x:v>
      </x:c>
      <x:c r="E28" s="4"/>
      <x:c r="F28" s="192"/>
      <x:c r="G28" s="192"/>
      <x:c r="H28" s="192"/>
      <x:c r="I28" s="192"/>
      <x:c r="J28" s="192"/>
      <x:c r="K28" s="192"/>
      <x:c r="L28" s="192"/>
      <x:c r="M28" s="192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</x:row>
    <x:row r="31">
      <x:c r="A31" s="1" t="s">
        <x:v>32</x:v>
      </x:c>
      <x:c r="B31" s="1" t="s">
        <x:v>33</x:v>
      </x:c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</x:row>
    <x:row r="32">
      <x:c r="A32" s="5">
        <x:v>0</x:v>
      </x:c>
      <x:c r="B32" s="21" t="n">
        <x:f>Distributie!B4</x:f>
        <x:v>0.0036103123625543273</x:v>
      </x:c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</x:row>
    <x:row r="33">
      <x:c r="A33" s="9">
        <x:v>1</x:v>
      </x:c>
      <x:c r="B33" s="22" t="n">
        <x:f>Distributie!B5</x:f>
        <x:v>0.020304255864737816</x:v>
      </x:c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</x:row>
    <x:row r="34">
      <x:c r="A34" s="9">
        <x:v>2</x:v>
      </x:c>
      <x:c r="B34" s="22" t="n">
        <x:f>Distributie!B6</x:f>
        <x:v>0.057095171389693895</x:v>
      </x:c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</x:row>
    <x:row r="35">
      <x:c r="A35" s="9">
        <x:v>3</x:v>
      </x:c>
      <x:c r="B35" s="22" t="n">
        <x:f>Distributie!B7</x:f>
        <x:v>0.10703367207791092</x:v>
      </x:c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</x:row>
    <x:row r="36">
      <x:c r="A36" s="9">
        <x:v>4</x:v>
      </x:c>
      <x:c r="B36" s="22" t="n">
        <x:f>Distributie!B8</x:f>
        <x:v>0.15048829891790594</x:v>
      </x:c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</x:row>
    <x:row r="37">
      <x:c r="A37" s="9">
        <x:v>5</x:v>
      </x:c>
      <x:c r="B37" s="22" t="n">
        <x:f>Distributie!B9</x:f>
        <x:v>0.16926806431322078</x:v>
      </x:c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</x:row>
    <x:row r="38">
      <x:c r="A38" s="9">
        <x:v>6</x:v>
      </x:c>
      <x:c r="B38" s="22" t="n">
        <x:f>Distributie!B10</x:f>
        <x:v>0.15865949823765949</x:v>
      </x:c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</x:row>
    <x:row r="39">
      <x:c r="A39" s="9">
        <x:v>7</x:v>
      </x:c>
      <x:c r="B39" s="22" t="n">
        <x:f>Distributie!B11</x:f>
        <x:v>0.12747068967537614</x:v>
      </x:c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</x:row>
    <x:row r="40">
      <x:c r="A40" s="9">
        <x:v>8</x:v>
      </x:c>
      <x:c r="B40" s="22" t="n">
        <x:f>Distributie!B12</x:f>
        <x:v>0.08961127315699417</x:v>
      </x:c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</x:row>
    <x:row r="41">
      <x:c r="A41" s="9">
        <x:v>9</x:v>
      </x:c>
      <x:c r="B41" s="22" t="n">
        <x:f>Distributie!B13</x:f>
        <x:v>0.05599670043376697</x:v>
      </x:c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</x:row>
    <x:row r="42">
      <x:c r="A42" s="9">
        <x:v>10</x:v>
      </x:c>
      <x:c r="B42" s="22" t="n">
        <x:f>Distributie!B14</x:f>
        <x:v>0.03149232584362486</x:v>
      </x:c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</x:row>
    <x:row r="43">
      <x:c r="A43" s="13" t="s">
        <x:v>34</x:v>
      </x:c>
      <x:c r="B43" s="23" t="n">
        <x:f>MAX(0,1-SUM(B32:B42))</x:f>
        <x:v>0.028969737726554867</x:v>
      </x:c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</x:row>
    <x:row r="45" ht="30">
      <x:c r="A45" s="158" t="str">
        <x:v>MONITORIZARE TAIL / EȘANTION</x:v>
      </x:c>
      <x:c r="B45" s="158" t="s">
        <x:v>1</x:v>
      </x:c>
      <x:c r="C45" s="158" t="s">
        <x:v>10</x:v>
      </x:c>
      <x:c r="D45" s="158" t="s">
        <x:v>2</x:v>
      </x:c>
    </x:row>
    <x:row r="46">
      <x:c r="A46" s="159" t="s">
        <x:v>35</x:v>
      </x:c>
      <x:c r="B46" s="161" t="str">
        <x:f>Calcul_Model!$B$88</x:f>
        <x:v>NORMAL</x:v>
      </x:c>
      <x:c r="C46" s="159" t="s">
        <x:v>36</x:v>
      </x:c>
      <x:c r="D46" s="159" t="str">
        <x:v>Diagnostic N; fără floor automat</x:v>
      </x:c>
    </x:row>
    <x:row r="47">
      <x:c r="A47" s="159" t="s">
        <x:v>37</x:v>
      </x:c>
      <x:c r="B47" s="162" t="n">
        <x:f>Calcul_Model!$B$89</x:f>
        <x:v>0.661468289387197</x:v>
      </x:c>
      <x:c r="C47" s="159" t="s">
        <x:v>38</x:v>
      </x:c>
      <x:c r="D47" s="159" t="str">
        <x:v>Risc brut de upper-tail</x:v>
      </x:c>
    </x:row>
    <x:row r="48">
      <x:c r="A48" s="159" t="s">
        <x:v>39</x:v>
      </x:c>
      <x:c r="B48" s="162" t="n">
        <x:f>Calcul_Model!$B$90</x:f>
        <x:v>0.4922002250739763</x:v>
      </x:c>
      <x:c r="C48" s="159" t="s">
        <x:v>38</x:v>
      </x:c>
      <x:c r="D48" s="159" t="str">
        <x:v>Risc brut de upper-tail</x:v>
      </x:c>
    </x:row>
    <x:row r="49">
      <x:c r="A49" s="159" t="s">
        <x:v>40</x:v>
      </x:c>
      <x:c r="B49" s="162" t="n">
        <x:f>Calcul_Model!$B$91</x:f>
        <x:v>0.00803799780781879</x:v>
      </x:c>
      <x:c r="C49" s="159" t="s">
        <x:v>41</x:v>
      </x:c>
      <x:c r="D49" s="159" t="s">
        <x:v>42</x:v>
      </x:c>
    </x:row>
    <x:row r="50">
      <x:c r="A50" s="159" t="str">
        <x:v>Verdict V4 U4.5</x:v>
      </x:c>
      <x:c r="B50" s="161" t="str">
        <x:f>Cards_MultiLine_v9!V11</x:f>
        <x:v>RIDICAT</x:v>
      </x:c>
      <x:c r="C50" s="159" t="s">
        <x:v>36</x:v>
      </x:c>
      <x:c r="D50" s="159" t="str">
        <x:v>Din scorul liniei</x:v>
      </x:c>
    </x:row>
    <x:row r="51">
      <x:c r="A51" s="159" t="str">
        <x:v>Verdict V4 U5.5</x:v>
      </x:c>
      <x:c r="B51" s="161" t="str">
        <x:f>Cards_MultiLine_v9!V12</x:f>
        <x:v>MODERAT</x:v>
      </x:c>
      <x:c r="C51" s="159" t="s">
        <x:v>36</x:v>
      </x:c>
      <x:c r="D51" s="159" t="str">
        <x:v>Din scorul liniei</x:v>
      </x:c>
    </x:row>
  </x:sheetData>
  <x:mergeCells>
    <x:mergeCell ref="A1:M1"/>
    <x:mergeCell ref="A2:M2"/>
    <x:mergeCell ref="F22:M28"/>
  </x:mergeCells>
  <x:conditionalFormatting sqref="B28:B28">
    <x:cfRule type="expression" dxfId="38" priority="1">
      <x:formula>B28="DEFENSIV"</x:formula>
    </x:cfRule>
    <x:cfRule type="expression" dxfId="39" priority="2">
      <x:formula>B28="PRUDENT"</x:formula>
    </x:cfRule>
    <x:cfRule type="expression" dxfId="40" priority="3">
      <x:formula>B28="MODERAT"</x:formula>
    </x:cfRule>
    <x:cfRule type="expression" dxfId="41" priority="4">
      <x:formula>B28="NECALCULABIL"</x:formula>
    </x:cfRule>
  </x:conditionalFormatting>
  <x:pageMargins left="0.7" right="0.7" top="0.75" bottom="0.75" header="0.3" footer="0.3"/>
  <x:drawing xmlns:r="http://schemas.openxmlformats.org/officeDocument/2006/relationships" r:id="R54017be5af02465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6" customWidth="1"/>
    <x:col min="2" max="2" width="42" customWidth="1"/>
    <x:col min="3" max="4" width="19" customWidth="1"/>
    <x:col min="5" max="5" width="26" customWidth="1"/>
    <x:col min="6" max="6" width="22" customWidth="1"/>
    <x:col min="7" max="7" width="42" customWidth="1"/>
  </x:cols>
  <x:sheetData>
    <x:row r="1" ht="27.950000762939453" customHeight="1">
      <x:c r="A1" s="190" t="str">
        <x:v>INPUT MECI – CARTONAȘE MULTI-LINE V4</x:v>
      </x:c>
      <x:c r="B1" s="190"/>
      <x:c r="C1" s="190"/>
      <x:c r="D1" s="190"/>
      <x:c r="E1" s="190"/>
      <x:c r="F1" s="190"/>
      <x:c r="G1" s="190"/>
    </x:row>
    <x:row r="2">
      <x:c r="A2" s="196" t="str">
        <x:v>Set demonstrativ moștenit. Nu reprezintă un meci analizat din surse verificate. Aceeași definiție YC / 2Y-R / R în toate statisticile.</x:v>
      </x:c>
      <x:c r="B2" s="196"/>
      <x:c r="C2" s="196"/>
      <x:c r="D2" s="196"/>
      <x:c r="E2" s="196"/>
      <x:c r="F2" s="196"/>
      <x:c r="G2" s="196"/>
    </x:row>
    <x:row r="3">
      <x:c r="A3" s="1" t="s">
        <x:v>43</x:v>
      </x:c>
      <x:c r="B3" s="1" t="s">
        <x:v>44</x:v>
      </x:c>
      <x:c r="C3" s="1" t="s">
        <x:v>45</x:v>
      </x:c>
      <x:c r="D3" s="1" t="s">
        <x:v>46</x:v>
      </x:c>
      <x:c r="E3" s="1" t="s">
        <x:v>47</x:v>
      </x:c>
      <x:c r="F3" s="1" t="s">
        <x:v>48</x:v>
      </x:c>
      <x:c r="G3" s="1" t="s">
        <x:v>49</x:v>
      </x:c>
    </x:row>
    <x:row r="4" ht="27">
      <x:c r="A4" s="5" t="s">
        <x:v>4</x:v>
      </x:c>
      <x:c r="B4" s="7" t="s">
        <x:v>50</x:v>
      </x:c>
      <x:c r="C4" s="24" t="s">
        <x:v>51</x:v>
      </x:c>
      <x:c r="D4" s="25" t="s">
        <x:v>52</x:v>
      </x:c>
      <x:c r="E4" s="7"/>
      <x:c r="F4" s="7" t="s">
        <x:v>53</x:v>
      </x:c>
      <x:c r="G4" s="8" t="s">
        <x:v>54</x:v>
      </x:c>
    </x:row>
    <x:row r="5">
      <x:c r="A5" s="9" t="s">
        <x:v>4</x:v>
      </x:c>
      <x:c r="B5" s="11" t="s">
        <x:v>6</x:v>
      </x:c>
      <x:c r="C5" s="11"/>
      <x:c r="D5" s="11"/>
      <x:c r="E5" s="26" t="s">
        <x:v>55</x:v>
      </x:c>
      <x:c r="F5" s="11" t="s">
        <x:v>53</x:v>
      </x:c>
      <x:c r="G5" s="12" t="s">
        <x:v>56</x:v>
      </x:c>
    </x:row>
    <x:row r="6">
      <x:c r="A6" s="9" t="s">
        <x:v>4</x:v>
      </x:c>
      <x:c r="B6" s="11" t="s">
        <x:v>57</x:v>
      </x:c>
      <x:c r="C6" s="11"/>
      <x:c r="D6" s="11"/>
      <x:c r="E6" s="27">
        <x:v>46270</x:v>
      </x:c>
      <x:c r="F6" s="11" t="s">
        <x:v>58</x:v>
      </x:c>
      <x:c r="G6" s="12" t="s">
        <x:v>59</x:v>
      </x:c>
    </x:row>
    <x:row r="7">
      <x:c r="A7" s="9" t="s">
        <x:v>4</x:v>
      </x:c>
      <x:c r="B7" s="11" t="s">
        <x:v>60</x:v>
      </x:c>
      <x:c r="C7" s="11"/>
      <x:c r="D7" s="11"/>
      <x:c r="E7" s="28" t="s">
        <x:v>61</x:v>
      </x:c>
      <x:c r="F7" s="11" t="s">
        <x:v>62</x:v>
      </x:c>
      <x:c r="G7" s="12" t="s">
        <x:v>63</x:v>
      </x:c>
    </x:row>
    <x:row r="8">
      <x:c r="A8" s="9" t="s">
        <x:v>4</x:v>
      </x:c>
      <x:c r="B8" s="11" t="s">
        <x:v>64</x:v>
      </x:c>
      <x:c r="C8" s="11"/>
      <x:c r="D8" s="11"/>
      <x:c r="E8" s="28" t="s">
        <x:v>65</x:v>
      </x:c>
      <x:c r="F8" s="11" t="s">
        <x:v>66</x:v>
      </x:c>
      <x:c r="G8" s="12" t="str">
        <x:v>LEGACY – nu controlează clasificarea V4</x:v>
      </x:c>
    </x:row>
    <x:row r="9">
      <x:c r="A9" s="9" t="s">
        <x:v>67</x:v>
      </x:c>
      <x:c r="B9" s="11" t="s">
        <x:v>68</x:v>
      </x:c>
      <x:c r="C9" s="11"/>
      <x:c r="D9" s="11"/>
      <x:c r="E9" s="28" t="s">
        <x:v>69</x:v>
      </x:c>
      <x:c r="F9" s="11" t="s">
        <x:v>70</x:v>
      </x:c>
      <x:c r="G9" s="12" t="s">
        <x:v>71</x:v>
      </x:c>
    </x:row>
    <x:row r="10">
      <x:c r="A10" s="9" t="s">
        <x:v>4</x:v>
      </x:c>
      <x:c r="B10" s="11" t="s">
        <x:v>8</x:v>
      </x:c>
      <x:c r="C10" s="11"/>
      <x:c r="D10" s="11"/>
      <x:c r="E10" s="28" t="s">
        <x:v>72</x:v>
      </x:c>
      <x:c r="F10" s="11" t="s">
        <x:v>53</x:v>
      </x:c>
      <x:c r="G10" s="12" t="s">
        <x:v>73</x:v>
      </x:c>
    </x:row>
    <x:row r="11">
      <x:c r="A11" s="9" t="s">
        <x:v>67</x:v>
      </x:c>
      <x:c r="B11" s="11" t="s">
        <x:v>74</x:v>
      </x:c>
      <x:c r="C11" s="11"/>
      <x:c r="D11" s="11"/>
      <x:c r="E11" s="29" t="s">
        <x:v>69</x:v>
      </x:c>
      <x:c r="F11" s="11" t="s">
        <x:v>75</x:v>
      </x:c>
      <x:c r="G11" s="12" t="s">
        <x:v>76</x:v>
      </x:c>
    </x:row>
    <x:row r="12">
      <x:c r="A12" s="9"/>
      <x:c r="B12" s="11"/>
      <x:c r="C12" s="11"/>
      <x:c r="D12" s="11"/>
      <x:c r="E12" s="11"/>
      <x:c r="F12" s="11"/>
      <x:c r="G12" s="12"/>
    </x:row>
    <x:row r="13">
      <x:c r="A13" s="197" t="str">
        <x:v>DEFINIȚIA VARIABILEI ȘI NORMALIZARE</x:v>
      </x:c>
      <x:c r="B13" s="198"/>
      <x:c r="C13" s="198"/>
      <x:c r="D13" s="198"/>
      <x:c r="E13" s="198"/>
      <x:c r="F13" s="198"/>
      <x:c r="G13" s="199"/>
    </x:row>
    <x:row r="14">
      <x:c r="A14" s="9" t="s">
        <x:v>77</x:v>
      </x:c>
      <x:c r="B14" s="11" t="s">
        <x:v>78</x:v>
      </x:c>
      <x:c r="C14" s="11"/>
      <x:c r="D14" s="11"/>
      <x:c r="E14" s="26" t="s">
        <x:v>79</x:v>
      </x:c>
      <x:c r="F14" s="11" t="s">
        <x:v>53</x:v>
      </x:c>
      <x:c r="G14" s="12" t="s">
        <x:v>80</x:v>
      </x:c>
    </x:row>
    <x:row r="15">
      <x:c r="A15" s="9" t="s">
        <x:v>67</x:v>
      </x:c>
      <x:c r="B15" s="11" t="str">
        <x:v>Definiția variabilei verificată</x:v>
      </x:c>
      <x:c r="C15" s="11"/>
      <x:c r="D15" s="11"/>
      <x:c r="E15" s="28" t="s">
        <x:v>69</x:v>
      </x:c>
      <x:c r="F15" s="11" t="s">
        <x:v>75</x:v>
      </x:c>
      <x:c r="G15" s="12" t="str">
        <x:v>Regula de numărare; nu cotă / EV</x:v>
      </x:c>
    </x:row>
    <x:row r="16">
      <x:c r="A16" s="9" t="s">
        <x:v>77</x:v>
      </x:c>
      <x:c r="B16" s="11" t="s">
        <x:v>81</x:v>
      </x:c>
      <x:c r="C16" s="11"/>
      <x:c r="D16" s="11"/>
      <x:c r="E16" s="28" t="s">
        <x:v>82</x:v>
      </x:c>
      <x:c r="F16" s="11" t="s">
        <x:v>53</x:v>
      </x:c>
      <x:c r="G16" s="12" t="s">
        <x:v>83</x:v>
      </x:c>
    </x:row>
    <x:row r="17">
      <x:c r="A17" s="9" t="s">
        <x:v>77</x:v>
      </x:c>
      <x:c r="B17" s="11" t="s">
        <x:v>84</x:v>
      </x:c>
      <x:c r="C17" s="11"/>
      <x:c r="D17" s="11"/>
      <x:c r="E17" s="28">
        <x:v>1</x:v>
      </x:c>
      <x:c r="F17" s="11" t="s">
        <x:v>85</x:v>
      </x:c>
      <x:c r="G17" s="12" t="s">
        <x:v>86</x:v>
      </x:c>
    </x:row>
    <x:row r="18">
      <x:c r="A18" s="9" t="s">
        <x:v>77</x:v>
      </x:c>
      <x:c r="B18" s="11" t="s">
        <x:v>87</x:v>
      </x:c>
      <x:c r="C18" s="11"/>
      <x:c r="D18" s="11"/>
      <x:c r="E18" s="28">
        <x:v>2</x:v>
      </x:c>
      <x:c r="F18" s="11" t="s">
        <x:v>85</x:v>
      </x:c>
      <x:c r="G18" s="12" t="s">
        <x:v>88</x:v>
      </x:c>
    </x:row>
    <x:row r="19">
      <x:c r="A19" s="9" t="s">
        <x:v>77</x:v>
      </x:c>
      <x:c r="B19" s="11" t="s">
        <x:v>89</x:v>
      </x:c>
      <x:c r="C19" s="11"/>
      <x:c r="D19" s="11"/>
      <x:c r="E19" s="28">
        <x:v>2</x:v>
      </x:c>
      <x:c r="F19" s="11" t="s">
        <x:v>85</x:v>
      </x:c>
      <x:c r="G19" s="12" t="s">
        <x:v>90</x:v>
      </x:c>
    </x:row>
    <x:row r="20">
      <x:c r="A20" s="9" t="s">
        <x:v>77</x:v>
      </x:c>
      <x:c r="B20" s="11" t="s">
        <x:v>91</x:v>
      </x:c>
      <x:c r="C20" s="11"/>
      <x:c r="D20" s="11"/>
      <x:c r="E20" s="28" t="s">
        <x:v>92</x:v>
      </x:c>
      <x:c r="F20" s="11" t="s">
        <x:v>93</x:v>
      </x:c>
      <x:c r="G20" s="12" t="s">
        <x:v>94</x:v>
      </x:c>
    </x:row>
    <x:row r="21">
      <x:c r="A21" s="9" t="s">
        <x:v>77</x:v>
      </x:c>
      <x:c r="B21" s="11" t="s">
        <x:v>95</x:v>
      </x:c>
      <x:c r="C21" s="11"/>
      <x:c r="D21" s="11"/>
      <x:c r="E21" s="28" t="s">
        <x:v>92</x:v>
      </x:c>
      <x:c r="F21" s="11" t="s">
        <x:v>93</x:v>
      </x:c>
      <x:c r="G21" s="12" t="s">
        <x:v>94</x:v>
      </x:c>
    </x:row>
    <x:row r="22">
      <x:c r="A22" s="9" t="s">
        <x:v>77</x:v>
      </x:c>
      <x:c r="B22" s="11" t="s">
        <x:v>96</x:v>
      </x:c>
      <x:c r="C22" s="11"/>
      <x:c r="D22" s="11"/>
      <x:c r="E22" s="28" t="s">
        <x:v>97</x:v>
      </x:c>
      <x:c r="F22" s="11" t="s">
        <x:v>93</x:v>
      </x:c>
      <x:c r="G22" s="12" t="s">
        <x:v>98</x:v>
      </x:c>
    </x:row>
    <x:row r="23">
      <x:c r="A23" s="9" t="s">
        <x:v>67</x:v>
      </x:c>
      <x:c r="B23" s="11" t="s">
        <x:v>99</x:v>
      </x:c>
      <x:c r="C23" s="11"/>
      <x:c r="D23" s="11"/>
      <x:c r="E23" s="28" t="s">
        <x:v>97</x:v>
      </x:c>
      <x:c r="F23" s="11" t="s">
        <x:v>93</x:v>
      </x:c>
      <x:c r="G23" s="12" t="s">
        <x:v>100</x:v>
      </x:c>
    </x:row>
    <x:row r="24">
      <x:c r="A24" s="9" t="s">
        <x:v>67</x:v>
      </x:c>
      <x:c r="B24" s="11" t="s">
        <x:v>101</x:v>
      </x:c>
      <x:c r="C24" s="11"/>
      <x:c r="D24" s="11"/>
      <x:c r="E24" s="29" t="s">
        <x:v>97</x:v>
      </x:c>
      <x:c r="F24" s="11" t="s">
        <x:v>93</x:v>
      </x:c>
      <x:c r="G24" s="12" t="s">
        <x:v>102</x:v>
      </x:c>
    </x:row>
    <x:row r="25">
      <x:c r="A25" s="9"/>
      <x:c r="B25" s="11"/>
      <x:c r="C25" s="11"/>
      <x:c r="D25" s="11"/>
      <x:c r="E25" s="11"/>
      <x:c r="F25" s="11"/>
      <x:c r="G25" s="12"/>
    </x:row>
    <x:row r="26">
      <x:c r="A26" s="193" t="s">
        <x:v>103</x:v>
      </x:c>
      <x:c r="B26" s="194"/>
      <x:c r="C26" s="194"/>
      <x:c r="D26" s="194"/>
      <x:c r="E26" s="194"/>
      <x:c r="F26" s="194"/>
      <x:c r="G26" s="195"/>
    </x:row>
    <x:row r="27">
      <x:c r="A27" s="9" t="s">
        <x:v>104</x:v>
      </x:c>
      <x:c r="B27" s="11" t="s">
        <x:v>105</x:v>
      </x:c>
      <x:c r="C27" s="11"/>
      <x:c r="D27" s="11"/>
      <x:c r="E27" s="26">
        <x:v>4.5999999999999996</x:v>
      </x:c>
      <x:c r="F27" s="11" t="s">
        <x:v>106</x:v>
      </x:c>
      <x:c r="G27" s="12" t="s">
        <x:v>107</x:v>
      </x:c>
    </x:row>
    <x:row r="28">
      <x:c r="A28" s="9" t="s">
        <x:v>104</x:v>
      </x:c>
      <x:c r="B28" s="11" t="s">
        <x:v>108</x:v>
      </x:c>
      <x:c r="C28" s="11"/>
      <x:c r="D28" s="11"/>
      <x:c r="E28" s="28">
        <x:v>24</x:v>
      </x:c>
      <x:c r="F28" s="11" t="s">
        <x:v>109</x:v>
      </x:c>
      <x:c r="G28" s="12" t="s">
        <x:v>110</x:v>
      </x:c>
    </x:row>
    <x:row r="29">
      <x:c r="A29" s="9" t="s">
        <x:v>111</x:v>
      </x:c>
      <x:c r="B29" s="11" t="s">
        <x:v>112</x:v>
      </x:c>
      <x:c r="C29" s="11"/>
      <x:c r="D29" s="11"/>
      <x:c r="E29" s="30">
        <x:v>0.95</x:v>
      </x:c>
      <x:c r="F29" s="11" t="s">
        <x:v>113</x:v>
      </x:c>
      <x:c r="G29" s="12" t="s">
        <x:v>114</x:v>
      </x:c>
    </x:row>
    <x:row r="30">
      <x:c r="A30" s="9" t="s">
        <x:v>111</x:v>
      </x:c>
      <x:c r="B30" s="11" t="s">
        <x:v>115</x:v>
      </x:c>
      <x:c r="C30" s="11"/>
      <x:c r="D30" s="11"/>
      <x:c r="E30" s="30">
        <x:v>0.95</x:v>
      </x:c>
      <x:c r="F30" s="11" t="s">
        <x:v>113</x:v>
      </x:c>
      <x:c r="G30" s="12" t="s">
        <x:v>116</x:v>
      </x:c>
    </x:row>
    <x:row r="31">
      <x:c r="A31" s="9" t="s">
        <x:v>111</x:v>
      </x:c>
      <x:c r="B31" s="11" t="s">
        <x:v>117</x:v>
      </x:c>
      <x:c r="C31" s="11"/>
      <x:c r="D31" s="11"/>
      <x:c r="E31" s="30">
        <x:v>0.9</x:v>
      </x:c>
      <x:c r="F31" s="11" t="s">
        <x:v>113</x:v>
      </x:c>
      <x:c r="G31" s="12" t="s">
        <x:v>118</x:v>
      </x:c>
    </x:row>
    <x:row r="32">
      <x:c r="A32" s="9" t="s">
        <x:v>119</x:v>
      </x:c>
      <x:c r="B32" s="11" t="s">
        <x:v>120</x:v>
      </x:c>
      <x:c r="C32" s="11"/>
      <x:c r="D32" s="11"/>
      <x:c r="E32" s="28">
        <x:v>0.1</x:v>
      </x:c>
      <x:c r="F32" s="11" t="s">
        <x:v>121</x:v>
      </x:c>
      <x:c r="G32" s="12" t="s">
        <x:v>122</x:v>
      </x:c>
    </x:row>
    <x:row r="33">
      <x:c r="A33" s="9" t="s">
        <x:v>104</x:v>
      </x:c>
      <x:c r="B33" s="11" t="s">
        <x:v>123</x:v>
      </x:c>
      <x:c r="C33" s="11"/>
      <x:c r="D33" s="11"/>
      <x:c r="E33" s="31">
        <x:v>0.47</x:v>
      </x:c>
      <x:c r="F33" s="11" t="s">
        <x:v>124</x:v>
      </x:c>
      <x:c r="G33" s="12" t="s">
        <x:v>125</x:v>
      </x:c>
    </x:row>
    <x:row r="34">
      <x:c r="A34" s="9" t="s">
        <x:v>126</x:v>
      </x:c>
      <x:c r="B34" s="11" t="s">
        <x:v>127</x:v>
      </x:c>
      <x:c r="C34" s="11"/>
      <x:c r="D34" s="11"/>
      <x:c r="E34" s="28">
        <x:v>0</x:v>
      </x:c>
      <x:c r="F34" s="11" t="s">
        <x:v>128</x:v>
      </x:c>
      <x:c r="G34" s="12" t="s">
        <x:v>129</x:v>
      </x:c>
    </x:row>
    <x:row r="35">
      <x:c r="A35" s="9" t="s">
        <x:v>130</x:v>
      </x:c>
      <x:c r="B35" s="11" t="s">
        <x:v>131</x:v>
      </x:c>
      <x:c r="C35" s="11"/>
      <x:c r="D35" s="11"/>
      <x:c r="E35" s="29">
        <x:v>120</x:v>
      </x:c>
      <x:c r="F35" s="11" t="s">
        <x:v>132</x:v>
      </x:c>
      <x:c r="G35" s="12" t="str">
        <x:v>N influențează calitatea, nu este prag de release</x:v>
      </x:c>
    </x:row>
    <x:row r="36">
      <x:c r="A36" s="9"/>
      <x:c r="B36" s="11"/>
      <x:c r="C36" s="11"/>
      <x:c r="D36" s="11"/>
      <x:c r="E36" s="11"/>
      <x:c r="F36" s="11"/>
      <x:c r="G36" s="12"/>
    </x:row>
    <x:row r="37">
      <x:c r="A37" s="193" t="s">
        <x:v>133</x:v>
      </x:c>
      <x:c r="B37" s="194"/>
      <x:c r="C37" s="194"/>
      <x:c r="D37" s="194"/>
      <x:c r="E37" s="194"/>
      <x:c r="F37" s="194"/>
      <x:c r="G37" s="195"/>
    </x:row>
    <x:row r="38">
      <x:c r="A38" s="9" t="s">
        <x:v>134</x:v>
      </x:c>
      <x:c r="B38" s="11" t="s">
        <x:v>135</x:v>
      </x:c>
      <x:c r="C38" s="32">
        <x:v>2.1</x:v>
      </x:c>
      <x:c r="D38" s="33">
        <x:v>2.5499999999999998</x:v>
      </x:c>
      <x:c r="E38" s="11"/>
      <x:c r="F38" s="11" t="s">
        <x:v>106</x:v>
      </x:c>
      <x:c r="G38" s="12" t="s">
        <x:v>136</x:v>
      </x:c>
    </x:row>
    <x:row r="39">
      <x:c r="A39" s="9" t="s">
        <x:v>134</x:v>
      </x:c>
      <x:c r="B39" s="11" t="s">
        <x:v>137</x:v>
      </x:c>
      <x:c r="C39" s="34">
        <x:v>1.9</x:v>
      </x:c>
      <x:c r="D39" s="35">
        <x:v>2.75</x:v>
      </x:c>
      <x:c r="E39" s="11"/>
      <x:c r="F39" s="11" t="s">
        <x:v>106</x:v>
      </x:c>
      <x:c r="G39" s="12" t="s">
        <x:v>138</x:v>
      </x:c>
    </x:row>
    <x:row r="40">
      <x:c r="A40" s="9" t="s">
        <x:v>134</x:v>
      </x:c>
      <x:c r="B40" s="11" t="s">
        <x:v>139</x:v>
      </x:c>
      <x:c r="C40" s="34">
        <x:v>2.2000000000000002</x:v>
      </x:c>
      <x:c r="D40" s="35">
        <x:v>2.8</x:v>
      </x:c>
      <x:c r="E40" s="11"/>
      <x:c r="F40" s="11" t="s">
        <x:v>106</x:v>
      </x:c>
      <x:c r="G40" s="12" t="s">
        <x:v>140</x:v>
      </x:c>
    </x:row>
    <x:row r="41">
      <x:c r="A41" s="9" t="s">
        <x:v>141</x:v>
      </x:c>
      <x:c r="B41" s="11" t="s">
        <x:v>142</x:v>
      </x:c>
      <x:c r="C41" s="34">
        <x:v>2.4</x:v>
      </x:c>
      <x:c r="D41" s="35">
        <x:v>2.2000000000000002</x:v>
      </x:c>
      <x:c r="E41" s="11"/>
      <x:c r="F41" s="11" t="s">
        <x:v>106</x:v>
      </x:c>
      <x:c r="G41" s="12" t="s">
        <x:v>143</x:v>
      </x:c>
    </x:row>
    <x:row r="42">
      <x:c r="A42" s="9" t="s">
        <x:v>141</x:v>
      </x:c>
      <x:c r="B42" s="11" t="s">
        <x:v>144</x:v>
      </x:c>
      <x:c r="C42" s="34">
        <x:v>2.5499999999999998</x:v>
      </x:c>
      <x:c r="D42" s="35">
        <x:v>2.15</x:v>
      </x:c>
      <x:c r="E42" s="11"/>
      <x:c r="F42" s="11" t="s">
        <x:v>106</x:v>
      </x:c>
      <x:c r="G42" s="12" t="s">
        <x:v>145</x:v>
      </x:c>
    </x:row>
    <x:row r="43">
      <x:c r="A43" s="9" t="s">
        <x:v>141</x:v>
      </x:c>
      <x:c r="B43" s="11" t="s">
        <x:v>146</x:v>
      </x:c>
      <x:c r="C43" s="34">
        <x:v>2.6</x:v>
      </x:c>
      <x:c r="D43" s="35">
        <x:v>2.35</x:v>
      </x:c>
      <x:c r="E43" s="11"/>
      <x:c r="F43" s="11" t="s">
        <x:v>106</x:v>
      </x:c>
      <x:c r="G43" s="12" t="s">
        <x:v>147</x:v>
      </x:c>
    </x:row>
    <x:row r="44">
      <x:c r="A44" s="9" t="s">
        <x:v>119</x:v>
      </x:c>
      <x:c r="B44" s="11" t="s">
        <x:v>148</x:v>
      </x:c>
      <x:c r="C44" s="34">
        <x:v>0.04</x:v>
      </x:c>
      <x:c r="D44" s="35">
        <x:v>0.06</x:v>
      </x:c>
      <x:c r="E44" s="11"/>
      <x:c r="F44" s="11" t="s">
        <x:v>121</x:v>
      </x:c>
      <x:c r="G44" s="12" t="s">
        <x:v>149</x:v>
      </x:c>
    </x:row>
    <x:row r="45">
      <x:c r="A45" s="9" t="s">
        <x:v>119</x:v>
      </x:c>
      <x:c r="B45" s="11" t="s">
        <x:v>150</x:v>
      </x:c>
      <x:c r="C45" s="34">
        <x:v>0.05</x:v>
      </x:c>
      <x:c r="D45" s="35">
        <x:v>0.04</x:v>
      </x:c>
      <x:c r="E45" s="11"/>
      <x:c r="F45" s="11" t="s">
        <x:v>121</x:v>
      </x:c>
      <x:c r="G45" s="12" t="s">
        <x:v>151</x:v>
      </x:c>
    </x:row>
    <x:row r="46">
      <x:c r="A46" s="9" t="s">
        <x:v>152</x:v>
      </x:c>
      <x:c r="B46" s="11" t="s">
        <x:v>153</x:v>
      </x:c>
      <x:c r="C46" s="36">
        <x:v>20</x:v>
      </x:c>
      <x:c r="D46" s="37">
        <x:v>20</x:v>
      </x:c>
      <x:c r="E46" s="11"/>
      <x:c r="F46" s="11" t="s">
        <x:v>132</x:v>
      </x:c>
      <x:c r="G46" s="12" t="s">
        <x:v>154</x:v>
      </x:c>
    </x:row>
    <x:row r="47">
      <x:c r="A47" s="9" t="s">
        <x:v>152</x:v>
      </x:c>
      <x:c r="B47" s="11" t="s">
        <x:v>155</x:v>
      </x:c>
      <x:c r="C47" s="36">
        <x:v>10</x:v>
      </x:c>
      <x:c r="D47" s="37">
        <x:v>10</x:v>
      </x:c>
      <x:c r="E47" s="11"/>
      <x:c r="F47" s="11" t="s">
        <x:v>132</x:v>
      </x:c>
      <x:c r="G47" s="12" t="s">
        <x:v>156</x:v>
      </x:c>
    </x:row>
    <x:row r="48">
      <x:c r="A48" s="9" t="s">
        <x:v>152</x:v>
      </x:c>
      <x:c r="B48" s="11" t="s">
        <x:v>157</x:v>
      </x:c>
      <x:c r="C48" s="38">
        <x:v>5</x:v>
      </x:c>
      <x:c r="D48" s="39">
        <x:v>5</x:v>
      </x:c>
      <x:c r="E48" s="11"/>
      <x:c r="F48" s="11" t="s">
        <x:v>132</x:v>
      </x:c>
      <x:c r="G48" s="12" t="s">
        <x:v>158</x:v>
      </x:c>
    </x:row>
    <x:row r="49">
      <x:c r="A49" s="9"/>
      <x:c r="B49" s="11"/>
      <x:c r="C49" s="11"/>
      <x:c r="D49" s="11"/>
      <x:c r="E49" s="11"/>
      <x:c r="F49" s="11"/>
      <x:c r="G49" s="12"/>
    </x:row>
    <x:row r="50">
      <x:c r="A50" s="193" t="s">
        <x:v>159</x:v>
      </x:c>
      <x:c r="B50" s="194"/>
      <x:c r="C50" s="194"/>
      <x:c r="D50" s="194"/>
      <x:c r="E50" s="194"/>
      <x:c r="F50" s="194"/>
      <x:c r="G50" s="195"/>
    </x:row>
    <x:row r="51">
      <x:c r="A51" s="9" t="s">
        <x:v>160</x:v>
      </x:c>
      <x:c r="B51" s="11" t="s">
        <x:v>161</x:v>
      </x:c>
      <x:c r="C51" s="40">
        <x:v>12.3</x:v>
      </x:c>
      <x:c r="D51" s="41">
        <x:v>14.2</x:v>
      </x:c>
      <x:c r="E51" s="11"/>
      <x:c r="F51" s="11" t="s">
        <x:v>109</x:v>
      </x:c>
      <x:c r="G51" s="12" t="s">
        <x:v>162</x:v>
      </x:c>
    </x:row>
    <x:row r="52">
      <x:c r="A52" s="9" t="s">
        <x:v>160</x:v>
      </x:c>
      <x:c r="B52" s="11" t="s">
        <x:v>163</x:v>
      </x:c>
      <x:c r="C52" s="42">
        <x:v>11.8</x:v>
      </x:c>
      <x:c r="D52" s="43">
        <x:v>14.8</x:v>
      </x:c>
      <x:c r="E52" s="11"/>
      <x:c r="F52" s="11" t="s">
        <x:v>109</x:v>
      </x:c>
      <x:c r="G52" s="12" t="s">
        <x:v>145</x:v>
      </x:c>
    </x:row>
    <x:row r="53">
      <x:c r="A53" s="9" t="s">
        <x:v>160</x:v>
      </x:c>
      <x:c r="B53" s="11" t="s">
        <x:v>164</x:v>
      </x:c>
      <x:c r="C53" s="42">
        <x:v>12.6</x:v>
      </x:c>
      <x:c r="D53" s="43">
        <x:v>15.4</x:v>
      </x:c>
      <x:c r="E53" s="11"/>
      <x:c r="F53" s="11" t="s">
        <x:v>109</x:v>
      </x:c>
      <x:c r="G53" s="12" t="s">
        <x:v>147</x:v>
      </x:c>
    </x:row>
    <x:row r="54">
      <x:c r="A54" s="9" t="s">
        <x:v>165</x:v>
      </x:c>
      <x:c r="B54" s="11" t="s">
        <x:v>166</x:v>
      </x:c>
      <x:c r="C54" s="42">
        <x:v>13.5</x:v>
      </x:c>
      <x:c r="D54" s="43">
        <x:v>11.9</x:v>
      </x:c>
      <x:c r="E54" s="11"/>
      <x:c r="F54" s="11" t="s">
        <x:v>109</x:v>
      </x:c>
      <x:c r="G54" s="12" t="s">
        <x:v>167</x:v>
      </x:c>
    </x:row>
    <x:row r="55">
      <x:c r="A55" s="9" t="s">
        <x:v>165</x:v>
      </x:c>
      <x:c r="B55" s="11" t="s">
        <x:v>144</x:v>
      </x:c>
      <x:c r="C55" s="42">
        <x:v>13.8</x:v>
      </x:c>
      <x:c r="D55" s="43">
        <x:v>11.5</x:v>
      </x:c>
      <x:c r="E55" s="11"/>
      <x:c r="F55" s="11" t="s">
        <x:v>109</x:v>
      </x:c>
      <x:c r="G55" s="12" t="s">
        <x:v>145</x:v>
      </x:c>
    </x:row>
    <x:row r="56">
      <x:c r="A56" s="9" t="s">
        <x:v>165</x:v>
      </x:c>
      <x:c r="B56" s="11" t="s">
        <x:v>146</x:v>
      </x:c>
      <x:c r="C56" s="42">
        <x:v>14.1</x:v>
      </x:c>
      <x:c r="D56" s="43">
        <x:v>12.1</x:v>
      </x:c>
      <x:c r="E56" s="11"/>
      <x:c r="F56" s="11" t="s">
        <x:v>109</x:v>
      </x:c>
      <x:c r="G56" s="12" t="s">
        <x:v>147</x:v>
      </x:c>
    </x:row>
    <x:row r="57">
      <x:c r="A57" s="9" t="s">
        <x:v>168</x:v>
      </x:c>
      <x:c r="B57" s="11" t="s">
        <x:v>169</x:v>
      </x:c>
      <x:c r="C57" s="42">
        <x:v>56</x:v>
      </x:c>
      <x:c r="D57" s="43">
        <x:v>44</x:v>
      </x:c>
      <x:c r="E57" s="11"/>
      <x:c r="F57" s="11" t="s">
        <x:v>170</x:v>
      </x:c>
      <x:c r="G57" s="12" t="s">
        <x:v>171</x:v>
      </x:c>
    </x:row>
    <x:row r="58">
      <x:c r="A58" s="9" t="s">
        <x:v>172</x:v>
      </x:c>
      <x:c r="B58" s="11" t="s">
        <x:v>173</x:v>
      </x:c>
      <x:c r="C58" s="42">
        <x:v>0</x:v>
      </x:c>
      <x:c r="D58" s="43">
        <x:v>1</x:v>
      </x:c>
      <x:c r="E58" s="11"/>
      <x:c r="F58" s="11" t="s">
        <x:v>128</x:v>
      </x:c>
      <x:c r="G58" s="12" t="s">
        <x:v>174</x:v>
      </x:c>
    </x:row>
    <x:row r="59">
      <x:c r="A59" s="9" t="s">
        <x:v>175</x:v>
      </x:c>
      <x:c r="B59" s="11" t="s">
        <x:v>176</x:v>
      </x:c>
      <x:c r="C59" s="36">
        <x:v>2</x:v>
      </x:c>
      <x:c r="D59" s="37">
        <x:v>3</x:v>
      </x:c>
      <x:c r="E59" s="11"/>
      <x:c r="F59" s="11" t="s">
        <x:v>85</x:v>
      </x:c>
      <x:c r="G59" s="12" t="s">
        <x:v>177</x:v>
      </x:c>
    </x:row>
    <x:row r="60">
      <x:c r="A60" s="9" t="s">
        <x:v>178</x:v>
      </x:c>
      <x:c r="B60" s="11" t="s">
        <x:v>179</x:v>
      </x:c>
      <x:c r="C60" s="38" t="s">
        <x:v>97</x:v>
      </x:c>
      <x:c r="D60" s="39" t="s">
        <x:v>97</x:v>
      </x:c>
      <x:c r="E60" s="11"/>
      <x:c r="F60" s="11" t="s">
        <x:v>93</x:v>
      </x:c>
      <x:c r="G60" s="12" t="s">
        <x:v>180</x:v>
      </x:c>
    </x:row>
    <x:row r="61" ht="27">
      <x:c r="A61" s="9" t="s">
        <x:v>178</x:v>
      </x:c>
      <x:c r="B61" s="11" t="s">
        <x:v>181</x:v>
      </x:c>
      <x:c r="C61" s="11"/>
      <x:c r="D61" s="11"/>
      <x:c r="E61" s="44" t="s">
        <x:v>182</x:v>
      </x:c>
      <x:c r="F61" s="11" t="s">
        <x:v>183</x:v>
      </x:c>
      <x:c r="G61" s="12" t="s">
        <x:v>184</x:v>
      </x:c>
    </x:row>
    <x:row r="62">
      <x:c r="A62" s="9"/>
      <x:c r="B62" s="11"/>
      <x:c r="C62" s="11"/>
      <x:c r="D62" s="11"/>
      <x:c r="E62" s="11"/>
      <x:c r="F62" s="11"/>
      <x:c r="G62" s="12"/>
    </x:row>
    <x:row r="63">
      <x:c r="A63" s="193" t="s">
        <x:v>185</x:v>
      </x:c>
      <x:c r="B63" s="194"/>
      <x:c r="C63" s="194"/>
      <x:c r="D63" s="194"/>
      <x:c r="E63" s="194"/>
      <x:c r="F63" s="194"/>
      <x:c r="G63" s="195"/>
    </x:row>
    <x:row r="64">
      <x:c r="A64" s="9" t="s">
        <x:v>8</x:v>
      </x:c>
      <x:c r="B64" s="11" t="s">
        <x:v>186</x:v>
      </x:c>
      <x:c r="C64" s="11"/>
      <x:c r="D64" s="11"/>
      <x:c r="E64" s="45">
        <x:v>5.0999999999999996</x:v>
      </x:c>
      <x:c r="F64" s="11" t="s">
        <x:v>106</x:v>
      </x:c>
      <x:c r="G64" s="12" t="s">
        <x:v>187</x:v>
      </x:c>
    </x:row>
    <x:row r="65">
      <x:c r="A65" s="9" t="s">
        <x:v>8</x:v>
      </x:c>
      <x:c r="B65" s="11" t="s">
        <x:v>188</x:v>
      </x:c>
      <x:c r="C65" s="11"/>
      <x:c r="D65" s="11"/>
      <x:c r="E65" s="30">
        <x:v>25.2</x:v>
      </x:c>
      <x:c r="F65" s="11" t="s">
        <x:v>109</x:v>
      </x:c>
      <x:c r="G65" s="12" t="s">
        <x:v>189</x:v>
      </x:c>
    </x:row>
    <x:row r="66">
      <x:c r="A66" s="9" t="s">
        <x:v>8</x:v>
      </x:c>
      <x:c r="B66" s="11" t="s">
        <x:v>190</x:v>
      </x:c>
      <x:c r="C66" s="11"/>
      <x:c r="D66" s="11"/>
      <x:c r="E66" s="30">
        <x:v>0.12</x:v>
      </x:c>
      <x:c r="F66" s="11" t="s">
        <x:v>121</x:v>
      </x:c>
      <x:c r="G66" s="12" t="s">
        <x:v>191</x:v>
      </x:c>
    </x:row>
    <x:row r="67">
      <x:c r="A67" s="9" t="s">
        <x:v>152</x:v>
      </x:c>
      <x:c r="B67" s="11" t="s">
        <x:v>192</x:v>
      </x:c>
      <x:c r="C67" s="11"/>
      <x:c r="D67" s="11"/>
      <x:c r="E67" s="28">
        <x:v>18</x:v>
      </x:c>
      <x:c r="F67" s="11" t="s">
        <x:v>132</x:v>
      </x:c>
      <x:c r="G67" s="12" t="s">
        <x:v>193</x:v>
      </x:c>
    </x:row>
    <x:row r="68">
      <x:c r="A68" s="9" t="s">
        <x:v>8</x:v>
      </x:c>
      <x:c r="B68" s="11" t="s">
        <x:v>194</x:v>
      </x:c>
      <x:c r="C68" s="11"/>
      <x:c r="D68" s="11"/>
      <x:c r="E68" s="31">
        <x:v>0.46</x:v>
      </x:c>
      <x:c r="F68" s="11" t="s">
        <x:v>170</x:v>
      </x:c>
      <x:c r="G68" s="12" t="s">
        <x:v>195</x:v>
      </x:c>
    </x:row>
    <x:row r="69">
      <x:c r="A69" s="9" t="s">
        <x:v>8</x:v>
      </x:c>
      <x:c r="B69" s="11" t="s">
        <x:v>196</x:v>
      </x:c>
      <x:c r="C69" s="11"/>
      <x:c r="D69" s="11"/>
      <x:c r="E69" s="28">
        <x:v>0</x:v>
      </x:c>
      <x:c r="F69" s="11" t="s">
        <x:v>128</x:v>
      </x:c>
      <x:c r="G69" s="12" t="s">
        <x:v>197</x:v>
      </x:c>
    </x:row>
    <x:row r="70">
      <x:c r="A70" s="9" t="s">
        <x:v>130</x:v>
      </x:c>
      <x:c r="B70" s="11" t="s">
        <x:v>198</x:v>
      </x:c>
      <x:c r="C70" s="11"/>
      <x:c r="D70" s="11"/>
      <x:c r="E70" s="29">
        <x:v>7</x:v>
      </x:c>
      <x:c r="F70" s="11" t="s">
        <x:v>199</x:v>
      </x:c>
      <x:c r="G70" s="12" t="s">
        <x:v>200</x:v>
      </x:c>
    </x:row>
    <x:row r="71">
      <x:c r="A71" s="9"/>
      <x:c r="B71" s="11"/>
      <x:c r="C71" s="11"/>
      <x:c r="D71" s="11"/>
      <x:c r="E71" s="11"/>
      <x:c r="F71" s="11"/>
      <x:c r="G71" s="12"/>
    </x:row>
    <x:row r="72">
      <x:c r="A72" s="193" t="s">
        <x:v>201</x:v>
      </x:c>
      <x:c r="B72" s="194"/>
      <x:c r="C72" s="194"/>
      <x:c r="D72" s="194"/>
      <x:c r="E72" s="194"/>
      <x:c r="F72" s="194"/>
      <x:c r="G72" s="195"/>
    </x:row>
    <x:row r="73">
      <x:c r="A73" s="9" t="s">
        <x:v>202</x:v>
      </x:c>
      <x:c r="B73" s="11" t="s">
        <x:v>203</x:v>
      </x:c>
      <x:c r="C73" s="11"/>
      <x:c r="D73" s="11"/>
      <x:c r="E73" s="26">
        <x:v>7</x:v>
      </x:c>
      <x:c r="F73" s="11" t="s">
        <x:v>199</x:v>
      </x:c>
      <x:c r="G73" s="12" t="s">
        <x:v>204</x:v>
      </x:c>
    </x:row>
    <x:row r="74">
      <x:c r="A74" s="9" t="s">
        <x:v>202</x:v>
      </x:c>
      <x:c r="B74" s="11" t="s">
        <x:v>205</x:v>
      </x:c>
      <x:c r="C74" s="11"/>
      <x:c r="D74" s="11"/>
      <x:c r="E74" s="28">
        <x:v>6</x:v>
      </x:c>
      <x:c r="F74" s="11" t="s">
        <x:v>199</x:v>
      </x:c>
      <x:c r="G74" s="12" t="s">
        <x:v>204</x:v>
      </x:c>
    </x:row>
    <x:row r="75">
      <x:c r="A75" s="9" t="s">
        <x:v>202</x:v>
      </x:c>
      <x:c r="B75" s="11" t="s">
        <x:v>206</x:v>
      </x:c>
      <x:c r="C75" s="11"/>
      <x:c r="D75" s="11"/>
      <x:c r="E75" s="28">
        <x:v>7</x:v>
      </x:c>
      <x:c r="F75" s="11" t="s">
        <x:v>199</x:v>
      </x:c>
      <x:c r="G75" s="12" t="s">
        <x:v>207</x:v>
      </x:c>
    </x:row>
    <x:row r="76">
      <x:c r="A76" s="9" t="s">
        <x:v>168</x:v>
      </x:c>
      <x:c r="B76" s="11" t="s">
        <x:v>208</x:v>
      </x:c>
      <x:c r="C76" s="11"/>
      <x:c r="D76" s="11"/>
      <x:c r="E76" s="28">
        <x:v>6</x:v>
      </x:c>
      <x:c r="F76" s="11" t="s">
        <x:v>199</x:v>
      </x:c>
      <x:c r="G76" s="12" t="s">
        <x:v>209</x:v>
      </x:c>
    </x:row>
    <x:row r="77">
      <x:c r="A77" s="9" t="s">
        <x:v>202</x:v>
      </x:c>
      <x:c r="B77" s="11" t="s">
        <x:v>210</x:v>
      </x:c>
      <x:c r="C77" s="11"/>
      <x:c r="D77" s="11"/>
      <x:c r="E77" s="28">
        <x:v>7</x:v>
      </x:c>
      <x:c r="F77" s="11" t="s">
        <x:v>199</x:v>
      </x:c>
      <x:c r="G77" s="12" t="s">
        <x:v>211</x:v>
      </x:c>
    </x:row>
    <x:row r="78">
      <x:c r="A78" s="9" t="s">
        <x:v>212</x:v>
      </x:c>
      <x:c r="B78" s="11" t="s">
        <x:v>213</x:v>
      </x:c>
      <x:c r="C78" s="11"/>
      <x:c r="D78" s="11"/>
      <x:c r="E78" s="28">
        <x:v>0</x:v>
      </x:c>
      <x:c r="F78" s="11" t="s">
        <x:v>128</x:v>
      </x:c>
      <x:c r="G78" s="12" t="s">
        <x:v>214</x:v>
      </x:c>
    </x:row>
    <x:row r="79">
      <x:c r="A79" s="9" t="s">
        <x:v>215</x:v>
      </x:c>
      <x:c r="B79" s="11" t="s">
        <x:v>216</x:v>
      </x:c>
      <x:c r="C79" s="11"/>
      <x:c r="D79" s="11"/>
      <x:c r="E79" s="28">
        <x:v>5</x:v>
      </x:c>
      <x:c r="F79" s="11" t="s">
        <x:v>199</x:v>
      </x:c>
      <x:c r="G79" s="12" t="s">
        <x:v>217</x:v>
      </x:c>
    </x:row>
    <x:row r="80">
      <x:c r="A80" s="9" t="s">
        <x:v>215</x:v>
      </x:c>
      <x:c r="B80" s="11" t="s">
        <x:v>218</x:v>
      </x:c>
      <x:c r="C80" s="11"/>
      <x:c r="D80" s="11"/>
      <x:c r="E80" s="28">
        <x:v>3</x:v>
      </x:c>
      <x:c r="F80" s="11" t="s">
        <x:v>199</x:v>
      </x:c>
      <x:c r="G80" s="12" t="s">
        <x:v>219</x:v>
      </x:c>
    </x:row>
    <x:row r="81">
      <x:c r="A81" s="9" t="s">
        <x:v>178</x:v>
      </x:c>
      <x:c r="B81" s="11" t="s">
        <x:v>220</x:v>
      </x:c>
      <x:c r="C81" s="11"/>
      <x:c r="D81" s="11"/>
      <x:c r="E81" s="28" t="s">
        <x:v>97</x:v>
      </x:c>
      <x:c r="F81" s="11" t="s">
        <x:v>93</x:v>
      </x:c>
      <x:c r="G81" s="12" t="str">
        <x:v>Coerența influențează Confidence, nu este filtru separat</x:v>
      </x:c>
    </x:row>
    <x:row r="82">
      <x:c r="A82" s="9" t="s">
        <x:v>221</x:v>
      </x:c>
      <x:c r="B82" s="11" t="s">
        <x:v>222</x:v>
      </x:c>
      <x:c r="C82" s="11"/>
      <x:c r="D82" s="11"/>
      <x:c r="E82" s="28" t="s">
        <x:v>92</x:v>
      </x:c>
      <x:c r="F82" s="11" t="s">
        <x:v>93</x:v>
      </x:c>
      <x:c r="G82" s="12" t="str">
        <x:v>Informativ; fără impact tehnic</x:v>
      </x:c>
    </x:row>
    <x:row r="83">
      <x:c r="A83" s="9" t="s">
        <x:v>130</x:v>
      </x:c>
      <x:c r="B83" s="11" t="s">
        <x:v>223</x:v>
      </x:c>
      <x:c r="C83" s="11"/>
      <x:c r="D83" s="11"/>
      <x:c r="E83" s="28">
        <x:v>3</x:v>
      </x:c>
      <x:c r="F83" s="11" t="s">
        <x:v>132</x:v>
      </x:c>
      <x:c r="G83" s="12" t="str">
        <x:v>Contribuție la Confidence; fără număr minim pentru verdict</x:v>
      </x:c>
    </x:row>
    <x:row r="84">
      <x:c r="A84" s="9" t="s">
        <x:v>67</x:v>
      </x:c>
      <x:c r="B84" s="11" t="s">
        <x:v>224</x:v>
      </x:c>
      <x:c r="C84" s="11"/>
      <x:c r="D84" s="11"/>
      <x:c r="E84" s="28" t="s">
        <x:v>97</x:v>
      </x:c>
      <x:c r="F84" s="11" t="s">
        <x:v>93</x:v>
      </x:c>
      <x:c r="G84" s="12" t="s">
        <x:v>225</x:v>
      </x:c>
    </x:row>
    <x:row r="85">
      <x:c r="A85" s="13" t="s">
        <x:v>226</x:v>
      </x:c>
      <x:c r="B85" s="15" t="s">
        <x:v>227</x:v>
      </x:c>
      <x:c r="C85" s="15"/>
      <x:c r="D85" s="15"/>
      <x:c r="E85" s="29" t="s">
        <x:v>228</x:v>
      </x:c>
      <x:c r="F85" s="15" t="s">
        <x:v>53</x:v>
      </x:c>
      <x:c r="G85" s="16" t="s">
        <x:v>229</x:v>
      </x:c>
    </x:row>
    <x:row r="87" ht="75">
      <x:c r="A87" s="158" t="s">
        <x:v>230</x:v>
      </x:c>
      <x:c r="B87" s="158"/>
      <x:c r="C87" s="158"/>
      <x:c r="D87" s="158"/>
      <x:c r="E87" s="158"/>
      <x:c r="F87" s="158"/>
      <x:c r="G87" s="158"/>
    </x:row>
    <x:row r="88">
      <x:c r="A88" t="s">
        <x:v>231</x:v>
      </x:c>
      <x:c r="B88" t="s">
        <x:v>232</x:v>
      </x:c>
      <x:c r="C88" s="166">
        <x:v>2</x:v>
      </x:c>
      <x:c r="D88" s="166">
        <x:v>2.4500000000000002</x:v>
      </x:c>
      <x:c r="F88" t="s">
        <x:v>106</x:v>
      </x:c>
      <x:c r="G88" t="s">
        <x:v>233</x:v>
      </x:c>
    </x:row>
    <x:row r="89">
      <x:c r="A89" t="s">
        <x:v>231</x:v>
      </x:c>
      <x:c r="B89" t="s">
        <x:v>234</x:v>
      </x:c>
      <x:c r="C89" s="166">
        <x:v>1.85</x:v>
      </x:c>
      <x:c r="D89" s="166">
        <x:v>2.6</x:v>
      </x:c>
      <x:c r="F89" t="s">
        <x:v>106</x:v>
      </x:c>
      <x:c r="G89" t="s">
        <x:v>235</x:v>
      </x:c>
    </x:row>
    <x:row r="90">
      <x:c r="A90" t="s">
        <x:v>236</x:v>
      </x:c>
      <x:c r="B90" t="s">
        <x:v>237</x:v>
      </x:c>
      <x:c r="C90" s="166">
        <x:v>2.2999999999999998</x:v>
      </x:c>
      <x:c r="D90" s="166">
        <x:v>2.25</x:v>
      </x:c>
      <x:c r="F90" t="s">
        <x:v>106</x:v>
      </x:c>
      <x:c r="G90" t="s">
        <x:v>238</x:v>
      </x:c>
    </x:row>
    <x:row r="91">
      <x:c r="A91" t="s">
        <x:v>236</x:v>
      </x:c>
      <x:c r="B91" t="s">
        <x:v>239</x:v>
      </x:c>
      <x:c r="C91" s="166">
        <x:v>2.4500000000000002</x:v>
      </x:c>
      <x:c r="D91" s="166">
        <x:v>2.2000000000000002</x:v>
      </x:c>
      <x:c r="F91" t="s">
        <x:v>106</x:v>
      </x:c>
      <x:c r="G91" t="s">
        <x:v>235</x:v>
      </x:c>
    </x:row>
    <x:row r="92">
      <x:c r="A92" t="s">
        <x:v>240</x:v>
      </x:c>
      <x:c r="B92" t="s">
        <x:v>241</x:v>
      </x:c>
      <x:c r="C92" s="166">
        <x:v>12</x:v>
      </x:c>
      <x:c r="D92" s="166">
        <x:v>14</x:v>
      </x:c>
      <x:c r="F92" t="s">
        <x:v>109</x:v>
      </x:c>
      <x:c r="G92" t="s">
        <x:v>242</x:v>
      </x:c>
    </x:row>
    <x:row r="93">
      <x:c r="A93" t="s">
        <x:v>240</x:v>
      </x:c>
      <x:c r="B93" t="s">
        <x:v>243</x:v>
      </x:c>
      <x:c r="C93" s="166">
        <x:v>11.7</x:v>
      </x:c>
      <x:c r="D93" s="166">
        <x:v>14.4</x:v>
      </x:c>
      <x:c r="F93" t="s">
        <x:v>109</x:v>
      </x:c>
      <x:c r="G93" t="s">
        <x:v>235</x:v>
      </x:c>
    </x:row>
    <x:row r="94">
      <x:c r="A94" t="s">
        <x:v>244</x:v>
      </x:c>
      <x:c r="B94" t="s">
        <x:v>245</x:v>
      </x:c>
      <x:c r="C94" s="166">
        <x:v>13.2</x:v>
      </x:c>
      <x:c r="D94" s="166">
        <x:v>12</x:v>
      </x:c>
      <x:c r="F94" t="s">
        <x:v>109</x:v>
      </x:c>
      <x:c r="G94" t="s">
        <x:v>242</x:v>
      </x:c>
    </x:row>
    <x:row r="95">
      <x:c r="A95" t="s">
        <x:v>244</x:v>
      </x:c>
      <x:c r="B95" t="s">
        <x:v>246</x:v>
      </x:c>
      <x:c r="C95" s="166">
        <x:v>13.5</x:v>
      </x:c>
      <x:c r="D95" s="166">
        <x:v>11.6</x:v>
      </x:c>
      <x:c r="F95" t="s">
        <x:v>109</x:v>
      </x:c>
      <x:c r="G95" t="s">
        <x:v>235</x:v>
      </x:c>
    </x:row>
    <x:row r="96">
      <x:c r="A96" t="s">
        <x:v>247</x:v>
      </x:c>
      <x:c r="B96" t="s">
        <x:v>248</x:v>
      </x:c>
      <x:c r="C96" s="167">
        <x:v>30</x:v>
      </x:c>
      <x:c r="D96" s="167">
        <x:v>30</x:v>
      </x:c>
      <x:c r="F96" t="s">
        <x:v>132</x:v>
      </x:c>
      <x:c r="G96" t="s">
        <x:v>249</x:v>
      </x:c>
    </x:row>
    <x:row r="97">
      <x:c r="A97" t="s">
        <x:v>250</x:v>
      </x:c>
      <x:c r="B97" t="s">
        <x:v>251</x:v>
      </x:c>
      <x:c r="E97" s="165" t="s">
        <x:v>97</x:v>
      </x:c>
      <x:c r="F97" t="s">
        <x:v>93</x:v>
      </x:c>
      <x:c r="G97" t="s">
        <x:v>252</x:v>
      </x:c>
    </x:row>
    <x:row r="98">
      <x:c r="A98" t="s">
        <x:v>250</x:v>
      </x:c>
      <x:c r="B98" t="s">
        <x:v>253</x:v>
      </x:c>
      <x:c r="E98" s="165" t="s">
        <x:v>97</x:v>
      </x:c>
      <x:c r="F98" t="s">
        <x:v>93</x:v>
      </x:c>
      <x:c r="G98" t="s">
        <x:v>254</x:v>
      </x:c>
    </x:row>
    <x:row r="100">
      <x:c r="A100" t="str">
        <x:v>Versiune</x:v>
      </x:c>
      <x:c r="B100" t="str">
        <x:v>Tipul setului</x:v>
      </x:c>
      <x:c r="C100"/>
      <x:c r="D100"/>
      <x:c r="E100" t="str">
        <x:v>DEMO</x:v>
      </x:c>
      <x:c r="F100" t="str">
        <x:v>DEMO / DATE UTILIZATOR</x:v>
      </x:c>
      <x:c r="G100" t="str">
        <x:v>Schimbă numai după înlocuirea datelor demonstrative</x:v>
      </x:c>
    </x:row>
  </x:sheetData>
  <x:mergeCells>
    <x:mergeCell ref="A50:G50"/>
    <x:mergeCell ref="A63:G63"/>
    <x:mergeCell ref="A72:G72"/>
    <x:mergeCell ref="A1:G1"/>
    <x:mergeCell ref="A2:G2"/>
    <x:mergeCell ref="A13:G13"/>
    <x:mergeCell ref="A26:G26"/>
    <x:mergeCell ref="A37:G37"/>
  </x:mergeCells>
  <x:dataValidations count="5">
    <x:dataValidation type="list" sqref="E8">
      <x:formula1>"PRUDENT,MODERAT"</x:formula1>
    </x:dataValidation>
    <x:dataValidation type="list" sqref="E9 E15 E11">
      <x:formula1>"CONFIRMAT,NECONFIRMAT,INCERT"</x:formula1>
    </x:dataValidation>
    <x:dataValidation type="list" sqref="E97:E98 E84 E81:E82 C60:D60 E20:E24">
      <x:formula1>"DA,NU"</x:formula1>
    </x:dataValidation>
    <x:dataValidation type="list" sqref="E61">
      <x:formula1>"CONFIRMAT,PROBABIL,NECUNOSCUT"</x:formula1>
    </x:dataValidation>
    <x:dataValidation type="list" sqref="E100">
      <x:formula1>"DEMO,DATE UTILIZATOR"</x:formula1>
    </x:dataValidation>
  </x:dataValidations>
  <x:pageMargins left="0.7" right="0.7" top="0.75" bottom="0.75" header="0.3" footer="0.3"/>
  <x:drawing xmlns:r="http://schemas.openxmlformats.org/officeDocument/2006/relationships" r:id="R638bac509a824b37"/>
  <x:legacyDrawing xmlns:r="http://schemas.openxmlformats.org/officeDocument/2006/relationships" r:id="R12f88a3aae3b4186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8" customWidth="1"/>
    <x:col min="2" max="2" width="40" customWidth="1"/>
    <x:col min="3" max="3" width="15" customWidth="1"/>
    <x:col min="4" max="4" width="16" customWidth="1"/>
    <x:col min="5" max="5" width="28" customWidth="1"/>
    <x:col min="6" max="6" width="34" customWidth="1"/>
  </x:cols>
  <x:sheetData>
    <x:row r="1" ht="27.950000762939453" customHeight="1">
      <x:c r="A1" s="190" t="str">
        <x:v>PARAMETRI CONFIGURABILI – OPTIMIZAT V4</x:v>
      </x:c>
      <x:c r="B1" s="190"/>
      <x:c r="C1" s="190"/>
      <x:c r="D1" s="190"/>
      <x:c r="E1" s="190"/>
      <x:c r="F1" s="190"/>
    </x:row>
    <x:row r="2">
      <x:c r="A2" s="196" t="s">
        <x:v>255</x:v>
      </x:c>
      <x:c r="B2" s="196"/>
      <x:c r="C2" s="196"/>
      <x:c r="D2" s="196"/>
      <x:c r="E2" s="196"/>
      <x:c r="F2" s="196"/>
    </x:row>
    <x:row r="3">
      <x:c r="A3" s="1" t="s">
        <x:v>256</x:v>
      </x:c>
      <x:c r="B3" s="1" t="s">
        <x:v>257</x:v>
      </x:c>
      <x:c r="C3" s="1" t="s">
        <x:v>1</x:v>
      </x:c>
      <x:c r="D3" s="1" t="s">
        <x:v>10</x:v>
      </x:c>
      <x:c r="E3" s="1" t="s">
        <x:v>258</x:v>
      </x:c>
      <x:c r="F3" s="1" t="s">
        <x:v>259</x:v>
      </x:c>
    </x:row>
    <x:row r="4">
      <x:c r="A4" s="5" t="s">
        <x:v>260</x:v>
      </x:c>
      <x:c r="B4" s="7" t="s">
        <x:v>261</x:v>
      </x:c>
      <x:c r="C4" s="46">
        <x:v>0.1</x:v>
      </x:c>
      <x:c r="D4" s="7" t="s">
        <x:v>170</x:v>
      </x:c>
      <x:c r="E4" s="7" t="s">
        <x:v>262</x:v>
      </x:c>
      <x:c r="F4" s="8" t="s">
        <x:v>263</x:v>
      </x:c>
    </x:row>
    <x:row r="5">
      <x:c r="A5" s="9" t="s">
        <x:v>260</x:v>
      </x:c>
      <x:c r="B5" s="11" t="s">
        <x:v>264</x:v>
      </x:c>
      <x:c r="C5" s="31">
        <x:v>0.2</x:v>
      </x:c>
      <x:c r="D5" s="11" t="s">
        <x:v>170</x:v>
      </x:c>
      <x:c r="E5" s="11" t="s">
        <x:v>265</x:v>
      </x:c>
      <x:c r="F5" s="12" t="s">
        <x:v>266</x:v>
      </x:c>
    </x:row>
    <x:row r="6">
      <x:c r="A6" s="9" t="s">
        <x:v>260</x:v>
      </x:c>
      <x:c r="B6" s="11" t="s">
        <x:v>267</x:v>
      </x:c>
      <x:c r="C6" s="31">
        <x:v>0.25</x:v>
      </x:c>
      <x:c r="D6" s="11" t="s">
        <x:v>170</x:v>
      </x:c>
      <x:c r="E6" s="11" t="s">
        <x:v>268</x:v>
      </x:c>
      <x:c r="F6" s="12" t="s">
        <x:v>269</x:v>
      </x:c>
    </x:row>
    <x:row r="7">
      <x:c r="A7" s="9" t="s">
        <x:v>260</x:v>
      </x:c>
      <x:c r="B7" s="11" t="s">
        <x:v>270</x:v>
      </x:c>
      <x:c r="C7" s="31">
        <x:v>0.15</x:v>
      </x:c>
      <x:c r="D7" s="11" t="s">
        <x:v>170</x:v>
      </x:c>
      <x:c r="E7" s="11" t="s">
        <x:v>158</x:v>
      </x:c>
      <x:c r="F7" s="12" t="s">
        <x:v>271</x:v>
      </x:c>
    </x:row>
    <x:row r="8">
      <x:c r="A8" s="9" t="s">
        <x:v>260</x:v>
      </x:c>
      <x:c r="B8" s="11" t="s">
        <x:v>272</x:v>
      </x:c>
      <x:c r="C8" s="31">
        <x:v>0.1</x:v>
      </x:c>
      <x:c r="D8" s="11" t="s">
        <x:v>170</x:v>
      </x:c>
      <x:c r="E8" s="11" t="s">
        <x:v>273</x:v>
      </x:c>
      <x:c r="F8" s="12" t="s">
        <x:v>274</x:v>
      </x:c>
    </x:row>
    <x:row r="9">
      <x:c r="A9" s="9" t="s">
        <x:v>260</x:v>
      </x:c>
      <x:c r="B9" s="11" t="s">
        <x:v>275</x:v>
      </x:c>
      <x:c r="C9" s="31">
        <x:v>0.15</x:v>
      </x:c>
      <x:c r="D9" s="11" t="s">
        <x:v>170</x:v>
      </x:c>
      <x:c r="E9" s="11" t="s">
        <x:v>276</x:v>
      </x:c>
      <x:c r="F9" s="12" t="s">
        <x:v>274</x:v>
      </x:c>
    </x:row>
    <x:row r="10">
      <x:c r="A10" s="9" t="s">
        <x:v>260</x:v>
      </x:c>
      <x:c r="B10" s="11" t="s">
        <x:v>277</x:v>
      </x:c>
      <x:c r="C10" s="47">
        <x:v>0.05</x:v>
      </x:c>
      <x:c r="D10" s="11" t="s">
        <x:v>170</x:v>
      </x:c>
      <x:c r="E10" s="11" t="s">
        <x:v>278</x:v>
      </x:c>
      <x:c r="F10" s="12" t="s">
        <x:v>274</x:v>
      </x:c>
    </x:row>
    <x:row r="11">
      <x:c r="A11" s="9" t="s">
        <x:v>178</x:v>
      </x:c>
      <x:c r="B11" s="11" t="s">
        <x:v>279</x:v>
      </x:c>
      <x:c r="C11" s="48" t="n">
        <x:f>SUM(C4:C10)</x:f>
        <x:v>1</x:v>
      </x:c>
      <x:c r="D11" s="11" t="s">
        <x:v>170</x:v>
      </x:c>
      <x:c r="E11" s="11" t="s">
        <x:v>280</x:v>
      </x:c>
      <x:c r="F11" s="12" t="s">
        <x:v>281</x:v>
      </x:c>
    </x:row>
    <x:row r="12">
      <x:c r="A12" s="9" t="s">
        <x:v>282</x:v>
      </x:c>
      <x:c r="B12" s="11" t="s">
        <x:v>283</x:v>
      </x:c>
      <x:c r="C12" s="46">
        <x:v>0.1</x:v>
      </x:c>
      <x:c r="D12" s="11" t="s">
        <x:v>170</x:v>
      </x:c>
      <x:c r="E12" s="11" t="s">
        <x:v>7</x:v>
      </x:c>
      <x:c r="F12" s="12"/>
    </x:row>
    <x:row r="13">
      <x:c r="A13" s="9" t="s">
        <x:v>282</x:v>
      </x:c>
      <x:c r="B13" s="11" t="s">
        <x:v>284</x:v>
      </x:c>
      <x:c r="C13" s="31">
        <x:v>0.15</x:v>
      </x:c>
      <x:c r="D13" s="11" t="s">
        <x:v>170</x:v>
      </x:c>
      <x:c r="E13" s="11" t="s">
        <x:v>285</x:v>
      </x:c>
      <x:c r="F13" s="12"/>
    </x:row>
    <x:row r="14">
      <x:c r="A14" s="9" t="s">
        <x:v>282</x:v>
      </x:c>
      <x:c r="B14" s="11" t="s">
        <x:v>286</x:v>
      </x:c>
      <x:c r="C14" s="31">
        <x:v>0.25</x:v>
      </x:c>
      <x:c r="D14" s="11" t="s">
        <x:v>170</x:v>
      </x:c>
      <x:c r="E14" s="11" t="s">
        <x:v>285</x:v>
      </x:c>
      <x:c r="F14" s="12"/>
    </x:row>
    <x:row r="15">
      <x:c r="A15" s="9" t="s">
        <x:v>282</x:v>
      </x:c>
      <x:c r="B15" s="11" t="s">
        <x:v>287</x:v>
      </x:c>
      <x:c r="C15" s="31">
        <x:v>0.2</x:v>
      </x:c>
      <x:c r="D15" s="11" t="s">
        <x:v>170</x:v>
      </x:c>
      <x:c r="E15" s="11" t="s">
        <x:v>285</x:v>
      </x:c>
      <x:c r="F15" s="12"/>
    </x:row>
    <x:row r="16">
      <x:c r="A16" s="9" t="s">
        <x:v>282</x:v>
      </x:c>
      <x:c r="B16" s="11" t="s">
        <x:v>288</x:v>
      </x:c>
      <x:c r="C16" s="31">
        <x:v>0.1</x:v>
      </x:c>
      <x:c r="D16" s="11" t="s">
        <x:v>170</x:v>
      </x:c>
      <x:c r="E16" s="11" t="s">
        <x:v>273</x:v>
      </x:c>
      <x:c r="F16" s="12"/>
    </x:row>
    <x:row r="17">
      <x:c r="A17" s="9" t="s">
        <x:v>282</x:v>
      </x:c>
      <x:c r="B17" s="11" t="s">
        <x:v>289</x:v>
      </x:c>
      <x:c r="C17" s="31">
        <x:v>0.15</x:v>
      </x:c>
      <x:c r="D17" s="11" t="s">
        <x:v>170</x:v>
      </x:c>
      <x:c r="E17" s="11" t="s">
        <x:v>273</x:v>
      </x:c>
      <x:c r="F17" s="12"/>
    </x:row>
    <x:row r="18">
      <x:c r="A18" s="9" t="s">
        <x:v>282</x:v>
      </x:c>
      <x:c r="B18" s="11" t="s">
        <x:v>290</x:v>
      </x:c>
      <x:c r="C18" s="47">
        <x:v>0.05</x:v>
      </x:c>
      <x:c r="D18" s="11" t="s">
        <x:v>170</x:v>
      </x:c>
      <x:c r="E18" s="11" t="s">
        <x:v>273</x:v>
      </x:c>
      <x:c r="F18" s="12"/>
    </x:row>
    <x:row r="19">
      <x:c r="A19" s="9" t="s">
        <x:v>178</x:v>
      </x:c>
      <x:c r="B19" s="11" t="s">
        <x:v>291</x:v>
      </x:c>
      <x:c r="C19" s="48" t="n">
        <x:f>SUM(C12:C18)</x:f>
        <x:v>1</x:v>
      </x:c>
      <x:c r="D19" s="11" t="s">
        <x:v>170</x:v>
      </x:c>
      <x:c r="E19" s="11" t="s">
        <x:v>280</x:v>
      </x:c>
      <x:c r="F19" s="12" t="s">
        <x:v>281</x:v>
      </x:c>
    </x:row>
    <x:row r="20">
      <x:c r="A20" s="9" t="s">
        <x:v>8</x:v>
      </x:c>
      <x:c r="B20" s="11" t="s">
        <x:v>292</x:v>
      </x:c>
      <x:c r="C20" s="26">
        <x:v>0.65</x:v>
      </x:c>
      <x:c r="D20" s="11" t="s">
        <x:v>293</x:v>
      </x:c>
      <x:c r="E20" s="11" t="s">
        <x:v>294</x:v>
      </x:c>
      <x:c r="F20" s="12" t="s">
        <x:v>295</x:v>
      </x:c>
    </x:row>
    <x:row r="21">
      <x:c r="A21" s="9" t="s">
        <x:v>8</x:v>
      </x:c>
      <x:c r="B21" s="11" t="s">
        <x:v>296</x:v>
      </x:c>
      <x:c r="C21" s="28">
        <x:v>15</x:v>
      </x:c>
      <x:c r="D21" s="11" t="s">
        <x:v>297</x:v>
      </x:c>
      <x:c r="E21" s="11" t="s">
        <x:v>298</x:v>
      </x:c>
      <x:c r="F21" s="12" t="s">
        <x:v>299</x:v>
      </x:c>
    </x:row>
    <x:row r="22">
      <x:c r="A22" s="9" t="s">
        <x:v>8</x:v>
      </x:c>
      <x:c r="B22" s="11" t="s">
        <x:v>300</x:v>
      </x:c>
      <x:c r="C22" s="28">
        <x:v>0.75</x:v>
      </x:c>
      <x:c r="D22" s="11" t="s">
        <x:v>301</x:v>
      </x:c>
      <x:c r="E22" s="11" t="s">
        <x:v>302</x:v>
      </x:c>
      <x:c r="F22" s="12"/>
    </x:row>
    <x:row r="23">
      <x:c r="A23" s="9" t="s">
        <x:v>8</x:v>
      </x:c>
      <x:c r="B23" s="11" t="s">
        <x:v>303</x:v>
      </x:c>
      <x:c r="C23" s="28">
        <x:v>1.25</x:v>
      </x:c>
      <x:c r="D23" s="11" t="s">
        <x:v>301</x:v>
      </x:c>
      <x:c r="E23" s="11" t="s">
        <x:v>302</x:v>
      </x:c>
      <x:c r="F23" s="12"/>
    </x:row>
    <x:row r="24">
      <x:c r="A24" s="9" t="s">
        <x:v>8</x:v>
      </x:c>
      <x:c r="B24" s="11" t="s">
        <x:v>304</x:v>
      </x:c>
      <x:c r="C24" s="28">
        <x:v>0.35</x:v>
      </x:c>
      <x:c r="D24" s="11" t="s">
        <x:v>293</x:v>
      </x:c>
      <x:c r="E24" s="11" t="s">
        <x:v>305</x:v>
      </x:c>
      <x:c r="F24" s="12" t="s">
        <x:v>295</x:v>
      </x:c>
    </x:row>
    <x:row r="25">
      <x:c r="A25" s="9" t="s">
        <x:v>160</x:v>
      </x:c>
      <x:c r="B25" s="11" t="s">
        <x:v>306</x:v>
      </x:c>
      <x:c r="C25" s="28">
        <x:v>0.25</x:v>
      </x:c>
      <x:c r="D25" s="11" t="s">
        <x:v>293</x:v>
      </x:c>
      <x:c r="E25" s="11" t="s">
        <x:v>294</x:v>
      </x:c>
      <x:c r="F25" s="12" t="s">
        <x:v>307</x:v>
      </x:c>
    </x:row>
    <x:row r="26">
      <x:c r="A26" s="9" t="s">
        <x:v>160</x:v>
      </x:c>
      <x:c r="B26" s="11" t="s">
        <x:v>308</x:v>
      </x:c>
      <x:c r="C26" s="28">
        <x:v>0.8</x:v>
      </x:c>
      <x:c r="D26" s="11" t="s">
        <x:v>301</x:v>
      </x:c>
      <x:c r="E26" s="11" t="s">
        <x:v>302</x:v>
      </x:c>
      <x:c r="F26" s="12"/>
    </x:row>
    <x:row r="27">
      <x:c r="A27" s="9" t="s">
        <x:v>160</x:v>
      </x:c>
      <x:c r="B27" s="11" t="s">
        <x:v>309</x:v>
      </x:c>
      <x:c r="C27" s="28">
        <x:v>1.2</x:v>
      </x:c>
      <x:c r="D27" s="11" t="s">
        <x:v>301</x:v>
      </x:c>
      <x:c r="E27" s="11" t="s">
        <x:v>302</x:v>
      </x:c>
      <x:c r="F27" s="12"/>
    </x:row>
    <x:row r="28">
      <x:c r="A28" s="9" t="s">
        <x:v>168</x:v>
      </x:c>
      <x:c r="B28" s="11" t="s">
        <x:v>310</x:v>
      </x:c>
      <x:c r="C28" s="31">
        <x:v>2.5000000000000001E-2</x:v>
      </x:c>
      <x:c r="D28" s="11" t="s">
        <x:v>170</x:v>
      </x:c>
      <x:c r="E28" s="11" t="s">
        <x:v>311</x:v>
      </x:c>
      <x:c r="F28" s="12" t="s">
        <x:v>312</x:v>
      </x:c>
    </x:row>
    <x:row r="29">
      <x:c r="A29" s="9" t="s">
        <x:v>175</x:v>
      </x:c>
      <x:c r="B29" s="11" t="s">
        <x:v>313</x:v>
      </x:c>
      <x:c r="C29" s="31">
        <x:v>0.03</x:v>
      </x:c>
      <x:c r="D29" s="11" t="s">
        <x:v>170</x:v>
      </x:c>
      <x:c r="E29" s="11" t="s">
        <x:v>128</x:v>
      </x:c>
      <x:c r="F29" s="12"/>
    </x:row>
    <x:row r="30">
      <x:c r="A30" s="9" t="s">
        <x:v>202</x:v>
      </x:c>
      <x:c r="B30" s="11" t="s">
        <x:v>314</x:v>
      </x:c>
      <x:c r="C30" s="28">
        <x:v>0.75</x:v>
      </x:c>
      <x:c r="D30" s="11" t="s">
        <x:v>301</x:v>
      </x:c>
      <x:c r="E30" s="11" t="s">
        <x:v>315</x:v>
      </x:c>
      <x:c r="F30" s="12"/>
    </x:row>
    <x:row r="31">
      <x:c r="A31" s="9" t="s">
        <x:v>202</x:v>
      </x:c>
      <x:c r="B31" s="11" t="s">
        <x:v>316</x:v>
      </x:c>
      <x:c r="C31" s="28">
        <x:v>1.35</x:v>
      </x:c>
      <x:c r="D31" s="11" t="s">
        <x:v>301</x:v>
      </x:c>
      <x:c r="E31" s="11" t="s">
        <x:v>315</x:v>
      </x:c>
      <x:c r="F31" s="12"/>
    </x:row>
    <x:row r="32">
      <x:c r="A32" s="9" t="s">
        <x:v>317</x:v>
      </x:c>
      <x:c r="B32" s="11" t="s">
        <x:v>318</x:v>
      </x:c>
      <x:c r="C32" s="28">
        <x:v>0.9</x:v>
      </x:c>
      <x:c r="D32" s="11" t="s">
        <x:v>319</x:v>
      </x:c>
      <x:c r="E32" s="11" t="s">
        <x:v>320</x:v>
      </x:c>
      <x:c r="F32" s="12" t="s">
        <x:v>321</x:v>
      </x:c>
    </x:row>
    <x:row r="33">
      <x:c r="A33" s="9" t="s">
        <x:v>317</x:v>
      </x:c>
      <x:c r="B33" s="11" t="s">
        <x:v>322</x:v>
      </x:c>
      <x:c r="C33" s="28">
        <x:v>1.1000000000000001</x:v>
      </x:c>
      <x:c r="D33" s="11" t="s">
        <x:v>319</x:v>
      </x:c>
      <x:c r="E33" s="11" t="s">
        <x:v>320</x:v>
      </x:c>
      <x:c r="F33" s="12" t="s">
        <x:v>321</x:v>
      </x:c>
    </x:row>
    <x:row r="34">
      <x:c r="A34" s="9" t="s">
        <x:v>202</x:v>
      </x:c>
      <x:c r="B34" s="11" t="s">
        <x:v>323</x:v>
      </x:c>
      <x:c r="C34" s="31">
        <x:v>1.7999999999999999E-2</x:v>
      </x:c>
      <x:c r="D34" s="11" t="s">
        <x:v>170</x:v>
      </x:c>
      <x:c r="E34" s="11" t="s">
        <x:v>324</x:v>
      </x:c>
      <x:c r="F34" s="12"/>
    </x:row>
    <x:row r="35">
      <x:c r="A35" s="9" t="s">
        <x:v>202</x:v>
      </x:c>
      <x:c r="B35" s="11" t="s">
        <x:v>325</x:v>
      </x:c>
      <x:c r="C35" s="31">
        <x:v>1.2E-2</x:v>
      </x:c>
      <x:c r="D35" s="11" t="s">
        <x:v>170</x:v>
      </x:c>
      <x:c r="E35" s="11" t="s">
        <x:v>324</x:v>
      </x:c>
      <x:c r="F35" s="12"/>
    </x:row>
    <x:row r="36">
      <x:c r="A36" s="9" t="s">
        <x:v>202</x:v>
      </x:c>
      <x:c r="B36" s="11" t="s">
        <x:v>326</x:v>
      </x:c>
      <x:c r="C36" s="31">
        <x:v>1.2E-2</x:v>
      </x:c>
      <x:c r="D36" s="11" t="s">
        <x:v>170</x:v>
      </x:c>
      <x:c r="E36" s="11" t="s">
        <x:v>324</x:v>
      </x:c>
      <x:c r="F36" s="12"/>
    </x:row>
    <x:row r="37">
      <x:c r="A37" s="9" t="s">
        <x:v>202</x:v>
      </x:c>
      <x:c r="B37" s="11" t="s">
        <x:v>327</x:v>
      </x:c>
      <x:c r="C37" s="31">
        <x:v>0.01</x:v>
      </x:c>
      <x:c r="D37" s="11" t="s">
        <x:v>170</x:v>
      </x:c>
      <x:c r="E37" s="11" t="s">
        <x:v>324</x:v>
      </x:c>
      <x:c r="F37" s="12"/>
    </x:row>
    <x:row r="38">
      <x:c r="A38" s="9" t="s">
        <x:v>202</x:v>
      </x:c>
      <x:c r="B38" s="11" t="s">
        <x:v>328</x:v>
      </x:c>
      <x:c r="C38" s="31">
        <x:v>6.0000000000000001E-3</x:v>
      </x:c>
      <x:c r="D38" s="11" t="s">
        <x:v>170</x:v>
      </x:c>
      <x:c r="E38" s="11" t="s">
        <x:v>324</x:v>
      </x:c>
      <x:c r="F38" s="12"/>
    </x:row>
    <x:row r="39">
      <x:c r="A39" s="9" t="s">
        <x:v>202</x:v>
      </x:c>
      <x:c r="B39" s="11" t="s">
        <x:v>329</x:v>
      </x:c>
      <x:c r="C39" s="31">
        <x:v>0.01</x:v>
      </x:c>
      <x:c r="D39" s="11" t="s">
        <x:v>170</x:v>
      </x:c>
      <x:c r="E39" s="11" t="s">
        <x:v>330</x:v>
      </x:c>
      <x:c r="F39" s="12"/>
    </x:row>
    <x:row r="40">
      <x:c r="A40" s="9" t="s">
        <x:v>202</x:v>
      </x:c>
      <x:c r="B40" s="11" t="s">
        <x:v>331</x:v>
      </x:c>
      <x:c r="C40" s="31">
        <x:v>0.02</x:v>
      </x:c>
      <x:c r="D40" s="11" t="s">
        <x:v>170</x:v>
      </x:c>
      <x:c r="E40" s="11" t="s">
        <x:v>330</x:v>
      </x:c>
      <x:c r="F40" s="12"/>
    </x:row>
    <x:row r="41">
      <x:c r="A41" s="9" t="s">
        <x:v>202</x:v>
      </x:c>
      <x:c r="B41" s="11" t="s">
        <x:v>332</x:v>
      </x:c>
      <x:c r="C41" s="31">
        <x:v>1.4999999999999999E-2</x:v>
      </x:c>
      <x:c r="D41" s="11" t="s">
        <x:v>170</x:v>
      </x:c>
      <x:c r="E41" s="11" t="s">
        <x:v>333</x:v>
      </x:c>
      <x:c r="F41" s="12"/>
    </x:row>
    <x:row r="42">
      <x:c r="A42" s="9" t="s">
        <x:v>119</x:v>
      </x:c>
      <x:c r="B42" s="11" t="s">
        <x:v>334</x:v>
      </x:c>
      <x:c r="C42" s="31">
        <x:v>0.4</x:v>
      </x:c>
      <x:c r="D42" s="11" t="s">
        <x:v>170</x:v>
      </x:c>
      <x:c r="E42" s="11" t="s">
        <x:v>335</x:v>
      </x:c>
      <x:c r="F42" s="12"/>
    </x:row>
    <x:row r="43">
      <x:c r="A43" s="9" t="s">
        <x:v>119</x:v>
      </x:c>
      <x:c r="B43" s="11" t="s">
        <x:v>336</x:v>
      </x:c>
      <x:c r="C43" s="31">
        <x:v>0.3</x:v>
      </x:c>
      <x:c r="D43" s="11" t="s">
        <x:v>170</x:v>
      </x:c>
      <x:c r="E43" s="11" t="s">
        <x:v>335</x:v>
      </x:c>
      <x:c r="F43" s="12" t="s">
        <x:v>337</x:v>
      </x:c>
    </x:row>
    <x:row r="44">
      <x:c r="A44" s="9" t="s">
        <x:v>119</x:v>
      </x:c>
      <x:c r="B44" s="11" t="s">
        <x:v>338</x:v>
      </x:c>
      <x:c r="C44" s="31">
        <x:v>0.2</x:v>
      </x:c>
      <x:c r="D44" s="11" t="s">
        <x:v>170</x:v>
      </x:c>
      <x:c r="E44" s="11" t="s">
        <x:v>335</x:v>
      </x:c>
      <x:c r="F44" s="12" t="s">
        <x:v>339</x:v>
      </x:c>
    </x:row>
    <x:row r="45">
      <x:c r="A45" s="9" t="s">
        <x:v>119</x:v>
      </x:c>
      <x:c r="B45" s="11" t="s">
        <x:v>340</x:v>
      </x:c>
      <x:c r="C45" s="47">
        <x:v>0.1</x:v>
      </x:c>
      <x:c r="D45" s="11" t="s">
        <x:v>170</x:v>
      </x:c>
      <x:c r="E45" s="11" t="s">
        <x:v>335</x:v>
      </x:c>
      <x:c r="F45" s="12" t="s">
        <x:v>339</x:v>
      </x:c>
    </x:row>
    <x:row r="46">
      <x:c r="A46" s="9" t="s">
        <x:v>178</x:v>
      </x:c>
      <x:c r="B46" s="11" t="s">
        <x:v>341</x:v>
      </x:c>
      <x:c r="C46" s="48" t="n">
        <x:f>SUM(C42:C45)</x:f>
        <x:v>0.9999999999999999</x:v>
      </x:c>
      <x:c r="D46" s="11" t="s">
        <x:v>170</x:v>
      </x:c>
      <x:c r="E46" s="11" t="s">
        <x:v>280</x:v>
      </x:c>
      <x:c r="F46" s="12" t="s">
        <x:v>281</x:v>
      </x:c>
    </x:row>
    <x:row r="47">
      <x:c r="A47" s="9" t="s">
        <x:v>342</x:v>
      </x:c>
      <x:c r="B47" s="11" t="s">
        <x:v>343</x:v>
      </x:c>
      <x:c r="C47" s="26">
        <x:v>10</x:v>
      </x:c>
      <x:c r="D47" s="11" t="s">
        <x:v>132</x:v>
      </x:c>
      <x:c r="E47" s="11" t="str">
        <x:v>Reper / diagnostic, fără gate V4</x:v>
      </x:c>
      <x:c r="F47" s="12" t="str">
        <x:v>Fără blocaj cumulativ V4</x:v>
      </x:c>
    </x:row>
    <x:row r="48">
      <x:c r="A48" s="9" t="s">
        <x:v>342</x:v>
      </x:c>
      <x:c r="B48" s="11" t="s">
        <x:v>344</x:v>
      </x:c>
      <x:c r="C48" s="28">
        <x:v>6</x:v>
      </x:c>
      <x:c r="D48" s="11" t="s">
        <x:v>132</x:v>
      </x:c>
      <x:c r="E48" s="11" t="str">
        <x:v>Reper / diagnostic, fără gate V4</x:v>
      </x:c>
      <x:c r="F48" s="12" t="str">
        <x:v>Fără blocaj cumulativ V4</x:v>
      </x:c>
    </x:row>
    <x:row r="49">
      <x:c r="A49" s="9" t="s">
        <x:v>342</x:v>
      </x:c>
      <x:c r="B49" s="11" t="s">
        <x:v>345</x:v>
      </x:c>
      <x:c r="C49" s="28">
        <x:v>5</x:v>
      </x:c>
      <x:c r="D49" s="11" t="s">
        <x:v>132</x:v>
      </x:c>
      <x:c r="E49" s="11" t="str">
        <x:v>Reper / diagnostic, fără gate V4</x:v>
      </x:c>
      <x:c r="F49" s="12" t="str">
        <x:v>Fără blocaj cumulativ V4</x:v>
      </x:c>
    </x:row>
    <x:row r="50">
      <x:c r="A50" s="9" t="s">
        <x:v>342</x:v>
      </x:c>
      <x:c r="B50" s="11" t="s">
        <x:v>346</x:v>
      </x:c>
      <x:c r="C50" s="28">
        <x:v>8</x:v>
      </x:c>
      <x:c r="D50" s="11" t="s">
        <x:v>132</x:v>
      </x:c>
      <x:c r="E50" s="11" t="str">
        <x:v>Reper / diagnostic, fără gate V4</x:v>
      </x:c>
      <x:c r="F50" s="12" t="str">
        <x:v>Fără blocaj cumulativ V4</x:v>
      </x:c>
    </x:row>
    <x:row r="51">
      <x:c r="A51" s="9" t="s">
        <x:v>342</x:v>
      </x:c>
      <x:c r="B51" s="11" t="s">
        <x:v>347</x:v>
      </x:c>
      <x:c r="C51" s="28">
        <x:v>60</x:v>
      </x:c>
      <x:c r="D51" s="11" t="s">
        <x:v>132</x:v>
      </x:c>
      <x:c r="E51" s="11" t="str">
        <x:v>Reper / diagnostic, fără gate V4</x:v>
      </x:c>
      <x:c r="F51" s="12" t="str">
        <x:v>Fără blocaj cumulativ V4</x:v>
      </x:c>
    </x:row>
    <x:row r="52">
      <x:c r="A52" s="9" t="s">
        <x:v>348</x:v>
      </x:c>
      <x:c r="B52" s="11" t="s">
        <x:v>349</x:v>
      </x:c>
      <x:c r="C52" s="28">
        <x:v>2</x:v>
      </x:c>
      <x:c r="D52" s="11" t="s">
        <x:v>132</x:v>
      </x:c>
      <x:c r="E52" s="11" t="str">
        <x:v>Reper / diagnostic, fără gate V4</x:v>
      </x:c>
      <x:c r="F52" s="12" t="str">
        <x:v>Fără blocaj cumulativ V4</x:v>
      </x:c>
    </x:row>
    <x:row r="53">
      <x:c r="A53" s="9" t="s">
        <x:v>350</x:v>
      </x:c>
      <x:c r="B53" s="11" t="s">
        <x:v>351</x:v>
      </x:c>
      <x:c r="C53" s="31">
        <x:v>0.72</x:v>
      </x:c>
      <x:c r="D53" s="11" t="s">
        <x:v>170</x:v>
      </x:c>
      <x:c r="E53" s="11" t="str">
        <x:v>LEGACY – fără filtru V4</x:v>
      </x:c>
      <x:c r="F53" s="12"/>
    </x:row>
    <x:row r="54">
      <x:c r="A54" s="9" t="s">
        <x:v>350</x:v>
      </x:c>
      <x:c r="B54" s="11" t="s">
        <x:v>352</x:v>
      </x:c>
      <x:c r="C54" s="31">
        <x:v>0.04</x:v>
      </x:c>
      <x:c r="D54" s="11" t="s">
        <x:v>353</x:v>
      </x:c>
      <x:c r="E54" s="11" t="str">
        <x:v>LEGACY – fără filtru V4</x:v>
      </x:c>
      <x:c r="F54" s="12" t="s">
        <x:v>354</x:v>
      </x:c>
    </x:row>
    <x:row r="55">
      <x:c r="A55" s="9" t="s">
        <x:v>350</x:v>
      </x:c>
      <x:c r="B55" s="11" t="str">
        <x:v>EV – DEZACTIVAT</x:v>
      </x:c>
      <x:c r="C55" s="31" t="n">
        <x:v>0</x:v>
      </x:c>
      <x:c r="D55" s="11" t="str">
        <x:v>—</x:v>
      </x:c>
      <x:c r="E55" s="11" t="str">
        <x:v>neutilizat</x:v>
      </x:c>
      <x:c r="F55" s="12" t="str">
        <x:v>fără impact</x:v>
      </x:c>
    </x:row>
    <x:row r="56">
      <x:c r="A56" s="9" t="s">
        <x:v>350</x:v>
      </x:c>
      <x:c r="B56" s="11" t="s">
        <x:v>355</x:v>
      </x:c>
      <x:c r="C56" s="28">
        <x:v>0.5</x:v>
      </x:c>
      <x:c r="D56" s="11" t="s">
        <x:v>12</x:v>
      </x:c>
      <x:c r="E56" s="11" t="str">
        <x:v>LEGACY – fără filtru V4</x:v>
      </x:c>
      <x:c r="F56" s="12"/>
    </x:row>
    <x:row r="57">
      <x:c r="A57" s="9" t="s">
        <x:v>356</x:v>
      </x:c>
      <x:c r="B57" s="11" t="s">
        <x:v>351</x:v>
      </x:c>
      <x:c r="C57" s="31">
        <x:v>0.65</x:v>
      </x:c>
      <x:c r="D57" s="11" t="s">
        <x:v>170</x:v>
      </x:c>
      <x:c r="E57" s="11" t="str">
        <x:v>LEGACY – fără filtru V4</x:v>
      </x:c>
      <x:c r="F57" s="12"/>
    </x:row>
    <x:row r="58">
      <x:c r="A58" s="9" t="s">
        <x:v>356</x:v>
      </x:c>
      <x:c r="B58" s="11" t="s">
        <x:v>352</x:v>
      </x:c>
      <x:c r="C58" s="31">
        <x:v>0.03</x:v>
      </x:c>
      <x:c r="D58" s="11" t="s">
        <x:v>353</x:v>
      </x:c>
      <x:c r="E58" s="11" t="str">
        <x:v>LEGACY – fără filtru V4</x:v>
      </x:c>
      <x:c r="F58" s="12"/>
    </x:row>
    <x:row r="59">
      <x:c r="A59" s="9" t="s">
        <x:v>356</x:v>
      </x:c>
      <x:c r="B59" s="11" t="str">
        <x:v>EV – DEZACTIVAT</x:v>
      </x:c>
      <x:c r="C59" s="31" t="n">
        <x:v>0</x:v>
      </x:c>
      <x:c r="D59" s="11" t="str">
        <x:v>—</x:v>
      </x:c>
      <x:c r="E59" s="11" t="str">
        <x:v>neutilizat</x:v>
      </x:c>
      <x:c r="F59" s="12" t="str">
        <x:v>fără impact</x:v>
      </x:c>
    </x:row>
    <x:row r="60">
      <x:c r="A60" s="9" t="s">
        <x:v>356</x:v>
      </x:c>
      <x:c r="B60" s="11" t="s">
        <x:v>355</x:v>
      </x:c>
      <x:c r="C60" s="28">
        <x:v>0.3</x:v>
      </x:c>
      <x:c r="D60" s="11" t="s">
        <x:v>12</x:v>
      </x:c>
      <x:c r="E60" s="11" t="str">
        <x:v>LEGACY – fără filtru V4</x:v>
      </x:c>
      <x:c r="F60" s="12"/>
    </x:row>
    <x:row r="61">
      <x:c r="A61" s="9" t="s">
        <x:v>26</x:v>
      </x:c>
      <x:c r="B61" s="11" t="s">
        <x:v>357</x:v>
      </x:c>
      <x:c r="C61" s="28">
        <x:v>90</x:v>
      </x:c>
      <x:c r="D61" s="11" t="s">
        <x:v>358</x:v>
      </x:c>
      <x:c r="E61" s="11" t="s">
        <x:v>359</x:v>
      </x:c>
      <x:c r="F61" s="12"/>
    </x:row>
    <x:row r="62">
      <x:c r="A62" s="9" t="s">
        <x:v>26</x:v>
      </x:c>
      <x:c r="B62" s="11" t="s">
        <x:v>360</x:v>
      </x:c>
      <x:c r="C62" s="28">
        <x:v>80</x:v>
      </x:c>
      <x:c r="D62" s="11" t="s">
        <x:v>358</x:v>
      </x:c>
      <x:c r="E62" s="11" t="s">
        <x:v>359</x:v>
      </x:c>
      <x:c r="F62" s="12"/>
    </x:row>
    <x:row r="63">
      <x:c r="A63" s="9" t="s">
        <x:v>26</x:v>
      </x:c>
      <x:c r="B63" s="11" t="s">
        <x:v>361</x:v>
      </x:c>
      <x:c r="C63" s="28">
        <x:v>70</x:v>
      </x:c>
      <x:c r="D63" s="11" t="s">
        <x:v>358</x:v>
      </x:c>
      <x:c r="E63" s="11" t="s">
        <x:v>359</x:v>
      </x:c>
      <x:c r="F63" s="12"/>
    </x:row>
    <x:row r="64">
      <x:c r="A64" s="9" t="s">
        <x:v>26</x:v>
      </x:c>
      <x:c r="B64" s="11" t="s">
        <x:v>362</x:v>
      </x:c>
      <x:c r="C64" s="28">
        <x:v>60</x:v>
      </x:c>
      <x:c r="D64" s="11" t="s">
        <x:v>358</x:v>
      </x:c>
      <x:c r="E64" s="11" t="s">
        <x:v>359</x:v>
      </x:c>
      <x:c r="F64" s="12"/>
    </x:row>
    <x:row r="65">
      <x:c r="A65" s="9" t="s">
        <x:v>363</x:v>
      </x:c>
      <x:c r="B65" s="11" t="s">
        <x:v>364</x:v>
      </x:c>
      <x:c r="C65" s="31">
        <x:v>0.02</x:v>
      </x:c>
      <x:c r="D65" s="11" t="s">
        <x:v>353</x:v>
      </x:c>
      <x:c r="E65" s="11" t="s">
        <x:v>365</x:v>
      </x:c>
      <x:c r="F65" s="12"/>
    </x:row>
    <x:row r="66">
      <x:c r="A66" s="9" t="s">
        <x:v>363</x:v>
      </x:c>
      <x:c r="B66" s="11" t="s">
        <x:v>366</x:v>
      </x:c>
      <x:c r="C66" s="31">
        <x:v>3.5000000000000003E-2</x:v>
      </x:c>
      <x:c r="D66" s="11" t="s">
        <x:v>353</x:v>
      </x:c>
      <x:c r="E66" s="11" t="s">
        <x:v>365</x:v>
      </x:c>
      <x:c r="F66" s="12"/>
    </x:row>
    <x:row r="67">
      <x:c r="A67" s="9" t="s">
        <x:v>363</x:v>
      </x:c>
      <x:c r="B67" s="11" t="s">
        <x:v>367</x:v>
      </x:c>
      <x:c r="C67" s="31">
        <x:v>0.05</x:v>
      </x:c>
      <x:c r="D67" s="11" t="s">
        <x:v>353</x:v>
      </x:c>
      <x:c r="E67" s="11" t="s">
        <x:v>365</x:v>
      </x:c>
      <x:c r="F67" s="12"/>
    </x:row>
    <x:row r="68">
      <x:c r="A68" s="9" t="s">
        <x:v>363</x:v>
      </x:c>
      <x:c r="B68" s="11" t="s">
        <x:v>368</x:v>
      </x:c>
      <x:c r="C68" s="31">
        <x:v>7.0000000000000007E-2</x:v>
      </x:c>
      <x:c r="D68" s="11" t="s">
        <x:v>353</x:v>
      </x:c>
      <x:c r="E68" s="11" t="s">
        <x:v>365</x:v>
      </x:c>
      <x:c r="F68" s="12"/>
    </x:row>
    <x:row r="69">
      <x:c r="A69" s="9" t="s">
        <x:v>363</x:v>
      </x:c>
      <x:c r="B69" s="11" t="s">
        <x:v>369</x:v>
      </x:c>
      <x:c r="C69" s="31">
        <x:v>0.1</x:v>
      </x:c>
      <x:c r="D69" s="11" t="s">
        <x:v>353</x:v>
      </x:c>
      <x:c r="E69" s="11" t="s">
        <x:v>365</x:v>
      </x:c>
      <x:c r="F69" s="12"/>
    </x:row>
    <x:row r="70">
      <x:c r="A70" s="9" t="s">
        <x:v>119</x:v>
      </x:c>
      <x:c r="B70" s="11" t="s">
        <x:v>370</x:v>
      </x:c>
      <x:c r="C70" s="31">
        <x:v>0.12</x:v>
      </x:c>
      <x:c r="D70" s="11" t="s">
        <x:v>170</x:v>
      </x:c>
      <x:c r="E70" s="11" t="s">
        <x:v>371</x:v>
      </x:c>
      <x:c r="F70" s="12"/>
    </x:row>
    <x:row r="71">
      <x:c r="A71" s="9" t="s">
        <x:v>119</x:v>
      </x:c>
      <x:c r="B71" s="11" t="s">
        <x:v>372</x:v>
      </x:c>
      <x:c r="C71" s="31">
        <x:v>0.18</x:v>
      </x:c>
      <x:c r="D71" s="11" t="s">
        <x:v>170</x:v>
      </x:c>
      <x:c r="E71" s="11" t="s">
        <x:v>373</x:v>
      </x:c>
      <x:c r="F71" s="12"/>
    </x:row>
    <x:row r="72">
      <x:c r="A72" s="9" t="s">
        <x:v>363</x:v>
      </x:c>
      <x:c r="B72" s="11" t="s">
        <x:v>374</x:v>
      </x:c>
      <x:c r="C72" s="31">
        <x:v>1.4999999999999999E-2</x:v>
      </x:c>
      <x:c r="D72" s="11" t="s">
        <x:v>353</x:v>
      </x:c>
      <x:c r="E72" s="11" t="s">
        <x:v>365</x:v>
      </x:c>
      <x:c r="F72" s="12"/>
    </x:row>
    <x:row r="73">
      <x:c r="A73" s="9" t="s">
        <x:v>363</x:v>
      </x:c>
      <x:c r="B73" s="11" t="s">
        <x:v>375</x:v>
      </x:c>
      <x:c r="C73" s="31">
        <x:v>0.03</x:v>
      </x:c>
      <x:c r="D73" s="11" t="s">
        <x:v>353</x:v>
      </x:c>
      <x:c r="E73" s="11" t="s">
        <x:v>365</x:v>
      </x:c>
      <x:c r="F73" s="12"/>
    </x:row>
    <x:row r="74">
      <x:c r="A74" s="9" t="s">
        <x:v>111</x:v>
      </x:c>
      <x:c r="B74" s="11" t="s">
        <x:v>376</x:v>
      </x:c>
      <x:c r="C74" s="28">
        <x:v>1.25</x:v>
      </x:c>
      <x:c r="D74" s="11" t="s">
        <x:v>319</x:v>
      </x:c>
      <x:c r="E74" s="11" t="s">
        <x:v>373</x:v>
      </x:c>
      <x:c r="F74" s="12"/>
    </x:row>
    <x:row r="75">
      <x:c r="A75" s="9" t="s">
        <x:v>363</x:v>
      </x:c>
      <x:c r="B75" s="11" t="s">
        <x:v>377</x:v>
      </x:c>
      <x:c r="C75" s="31">
        <x:v>1.4999999999999999E-2</x:v>
      </x:c>
      <x:c r="D75" s="11" t="s">
        <x:v>353</x:v>
      </x:c>
      <x:c r="E75" s="11" t="s">
        <x:v>365</x:v>
      </x:c>
      <x:c r="F75" s="12"/>
    </x:row>
    <x:row r="76">
      <x:c r="A76" s="9" t="s">
        <x:v>363</x:v>
      </x:c>
      <x:c r="B76" s="11" t="s">
        <x:v>378</x:v>
      </x:c>
      <x:c r="C76" s="31">
        <x:v>1.4999999999999999E-2</x:v>
      </x:c>
      <x:c r="D76" s="11" t="s">
        <x:v>353</x:v>
      </x:c>
      <x:c r="E76" s="11" t="s">
        <x:v>379</x:v>
      </x:c>
      <x:c r="F76" s="12"/>
    </x:row>
    <x:row r="77">
      <x:c r="A77" s="9" t="s">
        <x:v>8</x:v>
      </x:c>
      <x:c r="B77" s="11" t="s">
        <x:v>380</x:v>
      </x:c>
      <x:c r="C77" s="28">
        <x:v>15</x:v>
      </x:c>
      <x:c r="D77" s="11" t="s">
        <x:v>132</x:v>
      </x:c>
      <x:c r="E77" s="11" t="s">
        <x:v>371</x:v>
      </x:c>
      <x:c r="F77" s="12"/>
    </x:row>
    <x:row r="78">
      <x:c r="A78" s="9" t="s">
        <x:v>363</x:v>
      </x:c>
      <x:c r="B78" s="11" t="s">
        <x:v>381</x:v>
      </x:c>
      <x:c r="C78" s="31">
        <x:v>0.01</x:v>
      </x:c>
      <x:c r="D78" s="11" t="s">
        <x:v>353</x:v>
      </x:c>
      <x:c r="E78" s="11" t="s">
        <x:v>365</x:v>
      </x:c>
      <x:c r="F78" s="12"/>
    </x:row>
    <x:row r="79">
      <x:c r="A79" s="9" t="s">
        <x:v>215</x:v>
      </x:c>
      <x:c r="B79" s="11" t="s">
        <x:v>382</x:v>
      </x:c>
      <x:c r="C79" s="28">
        <x:v>7</x:v>
      </x:c>
      <x:c r="D79" s="11" t="s">
        <x:v>199</x:v>
      </x:c>
      <x:c r="E79" s="11" t="s">
        <x:v>371</x:v>
      </x:c>
      <x:c r="F79" s="12"/>
    </x:row>
    <x:row r="80">
      <x:c r="A80" s="9" t="s">
        <x:v>363</x:v>
      </x:c>
      <x:c r="B80" s="11" t="s">
        <x:v>383</x:v>
      </x:c>
      <x:c r="C80" s="31">
        <x:v>1.4999999999999999E-2</x:v>
      </x:c>
      <x:c r="D80" s="11" t="s">
        <x:v>353</x:v>
      </x:c>
      <x:c r="E80" s="11" t="s">
        <x:v>365</x:v>
      </x:c>
      <x:c r="F80" s="12"/>
    </x:row>
    <x:row r="81">
      <x:c r="A81" s="9" t="s">
        <x:v>363</x:v>
      </x:c>
      <x:c r="B81" s="11" t="str">
        <x:v>Market move – INFORMATIV</x:v>
      </x:c>
      <x:c r="C81" s="31" t="n">
        <x:v>0</x:v>
      </x:c>
      <x:c r="D81" s="11" t="str">
        <x:v>pp</x:v>
      </x:c>
      <x:c r="E81" s="11" t="str">
        <x:v>fără impact tehnic</x:v>
      </x:c>
      <x:c r="F81" s="12" t="str">
        <x:v>DEZACTIVAT V3</x:v>
      </x:c>
    </x:row>
    <x:row r="82">
      <x:c r="A82" s="13" t="s">
        <x:v>363</x:v>
      </x:c>
      <x:c r="B82" s="15" t="s">
        <x:v>384</x:v>
      </x:c>
      <x:c r="C82" s="47">
        <x:v>0.12</x:v>
      </x:c>
      <x:c r="D82" s="15" t="s">
        <x:v>353</x:v>
      </x:c>
      <x:c r="E82" s="15" t="s">
        <x:v>365</x:v>
      </x:c>
      <x:c r="F82" s="16"/>
    </x:row>
    <x:row r="83">
      <x:c r="A83" t="s">
        <x:v>385</x:v>
      </x:c>
      <x:c r="B83" t="s">
        <x:v>386</x:v>
      </x:c>
      <x:c r="C83" s="165">
        <x:v>4</x:v>
      </x:c>
      <x:c r="D83" t="s">
        <x:v>132</x:v>
      </x:c>
      <x:c r="E83" t="str">
        <x:v>Reper / diagnostic, fără gate V4</x:v>
      </x:c>
      <x:c r="F83" t="str">
        <x:v>Fără blocaj cumulativ V4</x:v>
      </x:c>
    </x:row>
    <x:row r="84">
      <x:c r="A84" t="s">
        <x:v>385</x:v>
      </x:c>
      <x:c r="B84" t="s">
        <x:v>387</x:v>
      </x:c>
      <x:c r="C84" s="165">
        <x:v>2</x:v>
      </x:c>
      <x:c r="D84" t="s">
        <x:v>132</x:v>
      </x:c>
      <x:c r="E84" t="str">
        <x:v>Reper / diagnostic, fără gate V4</x:v>
      </x:c>
      <x:c r="F84" t="str">
        <x:v>Fără blocaj cumulativ V4</x:v>
      </x:c>
    </x:row>
    <x:row r="85">
      <x:c r="A85" t="s">
        <x:v>385</x:v>
      </x:c>
      <x:c r="B85" t="s">
        <x:v>388</x:v>
      </x:c>
      <x:c r="C85" s="165">
        <x:v>3</x:v>
      </x:c>
      <x:c r="D85" t="s">
        <x:v>132</x:v>
      </x:c>
      <x:c r="E85" t="str">
        <x:v>Reper / diagnostic, fără gate V4</x:v>
      </x:c>
      <x:c r="F85" t="str">
        <x:v>Fără blocaj cumulativ V4</x:v>
      </x:c>
    </x:row>
    <x:row r="86">
      <x:c r="A86" t="s">
        <x:v>385</x:v>
      </x:c>
      <x:c r="B86" t="s">
        <x:v>389</x:v>
      </x:c>
      <x:c r="C86" s="165">
        <x:v>20</x:v>
      </x:c>
      <x:c r="D86" t="s">
        <x:v>132</x:v>
      </x:c>
      <x:c r="E86" t="s">
        <x:v>390</x:v>
      </x:c>
      <x:c r="F86" t="s">
        <x:v>391</x:v>
      </x:c>
    </x:row>
    <x:row r="87">
      <x:c r="A87" t="s">
        <x:v>385</x:v>
      </x:c>
      <x:c r="B87" t="s">
        <x:v>392</x:v>
      </x:c>
      <x:c r="C87" s="165">
        <x:v>8</x:v>
      </x:c>
      <x:c r="D87" t="s">
        <x:v>393</x:v>
      </x:c>
      <x:c r="E87" t="s">
        <x:v>394</x:v>
      </x:c>
      <x:c r="F87" t="s">
        <x:v>395</x:v>
      </x:c>
    </x:row>
    <x:row r="88">
      <x:c r="A88" t="s">
        <x:v>385</x:v>
      </x:c>
      <x:c r="B88" t="s">
        <x:v>396</x:v>
      </x:c>
      <x:c r="C88" s="165">
        <x:v>4</x:v>
      </x:c>
      <x:c r="D88" t="s">
        <x:v>393</x:v>
      </x:c>
      <x:c r="E88" t="s">
        <x:v>397</x:v>
      </x:c>
      <x:c r="F88" t="s">
        <x:v>395</x:v>
      </x:c>
    </x:row>
    <x:row r="89">
      <x:c r="A89" t="s">
        <x:v>385</x:v>
      </x:c>
      <x:c r="B89" t="s">
        <x:v>398</x:v>
      </x:c>
      <x:c r="C89" s="169">
        <x:v>2.5000000000000001E-2</x:v>
      </x:c>
      <x:c r="D89" t="s">
        <x:v>353</x:v>
      </x:c>
      <x:c r="E89" t="s">
        <x:v>365</x:v>
      </x:c>
      <x:c r="F89" t="s">
        <x:v>399</x:v>
      </x:c>
    </x:row>
    <x:row r="90">
      <x:c r="A90" t="s">
        <x:v>385</x:v>
      </x:c>
      <x:c r="B90" t="s">
        <x:v>400</x:v>
      </x:c>
      <x:c r="C90" s="165">
        <x:v>82</x:v>
      </x:c>
      <x:c r="D90" t="s">
        <x:v>358</x:v>
      </x:c>
      <x:c r="E90" t="s">
        <x:v>401</x:v>
      </x:c>
      <x:c r="F90" t="s">
        <x:v>402</x:v>
      </x:c>
    </x:row>
    <x:row r="91">
      <x:c r="A91" t="s">
        <x:v>403</x:v>
      </x:c>
      <x:c r="B91" t="s">
        <x:v>404</x:v>
      </x:c>
      <x:c r="C91" s="169">
        <x:v>0.32</x:v>
      </x:c>
      <x:c r="D91" t="s">
        <x:v>170</x:v>
      </x:c>
      <x:c r="E91" t="str">
        <x:v>LEGACY – fără filtru V4</x:v>
      </x:c>
      <x:c r="F91" t="s">
        <x:v>405</x:v>
      </x:c>
    </x:row>
    <x:row r="92">
      <x:c r="A92" t="s">
        <x:v>403</x:v>
      </x:c>
      <x:c r="B92" t="s">
        <x:v>406</x:v>
      </x:c>
      <x:c r="C92" s="169">
        <x:v>0.36</x:v>
      </x:c>
      <x:c r="D92" t="s">
        <x:v>170</x:v>
      </x:c>
      <x:c r="E92" t="str">
        <x:v>LEGACY – fără filtru V4</x:v>
      </x:c>
      <x:c r="F92" t="s">
        <x:v>407</x:v>
      </x:c>
    </x:row>
    <x:row r="93">
      <x:c r="A93" t="s">
        <x:v>403</x:v>
      </x:c>
      <x:c r="B93" t="s">
        <x:v>408</x:v>
      </x:c>
      <x:c r="C93" s="169">
        <x:v>0.22</x:v>
      </x:c>
      <x:c r="D93" t="s">
        <x:v>170</x:v>
      </x:c>
      <x:c r="E93" t="str">
        <x:v>LEGACY – fără filtru V4</x:v>
      </x:c>
      <x:c r="F93" t="s">
        <x:v>405</x:v>
      </x:c>
    </x:row>
    <x:row r="94">
      <x:c r="A94" t="s">
        <x:v>403</x:v>
      </x:c>
      <x:c r="B94" t="s">
        <x:v>409</x:v>
      </x:c>
      <x:c r="C94" s="169">
        <x:v>0.28000000000000003</x:v>
      </x:c>
      <x:c r="D94" t="s">
        <x:v>170</x:v>
      </x:c>
      <x:c r="E94" t="str">
        <x:v>LEGACY – fără filtru V4</x:v>
      </x:c>
      <x:c r="F94" t="s">
        <x:v>407</x:v>
      </x:c>
    </x:row>
    <x:row r="95">
      <x:c r="A95" t="s">
        <x:v>403</x:v>
      </x:c>
      <x:c r="B95" t="s">
        <x:v>410</x:v>
      </x:c>
      <x:c r="C95" s="169">
        <x:v>0.02</x:v>
      </x:c>
      <x:c r="D95" t="s">
        <x:v>353</x:v>
      </x:c>
      <x:c r="E95" t="str">
        <x:v>LEGACY – fără filtru V4</x:v>
      </x:c>
      <x:c r="F95" t="s">
        <x:v>411</x:v>
      </x:c>
    </x:row>
    <x:row r="96">
      <x:c r="A96" t="s">
        <x:v>412</x:v>
      </x:c>
      <x:c r="B96" t="s">
        <x:v>413</x:v>
      </x:c>
      <x:c r="C96" s="165">
        <x:v>1.08</x:v>
      </x:c>
      <x:c r="D96" t="s">
        <x:v>301</x:v>
      </x:c>
      <x:c r="E96" t="s">
        <x:v>414</x:v>
      </x:c>
      <x:c r="F96" t="s">
        <x:v>415</x:v>
      </x:c>
    </x:row>
    <x:row r="97">
      <x:c r="A97" t="s">
        <x:v>412</x:v>
      </x:c>
      <x:c r="B97" t="s">
        <x:v>416</x:v>
      </x:c>
      <x:c r="C97" s="165">
        <x:v>6.5</x:v>
      </x:c>
      <x:c r="D97" t="s">
        <x:v>199</x:v>
      </x:c>
      <x:c r="E97" t="s">
        <x:v>414</x:v>
      </x:c>
      <x:c r="F97" t="s">
        <x:v>417</x:v>
      </x:c>
    </x:row>
    <x:row r="98">
      <x:c r="A98" t="s">
        <x:v>412</x:v>
      </x:c>
      <x:c r="B98" t="s">
        <x:v>418</x:v>
      </x:c>
      <x:c r="C98" s="169">
        <x:v>0.05</x:v>
      </x:c>
      <x:c r="D98" t="s">
        <x:v>170</x:v>
      </x:c>
      <x:c r="E98" t="s">
        <x:v>419</x:v>
      </x:c>
      <x:c r="F98" t="s">
        <x:v>420</x:v>
      </x:c>
    </x:row>
    <x:row r="99">
      <x:c r="A99" t="s">
        <x:v>412</x:v>
      </x:c>
      <x:c r="B99" t="s">
        <x:v>421</x:v>
      </x:c>
      <x:c r="C99" s="165">
        <x:v>0.2</x:v>
      </x:c>
      <x:c r="D99" t="s">
        <x:v>319</x:v>
      </x:c>
      <x:c r="E99" t="s">
        <x:v>422</x:v>
      </x:c>
      <x:c r="F99" t="s">
        <x:v>423</x:v>
      </x:c>
    </x:row>
    <x:row r="100">
      <x:c r="A100" t="s">
        <x:v>412</x:v>
      </x:c>
      <x:c r="B100" t="s">
        <x:v>424</x:v>
      </x:c>
      <x:c r="C100" s="169">
        <x:v>0.01</x:v>
      </x:c>
      <x:c r="D100" t="s">
        <x:v>353</x:v>
      </x:c>
      <x:c r="E100" t="s">
        <x:v>365</x:v>
      </x:c>
      <x:c r="F100" t="s">
        <x:v>425</x:v>
      </x:c>
    </x:row>
    <x:row r="102">
      <x:c r="A102" t="s">
        <x:v>426</x:v>
      </x:c>
      <x:c r="B102" t="s">
        <x:v>427</x:v>
      </x:c>
      <x:c r="C102" s="176">
        <x:v>0.03</x:v>
      </x:c>
      <x:c r="D102" t="s">
        <x:v>353</x:v>
      </x:c>
      <x:c r="E102" t="s">
        <x:v>428</x:v>
      </x:c>
      <x:c r="F102" t="s">
        <x:v>429</x:v>
      </x:c>
    </x:row>
    <x:row r="103">
      <x:c r="A103" t="s">
        <x:v>426</x:v>
      </x:c>
      <x:c r="B103" t="s">
        <x:v>430</x:v>
      </x:c>
      <x:c r="C103" t="s">
        <x:v>431</x:v>
      </x:c>
      <x:c r="D103" t="s">
        <x:v>432</x:v>
      </x:c>
      <x:c r="E103" t="s">
        <x:v>433</x:v>
      </x:c>
      <x:c r="F103" t="s">
        <x:v>434</x:v>
      </x:c>
    </x:row>
    <x:row r="104">
      <x:c r="A104" t="s">
        <x:v>426</x:v>
      </x:c>
      <x:c r="B104" t="s">
        <x:v>435</x:v>
      </x:c>
      <x:c r="C104" t="s">
        <x:v>436</x:v>
      </x:c>
      <x:c r="D104" t="s">
        <x:v>437</x:v>
      </x:c>
      <x:c r="E104" t="s">
        <x:v>438</x:v>
      </x:c>
      <x:c r="F104" t="s">
        <x:v>439</x:v>
      </x:c>
    </x:row>
    <x:row r="105">
      <x:c r="A105" t="s">
        <x:v>426</x:v>
      </x:c>
      <x:c r="B105" t="s">
        <x:v>440</x:v>
      </x:c>
      <x:c r="C105" t="s">
        <x:v>441</x:v>
      </x:c>
      <x:c r="D105" t="s">
        <x:v>442</x:v>
      </x:c>
      <x:c r="E105" t="s">
        <x:v>443</x:v>
      </x:c>
      <x:c r="F105" t="str">
        <x:v>OOS opțional în V4</x:v>
      </x:c>
    </x:row>
    <x:row r="108">
      <x:c r="A108" s="363" t="str">
        <x:v>CLASIFICARE V4</x:v>
      </x:c>
      <x:c r="B108" s="363" t="s">
        <x:v>257</x:v>
      </x:c>
      <x:c r="C108" s="363" t="s">
        <x:v>1</x:v>
      </x:c>
      <x:c r="D108" s="363" t="s">
        <x:v>10</x:v>
      </x:c>
      <x:c r="E108" s="363" t="s">
        <x:v>258</x:v>
      </x:c>
      <x:c r="F108" s="363" t="s">
        <x:v>259</x:v>
      </x:c>
    </x:row>
    <x:row r="109" ht="34" customHeight="1">
      <x:c r="A109" s="359" t="str">
        <x:v>Componentă</x:v>
      </x:c>
      <x:c r="B109" s="359" t="str">
        <x:v>Parametru</x:v>
      </x:c>
      <x:c r="C109" s="359" t="str">
        <x:v>Valoare</x:v>
      </x:c>
      <x:c r="D109" s="359" t="str">
        <x:v>Unitate</x:v>
      </x:c>
      <x:c r="E109" s="359" t="str">
        <x:v>Rol</x:v>
      </x:c>
      <x:c r="F109" s="359" t="str">
        <x:v>Notă</x:v>
      </x:c>
    </x:row>
    <x:row r="110" ht="34" customHeight="1">
      <x:c r="A110" s="363" t="str">
        <x:v>Risk Level 1</x:v>
      </x:c>
      <x:c r="B110" s="363" t="str">
        <x:v>DEFENSIV – maxim</x:v>
      </x:c>
      <x:c r="C110" s="364" t="n">
        <x:v>20</x:v>
      </x:c>
      <x:c r="D110" s="363" t="str">
        <x:v>scor</x:v>
      </x:c>
      <x:c r="E110" s="363" t="str">
        <x:v>Scor ≤ prag</x:v>
      </x:c>
      <x:c r="F110" s="363" t="str">
        <x:v>Estimare, fără OOS</x:v>
      </x:c>
    </x:row>
    <x:row r="111" ht="34" customHeight="1">
      <x:c r="A111" s="363" t="str">
        <x:v>Risk Level 2</x:v>
      </x:c>
      <x:c r="B111" s="363" t="str">
        <x:v>PRUDENT – maxim</x:v>
      </x:c>
      <x:c r="C111" s="364" t="n">
        <x:v>40</x:v>
      </x:c>
      <x:c r="D111" s="363" t="str">
        <x:v>scor</x:v>
      </x:c>
      <x:c r="E111" s="363" t="str">
        <x:v>Prag anterior &lt; scor ≤ prag</x:v>
      </x:c>
      <x:c r="F111" s="363" t="str">
        <x:v>Fără prag P separat</x:v>
      </x:c>
    </x:row>
    <x:row r="112" ht="34" customHeight="1">
      <x:c r="A112" s="363" t="str">
        <x:v>Risk Level 3</x:v>
      </x:c>
      <x:c r="B112" s="363" t="str">
        <x:v>MODERAT – maxim</x:v>
      </x:c>
      <x:c r="C112" s="364" t="n">
        <x:v>60</x:v>
      </x:c>
      <x:c r="D112" s="363" t="str">
        <x:v>scor</x:v>
      </x:c>
      <x:c r="E112" s="363" t="str">
        <x:v>Prag anterior &lt; scor ≤ prag</x:v>
      </x:c>
      <x:c r="F112" s="363" t="str">
        <x:v>Fără prag Confidence separat</x:v>
      </x:c>
    </x:row>
    <x:row r="113" ht="34" customHeight="1">
      <x:c r="A113" s="363" t="str">
        <x:v>Risk Level 4</x:v>
      </x:c>
      <x:c r="B113" s="363" t="str">
        <x:v>RIDICAT – maxim</x:v>
      </x:c>
      <x:c r="C113" s="364" t="n">
        <x:v>80</x:v>
      </x:c>
      <x:c r="D113" s="363" t="str">
        <x:v>scor</x:v>
      </x:c>
      <x:c r="E113" s="363" t="str">
        <x:v>Prag anterior &lt; scor ≤ prag</x:v>
      </x:c>
      <x:c r="F113" s="363" t="str">
        <x:v>Exclus din top</x:v>
      </x:c>
    </x:row>
    <x:row r="114" ht="34" customHeight="1">
      <x:c r="A114" s="363" t="str">
        <x:v>Risk Level 5</x:v>
      </x:c>
      <x:c r="B114" s="363" t="str">
        <x:v>NO BET</x:v>
      </x:c>
      <x:c r="C114" s="364" t="n">
        <x:v>100</x:v>
      </x:c>
      <x:c r="D114" s="363" t="str">
        <x:v>scor</x:v>
      </x:c>
      <x:c r="E114" s="363" t="str">
        <x:v>Scor &gt; prag Level 4</x:v>
      </x:c>
      <x:c r="F114" s="363" t="str">
        <x:v>Maxim scor 100</x:v>
      </x:c>
    </x:row>
    <x:row r="115" ht="34" customHeight="1">
      <x:c r="A115" s="363" t="str">
        <x:v>Scor compozit</x:v>
      </x:c>
      <x:c r="B115" s="363" t="str">
        <x:v>Ponderi active</x:v>
      </x:c>
      <x:c r="C115" s="364"/>
      <x:c r="D115" s="363"/>
      <x:c r="E115" s="363"/>
      <x:c r="F115" s="363"/>
    </x:row>
    <x:row r="116" ht="34" customHeight="1">
      <x:c r="A116" s="363" t="str">
        <x:v>Failure</x:v>
      </x:c>
      <x:c r="B116" s="363" t="str">
        <x:v>1 − P ajustată</x:v>
      </x:c>
      <x:c r="C116" s="365" t="n">
        <x:v>0.5</x:v>
      </x:c>
      <x:c r="D116" s="363" t="str">
        <x:v>%</x:v>
      </x:c>
      <x:c r="E116" s="363" t="str">
        <x:v>Include haircut-ul</x:v>
      </x:c>
      <x:c r="F116" s="363" t="str">
        <x:v>Ponderi păstrate din motorul V3</x:v>
      </x:c>
    </x:row>
    <x:row r="117" ht="34" customHeight="1">
      <x:c r="A117" s="363" t="str">
        <x:v>Context</x:v>
      </x:c>
      <x:c r="B117" s="363" t="str">
        <x:v>Media componentelor G:K</x:v>
      </x:c>
      <x:c r="C117" s="365" t="n">
        <x:v>0.2</x:v>
      </x:c>
      <x:c r="D117" s="363" t="str">
        <x:v>%</x:v>
      </x:c>
      <x:c r="E117" s="363" t="str">
        <x:v>Arbitru / echipe / faulturi / context</x:v>
      </x:c>
      <x:c r="F117" s="363" t="str">
        <x:v>Direcție diferită Over / Under</x:v>
      </x:c>
    </x:row>
    <x:row r="118" ht="34" customHeight="1">
      <x:c r="A118" s="363" t="str">
        <x:v>Red / dispersie</x:v>
      </x:c>
      <x:c r="B118" s="363" t="str">
        <x:v>Componenta L</x:v>
      </x:c>
      <x:c r="C118" s="365" t="n">
        <x:v>0.15</x:v>
      </x:c>
      <x:c r="D118" s="363" t="str">
        <x:v>%</x:v>
      </x:c>
      <x:c r="E118" s="363" t="str">
        <x:v>Riscul existent de red/dispersion</x:v>
      </x:c>
      <x:c r="F118" s="363" t="str">
        <x:v>Fără preț / EV</x:v>
      </x:c>
    </x:row>
    <x:row r="119" ht="34" customHeight="1">
      <x:c r="A119" s="363" t="str">
        <x:v>Incertitudine</x:v>
      </x:c>
      <x:c r="B119" s="363" t="str">
        <x:v>100 − Confidence</x:v>
      </x:c>
      <x:c r="C119" s="365" t="n">
        <x:v>0.15</x:v>
      </x:c>
      <x:c r="D119" s="363" t="str">
        <x:v>%</x:v>
      </x:c>
      <x:c r="E119" s="363" t="str">
        <x:v>Calitate și disponibilitate date</x:v>
      </x:c>
      <x:c r="F119" s="363" t="str">
        <x:v>Penalizare continuă, nu hard gate</x:v>
      </x:c>
    </x:row>
    <x:row r="120" ht="34" customHeight="1">
      <x:c r="A120" s="363" t="str">
        <x:v>Control</x:v>
      </x:c>
      <x:c r="B120" s="363" t="str">
        <x:v>Sumă ponderi</x:v>
      </x:c>
      <x:c r="C120" s="366" t="n">
        <x:f>SUM(C116:C119)</x:f>
        <x:v>1</x:v>
      </x:c>
      <x:c r="D120" s="363" t="str">
        <x:v>%</x:v>
      </x:c>
      <x:c r="E120" s="363" t="str">
        <x:v>Trebuie 100%</x:v>
      </x:c>
      <x:c r="F120" s="363" t="str">
        <x:v>Parametri configurabili</x:v>
      </x:c>
    </x:row>
    <x:row r="121" ht="34" customHeight="1">
      <x:c r="A121" s="363" t="str">
        <x:v>Metodă</x:v>
      </x:c>
      <x:c r="B121" s="363" t="str">
        <x:v>Scor intern estimativ</x:v>
      </x:c>
      <x:c r="C121" s="363"/>
      <x:c r="D121" s="363"/>
      <x:c r="E121" s="363" t="str">
        <x:v>Fără floor 3 și fără OOS obligatoriu</x:v>
      </x:c>
      <x:c r="F121" s="363" t="str">
        <x:v>Nu reprezintă probabilitate de pierdere</x:v>
      </x:c>
    </x:row>
  </x:sheetData>
  <x:mergeCells>
    <x:mergeCell ref="A1:F1"/>
    <x:mergeCell ref="A2:F2"/>
  </x:mergeCells>
  <x:conditionalFormatting sqref="C11:C11">
    <x:cfRule type="cellIs" dxfId="13" priority="1" operator="notEqual">
      <x:formula>1</x:formula>
    </x:cfRule>
  </x:conditionalFormatting>
  <x:conditionalFormatting sqref="C19:C19">
    <x:cfRule type="cellIs" dxfId="12" priority="2" operator="notEqual">
      <x:formula>1</x:formula>
    </x:cfRule>
  </x:conditionalFormatting>
  <x:conditionalFormatting sqref="C46:C46">
    <x:cfRule type="cellIs" dxfId="11" priority="3" operator="notEqual">
      <x:formula>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3" customWidth="1"/>
    <x:col min="2" max="3" width="18" customWidth="1"/>
    <x:col min="4" max="4" width="15" customWidth="1"/>
    <x:col min="5" max="5" width="18" customWidth="1"/>
    <x:col min="6" max="7" width="16" customWidth="1"/>
    <x:col min="8" max="8" width="20" customWidth="1"/>
    <x:col min="9" max="9" width="31" customWidth="1"/>
  </x:cols>
  <x:sheetData>
    <x:row r="1" ht="27.950000762939453" customHeight="1">
      <x:c r="A1" s="190" t="str">
        <x:v>CALCUL MODEL V4 – DATE DISPONIBILE</x:v>
      </x:c>
      <x:c r="B1" s="190"/>
      <x:c r="C1" s="190"/>
      <x:c r="D1" s="190"/>
      <x:c r="E1" s="190"/>
      <x:c r="F1" s="190"/>
      <x:c r="G1" s="190"/>
      <x:c r="H1" s="190"/>
      <x:c r="I1" s="190"/>
    </x:row>
    <x:row r="2">
      <x:c r="A2" s="200" t="s">
        <x:v>444</x:v>
      </x:c>
      <x:c r="B2" s="200"/>
      <x:c r="C2" s="200"/>
      <x:c r="D2" s="200"/>
      <x:c r="E2" s="200"/>
      <x:c r="F2" s="200"/>
      <x:c r="G2" s="200"/>
      <x:c r="H2" s="200"/>
      <x:c r="I2" s="200"/>
    </x:row>
    <x:row r="3">
      <x:c r="A3" s="1" t="s">
        <x:v>445</x:v>
      </x:c>
      <x:c r="B3" s="1" t="s">
        <x:v>45</x:v>
      </x:c>
      <x:c r="C3" s="1" t="s">
        <x:v>46</x:v>
      </x:c>
      <x:c r="D3" s="1" t="s">
        <x:v>446</x:v>
      </x:c>
      <x:c r="E3" s="1" t="s">
        <x:v>447</x:v>
      </x:c>
      <x:c r="F3" s="1" t="s">
        <x:v>448</x:v>
      </x:c>
      <x:c r="G3" s="1" t="s">
        <x:v>449</x:v>
      </x:c>
      <x:c r="H3" s="1" t="s">
        <x:v>450</x:v>
      </x:c>
      <x:c r="I3" s="1" t="s">
        <x:v>451</x:v>
      </x:c>
    </x:row>
    <x:row r="4">
      <x:c r="A4" s="5" t="s">
        <x:v>261</x:v>
      </x:c>
      <x:c r="B4" s="7" t="n">
        <x:f>Input_Meci!$E$27*Input_Meci!$E$33</x:f>
        <x:v>2.162</x:v>
      </x:c>
      <x:c r="C4" s="7" t="n">
        <x:f>Input_Meci!$E$27*(1-Input_Meci!$E$33)</x:f>
        <x:v>2.4379999999999997</x:v>
      </x:c>
      <x:c r="D4" s="49" t="n">
        <x:f>Parametri!$C$4</x:f>
        <x:v>0.1</x:v>
      </x:c>
      <x:c r="E4" s="49" t="n">
        <x:f>1</x:f>
        <x:v>1</x:v>
      </x:c>
      <x:c r="F4" s="49" t="n">
        <x:f>1</x:f>
        <x:v>1</x:v>
      </x:c>
      <x:c r="G4" s="7" t="n">
        <x:f t="shared" ref="G4:G10" si="0">B4*D4*E4</x:f>
        <x:v>0.2162</x:v>
      </x:c>
      <x:c r="H4" s="7" t="n">
        <x:f t="shared" ref="H4:H10" si="1">C4*D4*F4</x:f>
        <x:v>0.2438</x:v>
      </x:c>
      <x:c r="I4" s="8" t="s">
        <x:v>452</x:v>
      </x:c>
    </x:row>
    <x:row r="5">
      <x:c r="A5" s="9" t="s">
        <x:v>264</x:v>
      </x:c>
      <x:c r="B5" s="11" t="n">
        <x:f>IF(AND(ISNUMBER('Input_Meci'!$C$38),'Input_Meci'!$C$38&gt;=0,ISNUMBER('Input_Meci'!$C$46),'Input_Meci'!$C$46&gt;0),IF(ISNUMBER('Input_Meci'!$C$88),IF(AND(Input_Meci!$E$97="DA",Input_Meci!$E$98="DA",Input_Meci!$C$46&lt;Parametri!$C$47,Input_Meci!$C$96&gt;=Parametri!$C$86),(Input_Meci!$C$38*Input_Meci!$C$46+Input_Meci!$C$88*MIN(Parametri!$C$87,Input_Meci!$C$96))/(Input_Meci!$C$46+MIN(Parametri!$C$87,Input_Meci!$C$96)),Input_Meci!$C$38),'Input_Meci'!$C$38),0)</x:f>
        <x:v>2.1</x:v>
      </x:c>
      <x:c r="C5" s="11" t="n">
        <x:f>IF(AND(ISNUMBER('Input_Meci'!$D$38),'Input_Meci'!$D$38&gt;=0,ISNUMBER('Input_Meci'!$D$46),'Input_Meci'!$D$46&gt;0),IF(ISNUMBER('Input_Meci'!$D$88),IF(AND(Input_Meci!$E$97="DA",Input_Meci!$E$98="DA",Input_Meci!$D$46&lt;Parametri!$C$47,Input_Meci!$D$96&gt;=Parametri!$C$86),(Input_Meci!$D$38*Input_Meci!$D$46+Input_Meci!$D$88*MIN(Parametri!$C$87,Input_Meci!$D$96))/(Input_Meci!$D$46+MIN(Parametri!$C$87,Input_Meci!$D$96)),Input_Meci!$D$38),'Input_Meci'!$D$38),0)</x:f>
        <x:v>2.55</x:v>
      </x:c>
      <x:c r="D5" s="50" t="n">
        <x:f>Parametri!$C$5</x:f>
        <x:v>0.2</x:v>
      </x:c>
      <x:c r="E5" s="50" t="n">
        <x:f>IF(AND(ISNUMBER('Input_Meci'!$C$38),'Input_Meci'!$C$38&gt;=0,ISNUMBER('Input_Meci'!$C$46),'Input_Meci'!$C$46&gt;0),MIN(1,'Input_Meci'!$C$46/'Parametri'!$C$47),0)</x:f>
        <x:v>1</x:v>
      </x:c>
      <x:c r="F5" s="50" t="n">
        <x:f>IF(AND(ISNUMBER('Input_Meci'!$D$38),'Input_Meci'!$D$38&gt;=0,ISNUMBER('Input_Meci'!$D$46),'Input_Meci'!$D$46&gt;0),MIN(1,'Input_Meci'!$D$46/'Parametri'!$C$47),0)</x:f>
        <x:v>1</x:v>
      </x:c>
      <x:c r="G5" s="11">
        <x:f t="shared" si="0"/>
        <x:v>0.42000000000000004</x:v>
      </x:c>
      <x:c r="H5" s="11">
        <x:f t="shared" si="1"/>
        <x:v>0.51</x:v>
      </x:c>
      <x:c r="I5" s="12" t="s">
        <x:v>285</x:v>
      </x:c>
    </x:row>
    <x:row r="6">
      <x:c r="A6" s="9" t="s">
        <x:v>267</x:v>
      </x:c>
      <x:c r="B6" s="11" t="n">
        <x:f>IF(AND(ISNUMBER('Input_Meci'!$C$39),'Input_Meci'!$C$39&gt;=0,ISNUMBER('Input_Meci'!$C$47),'Input_Meci'!$C$47&gt;0),IF(ISNUMBER('Input_Meci'!$C$89),IF(AND(Input_Meci!$E$97="DA",Input_Meci!$E$98="DA",Input_Meci!$C$47&lt;Parametri!$C$48,Input_Meci!$C$96&gt;=Parametri!$C$86),(Input_Meci!$C$39*Input_Meci!$C$47+Input_Meci!$C$89*MIN(Parametri!$C$88,Input_Meci!$C$96/2))/(Input_Meci!$C$47+MIN(Parametri!$C$88,Input_Meci!$C$96/2)),Input_Meci!$C$39),'Input_Meci'!$C$39),0)</x:f>
        <x:v>1.9</x:v>
      </x:c>
      <x:c r="C6" s="11" t="n">
        <x:f>IF(AND(ISNUMBER('Input_Meci'!$D$39),'Input_Meci'!$D$39&gt;=0,ISNUMBER('Input_Meci'!$D$47),'Input_Meci'!$D$47&gt;0),IF(ISNUMBER('Input_Meci'!$D$89),IF(AND(Input_Meci!$E$97="DA",Input_Meci!$E$98="DA",Input_Meci!$D$47&lt;Parametri!$C$48,Input_Meci!$D$96&gt;=Parametri!$C$86),(Input_Meci!$D$39*Input_Meci!$D$47+Input_Meci!$D$89*MIN(Parametri!$C$88,Input_Meci!$D$96/2))/(Input_Meci!$D$47+MIN(Parametri!$C$88,Input_Meci!$D$96/2)),Input_Meci!$D$39),'Input_Meci'!$D$39),0)</x:f>
        <x:v>2.75</x:v>
      </x:c>
      <x:c r="D6" s="50" t="n">
        <x:f>Parametri!$C$6</x:f>
        <x:v>0.25</x:v>
      </x:c>
      <x:c r="E6" s="50" t="n">
        <x:f>IF(AND(ISNUMBER('Input_Meci'!$C$39),'Input_Meci'!$C$39&gt;=0,ISNUMBER('Input_Meci'!$C$47),'Input_Meci'!$C$47&gt;0),MIN(1,'Input_Meci'!$C$47/'Parametri'!$C$48),0)</x:f>
        <x:v>1</x:v>
      </x:c>
      <x:c r="F6" s="50" t="n">
        <x:f>IF(AND(ISNUMBER('Input_Meci'!$D$39),'Input_Meci'!$D$39&gt;=0,ISNUMBER('Input_Meci'!$D$47),'Input_Meci'!$D$47&gt;0),MIN(1,'Input_Meci'!$D$47/'Parametri'!$C$48),0)</x:f>
        <x:v>1</x:v>
      </x:c>
      <x:c r="G6" s="11">
        <x:f t="shared" si="0"/>
        <x:v>0.47499999999999998</x:v>
      </x:c>
      <x:c r="H6" s="11">
        <x:f t="shared" si="1"/>
        <x:v>0.6875</x:v>
      </x:c>
      <x:c r="I6" s="12" t="s">
        <x:v>268</x:v>
      </x:c>
    </x:row>
    <x:row r="7">
      <x:c r="A7" s="9" t="s">
        <x:v>270</x:v>
      </x:c>
      <x:c r="B7" s="11" t="n">
        <x:f>IF(AND(ISNUMBER('Input_Meci'!$C$40),'Input_Meci'!$C$40&gt;=0,ISNUMBER('Input_Meci'!$C$48),'Input_Meci'!$C$48&gt;0),Input_Meci!$C$40,0)</x:f>
        <x:v>2.2</x:v>
      </x:c>
      <x:c r="C7" s="11" t="n">
        <x:f>IF(AND(ISNUMBER('Input_Meci'!$D$40),'Input_Meci'!$D$40&gt;=0,ISNUMBER('Input_Meci'!$D$48),'Input_Meci'!$D$48&gt;0),Input_Meci!$D$40,0)</x:f>
        <x:v>2.8</x:v>
      </x:c>
      <x:c r="D7" s="50" t="n">
        <x:f>Parametri!$C$7</x:f>
        <x:v>0.15</x:v>
      </x:c>
      <x:c r="E7" s="50" t="n">
        <x:f>IF(AND(ISNUMBER('Input_Meci'!$C$40),'Input_Meci'!$C$40&gt;=0,ISNUMBER('Input_Meci'!$C$48),'Input_Meci'!$C$48&gt;0),MIN(1,'Input_Meci'!$C$48/'Parametri'!$C$49),0)</x:f>
        <x:v>1</x:v>
      </x:c>
      <x:c r="F7" s="50" t="n">
        <x:f>IF(AND(ISNUMBER('Input_Meci'!$D$40),'Input_Meci'!$D$40&gt;=0,ISNUMBER('Input_Meci'!$D$48),'Input_Meci'!$D$48&gt;0),MIN(1,'Input_Meci'!$D$48/'Parametri'!$C$49),0)</x:f>
        <x:v>1</x:v>
      </x:c>
      <x:c r="G7" s="11">
        <x:f t="shared" si="0"/>
        <x:v>0.33</x:v>
      </x:c>
      <x:c r="H7" s="11">
        <x:f t="shared" si="1"/>
        <x:v>0.42</x:v>
      </x:c>
      <x:c r="I7" s="12" t="s">
        <x:v>453</x:v>
      </x:c>
    </x:row>
    <x:row r="8">
      <x:c r="A8" s="9" t="s">
        <x:v>272</x:v>
      </x:c>
      <x:c r="B8" s="11" t="n">
        <x:f>IF(AND(ISNUMBER('Input_Meci'!$D$41),'Input_Meci'!$D$41&gt;=0,ISNUMBER('Input_Meci'!$D$46),'Input_Meci'!$D$46&gt;0),IF(ISNUMBER('Input_Meci'!$D$90),IF(AND(Input_Meci!$E$97="DA",Input_Meci!$E$98="DA",Input_Meci!$D$46&lt;Parametri!$C$47,Input_Meci!$D$96&gt;=Parametri!$C$86),(Input_Meci!$D$41*Input_Meci!$D$46+Input_Meci!$D$90*MIN(Parametri!$C$87,Input_Meci!$D$96))/(Input_Meci!$D$46+MIN(Parametri!$C$87,Input_Meci!$D$96)),Input_Meci!$D$41),'Input_Meci'!$D$41),0)</x:f>
        <x:v>2.2</x:v>
      </x:c>
      <x:c r="C8" s="11" t="n">
        <x:f>IF(AND(ISNUMBER('Input_Meci'!$C$41),'Input_Meci'!$C$41&gt;=0,ISNUMBER('Input_Meci'!$C$46),'Input_Meci'!$C$46&gt;0),IF(ISNUMBER('Input_Meci'!$C$90),IF(AND(Input_Meci!$E$97="DA",Input_Meci!$E$98="DA",Input_Meci!$C$46&lt;Parametri!$C$47,Input_Meci!$C$96&gt;=Parametri!$C$86),(Input_Meci!$C$41*Input_Meci!$C$46+Input_Meci!$C$90*MIN(Parametri!$C$87,Input_Meci!$C$96))/(Input_Meci!$C$46+MIN(Parametri!$C$87,Input_Meci!$C$96)),Input_Meci!$C$41),'Input_Meci'!$C$41),0)</x:f>
        <x:v>2.4</x:v>
      </x:c>
      <x:c r="D8" s="50" t="n">
        <x:f>Parametri!$C$8</x:f>
        <x:v>0.1</x:v>
      </x:c>
      <x:c r="E8" s="50" t="n">
        <x:f>IF(AND(ISNUMBER('Input_Meci'!$D$41),'Input_Meci'!$D$41&gt;=0,ISNUMBER('Input_Meci'!$D$46),'Input_Meci'!$D$46&gt;0),MIN(1,'Input_Meci'!$D$46/'Parametri'!$C$47),0)</x:f>
        <x:v>1</x:v>
      </x:c>
      <x:c r="F8" s="50" t="n">
        <x:f>IF(AND(ISNUMBER('Input_Meci'!$C$41),'Input_Meci'!$C$41&gt;=0,ISNUMBER('Input_Meci'!$C$46),'Input_Meci'!$C$46&gt;0),MIN(1,'Input_Meci'!$C$46/'Parametri'!$C$47),0)</x:f>
        <x:v>1</x:v>
      </x:c>
      <x:c r="G8" s="11">
        <x:f t="shared" si="0"/>
        <x:v>0.22000000000000003</x:v>
      </x:c>
      <x:c r="H8" s="11">
        <x:f t="shared" si="1"/>
        <x:v>0.24</x:v>
      </x:c>
      <x:c r="I8" s="12" t="s">
        <x:v>273</x:v>
      </x:c>
    </x:row>
    <x:row r="9">
      <x:c r="A9" s="9" t="s">
        <x:v>275</x:v>
      </x:c>
      <x:c r="B9" s="11" t="n">
        <x:f>IF(AND(ISNUMBER('Input_Meci'!$D$42),'Input_Meci'!$D$42&gt;=0,ISNUMBER('Input_Meci'!$D$47),'Input_Meci'!$D$47&gt;0),IF(ISNUMBER('Input_Meci'!$D$91),IF(AND(Input_Meci!$E$97="DA",Input_Meci!$E$98="DA",Input_Meci!$D$47&lt;Parametri!$C$48,Input_Meci!$D$96&gt;=Parametri!$C$86),(Input_Meci!$D$42*Input_Meci!$D$47+Input_Meci!$D$91*MIN(Parametri!$C$88,Input_Meci!$D$96/2))/(Input_Meci!$D$47+MIN(Parametri!$C$88,Input_Meci!$D$96/2)),Input_Meci!$D$42),'Input_Meci'!$D$42),0)</x:f>
        <x:v>2.15</x:v>
      </x:c>
      <x:c r="C9" s="11" t="n">
        <x:f>IF(AND(ISNUMBER('Input_Meci'!$C$42),'Input_Meci'!$C$42&gt;=0,ISNUMBER('Input_Meci'!$C$47),'Input_Meci'!$C$47&gt;0),IF(ISNUMBER('Input_Meci'!$C$91),IF(AND(Input_Meci!$E$97="DA",Input_Meci!$E$98="DA",Input_Meci!$C$47&lt;Parametri!$C$48,Input_Meci!$C$96&gt;=Parametri!$C$86),(Input_Meci!$C$42*Input_Meci!$C$47+Input_Meci!$C$91*MIN(Parametri!$C$88,Input_Meci!$C$96/2))/(Input_Meci!$C$47+MIN(Parametri!$C$88,Input_Meci!$C$96/2)),Input_Meci!$C$42),'Input_Meci'!$C$42),0)</x:f>
        <x:v>2.55</x:v>
      </x:c>
      <x:c r="D9" s="50" t="n">
        <x:f>Parametri!$C$9</x:f>
        <x:v>0.15</x:v>
      </x:c>
      <x:c r="E9" s="50" t="n">
        <x:f>IF(AND(ISNUMBER('Input_Meci'!$D$42),'Input_Meci'!$D$42&gt;=0,ISNUMBER('Input_Meci'!$D$47),'Input_Meci'!$D$47&gt;0),MIN(1,'Input_Meci'!$D$47/'Parametri'!$C$48),0)</x:f>
        <x:v>1</x:v>
      </x:c>
      <x:c r="F9" s="50" t="n">
        <x:f>IF(AND(ISNUMBER('Input_Meci'!$C$42),'Input_Meci'!$C$42&gt;=0,ISNUMBER('Input_Meci'!$C$47),'Input_Meci'!$C$47&gt;0),MIN(1,'Input_Meci'!$C$47/'Parametri'!$C$48),0)</x:f>
        <x:v>1</x:v>
      </x:c>
      <x:c r="G9" s="11">
        <x:f t="shared" si="0"/>
        <x:v>0.32249999999999995</x:v>
      </x:c>
      <x:c r="H9" s="11">
        <x:f t="shared" si="1"/>
        <x:v>0.38249999999999995</x:v>
      </x:c>
      <x:c r="I9" s="12" t="s">
        <x:v>276</x:v>
      </x:c>
    </x:row>
    <x:row r="10">
      <x:c r="A10" s="9" t="s">
        <x:v>277</x:v>
      </x:c>
      <x:c r="B10" s="11" t="n">
        <x:f>IF(AND(ISNUMBER('Input_Meci'!$D$43),'Input_Meci'!$D$43&gt;=0,ISNUMBER('Input_Meci'!$D$48),'Input_Meci'!$D$48&gt;0),Input_Meci!$D$43,0)</x:f>
        <x:v>2.35</x:v>
      </x:c>
      <x:c r="C10" s="11" t="n">
        <x:f>IF(AND(ISNUMBER('Input_Meci'!$C$43),'Input_Meci'!$C$43&gt;=0,ISNUMBER('Input_Meci'!$C$48),'Input_Meci'!$C$48&gt;0),Input_Meci!$C$43,0)</x:f>
        <x:v>2.6</x:v>
      </x:c>
      <x:c r="D10" s="50" t="n">
        <x:f>Parametri!$C$10</x:f>
        <x:v>0.05</x:v>
      </x:c>
      <x:c r="E10" s="50" t="n">
        <x:f>IF(AND(ISNUMBER('Input_Meci'!$D$43),'Input_Meci'!$D$43&gt;=0,ISNUMBER('Input_Meci'!$D$48),'Input_Meci'!$D$48&gt;0),MIN(1,'Input_Meci'!$D$48/'Parametri'!$C$49),0)</x:f>
        <x:v>1</x:v>
      </x:c>
      <x:c r="F10" s="50" t="n">
        <x:f>IF(AND(ISNUMBER('Input_Meci'!$C$43),'Input_Meci'!$C$43&gt;=0,ISNUMBER('Input_Meci'!$C$48),'Input_Meci'!$C$48&gt;0),MIN(1,'Input_Meci'!$C$48/'Parametri'!$C$49),0)</x:f>
        <x:v>1</x:v>
      </x:c>
      <x:c r="G10" s="11">
        <x:f t="shared" si="0"/>
        <x:v>0.11750000000000001</x:v>
      </x:c>
      <x:c r="H10" s="11">
        <x:f t="shared" si="1"/>
        <x:v>0.13</x:v>
      </x:c>
      <x:c r="I10" s="12" t="s">
        <x:v>278</x:v>
      </x:c>
    </x:row>
    <x:row r="11">
      <x:c r="A11" s="9"/>
      <x:c r="B11" s="11"/>
      <x:c r="C11" s="11"/>
      <x:c r="D11" s="50"/>
      <x:c r="E11" s="50"/>
      <x:c r="F11" s="50"/>
      <x:c r="G11" s="11"/>
      <x:c r="H11" s="11"/>
      <x:c r="I11" s="12"/>
    </x:row>
    <x:row r="12">
      <x:c r="A12" s="51" t="s">
        <x:v>454</x:v>
      </x:c>
      <x:c r="B12" s="52" t="n">
        <x:f>SUM(G4:G10)/SUMPRODUCT(D4:D10,E4:E10)</x:f>
        <x:v>2.1012000000000004</x:v>
      </x:c>
      <x:c r="C12" s="52" t="n">
        <x:f>SUM(H4:H10)/SUMPRODUCT(D4:D10,F4:F10)</x:f>
        <x:v>2.6138</x:v>
      </x:c>
      <x:c r="D12" s="53"/>
      <x:c r="E12" s="53"/>
      <x:c r="F12" s="53"/>
      <x:c r="G12" s="52"/>
      <x:c r="H12" s="52"/>
      <x:c r="I12" s="54" t="s">
        <x:v>455</x:v>
      </x:c>
    </x:row>
    <x:row r="13">
      <x:c r="A13" s="9"/>
      <x:c r="B13" s="11"/>
      <x:c r="C13" s="11"/>
      <x:c r="D13" s="50"/>
      <x:c r="E13" s="50"/>
      <x:c r="F13" s="50"/>
      <x:c r="G13" s="11"/>
      <x:c r="H13" s="11"/>
      <x:c r="I13" s="12"/>
    </x:row>
    <x:row r="14">
      <x:c r="A14" s="55" t="s">
        <x:v>456</x:v>
      </x:c>
      <x:c r="B14" s="56" t="s">
        <x:v>45</x:v>
      </x:c>
      <x:c r="C14" s="56" t="s">
        <x:v>46</x:v>
      </x:c>
      <x:c r="D14" s="57" t="s">
        <x:v>446</x:v>
      </x:c>
      <x:c r="E14" s="57" t="s">
        <x:v>447</x:v>
      </x:c>
      <x:c r="F14" s="57" t="s">
        <x:v>448</x:v>
      </x:c>
      <x:c r="G14" s="56" t="s">
        <x:v>449</x:v>
      </x:c>
      <x:c r="H14" s="56" t="s">
        <x:v>450</x:v>
      </x:c>
      <x:c r="I14" s="58" t="s">
        <x:v>451</x:v>
      </x:c>
    </x:row>
    <x:row r="15">
      <x:c r="A15" s="9" t="s">
        <x:v>283</x:v>
      </x:c>
      <x:c r="B15" s="11" t="n">
        <x:f>IF(AND(ISNUMBER(Input_Meci!$E$28),Input_Meci!$E$28&gt;0),Input_Meci!$E$28/2,0)</x:f>
        <x:v>12</x:v>
      </x:c>
      <x:c r="C15" s="11" t="n">
        <x:f>IF(AND(ISNUMBER(Input_Meci!$E$28),Input_Meci!$E$28&gt;0),Input_Meci!$E$28/2,0)</x:f>
        <x:v>12</x:v>
      </x:c>
      <x:c r="D15" s="50" t="n">
        <x:f>Parametri!$C$12</x:f>
        <x:v>0.1</x:v>
      </x:c>
      <x:c r="E15" s="50" t="n">
        <x:f>IF(AND(ISNUMBER(Input_Meci!$E$28),Input_Meci!$E$28&gt;0),1,0)</x:f>
        <x:v>1</x:v>
      </x:c>
      <x:c r="F15" s="50" t="n">
        <x:f>IF(AND(ISNUMBER(Input_Meci!$E$28),Input_Meci!$E$28&gt;0),1,0)</x:f>
        <x:v>1</x:v>
      </x:c>
      <x:c r="G15" s="11" t="n">
        <x:f t="shared" ref="G15:G21" si="2">B15*D15*E15</x:f>
        <x:v>1.2000000000000002</x:v>
      </x:c>
      <x:c r="H15" s="11" t="n">
        <x:f t="shared" ref="H15:H21" si="3">C15*D15*F15</x:f>
        <x:v>1.2000000000000002</x:v>
      </x:c>
      <x:c r="I15" s="12" t="s">
        <x:v>7</x:v>
      </x:c>
    </x:row>
    <x:row r="16">
      <x:c r="A16" s="9" t="s">
        <x:v>284</x:v>
      </x:c>
      <x:c r="B16" s="11" t="n">
        <x:f>IF(AND(ISNUMBER('Input_Meci'!$C$51),'Input_Meci'!$C$51&gt;=0,ISNUMBER('Input_Meci'!$C$46),'Input_Meci'!$C$46&gt;0),IF(ISNUMBER('Input_Meci'!$C$92),IF(AND(Input_Meci!$E$97="DA",Input_Meci!$E$98="DA",Input_Meci!$C$46&lt;Parametri!$C$47,Input_Meci!$C$96&gt;=Parametri!$C$86),(Input_Meci!$C$51*Input_Meci!$C$46+Input_Meci!$C$92*MIN(Parametri!$C$87,Input_Meci!$C$96))/(Input_Meci!$C$46+MIN(Parametri!$C$87,Input_Meci!$C$96)),Input_Meci!$C$51),'Input_Meci'!$C$51),0)</x:f>
        <x:v>12.3</x:v>
      </x:c>
      <x:c r="C16" s="11" t="n">
        <x:f>IF(AND(ISNUMBER('Input_Meci'!$D$51),'Input_Meci'!$D$51&gt;=0,ISNUMBER('Input_Meci'!$D$46),'Input_Meci'!$D$46&gt;0),IF(ISNUMBER('Input_Meci'!$D$92),IF(AND(Input_Meci!$E$97="DA",Input_Meci!$E$98="DA",Input_Meci!$D$46&lt;Parametri!$C$47,Input_Meci!$D$96&gt;=Parametri!$C$86),(Input_Meci!$D$51*Input_Meci!$D$46+Input_Meci!$D$92*MIN(Parametri!$C$87,Input_Meci!$D$96))/(Input_Meci!$D$46+MIN(Parametri!$C$87,Input_Meci!$D$96)),Input_Meci!$D$51),'Input_Meci'!$D$51),0)</x:f>
        <x:v>14.2</x:v>
      </x:c>
      <x:c r="D16" s="50" t="n">
        <x:f>Parametri!$C$13</x:f>
        <x:v>0.15</x:v>
      </x:c>
      <x:c r="E16" s="50" t="n">
        <x:f>IF(AND(ISNUMBER('Input_Meci'!$C$51),'Input_Meci'!$C$51&gt;=0,ISNUMBER('Input_Meci'!$C$46),'Input_Meci'!$C$46&gt;0),MIN(1,'Input_Meci'!$C$46/'Parametri'!$C$47),0)</x:f>
        <x:v>1</x:v>
      </x:c>
      <x:c r="F16" s="50" t="n">
        <x:f>IF(AND(ISNUMBER('Input_Meci'!$D$51),'Input_Meci'!$D$51&gt;=0,ISNUMBER('Input_Meci'!$D$46),'Input_Meci'!$D$46&gt;0),MIN(1,'Input_Meci'!$D$46/'Parametri'!$C$47),0)</x:f>
        <x:v>1</x:v>
      </x:c>
      <x:c r="G16" s="11">
        <x:f t="shared" si="2"/>
        <x:v>1.845</x:v>
      </x:c>
      <x:c r="H16" s="11">
        <x:f t="shared" si="3"/>
        <x:v>2.13</x:v>
      </x:c>
      <x:c r="I16" s="12" t="s">
        <x:v>285</x:v>
      </x:c>
    </x:row>
    <x:row r="17">
      <x:c r="A17" s="9" t="s">
        <x:v>286</x:v>
      </x:c>
      <x:c r="B17" s="11" t="n">
        <x:f>IF(AND(ISNUMBER('Input_Meci'!$C$52),'Input_Meci'!$C$52&gt;=0,ISNUMBER('Input_Meci'!$C$47),'Input_Meci'!$C$47&gt;0),IF(ISNUMBER('Input_Meci'!$C$93),IF(AND(Input_Meci!$E$97="DA",Input_Meci!$E$98="DA",Input_Meci!$C$47&lt;Parametri!$C$48,Input_Meci!$C$96&gt;=Parametri!$C$86),(Input_Meci!$C$52*Input_Meci!$C$47+Input_Meci!$C$93*MIN(Parametri!$C$88,Input_Meci!$C$96/2))/(Input_Meci!$C$47+MIN(Parametri!$C$88,Input_Meci!$C$96/2)),Input_Meci!$C$52),'Input_Meci'!$C$52),0)</x:f>
        <x:v>11.8</x:v>
      </x:c>
      <x:c r="C17" s="11" t="n">
        <x:f>IF(AND(ISNUMBER('Input_Meci'!$D$52),'Input_Meci'!$D$52&gt;=0,ISNUMBER('Input_Meci'!$D$47),'Input_Meci'!$D$47&gt;0),IF(ISNUMBER('Input_Meci'!$D$93),IF(AND(Input_Meci!$E$97="DA",Input_Meci!$E$98="DA",Input_Meci!$D$47&lt;Parametri!$C$48,Input_Meci!$D$96&gt;=Parametri!$C$86),(Input_Meci!$D$52*Input_Meci!$D$47+Input_Meci!$D$93*MIN(Parametri!$C$88,Input_Meci!$D$96/2))/(Input_Meci!$D$47+MIN(Parametri!$C$88,Input_Meci!$D$96/2)),Input_Meci!$D$52),'Input_Meci'!$D$52),0)</x:f>
        <x:v>14.8</x:v>
      </x:c>
      <x:c r="D17" s="50" t="n">
        <x:f>Parametri!$C$14</x:f>
        <x:v>0.25</x:v>
      </x:c>
      <x:c r="E17" s="50" t="n">
        <x:f>IF(AND(ISNUMBER('Input_Meci'!$C$52),'Input_Meci'!$C$52&gt;=0,ISNUMBER('Input_Meci'!$C$47),'Input_Meci'!$C$47&gt;0),MIN(1,'Input_Meci'!$C$47/'Parametri'!$C$48),0)</x:f>
        <x:v>1</x:v>
      </x:c>
      <x:c r="F17" s="50" t="n">
        <x:f>IF(AND(ISNUMBER('Input_Meci'!$D$52),'Input_Meci'!$D$52&gt;=0,ISNUMBER('Input_Meci'!$D$47),'Input_Meci'!$D$47&gt;0),MIN(1,'Input_Meci'!$D$47/'Parametri'!$C$48),0)</x:f>
        <x:v>1</x:v>
      </x:c>
      <x:c r="G17" s="11">
        <x:f t="shared" si="2"/>
        <x:v>2.95</x:v>
      </x:c>
      <x:c r="H17" s="11">
        <x:f t="shared" si="3"/>
        <x:v>3.7</x:v>
      </x:c>
      <x:c r="I17" s="12" t="s">
        <x:v>268</x:v>
      </x:c>
    </x:row>
    <x:row r="18">
      <x:c r="A18" s="9" t="s">
        <x:v>287</x:v>
      </x:c>
      <x:c r="B18" s="11" t="n">
        <x:f>IF(AND(ISNUMBER('Input_Meci'!$C$53),'Input_Meci'!$C$53&gt;=0,ISNUMBER('Input_Meci'!$C$48),'Input_Meci'!$C$48&gt;0),Input_Meci!$C$53,0)</x:f>
        <x:v>12.6</x:v>
      </x:c>
      <x:c r="C18" s="11" t="n">
        <x:f>IF(AND(ISNUMBER('Input_Meci'!$D$53),'Input_Meci'!$D$53&gt;=0,ISNUMBER('Input_Meci'!$D$48),'Input_Meci'!$D$48&gt;0),Input_Meci!$D$53,0)</x:f>
        <x:v>15.4</x:v>
      </x:c>
      <x:c r="D18" s="50" t="n">
        <x:f>Parametri!$C$15</x:f>
        <x:v>0.2</x:v>
      </x:c>
      <x:c r="E18" s="50" t="n">
        <x:f>IF(AND(ISNUMBER('Input_Meci'!$C$53),'Input_Meci'!$C$53&gt;=0,ISNUMBER('Input_Meci'!$C$48),'Input_Meci'!$C$48&gt;0),MIN(1,'Input_Meci'!$C$48/'Parametri'!$C$49),0)</x:f>
        <x:v>1</x:v>
      </x:c>
      <x:c r="F18" s="50" t="n">
        <x:f>IF(AND(ISNUMBER('Input_Meci'!$D$53),'Input_Meci'!$D$53&gt;=0,ISNUMBER('Input_Meci'!$D$48),'Input_Meci'!$D$48&gt;0),MIN(1,'Input_Meci'!$D$48/'Parametri'!$C$49),0)</x:f>
        <x:v>1</x:v>
      </x:c>
      <x:c r="G18" s="11">
        <x:f t="shared" si="2"/>
        <x:v>2.52</x:v>
      </x:c>
      <x:c r="H18" s="11">
        <x:f t="shared" si="3"/>
        <x:v>3.08</x:v>
      </x:c>
      <x:c r="I18" s="12" t="s">
        <x:v>453</x:v>
      </x:c>
    </x:row>
    <x:row r="19">
      <x:c r="A19" s="9" t="s">
        <x:v>288</x:v>
      </x:c>
      <x:c r="B19" s="11" t="n">
        <x:f>IF(AND(ISNUMBER('Input_Meci'!$D$54),'Input_Meci'!$D$54&gt;=0,ISNUMBER('Input_Meci'!$D$46),'Input_Meci'!$D$46&gt;0),IF(ISNUMBER('Input_Meci'!$D$94),IF(AND(Input_Meci!$E$97="DA",Input_Meci!$E$98="DA",Input_Meci!$D$46&lt;Parametri!$C$47,Input_Meci!$D$96&gt;=Parametri!$C$86),(Input_Meci!$D$54*Input_Meci!$D$46+Input_Meci!$D$94*MIN(Parametri!$C$87,Input_Meci!$D$96))/(Input_Meci!$D$46+MIN(Parametri!$C$87,Input_Meci!$D$96)),Input_Meci!$D$54),'Input_Meci'!$D$54),0)</x:f>
        <x:v>11.9</x:v>
      </x:c>
      <x:c r="C19" s="11" t="n">
        <x:f>IF(AND(ISNUMBER('Input_Meci'!$C$54),'Input_Meci'!$C$54&gt;=0,ISNUMBER('Input_Meci'!$C$46),'Input_Meci'!$C$46&gt;0),IF(ISNUMBER('Input_Meci'!$C$94),IF(AND(Input_Meci!$E$97="DA",Input_Meci!$E$98="DA",Input_Meci!$C$46&lt;Parametri!$C$47,Input_Meci!$C$96&gt;=Parametri!$C$86),(Input_Meci!$C$54*Input_Meci!$C$46+Input_Meci!$C$94*MIN(Parametri!$C$87,Input_Meci!$C$96))/(Input_Meci!$C$46+MIN(Parametri!$C$87,Input_Meci!$C$96)),Input_Meci!$C$54),'Input_Meci'!$C$54),0)</x:f>
        <x:v>13.5</x:v>
      </x:c>
      <x:c r="D19" s="50" t="n">
        <x:f>Parametri!$C$16</x:f>
        <x:v>0.1</x:v>
      </x:c>
      <x:c r="E19" s="50" t="n">
        <x:f>IF(AND(ISNUMBER('Input_Meci'!$D$54),'Input_Meci'!$D$54&gt;=0,ISNUMBER('Input_Meci'!$D$46),'Input_Meci'!$D$46&gt;0),MIN(1,'Input_Meci'!$D$46/'Parametri'!$C$47),0)</x:f>
        <x:v>1</x:v>
      </x:c>
      <x:c r="F19" s="50" t="n">
        <x:f>IF(AND(ISNUMBER('Input_Meci'!$C$54),'Input_Meci'!$C$54&gt;=0,ISNUMBER('Input_Meci'!$C$46),'Input_Meci'!$C$46&gt;0),MIN(1,'Input_Meci'!$C$46/'Parametri'!$C$47),0)</x:f>
        <x:v>1</x:v>
      </x:c>
      <x:c r="G19" s="11">
        <x:f t="shared" si="2"/>
        <x:v>1.1900000000000002</x:v>
      </x:c>
      <x:c r="H19" s="11">
        <x:f t="shared" si="3"/>
        <x:v>1.35</x:v>
      </x:c>
      <x:c r="I19" s="12" t="s">
        <x:v>273</x:v>
      </x:c>
    </x:row>
    <x:row r="20">
      <x:c r="A20" s="9" t="s">
        <x:v>289</x:v>
      </x:c>
      <x:c r="B20" s="11" t="n">
        <x:f>IF(AND(ISNUMBER('Input_Meci'!$D$55),'Input_Meci'!$D$55&gt;=0,ISNUMBER('Input_Meci'!$D$47),'Input_Meci'!$D$47&gt;0),IF(ISNUMBER('Input_Meci'!$D$95),IF(AND(Input_Meci!$E$97="DA",Input_Meci!$E$98="DA",Input_Meci!$D$47&lt;Parametri!$C$48,Input_Meci!$D$96&gt;=Parametri!$C$86),(Input_Meci!$D$55*Input_Meci!$D$47+Input_Meci!$D$95*MIN(Parametri!$C$88,Input_Meci!$D$96/2))/(Input_Meci!$D$47+MIN(Parametri!$C$88,Input_Meci!$D$96/2)),Input_Meci!$D$55),'Input_Meci'!$D$55),0)</x:f>
        <x:v>11.5</x:v>
      </x:c>
      <x:c r="C20" s="11" t="n">
        <x:f>IF(AND(ISNUMBER('Input_Meci'!$C$55),'Input_Meci'!$C$55&gt;=0,ISNUMBER('Input_Meci'!$C$47),'Input_Meci'!$C$47&gt;0),IF(ISNUMBER('Input_Meci'!$C$95),IF(AND(Input_Meci!$E$97="DA",Input_Meci!$E$98="DA",Input_Meci!$C$47&lt;Parametri!$C$48,Input_Meci!$C$96&gt;=Parametri!$C$86),(Input_Meci!$C$55*Input_Meci!$C$47+Input_Meci!$C$95*MIN(Parametri!$C$88,Input_Meci!$C$96/2))/(Input_Meci!$C$47+MIN(Parametri!$C$88,Input_Meci!$C$96/2)),Input_Meci!$C$55),'Input_Meci'!$C$55),0)</x:f>
        <x:v>13.8</x:v>
      </x:c>
      <x:c r="D20" s="50" t="n">
        <x:f>Parametri!$C$17</x:f>
        <x:v>0.15</x:v>
      </x:c>
      <x:c r="E20" s="50" t="n">
        <x:f>IF(AND(ISNUMBER('Input_Meci'!$D$55),'Input_Meci'!$D$55&gt;=0,ISNUMBER('Input_Meci'!$D$47),'Input_Meci'!$D$47&gt;0),MIN(1,'Input_Meci'!$D$47/'Parametri'!$C$48),0)</x:f>
        <x:v>1</x:v>
      </x:c>
      <x:c r="F20" s="50" t="n">
        <x:f>IF(AND(ISNUMBER('Input_Meci'!$C$55),'Input_Meci'!$C$55&gt;=0,ISNUMBER('Input_Meci'!$C$47),'Input_Meci'!$C$47&gt;0),MIN(1,'Input_Meci'!$C$47/'Parametri'!$C$48),0)</x:f>
        <x:v>1</x:v>
      </x:c>
      <x:c r="G20" s="11">
        <x:f t="shared" si="2"/>
        <x:v>1.7249999999999999</x:v>
      </x:c>
      <x:c r="H20" s="11">
        <x:f t="shared" si="3"/>
        <x:v>2.0699999999999998</x:v>
      </x:c>
      <x:c r="I20" s="12" t="s">
        <x:v>276</x:v>
      </x:c>
    </x:row>
    <x:row r="21">
      <x:c r="A21" s="9" t="s">
        <x:v>290</x:v>
      </x:c>
      <x:c r="B21" s="11" t="n">
        <x:f>IF(AND(ISNUMBER('Input_Meci'!$D$56),'Input_Meci'!$D$56&gt;=0,ISNUMBER('Input_Meci'!$D$48),'Input_Meci'!$D$48&gt;0),Input_Meci!$D$56,0)</x:f>
        <x:v>12.1</x:v>
      </x:c>
      <x:c r="C21" s="11" t="n">
        <x:f>IF(AND(ISNUMBER('Input_Meci'!$C$56),'Input_Meci'!$C$56&gt;=0,ISNUMBER('Input_Meci'!$C$48),'Input_Meci'!$C$48&gt;0),Input_Meci!$C$56,0)</x:f>
        <x:v>14.1</x:v>
      </x:c>
      <x:c r="D21" s="50" t="n">
        <x:f>Parametri!$C$18</x:f>
        <x:v>0.05</x:v>
      </x:c>
      <x:c r="E21" s="50" t="n">
        <x:f>IF(AND(ISNUMBER('Input_Meci'!$D$56),'Input_Meci'!$D$56&gt;=0,ISNUMBER('Input_Meci'!$D$48),'Input_Meci'!$D$48&gt;0),MIN(1,'Input_Meci'!$D$48/'Parametri'!$C$49),0)</x:f>
        <x:v>1</x:v>
      </x:c>
      <x:c r="F21" s="50" t="n">
        <x:f>IF(AND(ISNUMBER('Input_Meci'!$C$56),'Input_Meci'!$C$56&gt;=0,ISNUMBER('Input_Meci'!$C$48),'Input_Meci'!$C$48&gt;0),MIN(1,'Input_Meci'!$C$48/'Parametri'!$C$49),0)</x:f>
        <x:v>1</x:v>
      </x:c>
      <x:c r="G21" s="11">
        <x:f t="shared" si="2"/>
        <x:v>0.60499999999999998</x:v>
      </x:c>
      <x:c r="H21" s="11">
        <x:f t="shared" si="3"/>
        <x:v>0.70500000000000007</x:v>
      </x:c>
      <x:c r="I21" s="12" t="s">
        <x:v>278</x:v>
      </x:c>
    </x:row>
    <x:row r="22">
      <x:c r="A22" s="9"/>
      <x:c r="B22" s="11"/>
      <x:c r="C22" s="11"/>
      <x:c r="D22" s="11"/>
      <x:c r="E22" s="11"/>
      <x:c r="F22" s="11"/>
      <x:c r="G22" s="11"/>
      <x:c r="H22" s="11"/>
      <x:c r="I22" s="12"/>
    </x:row>
    <x:row r="23">
      <x:c r="A23" s="51" t="s">
        <x:v>457</x:v>
      </x:c>
      <x:c r="B23" s="52" t="n">
        <x:f>IF(SUMPRODUCT(D15:D21,E15:E21)=0,0,SUM(G15:G21)/SUMPRODUCT(D15:D21,E15:E21))</x:f>
        <x:v>12.035</x:v>
      </x:c>
      <x:c r="C23" s="52" t="n">
        <x:f>IF(SUMPRODUCT(D15:D21,F15:F21)=0,0,SUM(H15:H21)/SUMPRODUCT(D15:D21,F15:F21))</x:f>
        <x:v>14.235</x:v>
      </x:c>
      <x:c r="D23" s="11"/>
      <x:c r="E23" s="11"/>
      <x:c r="F23" s="11"/>
      <x:c r="G23" s="11"/>
      <x:c r="H23" s="11"/>
      <x:c r="I23" s="12"/>
    </x:row>
    <x:row r="24">
      <x:c r="A24" s="51" t="s">
        <x:v>458</x:v>
      </x:c>
      <x:c r="B24" s="52" t="n">
        <x:f>IF(AND(ISNUMBER(Input_Meci!$E$28),Input_Meci!$E$28&gt;0,B23&gt;0),B23/(Input_Meci!$E$28/2),1)</x:f>
        <x:v>1.0029166666666667</x:v>
      </x:c>
      <x:c r="C24" s="52" t="n">
        <x:f>IF(AND(ISNUMBER(Input_Meci!$E$28),Input_Meci!$E$28&gt;0,C23&gt;0),C23/(Input_Meci!$E$28/2),1)</x:f>
        <x:v>1.18625</x:v>
      </x:c>
      <x:c r="D24" s="11"/>
      <x:c r="E24" s="11"/>
      <x:c r="F24" s="11"/>
      <x:c r="G24" s="11"/>
      <x:c r="H24" s="11"/>
      <x:c r="I24" s="12"/>
    </x:row>
    <x:row r="25">
      <x:c r="A25" s="51" t="s">
        <x:v>459</x:v>
      </x:c>
      <x:c r="B25" s="52" t="n">
        <x:f>1+Parametri!$C$25*(MIN(Parametri!$C$27,MAX(Parametri!$C$26,B24))-1)</x:f>
        <x:v>1.0007291666666667</x:v>
      </x:c>
      <x:c r="C25" s="52" t="n">
        <x:f>1+Parametri!$C$25*(MIN(Parametri!$C$27,MAX(Parametri!$C$26,C24))-1)</x:f>
        <x:v>1.0465625</x:v>
      </x:c>
      <x:c r="D25" s="11"/>
      <x:c r="E25" s="11"/>
      <x:c r="F25" s="11"/>
      <x:c r="G25" s="11"/>
      <x:c r="H25" s="11"/>
      <x:c r="I25" s="12"/>
    </x:row>
    <x:row r="26">
      <x:c r="A26" s="9"/>
      <x:c r="B26" s="11"/>
      <x:c r="C26" s="11"/>
      <x:c r="D26" s="11"/>
      <x:c r="E26" s="11"/>
      <x:c r="F26" s="11"/>
      <x:c r="G26" s="11"/>
      <x:c r="H26" s="11"/>
      <x:c r="I26" s="12"/>
    </x:row>
    <x:row r="27">
      <x:c r="A27" s="55" t="s">
        <x:v>460</x:v>
      </x:c>
      <x:c r="B27" s="56" t="s">
        <x:v>461</x:v>
      </x:c>
      <x:c r="C27" s="56" t="s">
        <x:v>462</x:v>
      </x:c>
      <x:c r="D27" s="56" t="s">
        <x:v>463</x:v>
      </x:c>
      <x:c r="E27" s="56" t="s">
        <x:v>464</x:v>
      </x:c>
      <x:c r="F27" s="56" t="s">
        <x:v>465</x:v>
      </x:c>
      <x:c r="G27" s="56" t="s">
        <x:v>10</x:v>
      </x:c>
      <x:c r="H27" s="56" t="s">
        <x:v>2</x:v>
      </x:c>
      <x:c r="I27" s="58" t="s">
        <x:v>466</x:v>
      </x:c>
    </x:row>
    <x:row r="28">
      <x:c r="A28" s="9" t="s">
        <x:v>467</x:v>
      </x:c>
      <x:c r="B28" s="59" t="n">
        <x:f>IF(AND(ISNUMBER(Input_Meci!$E$64),Input_Meci!$E$64&gt;=0,Input_Meci!$E$27&gt;0),Input_Meci!$E$64/Input_Meci!$E$27,1)</x:f>
        <x:v>1.108695652173913</x:v>
      </x:c>
      <x:c r="C28" s="52"/>
      <x:c r="D28" s="11"/>
      <x:c r="E28" s="11"/>
      <x:c r="F28" s="11"/>
      <x:c r="G28" s="11" t="s">
        <x:v>301</x:v>
      </x:c>
      <x:c r="H28" s="11" t="s">
        <x:v>468</x:v>
      </x:c>
      <x:c r="I28" s="12" t="s">
        <x:v>469</x:v>
      </x:c>
    </x:row>
    <x:row r="29">
      <x:c r="A29" s="9" t="s">
        <x:v>470</x:v>
      </x:c>
      <x:c r="B29" s="53" t="n">
        <x:f>IF(AND(ISNUMBER(Input_Meci!$E$64),ISNUMBER(Input_Meci!$E$67),Input_Meci!$E$67&gt;0),Input_Meci!$E$67/(Input_Meci!$E$67+Parametri!$C$21),0)</x:f>
        <x:v>0.5454545454545454</x:v>
      </x:c>
      <x:c r="C29" s="52"/>
      <x:c r="D29" s="11"/>
      <x:c r="E29" s="11"/>
      <x:c r="F29" s="11"/>
      <x:c r="G29" s="11" t="s">
        <x:v>170</x:v>
      </x:c>
      <x:c r="H29" s="11" t="s">
        <x:v>298</x:v>
      </x:c>
      <x:c r="I29" s="12"/>
    </x:row>
    <x:row r="30">
      <x:c r="A30" s="9" t="s">
        <x:v>471</x:v>
      </x:c>
      <x:c r="B30" s="59" t="n">
        <x:f>1+B29*Parametri!$C$20*(MIN(Parametri!$C$23,MAX(Parametri!$C$22,B28))-1)</x:f>
        <x:v>1.0385375494071147</x:v>
      </x:c>
      <x:c r="C30" s="52"/>
      <x:c r="D30" s="11"/>
      <x:c r="E30" s="11"/>
      <x:c r="F30" s="11"/>
      <x:c r="G30" s="11" t="s">
        <x:v>301</x:v>
      </x:c>
      <x:c r="H30" s="11" t="s">
        <x:v>472</x:v>
      </x:c>
      <x:c r="I30" s="12"/>
    </x:row>
    <x:row r="31">
      <x:c r="A31" s="9" t="s">
        <x:v>473</x:v>
      </x:c>
      <x:c r="B31" s="53" t="n">
        <x:f>Input_Meci!$E$33</x:f>
        <x:v>0.47</x:v>
      </x:c>
      <x:c r="C31" s="53" t="n">
        <x:f>IF(AND(ISNUMBER(Input_Meci!$E$68),Input_Meci!$E$68&gt;0,Input_Meci!$E$68&lt;1),Input_Meci!$E$68,B31)</x:f>
        <x:v>0.46</x:v>
      </x:c>
      <x:c r="D31" s="11"/>
      <x:c r="E31" s="11"/>
      <x:c r="F31" s="11"/>
      <x:c r="G31" s="11" t="s">
        <x:v>170</x:v>
      </x:c>
      <x:c r="H31" s="11" t="s">
        <x:v>474</x:v>
      </x:c>
      <x:c r="I31" s="12"/>
    </x:row>
    <x:row r="32">
      <x:c r="A32" s="9" t="s">
        <x:v>475</x:v>
      </x:c>
      <x:c r="B32" s="59" t="n">
        <x:f>1+$B$29*Parametri!$C$24*(MIN(Parametri!$C$23,MAX(Parametri!$C$22,$C$31/$B$31))-1)</x:f>
        <x:v>0.9959381044487428</x:v>
      </x:c>
      <x:c r="C32" s="52" t="n">
        <x:f>1+$B$29*Parametri!$C$24*(MIN(Parametri!$C$23,MAX(Parametri!$C$22,(1-$C$31)/(1-$B$31)))-1)</x:f>
        <x:v>1.0036020583190395</x:v>
      </x:c>
      <x:c r="D32" s="11"/>
      <x:c r="E32" s="11"/>
      <x:c r="F32" s="11"/>
      <x:c r="G32" s="11" t="s">
        <x:v>301</x:v>
      </x:c>
      <x:c r="H32" s="11" t="s">
        <x:v>476</x:v>
      </x:c>
      <x:c r="I32" s="12"/>
    </x:row>
    <x:row r="33">
      <x:c r="A33" s="9" t="s">
        <x:v>477</x:v>
      </x:c>
      <x:c r="B33" s="59" t="n">
        <x:f>IF(AND(ISNUMBER(Input_Meci!$E$65),Input_Meci!$E$28&gt;0),Input_Meci!$E$65/Input_Meci!$E$28,1)</x:f>
        <x:v>1.05</x:v>
      </x:c>
      <x:c r="C33" s="52"/>
      <x:c r="D33" s="11"/>
      <x:c r="E33" s="11"/>
      <x:c r="F33" s="11"/>
      <x:c r="G33" s="11" t="s">
        <x:v>301</x:v>
      </x:c>
      <x:c r="H33" s="11" t="s">
        <x:v>478</x:v>
      </x:c>
      <x:c r="I33" s="12" t="s">
        <x:v>479</x:v>
      </x:c>
    </x:row>
    <x:row r="34">
      <x:c r="A34" s="9" t="s">
        <x:v>480</x:v>
      </x:c>
      <x:c r="B34" s="52" t="n">
        <x:f>IF(COUNT(Input_Meci!$E$32,Input_Meci!$E$66,Input_Meci!$C$44:$D$45)=6,Parametri!$C$42*Input_Meci!$E$32+Parametri!$C$43*($B$29*Input_Meci!$E$66+(1-$B$29)*Input_Meci!$E$32)+Parametri!$C$44*(Input_Meci!$C$44+Input_Meci!$D$44)+Parametri!$C$45*(Input_Meci!$C$45+Input_Meci!$D$45),IF((IF(ISNUMBER('Input_Meci'!$E$32),Parametri!$C$42,0)+IF(ISNUMBER('Input_Meci'!$E$66),Parametri!$C$43,0)+IF(ISNUMBER('Input_Meci'!$C$44),Parametri!$C$44/2,0)+IF(ISNUMBER('Input_Meci'!$D$44),Parametri!$C$44/2,0)+IF(ISNUMBER('Input_Meci'!$C$45),Parametri!$C$45/2,0)+IF(ISNUMBER('Input_Meci'!$D$45),Parametri!$C$45/2,0))&gt;0,(IF(ISNUMBER('Input_Meci'!$E$32),'Input_Meci'!$E$32*Parametri!$C$42,0)+IF(ISNUMBER('Input_Meci'!$E$66),'Input_Meci'!$E$66*Parametri!$C$43,0)+IF(ISNUMBER('Input_Meci'!$C$44),'Input_Meci'!$C$44*Parametri!$C$44/2*2,0)+IF(ISNUMBER('Input_Meci'!$D$44),'Input_Meci'!$D$44*Parametri!$C$44/2*2,0)+IF(ISNUMBER('Input_Meci'!$C$45),'Input_Meci'!$C$45*Parametri!$C$45/2*2,0)+IF(ISNUMBER('Input_Meci'!$D$45),'Input_Meci'!$D$45*Parametri!$C$45/2*2,0))/(IF(ISNUMBER('Input_Meci'!$E$32),Parametri!$C$42,0)+IF(ISNUMBER('Input_Meci'!$E$66),Parametri!$C$43,0)+IF(ISNUMBER('Input_Meci'!$C$44),Parametri!$C$44/2,0)+IF(ISNUMBER('Input_Meci'!$D$44),Parametri!$C$44/2,0)+IF(ISNUMBER('Input_Meci'!$C$45),Parametri!$C$45/2,0)+IF(ISNUMBER('Input_Meci'!$D$45),Parametri!$C$45/2,0)),0))</x:f>
        <x:v>0.10227272727272727</x:v>
      </x:c>
      <x:c r="C34" s="52"/>
      <x:c r="D34" s="11"/>
      <x:c r="E34" s="11"/>
      <x:c r="F34" s="11"/>
      <x:c r="G34" s="11" t="s">
        <x:v>121</x:v>
      </x:c>
      <x:c r="H34" s="11" t="s">
        <x:v>481</x:v>
      </x:c>
      <x:c r="I34" s="12"/>
    </x:row>
    <x:row r="35">
      <x:c r="A35" s="9" t="s">
        <x:v>482</x:v>
      </x:c>
      <x:c r="B35" s="53" t="n">
        <x:f>1-EXP(-B34)</x:f>
        <x:v>0.09721669553725121</x:v>
      </x:c>
      <x:c r="C35" s="52"/>
      <x:c r="D35" s="11"/>
      <x:c r="E35" s="11"/>
      <x:c r="F35" s="11"/>
      <x:c r="G35" s="11" t="s">
        <x:v>170</x:v>
      </x:c>
      <x:c r="H35" s="11" t="s">
        <x:v>483</x:v>
      </x:c>
      <x:c r="I35" s="12" t="s">
        <x:v>484</x:v>
      </x:c>
    </x:row>
    <x:row r="36">
      <x:c r="A36" s="9"/>
      <x:c r="B36" s="11"/>
      <x:c r="C36" s="11"/>
      <x:c r="D36" s="11"/>
      <x:c r="E36" s="11"/>
      <x:c r="F36" s="11"/>
      <x:c r="G36" s="11"/>
      <x:c r="H36" s="11"/>
      <x:c r="I36" s="12"/>
    </x:row>
    <x:row r="37">
      <x:c r="A37" s="55" t="s">
        <x:v>202</x:v>
      </x:c>
      <x:c r="B37" s="56" t="s">
        <x:v>485</x:v>
      </x:c>
      <x:c r="C37" s="56" t="s">
        <x:v>486</x:v>
      </x:c>
      <x:c r="D37" s="56" t="s">
        <x:v>487</x:v>
      </x:c>
      <x:c r="E37" s="11"/>
      <x:c r="F37" s="11"/>
      <x:c r="G37" s="11"/>
      <x:c r="H37" s="11"/>
      <x:c r="I37" s="12"/>
    </x:row>
    <x:row r="38">
      <x:c r="A38" s="9" t="s">
        <x:v>488</x:v>
      </x:c>
      <x:c r="B38" s="11" t="n">
        <x:f>IF(ISNUMBER(Input_Meci!$E$73),Input_Meci!$E$73,5)</x:f>
        <x:v>7</x:v>
      </x:c>
      <x:c r="C38" s="50" t="n">
        <x:f>Parametri!$C$34</x:f>
        <x:v>0.018</x:v>
      </x:c>
      <x:c r="D38" s="11" t="n">
        <x:f>1+(B38-5)*C38</x:f>
        <x:v>1.036</x:v>
      </x:c>
      <x:c r="E38" s="11"/>
      <x:c r="F38" s="11"/>
      <x:c r="G38" s="11"/>
      <x:c r="H38" s="11"/>
      <x:c r="I38" s="12"/>
    </x:row>
    <x:row r="39">
      <x:c r="A39" s="9" t="s">
        <x:v>489</x:v>
      </x:c>
      <x:c r="B39" s="11" t="n">
        <x:f>IF(ISNUMBER(Input_Meci!$E$74),Input_Meci!$E$74,5)</x:f>
        <x:v>6</x:v>
      </x:c>
      <x:c r="C39" s="50" t="n">
        <x:f>Parametri!$C$35</x:f>
        <x:v>0.012</x:v>
      </x:c>
      <x:c r="D39" s="11" t="n">
        <x:f>1+(B39-5)*C39</x:f>
        <x:v>1.012</x:v>
      </x:c>
      <x:c r="E39" s="11"/>
      <x:c r="F39" s="11"/>
      <x:c r="G39" s="11"/>
      <x:c r="H39" s="11"/>
      <x:c r="I39" s="12"/>
    </x:row>
    <x:row r="40">
      <x:c r="A40" s="9" t="s">
        <x:v>490</x:v>
      </x:c>
      <x:c r="B40" s="11" t="n">
        <x:f>IF(ISNUMBER(Input_Meci!$E$75),Input_Meci!$E$75,5)</x:f>
        <x:v>7</x:v>
      </x:c>
      <x:c r="C40" s="50" t="n">
        <x:f>Parametri!$C$36</x:f>
        <x:v>0.012</x:v>
      </x:c>
      <x:c r="D40" s="11" t="n">
        <x:f>1+(B40-5)*C40</x:f>
        <x:v>1.024</x:v>
      </x:c>
      <x:c r="E40" s="11"/>
      <x:c r="F40" s="11"/>
      <x:c r="G40" s="11"/>
      <x:c r="H40" s="11"/>
      <x:c r="I40" s="12"/>
    </x:row>
    <x:row r="41">
      <x:c r="A41" s="9" t="s">
        <x:v>491</x:v>
      </x:c>
      <x:c r="B41" s="11" t="n">
        <x:f>IF(ISNUMBER(Input_Meci!$E$76),Input_Meci!$E$76,5)</x:f>
        <x:v>6</x:v>
      </x:c>
      <x:c r="C41" s="50" t="n">
        <x:f>Parametri!$C$37</x:f>
        <x:v>0.01</x:v>
      </x:c>
      <x:c r="D41" s="11" t="n">
        <x:f>1+(B41-5)*C41</x:f>
        <x:v>1.01</x:v>
      </x:c>
      <x:c r="E41" s="11"/>
      <x:c r="F41" s="11"/>
      <x:c r="G41" s="11"/>
      <x:c r="H41" s="11"/>
      <x:c r="I41" s="12"/>
    </x:row>
    <x:row r="42">
      <x:c r="A42" s="9" t="s">
        <x:v>492</x:v>
      </x:c>
      <x:c r="B42" s="11" t="n">
        <x:f>IF(ISNUMBER(Input_Meci!$E$77),Input_Meci!$E$77,5)</x:f>
        <x:v>7</x:v>
      </x:c>
      <x:c r="C42" s="50" t="n">
        <x:f>Parametri!$C$38</x:f>
        <x:v>0.006</x:v>
      </x:c>
      <x:c r="D42" s="11" t="n">
        <x:f>1+(B42-5)*C42</x:f>
        <x:v>1.012</x:v>
      </x:c>
      <x:c r="E42" s="11"/>
      <x:c r="F42" s="11"/>
      <x:c r="G42" s="11"/>
      <x:c r="H42" s="11"/>
      <x:c r="I42" s="12"/>
    </x:row>
    <x:row r="43">
      <x:c r="A43" s="9" t="s">
        <x:v>493</x:v>
      </x:c>
      <x:c r="B43" s="11" t="n">
        <x:f>IF(ISNUMBER(Input_Meci!$E$78),Input_Meci!$E$78,0)</x:f>
        <x:v>0</x:v>
      </x:c>
      <x:c r="C43" s="50" t="n">
        <x:f>Parametri!$C$39</x:f>
        <x:v>0.01</x:v>
      </x:c>
      <x:c r="D43" s="11" t="n">
        <x:f>1+B43*C43</x:f>
        <x:v>1</x:v>
      </x:c>
      <x:c r="E43" s="11"/>
      <x:c r="F43" s="11"/>
      <x:c r="G43" s="11"/>
      <x:c r="H43" s="11"/>
      <x:c r="I43" s="12"/>
    </x:row>
    <x:row r="44">
      <x:c r="A44" s="9" t="s">
        <x:v>494</x:v>
      </x:c>
      <x:c r="B44" s="11" t="n">
        <x:f>IF(ISNUMBER(Input_Meci!$E$34),Input_Meci!$E$34,0)</x:f>
        <x:v>0</x:v>
      </x:c>
      <x:c r="C44" s="50" t="n">
        <x:f>Parametri!$C$40</x:f>
        <x:v>0.02</x:v>
      </x:c>
      <x:c r="D44" s="11" t="n">
        <x:f>1+B44*C44</x:f>
        <x:v>1</x:v>
      </x:c>
      <x:c r="E44" s="11"/>
      <x:c r="F44" s="11"/>
      <x:c r="G44" s="11"/>
      <x:c r="H44" s="11"/>
      <x:c r="I44" s="12"/>
    </x:row>
    <x:row r="45">
      <x:c r="A45" s="9" t="s">
        <x:v>495</x:v>
      </x:c>
      <x:c r="B45" s="11" t="n">
        <x:f>IF(ISNUMBER(Input_Meci!$E$69),Input_Meci!$E$69,0)</x:f>
        <x:v>0</x:v>
      </x:c>
      <x:c r="C45" s="50" t="n">
        <x:f>Parametri!$C$41</x:f>
        <x:v>0.015</x:v>
      </x:c>
      <x:c r="D45" s="11" t="n">
        <x:f>1+B45*C45*$B$29</x:f>
        <x:v>1</x:v>
      </x:c>
      <x:c r="E45" s="11"/>
      <x:c r="F45" s="11"/>
      <x:c r="G45" s="11"/>
      <x:c r="H45" s="11"/>
      <x:c r="I45" s="12"/>
    </x:row>
    <x:row r="46">
      <x:c r="A46" s="51" t="s">
        <x:v>496</x:v>
      </x:c>
      <x:c r="B46" s="52"/>
      <x:c r="C46" s="52"/>
      <x:c r="D46" s="52" t="n">
        <x:f>MIN(Parametri!$C$31,MAX(Parametri!$C$30,PRODUCT(D38:D45)*$B$92))</x:f>
        <x:v>1.0977832971603727</x:v>
      </x:c>
      <x:c r="E46" s="11"/>
      <x:c r="F46" s="11"/>
      <x:c r="G46" s="11"/>
      <x:c r="H46" s="11"/>
      <x:c r="I46" s="12"/>
    </x:row>
    <x:row r="47">
      <x:c r="A47" s="51" t="s">
        <x:v>497</x:v>
      </x:c>
      <x:c r="B47" s="52" t="n">
        <x:f>IF(ISNUMBER(Input_Meci!$C$57),MAX(0.92,MIN(1.08,1+Parametri!$C$28*((50-Input_Meci!$C$57)/10))),1)</x:f>
        <x:v>0.985</x:v>
      </x:c>
      <x:c r="C47" s="52" t="n">
        <x:f>IF(ISNUMBER(Input_Meci!$D$57),MAX(0.92,MIN(1.08,1+Parametri!$C$28*((50-Input_Meci!$D$57)/10))),1)</x:f>
        <x:v>1.015</x:v>
      </x:c>
      <x:c r="D47" s="52" t="s">
        <x:v>312</x:v>
      </x:c>
      <x:c r="E47" s="11"/>
      <x:c r="F47" s="11"/>
      <x:c r="G47" s="11"/>
      <x:c r="H47" s="11"/>
      <x:c r="I47" s="12"/>
    </x:row>
    <x:row r="48">
      <x:c r="A48" s="51" t="s">
        <x:v>498</x:v>
      </x:c>
      <x:c r="B48" s="52" t="n">
        <x:f>IF(ISNUMBER(Input_Meci!$C$58),1+Input_Meci!$C$58*Parametri!$C$29,1)</x:f>
        <x:v>1</x:v>
      </x:c>
      <x:c r="C48" s="52" t="n">
        <x:f>IF(ISNUMBER(Input_Meci!$D$58),1+Input_Meci!$D$58*Parametri!$C$29,1)</x:f>
        <x:v>1.03</x:v>
      </x:c>
      <x:c r="D48" s="52" t="s">
        <x:v>499</x:v>
      </x:c>
      <x:c r="E48" s="11"/>
      <x:c r="F48" s="11"/>
      <x:c r="G48" s="11"/>
      <x:c r="H48" s="11"/>
      <x:c r="I48" s="12"/>
    </x:row>
    <x:row r="49">
      <x:c r="A49" s="9"/>
      <x:c r="B49" s="11"/>
      <x:c r="C49" s="11"/>
      <x:c r="D49" s="11"/>
      <x:c r="E49" s="11"/>
      <x:c r="F49" s="11"/>
      <x:c r="G49" s="11"/>
      <x:c r="H49" s="11"/>
      <x:c r="I49" s="12"/>
    </x:row>
    <x:row r="50">
      <x:c r="A50" s="55" t="s">
        <x:v>500</x:v>
      </x:c>
      <x:c r="B50" s="56" t="s">
        <x:v>45</x:v>
      </x:c>
      <x:c r="C50" s="56" t="s">
        <x:v>46</x:v>
      </x:c>
      <x:c r="D50" s="56" t="s">
        <x:v>501</x:v>
      </x:c>
      <x:c r="E50" s="11"/>
      <x:c r="F50" s="11"/>
      <x:c r="G50" s="11"/>
      <x:c r="H50" s="11"/>
      <x:c r="I50" s="12"/>
    </x:row>
    <x:row r="51">
      <x:c r="A51" s="51" t="s">
        <x:v>502</x:v>
      </x:c>
      <x:c r="B51" s="59" t="n">
        <x:f>B12*B25*$B$30*B32*$D$46*B47*B48</x:f>
        <x:v>2.351751075063486</x:v>
      </x:c>
      <x:c r="C51" s="59" t="n">
        <x:f>C12*C25*$B$30*C32*$D$46*C47*C48</x:f>
        <x:v>3.2722099082937492</x:v>
      </x:c>
      <x:c r="D51" s="59" t="n">
        <x:f>SUM(B51:C51)</x:f>
        <x:v>5.623960983357235</x:v>
      </x:c>
      <x:c r="E51" s="11"/>
      <x:c r="F51" s="11"/>
      <x:c r="G51" s="11"/>
      <x:c r="H51" s="11"/>
      <x:c r="I51" s="12"/>
    </x:row>
    <x:row r="52">
      <x:c r="A52" s="51" t="s">
        <x:v>503</x:v>
      </x:c>
      <x:c r="B52" s="52" t="n">
        <x:f>B51/(Input_Meci!$E$27*Input_Meci!$E$33)</x:f>
        <x:v>1.087766454700965</x:v>
      </x:c>
      <x:c r="C52" s="52" t="n">
        <x:f>C51/(Input_Meci!$E$27*(1-Input_Meci!$E$33))</x:f>
        <x:v>1.3421697737053937</x:v>
      </x:c>
      <x:c r="D52" s="52" t="n">
        <x:f>D51/Input_Meci!$E$27</x:f>
        <x:v>1.222600213773312</x:v>
      </x:c>
      <x:c r="E52" s="11"/>
      <x:c r="F52" s="11"/>
      <x:c r="G52" s="11"/>
      <x:c r="H52" s="11"/>
      <x:c r="I52" s="12"/>
    </x:row>
    <x:row r="53">
      <x:c r="A53" s="9"/>
      <x:c r="B53" s="11"/>
      <x:c r="C53" s="11"/>
      <x:c r="D53" s="11"/>
      <x:c r="E53" s="11"/>
      <x:c r="F53" s="11"/>
      <x:c r="G53" s="11"/>
      <x:c r="H53" s="11"/>
      <x:c r="I53" s="12"/>
    </x:row>
    <x:row r="54">
      <x:c r="A54" s="55" t="s">
        <x:v>504</x:v>
      </x:c>
      <x:c r="B54" s="56" t="s">
        <x:v>505</x:v>
      </x:c>
      <x:c r="C54" s="56" t="s">
        <x:v>321</x:v>
      </x:c>
      <x:c r="D54" s="56" t="s">
        <x:v>506</x:v>
      </x:c>
      <x:c r="E54" s="56" t="s">
        <x:v>507</x:v>
      </x:c>
      <x:c r="F54" s="56" t="s">
        <x:v>508</x:v>
      </x:c>
      <x:c r="G54" s="56" t="s">
        <x:v>509</x:v>
      </x:c>
      <x:c r="H54" s="56" t="s">
        <x:v>510</x:v>
      </x:c>
      <x:c r="I54" s="58" t="s">
        <x:v>511</x:v>
      </x:c>
    </x:row>
    <x:row r="55">
      <x:c r="A55" s="9" t="s">
        <x:v>501</x:v>
      </x:c>
      <x:c r="B55" s="60" t="n">
        <x:f>$D$51</x:f>
        <x:v>5.623960983357235</x:v>
      </x:c>
      <x:c r="C55" s="60" t="n">
        <x:f>MIN(2.5,MAX(0.5,IF(AND(ISNUMBER(Input_Meci!$E$29),Input_Meci!$E$29&gt;0),Input_Meci!$E$29,1)+$B$93))</x:f>
        <x:v>0.9516075995615637</x:v>
      </x:c>
      <x:c r="D55" s="60" t="n">
        <x:f>B55*C55</x:f>
        <x:v>5.3518040114004695</x:v>
      </x:c>
      <x:c r="E55" s="11" t="str">
        <x:f>IF(C55&lt;Parametri!$C$32,"Binomial sub-dispersat",IF(C55&gt;Parametri!$C$33,"Negativ binomial","Poisson"))</x:f>
        <x:v>Poisson</x:v>
      </x:c>
      <x:c r="F55" s="11" t="str">
        <x:f>IF(E55="Negativ binomial",B55/(C55-1),"")</x:f>
      </x:c>
      <x:c r="G55" s="11" t="str">
        <x:f>IF(E55="Negativ binomial",1/C55,"")</x:f>
      </x:c>
      <x:c r="H55" s="11" t="str">
        <x:f>IF(E55="Binomial sub-dispersat",ROUNDUP(B55/(1-C55),0),"")</x:f>
      </x:c>
      <x:c r="I55" s="12" t="str">
        <x:f>IF(E55="Binomial sub-dispersat",B55/H55,"")</x:f>
      </x:c>
    </x:row>
    <x:row r="56">
      <x:c r="A56" s="9" t="s">
        <x:v>45</x:v>
      </x:c>
      <x:c r="B56" s="60" t="n">
        <x:f>$B$51</x:f>
        <x:v>2.351751075063486</x:v>
      </x:c>
      <x:c r="C56" s="60" t="n">
        <x:f>MIN(2.5,MAX(0.5,IF(AND(ISNUMBER(Input_Meci!$E$30),Input_Meci!$E$30&gt;0),Input_Meci!$E$30,1)))</x:f>
        <x:v>0.95</x:v>
      </x:c>
      <x:c r="D56" s="60" t="n">
        <x:f>B56*C56</x:f>
        <x:v>2.2341635213103115</x:v>
      </x:c>
      <x:c r="E56" s="11" t="str">
        <x:f>IF(C56&lt;Parametri!$C$32,"Binomial sub-dispersat",IF(C56&gt;Parametri!$C$33,"Negativ binomial","Poisson"))</x:f>
        <x:v>Poisson</x:v>
      </x:c>
      <x:c r="F56" s="11" t="str">
        <x:f>IF(E56="Negativ binomial",B56/(C56-1),"")</x:f>
      </x:c>
      <x:c r="G56" s="11" t="str">
        <x:f>IF(E56="Negativ binomial",1/C56,"")</x:f>
      </x:c>
      <x:c r="H56" s="11" t="str">
        <x:f>IF(E56="Binomial sub-dispersat",ROUNDUP(B56/(1-C56),0),"")</x:f>
      </x:c>
      <x:c r="I56" s="12" t="str">
        <x:f>IF(E56="Binomial sub-dispersat",B56/H56,"")</x:f>
      </x:c>
    </x:row>
    <x:row r="57">
      <x:c r="A57" s="9" t="s">
        <x:v>46</x:v>
      </x:c>
      <x:c r="B57" s="60" t="n">
        <x:f>$C$51</x:f>
        <x:v>3.2722099082937492</x:v>
      </x:c>
      <x:c r="C57" s="60" t="n">
        <x:f>MIN(2.5,MAX(0.5,IF(AND(ISNUMBER(Input_Meci!$E$31),Input_Meci!$E$31&gt;0),Input_Meci!$E$31,1)))</x:f>
        <x:v>0.9</x:v>
      </x:c>
      <x:c r="D57" s="60" t="n">
        <x:f>B57*C57</x:f>
        <x:v>2.944988917464374</x:v>
      </x:c>
      <x:c r="E57" s="11" t="str">
        <x:f>IF(C57&lt;Parametri!$C$32,"Binomial sub-dispersat",IF(C57&gt;Parametri!$C$33,"Negativ binomial","Poisson"))</x:f>
        <x:v>Poisson</x:v>
      </x:c>
      <x:c r="F57" s="11" t="str">
        <x:f>IF(E57="Negativ binomial",B57/(C57-1),"")</x:f>
      </x:c>
      <x:c r="G57" s="11" t="str">
        <x:f>IF(E57="Negativ binomial",1/C57,"")</x:f>
      </x:c>
      <x:c r="H57" s="11" t="str">
        <x:f>IF(E57="Binomial sub-dispersat",ROUNDUP(B57/(1-C57),0),"")</x:f>
      </x:c>
      <x:c r="I57" s="12" t="str">
        <x:f>IF(E57="Binomial sub-dispersat",B57/H57,"")</x:f>
      </x:c>
    </x:row>
    <x:row r="58">
      <x:c r="A58" s="9"/>
      <x:c r="B58" s="11"/>
      <x:c r="C58" s="11"/>
      <x:c r="D58" s="11"/>
      <x:c r="E58" s="11"/>
      <x:c r="F58" s="11"/>
      <x:c r="G58" s="11"/>
      <x:c r="H58" s="11"/>
      <x:c r="I58" s="12"/>
    </x:row>
    <x:row r="59">
      <x:c r="A59" s="55" t="s">
        <x:v>26</x:v>
      </x:c>
      <x:c r="B59" s="56" t="s">
        <x:v>512</x:v>
      </x:c>
      <x:c r="C59" s="56" t="s">
        <x:v>451</x:v>
      </x:c>
      <x:c r="D59" s="11"/>
      <x:c r="E59" s="11"/>
      <x:c r="F59" s="11"/>
      <x:c r="G59" s="11"/>
      <x:c r="H59" s="11"/>
      <x:c r="I59" s="12"/>
    </x:row>
    <x:row r="60">
      <x:c r="A60" s="9" t="s">
        <x:v>513</x:v>
      </x:c>
      <x:c r="B60" s="11" t="n">
        <x:f>ROUND(30*MIN(1,(COUNT(Input_Meci!$E$27:$E$35)+COUNT(Input_Meci!$C$38:$D$48)+COUNT(Input_Meci!$C$51:$D$59)+COUNT(Input_Meci!$E$64:$E$70)+COUNT(Input_Meci!$E$73:$E$80))/64),0)</x:f>
        <x:v>30</x:v>
      </x:c>
      <x:c r="C60" s="11" t="str">
        <x:v>Acoperire numerică, nu verificarea surselor</x:v>
      </x:c>
      <x:c r="D60" s="11"/>
      <x:c r="E60" s="11"/>
      <x:c r="F60" s="11"/>
      <x:c r="G60" s="11"/>
      <x:c r="H60" s="11"/>
      <x:c r="I60" s="12"/>
    </x:row>
    <x:row r="61">
      <x:c r="A61" s="9" t="s">
        <x:v>514</x:v>
      </x:c>
      <x:c r="B61" s="11" t="n">
        <x:f>6*MIN(1,MIN(N(Input_Meci!$C$46),N(Input_Meci!$D$46))/Parametri!$C$47)+6*MIN(1,MIN(N(Input_Meci!$C$47),N(Input_Meci!$D$47))/Parametri!$C$48)+3*MIN(1,MIN(N(Input_Meci!$C$48),N(Input_Meci!$D$48))/Parametri!$C$49)+5*MIN(1,N(Input_Meci!$E$67)/Parametri!$C$77)</x:f>
        <x:v>20</x:v>
      </x:c>
      <x:c r="C61" s="11" t="s">
        <x:v>515</x:v>
      </x:c>
      <x:c r="D61" s="11"/>
      <x:c r="E61" s="11"/>
      <x:c r="F61" s="11"/>
      <x:c r="G61" s="11"/>
      <x:c r="H61" s="11"/>
      <x:c r="I61" s="12"/>
    </x:row>
    <x:row r="62">
      <x:c r="A62" s="9" t="s">
        <x:v>516</x:v>
      </x:c>
      <x:c r="B62" s="11" t="n">
        <x:f>IF(Input_Meci!$E$11="CONFIRMAT",8,0)+6*MIN(1,Input_Meci!$E$67/Parametri!$C$77)+6*Input_Meci!$E$70/10</x:f>
        <x:v>18.2</x:v>
      </x:c>
      <x:c r="C62" s="11" t="s">
        <x:v>515</x:v>
      </x:c>
      <x:c r="D62" s="11"/>
      <x:c r="E62" s="11"/>
      <x:c r="F62" s="11"/>
      <x:c r="G62" s="11"/>
      <x:c r="H62" s="11"/>
      <x:c r="I62" s="12"/>
    </x:row>
    <x:row r="63">
      <x:c r="A63" s="9" t="s">
        <x:v>517</x:v>
      </x:c>
      <x:c r="B63" s="11" t="n">
        <x:f>IF(Input_Meci!$E$9="CONFIRMAT",3,0)+IF(Input_Meci!$E$61="CONFIRMAT",5,IF(Input_Meci!$E$61="PROBABIL",3,0))+IF(AND(Input_Meci!$C$60="DA",Input_Meci!$D$60="DA"),3,0)+2*(1-IF(ISNUMBER(Input_Meci!$E$80),Input_Meci!$E$80,5)/10)+2*(1-IF(ISNUMBER(Input_Meci!$E$79),Input_Meci!$E$79,5)/10)</x:f>
        <x:v>11.4</x:v>
      </x:c>
      <x:c r="C63" s="11" t="s">
        <x:v>518</x:v>
      </x:c>
      <x:c r="D63" s="11"/>
      <x:c r="E63" s="11"/>
      <x:c r="F63" s="11"/>
      <x:c r="G63" s="11"/>
      <x:c r="H63" s="11"/>
      <x:c r="I63" s="12"/>
    </x:row>
    <x:row r="64">
      <x:c r="A64" s="9" t="str">
        <x:v>Surse și trasabilitate</x:v>
      </x:c>
      <x:c r="B64" s="11" t="n">
        <x:f>MAX(0,IF(Input_Meci!$E$15="CONFIRMAT",4,0)+IF(Input_Meci!$E$81="DA",3,0)+4*MIN(1,Input_Meci!$E$83/Parametri!$C$52))</x:f>
        <x:v>11</x:v>
      </x:c>
      <x:c r="C64" s="11" t="str">
        <x:v>max 11; fără cotă/market move</x:v>
      </x:c>
      <x:c r="D64" s="11"/>
      <x:c r="E64" s="11"/>
      <x:c r="F64" s="11"/>
      <x:c r="G64" s="11"/>
      <x:c r="H64" s="11"/>
      <x:c r="I64" s="12"/>
    </x:row>
    <x:row r="65">
      <x:c r="A65" s="51" t="s">
        <x:v>519</x:v>
      </x:c>
      <x:c r="B65" s="52" t="n">
        <x:f>ROUND(MIN(IF($B$88="EARLY-SEASON",Parametri!$C$90,100),SUM(B60:B64)),0)</x:f>
        <x:v>91</x:v>
      </x:c>
      <x:c r="C65" s="52" t="s">
        <x:v>27</x:v>
      </x:c>
      <x:c r="D65" s="11"/>
      <x:c r="E65" s="11"/>
      <x:c r="F65" s="11"/>
      <x:c r="G65" s="11"/>
      <x:c r="H65" s="11"/>
      <x:c r="I65" s="12"/>
    </x:row>
    <x:row r="66">
      <x:c r="A66" s="51" t="s">
        <x:v>29</x:v>
      </x:c>
      <x:c r="B66" s="52" t="str">
        <x:f>IF(B65&gt;=Parametri!$C$61,"A",IF(B65&gt;=Parametri!$C$62,"B",IF(B65&gt;=Parametri!$C$63,"C",IF(B65&gt;=Parametri!$C$64,"D","E"))))</x:f>
        <x:v>A</x:v>
      </x:c>
      <x:c r="C66" s="52" t="s">
        <x:v>30</x:v>
      </x:c>
      <x:c r="D66" s="11"/>
      <x:c r="E66" s="11"/>
      <x:c r="F66" s="11"/>
      <x:c r="G66" s="11"/>
      <x:c r="H66" s="11"/>
      <x:c r="I66" s="12"/>
    </x:row>
    <x:row r="67">
      <x:c r="A67" s="51" t="s">
        <x:v>520</x:v>
      </x:c>
      <x:c r="B67" s="53" t="n">
        <x:f>IF(B65&gt;=Parametri!$C$61,Parametri!$C$65,IF(B65&gt;=Parametri!$C$62,Parametri!$C$66,IF(B65&gt;=Parametri!$C$63,Parametri!$C$67,IF(B65&gt;=Parametri!$C$64,Parametri!$C$68,Parametri!$C$69))))</x:f>
        <x:v>0.02</x:v>
      </x:c>
      <x:c r="C67" s="52" t="s">
        <x:v>521</x:v>
      </x:c>
      <x:c r="D67" s="11"/>
      <x:c r="E67" s="11"/>
      <x:c r="F67" s="11"/>
      <x:c r="G67" s="11"/>
      <x:c r="H67" s="11"/>
      <x:c r="I67" s="12"/>
    </x:row>
    <x:row r="68">
      <x:c r="A68" s="51" t="s">
        <x:v>522</x:v>
      </x:c>
      <x:c r="B68" s="53" t="n">
        <x:f>IF($B$35&gt;=Parametri!$C$71,Parametri!$C$73,IF($B$35&gt;=Parametri!$C$70,Parametri!$C$72,0))</x:f>
        <x:v>0</x:v>
      </x:c>
      <x:c r="C68" s="52" t="s">
        <x:v>523</x:v>
      </x:c>
      <x:c r="D68" s="11"/>
      <x:c r="E68" s="11"/>
      <x:c r="F68" s="11"/>
      <x:c r="G68" s="11"/>
      <x:c r="H68" s="11"/>
      <x:c r="I68" s="12"/>
    </x:row>
    <x:row r="69">
      <x:c r="A69" s="51" t="s">
        <x:v>524</x:v>
      </x:c>
      <x:c r="B69" s="53" t="n">
        <x:f>IF(Input_Meci!$E$29&gt;=Parametri!$C$74,Parametri!$C$75,0)</x:f>
        <x:v>0</x:v>
      </x:c>
      <x:c r="C69" s="52" t="s">
        <x:v>525</x:v>
      </x:c>
      <x:c r="D69" s="11"/>
      <x:c r="E69" s="11"/>
      <x:c r="F69" s="11"/>
      <x:c r="G69" s="11"/>
      <x:c r="H69" s="11"/>
      <x:c r="I69" s="12"/>
    </x:row>
    <x:row r="70">
      <x:c r="A70" s="51" t="s">
        <x:v>526</x:v>
      </x:c>
      <x:c r="B70" s="53" t="n">
        <x:f>IF(Input_Meci!$E$67&lt;Parametri!$C$77,Parametri!$C$78,0)</x:f>
        <x:v>0</x:v>
      </x:c>
      <x:c r="C70" s="52" t="s">
        <x:v>527</x:v>
      </x:c>
      <x:c r="D70" s="11"/>
      <x:c r="E70" s="11"/>
      <x:c r="F70" s="11"/>
      <x:c r="G70" s="11"/>
      <x:c r="H70" s="11"/>
      <x:c r="I70" s="12"/>
    </x:row>
    <x:row r="71">
      <x:c r="A71" s="51" t="s">
        <x:v>528</x:v>
      </x:c>
      <x:c r="B71" s="53" t="n">
        <x:f>IF(Input_Meci!$E$79&gt;=Parametri!$C$79,Parametri!$C$80,0)</x:f>
        <x:v>0</x:v>
      </x:c>
      <x:c r="C71" s="52" t="s">
        <x:v>529</x:v>
      </x:c>
      <x:c r="D71" s="11"/>
      <x:c r="E71" s="11"/>
      <x:c r="F71" s="11"/>
      <x:c r="G71" s="11"/>
      <x:c r="H71" s="11"/>
      <x:c r="I71" s="12"/>
    </x:row>
    <x:row r="72">
      <x:c r="A72" s="51" t="str">
        <x:v>Market move / preț</x:v>
      </x:c>
      <x:c r="B72" s="53" t="n">
        <x:v>0</x:v>
      </x:c>
      <x:c r="C72" s="52" t="str">
        <x:v>INFORMATIV – zero impact</x:v>
      </x:c>
      <x:c r="D72" s="11"/>
      <x:c r="E72" s="11"/>
      <x:c r="F72" s="11"/>
      <x:c r="G72" s="11"/>
      <x:c r="H72" s="11"/>
      <x:c r="I72" s="12"/>
    </x:row>
    <x:row r="73">
      <x:c r="A73" s="51" t="s">
        <x:v>530</x:v>
      </x:c>
      <x:c r="B73" s="53" t="n">
        <x:f>MIN(Parametri!$C$82,SUM(B67:B72)+IF($B$88="EARLY-SEASON",Parametri!$C$89,0)+Parametri!$C$100*$B$91)</x:f>
        <x:v>0.020080379978078187</x:v>
      </x:c>
      <x:c r="C73" s="52" t="s">
        <x:v>531</x:v>
      </x:c>
      <x:c r="D73" s="11"/>
      <x:c r="E73" s="11"/>
      <x:c r="F73" s="11"/>
      <x:c r="G73" s="11"/>
      <x:c r="H73" s="11"/>
      <x:c r="I73" s="12"/>
    </x:row>
    <x:row r="74">
      <x:c r="A74" s="9"/>
      <x:c r="B74" s="11"/>
      <x:c r="C74" s="11"/>
      <x:c r="D74" s="11"/>
      <x:c r="E74" s="11"/>
      <x:c r="F74" s="11"/>
      <x:c r="G74" s="11"/>
      <x:c r="H74" s="11"/>
      <x:c r="I74" s="12"/>
    </x:row>
    <x:row r="75">
      <x:c r="A75" s="55" t="str">
        <x:v>CONTROALE LEGACY – DOAR DIAGNOSTIC</x:v>
      </x:c>
      <x:c r="B75" s="56" t="s">
        <x:v>3</x:v>
      </x:c>
      <x:c r="C75" s="56" t="s">
        <x:v>532</x:v>
      </x:c>
      <x:c r="D75" s="11"/>
      <x:c r="E75" s="11"/>
      <x:c r="F75" s="11"/>
      <x:c r="G75" s="11"/>
      <x:c r="H75" s="11"/>
      <x:c r="I75" s="12"/>
    </x:row>
    <x:row r="76">
      <x:c r="A76" s="9" t="s">
        <x:v>533</x:v>
      </x:c>
      <x:c r="B76" s="11" t="str">
        <x:f>Input_Meci!$E$9</x:f>
        <x:v>CONFIRMAT</x:v>
      </x:c>
      <x:c r="C76" s="11" t="s">
        <x:v>69</x:v>
      </x:c>
      <x:c r="D76" s="11"/>
      <x:c r="E76" s="11"/>
      <x:c r="F76" s="11"/>
      <x:c r="G76" s="11"/>
      <x:c r="H76" s="11"/>
      <x:c r="I76" s="12"/>
    </x:row>
    <x:row r="77">
      <x:c r="A77" s="9" t="s">
        <x:v>534</x:v>
      </x:c>
      <x:c r="B77" s="11" t="s">
        <x:v>535</x:v>
      </x:c>
      <x:c r="C77" s="11" t="s">
        <x:v>536</x:v>
      </x:c>
      <x:c r="D77" s="11"/>
      <x:c r="E77" s="11"/>
      <x:c r="F77" s="11"/>
      <x:c r="G77" s="11"/>
      <x:c r="H77" s="11"/>
      <x:c r="I77" s="12"/>
    </x:row>
    <x:row r="78">
      <x:c r="A78" s="9" t="s">
        <x:v>537</x:v>
      </x:c>
      <x:c r="B78" s="11" t="str">
        <x:f>Input_Meci!$E$23</x:f>
        <x:v>DA</x:v>
      </x:c>
      <x:c r="C78" s="11" t="s">
        <x:v>97</x:v>
      </x:c>
      <x:c r="D78" s="11"/>
      <x:c r="E78" s="11"/>
      <x:c r="F78" s="11"/>
      <x:c r="G78" s="11"/>
      <x:c r="H78" s="11"/>
      <x:c r="I78" s="12"/>
    </x:row>
    <x:row r="79">
      <x:c r="A79" s="9" t="s">
        <x:v>538</x:v>
      </x:c>
      <x:c r="B79" s="11" t="str">
        <x:f>Input_Meci!$E$24</x:f>
        <x:v>DA</x:v>
      </x:c>
      <x:c r="C79" s="11" t="s">
        <x:v>97</x:v>
      </x:c>
      <x:c r="D79" s="11"/>
      <x:c r="E79" s="11"/>
      <x:c r="F79" s="11"/>
      <x:c r="G79" s="11"/>
      <x:c r="H79" s="11"/>
      <x:c r="I79" s="12"/>
    </x:row>
    <x:row r="80">
      <x:c r="A80" s="9" t="s">
        <x:v>8</x:v>
      </x:c>
      <x:c r="B80" s="11" t="str">
        <x:f>Input_Meci!$E$11</x:f>
        <x:v>CONFIRMAT</x:v>
      </x:c>
      <x:c r="C80" s="11" t="s">
        <x:v>69</x:v>
      </x:c>
      <x:c r="D80" s="11"/>
      <x:c r="E80" s="11"/>
      <x:c r="F80" s="11"/>
      <x:c r="G80" s="11"/>
      <x:c r="H80" s="11"/>
      <x:c r="I80" s="12"/>
    </x:row>
    <x:row r="81">
      <x:c r="A81" s="9" t="s">
        <x:v>152</x:v>
      </x:c>
      <x:c r="B81" s="11" t="str">
        <x:f>IF(AND($B$88&lt;&gt;"FAIL",Input_Meci!$E$67&gt;=Parametri!$C$50,Input_Meci!$E$35&gt;=Parametri!$C$51),"OK","FAIL")</x:f>
        <x:v>OK</x:v>
      </x:c>
      <x:c r="C81" s="11" t="s">
        <x:v>539</x:v>
      </x:c>
      <x:c r="D81" s="11"/>
      <x:c r="E81" s="11"/>
      <x:c r="F81" s="11"/>
      <x:c r="G81" s="11"/>
      <x:c r="H81" s="11"/>
      <x:c r="I81" s="12"/>
    </x:row>
    <x:row r="82">
      <x:c r="A82" s="9" t="str">
        <x:v>Cote reale</x:v>
      </x:c>
      <x:c r="B82" s="11" t="str">
        <x:v>OPȚIONAL</x:v>
      </x:c>
      <x:c r="C82" s="11" t="str">
        <x:v>NU intră în Confidence, G0, Risk sau verdict</x:v>
      </x:c>
      <x:c r="D82" s="11"/>
      <x:c r="E82" s="11"/>
      <x:c r="F82" s="11"/>
      <x:c r="G82" s="11"/>
      <x:c r="H82" s="11"/>
      <x:c r="I82" s="12"/>
    </x:row>
    <x:row r="83">
      <x:c r="A83" s="9" t="s">
        <x:v>540</x:v>
      </x:c>
      <x:c r="B83" s="11" t="str">
        <x:f>IF(AND(Input_Meci!$E$81="DA",Input_Meci!$E$83&gt;=Parametri!$C$52),"OK","FAIL")</x:f>
        <x:v>OK</x:v>
      </x:c>
      <x:c r="C83" s="11" t="s">
        <x:v>539</x:v>
      </x:c>
      <x:c r="D83" s="11"/>
      <x:c r="E83" s="11"/>
      <x:c r="F83" s="11"/>
      <x:c r="G83" s="11"/>
      <x:c r="H83" s="11"/>
      <x:c r="I83" s="12"/>
    </x:row>
    <x:row r="84">
      <x:c r="A84" s="9" t="s">
        <x:v>541</x:v>
      </x:c>
      <x:c r="B84" s="11" t="str">
        <x:f>IF(B65&gt;=Parametri!$C$63,"OK","FAIL")</x:f>
        <x:v>OK</x:v>
      </x:c>
      <x:c r="C84" s="11" t="s">
        <x:v>539</x:v>
      </x:c>
      <x:c r="D84" s="11"/>
      <x:c r="E84" s="11"/>
      <x:c r="F84" s="11"/>
      <x:c r="G84" s="11"/>
      <x:c r="H84" s="11"/>
      <x:c r="I84" s="12"/>
    </x:row>
    <x:row r="85" ht="27">
      <x:c r="A85" s="61" t="str">
        <x:v>Disponibilitate calcul V4</x:v>
      </x:c>
      <x:c r="B85" s="62" t="str">
        <x:f>IF(B105="CALCULABIL","BET","WATCH")</x:f>
        <x:v>BET</x:v>
      </x:c>
      <x:c r="C85" s="62" t="str">
        <x:v>BET = calculabil, nu dovadă de validare</x:v>
      </x:c>
      <x:c r="D85" s="15"/>
      <x:c r="E85" s="15"/>
      <x:c r="F85" s="15"/>
      <x:c r="G85" s="15"/>
      <x:c r="H85" s="15"/>
      <x:c r="I85" s="16"/>
    </x:row>
    <x:row r="87" ht="30">
      <x:c r="A87" s="158" t="s">
        <x:v>542</x:v>
      </x:c>
      <x:c r="B87" s="158" t="s">
        <x:v>505</x:v>
      </x:c>
      <x:c r="C87" s="158" t="s">
        <x:v>321</x:v>
      </x:c>
      <x:c r="D87" s="158" t="s">
        <x:v>506</x:v>
      </x:c>
      <x:c r="E87" s="158" t="s">
        <x:v>507</x:v>
      </x:c>
      <x:c r="F87" s="158" t="s">
        <x:v>508</x:v>
      </x:c>
      <x:c r="G87" s="158" t="s">
        <x:v>509</x:v>
      </x:c>
      <x:c r="H87" s="158" t="s">
        <x:v>510</x:v>
      </x:c>
      <x:c r="I87" s="158" t="s">
        <x:v>511</x:v>
      </x:c>
    </x:row>
    <x:row r="88">
      <x:c r="A88" t="str">
        <x:v>Regim sample (diagnostic)</x:v>
      </x:c>
      <x:c r="B88" s="161" t="str">
        <x:f>IF(AND(MIN(Input_Meci!$C$46,Input_Meci!$D$46)&gt;=Parametri!$C$47,MIN(Input_Meci!$C$47,Input_Meci!$D$47)&gt;=Parametri!$C$48,MIN(Input_Meci!$C$48,Input_Meci!$D$48)&gt;=Parametri!$C$49),"NORMAL",IF(AND(Input_Meci!$E$97="DA",Input_Meci!$E$98="DA",MIN(Input_Meci!$C$96,Input_Meci!$D$96)&gt;=Parametri!$C$86,MIN(Input_Meci!$C$46,Input_Meci!$D$46)&gt;=Parametri!$C$83,MIN(Input_Meci!$C$47,Input_Meci!$D$47)&gt;=Parametri!$C$84,MIN(Input_Meci!$C$48,Input_Meci!$D$48)&gt;=Parametri!$C$85),"EARLY-SEASON","FAIL"))</x:f>
        <x:v>NORMAL</x:v>
      </x:c>
      <x:c r="I88" t="str">
        <x:v>Sub praguri nu blochează V4; Confidence păstrează penalizarea</x:v>
      </x:c>
    </x:row>
    <x:row r="89">
      <x:c r="A89" t="s">
        <x:v>37</x:v>
      </x:c>
      <x:c r="B89" s="162" t="n">
        <x:f>MAX(0,1-Distributie!$C$8)</x:f>
        <x:v>0.661468289387197</x:v>
      </x:c>
      <x:c r="I89" t="s">
        <x:v>543</x:v>
      </x:c>
    </x:row>
    <x:row r="90">
      <x:c r="A90" t="s">
        <x:v>39</x:v>
      </x:c>
      <x:c r="B90" s="162" t="n">
        <x:f>MAX(0,1-Distributie!$C$9)</x:f>
        <x:v>0.4922002250739763</x:v>
      </x:c>
      <x:c r="I90" t="s">
        <x:v>544</x:v>
      </x:c>
    </x:row>
    <x:row r="91">
      <x:c r="A91" t="s">
        <x:v>40</x:v>
      </x:c>
      <x:c r="B91" s="162" t="n">
        <x:f>MAX(0,MIN(1,($B$28-Parametri!$C$96)/(Parametri!$C$23-Parametri!$C$96)))*MAX(0,MIN(1,(AVERAGE(B38:B40)-Parametri!$C$97)/(10-Parametri!$C$97)))</x:f>
        <x:v>0.00803799780781879</x:v>
      </x:c>
      <x:c r="I91" t="s">
        <x:v>545</x:v>
      </x:c>
    </x:row>
    <x:row r="92">
      <x:c r="A92" t="s">
        <x:v>546</x:v>
      </x:c>
      <x:c r="B92" s="163" t="n">
        <x:f>1+Parametri!$C$98*$B$91</x:f>
        <x:v>1.000401899890391</x:v>
      </x:c>
      <x:c r="I92" t="s">
        <x:v>547</x:v>
      </x:c>
    </x:row>
    <x:row r="93">
      <x:c r="A93" t="s">
        <x:v>548</x:v>
      </x:c>
      <x:c r="B93" s="163" t="n">
        <x:f>Parametri!$C$99*$B$91</x:f>
        <x:v>0.0016075995615637579</x:v>
      </x:c>
      <x:c r="I93" t="s">
        <x:v>549</x:v>
      </x:c>
    </x:row>
    <x:row r="94">
      <x:c r="A94" t="str">
        <x:v>Tail U4.5 – monitor legacy</x:v>
      </x:c>
      <x:c r="B94" s="161" t="str">
        <x:f>IF(B89&gt;=Parametri!$C$92,"NO BET",IF(B89&gt;=Parametri!$C$91,"CAUTION","OK"))</x:f>
        <x:v>NO BET</x:v>
      </x:c>
      <x:c r="I94" t="str">
        <x:v>Informativ; verdictul V4 vine din scorul liniei</x:v>
      </x:c>
    </x:row>
    <x:row r="95">
      <x:c r="A95" t="str">
        <x:v>Tail U5.5 – monitor legacy</x:v>
      </x:c>
      <x:c r="B95" s="161" t="str">
        <x:f>IF(B90&gt;=Parametri!$C$94,"NO BET",IF(B90&gt;=Parametri!$C$93,"CAUTION","OK"))</x:f>
        <x:v>NO BET</x:v>
      </x:c>
      <x:c r="I95" t="str">
        <x:v>Informativ; verdictul V4 vine din scorul liniei</x:v>
      </x:c>
    </x:row>
    <x:row r="96" ht="28.5">
      <x:c r="A96" t="str">
        <x:v>Notă selecție V4</x:v>
      </x:c>
      <x:c r="B96" s="161" t="str">
        <x:v>Vezi Cards_MultiLine_v9</x:v>
      </x:c>
      <x:c r="I96" t="str">
        <x:v>Fără prag P / Confidence separat</x:v>
      </x:c>
    </x:row>
    <x:row r="99">
      <x:c r="A99" t="str">
        <x:v>CALCULABILITATE V4</x:v>
      </x:c>
      <x:c r="B99" t="str">
        <x:v>Rezultat</x:v>
      </x:c>
      <x:c r="C99" t="str">
        <x:v>Condiție / interpretare</x:v>
      </x:c>
      <x:c r="D99"/>
      <x:c r="E99"/>
      <x:c r="F99"/>
      <x:c r="G99"/>
      <x:c r="H99"/>
      <x:c r="I99"/>
    </x:row>
    <x:row r="100" ht="45" customHeight="1">
      <x:c r="A100" s="363" t="str">
        <x:v>Serii native utilizabile gazde</x:v>
      </x:c>
      <x:c r="B100" s="363" t="n">
        <x:f>IF(AND(ISNUMBER('Input_Meci'!$C$38),'Input_Meci'!$C$38&gt;=0,ISNUMBER('Input_Meci'!$C$46),'Input_Meci'!$C$46&gt;0),1,0)+IF(AND(ISNUMBER('Input_Meci'!$C$39),'Input_Meci'!$C$39&gt;=0,ISNUMBER('Input_Meci'!$C$47),'Input_Meci'!$C$47&gt;0),1,0)+IF(AND(ISNUMBER('Input_Meci'!$C$40),'Input_Meci'!$C$40&gt;=0,ISNUMBER('Input_Meci'!$C$48),'Input_Meci'!$C$48&gt;0),1,0)</x:f>
        <x:v>3</x:v>
      </x:c>
      <x:c r="C100" s="363" t="str">
        <x:v>Minimum o medie de cartonașe primite + N &gt; 0</x:v>
      </x:c>
    </x:row>
    <x:row r="101" ht="45" customHeight="1">
      <x:c r="A101" s="363" t="str">
        <x:v>Serii native utilizabile oaspeți</x:v>
      </x:c>
      <x:c r="B101" s="363" t="n">
        <x:f>IF(AND(ISNUMBER('Input_Meci'!$D$38),'Input_Meci'!$D$38&gt;=0,ISNUMBER('Input_Meci'!$D$46),'Input_Meci'!$D$46&gt;0),1,0)+IF(AND(ISNUMBER('Input_Meci'!$D$39),'Input_Meci'!$D$39&gt;=0,ISNUMBER('Input_Meci'!$D$47),'Input_Meci'!$D$47&gt;0),1,0)+IF(AND(ISNUMBER('Input_Meci'!$D$40),'Input_Meci'!$D$40&gt;=0,ISNUMBER('Input_Meci'!$D$48),'Input_Meci'!$D$48&gt;0),1,0)</x:f>
        <x:v>3</x:v>
      </x:c>
      <x:c r="C101" s="363" t="str">
        <x:v>Minimum o medie de cartonașe primite + N &gt; 0</x:v>
      </x:c>
    </x:row>
    <x:row r="102" ht="45" customHeight="1">
      <x:c r="A102" s="363" t="str">
        <x:v>Definiție / normalizare</x:v>
      </x:c>
      <x:c r="B102" s="363" t="str">
        <x:f>IF(AND(Input_Meci!$E$23="DA",Input_Meci!$E$24="DA"),"OK","NECLARĂ")</x:f>
        <x:v>OK</x:v>
      </x:c>
      <x:c r="C102" s="363" t="str">
        <x:v>Unitatea trebuie să fie aceeași; nu este validare OOS</x:v>
      </x:c>
    </x:row>
    <x:row r="103" ht="45" customHeight="1">
      <x:c r="A103" s="363" t="str">
        <x:v>Bază de ligă utilizabilă</x:v>
      </x:c>
      <x:c r="B103" s="363" t="str">
        <x:f>IF(AND(ISNUMBER(Input_Meci!$E$27),Input_Meci!$E$27&gt;0,ISNUMBER(Input_Meci!$E$33),Input_Meci!$E$33&gt;0,Input_Meci!$E$33&lt;1),"OK","LIPSĂ")</x:f>
        <x:v>OK</x:v>
      </x:c>
      <x:c r="C103" s="363" t="str">
        <x:v>Medie &gt; 0 și pondere gazde între 0 și 1</x:v>
      </x:c>
    </x:row>
    <x:row r="104" ht="45" customHeight="1">
      <x:c r="A104" s="363" t="str">
        <x:v>Configurație scor</x:v>
      </x:c>
      <x:c r="B104" s="363" t="str">
        <x:f>IF(AND(COUNT(Parametri!$C$110:$C$114)=5,Parametri!$C$110&gt;=0,Parametri!$C$110&lt;Parametri!$C$111,Parametri!$C$111&lt;Parametri!$C$112,Parametri!$C$112&lt;Parametri!$C$113,Parametri!$C$113&lt;100,Parametri!$C$114=100,COUNT(Parametri!$C$116:$C$119)=4,MIN(Parametri!$C$116:$C$119)&gt;=0,ABS(SUM(Parametri!$C$116:$C$119)-1)&lt;0.0000001),"OK","INVALIDĂ")</x:f>
        <x:v>OK</x:v>
      </x:c>
      <x:c r="C104" s="363" t="str">
        <x:v>Praguri ordonate și ponderi care însumează 100%</x:v>
      </x:c>
    </x:row>
    <x:row r="105" ht="45" customHeight="1">
      <x:c r="A105" s="363" t="str">
        <x:v>Status calcul</x:v>
      </x:c>
      <x:c r="B105" s="363" t="str">
        <x:f>IF(B102&lt;&gt;"OK","NORMALIZARE NECESARĂ",IF(B103&lt;&gt;"OK","BAZĂ LIGĂ LIPSĂ",IF(OR(B100=0,B101=0),"DATE NATIVE INSUFICIENTE",IF(B104&lt;&gt;"OK","CONFIGURAȚIE INVALIDĂ",IF(COUNTIF(Input_Meci!$C$38:$D$56,"&lt;0")+COUNTIF(Input_Meci!$E$64:$E$68,"&lt;0")&gt;0,"VALORI NEGATIVE INVALIDATE","CALCULABIL")))))</x:f>
        <x:v>CALCULABIL</x:v>
      </x:c>
      <x:c r="C105" s="363" t="str">
        <x:v>Nu cere OOS, audit complet, probabilitate sau Confidence minime</x:v>
      </x:c>
    </x:row>
    <x:row r="106" ht="45" customHeight="1">
      <x:c r="A106" s="363" t="str">
        <x:v>Baza rezultatului</x:v>
      </x:c>
      <x:c r="B106" s="363" t="str">
        <x:f>IF(OR(Input_Meci!$E$100="DEMO",ISNUMBER(SEARCH("EXEMPLU",Input_Meci!$C$4&amp;Input_Meci!$D$4))),"DEMO","DATE UTILIZATOR")</x:f>
        <x:v>DEMO</x:v>
      </x:c>
      <x:c r="C106" s="363" t="str">
        <x:v>Tipul datelor nu înseamnă verificare independentă</x:v>
      </x:c>
    </x:row>
    <x:row r="107" ht="45" customHeight="1">
      <x:c r="A107" s="363" t="str">
        <x:v>Ipoteze pentru lipsuri</x:v>
      </x:c>
      <x:c r="B107" s="363" t="str">
        <x:f>IF(COUNT(Input_Meci!$E$29)&lt;1,"D=1 (Poisson). ","")&amp;IF(COUNT(Input_Meci!$E$64,Input_Meci!$E$67)&lt;2,"Arbitru neutru. ","")&amp;IF(COUNT(Input_Meci!$E$73:$E$80)&lt;8,"Context neutru pentru lipsuri. ","")&amp;IF(COUNT(Input_Meci!$E$32,Input_Meci!$E$66,Input_Meci!$C$44:$D$45)=0,"Red-tail necunoscut. ","")&amp;IF(COUNT(Input_Meci!$C$38:$D$43)&lt;12,"Serii cards disponibile reponderate. ","")&amp;IF(COUNT(Input_Meci!$C$51:$D$56)&lt;12,"Serii fouls disponibile reponderate. ","")</x:f>
      </x:c>
      <x:c r="C107" s="363" t="str">
        <x:v>Acestea sunt ipoteze de model, nu date inventate în Input_Meci</x:v>
      </x:c>
    </x:row>
  </x:sheetData>
  <x:mergeCells>
    <x:mergeCell ref="A1:I1"/>
    <x:mergeCell ref="A2:I2"/>
  </x:mergeCells>
  <x:conditionalFormatting sqref="B85:B85">
    <x:cfRule type="containsText" dxfId="10" priority="1" operator="containsText" text="BET"/>
    <x:cfRule type="containsText" dxfId="9" priority="2" operator="containsText" text="WATCH"/>
  </x:conditionalFormatting>
  <x:pageMargins left="0.7" right="0.7" top="0.75" bottom="0.75" header="0.3" footer="0.3"/>
  <x:drawing xmlns:r="http://schemas.openxmlformats.org/officeDocument/2006/relationships" r:id="Ra842ca1d8f3645e0"/>
  <x:legacyDrawing xmlns:r="http://schemas.openxmlformats.org/officeDocument/2006/relationships" r:id="Rf31065766473408d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9" customWidth="1"/>
    <x:col min="2" max="7" width="15" customWidth="1"/>
    <x:col min="8" max="8" width="20" customWidth="1"/>
  </x:cols>
  <x:sheetData>
    <x:row r="1" ht="27.950000762939453" customHeight="1">
      <x:c r="A1" s="190" t="s">
        <x:v>550</x:v>
      </x:c>
      <x:c r="B1" s="190"/>
      <x:c r="C1" s="190"/>
      <x:c r="D1" s="190"/>
      <x:c r="E1" s="190"/>
      <x:c r="F1" s="190"/>
      <x:c r="G1" s="190"/>
      <x:c r="H1" s="190"/>
    </x:row>
    <x:row r="2">
      <x:c r="A2" s="200" t="s">
        <x:v>551</x:v>
      </x:c>
      <x:c r="B2" s="200"/>
      <x:c r="C2" s="200"/>
      <x:c r="D2" s="200"/>
      <x:c r="E2" s="200"/>
      <x:c r="F2" s="200"/>
      <x:c r="G2" s="200"/>
      <x:c r="H2" s="200"/>
    </x:row>
    <x:row r="3">
      <x:c r="A3" s="1" t="s">
        <x:v>552</x:v>
      </x:c>
      <x:c r="B3" s="1" t="s">
        <x:v>553</x:v>
      </x:c>
      <x:c r="C3" s="1" t="s">
        <x:v>554</x:v>
      </x:c>
      <x:c r="D3" s="1" t="s">
        <x:v>555</x:v>
      </x:c>
      <x:c r="E3" s="1" t="s">
        <x:v>556</x:v>
      </x:c>
      <x:c r="F3" s="1" t="s">
        <x:v>557</x:v>
      </x:c>
      <x:c r="G3" s="1" t="s">
        <x:v>558</x:v>
      </x:c>
      <x:c r="H3" s="1" t="s">
        <x:v>259</x:v>
      </x:c>
    </x:row>
    <x:row r="4">
      <x:c r="A4" s="5">
        <x:v>0</x:v>
      </x:c>
      <x:c r="B4" s="63" t="n">
        <x:f>IF(Calcul_Model!$E$55="Poisson",EXP(-Calcul_Model!$B$55),IF(Calcul_Model!$E$55="Negativ binomial",POWER(Calcul_Model!$G$55,Calcul_Model!$F$55),POWER(1-Calcul_Model!$I$55,Calcul_Model!$H$55)))</x:f>
        <x:v>0.0036103123625543273</x:v>
      </x:c>
      <x:c r="C4" s="63" t="n">
        <x:f>B4</x:f>
        <x:v>0.0036103123625543273</x:v>
      </x:c>
      <x:c r="D4" s="63" t="n">
        <x:f>IF(Calcul_Model!$E$56="Poisson",EXP(-Calcul_Model!$B$56),IF(Calcul_Model!$E$56="Negativ binomial",POWER(Calcul_Model!$G$56,Calcul_Model!$F$56),POWER(1-Calcul_Model!$I$56,Calcul_Model!$H$56)))</x:f>
        <x:v>0.09520230978197076</x:v>
      </x:c>
      <x:c r="E4" s="63" t="n">
        <x:f>D4</x:f>
        <x:v>0.09520230978197076</x:v>
      </x:c>
      <x:c r="F4" s="63" t="n">
        <x:f>IF(Calcul_Model!$E$57="Poisson",EXP(-Calcul_Model!$B$57),IF(Calcul_Model!$E$57="Negativ binomial",POWER(Calcul_Model!$G$57,Calcul_Model!$F$57),POWER(1-Calcul_Model!$I$57,Calcul_Model!$H$57)))</x:f>
        <x:v>0.037922529094331296</x:v>
      </x:c>
      <x:c r="G4" s="63" t="n">
        <x:f>F4</x:f>
        <x:v>0.037922529094331296</x:v>
      </x:c>
      <x:c r="H4" s="8" t="s">
        <x:v>559</x:v>
      </x:c>
    </x:row>
    <x:row r="5">
      <x:c r="A5" s="9">
        <x:v>1</x:v>
      </x:c>
      <x:c r="B5" s="64" t="n">
        <x:f>IF(Calcul_Model!$E$55="Poisson",B4*Calcul_Model!$B$55/$A5,IF(Calcul_Model!$E$55="Negativ binomial",B4*(($A5-1+Calcul_Model!$F$55)/$A5)*(1-Calcul_Model!$G$55),IF($A5&gt;Calcul_Model!$H$55,0,B4*((Calcul_Model!$H$55-$A5+1)/$A5)*(Calcul_Model!$I$55/(1-Calcul_Model!$I$55)))))</x:f>
        <x:v>0.020304255864737816</x:v>
      </x:c>
      <x:c r="C5" s="64" t="n">
        <x:f>SUM($B$4:B5)</x:f>
        <x:v>0.023914568227292144</x:v>
      </x:c>
      <x:c r="D5" s="64" t="n">
        <x:f>IF(Calcul_Model!$E$56="Poisson",D4*Calcul_Model!$B$56/$A5,IF(Calcul_Model!$E$56="Negativ binomial",D4*(($A5-1+Calcul_Model!$F$56)/$A5)*(1-Calcul_Model!$G$56),IF($A5&gt;Calcul_Model!$H$56,0,D4*((Calcul_Model!$H$56-$A5+1)/$A5)*(Calcul_Model!$I$56/(1-Calcul_Model!$I$56)))))</x:f>
        <x:v>0.22389213437827676</x:v>
      </x:c>
      <x:c r="E5" s="64" t="n">
        <x:f>SUM($D$4:D5)</x:f>
        <x:v>0.3190944441602475</x:v>
      </x:c>
      <x:c r="F5" s="64" t="n">
        <x:f>IF(Calcul_Model!$E$57="Poisson",F4*Calcul_Model!$B$57/$A5,IF(Calcul_Model!$E$57="Negativ binomial",F4*(($A5-1+Calcul_Model!$F$57)/$A5)*(1-Calcul_Model!$G$57),IF($A5&gt;Calcul_Model!$H$57,0,F4*((Calcul_Model!$H$57-$A5+1)/$A5)*(Calcul_Model!$I$57/(1-Calcul_Model!$I$57)))))</x:f>
        <x:v>0.12409047545002885</x:v>
      </x:c>
      <x:c r="G5" s="64" t="n">
        <x:f>SUM($F$4:F5)</x:f>
        <x:v>0.16201300454436016</x:v>
      </x:c>
      <x:c r="H5" s="12" t="s">
        <x:v>559</x:v>
      </x:c>
    </x:row>
    <x:row r="6">
      <x:c r="A6" s="9">
        <x:v>2</x:v>
      </x:c>
      <x:c r="B6" s="64" t="n">
        <x:f>IF(Calcul_Model!$E$55="Poisson",B5*Calcul_Model!$B$55/$A6,IF(Calcul_Model!$E$55="Negativ binomial",B5*(($A6-1+Calcul_Model!$F$55)/$A6)*(1-Calcul_Model!$G$55),IF($A6&gt;Calcul_Model!$H$55,0,B5*((Calcul_Model!$H$55-$A6+1)/$A6)*(Calcul_Model!$I$55/(1-Calcul_Model!$I$55)))))</x:f>
        <x:v>0.057095171389693895</x:v>
      </x:c>
      <x:c r="C6" s="64" t="n">
        <x:f>SUM($B$4:B6)</x:f>
        <x:v>0.08100973961698604</x:v>
      </x:c>
      <x:c r="D6" s="64" t="n">
        <x:f>IF(Calcul_Model!$E$56="Poisson",D5*Calcul_Model!$B$56/$A6,IF(Calcul_Model!$E$56="Negativ binomial",D5*(($A6-1+Calcul_Model!$F$56)/$A6)*(1-Calcul_Model!$G$56),IF($A6&gt;Calcul_Model!$H$56,0,D5*((Calcul_Model!$H$56-$A6+1)/$A6)*(Calcul_Model!$I$56/(1-Calcul_Model!$I$56)))))</x:f>
        <x:v>0.2632692838611854</x:v>
      </x:c>
      <x:c r="E6" s="64" t="n">
        <x:f>SUM($D$4:D6)</x:f>
        <x:v>0.5823637280214329</x:v>
      </x:c>
      <x:c r="F6" s="64" t="n">
        <x:f>IF(Calcul_Model!$E$57="Poisson",F5*Calcul_Model!$B$57/$A6,IF(Calcul_Model!$E$57="Negativ binomial",F5*(($A6-1+Calcul_Model!$F$57)/$A6)*(1-Calcul_Model!$G$57),IF($A6&gt;Calcul_Model!$H$57,0,F5*((Calcul_Model!$H$57-$A6+1)/$A6)*(Calcul_Model!$I$57/(1-Calcul_Model!$I$57)))))</x:f>
        <x:v>0.20302504164623333</x:v>
      </x:c>
      <x:c r="G6" s="64" t="n">
        <x:f>SUM($F$4:F6)</x:f>
        <x:v>0.3650380461905935</x:v>
      </x:c>
      <x:c r="H6" s="12" t="s">
        <x:v>559</x:v>
      </x:c>
    </x:row>
    <x:row r="7">
      <x:c r="A7" s="9">
        <x:v>3</x:v>
      </x:c>
      <x:c r="B7" s="64" t="n">
        <x:f>IF(Calcul_Model!$E$55="Poisson",B6*Calcul_Model!$B$55/$A7,IF(Calcul_Model!$E$55="Negativ binomial",B6*(($A7-1+Calcul_Model!$F$55)/$A7)*(1-Calcul_Model!$G$55),IF($A7&gt;Calcul_Model!$H$55,0,B6*((Calcul_Model!$H$55-$A7+1)/$A7)*(Calcul_Model!$I$55/(1-Calcul_Model!$I$55)))))</x:f>
        <x:v>0.10703367207791092</x:v>
      </x:c>
      <x:c r="C7" s="64" t="n">
        <x:f>SUM($B$4:B7)</x:f>
        <x:v>0.18804341169489697</x:v>
      </x:c>
      <x:c r="D7" s="64" t="n">
        <x:f>IF(Calcul_Model!$E$56="Poisson",D6*Calcul_Model!$B$56/$A7,IF(Calcul_Model!$E$56="Negativ binomial",D6*(($A7-1+Calcul_Model!$F$56)/$A7)*(1-Calcul_Model!$G$56),IF($A7&gt;Calcul_Model!$H$56,0,D6*((Calcul_Model!$H$56-$A7+1)/$A7)*(Calcul_Model!$I$56/(1-Calcul_Model!$I$56)))))</x:f>
        <x:v>0.20638127378391227</x:v>
      </x:c>
      <x:c r="E7" s="64" t="n">
        <x:f>SUM($D$4:D7)</x:f>
        <x:v>0.7887450018053451</x:v>
      </x:c>
      <x:c r="F7" s="64" t="n">
        <x:f>IF(Calcul_Model!$E$57="Poisson",F6*Calcul_Model!$B$57/$A7,IF(Calcul_Model!$E$57="Negativ binomial",F6*(($A7-1+Calcul_Model!$F$57)/$A7)*(1-Calcul_Model!$G$57),IF($A7&gt;Calcul_Model!$H$57,0,F6*((Calcul_Model!$H$57-$A7+1)/$A7)*(Calcul_Model!$I$57/(1-Calcul_Model!$I$57)))))</x:f>
        <x:v>0.22144685096885194</x:v>
      </x:c>
      <x:c r="G7" s="64" t="n">
        <x:f>SUM($F$4:F7)</x:f>
        <x:v>0.5864848971594454</x:v>
      </x:c>
      <x:c r="H7" s="12" t="s">
        <x:v>559</x:v>
      </x:c>
    </x:row>
    <x:row r="8">
      <x:c r="A8" s="9">
        <x:v>4</x:v>
      </x:c>
      <x:c r="B8" s="64" t="n">
        <x:f>IF(Calcul_Model!$E$55="Poisson",B7*Calcul_Model!$B$55/$A8,IF(Calcul_Model!$E$55="Negativ binomial",B7*(($A8-1+Calcul_Model!$F$55)/$A8)*(1-Calcul_Model!$G$55),IF($A8&gt;Calcul_Model!$H$55,0,B7*((Calcul_Model!$H$55-$A8+1)/$A8)*(Calcul_Model!$I$55/(1-Calcul_Model!$I$55)))))</x:f>
        <x:v>0.15048829891790594</x:v>
      </x:c>
      <x:c r="C8" s="64" t="n">
        <x:f>SUM($B$4:B8)</x:f>
        <x:v>0.3385317106128029</x:v>
      </x:c>
      <x:c r="D8" s="64" t="n">
        <x:f>IF(Calcul_Model!$E$56="Poisson",D7*Calcul_Model!$B$56/$A8,IF(Calcul_Model!$E$56="Negativ binomial",D7*(($A8-1+Calcul_Model!$F$56)/$A8)*(1-Calcul_Model!$G$56),IF($A8&gt;Calcul_Model!$H$56,0,D7*((Calcul_Model!$H$56-$A8+1)/$A8)*(Calcul_Model!$I$56/(1-Calcul_Model!$I$56)))))</x:f>
        <x:v>0.12133934562357182</x:v>
      </x:c>
      <x:c r="E8" s="64" t="n">
        <x:f>SUM($D$4:D8)</x:f>
        <x:v>0.910084347428917</x:v>
      </x:c>
      <x:c r="F8" s="64" t="n">
        <x:f>IF(Calcul_Model!$E$57="Poisson",F7*Calcul_Model!$B$57/$A8,IF(Calcul_Model!$E$57="Negativ binomial",F7*(($A8-1+Calcul_Model!$F$57)/$A8)*(1-Calcul_Model!$G$57),IF($A8&gt;Calcul_Model!$H$57,0,F7*((Calcul_Model!$H$57-$A8+1)/$A8)*(Calcul_Model!$I$57/(1-Calcul_Model!$I$57)))))</x:f>
        <x:v>0.18115514497518165</x:v>
      </x:c>
      <x:c r="G8" s="64" t="n">
        <x:f>SUM($F$4:F8)</x:f>
        <x:v>0.767640042134627</x:v>
      </x:c>
      <x:c r="H8" s="12" t="s">
        <x:v>559</x:v>
      </x:c>
    </x:row>
    <x:row r="9">
      <x:c r="A9" s="9">
        <x:v>5</x:v>
      </x:c>
      <x:c r="B9" s="64" t="n">
        <x:f>IF(Calcul_Model!$E$55="Poisson",B8*Calcul_Model!$B$55/$A9,IF(Calcul_Model!$E$55="Negativ binomial",B8*(($A9-1+Calcul_Model!$F$55)/$A9)*(1-Calcul_Model!$G$55),IF($A9&gt;Calcul_Model!$H$55,0,B8*((Calcul_Model!$H$55-$A9+1)/$A9)*(Calcul_Model!$I$55/(1-Calcul_Model!$I$55)))))</x:f>
        <x:v>0.16926806431322078</x:v>
      </x:c>
      <x:c r="C9" s="64" t="n">
        <x:f>SUM($B$4:B9)</x:f>
        <x:v>0.5077997749260237</x:v>
      </x:c>
      <x:c r="D9" s="64" t="n">
        <x:f>IF(Calcul_Model!$E$56="Poisson",D8*Calcul_Model!$B$56/$A9,IF(Calcul_Model!$E$56="Negativ binomial",D8*(($A9-1+Calcul_Model!$F$56)/$A9)*(1-Calcul_Model!$G$56),IF($A9&gt;Calcul_Model!$H$56,0,D8*((Calcul_Model!$H$56-$A9+1)/$A9)*(Calcul_Model!$I$56/(1-Calcul_Model!$I$56)))))</x:f>
        <x:v>0.05707198730354698</x:v>
      </x:c>
      <x:c r="E9" s="64" t="n">
        <x:f>SUM($D$4:D9)</x:f>
        <x:v>0.967156334732464</x:v>
      </x:c>
      <x:c r="F9" s="64" t="n">
        <x:f>IF(Calcul_Model!$E$57="Poisson",F8*Calcul_Model!$B$57/$A9,IF(Calcul_Model!$E$57="Negativ binomial",F8*(($A9-1+Calcul_Model!$F$57)/$A9)*(1-Calcul_Model!$G$57),IF($A9&gt;Calcul_Model!$H$57,0,F8*((Calcul_Model!$H$57-$A9+1)/$A9)*(Calcul_Model!$I$57/(1-Calcul_Model!$I$57)))))</x:f>
        <x:v>0.11855553206523599</x:v>
      </x:c>
      <x:c r="G9" s="64" t="n">
        <x:f>SUM($F$4:F9)</x:f>
        <x:v>0.886195574199863</x:v>
      </x:c>
      <x:c r="H9" s="12" t="s">
        <x:v>559</x:v>
      </x:c>
    </x:row>
    <x:row r="10">
      <x:c r="A10" s="9">
        <x:v>6</x:v>
      </x:c>
      <x:c r="B10" s="64" t="n">
        <x:f>IF(Calcul_Model!$E$55="Poisson",B9*Calcul_Model!$B$55/$A10,IF(Calcul_Model!$E$55="Negativ binomial",B9*(($A10-1+Calcul_Model!$F$55)/$A10)*(1-Calcul_Model!$G$55),IF($A10&gt;Calcul_Model!$H$55,0,B9*((Calcul_Model!$H$55-$A10+1)/$A10)*(Calcul_Model!$I$55/(1-Calcul_Model!$I$55)))))</x:f>
        <x:v>0.15865949823765949</x:v>
      </x:c>
      <x:c r="C10" s="64" t="n">
        <x:f>SUM($B$4:B10)</x:f>
        <x:v>0.6664592731636831</x:v>
      </x:c>
      <x:c r="D10" s="64" t="n">
        <x:f>IF(Calcul_Model!$E$56="Poisson",D9*Calcul_Model!$B$56/$A10,IF(Calcul_Model!$E$56="Negativ binomial",D9*(($A10-1+Calcul_Model!$F$56)/$A10)*(1-Calcul_Model!$G$56),IF($A10&gt;Calcul_Model!$H$56,0,D9*((Calcul_Model!$H$56-$A10+1)/$A10)*(Calcul_Model!$I$56/(1-Calcul_Model!$I$56)))))</x:f>
        <x:v>0.022369851249521035</x:v>
      </x:c>
      <x:c r="E10" s="64" t="n">
        <x:f>SUM($D$4:D10)</x:f>
        <x:v>0.989526185981985</x:v>
      </x:c>
      <x:c r="F10" s="64" t="n">
        <x:f>IF(Calcul_Model!$E$57="Poisson",F9*Calcul_Model!$B$57/$A10,IF(Calcul_Model!$E$57="Negativ binomial",F9*(($A10-1+Calcul_Model!$F$57)/$A10)*(1-Calcul_Model!$G$57),IF($A10&gt;Calcul_Model!$H$57,0,F9*((Calcul_Model!$H$57-$A10+1)/$A10)*(Calcul_Model!$I$57/(1-Calcul_Model!$I$57)))))</x:f>
        <x:v>0.06465643111781709</x:v>
      </x:c>
      <x:c r="G10" s="64" t="n">
        <x:f>SUM($F$4:F10)</x:f>
        <x:v>0.95085200531768</x:v>
      </x:c>
      <x:c r="H10" s="12" t="s">
        <x:v>559</x:v>
      </x:c>
    </x:row>
    <x:row r="11">
      <x:c r="A11" s="9">
        <x:v>7</x:v>
      </x:c>
      <x:c r="B11" s="64" t="n">
        <x:f>IF(Calcul_Model!$E$55="Poisson",B10*Calcul_Model!$B$55/$A11,IF(Calcul_Model!$E$55="Negativ binomial",B10*(($A11-1+Calcul_Model!$F$55)/$A11)*(1-Calcul_Model!$G$55),IF($A11&gt;Calcul_Model!$H$55,0,B10*((Calcul_Model!$H$55-$A11+1)/$A11)*(Calcul_Model!$I$55/(1-Calcul_Model!$I$55)))))</x:f>
        <x:v>0.12747068967537614</x:v>
      </x:c>
      <x:c r="C11" s="64" t="n">
        <x:f>SUM($B$4:B11)</x:f>
        <x:v>0.7939299628390593</x:v>
      </x:c>
      <x:c r="D11" s="64" t="n">
        <x:f>IF(Calcul_Model!$E$56="Poisson",D10*Calcul_Model!$B$56/$A11,IF(Calcul_Model!$E$56="Negativ binomial",D10*(($A11-1+Calcul_Model!$F$56)/$A11)*(1-Calcul_Model!$G$56),IF($A11&gt;Calcul_Model!$H$56,0,D10*((Calcul_Model!$H$56-$A11+1)/$A11)*(Calcul_Model!$I$56/(1-Calcul_Model!$I$56)))))</x:f>
        <x:v>0.007515474532153051</x:v>
      </x:c>
      <x:c r="E11" s="64" t="n">
        <x:f>SUM($D$4:D11)</x:f>
        <x:v>0.9970416605141381</x:v>
      </x:c>
      <x:c r="F11" s="64" t="n">
        <x:f>IF(Calcul_Model!$E$57="Poisson",F10*Calcul_Model!$B$57/$A11,IF(Calcul_Model!$E$57="Negativ binomial",F10*(($A11-1+Calcul_Model!$F$57)/$A11)*(1-Calcul_Model!$G$57),IF($A11&gt;Calcul_Model!$H$57,0,F10*((Calcul_Model!$H$57-$A11+1)/$A11)*(Calcul_Model!$I$57/(1-Calcul_Model!$I$57)))))</x:f>
        <x:v>0.030224202076947624</x:v>
      </x:c>
      <x:c r="G11" s="64" t="n">
        <x:f>SUM($F$4:F11)</x:f>
        <x:v>0.9810762073946276</x:v>
      </x:c>
      <x:c r="H11" s="12" t="s">
        <x:v>559</x:v>
      </x:c>
    </x:row>
    <x:row r="12">
      <x:c r="A12" s="9">
        <x:v>8</x:v>
      </x:c>
      <x:c r="B12" s="64" t="n">
        <x:f>IF(Calcul_Model!$E$55="Poisson",B11*Calcul_Model!$B$55/$A12,IF(Calcul_Model!$E$55="Negativ binomial",B11*(($A12-1+Calcul_Model!$F$55)/$A12)*(1-Calcul_Model!$G$55),IF($A12&gt;Calcul_Model!$H$55,0,B11*((Calcul_Model!$H$55-$A12+1)/$A12)*(Calcul_Model!$I$55/(1-Calcul_Model!$I$55)))))</x:f>
        <x:v>0.08961127315699417</x:v>
      </x:c>
      <x:c r="C12" s="64" t="n">
        <x:f>SUM($B$4:B12)</x:f>
        <x:v>0.8835412359960534</x:v>
      </x:c>
      <x:c r="D12" s="64" t="n">
        <x:f>IF(Calcul_Model!$E$56="Poisson",D11*Calcul_Model!$B$56/$A12,IF(Calcul_Model!$E$56="Negativ binomial",D11*(($A12-1+Calcul_Model!$F$56)/$A12)*(1-Calcul_Model!$G$56),IF($A12&gt;Calcul_Model!$H$56,0,D11*((Calcul_Model!$H$56-$A12+1)/$A12)*(Calcul_Model!$I$56/(1-Calcul_Model!$I$56)))))</x:f>
        <x:v>0.002209315663825398</x:v>
      </x:c>
      <x:c r="E12" s="64" t="n">
        <x:f>SUM($D$4:D12)</x:f>
        <x:v>0.9992509761779635</x:v>
      </x:c>
      <x:c r="F12" s="64" t="n">
        <x:f>IF(Calcul_Model!$E$57="Poisson",F11*Calcul_Model!$B$57/$A12,IF(Calcul_Model!$E$57="Negativ binomial",F11*(($A12-1+Calcul_Model!$F$57)/$A12)*(1-Calcul_Model!$G$57),IF($A12&gt;Calcul_Model!$H$57,0,F11*((Calcul_Model!$H$57-$A12+1)/$A12)*(Calcul_Model!$I$57/(1-Calcul_Model!$I$57)))))</x:f>
        <x:v>0.012362491688307567</x:v>
      </x:c>
      <x:c r="G12" s="64" t="n">
        <x:f>SUM($F$4:F12)</x:f>
        <x:v>0.9934386990829353</x:v>
      </x:c>
      <x:c r="H12" s="12" t="s">
        <x:v>559</x:v>
      </x:c>
    </x:row>
    <x:row r="13">
      <x:c r="A13" s="9">
        <x:v>9</x:v>
      </x:c>
      <x:c r="B13" s="64" t="n">
        <x:f>IF(Calcul_Model!$E$55="Poisson",B12*Calcul_Model!$B$55/$A13,IF(Calcul_Model!$E$55="Negativ binomial",B12*(($A13-1+Calcul_Model!$F$55)/$A13)*(1-Calcul_Model!$G$55),IF($A13&gt;Calcul_Model!$H$55,0,B12*((Calcul_Model!$H$55-$A13+1)/$A13)*(Calcul_Model!$I$55/(1-Calcul_Model!$I$55)))))</x:f>
        <x:v>0.05599670043376697</x:v>
      </x:c>
      <x:c r="C13" s="64" t="n">
        <x:f>SUM($B$4:B13)</x:f>
        <x:v>0.9395379364298203</x:v>
      </x:c>
      <x:c r="D13" s="64" t="n">
        <x:f>IF(Calcul_Model!$E$56="Poisson",D12*Calcul_Model!$B$56/$A13,IF(Calcul_Model!$E$56="Negativ binomial",D12*(($A13-1+Calcul_Model!$F$56)/$A13)*(1-Calcul_Model!$G$56),IF($A13&gt;Calcul_Model!$H$56,0,D12*((Calcul_Model!$H$56-$A13+1)/$A13)*(Calcul_Model!$I$56/(1-Calcul_Model!$I$56)))))</x:f>
        <x:v>0.0005773067208395532</x:v>
      </x:c>
      <x:c r="E13" s="64" t="n">
        <x:f>SUM($D$4:D13)</x:f>
        <x:v>0.9998282828988031</x:v>
      </x:c>
      <x:c r="F13" s="64" t="n">
        <x:f>IF(Calcul_Model!$E$57="Poisson",F12*Calcul_Model!$B$57/$A13,IF(Calcul_Model!$E$57="Negativ binomial",F12*(($A13-1+Calcul_Model!$F$57)/$A13)*(1-Calcul_Model!$G$57),IF($A13&gt;Calcul_Model!$H$57,0,F12*((Calcul_Model!$H$57-$A13+1)/$A13)*(Calcul_Model!$I$57/(1-Calcul_Model!$I$57)))))</x:f>
        <x:v>0.004494740865964349</x:v>
      </x:c>
      <x:c r="G13" s="64" t="n">
        <x:f>SUM($F$4:F13)</x:f>
        <x:v>0.9979334399488996</x:v>
      </x:c>
      <x:c r="H13" s="12" t="s">
        <x:v>559</x:v>
      </x:c>
    </x:row>
    <x:row r="14">
      <x:c r="A14" s="9">
        <x:v>10</x:v>
      </x:c>
      <x:c r="B14" s="64" t="n">
        <x:f>IF(Calcul_Model!$E$55="Poisson",B13*Calcul_Model!$B$55/$A14,IF(Calcul_Model!$E$55="Negativ binomial",B13*(($A14-1+Calcul_Model!$F$55)/$A14)*(1-Calcul_Model!$G$55),IF($A14&gt;Calcul_Model!$H$55,0,B13*((Calcul_Model!$H$55-$A14+1)/$A14)*(Calcul_Model!$I$55/(1-Calcul_Model!$I$55)))))</x:f>
        <x:v>0.03149232584362486</x:v>
      </x:c>
      <x:c r="C14" s="64" t="n">
        <x:f>SUM($B$4:B14)</x:f>
        <x:v>0.9710302622734451</x:v>
      </x:c>
      <x:c r="D14" s="64" t="n">
        <x:f>IF(Calcul_Model!$E$56="Poisson",D13*Calcul_Model!$B$56/$A14,IF(Calcul_Model!$E$56="Negativ binomial",D13*(($A14-1+Calcul_Model!$F$56)/$A14)*(1-Calcul_Model!$G$56),IF($A14&gt;Calcul_Model!$H$56,0,D13*((Calcul_Model!$H$56-$A14+1)/$A14)*(Calcul_Model!$I$56/(1-Calcul_Model!$I$56)))))</x:f>
        <x:v>0.00013576817013757949</x:v>
      </x:c>
      <x:c r="E14" s="64" t="n">
        <x:f>SUM($D$4:D14)</x:f>
        <x:v>0.9999640510689407</x:v>
      </x:c>
      <x:c r="F14" s="64" t="n">
        <x:f>IF(Calcul_Model!$E$57="Poisson",F13*Calcul_Model!$B$57/$A14,IF(Calcul_Model!$E$57="Negativ binomial",F13*(($A14-1+Calcul_Model!$F$57)/$A14)*(1-Calcul_Model!$G$57),IF($A14&gt;Calcul_Model!$H$57,0,F13*((Calcul_Model!$H$57-$A14+1)/$A14)*(Calcul_Model!$I$57/(1-Calcul_Model!$I$57)))))</x:f>
        <x:v>0.001470773559682137</x:v>
      </x:c>
      <x:c r="G14" s="64" t="n">
        <x:f>SUM($F$4:F14)</x:f>
        <x:v>0.9994042135085818</x:v>
      </x:c>
      <x:c r="H14" s="12" t="s">
        <x:v>559</x:v>
      </x:c>
    </x:row>
    <x:row r="15">
      <x:c r="A15" s="9">
        <x:v>11</x:v>
      </x:c>
      <x:c r="B15" s="64" t="n">
        <x:f>IF(Calcul_Model!$E$55="Poisson",B14*Calcul_Model!$B$55/$A15,IF(Calcul_Model!$E$55="Negativ binomial",B14*(($A15-1+Calcul_Model!$F$55)/$A15)*(1-Calcul_Model!$G$55),IF($A15&gt;Calcul_Model!$H$55,0,B14*((Calcul_Model!$H$55-$A15+1)/$A15)*(Calcul_Model!$I$55/(1-Calcul_Model!$I$55)))))</x:f>
        <x:v>0.01610105561997445</x:v>
      </x:c>
      <x:c r="C15" s="64" t="n">
        <x:f>SUM($B$4:B15)</x:f>
        <x:v>0.9871313178934196</x:v>
      </x:c>
      <x:c r="D15" s="64" t="n">
        <x:f>IF(Calcul_Model!$E$56="Poisson",D14*Calcul_Model!$B$56/$A15,IF(Calcul_Model!$E$56="Negativ binomial",D14*(($A15-1+Calcul_Model!$F$56)/$A15)*(1-Calcul_Model!$G$56),IF($A15&gt;Calcul_Model!$H$56,0,D14*((Calcul_Model!$H$56-$A15+1)/$A15)*(Calcul_Model!$I$56/(1-Calcul_Model!$I$56)))))</x:f>
        <x:v>0.000029026630916404983</x:v>
      </x:c>
      <x:c r="E15" s="64" t="n">
        <x:f>SUM($D$4:D15)</x:f>
        <x:v>0.9999930776998571</x:v>
      </x:c>
      <x:c r="F15" s="64" t="n">
        <x:f>IF(Calcul_Model!$E$57="Poisson",F14*Calcul_Model!$B$57/$A15,IF(Calcul_Model!$E$57="Negativ binomial",F14*(($A15-1+Calcul_Model!$F$57)/$A15)*(1-Calcul_Model!$G$57),IF($A15&gt;Calcul_Model!$H$57,0,F14*((Calcul_Model!$H$57-$A15+1)/$A15)*(Calcul_Model!$I$57/(1-Calcul_Model!$I$57)))))</x:f>
        <x:v>0.00043751634680439606</x:v>
      </x:c>
      <x:c r="G15" s="64" t="n">
        <x:f>SUM($F$4:F15)</x:f>
        <x:v>0.9998417298553862</x:v>
      </x:c>
      <x:c r="H15" s="12" t="s">
        <x:v>483</x:v>
      </x:c>
    </x:row>
    <x:row r="16">
      <x:c r="A16" s="9">
        <x:v>12</x:v>
      </x:c>
      <x:c r="B16" s="64" t="n">
        <x:f>IF(Calcul_Model!$E$55="Poisson",B15*Calcul_Model!$B$55/$A16,IF(Calcul_Model!$E$55="Negativ binomial",B15*(($A16-1+Calcul_Model!$F$55)/$A16)*(1-Calcul_Model!$G$55),IF($A16&gt;Calcul_Model!$H$55,0,B15*((Calcul_Model!$H$55-$A16+1)/$A16)*(Calcul_Model!$I$55/(1-Calcul_Model!$I$55)))))</x:f>
        <x:v>0.007545975716466754</x:v>
      </x:c>
      <x:c r="C16" s="64" t="n">
        <x:f>SUM($B$4:B16)</x:f>
        <x:v>0.9946772936098863</x:v>
      </x:c>
      <x:c r="D16" s="64" t="n">
        <x:f>IF(Calcul_Model!$E$56="Poisson",D15*Calcul_Model!$B$56/$A16,IF(Calcul_Model!$E$56="Negativ binomial",D15*(($A16-1+Calcul_Model!$F$56)/$A16)*(1-Calcul_Model!$G$56),IF($A16&gt;Calcul_Model!$H$56,0,D15*((Calcul_Model!$H$56-$A16+1)/$A16)*(Calcul_Model!$I$56/(1-Calcul_Model!$I$56)))))</x:f>
        <x:v>0.000005688617538593869</x:v>
      </x:c>
      <x:c r="E16" s="64" t="n">
        <x:f>SUM($D$4:D16)</x:f>
        <x:v>0.9999987663173957</x:v>
      </x:c>
      <x:c r="F16" s="64" t="n">
        <x:f>IF(Calcul_Model!$E$57="Poisson",F15*Calcul_Model!$B$57/$A16,IF(Calcul_Model!$E$57="Negativ binomial",F15*(($A16-1+Calcul_Model!$F$57)/$A16)*(1-Calcul_Model!$G$57),IF($A16&gt;Calcul_Model!$H$57,0,F15*((Calcul_Model!$H$57-$A16+1)/$A16)*(Calcul_Model!$I$57/(1-Calcul_Model!$I$57)))))</x:f>
        <x:v>0.00011930377708781908</x:v>
      </x:c>
      <x:c r="G16" s="64" t="n">
        <x:f>SUM($F$4:F16)</x:f>
        <x:v>0.999961033632474</x:v>
      </x:c>
      <x:c r="H16" s="12" t="s">
        <x:v>483</x:v>
      </x:c>
    </x:row>
    <x:row r="17">
      <x:c r="A17" s="9">
        <x:v>13</x:v>
      </x:c>
      <x:c r="B17" s="64" t="n">
        <x:f>IF(Calcul_Model!$E$55="Poisson",B16*Calcul_Model!$B$55/$A17,IF(Calcul_Model!$E$55="Negativ binomial",B16*(($A17-1+Calcul_Model!$F$55)/$A17)*(1-Calcul_Model!$G$55),IF($A17&gt;Calcul_Model!$H$55,0,B16*((Calcul_Model!$H$55-$A17+1)/$A17)*(Calcul_Model!$I$55/(1-Calcul_Model!$I$55)))))</x:f>
        <x:v>0.003264482539290014</x:v>
      </x:c>
      <x:c r="C17" s="64" t="n">
        <x:f>SUM($B$4:B17)</x:f>
        <x:v>0.9979417761491763</x:v>
      </x:c>
      <x:c r="D17" s="64" t="n">
        <x:f>IF(Calcul_Model!$E$56="Poisson",D16*Calcul_Model!$B$56/$A17,IF(Calcul_Model!$E$56="Negativ binomial",D16*(($A17-1+Calcul_Model!$F$56)/$A17)*(1-Calcul_Model!$G$56),IF($A17&gt;Calcul_Model!$H$56,0,D16*((Calcul_Model!$H$56-$A17+1)/$A17)*(Calcul_Model!$I$56/(1-Calcul_Model!$I$56)))))</x:f>
        <x:v>0.0000010290932624625485</x:v>
      </x:c>
      <x:c r="E17" s="64" t="n">
        <x:f>SUM($D$4:D17)</x:f>
        <x:v>0.9999997954106582</x:v>
      </x:c>
      <x:c r="F17" s="64" t="n">
        <x:f>IF(Calcul_Model!$E$57="Poisson",F16*Calcul_Model!$B$57/$A17,IF(Calcul_Model!$E$57="Negativ binomial",F16*(($A17-1+Calcul_Model!$F$57)/$A17)*(1-Calcul_Model!$G$57),IF($A17&gt;Calcul_Model!$H$57,0,F16*((Calcul_Model!$H$57-$A17+1)/$A17)*(Calcul_Model!$I$57/(1-Calcul_Model!$I$57)))))</x:f>
        <x:v>0.000030029769344894645</x:v>
      </x:c>
      <x:c r="G17" s="64" t="n">
        <x:f>SUM($F$4:F17)</x:f>
        <x:v>0.9999910634018189</x:v>
      </x:c>
      <x:c r="H17" s="12" t="s">
        <x:v>483</x:v>
      </x:c>
    </x:row>
    <x:row r="18">
      <x:c r="A18" s="9">
        <x:v>14</x:v>
      </x:c>
      <x:c r="B18" s="64" t="n">
        <x:f>IF(Calcul_Model!$E$55="Poisson",B17*Calcul_Model!$B$55/$A18,IF(Calcul_Model!$E$55="Negativ binomial",B17*(($A18-1+Calcul_Model!$F$55)/$A18)*(1-Calcul_Model!$G$55),IF($A18&gt;Calcul_Model!$H$55,0,B17*((Calcul_Model!$H$55-$A18+1)/$A18)*(Calcul_Model!$I$55/(1-Calcul_Model!$I$55)))))</x:f>
        <x:v>0.0013113801737012851</x:v>
      </x:c>
      <x:c r="C18" s="64" t="n">
        <x:f>SUM($B$4:B18)</x:f>
        <x:v>0.9992531563228776</x:v>
      </x:c>
      <x:c r="D18" s="64" t="n">
        <x:f>IF(Calcul_Model!$E$56="Poisson",D17*Calcul_Model!$B$56/$A18,IF(Calcul_Model!$E$56="Negativ binomial",D17*(($A18-1+Calcul_Model!$F$56)/$A18)*(1-Calcul_Model!$G$56),IF($A18&gt;Calcul_Model!$H$56,0,D17*((Calcul_Model!$H$56-$A18+1)/$A18)*(Calcul_Model!$I$56/(1-Calcul_Model!$I$56)))))</x:f>
        <x:v>1.7286937045263488e-7</x:v>
      </x:c>
      <x:c r="E18" s="64" t="n">
        <x:f>SUM($D$4:D18)</x:f>
        <x:v>0.9999999682800287</x:v>
      </x:c>
      <x:c r="F18" s="64" t="n">
        <x:f>IF(Calcul_Model!$E$57="Poisson",F17*Calcul_Model!$B$57/$A18,IF(Calcul_Model!$E$57="Negativ binomial",F17*(($A18-1+Calcul_Model!$F$57)/$A18)*(1-Calcul_Model!$G$57),IF($A18&gt;Calcul_Model!$H$57,0,F17*((Calcul_Model!$H$57-$A18+1)/$A18)*(Calcul_Model!$I$57/(1-Calcul_Model!$I$57)))))</x:f>
        <x:v>0.000007018836342438582</x:v>
      </x:c>
      <x:c r="G18" s="64" t="n">
        <x:f>SUM($F$4:F18)</x:f>
        <x:v>0.9999980822381613</x:v>
      </x:c>
      <x:c r="H18" s="12" t="s">
        <x:v>483</x:v>
      </x:c>
    </x:row>
    <x:row r="19">
      <x:c r="A19" s="9">
        <x:v>15</x:v>
      </x:c>
      <x:c r="B19" s="64" t="n">
        <x:f>IF(Calcul_Model!$E$55="Poisson",B18*Calcul_Model!$B$55/$A19,IF(Calcul_Model!$E$55="Negativ binomial",B18*(($A19-1+Calcul_Model!$F$55)/$A19)*(1-Calcul_Model!$G$55),IF($A19&gt;Calcul_Model!$H$55,0,B18*((Calcul_Model!$H$55-$A19+1)/$A19)*(Calcul_Model!$I$55/(1-Calcul_Model!$I$55)))))</x:f>
        <x:v>0.0004916767287496174</x:v>
      </x:c>
      <x:c r="C19" s="64" t="n">
        <x:f>SUM($B$4:B19)</x:f>
        <x:v>0.9997448330516272</x:v>
      </x:c>
      <x:c r="D19" s="64" t="n">
        <x:f>IF(Calcul_Model!$E$56="Poisson",D18*Calcul_Model!$B$56/$A19,IF(Calcul_Model!$E$56="Negativ binomial",D18*(($A19-1+Calcul_Model!$F$56)/$A19)*(1-Calcul_Model!$G$56),IF($A19&gt;Calcul_Model!$H$56,0,D18*((Calcul_Model!$H$56-$A19+1)/$A19)*(Calcul_Model!$I$56/(1-Calcul_Model!$I$56)))))</x:f>
        <x:v>2.7103048520502136e-8</x:v>
      </x:c>
      <x:c r="E19" s="64" t="n">
        <x:f>SUM($D$4:D19)</x:f>
        <x:v>0.9999999953830772</x:v>
      </x:c>
      <x:c r="F19" s="64" t="n">
        <x:f>IF(Calcul_Model!$E$57="Poisson",F18*Calcul_Model!$B$57/$A19,IF(Calcul_Model!$E$57="Negativ binomial",F18*(($A19-1+Calcul_Model!$F$57)/$A19)*(1-Calcul_Model!$G$57),IF($A19&gt;Calcul_Model!$H$57,0,F18*((Calcul_Model!$H$57-$A19+1)/$A19)*(Calcul_Model!$I$57/(1-Calcul_Model!$I$57)))))</x:f>
        <x:v>0.0000015311403882946525</x:v>
      </x:c>
      <x:c r="G19" s="64" t="n">
        <x:f>SUM($F$4:F19)</x:f>
        <x:v>0.9999996133785496</x:v>
      </x:c>
      <x:c r="H19" s="12" t="s">
        <x:v>483</x:v>
      </x:c>
    </x:row>
    <x:row r="20">
      <x:c r="A20" s="9">
        <x:v>16</x:v>
      </x:c>
      <x:c r="B20" s="64" t="n">
        <x:f>IF(Calcul_Model!$E$55="Poisson",B19*Calcul_Model!$B$55/$A20,IF(Calcul_Model!$E$55="Negativ binomial",B19*(($A20-1+Calcul_Model!$F$55)/$A20)*(1-Calcul_Model!$G$55),IF($A20&gt;Calcul_Model!$H$55,0,B19*((Calcul_Model!$H$55-$A20+1)/$A20)*(Calcul_Model!$I$55/(1-Calcul_Model!$I$55)))))</x:f>
        <x:v>0.00017282317118203543</x:v>
      </x:c>
      <x:c r="C20" s="64" t="n">
        <x:f>SUM($B$4:B20)</x:f>
        <x:v>0.9999176562228093</x:v>
      </x:c>
      <x:c r="D20" s="64" t="n">
        <x:f>IF(Calcul_Model!$E$56="Poisson",D19*Calcul_Model!$B$56/$A20,IF(Calcul_Model!$E$56="Negativ binomial",D19*(($A20-1+Calcul_Model!$F$56)/$A20)*(1-Calcul_Model!$G$56),IF($A20&gt;Calcul_Model!$H$56,0,D19*((Calcul_Model!$H$56-$A20+1)/$A20)*(Calcul_Model!$I$56/(1-Calcul_Model!$I$56)))))</x:f>
        <x:v>3.983726468474295e-9</x:v>
      </x:c>
      <x:c r="E20" s="64" t="n">
        <x:f>SUM($D$4:D20)</x:f>
        <x:v>0.9999999993668036</x:v>
      </x:c>
      <x:c r="F20" s="64" t="n">
        <x:f>IF(Calcul_Model!$E$57="Poisson",F19*Calcul_Model!$B$57/$A20,IF(Calcul_Model!$E$57="Negativ binomial",F19*(($A20-1+Calcul_Model!$F$57)/$A20)*(1-Calcul_Model!$G$57),IF($A20&gt;Calcul_Model!$H$57,0,F19*((Calcul_Model!$H$57-$A20+1)/$A20)*(Calcul_Model!$I$57/(1-Calcul_Model!$I$57)))))</x:f>
        <x:v>3.1313829684790626e-7</x:v>
      </x:c>
      <x:c r="G20" s="64" t="n">
        <x:f>SUM($F$4:F20)</x:f>
        <x:v>0.9999999265168464</x:v>
      </x:c>
      <x:c r="H20" s="12" t="s">
        <x:v>483</x:v>
      </x:c>
    </x:row>
    <x:row r="21">
      <x:c r="A21" s="9">
        <x:v>17</x:v>
      </x:c>
      <x:c r="B21" s="64" t="n">
        <x:f>IF(Calcul_Model!$E$55="Poisson",B20*Calcul_Model!$B$55/$A21,IF(Calcul_Model!$E$55="Negativ binomial",B20*(($A21-1+Calcul_Model!$F$55)/$A21)*(1-Calcul_Model!$G$55),IF($A21&gt;Calcul_Model!$H$55,0,B20*((Calcul_Model!$H$55-$A21+1)/$A21)*(Calcul_Model!$I$55/(1-Calcul_Model!$I$55)))))</x:f>
        <x:v>0.00005717357480869622</x:v>
      </x:c>
      <x:c r="C21" s="64" t="n">
        <x:f>SUM($B$4:B21)</x:f>
        <x:v>0.999974829797618</x:v>
      </x:c>
      <x:c r="D21" s="64" t="n">
        <x:f>IF(Calcul_Model!$E$56="Poisson",D20*Calcul_Model!$B$56/$A21,IF(Calcul_Model!$E$56="Negativ binomial",D20*(($A21-1+Calcul_Model!$F$56)/$A21)*(1-Calcul_Model!$G$56),IF($A21&gt;Calcul_Model!$H$56,0,D20*((Calcul_Model!$H$56-$A21+1)/$A21)*(Calcul_Model!$I$56/(1-Calcul_Model!$I$56)))))</x:f>
        <x:v>5.511019414701933e-10</x:v>
      </x:c>
      <x:c r="E21" s="64" t="n">
        <x:f>SUM($D$4:D21)</x:f>
        <x:v>0.9999999999179056</x:v>
      </x:c>
      <x:c r="F21" s="64" t="n">
        <x:f>IF(Calcul_Model!$E$57="Poisson",F20*Calcul_Model!$B$57/$A21,IF(Calcul_Model!$E$57="Negativ binomial",F20*(($A21-1+Calcul_Model!$F$57)/$A21)*(1-Calcul_Model!$G$57),IF($A21&gt;Calcul_Model!$H$57,0,F20*((Calcul_Model!$H$57-$A21+1)/$A21)*(Calcul_Model!$I$57/(1-Calcul_Model!$I$57)))))</x:f>
        <x:v>6.027377868305578e-8</x:v>
      </x:c>
      <x:c r="G21" s="64" t="n">
        <x:f>SUM($F$4:F21)</x:f>
        <x:v>0.9999999867906251</x:v>
      </x:c>
      <x:c r="H21" s="12" t="s">
        <x:v>483</x:v>
      </x:c>
    </x:row>
    <x:row r="22">
      <x:c r="A22" s="9">
        <x:v>18</x:v>
      </x:c>
      <x:c r="B22" s="64" t="n">
        <x:f>IF(Calcul_Model!$E$55="Poisson",B21*Calcul_Model!$B$55/$A22,IF(Calcul_Model!$E$55="Negativ binomial",B21*(($A22-1+Calcul_Model!$F$55)/$A22)*(1-Calcul_Model!$G$55),IF($A22&gt;Calcul_Model!$H$55,0,B21*((Calcul_Model!$H$55-$A22+1)/$A22)*(Calcul_Model!$I$55/(1-Calcul_Model!$I$55)))))</x:f>
        <x:v>0.000017863441889064648</x:v>
      </x:c>
      <x:c r="C22" s="64" t="n">
        <x:f>SUM($B$4:B22)</x:f>
        <x:v>0.999992693239507</x:v>
      </x:c>
      <x:c r="D22" s="64" t="n">
        <x:f>IF(Calcul_Model!$E$56="Poisson",D21*Calcul_Model!$B$56/$A22,IF(Calcul_Model!$E$56="Negativ binomial",D21*(($A22-1+Calcul_Model!$F$56)/$A22)*(1-Calcul_Model!$G$56),IF($A22&gt;Calcul_Model!$H$56,0,D21*((Calcul_Model!$H$56-$A22+1)/$A22)*(Calcul_Model!$I$56/(1-Calcul_Model!$I$56)))))</x:f>
        <x:v>7.200303240678341e-11</x:v>
      </x:c>
      <x:c r="E22" s="64" t="n">
        <x:f>SUM($D$4:D22)</x:f>
        <x:v>0.9999999999899086</x:v>
      </x:c>
      <x:c r="F22" s="64" t="n">
        <x:f>IF(Calcul_Model!$E$57="Poisson",F21*Calcul_Model!$B$57/$A22,IF(Calcul_Model!$E$57="Negativ binomial",F21*(($A22-1+Calcul_Model!$F$57)/$A22)*(1-Calcul_Model!$G$57),IF($A22&gt;Calcul_Model!$H$57,0,F21*((Calcul_Model!$H$57-$A22+1)/$A22)*(Calcul_Model!$I$57/(1-Calcul_Model!$I$57)))))</x:f>
        <x:v>1.095713643427776e-8</x:v>
      </x:c>
      <x:c r="G22" s="64" t="n">
        <x:f>SUM($F$4:F22)</x:f>
        <x:v>0.9999999977477615</x:v>
      </x:c>
      <x:c r="H22" s="12" t="s">
        <x:v>483</x:v>
      </x:c>
    </x:row>
    <x:row r="23">
      <x:c r="A23" s="9">
        <x:v>19</x:v>
      </x:c>
      <x:c r="B23" s="64" t="n">
        <x:f>IF(Calcul_Model!$E$55="Poisson",B22*Calcul_Model!$B$55/$A23,IF(Calcul_Model!$E$55="Negativ binomial",B22*(($A23-1+Calcul_Model!$F$55)/$A23)*(1-Calcul_Model!$G$55),IF($A23&gt;Calcul_Model!$H$55,0,B22*((Calcul_Model!$H$55-$A23+1)/$A23)*(Calcul_Model!$I$55/(1-Calcul_Model!$I$55)))))</x:f>
        <x:v>0.000005287542116450991</x:v>
      </x:c>
      <x:c r="C23" s="64" t="n">
        <x:f>SUM($B$4:B23)</x:f>
        <x:v>0.9999979807816235</x:v>
      </x:c>
      <x:c r="D23" s="64" t="n">
        <x:f>IF(Calcul_Model!$E$56="Poisson",D22*Calcul_Model!$B$56/$A23,IF(Calcul_Model!$E$56="Negativ binomial",D22*(($A23-1+Calcul_Model!$F$56)/$A23)*(1-Calcul_Model!$G$56),IF($A23&gt;Calcul_Model!$H$56,0,D22*((Calcul_Model!$H$56-$A23+1)/$A23)*(Calcul_Model!$I$56/(1-Calcul_Model!$I$56)))))</x:f>
        <x:v>8.9122741510781e-12</x:v>
      </x:c>
      <x:c r="E23" s="64" t="n">
        <x:f>SUM($D$4:D23)</x:f>
        <x:v>0.9999999999988209</x:v>
      </x:c>
      <x:c r="F23" s="64" t="n">
        <x:f>IF(Calcul_Model!$E$57="Poisson",F22*Calcul_Model!$B$57/$A23,IF(Calcul_Model!$E$57="Negativ binomial",F22*(($A23-1+Calcul_Model!$F$57)/$A23)*(1-Calcul_Model!$G$57),IF($A23&gt;Calcul_Model!$H$57,0,F22*((Calcul_Model!$H$57-$A23+1)/$A23)*(Calcul_Model!$I$57/(1-Calcul_Model!$I$57)))))</x:f>
        <x:v>1.8870552845668484e-9</x:v>
      </x:c>
      <x:c r="G23" s="64" t="n">
        <x:f>SUM($F$4:F23)</x:f>
        <x:v>0.9999999996348168</x:v>
      </x:c>
      <x:c r="H23" s="12" t="s">
        <x:v>483</x:v>
      </x:c>
    </x:row>
    <x:row r="24">
      <x:c r="A24" s="9">
        <x:v>20</x:v>
      </x:c>
      <x:c r="B24" s="64" t="n">
        <x:f>IF(Calcul_Model!$E$55="Poisson",B23*Calcul_Model!$B$55/$A24,IF(Calcul_Model!$E$55="Negativ binomial",B23*(($A24-1+Calcul_Model!$F$55)/$A24)*(1-Calcul_Model!$G$55),IF($A24&gt;Calcul_Model!$H$55,0,B23*((Calcul_Model!$H$55-$A24+1)/$A24)*(Calcul_Model!$I$55/(1-Calcul_Model!$I$55)))))</x:f>
        <x:v>0.0000014868465280389257</x:v>
      </x:c>
      <x:c r="C24" s="64" t="n">
        <x:f>SUM($B$4:B24)</x:f>
        <x:v>0.9999994676281515</x:v>
      </x:c>
      <x:c r="D24" s="64" t="n">
        <x:f>IF(Calcul_Model!$E$56="Poisson",D23*Calcul_Model!$B$56/$A24,IF(Calcul_Model!$E$56="Negativ binomial",D23*(($A24-1+Calcul_Model!$F$56)/$A24)*(1-Calcul_Model!$G$56),IF($A24&gt;Calcul_Model!$H$56,0,D23*((Calcul_Model!$H$56-$A24+1)/$A24)*(Calcul_Model!$I$56/(1-Calcul_Model!$I$56)))))</x:f>
        <x:v>1.0479725158029217e-12</x:v>
      </x:c>
      <x:c r="E24" s="64" t="n">
        <x:f>SUM($D$4:D24)</x:f>
        <x:v>0.9999999999998689</x:v>
      </x:c>
      <x:c r="F24" s="64" t="n">
        <x:f>IF(Calcul_Model!$E$57="Poisson",F23*Calcul_Model!$B$57/$A24,IF(Calcul_Model!$E$57="Negativ binomial",F23*(($A24-1+Calcul_Model!$F$57)/$A24)*(1-Calcul_Model!$G$57),IF($A24&gt;Calcul_Model!$H$57,0,F23*((Calcul_Model!$H$57-$A24+1)/$A24)*(Calcul_Model!$I$57/(1-Calcul_Model!$I$57)))))</x:f>
        <x:v>3.087420499828861e-10</x:v>
      </x:c>
      <x:c r="G24" s="64" t="n">
        <x:f>SUM($F$4:F24)</x:f>
        <x:v>0.9999999999435588</x:v>
      </x:c>
      <x:c r="H24" s="12" t="s">
        <x:v>483</x:v>
      </x:c>
    </x:row>
    <x:row r="25">
      <x:c r="A25" s="9">
        <x:v>21</x:v>
      </x:c>
      <x:c r="B25" s="64" t="n">
        <x:f>IF(Calcul_Model!$E$55="Poisson",B24*Calcul_Model!$B$55/$A25,IF(Calcul_Model!$E$55="Negativ binomial",B24*(($A25-1+Calcul_Model!$F$55)/$A25)*(1-Calcul_Model!$G$55),IF($A25&gt;Calcul_Model!$H$55,0,B24*((Calcul_Model!$H$55-$A25+1)/$A25)*(Calcul_Model!$I$55/(1-Calcul_Model!$I$55)))))</x:f>
        <x:v>3.981888981871946e-7</x:v>
      </x:c>
      <x:c r="C25" s="64" t="n">
        <x:f>SUM($B$4:B25)</x:f>
        <x:v>0.9999998658170497</x:v>
      </x:c>
      <x:c r="D25" s="64" t="n">
        <x:f>IF(Calcul_Model!$E$56="Poisson",D24*Calcul_Model!$B$56/$A25,IF(Calcul_Model!$E$56="Negativ binomial",D24*(($A25-1+Calcul_Model!$F$56)/$A25)*(1-Calcul_Model!$G$56),IF($A25&gt;Calcul_Model!$H$56,0,D24*((Calcul_Model!$H$56-$A25+1)/$A25)*(Calcul_Model!$I$56/(1-Calcul_Model!$I$56)))))</x:f>
        <x:v>1.1736049955602414e-13</x:v>
      </x:c>
      <x:c r="E25" s="64" t="n">
        <x:f>SUM($D$4:D25)</x:f>
        <x:v>0.9999999999999862</x:v>
      </x:c>
      <x:c r="F25" s="64" t="n">
        <x:f>IF(Calcul_Model!$E$57="Poisson",F24*Calcul_Model!$B$57/$A25,IF(Calcul_Model!$E$57="Negativ binomial",F24*(($A25-1+Calcul_Model!$F$57)/$A25)*(1-Calcul_Model!$G$57),IF($A25&gt;Calcul_Model!$H$57,0,F24*((Calcul_Model!$H$57-$A25+1)/$A25)*(Calcul_Model!$I$57/(1-Calcul_Model!$I$57)))))</x:f>
        <x:v>4.8108037860043994e-11</x:v>
      </x:c>
      <x:c r="G25" s="64" t="n">
        <x:f>SUM($F$4:F25)</x:f>
        <x:v>0.9999999999916669</x:v>
      </x:c>
      <x:c r="H25" s="12" t="s">
        <x:v>483</x:v>
      </x:c>
    </x:row>
    <x:row r="26">
      <x:c r="A26" s="9">
        <x:v>22</x:v>
      </x:c>
      <x:c r="B26" s="64" t="n">
        <x:f>IF(Calcul_Model!$E$55="Poisson",B25*Calcul_Model!$B$55/$A26,IF(Calcul_Model!$E$55="Negativ binomial",B25*(($A26-1+Calcul_Model!$F$55)/$A26)*(1-Calcul_Model!$G$55),IF($A26&gt;Calcul_Model!$H$55,0,B25*((Calcul_Model!$H$55-$A26+1)/$A26)*(Calcul_Model!$I$55/(1-Calcul_Model!$I$55)))))</x:f>
        <x:v>1.0179085579139951e-7</x:v>
      </x:c>
      <x:c r="C26" s="64" t="n">
        <x:f>SUM($B$4:B26)</x:f>
        <x:v>0.9999999676079054</x:v>
      </x:c>
      <x:c r="D26" s="64" t="n">
        <x:f>IF(Calcul_Model!$E$56="Poisson",D25*Calcul_Model!$B$56/$A26,IF(Calcul_Model!$E$56="Negativ binomial",D25*(($A26-1+Calcul_Model!$F$56)/$A26)*(1-Calcul_Model!$G$56),IF($A26&gt;Calcul_Model!$H$56,0,D25*((Calcul_Model!$H$56-$A26+1)/$A26)*(Calcul_Model!$I$56/(1-Calcul_Model!$I$56)))))</x:f>
        <x:v>1.2545576409130341e-14</x:v>
      </x:c>
      <x:c r="E26" s="64" t="n">
        <x:f>SUM($D$4:D26)</x:f>
        <x:v>0.9999999999999988</x:v>
      </x:c>
      <x:c r="F26" s="64" t="n">
        <x:f>IF(Calcul_Model!$E$57="Poisson",F25*Calcul_Model!$B$57/$A26,IF(Calcul_Model!$E$57="Negativ binomial",F25*(($A26-1+Calcul_Model!$F$57)/$A26)*(1-Calcul_Model!$G$57),IF($A26&gt;Calcul_Model!$H$57,0,F25*((Calcul_Model!$H$57-$A26+1)/$A26)*(Calcul_Model!$I$57/(1-Calcul_Model!$I$57)))))</x:f>
        <x:v>7.155436279736672e-12</x:v>
      </x:c>
      <x:c r="G26" s="64" t="n">
        <x:f>SUM($F$4:F26)</x:f>
        <x:v>0.9999999999988223</x:v>
      </x:c>
      <x:c r="H26" s="12" t="s">
        <x:v>483</x:v>
      </x:c>
    </x:row>
    <x:row r="27">
      <x:c r="A27" s="9">
        <x:v>23</x:v>
      </x:c>
      <x:c r="B27" s="64" t="n">
        <x:f>IF(Calcul_Model!$E$55="Poisson",B26*Calcul_Model!$B$55/$A27,IF(Calcul_Model!$E$55="Negativ binomial",B26*(($A27-1+Calcul_Model!$F$55)/$A27)*(1-Calcul_Model!$G$55),IF($A27&gt;Calcul_Model!$H$55,0,B26*((Calcul_Model!$H$55-$A27+1)/$A27)*(Calcul_Model!$I$55/(1-Calcul_Model!$I$55)))))</x:f>
        <x:v>2.4889904410146683e-8</x:v>
      </x:c>
      <x:c r="C27" s="64" t="n">
        <x:f>SUM($B$4:B27)</x:f>
        <x:v>0.9999999924978098</x:v>
      </x:c>
      <x:c r="D27" s="64" t="n">
        <x:f>IF(Calcul_Model!$E$56="Poisson",D26*Calcul_Model!$B$56/$A27,IF(Calcul_Model!$E$56="Negativ binomial",D26*(($A27-1+Calcul_Model!$F$56)/$A27)*(1-Calcul_Model!$G$56),IF($A27&gt;Calcul_Model!$H$56,0,D26*((Calcul_Model!$H$56-$A27+1)/$A27)*(Calcul_Model!$I$56/(1-Calcul_Model!$I$56)))))</x:f>
        <x:v>1.2827857742375386e-15</x:v>
      </x:c>
      <x:c r="E27" s="64" t="n">
        <x:f>SUM($D$4:D27)</x:f>
        <x:v>1</x:v>
      </x:c>
      <x:c r="F27" s="64" t="n">
        <x:f>IF(Calcul_Model!$E$57="Poisson",F26*Calcul_Model!$B$57/$A27,IF(Calcul_Model!$E$57="Negativ binomial",F26*(($A27-1+Calcul_Model!$F$57)/$A27)*(1-Calcul_Model!$G$57),IF($A27&gt;Calcul_Model!$H$57,0,F26*((Calcul_Model!$H$57-$A27+1)/$A27)*(Calcul_Model!$I$57/(1-Calcul_Model!$I$57)))))</x:f>
        <x:v>1.0180038909877783e-12</x:v>
      </x:c>
      <x:c r="G27" s="64" t="n">
        <x:f>SUM($F$4:F27)</x:f>
        <x:v>0.9999999999998402</x:v>
      </x:c>
      <x:c r="H27" s="12" t="s">
        <x:v>483</x:v>
      </x:c>
    </x:row>
    <x:row r="28">
      <x:c r="A28" s="9">
        <x:v>24</x:v>
      </x:c>
      <x:c r="B28" s="64" t="n">
        <x:f>IF(Calcul_Model!$E$55="Poisson",B27*Calcul_Model!$B$55/$A28,IF(Calcul_Model!$E$55="Negativ binomial",B27*(($A28-1+Calcul_Model!$F$55)/$A28)*(1-Calcul_Model!$G$55),IF($A28&gt;Calcul_Model!$H$55,0,B27*((Calcul_Model!$H$55-$A28+1)/$A28)*(Calcul_Model!$I$55/(1-Calcul_Model!$I$55)))))</x:f>
        <x:v>5.832493803423172e-9</x:v>
      </x:c>
      <x:c r="C28" s="64" t="n">
        <x:f>SUM($B$4:B28)</x:f>
        <x:v>0.9999999983303036</x:v>
      </x:c>
      <x:c r="D28" s="64" t="n">
        <x:f>IF(Calcul_Model!$E$56="Poisson",D27*Calcul_Model!$B$56/$A28,IF(Calcul_Model!$E$56="Negativ binomial",D27*(($A28-1+Calcul_Model!$F$56)/$A28)*(1-Calcul_Model!$G$56),IF($A28&gt;Calcul_Model!$H$56,0,D27*((Calcul_Model!$H$56-$A28+1)/$A28)*(Calcul_Model!$I$56/(1-Calcul_Model!$I$56)))))</x:f>
        <x:v>1.2569970098496988e-16</x:v>
      </x:c>
      <x:c r="E28" s="64" t="n">
        <x:f>SUM($D$4:D28)</x:f>
        <x:v>1.0000000000000002</x:v>
      </x:c>
      <x:c r="F28" s="64" t="n">
        <x:f>IF(Calcul_Model!$E$57="Poisson",F27*Calcul_Model!$B$57/$A28,IF(Calcul_Model!$E$57="Negativ binomial",F27*(($A28-1+Calcul_Model!$F$57)/$A28)*(1-Calcul_Model!$G$57),IF($A28&gt;Calcul_Model!$H$57,0,F27*((Calcul_Model!$H$57-$A28+1)/$A28)*(Calcul_Model!$I$57/(1-Calcul_Model!$I$57)))))</x:f>
        <x:v>1.387967674488249e-13</x:v>
      </x:c>
      <x:c r="G28" s="64" t="n">
        <x:f>SUM($F$4:F28)</x:f>
        <x:v>0.999999999999979</x:v>
      </x:c>
      <x:c r="H28" s="12" t="s">
        <x:v>483</x:v>
      </x:c>
    </x:row>
    <x:row r="29">
      <x:c r="A29" s="9">
        <x:v>25</x:v>
      </x:c>
      <x:c r="B29" s="64" t="n">
        <x:f>IF(Calcul_Model!$E$55="Poisson",B28*Calcul_Model!$B$55/$A29,IF(Calcul_Model!$E$55="Negativ binomial",B28*(($A29-1+Calcul_Model!$F$55)/$A29)*(1-Calcul_Model!$G$55),IF($A29&gt;Calcul_Model!$H$55,0,B28*((Calcul_Model!$H$55-$A29+1)/$A29)*(Calcul_Model!$I$55/(1-Calcul_Model!$I$55)))))</x:f>
        <x:v>1.3120687034449905e-9</x:v>
      </x:c>
      <x:c r="C29" s="64" t="n">
        <x:f>SUM($B$4:B29)</x:f>
        <x:v>0.9999999996423723</x:v>
      </x:c>
      <x:c r="D29" s="64" t="n">
        <x:f>IF(Calcul_Model!$E$56="Poisson",D28*Calcul_Model!$B$56/$A29,IF(Calcul_Model!$E$56="Negativ binomial",D28*(($A29-1+Calcul_Model!$F$56)/$A29)*(1-Calcul_Model!$G$56),IF($A29&gt;Calcul_Model!$H$56,0,D28*((Calcul_Model!$H$56-$A29+1)/$A29)*(Calcul_Model!$I$56/(1-Calcul_Model!$I$56)))))</x:f>
        <x:v>1.1824576277062464e-17</x:v>
      </x:c>
      <x:c r="E29" s="64" t="n">
        <x:f>SUM($D$4:D29)</x:f>
        <x:v>1.0000000000000002</x:v>
      </x:c>
      <x:c r="F29" s="64" t="n">
        <x:f>IF(Calcul_Model!$E$57="Poisson",F28*Calcul_Model!$B$57/$A29,IF(Calcul_Model!$E$57="Negativ binomial",F28*(($A29-1+Calcul_Model!$F$57)/$A29)*(1-Calcul_Model!$G$57),IF($A29&gt;Calcul_Model!$H$57,0,F28*((Calcul_Model!$H$57-$A29+1)/$A29)*(Calcul_Model!$I$57/(1-Calcul_Model!$I$57)))))</x:f>
        <x:v>1.816688630740753e-14</x:v>
      </x:c>
      <x:c r="G29" s="64" t="n">
        <x:f>SUM($F$4:F29)</x:f>
        <x:v>0.9999999999999972</x:v>
      </x:c>
      <x:c r="H29" s="12" t="s">
        <x:v>483</x:v>
      </x:c>
    </x:row>
    <x:row r="30">
      <x:c r="A30" s="9"/>
      <x:c r="B30" s="64"/>
      <x:c r="C30" s="64"/>
      <x:c r="D30" s="64"/>
      <x:c r="E30" s="64"/>
      <x:c r="F30" s="64"/>
      <x:c r="G30" s="64"/>
      <x:c r="H30" s="12"/>
    </x:row>
    <x:row r="31">
      <x:c r="A31" s="13" t="s">
        <x:v>560</x:v>
      </x:c>
      <x:c r="B31" s="65" t="n">
        <x:f>MAX(0,1-SUM(B4:B29))</x:f>
        <x:v>3.576277052275145e-10</x:v>
      </x:c>
      <x:c r="C31" s="65"/>
      <x:c r="D31" s="65" t="n">
        <x:f>MAX(0,1-SUM(D4:D29))</x:f>
        <x:v>0</x:v>
      </x:c>
      <x:c r="E31" s="65"/>
      <x:c r="F31" s="65" t="n">
        <x:f>MAX(0,1-SUM(F4:F29))</x:f>
        <x:v>2.7755575615628914e-15</x:v>
      </x:c>
      <x:c r="G31" s="65"/>
      <x:c r="H31" s="16" t="s">
        <x:v>561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2" width="12" customWidth="1"/>
    <x:col min="3" max="3" width="9" customWidth="1"/>
    <x:col min="4" max="4" width="13" customWidth="1"/>
    <x:col min="5" max="6" width="12" customWidth="1"/>
    <x:col min="7" max="7" width="15" customWidth="1"/>
    <x:col min="8" max="8" width="14" customWidth="1"/>
    <x:col min="9" max="9" width="11" customWidth="1"/>
    <x:col min="10" max="11" width="13" customWidth="1"/>
    <x:col min="12" max="14" width="11" customWidth="1"/>
    <x:col min="15" max="15" width="12" customWidth="1"/>
    <x:col min="16" max="16" width="10" customWidth="1"/>
    <x:col min="17" max="17" width="18" customWidth="1"/>
    <x:col min="18" max="18" width="13" customWidth="1"/>
    <x:col min="19" max="19" width="31" customWidth="1"/>
  </x:cols>
  <x:sheetData>
    <x:row r="1" ht="27.950000762939453" customHeight="1">
      <x:c r="A1" s="201" t="str">
        <x:v>MARKET ODDS – INFORMATIV / LEGACY, FĂRĂ VERDICT</x:v>
      </x:c>
      <x:c r="B1" s="201"/>
      <x:c r="C1" s="201"/>
      <x:c r="D1" s="201"/>
      <x:c r="E1" s="201"/>
      <x:c r="F1" s="201"/>
      <x:c r="G1" s="201"/>
      <x:c r="H1" s="201"/>
      <x:c r="I1" s="201"/>
      <x:c r="J1" s="201"/>
      <x:c r="K1" s="201"/>
      <x:c r="L1" s="201"/>
      <x:c r="M1" s="201"/>
      <x:c r="N1" s="201"/>
      <x:c r="O1" s="201"/>
      <x:c r="P1" s="201"/>
      <x:c r="Q1" s="201"/>
      <x:c r="R1" s="201"/>
      <x:c r="S1" s="201"/>
    </x:row>
    <x:row r="2">
      <x:c r="A2" s="202" t="str">
        <x:v>Cotele, probabilitatea de-vig și Edge sunt informative. Motorul V3, verdictul și ranking-ul nu citesc această foaie.</x:v>
      </x:c>
      <x:c r="B2" s="202"/>
      <x:c r="C2" s="202"/>
      <x:c r="D2" s="202"/>
      <x:c r="E2" s="202"/>
      <x:c r="F2" s="202"/>
      <x:c r="G2" s="202"/>
      <x:c r="H2" s="202"/>
      <x:c r="I2" s="202"/>
      <x:c r="J2" s="202"/>
      <x:c r="K2" s="202"/>
      <x:c r="L2" s="202"/>
      <x:c r="M2" s="202"/>
      <x:c r="N2" s="202"/>
      <x:c r="O2" s="202"/>
      <x:c r="P2" s="202"/>
      <x:c r="Q2" s="202"/>
      <x:c r="R2" s="202"/>
      <x:c r="S2" s="202"/>
    </x:row>
    <x:row r="3" ht="24">
      <x:c r="A3" s="3" t="s">
        <x:v>562</x:v>
      </x:c>
      <x:c r="B3" s="3" t="s">
        <x:v>563</x:v>
      </x:c>
      <x:c r="C3" s="3" t="s">
        <x:v>564</x:v>
      </x:c>
      <x:c r="D3" s="3" t="s">
        <x:v>565</x:v>
      </x:c>
      <x:c r="E3" s="3" t="s">
        <x:v>566</x:v>
      </x:c>
      <x:c r="F3" s="3" t="s">
        <x:v>567</x:v>
      </x:c>
      <x:c r="G3" s="3" t="s">
        <x:v>568</x:v>
      </x:c>
      <x:c r="H3" s="3" t="s">
        <x:v>569</x:v>
      </x:c>
      <x:c r="I3" s="3" t="s">
        <x:v>363</x:v>
      </x:c>
      <x:c r="J3" s="3" t="s">
        <x:v>365</x:v>
      </x:c>
      <x:c r="K3" s="3" t="s">
        <x:v>570</x:v>
      </x:c>
      <x:c r="L3" s="3" t="s">
        <x:v>571</x:v>
      </x:c>
      <x:c r="M3" s="3" t="s">
        <x:v>572</x:v>
      </x:c>
      <x:c r="N3" s="3" t="s">
        <x:v>573</x:v>
      </x:c>
      <x:c r="O3" s="3" t="s">
        <x:v>26</x:v>
      </x:c>
      <x:c r="P3" s="3" t="s">
        <x:v>574</x:v>
      </x:c>
      <x:c r="Q3" s="3" t="str">
        <x:v>Status</x:v>
      </x:c>
      <x:c r="R3" s="3" t="str">
        <x:v>Scor rank</x:v>
      </x:c>
      <x:c r="S3" s="3" t="str">
        <x:v>Motiv</x:v>
      </x:c>
    </x:row>
    <x:row r="4">
      <x:c r="A4" s="66" t="s">
        <x:v>501</x:v>
      </x:c>
      <x:c r="B4" s="67" t="s">
        <x:v>575</x:v>
      </x:c>
      <x:c r="C4" s="67">
        <x:v>2.5</x:v>
      </x:c>
      <x:c r="D4" s="68">
        <x:v>1.25</x:v>
      </x:c>
      <x:c r="E4" s="69">
        <x:v>3.9</x:v>
      </x:c>
      <x:c r="F4" s="70" t="n">
        <x:f t="shared" ref="F4:F37" si="0">IFERROR(1/D4,"")</x:f>
        <x:v>0.8</x:v>
      </x:c>
      <x:c r="G4" s="70" t="n">
        <x:f t="shared" ref="G4:G37" si="1">IFERROR((1/D4)/((1/D4)+(1/E4)),"")</x:f>
        <x:v>0.7572815533980582</x:v>
      </x:c>
      <x:c r="H4" s="70" t="n">
        <x:f>IF(A4="Total",IF(B4="Over",1-SUMIF(Distributie!$A$4:$A$29,"&lt;="&amp;INT(C4),Distributie!$B$4:$B$29),SUMIF(Distributie!$A$4:$A$29,"&lt;="&amp;INT(C4),Distributie!$B$4:$B$29)),IF(A4="Gazde",IF(B4="Over",1-SUMIF(Distributie!$A$4:$A$29,"&lt;="&amp;INT(C4),Distributie!$D$4:$D$29),SUMIF(Distributie!$A$4:$A$29,"&lt;="&amp;INT(C4),Distributie!$D$4:$D$29)),IF(B4="Over",1-SUMIF(Distributie!$A$4:$A$29,"&lt;="&amp;INT(C4),Distributie!$F$4:$F$29),SUMIF(Distributie!$A$4:$A$29,"&lt;="&amp;INT(C4),Distributie!$F$4:$F$29))))</x:f>
        <x:v>0.918990260383014</x:v>
      </x:c>
      <x:c r="I4" s="70" t="n">
        <x:f>MIN(Parametri!$C$82,Calcul_Model!$B$73+IF(AND(A4="Total",B4="Under",C4&lt;=4.5,Calcul_Model!$B$35&gt;=Parametri!$C$70),Parametri!$C$76,0)+IF(AND(A4="Total",B4="Under",C4=4.5,Calcul_Model!$B$89&gt;=Parametri!$C$91),Parametri!$C$95,0)+IF(AND(A4="Total",B4="Under",C4=5.5,Calcul_Model!$B$90&gt;=Parametri!$C$93),Parametri!$C$95,0)+IF(AND(A4="Total",B4="Over",C4=2.5),LowCard_Secondary_v5!$B$15,0))</x:f>
        <x:v>0.026016719848758633</x:v>
      </x:c>
      <x:c r="J4" s="70" t="n">
        <x:f t="shared" ref="J4:J37" si="2">MAX(0.01,H4-I4)</x:f>
        <x:v>0.8929735405342554</x:v>
      </x:c>
      <x:c r="K4" s="71" t="n">
        <x:f t="shared" ref="K4:K37" si="3">1/J4</x:f>
        <x:v>1.1198540097859024</x:v>
      </x:c>
      <x:c r="L4" s="70" t="n">
        <x:f t="shared" ref="L4:L37" si="4">J4-G4</x:f>
        <x:v>0.13569198713619712</x:v>
      </x:c>
      <x:c r="M4" s="70" t="str">
        <x:f t="shared" ref="M4:M37" si="5">""</x:f>
      </x:c>
      <x:c r="N4" s="71" t="n">
        <x:f>IF(A4="Total",IF(B4="Over",Calcul_Model!$D$51-C4,C4-Calcul_Model!$D$51),IF(A4="Gazde",IF(B4="Over",Calcul_Model!$B$51-C4,C4-Calcul_Model!$B$51),IF(B4="Over",Calcul_Model!$C$51-C4,C4-Calcul_Model!$C$51)))</x:f>
        <x:v>3.123960983357235</x:v>
      </x:c>
      <x:c r="O4" s="72" t="n">
        <x:f>Calcul_Model!$B$65</x:f>
        <x:v>91</x:v>
      </x:c>
      <x:c r="P4" s="67" t="str">
        <x:f>Calcul_Model!$B$85</x:f>
        <x:v>BET</x:v>
      </x:c>
      <x:c r="Q4" s="67" t="str">
        <x:v>INFORMATIV</x:v>
      </x:c>
      <x:c r="R4" s="67" t="n">
        <x:f t="shared" ref="R4:R37" si="6">IF(LEFT(Q4,3)="BET",J4*100+MAX(0,N4)+O4/100+(ROW()-3)/1000000,0)</x:f>
        <x:v>0</x:v>
      </x:c>
      <x:c r="S4" s="73" t="str">
        <x:v>Neutilizat de motorul V3</x:v>
      </x:c>
    </x:row>
    <x:row r="5">
      <x:c r="A5" s="74" t="s">
        <x:v>501</x:v>
      </x:c>
      <x:c r="B5" s="75" t="s">
        <x:v>576</x:v>
      </x:c>
      <x:c r="C5" s="75">
        <x:v>2.5</x:v>
      </x:c>
      <x:c r="D5" s="76">
        <x:v>3.9</x:v>
      </x:c>
      <x:c r="E5" s="77">
        <x:v>1.25</x:v>
      </x:c>
      <x:c r="F5" s="78">
        <x:f t="shared" si="0"/>
        <x:v>0.25641025641025644</x:v>
      </x:c>
      <x:c r="G5" s="78">
        <x:f t="shared" si="1"/>
        <x:v>0.24271844660194178</x:v>
      </x:c>
      <x:c r="H5" s="78" t="n">
        <x:f>IF(A5="Total",IF(B5="Over",1-SUMIF(Distributie!$A$4:$A$29,"&lt;="&amp;INT(C5),Distributie!$B$4:$B$29),SUMIF(Distributie!$A$4:$A$29,"&lt;="&amp;INT(C5),Distributie!$B$4:$B$29)),IF(A5="Gazde",IF(B5="Over",1-SUMIF(Distributie!$A$4:$A$29,"&lt;="&amp;INT(C5),Distributie!$D$4:$D$29),SUMIF(Distributie!$A$4:$A$29,"&lt;="&amp;INT(C5),Distributie!$D$4:$D$29)),IF(B5="Over",1-SUMIF(Distributie!$A$4:$A$29,"&lt;="&amp;INT(C5),Distributie!$F$4:$F$29),SUMIF(Distributie!$A$4:$A$29,"&lt;="&amp;INT(C5),Distributie!$F$4:$F$29))))</x:f>
        <x:v>0.08100973961698604</x:v>
      </x:c>
      <x:c r="I5" s="78" t="n">
        <x:f>MIN(Parametri!$C$82,Calcul_Model!$B$73+IF(AND(A5="Total",B5="Under",C5&lt;=4.5,Calcul_Model!$B$35&gt;=Parametri!$C$70),Parametri!$C$76,0)+IF(AND(A5="Total",B5="Under",C5=4.5,Calcul_Model!$B$89&gt;=Parametri!$C$91),Parametri!$C$95,0)+IF(AND(A5="Total",B5="Under",C5=5.5,Calcul_Model!$B$90&gt;=Parametri!$C$93),Parametri!$C$95,0)+IF(AND(A5="Total",B5="Over",C5=2.5),LowCard_Secondary_v5!$B$15,0))</x:f>
        <x:v>0.020080379978078187</x:v>
      </x:c>
      <x:c r="J5" s="78">
        <x:f t="shared" si="2"/>
        <x:v>6.092935963890786E-2</x:v>
      </x:c>
      <x:c r="K5" s="79">
        <x:f t="shared" si="3"/>
        <x:v>16.412448874014206</x:v>
      </x:c>
      <x:c r="L5" s="78">
        <x:f t="shared" si="4"/>
        <x:v>-0.18178908696303392</x:v>
      </x:c>
      <x:c r="M5" s="78" t="str">
        <x:f t="shared" si="5"/>
      </x:c>
      <x:c r="N5" s="79" t="n">
        <x:f>IF(A5="Total",IF(B5="Over",Calcul_Model!$D$51-C5,C5-Calcul_Model!$D$51),IF(A5="Gazde",IF(B5="Over",Calcul_Model!$B$51-C5,C5-Calcul_Model!$B$51),IF(B5="Over",Calcul_Model!$C$51-C5,C5-Calcul_Model!$C$51)))</x:f>
        <x:v>-3.123960983357235</x:v>
      </x:c>
      <x:c r="O5" s="80" t="n">
        <x:f>Calcul_Model!$B$65</x:f>
        <x:v>91</x:v>
      </x:c>
      <x:c r="P5" s="75" t="str">
        <x:f>Calcul_Model!$B$85</x:f>
        <x:v>BET</x:v>
      </x:c>
      <x:c r="Q5" s="75" t="str">
        <x:v>INFORMATIV</x:v>
      </x:c>
      <x:c r="R5" s="75" t="n">
        <x:f t="shared" si="6"/>
        <x:v>0</x:v>
      </x:c>
      <x:c r="S5" s="81" t="str">
        <x:v>Neutilizat de motorul V3</x:v>
      </x:c>
    </x:row>
    <x:row r="6">
      <x:c r="A6" s="74" t="s">
        <x:v>501</x:v>
      </x:c>
      <x:c r="B6" s="75" t="s">
        <x:v>575</x:v>
      </x:c>
      <x:c r="C6" s="75">
        <x:v>3.5</x:v>
      </x:c>
      <x:c r="D6" s="76">
        <x:v>1.48</x:v>
      </x:c>
      <x:c r="E6" s="77">
        <x:v>2.6</x:v>
      </x:c>
      <x:c r="F6" s="78">
        <x:f t="shared" si="0"/>
        <x:v>0.67567567567567566</x:v>
      </x:c>
      <x:c r="G6" s="78">
        <x:f t="shared" si="1"/>
        <x:v>0.63725490196078438</x:v>
      </x:c>
      <x:c r="H6" s="78" t="n">
        <x:f>IF(A6="Total",IF(B6="Over",1-SUMIF(Distributie!$A$4:$A$29,"&lt;="&amp;INT(C6),Distributie!$B$4:$B$29),SUMIF(Distributie!$A$4:$A$29,"&lt;="&amp;INT(C6),Distributie!$B$4:$B$29)),IF(A6="Gazde",IF(B6="Over",1-SUMIF(Distributie!$A$4:$A$29,"&lt;="&amp;INT(C6),Distributie!$D$4:$D$29),SUMIF(Distributie!$A$4:$A$29,"&lt;="&amp;INT(C6),Distributie!$D$4:$D$29)),IF(B6="Over",1-SUMIF(Distributie!$A$4:$A$29,"&lt;="&amp;INT(C6),Distributie!$F$4:$F$29),SUMIF(Distributie!$A$4:$A$29,"&lt;="&amp;INT(C6),Distributie!$F$4:$F$29))))</x:f>
        <x:v>0.811956588305103</x:v>
      </x:c>
      <x:c r="I6" s="78" t="n">
        <x:f>MIN(Parametri!$C$82,Calcul_Model!$B$73+IF(AND(A6="Total",B6="Under",C6&lt;=4.5,Calcul_Model!$B$35&gt;=Parametri!$C$70),Parametri!$C$76,0)+IF(AND(A6="Total",B6="Under",C6=4.5,Calcul_Model!$B$89&gt;=Parametri!$C$91),Parametri!$C$95,0)+IF(AND(A6="Total",B6="Under",C6=5.5,Calcul_Model!$B$90&gt;=Parametri!$C$93),Parametri!$C$95,0)+IF(AND(A6="Total",B6="Over",C6=2.5),LowCard_Secondary_v5!$B$15,0))</x:f>
        <x:v>0.020080379978078187</x:v>
      </x:c>
      <x:c r="J6" s="78">
        <x:f t="shared" si="2"/>
        <x:v>0.79187620832702477</x:v>
      </x:c>
      <x:c r="K6" s="79">
        <x:f t="shared" si="3"/>
        <x:v>1.2628236452673236</x:v>
      </x:c>
      <x:c r="L6" s="78">
        <x:f t="shared" si="4"/>
        <x:v>0.15462130636624039</x:v>
      </x:c>
      <x:c r="M6" s="78" t="str">
        <x:f t="shared" si="5"/>
      </x:c>
      <x:c r="N6" s="79" t="n">
        <x:f>IF(A6="Total",IF(B6="Over",Calcul_Model!$D$51-C6,C6-Calcul_Model!$D$51),IF(A6="Gazde",IF(B6="Over",Calcul_Model!$B$51-C6,C6-Calcul_Model!$B$51),IF(B6="Over",Calcul_Model!$C$51-C6,C6-Calcul_Model!$C$51)))</x:f>
        <x:v>2.123960983357235</x:v>
      </x:c>
      <x:c r="O6" s="80" t="n">
        <x:f>Calcul_Model!$B$65</x:f>
        <x:v>91</x:v>
      </x:c>
      <x:c r="P6" s="75" t="str">
        <x:f>Calcul_Model!$B$85</x:f>
        <x:v>BET</x:v>
      </x:c>
      <x:c r="Q6" s="75" t="str">
        <x:v>INFORMATIV</x:v>
      </x:c>
      <x:c r="R6" s="75" t="n">
        <x:f t="shared" si="6"/>
        <x:v>0</x:v>
      </x:c>
      <x:c r="S6" s="81" t="str">
        <x:v>Neutilizat de motorul V3</x:v>
      </x:c>
    </x:row>
    <x:row r="7">
      <x:c r="A7" s="74" t="s">
        <x:v>501</x:v>
      </x:c>
      <x:c r="B7" s="75" t="s">
        <x:v>576</x:v>
      </x:c>
      <x:c r="C7" s="75">
        <x:v>3.5</x:v>
      </x:c>
      <x:c r="D7" s="76">
        <x:v>2.6</x:v>
      </x:c>
      <x:c r="E7" s="77">
        <x:v>1.48</x:v>
      </x:c>
      <x:c r="F7" s="78">
        <x:f t="shared" si="0"/>
        <x:v>0.38461538461538458</x:v>
      </x:c>
      <x:c r="G7" s="78">
        <x:f t="shared" si="1"/>
        <x:v>0.36274509803921567</x:v>
      </x:c>
      <x:c r="H7" s="78" t="n">
        <x:f>IF(A7="Total",IF(B7="Over",1-SUMIF(Distributie!$A$4:$A$29,"&lt;="&amp;INT(C7),Distributie!$B$4:$B$29),SUMIF(Distributie!$A$4:$A$29,"&lt;="&amp;INT(C7),Distributie!$B$4:$B$29)),IF(A7="Gazde",IF(B7="Over",1-SUMIF(Distributie!$A$4:$A$29,"&lt;="&amp;INT(C7),Distributie!$D$4:$D$29),SUMIF(Distributie!$A$4:$A$29,"&lt;="&amp;INT(C7),Distributie!$D$4:$D$29)),IF(B7="Over",1-SUMIF(Distributie!$A$4:$A$29,"&lt;="&amp;INT(C7),Distributie!$F$4:$F$29),SUMIF(Distributie!$A$4:$A$29,"&lt;="&amp;INT(C7),Distributie!$F$4:$F$29))))</x:f>
        <x:v>0.18804341169489697</x:v>
      </x:c>
      <x:c r="I7" s="78" t="n">
        <x:f>MIN(Parametri!$C$82,Calcul_Model!$B$73+IF(AND(A7="Total",B7="Under",C7&lt;=4.5,Calcul_Model!$B$35&gt;=Parametri!$C$70),Parametri!$C$76,0)+IF(AND(A7="Total",B7="Under",C7=4.5,Calcul_Model!$B$89&gt;=Parametri!$C$91),Parametri!$C$95,0)+IF(AND(A7="Total",B7="Under",C7=5.5,Calcul_Model!$B$90&gt;=Parametri!$C$93),Parametri!$C$95,0)+IF(AND(A7="Total",B7="Over",C7=2.5),LowCard_Secondary_v5!$B$15,0))</x:f>
        <x:v>0.020080379978078187</x:v>
      </x:c>
      <x:c r="J7" s="78">
        <x:f t="shared" si="2"/>
        <x:v>0.16796303171681878</x:v>
      </x:c>
      <x:c r="K7" s="79">
        <x:f t="shared" si="3"/>
        <x:v>5.9536910579583573</x:v>
      </x:c>
      <x:c r="L7" s="78">
        <x:f t="shared" si="4"/>
        <x:v>-0.19478206632239689</x:v>
      </x:c>
      <x:c r="M7" s="78" t="str">
        <x:f t="shared" si="5"/>
      </x:c>
      <x:c r="N7" s="79" t="n">
        <x:f>IF(A7="Total",IF(B7="Over",Calcul_Model!$D$51-C7,C7-Calcul_Model!$D$51),IF(A7="Gazde",IF(B7="Over",Calcul_Model!$B$51-C7,C7-Calcul_Model!$B$51),IF(B7="Over",Calcul_Model!$C$51-C7,C7-Calcul_Model!$C$51)))</x:f>
        <x:v>-2.123960983357235</x:v>
      </x:c>
      <x:c r="O7" s="80" t="n">
        <x:f>Calcul_Model!$B$65</x:f>
        <x:v>91</x:v>
      </x:c>
      <x:c r="P7" s="75" t="str">
        <x:f>Calcul_Model!$B$85</x:f>
        <x:v>BET</x:v>
      </x:c>
      <x:c r="Q7" s="75" t="str">
        <x:v>INFORMATIV</x:v>
      </x:c>
      <x:c r="R7" s="75" t="n">
        <x:f t="shared" si="6"/>
        <x:v>0</x:v>
      </x:c>
      <x:c r="S7" s="81" t="str">
        <x:v>Neutilizat de motorul V3</x:v>
      </x:c>
    </x:row>
    <x:row r="8">
      <x:c r="A8" s="74" t="s">
        <x:v>501</x:v>
      </x:c>
      <x:c r="B8" s="75" t="s">
        <x:v>575</x:v>
      </x:c>
      <x:c r="C8" s="75">
        <x:v>4.5</x:v>
      </x:c>
      <x:c r="D8" s="76">
        <x:v>1.85</x:v>
      </x:c>
      <x:c r="E8" s="77">
        <x:v>1.95</x:v>
      </x:c>
      <x:c r="F8" s="78">
        <x:f t="shared" si="0"/>
        <x:v>0.54054054054054046</x:v>
      </x:c>
      <x:c r="G8" s="78">
        <x:f t="shared" si="1"/>
        <x:v>0.51315789473684204</x:v>
      </x:c>
      <x:c r="H8" s="78" t="n">
        <x:f>IF(A8="Total",IF(B8="Over",1-SUMIF(Distributie!$A$4:$A$29,"&lt;="&amp;INT(C8),Distributie!$B$4:$B$29),SUMIF(Distributie!$A$4:$A$29,"&lt;="&amp;INT(C8),Distributie!$B$4:$B$29)),IF(A8="Gazde",IF(B8="Over",1-SUMIF(Distributie!$A$4:$A$29,"&lt;="&amp;INT(C8),Distributie!$D$4:$D$29),SUMIF(Distributie!$A$4:$A$29,"&lt;="&amp;INT(C8),Distributie!$D$4:$D$29)),IF(B8="Over",1-SUMIF(Distributie!$A$4:$A$29,"&lt;="&amp;INT(C8),Distributie!$F$4:$F$29),SUMIF(Distributie!$A$4:$A$29,"&lt;="&amp;INT(C8),Distributie!$F$4:$F$29))))</x:f>
        <x:v>0.661468289387197</x:v>
      </x:c>
      <x:c r="I8" s="78" t="n">
        <x:f>MIN(Parametri!$C$82,Calcul_Model!$B$73+IF(AND(A8="Total",B8="Under",C8&lt;=4.5,Calcul_Model!$B$35&gt;=Parametri!$C$70),Parametri!$C$76,0)+IF(AND(A8="Total",B8="Under",C8=4.5,Calcul_Model!$B$89&gt;=Parametri!$C$91),Parametri!$C$95,0)+IF(AND(A8="Total",B8="Under",C8=5.5,Calcul_Model!$B$90&gt;=Parametri!$C$93),Parametri!$C$95,0)+IF(AND(A8="Total",B8="Over",C8=2.5),LowCard_Secondary_v5!$B$15,0))</x:f>
        <x:v>0.020080379978078187</x:v>
      </x:c>
      <x:c r="J8" s="78">
        <x:f t="shared" si="2"/>
        <x:v>0.64138790940911883</x:v>
      </x:c>
      <x:c r="K8" s="79">
        <x:f t="shared" si="3"/>
        <x:v>1.5591188816160473</x:v>
      </x:c>
      <x:c r="L8" s="78">
        <x:f t="shared" si="4"/>
        <x:v>0.12823001467227679</x:v>
      </x:c>
      <x:c r="M8" s="78" t="str">
        <x:f t="shared" si="5"/>
      </x:c>
      <x:c r="N8" s="79" t="n">
        <x:f>IF(A8="Total",IF(B8="Over",Calcul_Model!$D$51-C8,C8-Calcul_Model!$D$51),IF(A8="Gazde",IF(B8="Over",Calcul_Model!$B$51-C8,C8-Calcul_Model!$B$51),IF(B8="Over",Calcul_Model!$C$51-C8,C8-Calcul_Model!$C$51)))</x:f>
        <x:v>1.123960983357235</x:v>
      </x:c>
      <x:c r="O8" s="80" t="n">
        <x:f>Calcul_Model!$B$65</x:f>
        <x:v>91</x:v>
      </x:c>
      <x:c r="P8" s="75" t="str">
        <x:f>Calcul_Model!$B$85</x:f>
        <x:v>BET</x:v>
      </x:c>
      <x:c r="Q8" s="75" t="str">
        <x:v>INFORMATIV</x:v>
      </x:c>
      <x:c r="R8" s="75" t="n">
        <x:f t="shared" si="6"/>
        <x:v>0</x:v>
      </x:c>
      <x:c r="S8" s="81" t="str">
        <x:v>Neutilizat de motorul V3</x:v>
      </x:c>
    </x:row>
    <x:row r="9">
      <x:c r="A9" s="74" t="s">
        <x:v>501</x:v>
      </x:c>
      <x:c r="B9" s="75" t="s">
        <x:v>576</x:v>
      </x:c>
      <x:c r="C9" s="75">
        <x:v>4.5</x:v>
      </x:c>
      <x:c r="D9" s="76">
        <x:v>1.95</x:v>
      </x:c>
      <x:c r="E9" s="77">
        <x:v>1.85</x:v>
      </x:c>
      <x:c r="F9" s="78">
        <x:f t="shared" si="0"/>
        <x:v>0.51282051282051289</x:v>
      </x:c>
      <x:c r="G9" s="78">
        <x:f t="shared" si="1"/>
        <x:v>0.48684210526315796</x:v>
      </x:c>
      <x:c r="H9" s="78" t="n">
        <x:f>IF(A9="Total",IF(B9="Over",1-SUMIF(Distributie!$A$4:$A$29,"&lt;="&amp;INT(C9),Distributie!$B$4:$B$29),SUMIF(Distributie!$A$4:$A$29,"&lt;="&amp;INT(C9),Distributie!$B$4:$B$29)),IF(A9="Gazde",IF(B9="Over",1-SUMIF(Distributie!$A$4:$A$29,"&lt;="&amp;INT(C9),Distributie!$D$4:$D$29),SUMIF(Distributie!$A$4:$A$29,"&lt;="&amp;INT(C9),Distributie!$D$4:$D$29)),IF(B9="Over",1-SUMIF(Distributie!$A$4:$A$29,"&lt;="&amp;INT(C9),Distributie!$F$4:$F$29),SUMIF(Distributie!$A$4:$A$29,"&lt;="&amp;INT(C9),Distributie!$F$4:$F$29))))</x:f>
        <x:v>0.3385317106128029</x:v>
      </x:c>
      <x:c r="I9" s="78" t="n">
        <x:f>MIN(Parametri!$C$82,Calcul_Model!$B$73+IF(AND(A9="Total",B9="Under",C9&lt;=4.5,Calcul_Model!$B$35&gt;=Parametri!$C$70),Parametri!$C$76,0)+IF(AND(A9="Total",B9="Under",C9=4.5,Calcul_Model!$B$89&gt;=Parametri!$C$91),Parametri!$C$95,0)+IF(AND(A9="Total",B9="Under",C9=5.5,Calcul_Model!$B$90&gt;=Parametri!$C$93),Parametri!$C$95,0)+IF(AND(A9="Total",B9="Over",C9=2.5),LowCard_Secondary_v5!$B$15,0))</x:f>
        <x:v>0.04008037997807819</x:v>
      </x:c>
      <x:c r="J9" s="78">
        <x:f t="shared" si="2"/>
        <x:v>0.29845133063472473</x:v>
      </x:c>
      <x:c r="K9" s="79">
        <x:f t="shared" si="3"/>
        <x:v>3.3506300604298604</x:v>
      </x:c>
      <x:c r="L9" s="78">
        <x:f t="shared" si="4"/>
        <x:v>-0.18839077462843323</x:v>
      </x:c>
      <x:c r="M9" s="78" t="str">
        <x:f t="shared" si="5"/>
      </x:c>
      <x:c r="N9" s="79" t="n">
        <x:f>IF(A9="Total",IF(B9="Over",Calcul_Model!$D$51-C9,C9-Calcul_Model!$D$51),IF(A9="Gazde",IF(B9="Over",Calcul_Model!$B$51-C9,C9-Calcul_Model!$B$51),IF(B9="Over",Calcul_Model!$C$51-C9,C9-Calcul_Model!$C$51)))</x:f>
        <x:v>-1.123960983357235</x:v>
      </x:c>
      <x:c r="O9" s="80" t="n">
        <x:f>Calcul_Model!$B$65</x:f>
        <x:v>91</x:v>
      </x:c>
      <x:c r="P9" s="75" t="str">
        <x:f>Calcul_Model!$B$85</x:f>
        <x:v>BET</x:v>
      </x:c>
      <x:c r="Q9" s="75" t="str">
        <x:v>INFORMATIV</x:v>
      </x:c>
      <x:c r="R9" s="75" t="n">
        <x:f t="shared" si="6"/>
        <x:v>0</x:v>
      </x:c>
      <x:c r="S9" s="81" t="str">
        <x:v>Neutilizat de motorul V3</x:v>
      </x:c>
    </x:row>
    <x:row r="10">
      <x:c r="A10" s="74" t="s">
        <x:v>501</x:v>
      </x:c>
      <x:c r="B10" s="75" t="s">
        <x:v>575</x:v>
      </x:c>
      <x:c r="C10" s="75">
        <x:v>5.5</x:v>
      </x:c>
      <x:c r="D10" s="76">
        <x:v>2.4500000000000002</x:v>
      </x:c>
      <x:c r="E10" s="77">
        <x:v>1.55</x:v>
      </x:c>
      <x:c r="F10" s="78">
        <x:f t="shared" si="0"/>
        <x:v>0.4081632653061224</x:v>
      </x:c>
      <x:c r="G10" s="78">
        <x:f t="shared" si="1"/>
        <x:v>0.38750000000000001</x:v>
      </x:c>
      <x:c r="H10" s="78" t="n">
        <x:f>IF(A10="Total",IF(B10="Over",1-SUMIF(Distributie!$A$4:$A$29,"&lt;="&amp;INT(C10),Distributie!$B$4:$B$29),SUMIF(Distributie!$A$4:$A$29,"&lt;="&amp;INT(C10),Distributie!$B$4:$B$29)),IF(A10="Gazde",IF(B10="Over",1-SUMIF(Distributie!$A$4:$A$29,"&lt;="&amp;INT(C10),Distributie!$D$4:$D$29),SUMIF(Distributie!$A$4:$A$29,"&lt;="&amp;INT(C10),Distributie!$D$4:$D$29)),IF(B10="Over",1-SUMIF(Distributie!$A$4:$A$29,"&lt;="&amp;INT(C10),Distributie!$F$4:$F$29),SUMIF(Distributie!$A$4:$A$29,"&lt;="&amp;INT(C10),Distributie!$F$4:$F$29))))</x:f>
        <x:v>0.4922002250739763</x:v>
      </x:c>
      <x:c r="I10" s="78" t="n">
        <x:f>MIN(Parametri!$C$82,Calcul_Model!$B$73+IF(AND(A10="Total",B10="Under",C10&lt;=4.5,Calcul_Model!$B$35&gt;=Parametri!$C$70),Parametri!$C$76,0)+IF(AND(A10="Total",B10="Under",C10=4.5,Calcul_Model!$B$89&gt;=Parametri!$C$91),Parametri!$C$95,0)+IF(AND(A10="Total",B10="Under",C10=5.5,Calcul_Model!$B$90&gt;=Parametri!$C$93),Parametri!$C$95,0)+IF(AND(A10="Total",B10="Over",C10=2.5),LowCard_Secondary_v5!$B$15,0))</x:f>
        <x:v>0.020080379978078187</x:v>
      </x:c>
      <x:c r="J10" s="78">
        <x:f t="shared" si="2"/>
        <x:v>0.47211984509589811</x:v>
      </x:c>
      <x:c r="K10" s="79">
        <x:f t="shared" si="3"/>
        <x:v>2.1181062613389563</x:v>
      </x:c>
      <x:c r="L10" s="78">
        <x:f t="shared" si="4"/>
        <x:v>8.4619845095898094E-2</x:v>
      </x:c>
      <x:c r="M10" s="78" t="str">
        <x:f t="shared" si="5"/>
      </x:c>
      <x:c r="N10" s="79" t="n">
        <x:f>IF(A10="Total",IF(B10="Over",Calcul_Model!$D$51-C10,C10-Calcul_Model!$D$51),IF(A10="Gazde",IF(B10="Over",Calcul_Model!$B$51-C10,C10-Calcul_Model!$B$51),IF(B10="Over",Calcul_Model!$C$51-C10,C10-Calcul_Model!$C$51)))</x:f>
        <x:v>0.12396098335723504</x:v>
      </x:c>
      <x:c r="O10" s="80" t="n">
        <x:f>Calcul_Model!$B$65</x:f>
        <x:v>91</x:v>
      </x:c>
      <x:c r="P10" s="75" t="str">
        <x:f>Calcul_Model!$B$85</x:f>
        <x:v>BET</x:v>
      </x:c>
      <x:c r="Q10" s="75" t="str">
        <x:v>INFORMATIV</x:v>
      </x:c>
      <x:c r="R10" s="75" t="n">
        <x:f t="shared" si="6"/>
        <x:v>0</x:v>
      </x:c>
      <x:c r="S10" s="81" t="str">
        <x:v>Neutilizat de motorul V3</x:v>
      </x:c>
    </x:row>
    <x:row r="11">
      <x:c r="A11" s="74" t="s">
        <x:v>501</x:v>
      </x:c>
      <x:c r="B11" s="75" t="s">
        <x:v>576</x:v>
      </x:c>
      <x:c r="C11" s="75">
        <x:v>5.5</x:v>
      </x:c>
      <x:c r="D11" s="76">
        <x:v>1.55</x:v>
      </x:c>
      <x:c r="E11" s="77">
        <x:v>2.4500000000000002</x:v>
      </x:c>
      <x:c r="F11" s="78">
        <x:f t="shared" si="0"/>
        <x:v>0.64516129032258063</x:v>
      </x:c>
      <x:c r="G11" s="78">
        <x:f t="shared" si="1"/>
        <x:v>0.61250000000000004</x:v>
      </x:c>
      <x:c r="H11" s="78" t="n">
        <x:f>IF(A11="Total",IF(B11="Over",1-SUMIF(Distributie!$A$4:$A$29,"&lt;="&amp;INT(C11),Distributie!$B$4:$B$29),SUMIF(Distributie!$A$4:$A$29,"&lt;="&amp;INT(C11),Distributie!$B$4:$B$29)),IF(A11="Gazde",IF(B11="Over",1-SUMIF(Distributie!$A$4:$A$29,"&lt;="&amp;INT(C11),Distributie!$D$4:$D$29),SUMIF(Distributie!$A$4:$A$29,"&lt;="&amp;INT(C11),Distributie!$D$4:$D$29)),IF(B11="Over",1-SUMIF(Distributie!$A$4:$A$29,"&lt;="&amp;INT(C11),Distributie!$F$4:$F$29),SUMIF(Distributie!$A$4:$A$29,"&lt;="&amp;INT(C11),Distributie!$F$4:$F$29))))</x:f>
        <x:v>0.5077997749260237</x:v>
      </x:c>
      <x:c r="I11" s="78" t="n">
        <x:f>MIN(Parametri!$C$82,Calcul_Model!$B$73+IF(AND(A11="Total",B11="Under",C11&lt;=4.5,Calcul_Model!$B$35&gt;=Parametri!$C$70),Parametri!$C$76,0)+IF(AND(A11="Total",B11="Under",C11=4.5,Calcul_Model!$B$89&gt;=Parametri!$C$91),Parametri!$C$95,0)+IF(AND(A11="Total",B11="Under",C11=5.5,Calcul_Model!$B$90&gt;=Parametri!$C$93),Parametri!$C$95,0)+IF(AND(A11="Total",B11="Over",C11=2.5),LowCard_Secondary_v5!$B$15,0))</x:f>
        <x:v>0.04008037997807819</x:v>
      </x:c>
      <x:c r="J11" s="78">
        <x:f t="shared" si="2"/>
        <x:v>0.46771939494794551</x:v>
      </x:c>
      <x:c r="K11" s="79">
        <x:f t="shared" si="3"/>
        <x:v>2.1380340665823665</x:v>
      </x:c>
      <x:c r="L11" s="78">
        <x:f t="shared" si="4"/>
        <x:v>-0.14478060505205453</x:v>
      </x:c>
      <x:c r="M11" s="78" t="str">
        <x:f t="shared" si="5"/>
      </x:c>
      <x:c r="N11" s="79" t="n">
        <x:f>IF(A11="Total",IF(B11="Over",Calcul_Model!$D$51-C11,C11-Calcul_Model!$D$51),IF(A11="Gazde",IF(B11="Over",Calcul_Model!$B$51-C11,C11-Calcul_Model!$B$51),IF(B11="Over",Calcul_Model!$C$51-C11,C11-Calcul_Model!$C$51)))</x:f>
        <x:v>-0.12396098335723504</x:v>
      </x:c>
      <x:c r="O11" s="80" t="n">
        <x:f>Calcul_Model!$B$65</x:f>
        <x:v>91</x:v>
      </x:c>
      <x:c r="P11" s="75" t="str">
        <x:f>Calcul_Model!$B$85</x:f>
        <x:v>BET</x:v>
      </x:c>
      <x:c r="Q11" s="75" t="str">
        <x:v>INFORMATIV</x:v>
      </x:c>
      <x:c r="R11" s="75" t="n">
        <x:f t="shared" si="6"/>
        <x:v>0</x:v>
      </x:c>
      <x:c r="S11" s="81" t="str">
        <x:v>Neutilizat de motorul V3</x:v>
      </x:c>
    </x:row>
    <x:row r="12">
      <x:c r="A12" s="74" t="s">
        <x:v>501</x:v>
      </x:c>
      <x:c r="B12" s="75" t="s">
        <x:v>575</x:v>
      </x:c>
      <x:c r="C12" s="75">
        <x:v>6.5</x:v>
      </x:c>
      <x:c r="D12" s="76">
        <x:v>3.35</x:v>
      </x:c>
      <x:c r="E12" s="77">
        <x:v>1.32</x:v>
      </x:c>
      <x:c r="F12" s="78">
        <x:f t="shared" si="0"/>
        <x:v>0.29850746268656714</x:v>
      </x:c>
      <x:c r="G12" s="78">
        <x:f t="shared" si="1"/>
        <x:v>0.28265524625267663</x:v>
      </x:c>
      <x:c r="H12" s="78" t="n">
        <x:f>IF(A12="Total",IF(B12="Over",1-SUMIF(Distributie!$A$4:$A$29,"&lt;="&amp;INT(C12),Distributie!$B$4:$B$29),SUMIF(Distributie!$A$4:$A$29,"&lt;="&amp;INT(C12),Distributie!$B$4:$B$29)),IF(A12="Gazde",IF(B12="Over",1-SUMIF(Distributie!$A$4:$A$29,"&lt;="&amp;INT(C12),Distributie!$D$4:$D$29),SUMIF(Distributie!$A$4:$A$29,"&lt;="&amp;INT(C12),Distributie!$D$4:$D$29)),IF(B12="Over",1-SUMIF(Distributie!$A$4:$A$29,"&lt;="&amp;INT(C12),Distributie!$F$4:$F$29),SUMIF(Distributie!$A$4:$A$29,"&lt;="&amp;INT(C12),Distributie!$F$4:$F$29))))</x:f>
        <x:v>0.33354072683631686</x:v>
      </x:c>
      <x:c r="I12" s="78" t="n">
        <x:f>MIN(Parametri!$C$82,Calcul_Model!$B$73+IF(AND(A12="Total",B12="Under",C12&lt;=4.5,Calcul_Model!$B$35&gt;=Parametri!$C$70),Parametri!$C$76,0)+IF(AND(A12="Total",B12="Under",C12=4.5,Calcul_Model!$B$89&gt;=Parametri!$C$91),Parametri!$C$95,0)+IF(AND(A12="Total",B12="Under",C12=5.5,Calcul_Model!$B$90&gt;=Parametri!$C$93),Parametri!$C$95,0)+IF(AND(A12="Total",B12="Over",C12=2.5),LowCard_Secondary_v5!$B$15,0))</x:f>
        <x:v>0.020080379978078187</x:v>
      </x:c>
      <x:c r="J12" s="78">
        <x:f t="shared" si="2"/>
        <x:v>0.31346034685823865</x:v>
      </x:c>
      <x:c r="K12" s="79">
        <x:f t="shared" si="3"/>
        <x:v>3.1901961763994553</x:v>
      </x:c>
      <x:c r="L12" s="78">
        <x:f t="shared" si="4"/>
        <x:v>3.0805100605562019E-2</x:v>
      </x:c>
      <x:c r="M12" s="78" t="str">
        <x:f t="shared" si="5"/>
      </x:c>
      <x:c r="N12" s="79" t="n">
        <x:f>IF(A12="Total",IF(B12="Over",Calcul_Model!$D$51-C12,C12-Calcul_Model!$D$51),IF(A12="Gazde",IF(B12="Over",Calcul_Model!$B$51-C12,C12-Calcul_Model!$B$51),IF(B12="Over",Calcul_Model!$C$51-C12,C12-Calcul_Model!$C$51)))</x:f>
        <x:v>-0.876039016642765</x:v>
      </x:c>
      <x:c r="O12" s="80" t="n">
        <x:f>Calcul_Model!$B$65</x:f>
        <x:v>91</x:v>
      </x:c>
      <x:c r="P12" s="75" t="str">
        <x:f>Calcul_Model!$B$85</x:f>
        <x:v>BET</x:v>
      </x:c>
      <x:c r="Q12" s="75" t="str">
        <x:v>INFORMATIV</x:v>
      </x:c>
      <x:c r="R12" s="75" t="n">
        <x:f t="shared" si="6"/>
        <x:v>0</x:v>
      </x:c>
      <x:c r="S12" s="81" t="str">
        <x:v>Neutilizat de motorul V3</x:v>
      </x:c>
    </x:row>
    <x:row r="13">
      <x:c r="A13" s="74" t="s">
        <x:v>501</x:v>
      </x:c>
      <x:c r="B13" s="75" t="s">
        <x:v>576</x:v>
      </x:c>
      <x:c r="C13" s="75">
        <x:v>6.5</x:v>
      </x:c>
      <x:c r="D13" s="76">
        <x:v>1.32</x:v>
      </x:c>
      <x:c r="E13" s="77">
        <x:v>3.35</x:v>
      </x:c>
      <x:c r="F13" s="78">
        <x:f t="shared" si="0"/>
        <x:v>0.75757575757575757</x:v>
      </x:c>
      <x:c r="G13" s="78">
        <x:f t="shared" si="1"/>
        <x:v>0.71734475374732332</x:v>
      </x:c>
      <x:c r="H13" s="78" t="n">
        <x:f>IF(A13="Total",IF(B13="Over",1-SUMIF(Distributie!$A$4:$A$29,"&lt;="&amp;INT(C13),Distributie!$B$4:$B$29),SUMIF(Distributie!$A$4:$A$29,"&lt;="&amp;INT(C13),Distributie!$B$4:$B$29)),IF(A13="Gazde",IF(B13="Over",1-SUMIF(Distributie!$A$4:$A$29,"&lt;="&amp;INT(C13),Distributie!$D$4:$D$29),SUMIF(Distributie!$A$4:$A$29,"&lt;="&amp;INT(C13),Distributie!$D$4:$D$29)),IF(B13="Over",1-SUMIF(Distributie!$A$4:$A$29,"&lt;="&amp;INT(C13),Distributie!$F$4:$F$29),SUMIF(Distributie!$A$4:$A$29,"&lt;="&amp;INT(C13),Distributie!$F$4:$F$29))))</x:f>
        <x:v>0.6664592731636831</x:v>
      </x:c>
      <x:c r="I13" s="78" t="n">
        <x:f>MIN(Parametri!$C$82,Calcul_Model!$B$73+IF(AND(A13="Total",B13="Under",C13&lt;=4.5,Calcul_Model!$B$35&gt;=Parametri!$C$70),Parametri!$C$76,0)+IF(AND(A13="Total",B13="Under",C13=4.5,Calcul_Model!$B$89&gt;=Parametri!$C$91),Parametri!$C$95,0)+IF(AND(A13="Total",B13="Under",C13=5.5,Calcul_Model!$B$90&gt;=Parametri!$C$93),Parametri!$C$95,0)+IF(AND(A13="Total",B13="Over",C13=2.5),LowCard_Secondary_v5!$B$15,0))</x:f>
        <x:v>0.020080379978078187</x:v>
      </x:c>
      <x:c r="J13" s="78">
        <x:f t="shared" si="2"/>
        <x:v>0.64637889318560493</x:v>
      </x:c>
      <x:c r="K13" s="79">
        <x:f t="shared" si="3"/>
        <x:v>1.5470802195777364</x:v>
      </x:c>
      <x:c r="L13" s="78">
        <x:f t="shared" si="4"/>
        <x:v>-7.0965860561718386E-2</x:v>
      </x:c>
      <x:c r="M13" s="78" t="str">
        <x:f t="shared" si="5"/>
      </x:c>
      <x:c r="N13" s="79" t="n">
        <x:f>IF(A13="Total",IF(B13="Over",Calcul_Model!$D$51-C13,C13-Calcul_Model!$D$51),IF(A13="Gazde",IF(B13="Over",Calcul_Model!$B$51-C13,C13-Calcul_Model!$B$51),IF(B13="Over",Calcul_Model!$C$51-C13,C13-Calcul_Model!$C$51)))</x:f>
        <x:v>0.876039016642765</x:v>
      </x:c>
      <x:c r="O13" s="80" t="n">
        <x:f>Calcul_Model!$B$65</x:f>
        <x:v>91</x:v>
      </x:c>
      <x:c r="P13" s="75" t="str">
        <x:f>Calcul_Model!$B$85</x:f>
        <x:v>BET</x:v>
      </x:c>
      <x:c r="Q13" s="75" t="str">
        <x:v>INFORMATIV</x:v>
      </x:c>
      <x:c r="R13" s="75" t="n">
        <x:f t="shared" si="6"/>
        <x:v>0</x:v>
      </x:c>
      <x:c r="S13" s="81" t="str">
        <x:v>Neutilizat de motorul V3</x:v>
      </x:c>
    </x:row>
    <x:row r="14">
      <x:c r="A14" s="74" t="s">
        <x:v>501</x:v>
      </x:c>
      <x:c r="B14" s="75" t="s">
        <x:v>575</x:v>
      </x:c>
      <x:c r="C14" s="75">
        <x:v>7.5</x:v>
      </x:c>
      <x:c r="D14" s="76">
        <x:v>4.75</x:v>
      </x:c>
      <x:c r="E14" s="77">
        <x:v>1.18</x:v>
      </x:c>
      <x:c r="F14" s="78">
        <x:f t="shared" si="0"/>
        <x:v>0.21052631578947367</x:v>
      </x:c>
      <x:c r="G14" s="78">
        <x:f t="shared" si="1"/>
        <x:v>0.19898819561551429</x:v>
      </x:c>
      <x:c r="H14" s="78" t="n">
        <x:f>IF(A14="Total",IF(B14="Over",1-SUMIF(Distributie!$A$4:$A$29,"&lt;="&amp;INT(C14),Distributie!$B$4:$B$29),SUMIF(Distributie!$A$4:$A$29,"&lt;="&amp;INT(C14),Distributie!$B$4:$B$29)),IF(A14="Gazde",IF(B14="Over",1-SUMIF(Distributie!$A$4:$A$29,"&lt;="&amp;INT(C14),Distributie!$D$4:$D$29),SUMIF(Distributie!$A$4:$A$29,"&lt;="&amp;INT(C14),Distributie!$D$4:$D$29)),IF(B14="Over",1-SUMIF(Distributie!$A$4:$A$29,"&lt;="&amp;INT(C14),Distributie!$F$4:$F$29),SUMIF(Distributie!$A$4:$A$29,"&lt;="&amp;INT(C14),Distributie!$F$4:$F$29))))</x:f>
        <x:v>0.20607003716094074</x:v>
      </x:c>
      <x:c r="I14" s="78" t="n">
        <x:f>MIN(Parametri!$C$82,Calcul_Model!$B$73+IF(AND(A14="Total",B14="Under",C14&lt;=4.5,Calcul_Model!$B$35&gt;=Parametri!$C$70),Parametri!$C$76,0)+IF(AND(A14="Total",B14="Under",C14=4.5,Calcul_Model!$B$89&gt;=Parametri!$C$91),Parametri!$C$95,0)+IF(AND(A14="Total",B14="Under",C14=5.5,Calcul_Model!$B$90&gt;=Parametri!$C$93),Parametri!$C$95,0)+IF(AND(A14="Total",B14="Over",C14=2.5),LowCard_Secondary_v5!$B$15,0))</x:f>
        <x:v>0.020080379978078187</x:v>
      </x:c>
      <x:c r="J14" s="78">
        <x:f t="shared" si="2"/>
        <x:v>0.18598965718286256</x:v>
      </x:c>
      <x:c r="K14" s="79">
        <x:f t="shared" si="3"/>
        <x:v>5.3766430625591903</x:v>
      </x:c>
      <x:c r="L14" s="78">
        <x:f t="shared" si="4"/>
        <x:v>-1.2998538432651724E-2</x:v>
      </x:c>
      <x:c r="M14" s="78" t="str">
        <x:f t="shared" si="5"/>
      </x:c>
      <x:c r="N14" s="79" t="n">
        <x:f>IF(A14="Total",IF(B14="Over",Calcul_Model!$D$51-C14,C14-Calcul_Model!$D$51),IF(A14="Gazde",IF(B14="Over",Calcul_Model!$B$51-C14,C14-Calcul_Model!$B$51),IF(B14="Over",Calcul_Model!$C$51-C14,C14-Calcul_Model!$C$51)))</x:f>
        <x:v>-1.876039016642765</x:v>
      </x:c>
      <x:c r="O14" s="80" t="n">
        <x:f>Calcul_Model!$B$65</x:f>
        <x:v>91</x:v>
      </x:c>
      <x:c r="P14" s="75" t="str">
        <x:f>Calcul_Model!$B$85</x:f>
        <x:v>BET</x:v>
      </x:c>
      <x:c r="Q14" s="75" t="str">
        <x:v>INFORMATIV</x:v>
      </x:c>
      <x:c r="R14" s="75" t="n">
        <x:f t="shared" si="6"/>
        <x:v>0</x:v>
      </x:c>
      <x:c r="S14" s="81" t="str">
        <x:v>Neutilizat de motorul V3</x:v>
      </x:c>
    </x:row>
    <x:row r="15">
      <x:c r="A15" s="74" t="s">
        <x:v>501</x:v>
      </x:c>
      <x:c r="B15" s="75" t="s">
        <x:v>576</x:v>
      </x:c>
      <x:c r="C15" s="75">
        <x:v>7.5</x:v>
      </x:c>
      <x:c r="D15" s="76">
        <x:v>1.18</x:v>
      </x:c>
      <x:c r="E15" s="77">
        <x:v>4.75</x:v>
      </x:c>
      <x:c r="F15" s="78">
        <x:f t="shared" si="0"/>
        <x:v>0.84745762711864414</x:v>
      </x:c>
      <x:c r="G15" s="78">
        <x:f t="shared" si="1"/>
        <x:v>0.8010118043844856</x:v>
      </x:c>
      <x:c r="H15" s="78" t="n">
        <x:f>IF(A15="Total",IF(B15="Over",1-SUMIF(Distributie!$A$4:$A$29,"&lt;="&amp;INT(C15),Distributie!$B$4:$B$29),SUMIF(Distributie!$A$4:$A$29,"&lt;="&amp;INT(C15),Distributie!$B$4:$B$29)),IF(A15="Gazde",IF(B15="Over",1-SUMIF(Distributie!$A$4:$A$29,"&lt;="&amp;INT(C15),Distributie!$D$4:$D$29),SUMIF(Distributie!$A$4:$A$29,"&lt;="&amp;INT(C15),Distributie!$D$4:$D$29)),IF(B15="Over",1-SUMIF(Distributie!$A$4:$A$29,"&lt;="&amp;INT(C15),Distributie!$F$4:$F$29),SUMIF(Distributie!$A$4:$A$29,"&lt;="&amp;INT(C15),Distributie!$F$4:$F$29))))</x:f>
        <x:v>0.7939299628390593</x:v>
      </x:c>
      <x:c r="I15" s="78" t="n">
        <x:f>MIN(Parametri!$C$82,Calcul_Model!$B$73+IF(AND(A15="Total",B15="Under",C15&lt;=4.5,Calcul_Model!$B$35&gt;=Parametri!$C$70),Parametri!$C$76,0)+IF(AND(A15="Total",B15="Under",C15=4.5,Calcul_Model!$B$89&gt;=Parametri!$C$91),Parametri!$C$95,0)+IF(AND(A15="Total",B15="Under",C15=5.5,Calcul_Model!$B$90&gt;=Parametri!$C$93),Parametri!$C$95,0)+IF(AND(A15="Total",B15="Over",C15=2.5),LowCard_Secondary_v5!$B$15,0))</x:f>
        <x:v>0.020080379978078187</x:v>
      </x:c>
      <x:c r="J15" s="78">
        <x:f t="shared" si="2"/>
        <x:v>0.77384958286098104</x:v>
      </x:c>
      <x:c r="K15" s="79">
        <x:f t="shared" si="3"/>
        <x:v>1.2922407947845931</x:v>
      </x:c>
      <x:c r="L15" s="78">
        <x:f t="shared" si="4"/>
        <x:v>-2.7162221523504559E-2</x:v>
      </x:c>
      <x:c r="M15" s="78" t="str">
        <x:f t="shared" si="5"/>
      </x:c>
      <x:c r="N15" s="79" t="n">
        <x:f>IF(A15="Total",IF(B15="Over",Calcul_Model!$D$51-C15,C15-Calcul_Model!$D$51),IF(A15="Gazde",IF(B15="Over",Calcul_Model!$B$51-C15,C15-Calcul_Model!$B$51),IF(B15="Over",Calcul_Model!$C$51-C15,C15-Calcul_Model!$C$51)))</x:f>
        <x:v>1.876039016642765</x:v>
      </x:c>
      <x:c r="O15" s="80" t="n">
        <x:f>Calcul_Model!$B$65</x:f>
        <x:v>91</x:v>
      </x:c>
      <x:c r="P15" s="75" t="str">
        <x:f>Calcul_Model!$B$85</x:f>
        <x:v>BET</x:v>
      </x:c>
      <x:c r="Q15" s="75" t="str">
        <x:v>INFORMATIV</x:v>
      </x:c>
      <x:c r="R15" s="75" t="n">
        <x:f t="shared" si="6"/>
        <x:v>0</x:v>
      </x:c>
      <x:c r="S15" s="81" t="str">
        <x:v>Neutilizat de motorul V3</x:v>
      </x:c>
    </x:row>
    <x:row r="16">
      <x:c r="A16" s="74" t="s">
        <x:v>501</x:v>
      </x:c>
      <x:c r="B16" s="75" t="s">
        <x:v>575</x:v>
      </x:c>
      <x:c r="C16" s="75">
        <x:v>8.5</x:v>
      </x:c>
      <x:c r="D16" s="76">
        <x:v>6.5</x:v>
      </x:c>
      <x:c r="E16" s="77">
        <x:v>1.1000000000000001</x:v>
      </x:c>
      <x:c r="F16" s="78">
        <x:f t="shared" si="0"/>
        <x:v>0.15384615384615385</x:v>
      </x:c>
      <x:c r="G16" s="78">
        <x:f t="shared" si="1"/>
        <x:v>0.14473684210526316</x:v>
      </x:c>
      <x:c r="H16" s="78" t="n">
        <x:f>IF(A16="Total",IF(B16="Over",1-SUMIF(Distributie!$A$4:$A$29,"&lt;="&amp;INT(C16),Distributie!$B$4:$B$29),SUMIF(Distributie!$A$4:$A$29,"&lt;="&amp;INT(C16),Distributie!$B$4:$B$29)),IF(A16="Gazde",IF(B16="Over",1-SUMIF(Distributie!$A$4:$A$29,"&lt;="&amp;INT(C16),Distributie!$D$4:$D$29),SUMIF(Distributie!$A$4:$A$29,"&lt;="&amp;INT(C16),Distributie!$D$4:$D$29)),IF(B16="Over",1-SUMIF(Distributie!$A$4:$A$29,"&lt;="&amp;INT(C16),Distributie!$F$4:$F$29),SUMIF(Distributie!$A$4:$A$29,"&lt;="&amp;INT(C16),Distributie!$F$4:$F$29))))</x:f>
        <x:v>0.11645876400394661</x:v>
      </x:c>
      <x:c r="I16" s="78" t="n">
        <x:f>MIN(Parametri!$C$82,Calcul_Model!$B$73+IF(AND(A16="Total",B16="Under",C16&lt;=4.5,Calcul_Model!$B$35&gt;=Parametri!$C$70),Parametri!$C$76,0)+IF(AND(A16="Total",B16="Under",C16=4.5,Calcul_Model!$B$89&gt;=Parametri!$C$91),Parametri!$C$95,0)+IF(AND(A16="Total",B16="Under",C16=5.5,Calcul_Model!$B$90&gt;=Parametri!$C$93),Parametri!$C$95,0)+IF(AND(A16="Total",B16="Over",C16=2.5),LowCard_Secondary_v5!$B$15,0))</x:f>
        <x:v>0.020080379978078187</x:v>
      </x:c>
      <x:c r="J16" s="78">
        <x:f t="shared" si="2"/>
        <x:v>9.637838402586843E-2</x:v>
      </x:c>
      <x:c r="K16" s="79">
        <x:f t="shared" si="3"/>
        <x:v>10.37577056419202</x:v>
      </x:c>
      <x:c r="L16" s="78">
        <x:f t="shared" si="4"/>
        <x:v>-4.8358458079394734E-2</x:v>
      </x:c>
      <x:c r="M16" s="78" t="str">
        <x:f t="shared" si="5"/>
      </x:c>
      <x:c r="N16" s="79" t="n">
        <x:f>IF(A16="Total",IF(B16="Over",Calcul_Model!$D$51-C16,C16-Calcul_Model!$D$51),IF(A16="Gazde",IF(B16="Over",Calcul_Model!$B$51-C16,C16-Calcul_Model!$B$51),IF(B16="Over",Calcul_Model!$C$51-C16,C16-Calcul_Model!$C$51)))</x:f>
        <x:v>-2.876039016642765</x:v>
      </x:c>
      <x:c r="O16" s="80" t="n">
        <x:f>Calcul_Model!$B$65</x:f>
        <x:v>91</x:v>
      </x:c>
      <x:c r="P16" s="75" t="str">
        <x:f>Calcul_Model!$B$85</x:f>
        <x:v>BET</x:v>
      </x:c>
      <x:c r="Q16" s="75" t="str">
        <x:v>INFORMATIV</x:v>
      </x:c>
      <x:c r="R16" s="75" t="n">
        <x:f t="shared" si="6"/>
        <x:v>0</x:v>
      </x:c>
      <x:c r="S16" s="81" t="str">
        <x:v>Neutilizat de motorul V3</x:v>
      </x:c>
    </x:row>
    <x:row r="17">
      <x:c r="A17" s="74" t="s">
        <x:v>501</x:v>
      </x:c>
      <x:c r="B17" s="75" t="s">
        <x:v>576</x:v>
      </x:c>
      <x:c r="C17" s="75">
        <x:v>8.5</x:v>
      </x:c>
      <x:c r="D17" s="76">
        <x:v>1.1000000000000001</x:v>
      </x:c>
      <x:c r="E17" s="77">
        <x:v>6.5</x:v>
      </x:c>
      <x:c r="F17" s="78">
        <x:f t="shared" si="0"/>
        <x:v>0.90909090909090906</x:v>
      </x:c>
      <x:c r="G17" s="78">
        <x:f t="shared" si="1"/>
        <x:v>0.85526315789473684</x:v>
      </x:c>
      <x:c r="H17" s="78" t="n">
        <x:f>IF(A17="Total",IF(B17="Over",1-SUMIF(Distributie!$A$4:$A$29,"&lt;="&amp;INT(C17),Distributie!$B$4:$B$29),SUMIF(Distributie!$A$4:$A$29,"&lt;="&amp;INT(C17),Distributie!$B$4:$B$29)),IF(A17="Gazde",IF(B17="Over",1-SUMIF(Distributie!$A$4:$A$29,"&lt;="&amp;INT(C17),Distributie!$D$4:$D$29),SUMIF(Distributie!$A$4:$A$29,"&lt;="&amp;INT(C17),Distributie!$D$4:$D$29)),IF(B17="Over",1-SUMIF(Distributie!$A$4:$A$29,"&lt;="&amp;INT(C17),Distributie!$F$4:$F$29),SUMIF(Distributie!$A$4:$A$29,"&lt;="&amp;INT(C17),Distributie!$F$4:$F$29))))</x:f>
        <x:v>0.8835412359960534</x:v>
      </x:c>
      <x:c r="I17" s="78" t="n">
        <x:f>MIN(Parametri!$C$82,Calcul_Model!$B$73+IF(AND(A17="Total",B17="Under",C17&lt;=4.5,Calcul_Model!$B$35&gt;=Parametri!$C$70),Parametri!$C$76,0)+IF(AND(A17="Total",B17="Under",C17=4.5,Calcul_Model!$B$89&gt;=Parametri!$C$91),Parametri!$C$95,0)+IF(AND(A17="Total",B17="Under",C17=5.5,Calcul_Model!$B$90&gt;=Parametri!$C$93),Parametri!$C$95,0)+IF(AND(A17="Total",B17="Over",C17=2.5),LowCard_Secondary_v5!$B$15,0))</x:f>
        <x:v>0.020080379978078187</x:v>
      </x:c>
      <x:c r="J17" s="78">
        <x:f t="shared" si="2"/>
        <x:v>0.86346085601797518</x:v>
      </x:c>
      <x:c r="K17" s="79">
        <x:f t="shared" si="3"/>
        <x:v>1.1581300912837007</x:v>
      </x:c>
      <x:c r="L17" s="78">
        <x:f t="shared" si="4"/>
        <x:v>8.1976981232383395E-3</x:v>
      </x:c>
      <x:c r="M17" s="78" t="str">
        <x:f t="shared" si="5"/>
      </x:c>
      <x:c r="N17" s="79" t="n">
        <x:f>IF(A17="Total",IF(B17="Over",Calcul_Model!$D$51-C17,C17-Calcul_Model!$D$51),IF(A17="Gazde",IF(B17="Over",Calcul_Model!$B$51-C17,C17-Calcul_Model!$B$51),IF(B17="Over",Calcul_Model!$C$51-C17,C17-Calcul_Model!$C$51)))</x:f>
        <x:v>2.876039016642765</x:v>
      </x:c>
      <x:c r="O17" s="80" t="n">
        <x:f>Calcul_Model!$B$65</x:f>
        <x:v>91</x:v>
      </x:c>
      <x:c r="P17" s="75" t="str">
        <x:f>Calcul_Model!$B$85</x:f>
        <x:v>BET</x:v>
      </x:c>
      <x:c r="Q17" s="75" t="str">
        <x:v>INFORMATIV</x:v>
      </x:c>
      <x:c r="R17" s="75" t="n">
        <x:f t="shared" si="6"/>
        <x:v>0</x:v>
      </x:c>
      <x:c r="S17" s="81" t="str">
        <x:v>Neutilizat de motorul V3</x:v>
      </x:c>
    </x:row>
    <x:row r="18">
      <x:c r="A18" s="74" t="s">
        <x:v>45</x:v>
      </x:c>
      <x:c r="B18" s="75" t="s">
        <x:v>575</x:v>
      </x:c>
      <x:c r="C18" s="75">
        <x:v>0.5</x:v>
      </x:c>
      <x:c r="D18" s="76">
        <x:v>1.1000000000000001</x:v>
      </x:c>
      <x:c r="E18" s="77">
        <x:v>7</x:v>
      </x:c>
      <x:c r="F18" s="78">
        <x:f t="shared" si="0"/>
        <x:v>0.90909090909090906</x:v>
      </x:c>
      <x:c r="G18" s="78">
        <x:f t="shared" si="1"/>
        <x:v>0.86419753086419748</x:v>
      </x:c>
      <x:c r="H18" s="78" t="n">
        <x:f>IF(A18="Total",IF(B18="Over",1-SUMIF(Distributie!$A$4:$A$29,"&lt;="&amp;INT(C18),Distributie!$B$4:$B$29),SUMIF(Distributie!$A$4:$A$29,"&lt;="&amp;INT(C18),Distributie!$B$4:$B$29)),IF(A18="Gazde",IF(B18="Over",1-SUMIF(Distributie!$A$4:$A$29,"&lt;="&amp;INT(C18),Distributie!$D$4:$D$29),SUMIF(Distributie!$A$4:$A$29,"&lt;="&amp;INT(C18),Distributie!$D$4:$D$29)),IF(B18="Over",1-SUMIF(Distributie!$A$4:$A$29,"&lt;="&amp;INT(C18),Distributie!$F$4:$F$29),SUMIF(Distributie!$A$4:$A$29,"&lt;="&amp;INT(C18),Distributie!$F$4:$F$29))))</x:f>
        <x:v>0.9047976902180292</x:v>
      </x:c>
      <x:c r="I18" s="78" t="n">
        <x:f>MIN(Parametri!$C$82,Calcul_Model!$B$73+IF(AND(A18="Total",B18="Under",C18&lt;=4.5,Calcul_Model!$B$35&gt;=Parametri!$C$70),Parametri!$C$76,0)+IF(AND(A18="Total",B18="Under",C18=4.5,Calcul_Model!$B$89&gt;=Parametri!$C$91),Parametri!$C$95,0)+IF(AND(A18="Total",B18="Under",C18=5.5,Calcul_Model!$B$90&gt;=Parametri!$C$93),Parametri!$C$95,0)+IF(AND(A18="Total",B18="Over",C18=2.5),LowCard_Secondary_v5!$B$15,0))</x:f>
        <x:v>0.020080379978078187</x:v>
      </x:c>
      <x:c r="J18" s="78">
        <x:f t="shared" si="2"/>
        <x:v>0.88471731023995104</x:v>
      </x:c>
      <x:c r="K18" s="79">
        <x:f t="shared" si="3"/>
        <x:v>1.1303045486120107</x:v>
      </x:c>
      <x:c r="L18" s="78">
        <x:f t="shared" si="4"/>
        <x:v>2.0519779375753555E-2</x:v>
      </x:c>
      <x:c r="M18" s="78" t="str">
        <x:f t="shared" si="5"/>
      </x:c>
      <x:c r="N18" s="79" t="n">
        <x:f>IF(A18="Total",IF(B18="Over",Calcul_Model!$D$51-C18,C18-Calcul_Model!$D$51),IF(A18="Gazde",IF(B18="Over",Calcul_Model!$B$51-C18,C18-Calcul_Model!$B$51),IF(B18="Over",Calcul_Model!$C$51-C18,C18-Calcul_Model!$C$51)))</x:f>
        <x:v>1.8517510750634858</x:v>
      </x:c>
      <x:c r="O18" s="80" t="n">
        <x:f>Calcul_Model!$B$65</x:f>
        <x:v>91</x:v>
      </x:c>
      <x:c r="P18" s="75" t="str">
        <x:f>Calcul_Model!$B$85</x:f>
        <x:v>BET</x:v>
      </x:c>
      <x:c r="Q18" s="75" t="str">
        <x:v>INFORMATIV</x:v>
      </x:c>
      <x:c r="R18" s="75" t="n">
        <x:f t="shared" si="6"/>
        <x:v>0</x:v>
      </x:c>
      <x:c r="S18" s="81" t="str">
        <x:v>Neutilizat de motorul V3</x:v>
      </x:c>
    </x:row>
    <x:row r="19">
      <x:c r="A19" s="74" t="s">
        <x:v>45</x:v>
      </x:c>
      <x:c r="B19" s="75" t="s">
        <x:v>576</x:v>
      </x:c>
      <x:c r="C19" s="75">
        <x:v>0.5</x:v>
      </x:c>
      <x:c r="D19" s="76">
        <x:v>7</x:v>
      </x:c>
      <x:c r="E19" s="77">
        <x:v>1.1000000000000001</x:v>
      </x:c>
      <x:c r="F19" s="78">
        <x:f t="shared" si="0"/>
        <x:v>0.14285714285714285</x:v>
      </x:c>
      <x:c r="G19" s="78">
        <x:f t="shared" si="1"/>
        <x:v>0.13580246913580246</x:v>
      </x:c>
      <x:c r="H19" s="78" t="n">
        <x:f>IF(A19="Total",IF(B19="Over",1-SUMIF(Distributie!$A$4:$A$29,"&lt;="&amp;INT(C19),Distributie!$B$4:$B$29),SUMIF(Distributie!$A$4:$A$29,"&lt;="&amp;INT(C19),Distributie!$B$4:$B$29)),IF(A19="Gazde",IF(B19="Over",1-SUMIF(Distributie!$A$4:$A$29,"&lt;="&amp;INT(C19),Distributie!$D$4:$D$29),SUMIF(Distributie!$A$4:$A$29,"&lt;="&amp;INT(C19),Distributie!$D$4:$D$29)),IF(B19="Over",1-SUMIF(Distributie!$A$4:$A$29,"&lt;="&amp;INT(C19),Distributie!$F$4:$F$29),SUMIF(Distributie!$A$4:$A$29,"&lt;="&amp;INT(C19),Distributie!$F$4:$F$29))))</x:f>
        <x:v>0.09520230978197076</x:v>
      </x:c>
      <x:c r="I19" s="78" t="n">
        <x:f>MIN(Parametri!$C$82,Calcul_Model!$B$73+IF(AND(A19="Total",B19="Under",C19&lt;=4.5,Calcul_Model!$B$35&gt;=Parametri!$C$70),Parametri!$C$76,0)+IF(AND(A19="Total",B19="Under",C19=4.5,Calcul_Model!$B$89&gt;=Parametri!$C$91),Parametri!$C$95,0)+IF(AND(A19="Total",B19="Under",C19=5.5,Calcul_Model!$B$90&gt;=Parametri!$C$93),Parametri!$C$95,0)+IF(AND(A19="Total",B19="Over",C19=2.5),LowCard_Secondary_v5!$B$15,0))</x:f>
        <x:v>0.020080379978078187</x:v>
      </x:c>
      <x:c r="J19" s="78">
        <x:f t="shared" si="2"/>
        <x:v>7.5121929803892581E-2</x:v>
      </x:c>
      <x:c r="K19" s="79">
        <x:f t="shared" si="3"/>
        <x:v>13.311692106559583</x:v>
      </x:c>
      <x:c r="L19" s="78">
        <x:f t="shared" si="4"/>
        <x:v>-6.068053933190988E-2</x:v>
      </x:c>
      <x:c r="M19" s="78" t="str">
        <x:f t="shared" si="5"/>
      </x:c>
      <x:c r="N19" s="79" t="n">
        <x:f>IF(A19="Total",IF(B19="Over",Calcul_Model!$D$51-C19,C19-Calcul_Model!$D$51),IF(A19="Gazde",IF(B19="Over",Calcul_Model!$B$51-C19,C19-Calcul_Model!$B$51),IF(B19="Over",Calcul_Model!$C$51-C19,C19-Calcul_Model!$C$51)))</x:f>
        <x:v>-1.8517510750634858</x:v>
      </x:c>
      <x:c r="O19" s="80" t="n">
        <x:f>Calcul_Model!$B$65</x:f>
        <x:v>91</x:v>
      </x:c>
      <x:c r="P19" s="75" t="str">
        <x:f>Calcul_Model!$B$85</x:f>
        <x:v>BET</x:v>
      </x:c>
      <x:c r="Q19" s="75" t="str">
        <x:v>INFORMATIV</x:v>
      </x:c>
      <x:c r="R19" s="75" t="n">
        <x:f t="shared" si="6"/>
        <x:v>0</x:v>
      </x:c>
      <x:c r="S19" s="81" t="str">
        <x:v>Neutilizat de motorul V3</x:v>
      </x:c>
    </x:row>
    <x:row r="20">
      <x:c r="A20" s="74" t="s">
        <x:v>45</x:v>
      </x:c>
      <x:c r="B20" s="75" t="s">
        <x:v>575</x:v>
      </x:c>
      <x:c r="C20" s="75">
        <x:v>1.5</x:v>
      </x:c>
      <x:c r="D20" s="76">
        <x:v>1.55</x:v>
      </x:c>
      <x:c r="E20" s="77">
        <x:v>2.4</x:v>
      </x:c>
      <x:c r="F20" s="78">
        <x:f t="shared" si="0"/>
        <x:v>0.64516129032258063</x:v>
      </x:c>
      <x:c r="G20" s="78">
        <x:f t="shared" si="1"/>
        <x:v>0.60759493670886078</x:v>
      </x:c>
      <x:c r="H20" s="78" t="n">
        <x:f>IF(A20="Total",IF(B20="Over",1-SUMIF(Distributie!$A$4:$A$29,"&lt;="&amp;INT(C20),Distributie!$B$4:$B$29),SUMIF(Distributie!$A$4:$A$29,"&lt;="&amp;INT(C20),Distributie!$B$4:$B$29)),IF(A20="Gazde",IF(B20="Over",1-SUMIF(Distributie!$A$4:$A$29,"&lt;="&amp;INT(C20),Distributie!$D$4:$D$29),SUMIF(Distributie!$A$4:$A$29,"&lt;="&amp;INT(C20),Distributie!$D$4:$D$29)),IF(B20="Over",1-SUMIF(Distributie!$A$4:$A$29,"&lt;="&amp;INT(C20),Distributie!$F$4:$F$29),SUMIF(Distributie!$A$4:$A$29,"&lt;="&amp;INT(C20),Distributie!$F$4:$F$29))))</x:f>
        <x:v>0.6809055558397525</x:v>
      </x:c>
      <x:c r="I20" s="78" t="n">
        <x:f>MIN(Parametri!$C$82,Calcul_Model!$B$73+IF(AND(A20="Total",B20="Under",C20&lt;=4.5,Calcul_Model!$B$35&gt;=Parametri!$C$70),Parametri!$C$76,0)+IF(AND(A20="Total",B20="Under",C20=4.5,Calcul_Model!$B$89&gt;=Parametri!$C$91),Parametri!$C$95,0)+IF(AND(A20="Total",B20="Under",C20=5.5,Calcul_Model!$B$90&gt;=Parametri!$C$93),Parametri!$C$95,0)+IF(AND(A20="Total",B20="Over",C20=2.5),LowCard_Secondary_v5!$B$15,0))</x:f>
        <x:v>0.020080379978078187</x:v>
      </x:c>
      <x:c r="J20" s="78">
        <x:f t="shared" si="2"/>
        <x:v>0.66082517586167433</x:v>
      </x:c>
      <x:c r="K20" s="79">
        <x:f t="shared" si="3"/>
        <x:v>1.5132595375109055</x:v>
      </x:c>
      <x:c r="L20" s="78">
        <x:f t="shared" si="4"/>
        <x:v>5.3230239152813552E-2</x:v>
      </x:c>
      <x:c r="M20" s="78" t="str">
        <x:f t="shared" si="5"/>
      </x:c>
      <x:c r="N20" s="79" t="n">
        <x:f>IF(A20="Total",IF(B20="Over",Calcul_Model!$D$51-C20,C20-Calcul_Model!$D$51),IF(A20="Gazde",IF(B20="Over",Calcul_Model!$B$51-C20,C20-Calcul_Model!$B$51),IF(B20="Over",Calcul_Model!$C$51-C20,C20-Calcul_Model!$C$51)))</x:f>
        <x:v>0.8517510750634858</x:v>
      </x:c>
      <x:c r="O20" s="80" t="n">
        <x:f>Calcul_Model!$B$65</x:f>
        <x:v>91</x:v>
      </x:c>
      <x:c r="P20" s="75" t="str">
        <x:f>Calcul_Model!$B$85</x:f>
        <x:v>BET</x:v>
      </x:c>
      <x:c r="Q20" s="75" t="str">
        <x:v>INFORMATIV</x:v>
      </x:c>
      <x:c r="R20" s="75" t="n">
        <x:f t="shared" si="6"/>
        <x:v>0</x:v>
      </x:c>
      <x:c r="S20" s="81" t="str">
        <x:v>Neutilizat de motorul V3</x:v>
      </x:c>
    </x:row>
    <x:row r="21">
      <x:c r="A21" s="74" t="s">
        <x:v>45</x:v>
      </x:c>
      <x:c r="B21" s="75" t="s">
        <x:v>576</x:v>
      </x:c>
      <x:c r="C21" s="75">
        <x:v>1.5</x:v>
      </x:c>
      <x:c r="D21" s="76">
        <x:v>2.4</x:v>
      </x:c>
      <x:c r="E21" s="77">
        <x:v>1.55</x:v>
      </x:c>
      <x:c r="F21" s="78">
        <x:f t="shared" si="0"/>
        <x:v>0.41666666666666669</x:v>
      </x:c>
      <x:c r="G21" s="78">
        <x:f t="shared" si="1"/>
        <x:v>0.39240506329113928</x:v>
      </x:c>
      <x:c r="H21" s="78" t="n">
        <x:f>IF(A21="Total",IF(B21="Over",1-SUMIF(Distributie!$A$4:$A$29,"&lt;="&amp;INT(C21),Distributie!$B$4:$B$29),SUMIF(Distributie!$A$4:$A$29,"&lt;="&amp;INT(C21),Distributie!$B$4:$B$29)),IF(A21="Gazde",IF(B21="Over",1-SUMIF(Distributie!$A$4:$A$29,"&lt;="&amp;INT(C21),Distributie!$D$4:$D$29),SUMIF(Distributie!$A$4:$A$29,"&lt;="&amp;INT(C21),Distributie!$D$4:$D$29)),IF(B21="Over",1-SUMIF(Distributie!$A$4:$A$29,"&lt;="&amp;INT(C21),Distributie!$F$4:$F$29),SUMIF(Distributie!$A$4:$A$29,"&lt;="&amp;INT(C21),Distributie!$F$4:$F$29))))</x:f>
        <x:v>0.3190944441602475</x:v>
      </x:c>
      <x:c r="I21" s="78" t="n">
        <x:f>MIN(Parametri!$C$82,Calcul_Model!$B$73+IF(AND(A21="Total",B21="Under",C21&lt;=4.5,Calcul_Model!$B$35&gt;=Parametri!$C$70),Parametri!$C$76,0)+IF(AND(A21="Total",B21="Under",C21=4.5,Calcul_Model!$B$89&gt;=Parametri!$C$91),Parametri!$C$95,0)+IF(AND(A21="Total",B21="Under",C21=5.5,Calcul_Model!$B$90&gt;=Parametri!$C$93),Parametri!$C$95,0)+IF(AND(A21="Total",B21="Over",C21=2.5),LowCard_Secondary_v5!$B$15,0))</x:f>
        <x:v>0.020080379978078187</x:v>
      </x:c>
      <x:c r="J21" s="78">
        <x:f t="shared" si="2"/>
        <x:v>0.2990140641821693</x:v>
      </x:c>
      <x:c r="K21" s="79">
        <x:f t="shared" si="3"/>
        <x:v>3.3443242970362985</x:v>
      </x:c>
      <x:c r="L21" s="78">
        <x:f t="shared" si="4"/>
        <x:v>-9.3390999108969974E-2</x:v>
      </x:c>
      <x:c r="M21" s="78" t="str">
        <x:f t="shared" si="5"/>
      </x:c>
      <x:c r="N21" s="79" t="n">
        <x:f>IF(A21="Total",IF(B21="Over",Calcul_Model!$D$51-C21,C21-Calcul_Model!$D$51),IF(A21="Gazde",IF(B21="Over",Calcul_Model!$B$51-C21,C21-Calcul_Model!$B$51),IF(B21="Over",Calcul_Model!$C$51-C21,C21-Calcul_Model!$C$51)))</x:f>
        <x:v>-0.8517510750634858</x:v>
      </x:c>
      <x:c r="O21" s="80" t="n">
        <x:f>Calcul_Model!$B$65</x:f>
        <x:v>91</x:v>
      </x:c>
      <x:c r="P21" s="75" t="str">
        <x:f>Calcul_Model!$B$85</x:f>
        <x:v>BET</x:v>
      </x:c>
      <x:c r="Q21" s="75" t="str">
        <x:v>INFORMATIV</x:v>
      </x:c>
      <x:c r="R21" s="75" t="n">
        <x:f t="shared" si="6"/>
        <x:v>0</x:v>
      </x:c>
      <x:c r="S21" s="81" t="str">
        <x:v>Neutilizat de motorul V3</x:v>
      </x:c>
    </x:row>
    <x:row r="22">
      <x:c r="A22" s="74" t="s">
        <x:v>45</x:v>
      </x:c>
      <x:c r="B22" s="75" t="s">
        <x:v>575</x:v>
      </x:c>
      <x:c r="C22" s="75">
        <x:v>2.5</x:v>
      </x:c>
      <x:c r="D22" s="76">
        <x:v>2.5</x:v>
      </x:c>
      <x:c r="E22" s="77">
        <x:v>1.5</x:v>
      </x:c>
      <x:c r="F22" s="78">
        <x:f t="shared" si="0"/>
        <x:v>0.4</x:v>
      </x:c>
      <x:c r="G22" s="78">
        <x:f t="shared" si="1"/>
        <x:v>0.375</x:v>
      </x:c>
      <x:c r="H22" s="78" t="n">
        <x:f>IF(A22="Total",IF(B22="Over",1-SUMIF(Distributie!$A$4:$A$29,"&lt;="&amp;INT(C22),Distributie!$B$4:$B$29),SUMIF(Distributie!$A$4:$A$29,"&lt;="&amp;INT(C22),Distributie!$B$4:$B$29)),IF(A22="Gazde",IF(B22="Over",1-SUMIF(Distributie!$A$4:$A$29,"&lt;="&amp;INT(C22),Distributie!$D$4:$D$29),SUMIF(Distributie!$A$4:$A$29,"&lt;="&amp;INT(C22),Distributie!$D$4:$D$29)),IF(B22="Over",1-SUMIF(Distributie!$A$4:$A$29,"&lt;="&amp;INT(C22),Distributie!$F$4:$F$29),SUMIF(Distributie!$A$4:$A$29,"&lt;="&amp;INT(C22),Distributie!$F$4:$F$29))))</x:f>
        <x:v>0.4176362719785671</x:v>
      </x:c>
      <x:c r="I22" s="78" t="n">
        <x:f>MIN(Parametri!$C$82,Calcul_Model!$B$73+IF(AND(A22="Total",B22="Under",C22&lt;=4.5,Calcul_Model!$B$35&gt;=Parametri!$C$70),Parametri!$C$76,0)+IF(AND(A22="Total",B22="Under",C22=4.5,Calcul_Model!$B$89&gt;=Parametri!$C$91),Parametri!$C$95,0)+IF(AND(A22="Total",B22="Under",C22=5.5,Calcul_Model!$B$90&gt;=Parametri!$C$93),Parametri!$C$95,0)+IF(AND(A22="Total",B22="Over",C22=2.5),LowCard_Secondary_v5!$B$15,0))</x:f>
        <x:v>0.020080379978078187</x:v>
      </x:c>
      <x:c r="J22" s="78">
        <x:f t="shared" si="2"/>
        <x:v>0.39755589200048891</x:v>
      </x:c>
      <x:c r="K22" s="79">
        <x:f t="shared" si="3"/>
        <x:v>2.5153695873252717</x:v>
      </x:c>
      <x:c r="L22" s="78">
        <x:f t="shared" si="4"/>
        <x:v>2.2555892000488909E-2</x:v>
      </x:c>
      <x:c r="M22" s="78" t="str">
        <x:f t="shared" si="5"/>
      </x:c>
      <x:c r="N22" s="79" t="n">
        <x:f>IF(A22="Total",IF(B22="Over",Calcul_Model!$D$51-C22,C22-Calcul_Model!$D$51),IF(A22="Gazde",IF(B22="Over",Calcul_Model!$B$51-C22,C22-Calcul_Model!$B$51),IF(B22="Over",Calcul_Model!$C$51-C22,C22-Calcul_Model!$C$51)))</x:f>
        <x:v>-0.1482489249365142</x:v>
      </x:c>
      <x:c r="O22" s="80" t="n">
        <x:f>Calcul_Model!$B$65</x:f>
        <x:v>91</x:v>
      </x:c>
      <x:c r="P22" s="75" t="str">
        <x:f>Calcul_Model!$B$85</x:f>
        <x:v>BET</x:v>
      </x:c>
      <x:c r="Q22" s="75" t="str">
        <x:v>INFORMATIV</x:v>
      </x:c>
      <x:c r="R22" s="75" t="n">
        <x:f t="shared" si="6"/>
        <x:v>0</x:v>
      </x:c>
      <x:c r="S22" s="81" t="str">
        <x:v>Neutilizat de motorul V3</x:v>
      </x:c>
    </x:row>
    <x:row r="23">
      <x:c r="A23" s="74" t="s">
        <x:v>45</x:v>
      </x:c>
      <x:c r="B23" s="75" t="s">
        <x:v>576</x:v>
      </x:c>
      <x:c r="C23" s="75">
        <x:v>2.5</x:v>
      </x:c>
      <x:c r="D23" s="76">
        <x:v>1.5</x:v>
      </x:c>
      <x:c r="E23" s="77">
        <x:v>2.5</x:v>
      </x:c>
      <x:c r="F23" s="78">
        <x:f t="shared" si="0"/>
        <x:v>0.66666666666666663</x:v>
      </x:c>
      <x:c r="G23" s="78">
        <x:f t="shared" si="1"/>
        <x:v>0.625</x:v>
      </x:c>
      <x:c r="H23" s="78" t="n">
        <x:f>IF(A23="Total",IF(B23="Over",1-SUMIF(Distributie!$A$4:$A$29,"&lt;="&amp;INT(C23),Distributie!$B$4:$B$29),SUMIF(Distributie!$A$4:$A$29,"&lt;="&amp;INT(C23),Distributie!$B$4:$B$29)),IF(A23="Gazde",IF(B23="Over",1-SUMIF(Distributie!$A$4:$A$29,"&lt;="&amp;INT(C23),Distributie!$D$4:$D$29),SUMIF(Distributie!$A$4:$A$29,"&lt;="&amp;INT(C23),Distributie!$D$4:$D$29)),IF(B23="Over",1-SUMIF(Distributie!$A$4:$A$29,"&lt;="&amp;INT(C23),Distributie!$F$4:$F$29),SUMIF(Distributie!$A$4:$A$29,"&lt;="&amp;INT(C23),Distributie!$F$4:$F$29))))</x:f>
        <x:v>0.5823637280214329</x:v>
      </x:c>
      <x:c r="I23" s="78" t="n">
        <x:f>MIN(Parametri!$C$82,Calcul_Model!$B$73+IF(AND(A23="Total",B23="Under",C23&lt;=4.5,Calcul_Model!$B$35&gt;=Parametri!$C$70),Parametri!$C$76,0)+IF(AND(A23="Total",B23="Under",C23=4.5,Calcul_Model!$B$89&gt;=Parametri!$C$91),Parametri!$C$95,0)+IF(AND(A23="Total",B23="Under",C23=5.5,Calcul_Model!$B$90&gt;=Parametri!$C$93),Parametri!$C$95,0)+IF(AND(A23="Total",B23="Over",C23=2.5),LowCard_Secondary_v5!$B$15,0))</x:f>
        <x:v>0.020080379978078187</x:v>
      </x:c>
      <x:c r="J23" s="78">
        <x:f t="shared" si="2"/>
        <x:v>0.56228334804335467</x:v>
      </x:c>
      <x:c r="K23" s="79">
        <x:f t="shared" si="3"/>
        <x:v>1.7784627687798702</x:v>
      </x:c>
      <x:c r="L23" s="78">
        <x:f t="shared" si="4"/>
        <x:v>-6.2716651956645331E-2</x:v>
      </x:c>
      <x:c r="M23" s="78" t="str">
        <x:f t="shared" si="5"/>
      </x:c>
      <x:c r="N23" s="79" t="n">
        <x:f>IF(A23="Total",IF(B23="Over",Calcul_Model!$D$51-C23,C23-Calcul_Model!$D$51),IF(A23="Gazde",IF(B23="Over",Calcul_Model!$B$51-C23,C23-Calcul_Model!$B$51),IF(B23="Over",Calcul_Model!$C$51-C23,C23-Calcul_Model!$C$51)))</x:f>
        <x:v>0.1482489249365142</x:v>
      </x:c>
      <x:c r="O23" s="80" t="n">
        <x:f>Calcul_Model!$B$65</x:f>
        <x:v>91</x:v>
      </x:c>
      <x:c r="P23" s="75" t="str">
        <x:f>Calcul_Model!$B$85</x:f>
        <x:v>BET</x:v>
      </x:c>
      <x:c r="Q23" s="75" t="str">
        <x:v>INFORMATIV</x:v>
      </x:c>
      <x:c r="R23" s="75" t="n">
        <x:f t="shared" si="6"/>
        <x:v>0</x:v>
      </x:c>
      <x:c r="S23" s="81" t="str">
        <x:v>Neutilizat de motorul V3</x:v>
      </x:c>
    </x:row>
    <x:row r="24">
      <x:c r="A24" s="74" t="s">
        <x:v>45</x:v>
      </x:c>
      <x:c r="B24" s="75" t="s">
        <x:v>575</x:v>
      </x:c>
      <x:c r="C24" s="75">
        <x:v>3.5</x:v>
      </x:c>
      <x:c r="D24" s="76">
        <x:v>4.3</x:v>
      </x:c>
      <x:c r="E24" s="77">
        <x:v>1.2</x:v>
      </x:c>
      <x:c r="F24" s="78">
        <x:f t="shared" si="0"/>
        <x:v>0.23255813953488372</x:v>
      </x:c>
      <x:c r="G24" s="78">
        <x:f t="shared" si="1"/>
        <x:v>0.21818181818181814</x:v>
      </x:c>
      <x:c r="H24" s="78" t="n">
        <x:f>IF(A24="Total",IF(B24="Over",1-SUMIF(Distributie!$A$4:$A$29,"&lt;="&amp;INT(C24),Distributie!$B$4:$B$29),SUMIF(Distributie!$A$4:$A$29,"&lt;="&amp;INT(C24),Distributie!$B$4:$B$29)),IF(A24="Gazde",IF(B24="Over",1-SUMIF(Distributie!$A$4:$A$29,"&lt;="&amp;INT(C24),Distributie!$D$4:$D$29),SUMIF(Distributie!$A$4:$A$29,"&lt;="&amp;INT(C24),Distributie!$D$4:$D$29)),IF(B24="Over",1-SUMIF(Distributie!$A$4:$A$29,"&lt;="&amp;INT(C24),Distributie!$F$4:$F$29),SUMIF(Distributie!$A$4:$A$29,"&lt;="&amp;INT(C24),Distributie!$F$4:$F$29))))</x:f>
        <x:v>0.21125499819465487</x:v>
      </x:c>
      <x:c r="I24" s="78" t="n">
        <x:f>MIN(Parametri!$C$82,Calcul_Model!$B$73+IF(AND(A24="Total",B24="Under",C24&lt;=4.5,Calcul_Model!$B$35&gt;=Parametri!$C$70),Parametri!$C$76,0)+IF(AND(A24="Total",B24="Under",C24=4.5,Calcul_Model!$B$89&gt;=Parametri!$C$91),Parametri!$C$95,0)+IF(AND(A24="Total",B24="Under",C24=5.5,Calcul_Model!$B$90&gt;=Parametri!$C$93),Parametri!$C$95,0)+IF(AND(A24="Total",B24="Over",C24=2.5),LowCard_Secondary_v5!$B$15,0))</x:f>
        <x:v>0.020080379978078187</x:v>
      </x:c>
      <x:c r="J24" s="78">
        <x:f t="shared" si="2"/>
        <x:v>0.19117461821657669</x:v>
      </x:c>
      <x:c r="K24" s="79">
        <x:f t="shared" si="3"/>
        <x:v>5.2308199139026206</x:v>
      </x:c>
      <x:c r="L24" s="78">
        <x:f t="shared" si="4"/>
        <x:v>-2.7007199965241452E-2</x:v>
      </x:c>
      <x:c r="M24" s="78" t="str">
        <x:f t="shared" si="5"/>
      </x:c>
      <x:c r="N24" s="79" t="n">
        <x:f>IF(A24="Total",IF(B24="Over",Calcul_Model!$D$51-C24,C24-Calcul_Model!$D$51),IF(A24="Gazde",IF(B24="Over",Calcul_Model!$B$51-C24,C24-Calcul_Model!$B$51),IF(B24="Over",Calcul_Model!$C$51-C24,C24-Calcul_Model!$C$51)))</x:f>
        <x:v>-1.1482489249365142</x:v>
      </x:c>
      <x:c r="O24" s="80" t="n">
        <x:f>Calcul_Model!$B$65</x:f>
        <x:v>91</x:v>
      </x:c>
      <x:c r="P24" s="75" t="str">
        <x:f>Calcul_Model!$B$85</x:f>
        <x:v>BET</x:v>
      </x:c>
      <x:c r="Q24" s="75" t="str">
        <x:v>INFORMATIV</x:v>
      </x:c>
      <x:c r="R24" s="75" t="n">
        <x:f t="shared" si="6"/>
        <x:v>0</x:v>
      </x:c>
      <x:c r="S24" s="81" t="str">
        <x:v>Neutilizat de motorul V3</x:v>
      </x:c>
    </x:row>
    <x:row r="25">
      <x:c r="A25" s="74" t="s">
        <x:v>45</x:v>
      </x:c>
      <x:c r="B25" s="75" t="s">
        <x:v>576</x:v>
      </x:c>
      <x:c r="C25" s="75">
        <x:v>3.5</x:v>
      </x:c>
      <x:c r="D25" s="76">
        <x:v>1.2</x:v>
      </x:c>
      <x:c r="E25" s="77">
        <x:v>4.3</x:v>
      </x:c>
      <x:c r="F25" s="78">
        <x:f t="shared" si="0"/>
        <x:v>0.83333333333333337</x:v>
      </x:c>
      <x:c r="G25" s="78">
        <x:f t="shared" si="1"/>
        <x:v>0.78181818181818175</x:v>
      </x:c>
      <x:c r="H25" s="78" t="n">
        <x:f>IF(A25="Total",IF(B25="Over",1-SUMIF(Distributie!$A$4:$A$29,"&lt;="&amp;INT(C25),Distributie!$B$4:$B$29),SUMIF(Distributie!$A$4:$A$29,"&lt;="&amp;INT(C25),Distributie!$B$4:$B$29)),IF(A25="Gazde",IF(B25="Over",1-SUMIF(Distributie!$A$4:$A$29,"&lt;="&amp;INT(C25),Distributie!$D$4:$D$29),SUMIF(Distributie!$A$4:$A$29,"&lt;="&amp;INT(C25),Distributie!$D$4:$D$29)),IF(B25="Over",1-SUMIF(Distributie!$A$4:$A$29,"&lt;="&amp;INT(C25),Distributie!$F$4:$F$29),SUMIF(Distributie!$A$4:$A$29,"&lt;="&amp;INT(C25),Distributie!$F$4:$F$29))))</x:f>
        <x:v>0.7887450018053451</x:v>
      </x:c>
      <x:c r="I25" s="78" t="n">
        <x:f>MIN(Parametri!$C$82,Calcul_Model!$B$73+IF(AND(A25="Total",B25="Under",C25&lt;=4.5,Calcul_Model!$B$35&gt;=Parametri!$C$70),Parametri!$C$76,0)+IF(AND(A25="Total",B25="Under",C25=4.5,Calcul_Model!$B$89&gt;=Parametri!$C$91),Parametri!$C$95,0)+IF(AND(A25="Total",B25="Under",C25=5.5,Calcul_Model!$B$90&gt;=Parametri!$C$93),Parametri!$C$95,0)+IF(AND(A25="Total",B25="Over",C25=2.5),LowCard_Secondary_v5!$B$15,0))</x:f>
        <x:v>0.020080379978078187</x:v>
      </x:c>
      <x:c r="J25" s="78">
        <x:f t="shared" si="2"/>
        <x:v>0.76866462182726691</x:v>
      </x:c>
      <x:c r="K25" s="79">
        <x:f t="shared" si="3"/>
        <x:v>1.3009574938193504</x:v>
      </x:c>
      <x:c r="L25" s="78">
        <x:f t="shared" si="4"/>
        <x:v>-1.3153559990914832E-2</x:v>
      </x:c>
      <x:c r="M25" s="78" t="str">
        <x:f t="shared" si="5"/>
      </x:c>
      <x:c r="N25" s="79" t="n">
        <x:f>IF(A25="Total",IF(B25="Over",Calcul_Model!$D$51-C25,C25-Calcul_Model!$D$51),IF(A25="Gazde",IF(B25="Over",Calcul_Model!$B$51-C25,C25-Calcul_Model!$B$51),IF(B25="Over",Calcul_Model!$C$51-C25,C25-Calcul_Model!$C$51)))</x:f>
        <x:v>1.1482489249365142</x:v>
      </x:c>
      <x:c r="O25" s="80" t="n">
        <x:f>Calcul_Model!$B$65</x:f>
        <x:v>91</x:v>
      </x:c>
      <x:c r="P25" s="75" t="str">
        <x:f>Calcul_Model!$B$85</x:f>
        <x:v>BET</x:v>
      </x:c>
      <x:c r="Q25" s="75" t="str">
        <x:v>INFORMATIV</x:v>
      </x:c>
      <x:c r="R25" s="75" t="n">
        <x:f t="shared" si="6"/>
        <x:v>0</x:v>
      </x:c>
      <x:c r="S25" s="81" t="str">
        <x:v>Neutilizat de motorul V3</x:v>
      </x:c>
    </x:row>
    <x:row r="26">
      <x:c r="A26" s="74" t="s">
        <x:v>45</x:v>
      </x:c>
      <x:c r="B26" s="75" t="s">
        <x:v>575</x:v>
      </x:c>
      <x:c r="C26" s="75">
        <x:v>4.5</x:v>
      </x:c>
      <x:c r="D26" s="76">
        <x:v>7</x:v>
      </x:c>
      <x:c r="E26" s="77">
        <x:v>1.08</x:v>
      </x:c>
      <x:c r="F26" s="78">
        <x:f t="shared" si="0"/>
        <x:v>0.14285714285714285</x:v>
      </x:c>
      <x:c r="G26" s="78">
        <x:f t="shared" si="1"/>
        <x:v>0.13366336633663367</x:v>
      </x:c>
      <x:c r="H26" s="78" t="n">
        <x:f>IF(A26="Total",IF(B26="Over",1-SUMIF(Distributie!$A$4:$A$29,"&lt;="&amp;INT(C26),Distributie!$B$4:$B$29),SUMIF(Distributie!$A$4:$A$29,"&lt;="&amp;INT(C26),Distributie!$B$4:$B$29)),IF(A26="Gazde",IF(B26="Over",1-SUMIF(Distributie!$A$4:$A$29,"&lt;="&amp;INT(C26),Distributie!$D$4:$D$29),SUMIF(Distributie!$A$4:$A$29,"&lt;="&amp;INT(C26),Distributie!$D$4:$D$29)),IF(B26="Over",1-SUMIF(Distributie!$A$4:$A$29,"&lt;="&amp;INT(C26),Distributie!$F$4:$F$29),SUMIF(Distributie!$A$4:$A$29,"&lt;="&amp;INT(C26),Distributie!$F$4:$F$29))))</x:f>
        <x:v>0.08991565257108303</x:v>
      </x:c>
      <x:c r="I26" s="78" t="n">
        <x:f>MIN(Parametri!$C$82,Calcul_Model!$B$73+IF(AND(A26="Total",B26="Under",C26&lt;=4.5,Calcul_Model!$B$35&gt;=Parametri!$C$70),Parametri!$C$76,0)+IF(AND(A26="Total",B26="Under",C26=4.5,Calcul_Model!$B$89&gt;=Parametri!$C$91),Parametri!$C$95,0)+IF(AND(A26="Total",B26="Under",C26=5.5,Calcul_Model!$B$90&gt;=Parametri!$C$93),Parametri!$C$95,0)+IF(AND(A26="Total",B26="Over",C26=2.5),LowCard_Secondary_v5!$B$15,0))</x:f>
        <x:v>0.020080379978078187</x:v>
      </x:c>
      <x:c r="J26" s="78">
        <x:f t="shared" si="2"/>
        <x:v>6.9835272593004843E-2</x:v>
      </x:c>
      <x:c r="K26" s="79">
        <x:f t="shared" si="3"/>
        <x:v>14.319411421616854</x:v>
      </x:c>
      <x:c r="L26" s="78">
        <x:f t="shared" si="4"/>
        <x:v>-6.3828093743628828E-2</x:v>
      </x:c>
      <x:c r="M26" s="78" t="str">
        <x:f t="shared" si="5"/>
      </x:c>
      <x:c r="N26" s="79" t="n">
        <x:f>IF(A26="Total",IF(B26="Over",Calcul_Model!$D$51-C26,C26-Calcul_Model!$D$51),IF(A26="Gazde",IF(B26="Over",Calcul_Model!$B$51-C26,C26-Calcul_Model!$B$51),IF(B26="Over",Calcul_Model!$C$51-C26,C26-Calcul_Model!$C$51)))</x:f>
        <x:v>-2.148248924936514</x:v>
      </x:c>
      <x:c r="O26" s="80" t="n">
        <x:f>Calcul_Model!$B$65</x:f>
        <x:v>91</x:v>
      </x:c>
      <x:c r="P26" s="75" t="str">
        <x:f>Calcul_Model!$B$85</x:f>
        <x:v>BET</x:v>
      </x:c>
      <x:c r="Q26" s="75" t="str">
        <x:v>INFORMATIV</x:v>
      </x:c>
      <x:c r="R26" s="75" t="n">
        <x:f t="shared" si="6"/>
        <x:v>0</x:v>
      </x:c>
      <x:c r="S26" s="81" t="str">
        <x:v>Neutilizat de motorul V3</x:v>
      </x:c>
    </x:row>
    <x:row r="27">
      <x:c r="A27" s="74" t="s">
        <x:v>45</x:v>
      </x:c>
      <x:c r="B27" s="75" t="s">
        <x:v>576</x:v>
      </x:c>
      <x:c r="C27" s="75">
        <x:v>4.5</x:v>
      </x:c>
      <x:c r="D27" s="76">
        <x:v>1.08</x:v>
      </x:c>
      <x:c r="E27" s="77">
        <x:v>7</x:v>
      </x:c>
      <x:c r="F27" s="78">
        <x:f t="shared" si="0"/>
        <x:v>0.92592592592592582</x:v>
      </x:c>
      <x:c r="G27" s="78">
        <x:f t="shared" si="1"/>
        <x:v>0.86633663366336633</x:v>
      </x:c>
      <x:c r="H27" s="78" t="n">
        <x:f>IF(A27="Total",IF(B27="Over",1-SUMIF(Distributie!$A$4:$A$29,"&lt;="&amp;INT(C27),Distributie!$B$4:$B$29),SUMIF(Distributie!$A$4:$A$29,"&lt;="&amp;INT(C27),Distributie!$B$4:$B$29)),IF(A27="Gazde",IF(B27="Over",1-SUMIF(Distributie!$A$4:$A$29,"&lt;="&amp;INT(C27),Distributie!$D$4:$D$29),SUMIF(Distributie!$A$4:$A$29,"&lt;="&amp;INT(C27),Distributie!$D$4:$D$29)),IF(B27="Over",1-SUMIF(Distributie!$A$4:$A$29,"&lt;="&amp;INT(C27),Distributie!$F$4:$F$29),SUMIF(Distributie!$A$4:$A$29,"&lt;="&amp;INT(C27),Distributie!$F$4:$F$29))))</x:f>
        <x:v>0.910084347428917</x:v>
      </x:c>
      <x:c r="I27" s="78" t="n">
        <x:f>MIN(Parametri!$C$82,Calcul_Model!$B$73+IF(AND(A27="Total",B27="Under",C27&lt;=4.5,Calcul_Model!$B$35&gt;=Parametri!$C$70),Parametri!$C$76,0)+IF(AND(A27="Total",B27="Under",C27=4.5,Calcul_Model!$B$89&gt;=Parametri!$C$91),Parametri!$C$95,0)+IF(AND(A27="Total",B27="Under",C27=5.5,Calcul_Model!$B$90&gt;=Parametri!$C$93),Parametri!$C$95,0)+IF(AND(A27="Total",B27="Over",C27=2.5),LowCard_Secondary_v5!$B$15,0))</x:f>
        <x:v>0.020080379978078187</x:v>
      </x:c>
      <x:c r="J27" s="78">
        <x:f t="shared" si="2"/>
        <x:v>0.89000396745083876</x:v>
      </x:c>
      <x:c r="K27" s="79">
        <x:f t="shared" si="3"/>
        <x:v>1.123590496865102</x:v>
      </x:c>
      <x:c r="L27" s="78">
        <x:f t="shared" si="4"/>
        <x:v>2.3667333787472433E-2</x:v>
      </x:c>
      <x:c r="M27" s="78" t="str">
        <x:f t="shared" si="5"/>
      </x:c>
      <x:c r="N27" s="79" t="n">
        <x:f>IF(A27="Total",IF(B27="Over",Calcul_Model!$D$51-C27,C27-Calcul_Model!$D$51),IF(A27="Gazde",IF(B27="Over",Calcul_Model!$B$51-C27,C27-Calcul_Model!$B$51),IF(B27="Over",Calcul_Model!$C$51-C27,C27-Calcul_Model!$C$51)))</x:f>
        <x:v>2.148248924936514</x:v>
      </x:c>
      <x:c r="O27" s="80" t="n">
        <x:f>Calcul_Model!$B$65</x:f>
        <x:v>91</x:v>
      </x:c>
      <x:c r="P27" s="75" t="str">
        <x:f>Calcul_Model!$B$85</x:f>
        <x:v>BET</x:v>
      </x:c>
      <x:c r="Q27" s="75" t="str">
        <x:v>INFORMATIV</x:v>
      </x:c>
      <x:c r="R27" s="75" t="n">
        <x:f t="shared" si="6"/>
        <x:v>0</x:v>
      </x:c>
      <x:c r="S27" s="81" t="str">
        <x:v>Neutilizat de motorul V3</x:v>
      </x:c>
    </x:row>
    <x:row r="28">
      <x:c r="A28" s="74" t="s">
        <x:v>46</x:v>
      </x:c>
      <x:c r="B28" s="75" t="s">
        <x:v>575</x:v>
      </x:c>
      <x:c r="C28" s="75">
        <x:v>0.5</x:v>
      </x:c>
      <x:c r="D28" s="76">
        <x:v>1.05</x:v>
      </x:c>
      <x:c r="E28" s="77">
        <x:v>10</x:v>
      </x:c>
      <x:c r="F28" s="78">
        <x:f t="shared" si="0"/>
        <x:v>0.95238095238095233</x:v>
      </x:c>
      <x:c r="G28" s="78">
        <x:f t="shared" si="1"/>
        <x:v>0.90497737556561075</x:v>
      </x:c>
      <x:c r="H28" s="78" t="n">
        <x:f>IF(A28="Total",IF(B28="Over",1-SUMIF(Distributie!$A$4:$A$29,"&lt;="&amp;INT(C28),Distributie!$B$4:$B$29),SUMIF(Distributie!$A$4:$A$29,"&lt;="&amp;INT(C28),Distributie!$B$4:$B$29)),IF(A28="Gazde",IF(B28="Over",1-SUMIF(Distributie!$A$4:$A$29,"&lt;="&amp;INT(C28),Distributie!$D$4:$D$29),SUMIF(Distributie!$A$4:$A$29,"&lt;="&amp;INT(C28),Distributie!$D$4:$D$29)),IF(B28="Over",1-SUMIF(Distributie!$A$4:$A$29,"&lt;="&amp;INT(C28),Distributie!$F$4:$F$29),SUMIF(Distributie!$A$4:$A$29,"&lt;="&amp;INT(C28),Distributie!$F$4:$F$29))))</x:f>
        <x:v>0.9620774709056688</x:v>
      </x:c>
      <x:c r="I28" s="78" t="n">
        <x:f>MIN(Parametri!$C$82,Calcul_Model!$B$73+IF(AND(A28="Total",B28="Under",C28&lt;=4.5,Calcul_Model!$B$35&gt;=Parametri!$C$70),Parametri!$C$76,0)+IF(AND(A28="Total",B28="Under",C28=4.5,Calcul_Model!$B$89&gt;=Parametri!$C$91),Parametri!$C$95,0)+IF(AND(A28="Total",B28="Under",C28=5.5,Calcul_Model!$B$90&gt;=Parametri!$C$93),Parametri!$C$95,0)+IF(AND(A28="Total",B28="Over",C28=2.5),LowCard_Secondary_v5!$B$15,0))</x:f>
        <x:v>0.020080379978078187</x:v>
      </x:c>
      <x:c r="J28" s="78">
        <x:f t="shared" si="2"/>
        <x:v>0.94199709092759054</x:v>
      </x:c>
      <x:c r="K28" s="79">
        <x:f t="shared" si="3"/>
        <x:v>1.0615744036059533</x:v>
      </x:c>
      <x:c r="L28" s="78">
        <x:f t="shared" si="4"/>
        <x:v>3.7019715361979788E-2</x:v>
      </x:c>
      <x:c r="M28" s="78" t="str">
        <x:f t="shared" si="5"/>
      </x:c>
      <x:c r="N28" s="79" t="n">
        <x:f>IF(A28="Total",IF(B28="Over",Calcul_Model!$D$51-C28,C28-Calcul_Model!$D$51),IF(A28="Gazde",IF(B28="Over",Calcul_Model!$B$51-C28,C28-Calcul_Model!$B$51),IF(B28="Over",Calcul_Model!$C$51-C28,C28-Calcul_Model!$C$51)))</x:f>
        <x:v>2.7722099082937492</x:v>
      </x:c>
      <x:c r="O28" s="80" t="n">
        <x:f>Calcul_Model!$B$65</x:f>
        <x:v>91</x:v>
      </x:c>
      <x:c r="P28" s="75" t="str">
        <x:f>Calcul_Model!$B$85</x:f>
        <x:v>BET</x:v>
      </x:c>
      <x:c r="Q28" s="75" t="str">
        <x:v>INFORMATIV</x:v>
      </x:c>
      <x:c r="R28" s="75" t="n">
        <x:f t="shared" si="6"/>
        <x:v>0</x:v>
      </x:c>
      <x:c r="S28" s="81" t="str">
        <x:v>Neutilizat de motorul V3</x:v>
      </x:c>
    </x:row>
    <x:row r="29">
      <x:c r="A29" s="74" t="s">
        <x:v>46</x:v>
      </x:c>
      <x:c r="B29" s="75" t="s">
        <x:v>576</x:v>
      </x:c>
      <x:c r="C29" s="75">
        <x:v>0.5</x:v>
      </x:c>
      <x:c r="D29" s="76">
        <x:v>10</x:v>
      </x:c>
      <x:c r="E29" s="77">
        <x:v>1.05</x:v>
      </x:c>
      <x:c r="F29" s="78">
        <x:f t="shared" si="0"/>
        <x:v>0.1</x:v>
      </x:c>
      <x:c r="G29" s="78">
        <x:f t="shared" si="1"/>
        <x:v>9.5022624434389136E-2</x:v>
      </x:c>
      <x:c r="H29" s="78" t="n">
        <x:f>IF(A29="Total",IF(B29="Over",1-SUMIF(Distributie!$A$4:$A$29,"&lt;="&amp;INT(C29),Distributie!$B$4:$B$29),SUMIF(Distributie!$A$4:$A$29,"&lt;="&amp;INT(C29),Distributie!$B$4:$B$29)),IF(A29="Gazde",IF(B29="Over",1-SUMIF(Distributie!$A$4:$A$29,"&lt;="&amp;INT(C29),Distributie!$D$4:$D$29),SUMIF(Distributie!$A$4:$A$29,"&lt;="&amp;INT(C29),Distributie!$D$4:$D$29)),IF(B29="Over",1-SUMIF(Distributie!$A$4:$A$29,"&lt;="&amp;INT(C29),Distributie!$F$4:$F$29),SUMIF(Distributie!$A$4:$A$29,"&lt;="&amp;INT(C29),Distributie!$F$4:$F$29))))</x:f>
        <x:v>0.037922529094331296</x:v>
      </x:c>
      <x:c r="I29" s="78" t="n">
        <x:f>MIN(Parametri!$C$82,Calcul_Model!$B$73+IF(AND(A29="Total",B29="Under",C29&lt;=4.5,Calcul_Model!$B$35&gt;=Parametri!$C$70),Parametri!$C$76,0)+IF(AND(A29="Total",B29="Under",C29=4.5,Calcul_Model!$B$89&gt;=Parametri!$C$91),Parametri!$C$95,0)+IF(AND(A29="Total",B29="Under",C29=5.5,Calcul_Model!$B$90&gt;=Parametri!$C$93),Parametri!$C$95,0)+IF(AND(A29="Total",B29="Over",C29=2.5),LowCard_Secondary_v5!$B$15,0))</x:f>
        <x:v>0.020080379978078187</x:v>
      </x:c>
      <x:c r="J29" s="78">
        <x:f t="shared" si="2"/>
        <x:v>1.7842149116253109E-2</x:v>
      </x:c>
      <x:c r="K29" s="79">
        <x:f t="shared" si="3"/>
        <x:v>56.04705988523888</x:v>
      </x:c>
      <x:c r="L29" s="78">
        <x:f t="shared" si="4"/>
        <x:v>-7.718047531813603E-2</x:v>
      </x:c>
      <x:c r="M29" s="78" t="str">
        <x:f t="shared" si="5"/>
      </x:c>
      <x:c r="N29" s="79" t="n">
        <x:f>IF(A29="Total",IF(B29="Over",Calcul_Model!$D$51-C29,C29-Calcul_Model!$D$51),IF(A29="Gazde",IF(B29="Over",Calcul_Model!$B$51-C29,C29-Calcul_Model!$B$51),IF(B29="Over",Calcul_Model!$C$51-C29,C29-Calcul_Model!$C$51)))</x:f>
        <x:v>-2.7722099082937492</x:v>
      </x:c>
      <x:c r="O29" s="80" t="n">
        <x:f>Calcul_Model!$B$65</x:f>
        <x:v>91</x:v>
      </x:c>
      <x:c r="P29" s="75" t="str">
        <x:f>Calcul_Model!$B$85</x:f>
        <x:v>BET</x:v>
      </x:c>
      <x:c r="Q29" s="75" t="str">
        <x:v>INFORMATIV</x:v>
      </x:c>
      <x:c r="R29" s="75" t="n">
        <x:f t="shared" si="6"/>
        <x:v>0</x:v>
      </x:c>
      <x:c r="S29" s="81" t="str">
        <x:v>Neutilizat de motorul V3</x:v>
      </x:c>
    </x:row>
    <x:row r="30">
      <x:c r="A30" s="74" t="s">
        <x:v>46</x:v>
      </x:c>
      <x:c r="B30" s="75" t="s">
        <x:v>575</x:v>
      </x:c>
      <x:c r="C30" s="75">
        <x:v>1.5</x:v>
      </x:c>
      <x:c r="D30" s="76">
        <x:v>1.32</x:v>
      </x:c>
      <x:c r="E30" s="77">
        <x:v>3.4</x:v>
      </x:c>
      <x:c r="F30" s="78">
        <x:f t="shared" si="0"/>
        <x:v>0.75757575757575757</x:v>
      </x:c>
      <x:c r="G30" s="78">
        <x:f t="shared" si="1"/>
        <x:v>0.72033898305084743</x:v>
      </x:c>
      <x:c r="H30" s="78" t="n">
        <x:f>IF(A30="Total",IF(B30="Over",1-SUMIF(Distributie!$A$4:$A$29,"&lt;="&amp;INT(C30),Distributie!$B$4:$B$29),SUMIF(Distributie!$A$4:$A$29,"&lt;="&amp;INT(C30),Distributie!$B$4:$B$29)),IF(A30="Gazde",IF(B30="Over",1-SUMIF(Distributie!$A$4:$A$29,"&lt;="&amp;INT(C30),Distributie!$D$4:$D$29),SUMIF(Distributie!$A$4:$A$29,"&lt;="&amp;INT(C30),Distributie!$D$4:$D$29)),IF(B30="Over",1-SUMIF(Distributie!$A$4:$A$29,"&lt;="&amp;INT(C30),Distributie!$F$4:$F$29),SUMIF(Distributie!$A$4:$A$29,"&lt;="&amp;INT(C30),Distributie!$F$4:$F$29))))</x:f>
        <x:v>0.8379869954556398</x:v>
      </x:c>
      <x:c r="I30" s="78" t="n">
        <x:f>MIN(Parametri!$C$82,Calcul_Model!$B$73+IF(AND(A30="Total",B30="Under",C30&lt;=4.5,Calcul_Model!$B$35&gt;=Parametri!$C$70),Parametri!$C$76,0)+IF(AND(A30="Total",B30="Under",C30=4.5,Calcul_Model!$B$89&gt;=Parametri!$C$91),Parametri!$C$95,0)+IF(AND(A30="Total",B30="Under",C30=5.5,Calcul_Model!$B$90&gt;=Parametri!$C$93),Parametri!$C$95,0)+IF(AND(A30="Total",B30="Over",C30=2.5),LowCard_Secondary_v5!$B$15,0))</x:f>
        <x:v>0.020080379978078187</x:v>
      </x:c>
      <x:c r="J30" s="78">
        <x:f t="shared" si="2"/>
        <x:v>0.8179066154775616</x:v>
      </x:c>
      <x:c r="K30" s="79">
        <x:f t="shared" si="3"/>
        <x:v>1.2226334658219107</x:v>
      </x:c>
      <x:c r="L30" s="78">
        <x:f t="shared" si="4"/>
        <x:v>9.7567632426714179E-2</x:v>
      </x:c>
      <x:c r="M30" s="78" t="str">
        <x:f t="shared" si="5"/>
      </x:c>
      <x:c r="N30" s="79" t="n">
        <x:f>IF(A30="Total",IF(B30="Over",Calcul_Model!$D$51-C30,C30-Calcul_Model!$D$51),IF(A30="Gazde",IF(B30="Over",Calcul_Model!$B$51-C30,C30-Calcul_Model!$B$51),IF(B30="Over",Calcul_Model!$C$51-C30,C30-Calcul_Model!$C$51)))</x:f>
        <x:v>1.7722099082937492</x:v>
      </x:c>
      <x:c r="O30" s="80" t="n">
        <x:f>Calcul_Model!$B$65</x:f>
        <x:v>91</x:v>
      </x:c>
      <x:c r="P30" s="75" t="str">
        <x:f>Calcul_Model!$B$85</x:f>
        <x:v>BET</x:v>
      </x:c>
      <x:c r="Q30" s="75" t="str">
        <x:v>INFORMATIV</x:v>
      </x:c>
      <x:c r="R30" s="75" t="n">
        <x:f t="shared" si="6"/>
        <x:v>0</x:v>
      </x:c>
      <x:c r="S30" s="81" t="str">
        <x:v>Neutilizat de motorul V3</x:v>
      </x:c>
    </x:row>
    <x:row r="31">
      <x:c r="A31" s="74" t="s">
        <x:v>46</x:v>
      </x:c>
      <x:c r="B31" s="75" t="s">
        <x:v>576</x:v>
      </x:c>
      <x:c r="C31" s="75">
        <x:v>1.5</x:v>
      </x:c>
      <x:c r="D31" s="76">
        <x:v>3.4</x:v>
      </x:c>
      <x:c r="E31" s="77">
        <x:v>1.32</x:v>
      </x:c>
      <x:c r="F31" s="78">
        <x:f t="shared" si="0"/>
        <x:v>0.29411764705882354</x:v>
      </x:c>
      <x:c r="G31" s="78">
        <x:f t="shared" si="1"/>
        <x:v>0.27966101694915252</x:v>
      </x:c>
      <x:c r="H31" s="78" t="n">
        <x:f>IF(A31="Total",IF(B31="Over",1-SUMIF(Distributie!$A$4:$A$29,"&lt;="&amp;INT(C31),Distributie!$B$4:$B$29),SUMIF(Distributie!$A$4:$A$29,"&lt;="&amp;INT(C31),Distributie!$B$4:$B$29)),IF(A31="Gazde",IF(B31="Over",1-SUMIF(Distributie!$A$4:$A$29,"&lt;="&amp;INT(C31),Distributie!$D$4:$D$29),SUMIF(Distributie!$A$4:$A$29,"&lt;="&amp;INT(C31),Distributie!$D$4:$D$29)),IF(B31="Over",1-SUMIF(Distributie!$A$4:$A$29,"&lt;="&amp;INT(C31),Distributie!$F$4:$F$29),SUMIF(Distributie!$A$4:$A$29,"&lt;="&amp;INT(C31),Distributie!$F$4:$F$29))))</x:f>
        <x:v>0.16201300454436016</x:v>
      </x:c>
      <x:c r="I31" s="78" t="n">
        <x:f>MIN(Parametri!$C$82,Calcul_Model!$B$73+IF(AND(A31="Total",B31="Under",C31&lt;=4.5,Calcul_Model!$B$35&gt;=Parametri!$C$70),Parametri!$C$76,0)+IF(AND(A31="Total",B31="Under",C31=4.5,Calcul_Model!$B$89&gt;=Parametri!$C$91),Parametri!$C$95,0)+IF(AND(A31="Total",B31="Under",C31=5.5,Calcul_Model!$B$90&gt;=Parametri!$C$93),Parametri!$C$95,0)+IF(AND(A31="Total",B31="Over",C31=2.5),LowCard_Secondary_v5!$B$15,0))</x:f>
        <x:v>0.020080379978078187</x:v>
      </x:c>
      <x:c r="J31" s="78">
        <x:f t="shared" si="2"/>
        <x:v>0.14193262456628197</x:v>
      </x:c>
      <x:c r="K31" s="79">
        <x:f t="shared" si="3"/>
        <x:v>7.0455964797086095</x:v>
      </x:c>
      <x:c r="L31" s="78">
        <x:f t="shared" si="4"/>
        <x:v>-0.13772839238287055</x:v>
      </x:c>
      <x:c r="M31" s="78" t="str">
        <x:f t="shared" si="5"/>
      </x:c>
      <x:c r="N31" s="79" t="n">
        <x:f>IF(A31="Total",IF(B31="Over",Calcul_Model!$D$51-C31,C31-Calcul_Model!$D$51),IF(A31="Gazde",IF(B31="Over",Calcul_Model!$B$51-C31,C31-Calcul_Model!$B$51),IF(B31="Over",Calcul_Model!$C$51-C31,C31-Calcul_Model!$C$51)))</x:f>
        <x:v>-1.7722099082937492</x:v>
      </x:c>
      <x:c r="O31" s="80" t="n">
        <x:f>Calcul_Model!$B$65</x:f>
        <x:v>91</x:v>
      </x:c>
      <x:c r="P31" s="75" t="str">
        <x:f>Calcul_Model!$B$85</x:f>
        <x:v>BET</x:v>
      </x:c>
      <x:c r="Q31" s="75" t="str">
        <x:v>INFORMATIV</x:v>
      </x:c>
      <x:c r="R31" s="75" t="n">
        <x:f t="shared" si="6"/>
        <x:v>0</x:v>
      </x:c>
      <x:c r="S31" s="81" t="str">
        <x:v>Neutilizat de motorul V3</x:v>
      </x:c>
    </x:row>
    <x:row r="32">
      <x:c r="A32" s="74" t="s">
        <x:v>46</x:v>
      </x:c>
      <x:c r="B32" s="75" t="s">
        <x:v>575</x:v>
      </x:c>
      <x:c r="C32" s="75">
        <x:v>2.5</x:v>
      </x:c>
      <x:c r="D32" s="76">
        <x:v>1.8</x:v>
      </x:c>
      <x:c r="E32" s="77">
        <x:v>2</x:v>
      </x:c>
      <x:c r="F32" s="78">
        <x:f t="shared" si="0"/>
        <x:v>0.55555555555555558</x:v>
      </x:c>
      <x:c r="G32" s="78">
        <x:f t="shared" si="1"/>
        <x:v>0.52631578947368418</x:v>
      </x:c>
      <x:c r="H32" s="78" t="n">
        <x:f>IF(A32="Total",IF(B32="Over",1-SUMIF(Distributie!$A$4:$A$29,"&lt;="&amp;INT(C32),Distributie!$B$4:$B$29),SUMIF(Distributie!$A$4:$A$29,"&lt;="&amp;INT(C32),Distributie!$B$4:$B$29)),IF(A32="Gazde",IF(B32="Over",1-SUMIF(Distributie!$A$4:$A$29,"&lt;="&amp;INT(C32),Distributie!$D$4:$D$29),SUMIF(Distributie!$A$4:$A$29,"&lt;="&amp;INT(C32),Distributie!$D$4:$D$29)),IF(B32="Over",1-SUMIF(Distributie!$A$4:$A$29,"&lt;="&amp;INT(C32),Distributie!$F$4:$F$29),SUMIF(Distributie!$A$4:$A$29,"&lt;="&amp;INT(C32),Distributie!$F$4:$F$29))))</x:f>
        <x:v>0.6349619538094065</x:v>
      </x:c>
      <x:c r="I32" s="78" t="n">
        <x:f>MIN(Parametri!$C$82,Calcul_Model!$B$73+IF(AND(A32="Total",B32="Under",C32&lt;=4.5,Calcul_Model!$B$35&gt;=Parametri!$C$70),Parametri!$C$76,0)+IF(AND(A32="Total",B32="Under",C32=4.5,Calcul_Model!$B$89&gt;=Parametri!$C$91),Parametri!$C$95,0)+IF(AND(A32="Total",B32="Under",C32=5.5,Calcul_Model!$B$90&gt;=Parametri!$C$93),Parametri!$C$95,0)+IF(AND(A32="Total",B32="Over",C32=2.5),LowCard_Secondary_v5!$B$15,0))</x:f>
        <x:v>0.020080379978078187</x:v>
      </x:c>
      <x:c r="J32" s="78">
        <x:f t="shared" si="2"/>
        <x:v>0.61488157383132824</x:v>
      </x:c>
      <x:c r="K32" s="79">
        <x:f t="shared" si="3"/>
        <x:v>1.6263294308349461</x:v>
      </x:c>
      <x:c r="L32" s="78">
        <x:f t="shared" si="4"/>
        <x:v>8.8565784357644062E-2</x:v>
      </x:c>
      <x:c r="M32" s="78" t="str">
        <x:f t="shared" si="5"/>
      </x:c>
      <x:c r="N32" s="79" t="n">
        <x:f>IF(A32="Total",IF(B32="Over",Calcul_Model!$D$51-C32,C32-Calcul_Model!$D$51),IF(A32="Gazde",IF(B32="Over",Calcul_Model!$B$51-C32,C32-Calcul_Model!$B$51),IF(B32="Over",Calcul_Model!$C$51-C32,C32-Calcul_Model!$C$51)))</x:f>
        <x:v>0.7722099082937492</x:v>
      </x:c>
      <x:c r="O32" s="80" t="n">
        <x:f>Calcul_Model!$B$65</x:f>
        <x:v>91</x:v>
      </x:c>
      <x:c r="P32" s="75" t="str">
        <x:f>Calcul_Model!$B$85</x:f>
        <x:v>BET</x:v>
      </x:c>
      <x:c r="Q32" s="75" t="str">
        <x:v>INFORMATIV</x:v>
      </x:c>
      <x:c r="R32" s="75" t="n">
        <x:f t="shared" si="6"/>
        <x:v>0</x:v>
      </x:c>
      <x:c r="S32" s="81" t="str">
        <x:v>Neutilizat de motorul V3</x:v>
      </x:c>
    </x:row>
    <x:row r="33">
      <x:c r="A33" s="74" t="s">
        <x:v>46</x:v>
      </x:c>
      <x:c r="B33" s="75" t="s">
        <x:v>576</x:v>
      </x:c>
      <x:c r="C33" s="75">
        <x:v>2.5</x:v>
      </x:c>
      <x:c r="D33" s="76">
        <x:v>2</x:v>
      </x:c>
      <x:c r="E33" s="77">
        <x:v>1.8</x:v>
      </x:c>
      <x:c r="F33" s="78">
        <x:f t="shared" si="0"/>
        <x:v>0.5</x:v>
      </x:c>
      <x:c r="G33" s="78">
        <x:f t="shared" si="1"/>
        <x:v>0.47368421052631576</x:v>
      </x:c>
      <x:c r="H33" s="78" t="n">
        <x:f>IF(A33="Total",IF(B33="Over",1-SUMIF(Distributie!$A$4:$A$29,"&lt;="&amp;INT(C33),Distributie!$B$4:$B$29),SUMIF(Distributie!$A$4:$A$29,"&lt;="&amp;INT(C33),Distributie!$B$4:$B$29)),IF(A33="Gazde",IF(B33="Over",1-SUMIF(Distributie!$A$4:$A$29,"&lt;="&amp;INT(C33),Distributie!$D$4:$D$29),SUMIF(Distributie!$A$4:$A$29,"&lt;="&amp;INT(C33),Distributie!$D$4:$D$29)),IF(B33="Over",1-SUMIF(Distributie!$A$4:$A$29,"&lt;="&amp;INT(C33),Distributie!$F$4:$F$29),SUMIF(Distributie!$A$4:$A$29,"&lt;="&amp;INT(C33),Distributie!$F$4:$F$29))))</x:f>
        <x:v>0.3650380461905935</x:v>
      </x:c>
      <x:c r="I33" s="78" t="n">
        <x:f>MIN(Parametri!$C$82,Calcul_Model!$B$73+IF(AND(A33="Total",B33="Under",C33&lt;=4.5,Calcul_Model!$B$35&gt;=Parametri!$C$70),Parametri!$C$76,0)+IF(AND(A33="Total",B33="Under",C33=4.5,Calcul_Model!$B$89&gt;=Parametri!$C$91),Parametri!$C$95,0)+IF(AND(A33="Total",B33="Under",C33=5.5,Calcul_Model!$B$90&gt;=Parametri!$C$93),Parametri!$C$95,0)+IF(AND(A33="Total",B33="Over",C33=2.5),LowCard_Secondary_v5!$B$15,0))</x:f>
        <x:v>0.020080379978078187</x:v>
      </x:c>
      <x:c r="J33" s="78">
        <x:f t="shared" si="2"/>
        <x:v>0.34495766621251528</x:v>
      </x:c>
      <x:c r="K33" s="79">
        <x:f t="shared" si="3"/>
        <x:v>2.8989064396787114</x:v>
      </x:c>
      <x:c r="L33" s="78">
        <x:f t="shared" si="4"/>
        <x:v>-0.12872654431380048</x:v>
      </x:c>
      <x:c r="M33" s="78" t="str">
        <x:f t="shared" si="5"/>
      </x:c>
      <x:c r="N33" s="79" t="n">
        <x:f>IF(A33="Total",IF(B33="Over",Calcul_Model!$D$51-C33,C33-Calcul_Model!$D$51),IF(A33="Gazde",IF(B33="Over",Calcul_Model!$B$51-C33,C33-Calcul_Model!$B$51),IF(B33="Over",Calcul_Model!$C$51-C33,C33-Calcul_Model!$C$51)))</x:f>
        <x:v>-0.7722099082937492</x:v>
      </x:c>
      <x:c r="O33" s="80" t="n">
        <x:f>Calcul_Model!$B$65</x:f>
        <x:v>91</x:v>
      </x:c>
      <x:c r="P33" s="75" t="str">
        <x:f>Calcul_Model!$B$85</x:f>
        <x:v>BET</x:v>
      </x:c>
      <x:c r="Q33" s="75" t="str">
        <x:v>INFORMATIV</x:v>
      </x:c>
      <x:c r="R33" s="75" t="n">
        <x:f t="shared" si="6"/>
        <x:v>0</x:v>
      </x:c>
      <x:c r="S33" s="81" t="str">
        <x:v>Neutilizat de motorul V3</x:v>
      </x:c>
    </x:row>
    <x:row r="34">
      <x:c r="A34" s="74" t="s">
        <x:v>46</x:v>
      </x:c>
      <x:c r="B34" s="75" t="s">
        <x:v>575</x:v>
      </x:c>
      <x:c r="C34" s="75">
        <x:v>3.5</x:v>
      </x:c>
      <x:c r="D34" s="76">
        <x:v>2.7</x:v>
      </x:c>
      <x:c r="E34" s="77">
        <x:v>1.45</x:v>
      </x:c>
      <x:c r="F34" s="78">
        <x:f t="shared" si="0"/>
        <x:v>0.37037037037037035</x:v>
      </x:c>
      <x:c r="G34" s="78">
        <x:f t="shared" si="1"/>
        <x:v>0.3493975903614458</x:v>
      </x:c>
      <x:c r="H34" s="78" t="n">
        <x:f>IF(A34="Total",IF(B34="Over",1-SUMIF(Distributie!$A$4:$A$29,"&lt;="&amp;INT(C34),Distributie!$B$4:$B$29),SUMIF(Distributie!$A$4:$A$29,"&lt;="&amp;INT(C34),Distributie!$B$4:$B$29)),IF(A34="Gazde",IF(B34="Over",1-SUMIF(Distributie!$A$4:$A$29,"&lt;="&amp;INT(C34),Distributie!$D$4:$D$29),SUMIF(Distributie!$A$4:$A$29,"&lt;="&amp;INT(C34),Distributie!$D$4:$D$29)),IF(B34="Over",1-SUMIF(Distributie!$A$4:$A$29,"&lt;="&amp;INT(C34),Distributie!$F$4:$F$29),SUMIF(Distributie!$A$4:$A$29,"&lt;="&amp;INT(C34),Distributie!$F$4:$F$29))))</x:f>
        <x:v>0.4135151028405546</x:v>
      </x:c>
      <x:c r="I34" s="78" t="n">
        <x:f>MIN(Parametri!$C$82,Calcul_Model!$B$73+IF(AND(A34="Total",B34="Under",C34&lt;=4.5,Calcul_Model!$B$35&gt;=Parametri!$C$70),Parametri!$C$76,0)+IF(AND(A34="Total",B34="Under",C34=4.5,Calcul_Model!$B$89&gt;=Parametri!$C$91),Parametri!$C$95,0)+IF(AND(A34="Total",B34="Under",C34=5.5,Calcul_Model!$B$90&gt;=Parametri!$C$93),Parametri!$C$95,0)+IF(AND(A34="Total",B34="Over",C34=2.5),LowCard_Secondary_v5!$B$15,0))</x:f>
        <x:v>0.020080379978078187</x:v>
      </x:c>
      <x:c r="J34" s="78">
        <x:f t="shared" si="2"/>
        <x:v>0.39343472286247638</x:v>
      </x:c>
      <x:c r="K34" s="79">
        <x:f t="shared" si="3"/>
        <x:v>2.5417177028107565</x:v>
      </x:c>
      <x:c r="L34" s="78">
        <x:f t="shared" si="4"/>
        <x:v>4.4037132501030585E-2</x:v>
      </x:c>
      <x:c r="M34" s="78" t="str">
        <x:f t="shared" si="5"/>
      </x:c>
      <x:c r="N34" s="79" t="n">
        <x:f>IF(A34="Total",IF(B34="Over",Calcul_Model!$D$51-C34,C34-Calcul_Model!$D$51),IF(A34="Gazde",IF(B34="Over",Calcul_Model!$B$51-C34,C34-Calcul_Model!$B$51),IF(B34="Over",Calcul_Model!$C$51-C34,C34-Calcul_Model!$C$51)))</x:f>
        <x:v>-0.22779009170625075</x:v>
      </x:c>
      <x:c r="O34" s="80" t="n">
        <x:f>Calcul_Model!$B$65</x:f>
        <x:v>91</x:v>
      </x:c>
      <x:c r="P34" s="75" t="str">
        <x:f>Calcul_Model!$B$85</x:f>
        <x:v>BET</x:v>
      </x:c>
      <x:c r="Q34" s="75" t="str">
        <x:v>INFORMATIV</x:v>
      </x:c>
      <x:c r="R34" s="75" t="n">
        <x:f t="shared" si="6"/>
        <x:v>0</x:v>
      </x:c>
      <x:c r="S34" s="81" t="str">
        <x:v>Neutilizat de motorul V3</x:v>
      </x:c>
    </x:row>
    <x:row r="35">
      <x:c r="A35" s="74" t="s">
        <x:v>46</x:v>
      </x:c>
      <x:c r="B35" s="75" t="s">
        <x:v>576</x:v>
      </x:c>
      <x:c r="C35" s="75">
        <x:v>3.5</x:v>
      </x:c>
      <x:c r="D35" s="76">
        <x:v>1.45</x:v>
      </x:c>
      <x:c r="E35" s="77">
        <x:v>2.7</x:v>
      </x:c>
      <x:c r="F35" s="78">
        <x:f t="shared" si="0"/>
        <x:v>0.68965517241379315</x:v>
      </x:c>
      <x:c r="G35" s="78">
        <x:f t="shared" si="1"/>
        <x:v>0.65060240963855431</x:v>
      </x:c>
      <x:c r="H35" s="78" t="n">
        <x:f>IF(A35="Total",IF(B35="Over",1-SUMIF(Distributie!$A$4:$A$29,"&lt;="&amp;INT(C35),Distributie!$B$4:$B$29),SUMIF(Distributie!$A$4:$A$29,"&lt;="&amp;INT(C35),Distributie!$B$4:$B$29)),IF(A35="Gazde",IF(B35="Over",1-SUMIF(Distributie!$A$4:$A$29,"&lt;="&amp;INT(C35),Distributie!$D$4:$D$29),SUMIF(Distributie!$A$4:$A$29,"&lt;="&amp;INT(C35),Distributie!$D$4:$D$29)),IF(B35="Over",1-SUMIF(Distributie!$A$4:$A$29,"&lt;="&amp;INT(C35),Distributie!$F$4:$F$29),SUMIF(Distributie!$A$4:$A$29,"&lt;="&amp;INT(C35),Distributie!$F$4:$F$29))))</x:f>
        <x:v>0.5864848971594454</x:v>
      </x:c>
      <x:c r="I35" s="78" t="n">
        <x:f>MIN(Parametri!$C$82,Calcul_Model!$B$73+IF(AND(A35="Total",B35="Under",C35&lt;=4.5,Calcul_Model!$B$35&gt;=Parametri!$C$70),Parametri!$C$76,0)+IF(AND(A35="Total",B35="Under",C35=4.5,Calcul_Model!$B$89&gt;=Parametri!$C$91),Parametri!$C$95,0)+IF(AND(A35="Total",B35="Under",C35=5.5,Calcul_Model!$B$90&gt;=Parametri!$C$93),Parametri!$C$95,0)+IF(AND(A35="Total",B35="Over",C35=2.5),LowCard_Secondary_v5!$B$15,0))</x:f>
        <x:v>0.020080379978078187</x:v>
      </x:c>
      <x:c r="J35" s="78">
        <x:f t="shared" si="2"/>
        <x:v>0.5664045171813672</x:v>
      </x:c>
      <x:c r="K35" s="79">
        <x:f t="shared" si="3"/>
        <x:v>1.7655226426801114</x:v>
      </x:c>
      <x:c r="L35" s="78">
        <x:f t="shared" si="4"/>
        <x:v>-8.4197892457187118E-2</x:v>
      </x:c>
      <x:c r="M35" s="78" t="str">
        <x:f t="shared" si="5"/>
      </x:c>
      <x:c r="N35" s="79" t="n">
        <x:f>IF(A35="Total",IF(B35="Over",Calcul_Model!$D$51-C35,C35-Calcul_Model!$D$51),IF(A35="Gazde",IF(B35="Over",Calcul_Model!$B$51-C35,C35-Calcul_Model!$B$51),IF(B35="Over",Calcul_Model!$C$51-C35,C35-Calcul_Model!$C$51)))</x:f>
        <x:v>0.22779009170625075</x:v>
      </x:c>
      <x:c r="O35" s="80" t="n">
        <x:f>Calcul_Model!$B$65</x:f>
        <x:v>91</x:v>
      </x:c>
      <x:c r="P35" s="75" t="str">
        <x:f>Calcul_Model!$B$85</x:f>
        <x:v>BET</x:v>
      </x:c>
      <x:c r="Q35" s="75" t="str">
        <x:v>INFORMATIV</x:v>
      </x:c>
      <x:c r="R35" s="75" t="n">
        <x:f t="shared" si="6"/>
        <x:v>0</x:v>
      </x:c>
      <x:c r="S35" s="81" t="str">
        <x:v>Neutilizat de motorul V3</x:v>
      </x:c>
    </x:row>
    <x:row r="36">
      <x:c r="A36" s="74" t="s">
        <x:v>46</x:v>
      </x:c>
      <x:c r="B36" s="75" t="s">
        <x:v>575</x:v>
      </x:c>
      <x:c r="C36" s="75">
        <x:v>4.5</x:v>
      </x:c>
      <x:c r="D36" s="76">
        <x:v>4.4000000000000004</x:v>
      </x:c>
      <x:c r="E36" s="77">
        <x:v>1.2</x:v>
      </x:c>
      <x:c r="F36" s="78">
        <x:f t="shared" si="0"/>
        <x:v>0.22727272727272727</x:v>
      </x:c>
      <x:c r="G36" s="78">
        <x:f t="shared" si="1"/>
        <x:v>0.2142857142857143</x:v>
      </x:c>
      <x:c r="H36" s="78" t="n">
        <x:f>IF(A36="Total",IF(B36="Over",1-SUMIF(Distributie!$A$4:$A$29,"&lt;="&amp;INT(C36),Distributie!$B$4:$B$29),SUMIF(Distributie!$A$4:$A$29,"&lt;="&amp;INT(C36),Distributie!$B$4:$B$29)),IF(A36="Gazde",IF(B36="Over",1-SUMIF(Distributie!$A$4:$A$29,"&lt;="&amp;INT(C36),Distributie!$D$4:$D$29),SUMIF(Distributie!$A$4:$A$29,"&lt;="&amp;INT(C36),Distributie!$D$4:$D$29)),IF(B36="Over",1-SUMIF(Distributie!$A$4:$A$29,"&lt;="&amp;INT(C36),Distributie!$F$4:$F$29),SUMIF(Distributie!$A$4:$A$29,"&lt;="&amp;INT(C36),Distributie!$F$4:$F$29))))</x:f>
        <x:v>0.232359957865373</x:v>
      </x:c>
      <x:c r="I36" s="78" t="n">
        <x:f>MIN(Parametri!$C$82,Calcul_Model!$B$73+IF(AND(A36="Total",B36="Under",C36&lt;=4.5,Calcul_Model!$B$35&gt;=Parametri!$C$70),Parametri!$C$76,0)+IF(AND(A36="Total",B36="Under",C36=4.5,Calcul_Model!$B$89&gt;=Parametri!$C$91),Parametri!$C$95,0)+IF(AND(A36="Total",B36="Under",C36=5.5,Calcul_Model!$B$90&gt;=Parametri!$C$93),Parametri!$C$95,0)+IF(AND(A36="Total",B36="Over",C36=2.5),LowCard_Secondary_v5!$B$15,0))</x:f>
        <x:v>0.020080379978078187</x:v>
      </x:c>
      <x:c r="J36" s="78">
        <x:f t="shared" si="2"/>
        <x:v>0.21227957788729482</x:v>
      </x:c>
      <x:c r="K36" s="79">
        <x:f t="shared" si="3"/>
        <x:v>4.7107687416399902</x:v>
      </x:c>
      <x:c r="L36" s="78">
        <x:f t="shared" si="4"/>
        <x:v>-2.0061363984194835E-3</x:v>
      </x:c>
      <x:c r="M36" s="78" t="str">
        <x:f t="shared" si="5"/>
      </x:c>
      <x:c r="N36" s="79" t="n">
        <x:f>IF(A36="Total",IF(B36="Over",Calcul_Model!$D$51-C36,C36-Calcul_Model!$D$51),IF(A36="Gazde",IF(B36="Over",Calcul_Model!$B$51-C36,C36-Calcul_Model!$B$51),IF(B36="Over",Calcul_Model!$C$51-C36,C36-Calcul_Model!$C$51)))</x:f>
        <x:v>-1.2277900917062508</x:v>
      </x:c>
      <x:c r="O36" s="80" t="n">
        <x:f>Calcul_Model!$B$65</x:f>
        <x:v>91</x:v>
      </x:c>
      <x:c r="P36" s="75" t="str">
        <x:f>Calcul_Model!$B$85</x:f>
        <x:v>BET</x:v>
      </x:c>
      <x:c r="Q36" s="75" t="str">
        <x:v>INFORMATIV</x:v>
      </x:c>
      <x:c r="R36" s="75" t="n">
        <x:f t="shared" si="6"/>
        <x:v>0</x:v>
      </x:c>
      <x:c r="S36" s="81" t="str">
        <x:v>Neutilizat de motorul V3</x:v>
      </x:c>
    </x:row>
    <x:row r="37">
      <x:c r="A37" s="82" t="s">
        <x:v>46</x:v>
      </x:c>
      <x:c r="B37" s="83" t="s">
        <x:v>576</x:v>
      </x:c>
      <x:c r="C37" s="83">
        <x:v>4.5</x:v>
      </x:c>
      <x:c r="D37" s="84">
        <x:v>1.2</x:v>
      </x:c>
      <x:c r="E37" s="85">
        <x:v>4.4000000000000004</x:v>
      </x:c>
      <x:c r="F37" s="86">
        <x:f t="shared" si="0"/>
        <x:v>0.83333333333333337</x:v>
      </x:c>
      <x:c r="G37" s="86">
        <x:f t="shared" si="1"/>
        <x:v>0.78571428571428581</x:v>
      </x:c>
      <x:c r="H37" s="86" t="n">
        <x:f>IF(A37="Total",IF(B37="Over",1-SUMIF(Distributie!$A$4:$A$29,"&lt;="&amp;INT(C37),Distributie!$B$4:$B$29),SUMIF(Distributie!$A$4:$A$29,"&lt;="&amp;INT(C37),Distributie!$B$4:$B$29)),IF(A37="Gazde",IF(B37="Over",1-SUMIF(Distributie!$A$4:$A$29,"&lt;="&amp;INT(C37),Distributie!$D$4:$D$29),SUMIF(Distributie!$A$4:$A$29,"&lt;="&amp;INT(C37),Distributie!$D$4:$D$29)),IF(B37="Over",1-SUMIF(Distributie!$A$4:$A$29,"&lt;="&amp;INT(C37),Distributie!$F$4:$F$29),SUMIF(Distributie!$A$4:$A$29,"&lt;="&amp;INT(C37),Distributie!$F$4:$F$29))))</x:f>
        <x:v>0.767640042134627</x:v>
      </x:c>
      <x:c r="I37" s="86" t="n">
        <x:f>MIN(Parametri!$C$82,Calcul_Model!$B$73+IF(AND(A37="Total",B37="Under",C37&lt;=4.5,Calcul_Model!$B$35&gt;=Parametri!$C$70),Parametri!$C$76,0)+IF(AND(A37="Total",B37="Under",C37=4.5,Calcul_Model!$B$89&gt;=Parametri!$C$91),Parametri!$C$95,0)+IF(AND(A37="Total",B37="Under",C37=5.5,Calcul_Model!$B$90&gt;=Parametri!$C$93),Parametri!$C$95,0)+IF(AND(A37="Total",B37="Over",C37=2.5),LowCard_Secondary_v5!$B$15,0))</x:f>
        <x:v>0.020080379978078187</x:v>
      </x:c>
      <x:c r="J37" s="86">
        <x:f t="shared" si="2"/>
        <x:v>0.74755966215654879</x:v>
      </x:c>
      <x:c r="K37" s="87">
        <x:f t="shared" si="3"/>
        <x:v>1.3376858739477933</x:v>
      </x:c>
      <x:c r="L37" s="86">
        <x:f t="shared" si="4"/>
        <x:v>-3.8154623557737022E-2</x:v>
      </x:c>
      <x:c r="M37" s="86" t="str">
        <x:f t="shared" si="5"/>
      </x:c>
      <x:c r="N37" s="87" t="n">
        <x:f>IF(A37="Total",IF(B37="Over",Calcul_Model!$D$51-C37,C37-Calcul_Model!$D$51),IF(A37="Gazde",IF(B37="Over",Calcul_Model!$B$51-C37,C37-Calcul_Model!$B$51),IF(B37="Over",Calcul_Model!$C$51-C37,C37-Calcul_Model!$C$51)))</x:f>
        <x:v>1.2277900917062508</x:v>
      </x:c>
      <x:c r="O37" s="88" t="n">
        <x:f>Calcul_Model!$B$65</x:f>
        <x:v>91</x:v>
      </x:c>
      <x:c r="P37" s="83" t="str">
        <x:f>Calcul_Model!$B$85</x:f>
        <x:v>BET</x:v>
      </x:c>
      <x:c r="Q37" s="83" t="str">
        <x:v>INFORMATIV</x:v>
      </x:c>
      <x:c r="R37" s="83" t="n">
        <x:f t="shared" si="6"/>
        <x:v>0</x:v>
      </x:c>
      <x:c r="S37" s="89" t="str">
        <x:v>Neutilizat de motorul V3</x:v>
      </x:c>
    </x:row>
  </x:sheetData>
  <x:mergeCells>
    <x:mergeCell ref="A1:S1"/>
    <x:mergeCell ref="A2:S2"/>
  </x:mergeCells>
  <x:conditionalFormatting sqref="Q4:Q37">
    <x:cfRule type="containsText" dxfId="8" priority="1" operator="containsText" text="BET PRUDENT"/>
    <x:cfRule type="containsText" dxfId="7" priority="2" operator="containsText" text="BET MODERAT"/>
    <x:cfRule type="containsText" dxfId="6" priority="3" operator="containsText" text="NO BET"/>
    <x:cfRule type="containsText" dxfId="5" priority="4" operator="containsText" text="WATCH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3" customWidth="1"/>
    <x:col min="2" max="3" width="17" customWidth="1"/>
    <x:col min="4" max="4" width="21" customWidth="1"/>
    <x:col min="5" max="5" width="18" customWidth="1"/>
    <x:col min="6" max="6" width="17" customWidth="1"/>
    <x:col min="7" max="8" width="4" customWidth="1"/>
  </x:cols>
  <x:sheetData>
    <x:row r="1" ht="27.950000762939453" customHeight="1">
      <x:c r="A1" s="190" t="s">
        <x:v>577</x:v>
      </x:c>
      <x:c r="B1" s="190"/>
      <x:c r="C1" s="190"/>
      <x:c r="D1" s="190"/>
      <x:c r="E1" s="190"/>
      <x:c r="F1" s="190"/>
      <x:c r="G1" s="190"/>
      <x:c r="H1" s="190"/>
    </x:row>
    <x:row r="2">
      <x:c r="A2" s="196" t="s">
        <x:v>578</x:v>
      </x:c>
      <x:c r="B2" s="196"/>
      <x:c r="C2" s="196"/>
      <x:c r="D2" s="196"/>
      <x:c r="E2" s="196"/>
      <x:c r="F2" s="196"/>
      <x:c r="G2" s="196"/>
      <x:c r="H2" s="196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2" t="s">
        <x:v>562</x:v>
      </x:c>
      <x:c r="B4" s="90" t="s">
        <x:v>501</x:v>
      </x:c>
      <x:c r="C4" s="4"/>
      <x:c r="D4" s="1" t="s">
        <x:v>465</x:v>
      </x:c>
      <x:c r="E4" s="1" t="s">
        <x:v>1</x:v>
      </x:c>
      <x:c r="F4" s="4"/>
      <x:c r="G4" s="4"/>
      <x:c r="H4" s="4"/>
    </x:row>
    <x:row r="5">
      <x:c r="A5" s="2" t="s">
        <x:v>563</x:v>
      </x:c>
      <x:c r="B5" s="91" t="s">
        <x:v>575</x:v>
      </x:c>
      <x:c r="C5" s="4"/>
      <x:c r="D5" s="4" t="s">
        <x:v>579</x:v>
      </x:c>
      <x:c r="E5" s="92" t="n">
        <x:f>SUMIF(F19:F44,"WIN",B19:B44)+IF($B$5="Over",MAX(0,1-SUM(B19:B44)),0)</x:f>
        <x:v>0.6614682893871972</x:v>
      </x:c>
      <x:c r="F5" s="4"/>
      <x:c r="G5" s="4"/>
      <x:c r="H5" s="4"/>
    </x:row>
    <x:row r="6">
      <x:c r="A6" s="2" t="s">
        <x:v>564</x:v>
      </x:c>
      <x:c r="B6" s="93">
        <x:v>4.25</x:v>
      </x:c>
      <x:c r="C6" s="4"/>
      <x:c r="D6" s="4" t="s">
        <x:v>580</x:v>
      </x:c>
      <x:c r="E6" s="94" t="n">
        <x:f>SUMIF(F19:F44,"HALF WIN",B19:B44)</x:f>
        <x:v>0</x:v>
      </x:c>
      <x:c r="F6" s="4"/>
      <x:c r="G6" s="4"/>
      <x:c r="H6" s="4"/>
    </x:row>
    <x:row r="7">
      <x:c r="A7" s="2" t="s">
        <x:v>565</x:v>
      </x:c>
      <x:c r="B7" s="93">
        <x:v>1.9</x:v>
      </x:c>
      <x:c r="C7" s="4"/>
      <x:c r="D7" s="4" t="s">
        <x:v>581</x:v>
      </x:c>
      <x:c r="E7" s="94" t="n">
        <x:f>SUMIF(F19:F44,"PUSH",B19:B44)</x:f>
        <x:v>0</x:v>
      </x:c>
      <x:c r="F7" s="4"/>
      <x:c r="G7" s="4"/>
      <x:c r="H7" s="4"/>
    </x:row>
    <x:row r="8">
      <x:c r="A8" s="2" t="s">
        <x:v>566</x:v>
      </x:c>
      <x:c r="B8" s="95">
        <x:v>1.9</x:v>
      </x:c>
      <x:c r="C8" s="4"/>
      <x:c r="D8" s="4" t="s">
        <x:v>582</x:v>
      </x:c>
      <x:c r="E8" s="94" t="n">
        <x:f>SUMIF(F19:F44,"HALF LOSS",B19:B44)</x:f>
        <x:v>0.15048829891790594</x:v>
      </x:c>
      <x:c r="F8" s="4"/>
      <x:c r="G8" s="4"/>
      <x:c r="H8" s="4"/>
    </x:row>
    <x:row r="9">
      <x:c r="A9" s="2" t="s">
        <x:v>583</x:v>
      </x:c>
      <x:c r="B9" s="96" t="n">
        <x:f>MOD(B6,1)</x:f>
        <x:v>0.25</x:v>
      </x:c>
      <x:c r="C9" s="4"/>
      <x:c r="D9" s="4" t="s">
        <x:v>584</x:v>
      </x:c>
      <x:c r="E9" s="94" t="n">
        <x:f>SUMIF(F19:F44,"LOSS",B19:B44)+IF($B$5="Under",MAX(0,1-SUM(B19:B44)),0)</x:f>
        <x:v>0.18804341169489697</x:v>
      </x:c>
      <x:c r="F9" s="4"/>
      <x:c r="G9" s="4"/>
      <x:c r="H9" s="4"/>
    </x:row>
    <x:row r="10">
      <x:c r="A10" s="2" t="s">
        <x:v>585</x:v>
      </x:c>
      <x:c r="B10" s="97" t="n">
        <x:f>IF(B9=0.25,INT(B6),IF(B9=0.75,INT(B6)+0.5,B6))</x:f>
        <x:v>4</x:v>
      </x:c>
      <x:c r="C10" s="4"/>
      <x:c r="D10" s="4" t="s">
        <x:v>586</x:v>
      </x:c>
      <x:c r="E10" s="94" t="n">
        <x:f>E5+0.5*E6</x:f>
        <x:v>0.6614682893871972</x:v>
      </x:c>
      <x:c r="F10" s="4"/>
      <x:c r="G10" s="4"/>
      <x:c r="H10" s="4"/>
    </x:row>
    <x:row r="11">
      <x:c r="A11" s="2" t="s">
        <x:v>587</x:v>
      </x:c>
      <x:c r="B11" s="97" t="n">
        <x:f>IF(B9=0.25,INT(B6)+0.5,IF(B9=0.75,INT(B6)+1,B6))</x:f>
        <x:v>4.5</x:v>
      </x:c>
      <x:c r="C11" s="4"/>
      <x:c r="D11" s="4" t="s">
        <x:v>588</x:v>
      </x:c>
      <x:c r="E11" s="94" t="n">
        <x:f>E9+0.5*E8</x:f>
        <x:v>0.26328756115384994</x:v>
      </x:c>
      <x:c r="F11" s="4"/>
      <x:c r="G11" s="4"/>
      <x:c r="H11" s="4"/>
    </x:row>
    <x:row r="12">
      <x:c r="A12" s="2" t="s">
        <x:v>505</x:v>
      </x:c>
      <x:c r="B12" s="97" t="n">
        <x:f>IF(B4="Total",Calcul_Model!$D$51,IF(B4="Gazde",Calcul_Model!$B$51,Calcul_Model!$C$51))</x:f>
        <x:v>5.623960983357235</x:v>
      </x:c>
      <x:c r="C12" s="4"/>
      <x:c r="D12" s="4" t="s">
        <x:v>589</x:v>
      </x:c>
      <x:c r="E12" s="98" t="n">
        <x:f>IFERROR(1+E11/E10,"")</x:f>
        <x:v>1.3980350462420004</x:v>
      </x:c>
      <x:c r="F12" s="4"/>
      <x:c r="G12" s="4"/>
      <x:c r="H12" s="4"/>
    </x:row>
    <x:row r="13">
      <x:c r="A13" s="2" t="s">
        <x:v>26</x:v>
      </x:c>
      <x:c r="B13" s="97" t="n">
        <x:f>Calcul_Model!$B$65</x:f>
        <x:v>91</x:v>
      </x:c>
      <x:c r="C13" s="4"/>
      <x:c r="D13" s="4" t="s">
        <x:v>590</x:v>
      </x:c>
      <x:c r="E13" s="94" t="n">
        <x:f>E10*($B$7-1)-E11</x:f>
        <x:v>0.3320338992946274</x:v>
      </x:c>
      <x:c r="F13" s="4"/>
      <x:c r="G13" s="4"/>
      <x:c r="H13" s="4"/>
    </x:row>
    <x:row r="14">
      <x:c r="A14" s="2" t="s">
        <x:v>574</x:v>
      </x:c>
      <x:c r="B14" s="99" t="str">
        <x:f>Calcul_Model!$B$85</x:f>
        <x:v>BET</x:v>
      </x:c>
      <x:c r="C14" s="4"/>
      <x:c r="D14" s="4" t="s">
        <x:v>363</x:v>
      </x:c>
      <x:c r="E14" s="94" t="n">
        <x:f>MIN(Parametri!$C$82,Calcul_Model!$B$73+IF(AND($B$4="Total",$B$5="Under",$B$6&lt;=4.5,Calcul_Model!$B$35&gt;=Parametri!$C$70),Parametri!$C$76,0)+IF(AND($B$4="Total",$B$5="Under",$B$6&gt;=4.25,$B$6&lt;=4.75,Calcul_Model!$B$89&gt;=Parametri!$C$91),Parametri!$C$95,0)+IF(AND($B$4="Total",$B$5="Under",$B$6&gt;=5.25,$B$6&lt;=5.75,Calcul_Model!$B$90&gt;=Parametri!$C$93),Parametri!$C$95,0))</x:f>
        <x:v>0.020080379978078187</x:v>
      </x:c>
      <x:c r="F14" s="4"/>
      <x:c r="G14" s="4"/>
      <x:c r="H14" s="4"/>
    </x:row>
    <x:row r="15">
      <x:c r="A15" s="4"/>
      <x:c r="B15" s="4"/>
      <x:c r="C15" s="4"/>
      <x:c r="D15" s="4" t="s">
        <x:v>591</x:v>
      </x:c>
      <x:c r="E15" s="94" t="n">
        <x:f>MAX(0,E10-E14)*($B$7-1)-MIN(1,E11+E14)</x:f>
        <x:v>0.2938811773362789</x:v>
      </x:c>
      <x:c r="F15" s="4"/>
      <x:c r="G15" s="4"/>
      <x:c r="H15" s="4"/>
    </x:row>
    <x:row r="16">
      <x:c r="A16" s="4"/>
      <x:c r="B16" s="4"/>
      <x:c r="C16" s="4"/>
      <x:c r="D16" s="4" t="s">
        <x:v>592</x:v>
      </x:c>
      <x:c r="E16" s="99" t="str">
        <x:f>IF($B$14&lt;&gt;"BET","WATCH",IF(AND($B$4="Total",$B$5="Under",$B$6&gt;=4.25,$B$6&lt;=4.75,OR(Calcul_Model!$B$89&gt;=Parametri!$C$92,AND(Input_Meci!$E$8="PRUDENT",Calcul_Model!$B$89&gt;=Parametri!$C$91))),"NO BET - TAIL 5+",IF(AND($B$4="Total",$B$5="Under",$B$6&gt;=5.25,$B$6&lt;=5.75,OR(Calcul_Model!$B$90&gt;=Parametri!$C$94,AND(Input_Meci!$E$8="PRUDENT",Calcul_Model!$B$90&gt;=Parametri!$C$93))),"NO BET - TAIL 6+",IF(AND($B$4="Total",$B$5="Under",$B$6&lt;=4.5,OR(Calcul_Model!$B$35&gt;=Parametri!$C$71,Calcul_Model!$C$55&gt;=Parametri!$C$74)),"NO BET - RED/DISP",IF(AND(E15&gt;=IF(Input_Meci!$E$8="PRUDENT",Parametri!$C$55,Parametri!$C$59),1-MIN(1,E11+E14)&gt;=IF(Input_Meci!$E$8="PRUDENT",Parametri!$C$53,Parametri!$C$57)),"BET "&amp;Input_Meci!$E$8,"NO BET")))))</x:f>
        <x:v>NO BET</x:v>
      </x:c>
      <x:c r="F16" s="4"/>
      <x:c r="G16" s="4"/>
      <x:c r="H16" s="4"/>
    </x:row>
    <x:row r="17">
      <x:c r="A17" s="4"/>
      <x:c r="B17" s="4"/>
      <x:c r="C17" s="4"/>
      <x:c r="D17" s="4" t="s">
        <x:v>593</x:v>
      </x:c>
      <x:c r="E17" s="100" t="n">
        <x:f>(1/$B$7)/((1/$B$7)+(1/$B$8))</x:f>
        <x:v>0.5</x:v>
      </x:c>
      <x:c r="F17" s="4"/>
      <x:c r="G17" s="4"/>
      <x:c r="H17" s="4"/>
    </x:row>
    <x:row r="18">
      <x:c r="A18" s="101" t="s">
        <x:v>552</x:v>
      </x:c>
      <x:c r="B18" s="102" t="s">
        <x:v>594</x:v>
      </x:c>
      <x:c r="C18" s="102" t="s">
        <x:v>595</x:v>
      </x:c>
      <x:c r="D18" s="102" t="s">
        <x:v>596</x:v>
      </x:c>
      <x:c r="E18" s="102" t="s">
        <x:v>597</x:v>
      </x:c>
      <x:c r="F18" s="103" t="s">
        <x:v>598</x:v>
      </x:c>
      <x:c r="G18" s="4"/>
      <x:c r="H18" s="4"/>
    </x:row>
    <x:row r="19">
      <x:c r="A19" s="104">
        <x:v>0</x:v>
      </x:c>
      <x:c r="B19" s="64" t="n">
        <x:f>IF($B$4="Total",Distributie!B4,IF($B$4="Gazde",Distributie!D4,Distributie!F4))</x:f>
        <x:v>0.0036103123625543273</x:v>
      </x:c>
      <x:c r="C19" s="11" t="n">
        <x:f t="shared" ref="C19:C44" si="0">IF($B$5="Over",IF(A19&gt;$B$10,$B$7-1,IF(A19=$B$10,0,-1)),IF(A19&lt;$B$10,$B$7-1,IF(A19=$B$10,0,-1)))</x:f>
        <x:v>-1</x:v>
      </x:c>
      <x:c r="D19" s="11" t="n">
        <x:f t="shared" ref="D19:D44" si="1">IF($B$5="Over",IF(A19&gt;$B$11,$B$7-1,IF(A19=$B$11,0,-1)),IF(A19&lt;$B$11,$B$7-1,IF(A19=$B$11,0,-1)))</x:f>
        <x:v>-1</x:v>
      </x:c>
      <x:c r="E19" s="11" t="n">
        <x:f t="shared" ref="E19:E44" si="2">AVERAGE(C19:D19)</x:f>
        <x:v>-1</x:v>
      </x:c>
      <x:c r="F19" s="105" t="str">
        <x:f t="shared" ref="F19:F44" si="3">IF(ABS(E19-($B$7-1))&lt;0.000001,"WIN",IF(ABS(E19-(($B$7-1)/2))&lt;0.000001,"HALF WIN",IF(ABS(E19)&lt;0.000001,"PUSH",IF(ABS(E19+0.5)&lt;0.000001,"HALF LOSS","LOSS"))))</x:f>
        <x:v>LOSS</x:v>
      </x:c>
      <x:c r="G19" s="4"/>
      <x:c r="H19" s="4"/>
    </x:row>
    <x:row r="20">
      <x:c r="A20" s="104">
        <x:v>1</x:v>
      </x:c>
      <x:c r="B20" s="64" t="n">
        <x:f>IF($B$4="Total",Distributie!B5,IF($B$4="Gazde",Distributie!D5,Distributie!F5))</x:f>
        <x:v>0.020304255864737816</x:v>
      </x:c>
      <x:c r="C20" s="11">
        <x:f t="shared" si="0"/>
        <x:v>-1</x:v>
      </x:c>
      <x:c r="D20" s="11">
        <x:f t="shared" si="1"/>
        <x:v>-1</x:v>
      </x:c>
      <x:c r="E20" s="11">
        <x:f t="shared" si="2"/>
        <x:v>-1</x:v>
      </x:c>
      <x:c r="F20" s="105" t="str">
        <x:f t="shared" si="3"/>
        <x:v>LOSS</x:v>
      </x:c>
      <x:c r="G20" s="4"/>
      <x:c r="H20" s="4"/>
    </x:row>
    <x:row r="21">
      <x:c r="A21" s="104">
        <x:v>2</x:v>
      </x:c>
      <x:c r="B21" s="64" t="n">
        <x:f>IF($B$4="Total",Distributie!B6,IF($B$4="Gazde",Distributie!D6,Distributie!F6))</x:f>
        <x:v>0.057095171389693895</x:v>
      </x:c>
      <x:c r="C21" s="11">
        <x:f t="shared" si="0"/>
        <x:v>-1</x:v>
      </x:c>
      <x:c r="D21" s="11">
        <x:f t="shared" si="1"/>
        <x:v>-1</x:v>
      </x:c>
      <x:c r="E21" s="11">
        <x:f t="shared" si="2"/>
        <x:v>-1</x:v>
      </x:c>
      <x:c r="F21" s="105" t="str">
        <x:f t="shared" si="3"/>
        <x:v>LOSS</x:v>
      </x:c>
      <x:c r="G21" s="4"/>
      <x:c r="H21" s="4"/>
    </x:row>
    <x:row r="22">
      <x:c r="A22" s="104">
        <x:v>3</x:v>
      </x:c>
      <x:c r="B22" s="64" t="n">
        <x:f>IF($B$4="Total",Distributie!B7,IF($B$4="Gazde",Distributie!D7,Distributie!F7))</x:f>
        <x:v>0.10703367207791092</x:v>
      </x:c>
      <x:c r="C22" s="11">
        <x:f t="shared" si="0"/>
        <x:v>-1</x:v>
      </x:c>
      <x:c r="D22" s="11">
        <x:f t="shared" si="1"/>
        <x:v>-1</x:v>
      </x:c>
      <x:c r="E22" s="11">
        <x:f t="shared" si="2"/>
        <x:v>-1</x:v>
      </x:c>
      <x:c r="F22" s="105" t="str">
        <x:f t="shared" si="3"/>
        <x:v>LOSS</x:v>
      </x:c>
      <x:c r="G22" s="4"/>
      <x:c r="H22" s="4"/>
    </x:row>
    <x:row r="23">
      <x:c r="A23" s="104">
        <x:v>4</x:v>
      </x:c>
      <x:c r="B23" s="64" t="n">
        <x:f>IF($B$4="Total",Distributie!B8,IF($B$4="Gazde",Distributie!D8,Distributie!F8))</x:f>
        <x:v>0.15048829891790594</x:v>
      </x:c>
      <x:c r="C23" s="11">
        <x:f t="shared" si="0"/>
        <x:v>0</x:v>
      </x:c>
      <x:c r="D23" s="11">
        <x:f t="shared" si="1"/>
        <x:v>-1</x:v>
      </x:c>
      <x:c r="E23" s="11">
        <x:f t="shared" si="2"/>
        <x:v>-0.5</x:v>
      </x:c>
      <x:c r="F23" s="105" t="str">
        <x:f t="shared" si="3"/>
        <x:v>HALF LOSS</x:v>
      </x:c>
      <x:c r="G23" s="4"/>
      <x:c r="H23" s="4"/>
    </x:row>
    <x:row r="24">
      <x:c r="A24" s="104">
        <x:v>5</x:v>
      </x:c>
      <x:c r="B24" s="64" t="n">
        <x:f>IF($B$4="Total",Distributie!B9,IF($B$4="Gazde",Distributie!D9,Distributie!F9))</x:f>
        <x:v>0.16926806431322078</x:v>
      </x:c>
      <x:c r="C24" s="11">
        <x:f t="shared" si="0"/>
        <x:v>0.89999999999999991</x:v>
      </x:c>
      <x:c r="D24" s="11">
        <x:f t="shared" si="1"/>
        <x:v>0.89999999999999991</x:v>
      </x:c>
      <x:c r="E24" s="11">
        <x:f t="shared" si="2"/>
        <x:v>0.89999999999999991</x:v>
      </x:c>
      <x:c r="F24" s="105" t="str">
        <x:f t="shared" si="3"/>
        <x:v>WIN</x:v>
      </x:c>
      <x:c r="G24" s="4"/>
      <x:c r="H24" s="4"/>
    </x:row>
    <x:row r="25">
      <x:c r="A25" s="104">
        <x:v>6</x:v>
      </x:c>
      <x:c r="B25" s="64" t="n">
        <x:f>IF($B$4="Total",Distributie!B10,IF($B$4="Gazde",Distributie!D10,Distributie!F10))</x:f>
        <x:v>0.15865949823765949</x:v>
      </x:c>
      <x:c r="C25" s="11">
        <x:f t="shared" si="0"/>
        <x:v>0.89999999999999991</x:v>
      </x:c>
      <x:c r="D25" s="11">
        <x:f t="shared" si="1"/>
        <x:v>0.89999999999999991</x:v>
      </x:c>
      <x:c r="E25" s="11">
        <x:f t="shared" si="2"/>
        <x:v>0.89999999999999991</x:v>
      </x:c>
      <x:c r="F25" s="105" t="str">
        <x:f t="shared" si="3"/>
        <x:v>WIN</x:v>
      </x:c>
      <x:c r="G25" s="4"/>
      <x:c r="H25" s="4"/>
    </x:row>
    <x:row r="26">
      <x:c r="A26" s="104">
        <x:v>7</x:v>
      </x:c>
      <x:c r="B26" s="64" t="n">
        <x:f>IF($B$4="Total",Distributie!B11,IF($B$4="Gazde",Distributie!D11,Distributie!F11))</x:f>
        <x:v>0.12747068967537614</x:v>
      </x:c>
      <x:c r="C26" s="11">
        <x:f t="shared" si="0"/>
        <x:v>0.89999999999999991</x:v>
      </x:c>
      <x:c r="D26" s="11">
        <x:f t="shared" si="1"/>
        <x:v>0.89999999999999991</x:v>
      </x:c>
      <x:c r="E26" s="11">
        <x:f t="shared" si="2"/>
        <x:v>0.89999999999999991</x:v>
      </x:c>
      <x:c r="F26" s="105" t="str">
        <x:f t="shared" si="3"/>
        <x:v>WIN</x:v>
      </x:c>
      <x:c r="G26" s="4"/>
      <x:c r="H26" s="4"/>
    </x:row>
    <x:row r="27">
      <x:c r="A27" s="104">
        <x:v>8</x:v>
      </x:c>
      <x:c r="B27" s="64" t="n">
        <x:f>IF($B$4="Total",Distributie!B12,IF($B$4="Gazde",Distributie!D12,Distributie!F12))</x:f>
        <x:v>0.08961127315699417</x:v>
      </x:c>
      <x:c r="C27" s="11">
        <x:f t="shared" si="0"/>
        <x:v>0.89999999999999991</x:v>
      </x:c>
      <x:c r="D27" s="11">
        <x:f t="shared" si="1"/>
        <x:v>0.89999999999999991</x:v>
      </x:c>
      <x:c r="E27" s="11">
        <x:f t="shared" si="2"/>
        <x:v>0.89999999999999991</x:v>
      </x:c>
      <x:c r="F27" s="105" t="str">
        <x:f t="shared" si="3"/>
        <x:v>WIN</x:v>
      </x:c>
      <x:c r="G27" s="4"/>
      <x:c r="H27" s="4"/>
    </x:row>
    <x:row r="28">
      <x:c r="A28" s="104">
        <x:v>9</x:v>
      </x:c>
      <x:c r="B28" s="64" t="n">
        <x:f>IF($B$4="Total",Distributie!B13,IF($B$4="Gazde",Distributie!D13,Distributie!F13))</x:f>
        <x:v>0.05599670043376697</x:v>
      </x:c>
      <x:c r="C28" s="11">
        <x:f t="shared" si="0"/>
        <x:v>0.89999999999999991</x:v>
      </x:c>
      <x:c r="D28" s="11">
        <x:f t="shared" si="1"/>
        <x:v>0.89999999999999991</x:v>
      </x:c>
      <x:c r="E28" s="11">
        <x:f t="shared" si="2"/>
        <x:v>0.89999999999999991</x:v>
      </x:c>
      <x:c r="F28" s="105" t="str">
        <x:f t="shared" si="3"/>
        <x:v>WIN</x:v>
      </x:c>
      <x:c r="G28" s="4"/>
      <x:c r="H28" s="4"/>
    </x:row>
    <x:row r="29">
      <x:c r="A29" s="104">
        <x:v>10</x:v>
      </x:c>
      <x:c r="B29" s="64" t="n">
        <x:f>IF($B$4="Total",Distributie!B14,IF($B$4="Gazde",Distributie!D14,Distributie!F14))</x:f>
        <x:v>0.03149232584362486</x:v>
      </x:c>
      <x:c r="C29" s="11">
        <x:f t="shared" si="0"/>
        <x:v>0.89999999999999991</x:v>
      </x:c>
      <x:c r="D29" s="11">
        <x:f t="shared" si="1"/>
        <x:v>0.89999999999999991</x:v>
      </x:c>
      <x:c r="E29" s="11">
        <x:f t="shared" si="2"/>
        <x:v>0.89999999999999991</x:v>
      </x:c>
      <x:c r="F29" s="105" t="str">
        <x:f t="shared" si="3"/>
        <x:v>WIN</x:v>
      </x:c>
      <x:c r="G29" s="4"/>
      <x:c r="H29" s="4"/>
    </x:row>
    <x:row r="30">
      <x:c r="A30" s="104">
        <x:v>11</x:v>
      </x:c>
      <x:c r="B30" s="64" t="n">
        <x:f>IF($B$4="Total",Distributie!B15,IF($B$4="Gazde",Distributie!D15,Distributie!F15))</x:f>
        <x:v>0.01610105561997445</x:v>
      </x:c>
      <x:c r="C30" s="11">
        <x:f t="shared" si="0"/>
        <x:v>0.89999999999999991</x:v>
      </x:c>
      <x:c r="D30" s="11">
        <x:f t="shared" si="1"/>
        <x:v>0.89999999999999991</x:v>
      </x:c>
      <x:c r="E30" s="11">
        <x:f t="shared" si="2"/>
        <x:v>0.89999999999999991</x:v>
      </x:c>
      <x:c r="F30" s="105" t="str">
        <x:f t="shared" si="3"/>
        <x:v>WIN</x:v>
      </x:c>
      <x:c r="G30" s="4"/>
      <x:c r="H30" s="4"/>
    </x:row>
    <x:row r="31">
      <x:c r="A31" s="104">
        <x:v>12</x:v>
      </x:c>
      <x:c r="B31" s="64" t="n">
        <x:f>IF($B$4="Total",Distributie!B16,IF($B$4="Gazde",Distributie!D16,Distributie!F16))</x:f>
        <x:v>0.007545975716466754</x:v>
      </x:c>
      <x:c r="C31" s="11">
        <x:f t="shared" si="0"/>
        <x:v>0.89999999999999991</x:v>
      </x:c>
      <x:c r="D31" s="11">
        <x:f t="shared" si="1"/>
        <x:v>0.89999999999999991</x:v>
      </x:c>
      <x:c r="E31" s="11">
        <x:f t="shared" si="2"/>
        <x:v>0.89999999999999991</x:v>
      </x:c>
      <x:c r="F31" s="105" t="str">
        <x:f t="shared" si="3"/>
        <x:v>WIN</x:v>
      </x:c>
      <x:c r="G31" s="4"/>
      <x:c r="H31" s="4"/>
    </x:row>
    <x:row r="32">
      <x:c r="A32" s="104">
        <x:v>13</x:v>
      </x:c>
      <x:c r="B32" s="64" t="n">
        <x:f>IF($B$4="Total",Distributie!B17,IF($B$4="Gazde",Distributie!D17,Distributie!F17))</x:f>
        <x:v>0.003264482539290014</x:v>
      </x:c>
      <x:c r="C32" s="11">
        <x:f t="shared" si="0"/>
        <x:v>0.89999999999999991</x:v>
      </x:c>
      <x:c r="D32" s="11">
        <x:f t="shared" si="1"/>
        <x:v>0.89999999999999991</x:v>
      </x:c>
      <x:c r="E32" s="11">
        <x:f t="shared" si="2"/>
        <x:v>0.89999999999999991</x:v>
      </x:c>
      <x:c r="F32" s="105" t="str">
        <x:f t="shared" si="3"/>
        <x:v>WIN</x:v>
      </x:c>
      <x:c r="G32" s="4"/>
      <x:c r="H32" s="4"/>
    </x:row>
    <x:row r="33">
      <x:c r="A33" s="104">
        <x:v>14</x:v>
      </x:c>
      <x:c r="B33" s="64" t="n">
        <x:f>IF($B$4="Total",Distributie!B18,IF($B$4="Gazde",Distributie!D18,Distributie!F18))</x:f>
        <x:v>0.0013113801737012851</x:v>
      </x:c>
      <x:c r="C33" s="11">
        <x:f t="shared" si="0"/>
        <x:v>0.89999999999999991</x:v>
      </x:c>
      <x:c r="D33" s="11">
        <x:f t="shared" si="1"/>
        <x:v>0.89999999999999991</x:v>
      </x:c>
      <x:c r="E33" s="11">
        <x:f t="shared" si="2"/>
        <x:v>0.89999999999999991</x:v>
      </x:c>
      <x:c r="F33" s="105" t="str">
        <x:f t="shared" si="3"/>
        <x:v>WIN</x:v>
      </x:c>
      <x:c r="G33" s="4"/>
      <x:c r="H33" s="4"/>
    </x:row>
    <x:row r="34">
      <x:c r="A34" s="104">
        <x:v>15</x:v>
      </x:c>
      <x:c r="B34" s="64" t="n">
        <x:f>IF($B$4="Total",Distributie!B19,IF($B$4="Gazde",Distributie!D19,Distributie!F19))</x:f>
        <x:v>0.0004916767287496174</x:v>
      </x:c>
      <x:c r="C34" s="11">
        <x:f t="shared" si="0"/>
        <x:v>0.89999999999999991</x:v>
      </x:c>
      <x:c r="D34" s="11">
        <x:f t="shared" si="1"/>
        <x:v>0.89999999999999991</x:v>
      </x:c>
      <x:c r="E34" s="11">
        <x:f t="shared" si="2"/>
        <x:v>0.89999999999999991</x:v>
      </x:c>
      <x:c r="F34" s="105" t="str">
        <x:f t="shared" si="3"/>
        <x:v>WIN</x:v>
      </x:c>
      <x:c r="G34" s="4"/>
      <x:c r="H34" s="4"/>
    </x:row>
    <x:row r="35">
      <x:c r="A35" s="104">
        <x:v>16</x:v>
      </x:c>
      <x:c r="B35" s="64" t="n">
        <x:f>IF($B$4="Total",Distributie!B20,IF($B$4="Gazde",Distributie!D20,Distributie!F20))</x:f>
        <x:v>0.00017282317118203543</x:v>
      </x:c>
      <x:c r="C35" s="11">
        <x:f t="shared" si="0"/>
        <x:v>0.89999999999999991</x:v>
      </x:c>
      <x:c r="D35" s="11">
        <x:f t="shared" si="1"/>
        <x:v>0.89999999999999991</x:v>
      </x:c>
      <x:c r="E35" s="11">
        <x:f t="shared" si="2"/>
        <x:v>0.89999999999999991</x:v>
      </x:c>
      <x:c r="F35" s="105" t="str">
        <x:f t="shared" si="3"/>
        <x:v>WIN</x:v>
      </x:c>
      <x:c r="G35" s="4"/>
      <x:c r="H35" s="4"/>
    </x:row>
    <x:row r="36">
      <x:c r="A36" s="104">
        <x:v>17</x:v>
      </x:c>
      <x:c r="B36" s="64" t="n">
        <x:f>IF($B$4="Total",Distributie!B21,IF($B$4="Gazde",Distributie!D21,Distributie!F21))</x:f>
        <x:v>0.00005717357480869622</x:v>
      </x:c>
      <x:c r="C36" s="11">
        <x:f t="shared" si="0"/>
        <x:v>0.89999999999999991</x:v>
      </x:c>
      <x:c r="D36" s="11">
        <x:f t="shared" si="1"/>
        <x:v>0.89999999999999991</x:v>
      </x:c>
      <x:c r="E36" s="11">
        <x:f t="shared" si="2"/>
        <x:v>0.89999999999999991</x:v>
      </x:c>
      <x:c r="F36" s="105" t="str">
        <x:f t="shared" si="3"/>
        <x:v>WIN</x:v>
      </x:c>
      <x:c r="G36" s="4"/>
      <x:c r="H36" s="4"/>
    </x:row>
    <x:row r="37">
      <x:c r="A37" s="104">
        <x:v>18</x:v>
      </x:c>
      <x:c r="B37" s="64" t="n">
        <x:f>IF($B$4="Total",Distributie!B22,IF($B$4="Gazde",Distributie!D22,Distributie!F22))</x:f>
        <x:v>0.000017863441889064648</x:v>
      </x:c>
      <x:c r="C37" s="11">
        <x:f t="shared" si="0"/>
        <x:v>0.89999999999999991</x:v>
      </x:c>
      <x:c r="D37" s="11">
        <x:f t="shared" si="1"/>
        <x:v>0.89999999999999991</x:v>
      </x:c>
      <x:c r="E37" s="11">
        <x:f t="shared" si="2"/>
        <x:v>0.89999999999999991</x:v>
      </x:c>
      <x:c r="F37" s="105" t="str">
        <x:f t="shared" si="3"/>
        <x:v>WIN</x:v>
      </x:c>
      <x:c r="G37" s="4"/>
      <x:c r="H37" s="4"/>
    </x:row>
    <x:row r="38">
      <x:c r="A38" s="104">
        <x:v>19</x:v>
      </x:c>
      <x:c r="B38" s="64" t="n">
        <x:f>IF($B$4="Total",Distributie!B23,IF($B$4="Gazde",Distributie!D23,Distributie!F23))</x:f>
        <x:v>0.000005287542116450991</x:v>
      </x:c>
      <x:c r="C38" s="11">
        <x:f t="shared" si="0"/>
        <x:v>0.89999999999999991</x:v>
      </x:c>
      <x:c r="D38" s="11">
        <x:f t="shared" si="1"/>
        <x:v>0.89999999999999991</x:v>
      </x:c>
      <x:c r="E38" s="11">
        <x:f t="shared" si="2"/>
        <x:v>0.89999999999999991</x:v>
      </x:c>
      <x:c r="F38" s="105" t="str">
        <x:f t="shared" si="3"/>
        <x:v>WIN</x:v>
      </x:c>
      <x:c r="G38" s="4"/>
      <x:c r="H38" s="4"/>
    </x:row>
    <x:row r="39">
      <x:c r="A39" s="104">
        <x:v>20</x:v>
      </x:c>
      <x:c r="B39" s="64" t="n">
        <x:f>IF($B$4="Total",Distributie!B24,IF($B$4="Gazde",Distributie!D24,Distributie!F24))</x:f>
        <x:v>0.0000014868465280389257</x:v>
      </x:c>
      <x:c r="C39" s="11">
        <x:f t="shared" si="0"/>
        <x:v>0.89999999999999991</x:v>
      </x:c>
      <x:c r="D39" s="11">
        <x:f t="shared" si="1"/>
        <x:v>0.89999999999999991</x:v>
      </x:c>
      <x:c r="E39" s="11">
        <x:f t="shared" si="2"/>
        <x:v>0.89999999999999991</x:v>
      </x:c>
      <x:c r="F39" s="105" t="str">
        <x:f t="shared" si="3"/>
        <x:v>WIN</x:v>
      </x:c>
      <x:c r="G39" s="4"/>
      <x:c r="H39" s="4"/>
    </x:row>
    <x:row r="40">
      <x:c r="A40" s="104">
        <x:v>21</x:v>
      </x:c>
      <x:c r="B40" s="64" t="n">
        <x:f>IF($B$4="Total",Distributie!B25,IF($B$4="Gazde",Distributie!D25,Distributie!F25))</x:f>
        <x:v>3.981888981871946e-7</x:v>
      </x:c>
      <x:c r="C40" s="11">
        <x:f t="shared" si="0"/>
        <x:v>0.89999999999999991</x:v>
      </x:c>
      <x:c r="D40" s="11">
        <x:f t="shared" si="1"/>
        <x:v>0.89999999999999991</x:v>
      </x:c>
      <x:c r="E40" s="11">
        <x:f t="shared" si="2"/>
        <x:v>0.89999999999999991</x:v>
      </x:c>
      <x:c r="F40" s="105" t="str">
        <x:f t="shared" si="3"/>
        <x:v>WIN</x:v>
      </x:c>
      <x:c r="G40" s="4"/>
      <x:c r="H40" s="4"/>
    </x:row>
    <x:row r="41">
      <x:c r="A41" s="104">
        <x:v>22</x:v>
      </x:c>
      <x:c r="B41" s="64" t="n">
        <x:f>IF($B$4="Total",Distributie!B26,IF($B$4="Gazde",Distributie!D26,Distributie!F26))</x:f>
        <x:v>1.0179085579139951e-7</x:v>
      </x:c>
      <x:c r="C41" s="11">
        <x:f t="shared" si="0"/>
        <x:v>0.89999999999999991</x:v>
      </x:c>
      <x:c r="D41" s="11">
        <x:f t="shared" si="1"/>
        <x:v>0.89999999999999991</x:v>
      </x:c>
      <x:c r="E41" s="11">
        <x:f t="shared" si="2"/>
        <x:v>0.89999999999999991</x:v>
      </x:c>
      <x:c r="F41" s="105" t="str">
        <x:f t="shared" si="3"/>
        <x:v>WIN</x:v>
      </x:c>
      <x:c r="G41" s="4"/>
      <x:c r="H41" s="4"/>
    </x:row>
    <x:row r="42">
      <x:c r="A42" s="104">
        <x:v>23</x:v>
      </x:c>
      <x:c r="B42" s="64" t="n">
        <x:f>IF($B$4="Total",Distributie!B27,IF($B$4="Gazde",Distributie!D27,Distributie!F27))</x:f>
        <x:v>2.4889904410146683e-8</x:v>
      </x:c>
      <x:c r="C42" s="11">
        <x:f t="shared" si="0"/>
        <x:v>0.89999999999999991</x:v>
      </x:c>
      <x:c r="D42" s="11">
        <x:f t="shared" si="1"/>
        <x:v>0.89999999999999991</x:v>
      </x:c>
      <x:c r="E42" s="11">
        <x:f t="shared" si="2"/>
        <x:v>0.89999999999999991</x:v>
      </x:c>
      <x:c r="F42" s="105" t="str">
        <x:f t="shared" si="3"/>
        <x:v>WIN</x:v>
      </x:c>
      <x:c r="G42" s="4"/>
      <x:c r="H42" s="4"/>
    </x:row>
    <x:row r="43">
      <x:c r="A43" s="104">
        <x:v>24</x:v>
      </x:c>
      <x:c r="B43" s="64" t="n">
        <x:f>IF($B$4="Total",Distributie!B28,IF($B$4="Gazde",Distributie!D28,Distributie!F28))</x:f>
        <x:v>5.832493803423172e-9</x:v>
      </x:c>
      <x:c r="C43" s="11">
        <x:f t="shared" si="0"/>
        <x:v>0.89999999999999991</x:v>
      </x:c>
      <x:c r="D43" s="11">
        <x:f t="shared" si="1"/>
        <x:v>0.89999999999999991</x:v>
      </x:c>
      <x:c r="E43" s="11">
        <x:f t="shared" si="2"/>
        <x:v>0.89999999999999991</x:v>
      </x:c>
      <x:c r="F43" s="105" t="str">
        <x:f t="shared" si="3"/>
        <x:v>WIN</x:v>
      </x:c>
      <x:c r="G43" s="4"/>
      <x:c r="H43" s="4"/>
    </x:row>
    <x:row r="44">
      <x:c r="A44" s="106">
        <x:v>25</x:v>
      </x:c>
      <x:c r="B44" s="65" t="n">
        <x:f>IF($B$4="Total",Distributie!B29,IF($B$4="Gazde",Distributie!D29,Distributie!F29))</x:f>
        <x:v>1.3120687034449905e-9</x:v>
      </x:c>
      <x:c r="C44" s="15">
        <x:f t="shared" si="0"/>
        <x:v>0.89999999999999991</x:v>
      </x:c>
      <x:c r="D44" s="15">
        <x:f t="shared" si="1"/>
        <x:v>0.89999999999999991</x:v>
      </x:c>
      <x:c r="E44" s="15">
        <x:f t="shared" si="2"/>
        <x:v>0.89999999999999991</x:v>
      </x:c>
      <x:c r="F44" s="107" t="str">
        <x:f t="shared" si="3"/>
        <x:v>WIN</x:v>
      </x:c>
      <x:c r="G44" s="4"/>
      <x:c r="H44" s="4"/>
    </x:row>
  </x:sheetData>
  <x:mergeCells>
    <x:mergeCell ref="A1:H1"/>
    <x:mergeCell ref="A2:H2"/>
  </x:mergeCells>
  <x:conditionalFormatting sqref="E16:E16">
    <x:cfRule type="containsText" dxfId="4" priority="1" operator="containsText" text="BET"/>
    <x:cfRule type="containsText" dxfId="3" priority="2" operator="containsText" text="NO BET"/>
  </x:conditionalFormatting>
  <x:dataValidations count="2">
    <x:dataValidation type="list" sqref="B4">
      <x:formula1>"Total,Gazde,Oaspeți"</x:formula1>
    </x:dataValidation>
    <x:dataValidation type="list" sqref="B5">
      <x:formula1>"Over,Under"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9" customWidth="1"/>
    <x:col min="2" max="2" width="15" customWidth="1"/>
    <x:col min="3" max="3" width="14" customWidth="1"/>
    <x:col min="4" max="5" width="11" customWidth="1"/>
    <x:col min="6" max="6" width="15" customWidth="1"/>
    <x:col min="7" max="8" width="13" customWidth="1"/>
    <x:col min="9" max="9" width="20" customWidth="1"/>
  </x:cols>
  <x:sheetData>
    <x:row r="1" ht="27.950000762939453" customHeight="1">
      <x:c r="A1" s="190" t="str">
        <x:v>SELECTOR V4 – CLASIFICARE ESTIMATIVĂ</x:v>
      </x:c>
      <x:c r="B1" s="190"/>
      <x:c r="C1" s="190"/>
      <x:c r="D1" s="190"/>
      <x:c r="E1" s="190"/>
      <x:c r="F1" s="190"/>
      <x:c r="G1" s="190"/>
      <x:c r="H1" s="190"/>
      <x:c r="I1" s="190"/>
    </x:row>
    <x:row r="2" ht="30" customHeight="1">
      <x:c r="A2" s="369" t="str">
        <x:v>Top 5 scoruri minime, nivelurile 1–3. Clasamentul nu este un bilet combinat. Datele și lipsa validării OOS sunt afișate în Dashboard.</x:v>
      </x:c>
      <x:c r="B2" s="369"/>
      <x:c r="C2" s="369"/>
      <x:c r="D2" s="369"/>
      <x:c r="E2" s="369"/>
      <x:c r="F2" s="369"/>
      <x:c r="G2" s="369"/>
      <x:c r="H2" s="369"/>
      <x:c r="I2" s="369"/>
    </x:row>
    <x:row r="3">
      <x:c r="A3" s="4"/>
      <x:c r="B3" s="4"/>
      <x:c r="C3" s="4"/>
      <x:c r="D3" s="4"/>
      <x:c r="E3" s="4"/>
      <x:c r="F3" s="4"/>
      <x:c r="G3" s="4"/>
      <x:c r="H3" s="4"/>
      <x:c r="I3" s="4"/>
    </x:row>
    <x:row r="4" ht="36" customHeight="1">
      <x:c r="A4" s="336" t="str">
        <x:v>Rang</x:v>
      </x:c>
      <x:c r="B4" s="336" t="str">
        <x:v>Modul</x:v>
      </x:c>
      <x:c r="C4" s="336" t="str">
        <x:v>Selecție</x:v>
      </x:c>
      <x:c r="D4" s="336" t="str">
        <x:v>Linie</x:v>
      </x:c>
      <x:c r="E4" s="336" t="str">
        <x:v>Risk Level</x:v>
      </x:c>
      <x:c r="F4" s="336" t="str">
        <x:v>P ajustată estimată</x:v>
      </x:c>
      <x:c r="G4" s="336" t="str">
        <x:v>Risk Score</x:v>
      </x:c>
      <x:c r="H4" s="336" t="str">
        <x:v>Confidence informativ</x:v>
      </x:c>
      <x:c r="I4" s="336" t="str">
        <x:v>Verdict</x:v>
      </x:c>
    </x:row>
    <x:row r="5">
      <x:c r="A5" s="337">
        <x:v>1</x:v>
      </x:c>
      <x:c r="B5" s="338" t="str">
        <x:f>IF(LARGE(Cards_MultiLine_v9!$W$5:$W$17,$A5)&lt;=0,"","Total")</x:f>
        <x:v>Total</x:v>
      </x:c>
      <x:c r="C5" s="339" t="str">
        <x:f>IF($B5="","",INDEX(Cards_MultiLine_v9!$B$5:$B$17,MATCH(LARGE(Cards_MultiLine_v9!$W$5:$W$17,$A5),Cards_MultiLine_v9!$W$5:$W$17,0)))</x:f>
        <x:v>Over</x:v>
      </x:c>
      <x:c r="D5" s="110" t="n">
        <x:f>IF($B5="","",INDEX(Cards_MultiLine_v9!$C$5:$C$17,MATCH(LARGE(Cards_MultiLine_v9!$W$5:$W$17,$A5),Cards_MultiLine_v9!$W$5:$W$17,0))+0.5)</x:f>
        <x:v>1.5</x:v>
      </x:c>
      <x:c r="E5" s="330" t="n">
        <x:f>IF($B5="","",INDEX(Cards_MultiLine_v9!$T$5:$T$17,MATCH(LARGE(Cards_MultiLine_v9!$W$5:$W$17,$A5),Cards_MultiLine_v9!$W$5:$W$17,0)))</x:f>
        <x:v>1</x:v>
      </x:c>
      <x:c r="F5" s="111" t="n">
        <x:f>IF($B5="","",INDEX(Cards_MultiLine_v9!$Q$5:$Q$17,MATCH(LARGE(Cards_MultiLine_v9!$W$5:$W$17,$A5),Cards_MultiLine_v9!$W$5:$W$17,0)))</x:f>
        <x:v>0.954417710513045</x:v>
      </x:c>
      <x:c r="G5" s="333" t="n">
        <x:f>IF($B5="","",INDEX(Cards_MultiLine_v9!$S$5:$S$17,MATCH(LARGE(Cards_MultiLine_v9!$W$5:$W$17,$A5),Cards_MultiLine_v9!$W$5:$W$17,0)))</x:f>
        <x:v>9.512397845482932</x:v>
      </x:c>
      <x:c r="H5" s="330" t="n">
        <x:f>IF($B5="","",INDEX(Cards_MultiLine_v9!$U$5:$U$17,MATCH(LARGE(Cards_MultiLine_v9!$W$5:$W$17,$A5),Cards_MultiLine_v9!$W$5:$W$17,0)))</x:f>
        <x:v>91</x:v>
      </x:c>
      <x:c r="I5" s="340" t="str">
        <x:f>IF($B5="","",INDEX(Cards_MultiLine_v9!$V$5:$V$17,MATCH(LARGE(Cards_MultiLine_v9!$W$5:$W$17,$A5),Cards_MultiLine_v9!$W$5:$W$17,0)))</x:f>
        <x:v>DEFENSIV</x:v>
      </x:c>
    </x:row>
    <x:row r="6">
      <x:c r="A6" s="341">
        <x:v>2</x:v>
      </x:c>
      <x:c r="B6" s="342" t="str">
        <x:f>IF(LARGE(Cards_MultiLine_v9!$W$5:$W$17,$A6)&lt;=0,"","Total")</x:f>
        <x:v>Total</x:v>
      </x:c>
      <x:c r="C6" s="343" t="str">
        <x:f>IF($B6="","",INDEX(Cards_MultiLine_v9!$B$5:$B$17,MATCH(LARGE(Cards_MultiLine_v9!$W$5:$W$17,$A6),Cards_MultiLine_v9!$W$5:$W$17,0)))</x:f>
        <x:v>Over</x:v>
      </x:c>
      <x:c r="D6" s="59" t="n">
        <x:f>IF($B6="","",INDEX(Cards_MultiLine_v9!$C$5:$C$17,MATCH(LARGE(Cards_MultiLine_v9!$W$5:$W$17,$A6),Cards_MultiLine_v9!$W$5:$W$17,0))+0.5)</x:f>
        <x:v>2.5</x:v>
      </x:c>
      <x:c r="E6" s="331" t="n">
        <x:f>IF($B6="","",INDEX(Cards_MultiLine_v9!$T$5:$T$17,MATCH(LARGE(Cards_MultiLine_v9!$W$5:$W$17,$A6),Cards_MultiLine_v9!$W$5:$W$17,0)))</x:f>
        <x:v>1</x:v>
      </x:c>
      <x:c r="F6" s="53" t="n">
        <x:f>IF($B6="","",INDEX(Cards_MultiLine_v9!$Q$5:$Q$17,MATCH(LARGE(Cards_MultiLine_v9!$W$5:$W$17,$A6),Cards_MultiLine_v9!$W$5:$W$17,0)))</x:f>
        <x:v>0.8935328189132834</x:v>
      </x:c>
      <x:c r="G6" s="334" t="n">
        <x:f>IF($B6="","",INDEX(Cards_MultiLine_v9!$S$5:$S$17,MATCH(LARGE(Cards_MultiLine_v9!$W$5:$W$17,$A6),Cards_MultiLine_v9!$W$5:$W$17,0)))</x:f>
        <x:v>12.556642425471013</x:v>
      </x:c>
      <x:c r="H6" s="331" t="n">
        <x:f>IF($B6="","",INDEX(Cards_MultiLine_v9!$U$5:$U$17,MATCH(LARGE(Cards_MultiLine_v9!$W$5:$W$17,$A6),Cards_MultiLine_v9!$W$5:$W$17,0)))</x:f>
        <x:v>91</x:v>
      </x:c>
      <x:c r="I6" s="344" t="str">
        <x:f>IF($B6="","",INDEX(Cards_MultiLine_v9!$V$5:$V$17,MATCH(LARGE(Cards_MultiLine_v9!$W$5:$W$17,$A6),Cards_MultiLine_v9!$W$5:$W$17,0)))</x:f>
        <x:v>DEFENSIV</x:v>
      </x:c>
    </x:row>
    <x:row r="7">
      <x:c r="A7" s="341">
        <x:v>3</x:v>
      </x:c>
      <x:c r="B7" s="342" t="str">
        <x:f>IF(LARGE(Cards_MultiLine_v9!$W$5:$W$17,$A7)&lt;=0,"","Total")</x:f>
        <x:v>Total</x:v>
      </x:c>
      <x:c r="C7" s="343" t="str">
        <x:f>IF($B7="","",INDEX(Cards_MultiLine_v9!$B$5:$B$17,MATCH(LARGE(Cards_MultiLine_v9!$W$5:$W$17,$A7),Cards_MultiLine_v9!$W$5:$W$17,0)))</x:f>
        <x:v>Over</x:v>
      </x:c>
      <x:c r="D7" s="59" t="n">
        <x:f>IF($B7="","",INDEX(Cards_MultiLine_v9!$C$5:$C$17,MATCH(LARGE(Cards_MultiLine_v9!$W$5:$W$17,$A7),Cards_MultiLine_v9!$W$5:$W$17,0))+0.5)</x:f>
        <x:v>3.5</x:v>
      </x:c>
      <x:c r="E7" s="331" t="n">
        <x:f>IF($B7="","",INDEX(Cards_MultiLine_v9!$T$5:$T$17,MATCH(LARGE(Cards_MultiLine_v9!$W$5:$W$17,$A7),Cards_MultiLine_v9!$W$5:$W$17,0)))</x:f>
        <x:v>1</x:v>
      </x:c>
      <x:c r="F7" s="53" t="n">
        <x:f>IF($B7="","",INDEX(Cards_MultiLine_v9!$Q$5:$Q$17,MATCH(LARGE(Cards_MultiLine_v9!$W$5:$W$17,$A7),Cards_MultiLine_v9!$W$5:$W$17,0)))</x:f>
        <x:v>0.7793947339689521</x:v>
      </x:c>
      <x:c r="G7" s="334" t="n">
        <x:f>IF($B7="","",INDEX(Cards_MultiLine_v9!$S$5:$S$17,MATCH(LARGE(Cards_MultiLine_v9!$W$5:$W$17,$A7),Cards_MultiLine_v9!$W$5:$W$17,0)))</x:f>
        <x:v>18.263546672687582</x:v>
      </x:c>
      <x:c r="H7" s="331" t="n">
        <x:f>IF($B7="","",INDEX(Cards_MultiLine_v9!$U$5:$U$17,MATCH(LARGE(Cards_MultiLine_v9!$W$5:$W$17,$A7),Cards_MultiLine_v9!$W$5:$W$17,0)))</x:f>
        <x:v>91</x:v>
      </x:c>
      <x:c r="I7" s="344" t="str">
        <x:f>IF($B7="","",INDEX(Cards_MultiLine_v9!$V$5:$V$17,MATCH(LARGE(Cards_MultiLine_v9!$W$5:$W$17,$A7),Cards_MultiLine_v9!$W$5:$W$17,0)))</x:f>
        <x:v>DEFENSIV</x:v>
      </x:c>
    </x:row>
    <x:row r="8">
      <x:c r="A8" s="341">
        <x:v>4</x:v>
      </x:c>
      <x:c r="B8" s="342" t="str">
        <x:f>IF(LARGE(Cards_MultiLine_v9!$W$5:$W$17,$A8)&lt;=0,"","Total")</x:f>
        <x:v>Total</x:v>
      </x:c>
      <x:c r="C8" s="343" t="str">
        <x:f>IF($B8="","",INDEX(Cards_MultiLine_v9!$B$5:$B$17,MATCH(LARGE(Cards_MultiLine_v9!$W$5:$W$17,$A8),Cards_MultiLine_v9!$W$5:$W$17,0)))</x:f>
        <x:v>Under</x:v>
      </x:c>
      <x:c r="D8" s="59" t="n">
        <x:f>IF($B8="","",INDEX(Cards_MultiLine_v9!$C$5:$C$17,MATCH(LARGE(Cards_MultiLine_v9!$W$5:$W$17,$A8),Cards_MultiLine_v9!$W$5:$W$17,0))+0.5)</x:f>
        <x:v>10.5</x:v>
      </x:c>
      <x:c r="E8" s="331" t="n">
        <x:f>IF($B8="","",INDEX(Cards_MultiLine_v9!$T$5:$T$17,MATCH(LARGE(Cards_MultiLine_v9!$W$5:$W$17,$A8),Cards_MultiLine_v9!$W$5:$W$17,0)))</x:f>
        <x:v>2</x:v>
      </x:c>
      <x:c r="F8" s="53" t="n">
        <x:f>IF($B8="","",INDEX(Cards_MultiLine_v9!$Q$5:$Q$17,MATCH(LARGE(Cards_MultiLine_v9!$W$5:$W$17,$A8),Cards_MultiLine_v9!$W$5:$W$17,0)))</x:f>
        <x:v>0.943477756089023</x:v>
      </x:c>
      <x:c r="G8" s="334" t="n">
        <x:f>IF($B8="","",INDEX(Cards_MultiLine_v9!$S$5:$S$17,MATCH(LARGE(Cards_MultiLine_v9!$W$5:$W$17,$A8),Cards_MultiLine_v9!$W$5:$W$17,0)))</x:f>
        <x:v>21.20932969053121</x:v>
      </x:c>
      <x:c r="H8" s="331" t="n">
        <x:f>IF($B8="","",INDEX(Cards_MultiLine_v9!$U$5:$U$17,MATCH(LARGE(Cards_MultiLine_v9!$W$5:$W$17,$A8),Cards_MultiLine_v9!$W$5:$W$17,0)))</x:f>
        <x:v>91</x:v>
      </x:c>
      <x:c r="I8" s="344" t="str">
        <x:f>IF($B8="","",INDEX(Cards_MultiLine_v9!$V$5:$V$17,MATCH(LARGE(Cards_MultiLine_v9!$W$5:$W$17,$A8),Cards_MultiLine_v9!$W$5:$W$17,0)))</x:f>
        <x:v>PRUDENT</x:v>
      </x:c>
    </x:row>
    <x:row r="9">
      <x:c r="A9" s="345">
        <x:v>5</x:v>
      </x:c>
      <x:c r="B9" s="346" t="str">
        <x:f>IF(LARGE(Cards_MultiLine_v9!$W$5:$W$17,$A9)&lt;=0,"","Total")</x:f>
        <x:v>Total</x:v>
      </x:c>
      <x:c r="C9" s="347" t="str">
        <x:f>IF($B9="","",INDEX(Cards_MultiLine_v9!$B$5:$B$17,MATCH(LARGE(Cards_MultiLine_v9!$W$5:$W$17,$A9),Cards_MultiLine_v9!$W$5:$W$17,0)))</x:f>
        <x:v>Under</x:v>
      </x:c>
      <x:c r="D9" s="117" t="n">
        <x:f>IF($B9="","",INDEX(Cards_MultiLine_v9!$C$5:$C$17,MATCH(LARGE(Cards_MultiLine_v9!$W$5:$W$17,$A9),Cards_MultiLine_v9!$W$5:$W$17,0))+0.5)</x:f>
        <x:v>9.5</x:v>
      </x:c>
      <x:c r="E9" s="332" t="n">
        <x:f>IF($B9="","",INDEX(Cards_MultiLine_v9!$T$5:$T$17,MATCH(LARGE(Cards_MultiLine_v9!$W$5:$W$17,$A9),Cards_MultiLine_v9!$W$5:$W$17,0)))</x:f>
        <x:v>2</x:v>
      </x:c>
      <x:c r="F9" s="118" t="n">
        <x:f>IF($B9="","",INDEX(Cards_MultiLine_v9!$Q$5:$Q$17,MATCH(LARGE(Cards_MultiLine_v9!$W$5:$W$17,$A9),Cards_MultiLine_v9!$W$5:$W$17,0)))</x:f>
        <x:v>0.9038626562163059</x:v>
      </x:c>
      <x:c r="G9" s="335" t="n">
        <x:f>IF($B9="","",INDEX(Cards_MultiLine_v9!$S$5:$S$17,MATCH(LARGE(Cards_MultiLine_v9!$W$5:$W$17,$A9),Cards_MultiLine_v9!$W$5:$W$17,0)))</x:f>
        <x:v>23.19008468416706</x:v>
      </x:c>
      <x:c r="H9" s="332" t="n">
        <x:f>IF($B9="","",INDEX(Cards_MultiLine_v9!$U$5:$U$17,MATCH(LARGE(Cards_MultiLine_v9!$W$5:$W$17,$A9),Cards_MultiLine_v9!$W$5:$W$17,0)))</x:f>
        <x:v>91</x:v>
      </x:c>
      <x:c r="I9" s="348" t="str">
        <x:f>IF($B9="","",INDEX(Cards_MultiLine_v9!$V$5:$V$17,MATCH(LARGE(Cards_MultiLine_v9!$W$5:$W$17,$A9),Cards_MultiLine_v9!$W$5:$W$17,0)))</x:f>
        <x:v>PRUDENT</x:v>
      </x:c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</x:row>
    <x:row r="11" ht="28" customHeight="1">
      <x:c r="A11" s="367" t="str">
        <x:v>DEFENSIV / PRUDENT / MODERAT sunt etichete ale scorului, nu rezultate validate pe meciuri viitoare.</x:v>
      </x:c>
      <x:c r="B11" s="367"/>
      <x:c r="C11" s="367"/>
      <x:c r="D11" s="367"/>
      <x:c r="E11" s="367"/>
      <x:c r="F11" s="367"/>
      <x:c r="G11" s="367"/>
      <x:c r="H11" s="367"/>
      <x:c r="I11" s="367"/>
    </x:row>
    <x:row r="12" ht="20" customHeight="1">
      <x:c r="A12" s="368" t="str">
        <x:v>Probabilitatea afișată trebuie citită separat. Risc mic în scor nu garantează câștig și nu măsoară rentabilitatea.</x:v>
      </x:c>
      <x:c r="B12" s="368"/>
      <x:c r="C12" s="368"/>
      <x:c r="D12" s="368"/>
      <x:c r="E12" s="368"/>
      <x:c r="F12" s="368"/>
      <x:c r="G12" s="368"/>
      <x:c r="H12" s="368"/>
      <x:c r="I12" s="368"/>
    </x:row>
    <x:row r="13" ht="20" customHeight="1">
      <x:c r="A13" s="368"/>
      <x:c r="B13" s="368"/>
      <x:c r="C13" s="368"/>
      <x:c r="D13" s="368"/>
      <x:c r="E13" s="368"/>
      <x:c r="F13" s="368"/>
      <x:c r="G13" s="368"/>
      <x:c r="H13" s="368"/>
      <x:c r="I13" s="368"/>
    </x:row>
  </x:sheetData>
  <x:mergeCells>
    <x:mergeCell ref="A1:I1"/>
    <x:mergeCell ref="A2:I2"/>
    <x:mergeCell ref="A12:I13"/>
    <x:mergeCell ref="A11:I11"/>
  </x:mergeCells>
  <x:conditionalFormatting sqref="I5:I9">
    <x:cfRule type="expression" dxfId="27" priority="1">
      <x:formula>I5="DEFENSIV"</x:formula>
    </x:cfRule>
    <x:cfRule type="expression" dxfId="29" priority="2">
      <x:formula>I5="PRUDENT"</x:formula>
    </x:cfRule>
    <x:cfRule type="expression" dxfId="31" priority="3">
      <x:formula>I5="MODERAT"</x:formula>
    </x:cfRule>
    <x:cfRule type="expression" dxfId="33" priority="4">
      <x:formula>I5="RIDICAT"</x:formula>
    </x:cfRule>
    <x:cfRule type="expression" dxfId="35" priority="5">
      <x:formula>I5="NO BET"</x:formula>
    </x:cfRule>
    <x:cfRule type="expression" dxfId="37" priority="6">
      <x:formula>I5="NECALCULABIL"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2" customWidth="1"/>
    <x:col min="2" max="2" width="29" customWidth="1"/>
    <x:col min="3" max="3" width="25" customWidth="1"/>
    <x:col min="4" max="4" width="21" customWidth="1"/>
    <x:col min="5" max="5" width="29" customWidth="1"/>
    <x:col min="6" max="6" width="36" customWidth="1"/>
    <x:col min="7" max="7" width="15" customWidth="1"/>
    <x:col min="8" max="8" width="19" customWidth="1"/>
  </x:cols>
  <x:sheetData>
    <x:row r="1" ht="27.950000762939453" customHeight="1">
      <x:c r="A1" s="190" t="str">
        <x:v>CHECKLIST V4 – DIAGNOSTIC, NU FILTRU CUMULATIV</x:v>
      </x:c>
      <x:c r="B1" s="190"/>
      <x:c r="C1" s="190"/>
      <x:c r="D1" s="190"/>
      <x:c r="E1" s="190"/>
      <x:c r="F1" s="190"/>
      <x:c r="G1" s="190"/>
      <x:c r="H1" s="190"/>
    </x:row>
    <x:row r="2">
      <x:c r="A2" s="196" t="str">
        <x:v>V4: doar calculabilitatea minimă poate opri estimarea. Celelalte rânduri monitorizează riscuri sau păstrează controale legacy, fără filtre cumulative.</x:v>
      </x:c>
      <x:c r="B2" s="196"/>
      <x:c r="C2" s="196"/>
      <x:c r="D2" s="196"/>
      <x:c r="E2" s="196"/>
      <x:c r="F2" s="196"/>
      <x:c r="G2" s="196"/>
      <x:c r="H2" s="196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1" t="s">
        <x:v>599</x:v>
      </x:c>
      <x:c r="B4" s="1" t="s">
        <x:v>178</x:v>
      </x:c>
      <x:c r="C4" s="1" t="s">
        <x:v>600</x:v>
      </x:c>
      <x:c r="D4" s="1" t="s">
        <x:v>601</x:v>
      </x:c>
      <x:c r="E4" s="1" t="s">
        <x:v>602</x:v>
      </x:c>
      <x:c r="F4" s="1" t="s">
        <x:v>603</x:v>
      </x:c>
      <x:c r="G4" s="1" t="s">
        <x:v>604</x:v>
      </x:c>
      <x:c r="H4" s="1" t="s">
        <x:v>605</x:v>
      </x:c>
    </x:row>
    <x:row r="5" ht="32" customHeight="1">
      <x:c r="A5" s="337" t="str">
        <x:v>DIAGNOSTIC</x:v>
      </x:c>
      <x:c r="B5" s="383" t="s">
        <x:v>68</x:v>
      </x:c>
      <x:c r="C5" s="383" t="s">
        <x:v>69</x:v>
      </x:c>
      <x:c r="D5" s="383" t="str">
        <x:f>Calcul_Model!$B$76</x:f>
        <x:v>CONFIRMAT</x:v>
      </x:c>
      <x:c r="E5" s="383" t="str">
        <x:v>Informativ în V4; fără blocaj separat</x:v>
      </x:c>
      <x:c r="F5" s="383" t="s">
        <x:v>606</x:v>
      </x:c>
      <x:c r="G5" s="383" t="s">
        <x:v>607</x:v>
      </x:c>
      <x:c r="H5" s="384" t="s">
        <x:v>608</x:v>
      </x:c>
    </x:row>
    <x:row r="6" ht="32" customHeight="1">
      <x:c r="A6" s="341" t="s">
        <x:v>609</x:v>
      </x:c>
      <x:c r="B6" s="385" t="str">
        <x:v>Settlement economic / operator</x:v>
      </x:c>
      <x:c r="C6" s="385" t="str">
        <x:v>IGNORAT</x:v>
      </x:c>
      <x:c r="D6" s="385" t="str">
        <x:v>IGNORAT</x:v>
      </x:c>
      <x:c r="E6" s="385" t="str">
        <x:v>fără impact</x:v>
      </x:c>
      <x:c r="F6" s="385" t="str">
        <x:v>EV/preț/settlement nu decid verdictul</x:v>
      </x:c>
      <x:c r="G6" s="385" t="s">
        <x:v>442</x:v>
      </x:c>
      <x:c r="H6" s="386" t="s">
        <x:v>442</x:v>
      </x:c>
    </x:row>
    <x:row r="7" ht="32" customHeight="1">
      <x:c r="A7" s="341" t="s">
        <x:v>574</x:v>
      </x:c>
      <x:c r="B7" s="385" t="s">
        <x:v>537</x:v>
      </x:c>
      <x:c r="C7" s="385" t="s">
        <x:v>97</x:v>
      </x:c>
      <x:c r="D7" s="385" t="str">
        <x:f>Calcul_Model!$B$78</x:f>
        <x:v>DA</x:v>
      </x:c>
      <x:c r="E7" s="385" t="str">
        <x:v>Necalculabil dacă definițiile nu sunt normalizate</x:v>
      </x:c>
      <x:c r="F7" s="385" t="s">
        <x:v>610</x:v>
      </x:c>
      <x:c r="G7" s="385" t="s">
        <x:v>58</x:v>
      </x:c>
      <x:c r="H7" s="386" t="s">
        <x:v>611</x:v>
      </x:c>
    </x:row>
    <x:row r="8" ht="32" customHeight="1">
      <x:c r="A8" s="341" t="s">
        <x:v>574</x:v>
      </x:c>
      <x:c r="B8" s="385" t="s">
        <x:v>612</x:v>
      </x:c>
      <x:c r="C8" s="385" t="s">
        <x:v>97</x:v>
      </x:c>
      <x:c r="D8" s="385" t="str">
        <x:f>Calcul_Model!$B$79</x:f>
        <x:v>DA</x:v>
      </x:c>
      <x:c r="E8" s="385" t="str">
        <x:v>Necalculabil dacă unitatea este neclară</x:v>
      </x:c>
      <x:c r="F8" s="385" t="s">
        <x:v>613</x:v>
      </x:c>
      <x:c r="G8" s="385" t="s">
        <x:v>58</x:v>
      </x:c>
      <x:c r="H8" s="386" t="s">
        <x:v>611</x:v>
      </x:c>
    </x:row>
    <x:row r="9" ht="32" customHeight="1">
      <x:c r="A9" s="341" t="str">
        <x:v>DIAGNOSTIC</x:v>
      </x:c>
      <x:c r="B9" s="385" t="s">
        <x:v>74</x:v>
      </x:c>
      <x:c r="C9" s="385" t="s">
        <x:v>69</x:v>
      </x:c>
      <x:c r="D9" s="385" t="str">
        <x:f>Calcul_Model!$B$80</x:f>
        <x:v>CONFIRMAT</x:v>
      </x:c>
      <x:c r="E9" s="385" t="str">
        <x:v>Informativ în V4; fără blocaj separat</x:v>
      </x:c>
      <x:c r="F9" s="385" t="s">
        <x:v>614</x:v>
      </x:c>
      <x:c r="G9" s="385" t="s">
        <x:v>607</x:v>
      </x:c>
      <x:c r="H9" s="386" t="s">
        <x:v>615</x:v>
      </x:c>
    </x:row>
    <x:row r="10" ht="32" customHeight="1">
      <x:c r="A10" s="341" t="str">
        <x:v>DIAGNOSTIC</x:v>
      </x:c>
      <x:c r="B10" s="385" t="s">
        <x:v>616</x:v>
      </x:c>
      <x:c r="C10" s="385" t="s">
        <x:v>617</x:v>
      </x:c>
      <x:c r="D10" s="385" t="str">
        <x:f>Calcul_Model!$B$81</x:f>
        <x:v>OK</x:v>
      </x:c>
      <x:c r="E10" s="385" t="str">
        <x:v>Informativ în V4; fără blocaj separat</x:v>
      </x:c>
      <x:c r="F10" s="385" t="s">
        <x:v>618</x:v>
      </x:c>
      <x:c r="G10" s="385" t="s">
        <x:v>619</x:v>
      </x:c>
      <x:c r="H10" s="386" t="s">
        <x:v>620</x:v>
      </x:c>
    </x:row>
    <x:row r="11" ht="32" customHeight="1">
      <x:c r="A11" s="341" t="s">
        <x:v>621</x:v>
      </x:c>
      <x:c r="B11" s="385" t="str">
        <x:v>Cote reale + opus</x:v>
      </x:c>
      <x:c r="C11" s="385" t="str">
        <x:v>OPȚIONAL</x:v>
      </x:c>
      <x:c r="D11" s="385" t="str">
        <x:v>OPȚIONAL</x:v>
      </x:c>
      <x:c r="E11" s="385" t="str">
        <x:v>informativ</x:v>
      </x:c>
      <x:c r="F11" s="385" t="str">
        <x:v>nu intră în Confidence, G0, Risk, verdict sau ranking</x:v>
      </x:c>
      <x:c r="G11" s="385" t="str">
        <x:v>analist</x:v>
      </x:c>
      <x:c r="H11" s="386" t="str">
        <x:v>opțional</x:v>
      </x:c>
    </x:row>
    <x:row r="12" ht="32" customHeight="1">
      <x:c r="A12" s="341" t="str">
        <x:v>DIAGNOSTIC</x:v>
      </x:c>
      <x:c r="B12" s="385" t="s">
        <x:v>622</x:v>
      </x:c>
      <x:c r="C12" s="385" t="s">
        <x:v>623</x:v>
      </x:c>
      <x:c r="D12" s="385" t="str">
        <x:f>Calcul_Model!$B$83</x:f>
        <x:v>OK</x:v>
      </x:c>
      <x:c r="E12" s="385" t="str">
        <x:v>Informativ în V4; fără blocaj separat</x:v>
      </x:c>
      <x:c r="F12" s="385" t="s">
        <x:v>624</x:v>
      </x:c>
      <x:c r="G12" s="385" t="s">
        <x:v>607</x:v>
      </x:c>
      <x:c r="H12" s="386" t="s">
        <x:v>625</x:v>
      </x:c>
    </x:row>
    <x:row r="13" ht="32" customHeight="1">
      <x:c r="A13" s="341" t="str">
        <x:v>DIAGNOSTIC</x:v>
      </x:c>
      <x:c r="B13" s="385" t="s">
        <x:v>26</x:v>
      </x:c>
      <x:c r="C13" s="385" t="s">
        <x:v>626</x:v>
      </x:c>
      <x:c r="D13" s="385" t="str">
        <x:f>Calcul_Model!$B$84</x:f>
        <x:v>OK</x:v>
      </x:c>
      <x:c r="E13" s="385" t="str">
        <x:v>Informativ în V4; fără blocaj separat</x:v>
      </x:c>
      <x:c r="F13" s="385" t="s">
        <x:v>627</x:v>
      </x:c>
      <x:c r="G13" s="385" t="s">
        <x:v>619</x:v>
      </x:c>
      <x:c r="H13" s="386" t="s">
        <x:v>620</x:v>
      </x:c>
    </x:row>
    <x:row r="14" ht="32" customHeight="1">
      <x:c r="A14" s="341" t="s">
        <x:v>628</x:v>
      </x:c>
      <x:c r="B14" s="385" t="str">
        <x:v>Calculabilitate V4</x:v>
      </x:c>
      <x:c r="C14" s="385" t="str">
        <x:v>Minim matematic V4</x:v>
      </x:c>
      <x:c r="D14" s="385" t="str">
        <x:f>Calcul_Model!B105</x:f>
        <x:v>CALCULABIL</x:v>
      </x:c>
      <x:c r="E14" s="385" t="str">
        <x:v>CALCULABIL / NECALCULABIL</x:v>
      </x:c>
      <x:c r="F14" s="385" t="str">
        <x:v>Doar minim matematic și definiția variabilei; restul sunt diagnostice</x:v>
      </x:c>
      <x:c r="G14" s="385" t="s">
        <x:v>619</x:v>
      </x:c>
      <x:c r="H14" s="386" t="s">
        <x:v>620</x:v>
      </x:c>
    </x:row>
    <x:row r="15" ht="32" customHeight="1">
      <x:c r="A15" s="341" t="s">
        <x:v>629</x:v>
      </x:c>
      <x:c r="B15" s="385" t="s">
        <x:v>119</x:v>
      </x:c>
      <x:c r="C15" s="385" t="s">
        <x:v>630</x:v>
      </x:c>
      <x:c r="D15" s="385" t="str">
        <x:f>IF(Calcul_Model!$B$35&gt;=Parametri!$C$71,"RIDICAT",IF(Calcul_Model!$B$35&gt;=Parametri!$C$70,"MEDIU","REDUS"))</x:f>
        <x:v>REDUS</x:v>
      </x:c>
      <x:c r="E15" s="385" t="s">
        <x:v>631</x:v>
      </x:c>
      <x:c r="F15" s="385" t="s">
        <x:v>632</x:v>
      </x:c>
      <x:c r="G15" s="385" t="s">
        <x:v>619</x:v>
      </x:c>
      <x:c r="H15" s="386" t="s">
        <x:v>620</x:v>
      </x:c>
    </x:row>
    <x:row r="16" ht="32" customHeight="1">
      <x:c r="A16" s="341" t="s">
        <x:v>629</x:v>
      </x:c>
      <x:c r="B16" s="385" t="s">
        <x:v>111</x:v>
      </x:c>
      <x:c r="C16" s="385" t="s">
        <x:v>633</x:v>
      </x:c>
      <x:c r="D16" s="385" t="str">
        <x:f>IF(Input_Meci!$E$29&gt;=Parametri!$C$74,"TAIL RIDICAT",IF(OR(Input_Meci!$E$29&lt;Parametri!$C$32,Input_Meci!$E$29&gt;Parametri!$C$33),"MODEL ADAPTIV","POISSON"))</x:f>
        <x:v>POISSON</x:v>
      </x:c>
      <x:c r="E16" s="385" t="s">
        <x:v>634</x:v>
      </x:c>
      <x:c r="F16" s="385" t="s">
        <x:v>635</x:v>
      </x:c>
      <x:c r="G16" s="385" t="s">
        <x:v>619</x:v>
      </x:c>
      <x:c r="H16" s="386" t="s">
        <x:v>620</x:v>
      </x:c>
    </x:row>
    <x:row r="17" ht="32" customHeight="1">
      <x:c r="A17" s="341" t="s">
        <x:v>629</x:v>
      </x:c>
      <x:c r="B17" s="385" t="s">
        <x:v>636</x:v>
      </x:c>
      <x:c r="C17" s="385" t="s">
        <x:v>637</x:v>
      </x:c>
      <x:c r="D17" s="385" t="str">
        <x:f>Input_Meci!$E$61</x:f>
        <x:v>PROBABIL</x:v>
      </x:c>
      <x:c r="E17" s="385" t="s">
        <x:v>638</x:v>
      </x:c>
      <x:c r="F17" s="385" t="s">
        <x:v>639</x:v>
      </x:c>
      <x:c r="G17" s="385" t="s">
        <x:v>607</x:v>
      </x:c>
      <x:c r="H17" s="386" t="s">
        <x:v>640</x:v>
      </x:c>
    </x:row>
    <x:row r="18" ht="32" customHeight="1">
      <x:c r="A18" s="341" t="s">
        <x:v>629</x:v>
      </x:c>
      <x:c r="B18" s="385" t="str">
        <x:v>Market move contra</x:v>
      </x:c>
      <x:c r="C18" s="385" t="str">
        <x:v>INFORMATIV</x:v>
      </x:c>
      <x:c r="D18" s="385" t="str">
        <x:v>INFORMATIV</x:v>
      </x:c>
      <x:c r="E18" s="385" t="str">
        <x:v>fără impact tehnic</x:v>
      </x:c>
      <x:c r="F18" s="385" t="str">
        <x:v>monitorizare ex-post</x:v>
      </x:c>
      <x:c r="G18" s="385" t="str">
        <x:v>analist</x:v>
      </x:c>
      <x:c r="H18" s="386" t="str">
        <x:v>opțional</x:v>
      </x:c>
    </x:row>
    <x:row r="19" ht="32" customHeight="1">
      <x:c r="A19" s="341" t="str">
        <x:v>DIAGNOSTIC</x:v>
      </x:c>
      <x:c r="B19" s="385" t="s">
        <x:v>641</x:v>
      </x:c>
      <x:c r="C19" s="385" t="s">
        <x:v>642</x:v>
      </x:c>
      <x:c r="D19" s="385" t="str">
        <x:f>IF(AND(Selector!$B$5&lt;&gt;"",Selector!$I$5&lt;&gt;""),"VERIFICAT","FĂRĂ SELECȚIE")</x:f>
        <x:v>VERIFICAT</x:v>
      </x:c>
      <x:c r="E19" s="385" t="str">
        <x:v>Informativ în V4; fără blocaj separat</x:v>
      </x:c>
      <x:c r="F19" s="385" t="s">
        <x:v>643</x:v>
      </x:c>
      <x:c r="G19" s="385" t="s">
        <x:v>619</x:v>
      </x:c>
      <x:c r="H19" s="386" t="s">
        <x:v>620</x:v>
      </x:c>
    </x:row>
    <x:row r="20" ht="32" customHeight="1">
      <x:c r="A20" s="345" t="str">
        <x:v>DIAGNOSTIC</x:v>
      </x:c>
      <x:c r="B20" s="372" t="s">
        <x:v>644</x:v>
      </x:c>
      <x:c r="C20" s="372" t="s">
        <x:v>645</x:v>
      </x:c>
      <x:c r="D20" s="372" t="s">
        <x:v>646</x:v>
      </x:c>
      <x:c r="E20" s="372" t="str">
        <x:v>Informativ în V4; fără blocaj separat</x:v>
      </x:c>
      <x:c r="F20" s="372" t="s">
        <x:v>647</x:v>
      </x:c>
      <x:c r="G20" s="372" t="s">
        <x:v>607</x:v>
      </x:c>
      <x:c r="H20" s="373" t="s">
        <x:v>648</x:v>
      </x:c>
    </x:row>
    <x:row r="21" ht="32" customHeight="1">
      <x:c r="A21" s="363" t="str">
        <x:v>DIAGNOSTIC</x:v>
      </x:c>
      <x:c r="B21" s="363" t="s">
        <x:v>649</x:v>
      </x:c>
      <x:c r="C21" s="363" t="s">
        <x:v>650</x:v>
      </x:c>
      <x:c r="D21" s="363" t="s">
        <x:v>651</x:v>
      </x:c>
      <x:c r="E21" s="363" t="str">
        <x:v>Informativ în V4; fără blocaj separat</x:v>
      </x:c>
      <x:c r="F21" s="363" t="s">
        <x:v>652</x:v>
      </x:c>
      <x:c r="G21" s="363" t="s">
        <x:v>619</x:v>
      </x:c>
      <x:c r="H21" s="363" t="s">
        <x:v>620</x:v>
      </x:c>
    </x:row>
    <x:row r="22" ht="32" customHeight="1">
      <x:c r="A22" s="363" t="str">
        <x:v>DIAGNOSTIC</x:v>
      </x:c>
      <x:c r="B22" s="363" t="s">
        <x:v>653</x:v>
      </x:c>
      <x:c r="C22" s="363" t="s">
        <x:v>654</x:v>
      </x:c>
      <x:c r="D22" s="363" t="s">
        <x:v>651</x:v>
      </x:c>
      <x:c r="E22" s="363" t="str">
        <x:v>Informativ în V4; fără blocaj separat</x:v>
      </x:c>
      <x:c r="F22" s="363" t="s">
        <x:v>655</x:v>
      </x:c>
      <x:c r="G22" s="363" t="s">
        <x:v>619</x:v>
      </x:c>
      <x:c r="H22" s="363" t="s">
        <x:v>620</x:v>
      </x:c>
    </x:row>
  </x:sheetData>
  <x:mergeCells>
    <x:mergeCell ref="A1:H1"/>
    <x:mergeCell ref="A2:H2"/>
  </x:mergeCells>
  <x:conditionalFormatting sqref="D5:D20">
    <x:cfRule type="containsText" dxfId="2" priority="1" operator="containsText" text="FAIL"/>
    <x:cfRule type="containsText" dxfId="1" priority="2" operator="containsText" text="WATCH"/>
    <x:cfRule type="containsText" dxfId="0" priority="3" operator="containsText" text="BET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2" customWidth="1"/>
    <x:col min="2" max="2" width="17" customWidth="1"/>
    <x:col min="3" max="3" width="27" customWidth="1"/>
    <x:col min="4" max="4" width="16" customWidth="1"/>
    <x:col min="5" max="6" width="12" customWidth="1"/>
    <x:col min="7" max="7" width="9" customWidth="1"/>
    <x:col min="8" max="9" width="11" customWidth="1"/>
    <x:col min="10" max="10" width="10" customWidth="1"/>
    <x:col min="11" max="11" width="8" customWidth="1"/>
    <x:col min="12" max="12" width="11" customWidth="1"/>
    <x:col min="13" max="13" width="12" customWidth="1"/>
    <x:col min="14" max="14" width="11" customWidth="1"/>
    <x:col min="15" max="15" width="10" customWidth="1"/>
    <x:col min="16" max="16" width="17" customWidth="1"/>
    <x:col min="17" max="17" width="15" customWidth="1"/>
    <x:col min="18" max="19" width="10" customWidth="1"/>
    <x:col min="20" max="20" width="11" customWidth="1"/>
    <x:col min="21" max="21" width="13" customWidth="1"/>
    <x:col min="22" max="22" width="10" customWidth="1"/>
    <x:col min="23" max="23" width="12" customWidth="1"/>
    <x:col min="24" max="24" width="8" customWidth="1"/>
    <x:col min="25" max="25" width="9" customWidth="1"/>
    <x:col min="26" max="26" width="8" customWidth="1"/>
    <x:col min="27" max="27" width="30" customWidth="1"/>
    <x:col min="28" max="28" width="11" customWidth="1"/>
  </x:cols>
  <x:sheetData>
    <x:row r="1" ht="27.950000762939453" customHeight="1">
      <x:c r="A1" s="201" t="s">
        <x:v>656</x:v>
      </x:c>
      <x:c r="B1" s="201"/>
      <x:c r="C1" s="201"/>
      <x:c r="D1" s="201"/>
      <x:c r="E1" s="201"/>
      <x:c r="F1" s="201"/>
      <x:c r="G1" s="201"/>
      <x:c r="H1" s="201"/>
      <x:c r="I1" s="201"/>
      <x:c r="J1" s="201"/>
      <x:c r="K1" s="201"/>
      <x:c r="L1" s="201"/>
      <x:c r="M1" s="201"/>
      <x:c r="N1" s="201"/>
      <x:c r="O1" s="201"/>
      <x:c r="P1" s="201"/>
      <x:c r="Q1" s="201"/>
      <x:c r="R1" s="201"/>
      <x:c r="S1" s="201"/>
      <x:c r="T1" s="201"/>
      <x:c r="U1" s="201"/>
      <x:c r="V1" s="201"/>
      <x:c r="W1" s="201"/>
      <x:c r="X1" s="201"/>
      <x:c r="Y1" s="201"/>
      <x:c r="Z1" s="201"/>
      <x:c r="AA1" s="201"/>
      <x:c r="AB1" s="201"/>
    </x:row>
    <x:row r="2">
      <x:c r="A2" s="202" t="s">
        <x:v>657</x:v>
      </x:c>
      <x:c r="B2" s="202"/>
      <x:c r="C2" s="202"/>
      <x:c r="D2" s="202"/>
      <x:c r="E2" s="202"/>
      <x:c r="F2" s="202"/>
      <x:c r="G2" s="202"/>
      <x:c r="H2" s="202"/>
      <x:c r="I2" s="202"/>
      <x:c r="J2" s="202"/>
      <x:c r="K2" s="202"/>
      <x:c r="L2" s="202"/>
      <x:c r="M2" s="202"/>
      <x:c r="N2" s="202"/>
      <x:c r="O2" s="202"/>
      <x:c r="P2" s="202"/>
      <x:c r="Q2" s="202"/>
      <x:c r="R2" s="202"/>
      <x:c r="S2" s="202"/>
      <x:c r="T2" s="202"/>
      <x:c r="U2" s="202"/>
      <x:c r="V2" s="202"/>
      <x:c r="W2" s="202"/>
      <x:c r="X2" s="202"/>
      <x:c r="Y2" s="202"/>
      <x:c r="Z2" s="202"/>
      <x:c r="AA2" s="202"/>
      <x:c r="AB2" s="202"/>
    </x:row>
    <x:row r="3">
      <x:c r="A3" s="3" t="s">
        <x:v>658</x:v>
      </x:c>
      <x:c r="B3" s="3" t="s">
        <x:v>1</x:v>
      </x:c>
      <x:c r="C3" s="3" t="s">
        <x:v>658</x:v>
      </x:c>
      <x:c r="D3" s="3" t="s">
        <x:v>1</x:v>
      </x:c>
      <x:c r="E3" s="3" t="s">
        <x:v>658</x:v>
      </x:c>
      <x:c r="F3" s="3" t="s">
        <x:v>1</x:v>
      </x:c>
      <x:c r="G3" s="3" t="s">
        <x:v>658</x:v>
      </x:c>
      <x:c r="H3" s="3" t="s">
        <x:v>1</x:v>
      </x:c>
      <x:c r="I3" s="3" t="s">
        <x:v>658</x:v>
      </x:c>
      <x:c r="J3" s="3" t="s">
        <x:v>1</x:v>
      </x:c>
      <x:c r="K3" s="3" t="s">
        <x:v>658</x:v>
      </x:c>
      <x:c r="L3" s="3" t="s">
        <x:v>1</x:v>
      </x:c>
      <x:c r="M3" s="120"/>
      <x:c r="N3" s="120"/>
      <x:c r="O3" s="120"/>
      <x:c r="P3" s="120"/>
      <x:c r="Q3" s="120"/>
      <x:c r="R3" s="120"/>
      <x:c r="S3" s="120"/>
      <x:c r="T3" s="120"/>
      <x:c r="U3" s="120"/>
      <x:c r="V3" s="120"/>
      <x:c r="W3" s="120"/>
      <x:c r="X3" s="120"/>
      <x:c r="Y3" s="120"/>
      <x:c r="Z3" s="120"/>
      <x:c r="AA3" s="120"/>
      <x:c r="AB3" s="120"/>
    </x:row>
    <x:row r="4">
      <x:c r="A4" s="120" t="s">
        <x:v>659</x:v>
      </x:c>
      <x:c r="B4" s="121" t="n">
        <x:f>COUNTIF(P8:P67,"BET*")</x:f>
        <x:v>0</x:v>
      </x:c>
      <x:c r="C4" s="120" t="s">
        <x:v>660</x:v>
      </x:c>
      <x:c r="D4" s="121" t="n">
        <x:f>COUNT(T8:T67)</x:f>
        <x:v>0</x:v>
      </x:c>
      <x:c r="E4" s="120" t="s">
        <x:v>661</x:v>
      </x:c>
      <x:c r="F4" s="121" t="n">
        <x:f>SUM(T8:T67)</x:f>
        <x:v>0</x:v>
      </x:c>
      <x:c r="G4" s="120" t="s">
        <x:v>662</x:v>
      </x:c>
      <x:c r="H4" s="122" t="str">
        <x:f>IFERROR(SUM(T8:T67)/COUNT(T8:T67),"")</x:f>
      </x:c>
      <x:c r="I4" s="123" t="s">
        <x:v>663</x:v>
      </x:c>
      <x:c r="J4" s="122" t="str">
        <x:f>IFERROR(AVERAGE(V8:V67),"")</x:f>
      </x:c>
      <x:c r="K4" s="120" t="s">
        <x:v>664</x:v>
      </x:c>
      <x:c r="L4" s="124" t="str">
        <x:f>IFERROR(AVERAGE(W8:W67),"")</x:f>
      </x:c>
      <x:c r="M4" s="120"/>
      <x:c r="N4" s="120"/>
      <x:c r="O4" s="120"/>
      <x:c r="P4" s="120"/>
      <x:c r="Q4" s="120"/>
      <x:c r="R4" s="120"/>
      <x:c r="S4" s="120"/>
      <x:c r="T4" s="120"/>
      <x:c r="U4" s="120"/>
      <x:c r="V4" s="120"/>
      <x:c r="W4" s="120"/>
      <x:c r="X4" s="120"/>
      <x:c r="Y4" s="120"/>
      <x:c r="Z4" s="120"/>
      <x:c r="AA4" s="120"/>
      <x:c r="AB4" s="120"/>
    </x:row>
    <x:row r="5">
      <x:c r="A5" s="120"/>
      <x:c r="B5" s="120"/>
      <x:c r="C5" s="120"/>
      <x:c r="D5" s="120"/>
      <x:c r="E5" s="120"/>
      <x:c r="F5" s="120"/>
      <x:c r="G5" s="120"/>
      <x:c r="H5" s="120"/>
      <x:c r="I5" s="120"/>
      <x:c r="J5" s="120"/>
      <x:c r="K5" s="120"/>
      <x:c r="L5" s="120"/>
      <x:c r="M5" s="120"/>
      <x:c r="N5" s="120"/>
      <x:c r="O5" s="120"/>
      <x:c r="P5" s="120"/>
      <x:c r="Q5" s="120"/>
      <x:c r="R5" s="120"/>
      <x:c r="S5" s="120"/>
      <x:c r="T5" s="120"/>
      <x:c r="U5" s="120"/>
      <x:c r="V5" s="120"/>
      <x:c r="W5" s="120"/>
      <x:c r="X5" s="120"/>
      <x:c r="Y5" s="120"/>
      <x:c r="Z5" s="120"/>
      <x:c r="AA5" s="120"/>
      <x:c r="AB5" s="120"/>
    </x:row>
    <x:row r="6">
      <x:c r="A6" s="120"/>
      <x:c r="B6" s="120"/>
      <x:c r="C6" s="120"/>
      <x:c r="D6" s="120"/>
      <x:c r="E6" s="120"/>
      <x:c r="F6" s="120"/>
      <x:c r="G6" s="120"/>
      <x:c r="H6" s="120"/>
      <x:c r="I6" s="120"/>
      <x:c r="J6" s="120"/>
      <x:c r="K6" s="120"/>
      <x:c r="L6" s="120"/>
      <x:c r="M6" s="120"/>
      <x:c r="N6" s="120"/>
      <x:c r="O6" s="120"/>
      <x:c r="P6" s="120"/>
      <x:c r="Q6" s="120"/>
      <x:c r="R6" s="120"/>
      <x:c r="S6" s="120"/>
      <x:c r="T6" s="120"/>
      <x:c r="U6" s="120"/>
      <x:c r="V6" s="120"/>
      <x:c r="W6" s="120"/>
      <x:c r="X6" s="120"/>
      <x:c r="Y6" s="120"/>
      <x:c r="Z6" s="120"/>
      <x:c r="AA6" s="120"/>
      <x:c r="AB6" s="120"/>
    </x:row>
    <x:row r="7" ht="45">
      <x:c r="A7" s="3" t="s">
        <x:v>57</x:v>
      </x:c>
      <x:c r="B7" s="3" t="s">
        <x:v>6</x:v>
      </x:c>
      <x:c r="C7" s="3" t="s">
        <x:v>4</x:v>
      </x:c>
      <x:c r="D7" s="3" t="s">
        <x:v>78</x:v>
      </x:c>
      <x:c r="E7" s="3" t="s">
        <x:v>562</x:v>
      </x:c>
      <x:c r="F7" s="3" t="s">
        <x:v>563</x:v>
      </x:c>
      <x:c r="G7" s="3" t="s">
        <x:v>564</x:v>
      </x:c>
      <x:c r="H7" s="3" t="s">
        <x:v>665</x:v>
      </x:c>
      <x:c r="I7" s="3" t="s">
        <x:v>666</x:v>
      </x:c>
      <x:c r="J7" s="3" t="s">
        <x:v>667</x:v>
      </x:c>
      <x:c r="K7" s="3" t="s">
        <x:v>319</x:v>
      </x:c>
      <x:c r="L7" s="3" t="s">
        <x:v>668</x:v>
      </x:c>
      <x:c r="M7" s="3" t="s">
        <x:v>365</x:v>
      </x:c>
      <x:c r="N7" s="3" t="s">
        <x:v>26</x:v>
      </x:c>
      <x:c r="O7" s="3" t="s">
        <x:v>669</x:v>
      </x:c>
      <x:c r="P7" s="3" t="s">
        <x:v>592</x:v>
      </x:c>
      <x:c r="Q7" s="3" t="s">
        <x:v>670</x:v>
      </x:c>
      <x:c r="R7" s="3" t="s">
        <x:v>671</x:v>
      </x:c>
      <x:c r="S7" s="3" t="s">
        <x:v>672</x:v>
      </x:c>
      <x:c r="T7" s="3" t="s">
        <x:v>673</x:v>
      </x:c>
      <x:c r="U7" s="3" t="s">
        <x:v>674</x:v>
      </x:c>
      <x:c r="V7" s="3" t="s">
        <x:v>675</x:v>
      </x:c>
      <x:c r="W7" s="3" t="s">
        <x:v>676</x:v>
      </x:c>
      <x:c r="X7" s="3" t="s">
        <x:v>677</x:v>
      </x:c>
      <x:c r="Y7" s="3" t="s">
        <x:v>678</x:v>
      </x:c>
      <x:c r="Z7" s="3" t="s">
        <x:v>679</x:v>
      </x:c>
      <x:c r="AA7" s="3" t="s">
        <x:v>680</x:v>
      </x:c>
      <x:c r="AB7" s="3" t="s">
        <x:v>681</x:v>
      </x:c>
      <x:c r="AC7" s="158" t="s">
        <x:v>35</x:v>
      </x:c>
      <x:c r="AD7" s="158" t="s">
        <x:v>682</x:v>
      </x:c>
      <x:c r="AE7" s="158" t="s">
        <x:v>683</x:v>
      </x:c>
      <x:c r="AF7" s="158" t="s">
        <x:v>684</x:v>
      </x:c>
    </x:row>
    <x:row r="8">
      <x:c r="A8" s="125"/>
      <x:c r="B8" s="126"/>
      <x:c r="C8" s="126"/>
      <x:c r="D8" s="126"/>
      <x:c r="E8" s="126"/>
      <x:c r="F8" s="126"/>
      <x:c r="G8" s="126"/>
      <x:c r="H8" s="127"/>
      <x:c r="I8" s="127"/>
      <x:c r="J8" s="127"/>
      <x:c r="K8" s="127"/>
      <x:c r="L8" s="128"/>
      <x:c r="M8" s="128"/>
      <x:c r="N8" s="126"/>
      <x:c r="O8" s="126"/>
      <x:c r="P8" s="126"/>
      <x:c r="Q8" s="129"/>
      <x:c r="R8" s="130" t="str">
        <x:f t="shared" ref="R8:R39" si="0">IF(G8="","",IF(MOD(G8,1)=0.25,INT(G8),IF(MOD(G8,1)=0.75,INT(G8)+0.5,G8)))</x:f>
      </x:c>
      <x:c r="S8" s="131" t="str">
        <x:f t="shared" ref="S8:S39" si="1">IF(G8="","",IF(MOD(G8,1)=0.25,INT(G8)+0.5,IF(MOD(G8,1)=0.75,INT(G8)+1,G8)))</x:f>
      </x:c>
      <x:c r="T8" s="132" t="str">
        <x:f t="shared" ref="T8:T39" si="2">IF(OR(Q8="",H8="",F8=""),"",0.5*(IF(F8="Over",IF(Q8&gt;R8,H8-1,IF(Q8=R8,0,-1)),IF(Q8&lt;R8,H8-1,IF(Q8=R8,0,-1)))+IF(F8="Over",IF(Q8&gt;S8,H8-1,IF(Q8=S8,0,-1)),IF(Q8&lt;S8,H8-1,IF(Q8=S8,0,-1)))))</x:f>
      </x:c>
      <x:c r="U8" s="131" t="str">
        <x:f t="shared" ref="U8:U39" si="3">IF(T8="","",IF(T8&gt;0.000001,IF(T8&lt;H8-1,"HALF WIN","WIN"),IF(T8&lt;-0.000001,IF(T8&gt;-1,"HALF LOSS","LOSS"),"PUSH")))</x:f>
      </x:c>
      <x:c r="V8" s="133" t="str">
        <x:f t="shared" ref="V8:V39" si="4">IFERROR(H8/I8-1,"")</x:f>
      </x:c>
      <x:c r="W8" s="134" t="str">
        <x:f t="shared" ref="W8:W39" si="5">IF(OR(M8="",MOD(G8,1)&lt;&gt;0.5,T8=""),"",(M8-IF(T8&gt;0,1,0))^2)</x:f>
      </x:c>
      <x:c r="X8" s="135"/>
      <x:c r="Y8" s="126"/>
      <x:c r="Z8" s="126"/>
      <x:c r="AA8" s="129"/>
      <x:c r="AB8" s="73" t="s">
        <x:v>685</x:v>
      </x:c>
      <x:c r="AC8" s="164"/>
      <x:c r="AD8" s="168"/>
      <x:c r="AE8" s="168"/>
      <x:c r="AF8" s="168"/>
    </x:row>
    <x:row r="9">
      <x:c r="A9" s="136"/>
      <x:c r="B9" s="137"/>
      <x:c r="C9" s="137"/>
      <x:c r="D9" s="137"/>
      <x:c r="E9" s="137"/>
      <x:c r="F9" s="137"/>
      <x:c r="G9" s="137"/>
      <x:c r="H9" s="138"/>
      <x:c r="I9" s="138"/>
      <x:c r="J9" s="138"/>
      <x:c r="K9" s="138"/>
      <x:c r="L9" s="139"/>
      <x:c r="M9" s="139"/>
      <x:c r="N9" s="137"/>
      <x:c r="O9" s="137"/>
      <x:c r="P9" s="137"/>
      <x:c r="Q9" s="140"/>
      <x:c r="R9" s="141" t="str">
        <x:f t="shared" si="0"/>
      </x:c>
      <x:c r="S9" s="142" t="str">
        <x:f t="shared" si="1"/>
      </x:c>
      <x:c r="T9" s="143" t="str">
        <x:f t="shared" si="2"/>
      </x:c>
      <x:c r="U9" s="142" t="str">
        <x:f t="shared" si="3"/>
      </x:c>
      <x:c r="V9" s="144" t="str">
        <x:f t="shared" si="4"/>
      </x:c>
      <x:c r="W9" s="145" t="str">
        <x:f t="shared" si="5"/>
      </x:c>
      <x:c r="X9" s="146"/>
      <x:c r="Y9" s="137"/>
      <x:c r="Z9" s="137"/>
      <x:c r="AA9" s="140"/>
      <x:c r="AB9" s="81" t="s">
        <x:v>685</x:v>
      </x:c>
      <x:c r="AC9" s="164"/>
      <x:c r="AD9" s="168"/>
      <x:c r="AE9" s="168"/>
      <x:c r="AF9" s="168"/>
    </x:row>
    <x:row r="10">
      <x:c r="A10" s="136"/>
      <x:c r="B10" s="137"/>
      <x:c r="C10" s="137"/>
      <x:c r="D10" s="137"/>
      <x:c r="E10" s="137"/>
      <x:c r="F10" s="137"/>
      <x:c r="G10" s="137"/>
      <x:c r="H10" s="138"/>
      <x:c r="I10" s="138"/>
      <x:c r="J10" s="138"/>
      <x:c r="K10" s="138"/>
      <x:c r="L10" s="139"/>
      <x:c r="M10" s="139"/>
      <x:c r="N10" s="137"/>
      <x:c r="O10" s="137"/>
      <x:c r="P10" s="137"/>
      <x:c r="Q10" s="140"/>
      <x:c r="R10" s="141" t="str">
        <x:f t="shared" si="0"/>
      </x:c>
      <x:c r="S10" s="142" t="str">
        <x:f t="shared" si="1"/>
      </x:c>
      <x:c r="T10" s="143" t="str">
        <x:f t="shared" si="2"/>
      </x:c>
      <x:c r="U10" s="142" t="str">
        <x:f t="shared" si="3"/>
      </x:c>
      <x:c r="V10" s="144" t="str">
        <x:f t="shared" si="4"/>
      </x:c>
      <x:c r="W10" s="145" t="str">
        <x:f t="shared" si="5"/>
      </x:c>
      <x:c r="X10" s="146"/>
      <x:c r="Y10" s="137"/>
      <x:c r="Z10" s="137"/>
      <x:c r="AA10" s="140"/>
      <x:c r="AB10" s="81" t="s">
        <x:v>685</x:v>
      </x:c>
      <x:c r="AC10" s="164"/>
      <x:c r="AD10" s="168"/>
      <x:c r="AE10" s="168"/>
      <x:c r="AF10" s="168"/>
    </x:row>
    <x:row r="11">
      <x:c r="A11" s="136"/>
      <x:c r="B11" s="137"/>
      <x:c r="C11" s="137"/>
      <x:c r="D11" s="137"/>
      <x:c r="E11" s="137"/>
      <x:c r="F11" s="137"/>
      <x:c r="G11" s="137"/>
      <x:c r="H11" s="138"/>
      <x:c r="I11" s="138"/>
      <x:c r="J11" s="138"/>
      <x:c r="K11" s="138"/>
      <x:c r="L11" s="139"/>
      <x:c r="M11" s="139"/>
      <x:c r="N11" s="137"/>
      <x:c r="O11" s="137"/>
      <x:c r="P11" s="137"/>
      <x:c r="Q11" s="140"/>
      <x:c r="R11" s="141" t="str">
        <x:f t="shared" si="0"/>
      </x:c>
      <x:c r="S11" s="142" t="str">
        <x:f t="shared" si="1"/>
      </x:c>
      <x:c r="T11" s="143" t="str">
        <x:f t="shared" si="2"/>
      </x:c>
      <x:c r="U11" s="142" t="str">
        <x:f t="shared" si="3"/>
      </x:c>
      <x:c r="V11" s="144" t="str">
        <x:f t="shared" si="4"/>
      </x:c>
      <x:c r="W11" s="145" t="str">
        <x:f t="shared" si="5"/>
      </x:c>
      <x:c r="X11" s="146"/>
      <x:c r="Y11" s="137"/>
      <x:c r="Z11" s="137"/>
      <x:c r="AA11" s="140"/>
      <x:c r="AB11" s="81" t="s">
        <x:v>685</x:v>
      </x:c>
      <x:c r="AC11" s="164"/>
      <x:c r="AD11" s="168"/>
      <x:c r="AE11" s="168"/>
      <x:c r="AF11" s="168"/>
    </x:row>
    <x:row r="12">
      <x:c r="A12" s="136"/>
      <x:c r="B12" s="137"/>
      <x:c r="C12" s="137"/>
      <x:c r="D12" s="137"/>
      <x:c r="E12" s="137"/>
      <x:c r="F12" s="137"/>
      <x:c r="G12" s="137"/>
      <x:c r="H12" s="138"/>
      <x:c r="I12" s="138"/>
      <x:c r="J12" s="138"/>
      <x:c r="K12" s="138"/>
      <x:c r="L12" s="139"/>
      <x:c r="M12" s="139"/>
      <x:c r="N12" s="137"/>
      <x:c r="O12" s="137"/>
      <x:c r="P12" s="137"/>
      <x:c r="Q12" s="140"/>
      <x:c r="R12" s="141" t="str">
        <x:f t="shared" si="0"/>
      </x:c>
      <x:c r="S12" s="142" t="str">
        <x:f t="shared" si="1"/>
      </x:c>
      <x:c r="T12" s="143" t="str">
        <x:f t="shared" si="2"/>
      </x:c>
      <x:c r="U12" s="142" t="str">
        <x:f t="shared" si="3"/>
      </x:c>
      <x:c r="V12" s="144" t="str">
        <x:f t="shared" si="4"/>
      </x:c>
      <x:c r="W12" s="145" t="str">
        <x:f t="shared" si="5"/>
      </x:c>
      <x:c r="X12" s="146"/>
      <x:c r="Y12" s="137"/>
      <x:c r="Z12" s="137"/>
      <x:c r="AA12" s="140"/>
      <x:c r="AB12" s="81" t="s">
        <x:v>685</x:v>
      </x:c>
      <x:c r="AC12" s="164"/>
      <x:c r="AD12" s="168"/>
      <x:c r="AE12" s="168"/>
      <x:c r="AF12" s="168"/>
    </x:row>
    <x:row r="13">
      <x:c r="A13" s="136"/>
      <x:c r="B13" s="137"/>
      <x:c r="C13" s="137"/>
      <x:c r="D13" s="137"/>
      <x:c r="E13" s="137"/>
      <x:c r="F13" s="137"/>
      <x:c r="G13" s="137"/>
      <x:c r="H13" s="138"/>
      <x:c r="I13" s="138"/>
      <x:c r="J13" s="138"/>
      <x:c r="K13" s="138"/>
      <x:c r="L13" s="139"/>
      <x:c r="M13" s="139"/>
      <x:c r="N13" s="137"/>
      <x:c r="O13" s="137"/>
      <x:c r="P13" s="137"/>
      <x:c r="Q13" s="140"/>
      <x:c r="R13" s="141" t="str">
        <x:f t="shared" si="0"/>
      </x:c>
      <x:c r="S13" s="142" t="str">
        <x:f t="shared" si="1"/>
      </x:c>
      <x:c r="T13" s="143" t="str">
        <x:f t="shared" si="2"/>
      </x:c>
      <x:c r="U13" s="142" t="str">
        <x:f t="shared" si="3"/>
      </x:c>
      <x:c r="V13" s="144" t="str">
        <x:f t="shared" si="4"/>
      </x:c>
      <x:c r="W13" s="145" t="str">
        <x:f t="shared" si="5"/>
      </x:c>
      <x:c r="X13" s="146"/>
      <x:c r="Y13" s="137"/>
      <x:c r="Z13" s="137"/>
      <x:c r="AA13" s="140"/>
      <x:c r="AB13" s="81" t="s">
        <x:v>685</x:v>
      </x:c>
      <x:c r="AC13" s="164"/>
      <x:c r="AD13" s="168"/>
      <x:c r="AE13" s="168"/>
      <x:c r="AF13" s="168"/>
    </x:row>
    <x:row r="14">
      <x:c r="A14" s="136"/>
      <x:c r="B14" s="137"/>
      <x:c r="C14" s="137"/>
      <x:c r="D14" s="137"/>
      <x:c r="E14" s="137"/>
      <x:c r="F14" s="137"/>
      <x:c r="G14" s="137"/>
      <x:c r="H14" s="138"/>
      <x:c r="I14" s="138"/>
      <x:c r="J14" s="138"/>
      <x:c r="K14" s="138"/>
      <x:c r="L14" s="139"/>
      <x:c r="M14" s="139"/>
      <x:c r="N14" s="137"/>
      <x:c r="O14" s="137"/>
      <x:c r="P14" s="137"/>
      <x:c r="Q14" s="140"/>
      <x:c r="R14" s="141" t="str">
        <x:f t="shared" si="0"/>
      </x:c>
      <x:c r="S14" s="142" t="str">
        <x:f t="shared" si="1"/>
      </x:c>
      <x:c r="T14" s="143" t="str">
        <x:f t="shared" si="2"/>
      </x:c>
      <x:c r="U14" s="142" t="str">
        <x:f t="shared" si="3"/>
      </x:c>
      <x:c r="V14" s="144" t="str">
        <x:f t="shared" si="4"/>
      </x:c>
      <x:c r="W14" s="145" t="str">
        <x:f t="shared" si="5"/>
      </x:c>
      <x:c r="X14" s="146"/>
      <x:c r="Y14" s="137"/>
      <x:c r="Z14" s="137"/>
      <x:c r="AA14" s="140"/>
      <x:c r="AB14" s="81" t="s">
        <x:v>685</x:v>
      </x:c>
      <x:c r="AC14" s="164"/>
      <x:c r="AD14" s="168"/>
      <x:c r="AE14" s="168"/>
      <x:c r="AF14" s="168"/>
    </x:row>
    <x:row r="15">
      <x:c r="A15" s="136"/>
      <x:c r="B15" s="137"/>
      <x:c r="C15" s="137"/>
      <x:c r="D15" s="137"/>
      <x:c r="E15" s="137"/>
      <x:c r="F15" s="137"/>
      <x:c r="G15" s="137"/>
      <x:c r="H15" s="138"/>
      <x:c r="I15" s="138"/>
      <x:c r="J15" s="138"/>
      <x:c r="K15" s="138"/>
      <x:c r="L15" s="139"/>
      <x:c r="M15" s="139"/>
      <x:c r="N15" s="137"/>
      <x:c r="O15" s="137"/>
      <x:c r="P15" s="137"/>
      <x:c r="Q15" s="140"/>
      <x:c r="R15" s="141" t="str">
        <x:f t="shared" si="0"/>
      </x:c>
      <x:c r="S15" s="142" t="str">
        <x:f t="shared" si="1"/>
      </x:c>
      <x:c r="T15" s="143" t="str">
        <x:f t="shared" si="2"/>
      </x:c>
      <x:c r="U15" s="142" t="str">
        <x:f t="shared" si="3"/>
      </x:c>
      <x:c r="V15" s="144" t="str">
        <x:f t="shared" si="4"/>
      </x:c>
      <x:c r="W15" s="145" t="str">
        <x:f t="shared" si="5"/>
      </x:c>
      <x:c r="X15" s="146"/>
      <x:c r="Y15" s="137"/>
      <x:c r="Z15" s="137"/>
      <x:c r="AA15" s="140"/>
      <x:c r="AB15" s="81" t="s">
        <x:v>685</x:v>
      </x:c>
      <x:c r="AC15" s="164"/>
      <x:c r="AD15" s="168"/>
      <x:c r="AE15" s="168"/>
      <x:c r="AF15" s="168"/>
    </x:row>
    <x:row r="16">
      <x:c r="A16" s="136"/>
      <x:c r="B16" s="137"/>
      <x:c r="C16" s="137"/>
      <x:c r="D16" s="137"/>
      <x:c r="E16" s="137"/>
      <x:c r="F16" s="137"/>
      <x:c r="G16" s="137"/>
      <x:c r="H16" s="138"/>
      <x:c r="I16" s="138"/>
      <x:c r="J16" s="138"/>
      <x:c r="K16" s="138"/>
      <x:c r="L16" s="139"/>
      <x:c r="M16" s="139"/>
      <x:c r="N16" s="137"/>
      <x:c r="O16" s="137"/>
      <x:c r="P16" s="137"/>
      <x:c r="Q16" s="140"/>
      <x:c r="R16" s="141" t="str">
        <x:f t="shared" si="0"/>
      </x:c>
      <x:c r="S16" s="142" t="str">
        <x:f t="shared" si="1"/>
      </x:c>
      <x:c r="T16" s="143" t="str">
        <x:f t="shared" si="2"/>
      </x:c>
      <x:c r="U16" s="142" t="str">
        <x:f t="shared" si="3"/>
      </x:c>
      <x:c r="V16" s="144" t="str">
        <x:f t="shared" si="4"/>
      </x:c>
      <x:c r="W16" s="145" t="str">
        <x:f t="shared" si="5"/>
      </x:c>
      <x:c r="X16" s="146"/>
      <x:c r="Y16" s="137"/>
      <x:c r="Z16" s="137"/>
      <x:c r="AA16" s="140"/>
      <x:c r="AB16" s="81" t="s">
        <x:v>685</x:v>
      </x:c>
      <x:c r="AC16" s="164"/>
      <x:c r="AD16" s="168"/>
      <x:c r="AE16" s="168"/>
      <x:c r="AF16" s="168"/>
    </x:row>
    <x:row r="17">
      <x:c r="A17" s="136"/>
      <x:c r="B17" s="137"/>
      <x:c r="C17" s="137"/>
      <x:c r="D17" s="137"/>
      <x:c r="E17" s="137"/>
      <x:c r="F17" s="137"/>
      <x:c r="G17" s="137"/>
      <x:c r="H17" s="138"/>
      <x:c r="I17" s="138"/>
      <x:c r="J17" s="138"/>
      <x:c r="K17" s="138"/>
      <x:c r="L17" s="139"/>
      <x:c r="M17" s="139"/>
      <x:c r="N17" s="137"/>
      <x:c r="O17" s="137"/>
      <x:c r="P17" s="137"/>
      <x:c r="Q17" s="140"/>
      <x:c r="R17" s="141" t="str">
        <x:f t="shared" si="0"/>
      </x:c>
      <x:c r="S17" s="142" t="str">
        <x:f t="shared" si="1"/>
      </x:c>
      <x:c r="T17" s="143" t="str">
        <x:f t="shared" si="2"/>
      </x:c>
      <x:c r="U17" s="142" t="str">
        <x:f t="shared" si="3"/>
      </x:c>
      <x:c r="V17" s="144" t="str">
        <x:f t="shared" si="4"/>
      </x:c>
      <x:c r="W17" s="145" t="str">
        <x:f t="shared" si="5"/>
      </x:c>
      <x:c r="X17" s="146"/>
      <x:c r="Y17" s="137"/>
      <x:c r="Z17" s="137"/>
      <x:c r="AA17" s="140"/>
      <x:c r="AB17" s="81" t="s">
        <x:v>685</x:v>
      </x:c>
      <x:c r="AC17" s="164"/>
      <x:c r="AD17" s="168"/>
      <x:c r="AE17" s="168"/>
      <x:c r="AF17" s="168"/>
    </x:row>
    <x:row r="18">
      <x:c r="A18" s="136"/>
      <x:c r="B18" s="137"/>
      <x:c r="C18" s="137"/>
      <x:c r="D18" s="137"/>
      <x:c r="E18" s="137"/>
      <x:c r="F18" s="137"/>
      <x:c r="G18" s="137"/>
      <x:c r="H18" s="138"/>
      <x:c r="I18" s="138"/>
      <x:c r="J18" s="138"/>
      <x:c r="K18" s="138"/>
      <x:c r="L18" s="139"/>
      <x:c r="M18" s="139"/>
      <x:c r="N18" s="137"/>
      <x:c r="O18" s="137"/>
      <x:c r="P18" s="137"/>
      <x:c r="Q18" s="140"/>
      <x:c r="R18" s="141" t="str">
        <x:f t="shared" si="0"/>
      </x:c>
      <x:c r="S18" s="142" t="str">
        <x:f t="shared" si="1"/>
      </x:c>
      <x:c r="T18" s="143" t="str">
        <x:f t="shared" si="2"/>
      </x:c>
      <x:c r="U18" s="142" t="str">
        <x:f t="shared" si="3"/>
      </x:c>
      <x:c r="V18" s="144" t="str">
        <x:f t="shared" si="4"/>
      </x:c>
      <x:c r="W18" s="145" t="str">
        <x:f t="shared" si="5"/>
      </x:c>
      <x:c r="X18" s="146"/>
      <x:c r="Y18" s="137"/>
      <x:c r="Z18" s="137"/>
      <x:c r="AA18" s="140"/>
      <x:c r="AB18" s="81" t="s">
        <x:v>685</x:v>
      </x:c>
      <x:c r="AC18" s="164"/>
      <x:c r="AD18" s="168"/>
      <x:c r="AE18" s="168"/>
      <x:c r="AF18" s="168"/>
    </x:row>
    <x:row r="19">
      <x:c r="A19" s="136"/>
      <x:c r="B19" s="137"/>
      <x:c r="C19" s="137"/>
      <x:c r="D19" s="137"/>
      <x:c r="E19" s="137"/>
      <x:c r="F19" s="137"/>
      <x:c r="G19" s="137"/>
      <x:c r="H19" s="138"/>
      <x:c r="I19" s="138"/>
      <x:c r="J19" s="138"/>
      <x:c r="K19" s="138"/>
      <x:c r="L19" s="139"/>
      <x:c r="M19" s="139"/>
      <x:c r="N19" s="137"/>
      <x:c r="O19" s="137"/>
      <x:c r="P19" s="137"/>
      <x:c r="Q19" s="140"/>
      <x:c r="R19" s="141" t="str">
        <x:f t="shared" si="0"/>
      </x:c>
      <x:c r="S19" s="142" t="str">
        <x:f t="shared" si="1"/>
      </x:c>
      <x:c r="T19" s="143" t="str">
        <x:f t="shared" si="2"/>
      </x:c>
      <x:c r="U19" s="142" t="str">
        <x:f t="shared" si="3"/>
      </x:c>
      <x:c r="V19" s="144" t="str">
        <x:f t="shared" si="4"/>
      </x:c>
      <x:c r="W19" s="145" t="str">
        <x:f t="shared" si="5"/>
      </x:c>
      <x:c r="X19" s="146"/>
      <x:c r="Y19" s="137"/>
      <x:c r="Z19" s="137"/>
      <x:c r="AA19" s="140"/>
      <x:c r="AB19" s="81" t="s">
        <x:v>685</x:v>
      </x:c>
      <x:c r="AC19" s="164"/>
      <x:c r="AD19" s="168"/>
      <x:c r="AE19" s="168"/>
      <x:c r="AF19" s="168"/>
    </x:row>
    <x:row r="20">
      <x:c r="A20" s="136"/>
      <x:c r="B20" s="137"/>
      <x:c r="C20" s="137"/>
      <x:c r="D20" s="137"/>
      <x:c r="E20" s="137"/>
      <x:c r="F20" s="137"/>
      <x:c r="G20" s="137"/>
      <x:c r="H20" s="138"/>
      <x:c r="I20" s="138"/>
      <x:c r="J20" s="138"/>
      <x:c r="K20" s="138"/>
      <x:c r="L20" s="139"/>
      <x:c r="M20" s="139"/>
      <x:c r="N20" s="137"/>
      <x:c r="O20" s="137"/>
      <x:c r="P20" s="137"/>
      <x:c r="Q20" s="140"/>
      <x:c r="R20" s="141" t="str">
        <x:f t="shared" si="0"/>
      </x:c>
      <x:c r="S20" s="142" t="str">
        <x:f t="shared" si="1"/>
      </x:c>
      <x:c r="T20" s="143" t="str">
        <x:f t="shared" si="2"/>
      </x:c>
      <x:c r="U20" s="142" t="str">
        <x:f t="shared" si="3"/>
      </x:c>
      <x:c r="V20" s="144" t="str">
        <x:f t="shared" si="4"/>
      </x:c>
      <x:c r="W20" s="145" t="str">
        <x:f t="shared" si="5"/>
      </x:c>
      <x:c r="X20" s="146"/>
      <x:c r="Y20" s="137"/>
      <x:c r="Z20" s="137"/>
      <x:c r="AA20" s="140"/>
      <x:c r="AB20" s="81" t="s">
        <x:v>685</x:v>
      </x:c>
      <x:c r="AC20" s="164"/>
      <x:c r="AD20" s="168"/>
      <x:c r="AE20" s="168"/>
      <x:c r="AF20" s="168"/>
    </x:row>
    <x:row r="21">
      <x:c r="A21" s="136"/>
      <x:c r="B21" s="137"/>
      <x:c r="C21" s="137"/>
      <x:c r="D21" s="137"/>
      <x:c r="E21" s="137"/>
      <x:c r="F21" s="137"/>
      <x:c r="G21" s="137"/>
      <x:c r="H21" s="138"/>
      <x:c r="I21" s="138"/>
      <x:c r="J21" s="138"/>
      <x:c r="K21" s="138"/>
      <x:c r="L21" s="139"/>
      <x:c r="M21" s="139"/>
      <x:c r="N21" s="137"/>
      <x:c r="O21" s="137"/>
      <x:c r="P21" s="137"/>
      <x:c r="Q21" s="140"/>
      <x:c r="R21" s="141" t="str">
        <x:f t="shared" si="0"/>
      </x:c>
      <x:c r="S21" s="142" t="str">
        <x:f t="shared" si="1"/>
      </x:c>
      <x:c r="T21" s="143" t="str">
        <x:f t="shared" si="2"/>
      </x:c>
      <x:c r="U21" s="142" t="str">
        <x:f t="shared" si="3"/>
      </x:c>
      <x:c r="V21" s="144" t="str">
        <x:f t="shared" si="4"/>
      </x:c>
      <x:c r="W21" s="145" t="str">
        <x:f t="shared" si="5"/>
      </x:c>
      <x:c r="X21" s="146"/>
      <x:c r="Y21" s="137"/>
      <x:c r="Z21" s="137"/>
      <x:c r="AA21" s="140"/>
      <x:c r="AB21" s="81" t="s">
        <x:v>685</x:v>
      </x:c>
      <x:c r="AC21" s="164"/>
      <x:c r="AD21" s="168"/>
      <x:c r="AE21" s="168"/>
      <x:c r="AF21" s="168"/>
    </x:row>
    <x:row r="22">
      <x:c r="A22" s="136"/>
      <x:c r="B22" s="137"/>
      <x:c r="C22" s="137"/>
      <x:c r="D22" s="137"/>
      <x:c r="E22" s="137"/>
      <x:c r="F22" s="137"/>
      <x:c r="G22" s="137"/>
      <x:c r="H22" s="138"/>
      <x:c r="I22" s="138"/>
      <x:c r="J22" s="138"/>
      <x:c r="K22" s="138"/>
      <x:c r="L22" s="139"/>
      <x:c r="M22" s="139"/>
      <x:c r="N22" s="137"/>
      <x:c r="O22" s="137"/>
      <x:c r="P22" s="137"/>
      <x:c r="Q22" s="140"/>
      <x:c r="R22" s="141" t="str">
        <x:f t="shared" si="0"/>
      </x:c>
      <x:c r="S22" s="142" t="str">
        <x:f t="shared" si="1"/>
      </x:c>
      <x:c r="T22" s="143" t="str">
        <x:f t="shared" si="2"/>
      </x:c>
      <x:c r="U22" s="142" t="str">
        <x:f t="shared" si="3"/>
      </x:c>
      <x:c r="V22" s="144" t="str">
        <x:f t="shared" si="4"/>
      </x:c>
      <x:c r="W22" s="145" t="str">
        <x:f t="shared" si="5"/>
      </x:c>
      <x:c r="X22" s="146"/>
      <x:c r="Y22" s="137"/>
      <x:c r="Z22" s="137"/>
      <x:c r="AA22" s="140"/>
      <x:c r="AB22" s="81" t="s">
        <x:v>685</x:v>
      </x:c>
      <x:c r="AC22" s="164"/>
      <x:c r="AD22" s="168"/>
      <x:c r="AE22" s="168"/>
      <x:c r="AF22" s="168"/>
    </x:row>
    <x:row r="23">
      <x:c r="A23" s="136"/>
      <x:c r="B23" s="137"/>
      <x:c r="C23" s="137"/>
      <x:c r="D23" s="137"/>
      <x:c r="E23" s="137"/>
      <x:c r="F23" s="137"/>
      <x:c r="G23" s="137"/>
      <x:c r="H23" s="138"/>
      <x:c r="I23" s="138"/>
      <x:c r="J23" s="138"/>
      <x:c r="K23" s="138"/>
      <x:c r="L23" s="139"/>
      <x:c r="M23" s="139"/>
      <x:c r="N23" s="137"/>
      <x:c r="O23" s="137"/>
      <x:c r="P23" s="137"/>
      <x:c r="Q23" s="140"/>
      <x:c r="R23" s="141" t="str">
        <x:f t="shared" si="0"/>
      </x:c>
      <x:c r="S23" s="142" t="str">
        <x:f t="shared" si="1"/>
      </x:c>
      <x:c r="T23" s="143" t="str">
        <x:f t="shared" si="2"/>
      </x:c>
      <x:c r="U23" s="142" t="str">
        <x:f t="shared" si="3"/>
      </x:c>
      <x:c r="V23" s="144" t="str">
        <x:f t="shared" si="4"/>
      </x:c>
      <x:c r="W23" s="145" t="str">
        <x:f t="shared" si="5"/>
      </x:c>
      <x:c r="X23" s="146"/>
      <x:c r="Y23" s="137"/>
      <x:c r="Z23" s="137"/>
      <x:c r="AA23" s="140"/>
      <x:c r="AB23" s="81" t="s">
        <x:v>685</x:v>
      </x:c>
      <x:c r="AC23" s="164"/>
      <x:c r="AD23" s="168"/>
      <x:c r="AE23" s="168"/>
      <x:c r="AF23" s="168"/>
    </x:row>
    <x:row r="24">
      <x:c r="A24" s="136"/>
      <x:c r="B24" s="137"/>
      <x:c r="C24" s="137"/>
      <x:c r="D24" s="137"/>
      <x:c r="E24" s="137"/>
      <x:c r="F24" s="137"/>
      <x:c r="G24" s="137"/>
      <x:c r="H24" s="138"/>
      <x:c r="I24" s="138"/>
      <x:c r="J24" s="138"/>
      <x:c r="K24" s="138"/>
      <x:c r="L24" s="139"/>
      <x:c r="M24" s="139"/>
      <x:c r="N24" s="137"/>
      <x:c r="O24" s="137"/>
      <x:c r="P24" s="137"/>
      <x:c r="Q24" s="140"/>
      <x:c r="R24" s="141" t="str">
        <x:f t="shared" si="0"/>
      </x:c>
      <x:c r="S24" s="142" t="str">
        <x:f t="shared" si="1"/>
      </x:c>
      <x:c r="T24" s="143" t="str">
        <x:f t="shared" si="2"/>
      </x:c>
      <x:c r="U24" s="142" t="str">
        <x:f t="shared" si="3"/>
      </x:c>
      <x:c r="V24" s="144" t="str">
        <x:f t="shared" si="4"/>
      </x:c>
      <x:c r="W24" s="145" t="str">
        <x:f t="shared" si="5"/>
      </x:c>
      <x:c r="X24" s="146"/>
      <x:c r="Y24" s="137"/>
      <x:c r="Z24" s="137"/>
      <x:c r="AA24" s="140"/>
      <x:c r="AB24" s="81" t="s">
        <x:v>685</x:v>
      </x:c>
      <x:c r="AC24" s="164"/>
      <x:c r="AD24" s="168"/>
      <x:c r="AE24" s="168"/>
      <x:c r="AF24" s="168"/>
    </x:row>
    <x:row r="25">
      <x:c r="A25" s="136"/>
      <x:c r="B25" s="137"/>
      <x:c r="C25" s="137"/>
      <x:c r="D25" s="137"/>
      <x:c r="E25" s="137"/>
      <x:c r="F25" s="137"/>
      <x:c r="G25" s="137"/>
      <x:c r="H25" s="138"/>
      <x:c r="I25" s="138"/>
      <x:c r="J25" s="138"/>
      <x:c r="K25" s="138"/>
      <x:c r="L25" s="139"/>
      <x:c r="M25" s="139"/>
      <x:c r="N25" s="137"/>
      <x:c r="O25" s="137"/>
      <x:c r="P25" s="137"/>
      <x:c r="Q25" s="140"/>
      <x:c r="R25" s="141" t="str">
        <x:f t="shared" si="0"/>
      </x:c>
      <x:c r="S25" s="142" t="str">
        <x:f t="shared" si="1"/>
      </x:c>
      <x:c r="T25" s="143" t="str">
        <x:f t="shared" si="2"/>
      </x:c>
      <x:c r="U25" s="142" t="str">
        <x:f t="shared" si="3"/>
      </x:c>
      <x:c r="V25" s="144" t="str">
        <x:f t="shared" si="4"/>
      </x:c>
      <x:c r="W25" s="145" t="str">
        <x:f t="shared" si="5"/>
      </x:c>
      <x:c r="X25" s="146"/>
      <x:c r="Y25" s="137"/>
      <x:c r="Z25" s="137"/>
      <x:c r="AA25" s="140"/>
      <x:c r="AB25" s="81" t="s">
        <x:v>685</x:v>
      </x:c>
      <x:c r="AC25" s="164"/>
      <x:c r="AD25" s="168"/>
      <x:c r="AE25" s="168"/>
      <x:c r="AF25" s="168"/>
    </x:row>
    <x:row r="26">
      <x:c r="A26" s="136"/>
      <x:c r="B26" s="137"/>
      <x:c r="C26" s="137"/>
      <x:c r="D26" s="137"/>
      <x:c r="E26" s="137"/>
      <x:c r="F26" s="137"/>
      <x:c r="G26" s="137"/>
      <x:c r="H26" s="138"/>
      <x:c r="I26" s="138"/>
      <x:c r="J26" s="138"/>
      <x:c r="K26" s="138"/>
      <x:c r="L26" s="139"/>
      <x:c r="M26" s="139"/>
      <x:c r="N26" s="137"/>
      <x:c r="O26" s="137"/>
      <x:c r="P26" s="137"/>
      <x:c r="Q26" s="140"/>
      <x:c r="R26" s="141" t="str">
        <x:f t="shared" si="0"/>
      </x:c>
      <x:c r="S26" s="142" t="str">
        <x:f t="shared" si="1"/>
      </x:c>
      <x:c r="T26" s="143" t="str">
        <x:f t="shared" si="2"/>
      </x:c>
      <x:c r="U26" s="142" t="str">
        <x:f t="shared" si="3"/>
      </x:c>
      <x:c r="V26" s="144" t="str">
        <x:f t="shared" si="4"/>
      </x:c>
      <x:c r="W26" s="145" t="str">
        <x:f t="shared" si="5"/>
      </x:c>
      <x:c r="X26" s="146"/>
      <x:c r="Y26" s="137"/>
      <x:c r="Z26" s="137"/>
      <x:c r="AA26" s="140"/>
      <x:c r="AB26" s="81" t="s">
        <x:v>685</x:v>
      </x:c>
      <x:c r="AC26" s="164"/>
      <x:c r="AD26" s="168"/>
      <x:c r="AE26" s="168"/>
      <x:c r="AF26" s="168"/>
    </x:row>
    <x:row r="27">
      <x:c r="A27" s="136"/>
      <x:c r="B27" s="137"/>
      <x:c r="C27" s="137"/>
      <x:c r="D27" s="137"/>
      <x:c r="E27" s="137"/>
      <x:c r="F27" s="137"/>
      <x:c r="G27" s="137"/>
      <x:c r="H27" s="138"/>
      <x:c r="I27" s="138"/>
      <x:c r="J27" s="138"/>
      <x:c r="K27" s="138"/>
      <x:c r="L27" s="139"/>
      <x:c r="M27" s="139"/>
      <x:c r="N27" s="137"/>
      <x:c r="O27" s="137"/>
      <x:c r="P27" s="137"/>
      <x:c r="Q27" s="140"/>
      <x:c r="R27" s="141" t="str">
        <x:f t="shared" si="0"/>
      </x:c>
      <x:c r="S27" s="142" t="str">
        <x:f t="shared" si="1"/>
      </x:c>
      <x:c r="T27" s="143" t="str">
        <x:f t="shared" si="2"/>
      </x:c>
      <x:c r="U27" s="142" t="str">
        <x:f t="shared" si="3"/>
      </x:c>
      <x:c r="V27" s="144" t="str">
        <x:f t="shared" si="4"/>
      </x:c>
      <x:c r="W27" s="145" t="str">
        <x:f t="shared" si="5"/>
      </x:c>
      <x:c r="X27" s="146"/>
      <x:c r="Y27" s="137"/>
      <x:c r="Z27" s="137"/>
      <x:c r="AA27" s="140"/>
      <x:c r="AB27" s="81" t="s">
        <x:v>685</x:v>
      </x:c>
      <x:c r="AC27" s="164"/>
      <x:c r="AD27" s="168"/>
      <x:c r="AE27" s="168"/>
      <x:c r="AF27" s="168"/>
    </x:row>
    <x:row r="28">
      <x:c r="A28" s="136"/>
      <x:c r="B28" s="137"/>
      <x:c r="C28" s="137"/>
      <x:c r="D28" s="137"/>
      <x:c r="E28" s="137"/>
      <x:c r="F28" s="137"/>
      <x:c r="G28" s="137"/>
      <x:c r="H28" s="138"/>
      <x:c r="I28" s="138"/>
      <x:c r="J28" s="138"/>
      <x:c r="K28" s="138"/>
      <x:c r="L28" s="139"/>
      <x:c r="M28" s="139"/>
      <x:c r="N28" s="137"/>
      <x:c r="O28" s="137"/>
      <x:c r="P28" s="137"/>
      <x:c r="Q28" s="140"/>
      <x:c r="R28" s="141" t="str">
        <x:f t="shared" si="0"/>
      </x:c>
      <x:c r="S28" s="142" t="str">
        <x:f t="shared" si="1"/>
      </x:c>
      <x:c r="T28" s="143" t="str">
        <x:f t="shared" si="2"/>
      </x:c>
      <x:c r="U28" s="142" t="str">
        <x:f t="shared" si="3"/>
      </x:c>
      <x:c r="V28" s="144" t="str">
        <x:f t="shared" si="4"/>
      </x:c>
      <x:c r="W28" s="145" t="str">
        <x:f t="shared" si="5"/>
      </x:c>
      <x:c r="X28" s="146"/>
      <x:c r="Y28" s="137"/>
      <x:c r="Z28" s="137"/>
      <x:c r="AA28" s="140"/>
      <x:c r="AB28" s="81" t="s">
        <x:v>685</x:v>
      </x:c>
      <x:c r="AC28" s="164"/>
      <x:c r="AD28" s="168"/>
      <x:c r="AE28" s="168"/>
      <x:c r="AF28" s="168"/>
    </x:row>
    <x:row r="29">
      <x:c r="A29" s="136"/>
      <x:c r="B29" s="137"/>
      <x:c r="C29" s="137"/>
      <x:c r="D29" s="137"/>
      <x:c r="E29" s="137"/>
      <x:c r="F29" s="137"/>
      <x:c r="G29" s="137"/>
      <x:c r="H29" s="138"/>
      <x:c r="I29" s="138"/>
      <x:c r="J29" s="138"/>
      <x:c r="K29" s="138"/>
      <x:c r="L29" s="139"/>
      <x:c r="M29" s="139"/>
      <x:c r="N29" s="137"/>
      <x:c r="O29" s="137"/>
      <x:c r="P29" s="137"/>
      <x:c r="Q29" s="140"/>
      <x:c r="R29" s="141" t="str">
        <x:f t="shared" si="0"/>
      </x:c>
      <x:c r="S29" s="142" t="str">
        <x:f t="shared" si="1"/>
      </x:c>
      <x:c r="T29" s="143" t="str">
        <x:f t="shared" si="2"/>
      </x:c>
      <x:c r="U29" s="142" t="str">
        <x:f t="shared" si="3"/>
      </x:c>
      <x:c r="V29" s="144" t="str">
        <x:f t="shared" si="4"/>
      </x:c>
      <x:c r="W29" s="145" t="str">
        <x:f t="shared" si="5"/>
      </x:c>
      <x:c r="X29" s="146"/>
      <x:c r="Y29" s="137"/>
      <x:c r="Z29" s="137"/>
      <x:c r="AA29" s="140"/>
      <x:c r="AB29" s="81" t="s">
        <x:v>685</x:v>
      </x:c>
      <x:c r="AC29" s="164"/>
      <x:c r="AD29" s="168"/>
      <x:c r="AE29" s="168"/>
      <x:c r="AF29" s="168"/>
    </x:row>
    <x:row r="30">
      <x:c r="A30" s="136"/>
      <x:c r="B30" s="137"/>
      <x:c r="C30" s="137"/>
      <x:c r="D30" s="137"/>
      <x:c r="E30" s="137"/>
      <x:c r="F30" s="137"/>
      <x:c r="G30" s="137"/>
      <x:c r="H30" s="138"/>
      <x:c r="I30" s="138"/>
      <x:c r="J30" s="138"/>
      <x:c r="K30" s="138"/>
      <x:c r="L30" s="139"/>
      <x:c r="M30" s="139"/>
      <x:c r="N30" s="137"/>
      <x:c r="O30" s="137"/>
      <x:c r="P30" s="137"/>
      <x:c r="Q30" s="140"/>
      <x:c r="R30" s="141" t="str">
        <x:f t="shared" si="0"/>
      </x:c>
      <x:c r="S30" s="142" t="str">
        <x:f t="shared" si="1"/>
      </x:c>
      <x:c r="T30" s="143" t="str">
        <x:f t="shared" si="2"/>
      </x:c>
      <x:c r="U30" s="142" t="str">
        <x:f t="shared" si="3"/>
      </x:c>
      <x:c r="V30" s="144" t="str">
        <x:f t="shared" si="4"/>
      </x:c>
      <x:c r="W30" s="145" t="str">
        <x:f t="shared" si="5"/>
      </x:c>
      <x:c r="X30" s="146"/>
      <x:c r="Y30" s="137"/>
      <x:c r="Z30" s="137"/>
      <x:c r="AA30" s="140"/>
      <x:c r="AB30" s="81" t="s">
        <x:v>685</x:v>
      </x:c>
      <x:c r="AC30" s="164"/>
      <x:c r="AD30" s="168"/>
      <x:c r="AE30" s="168"/>
      <x:c r="AF30" s="168"/>
    </x:row>
    <x:row r="31">
      <x:c r="A31" s="136"/>
      <x:c r="B31" s="137"/>
      <x:c r="C31" s="137"/>
      <x:c r="D31" s="137"/>
      <x:c r="E31" s="137"/>
      <x:c r="F31" s="137"/>
      <x:c r="G31" s="137"/>
      <x:c r="H31" s="138"/>
      <x:c r="I31" s="138"/>
      <x:c r="J31" s="138"/>
      <x:c r="K31" s="138"/>
      <x:c r="L31" s="139"/>
      <x:c r="M31" s="139"/>
      <x:c r="N31" s="137"/>
      <x:c r="O31" s="137"/>
      <x:c r="P31" s="137"/>
      <x:c r="Q31" s="140"/>
      <x:c r="R31" s="141" t="str">
        <x:f t="shared" si="0"/>
      </x:c>
      <x:c r="S31" s="142" t="str">
        <x:f t="shared" si="1"/>
      </x:c>
      <x:c r="T31" s="143" t="str">
        <x:f t="shared" si="2"/>
      </x:c>
      <x:c r="U31" s="142" t="str">
        <x:f t="shared" si="3"/>
      </x:c>
      <x:c r="V31" s="144" t="str">
        <x:f t="shared" si="4"/>
      </x:c>
      <x:c r="W31" s="145" t="str">
        <x:f t="shared" si="5"/>
      </x:c>
      <x:c r="X31" s="146"/>
      <x:c r="Y31" s="137"/>
      <x:c r="Z31" s="137"/>
      <x:c r="AA31" s="140"/>
      <x:c r="AB31" s="81" t="s">
        <x:v>685</x:v>
      </x:c>
      <x:c r="AC31" s="164"/>
      <x:c r="AD31" s="168"/>
      <x:c r="AE31" s="168"/>
      <x:c r="AF31" s="168"/>
    </x:row>
    <x:row r="32">
      <x:c r="A32" s="136"/>
      <x:c r="B32" s="137"/>
      <x:c r="C32" s="137"/>
      <x:c r="D32" s="137"/>
      <x:c r="E32" s="137"/>
      <x:c r="F32" s="137"/>
      <x:c r="G32" s="137"/>
      <x:c r="H32" s="138"/>
      <x:c r="I32" s="138"/>
      <x:c r="J32" s="138"/>
      <x:c r="K32" s="138"/>
      <x:c r="L32" s="139"/>
      <x:c r="M32" s="139"/>
      <x:c r="N32" s="137"/>
      <x:c r="O32" s="137"/>
      <x:c r="P32" s="137"/>
      <x:c r="Q32" s="140"/>
      <x:c r="R32" s="141" t="str">
        <x:f t="shared" si="0"/>
      </x:c>
      <x:c r="S32" s="142" t="str">
        <x:f t="shared" si="1"/>
      </x:c>
      <x:c r="T32" s="143" t="str">
        <x:f t="shared" si="2"/>
      </x:c>
      <x:c r="U32" s="142" t="str">
        <x:f t="shared" si="3"/>
      </x:c>
      <x:c r="V32" s="144" t="str">
        <x:f t="shared" si="4"/>
      </x:c>
      <x:c r="W32" s="145" t="str">
        <x:f t="shared" si="5"/>
      </x:c>
      <x:c r="X32" s="146"/>
      <x:c r="Y32" s="137"/>
      <x:c r="Z32" s="137"/>
      <x:c r="AA32" s="140"/>
      <x:c r="AB32" s="81" t="s">
        <x:v>685</x:v>
      </x:c>
      <x:c r="AC32" s="164"/>
      <x:c r="AD32" s="168"/>
      <x:c r="AE32" s="168"/>
      <x:c r="AF32" s="168"/>
    </x:row>
    <x:row r="33">
      <x:c r="A33" s="136"/>
      <x:c r="B33" s="137"/>
      <x:c r="C33" s="137"/>
      <x:c r="D33" s="137"/>
      <x:c r="E33" s="137"/>
      <x:c r="F33" s="137"/>
      <x:c r="G33" s="137"/>
      <x:c r="H33" s="138"/>
      <x:c r="I33" s="138"/>
      <x:c r="J33" s="138"/>
      <x:c r="K33" s="138"/>
      <x:c r="L33" s="139"/>
      <x:c r="M33" s="139"/>
      <x:c r="N33" s="137"/>
      <x:c r="O33" s="137"/>
      <x:c r="P33" s="137"/>
      <x:c r="Q33" s="140"/>
      <x:c r="R33" s="141" t="str">
        <x:f t="shared" si="0"/>
      </x:c>
      <x:c r="S33" s="142" t="str">
        <x:f t="shared" si="1"/>
      </x:c>
      <x:c r="T33" s="143" t="str">
        <x:f t="shared" si="2"/>
      </x:c>
      <x:c r="U33" s="142" t="str">
        <x:f t="shared" si="3"/>
      </x:c>
      <x:c r="V33" s="144" t="str">
        <x:f t="shared" si="4"/>
      </x:c>
      <x:c r="W33" s="145" t="str">
        <x:f t="shared" si="5"/>
      </x:c>
      <x:c r="X33" s="146"/>
      <x:c r="Y33" s="137"/>
      <x:c r="Z33" s="137"/>
      <x:c r="AA33" s="140"/>
      <x:c r="AB33" s="81" t="s">
        <x:v>685</x:v>
      </x:c>
      <x:c r="AC33" s="164"/>
      <x:c r="AD33" s="168"/>
      <x:c r="AE33" s="168"/>
      <x:c r="AF33" s="168"/>
    </x:row>
    <x:row r="34">
      <x:c r="A34" s="136"/>
      <x:c r="B34" s="137"/>
      <x:c r="C34" s="137"/>
      <x:c r="D34" s="137"/>
      <x:c r="E34" s="137"/>
      <x:c r="F34" s="137"/>
      <x:c r="G34" s="137"/>
      <x:c r="H34" s="138"/>
      <x:c r="I34" s="138"/>
      <x:c r="J34" s="138"/>
      <x:c r="K34" s="138"/>
      <x:c r="L34" s="139"/>
      <x:c r="M34" s="139"/>
      <x:c r="N34" s="137"/>
      <x:c r="O34" s="137"/>
      <x:c r="P34" s="137"/>
      <x:c r="Q34" s="140"/>
      <x:c r="R34" s="141" t="str">
        <x:f t="shared" si="0"/>
      </x:c>
      <x:c r="S34" s="142" t="str">
        <x:f t="shared" si="1"/>
      </x:c>
      <x:c r="T34" s="143" t="str">
        <x:f t="shared" si="2"/>
      </x:c>
      <x:c r="U34" s="142" t="str">
        <x:f t="shared" si="3"/>
      </x:c>
      <x:c r="V34" s="144" t="str">
        <x:f t="shared" si="4"/>
      </x:c>
      <x:c r="W34" s="145" t="str">
        <x:f t="shared" si="5"/>
      </x:c>
      <x:c r="X34" s="146"/>
      <x:c r="Y34" s="137"/>
      <x:c r="Z34" s="137"/>
      <x:c r="AA34" s="140"/>
      <x:c r="AB34" s="81" t="s">
        <x:v>685</x:v>
      </x:c>
      <x:c r="AC34" s="164"/>
      <x:c r="AD34" s="168"/>
      <x:c r="AE34" s="168"/>
      <x:c r="AF34" s="168"/>
    </x:row>
    <x:row r="35">
      <x:c r="A35" s="136"/>
      <x:c r="B35" s="137"/>
      <x:c r="C35" s="137"/>
      <x:c r="D35" s="137"/>
      <x:c r="E35" s="137"/>
      <x:c r="F35" s="137"/>
      <x:c r="G35" s="137"/>
      <x:c r="H35" s="138"/>
      <x:c r="I35" s="138"/>
      <x:c r="J35" s="138"/>
      <x:c r="K35" s="138"/>
      <x:c r="L35" s="139"/>
      <x:c r="M35" s="139"/>
      <x:c r="N35" s="137"/>
      <x:c r="O35" s="137"/>
      <x:c r="P35" s="137"/>
      <x:c r="Q35" s="140"/>
      <x:c r="R35" s="141" t="str">
        <x:f t="shared" si="0"/>
      </x:c>
      <x:c r="S35" s="142" t="str">
        <x:f t="shared" si="1"/>
      </x:c>
      <x:c r="T35" s="143" t="str">
        <x:f t="shared" si="2"/>
      </x:c>
      <x:c r="U35" s="142" t="str">
        <x:f t="shared" si="3"/>
      </x:c>
      <x:c r="V35" s="144" t="str">
        <x:f t="shared" si="4"/>
      </x:c>
      <x:c r="W35" s="145" t="str">
        <x:f t="shared" si="5"/>
      </x:c>
      <x:c r="X35" s="146"/>
      <x:c r="Y35" s="137"/>
      <x:c r="Z35" s="137"/>
      <x:c r="AA35" s="140"/>
      <x:c r="AB35" s="81" t="s">
        <x:v>685</x:v>
      </x:c>
      <x:c r="AC35" s="164"/>
      <x:c r="AD35" s="168"/>
      <x:c r="AE35" s="168"/>
      <x:c r="AF35" s="168"/>
    </x:row>
    <x:row r="36">
      <x:c r="A36" s="136"/>
      <x:c r="B36" s="137"/>
      <x:c r="C36" s="137"/>
      <x:c r="D36" s="137"/>
      <x:c r="E36" s="137"/>
      <x:c r="F36" s="137"/>
      <x:c r="G36" s="137"/>
      <x:c r="H36" s="138"/>
      <x:c r="I36" s="138"/>
      <x:c r="J36" s="138"/>
      <x:c r="K36" s="138"/>
      <x:c r="L36" s="139"/>
      <x:c r="M36" s="139"/>
      <x:c r="N36" s="137"/>
      <x:c r="O36" s="137"/>
      <x:c r="P36" s="137"/>
      <x:c r="Q36" s="140"/>
      <x:c r="R36" s="141" t="str">
        <x:f t="shared" si="0"/>
      </x:c>
      <x:c r="S36" s="142" t="str">
        <x:f t="shared" si="1"/>
      </x:c>
      <x:c r="T36" s="143" t="str">
        <x:f t="shared" si="2"/>
      </x:c>
      <x:c r="U36" s="142" t="str">
        <x:f t="shared" si="3"/>
      </x:c>
      <x:c r="V36" s="144" t="str">
        <x:f t="shared" si="4"/>
      </x:c>
      <x:c r="W36" s="145" t="str">
        <x:f t="shared" si="5"/>
      </x:c>
      <x:c r="X36" s="146"/>
      <x:c r="Y36" s="137"/>
      <x:c r="Z36" s="137"/>
      <x:c r="AA36" s="140"/>
      <x:c r="AB36" s="81" t="s">
        <x:v>685</x:v>
      </x:c>
      <x:c r="AC36" s="164"/>
      <x:c r="AD36" s="168"/>
      <x:c r="AE36" s="168"/>
      <x:c r="AF36" s="168"/>
    </x:row>
    <x:row r="37">
      <x:c r="A37" s="136"/>
      <x:c r="B37" s="137"/>
      <x:c r="C37" s="137"/>
      <x:c r="D37" s="137"/>
      <x:c r="E37" s="137"/>
      <x:c r="F37" s="137"/>
      <x:c r="G37" s="137"/>
      <x:c r="H37" s="138"/>
      <x:c r="I37" s="138"/>
      <x:c r="J37" s="138"/>
      <x:c r="K37" s="138"/>
      <x:c r="L37" s="139"/>
      <x:c r="M37" s="139"/>
      <x:c r="N37" s="137"/>
      <x:c r="O37" s="137"/>
      <x:c r="P37" s="137"/>
      <x:c r="Q37" s="140"/>
      <x:c r="R37" s="141" t="str">
        <x:f t="shared" si="0"/>
      </x:c>
      <x:c r="S37" s="142" t="str">
        <x:f t="shared" si="1"/>
      </x:c>
      <x:c r="T37" s="143" t="str">
        <x:f t="shared" si="2"/>
      </x:c>
      <x:c r="U37" s="142" t="str">
        <x:f t="shared" si="3"/>
      </x:c>
      <x:c r="V37" s="144" t="str">
        <x:f t="shared" si="4"/>
      </x:c>
      <x:c r="W37" s="145" t="str">
        <x:f t="shared" si="5"/>
      </x:c>
      <x:c r="X37" s="146"/>
      <x:c r="Y37" s="137"/>
      <x:c r="Z37" s="137"/>
      <x:c r="AA37" s="140"/>
      <x:c r="AB37" s="81" t="s">
        <x:v>685</x:v>
      </x:c>
      <x:c r="AC37" s="164"/>
      <x:c r="AD37" s="168"/>
      <x:c r="AE37" s="168"/>
      <x:c r="AF37" s="168"/>
    </x:row>
    <x:row r="38">
      <x:c r="A38" s="136"/>
      <x:c r="B38" s="137"/>
      <x:c r="C38" s="137"/>
      <x:c r="D38" s="137"/>
      <x:c r="E38" s="137"/>
      <x:c r="F38" s="137"/>
      <x:c r="G38" s="137"/>
      <x:c r="H38" s="138"/>
      <x:c r="I38" s="138"/>
      <x:c r="J38" s="138"/>
      <x:c r="K38" s="138"/>
      <x:c r="L38" s="139"/>
      <x:c r="M38" s="139"/>
      <x:c r="N38" s="137"/>
      <x:c r="O38" s="137"/>
      <x:c r="P38" s="137"/>
      <x:c r="Q38" s="140"/>
      <x:c r="R38" s="141" t="str">
        <x:f t="shared" si="0"/>
      </x:c>
      <x:c r="S38" s="142" t="str">
        <x:f t="shared" si="1"/>
      </x:c>
      <x:c r="T38" s="143" t="str">
        <x:f t="shared" si="2"/>
      </x:c>
      <x:c r="U38" s="142" t="str">
        <x:f t="shared" si="3"/>
      </x:c>
      <x:c r="V38" s="144" t="str">
        <x:f t="shared" si="4"/>
      </x:c>
      <x:c r="W38" s="145" t="str">
        <x:f t="shared" si="5"/>
      </x:c>
      <x:c r="X38" s="146"/>
      <x:c r="Y38" s="137"/>
      <x:c r="Z38" s="137"/>
      <x:c r="AA38" s="140"/>
      <x:c r="AB38" s="81" t="s">
        <x:v>685</x:v>
      </x:c>
      <x:c r="AC38" s="164"/>
      <x:c r="AD38" s="168"/>
      <x:c r="AE38" s="168"/>
      <x:c r="AF38" s="168"/>
    </x:row>
    <x:row r="39">
      <x:c r="A39" s="136"/>
      <x:c r="B39" s="137"/>
      <x:c r="C39" s="137"/>
      <x:c r="D39" s="137"/>
      <x:c r="E39" s="137"/>
      <x:c r="F39" s="137"/>
      <x:c r="G39" s="137"/>
      <x:c r="H39" s="138"/>
      <x:c r="I39" s="138"/>
      <x:c r="J39" s="138"/>
      <x:c r="K39" s="138"/>
      <x:c r="L39" s="139"/>
      <x:c r="M39" s="139"/>
      <x:c r="N39" s="137"/>
      <x:c r="O39" s="137"/>
      <x:c r="P39" s="137"/>
      <x:c r="Q39" s="140"/>
      <x:c r="R39" s="141" t="str">
        <x:f t="shared" si="0"/>
      </x:c>
      <x:c r="S39" s="142" t="str">
        <x:f t="shared" si="1"/>
      </x:c>
      <x:c r="T39" s="143" t="str">
        <x:f t="shared" si="2"/>
      </x:c>
      <x:c r="U39" s="142" t="str">
        <x:f t="shared" si="3"/>
      </x:c>
      <x:c r="V39" s="144" t="str">
        <x:f t="shared" si="4"/>
      </x:c>
      <x:c r="W39" s="145" t="str">
        <x:f t="shared" si="5"/>
      </x:c>
      <x:c r="X39" s="146"/>
      <x:c r="Y39" s="137"/>
      <x:c r="Z39" s="137"/>
      <x:c r="AA39" s="140"/>
      <x:c r="AB39" s="81" t="s">
        <x:v>685</x:v>
      </x:c>
      <x:c r="AC39" s="164"/>
      <x:c r="AD39" s="168"/>
      <x:c r="AE39" s="168"/>
      <x:c r="AF39" s="168"/>
    </x:row>
    <x:row r="40">
      <x:c r="A40" s="136"/>
      <x:c r="B40" s="137"/>
      <x:c r="C40" s="137"/>
      <x:c r="D40" s="137"/>
      <x:c r="E40" s="137"/>
      <x:c r="F40" s="137"/>
      <x:c r="G40" s="137"/>
      <x:c r="H40" s="138"/>
      <x:c r="I40" s="138"/>
      <x:c r="J40" s="138"/>
      <x:c r="K40" s="138"/>
      <x:c r="L40" s="139"/>
      <x:c r="M40" s="139"/>
      <x:c r="N40" s="137"/>
      <x:c r="O40" s="137"/>
      <x:c r="P40" s="137"/>
      <x:c r="Q40" s="140"/>
      <x:c r="R40" s="141" t="str">
        <x:f t="shared" ref="R40:R67" si="6">IF(G40="","",IF(MOD(G40,1)=0.25,INT(G40),IF(MOD(G40,1)=0.75,INT(G40)+0.5,G40)))</x:f>
      </x:c>
      <x:c r="S40" s="142" t="str">
        <x:f t="shared" ref="S40:S67" si="7">IF(G40="","",IF(MOD(G40,1)=0.25,INT(G40)+0.5,IF(MOD(G40,1)=0.75,INT(G40)+1,G40)))</x:f>
      </x:c>
      <x:c r="T40" s="143" t="str">
        <x:f t="shared" ref="T40:T67" si="8">IF(OR(Q40="",H40="",F40=""),"",0.5*(IF(F40="Over",IF(Q40&gt;R40,H40-1,IF(Q40=R40,0,-1)),IF(Q40&lt;R40,H40-1,IF(Q40=R40,0,-1)))+IF(F40="Over",IF(Q40&gt;S40,H40-1,IF(Q40=S40,0,-1)),IF(Q40&lt;S40,H40-1,IF(Q40=S40,0,-1)))))</x:f>
      </x:c>
      <x:c r="U40" s="142" t="str">
        <x:f t="shared" ref="U40:U67" si="9">IF(T40="","",IF(T40&gt;0.000001,IF(T40&lt;H40-1,"HALF WIN","WIN"),IF(T40&lt;-0.000001,IF(T40&gt;-1,"HALF LOSS","LOSS"),"PUSH")))</x:f>
      </x:c>
      <x:c r="V40" s="144" t="str">
        <x:f t="shared" ref="V40:V67" si="10">IFERROR(H40/I40-1,"")</x:f>
      </x:c>
      <x:c r="W40" s="145" t="str">
        <x:f t="shared" ref="W40:W67" si="11">IF(OR(M40="",MOD(G40,1)&lt;&gt;0.5,T40=""),"",(M40-IF(T40&gt;0,1,0))^2)</x:f>
      </x:c>
      <x:c r="X40" s="146"/>
      <x:c r="Y40" s="137"/>
      <x:c r="Z40" s="137"/>
      <x:c r="AA40" s="140"/>
      <x:c r="AB40" s="81" t="s">
        <x:v>685</x:v>
      </x:c>
      <x:c r="AC40" s="164"/>
      <x:c r="AD40" s="168"/>
      <x:c r="AE40" s="168"/>
      <x:c r="AF40" s="168"/>
    </x:row>
    <x:row r="41">
      <x:c r="A41" s="136"/>
      <x:c r="B41" s="137"/>
      <x:c r="C41" s="137"/>
      <x:c r="D41" s="137"/>
      <x:c r="E41" s="137"/>
      <x:c r="F41" s="137"/>
      <x:c r="G41" s="137"/>
      <x:c r="H41" s="138"/>
      <x:c r="I41" s="138"/>
      <x:c r="J41" s="138"/>
      <x:c r="K41" s="138"/>
      <x:c r="L41" s="139"/>
      <x:c r="M41" s="139"/>
      <x:c r="N41" s="137"/>
      <x:c r="O41" s="137"/>
      <x:c r="P41" s="137"/>
      <x:c r="Q41" s="140"/>
      <x:c r="R41" s="141" t="str">
        <x:f t="shared" si="6"/>
      </x:c>
      <x:c r="S41" s="142" t="str">
        <x:f t="shared" si="7"/>
      </x:c>
      <x:c r="T41" s="143" t="str">
        <x:f t="shared" si="8"/>
      </x:c>
      <x:c r="U41" s="142" t="str">
        <x:f t="shared" si="9"/>
      </x:c>
      <x:c r="V41" s="144" t="str">
        <x:f t="shared" si="10"/>
      </x:c>
      <x:c r="W41" s="145" t="str">
        <x:f t="shared" si="11"/>
      </x:c>
      <x:c r="X41" s="146"/>
      <x:c r="Y41" s="137"/>
      <x:c r="Z41" s="137"/>
      <x:c r="AA41" s="140"/>
      <x:c r="AB41" s="81" t="s">
        <x:v>685</x:v>
      </x:c>
      <x:c r="AC41" s="164"/>
      <x:c r="AD41" s="168"/>
      <x:c r="AE41" s="168"/>
      <x:c r="AF41" s="168"/>
    </x:row>
    <x:row r="42">
      <x:c r="A42" s="136"/>
      <x:c r="B42" s="137"/>
      <x:c r="C42" s="137"/>
      <x:c r="D42" s="137"/>
      <x:c r="E42" s="137"/>
      <x:c r="F42" s="137"/>
      <x:c r="G42" s="137"/>
      <x:c r="H42" s="138"/>
      <x:c r="I42" s="138"/>
      <x:c r="J42" s="138"/>
      <x:c r="K42" s="138"/>
      <x:c r="L42" s="139"/>
      <x:c r="M42" s="139"/>
      <x:c r="N42" s="137"/>
      <x:c r="O42" s="137"/>
      <x:c r="P42" s="137"/>
      <x:c r="Q42" s="140"/>
      <x:c r="R42" s="141" t="str">
        <x:f t="shared" si="6"/>
      </x:c>
      <x:c r="S42" s="142" t="str">
        <x:f t="shared" si="7"/>
      </x:c>
      <x:c r="T42" s="143" t="str">
        <x:f t="shared" si="8"/>
      </x:c>
      <x:c r="U42" s="142" t="str">
        <x:f t="shared" si="9"/>
      </x:c>
      <x:c r="V42" s="144" t="str">
        <x:f t="shared" si="10"/>
      </x:c>
      <x:c r="W42" s="145" t="str">
        <x:f t="shared" si="11"/>
      </x:c>
      <x:c r="X42" s="146"/>
      <x:c r="Y42" s="137"/>
      <x:c r="Z42" s="137"/>
      <x:c r="AA42" s="140"/>
      <x:c r="AB42" s="81" t="s">
        <x:v>685</x:v>
      </x:c>
      <x:c r="AC42" s="164"/>
      <x:c r="AD42" s="168"/>
      <x:c r="AE42" s="168"/>
      <x:c r="AF42" s="168"/>
    </x:row>
    <x:row r="43">
      <x:c r="A43" s="136"/>
      <x:c r="B43" s="137"/>
      <x:c r="C43" s="137"/>
      <x:c r="D43" s="137"/>
      <x:c r="E43" s="137"/>
      <x:c r="F43" s="137"/>
      <x:c r="G43" s="137"/>
      <x:c r="H43" s="138"/>
      <x:c r="I43" s="138"/>
      <x:c r="J43" s="138"/>
      <x:c r="K43" s="138"/>
      <x:c r="L43" s="139"/>
      <x:c r="M43" s="139"/>
      <x:c r="N43" s="137"/>
      <x:c r="O43" s="137"/>
      <x:c r="P43" s="137"/>
      <x:c r="Q43" s="140"/>
      <x:c r="R43" s="141" t="str">
        <x:f t="shared" si="6"/>
      </x:c>
      <x:c r="S43" s="142" t="str">
        <x:f t="shared" si="7"/>
      </x:c>
      <x:c r="T43" s="143" t="str">
        <x:f t="shared" si="8"/>
      </x:c>
      <x:c r="U43" s="142" t="str">
        <x:f t="shared" si="9"/>
      </x:c>
      <x:c r="V43" s="144" t="str">
        <x:f t="shared" si="10"/>
      </x:c>
      <x:c r="W43" s="145" t="str">
        <x:f t="shared" si="11"/>
      </x:c>
      <x:c r="X43" s="146"/>
      <x:c r="Y43" s="137"/>
      <x:c r="Z43" s="137"/>
      <x:c r="AA43" s="140"/>
      <x:c r="AB43" s="81" t="s">
        <x:v>685</x:v>
      </x:c>
      <x:c r="AC43" s="164"/>
      <x:c r="AD43" s="168"/>
      <x:c r="AE43" s="168"/>
      <x:c r="AF43" s="168"/>
    </x:row>
    <x:row r="44">
      <x:c r="A44" s="136"/>
      <x:c r="B44" s="137"/>
      <x:c r="C44" s="137"/>
      <x:c r="D44" s="137"/>
      <x:c r="E44" s="137"/>
      <x:c r="F44" s="137"/>
      <x:c r="G44" s="137"/>
      <x:c r="H44" s="138"/>
      <x:c r="I44" s="138"/>
      <x:c r="J44" s="138"/>
      <x:c r="K44" s="138"/>
      <x:c r="L44" s="139"/>
      <x:c r="M44" s="139"/>
      <x:c r="N44" s="137"/>
      <x:c r="O44" s="137"/>
      <x:c r="P44" s="137"/>
      <x:c r="Q44" s="140"/>
      <x:c r="R44" s="141" t="str">
        <x:f t="shared" si="6"/>
      </x:c>
      <x:c r="S44" s="142" t="str">
        <x:f t="shared" si="7"/>
      </x:c>
      <x:c r="T44" s="143" t="str">
        <x:f t="shared" si="8"/>
      </x:c>
      <x:c r="U44" s="142" t="str">
        <x:f t="shared" si="9"/>
      </x:c>
      <x:c r="V44" s="144" t="str">
        <x:f t="shared" si="10"/>
      </x:c>
      <x:c r="W44" s="145" t="str">
        <x:f t="shared" si="11"/>
      </x:c>
      <x:c r="X44" s="146"/>
      <x:c r="Y44" s="137"/>
      <x:c r="Z44" s="137"/>
      <x:c r="AA44" s="140"/>
      <x:c r="AB44" s="81" t="s">
        <x:v>685</x:v>
      </x:c>
      <x:c r="AC44" s="164"/>
      <x:c r="AD44" s="168"/>
      <x:c r="AE44" s="168"/>
      <x:c r="AF44" s="168"/>
    </x:row>
    <x:row r="45">
      <x:c r="A45" s="136"/>
      <x:c r="B45" s="137"/>
      <x:c r="C45" s="137"/>
      <x:c r="D45" s="137"/>
      <x:c r="E45" s="137"/>
      <x:c r="F45" s="137"/>
      <x:c r="G45" s="137"/>
      <x:c r="H45" s="138"/>
      <x:c r="I45" s="138"/>
      <x:c r="J45" s="138"/>
      <x:c r="K45" s="138"/>
      <x:c r="L45" s="139"/>
      <x:c r="M45" s="139"/>
      <x:c r="N45" s="137"/>
      <x:c r="O45" s="137"/>
      <x:c r="P45" s="137"/>
      <x:c r="Q45" s="140"/>
      <x:c r="R45" s="141" t="str">
        <x:f t="shared" si="6"/>
      </x:c>
      <x:c r="S45" s="142" t="str">
        <x:f t="shared" si="7"/>
      </x:c>
      <x:c r="T45" s="143" t="str">
        <x:f t="shared" si="8"/>
      </x:c>
      <x:c r="U45" s="142" t="str">
        <x:f t="shared" si="9"/>
      </x:c>
      <x:c r="V45" s="144" t="str">
        <x:f t="shared" si="10"/>
      </x:c>
      <x:c r="W45" s="145" t="str">
        <x:f t="shared" si="11"/>
      </x:c>
      <x:c r="X45" s="146"/>
      <x:c r="Y45" s="137"/>
      <x:c r="Z45" s="137"/>
      <x:c r="AA45" s="140"/>
      <x:c r="AB45" s="81" t="s">
        <x:v>685</x:v>
      </x:c>
      <x:c r="AC45" s="164"/>
      <x:c r="AD45" s="168"/>
      <x:c r="AE45" s="168"/>
      <x:c r="AF45" s="168"/>
    </x:row>
    <x:row r="46">
      <x:c r="A46" s="136"/>
      <x:c r="B46" s="137"/>
      <x:c r="C46" s="137"/>
      <x:c r="D46" s="137"/>
      <x:c r="E46" s="137"/>
      <x:c r="F46" s="137"/>
      <x:c r="G46" s="137"/>
      <x:c r="H46" s="138"/>
      <x:c r="I46" s="138"/>
      <x:c r="J46" s="138"/>
      <x:c r="K46" s="138"/>
      <x:c r="L46" s="139"/>
      <x:c r="M46" s="139"/>
      <x:c r="N46" s="137"/>
      <x:c r="O46" s="137"/>
      <x:c r="P46" s="137"/>
      <x:c r="Q46" s="140"/>
      <x:c r="R46" s="141" t="str">
        <x:f t="shared" si="6"/>
      </x:c>
      <x:c r="S46" s="142" t="str">
        <x:f t="shared" si="7"/>
      </x:c>
      <x:c r="T46" s="143" t="str">
        <x:f t="shared" si="8"/>
      </x:c>
      <x:c r="U46" s="142" t="str">
        <x:f t="shared" si="9"/>
      </x:c>
      <x:c r="V46" s="144" t="str">
        <x:f t="shared" si="10"/>
      </x:c>
      <x:c r="W46" s="145" t="str">
        <x:f t="shared" si="11"/>
      </x:c>
      <x:c r="X46" s="146"/>
      <x:c r="Y46" s="137"/>
      <x:c r="Z46" s="137"/>
      <x:c r="AA46" s="140"/>
      <x:c r="AB46" s="81" t="s">
        <x:v>685</x:v>
      </x:c>
      <x:c r="AC46" s="164"/>
      <x:c r="AD46" s="168"/>
      <x:c r="AE46" s="168"/>
      <x:c r="AF46" s="168"/>
    </x:row>
    <x:row r="47">
      <x:c r="A47" s="136"/>
      <x:c r="B47" s="137"/>
      <x:c r="C47" s="137"/>
      <x:c r="D47" s="137"/>
      <x:c r="E47" s="137"/>
      <x:c r="F47" s="137"/>
      <x:c r="G47" s="137"/>
      <x:c r="H47" s="138"/>
      <x:c r="I47" s="138"/>
      <x:c r="J47" s="138"/>
      <x:c r="K47" s="138"/>
      <x:c r="L47" s="139"/>
      <x:c r="M47" s="139"/>
      <x:c r="N47" s="137"/>
      <x:c r="O47" s="137"/>
      <x:c r="P47" s="137"/>
      <x:c r="Q47" s="140"/>
      <x:c r="R47" s="141" t="str">
        <x:f t="shared" si="6"/>
      </x:c>
      <x:c r="S47" s="142" t="str">
        <x:f t="shared" si="7"/>
      </x:c>
      <x:c r="T47" s="143" t="str">
        <x:f t="shared" si="8"/>
      </x:c>
      <x:c r="U47" s="142" t="str">
        <x:f t="shared" si="9"/>
      </x:c>
      <x:c r="V47" s="144" t="str">
        <x:f t="shared" si="10"/>
      </x:c>
      <x:c r="W47" s="145" t="str">
        <x:f t="shared" si="11"/>
      </x:c>
      <x:c r="X47" s="146"/>
      <x:c r="Y47" s="137"/>
      <x:c r="Z47" s="137"/>
      <x:c r="AA47" s="140"/>
      <x:c r="AB47" s="81" t="s">
        <x:v>685</x:v>
      </x:c>
      <x:c r="AC47" s="164"/>
      <x:c r="AD47" s="168"/>
      <x:c r="AE47" s="168"/>
      <x:c r="AF47" s="168"/>
    </x:row>
    <x:row r="48">
      <x:c r="A48" s="136"/>
      <x:c r="B48" s="137"/>
      <x:c r="C48" s="137"/>
      <x:c r="D48" s="137"/>
      <x:c r="E48" s="137"/>
      <x:c r="F48" s="137"/>
      <x:c r="G48" s="137"/>
      <x:c r="H48" s="138"/>
      <x:c r="I48" s="138"/>
      <x:c r="J48" s="138"/>
      <x:c r="K48" s="138"/>
      <x:c r="L48" s="139"/>
      <x:c r="M48" s="139"/>
      <x:c r="N48" s="137"/>
      <x:c r="O48" s="137"/>
      <x:c r="P48" s="137"/>
      <x:c r="Q48" s="140"/>
      <x:c r="R48" s="141" t="str">
        <x:f t="shared" si="6"/>
      </x:c>
      <x:c r="S48" s="142" t="str">
        <x:f t="shared" si="7"/>
      </x:c>
      <x:c r="T48" s="143" t="str">
        <x:f t="shared" si="8"/>
      </x:c>
      <x:c r="U48" s="142" t="str">
        <x:f t="shared" si="9"/>
      </x:c>
      <x:c r="V48" s="144" t="str">
        <x:f t="shared" si="10"/>
      </x:c>
      <x:c r="W48" s="145" t="str">
        <x:f t="shared" si="11"/>
      </x:c>
      <x:c r="X48" s="146"/>
      <x:c r="Y48" s="137"/>
      <x:c r="Z48" s="137"/>
      <x:c r="AA48" s="140"/>
      <x:c r="AB48" s="81" t="s">
        <x:v>685</x:v>
      </x:c>
      <x:c r="AC48" s="164"/>
      <x:c r="AD48" s="168"/>
      <x:c r="AE48" s="168"/>
      <x:c r="AF48" s="168"/>
    </x:row>
    <x:row r="49">
      <x:c r="A49" s="136"/>
      <x:c r="B49" s="137"/>
      <x:c r="C49" s="137"/>
      <x:c r="D49" s="137"/>
      <x:c r="E49" s="137"/>
      <x:c r="F49" s="137"/>
      <x:c r="G49" s="137"/>
      <x:c r="H49" s="138"/>
      <x:c r="I49" s="138"/>
      <x:c r="J49" s="138"/>
      <x:c r="K49" s="138"/>
      <x:c r="L49" s="139"/>
      <x:c r="M49" s="139"/>
      <x:c r="N49" s="137"/>
      <x:c r="O49" s="137"/>
      <x:c r="P49" s="137"/>
      <x:c r="Q49" s="140"/>
      <x:c r="R49" s="141" t="str">
        <x:f t="shared" si="6"/>
      </x:c>
      <x:c r="S49" s="142" t="str">
        <x:f t="shared" si="7"/>
      </x:c>
      <x:c r="T49" s="143" t="str">
        <x:f t="shared" si="8"/>
      </x:c>
      <x:c r="U49" s="142" t="str">
        <x:f t="shared" si="9"/>
      </x:c>
      <x:c r="V49" s="144" t="str">
        <x:f t="shared" si="10"/>
      </x:c>
      <x:c r="W49" s="145" t="str">
        <x:f t="shared" si="11"/>
      </x:c>
      <x:c r="X49" s="146"/>
      <x:c r="Y49" s="137"/>
      <x:c r="Z49" s="137"/>
      <x:c r="AA49" s="140"/>
      <x:c r="AB49" s="81" t="s">
        <x:v>685</x:v>
      </x:c>
      <x:c r="AC49" s="164"/>
      <x:c r="AD49" s="168"/>
      <x:c r="AE49" s="168"/>
      <x:c r="AF49" s="168"/>
    </x:row>
    <x:row r="50">
      <x:c r="A50" s="136"/>
      <x:c r="B50" s="137"/>
      <x:c r="C50" s="137"/>
      <x:c r="D50" s="137"/>
      <x:c r="E50" s="137"/>
      <x:c r="F50" s="137"/>
      <x:c r="G50" s="137"/>
      <x:c r="H50" s="138"/>
      <x:c r="I50" s="138"/>
      <x:c r="J50" s="138"/>
      <x:c r="K50" s="138"/>
      <x:c r="L50" s="139"/>
      <x:c r="M50" s="139"/>
      <x:c r="N50" s="137"/>
      <x:c r="O50" s="137"/>
      <x:c r="P50" s="137"/>
      <x:c r="Q50" s="140"/>
      <x:c r="R50" s="141" t="str">
        <x:f t="shared" si="6"/>
      </x:c>
      <x:c r="S50" s="142" t="str">
        <x:f t="shared" si="7"/>
      </x:c>
      <x:c r="T50" s="143" t="str">
        <x:f t="shared" si="8"/>
      </x:c>
      <x:c r="U50" s="142" t="str">
        <x:f t="shared" si="9"/>
      </x:c>
      <x:c r="V50" s="144" t="str">
        <x:f t="shared" si="10"/>
      </x:c>
      <x:c r="W50" s="145" t="str">
        <x:f t="shared" si="11"/>
      </x:c>
      <x:c r="X50" s="146"/>
      <x:c r="Y50" s="137"/>
      <x:c r="Z50" s="137"/>
      <x:c r="AA50" s="140"/>
      <x:c r="AB50" s="81" t="s">
        <x:v>685</x:v>
      </x:c>
      <x:c r="AC50" s="164"/>
      <x:c r="AD50" s="168"/>
      <x:c r="AE50" s="168"/>
      <x:c r="AF50" s="168"/>
    </x:row>
    <x:row r="51">
      <x:c r="A51" s="136"/>
      <x:c r="B51" s="137"/>
      <x:c r="C51" s="137"/>
      <x:c r="D51" s="137"/>
      <x:c r="E51" s="137"/>
      <x:c r="F51" s="137"/>
      <x:c r="G51" s="137"/>
      <x:c r="H51" s="138"/>
      <x:c r="I51" s="138"/>
      <x:c r="J51" s="138"/>
      <x:c r="K51" s="138"/>
      <x:c r="L51" s="139"/>
      <x:c r="M51" s="139"/>
      <x:c r="N51" s="137"/>
      <x:c r="O51" s="137"/>
      <x:c r="P51" s="137"/>
      <x:c r="Q51" s="140"/>
      <x:c r="R51" s="141" t="str">
        <x:f t="shared" si="6"/>
      </x:c>
      <x:c r="S51" s="142" t="str">
        <x:f t="shared" si="7"/>
      </x:c>
      <x:c r="T51" s="143" t="str">
        <x:f t="shared" si="8"/>
      </x:c>
      <x:c r="U51" s="142" t="str">
        <x:f t="shared" si="9"/>
      </x:c>
      <x:c r="V51" s="144" t="str">
        <x:f t="shared" si="10"/>
      </x:c>
      <x:c r="W51" s="145" t="str">
        <x:f t="shared" si="11"/>
      </x:c>
      <x:c r="X51" s="146"/>
      <x:c r="Y51" s="137"/>
      <x:c r="Z51" s="137"/>
      <x:c r="AA51" s="140"/>
      <x:c r="AB51" s="81" t="s">
        <x:v>685</x:v>
      </x:c>
      <x:c r="AC51" s="164"/>
      <x:c r="AD51" s="168"/>
      <x:c r="AE51" s="168"/>
      <x:c r="AF51" s="168"/>
    </x:row>
    <x:row r="52">
      <x:c r="A52" s="136"/>
      <x:c r="B52" s="137"/>
      <x:c r="C52" s="137"/>
      <x:c r="D52" s="137"/>
      <x:c r="E52" s="137"/>
      <x:c r="F52" s="137"/>
      <x:c r="G52" s="137"/>
      <x:c r="H52" s="138"/>
      <x:c r="I52" s="138"/>
      <x:c r="J52" s="138"/>
      <x:c r="K52" s="138"/>
      <x:c r="L52" s="139"/>
      <x:c r="M52" s="139"/>
      <x:c r="N52" s="137"/>
      <x:c r="O52" s="137"/>
      <x:c r="P52" s="137"/>
      <x:c r="Q52" s="140"/>
      <x:c r="R52" s="141" t="str">
        <x:f t="shared" si="6"/>
      </x:c>
      <x:c r="S52" s="142" t="str">
        <x:f t="shared" si="7"/>
      </x:c>
      <x:c r="T52" s="143" t="str">
        <x:f t="shared" si="8"/>
      </x:c>
      <x:c r="U52" s="142" t="str">
        <x:f t="shared" si="9"/>
      </x:c>
      <x:c r="V52" s="144" t="str">
        <x:f t="shared" si="10"/>
      </x:c>
      <x:c r="W52" s="145" t="str">
        <x:f t="shared" si="11"/>
      </x:c>
      <x:c r="X52" s="146"/>
      <x:c r="Y52" s="137"/>
      <x:c r="Z52" s="137"/>
      <x:c r="AA52" s="140"/>
      <x:c r="AB52" s="81" t="s">
        <x:v>685</x:v>
      </x:c>
      <x:c r="AC52" s="164"/>
      <x:c r="AD52" s="168"/>
      <x:c r="AE52" s="168"/>
      <x:c r="AF52" s="168"/>
    </x:row>
    <x:row r="53">
      <x:c r="A53" s="136"/>
      <x:c r="B53" s="137"/>
      <x:c r="C53" s="137"/>
      <x:c r="D53" s="137"/>
      <x:c r="E53" s="137"/>
      <x:c r="F53" s="137"/>
      <x:c r="G53" s="137"/>
      <x:c r="H53" s="138"/>
      <x:c r="I53" s="138"/>
      <x:c r="J53" s="138"/>
      <x:c r="K53" s="138"/>
      <x:c r="L53" s="139"/>
      <x:c r="M53" s="139"/>
      <x:c r="N53" s="137"/>
      <x:c r="O53" s="137"/>
      <x:c r="P53" s="137"/>
      <x:c r="Q53" s="140"/>
      <x:c r="R53" s="141" t="str">
        <x:f t="shared" si="6"/>
      </x:c>
      <x:c r="S53" s="142" t="str">
        <x:f t="shared" si="7"/>
      </x:c>
      <x:c r="T53" s="143" t="str">
        <x:f t="shared" si="8"/>
      </x:c>
      <x:c r="U53" s="142" t="str">
        <x:f t="shared" si="9"/>
      </x:c>
      <x:c r="V53" s="144" t="str">
        <x:f t="shared" si="10"/>
      </x:c>
      <x:c r="W53" s="145" t="str">
        <x:f t="shared" si="11"/>
      </x:c>
      <x:c r="X53" s="146"/>
      <x:c r="Y53" s="137"/>
      <x:c r="Z53" s="137"/>
      <x:c r="AA53" s="140"/>
      <x:c r="AB53" s="81" t="s">
        <x:v>685</x:v>
      </x:c>
      <x:c r="AC53" s="164"/>
      <x:c r="AD53" s="168"/>
      <x:c r="AE53" s="168"/>
      <x:c r="AF53" s="168"/>
    </x:row>
    <x:row r="54">
      <x:c r="A54" s="136"/>
      <x:c r="B54" s="137"/>
      <x:c r="C54" s="137"/>
      <x:c r="D54" s="137"/>
      <x:c r="E54" s="137"/>
      <x:c r="F54" s="137"/>
      <x:c r="G54" s="137"/>
      <x:c r="H54" s="138"/>
      <x:c r="I54" s="138"/>
      <x:c r="J54" s="138"/>
      <x:c r="K54" s="138"/>
      <x:c r="L54" s="139"/>
      <x:c r="M54" s="139"/>
      <x:c r="N54" s="137"/>
      <x:c r="O54" s="137"/>
      <x:c r="P54" s="137"/>
      <x:c r="Q54" s="140"/>
      <x:c r="R54" s="141" t="str">
        <x:f t="shared" si="6"/>
      </x:c>
      <x:c r="S54" s="142" t="str">
        <x:f t="shared" si="7"/>
      </x:c>
      <x:c r="T54" s="143" t="str">
        <x:f t="shared" si="8"/>
      </x:c>
      <x:c r="U54" s="142" t="str">
        <x:f t="shared" si="9"/>
      </x:c>
      <x:c r="V54" s="144" t="str">
        <x:f t="shared" si="10"/>
      </x:c>
      <x:c r="W54" s="145" t="str">
        <x:f t="shared" si="11"/>
      </x:c>
      <x:c r="X54" s="146"/>
      <x:c r="Y54" s="137"/>
      <x:c r="Z54" s="137"/>
      <x:c r="AA54" s="140"/>
      <x:c r="AB54" s="81" t="s">
        <x:v>685</x:v>
      </x:c>
      <x:c r="AC54" s="164"/>
      <x:c r="AD54" s="168"/>
      <x:c r="AE54" s="168"/>
      <x:c r="AF54" s="168"/>
    </x:row>
    <x:row r="55">
      <x:c r="A55" s="136"/>
      <x:c r="B55" s="137"/>
      <x:c r="C55" s="137"/>
      <x:c r="D55" s="137"/>
      <x:c r="E55" s="137"/>
      <x:c r="F55" s="137"/>
      <x:c r="G55" s="137"/>
      <x:c r="H55" s="138"/>
      <x:c r="I55" s="138"/>
      <x:c r="J55" s="138"/>
      <x:c r="K55" s="138"/>
      <x:c r="L55" s="139"/>
      <x:c r="M55" s="139"/>
      <x:c r="N55" s="137"/>
      <x:c r="O55" s="137"/>
      <x:c r="P55" s="137"/>
      <x:c r="Q55" s="140"/>
      <x:c r="R55" s="141" t="str">
        <x:f t="shared" si="6"/>
      </x:c>
      <x:c r="S55" s="142" t="str">
        <x:f t="shared" si="7"/>
      </x:c>
      <x:c r="T55" s="143" t="str">
        <x:f t="shared" si="8"/>
      </x:c>
      <x:c r="U55" s="142" t="str">
        <x:f t="shared" si="9"/>
      </x:c>
      <x:c r="V55" s="144" t="str">
        <x:f t="shared" si="10"/>
      </x:c>
      <x:c r="W55" s="145" t="str">
        <x:f t="shared" si="11"/>
      </x:c>
      <x:c r="X55" s="146"/>
      <x:c r="Y55" s="137"/>
      <x:c r="Z55" s="137"/>
      <x:c r="AA55" s="140"/>
      <x:c r="AB55" s="81" t="s">
        <x:v>685</x:v>
      </x:c>
      <x:c r="AC55" s="164"/>
      <x:c r="AD55" s="168"/>
      <x:c r="AE55" s="168"/>
      <x:c r="AF55" s="168"/>
    </x:row>
    <x:row r="56">
      <x:c r="A56" s="136"/>
      <x:c r="B56" s="137"/>
      <x:c r="C56" s="137"/>
      <x:c r="D56" s="137"/>
      <x:c r="E56" s="137"/>
      <x:c r="F56" s="137"/>
      <x:c r="G56" s="137"/>
      <x:c r="H56" s="138"/>
      <x:c r="I56" s="138"/>
      <x:c r="J56" s="138"/>
      <x:c r="K56" s="138"/>
      <x:c r="L56" s="139"/>
      <x:c r="M56" s="139"/>
      <x:c r="N56" s="137"/>
      <x:c r="O56" s="137"/>
      <x:c r="P56" s="137"/>
      <x:c r="Q56" s="140"/>
      <x:c r="R56" s="141" t="str">
        <x:f t="shared" si="6"/>
      </x:c>
      <x:c r="S56" s="142" t="str">
        <x:f t="shared" si="7"/>
      </x:c>
      <x:c r="T56" s="143" t="str">
        <x:f t="shared" si="8"/>
      </x:c>
      <x:c r="U56" s="142" t="str">
        <x:f t="shared" si="9"/>
      </x:c>
      <x:c r="V56" s="144" t="str">
        <x:f t="shared" si="10"/>
      </x:c>
      <x:c r="W56" s="145" t="str">
        <x:f t="shared" si="11"/>
      </x:c>
      <x:c r="X56" s="146"/>
      <x:c r="Y56" s="137"/>
      <x:c r="Z56" s="137"/>
      <x:c r="AA56" s="140"/>
      <x:c r="AB56" s="81" t="s">
        <x:v>685</x:v>
      </x:c>
      <x:c r="AC56" s="164"/>
      <x:c r="AD56" s="168"/>
      <x:c r="AE56" s="168"/>
      <x:c r="AF56" s="168"/>
    </x:row>
    <x:row r="57">
      <x:c r="A57" s="136"/>
      <x:c r="B57" s="137"/>
      <x:c r="C57" s="137"/>
      <x:c r="D57" s="137"/>
      <x:c r="E57" s="137"/>
      <x:c r="F57" s="137"/>
      <x:c r="G57" s="137"/>
      <x:c r="H57" s="138"/>
      <x:c r="I57" s="138"/>
      <x:c r="J57" s="138"/>
      <x:c r="K57" s="138"/>
      <x:c r="L57" s="139"/>
      <x:c r="M57" s="139"/>
      <x:c r="N57" s="137"/>
      <x:c r="O57" s="137"/>
      <x:c r="P57" s="137"/>
      <x:c r="Q57" s="140"/>
      <x:c r="R57" s="141" t="str">
        <x:f t="shared" si="6"/>
      </x:c>
      <x:c r="S57" s="142" t="str">
        <x:f t="shared" si="7"/>
      </x:c>
      <x:c r="T57" s="143" t="str">
        <x:f t="shared" si="8"/>
      </x:c>
      <x:c r="U57" s="142" t="str">
        <x:f t="shared" si="9"/>
      </x:c>
      <x:c r="V57" s="144" t="str">
        <x:f t="shared" si="10"/>
      </x:c>
      <x:c r="W57" s="145" t="str">
        <x:f t="shared" si="11"/>
      </x:c>
      <x:c r="X57" s="146"/>
      <x:c r="Y57" s="137"/>
      <x:c r="Z57" s="137"/>
      <x:c r="AA57" s="140"/>
      <x:c r="AB57" s="81" t="s">
        <x:v>685</x:v>
      </x:c>
      <x:c r="AC57" s="164"/>
      <x:c r="AD57" s="168"/>
      <x:c r="AE57" s="168"/>
      <x:c r="AF57" s="168"/>
    </x:row>
    <x:row r="58">
      <x:c r="A58" s="136"/>
      <x:c r="B58" s="137"/>
      <x:c r="C58" s="137"/>
      <x:c r="D58" s="137"/>
      <x:c r="E58" s="137"/>
      <x:c r="F58" s="137"/>
      <x:c r="G58" s="137"/>
      <x:c r="H58" s="138"/>
      <x:c r="I58" s="138"/>
      <x:c r="J58" s="138"/>
      <x:c r="K58" s="138"/>
      <x:c r="L58" s="139"/>
      <x:c r="M58" s="139"/>
      <x:c r="N58" s="137"/>
      <x:c r="O58" s="137"/>
      <x:c r="P58" s="137"/>
      <x:c r="Q58" s="140"/>
      <x:c r="R58" s="141" t="str">
        <x:f t="shared" si="6"/>
      </x:c>
      <x:c r="S58" s="142" t="str">
        <x:f t="shared" si="7"/>
      </x:c>
      <x:c r="T58" s="143" t="str">
        <x:f t="shared" si="8"/>
      </x:c>
      <x:c r="U58" s="142" t="str">
        <x:f t="shared" si="9"/>
      </x:c>
      <x:c r="V58" s="144" t="str">
        <x:f t="shared" si="10"/>
      </x:c>
      <x:c r="W58" s="145" t="str">
        <x:f t="shared" si="11"/>
      </x:c>
      <x:c r="X58" s="146"/>
      <x:c r="Y58" s="137"/>
      <x:c r="Z58" s="137"/>
      <x:c r="AA58" s="140"/>
      <x:c r="AB58" s="81" t="s">
        <x:v>685</x:v>
      </x:c>
      <x:c r="AC58" s="164"/>
      <x:c r="AD58" s="168"/>
      <x:c r="AE58" s="168"/>
      <x:c r="AF58" s="168"/>
    </x:row>
    <x:row r="59">
      <x:c r="A59" s="136"/>
      <x:c r="B59" s="137"/>
      <x:c r="C59" s="137"/>
      <x:c r="D59" s="137"/>
      <x:c r="E59" s="137"/>
      <x:c r="F59" s="137"/>
      <x:c r="G59" s="137"/>
      <x:c r="H59" s="138"/>
      <x:c r="I59" s="138"/>
      <x:c r="J59" s="138"/>
      <x:c r="K59" s="138"/>
      <x:c r="L59" s="139"/>
      <x:c r="M59" s="139"/>
      <x:c r="N59" s="137"/>
      <x:c r="O59" s="137"/>
      <x:c r="P59" s="137"/>
      <x:c r="Q59" s="140"/>
      <x:c r="R59" s="141" t="str">
        <x:f t="shared" si="6"/>
      </x:c>
      <x:c r="S59" s="142" t="str">
        <x:f t="shared" si="7"/>
      </x:c>
      <x:c r="T59" s="143" t="str">
        <x:f t="shared" si="8"/>
      </x:c>
      <x:c r="U59" s="142" t="str">
        <x:f t="shared" si="9"/>
      </x:c>
      <x:c r="V59" s="144" t="str">
        <x:f t="shared" si="10"/>
      </x:c>
      <x:c r="W59" s="145" t="str">
        <x:f t="shared" si="11"/>
      </x:c>
      <x:c r="X59" s="146"/>
      <x:c r="Y59" s="137"/>
      <x:c r="Z59" s="137"/>
      <x:c r="AA59" s="140"/>
      <x:c r="AB59" s="81" t="s">
        <x:v>685</x:v>
      </x:c>
      <x:c r="AC59" s="164"/>
      <x:c r="AD59" s="168"/>
      <x:c r="AE59" s="168"/>
      <x:c r="AF59" s="168"/>
    </x:row>
    <x:row r="60">
      <x:c r="A60" s="136"/>
      <x:c r="B60" s="137"/>
      <x:c r="C60" s="137"/>
      <x:c r="D60" s="137"/>
      <x:c r="E60" s="137"/>
      <x:c r="F60" s="137"/>
      <x:c r="G60" s="137"/>
      <x:c r="H60" s="138"/>
      <x:c r="I60" s="138"/>
      <x:c r="J60" s="138"/>
      <x:c r="K60" s="138"/>
      <x:c r="L60" s="139"/>
      <x:c r="M60" s="139"/>
      <x:c r="N60" s="137"/>
      <x:c r="O60" s="137"/>
      <x:c r="P60" s="137"/>
      <x:c r="Q60" s="140"/>
      <x:c r="R60" s="141" t="str">
        <x:f t="shared" si="6"/>
      </x:c>
      <x:c r="S60" s="142" t="str">
        <x:f t="shared" si="7"/>
      </x:c>
      <x:c r="T60" s="143" t="str">
        <x:f t="shared" si="8"/>
      </x:c>
      <x:c r="U60" s="142" t="str">
        <x:f t="shared" si="9"/>
      </x:c>
      <x:c r="V60" s="144" t="str">
        <x:f t="shared" si="10"/>
      </x:c>
      <x:c r="W60" s="145" t="str">
        <x:f t="shared" si="11"/>
      </x:c>
      <x:c r="X60" s="146"/>
      <x:c r="Y60" s="137"/>
      <x:c r="Z60" s="137"/>
      <x:c r="AA60" s="140"/>
      <x:c r="AB60" s="81" t="s">
        <x:v>685</x:v>
      </x:c>
      <x:c r="AC60" s="164"/>
      <x:c r="AD60" s="168"/>
      <x:c r="AE60" s="168"/>
      <x:c r="AF60" s="168"/>
    </x:row>
    <x:row r="61">
      <x:c r="A61" s="136"/>
      <x:c r="B61" s="137"/>
      <x:c r="C61" s="137"/>
      <x:c r="D61" s="137"/>
      <x:c r="E61" s="137"/>
      <x:c r="F61" s="137"/>
      <x:c r="G61" s="137"/>
      <x:c r="H61" s="138"/>
      <x:c r="I61" s="138"/>
      <x:c r="J61" s="138"/>
      <x:c r="K61" s="138"/>
      <x:c r="L61" s="139"/>
      <x:c r="M61" s="139"/>
      <x:c r="N61" s="137"/>
      <x:c r="O61" s="137"/>
      <x:c r="P61" s="137"/>
      <x:c r="Q61" s="140"/>
      <x:c r="R61" s="141" t="str">
        <x:f t="shared" si="6"/>
      </x:c>
      <x:c r="S61" s="142" t="str">
        <x:f t="shared" si="7"/>
      </x:c>
      <x:c r="T61" s="143" t="str">
        <x:f t="shared" si="8"/>
      </x:c>
      <x:c r="U61" s="142" t="str">
        <x:f t="shared" si="9"/>
      </x:c>
      <x:c r="V61" s="144" t="str">
        <x:f t="shared" si="10"/>
      </x:c>
      <x:c r="W61" s="145" t="str">
        <x:f t="shared" si="11"/>
      </x:c>
      <x:c r="X61" s="146"/>
      <x:c r="Y61" s="137"/>
      <x:c r="Z61" s="137"/>
      <x:c r="AA61" s="140"/>
      <x:c r="AB61" s="81" t="s">
        <x:v>685</x:v>
      </x:c>
      <x:c r="AC61" s="164"/>
      <x:c r="AD61" s="168"/>
      <x:c r="AE61" s="168"/>
      <x:c r="AF61" s="168"/>
    </x:row>
    <x:row r="62">
      <x:c r="A62" s="136"/>
      <x:c r="B62" s="137"/>
      <x:c r="C62" s="137"/>
      <x:c r="D62" s="137"/>
      <x:c r="E62" s="137"/>
      <x:c r="F62" s="137"/>
      <x:c r="G62" s="137"/>
      <x:c r="H62" s="138"/>
      <x:c r="I62" s="138"/>
      <x:c r="J62" s="138"/>
      <x:c r="K62" s="138"/>
      <x:c r="L62" s="139"/>
      <x:c r="M62" s="139"/>
      <x:c r="N62" s="137"/>
      <x:c r="O62" s="137"/>
      <x:c r="P62" s="137"/>
      <x:c r="Q62" s="140"/>
      <x:c r="R62" s="141" t="str">
        <x:f t="shared" si="6"/>
      </x:c>
      <x:c r="S62" s="142" t="str">
        <x:f t="shared" si="7"/>
      </x:c>
      <x:c r="T62" s="143" t="str">
        <x:f t="shared" si="8"/>
      </x:c>
      <x:c r="U62" s="142" t="str">
        <x:f t="shared" si="9"/>
      </x:c>
      <x:c r="V62" s="144" t="str">
        <x:f t="shared" si="10"/>
      </x:c>
      <x:c r="W62" s="145" t="str">
        <x:f t="shared" si="11"/>
      </x:c>
      <x:c r="X62" s="146"/>
      <x:c r="Y62" s="137"/>
      <x:c r="Z62" s="137"/>
      <x:c r="AA62" s="140"/>
      <x:c r="AB62" s="81" t="s">
        <x:v>685</x:v>
      </x:c>
      <x:c r="AC62" s="164"/>
      <x:c r="AD62" s="168"/>
      <x:c r="AE62" s="168"/>
      <x:c r="AF62" s="168"/>
    </x:row>
    <x:row r="63">
      <x:c r="A63" s="136"/>
      <x:c r="B63" s="137"/>
      <x:c r="C63" s="137"/>
      <x:c r="D63" s="137"/>
      <x:c r="E63" s="137"/>
      <x:c r="F63" s="137"/>
      <x:c r="G63" s="137"/>
      <x:c r="H63" s="138"/>
      <x:c r="I63" s="138"/>
      <x:c r="J63" s="138"/>
      <x:c r="K63" s="138"/>
      <x:c r="L63" s="139"/>
      <x:c r="M63" s="139"/>
      <x:c r="N63" s="137"/>
      <x:c r="O63" s="137"/>
      <x:c r="P63" s="137"/>
      <x:c r="Q63" s="140"/>
      <x:c r="R63" s="141" t="str">
        <x:f t="shared" si="6"/>
      </x:c>
      <x:c r="S63" s="142" t="str">
        <x:f t="shared" si="7"/>
      </x:c>
      <x:c r="T63" s="143" t="str">
        <x:f t="shared" si="8"/>
      </x:c>
      <x:c r="U63" s="142" t="str">
        <x:f t="shared" si="9"/>
      </x:c>
      <x:c r="V63" s="144" t="str">
        <x:f t="shared" si="10"/>
      </x:c>
      <x:c r="W63" s="145" t="str">
        <x:f t="shared" si="11"/>
      </x:c>
      <x:c r="X63" s="146"/>
      <x:c r="Y63" s="137"/>
      <x:c r="Z63" s="137"/>
      <x:c r="AA63" s="140"/>
      <x:c r="AB63" s="81" t="s">
        <x:v>685</x:v>
      </x:c>
      <x:c r="AC63" s="164"/>
      <x:c r="AD63" s="168"/>
      <x:c r="AE63" s="168"/>
      <x:c r="AF63" s="168"/>
    </x:row>
    <x:row r="64">
      <x:c r="A64" s="136"/>
      <x:c r="B64" s="137"/>
      <x:c r="C64" s="137"/>
      <x:c r="D64" s="137"/>
      <x:c r="E64" s="137"/>
      <x:c r="F64" s="137"/>
      <x:c r="G64" s="137"/>
      <x:c r="H64" s="138"/>
      <x:c r="I64" s="138"/>
      <x:c r="J64" s="138"/>
      <x:c r="K64" s="138"/>
      <x:c r="L64" s="139"/>
      <x:c r="M64" s="139"/>
      <x:c r="N64" s="137"/>
      <x:c r="O64" s="137"/>
      <x:c r="P64" s="137"/>
      <x:c r="Q64" s="140"/>
      <x:c r="R64" s="141" t="str">
        <x:f t="shared" si="6"/>
      </x:c>
      <x:c r="S64" s="142" t="str">
        <x:f t="shared" si="7"/>
      </x:c>
      <x:c r="T64" s="143" t="str">
        <x:f t="shared" si="8"/>
      </x:c>
      <x:c r="U64" s="142" t="str">
        <x:f t="shared" si="9"/>
      </x:c>
      <x:c r="V64" s="144" t="str">
        <x:f t="shared" si="10"/>
      </x:c>
      <x:c r="W64" s="145" t="str">
        <x:f t="shared" si="11"/>
      </x:c>
      <x:c r="X64" s="146"/>
      <x:c r="Y64" s="137"/>
      <x:c r="Z64" s="137"/>
      <x:c r="AA64" s="140"/>
      <x:c r="AB64" s="81" t="s">
        <x:v>685</x:v>
      </x:c>
      <x:c r="AC64" s="164"/>
      <x:c r="AD64" s="168"/>
      <x:c r="AE64" s="168"/>
      <x:c r="AF64" s="168"/>
    </x:row>
    <x:row r="65">
      <x:c r="A65" s="136"/>
      <x:c r="B65" s="137"/>
      <x:c r="C65" s="137"/>
      <x:c r="D65" s="137"/>
      <x:c r="E65" s="137"/>
      <x:c r="F65" s="137"/>
      <x:c r="G65" s="137"/>
      <x:c r="H65" s="138"/>
      <x:c r="I65" s="138"/>
      <x:c r="J65" s="138"/>
      <x:c r="K65" s="138"/>
      <x:c r="L65" s="139"/>
      <x:c r="M65" s="139"/>
      <x:c r="N65" s="137"/>
      <x:c r="O65" s="137"/>
      <x:c r="P65" s="137"/>
      <x:c r="Q65" s="140"/>
      <x:c r="R65" s="141" t="str">
        <x:f t="shared" si="6"/>
      </x:c>
      <x:c r="S65" s="142" t="str">
        <x:f t="shared" si="7"/>
      </x:c>
      <x:c r="T65" s="143" t="str">
        <x:f t="shared" si="8"/>
      </x:c>
      <x:c r="U65" s="142" t="str">
        <x:f t="shared" si="9"/>
      </x:c>
      <x:c r="V65" s="144" t="str">
        <x:f t="shared" si="10"/>
      </x:c>
      <x:c r="W65" s="145" t="str">
        <x:f t="shared" si="11"/>
      </x:c>
      <x:c r="X65" s="146"/>
      <x:c r="Y65" s="137"/>
      <x:c r="Z65" s="137"/>
      <x:c r="AA65" s="140"/>
      <x:c r="AB65" s="81" t="s">
        <x:v>685</x:v>
      </x:c>
      <x:c r="AC65" s="164"/>
      <x:c r="AD65" s="168"/>
      <x:c r="AE65" s="168"/>
      <x:c r="AF65" s="168"/>
    </x:row>
    <x:row r="66">
      <x:c r="A66" s="136"/>
      <x:c r="B66" s="137"/>
      <x:c r="C66" s="137"/>
      <x:c r="D66" s="137"/>
      <x:c r="E66" s="137"/>
      <x:c r="F66" s="137"/>
      <x:c r="G66" s="137"/>
      <x:c r="H66" s="138"/>
      <x:c r="I66" s="138"/>
      <x:c r="J66" s="138"/>
      <x:c r="K66" s="138"/>
      <x:c r="L66" s="139"/>
      <x:c r="M66" s="139"/>
      <x:c r="N66" s="137"/>
      <x:c r="O66" s="137"/>
      <x:c r="P66" s="137"/>
      <x:c r="Q66" s="140"/>
      <x:c r="R66" s="141" t="str">
        <x:f t="shared" si="6"/>
      </x:c>
      <x:c r="S66" s="142" t="str">
        <x:f t="shared" si="7"/>
      </x:c>
      <x:c r="T66" s="143" t="str">
        <x:f t="shared" si="8"/>
      </x:c>
      <x:c r="U66" s="142" t="str">
        <x:f t="shared" si="9"/>
      </x:c>
      <x:c r="V66" s="144" t="str">
        <x:f t="shared" si="10"/>
      </x:c>
      <x:c r="W66" s="145" t="str">
        <x:f t="shared" si="11"/>
      </x:c>
      <x:c r="X66" s="146"/>
      <x:c r="Y66" s="137"/>
      <x:c r="Z66" s="137"/>
      <x:c r="AA66" s="140"/>
      <x:c r="AB66" s="81" t="s">
        <x:v>685</x:v>
      </x:c>
      <x:c r="AC66" s="164"/>
      <x:c r="AD66" s="168"/>
      <x:c r="AE66" s="168"/>
      <x:c r="AF66" s="168"/>
    </x:row>
    <x:row r="67">
      <x:c r="A67" s="147"/>
      <x:c r="B67" s="148"/>
      <x:c r="C67" s="148"/>
      <x:c r="D67" s="148"/>
      <x:c r="E67" s="148"/>
      <x:c r="F67" s="148"/>
      <x:c r="G67" s="148"/>
      <x:c r="H67" s="149"/>
      <x:c r="I67" s="149"/>
      <x:c r="J67" s="149"/>
      <x:c r="K67" s="149"/>
      <x:c r="L67" s="150"/>
      <x:c r="M67" s="150"/>
      <x:c r="N67" s="148"/>
      <x:c r="O67" s="148"/>
      <x:c r="P67" s="148"/>
      <x:c r="Q67" s="151"/>
      <x:c r="R67" s="152" t="str">
        <x:f t="shared" si="6"/>
      </x:c>
      <x:c r="S67" s="153" t="str">
        <x:f t="shared" si="7"/>
      </x:c>
      <x:c r="T67" s="154" t="str">
        <x:f t="shared" si="8"/>
      </x:c>
      <x:c r="U67" s="153" t="str">
        <x:f t="shared" si="9"/>
      </x:c>
      <x:c r="V67" s="155" t="str">
        <x:f t="shared" si="10"/>
      </x:c>
      <x:c r="W67" s="156" t="str">
        <x:f t="shared" si="11"/>
      </x:c>
      <x:c r="X67" s="157"/>
      <x:c r="Y67" s="148"/>
      <x:c r="Z67" s="148"/>
      <x:c r="AA67" s="151"/>
      <x:c r="AB67" s="89" t="s">
        <x:v>685</x:v>
      </x:c>
      <x:c r="AC67" s="164"/>
      <x:c r="AD67" s="168"/>
      <x:c r="AE67" s="168"/>
      <x:c r="AF67" s="168"/>
    </x:row>
  </x:sheetData>
  <x:mergeCells>
    <x:mergeCell ref="A1:AB1"/>
    <x:mergeCell ref="A2:AB2"/>
  </x:mergeCells>
  <x:dataValidations count="2">
    <x:dataValidation type="list" sqref="E8:E67">
      <x:formula1>"Total,Gazde,Oaspeți"</x:formula1>
    </x:dataValidation>
    <x:dataValidation type="list" sqref="F8:F67">
      <x:formula1>"Over,Under"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4.25"/>
  <x:cols>
    <x:col min="1" max="2" width="18" customWidth="1"/>
    <x:col min="3" max="3" width="15" customWidth="1"/>
    <x:col min="4" max="5" width="42" customWidth="1"/>
    <x:col min="6" max="7" width="20" customWidth="1"/>
    <x:col min="8" max="8" width="24" customWidth="1"/>
  </x:cols>
  <x:sheetData>
    <x:row r="1" ht="66" customHeight="1">
      <x:c r="A1" s="170" t="str">
        <x:v>CARTONAȘE V4 – SCORUL LINIEI SELECTATE</x:v>
      </x:c>
      <x:c r="B1" s="170"/>
      <x:c r="C1" s="170"/>
      <x:c r="D1" s="170"/>
      <x:c r="E1" s="170"/>
      <x:c r="F1" s="170"/>
      <x:c r="G1" s="170"/>
      <x:c r="H1" s="170"/>
    </x:row>
    <x:row r="2" ht="15" customHeight="1">
      <x:c r="A2" s="160"/>
      <x:c r="B2" s="160"/>
      <x:c r="C2" s="160"/>
      <x:c r="D2" s="160"/>
      <x:c r="E2" s="160"/>
      <x:c r="F2" s="160"/>
      <x:c r="G2" s="160"/>
      <x:c r="H2" s="160"/>
    </x:row>
    <x:row r="3" ht="39.599998474121094" customHeight="1">
      <x:c r="A3" s="171" t="str">
        <x:v>Componentă</x:v>
      </x:c>
      <x:c r="B3" s="171" t="str">
        <x:v>Pondere activă</x:v>
      </x:c>
      <x:c r="C3" s="171" t="str">
        <x:v>Scor</x:v>
      </x:c>
      <x:c r="D3" s="171" t="str">
        <x:v>Definiție</x:v>
      </x:c>
      <x:c r="E3" s="171" t="str">
        <x:v>Rol</x:v>
      </x:c>
      <x:c r="F3" s="160"/>
      <x:c r="G3" s="160"/>
      <x:c r="H3" s="160"/>
    </x:row>
    <x:row r="4" ht="34" customHeight="1">
      <x:c r="A4" s="160" t="str">
        <x:v>Eșec ajustat</x:v>
      </x:c>
      <x:c r="B4" s="379" t="n">
        <x:f>Parametri!C116</x:f>
        <x:v>0.5</x:v>
      </x:c>
      <x:c r="C4" s="380" t="n">
        <x:f>B28</x:f>
        <x:v>4.558228948695497</x:v>
      </x:c>
      <x:c r="D4" s="160" t="str">
        <x:v>100 × (1 − P ajustată)</x:v>
      </x:c>
      <x:c r="E4" s="160" t="str">
        <x:v>Include haircut</x:v>
      </x:c>
      <x:c r="F4" s="160"/>
      <x:c r="G4" s="160"/>
      <x:c r="H4" s="160"/>
    </x:row>
    <x:row r="5" ht="34" customHeight="1">
      <x:c r="A5" s="160" t="str">
        <x:v>Context direcțional</x:v>
      </x:c>
      <x:c r="B5" s="379" t="n">
        <x:f>Parametri!C117</x:f>
        <x:v>0.2</x:v>
      </x:c>
      <x:c r="C5" s="380" t="n">
        <x:f>B29</x:f>
        <x:v>22.125164690382075</x:v>
      </x:c>
      <x:c r="D5" s="160" t="str">
        <x:v>Media G:K × 100</x:v>
      </x:c>
      <x:c r="E5" s="160" t="str">
        <x:v>Arbitru, echipe, faulturi, context</x:v>
      </x:c>
      <x:c r="F5" s="160"/>
      <x:c r="G5" s="160"/>
      <x:c r="H5" s="160"/>
    </x:row>
    <x:row r="6" ht="34" customHeight="1">
      <x:c r="A6" s="160" t="str">
        <x:v>Red / dispersie</x:v>
      </x:c>
      <x:c r="B6" s="379" t="n">
        <x:f>Parametri!C118</x:f>
        <x:v>0.15</x:v>
      </x:c>
      <x:c r="C6" s="380" t="n">
        <x:f>B30</x:f>
        <x:v>9.721669553725121</x:v>
      </x:c>
      <x:c r="D6" s="160" t="str">
        <x:v>L × 100</x:v>
      </x:c>
      <x:c r="E6" s="160" t="str">
        <x:v>Distribuție și evenimente disciplinare</x:v>
      </x:c>
      <x:c r="F6" s="160"/>
      <x:c r="G6" s="160"/>
      <x:c r="H6" s="160"/>
    </x:row>
    <x:row r="7" ht="34" customHeight="1">
      <x:c r="A7" s="160" t="str">
        <x:v>Incertitudine</x:v>
      </x:c>
      <x:c r="B7" s="379" t="n">
        <x:f>Parametri!C119</x:f>
        <x:v>0.15</x:v>
      </x:c>
      <x:c r="C7" s="380" t="n">
        <x:f>B31</x:f>
        <x:v>9</x:v>
      </x:c>
      <x:c r="D7" s="160" t="str">
        <x:v>100 − Confidence</x:v>
      </x:c>
      <x:c r="E7" s="160" t="str">
        <x:v>Lipsuri și calitate informații</x:v>
      </x:c>
      <x:c r="F7" s="160"/>
      <x:c r="G7" s="160"/>
      <x:c r="H7" s="160"/>
    </x:row>
    <x:row r="8" ht="34" customHeight="1">
      <x:c r="A8" s="160" t="str">
        <x:v>OOS</x:v>
      </x:c>
      <x:c r="B8" s="379" t="n">
        <x:v>0</x:v>
      </x:c>
      <x:c r="C8" s="160"/>
      <x:c r="D8" s="160" t="str">
        <x:v>Informativ</x:v>
      </x:c>
      <x:c r="E8" s="160" t="str">
        <x:v>Fără condiție de eligibilitate</x:v>
      </x:c>
      <x:c r="F8" s="160"/>
      <x:c r="G8" s="160"/>
      <x:c r="H8" s="160"/>
    </x:row>
    <x:row r="9" ht="34" customHeight="1">
      <x:c r="A9" s="160" t="str">
        <x:v>Preț / EV</x:v>
      </x:c>
      <x:c r="B9" s="379" t="n">
        <x:v>0</x:v>
      </x:c>
      <x:c r="C9" s="160"/>
      <x:c r="D9" s="160" t="str">
        <x:v>Informativ</x:v>
      </x:c>
      <x:c r="E9" s="160" t="str">
        <x:v>Fără impact tehnic</x:v>
      </x:c>
      <x:c r="F9" s="160"/>
      <x:c r="G9" s="160"/>
      <x:c r="H9" s="160"/>
    </x:row>
    <x:row r="10" ht="34" customHeight="1">
      <x:c r="A10" s="160" t="str">
        <x:v>Completitudine audit</x:v>
      </x:c>
      <x:c r="B10" s="379" t="n">
        <x:v>0</x:v>
      </x:c>
      <x:c r="C10" s="160"/>
      <x:c r="D10" s="160" t="str">
        <x:v>Raport separat</x:v>
      </x:c>
      <x:c r="E10" s="160" t="str">
        <x:v>Nu blochează scorul</x:v>
      </x:c>
      <x:c r="F10" s="160"/>
      <x:c r="G10" s="160"/>
      <x:c r="H10" s="160"/>
    </x:row>
    <x:row r="11" ht="15" customHeight="1">
      <x:c r="A11" s="160"/>
      <x:c r="B11" s="160"/>
      <x:c r="C11" s="160"/>
      <x:c r="D11" s="160"/>
      <x:c r="E11" s="160"/>
      <x:c r="F11" s="160"/>
      <x:c r="G11" s="160"/>
      <x:c r="H11" s="160"/>
    </x:row>
    <x:row r="12" ht="26.450000762939453" customHeight="1">
      <x:c r="A12" s="171" t="s">
        <x:v>686</x:v>
      </x:c>
      <x:c r="B12" s="171" t="s">
        <x:v>687</x:v>
      </x:c>
      <x:c r="C12" s="171" t="s">
        <x:v>2</x:v>
      </x:c>
      <x:c r="D12" s="171" t="s">
        <x:v>602</x:v>
      </x:c>
      <x:c r="E12" s="160"/>
      <x:c r="F12" s="160"/>
      <x:c r="G12" s="160"/>
      <x:c r="H12" s="160"/>
    </x:row>
    <x:row r="13" ht="34" customHeight="1">
      <x:c r="A13" s="160" t="str">
        <x:v>0–20</x:v>
      </x:c>
      <x:c r="B13" s="160">
        <x:v>1</x:v>
      </x:c>
      <x:c r="C13" s="160" t="str">
        <x:v>DEFENSIV</x:v>
      </x:c>
      <x:c r="D13" s="160" t="str">
        <x:v>Etichetă de scor; fără filtru P/OOS separat</x:v>
      </x:c>
      <x:c r="E13" s="160"/>
      <x:c r="F13" s="160"/>
      <x:c r="G13" s="160"/>
      <x:c r="H13" s="160"/>
    </x:row>
    <x:row r="14" ht="34" customHeight="1">
      <x:c r="A14" s="160" t="str">
        <x:v>&gt;20–40</x:v>
      </x:c>
      <x:c r="B14" s="160">
        <x:v>2</x:v>
      </x:c>
      <x:c r="C14" s="160" t="str">
        <x:v>PRUDENT</x:v>
      </x:c>
      <x:c r="D14" s="160" t="str">
        <x:v>Etichetă de scor; fără filtru P/OOS separat</x:v>
      </x:c>
      <x:c r="E14" s="160"/>
      <x:c r="F14" s="160"/>
      <x:c r="G14" s="160"/>
      <x:c r="H14" s="160"/>
    </x:row>
    <x:row r="15" ht="34" customHeight="1">
      <x:c r="A15" s="160" t="str">
        <x:v>&gt;40–60</x:v>
      </x:c>
      <x:c r="B15" s="160">
        <x:v>3</x:v>
      </x:c>
      <x:c r="C15" s="160" t="str">
        <x:v>MODERAT</x:v>
      </x:c>
      <x:c r="D15" s="160" t="str">
        <x:v>Etichetă de scor; fără filtru P/OOS separat</x:v>
      </x:c>
      <x:c r="E15" s="160"/>
      <x:c r="F15" s="160"/>
      <x:c r="G15" s="160"/>
      <x:c r="H15" s="160"/>
    </x:row>
    <x:row r="16" ht="34" customHeight="1">
      <x:c r="A16" s="160" t="str">
        <x:v>&gt;60–80</x:v>
      </x:c>
      <x:c r="B16" s="160">
        <x:v>4</x:v>
      </x:c>
      <x:c r="C16" s="160" t="str">
        <x:v>RIDICAT</x:v>
      </x:c>
      <x:c r="D16" s="160" t="str">
        <x:v>Exclus din top</x:v>
      </x:c>
      <x:c r="E16" s="160"/>
      <x:c r="F16" s="160"/>
      <x:c r="G16" s="160"/>
      <x:c r="H16" s="160"/>
    </x:row>
    <x:row r="17" ht="34" customHeight="1">
      <x:c r="A17" s="160" t="str">
        <x:v>&gt;80–100</x:v>
      </x:c>
      <x:c r="B17" s="160">
        <x:v>5</x:v>
      </x:c>
      <x:c r="C17" s="160" t="str">
        <x:v>NO BET</x:v>
      </x:c>
      <x:c r="D17" s="160" t="str">
        <x:v>Exclus din top</x:v>
      </x:c>
      <x:c r="E17" s="160"/>
      <x:c r="F17" s="160"/>
      <x:c r="G17" s="160"/>
      <x:c r="H17" s="160"/>
    </x:row>
    <x:row r="18" ht="15" customHeight="1">
      <x:c r="A18" s="160"/>
      <x:c r="B18" s="160"/>
      <x:c r="C18" s="160"/>
      <x:c r="D18" s="160"/>
      <x:c r="E18" s="160"/>
      <x:c r="F18" s="160"/>
      <x:c r="G18" s="160"/>
      <x:c r="H18" s="160"/>
    </x:row>
    <x:row r="19" ht="26.450000762939453" customHeight="1">
      <x:c r="A19" s="171" t="s">
        <x:v>688</x:v>
      </x:c>
      <x:c r="B19" s="171" t="s">
        <x:v>1</x:v>
      </x:c>
      <x:c r="C19" s="171" t="s">
        <x:v>689</x:v>
      </x:c>
      <x:c r="D19" s="171" t="s">
        <x:v>259</x:v>
      </x:c>
      <x:c r="E19" s="160"/>
      <x:c r="F19" s="160"/>
      <x:c r="G19" s="160"/>
      <x:c r="H19" s="160"/>
    </x:row>
    <x:row r="20" ht="40" customHeight="1">
      <x:c r="A20" s="375" t="str">
        <x:v>Floor structural</x:v>
      </x:c>
      <x:c r="B20" s="375" t="str">
        <x:v>DEZACTIVAT</x:v>
      </x:c>
      <x:c r="C20" s="375" t="s">
        <x:v>690</x:v>
      </x:c>
      <x:c r="D20" s="375" t="str">
        <x:v>V4 permite Nivel 1 prin scor</x:v>
      </x:c>
      <x:c r="E20" s="375"/>
      <x:c r="F20" s="160"/>
      <x:c r="G20" s="160"/>
      <x:c r="H20" s="160"/>
    </x:row>
    <x:row r="21" ht="40" customHeight="1">
      <x:c r="A21" s="375" t="s">
        <x:v>691</x:v>
      </x:c>
      <x:c r="B21" s="375" t="s">
        <x:v>692</x:v>
      </x:c>
      <x:c r="C21" s="375" t="s">
        <x:v>693</x:v>
      </x:c>
      <x:c r="D21" s="375" t="s">
        <x:v>694</x:v>
      </x:c>
      <x:c r="E21" s="375"/>
      <x:c r="F21" s="160"/>
      <x:c r="G21" s="160"/>
      <x:c r="H21" s="160"/>
    </x:row>
    <x:row r="22" ht="40" customHeight="1">
      <x:c r="A22" s="375" t="str">
        <x:v>Control calculabilitate</x:v>
      </x:c>
      <x:c r="B22" s="375" t="str">
        <x:f>Calcul_Model!B105</x:f>
        <x:v>CALCULABIL</x:v>
      </x:c>
      <x:c r="C22" s="375" t="str">
        <x:v>Minim matematic</x:v>
      </x:c>
      <x:c r="D22" s="375" t="str">
        <x:v>Fără date complete / OOS obligatorii</x:v>
      </x:c>
      <x:c r="E22" s="375"/>
      <x:c r="F22" s="160"/>
      <x:c r="G22" s="160"/>
      <x:c r="H22" s="160"/>
    </x:row>
    <x:row r="23" ht="40" customHeight="1">
      <x:c r="A23" s="375" t="s">
        <x:v>695</x:v>
      </x:c>
      <x:c r="B23" s="375" t="s">
        <x:v>92</x:v>
      </x:c>
      <x:c r="C23" s="375" t="s">
        <x:v>696</x:v>
      </x:c>
      <x:c r="D23" s="375" t="str">
        <x:v>cotele și market move sunt exclusiv informative</x:v>
      </x:c>
      <x:c r="E23" s="375"/>
      <x:c r="F23" s="160"/>
      <x:c r="G23" s="160"/>
      <x:c r="H23" s="160"/>
    </x:row>
    <x:row r="24" ht="40" customHeight="1">
      <x:c r="A24" s="375" t="s">
        <x:v>697</x:v>
      </x:c>
      <x:c r="B24" s="375" t="str">
        <x:v>Builder rămâne separat și conservator</x:v>
      </x:c>
      <x:c r="C24" s="375" t="s">
        <x:v>698</x:v>
      </x:c>
      <x:c r="D24" s="375" t="s">
        <x:v>699</x:v>
      </x:c>
      <x:c r="E24" s="375"/>
      <x:c r="F24" s="160"/>
      <x:c r="G24" s="160"/>
      <x:c r="H24" s="160"/>
    </x:row>
    <x:row r="25" ht="40" customHeight="1">
      <x:c r="A25" s="375" t="s">
        <x:v>700</x:v>
      </x:c>
      <x:c r="B25" s="375" t="str">
        <x:v>Scor crescător; egalitate: ordinea liniilor</x:v>
      </x:c>
      <x:c r="C25" s="375" t="s">
        <x:v>701</x:v>
      </x:c>
      <x:c r="D25" s="375" t="s">
        <x:v>702</x:v>
      </x:c>
      <x:c r="E25" s="375"/>
      <x:c r="F25" s="160"/>
      <x:c r="G25" s="160"/>
      <x:c r="H25" s="160"/>
    </x:row>
    <x:row r="26" ht="15" customHeight="1">
      <x:c r="A26" s="160"/>
      <x:c r="B26" s="160"/>
      <x:c r="C26" s="160"/>
      <x:c r="D26" s="160"/>
      <x:c r="E26" s="160"/>
      <x:c r="F26" s="160"/>
      <x:c r="G26" s="160"/>
      <x:c r="H26" s="160"/>
    </x:row>
    <x:row r="27" ht="36" customHeight="1">
      <x:c r="A27" s="160" t="str">
        <x:v>Componentele scorului selectat</x:v>
      </x:c>
      <x:c r="B27" s="160"/>
      <x:c r="C27" s="160"/>
      <x:c r="D27" s="160"/>
      <x:c r="E27" s="160"/>
      <x:c r="F27" s="160"/>
      <x:c r="G27" s="160"/>
      <x:c r="H27" s="160"/>
    </x:row>
    <x:row r="28" ht="26.450000762939453" customHeight="1">
      <x:c r="A28" s="160" t="str">
        <x:v>Eșec ajustat</x:v>
      </x:c>
      <x:c r="B28" s="380" t="n">
        <x:f>IF(Selector!B5="","",(1-Selector!F5)*100)</x:f>
        <x:v>4.558228948695497</x:v>
      </x:c>
      <x:c r="C28" s="160"/>
      <x:c r="D28" s="160" t="str">
        <x:v>Pondere</x:v>
      </x:c>
      <x:c r="E28" s="174" t="n">
        <x:f>Parametri!C116</x:f>
        <x:v>0.5</x:v>
      </x:c>
      <x:c r="F28" s="160"/>
      <x:c r="G28" s="160"/>
      <x:c r="H28" s="160"/>
    </x:row>
    <x:row r="29" ht="39.599998474121094" customHeight="1">
      <x:c r="A29" s="160" t="str">
        <x:v>Context direcțional</x:v>
      </x:c>
      <x:c r="B29" s="380" t="n">
        <x:f>IF(Selector!B5="","",AVERAGE(INDEX(Cards_MultiLine_v9!$G$5:$G$17,MATCH(MAX(Cards_MultiLine_v9!$W$5:$W$17),Cards_MultiLine_v9!$W$5:$W$17,0)),INDEX(Cards_MultiLine_v9!$H$5:$H$17,MATCH(MAX(Cards_MultiLine_v9!$W$5:$W$17),Cards_MultiLine_v9!$W$5:$W$17,0)),INDEX(Cards_MultiLine_v9!$I$5:$I$17,MATCH(MAX(Cards_MultiLine_v9!$W$5:$W$17),Cards_MultiLine_v9!$W$5:$W$17,0)),INDEX(Cards_MultiLine_v9!$J$5:$J$17,MATCH(MAX(Cards_MultiLine_v9!$W$5:$W$17),Cards_MultiLine_v9!$W$5:$W$17,0)),INDEX(Cards_MultiLine_v9!$K$5:$K$17,MATCH(MAX(Cards_MultiLine_v9!$W$5:$W$17),Cards_MultiLine_v9!$W$5:$W$17,0)))*100)</x:f>
        <x:v>22.125164690382075</x:v>
      </x:c>
      <x:c r="C29" s="160"/>
      <x:c r="D29" s="160" t="str">
        <x:v>Pondere</x:v>
      </x:c>
      <x:c r="E29" s="174" t="n">
        <x:f>Parametri!C117</x:f>
        <x:v>0.2</x:v>
      </x:c>
      <x:c r="F29" s="160"/>
      <x:c r="G29" s="160"/>
      <x:c r="H29" s="160"/>
    </x:row>
    <x:row r="30" ht="26.450000762939453" customHeight="1">
      <x:c r="A30" s="160" t="str">
        <x:v>Red / dispersie</x:v>
      </x:c>
      <x:c r="B30" s="380" t="n">
        <x:f>IF(Selector!B5="","",INDEX(Cards_MultiLine_v9!$L$5:$L$17,MATCH(MAX(Cards_MultiLine_v9!$W$5:$W$17),Cards_MultiLine_v9!$W$5:$W$17,0))*100)</x:f>
        <x:v>9.721669553725121</x:v>
      </x:c>
      <x:c r="C30" s="160"/>
      <x:c r="D30" s="160" t="str">
        <x:v>Pondere</x:v>
      </x:c>
      <x:c r="E30" s="174" t="n">
        <x:f>Parametri!C118</x:f>
        <x:v>0.15</x:v>
      </x:c>
      <x:c r="F30" s="160"/>
      <x:c r="G30" s="160"/>
      <x:c r="H30" s="160"/>
    </x:row>
    <x:row r="31" ht="39.599998474121094" customHeight="1">
      <x:c r="A31" s="160" t="str">
        <x:v>Incertitudine</x:v>
      </x:c>
      <x:c r="B31" s="380" t="n">
        <x:f>IF(Selector!B5="","",100-Calcul_Model!B65)</x:f>
        <x:v>9</x:v>
      </x:c>
      <x:c r="C31" s="160"/>
      <x:c r="D31" s="160" t="str">
        <x:v>Pondere</x:v>
      </x:c>
      <x:c r="E31" s="174" t="n">
        <x:f>Parametri!C119</x:f>
        <x:v>0.15</x:v>
      </x:c>
      <x:c r="F31" s="160"/>
      <x:c r="G31" s="160"/>
      <x:c r="H31" s="160"/>
    </x:row>
    <x:row r="32" ht="39.599998474121094" customHeight="1">
      <x:c r="A32" s="160" t="str">
        <x:v>OOS informativ</x:v>
      </x:c>
      <x:c r="B32" s="380" t="n">
        <x:v>0</x:v>
      </x:c>
      <x:c r="C32" s="160"/>
      <x:c r="D32" s="160" t="str">
        <x:v>Pondere</x:v>
      </x:c>
      <x:c r="E32" s="174" t="n">
        <x:v>0</x:v>
      </x:c>
      <x:c r="F32" s="160"/>
      <x:c r="G32" s="160"/>
      <x:c r="H32" s="160"/>
    </x:row>
    <x:row r="33" ht="26.450000762939453" customHeight="1">
      <x:c r="A33" s="160" t="str">
        <x:v>Preț / EV informativ</x:v>
      </x:c>
      <x:c r="B33" s="380" t="n">
        <x:v>0</x:v>
      </x:c>
      <x:c r="C33" s="160"/>
      <x:c r="D33" s="160" t="str">
        <x:v>Pondere</x:v>
      </x:c>
      <x:c r="E33" s="174" t="n">
        <x:v>0</x:v>
      </x:c>
      <x:c r="F33" s="160"/>
      <x:c r="G33" s="160"/>
      <x:c r="H33" s="160"/>
    </x:row>
    <x:row r="34" ht="52.70000076293945" customHeight="1">
      <x:c r="A34" s="160" t="str">
        <x:v>Audit separat</x:v>
      </x:c>
      <x:c r="B34" s="380" t="n">
        <x:v>0</x:v>
      </x:c>
      <x:c r="C34" s="160"/>
      <x:c r="D34" s="160" t="str">
        <x:v>Pondere</x:v>
      </x:c>
      <x:c r="E34" s="174" t="n">
        <x:v>0</x:v>
      </x:c>
      <x:c r="F34" s="160"/>
      <x:c r="G34" s="160"/>
      <x:c r="H34" s="160"/>
    </x:row>
    <x:row r="35" ht="15" customHeight="1">
      <x:c r="A35" s="160"/>
      <x:c r="B35" s="160"/>
      <x:c r="C35" s="160"/>
      <x:c r="D35" s="160"/>
      <x:c r="E35" s="160"/>
      <x:c r="F35" s="160"/>
      <x:c r="G35" s="160"/>
      <x:c r="H35" s="160"/>
    </x:row>
    <x:row r="36" ht="28" customHeight="1">
      <x:c r="A36" s="172" t="s">
        <x:v>703</x:v>
      </x:c>
      <x:c r="B36" s="381" t="n">
        <x:f>IF(Selector!B5="","",Selector!G5)</x:f>
        <x:v>9.512397845482932</x:v>
      </x:c>
      <x:c r="C36" s="160"/>
      <x:c r="D36" s="160"/>
      <x:c r="E36" s="160"/>
      <x:c r="F36" s="160"/>
      <x:c r="G36" s="160"/>
      <x:c r="H36" s="160"/>
    </x:row>
    <x:row r="37" ht="28" customHeight="1">
      <x:c r="A37" s="172" t="s">
        <x:v>704</x:v>
      </x:c>
      <x:c r="B37" s="376" t="n">
        <x:f>IF(Selector!B5="","",Selector!E5)</x:f>
        <x:v>1</x:v>
      </x:c>
      <x:c r="C37" s="160"/>
      <x:c r="D37" s="160"/>
      <x:c r="E37" s="160"/>
      <x:c r="F37" s="160"/>
      <x:c r="G37" s="160"/>
      <x:c r="H37" s="160"/>
    </x:row>
    <x:row r="38" ht="28" customHeight="1">
      <x:c r="A38" s="172" t="str">
        <x:v>Status calcul</x:v>
      </x:c>
      <x:c r="B38" s="376" t="str">
        <x:f>Calcul_Model!B105</x:f>
        <x:v>CALCULABIL</x:v>
      </x:c>
      <x:c r="C38" s="160"/>
      <x:c r="D38" s="160"/>
      <x:c r="E38" s="160"/>
      <x:c r="F38" s="160"/>
      <x:c r="G38" s="160"/>
      <x:c r="H38" s="160"/>
    </x:row>
    <x:row r="39" ht="28" customHeight="1">
      <x:c r="A39" s="187" t="s">
        <x:v>705</x:v>
      </x:c>
      <x:c r="B39" s="377" t="n">
        <x:f>B37</x:f>
        <x:v>1</x:v>
      </x:c>
      <x:c r="C39" s="160"/>
      <x:c r="D39" s="160"/>
      <x:c r="E39" s="160"/>
      <x:c r="F39" s="160"/>
      <x:c r="G39" s="160"/>
      <x:c r="H39" s="160"/>
    </x:row>
    <x:row r="40" ht="28" customHeight="1">
      <x:c r="A40" s="188" t="s">
        <x:v>706</x:v>
      </x:c>
      <x:c r="B40" s="378" t="str">
        <x:f>Dashboard!B28</x:f>
        <x:v>DEFENSIV</x:v>
      </x:c>
      <x:c r="C40" s="160"/>
      <x:c r="D40" s="160"/>
      <x:c r="E40" s="160"/>
      <x:c r="F40" s="160"/>
      <x:c r="G40" s="160"/>
      <x:c r="H40" s="160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4.25"/>
  <x:cols>
    <x:col min="1" max="2" width="18" customWidth="1"/>
    <x:col min="3" max="3" width="15" customWidth="1"/>
    <x:col min="4" max="5" width="42" customWidth="1"/>
    <x:col min="6" max="7" width="20" customWidth="1"/>
    <x:col min="8" max="8" width="24" customWidth="1"/>
  </x:cols>
  <x:sheetData>
    <x:row r="1" ht="79.1500015258789" customHeight="1">
      <x:c r="A1" s="170" t="str">
        <x:v>CARTONAȘE V4 – BUILDER SEPARAT</x:v>
      </x:c>
      <x:c r="B1" s="170"/>
      <x:c r="C1" s="170"/>
      <x:c r="D1" s="170"/>
      <x:c r="E1" s="170"/>
      <x:c r="F1" s="170"/>
    </x:row>
    <x:row r="2" ht="15" customHeight="1">
      <x:c r="A2" s="160"/>
      <x:c r="B2" s="160"/>
      <x:c r="C2" s="160"/>
      <x:c r="D2" s="160"/>
      <x:c r="E2" s="160"/>
      <x:c r="F2" s="160"/>
    </x:row>
    <x:row r="3" ht="39.599998474121094" customHeight="1">
      <x:c r="A3" s="171" t="s">
        <x:v>707</x:v>
      </x:c>
      <x:c r="B3" s="171" t="s">
        <x:v>3</x:v>
      </x:c>
      <x:c r="C3" s="171" t="s">
        <x:v>708</x:v>
      </x:c>
      <x:c r="D3" s="171" t="s">
        <x:v>709</x:v>
      </x:c>
      <x:c r="E3" s="171" t="s">
        <x:v>710</x:v>
      </x:c>
      <x:c r="F3" s="171" t="s">
        <x:v>259</x:v>
      </x:c>
    </x:row>
    <x:row r="4" ht="52.70000076293945" customHeight="1">
      <x:c r="A4" s="160" t="s">
        <x:v>711</x:v>
      </x:c>
      <x:c r="B4" s="160" t="s">
        <x:v>712</x:v>
      </x:c>
      <x:c r="C4" s="160" t="s">
        <x:v>712</x:v>
      </x:c>
      <x:c r="D4" s="160" t="s">
        <x:v>97</x:v>
      </x:c>
      <x:c r="E4" s="160" t="s">
        <x:v>713</x:v>
      </x:c>
      <x:c r="F4" s="160" t="s">
        <x:v>714</x:v>
      </x:c>
    </x:row>
    <x:row r="5" ht="26.450000762939453" customHeight="1">
      <x:c r="A5" s="160" t="s">
        <x:v>74</x:v>
      </x:c>
      <x:c r="B5" s="160" t="s">
        <x:v>712</x:v>
      </x:c>
      <x:c r="C5" s="160" t="s">
        <x:v>712</x:v>
      </x:c>
      <x:c r="D5" s="160" t="s">
        <x:v>97</x:v>
      </x:c>
      <x:c r="E5" s="160" t="s">
        <x:v>713</x:v>
      </x:c>
      <x:c r="F5" s="160" t="s">
        <x:v>715</x:v>
      </x:c>
    </x:row>
    <x:row r="6" ht="52.70000076293945" customHeight="1">
      <x:c r="A6" s="160" t="s">
        <x:v>716</x:v>
      </x:c>
      <x:c r="B6" s="160" t="s">
        <x:v>712</x:v>
      </x:c>
      <x:c r="C6" s="160" t="s">
        <x:v>712</x:v>
      </x:c>
      <x:c r="D6" s="160" t="s">
        <x:v>97</x:v>
      </x:c>
      <x:c r="E6" s="160" t="s">
        <x:v>713</x:v>
      </x:c>
      <x:c r="F6" s="160" t="s">
        <x:v>717</x:v>
      </x:c>
    </x:row>
    <x:row r="7" ht="26.450000762939453" customHeight="1">
      <x:c r="A7" s="160" t="s">
        <x:v>718</x:v>
      </x:c>
      <x:c r="B7" s="160" t="s">
        <x:v>712</x:v>
      </x:c>
      <x:c r="C7" s="160" t="s">
        <x:v>712</x:v>
      </x:c>
      <x:c r="D7" s="160" t="s">
        <x:v>97</x:v>
      </x:c>
      <x:c r="E7" s="160" t="s">
        <x:v>713</x:v>
      </x:c>
      <x:c r="F7" s="160" t="s">
        <x:v>719</x:v>
      </x:c>
    </x:row>
    <x:row r="8" ht="54" customHeight="1">
      <x:c r="A8" s="160" t="s">
        <x:v>720</x:v>
      </x:c>
      <x:c r="B8" s="160" t="str">
        <x:f>IF(Selector!I5="","NO ELIGIBLE",Selector!I5)</x:f>
        <x:v>DEFENSIV</x:v>
      </x:c>
      <x:c r="C8" s="160" t="s">
        <x:v>721</x:v>
      </x:c>
      <x:c r="D8" s="160" t="s">
        <x:v>97</x:v>
      </x:c>
      <x:c r="E8" s="160" t="s">
        <x:v>722</x:v>
      </x:c>
      <x:c r="F8" s="160" t="str">
        <x:v>Etichetă estimativă; nu autorizează automat Builder</x:v>
      </x:c>
    </x:row>
    <x:row r="9" ht="26.450000762939453" customHeight="1">
      <x:c r="A9" s="160" t="s">
        <x:v>723</x:v>
      </x:c>
      <x:c r="B9" s="160" t="str">
        <x:f>IF(AND(Completion_Check!$B$19="RELEASED",COUNTIF(B4:B7,"PASS")=4,OR(B8="BET",B8="PRUDENT")),"PASS","FAIL")</x:f>
        <x:v>FAIL</x:v>
      </x:c>
      <x:c r="C9" s="160" t="s">
        <x:v>712</x:v>
      </x:c>
      <x:c r="D9" s="160" t="s">
        <x:v>97</x:v>
      </x:c>
      <x:c r="E9" s="160" t="s">
        <x:v>724</x:v>
      </x:c>
      <x:c r="F9" s="160" t="s">
        <x:v>725</x:v>
      </x:c>
    </x:row>
    <x:row r="10" ht="26.450000762939453" customHeight="1">
      <x:c r="A10" s="160" t="s">
        <x:v>726</x:v>
      </x:c>
      <x:c r="B10" s="160" t="str">
        <x:f>IF(B9="PASS","YES","NO")</x:f>
        <x:v>NO</x:v>
      </x:c>
      <x:c r="C10" s="160" t="s">
        <x:v>727</x:v>
      </x:c>
      <x:c r="D10" s="160" t="s">
        <x:v>97</x:v>
      </x:c>
      <x:c r="E10" s="160" t="s">
        <x:v>728</x:v>
      </x:c>
      <x:c r="F10" s="160" t="s">
        <x:v>729</x:v>
      </x:c>
    </x:row>
    <x:row r="11" ht="56" customHeight="1">
      <x:c r="A11" s="160" t="s">
        <x:v>730</x:v>
      </x:c>
      <x:c r="B11" s="160" t="str">
        <x:f>IF(Completion_Check!B19&lt;&gt;"RELEASED","AUDIT SURSE NEÎNCHIS (BUILDER)",IF(B10="YES","POLITICĂ BUILDER ÎNDEPLINITĂ","POLITICĂ BUILDER LEGACY NEÎNDEPLINITĂ"))</x:f>
        <x:v>AUDIT SURSE NEÎNCHIS (BUILDER)</x:v>
      </x:c>
      <x:c r="C11" s="160"/>
      <x:c r="D11" s="160"/>
      <x:c r="E11" s="160"/>
      <x:c r="F11" s="160" t="s">
        <x:v>731</x:v>
      </x:c>
    </x:row>
    <x:row r="12" ht="15" customHeight="1">
      <x:c r="A12" s="160"/>
      <x:c r="B12" s="160"/>
      <x:c r="C12" s="160"/>
      <x:c r="D12" s="160"/>
      <x:c r="E12" s="160"/>
      <x:c r="F12" s="160"/>
    </x:row>
    <x:row r="13" ht="15" customHeight="1">
      <x:c r="A13" s="160"/>
      <x:c r="B13" s="160"/>
      <x:c r="C13" s="160"/>
      <x:c r="D13" s="160"/>
      <x:c r="E13" s="160"/>
      <x:c r="F13" s="160"/>
    </x:row>
    <x:row r="14" ht="15" customHeight="1">
      <x:c r="A14" s="160"/>
      <x:c r="B14" s="160"/>
      <x:c r="C14" s="160"/>
      <x:c r="D14" s="160"/>
      <x:c r="E14" s="160"/>
      <x:c r="F14" s="160"/>
    </x:row>
    <x:row r="15" ht="15" customHeight="1">
      <x:c r="A15" s="160"/>
      <x:c r="B15" s="160"/>
      <x:c r="C15" s="160"/>
      <x:c r="D15" s="160"/>
      <x:c r="E15" s="160"/>
      <x:c r="F15" s="160"/>
    </x:row>
    <x:row r="16" ht="15" customHeight="1">
      <x:c r="A16" s="160"/>
      <x:c r="B16" s="160"/>
      <x:c r="C16" s="160"/>
      <x:c r="D16" s="160"/>
      <x:c r="E16" s="160"/>
      <x:c r="F16" s="160"/>
    </x:row>
    <x:row r="17" ht="15" customHeight="1">
      <x:c r="A17" s="160"/>
      <x:c r="B17" s="160"/>
      <x:c r="C17" s="160"/>
      <x:c r="D17" s="160"/>
      <x:c r="E17" s="160"/>
      <x:c r="F17" s="160"/>
    </x:row>
    <x:row r="18" ht="15" customHeight="1">
      <x:c r="A18" s="160"/>
      <x:c r="B18" s="160"/>
      <x:c r="C18" s="160"/>
      <x:c r="D18" s="160"/>
      <x:c r="E18" s="160"/>
      <x:c r="F18" s="160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4.25"/>
  <x:cols>
    <x:col min="1" max="1" width="18" customWidth="1"/>
    <x:col min="2" max="2" width="20" customWidth="1"/>
    <x:col min="3" max="4" width="14" customWidth="1"/>
    <x:col min="5" max="5" width="20" customWidth="1"/>
    <x:col min="6" max="7" width="22" customWidth="1"/>
    <x:col min="8" max="8" width="18" customWidth="1"/>
    <x:col min="9" max="9" width="10" customWidth="1"/>
    <x:col min="10" max="10" width="16" customWidth="1"/>
    <x:col min="11" max="12" width="12" customWidth="1"/>
    <x:col min="13" max="13" width="16" customWidth="1"/>
    <x:col min="14" max="14" width="10" customWidth="1"/>
    <x:col min="15" max="15" width="16" customWidth="1"/>
    <x:col min="16" max="16" width="12" customWidth="1"/>
    <x:col min="17" max="17" width="14" customWidth="1"/>
  </x:cols>
  <x:sheetData>
    <x:row r="1" ht="18">
      <x:c r="A1" s="203" t="s">
        <x:v>732</x:v>
      </x:c>
      <x:c r="B1" s="203"/>
      <x:c r="C1" s="203"/>
      <x:c r="D1" s="203"/>
      <x:c r="E1" s="203"/>
      <x:c r="F1" s="203"/>
      <x:c r="G1" s="203"/>
      <x:c r="H1" s="203"/>
      <x:c r="I1" s="203"/>
      <x:c r="J1" s="203"/>
      <x:c r="K1" s="203"/>
      <x:c r="L1" s="203"/>
      <x:c r="M1" s="203"/>
      <x:c r="N1" s="203"/>
      <x:c r="O1" s="203"/>
      <x:c r="P1" s="203"/>
      <x:c r="Q1" s="203"/>
      <x:c r="R1" s="203"/>
      <x:c r="S1" s="203"/>
      <x:c r="T1" s="203"/>
      <x:c r="U1" s="203"/>
      <x:c r="V1" s="203"/>
      <x:c r="W1" s="203"/>
      <x:c r="X1" s="203"/>
      <x:c r="Y1" s="203"/>
      <x:c r="Z1" s="203"/>
    </x:row>
    <x:row r="2">
      <x:c r="A2" s="204" t="s">
        <x:v>733</x:v>
      </x:c>
      <x:c r="B2" s="204"/>
      <x:c r="C2" s="204"/>
      <x:c r="D2" s="204"/>
      <x:c r="E2" s="204"/>
      <x:c r="F2" s="204"/>
      <x:c r="G2" s="204"/>
      <x:c r="H2" s="204"/>
      <x:c r="I2" s="204"/>
      <x:c r="J2" s="204"/>
      <x:c r="K2" s="204"/>
      <x:c r="L2" s="204"/>
      <x:c r="M2" s="204"/>
      <x:c r="N2" s="204"/>
      <x:c r="O2" s="204"/>
      <x:c r="P2" s="204"/>
      <x:c r="Q2" s="204"/>
      <x:c r="R2" s="204"/>
      <x:c r="S2" s="204"/>
      <x:c r="T2" s="204"/>
      <x:c r="U2" s="204"/>
      <x:c r="V2" s="204"/>
      <x:c r="W2" s="204"/>
      <x:c r="X2" s="204"/>
      <x:c r="Y2" s="204"/>
      <x:c r="Z2" s="204"/>
    </x:row>
    <x:row r="3" ht="45">
      <x:c r="A3" s="175" t="s">
        <x:v>734</x:v>
      </x:c>
      <x:c r="B3" s="175" t="s">
        <x:v>735</x:v>
      </x:c>
      <x:c r="C3" s="175" t="s">
        <x:v>736</x:v>
      </x:c>
      <x:c r="D3" s="175" t="s">
        <x:v>737</x:v>
      </x:c>
      <x:c r="E3" s="175" t="s">
        <x:v>738</x:v>
      </x:c>
      <x:c r="F3" s="175" t="s">
        <x:v>739</x:v>
      </x:c>
      <x:c r="G3" s="175" t="s">
        <x:v>740</x:v>
      </x:c>
      <x:c r="H3" s="175" t="s">
        <x:v>741</x:v>
      </x:c>
      <x:c r="I3" s="175" t="s">
        <x:v>742</x:v>
      </x:c>
      <x:c r="J3" s="175" t="s">
        <x:v>743</x:v>
      </x:c>
      <x:c r="K3" s="175" t="s">
        <x:v>744</x:v>
      </x:c>
      <x:c r="L3" s="175" t="s">
        <x:v>745</x:v>
      </x:c>
      <x:c r="M3" s="175" t="s">
        <x:v>592</x:v>
      </x:c>
      <x:c r="N3" s="175" t="s">
        <x:v>746</x:v>
      </x:c>
      <x:c r="O3" s="175" t="s">
        <x:v>747</x:v>
      </x:c>
      <x:c r="P3" s="175" t="s">
        <x:v>748</x:v>
      </x:c>
      <x:c r="Q3" s="175" t="s">
        <x:v>749</x:v>
      </x:c>
      <x:c r="R3" s="175" t="s">
        <x:v>750</x:v>
      </x:c>
      <x:c r="S3" s="175" t="s">
        <x:v>751</x:v>
      </x:c>
      <x:c r="T3" s="175" t="s">
        <x:v>752</x:v>
      </x:c>
      <x:c r="U3" s="175" t="s">
        <x:v>753</x:v>
      </x:c>
      <x:c r="V3" s="175" t="s">
        <x:v>754</x:v>
      </x:c>
      <x:c r="W3" s="175" t="s">
        <x:v>755</x:v>
      </x:c>
      <x:c r="X3" s="175" t="s">
        <x:v>756</x:v>
      </x:c>
      <x:c r="Y3" s="175" t="s">
        <x:v>757</x:v>
      </x:c>
      <x:c r="Z3" s="175" t="s">
        <x:v>758</x:v>
      </x:c>
      <x:c r="AA3" s="175" t="s">
        <x:v>759</x:v>
      </x:c>
      <x:c r="AB3" s="175" t="s">
        <x:v>760</x:v>
      </x:c>
      <x:c r="AC3" s="175" t="s">
        <x:v>761</x:v>
      </x:c>
      <x:c r="AD3" s="175" t="s">
        <x:v>762</x:v>
      </x:c>
      <x:c r="AE3" s="175" t="s">
        <x:v>763</x:v>
      </x:c>
      <x:c r="AF3" s="175" t="s">
        <x:v>764</x:v>
      </x:c>
      <x:c r="AG3" s="175" t="s">
        <x:v>765</x:v>
      </x:c>
      <x:c r="AH3" s="159" t="s">
        <x:v>766</x:v>
      </x:c>
      <x:c r="AI3" s="159" t="s">
        <x:v>767</x:v>
      </x:c>
      <x:c r="AJ3" s="159" t="s">
        <x:v>768</x:v>
      </x:c>
      <x:c r="AK3" s="159" t="s">
        <x:v>769</x:v>
      </x:c>
      <x:c r="AL3" s="159" t="s">
        <x:v>770</x:v>
      </x:c>
      <x:c r="AM3" s="159" t="s">
        <x:v>771</x:v>
      </x:c>
      <x:c r="AN3" s="159" t="s">
        <x:v>772</x:v>
      </x:c>
      <x:c r="AO3" s="159" t="s">
        <x:v>773</x:v>
      </x:c>
      <x:c r="AP3" s="159" t="s">
        <x:v>774</x:v>
      </x:c>
      <x:c r="AQ3" s="159" t="s">
        <x:v>775</x:v>
      </x:c>
      <x:c r="AR3" s="159" t="s">
        <x:v>776</x:v>
      </x:c>
      <x:c r="AS3" s="159" t="s">
        <x:v>777</x:v>
      </x:c>
      <x:c r="AT3" s="159" t="s">
        <x:v>778</x:v>
      </x:c>
      <x:c r="AU3" s="159" t="s">
        <x:v>779</x:v>
      </x:c>
      <x:c r="AV3" s="159"/>
      <x:c r="AW3" s="159"/>
      <x:c r="AX3" s="159"/>
      <x:c r="AY3" s="159"/>
      <x:c r="AZ3" s="159"/>
    </x:row>
    <x:row r="4">
      <x:c r="A4" s="159"/>
      <x:c r="B4" s="159"/>
      <x:c r="C4" s="159"/>
      <x:c r="D4" s="159"/>
      <x:c r="E4" s="159"/>
      <x:c r="F4" s="159"/>
      <x:c r="G4" s="159"/>
      <x:c r="H4" s="159"/>
      <x:c r="I4" s="159"/>
      <x:c r="J4" s="159"/>
      <x:c r="K4" s="159"/>
      <x:c r="L4" s="159"/>
      <x:c r="M4" s="159"/>
      <x:c r="N4" s="159"/>
      <x:c r="O4" s="159"/>
      <x:c r="P4" s="159"/>
      <x:c r="Q4" s="159"/>
      <x:c r="R4" s="159"/>
      <x:c r="S4" s="159"/>
      <x:c r="T4" s="159"/>
      <x:c r="U4" s="159"/>
      <x:c r="V4" s="159"/>
      <x:c r="W4" s="159"/>
      <x:c r="X4" s="159"/>
      <x:c r="Y4" s="159"/>
      <x:c r="Z4" s="159"/>
      <x:c r="AA4" s="159"/>
      <x:c r="AB4" s="159"/>
      <x:c r="AC4" s="159"/>
      <x:c r="AD4" s="159"/>
      <x:c r="AE4" s="159"/>
      <x:c r="AF4" s="159"/>
      <x:c r="AG4" s="159"/>
      <x:c r="AH4" s="159"/>
      <x:c r="AI4" s="159"/>
      <x:c r="AJ4" s="159"/>
      <x:c r="AK4" s="159"/>
      <x:c r="AL4" s="159"/>
      <x:c r="AM4" s="159"/>
      <x:c r="AN4" s="159"/>
      <x:c r="AO4" s="159"/>
      <x:c r="AP4" s="159"/>
      <x:c r="AQ4" s="159"/>
      <x:c r="AR4" s="159"/>
      <x:c r="AS4" s="159"/>
      <x:c r="AT4" s="159"/>
      <x:c r="AU4" s="159"/>
      <x:c r="AV4" s="159"/>
      <x:c r="AW4" s="159"/>
      <x:c r="AX4" s="159"/>
      <x:c r="AY4" s="159"/>
      <x:c r="AZ4" s="159"/>
    </x:row>
    <x:row r="5">
      <x:c r="A5" s="159"/>
      <x:c r="B5" s="159"/>
      <x:c r="C5" s="159"/>
      <x:c r="D5" s="159"/>
      <x:c r="E5" s="159"/>
      <x:c r="F5" s="159"/>
      <x:c r="G5" s="159"/>
      <x:c r="H5" s="159"/>
      <x:c r="I5" s="159"/>
      <x:c r="J5" s="159"/>
      <x:c r="K5" s="159"/>
      <x:c r="L5" s="159"/>
      <x:c r="M5" s="159"/>
      <x:c r="N5" s="159"/>
      <x:c r="O5" s="159"/>
      <x:c r="P5" s="159"/>
      <x:c r="Q5" s="159"/>
      <x:c r="R5" s="159"/>
      <x:c r="S5" s="159"/>
      <x:c r="T5" s="159"/>
      <x:c r="U5" s="159"/>
      <x:c r="V5" s="159"/>
      <x:c r="W5" s="159"/>
      <x:c r="X5" s="159"/>
      <x:c r="Y5" s="159"/>
      <x:c r="Z5" s="159"/>
      <x:c r="AA5" s="159"/>
      <x:c r="AB5" s="159"/>
      <x:c r="AC5" s="159"/>
      <x:c r="AD5" s="159"/>
      <x:c r="AE5" s="159"/>
      <x:c r="AF5" s="159"/>
      <x:c r="AG5" s="159"/>
      <x:c r="AH5" s="159"/>
      <x:c r="AI5" s="159"/>
      <x:c r="AJ5" s="159"/>
      <x:c r="AK5" s="159"/>
      <x:c r="AL5" s="159"/>
      <x:c r="AM5" s="159"/>
      <x:c r="AN5" s="159"/>
      <x:c r="AO5" s="159"/>
      <x:c r="AP5" s="159"/>
      <x:c r="AQ5" s="159"/>
      <x:c r="AR5" s="159"/>
      <x:c r="AS5" s="159"/>
      <x:c r="AT5" s="159"/>
      <x:c r="AU5" s="159"/>
      <x:c r="AV5" s="159"/>
      <x:c r="AW5" s="159"/>
      <x:c r="AX5" s="159"/>
      <x:c r="AY5" s="159"/>
      <x:c r="AZ5" s="159"/>
    </x:row>
    <x:row r="6">
      <x:c r="A6" s="159"/>
      <x:c r="B6" s="159"/>
      <x:c r="C6" s="159"/>
      <x:c r="D6" s="159"/>
      <x:c r="E6" s="159"/>
      <x:c r="F6" s="159"/>
      <x:c r="G6" s="159"/>
      <x:c r="H6" s="159"/>
      <x:c r="I6" s="159"/>
      <x:c r="J6" s="159"/>
      <x:c r="K6" s="159"/>
      <x:c r="L6" s="159"/>
      <x:c r="M6" s="159"/>
      <x:c r="N6" s="159"/>
      <x:c r="O6" s="159"/>
      <x:c r="P6" s="159"/>
      <x:c r="Q6" s="159"/>
      <x:c r="R6" s="159"/>
      <x:c r="S6" s="159"/>
      <x:c r="T6" s="159"/>
      <x:c r="U6" s="159"/>
      <x:c r="V6" s="159"/>
      <x:c r="W6" s="159"/>
      <x:c r="X6" s="159"/>
      <x:c r="Y6" s="159"/>
      <x:c r="Z6" s="159"/>
      <x:c r="AA6" s="159"/>
      <x:c r="AB6" s="159"/>
      <x:c r="AC6" s="159"/>
      <x:c r="AD6" s="159"/>
      <x:c r="AE6" s="159"/>
      <x:c r="AF6" s="159"/>
      <x:c r="AG6" s="159"/>
      <x:c r="AH6" s="159"/>
      <x:c r="AI6" s="159"/>
      <x:c r="AJ6" s="159"/>
      <x:c r="AK6" s="159"/>
      <x:c r="AL6" s="159"/>
      <x:c r="AM6" s="159"/>
      <x:c r="AN6" s="159"/>
      <x:c r="AO6" s="159"/>
      <x:c r="AP6" s="159"/>
      <x:c r="AQ6" s="159"/>
      <x:c r="AR6" s="159"/>
      <x:c r="AS6" s="159"/>
      <x:c r="AT6" s="159"/>
      <x:c r="AU6" s="159"/>
      <x:c r="AV6" s="159"/>
      <x:c r="AW6" s="159"/>
      <x:c r="AX6" s="159"/>
      <x:c r="AY6" s="159"/>
      <x:c r="AZ6" s="159"/>
    </x:row>
    <x:row r="7">
      <x:c r="A7" s="159"/>
      <x:c r="B7" s="159"/>
      <x:c r="C7" s="159"/>
      <x:c r="D7" s="159"/>
      <x:c r="E7" s="159"/>
      <x:c r="F7" s="159"/>
      <x:c r="G7" s="159"/>
      <x:c r="H7" s="159"/>
      <x:c r="I7" s="159"/>
      <x:c r="J7" s="159"/>
      <x:c r="K7" s="159"/>
      <x:c r="L7" s="159"/>
      <x:c r="M7" s="159"/>
      <x:c r="N7" s="159"/>
      <x:c r="O7" s="159"/>
      <x:c r="P7" s="159"/>
      <x:c r="Q7" s="159"/>
      <x:c r="R7" s="159"/>
      <x:c r="S7" s="159"/>
      <x:c r="T7" s="159"/>
      <x:c r="U7" s="159"/>
      <x:c r="V7" s="159"/>
      <x:c r="W7" s="159"/>
      <x:c r="X7" s="159"/>
      <x:c r="Y7" s="159"/>
      <x:c r="Z7" s="159"/>
      <x:c r="AA7" s="159"/>
      <x:c r="AB7" s="159"/>
      <x:c r="AC7" s="159"/>
      <x:c r="AD7" s="159"/>
      <x:c r="AE7" s="159"/>
      <x:c r="AF7" s="159"/>
      <x:c r="AG7" s="159"/>
      <x:c r="AH7" s="159"/>
      <x:c r="AI7" s="159"/>
      <x:c r="AJ7" s="159"/>
      <x:c r="AK7" s="159"/>
      <x:c r="AL7" s="159"/>
      <x:c r="AM7" s="159"/>
      <x:c r="AN7" s="159"/>
      <x:c r="AO7" s="159"/>
      <x:c r="AP7" s="159"/>
      <x:c r="AQ7" s="159"/>
      <x:c r="AR7" s="159"/>
      <x:c r="AS7" s="159"/>
      <x:c r="AT7" s="159"/>
      <x:c r="AU7" s="159"/>
      <x:c r="AV7" s="159"/>
      <x:c r="AW7" s="159"/>
      <x:c r="AX7" s="159"/>
      <x:c r="AY7" s="159"/>
      <x:c r="AZ7" s="159"/>
    </x:row>
    <x:row r="8">
      <x:c r="A8" s="159"/>
      <x:c r="B8" s="159"/>
      <x:c r="C8" s="159"/>
      <x:c r="D8" s="159"/>
      <x:c r="E8" s="159"/>
      <x:c r="F8" s="159"/>
      <x:c r="G8" s="159"/>
      <x:c r="H8" s="159"/>
      <x:c r="I8" s="159"/>
      <x:c r="J8" s="159"/>
      <x:c r="K8" s="159"/>
      <x:c r="L8" s="159"/>
      <x:c r="M8" s="159"/>
      <x:c r="N8" s="159"/>
      <x:c r="O8" s="159"/>
      <x:c r="P8" s="159"/>
      <x:c r="Q8" s="159"/>
      <x:c r="R8" s="159"/>
      <x:c r="S8" s="159"/>
      <x:c r="T8" s="159"/>
      <x:c r="U8" s="159"/>
      <x:c r="V8" s="159"/>
      <x:c r="W8" s="159"/>
      <x:c r="X8" s="159"/>
      <x:c r="Y8" s="159"/>
      <x:c r="Z8" s="159"/>
      <x:c r="AA8" s="159"/>
      <x:c r="AB8" s="159"/>
      <x:c r="AC8" s="159"/>
      <x:c r="AD8" s="159"/>
      <x:c r="AE8" s="159"/>
      <x:c r="AF8" s="159"/>
      <x:c r="AG8" s="159"/>
      <x:c r="AH8" s="159"/>
      <x:c r="AI8" s="159"/>
      <x:c r="AJ8" s="159"/>
      <x:c r="AK8" s="159"/>
      <x:c r="AL8" s="159"/>
      <x:c r="AM8" s="159"/>
      <x:c r="AN8" s="159"/>
      <x:c r="AO8" s="159"/>
      <x:c r="AP8" s="159"/>
      <x:c r="AQ8" s="159"/>
      <x:c r="AR8" s="159"/>
      <x:c r="AS8" s="159"/>
      <x:c r="AT8" s="159"/>
      <x:c r="AU8" s="159"/>
      <x:c r="AV8" s="159"/>
      <x:c r="AW8" s="159"/>
      <x:c r="AX8" s="159"/>
      <x:c r="AY8" s="159"/>
      <x:c r="AZ8" s="159"/>
    </x:row>
    <x:row r="9">
      <x:c r="A9" s="159"/>
      <x:c r="B9" s="159"/>
      <x:c r="C9" s="159"/>
      <x:c r="D9" s="159"/>
      <x:c r="E9" s="159"/>
      <x:c r="F9" s="159"/>
      <x:c r="G9" s="159"/>
      <x:c r="H9" s="159"/>
      <x:c r="I9" s="159"/>
      <x:c r="J9" s="159"/>
      <x:c r="K9" s="159"/>
      <x:c r="L9" s="159"/>
      <x:c r="M9" s="159"/>
      <x:c r="N9" s="159"/>
      <x:c r="O9" s="159"/>
      <x:c r="P9" s="159"/>
      <x:c r="Q9" s="159"/>
      <x:c r="R9" s="159"/>
      <x:c r="S9" s="159"/>
      <x:c r="T9" s="159"/>
      <x:c r="U9" s="159"/>
      <x:c r="V9" s="159"/>
      <x:c r="W9" s="159"/>
      <x:c r="X9" s="159"/>
      <x:c r="Y9" s="159"/>
      <x:c r="Z9" s="159"/>
      <x:c r="AA9" s="159"/>
      <x:c r="AB9" s="159"/>
      <x:c r="AC9" s="159"/>
      <x:c r="AD9" s="159"/>
      <x:c r="AE9" s="159"/>
      <x:c r="AF9" s="159"/>
      <x:c r="AG9" s="159"/>
      <x:c r="AH9" s="159"/>
      <x:c r="AI9" s="159"/>
      <x:c r="AJ9" s="159"/>
      <x:c r="AK9" s="159"/>
      <x:c r="AL9" s="159"/>
      <x:c r="AM9" s="159"/>
      <x:c r="AN9" s="159"/>
      <x:c r="AO9" s="159"/>
      <x:c r="AP9" s="159"/>
      <x:c r="AQ9" s="159"/>
      <x:c r="AR9" s="159"/>
      <x:c r="AS9" s="159"/>
      <x:c r="AT9" s="159"/>
      <x:c r="AU9" s="159"/>
      <x:c r="AV9" s="159"/>
      <x:c r="AW9" s="159"/>
      <x:c r="AX9" s="159"/>
      <x:c r="AY9" s="159"/>
      <x:c r="AZ9" s="159"/>
    </x:row>
    <x:row r="10">
      <x:c r="A10" s="159"/>
      <x:c r="B10" s="159"/>
      <x:c r="C10" s="159"/>
      <x:c r="D10" s="159"/>
      <x:c r="E10" s="159"/>
      <x:c r="F10" s="159"/>
      <x:c r="G10" s="159"/>
      <x:c r="H10" s="159"/>
      <x:c r="I10" s="159"/>
      <x:c r="J10" s="159"/>
      <x:c r="K10" s="159"/>
      <x:c r="L10" s="159"/>
      <x:c r="M10" s="159"/>
      <x:c r="N10" s="159"/>
      <x:c r="O10" s="159"/>
      <x:c r="P10" s="159"/>
      <x:c r="Q10" s="159"/>
      <x:c r="R10" s="159"/>
      <x:c r="S10" s="159"/>
      <x:c r="T10" s="159"/>
      <x:c r="U10" s="159"/>
      <x:c r="V10" s="159"/>
      <x:c r="W10" s="159"/>
      <x:c r="X10" s="159"/>
      <x:c r="Y10" s="159"/>
      <x:c r="Z10" s="159"/>
      <x:c r="AA10" s="159"/>
      <x:c r="AB10" s="159"/>
      <x:c r="AC10" s="159"/>
      <x:c r="AD10" s="159"/>
      <x:c r="AE10" s="159"/>
      <x:c r="AF10" s="159"/>
      <x:c r="AG10" s="159"/>
      <x:c r="AH10" s="159"/>
      <x:c r="AI10" s="159"/>
      <x:c r="AJ10" s="159"/>
      <x:c r="AK10" s="159"/>
      <x:c r="AL10" s="159"/>
      <x:c r="AM10" s="159"/>
      <x:c r="AN10" s="159"/>
      <x:c r="AO10" s="159"/>
      <x:c r="AP10" s="159"/>
      <x:c r="AQ10" s="159"/>
      <x:c r="AR10" s="159"/>
      <x:c r="AS10" s="159"/>
      <x:c r="AT10" s="159"/>
      <x:c r="AU10" s="159"/>
      <x:c r="AV10" s="159"/>
      <x:c r="AW10" s="159"/>
      <x:c r="AX10" s="159"/>
      <x:c r="AY10" s="159"/>
      <x:c r="AZ10" s="159"/>
    </x:row>
    <x:row r="11">
      <x:c r="A11" s="159"/>
      <x:c r="B11" s="159"/>
      <x:c r="C11" s="159"/>
      <x:c r="D11" s="159"/>
      <x:c r="E11" s="159"/>
      <x:c r="F11" s="159"/>
      <x:c r="G11" s="159"/>
      <x:c r="H11" s="159"/>
      <x:c r="I11" s="159"/>
      <x:c r="J11" s="159"/>
      <x:c r="K11" s="159"/>
      <x:c r="L11" s="159"/>
      <x:c r="M11" s="159"/>
      <x:c r="N11" s="159"/>
      <x:c r="O11" s="159"/>
      <x:c r="P11" s="159"/>
      <x:c r="Q11" s="159"/>
      <x:c r="R11" s="159"/>
      <x:c r="S11" s="159"/>
      <x:c r="T11" s="159"/>
      <x:c r="U11" s="159"/>
      <x:c r="V11" s="159"/>
      <x:c r="W11" s="159"/>
      <x:c r="X11" s="159"/>
      <x:c r="Y11" s="159"/>
      <x:c r="Z11" s="159"/>
      <x:c r="AA11" s="159"/>
      <x:c r="AB11" s="159"/>
      <x:c r="AC11" s="159"/>
      <x:c r="AD11" s="159"/>
      <x:c r="AE11" s="159"/>
      <x:c r="AF11" s="159"/>
      <x:c r="AG11" s="159"/>
      <x:c r="AH11" s="159"/>
      <x:c r="AI11" s="159"/>
      <x:c r="AJ11" s="159"/>
      <x:c r="AK11" s="159"/>
      <x:c r="AL11" s="159"/>
      <x:c r="AM11" s="159"/>
      <x:c r="AN11" s="159"/>
      <x:c r="AO11" s="159"/>
      <x:c r="AP11" s="159"/>
      <x:c r="AQ11" s="159"/>
      <x:c r="AR11" s="159"/>
      <x:c r="AS11" s="159"/>
      <x:c r="AT11" s="159"/>
      <x:c r="AU11" s="159"/>
      <x:c r="AV11" s="159"/>
      <x:c r="AW11" s="159"/>
      <x:c r="AX11" s="159"/>
      <x:c r="AY11" s="159"/>
      <x:c r="AZ11" s="159"/>
    </x:row>
    <x:row r="12">
      <x:c r="A12" s="159"/>
      <x:c r="B12" s="159"/>
      <x:c r="C12" s="159"/>
      <x:c r="D12" s="159"/>
      <x:c r="E12" s="159"/>
      <x:c r="F12" s="159"/>
      <x:c r="G12" s="159"/>
      <x:c r="H12" s="159"/>
      <x:c r="I12" s="159"/>
      <x:c r="J12" s="159"/>
      <x:c r="K12" s="159"/>
      <x:c r="L12" s="159"/>
      <x:c r="M12" s="159"/>
      <x:c r="N12" s="159"/>
      <x:c r="O12" s="159"/>
      <x:c r="P12" s="159"/>
      <x:c r="Q12" s="159"/>
      <x:c r="R12" s="159"/>
      <x:c r="S12" s="159"/>
      <x:c r="T12" s="159"/>
      <x:c r="U12" s="159"/>
      <x:c r="V12" s="159"/>
      <x:c r="W12" s="159"/>
      <x:c r="X12" s="159"/>
      <x:c r="Y12" s="159"/>
      <x:c r="Z12" s="159"/>
      <x:c r="AA12" s="159"/>
      <x:c r="AB12" s="159"/>
      <x:c r="AC12" s="159"/>
      <x:c r="AD12" s="159"/>
      <x:c r="AE12" s="159"/>
      <x:c r="AF12" s="159"/>
      <x:c r="AG12" s="159"/>
      <x:c r="AH12" s="159"/>
      <x:c r="AI12" s="159"/>
      <x:c r="AJ12" s="159"/>
      <x:c r="AK12" s="159"/>
      <x:c r="AL12" s="159"/>
      <x:c r="AM12" s="159"/>
      <x:c r="AN12" s="159"/>
      <x:c r="AO12" s="159"/>
      <x:c r="AP12" s="159"/>
      <x:c r="AQ12" s="159"/>
      <x:c r="AR12" s="159"/>
      <x:c r="AS12" s="159"/>
      <x:c r="AT12" s="159"/>
      <x:c r="AU12" s="159"/>
      <x:c r="AV12" s="159"/>
      <x:c r="AW12" s="159"/>
      <x:c r="AX12" s="159"/>
      <x:c r="AY12" s="159"/>
      <x:c r="AZ12" s="159"/>
    </x:row>
    <x:row r="13">
      <x:c r="A13" s="159"/>
      <x:c r="B13" s="159"/>
      <x:c r="C13" s="159"/>
      <x:c r="D13" s="159"/>
      <x:c r="E13" s="159"/>
      <x:c r="F13" s="159"/>
      <x:c r="G13" s="159"/>
      <x:c r="H13" s="159"/>
      <x:c r="I13" s="159"/>
      <x:c r="J13" s="159"/>
      <x:c r="K13" s="159"/>
      <x:c r="L13" s="159"/>
      <x:c r="M13" s="159"/>
      <x:c r="N13" s="159"/>
      <x:c r="O13" s="159"/>
      <x:c r="P13" s="159"/>
      <x:c r="Q13" s="159"/>
      <x:c r="R13" s="159"/>
      <x:c r="S13" s="159"/>
      <x:c r="T13" s="159"/>
      <x:c r="U13" s="159"/>
      <x:c r="V13" s="159"/>
      <x:c r="W13" s="159"/>
      <x:c r="X13" s="159"/>
      <x:c r="Y13" s="159"/>
      <x:c r="Z13" s="159"/>
      <x:c r="AA13" s="159"/>
      <x:c r="AB13" s="159"/>
      <x:c r="AC13" s="159"/>
      <x:c r="AD13" s="159"/>
      <x:c r="AE13" s="159"/>
      <x:c r="AF13" s="159"/>
      <x:c r="AG13" s="159"/>
      <x:c r="AH13" s="159"/>
      <x:c r="AI13" s="159"/>
      <x:c r="AJ13" s="159"/>
      <x:c r="AK13" s="159"/>
      <x:c r="AL13" s="159"/>
      <x:c r="AM13" s="159"/>
      <x:c r="AN13" s="159"/>
      <x:c r="AO13" s="159"/>
      <x:c r="AP13" s="159"/>
      <x:c r="AQ13" s="159"/>
      <x:c r="AR13" s="159"/>
      <x:c r="AS13" s="159"/>
      <x:c r="AT13" s="159"/>
      <x:c r="AU13" s="159"/>
      <x:c r="AV13" s="159"/>
      <x:c r="AW13" s="159"/>
      <x:c r="AX13" s="159"/>
      <x:c r="AY13" s="159"/>
      <x:c r="AZ13" s="159"/>
    </x:row>
    <x:row r="14">
      <x:c r="A14" s="159"/>
      <x:c r="B14" s="159"/>
      <x:c r="C14" s="159"/>
      <x:c r="D14" s="159"/>
      <x:c r="E14" s="159"/>
      <x:c r="F14" s="159"/>
      <x:c r="G14" s="159"/>
      <x:c r="H14" s="159"/>
      <x:c r="I14" s="159"/>
      <x:c r="J14" s="159"/>
      <x:c r="K14" s="159"/>
      <x:c r="L14" s="159"/>
      <x:c r="M14" s="159"/>
      <x:c r="N14" s="159"/>
      <x:c r="O14" s="159"/>
      <x:c r="P14" s="159"/>
      <x:c r="Q14" s="159"/>
      <x:c r="R14" s="159"/>
      <x:c r="S14" s="159"/>
      <x:c r="T14" s="159"/>
      <x:c r="U14" s="159"/>
      <x:c r="V14" s="159"/>
      <x:c r="W14" s="159"/>
      <x:c r="X14" s="159"/>
      <x:c r="Y14" s="159"/>
      <x:c r="Z14" s="159"/>
      <x:c r="AA14" s="159"/>
      <x:c r="AB14" s="159"/>
      <x:c r="AC14" s="159"/>
      <x:c r="AD14" s="159"/>
      <x:c r="AE14" s="159"/>
      <x:c r="AF14" s="159"/>
      <x:c r="AG14" s="159"/>
      <x:c r="AH14" s="159"/>
      <x:c r="AI14" s="159"/>
      <x:c r="AJ14" s="159"/>
      <x:c r="AK14" s="159"/>
      <x:c r="AL14" s="159"/>
      <x:c r="AM14" s="159"/>
      <x:c r="AN14" s="159"/>
      <x:c r="AO14" s="159"/>
      <x:c r="AP14" s="159"/>
      <x:c r="AQ14" s="159"/>
      <x:c r="AR14" s="159"/>
      <x:c r="AS14" s="159"/>
      <x:c r="AT14" s="159"/>
      <x:c r="AU14" s="159"/>
      <x:c r="AV14" s="159"/>
      <x:c r="AW14" s="159"/>
      <x:c r="AX14" s="159"/>
      <x:c r="AY14" s="159"/>
      <x:c r="AZ14" s="159"/>
    </x:row>
    <x:row r="15">
      <x:c r="A15" s="159"/>
      <x:c r="B15" s="159"/>
      <x:c r="C15" s="159"/>
      <x:c r="D15" s="159"/>
      <x:c r="E15" s="159"/>
      <x:c r="F15" s="159"/>
      <x:c r="G15" s="159"/>
      <x:c r="H15" s="159"/>
      <x:c r="I15" s="159"/>
      <x:c r="J15" s="159"/>
      <x:c r="K15" s="159"/>
      <x:c r="L15" s="159"/>
      <x:c r="M15" s="159"/>
      <x:c r="N15" s="159"/>
      <x:c r="O15" s="159"/>
      <x:c r="P15" s="159"/>
      <x:c r="Q15" s="159"/>
      <x:c r="R15" s="159"/>
      <x:c r="S15" s="159"/>
      <x:c r="T15" s="159"/>
      <x:c r="U15" s="159"/>
      <x:c r="V15" s="159"/>
      <x:c r="W15" s="159"/>
      <x:c r="X15" s="159"/>
      <x:c r="Y15" s="159"/>
      <x:c r="Z15" s="159"/>
      <x:c r="AA15" s="159"/>
      <x:c r="AB15" s="159"/>
      <x:c r="AC15" s="159"/>
      <x:c r="AD15" s="159"/>
      <x:c r="AE15" s="159"/>
      <x:c r="AF15" s="159"/>
      <x:c r="AG15" s="159"/>
      <x:c r="AH15" s="159"/>
      <x:c r="AI15" s="159"/>
      <x:c r="AJ15" s="159"/>
      <x:c r="AK15" s="159"/>
      <x:c r="AL15" s="159"/>
      <x:c r="AM15" s="159"/>
      <x:c r="AN15" s="159"/>
      <x:c r="AO15" s="159"/>
      <x:c r="AP15" s="159"/>
      <x:c r="AQ15" s="159"/>
      <x:c r="AR15" s="159"/>
      <x:c r="AS15" s="159"/>
      <x:c r="AT15" s="159"/>
      <x:c r="AU15" s="159"/>
      <x:c r="AV15" s="159"/>
      <x:c r="AW15" s="159"/>
      <x:c r="AX15" s="159"/>
      <x:c r="AY15" s="159"/>
      <x:c r="AZ15" s="159"/>
    </x:row>
    <x:row r="16">
      <x:c r="A16" s="159"/>
      <x:c r="B16" s="159"/>
      <x:c r="C16" s="159"/>
      <x:c r="D16" s="159"/>
      <x:c r="E16" s="159"/>
      <x:c r="F16" s="159"/>
      <x:c r="G16" s="159"/>
      <x:c r="H16" s="159"/>
      <x:c r="I16" s="159"/>
      <x:c r="J16" s="159"/>
      <x:c r="K16" s="159"/>
      <x:c r="L16" s="159"/>
      <x:c r="M16" s="159"/>
      <x:c r="N16" s="159"/>
      <x:c r="O16" s="159"/>
      <x:c r="P16" s="159"/>
      <x:c r="Q16" s="159"/>
      <x:c r="R16" s="159"/>
      <x:c r="S16" s="159"/>
      <x:c r="T16" s="159"/>
      <x:c r="U16" s="159"/>
      <x:c r="V16" s="159"/>
      <x:c r="W16" s="159"/>
      <x:c r="X16" s="159"/>
      <x:c r="Y16" s="159"/>
      <x:c r="Z16" s="159"/>
      <x:c r="AA16" s="159"/>
      <x:c r="AB16" s="159"/>
      <x:c r="AC16" s="159"/>
      <x:c r="AD16" s="159"/>
      <x:c r="AE16" s="159"/>
      <x:c r="AF16" s="159"/>
      <x:c r="AG16" s="159"/>
      <x:c r="AH16" s="159"/>
      <x:c r="AI16" s="159"/>
      <x:c r="AJ16" s="159"/>
      <x:c r="AK16" s="159"/>
      <x:c r="AL16" s="159"/>
      <x:c r="AM16" s="159"/>
      <x:c r="AN16" s="159"/>
      <x:c r="AO16" s="159"/>
      <x:c r="AP16" s="159"/>
      <x:c r="AQ16" s="159"/>
      <x:c r="AR16" s="159"/>
      <x:c r="AS16" s="159"/>
      <x:c r="AT16" s="159"/>
      <x:c r="AU16" s="159"/>
      <x:c r="AV16" s="159"/>
      <x:c r="AW16" s="159"/>
      <x:c r="AX16" s="159"/>
      <x:c r="AY16" s="159"/>
      <x:c r="AZ16" s="159"/>
    </x:row>
    <x:row r="17">
      <x:c r="A17" s="159"/>
      <x:c r="B17" s="159"/>
      <x:c r="C17" s="159"/>
      <x:c r="D17" s="159"/>
      <x:c r="E17" s="159"/>
      <x:c r="F17" s="159"/>
      <x:c r="G17" s="159"/>
      <x:c r="H17" s="159"/>
      <x:c r="I17" s="159"/>
      <x:c r="J17" s="159"/>
      <x:c r="K17" s="159"/>
      <x:c r="L17" s="159"/>
      <x:c r="M17" s="159"/>
      <x:c r="N17" s="159"/>
      <x:c r="O17" s="159"/>
      <x:c r="P17" s="159"/>
      <x:c r="Q17" s="159"/>
      <x:c r="R17" s="159"/>
      <x:c r="S17" s="159"/>
      <x:c r="T17" s="159"/>
      <x:c r="U17" s="159"/>
      <x:c r="V17" s="159"/>
      <x:c r="W17" s="159"/>
      <x:c r="X17" s="159"/>
      <x:c r="Y17" s="159"/>
      <x:c r="Z17" s="159"/>
      <x:c r="AA17" s="159"/>
      <x:c r="AB17" s="159"/>
      <x:c r="AC17" s="159"/>
      <x:c r="AD17" s="159"/>
      <x:c r="AE17" s="159"/>
      <x:c r="AF17" s="159"/>
      <x:c r="AG17" s="159"/>
      <x:c r="AH17" s="159"/>
      <x:c r="AI17" s="159"/>
      <x:c r="AJ17" s="159"/>
      <x:c r="AK17" s="159"/>
      <x:c r="AL17" s="159"/>
      <x:c r="AM17" s="159"/>
      <x:c r="AN17" s="159"/>
      <x:c r="AO17" s="159"/>
      <x:c r="AP17" s="159"/>
      <x:c r="AQ17" s="159"/>
      <x:c r="AR17" s="159"/>
      <x:c r="AS17" s="159"/>
      <x:c r="AT17" s="159"/>
      <x:c r="AU17" s="159"/>
      <x:c r="AV17" s="159"/>
      <x:c r="AW17" s="159"/>
      <x:c r="AX17" s="159"/>
      <x:c r="AY17" s="159"/>
      <x:c r="AZ17" s="159"/>
    </x:row>
    <x:row r="18">
      <x:c r="A18" s="159"/>
      <x:c r="B18" s="159"/>
      <x:c r="C18" s="159"/>
      <x:c r="D18" s="159"/>
      <x:c r="E18" s="159"/>
      <x:c r="F18" s="159"/>
      <x:c r="G18" s="159"/>
      <x:c r="H18" s="159"/>
      <x:c r="I18" s="159"/>
      <x:c r="J18" s="159"/>
      <x:c r="K18" s="159"/>
      <x:c r="L18" s="159"/>
      <x:c r="M18" s="159"/>
      <x:c r="N18" s="159"/>
      <x:c r="O18" s="159"/>
      <x:c r="P18" s="159"/>
      <x:c r="Q18" s="159"/>
      <x:c r="R18" s="159"/>
      <x:c r="S18" s="159"/>
      <x:c r="T18" s="159"/>
      <x:c r="U18" s="159"/>
      <x:c r="V18" s="159"/>
      <x:c r="W18" s="159"/>
      <x:c r="X18" s="159"/>
      <x:c r="Y18" s="159"/>
      <x:c r="Z18" s="159"/>
      <x:c r="AA18" s="159"/>
      <x:c r="AB18" s="159"/>
      <x:c r="AC18" s="159"/>
      <x:c r="AD18" s="159"/>
      <x:c r="AE18" s="159"/>
      <x:c r="AF18" s="159"/>
      <x:c r="AG18" s="159"/>
      <x:c r="AH18" s="159"/>
      <x:c r="AI18" s="159"/>
      <x:c r="AJ18" s="159"/>
      <x:c r="AK18" s="159"/>
      <x:c r="AL18" s="159"/>
      <x:c r="AM18" s="159"/>
      <x:c r="AN18" s="159"/>
      <x:c r="AO18" s="159"/>
      <x:c r="AP18" s="159"/>
      <x:c r="AQ18" s="159"/>
      <x:c r="AR18" s="159"/>
      <x:c r="AS18" s="159"/>
      <x:c r="AT18" s="159"/>
      <x:c r="AU18" s="159"/>
      <x:c r="AV18" s="159"/>
      <x:c r="AW18" s="159"/>
      <x:c r="AX18" s="159"/>
      <x:c r="AY18" s="159"/>
      <x:c r="AZ18" s="159"/>
    </x:row>
    <x:row r="19">
      <x:c r="A19" s="159"/>
      <x:c r="B19" s="159"/>
      <x:c r="C19" s="159"/>
      <x:c r="D19" s="159"/>
      <x:c r="E19" s="159"/>
      <x:c r="F19" s="159"/>
      <x:c r="G19" s="159"/>
      <x:c r="H19" s="159"/>
      <x:c r="I19" s="159"/>
      <x:c r="J19" s="159"/>
      <x:c r="K19" s="159"/>
      <x:c r="L19" s="159"/>
      <x:c r="M19" s="159"/>
      <x:c r="N19" s="159"/>
      <x:c r="O19" s="159"/>
      <x:c r="P19" s="159"/>
      <x:c r="Q19" s="159"/>
      <x:c r="R19" s="159"/>
      <x:c r="S19" s="159"/>
      <x:c r="T19" s="159"/>
      <x:c r="U19" s="159"/>
      <x:c r="V19" s="159"/>
      <x:c r="W19" s="159"/>
      <x:c r="X19" s="159"/>
      <x:c r="Y19" s="159"/>
      <x:c r="Z19" s="159"/>
      <x:c r="AA19" s="159"/>
      <x:c r="AB19" s="159"/>
      <x:c r="AC19" s="159"/>
      <x:c r="AD19" s="159"/>
      <x:c r="AE19" s="159"/>
      <x:c r="AF19" s="159"/>
      <x:c r="AG19" s="159"/>
      <x:c r="AH19" s="159"/>
      <x:c r="AI19" s="159"/>
      <x:c r="AJ19" s="159"/>
      <x:c r="AK19" s="159"/>
      <x:c r="AL19" s="159"/>
      <x:c r="AM19" s="159"/>
      <x:c r="AN19" s="159"/>
      <x:c r="AO19" s="159"/>
      <x:c r="AP19" s="159"/>
      <x:c r="AQ19" s="159"/>
      <x:c r="AR19" s="159"/>
      <x:c r="AS19" s="159"/>
      <x:c r="AT19" s="159"/>
      <x:c r="AU19" s="159"/>
      <x:c r="AV19" s="159"/>
      <x:c r="AW19" s="159"/>
      <x:c r="AX19" s="159"/>
      <x:c r="AY19" s="159"/>
      <x:c r="AZ19" s="159"/>
    </x:row>
    <x:row r="20">
      <x:c r="A20" s="159"/>
      <x:c r="B20" s="159"/>
      <x:c r="C20" s="159"/>
      <x:c r="D20" s="159"/>
      <x:c r="E20" s="159"/>
      <x:c r="F20" s="159"/>
      <x:c r="G20" s="159"/>
      <x:c r="H20" s="159"/>
      <x:c r="I20" s="159"/>
      <x:c r="J20" s="159"/>
      <x:c r="K20" s="159"/>
      <x:c r="L20" s="159"/>
      <x:c r="M20" s="159"/>
      <x:c r="N20" s="159"/>
      <x:c r="O20" s="159"/>
      <x:c r="P20" s="159"/>
      <x:c r="Q20" s="159"/>
      <x:c r="R20" s="159"/>
      <x:c r="S20" s="159"/>
      <x:c r="T20" s="159"/>
      <x:c r="U20" s="159"/>
      <x:c r="V20" s="159"/>
      <x:c r="W20" s="159"/>
      <x:c r="X20" s="159"/>
      <x:c r="Y20" s="159"/>
      <x:c r="Z20" s="159"/>
      <x:c r="AA20" s="159"/>
      <x:c r="AB20" s="159"/>
      <x:c r="AC20" s="159"/>
      <x:c r="AD20" s="159"/>
      <x:c r="AE20" s="159"/>
      <x:c r="AF20" s="159"/>
      <x:c r="AG20" s="159"/>
      <x:c r="AH20" s="159"/>
      <x:c r="AI20" s="159"/>
      <x:c r="AJ20" s="159"/>
      <x:c r="AK20" s="159"/>
      <x:c r="AL20" s="159"/>
      <x:c r="AM20" s="159"/>
      <x:c r="AN20" s="159"/>
      <x:c r="AO20" s="159"/>
      <x:c r="AP20" s="159"/>
      <x:c r="AQ20" s="159"/>
      <x:c r="AR20" s="159"/>
      <x:c r="AS20" s="159"/>
      <x:c r="AT20" s="159"/>
      <x:c r="AU20" s="159"/>
      <x:c r="AV20" s="159"/>
      <x:c r="AW20" s="159"/>
      <x:c r="AX20" s="159"/>
      <x:c r="AY20" s="159"/>
      <x:c r="AZ20" s="159"/>
    </x:row>
    <x:row r="21">
      <x:c r="A21" s="159"/>
      <x:c r="B21" s="159"/>
      <x:c r="C21" s="159"/>
      <x:c r="D21" s="159"/>
      <x:c r="E21" s="159"/>
      <x:c r="F21" s="159"/>
      <x:c r="G21" s="159"/>
      <x:c r="H21" s="159"/>
      <x:c r="I21" s="159"/>
      <x:c r="J21" s="159"/>
      <x:c r="K21" s="159"/>
      <x:c r="L21" s="159"/>
      <x:c r="M21" s="159"/>
      <x:c r="N21" s="159"/>
      <x:c r="O21" s="159"/>
      <x:c r="P21" s="159"/>
      <x:c r="Q21" s="159"/>
      <x:c r="R21" s="159"/>
      <x:c r="S21" s="159"/>
      <x:c r="T21" s="159"/>
      <x:c r="U21" s="159"/>
      <x:c r="V21" s="159"/>
      <x:c r="W21" s="159"/>
      <x:c r="X21" s="159"/>
      <x:c r="Y21" s="159"/>
      <x:c r="Z21" s="159"/>
      <x:c r="AA21" s="159"/>
      <x:c r="AB21" s="159"/>
      <x:c r="AC21" s="159"/>
      <x:c r="AD21" s="159"/>
      <x:c r="AE21" s="159"/>
      <x:c r="AF21" s="159"/>
      <x:c r="AG21" s="159"/>
      <x:c r="AH21" s="159"/>
      <x:c r="AI21" s="159"/>
      <x:c r="AJ21" s="159"/>
      <x:c r="AK21" s="159"/>
      <x:c r="AL21" s="159"/>
      <x:c r="AM21" s="159"/>
      <x:c r="AN21" s="159"/>
      <x:c r="AO21" s="159"/>
      <x:c r="AP21" s="159"/>
      <x:c r="AQ21" s="159"/>
      <x:c r="AR21" s="159"/>
      <x:c r="AS21" s="159"/>
      <x:c r="AT21" s="159"/>
      <x:c r="AU21" s="159"/>
      <x:c r="AV21" s="159"/>
      <x:c r="AW21" s="159"/>
      <x:c r="AX21" s="159"/>
      <x:c r="AY21" s="159"/>
      <x:c r="AZ21" s="159"/>
    </x:row>
    <x:row r="22">
      <x:c r="A22" s="159"/>
      <x:c r="B22" s="159"/>
      <x:c r="C22" s="159"/>
      <x:c r="D22" s="159"/>
      <x:c r="E22" s="159"/>
      <x:c r="F22" s="159"/>
      <x:c r="G22" s="159"/>
      <x:c r="H22" s="159"/>
      <x:c r="I22" s="159"/>
      <x:c r="J22" s="159"/>
      <x:c r="K22" s="159"/>
      <x:c r="L22" s="159"/>
      <x:c r="M22" s="159"/>
      <x:c r="N22" s="159"/>
      <x:c r="O22" s="159"/>
      <x:c r="P22" s="159"/>
      <x:c r="Q22" s="159"/>
      <x:c r="R22" s="159"/>
      <x:c r="S22" s="159"/>
      <x:c r="T22" s="159"/>
      <x:c r="U22" s="159"/>
      <x:c r="V22" s="159"/>
      <x:c r="W22" s="159"/>
      <x:c r="X22" s="159"/>
      <x:c r="Y22" s="159"/>
      <x:c r="Z22" s="159"/>
      <x:c r="AA22" s="159"/>
      <x:c r="AB22" s="159"/>
      <x:c r="AC22" s="159"/>
      <x:c r="AD22" s="159"/>
      <x:c r="AE22" s="159"/>
      <x:c r="AF22" s="159"/>
      <x:c r="AG22" s="159"/>
      <x:c r="AH22" s="159"/>
      <x:c r="AI22" s="159"/>
      <x:c r="AJ22" s="159"/>
      <x:c r="AK22" s="159"/>
      <x:c r="AL22" s="159"/>
      <x:c r="AM22" s="159"/>
      <x:c r="AN22" s="159"/>
      <x:c r="AO22" s="159"/>
      <x:c r="AP22" s="159"/>
      <x:c r="AQ22" s="159"/>
      <x:c r="AR22" s="159"/>
      <x:c r="AS22" s="159"/>
      <x:c r="AT22" s="159"/>
      <x:c r="AU22" s="159"/>
      <x:c r="AV22" s="159"/>
      <x:c r="AW22" s="159"/>
      <x:c r="AX22" s="159"/>
      <x:c r="AY22" s="159"/>
      <x:c r="AZ22" s="159"/>
    </x:row>
    <x:row r="23">
      <x:c r="A23" s="159"/>
      <x:c r="B23" s="159"/>
      <x:c r="C23" s="159"/>
      <x:c r="D23" s="159"/>
      <x:c r="E23" s="159"/>
      <x:c r="F23" s="159"/>
      <x:c r="G23" s="159"/>
      <x:c r="H23" s="159"/>
      <x:c r="I23" s="159"/>
      <x:c r="J23" s="159"/>
      <x:c r="K23" s="159"/>
      <x:c r="L23" s="159"/>
      <x:c r="M23" s="159"/>
      <x:c r="N23" s="159"/>
      <x:c r="O23" s="159"/>
      <x:c r="P23" s="159"/>
      <x:c r="Q23" s="159"/>
      <x:c r="R23" s="159"/>
      <x:c r="S23" s="159"/>
      <x:c r="T23" s="159"/>
      <x:c r="U23" s="159"/>
      <x:c r="V23" s="159"/>
      <x:c r="W23" s="159"/>
      <x:c r="X23" s="159"/>
      <x:c r="Y23" s="159"/>
      <x:c r="Z23" s="159"/>
      <x:c r="AA23" s="159"/>
      <x:c r="AB23" s="159"/>
      <x:c r="AC23" s="159"/>
      <x:c r="AD23" s="159"/>
      <x:c r="AE23" s="159"/>
      <x:c r="AF23" s="159"/>
      <x:c r="AG23" s="159"/>
      <x:c r="AH23" s="159"/>
      <x:c r="AI23" s="159"/>
      <x:c r="AJ23" s="159"/>
      <x:c r="AK23" s="159"/>
      <x:c r="AL23" s="159"/>
      <x:c r="AM23" s="159"/>
      <x:c r="AN23" s="159"/>
      <x:c r="AO23" s="159"/>
      <x:c r="AP23" s="159"/>
      <x:c r="AQ23" s="159"/>
      <x:c r="AR23" s="159"/>
      <x:c r="AS23" s="159"/>
      <x:c r="AT23" s="159"/>
      <x:c r="AU23" s="159"/>
      <x:c r="AV23" s="159"/>
      <x:c r="AW23" s="159"/>
      <x:c r="AX23" s="159"/>
      <x:c r="AY23" s="159"/>
      <x:c r="AZ23" s="159"/>
    </x:row>
    <x:row r="24">
      <x:c r="A24" s="159"/>
      <x:c r="B24" s="159"/>
      <x:c r="C24" s="159"/>
      <x:c r="D24" s="159"/>
      <x:c r="E24" s="159"/>
      <x:c r="F24" s="159"/>
      <x:c r="G24" s="159"/>
      <x:c r="H24" s="159"/>
      <x:c r="I24" s="159"/>
      <x:c r="J24" s="159"/>
      <x:c r="K24" s="159"/>
      <x:c r="L24" s="159"/>
      <x:c r="M24" s="159"/>
      <x:c r="N24" s="159"/>
      <x:c r="O24" s="159"/>
      <x:c r="P24" s="159"/>
      <x:c r="Q24" s="159"/>
      <x:c r="R24" s="159"/>
      <x:c r="S24" s="159"/>
      <x:c r="T24" s="159"/>
      <x:c r="U24" s="159"/>
      <x:c r="V24" s="159"/>
      <x:c r="W24" s="159"/>
      <x:c r="X24" s="159"/>
      <x:c r="Y24" s="159"/>
      <x:c r="Z24" s="159"/>
      <x:c r="AA24" s="159"/>
      <x:c r="AB24" s="159"/>
      <x:c r="AC24" s="159"/>
      <x:c r="AD24" s="159"/>
      <x:c r="AE24" s="159"/>
      <x:c r="AF24" s="159"/>
      <x:c r="AG24" s="159"/>
      <x:c r="AH24" s="159"/>
      <x:c r="AI24" s="159"/>
      <x:c r="AJ24" s="159"/>
      <x:c r="AK24" s="159"/>
      <x:c r="AL24" s="159"/>
      <x:c r="AM24" s="159"/>
      <x:c r="AN24" s="159"/>
      <x:c r="AO24" s="159"/>
      <x:c r="AP24" s="159"/>
      <x:c r="AQ24" s="159"/>
      <x:c r="AR24" s="159"/>
      <x:c r="AS24" s="159"/>
      <x:c r="AT24" s="159"/>
      <x:c r="AU24" s="159"/>
      <x:c r="AV24" s="159"/>
      <x:c r="AW24" s="159"/>
      <x:c r="AX24" s="159"/>
      <x:c r="AY24" s="159"/>
      <x:c r="AZ24" s="159"/>
    </x:row>
    <x:row r="25">
      <x:c r="A25" s="159"/>
      <x:c r="B25" s="159"/>
      <x:c r="C25" s="159"/>
      <x:c r="D25" s="159"/>
      <x:c r="E25" s="159"/>
      <x:c r="F25" s="159"/>
      <x:c r="G25" s="159"/>
      <x:c r="H25" s="159"/>
      <x:c r="I25" s="159"/>
      <x:c r="J25" s="159"/>
      <x:c r="K25" s="159"/>
      <x:c r="L25" s="159"/>
      <x:c r="M25" s="159"/>
      <x:c r="N25" s="159"/>
      <x:c r="O25" s="159"/>
      <x:c r="P25" s="159"/>
      <x:c r="Q25" s="159"/>
      <x:c r="R25" s="159"/>
      <x:c r="S25" s="159"/>
      <x:c r="T25" s="159"/>
      <x:c r="U25" s="159"/>
      <x:c r="V25" s="159"/>
      <x:c r="W25" s="159"/>
      <x:c r="X25" s="159"/>
      <x:c r="Y25" s="159"/>
      <x:c r="Z25" s="159"/>
      <x:c r="AA25" s="159"/>
      <x:c r="AB25" s="159"/>
      <x:c r="AC25" s="159"/>
      <x:c r="AD25" s="159"/>
      <x:c r="AE25" s="159"/>
      <x:c r="AF25" s="159"/>
      <x:c r="AG25" s="159"/>
      <x:c r="AH25" s="159"/>
      <x:c r="AI25" s="159"/>
      <x:c r="AJ25" s="159"/>
      <x:c r="AK25" s="159"/>
      <x:c r="AL25" s="159"/>
      <x:c r="AM25" s="159"/>
      <x:c r="AN25" s="159"/>
      <x:c r="AO25" s="159"/>
      <x:c r="AP25" s="159"/>
      <x:c r="AQ25" s="159"/>
      <x:c r="AR25" s="159"/>
      <x:c r="AS25" s="159"/>
      <x:c r="AT25" s="159"/>
      <x:c r="AU25" s="159"/>
      <x:c r="AV25" s="159"/>
      <x:c r="AW25" s="159"/>
      <x:c r="AX25" s="159"/>
      <x:c r="AY25" s="159"/>
      <x:c r="AZ25" s="159"/>
    </x:row>
    <x:row r="26">
      <x:c r="A26" s="159"/>
      <x:c r="B26" s="159"/>
      <x:c r="C26" s="159"/>
      <x:c r="D26" s="159"/>
      <x:c r="E26" s="159"/>
      <x:c r="F26" s="159"/>
      <x:c r="G26" s="159"/>
      <x:c r="H26" s="159"/>
      <x:c r="I26" s="159"/>
      <x:c r="J26" s="159"/>
      <x:c r="K26" s="159"/>
      <x:c r="L26" s="159"/>
      <x:c r="M26" s="159"/>
      <x:c r="N26" s="159"/>
      <x:c r="O26" s="159"/>
      <x:c r="P26" s="159"/>
      <x:c r="Q26" s="159"/>
      <x:c r="R26" s="159"/>
      <x:c r="S26" s="159"/>
      <x:c r="T26" s="159"/>
      <x:c r="U26" s="159"/>
      <x:c r="V26" s="159"/>
      <x:c r="W26" s="159"/>
      <x:c r="X26" s="159"/>
      <x:c r="Y26" s="159"/>
      <x:c r="Z26" s="159"/>
      <x:c r="AA26" s="159"/>
      <x:c r="AB26" s="159"/>
      <x:c r="AC26" s="159"/>
      <x:c r="AD26" s="159"/>
      <x:c r="AE26" s="159"/>
      <x:c r="AF26" s="159"/>
      <x:c r="AG26" s="159"/>
      <x:c r="AH26" s="159"/>
      <x:c r="AI26" s="159"/>
      <x:c r="AJ26" s="159"/>
      <x:c r="AK26" s="159"/>
      <x:c r="AL26" s="159"/>
      <x:c r="AM26" s="159"/>
      <x:c r="AN26" s="159"/>
      <x:c r="AO26" s="159"/>
      <x:c r="AP26" s="159"/>
      <x:c r="AQ26" s="159"/>
      <x:c r="AR26" s="159"/>
      <x:c r="AS26" s="159"/>
      <x:c r="AT26" s="159"/>
      <x:c r="AU26" s="159"/>
      <x:c r="AV26" s="159"/>
      <x:c r="AW26" s="159"/>
      <x:c r="AX26" s="159"/>
      <x:c r="AY26" s="159"/>
      <x:c r="AZ26" s="159"/>
    </x:row>
    <x:row r="27">
      <x:c r="A27" s="159"/>
      <x:c r="B27" s="159"/>
      <x:c r="C27" s="159"/>
      <x:c r="D27" s="159"/>
      <x:c r="E27" s="159"/>
      <x:c r="F27" s="159"/>
      <x:c r="G27" s="159"/>
      <x:c r="H27" s="159"/>
      <x:c r="I27" s="159"/>
      <x:c r="J27" s="159"/>
      <x:c r="K27" s="159"/>
      <x:c r="L27" s="159"/>
      <x:c r="M27" s="159"/>
      <x:c r="N27" s="159"/>
      <x:c r="O27" s="159"/>
      <x:c r="P27" s="159"/>
      <x:c r="Q27" s="159"/>
      <x:c r="R27" s="159"/>
      <x:c r="S27" s="159"/>
      <x:c r="T27" s="159"/>
      <x:c r="U27" s="159"/>
      <x:c r="V27" s="159"/>
      <x:c r="W27" s="159"/>
      <x:c r="X27" s="159"/>
      <x:c r="Y27" s="159"/>
      <x:c r="Z27" s="159"/>
      <x:c r="AA27" s="159"/>
      <x:c r="AB27" s="159"/>
      <x:c r="AC27" s="159"/>
      <x:c r="AD27" s="159"/>
      <x:c r="AE27" s="159"/>
      <x:c r="AF27" s="159"/>
      <x:c r="AG27" s="159"/>
      <x:c r="AH27" s="159"/>
      <x:c r="AI27" s="159"/>
      <x:c r="AJ27" s="159"/>
      <x:c r="AK27" s="159"/>
      <x:c r="AL27" s="159"/>
      <x:c r="AM27" s="159"/>
      <x:c r="AN27" s="159"/>
      <x:c r="AO27" s="159"/>
      <x:c r="AP27" s="159"/>
      <x:c r="AQ27" s="159"/>
      <x:c r="AR27" s="159"/>
      <x:c r="AS27" s="159"/>
      <x:c r="AT27" s="159"/>
      <x:c r="AU27" s="159"/>
      <x:c r="AV27" s="159"/>
      <x:c r="AW27" s="159"/>
      <x:c r="AX27" s="159"/>
      <x:c r="AY27" s="159"/>
      <x:c r="AZ27" s="159"/>
    </x:row>
    <x:row r="28">
      <x:c r="A28" s="159"/>
      <x:c r="B28" s="159"/>
      <x:c r="C28" s="159"/>
      <x:c r="D28" s="159"/>
      <x:c r="E28" s="159"/>
      <x:c r="F28" s="159"/>
      <x:c r="G28" s="159"/>
      <x:c r="H28" s="159"/>
      <x:c r="I28" s="159"/>
      <x:c r="J28" s="159"/>
      <x:c r="K28" s="159"/>
      <x:c r="L28" s="159"/>
      <x:c r="M28" s="159"/>
      <x:c r="N28" s="159"/>
      <x:c r="O28" s="159"/>
      <x:c r="P28" s="159"/>
      <x:c r="Q28" s="159"/>
      <x:c r="R28" s="159"/>
      <x:c r="S28" s="159"/>
      <x:c r="T28" s="159"/>
      <x:c r="U28" s="159"/>
      <x:c r="V28" s="159"/>
      <x:c r="W28" s="159"/>
      <x:c r="X28" s="159"/>
      <x:c r="Y28" s="159"/>
      <x:c r="Z28" s="159"/>
      <x:c r="AA28" s="159"/>
      <x:c r="AB28" s="159"/>
      <x:c r="AC28" s="159"/>
      <x:c r="AD28" s="159"/>
      <x:c r="AE28" s="159"/>
      <x:c r="AF28" s="159"/>
      <x:c r="AG28" s="159"/>
      <x:c r="AH28" s="159"/>
      <x:c r="AI28" s="159"/>
      <x:c r="AJ28" s="159"/>
      <x:c r="AK28" s="159"/>
      <x:c r="AL28" s="159"/>
      <x:c r="AM28" s="159"/>
      <x:c r="AN28" s="159"/>
      <x:c r="AO28" s="159"/>
      <x:c r="AP28" s="159"/>
      <x:c r="AQ28" s="159"/>
      <x:c r="AR28" s="159"/>
      <x:c r="AS28" s="159"/>
      <x:c r="AT28" s="159"/>
      <x:c r="AU28" s="159"/>
      <x:c r="AV28" s="159"/>
      <x:c r="AW28" s="159"/>
      <x:c r="AX28" s="159"/>
      <x:c r="AY28" s="159"/>
      <x:c r="AZ28" s="159"/>
    </x:row>
    <x:row r="29">
      <x:c r="A29" s="159"/>
      <x:c r="B29" s="159"/>
      <x:c r="C29" s="159"/>
      <x:c r="D29" s="159"/>
      <x:c r="E29" s="159"/>
      <x:c r="F29" s="159"/>
      <x:c r="G29" s="159"/>
      <x:c r="H29" s="159"/>
      <x:c r="I29" s="159"/>
      <x:c r="J29" s="159"/>
      <x:c r="K29" s="159"/>
      <x:c r="L29" s="159"/>
      <x:c r="M29" s="159"/>
      <x:c r="N29" s="159"/>
      <x:c r="O29" s="159"/>
      <x:c r="P29" s="159"/>
      <x:c r="Q29" s="159"/>
      <x:c r="R29" s="159"/>
      <x:c r="S29" s="159"/>
      <x:c r="T29" s="159"/>
      <x:c r="U29" s="159"/>
      <x:c r="V29" s="159"/>
      <x:c r="W29" s="159"/>
      <x:c r="X29" s="159"/>
      <x:c r="Y29" s="159"/>
      <x:c r="Z29" s="159"/>
      <x:c r="AA29" s="159"/>
      <x:c r="AB29" s="159"/>
      <x:c r="AC29" s="159"/>
      <x:c r="AD29" s="159"/>
      <x:c r="AE29" s="159"/>
      <x:c r="AF29" s="159"/>
      <x:c r="AG29" s="159"/>
      <x:c r="AH29" s="159"/>
      <x:c r="AI29" s="159"/>
      <x:c r="AJ29" s="159"/>
      <x:c r="AK29" s="159"/>
      <x:c r="AL29" s="159"/>
      <x:c r="AM29" s="159"/>
      <x:c r="AN29" s="159"/>
      <x:c r="AO29" s="159"/>
      <x:c r="AP29" s="159"/>
      <x:c r="AQ29" s="159"/>
      <x:c r="AR29" s="159"/>
      <x:c r="AS29" s="159"/>
      <x:c r="AT29" s="159"/>
      <x:c r="AU29" s="159"/>
      <x:c r="AV29" s="159"/>
      <x:c r="AW29" s="159"/>
      <x:c r="AX29" s="159"/>
      <x:c r="AY29" s="159"/>
      <x:c r="AZ29" s="159"/>
    </x:row>
    <x:row r="30">
      <x:c r="A30" s="159"/>
      <x:c r="B30" s="159"/>
      <x:c r="C30" s="159"/>
      <x:c r="D30" s="159"/>
      <x:c r="E30" s="159"/>
      <x:c r="F30" s="159"/>
      <x:c r="G30" s="159"/>
      <x:c r="H30" s="159"/>
      <x:c r="I30" s="159"/>
      <x:c r="J30" s="159"/>
      <x:c r="K30" s="159"/>
      <x:c r="L30" s="159"/>
      <x:c r="M30" s="159"/>
      <x:c r="N30" s="159"/>
      <x:c r="O30" s="159"/>
      <x:c r="P30" s="159"/>
      <x:c r="Q30" s="159"/>
      <x:c r="R30" s="159"/>
      <x:c r="S30" s="159"/>
      <x:c r="T30" s="159"/>
      <x:c r="U30" s="159"/>
      <x:c r="V30" s="159"/>
      <x:c r="W30" s="159"/>
      <x:c r="X30" s="159"/>
      <x:c r="Y30" s="159"/>
      <x:c r="Z30" s="159"/>
      <x:c r="AA30" s="159"/>
      <x:c r="AB30" s="159"/>
      <x:c r="AC30" s="159"/>
      <x:c r="AD30" s="159"/>
      <x:c r="AE30" s="159"/>
      <x:c r="AF30" s="159"/>
      <x:c r="AG30" s="159"/>
      <x:c r="AH30" s="159"/>
      <x:c r="AI30" s="159"/>
      <x:c r="AJ30" s="159"/>
      <x:c r="AK30" s="159"/>
      <x:c r="AL30" s="159"/>
      <x:c r="AM30" s="159"/>
      <x:c r="AN30" s="159"/>
      <x:c r="AO30" s="159"/>
      <x:c r="AP30" s="159"/>
      <x:c r="AQ30" s="159"/>
      <x:c r="AR30" s="159"/>
      <x:c r="AS30" s="159"/>
      <x:c r="AT30" s="159"/>
      <x:c r="AU30" s="159"/>
      <x:c r="AV30" s="159"/>
      <x:c r="AW30" s="159"/>
      <x:c r="AX30" s="159"/>
      <x:c r="AY30" s="159"/>
      <x:c r="AZ30" s="159"/>
    </x:row>
    <x:row r="31">
      <x:c r="A31" s="159"/>
      <x:c r="B31" s="159"/>
      <x:c r="C31" s="159"/>
      <x:c r="D31" s="159"/>
      <x:c r="E31" s="159"/>
      <x:c r="F31" s="159"/>
      <x:c r="G31" s="159"/>
      <x:c r="H31" s="159"/>
      <x:c r="I31" s="159"/>
      <x:c r="J31" s="159"/>
      <x:c r="K31" s="159"/>
      <x:c r="L31" s="159"/>
      <x:c r="M31" s="159"/>
      <x:c r="N31" s="159"/>
      <x:c r="O31" s="159"/>
      <x:c r="P31" s="159"/>
      <x:c r="Q31" s="159"/>
      <x:c r="R31" s="159"/>
      <x:c r="S31" s="159"/>
      <x:c r="T31" s="159"/>
      <x:c r="U31" s="159"/>
      <x:c r="V31" s="159"/>
      <x:c r="W31" s="159"/>
      <x:c r="X31" s="159"/>
      <x:c r="Y31" s="159"/>
      <x:c r="Z31" s="159"/>
      <x:c r="AA31" s="159"/>
      <x:c r="AB31" s="159"/>
      <x:c r="AC31" s="159"/>
      <x:c r="AD31" s="159"/>
      <x:c r="AE31" s="159"/>
      <x:c r="AF31" s="159"/>
      <x:c r="AG31" s="159"/>
      <x:c r="AH31" s="159"/>
      <x:c r="AI31" s="159"/>
      <x:c r="AJ31" s="159"/>
      <x:c r="AK31" s="159"/>
      <x:c r="AL31" s="159"/>
      <x:c r="AM31" s="159"/>
      <x:c r="AN31" s="159"/>
      <x:c r="AO31" s="159"/>
      <x:c r="AP31" s="159"/>
      <x:c r="AQ31" s="159"/>
      <x:c r="AR31" s="159"/>
      <x:c r="AS31" s="159"/>
      <x:c r="AT31" s="159"/>
      <x:c r="AU31" s="159"/>
      <x:c r="AV31" s="159"/>
      <x:c r="AW31" s="159"/>
      <x:c r="AX31" s="159"/>
      <x:c r="AY31" s="159"/>
      <x:c r="AZ31" s="159"/>
    </x:row>
    <x:row r="32">
      <x:c r="A32" s="159"/>
      <x:c r="B32" s="159"/>
      <x:c r="C32" s="159"/>
      <x:c r="D32" s="159"/>
      <x:c r="E32" s="159"/>
      <x:c r="F32" s="159"/>
      <x:c r="G32" s="159"/>
      <x:c r="H32" s="159"/>
      <x:c r="I32" s="159"/>
      <x:c r="J32" s="159"/>
      <x:c r="K32" s="159"/>
      <x:c r="L32" s="159"/>
      <x:c r="M32" s="159"/>
      <x:c r="N32" s="159"/>
      <x:c r="O32" s="159"/>
      <x:c r="P32" s="159"/>
      <x:c r="Q32" s="159"/>
      <x:c r="R32" s="159"/>
      <x:c r="S32" s="159"/>
      <x:c r="T32" s="159"/>
      <x:c r="U32" s="159"/>
      <x:c r="V32" s="159"/>
      <x:c r="W32" s="159"/>
      <x:c r="X32" s="159"/>
      <x:c r="Y32" s="159"/>
      <x:c r="Z32" s="159"/>
      <x:c r="AA32" s="159"/>
      <x:c r="AB32" s="159"/>
      <x:c r="AC32" s="159"/>
      <x:c r="AD32" s="159"/>
      <x:c r="AE32" s="159"/>
      <x:c r="AF32" s="159"/>
      <x:c r="AG32" s="159"/>
      <x:c r="AH32" s="159"/>
      <x:c r="AI32" s="159"/>
      <x:c r="AJ32" s="159"/>
      <x:c r="AK32" s="159"/>
      <x:c r="AL32" s="159"/>
      <x:c r="AM32" s="159"/>
      <x:c r="AN32" s="159"/>
      <x:c r="AO32" s="159"/>
      <x:c r="AP32" s="159"/>
      <x:c r="AQ32" s="159"/>
      <x:c r="AR32" s="159"/>
      <x:c r="AS32" s="159"/>
      <x:c r="AT32" s="159"/>
      <x:c r="AU32" s="159"/>
      <x:c r="AV32" s="159"/>
      <x:c r="AW32" s="159"/>
      <x:c r="AX32" s="159"/>
      <x:c r="AY32" s="159"/>
      <x:c r="AZ32" s="159"/>
    </x:row>
    <x:row r="33">
      <x:c r="A33" s="159"/>
      <x:c r="B33" s="159"/>
      <x:c r="C33" s="159"/>
      <x:c r="D33" s="159"/>
      <x:c r="E33" s="159"/>
      <x:c r="F33" s="159"/>
      <x:c r="G33" s="159"/>
      <x:c r="H33" s="159"/>
      <x:c r="I33" s="159"/>
      <x:c r="J33" s="159"/>
      <x:c r="K33" s="159"/>
      <x:c r="L33" s="159"/>
      <x:c r="M33" s="159"/>
      <x:c r="N33" s="159"/>
      <x:c r="O33" s="159"/>
      <x:c r="P33" s="159"/>
      <x:c r="Q33" s="159"/>
      <x:c r="R33" s="159"/>
      <x:c r="S33" s="159"/>
      <x:c r="T33" s="159"/>
      <x:c r="U33" s="159"/>
      <x:c r="V33" s="159"/>
      <x:c r="W33" s="159"/>
      <x:c r="X33" s="159"/>
      <x:c r="Y33" s="159"/>
      <x:c r="Z33" s="159"/>
      <x:c r="AA33" s="159"/>
      <x:c r="AB33" s="159"/>
      <x:c r="AC33" s="159"/>
      <x:c r="AD33" s="159"/>
      <x:c r="AE33" s="159"/>
      <x:c r="AF33" s="159"/>
      <x:c r="AG33" s="159"/>
      <x:c r="AH33" s="159"/>
      <x:c r="AI33" s="159"/>
      <x:c r="AJ33" s="159"/>
      <x:c r="AK33" s="159"/>
      <x:c r="AL33" s="159"/>
      <x:c r="AM33" s="159"/>
      <x:c r="AN33" s="159"/>
      <x:c r="AO33" s="159"/>
      <x:c r="AP33" s="159"/>
      <x:c r="AQ33" s="159"/>
      <x:c r="AR33" s="159"/>
      <x:c r="AS33" s="159"/>
      <x:c r="AT33" s="159"/>
      <x:c r="AU33" s="159"/>
      <x:c r="AV33" s="159"/>
      <x:c r="AW33" s="159"/>
      <x:c r="AX33" s="159"/>
      <x:c r="AY33" s="159"/>
      <x:c r="AZ33" s="159"/>
    </x:row>
    <x:row r="34">
      <x:c r="A34" s="159"/>
      <x:c r="B34" s="159"/>
      <x:c r="C34" s="159"/>
      <x:c r="D34" s="159"/>
      <x:c r="E34" s="159"/>
      <x:c r="F34" s="159"/>
      <x:c r="G34" s="159"/>
      <x:c r="H34" s="159"/>
      <x:c r="I34" s="159"/>
      <x:c r="J34" s="159"/>
      <x:c r="K34" s="159"/>
      <x:c r="L34" s="159"/>
      <x:c r="M34" s="159"/>
      <x:c r="N34" s="159"/>
      <x:c r="O34" s="159"/>
      <x:c r="P34" s="159"/>
      <x:c r="Q34" s="159"/>
      <x:c r="R34" s="159"/>
      <x:c r="S34" s="159"/>
      <x:c r="T34" s="159"/>
      <x:c r="U34" s="159"/>
      <x:c r="V34" s="159"/>
      <x:c r="W34" s="159"/>
      <x:c r="X34" s="159"/>
      <x:c r="Y34" s="159"/>
      <x:c r="Z34" s="159"/>
      <x:c r="AA34" s="159"/>
      <x:c r="AB34" s="159"/>
      <x:c r="AC34" s="159"/>
      <x:c r="AD34" s="159"/>
      <x:c r="AE34" s="159"/>
      <x:c r="AF34" s="159"/>
      <x:c r="AG34" s="159"/>
      <x:c r="AH34" s="159"/>
      <x:c r="AI34" s="159"/>
      <x:c r="AJ34" s="159"/>
      <x:c r="AK34" s="159"/>
      <x:c r="AL34" s="159"/>
      <x:c r="AM34" s="159"/>
      <x:c r="AN34" s="159"/>
      <x:c r="AO34" s="159"/>
      <x:c r="AP34" s="159"/>
      <x:c r="AQ34" s="159"/>
      <x:c r="AR34" s="159"/>
      <x:c r="AS34" s="159"/>
      <x:c r="AT34" s="159"/>
      <x:c r="AU34" s="159"/>
      <x:c r="AV34" s="159"/>
      <x:c r="AW34" s="159"/>
      <x:c r="AX34" s="159"/>
      <x:c r="AY34" s="159"/>
      <x:c r="AZ34" s="159"/>
    </x:row>
    <x:row r="35">
      <x:c r="A35" s="159"/>
      <x:c r="B35" s="159"/>
      <x:c r="C35" s="159"/>
      <x:c r="D35" s="159"/>
      <x:c r="E35" s="159"/>
      <x:c r="F35" s="159"/>
      <x:c r="G35" s="159"/>
      <x:c r="H35" s="159"/>
      <x:c r="I35" s="159"/>
      <x:c r="J35" s="159"/>
      <x:c r="K35" s="159"/>
      <x:c r="L35" s="159"/>
      <x:c r="M35" s="159"/>
      <x:c r="N35" s="159"/>
      <x:c r="O35" s="159"/>
      <x:c r="P35" s="159"/>
      <x:c r="Q35" s="159"/>
      <x:c r="R35" s="159"/>
      <x:c r="S35" s="159"/>
      <x:c r="T35" s="159"/>
      <x:c r="U35" s="159"/>
      <x:c r="V35" s="159"/>
      <x:c r="W35" s="159"/>
      <x:c r="X35" s="159"/>
      <x:c r="Y35" s="159"/>
      <x:c r="Z35" s="159"/>
      <x:c r="AA35" s="159"/>
      <x:c r="AB35" s="159"/>
      <x:c r="AC35" s="159"/>
      <x:c r="AD35" s="159"/>
      <x:c r="AE35" s="159"/>
      <x:c r="AF35" s="159"/>
      <x:c r="AG35" s="159"/>
      <x:c r="AH35" s="159"/>
      <x:c r="AI35" s="159"/>
      <x:c r="AJ35" s="159"/>
      <x:c r="AK35" s="159"/>
      <x:c r="AL35" s="159"/>
      <x:c r="AM35" s="159"/>
      <x:c r="AN35" s="159"/>
      <x:c r="AO35" s="159"/>
      <x:c r="AP35" s="159"/>
      <x:c r="AQ35" s="159"/>
      <x:c r="AR35" s="159"/>
      <x:c r="AS35" s="159"/>
      <x:c r="AT35" s="159"/>
      <x:c r="AU35" s="159"/>
      <x:c r="AV35" s="159"/>
      <x:c r="AW35" s="159"/>
      <x:c r="AX35" s="159"/>
      <x:c r="AY35" s="159"/>
      <x:c r="AZ35" s="159"/>
    </x:row>
    <x:row r="36">
      <x:c r="A36" s="159"/>
      <x:c r="B36" s="159"/>
      <x:c r="C36" s="159"/>
      <x:c r="D36" s="159"/>
      <x:c r="E36" s="159"/>
      <x:c r="F36" s="159"/>
      <x:c r="G36" s="159"/>
      <x:c r="H36" s="159"/>
      <x:c r="I36" s="159"/>
      <x:c r="J36" s="159"/>
      <x:c r="K36" s="159"/>
      <x:c r="L36" s="159"/>
      <x:c r="M36" s="159"/>
      <x:c r="N36" s="159"/>
      <x:c r="O36" s="159"/>
      <x:c r="P36" s="159"/>
      <x:c r="Q36" s="159"/>
      <x:c r="R36" s="159"/>
      <x:c r="S36" s="159"/>
      <x:c r="T36" s="159"/>
      <x:c r="U36" s="159"/>
      <x:c r="V36" s="159"/>
      <x:c r="W36" s="159"/>
      <x:c r="X36" s="159"/>
      <x:c r="Y36" s="159"/>
      <x:c r="Z36" s="159"/>
      <x:c r="AA36" s="159"/>
      <x:c r="AB36" s="159"/>
      <x:c r="AC36" s="159"/>
      <x:c r="AD36" s="159"/>
      <x:c r="AE36" s="159"/>
      <x:c r="AF36" s="159"/>
      <x:c r="AG36" s="159"/>
      <x:c r="AH36" s="159"/>
      <x:c r="AI36" s="159"/>
      <x:c r="AJ36" s="159"/>
      <x:c r="AK36" s="159"/>
      <x:c r="AL36" s="159"/>
      <x:c r="AM36" s="159"/>
      <x:c r="AN36" s="159"/>
      <x:c r="AO36" s="159"/>
      <x:c r="AP36" s="159"/>
      <x:c r="AQ36" s="159"/>
      <x:c r="AR36" s="159"/>
      <x:c r="AS36" s="159"/>
      <x:c r="AT36" s="159"/>
      <x:c r="AU36" s="159"/>
      <x:c r="AV36" s="159"/>
      <x:c r="AW36" s="159"/>
      <x:c r="AX36" s="159"/>
      <x:c r="AY36" s="159"/>
      <x:c r="AZ36" s="159"/>
    </x:row>
    <x:row r="37">
      <x:c r="A37" s="159"/>
      <x:c r="B37" s="159"/>
      <x:c r="C37" s="159"/>
      <x:c r="D37" s="159"/>
      <x:c r="E37" s="159"/>
      <x:c r="F37" s="159"/>
      <x:c r="G37" s="159"/>
      <x:c r="H37" s="159"/>
      <x:c r="I37" s="159"/>
      <x:c r="J37" s="159"/>
      <x:c r="K37" s="159"/>
      <x:c r="L37" s="159"/>
      <x:c r="M37" s="159"/>
      <x:c r="N37" s="159"/>
      <x:c r="O37" s="159"/>
      <x:c r="P37" s="159"/>
      <x:c r="Q37" s="159"/>
      <x:c r="R37" s="159"/>
      <x:c r="S37" s="159"/>
      <x:c r="T37" s="159"/>
      <x:c r="U37" s="159"/>
      <x:c r="V37" s="159"/>
      <x:c r="W37" s="159"/>
      <x:c r="X37" s="159"/>
      <x:c r="Y37" s="159"/>
      <x:c r="Z37" s="159"/>
      <x:c r="AA37" s="159"/>
      <x:c r="AB37" s="159"/>
      <x:c r="AC37" s="159"/>
      <x:c r="AD37" s="159"/>
      <x:c r="AE37" s="159"/>
      <x:c r="AF37" s="159"/>
      <x:c r="AG37" s="159"/>
      <x:c r="AH37" s="159"/>
      <x:c r="AI37" s="159"/>
      <x:c r="AJ37" s="159"/>
      <x:c r="AK37" s="159"/>
      <x:c r="AL37" s="159"/>
      <x:c r="AM37" s="159"/>
      <x:c r="AN37" s="159"/>
      <x:c r="AO37" s="159"/>
      <x:c r="AP37" s="159"/>
      <x:c r="AQ37" s="159"/>
      <x:c r="AR37" s="159"/>
      <x:c r="AS37" s="159"/>
      <x:c r="AT37" s="159"/>
      <x:c r="AU37" s="159"/>
      <x:c r="AV37" s="159"/>
      <x:c r="AW37" s="159"/>
      <x:c r="AX37" s="159"/>
      <x:c r="AY37" s="159"/>
      <x:c r="AZ37" s="159"/>
    </x:row>
    <x:row r="38">
      <x:c r="A38" s="159"/>
      <x:c r="B38" s="159"/>
      <x:c r="C38" s="159"/>
      <x:c r="D38" s="159"/>
      <x:c r="E38" s="159"/>
      <x:c r="F38" s="159"/>
      <x:c r="G38" s="159"/>
      <x:c r="H38" s="159"/>
      <x:c r="I38" s="159"/>
      <x:c r="J38" s="159"/>
      <x:c r="K38" s="159"/>
      <x:c r="L38" s="159"/>
      <x:c r="M38" s="159"/>
      <x:c r="N38" s="159"/>
      <x:c r="O38" s="159"/>
      <x:c r="P38" s="159"/>
      <x:c r="Q38" s="159"/>
      <x:c r="R38" s="159"/>
      <x:c r="S38" s="159"/>
      <x:c r="T38" s="159"/>
      <x:c r="U38" s="159"/>
      <x:c r="V38" s="159"/>
      <x:c r="W38" s="159"/>
      <x:c r="X38" s="159"/>
      <x:c r="Y38" s="159"/>
      <x:c r="Z38" s="159"/>
      <x:c r="AA38" s="159"/>
      <x:c r="AB38" s="159"/>
      <x:c r="AC38" s="159"/>
      <x:c r="AD38" s="159"/>
      <x:c r="AE38" s="159"/>
      <x:c r="AF38" s="159"/>
      <x:c r="AG38" s="159"/>
      <x:c r="AH38" s="159"/>
      <x:c r="AI38" s="159"/>
      <x:c r="AJ38" s="159"/>
      <x:c r="AK38" s="159"/>
      <x:c r="AL38" s="159"/>
      <x:c r="AM38" s="159"/>
      <x:c r="AN38" s="159"/>
      <x:c r="AO38" s="159"/>
      <x:c r="AP38" s="159"/>
      <x:c r="AQ38" s="159"/>
      <x:c r="AR38" s="159"/>
      <x:c r="AS38" s="159"/>
      <x:c r="AT38" s="159"/>
      <x:c r="AU38" s="159"/>
      <x:c r="AV38" s="159"/>
      <x:c r="AW38" s="159"/>
      <x:c r="AX38" s="159"/>
      <x:c r="AY38" s="159"/>
      <x:c r="AZ38" s="159"/>
    </x:row>
    <x:row r="39">
      <x:c r="A39" s="159"/>
      <x:c r="B39" s="159"/>
      <x:c r="C39" s="159"/>
      <x:c r="D39" s="159"/>
      <x:c r="E39" s="159"/>
      <x:c r="F39" s="159"/>
      <x:c r="G39" s="159"/>
      <x:c r="H39" s="159"/>
      <x:c r="I39" s="159"/>
      <x:c r="J39" s="159"/>
      <x:c r="K39" s="159"/>
      <x:c r="L39" s="159"/>
      <x:c r="M39" s="159"/>
      <x:c r="N39" s="159"/>
      <x:c r="O39" s="159"/>
      <x:c r="P39" s="159"/>
      <x:c r="Q39" s="159"/>
      <x:c r="R39" s="159"/>
      <x:c r="S39" s="159"/>
      <x:c r="T39" s="159"/>
      <x:c r="U39" s="159"/>
      <x:c r="V39" s="159"/>
      <x:c r="W39" s="159"/>
      <x:c r="X39" s="159"/>
      <x:c r="Y39" s="159"/>
      <x:c r="Z39" s="159"/>
      <x:c r="AA39" s="159"/>
      <x:c r="AB39" s="159"/>
      <x:c r="AC39" s="159"/>
      <x:c r="AD39" s="159"/>
      <x:c r="AE39" s="159"/>
      <x:c r="AF39" s="159"/>
      <x:c r="AG39" s="159"/>
      <x:c r="AH39" s="159"/>
      <x:c r="AI39" s="159"/>
      <x:c r="AJ39" s="159"/>
      <x:c r="AK39" s="159"/>
      <x:c r="AL39" s="159"/>
      <x:c r="AM39" s="159"/>
      <x:c r="AN39" s="159"/>
      <x:c r="AO39" s="159"/>
      <x:c r="AP39" s="159"/>
      <x:c r="AQ39" s="159"/>
      <x:c r="AR39" s="159"/>
      <x:c r="AS39" s="159"/>
      <x:c r="AT39" s="159"/>
      <x:c r="AU39" s="159"/>
      <x:c r="AV39" s="159"/>
      <x:c r="AW39" s="159"/>
      <x:c r="AX39" s="159"/>
      <x:c r="AY39" s="159"/>
      <x:c r="AZ39" s="159"/>
    </x:row>
    <x:row r="40">
      <x:c r="A40" s="159"/>
      <x:c r="B40" s="159"/>
      <x:c r="C40" s="159"/>
      <x:c r="D40" s="159"/>
      <x:c r="E40" s="159"/>
      <x:c r="F40" s="159"/>
      <x:c r="G40" s="159"/>
      <x:c r="H40" s="159"/>
      <x:c r="I40" s="159"/>
      <x:c r="J40" s="159"/>
      <x:c r="K40" s="159"/>
      <x:c r="L40" s="159"/>
      <x:c r="M40" s="159"/>
      <x:c r="N40" s="159"/>
      <x:c r="O40" s="159"/>
      <x:c r="P40" s="159"/>
      <x:c r="Q40" s="159"/>
      <x:c r="R40" s="159"/>
      <x:c r="S40" s="159"/>
      <x:c r="T40" s="159"/>
      <x:c r="U40" s="159"/>
      <x:c r="V40" s="159"/>
      <x:c r="W40" s="159"/>
      <x:c r="X40" s="159"/>
      <x:c r="Y40" s="159"/>
      <x:c r="Z40" s="159"/>
      <x:c r="AA40" s="159"/>
      <x:c r="AB40" s="159"/>
      <x:c r="AC40" s="159"/>
      <x:c r="AD40" s="159"/>
      <x:c r="AE40" s="159"/>
      <x:c r="AF40" s="159"/>
      <x:c r="AG40" s="159"/>
      <x:c r="AH40" s="159"/>
      <x:c r="AI40" s="159"/>
      <x:c r="AJ40" s="159"/>
      <x:c r="AK40" s="159"/>
      <x:c r="AL40" s="159"/>
      <x:c r="AM40" s="159"/>
      <x:c r="AN40" s="159"/>
      <x:c r="AO40" s="159"/>
      <x:c r="AP40" s="159"/>
      <x:c r="AQ40" s="159"/>
      <x:c r="AR40" s="159"/>
      <x:c r="AS40" s="159"/>
      <x:c r="AT40" s="159"/>
      <x:c r="AU40" s="159"/>
      <x:c r="AV40" s="159"/>
      <x:c r="AW40" s="159"/>
      <x:c r="AX40" s="159"/>
      <x:c r="AY40" s="159"/>
      <x:c r="AZ40" s="159"/>
    </x:row>
    <x:row r="41">
      <x:c r="A41" s="159"/>
      <x:c r="B41" s="159"/>
      <x:c r="C41" s="159"/>
      <x:c r="D41" s="159"/>
      <x:c r="E41" s="159"/>
      <x:c r="F41" s="159"/>
      <x:c r="G41" s="159"/>
      <x:c r="H41" s="159"/>
      <x:c r="I41" s="159"/>
      <x:c r="J41" s="159"/>
      <x:c r="K41" s="159"/>
      <x:c r="L41" s="159"/>
      <x:c r="M41" s="159"/>
      <x:c r="N41" s="159"/>
      <x:c r="O41" s="159"/>
      <x:c r="P41" s="159"/>
      <x:c r="Q41" s="159"/>
      <x:c r="R41" s="159"/>
      <x:c r="S41" s="159"/>
      <x:c r="T41" s="159"/>
      <x:c r="U41" s="159"/>
      <x:c r="V41" s="159"/>
      <x:c r="W41" s="159"/>
      <x:c r="X41" s="159"/>
      <x:c r="Y41" s="159"/>
      <x:c r="Z41" s="159"/>
      <x:c r="AA41" s="159"/>
      <x:c r="AB41" s="159"/>
      <x:c r="AC41" s="159"/>
      <x:c r="AD41" s="159"/>
      <x:c r="AE41" s="159"/>
      <x:c r="AF41" s="159"/>
      <x:c r="AG41" s="159"/>
      <x:c r="AH41" s="159"/>
      <x:c r="AI41" s="159"/>
      <x:c r="AJ41" s="159"/>
      <x:c r="AK41" s="159"/>
      <x:c r="AL41" s="159"/>
      <x:c r="AM41" s="159"/>
      <x:c r="AN41" s="159"/>
      <x:c r="AO41" s="159"/>
      <x:c r="AP41" s="159"/>
      <x:c r="AQ41" s="159"/>
      <x:c r="AR41" s="159"/>
      <x:c r="AS41" s="159"/>
      <x:c r="AT41" s="159"/>
      <x:c r="AU41" s="159"/>
      <x:c r="AV41" s="159"/>
      <x:c r="AW41" s="159"/>
      <x:c r="AX41" s="159"/>
      <x:c r="AY41" s="159"/>
      <x:c r="AZ41" s="159"/>
    </x:row>
    <x:row r="42">
      <x:c r="A42" s="159"/>
      <x:c r="B42" s="159"/>
      <x:c r="C42" s="159"/>
      <x:c r="D42" s="159"/>
      <x:c r="E42" s="159"/>
      <x:c r="F42" s="159"/>
      <x:c r="G42" s="159"/>
      <x:c r="H42" s="159"/>
      <x:c r="I42" s="159"/>
      <x:c r="J42" s="159"/>
      <x:c r="K42" s="159"/>
      <x:c r="L42" s="159"/>
      <x:c r="M42" s="159"/>
      <x:c r="N42" s="159"/>
      <x:c r="O42" s="159"/>
      <x:c r="P42" s="159"/>
      <x:c r="Q42" s="159"/>
      <x:c r="R42" s="159"/>
      <x:c r="S42" s="159"/>
      <x:c r="T42" s="159"/>
      <x:c r="U42" s="159"/>
      <x:c r="V42" s="159"/>
      <x:c r="W42" s="159"/>
      <x:c r="X42" s="159"/>
      <x:c r="Y42" s="159"/>
      <x:c r="Z42" s="159"/>
      <x:c r="AA42" s="159"/>
      <x:c r="AB42" s="159"/>
      <x:c r="AC42" s="159"/>
      <x:c r="AD42" s="159"/>
      <x:c r="AE42" s="159"/>
      <x:c r="AF42" s="159"/>
      <x:c r="AG42" s="159"/>
      <x:c r="AH42" s="159"/>
      <x:c r="AI42" s="159"/>
      <x:c r="AJ42" s="159"/>
      <x:c r="AK42" s="159"/>
      <x:c r="AL42" s="159"/>
      <x:c r="AM42" s="159"/>
      <x:c r="AN42" s="159"/>
      <x:c r="AO42" s="159"/>
      <x:c r="AP42" s="159"/>
      <x:c r="AQ42" s="159"/>
      <x:c r="AR42" s="159"/>
      <x:c r="AS42" s="159"/>
      <x:c r="AT42" s="159"/>
      <x:c r="AU42" s="159"/>
      <x:c r="AV42" s="159"/>
      <x:c r="AW42" s="159"/>
      <x:c r="AX42" s="159"/>
      <x:c r="AY42" s="159"/>
      <x:c r="AZ42" s="159"/>
    </x:row>
    <x:row r="43">
      <x:c r="A43" s="159"/>
      <x:c r="B43" s="159"/>
      <x:c r="C43" s="159"/>
      <x:c r="D43" s="159"/>
      <x:c r="E43" s="159"/>
      <x:c r="F43" s="159"/>
      <x:c r="G43" s="159"/>
      <x:c r="H43" s="159"/>
      <x:c r="I43" s="159"/>
      <x:c r="J43" s="159"/>
      <x:c r="K43" s="159"/>
      <x:c r="L43" s="159"/>
      <x:c r="M43" s="159"/>
      <x:c r="N43" s="159"/>
      <x:c r="O43" s="159"/>
      <x:c r="P43" s="159"/>
      <x:c r="Q43" s="159"/>
      <x:c r="R43" s="159"/>
      <x:c r="S43" s="159"/>
      <x:c r="T43" s="159"/>
      <x:c r="U43" s="159"/>
      <x:c r="V43" s="159"/>
      <x:c r="W43" s="159"/>
      <x:c r="X43" s="159"/>
      <x:c r="Y43" s="159"/>
      <x:c r="Z43" s="159"/>
      <x:c r="AA43" s="159"/>
      <x:c r="AB43" s="159"/>
      <x:c r="AC43" s="159"/>
      <x:c r="AD43" s="159"/>
      <x:c r="AE43" s="159"/>
      <x:c r="AF43" s="159"/>
      <x:c r="AG43" s="159"/>
      <x:c r="AH43" s="159"/>
      <x:c r="AI43" s="159"/>
      <x:c r="AJ43" s="159"/>
      <x:c r="AK43" s="159"/>
      <x:c r="AL43" s="159"/>
      <x:c r="AM43" s="159"/>
      <x:c r="AN43" s="159"/>
      <x:c r="AO43" s="159"/>
      <x:c r="AP43" s="159"/>
      <x:c r="AQ43" s="159"/>
      <x:c r="AR43" s="159"/>
      <x:c r="AS43" s="159"/>
      <x:c r="AT43" s="159"/>
      <x:c r="AU43" s="159"/>
      <x:c r="AV43" s="159"/>
      <x:c r="AW43" s="159"/>
      <x:c r="AX43" s="159"/>
      <x:c r="AY43" s="159"/>
      <x:c r="AZ43" s="159"/>
    </x:row>
    <x:row r="44">
      <x:c r="A44" s="159"/>
      <x:c r="B44" s="159"/>
      <x:c r="C44" s="159"/>
      <x:c r="D44" s="159"/>
      <x:c r="E44" s="159"/>
      <x:c r="F44" s="159"/>
      <x:c r="G44" s="159"/>
      <x:c r="H44" s="159"/>
      <x:c r="I44" s="159"/>
      <x:c r="J44" s="159"/>
      <x:c r="K44" s="159"/>
      <x:c r="L44" s="159"/>
      <x:c r="M44" s="159"/>
      <x:c r="N44" s="159"/>
      <x:c r="O44" s="159"/>
      <x:c r="P44" s="159"/>
      <x:c r="Q44" s="159"/>
      <x:c r="R44" s="159"/>
      <x:c r="S44" s="159"/>
      <x:c r="T44" s="159"/>
      <x:c r="U44" s="159"/>
      <x:c r="V44" s="159"/>
      <x:c r="W44" s="159"/>
      <x:c r="X44" s="159"/>
      <x:c r="Y44" s="159"/>
      <x:c r="Z44" s="159"/>
      <x:c r="AA44" s="159"/>
      <x:c r="AB44" s="159"/>
      <x:c r="AC44" s="159"/>
      <x:c r="AD44" s="159"/>
      <x:c r="AE44" s="159"/>
      <x:c r="AF44" s="159"/>
      <x:c r="AG44" s="159"/>
      <x:c r="AH44" s="159"/>
      <x:c r="AI44" s="159"/>
      <x:c r="AJ44" s="159"/>
      <x:c r="AK44" s="159"/>
      <x:c r="AL44" s="159"/>
      <x:c r="AM44" s="159"/>
      <x:c r="AN44" s="159"/>
      <x:c r="AO44" s="159"/>
      <x:c r="AP44" s="159"/>
      <x:c r="AQ44" s="159"/>
      <x:c r="AR44" s="159"/>
      <x:c r="AS44" s="159"/>
      <x:c r="AT44" s="159"/>
      <x:c r="AU44" s="159"/>
      <x:c r="AV44" s="159"/>
      <x:c r="AW44" s="159"/>
      <x:c r="AX44" s="159"/>
      <x:c r="AY44" s="159"/>
      <x:c r="AZ44" s="159"/>
    </x:row>
    <x:row r="45">
      <x:c r="A45" s="159"/>
      <x:c r="B45" s="159"/>
      <x:c r="C45" s="159"/>
      <x:c r="D45" s="159"/>
      <x:c r="E45" s="159"/>
      <x:c r="F45" s="159"/>
      <x:c r="G45" s="159"/>
      <x:c r="H45" s="159"/>
      <x:c r="I45" s="159"/>
      <x:c r="J45" s="159"/>
      <x:c r="K45" s="159"/>
      <x:c r="L45" s="159"/>
      <x:c r="M45" s="159"/>
      <x:c r="N45" s="159"/>
      <x:c r="O45" s="159"/>
      <x:c r="P45" s="159"/>
      <x:c r="Q45" s="159"/>
      <x:c r="R45" s="159"/>
      <x:c r="S45" s="159"/>
      <x:c r="T45" s="159"/>
      <x:c r="U45" s="159"/>
      <x:c r="V45" s="159"/>
      <x:c r="W45" s="159"/>
      <x:c r="X45" s="159"/>
      <x:c r="Y45" s="159"/>
      <x:c r="Z45" s="159"/>
      <x:c r="AA45" s="159"/>
      <x:c r="AB45" s="159"/>
      <x:c r="AC45" s="159"/>
      <x:c r="AD45" s="159"/>
      <x:c r="AE45" s="159"/>
      <x:c r="AF45" s="159"/>
      <x:c r="AG45" s="159"/>
      <x:c r="AH45" s="159"/>
      <x:c r="AI45" s="159"/>
      <x:c r="AJ45" s="159"/>
      <x:c r="AK45" s="159"/>
      <x:c r="AL45" s="159"/>
      <x:c r="AM45" s="159"/>
      <x:c r="AN45" s="159"/>
      <x:c r="AO45" s="159"/>
      <x:c r="AP45" s="159"/>
      <x:c r="AQ45" s="159"/>
      <x:c r="AR45" s="159"/>
      <x:c r="AS45" s="159"/>
      <x:c r="AT45" s="159"/>
      <x:c r="AU45" s="159"/>
      <x:c r="AV45" s="159"/>
      <x:c r="AW45" s="159"/>
      <x:c r="AX45" s="159"/>
      <x:c r="AY45" s="159"/>
      <x:c r="AZ45" s="159"/>
    </x:row>
    <x:row r="46">
      <x:c r="A46" s="159"/>
      <x:c r="B46" s="159"/>
      <x:c r="C46" s="159"/>
      <x:c r="D46" s="159"/>
      <x:c r="E46" s="159"/>
      <x:c r="F46" s="159"/>
      <x:c r="G46" s="159"/>
      <x:c r="H46" s="159"/>
      <x:c r="I46" s="159"/>
      <x:c r="J46" s="159"/>
      <x:c r="K46" s="159"/>
      <x:c r="L46" s="159"/>
      <x:c r="M46" s="159"/>
      <x:c r="N46" s="159"/>
      <x:c r="O46" s="159"/>
      <x:c r="P46" s="159"/>
      <x:c r="Q46" s="159"/>
      <x:c r="R46" s="159"/>
      <x:c r="S46" s="159"/>
      <x:c r="T46" s="159"/>
      <x:c r="U46" s="159"/>
      <x:c r="V46" s="159"/>
      <x:c r="W46" s="159"/>
      <x:c r="X46" s="159"/>
      <x:c r="Y46" s="159"/>
      <x:c r="Z46" s="159"/>
      <x:c r="AA46" s="159"/>
      <x:c r="AB46" s="159"/>
      <x:c r="AC46" s="159"/>
      <x:c r="AD46" s="159"/>
      <x:c r="AE46" s="159"/>
      <x:c r="AF46" s="159"/>
      <x:c r="AG46" s="159"/>
      <x:c r="AH46" s="159"/>
      <x:c r="AI46" s="159"/>
      <x:c r="AJ46" s="159"/>
      <x:c r="AK46" s="159"/>
      <x:c r="AL46" s="159"/>
      <x:c r="AM46" s="159"/>
      <x:c r="AN46" s="159"/>
      <x:c r="AO46" s="159"/>
      <x:c r="AP46" s="159"/>
      <x:c r="AQ46" s="159"/>
      <x:c r="AR46" s="159"/>
      <x:c r="AS46" s="159"/>
      <x:c r="AT46" s="159"/>
      <x:c r="AU46" s="159"/>
      <x:c r="AV46" s="159"/>
      <x:c r="AW46" s="159"/>
      <x:c r="AX46" s="159"/>
      <x:c r="AY46" s="159"/>
      <x:c r="AZ46" s="159"/>
    </x:row>
    <x:row r="47">
      <x:c r="A47" s="159"/>
      <x:c r="B47" s="159"/>
      <x:c r="C47" s="159"/>
      <x:c r="D47" s="159"/>
      <x:c r="E47" s="159"/>
      <x:c r="F47" s="159"/>
      <x:c r="G47" s="159"/>
      <x:c r="H47" s="159"/>
      <x:c r="I47" s="159"/>
      <x:c r="J47" s="159"/>
      <x:c r="K47" s="159"/>
      <x:c r="L47" s="159"/>
      <x:c r="M47" s="159"/>
      <x:c r="N47" s="159"/>
      <x:c r="O47" s="159"/>
      <x:c r="P47" s="159"/>
      <x:c r="Q47" s="159"/>
      <x:c r="R47" s="159"/>
      <x:c r="S47" s="159"/>
      <x:c r="T47" s="159"/>
      <x:c r="U47" s="159"/>
      <x:c r="V47" s="159"/>
      <x:c r="W47" s="159"/>
      <x:c r="X47" s="159"/>
      <x:c r="Y47" s="159"/>
      <x:c r="Z47" s="159"/>
      <x:c r="AA47" s="159"/>
      <x:c r="AB47" s="159"/>
      <x:c r="AC47" s="159"/>
      <x:c r="AD47" s="159"/>
      <x:c r="AE47" s="159"/>
      <x:c r="AF47" s="159"/>
      <x:c r="AG47" s="159"/>
      <x:c r="AH47" s="159"/>
      <x:c r="AI47" s="159"/>
      <x:c r="AJ47" s="159"/>
      <x:c r="AK47" s="159"/>
      <x:c r="AL47" s="159"/>
      <x:c r="AM47" s="159"/>
      <x:c r="AN47" s="159"/>
      <x:c r="AO47" s="159"/>
      <x:c r="AP47" s="159"/>
      <x:c r="AQ47" s="159"/>
      <x:c r="AR47" s="159"/>
      <x:c r="AS47" s="159"/>
      <x:c r="AT47" s="159"/>
      <x:c r="AU47" s="159"/>
      <x:c r="AV47" s="159"/>
      <x:c r="AW47" s="159"/>
      <x:c r="AX47" s="159"/>
      <x:c r="AY47" s="159"/>
      <x:c r="AZ47" s="159"/>
    </x:row>
    <x:row r="48">
      <x:c r="A48" s="159"/>
      <x:c r="B48" s="159"/>
      <x:c r="C48" s="159"/>
      <x:c r="D48" s="159"/>
      <x:c r="E48" s="159"/>
      <x:c r="F48" s="159"/>
      <x:c r="G48" s="159"/>
      <x:c r="H48" s="159"/>
      <x:c r="I48" s="159"/>
      <x:c r="J48" s="159"/>
      <x:c r="K48" s="159"/>
      <x:c r="L48" s="159"/>
      <x:c r="M48" s="159"/>
      <x:c r="N48" s="159"/>
      <x:c r="O48" s="159"/>
      <x:c r="P48" s="159"/>
      <x:c r="Q48" s="159"/>
      <x:c r="R48" s="159"/>
      <x:c r="S48" s="159"/>
      <x:c r="T48" s="159"/>
      <x:c r="U48" s="159"/>
      <x:c r="V48" s="159"/>
      <x:c r="W48" s="159"/>
      <x:c r="X48" s="159"/>
      <x:c r="Y48" s="159"/>
      <x:c r="Z48" s="159"/>
      <x:c r="AA48" s="159"/>
      <x:c r="AB48" s="159"/>
      <x:c r="AC48" s="159"/>
      <x:c r="AD48" s="159"/>
      <x:c r="AE48" s="159"/>
      <x:c r="AF48" s="159"/>
      <x:c r="AG48" s="159"/>
      <x:c r="AH48" s="159"/>
      <x:c r="AI48" s="159"/>
      <x:c r="AJ48" s="159"/>
      <x:c r="AK48" s="159"/>
      <x:c r="AL48" s="159"/>
      <x:c r="AM48" s="159"/>
      <x:c r="AN48" s="159"/>
      <x:c r="AO48" s="159"/>
      <x:c r="AP48" s="159"/>
      <x:c r="AQ48" s="159"/>
      <x:c r="AR48" s="159"/>
      <x:c r="AS48" s="159"/>
      <x:c r="AT48" s="159"/>
      <x:c r="AU48" s="159"/>
      <x:c r="AV48" s="159"/>
      <x:c r="AW48" s="159"/>
      <x:c r="AX48" s="159"/>
      <x:c r="AY48" s="159"/>
      <x:c r="AZ48" s="159"/>
    </x:row>
    <x:row r="49">
      <x:c r="A49" s="159"/>
      <x:c r="B49" s="159"/>
      <x:c r="C49" s="159"/>
      <x:c r="D49" s="159"/>
      <x:c r="E49" s="159"/>
      <x:c r="F49" s="159"/>
      <x:c r="G49" s="159"/>
      <x:c r="H49" s="159"/>
      <x:c r="I49" s="159"/>
      <x:c r="J49" s="159"/>
      <x:c r="K49" s="159"/>
      <x:c r="L49" s="159"/>
      <x:c r="M49" s="159"/>
      <x:c r="N49" s="159"/>
      <x:c r="O49" s="159"/>
      <x:c r="P49" s="159"/>
      <x:c r="Q49" s="159"/>
      <x:c r="R49" s="159"/>
      <x:c r="S49" s="159"/>
      <x:c r="T49" s="159"/>
      <x:c r="U49" s="159"/>
      <x:c r="V49" s="159"/>
      <x:c r="W49" s="159"/>
      <x:c r="X49" s="159"/>
      <x:c r="Y49" s="159"/>
      <x:c r="Z49" s="159"/>
      <x:c r="AA49" s="159"/>
      <x:c r="AB49" s="159"/>
      <x:c r="AC49" s="159"/>
      <x:c r="AD49" s="159"/>
      <x:c r="AE49" s="159"/>
      <x:c r="AF49" s="159"/>
      <x:c r="AG49" s="159"/>
      <x:c r="AH49" s="159"/>
      <x:c r="AI49" s="159"/>
      <x:c r="AJ49" s="159"/>
      <x:c r="AK49" s="159"/>
      <x:c r="AL49" s="159"/>
      <x:c r="AM49" s="159"/>
      <x:c r="AN49" s="159"/>
      <x:c r="AO49" s="159"/>
      <x:c r="AP49" s="159"/>
      <x:c r="AQ49" s="159"/>
      <x:c r="AR49" s="159"/>
      <x:c r="AS49" s="159"/>
      <x:c r="AT49" s="159"/>
      <x:c r="AU49" s="159"/>
      <x:c r="AV49" s="159"/>
      <x:c r="AW49" s="159"/>
      <x:c r="AX49" s="159"/>
      <x:c r="AY49" s="159"/>
      <x:c r="AZ49" s="159"/>
    </x:row>
    <x:row r="50">
      <x:c r="A50" s="159"/>
      <x:c r="B50" s="159"/>
      <x:c r="C50" s="159"/>
      <x:c r="D50" s="159"/>
      <x:c r="E50" s="159"/>
      <x:c r="F50" s="159"/>
      <x:c r="G50" s="159"/>
      <x:c r="H50" s="159"/>
      <x:c r="I50" s="159"/>
      <x:c r="J50" s="159"/>
      <x:c r="K50" s="159"/>
      <x:c r="L50" s="159"/>
      <x:c r="M50" s="159"/>
      <x:c r="N50" s="159"/>
      <x:c r="O50" s="159"/>
      <x:c r="P50" s="159"/>
      <x:c r="Q50" s="159"/>
      <x:c r="R50" s="159"/>
      <x:c r="S50" s="159"/>
      <x:c r="T50" s="159"/>
      <x:c r="U50" s="159"/>
      <x:c r="V50" s="159"/>
      <x:c r="W50" s="159"/>
      <x:c r="X50" s="159"/>
      <x:c r="Y50" s="159"/>
      <x:c r="Z50" s="159"/>
      <x:c r="AA50" s="159"/>
      <x:c r="AB50" s="159"/>
      <x:c r="AC50" s="159"/>
      <x:c r="AD50" s="159"/>
      <x:c r="AE50" s="159"/>
      <x:c r="AF50" s="159"/>
      <x:c r="AG50" s="159"/>
      <x:c r="AH50" s="159"/>
      <x:c r="AI50" s="159"/>
      <x:c r="AJ50" s="159"/>
      <x:c r="AK50" s="159"/>
      <x:c r="AL50" s="159"/>
      <x:c r="AM50" s="159"/>
      <x:c r="AN50" s="159"/>
      <x:c r="AO50" s="159"/>
      <x:c r="AP50" s="159"/>
      <x:c r="AQ50" s="159"/>
      <x:c r="AR50" s="159"/>
      <x:c r="AS50" s="159"/>
      <x:c r="AT50" s="159"/>
      <x:c r="AU50" s="159"/>
      <x:c r="AV50" s="159"/>
      <x:c r="AW50" s="159"/>
      <x:c r="AX50" s="159"/>
      <x:c r="AY50" s="159"/>
      <x:c r="AZ50" s="159"/>
    </x:row>
    <x:row r="51">
      <x:c r="A51" s="159"/>
      <x:c r="B51" s="159"/>
      <x:c r="C51" s="159"/>
      <x:c r="D51" s="159"/>
      <x:c r="E51" s="159"/>
      <x:c r="F51" s="159"/>
      <x:c r="G51" s="159"/>
      <x:c r="H51" s="159"/>
      <x:c r="I51" s="159"/>
      <x:c r="J51" s="159"/>
      <x:c r="K51" s="159"/>
      <x:c r="L51" s="159"/>
      <x:c r="M51" s="159"/>
      <x:c r="N51" s="159"/>
      <x:c r="O51" s="159"/>
      <x:c r="P51" s="159"/>
      <x:c r="Q51" s="159"/>
      <x:c r="R51" s="159"/>
      <x:c r="S51" s="159"/>
      <x:c r="T51" s="159"/>
      <x:c r="U51" s="159"/>
      <x:c r="V51" s="159"/>
      <x:c r="W51" s="159"/>
      <x:c r="X51" s="159"/>
      <x:c r="Y51" s="159"/>
      <x:c r="Z51" s="159"/>
      <x:c r="AA51" s="159"/>
      <x:c r="AB51" s="159"/>
      <x:c r="AC51" s="159"/>
      <x:c r="AD51" s="159"/>
      <x:c r="AE51" s="159"/>
      <x:c r="AF51" s="159"/>
      <x:c r="AG51" s="159"/>
      <x:c r="AH51" s="159"/>
      <x:c r="AI51" s="159"/>
      <x:c r="AJ51" s="159"/>
      <x:c r="AK51" s="159"/>
      <x:c r="AL51" s="159"/>
      <x:c r="AM51" s="159"/>
      <x:c r="AN51" s="159"/>
      <x:c r="AO51" s="159"/>
      <x:c r="AP51" s="159"/>
      <x:c r="AQ51" s="159"/>
      <x:c r="AR51" s="159"/>
      <x:c r="AS51" s="159"/>
      <x:c r="AT51" s="159"/>
      <x:c r="AU51" s="159"/>
      <x:c r="AV51" s="159"/>
      <x:c r="AW51" s="159"/>
      <x:c r="AX51" s="159"/>
      <x:c r="AY51" s="159"/>
      <x:c r="AZ51" s="159"/>
    </x:row>
    <x:row r="52">
      <x:c r="A52" s="159"/>
      <x:c r="B52" s="159"/>
      <x:c r="C52" s="159"/>
      <x:c r="D52" s="159"/>
      <x:c r="E52" s="159"/>
      <x:c r="F52" s="159"/>
      <x:c r="G52" s="159"/>
      <x:c r="H52" s="159"/>
      <x:c r="I52" s="159"/>
      <x:c r="J52" s="159"/>
      <x:c r="K52" s="159"/>
      <x:c r="L52" s="159"/>
      <x:c r="M52" s="159"/>
      <x:c r="N52" s="159"/>
      <x:c r="O52" s="159"/>
      <x:c r="P52" s="159"/>
      <x:c r="Q52" s="159"/>
      <x:c r="R52" s="159"/>
      <x:c r="S52" s="159"/>
      <x:c r="T52" s="159"/>
      <x:c r="U52" s="159"/>
      <x:c r="V52" s="159"/>
      <x:c r="W52" s="159"/>
      <x:c r="X52" s="159"/>
      <x:c r="Y52" s="159"/>
      <x:c r="Z52" s="159"/>
      <x:c r="AA52" s="159"/>
      <x:c r="AB52" s="159"/>
      <x:c r="AC52" s="159"/>
      <x:c r="AD52" s="159"/>
      <x:c r="AE52" s="159"/>
      <x:c r="AF52" s="159"/>
      <x:c r="AG52" s="159"/>
      <x:c r="AH52" s="159"/>
      <x:c r="AI52" s="159"/>
      <x:c r="AJ52" s="159"/>
      <x:c r="AK52" s="159"/>
      <x:c r="AL52" s="159"/>
      <x:c r="AM52" s="159"/>
      <x:c r="AN52" s="159"/>
      <x:c r="AO52" s="159"/>
      <x:c r="AP52" s="159"/>
      <x:c r="AQ52" s="159"/>
      <x:c r="AR52" s="159"/>
      <x:c r="AS52" s="159"/>
      <x:c r="AT52" s="159"/>
      <x:c r="AU52" s="159"/>
      <x:c r="AV52" s="159"/>
      <x:c r="AW52" s="159"/>
      <x:c r="AX52" s="159"/>
      <x:c r="AY52" s="159"/>
      <x:c r="AZ52" s="159"/>
    </x:row>
    <x:row r="53">
      <x:c r="A53" s="159"/>
      <x:c r="B53" s="159"/>
      <x:c r="C53" s="159"/>
      <x:c r="D53" s="159"/>
      <x:c r="E53" s="159"/>
      <x:c r="F53" s="159"/>
      <x:c r="G53" s="159"/>
      <x:c r="H53" s="159"/>
      <x:c r="I53" s="159"/>
      <x:c r="J53" s="159"/>
      <x:c r="K53" s="159"/>
      <x:c r="L53" s="159"/>
      <x:c r="M53" s="159"/>
      <x:c r="N53" s="159"/>
      <x:c r="O53" s="159"/>
      <x:c r="P53" s="159"/>
      <x:c r="Q53" s="159"/>
      <x:c r="R53" s="159"/>
      <x:c r="S53" s="159"/>
      <x:c r="T53" s="159"/>
      <x:c r="U53" s="159"/>
      <x:c r="V53" s="159"/>
      <x:c r="W53" s="159"/>
      <x:c r="X53" s="159"/>
      <x:c r="Y53" s="159"/>
      <x:c r="Z53" s="159"/>
      <x:c r="AA53" s="159"/>
      <x:c r="AB53" s="159"/>
      <x:c r="AC53" s="159"/>
      <x:c r="AD53" s="159"/>
      <x:c r="AE53" s="159"/>
      <x:c r="AF53" s="159"/>
      <x:c r="AG53" s="159"/>
      <x:c r="AH53" s="159"/>
      <x:c r="AI53" s="159"/>
      <x:c r="AJ53" s="159"/>
      <x:c r="AK53" s="159"/>
      <x:c r="AL53" s="159"/>
      <x:c r="AM53" s="159"/>
      <x:c r="AN53" s="159"/>
      <x:c r="AO53" s="159"/>
      <x:c r="AP53" s="159"/>
      <x:c r="AQ53" s="159"/>
      <x:c r="AR53" s="159"/>
      <x:c r="AS53" s="159"/>
      <x:c r="AT53" s="159"/>
      <x:c r="AU53" s="159"/>
      <x:c r="AV53" s="159"/>
      <x:c r="AW53" s="159"/>
      <x:c r="AX53" s="159"/>
      <x:c r="AY53" s="159"/>
      <x:c r="AZ53" s="159"/>
    </x:row>
    <x:row r="54">
      <x:c r="A54" s="159"/>
      <x:c r="B54" s="159"/>
      <x:c r="C54" s="159"/>
      <x:c r="D54" s="159"/>
      <x:c r="E54" s="159"/>
      <x:c r="F54" s="159"/>
      <x:c r="G54" s="159"/>
      <x:c r="H54" s="159"/>
      <x:c r="I54" s="159"/>
      <x:c r="J54" s="159"/>
      <x:c r="K54" s="159"/>
      <x:c r="L54" s="159"/>
      <x:c r="M54" s="159"/>
      <x:c r="N54" s="159"/>
      <x:c r="O54" s="159"/>
      <x:c r="P54" s="159"/>
      <x:c r="Q54" s="159"/>
      <x:c r="R54" s="159"/>
      <x:c r="S54" s="159"/>
      <x:c r="T54" s="159"/>
      <x:c r="U54" s="159"/>
      <x:c r="V54" s="159"/>
      <x:c r="W54" s="159"/>
      <x:c r="X54" s="159"/>
      <x:c r="Y54" s="159"/>
      <x:c r="Z54" s="159"/>
      <x:c r="AA54" s="159"/>
      <x:c r="AB54" s="159"/>
      <x:c r="AC54" s="159"/>
      <x:c r="AD54" s="159"/>
      <x:c r="AE54" s="159"/>
      <x:c r="AF54" s="159"/>
      <x:c r="AG54" s="159"/>
      <x:c r="AH54" s="159"/>
      <x:c r="AI54" s="159"/>
      <x:c r="AJ54" s="159"/>
      <x:c r="AK54" s="159"/>
      <x:c r="AL54" s="159"/>
      <x:c r="AM54" s="159"/>
      <x:c r="AN54" s="159"/>
      <x:c r="AO54" s="159"/>
      <x:c r="AP54" s="159"/>
      <x:c r="AQ54" s="159"/>
      <x:c r="AR54" s="159"/>
      <x:c r="AS54" s="159"/>
      <x:c r="AT54" s="159"/>
      <x:c r="AU54" s="159"/>
      <x:c r="AV54" s="159"/>
      <x:c r="AW54" s="159"/>
      <x:c r="AX54" s="159"/>
      <x:c r="AY54" s="159"/>
      <x:c r="AZ54" s="159"/>
    </x:row>
    <x:row r="55">
      <x:c r="A55" s="159"/>
      <x:c r="B55" s="159"/>
      <x:c r="C55" s="159"/>
      <x:c r="D55" s="159"/>
      <x:c r="E55" s="159"/>
      <x:c r="F55" s="159"/>
      <x:c r="G55" s="159"/>
      <x:c r="H55" s="159"/>
      <x:c r="I55" s="159"/>
      <x:c r="J55" s="159"/>
      <x:c r="K55" s="159"/>
      <x:c r="L55" s="159"/>
      <x:c r="M55" s="159"/>
      <x:c r="N55" s="159"/>
      <x:c r="O55" s="159"/>
      <x:c r="P55" s="159"/>
      <x:c r="Q55" s="159"/>
      <x:c r="R55" s="159"/>
      <x:c r="S55" s="159"/>
      <x:c r="T55" s="159"/>
      <x:c r="U55" s="159"/>
      <x:c r="V55" s="159"/>
      <x:c r="W55" s="159"/>
      <x:c r="X55" s="159"/>
      <x:c r="Y55" s="159"/>
      <x:c r="Z55" s="159"/>
      <x:c r="AA55" s="159"/>
      <x:c r="AB55" s="159"/>
      <x:c r="AC55" s="159"/>
      <x:c r="AD55" s="159"/>
      <x:c r="AE55" s="159"/>
      <x:c r="AF55" s="159"/>
      <x:c r="AG55" s="159"/>
      <x:c r="AH55" s="159"/>
      <x:c r="AI55" s="159"/>
      <x:c r="AJ55" s="159"/>
      <x:c r="AK55" s="159"/>
      <x:c r="AL55" s="159"/>
      <x:c r="AM55" s="159"/>
      <x:c r="AN55" s="159"/>
      <x:c r="AO55" s="159"/>
      <x:c r="AP55" s="159"/>
      <x:c r="AQ55" s="159"/>
      <x:c r="AR55" s="159"/>
      <x:c r="AS55" s="159"/>
      <x:c r="AT55" s="159"/>
      <x:c r="AU55" s="159"/>
      <x:c r="AV55" s="159"/>
      <x:c r="AW55" s="159"/>
      <x:c r="AX55" s="159"/>
      <x:c r="AY55" s="159"/>
      <x:c r="AZ55" s="159"/>
    </x:row>
    <x:row r="56">
      <x:c r="A56" s="159"/>
      <x:c r="B56" s="159"/>
      <x:c r="C56" s="159"/>
      <x:c r="D56" s="159"/>
      <x:c r="E56" s="159"/>
      <x:c r="F56" s="159"/>
      <x:c r="G56" s="159"/>
      <x:c r="H56" s="159"/>
      <x:c r="I56" s="159"/>
      <x:c r="J56" s="159"/>
      <x:c r="K56" s="159"/>
      <x:c r="L56" s="159"/>
      <x:c r="M56" s="159"/>
      <x:c r="N56" s="159"/>
      <x:c r="O56" s="159"/>
      <x:c r="P56" s="159"/>
      <x:c r="Q56" s="159"/>
      <x:c r="R56" s="159"/>
      <x:c r="S56" s="159"/>
      <x:c r="T56" s="159"/>
      <x:c r="U56" s="159"/>
      <x:c r="V56" s="159"/>
      <x:c r="W56" s="159"/>
      <x:c r="X56" s="159"/>
      <x:c r="Y56" s="159"/>
      <x:c r="Z56" s="159"/>
      <x:c r="AA56" s="159"/>
      <x:c r="AB56" s="159"/>
      <x:c r="AC56" s="159"/>
      <x:c r="AD56" s="159"/>
      <x:c r="AE56" s="159"/>
      <x:c r="AF56" s="159"/>
      <x:c r="AG56" s="159"/>
      <x:c r="AH56" s="159"/>
      <x:c r="AI56" s="159"/>
      <x:c r="AJ56" s="159"/>
      <x:c r="AK56" s="159"/>
      <x:c r="AL56" s="159"/>
      <x:c r="AM56" s="159"/>
      <x:c r="AN56" s="159"/>
      <x:c r="AO56" s="159"/>
      <x:c r="AP56" s="159"/>
      <x:c r="AQ56" s="159"/>
      <x:c r="AR56" s="159"/>
      <x:c r="AS56" s="159"/>
      <x:c r="AT56" s="159"/>
      <x:c r="AU56" s="159"/>
      <x:c r="AV56" s="159"/>
      <x:c r="AW56" s="159"/>
      <x:c r="AX56" s="159"/>
      <x:c r="AY56" s="159"/>
      <x:c r="AZ56" s="159"/>
    </x:row>
    <x:row r="57">
      <x:c r="A57" s="159"/>
      <x:c r="B57" s="159"/>
      <x:c r="C57" s="159"/>
      <x:c r="D57" s="159"/>
      <x:c r="E57" s="159"/>
      <x:c r="F57" s="159"/>
      <x:c r="G57" s="159"/>
      <x:c r="H57" s="159"/>
      <x:c r="I57" s="159"/>
      <x:c r="J57" s="159"/>
      <x:c r="K57" s="159"/>
      <x:c r="L57" s="159"/>
      <x:c r="M57" s="159"/>
      <x:c r="N57" s="159"/>
      <x:c r="O57" s="159"/>
      <x:c r="P57" s="159"/>
      <x:c r="Q57" s="159"/>
      <x:c r="R57" s="159"/>
      <x:c r="S57" s="159"/>
      <x:c r="T57" s="159"/>
      <x:c r="U57" s="159"/>
      <x:c r="V57" s="159"/>
      <x:c r="W57" s="159"/>
      <x:c r="X57" s="159"/>
      <x:c r="Y57" s="159"/>
      <x:c r="Z57" s="159"/>
      <x:c r="AA57" s="159"/>
      <x:c r="AB57" s="159"/>
      <x:c r="AC57" s="159"/>
      <x:c r="AD57" s="159"/>
      <x:c r="AE57" s="159"/>
      <x:c r="AF57" s="159"/>
      <x:c r="AG57" s="159"/>
      <x:c r="AH57" s="159"/>
      <x:c r="AI57" s="159"/>
      <x:c r="AJ57" s="159"/>
      <x:c r="AK57" s="159"/>
      <x:c r="AL57" s="159"/>
      <x:c r="AM57" s="159"/>
      <x:c r="AN57" s="159"/>
      <x:c r="AO57" s="159"/>
      <x:c r="AP57" s="159"/>
      <x:c r="AQ57" s="159"/>
      <x:c r="AR57" s="159"/>
      <x:c r="AS57" s="159"/>
      <x:c r="AT57" s="159"/>
      <x:c r="AU57" s="159"/>
      <x:c r="AV57" s="159"/>
      <x:c r="AW57" s="159"/>
      <x:c r="AX57" s="159"/>
      <x:c r="AY57" s="159"/>
      <x:c r="AZ57" s="159"/>
    </x:row>
    <x:row r="58">
      <x:c r="A58" s="159"/>
      <x:c r="B58" s="159"/>
      <x:c r="C58" s="159"/>
      <x:c r="D58" s="159"/>
      <x:c r="E58" s="159"/>
      <x:c r="F58" s="159"/>
      <x:c r="G58" s="159"/>
      <x:c r="H58" s="159"/>
      <x:c r="I58" s="159"/>
      <x:c r="J58" s="159"/>
      <x:c r="K58" s="159"/>
      <x:c r="L58" s="159"/>
      <x:c r="M58" s="159"/>
      <x:c r="N58" s="159"/>
      <x:c r="O58" s="159"/>
      <x:c r="P58" s="159"/>
      <x:c r="Q58" s="159"/>
      <x:c r="R58" s="159"/>
      <x:c r="S58" s="159"/>
      <x:c r="T58" s="159"/>
      <x:c r="U58" s="159"/>
      <x:c r="V58" s="159"/>
      <x:c r="W58" s="159"/>
      <x:c r="X58" s="159"/>
      <x:c r="Y58" s="159"/>
      <x:c r="Z58" s="159"/>
      <x:c r="AA58" s="159"/>
      <x:c r="AB58" s="159"/>
      <x:c r="AC58" s="159"/>
      <x:c r="AD58" s="159"/>
      <x:c r="AE58" s="159"/>
      <x:c r="AF58" s="159"/>
      <x:c r="AG58" s="159"/>
      <x:c r="AH58" s="159"/>
      <x:c r="AI58" s="159"/>
      <x:c r="AJ58" s="159"/>
      <x:c r="AK58" s="159"/>
      <x:c r="AL58" s="159"/>
      <x:c r="AM58" s="159"/>
      <x:c r="AN58" s="159"/>
      <x:c r="AO58" s="159"/>
      <x:c r="AP58" s="159"/>
      <x:c r="AQ58" s="159"/>
      <x:c r="AR58" s="159"/>
      <x:c r="AS58" s="159"/>
      <x:c r="AT58" s="159"/>
      <x:c r="AU58" s="159"/>
      <x:c r="AV58" s="159"/>
      <x:c r="AW58" s="159"/>
      <x:c r="AX58" s="159"/>
      <x:c r="AY58" s="159"/>
      <x:c r="AZ58" s="159"/>
    </x:row>
    <x:row r="59">
      <x:c r="A59" s="159"/>
      <x:c r="B59" s="159"/>
      <x:c r="C59" s="159"/>
      <x:c r="D59" s="159"/>
      <x:c r="E59" s="159"/>
      <x:c r="F59" s="159"/>
      <x:c r="G59" s="159"/>
      <x:c r="H59" s="159"/>
      <x:c r="I59" s="159"/>
      <x:c r="J59" s="159"/>
      <x:c r="K59" s="159"/>
      <x:c r="L59" s="159"/>
      <x:c r="M59" s="159"/>
      <x:c r="N59" s="159"/>
      <x:c r="O59" s="159"/>
      <x:c r="P59" s="159"/>
      <x:c r="Q59" s="159"/>
      <x:c r="R59" s="159"/>
      <x:c r="S59" s="159"/>
      <x:c r="T59" s="159"/>
      <x:c r="U59" s="159"/>
      <x:c r="V59" s="159"/>
      <x:c r="W59" s="159"/>
      <x:c r="X59" s="159"/>
      <x:c r="Y59" s="159"/>
      <x:c r="Z59" s="159"/>
      <x:c r="AA59" s="159"/>
      <x:c r="AB59" s="159"/>
      <x:c r="AC59" s="159"/>
      <x:c r="AD59" s="159"/>
      <x:c r="AE59" s="159"/>
      <x:c r="AF59" s="159"/>
      <x:c r="AG59" s="159"/>
      <x:c r="AH59" s="159"/>
      <x:c r="AI59" s="159"/>
      <x:c r="AJ59" s="159"/>
      <x:c r="AK59" s="159"/>
      <x:c r="AL59" s="159"/>
      <x:c r="AM59" s="159"/>
      <x:c r="AN59" s="159"/>
      <x:c r="AO59" s="159"/>
      <x:c r="AP59" s="159"/>
      <x:c r="AQ59" s="159"/>
      <x:c r="AR59" s="159"/>
      <x:c r="AS59" s="159"/>
      <x:c r="AT59" s="159"/>
      <x:c r="AU59" s="159"/>
      <x:c r="AV59" s="159"/>
      <x:c r="AW59" s="159"/>
      <x:c r="AX59" s="159"/>
      <x:c r="AY59" s="159"/>
      <x:c r="AZ59" s="159"/>
    </x:row>
    <x:row r="60">
      <x:c r="A60" s="159"/>
      <x:c r="B60" s="159"/>
      <x:c r="C60" s="159"/>
      <x:c r="D60" s="159"/>
      <x:c r="E60" s="159"/>
      <x:c r="F60" s="159"/>
      <x:c r="G60" s="159"/>
      <x:c r="H60" s="159"/>
      <x:c r="I60" s="159"/>
      <x:c r="J60" s="159"/>
      <x:c r="K60" s="159"/>
      <x:c r="L60" s="159"/>
      <x:c r="M60" s="159"/>
      <x:c r="N60" s="159"/>
      <x:c r="O60" s="159"/>
      <x:c r="P60" s="159"/>
      <x:c r="Q60" s="159"/>
      <x:c r="R60" s="159"/>
      <x:c r="S60" s="159"/>
      <x:c r="T60" s="159"/>
      <x:c r="U60" s="159"/>
      <x:c r="V60" s="159"/>
      <x:c r="W60" s="159"/>
      <x:c r="X60" s="159"/>
      <x:c r="Y60" s="159"/>
      <x:c r="Z60" s="159"/>
      <x:c r="AA60" s="159"/>
      <x:c r="AB60" s="159"/>
      <x:c r="AC60" s="159"/>
      <x:c r="AD60" s="159"/>
      <x:c r="AE60" s="159"/>
      <x:c r="AF60" s="159"/>
      <x:c r="AG60" s="159"/>
      <x:c r="AH60" s="159"/>
      <x:c r="AI60" s="159"/>
      <x:c r="AJ60" s="159"/>
      <x:c r="AK60" s="159"/>
      <x:c r="AL60" s="159"/>
      <x:c r="AM60" s="159"/>
      <x:c r="AN60" s="159"/>
      <x:c r="AO60" s="159"/>
      <x:c r="AP60" s="159"/>
      <x:c r="AQ60" s="159"/>
      <x:c r="AR60" s="159"/>
      <x:c r="AS60" s="159"/>
      <x:c r="AT60" s="159"/>
      <x:c r="AU60" s="159"/>
      <x:c r="AV60" s="159"/>
      <x:c r="AW60" s="159"/>
      <x:c r="AX60" s="159"/>
      <x:c r="AY60" s="159"/>
      <x:c r="AZ60" s="159"/>
    </x:row>
    <x:row r="61">
      <x:c r="A61" s="159"/>
      <x:c r="B61" s="159"/>
      <x:c r="C61" s="159"/>
      <x:c r="D61" s="159"/>
      <x:c r="E61" s="159"/>
      <x:c r="F61" s="159"/>
      <x:c r="G61" s="159"/>
      <x:c r="H61" s="159"/>
      <x:c r="I61" s="159"/>
      <x:c r="J61" s="159"/>
      <x:c r="K61" s="159"/>
      <x:c r="L61" s="159"/>
      <x:c r="M61" s="159"/>
      <x:c r="N61" s="159"/>
      <x:c r="O61" s="159"/>
      <x:c r="P61" s="159"/>
      <x:c r="Q61" s="159"/>
      <x:c r="R61" s="159"/>
      <x:c r="S61" s="159"/>
      <x:c r="T61" s="159"/>
      <x:c r="U61" s="159"/>
      <x:c r="V61" s="159"/>
      <x:c r="W61" s="159"/>
      <x:c r="X61" s="159"/>
      <x:c r="Y61" s="159"/>
      <x:c r="Z61" s="159"/>
      <x:c r="AA61" s="159"/>
      <x:c r="AB61" s="159"/>
      <x:c r="AC61" s="159"/>
      <x:c r="AD61" s="159"/>
      <x:c r="AE61" s="159"/>
      <x:c r="AF61" s="159"/>
      <x:c r="AG61" s="159"/>
      <x:c r="AH61" s="159"/>
      <x:c r="AI61" s="159"/>
      <x:c r="AJ61" s="159"/>
      <x:c r="AK61" s="159"/>
      <x:c r="AL61" s="159"/>
      <x:c r="AM61" s="159"/>
      <x:c r="AN61" s="159"/>
      <x:c r="AO61" s="159"/>
      <x:c r="AP61" s="159"/>
      <x:c r="AQ61" s="159"/>
      <x:c r="AR61" s="159"/>
      <x:c r="AS61" s="159"/>
      <x:c r="AT61" s="159"/>
      <x:c r="AU61" s="159"/>
      <x:c r="AV61" s="159"/>
      <x:c r="AW61" s="159"/>
      <x:c r="AX61" s="159"/>
      <x:c r="AY61" s="159"/>
      <x:c r="AZ61" s="159"/>
    </x:row>
    <x:row r="62">
      <x:c r="A62" s="159"/>
      <x:c r="B62" s="159"/>
      <x:c r="C62" s="159"/>
      <x:c r="D62" s="159"/>
      <x:c r="E62" s="159"/>
      <x:c r="F62" s="159"/>
      <x:c r="G62" s="159"/>
      <x:c r="H62" s="159"/>
      <x:c r="I62" s="159"/>
      <x:c r="J62" s="159"/>
      <x:c r="K62" s="159"/>
      <x:c r="L62" s="159"/>
      <x:c r="M62" s="159"/>
      <x:c r="N62" s="159"/>
      <x:c r="O62" s="159"/>
      <x:c r="P62" s="159"/>
      <x:c r="Q62" s="159"/>
      <x:c r="R62" s="159"/>
      <x:c r="S62" s="159"/>
      <x:c r="T62" s="159"/>
      <x:c r="U62" s="159"/>
      <x:c r="V62" s="159"/>
      <x:c r="W62" s="159"/>
      <x:c r="X62" s="159"/>
      <x:c r="Y62" s="159"/>
      <x:c r="Z62" s="159"/>
      <x:c r="AA62" s="159"/>
      <x:c r="AB62" s="159"/>
      <x:c r="AC62" s="159"/>
      <x:c r="AD62" s="159"/>
      <x:c r="AE62" s="159"/>
      <x:c r="AF62" s="159"/>
      <x:c r="AG62" s="159"/>
      <x:c r="AH62" s="159"/>
      <x:c r="AI62" s="159"/>
      <x:c r="AJ62" s="159"/>
      <x:c r="AK62" s="159"/>
      <x:c r="AL62" s="159"/>
      <x:c r="AM62" s="159"/>
      <x:c r="AN62" s="159"/>
      <x:c r="AO62" s="159"/>
      <x:c r="AP62" s="159"/>
      <x:c r="AQ62" s="159"/>
      <x:c r="AR62" s="159"/>
      <x:c r="AS62" s="159"/>
      <x:c r="AT62" s="159"/>
      <x:c r="AU62" s="159"/>
      <x:c r="AV62" s="159"/>
      <x:c r="AW62" s="159"/>
      <x:c r="AX62" s="159"/>
      <x:c r="AY62" s="159"/>
      <x:c r="AZ62" s="159"/>
    </x:row>
    <x:row r="63">
      <x:c r="A63" s="159"/>
      <x:c r="B63" s="159"/>
      <x:c r="C63" s="159"/>
      <x:c r="D63" s="159"/>
      <x:c r="E63" s="159"/>
      <x:c r="F63" s="159"/>
      <x:c r="G63" s="159"/>
      <x:c r="H63" s="159"/>
      <x:c r="I63" s="159"/>
      <x:c r="J63" s="159"/>
      <x:c r="K63" s="159"/>
      <x:c r="L63" s="159"/>
      <x:c r="M63" s="159"/>
      <x:c r="N63" s="159"/>
      <x:c r="O63" s="159"/>
      <x:c r="P63" s="159"/>
      <x:c r="Q63" s="159"/>
      <x:c r="R63" s="159"/>
      <x:c r="S63" s="159"/>
      <x:c r="T63" s="159"/>
      <x:c r="U63" s="159"/>
      <x:c r="V63" s="159"/>
      <x:c r="W63" s="159"/>
      <x:c r="X63" s="159"/>
      <x:c r="Y63" s="159"/>
      <x:c r="Z63" s="159"/>
      <x:c r="AA63" s="159"/>
      <x:c r="AB63" s="159"/>
      <x:c r="AC63" s="159"/>
      <x:c r="AD63" s="159"/>
      <x:c r="AE63" s="159"/>
      <x:c r="AF63" s="159"/>
      <x:c r="AG63" s="159"/>
      <x:c r="AH63" s="159"/>
      <x:c r="AI63" s="159"/>
      <x:c r="AJ63" s="159"/>
      <x:c r="AK63" s="159"/>
      <x:c r="AL63" s="159"/>
      <x:c r="AM63" s="159"/>
      <x:c r="AN63" s="159"/>
      <x:c r="AO63" s="159"/>
      <x:c r="AP63" s="159"/>
      <x:c r="AQ63" s="159"/>
      <x:c r="AR63" s="159"/>
      <x:c r="AS63" s="159"/>
      <x:c r="AT63" s="159"/>
      <x:c r="AU63" s="159"/>
      <x:c r="AV63" s="159"/>
      <x:c r="AW63" s="159"/>
      <x:c r="AX63" s="159"/>
      <x:c r="AY63" s="159"/>
      <x:c r="AZ63" s="159"/>
    </x:row>
    <x:row r="64">
      <x:c r="A64" s="159"/>
      <x:c r="B64" s="159"/>
      <x:c r="C64" s="159"/>
      <x:c r="D64" s="159"/>
      <x:c r="E64" s="159"/>
      <x:c r="F64" s="159"/>
      <x:c r="G64" s="159"/>
      <x:c r="H64" s="159"/>
      <x:c r="I64" s="159"/>
      <x:c r="J64" s="159"/>
      <x:c r="K64" s="159"/>
      <x:c r="L64" s="159"/>
      <x:c r="M64" s="159"/>
      <x:c r="N64" s="159"/>
      <x:c r="O64" s="159"/>
      <x:c r="P64" s="159"/>
      <x:c r="Q64" s="159"/>
      <x:c r="R64" s="159"/>
      <x:c r="S64" s="159"/>
      <x:c r="T64" s="159"/>
      <x:c r="U64" s="159"/>
      <x:c r="V64" s="159"/>
      <x:c r="W64" s="159"/>
      <x:c r="X64" s="159"/>
      <x:c r="Y64" s="159"/>
      <x:c r="Z64" s="159"/>
      <x:c r="AA64" s="159"/>
      <x:c r="AB64" s="159"/>
      <x:c r="AC64" s="159"/>
      <x:c r="AD64" s="159"/>
      <x:c r="AE64" s="159"/>
      <x:c r="AF64" s="159"/>
      <x:c r="AG64" s="159"/>
      <x:c r="AH64" s="159"/>
      <x:c r="AI64" s="159"/>
      <x:c r="AJ64" s="159"/>
      <x:c r="AK64" s="159"/>
      <x:c r="AL64" s="159"/>
      <x:c r="AM64" s="159"/>
      <x:c r="AN64" s="159"/>
      <x:c r="AO64" s="159"/>
      <x:c r="AP64" s="159"/>
      <x:c r="AQ64" s="159"/>
      <x:c r="AR64" s="159"/>
      <x:c r="AS64" s="159"/>
      <x:c r="AT64" s="159"/>
      <x:c r="AU64" s="159"/>
      <x:c r="AV64" s="159"/>
      <x:c r="AW64" s="159"/>
      <x:c r="AX64" s="159"/>
      <x:c r="AY64" s="159"/>
      <x:c r="AZ64" s="159"/>
    </x:row>
    <x:row r="65">
      <x:c r="A65" s="159"/>
      <x:c r="B65" s="159"/>
      <x:c r="C65" s="159"/>
      <x:c r="D65" s="159"/>
      <x:c r="E65" s="159"/>
      <x:c r="F65" s="159"/>
      <x:c r="G65" s="159"/>
      <x:c r="H65" s="159"/>
      <x:c r="I65" s="159"/>
      <x:c r="J65" s="159"/>
      <x:c r="K65" s="159"/>
      <x:c r="L65" s="159"/>
      <x:c r="M65" s="159"/>
      <x:c r="N65" s="159"/>
      <x:c r="O65" s="159"/>
      <x:c r="P65" s="159"/>
      <x:c r="Q65" s="159"/>
      <x:c r="R65" s="159"/>
      <x:c r="S65" s="159"/>
      <x:c r="T65" s="159"/>
      <x:c r="U65" s="159"/>
      <x:c r="V65" s="159"/>
      <x:c r="W65" s="159"/>
      <x:c r="X65" s="159"/>
      <x:c r="Y65" s="159"/>
      <x:c r="Z65" s="159"/>
      <x:c r="AA65" s="159"/>
      <x:c r="AB65" s="159"/>
      <x:c r="AC65" s="159"/>
      <x:c r="AD65" s="159"/>
      <x:c r="AE65" s="159"/>
      <x:c r="AF65" s="159"/>
      <x:c r="AG65" s="159"/>
      <x:c r="AH65" s="159"/>
      <x:c r="AI65" s="159"/>
      <x:c r="AJ65" s="159"/>
      <x:c r="AK65" s="159"/>
      <x:c r="AL65" s="159"/>
      <x:c r="AM65" s="159"/>
      <x:c r="AN65" s="159"/>
      <x:c r="AO65" s="159"/>
      <x:c r="AP65" s="159"/>
      <x:c r="AQ65" s="159"/>
      <x:c r="AR65" s="159"/>
      <x:c r="AS65" s="159"/>
      <x:c r="AT65" s="159"/>
      <x:c r="AU65" s="159"/>
      <x:c r="AV65" s="159"/>
      <x:c r="AW65" s="159"/>
      <x:c r="AX65" s="159"/>
      <x:c r="AY65" s="159"/>
      <x:c r="AZ65" s="159"/>
    </x:row>
    <x:row r="66">
      <x:c r="A66" s="159"/>
      <x:c r="B66" s="159"/>
      <x:c r="C66" s="159"/>
      <x:c r="D66" s="159"/>
      <x:c r="E66" s="159"/>
      <x:c r="F66" s="159"/>
      <x:c r="G66" s="159"/>
      <x:c r="H66" s="159"/>
      <x:c r="I66" s="159"/>
      <x:c r="J66" s="159"/>
      <x:c r="K66" s="159"/>
      <x:c r="L66" s="159"/>
      <x:c r="M66" s="159"/>
      <x:c r="N66" s="159"/>
      <x:c r="O66" s="159"/>
      <x:c r="P66" s="159"/>
      <x:c r="Q66" s="159"/>
      <x:c r="R66" s="159"/>
      <x:c r="S66" s="159"/>
      <x:c r="T66" s="159"/>
      <x:c r="U66" s="159"/>
      <x:c r="V66" s="159"/>
      <x:c r="W66" s="159"/>
      <x:c r="X66" s="159"/>
      <x:c r="Y66" s="159"/>
      <x:c r="Z66" s="159"/>
      <x:c r="AA66" s="159"/>
      <x:c r="AB66" s="159"/>
      <x:c r="AC66" s="159"/>
      <x:c r="AD66" s="159"/>
      <x:c r="AE66" s="159"/>
      <x:c r="AF66" s="159"/>
      <x:c r="AG66" s="159"/>
      <x:c r="AH66" s="159"/>
      <x:c r="AI66" s="159"/>
      <x:c r="AJ66" s="159"/>
      <x:c r="AK66" s="159"/>
      <x:c r="AL66" s="159"/>
      <x:c r="AM66" s="159"/>
      <x:c r="AN66" s="159"/>
      <x:c r="AO66" s="159"/>
      <x:c r="AP66" s="159"/>
      <x:c r="AQ66" s="159"/>
      <x:c r="AR66" s="159"/>
      <x:c r="AS66" s="159"/>
      <x:c r="AT66" s="159"/>
      <x:c r="AU66" s="159"/>
      <x:c r="AV66" s="159"/>
      <x:c r="AW66" s="159"/>
      <x:c r="AX66" s="159"/>
      <x:c r="AY66" s="159"/>
      <x:c r="AZ66" s="159"/>
    </x:row>
    <x:row r="67">
      <x:c r="A67" s="159"/>
      <x:c r="B67" s="159"/>
      <x:c r="C67" s="159"/>
      <x:c r="D67" s="159"/>
      <x:c r="E67" s="159"/>
      <x:c r="F67" s="159"/>
      <x:c r="G67" s="159"/>
      <x:c r="H67" s="159"/>
      <x:c r="I67" s="159"/>
      <x:c r="J67" s="159"/>
      <x:c r="K67" s="159"/>
      <x:c r="L67" s="159"/>
      <x:c r="M67" s="159"/>
      <x:c r="N67" s="159"/>
      <x:c r="O67" s="159"/>
      <x:c r="P67" s="159"/>
      <x:c r="Q67" s="159"/>
      <x:c r="R67" s="159"/>
      <x:c r="S67" s="159"/>
      <x:c r="T67" s="159"/>
      <x:c r="U67" s="159"/>
      <x:c r="V67" s="159"/>
      <x:c r="W67" s="159"/>
      <x:c r="X67" s="159"/>
      <x:c r="Y67" s="159"/>
      <x:c r="Z67" s="159"/>
      <x:c r="AA67" s="159"/>
      <x:c r="AB67" s="159"/>
      <x:c r="AC67" s="159"/>
      <x:c r="AD67" s="159"/>
      <x:c r="AE67" s="159"/>
      <x:c r="AF67" s="159"/>
      <x:c r="AG67" s="159"/>
      <x:c r="AH67" s="159"/>
      <x:c r="AI67" s="159"/>
      <x:c r="AJ67" s="159"/>
      <x:c r="AK67" s="159"/>
      <x:c r="AL67" s="159"/>
      <x:c r="AM67" s="159"/>
      <x:c r="AN67" s="159"/>
      <x:c r="AO67" s="159"/>
      <x:c r="AP67" s="159"/>
      <x:c r="AQ67" s="159"/>
      <x:c r="AR67" s="159"/>
      <x:c r="AS67" s="159"/>
      <x:c r="AT67" s="159"/>
      <x:c r="AU67" s="159"/>
      <x:c r="AV67" s="159"/>
      <x:c r="AW67" s="159"/>
      <x:c r="AX67" s="159"/>
      <x:c r="AY67" s="159"/>
      <x:c r="AZ67" s="159"/>
    </x:row>
    <x:row r="68">
      <x:c r="A68" s="159"/>
      <x:c r="B68" s="159"/>
      <x:c r="C68" s="159"/>
      <x:c r="D68" s="159"/>
      <x:c r="E68" s="159"/>
      <x:c r="F68" s="159"/>
      <x:c r="G68" s="159"/>
      <x:c r="H68" s="159"/>
      <x:c r="I68" s="159"/>
      <x:c r="J68" s="159"/>
      <x:c r="K68" s="159"/>
      <x:c r="L68" s="159"/>
      <x:c r="M68" s="159"/>
      <x:c r="N68" s="159"/>
      <x:c r="O68" s="159"/>
      <x:c r="P68" s="159"/>
      <x:c r="Q68" s="159"/>
      <x:c r="R68" s="159"/>
      <x:c r="S68" s="159"/>
      <x:c r="T68" s="159"/>
      <x:c r="U68" s="159"/>
      <x:c r="V68" s="159"/>
      <x:c r="W68" s="159"/>
      <x:c r="X68" s="159"/>
      <x:c r="Y68" s="159"/>
      <x:c r="Z68" s="159"/>
      <x:c r="AA68" s="159"/>
      <x:c r="AB68" s="159"/>
      <x:c r="AC68" s="159"/>
      <x:c r="AD68" s="159"/>
      <x:c r="AE68" s="159"/>
      <x:c r="AF68" s="159"/>
      <x:c r="AG68" s="159"/>
      <x:c r="AH68" s="159"/>
      <x:c r="AI68" s="159"/>
      <x:c r="AJ68" s="159"/>
      <x:c r="AK68" s="159"/>
      <x:c r="AL68" s="159"/>
      <x:c r="AM68" s="159"/>
      <x:c r="AN68" s="159"/>
      <x:c r="AO68" s="159"/>
      <x:c r="AP68" s="159"/>
      <x:c r="AQ68" s="159"/>
      <x:c r="AR68" s="159"/>
      <x:c r="AS68" s="159"/>
      <x:c r="AT68" s="159"/>
      <x:c r="AU68" s="159"/>
      <x:c r="AV68" s="159"/>
      <x:c r="AW68" s="159"/>
      <x:c r="AX68" s="159"/>
      <x:c r="AY68" s="159"/>
      <x:c r="AZ68" s="159"/>
    </x:row>
    <x:row r="69">
      <x:c r="A69" s="159"/>
      <x:c r="B69" s="159"/>
      <x:c r="C69" s="159"/>
      <x:c r="D69" s="159"/>
      <x:c r="E69" s="159"/>
      <x:c r="F69" s="159"/>
      <x:c r="G69" s="159"/>
      <x:c r="H69" s="159"/>
      <x:c r="I69" s="159"/>
      <x:c r="J69" s="159"/>
      <x:c r="K69" s="159"/>
      <x:c r="L69" s="159"/>
      <x:c r="M69" s="159"/>
      <x:c r="N69" s="159"/>
      <x:c r="O69" s="159"/>
      <x:c r="P69" s="159"/>
      <x:c r="Q69" s="159"/>
      <x:c r="R69" s="159"/>
      <x:c r="S69" s="159"/>
      <x:c r="T69" s="159"/>
      <x:c r="U69" s="159"/>
      <x:c r="V69" s="159"/>
      <x:c r="W69" s="159"/>
      <x:c r="X69" s="159"/>
      <x:c r="Y69" s="159"/>
      <x:c r="Z69" s="159"/>
      <x:c r="AA69" s="159"/>
      <x:c r="AB69" s="159"/>
      <x:c r="AC69" s="159"/>
      <x:c r="AD69" s="159"/>
      <x:c r="AE69" s="159"/>
      <x:c r="AF69" s="159"/>
      <x:c r="AG69" s="159"/>
      <x:c r="AH69" s="159"/>
      <x:c r="AI69" s="159"/>
      <x:c r="AJ69" s="159"/>
      <x:c r="AK69" s="159"/>
      <x:c r="AL69" s="159"/>
      <x:c r="AM69" s="159"/>
      <x:c r="AN69" s="159"/>
      <x:c r="AO69" s="159"/>
      <x:c r="AP69" s="159"/>
      <x:c r="AQ69" s="159"/>
      <x:c r="AR69" s="159"/>
      <x:c r="AS69" s="159"/>
      <x:c r="AT69" s="159"/>
      <x:c r="AU69" s="159"/>
      <x:c r="AV69" s="159"/>
      <x:c r="AW69" s="159"/>
      <x:c r="AX69" s="159"/>
      <x:c r="AY69" s="159"/>
      <x:c r="AZ69" s="159"/>
    </x:row>
    <x:row r="70">
      <x:c r="A70" s="159"/>
      <x:c r="B70" s="159"/>
      <x:c r="C70" s="159"/>
      <x:c r="D70" s="159"/>
      <x:c r="E70" s="159"/>
      <x:c r="F70" s="159"/>
      <x:c r="G70" s="159"/>
      <x:c r="H70" s="159"/>
      <x:c r="I70" s="159"/>
      <x:c r="J70" s="159"/>
      <x:c r="K70" s="159"/>
      <x:c r="L70" s="159"/>
      <x:c r="M70" s="159"/>
      <x:c r="N70" s="159"/>
      <x:c r="O70" s="159"/>
      <x:c r="P70" s="159"/>
      <x:c r="Q70" s="159"/>
      <x:c r="R70" s="159"/>
      <x:c r="S70" s="159"/>
      <x:c r="T70" s="159"/>
      <x:c r="U70" s="159"/>
      <x:c r="V70" s="159"/>
      <x:c r="W70" s="159"/>
      <x:c r="X70" s="159"/>
      <x:c r="Y70" s="159"/>
      <x:c r="Z70" s="159"/>
      <x:c r="AA70" s="159"/>
      <x:c r="AB70" s="159"/>
      <x:c r="AC70" s="159"/>
      <x:c r="AD70" s="159"/>
      <x:c r="AE70" s="159"/>
      <x:c r="AF70" s="159"/>
      <x:c r="AG70" s="159"/>
      <x:c r="AH70" s="159"/>
      <x:c r="AI70" s="159"/>
      <x:c r="AJ70" s="159"/>
      <x:c r="AK70" s="159"/>
      <x:c r="AL70" s="159"/>
      <x:c r="AM70" s="159"/>
      <x:c r="AN70" s="159"/>
      <x:c r="AO70" s="159"/>
      <x:c r="AP70" s="159"/>
      <x:c r="AQ70" s="159"/>
      <x:c r="AR70" s="159"/>
      <x:c r="AS70" s="159"/>
      <x:c r="AT70" s="159"/>
      <x:c r="AU70" s="159"/>
      <x:c r="AV70" s="159"/>
      <x:c r="AW70" s="159"/>
      <x:c r="AX70" s="159"/>
      <x:c r="AY70" s="159"/>
      <x:c r="AZ70" s="159"/>
    </x:row>
    <x:row r="71">
      <x:c r="A71" s="159"/>
      <x:c r="B71" s="159"/>
      <x:c r="C71" s="159"/>
      <x:c r="D71" s="159"/>
      <x:c r="E71" s="159"/>
      <x:c r="F71" s="159"/>
      <x:c r="G71" s="159"/>
      <x:c r="H71" s="159"/>
      <x:c r="I71" s="159"/>
      <x:c r="J71" s="159"/>
      <x:c r="K71" s="159"/>
      <x:c r="L71" s="159"/>
      <x:c r="M71" s="159"/>
      <x:c r="N71" s="159"/>
      <x:c r="O71" s="159"/>
      <x:c r="P71" s="159"/>
      <x:c r="Q71" s="159"/>
      <x:c r="R71" s="159"/>
      <x:c r="S71" s="159"/>
      <x:c r="T71" s="159"/>
      <x:c r="U71" s="159"/>
      <x:c r="V71" s="159"/>
      <x:c r="W71" s="159"/>
      <x:c r="X71" s="159"/>
      <x:c r="Y71" s="159"/>
      <x:c r="Z71" s="159"/>
      <x:c r="AA71" s="159"/>
      <x:c r="AB71" s="159"/>
      <x:c r="AC71" s="159"/>
      <x:c r="AD71" s="159"/>
      <x:c r="AE71" s="159"/>
      <x:c r="AF71" s="159"/>
      <x:c r="AG71" s="159"/>
      <x:c r="AH71" s="159"/>
      <x:c r="AI71" s="159"/>
      <x:c r="AJ71" s="159"/>
      <x:c r="AK71" s="159"/>
      <x:c r="AL71" s="159"/>
      <x:c r="AM71" s="159"/>
      <x:c r="AN71" s="159"/>
      <x:c r="AO71" s="159"/>
      <x:c r="AP71" s="159"/>
      <x:c r="AQ71" s="159"/>
      <x:c r="AR71" s="159"/>
      <x:c r="AS71" s="159"/>
      <x:c r="AT71" s="159"/>
      <x:c r="AU71" s="159"/>
      <x:c r="AV71" s="159"/>
      <x:c r="AW71" s="159"/>
      <x:c r="AX71" s="159"/>
      <x:c r="AY71" s="159"/>
      <x:c r="AZ71" s="159"/>
    </x:row>
    <x:row r="72">
      <x:c r="A72" s="159"/>
      <x:c r="B72" s="159"/>
      <x:c r="C72" s="159"/>
      <x:c r="D72" s="159"/>
      <x:c r="E72" s="159"/>
      <x:c r="F72" s="159"/>
      <x:c r="G72" s="159"/>
      <x:c r="H72" s="159"/>
      <x:c r="I72" s="159"/>
      <x:c r="J72" s="159"/>
      <x:c r="K72" s="159"/>
      <x:c r="L72" s="159"/>
      <x:c r="M72" s="159"/>
      <x:c r="N72" s="159"/>
      <x:c r="O72" s="159"/>
      <x:c r="P72" s="159"/>
      <x:c r="Q72" s="159"/>
      <x:c r="R72" s="159"/>
      <x:c r="S72" s="159"/>
      <x:c r="T72" s="159"/>
      <x:c r="U72" s="159"/>
      <x:c r="V72" s="159"/>
      <x:c r="W72" s="159"/>
      <x:c r="X72" s="159"/>
      <x:c r="Y72" s="159"/>
      <x:c r="Z72" s="159"/>
      <x:c r="AA72" s="159"/>
      <x:c r="AB72" s="159"/>
      <x:c r="AC72" s="159"/>
      <x:c r="AD72" s="159"/>
      <x:c r="AE72" s="159"/>
      <x:c r="AF72" s="159"/>
      <x:c r="AG72" s="159"/>
      <x:c r="AH72" s="159"/>
      <x:c r="AI72" s="159"/>
      <x:c r="AJ72" s="159"/>
      <x:c r="AK72" s="159"/>
      <x:c r="AL72" s="159"/>
      <x:c r="AM72" s="159"/>
      <x:c r="AN72" s="159"/>
      <x:c r="AO72" s="159"/>
      <x:c r="AP72" s="159"/>
      <x:c r="AQ72" s="159"/>
      <x:c r="AR72" s="159"/>
      <x:c r="AS72" s="159"/>
      <x:c r="AT72" s="159"/>
      <x:c r="AU72" s="159"/>
      <x:c r="AV72" s="159"/>
      <x:c r="AW72" s="159"/>
      <x:c r="AX72" s="159"/>
      <x:c r="AY72" s="159"/>
      <x:c r="AZ72" s="159"/>
    </x:row>
    <x:row r="73">
      <x:c r="A73" s="159"/>
      <x:c r="B73" s="159"/>
      <x:c r="C73" s="159"/>
      <x:c r="D73" s="159"/>
      <x:c r="E73" s="159"/>
      <x:c r="F73" s="159"/>
      <x:c r="G73" s="159"/>
      <x:c r="H73" s="159"/>
      <x:c r="I73" s="159"/>
      <x:c r="J73" s="159"/>
      <x:c r="K73" s="159"/>
      <x:c r="L73" s="159"/>
      <x:c r="M73" s="159"/>
      <x:c r="N73" s="159"/>
      <x:c r="O73" s="159"/>
      <x:c r="P73" s="159"/>
      <x:c r="Q73" s="159"/>
      <x:c r="R73" s="159"/>
      <x:c r="S73" s="159"/>
      <x:c r="T73" s="159"/>
      <x:c r="U73" s="159"/>
      <x:c r="V73" s="159"/>
      <x:c r="W73" s="159"/>
      <x:c r="X73" s="159"/>
      <x:c r="Y73" s="159"/>
      <x:c r="Z73" s="159"/>
      <x:c r="AA73" s="159"/>
      <x:c r="AB73" s="159"/>
      <x:c r="AC73" s="159"/>
      <x:c r="AD73" s="159"/>
      <x:c r="AE73" s="159"/>
      <x:c r="AF73" s="159"/>
      <x:c r="AG73" s="159"/>
      <x:c r="AH73" s="159"/>
      <x:c r="AI73" s="159"/>
      <x:c r="AJ73" s="159"/>
      <x:c r="AK73" s="159"/>
      <x:c r="AL73" s="159"/>
      <x:c r="AM73" s="159"/>
      <x:c r="AN73" s="159"/>
      <x:c r="AO73" s="159"/>
      <x:c r="AP73" s="159"/>
      <x:c r="AQ73" s="159"/>
      <x:c r="AR73" s="159"/>
      <x:c r="AS73" s="159"/>
      <x:c r="AT73" s="159"/>
      <x:c r="AU73" s="159"/>
      <x:c r="AV73" s="159"/>
      <x:c r="AW73" s="159"/>
      <x:c r="AX73" s="159"/>
      <x:c r="AY73" s="159"/>
      <x:c r="AZ73" s="159"/>
    </x:row>
    <x:row r="74">
      <x:c r="A74" s="159"/>
      <x:c r="B74" s="159"/>
      <x:c r="C74" s="159"/>
      <x:c r="D74" s="159"/>
      <x:c r="E74" s="159"/>
      <x:c r="F74" s="159"/>
      <x:c r="G74" s="159"/>
      <x:c r="H74" s="159"/>
      <x:c r="I74" s="159"/>
      <x:c r="J74" s="159"/>
      <x:c r="K74" s="159"/>
      <x:c r="L74" s="159"/>
      <x:c r="M74" s="159"/>
      <x:c r="N74" s="159"/>
      <x:c r="O74" s="159"/>
      <x:c r="P74" s="159"/>
      <x:c r="Q74" s="159"/>
      <x:c r="R74" s="159"/>
      <x:c r="S74" s="159"/>
      <x:c r="T74" s="159"/>
      <x:c r="U74" s="159"/>
      <x:c r="V74" s="159"/>
      <x:c r="W74" s="159"/>
      <x:c r="X74" s="159"/>
      <x:c r="Y74" s="159"/>
      <x:c r="Z74" s="159"/>
      <x:c r="AA74" s="159"/>
      <x:c r="AB74" s="159"/>
      <x:c r="AC74" s="159"/>
      <x:c r="AD74" s="159"/>
      <x:c r="AE74" s="159"/>
      <x:c r="AF74" s="159"/>
      <x:c r="AG74" s="159"/>
      <x:c r="AH74" s="159"/>
      <x:c r="AI74" s="159"/>
      <x:c r="AJ74" s="159"/>
      <x:c r="AK74" s="159"/>
      <x:c r="AL74" s="159"/>
      <x:c r="AM74" s="159"/>
      <x:c r="AN74" s="159"/>
      <x:c r="AO74" s="159"/>
      <x:c r="AP74" s="159"/>
      <x:c r="AQ74" s="159"/>
      <x:c r="AR74" s="159"/>
      <x:c r="AS74" s="159"/>
      <x:c r="AT74" s="159"/>
      <x:c r="AU74" s="159"/>
      <x:c r="AV74" s="159"/>
      <x:c r="AW74" s="159"/>
      <x:c r="AX74" s="159"/>
      <x:c r="AY74" s="159"/>
      <x:c r="AZ74" s="159"/>
    </x:row>
    <x:row r="75">
      <x:c r="A75" s="159"/>
      <x:c r="B75" s="159"/>
      <x:c r="C75" s="159"/>
      <x:c r="D75" s="159"/>
      <x:c r="E75" s="159"/>
      <x:c r="F75" s="159"/>
      <x:c r="G75" s="159"/>
      <x:c r="H75" s="159"/>
      <x:c r="I75" s="159"/>
      <x:c r="J75" s="159"/>
      <x:c r="K75" s="159"/>
      <x:c r="L75" s="159"/>
      <x:c r="M75" s="159"/>
      <x:c r="N75" s="159"/>
      <x:c r="O75" s="159"/>
      <x:c r="P75" s="159"/>
      <x:c r="Q75" s="159"/>
      <x:c r="R75" s="159"/>
      <x:c r="S75" s="159"/>
      <x:c r="T75" s="159"/>
      <x:c r="U75" s="159"/>
      <x:c r="V75" s="159"/>
      <x:c r="W75" s="159"/>
      <x:c r="X75" s="159"/>
      <x:c r="Y75" s="159"/>
      <x:c r="Z75" s="159"/>
      <x:c r="AA75" s="159"/>
      <x:c r="AB75" s="159"/>
      <x:c r="AC75" s="159"/>
      <x:c r="AD75" s="159"/>
      <x:c r="AE75" s="159"/>
      <x:c r="AF75" s="159"/>
      <x:c r="AG75" s="159"/>
      <x:c r="AH75" s="159"/>
      <x:c r="AI75" s="159"/>
      <x:c r="AJ75" s="159"/>
      <x:c r="AK75" s="159"/>
      <x:c r="AL75" s="159"/>
      <x:c r="AM75" s="159"/>
      <x:c r="AN75" s="159"/>
      <x:c r="AO75" s="159"/>
      <x:c r="AP75" s="159"/>
      <x:c r="AQ75" s="159"/>
      <x:c r="AR75" s="159"/>
      <x:c r="AS75" s="159"/>
      <x:c r="AT75" s="159"/>
      <x:c r="AU75" s="159"/>
      <x:c r="AV75" s="159"/>
      <x:c r="AW75" s="159"/>
      <x:c r="AX75" s="159"/>
      <x:c r="AY75" s="159"/>
      <x:c r="AZ75" s="159"/>
    </x:row>
    <x:row r="76">
      <x:c r="A76" s="159"/>
      <x:c r="B76" s="159"/>
      <x:c r="C76" s="159"/>
      <x:c r="D76" s="159"/>
      <x:c r="E76" s="159"/>
      <x:c r="F76" s="159"/>
      <x:c r="G76" s="159"/>
      <x:c r="H76" s="159"/>
      <x:c r="I76" s="159"/>
      <x:c r="J76" s="159"/>
      <x:c r="K76" s="159"/>
      <x:c r="L76" s="159"/>
      <x:c r="M76" s="159"/>
      <x:c r="N76" s="159"/>
      <x:c r="O76" s="159"/>
      <x:c r="P76" s="159"/>
      <x:c r="Q76" s="159"/>
      <x:c r="R76" s="159"/>
      <x:c r="S76" s="159"/>
      <x:c r="T76" s="159"/>
      <x:c r="U76" s="159"/>
      <x:c r="V76" s="159"/>
      <x:c r="W76" s="159"/>
      <x:c r="X76" s="159"/>
      <x:c r="Y76" s="159"/>
      <x:c r="Z76" s="159"/>
      <x:c r="AA76" s="159"/>
      <x:c r="AB76" s="159"/>
      <x:c r="AC76" s="159"/>
      <x:c r="AD76" s="159"/>
      <x:c r="AE76" s="159"/>
      <x:c r="AF76" s="159"/>
      <x:c r="AG76" s="159"/>
      <x:c r="AH76" s="159"/>
      <x:c r="AI76" s="159"/>
      <x:c r="AJ76" s="159"/>
      <x:c r="AK76" s="159"/>
      <x:c r="AL76" s="159"/>
      <x:c r="AM76" s="159"/>
      <x:c r="AN76" s="159"/>
      <x:c r="AO76" s="159"/>
      <x:c r="AP76" s="159"/>
      <x:c r="AQ76" s="159"/>
      <x:c r="AR76" s="159"/>
      <x:c r="AS76" s="159"/>
      <x:c r="AT76" s="159"/>
      <x:c r="AU76" s="159"/>
      <x:c r="AV76" s="159"/>
      <x:c r="AW76" s="159"/>
      <x:c r="AX76" s="159"/>
      <x:c r="AY76" s="159"/>
      <x:c r="AZ76" s="159"/>
    </x:row>
    <x:row r="77">
      <x:c r="A77" s="159"/>
      <x:c r="B77" s="159"/>
      <x:c r="C77" s="159"/>
      <x:c r="D77" s="159"/>
      <x:c r="E77" s="159"/>
      <x:c r="F77" s="159"/>
      <x:c r="G77" s="159"/>
      <x:c r="H77" s="159"/>
      <x:c r="I77" s="159"/>
      <x:c r="J77" s="159"/>
      <x:c r="K77" s="159"/>
      <x:c r="L77" s="159"/>
      <x:c r="M77" s="159"/>
      <x:c r="N77" s="159"/>
      <x:c r="O77" s="159"/>
      <x:c r="P77" s="159"/>
      <x:c r="Q77" s="159"/>
      <x:c r="R77" s="159"/>
      <x:c r="S77" s="159"/>
      <x:c r="T77" s="159"/>
      <x:c r="U77" s="159"/>
      <x:c r="V77" s="159"/>
      <x:c r="W77" s="159"/>
      <x:c r="X77" s="159"/>
      <x:c r="Y77" s="159"/>
      <x:c r="Z77" s="159"/>
      <x:c r="AA77" s="159"/>
      <x:c r="AB77" s="159"/>
      <x:c r="AC77" s="159"/>
      <x:c r="AD77" s="159"/>
      <x:c r="AE77" s="159"/>
      <x:c r="AF77" s="159"/>
      <x:c r="AG77" s="159"/>
      <x:c r="AH77" s="159"/>
      <x:c r="AI77" s="159"/>
      <x:c r="AJ77" s="159"/>
      <x:c r="AK77" s="159"/>
      <x:c r="AL77" s="159"/>
      <x:c r="AM77" s="159"/>
      <x:c r="AN77" s="159"/>
      <x:c r="AO77" s="159"/>
      <x:c r="AP77" s="159"/>
      <x:c r="AQ77" s="159"/>
      <x:c r="AR77" s="159"/>
      <x:c r="AS77" s="159"/>
      <x:c r="AT77" s="159"/>
      <x:c r="AU77" s="159"/>
      <x:c r="AV77" s="159"/>
      <x:c r="AW77" s="159"/>
      <x:c r="AX77" s="159"/>
      <x:c r="AY77" s="159"/>
      <x:c r="AZ77" s="159"/>
    </x:row>
    <x:row r="78">
      <x:c r="A78" s="159"/>
      <x:c r="B78" s="159"/>
      <x:c r="C78" s="159"/>
      <x:c r="D78" s="159"/>
      <x:c r="E78" s="159"/>
      <x:c r="F78" s="159"/>
      <x:c r="G78" s="159"/>
      <x:c r="H78" s="159"/>
      <x:c r="I78" s="159"/>
      <x:c r="J78" s="159"/>
      <x:c r="K78" s="159"/>
      <x:c r="L78" s="159"/>
      <x:c r="M78" s="159"/>
      <x:c r="N78" s="159"/>
      <x:c r="O78" s="159"/>
      <x:c r="P78" s="159"/>
      <x:c r="Q78" s="159"/>
      <x:c r="R78" s="159"/>
      <x:c r="S78" s="159"/>
      <x:c r="T78" s="159"/>
      <x:c r="U78" s="159"/>
      <x:c r="V78" s="159"/>
      <x:c r="W78" s="159"/>
      <x:c r="X78" s="159"/>
      <x:c r="Y78" s="159"/>
      <x:c r="Z78" s="159"/>
      <x:c r="AA78" s="159"/>
      <x:c r="AB78" s="159"/>
      <x:c r="AC78" s="159"/>
      <x:c r="AD78" s="159"/>
      <x:c r="AE78" s="159"/>
      <x:c r="AF78" s="159"/>
      <x:c r="AG78" s="159"/>
      <x:c r="AH78" s="159"/>
      <x:c r="AI78" s="159"/>
      <x:c r="AJ78" s="159"/>
      <x:c r="AK78" s="159"/>
      <x:c r="AL78" s="159"/>
      <x:c r="AM78" s="159"/>
      <x:c r="AN78" s="159"/>
      <x:c r="AO78" s="159"/>
      <x:c r="AP78" s="159"/>
      <x:c r="AQ78" s="159"/>
      <x:c r="AR78" s="159"/>
      <x:c r="AS78" s="159"/>
      <x:c r="AT78" s="159"/>
      <x:c r="AU78" s="159"/>
      <x:c r="AV78" s="159"/>
      <x:c r="AW78" s="159"/>
      <x:c r="AX78" s="159"/>
      <x:c r="AY78" s="159"/>
      <x:c r="AZ78" s="159"/>
    </x:row>
    <x:row r="79">
      <x:c r="A79" s="159"/>
      <x:c r="B79" s="159"/>
      <x:c r="C79" s="159"/>
      <x:c r="D79" s="159"/>
      <x:c r="E79" s="159"/>
      <x:c r="F79" s="159"/>
      <x:c r="G79" s="159"/>
      <x:c r="H79" s="159"/>
      <x:c r="I79" s="159"/>
      <x:c r="J79" s="159"/>
      <x:c r="K79" s="159"/>
      <x:c r="L79" s="159"/>
      <x:c r="M79" s="159"/>
      <x:c r="N79" s="159"/>
      <x:c r="O79" s="159"/>
      <x:c r="P79" s="159"/>
      <x:c r="Q79" s="159"/>
      <x:c r="R79" s="159"/>
      <x:c r="S79" s="159"/>
      <x:c r="T79" s="159"/>
      <x:c r="U79" s="159"/>
      <x:c r="V79" s="159"/>
      <x:c r="W79" s="159"/>
      <x:c r="X79" s="159"/>
      <x:c r="Y79" s="159"/>
      <x:c r="Z79" s="159"/>
      <x:c r="AA79" s="159"/>
      <x:c r="AB79" s="159"/>
      <x:c r="AC79" s="159"/>
      <x:c r="AD79" s="159"/>
      <x:c r="AE79" s="159"/>
      <x:c r="AF79" s="159"/>
      <x:c r="AG79" s="159"/>
      <x:c r="AH79" s="159"/>
      <x:c r="AI79" s="159"/>
      <x:c r="AJ79" s="159"/>
      <x:c r="AK79" s="159"/>
      <x:c r="AL79" s="159"/>
      <x:c r="AM79" s="159"/>
      <x:c r="AN79" s="159"/>
      <x:c r="AO79" s="159"/>
      <x:c r="AP79" s="159"/>
      <x:c r="AQ79" s="159"/>
      <x:c r="AR79" s="159"/>
      <x:c r="AS79" s="159"/>
      <x:c r="AT79" s="159"/>
      <x:c r="AU79" s="159"/>
      <x:c r="AV79" s="159"/>
      <x:c r="AW79" s="159"/>
      <x:c r="AX79" s="159"/>
      <x:c r="AY79" s="159"/>
      <x:c r="AZ79" s="159"/>
    </x:row>
    <x:row r="80">
      <x:c r="A80" s="159"/>
      <x:c r="B80" s="159"/>
      <x:c r="C80" s="159"/>
      <x:c r="D80" s="159"/>
      <x:c r="E80" s="159"/>
      <x:c r="F80" s="159"/>
      <x:c r="G80" s="159"/>
      <x:c r="H80" s="159"/>
      <x:c r="I80" s="159"/>
      <x:c r="J80" s="159"/>
      <x:c r="K80" s="159"/>
      <x:c r="L80" s="159"/>
      <x:c r="M80" s="159"/>
      <x:c r="N80" s="159"/>
      <x:c r="O80" s="159"/>
      <x:c r="P80" s="159"/>
      <x:c r="Q80" s="159"/>
      <x:c r="R80" s="159"/>
      <x:c r="S80" s="159"/>
      <x:c r="T80" s="159"/>
      <x:c r="U80" s="159"/>
      <x:c r="V80" s="159"/>
      <x:c r="W80" s="159"/>
      <x:c r="X80" s="159"/>
      <x:c r="Y80" s="159"/>
      <x:c r="Z80" s="159"/>
      <x:c r="AA80" s="159"/>
      <x:c r="AB80" s="159"/>
      <x:c r="AC80" s="159"/>
      <x:c r="AD80" s="159"/>
      <x:c r="AE80" s="159"/>
      <x:c r="AF80" s="159"/>
      <x:c r="AG80" s="159"/>
      <x:c r="AH80" s="159"/>
      <x:c r="AI80" s="159"/>
      <x:c r="AJ80" s="159"/>
      <x:c r="AK80" s="159"/>
      <x:c r="AL80" s="159"/>
      <x:c r="AM80" s="159"/>
      <x:c r="AN80" s="159"/>
      <x:c r="AO80" s="159"/>
      <x:c r="AP80" s="159"/>
      <x:c r="AQ80" s="159"/>
      <x:c r="AR80" s="159"/>
      <x:c r="AS80" s="159"/>
      <x:c r="AT80" s="159"/>
      <x:c r="AU80" s="159"/>
      <x:c r="AV80" s="159"/>
      <x:c r="AW80" s="159"/>
      <x:c r="AX80" s="159"/>
      <x:c r="AY80" s="159"/>
      <x:c r="AZ80" s="159"/>
    </x:row>
    <x:row r="81">
      <x:c r="A81" s="159"/>
      <x:c r="B81" s="159"/>
      <x:c r="C81" s="159"/>
      <x:c r="D81" s="159"/>
      <x:c r="E81" s="159"/>
      <x:c r="F81" s="159"/>
      <x:c r="G81" s="159"/>
      <x:c r="H81" s="159"/>
      <x:c r="I81" s="159"/>
      <x:c r="J81" s="159"/>
      <x:c r="K81" s="159"/>
      <x:c r="L81" s="159"/>
      <x:c r="M81" s="159"/>
      <x:c r="N81" s="159"/>
      <x:c r="O81" s="159"/>
      <x:c r="P81" s="159"/>
      <x:c r="Q81" s="159"/>
      <x:c r="R81" s="159"/>
      <x:c r="S81" s="159"/>
      <x:c r="T81" s="159"/>
      <x:c r="U81" s="159"/>
      <x:c r="V81" s="159"/>
      <x:c r="W81" s="159"/>
      <x:c r="X81" s="159"/>
      <x:c r="Y81" s="159"/>
      <x:c r="Z81" s="159"/>
      <x:c r="AA81" s="159"/>
      <x:c r="AB81" s="159"/>
      <x:c r="AC81" s="159"/>
      <x:c r="AD81" s="159"/>
      <x:c r="AE81" s="159"/>
      <x:c r="AF81" s="159"/>
      <x:c r="AG81" s="159"/>
      <x:c r="AH81" s="159"/>
      <x:c r="AI81" s="159"/>
      <x:c r="AJ81" s="159"/>
      <x:c r="AK81" s="159"/>
      <x:c r="AL81" s="159"/>
      <x:c r="AM81" s="159"/>
      <x:c r="AN81" s="159"/>
      <x:c r="AO81" s="159"/>
      <x:c r="AP81" s="159"/>
      <x:c r="AQ81" s="159"/>
      <x:c r="AR81" s="159"/>
      <x:c r="AS81" s="159"/>
      <x:c r="AT81" s="159"/>
      <x:c r="AU81" s="159"/>
      <x:c r="AV81" s="159"/>
      <x:c r="AW81" s="159"/>
      <x:c r="AX81" s="159"/>
      <x:c r="AY81" s="159"/>
      <x:c r="AZ81" s="159"/>
    </x:row>
    <x:row r="82">
      <x:c r="A82" s="159"/>
      <x:c r="B82" s="159"/>
      <x:c r="C82" s="159"/>
      <x:c r="D82" s="159"/>
      <x:c r="E82" s="159"/>
      <x:c r="F82" s="159"/>
      <x:c r="G82" s="159"/>
      <x:c r="H82" s="159"/>
      <x:c r="I82" s="159"/>
      <x:c r="J82" s="159"/>
      <x:c r="K82" s="159"/>
      <x:c r="L82" s="159"/>
      <x:c r="M82" s="159"/>
      <x:c r="N82" s="159"/>
      <x:c r="O82" s="159"/>
      <x:c r="P82" s="159"/>
      <x:c r="Q82" s="159"/>
      <x:c r="R82" s="159"/>
      <x:c r="S82" s="159"/>
      <x:c r="T82" s="159"/>
      <x:c r="U82" s="159"/>
      <x:c r="V82" s="159"/>
      <x:c r="W82" s="159"/>
      <x:c r="X82" s="159"/>
      <x:c r="Y82" s="159"/>
      <x:c r="Z82" s="159"/>
      <x:c r="AA82" s="159"/>
      <x:c r="AB82" s="159"/>
      <x:c r="AC82" s="159"/>
      <x:c r="AD82" s="159"/>
      <x:c r="AE82" s="159"/>
      <x:c r="AF82" s="159"/>
      <x:c r="AG82" s="159"/>
      <x:c r="AH82" s="159"/>
      <x:c r="AI82" s="159"/>
      <x:c r="AJ82" s="159"/>
      <x:c r="AK82" s="159"/>
      <x:c r="AL82" s="159"/>
      <x:c r="AM82" s="159"/>
      <x:c r="AN82" s="159"/>
      <x:c r="AO82" s="159"/>
      <x:c r="AP82" s="159"/>
      <x:c r="AQ82" s="159"/>
      <x:c r="AR82" s="159"/>
      <x:c r="AS82" s="159"/>
      <x:c r="AT82" s="159"/>
      <x:c r="AU82" s="159"/>
      <x:c r="AV82" s="159"/>
      <x:c r="AW82" s="159"/>
      <x:c r="AX82" s="159"/>
      <x:c r="AY82" s="159"/>
      <x:c r="AZ82" s="159"/>
    </x:row>
    <x:row r="83">
      <x:c r="A83" s="159"/>
      <x:c r="B83" s="159"/>
      <x:c r="C83" s="159"/>
      <x:c r="D83" s="159"/>
      <x:c r="E83" s="159"/>
      <x:c r="F83" s="159"/>
      <x:c r="G83" s="159"/>
      <x:c r="H83" s="159"/>
      <x:c r="I83" s="159"/>
      <x:c r="J83" s="159"/>
      <x:c r="K83" s="159"/>
      <x:c r="L83" s="159"/>
      <x:c r="M83" s="159"/>
      <x:c r="N83" s="159"/>
      <x:c r="O83" s="159"/>
      <x:c r="P83" s="159"/>
      <x:c r="Q83" s="159"/>
      <x:c r="R83" s="159"/>
      <x:c r="S83" s="159"/>
      <x:c r="T83" s="159"/>
      <x:c r="U83" s="159"/>
      <x:c r="V83" s="159"/>
      <x:c r="W83" s="159"/>
      <x:c r="X83" s="159"/>
      <x:c r="Y83" s="159"/>
      <x:c r="Z83" s="159"/>
      <x:c r="AA83" s="159"/>
      <x:c r="AB83" s="159"/>
      <x:c r="AC83" s="159"/>
      <x:c r="AD83" s="159"/>
      <x:c r="AE83" s="159"/>
      <x:c r="AF83" s="159"/>
      <x:c r="AG83" s="159"/>
      <x:c r="AH83" s="159"/>
      <x:c r="AI83" s="159"/>
      <x:c r="AJ83" s="159"/>
      <x:c r="AK83" s="159"/>
      <x:c r="AL83" s="159"/>
      <x:c r="AM83" s="159"/>
      <x:c r="AN83" s="159"/>
      <x:c r="AO83" s="159"/>
      <x:c r="AP83" s="159"/>
      <x:c r="AQ83" s="159"/>
      <x:c r="AR83" s="159"/>
      <x:c r="AS83" s="159"/>
      <x:c r="AT83" s="159"/>
      <x:c r="AU83" s="159"/>
      <x:c r="AV83" s="159"/>
      <x:c r="AW83" s="159"/>
      <x:c r="AX83" s="159"/>
      <x:c r="AY83" s="159"/>
      <x:c r="AZ83" s="159"/>
    </x:row>
    <x:row r="84">
      <x:c r="A84" s="159"/>
      <x:c r="B84" s="159"/>
      <x:c r="C84" s="159"/>
      <x:c r="D84" s="159"/>
      <x:c r="E84" s="159"/>
      <x:c r="F84" s="159"/>
      <x:c r="G84" s="159"/>
      <x:c r="H84" s="159"/>
      <x:c r="I84" s="159"/>
      <x:c r="J84" s="159"/>
      <x:c r="K84" s="159"/>
      <x:c r="L84" s="159"/>
      <x:c r="M84" s="159"/>
      <x:c r="N84" s="159"/>
      <x:c r="O84" s="159"/>
      <x:c r="P84" s="159"/>
      <x:c r="Q84" s="159"/>
      <x:c r="R84" s="159"/>
      <x:c r="S84" s="159"/>
      <x:c r="T84" s="159"/>
      <x:c r="U84" s="159"/>
      <x:c r="V84" s="159"/>
      <x:c r="W84" s="159"/>
      <x:c r="X84" s="159"/>
      <x:c r="Y84" s="159"/>
      <x:c r="Z84" s="159"/>
      <x:c r="AA84" s="159"/>
      <x:c r="AB84" s="159"/>
      <x:c r="AC84" s="159"/>
      <x:c r="AD84" s="159"/>
      <x:c r="AE84" s="159"/>
      <x:c r="AF84" s="159"/>
      <x:c r="AG84" s="159"/>
      <x:c r="AH84" s="159"/>
      <x:c r="AI84" s="159"/>
      <x:c r="AJ84" s="159"/>
      <x:c r="AK84" s="159"/>
      <x:c r="AL84" s="159"/>
      <x:c r="AM84" s="159"/>
      <x:c r="AN84" s="159"/>
      <x:c r="AO84" s="159"/>
      <x:c r="AP84" s="159"/>
      <x:c r="AQ84" s="159"/>
      <x:c r="AR84" s="159"/>
      <x:c r="AS84" s="159"/>
      <x:c r="AT84" s="159"/>
      <x:c r="AU84" s="159"/>
      <x:c r="AV84" s="159"/>
      <x:c r="AW84" s="159"/>
      <x:c r="AX84" s="159"/>
      <x:c r="AY84" s="159"/>
      <x:c r="AZ84" s="159"/>
    </x:row>
    <x:row r="85">
      <x:c r="A85" s="159"/>
      <x:c r="B85" s="159"/>
      <x:c r="C85" s="159"/>
      <x:c r="D85" s="159"/>
      <x:c r="E85" s="159"/>
      <x:c r="F85" s="159"/>
      <x:c r="G85" s="159"/>
      <x:c r="H85" s="159"/>
      <x:c r="I85" s="159"/>
      <x:c r="J85" s="159"/>
      <x:c r="K85" s="159"/>
      <x:c r="L85" s="159"/>
      <x:c r="M85" s="159"/>
      <x:c r="N85" s="159"/>
      <x:c r="O85" s="159"/>
      <x:c r="P85" s="159"/>
      <x:c r="Q85" s="159"/>
      <x:c r="R85" s="159"/>
      <x:c r="S85" s="159"/>
      <x:c r="T85" s="159"/>
      <x:c r="U85" s="159"/>
      <x:c r="V85" s="159"/>
      <x:c r="W85" s="159"/>
      <x:c r="X85" s="159"/>
      <x:c r="Y85" s="159"/>
      <x:c r="Z85" s="159"/>
      <x:c r="AA85" s="159"/>
      <x:c r="AB85" s="159"/>
      <x:c r="AC85" s="159"/>
      <x:c r="AD85" s="159"/>
      <x:c r="AE85" s="159"/>
      <x:c r="AF85" s="159"/>
      <x:c r="AG85" s="159"/>
      <x:c r="AH85" s="159"/>
      <x:c r="AI85" s="159"/>
      <x:c r="AJ85" s="159"/>
      <x:c r="AK85" s="159"/>
      <x:c r="AL85" s="159"/>
      <x:c r="AM85" s="159"/>
      <x:c r="AN85" s="159"/>
      <x:c r="AO85" s="159"/>
      <x:c r="AP85" s="159"/>
      <x:c r="AQ85" s="159"/>
      <x:c r="AR85" s="159"/>
      <x:c r="AS85" s="159"/>
      <x:c r="AT85" s="159"/>
      <x:c r="AU85" s="159"/>
      <x:c r="AV85" s="159"/>
      <x:c r="AW85" s="159"/>
      <x:c r="AX85" s="159"/>
      <x:c r="AY85" s="159"/>
      <x:c r="AZ85" s="159"/>
    </x:row>
    <x:row r="86">
      <x:c r="A86" s="159"/>
      <x:c r="B86" s="159"/>
      <x:c r="C86" s="159"/>
      <x:c r="D86" s="159"/>
      <x:c r="E86" s="159"/>
      <x:c r="F86" s="159"/>
      <x:c r="G86" s="159"/>
      <x:c r="H86" s="159"/>
      <x:c r="I86" s="159"/>
      <x:c r="J86" s="159"/>
      <x:c r="K86" s="159"/>
      <x:c r="L86" s="159"/>
      <x:c r="M86" s="159"/>
      <x:c r="N86" s="159"/>
      <x:c r="O86" s="159"/>
      <x:c r="P86" s="159"/>
      <x:c r="Q86" s="159"/>
      <x:c r="R86" s="159"/>
      <x:c r="S86" s="159"/>
      <x:c r="T86" s="159"/>
      <x:c r="U86" s="159"/>
      <x:c r="V86" s="159"/>
      <x:c r="W86" s="159"/>
      <x:c r="X86" s="159"/>
      <x:c r="Y86" s="159"/>
      <x:c r="Z86" s="159"/>
      <x:c r="AA86" s="159"/>
      <x:c r="AB86" s="159"/>
      <x:c r="AC86" s="159"/>
      <x:c r="AD86" s="159"/>
      <x:c r="AE86" s="159"/>
      <x:c r="AF86" s="159"/>
      <x:c r="AG86" s="159"/>
      <x:c r="AH86" s="159"/>
      <x:c r="AI86" s="159"/>
      <x:c r="AJ86" s="159"/>
      <x:c r="AK86" s="159"/>
      <x:c r="AL86" s="159"/>
      <x:c r="AM86" s="159"/>
      <x:c r="AN86" s="159"/>
      <x:c r="AO86" s="159"/>
      <x:c r="AP86" s="159"/>
      <x:c r="AQ86" s="159"/>
      <x:c r="AR86" s="159"/>
      <x:c r="AS86" s="159"/>
      <x:c r="AT86" s="159"/>
      <x:c r="AU86" s="159"/>
      <x:c r="AV86" s="159"/>
      <x:c r="AW86" s="159"/>
      <x:c r="AX86" s="159"/>
      <x:c r="AY86" s="159"/>
      <x:c r="AZ86" s="159"/>
    </x:row>
    <x:row r="87">
      <x:c r="A87" s="159"/>
      <x:c r="B87" s="159"/>
      <x:c r="C87" s="159"/>
      <x:c r="D87" s="159"/>
      <x:c r="E87" s="159"/>
      <x:c r="F87" s="159"/>
      <x:c r="G87" s="159"/>
      <x:c r="H87" s="159"/>
      <x:c r="I87" s="159"/>
      <x:c r="J87" s="159"/>
      <x:c r="K87" s="159"/>
      <x:c r="L87" s="159"/>
      <x:c r="M87" s="159"/>
      <x:c r="N87" s="159"/>
      <x:c r="O87" s="159"/>
      <x:c r="P87" s="159"/>
      <x:c r="Q87" s="159"/>
      <x:c r="R87" s="159"/>
      <x:c r="S87" s="159"/>
      <x:c r="T87" s="159"/>
      <x:c r="U87" s="159"/>
      <x:c r="V87" s="159"/>
      <x:c r="W87" s="159"/>
      <x:c r="X87" s="159"/>
      <x:c r="Y87" s="159"/>
      <x:c r="Z87" s="159"/>
      <x:c r="AA87" s="159"/>
      <x:c r="AB87" s="159"/>
      <x:c r="AC87" s="159"/>
      <x:c r="AD87" s="159"/>
      <x:c r="AE87" s="159"/>
      <x:c r="AF87" s="159"/>
      <x:c r="AG87" s="159"/>
      <x:c r="AH87" s="159"/>
      <x:c r="AI87" s="159"/>
      <x:c r="AJ87" s="159"/>
      <x:c r="AK87" s="159"/>
      <x:c r="AL87" s="159"/>
      <x:c r="AM87" s="159"/>
      <x:c r="AN87" s="159"/>
      <x:c r="AO87" s="159"/>
      <x:c r="AP87" s="159"/>
      <x:c r="AQ87" s="159"/>
      <x:c r="AR87" s="159"/>
      <x:c r="AS87" s="159"/>
      <x:c r="AT87" s="159"/>
      <x:c r="AU87" s="159"/>
      <x:c r="AV87" s="159"/>
      <x:c r="AW87" s="159"/>
      <x:c r="AX87" s="159"/>
      <x:c r="AY87" s="159"/>
      <x:c r="AZ87" s="159"/>
    </x:row>
    <x:row r="88">
      <x:c r="A88" s="159"/>
      <x:c r="B88" s="159"/>
      <x:c r="C88" s="159"/>
      <x:c r="D88" s="159"/>
      <x:c r="E88" s="159"/>
      <x:c r="F88" s="159"/>
      <x:c r="G88" s="159"/>
      <x:c r="H88" s="159"/>
      <x:c r="I88" s="159"/>
      <x:c r="J88" s="159"/>
      <x:c r="K88" s="159"/>
      <x:c r="L88" s="159"/>
      <x:c r="M88" s="159"/>
      <x:c r="N88" s="159"/>
      <x:c r="O88" s="159"/>
      <x:c r="P88" s="159"/>
      <x:c r="Q88" s="159"/>
      <x:c r="R88" s="159"/>
      <x:c r="S88" s="159"/>
      <x:c r="T88" s="159"/>
      <x:c r="U88" s="159"/>
      <x:c r="V88" s="159"/>
      <x:c r="W88" s="159"/>
      <x:c r="X88" s="159"/>
      <x:c r="Y88" s="159"/>
      <x:c r="Z88" s="159"/>
      <x:c r="AA88" s="159"/>
      <x:c r="AB88" s="159"/>
      <x:c r="AC88" s="159"/>
      <x:c r="AD88" s="159"/>
      <x:c r="AE88" s="159"/>
      <x:c r="AF88" s="159"/>
      <x:c r="AG88" s="159"/>
      <x:c r="AH88" s="159"/>
      <x:c r="AI88" s="159"/>
      <x:c r="AJ88" s="159"/>
      <x:c r="AK88" s="159"/>
      <x:c r="AL88" s="159"/>
      <x:c r="AM88" s="159"/>
      <x:c r="AN88" s="159"/>
      <x:c r="AO88" s="159"/>
      <x:c r="AP88" s="159"/>
      <x:c r="AQ88" s="159"/>
      <x:c r="AR88" s="159"/>
      <x:c r="AS88" s="159"/>
      <x:c r="AT88" s="159"/>
      <x:c r="AU88" s="159"/>
      <x:c r="AV88" s="159"/>
      <x:c r="AW88" s="159"/>
      <x:c r="AX88" s="159"/>
      <x:c r="AY88" s="159"/>
      <x:c r="AZ88" s="159"/>
    </x:row>
    <x:row r="89">
      <x:c r="A89" s="159"/>
      <x:c r="B89" s="159"/>
      <x:c r="C89" s="159"/>
      <x:c r="D89" s="159"/>
      <x:c r="E89" s="159"/>
      <x:c r="F89" s="159"/>
      <x:c r="G89" s="159"/>
      <x:c r="H89" s="159"/>
      <x:c r="I89" s="159"/>
      <x:c r="J89" s="159"/>
      <x:c r="K89" s="159"/>
      <x:c r="L89" s="159"/>
      <x:c r="M89" s="159"/>
      <x:c r="N89" s="159"/>
      <x:c r="O89" s="159"/>
      <x:c r="P89" s="159"/>
      <x:c r="Q89" s="159"/>
      <x:c r="R89" s="159"/>
      <x:c r="S89" s="159"/>
      <x:c r="T89" s="159"/>
      <x:c r="U89" s="159"/>
      <x:c r="V89" s="159"/>
      <x:c r="W89" s="159"/>
      <x:c r="X89" s="159"/>
      <x:c r="Y89" s="159"/>
      <x:c r="Z89" s="159"/>
      <x:c r="AA89" s="159"/>
      <x:c r="AB89" s="159"/>
      <x:c r="AC89" s="159"/>
      <x:c r="AD89" s="159"/>
      <x:c r="AE89" s="159"/>
      <x:c r="AF89" s="159"/>
      <x:c r="AG89" s="159"/>
      <x:c r="AH89" s="159"/>
      <x:c r="AI89" s="159"/>
      <x:c r="AJ89" s="159"/>
      <x:c r="AK89" s="159"/>
      <x:c r="AL89" s="159"/>
      <x:c r="AM89" s="159"/>
      <x:c r="AN89" s="159"/>
      <x:c r="AO89" s="159"/>
      <x:c r="AP89" s="159"/>
      <x:c r="AQ89" s="159"/>
      <x:c r="AR89" s="159"/>
      <x:c r="AS89" s="159"/>
      <x:c r="AT89" s="159"/>
      <x:c r="AU89" s="159"/>
      <x:c r="AV89" s="159"/>
      <x:c r="AW89" s="159"/>
      <x:c r="AX89" s="159"/>
      <x:c r="AY89" s="159"/>
      <x:c r="AZ89" s="159"/>
    </x:row>
    <x:row r="90">
      <x:c r="A90" s="159"/>
      <x:c r="B90" s="159"/>
      <x:c r="C90" s="159"/>
      <x:c r="D90" s="159"/>
      <x:c r="E90" s="159"/>
      <x:c r="F90" s="159"/>
      <x:c r="G90" s="159"/>
      <x:c r="H90" s="159"/>
      <x:c r="I90" s="159"/>
      <x:c r="J90" s="159"/>
      <x:c r="K90" s="159"/>
      <x:c r="L90" s="159"/>
      <x:c r="M90" s="159"/>
      <x:c r="N90" s="159"/>
      <x:c r="O90" s="159"/>
      <x:c r="P90" s="159"/>
      <x:c r="Q90" s="159"/>
      <x:c r="R90" s="159"/>
      <x:c r="S90" s="159"/>
      <x:c r="T90" s="159"/>
      <x:c r="U90" s="159"/>
      <x:c r="V90" s="159"/>
      <x:c r="W90" s="159"/>
      <x:c r="X90" s="159"/>
      <x:c r="Y90" s="159"/>
      <x:c r="Z90" s="159"/>
      <x:c r="AA90" s="159"/>
      <x:c r="AB90" s="159"/>
      <x:c r="AC90" s="159"/>
      <x:c r="AD90" s="159"/>
      <x:c r="AE90" s="159"/>
      <x:c r="AF90" s="159"/>
      <x:c r="AG90" s="159"/>
      <x:c r="AH90" s="159"/>
      <x:c r="AI90" s="159"/>
      <x:c r="AJ90" s="159"/>
      <x:c r="AK90" s="159"/>
      <x:c r="AL90" s="159"/>
      <x:c r="AM90" s="159"/>
      <x:c r="AN90" s="159"/>
      <x:c r="AO90" s="159"/>
      <x:c r="AP90" s="159"/>
      <x:c r="AQ90" s="159"/>
      <x:c r="AR90" s="159"/>
      <x:c r="AS90" s="159"/>
      <x:c r="AT90" s="159"/>
      <x:c r="AU90" s="159"/>
      <x:c r="AV90" s="159"/>
      <x:c r="AW90" s="159"/>
      <x:c r="AX90" s="159"/>
      <x:c r="AY90" s="159"/>
      <x:c r="AZ90" s="159"/>
    </x:row>
    <x:row r="91">
      <x:c r="A91" s="159"/>
      <x:c r="B91" s="159"/>
      <x:c r="C91" s="159"/>
      <x:c r="D91" s="159"/>
      <x:c r="E91" s="159"/>
      <x:c r="F91" s="159"/>
      <x:c r="G91" s="159"/>
      <x:c r="H91" s="159"/>
      <x:c r="I91" s="159"/>
      <x:c r="J91" s="159"/>
      <x:c r="K91" s="159"/>
      <x:c r="L91" s="159"/>
      <x:c r="M91" s="159"/>
      <x:c r="N91" s="159"/>
      <x:c r="O91" s="159"/>
      <x:c r="P91" s="159"/>
      <x:c r="Q91" s="159"/>
      <x:c r="R91" s="159"/>
      <x:c r="S91" s="159"/>
      <x:c r="T91" s="159"/>
      <x:c r="U91" s="159"/>
      <x:c r="V91" s="159"/>
      <x:c r="W91" s="159"/>
      <x:c r="X91" s="159"/>
      <x:c r="Y91" s="159"/>
      <x:c r="Z91" s="159"/>
      <x:c r="AA91" s="159"/>
      <x:c r="AB91" s="159"/>
      <x:c r="AC91" s="159"/>
      <x:c r="AD91" s="159"/>
      <x:c r="AE91" s="159"/>
      <x:c r="AF91" s="159"/>
      <x:c r="AG91" s="159"/>
      <x:c r="AH91" s="159"/>
      <x:c r="AI91" s="159"/>
      <x:c r="AJ91" s="159"/>
      <x:c r="AK91" s="159"/>
      <x:c r="AL91" s="159"/>
      <x:c r="AM91" s="159"/>
      <x:c r="AN91" s="159"/>
      <x:c r="AO91" s="159"/>
      <x:c r="AP91" s="159"/>
      <x:c r="AQ91" s="159"/>
      <x:c r="AR91" s="159"/>
      <x:c r="AS91" s="159"/>
      <x:c r="AT91" s="159"/>
      <x:c r="AU91" s="159"/>
      <x:c r="AV91" s="159"/>
      <x:c r="AW91" s="159"/>
      <x:c r="AX91" s="159"/>
      <x:c r="AY91" s="159"/>
      <x:c r="AZ91" s="159"/>
    </x:row>
    <x:row r="92">
      <x:c r="A92" s="159"/>
      <x:c r="B92" s="159"/>
      <x:c r="C92" s="159"/>
      <x:c r="D92" s="159"/>
      <x:c r="E92" s="159"/>
      <x:c r="F92" s="159"/>
      <x:c r="G92" s="159"/>
      <x:c r="H92" s="159"/>
      <x:c r="I92" s="159"/>
      <x:c r="J92" s="159"/>
      <x:c r="K92" s="159"/>
      <x:c r="L92" s="159"/>
      <x:c r="M92" s="159"/>
      <x:c r="N92" s="159"/>
      <x:c r="O92" s="159"/>
      <x:c r="P92" s="159"/>
      <x:c r="Q92" s="159"/>
      <x:c r="R92" s="159"/>
      <x:c r="S92" s="159"/>
      <x:c r="T92" s="159"/>
      <x:c r="U92" s="159"/>
      <x:c r="V92" s="159"/>
      <x:c r="W92" s="159"/>
      <x:c r="X92" s="159"/>
      <x:c r="Y92" s="159"/>
      <x:c r="Z92" s="159"/>
      <x:c r="AA92" s="159"/>
      <x:c r="AB92" s="159"/>
      <x:c r="AC92" s="159"/>
      <x:c r="AD92" s="159"/>
      <x:c r="AE92" s="159"/>
      <x:c r="AF92" s="159"/>
      <x:c r="AG92" s="159"/>
      <x:c r="AH92" s="159"/>
      <x:c r="AI92" s="159"/>
      <x:c r="AJ92" s="159"/>
      <x:c r="AK92" s="159"/>
      <x:c r="AL92" s="159"/>
      <x:c r="AM92" s="159"/>
      <x:c r="AN92" s="159"/>
      <x:c r="AO92" s="159"/>
      <x:c r="AP92" s="159"/>
      <x:c r="AQ92" s="159"/>
      <x:c r="AR92" s="159"/>
      <x:c r="AS92" s="159"/>
      <x:c r="AT92" s="159"/>
      <x:c r="AU92" s="159"/>
      <x:c r="AV92" s="159"/>
      <x:c r="AW92" s="159"/>
      <x:c r="AX92" s="159"/>
      <x:c r="AY92" s="159"/>
      <x:c r="AZ92" s="159"/>
    </x:row>
    <x:row r="93">
      <x:c r="A93" s="159"/>
      <x:c r="B93" s="159"/>
      <x:c r="C93" s="159"/>
      <x:c r="D93" s="159"/>
      <x:c r="E93" s="159"/>
      <x:c r="F93" s="159"/>
      <x:c r="G93" s="159"/>
      <x:c r="H93" s="159"/>
      <x:c r="I93" s="159"/>
      <x:c r="J93" s="159"/>
      <x:c r="K93" s="159"/>
      <x:c r="L93" s="159"/>
      <x:c r="M93" s="159"/>
      <x:c r="N93" s="159"/>
      <x:c r="O93" s="159"/>
      <x:c r="P93" s="159"/>
      <x:c r="Q93" s="159"/>
      <x:c r="R93" s="159"/>
      <x:c r="S93" s="159"/>
      <x:c r="T93" s="159"/>
      <x:c r="U93" s="159"/>
      <x:c r="V93" s="159"/>
      <x:c r="W93" s="159"/>
      <x:c r="X93" s="159"/>
      <x:c r="Y93" s="159"/>
      <x:c r="Z93" s="159"/>
      <x:c r="AA93" s="159"/>
      <x:c r="AB93" s="159"/>
      <x:c r="AC93" s="159"/>
      <x:c r="AD93" s="159"/>
      <x:c r="AE93" s="159"/>
      <x:c r="AF93" s="159"/>
      <x:c r="AG93" s="159"/>
      <x:c r="AH93" s="159"/>
      <x:c r="AI93" s="159"/>
      <x:c r="AJ93" s="159"/>
      <x:c r="AK93" s="159"/>
      <x:c r="AL93" s="159"/>
      <x:c r="AM93" s="159"/>
      <x:c r="AN93" s="159"/>
      <x:c r="AO93" s="159"/>
      <x:c r="AP93" s="159"/>
      <x:c r="AQ93" s="159"/>
      <x:c r="AR93" s="159"/>
      <x:c r="AS93" s="159"/>
      <x:c r="AT93" s="159"/>
      <x:c r="AU93" s="159"/>
      <x:c r="AV93" s="159"/>
      <x:c r="AW93" s="159"/>
      <x:c r="AX93" s="159"/>
      <x:c r="AY93" s="159"/>
      <x:c r="AZ93" s="159"/>
    </x:row>
    <x:row r="94">
      <x:c r="A94" s="159"/>
      <x:c r="B94" s="159"/>
      <x:c r="C94" s="159"/>
      <x:c r="D94" s="159"/>
      <x:c r="E94" s="159"/>
      <x:c r="F94" s="159"/>
      <x:c r="G94" s="159"/>
      <x:c r="H94" s="159"/>
      <x:c r="I94" s="159"/>
      <x:c r="J94" s="159"/>
      <x:c r="K94" s="159"/>
      <x:c r="L94" s="159"/>
      <x:c r="M94" s="159"/>
      <x:c r="N94" s="159"/>
      <x:c r="O94" s="159"/>
      <x:c r="P94" s="159"/>
      <x:c r="Q94" s="159"/>
      <x:c r="R94" s="159"/>
      <x:c r="S94" s="159"/>
      <x:c r="T94" s="159"/>
      <x:c r="U94" s="159"/>
      <x:c r="V94" s="159"/>
      <x:c r="W94" s="159"/>
      <x:c r="X94" s="159"/>
      <x:c r="Y94" s="159"/>
      <x:c r="Z94" s="159"/>
      <x:c r="AA94" s="159"/>
      <x:c r="AB94" s="159"/>
      <x:c r="AC94" s="159"/>
      <x:c r="AD94" s="159"/>
      <x:c r="AE94" s="159"/>
      <x:c r="AF94" s="159"/>
      <x:c r="AG94" s="159"/>
      <x:c r="AH94" s="159"/>
      <x:c r="AI94" s="159"/>
      <x:c r="AJ94" s="159"/>
      <x:c r="AK94" s="159"/>
      <x:c r="AL94" s="159"/>
      <x:c r="AM94" s="159"/>
      <x:c r="AN94" s="159"/>
      <x:c r="AO94" s="159"/>
      <x:c r="AP94" s="159"/>
      <x:c r="AQ94" s="159"/>
      <x:c r="AR94" s="159"/>
      <x:c r="AS94" s="159"/>
      <x:c r="AT94" s="159"/>
      <x:c r="AU94" s="159"/>
      <x:c r="AV94" s="159"/>
      <x:c r="AW94" s="159"/>
      <x:c r="AX94" s="159"/>
      <x:c r="AY94" s="159"/>
      <x:c r="AZ94" s="159"/>
    </x:row>
    <x:row r="95">
      <x:c r="A95" s="159"/>
      <x:c r="B95" s="159"/>
      <x:c r="C95" s="159"/>
      <x:c r="D95" s="159"/>
      <x:c r="E95" s="159"/>
      <x:c r="F95" s="159"/>
      <x:c r="G95" s="159"/>
      <x:c r="H95" s="159"/>
      <x:c r="I95" s="159"/>
      <x:c r="J95" s="159"/>
      <x:c r="K95" s="159"/>
      <x:c r="L95" s="159"/>
      <x:c r="M95" s="159"/>
      <x:c r="N95" s="159"/>
      <x:c r="O95" s="159"/>
      <x:c r="P95" s="159"/>
      <x:c r="Q95" s="159"/>
      <x:c r="R95" s="159"/>
      <x:c r="S95" s="159"/>
      <x:c r="T95" s="159"/>
      <x:c r="U95" s="159"/>
      <x:c r="V95" s="159"/>
      <x:c r="W95" s="159"/>
      <x:c r="X95" s="159"/>
      <x:c r="Y95" s="159"/>
      <x:c r="Z95" s="159"/>
      <x:c r="AA95" s="159"/>
      <x:c r="AB95" s="159"/>
      <x:c r="AC95" s="159"/>
      <x:c r="AD95" s="159"/>
      <x:c r="AE95" s="159"/>
      <x:c r="AF95" s="159"/>
      <x:c r="AG95" s="159"/>
      <x:c r="AH95" s="159"/>
      <x:c r="AI95" s="159"/>
      <x:c r="AJ95" s="159"/>
      <x:c r="AK95" s="159"/>
      <x:c r="AL95" s="159"/>
      <x:c r="AM95" s="159"/>
      <x:c r="AN95" s="159"/>
      <x:c r="AO95" s="159"/>
      <x:c r="AP95" s="159"/>
      <x:c r="AQ95" s="159"/>
      <x:c r="AR95" s="159"/>
      <x:c r="AS95" s="159"/>
      <x:c r="AT95" s="159"/>
      <x:c r="AU95" s="159"/>
      <x:c r="AV95" s="159"/>
      <x:c r="AW95" s="159"/>
      <x:c r="AX95" s="159"/>
      <x:c r="AY95" s="159"/>
      <x:c r="AZ95" s="159"/>
    </x:row>
    <x:row r="96">
      <x:c r="A96" s="159"/>
      <x:c r="B96" s="159"/>
      <x:c r="C96" s="159"/>
      <x:c r="D96" s="159"/>
      <x:c r="E96" s="159"/>
      <x:c r="F96" s="159"/>
      <x:c r="G96" s="159"/>
      <x:c r="H96" s="159"/>
      <x:c r="I96" s="159"/>
      <x:c r="J96" s="159"/>
      <x:c r="K96" s="159"/>
      <x:c r="L96" s="159"/>
      <x:c r="M96" s="159"/>
      <x:c r="N96" s="159"/>
      <x:c r="O96" s="159"/>
      <x:c r="P96" s="159"/>
      <x:c r="Q96" s="159"/>
      <x:c r="R96" s="159"/>
      <x:c r="S96" s="159"/>
      <x:c r="T96" s="159"/>
      <x:c r="U96" s="159"/>
      <x:c r="V96" s="159"/>
      <x:c r="W96" s="159"/>
      <x:c r="X96" s="159"/>
      <x:c r="Y96" s="159"/>
      <x:c r="Z96" s="159"/>
      <x:c r="AA96" s="159"/>
      <x:c r="AB96" s="159"/>
      <x:c r="AC96" s="159"/>
      <x:c r="AD96" s="159"/>
      <x:c r="AE96" s="159"/>
      <x:c r="AF96" s="159"/>
      <x:c r="AG96" s="159"/>
      <x:c r="AH96" s="159"/>
      <x:c r="AI96" s="159"/>
      <x:c r="AJ96" s="159"/>
      <x:c r="AK96" s="159"/>
      <x:c r="AL96" s="159"/>
      <x:c r="AM96" s="159"/>
      <x:c r="AN96" s="159"/>
      <x:c r="AO96" s="159"/>
      <x:c r="AP96" s="159"/>
      <x:c r="AQ96" s="159"/>
      <x:c r="AR96" s="159"/>
      <x:c r="AS96" s="159"/>
      <x:c r="AT96" s="159"/>
      <x:c r="AU96" s="159"/>
      <x:c r="AV96" s="159"/>
      <x:c r="AW96" s="159"/>
      <x:c r="AX96" s="159"/>
      <x:c r="AY96" s="159"/>
      <x:c r="AZ96" s="159"/>
    </x:row>
    <x:row r="97">
      <x:c r="A97" s="159"/>
      <x:c r="B97" s="159"/>
      <x:c r="C97" s="159"/>
      <x:c r="D97" s="159"/>
      <x:c r="E97" s="159"/>
      <x:c r="F97" s="159"/>
      <x:c r="G97" s="159"/>
      <x:c r="H97" s="159"/>
      <x:c r="I97" s="159"/>
      <x:c r="J97" s="159"/>
      <x:c r="K97" s="159"/>
      <x:c r="L97" s="159"/>
      <x:c r="M97" s="159"/>
      <x:c r="N97" s="159"/>
      <x:c r="O97" s="159"/>
      <x:c r="P97" s="159"/>
      <x:c r="Q97" s="159"/>
      <x:c r="R97" s="159"/>
      <x:c r="S97" s="159"/>
      <x:c r="T97" s="159"/>
      <x:c r="U97" s="159"/>
      <x:c r="V97" s="159"/>
      <x:c r="W97" s="159"/>
      <x:c r="X97" s="159"/>
      <x:c r="Y97" s="159"/>
      <x:c r="Z97" s="159"/>
      <x:c r="AA97" s="159"/>
      <x:c r="AB97" s="159"/>
      <x:c r="AC97" s="159"/>
      <x:c r="AD97" s="159"/>
      <x:c r="AE97" s="159"/>
      <x:c r="AF97" s="159"/>
      <x:c r="AG97" s="159"/>
      <x:c r="AH97" s="159"/>
      <x:c r="AI97" s="159"/>
      <x:c r="AJ97" s="159"/>
      <x:c r="AK97" s="159"/>
      <x:c r="AL97" s="159"/>
      <x:c r="AM97" s="159"/>
      <x:c r="AN97" s="159"/>
      <x:c r="AO97" s="159"/>
      <x:c r="AP97" s="159"/>
      <x:c r="AQ97" s="159"/>
      <x:c r="AR97" s="159"/>
      <x:c r="AS97" s="159"/>
      <x:c r="AT97" s="159"/>
      <x:c r="AU97" s="159"/>
      <x:c r="AV97" s="159"/>
      <x:c r="AW97" s="159"/>
      <x:c r="AX97" s="159"/>
      <x:c r="AY97" s="159"/>
      <x:c r="AZ97" s="159"/>
    </x:row>
    <x:row r="98">
      <x:c r="A98" s="159"/>
      <x:c r="B98" s="159"/>
      <x:c r="C98" s="159"/>
      <x:c r="D98" s="159"/>
      <x:c r="E98" s="159"/>
      <x:c r="F98" s="159"/>
      <x:c r="G98" s="159"/>
      <x:c r="H98" s="159"/>
      <x:c r="I98" s="159"/>
      <x:c r="J98" s="159"/>
      <x:c r="K98" s="159"/>
      <x:c r="L98" s="159"/>
      <x:c r="M98" s="159"/>
      <x:c r="N98" s="159"/>
      <x:c r="O98" s="159"/>
      <x:c r="P98" s="159"/>
      <x:c r="Q98" s="159"/>
      <x:c r="R98" s="159"/>
      <x:c r="S98" s="159"/>
      <x:c r="T98" s="159"/>
      <x:c r="U98" s="159"/>
      <x:c r="V98" s="159"/>
      <x:c r="W98" s="159"/>
      <x:c r="X98" s="159"/>
      <x:c r="Y98" s="159"/>
      <x:c r="Z98" s="159"/>
      <x:c r="AA98" s="159"/>
      <x:c r="AB98" s="159"/>
      <x:c r="AC98" s="159"/>
      <x:c r="AD98" s="159"/>
      <x:c r="AE98" s="159"/>
      <x:c r="AF98" s="159"/>
      <x:c r="AG98" s="159"/>
      <x:c r="AH98" s="159"/>
      <x:c r="AI98" s="159"/>
      <x:c r="AJ98" s="159"/>
      <x:c r="AK98" s="159"/>
      <x:c r="AL98" s="159"/>
      <x:c r="AM98" s="159"/>
      <x:c r="AN98" s="159"/>
      <x:c r="AO98" s="159"/>
      <x:c r="AP98" s="159"/>
      <x:c r="AQ98" s="159"/>
      <x:c r="AR98" s="159"/>
      <x:c r="AS98" s="159"/>
      <x:c r="AT98" s="159"/>
      <x:c r="AU98" s="159"/>
      <x:c r="AV98" s="159"/>
      <x:c r="AW98" s="159"/>
      <x:c r="AX98" s="159"/>
      <x:c r="AY98" s="159"/>
      <x:c r="AZ98" s="159"/>
    </x:row>
    <x:row r="99">
      <x:c r="A99" s="159"/>
      <x:c r="B99" s="159"/>
      <x:c r="C99" s="159"/>
      <x:c r="D99" s="159"/>
      <x:c r="E99" s="159"/>
      <x:c r="F99" s="159"/>
      <x:c r="G99" s="159"/>
      <x:c r="H99" s="159"/>
      <x:c r="I99" s="159"/>
      <x:c r="J99" s="159"/>
      <x:c r="K99" s="159"/>
      <x:c r="L99" s="159"/>
      <x:c r="M99" s="159"/>
      <x:c r="N99" s="159"/>
      <x:c r="O99" s="159"/>
      <x:c r="P99" s="159"/>
      <x:c r="Q99" s="159"/>
      <x:c r="R99" s="159"/>
      <x:c r="S99" s="159"/>
      <x:c r="T99" s="159"/>
      <x:c r="U99" s="159"/>
      <x:c r="V99" s="159"/>
      <x:c r="W99" s="159"/>
      <x:c r="X99" s="159"/>
      <x:c r="Y99" s="159"/>
      <x:c r="Z99" s="159"/>
      <x:c r="AA99" s="159"/>
      <x:c r="AB99" s="159"/>
      <x:c r="AC99" s="159"/>
      <x:c r="AD99" s="159"/>
      <x:c r="AE99" s="159"/>
      <x:c r="AF99" s="159"/>
      <x:c r="AG99" s="159"/>
      <x:c r="AH99" s="159"/>
      <x:c r="AI99" s="159"/>
      <x:c r="AJ99" s="159"/>
      <x:c r="AK99" s="159"/>
      <x:c r="AL99" s="159"/>
      <x:c r="AM99" s="159"/>
      <x:c r="AN99" s="159"/>
      <x:c r="AO99" s="159"/>
      <x:c r="AP99" s="159"/>
      <x:c r="AQ99" s="159"/>
      <x:c r="AR99" s="159"/>
      <x:c r="AS99" s="159"/>
      <x:c r="AT99" s="159"/>
      <x:c r="AU99" s="159"/>
      <x:c r="AV99" s="159"/>
      <x:c r="AW99" s="159"/>
      <x:c r="AX99" s="159"/>
      <x:c r="AY99" s="159"/>
      <x:c r="AZ99" s="159"/>
    </x:row>
    <x:row r="100">
      <x:c r="A100" s="159"/>
      <x:c r="B100" s="159"/>
      <x:c r="C100" s="159"/>
      <x:c r="D100" s="159"/>
      <x:c r="E100" s="159"/>
      <x:c r="F100" s="159"/>
      <x:c r="G100" s="159"/>
      <x:c r="H100" s="159"/>
      <x:c r="I100" s="159"/>
      <x:c r="J100" s="159"/>
      <x:c r="K100" s="159"/>
      <x:c r="L100" s="159"/>
      <x:c r="M100" s="159"/>
      <x:c r="N100" s="159"/>
      <x:c r="O100" s="159"/>
      <x:c r="P100" s="159"/>
      <x:c r="Q100" s="159"/>
      <x:c r="R100" s="159"/>
      <x:c r="S100" s="159"/>
      <x:c r="T100" s="159"/>
      <x:c r="U100" s="159"/>
      <x:c r="V100" s="159"/>
      <x:c r="W100" s="159"/>
      <x:c r="X100" s="159"/>
      <x:c r="Y100" s="159"/>
      <x:c r="Z100" s="159"/>
      <x:c r="AA100" s="159"/>
      <x:c r="AB100" s="159"/>
      <x:c r="AC100" s="159"/>
      <x:c r="AD100" s="159"/>
      <x:c r="AE100" s="159"/>
      <x:c r="AF100" s="159"/>
      <x:c r="AG100" s="159"/>
      <x:c r="AH100" s="159"/>
      <x:c r="AI100" s="159"/>
      <x:c r="AJ100" s="159"/>
      <x:c r="AK100" s="159"/>
      <x:c r="AL100" s="159"/>
      <x:c r="AM100" s="159"/>
      <x:c r="AN100" s="159"/>
      <x:c r="AO100" s="159"/>
      <x:c r="AP100" s="159"/>
      <x:c r="AQ100" s="159"/>
      <x:c r="AR100" s="159"/>
      <x:c r="AS100" s="159"/>
      <x:c r="AT100" s="159"/>
      <x:c r="AU100" s="159"/>
      <x:c r="AV100" s="159"/>
      <x:c r="AW100" s="159"/>
      <x:c r="AX100" s="159"/>
      <x:c r="AY100" s="159"/>
      <x:c r="AZ100" s="159"/>
    </x:row>
    <x:row r="101">
      <x:c r="A101" s="159"/>
      <x:c r="B101" s="159"/>
      <x:c r="C101" s="159"/>
      <x:c r="D101" s="159"/>
      <x:c r="E101" s="159"/>
      <x:c r="F101" s="159"/>
      <x:c r="G101" s="159"/>
      <x:c r="H101" s="159"/>
      <x:c r="I101" s="159"/>
      <x:c r="J101" s="159"/>
      <x:c r="K101" s="159"/>
      <x:c r="L101" s="159"/>
      <x:c r="M101" s="159"/>
      <x:c r="N101" s="159"/>
      <x:c r="O101" s="159"/>
      <x:c r="P101" s="159"/>
      <x:c r="Q101" s="159"/>
      <x:c r="R101" s="159"/>
      <x:c r="S101" s="159"/>
      <x:c r="T101" s="159"/>
      <x:c r="U101" s="159"/>
      <x:c r="V101" s="159"/>
      <x:c r="W101" s="159"/>
      <x:c r="X101" s="159"/>
      <x:c r="Y101" s="159"/>
      <x:c r="Z101" s="159"/>
      <x:c r="AA101" s="159"/>
      <x:c r="AB101" s="159"/>
      <x:c r="AC101" s="159"/>
      <x:c r="AD101" s="159"/>
      <x:c r="AE101" s="159"/>
      <x:c r="AF101" s="159"/>
      <x:c r="AG101" s="159"/>
      <x:c r="AH101" s="159"/>
      <x:c r="AI101" s="159"/>
      <x:c r="AJ101" s="159"/>
      <x:c r="AK101" s="159"/>
      <x:c r="AL101" s="159"/>
      <x:c r="AM101" s="159"/>
      <x:c r="AN101" s="159"/>
      <x:c r="AO101" s="159"/>
      <x:c r="AP101" s="159"/>
      <x:c r="AQ101" s="159"/>
      <x:c r="AR101" s="159"/>
      <x:c r="AS101" s="159"/>
      <x:c r="AT101" s="159"/>
      <x:c r="AU101" s="159"/>
      <x:c r="AV101" s="159"/>
      <x:c r="AW101" s="159"/>
      <x:c r="AX101" s="159"/>
      <x:c r="AY101" s="159"/>
      <x:c r="AZ101" s="159"/>
    </x:row>
    <x:row r="102">
      <x:c r="A102" s="159"/>
      <x:c r="B102" s="159"/>
      <x:c r="C102" s="159"/>
      <x:c r="D102" s="159"/>
      <x:c r="E102" s="159"/>
      <x:c r="F102" s="159"/>
      <x:c r="G102" s="159"/>
      <x:c r="H102" s="159"/>
      <x:c r="I102" s="159"/>
      <x:c r="J102" s="159"/>
      <x:c r="K102" s="159"/>
      <x:c r="L102" s="159"/>
      <x:c r="M102" s="159"/>
      <x:c r="N102" s="159"/>
      <x:c r="O102" s="159"/>
      <x:c r="P102" s="159"/>
      <x:c r="Q102" s="159"/>
      <x:c r="R102" s="159"/>
      <x:c r="S102" s="159"/>
      <x:c r="T102" s="159"/>
      <x:c r="U102" s="159"/>
      <x:c r="V102" s="159"/>
      <x:c r="W102" s="159"/>
      <x:c r="X102" s="159"/>
      <x:c r="Y102" s="159"/>
      <x:c r="Z102" s="159"/>
      <x:c r="AA102" s="159"/>
      <x:c r="AB102" s="159"/>
      <x:c r="AC102" s="159"/>
      <x:c r="AD102" s="159"/>
      <x:c r="AE102" s="159"/>
      <x:c r="AF102" s="159"/>
      <x:c r="AG102" s="159"/>
      <x:c r="AH102" s="159"/>
      <x:c r="AI102" s="159"/>
      <x:c r="AJ102" s="159"/>
      <x:c r="AK102" s="159"/>
      <x:c r="AL102" s="159"/>
      <x:c r="AM102" s="159"/>
      <x:c r="AN102" s="159"/>
      <x:c r="AO102" s="159"/>
      <x:c r="AP102" s="159"/>
      <x:c r="AQ102" s="159"/>
      <x:c r="AR102" s="159"/>
      <x:c r="AS102" s="159"/>
      <x:c r="AT102" s="159"/>
      <x:c r="AU102" s="159"/>
      <x:c r="AV102" s="159"/>
      <x:c r="AW102" s="159"/>
      <x:c r="AX102" s="159"/>
      <x:c r="AY102" s="159"/>
      <x:c r="AZ102" s="159"/>
    </x:row>
    <x:row r="103">
      <x:c r="A103" s="159"/>
      <x:c r="B103" s="159"/>
      <x:c r="C103" s="159"/>
      <x:c r="D103" s="159"/>
      <x:c r="E103" s="159"/>
      <x:c r="F103" s="159"/>
      <x:c r="G103" s="159"/>
      <x:c r="H103" s="159"/>
      <x:c r="I103" s="159"/>
      <x:c r="J103" s="159"/>
      <x:c r="K103" s="159"/>
      <x:c r="L103" s="159"/>
      <x:c r="M103" s="159"/>
      <x:c r="N103" s="159"/>
      <x:c r="O103" s="159"/>
      <x:c r="P103" s="159"/>
      <x:c r="Q103" s="159"/>
      <x:c r="R103" s="159"/>
      <x:c r="S103" s="159"/>
      <x:c r="T103" s="159"/>
      <x:c r="U103" s="159"/>
      <x:c r="V103" s="159"/>
      <x:c r="W103" s="159"/>
      <x:c r="X103" s="159"/>
      <x:c r="Y103" s="159"/>
      <x:c r="Z103" s="159"/>
      <x:c r="AA103" s="159"/>
      <x:c r="AB103" s="159"/>
      <x:c r="AC103" s="159"/>
      <x:c r="AD103" s="159"/>
      <x:c r="AE103" s="159"/>
      <x:c r="AF103" s="159"/>
      <x:c r="AG103" s="159"/>
      <x:c r="AH103" s="159"/>
      <x:c r="AI103" s="159"/>
      <x:c r="AJ103" s="159"/>
      <x:c r="AK103" s="159"/>
      <x:c r="AL103" s="159"/>
      <x:c r="AM103" s="159"/>
      <x:c r="AN103" s="159"/>
      <x:c r="AO103" s="159"/>
      <x:c r="AP103" s="159"/>
      <x:c r="AQ103" s="159"/>
      <x:c r="AR103" s="159"/>
      <x:c r="AS103" s="159"/>
      <x:c r="AT103" s="159"/>
      <x:c r="AU103" s="159"/>
      <x:c r="AV103" s="159"/>
      <x:c r="AW103" s="159"/>
      <x:c r="AX103" s="159"/>
      <x:c r="AY103" s="159"/>
      <x:c r="AZ103" s="159"/>
    </x:row>
    <x:row r="104">
      <x:c r="A104" s="159"/>
      <x:c r="B104" s="159"/>
      <x:c r="C104" s="159"/>
      <x:c r="D104" s="159"/>
      <x:c r="E104" s="159"/>
      <x:c r="F104" s="159"/>
      <x:c r="G104" s="159"/>
      <x:c r="H104" s="159"/>
      <x:c r="I104" s="159"/>
      <x:c r="J104" s="159"/>
      <x:c r="K104" s="159"/>
      <x:c r="L104" s="159"/>
      <x:c r="M104" s="159"/>
      <x:c r="N104" s="159"/>
      <x:c r="O104" s="159"/>
      <x:c r="P104" s="159"/>
      <x:c r="Q104" s="159"/>
      <x:c r="R104" s="159"/>
      <x:c r="S104" s="159"/>
      <x:c r="T104" s="159"/>
      <x:c r="U104" s="159"/>
      <x:c r="V104" s="159"/>
      <x:c r="W104" s="159"/>
      <x:c r="X104" s="159"/>
      <x:c r="Y104" s="159"/>
      <x:c r="Z104" s="159"/>
      <x:c r="AA104" s="159"/>
      <x:c r="AB104" s="159"/>
      <x:c r="AC104" s="159"/>
      <x:c r="AD104" s="159"/>
      <x:c r="AE104" s="159"/>
      <x:c r="AF104" s="159"/>
      <x:c r="AG104" s="159"/>
      <x:c r="AH104" s="159"/>
      <x:c r="AI104" s="159"/>
      <x:c r="AJ104" s="159"/>
      <x:c r="AK104" s="159"/>
      <x:c r="AL104" s="159"/>
      <x:c r="AM104" s="159"/>
      <x:c r="AN104" s="159"/>
      <x:c r="AO104" s="159"/>
      <x:c r="AP104" s="159"/>
      <x:c r="AQ104" s="159"/>
      <x:c r="AR104" s="159"/>
      <x:c r="AS104" s="159"/>
      <x:c r="AT104" s="159"/>
      <x:c r="AU104" s="159"/>
      <x:c r="AV104" s="159"/>
      <x:c r="AW104" s="159"/>
      <x:c r="AX104" s="159"/>
      <x:c r="AY104" s="159"/>
      <x:c r="AZ104" s="159"/>
    </x:row>
    <x:row r="105">
      <x:c r="A105" s="159"/>
      <x:c r="B105" s="159"/>
      <x:c r="C105" s="159"/>
      <x:c r="D105" s="159"/>
      <x:c r="E105" s="159"/>
      <x:c r="F105" s="159"/>
      <x:c r="G105" s="159"/>
      <x:c r="H105" s="159"/>
      <x:c r="I105" s="159"/>
      <x:c r="J105" s="159"/>
      <x:c r="K105" s="159"/>
      <x:c r="L105" s="159"/>
      <x:c r="M105" s="159"/>
      <x:c r="N105" s="159"/>
      <x:c r="O105" s="159"/>
      <x:c r="P105" s="159"/>
      <x:c r="Q105" s="159"/>
      <x:c r="R105" s="159"/>
      <x:c r="S105" s="159"/>
      <x:c r="T105" s="159"/>
      <x:c r="U105" s="159"/>
      <x:c r="V105" s="159"/>
      <x:c r="W105" s="159"/>
      <x:c r="X105" s="159"/>
      <x:c r="Y105" s="159"/>
      <x:c r="Z105" s="159"/>
      <x:c r="AA105" s="159"/>
      <x:c r="AB105" s="159"/>
      <x:c r="AC105" s="159"/>
      <x:c r="AD105" s="159"/>
      <x:c r="AE105" s="159"/>
      <x:c r="AF105" s="159"/>
      <x:c r="AG105" s="159"/>
      <x:c r="AH105" s="159"/>
      <x:c r="AI105" s="159"/>
      <x:c r="AJ105" s="159"/>
      <x:c r="AK105" s="159"/>
      <x:c r="AL105" s="159"/>
      <x:c r="AM105" s="159"/>
      <x:c r="AN105" s="159"/>
      <x:c r="AO105" s="159"/>
      <x:c r="AP105" s="159"/>
      <x:c r="AQ105" s="159"/>
      <x:c r="AR105" s="159"/>
      <x:c r="AS105" s="159"/>
      <x:c r="AT105" s="159"/>
      <x:c r="AU105" s="159"/>
      <x:c r="AV105" s="159"/>
      <x:c r="AW105" s="159"/>
      <x:c r="AX105" s="159"/>
      <x:c r="AY105" s="159"/>
      <x:c r="AZ105" s="159"/>
    </x:row>
    <x:row r="106">
      <x:c r="A106" s="159"/>
      <x:c r="B106" s="159"/>
      <x:c r="C106" s="159"/>
      <x:c r="D106" s="159"/>
      <x:c r="E106" s="159"/>
      <x:c r="F106" s="159"/>
      <x:c r="G106" s="159"/>
      <x:c r="H106" s="159"/>
      <x:c r="I106" s="159"/>
      <x:c r="J106" s="159"/>
      <x:c r="K106" s="159"/>
      <x:c r="L106" s="159"/>
      <x:c r="M106" s="159"/>
      <x:c r="N106" s="159"/>
      <x:c r="O106" s="159"/>
      <x:c r="P106" s="159"/>
      <x:c r="Q106" s="159"/>
      <x:c r="R106" s="159"/>
      <x:c r="S106" s="159"/>
      <x:c r="T106" s="159"/>
      <x:c r="U106" s="159"/>
      <x:c r="V106" s="159"/>
      <x:c r="W106" s="159"/>
      <x:c r="X106" s="159"/>
      <x:c r="Y106" s="159"/>
      <x:c r="Z106" s="159"/>
      <x:c r="AA106" s="159"/>
      <x:c r="AB106" s="159"/>
      <x:c r="AC106" s="159"/>
      <x:c r="AD106" s="159"/>
      <x:c r="AE106" s="159"/>
      <x:c r="AF106" s="159"/>
      <x:c r="AG106" s="159"/>
      <x:c r="AH106" s="159"/>
      <x:c r="AI106" s="159"/>
      <x:c r="AJ106" s="159"/>
      <x:c r="AK106" s="159"/>
      <x:c r="AL106" s="159"/>
      <x:c r="AM106" s="159"/>
      <x:c r="AN106" s="159"/>
      <x:c r="AO106" s="159"/>
      <x:c r="AP106" s="159"/>
      <x:c r="AQ106" s="159"/>
      <x:c r="AR106" s="159"/>
      <x:c r="AS106" s="159"/>
      <x:c r="AT106" s="159"/>
      <x:c r="AU106" s="159"/>
      <x:c r="AV106" s="159"/>
      <x:c r="AW106" s="159"/>
      <x:c r="AX106" s="159"/>
      <x:c r="AY106" s="159"/>
      <x:c r="AZ106" s="159"/>
    </x:row>
    <x:row r="107">
      <x:c r="A107" s="159"/>
      <x:c r="B107" s="159"/>
      <x:c r="C107" s="159"/>
      <x:c r="D107" s="159"/>
      <x:c r="E107" s="159"/>
      <x:c r="F107" s="159"/>
      <x:c r="G107" s="159"/>
      <x:c r="H107" s="159"/>
      <x:c r="I107" s="159"/>
      <x:c r="J107" s="159"/>
      <x:c r="K107" s="159"/>
      <x:c r="L107" s="159"/>
      <x:c r="M107" s="159"/>
      <x:c r="N107" s="159"/>
      <x:c r="O107" s="159"/>
      <x:c r="P107" s="159"/>
      <x:c r="Q107" s="159"/>
      <x:c r="R107" s="159"/>
      <x:c r="S107" s="159"/>
      <x:c r="T107" s="159"/>
      <x:c r="U107" s="159"/>
      <x:c r="V107" s="159"/>
      <x:c r="W107" s="159"/>
      <x:c r="X107" s="159"/>
      <x:c r="Y107" s="159"/>
      <x:c r="Z107" s="159"/>
      <x:c r="AA107" s="159"/>
      <x:c r="AB107" s="159"/>
      <x:c r="AC107" s="159"/>
      <x:c r="AD107" s="159"/>
      <x:c r="AE107" s="159"/>
      <x:c r="AF107" s="159"/>
      <x:c r="AG107" s="159"/>
      <x:c r="AH107" s="159"/>
      <x:c r="AI107" s="159"/>
      <x:c r="AJ107" s="159"/>
      <x:c r="AK107" s="159"/>
      <x:c r="AL107" s="159"/>
      <x:c r="AM107" s="159"/>
      <x:c r="AN107" s="159"/>
      <x:c r="AO107" s="159"/>
      <x:c r="AP107" s="159"/>
      <x:c r="AQ107" s="159"/>
      <x:c r="AR107" s="159"/>
      <x:c r="AS107" s="159"/>
      <x:c r="AT107" s="159"/>
      <x:c r="AU107" s="159"/>
      <x:c r="AV107" s="159"/>
      <x:c r="AW107" s="159"/>
      <x:c r="AX107" s="159"/>
      <x:c r="AY107" s="159"/>
      <x:c r="AZ107" s="159"/>
    </x:row>
    <x:row r="108">
      <x:c r="A108" s="159"/>
      <x:c r="B108" s="159"/>
      <x:c r="C108" s="159"/>
      <x:c r="D108" s="159"/>
      <x:c r="E108" s="159"/>
      <x:c r="F108" s="159"/>
      <x:c r="G108" s="159"/>
      <x:c r="H108" s="159"/>
      <x:c r="I108" s="159"/>
      <x:c r="J108" s="159"/>
      <x:c r="K108" s="159"/>
      <x:c r="L108" s="159"/>
      <x:c r="M108" s="159"/>
      <x:c r="N108" s="159"/>
      <x:c r="O108" s="159"/>
      <x:c r="P108" s="159"/>
      <x:c r="Q108" s="159"/>
      <x:c r="R108" s="159"/>
      <x:c r="S108" s="159"/>
      <x:c r="T108" s="159"/>
      <x:c r="U108" s="159"/>
      <x:c r="V108" s="159"/>
      <x:c r="W108" s="159"/>
      <x:c r="X108" s="159"/>
      <x:c r="Y108" s="159"/>
      <x:c r="Z108" s="159"/>
      <x:c r="AA108" s="159"/>
      <x:c r="AB108" s="159"/>
      <x:c r="AC108" s="159"/>
      <x:c r="AD108" s="159"/>
      <x:c r="AE108" s="159"/>
      <x:c r="AF108" s="159"/>
      <x:c r="AG108" s="159"/>
      <x:c r="AH108" s="159"/>
      <x:c r="AI108" s="159"/>
      <x:c r="AJ108" s="159"/>
      <x:c r="AK108" s="159"/>
      <x:c r="AL108" s="159"/>
      <x:c r="AM108" s="159"/>
      <x:c r="AN108" s="159"/>
      <x:c r="AO108" s="159"/>
      <x:c r="AP108" s="159"/>
      <x:c r="AQ108" s="159"/>
      <x:c r="AR108" s="159"/>
      <x:c r="AS108" s="159"/>
      <x:c r="AT108" s="159"/>
      <x:c r="AU108" s="159"/>
      <x:c r="AV108" s="159"/>
      <x:c r="AW108" s="159"/>
      <x:c r="AX108" s="159"/>
      <x:c r="AY108" s="159"/>
      <x:c r="AZ108" s="159"/>
    </x:row>
    <x:row r="109">
      <x:c r="A109" s="159"/>
      <x:c r="B109" s="159"/>
      <x:c r="C109" s="159"/>
      <x:c r="D109" s="159"/>
      <x:c r="E109" s="159"/>
      <x:c r="F109" s="159"/>
      <x:c r="G109" s="159"/>
      <x:c r="H109" s="159"/>
      <x:c r="I109" s="159"/>
      <x:c r="J109" s="159"/>
      <x:c r="K109" s="159"/>
      <x:c r="L109" s="159"/>
      <x:c r="M109" s="159"/>
      <x:c r="N109" s="159"/>
      <x:c r="O109" s="159"/>
      <x:c r="P109" s="159"/>
      <x:c r="Q109" s="159"/>
      <x:c r="R109" s="159"/>
      <x:c r="S109" s="159"/>
      <x:c r="T109" s="159"/>
      <x:c r="U109" s="159"/>
      <x:c r="V109" s="159"/>
      <x:c r="W109" s="159"/>
      <x:c r="X109" s="159"/>
      <x:c r="Y109" s="159"/>
      <x:c r="Z109" s="159"/>
      <x:c r="AA109" s="159"/>
      <x:c r="AB109" s="159"/>
      <x:c r="AC109" s="159"/>
      <x:c r="AD109" s="159"/>
      <x:c r="AE109" s="159"/>
      <x:c r="AF109" s="159"/>
      <x:c r="AG109" s="159"/>
      <x:c r="AH109" s="159"/>
      <x:c r="AI109" s="159"/>
      <x:c r="AJ109" s="159"/>
      <x:c r="AK109" s="159"/>
      <x:c r="AL109" s="159"/>
      <x:c r="AM109" s="159"/>
      <x:c r="AN109" s="159"/>
      <x:c r="AO109" s="159"/>
      <x:c r="AP109" s="159"/>
      <x:c r="AQ109" s="159"/>
      <x:c r="AR109" s="159"/>
      <x:c r="AS109" s="159"/>
      <x:c r="AT109" s="159"/>
      <x:c r="AU109" s="159"/>
      <x:c r="AV109" s="159"/>
      <x:c r="AW109" s="159"/>
      <x:c r="AX109" s="159"/>
      <x:c r="AY109" s="159"/>
      <x:c r="AZ109" s="159"/>
    </x:row>
    <x:row r="110">
      <x:c r="A110" s="159"/>
      <x:c r="B110" s="159"/>
      <x:c r="C110" s="159"/>
      <x:c r="D110" s="159"/>
      <x:c r="E110" s="159"/>
      <x:c r="F110" s="159"/>
      <x:c r="G110" s="159"/>
      <x:c r="H110" s="159"/>
      <x:c r="I110" s="159"/>
      <x:c r="J110" s="159"/>
      <x:c r="K110" s="159"/>
      <x:c r="L110" s="159"/>
      <x:c r="M110" s="159"/>
      <x:c r="N110" s="159"/>
      <x:c r="O110" s="159"/>
      <x:c r="P110" s="159"/>
      <x:c r="Q110" s="159"/>
      <x:c r="R110" s="159"/>
      <x:c r="S110" s="159"/>
      <x:c r="T110" s="159"/>
      <x:c r="U110" s="159"/>
      <x:c r="V110" s="159"/>
      <x:c r="W110" s="159"/>
      <x:c r="X110" s="159"/>
      <x:c r="Y110" s="159"/>
      <x:c r="Z110" s="159"/>
      <x:c r="AA110" s="159"/>
      <x:c r="AB110" s="159"/>
      <x:c r="AC110" s="159"/>
      <x:c r="AD110" s="159"/>
      <x:c r="AE110" s="159"/>
      <x:c r="AF110" s="159"/>
      <x:c r="AG110" s="159"/>
      <x:c r="AH110" s="159"/>
      <x:c r="AI110" s="159"/>
      <x:c r="AJ110" s="159"/>
      <x:c r="AK110" s="159"/>
      <x:c r="AL110" s="159"/>
      <x:c r="AM110" s="159"/>
      <x:c r="AN110" s="159"/>
      <x:c r="AO110" s="159"/>
      <x:c r="AP110" s="159"/>
      <x:c r="AQ110" s="159"/>
      <x:c r="AR110" s="159"/>
      <x:c r="AS110" s="159"/>
      <x:c r="AT110" s="159"/>
      <x:c r="AU110" s="159"/>
      <x:c r="AV110" s="159"/>
      <x:c r="AW110" s="159"/>
      <x:c r="AX110" s="159"/>
      <x:c r="AY110" s="159"/>
      <x:c r="AZ110" s="159"/>
    </x:row>
    <x:row r="111">
      <x:c r="A111" s="159"/>
      <x:c r="B111" s="159"/>
      <x:c r="C111" s="159"/>
      <x:c r="D111" s="159"/>
      <x:c r="E111" s="159"/>
      <x:c r="F111" s="159"/>
      <x:c r="G111" s="159"/>
      <x:c r="H111" s="159"/>
      <x:c r="I111" s="159"/>
      <x:c r="J111" s="159"/>
      <x:c r="K111" s="159"/>
      <x:c r="L111" s="159"/>
      <x:c r="M111" s="159"/>
      <x:c r="N111" s="159"/>
      <x:c r="O111" s="159"/>
      <x:c r="P111" s="159"/>
      <x:c r="Q111" s="159"/>
      <x:c r="R111" s="159"/>
      <x:c r="S111" s="159"/>
      <x:c r="T111" s="159"/>
      <x:c r="U111" s="159"/>
      <x:c r="V111" s="159"/>
      <x:c r="W111" s="159"/>
      <x:c r="X111" s="159"/>
      <x:c r="Y111" s="159"/>
      <x:c r="Z111" s="159"/>
      <x:c r="AA111" s="159"/>
      <x:c r="AB111" s="159"/>
      <x:c r="AC111" s="159"/>
      <x:c r="AD111" s="159"/>
      <x:c r="AE111" s="159"/>
      <x:c r="AF111" s="159"/>
      <x:c r="AG111" s="159"/>
      <x:c r="AH111" s="159"/>
      <x:c r="AI111" s="159"/>
      <x:c r="AJ111" s="159"/>
      <x:c r="AK111" s="159"/>
      <x:c r="AL111" s="159"/>
      <x:c r="AM111" s="159"/>
      <x:c r="AN111" s="159"/>
      <x:c r="AO111" s="159"/>
      <x:c r="AP111" s="159"/>
      <x:c r="AQ111" s="159"/>
      <x:c r="AR111" s="159"/>
      <x:c r="AS111" s="159"/>
      <x:c r="AT111" s="159"/>
      <x:c r="AU111" s="159"/>
      <x:c r="AV111" s="159"/>
      <x:c r="AW111" s="159"/>
      <x:c r="AX111" s="159"/>
      <x:c r="AY111" s="159"/>
      <x:c r="AZ111" s="159"/>
    </x:row>
    <x:row r="112">
      <x:c r="A112" s="159"/>
      <x:c r="B112" s="159"/>
      <x:c r="C112" s="159"/>
      <x:c r="D112" s="159"/>
      <x:c r="E112" s="159"/>
      <x:c r="F112" s="159"/>
      <x:c r="G112" s="159"/>
      <x:c r="H112" s="159"/>
      <x:c r="I112" s="159"/>
      <x:c r="J112" s="159"/>
      <x:c r="K112" s="159"/>
      <x:c r="L112" s="159"/>
      <x:c r="M112" s="159"/>
      <x:c r="N112" s="159"/>
      <x:c r="O112" s="159"/>
      <x:c r="P112" s="159"/>
      <x:c r="Q112" s="159"/>
      <x:c r="R112" s="159"/>
      <x:c r="S112" s="159"/>
      <x:c r="T112" s="159"/>
      <x:c r="U112" s="159"/>
      <x:c r="V112" s="159"/>
      <x:c r="W112" s="159"/>
      <x:c r="X112" s="159"/>
      <x:c r="Y112" s="159"/>
      <x:c r="Z112" s="159"/>
      <x:c r="AA112" s="159"/>
      <x:c r="AB112" s="159"/>
      <x:c r="AC112" s="159"/>
      <x:c r="AD112" s="159"/>
      <x:c r="AE112" s="159"/>
      <x:c r="AF112" s="159"/>
      <x:c r="AG112" s="159"/>
      <x:c r="AH112" s="159"/>
      <x:c r="AI112" s="159"/>
      <x:c r="AJ112" s="159"/>
      <x:c r="AK112" s="159"/>
      <x:c r="AL112" s="159"/>
      <x:c r="AM112" s="159"/>
      <x:c r="AN112" s="159"/>
      <x:c r="AO112" s="159"/>
      <x:c r="AP112" s="159"/>
      <x:c r="AQ112" s="159"/>
      <x:c r="AR112" s="159"/>
      <x:c r="AS112" s="159"/>
      <x:c r="AT112" s="159"/>
      <x:c r="AU112" s="159"/>
      <x:c r="AV112" s="159"/>
      <x:c r="AW112" s="159"/>
      <x:c r="AX112" s="159"/>
      <x:c r="AY112" s="159"/>
      <x:c r="AZ112" s="159"/>
    </x:row>
    <x:row r="113">
      <x:c r="A113" s="159"/>
      <x:c r="B113" s="159"/>
      <x:c r="C113" s="159"/>
      <x:c r="D113" s="159"/>
      <x:c r="E113" s="159"/>
      <x:c r="F113" s="159"/>
      <x:c r="G113" s="159"/>
      <x:c r="H113" s="159"/>
      <x:c r="I113" s="159"/>
      <x:c r="J113" s="159"/>
      <x:c r="K113" s="159"/>
      <x:c r="L113" s="159"/>
      <x:c r="M113" s="159"/>
      <x:c r="N113" s="159"/>
      <x:c r="O113" s="159"/>
      <x:c r="P113" s="159"/>
      <x:c r="Q113" s="159"/>
      <x:c r="R113" s="159"/>
      <x:c r="S113" s="159"/>
      <x:c r="T113" s="159"/>
      <x:c r="U113" s="159"/>
      <x:c r="V113" s="159"/>
      <x:c r="W113" s="159"/>
      <x:c r="X113" s="159"/>
      <x:c r="Y113" s="159"/>
      <x:c r="Z113" s="159"/>
      <x:c r="AA113" s="159"/>
      <x:c r="AB113" s="159"/>
      <x:c r="AC113" s="159"/>
      <x:c r="AD113" s="159"/>
      <x:c r="AE113" s="159"/>
      <x:c r="AF113" s="159"/>
      <x:c r="AG113" s="159"/>
      <x:c r="AH113" s="159"/>
      <x:c r="AI113" s="159"/>
      <x:c r="AJ113" s="159"/>
      <x:c r="AK113" s="159"/>
      <x:c r="AL113" s="159"/>
      <x:c r="AM113" s="159"/>
      <x:c r="AN113" s="159"/>
      <x:c r="AO113" s="159"/>
      <x:c r="AP113" s="159"/>
      <x:c r="AQ113" s="159"/>
      <x:c r="AR113" s="159"/>
      <x:c r="AS113" s="159"/>
      <x:c r="AT113" s="159"/>
      <x:c r="AU113" s="159"/>
      <x:c r="AV113" s="159"/>
      <x:c r="AW113" s="159"/>
      <x:c r="AX113" s="159"/>
      <x:c r="AY113" s="159"/>
      <x:c r="AZ113" s="159"/>
    </x:row>
    <x:row r="114">
      <x:c r="A114" s="159"/>
      <x:c r="B114" s="159"/>
      <x:c r="C114" s="159"/>
      <x:c r="D114" s="159"/>
      <x:c r="E114" s="159"/>
      <x:c r="F114" s="159"/>
      <x:c r="G114" s="159"/>
      <x:c r="H114" s="159"/>
      <x:c r="I114" s="159"/>
      <x:c r="J114" s="159"/>
      <x:c r="K114" s="159"/>
      <x:c r="L114" s="159"/>
      <x:c r="M114" s="159"/>
      <x:c r="N114" s="159"/>
      <x:c r="O114" s="159"/>
      <x:c r="P114" s="159"/>
      <x:c r="Q114" s="159"/>
      <x:c r="R114" s="159"/>
      <x:c r="S114" s="159"/>
      <x:c r="T114" s="159"/>
      <x:c r="U114" s="159"/>
      <x:c r="V114" s="159"/>
      <x:c r="W114" s="159"/>
      <x:c r="X114" s="159"/>
      <x:c r="Y114" s="159"/>
      <x:c r="Z114" s="159"/>
      <x:c r="AA114" s="159"/>
      <x:c r="AB114" s="159"/>
      <x:c r="AC114" s="159"/>
      <x:c r="AD114" s="159"/>
      <x:c r="AE114" s="159"/>
      <x:c r="AF114" s="159"/>
      <x:c r="AG114" s="159"/>
      <x:c r="AH114" s="159"/>
      <x:c r="AI114" s="159"/>
      <x:c r="AJ114" s="159"/>
      <x:c r="AK114" s="159"/>
      <x:c r="AL114" s="159"/>
      <x:c r="AM114" s="159"/>
      <x:c r="AN114" s="159"/>
      <x:c r="AO114" s="159"/>
      <x:c r="AP114" s="159"/>
      <x:c r="AQ114" s="159"/>
      <x:c r="AR114" s="159"/>
      <x:c r="AS114" s="159"/>
      <x:c r="AT114" s="159"/>
      <x:c r="AU114" s="159"/>
      <x:c r="AV114" s="159"/>
      <x:c r="AW114" s="159"/>
      <x:c r="AX114" s="159"/>
      <x:c r="AY114" s="159"/>
      <x:c r="AZ114" s="159"/>
    </x:row>
    <x:row r="115">
      <x:c r="A115" s="159"/>
      <x:c r="B115" s="159"/>
      <x:c r="C115" s="159"/>
      <x:c r="D115" s="159"/>
      <x:c r="E115" s="159"/>
      <x:c r="F115" s="159"/>
      <x:c r="G115" s="159"/>
      <x:c r="H115" s="159"/>
      <x:c r="I115" s="159"/>
      <x:c r="J115" s="159"/>
      <x:c r="K115" s="159"/>
      <x:c r="L115" s="159"/>
      <x:c r="M115" s="159"/>
      <x:c r="N115" s="159"/>
      <x:c r="O115" s="159"/>
      <x:c r="P115" s="159"/>
      <x:c r="Q115" s="159"/>
      <x:c r="R115" s="159"/>
      <x:c r="S115" s="159"/>
      <x:c r="T115" s="159"/>
      <x:c r="U115" s="159"/>
      <x:c r="V115" s="159"/>
      <x:c r="W115" s="159"/>
      <x:c r="X115" s="159"/>
      <x:c r="Y115" s="159"/>
      <x:c r="Z115" s="159"/>
      <x:c r="AA115" s="159"/>
      <x:c r="AB115" s="159"/>
      <x:c r="AC115" s="159"/>
      <x:c r="AD115" s="159"/>
      <x:c r="AE115" s="159"/>
      <x:c r="AF115" s="159"/>
      <x:c r="AG115" s="159"/>
      <x:c r="AH115" s="159"/>
      <x:c r="AI115" s="159"/>
      <x:c r="AJ115" s="159"/>
      <x:c r="AK115" s="159"/>
      <x:c r="AL115" s="159"/>
      <x:c r="AM115" s="159"/>
      <x:c r="AN115" s="159"/>
      <x:c r="AO115" s="159"/>
      <x:c r="AP115" s="159"/>
      <x:c r="AQ115" s="159"/>
      <x:c r="AR115" s="159"/>
      <x:c r="AS115" s="159"/>
      <x:c r="AT115" s="159"/>
      <x:c r="AU115" s="159"/>
      <x:c r="AV115" s="159"/>
      <x:c r="AW115" s="159"/>
      <x:c r="AX115" s="159"/>
      <x:c r="AY115" s="159"/>
      <x:c r="AZ115" s="159"/>
    </x:row>
    <x:row r="116">
      <x:c r="A116" s="159"/>
      <x:c r="B116" s="159"/>
      <x:c r="C116" s="159"/>
      <x:c r="D116" s="159"/>
      <x:c r="E116" s="159"/>
      <x:c r="F116" s="159"/>
      <x:c r="G116" s="159"/>
      <x:c r="H116" s="159"/>
      <x:c r="I116" s="159"/>
      <x:c r="J116" s="159"/>
      <x:c r="K116" s="159"/>
      <x:c r="L116" s="159"/>
      <x:c r="M116" s="159"/>
      <x:c r="N116" s="159"/>
      <x:c r="O116" s="159"/>
      <x:c r="P116" s="159"/>
      <x:c r="Q116" s="159"/>
      <x:c r="R116" s="159"/>
      <x:c r="S116" s="159"/>
      <x:c r="T116" s="159"/>
      <x:c r="U116" s="159"/>
      <x:c r="V116" s="159"/>
      <x:c r="W116" s="159"/>
      <x:c r="X116" s="159"/>
      <x:c r="Y116" s="159"/>
      <x:c r="Z116" s="159"/>
      <x:c r="AA116" s="159"/>
      <x:c r="AB116" s="159"/>
      <x:c r="AC116" s="159"/>
      <x:c r="AD116" s="159"/>
      <x:c r="AE116" s="159"/>
      <x:c r="AF116" s="159"/>
      <x:c r="AG116" s="159"/>
      <x:c r="AH116" s="159"/>
      <x:c r="AI116" s="159"/>
      <x:c r="AJ116" s="159"/>
      <x:c r="AK116" s="159"/>
      <x:c r="AL116" s="159"/>
      <x:c r="AM116" s="159"/>
      <x:c r="AN116" s="159"/>
      <x:c r="AO116" s="159"/>
      <x:c r="AP116" s="159"/>
      <x:c r="AQ116" s="159"/>
      <x:c r="AR116" s="159"/>
      <x:c r="AS116" s="159"/>
      <x:c r="AT116" s="159"/>
      <x:c r="AU116" s="159"/>
      <x:c r="AV116" s="159"/>
      <x:c r="AW116" s="159"/>
      <x:c r="AX116" s="159"/>
      <x:c r="AY116" s="159"/>
      <x:c r="AZ116" s="159"/>
    </x:row>
    <x:row r="117">
      <x:c r="A117" s="159"/>
      <x:c r="B117" s="159"/>
      <x:c r="C117" s="159"/>
      <x:c r="D117" s="159"/>
      <x:c r="E117" s="159"/>
      <x:c r="F117" s="159"/>
      <x:c r="G117" s="159"/>
      <x:c r="H117" s="159"/>
      <x:c r="I117" s="159"/>
      <x:c r="J117" s="159"/>
      <x:c r="K117" s="159"/>
      <x:c r="L117" s="159"/>
      <x:c r="M117" s="159"/>
      <x:c r="N117" s="159"/>
      <x:c r="O117" s="159"/>
      <x:c r="P117" s="159"/>
      <x:c r="Q117" s="159"/>
      <x:c r="R117" s="159"/>
      <x:c r="S117" s="159"/>
      <x:c r="T117" s="159"/>
      <x:c r="U117" s="159"/>
      <x:c r="V117" s="159"/>
      <x:c r="W117" s="159"/>
      <x:c r="X117" s="159"/>
      <x:c r="Y117" s="159"/>
      <x:c r="Z117" s="159"/>
      <x:c r="AA117" s="159"/>
      <x:c r="AB117" s="159"/>
      <x:c r="AC117" s="159"/>
      <x:c r="AD117" s="159"/>
      <x:c r="AE117" s="159"/>
      <x:c r="AF117" s="159"/>
      <x:c r="AG117" s="159"/>
      <x:c r="AH117" s="159"/>
      <x:c r="AI117" s="159"/>
      <x:c r="AJ117" s="159"/>
      <x:c r="AK117" s="159"/>
      <x:c r="AL117" s="159"/>
      <x:c r="AM117" s="159"/>
      <x:c r="AN117" s="159"/>
      <x:c r="AO117" s="159"/>
      <x:c r="AP117" s="159"/>
      <x:c r="AQ117" s="159"/>
      <x:c r="AR117" s="159"/>
      <x:c r="AS117" s="159"/>
      <x:c r="AT117" s="159"/>
      <x:c r="AU117" s="159"/>
      <x:c r="AV117" s="159"/>
      <x:c r="AW117" s="159"/>
      <x:c r="AX117" s="159"/>
      <x:c r="AY117" s="159"/>
      <x:c r="AZ117" s="159"/>
    </x:row>
    <x:row r="118">
      <x:c r="A118" s="159"/>
      <x:c r="B118" s="159"/>
      <x:c r="C118" s="159"/>
      <x:c r="D118" s="159"/>
      <x:c r="E118" s="159"/>
      <x:c r="F118" s="159"/>
      <x:c r="G118" s="159"/>
      <x:c r="H118" s="159"/>
      <x:c r="I118" s="159"/>
      <x:c r="J118" s="159"/>
      <x:c r="K118" s="159"/>
      <x:c r="L118" s="159"/>
      <x:c r="M118" s="159"/>
      <x:c r="N118" s="159"/>
      <x:c r="O118" s="159"/>
      <x:c r="P118" s="159"/>
      <x:c r="Q118" s="159"/>
      <x:c r="R118" s="159"/>
      <x:c r="S118" s="159"/>
      <x:c r="T118" s="159"/>
      <x:c r="U118" s="159"/>
      <x:c r="V118" s="159"/>
      <x:c r="W118" s="159"/>
      <x:c r="X118" s="159"/>
      <x:c r="Y118" s="159"/>
      <x:c r="Z118" s="159"/>
      <x:c r="AA118" s="159"/>
      <x:c r="AB118" s="159"/>
      <x:c r="AC118" s="159"/>
      <x:c r="AD118" s="159"/>
      <x:c r="AE118" s="159"/>
      <x:c r="AF118" s="159"/>
      <x:c r="AG118" s="159"/>
      <x:c r="AH118" s="159"/>
      <x:c r="AI118" s="159"/>
      <x:c r="AJ118" s="159"/>
      <x:c r="AK118" s="159"/>
      <x:c r="AL118" s="159"/>
      <x:c r="AM118" s="159"/>
      <x:c r="AN118" s="159"/>
      <x:c r="AO118" s="159"/>
      <x:c r="AP118" s="159"/>
      <x:c r="AQ118" s="159"/>
      <x:c r="AR118" s="159"/>
      <x:c r="AS118" s="159"/>
      <x:c r="AT118" s="159"/>
      <x:c r="AU118" s="159"/>
      <x:c r="AV118" s="159"/>
      <x:c r="AW118" s="159"/>
      <x:c r="AX118" s="159"/>
      <x:c r="AY118" s="159"/>
      <x:c r="AZ118" s="159"/>
    </x:row>
    <x:row r="119">
      <x:c r="A119" s="159"/>
      <x:c r="B119" s="159"/>
      <x:c r="C119" s="159"/>
      <x:c r="D119" s="159"/>
      <x:c r="E119" s="159"/>
      <x:c r="F119" s="159"/>
      <x:c r="G119" s="159"/>
      <x:c r="H119" s="159"/>
      <x:c r="I119" s="159"/>
      <x:c r="J119" s="159"/>
      <x:c r="K119" s="159"/>
      <x:c r="L119" s="159"/>
      <x:c r="M119" s="159"/>
      <x:c r="N119" s="159"/>
      <x:c r="O119" s="159"/>
      <x:c r="P119" s="159"/>
      <x:c r="Q119" s="159"/>
      <x:c r="R119" s="159"/>
      <x:c r="S119" s="159"/>
      <x:c r="T119" s="159"/>
      <x:c r="U119" s="159"/>
      <x:c r="V119" s="159"/>
      <x:c r="W119" s="159"/>
      <x:c r="X119" s="159"/>
      <x:c r="Y119" s="159"/>
      <x:c r="Z119" s="159"/>
      <x:c r="AA119" s="159"/>
      <x:c r="AB119" s="159"/>
      <x:c r="AC119" s="159"/>
      <x:c r="AD119" s="159"/>
      <x:c r="AE119" s="159"/>
      <x:c r="AF119" s="159"/>
      <x:c r="AG119" s="159"/>
      <x:c r="AH119" s="159"/>
      <x:c r="AI119" s="159"/>
      <x:c r="AJ119" s="159"/>
      <x:c r="AK119" s="159"/>
      <x:c r="AL119" s="159"/>
      <x:c r="AM119" s="159"/>
      <x:c r="AN119" s="159"/>
      <x:c r="AO119" s="159"/>
      <x:c r="AP119" s="159"/>
      <x:c r="AQ119" s="159"/>
      <x:c r="AR119" s="159"/>
      <x:c r="AS119" s="159"/>
      <x:c r="AT119" s="159"/>
      <x:c r="AU119" s="159"/>
      <x:c r="AV119" s="159"/>
      <x:c r="AW119" s="159"/>
      <x:c r="AX119" s="159"/>
      <x:c r="AY119" s="159"/>
      <x:c r="AZ119" s="159"/>
    </x:row>
    <x:row r="120">
      <x:c r="A120" s="159"/>
      <x:c r="B120" s="159"/>
      <x:c r="C120" s="159"/>
      <x:c r="D120" s="159"/>
      <x:c r="E120" s="159"/>
      <x:c r="F120" s="159"/>
      <x:c r="G120" s="159"/>
      <x:c r="H120" s="159"/>
      <x:c r="I120" s="159"/>
      <x:c r="J120" s="159"/>
      <x:c r="K120" s="159"/>
      <x:c r="L120" s="159"/>
      <x:c r="M120" s="159"/>
      <x:c r="N120" s="159"/>
      <x:c r="O120" s="159"/>
      <x:c r="P120" s="159"/>
      <x:c r="Q120" s="159"/>
      <x:c r="R120" s="159"/>
      <x:c r="S120" s="159"/>
      <x:c r="T120" s="159"/>
      <x:c r="U120" s="159"/>
      <x:c r="V120" s="159"/>
      <x:c r="W120" s="159"/>
      <x:c r="X120" s="159"/>
      <x:c r="Y120" s="159"/>
      <x:c r="Z120" s="159"/>
      <x:c r="AA120" s="159"/>
      <x:c r="AB120" s="159"/>
      <x:c r="AC120" s="159"/>
      <x:c r="AD120" s="159"/>
      <x:c r="AE120" s="159"/>
      <x:c r="AF120" s="159"/>
      <x:c r="AG120" s="159"/>
      <x:c r="AH120" s="159"/>
      <x:c r="AI120" s="159"/>
      <x:c r="AJ120" s="159"/>
      <x:c r="AK120" s="159"/>
      <x:c r="AL120" s="159"/>
      <x:c r="AM120" s="159"/>
      <x:c r="AN120" s="159"/>
      <x:c r="AO120" s="159"/>
      <x:c r="AP120" s="159"/>
      <x:c r="AQ120" s="159"/>
      <x:c r="AR120" s="159"/>
      <x:c r="AS120" s="159"/>
      <x:c r="AT120" s="159"/>
      <x:c r="AU120" s="159"/>
      <x:c r="AV120" s="159"/>
      <x:c r="AW120" s="159"/>
      <x:c r="AX120" s="159"/>
      <x:c r="AY120" s="159"/>
      <x:c r="AZ120" s="159"/>
    </x:row>
    <x:row r="121">
      <x:c r="A121" s="159"/>
      <x:c r="B121" s="159"/>
      <x:c r="C121" s="159"/>
      <x:c r="D121" s="159"/>
      <x:c r="E121" s="159"/>
      <x:c r="F121" s="159"/>
      <x:c r="G121" s="159"/>
      <x:c r="H121" s="159"/>
      <x:c r="I121" s="159"/>
      <x:c r="J121" s="159"/>
      <x:c r="K121" s="159"/>
      <x:c r="L121" s="159"/>
      <x:c r="M121" s="159"/>
      <x:c r="N121" s="159"/>
      <x:c r="O121" s="159"/>
      <x:c r="P121" s="159"/>
      <x:c r="Q121" s="159"/>
      <x:c r="R121" s="159"/>
      <x:c r="S121" s="159"/>
      <x:c r="T121" s="159"/>
      <x:c r="U121" s="159"/>
      <x:c r="V121" s="159"/>
      <x:c r="W121" s="159"/>
      <x:c r="X121" s="159"/>
      <x:c r="Y121" s="159"/>
      <x:c r="Z121" s="159"/>
      <x:c r="AA121" s="159"/>
      <x:c r="AB121" s="159"/>
      <x:c r="AC121" s="159"/>
      <x:c r="AD121" s="159"/>
      <x:c r="AE121" s="159"/>
      <x:c r="AF121" s="159"/>
      <x:c r="AG121" s="159"/>
      <x:c r="AH121" s="159"/>
      <x:c r="AI121" s="159"/>
      <x:c r="AJ121" s="159"/>
      <x:c r="AK121" s="159"/>
      <x:c r="AL121" s="159"/>
      <x:c r="AM121" s="159"/>
      <x:c r="AN121" s="159"/>
      <x:c r="AO121" s="159"/>
      <x:c r="AP121" s="159"/>
      <x:c r="AQ121" s="159"/>
      <x:c r="AR121" s="159"/>
      <x:c r="AS121" s="159"/>
      <x:c r="AT121" s="159"/>
      <x:c r="AU121" s="159"/>
      <x:c r="AV121" s="159"/>
      <x:c r="AW121" s="159"/>
      <x:c r="AX121" s="159"/>
      <x:c r="AY121" s="159"/>
      <x:c r="AZ121" s="159"/>
    </x:row>
    <x:row r="122">
      <x:c r="A122" s="159"/>
      <x:c r="B122" s="159"/>
      <x:c r="C122" s="159"/>
      <x:c r="D122" s="159"/>
      <x:c r="E122" s="159"/>
      <x:c r="F122" s="159"/>
      <x:c r="G122" s="159"/>
      <x:c r="H122" s="159"/>
      <x:c r="I122" s="159"/>
      <x:c r="J122" s="159"/>
      <x:c r="K122" s="159"/>
      <x:c r="L122" s="159"/>
      <x:c r="M122" s="159"/>
      <x:c r="N122" s="159"/>
      <x:c r="O122" s="159"/>
      <x:c r="P122" s="159"/>
      <x:c r="Q122" s="159"/>
      <x:c r="R122" s="159"/>
      <x:c r="S122" s="159"/>
      <x:c r="T122" s="159"/>
      <x:c r="U122" s="159"/>
      <x:c r="V122" s="159"/>
      <x:c r="W122" s="159"/>
      <x:c r="X122" s="159"/>
      <x:c r="Y122" s="159"/>
      <x:c r="Z122" s="159"/>
      <x:c r="AA122" s="159"/>
      <x:c r="AB122" s="159"/>
      <x:c r="AC122" s="159"/>
      <x:c r="AD122" s="159"/>
      <x:c r="AE122" s="159"/>
      <x:c r="AF122" s="159"/>
      <x:c r="AG122" s="159"/>
      <x:c r="AH122" s="159"/>
      <x:c r="AI122" s="159"/>
      <x:c r="AJ122" s="159"/>
      <x:c r="AK122" s="159"/>
      <x:c r="AL122" s="159"/>
      <x:c r="AM122" s="159"/>
      <x:c r="AN122" s="159"/>
      <x:c r="AO122" s="159"/>
      <x:c r="AP122" s="159"/>
      <x:c r="AQ122" s="159"/>
      <x:c r="AR122" s="159"/>
      <x:c r="AS122" s="159"/>
      <x:c r="AT122" s="159"/>
      <x:c r="AU122" s="159"/>
      <x:c r="AV122" s="159"/>
      <x:c r="AW122" s="159"/>
      <x:c r="AX122" s="159"/>
      <x:c r="AY122" s="159"/>
      <x:c r="AZ122" s="159"/>
    </x:row>
    <x:row r="123">
      <x:c r="A123" s="159"/>
      <x:c r="B123" s="159"/>
      <x:c r="C123" s="159"/>
      <x:c r="D123" s="159"/>
      <x:c r="E123" s="159"/>
      <x:c r="F123" s="159"/>
      <x:c r="G123" s="159"/>
      <x:c r="H123" s="159"/>
      <x:c r="I123" s="159"/>
      <x:c r="J123" s="159"/>
      <x:c r="K123" s="159"/>
      <x:c r="L123" s="159"/>
      <x:c r="M123" s="159"/>
      <x:c r="N123" s="159"/>
      <x:c r="O123" s="159"/>
      <x:c r="P123" s="159"/>
      <x:c r="Q123" s="159"/>
      <x:c r="R123" s="159"/>
      <x:c r="S123" s="159"/>
      <x:c r="T123" s="159"/>
      <x:c r="U123" s="159"/>
      <x:c r="V123" s="159"/>
      <x:c r="W123" s="159"/>
      <x:c r="X123" s="159"/>
      <x:c r="Y123" s="159"/>
      <x:c r="Z123" s="159"/>
      <x:c r="AA123" s="159"/>
      <x:c r="AB123" s="159"/>
      <x:c r="AC123" s="159"/>
      <x:c r="AD123" s="159"/>
      <x:c r="AE123" s="159"/>
      <x:c r="AF123" s="159"/>
      <x:c r="AG123" s="159"/>
      <x:c r="AH123" s="159"/>
      <x:c r="AI123" s="159"/>
      <x:c r="AJ123" s="159"/>
      <x:c r="AK123" s="159"/>
      <x:c r="AL123" s="159"/>
      <x:c r="AM123" s="159"/>
      <x:c r="AN123" s="159"/>
      <x:c r="AO123" s="159"/>
      <x:c r="AP123" s="159"/>
      <x:c r="AQ123" s="159"/>
      <x:c r="AR123" s="159"/>
      <x:c r="AS123" s="159"/>
      <x:c r="AT123" s="159"/>
      <x:c r="AU123" s="159"/>
      <x:c r="AV123" s="159"/>
      <x:c r="AW123" s="159"/>
      <x:c r="AX123" s="159"/>
      <x:c r="AY123" s="159"/>
      <x:c r="AZ123" s="159"/>
    </x:row>
    <x:row r="124">
      <x:c r="A124" s="159"/>
      <x:c r="B124" s="159"/>
      <x:c r="C124" s="159"/>
      <x:c r="D124" s="159"/>
      <x:c r="E124" s="159"/>
      <x:c r="F124" s="159"/>
      <x:c r="G124" s="159"/>
      <x:c r="H124" s="159"/>
      <x:c r="I124" s="159"/>
      <x:c r="J124" s="159"/>
      <x:c r="K124" s="159"/>
      <x:c r="L124" s="159"/>
      <x:c r="M124" s="159"/>
      <x:c r="N124" s="159"/>
      <x:c r="O124" s="159"/>
      <x:c r="P124" s="159"/>
      <x:c r="Q124" s="159"/>
      <x:c r="R124" s="159"/>
      <x:c r="S124" s="159"/>
      <x:c r="T124" s="159"/>
      <x:c r="U124" s="159"/>
      <x:c r="V124" s="159"/>
      <x:c r="W124" s="159"/>
      <x:c r="X124" s="159"/>
      <x:c r="Y124" s="159"/>
      <x:c r="Z124" s="159"/>
      <x:c r="AA124" s="159"/>
      <x:c r="AB124" s="159"/>
      <x:c r="AC124" s="159"/>
      <x:c r="AD124" s="159"/>
      <x:c r="AE124" s="159"/>
      <x:c r="AF124" s="159"/>
      <x:c r="AG124" s="159"/>
      <x:c r="AH124" s="159"/>
      <x:c r="AI124" s="159"/>
      <x:c r="AJ124" s="159"/>
      <x:c r="AK124" s="159"/>
      <x:c r="AL124" s="159"/>
      <x:c r="AM124" s="159"/>
      <x:c r="AN124" s="159"/>
      <x:c r="AO124" s="159"/>
      <x:c r="AP124" s="159"/>
      <x:c r="AQ124" s="159"/>
      <x:c r="AR124" s="159"/>
      <x:c r="AS124" s="159"/>
      <x:c r="AT124" s="159"/>
      <x:c r="AU124" s="159"/>
      <x:c r="AV124" s="159"/>
      <x:c r="AW124" s="159"/>
      <x:c r="AX124" s="159"/>
      <x:c r="AY124" s="159"/>
      <x:c r="AZ124" s="159"/>
    </x:row>
    <x:row r="125">
      <x:c r="A125" s="159"/>
      <x:c r="B125" s="159"/>
      <x:c r="C125" s="159"/>
      <x:c r="D125" s="159"/>
      <x:c r="E125" s="159"/>
      <x:c r="F125" s="159"/>
      <x:c r="G125" s="159"/>
      <x:c r="H125" s="159"/>
      <x:c r="I125" s="159"/>
      <x:c r="J125" s="159"/>
      <x:c r="K125" s="159"/>
      <x:c r="L125" s="159"/>
      <x:c r="M125" s="159"/>
      <x:c r="N125" s="159"/>
      <x:c r="O125" s="159"/>
      <x:c r="P125" s="159"/>
      <x:c r="Q125" s="159"/>
      <x:c r="R125" s="159"/>
      <x:c r="S125" s="159"/>
      <x:c r="T125" s="159"/>
      <x:c r="U125" s="159"/>
      <x:c r="V125" s="159"/>
      <x:c r="W125" s="159"/>
      <x:c r="X125" s="159"/>
      <x:c r="Y125" s="159"/>
      <x:c r="Z125" s="159"/>
      <x:c r="AA125" s="159"/>
      <x:c r="AB125" s="159"/>
      <x:c r="AC125" s="159"/>
      <x:c r="AD125" s="159"/>
      <x:c r="AE125" s="159"/>
      <x:c r="AF125" s="159"/>
      <x:c r="AG125" s="159"/>
      <x:c r="AH125" s="159"/>
      <x:c r="AI125" s="159"/>
      <x:c r="AJ125" s="159"/>
      <x:c r="AK125" s="159"/>
      <x:c r="AL125" s="159"/>
      <x:c r="AM125" s="159"/>
      <x:c r="AN125" s="159"/>
      <x:c r="AO125" s="159"/>
      <x:c r="AP125" s="159"/>
      <x:c r="AQ125" s="159"/>
      <x:c r="AR125" s="159"/>
      <x:c r="AS125" s="159"/>
      <x:c r="AT125" s="159"/>
      <x:c r="AU125" s="159"/>
      <x:c r="AV125" s="159"/>
      <x:c r="AW125" s="159"/>
      <x:c r="AX125" s="159"/>
      <x:c r="AY125" s="159"/>
      <x:c r="AZ125" s="159"/>
    </x:row>
    <x:row r="126">
      <x:c r="A126" s="159"/>
      <x:c r="B126" s="159"/>
      <x:c r="C126" s="159"/>
      <x:c r="D126" s="159"/>
      <x:c r="E126" s="159"/>
      <x:c r="F126" s="159"/>
      <x:c r="G126" s="159"/>
      <x:c r="H126" s="159"/>
      <x:c r="I126" s="159"/>
      <x:c r="J126" s="159"/>
      <x:c r="K126" s="159"/>
      <x:c r="L126" s="159"/>
      <x:c r="M126" s="159"/>
      <x:c r="N126" s="159"/>
      <x:c r="O126" s="159"/>
      <x:c r="P126" s="159"/>
      <x:c r="Q126" s="159"/>
      <x:c r="R126" s="159"/>
      <x:c r="S126" s="159"/>
      <x:c r="T126" s="159"/>
      <x:c r="U126" s="159"/>
      <x:c r="V126" s="159"/>
      <x:c r="W126" s="159"/>
      <x:c r="X126" s="159"/>
      <x:c r="Y126" s="159"/>
      <x:c r="Z126" s="159"/>
      <x:c r="AA126" s="159"/>
      <x:c r="AB126" s="159"/>
      <x:c r="AC126" s="159"/>
      <x:c r="AD126" s="159"/>
      <x:c r="AE126" s="159"/>
      <x:c r="AF126" s="159"/>
      <x:c r="AG126" s="159"/>
      <x:c r="AH126" s="159"/>
      <x:c r="AI126" s="159"/>
      <x:c r="AJ126" s="159"/>
      <x:c r="AK126" s="159"/>
      <x:c r="AL126" s="159"/>
      <x:c r="AM126" s="159"/>
      <x:c r="AN126" s="159"/>
      <x:c r="AO126" s="159"/>
      <x:c r="AP126" s="159"/>
      <x:c r="AQ126" s="159"/>
      <x:c r="AR126" s="159"/>
      <x:c r="AS126" s="159"/>
      <x:c r="AT126" s="159"/>
      <x:c r="AU126" s="159"/>
      <x:c r="AV126" s="159"/>
      <x:c r="AW126" s="159"/>
      <x:c r="AX126" s="159"/>
      <x:c r="AY126" s="159"/>
      <x:c r="AZ126" s="159"/>
    </x:row>
    <x:row r="127">
      <x:c r="A127" s="159"/>
      <x:c r="B127" s="159"/>
      <x:c r="C127" s="159"/>
      <x:c r="D127" s="159"/>
      <x:c r="E127" s="159"/>
      <x:c r="F127" s="159"/>
      <x:c r="G127" s="159"/>
      <x:c r="H127" s="159"/>
      <x:c r="I127" s="159"/>
      <x:c r="J127" s="159"/>
      <x:c r="K127" s="159"/>
      <x:c r="L127" s="159"/>
      <x:c r="M127" s="159"/>
      <x:c r="N127" s="159"/>
      <x:c r="O127" s="159"/>
      <x:c r="P127" s="159"/>
      <x:c r="Q127" s="159"/>
      <x:c r="R127" s="159"/>
      <x:c r="S127" s="159"/>
      <x:c r="T127" s="159"/>
      <x:c r="U127" s="159"/>
      <x:c r="V127" s="159"/>
      <x:c r="W127" s="159"/>
      <x:c r="X127" s="159"/>
      <x:c r="Y127" s="159"/>
      <x:c r="Z127" s="159"/>
      <x:c r="AA127" s="159"/>
      <x:c r="AB127" s="159"/>
      <x:c r="AC127" s="159"/>
      <x:c r="AD127" s="159"/>
      <x:c r="AE127" s="159"/>
      <x:c r="AF127" s="159"/>
      <x:c r="AG127" s="159"/>
      <x:c r="AH127" s="159"/>
      <x:c r="AI127" s="159"/>
      <x:c r="AJ127" s="159"/>
      <x:c r="AK127" s="159"/>
      <x:c r="AL127" s="159"/>
      <x:c r="AM127" s="159"/>
      <x:c r="AN127" s="159"/>
      <x:c r="AO127" s="159"/>
      <x:c r="AP127" s="159"/>
      <x:c r="AQ127" s="159"/>
      <x:c r="AR127" s="159"/>
      <x:c r="AS127" s="159"/>
      <x:c r="AT127" s="159"/>
      <x:c r="AU127" s="159"/>
      <x:c r="AV127" s="159"/>
      <x:c r="AW127" s="159"/>
      <x:c r="AX127" s="159"/>
      <x:c r="AY127" s="159"/>
      <x:c r="AZ127" s="159"/>
    </x:row>
    <x:row r="128">
      <x:c r="A128" s="159"/>
      <x:c r="B128" s="159"/>
      <x:c r="C128" s="159"/>
      <x:c r="D128" s="159"/>
      <x:c r="E128" s="159"/>
      <x:c r="F128" s="159"/>
      <x:c r="G128" s="159"/>
      <x:c r="H128" s="159"/>
      <x:c r="I128" s="159"/>
      <x:c r="J128" s="159"/>
      <x:c r="K128" s="159"/>
      <x:c r="L128" s="159"/>
      <x:c r="M128" s="159"/>
      <x:c r="N128" s="159"/>
      <x:c r="O128" s="159"/>
      <x:c r="P128" s="159"/>
      <x:c r="Q128" s="159"/>
      <x:c r="R128" s="159"/>
      <x:c r="S128" s="159"/>
      <x:c r="T128" s="159"/>
      <x:c r="U128" s="159"/>
      <x:c r="V128" s="159"/>
      <x:c r="W128" s="159"/>
      <x:c r="X128" s="159"/>
      <x:c r="Y128" s="159"/>
      <x:c r="Z128" s="159"/>
      <x:c r="AA128" s="159"/>
      <x:c r="AB128" s="159"/>
      <x:c r="AC128" s="159"/>
      <x:c r="AD128" s="159"/>
      <x:c r="AE128" s="159"/>
      <x:c r="AF128" s="159"/>
      <x:c r="AG128" s="159"/>
      <x:c r="AH128" s="159"/>
      <x:c r="AI128" s="159"/>
      <x:c r="AJ128" s="159"/>
      <x:c r="AK128" s="159"/>
      <x:c r="AL128" s="159"/>
      <x:c r="AM128" s="159"/>
      <x:c r="AN128" s="159"/>
      <x:c r="AO128" s="159"/>
      <x:c r="AP128" s="159"/>
      <x:c r="AQ128" s="159"/>
      <x:c r="AR128" s="159"/>
      <x:c r="AS128" s="159"/>
      <x:c r="AT128" s="159"/>
      <x:c r="AU128" s="159"/>
      <x:c r="AV128" s="159"/>
      <x:c r="AW128" s="159"/>
      <x:c r="AX128" s="159"/>
      <x:c r="AY128" s="159"/>
      <x:c r="AZ128" s="159"/>
    </x:row>
    <x:row r="129">
      <x:c r="A129" s="159"/>
      <x:c r="B129" s="159"/>
      <x:c r="C129" s="159"/>
      <x:c r="D129" s="159"/>
      <x:c r="E129" s="159"/>
      <x:c r="F129" s="159"/>
      <x:c r="G129" s="159"/>
      <x:c r="H129" s="159"/>
      <x:c r="I129" s="159"/>
      <x:c r="J129" s="159"/>
      <x:c r="K129" s="159"/>
      <x:c r="L129" s="159"/>
      <x:c r="M129" s="159"/>
      <x:c r="N129" s="159"/>
      <x:c r="O129" s="159"/>
      <x:c r="P129" s="159"/>
      <x:c r="Q129" s="159"/>
      <x:c r="R129" s="159"/>
      <x:c r="S129" s="159"/>
      <x:c r="T129" s="159"/>
      <x:c r="U129" s="159"/>
      <x:c r="V129" s="159"/>
      <x:c r="W129" s="159"/>
      <x:c r="X129" s="159"/>
      <x:c r="Y129" s="159"/>
      <x:c r="Z129" s="159"/>
      <x:c r="AA129" s="159"/>
      <x:c r="AB129" s="159"/>
      <x:c r="AC129" s="159"/>
      <x:c r="AD129" s="159"/>
      <x:c r="AE129" s="159"/>
      <x:c r="AF129" s="159"/>
      <x:c r="AG129" s="159"/>
      <x:c r="AH129" s="159"/>
      <x:c r="AI129" s="159"/>
      <x:c r="AJ129" s="159"/>
      <x:c r="AK129" s="159"/>
      <x:c r="AL129" s="159"/>
      <x:c r="AM129" s="159"/>
      <x:c r="AN129" s="159"/>
      <x:c r="AO129" s="159"/>
      <x:c r="AP129" s="159"/>
      <x:c r="AQ129" s="159"/>
      <x:c r="AR129" s="159"/>
      <x:c r="AS129" s="159"/>
      <x:c r="AT129" s="159"/>
      <x:c r="AU129" s="159"/>
      <x:c r="AV129" s="159"/>
      <x:c r="AW129" s="159"/>
      <x:c r="AX129" s="159"/>
      <x:c r="AY129" s="159"/>
      <x:c r="AZ129" s="159"/>
    </x:row>
    <x:row r="130">
      <x:c r="A130" s="159"/>
      <x:c r="B130" s="159"/>
      <x:c r="C130" s="159"/>
      <x:c r="D130" s="159"/>
      <x:c r="E130" s="159"/>
      <x:c r="F130" s="159"/>
      <x:c r="G130" s="159"/>
      <x:c r="H130" s="159"/>
      <x:c r="I130" s="159"/>
      <x:c r="J130" s="159"/>
      <x:c r="K130" s="159"/>
      <x:c r="L130" s="159"/>
      <x:c r="M130" s="159"/>
      <x:c r="N130" s="159"/>
      <x:c r="O130" s="159"/>
      <x:c r="P130" s="159"/>
      <x:c r="Q130" s="159"/>
      <x:c r="R130" s="159"/>
      <x:c r="S130" s="159"/>
      <x:c r="T130" s="159"/>
      <x:c r="U130" s="159"/>
      <x:c r="V130" s="159"/>
      <x:c r="W130" s="159"/>
      <x:c r="X130" s="159"/>
      <x:c r="Y130" s="159"/>
      <x:c r="Z130" s="159"/>
      <x:c r="AA130" s="159"/>
      <x:c r="AB130" s="159"/>
      <x:c r="AC130" s="159"/>
      <x:c r="AD130" s="159"/>
      <x:c r="AE130" s="159"/>
      <x:c r="AF130" s="159"/>
      <x:c r="AG130" s="159"/>
      <x:c r="AH130" s="159"/>
      <x:c r="AI130" s="159"/>
      <x:c r="AJ130" s="159"/>
      <x:c r="AK130" s="159"/>
      <x:c r="AL130" s="159"/>
      <x:c r="AM130" s="159"/>
      <x:c r="AN130" s="159"/>
      <x:c r="AO130" s="159"/>
      <x:c r="AP130" s="159"/>
      <x:c r="AQ130" s="159"/>
      <x:c r="AR130" s="159"/>
      <x:c r="AS130" s="159"/>
      <x:c r="AT130" s="159"/>
      <x:c r="AU130" s="159"/>
      <x:c r="AV130" s="159"/>
      <x:c r="AW130" s="159"/>
      <x:c r="AX130" s="159"/>
      <x:c r="AY130" s="159"/>
      <x:c r="AZ130" s="159"/>
    </x:row>
    <x:row r="131">
      <x:c r="A131" s="159"/>
      <x:c r="B131" s="159"/>
      <x:c r="C131" s="159"/>
      <x:c r="D131" s="159"/>
      <x:c r="E131" s="159"/>
      <x:c r="F131" s="159"/>
      <x:c r="G131" s="159"/>
      <x:c r="H131" s="159"/>
      <x:c r="I131" s="159"/>
      <x:c r="J131" s="159"/>
      <x:c r="K131" s="159"/>
      <x:c r="L131" s="159"/>
      <x:c r="M131" s="159"/>
      <x:c r="N131" s="159"/>
      <x:c r="O131" s="159"/>
      <x:c r="P131" s="159"/>
      <x:c r="Q131" s="159"/>
      <x:c r="R131" s="159"/>
      <x:c r="S131" s="159"/>
      <x:c r="T131" s="159"/>
      <x:c r="U131" s="159"/>
      <x:c r="V131" s="159"/>
      <x:c r="W131" s="159"/>
      <x:c r="X131" s="159"/>
      <x:c r="Y131" s="159"/>
      <x:c r="Z131" s="159"/>
      <x:c r="AA131" s="159"/>
      <x:c r="AB131" s="159"/>
      <x:c r="AC131" s="159"/>
      <x:c r="AD131" s="159"/>
      <x:c r="AE131" s="159"/>
      <x:c r="AF131" s="159"/>
      <x:c r="AG131" s="159"/>
      <x:c r="AH131" s="159"/>
      <x:c r="AI131" s="159"/>
      <x:c r="AJ131" s="159"/>
      <x:c r="AK131" s="159"/>
      <x:c r="AL131" s="159"/>
      <x:c r="AM131" s="159"/>
      <x:c r="AN131" s="159"/>
      <x:c r="AO131" s="159"/>
      <x:c r="AP131" s="159"/>
      <x:c r="AQ131" s="159"/>
      <x:c r="AR131" s="159"/>
      <x:c r="AS131" s="159"/>
      <x:c r="AT131" s="159"/>
      <x:c r="AU131" s="159"/>
      <x:c r="AV131" s="159"/>
      <x:c r="AW131" s="159"/>
      <x:c r="AX131" s="159"/>
      <x:c r="AY131" s="159"/>
      <x:c r="AZ131" s="159"/>
    </x:row>
    <x:row r="132">
      <x:c r="A132" s="159"/>
      <x:c r="B132" s="159"/>
      <x:c r="C132" s="159"/>
      <x:c r="D132" s="159"/>
      <x:c r="E132" s="159"/>
      <x:c r="F132" s="159"/>
      <x:c r="G132" s="159"/>
      <x:c r="H132" s="159"/>
      <x:c r="I132" s="159"/>
      <x:c r="J132" s="159"/>
      <x:c r="K132" s="159"/>
      <x:c r="L132" s="159"/>
      <x:c r="M132" s="159"/>
      <x:c r="N132" s="159"/>
      <x:c r="O132" s="159"/>
      <x:c r="P132" s="159"/>
      <x:c r="Q132" s="159"/>
      <x:c r="R132" s="159"/>
      <x:c r="S132" s="159"/>
      <x:c r="T132" s="159"/>
      <x:c r="U132" s="159"/>
      <x:c r="V132" s="159"/>
      <x:c r="W132" s="159"/>
      <x:c r="X132" s="159"/>
      <x:c r="Y132" s="159"/>
      <x:c r="Z132" s="159"/>
      <x:c r="AA132" s="159"/>
      <x:c r="AB132" s="159"/>
      <x:c r="AC132" s="159"/>
      <x:c r="AD132" s="159"/>
      <x:c r="AE132" s="159"/>
      <x:c r="AF132" s="159"/>
      <x:c r="AG132" s="159"/>
      <x:c r="AH132" s="159"/>
      <x:c r="AI132" s="159"/>
      <x:c r="AJ132" s="159"/>
      <x:c r="AK132" s="159"/>
      <x:c r="AL132" s="159"/>
      <x:c r="AM132" s="159"/>
      <x:c r="AN132" s="159"/>
      <x:c r="AO132" s="159"/>
      <x:c r="AP132" s="159"/>
      <x:c r="AQ132" s="159"/>
      <x:c r="AR132" s="159"/>
      <x:c r="AS132" s="159"/>
      <x:c r="AT132" s="159"/>
      <x:c r="AU132" s="159"/>
      <x:c r="AV132" s="159"/>
      <x:c r="AW132" s="159"/>
      <x:c r="AX132" s="159"/>
      <x:c r="AY132" s="159"/>
      <x:c r="AZ132" s="159"/>
    </x:row>
    <x:row r="133">
      <x:c r="A133" s="159"/>
      <x:c r="B133" s="159"/>
      <x:c r="C133" s="159"/>
      <x:c r="D133" s="159"/>
      <x:c r="E133" s="159"/>
      <x:c r="F133" s="159"/>
      <x:c r="G133" s="159"/>
      <x:c r="H133" s="159"/>
      <x:c r="I133" s="159"/>
      <x:c r="J133" s="159"/>
      <x:c r="K133" s="159"/>
      <x:c r="L133" s="159"/>
      <x:c r="M133" s="159"/>
      <x:c r="N133" s="159"/>
      <x:c r="O133" s="159"/>
      <x:c r="P133" s="159"/>
      <x:c r="Q133" s="159"/>
      <x:c r="R133" s="159"/>
      <x:c r="S133" s="159"/>
      <x:c r="T133" s="159"/>
      <x:c r="U133" s="159"/>
      <x:c r="V133" s="159"/>
      <x:c r="W133" s="159"/>
      <x:c r="X133" s="159"/>
      <x:c r="Y133" s="159"/>
      <x:c r="Z133" s="159"/>
      <x:c r="AA133" s="159"/>
      <x:c r="AB133" s="159"/>
      <x:c r="AC133" s="159"/>
      <x:c r="AD133" s="159"/>
      <x:c r="AE133" s="159"/>
      <x:c r="AF133" s="159"/>
      <x:c r="AG133" s="159"/>
      <x:c r="AH133" s="159"/>
      <x:c r="AI133" s="159"/>
      <x:c r="AJ133" s="159"/>
      <x:c r="AK133" s="159"/>
      <x:c r="AL133" s="159"/>
      <x:c r="AM133" s="159"/>
      <x:c r="AN133" s="159"/>
      <x:c r="AO133" s="159"/>
      <x:c r="AP133" s="159"/>
      <x:c r="AQ133" s="159"/>
      <x:c r="AR133" s="159"/>
      <x:c r="AS133" s="159"/>
      <x:c r="AT133" s="159"/>
      <x:c r="AU133" s="159"/>
      <x:c r="AV133" s="159"/>
      <x:c r="AW133" s="159"/>
      <x:c r="AX133" s="159"/>
      <x:c r="AY133" s="159"/>
      <x:c r="AZ133" s="159"/>
    </x:row>
    <x:row r="134">
      <x:c r="A134" s="159"/>
      <x:c r="B134" s="159"/>
      <x:c r="C134" s="159"/>
      <x:c r="D134" s="159"/>
      <x:c r="E134" s="159"/>
      <x:c r="F134" s="159"/>
      <x:c r="G134" s="159"/>
      <x:c r="H134" s="159"/>
      <x:c r="I134" s="159"/>
      <x:c r="J134" s="159"/>
      <x:c r="K134" s="159"/>
      <x:c r="L134" s="159"/>
      <x:c r="M134" s="159"/>
      <x:c r="N134" s="159"/>
      <x:c r="O134" s="159"/>
      <x:c r="P134" s="159"/>
      <x:c r="Q134" s="159"/>
      <x:c r="R134" s="159"/>
      <x:c r="S134" s="159"/>
      <x:c r="T134" s="159"/>
      <x:c r="U134" s="159"/>
      <x:c r="V134" s="159"/>
      <x:c r="W134" s="159"/>
      <x:c r="X134" s="159"/>
      <x:c r="Y134" s="159"/>
      <x:c r="Z134" s="159"/>
      <x:c r="AA134" s="159"/>
      <x:c r="AB134" s="159"/>
      <x:c r="AC134" s="159"/>
      <x:c r="AD134" s="159"/>
      <x:c r="AE134" s="159"/>
      <x:c r="AF134" s="159"/>
      <x:c r="AG134" s="159"/>
      <x:c r="AH134" s="159"/>
      <x:c r="AI134" s="159"/>
      <x:c r="AJ134" s="159"/>
      <x:c r="AK134" s="159"/>
      <x:c r="AL134" s="159"/>
      <x:c r="AM134" s="159"/>
      <x:c r="AN134" s="159"/>
      <x:c r="AO134" s="159"/>
      <x:c r="AP134" s="159"/>
      <x:c r="AQ134" s="159"/>
      <x:c r="AR134" s="159"/>
      <x:c r="AS134" s="159"/>
      <x:c r="AT134" s="159"/>
      <x:c r="AU134" s="159"/>
      <x:c r="AV134" s="159"/>
      <x:c r="AW134" s="159"/>
      <x:c r="AX134" s="159"/>
      <x:c r="AY134" s="159"/>
      <x:c r="AZ134" s="159"/>
    </x:row>
    <x:row r="135">
      <x:c r="A135" s="159"/>
      <x:c r="B135" s="159"/>
      <x:c r="C135" s="159"/>
      <x:c r="D135" s="159"/>
      <x:c r="E135" s="159"/>
      <x:c r="F135" s="159"/>
      <x:c r="G135" s="159"/>
      <x:c r="H135" s="159"/>
      <x:c r="I135" s="159"/>
      <x:c r="J135" s="159"/>
      <x:c r="K135" s="159"/>
      <x:c r="L135" s="159"/>
      <x:c r="M135" s="159"/>
      <x:c r="N135" s="159"/>
      <x:c r="O135" s="159"/>
      <x:c r="P135" s="159"/>
      <x:c r="Q135" s="159"/>
      <x:c r="R135" s="159"/>
      <x:c r="S135" s="159"/>
      <x:c r="T135" s="159"/>
      <x:c r="U135" s="159"/>
      <x:c r="V135" s="159"/>
      <x:c r="W135" s="159"/>
      <x:c r="X135" s="159"/>
      <x:c r="Y135" s="159"/>
      <x:c r="Z135" s="159"/>
      <x:c r="AA135" s="159"/>
      <x:c r="AB135" s="159"/>
      <x:c r="AC135" s="159"/>
      <x:c r="AD135" s="159"/>
      <x:c r="AE135" s="159"/>
      <x:c r="AF135" s="159"/>
      <x:c r="AG135" s="159"/>
      <x:c r="AH135" s="159"/>
      <x:c r="AI135" s="159"/>
      <x:c r="AJ135" s="159"/>
      <x:c r="AK135" s="159"/>
      <x:c r="AL135" s="159"/>
      <x:c r="AM135" s="159"/>
      <x:c r="AN135" s="159"/>
      <x:c r="AO135" s="159"/>
      <x:c r="AP135" s="159"/>
      <x:c r="AQ135" s="159"/>
      <x:c r="AR135" s="159"/>
      <x:c r="AS135" s="159"/>
      <x:c r="AT135" s="159"/>
      <x:c r="AU135" s="159"/>
      <x:c r="AV135" s="159"/>
      <x:c r="AW135" s="159"/>
      <x:c r="AX135" s="159"/>
      <x:c r="AY135" s="159"/>
      <x:c r="AZ135" s="159"/>
    </x:row>
    <x:row r="136">
      <x:c r="A136" s="159"/>
      <x:c r="B136" s="159"/>
      <x:c r="C136" s="159"/>
      <x:c r="D136" s="159"/>
      <x:c r="E136" s="159"/>
      <x:c r="F136" s="159"/>
      <x:c r="G136" s="159"/>
      <x:c r="H136" s="159"/>
      <x:c r="I136" s="159"/>
      <x:c r="J136" s="159"/>
      <x:c r="K136" s="159"/>
      <x:c r="L136" s="159"/>
      <x:c r="M136" s="159"/>
      <x:c r="N136" s="159"/>
      <x:c r="O136" s="159"/>
      <x:c r="P136" s="159"/>
      <x:c r="Q136" s="159"/>
      <x:c r="R136" s="159"/>
      <x:c r="S136" s="159"/>
      <x:c r="T136" s="159"/>
      <x:c r="U136" s="159"/>
      <x:c r="V136" s="159"/>
      <x:c r="W136" s="159"/>
      <x:c r="X136" s="159"/>
      <x:c r="Y136" s="159"/>
      <x:c r="Z136" s="159"/>
      <x:c r="AA136" s="159"/>
      <x:c r="AB136" s="159"/>
      <x:c r="AC136" s="159"/>
      <x:c r="AD136" s="159"/>
      <x:c r="AE136" s="159"/>
      <x:c r="AF136" s="159"/>
      <x:c r="AG136" s="159"/>
      <x:c r="AH136" s="159"/>
      <x:c r="AI136" s="159"/>
      <x:c r="AJ136" s="159"/>
      <x:c r="AK136" s="159"/>
      <x:c r="AL136" s="159"/>
      <x:c r="AM136" s="159"/>
      <x:c r="AN136" s="159"/>
      <x:c r="AO136" s="159"/>
      <x:c r="AP136" s="159"/>
      <x:c r="AQ136" s="159"/>
      <x:c r="AR136" s="159"/>
      <x:c r="AS136" s="159"/>
      <x:c r="AT136" s="159"/>
      <x:c r="AU136" s="159"/>
      <x:c r="AV136" s="159"/>
      <x:c r="AW136" s="159"/>
      <x:c r="AX136" s="159"/>
      <x:c r="AY136" s="159"/>
      <x:c r="AZ136" s="159"/>
    </x:row>
    <x:row r="137">
      <x:c r="A137" s="159"/>
      <x:c r="B137" s="159"/>
      <x:c r="C137" s="159"/>
      <x:c r="D137" s="159"/>
      <x:c r="E137" s="159"/>
      <x:c r="F137" s="159"/>
      <x:c r="G137" s="159"/>
      <x:c r="H137" s="159"/>
      <x:c r="I137" s="159"/>
      <x:c r="J137" s="159"/>
      <x:c r="K137" s="159"/>
      <x:c r="L137" s="159"/>
      <x:c r="M137" s="159"/>
      <x:c r="N137" s="159"/>
      <x:c r="O137" s="159"/>
      <x:c r="P137" s="159"/>
      <x:c r="Q137" s="159"/>
      <x:c r="R137" s="159"/>
      <x:c r="S137" s="159"/>
      <x:c r="T137" s="159"/>
      <x:c r="U137" s="159"/>
      <x:c r="V137" s="159"/>
      <x:c r="W137" s="159"/>
      <x:c r="X137" s="159"/>
      <x:c r="Y137" s="159"/>
      <x:c r="Z137" s="159"/>
      <x:c r="AA137" s="159"/>
      <x:c r="AB137" s="159"/>
      <x:c r="AC137" s="159"/>
      <x:c r="AD137" s="159"/>
      <x:c r="AE137" s="159"/>
      <x:c r="AF137" s="159"/>
      <x:c r="AG137" s="159"/>
      <x:c r="AH137" s="159"/>
      <x:c r="AI137" s="159"/>
      <x:c r="AJ137" s="159"/>
      <x:c r="AK137" s="159"/>
      <x:c r="AL137" s="159"/>
      <x:c r="AM137" s="159"/>
      <x:c r="AN137" s="159"/>
      <x:c r="AO137" s="159"/>
      <x:c r="AP137" s="159"/>
      <x:c r="AQ137" s="159"/>
      <x:c r="AR137" s="159"/>
      <x:c r="AS137" s="159"/>
      <x:c r="AT137" s="159"/>
      <x:c r="AU137" s="159"/>
      <x:c r="AV137" s="159"/>
      <x:c r="AW137" s="159"/>
      <x:c r="AX137" s="159"/>
      <x:c r="AY137" s="159"/>
      <x:c r="AZ137" s="159"/>
    </x:row>
    <x:row r="138">
      <x:c r="A138" s="159"/>
      <x:c r="B138" s="159"/>
      <x:c r="C138" s="159"/>
      <x:c r="D138" s="159"/>
      <x:c r="E138" s="159"/>
      <x:c r="F138" s="159"/>
      <x:c r="G138" s="159"/>
      <x:c r="H138" s="159"/>
      <x:c r="I138" s="159"/>
      <x:c r="J138" s="159"/>
      <x:c r="K138" s="159"/>
      <x:c r="L138" s="159"/>
      <x:c r="M138" s="159"/>
      <x:c r="N138" s="159"/>
      <x:c r="O138" s="159"/>
      <x:c r="P138" s="159"/>
      <x:c r="Q138" s="159"/>
      <x:c r="R138" s="159"/>
      <x:c r="S138" s="159"/>
      <x:c r="T138" s="159"/>
      <x:c r="U138" s="159"/>
      <x:c r="V138" s="159"/>
      <x:c r="W138" s="159"/>
      <x:c r="X138" s="159"/>
      <x:c r="Y138" s="159"/>
      <x:c r="Z138" s="159"/>
      <x:c r="AA138" s="159"/>
      <x:c r="AB138" s="159"/>
      <x:c r="AC138" s="159"/>
      <x:c r="AD138" s="159"/>
      <x:c r="AE138" s="159"/>
      <x:c r="AF138" s="159"/>
      <x:c r="AG138" s="159"/>
      <x:c r="AH138" s="159"/>
      <x:c r="AI138" s="159"/>
      <x:c r="AJ138" s="159"/>
      <x:c r="AK138" s="159"/>
      <x:c r="AL138" s="159"/>
      <x:c r="AM138" s="159"/>
      <x:c r="AN138" s="159"/>
      <x:c r="AO138" s="159"/>
      <x:c r="AP138" s="159"/>
      <x:c r="AQ138" s="159"/>
      <x:c r="AR138" s="159"/>
      <x:c r="AS138" s="159"/>
      <x:c r="AT138" s="159"/>
      <x:c r="AU138" s="159"/>
      <x:c r="AV138" s="159"/>
      <x:c r="AW138" s="159"/>
      <x:c r="AX138" s="159"/>
      <x:c r="AY138" s="159"/>
      <x:c r="AZ138" s="159"/>
    </x:row>
    <x:row r="139">
      <x:c r="A139" s="159"/>
      <x:c r="B139" s="159"/>
      <x:c r="C139" s="159"/>
      <x:c r="D139" s="159"/>
      <x:c r="E139" s="159"/>
      <x:c r="F139" s="159"/>
      <x:c r="G139" s="159"/>
      <x:c r="H139" s="159"/>
      <x:c r="I139" s="159"/>
      <x:c r="J139" s="159"/>
      <x:c r="K139" s="159"/>
      <x:c r="L139" s="159"/>
      <x:c r="M139" s="159"/>
      <x:c r="N139" s="159"/>
      <x:c r="O139" s="159"/>
      <x:c r="P139" s="159"/>
      <x:c r="Q139" s="159"/>
      <x:c r="R139" s="159"/>
      <x:c r="S139" s="159"/>
      <x:c r="T139" s="159"/>
      <x:c r="U139" s="159"/>
      <x:c r="V139" s="159"/>
      <x:c r="W139" s="159"/>
      <x:c r="X139" s="159"/>
      <x:c r="Y139" s="159"/>
      <x:c r="Z139" s="159"/>
      <x:c r="AA139" s="159"/>
      <x:c r="AB139" s="159"/>
      <x:c r="AC139" s="159"/>
      <x:c r="AD139" s="159"/>
      <x:c r="AE139" s="159"/>
      <x:c r="AF139" s="159"/>
      <x:c r="AG139" s="159"/>
      <x:c r="AH139" s="159"/>
      <x:c r="AI139" s="159"/>
      <x:c r="AJ139" s="159"/>
      <x:c r="AK139" s="159"/>
      <x:c r="AL139" s="159"/>
      <x:c r="AM139" s="159"/>
      <x:c r="AN139" s="159"/>
      <x:c r="AO139" s="159"/>
      <x:c r="AP139" s="159"/>
      <x:c r="AQ139" s="159"/>
      <x:c r="AR139" s="159"/>
      <x:c r="AS139" s="159"/>
      <x:c r="AT139" s="159"/>
      <x:c r="AU139" s="159"/>
      <x:c r="AV139" s="159"/>
      <x:c r="AW139" s="159"/>
      <x:c r="AX139" s="159"/>
      <x:c r="AY139" s="159"/>
      <x:c r="AZ139" s="159"/>
    </x:row>
    <x:row r="140">
      <x:c r="A140" s="159"/>
      <x:c r="B140" s="159"/>
      <x:c r="C140" s="159"/>
      <x:c r="D140" s="159"/>
      <x:c r="E140" s="159"/>
      <x:c r="F140" s="159"/>
      <x:c r="G140" s="159"/>
      <x:c r="H140" s="159"/>
      <x:c r="I140" s="159"/>
      <x:c r="J140" s="159"/>
      <x:c r="K140" s="159"/>
      <x:c r="L140" s="159"/>
      <x:c r="M140" s="159"/>
      <x:c r="N140" s="159"/>
      <x:c r="O140" s="159"/>
      <x:c r="P140" s="159"/>
      <x:c r="Q140" s="159"/>
      <x:c r="R140" s="159"/>
      <x:c r="S140" s="159"/>
      <x:c r="T140" s="159"/>
      <x:c r="U140" s="159"/>
      <x:c r="V140" s="159"/>
      <x:c r="W140" s="159"/>
      <x:c r="X140" s="159"/>
      <x:c r="Y140" s="159"/>
      <x:c r="Z140" s="159"/>
      <x:c r="AA140" s="159"/>
      <x:c r="AB140" s="159"/>
      <x:c r="AC140" s="159"/>
      <x:c r="AD140" s="159"/>
      <x:c r="AE140" s="159"/>
      <x:c r="AF140" s="159"/>
      <x:c r="AG140" s="159"/>
      <x:c r="AH140" s="159"/>
      <x:c r="AI140" s="159"/>
      <x:c r="AJ140" s="159"/>
      <x:c r="AK140" s="159"/>
      <x:c r="AL140" s="159"/>
      <x:c r="AM140" s="159"/>
      <x:c r="AN140" s="159"/>
      <x:c r="AO140" s="159"/>
      <x:c r="AP140" s="159"/>
      <x:c r="AQ140" s="159"/>
      <x:c r="AR140" s="159"/>
      <x:c r="AS140" s="159"/>
      <x:c r="AT140" s="159"/>
      <x:c r="AU140" s="159"/>
      <x:c r="AV140" s="159"/>
      <x:c r="AW140" s="159"/>
      <x:c r="AX140" s="159"/>
      <x:c r="AY140" s="159"/>
      <x:c r="AZ140" s="159"/>
    </x:row>
    <x:row r="141">
      <x:c r="A141" s="159"/>
      <x:c r="B141" s="159"/>
      <x:c r="C141" s="159"/>
      <x:c r="D141" s="159"/>
      <x:c r="E141" s="159"/>
      <x:c r="F141" s="159"/>
      <x:c r="G141" s="159"/>
      <x:c r="H141" s="159"/>
      <x:c r="I141" s="159"/>
      <x:c r="J141" s="159"/>
      <x:c r="K141" s="159"/>
      <x:c r="L141" s="159"/>
      <x:c r="M141" s="159"/>
      <x:c r="N141" s="159"/>
      <x:c r="O141" s="159"/>
      <x:c r="P141" s="159"/>
      <x:c r="Q141" s="159"/>
      <x:c r="R141" s="159"/>
      <x:c r="S141" s="159"/>
      <x:c r="T141" s="159"/>
      <x:c r="U141" s="159"/>
      <x:c r="V141" s="159"/>
      <x:c r="W141" s="159"/>
      <x:c r="X141" s="159"/>
      <x:c r="Y141" s="159"/>
      <x:c r="Z141" s="159"/>
      <x:c r="AA141" s="159"/>
      <x:c r="AB141" s="159"/>
      <x:c r="AC141" s="159"/>
      <x:c r="AD141" s="159"/>
      <x:c r="AE141" s="159"/>
      <x:c r="AF141" s="159"/>
      <x:c r="AG141" s="159"/>
      <x:c r="AH141" s="159"/>
      <x:c r="AI141" s="159"/>
      <x:c r="AJ141" s="159"/>
      <x:c r="AK141" s="159"/>
      <x:c r="AL141" s="159"/>
      <x:c r="AM141" s="159"/>
      <x:c r="AN141" s="159"/>
      <x:c r="AO141" s="159"/>
      <x:c r="AP141" s="159"/>
      <x:c r="AQ141" s="159"/>
      <x:c r="AR141" s="159"/>
      <x:c r="AS141" s="159"/>
      <x:c r="AT141" s="159"/>
      <x:c r="AU141" s="159"/>
      <x:c r="AV141" s="159"/>
      <x:c r="AW141" s="159"/>
      <x:c r="AX141" s="159"/>
      <x:c r="AY141" s="159"/>
      <x:c r="AZ141" s="159"/>
    </x:row>
    <x:row r="142">
      <x:c r="A142" s="159"/>
      <x:c r="B142" s="159"/>
      <x:c r="C142" s="159"/>
      <x:c r="D142" s="159"/>
      <x:c r="E142" s="159"/>
      <x:c r="F142" s="159"/>
      <x:c r="G142" s="159"/>
      <x:c r="H142" s="159"/>
      <x:c r="I142" s="159"/>
      <x:c r="J142" s="159"/>
      <x:c r="K142" s="159"/>
      <x:c r="L142" s="159"/>
      <x:c r="M142" s="159"/>
      <x:c r="N142" s="159"/>
      <x:c r="O142" s="159"/>
      <x:c r="P142" s="159"/>
      <x:c r="Q142" s="159"/>
      <x:c r="R142" s="159"/>
      <x:c r="S142" s="159"/>
      <x:c r="T142" s="159"/>
      <x:c r="U142" s="159"/>
      <x:c r="V142" s="159"/>
      <x:c r="W142" s="159"/>
      <x:c r="X142" s="159"/>
      <x:c r="Y142" s="159"/>
      <x:c r="Z142" s="159"/>
      <x:c r="AA142" s="159"/>
      <x:c r="AB142" s="159"/>
      <x:c r="AC142" s="159"/>
      <x:c r="AD142" s="159"/>
      <x:c r="AE142" s="159"/>
      <x:c r="AF142" s="159"/>
      <x:c r="AG142" s="159"/>
      <x:c r="AH142" s="159"/>
      <x:c r="AI142" s="159"/>
      <x:c r="AJ142" s="159"/>
      <x:c r="AK142" s="159"/>
      <x:c r="AL142" s="159"/>
      <x:c r="AM142" s="159"/>
      <x:c r="AN142" s="159"/>
      <x:c r="AO142" s="159"/>
      <x:c r="AP142" s="159"/>
      <x:c r="AQ142" s="159"/>
      <x:c r="AR142" s="159"/>
      <x:c r="AS142" s="159"/>
      <x:c r="AT142" s="159"/>
      <x:c r="AU142" s="159"/>
      <x:c r="AV142" s="159"/>
      <x:c r="AW142" s="159"/>
      <x:c r="AX142" s="159"/>
      <x:c r="AY142" s="159"/>
      <x:c r="AZ142" s="159"/>
    </x:row>
    <x:row r="143">
      <x:c r="A143" s="159"/>
      <x:c r="B143" s="159"/>
      <x:c r="C143" s="159"/>
      <x:c r="D143" s="159"/>
      <x:c r="E143" s="159"/>
      <x:c r="F143" s="159"/>
      <x:c r="G143" s="159"/>
      <x:c r="H143" s="159"/>
      <x:c r="I143" s="159"/>
      <x:c r="J143" s="159"/>
      <x:c r="K143" s="159"/>
      <x:c r="L143" s="159"/>
      <x:c r="M143" s="159"/>
      <x:c r="N143" s="159"/>
      <x:c r="O143" s="159"/>
      <x:c r="P143" s="159"/>
      <x:c r="Q143" s="159"/>
      <x:c r="R143" s="159"/>
      <x:c r="S143" s="159"/>
      <x:c r="T143" s="159"/>
      <x:c r="U143" s="159"/>
      <x:c r="V143" s="159"/>
      <x:c r="W143" s="159"/>
      <x:c r="X143" s="159"/>
      <x:c r="Y143" s="159"/>
      <x:c r="Z143" s="159"/>
      <x:c r="AA143" s="159"/>
      <x:c r="AB143" s="159"/>
      <x:c r="AC143" s="159"/>
      <x:c r="AD143" s="159"/>
      <x:c r="AE143" s="159"/>
      <x:c r="AF143" s="159"/>
      <x:c r="AG143" s="159"/>
      <x:c r="AH143" s="159"/>
      <x:c r="AI143" s="159"/>
      <x:c r="AJ143" s="159"/>
      <x:c r="AK143" s="159"/>
      <x:c r="AL143" s="159"/>
      <x:c r="AM143" s="159"/>
      <x:c r="AN143" s="159"/>
      <x:c r="AO143" s="159"/>
      <x:c r="AP143" s="159"/>
      <x:c r="AQ143" s="159"/>
      <x:c r="AR143" s="159"/>
      <x:c r="AS143" s="159"/>
      <x:c r="AT143" s="159"/>
      <x:c r="AU143" s="159"/>
      <x:c r="AV143" s="159"/>
      <x:c r="AW143" s="159"/>
      <x:c r="AX143" s="159"/>
      <x:c r="AY143" s="159"/>
      <x:c r="AZ143" s="159"/>
    </x:row>
    <x:row r="144">
      <x:c r="A144" s="159"/>
      <x:c r="B144" s="159"/>
      <x:c r="C144" s="159"/>
      <x:c r="D144" s="159"/>
      <x:c r="E144" s="159"/>
      <x:c r="F144" s="159"/>
      <x:c r="G144" s="159"/>
      <x:c r="H144" s="159"/>
      <x:c r="I144" s="159"/>
      <x:c r="J144" s="159"/>
      <x:c r="K144" s="159"/>
      <x:c r="L144" s="159"/>
      <x:c r="M144" s="159"/>
      <x:c r="N144" s="159"/>
      <x:c r="O144" s="159"/>
      <x:c r="P144" s="159"/>
      <x:c r="Q144" s="159"/>
      <x:c r="R144" s="159"/>
      <x:c r="S144" s="159"/>
      <x:c r="T144" s="159"/>
      <x:c r="U144" s="159"/>
      <x:c r="V144" s="159"/>
      <x:c r="W144" s="159"/>
      <x:c r="X144" s="159"/>
      <x:c r="Y144" s="159"/>
      <x:c r="Z144" s="159"/>
      <x:c r="AA144" s="159"/>
      <x:c r="AB144" s="159"/>
      <x:c r="AC144" s="159"/>
      <x:c r="AD144" s="159"/>
      <x:c r="AE144" s="159"/>
      <x:c r="AF144" s="159"/>
      <x:c r="AG144" s="159"/>
      <x:c r="AH144" s="159"/>
      <x:c r="AI144" s="159"/>
      <x:c r="AJ144" s="159"/>
      <x:c r="AK144" s="159"/>
      <x:c r="AL144" s="159"/>
      <x:c r="AM144" s="159"/>
      <x:c r="AN144" s="159"/>
      <x:c r="AO144" s="159"/>
      <x:c r="AP144" s="159"/>
      <x:c r="AQ144" s="159"/>
      <x:c r="AR144" s="159"/>
      <x:c r="AS144" s="159"/>
      <x:c r="AT144" s="159"/>
      <x:c r="AU144" s="159"/>
      <x:c r="AV144" s="159"/>
      <x:c r="AW144" s="159"/>
      <x:c r="AX144" s="159"/>
      <x:c r="AY144" s="159"/>
      <x:c r="AZ144" s="159"/>
    </x:row>
    <x:row r="145">
      <x:c r="A145" s="159"/>
      <x:c r="B145" s="159"/>
      <x:c r="C145" s="159"/>
      <x:c r="D145" s="159"/>
      <x:c r="E145" s="159"/>
      <x:c r="F145" s="159"/>
      <x:c r="G145" s="159"/>
      <x:c r="H145" s="159"/>
      <x:c r="I145" s="159"/>
      <x:c r="J145" s="159"/>
      <x:c r="K145" s="159"/>
      <x:c r="L145" s="159"/>
      <x:c r="M145" s="159"/>
      <x:c r="N145" s="159"/>
      <x:c r="O145" s="159"/>
      <x:c r="P145" s="159"/>
      <x:c r="Q145" s="159"/>
      <x:c r="R145" s="159"/>
      <x:c r="S145" s="159"/>
      <x:c r="T145" s="159"/>
      <x:c r="U145" s="159"/>
      <x:c r="V145" s="159"/>
      <x:c r="W145" s="159"/>
      <x:c r="X145" s="159"/>
      <x:c r="Y145" s="159"/>
      <x:c r="Z145" s="159"/>
      <x:c r="AA145" s="159"/>
      <x:c r="AB145" s="159"/>
      <x:c r="AC145" s="159"/>
      <x:c r="AD145" s="159"/>
      <x:c r="AE145" s="159"/>
      <x:c r="AF145" s="159"/>
      <x:c r="AG145" s="159"/>
      <x:c r="AH145" s="159"/>
      <x:c r="AI145" s="159"/>
      <x:c r="AJ145" s="159"/>
      <x:c r="AK145" s="159"/>
      <x:c r="AL145" s="159"/>
      <x:c r="AM145" s="159"/>
      <x:c r="AN145" s="159"/>
      <x:c r="AO145" s="159"/>
      <x:c r="AP145" s="159"/>
      <x:c r="AQ145" s="159"/>
      <x:c r="AR145" s="159"/>
      <x:c r="AS145" s="159"/>
      <x:c r="AT145" s="159"/>
      <x:c r="AU145" s="159"/>
      <x:c r="AV145" s="159"/>
      <x:c r="AW145" s="159"/>
      <x:c r="AX145" s="159"/>
      <x:c r="AY145" s="159"/>
      <x:c r="AZ145" s="159"/>
    </x:row>
    <x:row r="146">
      <x:c r="A146" s="159"/>
      <x:c r="B146" s="159"/>
      <x:c r="C146" s="159"/>
      <x:c r="D146" s="159"/>
      <x:c r="E146" s="159"/>
      <x:c r="F146" s="159"/>
      <x:c r="G146" s="159"/>
      <x:c r="H146" s="159"/>
      <x:c r="I146" s="159"/>
      <x:c r="J146" s="159"/>
      <x:c r="K146" s="159"/>
      <x:c r="L146" s="159"/>
      <x:c r="M146" s="159"/>
      <x:c r="N146" s="159"/>
      <x:c r="O146" s="159"/>
      <x:c r="P146" s="159"/>
      <x:c r="Q146" s="159"/>
      <x:c r="R146" s="159"/>
      <x:c r="S146" s="159"/>
      <x:c r="T146" s="159"/>
      <x:c r="U146" s="159"/>
      <x:c r="V146" s="159"/>
      <x:c r="W146" s="159"/>
      <x:c r="X146" s="159"/>
      <x:c r="Y146" s="159"/>
      <x:c r="Z146" s="159"/>
      <x:c r="AA146" s="159"/>
      <x:c r="AB146" s="159"/>
      <x:c r="AC146" s="159"/>
      <x:c r="AD146" s="159"/>
      <x:c r="AE146" s="159"/>
      <x:c r="AF146" s="159"/>
      <x:c r="AG146" s="159"/>
      <x:c r="AH146" s="159"/>
      <x:c r="AI146" s="159"/>
      <x:c r="AJ146" s="159"/>
      <x:c r="AK146" s="159"/>
      <x:c r="AL146" s="159"/>
      <x:c r="AM146" s="159"/>
      <x:c r="AN146" s="159"/>
      <x:c r="AO146" s="159"/>
      <x:c r="AP146" s="159"/>
      <x:c r="AQ146" s="159"/>
      <x:c r="AR146" s="159"/>
      <x:c r="AS146" s="159"/>
      <x:c r="AT146" s="159"/>
      <x:c r="AU146" s="159"/>
      <x:c r="AV146" s="159"/>
      <x:c r="AW146" s="159"/>
      <x:c r="AX146" s="159"/>
      <x:c r="AY146" s="159"/>
      <x:c r="AZ146" s="159"/>
    </x:row>
    <x:row r="147">
      <x:c r="A147" s="159"/>
      <x:c r="B147" s="159"/>
      <x:c r="C147" s="159"/>
      <x:c r="D147" s="159"/>
      <x:c r="E147" s="159"/>
      <x:c r="F147" s="159"/>
      <x:c r="G147" s="159"/>
      <x:c r="H147" s="159"/>
      <x:c r="I147" s="159"/>
      <x:c r="J147" s="159"/>
      <x:c r="K147" s="159"/>
      <x:c r="L147" s="159"/>
      <x:c r="M147" s="159"/>
      <x:c r="N147" s="159"/>
      <x:c r="O147" s="159"/>
      <x:c r="P147" s="159"/>
      <x:c r="Q147" s="159"/>
      <x:c r="R147" s="159"/>
      <x:c r="S147" s="159"/>
      <x:c r="T147" s="159"/>
      <x:c r="U147" s="159"/>
      <x:c r="V147" s="159"/>
      <x:c r="W147" s="159"/>
      <x:c r="X147" s="159"/>
      <x:c r="Y147" s="159"/>
      <x:c r="Z147" s="159"/>
      <x:c r="AA147" s="159"/>
      <x:c r="AB147" s="159"/>
      <x:c r="AC147" s="159"/>
      <x:c r="AD147" s="159"/>
      <x:c r="AE147" s="159"/>
      <x:c r="AF147" s="159"/>
      <x:c r="AG147" s="159"/>
      <x:c r="AH147" s="159"/>
      <x:c r="AI147" s="159"/>
      <x:c r="AJ147" s="159"/>
      <x:c r="AK147" s="159"/>
      <x:c r="AL147" s="159"/>
      <x:c r="AM147" s="159"/>
      <x:c r="AN147" s="159"/>
      <x:c r="AO147" s="159"/>
      <x:c r="AP147" s="159"/>
      <x:c r="AQ147" s="159"/>
      <x:c r="AR147" s="159"/>
      <x:c r="AS147" s="159"/>
      <x:c r="AT147" s="159"/>
      <x:c r="AU147" s="159"/>
      <x:c r="AV147" s="159"/>
      <x:c r="AW147" s="159"/>
      <x:c r="AX147" s="159"/>
      <x:c r="AY147" s="159"/>
      <x:c r="AZ147" s="159"/>
    </x:row>
    <x:row r="148">
      <x:c r="A148" s="159"/>
      <x:c r="B148" s="159"/>
      <x:c r="C148" s="159"/>
      <x:c r="D148" s="159"/>
      <x:c r="E148" s="159"/>
      <x:c r="F148" s="159"/>
      <x:c r="G148" s="159"/>
      <x:c r="H148" s="159"/>
      <x:c r="I148" s="159"/>
      <x:c r="J148" s="159"/>
      <x:c r="K148" s="159"/>
      <x:c r="L148" s="159"/>
      <x:c r="M148" s="159"/>
      <x:c r="N148" s="159"/>
      <x:c r="O148" s="159"/>
      <x:c r="P148" s="159"/>
      <x:c r="Q148" s="159"/>
      <x:c r="R148" s="159"/>
      <x:c r="S148" s="159"/>
      <x:c r="T148" s="159"/>
      <x:c r="U148" s="159"/>
      <x:c r="V148" s="159"/>
      <x:c r="W148" s="159"/>
      <x:c r="X148" s="159"/>
      <x:c r="Y148" s="159"/>
      <x:c r="Z148" s="159"/>
      <x:c r="AA148" s="159"/>
      <x:c r="AB148" s="159"/>
      <x:c r="AC148" s="159"/>
      <x:c r="AD148" s="159"/>
      <x:c r="AE148" s="159"/>
      <x:c r="AF148" s="159"/>
      <x:c r="AG148" s="159"/>
      <x:c r="AH148" s="159"/>
      <x:c r="AI148" s="159"/>
      <x:c r="AJ148" s="159"/>
      <x:c r="AK148" s="159"/>
      <x:c r="AL148" s="159"/>
      <x:c r="AM148" s="159"/>
      <x:c r="AN148" s="159"/>
      <x:c r="AO148" s="159"/>
      <x:c r="AP148" s="159"/>
      <x:c r="AQ148" s="159"/>
      <x:c r="AR148" s="159"/>
      <x:c r="AS148" s="159"/>
      <x:c r="AT148" s="159"/>
      <x:c r="AU148" s="159"/>
      <x:c r="AV148" s="159"/>
      <x:c r="AW148" s="159"/>
      <x:c r="AX148" s="159"/>
      <x:c r="AY148" s="159"/>
      <x:c r="AZ148" s="159"/>
    </x:row>
    <x:row r="149">
      <x:c r="A149" s="159"/>
      <x:c r="B149" s="159"/>
      <x:c r="C149" s="159"/>
      <x:c r="D149" s="159"/>
      <x:c r="E149" s="159"/>
      <x:c r="F149" s="159"/>
      <x:c r="G149" s="159"/>
      <x:c r="H149" s="159"/>
      <x:c r="I149" s="159"/>
      <x:c r="J149" s="159"/>
      <x:c r="K149" s="159"/>
      <x:c r="L149" s="159"/>
      <x:c r="M149" s="159"/>
      <x:c r="N149" s="159"/>
      <x:c r="O149" s="159"/>
      <x:c r="P149" s="159"/>
      <x:c r="Q149" s="159"/>
      <x:c r="R149" s="159"/>
      <x:c r="S149" s="159"/>
      <x:c r="T149" s="159"/>
      <x:c r="U149" s="159"/>
      <x:c r="V149" s="159"/>
      <x:c r="W149" s="159"/>
      <x:c r="X149" s="159"/>
      <x:c r="Y149" s="159"/>
      <x:c r="Z149" s="159"/>
      <x:c r="AA149" s="159"/>
      <x:c r="AB149" s="159"/>
      <x:c r="AC149" s="159"/>
      <x:c r="AD149" s="159"/>
      <x:c r="AE149" s="159"/>
      <x:c r="AF149" s="159"/>
      <x:c r="AG149" s="159"/>
      <x:c r="AH149" s="159"/>
      <x:c r="AI149" s="159"/>
      <x:c r="AJ149" s="159"/>
      <x:c r="AK149" s="159"/>
      <x:c r="AL149" s="159"/>
      <x:c r="AM149" s="159"/>
      <x:c r="AN149" s="159"/>
      <x:c r="AO149" s="159"/>
      <x:c r="AP149" s="159"/>
      <x:c r="AQ149" s="159"/>
      <x:c r="AR149" s="159"/>
      <x:c r="AS149" s="159"/>
      <x:c r="AT149" s="159"/>
      <x:c r="AU149" s="159"/>
      <x:c r="AV149" s="159"/>
      <x:c r="AW149" s="159"/>
      <x:c r="AX149" s="159"/>
      <x:c r="AY149" s="159"/>
      <x:c r="AZ149" s="159"/>
    </x:row>
    <x:row r="150">
      <x:c r="A150" s="159"/>
      <x:c r="B150" s="159"/>
      <x:c r="C150" s="159"/>
      <x:c r="D150" s="159"/>
      <x:c r="E150" s="159"/>
      <x:c r="F150" s="159"/>
      <x:c r="G150" s="159"/>
      <x:c r="H150" s="159"/>
      <x:c r="I150" s="159"/>
      <x:c r="J150" s="159"/>
      <x:c r="K150" s="159"/>
      <x:c r="L150" s="159"/>
      <x:c r="M150" s="159"/>
      <x:c r="N150" s="159"/>
      <x:c r="O150" s="159"/>
      <x:c r="P150" s="159"/>
      <x:c r="Q150" s="159"/>
      <x:c r="R150" s="159"/>
      <x:c r="S150" s="159"/>
      <x:c r="T150" s="159"/>
      <x:c r="U150" s="159"/>
      <x:c r="V150" s="159"/>
      <x:c r="W150" s="159"/>
      <x:c r="X150" s="159"/>
      <x:c r="Y150" s="159"/>
      <x:c r="Z150" s="159"/>
      <x:c r="AA150" s="159"/>
      <x:c r="AB150" s="159"/>
      <x:c r="AC150" s="159"/>
      <x:c r="AD150" s="159"/>
      <x:c r="AE150" s="159"/>
      <x:c r="AF150" s="159"/>
      <x:c r="AG150" s="159"/>
      <x:c r="AH150" s="159"/>
      <x:c r="AI150" s="159"/>
      <x:c r="AJ150" s="159"/>
      <x:c r="AK150" s="159"/>
      <x:c r="AL150" s="159"/>
      <x:c r="AM150" s="159"/>
      <x:c r="AN150" s="159"/>
      <x:c r="AO150" s="159"/>
      <x:c r="AP150" s="159"/>
      <x:c r="AQ150" s="159"/>
      <x:c r="AR150" s="159"/>
      <x:c r="AS150" s="159"/>
      <x:c r="AT150" s="159"/>
      <x:c r="AU150" s="159"/>
      <x:c r="AV150" s="159"/>
      <x:c r="AW150" s="159"/>
      <x:c r="AX150" s="159"/>
      <x:c r="AY150" s="159"/>
      <x:c r="AZ150" s="159"/>
    </x:row>
    <x:row r="151">
      <x:c r="A151" s="159"/>
      <x:c r="B151" s="159"/>
      <x:c r="C151" s="159"/>
      <x:c r="D151" s="159"/>
      <x:c r="E151" s="159"/>
      <x:c r="F151" s="159"/>
      <x:c r="G151" s="159"/>
      <x:c r="H151" s="159"/>
      <x:c r="I151" s="159"/>
      <x:c r="J151" s="159"/>
      <x:c r="K151" s="159"/>
      <x:c r="L151" s="159"/>
      <x:c r="M151" s="159"/>
      <x:c r="N151" s="159"/>
      <x:c r="O151" s="159"/>
      <x:c r="P151" s="159"/>
      <x:c r="Q151" s="159"/>
      <x:c r="R151" s="159"/>
      <x:c r="S151" s="159"/>
      <x:c r="T151" s="159"/>
      <x:c r="U151" s="159"/>
      <x:c r="V151" s="159"/>
      <x:c r="W151" s="159"/>
      <x:c r="X151" s="159"/>
      <x:c r="Y151" s="159"/>
      <x:c r="Z151" s="159"/>
      <x:c r="AA151" s="159"/>
      <x:c r="AB151" s="159"/>
      <x:c r="AC151" s="159"/>
      <x:c r="AD151" s="159"/>
      <x:c r="AE151" s="159"/>
      <x:c r="AF151" s="159"/>
      <x:c r="AG151" s="159"/>
      <x:c r="AH151" s="159"/>
      <x:c r="AI151" s="159"/>
      <x:c r="AJ151" s="159"/>
      <x:c r="AK151" s="159"/>
      <x:c r="AL151" s="159"/>
      <x:c r="AM151" s="159"/>
      <x:c r="AN151" s="159"/>
      <x:c r="AO151" s="159"/>
      <x:c r="AP151" s="159"/>
      <x:c r="AQ151" s="159"/>
      <x:c r="AR151" s="159"/>
      <x:c r="AS151" s="159"/>
      <x:c r="AT151" s="159"/>
      <x:c r="AU151" s="159"/>
      <x:c r="AV151" s="159"/>
      <x:c r="AW151" s="159"/>
      <x:c r="AX151" s="159"/>
      <x:c r="AY151" s="159"/>
      <x:c r="AZ151" s="159"/>
    </x:row>
    <x:row r="152">
      <x:c r="A152" s="159"/>
      <x:c r="B152" s="159"/>
      <x:c r="C152" s="159"/>
      <x:c r="D152" s="159"/>
      <x:c r="E152" s="159"/>
      <x:c r="F152" s="159"/>
      <x:c r="G152" s="159"/>
      <x:c r="H152" s="159"/>
      <x:c r="I152" s="159"/>
      <x:c r="J152" s="159"/>
      <x:c r="K152" s="159"/>
      <x:c r="L152" s="159"/>
      <x:c r="M152" s="159"/>
      <x:c r="N152" s="159"/>
      <x:c r="O152" s="159"/>
      <x:c r="P152" s="159"/>
      <x:c r="Q152" s="159"/>
      <x:c r="R152" s="159"/>
      <x:c r="S152" s="159"/>
      <x:c r="T152" s="159"/>
      <x:c r="U152" s="159"/>
      <x:c r="V152" s="159"/>
      <x:c r="W152" s="159"/>
      <x:c r="X152" s="159"/>
      <x:c r="Y152" s="159"/>
      <x:c r="Z152" s="159"/>
      <x:c r="AA152" s="159"/>
      <x:c r="AB152" s="159"/>
      <x:c r="AC152" s="159"/>
      <x:c r="AD152" s="159"/>
      <x:c r="AE152" s="159"/>
      <x:c r="AF152" s="159"/>
      <x:c r="AG152" s="159"/>
      <x:c r="AH152" s="159"/>
      <x:c r="AI152" s="159"/>
      <x:c r="AJ152" s="159"/>
      <x:c r="AK152" s="159"/>
      <x:c r="AL152" s="159"/>
      <x:c r="AM152" s="159"/>
      <x:c r="AN152" s="159"/>
      <x:c r="AO152" s="159"/>
      <x:c r="AP152" s="159"/>
      <x:c r="AQ152" s="159"/>
      <x:c r="AR152" s="159"/>
      <x:c r="AS152" s="159"/>
      <x:c r="AT152" s="159"/>
      <x:c r="AU152" s="159"/>
      <x:c r="AV152" s="159"/>
      <x:c r="AW152" s="159"/>
      <x:c r="AX152" s="159"/>
      <x:c r="AY152" s="159"/>
      <x:c r="AZ152" s="159"/>
    </x:row>
    <x:row r="153">
      <x:c r="A153" s="159"/>
      <x:c r="B153" s="159"/>
      <x:c r="C153" s="159"/>
      <x:c r="D153" s="159"/>
      <x:c r="E153" s="159"/>
      <x:c r="F153" s="159"/>
      <x:c r="G153" s="159"/>
      <x:c r="H153" s="159"/>
      <x:c r="I153" s="159"/>
      <x:c r="J153" s="159"/>
      <x:c r="K153" s="159"/>
      <x:c r="L153" s="159"/>
      <x:c r="M153" s="159"/>
      <x:c r="N153" s="159"/>
      <x:c r="O153" s="159"/>
      <x:c r="P153" s="159"/>
      <x:c r="Q153" s="159"/>
      <x:c r="R153" s="159"/>
      <x:c r="S153" s="159"/>
      <x:c r="T153" s="159"/>
      <x:c r="U153" s="159"/>
      <x:c r="V153" s="159"/>
      <x:c r="W153" s="159"/>
      <x:c r="X153" s="159"/>
      <x:c r="Y153" s="159"/>
      <x:c r="Z153" s="159"/>
      <x:c r="AA153" s="159"/>
      <x:c r="AB153" s="159"/>
      <x:c r="AC153" s="159"/>
      <x:c r="AD153" s="159"/>
      <x:c r="AE153" s="159"/>
      <x:c r="AF153" s="159"/>
      <x:c r="AG153" s="159"/>
      <x:c r="AH153" s="159"/>
      <x:c r="AI153" s="159"/>
      <x:c r="AJ153" s="159"/>
      <x:c r="AK153" s="159"/>
      <x:c r="AL153" s="159"/>
      <x:c r="AM153" s="159"/>
      <x:c r="AN153" s="159"/>
      <x:c r="AO153" s="159"/>
      <x:c r="AP153" s="159"/>
      <x:c r="AQ153" s="159"/>
      <x:c r="AR153" s="159"/>
      <x:c r="AS153" s="159"/>
      <x:c r="AT153" s="159"/>
      <x:c r="AU153" s="159"/>
      <x:c r="AV153" s="159"/>
      <x:c r="AW153" s="159"/>
      <x:c r="AX153" s="159"/>
      <x:c r="AY153" s="159"/>
      <x:c r="AZ153" s="159"/>
    </x:row>
    <x:row r="154">
      <x:c r="A154" s="159"/>
      <x:c r="B154" s="159"/>
      <x:c r="C154" s="159"/>
      <x:c r="D154" s="159"/>
      <x:c r="E154" s="159"/>
      <x:c r="F154" s="159"/>
      <x:c r="G154" s="159"/>
      <x:c r="H154" s="159"/>
      <x:c r="I154" s="159"/>
      <x:c r="J154" s="159"/>
      <x:c r="K154" s="159"/>
      <x:c r="L154" s="159"/>
      <x:c r="M154" s="159"/>
      <x:c r="N154" s="159"/>
      <x:c r="O154" s="159"/>
      <x:c r="P154" s="159"/>
      <x:c r="Q154" s="159"/>
      <x:c r="R154" s="159"/>
      <x:c r="S154" s="159"/>
      <x:c r="T154" s="159"/>
      <x:c r="U154" s="159"/>
      <x:c r="V154" s="159"/>
      <x:c r="W154" s="159"/>
      <x:c r="X154" s="159"/>
      <x:c r="Y154" s="159"/>
      <x:c r="Z154" s="159"/>
      <x:c r="AA154" s="159"/>
      <x:c r="AB154" s="159"/>
      <x:c r="AC154" s="159"/>
      <x:c r="AD154" s="159"/>
      <x:c r="AE154" s="159"/>
      <x:c r="AF154" s="159"/>
      <x:c r="AG154" s="159"/>
      <x:c r="AH154" s="159"/>
      <x:c r="AI154" s="159"/>
      <x:c r="AJ154" s="159"/>
      <x:c r="AK154" s="159"/>
      <x:c r="AL154" s="159"/>
      <x:c r="AM154" s="159"/>
      <x:c r="AN154" s="159"/>
      <x:c r="AO154" s="159"/>
      <x:c r="AP154" s="159"/>
      <x:c r="AQ154" s="159"/>
      <x:c r="AR154" s="159"/>
      <x:c r="AS154" s="159"/>
      <x:c r="AT154" s="159"/>
      <x:c r="AU154" s="159"/>
      <x:c r="AV154" s="159"/>
      <x:c r="AW154" s="159"/>
      <x:c r="AX154" s="159"/>
      <x:c r="AY154" s="159"/>
      <x:c r="AZ154" s="159"/>
    </x:row>
    <x:row r="155">
      <x:c r="A155" s="159"/>
      <x:c r="B155" s="159"/>
      <x:c r="C155" s="159"/>
      <x:c r="D155" s="159"/>
      <x:c r="E155" s="159"/>
      <x:c r="F155" s="159"/>
      <x:c r="G155" s="159"/>
      <x:c r="H155" s="159"/>
      <x:c r="I155" s="159"/>
      <x:c r="J155" s="159"/>
      <x:c r="K155" s="159"/>
      <x:c r="L155" s="159"/>
      <x:c r="M155" s="159"/>
      <x:c r="N155" s="159"/>
      <x:c r="O155" s="159"/>
      <x:c r="P155" s="159"/>
      <x:c r="Q155" s="159"/>
      <x:c r="R155" s="159"/>
      <x:c r="S155" s="159"/>
      <x:c r="T155" s="159"/>
      <x:c r="U155" s="159"/>
      <x:c r="V155" s="159"/>
      <x:c r="W155" s="159"/>
      <x:c r="X155" s="159"/>
      <x:c r="Y155" s="159"/>
      <x:c r="Z155" s="159"/>
      <x:c r="AA155" s="159"/>
      <x:c r="AB155" s="159"/>
      <x:c r="AC155" s="159"/>
      <x:c r="AD155" s="159"/>
      <x:c r="AE155" s="159"/>
      <x:c r="AF155" s="159"/>
      <x:c r="AG155" s="159"/>
      <x:c r="AH155" s="159"/>
      <x:c r="AI155" s="159"/>
      <x:c r="AJ155" s="159"/>
      <x:c r="AK155" s="159"/>
      <x:c r="AL155" s="159"/>
      <x:c r="AM155" s="159"/>
      <x:c r="AN155" s="159"/>
      <x:c r="AO155" s="159"/>
      <x:c r="AP155" s="159"/>
      <x:c r="AQ155" s="159"/>
      <x:c r="AR155" s="159"/>
      <x:c r="AS155" s="159"/>
      <x:c r="AT155" s="159"/>
      <x:c r="AU155" s="159"/>
      <x:c r="AV155" s="159"/>
      <x:c r="AW155" s="159"/>
      <x:c r="AX155" s="159"/>
      <x:c r="AY155" s="159"/>
      <x:c r="AZ155" s="159"/>
    </x:row>
    <x:row r="156">
      <x:c r="A156" s="159"/>
      <x:c r="B156" s="159"/>
      <x:c r="C156" s="159"/>
      <x:c r="D156" s="159"/>
      <x:c r="E156" s="159"/>
      <x:c r="F156" s="159"/>
      <x:c r="G156" s="159"/>
      <x:c r="H156" s="159"/>
      <x:c r="I156" s="159"/>
      <x:c r="J156" s="159"/>
      <x:c r="K156" s="159"/>
      <x:c r="L156" s="159"/>
      <x:c r="M156" s="159"/>
      <x:c r="N156" s="159"/>
      <x:c r="O156" s="159"/>
      <x:c r="P156" s="159"/>
      <x:c r="Q156" s="159"/>
      <x:c r="R156" s="159"/>
      <x:c r="S156" s="159"/>
      <x:c r="T156" s="159"/>
      <x:c r="U156" s="159"/>
      <x:c r="V156" s="159"/>
      <x:c r="W156" s="159"/>
      <x:c r="X156" s="159"/>
      <x:c r="Y156" s="159"/>
      <x:c r="Z156" s="159"/>
      <x:c r="AA156" s="159"/>
      <x:c r="AB156" s="159"/>
      <x:c r="AC156" s="159"/>
      <x:c r="AD156" s="159"/>
      <x:c r="AE156" s="159"/>
      <x:c r="AF156" s="159"/>
      <x:c r="AG156" s="159"/>
      <x:c r="AH156" s="159"/>
      <x:c r="AI156" s="159"/>
      <x:c r="AJ156" s="159"/>
      <x:c r="AK156" s="159"/>
      <x:c r="AL156" s="159"/>
      <x:c r="AM156" s="159"/>
      <x:c r="AN156" s="159"/>
      <x:c r="AO156" s="159"/>
      <x:c r="AP156" s="159"/>
      <x:c r="AQ156" s="159"/>
      <x:c r="AR156" s="159"/>
      <x:c r="AS156" s="159"/>
      <x:c r="AT156" s="159"/>
      <x:c r="AU156" s="159"/>
      <x:c r="AV156" s="159"/>
      <x:c r="AW156" s="159"/>
      <x:c r="AX156" s="159"/>
      <x:c r="AY156" s="159"/>
      <x:c r="AZ156" s="159"/>
    </x:row>
    <x:row r="157">
      <x:c r="A157" s="159"/>
      <x:c r="B157" s="159"/>
      <x:c r="C157" s="159"/>
      <x:c r="D157" s="159"/>
      <x:c r="E157" s="159"/>
      <x:c r="F157" s="159"/>
      <x:c r="G157" s="159"/>
      <x:c r="H157" s="159"/>
      <x:c r="I157" s="159"/>
      <x:c r="J157" s="159"/>
      <x:c r="K157" s="159"/>
      <x:c r="L157" s="159"/>
      <x:c r="M157" s="159"/>
      <x:c r="N157" s="159"/>
      <x:c r="O157" s="159"/>
      <x:c r="P157" s="159"/>
      <x:c r="Q157" s="159"/>
      <x:c r="R157" s="159"/>
      <x:c r="S157" s="159"/>
      <x:c r="T157" s="159"/>
      <x:c r="U157" s="159"/>
      <x:c r="V157" s="159"/>
      <x:c r="W157" s="159"/>
      <x:c r="X157" s="159"/>
      <x:c r="Y157" s="159"/>
      <x:c r="Z157" s="159"/>
      <x:c r="AA157" s="159"/>
      <x:c r="AB157" s="159"/>
      <x:c r="AC157" s="159"/>
      <x:c r="AD157" s="159"/>
      <x:c r="AE157" s="159"/>
      <x:c r="AF157" s="159"/>
      <x:c r="AG157" s="159"/>
      <x:c r="AH157" s="159"/>
      <x:c r="AI157" s="159"/>
      <x:c r="AJ157" s="159"/>
      <x:c r="AK157" s="159"/>
      <x:c r="AL157" s="159"/>
      <x:c r="AM157" s="159"/>
      <x:c r="AN157" s="159"/>
      <x:c r="AO157" s="159"/>
      <x:c r="AP157" s="159"/>
      <x:c r="AQ157" s="159"/>
      <x:c r="AR157" s="159"/>
      <x:c r="AS157" s="159"/>
      <x:c r="AT157" s="159"/>
      <x:c r="AU157" s="159"/>
      <x:c r="AV157" s="159"/>
      <x:c r="AW157" s="159"/>
      <x:c r="AX157" s="159"/>
      <x:c r="AY157" s="159"/>
      <x:c r="AZ157" s="159"/>
    </x:row>
    <x:row r="158">
      <x:c r="A158" s="159"/>
      <x:c r="B158" s="159"/>
      <x:c r="C158" s="159"/>
      <x:c r="D158" s="159"/>
      <x:c r="E158" s="159"/>
      <x:c r="F158" s="159"/>
      <x:c r="G158" s="159"/>
      <x:c r="H158" s="159"/>
      <x:c r="I158" s="159"/>
      <x:c r="J158" s="159"/>
      <x:c r="K158" s="159"/>
      <x:c r="L158" s="159"/>
      <x:c r="M158" s="159"/>
      <x:c r="N158" s="159"/>
      <x:c r="O158" s="159"/>
      <x:c r="P158" s="159"/>
      <x:c r="Q158" s="159"/>
      <x:c r="R158" s="159"/>
      <x:c r="S158" s="159"/>
      <x:c r="T158" s="159"/>
      <x:c r="U158" s="159"/>
      <x:c r="V158" s="159"/>
      <x:c r="W158" s="159"/>
      <x:c r="X158" s="159"/>
      <x:c r="Y158" s="159"/>
      <x:c r="Z158" s="159"/>
      <x:c r="AA158" s="159"/>
      <x:c r="AB158" s="159"/>
      <x:c r="AC158" s="159"/>
      <x:c r="AD158" s="159"/>
      <x:c r="AE158" s="159"/>
      <x:c r="AF158" s="159"/>
      <x:c r="AG158" s="159"/>
      <x:c r="AH158" s="159"/>
      <x:c r="AI158" s="159"/>
      <x:c r="AJ158" s="159"/>
      <x:c r="AK158" s="159"/>
      <x:c r="AL158" s="159"/>
      <x:c r="AM158" s="159"/>
      <x:c r="AN158" s="159"/>
      <x:c r="AO158" s="159"/>
      <x:c r="AP158" s="159"/>
      <x:c r="AQ158" s="159"/>
      <x:c r="AR158" s="159"/>
      <x:c r="AS158" s="159"/>
      <x:c r="AT158" s="159"/>
      <x:c r="AU158" s="159"/>
      <x:c r="AV158" s="159"/>
      <x:c r="AW158" s="159"/>
      <x:c r="AX158" s="159"/>
      <x:c r="AY158" s="159"/>
      <x:c r="AZ158" s="159"/>
    </x:row>
    <x:row r="159">
      <x:c r="A159" s="159"/>
      <x:c r="B159" s="159"/>
      <x:c r="C159" s="159"/>
      <x:c r="D159" s="159"/>
      <x:c r="E159" s="159"/>
      <x:c r="F159" s="159"/>
      <x:c r="G159" s="159"/>
      <x:c r="H159" s="159"/>
      <x:c r="I159" s="159"/>
      <x:c r="J159" s="159"/>
      <x:c r="K159" s="159"/>
      <x:c r="L159" s="159"/>
      <x:c r="M159" s="159"/>
      <x:c r="N159" s="159"/>
      <x:c r="O159" s="159"/>
      <x:c r="P159" s="159"/>
      <x:c r="Q159" s="159"/>
      <x:c r="R159" s="159"/>
      <x:c r="S159" s="159"/>
      <x:c r="T159" s="159"/>
      <x:c r="U159" s="159"/>
      <x:c r="V159" s="159"/>
      <x:c r="W159" s="159"/>
      <x:c r="X159" s="159"/>
      <x:c r="Y159" s="159"/>
      <x:c r="Z159" s="159"/>
      <x:c r="AA159" s="159"/>
      <x:c r="AB159" s="159"/>
      <x:c r="AC159" s="159"/>
      <x:c r="AD159" s="159"/>
      <x:c r="AE159" s="159"/>
      <x:c r="AF159" s="159"/>
      <x:c r="AG159" s="159"/>
      <x:c r="AH159" s="159"/>
      <x:c r="AI159" s="159"/>
      <x:c r="AJ159" s="159"/>
      <x:c r="AK159" s="159"/>
      <x:c r="AL159" s="159"/>
      <x:c r="AM159" s="159"/>
      <x:c r="AN159" s="159"/>
      <x:c r="AO159" s="159"/>
      <x:c r="AP159" s="159"/>
      <x:c r="AQ159" s="159"/>
      <x:c r="AR159" s="159"/>
      <x:c r="AS159" s="159"/>
      <x:c r="AT159" s="159"/>
      <x:c r="AU159" s="159"/>
      <x:c r="AV159" s="159"/>
      <x:c r="AW159" s="159"/>
      <x:c r="AX159" s="159"/>
      <x:c r="AY159" s="159"/>
      <x:c r="AZ159" s="159"/>
    </x:row>
    <x:row r="160">
      <x:c r="A160" s="159"/>
      <x:c r="B160" s="159"/>
      <x:c r="C160" s="159"/>
      <x:c r="D160" s="159"/>
      <x:c r="E160" s="159"/>
      <x:c r="F160" s="159"/>
      <x:c r="G160" s="159"/>
      <x:c r="H160" s="159"/>
      <x:c r="I160" s="159"/>
      <x:c r="J160" s="159"/>
      <x:c r="K160" s="159"/>
      <x:c r="L160" s="159"/>
      <x:c r="M160" s="159"/>
      <x:c r="N160" s="159"/>
      <x:c r="O160" s="159"/>
      <x:c r="P160" s="159"/>
      <x:c r="Q160" s="159"/>
      <x:c r="R160" s="159"/>
      <x:c r="S160" s="159"/>
      <x:c r="T160" s="159"/>
      <x:c r="U160" s="159"/>
      <x:c r="V160" s="159"/>
      <x:c r="W160" s="159"/>
      <x:c r="X160" s="159"/>
      <x:c r="Y160" s="159"/>
      <x:c r="Z160" s="159"/>
      <x:c r="AA160" s="159"/>
      <x:c r="AB160" s="159"/>
      <x:c r="AC160" s="159"/>
      <x:c r="AD160" s="159"/>
      <x:c r="AE160" s="159"/>
      <x:c r="AF160" s="159"/>
      <x:c r="AG160" s="159"/>
      <x:c r="AH160" s="159"/>
      <x:c r="AI160" s="159"/>
      <x:c r="AJ160" s="159"/>
      <x:c r="AK160" s="159"/>
      <x:c r="AL160" s="159"/>
      <x:c r="AM160" s="159"/>
      <x:c r="AN160" s="159"/>
      <x:c r="AO160" s="159"/>
      <x:c r="AP160" s="159"/>
      <x:c r="AQ160" s="159"/>
      <x:c r="AR160" s="159"/>
      <x:c r="AS160" s="159"/>
      <x:c r="AT160" s="159"/>
      <x:c r="AU160" s="159"/>
      <x:c r="AV160" s="159"/>
      <x:c r="AW160" s="159"/>
      <x:c r="AX160" s="159"/>
      <x:c r="AY160" s="159"/>
      <x:c r="AZ160" s="159"/>
    </x:row>
    <x:row r="161">
      <x:c r="A161" s="159"/>
      <x:c r="B161" s="159"/>
      <x:c r="C161" s="159"/>
      <x:c r="D161" s="159"/>
      <x:c r="E161" s="159"/>
      <x:c r="F161" s="159"/>
      <x:c r="G161" s="159"/>
      <x:c r="H161" s="159"/>
      <x:c r="I161" s="159"/>
      <x:c r="J161" s="159"/>
      <x:c r="K161" s="159"/>
      <x:c r="L161" s="159"/>
      <x:c r="M161" s="159"/>
      <x:c r="N161" s="159"/>
      <x:c r="O161" s="159"/>
      <x:c r="P161" s="159"/>
      <x:c r="Q161" s="159"/>
      <x:c r="R161" s="159"/>
      <x:c r="S161" s="159"/>
      <x:c r="T161" s="159"/>
      <x:c r="U161" s="159"/>
      <x:c r="V161" s="159"/>
      <x:c r="W161" s="159"/>
      <x:c r="X161" s="159"/>
      <x:c r="Y161" s="159"/>
      <x:c r="Z161" s="159"/>
      <x:c r="AA161" s="159"/>
      <x:c r="AB161" s="159"/>
      <x:c r="AC161" s="159"/>
      <x:c r="AD161" s="159"/>
      <x:c r="AE161" s="159"/>
      <x:c r="AF161" s="159"/>
      <x:c r="AG161" s="159"/>
      <x:c r="AH161" s="159"/>
      <x:c r="AI161" s="159"/>
      <x:c r="AJ161" s="159"/>
      <x:c r="AK161" s="159"/>
      <x:c r="AL161" s="159"/>
      <x:c r="AM161" s="159"/>
      <x:c r="AN161" s="159"/>
      <x:c r="AO161" s="159"/>
      <x:c r="AP161" s="159"/>
      <x:c r="AQ161" s="159"/>
      <x:c r="AR161" s="159"/>
      <x:c r="AS161" s="159"/>
      <x:c r="AT161" s="159"/>
      <x:c r="AU161" s="159"/>
      <x:c r="AV161" s="159"/>
      <x:c r="AW161" s="159"/>
      <x:c r="AX161" s="159"/>
      <x:c r="AY161" s="159"/>
      <x:c r="AZ161" s="159"/>
    </x:row>
    <x:row r="162">
      <x:c r="A162" s="159"/>
      <x:c r="B162" s="159"/>
      <x:c r="C162" s="159"/>
      <x:c r="D162" s="159"/>
      <x:c r="E162" s="159"/>
      <x:c r="F162" s="159"/>
      <x:c r="G162" s="159"/>
      <x:c r="H162" s="159"/>
      <x:c r="I162" s="159"/>
      <x:c r="J162" s="159"/>
      <x:c r="K162" s="159"/>
      <x:c r="L162" s="159"/>
      <x:c r="M162" s="159"/>
      <x:c r="N162" s="159"/>
      <x:c r="O162" s="159"/>
      <x:c r="P162" s="159"/>
      <x:c r="Q162" s="159"/>
      <x:c r="R162" s="159"/>
      <x:c r="S162" s="159"/>
      <x:c r="T162" s="159"/>
      <x:c r="U162" s="159"/>
      <x:c r="V162" s="159"/>
      <x:c r="W162" s="159"/>
      <x:c r="X162" s="159"/>
      <x:c r="Y162" s="159"/>
      <x:c r="Z162" s="159"/>
      <x:c r="AA162" s="159"/>
      <x:c r="AB162" s="159"/>
      <x:c r="AC162" s="159"/>
      <x:c r="AD162" s="159"/>
      <x:c r="AE162" s="159"/>
      <x:c r="AF162" s="159"/>
      <x:c r="AG162" s="159"/>
      <x:c r="AH162" s="159"/>
      <x:c r="AI162" s="159"/>
      <x:c r="AJ162" s="159"/>
      <x:c r="AK162" s="159"/>
      <x:c r="AL162" s="159"/>
      <x:c r="AM162" s="159"/>
      <x:c r="AN162" s="159"/>
      <x:c r="AO162" s="159"/>
      <x:c r="AP162" s="159"/>
      <x:c r="AQ162" s="159"/>
      <x:c r="AR162" s="159"/>
      <x:c r="AS162" s="159"/>
      <x:c r="AT162" s="159"/>
      <x:c r="AU162" s="159"/>
      <x:c r="AV162" s="159"/>
      <x:c r="AW162" s="159"/>
      <x:c r="AX162" s="159"/>
      <x:c r="AY162" s="159"/>
      <x:c r="AZ162" s="159"/>
    </x:row>
    <x:row r="163">
      <x:c r="A163" s="159"/>
      <x:c r="B163" s="159"/>
      <x:c r="C163" s="159"/>
      <x:c r="D163" s="159"/>
      <x:c r="E163" s="159"/>
      <x:c r="F163" s="159"/>
      <x:c r="G163" s="159"/>
      <x:c r="H163" s="159"/>
      <x:c r="I163" s="159"/>
      <x:c r="J163" s="159"/>
      <x:c r="K163" s="159"/>
      <x:c r="L163" s="159"/>
      <x:c r="M163" s="159"/>
      <x:c r="N163" s="159"/>
      <x:c r="O163" s="159"/>
      <x:c r="P163" s="159"/>
      <x:c r="Q163" s="159"/>
      <x:c r="R163" s="159"/>
      <x:c r="S163" s="159"/>
      <x:c r="T163" s="159"/>
      <x:c r="U163" s="159"/>
      <x:c r="V163" s="159"/>
      <x:c r="W163" s="159"/>
      <x:c r="X163" s="159"/>
      <x:c r="Y163" s="159"/>
      <x:c r="Z163" s="159"/>
      <x:c r="AA163" s="159"/>
      <x:c r="AB163" s="159"/>
      <x:c r="AC163" s="159"/>
      <x:c r="AD163" s="159"/>
      <x:c r="AE163" s="159"/>
      <x:c r="AF163" s="159"/>
      <x:c r="AG163" s="159"/>
      <x:c r="AH163" s="159"/>
      <x:c r="AI163" s="159"/>
      <x:c r="AJ163" s="159"/>
      <x:c r="AK163" s="159"/>
      <x:c r="AL163" s="159"/>
      <x:c r="AM163" s="159"/>
      <x:c r="AN163" s="159"/>
      <x:c r="AO163" s="159"/>
      <x:c r="AP163" s="159"/>
      <x:c r="AQ163" s="159"/>
      <x:c r="AR163" s="159"/>
      <x:c r="AS163" s="159"/>
      <x:c r="AT163" s="159"/>
      <x:c r="AU163" s="159"/>
      <x:c r="AV163" s="159"/>
      <x:c r="AW163" s="159"/>
      <x:c r="AX163" s="159"/>
      <x:c r="AY163" s="159"/>
      <x:c r="AZ163" s="159"/>
    </x:row>
    <x:row r="164">
      <x:c r="A164" s="159"/>
      <x:c r="B164" s="159"/>
      <x:c r="C164" s="159"/>
      <x:c r="D164" s="159"/>
      <x:c r="E164" s="159"/>
      <x:c r="F164" s="159"/>
      <x:c r="G164" s="159"/>
      <x:c r="H164" s="159"/>
      <x:c r="I164" s="159"/>
      <x:c r="J164" s="159"/>
      <x:c r="K164" s="159"/>
      <x:c r="L164" s="159"/>
      <x:c r="M164" s="159"/>
      <x:c r="N164" s="159"/>
      <x:c r="O164" s="159"/>
      <x:c r="P164" s="159"/>
      <x:c r="Q164" s="159"/>
      <x:c r="R164" s="159"/>
      <x:c r="S164" s="159"/>
      <x:c r="T164" s="159"/>
      <x:c r="U164" s="159"/>
      <x:c r="V164" s="159"/>
      <x:c r="W164" s="159"/>
      <x:c r="X164" s="159"/>
      <x:c r="Y164" s="159"/>
      <x:c r="Z164" s="159"/>
      <x:c r="AA164" s="159"/>
      <x:c r="AB164" s="159"/>
      <x:c r="AC164" s="159"/>
      <x:c r="AD164" s="159"/>
      <x:c r="AE164" s="159"/>
      <x:c r="AF164" s="159"/>
      <x:c r="AG164" s="159"/>
      <x:c r="AH164" s="159"/>
      <x:c r="AI164" s="159"/>
      <x:c r="AJ164" s="159"/>
      <x:c r="AK164" s="159"/>
      <x:c r="AL164" s="159"/>
      <x:c r="AM164" s="159"/>
      <x:c r="AN164" s="159"/>
      <x:c r="AO164" s="159"/>
      <x:c r="AP164" s="159"/>
      <x:c r="AQ164" s="159"/>
      <x:c r="AR164" s="159"/>
      <x:c r="AS164" s="159"/>
      <x:c r="AT164" s="159"/>
      <x:c r="AU164" s="159"/>
      <x:c r="AV164" s="159"/>
      <x:c r="AW164" s="159"/>
      <x:c r="AX164" s="159"/>
      <x:c r="AY164" s="159"/>
      <x:c r="AZ164" s="159"/>
    </x:row>
    <x:row r="165">
      <x:c r="A165" s="159"/>
      <x:c r="B165" s="159"/>
      <x:c r="C165" s="159"/>
      <x:c r="D165" s="159"/>
      <x:c r="E165" s="159"/>
      <x:c r="F165" s="159"/>
      <x:c r="G165" s="159"/>
      <x:c r="H165" s="159"/>
      <x:c r="I165" s="159"/>
      <x:c r="J165" s="159"/>
      <x:c r="K165" s="159"/>
      <x:c r="L165" s="159"/>
      <x:c r="M165" s="159"/>
      <x:c r="N165" s="159"/>
      <x:c r="O165" s="159"/>
      <x:c r="P165" s="159"/>
      <x:c r="Q165" s="159"/>
      <x:c r="R165" s="159"/>
      <x:c r="S165" s="159"/>
      <x:c r="T165" s="159"/>
      <x:c r="U165" s="159"/>
      <x:c r="V165" s="159"/>
      <x:c r="W165" s="159"/>
      <x:c r="X165" s="159"/>
      <x:c r="Y165" s="159"/>
      <x:c r="Z165" s="159"/>
      <x:c r="AA165" s="159"/>
      <x:c r="AB165" s="159"/>
      <x:c r="AC165" s="159"/>
      <x:c r="AD165" s="159"/>
      <x:c r="AE165" s="159"/>
      <x:c r="AF165" s="159"/>
      <x:c r="AG165" s="159"/>
      <x:c r="AH165" s="159"/>
      <x:c r="AI165" s="159"/>
      <x:c r="AJ165" s="159"/>
      <x:c r="AK165" s="159"/>
      <x:c r="AL165" s="159"/>
      <x:c r="AM165" s="159"/>
      <x:c r="AN165" s="159"/>
      <x:c r="AO165" s="159"/>
      <x:c r="AP165" s="159"/>
      <x:c r="AQ165" s="159"/>
      <x:c r="AR165" s="159"/>
      <x:c r="AS165" s="159"/>
      <x:c r="AT165" s="159"/>
      <x:c r="AU165" s="159"/>
      <x:c r="AV165" s="159"/>
      <x:c r="AW165" s="159"/>
      <x:c r="AX165" s="159"/>
      <x:c r="AY165" s="159"/>
      <x:c r="AZ165" s="159"/>
    </x:row>
    <x:row r="166">
      <x:c r="A166" s="159"/>
      <x:c r="B166" s="159"/>
      <x:c r="C166" s="159"/>
      <x:c r="D166" s="159"/>
      <x:c r="E166" s="159"/>
      <x:c r="F166" s="159"/>
      <x:c r="G166" s="159"/>
      <x:c r="H166" s="159"/>
      <x:c r="I166" s="159"/>
      <x:c r="J166" s="159"/>
      <x:c r="K166" s="159"/>
      <x:c r="L166" s="159"/>
      <x:c r="M166" s="159"/>
      <x:c r="N166" s="159"/>
      <x:c r="O166" s="159"/>
      <x:c r="P166" s="159"/>
      <x:c r="Q166" s="159"/>
      <x:c r="R166" s="159"/>
      <x:c r="S166" s="159"/>
      <x:c r="T166" s="159"/>
      <x:c r="U166" s="159"/>
      <x:c r="V166" s="159"/>
      <x:c r="W166" s="159"/>
      <x:c r="X166" s="159"/>
      <x:c r="Y166" s="159"/>
      <x:c r="Z166" s="159"/>
      <x:c r="AA166" s="159"/>
      <x:c r="AB166" s="159"/>
      <x:c r="AC166" s="159"/>
      <x:c r="AD166" s="159"/>
      <x:c r="AE166" s="159"/>
      <x:c r="AF166" s="159"/>
      <x:c r="AG166" s="159"/>
      <x:c r="AH166" s="159"/>
      <x:c r="AI166" s="159"/>
      <x:c r="AJ166" s="159"/>
      <x:c r="AK166" s="159"/>
      <x:c r="AL166" s="159"/>
      <x:c r="AM166" s="159"/>
      <x:c r="AN166" s="159"/>
      <x:c r="AO166" s="159"/>
      <x:c r="AP166" s="159"/>
      <x:c r="AQ166" s="159"/>
      <x:c r="AR166" s="159"/>
      <x:c r="AS166" s="159"/>
      <x:c r="AT166" s="159"/>
      <x:c r="AU166" s="159"/>
      <x:c r="AV166" s="159"/>
      <x:c r="AW166" s="159"/>
      <x:c r="AX166" s="159"/>
      <x:c r="AY166" s="159"/>
      <x:c r="AZ166" s="159"/>
    </x:row>
    <x:row r="167">
      <x:c r="A167" s="159"/>
      <x:c r="B167" s="159"/>
      <x:c r="C167" s="159"/>
      <x:c r="D167" s="159"/>
      <x:c r="E167" s="159"/>
      <x:c r="F167" s="159"/>
      <x:c r="G167" s="159"/>
      <x:c r="H167" s="159"/>
      <x:c r="I167" s="159"/>
      <x:c r="J167" s="159"/>
      <x:c r="K167" s="159"/>
      <x:c r="L167" s="159"/>
      <x:c r="M167" s="159"/>
      <x:c r="N167" s="159"/>
      <x:c r="O167" s="159"/>
      <x:c r="P167" s="159"/>
      <x:c r="Q167" s="159"/>
      <x:c r="R167" s="159"/>
      <x:c r="S167" s="159"/>
      <x:c r="T167" s="159"/>
      <x:c r="U167" s="159"/>
      <x:c r="V167" s="159"/>
      <x:c r="W167" s="159"/>
      <x:c r="X167" s="159"/>
      <x:c r="Y167" s="159"/>
      <x:c r="Z167" s="159"/>
      <x:c r="AA167" s="159"/>
      <x:c r="AB167" s="159"/>
      <x:c r="AC167" s="159"/>
      <x:c r="AD167" s="159"/>
      <x:c r="AE167" s="159"/>
      <x:c r="AF167" s="159"/>
      <x:c r="AG167" s="159"/>
      <x:c r="AH167" s="159"/>
      <x:c r="AI167" s="159"/>
      <x:c r="AJ167" s="159"/>
      <x:c r="AK167" s="159"/>
      <x:c r="AL167" s="159"/>
      <x:c r="AM167" s="159"/>
      <x:c r="AN167" s="159"/>
      <x:c r="AO167" s="159"/>
      <x:c r="AP167" s="159"/>
      <x:c r="AQ167" s="159"/>
      <x:c r="AR167" s="159"/>
      <x:c r="AS167" s="159"/>
      <x:c r="AT167" s="159"/>
      <x:c r="AU167" s="159"/>
      <x:c r="AV167" s="159"/>
      <x:c r="AW167" s="159"/>
      <x:c r="AX167" s="159"/>
      <x:c r="AY167" s="159"/>
      <x:c r="AZ167" s="159"/>
    </x:row>
    <x:row r="168">
      <x:c r="A168" s="159"/>
      <x:c r="B168" s="159"/>
      <x:c r="C168" s="159"/>
      <x:c r="D168" s="159"/>
      <x:c r="E168" s="159"/>
      <x:c r="F168" s="159"/>
      <x:c r="G168" s="159"/>
      <x:c r="H168" s="159"/>
      <x:c r="I168" s="159"/>
      <x:c r="J168" s="159"/>
      <x:c r="K168" s="159"/>
      <x:c r="L168" s="159"/>
      <x:c r="M168" s="159"/>
      <x:c r="N168" s="159"/>
      <x:c r="O168" s="159"/>
      <x:c r="P168" s="159"/>
      <x:c r="Q168" s="159"/>
      <x:c r="R168" s="159"/>
      <x:c r="S168" s="159"/>
      <x:c r="T168" s="159"/>
      <x:c r="U168" s="159"/>
      <x:c r="V168" s="159"/>
      <x:c r="W168" s="159"/>
      <x:c r="X168" s="159"/>
      <x:c r="Y168" s="159"/>
      <x:c r="Z168" s="159"/>
      <x:c r="AA168" s="159"/>
      <x:c r="AB168" s="159"/>
      <x:c r="AC168" s="159"/>
      <x:c r="AD168" s="159"/>
      <x:c r="AE168" s="159"/>
      <x:c r="AF168" s="159"/>
      <x:c r="AG168" s="159"/>
      <x:c r="AH168" s="159"/>
      <x:c r="AI168" s="159"/>
      <x:c r="AJ168" s="159"/>
      <x:c r="AK168" s="159"/>
      <x:c r="AL168" s="159"/>
      <x:c r="AM168" s="159"/>
      <x:c r="AN168" s="159"/>
      <x:c r="AO168" s="159"/>
      <x:c r="AP168" s="159"/>
      <x:c r="AQ168" s="159"/>
      <x:c r="AR168" s="159"/>
      <x:c r="AS168" s="159"/>
      <x:c r="AT168" s="159"/>
      <x:c r="AU168" s="159"/>
      <x:c r="AV168" s="159"/>
      <x:c r="AW168" s="159"/>
      <x:c r="AX168" s="159"/>
      <x:c r="AY168" s="159"/>
      <x:c r="AZ168" s="159"/>
    </x:row>
    <x:row r="169">
      <x:c r="A169" s="159"/>
      <x:c r="B169" s="159"/>
      <x:c r="C169" s="159"/>
      <x:c r="D169" s="159"/>
      <x:c r="E169" s="159"/>
      <x:c r="F169" s="159"/>
      <x:c r="G169" s="159"/>
      <x:c r="H169" s="159"/>
      <x:c r="I169" s="159"/>
      <x:c r="J169" s="159"/>
      <x:c r="K169" s="159"/>
      <x:c r="L169" s="159"/>
      <x:c r="M169" s="159"/>
      <x:c r="N169" s="159"/>
      <x:c r="O169" s="159"/>
      <x:c r="P169" s="159"/>
      <x:c r="Q169" s="159"/>
      <x:c r="R169" s="159"/>
      <x:c r="S169" s="159"/>
      <x:c r="T169" s="159"/>
      <x:c r="U169" s="159"/>
      <x:c r="V169" s="159"/>
      <x:c r="W169" s="159"/>
      <x:c r="X169" s="159"/>
      <x:c r="Y169" s="159"/>
      <x:c r="Z169" s="159"/>
      <x:c r="AA169" s="159"/>
      <x:c r="AB169" s="159"/>
      <x:c r="AC169" s="159"/>
      <x:c r="AD169" s="159"/>
      <x:c r="AE169" s="159"/>
      <x:c r="AF169" s="159"/>
      <x:c r="AG169" s="159"/>
      <x:c r="AH169" s="159"/>
      <x:c r="AI169" s="159"/>
      <x:c r="AJ169" s="159"/>
      <x:c r="AK169" s="159"/>
      <x:c r="AL169" s="159"/>
      <x:c r="AM169" s="159"/>
      <x:c r="AN169" s="159"/>
      <x:c r="AO169" s="159"/>
      <x:c r="AP169" s="159"/>
      <x:c r="AQ169" s="159"/>
      <x:c r="AR169" s="159"/>
      <x:c r="AS169" s="159"/>
      <x:c r="AT169" s="159"/>
      <x:c r="AU169" s="159"/>
      <x:c r="AV169" s="159"/>
      <x:c r="AW169" s="159"/>
      <x:c r="AX169" s="159"/>
      <x:c r="AY169" s="159"/>
      <x:c r="AZ169" s="159"/>
    </x:row>
    <x:row r="170">
      <x:c r="A170" s="159"/>
      <x:c r="B170" s="159"/>
      <x:c r="C170" s="159"/>
      <x:c r="D170" s="159"/>
      <x:c r="E170" s="159"/>
      <x:c r="F170" s="159"/>
      <x:c r="G170" s="159"/>
      <x:c r="H170" s="159"/>
      <x:c r="I170" s="159"/>
      <x:c r="J170" s="159"/>
      <x:c r="K170" s="159"/>
      <x:c r="L170" s="159"/>
      <x:c r="M170" s="159"/>
      <x:c r="N170" s="159"/>
      <x:c r="O170" s="159"/>
      <x:c r="P170" s="159"/>
      <x:c r="Q170" s="159"/>
      <x:c r="R170" s="159"/>
      <x:c r="S170" s="159"/>
      <x:c r="T170" s="159"/>
      <x:c r="U170" s="159"/>
      <x:c r="V170" s="159"/>
      <x:c r="W170" s="159"/>
      <x:c r="X170" s="159"/>
      <x:c r="Y170" s="159"/>
      <x:c r="Z170" s="159"/>
      <x:c r="AA170" s="159"/>
      <x:c r="AB170" s="159"/>
      <x:c r="AC170" s="159"/>
      <x:c r="AD170" s="159"/>
      <x:c r="AE170" s="159"/>
      <x:c r="AF170" s="159"/>
      <x:c r="AG170" s="159"/>
      <x:c r="AH170" s="159"/>
      <x:c r="AI170" s="159"/>
      <x:c r="AJ170" s="159"/>
      <x:c r="AK170" s="159"/>
      <x:c r="AL170" s="159"/>
      <x:c r="AM170" s="159"/>
      <x:c r="AN170" s="159"/>
      <x:c r="AO170" s="159"/>
      <x:c r="AP170" s="159"/>
      <x:c r="AQ170" s="159"/>
      <x:c r="AR170" s="159"/>
      <x:c r="AS170" s="159"/>
      <x:c r="AT170" s="159"/>
      <x:c r="AU170" s="159"/>
      <x:c r="AV170" s="159"/>
      <x:c r="AW170" s="159"/>
      <x:c r="AX170" s="159"/>
      <x:c r="AY170" s="159"/>
      <x:c r="AZ170" s="159"/>
    </x:row>
    <x:row r="171">
      <x:c r="A171" s="159"/>
      <x:c r="B171" s="159"/>
      <x:c r="C171" s="159"/>
      <x:c r="D171" s="159"/>
      <x:c r="E171" s="159"/>
      <x:c r="F171" s="159"/>
      <x:c r="G171" s="159"/>
      <x:c r="H171" s="159"/>
      <x:c r="I171" s="159"/>
      <x:c r="J171" s="159"/>
      <x:c r="K171" s="159"/>
      <x:c r="L171" s="159"/>
      <x:c r="M171" s="159"/>
      <x:c r="N171" s="159"/>
      <x:c r="O171" s="159"/>
      <x:c r="P171" s="159"/>
      <x:c r="Q171" s="159"/>
      <x:c r="R171" s="159"/>
      <x:c r="S171" s="159"/>
      <x:c r="T171" s="159"/>
      <x:c r="U171" s="159"/>
      <x:c r="V171" s="159"/>
      <x:c r="W171" s="159"/>
      <x:c r="X171" s="159"/>
      <x:c r="Y171" s="159"/>
      <x:c r="Z171" s="159"/>
      <x:c r="AA171" s="159"/>
      <x:c r="AB171" s="159"/>
      <x:c r="AC171" s="159"/>
      <x:c r="AD171" s="159"/>
      <x:c r="AE171" s="159"/>
      <x:c r="AF171" s="159"/>
      <x:c r="AG171" s="159"/>
      <x:c r="AH171" s="159"/>
      <x:c r="AI171" s="159"/>
      <x:c r="AJ171" s="159"/>
      <x:c r="AK171" s="159"/>
      <x:c r="AL171" s="159"/>
      <x:c r="AM171" s="159"/>
      <x:c r="AN171" s="159"/>
      <x:c r="AO171" s="159"/>
      <x:c r="AP171" s="159"/>
      <x:c r="AQ171" s="159"/>
      <x:c r="AR171" s="159"/>
      <x:c r="AS171" s="159"/>
      <x:c r="AT171" s="159"/>
      <x:c r="AU171" s="159"/>
      <x:c r="AV171" s="159"/>
      <x:c r="AW171" s="159"/>
      <x:c r="AX171" s="159"/>
      <x:c r="AY171" s="159"/>
      <x:c r="AZ171" s="159"/>
    </x:row>
    <x:row r="172">
      <x:c r="A172" s="159"/>
      <x:c r="B172" s="159"/>
      <x:c r="C172" s="159"/>
      <x:c r="D172" s="159"/>
      <x:c r="E172" s="159"/>
      <x:c r="F172" s="159"/>
      <x:c r="G172" s="159"/>
      <x:c r="H172" s="159"/>
      <x:c r="I172" s="159"/>
      <x:c r="J172" s="159"/>
      <x:c r="K172" s="159"/>
      <x:c r="L172" s="159"/>
      <x:c r="M172" s="159"/>
      <x:c r="N172" s="159"/>
      <x:c r="O172" s="159"/>
      <x:c r="P172" s="159"/>
      <x:c r="Q172" s="159"/>
      <x:c r="R172" s="159"/>
      <x:c r="S172" s="159"/>
      <x:c r="T172" s="159"/>
      <x:c r="U172" s="159"/>
      <x:c r="V172" s="159"/>
      <x:c r="W172" s="159"/>
      <x:c r="X172" s="159"/>
      <x:c r="Y172" s="159"/>
      <x:c r="Z172" s="159"/>
      <x:c r="AA172" s="159"/>
      <x:c r="AB172" s="159"/>
      <x:c r="AC172" s="159"/>
      <x:c r="AD172" s="159"/>
      <x:c r="AE172" s="159"/>
      <x:c r="AF172" s="159"/>
      <x:c r="AG172" s="159"/>
      <x:c r="AH172" s="159"/>
      <x:c r="AI172" s="159"/>
      <x:c r="AJ172" s="159"/>
      <x:c r="AK172" s="159"/>
      <x:c r="AL172" s="159"/>
      <x:c r="AM172" s="159"/>
      <x:c r="AN172" s="159"/>
      <x:c r="AO172" s="159"/>
      <x:c r="AP172" s="159"/>
      <x:c r="AQ172" s="159"/>
      <x:c r="AR172" s="159"/>
      <x:c r="AS172" s="159"/>
      <x:c r="AT172" s="159"/>
      <x:c r="AU172" s="159"/>
      <x:c r="AV172" s="159"/>
      <x:c r="AW172" s="159"/>
      <x:c r="AX172" s="159"/>
      <x:c r="AY172" s="159"/>
      <x:c r="AZ172" s="159"/>
    </x:row>
    <x:row r="173">
      <x:c r="A173" s="159"/>
      <x:c r="B173" s="159"/>
      <x:c r="C173" s="159"/>
      <x:c r="D173" s="159"/>
      <x:c r="E173" s="159"/>
      <x:c r="F173" s="159"/>
      <x:c r="G173" s="159"/>
      <x:c r="H173" s="159"/>
      <x:c r="I173" s="159"/>
      <x:c r="J173" s="159"/>
      <x:c r="K173" s="159"/>
      <x:c r="L173" s="159"/>
      <x:c r="M173" s="159"/>
      <x:c r="N173" s="159"/>
      <x:c r="O173" s="159"/>
      <x:c r="P173" s="159"/>
      <x:c r="Q173" s="159"/>
      <x:c r="R173" s="159"/>
      <x:c r="S173" s="159"/>
      <x:c r="T173" s="159"/>
      <x:c r="U173" s="159"/>
      <x:c r="V173" s="159"/>
      <x:c r="W173" s="159"/>
      <x:c r="X173" s="159"/>
      <x:c r="Y173" s="159"/>
      <x:c r="Z173" s="159"/>
      <x:c r="AA173" s="159"/>
      <x:c r="AB173" s="159"/>
      <x:c r="AC173" s="159"/>
      <x:c r="AD173" s="159"/>
      <x:c r="AE173" s="159"/>
      <x:c r="AF173" s="159"/>
      <x:c r="AG173" s="159"/>
      <x:c r="AH173" s="159"/>
      <x:c r="AI173" s="159"/>
      <x:c r="AJ173" s="159"/>
      <x:c r="AK173" s="159"/>
      <x:c r="AL173" s="159"/>
      <x:c r="AM173" s="159"/>
      <x:c r="AN173" s="159"/>
      <x:c r="AO173" s="159"/>
      <x:c r="AP173" s="159"/>
      <x:c r="AQ173" s="159"/>
      <x:c r="AR173" s="159"/>
      <x:c r="AS173" s="159"/>
      <x:c r="AT173" s="159"/>
      <x:c r="AU173" s="159"/>
      <x:c r="AV173" s="159"/>
      <x:c r="AW173" s="159"/>
      <x:c r="AX173" s="159"/>
      <x:c r="AY173" s="159"/>
      <x:c r="AZ173" s="159"/>
    </x:row>
    <x:row r="174">
      <x:c r="A174" s="159"/>
      <x:c r="B174" s="159"/>
      <x:c r="C174" s="159"/>
      <x:c r="D174" s="159"/>
      <x:c r="E174" s="159"/>
      <x:c r="F174" s="159"/>
      <x:c r="G174" s="159"/>
      <x:c r="H174" s="159"/>
      <x:c r="I174" s="159"/>
      <x:c r="J174" s="159"/>
      <x:c r="K174" s="159"/>
      <x:c r="L174" s="159"/>
      <x:c r="M174" s="159"/>
      <x:c r="N174" s="159"/>
      <x:c r="O174" s="159"/>
      <x:c r="P174" s="159"/>
      <x:c r="Q174" s="159"/>
      <x:c r="R174" s="159"/>
      <x:c r="S174" s="159"/>
      <x:c r="T174" s="159"/>
      <x:c r="U174" s="159"/>
      <x:c r="V174" s="159"/>
      <x:c r="W174" s="159"/>
      <x:c r="X174" s="159"/>
      <x:c r="Y174" s="159"/>
      <x:c r="Z174" s="159"/>
      <x:c r="AA174" s="159"/>
      <x:c r="AB174" s="159"/>
      <x:c r="AC174" s="159"/>
      <x:c r="AD174" s="159"/>
      <x:c r="AE174" s="159"/>
      <x:c r="AF174" s="159"/>
      <x:c r="AG174" s="159"/>
      <x:c r="AH174" s="159"/>
      <x:c r="AI174" s="159"/>
      <x:c r="AJ174" s="159"/>
      <x:c r="AK174" s="159"/>
      <x:c r="AL174" s="159"/>
      <x:c r="AM174" s="159"/>
      <x:c r="AN174" s="159"/>
      <x:c r="AO174" s="159"/>
      <x:c r="AP174" s="159"/>
      <x:c r="AQ174" s="159"/>
      <x:c r="AR174" s="159"/>
      <x:c r="AS174" s="159"/>
      <x:c r="AT174" s="159"/>
      <x:c r="AU174" s="159"/>
      <x:c r="AV174" s="159"/>
      <x:c r="AW174" s="159"/>
      <x:c r="AX174" s="159"/>
      <x:c r="AY174" s="159"/>
      <x:c r="AZ174" s="159"/>
    </x:row>
    <x:row r="175">
      <x:c r="A175" s="159"/>
      <x:c r="B175" s="159"/>
      <x:c r="C175" s="159"/>
      <x:c r="D175" s="159"/>
      <x:c r="E175" s="159"/>
      <x:c r="F175" s="159"/>
      <x:c r="G175" s="159"/>
      <x:c r="H175" s="159"/>
      <x:c r="I175" s="159"/>
      <x:c r="J175" s="159"/>
      <x:c r="K175" s="159"/>
      <x:c r="L175" s="159"/>
      <x:c r="M175" s="159"/>
      <x:c r="N175" s="159"/>
      <x:c r="O175" s="159"/>
      <x:c r="P175" s="159"/>
      <x:c r="Q175" s="159"/>
      <x:c r="R175" s="159"/>
      <x:c r="S175" s="159"/>
      <x:c r="T175" s="159"/>
      <x:c r="U175" s="159"/>
      <x:c r="V175" s="159"/>
      <x:c r="W175" s="159"/>
      <x:c r="X175" s="159"/>
      <x:c r="Y175" s="159"/>
      <x:c r="Z175" s="159"/>
      <x:c r="AA175" s="159"/>
      <x:c r="AB175" s="159"/>
      <x:c r="AC175" s="159"/>
      <x:c r="AD175" s="159"/>
      <x:c r="AE175" s="159"/>
      <x:c r="AF175" s="159"/>
      <x:c r="AG175" s="159"/>
      <x:c r="AH175" s="159"/>
      <x:c r="AI175" s="159"/>
      <x:c r="AJ175" s="159"/>
      <x:c r="AK175" s="159"/>
      <x:c r="AL175" s="159"/>
      <x:c r="AM175" s="159"/>
      <x:c r="AN175" s="159"/>
      <x:c r="AO175" s="159"/>
      <x:c r="AP175" s="159"/>
      <x:c r="AQ175" s="159"/>
      <x:c r="AR175" s="159"/>
      <x:c r="AS175" s="159"/>
      <x:c r="AT175" s="159"/>
      <x:c r="AU175" s="159"/>
      <x:c r="AV175" s="159"/>
      <x:c r="AW175" s="159"/>
      <x:c r="AX175" s="159"/>
      <x:c r="AY175" s="159"/>
      <x:c r="AZ175" s="159"/>
    </x:row>
    <x:row r="176">
      <x:c r="A176" s="159"/>
      <x:c r="B176" s="159"/>
      <x:c r="C176" s="159"/>
      <x:c r="D176" s="159"/>
      <x:c r="E176" s="159"/>
      <x:c r="F176" s="159"/>
      <x:c r="G176" s="159"/>
      <x:c r="H176" s="159"/>
      <x:c r="I176" s="159"/>
      <x:c r="J176" s="159"/>
      <x:c r="K176" s="159"/>
      <x:c r="L176" s="159"/>
      <x:c r="M176" s="159"/>
      <x:c r="N176" s="159"/>
      <x:c r="O176" s="159"/>
      <x:c r="P176" s="159"/>
      <x:c r="Q176" s="159"/>
      <x:c r="R176" s="159"/>
      <x:c r="S176" s="159"/>
      <x:c r="T176" s="159"/>
      <x:c r="U176" s="159"/>
      <x:c r="V176" s="159"/>
      <x:c r="W176" s="159"/>
      <x:c r="X176" s="159"/>
      <x:c r="Y176" s="159"/>
      <x:c r="Z176" s="159"/>
      <x:c r="AA176" s="159"/>
      <x:c r="AB176" s="159"/>
      <x:c r="AC176" s="159"/>
      <x:c r="AD176" s="159"/>
      <x:c r="AE176" s="159"/>
      <x:c r="AF176" s="159"/>
      <x:c r="AG176" s="159"/>
      <x:c r="AH176" s="159"/>
      <x:c r="AI176" s="159"/>
      <x:c r="AJ176" s="159"/>
      <x:c r="AK176" s="159"/>
      <x:c r="AL176" s="159"/>
      <x:c r="AM176" s="159"/>
      <x:c r="AN176" s="159"/>
      <x:c r="AO176" s="159"/>
      <x:c r="AP176" s="159"/>
      <x:c r="AQ176" s="159"/>
      <x:c r="AR176" s="159"/>
      <x:c r="AS176" s="159"/>
      <x:c r="AT176" s="159"/>
      <x:c r="AU176" s="159"/>
      <x:c r="AV176" s="159"/>
      <x:c r="AW176" s="159"/>
      <x:c r="AX176" s="159"/>
      <x:c r="AY176" s="159"/>
      <x:c r="AZ176" s="159"/>
    </x:row>
    <x:row r="177">
      <x:c r="A177" s="159"/>
      <x:c r="B177" s="159"/>
      <x:c r="C177" s="159"/>
      <x:c r="D177" s="159"/>
      <x:c r="E177" s="159"/>
      <x:c r="F177" s="159"/>
      <x:c r="G177" s="159"/>
      <x:c r="H177" s="159"/>
      <x:c r="I177" s="159"/>
      <x:c r="J177" s="159"/>
      <x:c r="K177" s="159"/>
      <x:c r="L177" s="159"/>
      <x:c r="M177" s="159"/>
      <x:c r="N177" s="159"/>
      <x:c r="O177" s="159"/>
      <x:c r="P177" s="159"/>
      <x:c r="Q177" s="159"/>
      <x:c r="R177" s="159"/>
      <x:c r="S177" s="159"/>
      <x:c r="T177" s="159"/>
      <x:c r="U177" s="159"/>
      <x:c r="V177" s="159"/>
      <x:c r="W177" s="159"/>
      <x:c r="X177" s="159"/>
      <x:c r="Y177" s="159"/>
      <x:c r="Z177" s="159"/>
      <x:c r="AA177" s="159"/>
      <x:c r="AB177" s="159"/>
      <x:c r="AC177" s="159"/>
      <x:c r="AD177" s="159"/>
      <x:c r="AE177" s="159"/>
      <x:c r="AF177" s="159"/>
      <x:c r="AG177" s="159"/>
      <x:c r="AH177" s="159"/>
      <x:c r="AI177" s="159"/>
      <x:c r="AJ177" s="159"/>
      <x:c r="AK177" s="159"/>
      <x:c r="AL177" s="159"/>
      <x:c r="AM177" s="159"/>
      <x:c r="AN177" s="159"/>
      <x:c r="AO177" s="159"/>
      <x:c r="AP177" s="159"/>
      <x:c r="AQ177" s="159"/>
      <x:c r="AR177" s="159"/>
      <x:c r="AS177" s="159"/>
      <x:c r="AT177" s="159"/>
      <x:c r="AU177" s="159"/>
      <x:c r="AV177" s="159"/>
      <x:c r="AW177" s="159"/>
      <x:c r="AX177" s="159"/>
      <x:c r="AY177" s="159"/>
      <x:c r="AZ177" s="159"/>
    </x:row>
    <x:row r="178">
      <x:c r="A178" s="159"/>
      <x:c r="B178" s="159"/>
      <x:c r="C178" s="159"/>
      <x:c r="D178" s="159"/>
      <x:c r="E178" s="159"/>
      <x:c r="F178" s="159"/>
      <x:c r="G178" s="159"/>
      <x:c r="H178" s="159"/>
      <x:c r="I178" s="159"/>
      <x:c r="J178" s="159"/>
      <x:c r="K178" s="159"/>
      <x:c r="L178" s="159"/>
      <x:c r="M178" s="159"/>
      <x:c r="N178" s="159"/>
      <x:c r="O178" s="159"/>
      <x:c r="P178" s="159"/>
      <x:c r="Q178" s="159"/>
      <x:c r="R178" s="159"/>
      <x:c r="S178" s="159"/>
      <x:c r="T178" s="159"/>
      <x:c r="U178" s="159"/>
      <x:c r="V178" s="159"/>
      <x:c r="W178" s="159"/>
      <x:c r="X178" s="159"/>
      <x:c r="Y178" s="159"/>
      <x:c r="Z178" s="159"/>
      <x:c r="AA178" s="159"/>
      <x:c r="AB178" s="159"/>
      <x:c r="AC178" s="159"/>
      <x:c r="AD178" s="159"/>
      <x:c r="AE178" s="159"/>
      <x:c r="AF178" s="159"/>
      <x:c r="AG178" s="159"/>
      <x:c r="AH178" s="159"/>
      <x:c r="AI178" s="159"/>
      <x:c r="AJ178" s="159"/>
      <x:c r="AK178" s="159"/>
      <x:c r="AL178" s="159"/>
      <x:c r="AM178" s="159"/>
      <x:c r="AN178" s="159"/>
      <x:c r="AO178" s="159"/>
      <x:c r="AP178" s="159"/>
      <x:c r="AQ178" s="159"/>
      <x:c r="AR178" s="159"/>
      <x:c r="AS178" s="159"/>
      <x:c r="AT178" s="159"/>
      <x:c r="AU178" s="159"/>
      <x:c r="AV178" s="159"/>
      <x:c r="AW178" s="159"/>
      <x:c r="AX178" s="159"/>
      <x:c r="AY178" s="159"/>
      <x:c r="AZ178" s="159"/>
    </x:row>
    <x:row r="179">
      <x:c r="A179" s="159"/>
      <x:c r="B179" s="159"/>
      <x:c r="C179" s="159"/>
      <x:c r="D179" s="159"/>
      <x:c r="E179" s="159"/>
      <x:c r="F179" s="159"/>
      <x:c r="G179" s="159"/>
      <x:c r="H179" s="159"/>
      <x:c r="I179" s="159"/>
      <x:c r="J179" s="159"/>
      <x:c r="K179" s="159"/>
      <x:c r="L179" s="159"/>
      <x:c r="M179" s="159"/>
      <x:c r="N179" s="159"/>
      <x:c r="O179" s="159"/>
      <x:c r="P179" s="159"/>
      <x:c r="Q179" s="159"/>
      <x:c r="R179" s="159"/>
      <x:c r="S179" s="159"/>
      <x:c r="T179" s="159"/>
      <x:c r="U179" s="159"/>
      <x:c r="V179" s="159"/>
      <x:c r="W179" s="159"/>
      <x:c r="X179" s="159"/>
      <x:c r="Y179" s="159"/>
      <x:c r="Z179" s="159"/>
      <x:c r="AA179" s="159"/>
      <x:c r="AB179" s="159"/>
      <x:c r="AC179" s="159"/>
      <x:c r="AD179" s="159"/>
      <x:c r="AE179" s="159"/>
      <x:c r="AF179" s="159"/>
      <x:c r="AG179" s="159"/>
      <x:c r="AH179" s="159"/>
      <x:c r="AI179" s="159"/>
      <x:c r="AJ179" s="159"/>
      <x:c r="AK179" s="159"/>
      <x:c r="AL179" s="159"/>
      <x:c r="AM179" s="159"/>
      <x:c r="AN179" s="159"/>
      <x:c r="AO179" s="159"/>
      <x:c r="AP179" s="159"/>
      <x:c r="AQ179" s="159"/>
      <x:c r="AR179" s="159"/>
      <x:c r="AS179" s="159"/>
      <x:c r="AT179" s="159"/>
      <x:c r="AU179" s="159"/>
      <x:c r="AV179" s="159"/>
      <x:c r="AW179" s="159"/>
      <x:c r="AX179" s="159"/>
      <x:c r="AY179" s="159"/>
      <x:c r="AZ179" s="159"/>
    </x:row>
    <x:row r="180">
      <x:c r="A180" s="159"/>
      <x:c r="B180" s="159"/>
      <x:c r="C180" s="159"/>
      <x:c r="D180" s="159"/>
      <x:c r="E180" s="159"/>
      <x:c r="F180" s="159"/>
      <x:c r="G180" s="159"/>
      <x:c r="H180" s="159"/>
      <x:c r="I180" s="159"/>
      <x:c r="J180" s="159"/>
      <x:c r="K180" s="159"/>
      <x:c r="L180" s="159"/>
      <x:c r="M180" s="159"/>
      <x:c r="N180" s="159"/>
      <x:c r="O180" s="159"/>
      <x:c r="P180" s="159"/>
      <x:c r="Q180" s="159"/>
      <x:c r="R180" s="159"/>
      <x:c r="S180" s="159"/>
      <x:c r="T180" s="159"/>
      <x:c r="U180" s="159"/>
      <x:c r="V180" s="159"/>
      <x:c r="W180" s="159"/>
      <x:c r="X180" s="159"/>
      <x:c r="Y180" s="159"/>
      <x:c r="Z180" s="159"/>
      <x:c r="AA180" s="159"/>
      <x:c r="AB180" s="159"/>
      <x:c r="AC180" s="159"/>
      <x:c r="AD180" s="159"/>
      <x:c r="AE180" s="159"/>
      <x:c r="AF180" s="159"/>
      <x:c r="AG180" s="159"/>
      <x:c r="AH180" s="159"/>
      <x:c r="AI180" s="159"/>
      <x:c r="AJ180" s="159"/>
      <x:c r="AK180" s="159"/>
      <x:c r="AL180" s="159"/>
      <x:c r="AM180" s="159"/>
      <x:c r="AN180" s="159"/>
      <x:c r="AO180" s="159"/>
      <x:c r="AP180" s="159"/>
      <x:c r="AQ180" s="159"/>
      <x:c r="AR180" s="159"/>
      <x:c r="AS180" s="159"/>
      <x:c r="AT180" s="159"/>
      <x:c r="AU180" s="159"/>
      <x:c r="AV180" s="159"/>
      <x:c r="AW180" s="159"/>
      <x:c r="AX180" s="159"/>
      <x:c r="AY180" s="159"/>
      <x:c r="AZ180" s="159"/>
    </x:row>
    <x:row r="181">
      <x:c r="A181" s="159"/>
      <x:c r="B181" s="159"/>
      <x:c r="C181" s="159"/>
      <x:c r="D181" s="159"/>
      <x:c r="E181" s="159"/>
      <x:c r="F181" s="159"/>
      <x:c r="G181" s="159"/>
      <x:c r="H181" s="159"/>
      <x:c r="I181" s="159"/>
      <x:c r="J181" s="159"/>
      <x:c r="K181" s="159"/>
      <x:c r="L181" s="159"/>
      <x:c r="M181" s="159"/>
      <x:c r="N181" s="159"/>
      <x:c r="O181" s="159"/>
      <x:c r="P181" s="159"/>
      <x:c r="Q181" s="159"/>
      <x:c r="R181" s="159"/>
      <x:c r="S181" s="159"/>
      <x:c r="T181" s="159"/>
      <x:c r="U181" s="159"/>
      <x:c r="V181" s="159"/>
      <x:c r="W181" s="159"/>
      <x:c r="X181" s="159"/>
      <x:c r="Y181" s="159"/>
      <x:c r="Z181" s="159"/>
      <x:c r="AA181" s="159"/>
      <x:c r="AB181" s="159"/>
      <x:c r="AC181" s="159"/>
      <x:c r="AD181" s="159"/>
      <x:c r="AE181" s="159"/>
      <x:c r="AF181" s="159"/>
      <x:c r="AG181" s="159"/>
      <x:c r="AH181" s="159"/>
      <x:c r="AI181" s="159"/>
      <x:c r="AJ181" s="159"/>
      <x:c r="AK181" s="159"/>
      <x:c r="AL181" s="159"/>
      <x:c r="AM181" s="159"/>
      <x:c r="AN181" s="159"/>
      <x:c r="AO181" s="159"/>
      <x:c r="AP181" s="159"/>
      <x:c r="AQ181" s="159"/>
      <x:c r="AR181" s="159"/>
      <x:c r="AS181" s="159"/>
      <x:c r="AT181" s="159"/>
      <x:c r="AU181" s="159"/>
      <x:c r="AV181" s="159"/>
      <x:c r="AW181" s="159"/>
      <x:c r="AX181" s="159"/>
      <x:c r="AY181" s="159"/>
      <x:c r="AZ181" s="159"/>
    </x:row>
    <x:row r="182">
      <x:c r="A182" s="159"/>
      <x:c r="B182" s="159"/>
      <x:c r="C182" s="159"/>
      <x:c r="D182" s="159"/>
      <x:c r="E182" s="159"/>
      <x:c r="F182" s="159"/>
      <x:c r="G182" s="159"/>
      <x:c r="H182" s="159"/>
      <x:c r="I182" s="159"/>
      <x:c r="J182" s="159"/>
      <x:c r="K182" s="159"/>
      <x:c r="L182" s="159"/>
      <x:c r="M182" s="159"/>
      <x:c r="N182" s="159"/>
      <x:c r="O182" s="159"/>
      <x:c r="P182" s="159"/>
      <x:c r="Q182" s="159"/>
      <x:c r="R182" s="159"/>
      <x:c r="S182" s="159"/>
      <x:c r="T182" s="159"/>
      <x:c r="U182" s="159"/>
      <x:c r="V182" s="159"/>
      <x:c r="W182" s="159"/>
      <x:c r="X182" s="159"/>
      <x:c r="Y182" s="159"/>
      <x:c r="Z182" s="159"/>
      <x:c r="AA182" s="159"/>
      <x:c r="AB182" s="159"/>
      <x:c r="AC182" s="159"/>
      <x:c r="AD182" s="159"/>
      <x:c r="AE182" s="159"/>
      <x:c r="AF182" s="159"/>
      <x:c r="AG182" s="159"/>
      <x:c r="AH182" s="159"/>
      <x:c r="AI182" s="159"/>
      <x:c r="AJ182" s="159"/>
      <x:c r="AK182" s="159"/>
      <x:c r="AL182" s="159"/>
      <x:c r="AM182" s="159"/>
      <x:c r="AN182" s="159"/>
      <x:c r="AO182" s="159"/>
      <x:c r="AP182" s="159"/>
      <x:c r="AQ182" s="159"/>
      <x:c r="AR182" s="159"/>
      <x:c r="AS182" s="159"/>
      <x:c r="AT182" s="159"/>
      <x:c r="AU182" s="159"/>
      <x:c r="AV182" s="159"/>
      <x:c r="AW182" s="159"/>
      <x:c r="AX182" s="159"/>
      <x:c r="AY182" s="159"/>
      <x:c r="AZ182" s="159"/>
    </x:row>
    <x:row r="183">
      <x:c r="A183" s="159"/>
      <x:c r="B183" s="159"/>
      <x:c r="C183" s="159"/>
      <x:c r="D183" s="159"/>
      <x:c r="E183" s="159"/>
      <x:c r="F183" s="159"/>
      <x:c r="G183" s="159"/>
      <x:c r="H183" s="159"/>
      <x:c r="I183" s="159"/>
      <x:c r="J183" s="159"/>
      <x:c r="K183" s="159"/>
      <x:c r="L183" s="159"/>
      <x:c r="M183" s="159"/>
      <x:c r="N183" s="159"/>
      <x:c r="O183" s="159"/>
      <x:c r="P183" s="159"/>
      <x:c r="Q183" s="159"/>
      <x:c r="R183" s="159"/>
      <x:c r="S183" s="159"/>
      <x:c r="T183" s="159"/>
      <x:c r="U183" s="159"/>
      <x:c r="V183" s="159"/>
      <x:c r="W183" s="159"/>
      <x:c r="X183" s="159"/>
      <x:c r="Y183" s="159"/>
      <x:c r="Z183" s="159"/>
      <x:c r="AA183" s="159"/>
      <x:c r="AB183" s="159"/>
      <x:c r="AC183" s="159"/>
      <x:c r="AD183" s="159"/>
      <x:c r="AE183" s="159"/>
      <x:c r="AF183" s="159"/>
      <x:c r="AG183" s="159"/>
      <x:c r="AH183" s="159"/>
      <x:c r="AI183" s="159"/>
      <x:c r="AJ183" s="159"/>
      <x:c r="AK183" s="159"/>
      <x:c r="AL183" s="159"/>
      <x:c r="AM183" s="159"/>
      <x:c r="AN183" s="159"/>
      <x:c r="AO183" s="159"/>
      <x:c r="AP183" s="159"/>
      <x:c r="AQ183" s="159"/>
      <x:c r="AR183" s="159"/>
      <x:c r="AS183" s="159"/>
      <x:c r="AT183" s="159"/>
      <x:c r="AU183" s="159"/>
      <x:c r="AV183" s="159"/>
      <x:c r="AW183" s="159"/>
      <x:c r="AX183" s="159"/>
      <x:c r="AY183" s="159"/>
      <x:c r="AZ183" s="159"/>
    </x:row>
    <x:row r="184">
      <x:c r="A184" s="159"/>
      <x:c r="B184" s="159"/>
      <x:c r="C184" s="159"/>
      <x:c r="D184" s="159"/>
      <x:c r="E184" s="159"/>
      <x:c r="F184" s="159"/>
      <x:c r="G184" s="159"/>
      <x:c r="H184" s="159"/>
      <x:c r="I184" s="159"/>
      <x:c r="J184" s="159"/>
      <x:c r="K184" s="159"/>
      <x:c r="L184" s="159"/>
      <x:c r="M184" s="159"/>
      <x:c r="N184" s="159"/>
      <x:c r="O184" s="159"/>
      <x:c r="P184" s="159"/>
      <x:c r="Q184" s="159"/>
      <x:c r="R184" s="159"/>
      <x:c r="S184" s="159"/>
      <x:c r="T184" s="159"/>
      <x:c r="U184" s="159"/>
      <x:c r="V184" s="159"/>
      <x:c r="W184" s="159"/>
      <x:c r="X184" s="159"/>
      <x:c r="Y184" s="159"/>
      <x:c r="Z184" s="159"/>
      <x:c r="AA184" s="159"/>
      <x:c r="AB184" s="159"/>
      <x:c r="AC184" s="159"/>
      <x:c r="AD184" s="159"/>
      <x:c r="AE184" s="159"/>
      <x:c r="AF184" s="159"/>
      <x:c r="AG184" s="159"/>
      <x:c r="AH184" s="159"/>
      <x:c r="AI184" s="159"/>
      <x:c r="AJ184" s="159"/>
      <x:c r="AK184" s="159"/>
      <x:c r="AL184" s="159"/>
      <x:c r="AM184" s="159"/>
      <x:c r="AN184" s="159"/>
      <x:c r="AO184" s="159"/>
      <x:c r="AP184" s="159"/>
      <x:c r="AQ184" s="159"/>
      <x:c r="AR184" s="159"/>
      <x:c r="AS184" s="159"/>
      <x:c r="AT184" s="159"/>
      <x:c r="AU184" s="159"/>
      <x:c r="AV184" s="159"/>
      <x:c r="AW184" s="159"/>
      <x:c r="AX184" s="159"/>
      <x:c r="AY184" s="159"/>
      <x:c r="AZ184" s="159"/>
    </x:row>
    <x:row r="185">
      <x:c r="A185" s="159"/>
      <x:c r="B185" s="159"/>
      <x:c r="C185" s="159"/>
      <x:c r="D185" s="159"/>
      <x:c r="E185" s="159"/>
      <x:c r="F185" s="159"/>
      <x:c r="G185" s="159"/>
      <x:c r="H185" s="159"/>
      <x:c r="I185" s="159"/>
      <x:c r="J185" s="159"/>
      <x:c r="K185" s="159"/>
      <x:c r="L185" s="159"/>
      <x:c r="M185" s="159"/>
      <x:c r="N185" s="159"/>
      <x:c r="O185" s="159"/>
      <x:c r="P185" s="159"/>
      <x:c r="Q185" s="159"/>
      <x:c r="R185" s="159"/>
      <x:c r="S185" s="159"/>
      <x:c r="T185" s="159"/>
      <x:c r="U185" s="159"/>
      <x:c r="V185" s="159"/>
      <x:c r="W185" s="159"/>
      <x:c r="X185" s="159"/>
      <x:c r="Y185" s="159"/>
      <x:c r="Z185" s="159"/>
      <x:c r="AA185" s="159"/>
      <x:c r="AB185" s="159"/>
      <x:c r="AC185" s="159"/>
      <x:c r="AD185" s="159"/>
      <x:c r="AE185" s="159"/>
      <x:c r="AF185" s="159"/>
      <x:c r="AG185" s="159"/>
      <x:c r="AH185" s="159"/>
      <x:c r="AI185" s="159"/>
      <x:c r="AJ185" s="159"/>
      <x:c r="AK185" s="159"/>
      <x:c r="AL185" s="159"/>
      <x:c r="AM185" s="159"/>
      <x:c r="AN185" s="159"/>
      <x:c r="AO185" s="159"/>
      <x:c r="AP185" s="159"/>
      <x:c r="AQ185" s="159"/>
      <x:c r="AR185" s="159"/>
      <x:c r="AS185" s="159"/>
      <x:c r="AT185" s="159"/>
      <x:c r="AU185" s="159"/>
      <x:c r="AV185" s="159"/>
      <x:c r="AW185" s="159"/>
      <x:c r="AX185" s="159"/>
      <x:c r="AY185" s="159"/>
      <x:c r="AZ185" s="159"/>
    </x:row>
    <x:row r="186">
      <x:c r="A186" s="159"/>
      <x:c r="B186" s="159"/>
      <x:c r="C186" s="159"/>
      <x:c r="D186" s="159"/>
      <x:c r="E186" s="159"/>
      <x:c r="F186" s="159"/>
      <x:c r="G186" s="159"/>
      <x:c r="H186" s="159"/>
      <x:c r="I186" s="159"/>
      <x:c r="J186" s="159"/>
      <x:c r="K186" s="159"/>
      <x:c r="L186" s="159"/>
      <x:c r="M186" s="159"/>
      <x:c r="N186" s="159"/>
      <x:c r="O186" s="159"/>
      <x:c r="P186" s="159"/>
      <x:c r="Q186" s="159"/>
      <x:c r="R186" s="159"/>
      <x:c r="S186" s="159"/>
      <x:c r="T186" s="159"/>
      <x:c r="U186" s="159"/>
      <x:c r="V186" s="159"/>
      <x:c r="W186" s="159"/>
      <x:c r="X186" s="159"/>
      <x:c r="Y186" s="159"/>
      <x:c r="Z186" s="159"/>
      <x:c r="AA186" s="159"/>
      <x:c r="AB186" s="159"/>
      <x:c r="AC186" s="159"/>
      <x:c r="AD186" s="159"/>
      <x:c r="AE186" s="159"/>
      <x:c r="AF186" s="159"/>
      <x:c r="AG186" s="159"/>
      <x:c r="AH186" s="159"/>
      <x:c r="AI186" s="159"/>
      <x:c r="AJ186" s="159"/>
      <x:c r="AK186" s="159"/>
      <x:c r="AL186" s="159"/>
      <x:c r="AM186" s="159"/>
      <x:c r="AN186" s="159"/>
      <x:c r="AO186" s="159"/>
      <x:c r="AP186" s="159"/>
      <x:c r="AQ186" s="159"/>
      <x:c r="AR186" s="159"/>
      <x:c r="AS186" s="159"/>
      <x:c r="AT186" s="159"/>
      <x:c r="AU186" s="159"/>
      <x:c r="AV186" s="159"/>
      <x:c r="AW186" s="159"/>
      <x:c r="AX186" s="159"/>
      <x:c r="AY186" s="159"/>
      <x:c r="AZ186" s="159"/>
    </x:row>
    <x:row r="187">
      <x:c r="A187" s="159"/>
      <x:c r="B187" s="159"/>
      <x:c r="C187" s="159"/>
      <x:c r="D187" s="159"/>
      <x:c r="E187" s="159"/>
      <x:c r="F187" s="159"/>
      <x:c r="G187" s="159"/>
      <x:c r="H187" s="159"/>
      <x:c r="I187" s="159"/>
      <x:c r="J187" s="159"/>
      <x:c r="K187" s="159"/>
      <x:c r="L187" s="159"/>
      <x:c r="M187" s="159"/>
      <x:c r="N187" s="159"/>
      <x:c r="O187" s="159"/>
      <x:c r="P187" s="159"/>
      <x:c r="Q187" s="159"/>
      <x:c r="R187" s="159"/>
      <x:c r="S187" s="159"/>
      <x:c r="T187" s="159"/>
      <x:c r="U187" s="159"/>
      <x:c r="V187" s="159"/>
      <x:c r="W187" s="159"/>
      <x:c r="X187" s="159"/>
      <x:c r="Y187" s="159"/>
      <x:c r="Z187" s="159"/>
      <x:c r="AA187" s="159"/>
      <x:c r="AB187" s="159"/>
      <x:c r="AC187" s="159"/>
      <x:c r="AD187" s="159"/>
      <x:c r="AE187" s="159"/>
      <x:c r="AF187" s="159"/>
      <x:c r="AG187" s="159"/>
      <x:c r="AH187" s="159"/>
      <x:c r="AI187" s="159"/>
      <x:c r="AJ187" s="159"/>
      <x:c r="AK187" s="159"/>
      <x:c r="AL187" s="159"/>
      <x:c r="AM187" s="159"/>
      <x:c r="AN187" s="159"/>
      <x:c r="AO187" s="159"/>
      <x:c r="AP187" s="159"/>
      <x:c r="AQ187" s="159"/>
      <x:c r="AR187" s="159"/>
      <x:c r="AS187" s="159"/>
      <x:c r="AT187" s="159"/>
      <x:c r="AU187" s="159"/>
      <x:c r="AV187" s="159"/>
      <x:c r="AW187" s="159"/>
      <x:c r="AX187" s="159"/>
      <x:c r="AY187" s="159"/>
      <x:c r="AZ187" s="159"/>
    </x:row>
    <x:row r="188">
      <x:c r="A188" s="159"/>
      <x:c r="B188" s="159"/>
      <x:c r="C188" s="159"/>
      <x:c r="D188" s="159"/>
      <x:c r="E188" s="159"/>
      <x:c r="F188" s="159"/>
      <x:c r="G188" s="159"/>
      <x:c r="H188" s="159"/>
      <x:c r="I188" s="159"/>
      <x:c r="J188" s="159"/>
      <x:c r="K188" s="159"/>
      <x:c r="L188" s="159"/>
      <x:c r="M188" s="159"/>
      <x:c r="N188" s="159"/>
      <x:c r="O188" s="159"/>
      <x:c r="P188" s="159"/>
      <x:c r="Q188" s="159"/>
      <x:c r="R188" s="159"/>
      <x:c r="S188" s="159"/>
      <x:c r="T188" s="159"/>
      <x:c r="U188" s="159"/>
      <x:c r="V188" s="159"/>
      <x:c r="W188" s="159"/>
      <x:c r="X188" s="159"/>
      <x:c r="Y188" s="159"/>
      <x:c r="Z188" s="159"/>
      <x:c r="AA188" s="159"/>
      <x:c r="AB188" s="159"/>
      <x:c r="AC188" s="159"/>
      <x:c r="AD188" s="159"/>
      <x:c r="AE188" s="159"/>
      <x:c r="AF188" s="159"/>
      <x:c r="AG188" s="159"/>
      <x:c r="AH188" s="159"/>
      <x:c r="AI188" s="159"/>
      <x:c r="AJ188" s="159"/>
      <x:c r="AK188" s="159"/>
      <x:c r="AL188" s="159"/>
      <x:c r="AM188" s="159"/>
      <x:c r="AN188" s="159"/>
      <x:c r="AO188" s="159"/>
      <x:c r="AP188" s="159"/>
      <x:c r="AQ188" s="159"/>
      <x:c r="AR188" s="159"/>
      <x:c r="AS188" s="159"/>
      <x:c r="AT188" s="159"/>
      <x:c r="AU188" s="159"/>
      <x:c r="AV188" s="159"/>
      <x:c r="AW188" s="159"/>
      <x:c r="AX188" s="159"/>
      <x:c r="AY188" s="159"/>
      <x:c r="AZ188" s="159"/>
    </x:row>
    <x:row r="189">
      <x:c r="A189" s="159"/>
      <x:c r="B189" s="159"/>
      <x:c r="C189" s="159"/>
      <x:c r="D189" s="159"/>
      <x:c r="E189" s="159"/>
      <x:c r="F189" s="159"/>
      <x:c r="G189" s="159"/>
      <x:c r="H189" s="159"/>
      <x:c r="I189" s="159"/>
      <x:c r="J189" s="159"/>
      <x:c r="K189" s="159"/>
      <x:c r="L189" s="159"/>
      <x:c r="M189" s="159"/>
      <x:c r="N189" s="159"/>
      <x:c r="O189" s="159"/>
      <x:c r="P189" s="159"/>
      <x:c r="Q189" s="159"/>
      <x:c r="R189" s="159"/>
      <x:c r="S189" s="159"/>
      <x:c r="T189" s="159"/>
      <x:c r="U189" s="159"/>
      <x:c r="V189" s="159"/>
      <x:c r="W189" s="159"/>
      <x:c r="X189" s="159"/>
      <x:c r="Y189" s="159"/>
      <x:c r="Z189" s="159"/>
      <x:c r="AA189" s="159"/>
      <x:c r="AB189" s="159"/>
      <x:c r="AC189" s="159"/>
      <x:c r="AD189" s="159"/>
      <x:c r="AE189" s="159"/>
      <x:c r="AF189" s="159"/>
      <x:c r="AG189" s="159"/>
      <x:c r="AH189" s="159"/>
      <x:c r="AI189" s="159"/>
      <x:c r="AJ189" s="159"/>
      <x:c r="AK189" s="159"/>
      <x:c r="AL189" s="159"/>
      <x:c r="AM189" s="159"/>
      <x:c r="AN189" s="159"/>
      <x:c r="AO189" s="159"/>
      <x:c r="AP189" s="159"/>
      <x:c r="AQ189" s="159"/>
      <x:c r="AR189" s="159"/>
      <x:c r="AS189" s="159"/>
      <x:c r="AT189" s="159"/>
      <x:c r="AU189" s="159"/>
      <x:c r="AV189" s="159"/>
      <x:c r="AW189" s="159"/>
      <x:c r="AX189" s="159"/>
      <x:c r="AY189" s="159"/>
      <x:c r="AZ189" s="159"/>
    </x:row>
    <x:row r="190">
      <x:c r="A190" s="159"/>
      <x:c r="B190" s="159"/>
      <x:c r="C190" s="159"/>
      <x:c r="D190" s="159"/>
      <x:c r="E190" s="159"/>
      <x:c r="F190" s="159"/>
      <x:c r="G190" s="159"/>
      <x:c r="H190" s="159"/>
      <x:c r="I190" s="159"/>
      <x:c r="J190" s="159"/>
      <x:c r="K190" s="159"/>
      <x:c r="L190" s="159"/>
      <x:c r="M190" s="159"/>
      <x:c r="N190" s="159"/>
      <x:c r="O190" s="159"/>
      <x:c r="P190" s="159"/>
      <x:c r="Q190" s="159"/>
      <x:c r="R190" s="159"/>
      <x:c r="S190" s="159"/>
      <x:c r="T190" s="159"/>
      <x:c r="U190" s="159"/>
      <x:c r="V190" s="159"/>
      <x:c r="W190" s="159"/>
      <x:c r="X190" s="159"/>
      <x:c r="Y190" s="159"/>
      <x:c r="Z190" s="159"/>
      <x:c r="AA190" s="159"/>
      <x:c r="AB190" s="159"/>
      <x:c r="AC190" s="159"/>
      <x:c r="AD190" s="159"/>
      <x:c r="AE190" s="159"/>
      <x:c r="AF190" s="159"/>
      <x:c r="AG190" s="159"/>
      <x:c r="AH190" s="159"/>
      <x:c r="AI190" s="159"/>
      <x:c r="AJ190" s="159"/>
      <x:c r="AK190" s="159"/>
      <x:c r="AL190" s="159"/>
      <x:c r="AM190" s="159"/>
      <x:c r="AN190" s="159"/>
      <x:c r="AO190" s="159"/>
      <x:c r="AP190" s="159"/>
      <x:c r="AQ190" s="159"/>
      <x:c r="AR190" s="159"/>
      <x:c r="AS190" s="159"/>
      <x:c r="AT190" s="159"/>
      <x:c r="AU190" s="159"/>
      <x:c r="AV190" s="159"/>
      <x:c r="AW190" s="159"/>
      <x:c r="AX190" s="159"/>
      <x:c r="AY190" s="159"/>
      <x:c r="AZ190" s="159"/>
    </x:row>
    <x:row r="191">
      <x:c r="A191" s="159"/>
      <x:c r="B191" s="159"/>
      <x:c r="C191" s="159"/>
      <x:c r="D191" s="159"/>
      <x:c r="E191" s="159"/>
      <x:c r="F191" s="159"/>
      <x:c r="G191" s="159"/>
      <x:c r="H191" s="159"/>
      <x:c r="I191" s="159"/>
      <x:c r="J191" s="159"/>
      <x:c r="K191" s="159"/>
      <x:c r="L191" s="159"/>
      <x:c r="M191" s="159"/>
      <x:c r="N191" s="159"/>
      <x:c r="O191" s="159"/>
      <x:c r="P191" s="159"/>
      <x:c r="Q191" s="159"/>
      <x:c r="R191" s="159"/>
      <x:c r="S191" s="159"/>
      <x:c r="T191" s="159"/>
      <x:c r="U191" s="159"/>
      <x:c r="V191" s="159"/>
      <x:c r="W191" s="159"/>
      <x:c r="X191" s="159"/>
      <x:c r="Y191" s="159"/>
      <x:c r="Z191" s="159"/>
      <x:c r="AA191" s="159"/>
      <x:c r="AB191" s="159"/>
      <x:c r="AC191" s="159"/>
      <x:c r="AD191" s="159"/>
      <x:c r="AE191" s="159"/>
      <x:c r="AF191" s="159"/>
      <x:c r="AG191" s="159"/>
      <x:c r="AH191" s="159"/>
      <x:c r="AI191" s="159"/>
      <x:c r="AJ191" s="159"/>
      <x:c r="AK191" s="159"/>
      <x:c r="AL191" s="159"/>
      <x:c r="AM191" s="159"/>
      <x:c r="AN191" s="159"/>
      <x:c r="AO191" s="159"/>
      <x:c r="AP191" s="159"/>
      <x:c r="AQ191" s="159"/>
      <x:c r="AR191" s="159"/>
      <x:c r="AS191" s="159"/>
      <x:c r="AT191" s="159"/>
      <x:c r="AU191" s="159"/>
      <x:c r="AV191" s="159"/>
      <x:c r="AW191" s="159"/>
      <x:c r="AX191" s="159"/>
      <x:c r="AY191" s="159"/>
      <x:c r="AZ191" s="159"/>
    </x:row>
    <x:row r="192">
      <x:c r="A192" s="159"/>
      <x:c r="B192" s="159"/>
      <x:c r="C192" s="159"/>
      <x:c r="D192" s="159"/>
      <x:c r="E192" s="159"/>
      <x:c r="F192" s="159"/>
      <x:c r="G192" s="159"/>
      <x:c r="H192" s="159"/>
      <x:c r="I192" s="159"/>
      <x:c r="J192" s="159"/>
      <x:c r="K192" s="159"/>
      <x:c r="L192" s="159"/>
      <x:c r="M192" s="159"/>
      <x:c r="N192" s="159"/>
      <x:c r="O192" s="159"/>
      <x:c r="P192" s="159"/>
      <x:c r="Q192" s="159"/>
      <x:c r="R192" s="159"/>
      <x:c r="S192" s="159"/>
      <x:c r="T192" s="159"/>
      <x:c r="U192" s="159"/>
      <x:c r="V192" s="159"/>
      <x:c r="W192" s="159"/>
      <x:c r="X192" s="159"/>
      <x:c r="Y192" s="159"/>
      <x:c r="Z192" s="159"/>
      <x:c r="AA192" s="159"/>
      <x:c r="AB192" s="159"/>
      <x:c r="AC192" s="159"/>
      <x:c r="AD192" s="159"/>
      <x:c r="AE192" s="159"/>
      <x:c r="AF192" s="159"/>
      <x:c r="AG192" s="159"/>
      <x:c r="AH192" s="159"/>
      <x:c r="AI192" s="159"/>
      <x:c r="AJ192" s="159"/>
      <x:c r="AK192" s="159"/>
      <x:c r="AL192" s="159"/>
      <x:c r="AM192" s="159"/>
      <x:c r="AN192" s="159"/>
      <x:c r="AO192" s="159"/>
      <x:c r="AP192" s="159"/>
      <x:c r="AQ192" s="159"/>
      <x:c r="AR192" s="159"/>
      <x:c r="AS192" s="159"/>
      <x:c r="AT192" s="159"/>
      <x:c r="AU192" s="159"/>
      <x:c r="AV192" s="159"/>
      <x:c r="AW192" s="159"/>
      <x:c r="AX192" s="159"/>
      <x:c r="AY192" s="159"/>
      <x:c r="AZ192" s="159"/>
    </x:row>
    <x:row r="193">
      <x:c r="A193" s="159"/>
      <x:c r="B193" s="159"/>
      <x:c r="C193" s="159"/>
      <x:c r="D193" s="159"/>
      <x:c r="E193" s="159"/>
      <x:c r="F193" s="159"/>
      <x:c r="G193" s="159"/>
      <x:c r="H193" s="159"/>
      <x:c r="I193" s="159"/>
      <x:c r="J193" s="159"/>
      <x:c r="K193" s="159"/>
      <x:c r="L193" s="159"/>
      <x:c r="M193" s="159"/>
      <x:c r="N193" s="159"/>
      <x:c r="O193" s="159"/>
      <x:c r="P193" s="159"/>
      <x:c r="Q193" s="159"/>
      <x:c r="R193" s="159"/>
      <x:c r="S193" s="159"/>
      <x:c r="T193" s="159"/>
      <x:c r="U193" s="159"/>
      <x:c r="V193" s="159"/>
      <x:c r="W193" s="159"/>
      <x:c r="X193" s="159"/>
      <x:c r="Y193" s="159"/>
      <x:c r="Z193" s="159"/>
      <x:c r="AA193" s="159"/>
      <x:c r="AB193" s="159"/>
      <x:c r="AC193" s="159"/>
      <x:c r="AD193" s="159"/>
      <x:c r="AE193" s="159"/>
      <x:c r="AF193" s="159"/>
      <x:c r="AG193" s="159"/>
      <x:c r="AH193" s="159"/>
      <x:c r="AI193" s="159"/>
      <x:c r="AJ193" s="159"/>
      <x:c r="AK193" s="159"/>
      <x:c r="AL193" s="159"/>
      <x:c r="AM193" s="159"/>
      <x:c r="AN193" s="159"/>
      <x:c r="AO193" s="159"/>
      <x:c r="AP193" s="159"/>
      <x:c r="AQ193" s="159"/>
      <x:c r="AR193" s="159"/>
      <x:c r="AS193" s="159"/>
      <x:c r="AT193" s="159"/>
      <x:c r="AU193" s="159"/>
      <x:c r="AV193" s="159"/>
      <x:c r="AW193" s="159"/>
      <x:c r="AX193" s="159"/>
      <x:c r="AY193" s="159"/>
      <x:c r="AZ193" s="159"/>
    </x:row>
    <x:row r="194">
      <x:c r="A194" s="159"/>
      <x:c r="B194" s="159"/>
      <x:c r="C194" s="159"/>
      <x:c r="D194" s="159"/>
      <x:c r="E194" s="159"/>
      <x:c r="F194" s="159"/>
      <x:c r="G194" s="159"/>
      <x:c r="H194" s="159"/>
      <x:c r="I194" s="159"/>
      <x:c r="J194" s="159"/>
      <x:c r="K194" s="159"/>
      <x:c r="L194" s="159"/>
      <x:c r="M194" s="159"/>
      <x:c r="N194" s="159"/>
      <x:c r="O194" s="159"/>
      <x:c r="P194" s="159"/>
      <x:c r="Q194" s="159"/>
      <x:c r="R194" s="159"/>
      <x:c r="S194" s="159"/>
      <x:c r="T194" s="159"/>
      <x:c r="U194" s="159"/>
      <x:c r="V194" s="159"/>
      <x:c r="W194" s="159"/>
      <x:c r="X194" s="159"/>
      <x:c r="Y194" s="159"/>
      <x:c r="Z194" s="159"/>
      <x:c r="AA194" s="159"/>
      <x:c r="AB194" s="159"/>
      <x:c r="AC194" s="159"/>
      <x:c r="AD194" s="159"/>
      <x:c r="AE194" s="159"/>
      <x:c r="AF194" s="159"/>
      <x:c r="AG194" s="159"/>
      <x:c r="AH194" s="159"/>
      <x:c r="AI194" s="159"/>
      <x:c r="AJ194" s="159"/>
      <x:c r="AK194" s="159"/>
      <x:c r="AL194" s="159"/>
      <x:c r="AM194" s="159"/>
      <x:c r="AN194" s="159"/>
      <x:c r="AO194" s="159"/>
      <x:c r="AP194" s="159"/>
      <x:c r="AQ194" s="159"/>
      <x:c r="AR194" s="159"/>
      <x:c r="AS194" s="159"/>
      <x:c r="AT194" s="159"/>
      <x:c r="AU194" s="159"/>
      <x:c r="AV194" s="159"/>
      <x:c r="AW194" s="159"/>
      <x:c r="AX194" s="159"/>
      <x:c r="AY194" s="159"/>
      <x:c r="AZ194" s="159"/>
    </x:row>
    <x:row r="195">
      <x:c r="A195" s="159"/>
      <x:c r="B195" s="159"/>
      <x:c r="C195" s="159"/>
      <x:c r="D195" s="159"/>
      <x:c r="E195" s="159"/>
      <x:c r="F195" s="159"/>
      <x:c r="G195" s="159"/>
      <x:c r="H195" s="159"/>
      <x:c r="I195" s="159"/>
      <x:c r="J195" s="159"/>
      <x:c r="K195" s="159"/>
      <x:c r="L195" s="159"/>
      <x:c r="M195" s="159"/>
      <x:c r="N195" s="159"/>
      <x:c r="O195" s="159"/>
      <x:c r="P195" s="159"/>
      <x:c r="Q195" s="159"/>
      <x:c r="R195" s="159"/>
      <x:c r="S195" s="159"/>
      <x:c r="T195" s="159"/>
      <x:c r="U195" s="159"/>
      <x:c r="V195" s="159"/>
      <x:c r="W195" s="159"/>
      <x:c r="X195" s="159"/>
      <x:c r="Y195" s="159"/>
      <x:c r="Z195" s="159"/>
      <x:c r="AA195" s="159"/>
      <x:c r="AB195" s="159"/>
      <x:c r="AC195" s="159"/>
      <x:c r="AD195" s="159"/>
      <x:c r="AE195" s="159"/>
      <x:c r="AF195" s="159"/>
      <x:c r="AG195" s="159"/>
      <x:c r="AH195" s="159"/>
      <x:c r="AI195" s="159"/>
      <x:c r="AJ195" s="159"/>
      <x:c r="AK195" s="159"/>
      <x:c r="AL195" s="159"/>
      <x:c r="AM195" s="159"/>
      <x:c r="AN195" s="159"/>
      <x:c r="AO195" s="159"/>
      <x:c r="AP195" s="159"/>
      <x:c r="AQ195" s="159"/>
      <x:c r="AR195" s="159"/>
      <x:c r="AS195" s="159"/>
      <x:c r="AT195" s="159"/>
      <x:c r="AU195" s="159"/>
      <x:c r="AV195" s="159"/>
      <x:c r="AW195" s="159"/>
      <x:c r="AX195" s="159"/>
      <x:c r="AY195" s="159"/>
      <x:c r="AZ195" s="159"/>
    </x:row>
    <x:row r="196">
      <x:c r="A196" s="159"/>
      <x:c r="B196" s="159"/>
      <x:c r="C196" s="159"/>
      <x:c r="D196" s="159"/>
      <x:c r="E196" s="159"/>
      <x:c r="F196" s="159"/>
      <x:c r="G196" s="159"/>
      <x:c r="H196" s="159"/>
      <x:c r="I196" s="159"/>
      <x:c r="J196" s="159"/>
      <x:c r="K196" s="159"/>
      <x:c r="L196" s="159"/>
      <x:c r="M196" s="159"/>
      <x:c r="N196" s="159"/>
      <x:c r="O196" s="159"/>
      <x:c r="P196" s="159"/>
      <x:c r="Q196" s="159"/>
      <x:c r="R196" s="159"/>
      <x:c r="S196" s="159"/>
      <x:c r="T196" s="159"/>
      <x:c r="U196" s="159"/>
      <x:c r="V196" s="159"/>
      <x:c r="W196" s="159"/>
      <x:c r="X196" s="159"/>
      <x:c r="Y196" s="159"/>
      <x:c r="Z196" s="159"/>
      <x:c r="AA196" s="159"/>
      <x:c r="AB196" s="159"/>
      <x:c r="AC196" s="159"/>
      <x:c r="AD196" s="159"/>
      <x:c r="AE196" s="159"/>
      <x:c r="AF196" s="159"/>
      <x:c r="AG196" s="159"/>
      <x:c r="AH196" s="159"/>
      <x:c r="AI196" s="159"/>
      <x:c r="AJ196" s="159"/>
      <x:c r="AK196" s="159"/>
      <x:c r="AL196" s="159"/>
      <x:c r="AM196" s="159"/>
      <x:c r="AN196" s="159"/>
      <x:c r="AO196" s="159"/>
      <x:c r="AP196" s="159"/>
      <x:c r="AQ196" s="159"/>
      <x:c r="AR196" s="159"/>
      <x:c r="AS196" s="159"/>
      <x:c r="AT196" s="159"/>
      <x:c r="AU196" s="159"/>
      <x:c r="AV196" s="159"/>
      <x:c r="AW196" s="159"/>
      <x:c r="AX196" s="159"/>
      <x:c r="AY196" s="159"/>
      <x:c r="AZ196" s="159"/>
    </x:row>
    <x:row r="197">
      <x:c r="A197" s="159"/>
      <x:c r="B197" s="159"/>
      <x:c r="C197" s="159"/>
      <x:c r="D197" s="159"/>
      <x:c r="E197" s="159"/>
      <x:c r="F197" s="159"/>
      <x:c r="G197" s="159"/>
      <x:c r="H197" s="159"/>
      <x:c r="I197" s="159"/>
      <x:c r="J197" s="159"/>
      <x:c r="K197" s="159"/>
      <x:c r="L197" s="159"/>
      <x:c r="M197" s="159"/>
      <x:c r="N197" s="159"/>
      <x:c r="O197" s="159"/>
      <x:c r="P197" s="159"/>
      <x:c r="Q197" s="159"/>
      <x:c r="R197" s="159"/>
      <x:c r="S197" s="159"/>
      <x:c r="T197" s="159"/>
      <x:c r="U197" s="159"/>
      <x:c r="V197" s="159"/>
      <x:c r="W197" s="159"/>
      <x:c r="X197" s="159"/>
      <x:c r="Y197" s="159"/>
      <x:c r="Z197" s="159"/>
      <x:c r="AA197" s="159"/>
      <x:c r="AB197" s="159"/>
      <x:c r="AC197" s="159"/>
      <x:c r="AD197" s="159"/>
      <x:c r="AE197" s="159"/>
      <x:c r="AF197" s="159"/>
      <x:c r="AG197" s="159"/>
      <x:c r="AH197" s="159"/>
      <x:c r="AI197" s="159"/>
      <x:c r="AJ197" s="159"/>
      <x:c r="AK197" s="159"/>
      <x:c r="AL197" s="159"/>
      <x:c r="AM197" s="159"/>
      <x:c r="AN197" s="159"/>
      <x:c r="AO197" s="159"/>
      <x:c r="AP197" s="159"/>
      <x:c r="AQ197" s="159"/>
      <x:c r="AR197" s="159"/>
      <x:c r="AS197" s="159"/>
      <x:c r="AT197" s="159"/>
      <x:c r="AU197" s="159"/>
      <x:c r="AV197" s="159"/>
      <x:c r="AW197" s="159"/>
      <x:c r="AX197" s="159"/>
      <x:c r="AY197" s="159"/>
      <x:c r="AZ197" s="159"/>
    </x:row>
    <x:row r="198">
      <x:c r="A198" s="159"/>
      <x:c r="B198" s="159"/>
      <x:c r="C198" s="159"/>
      <x:c r="D198" s="159"/>
      <x:c r="E198" s="159"/>
      <x:c r="F198" s="159"/>
      <x:c r="G198" s="159"/>
      <x:c r="H198" s="159"/>
      <x:c r="I198" s="159"/>
      <x:c r="J198" s="159"/>
      <x:c r="K198" s="159"/>
      <x:c r="L198" s="159"/>
      <x:c r="M198" s="159"/>
      <x:c r="N198" s="159"/>
      <x:c r="O198" s="159"/>
      <x:c r="P198" s="159"/>
      <x:c r="Q198" s="159"/>
      <x:c r="R198" s="159"/>
      <x:c r="S198" s="159"/>
      <x:c r="T198" s="159"/>
      <x:c r="U198" s="159"/>
      <x:c r="V198" s="159"/>
      <x:c r="W198" s="159"/>
      <x:c r="X198" s="159"/>
      <x:c r="Y198" s="159"/>
      <x:c r="Z198" s="159"/>
      <x:c r="AA198" s="159"/>
      <x:c r="AB198" s="159"/>
      <x:c r="AC198" s="159"/>
      <x:c r="AD198" s="159"/>
      <x:c r="AE198" s="159"/>
      <x:c r="AF198" s="159"/>
      <x:c r="AG198" s="159"/>
      <x:c r="AH198" s="159"/>
      <x:c r="AI198" s="159"/>
      <x:c r="AJ198" s="159"/>
      <x:c r="AK198" s="159"/>
      <x:c r="AL198" s="159"/>
      <x:c r="AM198" s="159"/>
      <x:c r="AN198" s="159"/>
      <x:c r="AO198" s="159"/>
      <x:c r="AP198" s="159"/>
      <x:c r="AQ198" s="159"/>
      <x:c r="AR198" s="159"/>
      <x:c r="AS198" s="159"/>
      <x:c r="AT198" s="159"/>
      <x:c r="AU198" s="159"/>
      <x:c r="AV198" s="159"/>
      <x:c r="AW198" s="159"/>
      <x:c r="AX198" s="159"/>
      <x:c r="AY198" s="159"/>
      <x:c r="AZ198" s="159"/>
    </x:row>
    <x:row r="199">
      <x:c r="A199" s="159"/>
      <x:c r="B199" s="159"/>
      <x:c r="C199" s="159"/>
      <x:c r="D199" s="159"/>
      <x:c r="E199" s="159"/>
      <x:c r="F199" s="159"/>
      <x:c r="G199" s="159"/>
      <x:c r="H199" s="159"/>
      <x:c r="I199" s="159"/>
      <x:c r="J199" s="159"/>
      <x:c r="K199" s="159"/>
      <x:c r="L199" s="159"/>
      <x:c r="M199" s="159"/>
      <x:c r="N199" s="159"/>
      <x:c r="O199" s="159"/>
      <x:c r="P199" s="159"/>
      <x:c r="Q199" s="159"/>
      <x:c r="R199" s="159"/>
      <x:c r="S199" s="159"/>
      <x:c r="T199" s="159"/>
      <x:c r="U199" s="159"/>
      <x:c r="V199" s="159"/>
      <x:c r="W199" s="159"/>
      <x:c r="X199" s="159"/>
      <x:c r="Y199" s="159"/>
      <x:c r="Z199" s="159"/>
      <x:c r="AA199" s="159"/>
      <x:c r="AB199" s="159"/>
      <x:c r="AC199" s="159"/>
      <x:c r="AD199" s="159"/>
      <x:c r="AE199" s="159"/>
      <x:c r="AF199" s="159"/>
      <x:c r="AG199" s="159"/>
      <x:c r="AH199" s="159"/>
      <x:c r="AI199" s="159"/>
      <x:c r="AJ199" s="159"/>
      <x:c r="AK199" s="159"/>
      <x:c r="AL199" s="159"/>
      <x:c r="AM199" s="159"/>
      <x:c r="AN199" s="159"/>
      <x:c r="AO199" s="159"/>
      <x:c r="AP199" s="159"/>
      <x:c r="AQ199" s="159"/>
      <x:c r="AR199" s="159"/>
      <x:c r="AS199" s="159"/>
      <x:c r="AT199" s="159"/>
      <x:c r="AU199" s="159"/>
      <x:c r="AV199" s="159"/>
      <x:c r="AW199" s="159"/>
      <x:c r="AX199" s="159"/>
      <x:c r="AY199" s="159"/>
      <x:c r="AZ199" s="159"/>
    </x:row>
    <x:row r="200">
      <x:c r="A200" s="159"/>
      <x:c r="B200" s="159"/>
      <x:c r="C200" s="159"/>
      <x:c r="D200" s="159"/>
      <x:c r="E200" s="159"/>
      <x:c r="F200" s="159"/>
      <x:c r="G200" s="159"/>
      <x:c r="H200" s="159"/>
      <x:c r="I200" s="159"/>
      <x:c r="J200" s="159"/>
      <x:c r="K200" s="159"/>
      <x:c r="L200" s="159"/>
      <x:c r="M200" s="159"/>
      <x:c r="N200" s="159"/>
      <x:c r="O200" s="159"/>
      <x:c r="P200" s="159"/>
      <x:c r="Q200" s="159"/>
      <x:c r="R200" s="159"/>
      <x:c r="S200" s="159"/>
      <x:c r="T200" s="159"/>
      <x:c r="U200" s="159"/>
      <x:c r="V200" s="159"/>
      <x:c r="W200" s="159"/>
      <x:c r="X200" s="159"/>
      <x:c r="Y200" s="159"/>
      <x:c r="Z200" s="159"/>
      <x:c r="AA200" s="159"/>
      <x:c r="AB200" s="159"/>
      <x:c r="AC200" s="159"/>
      <x:c r="AD200" s="159"/>
      <x:c r="AE200" s="159"/>
      <x:c r="AF200" s="159"/>
      <x:c r="AG200" s="159"/>
      <x:c r="AH200" s="159"/>
      <x:c r="AI200" s="159"/>
      <x:c r="AJ200" s="159"/>
      <x:c r="AK200" s="159"/>
      <x:c r="AL200" s="159"/>
      <x:c r="AM200" s="159"/>
      <x:c r="AN200" s="159"/>
      <x:c r="AO200" s="159"/>
      <x:c r="AP200" s="159"/>
      <x:c r="AQ200" s="159"/>
      <x:c r="AR200" s="159"/>
      <x:c r="AS200" s="159"/>
      <x:c r="AT200" s="159"/>
      <x:c r="AU200" s="159"/>
      <x:c r="AV200" s="159"/>
      <x:c r="AW200" s="159"/>
      <x:c r="AX200" s="159"/>
      <x:c r="AY200" s="159"/>
      <x:c r="AZ200" s="159"/>
    </x:row>
    <x:row r="201">
      <x:c r="A201" s="159"/>
      <x:c r="B201" s="159"/>
      <x:c r="C201" s="159"/>
      <x:c r="D201" s="159"/>
      <x:c r="E201" s="159"/>
      <x:c r="F201" s="159"/>
      <x:c r="G201" s="159"/>
      <x:c r="H201" s="159"/>
      <x:c r="I201" s="159"/>
      <x:c r="J201" s="159"/>
      <x:c r="K201" s="159"/>
      <x:c r="L201" s="159"/>
      <x:c r="M201" s="159"/>
      <x:c r="N201" s="159"/>
      <x:c r="O201" s="159"/>
      <x:c r="P201" s="159"/>
      <x:c r="Q201" s="159"/>
      <x:c r="R201" s="159"/>
      <x:c r="S201" s="159"/>
      <x:c r="T201" s="159"/>
      <x:c r="U201" s="159"/>
      <x:c r="V201" s="159"/>
      <x:c r="W201" s="159"/>
      <x:c r="X201" s="159"/>
      <x:c r="Y201" s="159"/>
      <x:c r="Z201" s="159"/>
      <x:c r="AA201" s="159"/>
      <x:c r="AB201" s="159"/>
      <x:c r="AC201" s="159"/>
      <x:c r="AD201" s="159"/>
      <x:c r="AE201" s="159"/>
      <x:c r="AF201" s="159"/>
      <x:c r="AG201" s="159"/>
      <x:c r="AH201" s="159"/>
      <x:c r="AI201" s="159"/>
      <x:c r="AJ201" s="159"/>
      <x:c r="AK201" s="159"/>
      <x:c r="AL201" s="159"/>
      <x:c r="AM201" s="159"/>
      <x:c r="AN201" s="159"/>
      <x:c r="AO201" s="159"/>
      <x:c r="AP201" s="159"/>
      <x:c r="AQ201" s="159"/>
      <x:c r="AR201" s="159"/>
      <x:c r="AS201" s="159"/>
      <x:c r="AT201" s="159"/>
      <x:c r="AU201" s="159"/>
      <x:c r="AV201" s="159"/>
      <x:c r="AW201" s="159"/>
      <x:c r="AX201" s="159"/>
      <x:c r="AY201" s="159"/>
      <x:c r="AZ201" s="159"/>
    </x:row>
    <x:row r="202">
      <x:c r="A202" s="159"/>
      <x:c r="B202" s="159"/>
      <x:c r="C202" s="159"/>
      <x:c r="D202" s="159"/>
      <x:c r="E202" s="159"/>
      <x:c r="F202" s="159"/>
      <x:c r="G202" s="159"/>
      <x:c r="H202" s="159"/>
      <x:c r="I202" s="159"/>
      <x:c r="J202" s="159"/>
      <x:c r="K202" s="159"/>
      <x:c r="L202" s="159"/>
      <x:c r="M202" s="159"/>
      <x:c r="N202" s="159"/>
      <x:c r="O202" s="159"/>
      <x:c r="P202" s="159"/>
      <x:c r="Q202" s="159"/>
      <x:c r="R202" s="159"/>
      <x:c r="S202" s="159"/>
      <x:c r="T202" s="159"/>
      <x:c r="U202" s="159"/>
      <x:c r="V202" s="159"/>
      <x:c r="W202" s="159"/>
      <x:c r="X202" s="159"/>
      <x:c r="Y202" s="159"/>
      <x:c r="Z202" s="159"/>
      <x:c r="AA202" s="159"/>
      <x:c r="AB202" s="159"/>
      <x:c r="AC202" s="159"/>
      <x:c r="AD202" s="159"/>
      <x:c r="AE202" s="159"/>
      <x:c r="AF202" s="159"/>
      <x:c r="AG202" s="159"/>
      <x:c r="AH202" s="159"/>
      <x:c r="AI202" s="159"/>
      <x:c r="AJ202" s="159"/>
      <x:c r="AK202" s="159"/>
      <x:c r="AL202" s="159"/>
      <x:c r="AM202" s="159"/>
      <x:c r="AN202" s="159"/>
      <x:c r="AO202" s="159"/>
      <x:c r="AP202" s="159"/>
      <x:c r="AQ202" s="159"/>
      <x:c r="AR202" s="159"/>
      <x:c r="AS202" s="159"/>
      <x:c r="AT202" s="159"/>
      <x:c r="AU202" s="159"/>
      <x:c r="AV202" s="159"/>
      <x:c r="AW202" s="159"/>
      <x:c r="AX202" s="159"/>
      <x:c r="AY202" s="159"/>
      <x:c r="AZ202" s="159"/>
    </x:row>
    <x:row r="203">
      <x:c r="A203" s="159"/>
      <x:c r="B203" s="159"/>
      <x:c r="C203" s="159"/>
      <x:c r="D203" s="159"/>
      <x:c r="E203" s="159"/>
      <x:c r="F203" s="159"/>
      <x:c r="G203" s="159"/>
      <x:c r="H203" s="159"/>
      <x:c r="I203" s="159"/>
      <x:c r="J203" s="159"/>
      <x:c r="K203" s="159"/>
      <x:c r="L203" s="159"/>
      <x:c r="M203" s="159"/>
      <x:c r="N203" s="159"/>
      <x:c r="O203" s="159"/>
      <x:c r="P203" s="159"/>
      <x:c r="Q203" s="159"/>
      <x:c r="R203" s="159"/>
      <x:c r="S203" s="159"/>
      <x:c r="T203" s="159"/>
      <x:c r="U203" s="159"/>
      <x:c r="V203" s="159"/>
      <x:c r="W203" s="159"/>
      <x:c r="X203" s="159"/>
      <x:c r="Y203" s="159"/>
      <x:c r="Z203" s="159"/>
      <x:c r="AA203" s="159"/>
      <x:c r="AB203" s="159"/>
      <x:c r="AC203" s="159"/>
      <x:c r="AD203" s="159"/>
      <x:c r="AE203" s="159"/>
      <x:c r="AF203" s="159"/>
      <x:c r="AG203" s="159"/>
      <x:c r="AH203" s="159"/>
      <x:c r="AI203" s="159"/>
      <x:c r="AJ203" s="159"/>
      <x:c r="AK203" s="159"/>
      <x:c r="AL203" s="159"/>
      <x:c r="AM203" s="159"/>
      <x:c r="AN203" s="159"/>
      <x:c r="AO203" s="159"/>
      <x:c r="AP203" s="159"/>
      <x:c r="AQ203" s="159"/>
      <x:c r="AR203" s="159"/>
      <x:c r="AS203" s="159"/>
      <x:c r="AT203" s="159"/>
      <x:c r="AU203" s="159"/>
      <x:c r="AV203" s="159"/>
      <x:c r="AW203" s="159"/>
      <x:c r="AX203" s="159"/>
      <x:c r="AY203" s="159"/>
      <x:c r="AZ203" s="159"/>
    </x:row>
    <x:row r="204">
      <x:c r="A204" s="159"/>
      <x:c r="B204" s="159"/>
      <x:c r="C204" s="159"/>
      <x:c r="D204" s="159"/>
      <x:c r="E204" s="159"/>
      <x:c r="F204" s="159"/>
      <x:c r="G204" s="159"/>
      <x:c r="H204" s="159"/>
      <x:c r="I204" s="159"/>
      <x:c r="J204" s="159"/>
      <x:c r="K204" s="159"/>
      <x:c r="L204" s="159"/>
      <x:c r="M204" s="159"/>
      <x:c r="N204" s="159"/>
      <x:c r="O204" s="159"/>
      <x:c r="P204" s="159"/>
      <x:c r="Q204" s="159"/>
      <x:c r="R204" s="159"/>
      <x:c r="S204" s="159"/>
      <x:c r="T204" s="159"/>
      <x:c r="U204" s="159"/>
      <x:c r="V204" s="159"/>
      <x:c r="W204" s="159"/>
      <x:c r="X204" s="159"/>
      <x:c r="Y204" s="159"/>
      <x:c r="Z204" s="159"/>
      <x:c r="AA204" s="159"/>
      <x:c r="AB204" s="159"/>
      <x:c r="AC204" s="159"/>
      <x:c r="AD204" s="159"/>
      <x:c r="AE204" s="159"/>
      <x:c r="AF204" s="159"/>
      <x:c r="AG204" s="159"/>
      <x:c r="AH204" s="159"/>
      <x:c r="AI204" s="159"/>
      <x:c r="AJ204" s="159"/>
      <x:c r="AK204" s="159"/>
      <x:c r="AL204" s="159"/>
      <x:c r="AM204" s="159"/>
      <x:c r="AN204" s="159"/>
      <x:c r="AO204" s="159"/>
      <x:c r="AP204" s="159"/>
      <x:c r="AQ204" s="159"/>
      <x:c r="AR204" s="159"/>
      <x:c r="AS204" s="159"/>
      <x:c r="AT204" s="159"/>
      <x:c r="AU204" s="159"/>
      <x:c r="AV204" s="159"/>
      <x:c r="AW204" s="159"/>
      <x:c r="AX204" s="159"/>
      <x:c r="AY204" s="159"/>
      <x:c r="AZ204" s="159"/>
    </x:row>
    <x:row r="205">
      <x:c r="A205" s="159"/>
      <x:c r="B205" s="159"/>
      <x:c r="C205" s="159"/>
      <x:c r="D205" s="159"/>
      <x:c r="E205" s="159"/>
      <x:c r="F205" s="159"/>
      <x:c r="G205" s="159"/>
      <x:c r="H205" s="159"/>
      <x:c r="I205" s="159"/>
      <x:c r="J205" s="159"/>
      <x:c r="K205" s="159"/>
      <x:c r="L205" s="159"/>
      <x:c r="M205" s="159"/>
      <x:c r="N205" s="159"/>
      <x:c r="O205" s="159"/>
      <x:c r="P205" s="159"/>
      <x:c r="Q205" s="159"/>
      <x:c r="R205" s="159"/>
      <x:c r="S205" s="159"/>
      <x:c r="T205" s="159"/>
      <x:c r="U205" s="159"/>
      <x:c r="V205" s="159"/>
      <x:c r="W205" s="159"/>
      <x:c r="X205" s="159"/>
      <x:c r="Y205" s="159"/>
      <x:c r="Z205" s="159"/>
      <x:c r="AA205" s="159"/>
      <x:c r="AB205" s="159"/>
      <x:c r="AC205" s="159"/>
      <x:c r="AD205" s="159"/>
      <x:c r="AE205" s="159"/>
      <x:c r="AF205" s="159"/>
      <x:c r="AG205" s="159"/>
      <x:c r="AH205" s="159"/>
      <x:c r="AI205" s="159"/>
      <x:c r="AJ205" s="159"/>
      <x:c r="AK205" s="159"/>
      <x:c r="AL205" s="159"/>
      <x:c r="AM205" s="159"/>
      <x:c r="AN205" s="159"/>
      <x:c r="AO205" s="159"/>
      <x:c r="AP205" s="159"/>
      <x:c r="AQ205" s="159"/>
      <x:c r="AR205" s="159"/>
      <x:c r="AS205" s="159"/>
      <x:c r="AT205" s="159"/>
      <x:c r="AU205" s="159"/>
      <x:c r="AV205" s="159"/>
      <x:c r="AW205" s="159"/>
      <x:c r="AX205" s="159"/>
      <x:c r="AY205" s="159"/>
      <x:c r="AZ205" s="159"/>
    </x:row>
    <x:row r="206">
      <x:c r="A206" s="159"/>
      <x:c r="B206" s="159"/>
      <x:c r="C206" s="159"/>
      <x:c r="D206" s="159"/>
      <x:c r="E206" s="159"/>
      <x:c r="F206" s="159"/>
      <x:c r="G206" s="159"/>
      <x:c r="H206" s="159"/>
      <x:c r="I206" s="159"/>
      <x:c r="J206" s="159"/>
      <x:c r="K206" s="159"/>
      <x:c r="L206" s="159"/>
      <x:c r="M206" s="159"/>
      <x:c r="N206" s="159"/>
      <x:c r="O206" s="159"/>
      <x:c r="P206" s="159"/>
      <x:c r="Q206" s="159"/>
      <x:c r="R206" s="159"/>
      <x:c r="S206" s="159"/>
      <x:c r="T206" s="159"/>
      <x:c r="U206" s="159"/>
      <x:c r="V206" s="159"/>
      <x:c r="W206" s="159"/>
      <x:c r="X206" s="159"/>
      <x:c r="Y206" s="159"/>
      <x:c r="Z206" s="159"/>
      <x:c r="AA206" s="159"/>
      <x:c r="AB206" s="159"/>
      <x:c r="AC206" s="159"/>
      <x:c r="AD206" s="159"/>
      <x:c r="AE206" s="159"/>
      <x:c r="AF206" s="159"/>
      <x:c r="AG206" s="159"/>
      <x:c r="AH206" s="159"/>
      <x:c r="AI206" s="159"/>
      <x:c r="AJ206" s="159"/>
      <x:c r="AK206" s="159"/>
      <x:c r="AL206" s="159"/>
      <x:c r="AM206" s="159"/>
      <x:c r="AN206" s="159"/>
      <x:c r="AO206" s="159"/>
      <x:c r="AP206" s="159"/>
      <x:c r="AQ206" s="159"/>
      <x:c r="AR206" s="159"/>
      <x:c r="AS206" s="159"/>
      <x:c r="AT206" s="159"/>
      <x:c r="AU206" s="159"/>
      <x:c r="AV206" s="159"/>
      <x:c r="AW206" s="159"/>
      <x:c r="AX206" s="159"/>
      <x:c r="AY206" s="159"/>
      <x:c r="AZ206" s="159"/>
    </x:row>
    <x:row r="207">
      <x:c r="A207" s="159"/>
      <x:c r="B207" s="159"/>
      <x:c r="C207" s="159"/>
      <x:c r="D207" s="159"/>
      <x:c r="E207" s="159"/>
      <x:c r="F207" s="159"/>
      <x:c r="G207" s="159"/>
      <x:c r="H207" s="159"/>
      <x:c r="I207" s="159"/>
      <x:c r="J207" s="159"/>
      <x:c r="K207" s="159"/>
      <x:c r="L207" s="159"/>
      <x:c r="M207" s="159"/>
      <x:c r="N207" s="159"/>
      <x:c r="O207" s="159"/>
      <x:c r="P207" s="159"/>
      <x:c r="Q207" s="159"/>
      <x:c r="R207" s="159"/>
      <x:c r="S207" s="159"/>
      <x:c r="T207" s="159"/>
      <x:c r="U207" s="159"/>
      <x:c r="V207" s="159"/>
      <x:c r="W207" s="159"/>
      <x:c r="X207" s="159"/>
      <x:c r="Y207" s="159"/>
      <x:c r="Z207" s="159"/>
      <x:c r="AA207" s="159"/>
      <x:c r="AB207" s="159"/>
      <x:c r="AC207" s="159"/>
      <x:c r="AD207" s="159"/>
      <x:c r="AE207" s="159"/>
      <x:c r="AF207" s="159"/>
      <x:c r="AG207" s="159"/>
      <x:c r="AH207" s="159"/>
      <x:c r="AI207" s="159"/>
      <x:c r="AJ207" s="159"/>
      <x:c r="AK207" s="159"/>
      <x:c r="AL207" s="159"/>
      <x:c r="AM207" s="159"/>
      <x:c r="AN207" s="159"/>
      <x:c r="AO207" s="159"/>
      <x:c r="AP207" s="159"/>
      <x:c r="AQ207" s="159"/>
      <x:c r="AR207" s="159"/>
      <x:c r="AS207" s="159"/>
      <x:c r="AT207" s="159"/>
      <x:c r="AU207" s="159"/>
      <x:c r="AV207" s="159"/>
      <x:c r="AW207" s="159"/>
      <x:c r="AX207" s="159"/>
      <x:c r="AY207" s="159"/>
      <x:c r="AZ207" s="159"/>
    </x:row>
    <x:row r="208">
      <x:c r="A208" s="159"/>
      <x:c r="B208" s="159"/>
      <x:c r="C208" s="159"/>
      <x:c r="D208" s="159"/>
      <x:c r="E208" s="159"/>
      <x:c r="F208" s="159"/>
      <x:c r="G208" s="159"/>
      <x:c r="H208" s="159"/>
      <x:c r="I208" s="159"/>
      <x:c r="J208" s="159"/>
      <x:c r="K208" s="159"/>
      <x:c r="L208" s="159"/>
      <x:c r="M208" s="159"/>
      <x:c r="N208" s="159"/>
      <x:c r="O208" s="159"/>
      <x:c r="P208" s="159"/>
      <x:c r="Q208" s="159"/>
      <x:c r="R208" s="159"/>
      <x:c r="S208" s="159"/>
      <x:c r="T208" s="159"/>
      <x:c r="U208" s="159"/>
      <x:c r="V208" s="159"/>
      <x:c r="W208" s="159"/>
      <x:c r="X208" s="159"/>
      <x:c r="Y208" s="159"/>
      <x:c r="Z208" s="159"/>
      <x:c r="AA208" s="159"/>
      <x:c r="AB208" s="159"/>
      <x:c r="AC208" s="159"/>
      <x:c r="AD208" s="159"/>
      <x:c r="AE208" s="159"/>
      <x:c r="AF208" s="159"/>
      <x:c r="AG208" s="159"/>
      <x:c r="AH208" s="159"/>
      <x:c r="AI208" s="159"/>
      <x:c r="AJ208" s="159"/>
      <x:c r="AK208" s="159"/>
      <x:c r="AL208" s="159"/>
      <x:c r="AM208" s="159"/>
      <x:c r="AN208" s="159"/>
      <x:c r="AO208" s="159"/>
      <x:c r="AP208" s="159"/>
      <x:c r="AQ208" s="159"/>
      <x:c r="AR208" s="159"/>
      <x:c r="AS208" s="159"/>
      <x:c r="AT208" s="159"/>
      <x:c r="AU208" s="159"/>
      <x:c r="AV208" s="159"/>
      <x:c r="AW208" s="159"/>
      <x:c r="AX208" s="159"/>
      <x:c r="AY208" s="159"/>
      <x:c r="AZ208" s="159"/>
    </x:row>
    <x:row r="209">
      <x:c r="A209" s="159"/>
      <x:c r="B209" s="159"/>
      <x:c r="C209" s="159"/>
      <x:c r="D209" s="159"/>
      <x:c r="E209" s="159"/>
      <x:c r="F209" s="159"/>
      <x:c r="G209" s="159"/>
      <x:c r="H209" s="159"/>
      <x:c r="I209" s="159"/>
      <x:c r="J209" s="159"/>
      <x:c r="K209" s="159"/>
      <x:c r="L209" s="159"/>
      <x:c r="M209" s="159"/>
      <x:c r="N209" s="159"/>
      <x:c r="O209" s="159"/>
      <x:c r="P209" s="159"/>
      <x:c r="Q209" s="159"/>
      <x:c r="R209" s="159"/>
      <x:c r="S209" s="159"/>
      <x:c r="T209" s="159"/>
      <x:c r="U209" s="159"/>
      <x:c r="V209" s="159"/>
      <x:c r="W209" s="159"/>
      <x:c r="X209" s="159"/>
      <x:c r="Y209" s="159"/>
      <x:c r="Z209" s="159"/>
      <x:c r="AA209" s="159"/>
      <x:c r="AB209" s="159"/>
      <x:c r="AC209" s="159"/>
      <x:c r="AD209" s="159"/>
      <x:c r="AE209" s="159"/>
      <x:c r="AF209" s="159"/>
      <x:c r="AG209" s="159"/>
      <x:c r="AH209" s="159"/>
      <x:c r="AI209" s="159"/>
      <x:c r="AJ209" s="159"/>
      <x:c r="AK209" s="159"/>
      <x:c r="AL209" s="159"/>
      <x:c r="AM209" s="159"/>
      <x:c r="AN209" s="159"/>
      <x:c r="AO209" s="159"/>
      <x:c r="AP209" s="159"/>
      <x:c r="AQ209" s="159"/>
      <x:c r="AR209" s="159"/>
      <x:c r="AS209" s="159"/>
      <x:c r="AT209" s="159"/>
      <x:c r="AU209" s="159"/>
      <x:c r="AV209" s="159"/>
      <x:c r="AW209" s="159"/>
      <x:c r="AX209" s="159"/>
      <x:c r="AY209" s="159"/>
      <x:c r="AZ209" s="159"/>
    </x:row>
    <x:row r="210">
      <x:c r="A210" s="159"/>
      <x:c r="B210" s="159"/>
      <x:c r="C210" s="159"/>
      <x:c r="D210" s="159"/>
      <x:c r="E210" s="159"/>
      <x:c r="F210" s="159"/>
      <x:c r="G210" s="159"/>
      <x:c r="H210" s="159"/>
      <x:c r="I210" s="159"/>
      <x:c r="J210" s="159"/>
      <x:c r="K210" s="159"/>
      <x:c r="L210" s="159"/>
      <x:c r="M210" s="159"/>
      <x:c r="N210" s="159"/>
      <x:c r="O210" s="159"/>
      <x:c r="P210" s="159"/>
      <x:c r="Q210" s="159"/>
      <x:c r="R210" s="159"/>
      <x:c r="S210" s="159"/>
      <x:c r="T210" s="159"/>
      <x:c r="U210" s="159"/>
      <x:c r="V210" s="159"/>
      <x:c r="W210" s="159"/>
      <x:c r="X210" s="159"/>
      <x:c r="Y210" s="159"/>
      <x:c r="Z210" s="159"/>
      <x:c r="AA210" s="159"/>
      <x:c r="AB210" s="159"/>
      <x:c r="AC210" s="159"/>
      <x:c r="AD210" s="159"/>
      <x:c r="AE210" s="159"/>
      <x:c r="AF210" s="159"/>
      <x:c r="AG210" s="159"/>
      <x:c r="AH210" s="159"/>
      <x:c r="AI210" s="159"/>
      <x:c r="AJ210" s="159"/>
      <x:c r="AK210" s="159"/>
      <x:c r="AL210" s="159"/>
      <x:c r="AM210" s="159"/>
      <x:c r="AN210" s="159"/>
      <x:c r="AO210" s="159"/>
      <x:c r="AP210" s="159"/>
      <x:c r="AQ210" s="159"/>
      <x:c r="AR210" s="159"/>
      <x:c r="AS210" s="159"/>
      <x:c r="AT210" s="159"/>
      <x:c r="AU210" s="159"/>
      <x:c r="AV210" s="159"/>
      <x:c r="AW210" s="159"/>
      <x:c r="AX210" s="159"/>
      <x:c r="AY210" s="159"/>
      <x:c r="AZ210" s="159"/>
    </x:row>
    <x:row r="211">
      <x:c r="A211" s="159"/>
      <x:c r="B211" s="159"/>
      <x:c r="C211" s="159"/>
      <x:c r="D211" s="159"/>
      <x:c r="E211" s="159"/>
      <x:c r="F211" s="159"/>
      <x:c r="G211" s="159"/>
      <x:c r="H211" s="159"/>
      <x:c r="I211" s="159"/>
      <x:c r="J211" s="159"/>
      <x:c r="K211" s="159"/>
      <x:c r="L211" s="159"/>
      <x:c r="M211" s="159"/>
      <x:c r="N211" s="159"/>
      <x:c r="O211" s="159"/>
      <x:c r="P211" s="159"/>
      <x:c r="Q211" s="159"/>
      <x:c r="R211" s="159"/>
      <x:c r="S211" s="159"/>
      <x:c r="T211" s="159"/>
      <x:c r="U211" s="159"/>
      <x:c r="V211" s="159"/>
      <x:c r="W211" s="159"/>
      <x:c r="X211" s="159"/>
      <x:c r="Y211" s="159"/>
      <x:c r="Z211" s="159"/>
      <x:c r="AA211" s="159"/>
      <x:c r="AB211" s="159"/>
      <x:c r="AC211" s="159"/>
      <x:c r="AD211" s="159"/>
      <x:c r="AE211" s="159"/>
      <x:c r="AF211" s="159"/>
      <x:c r="AG211" s="159"/>
      <x:c r="AH211" s="159"/>
      <x:c r="AI211" s="159"/>
      <x:c r="AJ211" s="159"/>
      <x:c r="AK211" s="159"/>
      <x:c r="AL211" s="159"/>
      <x:c r="AM211" s="159"/>
      <x:c r="AN211" s="159"/>
      <x:c r="AO211" s="159"/>
      <x:c r="AP211" s="159"/>
      <x:c r="AQ211" s="159"/>
      <x:c r="AR211" s="159"/>
      <x:c r="AS211" s="159"/>
      <x:c r="AT211" s="159"/>
      <x:c r="AU211" s="159"/>
      <x:c r="AV211" s="159"/>
      <x:c r="AW211" s="159"/>
      <x:c r="AX211" s="159"/>
      <x:c r="AY211" s="159"/>
      <x:c r="AZ211" s="159"/>
    </x:row>
    <x:row r="212">
      <x:c r="A212" s="159"/>
      <x:c r="B212" s="159"/>
      <x:c r="C212" s="159"/>
      <x:c r="D212" s="159"/>
      <x:c r="E212" s="159"/>
      <x:c r="F212" s="159"/>
      <x:c r="G212" s="159"/>
      <x:c r="H212" s="159"/>
      <x:c r="I212" s="159"/>
      <x:c r="J212" s="159"/>
      <x:c r="K212" s="159"/>
      <x:c r="L212" s="159"/>
      <x:c r="M212" s="159"/>
      <x:c r="N212" s="159"/>
      <x:c r="O212" s="159"/>
      <x:c r="P212" s="159"/>
      <x:c r="Q212" s="159"/>
      <x:c r="R212" s="159"/>
      <x:c r="S212" s="159"/>
      <x:c r="T212" s="159"/>
      <x:c r="U212" s="159"/>
      <x:c r="V212" s="159"/>
      <x:c r="W212" s="159"/>
      <x:c r="X212" s="159"/>
      <x:c r="Y212" s="159"/>
      <x:c r="Z212" s="159"/>
      <x:c r="AA212" s="159"/>
      <x:c r="AB212" s="159"/>
      <x:c r="AC212" s="159"/>
      <x:c r="AD212" s="159"/>
      <x:c r="AE212" s="159"/>
      <x:c r="AF212" s="159"/>
      <x:c r="AG212" s="159"/>
      <x:c r="AH212" s="159"/>
      <x:c r="AI212" s="159"/>
      <x:c r="AJ212" s="159"/>
      <x:c r="AK212" s="159"/>
      <x:c r="AL212" s="159"/>
      <x:c r="AM212" s="159"/>
      <x:c r="AN212" s="159"/>
      <x:c r="AO212" s="159"/>
      <x:c r="AP212" s="159"/>
      <x:c r="AQ212" s="159"/>
      <x:c r="AR212" s="159"/>
      <x:c r="AS212" s="159"/>
      <x:c r="AT212" s="159"/>
      <x:c r="AU212" s="159"/>
      <x:c r="AV212" s="159"/>
      <x:c r="AW212" s="159"/>
      <x:c r="AX212" s="159"/>
      <x:c r="AY212" s="159"/>
      <x:c r="AZ212" s="159"/>
    </x:row>
    <x:row r="213">
      <x:c r="A213" s="159"/>
      <x:c r="B213" s="159"/>
      <x:c r="C213" s="159"/>
      <x:c r="D213" s="159"/>
      <x:c r="E213" s="159"/>
      <x:c r="F213" s="159"/>
      <x:c r="G213" s="159"/>
      <x:c r="H213" s="159"/>
      <x:c r="I213" s="159"/>
      <x:c r="J213" s="159"/>
      <x:c r="K213" s="159"/>
      <x:c r="L213" s="159"/>
      <x:c r="M213" s="159"/>
      <x:c r="N213" s="159"/>
      <x:c r="O213" s="159"/>
      <x:c r="P213" s="159"/>
      <x:c r="Q213" s="159"/>
      <x:c r="R213" s="159"/>
      <x:c r="S213" s="159"/>
      <x:c r="T213" s="159"/>
      <x:c r="U213" s="159"/>
      <x:c r="V213" s="159"/>
      <x:c r="W213" s="159"/>
      <x:c r="X213" s="159"/>
      <x:c r="Y213" s="159"/>
      <x:c r="Z213" s="159"/>
      <x:c r="AA213" s="159"/>
      <x:c r="AB213" s="159"/>
      <x:c r="AC213" s="159"/>
      <x:c r="AD213" s="159"/>
      <x:c r="AE213" s="159"/>
      <x:c r="AF213" s="159"/>
      <x:c r="AG213" s="159"/>
      <x:c r="AH213" s="159"/>
      <x:c r="AI213" s="159"/>
      <x:c r="AJ213" s="159"/>
      <x:c r="AK213" s="159"/>
      <x:c r="AL213" s="159"/>
      <x:c r="AM213" s="159"/>
      <x:c r="AN213" s="159"/>
      <x:c r="AO213" s="159"/>
      <x:c r="AP213" s="159"/>
      <x:c r="AQ213" s="159"/>
      <x:c r="AR213" s="159"/>
      <x:c r="AS213" s="159"/>
      <x:c r="AT213" s="159"/>
      <x:c r="AU213" s="159"/>
      <x:c r="AV213" s="159"/>
      <x:c r="AW213" s="159"/>
      <x:c r="AX213" s="159"/>
      <x:c r="AY213" s="159"/>
      <x:c r="AZ213" s="159"/>
    </x:row>
    <x:row r="214">
      <x:c r="A214" s="159"/>
      <x:c r="B214" s="159"/>
      <x:c r="C214" s="159"/>
      <x:c r="D214" s="159"/>
      <x:c r="E214" s="159"/>
      <x:c r="F214" s="159"/>
      <x:c r="G214" s="159"/>
      <x:c r="H214" s="159"/>
      <x:c r="I214" s="159"/>
      <x:c r="J214" s="159"/>
      <x:c r="K214" s="159"/>
      <x:c r="L214" s="159"/>
      <x:c r="M214" s="159"/>
      <x:c r="N214" s="159"/>
      <x:c r="O214" s="159"/>
      <x:c r="P214" s="159"/>
      <x:c r="Q214" s="159"/>
      <x:c r="R214" s="159"/>
      <x:c r="S214" s="159"/>
      <x:c r="T214" s="159"/>
      <x:c r="U214" s="159"/>
      <x:c r="V214" s="159"/>
      <x:c r="W214" s="159"/>
      <x:c r="X214" s="159"/>
      <x:c r="Y214" s="159"/>
      <x:c r="Z214" s="159"/>
      <x:c r="AA214" s="159"/>
      <x:c r="AB214" s="159"/>
      <x:c r="AC214" s="159"/>
      <x:c r="AD214" s="159"/>
      <x:c r="AE214" s="159"/>
      <x:c r="AF214" s="159"/>
      <x:c r="AG214" s="159"/>
      <x:c r="AH214" s="159"/>
      <x:c r="AI214" s="159"/>
      <x:c r="AJ214" s="159"/>
      <x:c r="AK214" s="159"/>
      <x:c r="AL214" s="159"/>
      <x:c r="AM214" s="159"/>
      <x:c r="AN214" s="159"/>
      <x:c r="AO214" s="159"/>
      <x:c r="AP214" s="159"/>
      <x:c r="AQ214" s="159"/>
      <x:c r="AR214" s="159"/>
      <x:c r="AS214" s="159"/>
      <x:c r="AT214" s="159"/>
      <x:c r="AU214" s="159"/>
      <x:c r="AV214" s="159"/>
      <x:c r="AW214" s="159"/>
      <x:c r="AX214" s="159"/>
      <x:c r="AY214" s="159"/>
      <x:c r="AZ214" s="159"/>
    </x:row>
    <x:row r="215">
      <x:c r="A215" s="159"/>
      <x:c r="B215" s="159"/>
      <x:c r="C215" s="159"/>
      <x:c r="D215" s="159"/>
      <x:c r="E215" s="159"/>
      <x:c r="F215" s="159"/>
      <x:c r="G215" s="159"/>
      <x:c r="H215" s="159"/>
      <x:c r="I215" s="159"/>
      <x:c r="J215" s="159"/>
      <x:c r="K215" s="159"/>
      <x:c r="L215" s="159"/>
      <x:c r="M215" s="159"/>
      <x:c r="N215" s="159"/>
      <x:c r="O215" s="159"/>
      <x:c r="P215" s="159"/>
      <x:c r="Q215" s="159"/>
      <x:c r="R215" s="159"/>
      <x:c r="S215" s="159"/>
      <x:c r="T215" s="159"/>
      <x:c r="U215" s="159"/>
      <x:c r="V215" s="159"/>
      <x:c r="W215" s="159"/>
      <x:c r="X215" s="159"/>
      <x:c r="Y215" s="159"/>
      <x:c r="Z215" s="159"/>
      <x:c r="AA215" s="159"/>
      <x:c r="AB215" s="159"/>
      <x:c r="AC215" s="159"/>
      <x:c r="AD215" s="159"/>
      <x:c r="AE215" s="159"/>
      <x:c r="AF215" s="159"/>
      <x:c r="AG215" s="159"/>
      <x:c r="AH215" s="159"/>
      <x:c r="AI215" s="159"/>
      <x:c r="AJ215" s="159"/>
      <x:c r="AK215" s="159"/>
      <x:c r="AL215" s="159"/>
      <x:c r="AM215" s="159"/>
      <x:c r="AN215" s="159"/>
      <x:c r="AO215" s="159"/>
      <x:c r="AP215" s="159"/>
      <x:c r="AQ215" s="159"/>
      <x:c r="AR215" s="159"/>
      <x:c r="AS215" s="159"/>
      <x:c r="AT215" s="159"/>
      <x:c r="AU215" s="159"/>
      <x:c r="AV215" s="159"/>
      <x:c r="AW215" s="159"/>
      <x:c r="AX215" s="159"/>
      <x:c r="AY215" s="159"/>
      <x:c r="AZ215" s="159"/>
    </x:row>
    <x:row r="216">
      <x:c r="A216" s="159"/>
      <x:c r="B216" s="159"/>
      <x:c r="C216" s="159"/>
      <x:c r="D216" s="159"/>
      <x:c r="E216" s="159"/>
      <x:c r="F216" s="159"/>
      <x:c r="G216" s="159"/>
      <x:c r="H216" s="159"/>
      <x:c r="I216" s="159"/>
      <x:c r="J216" s="159"/>
      <x:c r="K216" s="159"/>
      <x:c r="L216" s="159"/>
      <x:c r="M216" s="159"/>
      <x:c r="N216" s="159"/>
      <x:c r="O216" s="159"/>
      <x:c r="P216" s="159"/>
      <x:c r="Q216" s="159"/>
      <x:c r="R216" s="159"/>
      <x:c r="S216" s="159"/>
      <x:c r="T216" s="159"/>
      <x:c r="U216" s="159"/>
      <x:c r="V216" s="159"/>
      <x:c r="W216" s="159"/>
      <x:c r="X216" s="159"/>
      <x:c r="Y216" s="159"/>
      <x:c r="Z216" s="159"/>
      <x:c r="AA216" s="159"/>
      <x:c r="AB216" s="159"/>
      <x:c r="AC216" s="159"/>
      <x:c r="AD216" s="159"/>
      <x:c r="AE216" s="159"/>
      <x:c r="AF216" s="159"/>
      <x:c r="AG216" s="159"/>
      <x:c r="AH216" s="159"/>
      <x:c r="AI216" s="159"/>
      <x:c r="AJ216" s="159"/>
      <x:c r="AK216" s="159"/>
      <x:c r="AL216" s="159"/>
      <x:c r="AM216" s="159"/>
      <x:c r="AN216" s="159"/>
      <x:c r="AO216" s="159"/>
      <x:c r="AP216" s="159"/>
      <x:c r="AQ216" s="159"/>
      <x:c r="AR216" s="159"/>
      <x:c r="AS216" s="159"/>
      <x:c r="AT216" s="159"/>
      <x:c r="AU216" s="159"/>
      <x:c r="AV216" s="159"/>
      <x:c r="AW216" s="159"/>
      <x:c r="AX216" s="159"/>
      <x:c r="AY216" s="159"/>
      <x:c r="AZ216" s="159"/>
    </x:row>
    <x:row r="217">
      <x:c r="A217" s="159"/>
      <x:c r="B217" s="159"/>
      <x:c r="C217" s="159"/>
      <x:c r="D217" s="159"/>
      <x:c r="E217" s="159"/>
      <x:c r="F217" s="159"/>
      <x:c r="G217" s="159"/>
      <x:c r="H217" s="159"/>
      <x:c r="I217" s="159"/>
      <x:c r="J217" s="159"/>
      <x:c r="K217" s="159"/>
      <x:c r="L217" s="159"/>
      <x:c r="M217" s="159"/>
      <x:c r="N217" s="159"/>
      <x:c r="O217" s="159"/>
      <x:c r="P217" s="159"/>
      <x:c r="Q217" s="159"/>
      <x:c r="R217" s="159"/>
      <x:c r="S217" s="159"/>
      <x:c r="T217" s="159"/>
      <x:c r="U217" s="159"/>
      <x:c r="V217" s="159"/>
      <x:c r="W217" s="159"/>
      <x:c r="X217" s="159"/>
      <x:c r="Y217" s="159"/>
      <x:c r="Z217" s="159"/>
      <x:c r="AA217" s="159"/>
      <x:c r="AB217" s="159"/>
      <x:c r="AC217" s="159"/>
      <x:c r="AD217" s="159"/>
      <x:c r="AE217" s="159"/>
      <x:c r="AF217" s="159"/>
      <x:c r="AG217" s="159"/>
      <x:c r="AH217" s="159"/>
      <x:c r="AI217" s="159"/>
      <x:c r="AJ217" s="159"/>
      <x:c r="AK217" s="159"/>
      <x:c r="AL217" s="159"/>
      <x:c r="AM217" s="159"/>
      <x:c r="AN217" s="159"/>
      <x:c r="AO217" s="159"/>
      <x:c r="AP217" s="159"/>
      <x:c r="AQ217" s="159"/>
      <x:c r="AR217" s="159"/>
      <x:c r="AS217" s="159"/>
      <x:c r="AT217" s="159"/>
      <x:c r="AU217" s="159"/>
      <x:c r="AV217" s="159"/>
      <x:c r="AW217" s="159"/>
      <x:c r="AX217" s="159"/>
      <x:c r="AY217" s="159"/>
      <x:c r="AZ217" s="159"/>
    </x:row>
    <x:row r="218">
      <x:c r="A218" s="159"/>
      <x:c r="B218" s="159"/>
      <x:c r="C218" s="159"/>
      <x:c r="D218" s="159"/>
      <x:c r="E218" s="159"/>
      <x:c r="F218" s="159"/>
      <x:c r="G218" s="159"/>
      <x:c r="H218" s="159"/>
      <x:c r="I218" s="159"/>
      <x:c r="J218" s="159"/>
      <x:c r="K218" s="159"/>
      <x:c r="L218" s="159"/>
      <x:c r="M218" s="159"/>
      <x:c r="N218" s="159"/>
      <x:c r="O218" s="159"/>
      <x:c r="P218" s="159"/>
      <x:c r="Q218" s="159"/>
      <x:c r="R218" s="159"/>
      <x:c r="S218" s="159"/>
      <x:c r="T218" s="159"/>
      <x:c r="U218" s="159"/>
      <x:c r="V218" s="159"/>
      <x:c r="W218" s="159"/>
      <x:c r="X218" s="159"/>
      <x:c r="Y218" s="159"/>
      <x:c r="Z218" s="159"/>
      <x:c r="AA218" s="159"/>
      <x:c r="AB218" s="159"/>
      <x:c r="AC218" s="159"/>
      <x:c r="AD218" s="159"/>
      <x:c r="AE218" s="159"/>
      <x:c r="AF218" s="159"/>
      <x:c r="AG218" s="159"/>
      <x:c r="AH218" s="159"/>
      <x:c r="AI218" s="159"/>
      <x:c r="AJ218" s="159"/>
      <x:c r="AK218" s="159"/>
      <x:c r="AL218" s="159"/>
      <x:c r="AM218" s="159"/>
      <x:c r="AN218" s="159"/>
      <x:c r="AO218" s="159"/>
      <x:c r="AP218" s="159"/>
      <x:c r="AQ218" s="159"/>
      <x:c r="AR218" s="159"/>
      <x:c r="AS218" s="159"/>
      <x:c r="AT218" s="159"/>
      <x:c r="AU218" s="159"/>
      <x:c r="AV218" s="159"/>
      <x:c r="AW218" s="159"/>
      <x:c r="AX218" s="159"/>
      <x:c r="AY218" s="159"/>
      <x:c r="AZ218" s="159"/>
    </x:row>
    <x:row r="219">
      <x:c r="A219" s="159"/>
      <x:c r="B219" s="159"/>
      <x:c r="C219" s="159"/>
      <x:c r="D219" s="159"/>
      <x:c r="E219" s="159"/>
      <x:c r="F219" s="159"/>
      <x:c r="G219" s="159"/>
      <x:c r="H219" s="159"/>
      <x:c r="I219" s="159"/>
      <x:c r="J219" s="159"/>
      <x:c r="K219" s="159"/>
      <x:c r="L219" s="159"/>
      <x:c r="M219" s="159"/>
      <x:c r="N219" s="159"/>
      <x:c r="O219" s="159"/>
      <x:c r="P219" s="159"/>
      <x:c r="Q219" s="159"/>
      <x:c r="R219" s="159"/>
      <x:c r="S219" s="159"/>
      <x:c r="T219" s="159"/>
      <x:c r="U219" s="159"/>
      <x:c r="V219" s="159"/>
      <x:c r="W219" s="159"/>
      <x:c r="X219" s="159"/>
      <x:c r="Y219" s="159"/>
      <x:c r="Z219" s="159"/>
      <x:c r="AA219" s="159"/>
      <x:c r="AB219" s="159"/>
      <x:c r="AC219" s="159"/>
      <x:c r="AD219" s="159"/>
      <x:c r="AE219" s="159"/>
      <x:c r="AF219" s="159"/>
      <x:c r="AG219" s="159"/>
      <x:c r="AH219" s="159"/>
      <x:c r="AI219" s="159"/>
      <x:c r="AJ219" s="159"/>
      <x:c r="AK219" s="159"/>
      <x:c r="AL219" s="159"/>
      <x:c r="AM219" s="159"/>
      <x:c r="AN219" s="159"/>
      <x:c r="AO219" s="159"/>
      <x:c r="AP219" s="159"/>
      <x:c r="AQ219" s="159"/>
      <x:c r="AR219" s="159"/>
      <x:c r="AS219" s="159"/>
      <x:c r="AT219" s="159"/>
      <x:c r="AU219" s="159"/>
      <x:c r="AV219" s="159"/>
      <x:c r="AW219" s="159"/>
      <x:c r="AX219" s="159"/>
      <x:c r="AY219" s="159"/>
      <x:c r="AZ219" s="159"/>
    </x:row>
    <x:row r="220">
      <x:c r="A220" s="159"/>
      <x:c r="B220" s="159"/>
      <x:c r="C220" s="159"/>
      <x:c r="D220" s="159"/>
      <x:c r="E220" s="159"/>
      <x:c r="F220" s="159"/>
      <x:c r="G220" s="159"/>
      <x:c r="H220" s="159"/>
      <x:c r="I220" s="159"/>
      <x:c r="J220" s="159"/>
      <x:c r="K220" s="159"/>
      <x:c r="L220" s="159"/>
      <x:c r="M220" s="159"/>
      <x:c r="N220" s="159"/>
      <x:c r="O220" s="159"/>
      <x:c r="P220" s="159"/>
      <x:c r="Q220" s="159"/>
      <x:c r="R220" s="159"/>
      <x:c r="S220" s="159"/>
      <x:c r="T220" s="159"/>
      <x:c r="U220" s="159"/>
      <x:c r="V220" s="159"/>
      <x:c r="W220" s="159"/>
      <x:c r="X220" s="159"/>
      <x:c r="Y220" s="159"/>
      <x:c r="Z220" s="159"/>
      <x:c r="AA220" s="159"/>
      <x:c r="AB220" s="159"/>
      <x:c r="AC220" s="159"/>
      <x:c r="AD220" s="159"/>
      <x:c r="AE220" s="159"/>
      <x:c r="AF220" s="159"/>
      <x:c r="AG220" s="159"/>
      <x:c r="AH220" s="159"/>
      <x:c r="AI220" s="159"/>
      <x:c r="AJ220" s="159"/>
      <x:c r="AK220" s="159"/>
      <x:c r="AL220" s="159"/>
      <x:c r="AM220" s="159"/>
      <x:c r="AN220" s="159"/>
      <x:c r="AO220" s="159"/>
      <x:c r="AP220" s="159"/>
      <x:c r="AQ220" s="159"/>
      <x:c r="AR220" s="159"/>
      <x:c r="AS220" s="159"/>
      <x:c r="AT220" s="159"/>
      <x:c r="AU220" s="159"/>
      <x:c r="AV220" s="159"/>
      <x:c r="AW220" s="159"/>
      <x:c r="AX220" s="159"/>
      <x:c r="AY220" s="159"/>
      <x:c r="AZ220" s="159"/>
    </x:row>
    <x:row r="221">
      <x:c r="A221" s="159"/>
      <x:c r="B221" s="159"/>
      <x:c r="C221" s="159"/>
      <x:c r="D221" s="159"/>
      <x:c r="E221" s="159"/>
      <x:c r="F221" s="159"/>
      <x:c r="G221" s="159"/>
      <x:c r="H221" s="159"/>
      <x:c r="I221" s="159"/>
      <x:c r="J221" s="159"/>
      <x:c r="K221" s="159"/>
      <x:c r="L221" s="159"/>
      <x:c r="M221" s="159"/>
      <x:c r="N221" s="159"/>
      <x:c r="O221" s="159"/>
      <x:c r="P221" s="159"/>
      <x:c r="Q221" s="159"/>
      <x:c r="R221" s="159"/>
      <x:c r="S221" s="159"/>
      <x:c r="T221" s="159"/>
      <x:c r="U221" s="159"/>
      <x:c r="V221" s="159"/>
      <x:c r="W221" s="159"/>
      <x:c r="X221" s="159"/>
      <x:c r="Y221" s="159"/>
      <x:c r="Z221" s="159"/>
      <x:c r="AA221" s="159"/>
      <x:c r="AB221" s="159"/>
      <x:c r="AC221" s="159"/>
      <x:c r="AD221" s="159"/>
      <x:c r="AE221" s="159"/>
      <x:c r="AF221" s="159"/>
      <x:c r="AG221" s="159"/>
      <x:c r="AH221" s="159"/>
      <x:c r="AI221" s="159"/>
      <x:c r="AJ221" s="159"/>
      <x:c r="AK221" s="159"/>
      <x:c r="AL221" s="159"/>
      <x:c r="AM221" s="159"/>
      <x:c r="AN221" s="159"/>
      <x:c r="AO221" s="159"/>
      <x:c r="AP221" s="159"/>
      <x:c r="AQ221" s="159"/>
      <x:c r="AR221" s="159"/>
      <x:c r="AS221" s="159"/>
      <x:c r="AT221" s="159"/>
      <x:c r="AU221" s="159"/>
      <x:c r="AV221" s="159"/>
      <x:c r="AW221" s="159"/>
      <x:c r="AX221" s="159"/>
      <x:c r="AY221" s="159"/>
      <x:c r="AZ221" s="159"/>
    </x:row>
    <x:row r="222">
      <x:c r="A222" s="159"/>
      <x:c r="B222" s="159"/>
      <x:c r="C222" s="159"/>
      <x:c r="D222" s="159"/>
      <x:c r="E222" s="159"/>
      <x:c r="F222" s="159"/>
      <x:c r="G222" s="159"/>
      <x:c r="H222" s="159"/>
      <x:c r="I222" s="159"/>
      <x:c r="J222" s="159"/>
      <x:c r="K222" s="159"/>
      <x:c r="L222" s="159"/>
      <x:c r="M222" s="159"/>
      <x:c r="N222" s="159"/>
      <x:c r="O222" s="159"/>
      <x:c r="P222" s="159"/>
      <x:c r="Q222" s="159"/>
      <x:c r="R222" s="159"/>
      <x:c r="S222" s="159"/>
      <x:c r="T222" s="159"/>
      <x:c r="U222" s="159"/>
      <x:c r="V222" s="159"/>
      <x:c r="W222" s="159"/>
      <x:c r="X222" s="159"/>
      <x:c r="Y222" s="159"/>
      <x:c r="Z222" s="159"/>
      <x:c r="AA222" s="159"/>
      <x:c r="AB222" s="159"/>
      <x:c r="AC222" s="159"/>
      <x:c r="AD222" s="159"/>
      <x:c r="AE222" s="159"/>
      <x:c r="AF222" s="159"/>
      <x:c r="AG222" s="159"/>
      <x:c r="AH222" s="159"/>
      <x:c r="AI222" s="159"/>
      <x:c r="AJ222" s="159"/>
      <x:c r="AK222" s="159"/>
      <x:c r="AL222" s="159"/>
      <x:c r="AM222" s="159"/>
      <x:c r="AN222" s="159"/>
      <x:c r="AO222" s="159"/>
      <x:c r="AP222" s="159"/>
      <x:c r="AQ222" s="159"/>
      <x:c r="AR222" s="159"/>
      <x:c r="AS222" s="159"/>
      <x:c r="AT222" s="159"/>
      <x:c r="AU222" s="159"/>
      <x:c r="AV222" s="159"/>
      <x:c r="AW222" s="159"/>
      <x:c r="AX222" s="159"/>
      <x:c r="AY222" s="159"/>
      <x:c r="AZ222" s="159"/>
    </x:row>
    <x:row r="223">
      <x:c r="A223" s="159"/>
      <x:c r="B223" s="159"/>
      <x:c r="C223" s="159"/>
      <x:c r="D223" s="159"/>
      <x:c r="E223" s="159"/>
      <x:c r="F223" s="159"/>
      <x:c r="G223" s="159"/>
      <x:c r="H223" s="159"/>
      <x:c r="I223" s="159"/>
      <x:c r="J223" s="159"/>
      <x:c r="K223" s="159"/>
      <x:c r="L223" s="159"/>
      <x:c r="M223" s="159"/>
      <x:c r="N223" s="159"/>
      <x:c r="O223" s="159"/>
      <x:c r="P223" s="159"/>
      <x:c r="Q223" s="159"/>
      <x:c r="R223" s="159"/>
      <x:c r="S223" s="159"/>
      <x:c r="T223" s="159"/>
      <x:c r="U223" s="159"/>
      <x:c r="V223" s="159"/>
      <x:c r="W223" s="159"/>
      <x:c r="X223" s="159"/>
      <x:c r="Y223" s="159"/>
      <x:c r="Z223" s="159"/>
      <x:c r="AA223" s="159"/>
      <x:c r="AB223" s="159"/>
      <x:c r="AC223" s="159"/>
      <x:c r="AD223" s="159"/>
      <x:c r="AE223" s="159"/>
      <x:c r="AF223" s="159"/>
      <x:c r="AG223" s="159"/>
      <x:c r="AH223" s="159"/>
      <x:c r="AI223" s="159"/>
      <x:c r="AJ223" s="159"/>
      <x:c r="AK223" s="159"/>
      <x:c r="AL223" s="159"/>
      <x:c r="AM223" s="159"/>
      <x:c r="AN223" s="159"/>
      <x:c r="AO223" s="159"/>
      <x:c r="AP223" s="159"/>
      <x:c r="AQ223" s="159"/>
      <x:c r="AR223" s="159"/>
      <x:c r="AS223" s="159"/>
      <x:c r="AT223" s="159"/>
      <x:c r="AU223" s="159"/>
      <x:c r="AV223" s="159"/>
      <x:c r="AW223" s="159"/>
      <x:c r="AX223" s="159"/>
      <x:c r="AY223" s="159"/>
      <x:c r="AZ223" s="159"/>
    </x:row>
    <x:row r="224">
      <x:c r="A224" s="159"/>
      <x:c r="B224" s="159"/>
      <x:c r="C224" s="159"/>
      <x:c r="D224" s="159"/>
      <x:c r="E224" s="159"/>
      <x:c r="F224" s="159"/>
      <x:c r="G224" s="159"/>
      <x:c r="H224" s="159"/>
      <x:c r="I224" s="159"/>
      <x:c r="J224" s="159"/>
      <x:c r="K224" s="159"/>
      <x:c r="L224" s="159"/>
      <x:c r="M224" s="159"/>
      <x:c r="N224" s="159"/>
      <x:c r="O224" s="159"/>
      <x:c r="P224" s="159"/>
      <x:c r="Q224" s="159"/>
      <x:c r="R224" s="159"/>
      <x:c r="S224" s="159"/>
      <x:c r="T224" s="159"/>
      <x:c r="U224" s="159"/>
      <x:c r="V224" s="159"/>
      <x:c r="W224" s="159"/>
      <x:c r="X224" s="159"/>
      <x:c r="Y224" s="159"/>
      <x:c r="Z224" s="159"/>
      <x:c r="AA224" s="159"/>
      <x:c r="AB224" s="159"/>
      <x:c r="AC224" s="159"/>
      <x:c r="AD224" s="159"/>
      <x:c r="AE224" s="159"/>
      <x:c r="AF224" s="159"/>
      <x:c r="AG224" s="159"/>
      <x:c r="AH224" s="159"/>
      <x:c r="AI224" s="159"/>
      <x:c r="AJ224" s="159"/>
      <x:c r="AK224" s="159"/>
      <x:c r="AL224" s="159"/>
      <x:c r="AM224" s="159"/>
      <x:c r="AN224" s="159"/>
      <x:c r="AO224" s="159"/>
      <x:c r="AP224" s="159"/>
      <x:c r="AQ224" s="159"/>
      <x:c r="AR224" s="159"/>
      <x:c r="AS224" s="159"/>
      <x:c r="AT224" s="159"/>
      <x:c r="AU224" s="159"/>
      <x:c r="AV224" s="159"/>
      <x:c r="AW224" s="159"/>
      <x:c r="AX224" s="159"/>
      <x:c r="AY224" s="159"/>
      <x:c r="AZ224" s="159"/>
    </x:row>
    <x:row r="225">
      <x:c r="A225" s="159"/>
      <x:c r="B225" s="159"/>
      <x:c r="C225" s="159"/>
      <x:c r="D225" s="159"/>
      <x:c r="E225" s="159"/>
      <x:c r="F225" s="159"/>
      <x:c r="G225" s="159"/>
      <x:c r="H225" s="159"/>
      <x:c r="I225" s="159"/>
      <x:c r="J225" s="159"/>
      <x:c r="K225" s="159"/>
      <x:c r="L225" s="159"/>
      <x:c r="M225" s="159"/>
      <x:c r="N225" s="159"/>
      <x:c r="O225" s="159"/>
      <x:c r="P225" s="159"/>
      <x:c r="Q225" s="159"/>
      <x:c r="R225" s="159"/>
      <x:c r="S225" s="159"/>
      <x:c r="T225" s="159"/>
      <x:c r="U225" s="159"/>
      <x:c r="V225" s="159"/>
      <x:c r="W225" s="159"/>
      <x:c r="X225" s="159"/>
      <x:c r="Y225" s="159"/>
      <x:c r="Z225" s="159"/>
      <x:c r="AA225" s="159"/>
      <x:c r="AB225" s="159"/>
      <x:c r="AC225" s="159"/>
      <x:c r="AD225" s="159"/>
      <x:c r="AE225" s="159"/>
      <x:c r="AF225" s="159"/>
      <x:c r="AG225" s="159"/>
      <x:c r="AH225" s="159"/>
      <x:c r="AI225" s="159"/>
      <x:c r="AJ225" s="159"/>
      <x:c r="AK225" s="159"/>
      <x:c r="AL225" s="159"/>
      <x:c r="AM225" s="159"/>
      <x:c r="AN225" s="159"/>
      <x:c r="AO225" s="159"/>
      <x:c r="AP225" s="159"/>
      <x:c r="AQ225" s="159"/>
      <x:c r="AR225" s="159"/>
      <x:c r="AS225" s="159"/>
      <x:c r="AT225" s="159"/>
      <x:c r="AU225" s="159"/>
      <x:c r="AV225" s="159"/>
      <x:c r="AW225" s="159"/>
      <x:c r="AX225" s="159"/>
      <x:c r="AY225" s="159"/>
      <x:c r="AZ225" s="159"/>
    </x:row>
    <x:row r="226">
      <x:c r="A226" s="159"/>
      <x:c r="B226" s="159"/>
      <x:c r="C226" s="159"/>
      <x:c r="D226" s="159"/>
      <x:c r="E226" s="159"/>
      <x:c r="F226" s="159"/>
      <x:c r="G226" s="159"/>
      <x:c r="H226" s="159"/>
      <x:c r="I226" s="159"/>
      <x:c r="J226" s="159"/>
      <x:c r="K226" s="159"/>
      <x:c r="L226" s="159"/>
      <x:c r="M226" s="159"/>
      <x:c r="N226" s="159"/>
      <x:c r="O226" s="159"/>
      <x:c r="P226" s="159"/>
      <x:c r="Q226" s="159"/>
      <x:c r="R226" s="159"/>
      <x:c r="S226" s="159"/>
      <x:c r="T226" s="159"/>
      <x:c r="U226" s="159"/>
      <x:c r="V226" s="159"/>
      <x:c r="W226" s="159"/>
      <x:c r="X226" s="159"/>
      <x:c r="Y226" s="159"/>
      <x:c r="Z226" s="159"/>
      <x:c r="AA226" s="159"/>
      <x:c r="AB226" s="159"/>
      <x:c r="AC226" s="159"/>
      <x:c r="AD226" s="159"/>
      <x:c r="AE226" s="159"/>
      <x:c r="AF226" s="159"/>
      <x:c r="AG226" s="159"/>
      <x:c r="AH226" s="159"/>
      <x:c r="AI226" s="159"/>
      <x:c r="AJ226" s="159"/>
      <x:c r="AK226" s="159"/>
      <x:c r="AL226" s="159"/>
      <x:c r="AM226" s="159"/>
      <x:c r="AN226" s="159"/>
      <x:c r="AO226" s="159"/>
      <x:c r="AP226" s="159"/>
      <x:c r="AQ226" s="159"/>
      <x:c r="AR226" s="159"/>
      <x:c r="AS226" s="159"/>
      <x:c r="AT226" s="159"/>
      <x:c r="AU226" s="159"/>
      <x:c r="AV226" s="159"/>
      <x:c r="AW226" s="159"/>
      <x:c r="AX226" s="159"/>
      <x:c r="AY226" s="159"/>
      <x:c r="AZ226" s="159"/>
    </x:row>
    <x:row r="227">
      <x:c r="A227" s="159"/>
      <x:c r="B227" s="159"/>
      <x:c r="C227" s="159"/>
      <x:c r="D227" s="159"/>
      <x:c r="E227" s="159"/>
      <x:c r="F227" s="159"/>
      <x:c r="G227" s="159"/>
      <x:c r="H227" s="159"/>
      <x:c r="I227" s="159"/>
      <x:c r="J227" s="159"/>
      <x:c r="K227" s="159"/>
      <x:c r="L227" s="159"/>
      <x:c r="M227" s="159"/>
      <x:c r="N227" s="159"/>
      <x:c r="O227" s="159"/>
      <x:c r="P227" s="159"/>
      <x:c r="Q227" s="159"/>
      <x:c r="R227" s="159"/>
      <x:c r="S227" s="159"/>
      <x:c r="T227" s="159"/>
      <x:c r="U227" s="159"/>
      <x:c r="V227" s="159"/>
      <x:c r="W227" s="159"/>
      <x:c r="X227" s="159"/>
      <x:c r="Y227" s="159"/>
      <x:c r="Z227" s="159"/>
      <x:c r="AA227" s="159"/>
      <x:c r="AB227" s="159"/>
      <x:c r="AC227" s="159"/>
      <x:c r="AD227" s="159"/>
      <x:c r="AE227" s="159"/>
      <x:c r="AF227" s="159"/>
      <x:c r="AG227" s="159"/>
      <x:c r="AH227" s="159"/>
      <x:c r="AI227" s="159"/>
      <x:c r="AJ227" s="159"/>
      <x:c r="AK227" s="159"/>
      <x:c r="AL227" s="159"/>
      <x:c r="AM227" s="159"/>
      <x:c r="AN227" s="159"/>
      <x:c r="AO227" s="159"/>
      <x:c r="AP227" s="159"/>
      <x:c r="AQ227" s="159"/>
      <x:c r="AR227" s="159"/>
      <x:c r="AS227" s="159"/>
      <x:c r="AT227" s="159"/>
      <x:c r="AU227" s="159"/>
      <x:c r="AV227" s="159"/>
      <x:c r="AW227" s="159"/>
      <x:c r="AX227" s="159"/>
      <x:c r="AY227" s="159"/>
      <x:c r="AZ227" s="159"/>
    </x:row>
    <x:row r="228">
      <x:c r="A228" s="159"/>
      <x:c r="B228" s="159"/>
      <x:c r="C228" s="159"/>
      <x:c r="D228" s="159"/>
      <x:c r="E228" s="159"/>
      <x:c r="F228" s="159"/>
      <x:c r="G228" s="159"/>
      <x:c r="H228" s="159"/>
      <x:c r="I228" s="159"/>
      <x:c r="J228" s="159"/>
      <x:c r="K228" s="159"/>
      <x:c r="L228" s="159"/>
      <x:c r="M228" s="159"/>
      <x:c r="N228" s="159"/>
      <x:c r="O228" s="159"/>
      <x:c r="P228" s="159"/>
      <x:c r="Q228" s="159"/>
      <x:c r="R228" s="159"/>
      <x:c r="S228" s="159"/>
      <x:c r="T228" s="159"/>
      <x:c r="U228" s="159"/>
      <x:c r="V228" s="159"/>
      <x:c r="W228" s="159"/>
      <x:c r="X228" s="159"/>
      <x:c r="Y228" s="159"/>
      <x:c r="Z228" s="159"/>
      <x:c r="AA228" s="159"/>
      <x:c r="AB228" s="159"/>
      <x:c r="AC228" s="159"/>
      <x:c r="AD228" s="159"/>
      <x:c r="AE228" s="159"/>
      <x:c r="AF228" s="159"/>
      <x:c r="AG228" s="159"/>
      <x:c r="AH228" s="159"/>
      <x:c r="AI228" s="159"/>
      <x:c r="AJ228" s="159"/>
      <x:c r="AK228" s="159"/>
      <x:c r="AL228" s="159"/>
      <x:c r="AM228" s="159"/>
      <x:c r="AN228" s="159"/>
      <x:c r="AO228" s="159"/>
      <x:c r="AP228" s="159"/>
      <x:c r="AQ228" s="159"/>
      <x:c r="AR228" s="159"/>
      <x:c r="AS228" s="159"/>
      <x:c r="AT228" s="159"/>
      <x:c r="AU228" s="159"/>
      <x:c r="AV228" s="159"/>
      <x:c r="AW228" s="159"/>
      <x:c r="AX228" s="159"/>
      <x:c r="AY228" s="159"/>
      <x:c r="AZ228" s="159"/>
    </x:row>
    <x:row r="229">
      <x:c r="A229" s="159"/>
      <x:c r="B229" s="159"/>
      <x:c r="C229" s="159"/>
      <x:c r="D229" s="159"/>
      <x:c r="E229" s="159"/>
      <x:c r="F229" s="159"/>
      <x:c r="G229" s="159"/>
      <x:c r="H229" s="159"/>
      <x:c r="I229" s="159"/>
      <x:c r="J229" s="159"/>
      <x:c r="K229" s="159"/>
      <x:c r="L229" s="159"/>
      <x:c r="M229" s="159"/>
      <x:c r="N229" s="159"/>
      <x:c r="O229" s="159"/>
      <x:c r="P229" s="159"/>
      <x:c r="Q229" s="159"/>
      <x:c r="R229" s="159"/>
      <x:c r="S229" s="159"/>
      <x:c r="T229" s="159"/>
      <x:c r="U229" s="159"/>
      <x:c r="V229" s="159"/>
      <x:c r="W229" s="159"/>
      <x:c r="X229" s="159"/>
      <x:c r="Y229" s="159"/>
      <x:c r="Z229" s="159"/>
      <x:c r="AA229" s="159"/>
      <x:c r="AB229" s="159"/>
      <x:c r="AC229" s="159"/>
      <x:c r="AD229" s="159"/>
      <x:c r="AE229" s="159"/>
      <x:c r="AF229" s="159"/>
      <x:c r="AG229" s="159"/>
      <x:c r="AH229" s="159"/>
      <x:c r="AI229" s="159"/>
      <x:c r="AJ229" s="159"/>
      <x:c r="AK229" s="159"/>
      <x:c r="AL229" s="159"/>
      <x:c r="AM229" s="159"/>
      <x:c r="AN229" s="159"/>
      <x:c r="AO229" s="159"/>
      <x:c r="AP229" s="159"/>
      <x:c r="AQ229" s="159"/>
      <x:c r="AR229" s="159"/>
      <x:c r="AS229" s="159"/>
      <x:c r="AT229" s="159"/>
      <x:c r="AU229" s="159"/>
      <x:c r="AV229" s="159"/>
      <x:c r="AW229" s="159"/>
      <x:c r="AX229" s="159"/>
      <x:c r="AY229" s="159"/>
      <x:c r="AZ229" s="159"/>
    </x:row>
    <x:row r="230">
      <x:c r="A230" s="159"/>
      <x:c r="B230" s="159"/>
      <x:c r="C230" s="159"/>
      <x:c r="D230" s="159"/>
      <x:c r="E230" s="159"/>
      <x:c r="F230" s="159"/>
      <x:c r="G230" s="159"/>
      <x:c r="H230" s="159"/>
      <x:c r="I230" s="159"/>
      <x:c r="J230" s="159"/>
      <x:c r="K230" s="159"/>
      <x:c r="L230" s="159"/>
      <x:c r="M230" s="159"/>
      <x:c r="N230" s="159"/>
      <x:c r="O230" s="159"/>
      <x:c r="P230" s="159"/>
      <x:c r="Q230" s="159"/>
      <x:c r="R230" s="159"/>
      <x:c r="S230" s="159"/>
      <x:c r="T230" s="159"/>
      <x:c r="U230" s="159"/>
      <x:c r="V230" s="159"/>
      <x:c r="W230" s="159"/>
      <x:c r="X230" s="159"/>
      <x:c r="Y230" s="159"/>
      <x:c r="Z230" s="159"/>
      <x:c r="AA230" s="159"/>
      <x:c r="AB230" s="159"/>
      <x:c r="AC230" s="159"/>
      <x:c r="AD230" s="159"/>
      <x:c r="AE230" s="159"/>
      <x:c r="AF230" s="159"/>
      <x:c r="AG230" s="159"/>
      <x:c r="AH230" s="159"/>
      <x:c r="AI230" s="159"/>
      <x:c r="AJ230" s="159"/>
      <x:c r="AK230" s="159"/>
      <x:c r="AL230" s="159"/>
      <x:c r="AM230" s="159"/>
      <x:c r="AN230" s="159"/>
      <x:c r="AO230" s="159"/>
      <x:c r="AP230" s="159"/>
      <x:c r="AQ230" s="159"/>
      <x:c r="AR230" s="159"/>
      <x:c r="AS230" s="159"/>
      <x:c r="AT230" s="159"/>
      <x:c r="AU230" s="159"/>
      <x:c r="AV230" s="159"/>
      <x:c r="AW230" s="159"/>
      <x:c r="AX230" s="159"/>
      <x:c r="AY230" s="159"/>
      <x:c r="AZ230" s="159"/>
    </x:row>
    <x:row r="231">
      <x:c r="A231" s="159"/>
      <x:c r="B231" s="159"/>
      <x:c r="C231" s="159"/>
      <x:c r="D231" s="159"/>
      <x:c r="E231" s="159"/>
      <x:c r="F231" s="159"/>
      <x:c r="G231" s="159"/>
      <x:c r="H231" s="159"/>
      <x:c r="I231" s="159"/>
      <x:c r="J231" s="159"/>
      <x:c r="K231" s="159"/>
      <x:c r="L231" s="159"/>
      <x:c r="M231" s="159"/>
      <x:c r="N231" s="159"/>
      <x:c r="O231" s="159"/>
      <x:c r="P231" s="159"/>
      <x:c r="Q231" s="159"/>
      <x:c r="R231" s="159"/>
      <x:c r="S231" s="159"/>
      <x:c r="T231" s="159"/>
      <x:c r="U231" s="159"/>
      <x:c r="V231" s="159"/>
      <x:c r="W231" s="159"/>
      <x:c r="X231" s="159"/>
      <x:c r="Y231" s="159"/>
      <x:c r="Z231" s="159"/>
      <x:c r="AA231" s="159"/>
      <x:c r="AB231" s="159"/>
      <x:c r="AC231" s="159"/>
      <x:c r="AD231" s="159"/>
      <x:c r="AE231" s="159"/>
      <x:c r="AF231" s="159"/>
      <x:c r="AG231" s="159"/>
      <x:c r="AH231" s="159"/>
      <x:c r="AI231" s="159"/>
      <x:c r="AJ231" s="159"/>
      <x:c r="AK231" s="159"/>
      <x:c r="AL231" s="159"/>
      <x:c r="AM231" s="159"/>
      <x:c r="AN231" s="159"/>
      <x:c r="AO231" s="159"/>
      <x:c r="AP231" s="159"/>
      <x:c r="AQ231" s="159"/>
      <x:c r="AR231" s="159"/>
      <x:c r="AS231" s="159"/>
      <x:c r="AT231" s="159"/>
      <x:c r="AU231" s="159"/>
      <x:c r="AV231" s="159"/>
      <x:c r="AW231" s="159"/>
      <x:c r="AX231" s="159"/>
      <x:c r="AY231" s="159"/>
      <x:c r="AZ231" s="159"/>
    </x:row>
    <x:row r="232">
      <x:c r="A232" s="159"/>
      <x:c r="B232" s="159"/>
      <x:c r="C232" s="159"/>
      <x:c r="D232" s="159"/>
      <x:c r="E232" s="159"/>
      <x:c r="F232" s="159"/>
      <x:c r="G232" s="159"/>
      <x:c r="H232" s="159"/>
      <x:c r="I232" s="159"/>
      <x:c r="J232" s="159"/>
      <x:c r="K232" s="159"/>
      <x:c r="L232" s="159"/>
      <x:c r="M232" s="159"/>
      <x:c r="N232" s="159"/>
      <x:c r="O232" s="159"/>
      <x:c r="P232" s="159"/>
      <x:c r="Q232" s="159"/>
      <x:c r="R232" s="159"/>
      <x:c r="S232" s="159"/>
      <x:c r="T232" s="159"/>
      <x:c r="U232" s="159"/>
      <x:c r="V232" s="159"/>
      <x:c r="W232" s="159"/>
      <x:c r="X232" s="159"/>
      <x:c r="Y232" s="159"/>
      <x:c r="Z232" s="159"/>
      <x:c r="AA232" s="159"/>
      <x:c r="AB232" s="159"/>
      <x:c r="AC232" s="159"/>
      <x:c r="AD232" s="159"/>
      <x:c r="AE232" s="159"/>
      <x:c r="AF232" s="159"/>
      <x:c r="AG232" s="159"/>
      <x:c r="AH232" s="159"/>
      <x:c r="AI232" s="159"/>
      <x:c r="AJ232" s="159"/>
      <x:c r="AK232" s="159"/>
      <x:c r="AL232" s="159"/>
      <x:c r="AM232" s="159"/>
      <x:c r="AN232" s="159"/>
      <x:c r="AO232" s="159"/>
      <x:c r="AP232" s="159"/>
      <x:c r="AQ232" s="159"/>
      <x:c r="AR232" s="159"/>
      <x:c r="AS232" s="159"/>
      <x:c r="AT232" s="159"/>
      <x:c r="AU232" s="159"/>
      <x:c r="AV232" s="159"/>
      <x:c r="AW232" s="159"/>
      <x:c r="AX232" s="159"/>
      <x:c r="AY232" s="159"/>
      <x:c r="AZ232" s="159"/>
    </x:row>
    <x:row r="233">
      <x:c r="A233" s="159"/>
      <x:c r="B233" s="159"/>
      <x:c r="C233" s="159"/>
      <x:c r="D233" s="159"/>
      <x:c r="E233" s="159"/>
      <x:c r="F233" s="159"/>
      <x:c r="G233" s="159"/>
      <x:c r="H233" s="159"/>
      <x:c r="I233" s="159"/>
      <x:c r="J233" s="159"/>
      <x:c r="K233" s="159"/>
      <x:c r="L233" s="159"/>
      <x:c r="M233" s="159"/>
      <x:c r="N233" s="159"/>
      <x:c r="O233" s="159"/>
      <x:c r="P233" s="159"/>
      <x:c r="Q233" s="159"/>
      <x:c r="R233" s="159"/>
      <x:c r="S233" s="159"/>
      <x:c r="T233" s="159"/>
      <x:c r="U233" s="159"/>
      <x:c r="V233" s="159"/>
      <x:c r="W233" s="159"/>
      <x:c r="X233" s="159"/>
      <x:c r="Y233" s="159"/>
      <x:c r="Z233" s="159"/>
      <x:c r="AA233" s="159"/>
      <x:c r="AB233" s="159"/>
      <x:c r="AC233" s="159"/>
      <x:c r="AD233" s="159"/>
      <x:c r="AE233" s="159"/>
      <x:c r="AF233" s="159"/>
      <x:c r="AG233" s="159"/>
      <x:c r="AH233" s="159"/>
      <x:c r="AI233" s="159"/>
      <x:c r="AJ233" s="159"/>
      <x:c r="AK233" s="159"/>
      <x:c r="AL233" s="159"/>
      <x:c r="AM233" s="159"/>
      <x:c r="AN233" s="159"/>
      <x:c r="AO233" s="159"/>
      <x:c r="AP233" s="159"/>
      <x:c r="AQ233" s="159"/>
      <x:c r="AR233" s="159"/>
      <x:c r="AS233" s="159"/>
      <x:c r="AT233" s="159"/>
      <x:c r="AU233" s="159"/>
      <x:c r="AV233" s="159"/>
      <x:c r="AW233" s="159"/>
      <x:c r="AX233" s="159"/>
      <x:c r="AY233" s="159"/>
      <x:c r="AZ233" s="159"/>
    </x:row>
    <x:row r="234">
      <x:c r="A234" s="159"/>
      <x:c r="B234" s="159"/>
      <x:c r="C234" s="159"/>
      <x:c r="D234" s="159"/>
      <x:c r="E234" s="159"/>
      <x:c r="F234" s="159"/>
      <x:c r="G234" s="159"/>
      <x:c r="H234" s="159"/>
      <x:c r="I234" s="159"/>
      <x:c r="J234" s="159"/>
      <x:c r="K234" s="159"/>
      <x:c r="L234" s="159"/>
      <x:c r="M234" s="159"/>
      <x:c r="N234" s="159"/>
      <x:c r="O234" s="159"/>
      <x:c r="P234" s="159"/>
      <x:c r="Q234" s="159"/>
      <x:c r="R234" s="159"/>
      <x:c r="S234" s="159"/>
      <x:c r="T234" s="159"/>
      <x:c r="U234" s="159"/>
      <x:c r="V234" s="159"/>
      <x:c r="W234" s="159"/>
      <x:c r="X234" s="159"/>
      <x:c r="Y234" s="159"/>
      <x:c r="Z234" s="159"/>
      <x:c r="AA234" s="159"/>
      <x:c r="AB234" s="159"/>
      <x:c r="AC234" s="159"/>
      <x:c r="AD234" s="159"/>
      <x:c r="AE234" s="159"/>
      <x:c r="AF234" s="159"/>
      <x:c r="AG234" s="159"/>
      <x:c r="AH234" s="159"/>
      <x:c r="AI234" s="159"/>
      <x:c r="AJ234" s="159"/>
      <x:c r="AK234" s="159"/>
      <x:c r="AL234" s="159"/>
      <x:c r="AM234" s="159"/>
      <x:c r="AN234" s="159"/>
      <x:c r="AO234" s="159"/>
      <x:c r="AP234" s="159"/>
      <x:c r="AQ234" s="159"/>
      <x:c r="AR234" s="159"/>
      <x:c r="AS234" s="159"/>
      <x:c r="AT234" s="159"/>
      <x:c r="AU234" s="159"/>
      <x:c r="AV234" s="159"/>
      <x:c r="AW234" s="159"/>
      <x:c r="AX234" s="159"/>
      <x:c r="AY234" s="159"/>
      <x:c r="AZ234" s="159"/>
    </x:row>
    <x:row r="235">
      <x:c r="A235" s="159"/>
      <x:c r="B235" s="159"/>
      <x:c r="C235" s="159"/>
      <x:c r="D235" s="159"/>
      <x:c r="E235" s="159"/>
      <x:c r="F235" s="159"/>
      <x:c r="G235" s="159"/>
      <x:c r="H235" s="159"/>
      <x:c r="I235" s="159"/>
      <x:c r="J235" s="159"/>
      <x:c r="K235" s="159"/>
      <x:c r="L235" s="159"/>
      <x:c r="M235" s="159"/>
      <x:c r="N235" s="159"/>
      <x:c r="O235" s="159"/>
      <x:c r="P235" s="159"/>
      <x:c r="Q235" s="159"/>
      <x:c r="R235" s="159"/>
      <x:c r="S235" s="159"/>
      <x:c r="T235" s="159"/>
      <x:c r="U235" s="159"/>
      <x:c r="V235" s="159"/>
      <x:c r="W235" s="159"/>
      <x:c r="X235" s="159"/>
      <x:c r="Y235" s="159"/>
      <x:c r="Z235" s="159"/>
      <x:c r="AA235" s="159"/>
      <x:c r="AB235" s="159"/>
      <x:c r="AC235" s="159"/>
      <x:c r="AD235" s="159"/>
      <x:c r="AE235" s="159"/>
      <x:c r="AF235" s="159"/>
      <x:c r="AG235" s="159"/>
      <x:c r="AH235" s="159"/>
      <x:c r="AI235" s="159"/>
      <x:c r="AJ235" s="159"/>
      <x:c r="AK235" s="159"/>
      <x:c r="AL235" s="159"/>
      <x:c r="AM235" s="159"/>
      <x:c r="AN235" s="159"/>
      <x:c r="AO235" s="159"/>
      <x:c r="AP235" s="159"/>
      <x:c r="AQ235" s="159"/>
      <x:c r="AR235" s="159"/>
      <x:c r="AS235" s="159"/>
      <x:c r="AT235" s="159"/>
      <x:c r="AU235" s="159"/>
      <x:c r="AV235" s="159"/>
      <x:c r="AW235" s="159"/>
      <x:c r="AX235" s="159"/>
      <x:c r="AY235" s="159"/>
      <x:c r="AZ235" s="159"/>
    </x:row>
    <x:row r="236">
      <x:c r="A236" s="159"/>
      <x:c r="B236" s="159"/>
      <x:c r="C236" s="159"/>
      <x:c r="D236" s="159"/>
      <x:c r="E236" s="159"/>
      <x:c r="F236" s="159"/>
      <x:c r="G236" s="159"/>
      <x:c r="H236" s="159"/>
      <x:c r="I236" s="159"/>
      <x:c r="J236" s="159"/>
      <x:c r="K236" s="159"/>
      <x:c r="L236" s="159"/>
      <x:c r="M236" s="159"/>
      <x:c r="N236" s="159"/>
      <x:c r="O236" s="159"/>
      <x:c r="P236" s="159"/>
      <x:c r="Q236" s="159"/>
      <x:c r="R236" s="159"/>
      <x:c r="S236" s="159"/>
      <x:c r="T236" s="159"/>
      <x:c r="U236" s="159"/>
      <x:c r="V236" s="159"/>
      <x:c r="W236" s="159"/>
      <x:c r="X236" s="159"/>
      <x:c r="Y236" s="159"/>
      <x:c r="Z236" s="159"/>
      <x:c r="AA236" s="159"/>
      <x:c r="AB236" s="159"/>
      <x:c r="AC236" s="159"/>
      <x:c r="AD236" s="159"/>
      <x:c r="AE236" s="159"/>
      <x:c r="AF236" s="159"/>
      <x:c r="AG236" s="159"/>
      <x:c r="AH236" s="159"/>
      <x:c r="AI236" s="159"/>
      <x:c r="AJ236" s="159"/>
      <x:c r="AK236" s="159"/>
      <x:c r="AL236" s="159"/>
      <x:c r="AM236" s="159"/>
      <x:c r="AN236" s="159"/>
      <x:c r="AO236" s="159"/>
      <x:c r="AP236" s="159"/>
      <x:c r="AQ236" s="159"/>
      <x:c r="AR236" s="159"/>
      <x:c r="AS236" s="159"/>
      <x:c r="AT236" s="159"/>
      <x:c r="AU236" s="159"/>
      <x:c r="AV236" s="159"/>
      <x:c r="AW236" s="159"/>
      <x:c r="AX236" s="159"/>
      <x:c r="AY236" s="159"/>
      <x:c r="AZ236" s="159"/>
    </x:row>
    <x:row r="237">
      <x:c r="A237" s="159"/>
      <x:c r="B237" s="159"/>
      <x:c r="C237" s="159"/>
      <x:c r="D237" s="159"/>
      <x:c r="E237" s="159"/>
      <x:c r="F237" s="159"/>
      <x:c r="G237" s="159"/>
      <x:c r="H237" s="159"/>
      <x:c r="I237" s="159"/>
      <x:c r="J237" s="159"/>
      <x:c r="K237" s="159"/>
      <x:c r="L237" s="159"/>
      <x:c r="M237" s="159"/>
      <x:c r="N237" s="159"/>
      <x:c r="O237" s="159"/>
      <x:c r="P237" s="159"/>
      <x:c r="Q237" s="159"/>
      <x:c r="R237" s="159"/>
      <x:c r="S237" s="159"/>
      <x:c r="T237" s="159"/>
      <x:c r="U237" s="159"/>
      <x:c r="V237" s="159"/>
      <x:c r="W237" s="159"/>
      <x:c r="X237" s="159"/>
      <x:c r="Y237" s="159"/>
      <x:c r="Z237" s="159"/>
      <x:c r="AA237" s="159"/>
      <x:c r="AB237" s="159"/>
      <x:c r="AC237" s="159"/>
      <x:c r="AD237" s="159"/>
      <x:c r="AE237" s="159"/>
      <x:c r="AF237" s="159"/>
      <x:c r="AG237" s="159"/>
      <x:c r="AH237" s="159"/>
      <x:c r="AI237" s="159"/>
      <x:c r="AJ237" s="159"/>
      <x:c r="AK237" s="159"/>
      <x:c r="AL237" s="159"/>
      <x:c r="AM237" s="159"/>
      <x:c r="AN237" s="159"/>
      <x:c r="AO237" s="159"/>
      <x:c r="AP237" s="159"/>
      <x:c r="AQ237" s="159"/>
      <x:c r="AR237" s="159"/>
      <x:c r="AS237" s="159"/>
      <x:c r="AT237" s="159"/>
      <x:c r="AU237" s="159"/>
      <x:c r="AV237" s="159"/>
      <x:c r="AW237" s="159"/>
      <x:c r="AX237" s="159"/>
      <x:c r="AY237" s="159"/>
      <x:c r="AZ237" s="159"/>
    </x:row>
    <x:row r="238">
      <x:c r="A238" s="159"/>
      <x:c r="B238" s="159"/>
      <x:c r="C238" s="159"/>
      <x:c r="D238" s="159"/>
      <x:c r="E238" s="159"/>
      <x:c r="F238" s="159"/>
      <x:c r="G238" s="159"/>
      <x:c r="H238" s="159"/>
      <x:c r="I238" s="159"/>
      <x:c r="J238" s="159"/>
      <x:c r="K238" s="159"/>
      <x:c r="L238" s="159"/>
      <x:c r="M238" s="159"/>
      <x:c r="N238" s="159"/>
      <x:c r="O238" s="159"/>
      <x:c r="P238" s="159"/>
      <x:c r="Q238" s="159"/>
      <x:c r="R238" s="159"/>
      <x:c r="S238" s="159"/>
      <x:c r="T238" s="159"/>
      <x:c r="U238" s="159"/>
      <x:c r="V238" s="159"/>
      <x:c r="W238" s="159"/>
      <x:c r="X238" s="159"/>
      <x:c r="Y238" s="159"/>
      <x:c r="Z238" s="159"/>
      <x:c r="AA238" s="159"/>
      <x:c r="AB238" s="159"/>
      <x:c r="AC238" s="159"/>
      <x:c r="AD238" s="159"/>
      <x:c r="AE238" s="159"/>
      <x:c r="AF238" s="159"/>
      <x:c r="AG238" s="159"/>
      <x:c r="AH238" s="159"/>
      <x:c r="AI238" s="159"/>
      <x:c r="AJ238" s="159"/>
      <x:c r="AK238" s="159"/>
      <x:c r="AL238" s="159"/>
      <x:c r="AM238" s="159"/>
      <x:c r="AN238" s="159"/>
      <x:c r="AO238" s="159"/>
      <x:c r="AP238" s="159"/>
      <x:c r="AQ238" s="159"/>
      <x:c r="AR238" s="159"/>
      <x:c r="AS238" s="159"/>
      <x:c r="AT238" s="159"/>
      <x:c r="AU238" s="159"/>
      <x:c r="AV238" s="159"/>
      <x:c r="AW238" s="159"/>
      <x:c r="AX238" s="159"/>
      <x:c r="AY238" s="159"/>
      <x:c r="AZ238" s="159"/>
    </x:row>
    <x:row r="239">
      <x:c r="A239" s="159"/>
      <x:c r="B239" s="159"/>
      <x:c r="C239" s="159"/>
      <x:c r="D239" s="159"/>
      <x:c r="E239" s="159"/>
      <x:c r="F239" s="159"/>
      <x:c r="G239" s="159"/>
      <x:c r="H239" s="159"/>
      <x:c r="I239" s="159"/>
      <x:c r="J239" s="159"/>
      <x:c r="K239" s="159"/>
      <x:c r="L239" s="159"/>
      <x:c r="M239" s="159"/>
      <x:c r="N239" s="159"/>
      <x:c r="O239" s="159"/>
      <x:c r="P239" s="159"/>
      <x:c r="Q239" s="159"/>
      <x:c r="R239" s="159"/>
      <x:c r="S239" s="159"/>
      <x:c r="T239" s="159"/>
      <x:c r="U239" s="159"/>
      <x:c r="V239" s="159"/>
      <x:c r="W239" s="159"/>
      <x:c r="X239" s="159"/>
      <x:c r="Y239" s="159"/>
      <x:c r="Z239" s="159"/>
      <x:c r="AA239" s="159"/>
      <x:c r="AB239" s="159"/>
      <x:c r="AC239" s="159"/>
      <x:c r="AD239" s="159"/>
      <x:c r="AE239" s="159"/>
      <x:c r="AF239" s="159"/>
      <x:c r="AG239" s="159"/>
      <x:c r="AH239" s="159"/>
      <x:c r="AI239" s="159"/>
      <x:c r="AJ239" s="159"/>
      <x:c r="AK239" s="159"/>
      <x:c r="AL239" s="159"/>
      <x:c r="AM239" s="159"/>
      <x:c r="AN239" s="159"/>
      <x:c r="AO239" s="159"/>
      <x:c r="AP239" s="159"/>
      <x:c r="AQ239" s="159"/>
      <x:c r="AR239" s="159"/>
      <x:c r="AS239" s="159"/>
      <x:c r="AT239" s="159"/>
      <x:c r="AU239" s="159"/>
      <x:c r="AV239" s="159"/>
      <x:c r="AW239" s="159"/>
      <x:c r="AX239" s="159"/>
      <x:c r="AY239" s="159"/>
      <x:c r="AZ239" s="159"/>
    </x:row>
    <x:row r="240">
      <x:c r="A240" s="159"/>
      <x:c r="B240" s="159"/>
      <x:c r="C240" s="159"/>
      <x:c r="D240" s="159"/>
      <x:c r="E240" s="159"/>
      <x:c r="F240" s="159"/>
      <x:c r="G240" s="159"/>
      <x:c r="H240" s="159"/>
      <x:c r="I240" s="159"/>
      <x:c r="J240" s="159"/>
      <x:c r="K240" s="159"/>
      <x:c r="L240" s="159"/>
      <x:c r="M240" s="159"/>
      <x:c r="N240" s="159"/>
      <x:c r="O240" s="159"/>
      <x:c r="P240" s="159"/>
      <x:c r="Q240" s="159"/>
      <x:c r="R240" s="159"/>
      <x:c r="S240" s="159"/>
      <x:c r="T240" s="159"/>
      <x:c r="U240" s="159"/>
      <x:c r="V240" s="159"/>
      <x:c r="W240" s="159"/>
      <x:c r="X240" s="159"/>
      <x:c r="Y240" s="159"/>
      <x:c r="Z240" s="159"/>
      <x:c r="AA240" s="159"/>
      <x:c r="AB240" s="159"/>
      <x:c r="AC240" s="159"/>
      <x:c r="AD240" s="159"/>
      <x:c r="AE240" s="159"/>
      <x:c r="AF240" s="159"/>
      <x:c r="AG240" s="159"/>
      <x:c r="AH240" s="159"/>
      <x:c r="AI240" s="159"/>
      <x:c r="AJ240" s="159"/>
      <x:c r="AK240" s="159"/>
      <x:c r="AL240" s="159"/>
      <x:c r="AM240" s="159"/>
      <x:c r="AN240" s="159"/>
      <x:c r="AO240" s="159"/>
      <x:c r="AP240" s="159"/>
      <x:c r="AQ240" s="159"/>
      <x:c r="AR240" s="159"/>
      <x:c r="AS240" s="159"/>
      <x:c r="AT240" s="159"/>
      <x:c r="AU240" s="159"/>
      <x:c r="AV240" s="159"/>
      <x:c r="AW240" s="159"/>
      <x:c r="AX240" s="159"/>
      <x:c r="AY240" s="159"/>
      <x:c r="AZ240" s="159"/>
    </x:row>
    <x:row r="241">
      <x:c r="A241" s="159"/>
      <x:c r="B241" s="159"/>
      <x:c r="C241" s="159"/>
      <x:c r="D241" s="159"/>
      <x:c r="E241" s="159"/>
      <x:c r="F241" s="159"/>
      <x:c r="G241" s="159"/>
      <x:c r="H241" s="159"/>
      <x:c r="I241" s="159"/>
      <x:c r="J241" s="159"/>
      <x:c r="K241" s="159"/>
      <x:c r="L241" s="159"/>
      <x:c r="M241" s="159"/>
      <x:c r="N241" s="159"/>
      <x:c r="O241" s="159"/>
      <x:c r="P241" s="159"/>
      <x:c r="Q241" s="159"/>
      <x:c r="R241" s="159"/>
      <x:c r="S241" s="159"/>
      <x:c r="T241" s="159"/>
      <x:c r="U241" s="159"/>
      <x:c r="V241" s="159"/>
      <x:c r="W241" s="159"/>
      <x:c r="X241" s="159"/>
      <x:c r="Y241" s="159"/>
      <x:c r="Z241" s="159"/>
      <x:c r="AA241" s="159"/>
      <x:c r="AB241" s="159"/>
      <x:c r="AC241" s="159"/>
      <x:c r="AD241" s="159"/>
      <x:c r="AE241" s="159"/>
      <x:c r="AF241" s="159"/>
      <x:c r="AG241" s="159"/>
      <x:c r="AH241" s="159"/>
      <x:c r="AI241" s="159"/>
      <x:c r="AJ241" s="159"/>
      <x:c r="AK241" s="159"/>
      <x:c r="AL241" s="159"/>
      <x:c r="AM241" s="159"/>
      <x:c r="AN241" s="159"/>
      <x:c r="AO241" s="159"/>
      <x:c r="AP241" s="159"/>
      <x:c r="AQ241" s="159"/>
      <x:c r="AR241" s="159"/>
      <x:c r="AS241" s="159"/>
      <x:c r="AT241" s="159"/>
      <x:c r="AU241" s="159"/>
      <x:c r="AV241" s="159"/>
      <x:c r="AW241" s="159"/>
      <x:c r="AX241" s="159"/>
      <x:c r="AY241" s="159"/>
      <x:c r="AZ241" s="159"/>
    </x:row>
    <x:row r="242">
      <x:c r="A242" s="159"/>
      <x:c r="B242" s="159"/>
      <x:c r="C242" s="159"/>
      <x:c r="D242" s="159"/>
      <x:c r="E242" s="159"/>
      <x:c r="F242" s="159"/>
      <x:c r="G242" s="159"/>
      <x:c r="H242" s="159"/>
      <x:c r="I242" s="159"/>
      <x:c r="J242" s="159"/>
      <x:c r="K242" s="159"/>
      <x:c r="L242" s="159"/>
      <x:c r="M242" s="159"/>
      <x:c r="N242" s="159"/>
      <x:c r="O242" s="159"/>
      <x:c r="P242" s="159"/>
      <x:c r="Q242" s="159"/>
      <x:c r="R242" s="159"/>
      <x:c r="S242" s="159"/>
      <x:c r="T242" s="159"/>
      <x:c r="U242" s="159"/>
      <x:c r="V242" s="159"/>
      <x:c r="W242" s="159"/>
      <x:c r="X242" s="159"/>
      <x:c r="Y242" s="159"/>
      <x:c r="Z242" s="159"/>
      <x:c r="AA242" s="159"/>
      <x:c r="AB242" s="159"/>
      <x:c r="AC242" s="159"/>
      <x:c r="AD242" s="159"/>
      <x:c r="AE242" s="159"/>
      <x:c r="AF242" s="159"/>
      <x:c r="AG242" s="159"/>
      <x:c r="AH242" s="159"/>
      <x:c r="AI242" s="159"/>
      <x:c r="AJ242" s="159"/>
      <x:c r="AK242" s="159"/>
      <x:c r="AL242" s="159"/>
      <x:c r="AM242" s="159"/>
      <x:c r="AN242" s="159"/>
      <x:c r="AO242" s="159"/>
      <x:c r="AP242" s="159"/>
      <x:c r="AQ242" s="159"/>
      <x:c r="AR242" s="159"/>
      <x:c r="AS242" s="159"/>
      <x:c r="AT242" s="159"/>
      <x:c r="AU242" s="159"/>
      <x:c r="AV242" s="159"/>
      <x:c r="AW242" s="159"/>
      <x:c r="AX242" s="159"/>
      <x:c r="AY242" s="159"/>
      <x:c r="AZ242" s="159"/>
    </x:row>
    <x:row r="243">
      <x:c r="A243" s="159"/>
      <x:c r="B243" s="159"/>
      <x:c r="C243" s="159"/>
      <x:c r="D243" s="159"/>
      <x:c r="E243" s="159"/>
      <x:c r="F243" s="159"/>
      <x:c r="G243" s="159"/>
      <x:c r="H243" s="159"/>
      <x:c r="I243" s="159"/>
      <x:c r="J243" s="159"/>
      <x:c r="K243" s="159"/>
      <x:c r="L243" s="159"/>
      <x:c r="M243" s="159"/>
      <x:c r="N243" s="159"/>
      <x:c r="O243" s="159"/>
      <x:c r="P243" s="159"/>
      <x:c r="Q243" s="159"/>
      <x:c r="R243" s="159"/>
      <x:c r="S243" s="159"/>
      <x:c r="T243" s="159"/>
      <x:c r="U243" s="159"/>
      <x:c r="V243" s="159"/>
      <x:c r="W243" s="159"/>
      <x:c r="X243" s="159"/>
      <x:c r="Y243" s="159"/>
      <x:c r="Z243" s="159"/>
      <x:c r="AA243" s="159"/>
      <x:c r="AB243" s="159"/>
      <x:c r="AC243" s="159"/>
      <x:c r="AD243" s="159"/>
      <x:c r="AE243" s="159"/>
      <x:c r="AF243" s="159"/>
      <x:c r="AG243" s="159"/>
      <x:c r="AH243" s="159"/>
      <x:c r="AI243" s="159"/>
      <x:c r="AJ243" s="159"/>
      <x:c r="AK243" s="159"/>
      <x:c r="AL243" s="159"/>
      <x:c r="AM243" s="159"/>
      <x:c r="AN243" s="159"/>
      <x:c r="AO243" s="159"/>
      <x:c r="AP243" s="159"/>
      <x:c r="AQ243" s="159"/>
      <x:c r="AR243" s="159"/>
      <x:c r="AS243" s="159"/>
      <x:c r="AT243" s="159"/>
      <x:c r="AU243" s="159"/>
      <x:c r="AV243" s="159"/>
      <x:c r="AW243" s="159"/>
      <x:c r="AX243" s="159"/>
      <x:c r="AY243" s="159"/>
      <x:c r="AZ243" s="159"/>
    </x:row>
    <x:row r="244">
      <x:c r="A244" s="159"/>
      <x:c r="B244" s="159"/>
      <x:c r="C244" s="159"/>
      <x:c r="D244" s="159"/>
      <x:c r="E244" s="159"/>
      <x:c r="F244" s="159"/>
      <x:c r="G244" s="159"/>
      <x:c r="H244" s="159"/>
      <x:c r="I244" s="159"/>
      <x:c r="J244" s="159"/>
      <x:c r="K244" s="159"/>
      <x:c r="L244" s="159"/>
      <x:c r="M244" s="159"/>
      <x:c r="N244" s="159"/>
      <x:c r="O244" s="159"/>
      <x:c r="P244" s="159"/>
      <x:c r="Q244" s="159"/>
      <x:c r="R244" s="159"/>
      <x:c r="S244" s="159"/>
      <x:c r="T244" s="159"/>
      <x:c r="U244" s="159"/>
      <x:c r="V244" s="159"/>
      <x:c r="W244" s="159"/>
      <x:c r="X244" s="159"/>
      <x:c r="Y244" s="159"/>
      <x:c r="Z244" s="159"/>
      <x:c r="AA244" s="159"/>
      <x:c r="AB244" s="159"/>
      <x:c r="AC244" s="159"/>
      <x:c r="AD244" s="159"/>
      <x:c r="AE244" s="159"/>
      <x:c r="AF244" s="159"/>
      <x:c r="AG244" s="159"/>
      <x:c r="AH244" s="159"/>
      <x:c r="AI244" s="159"/>
      <x:c r="AJ244" s="159"/>
      <x:c r="AK244" s="159"/>
      <x:c r="AL244" s="159"/>
      <x:c r="AM244" s="159"/>
      <x:c r="AN244" s="159"/>
      <x:c r="AO244" s="159"/>
      <x:c r="AP244" s="159"/>
      <x:c r="AQ244" s="159"/>
      <x:c r="AR244" s="159"/>
      <x:c r="AS244" s="159"/>
      <x:c r="AT244" s="159"/>
      <x:c r="AU244" s="159"/>
      <x:c r="AV244" s="159"/>
      <x:c r="AW244" s="159"/>
      <x:c r="AX244" s="159"/>
      <x:c r="AY244" s="159"/>
      <x:c r="AZ244" s="159"/>
    </x:row>
    <x:row r="245">
      <x:c r="A245" s="159"/>
      <x:c r="B245" s="159"/>
      <x:c r="C245" s="159"/>
      <x:c r="D245" s="159"/>
      <x:c r="E245" s="159"/>
      <x:c r="F245" s="159"/>
      <x:c r="G245" s="159"/>
      <x:c r="H245" s="159"/>
      <x:c r="I245" s="159"/>
      <x:c r="J245" s="159"/>
      <x:c r="K245" s="159"/>
      <x:c r="L245" s="159"/>
      <x:c r="M245" s="159"/>
      <x:c r="N245" s="159"/>
      <x:c r="O245" s="159"/>
      <x:c r="P245" s="159"/>
      <x:c r="Q245" s="159"/>
      <x:c r="R245" s="159"/>
      <x:c r="S245" s="159"/>
      <x:c r="T245" s="159"/>
      <x:c r="U245" s="159"/>
      <x:c r="V245" s="159"/>
      <x:c r="W245" s="159"/>
      <x:c r="X245" s="159"/>
      <x:c r="Y245" s="159"/>
      <x:c r="Z245" s="159"/>
      <x:c r="AA245" s="159"/>
      <x:c r="AB245" s="159"/>
      <x:c r="AC245" s="159"/>
      <x:c r="AD245" s="159"/>
      <x:c r="AE245" s="159"/>
      <x:c r="AF245" s="159"/>
      <x:c r="AG245" s="159"/>
      <x:c r="AH245" s="159"/>
      <x:c r="AI245" s="159"/>
      <x:c r="AJ245" s="159"/>
      <x:c r="AK245" s="159"/>
      <x:c r="AL245" s="159"/>
      <x:c r="AM245" s="159"/>
      <x:c r="AN245" s="159"/>
      <x:c r="AO245" s="159"/>
      <x:c r="AP245" s="159"/>
      <x:c r="AQ245" s="159"/>
      <x:c r="AR245" s="159"/>
      <x:c r="AS245" s="159"/>
      <x:c r="AT245" s="159"/>
      <x:c r="AU245" s="159"/>
      <x:c r="AV245" s="159"/>
      <x:c r="AW245" s="159"/>
      <x:c r="AX245" s="159"/>
      <x:c r="AY245" s="159"/>
      <x:c r="AZ245" s="159"/>
    </x:row>
    <x:row r="246">
      <x:c r="A246" s="159"/>
      <x:c r="B246" s="159"/>
      <x:c r="C246" s="159"/>
      <x:c r="D246" s="159"/>
      <x:c r="E246" s="159"/>
      <x:c r="F246" s="159"/>
      <x:c r="G246" s="159"/>
      <x:c r="H246" s="159"/>
      <x:c r="I246" s="159"/>
      <x:c r="J246" s="159"/>
      <x:c r="K246" s="159"/>
      <x:c r="L246" s="159"/>
      <x:c r="M246" s="159"/>
      <x:c r="N246" s="159"/>
      <x:c r="O246" s="159"/>
      <x:c r="P246" s="159"/>
      <x:c r="Q246" s="159"/>
      <x:c r="R246" s="159"/>
      <x:c r="S246" s="159"/>
      <x:c r="T246" s="159"/>
      <x:c r="U246" s="159"/>
      <x:c r="V246" s="159"/>
      <x:c r="W246" s="159"/>
      <x:c r="X246" s="159"/>
      <x:c r="Y246" s="159"/>
      <x:c r="Z246" s="159"/>
      <x:c r="AA246" s="159"/>
      <x:c r="AB246" s="159"/>
      <x:c r="AC246" s="159"/>
      <x:c r="AD246" s="159"/>
      <x:c r="AE246" s="159"/>
      <x:c r="AF246" s="159"/>
      <x:c r="AG246" s="159"/>
      <x:c r="AH246" s="159"/>
      <x:c r="AI246" s="159"/>
      <x:c r="AJ246" s="159"/>
      <x:c r="AK246" s="159"/>
      <x:c r="AL246" s="159"/>
      <x:c r="AM246" s="159"/>
      <x:c r="AN246" s="159"/>
      <x:c r="AO246" s="159"/>
      <x:c r="AP246" s="159"/>
      <x:c r="AQ246" s="159"/>
      <x:c r="AR246" s="159"/>
      <x:c r="AS246" s="159"/>
      <x:c r="AT246" s="159"/>
      <x:c r="AU246" s="159"/>
      <x:c r="AV246" s="159"/>
      <x:c r="AW246" s="159"/>
      <x:c r="AX246" s="159"/>
      <x:c r="AY246" s="159"/>
      <x:c r="AZ246" s="159"/>
    </x:row>
    <x:row r="247">
      <x:c r="A247" s="159"/>
      <x:c r="B247" s="159"/>
      <x:c r="C247" s="159"/>
      <x:c r="D247" s="159"/>
      <x:c r="E247" s="159"/>
      <x:c r="F247" s="159"/>
      <x:c r="G247" s="159"/>
      <x:c r="H247" s="159"/>
      <x:c r="I247" s="159"/>
      <x:c r="J247" s="159"/>
      <x:c r="K247" s="159"/>
      <x:c r="L247" s="159"/>
      <x:c r="M247" s="159"/>
      <x:c r="N247" s="159"/>
      <x:c r="O247" s="159"/>
      <x:c r="P247" s="159"/>
      <x:c r="Q247" s="159"/>
      <x:c r="R247" s="159"/>
      <x:c r="S247" s="159"/>
      <x:c r="T247" s="159"/>
      <x:c r="U247" s="159"/>
      <x:c r="V247" s="159"/>
      <x:c r="W247" s="159"/>
      <x:c r="X247" s="159"/>
      <x:c r="Y247" s="159"/>
      <x:c r="Z247" s="159"/>
      <x:c r="AA247" s="159"/>
      <x:c r="AB247" s="159"/>
      <x:c r="AC247" s="159"/>
      <x:c r="AD247" s="159"/>
      <x:c r="AE247" s="159"/>
      <x:c r="AF247" s="159"/>
      <x:c r="AG247" s="159"/>
      <x:c r="AH247" s="159"/>
      <x:c r="AI247" s="159"/>
      <x:c r="AJ247" s="159"/>
      <x:c r="AK247" s="159"/>
      <x:c r="AL247" s="159"/>
      <x:c r="AM247" s="159"/>
      <x:c r="AN247" s="159"/>
      <x:c r="AO247" s="159"/>
      <x:c r="AP247" s="159"/>
      <x:c r="AQ247" s="159"/>
      <x:c r="AR247" s="159"/>
      <x:c r="AS247" s="159"/>
      <x:c r="AT247" s="159"/>
      <x:c r="AU247" s="159"/>
      <x:c r="AV247" s="159"/>
      <x:c r="AW247" s="159"/>
      <x:c r="AX247" s="159"/>
      <x:c r="AY247" s="159"/>
      <x:c r="AZ247" s="159"/>
    </x:row>
    <x:row r="248">
      <x:c r="A248" s="159"/>
      <x:c r="B248" s="159"/>
      <x:c r="C248" s="159"/>
      <x:c r="D248" s="159"/>
      <x:c r="E248" s="159"/>
      <x:c r="F248" s="159"/>
      <x:c r="G248" s="159"/>
      <x:c r="H248" s="159"/>
      <x:c r="I248" s="159"/>
      <x:c r="J248" s="159"/>
      <x:c r="K248" s="159"/>
      <x:c r="L248" s="159"/>
      <x:c r="M248" s="159"/>
      <x:c r="N248" s="159"/>
      <x:c r="O248" s="159"/>
      <x:c r="P248" s="159"/>
      <x:c r="Q248" s="159"/>
      <x:c r="R248" s="159"/>
      <x:c r="S248" s="159"/>
      <x:c r="T248" s="159"/>
      <x:c r="U248" s="159"/>
      <x:c r="V248" s="159"/>
      <x:c r="W248" s="159"/>
      <x:c r="X248" s="159"/>
      <x:c r="Y248" s="159"/>
      <x:c r="Z248" s="159"/>
      <x:c r="AA248" s="159"/>
      <x:c r="AB248" s="159"/>
      <x:c r="AC248" s="159"/>
      <x:c r="AD248" s="159"/>
      <x:c r="AE248" s="159"/>
      <x:c r="AF248" s="159"/>
      <x:c r="AG248" s="159"/>
      <x:c r="AH248" s="159"/>
      <x:c r="AI248" s="159"/>
      <x:c r="AJ248" s="159"/>
      <x:c r="AK248" s="159"/>
      <x:c r="AL248" s="159"/>
      <x:c r="AM248" s="159"/>
      <x:c r="AN248" s="159"/>
      <x:c r="AO248" s="159"/>
      <x:c r="AP248" s="159"/>
      <x:c r="AQ248" s="159"/>
      <x:c r="AR248" s="159"/>
      <x:c r="AS248" s="159"/>
      <x:c r="AT248" s="159"/>
      <x:c r="AU248" s="159"/>
      <x:c r="AV248" s="159"/>
      <x:c r="AW248" s="159"/>
      <x:c r="AX248" s="159"/>
      <x:c r="AY248" s="159"/>
      <x:c r="AZ248" s="159"/>
    </x:row>
    <x:row r="249">
      <x:c r="A249" s="159"/>
      <x:c r="B249" s="159"/>
      <x:c r="C249" s="159"/>
      <x:c r="D249" s="159"/>
      <x:c r="E249" s="159"/>
      <x:c r="F249" s="159"/>
      <x:c r="G249" s="159"/>
      <x:c r="H249" s="159"/>
      <x:c r="I249" s="159"/>
      <x:c r="J249" s="159"/>
      <x:c r="K249" s="159"/>
      <x:c r="L249" s="159"/>
      <x:c r="M249" s="159"/>
      <x:c r="N249" s="159"/>
      <x:c r="O249" s="159"/>
      <x:c r="P249" s="159"/>
      <x:c r="Q249" s="159"/>
      <x:c r="R249" s="159"/>
      <x:c r="S249" s="159"/>
      <x:c r="T249" s="159"/>
      <x:c r="U249" s="159"/>
      <x:c r="V249" s="159"/>
      <x:c r="W249" s="159"/>
      <x:c r="X249" s="159"/>
      <x:c r="Y249" s="159"/>
      <x:c r="Z249" s="159"/>
      <x:c r="AA249" s="159"/>
      <x:c r="AB249" s="159"/>
      <x:c r="AC249" s="159"/>
      <x:c r="AD249" s="159"/>
      <x:c r="AE249" s="159"/>
      <x:c r="AF249" s="159"/>
      <x:c r="AG249" s="159"/>
      <x:c r="AH249" s="159"/>
      <x:c r="AI249" s="159"/>
      <x:c r="AJ249" s="159"/>
      <x:c r="AK249" s="159"/>
      <x:c r="AL249" s="159"/>
      <x:c r="AM249" s="159"/>
      <x:c r="AN249" s="159"/>
      <x:c r="AO249" s="159"/>
      <x:c r="AP249" s="159"/>
      <x:c r="AQ249" s="159"/>
      <x:c r="AR249" s="159"/>
      <x:c r="AS249" s="159"/>
      <x:c r="AT249" s="159"/>
      <x:c r="AU249" s="159"/>
      <x:c r="AV249" s="159"/>
      <x:c r="AW249" s="159"/>
      <x:c r="AX249" s="159"/>
      <x:c r="AY249" s="159"/>
      <x:c r="AZ249" s="159"/>
    </x:row>
    <x:row r="250">
      <x:c r="A250" s="159"/>
      <x:c r="B250" s="159"/>
      <x:c r="C250" s="159"/>
      <x:c r="D250" s="159"/>
      <x:c r="E250" s="159"/>
      <x:c r="F250" s="159"/>
      <x:c r="G250" s="159"/>
      <x:c r="H250" s="159"/>
      <x:c r="I250" s="159"/>
      <x:c r="J250" s="159"/>
      <x:c r="K250" s="159"/>
      <x:c r="L250" s="159"/>
      <x:c r="M250" s="159"/>
      <x:c r="N250" s="159"/>
      <x:c r="O250" s="159"/>
      <x:c r="P250" s="159"/>
      <x:c r="Q250" s="159"/>
      <x:c r="R250" s="159"/>
      <x:c r="S250" s="159"/>
      <x:c r="T250" s="159"/>
      <x:c r="U250" s="159"/>
      <x:c r="V250" s="159"/>
      <x:c r="W250" s="159"/>
      <x:c r="X250" s="159"/>
      <x:c r="Y250" s="159"/>
      <x:c r="Z250" s="159"/>
      <x:c r="AA250" s="159"/>
      <x:c r="AB250" s="159"/>
      <x:c r="AC250" s="159"/>
      <x:c r="AD250" s="159"/>
      <x:c r="AE250" s="159"/>
      <x:c r="AF250" s="159"/>
      <x:c r="AG250" s="159"/>
      <x:c r="AH250" s="159"/>
      <x:c r="AI250" s="159"/>
      <x:c r="AJ250" s="159"/>
      <x:c r="AK250" s="159"/>
      <x:c r="AL250" s="159"/>
      <x:c r="AM250" s="159"/>
      <x:c r="AN250" s="159"/>
      <x:c r="AO250" s="159"/>
      <x:c r="AP250" s="159"/>
      <x:c r="AQ250" s="159"/>
      <x:c r="AR250" s="159"/>
      <x:c r="AS250" s="159"/>
      <x:c r="AT250" s="159"/>
      <x:c r="AU250" s="159"/>
      <x:c r="AV250" s="159"/>
      <x:c r="AW250" s="159"/>
      <x:c r="AX250" s="159"/>
      <x:c r="AY250" s="159"/>
      <x:c r="AZ250" s="159"/>
    </x:row>
    <x:row r="251">
      <x:c r="A251" s="159"/>
      <x:c r="B251" s="159"/>
      <x:c r="C251" s="159"/>
      <x:c r="D251" s="159"/>
      <x:c r="E251" s="159"/>
      <x:c r="F251" s="159"/>
      <x:c r="G251" s="159"/>
      <x:c r="H251" s="159"/>
      <x:c r="I251" s="159"/>
      <x:c r="J251" s="159"/>
      <x:c r="K251" s="159"/>
      <x:c r="L251" s="159"/>
      <x:c r="M251" s="159"/>
      <x:c r="N251" s="159"/>
      <x:c r="O251" s="159"/>
      <x:c r="P251" s="159"/>
      <x:c r="Q251" s="159"/>
      <x:c r="R251" s="159"/>
      <x:c r="S251" s="159"/>
      <x:c r="T251" s="159"/>
      <x:c r="U251" s="159"/>
      <x:c r="V251" s="159"/>
      <x:c r="W251" s="159"/>
      <x:c r="X251" s="159"/>
      <x:c r="Y251" s="159"/>
      <x:c r="Z251" s="159"/>
      <x:c r="AA251" s="159"/>
      <x:c r="AB251" s="159"/>
      <x:c r="AC251" s="159"/>
      <x:c r="AD251" s="159"/>
      <x:c r="AE251" s="159"/>
      <x:c r="AF251" s="159"/>
      <x:c r="AG251" s="159"/>
      <x:c r="AH251" s="159"/>
      <x:c r="AI251" s="159"/>
      <x:c r="AJ251" s="159"/>
      <x:c r="AK251" s="159"/>
      <x:c r="AL251" s="159"/>
      <x:c r="AM251" s="159"/>
      <x:c r="AN251" s="159"/>
      <x:c r="AO251" s="159"/>
      <x:c r="AP251" s="159"/>
      <x:c r="AQ251" s="159"/>
      <x:c r="AR251" s="159"/>
      <x:c r="AS251" s="159"/>
      <x:c r="AT251" s="159"/>
      <x:c r="AU251" s="159"/>
      <x:c r="AV251" s="159"/>
      <x:c r="AW251" s="159"/>
      <x:c r="AX251" s="159"/>
      <x:c r="AY251" s="159"/>
      <x:c r="AZ251" s="159"/>
    </x:row>
    <x:row r="252">
      <x:c r="A252" s="159"/>
      <x:c r="B252" s="159"/>
      <x:c r="C252" s="159"/>
      <x:c r="D252" s="159"/>
      <x:c r="E252" s="159"/>
      <x:c r="F252" s="159"/>
      <x:c r="G252" s="159"/>
      <x:c r="H252" s="159"/>
      <x:c r="I252" s="159"/>
      <x:c r="J252" s="159"/>
      <x:c r="K252" s="159"/>
      <x:c r="L252" s="159"/>
      <x:c r="M252" s="159"/>
      <x:c r="N252" s="159"/>
      <x:c r="O252" s="159"/>
      <x:c r="P252" s="159"/>
      <x:c r="Q252" s="159"/>
      <x:c r="R252" s="159"/>
      <x:c r="S252" s="159"/>
      <x:c r="T252" s="159"/>
      <x:c r="U252" s="159"/>
      <x:c r="V252" s="159"/>
      <x:c r="W252" s="159"/>
      <x:c r="X252" s="159"/>
      <x:c r="Y252" s="159"/>
      <x:c r="Z252" s="159"/>
      <x:c r="AA252" s="159"/>
      <x:c r="AB252" s="159"/>
      <x:c r="AC252" s="159"/>
      <x:c r="AD252" s="159"/>
      <x:c r="AE252" s="159"/>
      <x:c r="AF252" s="159"/>
      <x:c r="AG252" s="159"/>
      <x:c r="AH252" s="159"/>
      <x:c r="AI252" s="159"/>
      <x:c r="AJ252" s="159"/>
      <x:c r="AK252" s="159"/>
      <x:c r="AL252" s="159"/>
      <x:c r="AM252" s="159"/>
      <x:c r="AN252" s="159"/>
      <x:c r="AO252" s="159"/>
      <x:c r="AP252" s="159"/>
      <x:c r="AQ252" s="159"/>
      <x:c r="AR252" s="159"/>
      <x:c r="AS252" s="159"/>
      <x:c r="AT252" s="159"/>
      <x:c r="AU252" s="159"/>
      <x:c r="AV252" s="159"/>
      <x:c r="AW252" s="159"/>
      <x:c r="AX252" s="159"/>
      <x:c r="AY252" s="159"/>
      <x:c r="AZ252" s="159"/>
    </x:row>
    <x:row r="253">
      <x:c r="A253" s="159"/>
      <x:c r="B253" s="159"/>
      <x:c r="C253" s="159"/>
      <x:c r="D253" s="159"/>
      <x:c r="E253" s="159"/>
      <x:c r="F253" s="159"/>
      <x:c r="G253" s="159"/>
      <x:c r="H253" s="159"/>
      <x:c r="I253" s="159"/>
      <x:c r="J253" s="159"/>
      <x:c r="K253" s="159"/>
      <x:c r="L253" s="159"/>
      <x:c r="M253" s="159"/>
      <x:c r="N253" s="159"/>
      <x:c r="O253" s="159"/>
      <x:c r="P253" s="159"/>
      <x:c r="Q253" s="159"/>
      <x:c r="R253" s="159"/>
      <x:c r="S253" s="159"/>
      <x:c r="T253" s="159"/>
      <x:c r="U253" s="159"/>
      <x:c r="V253" s="159"/>
      <x:c r="W253" s="159"/>
      <x:c r="X253" s="159"/>
      <x:c r="Y253" s="159"/>
      <x:c r="Z253" s="159"/>
      <x:c r="AA253" s="159"/>
      <x:c r="AB253" s="159"/>
      <x:c r="AC253" s="159"/>
      <x:c r="AD253" s="159"/>
      <x:c r="AE253" s="159"/>
      <x:c r="AF253" s="159"/>
      <x:c r="AG253" s="159"/>
      <x:c r="AH253" s="159"/>
      <x:c r="AI253" s="159"/>
      <x:c r="AJ253" s="159"/>
      <x:c r="AK253" s="159"/>
      <x:c r="AL253" s="159"/>
      <x:c r="AM253" s="159"/>
      <x:c r="AN253" s="159"/>
      <x:c r="AO253" s="159"/>
      <x:c r="AP253" s="159"/>
      <x:c r="AQ253" s="159"/>
      <x:c r="AR253" s="159"/>
      <x:c r="AS253" s="159"/>
      <x:c r="AT253" s="159"/>
      <x:c r="AU253" s="159"/>
      <x:c r="AV253" s="159"/>
      <x:c r="AW253" s="159"/>
      <x:c r="AX253" s="159"/>
      <x:c r="AY253" s="159"/>
      <x:c r="AZ253" s="159"/>
    </x:row>
    <x:row r="254">
      <x:c r="A254" s="159"/>
      <x:c r="B254" s="159"/>
      <x:c r="C254" s="159"/>
      <x:c r="D254" s="159"/>
      <x:c r="E254" s="159"/>
      <x:c r="F254" s="159"/>
      <x:c r="G254" s="159"/>
      <x:c r="H254" s="159"/>
      <x:c r="I254" s="159"/>
      <x:c r="J254" s="159"/>
      <x:c r="K254" s="159"/>
      <x:c r="L254" s="159"/>
      <x:c r="M254" s="159"/>
      <x:c r="N254" s="159"/>
      <x:c r="O254" s="159"/>
      <x:c r="P254" s="159"/>
      <x:c r="Q254" s="159"/>
      <x:c r="R254" s="159"/>
      <x:c r="S254" s="159"/>
      <x:c r="T254" s="159"/>
      <x:c r="U254" s="159"/>
      <x:c r="V254" s="159"/>
      <x:c r="W254" s="159"/>
      <x:c r="X254" s="159"/>
      <x:c r="Y254" s="159"/>
      <x:c r="Z254" s="159"/>
      <x:c r="AA254" s="159"/>
      <x:c r="AB254" s="159"/>
      <x:c r="AC254" s="159"/>
      <x:c r="AD254" s="159"/>
      <x:c r="AE254" s="159"/>
      <x:c r="AF254" s="159"/>
      <x:c r="AG254" s="159"/>
      <x:c r="AH254" s="159"/>
      <x:c r="AI254" s="159"/>
      <x:c r="AJ254" s="159"/>
      <x:c r="AK254" s="159"/>
      <x:c r="AL254" s="159"/>
      <x:c r="AM254" s="159"/>
      <x:c r="AN254" s="159"/>
      <x:c r="AO254" s="159"/>
      <x:c r="AP254" s="159"/>
      <x:c r="AQ254" s="159"/>
      <x:c r="AR254" s="159"/>
      <x:c r="AS254" s="159"/>
      <x:c r="AT254" s="159"/>
      <x:c r="AU254" s="159"/>
      <x:c r="AV254" s="159"/>
      <x:c r="AW254" s="159"/>
      <x:c r="AX254" s="159"/>
      <x:c r="AY254" s="159"/>
      <x:c r="AZ254" s="159"/>
    </x:row>
    <x:row r="255">
      <x:c r="A255" s="159"/>
      <x:c r="B255" s="159"/>
      <x:c r="C255" s="159"/>
      <x:c r="D255" s="159"/>
      <x:c r="E255" s="159"/>
      <x:c r="F255" s="159"/>
      <x:c r="G255" s="159"/>
      <x:c r="H255" s="159"/>
      <x:c r="I255" s="159"/>
      <x:c r="J255" s="159"/>
      <x:c r="K255" s="159"/>
      <x:c r="L255" s="159"/>
      <x:c r="M255" s="159"/>
      <x:c r="N255" s="159"/>
      <x:c r="O255" s="159"/>
      <x:c r="P255" s="159"/>
      <x:c r="Q255" s="159"/>
      <x:c r="R255" s="159"/>
      <x:c r="S255" s="159"/>
      <x:c r="T255" s="159"/>
      <x:c r="U255" s="159"/>
      <x:c r="V255" s="159"/>
      <x:c r="W255" s="159"/>
      <x:c r="X255" s="159"/>
      <x:c r="Y255" s="159"/>
      <x:c r="Z255" s="159"/>
      <x:c r="AA255" s="159"/>
      <x:c r="AB255" s="159"/>
      <x:c r="AC255" s="159"/>
      <x:c r="AD255" s="159"/>
      <x:c r="AE255" s="159"/>
      <x:c r="AF255" s="159"/>
      <x:c r="AG255" s="159"/>
      <x:c r="AH255" s="159"/>
      <x:c r="AI255" s="159"/>
      <x:c r="AJ255" s="159"/>
      <x:c r="AK255" s="159"/>
      <x:c r="AL255" s="159"/>
      <x:c r="AM255" s="159"/>
      <x:c r="AN255" s="159"/>
      <x:c r="AO255" s="159"/>
      <x:c r="AP255" s="159"/>
      <x:c r="AQ255" s="159"/>
      <x:c r="AR255" s="159"/>
      <x:c r="AS255" s="159"/>
      <x:c r="AT255" s="159"/>
      <x:c r="AU255" s="159"/>
      <x:c r="AV255" s="159"/>
      <x:c r="AW255" s="159"/>
      <x:c r="AX255" s="159"/>
      <x:c r="AY255" s="159"/>
      <x:c r="AZ255" s="159"/>
    </x:row>
    <x:row r="256">
      <x:c r="A256" s="159"/>
      <x:c r="B256" s="159"/>
      <x:c r="C256" s="159"/>
      <x:c r="D256" s="159"/>
      <x:c r="E256" s="159"/>
      <x:c r="F256" s="159"/>
      <x:c r="G256" s="159"/>
      <x:c r="H256" s="159"/>
      <x:c r="I256" s="159"/>
      <x:c r="J256" s="159"/>
      <x:c r="K256" s="159"/>
      <x:c r="L256" s="159"/>
      <x:c r="M256" s="159"/>
      <x:c r="N256" s="159"/>
      <x:c r="O256" s="159"/>
      <x:c r="P256" s="159"/>
      <x:c r="Q256" s="159"/>
      <x:c r="R256" s="159"/>
      <x:c r="S256" s="159"/>
      <x:c r="T256" s="159"/>
      <x:c r="U256" s="159"/>
      <x:c r="V256" s="159"/>
      <x:c r="W256" s="159"/>
      <x:c r="X256" s="159"/>
      <x:c r="Y256" s="159"/>
      <x:c r="Z256" s="159"/>
      <x:c r="AA256" s="159"/>
      <x:c r="AB256" s="159"/>
      <x:c r="AC256" s="159"/>
      <x:c r="AD256" s="159"/>
      <x:c r="AE256" s="159"/>
      <x:c r="AF256" s="159"/>
      <x:c r="AG256" s="159"/>
      <x:c r="AH256" s="159"/>
      <x:c r="AI256" s="159"/>
      <x:c r="AJ256" s="159"/>
      <x:c r="AK256" s="159"/>
      <x:c r="AL256" s="159"/>
      <x:c r="AM256" s="159"/>
      <x:c r="AN256" s="159"/>
      <x:c r="AO256" s="159"/>
      <x:c r="AP256" s="159"/>
      <x:c r="AQ256" s="159"/>
      <x:c r="AR256" s="159"/>
      <x:c r="AS256" s="159"/>
      <x:c r="AT256" s="159"/>
      <x:c r="AU256" s="159"/>
      <x:c r="AV256" s="159"/>
      <x:c r="AW256" s="159"/>
      <x:c r="AX256" s="159"/>
      <x:c r="AY256" s="159"/>
      <x:c r="AZ256" s="159"/>
    </x:row>
    <x:row r="257">
      <x:c r="A257" s="159"/>
      <x:c r="B257" s="159"/>
      <x:c r="C257" s="159"/>
      <x:c r="D257" s="159"/>
      <x:c r="E257" s="159"/>
      <x:c r="F257" s="159"/>
      <x:c r="G257" s="159"/>
      <x:c r="H257" s="159"/>
      <x:c r="I257" s="159"/>
      <x:c r="J257" s="159"/>
      <x:c r="K257" s="159"/>
      <x:c r="L257" s="159"/>
      <x:c r="M257" s="159"/>
      <x:c r="N257" s="159"/>
      <x:c r="O257" s="159"/>
      <x:c r="P257" s="159"/>
      <x:c r="Q257" s="159"/>
      <x:c r="R257" s="159"/>
      <x:c r="S257" s="159"/>
      <x:c r="T257" s="159"/>
      <x:c r="U257" s="159"/>
      <x:c r="V257" s="159"/>
      <x:c r="W257" s="159"/>
      <x:c r="X257" s="159"/>
      <x:c r="Y257" s="159"/>
      <x:c r="Z257" s="159"/>
      <x:c r="AA257" s="159"/>
      <x:c r="AB257" s="159"/>
      <x:c r="AC257" s="159"/>
      <x:c r="AD257" s="159"/>
      <x:c r="AE257" s="159"/>
      <x:c r="AF257" s="159"/>
      <x:c r="AG257" s="159"/>
      <x:c r="AH257" s="159"/>
      <x:c r="AI257" s="159"/>
      <x:c r="AJ257" s="159"/>
      <x:c r="AK257" s="159"/>
      <x:c r="AL257" s="159"/>
      <x:c r="AM257" s="159"/>
      <x:c r="AN257" s="159"/>
      <x:c r="AO257" s="159"/>
      <x:c r="AP257" s="159"/>
      <x:c r="AQ257" s="159"/>
      <x:c r="AR257" s="159"/>
      <x:c r="AS257" s="159"/>
      <x:c r="AT257" s="159"/>
      <x:c r="AU257" s="159"/>
      <x:c r="AV257" s="159"/>
      <x:c r="AW257" s="159"/>
      <x:c r="AX257" s="159"/>
      <x:c r="AY257" s="159"/>
      <x:c r="AZ257" s="159"/>
    </x:row>
    <x:row r="258">
      <x:c r="A258" s="159"/>
      <x:c r="B258" s="159"/>
      <x:c r="C258" s="159"/>
      <x:c r="D258" s="159"/>
      <x:c r="E258" s="159"/>
      <x:c r="F258" s="159"/>
      <x:c r="G258" s="159"/>
      <x:c r="H258" s="159"/>
      <x:c r="I258" s="159"/>
      <x:c r="J258" s="159"/>
      <x:c r="K258" s="159"/>
      <x:c r="L258" s="159"/>
      <x:c r="M258" s="159"/>
      <x:c r="N258" s="159"/>
      <x:c r="O258" s="159"/>
      <x:c r="P258" s="159"/>
      <x:c r="Q258" s="159"/>
      <x:c r="R258" s="159"/>
      <x:c r="S258" s="159"/>
      <x:c r="T258" s="159"/>
      <x:c r="U258" s="159"/>
      <x:c r="V258" s="159"/>
      <x:c r="W258" s="159"/>
      <x:c r="X258" s="159"/>
      <x:c r="Y258" s="159"/>
      <x:c r="Z258" s="159"/>
      <x:c r="AA258" s="159"/>
      <x:c r="AB258" s="159"/>
      <x:c r="AC258" s="159"/>
      <x:c r="AD258" s="159"/>
      <x:c r="AE258" s="159"/>
      <x:c r="AF258" s="159"/>
      <x:c r="AG258" s="159"/>
      <x:c r="AH258" s="159"/>
      <x:c r="AI258" s="159"/>
      <x:c r="AJ258" s="159"/>
      <x:c r="AK258" s="159"/>
      <x:c r="AL258" s="159"/>
      <x:c r="AM258" s="159"/>
      <x:c r="AN258" s="159"/>
      <x:c r="AO258" s="159"/>
      <x:c r="AP258" s="159"/>
      <x:c r="AQ258" s="159"/>
      <x:c r="AR258" s="159"/>
      <x:c r="AS258" s="159"/>
      <x:c r="AT258" s="159"/>
      <x:c r="AU258" s="159"/>
      <x:c r="AV258" s="159"/>
      <x:c r="AW258" s="159"/>
      <x:c r="AX258" s="159"/>
      <x:c r="AY258" s="159"/>
      <x:c r="AZ258" s="159"/>
    </x:row>
    <x:row r="259">
      <x:c r="A259" s="159"/>
      <x:c r="B259" s="159"/>
      <x:c r="C259" s="159"/>
      <x:c r="D259" s="159"/>
      <x:c r="E259" s="159"/>
      <x:c r="F259" s="159"/>
      <x:c r="G259" s="159"/>
      <x:c r="H259" s="159"/>
      <x:c r="I259" s="159"/>
      <x:c r="J259" s="159"/>
      <x:c r="K259" s="159"/>
      <x:c r="L259" s="159"/>
      <x:c r="M259" s="159"/>
      <x:c r="N259" s="159"/>
      <x:c r="O259" s="159"/>
      <x:c r="P259" s="159"/>
      <x:c r="Q259" s="159"/>
      <x:c r="R259" s="159"/>
      <x:c r="S259" s="159"/>
      <x:c r="T259" s="159"/>
      <x:c r="U259" s="159"/>
      <x:c r="V259" s="159"/>
      <x:c r="W259" s="159"/>
      <x:c r="X259" s="159"/>
      <x:c r="Y259" s="159"/>
      <x:c r="Z259" s="159"/>
      <x:c r="AA259" s="159"/>
      <x:c r="AB259" s="159"/>
      <x:c r="AC259" s="159"/>
      <x:c r="AD259" s="159"/>
      <x:c r="AE259" s="159"/>
      <x:c r="AF259" s="159"/>
      <x:c r="AG259" s="159"/>
      <x:c r="AH259" s="159"/>
      <x:c r="AI259" s="159"/>
      <x:c r="AJ259" s="159"/>
      <x:c r="AK259" s="159"/>
      <x:c r="AL259" s="159"/>
      <x:c r="AM259" s="159"/>
      <x:c r="AN259" s="159"/>
      <x:c r="AO259" s="159"/>
      <x:c r="AP259" s="159"/>
      <x:c r="AQ259" s="159"/>
      <x:c r="AR259" s="159"/>
      <x:c r="AS259" s="159"/>
      <x:c r="AT259" s="159"/>
      <x:c r="AU259" s="159"/>
      <x:c r="AV259" s="159"/>
      <x:c r="AW259" s="159"/>
      <x:c r="AX259" s="159"/>
      <x:c r="AY259" s="159"/>
      <x:c r="AZ259" s="159"/>
    </x:row>
    <x:row r="260">
      <x:c r="A260" s="159"/>
      <x:c r="B260" s="159"/>
      <x:c r="C260" s="159"/>
      <x:c r="D260" s="159"/>
      <x:c r="E260" s="159"/>
      <x:c r="F260" s="159"/>
      <x:c r="G260" s="159"/>
      <x:c r="H260" s="159"/>
      <x:c r="I260" s="159"/>
      <x:c r="J260" s="159"/>
      <x:c r="K260" s="159"/>
      <x:c r="L260" s="159"/>
      <x:c r="M260" s="159"/>
      <x:c r="N260" s="159"/>
      <x:c r="O260" s="159"/>
      <x:c r="P260" s="159"/>
      <x:c r="Q260" s="159"/>
      <x:c r="R260" s="159"/>
      <x:c r="S260" s="159"/>
      <x:c r="T260" s="159"/>
      <x:c r="U260" s="159"/>
      <x:c r="V260" s="159"/>
      <x:c r="W260" s="159"/>
      <x:c r="X260" s="159"/>
      <x:c r="Y260" s="159"/>
      <x:c r="Z260" s="159"/>
      <x:c r="AA260" s="159"/>
      <x:c r="AB260" s="159"/>
      <x:c r="AC260" s="159"/>
      <x:c r="AD260" s="159"/>
      <x:c r="AE260" s="159"/>
      <x:c r="AF260" s="159"/>
      <x:c r="AG260" s="159"/>
      <x:c r="AH260" s="159"/>
      <x:c r="AI260" s="159"/>
      <x:c r="AJ260" s="159"/>
      <x:c r="AK260" s="159"/>
      <x:c r="AL260" s="159"/>
      <x:c r="AM260" s="159"/>
      <x:c r="AN260" s="159"/>
      <x:c r="AO260" s="159"/>
      <x:c r="AP260" s="159"/>
      <x:c r="AQ260" s="159"/>
      <x:c r="AR260" s="159"/>
      <x:c r="AS260" s="159"/>
      <x:c r="AT260" s="159"/>
      <x:c r="AU260" s="159"/>
      <x:c r="AV260" s="159"/>
      <x:c r="AW260" s="159"/>
      <x:c r="AX260" s="159"/>
      <x:c r="AY260" s="159"/>
      <x:c r="AZ260" s="159"/>
    </x:row>
    <x:row r="261">
      <x:c r="A261" s="159"/>
      <x:c r="B261" s="159"/>
      <x:c r="C261" s="159"/>
      <x:c r="D261" s="159"/>
      <x:c r="E261" s="159"/>
      <x:c r="F261" s="159"/>
      <x:c r="G261" s="159"/>
      <x:c r="H261" s="159"/>
      <x:c r="I261" s="159"/>
      <x:c r="J261" s="159"/>
      <x:c r="K261" s="159"/>
      <x:c r="L261" s="159"/>
      <x:c r="M261" s="159"/>
      <x:c r="N261" s="159"/>
      <x:c r="O261" s="159"/>
      <x:c r="P261" s="159"/>
      <x:c r="Q261" s="159"/>
      <x:c r="R261" s="159"/>
      <x:c r="S261" s="159"/>
      <x:c r="T261" s="159"/>
      <x:c r="U261" s="159"/>
      <x:c r="V261" s="159"/>
      <x:c r="W261" s="159"/>
      <x:c r="X261" s="159"/>
      <x:c r="Y261" s="159"/>
      <x:c r="Z261" s="159"/>
      <x:c r="AA261" s="159"/>
      <x:c r="AB261" s="159"/>
      <x:c r="AC261" s="159"/>
      <x:c r="AD261" s="159"/>
      <x:c r="AE261" s="159"/>
      <x:c r="AF261" s="159"/>
      <x:c r="AG261" s="159"/>
      <x:c r="AH261" s="159"/>
      <x:c r="AI261" s="159"/>
      <x:c r="AJ261" s="159"/>
      <x:c r="AK261" s="159"/>
      <x:c r="AL261" s="159"/>
      <x:c r="AM261" s="159"/>
      <x:c r="AN261" s="159"/>
      <x:c r="AO261" s="159"/>
      <x:c r="AP261" s="159"/>
      <x:c r="AQ261" s="159"/>
      <x:c r="AR261" s="159"/>
      <x:c r="AS261" s="159"/>
      <x:c r="AT261" s="159"/>
      <x:c r="AU261" s="159"/>
      <x:c r="AV261" s="159"/>
      <x:c r="AW261" s="159"/>
      <x:c r="AX261" s="159"/>
      <x:c r="AY261" s="159"/>
      <x:c r="AZ261" s="159"/>
    </x:row>
    <x:row r="262">
      <x:c r="A262" s="159"/>
      <x:c r="B262" s="159"/>
      <x:c r="C262" s="159"/>
      <x:c r="D262" s="159"/>
      <x:c r="E262" s="159"/>
      <x:c r="F262" s="159"/>
      <x:c r="G262" s="159"/>
      <x:c r="H262" s="159"/>
      <x:c r="I262" s="159"/>
      <x:c r="J262" s="159"/>
      <x:c r="K262" s="159"/>
      <x:c r="L262" s="159"/>
      <x:c r="M262" s="159"/>
      <x:c r="N262" s="159"/>
      <x:c r="O262" s="159"/>
      <x:c r="P262" s="159"/>
      <x:c r="Q262" s="159"/>
      <x:c r="R262" s="159"/>
      <x:c r="S262" s="159"/>
      <x:c r="T262" s="159"/>
      <x:c r="U262" s="159"/>
      <x:c r="V262" s="159"/>
      <x:c r="W262" s="159"/>
      <x:c r="X262" s="159"/>
      <x:c r="Y262" s="159"/>
      <x:c r="Z262" s="159"/>
      <x:c r="AA262" s="159"/>
      <x:c r="AB262" s="159"/>
      <x:c r="AC262" s="159"/>
      <x:c r="AD262" s="159"/>
      <x:c r="AE262" s="159"/>
      <x:c r="AF262" s="159"/>
      <x:c r="AG262" s="159"/>
      <x:c r="AH262" s="159"/>
      <x:c r="AI262" s="159"/>
      <x:c r="AJ262" s="159"/>
      <x:c r="AK262" s="159"/>
      <x:c r="AL262" s="159"/>
      <x:c r="AM262" s="159"/>
      <x:c r="AN262" s="159"/>
      <x:c r="AO262" s="159"/>
      <x:c r="AP262" s="159"/>
      <x:c r="AQ262" s="159"/>
      <x:c r="AR262" s="159"/>
      <x:c r="AS262" s="159"/>
      <x:c r="AT262" s="159"/>
      <x:c r="AU262" s="159"/>
      <x:c r="AV262" s="159"/>
      <x:c r="AW262" s="159"/>
      <x:c r="AX262" s="159"/>
      <x:c r="AY262" s="159"/>
      <x:c r="AZ262" s="159"/>
    </x:row>
    <x:row r="263">
      <x:c r="A263" s="159"/>
      <x:c r="B263" s="159"/>
      <x:c r="C263" s="159"/>
      <x:c r="D263" s="159"/>
      <x:c r="E263" s="159"/>
      <x:c r="F263" s="159"/>
      <x:c r="G263" s="159"/>
      <x:c r="H263" s="159"/>
      <x:c r="I263" s="159"/>
      <x:c r="J263" s="159"/>
      <x:c r="K263" s="159"/>
      <x:c r="L263" s="159"/>
      <x:c r="M263" s="159"/>
      <x:c r="N263" s="159"/>
      <x:c r="O263" s="159"/>
      <x:c r="P263" s="159"/>
      <x:c r="Q263" s="159"/>
      <x:c r="R263" s="159"/>
      <x:c r="S263" s="159"/>
      <x:c r="T263" s="159"/>
      <x:c r="U263" s="159"/>
      <x:c r="V263" s="159"/>
      <x:c r="W263" s="159"/>
      <x:c r="X263" s="159"/>
      <x:c r="Y263" s="159"/>
      <x:c r="Z263" s="159"/>
      <x:c r="AA263" s="159"/>
      <x:c r="AB263" s="159"/>
      <x:c r="AC263" s="159"/>
      <x:c r="AD263" s="159"/>
      <x:c r="AE263" s="159"/>
      <x:c r="AF263" s="159"/>
      <x:c r="AG263" s="159"/>
      <x:c r="AH263" s="159"/>
      <x:c r="AI263" s="159"/>
      <x:c r="AJ263" s="159"/>
      <x:c r="AK263" s="159"/>
      <x:c r="AL263" s="159"/>
      <x:c r="AM263" s="159"/>
      <x:c r="AN263" s="159"/>
      <x:c r="AO263" s="159"/>
      <x:c r="AP263" s="159"/>
      <x:c r="AQ263" s="159"/>
      <x:c r="AR263" s="159"/>
      <x:c r="AS263" s="159"/>
      <x:c r="AT263" s="159"/>
      <x:c r="AU263" s="159"/>
      <x:c r="AV263" s="159"/>
      <x:c r="AW263" s="159"/>
      <x:c r="AX263" s="159"/>
      <x:c r="AY263" s="159"/>
      <x:c r="AZ263" s="159"/>
    </x:row>
    <x:row r="264">
      <x:c r="A264" s="159"/>
      <x:c r="B264" s="159"/>
      <x:c r="C264" s="159"/>
      <x:c r="D264" s="159"/>
      <x:c r="E264" s="159"/>
      <x:c r="F264" s="159"/>
      <x:c r="G264" s="159"/>
      <x:c r="H264" s="159"/>
      <x:c r="I264" s="159"/>
      <x:c r="J264" s="159"/>
      <x:c r="K264" s="159"/>
      <x:c r="L264" s="159"/>
      <x:c r="M264" s="159"/>
      <x:c r="N264" s="159"/>
      <x:c r="O264" s="159"/>
      <x:c r="P264" s="159"/>
      <x:c r="Q264" s="159"/>
      <x:c r="R264" s="159"/>
      <x:c r="S264" s="159"/>
      <x:c r="T264" s="159"/>
      <x:c r="U264" s="159"/>
      <x:c r="V264" s="159"/>
      <x:c r="W264" s="159"/>
      <x:c r="X264" s="159"/>
      <x:c r="Y264" s="159"/>
      <x:c r="Z264" s="159"/>
      <x:c r="AA264" s="159"/>
      <x:c r="AB264" s="159"/>
      <x:c r="AC264" s="159"/>
      <x:c r="AD264" s="159"/>
      <x:c r="AE264" s="159"/>
      <x:c r="AF264" s="159"/>
      <x:c r="AG264" s="159"/>
      <x:c r="AH264" s="159"/>
      <x:c r="AI264" s="159"/>
      <x:c r="AJ264" s="159"/>
      <x:c r="AK264" s="159"/>
      <x:c r="AL264" s="159"/>
      <x:c r="AM264" s="159"/>
      <x:c r="AN264" s="159"/>
      <x:c r="AO264" s="159"/>
      <x:c r="AP264" s="159"/>
      <x:c r="AQ264" s="159"/>
      <x:c r="AR264" s="159"/>
      <x:c r="AS264" s="159"/>
      <x:c r="AT264" s="159"/>
      <x:c r="AU264" s="159"/>
      <x:c r="AV264" s="159"/>
      <x:c r="AW264" s="159"/>
      <x:c r="AX264" s="159"/>
      <x:c r="AY264" s="159"/>
      <x:c r="AZ264" s="159"/>
    </x:row>
    <x:row r="265">
      <x:c r="A265" s="159"/>
      <x:c r="B265" s="159"/>
      <x:c r="C265" s="159"/>
      <x:c r="D265" s="159"/>
      <x:c r="E265" s="159"/>
      <x:c r="F265" s="159"/>
      <x:c r="G265" s="159"/>
      <x:c r="H265" s="159"/>
      <x:c r="I265" s="159"/>
      <x:c r="J265" s="159"/>
      <x:c r="K265" s="159"/>
      <x:c r="L265" s="159"/>
      <x:c r="M265" s="159"/>
      <x:c r="N265" s="159"/>
      <x:c r="O265" s="159"/>
      <x:c r="P265" s="159"/>
      <x:c r="Q265" s="159"/>
      <x:c r="R265" s="159"/>
      <x:c r="S265" s="159"/>
      <x:c r="T265" s="159"/>
      <x:c r="U265" s="159"/>
      <x:c r="V265" s="159"/>
      <x:c r="W265" s="159"/>
      <x:c r="X265" s="159"/>
      <x:c r="Y265" s="159"/>
      <x:c r="Z265" s="159"/>
      <x:c r="AA265" s="159"/>
      <x:c r="AB265" s="159"/>
      <x:c r="AC265" s="159"/>
      <x:c r="AD265" s="159"/>
      <x:c r="AE265" s="159"/>
      <x:c r="AF265" s="159"/>
      <x:c r="AG265" s="159"/>
      <x:c r="AH265" s="159"/>
      <x:c r="AI265" s="159"/>
      <x:c r="AJ265" s="159"/>
      <x:c r="AK265" s="159"/>
      <x:c r="AL265" s="159"/>
      <x:c r="AM265" s="159"/>
      <x:c r="AN265" s="159"/>
      <x:c r="AO265" s="159"/>
      <x:c r="AP265" s="159"/>
      <x:c r="AQ265" s="159"/>
      <x:c r="AR265" s="159"/>
      <x:c r="AS265" s="159"/>
      <x:c r="AT265" s="159"/>
      <x:c r="AU265" s="159"/>
      <x:c r="AV265" s="159"/>
      <x:c r="AW265" s="159"/>
      <x:c r="AX265" s="159"/>
      <x:c r="AY265" s="159"/>
      <x:c r="AZ265" s="159"/>
    </x:row>
    <x:row r="266">
      <x:c r="A266" s="159"/>
      <x:c r="B266" s="159"/>
      <x:c r="C266" s="159"/>
      <x:c r="D266" s="159"/>
      <x:c r="E266" s="159"/>
      <x:c r="F266" s="159"/>
      <x:c r="G266" s="159"/>
      <x:c r="H266" s="159"/>
      <x:c r="I266" s="159"/>
      <x:c r="J266" s="159"/>
      <x:c r="K266" s="159"/>
      <x:c r="L266" s="159"/>
      <x:c r="M266" s="159"/>
      <x:c r="N266" s="159"/>
      <x:c r="O266" s="159"/>
      <x:c r="P266" s="159"/>
      <x:c r="Q266" s="159"/>
      <x:c r="R266" s="159"/>
      <x:c r="S266" s="159"/>
      <x:c r="T266" s="159"/>
      <x:c r="U266" s="159"/>
      <x:c r="V266" s="159"/>
      <x:c r="W266" s="159"/>
      <x:c r="X266" s="159"/>
      <x:c r="Y266" s="159"/>
      <x:c r="Z266" s="159"/>
      <x:c r="AA266" s="159"/>
      <x:c r="AB266" s="159"/>
      <x:c r="AC266" s="159"/>
      <x:c r="AD266" s="159"/>
      <x:c r="AE266" s="159"/>
      <x:c r="AF266" s="159"/>
      <x:c r="AG266" s="159"/>
      <x:c r="AH266" s="159"/>
      <x:c r="AI266" s="159"/>
      <x:c r="AJ266" s="159"/>
      <x:c r="AK266" s="159"/>
      <x:c r="AL266" s="159"/>
      <x:c r="AM266" s="159"/>
      <x:c r="AN266" s="159"/>
      <x:c r="AO266" s="159"/>
      <x:c r="AP266" s="159"/>
      <x:c r="AQ266" s="159"/>
      <x:c r="AR266" s="159"/>
      <x:c r="AS266" s="159"/>
      <x:c r="AT266" s="159"/>
      <x:c r="AU266" s="159"/>
      <x:c r="AV266" s="159"/>
      <x:c r="AW266" s="159"/>
      <x:c r="AX266" s="159"/>
      <x:c r="AY266" s="159"/>
      <x:c r="AZ266" s="159"/>
    </x:row>
    <x:row r="267">
      <x:c r="A267" s="159"/>
      <x:c r="B267" s="159"/>
      <x:c r="C267" s="159"/>
      <x:c r="D267" s="159"/>
      <x:c r="E267" s="159"/>
      <x:c r="F267" s="159"/>
      <x:c r="G267" s="159"/>
      <x:c r="H267" s="159"/>
      <x:c r="I267" s="159"/>
      <x:c r="J267" s="159"/>
      <x:c r="K267" s="159"/>
      <x:c r="L267" s="159"/>
      <x:c r="M267" s="159"/>
      <x:c r="N267" s="159"/>
      <x:c r="O267" s="159"/>
      <x:c r="P267" s="159"/>
      <x:c r="Q267" s="159"/>
      <x:c r="R267" s="159"/>
      <x:c r="S267" s="159"/>
      <x:c r="T267" s="159"/>
      <x:c r="U267" s="159"/>
      <x:c r="V267" s="159"/>
      <x:c r="W267" s="159"/>
      <x:c r="X267" s="159"/>
      <x:c r="Y267" s="159"/>
      <x:c r="Z267" s="159"/>
      <x:c r="AA267" s="159"/>
      <x:c r="AB267" s="159"/>
      <x:c r="AC267" s="159"/>
      <x:c r="AD267" s="159"/>
      <x:c r="AE267" s="159"/>
      <x:c r="AF267" s="159"/>
      <x:c r="AG267" s="159"/>
      <x:c r="AH267" s="159"/>
      <x:c r="AI267" s="159"/>
      <x:c r="AJ267" s="159"/>
      <x:c r="AK267" s="159"/>
      <x:c r="AL267" s="159"/>
      <x:c r="AM267" s="159"/>
      <x:c r="AN267" s="159"/>
      <x:c r="AO267" s="159"/>
      <x:c r="AP267" s="159"/>
      <x:c r="AQ267" s="159"/>
      <x:c r="AR267" s="159"/>
      <x:c r="AS267" s="159"/>
      <x:c r="AT267" s="159"/>
      <x:c r="AU267" s="159"/>
      <x:c r="AV267" s="159"/>
      <x:c r="AW267" s="159"/>
      <x:c r="AX267" s="159"/>
      <x:c r="AY267" s="159"/>
      <x:c r="AZ267" s="159"/>
    </x:row>
    <x:row r="268">
      <x:c r="A268" s="159"/>
      <x:c r="B268" s="159"/>
      <x:c r="C268" s="159"/>
      <x:c r="D268" s="159"/>
      <x:c r="E268" s="159"/>
      <x:c r="F268" s="159"/>
      <x:c r="G268" s="159"/>
      <x:c r="H268" s="159"/>
      <x:c r="I268" s="159"/>
      <x:c r="J268" s="159"/>
      <x:c r="K268" s="159"/>
      <x:c r="L268" s="159"/>
      <x:c r="M268" s="159"/>
      <x:c r="N268" s="159"/>
      <x:c r="O268" s="159"/>
      <x:c r="P268" s="159"/>
      <x:c r="Q268" s="159"/>
      <x:c r="R268" s="159"/>
      <x:c r="S268" s="159"/>
      <x:c r="T268" s="159"/>
      <x:c r="U268" s="159"/>
      <x:c r="V268" s="159"/>
      <x:c r="W268" s="159"/>
      <x:c r="X268" s="159"/>
      <x:c r="Y268" s="159"/>
      <x:c r="Z268" s="159"/>
      <x:c r="AA268" s="159"/>
      <x:c r="AB268" s="159"/>
      <x:c r="AC268" s="159"/>
      <x:c r="AD268" s="159"/>
      <x:c r="AE268" s="159"/>
      <x:c r="AF268" s="159"/>
      <x:c r="AG268" s="159"/>
      <x:c r="AH268" s="159"/>
      <x:c r="AI268" s="159"/>
      <x:c r="AJ268" s="159"/>
      <x:c r="AK268" s="159"/>
      <x:c r="AL268" s="159"/>
      <x:c r="AM268" s="159"/>
      <x:c r="AN268" s="159"/>
      <x:c r="AO268" s="159"/>
      <x:c r="AP268" s="159"/>
      <x:c r="AQ268" s="159"/>
      <x:c r="AR268" s="159"/>
      <x:c r="AS268" s="159"/>
      <x:c r="AT268" s="159"/>
      <x:c r="AU268" s="159"/>
      <x:c r="AV268" s="159"/>
      <x:c r="AW268" s="159"/>
      <x:c r="AX268" s="159"/>
      <x:c r="AY268" s="159"/>
      <x:c r="AZ268" s="159"/>
    </x:row>
    <x:row r="269">
      <x:c r="A269" s="159"/>
      <x:c r="B269" s="159"/>
      <x:c r="C269" s="159"/>
      <x:c r="D269" s="159"/>
      <x:c r="E269" s="159"/>
      <x:c r="F269" s="159"/>
      <x:c r="G269" s="159"/>
      <x:c r="H269" s="159"/>
      <x:c r="I269" s="159"/>
      <x:c r="J269" s="159"/>
      <x:c r="K269" s="159"/>
      <x:c r="L269" s="159"/>
      <x:c r="M269" s="159"/>
      <x:c r="N269" s="159"/>
      <x:c r="O269" s="159"/>
      <x:c r="P269" s="159"/>
      <x:c r="Q269" s="159"/>
      <x:c r="R269" s="159"/>
      <x:c r="S269" s="159"/>
      <x:c r="T269" s="159"/>
      <x:c r="U269" s="159"/>
      <x:c r="V269" s="159"/>
      <x:c r="W269" s="159"/>
      <x:c r="X269" s="159"/>
      <x:c r="Y269" s="159"/>
      <x:c r="Z269" s="159"/>
      <x:c r="AA269" s="159"/>
      <x:c r="AB269" s="159"/>
      <x:c r="AC269" s="159"/>
      <x:c r="AD269" s="159"/>
      <x:c r="AE269" s="159"/>
      <x:c r="AF269" s="159"/>
      <x:c r="AG269" s="159"/>
      <x:c r="AH269" s="159"/>
      <x:c r="AI269" s="159"/>
      <x:c r="AJ269" s="159"/>
      <x:c r="AK269" s="159"/>
      <x:c r="AL269" s="159"/>
      <x:c r="AM269" s="159"/>
      <x:c r="AN269" s="159"/>
      <x:c r="AO269" s="159"/>
      <x:c r="AP269" s="159"/>
      <x:c r="AQ269" s="159"/>
      <x:c r="AR269" s="159"/>
      <x:c r="AS269" s="159"/>
      <x:c r="AT269" s="159"/>
      <x:c r="AU269" s="159"/>
      <x:c r="AV269" s="159"/>
      <x:c r="AW269" s="159"/>
      <x:c r="AX269" s="159"/>
      <x:c r="AY269" s="159"/>
      <x:c r="AZ269" s="159"/>
    </x:row>
    <x:row r="270">
      <x:c r="A270" s="159"/>
      <x:c r="B270" s="159"/>
      <x:c r="C270" s="159"/>
      <x:c r="D270" s="159"/>
      <x:c r="E270" s="159"/>
      <x:c r="F270" s="159"/>
      <x:c r="G270" s="159"/>
      <x:c r="H270" s="159"/>
      <x:c r="I270" s="159"/>
      <x:c r="J270" s="159"/>
      <x:c r="K270" s="159"/>
      <x:c r="L270" s="159"/>
      <x:c r="M270" s="159"/>
      <x:c r="N270" s="159"/>
      <x:c r="O270" s="159"/>
      <x:c r="P270" s="159"/>
      <x:c r="Q270" s="159"/>
      <x:c r="R270" s="159"/>
      <x:c r="S270" s="159"/>
      <x:c r="T270" s="159"/>
      <x:c r="U270" s="159"/>
      <x:c r="V270" s="159"/>
      <x:c r="W270" s="159"/>
      <x:c r="X270" s="159"/>
      <x:c r="Y270" s="159"/>
      <x:c r="Z270" s="159"/>
      <x:c r="AA270" s="159"/>
      <x:c r="AB270" s="159"/>
      <x:c r="AC270" s="159"/>
      <x:c r="AD270" s="159"/>
      <x:c r="AE270" s="159"/>
      <x:c r="AF270" s="159"/>
      <x:c r="AG270" s="159"/>
      <x:c r="AH270" s="159"/>
      <x:c r="AI270" s="159"/>
      <x:c r="AJ270" s="159"/>
      <x:c r="AK270" s="159"/>
      <x:c r="AL270" s="159"/>
      <x:c r="AM270" s="159"/>
      <x:c r="AN270" s="159"/>
      <x:c r="AO270" s="159"/>
      <x:c r="AP270" s="159"/>
      <x:c r="AQ270" s="159"/>
      <x:c r="AR270" s="159"/>
      <x:c r="AS270" s="159"/>
      <x:c r="AT270" s="159"/>
      <x:c r="AU270" s="159"/>
      <x:c r="AV270" s="159"/>
      <x:c r="AW270" s="159"/>
      <x:c r="AX270" s="159"/>
      <x:c r="AY270" s="159"/>
      <x:c r="AZ270" s="159"/>
    </x:row>
    <x:row r="271">
      <x:c r="A271" s="159"/>
      <x:c r="B271" s="159"/>
      <x:c r="C271" s="159"/>
      <x:c r="D271" s="159"/>
      <x:c r="E271" s="159"/>
      <x:c r="F271" s="159"/>
      <x:c r="G271" s="159"/>
      <x:c r="H271" s="159"/>
      <x:c r="I271" s="159"/>
      <x:c r="J271" s="159"/>
      <x:c r="K271" s="159"/>
      <x:c r="L271" s="159"/>
      <x:c r="M271" s="159"/>
      <x:c r="N271" s="159"/>
      <x:c r="O271" s="159"/>
      <x:c r="P271" s="159"/>
      <x:c r="Q271" s="159"/>
      <x:c r="R271" s="159"/>
      <x:c r="S271" s="159"/>
      <x:c r="T271" s="159"/>
      <x:c r="U271" s="159"/>
      <x:c r="V271" s="159"/>
      <x:c r="W271" s="159"/>
      <x:c r="X271" s="159"/>
      <x:c r="Y271" s="159"/>
      <x:c r="Z271" s="159"/>
      <x:c r="AA271" s="159"/>
      <x:c r="AB271" s="159"/>
      <x:c r="AC271" s="159"/>
      <x:c r="AD271" s="159"/>
      <x:c r="AE271" s="159"/>
      <x:c r="AF271" s="159"/>
      <x:c r="AG271" s="159"/>
      <x:c r="AH271" s="159"/>
      <x:c r="AI271" s="159"/>
      <x:c r="AJ271" s="159"/>
      <x:c r="AK271" s="159"/>
      <x:c r="AL271" s="159"/>
      <x:c r="AM271" s="159"/>
      <x:c r="AN271" s="159"/>
      <x:c r="AO271" s="159"/>
      <x:c r="AP271" s="159"/>
      <x:c r="AQ271" s="159"/>
      <x:c r="AR271" s="159"/>
      <x:c r="AS271" s="159"/>
      <x:c r="AT271" s="159"/>
      <x:c r="AU271" s="159"/>
      <x:c r="AV271" s="159"/>
      <x:c r="AW271" s="159"/>
      <x:c r="AX271" s="159"/>
      <x:c r="AY271" s="159"/>
      <x:c r="AZ271" s="159"/>
    </x:row>
    <x:row r="272">
      <x:c r="A272" s="159"/>
      <x:c r="B272" s="159"/>
      <x:c r="C272" s="159"/>
      <x:c r="D272" s="159"/>
      <x:c r="E272" s="159"/>
      <x:c r="F272" s="159"/>
      <x:c r="G272" s="159"/>
      <x:c r="H272" s="159"/>
      <x:c r="I272" s="159"/>
      <x:c r="J272" s="159"/>
      <x:c r="K272" s="159"/>
      <x:c r="L272" s="159"/>
      <x:c r="M272" s="159"/>
      <x:c r="N272" s="159"/>
      <x:c r="O272" s="159"/>
      <x:c r="P272" s="159"/>
      <x:c r="Q272" s="159"/>
      <x:c r="R272" s="159"/>
      <x:c r="S272" s="159"/>
      <x:c r="T272" s="159"/>
      <x:c r="U272" s="159"/>
      <x:c r="V272" s="159"/>
      <x:c r="W272" s="159"/>
      <x:c r="X272" s="159"/>
      <x:c r="Y272" s="159"/>
      <x:c r="Z272" s="159"/>
      <x:c r="AA272" s="159"/>
      <x:c r="AB272" s="159"/>
      <x:c r="AC272" s="159"/>
      <x:c r="AD272" s="159"/>
      <x:c r="AE272" s="159"/>
      <x:c r="AF272" s="159"/>
      <x:c r="AG272" s="159"/>
      <x:c r="AH272" s="159"/>
      <x:c r="AI272" s="159"/>
      <x:c r="AJ272" s="159"/>
      <x:c r="AK272" s="159"/>
      <x:c r="AL272" s="159"/>
      <x:c r="AM272" s="159"/>
      <x:c r="AN272" s="159"/>
      <x:c r="AO272" s="159"/>
      <x:c r="AP272" s="159"/>
      <x:c r="AQ272" s="159"/>
      <x:c r="AR272" s="159"/>
      <x:c r="AS272" s="159"/>
      <x:c r="AT272" s="159"/>
      <x:c r="AU272" s="159"/>
      <x:c r="AV272" s="159"/>
      <x:c r="AW272" s="159"/>
      <x:c r="AX272" s="159"/>
      <x:c r="AY272" s="159"/>
      <x:c r="AZ272" s="159"/>
    </x:row>
    <x:row r="273">
      <x:c r="A273" s="159"/>
      <x:c r="B273" s="159"/>
      <x:c r="C273" s="159"/>
      <x:c r="D273" s="159"/>
      <x:c r="E273" s="159"/>
      <x:c r="F273" s="159"/>
      <x:c r="G273" s="159"/>
      <x:c r="H273" s="159"/>
      <x:c r="I273" s="159"/>
      <x:c r="J273" s="159"/>
      <x:c r="K273" s="159"/>
      <x:c r="L273" s="159"/>
      <x:c r="M273" s="159"/>
      <x:c r="N273" s="159"/>
      <x:c r="O273" s="159"/>
      <x:c r="P273" s="159"/>
      <x:c r="Q273" s="159"/>
      <x:c r="R273" s="159"/>
      <x:c r="S273" s="159"/>
      <x:c r="T273" s="159"/>
      <x:c r="U273" s="159"/>
      <x:c r="V273" s="159"/>
      <x:c r="W273" s="159"/>
      <x:c r="X273" s="159"/>
      <x:c r="Y273" s="159"/>
      <x:c r="Z273" s="159"/>
      <x:c r="AA273" s="159"/>
      <x:c r="AB273" s="159"/>
      <x:c r="AC273" s="159"/>
      <x:c r="AD273" s="159"/>
      <x:c r="AE273" s="159"/>
      <x:c r="AF273" s="159"/>
      <x:c r="AG273" s="159"/>
      <x:c r="AH273" s="159"/>
      <x:c r="AI273" s="159"/>
      <x:c r="AJ273" s="159"/>
      <x:c r="AK273" s="159"/>
      <x:c r="AL273" s="159"/>
      <x:c r="AM273" s="159"/>
      <x:c r="AN273" s="159"/>
      <x:c r="AO273" s="159"/>
      <x:c r="AP273" s="159"/>
      <x:c r="AQ273" s="159"/>
      <x:c r="AR273" s="159"/>
      <x:c r="AS273" s="159"/>
      <x:c r="AT273" s="159"/>
      <x:c r="AU273" s="159"/>
      <x:c r="AV273" s="159"/>
      <x:c r="AW273" s="159"/>
      <x:c r="AX273" s="159"/>
      <x:c r="AY273" s="159"/>
      <x:c r="AZ273" s="159"/>
    </x:row>
    <x:row r="274">
      <x:c r="A274" s="159"/>
      <x:c r="B274" s="159"/>
      <x:c r="C274" s="159"/>
      <x:c r="D274" s="159"/>
      <x:c r="E274" s="159"/>
      <x:c r="F274" s="159"/>
      <x:c r="G274" s="159"/>
      <x:c r="H274" s="159"/>
      <x:c r="I274" s="159"/>
      <x:c r="J274" s="159"/>
      <x:c r="K274" s="159"/>
      <x:c r="L274" s="159"/>
      <x:c r="M274" s="159"/>
      <x:c r="N274" s="159"/>
      <x:c r="O274" s="159"/>
      <x:c r="P274" s="159"/>
      <x:c r="Q274" s="159"/>
      <x:c r="R274" s="159"/>
      <x:c r="S274" s="159"/>
      <x:c r="T274" s="159"/>
      <x:c r="U274" s="159"/>
      <x:c r="V274" s="159"/>
      <x:c r="W274" s="159"/>
      <x:c r="X274" s="159"/>
      <x:c r="Y274" s="159"/>
      <x:c r="Z274" s="159"/>
      <x:c r="AA274" s="159"/>
      <x:c r="AB274" s="159"/>
      <x:c r="AC274" s="159"/>
      <x:c r="AD274" s="159"/>
      <x:c r="AE274" s="159"/>
      <x:c r="AF274" s="159"/>
      <x:c r="AG274" s="159"/>
      <x:c r="AH274" s="159"/>
      <x:c r="AI274" s="159"/>
      <x:c r="AJ274" s="159"/>
      <x:c r="AK274" s="159"/>
      <x:c r="AL274" s="159"/>
      <x:c r="AM274" s="159"/>
      <x:c r="AN274" s="159"/>
      <x:c r="AO274" s="159"/>
      <x:c r="AP274" s="159"/>
      <x:c r="AQ274" s="159"/>
      <x:c r="AR274" s="159"/>
      <x:c r="AS274" s="159"/>
      <x:c r="AT274" s="159"/>
      <x:c r="AU274" s="159"/>
      <x:c r="AV274" s="159"/>
      <x:c r="AW274" s="159"/>
      <x:c r="AX274" s="159"/>
      <x:c r="AY274" s="159"/>
      <x:c r="AZ274" s="159"/>
    </x:row>
    <x:row r="275">
      <x:c r="A275" s="159"/>
      <x:c r="B275" s="159"/>
      <x:c r="C275" s="159"/>
      <x:c r="D275" s="159"/>
      <x:c r="E275" s="159"/>
      <x:c r="F275" s="159"/>
      <x:c r="G275" s="159"/>
      <x:c r="H275" s="159"/>
      <x:c r="I275" s="159"/>
      <x:c r="J275" s="159"/>
      <x:c r="K275" s="159"/>
      <x:c r="L275" s="159"/>
      <x:c r="M275" s="159"/>
      <x:c r="N275" s="159"/>
      <x:c r="O275" s="159"/>
      <x:c r="P275" s="159"/>
      <x:c r="Q275" s="159"/>
      <x:c r="R275" s="159"/>
      <x:c r="S275" s="159"/>
      <x:c r="T275" s="159"/>
      <x:c r="U275" s="159"/>
      <x:c r="V275" s="159"/>
      <x:c r="W275" s="159"/>
      <x:c r="X275" s="159"/>
      <x:c r="Y275" s="159"/>
      <x:c r="Z275" s="159"/>
      <x:c r="AA275" s="159"/>
      <x:c r="AB275" s="159"/>
      <x:c r="AC275" s="159"/>
      <x:c r="AD275" s="159"/>
      <x:c r="AE275" s="159"/>
      <x:c r="AF275" s="159"/>
      <x:c r="AG275" s="159"/>
      <x:c r="AH275" s="159"/>
      <x:c r="AI275" s="159"/>
      <x:c r="AJ275" s="159"/>
      <x:c r="AK275" s="159"/>
      <x:c r="AL275" s="159"/>
      <x:c r="AM275" s="159"/>
      <x:c r="AN275" s="159"/>
      <x:c r="AO275" s="159"/>
      <x:c r="AP275" s="159"/>
      <x:c r="AQ275" s="159"/>
      <x:c r="AR275" s="159"/>
      <x:c r="AS275" s="159"/>
      <x:c r="AT275" s="159"/>
      <x:c r="AU275" s="159"/>
      <x:c r="AV275" s="159"/>
      <x:c r="AW275" s="159"/>
      <x:c r="AX275" s="159"/>
      <x:c r="AY275" s="159"/>
      <x:c r="AZ275" s="159"/>
    </x:row>
    <x:row r="276">
      <x:c r="A276" s="159"/>
      <x:c r="B276" s="159"/>
      <x:c r="C276" s="159"/>
      <x:c r="D276" s="159"/>
      <x:c r="E276" s="159"/>
      <x:c r="F276" s="159"/>
      <x:c r="G276" s="159"/>
      <x:c r="H276" s="159"/>
      <x:c r="I276" s="159"/>
      <x:c r="J276" s="159"/>
      <x:c r="K276" s="159"/>
      <x:c r="L276" s="159"/>
      <x:c r="M276" s="159"/>
      <x:c r="N276" s="159"/>
      <x:c r="O276" s="159"/>
      <x:c r="P276" s="159"/>
      <x:c r="Q276" s="159"/>
      <x:c r="R276" s="159"/>
      <x:c r="S276" s="159"/>
      <x:c r="T276" s="159"/>
      <x:c r="U276" s="159"/>
      <x:c r="V276" s="159"/>
      <x:c r="W276" s="159"/>
      <x:c r="X276" s="159"/>
      <x:c r="Y276" s="159"/>
      <x:c r="Z276" s="159"/>
      <x:c r="AA276" s="159"/>
      <x:c r="AB276" s="159"/>
      <x:c r="AC276" s="159"/>
      <x:c r="AD276" s="159"/>
      <x:c r="AE276" s="159"/>
      <x:c r="AF276" s="159"/>
      <x:c r="AG276" s="159"/>
      <x:c r="AH276" s="159"/>
      <x:c r="AI276" s="159"/>
      <x:c r="AJ276" s="159"/>
      <x:c r="AK276" s="159"/>
      <x:c r="AL276" s="159"/>
      <x:c r="AM276" s="159"/>
      <x:c r="AN276" s="159"/>
      <x:c r="AO276" s="159"/>
      <x:c r="AP276" s="159"/>
      <x:c r="AQ276" s="159"/>
      <x:c r="AR276" s="159"/>
      <x:c r="AS276" s="159"/>
      <x:c r="AT276" s="159"/>
      <x:c r="AU276" s="159"/>
      <x:c r="AV276" s="159"/>
      <x:c r="AW276" s="159"/>
      <x:c r="AX276" s="159"/>
      <x:c r="AY276" s="159"/>
      <x:c r="AZ276" s="159"/>
    </x:row>
    <x:row r="277">
      <x:c r="A277" s="159"/>
      <x:c r="B277" s="159"/>
      <x:c r="C277" s="159"/>
      <x:c r="D277" s="159"/>
      <x:c r="E277" s="159"/>
      <x:c r="F277" s="159"/>
      <x:c r="G277" s="159"/>
      <x:c r="H277" s="159"/>
      <x:c r="I277" s="159"/>
      <x:c r="J277" s="159"/>
      <x:c r="K277" s="159"/>
      <x:c r="L277" s="159"/>
      <x:c r="M277" s="159"/>
      <x:c r="N277" s="159"/>
      <x:c r="O277" s="159"/>
      <x:c r="P277" s="159"/>
      <x:c r="Q277" s="159"/>
      <x:c r="R277" s="159"/>
      <x:c r="S277" s="159"/>
      <x:c r="T277" s="159"/>
      <x:c r="U277" s="159"/>
      <x:c r="V277" s="159"/>
      <x:c r="W277" s="159"/>
      <x:c r="X277" s="159"/>
      <x:c r="Y277" s="159"/>
      <x:c r="Z277" s="159"/>
      <x:c r="AA277" s="159"/>
      <x:c r="AB277" s="159"/>
      <x:c r="AC277" s="159"/>
      <x:c r="AD277" s="159"/>
      <x:c r="AE277" s="159"/>
      <x:c r="AF277" s="159"/>
      <x:c r="AG277" s="159"/>
      <x:c r="AH277" s="159"/>
      <x:c r="AI277" s="159"/>
      <x:c r="AJ277" s="159"/>
      <x:c r="AK277" s="159"/>
      <x:c r="AL277" s="159"/>
      <x:c r="AM277" s="159"/>
      <x:c r="AN277" s="159"/>
      <x:c r="AO277" s="159"/>
      <x:c r="AP277" s="159"/>
      <x:c r="AQ277" s="159"/>
      <x:c r="AR277" s="159"/>
      <x:c r="AS277" s="159"/>
      <x:c r="AT277" s="159"/>
      <x:c r="AU277" s="159"/>
      <x:c r="AV277" s="159"/>
      <x:c r="AW277" s="159"/>
      <x:c r="AX277" s="159"/>
      <x:c r="AY277" s="159"/>
      <x:c r="AZ277" s="159"/>
    </x:row>
    <x:row r="278">
      <x:c r="A278" s="159"/>
      <x:c r="B278" s="159"/>
      <x:c r="C278" s="159"/>
      <x:c r="D278" s="159"/>
      <x:c r="E278" s="159"/>
      <x:c r="F278" s="159"/>
      <x:c r="G278" s="159"/>
      <x:c r="H278" s="159"/>
      <x:c r="I278" s="159"/>
      <x:c r="J278" s="159"/>
      <x:c r="K278" s="159"/>
      <x:c r="L278" s="159"/>
      <x:c r="M278" s="159"/>
      <x:c r="N278" s="159"/>
      <x:c r="O278" s="159"/>
      <x:c r="P278" s="159"/>
      <x:c r="Q278" s="159"/>
      <x:c r="R278" s="159"/>
      <x:c r="S278" s="159"/>
      <x:c r="T278" s="159"/>
      <x:c r="U278" s="159"/>
      <x:c r="V278" s="159"/>
      <x:c r="W278" s="159"/>
      <x:c r="X278" s="159"/>
      <x:c r="Y278" s="159"/>
      <x:c r="Z278" s="159"/>
      <x:c r="AA278" s="159"/>
      <x:c r="AB278" s="159"/>
      <x:c r="AC278" s="159"/>
      <x:c r="AD278" s="159"/>
      <x:c r="AE278" s="159"/>
      <x:c r="AF278" s="159"/>
      <x:c r="AG278" s="159"/>
      <x:c r="AH278" s="159"/>
      <x:c r="AI278" s="159"/>
      <x:c r="AJ278" s="159"/>
      <x:c r="AK278" s="159"/>
      <x:c r="AL278" s="159"/>
      <x:c r="AM278" s="159"/>
      <x:c r="AN278" s="159"/>
      <x:c r="AO278" s="159"/>
      <x:c r="AP278" s="159"/>
      <x:c r="AQ278" s="159"/>
      <x:c r="AR278" s="159"/>
      <x:c r="AS278" s="159"/>
      <x:c r="AT278" s="159"/>
      <x:c r="AU278" s="159"/>
      <x:c r="AV278" s="159"/>
      <x:c r="AW278" s="159"/>
      <x:c r="AX278" s="159"/>
      <x:c r="AY278" s="159"/>
      <x:c r="AZ278" s="159"/>
    </x:row>
    <x:row r="279">
      <x:c r="A279" s="159"/>
      <x:c r="B279" s="159"/>
      <x:c r="C279" s="159"/>
      <x:c r="D279" s="159"/>
      <x:c r="E279" s="159"/>
      <x:c r="F279" s="159"/>
      <x:c r="G279" s="159"/>
      <x:c r="H279" s="159"/>
      <x:c r="I279" s="159"/>
      <x:c r="J279" s="159"/>
      <x:c r="K279" s="159"/>
      <x:c r="L279" s="159"/>
      <x:c r="M279" s="159"/>
      <x:c r="N279" s="159"/>
      <x:c r="O279" s="159"/>
      <x:c r="P279" s="159"/>
      <x:c r="Q279" s="159"/>
      <x:c r="R279" s="159"/>
      <x:c r="S279" s="159"/>
      <x:c r="T279" s="159"/>
      <x:c r="U279" s="159"/>
      <x:c r="V279" s="159"/>
      <x:c r="W279" s="159"/>
      <x:c r="X279" s="159"/>
      <x:c r="Y279" s="159"/>
      <x:c r="Z279" s="159"/>
      <x:c r="AA279" s="159"/>
      <x:c r="AB279" s="159"/>
      <x:c r="AC279" s="159"/>
      <x:c r="AD279" s="159"/>
      <x:c r="AE279" s="159"/>
      <x:c r="AF279" s="159"/>
      <x:c r="AG279" s="159"/>
      <x:c r="AH279" s="159"/>
      <x:c r="AI279" s="159"/>
      <x:c r="AJ279" s="159"/>
      <x:c r="AK279" s="159"/>
      <x:c r="AL279" s="159"/>
      <x:c r="AM279" s="159"/>
      <x:c r="AN279" s="159"/>
      <x:c r="AO279" s="159"/>
      <x:c r="AP279" s="159"/>
      <x:c r="AQ279" s="159"/>
      <x:c r="AR279" s="159"/>
      <x:c r="AS279" s="159"/>
      <x:c r="AT279" s="159"/>
      <x:c r="AU279" s="159"/>
      <x:c r="AV279" s="159"/>
      <x:c r="AW279" s="159"/>
      <x:c r="AX279" s="159"/>
      <x:c r="AY279" s="159"/>
      <x:c r="AZ279" s="159"/>
    </x:row>
    <x:row r="280">
      <x:c r="A280" s="159"/>
      <x:c r="B280" s="159"/>
      <x:c r="C280" s="159"/>
      <x:c r="D280" s="159"/>
      <x:c r="E280" s="159"/>
      <x:c r="F280" s="159"/>
      <x:c r="G280" s="159"/>
      <x:c r="H280" s="159"/>
      <x:c r="I280" s="159"/>
      <x:c r="J280" s="159"/>
      <x:c r="K280" s="159"/>
      <x:c r="L280" s="159"/>
      <x:c r="M280" s="159"/>
      <x:c r="N280" s="159"/>
      <x:c r="O280" s="159"/>
      <x:c r="P280" s="159"/>
      <x:c r="Q280" s="159"/>
      <x:c r="R280" s="159"/>
      <x:c r="S280" s="159"/>
      <x:c r="T280" s="159"/>
      <x:c r="U280" s="159"/>
      <x:c r="V280" s="159"/>
      <x:c r="W280" s="159"/>
      <x:c r="X280" s="159"/>
      <x:c r="Y280" s="159"/>
      <x:c r="Z280" s="159"/>
      <x:c r="AA280" s="159"/>
      <x:c r="AB280" s="159"/>
      <x:c r="AC280" s="159"/>
      <x:c r="AD280" s="159"/>
      <x:c r="AE280" s="159"/>
      <x:c r="AF280" s="159"/>
      <x:c r="AG280" s="159"/>
      <x:c r="AH280" s="159"/>
      <x:c r="AI280" s="159"/>
      <x:c r="AJ280" s="159"/>
      <x:c r="AK280" s="159"/>
      <x:c r="AL280" s="159"/>
      <x:c r="AM280" s="159"/>
      <x:c r="AN280" s="159"/>
      <x:c r="AO280" s="159"/>
      <x:c r="AP280" s="159"/>
      <x:c r="AQ280" s="159"/>
      <x:c r="AR280" s="159"/>
      <x:c r="AS280" s="159"/>
      <x:c r="AT280" s="159"/>
      <x:c r="AU280" s="159"/>
      <x:c r="AV280" s="159"/>
      <x:c r="AW280" s="159"/>
      <x:c r="AX280" s="159"/>
      <x:c r="AY280" s="159"/>
      <x:c r="AZ280" s="159"/>
    </x:row>
    <x:row r="281">
      <x:c r="A281" s="159"/>
      <x:c r="B281" s="159"/>
      <x:c r="C281" s="159"/>
      <x:c r="D281" s="159"/>
      <x:c r="E281" s="159"/>
      <x:c r="F281" s="159"/>
      <x:c r="G281" s="159"/>
      <x:c r="H281" s="159"/>
      <x:c r="I281" s="159"/>
      <x:c r="J281" s="159"/>
      <x:c r="K281" s="159"/>
      <x:c r="L281" s="159"/>
      <x:c r="M281" s="159"/>
      <x:c r="N281" s="159"/>
      <x:c r="O281" s="159"/>
      <x:c r="P281" s="159"/>
      <x:c r="Q281" s="159"/>
      <x:c r="R281" s="159"/>
      <x:c r="S281" s="159"/>
      <x:c r="T281" s="159"/>
      <x:c r="U281" s="159"/>
      <x:c r="V281" s="159"/>
      <x:c r="W281" s="159"/>
      <x:c r="X281" s="159"/>
      <x:c r="Y281" s="159"/>
      <x:c r="Z281" s="159"/>
      <x:c r="AA281" s="159"/>
      <x:c r="AB281" s="159"/>
      <x:c r="AC281" s="159"/>
      <x:c r="AD281" s="159"/>
      <x:c r="AE281" s="159"/>
      <x:c r="AF281" s="159"/>
      <x:c r="AG281" s="159"/>
      <x:c r="AH281" s="159"/>
      <x:c r="AI281" s="159"/>
      <x:c r="AJ281" s="159"/>
      <x:c r="AK281" s="159"/>
      <x:c r="AL281" s="159"/>
      <x:c r="AM281" s="159"/>
      <x:c r="AN281" s="159"/>
      <x:c r="AO281" s="159"/>
      <x:c r="AP281" s="159"/>
      <x:c r="AQ281" s="159"/>
      <x:c r="AR281" s="159"/>
      <x:c r="AS281" s="159"/>
      <x:c r="AT281" s="159"/>
      <x:c r="AU281" s="159"/>
      <x:c r="AV281" s="159"/>
      <x:c r="AW281" s="159"/>
      <x:c r="AX281" s="159"/>
      <x:c r="AY281" s="159"/>
      <x:c r="AZ281" s="159"/>
    </x:row>
    <x:row r="282">
      <x:c r="A282" s="159"/>
      <x:c r="B282" s="159"/>
      <x:c r="C282" s="159"/>
      <x:c r="D282" s="159"/>
      <x:c r="E282" s="159"/>
      <x:c r="F282" s="159"/>
      <x:c r="G282" s="159"/>
      <x:c r="H282" s="159"/>
      <x:c r="I282" s="159"/>
      <x:c r="J282" s="159"/>
      <x:c r="K282" s="159"/>
      <x:c r="L282" s="159"/>
      <x:c r="M282" s="159"/>
      <x:c r="N282" s="159"/>
      <x:c r="O282" s="159"/>
      <x:c r="P282" s="159"/>
      <x:c r="Q282" s="159"/>
      <x:c r="R282" s="159"/>
      <x:c r="S282" s="159"/>
      <x:c r="T282" s="159"/>
      <x:c r="U282" s="159"/>
      <x:c r="V282" s="159"/>
      <x:c r="W282" s="159"/>
      <x:c r="X282" s="159"/>
      <x:c r="Y282" s="159"/>
      <x:c r="Z282" s="159"/>
      <x:c r="AA282" s="159"/>
      <x:c r="AB282" s="159"/>
      <x:c r="AC282" s="159"/>
      <x:c r="AD282" s="159"/>
      <x:c r="AE282" s="159"/>
      <x:c r="AF282" s="159"/>
      <x:c r="AG282" s="159"/>
      <x:c r="AH282" s="159"/>
      <x:c r="AI282" s="159"/>
      <x:c r="AJ282" s="159"/>
      <x:c r="AK282" s="159"/>
      <x:c r="AL282" s="159"/>
      <x:c r="AM282" s="159"/>
      <x:c r="AN282" s="159"/>
      <x:c r="AO282" s="159"/>
      <x:c r="AP282" s="159"/>
      <x:c r="AQ282" s="159"/>
      <x:c r="AR282" s="159"/>
      <x:c r="AS282" s="159"/>
      <x:c r="AT282" s="159"/>
      <x:c r="AU282" s="159"/>
      <x:c r="AV282" s="159"/>
      <x:c r="AW282" s="159"/>
      <x:c r="AX282" s="159"/>
      <x:c r="AY282" s="159"/>
      <x:c r="AZ282" s="159"/>
    </x:row>
    <x:row r="283">
      <x:c r="A283" s="159"/>
      <x:c r="B283" s="159"/>
      <x:c r="C283" s="159"/>
      <x:c r="D283" s="159"/>
      <x:c r="E283" s="159"/>
      <x:c r="F283" s="159"/>
      <x:c r="G283" s="159"/>
      <x:c r="H283" s="159"/>
      <x:c r="I283" s="159"/>
      <x:c r="J283" s="159"/>
      <x:c r="K283" s="159"/>
      <x:c r="L283" s="159"/>
      <x:c r="M283" s="159"/>
      <x:c r="N283" s="159"/>
      <x:c r="O283" s="159"/>
      <x:c r="P283" s="159"/>
      <x:c r="Q283" s="159"/>
      <x:c r="R283" s="159"/>
      <x:c r="S283" s="159"/>
      <x:c r="T283" s="159"/>
      <x:c r="U283" s="159"/>
      <x:c r="V283" s="159"/>
      <x:c r="W283" s="159"/>
      <x:c r="X283" s="159"/>
      <x:c r="Y283" s="159"/>
      <x:c r="Z283" s="159"/>
      <x:c r="AA283" s="159"/>
      <x:c r="AB283" s="159"/>
      <x:c r="AC283" s="159"/>
      <x:c r="AD283" s="159"/>
      <x:c r="AE283" s="159"/>
      <x:c r="AF283" s="159"/>
      <x:c r="AG283" s="159"/>
      <x:c r="AH283" s="159"/>
      <x:c r="AI283" s="159"/>
      <x:c r="AJ283" s="159"/>
      <x:c r="AK283" s="159"/>
      <x:c r="AL283" s="159"/>
      <x:c r="AM283" s="159"/>
      <x:c r="AN283" s="159"/>
      <x:c r="AO283" s="159"/>
      <x:c r="AP283" s="159"/>
      <x:c r="AQ283" s="159"/>
      <x:c r="AR283" s="159"/>
      <x:c r="AS283" s="159"/>
      <x:c r="AT283" s="159"/>
      <x:c r="AU283" s="159"/>
      <x:c r="AV283" s="159"/>
      <x:c r="AW283" s="159"/>
      <x:c r="AX283" s="159"/>
      <x:c r="AY283" s="159"/>
      <x:c r="AZ283" s="159"/>
    </x:row>
    <x:row r="284">
      <x:c r="A284" s="159"/>
      <x:c r="B284" s="159"/>
      <x:c r="C284" s="159"/>
      <x:c r="D284" s="159"/>
      <x:c r="E284" s="159"/>
      <x:c r="F284" s="159"/>
      <x:c r="G284" s="159"/>
      <x:c r="H284" s="159"/>
      <x:c r="I284" s="159"/>
      <x:c r="J284" s="159"/>
      <x:c r="K284" s="159"/>
      <x:c r="L284" s="159"/>
      <x:c r="M284" s="159"/>
      <x:c r="N284" s="159"/>
      <x:c r="O284" s="159"/>
      <x:c r="P284" s="159"/>
      <x:c r="Q284" s="159"/>
      <x:c r="R284" s="159"/>
      <x:c r="S284" s="159"/>
      <x:c r="T284" s="159"/>
      <x:c r="U284" s="159"/>
      <x:c r="V284" s="159"/>
      <x:c r="W284" s="159"/>
      <x:c r="X284" s="159"/>
      <x:c r="Y284" s="159"/>
      <x:c r="Z284" s="159"/>
      <x:c r="AA284" s="159"/>
      <x:c r="AB284" s="159"/>
      <x:c r="AC284" s="159"/>
      <x:c r="AD284" s="159"/>
      <x:c r="AE284" s="159"/>
      <x:c r="AF284" s="159"/>
      <x:c r="AG284" s="159"/>
      <x:c r="AH284" s="159"/>
      <x:c r="AI284" s="159"/>
      <x:c r="AJ284" s="159"/>
      <x:c r="AK284" s="159"/>
      <x:c r="AL284" s="159"/>
      <x:c r="AM284" s="159"/>
      <x:c r="AN284" s="159"/>
      <x:c r="AO284" s="159"/>
      <x:c r="AP284" s="159"/>
      <x:c r="AQ284" s="159"/>
      <x:c r="AR284" s="159"/>
      <x:c r="AS284" s="159"/>
      <x:c r="AT284" s="159"/>
      <x:c r="AU284" s="159"/>
      <x:c r="AV284" s="159"/>
      <x:c r="AW284" s="159"/>
      <x:c r="AX284" s="159"/>
      <x:c r="AY284" s="159"/>
      <x:c r="AZ284" s="159"/>
    </x:row>
    <x:row r="285">
      <x:c r="A285" s="159"/>
      <x:c r="B285" s="159"/>
      <x:c r="C285" s="159"/>
      <x:c r="D285" s="159"/>
      <x:c r="E285" s="159"/>
      <x:c r="F285" s="159"/>
      <x:c r="G285" s="159"/>
      <x:c r="H285" s="159"/>
      <x:c r="I285" s="159"/>
      <x:c r="J285" s="159"/>
      <x:c r="K285" s="159"/>
      <x:c r="L285" s="159"/>
      <x:c r="M285" s="159"/>
      <x:c r="N285" s="159"/>
      <x:c r="O285" s="159"/>
      <x:c r="P285" s="159"/>
      <x:c r="Q285" s="159"/>
      <x:c r="R285" s="159"/>
      <x:c r="S285" s="159"/>
      <x:c r="T285" s="159"/>
      <x:c r="U285" s="159"/>
      <x:c r="V285" s="159"/>
      <x:c r="W285" s="159"/>
      <x:c r="X285" s="159"/>
      <x:c r="Y285" s="159"/>
      <x:c r="Z285" s="159"/>
      <x:c r="AA285" s="159"/>
      <x:c r="AB285" s="159"/>
      <x:c r="AC285" s="159"/>
      <x:c r="AD285" s="159"/>
      <x:c r="AE285" s="159"/>
      <x:c r="AF285" s="159"/>
      <x:c r="AG285" s="159"/>
      <x:c r="AH285" s="159"/>
      <x:c r="AI285" s="159"/>
      <x:c r="AJ285" s="159"/>
      <x:c r="AK285" s="159"/>
      <x:c r="AL285" s="159"/>
      <x:c r="AM285" s="159"/>
      <x:c r="AN285" s="159"/>
      <x:c r="AO285" s="159"/>
      <x:c r="AP285" s="159"/>
      <x:c r="AQ285" s="159"/>
      <x:c r="AR285" s="159"/>
      <x:c r="AS285" s="159"/>
      <x:c r="AT285" s="159"/>
      <x:c r="AU285" s="159"/>
      <x:c r="AV285" s="159"/>
      <x:c r="AW285" s="159"/>
      <x:c r="AX285" s="159"/>
      <x:c r="AY285" s="159"/>
      <x:c r="AZ285" s="159"/>
    </x:row>
    <x:row r="286">
      <x:c r="A286" s="159"/>
      <x:c r="B286" s="159"/>
      <x:c r="C286" s="159"/>
      <x:c r="D286" s="159"/>
      <x:c r="E286" s="159"/>
      <x:c r="F286" s="159"/>
      <x:c r="G286" s="159"/>
      <x:c r="H286" s="159"/>
      <x:c r="I286" s="159"/>
      <x:c r="J286" s="159"/>
      <x:c r="K286" s="159"/>
      <x:c r="L286" s="159"/>
      <x:c r="M286" s="159"/>
      <x:c r="N286" s="159"/>
      <x:c r="O286" s="159"/>
      <x:c r="P286" s="159"/>
      <x:c r="Q286" s="159"/>
      <x:c r="R286" s="159"/>
      <x:c r="S286" s="159"/>
      <x:c r="T286" s="159"/>
      <x:c r="U286" s="159"/>
      <x:c r="V286" s="159"/>
      <x:c r="W286" s="159"/>
      <x:c r="X286" s="159"/>
      <x:c r="Y286" s="159"/>
      <x:c r="Z286" s="159"/>
      <x:c r="AA286" s="159"/>
      <x:c r="AB286" s="159"/>
      <x:c r="AC286" s="159"/>
      <x:c r="AD286" s="159"/>
      <x:c r="AE286" s="159"/>
      <x:c r="AF286" s="159"/>
      <x:c r="AG286" s="159"/>
      <x:c r="AH286" s="159"/>
      <x:c r="AI286" s="159"/>
      <x:c r="AJ286" s="159"/>
      <x:c r="AK286" s="159"/>
      <x:c r="AL286" s="159"/>
      <x:c r="AM286" s="159"/>
      <x:c r="AN286" s="159"/>
      <x:c r="AO286" s="159"/>
      <x:c r="AP286" s="159"/>
      <x:c r="AQ286" s="159"/>
      <x:c r="AR286" s="159"/>
      <x:c r="AS286" s="159"/>
      <x:c r="AT286" s="159"/>
      <x:c r="AU286" s="159"/>
      <x:c r="AV286" s="159"/>
      <x:c r="AW286" s="159"/>
      <x:c r="AX286" s="159"/>
      <x:c r="AY286" s="159"/>
      <x:c r="AZ286" s="159"/>
    </x:row>
    <x:row r="287">
      <x:c r="A287" s="159"/>
      <x:c r="B287" s="159"/>
      <x:c r="C287" s="159"/>
      <x:c r="D287" s="159"/>
      <x:c r="E287" s="159"/>
      <x:c r="F287" s="159"/>
      <x:c r="G287" s="159"/>
      <x:c r="H287" s="159"/>
      <x:c r="I287" s="159"/>
      <x:c r="J287" s="159"/>
      <x:c r="K287" s="159"/>
      <x:c r="L287" s="159"/>
      <x:c r="M287" s="159"/>
      <x:c r="N287" s="159"/>
      <x:c r="O287" s="159"/>
      <x:c r="P287" s="159"/>
      <x:c r="Q287" s="159"/>
      <x:c r="R287" s="159"/>
      <x:c r="S287" s="159"/>
      <x:c r="T287" s="159"/>
      <x:c r="U287" s="159"/>
      <x:c r="V287" s="159"/>
      <x:c r="W287" s="159"/>
      <x:c r="X287" s="159"/>
      <x:c r="Y287" s="159"/>
      <x:c r="Z287" s="159"/>
      <x:c r="AA287" s="159"/>
      <x:c r="AB287" s="159"/>
      <x:c r="AC287" s="159"/>
      <x:c r="AD287" s="159"/>
      <x:c r="AE287" s="159"/>
      <x:c r="AF287" s="159"/>
      <x:c r="AG287" s="159"/>
      <x:c r="AH287" s="159"/>
      <x:c r="AI287" s="159"/>
      <x:c r="AJ287" s="159"/>
      <x:c r="AK287" s="159"/>
      <x:c r="AL287" s="159"/>
      <x:c r="AM287" s="159"/>
      <x:c r="AN287" s="159"/>
      <x:c r="AO287" s="159"/>
      <x:c r="AP287" s="159"/>
      <x:c r="AQ287" s="159"/>
      <x:c r="AR287" s="159"/>
      <x:c r="AS287" s="159"/>
      <x:c r="AT287" s="159"/>
      <x:c r="AU287" s="159"/>
      <x:c r="AV287" s="159"/>
      <x:c r="AW287" s="159"/>
      <x:c r="AX287" s="159"/>
      <x:c r="AY287" s="159"/>
      <x:c r="AZ287" s="159"/>
    </x:row>
    <x:row r="288">
      <x:c r="A288" s="159"/>
      <x:c r="B288" s="159"/>
      <x:c r="C288" s="159"/>
      <x:c r="D288" s="159"/>
      <x:c r="E288" s="159"/>
      <x:c r="F288" s="159"/>
      <x:c r="G288" s="159"/>
      <x:c r="H288" s="159"/>
      <x:c r="I288" s="159"/>
      <x:c r="J288" s="159"/>
      <x:c r="K288" s="159"/>
      <x:c r="L288" s="159"/>
      <x:c r="M288" s="159"/>
      <x:c r="N288" s="159"/>
      <x:c r="O288" s="159"/>
      <x:c r="P288" s="159"/>
      <x:c r="Q288" s="159"/>
      <x:c r="R288" s="159"/>
      <x:c r="S288" s="159"/>
      <x:c r="T288" s="159"/>
      <x:c r="U288" s="159"/>
      <x:c r="V288" s="159"/>
      <x:c r="W288" s="159"/>
      <x:c r="X288" s="159"/>
      <x:c r="Y288" s="159"/>
      <x:c r="Z288" s="159"/>
      <x:c r="AA288" s="159"/>
      <x:c r="AB288" s="159"/>
      <x:c r="AC288" s="159"/>
      <x:c r="AD288" s="159"/>
      <x:c r="AE288" s="159"/>
      <x:c r="AF288" s="159"/>
      <x:c r="AG288" s="159"/>
      <x:c r="AH288" s="159"/>
      <x:c r="AI288" s="159"/>
      <x:c r="AJ288" s="159"/>
      <x:c r="AK288" s="159"/>
      <x:c r="AL288" s="159"/>
      <x:c r="AM288" s="159"/>
      <x:c r="AN288" s="159"/>
      <x:c r="AO288" s="159"/>
      <x:c r="AP288" s="159"/>
      <x:c r="AQ288" s="159"/>
      <x:c r="AR288" s="159"/>
      <x:c r="AS288" s="159"/>
      <x:c r="AT288" s="159"/>
      <x:c r="AU288" s="159"/>
      <x:c r="AV288" s="159"/>
      <x:c r="AW288" s="159"/>
      <x:c r="AX288" s="159"/>
      <x:c r="AY288" s="159"/>
      <x:c r="AZ288" s="159"/>
    </x:row>
    <x:row r="289">
      <x:c r="A289" s="159"/>
      <x:c r="B289" s="159"/>
      <x:c r="C289" s="159"/>
      <x:c r="D289" s="159"/>
      <x:c r="E289" s="159"/>
      <x:c r="F289" s="159"/>
      <x:c r="G289" s="159"/>
      <x:c r="H289" s="159"/>
      <x:c r="I289" s="159"/>
      <x:c r="J289" s="159"/>
      <x:c r="K289" s="159"/>
      <x:c r="L289" s="159"/>
      <x:c r="M289" s="159"/>
      <x:c r="N289" s="159"/>
      <x:c r="O289" s="159"/>
      <x:c r="P289" s="159"/>
      <x:c r="Q289" s="159"/>
      <x:c r="R289" s="159"/>
      <x:c r="S289" s="159"/>
      <x:c r="T289" s="159"/>
      <x:c r="U289" s="159"/>
      <x:c r="V289" s="159"/>
      <x:c r="W289" s="159"/>
      <x:c r="X289" s="159"/>
      <x:c r="Y289" s="159"/>
      <x:c r="Z289" s="159"/>
      <x:c r="AA289" s="159"/>
      <x:c r="AB289" s="159"/>
      <x:c r="AC289" s="159"/>
      <x:c r="AD289" s="159"/>
      <x:c r="AE289" s="159"/>
      <x:c r="AF289" s="159"/>
      <x:c r="AG289" s="159"/>
      <x:c r="AH289" s="159"/>
      <x:c r="AI289" s="159"/>
      <x:c r="AJ289" s="159"/>
      <x:c r="AK289" s="159"/>
      <x:c r="AL289" s="159"/>
      <x:c r="AM289" s="159"/>
      <x:c r="AN289" s="159"/>
      <x:c r="AO289" s="159"/>
      <x:c r="AP289" s="159"/>
      <x:c r="AQ289" s="159"/>
      <x:c r="AR289" s="159"/>
      <x:c r="AS289" s="159"/>
      <x:c r="AT289" s="159"/>
      <x:c r="AU289" s="159"/>
      <x:c r="AV289" s="159"/>
      <x:c r="AW289" s="159"/>
      <x:c r="AX289" s="159"/>
      <x:c r="AY289" s="159"/>
      <x:c r="AZ289" s="159"/>
    </x:row>
    <x:row r="290">
      <x:c r="A290" s="159"/>
      <x:c r="B290" s="159"/>
      <x:c r="C290" s="159"/>
      <x:c r="D290" s="159"/>
      <x:c r="E290" s="159"/>
      <x:c r="F290" s="159"/>
      <x:c r="G290" s="159"/>
      <x:c r="H290" s="159"/>
      <x:c r="I290" s="159"/>
      <x:c r="J290" s="159"/>
      <x:c r="K290" s="159"/>
      <x:c r="L290" s="159"/>
      <x:c r="M290" s="159"/>
      <x:c r="N290" s="159"/>
      <x:c r="O290" s="159"/>
      <x:c r="P290" s="159"/>
      <x:c r="Q290" s="159"/>
      <x:c r="R290" s="159"/>
      <x:c r="S290" s="159"/>
      <x:c r="T290" s="159"/>
      <x:c r="U290" s="159"/>
      <x:c r="V290" s="159"/>
      <x:c r="W290" s="159"/>
      <x:c r="X290" s="159"/>
      <x:c r="Y290" s="159"/>
      <x:c r="Z290" s="159"/>
      <x:c r="AA290" s="159"/>
      <x:c r="AB290" s="159"/>
      <x:c r="AC290" s="159"/>
      <x:c r="AD290" s="159"/>
      <x:c r="AE290" s="159"/>
      <x:c r="AF290" s="159"/>
      <x:c r="AG290" s="159"/>
      <x:c r="AH290" s="159"/>
      <x:c r="AI290" s="159"/>
      <x:c r="AJ290" s="159"/>
      <x:c r="AK290" s="159"/>
      <x:c r="AL290" s="159"/>
      <x:c r="AM290" s="159"/>
      <x:c r="AN290" s="159"/>
      <x:c r="AO290" s="159"/>
      <x:c r="AP290" s="159"/>
      <x:c r="AQ290" s="159"/>
      <x:c r="AR290" s="159"/>
      <x:c r="AS290" s="159"/>
      <x:c r="AT290" s="159"/>
      <x:c r="AU290" s="159"/>
      <x:c r="AV290" s="159"/>
      <x:c r="AW290" s="159"/>
      <x:c r="AX290" s="159"/>
      <x:c r="AY290" s="159"/>
      <x:c r="AZ290" s="159"/>
    </x:row>
    <x:row r="291">
      <x:c r="A291" s="159"/>
      <x:c r="B291" s="159"/>
      <x:c r="C291" s="159"/>
      <x:c r="D291" s="159"/>
      <x:c r="E291" s="159"/>
      <x:c r="F291" s="159"/>
      <x:c r="G291" s="159"/>
      <x:c r="H291" s="159"/>
      <x:c r="I291" s="159"/>
      <x:c r="J291" s="159"/>
      <x:c r="K291" s="159"/>
      <x:c r="L291" s="159"/>
      <x:c r="M291" s="159"/>
      <x:c r="N291" s="159"/>
      <x:c r="O291" s="159"/>
      <x:c r="P291" s="159"/>
      <x:c r="Q291" s="159"/>
      <x:c r="R291" s="159"/>
      <x:c r="S291" s="159"/>
      <x:c r="T291" s="159"/>
      <x:c r="U291" s="159"/>
      <x:c r="V291" s="159"/>
      <x:c r="W291" s="159"/>
      <x:c r="X291" s="159"/>
      <x:c r="Y291" s="159"/>
      <x:c r="Z291" s="159"/>
      <x:c r="AA291" s="159"/>
      <x:c r="AB291" s="159"/>
      <x:c r="AC291" s="159"/>
      <x:c r="AD291" s="159"/>
      <x:c r="AE291" s="159"/>
      <x:c r="AF291" s="159"/>
      <x:c r="AG291" s="159"/>
      <x:c r="AH291" s="159"/>
      <x:c r="AI291" s="159"/>
      <x:c r="AJ291" s="159"/>
      <x:c r="AK291" s="159"/>
      <x:c r="AL291" s="159"/>
      <x:c r="AM291" s="159"/>
      <x:c r="AN291" s="159"/>
      <x:c r="AO291" s="159"/>
      <x:c r="AP291" s="159"/>
      <x:c r="AQ291" s="159"/>
      <x:c r="AR291" s="159"/>
      <x:c r="AS291" s="159"/>
      <x:c r="AT291" s="159"/>
      <x:c r="AU291" s="159"/>
      <x:c r="AV291" s="159"/>
      <x:c r="AW291" s="159"/>
      <x:c r="AX291" s="159"/>
      <x:c r="AY291" s="159"/>
      <x:c r="AZ291" s="159"/>
    </x:row>
    <x:row r="292">
      <x:c r="A292" s="159"/>
      <x:c r="B292" s="159"/>
      <x:c r="C292" s="159"/>
      <x:c r="D292" s="159"/>
      <x:c r="E292" s="159"/>
      <x:c r="F292" s="159"/>
      <x:c r="G292" s="159"/>
      <x:c r="H292" s="159"/>
      <x:c r="I292" s="159"/>
      <x:c r="J292" s="159"/>
      <x:c r="K292" s="159"/>
      <x:c r="L292" s="159"/>
      <x:c r="M292" s="159"/>
      <x:c r="N292" s="159"/>
      <x:c r="O292" s="159"/>
      <x:c r="P292" s="159"/>
      <x:c r="Q292" s="159"/>
      <x:c r="R292" s="159"/>
      <x:c r="S292" s="159"/>
      <x:c r="T292" s="159"/>
      <x:c r="U292" s="159"/>
      <x:c r="V292" s="159"/>
      <x:c r="W292" s="159"/>
      <x:c r="X292" s="159"/>
      <x:c r="Y292" s="159"/>
      <x:c r="Z292" s="159"/>
      <x:c r="AA292" s="159"/>
      <x:c r="AB292" s="159"/>
      <x:c r="AC292" s="159"/>
      <x:c r="AD292" s="159"/>
      <x:c r="AE292" s="159"/>
      <x:c r="AF292" s="159"/>
      <x:c r="AG292" s="159"/>
      <x:c r="AH292" s="159"/>
      <x:c r="AI292" s="159"/>
      <x:c r="AJ292" s="159"/>
      <x:c r="AK292" s="159"/>
      <x:c r="AL292" s="159"/>
      <x:c r="AM292" s="159"/>
      <x:c r="AN292" s="159"/>
      <x:c r="AO292" s="159"/>
      <x:c r="AP292" s="159"/>
      <x:c r="AQ292" s="159"/>
      <x:c r="AR292" s="159"/>
      <x:c r="AS292" s="159"/>
      <x:c r="AT292" s="159"/>
      <x:c r="AU292" s="159"/>
      <x:c r="AV292" s="159"/>
      <x:c r="AW292" s="159"/>
      <x:c r="AX292" s="159"/>
      <x:c r="AY292" s="159"/>
      <x:c r="AZ292" s="159"/>
    </x:row>
    <x:row r="293">
      <x:c r="A293" s="159"/>
      <x:c r="B293" s="159"/>
      <x:c r="C293" s="159"/>
      <x:c r="D293" s="159"/>
      <x:c r="E293" s="159"/>
      <x:c r="F293" s="159"/>
      <x:c r="G293" s="159"/>
      <x:c r="H293" s="159"/>
      <x:c r="I293" s="159"/>
      <x:c r="J293" s="159"/>
      <x:c r="K293" s="159"/>
      <x:c r="L293" s="159"/>
      <x:c r="M293" s="159"/>
      <x:c r="N293" s="159"/>
      <x:c r="O293" s="159"/>
      <x:c r="P293" s="159"/>
      <x:c r="Q293" s="159"/>
      <x:c r="R293" s="159"/>
      <x:c r="S293" s="159"/>
      <x:c r="T293" s="159"/>
      <x:c r="U293" s="159"/>
      <x:c r="V293" s="159"/>
      <x:c r="W293" s="159"/>
      <x:c r="X293" s="159"/>
      <x:c r="Y293" s="159"/>
      <x:c r="Z293" s="159"/>
      <x:c r="AA293" s="159"/>
      <x:c r="AB293" s="159"/>
      <x:c r="AC293" s="159"/>
      <x:c r="AD293" s="159"/>
      <x:c r="AE293" s="159"/>
      <x:c r="AF293" s="159"/>
      <x:c r="AG293" s="159"/>
      <x:c r="AH293" s="159"/>
      <x:c r="AI293" s="159"/>
      <x:c r="AJ293" s="159"/>
      <x:c r="AK293" s="159"/>
      <x:c r="AL293" s="159"/>
      <x:c r="AM293" s="159"/>
      <x:c r="AN293" s="159"/>
      <x:c r="AO293" s="159"/>
      <x:c r="AP293" s="159"/>
      <x:c r="AQ293" s="159"/>
      <x:c r="AR293" s="159"/>
      <x:c r="AS293" s="159"/>
      <x:c r="AT293" s="159"/>
      <x:c r="AU293" s="159"/>
      <x:c r="AV293" s="159"/>
      <x:c r="AW293" s="159"/>
      <x:c r="AX293" s="159"/>
      <x:c r="AY293" s="159"/>
      <x:c r="AZ293" s="159"/>
    </x:row>
    <x:row r="294">
      <x:c r="A294" s="159"/>
      <x:c r="B294" s="159"/>
      <x:c r="C294" s="159"/>
      <x:c r="D294" s="159"/>
      <x:c r="E294" s="159"/>
      <x:c r="F294" s="159"/>
      <x:c r="G294" s="159"/>
      <x:c r="H294" s="159"/>
      <x:c r="I294" s="159"/>
      <x:c r="J294" s="159"/>
      <x:c r="K294" s="159"/>
      <x:c r="L294" s="159"/>
      <x:c r="M294" s="159"/>
      <x:c r="N294" s="159"/>
      <x:c r="O294" s="159"/>
      <x:c r="P294" s="159"/>
      <x:c r="Q294" s="159"/>
      <x:c r="R294" s="159"/>
      <x:c r="S294" s="159"/>
      <x:c r="T294" s="159"/>
      <x:c r="U294" s="159"/>
      <x:c r="V294" s="159"/>
      <x:c r="W294" s="159"/>
      <x:c r="X294" s="159"/>
      <x:c r="Y294" s="159"/>
      <x:c r="Z294" s="159"/>
      <x:c r="AA294" s="159"/>
      <x:c r="AB294" s="159"/>
      <x:c r="AC294" s="159"/>
      <x:c r="AD294" s="159"/>
      <x:c r="AE294" s="159"/>
      <x:c r="AF294" s="159"/>
      <x:c r="AG294" s="159"/>
      <x:c r="AH294" s="159"/>
      <x:c r="AI294" s="159"/>
      <x:c r="AJ294" s="159"/>
      <x:c r="AK294" s="159"/>
      <x:c r="AL294" s="159"/>
      <x:c r="AM294" s="159"/>
      <x:c r="AN294" s="159"/>
      <x:c r="AO294" s="159"/>
      <x:c r="AP294" s="159"/>
      <x:c r="AQ294" s="159"/>
      <x:c r="AR294" s="159"/>
      <x:c r="AS294" s="159"/>
      <x:c r="AT294" s="159"/>
      <x:c r="AU294" s="159"/>
      <x:c r="AV294" s="159"/>
      <x:c r="AW294" s="159"/>
      <x:c r="AX294" s="159"/>
      <x:c r="AY294" s="159"/>
      <x:c r="AZ294" s="159"/>
    </x:row>
    <x:row r="295">
      <x:c r="A295" s="159"/>
      <x:c r="B295" s="159"/>
      <x:c r="C295" s="159"/>
      <x:c r="D295" s="159"/>
      <x:c r="E295" s="159"/>
      <x:c r="F295" s="159"/>
      <x:c r="G295" s="159"/>
      <x:c r="H295" s="159"/>
      <x:c r="I295" s="159"/>
      <x:c r="J295" s="159"/>
      <x:c r="K295" s="159"/>
      <x:c r="L295" s="159"/>
      <x:c r="M295" s="159"/>
      <x:c r="N295" s="159"/>
      <x:c r="O295" s="159"/>
      <x:c r="P295" s="159"/>
      <x:c r="Q295" s="159"/>
      <x:c r="R295" s="159"/>
      <x:c r="S295" s="159"/>
      <x:c r="T295" s="159"/>
      <x:c r="U295" s="159"/>
      <x:c r="V295" s="159"/>
      <x:c r="W295" s="159"/>
      <x:c r="X295" s="159"/>
      <x:c r="Y295" s="159"/>
      <x:c r="Z295" s="159"/>
      <x:c r="AA295" s="159"/>
      <x:c r="AB295" s="159"/>
      <x:c r="AC295" s="159"/>
      <x:c r="AD295" s="159"/>
      <x:c r="AE295" s="159"/>
      <x:c r="AF295" s="159"/>
      <x:c r="AG295" s="159"/>
      <x:c r="AH295" s="159"/>
      <x:c r="AI295" s="159"/>
      <x:c r="AJ295" s="159"/>
      <x:c r="AK295" s="159"/>
      <x:c r="AL295" s="159"/>
      <x:c r="AM295" s="159"/>
      <x:c r="AN295" s="159"/>
      <x:c r="AO295" s="159"/>
      <x:c r="AP295" s="159"/>
      <x:c r="AQ295" s="159"/>
      <x:c r="AR295" s="159"/>
      <x:c r="AS295" s="159"/>
      <x:c r="AT295" s="159"/>
      <x:c r="AU295" s="159"/>
      <x:c r="AV295" s="159"/>
      <x:c r="AW295" s="159"/>
      <x:c r="AX295" s="159"/>
      <x:c r="AY295" s="159"/>
      <x:c r="AZ295" s="159"/>
    </x:row>
    <x:row r="296">
      <x:c r="A296" s="159"/>
      <x:c r="B296" s="159"/>
      <x:c r="C296" s="159"/>
      <x:c r="D296" s="159"/>
      <x:c r="E296" s="159"/>
      <x:c r="F296" s="159"/>
      <x:c r="G296" s="159"/>
      <x:c r="H296" s="159"/>
      <x:c r="I296" s="159"/>
      <x:c r="J296" s="159"/>
      <x:c r="K296" s="159"/>
      <x:c r="L296" s="159"/>
      <x:c r="M296" s="159"/>
      <x:c r="N296" s="159"/>
      <x:c r="O296" s="159"/>
      <x:c r="P296" s="159"/>
      <x:c r="Q296" s="159"/>
      <x:c r="R296" s="159"/>
      <x:c r="S296" s="159"/>
      <x:c r="T296" s="159"/>
      <x:c r="U296" s="159"/>
      <x:c r="V296" s="159"/>
      <x:c r="W296" s="159"/>
      <x:c r="X296" s="159"/>
      <x:c r="Y296" s="159"/>
      <x:c r="Z296" s="159"/>
      <x:c r="AA296" s="159"/>
      <x:c r="AB296" s="159"/>
      <x:c r="AC296" s="159"/>
      <x:c r="AD296" s="159"/>
      <x:c r="AE296" s="159"/>
      <x:c r="AF296" s="159"/>
      <x:c r="AG296" s="159"/>
      <x:c r="AH296" s="159"/>
      <x:c r="AI296" s="159"/>
      <x:c r="AJ296" s="159"/>
      <x:c r="AK296" s="159"/>
      <x:c r="AL296" s="159"/>
      <x:c r="AM296" s="159"/>
      <x:c r="AN296" s="159"/>
      <x:c r="AO296" s="159"/>
      <x:c r="AP296" s="159"/>
      <x:c r="AQ296" s="159"/>
      <x:c r="AR296" s="159"/>
      <x:c r="AS296" s="159"/>
      <x:c r="AT296" s="159"/>
      <x:c r="AU296" s="159"/>
      <x:c r="AV296" s="159"/>
      <x:c r="AW296" s="159"/>
      <x:c r="AX296" s="159"/>
      <x:c r="AY296" s="159"/>
      <x:c r="AZ296" s="159"/>
    </x:row>
    <x:row r="297">
      <x:c r="A297" s="159"/>
      <x:c r="B297" s="159"/>
      <x:c r="C297" s="159"/>
      <x:c r="D297" s="159"/>
      <x:c r="E297" s="159"/>
      <x:c r="F297" s="159"/>
      <x:c r="G297" s="159"/>
      <x:c r="H297" s="159"/>
      <x:c r="I297" s="159"/>
      <x:c r="J297" s="159"/>
      <x:c r="K297" s="159"/>
      <x:c r="L297" s="159"/>
      <x:c r="M297" s="159"/>
      <x:c r="N297" s="159"/>
      <x:c r="O297" s="159"/>
      <x:c r="P297" s="159"/>
      <x:c r="Q297" s="159"/>
      <x:c r="R297" s="159"/>
      <x:c r="S297" s="159"/>
      <x:c r="T297" s="159"/>
      <x:c r="U297" s="159"/>
      <x:c r="V297" s="159"/>
      <x:c r="W297" s="159"/>
      <x:c r="X297" s="159"/>
      <x:c r="Y297" s="159"/>
      <x:c r="Z297" s="159"/>
      <x:c r="AA297" s="159"/>
      <x:c r="AB297" s="159"/>
      <x:c r="AC297" s="159"/>
      <x:c r="AD297" s="159"/>
      <x:c r="AE297" s="159"/>
      <x:c r="AF297" s="159"/>
      <x:c r="AG297" s="159"/>
      <x:c r="AH297" s="159"/>
      <x:c r="AI297" s="159"/>
      <x:c r="AJ297" s="159"/>
      <x:c r="AK297" s="159"/>
      <x:c r="AL297" s="159"/>
      <x:c r="AM297" s="159"/>
      <x:c r="AN297" s="159"/>
      <x:c r="AO297" s="159"/>
      <x:c r="AP297" s="159"/>
      <x:c r="AQ297" s="159"/>
      <x:c r="AR297" s="159"/>
      <x:c r="AS297" s="159"/>
      <x:c r="AT297" s="159"/>
      <x:c r="AU297" s="159"/>
      <x:c r="AV297" s="159"/>
      <x:c r="AW297" s="159"/>
      <x:c r="AX297" s="159"/>
      <x:c r="AY297" s="159"/>
      <x:c r="AZ297" s="159"/>
    </x:row>
    <x:row r="298">
      <x:c r="A298" s="159"/>
      <x:c r="B298" s="159"/>
      <x:c r="C298" s="159"/>
      <x:c r="D298" s="159"/>
      <x:c r="E298" s="159"/>
      <x:c r="F298" s="159"/>
      <x:c r="G298" s="159"/>
      <x:c r="H298" s="159"/>
      <x:c r="I298" s="159"/>
      <x:c r="J298" s="159"/>
      <x:c r="K298" s="159"/>
      <x:c r="L298" s="159"/>
      <x:c r="M298" s="159"/>
      <x:c r="N298" s="159"/>
      <x:c r="O298" s="159"/>
      <x:c r="P298" s="159"/>
      <x:c r="Q298" s="159"/>
      <x:c r="R298" s="159"/>
      <x:c r="S298" s="159"/>
      <x:c r="T298" s="159"/>
      <x:c r="U298" s="159"/>
      <x:c r="V298" s="159"/>
      <x:c r="W298" s="159"/>
      <x:c r="X298" s="159"/>
      <x:c r="Y298" s="159"/>
      <x:c r="Z298" s="159"/>
      <x:c r="AA298" s="159"/>
      <x:c r="AB298" s="159"/>
      <x:c r="AC298" s="159"/>
      <x:c r="AD298" s="159"/>
      <x:c r="AE298" s="159"/>
      <x:c r="AF298" s="159"/>
      <x:c r="AG298" s="159"/>
      <x:c r="AH298" s="159"/>
      <x:c r="AI298" s="159"/>
      <x:c r="AJ298" s="159"/>
      <x:c r="AK298" s="159"/>
      <x:c r="AL298" s="159"/>
      <x:c r="AM298" s="159"/>
      <x:c r="AN298" s="159"/>
      <x:c r="AO298" s="159"/>
      <x:c r="AP298" s="159"/>
      <x:c r="AQ298" s="159"/>
      <x:c r="AR298" s="159"/>
      <x:c r="AS298" s="159"/>
      <x:c r="AT298" s="159"/>
      <x:c r="AU298" s="159"/>
      <x:c r="AV298" s="159"/>
      <x:c r="AW298" s="159"/>
      <x:c r="AX298" s="159"/>
      <x:c r="AY298" s="159"/>
      <x:c r="AZ298" s="159"/>
    </x:row>
    <x:row r="299">
      <x:c r="A299" s="159"/>
      <x:c r="B299" s="159"/>
      <x:c r="C299" s="159"/>
      <x:c r="D299" s="159"/>
      <x:c r="E299" s="159"/>
      <x:c r="F299" s="159"/>
      <x:c r="G299" s="159"/>
      <x:c r="H299" s="159"/>
      <x:c r="I299" s="159"/>
      <x:c r="J299" s="159"/>
      <x:c r="K299" s="159"/>
      <x:c r="L299" s="159"/>
      <x:c r="M299" s="159"/>
      <x:c r="N299" s="159"/>
      <x:c r="O299" s="159"/>
      <x:c r="P299" s="159"/>
      <x:c r="Q299" s="159"/>
      <x:c r="R299" s="159"/>
      <x:c r="S299" s="159"/>
      <x:c r="T299" s="159"/>
      <x:c r="U299" s="159"/>
      <x:c r="V299" s="159"/>
      <x:c r="W299" s="159"/>
      <x:c r="X299" s="159"/>
      <x:c r="Y299" s="159"/>
      <x:c r="Z299" s="159"/>
      <x:c r="AA299" s="159"/>
      <x:c r="AB299" s="159"/>
      <x:c r="AC299" s="159"/>
      <x:c r="AD299" s="159"/>
      <x:c r="AE299" s="159"/>
      <x:c r="AF299" s="159"/>
      <x:c r="AG299" s="159"/>
      <x:c r="AH299" s="159"/>
      <x:c r="AI299" s="159"/>
      <x:c r="AJ299" s="159"/>
      <x:c r="AK299" s="159"/>
      <x:c r="AL299" s="159"/>
      <x:c r="AM299" s="159"/>
      <x:c r="AN299" s="159"/>
      <x:c r="AO299" s="159"/>
      <x:c r="AP299" s="159"/>
      <x:c r="AQ299" s="159"/>
      <x:c r="AR299" s="159"/>
      <x:c r="AS299" s="159"/>
      <x:c r="AT299" s="159"/>
      <x:c r="AU299" s="159"/>
      <x:c r="AV299" s="159"/>
      <x:c r="AW299" s="159"/>
      <x:c r="AX299" s="159"/>
      <x:c r="AY299" s="159"/>
      <x:c r="AZ299" s="159"/>
    </x:row>
    <x:row r="300">
      <x:c r="A300" s="159"/>
      <x:c r="B300" s="159"/>
      <x:c r="C300" s="159"/>
      <x:c r="D300" s="159"/>
      <x:c r="E300" s="159"/>
      <x:c r="F300" s="159"/>
      <x:c r="G300" s="159"/>
      <x:c r="H300" s="159"/>
      <x:c r="I300" s="159"/>
      <x:c r="J300" s="159"/>
      <x:c r="K300" s="159"/>
      <x:c r="L300" s="159"/>
      <x:c r="M300" s="159"/>
      <x:c r="N300" s="159"/>
      <x:c r="O300" s="159"/>
      <x:c r="P300" s="159"/>
      <x:c r="Q300" s="159"/>
      <x:c r="R300" s="159"/>
      <x:c r="S300" s="159"/>
      <x:c r="T300" s="159"/>
      <x:c r="U300" s="159"/>
      <x:c r="V300" s="159"/>
      <x:c r="W300" s="159"/>
      <x:c r="X300" s="159"/>
      <x:c r="Y300" s="159"/>
      <x:c r="Z300" s="159"/>
      <x:c r="AA300" s="159"/>
      <x:c r="AB300" s="159"/>
      <x:c r="AC300" s="159"/>
      <x:c r="AD300" s="159"/>
      <x:c r="AE300" s="159"/>
      <x:c r="AF300" s="159"/>
      <x:c r="AG300" s="159"/>
      <x:c r="AH300" s="159"/>
      <x:c r="AI300" s="159"/>
      <x:c r="AJ300" s="159"/>
      <x:c r="AK300" s="159"/>
      <x:c r="AL300" s="159"/>
      <x:c r="AM300" s="159"/>
      <x:c r="AN300" s="159"/>
      <x:c r="AO300" s="159"/>
      <x:c r="AP300" s="159"/>
      <x:c r="AQ300" s="159"/>
      <x:c r="AR300" s="159"/>
      <x:c r="AS300" s="159"/>
      <x:c r="AT300" s="159"/>
      <x:c r="AU300" s="159"/>
      <x:c r="AV300" s="159"/>
      <x:c r="AW300" s="159"/>
      <x:c r="AX300" s="159"/>
      <x:c r="AY300" s="159"/>
      <x:c r="AZ300" s="159"/>
    </x:row>
    <x:row r="301">
      <x:c r="A301" s="159"/>
      <x:c r="B301" s="159"/>
      <x:c r="C301" s="159"/>
      <x:c r="D301" s="159"/>
      <x:c r="E301" s="159"/>
      <x:c r="F301" s="159"/>
      <x:c r="G301" s="159"/>
      <x:c r="H301" s="159"/>
      <x:c r="I301" s="159"/>
      <x:c r="J301" s="159"/>
      <x:c r="K301" s="159"/>
      <x:c r="L301" s="159"/>
      <x:c r="M301" s="159"/>
      <x:c r="N301" s="159"/>
      <x:c r="O301" s="159"/>
      <x:c r="P301" s="159"/>
      <x:c r="Q301" s="159"/>
      <x:c r="R301" s="159"/>
      <x:c r="S301" s="159"/>
      <x:c r="T301" s="159"/>
      <x:c r="U301" s="159"/>
      <x:c r="V301" s="159"/>
      <x:c r="W301" s="159"/>
      <x:c r="X301" s="159"/>
      <x:c r="Y301" s="159"/>
      <x:c r="Z301" s="159"/>
      <x:c r="AA301" s="159"/>
      <x:c r="AB301" s="159"/>
      <x:c r="AC301" s="159"/>
      <x:c r="AD301" s="159"/>
      <x:c r="AE301" s="159"/>
      <x:c r="AF301" s="159"/>
      <x:c r="AG301" s="159"/>
      <x:c r="AH301" s="159"/>
      <x:c r="AI301" s="159"/>
      <x:c r="AJ301" s="159"/>
      <x:c r="AK301" s="159"/>
      <x:c r="AL301" s="159"/>
      <x:c r="AM301" s="159"/>
      <x:c r="AN301" s="159"/>
      <x:c r="AO301" s="159"/>
      <x:c r="AP301" s="159"/>
      <x:c r="AQ301" s="159"/>
      <x:c r="AR301" s="159"/>
      <x:c r="AS301" s="159"/>
      <x:c r="AT301" s="159"/>
      <x:c r="AU301" s="159"/>
      <x:c r="AV301" s="159"/>
      <x:c r="AW301" s="159"/>
      <x:c r="AX301" s="159"/>
      <x:c r="AY301" s="159"/>
      <x:c r="AZ301" s="159"/>
    </x:row>
    <x:row r="302">
      <x:c r="A302" s="159"/>
      <x:c r="B302" s="159"/>
      <x:c r="C302" s="159"/>
      <x:c r="D302" s="159"/>
      <x:c r="E302" s="159"/>
      <x:c r="F302" s="159"/>
      <x:c r="G302" s="159"/>
      <x:c r="H302" s="159"/>
      <x:c r="I302" s="159"/>
      <x:c r="J302" s="159"/>
      <x:c r="K302" s="159"/>
      <x:c r="L302" s="159"/>
      <x:c r="M302" s="159"/>
      <x:c r="N302" s="159"/>
      <x:c r="O302" s="159"/>
      <x:c r="P302" s="159"/>
      <x:c r="Q302" s="159"/>
      <x:c r="R302" s="159"/>
      <x:c r="S302" s="159"/>
      <x:c r="T302" s="159"/>
      <x:c r="U302" s="159"/>
      <x:c r="V302" s="159"/>
      <x:c r="W302" s="159"/>
      <x:c r="X302" s="159"/>
      <x:c r="Y302" s="159"/>
      <x:c r="Z302" s="159"/>
      <x:c r="AA302" s="159"/>
      <x:c r="AB302" s="159"/>
      <x:c r="AC302" s="159"/>
      <x:c r="AD302" s="159"/>
      <x:c r="AE302" s="159"/>
      <x:c r="AF302" s="159"/>
      <x:c r="AG302" s="159"/>
      <x:c r="AH302" s="159"/>
      <x:c r="AI302" s="159"/>
      <x:c r="AJ302" s="159"/>
      <x:c r="AK302" s="159"/>
      <x:c r="AL302" s="159"/>
      <x:c r="AM302" s="159"/>
      <x:c r="AN302" s="159"/>
      <x:c r="AO302" s="159"/>
      <x:c r="AP302" s="159"/>
      <x:c r="AQ302" s="159"/>
      <x:c r="AR302" s="159"/>
      <x:c r="AS302" s="159"/>
      <x:c r="AT302" s="159"/>
      <x:c r="AU302" s="159"/>
      <x:c r="AV302" s="159"/>
      <x:c r="AW302" s="159"/>
      <x:c r="AX302" s="159"/>
      <x:c r="AY302" s="159"/>
      <x:c r="AZ302" s="159"/>
    </x:row>
    <x:row r="303">
      <x:c r="A303" s="159"/>
      <x:c r="B303" s="159"/>
      <x:c r="C303" s="159"/>
      <x:c r="D303" s="159"/>
      <x:c r="E303" s="159"/>
      <x:c r="F303" s="159"/>
      <x:c r="G303" s="159"/>
      <x:c r="H303" s="159"/>
      <x:c r="I303" s="159"/>
      <x:c r="J303" s="159"/>
      <x:c r="K303" s="159"/>
      <x:c r="L303" s="159"/>
      <x:c r="M303" s="159"/>
      <x:c r="N303" s="159"/>
      <x:c r="O303" s="159"/>
      <x:c r="P303" s="159"/>
      <x:c r="Q303" s="159"/>
      <x:c r="R303" s="159"/>
      <x:c r="S303" s="159"/>
      <x:c r="T303" s="159"/>
      <x:c r="U303" s="159"/>
      <x:c r="V303" s="159"/>
      <x:c r="W303" s="159"/>
      <x:c r="X303" s="159"/>
      <x:c r="Y303" s="159"/>
      <x:c r="Z303" s="159"/>
      <x:c r="AA303" s="159"/>
      <x:c r="AB303" s="159"/>
      <x:c r="AC303" s="159"/>
      <x:c r="AD303" s="159"/>
      <x:c r="AE303" s="159"/>
      <x:c r="AF303" s="159"/>
      <x:c r="AG303" s="159"/>
      <x:c r="AH303" s="159"/>
      <x:c r="AI303" s="159"/>
      <x:c r="AJ303" s="159"/>
      <x:c r="AK303" s="159"/>
      <x:c r="AL303" s="159"/>
      <x:c r="AM303" s="159"/>
      <x:c r="AN303" s="159"/>
      <x:c r="AO303" s="159"/>
      <x:c r="AP303" s="159"/>
      <x:c r="AQ303" s="159"/>
      <x:c r="AR303" s="159"/>
      <x:c r="AS303" s="159"/>
      <x:c r="AT303" s="159"/>
      <x:c r="AU303" s="159"/>
      <x:c r="AV303" s="159"/>
      <x:c r="AW303" s="159"/>
      <x:c r="AX303" s="159"/>
      <x:c r="AY303" s="159"/>
      <x:c r="AZ303" s="159"/>
    </x:row>
  </x:sheetData>
  <x:mergeCells>
    <x:mergeCell ref="A1:Z1"/>
    <x:mergeCell ref="A2:Z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4.25"/>
  <x:sheetData>
    <x:row r="1" ht="18">
      <x:c r="A1" s="205" t="s">
        <x:v>780</x:v>
      </x:c>
      <x:c r="B1" s="205"/>
      <x:c r="C1" s="205"/>
      <x:c r="D1" s="205"/>
      <x:c r="E1" s="205"/>
      <x:c r="F1" s="205"/>
      <x:c r="G1" s="205"/>
      <x:c r="H1" s="205"/>
      <x:c r="I1" s="205"/>
      <x:c r="J1" s="205"/>
      <x:c r="K1" s="205"/>
      <x:c r="L1" s="205"/>
      <x:c r="M1" s="205"/>
      <x:c r="N1" s="205"/>
      <x:c r="O1" s="205"/>
      <x:c r="P1" s="205"/>
      <x:c r="Q1" s="205"/>
      <x:c r="R1" s="205"/>
      <x:c r="S1" s="205"/>
      <x:c r="T1" s="205"/>
      <x:c r="U1" s="205"/>
      <x:c r="V1" s="205"/>
      <x:c r="W1" s="205"/>
    </x:row>
    <x:row r="2">
      <x:c r="A2" s="206" t="s">
        <x:v>781</x:v>
      </x:c>
      <x:c r="B2" s="206"/>
      <x:c r="C2" s="206"/>
      <x:c r="D2" s="206"/>
      <x:c r="E2" s="206"/>
      <x:c r="F2" s="206"/>
      <x:c r="G2" s="206"/>
      <x:c r="H2" s="206"/>
      <x:c r="I2" s="206"/>
      <x:c r="J2" s="206"/>
      <x:c r="K2" s="206"/>
      <x:c r="L2" s="206"/>
      <x:c r="M2" s="206"/>
      <x:c r="N2" s="206"/>
      <x:c r="O2" s="206"/>
      <x:c r="P2" s="206"/>
      <x:c r="Q2" s="206"/>
      <x:c r="R2" s="206"/>
      <x:c r="S2" s="206"/>
      <x:c r="T2" s="206"/>
      <x:c r="U2" s="206"/>
      <x:c r="V2" s="206"/>
      <x:c r="W2" s="206"/>
    </x:row>
    <x:row r="3" ht="45">
      <x:c r="A3" s="175" t="s">
        <x:v>734</x:v>
      </x:c>
      <x:c r="B3" s="175" t="s">
        <x:v>736</x:v>
      </x:c>
      <x:c r="C3" s="175" t="s">
        <x:v>738</x:v>
      </x:c>
      <x:c r="D3" s="175" t="s">
        <x:v>739</x:v>
      </x:c>
      <x:c r="E3" s="175" t="s">
        <x:v>740</x:v>
      </x:c>
      <x:c r="F3" s="175" t="s">
        <x:v>741</x:v>
      </x:c>
      <x:c r="G3" s="175" t="s">
        <x:v>742</x:v>
      </x:c>
      <x:c r="H3" s="175" t="s">
        <x:v>743</x:v>
      </x:c>
      <x:c r="I3" s="175" t="s">
        <x:v>782</x:v>
      </x:c>
      <x:c r="J3" s="175" t="s">
        <x:v>783</x:v>
      </x:c>
      <x:c r="K3" s="175" t="s">
        <x:v>784</x:v>
      </x:c>
      <x:c r="L3" s="175" t="s">
        <x:v>785</x:v>
      </x:c>
      <x:c r="M3" s="175" t="s">
        <x:v>786</x:v>
      </x:c>
      <x:c r="N3" s="175" t="s">
        <x:v>501</x:v>
      </x:c>
      <x:c r="O3" s="175" t="s">
        <x:v>787</x:v>
      </x:c>
      <x:c r="P3" s="175" t="s">
        <x:v>788</x:v>
      </x:c>
      <x:c r="Q3" s="175" t="s">
        <x:v>789</x:v>
      </x:c>
      <x:c r="R3" s="175" t="s">
        <x:v>790</x:v>
      </x:c>
      <x:c r="S3" s="175" t="s">
        <x:v>791</x:v>
      </x:c>
      <x:c r="T3" s="175" t="s">
        <x:v>746</x:v>
      </x:c>
      <x:c r="U3" s="175" t="s">
        <x:v>792</x:v>
      </x:c>
      <x:c r="V3" s="175" t="s">
        <x:v>793</x:v>
      </x:c>
      <x:c r="W3" s="175" t="s">
        <x:v>765</x:v>
      </x:c>
    </x:row>
    <x:row r="4">
      <x:c r="R4" t="str">
        <x:f t="shared" ref="R4:R67" si="0">IF(OR(I4="",J4=""),"",POWER(I4-J4,2))</x:f>
      </x:c>
      <x:c r="S4" t="str">
        <x:f t="shared" ref="S4:S67" si="1">IF(OR(I4="",J4=""),"",-((J4*LN(MAX(MIN(I4,0.999999),0.000001)))+((1-J4)*LN(MAX(MIN(1-I4,0.999999),0.000001)))))</x:f>
      </x:c>
    </x:row>
    <x:row r="5">
      <x:c r="R5" t="str">
        <x:f t="shared" si="0"/>
      </x:c>
      <x:c r="S5" t="str">
        <x:f t="shared" si="1"/>
      </x:c>
    </x:row>
    <x:row r="6">
      <x:c r="R6" t="str">
        <x:f t="shared" si="0"/>
      </x:c>
      <x:c r="S6" t="str">
        <x:f t="shared" si="1"/>
      </x:c>
    </x:row>
    <x:row r="7">
      <x:c r="R7" t="str">
        <x:f t="shared" si="0"/>
      </x:c>
      <x:c r="S7" t="str">
        <x:f t="shared" si="1"/>
      </x:c>
    </x:row>
    <x:row r="8">
      <x:c r="R8" t="str">
        <x:f t="shared" si="0"/>
      </x:c>
      <x:c r="S8" t="str">
        <x:f t="shared" si="1"/>
      </x:c>
    </x:row>
    <x:row r="9">
      <x:c r="R9" t="str">
        <x:f t="shared" si="0"/>
      </x:c>
      <x:c r="S9" t="str">
        <x:f t="shared" si="1"/>
      </x:c>
    </x:row>
    <x:row r="10">
      <x:c r="R10" t="str">
        <x:f t="shared" si="0"/>
      </x:c>
      <x:c r="S10" t="str">
        <x:f t="shared" si="1"/>
      </x:c>
    </x:row>
    <x:row r="11">
      <x:c r="R11" t="str">
        <x:f t="shared" si="0"/>
      </x:c>
      <x:c r="S11" t="str">
        <x:f t="shared" si="1"/>
      </x:c>
    </x:row>
    <x:row r="12">
      <x:c r="R12" t="str">
        <x:f t="shared" si="0"/>
      </x:c>
      <x:c r="S12" t="str">
        <x:f t="shared" si="1"/>
      </x:c>
    </x:row>
    <x:row r="13">
      <x:c r="R13" t="str">
        <x:f t="shared" si="0"/>
      </x:c>
      <x:c r="S13" t="str">
        <x:f t="shared" si="1"/>
      </x:c>
    </x:row>
    <x:row r="14">
      <x:c r="R14" t="str">
        <x:f t="shared" si="0"/>
      </x:c>
      <x:c r="S14" t="str">
        <x:f t="shared" si="1"/>
      </x:c>
    </x:row>
    <x:row r="15">
      <x:c r="R15" t="str">
        <x:f t="shared" si="0"/>
      </x:c>
      <x:c r="S15" t="str">
        <x:f t="shared" si="1"/>
      </x:c>
    </x:row>
    <x:row r="16">
      <x:c r="R16" t="str">
        <x:f t="shared" si="0"/>
      </x:c>
      <x:c r="S16" t="str">
        <x:f t="shared" si="1"/>
      </x:c>
    </x:row>
    <x:row r="17">
      <x:c r="R17" t="str">
        <x:f t="shared" si="0"/>
      </x:c>
      <x:c r="S17" t="str">
        <x:f t="shared" si="1"/>
      </x:c>
    </x:row>
    <x:row r="18">
      <x:c r="R18" t="str">
        <x:f t="shared" si="0"/>
      </x:c>
      <x:c r="S18" t="str">
        <x:f t="shared" si="1"/>
      </x:c>
    </x:row>
    <x:row r="19">
      <x:c r="R19" t="str">
        <x:f t="shared" si="0"/>
      </x:c>
      <x:c r="S19" t="str">
        <x:f t="shared" si="1"/>
      </x:c>
    </x:row>
    <x:row r="20">
      <x:c r="R20" t="str">
        <x:f t="shared" si="0"/>
      </x:c>
      <x:c r="S20" t="str">
        <x:f t="shared" si="1"/>
      </x:c>
    </x:row>
    <x:row r="21">
      <x:c r="R21" t="str">
        <x:f t="shared" si="0"/>
      </x:c>
      <x:c r="S21" t="str">
        <x:f t="shared" si="1"/>
      </x:c>
    </x:row>
    <x:row r="22">
      <x:c r="R22" t="str">
        <x:f t="shared" si="0"/>
      </x:c>
      <x:c r="S22" t="str">
        <x:f t="shared" si="1"/>
      </x:c>
    </x:row>
    <x:row r="23">
      <x:c r="R23" t="str">
        <x:f t="shared" si="0"/>
      </x:c>
      <x:c r="S23" t="str">
        <x:f t="shared" si="1"/>
      </x:c>
    </x:row>
    <x:row r="24">
      <x:c r="R24" t="str">
        <x:f t="shared" si="0"/>
      </x:c>
      <x:c r="S24" t="str">
        <x:f t="shared" si="1"/>
      </x:c>
    </x:row>
    <x:row r="25">
      <x:c r="R25" t="str">
        <x:f t="shared" si="0"/>
      </x:c>
      <x:c r="S25" t="str">
        <x:f t="shared" si="1"/>
      </x:c>
    </x:row>
    <x:row r="26">
      <x:c r="R26" t="str">
        <x:f t="shared" si="0"/>
      </x:c>
      <x:c r="S26" t="str">
        <x:f t="shared" si="1"/>
      </x:c>
    </x:row>
    <x:row r="27">
      <x:c r="R27" t="str">
        <x:f t="shared" si="0"/>
      </x:c>
      <x:c r="S27" t="str">
        <x:f t="shared" si="1"/>
      </x:c>
    </x:row>
    <x:row r="28">
      <x:c r="R28" t="str">
        <x:f t="shared" si="0"/>
      </x:c>
      <x:c r="S28" t="str">
        <x:f t="shared" si="1"/>
      </x:c>
    </x:row>
    <x:row r="29">
      <x:c r="R29" t="str">
        <x:f t="shared" si="0"/>
      </x:c>
      <x:c r="S29" t="str">
        <x:f t="shared" si="1"/>
      </x:c>
    </x:row>
    <x:row r="30">
      <x:c r="R30" t="str">
        <x:f t="shared" si="0"/>
      </x:c>
      <x:c r="S30" t="str">
        <x:f t="shared" si="1"/>
      </x:c>
    </x:row>
    <x:row r="31">
      <x:c r="R31" t="str">
        <x:f t="shared" si="0"/>
      </x:c>
      <x:c r="S31" t="str">
        <x:f t="shared" si="1"/>
      </x:c>
    </x:row>
    <x:row r="32">
      <x:c r="R32" t="str">
        <x:f t="shared" si="0"/>
      </x:c>
      <x:c r="S32" t="str">
        <x:f t="shared" si="1"/>
      </x:c>
    </x:row>
    <x:row r="33">
      <x:c r="R33" t="str">
        <x:f t="shared" si="0"/>
      </x:c>
      <x:c r="S33" t="str">
        <x:f t="shared" si="1"/>
      </x:c>
    </x:row>
    <x:row r="34">
      <x:c r="R34" t="str">
        <x:f t="shared" si="0"/>
      </x:c>
      <x:c r="S34" t="str">
        <x:f t="shared" si="1"/>
      </x:c>
    </x:row>
    <x:row r="35">
      <x:c r="R35" t="str">
        <x:f t="shared" si="0"/>
      </x:c>
      <x:c r="S35" t="str">
        <x:f t="shared" si="1"/>
      </x:c>
    </x:row>
    <x:row r="36">
      <x:c r="R36" t="str">
        <x:f t="shared" si="0"/>
      </x:c>
      <x:c r="S36" t="str">
        <x:f t="shared" si="1"/>
      </x:c>
    </x:row>
    <x:row r="37">
      <x:c r="R37" t="str">
        <x:f t="shared" si="0"/>
      </x:c>
      <x:c r="S37" t="str">
        <x:f t="shared" si="1"/>
      </x:c>
    </x:row>
    <x:row r="38">
      <x:c r="R38" t="str">
        <x:f t="shared" si="0"/>
      </x:c>
      <x:c r="S38" t="str">
        <x:f t="shared" si="1"/>
      </x:c>
    </x:row>
    <x:row r="39">
      <x:c r="R39" t="str">
        <x:f t="shared" si="0"/>
      </x:c>
      <x:c r="S39" t="str">
        <x:f t="shared" si="1"/>
      </x:c>
    </x:row>
    <x:row r="40">
      <x:c r="R40" t="str">
        <x:f t="shared" si="0"/>
      </x:c>
      <x:c r="S40" t="str">
        <x:f t="shared" si="1"/>
      </x:c>
    </x:row>
    <x:row r="41">
      <x:c r="R41" t="str">
        <x:f t="shared" si="0"/>
      </x:c>
      <x:c r="S41" t="str">
        <x:f t="shared" si="1"/>
      </x:c>
    </x:row>
    <x:row r="42">
      <x:c r="R42" t="str">
        <x:f t="shared" si="0"/>
      </x:c>
      <x:c r="S42" t="str">
        <x:f t="shared" si="1"/>
      </x:c>
    </x:row>
    <x:row r="43">
      <x:c r="R43" t="str">
        <x:f t="shared" si="0"/>
      </x:c>
      <x:c r="S43" t="str">
        <x:f t="shared" si="1"/>
      </x:c>
    </x:row>
    <x:row r="44">
      <x:c r="R44" t="str">
        <x:f t="shared" si="0"/>
      </x:c>
      <x:c r="S44" t="str">
        <x:f t="shared" si="1"/>
      </x:c>
    </x:row>
    <x:row r="45">
      <x:c r="R45" t="str">
        <x:f t="shared" si="0"/>
      </x:c>
      <x:c r="S45" t="str">
        <x:f t="shared" si="1"/>
      </x:c>
    </x:row>
    <x:row r="46">
      <x:c r="R46" t="str">
        <x:f t="shared" si="0"/>
      </x:c>
      <x:c r="S46" t="str">
        <x:f t="shared" si="1"/>
      </x:c>
    </x:row>
    <x:row r="47">
      <x:c r="R47" t="str">
        <x:f t="shared" si="0"/>
      </x:c>
      <x:c r="S47" t="str">
        <x:f t="shared" si="1"/>
      </x:c>
    </x:row>
    <x:row r="48">
      <x:c r="R48" t="str">
        <x:f t="shared" si="0"/>
      </x:c>
      <x:c r="S48" t="str">
        <x:f t="shared" si="1"/>
      </x:c>
    </x:row>
    <x:row r="49">
      <x:c r="R49" t="str">
        <x:f t="shared" si="0"/>
      </x:c>
      <x:c r="S49" t="str">
        <x:f t="shared" si="1"/>
      </x:c>
    </x:row>
    <x:row r="50">
      <x:c r="R50" t="str">
        <x:f t="shared" si="0"/>
      </x:c>
      <x:c r="S50" t="str">
        <x:f t="shared" si="1"/>
      </x:c>
    </x:row>
    <x:row r="51">
      <x:c r="R51" t="str">
        <x:f t="shared" si="0"/>
      </x:c>
      <x:c r="S51" t="str">
        <x:f t="shared" si="1"/>
      </x:c>
    </x:row>
    <x:row r="52">
      <x:c r="R52" t="str">
        <x:f t="shared" si="0"/>
      </x:c>
      <x:c r="S52" t="str">
        <x:f t="shared" si="1"/>
      </x:c>
    </x:row>
    <x:row r="53">
      <x:c r="R53" t="str">
        <x:f t="shared" si="0"/>
      </x:c>
      <x:c r="S53" t="str">
        <x:f t="shared" si="1"/>
      </x:c>
    </x:row>
    <x:row r="54">
      <x:c r="R54" t="str">
        <x:f t="shared" si="0"/>
      </x:c>
      <x:c r="S54" t="str">
        <x:f t="shared" si="1"/>
      </x:c>
    </x:row>
    <x:row r="55">
      <x:c r="R55" t="str">
        <x:f t="shared" si="0"/>
      </x:c>
      <x:c r="S55" t="str">
        <x:f t="shared" si="1"/>
      </x:c>
    </x:row>
    <x:row r="56">
      <x:c r="R56" t="str">
        <x:f t="shared" si="0"/>
      </x:c>
      <x:c r="S56" t="str">
        <x:f t="shared" si="1"/>
      </x:c>
    </x:row>
    <x:row r="57">
      <x:c r="R57" t="str">
        <x:f t="shared" si="0"/>
      </x:c>
      <x:c r="S57" t="str">
        <x:f t="shared" si="1"/>
      </x:c>
    </x:row>
    <x:row r="58">
      <x:c r="R58" t="str">
        <x:f t="shared" si="0"/>
      </x:c>
      <x:c r="S58" t="str">
        <x:f t="shared" si="1"/>
      </x:c>
    </x:row>
    <x:row r="59">
      <x:c r="R59" t="str">
        <x:f t="shared" si="0"/>
      </x:c>
      <x:c r="S59" t="str">
        <x:f t="shared" si="1"/>
      </x:c>
    </x:row>
    <x:row r="60">
      <x:c r="R60" t="str">
        <x:f t="shared" si="0"/>
      </x:c>
      <x:c r="S60" t="str">
        <x:f t="shared" si="1"/>
      </x:c>
    </x:row>
    <x:row r="61">
      <x:c r="R61" t="str">
        <x:f t="shared" si="0"/>
      </x:c>
      <x:c r="S61" t="str">
        <x:f t="shared" si="1"/>
      </x:c>
    </x:row>
    <x:row r="62">
      <x:c r="R62" t="str">
        <x:f t="shared" si="0"/>
      </x:c>
      <x:c r="S62" t="str">
        <x:f t="shared" si="1"/>
      </x:c>
    </x:row>
    <x:row r="63">
      <x:c r="R63" t="str">
        <x:f t="shared" si="0"/>
      </x:c>
      <x:c r="S63" t="str">
        <x:f t="shared" si="1"/>
      </x:c>
    </x:row>
    <x:row r="64">
      <x:c r="R64" t="str">
        <x:f t="shared" si="0"/>
      </x:c>
      <x:c r="S64" t="str">
        <x:f t="shared" si="1"/>
      </x:c>
    </x:row>
    <x:row r="65">
      <x:c r="R65" t="str">
        <x:f t="shared" si="0"/>
      </x:c>
      <x:c r="S65" t="str">
        <x:f t="shared" si="1"/>
      </x:c>
    </x:row>
    <x:row r="66">
      <x:c r="R66" t="str">
        <x:f t="shared" si="0"/>
      </x:c>
      <x:c r="S66" t="str">
        <x:f t="shared" si="1"/>
      </x:c>
    </x:row>
    <x:row r="67">
      <x:c r="R67" t="str">
        <x:f t="shared" si="0"/>
      </x:c>
      <x:c r="S67" t="str">
        <x:f t="shared" si="1"/>
      </x:c>
    </x:row>
    <x:row r="68">
      <x:c r="R68" t="str">
        <x:f t="shared" ref="R68:R131" si="2">IF(OR(I68="",J68=""),"",POWER(I68-J68,2))</x:f>
      </x:c>
      <x:c r="S68" t="str">
        <x:f t="shared" ref="S68:S131" si="3">IF(OR(I68="",J68=""),"",-((J68*LN(MAX(MIN(I68,0.999999),0.000001)))+((1-J68)*LN(MAX(MIN(1-I68,0.999999),0.000001)))))</x:f>
      </x:c>
    </x:row>
    <x:row r="69">
      <x:c r="R69" t="str">
        <x:f t="shared" si="2"/>
      </x:c>
      <x:c r="S69" t="str">
        <x:f t="shared" si="3"/>
      </x:c>
    </x:row>
    <x:row r="70">
      <x:c r="R70" t="str">
        <x:f t="shared" si="2"/>
      </x:c>
      <x:c r="S70" t="str">
        <x:f t="shared" si="3"/>
      </x:c>
    </x:row>
    <x:row r="71">
      <x:c r="R71" t="str">
        <x:f t="shared" si="2"/>
      </x:c>
      <x:c r="S71" t="str">
        <x:f t="shared" si="3"/>
      </x:c>
    </x:row>
    <x:row r="72">
      <x:c r="R72" t="str">
        <x:f t="shared" si="2"/>
      </x:c>
      <x:c r="S72" t="str">
        <x:f t="shared" si="3"/>
      </x:c>
    </x:row>
    <x:row r="73">
      <x:c r="R73" t="str">
        <x:f t="shared" si="2"/>
      </x:c>
      <x:c r="S73" t="str">
        <x:f t="shared" si="3"/>
      </x:c>
    </x:row>
    <x:row r="74">
      <x:c r="R74" t="str">
        <x:f t="shared" si="2"/>
      </x:c>
      <x:c r="S74" t="str">
        <x:f t="shared" si="3"/>
      </x:c>
    </x:row>
    <x:row r="75">
      <x:c r="R75" t="str">
        <x:f t="shared" si="2"/>
      </x:c>
      <x:c r="S75" t="str">
        <x:f t="shared" si="3"/>
      </x:c>
    </x:row>
    <x:row r="76">
      <x:c r="R76" t="str">
        <x:f t="shared" si="2"/>
      </x:c>
      <x:c r="S76" t="str">
        <x:f t="shared" si="3"/>
      </x:c>
    </x:row>
    <x:row r="77">
      <x:c r="R77" t="str">
        <x:f t="shared" si="2"/>
      </x:c>
      <x:c r="S77" t="str">
        <x:f t="shared" si="3"/>
      </x:c>
    </x:row>
    <x:row r="78">
      <x:c r="R78" t="str">
        <x:f t="shared" si="2"/>
      </x:c>
      <x:c r="S78" t="str">
        <x:f t="shared" si="3"/>
      </x:c>
    </x:row>
    <x:row r="79">
      <x:c r="R79" t="str">
        <x:f t="shared" si="2"/>
      </x:c>
      <x:c r="S79" t="str">
        <x:f t="shared" si="3"/>
      </x:c>
    </x:row>
    <x:row r="80">
      <x:c r="R80" t="str">
        <x:f t="shared" si="2"/>
      </x:c>
      <x:c r="S80" t="str">
        <x:f t="shared" si="3"/>
      </x:c>
    </x:row>
    <x:row r="81">
      <x:c r="R81" t="str">
        <x:f t="shared" si="2"/>
      </x:c>
      <x:c r="S81" t="str">
        <x:f t="shared" si="3"/>
      </x:c>
    </x:row>
    <x:row r="82">
      <x:c r="R82" t="str">
        <x:f t="shared" si="2"/>
      </x:c>
      <x:c r="S82" t="str">
        <x:f t="shared" si="3"/>
      </x:c>
    </x:row>
    <x:row r="83">
      <x:c r="R83" t="str">
        <x:f t="shared" si="2"/>
      </x:c>
      <x:c r="S83" t="str">
        <x:f t="shared" si="3"/>
      </x:c>
    </x:row>
    <x:row r="84">
      <x:c r="R84" t="str">
        <x:f t="shared" si="2"/>
      </x:c>
      <x:c r="S84" t="str">
        <x:f t="shared" si="3"/>
      </x:c>
    </x:row>
    <x:row r="85">
      <x:c r="R85" t="str">
        <x:f t="shared" si="2"/>
      </x:c>
      <x:c r="S85" t="str">
        <x:f t="shared" si="3"/>
      </x:c>
    </x:row>
    <x:row r="86">
      <x:c r="R86" t="str">
        <x:f t="shared" si="2"/>
      </x:c>
      <x:c r="S86" t="str">
        <x:f t="shared" si="3"/>
      </x:c>
    </x:row>
    <x:row r="87">
      <x:c r="R87" t="str">
        <x:f t="shared" si="2"/>
      </x:c>
      <x:c r="S87" t="str">
        <x:f t="shared" si="3"/>
      </x:c>
    </x:row>
    <x:row r="88">
      <x:c r="R88" t="str">
        <x:f t="shared" si="2"/>
      </x:c>
      <x:c r="S88" t="str">
        <x:f t="shared" si="3"/>
      </x:c>
    </x:row>
    <x:row r="89">
      <x:c r="R89" t="str">
        <x:f t="shared" si="2"/>
      </x:c>
      <x:c r="S89" t="str">
        <x:f t="shared" si="3"/>
      </x:c>
    </x:row>
    <x:row r="90">
      <x:c r="R90" t="str">
        <x:f t="shared" si="2"/>
      </x:c>
      <x:c r="S90" t="str">
        <x:f t="shared" si="3"/>
      </x:c>
    </x:row>
    <x:row r="91">
      <x:c r="R91" t="str">
        <x:f t="shared" si="2"/>
      </x:c>
      <x:c r="S91" t="str">
        <x:f t="shared" si="3"/>
      </x:c>
    </x:row>
    <x:row r="92">
      <x:c r="R92" t="str">
        <x:f t="shared" si="2"/>
      </x:c>
      <x:c r="S92" t="str">
        <x:f t="shared" si="3"/>
      </x:c>
    </x:row>
    <x:row r="93">
      <x:c r="R93" t="str">
        <x:f t="shared" si="2"/>
      </x:c>
      <x:c r="S93" t="str">
        <x:f t="shared" si="3"/>
      </x:c>
    </x:row>
    <x:row r="94">
      <x:c r="R94" t="str">
        <x:f t="shared" si="2"/>
      </x:c>
      <x:c r="S94" t="str">
        <x:f t="shared" si="3"/>
      </x:c>
    </x:row>
    <x:row r="95">
      <x:c r="R95" t="str">
        <x:f t="shared" si="2"/>
      </x:c>
      <x:c r="S95" t="str">
        <x:f t="shared" si="3"/>
      </x:c>
    </x:row>
    <x:row r="96">
      <x:c r="R96" t="str">
        <x:f t="shared" si="2"/>
      </x:c>
      <x:c r="S96" t="str">
        <x:f t="shared" si="3"/>
      </x:c>
    </x:row>
    <x:row r="97">
      <x:c r="R97" t="str">
        <x:f t="shared" si="2"/>
      </x:c>
      <x:c r="S97" t="str">
        <x:f t="shared" si="3"/>
      </x:c>
    </x:row>
    <x:row r="98">
      <x:c r="R98" t="str">
        <x:f t="shared" si="2"/>
      </x:c>
      <x:c r="S98" t="str">
        <x:f t="shared" si="3"/>
      </x:c>
    </x:row>
    <x:row r="99">
      <x:c r="R99" t="str">
        <x:f t="shared" si="2"/>
      </x:c>
      <x:c r="S99" t="str">
        <x:f t="shared" si="3"/>
      </x:c>
    </x:row>
    <x:row r="100">
      <x:c r="R100" t="str">
        <x:f t="shared" si="2"/>
      </x:c>
      <x:c r="S100" t="str">
        <x:f t="shared" si="3"/>
      </x:c>
    </x:row>
    <x:row r="101">
      <x:c r="R101" t="str">
        <x:f t="shared" si="2"/>
      </x:c>
      <x:c r="S101" t="str">
        <x:f t="shared" si="3"/>
      </x:c>
    </x:row>
    <x:row r="102">
      <x:c r="R102" t="str">
        <x:f t="shared" si="2"/>
      </x:c>
      <x:c r="S102" t="str">
        <x:f t="shared" si="3"/>
      </x:c>
    </x:row>
    <x:row r="103">
      <x:c r="R103" t="str">
        <x:f t="shared" si="2"/>
      </x:c>
      <x:c r="S103" t="str">
        <x:f t="shared" si="3"/>
      </x:c>
    </x:row>
    <x:row r="104">
      <x:c r="R104" t="str">
        <x:f t="shared" si="2"/>
      </x:c>
      <x:c r="S104" t="str">
        <x:f t="shared" si="3"/>
      </x:c>
    </x:row>
    <x:row r="105">
      <x:c r="R105" t="str">
        <x:f t="shared" si="2"/>
      </x:c>
      <x:c r="S105" t="str">
        <x:f t="shared" si="3"/>
      </x:c>
    </x:row>
    <x:row r="106">
      <x:c r="R106" t="str">
        <x:f t="shared" si="2"/>
      </x:c>
      <x:c r="S106" t="str">
        <x:f t="shared" si="3"/>
      </x:c>
    </x:row>
    <x:row r="107">
      <x:c r="R107" t="str">
        <x:f t="shared" si="2"/>
      </x:c>
      <x:c r="S107" t="str">
        <x:f t="shared" si="3"/>
      </x:c>
    </x:row>
    <x:row r="108">
      <x:c r="R108" t="str">
        <x:f t="shared" si="2"/>
      </x:c>
      <x:c r="S108" t="str">
        <x:f t="shared" si="3"/>
      </x:c>
    </x:row>
    <x:row r="109">
      <x:c r="R109" t="str">
        <x:f t="shared" si="2"/>
      </x:c>
      <x:c r="S109" t="str">
        <x:f t="shared" si="3"/>
      </x:c>
    </x:row>
    <x:row r="110">
      <x:c r="R110" t="str">
        <x:f t="shared" si="2"/>
      </x:c>
      <x:c r="S110" t="str">
        <x:f t="shared" si="3"/>
      </x:c>
    </x:row>
    <x:row r="111">
      <x:c r="R111" t="str">
        <x:f t="shared" si="2"/>
      </x:c>
      <x:c r="S111" t="str">
        <x:f t="shared" si="3"/>
      </x:c>
    </x:row>
    <x:row r="112">
      <x:c r="R112" t="str">
        <x:f t="shared" si="2"/>
      </x:c>
      <x:c r="S112" t="str">
        <x:f t="shared" si="3"/>
      </x:c>
    </x:row>
    <x:row r="113">
      <x:c r="R113" t="str">
        <x:f t="shared" si="2"/>
      </x:c>
      <x:c r="S113" t="str">
        <x:f t="shared" si="3"/>
      </x:c>
    </x:row>
    <x:row r="114">
      <x:c r="R114" t="str">
        <x:f t="shared" si="2"/>
      </x:c>
      <x:c r="S114" t="str">
        <x:f t="shared" si="3"/>
      </x:c>
    </x:row>
    <x:row r="115">
      <x:c r="R115" t="str">
        <x:f t="shared" si="2"/>
      </x:c>
      <x:c r="S115" t="str">
        <x:f t="shared" si="3"/>
      </x:c>
    </x:row>
    <x:row r="116">
      <x:c r="R116" t="str">
        <x:f t="shared" si="2"/>
      </x:c>
      <x:c r="S116" t="str">
        <x:f t="shared" si="3"/>
      </x:c>
    </x:row>
    <x:row r="117">
      <x:c r="R117" t="str">
        <x:f t="shared" si="2"/>
      </x:c>
      <x:c r="S117" t="str">
        <x:f t="shared" si="3"/>
      </x:c>
    </x:row>
    <x:row r="118">
      <x:c r="R118" t="str">
        <x:f t="shared" si="2"/>
      </x:c>
      <x:c r="S118" t="str">
        <x:f t="shared" si="3"/>
      </x:c>
    </x:row>
    <x:row r="119">
      <x:c r="R119" t="str">
        <x:f t="shared" si="2"/>
      </x:c>
      <x:c r="S119" t="str">
        <x:f t="shared" si="3"/>
      </x:c>
    </x:row>
    <x:row r="120">
      <x:c r="R120" t="str">
        <x:f t="shared" si="2"/>
      </x:c>
      <x:c r="S120" t="str">
        <x:f t="shared" si="3"/>
      </x:c>
    </x:row>
    <x:row r="121">
      <x:c r="R121" t="str">
        <x:f t="shared" si="2"/>
      </x:c>
      <x:c r="S121" t="str">
        <x:f t="shared" si="3"/>
      </x:c>
    </x:row>
    <x:row r="122">
      <x:c r="R122" t="str">
        <x:f t="shared" si="2"/>
      </x:c>
      <x:c r="S122" t="str">
        <x:f t="shared" si="3"/>
      </x:c>
    </x:row>
    <x:row r="123">
      <x:c r="R123" t="str">
        <x:f t="shared" si="2"/>
      </x:c>
      <x:c r="S123" t="str">
        <x:f t="shared" si="3"/>
      </x:c>
    </x:row>
    <x:row r="124">
      <x:c r="R124" t="str">
        <x:f t="shared" si="2"/>
      </x:c>
      <x:c r="S124" t="str">
        <x:f t="shared" si="3"/>
      </x:c>
    </x:row>
    <x:row r="125">
      <x:c r="R125" t="str">
        <x:f t="shared" si="2"/>
      </x:c>
      <x:c r="S125" t="str">
        <x:f t="shared" si="3"/>
      </x:c>
    </x:row>
    <x:row r="126">
      <x:c r="R126" t="str">
        <x:f t="shared" si="2"/>
      </x:c>
      <x:c r="S126" t="str">
        <x:f t="shared" si="3"/>
      </x:c>
    </x:row>
    <x:row r="127">
      <x:c r="R127" t="str">
        <x:f t="shared" si="2"/>
      </x:c>
      <x:c r="S127" t="str">
        <x:f t="shared" si="3"/>
      </x:c>
    </x:row>
    <x:row r="128">
      <x:c r="R128" t="str">
        <x:f t="shared" si="2"/>
      </x:c>
      <x:c r="S128" t="str">
        <x:f t="shared" si="3"/>
      </x:c>
    </x:row>
    <x:row r="129">
      <x:c r="R129" t="str">
        <x:f t="shared" si="2"/>
      </x:c>
      <x:c r="S129" t="str">
        <x:f t="shared" si="3"/>
      </x:c>
    </x:row>
    <x:row r="130">
      <x:c r="R130" t="str">
        <x:f t="shared" si="2"/>
      </x:c>
      <x:c r="S130" t="str">
        <x:f t="shared" si="3"/>
      </x:c>
    </x:row>
    <x:row r="131">
      <x:c r="R131" t="str">
        <x:f t="shared" si="2"/>
      </x:c>
      <x:c r="S131" t="str">
        <x:f t="shared" si="3"/>
      </x:c>
    </x:row>
    <x:row r="132">
      <x:c r="R132" t="str">
        <x:f t="shared" ref="R132:R195" si="4">IF(OR(I132="",J132=""),"",POWER(I132-J132,2))</x:f>
      </x:c>
      <x:c r="S132" t="str">
        <x:f t="shared" ref="S132:S195" si="5">IF(OR(I132="",J132=""),"",-((J132*LN(MAX(MIN(I132,0.999999),0.000001)))+((1-J132)*LN(MAX(MIN(1-I132,0.999999),0.000001)))))</x:f>
      </x:c>
    </x:row>
    <x:row r="133">
      <x:c r="R133" t="str">
        <x:f t="shared" si="4"/>
      </x:c>
      <x:c r="S133" t="str">
        <x:f t="shared" si="5"/>
      </x:c>
    </x:row>
    <x:row r="134">
      <x:c r="R134" t="str">
        <x:f t="shared" si="4"/>
      </x:c>
      <x:c r="S134" t="str">
        <x:f t="shared" si="5"/>
      </x:c>
    </x:row>
    <x:row r="135">
      <x:c r="R135" t="str">
        <x:f t="shared" si="4"/>
      </x:c>
      <x:c r="S135" t="str">
        <x:f t="shared" si="5"/>
      </x:c>
    </x:row>
    <x:row r="136">
      <x:c r="R136" t="str">
        <x:f t="shared" si="4"/>
      </x:c>
      <x:c r="S136" t="str">
        <x:f t="shared" si="5"/>
      </x:c>
    </x:row>
    <x:row r="137">
      <x:c r="R137" t="str">
        <x:f t="shared" si="4"/>
      </x:c>
      <x:c r="S137" t="str">
        <x:f t="shared" si="5"/>
      </x:c>
    </x:row>
    <x:row r="138">
      <x:c r="R138" t="str">
        <x:f t="shared" si="4"/>
      </x:c>
      <x:c r="S138" t="str">
        <x:f t="shared" si="5"/>
      </x:c>
    </x:row>
    <x:row r="139">
      <x:c r="R139" t="str">
        <x:f t="shared" si="4"/>
      </x:c>
      <x:c r="S139" t="str">
        <x:f t="shared" si="5"/>
      </x:c>
    </x:row>
    <x:row r="140">
      <x:c r="R140" t="str">
        <x:f t="shared" si="4"/>
      </x:c>
      <x:c r="S140" t="str">
        <x:f t="shared" si="5"/>
      </x:c>
    </x:row>
    <x:row r="141">
      <x:c r="R141" t="str">
        <x:f t="shared" si="4"/>
      </x:c>
      <x:c r="S141" t="str">
        <x:f t="shared" si="5"/>
      </x:c>
    </x:row>
    <x:row r="142">
      <x:c r="R142" t="str">
        <x:f t="shared" si="4"/>
      </x:c>
      <x:c r="S142" t="str">
        <x:f t="shared" si="5"/>
      </x:c>
    </x:row>
    <x:row r="143">
      <x:c r="R143" t="str">
        <x:f t="shared" si="4"/>
      </x:c>
      <x:c r="S143" t="str">
        <x:f t="shared" si="5"/>
      </x:c>
    </x:row>
    <x:row r="144">
      <x:c r="R144" t="str">
        <x:f t="shared" si="4"/>
      </x:c>
      <x:c r="S144" t="str">
        <x:f t="shared" si="5"/>
      </x:c>
    </x:row>
    <x:row r="145">
      <x:c r="R145" t="str">
        <x:f t="shared" si="4"/>
      </x:c>
      <x:c r="S145" t="str">
        <x:f t="shared" si="5"/>
      </x:c>
    </x:row>
    <x:row r="146">
      <x:c r="R146" t="str">
        <x:f t="shared" si="4"/>
      </x:c>
      <x:c r="S146" t="str">
        <x:f t="shared" si="5"/>
      </x:c>
    </x:row>
    <x:row r="147">
      <x:c r="R147" t="str">
        <x:f t="shared" si="4"/>
      </x:c>
      <x:c r="S147" t="str">
        <x:f t="shared" si="5"/>
      </x:c>
    </x:row>
    <x:row r="148">
      <x:c r="R148" t="str">
        <x:f t="shared" si="4"/>
      </x:c>
      <x:c r="S148" t="str">
        <x:f t="shared" si="5"/>
      </x:c>
    </x:row>
    <x:row r="149">
      <x:c r="R149" t="str">
        <x:f t="shared" si="4"/>
      </x:c>
      <x:c r="S149" t="str">
        <x:f t="shared" si="5"/>
      </x:c>
    </x:row>
    <x:row r="150">
      <x:c r="R150" t="str">
        <x:f t="shared" si="4"/>
      </x:c>
      <x:c r="S150" t="str">
        <x:f t="shared" si="5"/>
      </x:c>
    </x:row>
    <x:row r="151">
      <x:c r="R151" t="str">
        <x:f t="shared" si="4"/>
      </x:c>
      <x:c r="S151" t="str">
        <x:f t="shared" si="5"/>
      </x:c>
    </x:row>
    <x:row r="152">
      <x:c r="R152" t="str">
        <x:f t="shared" si="4"/>
      </x:c>
      <x:c r="S152" t="str">
        <x:f t="shared" si="5"/>
      </x:c>
    </x:row>
    <x:row r="153">
      <x:c r="R153" t="str">
        <x:f t="shared" si="4"/>
      </x:c>
      <x:c r="S153" t="str">
        <x:f t="shared" si="5"/>
      </x:c>
    </x:row>
    <x:row r="154">
      <x:c r="R154" t="str">
        <x:f t="shared" si="4"/>
      </x:c>
      <x:c r="S154" t="str">
        <x:f t="shared" si="5"/>
      </x:c>
    </x:row>
    <x:row r="155">
      <x:c r="R155" t="str">
        <x:f t="shared" si="4"/>
      </x:c>
      <x:c r="S155" t="str">
        <x:f t="shared" si="5"/>
      </x:c>
    </x:row>
    <x:row r="156">
      <x:c r="R156" t="str">
        <x:f t="shared" si="4"/>
      </x:c>
      <x:c r="S156" t="str">
        <x:f t="shared" si="5"/>
      </x:c>
    </x:row>
    <x:row r="157">
      <x:c r="R157" t="str">
        <x:f t="shared" si="4"/>
      </x:c>
      <x:c r="S157" t="str">
        <x:f t="shared" si="5"/>
      </x:c>
    </x:row>
    <x:row r="158">
      <x:c r="R158" t="str">
        <x:f t="shared" si="4"/>
      </x:c>
      <x:c r="S158" t="str">
        <x:f t="shared" si="5"/>
      </x:c>
    </x:row>
    <x:row r="159">
      <x:c r="R159" t="str">
        <x:f t="shared" si="4"/>
      </x:c>
      <x:c r="S159" t="str">
        <x:f t="shared" si="5"/>
      </x:c>
    </x:row>
    <x:row r="160">
      <x:c r="R160" t="str">
        <x:f t="shared" si="4"/>
      </x:c>
      <x:c r="S160" t="str">
        <x:f t="shared" si="5"/>
      </x:c>
    </x:row>
    <x:row r="161">
      <x:c r="R161" t="str">
        <x:f t="shared" si="4"/>
      </x:c>
      <x:c r="S161" t="str">
        <x:f t="shared" si="5"/>
      </x:c>
    </x:row>
    <x:row r="162">
      <x:c r="R162" t="str">
        <x:f t="shared" si="4"/>
      </x:c>
      <x:c r="S162" t="str">
        <x:f t="shared" si="5"/>
      </x:c>
    </x:row>
    <x:row r="163">
      <x:c r="R163" t="str">
        <x:f t="shared" si="4"/>
      </x:c>
      <x:c r="S163" t="str">
        <x:f t="shared" si="5"/>
      </x:c>
    </x:row>
    <x:row r="164">
      <x:c r="R164" t="str">
        <x:f t="shared" si="4"/>
      </x:c>
      <x:c r="S164" t="str">
        <x:f t="shared" si="5"/>
      </x:c>
    </x:row>
    <x:row r="165">
      <x:c r="R165" t="str">
        <x:f t="shared" si="4"/>
      </x:c>
      <x:c r="S165" t="str">
        <x:f t="shared" si="5"/>
      </x:c>
    </x:row>
    <x:row r="166">
      <x:c r="R166" t="str">
        <x:f t="shared" si="4"/>
      </x:c>
      <x:c r="S166" t="str">
        <x:f t="shared" si="5"/>
      </x:c>
    </x:row>
    <x:row r="167">
      <x:c r="R167" t="str">
        <x:f t="shared" si="4"/>
      </x:c>
      <x:c r="S167" t="str">
        <x:f t="shared" si="5"/>
      </x:c>
    </x:row>
    <x:row r="168">
      <x:c r="R168" t="str">
        <x:f t="shared" si="4"/>
      </x:c>
      <x:c r="S168" t="str">
        <x:f t="shared" si="5"/>
      </x:c>
    </x:row>
    <x:row r="169">
      <x:c r="R169" t="str">
        <x:f t="shared" si="4"/>
      </x:c>
      <x:c r="S169" t="str">
        <x:f t="shared" si="5"/>
      </x:c>
    </x:row>
    <x:row r="170">
      <x:c r="R170" t="str">
        <x:f t="shared" si="4"/>
      </x:c>
      <x:c r="S170" t="str">
        <x:f t="shared" si="5"/>
      </x:c>
    </x:row>
    <x:row r="171">
      <x:c r="R171" t="str">
        <x:f t="shared" si="4"/>
      </x:c>
      <x:c r="S171" t="str">
        <x:f t="shared" si="5"/>
      </x:c>
    </x:row>
    <x:row r="172">
      <x:c r="R172" t="str">
        <x:f t="shared" si="4"/>
      </x:c>
      <x:c r="S172" t="str">
        <x:f t="shared" si="5"/>
      </x:c>
    </x:row>
    <x:row r="173">
      <x:c r="R173" t="str">
        <x:f t="shared" si="4"/>
      </x:c>
      <x:c r="S173" t="str">
        <x:f t="shared" si="5"/>
      </x:c>
    </x:row>
    <x:row r="174">
      <x:c r="R174" t="str">
        <x:f t="shared" si="4"/>
      </x:c>
      <x:c r="S174" t="str">
        <x:f t="shared" si="5"/>
      </x:c>
    </x:row>
    <x:row r="175">
      <x:c r="R175" t="str">
        <x:f t="shared" si="4"/>
      </x:c>
      <x:c r="S175" t="str">
        <x:f t="shared" si="5"/>
      </x:c>
    </x:row>
    <x:row r="176">
      <x:c r="R176" t="str">
        <x:f t="shared" si="4"/>
      </x:c>
      <x:c r="S176" t="str">
        <x:f t="shared" si="5"/>
      </x:c>
    </x:row>
    <x:row r="177">
      <x:c r="R177" t="str">
        <x:f t="shared" si="4"/>
      </x:c>
      <x:c r="S177" t="str">
        <x:f t="shared" si="5"/>
      </x:c>
    </x:row>
    <x:row r="178">
      <x:c r="R178" t="str">
        <x:f t="shared" si="4"/>
      </x:c>
      <x:c r="S178" t="str">
        <x:f t="shared" si="5"/>
      </x:c>
    </x:row>
    <x:row r="179">
      <x:c r="R179" t="str">
        <x:f t="shared" si="4"/>
      </x:c>
      <x:c r="S179" t="str">
        <x:f t="shared" si="5"/>
      </x:c>
    </x:row>
    <x:row r="180">
      <x:c r="R180" t="str">
        <x:f t="shared" si="4"/>
      </x:c>
      <x:c r="S180" t="str">
        <x:f t="shared" si="5"/>
      </x:c>
    </x:row>
    <x:row r="181">
      <x:c r="R181" t="str">
        <x:f t="shared" si="4"/>
      </x:c>
      <x:c r="S181" t="str">
        <x:f t="shared" si="5"/>
      </x:c>
    </x:row>
    <x:row r="182">
      <x:c r="R182" t="str">
        <x:f t="shared" si="4"/>
      </x:c>
      <x:c r="S182" t="str">
        <x:f t="shared" si="5"/>
      </x:c>
    </x:row>
    <x:row r="183">
      <x:c r="R183" t="str">
        <x:f t="shared" si="4"/>
      </x:c>
      <x:c r="S183" t="str">
        <x:f t="shared" si="5"/>
      </x:c>
    </x:row>
    <x:row r="184">
      <x:c r="R184" t="str">
        <x:f t="shared" si="4"/>
      </x:c>
      <x:c r="S184" t="str">
        <x:f t="shared" si="5"/>
      </x:c>
    </x:row>
    <x:row r="185">
      <x:c r="R185" t="str">
        <x:f t="shared" si="4"/>
      </x:c>
      <x:c r="S185" t="str">
        <x:f t="shared" si="5"/>
      </x:c>
    </x:row>
    <x:row r="186">
      <x:c r="R186" t="str">
        <x:f t="shared" si="4"/>
      </x:c>
      <x:c r="S186" t="str">
        <x:f t="shared" si="5"/>
      </x:c>
    </x:row>
    <x:row r="187">
      <x:c r="R187" t="str">
        <x:f t="shared" si="4"/>
      </x:c>
      <x:c r="S187" t="str">
        <x:f t="shared" si="5"/>
      </x:c>
    </x:row>
    <x:row r="188">
      <x:c r="R188" t="str">
        <x:f t="shared" si="4"/>
      </x:c>
      <x:c r="S188" t="str">
        <x:f t="shared" si="5"/>
      </x:c>
    </x:row>
    <x:row r="189">
      <x:c r="R189" t="str">
        <x:f t="shared" si="4"/>
      </x:c>
      <x:c r="S189" t="str">
        <x:f t="shared" si="5"/>
      </x:c>
    </x:row>
    <x:row r="190">
      <x:c r="R190" t="str">
        <x:f t="shared" si="4"/>
      </x:c>
      <x:c r="S190" t="str">
        <x:f t="shared" si="5"/>
      </x:c>
    </x:row>
    <x:row r="191">
      <x:c r="R191" t="str">
        <x:f t="shared" si="4"/>
      </x:c>
      <x:c r="S191" t="str">
        <x:f t="shared" si="5"/>
      </x:c>
    </x:row>
    <x:row r="192">
      <x:c r="R192" t="str">
        <x:f t="shared" si="4"/>
      </x:c>
      <x:c r="S192" t="str">
        <x:f t="shared" si="5"/>
      </x:c>
    </x:row>
    <x:row r="193">
      <x:c r="R193" t="str">
        <x:f t="shared" si="4"/>
      </x:c>
      <x:c r="S193" t="str">
        <x:f t="shared" si="5"/>
      </x:c>
    </x:row>
    <x:row r="194">
      <x:c r="R194" t="str">
        <x:f t="shared" si="4"/>
      </x:c>
      <x:c r="S194" t="str">
        <x:f t="shared" si="5"/>
      </x:c>
    </x:row>
    <x:row r="195">
      <x:c r="R195" t="str">
        <x:f t="shared" si="4"/>
      </x:c>
      <x:c r="S195" t="str">
        <x:f t="shared" si="5"/>
      </x:c>
    </x:row>
    <x:row r="196">
      <x:c r="R196" t="str">
        <x:f t="shared" ref="R196:R259" si="6">IF(OR(I196="",J196=""),"",POWER(I196-J196,2))</x:f>
      </x:c>
      <x:c r="S196" t="str">
        <x:f t="shared" ref="S196:S259" si="7">IF(OR(I196="",J196=""),"",-((J196*LN(MAX(MIN(I196,0.999999),0.000001)))+((1-J196)*LN(MAX(MIN(1-I196,0.999999),0.000001)))))</x:f>
      </x:c>
    </x:row>
    <x:row r="197">
      <x:c r="R197" t="str">
        <x:f t="shared" si="6"/>
      </x:c>
      <x:c r="S197" t="str">
        <x:f t="shared" si="7"/>
      </x:c>
    </x:row>
    <x:row r="198">
      <x:c r="R198" t="str">
        <x:f t="shared" si="6"/>
      </x:c>
      <x:c r="S198" t="str">
        <x:f t="shared" si="7"/>
      </x:c>
    </x:row>
    <x:row r="199">
      <x:c r="R199" t="str">
        <x:f t="shared" si="6"/>
      </x:c>
      <x:c r="S199" t="str">
        <x:f t="shared" si="7"/>
      </x:c>
    </x:row>
    <x:row r="200">
      <x:c r="R200" t="str">
        <x:f t="shared" si="6"/>
      </x:c>
      <x:c r="S200" t="str">
        <x:f t="shared" si="7"/>
      </x:c>
    </x:row>
    <x:row r="201">
      <x:c r="R201" t="str">
        <x:f t="shared" si="6"/>
      </x:c>
      <x:c r="S201" t="str">
        <x:f t="shared" si="7"/>
      </x:c>
    </x:row>
    <x:row r="202">
      <x:c r="R202" t="str">
        <x:f t="shared" si="6"/>
      </x:c>
      <x:c r="S202" t="str">
        <x:f t="shared" si="7"/>
      </x:c>
    </x:row>
    <x:row r="203">
      <x:c r="R203" t="str">
        <x:f t="shared" si="6"/>
      </x:c>
      <x:c r="S203" t="str">
        <x:f t="shared" si="7"/>
      </x:c>
    </x:row>
    <x:row r="204">
      <x:c r="R204" t="str">
        <x:f t="shared" si="6"/>
      </x:c>
      <x:c r="S204" t="str">
        <x:f t="shared" si="7"/>
      </x:c>
    </x:row>
    <x:row r="205">
      <x:c r="R205" t="str">
        <x:f t="shared" si="6"/>
      </x:c>
      <x:c r="S205" t="str">
        <x:f t="shared" si="7"/>
      </x:c>
    </x:row>
    <x:row r="206">
      <x:c r="R206" t="str">
        <x:f t="shared" si="6"/>
      </x:c>
      <x:c r="S206" t="str">
        <x:f t="shared" si="7"/>
      </x:c>
    </x:row>
    <x:row r="207">
      <x:c r="R207" t="str">
        <x:f t="shared" si="6"/>
      </x:c>
      <x:c r="S207" t="str">
        <x:f t="shared" si="7"/>
      </x:c>
    </x:row>
    <x:row r="208">
      <x:c r="R208" t="str">
        <x:f t="shared" si="6"/>
      </x:c>
      <x:c r="S208" t="str">
        <x:f t="shared" si="7"/>
      </x:c>
    </x:row>
    <x:row r="209">
      <x:c r="R209" t="str">
        <x:f t="shared" si="6"/>
      </x:c>
      <x:c r="S209" t="str">
        <x:f t="shared" si="7"/>
      </x:c>
    </x:row>
    <x:row r="210">
      <x:c r="R210" t="str">
        <x:f t="shared" si="6"/>
      </x:c>
      <x:c r="S210" t="str">
        <x:f t="shared" si="7"/>
      </x:c>
    </x:row>
    <x:row r="211">
      <x:c r="R211" t="str">
        <x:f t="shared" si="6"/>
      </x:c>
      <x:c r="S211" t="str">
        <x:f t="shared" si="7"/>
      </x:c>
    </x:row>
    <x:row r="212">
      <x:c r="R212" t="str">
        <x:f t="shared" si="6"/>
      </x:c>
      <x:c r="S212" t="str">
        <x:f t="shared" si="7"/>
      </x:c>
    </x:row>
    <x:row r="213">
      <x:c r="R213" t="str">
        <x:f t="shared" si="6"/>
      </x:c>
      <x:c r="S213" t="str">
        <x:f t="shared" si="7"/>
      </x:c>
    </x:row>
    <x:row r="214">
      <x:c r="R214" t="str">
        <x:f t="shared" si="6"/>
      </x:c>
      <x:c r="S214" t="str">
        <x:f t="shared" si="7"/>
      </x:c>
    </x:row>
    <x:row r="215">
      <x:c r="R215" t="str">
        <x:f t="shared" si="6"/>
      </x:c>
      <x:c r="S215" t="str">
        <x:f t="shared" si="7"/>
      </x:c>
    </x:row>
    <x:row r="216">
      <x:c r="R216" t="str">
        <x:f t="shared" si="6"/>
      </x:c>
      <x:c r="S216" t="str">
        <x:f t="shared" si="7"/>
      </x:c>
    </x:row>
    <x:row r="217">
      <x:c r="R217" t="str">
        <x:f t="shared" si="6"/>
      </x:c>
      <x:c r="S217" t="str">
        <x:f t="shared" si="7"/>
      </x:c>
    </x:row>
    <x:row r="218">
      <x:c r="R218" t="str">
        <x:f t="shared" si="6"/>
      </x:c>
      <x:c r="S218" t="str">
        <x:f t="shared" si="7"/>
      </x:c>
    </x:row>
    <x:row r="219">
      <x:c r="R219" t="str">
        <x:f t="shared" si="6"/>
      </x:c>
      <x:c r="S219" t="str">
        <x:f t="shared" si="7"/>
      </x:c>
    </x:row>
    <x:row r="220">
      <x:c r="R220" t="str">
        <x:f t="shared" si="6"/>
      </x:c>
      <x:c r="S220" t="str">
        <x:f t="shared" si="7"/>
      </x:c>
    </x:row>
    <x:row r="221">
      <x:c r="R221" t="str">
        <x:f t="shared" si="6"/>
      </x:c>
      <x:c r="S221" t="str">
        <x:f t="shared" si="7"/>
      </x:c>
    </x:row>
    <x:row r="222">
      <x:c r="R222" t="str">
        <x:f t="shared" si="6"/>
      </x:c>
      <x:c r="S222" t="str">
        <x:f t="shared" si="7"/>
      </x:c>
    </x:row>
    <x:row r="223">
      <x:c r="R223" t="str">
        <x:f t="shared" si="6"/>
      </x:c>
      <x:c r="S223" t="str">
        <x:f t="shared" si="7"/>
      </x:c>
    </x:row>
    <x:row r="224">
      <x:c r="R224" t="str">
        <x:f t="shared" si="6"/>
      </x:c>
      <x:c r="S224" t="str">
        <x:f t="shared" si="7"/>
      </x:c>
    </x:row>
    <x:row r="225">
      <x:c r="R225" t="str">
        <x:f t="shared" si="6"/>
      </x:c>
      <x:c r="S225" t="str">
        <x:f t="shared" si="7"/>
      </x:c>
    </x:row>
    <x:row r="226">
      <x:c r="R226" t="str">
        <x:f t="shared" si="6"/>
      </x:c>
      <x:c r="S226" t="str">
        <x:f t="shared" si="7"/>
      </x:c>
    </x:row>
    <x:row r="227">
      <x:c r="R227" t="str">
        <x:f t="shared" si="6"/>
      </x:c>
      <x:c r="S227" t="str">
        <x:f t="shared" si="7"/>
      </x:c>
    </x:row>
    <x:row r="228">
      <x:c r="R228" t="str">
        <x:f t="shared" si="6"/>
      </x:c>
      <x:c r="S228" t="str">
        <x:f t="shared" si="7"/>
      </x:c>
    </x:row>
    <x:row r="229">
      <x:c r="R229" t="str">
        <x:f t="shared" si="6"/>
      </x:c>
      <x:c r="S229" t="str">
        <x:f t="shared" si="7"/>
      </x:c>
    </x:row>
    <x:row r="230">
      <x:c r="R230" t="str">
        <x:f t="shared" si="6"/>
      </x:c>
      <x:c r="S230" t="str">
        <x:f t="shared" si="7"/>
      </x:c>
    </x:row>
    <x:row r="231">
      <x:c r="R231" t="str">
        <x:f t="shared" si="6"/>
      </x:c>
      <x:c r="S231" t="str">
        <x:f t="shared" si="7"/>
      </x:c>
    </x:row>
    <x:row r="232">
      <x:c r="R232" t="str">
        <x:f t="shared" si="6"/>
      </x:c>
      <x:c r="S232" t="str">
        <x:f t="shared" si="7"/>
      </x:c>
    </x:row>
    <x:row r="233">
      <x:c r="R233" t="str">
        <x:f t="shared" si="6"/>
      </x:c>
      <x:c r="S233" t="str">
        <x:f t="shared" si="7"/>
      </x:c>
    </x:row>
    <x:row r="234">
      <x:c r="R234" t="str">
        <x:f t="shared" si="6"/>
      </x:c>
      <x:c r="S234" t="str">
        <x:f t="shared" si="7"/>
      </x:c>
    </x:row>
    <x:row r="235">
      <x:c r="R235" t="str">
        <x:f t="shared" si="6"/>
      </x:c>
      <x:c r="S235" t="str">
        <x:f t="shared" si="7"/>
      </x:c>
    </x:row>
    <x:row r="236">
      <x:c r="R236" t="str">
        <x:f t="shared" si="6"/>
      </x:c>
      <x:c r="S236" t="str">
        <x:f t="shared" si="7"/>
      </x:c>
    </x:row>
    <x:row r="237">
      <x:c r="R237" t="str">
        <x:f t="shared" si="6"/>
      </x:c>
      <x:c r="S237" t="str">
        <x:f t="shared" si="7"/>
      </x:c>
    </x:row>
    <x:row r="238">
      <x:c r="R238" t="str">
        <x:f t="shared" si="6"/>
      </x:c>
      <x:c r="S238" t="str">
        <x:f t="shared" si="7"/>
      </x:c>
    </x:row>
    <x:row r="239">
      <x:c r="R239" t="str">
        <x:f t="shared" si="6"/>
      </x:c>
      <x:c r="S239" t="str">
        <x:f t="shared" si="7"/>
      </x:c>
    </x:row>
    <x:row r="240">
      <x:c r="R240" t="str">
        <x:f t="shared" si="6"/>
      </x:c>
      <x:c r="S240" t="str">
        <x:f t="shared" si="7"/>
      </x:c>
    </x:row>
    <x:row r="241">
      <x:c r="R241" t="str">
        <x:f t="shared" si="6"/>
      </x:c>
      <x:c r="S241" t="str">
        <x:f t="shared" si="7"/>
      </x:c>
    </x:row>
    <x:row r="242">
      <x:c r="R242" t="str">
        <x:f t="shared" si="6"/>
      </x:c>
      <x:c r="S242" t="str">
        <x:f t="shared" si="7"/>
      </x:c>
    </x:row>
    <x:row r="243">
      <x:c r="R243" t="str">
        <x:f t="shared" si="6"/>
      </x:c>
      <x:c r="S243" t="str">
        <x:f t="shared" si="7"/>
      </x:c>
    </x:row>
    <x:row r="244">
      <x:c r="R244" t="str">
        <x:f t="shared" si="6"/>
      </x:c>
      <x:c r="S244" t="str">
        <x:f t="shared" si="7"/>
      </x:c>
    </x:row>
    <x:row r="245">
      <x:c r="R245" t="str">
        <x:f t="shared" si="6"/>
      </x:c>
      <x:c r="S245" t="str">
        <x:f t="shared" si="7"/>
      </x:c>
    </x:row>
    <x:row r="246">
      <x:c r="R246" t="str">
        <x:f t="shared" si="6"/>
      </x:c>
      <x:c r="S246" t="str">
        <x:f t="shared" si="7"/>
      </x:c>
    </x:row>
    <x:row r="247">
      <x:c r="R247" t="str">
        <x:f t="shared" si="6"/>
      </x:c>
      <x:c r="S247" t="str">
        <x:f t="shared" si="7"/>
      </x:c>
    </x:row>
    <x:row r="248">
      <x:c r="R248" t="str">
        <x:f t="shared" si="6"/>
      </x:c>
      <x:c r="S248" t="str">
        <x:f t="shared" si="7"/>
      </x:c>
    </x:row>
    <x:row r="249">
      <x:c r="R249" t="str">
        <x:f t="shared" si="6"/>
      </x:c>
      <x:c r="S249" t="str">
        <x:f t="shared" si="7"/>
      </x:c>
    </x:row>
    <x:row r="250">
      <x:c r="R250" t="str">
        <x:f t="shared" si="6"/>
      </x:c>
      <x:c r="S250" t="str">
        <x:f t="shared" si="7"/>
      </x:c>
    </x:row>
    <x:row r="251">
      <x:c r="R251" t="str">
        <x:f t="shared" si="6"/>
      </x:c>
      <x:c r="S251" t="str">
        <x:f t="shared" si="7"/>
      </x:c>
    </x:row>
    <x:row r="252">
      <x:c r="R252" t="str">
        <x:f t="shared" si="6"/>
      </x:c>
      <x:c r="S252" t="str">
        <x:f t="shared" si="7"/>
      </x:c>
    </x:row>
    <x:row r="253">
      <x:c r="R253" t="str">
        <x:f t="shared" si="6"/>
      </x:c>
      <x:c r="S253" t="str">
        <x:f t="shared" si="7"/>
      </x:c>
    </x:row>
    <x:row r="254">
      <x:c r="R254" t="str">
        <x:f t="shared" si="6"/>
      </x:c>
      <x:c r="S254" t="str">
        <x:f t="shared" si="7"/>
      </x:c>
    </x:row>
    <x:row r="255">
      <x:c r="R255" t="str">
        <x:f t="shared" si="6"/>
      </x:c>
      <x:c r="S255" t="str">
        <x:f t="shared" si="7"/>
      </x:c>
    </x:row>
    <x:row r="256">
      <x:c r="R256" t="str">
        <x:f t="shared" si="6"/>
      </x:c>
      <x:c r="S256" t="str">
        <x:f t="shared" si="7"/>
      </x:c>
    </x:row>
    <x:row r="257">
      <x:c r="R257" t="str">
        <x:f t="shared" si="6"/>
      </x:c>
      <x:c r="S257" t="str">
        <x:f t="shared" si="7"/>
      </x:c>
    </x:row>
    <x:row r="258">
      <x:c r="R258" t="str">
        <x:f t="shared" si="6"/>
      </x:c>
      <x:c r="S258" t="str">
        <x:f t="shared" si="7"/>
      </x:c>
    </x:row>
    <x:row r="259">
      <x:c r="R259" t="str">
        <x:f t="shared" si="6"/>
      </x:c>
      <x:c r="S259" t="str">
        <x:f t="shared" si="7"/>
      </x:c>
    </x:row>
    <x:row r="260">
      <x:c r="R260" t="str">
        <x:f t="shared" ref="R260:R303" si="8">IF(OR(I260="",J260=""),"",POWER(I260-J260,2))</x:f>
      </x:c>
      <x:c r="S260" t="str">
        <x:f t="shared" ref="S260:S303" si="9">IF(OR(I260="",J260=""),"",-((J260*LN(MAX(MIN(I260,0.999999),0.000001)))+((1-J260)*LN(MAX(MIN(1-I260,0.999999),0.000001)))))</x:f>
      </x:c>
    </x:row>
    <x:row r="261">
      <x:c r="R261" t="str">
        <x:f t="shared" si="8"/>
      </x:c>
      <x:c r="S261" t="str">
        <x:f t="shared" si="9"/>
      </x:c>
    </x:row>
    <x:row r="262">
      <x:c r="R262" t="str">
        <x:f t="shared" si="8"/>
      </x:c>
      <x:c r="S262" t="str">
        <x:f t="shared" si="9"/>
      </x:c>
    </x:row>
    <x:row r="263">
      <x:c r="R263" t="str">
        <x:f t="shared" si="8"/>
      </x:c>
      <x:c r="S263" t="str">
        <x:f t="shared" si="9"/>
      </x:c>
    </x:row>
    <x:row r="264">
      <x:c r="R264" t="str">
        <x:f t="shared" si="8"/>
      </x:c>
      <x:c r="S264" t="str">
        <x:f t="shared" si="9"/>
      </x:c>
    </x:row>
    <x:row r="265">
      <x:c r="R265" t="str">
        <x:f t="shared" si="8"/>
      </x:c>
      <x:c r="S265" t="str">
        <x:f t="shared" si="9"/>
      </x:c>
    </x:row>
    <x:row r="266">
      <x:c r="R266" t="str">
        <x:f t="shared" si="8"/>
      </x:c>
      <x:c r="S266" t="str">
        <x:f t="shared" si="9"/>
      </x:c>
    </x:row>
    <x:row r="267">
      <x:c r="R267" t="str">
        <x:f t="shared" si="8"/>
      </x:c>
      <x:c r="S267" t="str">
        <x:f t="shared" si="9"/>
      </x:c>
    </x:row>
    <x:row r="268">
      <x:c r="R268" t="str">
        <x:f t="shared" si="8"/>
      </x:c>
      <x:c r="S268" t="str">
        <x:f t="shared" si="9"/>
      </x:c>
    </x:row>
    <x:row r="269">
      <x:c r="R269" t="str">
        <x:f t="shared" si="8"/>
      </x:c>
      <x:c r="S269" t="str">
        <x:f t="shared" si="9"/>
      </x:c>
    </x:row>
    <x:row r="270">
      <x:c r="R270" t="str">
        <x:f t="shared" si="8"/>
      </x:c>
      <x:c r="S270" t="str">
        <x:f t="shared" si="9"/>
      </x:c>
    </x:row>
    <x:row r="271">
      <x:c r="R271" t="str">
        <x:f t="shared" si="8"/>
      </x:c>
      <x:c r="S271" t="str">
        <x:f t="shared" si="9"/>
      </x:c>
    </x:row>
    <x:row r="272">
      <x:c r="R272" t="str">
        <x:f t="shared" si="8"/>
      </x:c>
      <x:c r="S272" t="str">
        <x:f t="shared" si="9"/>
      </x:c>
    </x:row>
    <x:row r="273">
      <x:c r="R273" t="str">
        <x:f t="shared" si="8"/>
      </x:c>
      <x:c r="S273" t="str">
        <x:f t="shared" si="9"/>
      </x:c>
    </x:row>
    <x:row r="274">
      <x:c r="R274" t="str">
        <x:f t="shared" si="8"/>
      </x:c>
      <x:c r="S274" t="str">
        <x:f t="shared" si="9"/>
      </x:c>
    </x:row>
    <x:row r="275">
      <x:c r="R275" t="str">
        <x:f t="shared" si="8"/>
      </x:c>
      <x:c r="S275" t="str">
        <x:f t="shared" si="9"/>
      </x:c>
    </x:row>
    <x:row r="276">
      <x:c r="R276" t="str">
        <x:f t="shared" si="8"/>
      </x:c>
      <x:c r="S276" t="str">
        <x:f t="shared" si="9"/>
      </x:c>
    </x:row>
    <x:row r="277">
      <x:c r="R277" t="str">
        <x:f t="shared" si="8"/>
      </x:c>
      <x:c r="S277" t="str">
        <x:f t="shared" si="9"/>
      </x:c>
    </x:row>
    <x:row r="278">
      <x:c r="R278" t="str">
        <x:f t="shared" si="8"/>
      </x:c>
      <x:c r="S278" t="str">
        <x:f t="shared" si="9"/>
      </x:c>
    </x:row>
    <x:row r="279">
      <x:c r="R279" t="str">
        <x:f t="shared" si="8"/>
      </x:c>
      <x:c r="S279" t="str">
        <x:f t="shared" si="9"/>
      </x:c>
    </x:row>
    <x:row r="280">
      <x:c r="R280" t="str">
        <x:f t="shared" si="8"/>
      </x:c>
      <x:c r="S280" t="str">
        <x:f t="shared" si="9"/>
      </x:c>
    </x:row>
    <x:row r="281">
      <x:c r="R281" t="str">
        <x:f t="shared" si="8"/>
      </x:c>
      <x:c r="S281" t="str">
        <x:f t="shared" si="9"/>
      </x:c>
    </x:row>
    <x:row r="282">
      <x:c r="R282" t="str">
        <x:f t="shared" si="8"/>
      </x:c>
      <x:c r="S282" t="str">
        <x:f t="shared" si="9"/>
      </x:c>
    </x:row>
    <x:row r="283">
      <x:c r="R283" t="str">
        <x:f t="shared" si="8"/>
      </x:c>
      <x:c r="S283" t="str">
        <x:f t="shared" si="9"/>
      </x:c>
    </x:row>
    <x:row r="284">
      <x:c r="R284" t="str">
        <x:f t="shared" si="8"/>
      </x:c>
      <x:c r="S284" t="str">
        <x:f t="shared" si="9"/>
      </x:c>
    </x:row>
    <x:row r="285">
      <x:c r="R285" t="str">
        <x:f t="shared" si="8"/>
      </x:c>
      <x:c r="S285" t="str">
        <x:f t="shared" si="9"/>
      </x:c>
    </x:row>
    <x:row r="286">
      <x:c r="R286" t="str">
        <x:f t="shared" si="8"/>
      </x:c>
      <x:c r="S286" t="str">
        <x:f t="shared" si="9"/>
      </x:c>
    </x:row>
    <x:row r="287">
      <x:c r="R287" t="str">
        <x:f t="shared" si="8"/>
      </x:c>
      <x:c r="S287" t="str">
        <x:f t="shared" si="9"/>
      </x:c>
    </x:row>
    <x:row r="288">
      <x:c r="R288" t="str">
        <x:f t="shared" si="8"/>
      </x:c>
      <x:c r="S288" t="str">
        <x:f t="shared" si="9"/>
      </x:c>
    </x:row>
    <x:row r="289">
      <x:c r="R289" t="str">
        <x:f t="shared" si="8"/>
      </x:c>
      <x:c r="S289" t="str">
        <x:f t="shared" si="9"/>
      </x:c>
    </x:row>
    <x:row r="290">
      <x:c r="R290" t="str">
        <x:f t="shared" si="8"/>
      </x:c>
      <x:c r="S290" t="str">
        <x:f t="shared" si="9"/>
      </x:c>
    </x:row>
    <x:row r="291">
      <x:c r="R291" t="str">
        <x:f t="shared" si="8"/>
      </x:c>
      <x:c r="S291" t="str">
        <x:f t="shared" si="9"/>
      </x:c>
    </x:row>
    <x:row r="292">
      <x:c r="R292" t="str">
        <x:f t="shared" si="8"/>
      </x:c>
      <x:c r="S292" t="str">
        <x:f t="shared" si="9"/>
      </x:c>
    </x:row>
    <x:row r="293">
      <x:c r="R293" t="str">
        <x:f t="shared" si="8"/>
      </x:c>
      <x:c r="S293" t="str">
        <x:f t="shared" si="9"/>
      </x:c>
    </x:row>
    <x:row r="294">
      <x:c r="R294" t="str">
        <x:f t="shared" si="8"/>
      </x:c>
      <x:c r="S294" t="str">
        <x:f t="shared" si="9"/>
      </x:c>
    </x:row>
    <x:row r="295">
      <x:c r="R295" t="str">
        <x:f t="shared" si="8"/>
      </x:c>
      <x:c r="S295" t="str">
        <x:f t="shared" si="9"/>
      </x:c>
    </x:row>
    <x:row r="296">
      <x:c r="R296" t="str">
        <x:f t="shared" si="8"/>
      </x:c>
      <x:c r="S296" t="str">
        <x:f t="shared" si="9"/>
      </x:c>
    </x:row>
    <x:row r="297">
      <x:c r="R297" t="str">
        <x:f t="shared" si="8"/>
      </x:c>
      <x:c r="S297" t="str">
        <x:f t="shared" si="9"/>
      </x:c>
    </x:row>
    <x:row r="298">
      <x:c r="R298" t="str">
        <x:f t="shared" si="8"/>
      </x:c>
      <x:c r="S298" t="str">
        <x:f t="shared" si="9"/>
      </x:c>
    </x:row>
    <x:row r="299">
      <x:c r="R299" t="str">
        <x:f t="shared" si="8"/>
      </x:c>
      <x:c r="S299" t="str">
        <x:f t="shared" si="9"/>
      </x:c>
    </x:row>
    <x:row r="300">
      <x:c r="R300" t="str">
        <x:f t="shared" si="8"/>
      </x:c>
      <x:c r="S300" t="str">
        <x:f t="shared" si="9"/>
      </x:c>
    </x:row>
    <x:row r="301">
      <x:c r="R301" t="str">
        <x:f t="shared" si="8"/>
      </x:c>
      <x:c r="S301" t="str">
        <x:f t="shared" si="9"/>
      </x:c>
    </x:row>
    <x:row r="302">
      <x:c r="R302" t="str">
        <x:f t="shared" si="8"/>
      </x:c>
      <x:c r="S302" t="str">
        <x:f t="shared" si="9"/>
      </x:c>
    </x:row>
    <x:row r="303">
      <x:c r="R303" t="str">
        <x:f t="shared" si="8"/>
      </x:c>
      <x:c r="S303" t="str">
        <x:f t="shared" si="9"/>
      </x:c>
    </x:row>
  </x:sheetData>
  <x:mergeCells>
    <x:mergeCell ref="A1:W1"/>
    <x:mergeCell ref="A2:W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4.25"/>
  <x:sheetData>
    <x:row r="1" ht="18">
      <x:c r="A1" s="203" t="s">
        <x:v>794</x:v>
      </x:c>
      <x:c r="B1" s="203"/>
      <x:c r="C1" s="203"/>
      <x:c r="D1" s="203"/>
      <x:c r="E1" s="203"/>
      <x:c r="F1" s="203"/>
    </x:row>
    <x:row r="2">
      <x:c r="A2" s="204" t="s">
        <x:v>795</x:v>
      </x:c>
      <x:c r="B2" s="204"/>
      <x:c r="C2" s="204"/>
      <x:c r="D2" s="204"/>
      <x:c r="E2" s="204"/>
      <x:c r="F2" s="204"/>
    </x:row>
    <x:row r="3" ht="30">
      <x:c r="A3" s="175" t="s">
        <x:v>704</x:v>
      </x:c>
      <x:c r="B3" s="175" t="s">
        <x:v>132</x:v>
      </x:c>
      <x:c r="C3" s="175" t="s">
        <x:v>796</x:v>
      </x:c>
      <x:c r="D3" s="175" t="s">
        <x:v>797</x:v>
      </x:c>
      <x:c r="E3" s="175" t="s">
        <x:v>790</x:v>
      </x:c>
      <x:c r="F3" s="175" t="s">
        <x:v>798</x:v>
      </x:c>
    </x:row>
    <x:row r="4">
      <x:c r="A4">
        <x:v>1</x:v>
      </x:c>
      <x:c r="B4" t="n">
        <x:f>COUNTIF(Settlement!$T$4:$T$303,A4)</x:f>
        <x:v>0</x:v>
      </x:c>
      <x:c r="C4" t="n">
        <x:f>SUMIF(Settlement!$T$4:$T$303,A4,Settlement!$J$4:$J$303)</x:f>
        <x:v>0</x:v>
      </x:c>
      <x:c r="D4" t="str">
        <x:f>IFERROR(C4/B4,"")</x:f>
      </x:c>
      <x:c r="E4" t="str">
        <x:f>IFERROR(SUMIF(Settlement!$T$4:$T$303,A4,Settlement!$R$4:$R$303)/B4,"")</x:f>
      </x:c>
      <x:c r="F4" t="str">
        <x:f>IF(D4="","",1-D4)</x:f>
      </x:c>
    </x:row>
    <x:row r="5">
      <x:c r="A5">
        <x:v>2</x:v>
      </x:c>
      <x:c r="B5" t="n">
        <x:f>COUNTIF(Settlement!$T$4:$T$303,A5)</x:f>
        <x:v>0</x:v>
      </x:c>
      <x:c r="C5" t="n">
        <x:f>SUMIF(Settlement!$T$4:$T$303,A5,Settlement!$J$4:$J$303)</x:f>
        <x:v>0</x:v>
      </x:c>
      <x:c r="D5" t="str">
        <x:f>IFERROR(C5/B5,"")</x:f>
      </x:c>
      <x:c r="E5" t="str">
        <x:f>IFERROR(SUMIF(Settlement!$T$4:$T$303,A5,Settlement!$R$4:$R$303)/B5,"")</x:f>
      </x:c>
      <x:c r="F5" t="str">
        <x:f>IF(D5="","",1-D5)</x:f>
      </x:c>
    </x:row>
    <x:row r="6">
      <x:c r="A6">
        <x:v>3</x:v>
      </x:c>
      <x:c r="B6" t="n">
        <x:f>COUNTIF(Settlement!$T$4:$T$303,A6)</x:f>
        <x:v>0</x:v>
      </x:c>
      <x:c r="C6" t="n">
        <x:f>SUMIF(Settlement!$T$4:$T$303,A6,Settlement!$J$4:$J$303)</x:f>
        <x:v>0</x:v>
      </x:c>
      <x:c r="D6" t="str">
        <x:f>IFERROR(C6/B6,"")</x:f>
      </x:c>
      <x:c r="E6" t="str">
        <x:f>IFERROR(SUMIF(Settlement!$T$4:$T$303,A6,Settlement!$R$4:$R$303)/B6,"")</x:f>
      </x:c>
      <x:c r="F6" t="str">
        <x:f>IF(D6="","",1-D6)</x:f>
      </x:c>
    </x:row>
    <x:row r="7">
      <x:c r="A7">
        <x:v>4</x:v>
      </x:c>
      <x:c r="B7" t="n">
        <x:f>COUNTIF(Settlement!$T$4:$T$303,A7)</x:f>
        <x:v>0</x:v>
      </x:c>
      <x:c r="C7" t="n">
        <x:f>SUMIF(Settlement!$T$4:$T$303,A7,Settlement!$J$4:$J$303)</x:f>
        <x:v>0</x:v>
      </x:c>
      <x:c r="D7" t="str">
        <x:f>IFERROR(C7/B7,"")</x:f>
      </x:c>
      <x:c r="E7" t="str">
        <x:f>IFERROR(SUMIF(Settlement!$T$4:$T$303,A7,Settlement!$R$4:$R$303)/B7,"")</x:f>
      </x:c>
      <x:c r="F7" t="str">
        <x:f>IF(D7="","",1-D7)</x:f>
      </x:c>
    </x:row>
    <x:row r="8">
      <x:c r="A8">
        <x:v>5</x:v>
      </x:c>
      <x:c r="B8" t="n">
        <x:f>COUNTIF(Settlement!$T$4:$T$303,A8)</x:f>
        <x:v>0</x:v>
      </x:c>
      <x:c r="C8" t="n">
        <x:f>SUMIF(Settlement!$T$4:$T$303,A8,Settlement!$J$4:$J$303)</x:f>
        <x:v>0</x:v>
      </x:c>
      <x:c r="D8" t="str">
        <x:f>IFERROR(C8/B8,"")</x:f>
      </x:c>
      <x:c r="E8" t="str">
        <x:f>IFERROR(SUMIF(Settlement!$T$4:$T$303,A8,Settlement!$R$4:$R$303)/B8,"")</x:f>
      </x:c>
      <x:c r="F8" t="str">
        <x:f>IF(D8="","",1-D8)</x:f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4.25"/>
  <x:sheetData>
    <x:row r="1" ht="18">
      <x:c r="A1" s="203" t="s">
        <x:v>799</x:v>
      </x:c>
      <x:c r="B1" s="203"/>
      <x:c r="C1" s="203"/>
      <x:c r="D1" s="203"/>
      <x:c r="E1" s="203"/>
      <x:c r="F1" s="203"/>
      <x:c r="G1" s="203"/>
    </x:row>
    <x:row r="2">
      <x:c r="A2" s="204" t="s">
        <x:v>800</x:v>
      </x:c>
      <x:c r="B2" s="204"/>
      <x:c r="C2" s="204"/>
      <x:c r="D2" s="204"/>
      <x:c r="E2" s="204"/>
      <x:c r="F2" s="204"/>
      <x:c r="G2" s="204"/>
    </x:row>
    <x:row r="3" ht="30">
      <x:c r="A3" s="175" t="s">
        <x:v>801</x:v>
      </x:c>
      <x:c r="B3" s="175" t="s">
        <x:v>802</x:v>
      </x:c>
      <x:c r="C3" s="175" t="s">
        <x:v>132</x:v>
      </x:c>
      <x:c r="D3" s="175" t="s">
        <x:v>803</x:v>
      </x:c>
      <x:c r="E3" s="175" t="s">
        <x:v>804</x:v>
      </x:c>
      <x:c r="F3" s="175" t="s">
        <x:v>805</x:v>
      </x:c>
      <x:c r="G3" s="175" t="s">
        <x:v>3</x:v>
      </x:c>
    </x:row>
    <x:row r="4">
      <x:c r="A4">
        <x:v>0.5</x:v>
      </x:c>
      <x:c r="B4">
        <x:v>0.6</x:v>
      </x:c>
      <x:c r="C4" t="n">
        <x:f>COUNTIFS(Settlement!$I$4:$I$303,"&gt;="&amp;A4,Settlement!$I$4:$I$303,"&lt;"&amp;B4,Settlement!$J$4:$J$303,"&lt;&gt;")</x:f>
        <x:v>0</x:v>
      </x:c>
      <x:c r="D4" t="str">
        <x:f>IFERROR(SUMIFS(Settlement!$I$4:$I$303,Settlement!$I$4:$I$303,"&gt;="&amp;A4,Settlement!$I$4:$I$303,"&lt;"&amp;B4)/C4,"")</x:f>
      </x:c>
      <x:c r="E4" t="str">
        <x:f>IFERROR(SUMIFS(Settlement!$J$4:$J$303,Settlement!$I$4:$I$303,"&gt;="&amp;A4,Settlement!$I$4:$I$303,"&lt;"&amp;B4)/C4,"")</x:f>
      </x:c>
      <x:c r="F4" t="str">
        <x:f t="shared" ref="F4:F11" si="0">IF(OR(D4="",E4=""),"",D4-E4)</x:f>
      </x:c>
      <x:c r="G4" t="str">
        <x:f t="shared" ref="G4:G11" si="1">IF(C4&lt;10,"LOW N",IF(ABS(F4)&lt;=0.03,"OK",IF(ABS(F4)&lt;=0.06,"WATCH","DRIFT")))</x:f>
        <x:v>LOW N</x:v>
      </x:c>
    </x:row>
    <x:row r="5">
      <x:c r="A5">
        <x:v>0.6</x:v>
      </x:c>
      <x:c r="B5">
        <x:v>0.7</x:v>
      </x:c>
      <x:c r="C5" t="n">
        <x:f>COUNTIFS(Settlement!$I$4:$I$303,"&gt;="&amp;A5,Settlement!$I$4:$I$303,"&lt;"&amp;B5,Settlement!$J$4:$J$303,"&lt;&gt;")</x:f>
        <x:v>0</x:v>
      </x:c>
      <x:c r="D5" t="str">
        <x:f>IFERROR(SUMIFS(Settlement!$I$4:$I$303,Settlement!$I$4:$I$303,"&gt;="&amp;A5,Settlement!$I$4:$I$303,"&lt;"&amp;B5)/C5,"")</x:f>
      </x:c>
      <x:c r="E5" t="str">
        <x:f>IFERROR(SUMIFS(Settlement!$J$4:$J$303,Settlement!$I$4:$I$303,"&gt;="&amp;A5,Settlement!$I$4:$I$303,"&lt;"&amp;B5)/C5,"")</x:f>
      </x:c>
      <x:c r="F5" t="str">
        <x:f t="shared" si="0"/>
      </x:c>
      <x:c r="G5" t="str">
        <x:f t="shared" si="1"/>
        <x:v>LOW N</x:v>
      </x:c>
    </x:row>
    <x:row r="6">
      <x:c r="A6">
        <x:v>0.7</x:v>
      </x:c>
      <x:c r="B6">
        <x:v>0.8</x:v>
      </x:c>
      <x:c r="C6" t="n">
        <x:f>COUNTIFS(Settlement!$I$4:$I$303,"&gt;="&amp;A6,Settlement!$I$4:$I$303,"&lt;"&amp;B6,Settlement!$J$4:$J$303,"&lt;&gt;")</x:f>
        <x:v>0</x:v>
      </x:c>
      <x:c r="D6" t="str">
        <x:f>IFERROR(SUMIFS(Settlement!$I$4:$I$303,Settlement!$I$4:$I$303,"&gt;="&amp;A6,Settlement!$I$4:$I$303,"&lt;"&amp;B6)/C6,"")</x:f>
      </x:c>
      <x:c r="E6" t="str">
        <x:f>IFERROR(SUMIFS(Settlement!$J$4:$J$303,Settlement!$I$4:$I$303,"&gt;="&amp;A6,Settlement!$I$4:$I$303,"&lt;"&amp;B6)/C6,"")</x:f>
      </x:c>
      <x:c r="F6" t="str">
        <x:f t="shared" si="0"/>
      </x:c>
      <x:c r="G6" t="str">
        <x:f t="shared" si="1"/>
        <x:v>LOW N</x:v>
      </x:c>
    </x:row>
    <x:row r="7">
      <x:c r="A7">
        <x:v>0.8</x:v>
      </x:c>
      <x:c r="B7">
        <x:v>0.85</x:v>
      </x:c>
      <x:c r="C7" t="n">
        <x:f>COUNTIFS(Settlement!$I$4:$I$303,"&gt;="&amp;A7,Settlement!$I$4:$I$303,"&lt;"&amp;B7,Settlement!$J$4:$J$303,"&lt;&gt;")</x:f>
        <x:v>0</x:v>
      </x:c>
      <x:c r="D7" t="str">
        <x:f>IFERROR(SUMIFS(Settlement!$I$4:$I$303,Settlement!$I$4:$I$303,"&gt;="&amp;A7,Settlement!$I$4:$I$303,"&lt;"&amp;B7)/C7,"")</x:f>
      </x:c>
      <x:c r="E7" t="str">
        <x:f>IFERROR(SUMIFS(Settlement!$J$4:$J$303,Settlement!$I$4:$I$303,"&gt;="&amp;A7,Settlement!$I$4:$I$303,"&lt;"&amp;B7)/C7,"")</x:f>
      </x:c>
      <x:c r="F7" t="str">
        <x:f t="shared" si="0"/>
      </x:c>
      <x:c r="G7" t="str">
        <x:f t="shared" si="1"/>
        <x:v>LOW N</x:v>
      </x:c>
    </x:row>
    <x:row r="8">
      <x:c r="A8">
        <x:v>0.85</x:v>
      </x:c>
      <x:c r="B8">
        <x:v>0.9</x:v>
      </x:c>
      <x:c r="C8" t="n">
        <x:f>COUNTIFS(Settlement!$I$4:$I$303,"&gt;="&amp;A8,Settlement!$I$4:$I$303,"&lt;"&amp;B8,Settlement!$J$4:$J$303,"&lt;&gt;")</x:f>
        <x:v>0</x:v>
      </x:c>
      <x:c r="D8" t="str">
        <x:f>IFERROR(SUMIFS(Settlement!$I$4:$I$303,Settlement!$I$4:$I$303,"&gt;="&amp;A8,Settlement!$I$4:$I$303,"&lt;"&amp;B8)/C8,"")</x:f>
      </x:c>
      <x:c r="E8" t="str">
        <x:f>IFERROR(SUMIFS(Settlement!$J$4:$J$303,Settlement!$I$4:$I$303,"&gt;="&amp;A8,Settlement!$I$4:$I$303,"&lt;"&amp;B8)/C8,"")</x:f>
      </x:c>
      <x:c r="F8" t="str">
        <x:f t="shared" si="0"/>
      </x:c>
      <x:c r="G8" t="str">
        <x:f t="shared" si="1"/>
        <x:v>LOW N</x:v>
      </x:c>
    </x:row>
    <x:row r="9">
      <x:c r="A9">
        <x:v>0.9</x:v>
      </x:c>
      <x:c r="B9">
        <x:v>0.92</x:v>
      </x:c>
      <x:c r="C9" t="n">
        <x:f>COUNTIFS(Settlement!$I$4:$I$303,"&gt;="&amp;A9,Settlement!$I$4:$I$303,"&lt;"&amp;B9,Settlement!$J$4:$J$303,"&lt;&gt;")</x:f>
        <x:v>0</x:v>
      </x:c>
      <x:c r="D9" t="str">
        <x:f>IFERROR(SUMIFS(Settlement!$I$4:$I$303,Settlement!$I$4:$I$303,"&gt;="&amp;A9,Settlement!$I$4:$I$303,"&lt;"&amp;B9)/C9,"")</x:f>
      </x:c>
      <x:c r="E9" t="str">
        <x:f>IFERROR(SUMIFS(Settlement!$J$4:$J$303,Settlement!$I$4:$I$303,"&gt;="&amp;A9,Settlement!$I$4:$I$303,"&lt;"&amp;B9)/C9,"")</x:f>
      </x:c>
      <x:c r="F9" t="str">
        <x:f t="shared" si="0"/>
      </x:c>
      <x:c r="G9" t="str">
        <x:f t="shared" si="1"/>
        <x:v>LOW N</x:v>
      </x:c>
    </x:row>
    <x:row r="10">
      <x:c r="A10">
        <x:v>0.92</x:v>
      </x:c>
      <x:c r="B10">
        <x:v>0.95</x:v>
      </x:c>
      <x:c r="C10" t="n">
        <x:f>COUNTIFS(Settlement!$I$4:$I$303,"&gt;="&amp;A10,Settlement!$I$4:$I$303,"&lt;"&amp;B10,Settlement!$J$4:$J$303,"&lt;&gt;")</x:f>
        <x:v>0</x:v>
      </x:c>
      <x:c r="D10" t="str">
        <x:f>IFERROR(SUMIFS(Settlement!$I$4:$I$303,Settlement!$I$4:$I$303,"&gt;="&amp;A10,Settlement!$I$4:$I$303,"&lt;"&amp;B10)/C10,"")</x:f>
      </x:c>
      <x:c r="E10" t="str">
        <x:f>IFERROR(SUMIFS(Settlement!$J$4:$J$303,Settlement!$I$4:$I$303,"&gt;="&amp;A10,Settlement!$I$4:$I$303,"&lt;"&amp;B10)/C10,"")</x:f>
      </x:c>
      <x:c r="F10" t="str">
        <x:f t="shared" si="0"/>
      </x:c>
      <x:c r="G10" t="str">
        <x:f t="shared" si="1"/>
        <x:v>LOW N</x:v>
      </x:c>
    </x:row>
    <x:row r="11">
      <x:c r="A11">
        <x:v>0.95</x:v>
      </x:c>
      <x:c r="B11">
        <x:v>1.0009999999999999</x:v>
      </x:c>
      <x:c r="C11" t="n">
        <x:f>COUNTIFS(Settlement!$I$4:$I$303,"&gt;="&amp;A11,Settlement!$I$4:$I$303,"&lt;"&amp;B11,Settlement!$J$4:$J$303,"&lt;&gt;")</x:f>
        <x:v>0</x:v>
      </x:c>
      <x:c r="D11" t="str">
        <x:f>IFERROR(SUMIFS(Settlement!$I$4:$I$303,Settlement!$I$4:$I$303,"&gt;="&amp;A11,Settlement!$I$4:$I$303,"&lt;"&amp;B11)/C11,"")</x:f>
      </x:c>
      <x:c r="E11" t="str">
        <x:f>IFERROR(SUMIFS(Settlement!$J$4:$J$303,Settlement!$I$4:$I$303,"&gt;="&amp;A11,Settlement!$I$4:$I$303,"&lt;"&amp;B11)/C11,"")</x:f>
      </x:c>
      <x:c r="F11" t="str">
        <x:f t="shared" si="0"/>
      </x:c>
      <x:c r="G11" t="str">
        <x:f t="shared" si="1"/>
        <x:v>LOW N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4.25"/>
  <x:sheetData>
    <x:row r="1" ht="18">
      <x:c r="A1" s="203" t="s">
        <x:v>806</x:v>
      </x:c>
      <x:c r="B1" s="203"/>
      <x:c r="C1" s="203"/>
      <x:c r="D1" s="203"/>
      <x:c r="E1" s="203"/>
    </x:row>
    <x:row r="2">
      <x:c r="A2" s="204" t="s">
        <x:v>807</x:v>
      </x:c>
      <x:c r="B2" s="204"/>
      <x:c r="C2" s="204"/>
      <x:c r="D2" s="204"/>
      <x:c r="E2" s="204"/>
    </x:row>
    <x:row r="3" ht="45">
      <x:c r="A3" s="175" t="s">
        <x:v>808</x:v>
      </x:c>
      <x:c r="B3" s="175" t="s">
        <x:v>809</x:v>
      </x:c>
      <x:c r="C3" s="175" t="s">
        <x:v>810</x:v>
      </x:c>
      <x:c r="D3" s="175" t="s">
        <x:v>811</x:v>
      </x:c>
      <x:c r="E3" s="175" t="s">
        <x:v>765</x:v>
      </x:c>
    </x:row>
    <x:row r="4">
      <x:c r="A4" t="s">
        <x:v>812</x:v>
      </x:c>
      <x:c r="B4" t="n">
        <x:f>COUNTIFS(Settlement!$J$4:$J$303,0,Settlement!$O$4:$O$303,A4)</x:f>
        <x:v>0</x:v>
      </x:c>
      <x:c r="C4" t="str">
        <x:f>IFERROR(B4/COUNTIF(Settlement!$J$4:$J$303,0),"")</x:f>
      </x:c>
    </x:row>
    <x:row r="5">
      <x:c r="A5" t="s">
        <x:v>813</x:v>
      </x:c>
      <x:c r="B5" t="n">
        <x:f>COUNTIFS(Settlement!$J$4:$J$303,0,Settlement!$O$4:$O$303,A5)</x:f>
        <x:v>0</x:v>
      </x:c>
      <x:c r="C5" t="str">
        <x:f>IFERROR(B5/COUNTIF(Settlement!$J$4:$J$303,0),"")</x:f>
      </x:c>
    </x:row>
    <x:row r="6">
      <x:c r="A6" t="s">
        <x:v>814</x:v>
      </x:c>
      <x:c r="B6" t="n">
        <x:f>COUNTIFS(Settlement!$J$4:$J$303,0,Settlement!$O$4:$O$303,A6)</x:f>
        <x:v>0</x:v>
      </x:c>
      <x:c r="C6" t="str">
        <x:f>IFERROR(B6/COUNTIF(Settlement!$J$4:$J$303,0),"")</x:f>
      </x:c>
    </x:row>
    <x:row r="7">
      <x:c r="A7" t="s">
        <x:v>815</x:v>
      </x:c>
      <x:c r="B7" t="n">
        <x:f>COUNTIFS(Settlement!$J$4:$J$303,0,Settlement!$O$4:$O$303,A7)</x:f>
        <x:v>0</x:v>
      </x:c>
      <x:c r="C7" t="str">
        <x:f>IFERROR(B7/COUNTIF(Settlement!$J$4:$J$303,0),"")</x:f>
      </x:c>
    </x:row>
    <x:row r="8">
      <x:c r="A8" t="s">
        <x:v>718</x:v>
      </x:c>
      <x:c r="B8" t="n">
        <x:f>COUNTIFS(Settlement!$J$4:$J$303,0,Settlement!$O$4:$O$303,A8)</x:f>
        <x:v>0</x:v>
      </x:c>
      <x:c r="C8" t="str">
        <x:f>IFERROR(B8/COUNTIF(Settlement!$J$4:$J$303,0),"")</x:f>
      </x:c>
    </x:row>
    <x:row r="9">
      <x:c r="A9" t="s">
        <x:v>816</x:v>
      </x:c>
      <x:c r="B9" t="n">
        <x:f>COUNTIFS(Settlement!$J$4:$J$303,0,Settlement!$O$4:$O$303,A9)</x:f>
        <x:v>0</x:v>
      </x:c>
      <x:c r="C9" t="str">
        <x:f>IFERROR(B9/COUNTIF(Settlement!$J$4:$J$303,0),"")</x:f>
      </x:c>
    </x:row>
    <x:row r="10">
      <x:c r="A10" t="s">
        <x:v>817</x:v>
      </x:c>
      <x:c r="B10" t="n">
        <x:f>COUNTIFS(Settlement!$J$4:$J$303,0,Settlement!$O$4:$O$303,A10)</x:f>
        <x:v>0</x:v>
      </x:c>
      <x:c r="C10" t="str">
        <x:f>IFERROR(B10/COUNTIF(Settlement!$J$4:$J$303,0),"")</x:f>
      </x:c>
    </x:row>
    <x:row r="11">
      <x:c r="A11" t="s">
        <x:v>818</x:v>
      </x:c>
      <x:c r="B11" t="n">
        <x:f>COUNTIFS(Settlement!$J$4:$J$303,0,Settlement!$O$4:$O$303,A11)</x:f>
        <x:v>0</x:v>
      </x:c>
      <x:c r="C11" t="str">
        <x:f>IFERROR(B11/COUNTIF(Settlement!$J$4:$J$303,0),"")</x:f>
      </x:c>
    </x:row>
    <x:row r="12">
      <x:c r="A12" t="s">
        <x:v>819</x:v>
      </x:c>
      <x:c r="B12" t="n">
        <x:f>COUNTIFS(Settlement!$J$4:$J$303,0,Settlement!$O$4:$O$303,A12)</x:f>
        <x:v>0</x:v>
      </x:c>
      <x:c r="C12" t="str">
        <x:f>IFERROR(B12/COUNTIF(Settlement!$J$4:$J$303,0),"")</x:f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4.25"/>
  <x:sheetData>
    <x:row r="1" ht="18">
      <x:c r="A1" s="203" t="s">
        <x:v>820</x:v>
      </x:c>
      <x:c r="B1" s="203"/>
      <x:c r="C1" s="203"/>
      <x:c r="D1" s="203"/>
      <x:c r="E1" s="203"/>
      <x:c r="F1" s="203"/>
      <x:c r="G1" s="203"/>
      <x:c r="H1" s="203"/>
    </x:row>
    <x:row r="2">
      <x:c r="A2" s="204" t="s">
        <x:v>821</x:v>
      </x:c>
      <x:c r="B2" s="204"/>
      <x:c r="C2" s="204"/>
      <x:c r="D2" s="204"/>
      <x:c r="E2" s="204"/>
      <x:c r="F2" s="204"/>
      <x:c r="G2" s="204"/>
      <x:c r="H2" s="204"/>
    </x:row>
    <x:row r="3" ht="30">
      <x:c r="A3" s="175" t="s">
        <x:v>738</x:v>
      </x:c>
      <x:c r="B3" s="175" t="s">
        <x:v>132</x:v>
      </x:c>
      <x:c r="C3" s="175" t="s">
        <x:v>796</x:v>
      </x:c>
      <x:c r="D3" s="175" t="s">
        <x:v>797</x:v>
      </x:c>
      <x:c r="E3" s="175" t="s">
        <x:v>803</x:v>
      </x:c>
      <x:c r="F3" s="175" t="s">
        <x:v>805</x:v>
      </x:c>
      <x:c r="G3" s="175" t="s">
        <x:v>790</x:v>
      </x:c>
      <x:c r="H3" s="175" t="s">
        <x:v>822</x:v>
      </x:c>
    </x:row>
    <x:row r="4">
      <x:c r="B4" t="str">
        <x:f>IF(A4="","",COUNTIF(Settlement!$C$4:$C$303,A4))</x:f>
      </x:c>
      <x:c r="C4" t="str">
        <x:f>IF(A4="","",SUMIF(Settlement!$C$4:$C$303,A4,Settlement!$J$4:$J$303))</x:f>
      </x:c>
      <x:c r="D4" t="str">
        <x:f t="shared" ref="D4:D33" si="0">IFERROR(C4/B4,"")</x:f>
      </x:c>
      <x:c r="E4" t="str">
        <x:f>IFERROR(SUMIF(Settlement!$C$4:$C$303,A4,Settlement!$I$4:$I$303)/B4,"")</x:f>
      </x:c>
      <x:c r="F4" t="str">
        <x:f t="shared" ref="F4:F33" si="1">IF(OR(D4="",E4=""),"",E4-D4)</x:f>
      </x:c>
      <x:c r="G4" t="str">
        <x:f>IFERROR(SUMIF(Settlement!$C$4:$C$303,A4,Settlement!$R$4:$R$303)/B4,"")</x:f>
      </x:c>
      <x:c r="H4" t="str">
        <x:f t="shared" ref="H4:H33" si="2">IF(A4="","",IF(B4&lt;10,"LOW N",IF(ABS(F4)&lt;=0.05,"STABLE","WATCH")))</x:f>
      </x:c>
    </x:row>
    <x:row r="5">
      <x:c r="B5" t="str">
        <x:f>IF(A5="","",COUNTIF(Settlement!$C$4:$C$303,A5))</x:f>
      </x:c>
      <x:c r="C5" t="str">
        <x:f>IF(A5="","",SUMIF(Settlement!$C$4:$C$303,A5,Settlement!$J$4:$J$303))</x:f>
      </x:c>
      <x:c r="D5" t="str">
        <x:f t="shared" si="0"/>
      </x:c>
      <x:c r="E5" t="str">
        <x:f>IFERROR(SUMIF(Settlement!$C$4:$C$303,A5,Settlement!$I$4:$I$303)/B5,"")</x:f>
      </x:c>
      <x:c r="F5" t="str">
        <x:f t="shared" si="1"/>
      </x:c>
      <x:c r="G5" t="str">
        <x:f>IFERROR(SUMIF(Settlement!$C$4:$C$303,A5,Settlement!$R$4:$R$303)/B5,"")</x:f>
      </x:c>
      <x:c r="H5" t="str">
        <x:f t="shared" si="2"/>
      </x:c>
    </x:row>
    <x:row r="6">
      <x:c r="B6" t="str">
        <x:f>IF(A6="","",COUNTIF(Settlement!$C$4:$C$303,A6))</x:f>
      </x:c>
      <x:c r="C6" t="str">
        <x:f>IF(A6="","",SUMIF(Settlement!$C$4:$C$303,A6,Settlement!$J$4:$J$303))</x:f>
      </x:c>
      <x:c r="D6" t="str">
        <x:f t="shared" si="0"/>
      </x:c>
      <x:c r="E6" t="str">
        <x:f>IFERROR(SUMIF(Settlement!$C$4:$C$303,A6,Settlement!$I$4:$I$303)/B6,"")</x:f>
      </x:c>
      <x:c r="F6" t="str">
        <x:f t="shared" si="1"/>
      </x:c>
      <x:c r="G6" t="str">
        <x:f>IFERROR(SUMIF(Settlement!$C$4:$C$303,A6,Settlement!$R$4:$R$303)/B6,"")</x:f>
      </x:c>
      <x:c r="H6" t="str">
        <x:f t="shared" si="2"/>
      </x:c>
    </x:row>
    <x:row r="7">
      <x:c r="B7" t="str">
        <x:f>IF(A7="","",COUNTIF(Settlement!$C$4:$C$303,A7))</x:f>
      </x:c>
      <x:c r="C7" t="str">
        <x:f>IF(A7="","",SUMIF(Settlement!$C$4:$C$303,A7,Settlement!$J$4:$J$303))</x:f>
      </x:c>
      <x:c r="D7" t="str">
        <x:f t="shared" si="0"/>
      </x:c>
      <x:c r="E7" t="str">
        <x:f>IFERROR(SUMIF(Settlement!$C$4:$C$303,A7,Settlement!$I$4:$I$303)/B7,"")</x:f>
      </x:c>
      <x:c r="F7" t="str">
        <x:f t="shared" si="1"/>
      </x:c>
      <x:c r="G7" t="str">
        <x:f>IFERROR(SUMIF(Settlement!$C$4:$C$303,A7,Settlement!$R$4:$R$303)/B7,"")</x:f>
      </x:c>
      <x:c r="H7" t="str">
        <x:f t="shared" si="2"/>
      </x:c>
    </x:row>
    <x:row r="8">
      <x:c r="B8" t="str">
        <x:f>IF(A8="","",COUNTIF(Settlement!$C$4:$C$303,A8))</x:f>
      </x:c>
      <x:c r="C8" t="str">
        <x:f>IF(A8="","",SUMIF(Settlement!$C$4:$C$303,A8,Settlement!$J$4:$J$303))</x:f>
      </x:c>
      <x:c r="D8" t="str">
        <x:f t="shared" si="0"/>
      </x:c>
      <x:c r="E8" t="str">
        <x:f>IFERROR(SUMIF(Settlement!$C$4:$C$303,A8,Settlement!$I$4:$I$303)/B8,"")</x:f>
      </x:c>
      <x:c r="F8" t="str">
        <x:f t="shared" si="1"/>
      </x:c>
      <x:c r="G8" t="str">
        <x:f>IFERROR(SUMIF(Settlement!$C$4:$C$303,A8,Settlement!$R$4:$R$303)/B8,"")</x:f>
      </x:c>
      <x:c r="H8" t="str">
        <x:f t="shared" si="2"/>
      </x:c>
    </x:row>
    <x:row r="9">
      <x:c r="B9" t="str">
        <x:f>IF(A9="","",COUNTIF(Settlement!$C$4:$C$303,A9))</x:f>
      </x:c>
      <x:c r="C9" t="str">
        <x:f>IF(A9="","",SUMIF(Settlement!$C$4:$C$303,A9,Settlement!$J$4:$J$303))</x:f>
      </x:c>
      <x:c r="D9" t="str">
        <x:f t="shared" si="0"/>
      </x:c>
      <x:c r="E9" t="str">
        <x:f>IFERROR(SUMIF(Settlement!$C$4:$C$303,A9,Settlement!$I$4:$I$303)/B9,"")</x:f>
      </x:c>
      <x:c r="F9" t="str">
        <x:f t="shared" si="1"/>
      </x:c>
      <x:c r="G9" t="str">
        <x:f>IFERROR(SUMIF(Settlement!$C$4:$C$303,A9,Settlement!$R$4:$R$303)/B9,"")</x:f>
      </x:c>
      <x:c r="H9" t="str">
        <x:f t="shared" si="2"/>
      </x:c>
    </x:row>
    <x:row r="10">
      <x:c r="B10" t="str">
        <x:f>IF(A10="","",COUNTIF(Settlement!$C$4:$C$303,A10))</x:f>
      </x:c>
      <x:c r="C10" t="str">
        <x:f>IF(A10="","",SUMIF(Settlement!$C$4:$C$303,A10,Settlement!$J$4:$J$303))</x:f>
      </x:c>
      <x:c r="D10" t="str">
        <x:f t="shared" si="0"/>
      </x:c>
      <x:c r="E10" t="str">
        <x:f>IFERROR(SUMIF(Settlement!$C$4:$C$303,A10,Settlement!$I$4:$I$303)/B10,"")</x:f>
      </x:c>
      <x:c r="F10" t="str">
        <x:f t="shared" si="1"/>
      </x:c>
      <x:c r="G10" t="str">
        <x:f>IFERROR(SUMIF(Settlement!$C$4:$C$303,A10,Settlement!$R$4:$R$303)/B10,"")</x:f>
      </x:c>
      <x:c r="H10" t="str">
        <x:f t="shared" si="2"/>
      </x:c>
    </x:row>
    <x:row r="11">
      <x:c r="B11" t="str">
        <x:f>IF(A11="","",COUNTIF(Settlement!$C$4:$C$303,A11))</x:f>
      </x:c>
      <x:c r="C11" t="str">
        <x:f>IF(A11="","",SUMIF(Settlement!$C$4:$C$303,A11,Settlement!$J$4:$J$303))</x:f>
      </x:c>
      <x:c r="D11" t="str">
        <x:f t="shared" si="0"/>
      </x:c>
      <x:c r="E11" t="str">
        <x:f>IFERROR(SUMIF(Settlement!$C$4:$C$303,A11,Settlement!$I$4:$I$303)/B11,"")</x:f>
      </x:c>
      <x:c r="F11" t="str">
        <x:f t="shared" si="1"/>
      </x:c>
      <x:c r="G11" t="str">
        <x:f>IFERROR(SUMIF(Settlement!$C$4:$C$303,A11,Settlement!$R$4:$R$303)/B11,"")</x:f>
      </x:c>
      <x:c r="H11" t="str">
        <x:f t="shared" si="2"/>
      </x:c>
    </x:row>
    <x:row r="12">
      <x:c r="B12" t="str">
        <x:f>IF(A12="","",COUNTIF(Settlement!$C$4:$C$303,A12))</x:f>
      </x:c>
      <x:c r="C12" t="str">
        <x:f>IF(A12="","",SUMIF(Settlement!$C$4:$C$303,A12,Settlement!$J$4:$J$303))</x:f>
      </x:c>
      <x:c r="D12" t="str">
        <x:f t="shared" si="0"/>
      </x:c>
      <x:c r="E12" t="str">
        <x:f>IFERROR(SUMIF(Settlement!$C$4:$C$303,A12,Settlement!$I$4:$I$303)/B12,"")</x:f>
      </x:c>
      <x:c r="F12" t="str">
        <x:f t="shared" si="1"/>
      </x:c>
      <x:c r="G12" t="str">
        <x:f>IFERROR(SUMIF(Settlement!$C$4:$C$303,A12,Settlement!$R$4:$R$303)/B12,"")</x:f>
      </x:c>
      <x:c r="H12" t="str">
        <x:f t="shared" si="2"/>
      </x:c>
    </x:row>
    <x:row r="13">
      <x:c r="B13" t="str">
        <x:f>IF(A13="","",COUNTIF(Settlement!$C$4:$C$303,A13))</x:f>
      </x:c>
      <x:c r="C13" t="str">
        <x:f>IF(A13="","",SUMIF(Settlement!$C$4:$C$303,A13,Settlement!$J$4:$J$303))</x:f>
      </x:c>
      <x:c r="D13" t="str">
        <x:f t="shared" si="0"/>
      </x:c>
      <x:c r="E13" t="str">
        <x:f>IFERROR(SUMIF(Settlement!$C$4:$C$303,A13,Settlement!$I$4:$I$303)/B13,"")</x:f>
      </x:c>
      <x:c r="F13" t="str">
        <x:f t="shared" si="1"/>
      </x:c>
      <x:c r="G13" t="str">
        <x:f>IFERROR(SUMIF(Settlement!$C$4:$C$303,A13,Settlement!$R$4:$R$303)/B13,"")</x:f>
      </x:c>
      <x:c r="H13" t="str">
        <x:f t="shared" si="2"/>
      </x:c>
    </x:row>
    <x:row r="14">
      <x:c r="B14" t="str">
        <x:f>IF(A14="","",COUNTIF(Settlement!$C$4:$C$303,A14))</x:f>
      </x:c>
      <x:c r="C14" t="str">
        <x:f>IF(A14="","",SUMIF(Settlement!$C$4:$C$303,A14,Settlement!$J$4:$J$303))</x:f>
      </x:c>
      <x:c r="D14" t="str">
        <x:f t="shared" si="0"/>
      </x:c>
      <x:c r="E14" t="str">
        <x:f>IFERROR(SUMIF(Settlement!$C$4:$C$303,A14,Settlement!$I$4:$I$303)/B14,"")</x:f>
      </x:c>
      <x:c r="F14" t="str">
        <x:f t="shared" si="1"/>
      </x:c>
      <x:c r="G14" t="str">
        <x:f>IFERROR(SUMIF(Settlement!$C$4:$C$303,A14,Settlement!$R$4:$R$303)/B14,"")</x:f>
      </x:c>
      <x:c r="H14" t="str">
        <x:f t="shared" si="2"/>
      </x:c>
    </x:row>
    <x:row r="15">
      <x:c r="B15" t="str">
        <x:f>IF(A15="","",COUNTIF(Settlement!$C$4:$C$303,A15))</x:f>
      </x:c>
      <x:c r="C15" t="str">
        <x:f>IF(A15="","",SUMIF(Settlement!$C$4:$C$303,A15,Settlement!$J$4:$J$303))</x:f>
      </x:c>
      <x:c r="D15" t="str">
        <x:f t="shared" si="0"/>
      </x:c>
      <x:c r="E15" t="str">
        <x:f>IFERROR(SUMIF(Settlement!$C$4:$C$303,A15,Settlement!$I$4:$I$303)/B15,"")</x:f>
      </x:c>
      <x:c r="F15" t="str">
        <x:f t="shared" si="1"/>
      </x:c>
      <x:c r="G15" t="str">
        <x:f>IFERROR(SUMIF(Settlement!$C$4:$C$303,A15,Settlement!$R$4:$R$303)/B15,"")</x:f>
      </x:c>
      <x:c r="H15" t="str">
        <x:f t="shared" si="2"/>
      </x:c>
    </x:row>
    <x:row r="16">
      <x:c r="B16" t="str">
        <x:f>IF(A16="","",COUNTIF(Settlement!$C$4:$C$303,A16))</x:f>
      </x:c>
      <x:c r="C16" t="str">
        <x:f>IF(A16="","",SUMIF(Settlement!$C$4:$C$303,A16,Settlement!$J$4:$J$303))</x:f>
      </x:c>
      <x:c r="D16" t="str">
        <x:f t="shared" si="0"/>
      </x:c>
      <x:c r="E16" t="str">
        <x:f>IFERROR(SUMIF(Settlement!$C$4:$C$303,A16,Settlement!$I$4:$I$303)/B16,"")</x:f>
      </x:c>
      <x:c r="F16" t="str">
        <x:f t="shared" si="1"/>
      </x:c>
      <x:c r="G16" t="str">
        <x:f>IFERROR(SUMIF(Settlement!$C$4:$C$303,A16,Settlement!$R$4:$R$303)/B16,"")</x:f>
      </x:c>
      <x:c r="H16" t="str">
        <x:f t="shared" si="2"/>
      </x:c>
    </x:row>
    <x:row r="17">
      <x:c r="B17" t="str">
        <x:f>IF(A17="","",COUNTIF(Settlement!$C$4:$C$303,A17))</x:f>
      </x:c>
      <x:c r="C17" t="str">
        <x:f>IF(A17="","",SUMIF(Settlement!$C$4:$C$303,A17,Settlement!$J$4:$J$303))</x:f>
      </x:c>
      <x:c r="D17" t="str">
        <x:f t="shared" si="0"/>
      </x:c>
      <x:c r="E17" t="str">
        <x:f>IFERROR(SUMIF(Settlement!$C$4:$C$303,A17,Settlement!$I$4:$I$303)/B17,"")</x:f>
      </x:c>
      <x:c r="F17" t="str">
        <x:f t="shared" si="1"/>
      </x:c>
      <x:c r="G17" t="str">
        <x:f>IFERROR(SUMIF(Settlement!$C$4:$C$303,A17,Settlement!$R$4:$R$303)/B17,"")</x:f>
      </x:c>
      <x:c r="H17" t="str">
        <x:f t="shared" si="2"/>
      </x:c>
    </x:row>
    <x:row r="18">
      <x:c r="B18" t="str">
        <x:f>IF(A18="","",COUNTIF(Settlement!$C$4:$C$303,A18))</x:f>
      </x:c>
      <x:c r="C18" t="str">
        <x:f>IF(A18="","",SUMIF(Settlement!$C$4:$C$303,A18,Settlement!$J$4:$J$303))</x:f>
      </x:c>
      <x:c r="D18" t="str">
        <x:f t="shared" si="0"/>
      </x:c>
      <x:c r="E18" t="str">
        <x:f>IFERROR(SUMIF(Settlement!$C$4:$C$303,A18,Settlement!$I$4:$I$303)/B18,"")</x:f>
      </x:c>
      <x:c r="F18" t="str">
        <x:f t="shared" si="1"/>
      </x:c>
      <x:c r="G18" t="str">
        <x:f>IFERROR(SUMIF(Settlement!$C$4:$C$303,A18,Settlement!$R$4:$R$303)/B18,"")</x:f>
      </x:c>
      <x:c r="H18" t="str">
        <x:f t="shared" si="2"/>
      </x:c>
    </x:row>
    <x:row r="19">
      <x:c r="B19" t="str">
        <x:f>IF(A19="","",COUNTIF(Settlement!$C$4:$C$303,A19))</x:f>
      </x:c>
      <x:c r="C19" t="str">
        <x:f>IF(A19="","",SUMIF(Settlement!$C$4:$C$303,A19,Settlement!$J$4:$J$303))</x:f>
      </x:c>
      <x:c r="D19" t="str">
        <x:f t="shared" si="0"/>
      </x:c>
      <x:c r="E19" t="str">
        <x:f>IFERROR(SUMIF(Settlement!$C$4:$C$303,A19,Settlement!$I$4:$I$303)/B19,"")</x:f>
      </x:c>
      <x:c r="F19" t="str">
        <x:f t="shared" si="1"/>
      </x:c>
      <x:c r="G19" t="str">
        <x:f>IFERROR(SUMIF(Settlement!$C$4:$C$303,A19,Settlement!$R$4:$R$303)/B19,"")</x:f>
      </x:c>
      <x:c r="H19" t="str">
        <x:f t="shared" si="2"/>
      </x:c>
    </x:row>
    <x:row r="20">
      <x:c r="B20" t="str">
        <x:f>IF(A20="","",COUNTIF(Settlement!$C$4:$C$303,A20))</x:f>
      </x:c>
      <x:c r="C20" t="str">
        <x:f>IF(A20="","",SUMIF(Settlement!$C$4:$C$303,A20,Settlement!$J$4:$J$303))</x:f>
      </x:c>
      <x:c r="D20" t="str">
        <x:f t="shared" si="0"/>
      </x:c>
      <x:c r="E20" t="str">
        <x:f>IFERROR(SUMIF(Settlement!$C$4:$C$303,A20,Settlement!$I$4:$I$303)/B20,"")</x:f>
      </x:c>
      <x:c r="F20" t="str">
        <x:f t="shared" si="1"/>
      </x:c>
      <x:c r="G20" t="str">
        <x:f>IFERROR(SUMIF(Settlement!$C$4:$C$303,A20,Settlement!$R$4:$R$303)/B20,"")</x:f>
      </x:c>
      <x:c r="H20" t="str">
        <x:f t="shared" si="2"/>
      </x:c>
    </x:row>
    <x:row r="21">
      <x:c r="B21" t="str">
        <x:f>IF(A21="","",COUNTIF(Settlement!$C$4:$C$303,A21))</x:f>
      </x:c>
      <x:c r="C21" t="str">
        <x:f>IF(A21="","",SUMIF(Settlement!$C$4:$C$303,A21,Settlement!$J$4:$J$303))</x:f>
      </x:c>
      <x:c r="D21" t="str">
        <x:f t="shared" si="0"/>
      </x:c>
      <x:c r="E21" t="str">
        <x:f>IFERROR(SUMIF(Settlement!$C$4:$C$303,A21,Settlement!$I$4:$I$303)/B21,"")</x:f>
      </x:c>
      <x:c r="F21" t="str">
        <x:f t="shared" si="1"/>
      </x:c>
      <x:c r="G21" t="str">
        <x:f>IFERROR(SUMIF(Settlement!$C$4:$C$303,A21,Settlement!$R$4:$R$303)/B21,"")</x:f>
      </x:c>
      <x:c r="H21" t="str">
        <x:f t="shared" si="2"/>
      </x:c>
    </x:row>
    <x:row r="22">
      <x:c r="B22" t="str">
        <x:f>IF(A22="","",COUNTIF(Settlement!$C$4:$C$303,A22))</x:f>
      </x:c>
      <x:c r="C22" t="str">
        <x:f>IF(A22="","",SUMIF(Settlement!$C$4:$C$303,A22,Settlement!$J$4:$J$303))</x:f>
      </x:c>
      <x:c r="D22" t="str">
        <x:f t="shared" si="0"/>
      </x:c>
      <x:c r="E22" t="str">
        <x:f>IFERROR(SUMIF(Settlement!$C$4:$C$303,A22,Settlement!$I$4:$I$303)/B22,"")</x:f>
      </x:c>
      <x:c r="F22" t="str">
        <x:f t="shared" si="1"/>
      </x:c>
      <x:c r="G22" t="str">
        <x:f>IFERROR(SUMIF(Settlement!$C$4:$C$303,A22,Settlement!$R$4:$R$303)/B22,"")</x:f>
      </x:c>
      <x:c r="H22" t="str">
        <x:f t="shared" si="2"/>
      </x:c>
    </x:row>
    <x:row r="23">
      <x:c r="B23" t="str">
        <x:f>IF(A23="","",COUNTIF(Settlement!$C$4:$C$303,A23))</x:f>
      </x:c>
      <x:c r="C23" t="str">
        <x:f>IF(A23="","",SUMIF(Settlement!$C$4:$C$303,A23,Settlement!$J$4:$J$303))</x:f>
      </x:c>
      <x:c r="D23" t="str">
        <x:f t="shared" si="0"/>
      </x:c>
      <x:c r="E23" t="str">
        <x:f>IFERROR(SUMIF(Settlement!$C$4:$C$303,A23,Settlement!$I$4:$I$303)/B23,"")</x:f>
      </x:c>
      <x:c r="F23" t="str">
        <x:f t="shared" si="1"/>
      </x:c>
      <x:c r="G23" t="str">
        <x:f>IFERROR(SUMIF(Settlement!$C$4:$C$303,A23,Settlement!$R$4:$R$303)/B23,"")</x:f>
      </x:c>
      <x:c r="H23" t="str">
        <x:f t="shared" si="2"/>
      </x:c>
    </x:row>
    <x:row r="24">
      <x:c r="B24" t="str">
        <x:f>IF(A24="","",COUNTIF(Settlement!$C$4:$C$303,A24))</x:f>
      </x:c>
      <x:c r="C24" t="str">
        <x:f>IF(A24="","",SUMIF(Settlement!$C$4:$C$303,A24,Settlement!$J$4:$J$303))</x:f>
      </x:c>
      <x:c r="D24" t="str">
        <x:f t="shared" si="0"/>
      </x:c>
      <x:c r="E24" t="str">
        <x:f>IFERROR(SUMIF(Settlement!$C$4:$C$303,A24,Settlement!$I$4:$I$303)/B24,"")</x:f>
      </x:c>
      <x:c r="F24" t="str">
        <x:f t="shared" si="1"/>
      </x:c>
      <x:c r="G24" t="str">
        <x:f>IFERROR(SUMIF(Settlement!$C$4:$C$303,A24,Settlement!$R$4:$R$303)/B24,"")</x:f>
      </x:c>
      <x:c r="H24" t="str">
        <x:f t="shared" si="2"/>
      </x:c>
    </x:row>
    <x:row r="25">
      <x:c r="B25" t="str">
        <x:f>IF(A25="","",COUNTIF(Settlement!$C$4:$C$303,A25))</x:f>
      </x:c>
      <x:c r="C25" t="str">
        <x:f>IF(A25="","",SUMIF(Settlement!$C$4:$C$303,A25,Settlement!$J$4:$J$303))</x:f>
      </x:c>
      <x:c r="D25" t="str">
        <x:f t="shared" si="0"/>
      </x:c>
      <x:c r="E25" t="str">
        <x:f>IFERROR(SUMIF(Settlement!$C$4:$C$303,A25,Settlement!$I$4:$I$303)/B25,"")</x:f>
      </x:c>
      <x:c r="F25" t="str">
        <x:f t="shared" si="1"/>
      </x:c>
      <x:c r="G25" t="str">
        <x:f>IFERROR(SUMIF(Settlement!$C$4:$C$303,A25,Settlement!$R$4:$R$303)/B25,"")</x:f>
      </x:c>
      <x:c r="H25" t="str">
        <x:f t="shared" si="2"/>
      </x:c>
    </x:row>
    <x:row r="26">
      <x:c r="B26" t="str">
        <x:f>IF(A26="","",COUNTIF(Settlement!$C$4:$C$303,A26))</x:f>
      </x:c>
      <x:c r="C26" t="str">
        <x:f>IF(A26="","",SUMIF(Settlement!$C$4:$C$303,A26,Settlement!$J$4:$J$303))</x:f>
      </x:c>
      <x:c r="D26" t="str">
        <x:f t="shared" si="0"/>
      </x:c>
      <x:c r="E26" t="str">
        <x:f>IFERROR(SUMIF(Settlement!$C$4:$C$303,A26,Settlement!$I$4:$I$303)/B26,"")</x:f>
      </x:c>
      <x:c r="F26" t="str">
        <x:f t="shared" si="1"/>
      </x:c>
      <x:c r="G26" t="str">
        <x:f>IFERROR(SUMIF(Settlement!$C$4:$C$303,A26,Settlement!$R$4:$R$303)/B26,"")</x:f>
      </x:c>
      <x:c r="H26" t="str">
        <x:f t="shared" si="2"/>
      </x:c>
    </x:row>
    <x:row r="27">
      <x:c r="B27" t="str">
        <x:f>IF(A27="","",COUNTIF(Settlement!$C$4:$C$303,A27))</x:f>
      </x:c>
      <x:c r="C27" t="str">
        <x:f>IF(A27="","",SUMIF(Settlement!$C$4:$C$303,A27,Settlement!$J$4:$J$303))</x:f>
      </x:c>
      <x:c r="D27" t="str">
        <x:f t="shared" si="0"/>
      </x:c>
      <x:c r="E27" t="str">
        <x:f>IFERROR(SUMIF(Settlement!$C$4:$C$303,A27,Settlement!$I$4:$I$303)/B27,"")</x:f>
      </x:c>
      <x:c r="F27" t="str">
        <x:f t="shared" si="1"/>
      </x:c>
      <x:c r="G27" t="str">
        <x:f>IFERROR(SUMIF(Settlement!$C$4:$C$303,A27,Settlement!$R$4:$R$303)/B27,"")</x:f>
      </x:c>
      <x:c r="H27" t="str">
        <x:f t="shared" si="2"/>
      </x:c>
    </x:row>
    <x:row r="28">
      <x:c r="B28" t="str">
        <x:f>IF(A28="","",COUNTIF(Settlement!$C$4:$C$303,A28))</x:f>
      </x:c>
      <x:c r="C28" t="str">
        <x:f>IF(A28="","",SUMIF(Settlement!$C$4:$C$303,A28,Settlement!$J$4:$J$303))</x:f>
      </x:c>
      <x:c r="D28" t="str">
        <x:f t="shared" si="0"/>
      </x:c>
      <x:c r="E28" t="str">
        <x:f>IFERROR(SUMIF(Settlement!$C$4:$C$303,A28,Settlement!$I$4:$I$303)/B28,"")</x:f>
      </x:c>
      <x:c r="F28" t="str">
        <x:f t="shared" si="1"/>
      </x:c>
      <x:c r="G28" t="str">
        <x:f>IFERROR(SUMIF(Settlement!$C$4:$C$303,A28,Settlement!$R$4:$R$303)/B28,"")</x:f>
      </x:c>
      <x:c r="H28" t="str">
        <x:f t="shared" si="2"/>
      </x:c>
    </x:row>
    <x:row r="29">
      <x:c r="B29" t="str">
        <x:f>IF(A29="","",COUNTIF(Settlement!$C$4:$C$303,A29))</x:f>
      </x:c>
      <x:c r="C29" t="str">
        <x:f>IF(A29="","",SUMIF(Settlement!$C$4:$C$303,A29,Settlement!$J$4:$J$303))</x:f>
      </x:c>
      <x:c r="D29" t="str">
        <x:f t="shared" si="0"/>
      </x:c>
      <x:c r="E29" t="str">
        <x:f>IFERROR(SUMIF(Settlement!$C$4:$C$303,A29,Settlement!$I$4:$I$303)/B29,"")</x:f>
      </x:c>
      <x:c r="F29" t="str">
        <x:f t="shared" si="1"/>
      </x:c>
      <x:c r="G29" t="str">
        <x:f>IFERROR(SUMIF(Settlement!$C$4:$C$303,A29,Settlement!$R$4:$R$303)/B29,"")</x:f>
      </x:c>
      <x:c r="H29" t="str">
        <x:f t="shared" si="2"/>
      </x:c>
    </x:row>
    <x:row r="30">
      <x:c r="B30" t="str">
        <x:f>IF(A30="","",COUNTIF(Settlement!$C$4:$C$303,A30))</x:f>
      </x:c>
      <x:c r="C30" t="str">
        <x:f>IF(A30="","",SUMIF(Settlement!$C$4:$C$303,A30,Settlement!$J$4:$J$303))</x:f>
      </x:c>
      <x:c r="D30" t="str">
        <x:f t="shared" si="0"/>
      </x:c>
      <x:c r="E30" t="str">
        <x:f>IFERROR(SUMIF(Settlement!$C$4:$C$303,A30,Settlement!$I$4:$I$303)/B30,"")</x:f>
      </x:c>
      <x:c r="F30" t="str">
        <x:f t="shared" si="1"/>
      </x:c>
      <x:c r="G30" t="str">
        <x:f>IFERROR(SUMIF(Settlement!$C$4:$C$303,A30,Settlement!$R$4:$R$303)/B30,"")</x:f>
      </x:c>
      <x:c r="H30" t="str">
        <x:f t="shared" si="2"/>
      </x:c>
    </x:row>
    <x:row r="31">
      <x:c r="B31" t="str">
        <x:f>IF(A31="","",COUNTIF(Settlement!$C$4:$C$303,A31))</x:f>
      </x:c>
      <x:c r="C31" t="str">
        <x:f>IF(A31="","",SUMIF(Settlement!$C$4:$C$303,A31,Settlement!$J$4:$J$303))</x:f>
      </x:c>
      <x:c r="D31" t="str">
        <x:f t="shared" si="0"/>
      </x:c>
      <x:c r="E31" t="str">
        <x:f>IFERROR(SUMIF(Settlement!$C$4:$C$303,A31,Settlement!$I$4:$I$303)/B31,"")</x:f>
      </x:c>
      <x:c r="F31" t="str">
        <x:f t="shared" si="1"/>
      </x:c>
      <x:c r="G31" t="str">
        <x:f>IFERROR(SUMIF(Settlement!$C$4:$C$303,A31,Settlement!$R$4:$R$303)/B31,"")</x:f>
      </x:c>
      <x:c r="H31" t="str">
        <x:f t="shared" si="2"/>
      </x:c>
    </x:row>
    <x:row r="32">
      <x:c r="B32" t="str">
        <x:f>IF(A32="","",COUNTIF(Settlement!$C$4:$C$303,A32))</x:f>
      </x:c>
      <x:c r="C32" t="str">
        <x:f>IF(A32="","",SUMIF(Settlement!$C$4:$C$303,A32,Settlement!$J$4:$J$303))</x:f>
      </x:c>
      <x:c r="D32" t="str">
        <x:f t="shared" si="0"/>
      </x:c>
      <x:c r="E32" t="str">
        <x:f>IFERROR(SUMIF(Settlement!$C$4:$C$303,A32,Settlement!$I$4:$I$303)/B32,"")</x:f>
      </x:c>
      <x:c r="F32" t="str">
        <x:f t="shared" si="1"/>
      </x:c>
      <x:c r="G32" t="str">
        <x:f>IFERROR(SUMIF(Settlement!$C$4:$C$303,A32,Settlement!$R$4:$R$303)/B32,"")</x:f>
      </x:c>
      <x:c r="H32" t="str">
        <x:f t="shared" si="2"/>
      </x:c>
    </x:row>
    <x:row r="33">
      <x:c r="B33" t="str">
        <x:f>IF(A33="","",COUNTIF(Settlement!$C$4:$C$303,A33))</x:f>
      </x:c>
      <x:c r="C33" t="str">
        <x:f>IF(A33="","",SUMIF(Settlement!$C$4:$C$303,A33,Settlement!$J$4:$J$303))</x:f>
      </x:c>
      <x:c r="D33" t="str">
        <x:f t="shared" si="0"/>
      </x:c>
      <x:c r="E33" t="str">
        <x:f>IFERROR(SUMIF(Settlement!$C$4:$C$303,A33,Settlement!$I$4:$I$303)/B33,"")</x:f>
      </x:c>
      <x:c r="F33" t="str">
        <x:f t="shared" si="1"/>
      </x:c>
      <x:c r="G33" t="str">
        <x:f>IFERROR(SUMIF(Settlement!$C$4:$C$303,A33,Settlement!$R$4:$R$303)/B33,"")</x:f>
      </x:c>
      <x:c r="H33" t="str">
        <x:f t="shared" si="2"/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4.25"/>
  <x:sheetData>
    <x:row r="1" ht="18">
      <x:c r="A1" s="203" t="s">
        <x:v>823</x:v>
      </x:c>
      <x:c r="B1" s="203"/>
      <x:c r="C1" s="203"/>
      <x:c r="D1" s="203"/>
      <x:c r="E1" s="203"/>
      <x:c r="F1" s="203"/>
      <x:c r="G1" s="203"/>
    </x:row>
    <x:row r="2">
      <x:c r="A2" s="204" t="s">
        <x:v>824</x:v>
      </x:c>
      <x:c r="B2" s="204"/>
      <x:c r="C2" s="204"/>
      <x:c r="D2" s="204"/>
      <x:c r="E2" s="204"/>
      <x:c r="F2" s="204"/>
      <x:c r="G2" s="204"/>
    </x:row>
    <x:row r="3" ht="30">
      <x:c r="A3" s="175" t="s">
        <x:v>825</x:v>
      </x:c>
      <x:c r="B3" s="175" t="s">
        <x:v>132</x:v>
      </x:c>
      <x:c r="C3" s="175" t="s">
        <x:v>796</x:v>
      </x:c>
      <x:c r="D3" s="175" t="s">
        <x:v>797</x:v>
      </x:c>
      <x:c r="E3" s="175" t="s">
        <x:v>803</x:v>
      </x:c>
      <x:c r="F3" s="175" t="s">
        <x:v>805</x:v>
      </x:c>
      <x:c r="G3" s="175" t="s">
        <x:v>790</x:v>
      </x:c>
    </x:row>
    <x:row r="4">
      <x:c r="A4">
        <x:v>46235</x:v>
      </x:c>
      <x:c r="B4" t="n">
        <x:f>IF(A4="","",COUNTIFS(Settlement!$B$4:$B$303,"&gt;="&amp;A4,Settlement!$B$4:$B$303,"&lt;"&amp;EDATE(A4,1)))</x:f>
        <x:v>0</x:v>
      </x:c>
      <x:c r="C4" t="n">
        <x:f>IF(A4="","",SUMIFS(Settlement!$J$4:$J$303,Settlement!$B$4:$B$303,"&gt;="&amp;A4,Settlement!$B$4:$B$303,"&lt;"&amp;EDATE(A4,1)))</x:f>
        <x:v>0</x:v>
      </x:c>
      <x:c r="D4" t="str">
        <x:f t="shared" ref="D4:D27" si="0">IFERROR(C4/B4,"")</x:f>
      </x:c>
      <x:c r="E4" t="str">
        <x:f>IF(A4="","",IFERROR(SUMIFS(Settlement!$I$4:$I$303,Settlement!$B$4:$B$303,"&gt;="&amp;A4,Settlement!$B$4:$B$303,"&lt;"&amp;EDATE(A4,1))/B4,""))</x:f>
      </x:c>
      <x:c r="F4" t="str">
        <x:f t="shared" ref="F4:F27" si="1">IF(OR(D4="",E4=""),"",E4-D4)</x:f>
      </x:c>
      <x:c r="G4" t="str">
        <x:f>IF(A4="","",IFERROR(SUMIFS(Settlement!$R$4:$R$303,Settlement!$B$4:$B$303,"&gt;="&amp;A4,Settlement!$B$4:$B$303,"&lt;"&amp;EDATE(A4,1))/B4,""))</x:f>
      </x:c>
    </x:row>
    <x:row r="5">
      <x:c r="B5" t="str">
        <x:f>IF(A5="","",COUNTIFS(Settlement!$B$4:$B$303,"&gt;="&amp;A5,Settlement!$B$4:$B$303,"&lt;"&amp;EDATE(A5,1)))</x:f>
      </x:c>
      <x:c r="C5" t="str">
        <x:f>IF(A5="","",SUMIFS(Settlement!$J$4:$J$303,Settlement!$B$4:$B$303,"&gt;="&amp;A5,Settlement!$B$4:$B$303,"&lt;"&amp;EDATE(A5,1)))</x:f>
      </x:c>
      <x:c r="D5" t="str">
        <x:f t="shared" si="0"/>
      </x:c>
      <x:c r="E5" t="str">
        <x:f>IF(A5="","",IFERROR(SUMIFS(Settlement!$I$4:$I$303,Settlement!$B$4:$B$303,"&gt;="&amp;A5,Settlement!$B$4:$B$303,"&lt;"&amp;EDATE(A5,1))/B5,""))</x:f>
      </x:c>
      <x:c r="F5" t="str">
        <x:f t="shared" si="1"/>
      </x:c>
      <x:c r="G5" t="str">
        <x:f>IF(A5="","",IFERROR(SUMIFS(Settlement!$R$4:$R$303,Settlement!$B$4:$B$303,"&gt;="&amp;A5,Settlement!$B$4:$B$303,"&lt;"&amp;EDATE(A5,1))/B5,""))</x:f>
      </x:c>
    </x:row>
    <x:row r="6">
      <x:c r="B6" t="str">
        <x:f>IF(A6="","",COUNTIFS(Settlement!$B$4:$B$303,"&gt;="&amp;A6,Settlement!$B$4:$B$303,"&lt;"&amp;EDATE(A6,1)))</x:f>
      </x:c>
      <x:c r="C6" t="str">
        <x:f>IF(A6="","",SUMIFS(Settlement!$J$4:$J$303,Settlement!$B$4:$B$303,"&gt;="&amp;A6,Settlement!$B$4:$B$303,"&lt;"&amp;EDATE(A6,1)))</x:f>
      </x:c>
      <x:c r="D6" t="str">
        <x:f t="shared" si="0"/>
      </x:c>
      <x:c r="E6" t="str">
        <x:f>IF(A6="","",IFERROR(SUMIFS(Settlement!$I$4:$I$303,Settlement!$B$4:$B$303,"&gt;="&amp;A6,Settlement!$B$4:$B$303,"&lt;"&amp;EDATE(A6,1))/B6,""))</x:f>
      </x:c>
      <x:c r="F6" t="str">
        <x:f t="shared" si="1"/>
      </x:c>
      <x:c r="G6" t="str">
        <x:f>IF(A6="","",IFERROR(SUMIFS(Settlement!$R$4:$R$303,Settlement!$B$4:$B$303,"&gt;="&amp;A6,Settlement!$B$4:$B$303,"&lt;"&amp;EDATE(A6,1))/B6,""))</x:f>
      </x:c>
    </x:row>
    <x:row r="7">
      <x:c r="B7" t="str">
        <x:f>IF(A7="","",COUNTIFS(Settlement!$B$4:$B$303,"&gt;="&amp;A7,Settlement!$B$4:$B$303,"&lt;"&amp;EDATE(A7,1)))</x:f>
      </x:c>
      <x:c r="C7" t="str">
        <x:f>IF(A7="","",SUMIFS(Settlement!$J$4:$J$303,Settlement!$B$4:$B$303,"&gt;="&amp;A7,Settlement!$B$4:$B$303,"&lt;"&amp;EDATE(A7,1)))</x:f>
      </x:c>
      <x:c r="D7" t="str">
        <x:f t="shared" si="0"/>
      </x:c>
      <x:c r="E7" t="str">
        <x:f>IF(A7="","",IFERROR(SUMIFS(Settlement!$I$4:$I$303,Settlement!$B$4:$B$303,"&gt;="&amp;A7,Settlement!$B$4:$B$303,"&lt;"&amp;EDATE(A7,1))/B7,""))</x:f>
      </x:c>
      <x:c r="F7" t="str">
        <x:f t="shared" si="1"/>
      </x:c>
      <x:c r="G7" t="str">
        <x:f>IF(A7="","",IFERROR(SUMIFS(Settlement!$R$4:$R$303,Settlement!$B$4:$B$303,"&gt;="&amp;A7,Settlement!$B$4:$B$303,"&lt;"&amp;EDATE(A7,1))/B7,""))</x:f>
      </x:c>
    </x:row>
    <x:row r="8">
      <x:c r="B8" t="str">
        <x:f>IF(A8="","",COUNTIFS(Settlement!$B$4:$B$303,"&gt;="&amp;A8,Settlement!$B$4:$B$303,"&lt;"&amp;EDATE(A8,1)))</x:f>
      </x:c>
      <x:c r="C8" t="str">
        <x:f>IF(A8="","",SUMIFS(Settlement!$J$4:$J$303,Settlement!$B$4:$B$303,"&gt;="&amp;A8,Settlement!$B$4:$B$303,"&lt;"&amp;EDATE(A8,1)))</x:f>
      </x:c>
      <x:c r="D8" t="str">
        <x:f t="shared" si="0"/>
      </x:c>
      <x:c r="E8" t="str">
        <x:f>IF(A8="","",IFERROR(SUMIFS(Settlement!$I$4:$I$303,Settlement!$B$4:$B$303,"&gt;="&amp;A8,Settlement!$B$4:$B$303,"&lt;"&amp;EDATE(A8,1))/B8,""))</x:f>
      </x:c>
      <x:c r="F8" t="str">
        <x:f t="shared" si="1"/>
      </x:c>
      <x:c r="G8" t="str">
        <x:f>IF(A8="","",IFERROR(SUMIFS(Settlement!$R$4:$R$303,Settlement!$B$4:$B$303,"&gt;="&amp;A8,Settlement!$B$4:$B$303,"&lt;"&amp;EDATE(A8,1))/B8,""))</x:f>
      </x:c>
    </x:row>
    <x:row r="9">
      <x:c r="B9" t="str">
        <x:f>IF(A9="","",COUNTIFS(Settlement!$B$4:$B$303,"&gt;="&amp;A9,Settlement!$B$4:$B$303,"&lt;"&amp;EDATE(A9,1)))</x:f>
      </x:c>
      <x:c r="C9" t="str">
        <x:f>IF(A9="","",SUMIFS(Settlement!$J$4:$J$303,Settlement!$B$4:$B$303,"&gt;="&amp;A9,Settlement!$B$4:$B$303,"&lt;"&amp;EDATE(A9,1)))</x:f>
      </x:c>
      <x:c r="D9" t="str">
        <x:f t="shared" si="0"/>
      </x:c>
      <x:c r="E9" t="str">
        <x:f>IF(A9="","",IFERROR(SUMIFS(Settlement!$I$4:$I$303,Settlement!$B$4:$B$303,"&gt;="&amp;A9,Settlement!$B$4:$B$303,"&lt;"&amp;EDATE(A9,1))/B9,""))</x:f>
      </x:c>
      <x:c r="F9" t="str">
        <x:f t="shared" si="1"/>
      </x:c>
      <x:c r="G9" t="str">
        <x:f>IF(A9="","",IFERROR(SUMIFS(Settlement!$R$4:$R$303,Settlement!$B$4:$B$303,"&gt;="&amp;A9,Settlement!$B$4:$B$303,"&lt;"&amp;EDATE(A9,1))/B9,""))</x:f>
      </x:c>
    </x:row>
    <x:row r="10">
      <x:c r="B10" t="str">
        <x:f>IF(A10="","",COUNTIFS(Settlement!$B$4:$B$303,"&gt;="&amp;A10,Settlement!$B$4:$B$303,"&lt;"&amp;EDATE(A10,1)))</x:f>
      </x:c>
      <x:c r="C10" t="str">
        <x:f>IF(A10="","",SUMIFS(Settlement!$J$4:$J$303,Settlement!$B$4:$B$303,"&gt;="&amp;A10,Settlement!$B$4:$B$303,"&lt;"&amp;EDATE(A10,1)))</x:f>
      </x:c>
      <x:c r="D10" t="str">
        <x:f t="shared" si="0"/>
      </x:c>
      <x:c r="E10" t="str">
        <x:f>IF(A10="","",IFERROR(SUMIFS(Settlement!$I$4:$I$303,Settlement!$B$4:$B$303,"&gt;="&amp;A10,Settlement!$B$4:$B$303,"&lt;"&amp;EDATE(A10,1))/B10,""))</x:f>
      </x:c>
      <x:c r="F10" t="str">
        <x:f t="shared" si="1"/>
      </x:c>
      <x:c r="G10" t="str">
        <x:f>IF(A10="","",IFERROR(SUMIFS(Settlement!$R$4:$R$303,Settlement!$B$4:$B$303,"&gt;="&amp;A10,Settlement!$B$4:$B$303,"&lt;"&amp;EDATE(A10,1))/B10,""))</x:f>
      </x:c>
    </x:row>
    <x:row r="11">
      <x:c r="B11" t="str">
        <x:f>IF(A11="","",COUNTIFS(Settlement!$B$4:$B$303,"&gt;="&amp;A11,Settlement!$B$4:$B$303,"&lt;"&amp;EDATE(A11,1)))</x:f>
      </x:c>
      <x:c r="C11" t="str">
        <x:f>IF(A11="","",SUMIFS(Settlement!$J$4:$J$303,Settlement!$B$4:$B$303,"&gt;="&amp;A11,Settlement!$B$4:$B$303,"&lt;"&amp;EDATE(A11,1)))</x:f>
      </x:c>
      <x:c r="D11" t="str">
        <x:f t="shared" si="0"/>
      </x:c>
      <x:c r="E11" t="str">
        <x:f>IF(A11="","",IFERROR(SUMIFS(Settlement!$I$4:$I$303,Settlement!$B$4:$B$303,"&gt;="&amp;A11,Settlement!$B$4:$B$303,"&lt;"&amp;EDATE(A11,1))/B11,""))</x:f>
      </x:c>
      <x:c r="F11" t="str">
        <x:f t="shared" si="1"/>
      </x:c>
      <x:c r="G11" t="str">
        <x:f>IF(A11="","",IFERROR(SUMIFS(Settlement!$R$4:$R$303,Settlement!$B$4:$B$303,"&gt;="&amp;A11,Settlement!$B$4:$B$303,"&lt;"&amp;EDATE(A11,1))/B11,""))</x:f>
      </x:c>
    </x:row>
    <x:row r="12">
      <x:c r="B12" t="str">
        <x:f>IF(A12="","",COUNTIFS(Settlement!$B$4:$B$303,"&gt;="&amp;A12,Settlement!$B$4:$B$303,"&lt;"&amp;EDATE(A12,1)))</x:f>
      </x:c>
      <x:c r="C12" t="str">
        <x:f>IF(A12="","",SUMIFS(Settlement!$J$4:$J$303,Settlement!$B$4:$B$303,"&gt;="&amp;A12,Settlement!$B$4:$B$303,"&lt;"&amp;EDATE(A12,1)))</x:f>
      </x:c>
      <x:c r="D12" t="str">
        <x:f t="shared" si="0"/>
      </x:c>
      <x:c r="E12" t="str">
        <x:f>IF(A12="","",IFERROR(SUMIFS(Settlement!$I$4:$I$303,Settlement!$B$4:$B$303,"&gt;="&amp;A12,Settlement!$B$4:$B$303,"&lt;"&amp;EDATE(A12,1))/B12,""))</x:f>
      </x:c>
      <x:c r="F12" t="str">
        <x:f t="shared" si="1"/>
      </x:c>
      <x:c r="G12" t="str">
        <x:f>IF(A12="","",IFERROR(SUMIFS(Settlement!$R$4:$R$303,Settlement!$B$4:$B$303,"&gt;="&amp;A12,Settlement!$B$4:$B$303,"&lt;"&amp;EDATE(A12,1))/B12,""))</x:f>
      </x:c>
    </x:row>
    <x:row r="13">
      <x:c r="B13" t="str">
        <x:f>IF(A13="","",COUNTIFS(Settlement!$B$4:$B$303,"&gt;="&amp;A13,Settlement!$B$4:$B$303,"&lt;"&amp;EDATE(A13,1)))</x:f>
      </x:c>
      <x:c r="C13" t="str">
        <x:f>IF(A13="","",SUMIFS(Settlement!$J$4:$J$303,Settlement!$B$4:$B$303,"&gt;="&amp;A13,Settlement!$B$4:$B$303,"&lt;"&amp;EDATE(A13,1)))</x:f>
      </x:c>
      <x:c r="D13" t="str">
        <x:f t="shared" si="0"/>
      </x:c>
      <x:c r="E13" t="str">
        <x:f>IF(A13="","",IFERROR(SUMIFS(Settlement!$I$4:$I$303,Settlement!$B$4:$B$303,"&gt;="&amp;A13,Settlement!$B$4:$B$303,"&lt;"&amp;EDATE(A13,1))/B13,""))</x:f>
      </x:c>
      <x:c r="F13" t="str">
        <x:f t="shared" si="1"/>
      </x:c>
      <x:c r="G13" t="str">
        <x:f>IF(A13="","",IFERROR(SUMIFS(Settlement!$R$4:$R$303,Settlement!$B$4:$B$303,"&gt;="&amp;A13,Settlement!$B$4:$B$303,"&lt;"&amp;EDATE(A13,1))/B13,""))</x:f>
      </x:c>
    </x:row>
    <x:row r="14">
      <x:c r="B14" t="str">
        <x:f>IF(A14="","",COUNTIFS(Settlement!$B$4:$B$303,"&gt;="&amp;A14,Settlement!$B$4:$B$303,"&lt;"&amp;EDATE(A14,1)))</x:f>
      </x:c>
      <x:c r="C14" t="str">
        <x:f>IF(A14="","",SUMIFS(Settlement!$J$4:$J$303,Settlement!$B$4:$B$303,"&gt;="&amp;A14,Settlement!$B$4:$B$303,"&lt;"&amp;EDATE(A14,1)))</x:f>
      </x:c>
      <x:c r="D14" t="str">
        <x:f t="shared" si="0"/>
      </x:c>
      <x:c r="E14" t="str">
        <x:f>IF(A14="","",IFERROR(SUMIFS(Settlement!$I$4:$I$303,Settlement!$B$4:$B$303,"&gt;="&amp;A14,Settlement!$B$4:$B$303,"&lt;"&amp;EDATE(A14,1))/B14,""))</x:f>
      </x:c>
      <x:c r="F14" t="str">
        <x:f t="shared" si="1"/>
      </x:c>
      <x:c r="G14" t="str">
        <x:f>IF(A14="","",IFERROR(SUMIFS(Settlement!$R$4:$R$303,Settlement!$B$4:$B$303,"&gt;="&amp;A14,Settlement!$B$4:$B$303,"&lt;"&amp;EDATE(A14,1))/B14,""))</x:f>
      </x:c>
    </x:row>
    <x:row r="15">
      <x:c r="B15" t="str">
        <x:f>IF(A15="","",COUNTIFS(Settlement!$B$4:$B$303,"&gt;="&amp;A15,Settlement!$B$4:$B$303,"&lt;"&amp;EDATE(A15,1)))</x:f>
      </x:c>
      <x:c r="C15" t="str">
        <x:f>IF(A15="","",SUMIFS(Settlement!$J$4:$J$303,Settlement!$B$4:$B$303,"&gt;="&amp;A15,Settlement!$B$4:$B$303,"&lt;"&amp;EDATE(A15,1)))</x:f>
      </x:c>
      <x:c r="D15" t="str">
        <x:f t="shared" si="0"/>
      </x:c>
      <x:c r="E15" t="str">
        <x:f>IF(A15="","",IFERROR(SUMIFS(Settlement!$I$4:$I$303,Settlement!$B$4:$B$303,"&gt;="&amp;A15,Settlement!$B$4:$B$303,"&lt;"&amp;EDATE(A15,1))/B15,""))</x:f>
      </x:c>
      <x:c r="F15" t="str">
        <x:f t="shared" si="1"/>
      </x:c>
      <x:c r="G15" t="str">
        <x:f>IF(A15="","",IFERROR(SUMIFS(Settlement!$R$4:$R$303,Settlement!$B$4:$B$303,"&gt;="&amp;A15,Settlement!$B$4:$B$303,"&lt;"&amp;EDATE(A15,1))/B15,""))</x:f>
      </x:c>
    </x:row>
    <x:row r="16">
      <x:c r="B16" t="str">
        <x:f>IF(A16="","",COUNTIFS(Settlement!$B$4:$B$303,"&gt;="&amp;A16,Settlement!$B$4:$B$303,"&lt;"&amp;EDATE(A16,1)))</x:f>
      </x:c>
      <x:c r="C16" t="str">
        <x:f>IF(A16="","",SUMIFS(Settlement!$J$4:$J$303,Settlement!$B$4:$B$303,"&gt;="&amp;A16,Settlement!$B$4:$B$303,"&lt;"&amp;EDATE(A16,1)))</x:f>
      </x:c>
      <x:c r="D16" t="str">
        <x:f t="shared" si="0"/>
      </x:c>
      <x:c r="E16" t="str">
        <x:f>IF(A16="","",IFERROR(SUMIFS(Settlement!$I$4:$I$303,Settlement!$B$4:$B$303,"&gt;="&amp;A16,Settlement!$B$4:$B$303,"&lt;"&amp;EDATE(A16,1))/B16,""))</x:f>
      </x:c>
      <x:c r="F16" t="str">
        <x:f t="shared" si="1"/>
      </x:c>
      <x:c r="G16" t="str">
        <x:f>IF(A16="","",IFERROR(SUMIFS(Settlement!$R$4:$R$303,Settlement!$B$4:$B$303,"&gt;="&amp;A16,Settlement!$B$4:$B$303,"&lt;"&amp;EDATE(A16,1))/B16,""))</x:f>
      </x:c>
    </x:row>
    <x:row r="17">
      <x:c r="B17" t="str">
        <x:f>IF(A17="","",COUNTIFS(Settlement!$B$4:$B$303,"&gt;="&amp;A17,Settlement!$B$4:$B$303,"&lt;"&amp;EDATE(A17,1)))</x:f>
      </x:c>
      <x:c r="C17" t="str">
        <x:f>IF(A17="","",SUMIFS(Settlement!$J$4:$J$303,Settlement!$B$4:$B$303,"&gt;="&amp;A17,Settlement!$B$4:$B$303,"&lt;"&amp;EDATE(A17,1)))</x:f>
      </x:c>
      <x:c r="D17" t="str">
        <x:f t="shared" si="0"/>
      </x:c>
      <x:c r="E17" t="str">
        <x:f>IF(A17="","",IFERROR(SUMIFS(Settlement!$I$4:$I$303,Settlement!$B$4:$B$303,"&gt;="&amp;A17,Settlement!$B$4:$B$303,"&lt;"&amp;EDATE(A17,1))/B17,""))</x:f>
      </x:c>
      <x:c r="F17" t="str">
        <x:f t="shared" si="1"/>
      </x:c>
      <x:c r="G17" t="str">
        <x:f>IF(A17="","",IFERROR(SUMIFS(Settlement!$R$4:$R$303,Settlement!$B$4:$B$303,"&gt;="&amp;A17,Settlement!$B$4:$B$303,"&lt;"&amp;EDATE(A17,1))/B17,""))</x:f>
      </x:c>
    </x:row>
    <x:row r="18">
      <x:c r="B18" t="str">
        <x:f>IF(A18="","",COUNTIFS(Settlement!$B$4:$B$303,"&gt;="&amp;A18,Settlement!$B$4:$B$303,"&lt;"&amp;EDATE(A18,1)))</x:f>
      </x:c>
      <x:c r="C18" t="str">
        <x:f>IF(A18="","",SUMIFS(Settlement!$J$4:$J$303,Settlement!$B$4:$B$303,"&gt;="&amp;A18,Settlement!$B$4:$B$303,"&lt;"&amp;EDATE(A18,1)))</x:f>
      </x:c>
      <x:c r="D18" t="str">
        <x:f t="shared" si="0"/>
      </x:c>
      <x:c r="E18" t="str">
        <x:f>IF(A18="","",IFERROR(SUMIFS(Settlement!$I$4:$I$303,Settlement!$B$4:$B$303,"&gt;="&amp;A18,Settlement!$B$4:$B$303,"&lt;"&amp;EDATE(A18,1))/B18,""))</x:f>
      </x:c>
      <x:c r="F18" t="str">
        <x:f t="shared" si="1"/>
      </x:c>
      <x:c r="G18" t="str">
        <x:f>IF(A18="","",IFERROR(SUMIFS(Settlement!$R$4:$R$303,Settlement!$B$4:$B$303,"&gt;="&amp;A18,Settlement!$B$4:$B$303,"&lt;"&amp;EDATE(A18,1))/B18,""))</x:f>
      </x:c>
    </x:row>
    <x:row r="19">
      <x:c r="B19" t="str">
        <x:f>IF(A19="","",COUNTIFS(Settlement!$B$4:$B$303,"&gt;="&amp;A19,Settlement!$B$4:$B$303,"&lt;"&amp;EDATE(A19,1)))</x:f>
      </x:c>
      <x:c r="C19" t="str">
        <x:f>IF(A19="","",SUMIFS(Settlement!$J$4:$J$303,Settlement!$B$4:$B$303,"&gt;="&amp;A19,Settlement!$B$4:$B$303,"&lt;"&amp;EDATE(A19,1)))</x:f>
      </x:c>
      <x:c r="D19" t="str">
        <x:f t="shared" si="0"/>
      </x:c>
      <x:c r="E19" t="str">
        <x:f>IF(A19="","",IFERROR(SUMIFS(Settlement!$I$4:$I$303,Settlement!$B$4:$B$303,"&gt;="&amp;A19,Settlement!$B$4:$B$303,"&lt;"&amp;EDATE(A19,1))/B19,""))</x:f>
      </x:c>
      <x:c r="F19" t="str">
        <x:f t="shared" si="1"/>
      </x:c>
      <x:c r="G19" t="str">
        <x:f>IF(A19="","",IFERROR(SUMIFS(Settlement!$R$4:$R$303,Settlement!$B$4:$B$303,"&gt;="&amp;A19,Settlement!$B$4:$B$303,"&lt;"&amp;EDATE(A19,1))/B19,""))</x:f>
      </x:c>
    </x:row>
    <x:row r="20">
      <x:c r="B20" t="str">
        <x:f>IF(A20="","",COUNTIFS(Settlement!$B$4:$B$303,"&gt;="&amp;A20,Settlement!$B$4:$B$303,"&lt;"&amp;EDATE(A20,1)))</x:f>
      </x:c>
      <x:c r="C20" t="str">
        <x:f>IF(A20="","",SUMIFS(Settlement!$J$4:$J$303,Settlement!$B$4:$B$303,"&gt;="&amp;A20,Settlement!$B$4:$B$303,"&lt;"&amp;EDATE(A20,1)))</x:f>
      </x:c>
      <x:c r="D20" t="str">
        <x:f t="shared" si="0"/>
      </x:c>
      <x:c r="E20" t="str">
        <x:f>IF(A20="","",IFERROR(SUMIFS(Settlement!$I$4:$I$303,Settlement!$B$4:$B$303,"&gt;="&amp;A20,Settlement!$B$4:$B$303,"&lt;"&amp;EDATE(A20,1))/B20,""))</x:f>
      </x:c>
      <x:c r="F20" t="str">
        <x:f t="shared" si="1"/>
      </x:c>
      <x:c r="G20" t="str">
        <x:f>IF(A20="","",IFERROR(SUMIFS(Settlement!$R$4:$R$303,Settlement!$B$4:$B$303,"&gt;="&amp;A20,Settlement!$B$4:$B$303,"&lt;"&amp;EDATE(A20,1))/B20,""))</x:f>
      </x:c>
    </x:row>
    <x:row r="21">
      <x:c r="B21" t="str">
        <x:f>IF(A21="","",COUNTIFS(Settlement!$B$4:$B$303,"&gt;="&amp;A21,Settlement!$B$4:$B$303,"&lt;"&amp;EDATE(A21,1)))</x:f>
      </x:c>
      <x:c r="C21" t="str">
        <x:f>IF(A21="","",SUMIFS(Settlement!$J$4:$J$303,Settlement!$B$4:$B$303,"&gt;="&amp;A21,Settlement!$B$4:$B$303,"&lt;"&amp;EDATE(A21,1)))</x:f>
      </x:c>
      <x:c r="D21" t="str">
        <x:f t="shared" si="0"/>
      </x:c>
      <x:c r="E21" t="str">
        <x:f>IF(A21="","",IFERROR(SUMIFS(Settlement!$I$4:$I$303,Settlement!$B$4:$B$303,"&gt;="&amp;A21,Settlement!$B$4:$B$303,"&lt;"&amp;EDATE(A21,1))/B21,""))</x:f>
      </x:c>
      <x:c r="F21" t="str">
        <x:f t="shared" si="1"/>
      </x:c>
      <x:c r="G21" t="str">
        <x:f>IF(A21="","",IFERROR(SUMIFS(Settlement!$R$4:$R$303,Settlement!$B$4:$B$303,"&gt;="&amp;A21,Settlement!$B$4:$B$303,"&lt;"&amp;EDATE(A21,1))/B21,""))</x:f>
      </x:c>
    </x:row>
    <x:row r="22">
      <x:c r="B22" t="str">
        <x:f>IF(A22="","",COUNTIFS(Settlement!$B$4:$B$303,"&gt;="&amp;A22,Settlement!$B$4:$B$303,"&lt;"&amp;EDATE(A22,1)))</x:f>
      </x:c>
      <x:c r="C22" t="str">
        <x:f>IF(A22="","",SUMIFS(Settlement!$J$4:$J$303,Settlement!$B$4:$B$303,"&gt;="&amp;A22,Settlement!$B$4:$B$303,"&lt;"&amp;EDATE(A22,1)))</x:f>
      </x:c>
      <x:c r="D22" t="str">
        <x:f t="shared" si="0"/>
      </x:c>
      <x:c r="E22" t="str">
        <x:f>IF(A22="","",IFERROR(SUMIFS(Settlement!$I$4:$I$303,Settlement!$B$4:$B$303,"&gt;="&amp;A22,Settlement!$B$4:$B$303,"&lt;"&amp;EDATE(A22,1))/B22,""))</x:f>
      </x:c>
      <x:c r="F22" t="str">
        <x:f t="shared" si="1"/>
      </x:c>
      <x:c r="G22" t="str">
        <x:f>IF(A22="","",IFERROR(SUMIFS(Settlement!$R$4:$R$303,Settlement!$B$4:$B$303,"&gt;="&amp;A22,Settlement!$B$4:$B$303,"&lt;"&amp;EDATE(A22,1))/B22,""))</x:f>
      </x:c>
    </x:row>
    <x:row r="23">
      <x:c r="B23" t="str">
        <x:f>IF(A23="","",COUNTIFS(Settlement!$B$4:$B$303,"&gt;="&amp;A23,Settlement!$B$4:$B$303,"&lt;"&amp;EDATE(A23,1)))</x:f>
      </x:c>
      <x:c r="C23" t="str">
        <x:f>IF(A23="","",SUMIFS(Settlement!$J$4:$J$303,Settlement!$B$4:$B$303,"&gt;="&amp;A23,Settlement!$B$4:$B$303,"&lt;"&amp;EDATE(A23,1)))</x:f>
      </x:c>
      <x:c r="D23" t="str">
        <x:f t="shared" si="0"/>
      </x:c>
      <x:c r="E23" t="str">
        <x:f>IF(A23="","",IFERROR(SUMIFS(Settlement!$I$4:$I$303,Settlement!$B$4:$B$303,"&gt;="&amp;A23,Settlement!$B$4:$B$303,"&lt;"&amp;EDATE(A23,1))/B23,""))</x:f>
      </x:c>
      <x:c r="F23" t="str">
        <x:f t="shared" si="1"/>
      </x:c>
      <x:c r="G23" t="str">
        <x:f>IF(A23="","",IFERROR(SUMIFS(Settlement!$R$4:$R$303,Settlement!$B$4:$B$303,"&gt;="&amp;A23,Settlement!$B$4:$B$303,"&lt;"&amp;EDATE(A23,1))/B23,""))</x:f>
      </x:c>
    </x:row>
    <x:row r="24">
      <x:c r="B24" t="str">
        <x:f>IF(A24="","",COUNTIFS(Settlement!$B$4:$B$303,"&gt;="&amp;A24,Settlement!$B$4:$B$303,"&lt;"&amp;EDATE(A24,1)))</x:f>
      </x:c>
      <x:c r="C24" t="str">
        <x:f>IF(A24="","",SUMIFS(Settlement!$J$4:$J$303,Settlement!$B$4:$B$303,"&gt;="&amp;A24,Settlement!$B$4:$B$303,"&lt;"&amp;EDATE(A24,1)))</x:f>
      </x:c>
      <x:c r="D24" t="str">
        <x:f t="shared" si="0"/>
      </x:c>
      <x:c r="E24" t="str">
        <x:f>IF(A24="","",IFERROR(SUMIFS(Settlement!$I$4:$I$303,Settlement!$B$4:$B$303,"&gt;="&amp;A24,Settlement!$B$4:$B$303,"&lt;"&amp;EDATE(A24,1))/B24,""))</x:f>
      </x:c>
      <x:c r="F24" t="str">
        <x:f t="shared" si="1"/>
      </x:c>
      <x:c r="G24" t="str">
        <x:f>IF(A24="","",IFERROR(SUMIFS(Settlement!$R$4:$R$303,Settlement!$B$4:$B$303,"&gt;="&amp;A24,Settlement!$B$4:$B$303,"&lt;"&amp;EDATE(A24,1))/B24,""))</x:f>
      </x:c>
    </x:row>
    <x:row r="25">
      <x:c r="B25" t="str">
        <x:f>IF(A25="","",COUNTIFS(Settlement!$B$4:$B$303,"&gt;="&amp;A25,Settlement!$B$4:$B$303,"&lt;"&amp;EDATE(A25,1)))</x:f>
      </x:c>
      <x:c r="C25" t="str">
        <x:f>IF(A25="","",SUMIFS(Settlement!$J$4:$J$303,Settlement!$B$4:$B$303,"&gt;="&amp;A25,Settlement!$B$4:$B$303,"&lt;"&amp;EDATE(A25,1)))</x:f>
      </x:c>
      <x:c r="D25" t="str">
        <x:f t="shared" si="0"/>
      </x:c>
      <x:c r="E25" t="str">
        <x:f>IF(A25="","",IFERROR(SUMIFS(Settlement!$I$4:$I$303,Settlement!$B$4:$B$303,"&gt;="&amp;A25,Settlement!$B$4:$B$303,"&lt;"&amp;EDATE(A25,1))/B25,""))</x:f>
      </x:c>
      <x:c r="F25" t="str">
        <x:f t="shared" si="1"/>
      </x:c>
      <x:c r="G25" t="str">
        <x:f>IF(A25="","",IFERROR(SUMIFS(Settlement!$R$4:$R$303,Settlement!$B$4:$B$303,"&gt;="&amp;A25,Settlement!$B$4:$B$303,"&lt;"&amp;EDATE(A25,1))/B25,""))</x:f>
      </x:c>
    </x:row>
    <x:row r="26">
      <x:c r="B26" t="str">
        <x:f>IF(A26="","",COUNTIFS(Settlement!$B$4:$B$303,"&gt;="&amp;A26,Settlement!$B$4:$B$303,"&lt;"&amp;EDATE(A26,1)))</x:f>
      </x:c>
      <x:c r="C26" t="str">
        <x:f>IF(A26="","",SUMIFS(Settlement!$J$4:$J$303,Settlement!$B$4:$B$303,"&gt;="&amp;A26,Settlement!$B$4:$B$303,"&lt;"&amp;EDATE(A26,1)))</x:f>
      </x:c>
      <x:c r="D26" t="str">
        <x:f t="shared" si="0"/>
      </x:c>
      <x:c r="E26" t="str">
        <x:f>IF(A26="","",IFERROR(SUMIFS(Settlement!$I$4:$I$303,Settlement!$B$4:$B$303,"&gt;="&amp;A26,Settlement!$B$4:$B$303,"&lt;"&amp;EDATE(A26,1))/B26,""))</x:f>
      </x:c>
      <x:c r="F26" t="str">
        <x:f t="shared" si="1"/>
      </x:c>
      <x:c r="G26" t="str">
        <x:f>IF(A26="","",IFERROR(SUMIFS(Settlement!$R$4:$R$303,Settlement!$B$4:$B$303,"&gt;="&amp;A26,Settlement!$B$4:$B$303,"&lt;"&amp;EDATE(A26,1))/B26,""))</x:f>
      </x:c>
    </x:row>
    <x:row r="27">
      <x:c r="B27" t="str">
        <x:f>IF(A27="","",COUNTIFS(Settlement!$B$4:$B$303,"&gt;="&amp;A27,Settlement!$B$4:$B$303,"&lt;"&amp;EDATE(A27,1)))</x:f>
      </x:c>
      <x:c r="C27" t="str">
        <x:f>IF(A27="","",SUMIFS(Settlement!$J$4:$J$303,Settlement!$B$4:$B$303,"&gt;="&amp;A27,Settlement!$B$4:$B$303,"&lt;"&amp;EDATE(A27,1)))</x:f>
      </x:c>
      <x:c r="D27" t="str">
        <x:f t="shared" si="0"/>
      </x:c>
      <x:c r="E27" t="str">
        <x:f>IF(A27="","",IFERROR(SUMIFS(Settlement!$I$4:$I$303,Settlement!$B$4:$B$303,"&gt;="&amp;A27,Settlement!$B$4:$B$303,"&lt;"&amp;EDATE(A27,1))/B27,""))</x:f>
      </x:c>
      <x:c r="F27" t="str">
        <x:f t="shared" si="1"/>
      </x:c>
      <x:c r="G27" t="str">
        <x:f>IF(A27="","",IFERROR(SUMIFS(Settlement!$R$4:$R$303,Settlement!$B$4:$B$303,"&gt;="&amp;A27,Settlement!$B$4:$B$303,"&lt;"&amp;EDATE(A27,1))/B27,""))</x:f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4.25"/>
  <x:sheetData>
    <x:row r="1" ht="18">
      <x:c r="A1" s="203" t="s">
        <x:v>826</x:v>
      </x:c>
      <x:c r="B1" s="203"/>
      <x:c r="C1" s="203"/>
      <x:c r="D1" s="203"/>
      <x:c r="E1" s="203"/>
      <x:c r="F1" s="203"/>
      <x:c r="G1" s="203"/>
      <x:c r="H1" s="203"/>
      <x:c r="I1" s="203"/>
      <x:c r="J1" s="203"/>
      <x:c r="K1" s="203"/>
      <x:c r="L1" s="203"/>
    </x:row>
    <x:row r="2">
      <x:c r="A2" s="204" t="s">
        <x:v>827</x:v>
      </x:c>
      <x:c r="B2" s="204"/>
      <x:c r="C2" s="204"/>
      <x:c r="D2" s="204"/>
      <x:c r="E2" s="204"/>
      <x:c r="F2" s="204"/>
      <x:c r="G2" s="204"/>
      <x:c r="H2" s="204"/>
      <x:c r="I2" s="204"/>
      <x:c r="J2" s="204"/>
      <x:c r="K2" s="204"/>
      <x:c r="L2" s="204"/>
    </x:row>
    <x:row r="3" ht="60">
      <x:c r="A3" s="175" t="s">
        <x:v>828</x:v>
      </x:c>
      <x:c r="B3" s="175" t="s">
        <x:v>829</x:v>
      </x:c>
      <x:c r="C3" s="175" t="s">
        <x:v>830</x:v>
      </x:c>
      <x:c r="D3" s="175" t="s">
        <x:v>831</x:v>
      </x:c>
      <x:c r="E3" s="175" t="s">
        <x:v>832</x:v>
      </x:c>
      <x:c r="F3" s="175" t="s">
        <x:v>833</x:v>
      </x:c>
      <x:c r="G3" s="175" t="s">
        <x:v>834</x:v>
      </x:c>
      <x:c r="H3" s="175" t="s">
        <x:v>835</x:v>
      </x:c>
      <x:c r="I3" s="175" t="s">
        <x:v>836</x:v>
      </x:c>
      <x:c r="J3" s="175" t="s">
        <x:v>837</x:v>
      </x:c>
      <x:c r="K3" s="175" t="s">
        <x:v>838</x:v>
      </x:c>
      <x:c r="L3" s="175" t="s">
        <x:v>765</x:v>
      </x:c>
    </x:row>
    <x:row r="4">
      <x:c r="A4" t="s">
        <x:v>839</x:v>
      </x:c>
      <x:c r="B4" t="s">
        <x:v>839</x:v>
      </x:c>
      <x:c r="C4" t="s">
        <x:v>840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4.25"/>
  <x:cols>
    <x:col min="1" max="1" width="24" customWidth="1"/>
    <x:col min="2" max="2" width="20" customWidth="1"/>
    <x:col min="3" max="4" width="30" customWidth="1"/>
    <x:col min="5" max="5" width="50" customWidth="1"/>
    <x:col min="6" max="6" width="18" customWidth="1"/>
    <x:col min="7" max="7" width="26" customWidth="1"/>
    <x:col min="8" max="8" width="24" customWidth="1"/>
  </x:cols>
  <x:sheetData>
    <x:row r="1" ht="18">
      <x:c r="A1" s="203" t="s">
        <x:v>841</x:v>
      </x:c>
      <x:c r="B1" s="203"/>
      <x:c r="C1" s="203"/>
      <x:c r="D1" s="203"/>
      <x:c r="E1" s="203"/>
      <x:c r="F1" s="203"/>
      <x:c r="G1" s="203"/>
      <x:c r="H1" s="203"/>
    </x:row>
    <x:row r="2">
      <x:c r="A2" s="204" t="s">
        <x:v>842</x:v>
      </x:c>
      <x:c r="B2" s="204"/>
      <x:c r="C2" s="204"/>
      <x:c r="D2" s="204"/>
      <x:c r="E2" s="204"/>
      <x:c r="F2" s="204"/>
      <x:c r="G2" s="204"/>
      <x:c r="H2" s="204"/>
    </x:row>
    <x:row r="3" ht="30">
      <x:c r="A3" s="175" t="s">
        <x:v>843</x:v>
      </x:c>
      <x:c r="B3" s="175" t="s">
        <x:v>844</x:v>
      </x:c>
      <x:c r="C3" s="175" t="s">
        <x:v>845</x:v>
      </x:c>
      <x:c r="D3" s="175" t="s">
        <x:v>846</x:v>
      </x:c>
      <x:c r="E3" s="175" t="s">
        <x:v>847</x:v>
      </x:c>
      <x:c r="F3" s="175" t="s">
        <x:v>848</x:v>
      </x:c>
      <x:c r="G3" s="175" t="s">
        <x:v>849</x:v>
      </x:c>
      <x:c r="H3" s="175" t="s">
        <x:v>3</x:v>
      </x:c>
    </x:row>
    <x:row r="4">
      <x:c r="A4" t="s">
        <x:v>850</x:v>
      </x:c>
      <x:c r="B4" t="n">
        <x:f>COUNT(Settlement!$J$4:$J$303)</x:f>
        <x:v>0</x:v>
      </x:c>
      <x:c r="C4" t="s">
        <x:v>851</x:v>
      </x:c>
      <x:c r="D4" t="s">
        <x:v>852</x:v>
      </x:c>
      <x:c r="E4" t="s">
        <x:v>853</x:v>
      </x:c>
      <x:c r="F4">
        <x:v>0</x:v>
      </x:c>
      <x:c r="H4" t="s">
        <x:v>854</x:v>
      </x:c>
    </x:row>
    <x:row r="5">
      <x:c r="A5" t="s">
        <x:v>796</x:v>
      </x:c>
      <x:c r="B5" t="n">
        <x:f>SUM(Settlement!$J$4:$J$303)</x:f>
        <x:v>0</x:v>
      </x:c>
      <x:c r="C5" t="s">
        <x:v>855</x:v>
      </x:c>
      <x:c r="D5" t="s">
        <x:v>856</x:v>
      </x:c>
      <x:c r="F5" t="s">
        <x:v>839</x:v>
      </x:c>
    </x:row>
    <x:row r="6">
      <x:c r="A6" t="s">
        <x:v>857</x:v>
      </x:c>
      <x:c r="B6" t="str">
        <x:f>IFERROR(B5/B4,"")</x:f>
      </x:c>
      <x:c r="C6" t="s">
        <x:v>858</x:v>
      </x:c>
      <x:c r="D6" t="s">
        <x:v>859</x:v>
      </x:c>
    </x:row>
    <x:row r="7">
      <x:c r="A7" t="s">
        <x:v>860</x:v>
      </x:c>
      <x:c r="B7" t="str">
        <x:f>IF(B4=0,"",((B5/B4)+(1.96^2)/(2*B4)-1.96*SQRT((B5/B4)*(1-B5/B4)/B4+(1.96^2)/(4*B4^2)))/(1+(1.96^2)/B4))</x:f>
      </x:c>
      <x:c r="C7" t="s">
        <x:v>861</x:v>
      </x:c>
      <x:c r="D7" t="s">
        <x:v>862</x:v>
      </x:c>
    </x:row>
    <x:row r="8">
      <x:c r="A8" t="s">
        <x:v>863</x:v>
      </x:c>
      <x:c r="B8" t="str">
        <x:f>IF(B4=0,"",((B5/B4)+(1.96^2)/(2*B4)+1.96*SQRT((B5/B4)*(1-B5/B4)/B4+(1.96^2)/(4*B4^2)))/(1+(1.96^2)/B4))</x:f>
      </x:c>
      <x:c r="C8" t="s">
        <x:v>864</x:v>
      </x:c>
      <x:c r="D8" t="s">
        <x:v>862</x:v>
      </x:c>
    </x:row>
    <x:row r="9">
      <x:c r="A9" t="s">
        <x:v>865</x:v>
      </x:c>
      <x:c r="B9" t="str">
        <x:f>IFERROR(AVERAGE(Settlement!$I$4:$I$303),"")</x:f>
      </x:c>
      <x:c r="C9" t="s">
        <x:v>866</x:v>
      </x:c>
      <x:c r="D9" t="s">
        <x:v>867</x:v>
      </x:c>
    </x:row>
    <x:row r="10">
      <x:c r="A10" t="s">
        <x:v>868</x:v>
      </x:c>
      <x:c r="B10" t="str">
        <x:f>IF(OR(B9="",B6=""),"",B9-B6)</x:f>
      </x:c>
      <x:c r="C10" t="s">
        <x:v>869</x:v>
      </x:c>
      <x:c r="D10" t="s">
        <x:v>862</x:v>
      </x:c>
    </x:row>
    <x:row r="11">
      <x:c r="A11" t="s">
        <x:v>790</x:v>
      </x:c>
      <x:c r="B11" t="str">
        <x:f>IFERROR(AVERAGE(Settlement!$R$4:$R$303),"")</x:f>
      </x:c>
      <x:c r="C11" t="s">
        <x:v>870</x:v>
      </x:c>
      <x:c r="D11" t="s">
        <x:v>862</x:v>
      </x:c>
      <x:c r="G11" t="s">
        <x:v>839</x:v>
      </x:c>
    </x:row>
    <x:row r="12">
      <x:c r="A12" t="s">
        <x:v>871</x:v>
      </x:c>
      <x:c r="B12" t="str">
        <x:f>IFERROR(AVERAGE(Settlement!$S$4:$S$303),"")</x:f>
      </x:c>
      <x:c r="C12" t="s">
        <x:v>870</x:v>
      </x:c>
      <x:c r="D12" t="s">
        <x:v>862</x:v>
      </x:c>
      <x:c r="G12" t="s">
        <x:v>839</x:v>
      </x:c>
    </x:row>
    <x:row r="13">
      <x:c r="A13" t="s">
        <x:v>872</x:v>
      </x:c>
      <x:c r="B13" t="n">
        <x:f>COUNTIF(League_Summary!$B$4:$B$33,"&gt;0")</x:f>
        <x:v>0</x:v>
      </x:c>
      <x:c r="C13" t="s">
        <x:v>873</x:v>
      </x:c>
      <x:c r="D13" t="s">
        <x:v>862</x:v>
      </x:c>
    </x:row>
    <x:row r="14">
      <x:c r="A14" t="s">
        <x:v>874</x:v>
      </x:c>
      <x:c r="B14" t="n">
        <x:f>COUNTIF(League_Summary!$H$4:$H$33,"STABLE")</x:f>
        <x:v>0</x:v>
      </x:c>
      <x:c r="C14" t="s">
        <x:v>875</x:v>
      </x:c>
      <x:c r="D14" t="s">
        <x:v>862</x:v>
      </x:c>
    </x:row>
    <x:row r="15">
      <x:c r="A15" t="s">
        <x:v>876</x:v>
      </x:c>
      <x:c r="B15" t="s">
        <x:v>877</x:v>
      </x:c>
      <x:c r="C15" t="s">
        <x:v>878</x:v>
      </x:c>
      <x:c r="D15" t="s">
        <x:v>879</x:v>
      </x:c>
      <x:c r="H15" t="s">
        <x:v>880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4.25"/>
  <x:cols>
    <x:col min="2" max="2" width="14" hidden="0" customWidth="1"/>
  </x:cols>
  <x:sheetData>
    <x:row r="1" ht="18">
      <x:c r="A1" s="203" t="str">
        <x:v>CARDS V4 – LOW-CARD MONITOR</x:v>
      </x:c>
      <x:c r="B1" s="203"/>
      <x:c r="C1" s="203"/>
      <x:c r="D1" s="203"/>
      <x:c r="E1" s="203"/>
      <x:c r="F1" s="203"/>
    </x:row>
    <x:row r="2">
      <x:c r="A2" s="204" t="s">
        <x:v>853</x:v>
      </x:c>
      <x:c r="B2" s="204"/>
      <x:c r="C2" s="204"/>
      <x:c r="D2" s="204"/>
      <x:c r="E2" s="204"/>
      <x:c r="F2" s="204"/>
    </x:row>
    <x:row r="3" ht="15">
      <x:c r="A3" s="175" t="s">
        <x:v>881</x:v>
      </x:c>
      <x:c r="B3" s="175" t="s">
        <x:v>882</x:v>
      </x:c>
      <x:c r="C3" s="175" t="s">
        <x:v>883</x:v>
      </x:c>
      <x:c r="D3" s="175" t="s">
        <x:v>884</x:v>
      </x:c>
      <x:c r="E3" s="175" t="s">
        <x:v>3</x:v>
      </x:c>
      <x:c r="F3" s="175" t="s">
        <x:v>885</x:v>
      </x:c>
    </x:row>
    <x:row r="4" ht="28.5">
      <x:c r="A4" s="159" t="s">
        <x:v>886</x:v>
      </x:c>
      <x:c r="B4" s="159"/>
      <x:c r="C4" s="159" t="s">
        <x:v>887</x:v>
      </x:c>
      <x:c r="D4" s="159" t="s">
        <x:v>619</x:v>
      </x:c>
      <x:c r="E4" s="159" t="s">
        <x:v>888</x:v>
      </x:c>
      <x:c r="F4" s="159" t="s">
        <x:v>889</x:v>
      </x:c>
    </x:row>
    <x:row r="5" ht="28.5">
      <x:c r="A5" s="159" t="s">
        <x:v>890</x:v>
      </x:c>
      <x:c r="B5" s="159"/>
      <x:c r="C5" s="159" t="s">
        <x:v>887</x:v>
      </x:c>
      <x:c r="D5" s="159" t="s">
        <x:v>619</x:v>
      </x:c>
      <x:c r="E5" s="159" t="s">
        <x:v>888</x:v>
      </x:c>
      <x:c r="F5" s="159" t="s">
        <x:v>889</x:v>
      </x:c>
    </x:row>
    <x:row r="6" ht="28.5">
      <x:c r="A6" s="159" t="s">
        <x:v>891</x:v>
      </x:c>
      <x:c r="B6" s="159"/>
      <x:c r="C6" s="159" t="s">
        <x:v>887</x:v>
      </x:c>
      <x:c r="D6" s="159" t="s">
        <x:v>619</x:v>
      </x:c>
      <x:c r="E6" s="159" t="s">
        <x:v>888</x:v>
      </x:c>
      <x:c r="F6" s="159" t="s">
        <x:v>889</x:v>
      </x:c>
    </x:row>
    <x:row r="7" ht="28.5">
      <x:c r="A7" s="159" t="s">
        <x:v>892</x:v>
      </x:c>
      <x:c r="B7" s="159" t="str">
        <x:f>IF(COUNTA(B4:B6)&lt;3,"",SUM(B4:B6))</x:f>
      </x:c>
      <x:c r="C7" s="159" t="s">
        <x:v>893</x:v>
      </x:c>
      <x:c r="D7" s="159" t="s">
        <x:v>894</x:v>
      </x:c>
      <x:c r="E7" s="159" t="s">
        <x:v>888</x:v>
      </x:c>
      <x:c r="F7" s="159" t="s">
        <x:v>889</x:v>
      </x:c>
    </x:row>
    <x:row r="8" ht="42.75">
      <x:c r="A8" s="159" t="s">
        <x:v>895</x:v>
      </x:c>
      <x:c r="B8" s="159"/>
      <x:c r="C8" s="159" t="s">
        <x:v>896</x:v>
      </x:c>
      <x:c r="D8" s="159" t="s">
        <x:v>892</x:v>
      </x:c>
      <x:c r="E8" s="159" t="s">
        <x:v>888</x:v>
      </x:c>
      <x:c r="F8" s="159" t="s">
        <x:v>889</x:v>
      </x:c>
    </x:row>
    <x:row r="9" ht="42.75">
      <x:c r="A9" s="159" t="s">
        <x:v>897</x:v>
      </x:c>
      <x:c r="B9" s="159"/>
      <x:c r="C9" s="159" t="s">
        <x:v>898</x:v>
      </x:c>
      <x:c r="D9" s="159" t="s">
        <x:v>899</x:v>
      </x:c>
      <x:c r="E9" s="159" t="s">
        <x:v>888</x:v>
      </x:c>
      <x:c r="F9" s="159" t="s">
        <x:v>889</x:v>
      </x:c>
    </x:row>
    <x:row r="10" ht="28.5">
      <x:c r="A10" s="159" t="s">
        <x:v>900</x:v>
      </x:c>
      <x:c r="B10" s="159"/>
      <x:c r="C10" s="159" t="s">
        <x:v>901</x:v>
      </x:c>
      <x:c r="D10" s="159" t="s">
        <x:v>394</x:v>
      </x:c>
      <x:c r="E10" s="159" t="s">
        <x:v>888</x:v>
      </x:c>
      <x:c r="F10" s="159" t="s">
        <x:v>889</x:v>
      </x:c>
    </x:row>
    <x:row r="11" ht="42.75">
      <x:c r="A11" s="159" t="s">
        <x:v>902</x:v>
      </x:c>
      <x:c r="B11" s="159"/>
      <x:c r="C11" s="159" t="s">
        <x:v>903</x:v>
      </x:c>
      <x:c r="D11" s="159" t="s">
        <x:v>904</x:v>
      </x:c>
      <x:c r="E11" s="159" t="s">
        <x:v>888</x:v>
      </x:c>
      <x:c r="F11" s="159" t="s">
        <x:v>889</x:v>
      </x:c>
    </x:row>
    <x:row r="12" ht="28.5">
      <x:c r="A12" s="159" t="s">
        <x:v>905</x:v>
      </x:c>
      <x:c r="B12" s="159">
        <x:v>0.25</x:v>
      </x:c>
      <x:c r="C12" s="159" t="s">
        <x:v>906</x:v>
      </x:c>
      <x:c r="D12" s="159" t="s">
        <x:v>907</x:v>
      </x:c>
      <x:c r="E12" s="159" t="s">
        <x:v>908</x:v>
      </x:c>
      <x:c r="F12" s="159" t="s">
        <x:v>731</x:v>
      </x:c>
    </x:row>
    <x:row r="13" ht="28.5">
      <x:c r="A13" s="159" t="s">
        <x:v>909</x:v>
      </x:c>
      <x:c r="B13" s="159">
        <x:v>0.25</x:v>
      </x:c>
      <x:c r="C13" s="159" t="s">
        <x:v>906</x:v>
      </x:c>
      <x:c r="D13" s="159" t="s">
        <x:v>907</x:v>
      </x:c>
      <x:c r="E13" s="159" t="s">
        <x:v>908</x:v>
      </x:c>
      <x:c r="F13" s="159" t="s">
        <x:v>731</x:v>
      </x:c>
    </x:row>
    <x:row r="14" ht="28.5">
      <x:c r="A14" s="159" t="s">
        <x:v>910</x:v>
      </x:c>
      <x:c r="B14" s="159">
        <x:v>0.25</x:v>
      </x:c>
      <x:c r="C14" s="159" t="s">
        <x:v>906</x:v>
      </x:c>
      <x:c r="D14" s="159" t="s">
        <x:v>907</x:v>
      </x:c>
      <x:c r="E14" s="159" t="s">
        <x:v>908</x:v>
      </x:c>
      <x:c r="F14" s="159" t="s">
        <x:v>731</x:v>
      </x:c>
    </x:row>
    <x:row r="15" ht="28.5">
      <x:c r="A15" s="159" t="s">
        <x:v>911</x:v>
      </x:c>
      <x:c r="B15" s="159">
        <x:v>0.25</x:v>
      </x:c>
      <x:c r="C15" s="159" t="s">
        <x:v>906</x:v>
      </x:c>
      <x:c r="D15" s="159" t="s">
        <x:v>907</x:v>
      </x:c>
      <x:c r="E15" s="159" t="s">
        <x:v>908</x:v>
      </x:c>
      <x:c r="F15" s="159" t="s">
        <x:v>731</x:v>
      </x:c>
    </x:row>
    <x:row r="16" ht="42.75">
      <x:c r="A16" s="159" t="s">
        <x:v>758</x:v>
      </x:c>
      <x:c r="B16" s="159" t="str">
        <x:f>IF(COUNTA(B8:B11)&lt;4,"",SUMPRODUCT(B8:B11,B12:B15))</x:f>
      </x:c>
      <x:c r="C16" s="159" t="s">
        <x:v>912</x:v>
      </x:c>
      <x:c r="D16" s="159" t="s">
        <x:v>913</x:v>
      </x:c>
      <x:c r="E16" s="159" t="s">
        <x:v>914</x:v>
      </x:c>
      <x:c r="F16" s="159" t="s">
        <x:v>889</x:v>
      </x:c>
    </x:row>
    <x:row r="17" ht="71.25">
      <x:c r="A17" s="159" t="s">
        <x:v>759</x:v>
      </x:c>
      <x:c r="B17" s="159" t="s">
        <x:v>915</x:v>
      </x:c>
      <x:c r="C17" s="159" t="s">
        <x:v>916</x:v>
      </x:c>
      <x:c r="D17" s="159" t="s">
        <x:v>917</x:v>
      </x:c>
      <x:c r="E17" s="159" t="s">
        <x:v>918</x:v>
      </x:c>
      <x:c r="F17" s="159" t="s">
        <x:v>889</x:v>
      </x:c>
    </x:row>
    <x:row r="18" ht="42.75">
      <x:c r="A18" s="159" t="s">
        <x:v>760</x:v>
      </x:c>
      <x:c r="B18" s="159" t="s">
        <x:v>712</x:v>
      </x:c>
      <x:c r="C18" s="159" t="s">
        <x:v>919</x:v>
      </x:c>
      <x:c r="D18" s="159" t="s">
        <x:v>920</x:v>
      </x:c>
      <x:c r="E18" s="159" t="s">
        <x:v>921</x:v>
      </x:c>
      <x:c r="F18" s="159" t="s">
        <x:v>922</x:v>
      </x:c>
    </x:row>
    <x:row r="19" ht="57">
      <x:c r="A19" s="159" t="str">
        <x:v>Variable_Definition_Gate</x:v>
      </x:c>
      <x:c r="B19" s="159" t="str">
        <x:v>PASS</x:v>
      </x:c>
      <x:c r="C19" s="159" t="str">
        <x:v>Normalizare Y/2Y-R/R</x:v>
      </x:c>
      <x:c r="D19" s="159" t="str">
        <x:v>must PASS</x:v>
      </x:c>
      <x:c r="E19" s="159" t="str">
        <x:v>ALINIAT V3</x:v>
      </x:c>
      <x:c r="F19" s="159" t="str">
        <x:v>hard</x:v>
      </x:c>
    </x:row>
    <x:row r="20" ht="42.75">
      <x:c r="A20" s="159" t="s">
        <x:v>923</x:v>
      </x:c>
      <x:c r="B20" s="159" t="s">
        <x:v>712</x:v>
      </x:c>
      <x:c r="C20" s="159" t="s">
        <x:v>924</x:v>
      </x:c>
      <x:c r="D20" s="159" t="s">
        <x:v>925</x:v>
      </x:c>
      <x:c r="E20" s="159" t="s">
        <x:v>921</x:v>
      </x:c>
      <x:c r="F20" s="159" t="s">
        <x:v>922</x:v>
      </x:c>
    </x:row>
    <x:row r="21" ht="42.75">
      <x:c r="A21" s="159" t="s">
        <x:v>926</x:v>
      </x:c>
      <x:c r="B21" s="159" t="s">
        <x:v>712</x:v>
      </x:c>
      <x:c r="C21" s="159" t="s">
        <x:v>927</x:v>
      </x:c>
      <x:c r="D21" s="159" t="s">
        <x:v>925</x:v>
      </x:c>
      <x:c r="E21" s="159" t="s">
        <x:v>921</x:v>
      </x:c>
      <x:c r="F21" s="159" t="s">
        <x:v>922</x:v>
      </x:c>
    </x:row>
    <x:row r="22" ht="57">
      <x:c r="A22" s="159" t="s">
        <x:v>928</x:v>
      </x:c>
      <x:c r="B22" s="159" t="str">
        <x:f>IF(Selector!I5="","NO ELIGIBLE",Selector!I5)</x:f>
        <x:v>DEFENSIV</x:v>
      </x:c>
      <x:c r="C22" s="159" t="s">
        <x:v>929</x:v>
      </x:c>
      <x:c r="D22" s="159" t="s">
        <x:v>930</x:v>
      </x:c>
      <x:c r="E22" s="159" t="s">
        <x:v>921</x:v>
      </x:c>
      <x:c r="F22" s="159" t="s">
        <x:v>922</x:v>
      </x:c>
    </x:row>
    <x:row r="23" ht="71.25">
      <x:c r="A23" s="159" t="s">
        <x:v>931</x:v>
      </x:c>
      <x:c r="B23" s="159" t="str">
        <x:f>IF(AND(Completion_Check!$B$19="RELEASED",B19="PASS",B20="PASS",B21="PASS",OR(B22="BET",B22="PRUDENT")),"YES","NO")</x:f>
        <x:v>NO</x:v>
      </x:c>
      <x:c r="C23" s="159" t="s">
        <x:v>932</x:v>
      </x:c>
      <x:c r="D23" s="159" t="s">
        <x:v>933</x:v>
      </x:c>
      <x:c r="E23" s="159" t="s">
        <x:v>934</x:v>
      </x:c>
      <x:c r="F23" s="159" t="s">
        <x:v>922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4.25"/>
  <x:cols>
    <x:col min="1" max="1" width="30" customWidth="1"/>
    <x:col min="2" max="2" width="18" customWidth="1"/>
    <x:col min="3" max="3" width="30" customWidth="1"/>
    <x:col min="4" max="4" width="34" customWidth="1"/>
    <x:col min="5" max="5" width="26" customWidth="1"/>
    <x:col min="6" max="6" width="18" customWidth="1"/>
  </x:cols>
  <x:sheetData>
    <x:row r="1" ht="27.950000762939453" customHeight="1">
      <x:c r="A1" s="207" t="s">
        <x:v>935</x:v>
      </x:c>
      <x:c r="B1" s="207"/>
      <x:c r="C1" s="207"/>
      <x:c r="D1" s="207"/>
      <x:c r="E1" s="207"/>
      <x:c r="F1" s="207"/>
      <x:c r="G1" s="177"/>
      <x:c r="H1" s="177"/>
      <x:c r="I1" s="177"/>
      <x:c r="J1" s="177"/>
      <x:c r="K1" s="177"/>
      <x:c r="L1" s="177"/>
      <x:c r="M1" s="177"/>
      <x:c r="N1" s="177"/>
      <x:c r="O1" s="177"/>
      <x:c r="P1" s="177"/>
      <x:c r="Q1" s="177"/>
      <x:c r="R1" s="177"/>
      <x:c r="S1" s="177"/>
      <x:c r="T1" s="177"/>
      <x:c r="U1" s="177"/>
      <x:c r="V1" s="177"/>
      <x:c r="W1" s="177"/>
      <x:c r="X1" s="177"/>
      <x:c r="Y1" s="177"/>
      <x:c r="Z1" s="177"/>
    </x:row>
    <x:row r="2" ht="45.95000076293945" customHeight="1">
      <x:c r="A2" s="208" t="s">
        <x:v>936</x:v>
      </x:c>
      <x:c r="B2" s="208"/>
      <x:c r="C2" s="208"/>
      <x:c r="D2" s="208"/>
      <x:c r="E2" s="208"/>
      <x:c r="F2" s="208"/>
      <x:c r="G2" s="177"/>
      <x:c r="H2" s="177"/>
      <x:c r="I2" s="177"/>
      <x:c r="J2" s="177"/>
      <x:c r="K2" s="177"/>
      <x:c r="L2" s="177"/>
      <x:c r="M2" s="177"/>
      <x:c r="N2" s="177"/>
      <x:c r="O2" s="177"/>
      <x:c r="P2" s="177"/>
      <x:c r="Q2" s="177"/>
      <x:c r="R2" s="177"/>
      <x:c r="S2" s="177"/>
      <x:c r="T2" s="177"/>
      <x:c r="U2" s="177"/>
      <x:c r="V2" s="177"/>
      <x:c r="W2" s="177"/>
      <x:c r="X2" s="177"/>
      <x:c r="Y2" s="177"/>
      <x:c r="Z2" s="177"/>
    </x:row>
    <x:row r="3">
      <x:c r="A3" s="177"/>
      <x:c r="B3" s="177"/>
      <x:c r="C3" s="177"/>
      <x:c r="D3" s="177"/>
      <x:c r="E3" s="177"/>
      <x:c r="F3" s="177"/>
      <x:c r="G3" s="177"/>
      <x:c r="H3" s="177"/>
      <x:c r="I3" s="177"/>
      <x:c r="J3" s="177"/>
      <x:c r="K3" s="177"/>
      <x:c r="L3" s="177"/>
      <x:c r="M3" s="177"/>
      <x:c r="N3" s="177"/>
      <x:c r="O3" s="177"/>
      <x:c r="P3" s="177"/>
      <x:c r="Q3" s="177"/>
      <x:c r="R3" s="177"/>
      <x:c r="S3" s="177"/>
      <x:c r="T3" s="177"/>
      <x:c r="U3" s="177"/>
      <x:c r="V3" s="177"/>
      <x:c r="W3" s="177"/>
      <x:c r="X3" s="177"/>
      <x:c r="Y3" s="177"/>
      <x:c r="Z3" s="177"/>
    </x:row>
    <x:row r="4" ht="15">
      <x:c r="A4" s="178" t="s">
        <x:v>504</x:v>
      </x:c>
      <x:c r="B4" s="178" t="s">
        <x:v>937</x:v>
      </x:c>
      <x:c r="C4" s="178" t="s">
        <x:v>938</x:v>
      </x:c>
      <x:c r="D4" s="178" t="s">
        <x:v>2</x:v>
      </x:c>
      <x:c r="E4" s="178" t="s">
        <x:v>939</x:v>
      </x:c>
      <x:c r="F4" s="178" t="s">
        <x:v>689</x:v>
      </x:c>
      <x:c r="G4" s="177"/>
      <x:c r="H4" s="177"/>
      <x:c r="I4" s="177"/>
      <x:c r="J4" s="177"/>
      <x:c r="K4" s="177"/>
      <x:c r="L4" s="177"/>
      <x:c r="M4" s="177"/>
      <x:c r="N4" s="177"/>
      <x:c r="O4" s="177"/>
      <x:c r="P4" s="177"/>
      <x:c r="Q4" s="177"/>
      <x:c r="R4" s="177"/>
      <x:c r="S4" s="177"/>
      <x:c r="T4" s="177"/>
      <x:c r="U4" s="177"/>
      <x:c r="V4" s="177"/>
      <x:c r="W4" s="177"/>
      <x:c r="X4" s="177"/>
      <x:c r="Y4" s="177"/>
      <x:c r="Z4" s="177"/>
    </x:row>
    <x:row r="5">
      <x:c r="A5" s="177" t="s">
        <x:v>940</x:v>
      </x:c>
      <x:c r="B5" s="179" t="n">
        <x:f>IF(Calcul_Model!$E$55="Poisson",EXP(-Calcul_Model!$B$55)*(1+Calcul_Model!$B$55+Calcul_Model!$B$55^2/2),IF(Calcul_Model!$E$55="Negativ binomial",POWER(Calcul_Model!$G$55,Calcul_Model!$F$55)*(1+Calcul_Model!$F$55*(1-Calcul_Model!$G$55)+(Calcul_Model!$F$55*(Calcul_Model!$F$55+1)/2)*(1-Calcul_Model!$G$55)^2),POWER(1-Calcul_Model!$I$55,Calcul_Model!$H$55)+Calcul_Model!$H$55*Calcul_Model!$I$55*POWER(1-Calcul_Model!$I$55,Calcul_Model!$H$55-1)+IF(Calcul_Model!$H$55&gt;=2,Calcul_Model!$H$55*(Calcul_Model!$H$55-1)/2*Calcul_Model!$I$55^2*POWER(1-Calcul_Model!$I$55,Calcul_Model!$H$55-2),0)))</x:f>
        <x:v>0.08100973961698604</x:v>
      </x:c>
      <x:c r="C5" s="177" t="s">
        <x:v>941</x:v>
      </x:c>
      <x:c r="D5" s="177" t="s">
        <x:v>942</x:v>
      </x:c>
      <x:c r="E5" s="177" t="s">
        <x:v>943</x:v>
      </x:c>
      <x:c r="F5" s="177" t="s">
        <x:v>944</x:v>
      </x:c>
      <x:c r="G5" s="177"/>
      <x:c r="H5" s="177"/>
      <x:c r="I5" s="177"/>
      <x:c r="J5" s="177"/>
      <x:c r="K5" s="177"/>
      <x:c r="L5" s="177"/>
      <x:c r="M5" s="177"/>
      <x:c r="N5" s="177"/>
      <x:c r="O5" s="177"/>
      <x:c r="P5" s="177"/>
      <x:c r="Q5" s="177"/>
      <x:c r="R5" s="177"/>
      <x:c r="S5" s="177"/>
      <x:c r="T5" s="177"/>
      <x:c r="U5" s="177"/>
      <x:c r="V5" s="177"/>
      <x:c r="W5" s="177"/>
      <x:c r="X5" s="177"/>
      <x:c r="Y5" s="177"/>
      <x:c r="Z5" s="177"/>
    </x:row>
    <x:row r="6">
      <x:c r="A6" s="177" t="s">
        <x:v>945</x:v>
      </x:c>
      <x:c r="B6" s="179" t="n">
        <x:f>MAX(0,MIN(1,(Parametri!$C$23-Calcul_Model!$B$30)/(Parametri!$C$23-Parametri!$C$22)))</x:f>
        <x:v>0.42292490118577053</x:v>
      </x:c>
      <x:c r="C6" s="177" t="s">
        <x:v>946</x:v>
      </x:c>
      <x:c r="D6" s="177" t="s">
        <x:v>947</x:v>
      </x:c>
      <x:c r="E6" s="177" t="s">
        <x:v>948</x:v>
      </x:c>
      <x:c r="F6" s="177" t="s">
        <x:v>949</x:v>
      </x:c>
      <x:c r="G6" s="177"/>
      <x:c r="H6" s="177"/>
      <x:c r="I6" s="177"/>
      <x:c r="J6" s="177"/>
      <x:c r="K6" s="177"/>
      <x:c r="L6" s="177"/>
      <x:c r="M6" s="177"/>
      <x:c r="N6" s="177"/>
      <x:c r="O6" s="177"/>
      <x:c r="P6" s="177"/>
      <x:c r="Q6" s="177"/>
      <x:c r="R6" s="177"/>
      <x:c r="S6" s="177"/>
      <x:c r="T6" s="177"/>
      <x:c r="U6" s="177"/>
      <x:c r="V6" s="177"/>
      <x:c r="W6" s="177"/>
      <x:c r="X6" s="177"/>
      <x:c r="Y6" s="177"/>
      <x:c r="Z6" s="177"/>
    </x:row>
    <x:row r="7">
      <x:c r="A7" s="177" t="s">
        <x:v>950</x:v>
      </x:c>
      <x:c r="B7" s="179" t="n">
        <x:f>IF(SUM(Calcul_Model!$E$6:$F$6)=0,0.5,MAX(0,MIN(1,1-(Calcul_Model!$B$6+Calcul_Model!$C$6)/(Calcul_Model!$B$4+Calcul_Model!$C$4))))</x:f>
        <x:v>0</x:v>
      </x:c>
      <x:c r="C7" s="177" t="s">
        <x:v>951</x:v>
      </x:c>
      <x:c r="D7" s="177" t="s">
        <x:v>952</x:v>
      </x:c>
      <x:c r="E7" s="177" t="s">
        <x:v>953</x:v>
      </x:c>
      <x:c r="F7" s="177" t="s">
        <x:v>954</x:v>
      </x:c>
      <x:c r="G7" s="177"/>
      <x:c r="H7" s="177"/>
      <x:c r="I7" s="177"/>
      <x:c r="J7" s="177"/>
      <x:c r="K7" s="177"/>
      <x:c r="L7" s="177"/>
      <x:c r="M7" s="177"/>
      <x:c r="N7" s="177"/>
      <x:c r="O7" s="177"/>
      <x:c r="P7" s="177"/>
      <x:c r="Q7" s="177"/>
      <x:c r="R7" s="177"/>
      <x:c r="S7" s="177"/>
      <x:c r="T7" s="177"/>
      <x:c r="U7" s="177"/>
      <x:c r="V7" s="177"/>
      <x:c r="W7" s="177"/>
      <x:c r="X7" s="177"/>
      <x:c r="Y7" s="177"/>
      <x:c r="Z7" s="177"/>
    </x:row>
    <x:row r="8">
      <x:c r="A8" s="177" t="s">
        <x:v>955</x:v>
      </x:c>
      <x:c r="B8" s="179" t="n">
        <x:f>IF(AND(Calcul_Model!$B$15+Calcul_Model!$C$15&gt;0,Calcul_Model!$B$23+Calcul_Model!$C$23&gt;0),MAX(0,MIN(1,1-(Calcul_Model!$B$23+Calcul_Model!$C$23)/(Calcul_Model!$B$15+Calcul_Model!$C$15))),0.5)</x:f>
        <x:v>0</x:v>
      </x:c>
      <x:c r="C8" s="177" t="s">
        <x:v>956</x:v>
      </x:c>
      <x:c r="D8" s="177" t="s">
        <x:v>957</x:v>
      </x:c>
      <x:c r="E8" s="177" t="s">
        <x:v>953</x:v>
      </x:c>
      <x:c r="F8" s="177" t="s">
        <x:v>273</x:v>
      </x:c>
      <x:c r="G8" s="177"/>
      <x:c r="H8" s="177"/>
      <x:c r="I8" s="177"/>
      <x:c r="J8" s="177"/>
      <x:c r="K8" s="177"/>
      <x:c r="L8" s="177"/>
      <x:c r="M8" s="177"/>
      <x:c r="N8" s="177"/>
      <x:c r="O8" s="177"/>
      <x:c r="P8" s="177"/>
      <x:c r="Q8" s="177"/>
      <x:c r="R8" s="177"/>
      <x:c r="S8" s="177"/>
      <x:c r="T8" s="177"/>
      <x:c r="U8" s="177"/>
      <x:c r="V8" s="177"/>
      <x:c r="W8" s="177"/>
      <x:c r="X8" s="177"/>
      <x:c r="Y8" s="177"/>
      <x:c r="Z8" s="177"/>
    </x:row>
    <x:row r="9">
      <x:c r="A9" s="177" t="s">
        <x:v>958</x:v>
      </x:c>
      <x:c r="B9" s="179" t="n">
        <x:f>MAX(0,MIN(1,1-AVERAGE(Calcul_Model!$B$38:$B$39)/10))</x:f>
        <x:v>0.35</x:v>
      </x:c>
      <x:c r="C9" s="177" t="s">
        <x:v>959</x:v>
      </x:c>
      <x:c r="D9" s="177" t="s">
        <x:v>960</x:v>
      </x:c>
      <x:c r="E9" s="177" t="s">
        <x:v>961</x:v>
      </x:c>
      <x:c r="F9" s="177" t="s">
        <x:v>962</x:v>
      </x:c>
      <x:c r="G9" s="177"/>
      <x:c r="H9" s="177"/>
      <x:c r="I9" s="177"/>
      <x:c r="J9" s="177"/>
      <x:c r="K9" s="177"/>
      <x:c r="L9" s="177"/>
      <x:c r="M9" s="177"/>
      <x:c r="N9" s="177"/>
      <x:c r="O9" s="177"/>
      <x:c r="P9" s="177"/>
      <x:c r="Q9" s="177"/>
      <x:c r="R9" s="177"/>
      <x:c r="S9" s="177"/>
      <x:c r="T9" s="177"/>
      <x:c r="U9" s="177"/>
      <x:c r="V9" s="177"/>
      <x:c r="W9" s="177"/>
      <x:c r="X9" s="177"/>
      <x:c r="Y9" s="177"/>
      <x:c r="Z9" s="177"/>
    </x:row>
    <x:row r="10">
      <x:c r="A10" s="177" t="s">
        <x:v>963</x:v>
      </x:c>
      <x:c r="B10" s="179" t="n">
        <x:f>MAX(0,MIN(1,1-AVERAGE(Calcul_Model!$B$40:$B$42)/10))</x:f>
        <x:v>0.33333333333333326</x:v>
      </x:c>
      <x:c r="C10" s="177" t="s">
        <x:v>964</x:v>
      </x:c>
      <x:c r="D10" s="177" t="s">
        <x:v>960</x:v>
      </x:c>
      <x:c r="E10" s="177" t="s">
        <x:v>961</x:v>
      </x:c>
      <x:c r="F10" s="177" t="s">
        <x:v>965</x:v>
      </x:c>
      <x:c r="G10" s="177"/>
      <x:c r="H10" s="177"/>
      <x:c r="I10" s="177"/>
      <x:c r="J10" s="177"/>
      <x:c r="K10" s="177"/>
      <x:c r="L10" s="177"/>
      <x:c r="M10" s="177"/>
      <x:c r="N10" s="177"/>
      <x:c r="O10" s="177"/>
      <x:c r="P10" s="177"/>
      <x:c r="Q10" s="177"/>
      <x:c r="R10" s="177"/>
      <x:c r="S10" s="177"/>
      <x:c r="T10" s="177"/>
      <x:c r="U10" s="177"/>
      <x:c r="V10" s="177"/>
      <x:c r="W10" s="177"/>
      <x:c r="X10" s="177"/>
      <x:c r="Y10" s="177"/>
      <x:c r="Z10" s="177"/>
    </x:row>
    <x:row r="11">
      <x:c r="A11" s="177" t="s">
        <x:v>435</x:v>
      </x:c>
      <x:c r="B11" s="179" t="n">
        <x:f>AVERAGE(B7:B10)</x:f>
        <x:v>0.1708333333333333</x:v>
      </x:c>
      <x:c r="C11" s="177" t="s">
        <x:v>966</x:v>
      </x:c>
      <x:c r="D11" s="177" t="s">
        <x:v>967</x:v>
      </x:c>
      <x:c r="E11" s="177" t="s">
        <x:v>968</x:v>
      </x:c>
      <x:c r="F11" s="177" t="s">
        <x:v>969</x:v>
      </x:c>
      <x:c r="G11" s="177"/>
      <x:c r="H11" s="177"/>
      <x:c r="I11" s="177"/>
      <x:c r="J11" s="177"/>
      <x:c r="K11" s="177"/>
      <x:c r="L11" s="177"/>
      <x:c r="M11" s="177"/>
      <x:c r="N11" s="177"/>
      <x:c r="O11" s="177"/>
      <x:c r="P11" s="177"/>
      <x:c r="Q11" s="177"/>
      <x:c r="R11" s="177"/>
      <x:c r="S11" s="177"/>
      <x:c r="T11" s="177"/>
      <x:c r="U11" s="177"/>
      <x:c r="V11" s="177"/>
      <x:c r="W11" s="177"/>
      <x:c r="X11" s="177"/>
      <x:c r="Y11" s="177"/>
      <x:c r="Z11" s="177"/>
    </x:row>
    <x:row r="12">
      <x:c r="A12" s="177" t="s">
        <x:v>970</x:v>
      </x:c>
      <x:c r="B12" s="179" t="n">
        <x:f>AVERAGE(B5:B10)</x:f>
        <x:v>0.1978779956893483</x:v>
      </x:c>
      <x:c r="C12" s="177" t="s">
        <x:v>971</x:v>
      </x:c>
      <x:c r="D12" s="177" t="s">
        <x:v>972</x:v>
      </x:c>
      <x:c r="E12" s="177" t="s">
        <x:v>973</x:v>
      </x:c>
      <x:c r="F12" s="177" t="s">
        <x:v>974</x:v>
      </x:c>
      <x:c r="G12" s="177"/>
      <x:c r="H12" s="177"/>
      <x:c r="I12" s="177"/>
      <x:c r="J12" s="177"/>
      <x:c r="K12" s="177"/>
      <x:c r="L12" s="177"/>
      <x:c r="M12" s="177"/>
      <x:c r="N12" s="177"/>
      <x:c r="O12" s="177"/>
      <x:c r="P12" s="177"/>
      <x:c r="Q12" s="177"/>
      <x:c r="R12" s="177"/>
      <x:c r="S12" s="177"/>
      <x:c r="T12" s="177"/>
      <x:c r="U12" s="177"/>
      <x:c r="V12" s="177"/>
      <x:c r="W12" s="177"/>
      <x:c r="X12" s="177"/>
      <x:c r="Y12" s="177"/>
      <x:c r="Z12" s="177"/>
    </x:row>
    <x:row r="13">
      <x:c r="A13" s="177" t="s">
        <x:v>975</x:v>
      </x:c>
      <x:c r="B13" s="179" t="n">
        <x:f>MAX(B11,B12)</x:f>
        <x:v>0.1978779956893483</x:v>
      </x:c>
      <x:c r="C13" s="177" t="s">
        <x:v>976</x:v>
      </x:c>
      <x:c r="D13" s="177" t="s">
        <x:v>977</x:v>
      </x:c>
      <x:c r="E13" s="177" t="s">
        <x:v>978</x:v>
      </x:c>
      <x:c r="F13" s="177" t="s">
        <x:v>974</x:v>
      </x:c>
      <x:c r="G13" s="177"/>
      <x:c r="H13" s="177"/>
      <x:c r="I13" s="177"/>
      <x:c r="J13" s="177"/>
      <x:c r="K13" s="177"/>
      <x:c r="L13" s="177"/>
      <x:c r="M13" s="177"/>
      <x:c r="N13" s="177"/>
      <x:c r="O13" s="177"/>
      <x:c r="P13" s="177"/>
      <x:c r="Q13" s="177"/>
      <x:c r="R13" s="177"/>
      <x:c r="S13" s="177"/>
      <x:c r="T13" s="177"/>
      <x:c r="U13" s="177"/>
      <x:c r="V13" s="177"/>
      <x:c r="W13" s="177"/>
      <x:c r="X13" s="177"/>
      <x:c r="Y13" s="177"/>
      <x:c r="Z13" s="177"/>
    </x:row>
    <x:row r="14">
      <x:c r="A14" s="177" t="s">
        <x:v>979</x:v>
      </x:c>
      <x:c r="B14" s="179" t="n">
        <x:f>Parametri!$C$102</x:f>
        <x:v>0.03</x:v>
      </x:c>
      <x:c r="C14" s="177" t="s">
        <x:v>980</x:v>
      </x:c>
      <x:c r="D14" s="177" t="s">
        <x:v>981</x:v>
      </x:c>
      <x:c r="E14" s="177" t="s">
        <x:v>982</x:v>
      </x:c>
      <x:c r="F14" s="177" t="s">
        <x:v>983</x:v>
      </x:c>
      <x:c r="G14" s="177"/>
      <x:c r="H14" s="177"/>
      <x:c r="I14" s="177"/>
      <x:c r="J14" s="177"/>
      <x:c r="K14" s="177"/>
      <x:c r="L14" s="177"/>
      <x:c r="M14" s="177"/>
      <x:c r="N14" s="177"/>
      <x:c r="O14" s="177"/>
      <x:c r="P14" s="177"/>
      <x:c r="Q14" s="177"/>
      <x:c r="R14" s="177"/>
      <x:c r="S14" s="177"/>
      <x:c r="T14" s="177"/>
      <x:c r="U14" s="177"/>
      <x:c r="V14" s="177"/>
      <x:c r="W14" s="177"/>
      <x:c r="X14" s="177"/>
      <x:c r="Y14" s="177"/>
      <x:c r="Z14" s="177"/>
    </x:row>
    <x:row r="15">
      <x:c r="A15" s="177" t="s">
        <x:v>984</x:v>
      </x:c>
      <x:c r="B15" s="179" t="n">
        <x:f>B13*B14</x:f>
        <x:v>0.005936339870680448</x:v>
      </x:c>
      <x:c r="C15" s="177" t="s">
        <x:v>985</x:v>
      </x:c>
      <x:c r="D15" s="177" t="s">
        <x:v>986</x:v>
      </x:c>
      <x:c r="E15" s="177" t="s">
        <x:v>431</x:v>
      </x:c>
      <x:c r="F15" s="177" t="s">
        <x:v>439</x:v>
      </x:c>
      <x:c r="G15" s="177"/>
      <x:c r="H15" s="177"/>
      <x:c r="I15" s="177"/>
      <x:c r="J15" s="177"/>
      <x:c r="K15" s="177"/>
      <x:c r="L15" s="177"/>
      <x:c r="M15" s="177"/>
      <x:c r="N15" s="177"/>
      <x:c r="O15" s="177"/>
      <x:c r="P15" s="177"/>
      <x:c r="Q15" s="177"/>
      <x:c r="R15" s="177"/>
      <x:c r="S15" s="177"/>
      <x:c r="T15" s="177"/>
      <x:c r="U15" s="177"/>
      <x:c r="V15" s="177"/>
      <x:c r="W15" s="177"/>
      <x:c r="X15" s="177"/>
      <x:c r="Y15" s="177"/>
      <x:c r="Z15" s="177"/>
    </x:row>
    <x:row r="16" ht="28.5">
      <x:c r="A16" s="177" t="s">
        <x:v>987</x:v>
      </x:c>
      <x:c r="B16" s="180" t="str">
        <x:f>IF(B15&gt;0,"SECONDARY PENALTY","NONE")</x:f>
        <x:v>SECONDARY PENALTY</x:v>
      </x:c>
      <x:c r="C16" s="177" t="s">
        <x:v>988</x:v>
      </x:c>
      <x:c r="D16" s="177" t="s">
        <x:v>989</x:v>
      </x:c>
      <x:c r="E16" s="177" t="s">
        <x:v>990</x:v>
      </x:c>
      <x:c r="F16" s="177" t="s">
        <x:v>439</x:v>
      </x:c>
      <x:c r="G16" s="177"/>
      <x:c r="H16" s="177"/>
      <x:c r="I16" s="177"/>
      <x:c r="J16" s="177"/>
      <x:c r="K16" s="177"/>
      <x:c r="L16" s="177"/>
      <x:c r="M16" s="177"/>
      <x:c r="N16" s="177"/>
      <x:c r="O16" s="177"/>
      <x:c r="P16" s="177"/>
      <x:c r="Q16" s="177"/>
      <x:c r="R16" s="177"/>
      <x:c r="S16" s="177"/>
      <x:c r="T16" s="177"/>
      <x:c r="U16" s="177"/>
      <x:c r="V16" s="177"/>
      <x:c r="W16" s="177"/>
      <x:c r="X16" s="177"/>
      <x:c r="Y16" s="177"/>
      <x:c r="Z16" s="177"/>
    </x:row>
    <x:row r="17">
      <x:c r="A17" s="177"/>
      <x:c r="B17" s="177"/>
      <x:c r="C17" s="177"/>
      <x:c r="D17" s="177"/>
      <x:c r="E17" s="177"/>
      <x:c r="F17" s="177"/>
      <x:c r="G17" s="177"/>
      <x:c r="H17" s="177"/>
      <x:c r="I17" s="177"/>
      <x:c r="J17" s="177"/>
      <x:c r="K17" s="177"/>
      <x:c r="L17" s="177"/>
      <x:c r="M17" s="177"/>
      <x:c r="N17" s="177"/>
      <x:c r="O17" s="177"/>
      <x:c r="P17" s="177"/>
      <x:c r="Q17" s="177"/>
      <x:c r="R17" s="177"/>
      <x:c r="S17" s="177"/>
      <x:c r="T17" s="177"/>
      <x:c r="U17" s="177"/>
      <x:c r="V17" s="177"/>
      <x:c r="W17" s="177"/>
      <x:c r="X17" s="177"/>
      <x:c r="Y17" s="177"/>
      <x:c r="Z17" s="177"/>
    </x:row>
    <x:row r="18">
      <x:c r="A18" s="177"/>
      <x:c r="B18" s="177"/>
      <x:c r="C18" s="177"/>
      <x:c r="D18" s="177"/>
      <x:c r="E18" s="177"/>
      <x:c r="F18" s="177"/>
      <x:c r="G18" s="177"/>
      <x:c r="H18" s="177"/>
      <x:c r="I18" s="177"/>
      <x:c r="J18" s="177"/>
      <x:c r="K18" s="177"/>
      <x:c r="L18" s="177"/>
      <x:c r="M18" s="177"/>
      <x:c r="N18" s="177"/>
      <x:c r="O18" s="177"/>
      <x:c r="P18" s="177"/>
      <x:c r="Q18" s="177"/>
      <x:c r="R18" s="177"/>
      <x:c r="S18" s="177"/>
      <x:c r="T18" s="177"/>
      <x:c r="U18" s="177"/>
      <x:c r="V18" s="177"/>
      <x:c r="W18" s="177"/>
      <x:c r="X18" s="177"/>
      <x:c r="Y18" s="177"/>
      <x:c r="Z18" s="177"/>
    </x:row>
    <x:row r="19">
      <x:c r="A19" s="177"/>
      <x:c r="B19" s="177"/>
      <x:c r="C19" s="177"/>
      <x:c r="D19" s="177"/>
      <x:c r="E19" s="177"/>
      <x:c r="F19" s="177"/>
      <x:c r="G19" s="177"/>
      <x:c r="H19" s="177"/>
      <x:c r="I19" s="177"/>
      <x:c r="J19" s="177"/>
      <x:c r="K19" s="177"/>
      <x:c r="L19" s="177"/>
      <x:c r="M19" s="177"/>
      <x:c r="N19" s="177"/>
      <x:c r="O19" s="177"/>
      <x:c r="P19" s="177"/>
      <x:c r="Q19" s="177"/>
      <x:c r="R19" s="177"/>
      <x:c r="S19" s="177"/>
      <x:c r="T19" s="177"/>
      <x:c r="U19" s="177"/>
      <x:c r="V19" s="177"/>
      <x:c r="W19" s="177"/>
      <x:c r="X19" s="177"/>
      <x:c r="Y19" s="177"/>
      <x:c r="Z19" s="177"/>
    </x:row>
    <x:row r="20">
      <x:c r="A20" s="177"/>
      <x:c r="B20" s="177"/>
      <x:c r="C20" s="177"/>
      <x:c r="D20" s="177"/>
      <x:c r="E20" s="177"/>
      <x:c r="F20" s="177"/>
      <x:c r="G20" s="177"/>
      <x:c r="H20" s="177"/>
      <x:c r="I20" s="177"/>
      <x:c r="J20" s="177"/>
      <x:c r="K20" s="177"/>
      <x:c r="L20" s="177"/>
      <x:c r="M20" s="177"/>
      <x:c r="N20" s="177"/>
      <x:c r="O20" s="177"/>
      <x:c r="P20" s="177"/>
      <x:c r="Q20" s="177"/>
      <x:c r="R20" s="177"/>
      <x:c r="S20" s="177"/>
      <x:c r="T20" s="177"/>
      <x:c r="U20" s="177"/>
      <x:c r="V20" s="177"/>
      <x:c r="W20" s="177"/>
      <x:c r="X20" s="177"/>
      <x:c r="Y20" s="177"/>
      <x:c r="Z20" s="177"/>
    </x:row>
    <x:row r="21">
      <x:c r="A21" s="177"/>
      <x:c r="B21" s="177"/>
      <x:c r="C21" s="177"/>
      <x:c r="D21" s="177"/>
      <x:c r="E21" s="177"/>
      <x:c r="F21" s="177"/>
      <x:c r="G21" s="177"/>
      <x:c r="H21" s="177"/>
      <x:c r="I21" s="177"/>
      <x:c r="J21" s="177"/>
      <x:c r="K21" s="177"/>
      <x:c r="L21" s="177"/>
      <x:c r="M21" s="177"/>
      <x:c r="N21" s="177"/>
      <x:c r="O21" s="177"/>
      <x:c r="P21" s="177"/>
      <x:c r="Q21" s="177"/>
      <x:c r="R21" s="177"/>
      <x:c r="S21" s="177"/>
      <x:c r="T21" s="177"/>
      <x:c r="U21" s="177"/>
      <x:c r="V21" s="177"/>
      <x:c r="W21" s="177"/>
      <x:c r="X21" s="177"/>
      <x:c r="Y21" s="177"/>
      <x:c r="Z21" s="177"/>
    </x:row>
    <x:row r="22">
      <x:c r="A22" s="177"/>
      <x:c r="B22" s="177"/>
      <x:c r="C22" s="177"/>
      <x:c r="D22" s="177"/>
      <x:c r="E22" s="177"/>
      <x:c r="F22" s="177"/>
      <x:c r="G22" s="177"/>
      <x:c r="H22" s="177"/>
      <x:c r="I22" s="177"/>
      <x:c r="J22" s="177"/>
      <x:c r="K22" s="177"/>
      <x:c r="L22" s="177"/>
      <x:c r="M22" s="177"/>
      <x:c r="N22" s="177"/>
      <x:c r="O22" s="177"/>
      <x:c r="P22" s="177"/>
      <x:c r="Q22" s="177"/>
      <x:c r="R22" s="177"/>
      <x:c r="S22" s="177"/>
      <x:c r="T22" s="177"/>
      <x:c r="U22" s="177"/>
      <x:c r="V22" s="177"/>
      <x:c r="W22" s="177"/>
      <x:c r="X22" s="177"/>
      <x:c r="Y22" s="177"/>
      <x:c r="Z22" s="177"/>
    </x:row>
    <x:row r="23">
      <x:c r="A23" s="177"/>
      <x:c r="B23" s="177"/>
      <x:c r="C23" s="177"/>
      <x:c r="D23" s="177"/>
      <x:c r="E23" s="177"/>
      <x:c r="F23" s="177"/>
      <x:c r="G23" s="177"/>
      <x:c r="H23" s="177"/>
      <x:c r="I23" s="177"/>
      <x:c r="J23" s="177"/>
      <x:c r="K23" s="177"/>
      <x:c r="L23" s="177"/>
      <x:c r="M23" s="177"/>
      <x:c r="N23" s="177"/>
      <x:c r="O23" s="177"/>
      <x:c r="P23" s="177"/>
      <x:c r="Q23" s="177"/>
      <x:c r="R23" s="177"/>
      <x:c r="S23" s="177"/>
      <x:c r="T23" s="177"/>
      <x:c r="U23" s="177"/>
      <x:c r="V23" s="177"/>
      <x:c r="W23" s="177"/>
      <x:c r="X23" s="177"/>
      <x:c r="Y23" s="177"/>
      <x:c r="Z23" s="177"/>
    </x:row>
    <x:row r="24">
      <x:c r="A24" s="177"/>
      <x:c r="B24" s="177"/>
      <x:c r="C24" s="177"/>
      <x:c r="D24" s="177"/>
      <x:c r="E24" s="177"/>
      <x:c r="F24" s="177"/>
      <x:c r="G24" s="177"/>
      <x:c r="H24" s="177"/>
      <x:c r="I24" s="177"/>
      <x:c r="J24" s="177"/>
      <x:c r="K24" s="177"/>
      <x:c r="L24" s="177"/>
      <x:c r="M24" s="177"/>
      <x:c r="N24" s="177"/>
      <x:c r="O24" s="177"/>
      <x:c r="P24" s="177"/>
      <x:c r="Q24" s="177"/>
      <x:c r="R24" s="177"/>
      <x:c r="S24" s="177"/>
      <x:c r="T24" s="177"/>
      <x:c r="U24" s="177"/>
      <x:c r="V24" s="177"/>
      <x:c r="W24" s="177"/>
      <x:c r="X24" s="177"/>
      <x:c r="Y24" s="177"/>
      <x:c r="Z24" s="177"/>
    </x:row>
    <x:row r="25">
      <x:c r="A25" s="177"/>
      <x:c r="B25" s="177"/>
      <x:c r="C25" s="177"/>
      <x:c r="D25" s="177"/>
      <x:c r="E25" s="177"/>
      <x:c r="F25" s="177"/>
      <x:c r="G25" s="177"/>
      <x:c r="H25" s="177"/>
      <x:c r="I25" s="177"/>
      <x:c r="J25" s="177"/>
      <x:c r="K25" s="177"/>
      <x:c r="L25" s="177"/>
      <x:c r="M25" s="177"/>
      <x:c r="N25" s="177"/>
      <x:c r="O25" s="177"/>
      <x:c r="P25" s="177"/>
      <x:c r="Q25" s="177"/>
      <x:c r="R25" s="177"/>
      <x:c r="S25" s="177"/>
      <x:c r="T25" s="177"/>
      <x:c r="U25" s="177"/>
      <x:c r="V25" s="177"/>
      <x:c r="W25" s="177"/>
      <x:c r="X25" s="177"/>
      <x:c r="Y25" s="177"/>
      <x:c r="Z25" s="177"/>
    </x:row>
    <x:row r="26">
      <x:c r="A26" s="177"/>
      <x:c r="B26" s="177"/>
      <x:c r="C26" s="177"/>
      <x:c r="D26" s="177"/>
      <x:c r="E26" s="177"/>
      <x:c r="F26" s="177"/>
      <x:c r="G26" s="177"/>
      <x:c r="H26" s="177"/>
      <x:c r="I26" s="177"/>
      <x:c r="J26" s="177"/>
      <x:c r="K26" s="177"/>
      <x:c r="L26" s="177"/>
      <x:c r="M26" s="177"/>
      <x:c r="N26" s="177"/>
      <x:c r="O26" s="177"/>
      <x:c r="P26" s="177"/>
      <x:c r="Q26" s="177"/>
      <x:c r="R26" s="177"/>
      <x:c r="S26" s="177"/>
      <x:c r="T26" s="177"/>
      <x:c r="U26" s="177"/>
      <x:c r="V26" s="177"/>
      <x:c r="W26" s="177"/>
      <x:c r="X26" s="177"/>
      <x:c r="Y26" s="177"/>
      <x:c r="Z26" s="177"/>
    </x:row>
    <x:row r="27">
      <x:c r="A27" s="177"/>
      <x:c r="B27" s="177"/>
      <x:c r="C27" s="177"/>
      <x:c r="D27" s="177"/>
      <x:c r="E27" s="177"/>
      <x:c r="F27" s="177"/>
      <x:c r="G27" s="177"/>
      <x:c r="H27" s="177"/>
      <x:c r="I27" s="177"/>
      <x:c r="J27" s="177"/>
      <x:c r="K27" s="177"/>
      <x:c r="L27" s="177"/>
      <x:c r="M27" s="177"/>
      <x:c r="N27" s="177"/>
      <x:c r="O27" s="177"/>
      <x:c r="P27" s="177"/>
      <x:c r="Q27" s="177"/>
      <x:c r="R27" s="177"/>
      <x:c r="S27" s="177"/>
      <x:c r="T27" s="177"/>
      <x:c r="U27" s="177"/>
      <x:c r="V27" s="177"/>
      <x:c r="W27" s="177"/>
      <x:c r="X27" s="177"/>
      <x:c r="Y27" s="177"/>
      <x:c r="Z27" s="177"/>
    </x:row>
    <x:row r="28">
      <x:c r="A28" s="177"/>
      <x:c r="B28" s="177"/>
      <x:c r="C28" s="177"/>
      <x:c r="D28" s="177"/>
      <x:c r="E28" s="177"/>
      <x:c r="F28" s="177"/>
      <x:c r="G28" s="177"/>
      <x:c r="H28" s="177"/>
      <x:c r="I28" s="177"/>
      <x:c r="J28" s="177"/>
      <x:c r="K28" s="177"/>
      <x:c r="L28" s="177"/>
      <x:c r="M28" s="177"/>
      <x:c r="N28" s="177"/>
      <x:c r="O28" s="177"/>
      <x:c r="P28" s="177"/>
      <x:c r="Q28" s="177"/>
      <x:c r="R28" s="177"/>
      <x:c r="S28" s="177"/>
      <x:c r="T28" s="177"/>
      <x:c r="U28" s="177"/>
      <x:c r="V28" s="177"/>
      <x:c r="W28" s="177"/>
      <x:c r="X28" s="177"/>
      <x:c r="Y28" s="177"/>
      <x:c r="Z28" s="177"/>
    </x:row>
    <x:row r="29">
      <x:c r="A29" s="177"/>
      <x:c r="B29" s="177"/>
      <x:c r="C29" s="177"/>
      <x:c r="D29" s="177"/>
      <x:c r="E29" s="177"/>
      <x:c r="F29" s="177"/>
      <x:c r="G29" s="177"/>
      <x:c r="H29" s="177"/>
      <x:c r="I29" s="177"/>
      <x:c r="J29" s="177"/>
      <x:c r="K29" s="177"/>
      <x:c r="L29" s="177"/>
      <x:c r="M29" s="177"/>
      <x:c r="N29" s="177"/>
      <x:c r="O29" s="177"/>
      <x:c r="P29" s="177"/>
      <x:c r="Q29" s="177"/>
      <x:c r="R29" s="177"/>
      <x:c r="S29" s="177"/>
      <x:c r="T29" s="177"/>
      <x:c r="U29" s="177"/>
      <x:c r="V29" s="177"/>
      <x:c r="W29" s="177"/>
      <x:c r="X29" s="177"/>
      <x:c r="Y29" s="177"/>
      <x:c r="Z29" s="177"/>
    </x:row>
    <x:row r="30">
      <x:c r="A30" s="177"/>
      <x:c r="B30" s="177"/>
      <x:c r="C30" s="177"/>
      <x:c r="D30" s="177"/>
      <x:c r="E30" s="177"/>
      <x:c r="F30" s="177"/>
      <x:c r="G30" s="177"/>
      <x:c r="H30" s="177"/>
      <x:c r="I30" s="177"/>
      <x:c r="J30" s="177"/>
      <x:c r="K30" s="177"/>
      <x:c r="L30" s="177"/>
      <x:c r="M30" s="177"/>
      <x:c r="N30" s="177"/>
      <x:c r="O30" s="177"/>
      <x:c r="P30" s="177"/>
      <x:c r="Q30" s="177"/>
      <x:c r="R30" s="177"/>
      <x:c r="S30" s="177"/>
      <x:c r="T30" s="177"/>
      <x:c r="U30" s="177"/>
      <x:c r="V30" s="177"/>
      <x:c r="W30" s="177"/>
      <x:c r="X30" s="177"/>
      <x:c r="Y30" s="177"/>
      <x:c r="Z30" s="177"/>
    </x:row>
    <x:row r="31">
      <x:c r="A31" s="177"/>
      <x:c r="B31" s="177"/>
      <x:c r="C31" s="177"/>
      <x:c r="D31" s="177"/>
      <x:c r="E31" s="177"/>
      <x:c r="F31" s="177"/>
      <x:c r="G31" s="177"/>
      <x:c r="H31" s="177"/>
      <x:c r="I31" s="177"/>
      <x:c r="J31" s="177"/>
      <x:c r="K31" s="177"/>
      <x:c r="L31" s="177"/>
      <x:c r="M31" s="177"/>
      <x:c r="N31" s="177"/>
      <x:c r="O31" s="177"/>
      <x:c r="P31" s="177"/>
      <x:c r="Q31" s="177"/>
      <x:c r="R31" s="177"/>
      <x:c r="S31" s="177"/>
      <x:c r="T31" s="177"/>
      <x:c r="U31" s="177"/>
      <x:c r="V31" s="177"/>
      <x:c r="W31" s="177"/>
      <x:c r="X31" s="177"/>
      <x:c r="Y31" s="177"/>
      <x:c r="Z31" s="177"/>
    </x:row>
    <x:row r="32">
      <x:c r="A32" s="177"/>
      <x:c r="B32" s="177"/>
      <x:c r="C32" s="177"/>
      <x:c r="D32" s="177"/>
      <x:c r="E32" s="177"/>
      <x:c r="F32" s="177"/>
      <x:c r="G32" s="177"/>
      <x:c r="H32" s="177"/>
      <x:c r="I32" s="177"/>
      <x:c r="J32" s="177"/>
      <x:c r="K32" s="177"/>
      <x:c r="L32" s="177"/>
      <x:c r="M32" s="177"/>
      <x:c r="N32" s="177"/>
      <x:c r="O32" s="177"/>
      <x:c r="P32" s="177"/>
      <x:c r="Q32" s="177"/>
      <x:c r="R32" s="177"/>
      <x:c r="S32" s="177"/>
      <x:c r="T32" s="177"/>
      <x:c r="U32" s="177"/>
      <x:c r="V32" s="177"/>
      <x:c r="W32" s="177"/>
      <x:c r="X32" s="177"/>
      <x:c r="Y32" s="177"/>
      <x:c r="Z32" s="177"/>
    </x:row>
    <x:row r="33">
      <x:c r="A33" s="177"/>
      <x:c r="B33" s="177"/>
      <x:c r="C33" s="177"/>
      <x:c r="D33" s="177"/>
      <x:c r="E33" s="177"/>
      <x:c r="F33" s="177"/>
      <x:c r="G33" s="177"/>
      <x:c r="H33" s="177"/>
      <x:c r="I33" s="177"/>
      <x:c r="J33" s="177"/>
      <x:c r="K33" s="177"/>
      <x:c r="L33" s="177"/>
      <x:c r="M33" s="177"/>
      <x:c r="N33" s="177"/>
      <x:c r="O33" s="177"/>
      <x:c r="P33" s="177"/>
      <x:c r="Q33" s="177"/>
      <x:c r="R33" s="177"/>
      <x:c r="S33" s="177"/>
      <x:c r="T33" s="177"/>
      <x:c r="U33" s="177"/>
      <x:c r="V33" s="177"/>
      <x:c r="W33" s="177"/>
      <x:c r="X33" s="177"/>
      <x:c r="Y33" s="177"/>
      <x:c r="Z33" s="177"/>
    </x:row>
    <x:row r="34">
      <x:c r="A34" s="177"/>
      <x:c r="B34" s="177"/>
      <x:c r="C34" s="177"/>
      <x:c r="D34" s="177"/>
      <x:c r="E34" s="177"/>
      <x:c r="F34" s="177"/>
      <x:c r="G34" s="177"/>
      <x:c r="H34" s="177"/>
      <x:c r="I34" s="177"/>
      <x:c r="J34" s="177"/>
      <x:c r="K34" s="177"/>
      <x:c r="L34" s="177"/>
      <x:c r="M34" s="177"/>
      <x:c r="N34" s="177"/>
      <x:c r="O34" s="177"/>
      <x:c r="P34" s="177"/>
      <x:c r="Q34" s="177"/>
      <x:c r="R34" s="177"/>
      <x:c r="S34" s="177"/>
      <x:c r="T34" s="177"/>
      <x:c r="U34" s="177"/>
      <x:c r="V34" s="177"/>
      <x:c r="W34" s="177"/>
      <x:c r="X34" s="177"/>
      <x:c r="Y34" s="177"/>
      <x:c r="Z34" s="177"/>
    </x:row>
    <x:row r="35">
      <x:c r="A35" s="177"/>
      <x:c r="B35" s="177"/>
      <x:c r="C35" s="177"/>
      <x:c r="D35" s="177"/>
      <x:c r="E35" s="177"/>
      <x:c r="F35" s="177"/>
      <x:c r="G35" s="177"/>
      <x:c r="H35" s="177"/>
      <x:c r="I35" s="177"/>
      <x:c r="J35" s="177"/>
      <x:c r="K35" s="177"/>
      <x:c r="L35" s="177"/>
      <x:c r="M35" s="177"/>
      <x:c r="N35" s="177"/>
      <x:c r="O35" s="177"/>
      <x:c r="P35" s="177"/>
      <x:c r="Q35" s="177"/>
      <x:c r="R35" s="177"/>
      <x:c r="S35" s="177"/>
      <x:c r="T35" s="177"/>
      <x:c r="U35" s="177"/>
      <x:c r="V35" s="177"/>
      <x:c r="W35" s="177"/>
      <x:c r="X35" s="177"/>
      <x:c r="Y35" s="177"/>
      <x:c r="Z35" s="177"/>
    </x:row>
    <x:row r="36">
      <x:c r="A36" s="177"/>
      <x:c r="B36" s="177"/>
      <x:c r="C36" s="177"/>
      <x:c r="D36" s="177"/>
      <x:c r="E36" s="177"/>
      <x:c r="F36" s="177"/>
      <x:c r="G36" s="177"/>
      <x:c r="H36" s="177"/>
      <x:c r="I36" s="177"/>
      <x:c r="J36" s="177"/>
      <x:c r="K36" s="177"/>
      <x:c r="L36" s="177"/>
      <x:c r="M36" s="177"/>
      <x:c r="N36" s="177"/>
      <x:c r="O36" s="177"/>
      <x:c r="P36" s="177"/>
      <x:c r="Q36" s="177"/>
      <x:c r="R36" s="177"/>
      <x:c r="S36" s="177"/>
      <x:c r="T36" s="177"/>
      <x:c r="U36" s="177"/>
      <x:c r="V36" s="177"/>
      <x:c r="W36" s="177"/>
      <x:c r="X36" s="177"/>
      <x:c r="Y36" s="177"/>
      <x:c r="Z36" s="177"/>
    </x:row>
    <x:row r="37">
      <x:c r="A37" s="177"/>
      <x:c r="B37" s="177"/>
      <x:c r="C37" s="177"/>
      <x:c r="D37" s="177"/>
      <x:c r="E37" s="177"/>
      <x:c r="F37" s="177"/>
      <x:c r="G37" s="177"/>
      <x:c r="H37" s="177"/>
      <x:c r="I37" s="177"/>
      <x:c r="J37" s="177"/>
      <x:c r="K37" s="177"/>
      <x:c r="L37" s="177"/>
      <x:c r="M37" s="177"/>
      <x:c r="N37" s="177"/>
      <x:c r="O37" s="177"/>
      <x:c r="P37" s="177"/>
      <x:c r="Q37" s="177"/>
      <x:c r="R37" s="177"/>
      <x:c r="S37" s="177"/>
      <x:c r="T37" s="177"/>
      <x:c r="U37" s="177"/>
      <x:c r="V37" s="177"/>
      <x:c r="W37" s="177"/>
      <x:c r="X37" s="177"/>
      <x:c r="Y37" s="177"/>
      <x:c r="Z37" s="177"/>
    </x:row>
    <x:row r="38">
      <x:c r="A38" s="177"/>
      <x:c r="B38" s="177"/>
      <x:c r="C38" s="177"/>
      <x:c r="D38" s="177"/>
      <x:c r="E38" s="177"/>
      <x:c r="F38" s="177"/>
      <x:c r="G38" s="177"/>
      <x:c r="H38" s="177"/>
      <x:c r="I38" s="177"/>
      <x:c r="J38" s="177"/>
      <x:c r="K38" s="177"/>
      <x:c r="L38" s="177"/>
      <x:c r="M38" s="177"/>
      <x:c r="N38" s="177"/>
      <x:c r="O38" s="177"/>
      <x:c r="P38" s="177"/>
      <x:c r="Q38" s="177"/>
      <x:c r="R38" s="177"/>
      <x:c r="S38" s="177"/>
      <x:c r="T38" s="177"/>
      <x:c r="U38" s="177"/>
      <x:c r="V38" s="177"/>
      <x:c r="W38" s="177"/>
      <x:c r="X38" s="177"/>
      <x:c r="Y38" s="177"/>
      <x:c r="Z38" s="177"/>
    </x:row>
    <x:row r="39">
      <x:c r="A39" s="177"/>
      <x:c r="B39" s="177"/>
      <x:c r="C39" s="177"/>
      <x:c r="D39" s="177"/>
      <x:c r="E39" s="177"/>
      <x:c r="F39" s="177"/>
      <x:c r="G39" s="177"/>
      <x:c r="H39" s="177"/>
      <x:c r="I39" s="177"/>
      <x:c r="J39" s="177"/>
      <x:c r="K39" s="177"/>
      <x:c r="L39" s="177"/>
      <x:c r="M39" s="177"/>
      <x:c r="N39" s="177"/>
      <x:c r="O39" s="177"/>
      <x:c r="P39" s="177"/>
      <x:c r="Q39" s="177"/>
      <x:c r="R39" s="177"/>
      <x:c r="S39" s="177"/>
      <x:c r="T39" s="177"/>
      <x:c r="U39" s="177"/>
      <x:c r="V39" s="177"/>
      <x:c r="W39" s="177"/>
      <x:c r="X39" s="177"/>
      <x:c r="Y39" s="177"/>
      <x:c r="Z39" s="177"/>
    </x:row>
    <x:row r="40">
      <x:c r="A40" s="177"/>
      <x:c r="B40" s="177"/>
      <x:c r="C40" s="177"/>
      <x:c r="D40" s="177"/>
      <x:c r="E40" s="177"/>
      <x:c r="F40" s="177"/>
      <x:c r="G40" s="177"/>
      <x:c r="H40" s="177"/>
      <x:c r="I40" s="177"/>
      <x:c r="J40" s="177"/>
      <x:c r="K40" s="177"/>
      <x:c r="L40" s="177"/>
      <x:c r="M40" s="177"/>
      <x:c r="N40" s="177"/>
      <x:c r="O40" s="177"/>
      <x:c r="P40" s="177"/>
      <x:c r="Q40" s="177"/>
      <x:c r="R40" s="177"/>
      <x:c r="S40" s="177"/>
      <x:c r="T40" s="177"/>
      <x:c r="U40" s="177"/>
      <x:c r="V40" s="177"/>
      <x:c r="W40" s="177"/>
      <x:c r="X40" s="177"/>
      <x:c r="Y40" s="177"/>
      <x:c r="Z40" s="177"/>
    </x:row>
    <x:row r="41">
      <x:c r="A41" s="177"/>
      <x:c r="B41" s="177"/>
      <x:c r="C41" s="177"/>
      <x:c r="D41" s="177"/>
      <x:c r="E41" s="177"/>
      <x:c r="F41" s="177"/>
      <x:c r="G41" s="177"/>
      <x:c r="H41" s="177"/>
      <x:c r="I41" s="177"/>
      <x:c r="J41" s="177"/>
      <x:c r="K41" s="177"/>
      <x:c r="L41" s="177"/>
      <x:c r="M41" s="177"/>
      <x:c r="N41" s="177"/>
      <x:c r="O41" s="177"/>
      <x:c r="P41" s="177"/>
      <x:c r="Q41" s="177"/>
      <x:c r="R41" s="177"/>
      <x:c r="S41" s="177"/>
      <x:c r="T41" s="177"/>
      <x:c r="U41" s="177"/>
      <x:c r="V41" s="177"/>
      <x:c r="W41" s="177"/>
      <x:c r="X41" s="177"/>
      <x:c r="Y41" s="177"/>
      <x:c r="Z41" s="177"/>
    </x:row>
    <x:row r="42">
      <x:c r="A42" s="177"/>
      <x:c r="B42" s="177"/>
      <x:c r="C42" s="177"/>
      <x:c r="D42" s="177"/>
      <x:c r="E42" s="177"/>
      <x:c r="F42" s="177"/>
      <x:c r="G42" s="177"/>
      <x:c r="H42" s="177"/>
      <x:c r="I42" s="177"/>
      <x:c r="J42" s="177"/>
      <x:c r="K42" s="177"/>
      <x:c r="L42" s="177"/>
      <x:c r="M42" s="177"/>
      <x:c r="N42" s="177"/>
      <x:c r="O42" s="177"/>
      <x:c r="P42" s="177"/>
      <x:c r="Q42" s="177"/>
      <x:c r="R42" s="177"/>
      <x:c r="S42" s="177"/>
      <x:c r="T42" s="177"/>
      <x:c r="U42" s="177"/>
      <x:c r="V42" s="177"/>
      <x:c r="W42" s="177"/>
      <x:c r="X42" s="177"/>
      <x:c r="Y42" s="177"/>
      <x:c r="Z42" s="177"/>
    </x:row>
    <x:row r="43">
      <x:c r="A43" s="177"/>
      <x:c r="B43" s="177"/>
      <x:c r="C43" s="177"/>
      <x:c r="D43" s="177"/>
      <x:c r="E43" s="177"/>
      <x:c r="F43" s="177"/>
      <x:c r="G43" s="177"/>
      <x:c r="H43" s="177"/>
      <x:c r="I43" s="177"/>
      <x:c r="J43" s="177"/>
      <x:c r="K43" s="177"/>
      <x:c r="L43" s="177"/>
      <x:c r="M43" s="177"/>
      <x:c r="N43" s="177"/>
      <x:c r="O43" s="177"/>
      <x:c r="P43" s="177"/>
      <x:c r="Q43" s="177"/>
      <x:c r="R43" s="177"/>
      <x:c r="S43" s="177"/>
      <x:c r="T43" s="177"/>
      <x:c r="U43" s="177"/>
      <x:c r="V43" s="177"/>
      <x:c r="W43" s="177"/>
      <x:c r="X43" s="177"/>
      <x:c r="Y43" s="177"/>
      <x:c r="Z43" s="177"/>
    </x:row>
    <x:row r="44">
      <x:c r="A44" s="177"/>
      <x:c r="B44" s="177"/>
      <x:c r="C44" s="177"/>
      <x:c r="D44" s="177"/>
      <x:c r="E44" s="177"/>
      <x:c r="F44" s="177"/>
      <x:c r="G44" s="177"/>
      <x:c r="H44" s="177"/>
      <x:c r="I44" s="177"/>
      <x:c r="J44" s="177"/>
      <x:c r="K44" s="177"/>
      <x:c r="L44" s="177"/>
      <x:c r="M44" s="177"/>
      <x:c r="N44" s="177"/>
      <x:c r="O44" s="177"/>
      <x:c r="P44" s="177"/>
      <x:c r="Q44" s="177"/>
      <x:c r="R44" s="177"/>
      <x:c r="S44" s="177"/>
      <x:c r="T44" s="177"/>
      <x:c r="U44" s="177"/>
      <x:c r="V44" s="177"/>
      <x:c r="W44" s="177"/>
      <x:c r="X44" s="177"/>
      <x:c r="Y44" s="177"/>
      <x:c r="Z44" s="177"/>
    </x:row>
    <x:row r="45">
      <x:c r="A45" s="177"/>
      <x:c r="B45" s="177"/>
      <x:c r="C45" s="177"/>
      <x:c r="D45" s="177"/>
      <x:c r="E45" s="177"/>
      <x:c r="F45" s="177"/>
      <x:c r="G45" s="177"/>
      <x:c r="H45" s="177"/>
      <x:c r="I45" s="177"/>
      <x:c r="J45" s="177"/>
      <x:c r="K45" s="177"/>
      <x:c r="L45" s="177"/>
      <x:c r="M45" s="177"/>
      <x:c r="N45" s="177"/>
      <x:c r="O45" s="177"/>
      <x:c r="P45" s="177"/>
      <x:c r="Q45" s="177"/>
      <x:c r="R45" s="177"/>
      <x:c r="S45" s="177"/>
      <x:c r="T45" s="177"/>
      <x:c r="U45" s="177"/>
      <x:c r="V45" s="177"/>
      <x:c r="W45" s="177"/>
      <x:c r="X45" s="177"/>
      <x:c r="Y45" s="177"/>
      <x:c r="Z45" s="177"/>
    </x:row>
    <x:row r="46">
      <x:c r="A46" s="177"/>
      <x:c r="B46" s="177"/>
      <x:c r="C46" s="177"/>
      <x:c r="D46" s="177"/>
      <x:c r="E46" s="177"/>
      <x:c r="F46" s="177"/>
      <x:c r="G46" s="177"/>
      <x:c r="H46" s="177"/>
      <x:c r="I46" s="177"/>
      <x:c r="J46" s="177"/>
      <x:c r="K46" s="177"/>
      <x:c r="L46" s="177"/>
      <x:c r="M46" s="177"/>
      <x:c r="N46" s="177"/>
      <x:c r="O46" s="177"/>
      <x:c r="P46" s="177"/>
      <x:c r="Q46" s="177"/>
      <x:c r="R46" s="177"/>
      <x:c r="S46" s="177"/>
      <x:c r="T46" s="177"/>
      <x:c r="U46" s="177"/>
      <x:c r="V46" s="177"/>
      <x:c r="W46" s="177"/>
      <x:c r="X46" s="177"/>
      <x:c r="Y46" s="177"/>
      <x:c r="Z46" s="177"/>
    </x:row>
    <x:row r="47">
      <x:c r="A47" s="177"/>
      <x:c r="B47" s="177"/>
      <x:c r="C47" s="177"/>
      <x:c r="D47" s="177"/>
      <x:c r="E47" s="177"/>
      <x:c r="F47" s="177"/>
      <x:c r="G47" s="177"/>
      <x:c r="H47" s="177"/>
      <x:c r="I47" s="177"/>
      <x:c r="J47" s="177"/>
      <x:c r="K47" s="177"/>
      <x:c r="L47" s="177"/>
      <x:c r="M47" s="177"/>
      <x:c r="N47" s="177"/>
      <x:c r="O47" s="177"/>
      <x:c r="P47" s="177"/>
      <x:c r="Q47" s="177"/>
      <x:c r="R47" s="177"/>
      <x:c r="S47" s="177"/>
      <x:c r="T47" s="177"/>
      <x:c r="U47" s="177"/>
      <x:c r="V47" s="177"/>
      <x:c r="W47" s="177"/>
      <x:c r="X47" s="177"/>
      <x:c r="Y47" s="177"/>
      <x:c r="Z47" s="177"/>
    </x:row>
    <x:row r="48">
      <x:c r="A48" s="177"/>
      <x:c r="B48" s="177"/>
      <x:c r="C48" s="177"/>
      <x:c r="D48" s="177"/>
      <x:c r="E48" s="177"/>
      <x:c r="F48" s="177"/>
      <x:c r="G48" s="177"/>
      <x:c r="H48" s="177"/>
      <x:c r="I48" s="177"/>
      <x:c r="J48" s="177"/>
      <x:c r="K48" s="177"/>
      <x:c r="L48" s="177"/>
      <x:c r="M48" s="177"/>
      <x:c r="N48" s="177"/>
      <x:c r="O48" s="177"/>
      <x:c r="P48" s="177"/>
      <x:c r="Q48" s="177"/>
      <x:c r="R48" s="177"/>
      <x:c r="S48" s="177"/>
      <x:c r="T48" s="177"/>
      <x:c r="U48" s="177"/>
      <x:c r="V48" s="177"/>
      <x:c r="W48" s="177"/>
      <x:c r="X48" s="177"/>
      <x:c r="Y48" s="177"/>
      <x:c r="Z48" s="177"/>
    </x:row>
    <x:row r="49">
      <x:c r="A49" s="177"/>
      <x:c r="B49" s="177"/>
      <x:c r="C49" s="177"/>
      <x:c r="D49" s="177"/>
      <x:c r="E49" s="177"/>
      <x:c r="F49" s="177"/>
      <x:c r="G49" s="177"/>
      <x:c r="H49" s="177"/>
      <x:c r="I49" s="177"/>
      <x:c r="J49" s="177"/>
      <x:c r="K49" s="177"/>
      <x:c r="L49" s="177"/>
      <x:c r="M49" s="177"/>
      <x:c r="N49" s="177"/>
      <x:c r="O49" s="177"/>
      <x:c r="P49" s="177"/>
      <x:c r="Q49" s="177"/>
      <x:c r="R49" s="177"/>
      <x:c r="S49" s="177"/>
      <x:c r="T49" s="177"/>
      <x:c r="U49" s="177"/>
      <x:c r="V49" s="177"/>
      <x:c r="W49" s="177"/>
      <x:c r="X49" s="177"/>
      <x:c r="Y49" s="177"/>
      <x:c r="Z49" s="177"/>
    </x:row>
    <x:row r="50">
      <x:c r="A50" s="177"/>
      <x:c r="B50" s="177"/>
      <x:c r="C50" s="177"/>
      <x:c r="D50" s="177"/>
      <x:c r="E50" s="177"/>
      <x:c r="F50" s="177"/>
      <x:c r="G50" s="177"/>
      <x:c r="H50" s="177"/>
      <x:c r="I50" s="177"/>
      <x:c r="J50" s="177"/>
      <x:c r="K50" s="177"/>
      <x:c r="L50" s="177"/>
      <x:c r="M50" s="177"/>
      <x:c r="N50" s="177"/>
      <x:c r="O50" s="177"/>
      <x:c r="P50" s="177"/>
      <x:c r="Q50" s="177"/>
      <x:c r="R50" s="177"/>
      <x:c r="S50" s="177"/>
      <x:c r="T50" s="177"/>
      <x:c r="U50" s="177"/>
      <x:c r="V50" s="177"/>
      <x:c r="W50" s="177"/>
      <x:c r="X50" s="177"/>
      <x:c r="Y50" s="177"/>
      <x:c r="Z50" s="177"/>
    </x:row>
    <x:row r="51">
      <x:c r="A51" s="177"/>
      <x:c r="B51" s="177"/>
      <x:c r="C51" s="177"/>
      <x:c r="D51" s="177"/>
      <x:c r="E51" s="177"/>
      <x:c r="F51" s="177"/>
      <x:c r="G51" s="177"/>
      <x:c r="H51" s="177"/>
      <x:c r="I51" s="177"/>
      <x:c r="J51" s="177"/>
      <x:c r="K51" s="177"/>
      <x:c r="L51" s="177"/>
      <x:c r="M51" s="177"/>
      <x:c r="N51" s="177"/>
      <x:c r="O51" s="177"/>
      <x:c r="P51" s="177"/>
      <x:c r="Q51" s="177"/>
      <x:c r="R51" s="177"/>
      <x:c r="S51" s="177"/>
      <x:c r="T51" s="177"/>
      <x:c r="U51" s="177"/>
      <x:c r="V51" s="177"/>
      <x:c r="W51" s="177"/>
      <x:c r="X51" s="177"/>
      <x:c r="Y51" s="177"/>
      <x:c r="Z51" s="177"/>
    </x:row>
    <x:row r="52">
      <x:c r="A52" s="177"/>
      <x:c r="B52" s="177"/>
      <x:c r="C52" s="177"/>
      <x:c r="D52" s="177"/>
      <x:c r="E52" s="177"/>
      <x:c r="F52" s="177"/>
      <x:c r="G52" s="177"/>
      <x:c r="H52" s="177"/>
      <x:c r="I52" s="177"/>
      <x:c r="J52" s="177"/>
      <x:c r="K52" s="177"/>
      <x:c r="L52" s="177"/>
      <x:c r="M52" s="177"/>
      <x:c r="N52" s="177"/>
      <x:c r="O52" s="177"/>
      <x:c r="P52" s="177"/>
      <x:c r="Q52" s="177"/>
      <x:c r="R52" s="177"/>
      <x:c r="S52" s="177"/>
      <x:c r="T52" s="177"/>
      <x:c r="U52" s="177"/>
      <x:c r="V52" s="177"/>
      <x:c r="W52" s="177"/>
      <x:c r="X52" s="177"/>
      <x:c r="Y52" s="177"/>
      <x:c r="Z52" s="177"/>
    </x:row>
    <x:row r="53">
      <x:c r="A53" s="177"/>
      <x:c r="B53" s="177"/>
      <x:c r="C53" s="177"/>
      <x:c r="D53" s="177"/>
      <x:c r="E53" s="177"/>
      <x:c r="F53" s="177"/>
      <x:c r="G53" s="177"/>
      <x:c r="H53" s="177"/>
      <x:c r="I53" s="177"/>
      <x:c r="J53" s="177"/>
      <x:c r="K53" s="177"/>
      <x:c r="L53" s="177"/>
      <x:c r="M53" s="177"/>
      <x:c r="N53" s="177"/>
      <x:c r="O53" s="177"/>
      <x:c r="P53" s="177"/>
      <x:c r="Q53" s="177"/>
      <x:c r="R53" s="177"/>
      <x:c r="S53" s="177"/>
      <x:c r="T53" s="177"/>
      <x:c r="U53" s="177"/>
      <x:c r="V53" s="177"/>
      <x:c r="W53" s="177"/>
      <x:c r="X53" s="177"/>
      <x:c r="Y53" s="177"/>
      <x:c r="Z53" s="177"/>
    </x:row>
    <x:row r="54">
      <x:c r="A54" s="177"/>
      <x:c r="B54" s="177"/>
      <x:c r="C54" s="177"/>
      <x:c r="D54" s="177"/>
      <x:c r="E54" s="177"/>
      <x:c r="F54" s="177"/>
      <x:c r="G54" s="177"/>
      <x:c r="H54" s="177"/>
      <x:c r="I54" s="177"/>
      <x:c r="J54" s="177"/>
      <x:c r="K54" s="177"/>
      <x:c r="L54" s="177"/>
      <x:c r="M54" s="177"/>
      <x:c r="N54" s="177"/>
      <x:c r="O54" s="177"/>
      <x:c r="P54" s="177"/>
      <x:c r="Q54" s="177"/>
      <x:c r="R54" s="177"/>
      <x:c r="S54" s="177"/>
      <x:c r="T54" s="177"/>
      <x:c r="U54" s="177"/>
      <x:c r="V54" s="177"/>
      <x:c r="W54" s="177"/>
      <x:c r="X54" s="177"/>
      <x:c r="Y54" s="177"/>
      <x:c r="Z54" s="177"/>
    </x:row>
    <x:row r="55">
      <x:c r="A55" s="177"/>
      <x:c r="B55" s="177"/>
      <x:c r="C55" s="177"/>
      <x:c r="D55" s="177"/>
      <x:c r="E55" s="177"/>
      <x:c r="F55" s="177"/>
      <x:c r="G55" s="177"/>
      <x:c r="H55" s="177"/>
      <x:c r="I55" s="177"/>
      <x:c r="J55" s="177"/>
      <x:c r="K55" s="177"/>
      <x:c r="L55" s="177"/>
      <x:c r="M55" s="177"/>
      <x:c r="N55" s="177"/>
      <x:c r="O55" s="177"/>
      <x:c r="P55" s="177"/>
      <x:c r="Q55" s="177"/>
      <x:c r="R55" s="177"/>
      <x:c r="S55" s="177"/>
      <x:c r="T55" s="177"/>
      <x:c r="U55" s="177"/>
      <x:c r="V55" s="177"/>
      <x:c r="W55" s="177"/>
      <x:c r="X55" s="177"/>
      <x:c r="Y55" s="177"/>
      <x:c r="Z55" s="177"/>
    </x:row>
    <x:row r="56">
      <x:c r="A56" s="177"/>
      <x:c r="B56" s="177"/>
      <x:c r="C56" s="177"/>
      <x:c r="D56" s="177"/>
      <x:c r="E56" s="177"/>
      <x:c r="F56" s="177"/>
      <x:c r="G56" s="177"/>
      <x:c r="H56" s="177"/>
      <x:c r="I56" s="177"/>
      <x:c r="J56" s="177"/>
      <x:c r="K56" s="177"/>
      <x:c r="L56" s="177"/>
      <x:c r="M56" s="177"/>
      <x:c r="N56" s="177"/>
      <x:c r="O56" s="177"/>
      <x:c r="P56" s="177"/>
      <x:c r="Q56" s="177"/>
      <x:c r="R56" s="177"/>
      <x:c r="S56" s="177"/>
      <x:c r="T56" s="177"/>
      <x:c r="U56" s="177"/>
      <x:c r="V56" s="177"/>
      <x:c r="W56" s="177"/>
      <x:c r="X56" s="177"/>
      <x:c r="Y56" s="177"/>
      <x:c r="Z56" s="177"/>
    </x:row>
    <x:row r="57">
      <x:c r="A57" s="177"/>
      <x:c r="B57" s="177"/>
      <x:c r="C57" s="177"/>
      <x:c r="D57" s="177"/>
      <x:c r="E57" s="177"/>
      <x:c r="F57" s="177"/>
      <x:c r="G57" s="177"/>
      <x:c r="H57" s="177"/>
      <x:c r="I57" s="177"/>
      <x:c r="J57" s="177"/>
      <x:c r="K57" s="177"/>
      <x:c r="L57" s="177"/>
      <x:c r="M57" s="177"/>
      <x:c r="N57" s="177"/>
      <x:c r="O57" s="177"/>
      <x:c r="P57" s="177"/>
      <x:c r="Q57" s="177"/>
      <x:c r="R57" s="177"/>
      <x:c r="S57" s="177"/>
      <x:c r="T57" s="177"/>
      <x:c r="U57" s="177"/>
      <x:c r="V57" s="177"/>
      <x:c r="W57" s="177"/>
      <x:c r="X57" s="177"/>
      <x:c r="Y57" s="177"/>
      <x:c r="Z57" s="177"/>
    </x:row>
    <x:row r="58">
      <x:c r="A58" s="177"/>
      <x:c r="B58" s="177"/>
      <x:c r="C58" s="177"/>
      <x:c r="D58" s="177"/>
      <x:c r="E58" s="177"/>
      <x:c r="F58" s="177"/>
      <x:c r="G58" s="177"/>
      <x:c r="H58" s="177"/>
      <x:c r="I58" s="177"/>
      <x:c r="J58" s="177"/>
      <x:c r="K58" s="177"/>
      <x:c r="L58" s="177"/>
      <x:c r="M58" s="177"/>
      <x:c r="N58" s="177"/>
      <x:c r="O58" s="177"/>
      <x:c r="P58" s="177"/>
      <x:c r="Q58" s="177"/>
      <x:c r="R58" s="177"/>
      <x:c r="S58" s="177"/>
      <x:c r="T58" s="177"/>
      <x:c r="U58" s="177"/>
      <x:c r="V58" s="177"/>
      <x:c r="W58" s="177"/>
      <x:c r="X58" s="177"/>
      <x:c r="Y58" s="177"/>
      <x:c r="Z58" s="177"/>
    </x:row>
    <x:row r="59">
      <x:c r="A59" s="177"/>
      <x:c r="B59" s="177"/>
      <x:c r="C59" s="177"/>
      <x:c r="D59" s="177"/>
      <x:c r="E59" s="177"/>
      <x:c r="F59" s="177"/>
      <x:c r="G59" s="177"/>
      <x:c r="H59" s="177"/>
      <x:c r="I59" s="177"/>
      <x:c r="J59" s="177"/>
      <x:c r="K59" s="177"/>
      <x:c r="L59" s="177"/>
      <x:c r="M59" s="177"/>
      <x:c r="N59" s="177"/>
      <x:c r="O59" s="177"/>
      <x:c r="P59" s="177"/>
      <x:c r="Q59" s="177"/>
      <x:c r="R59" s="177"/>
      <x:c r="S59" s="177"/>
      <x:c r="T59" s="177"/>
      <x:c r="U59" s="177"/>
      <x:c r="V59" s="177"/>
      <x:c r="W59" s="177"/>
      <x:c r="X59" s="177"/>
      <x:c r="Y59" s="177"/>
      <x:c r="Z59" s="177"/>
    </x:row>
    <x:row r="60">
      <x:c r="A60" s="177"/>
      <x:c r="B60" s="177"/>
      <x:c r="C60" s="177"/>
      <x:c r="D60" s="177"/>
      <x:c r="E60" s="177"/>
      <x:c r="F60" s="177"/>
      <x:c r="G60" s="177"/>
      <x:c r="H60" s="177"/>
      <x:c r="I60" s="177"/>
      <x:c r="J60" s="177"/>
      <x:c r="K60" s="177"/>
      <x:c r="L60" s="177"/>
      <x:c r="M60" s="177"/>
      <x:c r="N60" s="177"/>
      <x:c r="O60" s="177"/>
      <x:c r="P60" s="177"/>
      <x:c r="Q60" s="177"/>
      <x:c r="R60" s="177"/>
      <x:c r="S60" s="177"/>
      <x:c r="T60" s="177"/>
      <x:c r="U60" s="177"/>
      <x:c r="V60" s="177"/>
      <x:c r="W60" s="177"/>
      <x:c r="X60" s="177"/>
      <x:c r="Y60" s="177"/>
      <x:c r="Z60" s="177"/>
    </x:row>
    <x:row r="61">
      <x:c r="A61" s="177"/>
      <x:c r="B61" s="177"/>
      <x:c r="C61" s="177"/>
      <x:c r="D61" s="177"/>
      <x:c r="E61" s="177"/>
      <x:c r="F61" s="177"/>
      <x:c r="G61" s="177"/>
      <x:c r="H61" s="177"/>
      <x:c r="I61" s="177"/>
      <x:c r="J61" s="177"/>
      <x:c r="K61" s="177"/>
      <x:c r="L61" s="177"/>
      <x:c r="M61" s="177"/>
      <x:c r="N61" s="177"/>
      <x:c r="O61" s="177"/>
      <x:c r="P61" s="177"/>
      <x:c r="Q61" s="177"/>
      <x:c r="R61" s="177"/>
      <x:c r="S61" s="177"/>
      <x:c r="T61" s="177"/>
      <x:c r="U61" s="177"/>
      <x:c r="V61" s="177"/>
      <x:c r="W61" s="177"/>
      <x:c r="X61" s="177"/>
      <x:c r="Y61" s="177"/>
      <x:c r="Z61" s="177"/>
    </x:row>
    <x:row r="62">
      <x:c r="A62" s="177"/>
      <x:c r="B62" s="177"/>
      <x:c r="C62" s="177"/>
      <x:c r="D62" s="177"/>
      <x:c r="E62" s="177"/>
      <x:c r="F62" s="177"/>
      <x:c r="G62" s="177"/>
      <x:c r="H62" s="177"/>
      <x:c r="I62" s="177"/>
      <x:c r="J62" s="177"/>
      <x:c r="K62" s="177"/>
      <x:c r="L62" s="177"/>
      <x:c r="M62" s="177"/>
      <x:c r="N62" s="177"/>
      <x:c r="O62" s="177"/>
      <x:c r="P62" s="177"/>
      <x:c r="Q62" s="177"/>
      <x:c r="R62" s="177"/>
      <x:c r="S62" s="177"/>
      <x:c r="T62" s="177"/>
      <x:c r="U62" s="177"/>
      <x:c r="V62" s="177"/>
      <x:c r="W62" s="177"/>
      <x:c r="X62" s="177"/>
      <x:c r="Y62" s="177"/>
      <x:c r="Z62" s="177"/>
    </x:row>
    <x:row r="63">
      <x:c r="A63" s="177"/>
      <x:c r="B63" s="177"/>
      <x:c r="C63" s="177"/>
      <x:c r="D63" s="177"/>
      <x:c r="E63" s="177"/>
      <x:c r="F63" s="177"/>
      <x:c r="G63" s="177"/>
      <x:c r="H63" s="177"/>
      <x:c r="I63" s="177"/>
      <x:c r="J63" s="177"/>
      <x:c r="K63" s="177"/>
      <x:c r="L63" s="177"/>
      <x:c r="M63" s="177"/>
      <x:c r="N63" s="177"/>
      <x:c r="O63" s="177"/>
      <x:c r="P63" s="177"/>
      <x:c r="Q63" s="177"/>
      <x:c r="R63" s="177"/>
      <x:c r="S63" s="177"/>
      <x:c r="T63" s="177"/>
      <x:c r="U63" s="177"/>
      <x:c r="V63" s="177"/>
      <x:c r="W63" s="177"/>
      <x:c r="X63" s="177"/>
      <x:c r="Y63" s="177"/>
      <x:c r="Z63" s="177"/>
    </x:row>
    <x:row r="64">
      <x:c r="A64" s="177"/>
      <x:c r="B64" s="177"/>
      <x:c r="C64" s="177"/>
      <x:c r="D64" s="177"/>
      <x:c r="E64" s="177"/>
      <x:c r="F64" s="177"/>
      <x:c r="G64" s="177"/>
      <x:c r="H64" s="177"/>
      <x:c r="I64" s="177"/>
      <x:c r="J64" s="177"/>
      <x:c r="K64" s="177"/>
      <x:c r="L64" s="177"/>
      <x:c r="M64" s="177"/>
      <x:c r="N64" s="177"/>
      <x:c r="O64" s="177"/>
      <x:c r="P64" s="177"/>
      <x:c r="Q64" s="177"/>
      <x:c r="R64" s="177"/>
      <x:c r="S64" s="177"/>
      <x:c r="T64" s="177"/>
      <x:c r="U64" s="177"/>
      <x:c r="V64" s="177"/>
      <x:c r="W64" s="177"/>
      <x:c r="X64" s="177"/>
      <x:c r="Y64" s="177"/>
      <x:c r="Z64" s="177"/>
    </x:row>
    <x:row r="65">
      <x:c r="A65" s="177"/>
      <x:c r="B65" s="177"/>
      <x:c r="C65" s="177"/>
      <x:c r="D65" s="177"/>
      <x:c r="E65" s="177"/>
      <x:c r="F65" s="177"/>
      <x:c r="G65" s="177"/>
      <x:c r="H65" s="177"/>
      <x:c r="I65" s="177"/>
      <x:c r="J65" s="177"/>
      <x:c r="K65" s="177"/>
      <x:c r="L65" s="177"/>
      <x:c r="M65" s="177"/>
      <x:c r="N65" s="177"/>
      <x:c r="O65" s="177"/>
      <x:c r="P65" s="177"/>
      <x:c r="Q65" s="177"/>
      <x:c r="R65" s="177"/>
      <x:c r="S65" s="177"/>
      <x:c r="T65" s="177"/>
      <x:c r="U65" s="177"/>
      <x:c r="V65" s="177"/>
      <x:c r="W65" s="177"/>
      <x:c r="X65" s="177"/>
      <x:c r="Y65" s="177"/>
      <x:c r="Z65" s="177"/>
    </x:row>
    <x:row r="66">
      <x:c r="A66" s="177"/>
      <x:c r="B66" s="177"/>
      <x:c r="C66" s="177"/>
      <x:c r="D66" s="177"/>
      <x:c r="E66" s="177"/>
      <x:c r="F66" s="177"/>
      <x:c r="G66" s="177"/>
      <x:c r="H66" s="177"/>
      <x:c r="I66" s="177"/>
      <x:c r="J66" s="177"/>
      <x:c r="K66" s="177"/>
      <x:c r="L66" s="177"/>
      <x:c r="M66" s="177"/>
      <x:c r="N66" s="177"/>
      <x:c r="O66" s="177"/>
      <x:c r="P66" s="177"/>
      <x:c r="Q66" s="177"/>
      <x:c r="R66" s="177"/>
      <x:c r="S66" s="177"/>
      <x:c r="T66" s="177"/>
      <x:c r="U66" s="177"/>
      <x:c r="V66" s="177"/>
      <x:c r="W66" s="177"/>
      <x:c r="X66" s="177"/>
      <x:c r="Y66" s="177"/>
      <x:c r="Z66" s="177"/>
    </x:row>
    <x:row r="67">
      <x:c r="A67" s="177"/>
      <x:c r="B67" s="177"/>
      <x:c r="C67" s="177"/>
      <x:c r="D67" s="177"/>
      <x:c r="E67" s="177"/>
      <x:c r="F67" s="177"/>
      <x:c r="G67" s="177"/>
      <x:c r="H67" s="177"/>
      <x:c r="I67" s="177"/>
      <x:c r="J67" s="177"/>
      <x:c r="K67" s="177"/>
      <x:c r="L67" s="177"/>
      <x:c r="M67" s="177"/>
      <x:c r="N67" s="177"/>
      <x:c r="O67" s="177"/>
      <x:c r="P67" s="177"/>
      <x:c r="Q67" s="177"/>
      <x:c r="R67" s="177"/>
      <x:c r="S67" s="177"/>
      <x:c r="T67" s="177"/>
      <x:c r="U67" s="177"/>
      <x:c r="V67" s="177"/>
      <x:c r="W67" s="177"/>
      <x:c r="X67" s="177"/>
      <x:c r="Y67" s="177"/>
      <x:c r="Z67" s="177"/>
    </x:row>
    <x:row r="68">
      <x:c r="A68" s="177"/>
      <x:c r="B68" s="177"/>
      <x:c r="C68" s="177"/>
      <x:c r="D68" s="177"/>
      <x:c r="E68" s="177"/>
      <x:c r="F68" s="177"/>
      <x:c r="G68" s="177"/>
      <x:c r="H68" s="177"/>
      <x:c r="I68" s="177"/>
      <x:c r="J68" s="177"/>
      <x:c r="K68" s="177"/>
      <x:c r="L68" s="177"/>
      <x:c r="M68" s="177"/>
      <x:c r="N68" s="177"/>
      <x:c r="O68" s="177"/>
      <x:c r="P68" s="177"/>
      <x:c r="Q68" s="177"/>
      <x:c r="R68" s="177"/>
      <x:c r="S68" s="177"/>
      <x:c r="T68" s="177"/>
      <x:c r="U68" s="177"/>
      <x:c r="V68" s="177"/>
      <x:c r="W68" s="177"/>
      <x:c r="X68" s="177"/>
      <x:c r="Y68" s="177"/>
      <x:c r="Z68" s="177"/>
    </x:row>
    <x:row r="69">
      <x:c r="A69" s="177"/>
      <x:c r="B69" s="177"/>
      <x:c r="C69" s="177"/>
      <x:c r="D69" s="177"/>
      <x:c r="E69" s="177"/>
      <x:c r="F69" s="177"/>
      <x:c r="G69" s="177"/>
      <x:c r="H69" s="177"/>
      <x:c r="I69" s="177"/>
      <x:c r="J69" s="177"/>
      <x:c r="K69" s="177"/>
      <x:c r="L69" s="177"/>
      <x:c r="M69" s="177"/>
      <x:c r="N69" s="177"/>
      <x:c r="O69" s="177"/>
      <x:c r="P69" s="177"/>
      <x:c r="Q69" s="177"/>
      <x:c r="R69" s="177"/>
      <x:c r="S69" s="177"/>
      <x:c r="T69" s="177"/>
      <x:c r="U69" s="177"/>
      <x:c r="V69" s="177"/>
      <x:c r="W69" s="177"/>
      <x:c r="X69" s="177"/>
      <x:c r="Y69" s="177"/>
      <x:c r="Z69" s="177"/>
    </x:row>
    <x:row r="70">
      <x:c r="A70" s="177"/>
      <x:c r="B70" s="177"/>
      <x:c r="C70" s="177"/>
      <x:c r="D70" s="177"/>
      <x:c r="E70" s="177"/>
      <x:c r="F70" s="177"/>
      <x:c r="G70" s="177"/>
      <x:c r="H70" s="177"/>
      <x:c r="I70" s="177"/>
      <x:c r="J70" s="177"/>
      <x:c r="K70" s="177"/>
      <x:c r="L70" s="177"/>
      <x:c r="M70" s="177"/>
      <x:c r="N70" s="177"/>
      <x:c r="O70" s="177"/>
      <x:c r="P70" s="177"/>
      <x:c r="Q70" s="177"/>
      <x:c r="R70" s="177"/>
      <x:c r="S70" s="177"/>
      <x:c r="T70" s="177"/>
      <x:c r="U70" s="177"/>
      <x:c r="V70" s="177"/>
      <x:c r="W70" s="177"/>
      <x:c r="X70" s="177"/>
      <x:c r="Y70" s="177"/>
      <x:c r="Z70" s="177"/>
    </x:row>
    <x:row r="71">
      <x:c r="A71" s="177"/>
      <x:c r="B71" s="177"/>
      <x:c r="C71" s="177"/>
      <x:c r="D71" s="177"/>
      <x:c r="E71" s="177"/>
      <x:c r="F71" s="177"/>
      <x:c r="G71" s="177"/>
      <x:c r="H71" s="177"/>
      <x:c r="I71" s="177"/>
      <x:c r="J71" s="177"/>
      <x:c r="K71" s="177"/>
      <x:c r="L71" s="177"/>
      <x:c r="M71" s="177"/>
      <x:c r="N71" s="177"/>
      <x:c r="O71" s="177"/>
      <x:c r="P71" s="177"/>
      <x:c r="Q71" s="177"/>
      <x:c r="R71" s="177"/>
      <x:c r="S71" s="177"/>
      <x:c r="T71" s="177"/>
      <x:c r="U71" s="177"/>
      <x:c r="V71" s="177"/>
      <x:c r="W71" s="177"/>
      <x:c r="X71" s="177"/>
      <x:c r="Y71" s="177"/>
      <x:c r="Z71" s="177"/>
    </x:row>
    <x:row r="72">
      <x:c r="A72" s="177"/>
      <x:c r="B72" s="177"/>
      <x:c r="C72" s="177"/>
      <x:c r="D72" s="177"/>
      <x:c r="E72" s="177"/>
      <x:c r="F72" s="177"/>
      <x:c r="G72" s="177"/>
      <x:c r="H72" s="177"/>
      <x:c r="I72" s="177"/>
      <x:c r="J72" s="177"/>
      <x:c r="K72" s="177"/>
      <x:c r="L72" s="177"/>
      <x:c r="M72" s="177"/>
      <x:c r="N72" s="177"/>
      <x:c r="O72" s="177"/>
      <x:c r="P72" s="177"/>
      <x:c r="Q72" s="177"/>
      <x:c r="R72" s="177"/>
      <x:c r="S72" s="177"/>
      <x:c r="T72" s="177"/>
      <x:c r="U72" s="177"/>
      <x:c r="V72" s="177"/>
      <x:c r="W72" s="177"/>
      <x:c r="X72" s="177"/>
      <x:c r="Y72" s="177"/>
      <x:c r="Z72" s="177"/>
    </x:row>
    <x:row r="73">
      <x:c r="A73" s="177"/>
      <x:c r="B73" s="177"/>
      <x:c r="C73" s="177"/>
      <x:c r="D73" s="177"/>
      <x:c r="E73" s="177"/>
      <x:c r="F73" s="177"/>
      <x:c r="G73" s="177"/>
      <x:c r="H73" s="177"/>
      <x:c r="I73" s="177"/>
      <x:c r="J73" s="177"/>
      <x:c r="K73" s="177"/>
      <x:c r="L73" s="177"/>
      <x:c r="M73" s="177"/>
      <x:c r="N73" s="177"/>
      <x:c r="O73" s="177"/>
      <x:c r="P73" s="177"/>
      <x:c r="Q73" s="177"/>
      <x:c r="R73" s="177"/>
      <x:c r="S73" s="177"/>
      <x:c r="T73" s="177"/>
      <x:c r="U73" s="177"/>
      <x:c r="V73" s="177"/>
      <x:c r="W73" s="177"/>
      <x:c r="X73" s="177"/>
      <x:c r="Y73" s="177"/>
      <x:c r="Z73" s="177"/>
    </x:row>
    <x:row r="74">
      <x:c r="A74" s="177"/>
      <x:c r="B74" s="177"/>
      <x:c r="C74" s="177"/>
      <x:c r="D74" s="177"/>
      <x:c r="E74" s="177"/>
      <x:c r="F74" s="177"/>
      <x:c r="G74" s="177"/>
      <x:c r="H74" s="177"/>
      <x:c r="I74" s="177"/>
      <x:c r="J74" s="177"/>
      <x:c r="K74" s="177"/>
      <x:c r="L74" s="177"/>
      <x:c r="M74" s="177"/>
      <x:c r="N74" s="177"/>
      <x:c r="O74" s="177"/>
      <x:c r="P74" s="177"/>
      <x:c r="Q74" s="177"/>
      <x:c r="R74" s="177"/>
      <x:c r="S74" s="177"/>
      <x:c r="T74" s="177"/>
      <x:c r="U74" s="177"/>
      <x:c r="V74" s="177"/>
      <x:c r="W74" s="177"/>
      <x:c r="X74" s="177"/>
      <x:c r="Y74" s="177"/>
      <x:c r="Z74" s="177"/>
    </x:row>
    <x:row r="75">
      <x:c r="A75" s="177"/>
      <x:c r="B75" s="177"/>
      <x:c r="C75" s="177"/>
      <x:c r="D75" s="177"/>
      <x:c r="E75" s="177"/>
      <x:c r="F75" s="177"/>
      <x:c r="G75" s="177"/>
      <x:c r="H75" s="177"/>
      <x:c r="I75" s="177"/>
      <x:c r="J75" s="177"/>
      <x:c r="K75" s="177"/>
      <x:c r="L75" s="177"/>
      <x:c r="M75" s="177"/>
      <x:c r="N75" s="177"/>
      <x:c r="O75" s="177"/>
      <x:c r="P75" s="177"/>
      <x:c r="Q75" s="177"/>
      <x:c r="R75" s="177"/>
      <x:c r="S75" s="177"/>
      <x:c r="T75" s="177"/>
      <x:c r="U75" s="177"/>
      <x:c r="V75" s="177"/>
      <x:c r="W75" s="177"/>
      <x:c r="X75" s="177"/>
      <x:c r="Y75" s="177"/>
      <x:c r="Z75" s="177"/>
    </x:row>
    <x:row r="76">
      <x:c r="A76" s="177"/>
      <x:c r="B76" s="177"/>
      <x:c r="C76" s="177"/>
      <x:c r="D76" s="177"/>
      <x:c r="E76" s="177"/>
      <x:c r="F76" s="177"/>
      <x:c r="G76" s="177"/>
      <x:c r="H76" s="177"/>
      <x:c r="I76" s="177"/>
      <x:c r="J76" s="177"/>
      <x:c r="K76" s="177"/>
      <x:c r="L76" s="177"/>
      <x:c r="M76" s="177"/>
      <x:c r="N76" s="177"/>
      <x:c r="O76" s="177"/>
      <x:c r="P76" s="177"/>
      <x:c r="Q76" s="177"/>
      <x:c r="R76" s="177"/>
      <x:c r="S76" s="177"/>
      <x:c r="T76" s="177"/>
      <x:c r="U76" s="177"/>
      <x:c r="V76" s="177"/>
      <x:c r="W76" s="177"/>
      <x:c r="X76" s="177"/>
      <x:c r="Y76" s="177"/>
      <x:c r="Z76" s="177"/>
    </x:row>
    <x:row r="77">
      <x:c r="A77" s="177"/>
      <x:c r="B77" s="177"/>
      <x:c r="C77" s="177"/>
      <x:c r="D77" s="177"/>
      <x:c r="E77" s="177"/>
      <x:c r="F77" s="177"/>
      <x:c r="G77" s="177"/>
      <x:c r="H77" s="177"/>
      <x:c r="I77" s="177"/>
      <x:c r="J77" s="177"/>
      <x:c r="K77" s="177"/>
      <x:c r="L77" s="177"/>
      <x:c r="M77" s="177"/>
      <x:c r="N77" s="177"/>
      <x:c r="O77" s="177"/>
      <x:c r="P77" s="177"/>
      <x:c r="Q77" s="177"/>
      <x:c r="R77" s="177"/>
      <x:c r="S77" s="177"/>
      <x:c r="T77" s="177"/>
      <x:c r="U77" s="177"/>
      <x:c r="V77" s="177"/>
      <x:c r="W77" s="177"/>
      <x:c r="X77" s="177"/>
      <x:c r="Y77" s="177"/>
      <x:c r="Z77" s="177"/>
    </x:row>
    <x:row r="78">
      <x:c r="A78" s="177"/>
      <x:c r="B78" s="177"/>
      <x:c r="C78" s="177"/>
      <x:c r="D78" s="177"/>
      <x:c r="E78" s="177"/>
      <x:c r="F78" s="177"/>
      <x:c r="G78" s="177"/>
      <x:c r="H78" s="177"/>
      <x:c r="I78" s="177"/>
      <x:c r="J78" s="177"/>
      <x:c r="K78" s="177"/>
      <x:c r="L78" s="177"/>
      <x:c r="M78" s="177"/>
      <x:c r="N78" s="177"/>
      <x:c r="O78" s="177"/>
      <x:c r="P78" s="177"/>
      <x:c r="Q78" s="177"/>
      <x:c r="R78" s="177"/>
      <x:c r="S78" s="177"/>
      <x:c r="T78" s="177"/>
      <x:c r="U78" s="177"/>
      <x:c r="V78" s="177"/>
      <x:c r="W78" s="177"/>
      <x:c r="X78" s="177"/>
      <x:c r="Y78" s="177"/>
      <x:c r="Z78" s="177"/>
    </x:row>
    <x:row r="79">
      <x:c r="A79" s="177"/>
      <x:c r="B79" s="177"/>
      <x:c r="C79" s="177"/>
      <x:c r="D79" s="177"/>
      <x:c r="E79" s="177"/>
      <x:c r="F79" s="177"/>
      <x:c r="G79" s="177"/>
      <x:c r="H79" s="177"/>
      <x:c r="I79" s="177"/>
      <x:c r="J79" s="177"/>
      <x:c r="K79" s="177"/>
      <x:c r="L79" s="177"/>
      <x:c r="M79" s="177"/>
      <x:c r="N79" s="177"/>
      <x:c r="O79" s="177"/>
      <x:c r="P79" s="177"/>
      <x:c r="Q79" s="177"/>
      <x:c r="R79" s="177"/>
      <x:c r="S79" s="177"/>
      <x:c r="T79" s="177"/>
      <x:c r="U79" s="177"/>
      <x:c r="V79" s="177"/>
      <x:c r="W79" s="177"/>
      <x:c r="X79" s="177"/>
      <x:c r="Y79" s="177"/>
      <x:c r="Z79" s="177"/>
    </x:row>
    <x:row r="80">
      <x:c r="A80" s="177"/>
      <x:c r="B80" s="177"/>
      <x:c r="C80" s="177"/>
      <x:c r="D80" s="177"/>
      <x:c r="E80" s="177"/>
      <x:c r="F80" s="177"/>
      <x:c r="G80" s="177"/>
      <x:c r="H80" s="177"/>
      <x:c r="I80" s="177"/>
      <x:c r="J80" s="177"/>
      <x:c r="K80" s="177"/>
      <x:c r="L80" s="177"/>
      <x:c r="M80" s="177"/>
      <x:c r="N80" s="177"/>
      <x:c r="O80" s="177"/>
      <x:c r="P80" s="177"/>
      <x:c r="Q80" s="177"/>
      <x:c r="R80" s="177"/>
      <x:c r="S80" s="177"/>
      <x:c r="T80" s="177"/>
      <x:c r="U80" s="177"/>
      <x:c r="V80" s="177"/>
      <x:c r="W80" s="177"/>
      <x:c r="X80" s="177"/>
      <x:c r="Y80" s="177"/>
      <x:c r="Z80" s="177"/>
    </x:row>
    <x:row r="81">
      <x:c r="A81" s="177"/>
      <x:c r="B81" s="177"/>
      <x:c r="C81" s="177"/>
      <x:c r="D81" s="177"/>
      <x:c r="E81" s="177"/>
      <x:c r="F81" s="177"/>
      <x:c r="G81" s="177"/>
      <x:c r="H81" s="177"/>
      <x:c r="I81" s="177"/>
      <x:c r="J81" s="177"/>
      <x:c r="K81" s="177"/>
      <x:c r="L81" s="177"/>
      <x:c r="M81" s="177"/>
      <x:c r="N81" s="177"/>
      <x:c r="O81" s="177"/>
      <x:c r="P81" s="177"/>
      <x:c r="Q81" s="177"/>
      <x:c r="R81" s="177"/>
      <x:c r="S81" s="177"/>
      <x:c r="T81" s="177"/>
      <x:c r="U81" s="177"/>
      <x:c r="V81" s="177"/>
      <x:c r="W81" s="177"/>
      <x:c r="X81" s="177"/>
      <x:c r="Y81" s="177"/>
      <x:c r="Z81" s="177"/>
    </x:row>
    <x:row r="82">
      <x:c r="A82" s="177"/>
      <x:c r="B82" s="177"/>
      <x:c r="C82" s="177"/>
      <x:c r="D82" s="177"/>
      <x:c r="E82" s="177"/>
      <x:c r="F82" s="177"/>
      <x:c r="G82" s="177"/>
      <x:c r="H82" s="177"/>
      <x:c r="I82" s="177"/>
      <x:c r="J82" s="177"/>
      <x:c r="K82" s="177"/>
      <x:c r="L82" s="177"/>
      <x:c r="M82" s="177"/>
      <x:c r="N82" s="177"/>
      <x:c r="O82" s="177"/>
      <x:c r="P82" s="177"/>
      <x:c r="Q82" s="177"/>
      <x:c r="R82" s="177"/>
      <x:c r="S82" s="177"/>
      <x:c r="T82" s="177"/>
      <x:c r="U82" s="177"/>
      <x:c r="V82" s="177"/>
      <x:c r="W82" s="177"/>
      <x:c r="X82" s="177"/>
      <x:c r="Y82" s="177"/>
      <x:c r="Z82" s="177"/>
    </x:row>
    <x:row r="83">
      <x:c r="A83" s="177"/>
      <x:c r="B83" s="177"/>
      <x:c r="C83" s="177"/>
      <x:c r="D83" s="177"/>
      <x:c r="E83" s="177"/>
      <x:c r="F83" s="177"/>
      <x:c r="G83" s="177"/>
      <x:c r="H83" s="177"/>
      <x:c r="I83" s="177"/>
      <x:c r="J83" s="177"/>
      <x:c r="K83" s="177"/>
      <x:c r="L83" s="177"/>
      <x:c r="M83" s="177"/>
      <x:c r="N83" s="177"/>
      <x:c r="O83" s="177"/>
      <x:c r="P83" s="177"/>
      <x:c r="Q83" s="177"/>
      <x:c r="R83" s="177"/>
      <x:c r="S83" s="177"/>
      <x:c r="T83" s="177"/>
      <x:c r="U83" s="177"/>
      <x:c r="V83" s="177"/>
      <x:c r="W83" s="177"/>
      <x:c r="X83" s="177"/>
      <x:c r="Y83" s="177"/>
      <x:c r="Z83" s="177"/>
    </x:row>
    <x:row r="84">
      <x:c r="A84" s="177"/>
      <x:c r="B84" s="177"/>
      <x:c r="C84" s="177"/>
      <x:c r="D84" s="177"/>
      <x:c r="E84" s="177"/>
      <x:c r="F84" s="177"/>
      <x:c r="G84" s="177"/>
      <x:c r="H84" s="177"/>
      <x:c r="I84" s="177"/>
      <x:c r="J84" s="177"/>
      <x:c r="K84" s="177"/>
      <x:c r="L84" s="177"/>
      <x:c r="M84" s="177"/>
      <x:c r="N84" s="177"/>
      <x:c r="O84" s="177"/>
      <x:c r="P84" s="177"/>
      <x:c r="Q84" s="177"/>
      <x:c r="R84" s="177"/>
      <x:c r="S84" s="177"/>
      <x:c r="T84" s="177"/>
      <x:c r="U84" s="177"/>
      <x:c r="V84" s="177"/>
      <x:c r="W84" s="177"/>
      <x:c r="X84" s="177"/>
      <x:c r="Y84" s="177"/>
      <x:c r="Z84" s="177"/>
    </x:row>
    <x:row r="85">
      <x:c r="A85" s="177"/>
      <x:c r="B85" s="177"/>
      <x:c r="C85" s="177"/>
      <x:c r="D85" s="177"/>
      <x:c r="E85" s="177"/>
      <x:c r="F85" s="177"/>
      <x:c r="G85" s="177"/>
      <x:c r="H85" s="177"/>
      <x:c r="I85" s="177"/>
      <x:c r="J85" s="177"/>
      <x:c r="K85" s="177"/>
      <x:c r="L85" s="177"/>
      <x:c r="M85" s="177"/>
      <x:c r="N85" s="177"/>
      <x:c r="O85" s="177"/>
      <x:c r="P85" s="177"/>
      <x:c r="Q85" s="177"/>
      <x:c r="R85" s="177"/>
      <x:c r="S85" s="177"/>
      <x:c r="T85" s="177"/>
      <x:c r="U85" s="177"/>
      <x:c r="V85" s="177"/>
      <x:c r="W85" s="177"/>
      <x:c r="X85" s="177"/>
      <x:c r="Y85" s="177"/>
      <x:c r="Z85" s="177"/>
    </x:row>
    <x:row r="86">
      <x:c r="A86" s="177"/>
      <x:c r="B86" s="177"/>
      <x:c r="C86" s="177"/>
      <x:c r="D86" s="177"/>
      <x:c r="E86" s="177"/>
      <x:c r="F86" s="177"/>
      <x:c r="G86" s="177"/>
      <x:c r="H86" s="177"/>
      <x:c r="I86" s="177"/>
      <x:c r="J86" s="177"/>
      <x:c r="K86" s="177"/>
      <x:c r="L86" s="177"/>
      <x:c r="M86" s="177"/>
      <x:c r="N86" s="177"/>
      <x:c r="O86" s="177"/>
      <x:c r="P86" s="177"/>
      <x:c r="Q86" s="177"/>
      <x:c r="R86" s="177"/>
      <x:c r="S86" s="177"/>
      <x:c r="T86" s="177"/>
      <x:c r="U86" s="177"/>
      <x:c r="V86" s="177"/>
      <x:c r="W86" s="177"/>
      <x:c r="X86" s="177"/>
      <x:c r="Y86" s="177"/>
      <x:c r="Z86" s="177"/>
    </x:row>
    <x:row r="87">
      <x:c r="A87" s="177"/>
      <x:c r="B87" s="177"/>
      <x:c r="C87" s="177"/>
      <x:c r="D87" s="177"/>
      <x:c r="E87" s="177"/>
      <x:c r="F87" s="177"/>
      <x:c r="G87" s="177"/>
      <x:c r="H87" s="177"/>
      <x:c r="I87" s="177"/>
      <x:c r="J87" s="177"/>
      <x:c r="K87" s="177"/>
      <x:c r="L87" s="177"/>
      <x:c r="M87" s="177"/>
      <x:c r="N87" s="177"/>
      <x:c r="O87" s="177"/>
      <x:c r="P87" s="177"/>
      <x:c r="Q87" s="177"/>
      <x:c r="R87" s="177"/>
      <x:c r="S87" s="177"/>
      <x:c r="T87" s="177"/>
      <x:c r="U87" s="177"/>
      <x:c r="V87" s="177"/>
      <x:c r="W87" s="177"/>
      <x:c r="X87" s="177"/>
      <x:c r="Y87" s="177"/>
      <x:c r="Z87" s="177"/>
    </x:row>
    <x:row r="88">
      <x:c r="A88" s="177"/>
      <x:c r="B88" s="177"/>
      <x:c r="C88" s="177"/>
      <x:c r="D88" s="177"/>
      <x:c r="E88" s="177"/>
      <x:c r="F88" s="177"/>
      <x:c r="G88" s="177"/>
      <x:c r="H88" s="177"/>
      <x:c r="I88" s="177"/>
      <x:c r="J88" s="177"/>
      <x:c r="K88" s="177"/>
      <x:c r="L88" s="177"/>
      <x:c r="M88" s="177"/>
      <x:c r="N88" s="177"/>
      <x:c r="O88" s="177"/>
      <x:c r="P88" s="177"/>
      <x:c r="Q88" s="177"/>
      <x:c r="R88" s="177"/>
      <x:c r="S88" s="177"/>
      <x:c r="T88" s="177"/>
      <x:c r="U88" s="177"/>
      <x:c r="V88" s="177"/>
      <x:c r="W88" s="177"/>
      <x:c r="X88" s="177"/>
      <x:c r="Y88" s="177"/>
      <x:c r="Z88" s="177"/>
    </x:row>
    <x:row r="89">
      <x:c r="A89" s="177"/>
      <x:c r="B89" s="177"/>
      <x:c r="C89" s="177"/>
      <x:c r="D89" s="177"/>
      <x:c r="E89" s="177"/>
      <x:c r="F89" s="177"/>
      <x:c r="G89" s="177"/>
      <x:c r="H89" s="177"/>
      <x:c r="I89" s="177"/>
      <x:c r="J89" s="177"/>
      <x:c r="K89" s="177"/>
      <x:c r="L89" s="177"/>
      <x:c r="M89" s="177"/>
      <x:c r="N89" s="177"/>
      <x:c r="O89" s="177"/>
      <x:c r="P89" s="177"/>
      <x:c r="Q89" s="177"/>
      <x:c r="R89" s="177"/>
      <x:c r="S89" s="177"/>
      <x:c r="T89" s="177"/>
      <x:c r="U89" s="177"/>
      <x:c r="V89" s="177"/>
      <x:c r="W89" s="177"/>
      <x:c r="X89" s="177"/>
      <x:c r="Y89" s="177"/>
      <x:c r="Z89" s="177"/>
    </x:row>
    <x:row r="90">
      <x:c r="A90" s="177"/>
      <x:c r="B90" s="177"/>
      <x:c r="C90" s="177"/>
      <x:c r="D90" s="177"/>
      <x:c r="E90" s="177"/>
      <x:c r="F90" s="177"/>
      <x:c r="G90" s="177"/>
      <x:c r="H90" s="177"/>
      <x:c r="I90" s="177"/>
      <x:c r="J90" s="177"/>
      <x:c r="K90" s="177"/>
      <x:c r="L90" s="177"/>
      <x:c r="M90" s="177"/>
      <x:c r="N90" s="177"/>
      <x:c r="O90" s="177"/>
      <x:c r="P90" s="177"/>
      <x:c r="Q90" s="177"/>
      <x:c r="R90" s="177"/>
      <x:c r="S90" s="177"/>
      <x:c r="T90" s="177"/>
      <x:c r="U90" s="177"/>
      <x:c r="V90" s="177"/>
      <x:c r="W90" s="177"/>
      <x:c r="X90" s="177"/>
      <x:c r="Y90" s="177"/>
      <x:c r="Z90" s="177"/>
    </x:row>
    <x:row r="91">
      <x:c r="A91" s="177"/>
      <x:c r="B91" s="177"/>
      <x:c r="C91" s="177"/>
      <x:c r="D91" s="177"/>
      <x:c r="E91" s="177"/>
      <x:c r="F91" s="177"/>
      <x:c r="G91" s="177"/>
      <x:c r="H91" s="177"/>
      <x:c r="I91" s="177"/>
      <x:c r="J91" s="177"/>
      <x:c r="K91" s="177"/>
      <x:c r="L91" s="177"/>
      <x:c r="M91" s="177"/>
      <x:c r="N91" s="177"/>
      <x:c r="O91" s="177"/>
      <x:c r="P91" s="177"/>
      <x:c r="Q91" s="177"/>
      <x:c r="R91" s="177"/>
      <x:c r="S91" s="177"/>
      <x:c r="T91" s="177"/>
      <x:c r="U91" s="177"/>
      <x:c r="V91" s="177"/>
      <x:c r="W91" s="177"/>
      <x:c r="X91" s="177"/>
      <x:c r="Y91" s="177"/>
      <x:c r="Z91" s="177"/>
    </x:row>
    <x:row r="92">
      <x:c r="A92" s="177"/>
      <x:c r="B92" s="177"/>
      <x:c r="C92" s="177"/>
      <x:c r="D92" s="177"/>
      <x:c r="E92" s="177"/>
      <x:c r="F92" s="177"/>
      <x:c r="G92" s="177"/>
      <x:c r="H92" s="177"/>
      <x:c r="I92" s="177"/>
      <x:c r="J92" s="177"/>
      <x:c r="K92" s="177"/>
      <x:c r="L92" s="177"/>
      <x:c r="M92" s="177"/>
      <x:c r="N92" s="177"/>
      <x:c r="O92" s="177"/>
      <x:c r="P92" s="177"/>
      <x:c r="Q92" s="177"/>
      <x:c r="R92" s="177"/>
      <x:c r="S92" s="177"/>
      <x:c r="T92" s="177"/>
      <x:c r="U92" s="177"/>
      <x:c r="V92" s="177"/>
      <x:c r="W92" s="177"/>
      <x:c r="X92" s="177"/>
      <x:c r="Y92" s="177"/>
      <x:c r="Z92" s="177"/>
    </x:row>
    <x:row r="93">
      <x:c r="A93" s="177"/>
      <x:c r="B93" s="177"/>
      <x:c r="C93" s="177"/>
      <x:c r="D93" s="177"/>
      <x:c r="E93" s="177"/>
      <x:c r="F93" s="177"/>
      <x:c r="G93" s="177"/>
      <x:c r="H93" s="177"/>
      <x:c r="I93" s="177"/>
      <x:c r="J93" s="177"/>
      <x:c r="K93" s="177"/>
      <x:c r="L93" s="177"/>
      <x:c r="M93" s="177"/>
      <x:c r="N93" s="177"/>
      <x:c r="O93" s="177"/>
      <x:c r="P93" s="177"/>
      <x:c r="Q93" s="177"/>
      <x:c r="R93" s="177"/>
      <x:c r="S93" s="177"/>
      <x:c r="T93" s="177"/>
      <x:c r="U93" s="177"/>
      <x:c r="V93" s="177"/>
      <x:c r="W93" s="177"/>
      <x:c r="X93" s="177"/>
      <x:c r="Y93" s="177"/>
      <x:c r="Z93" s="177"/>
    </x:row>
    <x:row r="94">
      <x:c r="A94" s="177"/>
      <x:c r="B94" s="177"/>
      <x:c r="C94" s="177"/>
      <x:c r="D94" s="177"/>
      <x:c r="E94" s="177"/>
      <x:c r="F94" s="177"/>
      <x:c r="G94" s="177"/>
      <x:c r="H94" s="177"/>
      <x:c r="I94" s="177"/>
      <x:c r="J94" s="177"/>
      <x:c r="K94" s="177"/>
      <x:c r="L94" s="177"/>
      <x:c r="M94" s="177"/>
      <x:c r="N94" s="177"/>
      <x:c r="O94" s="177"/>
      <x:c r="P94" s="177"/>
      <x:c r="Q94" s="177"/>
      <x:c r="R94" s="177"/>
      <x:c r="S94" s="177"/>
      <x:c r="T94" s="177"/>
      <x:c r="U94" s="177"/>
      <x:c r="V94" s="177"/>
      <x:c r="W94" s="177"/>
      <x:c r="X94" s="177"/>
      <x:c r="Y94" s="177"/>
      <x:c r="Z94" s="177"/>
    </x:row>
    <x:row r="95">
      <x:c r="A95" s="177"/>
      <x:c r="B95" s="177"/>
      <x:c r="C95" s="177"/>
      <x:c r="D95" s="177"/>
      <x:c r="E95" s="177"/>
      <x:c r="F95" s="177"/>
      <x:c r="G95" s="177"/>
      <x:c r="H95" s="177"/>
      <x:c r="I95" s="177"/>
      <x:c r="J95" s="177"/>
      <x:c r="K95" s="177"/>
      <x:c r="L95" s="177"/>
      <x:c r="M95" s="177"/>
      <x:c r="N95" s="177"/>
      <x:c r="O95" s="177"/>
      <x:c r="P95" s="177"/>
      <x:c r="Q95" s="177"/>
      <x:c r="R95" s="177"/>
      <x:c r="S95" s="177"/>
      <x:c r="T95" s="177"/>
      <x:c r="U95" s="177"/>
      <x:c r="V95" s="177"/>
      <x:c r="W95" s="177"/>
      <x:c r="X95" s="177"/>
      <x:c r="Y95" s="177"/>
      <x:c r="Z95" s="177"/>
    </x:row>
    <x:row r="96">
      <x:c r="A96" s="177"/>
      <x:c r="B96" s="177"/>
      <x:c r="C96" s="177"/>
      <x:c r="D96" s="177"/>
      <x:c r="E96" s="177"/>
      <x:c r="F96" s="177"/>
      <x:c r="G96" s="177"/>
      <x:c r="H96" s="177"/>
      <x:c r="I96" s="177"/>
      <x:c r="J96" s="177"/>
      <x:c r="K96" s="177"/>
      <x:c r="L96" s="177"/>
      <x:c r="M96" s="177"/>
      <x:c r="N96" s="177"/>
      <x:c r="O96" s="177"/>
      <x:c r="P96" s="177"/>
      <x:c r="Q96" s="177"/>
      <x:c r="R96" s="177"/>
      <x:c r="S96" s="177"/>
      <x:c r="T96" s="177"/>
      <x:c r="U96" s="177"/>
      <x:c r="V96" s="177"/>
      <x:c r="W96" s="177"/>
      <x:c r="X96" s="177"/>
      <x:c r="Y96" s="177"/>
      <x:c r="Z96" s="177"/>
    </x:row>
    <x:row r="97">
      <x:c r="A97" s="177"/>
      <x:c r="B97" s="177"/>
      <x:c r="C97" s="177"/>
      <x:c r="D97" s="177"/>
      <x:c r="E97" s="177"/>
      <x:c r="F97" s="177"/>
      <x:c r="G97" s="177"/>
      <x:c r="H97" s="177"/>
      <x:c r="I97" s="177"/>
      <x:c r="J97" s="177"/>
      <x:c r="K97" s="177"/>
      <x:c r="L97" s="177"/>
      <x:c r="M97" s="177"/>
      <x:c r="N97" s="177"/>
      <x:c r="O97" s="177"/>
      <x:c r="P97" s="177"/>
      <x:c r="Q97" s="177"/>
      <x:c r="R97" s="177"/>
      <x:c r="S97" s="177"/>
      <x:c r="T97" s="177"/>
      <x:c r="U97" s="177"/>
      <x:c r="V97" s="177"/>
      <x:c r="W97" s="177"/>
      <x:c r="X97" s="177"/>
      <x:c r="Y97" s="177"/>
      <x:c r="Z97" s="177"/>
    </x:row>
    <x:row r="98">
      <x:c r="A98" s="177"/>
      <x:c r="B98" s="177"/>
      <x:c r="C98" s="177"/>
      <x:c r="D98" s="177"/>
      <x:c r="E98" s="177"/>
      <x:c r="F98" s="177"/>
      <x:c r="G98" s="177"/>
      <x:c r="H98" s="177"/>
      <x:c r="I98" s="177"/>
      <x:c r="J98" s="177"/>
      <x:c r="K98" s="177"/>
      <x:c r="L98" s="177"/>
      <x:c r="M98" s="177"/>
      <x:c r="N98" s="177"/>
      <x:c r="O98" s="177"/>
      <x:c r="P98" s="177"/>
      <x:c r="Q98" s="177"/>
      <x:c r="R98" s="177"/>
      <x:c r="S98" s="177"/>
      <x:c r="T98" s="177"/>
      <x:c r="U98" s="177"/>
      <x:c r="V98" s="177"/>
      <x:c r="W98" s="177"/>
      <x:c r="X98" s="177"/>
      <x:c r="Y98" s="177"/>
      <x:c r="Z98" s="177"/>
    </x:row>
    <x:row r="99">
      <x:c r="A99" s="177"/>
      <x:c r="B99" s="177"/>
      <x:c r="C99" s="177"/>
      <x:c r="D99" s="177"/>
      <x:c r="E99" s="177"/>
      <x:c r="F99" s="177"/>
      <x:c r="G99" s="177"/>
      <x:c r="H99" s="177"/>
      <x:c r="I99" s="177"/>
      <x:c r="J99" s="177"/>
      <x:c r="K99" s="177"/>
      <x:c r="L99" s="177"/>
      <x:c r="M99" s="177"/>
      <x:c r="N99" s="177"/>
      <x:c r="O99" s="177"/>
      <x:c r="P99" s="177"/>
      <x:c r="Q99" s="177"/>
      <x:c r="R99" s="177"/>
      <x:c r="S99" s="177"/>
      <x:c r="T99" s="177"/>
      <x:c r="U99" s="177"/>
      <x:c r="V99" s="177"/>
      <x:c r="W99" s="177"/>
      <x:c r="X99" s="177"/>
      <x:c r="Y99" s="177"/>
      <x:c r="Z99" s="177"/>
    </x:row>
    <x:row r="100">
      <x:c r="A100" s="177"/>
      <x:c r="B100" s="177"/>
      <x:c r="C100" s="177"/>
      <x:c r="D100" s="177"/>
      <x:c r="E100" s="177"/>
      <x:c r="F100" s="177"/>
      <x:c r="G100" s="177"/>
      <x:c r="H100" s="177"/>
      <x:c r="I100" s="177"/>
      <x:c r="J100" s="177"/>
      <x:c r="K100" s="177"/>
      <x:c r="L100" s="177"/>
      <x:c r="M100" s="177"/>
      <x:c r="N100" s="177"/>
      <x:c r="O100" s="177"/>
      <x:c r="P100" s="177"/>
      <x:c r="Q100" s="177"/>
      <x:c r="R100" s="177"/>
      <x:c r="S100" s="177"/>
      <x:c r="T100" s="177"/>
      <x:c r="U100" s="177"/>
      <x:c r="V100" s="177"/>
      <x:c r="W100" s="177"/>
      <x:c r="X100" s="177"/>
      <x:c r="Y100" s="177"/>
      <x:c r="Z100" s="177"/>
    </x:row>
    <x:row r="101">
      <x:c r="A101" s="177"/>
      <x:c r="B101" s="177"/>
      <x:c r="C101" s="177"/>
      <x:c r="D101" s="177"/>
      <x:c r="E101" s="177"/>
      <x:c r="F101" s="177"/>
      <x:c r="G101" s="177"/>
      <x:c r="H101" s="177"/>
      <x:c r="I101" s="177"/>
      <x:c r="J101" s="177"/>
      <x:c r="K101" s="177"/>
      <x:c r="L101" s="177"/>
      <x:c r="M101" s="177"/>
      <x:c r="N101" s="177"/>
      <x:c r="O101" s="177"/>
      <x:c r="P101" s="177"/>
      <x:c r="Q101" s="177"/>
      <x:c r="R101" s="177"/>
      <x:c r="S101" s="177"/>
      <x:c r="T101" s="177"/>
      <x:c r="U101" s="177"/>
      <x:c r="V101" s="177"/>
      <x:c r="W101" s="177"/>
      <x:c r="X101" s="177"/>
      <x:c r="Y101" s="177"/>
      <x:c r="Z101" s="177"/>
    </x:row>
    <x:row r="102">
      <x:c r="A102" s="177"/>
      <x:c r="B102" s="177"/>
      <x:c r="C102" s="177"/>
      <x:c r="D102" s="177"/>
      <x:c r="E102" s="177"/>
      <x:c r="F102" s="177"/>
      <x:c r="G102" s="177"/>
      <x:c r="H102" s="177"/>
      <x:c r="I102" s="177"/>
      <x:c r="J102" s="177"/>
      <x:c r="K102" s="177"/>
      <x:c r="L102" s="177"/>
      <x:c r="M102" s="177"/>
      <x:c r="N102" s="177"/>
      <x:c r="O102" s="177"/>
      <x:c r="P102" s="177"/>
      <x:c r="Q102" s="177"/>
      <x:c r="R102" s="177"/>
      <x:c r="S102" s="177"/>
      <x:c r="T102" s="177"/>
      <x:c r="U102" s="177"/>
      <x:c r="V102" s="177"/>
      <x:c r="W102" s="177"/>
      <x:c r="X102" s="177"/>
      <x:c r="Y102" s="177"/>
      <x:c r="Z102" s="177"/>
    </x:row>
    <x:row r="103">
      <x:c r="A103" s="177"/>
      <x:c r="B103" s="177"/>
      <x:c r="C103" s="177"/>
      <x:c r="D103" s="177"/>
      <x:c r="E103" s="177"/>
      <x:c r="F103" s="177"/>
      <x:c r="G103" s="177"/>
      <x:c r="H103" s="177"/>
      <x:c r="I103" s="177"/>
      <x:c r="J103" s="177"/>
      <x:c r="K103" s="177"/>
      <x:c r="L103" s="177"/>
      <x:c r="M103" s="177"/>
      <x:c r="N103" s="177"/>
      <x:c r="O103" s="177"/>
      <x:c r="P103" s="177"/>
      <x:c r="Q103" s="177"/>
      <x:c r="R103" s="177"/>
      <x:c r="S103" s="177"/>
      <x:c r="T103" s="177"/>
      <x:c r="U103" s="177"/>
      <x:c r="V103" s="177"/>
      <x:c r="W103" s="177"/>
      <x:c r="X103" s="177"/>
      <x:c r="Y103" s="177"/>
      <x:c r="Z103" s="177"/>
    </x:row>
    <x:row r="104">
      <x:c r="A104" s="177"/>
      <x:c r="B104" s="177"/>
      <x:c r="C104" s="177"/>
      <x:c r="D104" s="177"/>
      <x:c r="E104" s="177"/>
      <x:c r="F104" s="177"/>
      <x:c r="G104" s="177"/>
      <x:c r="H104" s="177"/>
      <x:c r="I104" s="177"/>
      <x:c r="J104" s="177"/>
      <x:c r="K104" s="177"/>
      <x:c r="L104" s="177"/>
      <x:c r="M104" s="177"/>
      <x:c r="N104" s="177"/>
      <x:c r="O104" s="177"/>
      <x:c r="P104" s="177"/>
      <x:c r="Q104" s="177"/>
      <x:c r="R104" s="177"/>
      <x:c r="S104" s="177"/>
      <x:c r="T104" s="177"/>
      <x:c r="U104" s="177"/>
      <x:c r="V104" s="177"/>
      <x:c r="W104" s="177"/>
      <x:c r="X104" s="177"/>
      <x:c r="Y104" s="177"/>
      <x:c r="Z104" s="177"/>
    </x:row>
    <x:row r="105">
      <x:c r="A105" s="177"/>
      <x:c r="B105" s="177"/>
      <x:c r="C105" s="177"/>
      <x:c r="D105" s="177"/>
      <x:c r="E105" s="177"/>
      <x:c r="F105" s="177"/>
      <x:c r="G105" s="177"/>
      <x:c r="H105" s="177"/>
      <x:c r="I105" s="177"/>
      <x:c r="J105" s="177"/>
      <x:c r="K105" s="177"/>
      <x:c r="L105" s="177"/>
      <x:c r="M105" s="177"/>
      <x:c r="N105" s="177"/>
      <x:c r="O105" s="177"/>
      <x:c r="P105" s="177"/>
      <x:c r="Q105" s="177"/>
      <x:c r="R105" s="177"/>
      <x:c r="S105" s="177"/>
      <x:c r="T105" s="177"/>
      <x:c r="U105" s="177"/>
      <x:c r="V105" s="177"/>
      <x:c r="W105" s="177"/>
      <x:c r="X105" s="177"/>
      <x:c r="Y105" s="177"/>
      <x:c r="Z105" s="177"/>
    </x:row>
    <x:row r="106">
      <x:c r="A106" s="177"/>
      <x:c r="B106" s="177"/>
      <x:c r="C106" s="177"/>
      <x:c r="D106" s="177"/>
      <x:c r="E106" s="177"/>
      <x:c r="F106" s="177"/>
      <x:c r="G106" s="177"/>
      <x:c r="H106" s="177"/>
      <x:c r="I106" s="177"/>
      <x:c r="J106" s="177"/>
      <x:c r="K106" s="177"/>
      <x:c r="L106" s="177"/>
      <x:c r="M106" s="177"/>
      <x:c r="N106" s="177"/>
      <x:c r="O106" s="177"/>
      <x:c r="P106" s="177"/>
      <x:c r="Q106" s="177"/>
      <x:c r="R106" s="177"/>
      <x:c r="S106" s="177"/>
      <x:c r="T106" s="177"/>
      <x:c r="U106" s="177"/>
      <x:c r="V106" s="177"/>
      <x:c r="W106" s="177"/>
      <x:c r="X106" s="177"/>
      <x:c r="Y106" s="177"/>
      <x:c r="Z106" s="177"/>
    </x:row>
    <x:row r="107">
      <x:c r="A107" s="177"/>
      <x:c r="B107" s="177"/>
      <x:c r="C107" s="177"/>
      <x:c r="D107" s="177"/>
      <x:c r="E107" s="177"/>
      <x:c r="F107" s="177"/>
      <x:c r="G107" s="177"/>
      <x:c r="H107" s="177"/>
      <x:c r="I107" s="177"/>
      <x:c r="J107" s="177"/>
      <x:c r="K107" s="177"/>
      <x:c r="L107" s="177"/>
      <x:c r="M107" s="177"/>
      <x:c r="N107" s="177"/>
      <x:c r="O107" s="177"/>
      <x:c r="P107" s="177"/>
      <x:c r="Q107" s="177"/>
      <x:c r="R107" s="177"/>
      <x:c r="S107" s="177"/>
      <x:c r="T107" s="177"/>
      <x:c r="U107" s="177"/>
      <x:c r="V107" s="177"/>
      <x:c r="W107" s="177"/>
      <x:c r="X107" s="177"/>
      <x:c r="Y107" s="177"/>
      <x:c r="Z107" s="177"/>
    </x:row>
    <x:row r="108">
      <x:c r="A108" s="177"/>
      <x:c r="B108" s="177"/>
      <x:c r="C108" s="177"/>
      <x:c r="D108" s="177"/>
      <x:c r="E108" s="177"/>
      <x:c r="F108" s="177"/>
      <x:c r="G108" s="177"/>
      <x:c r="H108" s="177"/>
      <x:c r="I108" s="177"/>
      <x:c r="J108" s="177"/>
      <x:c r="K108" s="177"/>
      <x:c r="L108" s="177"/>
      <x:c r="M108" s="177"/>
      <x:c r="N108" s="177"/>
      <x:c r="O108" s="177"/>
      <x:c r="P108" s="177"/>
      <x:c r="Q108" s="177"/>
      <x:c r="R108" s="177"/>
      <x:c r="S108" s="177"/>
      <x:c r="T108" s="177"/>
      <x:c r="U108" s="177"/>
      <x:c r="V108" s="177"/>
      <x:c r="W108" s="177"/>
      <x:c r="X108" s="177"/>
      <x:c r="Y108" s="177"/>
      <x:c r="Z108" s="177"/>
    </x:row>
    <x:row r="109">
      <x:c r="A109" s="177"/>
      <x:c r="B109" s="177"/>
      <x:c r="C109" s="177"/>
      <x:c r="D109" s="177"/>
      <x:c r="E109" s="177"/>
      <x:c r="F109" s="177"/>
      <x:c r="G109" s="177"/>
      <x:c r="H109" s="177"/>
      <x:c r="I109" s="177"/>
      <x:c r="J109" s="177"/>
      <x:c r="K109" s="177"/>
      <x:c r="L109" s="177"/>
      <x:c r="M109" s="177"/>
      <x:c r="N109" s="177"/>
      <x:c r="O109" s="177"/>
      <x:c r="P109" s="177"/>
      <x:c r="Q109" s="177"/>
      <x:c r="R109" s="177"/>
      <x:c r="S109" s="177"/>
      <x:c r="T109" s="177"/>
      <x:c r="U109" s="177"/>
      <x:c r="V109" s="177"/>
      <x:c r="W109" s="177"/>
      <x:c r="X109" s="177"/>
      <x:c r="Y109" s="177"/>
      <x:c r="Z109" s="177"/>
    </x:row>
    <x:row r="110">
      <x:c r="A110" s="177"/>
      <x:c r="B110" s="177"/>
      <x:c r="C110" s="177"/>
      <x:c r="D110" s="177"/>
      <x:c r="E110" s="177"/>
      <x:c r="F110" s="177"/>
      <x:c r="G110" s="177"/>
      <x:c r="H110" s="177"/>
      <x:c r="I110" s="177"/>
      <x:c r="J110" s="177"/>
      <x:c r="K110" s="177"/>
      <x:c r="L110" s="177"/>
      <x:c r="M110" s="177"/>
      <x:c r="N110" s="177"/>
      <x:c r="O110" s="177"/>
      <x:c r="P110" s="177"/>
      <x:c r="Q110" s="177"/>
      <x:c r="R110" s="177"/>
      <x:c r="S110" s="177"/>
      <x:c r="T110" s="177"/>
      <x:c r="U110" s="177"/>
      <x:c r="V110" s="177"/>
      <x:c r="W110" s="177"/>
      <x:c r="X110" s="177"/>
      <x:c r="Y110" s="177"/>
      <x:c r="Z110" s="177"/>
    </x:row>
    <x:row r="111">
      <x:c r="A111" s="177"/>
      <x:c r="B111" s="177"/>
      <x:c r="C111" s="177"/>
      <x:c r="D111" s="177"/>
      <x:c r="E111" s="177"/>
      <x:c r="F111" s="177"/>
      <x:c r="G111" s="177"/>
      <x:c r="H111" s="177"/>
      <x:c r="I111" s="177"/>
      <x:c r="J111" s="177"/>
      <x:c r="K111" s="177"/>
      <x:c r="L111" s="177"/>
      <x:c r="M111" s="177"/>
      <x:c r="N111" s="177"/>
      <x:c r="O111" s="177"/>
      <x:c r="P111" s="177"/>
      <x:c r="Q111" s="177"/>
      <x:c r="R111" s="177"/>
      <x:c r="S111" s="177"/>
      <x:c r="T111" s="177"/>
      <x:c r="U111" s="177"/>
      <x:c r="V111" s="177"/>
      <x:c r="W111" s="177"/>
      <x:c r="X111" s="177"/>
      <x:c r="Y111" s="177"/>
      <x:c r="Z111" s="177"/>
    </x:row>
    <x:row r="112">
      <x:c r="A112" s="177"/>
      <x:c r="B112" s="177"/>
      <x:c r="C112" s="177"/>
      <x:c r="D112" s="177"/>
      <x:c r="E112" s="177"/>
      <x:c r="F112" s="177"/>
      <x:c r="G112" s="177"/>
      <x:c r="H112" s="177"/>
      <x:c r="I112" s="177"/>
      <x:c r="J112" s="177"/>
      <x:c r="K112" s="177"/>
      <x:c r="L112" s="177"/>
      <x:c r="M112" s="177"/>
      <x:c r="N112" s="177"/>
      <x:c r="O112" s="177"/>
      <x:c r="P112" s="177"/>
      <x:c r="Q112" s="177"/>
      <x:c r="R112" s="177"/>
      <x:c r="S112" s="177"/>
      <x:c r="T112" s="177"/>
      <x:c r="U112" s="177"/>
      <x:c r="V112" s="177"/>
      <x:c r="W112" s="177"/>
      <x:c r="X112" s="177"/>
      <x:c r="Y112" s="177"/>
      <x:c r="Z112" s="177"/>
    </x:row>
    <x:row r="113">
      <x:c r="A113" s="177"/>
      <x:c r="B113" s="177"/>
      <x:c r="C113" s="177"/>
      <x:c r="D113" s="177"/>
      <x:c r="E113" s="177"/>
      <x:c r="F113" s="177"/>
      <x:c r="G113" s="177"/>
      <x:c r="H113" s="177"/>
      <x:c r="I113" s="177"/>
      <x:c r="J113" s="177"/>
      <x:c r="K113" s="177"/>
      <x:c r="L113" s="177"/>
      <x:c r="M113" s="177"/>
      <x:c r="N113" s="177"/>
      <x:c r="O113" s="177"/>
      <x:c r="P113" s="177"/>
      <x:c r="Q113" s="177"/>
      <x:c r="R113" s="177"/>
      <x:c r="S113" s="177"/>
      <x:c r="T113" s="177"/>
      <x:c r="U113" s="177"/>
      <x:c r="V113" s="177"/>
      <x:c r="W113" s="177"/>
      <x:c r="X113" s="177"/>
      <x:c r="Y113" s="177"/>
      <x:c r="Z113" s="177"/>
    </x:row>
    <x:row r="114">
      <x:c r="A114" s="177"/>
      <x:c r="B114" s="177"/>
      <x:c r="C114" s="177"/>
      <x:c r="D114" s="177"/>
      <x:c r="E114" s="177"/>
      <x:c r="F114" s="177"/>
      <x:c r="G114" s="177"/>
      <x:c r="H114" s="177"/>
      <x:c r="I114" s="177"/>
      <x:c r="J114" s="177"/>
      <x:c r="K114" s="177"/>
      <x:c r="L114" s="177"/>
      <x:c r="M114" s="177"/>
      <x:c r="N114" s="177"/>
      <x:c r="O114" s="177"/>
      <x:c r="P114" s="177"/>
      <x:c r="Q114" s="177"/>
      <x:c r="R114" s="177"/>
      <x:c r="S114" s="177"/>
      <x:c r="T114" s="177"/>
      <x:c r="U114" s="177"/>
      <x:c r="V114" s="177"/>
      <x:c r="W114" s="177"/>
      <x:c r="X114" s="177"/>
      <x:c r="Y114" s="177"/>
      <x:c r="Z114" s="177"/>
    </x:row>
    <x:row r="115">
      <x:c r="A115" s="177"/>
      <x:c r="B115" s="177"/>
      <x:c r="C115" s="177"/>
      <x:c r="D115" s="177"/>
      <x:c r="E115" s="177"/>
      <x:c r="F115" s="177"/>
      <x:c r="G115" s="177"/>
      <x:c r="H115" s="177"/>
      <x:c r="I115" s="177"/>
      <x:c r="J115" s="177"/>
      <x:c r="K115" s="177"/>
      <x:c r="L115" s="177"/>
      <x:c r="M115" s="177"/>
      <x:c r="N115" s="177"/>
      <x:c r="O115" s="177"/>
      <x:c r="P115" s="177"/>
      <x:c r="Q115" s="177"/>
      <x:c r="R115" s="177"/>
      <x:c r="S115" s="177"/>
      <x:c r="T115" s="177"/>
      <x:c r="U115" s="177"/>
      <x:c r="V115" s="177"/>
      <x:c r="W115" s="177"/>
      <x:c r="X115" s="177"/>
      <x:c r="Y115" s="177"/>
      <x:c r="Z115" s="177"/>
    </x:row>
    <x:row r="116">
      <x:c r="A116" s="177"/>
      <x:c r="B116" s="177"/>
      <x:c r="C116" s="177"/>
      <x:c r="D116" s="177"/>
      <x:c r="E116" s="177"/>
      <x:c r="F116" s="177"/>
      <x:c r="G116" s="177"/>
      <x:c r="H116" s="177"/>
      <x:c r="I116" s="177"/>
      <x:c r="J116" s="177"/>
      <x:c r="K116" s="177"/>
      <x:c r="L116" s="177"/>
      <x:c r="M116" s="177"/>
      <x:c r="N116" s="177"/>
      <x:c r="O116" s="177"/>
      <x:c r="P116" s="177"/>
      <x:c r="Q116" s="177"/>
      <x:c r="R116" s="177"/>
      <x:c r="S116" s="177"/>
      <x:c r="T116" s="177"/>
      <x:c r="U116" s="177"/>
      <x:c r="V116" s="177"/>
      <x:c r="W116" s="177"/>
      <x:c r="X116" s="177"/>
      <x:c r="Y116" s="177"/>
      <x:c r="Z116" s="177"/>
    </x:row>
    <x:row r="117">
      <x:c r="A117" s="177"/>
      <x:c r="B117" s="177"/>
      <x:c r="C117" s="177"/>
      <x:c r="D117" s="177"/>
      <x:c r="E117" s="177"/>
      <x:c r="F117" s="177"/>
      <x:c r="G117" s="177"/>
      <x:c r="H117" s="177"/>
      <x:c r="I117" s="177"/>
      <x:c r="J117" s="177"/>
      <x:c r="K117" s="177"/>
      <x:c r="L117" s="177"/>
      <x:c r="M117" s="177"/>
      <x:c r="N117" s="177"/>
      <x:c r="O117" s="177"/>
      <x:c r="P117" s="177"/>
      <x:c r="Q117" s="177"/>
      <x:c r="R117" s="177"/>
      <x:c r="S117" s="177"/>
      <x:c r="T117" s="177"/>
      <x:c r="U117" s="177"/>
      <x:c r="V117" s="177"/>
      <x:c r="W117" s="177"/>
      <x:c r="X117" s="177"/>
      <x:c r="Y117" s="177"/>
      <x:c r="Z117" s="177"/>
    </x:row>
    <x:row r="118">
      <x:c r="A118" s="177"/>
      <x:c r="B118" s="177"/>
      <x:c r="C118" s="177"/>
      <x:c r="D118" s="177"/>
      <x:c r="E118" s="177"/>
      <x:c r="F118" s="177"/>
      <x:c r="G118" s="177"/>
      <x:c r="H118" s="177"/>
      <x:c r="I118" s="177"/>
      <x:c r="J118" s="177"/>
      <x:c r="K118" s="177"/>
      <x:c r="L118" s="177"/>
      <x:c r="M118" s="177"/>
      <x:c r="N118" s="177"/>
      <x:c r="O118" s="177"/>
      <x:c r="P118" s="177"/>
      <x:c r="Q118" s="177"/>
      <x:c r="R118" s="177"/>
      <x:c r="S118" s="177"/>
      <x:c r="T118" s="177"/>
      <x:c r="U118" s="177"/>
      <x:c r="V118" s="177"/>
      <x:c r="W118" s="177"/>
      <x:c r="X118" s="177"/>
      <x:c r="Y118" s="177"/>
      <x:c r="Z118" s="177"/>
    </x:row>
    <x:row r="119">
      <x:c r="A119" s="177"/>
      <x:c r="B119" s="177"/>
      <x:c r="C119" s="177"/>
      <x:c r="D119" s="177"/>
      <x:c r="E119" s="177"/>
      <x:c r="F119" s="177"/>
      <x:c r="G119" s="177"/>
      <x:c r="H119" s="177"/>
      <x:c r="I119" s="177"/>
      <x:c r="J119" s="177"/>
      <x:c r="K119" s="177"/>
      <x:c r="L119" s="177"/>
      <x:c r="M119" s="177"/>
      <x:c r="N119" s="177"/>
      <x:c r="O119" s="177"/>
      <x:c r="P119" s="177"/>
      <x:c r="Q119" s="177"/>
      <x:c r="R119" s="177"/>
      <x:c r="S119" s="177"/>
      <x:c r="T119" s="177"/>
      <x:c r="U119" s="177"/>
      <x:c r="V119" s="177"/>
      <x:c r="W119" s="177"/>
      <x:c r="X119" s="177"/>
      <x:c r="Y119" s="177"/>
      <x:c r="Z119" s="177"/>
    </x:row>
    <x:row r="120">
      <x:c r="A120" s="177"/>
      <x:c r="B120" s="177"/>
      <x:c r="C120" s="177"/>
      <x:c r="D120" s="177"/>
      <x:c r="E120" s="177"/>
      <x:c r="F120" s="177"/>
      <x:c r="G120" s="177"/>
      <x:c r="H120" s="177"/>
      <x:c r="I120" s="177"/>
      <x:c r="J120" s="177"/>
      <x:c r="K120" s="177"/>
      <x:c r="L120" s="177"/>
      <x:c r="M120" s="177"/>
      <x:c r="N120" s="177"/>
      <x:c r="O120" s="177"/>
      <x:c r="P120" s="177"/>
      <x:c r="Q120" s="177"/>
      <x:c r="R120" s="177"/>
      <x:c r="S120" s="177"/>
      <x:c r="T120" s="177"/>
      <x:c r="U120" s="177"/>
      <x:c r="V120" s="177"/>
      <x:c r="W120" s="177"/>
      <x:c r="X120" s="177"/>
      <x:c r="Y120" s="177"/>
      <x:c r="Z120" s="177"/>
    </x:row>
    <x:row r="121">
      <x:c r="A121" s="177"/>
      <x:c r="B121" s="177"/>
      <x:c r="C121" s="177"/>
      <x:c r="D121" s="177"/>
      <x:c r="E121" s="177"/>
      <x:c r="F121" s="177"/>
      <x:c r="G121" s="177"/>
      <x:c r="H121" s="177"/>
      <x:c r="I121" s="177"/>
      <x:c r="J121" s="177"/>
      <x:c r="K121" s="177"/>
      <x:c r="L121" s="177"/>
      <x:c r="M121" s="177"/>
      <x:c r="N121" s="177"/>
      <x:c r="O121" s="177"/>
      <x:c r="P121" s="177"/>
      <x:c r="Q121" s="177"/>
      <x:c r="R121" s="177"/>
      <x:c r="S121" s="177"/>
      <x:c r="T121" s="177"/>
      <x:c r="U121" s="177"/>
      <x:c r="V121" s="177"/>
      <x:c r="W121" s="177"/>
      <x:c r="X121" s="177"/>
      <x:c r="Y121" s="177"/>
      <x:c r="Z121" s="177"/>
    </x:row>
    <x:row r="122">
      <x:c r="A122" s="177"/>
      <x:c r="B122" s="177"/>
      <x:c r="C122" s="177"/>
      <x:c r="D122" s="177"/>
      <x:c r="E122" s="177"/>
      <x:c r="F122" s="177"/>
      <x:c r="G122" s="177"/>
      <x:c r="H122" s="177"/>
      <x:c r="I122" s="177"/>
      <x:c r="J122" s="177"/>
      <x:c r="K122" s="177"/>
      <x:c r="L122" s="177"/>
      <x:c r="M122" s="177"/>
      <x:c r="N122" s="177"/>
      <x:c r="O122" s="177"/>
      <x:c r="P122" s="177"/>
      <x:c r="Q122" s="177"/>
      <x:c r="R122" s="177"/>
      <x:c r="S122" s="177"/>
      <x:c r="T122" s="177"/>
      <x:c r="U122" s="177"/>
      <x:c r="V122" s="177"/>
      <x:c r="W122" s="177"/>
      <x:c r="X122" s="177"/>
      <x:c r="Y122" s="177"/>
      <x:c r="Z122" s="177"/>
    </x:row>
    <x:row r="123">
      <x:c r="A123" s="177"/>
      <x:c r="B123" s="177"/>
      <x:c r="C123" s="177"/>
      <x:c r="D123" s="177"/>
      <x:c r="E123" s="177"/>
      <x:c r="F123" s="177"/>
      <x:c r="G123" s="177"/>
      <x:c r="H123" s="177"/>
      <x:c r="I123" s="177"/>
      <x:c r="J123" s="177"/>
      <x:c r="K123" s="177"/>
      <x:c r="L123" s="177"/>
      <x:c r="M123" s="177"/>
      <x:c r="N123" s="177"/>
      <x:c r="O123" s="177"/>
      <x:c r="P123" s="177"/>
      <x:c r="Q123" s="177"/>
      <x:c r="R123" s="177"/>
      <x:c r="S123" s="177"/>
      <x:c r="T123" s="177"/>
      <x:c r="U123" s="177"/>
      <x:c r="V123" s="177"/>
      <x:c r="W123" s="177"/>
      <x:c r="X123" s="177"/>
      <x:c r="Y123" s="177"/>
      <x:c r="Z123" s="177"/>
    </x:row>
    <x:row r="124">
      <x:c r="A124" s="177"/>
      <x:c r="B124" s="177"/>
      <x:c r="C124" s="177"/>
      <x:c r="D124" s="177"/>
      <x:c r="E124" s="177"/>
      <x:c r="F124" s="177"/>
      <x:c r="G124" s="177"/>
      <x:c r="H124" s="177"/>
      <x:c r="I124" s="177"/>
      <x:c r="J124" s="177"/>
      <x:c r="K124" s="177"/>
      <x:c r="L124" s="177"/>
      <x:c r="M124" s="177"/>
      <x:c r="N124" s="177"/>
      <x:c r="O124" s="177"/>
      <x:c r="P124" s="177"/>
      <x:c r="Q124" s="177"/>
      <x:c r="R124" s="177"/>
      <x:c r="S124" s="177"/>
      <x:c r="T124" s="177"/>
      <x:c r="U124" s="177"/>
      <x:c r="V124" s="177"/>
      <x:c r="W124" s="177"/>
      <x:c r="X124" s="177"/>
      <x:c r="Y124" s="177"/>
      <x:c r="Z124" s="177"/>
    </x:row>
    <x:row r="125">
      <x:c r="A125" s="177"/>
      <x:c r="B125" s="177"/>
      <x:c r="C125" s="177"/>
      <x:c r="D125" s="177"/>
      <x:c r="E125" s="177"/>
      <x:c r="F125" s="177"/>
      <x:c r="G125" s="177"/>
      <x:c r="H125" s="177"/>
      <x:c r="I125" s="177"/>
      <x:c r="J125" s="177"/>
      <x:c r="K125" s="177"/>
      <x:c r="L125" s="177"/>
      <x:c r="M125" s="177"/>
      <x:c r="N125" s="177"/>
      <x:c r="O125" s="177"/>
      <x:c r="P125" s="177"/>
      <x:c r="Q125" s="177"/>
      <x:c r="R125" s="177"/>
      <x:c r="S125" s="177"/>
      <x:c r="T125" s="177"/>
      <x:c r="U125" s="177"/>
      <x:c r="V125" s="177"/>
      <x:c r="W125" s="177"/>
      <x:c r="X125" s="177"/>
      <x:c r="Y125" s="177"/>
      <x:c r="Z125" s="177"/>
    </x:row>
    <x:row r="126">
      <x:c r="A126" s="177"/>
      <x:c r="B126" s="177"/>
      <x:c r="C126" s="177"/>
      <x:c r="D126" s="177"/>
      <x:c r="E126" s="177"/>
      <x:c r="F126" s="177"/>
      <x:c r="G126" s="177"/>
      <x:c r="H126" s="177"/>
      <x:c r="I126" s="177"/>
      <x:c r="J126" s="177"/>
      <x:c r="K126" s="177"/>
      <x:c r="L126" s="177"/>
      <x:c r="M126" s="177"/>
      <x:c r="N126" s="177"/>
      <x:c r="O126" s="177"/>
      <x:c r="P126" s="177"/>
      <x:c r="Q126" s="177"/>
      <x:c r="R126" s="177"/>
      <x:c r="S126" s="177"/>
      <x:c r="T126" s="177"/>
      <x:c r="U126" s="177"/>
      <x:c r="V126" s="177"/>
      <x:c r="W126" s="177"/>
      <x:c r="X126" s="177"/>
      <x:c r="Y126" s="177"/>
      <x:c r="Z126" s="177"/>
    </x:row>
    <x:row r="127">
      <x:c r="A127" s="177"/>
      <x:c r="B127" s="177"/>
      <x:c r="C127" s="177"/>
      <x:c r="D127" s="177"/>
      <x:c r="E127" s="177"/>
      <x:c r="F127" s="177"/>
      <x:c r="G127" s="177"/>
      <x:c r="H127" s="177"/>
      <x:c r="I127" s="177"/>
      <x:c r="J127" s="177"/>
      <x:c r="K127" s="177"/>
      <x:c r="L127" s="177"/>
      <x:c r="M127" s="177"/>
      <x:c r="N127" s="177"/>
      <x:c r="O127" s="177"/>
      <x:c r="P127" s="177"/>
      <x:c r="Q127" s="177"/>
      <x:c r="R127" s="177"/>
      <x:c r="S127" s="177"/>
      <x:c r="T127" s="177"/>
      <x:c r="U127" s="177"/>
      <x:c r="V127" s="177"/>
      <x:c r="W127" s="177"/>
      <x:c r="X127" s="177"/>
      <x:c r="Y127" s="177"/>
      <x:c r="Z127" s="177"/>
    </x:row>
    <x:row r="128">
      <x:c r="A128" s="177"/>
      <x:c r="B128" s="177"/>
      <x:c r="C128" s="177"/>
      <x:c r="D128" s="177"/>
      <x:c r="E128" s="177"/>
      <x:c r="F128" s="177"/>
      <x:c r="G128" s="177"/>
      <x:c r="H128" s="177"/>
      <x:c r="I128" s="177"/>
      <x:c r="J128" s="177"/>
      <x:c r="K128" s="177"/>
      <x:c r="L128" s="177"/>
      <x:c r="M128" s="177"/>
      <x:c r="N128" s="177"/>
      <x:c r="O128" s="177"/>
      <x:c r="P128" s="177"/>
      <x:c r="Q128" s="177"/>
      <x:c r="R128" s="177"/>
      <x:c r="S128" s="177"/>
      <x:c r="T128" s="177"/>
      <x:c r="U128" s="177"/>
      <x:c r="V128" s="177"/>
      <x:c r="W128" s="177"/>
      <x:c r="X128" s="177"/>
      <x:c r="Y128" s="177"/>
      <x:c r="Z128" s="177"/>
    </x:row>
    <x:row r="129">
      <x:c r="A129" s="177"/>
      <x:c r="B129" s="177"/>
      <x:c r="C129" s="177"/>
      <x:c r="D129" s="177"/>
      <x:c r="E129" s="177"/>
      <x:c r="F129" s="177"/>
      <x:c r="G129" s="177"/>
      <x:c r="H129" s="177"/>
      <x:c r="I129" s="177"/>
      <x:c r="J129" s="177"/>
      <x:c r="K129" s="177"/>
      <x:c r="L129" s="177"/>
      <x:c r="M129" s="177"/>
      <x:c r="N129" s="177"/>
      <x:c r="O129" s="177"/>
      <x:c r="P129" s="177"/>
      <x:c r="Q129" s="177"/>
      <x:c r="R129" s="177"/>
      <x:c r="S129" s="177"/>
      <x:c r="T129" s="177"/>
      <x:c r="U129" s="177"/>
      <x:c r="V129" s="177"/>
      <x:c r="W129" s="177"/>
      <x:c r="X129" s="177"/>
      <x:c r="Y129" s="177"/>
      <x:c r="Z129" s="177"/>
    </x:row>
    <x:row r="130">
      <x:c r="A130" s="177"/>
      <x:c r="B130" s="177"/>
      <x:c r="C130" s="177"/>
      <x:c r="D130" s="177"/>
      <x:c r="E130" s="177"/>
      <x:c r="F130" s="177"/>
      <x:c r="G130" s="177"/>
      <x:c r="H130" s="177"/>
      <x:c r="I130" s="177"/>
      <x:c r="J130" s="177"/>
      <x:c r="K130" s="177"/>
      <x:c r="L130" s="177"/>
      <x:c r="M130" s="177"/>
      <x:c r="N130" s="177"/>
      <x:c r="O130" s="177"/>
      <x:c r="P130" s="177"/>
      <x:c r="Q130" s="177"/>
      <x:c r="R130" s="177"/>
      <x:c r="S130" s="177"/>
      <x:c r="T130" s="177"/>
      <x:c r="U130" s="177"/>
      <x:c r="V130" s="177"/>
      <x:c r="W130" s="177"/>
      <x:c r="X130" s="177"/>
      <x:c r="Y130" s="177"/>
      <x:c r="Z130" s="177"/>
    </x:row>
    <x:row r="131">
      <x:c r="A131" s="177"/>
      <x:c r="B131" s="177"/>
      <x:c r="C131" s="177"/>
      <x:c r="D131" s="177"/>
      <x:c r="E131" s="177"/>
      <x:c r="F131" s="177"/>
      <x:c r="G131" s="177"/>
      <x:c r="H131" s="177"/>
      <x:c r="I131" s="177"/>
      <x:c r="J131" s="177"/>
      <x:c r="K131" s="177"/>
      <x:c r="L131" s="177"/>
      <x:c r="M131" s="177"/>
      <x:c r="N131" s="177"/>
      <x:c r="O131" s="177"/>
      <x:c r="P131" s="177"/>
      <x:c r="Q131" s="177"/>
      <x:c r="R131" s="177"/>
      <x:c r="S131" s="177"/>
      <x:c r="T131" s="177"/>
      <x:c r="U131" s="177"/>
      <x:c r="V131" s="177"/>
      <x:c r="W131" s="177"/>
      <x:c r="X131" s="177"/>
      <x:c r="Y131" s="177"/>
      <x:c r="Z131" s="177"/>
    </x:row>
    <x:row r="132">
      <x:c r="A132" s="177"/>
      <x:c r="B132" s="177"/>
      <x:c r="C132" s="177"/>
      <x:c r="D132" s="177"/>
      <x:c r="E132" s="177"/>
      <x:c r="F132" s="177"/>
      <x:c r="G132" s="177"/>
      <x:c r="H132" s="177"/>
      <x:c r="I132" s="177"/>
      <x:c r="J132" s="177"/>
      <x:c r="K132" s="177"/>
      <x:c r="L132" s="177"/>
      <x:c r="M132" s="177"/>
      <x:c r="N132" s="177"/>
      <x:c r="O132" s="177"/>
      <x:c r="P132" s="177"/>
      <x:c r="Q132" s="177"/>
      <x:c r="R132" s="177"/>
      <x:c r="S132" s="177"/>
      <x:c r="T132" s="177"/>
      <x:c r="U132" s="177"/>
      <x:c r="V132" s="177"/>
      <x:c r="W132" s="177"/>
      <x:c r="X132" s="177"/>
      <x:c r="Y132" s="177"/>
      <x:c r="Z132" s="177"/>
    </x:row>
    <x:row r="133">
      <x:c r="A133" s="177"/>
      <x:c r="B133" s="177"/>
      <x:c r="C133" s="177"/>
      <x:c r="D133" s="177"/>
      <x:c r="E133" s="177"/>
      <x:c r="F133" s="177"/>
      <x:c r="G133" s="177"/>
      <x:c r="H133" s="177"/>
      <x:c r="I133" s="177"/>
      <x:c r="J133" s="177"/>
      <x:c r="K133" s="177"/>
      <x:c r="L133" s="177"/>
      <x:c r="M133" s="177"/>
      <x:c r="N133" s="177"/>
      <x:c r="O133" s="177"/>
      <x:c r="P133" s="177"/>
      <x:c r="Q133" s="177"/>
      <x:c r="R133" s="177"/>
      <x:c r="S133" s="177"/>
      <x:c r="T133" s="177"/>
      <x:c r="U133" s="177"/>
      <x:c r="V133" s="177"/>
      <x:c r="W133" s="177"/>
      <x:c r="X133" s="177"/>
      <x:c r="Y133" s="177"/>
      <x:c r="Z133" s="177"/>
    </x:row>
    <x:row r="134">
      <x:c r="A134" s="177"/>
      <x:c r="B134" s="177"/>
      <x:c r="C134" s="177"/>
      <x:c r="D134" s="177"/>
      <x:c r="E134" s="177"/>
      <x:c r="F134" s="177"/>
      <x:c r="G134" s="177"/>
      <x:c r="H134" s="177"/>
      <x:c r="I134" s="177"/>
      <x:c r="J134" s="177"/>
      <x:c r="K134" s="177"/>
      <x:c r="L134" s="177"/>
      <x:c r="M134" s="177"/>
      <x:c r="N134" s="177"/>
      <x:c r="O134" s="177"/>
      <x:c r="P134" s="177"/>
      <x:c r="Q134" s="177"/>
      <x:c r="R134" s="177"/>
      <x:c r="S134" s="177"/>
      <x:c r="T134" s="177"/>
      <x:c r="U134" s="177"/>
      <x:c r="V134" s="177"/>
      <x:c r="W134" s="177"/>
      <x:c r="X134" s="177"/>
      <x:c r="Y134" s="177"/>
      <x:c r="Z134" s="177"/>
    </x:row>
    <x:row r="135">
      <x:c r="A135" s="177"/>
      <x:c r="B135" s="177"/>
      <x:c r="C135" s="177"/>
      <x:c r="D135" s="177"/>
      <x:c r="E135" s="177"/>
      <x:c r="F135" s="177"/>
      <x:c r="G135" s="177"/>
      <x:c r="H135" s="177"/>
      <x:c r="I135" s="177"/>
      <x:c r="J135" s="177"/>
      <x:c r="K135" s="177"/>
      <x:c r="L135" s="177"/>
      <x:c r="M135" s="177"/>
      <x:c r="N135" s="177"/>
      <x:c r="O135" s="177"/>
      <x:c r="P135" s="177"/>
      <x:c r="Q135" s="177"/>
      <x:c r="R135" s="177"/>
      <x:c r="S135" s="177"/>
      <x:c r="T135" s="177"/>
      <x:c r="U135" s="177"/>
      <x:c r="V135" s="177"/>
      <x:c r="W135" s="177"/>
      <x:c r="X135" s="177"/>
      <x:c r="Y135" s="177"/>
      <x:c r="Z135" s="177"/>
    </x:row>
    <x:row r="136">
      <x:c r="A136" s="177"/>
      <x:c r="B136" s="177"/>
      <x:c r="C136" s="177"/>
      <x:c r="D136" s="177"/>
      <x:c r="E136" s="177"/>
      <x:c r="F136" s="177"/>
      <x:c r="G136" s="177"/>
      <x:c r="H136" s="177"/>
      <x:c r="I136" s="177"/>
      <x:c r="J136" s="177"/>
      <x:c r="K136" s="177"/>
      <x:c r="L136" s="177"/>
      <x:c r="M136" s="177"/>
      <x:c r="N136" s="177"/>
      <x:c r="O136" s="177"/>
      <x:c r="P136" s="177"/>
      <x:c r="Q136" s="177"/>
      <x:c r="R136" s="177"/>
      <x:c r="S136" s="177"/>
      <x:c r="T136" s="177"/>
      <x:c r="U136" s="177"/>
      <x:c r="V136" s="177"/>
      <x:c r="W136" s="177"/>
      <x:c r="X136" s="177"/>
      <x:c r="Y136" s="177"/>
      <x:c r="Z136" s="177"/>
    </x:row>
    <x:row r="137">
      <x:c r="A137" s="177"/>
      <x:c r="B137" s="177"/>
      <x:c r="C137" s="177"/>
      <x:c r="D137" s="177"/>
      <x:c r="E137" s="177"/>
      <x:c r="F137" s="177"/>
      <x:c r="G137" s="177"/>
      <x:c r="H137" s="177"/>
      <x:c r="I137" s="177"/>
      <x:c r="J137" s="177"/>
      <x:c r="K137" s="177"/>
      <x:c r="L137" s="177"/>
      <x:c r="M137" s="177"/>
      <x:c r="N137" s="177"/>
      <x:c r="O137" s="177"/>
      <x:c r="P137" s="177"/>
      <x:c r="Q137" s="177"/>
      <x:c r="R137" s="177"/>
      <x:c r="S137" s="177"/>
      <x:c r="T137" s="177"/>
      <x:c r="U137" s="177"/>
      <x:c r="V137" s="177"/>
      <x:c r="W137" s="177"/>
      <x:c r="X137" s="177"/>
      <x:c r="Y137" s="177"/>
      <x:c r="Z137" s="177"/>
    </x:row>
    <x:row r="138">
      <x:c r="A138" s="177"/>
      <x:c r="B138" s="177"/>
      <x:c r="C138" s="177"/>
      <x:c r="D138" s="177"/>
      <x:c r="E138" s="177"/>
      <x:c r="F138" s="177"/>
      <x:c r="G138" s="177"/>
      <x:c r="H138" s="177"/>
      <x:c r="I138" s="177"/>
      <x:c r="J138" s="177"/>
      <x:c r="K138" s="177"/>
      <x:c r="L138" s="177"/>
      <x:c r="M138" s="177"/>
      <x:c r="N138" s="177"/>
      <x:c r="O138" s="177"/>
      <x:c r="P138" s="177"/>
      <x:c r="Q138" s="177"/>
      <x:c r="R138" s="177"/>
      <x:c r="S138" s="177"/>
      <x:c r="T138" s="177"/>
      <x:c r="U138" s="177"/>
      <x:c r="V138" s="177"/>
      <x:c r="W138" s="177"/>
      <x:c r="X138" s="177"/>
      <x:c r="Y138" s="177"/>
      <x:c r="Z138" s="177"/>
    </x:row>
    <x:row r="139">
      <x:c r="A139" s="177"/>
      <x:c r="B139" s="177"/>
      <x:c r="C139" s="177"/>
      <x:c r="D139" s="177"/>
      <x:c r="E139" s="177"/>
      <x:c r="F139" s="177"/>
      <x:c r="G139" s="177"/>
      <x:c r="H139" s="177"/>
      <x:c r="I139" s="177"/>
      <x:c r="J139" s="177"/>
      <x:c r="K139" s="177"/>
      <x:c r="L139" s="177"/>
      <x:c r="M139" s="177"/>
      <x:c r="N139" s="177"/>
      <x:c r="O139" s="177"/>
      <x:c r="P139" s="177"/>
      <x:c r="Q139" s="177"/>
      <x:c r="R139" s="177"/>
      <x:c r="S139" s="177"/>
      <x:c r="T139" s="177"/>
      <x:c r="U139" s="177"/>
      <x:c r="V139" s="177"/>
      <x:c r="W139" s="177"/>
      <x:c r="X139" s="177"/>
      <x:c r="Y139" s="177"/>
      <x:c r="Z139" s="177"/>
    </x:row>
    <x:row r="140">
      <x:c r="A140" s="177"/>
      <x:c r="B140" s="177"/>
      <x:c r="C140" s="177"/>
      <x:c r="D140" s="177"/>
      <x:c r="E140" s="177"/>
      <x:c r="F140" s="177"/>
      <x:c r="G140" s="177"/>
      <x:c r="H140" s="177"/>
      <x:c r="I140" s="177"/>
      <x:c r="J140" s="177"/>
      <x:c r="K140" s="177"/>
      <x:c r="L140" s="177"/>
      <x:c r="M140" s="177"/>
      <x:c r="N140" s="177"/>
      <x:c r="O140" s="177"/>
      <x:c r="P140" s="177"/>
      <x:c r="Q140" s="177"/>
      <x:c r="R140" s="177"/>
      <x:c r="S140" s="177"/>
      <x:c r="T140" s="177"/>
      <x:c r="U140" s="177"/>
      <x:c r="V140" s="177"/>
      <x:c r="W140" s="177"/>
      <x:c r="X140" s="177"/>
      <x:c r="Y140" s="177"/>
      <x:c r="Z140" s="177"/>
    </x:row>
    <x:row r="141">
      <x:c r="A141" s="177"/>
      <x:c r="B141" s="177"/>
      <x:c r="C141" s="177"/>
      <x:c r="D141" s="177"/>
      <x:c r="E141" s="177"/>
      <x:c r="F141" s="177"/>
      <x:c r="G141" s="177"/>
      <x:c r="H141" s="177"/>
      <x:c r="I141" s="177"/>
      <x:c r="J141" s="177"/>
      <x:c r="K141" s="177"/>
      <x:c r="L141" s="177"/>
      <x:c r="M141" s="177"/>
      <x:c r="N141" s="177"/>
      <x:c r="O141" s="177"/>
      <x:c r="P141" s="177"/>
      <x:c r="Q141" s="177"/>
      <x:c r="R141" s="177"/>
      <x:c r="S141" s="177"/>
      <x:c r="T141" s="177"/>
      <x:c r="U141" s="177"/>
      <x:c r="V141" s="177"/>
      <x:c r="W141" s="177"/>
      <x:c r="X141" s="177"/>
      <x:c r="Y141" s="177"/>
      <x:c r="Z141" s="177"/>
    </x:row>
    <x:row r="142">
      <x:c r="A142" s="177"/>
      <x:c r="B142" s="177"/>
      <x:c r="C142" s="177"/>
      <x:c r="D142" s="177"/>
      <x:c r="E142" s="177"/>
      <x:c r="F142" s="177"/>
      <x:c r="G142" s="177"/>
      <x:c r="H142" s="177"/>
      <x:c r="I142" s="177"/>
      <x:c r="J142" s="177"/>
      <x:c r="K142" s="177"/>
      <x:c r="L142" s="177"/>
      <x:c r="M142" s="177"/>
      <x:c r="N142" s="177"/>
      <x:c r="O142" s="177"/>
      <x:c r="P142" s="177"/>
      <x:c r="Q142" s="177"/>
      <x:c r="R142" s="177"/>
      <x:c r="S142" s="177"/>
      <x:c r="T142" s="177"/>
      <x:c r="U142" s="177"/>
      <x:c r="V142" s="177"/>
      <x:c r="W142" s="177"/>
      <x:c r="X142" s="177"/>
      <x:c r="Y142" s="177"/>
      <x:c r="Z142" s="177"/>
    </x:row>
    <x:row r="143">
      <x:c r="A143" s="177"/>
      <x:c r="B143" s="177"/>
      <x:c r="C143" s="177"/>
      <x:c r="D143" s="177"/>
      <x:c r="E143" s="177"/>
      <x:c r="F143" s="177"/>
      <x:c r="G143" s="177"/>
      <x:c r="H143" s="177"/>
      <x:c r="I143" s="177"/>
      <x:c r="J143" s="177"/>
      <x:c r="K143" s="177"/>
      <x:c r="L143" s="177"/>
      <x:c r="M143" s="177"/>
      <x:c r="N143" s="177"/>
      <x:c r="O143" s="177"/>
      <x:c r="P143" s="177"/>
      <x:c r="Q143" s="177"/>
      <x:c r="R143" s="177"/>
      <x:c r="S143" s="177"/>
      <x:c r="T143" s="177"/>
      <x:c r="U143" s="177"/>
      <x:c r="V143" s="177"/>
      <x:c r="W143" s="177"/>
      <x:c r="X143" s="177"/>
      <x:c r="Y143" s="177"/>
      <x:c r="Z143" s="177"/>
    </x:row>
    <x:row r="144">
      <x:c r="A144" s="177"/>
      <x:c r="B144" s="177"/>
      <x:c r="C144" s="177"/>
      <x:c r="D144" s="177"/>
      <x:c r="E144" s="177"/>
      <x:c r="F144" s="177"/>
      <x:c r="G144" s="177"/>
      <x:c r="H144" s="177"/>
      <x:c r="I144" s="177"/>
      <x:c r="J144" s="177"/>
      <x:c r="K144" s="177"/>
      <x:c r="L144" s="177"/>
      <x:c r="M144" s="177"/>
      <x:c r="N144" s="177"/>
      <x:c r="O144" s="177"/>
      <x:c r="P144" s="177"/>
      <x:c r="Q144" s="177"/>
      <x:c r="R144" s="177"/>
      <x:c r="S144" s="177"/>
      <x:c r="T144" s="177"/>
      <x:c r="U144" s="177"/>
      <x:c r="V144" s="177"/>
      <x:c r="W144" s="177"/>
      <x:c r="X144" s="177"/>
      <x:c r="Y144" s="177"/>
      <x:c r="Z144" s="177"/>
    </x:row>
    <x:row r="145">
      <x:c r="A145" s="177"/>
      <x:c r="B145" s="177"/>
      <x:c r="C145" s="177"/>
      <x:c r="D145" s="177"/>
      <x:c r="E145" s="177"/>
      <x:c r="F145" s="177"/>
      <x:c r="G145" s="177"/>
      <x:c r="H145" s="177"/>
      <x:c r="I145" s="177"/>
      <x:c r="J145" s="177"/>
      <x:c r="K145" s="177"/>
      <x:c r="L145" s="177"/>
      <x:c r="M145" s="177"/>
      <x:c r="N145" s="177"/>
      <x:c r="O145" s="177"/>
      <x:c r="P145" s="177"/>
      <x:c r="Q145" s="177"/>
      <x:c r="R145" s="177"/>
      <x:c r="S145" s="177"/>
      <x:c r="T145" s="177"/>
      <x:c r="U145" s="177"/>
      <x:c r="V145" s="177"/>
      <x:c r="W145" s="177"/>
      <x:c r="X145" s="177"/>
      <x:c r="Y145" s="177"/>
      <x:c r="Z145" s="177"/>
    </x:row>
    <x:row r="146">
      <x:c r="A146" s="177"/>
      <x:c r="B146" s="177"/>
      <x:c r="C146" s="177"/>
      <x:c r="D146" s="177"/>
      <x:c r="E146" s="177"/>
      <x:c r="F146" s="177"/>
      <x:c r="G146" s="177"/>
      <x:c r="H146" s="177"/>
      <x:c r="I146" s="177"/>
      <x:c r="J146" s="177"/>
      <x:c r="K146" s="177"/>
      <x:c r="L146" s="177"/>
      <x:c r="M146" s="177"/>
      <x:c r="N146" s="177"/>
      <x:c r="O146" s="177"/>
      <x:c r="P146" s="177"/>
      <x:c r="Q146" s="177"/>
      <x:c r="R146" s="177"/>
      <x:c r="S146" s="177"/>
      <x:c r="T146" s="177"/>
      <x:c r="U146" s="177"/>
      <x:c r="V146" s="177"/>
      <x:c r="W146" s="177"/>
      <x:c r="X146" s="177"/>
      <x:c r="Y146" s="177"/>
      <x:c r="Z146" s="177"/>
    </x:row>
    <x:row r="147">
      <x:c r="A147" s="177"/>
      <x:c r="B147" s="177"/>
      <x:c r="C147" s="177"/>
      <x:c r="D147" s="177"/>
      <x:c r="E147" s="177"/>
      <x:c r="F147" s="177"/>
      <x:c r="G147" s="177"/>
      <x:c r="H147" s="177"/>
      <x:c r="I147" s="177"/>
      <x:c r="J147" s="177"/>
      <x:c r="K147" s="177"/>
      <x:c r="L147" s="177"/>
      <x:c r="M147" s="177"/>
      <x:c r="N147" s="177"/>
      <x:c r="O147" s="177"/>
      <x:c r="P147" s="177"/>
      <x:c r="Q147" s="177"/>
      <x:c r="R147" s="177"/>
      <x:c r="S147" s="177"/>
      <x:c r="T147" s="177"/>
      <x:c r="U147" s="177"/>
      <x:c r="V147" s="177"/>
      <x:c r="W147" s="177"/>
      <x:c r="X147" s="177"/>
      <x:c r="Y147" s="177"/>
      <x:c r="Z147" s="177"/>
    </x:row>
    <x:row r="148">
      <x:c r="A148" s="177"/>
      <x:c r="B148" s="177"/>
      <x:c r="C148" s="177"/>
      <x:c r="D148" s="177"/>
      <x:c r="E148" s="177"/>
      <x:c r="F148" s="177"/>
      <x:c r="G148" s="177"/>
      <x:c r="H148" s="177"/>
      <x:c r="I148" s="177"/>
      <x:c r="J148" s="177"/>
      <x:c r="K148" s="177"/>
      <x:c r="L148" s="177"/>
      <x:c r="M148" s="177"/>
      <x:c r="N148" s="177"/>
      <x:c r="O148" s="177"/>
      <x:c r="P148" s="177"/>
      <x:c r="Q148" s="177"/>
      <x:c r="R148" s="177"/>
      <x:c r="S148" s="177"/>
      <x:c r="T148" s="177"/>
      <x:c r="U148" s="177"/>
      <x:c r="V148" s="177"/>
      <x:c r="W148" s="177"/>
      <x:c r="X148" s="177"/>
      <x:c r="Y148" s="177"/>
      <x:c r="Z148" s="177"/>
    </x:row>
    <x:row r="149">
      <x:c r="A149" s="177"/>
      <x:c r="B149" s="177"/>
      <x:c r="C149" s="177"/>
      <x:c r="D149" s="177"/>
      <x:c r="E149" s="177"/>
      <x:c r="F149" s="177"/>
      <x:c r="G149" s="177"/>
      <x:c r="H149" s="177"/>
      <x:c r="I149" s="177"/>
      <x:c r="J149" s="177"/>
      <x:c r="K149" s="177"/>
      <x:c r="L149" s="177"/>
      <x:c r="M149" s="177"/>
      <x:c r="N149" s="177"/>
      <x:c r="O149" s="177"/>
      <x:c r="P149" s="177"/>
      <x:c r="Q149" s="177"/>
      <x:c r="R149" s="177"/>
      <x:c r="S149" s="177"/>
      <x:c r="T149" s="177"/>
      <x:c r="U149" s="177"/>
      <x:c r="V149" s="177"/>
      <x:c r="W149" s="177"/>
      <x:c r="X149" s="177"/>
      <x:c r="Y149" s="177"/>
      <x:c r="Z149" s="177"/>
    </x:row>
    <x:row r="150">
      <x:c r="A150" s="177"/>
      <x:c r="B150" s="177"/>
      <x:c r="C150" s="177"/>
      <x:c r="D150" s="177"/>
      <x:c r="E150" s="177"/>
      <x:c r="F150" s="177"/>
      <x:c r="G150" s="177"/>
      <x:c r="H150" s="177"/>
      <x:c r="I150" s="177"/>
      <x:c r="J150" s="177"/>
      <x:c r="K150" s="177"/>
      <x:c r="L150" s="177"/>
      <x:c r="M150" s="177"/>
      <x:c r="N150" s="177"/>
      <x:c r="O150" s="177"/>
      <x:c r="P150" s="177"/>
      <x:c r="Q150" s="177"/>
      <x:c r="R150" s="177"/>
      <x:c r="S150" s="177"/>
      <x:c r="T150" s="177"/>
      <x:c r="U150" s="177"/>
      <x:c r="V150" s="177"/>
      <x:c r="W150" s="177"/>
      <x:c r="X150" s="177"/>
      <x:c r="Y150" s="177"/>
      <x:c r="Z150" s="177"/>
    </x:row>
    <x:row r="151">
      <x:c r="A151" s="177"/>
      <x:c r="B151" s="177"/>
      <x:c r="C151" s="177"/>
      <x:c r="D151" s="177"/>
      <x:c r="E151" s="177"/>
      <x:c r="F151" s="177"/>
      <x:c r="G151" s="177"/>
      <x:c r="H151" s="177"/>
      <x:c r="I151" s="177"/>
      <x:c r="J151" s="177"/>
      <x:c r="K151" s="177"/>
      <x:c r="L151" s="177"/>
      <x:c r="M151" s="177"/>
      <x:c r="N151" s="177"/>
      <x:c r="O151" s="177"/>
      <x:c r="P151" s="177"/>
      <x:c r="Q151" s="177"/>
      <x:c r="R151" s="177"/>
      <x:c r="S151" s="177"/>
      <x:c r="T151" s="177"/>
      <x:c r="U151" s="177"/>
      <x:c r="V151" s="177"/>
      <x:c r="W151" s="177"/>
      <x:c r="X151" s="177"/>
      <x:c r="Y151" s="177"/>
      <x:c r="Z151" s="177"/>
    </x:row>
    <x:row r="152">
      <x:c r="A152" s="177"/>
      <x:c r="B152" s="177"/>
      <x:c r="C152" s="177"/>
      <x:c r="D152" s="177"/>
      <x:c r="E152" s="177"/>
      <x:c r="F152" s="177"/>
      <x:c r="G152" s="177"/>
      <x:c r="H152" s="177"/>
      <x:c r="I152" s="177"/>
      <x:c r="J152" s="177"/>
      <x:c r="K152" s="177"/>
      <x:c r="L152" s="177"/>
      <x:c r="M152" s="177"/>
      <x:c r="N152" s="177"/>
      <x:c r="O152" s="177"/>
      <x:c r="P152" s="177"/>
      <x:c r="Q152" s="177"/>
      <x:c r="R152" s="177"/>
      <x:c r="S152" s="177"/>
      <x:c r="T152" s="177"/>
      <x:c r="U152" s="177"/>
      <x:c r="V152" s="177"/>
      <x:c r="W152" s="177"/>
      <x:c r="X152" s="177"/>
      <x:c r="Y152" s="177"/>
      <x:c r="Z152" s="177"/>
    </x:row>
    <x:row r="153">
      <x:c r="A153" s="177"/>
      <x:c r="B153" s="177"/>
      <x:c r="C153" s="177"/>
      <x:c r="D153" s="177"/>
      <x:c r="E153" s="177"/>
      <x:c r="F153" s="177"/>
      <x:c r="G153" s="177"/>
      <x:c r="H153" s="177"/>
      <x:c r="I153" s="177"/>
      <x:c r="J153" s="177"/>
      <x:c r="K153" s="177"/>
      <x:c r="L153" s="177"/>
      <x:c r="M153" s="177"/>
      <x:c r="N153" s="177"/>
      <x:c r="O153" s="177"/>
      <x:c r="P153" s="177"/>
      <x:c r="Q153" s="177"/>
      <x:c r="R153" s="177"/>
      <x:c r="S153" s="177"/>
      <x:c r="T153" s="177"/>
      <x:c r="U153" s="177"/>
      <x:c r="V153" s="177"/>
      <x:c r="W153" s="177"/>
      <x:c r="X153" s="177"/>
      <x:c r="Y153" s="177"/>
      <x:c r="Z153" s="177"/>
    </x:row>
    <x:row r="154">
      <x:c r="A154" s="177"/>
      <x:c r="B154" s="177"/>
      <x:c r="C154" s="177"/>
      <x:c r="D154" s="177"/>
      <x:c r="E154" s="177"/>
      <x:c r="F154" s="177"/>
      <x:c r="G154" s="177"/>
      <x:c r="H154" s="177"/>
      <x:c r="I154" s="177"/>
      <x:c r="J154" s="177"/>
      <x:c r="K154" s="177"/>
      <x:c r="L154" s="177"/>
      <x:c r="M154" s="177"/>
      <x:c r="N154" s="177"/>
      <x:c r="O154" s="177"/>
      <x:c r="P154" s="177"/>
      <x:c r="Q154" s="177"/>
      <x:c r="R154" s="177"/>
      <x:c r="S154" s="177"/>
      <x:c r="T154" s="177"/>
      <x:c r="U154" s="177"/>
      <x:c r="V154" s="177"/>
      <x:c r="W154" s="177"/>
      <x:c r="X154" s="177"/>
      <x:c r="Y154" s="177"/>
      <x:c r="Z154" s="177"/>
    </x:row>
    <x:row r="155">
      <x:c r="A155" s="177"/>
      <x:c r="B155" s="177"/>
      <x:c r="C155" s="177"/>
      <x:c r="D155" s="177"/>
      <x:c r="E155" s="177"/>
      <x:c r="F155" s="177"/>
      <x:c r="G155" s="177"/>
      <x:c r="H155" s="177"/>
      <x:c r="I155" s="177"/>
      <x:c r="J155" s="177"/>
      <x:c r="K155" s="177"/>
      <x:c r="L155" s="177"/>
      <x:c r="M155" s="177"/>
      <x:c r="N155" s="177"/>
      <x:c r="O155" s="177"/>
      <x:c r="P155" s="177"/>
      <x:c r="Q155" s="177"/>
      <x:c r="R155" s="177"/>
      <x:c r="S155" s="177"/>
      <x:c r="T155" s="177"/>
      <x:c r="U155" s="177"/>
      <x:c r="V155" s="177"/>
      <x:c r="W155" s="177"/>
      <x:c r="X155" s="177"/>
      <x:c r="Y155" s="177"/>
      <x:c r="Z155" s="177"/>
    </x:row>
    <x:row r="156">
      <x:c r="A156" s="177"/>
      <x:c r="B156" s="177"/>
      <x:c r="C156" s="177"/>
      <x:c r="D156" s="177"/>
      <x:c r="E156" s="177"/>
      <x:c r="F156" s="177"/>
      <x:c r="G156" s="177"/>
      <x:c r="H156" s="177"/>
      <x:c r="I156" s="177"/>
      <x:c r="J156" s="177"/>
      <x:c r="K156" s="177"/>
      <x:c r="L156" s="177"/>
      <x:c r="M156" s="177"/>
      <x:c r="N156" s="177"/>
      <x:c r="O156" s="177"/>
      <x:c r="P156" s="177"/>
      <x:c r="Q156" s="177"/>
      <x:c r="R156" s="177"/>
      <x:c r="S156" s="177"/>
      <x:c r="T156" s="177"/>
      <x:c r="U156" s="177"/>
      <x:c r="V156" s="177"/>
      <x:c r="W156" s="177"/>
      <x:c r="X156" s="177"/>
      <x:c r="Y156" s="177"/>
      <x:c r="Z156" s="177"/>
    </x:row>
    <x:row r="157">
      <x:c r="A157" s="177"/>
      <x:c r="B157" s="177"/>
      <x:c r="C157" s="177"/>
      <x:c r="D157" s="177"/>
      <x:c r="E157" s="177"/>
      <x:c r="F157" s="177"/>
      <x:c r="G157" s="177"/>
      <x:c r="H157" s="177"/>
      <x:c r="I157" s="177"/>
      <x:c r="J157" s="177"/>
      <x:c r="K157" s="177"/>
      <x:c r="L157" s="177"/>
      <x:c r="M157" s="177"/>
      <x:c r="N157" s="177"/>
      <x:c r="O157" s="177"/>
      <x:c r="P157" s="177"/>
      <x:c r="Q157" s="177"/>
      <x:c r="R157" s="177"/>
      <x:c r="S157" s="177"/>
      <x:c r="T157" s="177"/>
      <x:c r="U157" s="177"/>
      <x:c r="V157" s="177"/>
      <x:c r="W157" s="177"/>
      <x:c r="X157" s="177"/>
      <x:c r="Y157" s="177"/>
      <x:c r="Z157" s="177"/>
    </x:row>
    <x:row r="158">
      <x:c r="A158" s="177"/>
      <x:c r="B158" s="177"/>
      <x:c r="C158" s="177"/>
      <x:c r="D158" s="177"/>
      <x:c r="E158" s="177"/>
      <x:c r="F158" s="177"/>
      <x:c r="G158" s="177"/>
      <x:c r="H158" s="177"/>
      <x:c r="I158" s="177"/>
      <x:c r="J158" s="177"/>
      <x:c r="K158" s="177"/>
      <x:c r="L158" s="177"/>
      <x:c r="M158" s="177"/>
      <x:c r="N158" s="177"/>
      <x:c r="O158" s="177"/>
      <x:c r="P158" s="177"/>
      <x:c r="Q158" s="177"/>
      <x:c r="R158" s="177"/>
      <x:c r="S158" s="177"/>
      <x:c r="T158" s="177"/>
      <x:c r="U158" s="177"/>
      <x:c r="V158" s="177"/>
      <x:c r="W158" s="177"/>
      <x:c r="X158" s="177"/>
      <x:c r="Y158" s="177"/>
      <x:c r="Z158" s="177"/>
    </x:row>
    <x:row r="159">
      <x:c r="A159" s="177"/>
      <x:c r="B159" s="177"/>
      <x:c r="C159" s="177"/>
      <x:c r="D159" s="177"/>
      <x:c r="E159" s="177"/>
      <x:c r="F159" s="177"/>
      <x:c r="G159" s="177"/>
      <x:c r="H159" s="177"/>
      <x:c r="I159" s="177"/>
      <x:c r="J159" s="177"/>
      <x:c r="K159" s="177"/>
      <x:c r="L159" s="177"/>
      <x:c r="M159" s="177"/>
      <x:c r="N159" s="177"/>
      <x:c r="O159" s="177"/>
      <x:c r="P159" s="177"/>
      <x:c r="Q159" s="177"/>
      <x:c r="R159" s="177"/>
      <x:c r="S159" s="177"/>
      <x:c r="T159" s="177"/>
      <x:c r="U159" s="177"/>
      <x:c r="V159" s="177"/>
      <x:c r="W159" s="177"/>
      <x:c r="X159" s="177"/>
      <x:c r="Y159" s="177"/>
      <x:c r="Z159" s="177"/>
    </x:row>
    <x:row r="160">
      <x:c r="A160" s="177"/>
      <x:c r="B160" s="177"/>
      <x:c r="C160" s="177"/>
      <x:c r="D160" s="177"/>
      <x:c r="E160" s="177"/>
      <x:c r="F160" s="177"/>
      <x:c r="G160" s="177"/>
      <x:c r="H160" s="177"/>
      <x:c r="I160" s="177"/>
      <x:c r="J160" s="177"/>
      <x:c r="K160" s="177"/>
      <x:c r="L160" s="177"/>
      <x:c r="M160" s="177"/>
      <x:c r="N160" s="177"/>
      <x:c r="O160" s="177"/>
      <x:c r="P160" s="177"/>
      <x:c r="Q160" s="177"/>
      <x:c r="R160" s="177"/>
      <x:c r="S160" s="177"/>
      <x:c r="T160" s="177"/>
      <x:c r="U160" s="177"/>
      <x:c r="V160" s="177"/>
      <x:c r="W160" s="177"/>
      <x:c r="X160" s="177"/>
      <x:c r="Y160" s="177"/>
      <x:c r="Z160" s="177"/>
    </x:row>
    <x:row r="161">
      <x:c r="A161" s="177"/>
      <x:c r="B161" s="177"/>
      <x:c r="C161" s="177"/>
      <x:c r="D161" s="177"/>
      <x:c r="E161" s="177"/>
      <x:c r="F161" s="177"/>
      <x:c r="G161" s="177"/>
      <x:c r="H161" s="177"/>
      <x:c r="I161" s="177"/>
      <x:c r="J161" s="177"/>
      <x:c r="K161" s="177"/>
      <x:c r="L161" s="177"/>
      <x:c r="M161" s="177"/>
      <x:c r="N161" s="177"/>
      <x:c r="O161" s="177"/>
      <x:c r="P161" s="177"/>
      <x:c r="Q161" s="177"/>
      <x:c r="R161" s="177"/>
      <x:c r="S161" s="177"/>
      <x:c r="T161" s="177"/>
      <x:c r="U161" s="177"/>
      <x:c r="V161" s="177"/>
      <x:c r="W161" s="177"/>
      <x:c r="X161" s="177"/>
      <x:c r="Y161" s="177"/>
      <x:c r="Z161" s="177"/>
    </x:row>
    <x:row r="162">
      <x:c r="A162" s="177"/>
      <x:c r="B162" s="177"/>
      <x:c r="C162" s="177"/>
      <x:c r="D162" s="177"/>
      <x:c r="E162" s="177"/>
      <x:c r="F162" s="177"/>
      <x:c r="G162" s="177"/>
      <x:c r="H162" s="177"/>
      <x:c r="I162" s="177"/>
      <x:c r="J162" s="177"/>
      <x:c r="K162" s="177"/>
      <x:c r="L162" s="177"/>
      <x:c r="M162" s="177"/>
      <x:c r="N162" s="177"/>
      <x:c r="O162" s="177"/>
      <x:c r="P162" s="177"/>
      <x:c r="Q162" s="177"/>
      <x:c r="R162" s="177"/>
      <x:c r="S162" s="177"/>
      <x:c r="T162" s="177"/>
      <x:c r="U162" s="177"/>
      <x:c r="V162" s="177"/>
      <x:c r="W162" s="177"/>
      <x:c r="X162" s="177"/>
      <x:c r="Y162" s="177"/>
      <x:c r="Z162" s="177"/>
    </x:row>
    <x:row r="163">
      <x:c r="A163" s="177"/>
      <x:c r="B163" s="177"/>
      <x:c r="C163" s="177"/>
      <x:c r="D163" s="177"/>
      <x:c r="E163" s="177"/>
      <x:c r="F163" s="177"/>
      <x:c r="G163" s="177"/>
      <x:c r="H163" s="177"/>
      <x:c r="I163" s="177"/>
      <x:c r="J163" s="177"/>
      <x:c r="K163" s="177"/>
      <x:c r="L163" s="177"/>
      <x:c r="M163" s="177"/>
      <x:c r="N163" s="177"/>
      <x:c r="O163" s="177"/>
      <x:c r="P163" s="177"/>
      <x:c r="Q163" s="177"/>
      <x:c r="R163" s="177"/>
      <x:c r="S163" s="177"/>
      <x:c r="T163" s="177"/>
      <x:c r="U163" s="177"/>
      <x:c r="V163" s="177"/>
      <x:c r="W163" s="177"/>
      <x:c r="X163" s="177"/>
      <x:c r="Y163" s="177"/>
      <x:c r="Z163" s="177"/>
    </x:row>
    <x:row r="164">
      <x:c r="A164" s="177"/>
      <x:c r="B164" s="177"/>
      <x:c r="C164" s="177"/>
      <x:c r="D164" s="177"/>
      <x:c r="E164" s="177"/>
      <x:c r="F164" s="177"/>
      <x:c r="G164" s="177"/>
      <x:c r="H164" s="177"/>
      <x:c r="I164" s="177"/>
      <x:c r="J164" s="177"/>
      <x:c r="K164" s="177"/>
      <x:c r="L164" s="177"/>
      <x:c r="M164" s="177"/>
      <x:c r="N164" s="177"/>
      <x:c r="O164" s="177"/>
      <x:c r="P164" s="177"/>
      <x:c r="Q164" s="177"/>
      <x:c r="R164" s="177"/>
      <x:c r="S164" s="177"/>
      <x:c r="T164" s="177"/>
      <x:c r="U164" s="177"/>
      <x:c r="V164" s="177"/>
      <x:c r="W164" s="177"/>
      <x:c r="X164" s="177"/>
      <x:c r="Y164" s="177"/>
      <x:c r="Z164" s="177"/>
    </x:row>
    <x:row r="165">
      <x:c r="A165" s="177"/>
      <x:c r="B165" s="177"/>
      <x:c r="C165" s="177"/>
      <x:c r="D165" s="177"/>
      <x:c r="E165" s="177"/>
      <x:c r="F165" s="177"/>
      <x:c r="G165" s="177"/>
      <x:c r="H165" s="177"/>
      <x:c r="I165" s="177"/>
      <x:c r="J165" s="177"/>
      <x:c r="K165" s="177"/>
      <x:c r="L165" s="177"/>
      <x:c r="M165" s="177"/>
      <x:c r="N165" s="177"/>
      <x:c r="O165" s="177"/>
      <x:c r="P165" s="177"/>
      <x:c r="Q165" s="177"/>
      <x:c r="R165" s="177"/>
      <x:c r="S165" s="177"/>
      <x:c r="T165" s="177"/>
      <x:c r="U165" s="177"/>
      <x:c r="V165" s="177"/>
      <x:c r="W165" s="177"/>
      <x:c r="X165" s="177"/>
      <x:c r="Y165" s="177"/>
      <x:c r="Z165" s="177"/>
    </x:row>
    <x:row r="166">
      <x:c r="A166" s="177"/>
      <x:c r="B166" s="177"/>
      <x:c r="C166" s="177"/>
      <x:c r="D166" s="177"/>
      <x:c r="E166" s="177"/>
      <x:c r="F166" s="177"/>
      <x:c r="G166" s="177"/>
      <x:c r="H166" s="177"/>
      <x:c r="I166" s="177"/>
      <x:c r="J166" s="177"/>
      <x:c r="K166" s="177"/>
      <x:c r="L166" s="177"/>
      <x:c r="M166" s="177"/>
      <x:c r="N166" s="177"/>
      <x:c r="O166" s="177"/>
      <x:c r="P166" s="177"/>
      <x:c r="Q166" s="177"/>
      <x:c r="R166" s="177"/>
      <x:c r="S166" s="177"/>
      <x:c r="T166" s="177"/>
      <x:c r="U166" s="177"/>
      <x:c r="V166" s="177"/>
      <x:c r="W166" s="177"/>
      <x:c r="X166" s="177"/>
      <x:c r="Y166" s="177"/>
      <x:c r="Z166" s="177"/>
    </x:row>
    <x:row r="167">
      <x:c r="A167" s="177"/>
      <x:c r="B167" s="177"/>
      <x:c r="C167" s="177"/>
      <x:c r="D167" s="177"/>
      <x:c r="E167" s="177"/>
      <x:c r="F167" s="177"/>
      <x:c r="G167" s="177"/>
      <x:c r="H167" s="177"/>
      <x:c r="I167" s="177"/>
      <x:c r="J167" s="177"/>
      <x:c r="K167" s="177"/>
      <x:c r="L167" s="177"/>
      <x:c r="M167" s="177"/>
      <x:c r="N167" s="177"/>
      <x:c r="O167" s="177"/>
      <x:c r="P167" s="177"/>
      <x:c r="Q167" s="177"/>
      <x:c r="R167" s="177"/>
      <x:c r="S167" s="177"/>
      <x:c r="T167" s="177"/>
      <x:c r="U167" s="177"/>
      <x:c r="V167" s="177"/>
      <x:c r="W167" s="177"/>
      <x:c r="X167" s="177"/>
      <x:c r="Y167" s="177"/>
      <x:c r="Z167" s="177"/>
    </x:row>
    <x:row r="168">
      <x:c r="A168" s="177"/>
      <x:c r="B168" s="177"/>
      <x:c r="C168" s="177"/>
      <x:c r="D168" s="177"/>
      <x:c r="E168" s="177"/>
      <x:c r="F168" s="177"/>
      <x:c r="G168" s="177"/>
      <x:c r="H168" s="177"/>
      <x:c r="I168" s="177"/>
      <x:c r="J168" s="177"/>
      <x:c r="K168" s="177"/>
      <x:c r="L168" s="177"/>
      <x:c r="M168" s="177"/>
      <x:c r="N168" s="177"/>
      <x:c r="O168" s="177"/>
      <x:c r="P168" s="177"/>
      <x:c r="Q168" s="177"/>
      <x:c r="R168" s="177"/>
      <x:c r="S168" s="177"/>
      <x:c r="T168" s="177"/>
      <x:c r="U168" s="177"/>
      <x:c r="V168" s="177"/>
      <x:c r="W168" s="177"/>
      <x:c r="X168" s="177"/>
      <x:c r="Y168" s="177"/>
      <x:c r="Z168" s="177"/>
    </x:row>
    <x:row r="169">
      <x:c r="A169" s="177"/>
      <x:c r="B169" s="177"/>
      <x:c r="C169" s="177"/>
      <x:c r="D169" s="177"/>
      <x:c r="E169" s="177"/>
      <x:c r="F169" s="177"/>
      <x:c r="G169" s="177"/>
      <x:c r="H169" s="177"/>
      <x:c r="I169" s="177"/>
      <x:c r="J169" s="177"/>
      <x:c r="K169" s="177"/>
      <x:c r="L169" s="177"/>
      <x:c r="M169" s="177"/>
      <x:c r="N169" s="177"/>
      <x:c r="O169" s="177"/>
      <x:c r="P169" s="177"/>
      <x:c r="Q169" s="177"/>
      <x:c r="R169" s="177"/>
      <x:c r="S169" s="177"/>
      <x:c r="T169" s="177"/>
      <x:c r="U169" s="177"/>
      <x:c r="V169" s="177"/>
      <x:c r="W169" s="177"/>
      <x:c r="X169" s="177"/>
      <x:c r="Y169" s="177"/>
      <x:c r="Z169" s="177"/>
    </x:row>
    <x:row r="170">
      <x:c r="A170" s="177"/>
      <x:c r="B170" s="177"/>
      <x:c r="C170" s="177"/>
      <x:c r="D170" s="177"/>
      <x:c r="E170" s="177"/>
      <x:c r="F170" s="177"/>
      <x:c r="G170" s="177"/>
      <x:c r="H170" s="177"/>
      <x:c r="I170" s="177"/>
      <x:c r="J170" s="177"/>
      <x:c r="K170" s="177"/>
      <x:c r="L170" s="177"/>
      <x:c r="M170" s="177"/>
      <x:c r="N170" s="177"/>
      <x:c r="O170" s="177"/>
      <x:c r="P170" s="177"/>
      <x:c r="Q170" s="177"/>
      <x:c r="R170" s="177"/>
      <x:c r="S170" s="177"/>
      <x:c r="T170" s="177"/>
      <x:c r="U170" s="177"/>
      <x:c r="V170" s="177"/>
      <x:c r="W170" s="177"/>
      <x:c r="X170" s="177"/>
      <x:c r="Y170" s="177"/>
      <x:c r="Z170" s="177"/>
    </x:row>
    <x:row r="171">
      <x:c r="A171" s="177"/>
      <x:c r="B171" s="177"/>
      <x:c r="C171" s="177"/>
      <x:c r="D171" s="177"/>
      <x:c r="E171" s="177"/>
      <x:c r="F171" s="177"/>
      <x:c r="G171" s="177"/>
      <x:c r="H171" s="177"/>
      <x:c r="I171" s="177"/>
      <x:c r="J171" s="177"/>
      <x:c r="K171" s="177"/>
      <x:c r="L171" s="177"/>
      <x:c r="M171" s="177"/>
      <x:c r="N171" s="177"/>
      <x:c r="O171" s="177"/>
      <x:c r="P171" s="177"/>
      <x:c r="Q171" s="177"/>
      <x:c r="R171" s="177"/>
      <x:c r="S171" s="177"/>
      <x:c r="T171" s="177"/>
      <x:c r="U171" s="177"/>
      <x:c r="V171" s="177"/>
      <x:c r="W171" s="177"/>
      <x:c r="X171" s="177"/>
      <x:c r="Y171" s="177"/>
      <x:c r="Z171" s="177"/>
    </x:row>
    <x:row r="172">
      <x:c r="A172" s="177"/>
      <x:c r="B172" s="177"/>
      <x:c r="C172" s="177"/>
      <x:c r="D172" s="177"/>
      <x:c r="E172" s="177"/>
      <x:c r="F172" s="177"/>
      <x:c r="G172" s="177"/>
      <x:c r="H172" s="177"/>
      <x:c r="I172" s="177"/>
      <x:c r="J172" s="177"/>
      <x:c r="K172" s="177"/>
      <x:c r="L172" s="177"/>
      <x:c r="M172" s="177"/>
      <x:c r="N172" s="177"/>
      <x:c r="O172" s="177"/>
      <x:c r="P172" s="177"/>
      <x:c r="Q172" s="177"/>
      <x:c r="R172" s="177"/>
      <x:c r="S172" s="177"/>
      <x:c r="T172" s="177"/>
      <x:c r="U172" s="177"/>
      <x:c r="V172" s="177"/>
      <x:c r="W172" s="177"/>
      <x:c r="X172" s="177"/>
      <x:c r="Y172" s="177"/>
      <x:c r="Z172" s="177"/>
    </x:row>
    <x:row r="173">
      <x:c r="A173" s="177"/>
      <x:c r="B173" s="177"/>
      <x:c r="C173" s="177"/>
      <x:c r="D173" s="177"/>
      <x:c r="E173" s="177"/>
      <x:c r="F173" s="177"/>
      <x:c r="G173" s="177"/>
      <x:c r="H173" s="177"/>
      <x:c r="I173" s="177"/>
      <x:c r="J173" s="177"/>
      <x:c r="K173" s="177"/>
      <x:c r="L173" s="177"/>
      <x:c r="M173" s="177"/>
      <x:c r="N173" s="177"/>
      <x:c r="O173" s="177"/>
      <x:c r="P173" s="177"/>
      <x:c r="Q173" s="177"/>
      <x:c r="R173" s="177"/>
      <x:c r="S173" s="177"/>
      <x:c r="T173" s="177"/>
      <x:c r="U173" s="177"/>
      <x:c r="V173" s="177"/>
      <x:c r="W173" s="177"/>
      <x:c r="X173" s="177"/>
      <x:c r="Y173" s="177"/>
      <x:c r="Z173" s="177"/>
    </x:row>
    <x:row r="174">
      <x:c r="A174" s="177"/>
      <x:c r="B174" s="177"/>
      <x:c r="C174" s="177"/>
      <x:c r="D174" s="177"/>
      <x:c r="E174" s="177"/>
      <x:c r="F174" s="177"/>
      <x:c r="G174" s="177"/>
      <x:c r="H174" s="177"/>
      <x:c r="I174" s="177"/>
      <x:c r="J174" s="177"/>
      <x:c r="K174" s="177"/>
      <x:c r="L174" s="177"/>
      <x:c r="M174" s="177"/>
      <x:c r="N174" s="177"/>
      <x:c r="O174" s="177"/>
      <x:c r="P174" s="177"/>
      <x:c r="Q174" s="177"/>
      <x:c r="R174" s="177"/>
      <x:c r="S174" s="177"/>
      <x:c r="T174" s="177"/>
      <x:c r="U174" s="177"/>
      <x:c r="V174" s="177"/>
      <x:c r="W174" s="177"/>
      <x:c r="X174" s="177"/>
      <x:c r="Y174" s="177"/>
      <x:c r="Z174" s="177"/>
    </x:row>
    <x:row r="175">
      <x:c r="A175" s="177"/>
      <x:c r="B175" s="177"/>
      <x:c r="C175" s="177"/>
      <x:c r="D175" s="177"/>
      <x:c r="E175" s="177"/>
      <x:c r="F175" s="177"/>
      <x:c r="G175" s="177"/>
      <x:c r="H175" s="177"/>
      <x:c r="I175" s="177"/>
      <x:c r="J175" s="177"/>
      <x:c r="K175" s="177"/>
      <x:c r="L175" s="177"/>
      <x:c r="M175" s="177"/>
      <x:c r="N175" s="177"/>
      <x:c r="O175" s="177"/>
      <x:c r="P175" s="177"/>
      <x:c r="Q175" s="177"/>
      <x:c r="R175" s="177"/>
      <x:c r="S175" s="177"/>
      <x:c r="T175" s="177"/>
      <x:c r="U175" s="177"/>
      <x:c r="V175" s="177"/>
      <x:c r="W175" s="177"/>
      <x:c r="X175" s="177"/>
      <x:c r="Y175" s="177"/>
      <x:c r="Z175" s="177"/>
    </x:row>
    <x:row r="176">
      <x:c r="A176" s="177"/>
      <x:c r="B176" s="177"/>
      <x:c r="C176" s="177"/>
      <x:c r="D176" s="177"/>
      <x:c r="E176" s="177"/>
      <x:c r="F176" s="177"/>
      <x:c r="G176" s="177"/>
      <x:c r="H176" s="177"/>
      <x:c r="I176" s="177"/>
      <x:c r="J176" s="177"/>
      <x:c r="K176" s="177"/>
      <x:c r="L176" s="177"/>
      <x:c r="M176" s="177"/>
      <x:c r="N176" s="177"/>
      <x:c r="O176" s="177"/>
      <x:c r="P176" s="177"/>
      <x:c r="Q176" s="177"/>
      <x:c r="R176" s="177"/>
      <x:c r="S176" s="177"/>
      <x:c r="T176" s="177"/>
      <x:c r="U176" s="177"/>
      <x:c r="V176" s="177"/>
      <x:c r="W176" s="177"/>
      <x:c r="X176" s="177"/>
      <x:c r="Y176" s="177"/>
      <x:c r="Z176" s="177"/>
    </x:row>
    <x:row r="177">
      <x:c r="A177" s="177"/>
      <x:c r="B177" s="177"/>
      <x:c r="C177" s="177"/>
      <x:c r="D177" s="177"/>
      <x:c r="E177" s="177"/>
      <x:c r="F177" s="177"/>
      <x:c r="G177" s="177"/>
      <x:c r="H177" s="177"/>
      <x:c r="I177" s="177"/>
      <x:c r="J177" s="177"/>
      <x:c r="K177" s="177"/>
      <x:c r="L177" s="177"/>
      <x:c r="M177" s="177"/>
      <x:c r="N177" s="177"/>
      <x:c r="O177" s="177"/>
      <x:c r="P177" s="177"/>
      <x:c r="Q177" s="177"/>
      <x:c r="R177" s="177"/>
      <x:c r="S177" s="177"/>
      <x:c r="T177" s="177"/>
      <x:c r="U177" s="177"/>
      <x:c r="V177" s="177"/>
      <x:c r="W177" s="177"/>
      <x:c r="X177" s="177"/>
      <x:c r="Y177" s="177"/>
      <x:c r="Z177" s="177"/>
    </x:row>
    <x:row r="178">
      <x:c r="A178" s="177"/>
      <x:c r="B178" s="177"/>
      <x:c r="C178" s="177"/>
      <x:c r="D178" s="177"/>
      <x:c r="E178" s="177"/>
      <x:c r="F178" s="177"/>
      <x:c r="G178" s="177"/>
      <x:c r="H178" s="177"/>
      <x:c r="I178" s="177"/>
      <x:c r="J178" s="177"/>
      <x:c r="K178" s="177"/>
      <x:c r="L178" s="177"/>
      <x:c r="M178" s="177"/>
      <x:c r="N178" s="177"/>
      <x:c r="O178" s="177"/>
      <x:c r="P178" s="177"/>
      <x:c r="Q178" s="177"/>
      <x:c r="R178" s="177"/>
      <x:c r="S178" s="177"/>
      <x:c r="T178" s="177"/>
      <x:c r="U178" s="177"/>
      <x:c r="V178" s="177"/>
      <x:c r="W178" s="177"/>
      <x:c r="X178" s="177"/>
      <x:c r="Y178" s="177"/>
      <x:c r="Z178" s="177"/>
    </x:row>
    <x:row r="179">
      <x:c r="A179" s="177"/>
      <x:c r="B179" s="177"/>
      <x:c r="C179" s="177"/>
      <x:c r="D179" s="177"/>
      <x:c r="E179" s="177"/>
      <x:c r="F179" s="177"/>
      <x:c r="G179" s="177"/>
      <x:c r="H179" s="177"/>
      <x:c r="I179" s="177"/>
      <x:c r="J179" s="177"/>
      <x:c r="K179" s="177"/>
      <x:c r="L179" s="177"/>
      <x:c r="M179" s="177"/>
      <x:c r="N179" s="177"/>
      <x:c r="O179" s="177"/>
      <x:c r="P179" s="177"/>
      <x:c r="Q179" s="177"/>
      <x:c r="R179" s="177"/>
      <x:c r="S179" s="177"/>
      <x:c r="T179" s="177"/>
      <x:c r="U179" s="177"/>
      <x:c r="V179" s="177"/>
      <x:c r="W179" s="177"/>
      <x:c r="X179" s="177"/>
      <x:c r="Y179" s="177"/>
      <x:c r="Z179" s="177"/>
    </x:row>
    <x:row r="180">
      <x:c r="A180" s="177"/>
      <x:c r="B180" s="177"/>
      <x:c r="C180" s="177"/>
      <x:c r="D180" s="177"/>
      <x:c r="E180" s="177"/>
      <x:c r="F180" s="177"/>
      <x:c r="G180" s="177"/>
      <x:c r="H180" s="177"/>
      <x:c r="I180" s="177"/>
      <x:c r="J180" s="177"/>
      <x:c r="K180" s="177"/>
      <x:c r="L180" s="177"/>
      <x:c r="M180" s="177"/>
      <x:c r="N180" s="177"/>
      <x:c r="O180" s="177"/>
      <x:c r="P180" s="177"/>
      <x:c r="Q180" s="177"/>
      <x:c r="R180" s="177"/>
      <x:c r="S180" s="177"/>
      <x:c r="T180" s="177"/>
      <x:c r="U180" s="177"/>
      <x:c r="V180" s="177"/>
      <x:c r="W180" s="177"/>
      <x:c r="X180" s="177"/>
      <x:c r="Y180" s="177"/>
      <x:c r="Z180" s="177"/>
    </x:row>
    <x:row r="181">
      <x:c r="A181" s="177"/>
      <x:c r="B181" s="177"/>
      <x:c r="C181" s="177"/>
      <x:c r="D181" s="177"/>
      <x:c r="E181" s="177"/>
      <x:c r="F181" s="177"/>
      <x:c r="G181" s="177"/>
      <x:c r="H181" s="177"/>
      <x:c r="I181" s="177"/>
      <x:c r="J181" s="177"/>
      <x:c r="K181" s="177"/>
      <x:c r="L181" s="177"/>
      <x:c r="M181" s="177"/>
      <x:c r="N181" s="177"/>
      <x:c r="O181" s="177"/>
      <x:c r="P181" s="177"/>
      <x:c r="Q181" s="177"/>
      <x:c r="R181" s="177"/>
      <x:c r="S181" s="177"/>
      <x:c r="T181" s="177"/>
      <x:c r="U181" s="177"/>
      <x:c r="V181" s="177"/>
      <x:c r="W181" s="177"/>
      <x:c r="X181" s="177"/>
      <x:c r="Y181" s="177"/>
      <x:c r="Z181" s="177"/>
    </x:row>
    <x:row r="182">
      <x:c r="A182" s="177"/>
      <x:c r="B182" s="177"/>
      <x:c r="C182" s="177"/>
      <x:c r="D182" s="177"/>
      <x:c r="E182" s="177"/>
      <x:c r="F182" s="177"/>
      <x:c r="G182" s="177"/>
      <x:c r="H182" s="177"/>
      <x:c r="I182" s="177"/>
      <x:c r="J182" s="177"/>
      <x:c r="K182" s="177"/>
      <x:c r="L182" s="177"/>
      <x:c r="M182" s="177"/>
      <x:c r="N182" s="177"/>
      <x:c r="O182" s="177"/>
      <x:c r="P182" s="177"/>
      <x:c r="Q182" s="177"/>
      <x:c r="R182" s="177"/>
      <x:c r="S182" s="177"/>
      <x:c r="T182" s="177"/>
      <x:c r="U182" s="177"/>
      <x:c r="V182" s="177"/>
      <x:c r="W182" s="177"/>
      <x:c r="X182" s="177"/>
      <x:c r="Y182" s="177"/>
      <x:c r="Z182" s="177"/>
    </x:row>
    <x:row r="183">
      <x:c r="A183" s="177"/>
      <x:c r="B183" s="177"/>
      <x:c r="C183" s="177"/>
      <x:c r="D183" s="177"/>
      <x:c r="E183" s="177"/>
      <x:c r="F183" s="177"/>
      <x:c r="G183" s="177"/>
      <x:c r="H183" s="177"/>
      <x:c r="I183" s="177"/>
      <x:c r="J183" s="177"/>
      <x:c r="K183" s="177"/>
      <x:c r="L183" s="177"/>
      <x:c r="M183" s="177"/>
      <x:c r="N183" s="177"/>
      <x:c r="O183" s="177"/>
      <x:c r="P183" s="177"/>
      <x:c r="Q183" s="177"/>
      <x:c r="R183" s="177"/>
      <x:c r="S183" s="177"/>
      <x:c r="T183" s="177"/>
      <x:c r="U183" s="177"/>
      <x:c r="V183" s="177"/>
      <x:c r="W183" s="177"/>
      <x:c r="X183" s="177"/>
      <x:c r="Y183" s="177"/>
      <x:c r="Z183" s="177"/>
    </x:row>
    <x:row r="184">
      <x:c r="A184" s="177"/>
      <x:c r="B184" s="177"/>
      <x:c r="C184" s="177"/>
      <x:c r="D184" s="177"/>
      <x:c r="E184" s="177"/>
      <x:c r="F184" s="177"/>
      <x:c r="G184" s="177"/>
      <x:c r="H184" s="177"/>
      <x:c r="I184" s="177"/>
      <x:c r="J184" s="177"/>
      <x:c r="K184" s="177"/>
      <x:c r="L184" s="177"/>
      <x:c r="M184" s="177"/>
      <x:c r="N184" s="177"/>
      <x:c r="O184" s="177"/>
      <x:c r="P184" s="177"/>
      <x:c r="Q184" s="177"/>
      <x:c r="R184" s="177"/>
      <x:c r="S184" s="177"/>
      <x:c r="T184" s="177"/>
      <x:c r="U184" s="177"/>
      <x:c r="V184" s="177"/>
      <x:c r="W184" s="177"/>
      <x:c r="X184" s="177"/>
      <x:c r="Y184" s="177"/>
      <x:c r="Z184" s="177"/>
    </x:row>
    <x:row r="185">
      <x:c r="A185" s="177"/>
      <x:c r="B185" s="177"/>
      <x:c r="C185" s="177"/>
      <x:c r="D185" s="177"/>
      <x:c r="E185" s="177"/>
      <x:c r="F185" s="177"/>
      <x:c r="G185" s="177"/>
      <x:c r="H185" s="177"/>
      <x:c r="I185" s="177"/>
      <x:c r="J185" s="177"/>
      <x:c r="K185" s="177"/>
      <x:c r="L185" s="177"/>
      <x:c r="M185" s="177"/>
      <x:c r="N185" s="177"/>
      <x:c r="O185" s="177"/>
      <x:c r="P185" s="177"/>
      <x:c r="Q185" s="177"/>
      <x:c r="R185" s="177"/>
      <x:c r="S185" s="177"/>
      <x:c r="T185" s="177"/>
      <x:c r="U185" s="177"/>
      <x:c r="V185" s="177"/>
      <x:c r="W185" s="177"/>
      <x:c r="X185" s="177"/>
      <x:c r="Y185" s="177"/>
      <x:c r="Z185" s="177"/>
    </x:row>
    <x:row r="186">
      <x:c r="A186" s="177"/>
      <x:c r="B186" s="177"/>
      <x:c r="C186" s="177"/>
      <x:c r="D186" s="177"/>
      <x:c r="E186" s="177"/>
      <x:c r="F186" s="177"/>
      <x:c r="G186" s="177"/>
      <x:c r="H186" s="177"/>
      <x:c r="I186" s="177"/>
      <x:c r="J186" s="177"/>
      <x:c r="K186" s="177"/>
      <x:c r="L186" s="177"/>
      <x:c r="M186" s="177"/>
      <x:c r="N186" s="177"/>
      <x:c r="O186" s="177"/>
      <x:c r="P186" s="177"/>
      <x:c r="Q186" s="177"/>
      <x:c r="R186" s="177"/>
      <x:c r="S186" s="177"/>
      <x:c r="T186" s="177"/>
      <x:c r="U186" s="177"/>
      <x:c r="V186" s="177"/>
      <x:c r="W186" s="177"/>
      <x:c r="X186" s="177"/>
      <x:c r="Y186" s="177"/>
      <x:c r="Z186" s="177"/>
    </x:row>
    <x:row r="187">
      <x:c r="A187" s="177"/>
      <x:c r="B187" s="177"/>
      <x:c r="C187" s="177"/>
      <x:c r="D187" s="177"/>
      <x:c r="E187" s="177"/>
      <x:c r="F187" s="177"/>
      <x:c r="G187" s="177"/>
      <x:c r="H187" s="177"/>
      <x:c r="I187" s="177"/>
      <x:c r="J187" s="177"/>
      <x:c r="K187" s="177"/>
      <x:c r="L187" s="177"/>
      <x:c r="M187" s="177"/>
      <x:c r="N187" s="177"/>
      <x:c r="O187" s="177"/>
      <x:c r="P187" s="177"/>
      <x:c r="Q187" s="177"/>
      <x:c r="R187" s="177"/>
      <x:c r="S187" s="177"/>
      <x:c r="T187" s="177"/>
      <x:c r="U187" s="177"/>
      <x:c r="V187" s="177"/>
      <x:c r="W187" s="177"/>
      <x:c r="X187" s="177"/>
      <x:c r="Y187" s="177"/>
      <x:c r="Z187" s="177"/>
    </x:row>
    <x:row r="188">
      <x:c r="A188" s="177"/>
      <x:c r="B188" s="177"/>
      <x:c r="C188" s="177"/>
      <x:c r="D188" s="177"/>
      <x:c r="E188" s="177"/>
      <x:c r="F188" s="177"/>
      <x:c r="G188" s="177"/>
      <x:c r="H188" s="177"/>
      <x:c r="I188" s="177"/>
      <x:c r="J188" s="177"/>
      <x:c r="K188" s="177"/>
      <x:c r="L188" s="177"/>
      <x:c r="M188" s="177"/>
      <x:c r="N188" s="177"/>
      <x:c r="O188" s="177"/>
      <x:c r="P188" s="177"/>
      <x:c r="Q188" s="177"/>
      <x:c r="R188" s="177"/>
      <x:c r="S188" s="177"/>
      <x:c r="T188" s="177"/>
      <x:c r="U188" s="177"/>
      <x:c r="V188" s="177"/>
      <x:c r="W188" s="177"/>
      <x:c r="X188" s="177"/>
      <x:c r="Y188" s="177"/>
      <x:c r="Z188" s="177"/>
    </x:row>
    <x:row r="189">
      <x:c r="A189" s="177"/>
      <x:c r="B189" s="177"/>
      <x:c r="C189" s="177"/>
      <x:c r="D189" s="177"/>
      <x:c r="E189" s="177"/>
      <x:c r="F189" s="177"/>
      <x:c r="G189" s="177"/>
      <x:c r="H189" s="177"/>
      <x:c r="I189" s="177"/>
      <x:c r="J189" s="177"/>
      <x:c r="K189" s="177"/>
      <x:c r="L189" s="177"/>
      <x:c r="M189" s="177"/>
      <x:c r="N189" s="177"/>
      <x:c r="O189" s="177"/>
      <x:c r="P189" s="177"/>
      <x:c r="Q189" s="177"/>
      <x:c r="R189" s="177"/>
      <x:c r="S189" s="177"/>
      <x:c r="T189" s="177"/>
      <x:c r="U189" s="177"/>
      <x:c r="V189" s="177"/>
      <x:c r="W189" s="177"/>
      <x:c r="X189" s="177"/>
      <x:c r="Y189" s="177"/>
      <x:c r="Z189" s="177"/>
    </x:row>
    <x:row r="190">
      <x:c r="A190" s="177"/>
      <x:c r="B190" s="177"/>
      <x:c r="C190" s="177"/>
      <x:c r="D190" s="177"/>
      <x:c r="E190" s="177"/>
      <x:c r="F190" s="177"/>
      <x:c r="G190" s="177"/>
      <x:c r="H190" s="177"/>
      <x:c r="I190" s="177"/>
      <x:c r="J190" s="177"/>
      <x:c r="K190" s="177"/>
      <x:c r="L190" s="177"/>
      <x:c r="M190" s="177"/>
      <x:c r="N190" s="177"/>
      <x:c r="O190" s="177"/>
      <x:c r="P190" s="177"/>
      <x:c r="Q190" s="177"/>
      <x:c r="R190" s="177"/>
      <x:c r="S190" s="177"/>
      <x:c r="T190" s="177"/>
      <x:c r="U190" s="177"/>
      <x:c r="V190" s="177"/>
      <x:c r="W190" s="177"/>
      <x:c r="X190" s="177"/>
      <x:c r="Y190" s="177"/>
      <x:c r="Z190" s="177"/>
    </x:row>
    <x:row r="191">
      <x:c r="A191" s="177"/>
      <x:c r="B191" s="177"/>
      <x:c r="C191" s="177"/>
      <x:c r="D191" s="177"/>
      <x:c r="E191" s="177"/>
      <x:c r="F191" s="177"/>
      <x:c r="G191" s="177"/>
      <x:c r="H191" s="177"/>
      <x:c r="I191" s="177"/>
      <x:c r="J191" s="177"/>
      <x:c r="K191" s="177"/>
      <x:c r="L191" s="177"/>
      <x:c r="M191" s="177"/>
      <x:c r="N191" s="177"/>
      <x:c r="O191" s="177"/>
      <x:c r="P191" s="177"/>
      <x:c r="Q191" s="177"/>
      <x:c r="R191" s="177"/>
      <x:c r="S191" s="177"/>
      <x:c r="T191" s="177"/>
      <x:c r="U191" s="177"/>
      <x:c r="V191" s="177"/>
      <x:c r="W191" s="177"/>
      <x:c r="X191" s="177"/>
      <x:c r="Y191" s="177"/>
      <x:c r="Z191" s="177"/>
    </x:row>
    <x:row r="192">
      <x:c r="A192" s="177"/>
      <x:c r="B192" s="177"/>
      <x:c r="C192" s="177"/>
      <x:c r="D192" s="177"/>
      <x:c r="E192" s="177"/>
      <x:c r="F192" s="177"/>
      <x:c r="G192" s="177"/>
      <x:c r="H192" s="177"/>
      <x:c r="I192" s="177"/>
      <x:c r="J192" s="177"/>
      <x:c r="K192" s="177"/>
      <x:c r="L192" s="177"/>
      <x:c r="M192" s="177"/>
      <x:c r="N192" s="177"/>
      <x:c r="O192" s="177"/>
      <x:c r="P192" s="177"/>
      <x:c r="Q192" s="177"/>
      <x:c r="R192" s="177"/>
      <x:c r="S192" s="177"/>
      <x:c r="T192" s="177"/>
      <x:c r="U192" s="177"/>
      <x:c r="V192" s="177"/>
      <x:c r="W192" s="177"/>
      <x:c r="X192" s="177"/>
      <x:c r="Y192" s="177"/>
      <x:c r="Z192" s="177"/>
    </x:row>
    <x:row r="193">
      <x:c r="A193" s="177"/>
      <x:c r="B193" s="177"/>
      <x:c r="C193" s="177"/>
      <x:c r="D193" s="177"/>
      <x:c r="E193" s="177"/>
      <x:c r="F193" s="177"/>
      <x:c r="G193" s="177"/>
      <x:c r="H193" s="177"/>
      <x:c r="I193" s="177"/>
      <x:c r="J193" s="177"/>
      <x:c r="K193" s="177"/>
      <x:c r="L193" s="177"/>
      <x:c r="M193" s="177"/>
      <x:c r="N193" s="177"/>
      <x:c r="O193" s="177"/>
      <x:c r="P193" s="177"/>
      <x:c r="Q193" s="177"/>
      <x:c r="R193" s="177"/>
      <x:c r="S193" s="177"/>
      <x:c r="T193" s="177"/>
      <x:c r="U193" s="177"/>
      <x:c r="V193" s="177"/>
      <x:c r="W193" s="177"/>
      <x:c r="X193" s="177"/>
      <x:c r="Y193" s="177"/>
      <x:c r="Z193" s="177"/>
    </x:row>
    <x:row r="194">
      <x:c r="A194" s="177"/>
      <x:c r="B194" s="177"/>
      <x:c r="C194" s="177"/>
      <x:c r="D194" s="177"/>
      <x:c r="E194" s="177"/>
      <x:c r="F194" s="177"/>
      <x:c r="G194" s="177"/>
      <x:c r="H194" s="177"/>
      <x:c r="I194" s="177"/>
      <x:c r="J194" s="177"/>
      <x:c r="K194" s="177"/>
      <x:c r="L194" s="177"/>
      <x:c r="M194" s="177"/>
      <x:c r="N194" s="177"/>
      <x:c r="O194" s="177"/>
      <x:c r="P194" s="177"/>
      <x:c r="Q194" s="177"/>
      <x:c r="R194" s="177"/>
      <x:c r="S194" s="177"/>
      <x:c r="T194" s="177"/>
      <x:c r="U194" s="177"/>
      <x:c r="V194" s="177"/>
      <x:c r="W194" s="177"/>
      <x:c r="X194" s="177"/>
      <x:c r="Y194" s="177"/>
      <x:c r="Z194" s="177"/>
    </x:row>
    <x:row r="195">
      <x:c r="A195" s="177"/>
      <x:c r="B195" s="177"/>
      <x:c r="C195" s="177"/>
      <x:c r="D195" s="177"/>
      <x:c r="E195" s="177"/>
      <x:c r="F195" s="177"/>
      <x:c r="G195" s="177"/>
      <x:c r="H195" s="177"/>
      <x:c r="I195" s="177"/>
      <x:c r="J195" s="177"/>
      <x:c r="K195" s="177"/>
      <x:c r="L195" s="177"/>
      <x:c r="M195" s="177"/>
      <x:c r="N195" s="177"/>
      <x:c r="O195" s="177"/>
      <x:c r="P195" s="177"/>
      <x:c r="Q195" s="177"/>
      <x:c r="R195" s="177"/>
      <x:c r="S195" s="177"/>
      <x:c r="T195" s="177"/>
      <x:c r="U195" s="177"/>
      <x:c r="V195" s="177"/>
      <x:c r="W195" s="177"/>
      <x:c r="X195" s="177"/>
      <x:c r="Y195" s="177"/>
      <x:c r="Z195" s="177"/>
    </x:row>
    <x:row r="196">
      <x:c r="A196" s="177"/>
      <x:c r="B196" s="177"/>
      <x:c r="C196" s="177"/>
      <x:c r="D196" s="177"/>
      <x:c r="E196" s="177"/>
      <x:c r="F196" s="177"/>
      <x:c r="G196" s="177"/>
      <x:c r="H196" s="177"/>
      <x:c r="I196" s="177"/>
      <x:c r="J196" s="177"/>
      <x:c r="K196" s="177"/>
      <x:c r="L196" s="177"/>
      <x:c r="M196" s="177"/>
      <x:c r="N196" s="177"/>
      <x:c r="O196" s="177"/>
      <x:c r="P196" s="177"/>
      <x:c r="Q196" s="177"/>
      <x:c r="R196" s="177"/>
      <x:c r="S196" s="177"/>
      <x:c r="T196" s="177"/>
      <x:c r="U196" s="177"/>
      <x:c r="V196" s="177"/>
      <x:c r="W196" s="177"/>
      <x:c r="X196" s="177"/>
      <x:c r="Y196" s="177"/>
      <x:c r="Z196" s="177"/>
    </x:row>
    <x:row r="197">
      <x:c r="A197" s="177"/>
      <x:c r="B197" s="177"/>
      <x:c r="C197" s="177"/>
      <x:c r="D197" s="177"/>
      <x:c r="E197" s="177"/>
      <x:c r="F197" s="177"/>
      <x:c r="G197" s="177"/>
      <x:c r="H197" s="177"/>
      <x:c r="I197" s="177"/>
      <x:c r="J197" s="177"/>
      <x:c r="K197" s="177"/>
      <x:c r="L197" s="177"/>
      <x:c r="M197" s="177"/>
      <x:c r="N197" s="177"/>
      <x:c r="O197" s="177"/>
      <x:c r="P197" s="177"/>
      <x:c r="Q197" s="177"/>
      <x:c r="R197" s="177"/>
      <x:c r="S197" s="177"/>
      <x:c r="T197" s="177"/>
      <x:c r="U197" s="177"/>
      <x:c r="V197" s="177"/>
      <x:c r="W197" s="177"/>
      <x:c r="X197" s="177"/>
      <x:c r="Y197" s="177"/>
      <x:c r="Z197" s="177"/>
    </x:row>
    <x:row r="198">
      <x:c r="A198" s="177"/>
      <x:c r="B198" s="177"/>
      <x:c r="C198" s="177"/>
      <x:c r="D198" s="177"/>
      <x:c r="E198" s="177"/>
      <x:c r="F198" s="177"/>
      <x:c r="G198" s="177"/>
      <x:c r="H198" s="177"/>
      <x:c r="I198" s="177"/>
      <x:c r="J198" s="177"/>
      <x:c r="K198" s="177"/>
      <x:c r="L198" s="177"/>
      <x:c r="M198" s="177"/>
      <x:c r="N198" s="177"/>
      <x:c r="O198" s="177"/>
      <x:c r="P198" s="177"/>
      <x:c r="Q198" s="177"/>
      <x:c r="R198" s="177"/>
      <x:c r="S198" s="177"/>
      <x:c r="T198" s="177"/>
      <x:c r="U198" s="177"/>
      <x:c r="V198" s="177"/>
      <x:c r="W198" s="177"/>
      <x:c r="X198" s="177"/>
      <x:c r="Y198" s="177"/>
      <x:c r="Z198" s="177"/>
    </x:row>
    <x:row r="199">
      <x:c r="A199" s="177"/>
      <x:c r="B199" s="177"/>
      <x:c r="C199" s="177"/>
      <x:c r="D199" s="177"/>
      <x:c r="E199" s="177"/>
      <x:c r="F199" s="177"/>
      <x:c r="G199" s="177"/>
      <x:c r="H199" s="177"/>
      <x:c r="I199" s="177"/>
      <x:c r="J199" s="177"/>
      <x:c r="K199" s="177"/>
      <x:c r="L199" s="177"/>
      <x:c r="M199" s="177"/>
      <x:c r="N199" s="177"/>
      <x:c r="O199" s="177"/>
      <x:c r="P199" s="177"/>
      <x:c r="Q199" s="177"/>
      <x:c r="R199" s="177"/>
      <x:c r="S199" s="177"/>
      <x:c r="T199" s="177"/>
      <x:c r="U199" s="177"/>
      <x:c r="V199" s="177"/>
      <x:c r="W199" s="177"/>
      <x:c r="X199" s="177"/>
      <x:c r="Y199" s="177"/>
      <x:c r="Z199" s="177"/>
    </x:row>
    <x:row r="200">
      <x:c r="A200" s="177"/>
      <x:c r="B200" s="177"/>
      <x:c r="C200" s="177"/>
      <x:c r="D200" s="177"/>
      <x:c r="E200" s="177"/>
      <x:c r="F200" s="177"/>
      <x:c r="G200" s="177"/>
      <x:c r="H200" s="177"/>
      <x:c r="I200" s="177"/>
      <x:c r="J200" s="177"/>
      <x:c r="K200" s="177"/>
      <x:c r="L200" s="177"/>
      <x:c r="M200" s="177"/>
      <x:c r="N200" s="177"/>
      <x:c r="O200" s="177"/>
      <x:c r="P200" s="177"/>
      <x:c r="Q200" s="177"/>
      <x:c r="R200" s="177"/>
      <x:c r="S200" s="177"/>
      <x:c r="T200" s="177"/>
      <x:c r="U200" s="177"/>
      <x:c r="V200" s="177"/>
      <x:c r="W200" s="177"/>
      <x:c r="X200" s="177"/>
      <x:c r="Y200" s="177"/>
      <x:c r="Z200" s="177"/>
    </x:row>
  </x:sheetData>
  <x:mergeCells>
    <x:mergeCell ref="A1:F1"/>
    <x:mergeCell ref="A2:F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4.25"/>
  <x:cols>
    <x:col min="1" max="1" width="10" customWidth="1"/>
    <x:col min="2" max="2" width="18" customWidth="1"/>
    <x:col min="3" max="3" width="20" customWidth="1"/>
    <x:col min="4" max="5" width="18" customWidth="1"/>
    <x:col min="6" max="7" width="14" customWidth="1"/>
    <x:col min="8" max="8" width="15" customWidth="1"/>
    <x:col min="9" max="9" width="26" customWidth="1"/>
  </x:cols>
  <x:sheetData>
    <x:row r="1" ht="18">
      <x:c r="A1" s="209" t="str">
        <x:v>CARDS LINE CALIBRATION V4 – OOS OPȚIONAL</x:v>
      </x:c>
      <x:c r="B1" s="209"/>
      <x:c r="C1" s="209"/>
      <x:c r="D1" s="209"/>
      <x:c r="E1" s="209"/>
      <x:c r="F1" s="209"/>
      <x:c r="G1" s="209"/>
      <x:c r="H1" s="209"/>
      <x:c r="I1" s="209"/>
    </x:row>
    <x:row r="2">
      <x:c r="A2" s="210" t="str">
        <x:v>Factorii existenți și datele empirice rămân. Lipsa validării OOS nu blochează clasificarea. F:G și H sunt controale legacy, neutilizate de verdictul V4.</x:v>
      </x:c>
      <x:c r="B2" s="210"/>
      <x:c r="C2" s="210"/>
      <x:c r="D2" s="210"/>
      <x:c r="E2" s="210"/>
      <x:c r="F2" s="210"/>
      <x:c r="G2" s="210"/>
      <x:c r="H2" s="210"/>
      <x:c r="I2" s="210"/>
    </x:row>
    <x:row r="4" ht="30">
      <x:c r="A4" s="181" t="s">
        <x:v>564</x:v>
      </x:c>
      <x:c r="B4" s="181" t="s">
        <x:v>991</x:v>
      </x:c>
      <x:c r="C4" s="181" t="s">
        <x:v>992</x:v>
      </x:c>
      <x:c r="D4" s="181" t="s">
        <x:v>993</x:v>
      </x:c>
      <x:c r="E4" s="181" t="s">
        <x:v>994</x:v>
      </x:c>
      <x:c r="F4" s="181" t="s">
        <x:v>995</x:v>
      </x:c>
      <x:c r="G4" s="181" t="s">
        <x:v>996</x:v>
      </x:c>
      <x:c r="H4" s="181" t="str">
        <x:v>Floor dezactivat</x:v>
      </x:c>
      <x:c r="I4" s="181" t="s">
        <x:v>997</x:v>
      </x:c>
    </x:row>
    <x:row r="5">
      <x:c r="A5" s="160" t="s">
        <x:v>998</x:v>
      </x:c>
      <x:c r="B5" s="185">
        <x:v>1</x:v>
      </x:c>
      <x:c r="C5" s="182"/>
      <x:c r="D5" s="182"/>
      <x:c r="E5" s="182"/>
      <x:c r="F5" s="182"/>
      <x:c r="G5" s="182"/>
      <x:c r="H5" s="160" t="n">
        <x:v>1</x:v>
      </x:c>
      <x:c r="I5" s="160" t="s">
        <x:v>999</x:v>
      </x:c>
    </x:row>
    <x:row r="6">
      <x:c r="A6" s="160" t="s">
        <x:v>1000</x:v>
      </x:c>
      <x:c r="B6" s="185">
        <x:v>1</x:v>
      </x:c>
      <x:c r="C6" s="182"/>
      <x:c r="D6" s="182"/>
      <x:c r="E6" s="182"/>
      <x:c r="F6" s="182"/>
      <x:c r="G6" s="182"/>
      <x:c r="H6" s="160" t="n">
        <x:v>1</x:v>
      </x:c>
      <x:c r="I6" s="160" t="s">
        <x:v>999</x:v>
      </x:c>
    </x:row>
    <x:row r="7">
      <x:c r="A7" s="160" t="s">
        <x:v>1001</x:v>
      </x:c>
      <x:c r="B7" s="185">
        <x:v>1</x:v>
      </x:c>
      <x:c r="C7" s="182"/>
      <x:c r="D7" s="182"/>
      <x:c r="E7" s="182"/>
      <x:c r="F7" s="182"/>
      <x:c r="G7" s="182"/>
      <x:c r="H7" s="160" t="n">
        <x:v>1</x:v>
      </x:c>
      <x:c r="I7" s="160" t="s">
        <x:v>999</x:v>
      </x:c>
    </x:row>
    <x:row r="8">
      <x:c r="A8" s="160" t="s">
        <x:v>1002</x:v>
      </x:c>
      <x:c r="B8" s="185">
        <x:v>1</x:v>
      </x:c>
      <x:c r="C8" s="182"/>
      <x:c r="D8" s="182"/>
      <x:c r="E8" s="182"/>
      <x:c r="F8" s="182"/>
      <x:c r="G8" s="182"/>
      <x:c r="H8" s="160" t="n">
        <x:v>1</x:v>
      </x:c>
      <x:c r="I8" s="160" t="s">
        <x:v>999</x:v>
      </x:c>
    </x:row>
    <x:row r="9">
      <x:c r="A9" s="160" t="s">
        <x:v>1003</x:v>
      </x:c>
      <x:c r="B9" s="185">
        <x:v>1</x:v>
      </x:c>
      <x:c r="C9" s="182"/>
      <x:c r="D9" s="182"/>
      <x:c r="E9" s="182"/>
      <x:c r="F9" s="182"/>
      <x:c r="G9" s="182"/>
      <x:c r="H9" s="160" t="n">
        <x:v>1</x:v>
      </x:c>
      <x:c r="I9" s="160" t="s">
        <x:v>999</x:v>
      </x:c>
    </x:row>
    <x:row r="10">
      <x:c r="A10" s="160" t="s">
        <x:v>1004</x:v>
      </x:c>
      <x:c r="B10" s="185">
        <x:v>1</x:v>
      </x:c>
      <x:c r="C10" s="182"/>
      <x:c r="D10" s="182"/>
      <x:c r="E10" s="182"/>
      <x:c r="F10" s="182"/>
      <x:c r="G10" s="182"/>
      <x:c r="H10" s="160" t="n">
        <x:v>1</x:v>
      </x:c>
      <x:c r="I10" s="160" t="s">
        <x:v>999</x:v>
      </x:c>
    </x:row>
    <x:row r="11">
      <x:c r="A11" s="160" t="s">
        <x:v>1005</x:v>
      </x:c>
      <x:c r="B11" s="185">
        <x:v>1</x:v>
      </x:c>
      <x:c r="C11" s="182"/>
      <x:c r="D11" s="182"/>
      <x:c r="E11" s="182"/>
      <x:c r="F11" s="182"/>
      <x:c r="G11" s="182"/>
      <x:c r="H11" s="160" t="n">
        <x:v>1</x:v>
      </x:c>
      <x:c r="I11" s="160" t="s">
        <x:v>999</x:v>
      </x:c>
    </x:row>
    <x:row r="12">
      <x:c r="A12" s="160" t="s">
        <x:v>1006</x:v>
      </x:c>
      <x:c r="B12" s="185">
        <x:v>1</x:v>
      </x:c>
      <x:c r="C12" s="182"/>
      <x:c r="D12" s="182"/>
      <x:c r="E12" s="182"/>
      <x:c r="F12" s="182"/>
      <x:c r="G12" s="182"/>
      <x:c r="H12" s="160" t="n">
        <x:v>1</x:v>
      </x:c>
      <x:c r="I12" s="160" t="s">
        <x:v>999</x:v>
      </x:c>
    </x:row>
    <x:row r="13">
      <x:c r="A13" s="160" t="s">
        <x:v>1007</x:v>
      </x:c>
      <x:c r="B13" s="185">
        <x:v>1</x:v>
      </x:c>
      <x:c r="C13" s="182"/>
      <x:c r="D13" s="182"/>
      <x:c r="E13" s="182"/>
      <x:c r="F13" s="182"/>
      <x:c r="G13" s="182"/>
      <x:c r="H13" s="160" t="n">
        <x:v>1</x:v>
      </x:c>
      <x:c r="I13" s="160" t="s">
        <x:v>999</x:v>
      </x:c>
    </x:row>
    <x:row r="14">
      <x:c r="A14" s="160" t="s">
        <x:v>1008</x:v>
      </x:c>
      <x:c r="B14" s="185">
        <x:v>1</x:v>
      </x:c>
      <x:c r="C14" s="182"/>
      <x:c r="D14" s="182"/>
      <x:c r="E14" s="182"/>
      <x:c r="F14" s="182"/>
      <x:c r="G14" s="182"/>
      <x:c r="H14" s="160" t="n">
        <x:v>1</x:v>
      </x:c>
      <x:c r="I14" s="160" t="s">
        <x:v>999</x:v>
      </x:c>
    </x:row>
    <x:row r="15">
      <x:c r="A15" s="160" t="s">
        <x:v>1009</x:v>
      </x:c>
      <x:c r="B15" s="185">
        <x:v>1</x:v>
      </x:c>
      <x:c r="C15" s="182"/>
      <x:c r="D15" s="182"/>
      <x:c r="E15" s="182"/>
      <x:c r="F15" s="182"/>
      <x:c r="G15" s="182"/>
      <x:c r="H15" s="160" t="n">
        <x:v>1</x:v>
      </x:c>
      <x:c r="I15" s="160" t="s">
        <x:v>999</x:v>
      </x:c>
    </x:row>
    <x:row r="16">
      <x:c r="A16" s="160" t="s">
        <x:v>1010</x:v>
      </x:c>
      <x:c r="B16" s="185">
        <x:v>1</x:v>
      </x:c>
      <x:c r="C16" s="182"/>
      <x:c r="D16" s="182"/>
      <x:c r="E16" s="182"/>
      <x:c r="F16" s="182"/>
      <x:c r="G16" s="182"/>
      <x:c r="H16" s="160" t="n">
        <x:v>1</x:v>
      </x:c>
      <x:c r="I16" s="160" t="s">
        <x:v>999</x:v>
      </x:c>
    </x:row>
    <x:row r="17">
      <x:c r="A17" s="160" t="s">
        <x:v>1011</x:v>
      </x:c>
      <x:c r="B17" s="185">
        <x:v>1</x:v>
      </x:c>
      <x:c r="C17" s="182"/>
      <x:c r="D17" s="182"/>
      <x:c r="E17" s="182"/>
      <x:c r="F17" s="182"/>
      <x:c r="G17" s="182"/>
      <x:c r="H17" s="160" t="n">
        <x:v>1</x:v>
      </x:c>
      <x:c r="I17" s="160" t="s">
        <x:v>999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4.25"/>
  <x:cols>
    <x:col min="1" max="2" width="10" customWidth="1"/>
    <x:col min="3" max="3" width="7" customWidth="1"/>
    <x:col min="4" max="5" width="13" customWidth="1"/>
    <x:col min="6" max="6" width="12" customWidth="1"/>
    <x:col min="7" max="7" width="16" customWidth="1"/>
    <x:col min="8" max="8" width="17" customWidth="1"/>
    <x:col min="9" max="9" width="15" customWidth="1"/>
    <x:col min="10" max="13" width="18" customWidth="1"/>
    <x:col min="14" max="14" width="12" customWidth="1"/>
    <x:col min="15" max="15" width="16" customWidth="1"/>
    <x:col min="16" max="16" width="13" customWidth="1"/>
    <x:col min="17" max="17" width="14" customWidth="1"/>
    <x:col min="18" max="18" width="22" customWidth="1"/>
    <x:col min="19" max="19" width="12" customWidth="1"/>
    <x:col min="20" max="20" width="10" customWidth="1"/>
    <x:col min="21" max="21" width="12" customWidth="1"/>
    <x:col min="22" max="23" width="14" customWidth="1"/>
  </x:cols>
  <x:sheetData>
    <x:row r="1" ht="18">
      <x:c r="A1" s="349" t="str">
        <x:v>CARTONAȘE MULTI-LINE V4 – CLASIFICARE ESTIMATIVĂ</x:v>
      </x:c>
      <x:c r="B1" s="349"/>
      <x:c r="C1" s="349"/>
      <x:c r="D1" s="349"/>
      <x:c r="E1" s="349"/>
      <x:c r="F1" s="349"/>
      <x:c r="G1" s="349"/>
      <x:c r="H1" s="349"/>
      <x:c r="I1" s="349"/>
      <x:c r="J1" s="349"/>
      <x:c r="K1" s="349"/>
      <x:c r="L1" s="349"/>
      <x:c r="M1" s="349"/>
      <x:c r="N1" s="349"/>
      <x:c r="O1" s="349"/>
      <x:c r="P1" s="349"/>
      <x:c r="Q1" s="349"/>
      <x:c r="R1" s="349"/>
      <x:c r="S1" s="349"/>
      <x:c r="T1" s="349"/>
      <x:c r="U1" s="349"/>
      <x:c r="V1" s="349"/>
      <x:c r="W1" s="349"/>
    </x:row>
    <x:row r="2">
      <x:c r="A2" s="350" t="str">
        <x:v>DEFENSIV = scor intern ≤20. Fără floor 3, OOS sau praguri P/Confidence separate. Auditul surselor rămâne deschis și vizibil separat.</x:v>
      </x:c>
      <x:c r="B2" s="350"/>
      <x:c r="C2" s="350"/>
      <x:c r="D2" s="350"/>
      <x:c r="E2" s="350"/>
      <x:c r="F2" s="350"/>
      <x:c r="G2" s="350"/>
      <x:c r="H2" s="350"/>
      <x:c r="I2" s="350"/>
      <x:c r="J2" s="350"/>
      <x:c r="K2" s="350"/>
      <x:c r="L2" s="350"/>
      <x:c r="M2" s="350"/>
      <x:c r="N2" s="350"/>
      <x:c r="O2" s="350"/>
      <x:c r="P2" s="350"/>
      <x:c r="Q2" s="350"/>
      <x:c r="R2" s="350"/>
      <x:c r="S2" s="350"/>
      <x:c r="T2" s="350"/>
      <x:c r="U2" s="350"/>
      <x:c r="V2" s="350"/>
      <x:c r="W2" s="350"/>
    </x:row>
    <x:row r="3">
      <x:c r="A3" s="351"/>
      <x:c r="B3" s="351"/>
      <x:c r="C3" s="351"/>
      <x:c r="D3" s="351"/>
      <x:c r="E3" s="351"/>
      <x:c r="F3" s="351"/>
      <x:c r="G3" s="351"/>
      <x:c r="H3" s="351"/>
      <x:c r="I3" s="351"/>
      <x:c r="J3" s="351"/>
      <x:c r="K3" s="351"/>
      <x:c r="L3" s="351"/>
      <x:c r="M3" s="351"/>
      <x:c r="N3" s="351"/>
      <x:c r="O3" s="351"/>
      <x:c r="P3" s="351"/>
      <x:c r="Q3" s="351"/>
      <x:c r="R3" s="351"/>
      <x:c r="S3" s="351"/>
      <x:c r="T3" s="351"/>
      <x:c r="U3" s="351"/>
      <x:c r="V3" s="351"/>
      <x:c r="W3" s="351"/>
    </x:row>
    <x:row r="4" ht="30">
      <x:c r="A4" s="352" t="s">
        <x:v>564</x:v>
      </x:c>
      <x:c r="B4" s="352" t="s">
        <x:v>1012</x:v>
      </x:c>
      <x:c r="C4" s="352" t="s">
        <x:v>552</x:v>
      </x:c>
      <x:c r="D4" s="352" t="s">
        <x:v>191</x:v>
      </x:c>
      <x:c r="E4" s="352" t="s">
        <x:v>1013</x:v>
      </x:c>
      <x:c r="F4" s="352" t="s">
        <x:v>1014</x:v>
      </x:c>
      <x:c r="G4" s="352" t="s">
        <x:v>1015</x:v>
      </x:c>
      <x:c r="H4" s="352" t="s">
        <x:v>1016</x:v>
      </x:c>
      <x:c r="I4" s="352" t="s">
        <x:v>1017</x:v>
      </x:c>
      <x:c r="J4" s="352" t="s">
        <x:v>1018</x:v>
      </x:c>
      <x:c r="K4" s="352" t="s">
        <x:v>1019</x:v>
      </x:c>
      <x:c r="L4" s="352" t="s">
        <x:v>1020</x:v>
      </x:c>
      <x:c r="M4" s="352" t="s">
        <x:v>1021</x:v>
      </x:c>
      <x:c r="N4" s="352" t="s">
        <x:v>1022</x:v>
      </x:c>
      <x:c r="O4" s="352" t="s">
        <x:v>1023</x:v>
      </x:c>
      <x:c r="P4" s="352" t="s">
        <x:v>1024</x:v>
      </x:c>
      <x:c r="Q4" s="352" t="str">
        <x:v>P ajustată (estimare)</x:v>
      </x:c>
      <x:c r="R4" s="352" t="str">
        <x:v>Baza rezultatului</x:v>
      </x:c>
      <x:c r="S4" s="352" t="s">
        <x:v>686</x:v>
      </x:c>
      <x:c r="T4" s="352" t="s">
        <x:v>704</x:v>
      </x:c>
      <x:c r="U4" s="352" t="str">
        <x:v>Confidence informativ</x:v>
      </x:c>
      <x:c r="V4" s="352" t="s">
        <x:v>592</x:v>
      </x:c>
      <x:c r="W4" s="352" t="s">
        <x:v>1025</x:v>
      </x:c>
    </x:row>
    <x:row r="5" ht="32" customHeight="1">
      <x:c r="A5" s="353" t="s">
        <x:v>998</x:v>
      </x:c>
      <x:c r="B5" s="353" t="s">
        <x:v>575</x:v>
      </x:c>
      <x:c r="C5" s="353">
        <x:v>1</x:v>
      </x:c>
      <x:c r="D5" s="353" t="s">
        <x:v>1026</x:v>
      </x:c>
      <x:c r="E5" s="354" t="n">
        <x:f>IF(Calcul_Model!$B$105&lt;&gt;"CALCULABIL","",IF(B5="Over",INDEX(Distributie!$C$4:$C$29,MATCH(C5,Distributie!$A$4:$A$29,0)),MAX(0,1-INDEX(Distributie!$C$4:$C$29,MATCH(C5,Distributie!$A$4:$A$29,0)))))</x:f>
        <x:v>0.023914568227292144</x:v>
      </x:c>
      <x:c r="F5" s="354" t="n">
        <x:f t="shared" ref="F5:F17" si="0">IF(Calcul_Model!$B$105&lt;&gt;"CALCULABIL","",1-E5)</x:f>
        <x:v>0.9760854317727079</x:v>
      </x:c>
      <x:c r="G5" s="354" t="n">
        <x:f>IF(Calcul_Model!$B$105&lt;&gt;"CALCULABIL","",IF(B5="Over",LowCard_Secondary_v5!$B$6,1-LowCard_Secondary_v5!$B$6))</x:f>
        <x:v>0.42292490118577053</x:v>
      </x:c>
      <x:c r="H5" s="354" t="n">
        <x:f>IF(Calcul_Model!$B$105&lt;&gt;"CALCULABIL","",IF(B5="Over",LowCard_Secondary_v5!$B$7,1-LowCard_Secondary_v5!$B$7))</x:f>
        <x:v>0</x:v>
      </x:c>
      <x:c r="I5" s="354" t="n">
        <x:f>IF(Calcul_Model!$B$105&lt;&gt;"CALCULABIL","",IF(B5="Over",LowCard_Secondary_v5!$B$8,1-LowCard_Secondary_v5!$B$8))</x:f>
        <x:v>0</x:v>
      </x:c>
      <x:c r="J5" s="354" t="n">
        <x:f>IF(Calcul_Model!$B$105&lt;&gt;"CALCULABIL","",IF(B5="Over",LowCard_Secondary_v5!$B$9,1-LowCard_Secondary_v5!$B$9))</x:f>
        <x:v>0.35</x:v>
      </x:c>
      <x:c r="K5" s="354" t="n">
        <x:f>IF(Calcul_Model!$B$105&lt;&gt;"CALCULABIL","",IF(B5="Over",LowCard_Secondary_v5!$B$10,1-LowCard_Secondary_v5!$B$10))</x:f>
        <x:v>0.33333333333333326</x:v>
      </x:c>
      <x:c r="L5" s="354" t="n">
        <x:f>IF(Calcul_Model!$B$105&lt;&gt;"CALCULABIL","",IF(OR(COUNT(Input_Meci!$E$32,Input_Meci!$E$66,Input_Meci!$C$44:$D$45)=0,NOT(ISNUMBER(Input_Meci!$E$29))),MAX(0.5,MIN(1,Calcul_Model!$B$35+MAX(0,Calcul_Model!$C$55-1)/2)),MIN(1,Calcul_Model!$B$35+MAX(0,Calcul_Model!$C$55-1)/2)))</x:f>
        <x:v>0.09721669553725121</x:v>
      </x:c>
      <x:c r="M5" s="354" t="n">
        <x:f>IF(Calcul_Model!$B$105&lt;&gt;"CALCULABIL","",MAX(IFERROR(INDEX(Cards_LineCal_v9!$C$5:$C$17,MATCH(A5,Cards_LineCal_v9!$A$5:$A$17,0)),0),IFERROR(INDEX(Cards_LineCal_v9!$D$5:$D$17,MATCH(A5,Cards_LineCal_v9!$A$5:$A$17,0)),0),IFERROR(INDEX(Cards_LineCal_v9!$E$5:$E$17,MATCH(A5,Cards_LineCal_v9!$A$5:$A$17,0)),0)))</x:f>
        <x:v>0</x:v>
      </x:c>
      <x:c r="N5" s="355" t="n">
        <x:f>IF(Calcul_Model!$B$105&lt;&gt;"CALCULABIL","",INDEX(Cards_LineCal_v9!$B$5:$B$17,MATCH(A5,Cards_LineCal_v9!$A$5:$A$17,0)))</x:f>
        <x:v>1</x:v>
      </x:c>
      <x:c r="O5" s="354" t="n">
        <x:f t="shared" ref="O5:O17" si="1">IF(Calcul_Model!$B$105&lt;&gt;"CALCULABIL","",MIN(0.99,MAX(M5,E5*(1+N5*(AVERAGE(G5:K5)*0.3+IF(B5="Under",L5*0.25,0))))))</x:f>
        <x:v>0.025501909508876798</x:v>
      </x:c>
      <x:c r="P5" s="354" t="n">
        <x:f>IF(Calcul_Model!$B$105&lt;&gt;"CALCULABIL","",Calcul_Model!$B$73)</x:f>
        <x:v>0.020080379978078187</x:v>
      </x:c>
      <x:c r="Q5" s="354" t="n">
        <x:f t="shared" ref="Q5:Q17" si="2">IF(Calcul_Model!$B$105&lt;&gt;"CALCULABIL","",MAX(0.01,MIN(0.99,1-O5-P5)))</x:f>
        <x:v>0.954417710513045</x:v>
      </x:c>
      <x:c r="R5" s="353" t="str">
        <x:f>Calcul_Model!$B$106&amp;" / FĂRĂ OOS"</x:f>
        <x:v>DEMO / FĂRĂ OOS</x:v>
      </x:c>
      <x:c r="S5" s="356" t="n">
        <x:f>IF(Calcul_Model!$B$105&lt;&gt;"CALCULABIL","",MIN(100,MAX(0,(1-Q5)*100*Parametri!$C$116+AVERAGE(G5:K5)*100*Parametri!$C$117+L5*100*Parametri!$C$118+(100-Calcul_Model!$B$65)*Parametri!$C$119)))</x:f>
        <x:v>9.512397845482932</x:v>
      </x:c>
      <x:c r="T5" s="374" t="n">
        <x:f>IF(NOT(ISNUMBER(S5)),"",IF(S5&lt;=Parametri!$C$110,1,IF(S5&lt;=Parametri!$C$111,2,IF(S5&lt;=Parametri!$C$112,3,IF(S5&lt;=Parametri!$C$113,4,5)))))</x:f>
        <x:v>1</x:v>
      </x:c>
      <x:c r="U5" s="356" t="n">
        <x:f>Calcul_Model!$B$65</x:f>
        <x:v>91</x:v>
      </x:c>
      <x:c r="V5" s="353" t="str">
        <x:f t="shared" ref="V5:V17" si="3">IF(Calcul_Model!$B$105&lt;&gt;"CALCULABIL","NECALCULABIL",CHOOSE(T5,"DEFENSIV","PRUDENT","MODERAT","RIDICAT","NO BET"))</x:f>
        <x:v>DEFENSIV</x:v>
      </x:c>
      <x:c r="W5" s="356" t="n">
        <x:f t="shared" ref="W5:W17" si="4">IF(OR(NOT(ISNUMBER(T5)),T5&gt;3),0,14-COUNTIF($S$5:$S$17,"&lt;"&amp;S5)-COUNTIF($S$5:S5,S5))</x:f>
        <x:v>13</x:v>
      </x:c>
    </x:row>
    <x:row r="6" ht="32" customHeight="1">
      <x:c r="A6" s="353" t="s">
        <x:v>1000</x:v>
      </x:c>
      <x:c r="B6" s="353" t="s">
        <x:v>575</x:v>
      </x:c>
      <x:c r="C6" s="353">
        <x:v>2</x:v>
      </x:c>
      <x:c r="D6" s="353" t="s">
        <x:v>1026</x:v>
      </x:c>
      <x:c r="E6" s="354" t="n">
        <x:f>IF(Calcul_Model!$B$105&lt;&gt;"CALCULABIL","",IF(B6="Over",INDEX(Distributie!$C$4:$C$29,MATCH(C6,Distributie!$A$4:$A$29,0)),MAX(0,1-INDEX(Distributie!$C$4:$C$29,MATCH(C6,Distributie!$A$4:$A$29,0)))))</x:f>
        <x:v>0.08100973961698604</x:v>
      </x:c>
      <x:c r="F6" s="354" t="n">
        <x:f t="shared" si="0">IF(Calcul_Model!$B$105&lt;&gt;"CALCULABIL","",1-E6)</x:f>
        <x:v>0.918990260383014</x:v>
      </x:c>
      <x:c r="G6" s="354" t="n">
        <x:f>IF(Calcul_Model!$B$105&lt;&gt;"CALCULABIL","",IF(B6="Over",LowCard_Secondary_v5!$B$6,1-LowCard_Secondary_v5!$B$6))</x:f>
        <x:v>0.42292490118577053</x:v>
      </x:c>
      <x:c r="H6" s="354" t="n">
        <x:f>IF(Calcul_Model!$B$105&lt;&gt;"CALCULABIL","",IF(B6="Over",LowCard_Secondary_v5!$B$7,1-LowCard_Secondary_v5!$B$7))</x:f>
        <x:v>0</x:v>
      </x:c>
      <x:c r="I6" s="354" t="n">
        <x:f>IF(Calcul_Model!$B$105&lt;&gt;"CALCULABIL","",IF(B6="Over",LowCard_Secondary_v5!$B$8,1-LowCard_Secondary_v5!$B$8))</x:f>
        <x:v>0</x:v>
      </x:c>
      <x:c r="J6" s="354" t="n">
        <x:f>IF(Calcul_Model!$B$105&lt;&gt;"CALCULABIL","",IF(B6="Over",LowCard_Secondary_v5!$B$9,1-LowCard_Secondary_v5!$B$9))</x:f>
        <x:v>0.35</x:v>
      </x:c>
      <x:c r="K6" s="354" t="n">
        <x:f>IF(Calcul_Model!$B$105&lt;&gt;"CALCULABIL","",IF(B6="Over",LowCard_Secondary_v5!$B$10,1-LowCard_Secondary_v5!$B$10))</x:f>
        <x:v>0.33333333333333326</x:v>
      </x:c>
      <x:c r="L6" s="354" t="n">
        <x:f>IF(Calcul_Model!$B$105&lt;&gt;"CALCULABIL","",IF(OR(COUNT(Input_Meci!$E$32,Input_Meci!$E$66,Input_Meci!$C$44:$D$45)=0,NOT(ISNUMBER(Input_Meci!$E$29))),MAX(0.5,MIN(1,Calcul_Model!$B$35+MAX(0,Calcul_Model!$C$55-1)/2)),MIN(1,Calcul_Model!$B$35+MAX(0,Calcul_Model!$C$55-1)/2)))</x:f>
        <x:v>0.09721669553725121</x:v>
      </x:c>
      <x:c r="M6" s="354" t="n">
        <x:f>IF(Calcul_Model!$B$105&lt;&gt;"CALCULABIL","",MAX(IFERROR(INDEX(Cards_LineCal_v9!$C$5:$C$17,MATCH(A6,Cards_LineCal_v9!$A$5:$A$17,0)),0),IFERROR(INDEX(Cards_LineCal_v9!$D$5:$D$17,MATCH(A6,Cards_LineCal_v9!$A$5:$A$17,0)),0),IFERROR(INDEX(Cards_LineCal_v9!$E$5:$E$17,MATCH(A6,Cards_LineCal_v9!$A$5:$A$17,0)),0)))</x:f>
        <x:v>0</x:v>
      </x:c>
      <x:c r="N6" s="355" t="n">
        <x:f>IF(Calcul_Model!$B$105&lt;&gt;"CALCULABIL","",INDEX(Cards_LineCal_v9!$B$5:$B$17,MATCH(A6,Cards_LineCal_v9!$A$5:$A$17,0)))</x:f>
        <x:v>1</x:v>
      </x:c>
      <x:c r="O6" s="354" t="n">
        <x:f t="shared" si="1">IF(Calcul_Model!$B$105&lt;&gt;"CALCULABIL","",MIN(0.99,MAX(M6,E6*(1+N6*(AVERAGE(G6:K6)*0.3+IF(B6="Under",L6*0.25,0))))))</x:f>
        <x:v>0.0863868011086384</x:v>
      </x:c>
      <x:c r="P6" s="354" t="n">
        <x:f>IF(Calcul_Model!$B$105&lt;&gt;"CALCULABIL","",Calcul_Model!$B$73)</x:f>
        <x:v>0.020080379978078187</x:v>
      </x:c>
      <x:c r="Q6" s="354" t="n">
        <x:f t="shared" si="2">IF(Calcul_Model!$B$105&lt;&gt;"CALCULABIL","",MAX(0.01,MIN(0.99,1-O6-P6)))</x:f>
        <x:v>0.8935328189132834</x:v>
      </x:c>
      <x:c r="R6" s="353" t="str">
        <x:f>Calcul_Model!$B$106&amp;" / FĂRĂ OOS"</x:f>
        <x:v>DEMO / FĂRĂ OOS</x:v>
      </x:c>
      <x:c r="S6" s="356" t="n">
        <x:f>IF(Calcul_Model!$B$105&lt;&gt;"CALCULABIL","",MIN(100,MAX(0,(1-Q6)*100*Parametri!$C$116+AVERAGE(G6:K6)*100*Parametri!$C$117+L6*100*Parametri!$C$118+(100-Calcul_Model!$B$65)*Parametri!$C$119)))</x:f>
        <x:v>12.556642425471013</x:v>
      </x:c>
      <x:c r="T6" s="374" t="n">
        <x:f>IF(NOT(ISNUMBER(S6)),"",IF(S6&lt;=Parametri!$C$110,1,IF(S6&lt;=Parametri!$C$111,2,IF(S6&lt;=Parametri!$C$112,3,IF(S6&lt;=Parametri!$C$113,4,5)))))</x:f>
        <x:v>1</x:v>
      </x:c>
      <x:c r="U6" s="356" t="n">
        <x:f>Calcul_Model!$B$65</x:f>
        <x:v>91</x:v>
      </x:c>
      <x:c r="V6" s="353" t="str">
        <x:f t="shared" si="3">IF(Calcul_Model!$B$105&lt;&gt;"CALCULABIL","NECALCULABIL",CHOOSE(T6,"DEFENSIV","PRUDENT","MODERAT","RIDICAT","NO BET"))</x:f>
        <x:v>DEFENSIV</x:v>
      </x:c>
      <x:c r="W6" s="356" t="n">
        <x:f t="shared" si="4">IF(OR(NOT(ISNUMBER(T6)),T6&gt;3),0,14-COUNTIF($S$5:$S$17,"&lt;"&amp;S6)-COUNTIF($S$5:S6,S6))</x:f>
        <x:v>12</x:v>
      </x:c>
    </x:row>
    <x:row r="7" ht="32" customHeight="1">
      <x:c r="A7" s="353" t="s">
        <x:v>1001</x:v>
      </x:c>
      <x:c r="B7" s="353" t="s">
        <x:v>575</x:v>
      </x:c>
      <x:c r="C7" s="353">
        <x:v>3</x:v>
      </x:c>
      <x:c r="D7" s="353" t="s">
        <x:v>1026</x:v>
      </x:c>
      <x:c r="E7" s="354" t="n">
        <x:f>IF(Calcul_Model!$B$105&lt;&gt;"CALCULABIL","",IF(B7="Over",INDEX(Distributie!$C$4:$C$29,MATCH(C7,Distributie!$A$4:$A$29,0)),MAX(0,1-INDEX(Distributie!$C$4:$C$29,MATCH(C7,Distributie!$A$4:$A$29,0)))))</x:f>
        <x:v>0.18804341169489697</x:v>
      </x:c>
      <x:c r="F7" s="354" t="n">
        <x:f t="shared" si="0">IF(Calcul_Model!$B$105&lt;&gt;"CALCULABIL","",1-E7)</x:f>
        <x:v>0.811956588305103</x:v>
      </x:c>
      <x:c r="G7" s="354" t="n">
        <x:f>IF(Calcul_Model!$B$105&lt;&gt;"CALCULABIL","",IF(B7="Over",LowCard_Secondary_v5!$B$6,1-LowCard_Secondary_v5!$B$6))</x:f>
        <x:v>0.42292490118577053</x:v>
      </x:c>
      <x:c r="H7" s="354" t="n">
        <x:f>IF(Calcul_Model!$B$105&lt;&gt;"CALCULABIL","",IF(B7="Over",LowCard_Secondary_v5!$B$7,1-LowCard_Secondary_v5!$B$7))</x:f>
        <x:v>0</x:v>
      </x:c>
      <x:c r="I7" s="354" t="n">
        <x:f>IF(Calcul_Model!$B$105&lt;&gt;"CALCULABIL","",IF(B7="Over",LowCard_Secondary_v5!$B$8,1-LowCard_Secondary_v5!$B$8))</x:f>
        <x:v>0</x:v>
      </x:c>
      <x:c r="J7" s="354" t="n">
        <x:f>IF(Calcul_Model!$B$105&lt;&gt;"CALCULABIL","",IF(B7="Over",LowCard_Secondary_v5!$B$9,1-LowCard_Secondary_v5!$B$9))</x:f>
        <x:v>0.35</x:v>
      </x:c>
      <x:c r="K7" s="354" t="n">
        <x:f>IF(Calcul_Model!$B$105&lt;&gt;"CALCULABIL","",IF(B7="Over",LowCard_Secondary_v5!$B$10,1-LowCard_Secondary_v5!$B$10))</x:f>
        <x:v>0.33333333333333326</x:v>
      </x:c>
      <x:c r="L7" s="354" t="n">
        <x:f>IF(Calcul_Model!$B$105&lt;&gt;"CALCULABIL","",IF(OR(COUNT(Input_Meci!$E$32,Input_Meci!$E$66,Input_Meci!$C$44:$D$45)=0,NOT(ISNUMBER(Input_Meci!$E$29))),MAX(0.5,MIN(1,Calcul_Model!$B$35+MAX(0,Calcul_Model!$C$55-1)/2)),MIN(1,Calcul_Model!$B$35+MAX(0,Calcul_Model!$C$55-1)/2)))</x:f>
        <x:v>0.09721669553725121</x:v>
      </x:c>
      <x:c r="M7" s="354" t="n">
        <x:f>IF(Calcul_Model!$B$105&lt;&gt;"CALCULABIL","",MAX(IFERROR(INDEX(Cards_LineCal_v9!$C$5:$C$17,MATCH(A7,Cards_LineCal_v9!$A$5:$A$17,0)),0),IFERROR(INDEX(Cards_LineCal_v9!$D$5:$D$17,MATCH(A7,Cards_LineCal_v9!$A$5:$A$17,0)),0),IFERROR(INDEX(Cards_LineCal_v9!$E$5:$E$17,MATCH(A7,Cards_LineCal_v9!$A$5:$A$17,0)),0)))</x:f>
        <x:v>0</x:v>
      </x:c>
      <x:c r="N7" s="355" t="n">
        <x:f>IF(Calcul_Model!$B$105&lt;&gt;"CALCULABIL","",INDEX(Cards_LineCal_v9!$B$5:$B$17,MATCH(A7,Cards_LineCal_v9!$A$5:$A$17,0)))</x:f>
        <x:v>1</x:v>
      </x:c>
      <x:c r="O7" s="354" t="n">
        <x:f t="shared" si="1">IF(Calcul_Model!$B$105&lt;&gt;"CALCULABIL","",MIN(0.99,MAX(M7,E7*(1+N7*(AVERAGE(G7:K7)*0.3+IF(B7="Under",L7*0.25,0))))))</x:f>
        <x:v>0.20052488605296973</x:v>
      </x:c>
      <x:c r="P7" s="354" t="n">
        <x:f>IF(Calcul_Model!$B$105&lt;&gt;"CALCULABIL","",Calcul_Model!$B$73)</x:f>
        <x:v>0.020080379978078187</x:v>
      </x:c>
      <x:c r="Q7" s="354" t="n">
        <x:f t="shared" si="2">IF(Calcul_Model!$B$105&lt;&gt;"CALCULABIL","",MAX(0.01,MIN(0.99,1-O7-P7)))</x:f>
        <x:v>0.7793947339689521</x:v>
      </x:c>
      <x:c r="R7" s="353" t="str">
        <x:f>Calcul_Model!$B$106&amp;" / FĂRĂ OOS"</x:f>
        <x:v>DEMO / FĂRĂ OOS</x:v>
      </x:c>
      <x:c r="S7" s="356" t="n">
        <x:f>IF(Calcul_Model!$B$105&lt;&gt;"CALCULABIL","",MIN(100,MAX(0,(1-Q7)*100*Parametri!$C$116+AVERAGE(G7:K7)*100*Parametri!$C$117+L7*100*Parametri!$C$118+(100-Calcul_Model!$B$65)*Parametri!$C$119)))</x:f>
        <x:v>18.263546672687582</x:v>
      </x:c>
      <x:c r="T7" s="374" t="n">
        <x:f>IF(NOT(ISNUMBER(S7)),"",IF(S7&lt;=Parametri!$C$110,1,IF(S7&lt;=Parametri!$C$111,2,IF(S7&lt;=Parametri!$C$112,3,IF(S7&lt;=Parametri!$C$113,4,5)))))</x:f>
        <x:v>1</x:v>
      </x:c>
      <x:c r="U7" s="356" t="n">
        <x:f>Calcul_Model!$B$65</x:f>
        <x:v>91</x:v>
      </x:c>
      <x:c r="V7" s="353" t="str">
        <x:f t="shared" si="3">IF(Calcul_Model!$B$105&lt;&gt;"CALCULABIL","NECALCULABIL",CHOOSE(T7,"DEFENSIV","PRUDENT","MODERAT","RIDICAT","NO BET"))</x:f>
        <x:v>DEFENSIV</x:v>
      </x:c>
      <x:c r="W7" s="356" t="n">
        <x:f t="shared" si="4">IF(OR(NOT(ISNUMBER(T7)),T7&gt;3),0,14-COUNTIF($S$5:$S$17,"&lt;"&amp;S7)-COUNTIF($S$5:S7,S7))</x:f>
        <x:v>11</x:v>
      </x:c>
    </x:row>
    <x:row r="8" ht="32" customHeight="1">
      <x:c r="A8" s="353" t="s">
        <x:v>1002</x:v>
      </x:c>
      <x:c r="B8" s="353" t="s">
        <x:v>575</x:v>
      </x:c>
      <x:c r="C8" s="353">
        <x:v>4</x:v>
      </x:c>
      <x:c r="D8" s="353" t="s">
        <x:v>1026</x:v>
      </x:c>
      <x:c r="E8" s="354" t="n">
        <x:f>IF(Calcul_Model!$B$105&lt;&gt;"CALCULABIL","",IF(B8="Over",INDEX(Distributie!$C$4:$C$29,MATCH(C8,Distributie!$A$4:$A$29,0)),MAX(0,1-INDEX(Distributie!$C$4:$C$29,MATCH(C8,Distributie!$A$4:$A$29,0)))))</x:f>
        <x:v>0.3385317106128029</x:v>
      </x:c>
      <x:c r="F8" s="354" t="n">
        <x:f t="shared" si="0">IF(Calcul_Model!$B$105&lt;&gt;"CALCULABIL","",1-E8)</x:f>
        <x:v>0.661468289387197</x:v>
      </x:c>
      <x:c r="G8" s="354" t="n">
        <x:f>IF(Calcul_Model!$B$105&lt;&gt;"CALCULABIL","",IF(B8="Over",LowCard_Secondary_v5!$B$6,1-LowCard_Secondary_v5!$B$6))</x:f>
        <x:v>0.42292490118577053</x:v>
      </x:c>
      <x:c r="H8" s="354" t="n">
        <x:f>IF(Calcul_Model!$B$105&lt;&gt;"CALCULABIL","",IF(B8="Over",LowCard_Secondary_v5!$B$7,1-LowCard_Secondary_v5!$B$7))</x:f>
        <x:v>0</x:v>
      </x:c>
      <x:c r="I8" s="354" t="n">
        <x:f>IF(Calcul_Model!$B$105&lt;&gt;"CALCULABIL","",IF(B8="Over",LowCard_Secondary_v5!$B$8,1-LowCard_Secondary_v5!$B$8))</x:f>
        <x:v>0</x:v>
      </x:c>
      <x:c r="J8" s="354" t="n">
        <x:f>IF(Calcul_Model!$B$105&lt;&gt;"CALCULABIL","",IF(B8="Over",LowCard_Secondary_v5!$B$9,1-LowCard_Secondary_v5!$B$9))</x:f>
        <x:v>0.35</x:v>
      </x:c>
      <x:c r="K8" s="354" t="n">
        <x:f>IF(Calcul_Model!$B$105&lt;&gt;"CALCULABIL","",IF(B8="Over",LowCard_Secondary_v5!$B$10,1-LowCard_Secondary_v5!$B$10))</x:f>
        <x:v>0.33333333333333326</x:v>
      </x:c>
      <x:c r="L8" s="354" t="n">
        <x:f>IF(Calcul_Model!$B$105&lt;&gt;"CALCULABIL","",IF(OR(COUNT(Input_Meci!$E$32,Input_Meci!$E$66,Input_Meci!$C$44:$D$45)=0,NOT(ISNUMBER(Input_Meci!$E$29))),MAX(0.5,MIN(1,Calcul_Model!$B$35+MAX(0,Calcul_Model!$C$55-1)/2)),MIN(1,Calcul_Model!$B$35+MAX(0,Calcul_Model!$C$55-1)/2)))</x:f>
        <x:v>0.09721669553725121</x:v>
      </x:c>
      <x:c r="M8" s="354" t="n">
        <x:f>IF(Calcul_Model!$B$105&lt;&gt;"CALCULABIL","",MAX(IFERROR(INDEX(Cards_LineCal_v9!$C$5:$C$17,MATCH(A8,Cards_LineCal_v9!$A$5:$A$17,0)),0),IFERROR(INDEX(Cards_LineCal_v9!$D$5:$D$17,MATCH(A8,Cards_LineCal_v9!$A$5:$A$17,0)),0),IFERROR(INDEX(Cards_LineCal_v9!$E$5:$E$17,MATCH(A8,Cards_LineCal_v9!$A$5:$A$17,0)),0)))</x:f>
        <x:v>0</x:v>
      </x:c>
      <x:c r="N8" s="355" t="n">
        <x:f>IF(Calcul_Model!$B$105&lt;&gt;"CALCULABIL","",INDEX(Cards_LineCal_v9!$B$5:$B$17,MATCH(A8,Cards_LineCal_v9!$A$5:$A$17,0)))</x:f>
        <x:v>1</x:v>
      </x:c>
      <x:c r="O8" s="354" t="n">
        <x:f t="shared" si="1">IF(Calcul_Model!$B$105&lt;&gt;"CALCULABIL","",MIN(0.99,MAX(M8,E8*(1+N8*(AVERAGE(G8:K8)*0.3+IF(B8="Under",L8*0.25,0))))))</x:f>
        <x:v>0.36100192016347804</x:v>
      </x:c>
      <x:c r="P8" s="354" t="n">
        <x:f>IF(Calcul_Model!$B$105&lt;&gt;"CALCULABIL","",Calcul_Model!$B$73)</x:f>
        <x:v>0.020080379978078187</x:v>
      </x:c>
      <x:c r="Q8" s="354" t="n">
        <x:f t="shared" si="2">IF(Calcul_Model!$B$105&lt;&gt;"CALCULABIL","",MAX(0.01,MIN(0.99,1-O8-P8)))</x:f>
        <x:v>0.6189176998584438</x:v>
      </x:c>
      <x:c r="R8" s="353" t="str">
        <x:f>Calcul_Model!$B$106&amp;" / FĂRĂ OOS"</x:f>
        <x:v>DEMO / FĂRĂ OOS</x:v>
      </x:c>
      <x:c r="S8" s="356" t="n">
        <x:f>IF(Calcul_Model!$B$105&lt;&gt;"CALCULABIL","",MIN(100,MAX(0,(1-Q8)*100*Parametri!$C$116+AVERAGE(G8:K8)*100*Parametri!$C$117+L8*100*Parametri!$C$118+(100-Calcul_Model!$B$65)*Parametri!$C$119)))</x:f>
        <x:v>26.287398378213</x:v>
      </x:c>
      <x:c r="T8" s="374" t="n">
        <x:f>IF(NOT(ISNUMBER(S8)),"",IF(S8&lt;=Parametri!$C$110,1,IF(S8&lt;=Parametri!$C$111,2,IF(S8&lt;=Parametri!$C$112,3,IF(S8&lt;=Parametri!$C$113,4,5)))))</x:f>
        <x:v>2</x:v>
      </x:c>
      <x:c r="U8" s="356" t="n">
        <x:f>Calcul_Model!$B$65</x:f>
        <x:v>91</x:v>
      </x:c>
      <x:c r="V8" s="353" t="str">
        <x:f t="shared" si="3">IF(Calcul_Model!$B$105&lt;&gt;"CALCULABIL","NECALCULABIL",CHOOSE(T8,"DEFENSIV","PRUDENT","MODERAT","RIDICAT","NO BET"))</x:f>
        <x:v>PRUDENT</x:v>
      </x:c>
      <x:c r="W8" s="356" t="n">
        <x:f t="shared" si="4">IF(OR(NOT(ISNUMBER(T8)),T8&gt;3),0,14-COUNTIF($S$5:$S$17,"&lt;"&amp;S8)-COUNTIF($S$5:S8,S8))</x:f>
        <x:v>8</x:v>
      </x:c>
    </x:row>
    <x:row r="9" ht="32" customHeight="1">
      <x:c r="A9" s="353" t="s">
        <x:v>1003</x:v>
      </x:c>
      <x:c r="B9" s="353" t="s">
        <x:v>575</x:v>
      </x:c>
      <x:c r="C9" s="353">
        <x:v>5</x:v>
      </x:c>
      <x:c r="D9" s="353" t="s">
        <x:v>1026</x:v>
      </x:c>
      <x:c r="E9" s="354" t="n">
        <x:f>IF(Calcul_Model!$B$105&lt;&gt;"CALCULABIL","",IF(B9="Over",INDEX(Distributie!$C$4:$C$29,MATCH(C9,Distributie!$A$4:$A$29,0)),MAX(0,1-INDEX(Distributie!$C$4:$C$29,MATCH(C9,Distributie!$A$4:$A$29,0)))))</x:f>
        <x:v>0.5077997749260237</x:v>
      </x:c>
      <x:c r="F9" s="354" t="n">
        <x:f t="shared" si="0">IF(Calcul_Model!$B$105&lt;&gt;"CALCULABIL","",1-E9)</x:f>
        <x:v>0.4922002250739763</x:v>
      </x:c>
      <x:c r="G9" s="354" t="n">
        <x:f>IF(Calcul_Model!$B$105&lt;&gt;"CALCULABIL","",IF(B9="Over",LowCard_Secondary_v5!$B$6,1-LowCard_Secondary_v5!$B$6))</x:f>
        <x:v>0.42292490118577053</x:v>
      </x:c>
      <x:c r="H9" s="354" t="n">
        <x:f>IF(Calcul_Model!$B$105&lt;&gt;"CALCULABIL","",IF(B9="Over",LowCard_Secondary_v5!$B$7,1-LowCard_Secondary_v5!$B$7))</x:f>
        <x:v>0</x:v>
      </x:c>
      <x:c r="I9" s="354" t="n">
        <x:f>IF(Calcul_Model!$B$105&lt;&gt;"CALCULABIL","",IF(B9="Over",LowCard_Secondary_v5!$B$8,1-LowCard_Secondary_v5!$B$8))</x:f>
        <x:v>0</x:v>
      </x:c>
      <x:c r="J9" s="354" t="n">
        <x:f>IF(Calcul_Model!$B$105&lt;&gt;"CALCULABIL","",IF(B9="Over",LowCard_Secondary_v5!$B$9,1-LowCard_Secondary_v5!$B$9))</x:f>
        <x:v>0.35</x:v>
      </x:c>
      <x:c r="K9" s="354" t="n">
        <x:f>IF(Calcul_Model!$B$105&lt;&gt;"CALCULABIL","",IF(B9="Over",LowCard_Secondary_v5!$B$10,1-LowCard_Secondary_v5!$B$10))</x:f>
        <x:v>0.33333333333333326</x:v>
      </x:c>
      <x:c r="L9" s="354" t="n">
        <x:f>IF(Calcul_Model!$B$105&lt;&gt;"CALCULABIL","",IF(OR(COUNT(Input_Meci!$E$32,Input_Meci!$E$66,Input_Meci!$C$44:$D$45)=0,NOT(ISNUMBER(Input_Meci!$E$29))),MAX(0.5,MIN(1,Calcul_Model!$B$35+MAX(0,Calcul_Model!$C$55-1)/2)),MIN(1,Calcul_Model!$B$35+MAX(0,Calcul_Model!$C$55-1)/2)))</x:f>
        <x:v>0.09721669553725121</x:v>
      </x:c>
      <x:c r="M9" s="354" t="n">
        <x:f>IF(Calcul_Model!$B$105&lt;&gt;"CALCULABIL","",MAX(IFERROR(INDEX(Cards_LineCal_v9!$C$5:$C$17,MATCH(A9,Cards_LineCal_v9!$A$5:$A$17,0)),0),IFERROR(INDEX(Cards_LineCal_v9!$D$5:$D$17,MATCH(A9,Cards_LineCal_v9!$A$5:$A$17,0)),0),IFERROR(INDEX(Cards_LineCal_v9!$E$5:$E$17,MATCH(A9,Cards_LineCal_v9!$A$5:$A$17,0)),0)))</x:f>
        <x:v>0</x:v>
      </x:c>
      <x:c r="N9" s="355" t="n">
        <x:f>IF(Calcul_Model!$B$105&lt;&gt;"CALCULABIL","",INDEX(Cards_LineCal_v9!$B$5:$B$17,MATCH(A9,Cards_LineCal_v9!$A$5:$A$17,0)))</x:f>
        <x:v>1</x:v>
      </x:c>
      <x:c r="O9" s="354" t="n">
        <x:f t="shared" si="1">IF(Calcul_Model!$B$105&lt;&gt;"CALCULABIL","",MIN(0.99,MAX(M9,E9*(1+N9*(AVERAGE(G9:K9)*0.3+IF(B9="Under",L9*0.25,0))))))</x:f>
        <x:v>0.5415052358759553</x:v>
      </x:c>
      <x:c r="P9" s="354" t="n">
        <x:f>IF(Calcul_Model!$B$105&lt;&gt;"CALCULABIL","",Calcul_Model!$B$73)</x:f>
        <x:v>0.020080379978078187</x:v>
      </x:c>
      <x:c r="Q9" s="354" t="n">
        <x:f t="shared" si="2">IF(Calcul_Model!$B$105&lt;&gt;"CALCULABIL","",MAX(0.01,MIN(0.99,1-O9-P9)))</x:f>
        <x:v>0.43841438414596645</x:v>
      </x:c>
      <x:c r="R9" s="353" t="str">
        <x:f>Calcul_Model!$B$106&amp;" / FĂRĂ OOS"</x:f>
        <x:v>DEMO / FĂRĂ OOS</x:v>
      </x:c>
      <x:c r="S9" s="356" t="n">
        <x:f>IF(Calcul_Model!$B$105&lt;&gt;"CALCULABIL","",MIN(100,MAX(0,(1-Q9)*100*Parametri!$C$116+AVERAGE(G9:K9)*100*Parametri!$C$117+L9*100*Parametri!$C$118+(100-Calcul_Model!$B$65)*Parametri!$C$119)))</x:f>
        <x:v>35.31256416383686</x:v>
      </x:c>
      <x:c r="T9" s="374" t="n">
        <x:f>IF(NOT(ISNUMBER(S9)),"",IF(S9&lt;=Parametri!$C$110,1,IF(S9&lt;=Parametri!$C$111,2,IF(S9&lt;=Parametri!$C$112,3,IF(S9&lt;=Parametri!$C$113,4,5)))))</x:f>
        <x:v>2</x:v>
      </x:c>
      <x:c r="U9" s="356" t="n">
        <x:f>Calcul_Model!$B$65</x:f>
        <x:v>91</x:v>
      </x:c>
      <x:c r="V9" s="353" t="str">
        <x:f t="shared" si="3">IF(Calcul_Model!$B$105&lt;&gt;"CALCULABIL","NECALCULABIL",CHOOSE(T9,"DEFENSIV","PRUDENT","MODERAT","RIDICAT","NO BET"))</x:f>
        <x:v>PRUDENT</x:v>
      </x:c>
      <x:c r="W9" s="356" t="n">
        <x:f t="shared" si="4">IF(OR(NOT(ISNUMBER(T9)),T9&gt;3),0,14-COUNTIF($S$5:$S$17,"&lt;"&amp;S9)-COUNTIF($S$5:S9,S9))</x:f>
        <x:v>5</x:v>
      </x:c>
    </x:row>
    <x:row r="10" ht="32" customHeight="1">
      <x:c r="A10" s="353" t="s">
        <x:v>1004</x:v>
      </x:c>
      <x:c r="B10" s="353" t="s">
        <x:v>576</x:v>
      </x:c>
      <x:c r="C10" s="353">
        <x:v>3</x:v>
      </x:c>
      <x:c r="D10" s="353" t="s">
        <x:v>1027</x:v>
      </x:c>
      <x:c r="E10" s="354" t="n">
        <x:f>IF(Calcul_Model!$B$105&lt;&gt;"CALCULABIL","",IF(B10="Over",INDEX(Distributie!$C$4:$C$29,MATCH(C10,Distributie!$A$4:$A$29,0)),MAX(0,1-INDEX(Distributie!$C$4:$C$29,MATCH(C10,Distributie!$A$4:$A$29,0)))))</x:f>
        <x:v>0.811956588305103</x:v>
      </x:c>
      <x:c r="F10" s="354" t="n">
        <x:f t="shared" si="0">IF(Calcul_Model!$B$105&lt;&gt;"CALCULABIL","",1-E10)</x:f>
        <x:v>0.18804341169489702</x:v>
      </x:c>
      <x:c r="G10" s="354" t="n">
        <x:f>IF(Calcul_Model!$B$105&lt;&gt;"CALCULABIL","",IF(B10="Over",LowCard_Secondary_v5!$B$6,1-LowCard_Secondary_v5!$B$6))</x:f>
        <x:v>0.5770750988142295</x:v>
      </x:c>
      <x:c r="H10" s="354" t="n">
        <x:f>IF(Calcul_Model!$B$105&lt;&gt;"CALCULABIL","",IF(B10="Over",LowCard_Secondary_v5!$B$7,1-LowCard_Secondary_v5!$B$7))</x:f>
        <x:v>1</x:v>
      </x:c>
      <x:c r="I10" s="354" t="n">
        <x:f>IF(Calcul_Model!$B$105&lt;&gt;"CALCULABIL","",IF(B10="Over",LowCard_Secondary_v5!$B$8,1-LowCard_Secondary_v5!$B$8))</x:f>
        <x:v>1</x:v>
      </x:c>
      <x:c r="J10" s="354" t="n">
        <x:f>IF(Calcul_Model!$B$105&lt;&gt;"CALCULABIL","",IF(B10="Over",LowCard_Secondary_v5!$B$9,1-LowCard_Secondary_v5!$B$9))</x:f>
        <x:v>0.65</x:v>
      </x:c>
      <x:c r="K10" s="354" t="n">
        <x:f>IF(Calcul_Model!$B$105&lt;&gt;"CALCULABIL","",IF(B10="Over",LowCard_Secondary_v5!$B$10,1-LowCard_Secondary_v5!$B$10))</x:f>
        <x:v>0.6666666666666667</x:v>
      </x:c>
      <x:c r="L10" s="354" t="n">
        <x:f>IF(Calcul_Model!$B$105&lt;&gt;"CALCULABIL","",IF(OR(COUNT(Input_Meci!$E$32,Input_Meci!$E$66,Input_Meci!$C$44:$D$45)=0,NOT(ISNUMBER(Input_Meci!$E$29))),MAX(0.5,MIN(1,Calcul_Model!$B$35+MAX(0,Calcul_Model!$C$55-1)/2)),MIN(1,Calcul_Model!$B$35+MAX(0,Calcul_Model!$C$55-1)/2)))</x:f>
        <x:v>0.09721669553725121</x:v>
      </x:c>
      <x:c r="M10" s="354" t="n">
        <x:f>IF(Calcul_Model!$B$105&lt;&gt;"CALCULABIL","",MAX(IFERROR(INDEX(Cards_LineCal_v9!$C$5:$C$17,MATCH(A10,Cards_LineCal_v9!$A$5:$A$17,0)),0),IFERROR(INDEX(Cards_LineCal_v9!$D$5:$D$17,MATCH(A10,Cards_LineCal_v9!$A$5:$A$17,0)),0),IFERROR(INDEX(Cards_LineCal_v9!$E$5:$E$17,MATCH(A10,Cards_LineCal_v9!$A$5:$A$17,0)),0)))</x:f>
        <x:v>0</x:v>
      </x:c>
      <x:c r="N10" s="355" t="n">
        <x:f>IF(Calcul_Model!$B$105&lt;&gt;"CALCULABIL","",INDEX(Cards_LineCal_v9!$B$5:$B$17,MATCH(A10,Cards_LineCal_v9!$A$5:$A$17,0)))</x:f>
        <x:v>1</x:v>
      </x:c>
      <x:c r="O10" s="354" t="n">
        <x:f t="shared" si="1">IF(Calcul_Model!$B$105&lt;&gt;"CALCULABIL","",MIN(0.99,MAX(M10,E10*(1+N10*(AVERAGE(G10:K10)*0.3+IF(B10="Under",L10*0.25,0))))))</x:f>
        <x:v>0.99</x:v>
      </x:c>
      <x:c r="P10" s="354" t="n">
        <x:f>IF(Calcul_Model!$B$105&lt;&gt;"CALCULABIL","",Calcul_Model!$B$73)</x:f>
        <x:v>0.020080379978078187</x:v>
      </x:c>
      <x:c r="Q10" s="354" t="n">
        <x:f t="shared" si="2">IF(Calcul_Model!$B$105&lt;&gt;"CALCULABIL","",MAX(0.01,MIN(0.99,1-O10-P10)))</x:f>
        <x:v>0.01</x:v>
      </x:c>
      <x:c r="R10" s="353" t="str">
        <x:f>Calcul_Model!$B$106&amp;" / FĂRĂ OOS"</x:f>
        <x:v>DEMO / FĂRĂ OOS</x:v>
      </x:c>
      <x:c r="S10" s="356" t="n">
        <x:f>IF(Calcul_Model!$B$105&lt;&gt;"CALCULABIL","",MIN(100,MAX(0,(1-Q10)*100*Parametri!$C$116+AVERAGE(G10:K10)*100*Parametri!$C$117+L10*100*Parametri!$C$118+(100-Calcul_Model!$B$65)*Parametri!$C$119)))</x:f>
        <x:v>67.88321749498235</x:v>
      </x:c>
      <x:c r="T10" s="374" t="n">
        <x:f>IF(NOT(ISNUMBER(S10)),"",IF(S10&lt;=Parametri!$C$110,1,IF(S10&lt;=Parametri!$C$111,2,IF(S10&lt;=Parametri!$C$112,3,IF(S10&lt;=Parametri!$C$113,4,5)))))</x:f>
        <x:v>4</x:v>
      </x:c>
      <x:c r="U10" s="356" t="n">
        <x:f>Calcul_Model!$B$65</x:f>
        <x:v>91</x:v>
      </x:c>
      <x:c r="V10" s="353" t="str">
        <x:f t="shared" si="3">IF(Calcul_Model!$B$105&lt;&gt;"CALCULABIL","NECALCULABIL",CHOOSE(T10,"DEFENSIV","PRUDENT","MODERAT","RIDICAT","NO BET"))</x:f>
        <x:v>RIDICAT</x:v>
      </x:c>
      <x:c r="W10" s="356" t="n">
        <x:f t="shared" si="4">IF(OR(NOT(ISNUMBER(T10)),T10&gt;3),0,14-COUNTIF($S$5:$S$17,"&lt;"&amp;S10)-COUNTIF($S$5:S10,S10))</x:f>
        <x:v>0</x:v>
      </x:c>
    </x:row>
    <x:row r="11" ht="32" customHeight="1">
      <x:c r="A11" s="353" t="s">
        <x:v>1005</x:v>
      </x:c>
      <x:c r="B11" s="353" t="s">
        <x:v>576</x:v>
      </x:c>
      <x:c r="C11" s="353">
        <x:v>4</x:v>
      </x:c>
      <x:c r="D11" s="353" t="s">
        <x:v>1027</x:v>
      </x:c>
      <x:c r="E11" s="354" t="n">
        <x:f>IF(Calcul_Model!$B$105&lt;&gt;"CALCULABIL","",IF(B11="Over",INDEX(Distributie!$C$4:$C$29,MATCH(C11,Distributie!$A$4:$A$29,0)),MAX(0,1-INDEX(Distributie!$C$4:$C$29,MATCH(C11,Distributie!$A$4:$A$29,0)))))</x:f>
        <x:v>0.661468289387197</x:v>
      </x:c>
      <x:c r="F11" s="354" t="n">
        <x:f t="shared" si="0">IF(Calcul_Model!$B$105&lt;&gt;"CALCULABIL","",1-E11)</x:f>
        <x:v>0.33853171061280296</x:v>
      </x:c>
      <x:c r="G11" s="354" t="n">
        <x:f>IF(Calcul_Model!$B$105&lt;&gt;"CALCULABIL","",IF(B11="Over",LowCard_Secondary_v5!$B$6,1-LowCard_Secondary_v5!$B$6))</x:f>
        <x:v>0.5770750988142295</x:v>
      </x:c>
      <x:c r="H11" s="354" t="n">
        <x:f>IF(Calcul_Model!$B$105&lt;&gt;"CALCULABIL","",IF(B11="Over",LowCard_Secondary_v5!$B$7,1-LowCard_Secondary_v5!$B$7))</x:f>
        <x:v>1</x:v>
      </x:c>
      <x:c r="I11" s="354" t="n">
        <x:f>IF(Calcul_Model!$B$105&lt;&gt;"CALCULABIL","",IF(B11="Over",LowCard_Secondary_v5!$B$8,1-LowCard_Secondary_v5!$B$8))</x:f>
        <x:v>1</x:v>
      </x:c>
      <x:c r="J11" s="354" t="n">
        <x:f>IF(Calcul_Model!$B$105&lt;&gt;"CALCULABIL","",IF(B11="Over",LowCard_Secondary_v5!$B$9,1-LowCard_Secondary_v5!$B$9))</x:f>
        <x:v>0.65</x:v>
      </x:c>
      <x:c r="K11" s="354" t="n">
        <x:f>IF(Calcul_Model!$B$105&lt;&gt;"CALCULABIL","",IF(B11="Over",LowCard_Secondary_v5!$B$10,1-LowCard_Secondary_v5!$B$10))</x:f>
        <x:v>0.6666666666666667</x:v>
      </x:c>
      <x:c r="L11" s="354" t="n">
        <x:f>IF(Calcul_Model!$B$105&lt;&gt;"CALCULABIL","",IF(OR(COUNT(Input_Meci!$E$32,Input_Meci!$E$66,Input_Meci!$C$44:$D$45)=0,NOT(ISNUMBER(Input_Meci!$E$29))),MAX(0.5,MIN(1,Calcul_Model!$B$35+MAX(0,Calcul_Model!$C$55-1)/2)),MIN(1,Calcul_Model!$B$35+MAX(0,Calcul_Model!$C$55-1)/2)))</x:f>
        <x:v>0.09721669553725121</x:v>
      </x:c>
      <x:c r="M11" s="354" t="n">
        <x:f>IF(Calcul_Model!$B$105&lt;&gt;"CALCULABIL","",MAX(IFERROR(INDEX(Cards_LineCal_v9!$C$5:$C$17,MATCH(A11,Cards_LineCal_v9!$A$5:$A$17,0)),0),IFERROR(INDEX(Cards_LineCal_v9!$D$5:$D$17,MATCH(A11,Cards_LineCal_v9!$A$5:$A$17,0)),0),IFERROR(INDEX(Cards_LineCal_v9!$E$5:$E$17,MATCH(A11,Cards_LineCal_v9!$A$5:$A$17,0)),0)))</x:f>
        <x:v>0</x:v>
      </x:c>
      <x:c r="N11" s="355" t="n">
        <x:f>IF(Calcul_Model!$B$105&lt;&gt;"CALCULABIL","",INDEX(Cards_LineCal_v9!$B$5:$B$17,MATCH(A11,Cards_LineCal_v9!$A$5:$A$17,0)))</x:f>
        <x:v>1</x:v>
      </x:c>
      <x:c r="O11" s="354" t="n">
        <x:f t="shared" si="1">IF(Calcul_Model!$B$105&lt;&gt;"CALCULABIL","",MIN(0.99,MAX(M11,E11*(1+N11*(AVERAGE(G11:K11)*0.3+IF(B11="Under",L11*0.25,0))))))</x:f>
        <x:v>0.8320799320071104</x:v>
      </x:c>
      <x:c r="P11" s="354" t="n">
        <x:f>IF(Calcul_Model!$B$105&lt;&gt;"CALCULABIL","",Calcul_Model!$B$73)</x:f>
        <x:v>0.020080379978078187</x:v>
      </x:c>
      <x:c r="Q11" s="354" t="n">
        <x:f t="shared" si="2">IF(Calcul_Model!$B$105&lt;&gt;"CALCULABIL","",MAX(0.01,MIN(0.99,1-O11-P11)))</x:f>
        <x:v>0.14783968801481143</x:v>
      </x:c>
      <x:c r="R11" s="353" t="str">
        <x:f>Calcul_Model!$B$106&amp;" / FĂRĂ OOS"</x:f>
        <x:v>DEMO / FĂRĂ OOS</x:v>
      </x:c>
      <x:c r="S11" s="356" t="n">
        <x:f>IF(Calcul_Model!$B$105&lt;&gt;"CALCULABIL","",MIN(100,MAX(0,(1-Q11)*100*Parametri!$C$116+AVERAGE(G11:K11)*100*Parametri!$C$117+L11*100*Parametri!$C$118+(100-Calcul_Model!$B$65)*Parametri!$C$119)))</x:f>
        <x:v>60.991233094241785</x:v>
      </x:c>
      <x:c r="T11" s="374" t="n">
        <x:f>IF(NOT(ISNUMBER(S11)),"",IF(S11&lt;=Parametri!$C$110,1,IF(S11&lt;=Parametri!$C$111,2,IF(S11&lt;=Parametri!$C$112,3,IF(S11&lt;=Parametri!$C$113,4,5)))))</x:f>
        <x:v>4</x:v>
      </x:c>
      <x:c r="U11" s="356" t="n">
        <x:f>Calcul_Model!$B$65</x:f>
        <x:v>91</x:v>
      </x:c>
      <x:c r="V11" s="353" t="str">
        <x:f t="shared" si="3">IF(Calcul_Model!$B$105&lt;&gt;"CALCULABIL","NECALCULABIL",CHOOSE(T11,"DEFENSIV","PRUDENT","MODERAT","RIDICAT","NO BET"))</x:f>
        <x:v>RIDICAT</x:v>
      </x:c>
      <x:c r="W11" s="356" t="n">
        <x:f t="shared" si="4">IF(OR(NOT(ISNUMBER(T11)),T11&gt;3),0,14-COUNTIF($S$5:$S$17,"&lt;"&amp;S11)-COUNTIF($S$5:S11,S11))</x:f>
        <x:v>0</x:v>
      </x:c>
    </x:row>
    <x:row r="12" ht="32" customHeight="1">
      <x:c r="A12" s="353" t="s">
        <x:v>1006</x:v>
      </x:c>
      <x:c r="B12" s="353" t="s">
        <x:v>576</x:v>
      </x:c>
      <x:c r="C12" s="353">
        <x:v>5</x:v>
      </x:c>
      <x:c r="D12" s="353" t="s">
        <x:v>1027</x:v>
      </x:c>
      <x:c r="E12" s="354" t="n">
        <x:f>IF(Calcul_Model!$B$105&lt;&gt;"CALCULABIL","",IF(B12="Over",INDEX(Distributie!$C$4:$C$29,MATCH(C12,Distributie!$A$4:$A$29,0)),MAX(0,1-INDEX(Distributie!$C$4:$C$29,MATCH(C12,Distributie!$A$4:$A$29,0)))))</x:f>
        <x:v>0.4922002250739763</x:v>
      </x:c>
      <x:c r="F12" s="354" t="n">
        <x:f t="shared" si="0">IF(Calcul_Model!$B$105&lt;&gt;"CALCULABIL","",1-E12)</x:f>
        <x:v>0.5077997749260237</x:v>
      </x:c>
      <x:c r="G12" s="354" t="n">
        <x:f>IF(Calcul_Model!$B$105&lt;&gt;"CALCULABIL","",IF(B12="Over",LowCard_Secondary_v5!$B$6,1-LowCard_Secondary_v5!$B$6))</x:f>
        <x:v>0.5770750988142295</x:v>
      </x:c>
      <x:c r="H12" s="354" t="n">
        <x:f>IF(Calcul_Model!$B$105&lt;&gt;"CALCULABIL","",IF(B12="Over",LowCard_Secondary_v5!$B$7,1-LowCard_Secondary_v5!$B$7))</x:f>
        <x:v>1</x:v>
      </x:c>
      <x:c r="I12" s="354" t="n">
        <x:f>IF(Calcul_Model!$B$105&lt;&gt;"CALCULABIL","",IF(B12="Over",LowCard_Secondary_v5!$B$8,1-LowCard_Secondary_v5!$B$8))</x:f>
        <x:v>1</x:v>
      </x:c>
      <x:c r="J12" s="354" t="n">
        <x:f>IF(Calcul_Model!$B$105&lt;&gt;"CALCULABIL","",IF(B12="Over",LowCard_Secondary_v5!$B$9,1-LowCard_Secondary_v5!$B$9))</x:f>
        <x:v>0.65</x:v>
      </x:c>
      <x:c r="K12" s="354" t="n">
        <x:f>IF(Calcul_Model!$B$105&lt;&gt;"CALCULABIL","",IF(B12="Over",LowCard_Secondary_v5!$B$10,1-LowCard_Secondary_v5!$B$10))</x:f>
        <x:v>0.6666666666666667</x:v>
      </x:c>
      <x:c r="L12" s="354" t="n">
        <x:f>IF(Calcul_Model!$B$105&lt;&gt;"CALCULABIL","",IF(OR(COUNT(Input_Meci!$E$32,Input_Meci!$E$66,Input_Meci!$C$44:$D$45)=0,NOT(ISNUMBER(Input_Meci!$E$29))),MAX(0.5,MIN(1,Calcul_Model!$B$35+MAX(0,Calcul_Model!$C$55-1)/2)),MIN(1,Calcul_Model!$B$35+MAX(0,Calcul_Model!$C$55-1)/2)))</x:f>
        <x:v>0.09721669553725121</x:v>
      </x:c>
      <x:c r="M12" s="354" t="n">
        <x:f>IF(Calcul_Model!$B$105&lt;&gt;"CALCULABIL","",MAX(IFERROR(INDEX(Cards_LineCal_v9!$C$5:$C$17,MATCH(A12,Cards_LineCal_v9!$A$5:$A$17,0)),0),IFERROR(INDEX(Cards_LineCal_v9!$D$5:$D$17,MATCH(A12,Cards_LineCal_v9!$A$5:$A$17,0)),0),IFERROR(INDEX(Cards_LineCal_v9!$E$5:$E$17,MATCH(A12,Cards_LineCal_v9!$A$5:$A$17,0)),0)))</x:f>
        <x:v>0</x:v>
      </x:c>
      <x:c r="N12" s="355" t="n">
        <x:f>IF(Calcul_Model!$B$105&lt;&gt;"CALCULABIL","",INDEX(Cards_LineCal_v9!$B$5:$B$17,MATCH(A12,Cards_LineCal_v9!$A$5:$A$17,0)))</x:f>
        <x:v>1</x:v>
      </x:c>
      <x:c r="O12" s="354" t="n">
        <x:f t="shared" si="1">IF(Calcul_Model!$B$105&lt;&gt;"CALCULABIL","",MIN(0.99,MAX(M12,E12*(1+N12*(AVERAGE(G12:K12)*0.3+IF(B12="Under",L12*0.25,0))))))</x:f>
        <x:v>0.6191527793310505</x:v>
      </x:c>
      <x:c r="P12" s="354" t="n">
        <x:f>IF(Calcul_Model!$B$105&lt;&gt;"CALCULABIL","",Calcul_Model!$B$73)</x:f>
        <x:v>0.020080379978078187</x:v>
      </x:c>
      <x:c r="Q12" s="354" t="n">
        <x:f t="shared" si="2">IF(Calcul_Model!$B$105&lt;&gt;"CALCULABIL","",MAX(0.01,MIN(0.99,1-O12-P12)))</x:f>
        <x:v>0.3607668406908713</x:v>
      </x:c>
      <x:c r="R12" s="353" t="str">
        <x:f>Calcul_Model!$B$106&amp;" / FĂRĂ OOS"</x:f>
        <x:v>DEMO / FĂRĂ OOS</x:v>
      </x:c>
      <x:c r="S12" s="356" t="n">
        <x:f>IF(Calcul_Model!$B$105&lt;&gt;"CALCULABIL","",MIN(100,MAX(0,(1-Q12)*100*Parametri!$C$116+AVERAGE(G12:K12)*100*Parametri!$C$117+L12*100*Parametri!$C$118+(100-Calcul_Model!$B$65)*Parametri!$C$119)))</x:f>
        <x:v>50.344875460438786</x:v>
      </x:c>
      <x:c r="T12" s="374" t="n">
        <x:f>IF(NOT(ISNUMBER(S12)),"",IF(S12&lt;=Parametri!$C$110,1,IF(S12&lt;=Parametri!$C$111,2,IF(S12&lt;=Parametri!$C$112,3,IF(S12&lt;=Parametri!$C$113,4,5)))))</x:f>
        <x:v>3</x:v>
      </x:c>
      <x:c r="U12" s="356" t="n">
        <x:f>Calcul_Model!$B$65</x:f>
        <x:v>91</x:v>
      </x:c>
      <x:c r="V12" s="353" t="str">
        <x:f t="shared" si="3">IF(Calcul_Model!$B$105&lt;&gt;"CALCULABIL","NECALCULABIL",CHOOSE(T12,"DEFENSIV","PRUDENT","MODERAT","RIDICAT","NO BET"))</x:f>
        <x:v>MODERAT</x:v>
      </x:c>
      <x:c r="W12" s="356" t="n">
        <x:f t="shared" si="4">IF(OR(NOT(ISNUMBER(T12)),T12&gt;3),0,14-COUNTIF($S$5:$S$17,"&lt;"&amp;S12)-COUNTIF($S$5:S12,S12))</x:f>
        <x:v>3</x:v>
      </x:c>
    </x:row>
    <x:row r="13" ht="32" customHeight="1">
      <x:c r="A13" s="353" t="s">
        <x:v>1007</x:v>
      </x:c>
      <x:c r="B13" s="353" t="s">
        <x:v>576</x:v>
      </x:c>
      <x:c r="C13" s="353">
        <x:v>6</x:v>
      </x:c>
      <x:c r="D13" s="353" t="s">
        <x:v>1027</x:v>
      </x:c>
      <x:c r="E13" s="354" t="n">
        <x:f>IF(Calcul_Model!$B$105&lt;&gt;"CALCULABIL","",IF(B13="Over",INDEX(Distributie!$C$4:$C$29,MATCH(C13,Distributie!$A$4:$A$29,0)),MAX(0,1-INDEX(Distributie!$C$4:$C$29,MATCH(C13,Distributie!$A$4:$A$29,0)))))</x:f>
        <x:v>0.33354072683631686</x:v>
      </x:c>
      <x:c r="F13" s="354" t="n">
        <x:f t="shared" si="0">IF(Calcul_Model!$B$105&lt;&gt;"CALCULABIL","",1-E13)</x:f>
        <x:v>0.6664592731636831</x:v>
      </x:c>
      <x:c r="G13" s="354" t="n">
        <x:f>IF(Calcul_Model!$B$105&lt;&gt;"CALCULABIL","",IF(B13="Over",LowCard_Secondary_v5!$B$6,1-LowCard_Secondary_v5!$B$6))</x:f>
        <x:v>0.5770750988142295</x:v>
      </x:c>
      <x:c r="H13" s="354" t="n">
        <x:f>IF(Calcul_Model!$B$105&lt;&gt;"CALCULABIL","",IF(B13="Over",LowCard_Secondary_v5!$B$7,1-LowCard_Secondary_v5!$B$7))</x:f>
        <x:v>1</x:v>
      </x:c>
      <x:c r="I13" s="354" t="n">
        <x:f>IF(Calcul_Model!$B$105&lt;&gt;"CALCULABIL","",IF(B13="Over",LowCard_Secondary_v5!$B$8,1-LowCard_Secondary_v5!$B$8))</x:f>
        <x:v>1</x:v>
      </x:c>
      <x:c r="J13" s="354" t="n">
        <x:f>IF(Calcul_Model!$B$105&lt;&gt;"CALCULABIL","",IF(B13="Over",LowCard_Secondary_v5!$B$9,1-LowCard_Secondary_v5!$B$9))</x:f>
        <x:v>0.65</x:v>
      </x:c>
      <x:c r="K13" s="354" t="n">
        <x:f>IF(Calcul_Model!$B$105&lt;&gt;"CALCULABIL","",IF(B13="Over",LowCard_Secondary_v5!$B$10,1-LowCard_Secondary_v5!$B$10))</x:f>
        <x:v>0.6666666666666667</x:v>
      </x:c>
      <x:c r="L13" s="354" t="n">
        <x:f>IF(Calcul_Model!$B$105&lt;&gt;"CALCULABIL","",IF(OR(COUNT(Input_Meci!$E$32,Input_Meci!$E$66,Input_Meci!$C$44:$D$45)=0,NOT(ISNUMBER(Input_Meci!$E$29))),MAX(0.5,MIN(1,Calcul_Model!$B$35+MAX(0,Calcul_Model!$C$55-1)/2)),MIN(1,Calcul_Model!$B$35+MAX(0,Calcul_Model!$C$55-1)/2)))</x:f>
        <x:v>0.09721669553725121</x:v>
      </x:c>
      <x:c r="M13" s="354" t="n">
        <x:f>IF(Calcul_Model!$B$105&lt;&gt;"CALCULABIL","",MAX(IFERROR(INDEX(Cards_LineCal_v9!$C$5:$C$17,MATCH(A13,Cards_LineCal_v9!$A$5:$A$17,0)),0),IFERROR(INDEX(Cards_LineCal_v9!$D$5:$D$17,MATCH(A13,Cards_LineCal_v9!$A$5:$A$17,0)),0),IFERROR(INDEX(Cards_LineCal_v9!$E$5:$E$17,MATCH(A13,Cards_LineCal_v9!$A$5:$A$17,0)),0)))</x:f>
        <x:v>0</x:v>
      </x:c>
      <x:c r="N13" s="355" t="n">
        <x:f>IF(Calcul_Model!$B$105&lt;&gt;"CALCULABIL","",INDEX(Cards_LineCal_v9!$B$5:$B$17,MATCH(A13,Cards_LineCal_v9!$A$5:$A$17,0)))</x:f>
        <x:v>1</x:v>
      </x:c>
      <x:c r="O13" s="354" t="n">
        <x:f t="shared" si="1">IF(Calcul_Model!$B$105&lt;&gt;"CALCULABIL","",MIN(0.99,MAX(M13,E13*(1+N13*(AVERAGE(G13:K13)*0.3+IF(B13="Under",L13*0.25,0))))))</x:f>
        <x:v>0.4195704461731321</x:v>
      </x:c>
      <x:c r="P13" s="354" t="n">
        <x:f>IF(Calcul_Model!$B$105&lt;&gt;"CALCULABIL","",Calcul_Model!$B$73)</x:f>
        <x:v>0.020080379978078187</x:v>
      </x:c>
      <x:c r="Q13" s="354" t="n">
        <x:f t="shared" si="2">IF(Calcul_Model!$B$105&lt;&gt;"CALCULABIL","",MAX(0.01,MIN(0.99,1-O13-P13)))</x:f>
        <x:v>0.5603491738487897</x:v>
      </x:c>
      <x:c r="R13" s="353" t="str">
        <x:f>Calcul_Model!$B$106&amp;" / FĂRĂ OOS"</x:f>
        <x:v>DEMO / FĂRĂ OOS</x:v>
      </x:c>
      <x:c r="S13" s="356" t="n">
        <x:f>IF(Calcul_Model!$B$105&lt;&gt;"CALCULABIL","",MIN(100,MAX(0,(1-Q13)*100*Parametri!$C$116+AVERAGE(G13:K13)*100*Parametri!$C$117+L13*100*Parametri!$C$118+(100-Calcul_Model!$B$65)*Parametri!$C$119)))</x:f>
        <x:v>40.36575880254287</x:v>
      </x:c>
      <x:c r="T13" s="374" t="n">
        <x:f>IF(NOT(ISNUMBER(S13)),"",IF(S13&lt;=Parametri!$C$110,1,IF(S13&lt;=Parametri!$C$111,2,IF(S13&lt;=Parametri!$C$112,3,IF(S13&lt;=Parametri!$C$113,4,5)))))</x:f>
        <x:v>3</x:v>
      </x:c>
      <x:c r="U13" s="356" t="n">
        <x:f>Calcul_Model!$B$65</x:f>
        <x:v>91</x:v>
      </x:c>
      <x:c r="V13" s="353" t="str">
        <x:f t="shared" si="3">IF(Calcul_Model!$B$105&lt;&gt;"CALCULABIL","NECALCULABIL",CHOOSE(T13,"DEFENSIV","PRUDENT","MODERAT","RIDICAT","NO BET"))</x:f>
        <x:v>MODERAT</x:v>
      </x:c>
      <x:c r="W13" s="356" t="n">
        <x:f t="shared" si="4">IF(OR(NOT(ISNUMBER(T13)),T13&gt;3),0,14-COUNTIF($S$5:$S$17,"&lt;"&amp;S13)-COUNTIF($S$5:S13,S13))</x:f>
        <x:v>4</x:v>
      </x:c>
    </x:row>
    <x:row r="14" ht="32" customHeight="1">
      <x:c r="A14" s="353" t="s">
        <x:v>1008</x:v>
      </x:c>
      <x:c r="B14" s="353" t="s">
        <x:v>576</x:v>
      </x:c>
      <x:c r="C14" s="353">
        <x:v>7</x:v>
      </x:c>
      <x:c r="D14" s="353" t="s">
        <x:v>1027</x:v>
      </x:c>
      <x:c r="E14" s="354" t="n">
        <x:f>IF(Calcul_Model!$B$105&lt;&gt;"CALCULABIL","",IF(B14="Over",INDEX(Distributie!$C$4:$C$29,MATCH(C14,Distributie!$A$4:$A$29,0)),MAX(0,1-INDEX(Distributie!$C$4:$C$29,MATCH(C14,Distributie!$A$4:$A$29,0)))))</x:f>
        <x:v>0.20607003716094074</x:v>
      </x:c>
      <x:c r="F14" s="354" t="n">
        <x:f t="shared" si="0">IF(Calcul_Model!$B$105&lt;&gt;"CALCULABIL","",1-E14)</x:f>
        <x:v>0.7939299628390593</x:v>
      </x:c>
      <x:c r="G14" s="354" t="n">
        <x:f>IF(Calcul_Model!$B$105&lt;&gt;"CALCULABIL","",IF(B14="Over",LowCard_Secondary_v5!$B$6,1-LowCard_Secondary_v5!$B$6))</x:f>
        <x:v>0.5770750988142295</x:v>
      </x:c>
      <x:c r="H14" s="354" t="n">
        <x:f>IF(Calcul_Model!$B$105&lt;&gt;"CALCULABIL","",IF(B14="Over",LowCard_Secondary_v5!$B$7,1-LowCard_Secondary_v5!$B$7))</x:f>
        <x:v>1</x:v>
      </x:c>
      <x:c r="I14" s="354" t="n">
        <x:f>IF(Calcul_Model!$B$105&lt;&gt;"CALCULABIL","",IF(B14="Over",LowCard_Secondary_v5!$B$8,1-LowCard_Secondary_v5!$B$8))</x:f>
        <x:v>1</x:v>
      </x:c>
      <x:c r="J14" s="354" t="n">
        <x:f>IF(Calcul_Model!$B$105&lt;&gt;"CALCULABIL","",IF(B14="Over",LowCard_Secondary_v5!$B$9,1-LowCard_Secondary_v5!$B$9))</x:f>
        <x:v>0.65</x:v>
      </x:c>
      <x:c r="K14" s="354" t="n">
        <x:f>IF(Calcul_Model!$B$105&lt;&gt;"CALCULABIL","",IF(B14="Over",LowCard_Secondary_v5!$B$10,1-LowCard_Secondary_v5!$B$10))</x:f>
        <x:v>0.6666666666666667</x:v>
      </x:c>
      <x:c r="L14" s="354" t="n">
        <x:f>IF(Calcul_Model!$B$105&lt;&gt;"CALCULABIL","",IF(OR(COUNT(Input_Meci!$E$32,Input_Meci!$E$66,Input_Meci!$C$44:$D$45)=0,NOT(ISNUMBER(Input_Meci!$E$29))),MAX(0.5,MIN(1,Calcul_Model!$B$35+MAX(0,Calcul_Model!$C$55-1)/2)),MIN(1,Calcul_Model!$B$35+MAX(0,Calcul_Model!$C$55-1)/2)))</x:f>
        <x:v>0.09721669553725121</x:v>
      </x:c>
      <x:c r="M14" s="354" t="n">
        <x:f>IF(Calcul_Model!$B$105&lt;&gt;"CALCULABIL","",MAX(IFERROR(INDEX(Cards_LineCal_v9!$C$5:$C$17,MATCH(A14,Cards_LineCal_v9!$A$5:$A$17,0)),0),IFERROR(INDEX(Cards_LineCal_v9!$D$5:$D$17,MATCH(A14,Cards_LineCal_v9!$A$5:$A$17,0)),0),IFERROR(INDEX(Cards_LineCal_v9!$E$5:$E$17,MATCH(A14,Cards_LineCal_v9!$A$5:$A$17,0)),0)))</x:f>
        <x:v>0</x:v>
      </x:c>
      <x:c r="N14" s="355" t="n">
        <x:f>IF(Calcul_Model!$B$105&lt;&gt;"CALCULABIL","",INDEX(Cards_LineCal_v9!$B$5:$B$17,MATCH(A14,Cards_LineCal_v9!$A$5:$A$17,0)))</x:f>
        <x:v>1</x:v>
      </x:c>
      <x:c r="O14" s="354" t="n">
        <x:f t="shared" si="1">IF(Calcul_Model!$B$105&lt;&gt;"CALCULABIL","",MIN(0.99,MAX(M14,E14*(1+N14*(AVERAGE(G14:K14)*0.3+IF(B14="Under",L14*0.25,0))))))</x:f>
        <x:v>0.25922140979491237</x:v>
      </x:c>
      <x:c r="P14" s="354" t="n">
        <x:f>IF(Calcul_Model!$B$105&lt;&gt;"CALCULABIL","",Calcul_Model!$B$73)</x:f>
        <x:v>0.020080379978078187</x:v>
      </x:c>
      <x:c r="Q14" s="354" t="n">
        <x:f t="shared" si="2">IF(Calcul_Model!$B$105&lt;&gt;"CALCULABIL","",MAX(0.01,MIN(0.99,1-O14-P14)))</x:f>
        <x:v>0.7206982102270094</x:v>
      </x:c>
      <x:c r="R14" s="353" t="str">
        <x:f>Calcul_Model!$B$106&amp;" / FĂRĂ OOS"</x:f>
        <x:v>DEMO / FĂRĂ OOS</x:v>
      </x:c>
      <x:c r="S14" s="356" t="n">
        <x:f>IF(Calcul_Model!$B$105&lt;&gt;"CALCULABIL","",MIN(100,MAX(0,(1-Q14)*100*Parametri!$C$116+AVERAGE(G14:K14)*100*Parametri!$C$117+L14*100*Parametri!$C$118+(100-Calcul_Model!$B$65)*Parametri!$C$119)))</x:f>
        <x:v>32.34830698363188</x:v>
      </x:c>
      <x:c r="T14" s="374" t="n">
        <x:f>IF(NOT(ISNUMBER(S14)),"",IF(S14&lt;=Parametri!$C$110,1,IF(S14&lt;=Parametri!$C$111,2,IF(S14&lt;=Parametri!$C$112,3,IF(S14&lt;=Parametri!$C$113,4,5)))))</x:f>
        <x:v>2</x:v>
      </x:c>
      <x:c r="U14" s="356" t="n">
        <x:f>Calcul_Model!$B$65</x:f>
        <x:v>91</x:v>
      </x:c>
      <x:c r="V14" s="353" t="str">
        <x:f t="shared" si="3">IF(Calcul_Model!$B$105&lt;&gt;"CALCULABIL","NECALCULABIL",CHOOSE(T14,"DEFENSIV","PRUDENT","MODERAT","RIDICAT","NO BET"))</x:f>
        <x:v>PRUDENT</x:v>
      </x:c>
      <x:c r="W14" s="356" t="n">
        <x:f t="shared" si="4">IF(OR(NOT(ISNUMBER(T14)),T14&gt;3),0,14-COUNTIF($S$5:$S$17,"&lt;"&amp;S14)-COUNTIF($S$5:S14,S14))</x:f>
        <x:v>6</x:v>
      </x:c>
    </x:row>
    <x:row r="15" ht="32" customHeight="1">
      <x:c r="A15" s="353" t="s">
        <x:v>1009</x:v>
      </x:c>
      <x:c r="B15" s="353" t="s">
        <x:v>576</x:v>
      </x:c>
      <x:c r="C15" s="353">
        <x:v>8</x:v>
      </x:c>
      <x:c r="D15" s="353" t="s">
        <x:v>1027</x:v>
      </x:c>
      <x:c r="E15" s="354" t="n">
        <x:f>IF(Calcul_Model!$B$105&lt;&gt;"CALCULABIL","",IF(B15="Over",INDEX(Distributie!$C$4:$C$29,MATCH(C15,Distributie!$A$4:$A$29,0)),MAX(0,1-INDEX(Distributie!$C$4:$C$29,MATCH(C15,Distributie!$A$4:$A$29,0)))))</x:f>
        <x:v>0.11645876400394661</x:v>
      </x:c>
      <x:c r="F15" s="354" t="n">
        <x:f t="shared" si="0">IF(Calcul_Model!$B$105&lt;&gt;"CALCULABIL","",1-E15)</x:f>
        <x:v>0.8835412359960534</x:v>
      </x:c>
      <x:c r="G15" s="354" t="n">
        <x:f>IF(Calcul_Model!$B$105&lt;&gt;"CALCULABIL","",IF(B15="Over",LowCard_Secondary_v5!$B$6,1-LowCard_Secondary_v5!$B$6))</x:f>
        <x:v>0.5770750988142295</x:v>
      </x:c>
      <x:c r="H15" s="354" t="n">
        <x:f>IF(Calcul_Model!$B$105&lt;&gt;"CALCULABIL","",IF(B15="Over",LowCard_Secondary_v5!$B$7,1-LowCard_Secondary_v5!$B$7))</x:f>
        <x:v>1</x:v>
      </x:c>
      <x:c r="I15" s="354" t="n">
        <x:f>IF(Calcul_Model!$B$105&lt;&gt;"CALCULABIL","",IF(B15="Over",LowCard_Secondary_v5!$B$8,1-LowCard_Secondary_v5!$B$8))</x:f>
        <x:v>1</x:v>
      </x:c>
      <x:c r="J15" s="354" t="n">
        <x:f>IF(Calcul_Model!$B$105&lt;&gt;"CALCULABIL","",IF(B15="Over",LowCard_Secondary_v5!$B$9,1-LowCard_Secondary_v5!$B$9))</x:f>
        <x:v>0.65</x:v>
      </x:c>
      <x:c r="K15" s="354" t="n">
        <x:f>IF(Calcul_Model!$B$105&lt;&gt;"CALCULABIL","",IF(B15="Over",LowCard_Secondary_v5!$B$10,1-LowCard_Secondary_v5!$B$10))</x:f>
        <x:v>0.6666666666666667</x:v>
      </x:c>
      <x:c r="L15" s="354" t="n">
        <x:f>IF(Calcul_Model!$B$105&lt;&gt;"CALCULABIL","",IF(OR(COUNT(Input_Meci!$E$32,Input_Meci!$E$66,Input_Meci!$C$44:$D$45)=0,NOT(ISNUMBER(Input_Meci!$E$29))),MAX(0.5,MIN(1,Calcul_Model!$B$35+MAX(0,Calcul_Model!$C$55-1)/2)),MIN(1,Calcul_Model!$B$35+MAX(0,Calcul_Model!$C$55-1)/2)))</x:f>
        <x:v>0.09721669553725121</x:v>
      </x:c>
      <x:c r="M15" s="354" t="n">
        <x:f>IF(Calcul_Model!$B$105&lt;&gt;"CALCULABIL","",MAX(IFERROR(INDEX(Cards_LineCal_v9!$C$5:$C$17,MATCH(A15,Cards_LineCal_v9!$A$5:$A$17,0)),0),IFERROR(INDEX(Cards_LineCal_v9!$D$5:$D$17,MATCH(A15,Cards_LineCal_v9!$A$5:$A$17,0)),0),IFERROR(INDEX(Cards_LineCal_v9!$E$5:$E$17,MATCH(A15,Cards_LineCal_v9!$A$5:$A$17,0)),0)))</x:f>
        <x:v>0</x:v>
      </x:c>
      <x:c r="N15" s="355" t="n">
        <x:f>IF(Calcul_Model!$B$105&lt;&gt;"CALCULABIL","",INDEX(Cards_LineCal_v9!$B$5:$B$17,MATCH(A15,Cards_LineCal_v9!$A$5:$A$17,0)))</x:f>
        <x:v>1</x:v>
      </x:c>
      <x:c r="O15" s="354" t="n">
        <x:f t="shared" si="1">IF(Calcul_Model!$B$105&lt;&gt;"CALCULABIL","",MIN(0.99,MAX(M15,E15*(1+N15*(AVERAGE(G15:K15)*0.3+IF(B15="Under",L15*0.25,0))))))</x:f>
        <x:v>0.14649681925615768</x:v>
      </x:c>
      <x:c r="P15" s="354" t="n">
        <x:f>IF(Calcul_Model!$B$105&lt;&gt;"CALCULABIL","",Calcul_Model!$B$73)</x:f>
        <x:v>0.020080379978078187</x:v>
      </x:c>
      <x:c r="Q15" s="354" t="n">
        <x:f t="shared" si="2">IF(Calcul_Model!$B$105&lt;&gt;"CALCULABIL","",MAX(0.01,MIN(0.99,1-O15-P15)))</x:f>
        <x:v>0.8334228007657641</x:v>
      </x:c>
      <x:c r="R15" s="353" t="str">
        <x:f>Calcul_Model!$B$106&amp;" / FĂRĂ OOS"</x:f>
        <x:v>DEMO / FĂRĂ OOS</x:v>
      </x:c>
      <x:c r="S15" s="356" t="n">
        <x:f>IF(Calcul_Model!$B$105&lt;&gt;"CALCULABIL","",MIN(100,MAX(0,(1-Q15)*100*Parametri!$C$116+AVERAGE(G15:K15)*100*Parametri!$C$117+L15*100*Parametri!$C$118+(100-Calcul_Model!$B$65)*Parametri!$C$119)))</x:f>
        <x:v>26.71207745669415</x:v>
      </x:c>
      <x:c r="T15" s="374" t="n">
        <x:f>IF(NOT(ISNUMBER(S15)),"",IF(S15&lt;=Parametri!$C$110,1,IF(S15&lt;=Parametri!$C$111,2,IF(S15&lt;=Parametri!$C$112,3,IF(S15&lt;=Parametri!$C$113,4,5)))))</x:f>
        <x:v>2</x:v>
      </x:c>
      <x:c r="U15" s="356" t="n">
        <x:f>Calcul_Model!$B$65</x:f>
        <x:v>91</x:v>
      </x:c>
      <x:c r="V15" s="353" t="str">
        <x:f t="shared" si="3">IF(Calcul_Model!$B$105&lt;&gt;"CALCULABIL","NECALCULABIL",CHOOSE(T15,"DEFENSIV","PRUDENT","MODERAT","RIDICAT","NO BET"))</x:f>
        <x:v>PRUDENT</x:v>
      </x:c>
      <x:c r="W15" s="356" t="n">
        <x:f t="shared" si="4">IF(OR(NOT(ISNUMBER(T15)),T15&gt;3),0,14-COUNTIF($S$5:$S$17,"&lt;"&amp;S15)-COUNTIF($S$5:S15,S15))</x:f>
        <x:v>7</x:v>
      </x:c>
    </x:row>
    <x:row r="16" ht="32" customHeight="1">
      <x:c r="A16" s="353" t="s">
        <x:v>1010</x:v>
      </x:c>
      <x:c r="B16" s="353" t="s">
        <x:v>576</x:v>
      </x:c>
      <x:c r="C16" s="353">
        <x:v>9</x:v>
      </x:c>
      <x:c r="D16" s="353" t="s">
        <x:v>1027</x:v>
      </x:c>
      <x:c r="E16" s="354" t="n">
        <x:f>IF(Calcul_Model!$B$105&lt;&gt;"CALCULABIL","",IF(B16="Over",INDEX(Distributie!$C$4:$C$29,MATCH(C16,Distributie!$A$4:$A$29,0)),MAX(0,1-INDEX(Distributie!$C$4:$C$29,MATCH(C16,Distributie!$A$4:$A$29,0)))))</x:f>
        <x:v>0.06046206357017969</x:v>
      </x:c>
      <x:c r="F16" s="354" t="n">
        <x:f t="shared" si="0">IF(Calcul_Model!$B$105&lt;&gt;"CALCULABIL","",1-E16)</x:f>
        <x:v>0.9395379364298203</x:v>
      </x:c>
      <x:c r="G16" s="354" t="n">
        <x:f>IF(Calcul_Model!$B$105&lt;&gt;"CALCULABIL","",IF(B16="Over",LowCard_Secondary_v5!$B$6,1-LowCard_Secondary_v5!$B$6))</x:f>
        <x:v>0.5770750988142295</x:v>
      </x:c>
      <x:c r="H16" s="354" t="n">
        <x:f>IF(Calcul_Model!$B$105&lt;&gt;"CALCULABIL","",IF(B16="Over",LowCard_Secondary_v5!$B$7,1-LowCard_Secondary_v5!$B$7))</x:f>
        <x:v>1</x:v>
      </x:c>
      <x:c r="I16" s="354" t="n">
        <x:f>IF(Calcul_Model!$B$105&lt;&gt;"CALCULABIL","",IF(B16="Over",LowCard_Secondary_v5!$B$8,1-LowCard_Secondary_v5!$B$8))</x:f>
        <x:v>1</x:v>
      </x:c>
      <x:c r="J16" s="354" t="n">
        <x:f>IF(Calcul_Model!$B$105&lt;&gt;"CALCULABIL","",IF(B16="Over",LowCard_Secondary_v5!$B$9,1-LowCard_Secondary_v5!$B$9))</x:f>
        <x:v>0.65</x:v>
      </x:c>
      <x:c r="K16" s="354" t="n">
        <x:f>IF(Calcul_Model!$B$105&lt;&gt;"CALCULABIL","",IF(B16="Over",LowCard_Secondary_v5!$B$10,1-LowCard_Secondary_v5!$B$10))</x:f>
        <x:v>0.6666666666666667</x:v>
      </x:c>
      <x:c r="L16" s="354" t="n">
        <x:f>IF(Calcul_Model!$B$105&lt;&gt;"CALCULABIL","",IF(OR(COUNT(Input_Meci!$E$32,Input_Meci!$E$66,Input_Meci!$C$44:$D$45)=0,NOT(ISNUMBER(Input_Meci!$E$29))),MAX(0.5,MIN(1,Calcul_Model!$B$35+MAX(0,Calcul_Model!$C$55-1)/2)),MIN(1,Calcul_Model!$B$35+MAX(0,Calcul_Model!$C$55-1)/2)))</x:f>
        <x:v>0.09721669553725121</x:v>
      </x:c>
      <x:c r="M16" s="354" t="n">
        <x:f>IF(Calcul_Model!$B$105&lt;&gt;"CALCULABIL","",MAX(IFERROR(INDEX(Cards_LineCal_v9!$C$5:$C$17,MATCH(A16,Cards_LineCal_v9!$A$5:$A$17,0)),0),IFERROR(INDEX(Cards_LineCal_v9!$D$5:$D$17,MATCH(A16,Cards_LineCal_v9!$A$5:$A$17,0)),0),IFERROR(INDEX(Cards_LineCal_v9!$E$5:$E$17,MATCH(A16,Cards_LineCal_v9!$A$5:$A$17,0)),0)))</x:f>
        <x:v>0</x:v>
      </x:c>
      <x:c r="N16" s="355" t="n">
        <x:f>IF(Calcul_Model!$B$105&lt;&gt;"CALCULABIL","",INDEX(Cards_LineCal_v9!$B$5:$B$17,MATCH(A16,Cards_LineCal_v9!$A$5:$A$17,0)))</x:f>
        <x:v>1</x:v>
      </x:c>
      <x:c r="O16" s="354" t="n">
        <x:f t="shared" si="1">IF(Calcul_Model!$B$105&lt;&gt;"CALCULABIL","",MIN(0.99,MAX(M16,E16*(1+N16*(AVERAGE(G16:K16)*0.3+IF(B16="Under",L16*0.25,0))))))</x:f>
        <x:v>0.0760569638056159</x:v>
      </x:c>
      <x:c r="P16" s="354" t="n">
        <x:f>IF(Calcul_Model!$B$105&lt;&gt;"CALCULABIL","",Calcul_Model!$B$73)</x:f>
        <x:v>0.020080379978078187</x:v>
      </x:c>
      <x:c r="Q16" s="354" t="n">
        <x:f t="shared" si="2">IF(Calcul_Model!$B$105&lt;&gt;"CALCULABIL","",MAX(0.01,MIN(0.99,1-O16-P16)))</x:f>
        <x:v>0.9038626562163059</x:v>
      </x:c>
      <x:c r="R16" s="353" t="str">
        <x:f>Calcul_Model!$B$106&amp;" / FĂRĂ OOS"</x:f>
        <x:v>DEMO / FĂRĂ OOS</x:v>
      </x:c>
      <x:c r="S16" s="356" t="n">
        <x:f>IF(Calcul_Model!$B$105&lt;&gt;"CALCULABIL","",MIN(100,MAX(0,(1-Q16)*100*Parametri!$C$116+AVERAGE(G16:K16)*100*Parametri!$C$117+L16*100*Parametri!$C$118+(100-Calcul_Model!$B$65)*Parametri!$C$119)))</x:f>
        <x:v>23.19008468416706</x:v>
      </x:c>
      <x:c r="T16" s="374" t="n">
        <x:f>IF(NOT(ISNUMBER(S16)),"",IF(S16&lt;=Parametri!$C$110,1,IF(S16&lt;=Parametri!$C$111,2,IF(S16&lt;=Parametri!$C$112,3,IF(S16&lt;=Parametri!$C$113,4,5)))))</x:f>
        <x:v>2</x:v>
      </x:c>
      <x:c r="U16" s="356" t="n">
        <x:f>Calcul_Model!$B$65</x:f>
        <x:v>91</x:v>
      </x:c>
      <x:c r="V16" s="353" t="str">
        <x:f t="shared" si="3">IF(Calcul_Model!$B$105&lt;&gt;"CALCULABIL","NECALCULABIL",CHOOSE(T16,"DEFENSIV","PRUDENT","MODERAT","RIDICAT","NO BET"))</x:f>
        <x:v>PRUDENT</x:v>
      </x:c>
      <x:c r="W16" s="356" t="n">
        <x:f t="shared" si="4">IF(OR(NOT(ISNUMBER(T16)),T16&gt;3),0,14-COUNTIF($S$5:$S$17,"&lt;"&amp;S16)-COUNTIF($S$5:S16,S16))</x:f>
        <x:v>9</x:v>
      </x:c>
    </x:row>
    <x:row r="17" ht="32" customHeight="1">
      <x:c r="A17" s="353" t="s">
        <x:v>1011</x:v>
      </x:c>
      <x:c r="B17" s="353" t="s">
        <x:v>576</x:v>
      </x:c>
      <x:c r="C17" s="353">
        <x:v>10</x:v>
      </x:c>
      <x:c r="D17" s="353" t="s">
        <x:v>1027</x:v>
      </x:c>
      <x:c r="E17" s="354" t="n">
        <x:f>IF(Calcul_Model!$B$105&lt;&gt;"CALCULABIL","",IF(B17="Over",INDEX(Distributie!$C$4:$C$29,MATCH(C17,Distributie!$A$4:$A$29,0)),MAX(0,1-INDEX(Distributie!$C$4:$C$29,MATCH(C17,Distributie!$A$4:$A$29,0)))))</x:f>
        <x:v>0.028969737726554867</x:v>
      </x:c>
      <x:c r="F17" s="354" t="n">
        <x:f t="shared" si="0">IF(Calcul_Model!$B$105&lt;&gt;"CALCULABIL","",1-E17)</x:f>
        <x:v>0.9710302622734451</x:v>
      </x:c>
      <x:c r="G17" s="354" t="n">
        <x:f>IF(Calcul_Model!$B$105&lt;&gt;"CALCULABIL","",IF(B17="Over",LowCard_Secondary_v5!$B$6,1-LowCard_Secondary_v5!$B$6))</x:f>
        <x:v>0.5770750988142295</x:v>
      </x:c>
      <x:c r="H17" s="354" t="n">
        <x:f>IF(Calcul_Model!$B$105&lt;&gt;"CALCULABIL","",IF(B17="Over",LowCard_Secondary_v5!$B$7,1-LowCard_Secondary_v5!$B$7))</x:f>
        <x:v>1</x:v>
      </x:c>
      <x:c r="I17" s="354" t="n">
        <x:f>IF(Calcul_Model!$B$105&lt;&gt;"CALCULABIL","",IF(B17="Over",LowCard_Secondary_v5!$B$8,1-LowCard_Secondary_v5!$B$8))</x:f>
        <x:v>1</x:v>
      </x:c>
      <x:c r="J17" s="354" t="n">
        <x:f>IF(Calcul_Model!$B$105&lt;&gt;"CALCULABIL","",IF(B17="Over",LowCard_Secondary_v5!$B$9,1-LowCard_Secondary_v5!$B$9))</x:f>
        <x:v>0.65</x:v>
      </x:c>
      <x:c r="K17" s="354" t="n">
        <x:f>IF(Calcul_Model!$B$105&lt;&gt;"CALCULABIL","",IF(B17="Over",LowCard_Secondary_v5!$B$10,1-LowCard_Secondary_v5!$B$10))</x:f>
        <x:v>0.6666666666666667</x:v>
      </x:c>
      <x:c r="L17" s="354" t="n">
        <x:f>IF(Calcul_Model!$B$105&lt;&gt;"CALCULABIL","",IF(OR(COUNT(Input_Meci!$E$32,Input_Meci!$E$66,Input_Meci!$C$44:$D$45)=0,NOT(ISNUMBER(Input_Meci!$E$29))),MAX(0.5,MIN(1,Calcul_Model!$B$35+MAX(0,Calcul_Model!$C$55-1)/2)),MIN(1,Calcul_Model!$B$35+MAX(0,Calcul_Model!$C$55-1)/2)))</x:f>
        <x:v>0.09721669553725121</x:v>
      </x:c>
      <x:c r="M17" s="354" t="n">
        <x:f>IF(Calcul_Model!$B$105&lt;&gt;"CALCULABIL","",MAX(IFERROR(INDEX(Cards_LineCal_v9!$C$5:$C$17,MATCH(A17,Cards_LineCal_v9!$A$5:$A$17,0)),0),IFERROR(INDEX(Cards_LineCal_v9!$D$5:$D$17,MATCH(A17,Cards_LineCal_v9!$A$5:$A$17,0)),0),IFERROR(INDEX(Cards_LineCal_v9!$E$5:$E$17,MATCH(A17,Cards_LineCal_v9!$A$5:$A$17,0)),0)))</x:f>
        <x:v>0</x:v>
      </x:c>
      <x:c r="N17" s="355" t="n">
        <x:f>IF(Calcul_Model!$B$105&lt;&gt;"CALCULABIL","",INDEX(Cards_LineCal_v9!$B$5:$B$17,MATCH(A17,Cards_LineCal_v9!$A$5:$A$17,0)))</x:f>
        <x:v>1</x:v>
      </x:c>
      <x:c r="O17" s="354" t="n">
        <x:f t="shared" si="1">IF(Calcul_Model!$B$105&lt;&gt;"CALCULABIL","",MIN(0.99,MAX(M17,E17*(1+N17*(AVERAGE(G17:K17)*0.3+IF(B17="Under",L17*0.25,0))))))</x:f>
        <x:v>0.03644186393289885</x:v>
      </x:c>
      <x:c r="P17" s="354" t="n">
        <x:f>IF(Calcul_Model!$B$105&lt;&gt;"CALCULABIL","",Calcul_Model!$B$73)</x:f>
        <x:v>0.020080379978078187</x:v>
      </x:c>
      <x:c r="Q17" s="354" t="n">
        <x:f t="shared" si="2">IF(Calcul_Model!$B$105&lt;&gt;"CALCULABIL","",MAX(0.01,MIN(0.99,1-O17-P17)))</x:f>
        <x:v>0.943477756089023</x:v>
      </x:c>
      <x:c r="R17" s="353" t="str">
        <x:f>Calcul_Model!$B$106&amp;" / FĂRĂ OOS"</x:f>
        <x:v>DEMO / FĂRĂ OOS</x:v>
      </x:c>
      <x:c r="S17" s="356" t="n">
        <x:f>IF(Calcul_Model!$B$105&lt;&gt;"CALCULABIL","",MIN(100,MAX(0,(1-Q17)*100*Parametri!$C$116+AVERAGE(G17:K17)*100*Parametri!$C$117+L17*100*Parametri!$C$118+(100-Calcul_Model!$B$65)*Parametri!$C$119)))</x:f>
        <x:v>21.20932969053121</x:v>
      </x:c>
      <x:c r="T17" s="374" t="n">
        <x:f>IF(NOT(ISNUMBER(S17)),"",IF(S17&lt;=Parametri!$C$110,1,IF(S17&lt;=Parametri!$C$111,2,IF(S17&lt;=Parametri!$C$112,3,IF(S17&lt;=Parametri!$C$113,4,5)))))</x:f>
        <x:v>2</x:v>
      </x:c>
      <x:c r="U17" s="356" t="n">
        <x:f>Calcul_Model!$B$65</x:f>
        <x:v>91</x:v>
      </x:c>
      <x:c r="V17" s="353" t="str">
        <x:f t="shared" si="3">IF(Calcul_Model!$B$105&lt;&gt;"CALCULABIL","NECALCULABIL",CHOOSE(T17,"DEFENSIV","PRUDENT","MODERAT","RIDICAT","NO BET"))</x:f>
        <x:v>PRUDENT</x:v>
      </x:c>
      <x:c r="W17" s="356" t="n">
        <x:f t="shared" si="4">IF(OR(NOT(ISNUMBER(T17)),T17&gt;3),0,14-COUNTIF($S$5:$S$17,"&lt;"&amp;S17)-COUNTIF($S$5:S17,S17))</x:f>
        <x:v>10</x:v>
      </x:c>
    </x:row>
  </x:sheetData>
  <x:mergeCells>
    <x:mergeCell ref="A1:W1"/>
    <x:mergeCell ref="A2:W2"/>
  </x:mergeCells>
  <x:conditionalFormatting sqref="V5:V17">
    <x:cfRule type="expression" dxfId="26" priority="1">
      <x:formula>V5="DEFENSIV"</x:formula>
    </x:cfRule>
    <x:cfRule type="expression" dxfId="28" priority="2">
      <x:formula>V5="PRUDENT"</x:formula>
    </x:cfRule>
    <x:cfRule type="expression" dxfId="30" priority="3">
      <x:formula>V5="MODERAT"</x:formula>
    </x:cfRule>
    <x:cfRule type="expression" dxfId="32" priority="4">
      <x:formula>V5="RIDICAT"</x:formula>
    </x:cfRule>
    <x:cfRule type="expression" dxfId="34" priority="5">
      <x:formula>V5="NO BET"</x:formula>
    </x:cfRule>
    <x:cfRule type="expression" dxfId="36" priority="6">
      <x:formula>V5="NECALCULABIL"</x:formula>
    </x:cfRule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4.25"/>
  <x:cols>
    <x:col min="1" max="1" width="24" customWidth="1"/>
    <x:col min="2" max="8" width="30" customWidth="1"/>
  </x:cols>
  <x:sheetData>
    <x:row r="1" ht="24" customHeight="1">
      <x:c r="A1" s="211" t="s">
        <x:v>1028</x:v>
      </x:c>
      <x:c r="B1" s="211"/>
      <x:c r="C1" s="211"/>
      <x:c r="D1" s="211"/>
      <x:c r="E1" s="211"/>
      <x:c r="F1" s="211"/>
      <x:c r="G1" s="211"/>
      <x:c r="H1" s="211"/>
    </x:row>
    <x:row r="2">
      <x:c r="A2" s="212" t="str">
        <x:v>Istoricul versiunilor. Regulile active sunt cele din ultima secțiune V4 și DOCUMENTATIE_MODEL.</x:v>
      </x:c>
      <x:c r="B2" s="212"/>
      <x:c r="C2" s="212"/>
      <x:c r="D2" s="212"/>
      <x:c r="E2" s="212"/>
      <x:c r="F2" s="212"/>
      <x:c r="G2" s="212"/>
      <x:c r="H2" s="212"/>
    </x:row>
    <x:row r="4" ht="15">
      <x:c r="A4" s="189" t="s">
        <x:v>1029</x:v>
      </x:c>
      <x:c r="B4" s="189"/>
      <x:c r="C4" s="189"/>
      <x:c r="D4" s="189"/>
      <x:c r="E4" s="189"/>
      <x:c r="F4" s="189"/>
      <x:c r="G4" s="189"/>
      <x:c r="H4" s="189"/>
    </x:row>
    <x:row r="5" ht="28.5">
      <x:c r="A5" s="159" t="s">
        <x:v>1030</x:v>
      </x:c>
      <x:c r="B5" s="159"/>
      <x:c r="C5" s="159"/>
      <x:c r="D5" s="159"/>
      <x:c r="E5" s="159"/>
      <x:c r="F5" s="159"/>
    </x:row>
    <x:row r="6">
      <x:c r="A6" s="159"/>
      <x:c r="B6" s="159"/>
      <x:c r="C6" s="159"/>
      <x:c r="D6" s="159"/>
      <x:c r="E6" s="159"/>
      <x:c r="F6" s="159"/>
    </x:row>
    <x:row r="7">
      <x:c r="A7" s="159" t="s">
        <x:v>599</x:v>
      </x:c>
      <x:c r="B7" s="159" t="s">
        <x:v>1031</x:v>
      </x:c>
      <x:c r="C7" s="159" t="s">
        <x:v>1032</x:v>
      </x:c>
      <x:c r="D7" s="159" t="s">
        <x:v>1033</x:v>
      </x:c>
      <x:c r="E7" s="159" t="s">
        <x:v>1034</x:v>
      </x:c>
      <x:c r="F7" s="159" t="s">
        <x:v>1035</x:v>
      </x:c>
    </x:row>
    <x:row r="8" ht="57">
      <x:c r="A8" s="159" t="s">
        <x:v>574</x:v>
      </x:c>
      <x:c r="B8" s="159" t="s">
        <x:v>1036</x:v>
      </x:c>
      <x:c r="C8" s="159" t="s">
        <x:v>1037</x:v>
      </x:c>
      <x:c r="D8" s="159" t="s">
        <x:v>1038</x:v>
      </x:c>
      <x:c r="E8" s="159" t="s">
        <x:v>1039</x:v>
      </x:c>
      <x:c r="F8" s="159" t="s">
        <x:v>1040</x:v>
      </x:c>
    </x:row>
    <x:row r="9" ht="42.75">
      <x:c r="A9" s="159" t="s">
        <x:v>574</x:v>
      </x:c>
      <x:c r="B9" s="159" t="s">
        <x:v>1041</x:v>
      </x:c>
      <x:c r="C9" s="159" t="s">
        <x:v>1042</x:v>
      </x:c>
      <x:c r="D9" s="159" t="s">
        <x:v>1043</x:v>
      </x:c>
      <x:c r="E9" s="159" t="s">
        <x:v>1039</x:v>
      </x:c>
      <x:c r="F9" s="159" t="s">
        <x:v>1044</x:v>
      </x:c>
    </x:row>
    <x:row r="10" ht="28.5">
      <x:c r="A10" s="159" t="s">
        <x:v>629</x:v>
      </x:c>
      <x:c r="B10" s="159" t="s">
        <x:v>1045</x:v>
      </x:c>
      <x:c r="C10" s="159" t="s">
        <x:v>1046</x:v>
      </x:c>
      <x:c r="D10" s="159" t="s">
        <x:v>1047</x:v>
      </x:c>
      <x:c r="E10" s="159" t="s">
        <x:v>1048</x:v>
      </x:c>
      <x:c r="F10" s="159" t="s">
        <x:v>226</x:v>
      </x:c>
    </x:row>
    <x:row r="13" ht="15">
      <x:c r="A13" s="189" t="s">
        <x:v>1049</x:v>
      </x:c>
      <x:c r="B13" s="189"/>
      <x:c r="C13" s="189"/>
      <x:c r="D13" s="189"/>
      <x:c r="E13" s="189"/>
      <x:c r="F13" s="189"/>
      <x:c r="G13" s="189"/>
      <x:c r="H13" s="189"/>
    </x:row>
    <x:row r="14" ht="42.75">
      <x:c r="A14" s="159" t="s">
        <x:v>1050</x:v>
      </x:c>
      <x:c r="B14" s="159"/>
      <x:c r="C14" s="159"/>
      <x:c r="D14" s="159"/>
      <x:c r="E14" s="159"/>
      <x:c r="F14" s="159"/>
      <x:c r="G14" s="159"/>
    </x:row>
    <x:row r="15" ht="71.25">
      <x:c r="A15" s="159" t="s">
        <x:v>853</x:v>
      </x:c>
      <x:c r="B15" s="159"/>
      <x:c r="C15" s="159"/>
      <x:c r="D15" s="159"/>
      <x:c r="E15" s="159"/>
      <x:c r="F15" s="159"/>
      <x:c r="G15" s="159"/>
    </x:row>
    <x:row r="16">
      <x:c r="A16" s="159" t="s">
        <x:v>1051</x:v>
      </x:c>
      <x:c r="B16" s="159" t="s">
        <x:v>1052</x:v>
      </x:c>
      <x:c r="C16" s="159" t="s">
        <x:v>1053</x:v>
      </x:c>
      <x:c r="D16" s="159" t="s">
        <x:v>1054</x:v>
      </x:c>
      <x:c r="E16" s="159" t="s">
        <x:v>1055</x:v>
      </x:c>
      <x:c r="F16" s="159" t="s">
        <x:v>1056</x:v>
      </x:c>
      <x:c r="G16" s="159" t="s">
        <x:v>1057</x:v>
      </x:c>
    </x:row>
    <x:row r="17" ht="42.75">
      <x:c r="A17" s="159" t="s">
        <x:v>574</x:v>
      </x:c>
      <x:c r="B17" s="159" t="s">
        <x:v>1058</x:v>
      </x:c>
      <x:c r="C17" s="159" t="s">
        <x:v>1059</x:v>
      </x:c>
      <x:c r="D17" s="159" t="s">
        <x:v>1060</x:v>
      </x:c>
      <x:c r="E17" s="159" t="s">
        <x:v>1061</x:v>
      </x:c>
      <x:c r="F17" s="159" t="s">
        <x:v>1062</x:v>
      </x:c>
      <x:c r="G17" s="159" t="s">
        <x:v>1063</x:v>
      </x:c>
    </x:row>
    <x:row r="18" ht="28.5">
      <x:c r="A18" s="159" t="s">
        <x:v>629</x:v>
      </x:c>
      <x:c r="B18" s="159" t="s">
        <x:v>1064</x:v>
      </x:c>
      <x:c r="C18" s="159" t="s">
        <x:v>1065</x:v>
      </x:c>
      <x:c r="D18" s="159" t="s">
        <x:v>1066</x:v>
      </x:c>
      <x:c r="E18" s="159" t="s">
        <x:v>1067</x:v>
      </x:c>
      <x:c r="F18" s="159" t="s">
        <x:v>1068</x:v>
      </x:c>
      <x:c r="G18" s="159" t="s">
        <x:v>1069</x:v>
      </x:c>
    </x:row>
    <x:row r="21" ht="15">
      <x:c r="A21" s="189" t="s">
        <x:v>1070</x:v>
      </x:c>
      <x:c r="B21" s="189"/>
      <x:c r="C21" s="189"/>
      <x:c r="D21" s="189"/>
      <x:c r="E21" s="189"/>
      <x:c r="F21" s="189"/>
      <x:c r="G21" s="189"/>
      <x:c r="H21" s="189"/>
    </x:row>
    <x:row r="22" ht="42.75">
      <x:c r="A22" s="159" t="s">
        <x:v>1071</x:v>
      </x:c>
      <x:c r="B22" s="159"/>
      <x:c r="C22" s="159"/>
      <x:c r="D22" s="159"/>
      <x:c r="E22" s="159"/>
      <x:c r="F22" s="159"/>
      <x:c r="G22" s="159"/>
    </x:row>
    <x:row r="23">
      <x:c r="A23" s="159"/>
      <x:c r="B23" s="159"/>
      <x:c r="C23" s="159"/>
      <x:c r="D23" s="159"/>
      <x:c r="E23" s="159"/>
      <x:c r="F23" s="159"/>
      <x:c r="G23" s="159"/>
    </x:row>
    <x:row r="24">
      <x:c r="A24" s="159" t="s">
        <x:v>599</x:v>
      </x:c>
      <x:c r="B24" s="159" t="s">
        <x:v>1052</x:v>
      </x:c>
      <x:c r="C24" s="159" t="s">
        <x:v>1072</x:v>
      </x:c>
      <x:c r="D24" s="159" t="s">
        <x:v>1054</x:v>
      </x:c>
      <x:c r="E24" s="159" t="s">
        <x:v>1055</x:v>
      </x:c>
      <x:c r="F24" s="159" t="s">
        <x:v>1073</x:v>
      </x:c>
      <x:c r="G24" s="159" t="s">
        <x:v>226</x:v>
      </x:c>
    </x:row>
    <x:row r="25" ht="28.5">
      <x:c r="A25" s="159" t="s">
        <x:v>574</x:v>
      </x:c>
      <x:c r="B25" s="159" t="s">
        <x:v>1074</x:v>
      </x:c>
      <x:c r="C25" s="159" t="s">
        <x:v>1075</x:v>
      </x:c>
      <x:c r="D25" s="159" t="s">
        <x:v>1076</x:v>
      </x:c>
      <x:c r="E25" s="159" t="s">
        <x:v>1077</x:v>
      </x:c>
      <x:c r="F25" s="159" t="s">
        <x:v>1078</x:v>
      </x:c>
      <x:c r="G25" s="159" t="s">
        <x:v>1079</x:v>
      </x:c>
    </x:row>
    <x:row r="26">
      <x:c r="A26" s="159" t="s">
        <x:v>574</x:v>
      </x:c>
      <x:c r="B26" s="159" t="s">
        <x:v>435</x:v>
      </x:c>
      <x:c r="C26" s="159" t="s">
        <x:v>1080</x:v>
      </x:c>
      <x:c r="D26" s="159" t="s">
        <x:v>1081</x:v>
      </x:c>
      <x:c r="E26" s="159" t="s">
        <x:v>439</x:v>
      </x:c>
      <x:c r="F26" s="159" t="s">
        <x:v>1082</x:v>
      </x:c>
      <x:c r="G26" s="159" t="s">
        <x:v>969</x:v>
      </x:c>
    </x:row>
    <x:row r="27">
      <x:c r="A27" s="159" t="s">
        <x:v>629</x:v>
      </x:c>
      <x:c r="B27" s="159" t="s">
        <x:v>1083</x:v>
      </x:c>
      <x:c r="C27" s="159" t="s">
        <x:v>1084</x:v>
      </x:c>
      <x:c r="D27" s="159" t="s">
        <x:v>1085</x:v>
      </x:c>
      <x:c r="E27" s="159" t="s">
        <x:v>1086</x:v>
      </x:c>
      <x:c r="F27" s="159" t="s">
        <x:v>1087</x:v>
      </x:c>
      <x:c r="G27" s="159" t="s">
        <x:v>1088</x:v>
      </x:c>
    </x:row>
    <x:row r="28" ht="28.5">
      <x:c r="A28" s="159" t="s">
        <x:v>1089</x:v>
      </x:c>
      <x:c r="B28" s="159" t="s">
        <x:v>1090</x:v>
      </x:c>
      <x:c r="C28" s="159" t="s">
        <x:v>1091</x:v>
      </x:c>
      <x:c r="D28" s="159" t="s">
        <x:v>1092</x:v>
      </x:c>
      <x:c r="E28" s="159" t="s">
        <x:v>1093</x:v>
      </x:c>
      <x:c r="F28" s="159" t="s">
        <x:v>1094</x:v>
      </x:c>
      <x:c r="G28" s="159" t="s">
        <x:v>1095</x:v>
      </x:c>
    </x:row>
    <x:row r="31" ht="15">
      <x:c r="A31" s="189" t="s">
        <x:v>1096</x:v>
      </x:c>
      <x:c r="B31" s="189"/>
      <x:c r="C31" s="189"/>
      <x:c r="D31" s="189"/>
      <x:c r="E31" s="189"/>
      <x:c r="F31" s="189"/>
      <x:c r="G31" s="189"/>
      <x:c r="H31" s="189"/>
    </x:row>
    <x:row r="32">
      <x:c r="A32" s="159" t="s">
        <x:v>1097</x:v>
      </x:c>
      <x:c r="B32" s="159"/>
      <x:c r="C32" s="159"/>
      <x:c r="D32" s="159"/>
      <x:c r="E32" s="159"/>
      <x:c r="F32" s="159"/>
    </x:row>
    <x:row r="33">
      <x:c r="A33" s="159"/>
      <x:c r="B33" s="159"/>
      <x:c r="C33" s="159"/>
      <x:c r="D33" s="159"/>
      <x:c r="E33" s="159"/>
      <x:c r="F33" s="159"/>
    </x:row>
    <x:row r="34">
      <x:c r="A34" s="159" t="s">
        <x:v>599</x:v>
      </x:c>
      <x:c r="B34" s="159" t="s">
        <x:v>1098</x:v>
      </x:c>
      <x:c r="C34" s="159" t="s">
        <x:v>1034</x:v>
      </x:c>
      <x:c r="D34" s="159" t="s">
        <x:v>1099</x:v>
      </x:c>
      <x:c r="E34" s="159" t="s">
        <x:v>1100</x:v>
      </x:c>
      <x:c r="F34" s="159" t="s">
        <x:v>259</x:v>
      </x:c>
    </x:row>
    <x:row r="35" ht="28.5">
      <x:c r="A35" s="159" t="s">
        <x:v>629</x:v>
      </x:c>
      <x:c r="B35" s="159" t="s">
        <x:v>1101</x:v>
      </x:c>
      <x:c r="C35" s="159" t="s">
        <x:v>1102</x:v>
      </x:c>
      <x:c r="D35" s="159" t="s">
        <x:v>1103</x:v>
      </x:c>
      <x:c r="E35" s="159" t="s">
        <x:v>1104</x:v>
      </x:c>
      <x:c r="F35" s="159"/>
    </x:row>
    <x:row r="36" ht="28.5">
      <x:c r="A36" s="159" t="s">
        <x:v>1105</x:v>
      </x:c>
      <x:c r="B36" s="159" t="s">
        <x:v>1106</x:v>
      </x:c>
      <x:c r="C36" s="159" t="s">
        <x:v>1107</x:v>
      </x:c>
      <x:c r="D36" s="159" t="s">
        <x:v>1108</x:v>
      </x:c>
      <x:c r="E36" s="159" t="s">
        <x:v>1109</x:v>
      </x:c>
      <x:c r="F36" s="159"/>
    </x:row>
    <x:row r="37" ht="28.5">
      <x:c r="A37" s="159" t="s">
        <x:v>1110</x:v>
      </x:c>
      <x:c r="B37" s="159" t="s">
        <x:v>1111</x:v>
      </x:c>
      <x:c r="C37" s="159" t="s">
        <x:v>1112</x:v>
      </x:c>
      <x:c r="D37" s="159" t="s">
        <x:v>1113</x:v>
      </x:c>
      <x:c r="E37" s="159" t="s">
        <x:v>1114</x:v>
      </x:c>
      <x:c r="F37" s="159"/>
    </x:row>
    <x:row r="38" ht="28.5">
      <x:c r="A38" s="159" t="s">
        <x:v>1115</x:v>
      </x:c>
      <x:c r="B38" s="159" t="s">
        <x:v>1116</x:v>
      </x:c>
      <x:c r="C38" s="159" t="s">
        <x:v>1117</x:v>
      </x:c>
      <x:c r="D38" s="159" t="s">
        <x:v>1118</x:v>
      </x:c>
      <x:c r="E38" s="159" t="s">
        <x:v>1119</x:v>
      </x:c>
      <x:c r="F38" s="159"/>
    </x:row>
    <x:row r="39" ht="28.5">
      <x:c r="A39" s="159" t="s">
        <x:v>1120</x:v>
      </x:c>
      <x:c r="B39" s="159" t="s">
        <x:v>1121</x:v>
      </x:c>
      <x:c r="C39" s="159" t="s">
        <x:v>1122</x:v>
      </x:c>
      <x:c r="D39" s="159" t="s">
        <x:v>1123</x:v>
      </x:c>
      <x:c r="E39" s="159" t="s">
        <x:v>1114</x:v>
      </x:c>
      <x:c r="F39" s="159"/>
    </x:row>
    <x:row r="42" ht="15">
      <x:c r="A42" s="189" t="s">
        <x:v>1124</x:v>
      </x:c>
      <x:c r="B42" s="189"/>
      <x:c r="C42" s="189"/>
      <x:c r="D42" s="189"/>
      <x:c r="E42" s="189"/>
      <x:c r="F42" s="189"/>
      <x:c r="G42" s="189"/>
      <x:c r="H42" s="189"/>
    </x:row>
    <x:row r="43" ht="28.5">
      <x:c r="A43" s="159" t="s">
        <x:v>1125</x:v>
      </x:c>
      <x:c r="B43" s="159"/>
      <x:c r="C43" s="159"/>
      <x:c r="D43" s="159"/>
      <x:c r="E43" s="159"/>
      <x:c r="F43" s="159"/>
    </x:row>
    <x:row r="44">
      <x:c r="A44" s="159"/>
      <x:c r="B44" s="159"/>
      <x:c r="C44" s="159"/>
      <x:c r="D44" s="159"/>
      <x:c r="E44" s="159"/>
      <x:c r="F44" s="159"/>
    </x:row>
    <x:row r="45">
      <x:c r="A45" s="159" t="s">
        <x:v>599</x:v>
      </x:c>
      <x:c r="B45" s="159" t="s">
        <x:v>1098</x:v>
      </x:c>
      <x:c r="C45" s="159" t="s">
        <x:v>1034</x:v>
      </x:c>
      <x:c r="D45" s="159" t="s">
        <x:v>1099</x:v>
      </x:c>
      <x:c r="E45" s="159" t="s">
        <x:v>1126</x:v>
      </x:c>
      <x:c r="F45" s="159" t="s">
        <x:v>259</x:v>
      </x:c>
    </x:row>
    <x:row r="46">
      <x:c r="A46" s="159" t="s">
        <x:v>629</x:v>
      </x:c>
      <x:c r="B46" s="159" t="s">
        <x:v>1127</x:v>
      </x:c>
      <x:c r="C46" s="159" t="s">
        <x:v>1128</x:v>
      </x:c>
      <x:c r="D46" s="159" t="s">
        <x:v>1129</x:v>
      </x:c>
      <x:c r="E46" s="159" t="s">
        <x:v>1130</x:v>
      </x:c>
      <x:c r="F46" s="159" t="s">
        <x:v>1131</x:v>
      </x:c>
    </x:row>
    <x:row r="47">
      <x:c r="A47" s="159" t="s">
        <x:v>1105</x:v>
      </x:c>
      <x:c r="B47" s="159" t="s">
        <x:v>1132</x:v>
      </x:c>
      <x:c r="C47" s="159" t="s">
        <x:v>1133</x:v>
      </x:c>
      <x:c r="D47" s="159" t="s">
        <x:v>1134</x:v>
      </x:c>
      <x:c r="E47" s="159" t="s">
        <x:v>1135</x:v>
      </x:c>
      <x:c r="F47" s="159" t="s">
        <x:v>1136</x:v>
      </x:c>
    </x:row>
    <x:row r="48">
      <x:c r="A48" s="159" t="s">
        <x:v>1110</x:v>
      </x:c>
      <x:c r="B48" s="159" t="s">
        <x:v>1137</x:v>
      </x:c>
      <x:c r="C48" s="159" t="s">
        <x:v>1138</x:v>
      </x:c>
      <x:c r="D48" s="159" t="s">
        <x:v>1139</x:v>
      </x:c>
      <x:c r="E48" s="159" t="s">
        <x:v>1135</x:v>
      </x:c>
      <x:c r="F48" s="159" t="s">
        <x:v>1140</x:v>
      </x:c>
    </x:row>
    <x:row r="49" ht="28.5">
      <x:c r="A49" s="159" t="s">
        <x:v>1115</x:v>
      </x:c>
      <x:c r="B49" s="159" t="s">
        <x:v>1141</x:v>
      </x:c>
      <x:c r="C49" s="159" t="s">
        <x:v>1142</x:v>
      </x:c>
      <x:c r="D49" s="159" t="s">
        <x:v>1143</x:v>
      </x:c>
      <x:c r="E49" s="159" t="s">
        <x:v>982</x:v>
      </x:c>
      <x:c r="F49" s="159" t="s">
        <x:v>1144</x:v>
      </x:c>
    </x:row>
    <x:row r="50">
      <x:c r="A50" s="159" t="s">
        <x:v>1120</x:v>
      </x:c>
      <x:c r="B50" s="159" t="s">
        <x:v>1145</x:v>
      </x:c>
      <x:c r="C50" s="159" t="s">
        <x:v>1146</x:v>
      </x:c>
      <x:c r="D50" s="159" t="s">
        <x:v>1147</x:v>
      </x:c>
      <x:c r="E50" s="159" t="s">
        <x:v>1148</x:v>
      </x:c>
      <x:c r="F50" s="159" t="s">
        <x:v>1149</x:v>
      </x:c>
    </x:row>
    <x:row r="51" ht="28.5">
      <x:c r="A51" s="159" t="s">
        <x:v>1150</x:v>
      </x:c>
      <x:c r="B51" s="159" t="s">
        <x:v>1151</x:v>
      </x:c>
      <x:c r="C51" s="159" t="s">
        <x:v>1152</x:v>
      </x:c>
      <x:c r="D51" s="159" t="s">
        <x:v>1153</x:v>
      </x:c>
      <x:c r="E51" s="159" t="s">
        <x:v>982</x:v>
      </x:c>
      <x:c r="F51" s="159" t="s">
        <x:v>1154</x:v>
      </x:c>
    </x:row>
    <x:row r="52">
      <x:c r="A52" s="159" t="s">
        <x:v>1155</x:v>
      </x:c>
      <x:c r="B52" s="159" t="s">
        <x:v>1156</x:v>
      </x:c>
      <x:c r="C52" s="159" t="s">
        <x:v>1157</x:v>
      </x:c>
      <x:c r="D52" s="159" t="s">
        <x:v>1158</x:v>
      </x:c>
      <x:c r="E52" s="159" t="s">
        <x:v>1159</x:v>
      </x:c>
      <x:c r="F52" s="159" t="s">
        <x:v>1160</x:v>
      </x:c>
    </x:row>
    <x:row r="55" ht="15">
      <x:c r="A55" s="189" t="s">
        <x:v>1161</x:v>
      </x:c>
      <x:c r="B55" s="189"/>
      <x:c r="C55" s="189"/>
      <x:c r="D55" s="189"/>
      <x:c r="E55" s="189"/>
      <x:c r="F55" s="189"/>
      <x:c r="G55" s="189"/>
      <x:c r="H55" s="189"/>
    </x:row>
    <x:row r="56" ht="42.75">
      <x:c r="A56" s="159" t="s">
        <x:v>1162</x:v>
      </x:c>
      <x:c r="B56" s="159"/>
      <x:c r="C56" s="159"/>
      <x:c r="D56" s="159"/>
      <x:c r="E56" s="159"/>
      <x:c r="F56" s="159"/>
    </x:row>
    <x:row r="57">
      <x:c r="A57" s="159" t="s">
        <x:v>532</x:v>
      </x:c>
      <x:c r="B57" s="159" t="s">
        <x:v>1163</x:v>
      </x:c>
      <x:c r="C57" s="159" t="s">
        <x:v>1031</x:v>
      </x:c>
      <x:c r="D57" s="159" t="s">
        <x:v>1164</x:v>
      </x:c>
      <x:c r="E57" s="159" t="s">
        <x:v>1099</x:v>
      </x:c>
      <x:c r="F57" s="159" t="s">
        <x:v>3</x:v>
      </x:c>
    </x:row>
    <x:row r="58">
      <x:c r="A58" s="159" t="s">
        <x:v>1165</x:v>
      </x:c>
      <x:c r="B58" s="159" t="s">
        <x:v>1166</x:v>
      </x:c>
      <x:c r="C58" s="159" t="s">
        <x:v>1167</x:v>
      </x:c>
      <x:c r="D58" s="159" t="s">
        <x:v>1168</x:v>
      </x:c>
      <x:c r="E58" s="159" t="s">
        <x:v>1169</x:v>
      </x:c>
      <x:c r="F58" s="159" t="s">
        <x:v>712</x:v>
      </x:c>
    </x:row>
    <x:row r="59" ht="28.5">
      <x:c r="A59" s="159" t="s">
        <x:v>1170</x:v>
      </x:c>
      <x:c r="B59" s="159" t="s">
        <x:v>1171</x:v>
      </x:c>
      <x:c r="C59" s="159" t="s">
        <x:v>1172</x:v>
      </x:c>
      <x:c r="D59" s="159" t="s">
        <x:v>1173</x:v>
      </x:c>
      <x:c r="E59" s="159" t="s">
        <x:v>1174</x:v>
      </x:c>
      <x:c r="F59" s="159" t="s">
        <x:v>712</x:v>
      </x:c>
    </x:row>
    <x:row r="60" ht="28.5">
      <x:c r="A60" s="159" t="s">
        <x:v>1048</x:v>
      </x:c>
      <x:c r="B60" s="159" t="s">
        <x:v>1175</x:v>
      </x:c>
      <x:c r="C60" s="159" t="s">
        <x:v>1176</x:v>
      </x:c>
      <x:c r="D60" s="159" t="s">
        <x:v>1177</x:v>
      </x:c>
      <x:c r="E60" s="159" t="s">
        <x:v>1178</x:v>
      </x:c>
      <x:c r="F60" s="159" t="s">
        <x:v>712</x:v>
      </x:c>
    </x:row>
    <x:row r="61" ht="28.5">
      <x:c r="A61" s="159" t="s">
        <x:v>1179</x:v>
      </x:c>
      <x:c r="B61" s="159" t="s">
        <x:v>1180</x:v>
      </x:c>
      <x:c r="C61" s="159" t="s">
        <x:v>1181</x:v>
      </x:c>
      <x:c r="D61" s="159" t="s">
        <x:v>1182</x:v>
      </x:c>
      <x:c r="E61" s="159" t="s">
        <x:v>1183</x:v>
      </x:c>
      <x:c r="F61" s="159" t="s">
        <x:v>712</x:v>
      </x:c>
    </x:row>
    <x:row r="63">
      <x:c r="A63" s="308" t="str">
        <x:v>OPTIMIZAT V2 – SOURCING COMPLETION</x:v>
      </x:c>
      <x:c r="B63" s="308"/>
      <x:c r="C63" s="308"/>
      <x:c r="D63" s="308"/>
      <x:c r="E63" s="308"/>
      <x:c r="F63" s="308"/>
      <x:c r="G63" s="308"/>
    </x:row>
    <x:row r="64">
      <x:c r="A64" s="273" t="str">
        <x:v>Control</x:v>
      </x:c>
      <x:c r="B64" s="273" t="str">
        <x:v>Înainte</x:v>
      </x:c>
      <x:c r="C64" s="273" t="str">
        <x:v>Update</x:v>
      </x:c>
      <x:c r="D64" s="273" t="str">
        <x:v>După</x:v>
      </x:c>
      <x:c r="E64" s="273" t="str">
        <x:v>Impact</x:v>
      </x:c>
      <x:c r="F64" s="273" t="str">
        <x:v>Status</x:v>
      </x:c>
      <x:c r="G64" s="273"/>
    </x:row>
    <x:row r="65">
      <x:c r="A65" s="319" t="str">
        <x:v>Sourcing dedicat</x:v>
      </x:c>
      <x:c r="B65" s="320" t="str">
        <x:v>Surse generale puteau rămâne neînchise</x:v>
      </x:c>
      <x:c r="C65" s="320" t="str">
        <x:v>Cards_Input_Audit + Sourcing_Queue</x:v>
      </x:c>
      <x:c r="D65" s="320" t="str">
        <x:v>audit la nivel de input, cu N și URL</x:v>
      </x:c>
      <x:c r="E65" s="320" t="str">
        <x:v>elimină neexecuțiile nedocumentate</x:v>
      </x:c>
      <x:c r="F65" s="320" t="str">
        <x:v>PASS</x:v>
      </x:c>
      <x:c r="G65" s="321"/>
    </x:row>
    <x:row r="66">
      <x:c r="A66" s="322" t="str">
        <x:v>AVAILABLE – NOT CHECKED</x:v>
      </x:c>
      <x:c r="B66" s="323" t="str">
        <x:v>putea fi tratat prematur ca G0 FAIL</x:v>
      </x:c>
      <x:c r="C66" s="323" t="str">
        <x:v>status neterminal explicit</x:v>
      </x:c>
      <x:c r="D66" s="323" t="str">
        <x:v>SOURCING INCOMPLETE – RESUME REQUIRED</x:v>
      </x:c>
      <x:c r="E66" s="323" t="str">
        <x:v>nu forțează WATCH/NO BET</x:v>
      </x:c>
      <x:c r="F66" s="323" t="str">
        <x:v>PASS</x:v>
      </x:c>
      <x:c r="G66" s="324"/>
    </x:row>
    <x:row r="67">
      <x:c r="A67" s="325" t="str">
        <x:v>Completion gate</x:v>
      </x:c>
      <x:c r="B67" s="326" t="str">
        <x:v>nu exista control numeric</x:v>
      </x:c>
      <x:c r="C67" s="326" t="str">
        <x:v>Completion_Check</x:v>
      </x:c>
      <x:c r="D67" s="326" t="str">
        <x:v>blank și AVAILABLE – NOT CHECKED trebuie să fie 0</x:v>
      </x:c>
      <x:c r="E67" s="326" t="str">
        <x:v>release operațional separat de model</x:v>
      </x:c>
      <x:c r="F67" s="326" t="str">
        <x:v>PASS</x:v>
      </x:c>
      <x:c r="G67" s="327"/>
    </x:row>
    <x:row r="69">
      <x:c r="A69" t="str">
        <x:v>UPDATE V3 – MOTOR UNIC ȘI RELEASE GATE</x:v>
      </x:c>
      <x:c r="B69"/>
      <x:c r="C69"/>
      <x:c r="D69"/>
      <x:c r="E69"/>
      <x:c r="F69"/>
    </x:row>
    <x:row r="71">
      <x:c r="A71" t="str">
        <x:v>Regulă</x:v>
      </x:c>
      <x:c r="B71" t="str">
        <x:v>Înainte</x:v>
      </x:c>
      <x:c r="C71" t="str">
        <x:v>Corecție V3</x:v>
      </x:c>
      <x:c r="D71" t="str">
        <x:v>După</x:v>
      </x:c>
      <x:c r="E71" t="str">
        <x:v>Impact</x:v>
      </x:c>
      <x:c r="F71" t="str">
        <x:v>Status</x:v>
      </x:c>
    </x:row>
    <x:row r="72">
      <x:c r="A72" t="str">
        <x:v>Verdict final</x:v>
      </x:c>
      <x:c r="B72" t="str">
        <x:v>Dashboard → selector legacy</x:v>
      </x:c>
      <x:c r="C72" t="str">
        <x:v>Selector V3 citește Cards_MultiLine</x:v>
      </x:c>
      <x:c r="D72" t="str">
        <x:v>un singur motor</x:v>
      </x:c>
      <x:c r="E72" t="str">
        <x:v>floor 3 respectat</x:v>
      </x:c>
      <x:c r="F72" t="str">
        <x:v>PASS</x:v>
      </x:c>
    </x:row>
    <x:row r="73">
      <x:c r="A73" t="str">
        <x:v>Sourcing release</x:v>
      </x:c>
      <x:c r="B73" t="str">
        <x:v>NOT RELEASED fără efect</x:v>
      </x:c>
      <x:c r="C73" t="str">
        <x:v>Completion_Check blochează V/W și ranking</x:v>
      </x:c>
      <x:c r="D73" t="str">
        <x:v>fără recomandare prematură</x:v>
      </x:c>
      <x:c r="E73" t="str">
        <x:v>aliniat Matrice v4</x:v>
      </x:c>
      <x:c r="F73" t="str">
        <x:v>PASS</x:v>
      </x:c>
    </x:row>
    <x:row r="74">
      <x:c r="A74" t="str">
        <x:v>Preț / EV</x:v>
      </x:c>
      <x:c r="B74" t="str">
        <x:v>influență reziduală prin Confidence/haircut</x:v>
      </x:c>
      <x:c r="C74" t="str">
        <x:v>eliminată</x:v>
      </x:c>
      <x:c r="D74" t="str">
        <x:v>0% impact tehnic</x:v>
      </x:c>
      <x:c r="E74" t="str">
        <x:v>aliniat Cadrul v5</x:v>
      </x:c>
      <x:c r="F74" t="str">
        <x:v>PASS</x:v>
      </x:c>
    </x:row>
    <x:row r="75">
      <x:c r="A75" t="str">
        <x:v>Normalizare</x:v>
      </x:c>
      <x:c r="B75" t="str">
        <x:v>confuzie cu settlement economic</x:v>
      </x:c>
      <x:c r="C75" t="str">
        <x:v>definiția YC/2Y-R/R separată</x:v>
      </x:c>
      <x:c r="D75" t="str">
        <x:v>G0 de variabilă, nu economic</x:v>
      </x:c>
      <x:c r="E75" t="str">
        <x:v>trasabilitate clară</x:v>
      </x:c>
      <x:c r="F75" t="str">
        <x:v>PASS</x:v>
      </x:c>
    </x:row>
    <x:row r="76">
      <x:c r="A76" t="str">
        <x:v>Ranking</x:v>
      </x:c>
      <x:c r="B76" t="str">
        <x:v>includea traseu vechi și RIDICAT</x:v>
      </x:c>
      <x:c r="C76" t="str">
        <x:v>numai MODERAT + RELEASED</x:v>
      </x:c>
      <x:c r="D76" t="str">
        <x:v>top eligibil curat</x:v>
      </x:c>
      <x:c r="E76" t="str">
        <x:v>Nivel 4–5 excluse</x:v>
      </x:c>
      <x:c r="F76" t="str">
        <x:v>PASS</x:v>
      </x:c>
    </x:row>
    <x:row r="78">
      <x:c r="A78" t="str">
        <x:v>OPTIMIZAT V4 – DEFENSIV PRIN SCOR, FĂRĂ OOS OBLIGATORIU</x:v>
      </x:c>
      <x:c r="B78"/>
      <x:c r="C78"/>
      <x:c r="D78"/>
      <x:c r="E78"/>
      <x:c r="F78"/>
    </x:row>
    <x:row r="80" ht="40" customHeight="1">
      <x:c r="A80" s="363" t="str">
        <x:v>Regulă</x:v>
      </x:c>
      <x:c r="B80" s="363" t="str">
        <x:v>V3</x:v>
      </x:c>
      <x:c r="C80" s="363" t="str">
        <x:v>V4</x:v>
      </x:c>
      <x:c r="D80" s="363" t="str">
        <x:v>Rol</x:v>
      </x:c>
      <x:c r="E80" s="363" t="str">
        <x:v>Limită</x:v>
      </x:c>
      <x:c r="F80" s="363" t="str">
        <x:v>Status</x:v>
      </x:c>
    </x:row>
    <x:row r="81" ht="40" customHeight="1">
      <x:c r="A81" s="363" t="str">
        <x:v>Clasificare</x:v>
      </x:c>
      <x:c r="B81" s="363" t="str">
        <x:v>Floor 3</x:v>
      </x:c>
      <x:c r="C81" s="363" t="str">
        <x:v>Scor 0–20/40/60/80/100</x:v>
      </x:c>
      <x:c r="D81" s="363" t="str">
        <x:v>Toate nivelurile accesibile</x:v>
      </x:c>
      <x:c r="E81" s="363" t="str">
        <x:v>Etichetă internă, nevalidată OOS</x:v>
      </x:c>
      <x:c r="F81" s="363" t="str">
        <x:v>IMPLEMENTAT</x:v>
      </x:c>
    </x:row>
    <x:row r="82" ht="40" customHeight="1">
      <x:c r="A82" s="363" t="str">
        <x:v>Eligibilitate</x:v>
      </x:c>
      <x:c r="B82" s="363" t="str">
        <x:v>P≥72% și release</x:v>
      </x:c>
      <x:c r="C82" s="363" t="str">
        <x:v>Fără P / Confidence / OOS separate</x:v>
      </x:c>
      <x:c r="D82" s="363" t="str">
        <x:v>Scor compozit</x:v>
      </x:c>
      <x:c r="E82" s="363" t="str">
        <x:v>Minimum matematic păstrat</x:v>
      </x:c>
      <x:c r="F82" s="363" t="str">
        <x:v>IMPLEMENTAT</x:v>
      </x:c>
    </x:row>
    <x:row r="83" ht="40" customHeight="1">
      <x:c r="A83" s="363" t="str">
        <x:v>Audit surse</x:v>
      </x:c>
      <x:c r="B83" s="363" t="str">
        <x:v>Bloca verdictul</x:v>
      </x:c>
      <x:c r="C83" s="363" t="str">
        <x:v>Raport separat</x:v>
      </x:c>
      <x:c r="D83" s="363" t="str">
        <x:v>Statusuri originale păstrate</x:v>
      </x:c>
      <x:c r="E83" s="363" t="str">
        <x:v>Datele nu devin VERIFIED automat</x:v>
      </x:c>
      <x:c r="F83" s="363" t="str">
        <x:v>IMPLEMENTAT</x:v>
      </x:c>
    </x:row>
    <x:row r="84" ht="40" customHeight="1">
      <x:c r="A84" s="363" t="str">
        <x:v>Lipsuri</x:v>
      </x:c>
      <x:c r="B84" s="363" t="str">
        <x:v>Unele deveneau zero în formule</x:v>
      </x:c>
      <x:c r="C84" s="363" t="str">
        <x:v>Reponderare și ipoteze declarate</x:v>
      </x:c>
      <x:c r="D84" s="363" t="str">
        <x:v>Păstrează datele native</x:v>
      </x:c>
      <x:c r="E84" s="363" t="str">
        <x:v>Baza critică lipsă = NECALCULABIL</x:v>
      </x:c>
      <x:c r="F84" s="363" t="str">
        <x:v>IMPLEMENTAT</x:v>
      </x:c>
    </x:row>
    <x:row r="85" ht="40" customHeight="1">
      <x:c r="A85" s="363" t="str">
        <x:v>Conformitate</x:v>
      </x:c>
      <x:c r="B85" s="363" t="str">
        <x:v>v5/v4 cu floor3</x:v>
      </x:c>
      <x:c r="C85" s="363" t="str">
        <x:v>Derogare explicită</x:v>
      </x:c>
      <x:c r="D85" s="363" t="str">
        <x:v>Documentată</x:v>
      </x:c>
      <x:c r="E85" s="363" t="str">
        <x:v>Cadrul și Matricea nu sunt rescrise</x:v>
      </x:c>
      <x:c r="F85" s="363" t="str">
        <x:v>DOCUMENTAT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4.25"/>
  <x:cols>
    <x:col min="1" max="1" width="24" customWidth="1"/>
    <x:col min="2" max="8" width="30" customWidth="1"/>
  </x:cols>
  <x:sheetData>
    <x:row r="1" ht="24" customHeight="1">
      <x:c r="A1" s="211" t="s">
        <x:v>1184</x:v>
      </x:c>
      <x:c r="B1" s="211"/>
      <x:c r="C1" s="211"/>
      <x:c r="D1" s="211"/>
      <x:c r="E1" s="211"/>
      <x:c r="F1" s="211"/>
      <x:c r="G1" s="211"/>
      <x:c r="H1" s="211"/>
    </x:row>
    <x:row r="2">
      <x:c r="A2" s="212" t="str">
        <x:v>Metodologie activă V4: clasificare estimativă prin scorul compozit. Secțiunile explicit LEGACY sunt doar istoric.</x:v>
      </x:c>
      <x:c r="B2" s="212"/>
      <x:c r="C2" s="212"/>
      <x:c r="D2" s="212"/>
      <x:c r="E2" s="212"/>
      <x:c r="F2" s="212"/>
      <x:c r="G2" s="212"/>
      <x:c r="H2" s="212"/>
    </x:row>
    <x:row r="4" ht="15">
      <x:c r="A4" s="189" t="s">
        <x:v>1185</x:v>
      </x:c>
      <x:c r="B4" s="189"/>
      <x:c r="C4" s="189"/>
      <x:c r="D4" s="189"/>
      <x:c r="E4" s="189"/>
      <x:c r="F4" s="189"/>
      <x:c r="G4" s="189"/>
      <x:c r="H4" s="189"/>
    </x:row>
    <x:row r="5" ht="42.75">
      <x:c r="A5" s="159" t="str">
        <x:v>GHID CARTONAȘE MULTI-LINE V4 – FĂRĂ OOS OBLIGATORIU</x:v>
      </x:c>
      <x:c r="B5" s="159"/>
      <x:c r="C5" s="159"/>
      <x:c r="D5" s="159"/>
      <x:c r="E5" s="159"/>
      <x:c r="F5" s="159"/>
      <x:c r="G5" s="159"/>
      <x:c r="H5" s="159"/>
    </x:row>
    <x:row r="6" ht="71.25">
      <x:c r="A6" s="159" t="str">
        <x:v>Total Cards O1,5–O5,5 și U3,5–U10,5. Datele din fișier sunt DEMO. DEFENSIV nu reprezintă o rată de succes dovedită.</x:v>
      </x:c>
      <x:c r="B6" s="159"/>
      <x:c r="C6" s="159"/>
      <x:c r="D6" s="159"/>
      <x:c r="E6" s="159"/>
      <x:c r="F6" s="159"/>
      <x:c r="G6" s="159"/>
      <x:c r="H6" s="159"/>
    </x:row>
    <x:row r="7">
      <x:c r="A7" s="159"/>
      <x:c r="B7" s="159"/>
      <x:c r="C7" s="159"/>
      <x:c r="D7" s="159"/>
      <x:c r="E7" s="159"/>
      <x:c r="F7" s="159"/>
      <x:c r="G7" s="159"/>
      <x:c r="H7" s="159"/>
    </x:row>
    <x:row r="8">
      <x:c r="A8" s="159" t="s">
        <x:v>1186</x:v>
      </x:c>
      <x:c r="B8" s="159" t="s">
        <x:v>1187</x:v>
      </x:c>
      <x:c r="C8" s="159" t="s">
        <x:v>1188</x:v>
      </x:c>
      <x:c r="D8" s="159" t="s">
        <x:v>1189</x:v>
      </x:c>
      <x:c r="E8" s="159" t="s">
        <x:v>1190</x:v>
      </x:c>
      <x:c r="F8" s="159" t="s">
        <x:v>1191</x:v>
      </x:c>
      <x:c r="G8" s="159" t="s">
        <x:v>1192</x:v>
      </x:c>
      <x:c r="H8" s="159" t="s">
        <x:v>259</x:v>
      </x:c>
    </x:row>
    <x:row r="9" ht="28.5">
      <x:c r="A9" s="159">
        <x:v>1</x:v>
      </x:c>
      <x:c r="B9" s="159" t="str">
        <x:v>Definiția variabilei</x:v>
      </x:c>
      <x:c r="C9" s="159" t="str">
        <x:v>Cum sunt mapate YC, 2Y-R și roșu direct</x:v>
      </x:c>
      <x:c r="D9" s="159" t="str">
        <x:v>aceeași definiție în istoric și forecast</x:v>
      </x:c>
      <x:c r="E9" s="159" t="str">
        <x:v>Normalizare</x:v>
      </x:c>
      <x:c r="F9" s="159" t="str">
        <x:v>DA</x:v>
      </x:c>
      <x:c r="G9" s="159" t="str">
        <x:v>WATCH</x:v>
      </x:c>
      <x:c r="H9" s="159" t="str">
        <x:v>Nu este gate economic de settlement</x:v>
      </x:c>
    </x:row>
    <x:row r="10" ht="28.5">
      <x:c r="A10" s="159">
        <x:v>2</x:v>
      </x:c>
      <x:c r="B10" s="159" t="s">
        <x:v>1193</x:v>
      </x:c>
      <x:c r="C10" s="159" t="s">
        <x:v>1194</x:v>
      </x:c>
      <x:c r="D10" s="159" t="s">
        <x:v>1195</x:v>
      </x:c>
      <x:c r="E10" s="159" t="s">
        <x:v>1196</x:v>
      </x:c>
      <x:c r="F10" s="159" t="s">
        <x:v>97</x:v>
      </x:c>
      <x:c r="G10" s="159" t="s">
        <x:v>1197</x:v>
      </x:c>
      <x:c r="H10" s="159" t="s">
        <x:v>1198</x:v>
      </x:c>
    </x:row>
    <x:row r="11" ht="28.5">
      <x:c r="A11" s="159">
        <x:v>3</x:v>
      </x:c>
      <x:c r="B11" s="159" t="s">
        <x:v>1199</x:v>
      </x:c>
      <x:c r="C11" s="159" t="s">
        <x:v>1200</x:v>
      </x:c>
      <x:c r="D11" s="159" t="s">
        <x:v>1201</x:v>
      </x:c>
      <x:c r="E11" s="159" t="s">
        <x:v>1202</x:v>
      </x:c>
      <x:c r="F11" s="159" t="s">
        <x:v>97</x:v>
      </x:c>
      <x:c r="G11" s="159" t="s">
        <x:v>1203</x:v>
      </x:c>
      <x:c r="H11" s="159" t="s">
        <x:v>1204</x:v>
      </x:c>
    </x:row>
    <x:row r="12" ht="42.75">
      <x:c r="A12" s="159">
        <x:v>4</x:v>
      </x:c>
      <x:c r="B12" s="159" t="s">
        <x:v>1205</x:v>
      </x:c>
      <x:c r="C12" s="159" t="s">
        <x:v>1206</x:v>
      </x:c>
      <x:c r="D12" s="159" t="s">
        <x:v>1207</x:v>
      </x:c>
      <x:c r="E12" s="159" t="s">
        <x:v>1208</x:v>
      </x:c>
      <x:c r="F12" s="159" t="s">
        <x:v>97</x:v>
      </x:c>
      <x:c r="G12" s="159" t="s">
        <x:v>1209</x:v>
      </x:c>
      <x:c r="H12" s="159" t="s">
        <x:v>1210</x:v>
      </x:c>
    </x:row>
    <x:row r="13" ht="28.5">
      <x:c r="A13" s="159">
        <x:v>5</x:v>
      </x:c>
      <x:c r="B13" s="159" t="s">
        <x:v>1211</x:v>
      </x:c>
      <x:c r="C13" s="159" t="s">
        <x:v>1212</x:v>
      </x:c>
      <x:c r="D13" s="159" t="s">
        <x:v>1213</x:v>
      </x:c>
      <x:c r="E13" s="159" t="s">
        <x:v>1214</x:v>
      </x:c>
      <x:c r="F13" s="159" t="s">
        <x:v>92</x:v>
      </x:c>
      <x:c r="G13" s="159" t="s">
        <x:v>363</x:v>
      </x:c>
      <x:c r="H13" s="159" t="s">
        <x:v>1215</x:v>
      </x:c>
    </x:row>
    <x:row r="14" ht="28.5">
      <x:c r="A14" s="159">
        <x:v>6</x:v>
      </x:c>
      <x:c r="B14" s="159" t="s">
        <x:v>8</x:v>
      </x:c>
      <x:c r="C14" s="159" t="s">
        <x:v>1216</x:v>
      </x:c>
      <x:c r="D14" s="159" t="s">
        <x:v>1217</x:v>
      </x:c>
      <x:c r="E14" s="159" t="s">
        <x:v>1218</x:v>
      </x:c>
      <x:c r="F14" s="159" t="s">
        <x:v>97</x:v>
      </x:c>
      <x:c r="G14" s="159" t="s">
        <x:v>1203</x:v>
      </x:c>
      <x:c r="H14" s="159" t="s">
        <x:v>1219</x:v>
      </x:c>
    </x:row>
    <x:row r="15" ht="28.5">
      <x:c r="A15" s="159">
        <x:v>7</x:v>
      </x:c>
      <x:c r="B15" s="159" t="s">
        <x:v>202</x:v>
      </x:c>
      <x:c r="C15" s="159" t="s">
        <x:v>1220</x:v>
      </x:c>
      <x:c r="D15" s="159" t="s">
        <x:v>1221</x:v>
      </x:c>
      <x:c r="E15" s="159" t="s">
        <x:v>1222</x:v>
      </x:c>
      <x:c r="F15" s="159" t="s">
        <x:v>92</x:v>
      </x:c>
      <x:c r="G15" s="159" t="s">
        <x:v>363</x:v>
      </x:c>
      <x:c r="H15" s="159" t="s">
        <x:v>1223</x:v>
      </x:c>
    </x:row>
    <x:row r="16">
      <x:c r="A16" s="159">
        <x:v>8</x:v>
      </x:c>
      <x:c r="B16" s="159" t="s">
        <x:v>1224</x:v>
      </x:c>
      <x:c r="C16" s="159" t="s">
        <x:v>1225</x:v>
      </x:c>
      <x:c r="D16" s="159" t="s">
        <x:v>1226</x:v>
      </x:c>
      <x:c r="E16" s="159" t="s">
        <x:v>1227</x:v>
      </x:c>
      <x:c r="F16" s="159" t="s">
        <x:v>1228</x:v>
      </x:c>
      <x:c r="G16" s="159" t="s">
        <x:v>1229</x:v>
      </x:c>
      <x:c r="H16" s="159" t="s">
        <x:v>1230</x:v>
      </x:c>
    </x:row>
    <x:row r="17" ht="28.5">
      <x:c r="A17" s="159">
        <x:v>9</x:v>
      </x:c>
      <x:c r="B17" s="159" t="str">
        <x:v>Probabilitate ajustată</x:v>
      </x:c>
      <x:c r="C17" s="159" t="str">
        <x:v>P model după haircut și controlul tail</x:v>
      </x:c>
      <x:c r="D17" s="159" t="str">
        <x:v>distribuție + line-specific tail</x:v>
      </x:c>
      <x:c r="E17" s="159" t="str">
        <x:v>Motor Multi-Line</x:v>
      </x:c>
      <x:c r="F17" s="159" t="str">
        <x:v>DA</x:v>
      </x:c>
      <x:c r="G17" s="159" t="str">
        <x:v>WATCH/NO BET</x:v>
      </x:c>
      <x:c r="H17" s="159" t="str">
        <x:v>Cota, de-vig, Edge și EV nu decid verdictul</x:v>
      </x:c>
    </x:row>
    <x:row r="18" ht="28.5">
      <x:c r="A18" s="159">
        <x:v>10</x:v>
      </x:c>
      <x:c r="B18" s="159" t="str">
        <x:v>Verdict V4</x:v>
      </x:c>
      <x:c r="C18" s="159" t="str">
        <x:v>Doar banda scorului după calculabilitate</x:v>
      </x:c>
      <x:c r="D18" s="159" t="str">
        <x:v>≤20 DEFENSIV; ≤40 PRUDENT; ≤60 MODERAT; ≤80 RIDICAT; &gt;80 NO BET</x:v>
      </x:c>
      <x:c r="E18" s="159" t="str">
        <x:v>Selector V4</x:v>
      </x:c>
      <x:c r="F18" s="159" t="str">
        <x:v>Fără OOS obligatoriu</x:v>
      </x:c>
      <x:c r="G18" s="159" t="str">
        <x:v>NECALCULABIL dacă lipsește baza</x:v>
      </x:c>
      <x:c r="H18" s="159" t="str">
        <x:v>Fără prag P sau Confidence separat</x:v>
      </x:c>
    </x:row>
    <x:row r="19">
      <x:c r="A19" s="159"/>
      <x:c r="B19" s="159"/>
      <x:c r="C19" s="159"/>
      <x:c r="D19" s="159"/>
      <x:c r="E19" s="159"/>
      <x:c r="F19" s="159"/>
      <x:c r="G19" s="159"/>
      <x:c r="H19" s="159"/>
    </x:row>
    <x:row r="20">
      <x:c r="A20" s="159"/>
      <x:c r="B20" s="159"/>
      <x:c r="C20" s="159"/>
      <x:c r="D20" s="159"/>
      <x:c r="E20" s="159"/>
      <x:c r="F20" s="159"/>
      <x:c r="G20" s="159"/>
      <x:c r="H20" s="159"/>
    </x:row>
    <x:row r="21" ht="42.75">
      <x:c r="A21" s="159" t="s">
        <x:v>1231</x:v>
      </x:c>
      <x:c r="B21" s="159"/>
      <x:c r="C21" s="159"/>
      <x:c r="D21" s="159"/>
      <x:c r="E21" s="159"/>
      <x:c r="F21" s="159"/>
      <x:c r="G21" s="159"/>
      <x:c r="H21" s="159"/>
    </x:row>
    <x:row r="22">
      <x:c r="A22" s="159" t="s">
        <x:v>599</x:v>
      </x:c>
      <x:c r="B22" s="159" t="s">
        <x:v>1232</x:v>
      </x:c>
      <x:c r="C22" s="159" t="s">
        <x:v>1233</x:v>
      </x:c>
      <x:c r="D22" s="159" t="s">
        <x:v>1234</x:v>
      </x:c>
      <x:c r="E22" s="159" t="s">
        <x:v>1235</x:v>
      </x:c>
      <x:c r="F22" s="159" t="s">
        <x:v>1236</x:v>
      </x:c>
      <x:c r="G22" s="159" t="s">
        <x:v>1237</x:v>
      </x:c>
      <x:c r="H22" s="159" t="s">
        <x:v>1238</x:v>
      </x:c>
    </x:row>
    <x:row r="23" ht="28.5">
      <x:c r="A23" s="159" t="s">
        <x:v>574</x:v>
      </x:c>
      <x:c r="B23" s="159" t="str">
        <x:v>Definiția și normalizarea variabilei</x:v>
      </x:c>
      <x:c r="C23" s="159" t="str">
        <x:v>Profil disciplinar ridicat</x:v>
      </x:c>
      <x:c r="D23" s="159" t="str">
        <x:v>Profil disciplinar redus</x:v>
      </x:c>
      <x:c r="E23" s="159" t="str">
        <x:v>YC/2Y-R/R mapate identic</x:v>
      </x:c>
      <x:c r="F23" s="159" t="str">
        <x:v>Definește variabila modelată</x:v>
      </x:c>
      <x:c r="G23" s="159" t="str">
        <x:v>Definiții incompatibile</x:v>
      </x:c>
      <x:c r="H23" s="159" t="str">
        <x:v>Hard gate de normalizare</x:v>
      </x:c>
    </x:row>
    <x:row r="24" ht="28.5">
      <x:c r="A24" s="159" t="s">
        <x:v>574</x:v>
      </x:c>
      <x:c r="B24" s="159" t="s">
        <x:v>8</x:v>
      </x:c>
      <x:c r="C24" s="159" t="s">
        <x:v>1239</x:v>
      </x:c>
      <x:c r="D24" s="159" t="s">
        <x:v>1240</x:v>
      </x:c>
      <x:c r="E24" s="159" t="s">
        <x:v>1241</x:v>
      </x:c>
      <x:c r="F24" s="159" t="s">
        <x:v>1242</x:v>
      </x:c>
      <x:c r="G24" s="159" t="s">
        <x:v>1243</x:v>
      </x:c>
      <x:c r="H24" s="159" t="s">
        <x:v>1244</x:v>
      </x:c>
    </x:row>
    <x:row r="25" ht="28.5">
      <x:c r="A25" s="159" t="s">
        <x:v>574</x:v>
      </x:c>
      <x:c r="B25" s="159" t="s">
        <x:v>1245</x:v>
      </x:c>
      <x:c r="C25" s="159" t="s">
        <x:v>1246</x:v>
      </x:c>
      <x:c r="D25" s="159" t="s">
        <x:v>1247</x:v>
      </x:c>
      <x:c r="E25" s="159" t="s">
        <x:v>1248</x:v>
      </x:c>
      <x:c r="F25" s="159" t="s">
        <x:v>1249</x:v>
      </x:c>
      <x:c r="G25" s="159" t="s">
        <x:v>1250</x:v>
      </x:c>
      <x:c r="H25" s="159" t="s">
        <x:v>1251</x:v>
      </x:c>
    </x:row>
    <x:row r="26" ht="28.5">
      <x:c r="A26" s="159" t="s">
        <x:v>629</x:v>
      </x:c>
      <x:c r="B26" s="159" t="s">
        <x:v>1252</x:v>
      </x:c>
      <x:c r="C26" s="159" t="s">
        <x:v>1253</x:v>
      </x:c>
      <x:c r="D26" s="159" t="s">
        <x:v>1254</x:v>
      </x:c>
      <x:c r="E26" s="159" t="s">
        <x:v>1255</x:v>
      </x:c>
      <x:c r="F26" s="159" t="s">
        <x:v>1256</x:v>
      </x:c>
      <x:c r="G26" s="159" t="s">
        <x:v>1257</x:v>
      </x:c>
      <x:c r="H26" s="159" t="s">
        <x:v>1258</x:v>
      </x:c>
    </x:row>
    <x:row r="27">
      <x:c r="A27" s="159" t="s">
        <x:v>629</x:v>
      </x:c>
      <x:c r="B27" s="159" t="s">
        <x:v>1259</x:v>
      </x:c>
      <x:c r="C27" s="159" t="s">
        <x:v>1260</x:v>
      </x:c>
      <x:c r="D27" s="159" t="s">
        <x:v>1261</x:v>
      </x:c>
      <x:c r="E27" s="159" t="s">
        <x:v>1262</x:v>
      </x:c>
      <x:c r="F27" s="159" t="s">
        <x:v>1263</x:v>
      </x:c>
      <x:c r="G27" s="159" t="s">
        <x:v>1264</x:v>
      </x:c>
      <x:c r="H27" s="159" t="s">
        <x:v>1265</x:v>
      </x:c>
    </x:row>
    <x:row r="28">
      <x:c r="A28" s="159" t="s">
        <x:v>629</x:v>
      </x:c>
      <x:c r="B28" s="159" t="s">
        <x:v>1266</x:v>
      </x:c>
      <x:c r="C28" s="159" t="s">
        <x:v>1267</x:v>
      </x:c>
      <x:c r="D28" s="159" t="s">
        <x:v>1268</x:v>
      </x:c>
      <x:c r="E28" s="159" t="s">
        <x:v>1269</x:v>
      </x:c>
      <x:c r="F28" s="159" t="s">
        <x:v>1270</x:v>
      </x:c>
      <x:c r="G28" s="159" t="s">
        <x:v>1271</x:v>
      </x:c>
      <x:c r="H28" s="159" t="s">
        <x:v>1272</x:v>
      </x:c>
    </x:row>
    <x:row r="29">
      <x:c r="A29" s="159" t="s">
        <x:v>629</x:v>
      </x:c>
      <x:c r="B29" s="159" t="str">
        <x:v>Preț / piață</x:v>
      </x:c>
      <x:c r="C29" s="159" t="str">
        <x:v>Informativ</x:v>
      </x:c>
      <x:c r="D29" s="159" t="str">
        <x:v>Informativ</x:v>
      </x:c>
      <x:c r="E29" s="159" t="str">
        <x:v>cotă și timestamp opționale</x:v>
      </x:c>
      <x:c r="F29" s="159" t="str">
        <x:v>monitorizare/CLV ex-post</x:v>
      </x:c>
      <x:c r="G29" s="159" t="str">
        <x:v>Nu intră în verdict</x:v>
      </x:c>
      <x:c r="H29" s="159" t="str">
        <x:v>Pondere tehnică 0%</x:v>
      </x:c>
    </x:row>
    <x:row r="30">
      <x:c r="A30" s="159"/>
      <x:c r="B30" s="159"/>
      <x:c r="C30" s="159"/>
      <x:c r="D30" s="159"/>
      <x:c r="E30" s="159"/>
      <x:c r="F30" s="159"/>
      <x:c r="G30" s="159"/>
      <x:c r="H30" s="159"/>
    </x:row>
    <x:row r="31">
      <x:c r="A31" s="159"/>
      <x:c r="B31" s="159"/>
      <x:c r="C31" s="159"/>
      <x:c r="D31" s="159"/>
      <x:c r="E31" s="159"/>
      <x:c r="F31" s="159"/>
      <x:c r="G31" s="159"/>
      <x:c r="H31" s="159"/>
    </x:row>
    <x:row r="32" ht="28.5">
      <x:c r="A32" s="159" t="s">
        <x:v>1273</x:v>
      </x:c>
      <x:c r="B32" s="159"/>
      <x:c r="C32" s="159"/>
      <x:c r="D32" s="159"/>
      <x:c r="E32" s="159"/>
      <x:c r="F32" s="159"/>
      <x:c r="G32" s="159"/>
      <x:c r="H32" s="159"/>
    </x:row>
    <x:row r="33">
      <x:c r="A33" s="159" t="s">
        <x:v>1274</x:v>
      </x:c>
      <x:c r="B33" s="159" t="s">
        <x:v>1275</x:v>
      </x:c>
      <x:c r="C33" s="159" t="s">
        <x:v>1276</x:v>
      </x:c>
      <x:c r="D33" s="159" t="s">
        <x:v>1277</x:v>
      </x:c>
      <x:c r="E33" s="159" t="s">
        <x:v>1278</x:v>
      </x:c>
      <x:c r="F33" s="159" t="s">
        <x:v>258</x:v>
      </x:c>
      <x:c r="G33" s="159" t="s">
        <x:v>1279</x:v>
      </x:c>
      <x:c r="H33" s="159" t="s">
        <x:v>532</x:v>
      </x:c>
    </x:row>
    <x:row r="34">
      <x:c r="A34" s="159" t="s">
        <x:v>1280</x:v>
      </x:c>
      <x:c r="B34" s="159" t="s">
        <x:v>1281</x:v>
      </x:c>
      <x:c r="C34" s="159" t="s">
        <x:v>1282</x:v>
      </x:c>
      <x:c r="D34" s="159" t="s">
        <x:v>1283</x:v>
      </x:c>
      <x:c r="E34" s="159" t="s">
        <x:v>1284</x:v>
      </x:c>
      <x:c r="F34" s="159" t="s">
        <x:v>1285</x:v>
      </x:c>
      <x:c r="G34" s="159" t="s">
        <x:v>1286</x:v>
      </x:c>
      <x:c r="H34" s="159" t="s">
        <x:v>1287</x:v>
      </x:c>
    </x:row>
    <x:row r="35">
      <x:c r="A35" s="159" t="s">
        <x:v>1288</x:v>
      </x:c>
      <x:c r="B35" s="159" t="s">
        <x:v>1289</x:v>
      </x:c>
      <x:c r="C35" s="159" t="s">
        <x:v>1290</x:v>
      </x:c>
      <x:c r="D35" s="159" t="s">
        <x:v>1291</x:v>
      </x:c>
      <x:c r="E35" s="159" t="s">
        <x:v>1292</x:v>
      </x:c>
      <x:c r="F35" s="159" t="s">
        <x:v>1293</x:v>
      </x:c>
      <x:c r="G35" s="159" t="s">
        <x:v>1294</x:v>
      </x:c>
      <x:c r="H35" s="159" t="s">
        <x:v>1295</x:v>
      </x:c>
    </x:row>
    <x:row r="36">
      <x:c r="A36" s="159" t="s">
        <x:v>1296</x:v>
      </x:c>
      <x:c r="B36" s="159" t="s">
        <x:v>1297</x:v>
      </x:c>
      <x:c r="C36" s="159" t="s">
        <x:v>1298</x:v>
      </x:c>
      <x:c r="D36" s="159" t="s">
        <x:v>1299</x:v>
      </x:c>
      <x:c r="E36" s="159" t="s">
        <x:v>1300</x:v>
      </x:c>
      <x:c r="F36" s="159" t="s">
        <x:v>1301</x:v>
      </x:c>
      <x:c r="G36" s="159" t="s">
        <x:v>1302</x:v>
      </x:c>
      <x:c r="H36" s="159" t="s">
        <x:v>1303</x:v>
      </x:c>
    </x:row>
    <x:row r="37" ht="28.5">
      <x:c r="A37" s="159" t="s">
        <x:v>1304</x:v>
      </x:c>
      <x:c r="B37" s="159" t="s">
        <x:v>1305</x:v>
      </x:c>
      <x:c r="C37" s="159" t="s">
        <x:v>1306</x:v>
      </x:c>
      <x:c r="D37" s="159" t="s">
        <x:v>1307</x:v>
      </x:c>
      <x:c r="E37" s="159" t="s">
        <x:v>1308</x:v>
      </x:c>
      <x:c r="F37" s="159" t="s">
        <x:v>1131</x:v>
      </x:c>
      <x:c r="G37" s="159" t="s">
        <x:v>1309</x:v>
      </x:c>
      <x:c r="H37" s="159" t="s">
        <x:v>1310</x:v>
      </x:c>
    </x:row>
    <x:row r="38" ht="128.25">
      <x:c r="A38" s="159" t="s">
        <x:v>1311</x:v>
      </x:c>
      <x:c r="B38" s="159"/>
      <x:c r="C38" s="159"/>
      <x:c r="D38" s="159"/>
      <x:c r="E38" s="159"/>
      <x:c r="F38" s="159"/>
      <x:c r="G38" s="159"/>
      <x:c r="H38" s="159"/>
    </x:row>
    <x:row r="39" ht="128.25">
      <x:c r="A39" s="159" t="s">
        <x:v>1312</x:v>
      </x:c>
      <x:c r="B39" s="159"/>
      <x:c r="C39" s="159"/>
      <x:c r="D39" s="159"/>
      <x:c r="E39" s="159"/>
      <x:c r="F39" s="159"/>
      <x:c r="G39" s="159"/>
      <x:c r="H39" s="159"/>
    </x:row>
    <x:row r="42" ht="15">
      <x:c r="A42" s="189" t="s">
        <x:v>1313</x:v>
      </x:c>
      <x:c r="B42" s="189"/>
      <x:c r="C42" s="189"/>
      <x:c r="D42" s="189"/>
      <x:c r="E42" s="189"/>
      <x:c r="F42" s="189"/>
      <x:c r="G42" s="189"/>
      <x:c r="H42" s="189"/>
    </x:row>
    <x:row r="43" ht="28.5">
      <x:c r="A43" s="159" t="str">
        <x:v>DEFINIȚIA VARIABILEI ȘI NORMALIZAREA PIEȚEI</x:v>
      </x:c>
      <x:c r="B43" s="159"/>
      <x:c r="C43" s="159"/>
      <x:c r="D43" s="159"/>
      <x:c r="E43" s="159"/>
      <x:c r="F43" s="159"/>
      <x:c r="G43" s="159"/>
      <x:c r="H43" s="159"/>
    </x:row>
    <x:row r="44" ht="71.25">
      <x:c r="A44" s="159" t="str">
        <x:v>Regulile de numărare definesc variabila YC/2Y-R/R și trebuie normalizate identic; prețul, EV și settlement-ul economic nu decid verdictul tehnic.</x:v>
      </x:c>
      <x:c r="B44" s="159"/>
      <x:c r="C44" s="159"/>
      <x:c r="D44" s="159"/>
      <x:c r="E44" s="159"/>
      <x:c r="F44" s="159"/>
      <x:c r="G44" s="159"/>
      <x:c r="H44" s="159"/>
    </x:row>
    <x:row r="45">
      <x:c r="A45" s="159"/>
      <x:c r="B45" s="159"/>
      <x:c r="C45" s="159"/>
      <x:c r="D45" s="159"/>
      <x:c r="E45" s="159"/>
      <x:c r="F45" s="159"/>
      <x:c r="G45" s="159"/>
      <x:c r="H45" s="159"/>
    </x:row>
    <x:row r="46">
      <x:c r="A46" s="159" t="s">
        <x:v>221</x:v>
      </x:c>
      <x:c r="B46" s="159" t="s">
        <x:v>1314</x:v>
      </x:c>
      <x:c r="C46" s="159" t="s">
        <x:v>10</x:v>
      </x:c>
      <x:c r="D46" s="159" t="s">
        <x:v>1315</x:v>
      </x:c>
      <x:c r="E46" s="159" t="s">
        <x:v>1316</x:v>
      </x:c>
      <x:c r="F46" s="159" t="s">
        <x:v>1317</x:v>
      </x:c>
      <x:c r="G46" s="159" t="s">
        <x:v>1318</x:v>
      </x:c>
      <x:c r="H46" s="159" t="s">
        <x:v>1319</x:v>
      </x:c>
    </x:row>
    <x:row r="47" ht="28.5">
      <x:c r="A47" s="159" t="s">
        <x:v>1320</x:v>
      </x:c>
      <x:c r="B47" s="159" t="s">
        <x:v>1321</x:v>
      </x:c>
      <x:c r="C47" s="159" t="s">
        <x:v>1322</x:v>
      </x:c>
      <x:c r="D47" s="159" t="s">
        <x:v>1323</x:v>
      </x:c>
      <x:c r="E47" s="159" t="s">
        <x:v>1324</x:v>
      </x:c>
      <x:c r="F47" s="159" t="s">
        <x:v>1325</x:v>
      </x:c>
      <x:c r="G47" s="159" t="s">
        <x:v>97</x:v>
      </x:c>
      <x:c r="H47" s="159" t="s">
        <x:v>1326</x:v>
      </x:c>
    </x:row>
    <x:row r="48">
      <x:c r="A48" s="159" t="s">
        <x:v>1327</x:v>
      </x:c>
      <x:c r="B48" s="159" t="s">
        <x:v>1328</x:v>
      </x:c>
      <x:c r="C48" s="159" t="s">
        <x:v>1329</x:v>
      </x:c>
      <x:c r="D48" s="159" t="s">
        <x:v>1330</x:v>
      </x:c>
      <x:c r="E48" s="159" t="s">
        <x:v>1331</x:v>
      </x:c>
      <x:c r="F48" s="159" t="s">
        <x:v>1332</x:v>
      </x:c>
      <x:c r="G48" s="159" t="s">
        <x:v>1333</x:v>
      </x:c>
      <x:c r="H48" s="159" t="s">
        <x:v>1334</x:v>
      </x:c>
    </x:row>
    <x:row r="49">
      <x:c r="A49" s="159" t="s">
        <x:v>1335</x:v>
      </x:c>
      <x:c r="B49" s="159" t="s">
        <x:v>1336</x:v>
      </x:c>
      <x:c r="C49" s="159" t="s">
        <x:v>1337</x:v>
      </x:c>
      <x:c r="D49" s="159" t="s">
        <x:v>1330</x:v>
      </x:c>
      <x:c r="E49" s="159" t="s">
        <x:v>1338</x:v>
      </x:c>
      <x:c r="F49" s="159" t="s">
        <x:v>1339</x:v>
      </x:c>
      <x:c r="G49" s="159" t="s">
        <x:v>1340</x:v>
      </x:c>
      <x:c r="H49" s="159" t="s">
        <x:v>1341</x:v>
      </x:c>
    </x:row>
    <x:row r="50">
      <x:c r="A50" s="159" t="s">
        <x:v>1342</x:v>
      </x:c>
      <x:c r="B50" s="159" t="s">
        <x:v>1343</x:v>
      </x:c>
      <x:c r="C50" s="159" t="s">
        <x:v>1344</x:v>
      </x:c>
      <x:c r="D50" s="159" t="s">
        <x:v>1330</x:v>
      </x:c>
      <x:c r="E50" s="159" t="s">
        <x:v>1338</x:v>
      </x:c>
      <x:c r="F50" s="159" t="s">
        <x:v>1345</x:v>
      </x:c>
      <x:c r="G50" s="159" t="s">
        <x:v>97</x:v>
      </x:c>
      <x:c r="H50" s="159" t="s">
        <x:v>1346</x:v>
      </x:c>
    </x:row>
    <x:row r="51">
      <x:c r="A51" s="159" t="s">
        <x:v>1347</x:v>
      </x:c>
      <x:c r="B51" s="159" t="s">
        <x:v>1348</x:v>
      </x:c>
      <x:c r="C51" s="159" t="s">
        <x:v>1349</x:v>
      </x:c>
      <x:c r="D51" s="159" t="s">
        <x:v>1330</x:v>
      </x:c>
      <x:c r="E51" s="159" t="s">
        <x:v>92</x:v>
      </x:c>
      <x:c r="F51" s="159" t="s">
        <x:v>1350</x:v>
      </x:c>
      <x:c r="G51" s="159" t="s">
        <x:v>1203</x:v>
      </x:c>
      <x:c r="H51" s="159" t="s">
        <x:v>1351</x:v>
      </x:c>
    </x:row>
    <x:row r="52">
      <x:c r="A52" s="159" t="s">
        <x:v>1352</x:v>
      </x:c>
      <x:c r="B52" s="159" t="s">
        <x:v>1353</x:v>
      </x:c>
      <x:c r="C52" s="159" t="s">
        <x:v>1344</x:v>
      </x:c>
      <x:c r="D52" s="159" t="s">
        <x:v>1354</x:v>
      </x:c>
      <x:c r="E52" s="159" t="s">
        <x:v>1338</x:v>
      </x:c>
      <x:c r="F52" s="159" t="s">
        <x:v>1355</x:v>
      </x:c>
      <x:c r="G52" s="159" t="s">
        <x:v>1203</x:v>
      </x:c>
      <x:c r="H52" s="159" t="s">
        <x:v>1356</x:v>
      </x:c>
    </x:row>
    <x:row r="53" ht="28.5">
      <x:c r="A53" s="159" t="s">
        <x:v>1357</x:v>
      </x:c>
      <x:c r="B53" s="159" t="s">
        <x:v>1358</x:v>
      </x:c>
      <x:c r="C53" s="159" t="s">
        <x:v>1359</x:v>
      </x:c>
      <x:c r="D53" s="159" t="s">
        <x:v>1330</x:v>
      </x:c>
      <x:c r="E53" s="159" t="s">
        <x:v>92</x:v>
      </x:c>
      <x:c r="F53" s="159" t="s">
        <x:v>1360</x:v>
      </x:c>
      <x:c r="G53" s="159" t="s">
        <x:v>1361</x:v>
      </x:c>
      <x:c r="H53" s="159" t="s">
        <x:v>1362</x:v>
      </x:c>
    </x:row>
    <x:row r="54">
      <x:c r="A54" s="159" t="s">
        <x:v>1363</x:v>
      </x:c>
      <x:c r="B54" s="159" t="s">
        <x:v>1364</x:v>
      </x:c>
      <x:c r="C54" s="159" t="s">
        <x:v>1365</x:v>
      </x:c>
      <x:c r="D54" s="159" t="s">
        <x:v>1366</x:v>
      </x:c>
      <x:c r="E54" s="159" t="s">
        <x:v>1367</x:v>
      </x:c>
      <x:c r="F54" s="159" t="s">
        <x:v>1368</x:v>
      </x:c>
      <x:c r="G54" s="159" t="s">
        <x:v>97</x:v>
      </x:c>
      <x:c r="H54" s="159" t="s">
        <x:v>1369</x:v>
      </x:c>
    </x:row>
    <x:row r="55">
      <x:c r="A55" s="159"/>
      <x:c r="B55" s="159"/>
      <x:c r="C55" s="159"/>
      <x:c r="D55" s="159"/>
      <x:c r="E55" s="159"/>
      <x:c r="F55" s="159"/>
      <x:c r="G55" s="159"/>
      <x:c r="H55" s="159"/>
    </x:row>
    <x:row r="56">
      <x:c r="A56" s="159"/>
      <x:c r="B56" s="159"/>
      <x:c r="C56" s="159"/>
      <x:c r="D56" s="159"/>
      <x:c r="E56" s="159"/>
      <x:c r="F56" s="159"/>
      <x:c r="G56" s="159"/>
      <x:c r="H56" s="159"/>
    </x:row>
    <x:row r="57" ht="57">
      <x:c r="A57" s="159" t="s">
        <x:v>1370</x:v>
      </x:c>
      <x:c r="B57" s="159"/>
      <x:c r="C57" s="159"/>
      <x:c r="D57" s="159"/>
      <x:c r="E57" s="159"/>
      <x:c r="F57" s="159"/>
      <x:c r="G57" s="159"/>
      <x:c r="H57" s="159"/>
    </x:row>
    <x:row r="58">
      <x:c r="A58" s="159" t="s">
        <x:v>938</x:v>
      </x:c>
      <x:c r="B58" s="159" t="s">
        <x:v>1371</x:v>
      </x:c>
      <x:c r="C58" s="159" t="s">
        <x:v>1372</x:v>
      </x:c>
      <x:c r="D58" s="159" t="s">
        <x:v>1373</x:v>
      </x:c>
      <x:c r="E58" s="159" t="s">
        <x:v>1374</x:v>
      </x:c>
      <x:c r="F58" s="159" t="s">
        <x:v>1375</x:v>
      </x:c>
      <x:c r="G58" s="159" t="s">
        <x:v>1376</x:v>
      </x:c>
      <x:c r="H58" s="159" t="s">
        <x:v>1377</x:v>
      </x:c>
    </x:row>
    <x:row r="59" ht="28.5">
      <x:c r="A59" s="159" t="s">
        <x:v>1378</x:v>
      </x:c>
      <x:c r="B59" s="159">
        <x:v>1</x:v>
      </x:c>
      <x:c r="C59" s="159">
        <x:v>2</x:v>
      </x:c>
      <x:c r="D59" s="159" t="s">
        <x:v>1379</x:v>
      </x:c>
      <x:c r="E59" s="159" t="s">
        <x:v>1380</x:v>
      </x:c>
      <x:c r="F59" s="159" t="s">
        <x:v>1380</x:v>
      </x:c>
      <x:c r="G59" s="159" t="s">
        <x:v>1381</x:v>
      </x:c>
      <x:c r="H59" s="159" t="s">
        <x:v>1382</x:v>
      </x:c>
    </x:row>
    <x:row r="60" ht="28.5">
      <x:c r="A60" s="159" t="s">
        <x:v>1383</x:v>
      </x:c>
      <x:c r="B60" s="159">
        <x:v>1</x:v>
      </x:c>
      <x:c r="C60" s="159">
        <x:v>1</x:v>
      </x:c>
      <x:c r="D60" s="159" t="s">
        <x:v>1384</x:v>
      </x:c>
      <x:c r="E60" s="159" t="s">
        <x:v>1380</x:v>
      </x:c>
      <x:c r="F60" s="159" t="s">
        <x:v>1380</x:v>
      </x:c>
      <x:c r="G60" s="159" t="s">
        <x:v>1381</x:v>
      </x:c>
      <x:c r="H60" s="159" t="s">
        <x:v>1385</x:v>
      </x:c>
    </x:row>
    <x:row r="61">
      <x:c r="A61" s="159"/>
      <x:c r="B61" s="159"/>
      <x:c r="C61" s="159"/>
      <x:c r="D61" s="159"/>
      <x:c r="E61" s="159"/>
      <x:c r="F61" s="159"/>
      <x:c r="G61" s="159"/>
      <x:c r="H61" s="159"/>
    </x:row>
    <x:row r="62">
      <x:c r="A62" s="159"/>
      <x:c r="B62" s="159"/>
      <x:c r="C62" s="159"/>
      <x:c r="D62" s="159"/>
      <x:c r="E62" s="159"/>
      <x:c r="F62" s="159"/>
      <x:c r="G62" s="159"/>
      <x:c r="H62" s="159"/>
    </x:row>
    <x:row r="63" ht="28.5">
      <x:c r="A63" s="159" t="s">
        <x:v>1386</x:v>
      </x:c>
      <x:c r="B63" s="159"/>
      <x:c r="C63" s="159"/>
      <x:c r="D63" s="159"/>
      <x:c r="E63" s="159"/>
      <x:c r="F63" s="159"/>
      <x:c r="G63" s="159"/>
      <x:c r="H63" s="159"/>
    </x:row>
    <x:row r="64">
      <x:c r="A64" s="159" t="s">
        <x:v>1387</x:v>
      </x:c>
      <x:c r="B64" s="159" t="s">
        <x:v>1388</x:v>
      </x:c>
      <x:c r="C64" s="159" t="s">
        <x:v>1389</x:v>
      </x:c>
      <x:c r="D64" s="159" t="s">
        <x:v>1390</x:v>
      </x:c>
      <x:c r="E64" s="159" t="s">
        <x:v>1391</x:v>
      </x:c>
      <x:c r="F64" s="159" t="s">
        <x:v>178</x:v>
      </x:c>
      <x:c r="G64" s="159" t="s">
        <x:v>1392</x:v>
      </x:c>
      <x:c r="H64" s="159" t="s">
        <x:v>466</x:v>
      </x:c>
    </x:row>
    <x:row r="65" ht="28.5">
      <x:c r="A65" s="159" t="s">
        <x:v>1393</x:v>
      </x:c>
      <x:c r="B65" s="159" t="s">
        <x:v>1394</x:v>
      </x:c>
      <x:c r="C65" s="159" t="s">
        <x:v>1395</x:v>
      </x:c>
      <x:c r="D65" s="159" t="s">
        <x:v>1396</x:v>
      </x:c>
      <x:c r="E65" s="159" t="s">
        <x:v>1397</x:v>
      </x:c>
      <x:c r="F65" s="159" t="s">
        <x:v>1398</x:v>
      </x:c>
      <x:c r="G65" s="159" t="s">
        <x:v>1399</x:v>
      </x:c>
      <x:c r="H65" s="159" t="s">
        <x:v>1400</x:v>
      </x:c>
    </x:row>
    <x:row r="66" ht="28.5">
      <x:c r="A66" s="159" t="s">
        <x:v>679</x:v>
      </x:c>
      <x:c r="B66" s="159" t="s">
        <x:v>1401</x:v>
      </x:c>
      <x:c r="C66" s="159" t="s">
        <x:v>1402</x:v>
      </x:c>
      <x:c r="D66" s="159" t="s">
        <x:v>1403</x:v>
      </x:c>
      <x:c r="E66" s="159" t="s">
        <x:v>1404</x:v>
      </x:c>
      <x:c r="F66" s="159" t="s">
        <x:v>1405</x:v>
      </x:c>
      <x:c r="G66" s="159" t="s">
        <x:v>1399</x:v>
      </x:c>
      <x:c r="H66" s="159" t="s">
        <x:v>1406</x:v>
      </x:c>
    </x:row>
    <x:row r="67">
      <x:c r="A67" s="159" t="s">
        <x:v>678</x:v>
      </x:c>
      <x:c r="B67" s="159" t="s">
        <x:v>1407</x:v>
      </x:c>
      <x:c r="C67" s="159" t="s">
        <x:v>1408</x:v>
      </x:c>
      <x:c r="D67" s="159" t="s">
        <x:v>1409</x:v>
      </x:c>
      <x:c r="E67" s="159" t="s">
        <x:v>1410</x:v>
      </x:c>
      <x:c r="F67" s="159" t="s">
        <x:v>1411</x:v>
      </x:c>
      <x:c r="G67" s="159" t="s">
        <x:v>1399</x:v>
      </x:c>
      <x:c r="H67" s="159" t="s">
        <x:v>1412</x:v>
      </x:c>
    </x:row>
    <x:row r="68" ht="28.5">
      <x:c r="A68" s="159" t="s">
        <x:v>1413</x:v>
      </x:c>
      <x:c r="B68" s="159" t="s">
        <x:v>1414</x:v>
      </x:c>
      <x:c r="C68" s="159" t="s">
        <x:v>1415</x:v>
      </x:c>
      <x:c r="D68" s="159" t="s">
        <x:v>1416</x:v>
      </x:c>
      <x:c r="E68" s="159" t="s">
        <x:v>1417</x:v>
      </x:c>
      <x:c r="F68" s="159" t="s">
        <x:v>1418</x:v>
      </x:c>
      <x:c r="G68" s="159" t="s">
        <x:v>97</x:v>
      </x:c>
      <x:c r="H68" s="159" t="s">
        <x:v>574</x:v>
      </x:c>
    </x:row>
    <x:row r="71" ht="15">
      <x:c r="A71" s="189" t="s">
        <x:v>1419</x:v>
      </x:c>
      <x:c r="B71" s="189"/>
      <x:c r="C71" s="189"/>
      <x:c r="D71" s="189"/>
      <x:c r="E71" s="189"/>
      <x:c r="F71" s="189"/>
      <x:c r="G71" s="189"/>
      <x:c r="H71" s="189"/>
    </x:row>
    <x:row r="72" ht="28.5">
      <x:c r="A72" s="159" t="s">
        <x:v>1420</x:v>
      </x:c>
      <x:c r="B72" s="159"/>
      <x:c r="C72" s="159"/>
      <x:c r="D72" s="159"/>
      <x:c r="E72" s="159"/>
      <x:c r="F72" s="159"/>
      <x:c r="G72" s="159"/>
      <x:c r="H72" s="159"/>
    </x:row>
    <x:row r="73" ht="57">
      <x:c r="A73" s="159" t="str">
        <x:v>Ordinea importanței: definiție/date → ligă și echipe → arbitru → context → dispersie/tail. Prețul este exclus din motorul tehnic.</x:v>
      </x:c>
      <x:c r="B73" s="159"/>
      <x:c r="C73" s="159"/>
      <x:c r="D73" s="159"/>
      <x:c r="E73" s="159"/>
      <x:c r="F73" s="159"/>
      <x:c r="G73" s="159"/>
      <x:c r="H73" s="159"/>
    </x:row>
    <x:row r="74">
      <x:c r="A74" s="159"/>
      <x:c r="B74" s="159"/>
      <x:c r="C74" s="159"/>
      <x:c r="D74" s="159"/>
      <x:c r="E74" s="159"/>
      <x:c r="F74" s="159"/>
      <x:c r="G74" s="159"/>
      <x:c r="H74" s="159"/>
    </x:row>
    <x:row r="75">
      <x:c r="A75" s="159" t="s">
        <x:v>256</x:v>
      </x:c>
      <x:c r="B75" s="159" t="s">
        <x:v>1232</x:v>
      </x:c>
      <x:c r="C75" s="159" t="s">
        <x:v>1236</x:v>
      </x:c>
      <x:c r="D75" s="159" t="s">
        <x:v>1233</x:v>
      </x:c>
      <x:c r="E75" s="159" t="s">
        <x:v>1234</x:v>
      </x:c>
      <x:c r="F75" s="159" t="s">
        <x:v>1421</x:v>
      </x:c>
      <x:c r="G75" s="159" t="s">
        <x:v>1235</x:v>
      </x:c>
      <x:c r="H75" s="159" t="s">
        <x:v>1422</x:v>
      </x:c>
    </x:row>
    <x:row r="76">
      <x:c r="A76" s="159" t="str">
        <x:v>Normalizare</x:v>
      </x:c>
      <x:c r="B76" s="159" t="str">
        <x:v>Definiția YC/2Y-R/R</x:v>
      </x:c>
      <x:c r="C76" s="159" t="str">
        <x:v>Definește variabila țintă</x:v>
      </x:c>
      <x:c r="D76" s="159" t="str">
        <x:v>profil disciplinar ridicat</x:v>
      </x:c>
      <x:c r="E76" s="159" t="str">
        <x:v>profil disciplinar redus</x:v>
      </x:c>
      <x:c r="F76" s="159" t="str">
        <x:v>CRITICĂ</x:v>
      </x:c>
      <x:c r="G76" s="159" t="str">
        <x:v>regulă de numărare + sursă</x:v>
      </x:c>
      <x:c r="H76" s="159" t="str">
        <x:v>P0; aceeași mapare în istoric și forecast</x:v>
      </x:c>
    </x:row>
    <x:row r="77" ht="28.5">
      <x:c r="A77" s="159" t="s">
        <x:v>104</x:v>
      </x:c>
      <x:c r="B77" s="159" t="s">
        <x:v>1423</x:v>
      </x:c>
      <x:c r="C77" s="159" t="s">
        <x:v>1424</x:v>
      </x:c>
      <x:c r="D77" s="159" t="s">
        <x:v>1425</x:v>
      </x:c>
      <x:c r="E77" s="159" t="s">
        <x:v>1426</x:v>
      </x:c>
      <x:c r="F77" s="159" t="s">
        <x:v>1427</x:v>
      </x:c>
      <x:c r="G77" s="159" t="s">
        <x:v>1428</x:v>
      </x:c>
      <x:c r="H77" s="159" t="s">
        <x:v>1429</x:v>
      </x:c>
    </x:row>
    <x:row r="78" ht="28.5">
      <x:c r="A78" s="159" t="s">
        <x:v>104</x:v>
      </x:c>
      <x:c r="B78" s="159" t="s">
        <x:v>1430</x:v>
      </x:c>
      <x:c r="C78" s="159" t="s">
        <x:v>1431</x:v>
      </x:c>
      <x:c r="D78" s="159" t="s">
        <x:v>1432</x:v>
      </x:c>
      <x:c r="E78" s="159" t="s">
        <x:v>1433</x:v>
      </x:c>
      <x:c r="F78" s="159" t="s">
        <x:v>1434</x:v>
      </x:c>
      <x:c r="G78" s="159" t="s">
        <x:v>1435</x:v>
      </x:c>
      <x:c r="H78" s="159" t="s">
        <x:v>1436</x:v>
      </x:c>
    </x:row>
    <x:row r="79">
      <x:c r="A79" s="159" t="s">
        <x:v>50</x:v>
      </x:c>
      <x:c r="B79" s="159" t="s">
        <x:v>1437</x:v>
      </x:c>
      <x:c r="C79" s="159" t="s">
        <x:v>1438</x:v>
      </x:c>
      <x:c r="D79" s="159" t="s">
        <x:v>1439</x:v>
      </x:c>
      <x:c r="E79" s="159" t="s">
        <x:v>1440</x:v>
      </x:c>
      <x:c r="F79" s="159" t="s">
        <x:v>1427</x:v>
      </x:c>
      <x:c r="G79" s="159" t="s">
        <x:v>1207</x:v>
      </x:c>
      <x:c r="H79" s="159" t="s">
        <x:v>1441</x:v>
      </x:c>
    </x:row>
    <x:row r="80">
      <x:c r="A80" s="159" t="s">
        <x:v>1442</x:v>
      </x:c>
      <x:c r="B80" s="159" t="s">
        <x:v>141</x:v>
      </x:c>
      <x:c r="C80" s="159" t="s">
        <x:v>1443</x:v>
      </x:c>
      <x:c r="D80" s="159" t="s">
        <x:v>1444</x:v>
      </x:c>
      <x:c r="E80" s="159" t="s">
        <x:v>1445</x:v>
      </x:c>
      <x:c r="F80" s="159" t="s">
        <x:v>1427</x:v>
      </x:c>
      <x:c r="G80" s="159" t="s">
        <x:v>1446</x:v>
      </x:c>
      <x:c r="H80" s="159" t="s">
        <x:v>1447</x:v>
      </x:c>
    </x:row>
    <x:row r="81" ht="28.5">
      <x:c r="A81" s="159" t="s">
        <x:v>1448</x:v>
      </x:c>
      <x:c r="B81" s="159" t="s">
        <x:v>1449</x:v>
      </x:c>
      <x:c r="C81" s="159" t="s">
        <x:v>1450</x:v>
      </x:c>
      <x:c r="D81" s="159" t="s">
        <x:v>1451</x:v>
      </x:c>
      <x:c r="E81" s="159" t="s">
        <x:v>1452</x:v>
      </x:c>
      <x:c r="F81" s="159" t="s">
        <x:v>1434</x:v>
      </x:c>
      <x:c r="G81" s="159" t="s">
        <x:v>1453</x:v>
      </x:c>
      <x:c r="H81" s="159" t="s">
        <x:v>1454</x:v>
      </x:c>
    </x:row>
    <x:row r="82">
      <x:c r="A82" s="159" t="s">
        <x:v>1455</x:v>
      </x:c>
      <x:c r="B82" s="159" t="s">
        <x:v>1456</x:v>
      </x:c>
      <x:c r="C82" s="159" t="s">
        <x:v>1457</x:v>
      </x:c>
      <x:c r="D82" s="159" t="s">
        <x:v>1458</x:v>
      </x:c>
      <x:c r="E82" s="159" t="s">
        <x:v>1459</x:v>
      </x:c>
      <x:c r="F82" s="159" t="s">
        <x:v>1460</x:v>
      </x:c>
      <x:c r="G82" s="159" t="s">
        <x:v>1461</x:v>
      </x:c>
      <x:c r="H82" s="159" t="s">
        <x:v>1462</x:v>
      </x:c>
    </x:row>
    <x:row r="83">
      <x:c r="A83" s="159" t="s">
        <x:v>1463</x:v>
      </x:c>
      <x:c r="B83" s="159" t="s">
        <x:v>1464</x:v>
      </x:c>
      <x:c r="C83" s="159" t="s">
        <x:v>1465</x:v>
      </x:c>
      <x:c r="D83" s="159" t="s">
        <x:v>1466</x:v>
      </x:c>
      <x:c r="E83" s="159" t="s">
        <x:v>1467</x:v>
      </x:c>
      <x:c r="F83" s="159" t="s">
        <x:v>1434</x:v>
      </x:c>
      <x:c r="G83" s="159" t="s">
        <x:v>1468</x:v>
      </x:c>
      <x:c r="H83" s="159" t="s">
        <x:v>1257</x:v>
      </x:c>
    </x:row>
    <x:row r="84">
      <x:c r="A84" s="159" t="s">
        <x:v>1442</x:v>
      </x:c>
      <x:c r="B84" s="159" t="s">
        <x:v>1469</x:v>
      </x:c>
      <x:c r="C84" s="159" t="s">
        <x:v>1470</x:v>
      </x:c>
      <x:c r="D84" s="159" t="s">
        <x:v>1471</x:v>
      </x:c>
      <x:c r="E84" s="159" t="s">
        <x:v>1472</x:v>
      </x:c>
      <x:c r="F84" s="159" t="s">
        <x:v>1434</x:v>
      </x:c>
      <x:c r="G84" s="159" t="s">
        <x:v>1473</x:v>
      </x:c>
      <x:c r="H84" s="159" t="s">
        <x:v>1474</x:v>
      </x:c>
    </x:row>
    <x:row r="85">
      <x:c r="A85" s="159" t="s">
        <x:v>8</x:v>
      </x:c>
      <x:c r="B85" s="159" t="s">
        <x:v>1475</x:v>
      </x:c>
      <x:c r="C85" s="159" t="s">
        <x:v>1476</x:v>
      </x:c>
      <x:c r="D85" s="159" t="s">
        <x:v>1477</x:v>
      </x:c>
      <x:c r="E85" s="159" t="s">
        <x:v>1478</x:v>
      </x:c>
      <x:c r="F85" s="159" t="s">
        <x:v>1479</x:v>
      </x:c>
      <x:c r="G85" s="159" t="s">
        <x:v>1480</x:v>
      </x:c>
      <x:c r="H85" s="159" t="s">
        <x:v>1481</x:v>
      </x:c>
    </x:row>
    <x:row r="86" ht="28.5">
      <x:c r="A86" s="159" t="s">
        <x:v>8</x:v>
      </x:c>
      <x:c r="B86" s="159" t="s">
        <x:v>1482</x:v>
      </x:c>
      <x:c r="C86" s="159" t="s">
        <x:v>1483</x:v>
      </x:c>
      <x:c r="D86" s="159" t="s">
        <x:v>1484</x:v>
      </x:c>
      <x:c r="E86" s="159" t="s">
        <x:v>1485</x:v>
      </x:c>
      <x:c r="F86" s="159" t="s">
        <x:v>1434</x:v>
      </x:c>
      <x:c r="G86" s="159" t="s">
        <x:v>1486</x:v>
      </x:c>
      <x:c r="H86" s="159" t="s">
        <x:v>1487</x:v>
      </x:c>
    </x:row>
    <x:row r="87">
      <x:c r="A87" s="159" t="s">
        <x:v>8</x:v>
      </x:c>
      <x:c r="B87" s="159" t="s">
        <x:v>1488</x:v>
      </x:c>
      <x:c r="C87" s="159" t="s">
        <x:v>1489</x:v>
      </x:c>
      <x:c r="D87" s="159" t="s">
        <x:v>1490</x:v>
      </x:c>
      <x:c r="E87" s="159" t="s">
        <x:v>1491</x:v>
      </x:c>
      <x:c r="F87" s="159" t="s">
        <x:v>1479</x:v>
      </x:c>
      <x:c r="G87" s="159" t="s">
        <x:v>1492</x:v>
      </x:c>
      <x:c r="H87" s="159" t="s">
        <x:v>1493</x:v>
      </x:c>
    </x:row>
    <x:row r="88" ht="28.5">
      <x:c r="A88" s="159" t="s">
        <x:v>8</x:v>
      </x:c>
      <x:c r="B88" s="159" t="s">
        <x:v>1494</x:v>
      </x:c>
      <x:c r="C88" s="159" t="s">
        <x:v>1495</x:v>
      </x:c>
      <x:c r="D88" s="159" t="s">
        <x:v>1496</x:v>
      </x:c>
      <x:c r="E88" s="159" t="s">
        <x:v>1497</x:v>
      </x:c>
      <x:c r="F88" s="159" t="s">
        <x:v>212</x:v>
      </x:c>
      <x:c r="G88" s="159" t="s">
        <x:v>1498</x:v>
      </x:c>
      <x:c r="H88" s="159" t="s">
        <x:v>1499</x:v>
      </x:c>
    </x:row>
    <x:row r="89" ht="28.5">
      <x:c r="A89" s="159" t="s">
        <x:v>168</x:v>
      </x:c>
      <x:c r="B89" s="159" t="s">
        <x:v>1500</x:v>
      </x:c>
      <x:c r="C89" s="159" t="s">
        <x:v>1501</x:v>
      </x:c>
      <x:c r="D89" s="159" t="s">
        <x:v>1502</x:v>
      </x:c>
      <x:c r="E89" s="159" t="s">
        <x:v>1503</x:v>
      </x:c>
      <x:c r="F89" s="159" t="s">
        <x:v>212</x:v>
      </x:c>
      <x:c r="G89" s="159" t="s">
        <x:v>1504</x:v>
      </x:c>
      <x:c r="H89" s="159" t="s">
        <x:v>1505</x:v>
      </x:c>
    </x:row>
    <x:row r="90" ht="28.5">
      <x:c r="A90" s="159" t="s">
        <x:v>168</x:v>
      </x:c>
      <x:c r="B90" s="159" t="s">
        <x:v>1506</x:v>
      </x:c>
      <x:c r="C90" s="159" t="s">
        <x:v>1507</x:v>
      </x:c>
      <x:c r="D90" s="159" t="s">
        <x:v>1508</x:v>
      </x:c>
      <x:c r="E90" s="159" t="s">
        <x:v>1509</x:v>
      </x:c>
      <x:c r="F90" s="159" t="s">
        <x:v>1460</x:v>
      </x:c>
      <x:c r="G90" s="159" t="s">
        <x:v>1510</x:v>
      </x:c>
      <x:c r="H90" s="159" t="s">
        <x:v>1511</x:v>
      </x:c>
    </x:row>
    <x:row r="91">
      <x:c r="A91" s="159" t="s">
        <x:v>175</x:v>
      </x:c>
      <x:c r="B91" s="159" t="s">
        <x:v>1512</x:v>
      </x:c>
      <x:c r="C91" s="159" t="s">
        <x:v>1513</x:v>
      </x:c>
      <x:c r="D91" s="159" t="s">
        <x:v>1514</x:v>
      </x:c>
      <x:c r="E91" s="159" t="s">
        <x:v>1515</x:v>
      </x:c>
      <x:c r="F91" s="159" t="s">
        <x:v>1434</x:v>
      </x:c>
      <x:c r="G91" s="159" t="s">
        <x:v>1516</x:v>
      </x:c>
      <x:c r="H91" s="159" t="s">
        <x:v>1517</x:v>
      </x:c>
    </x:row>
    <x:row r="92">
      <x:c r="A92" s="159" t="s">
        <x:v>202</x:v>
      </x:c>
      <x:c r="B92" s="159" t="s">
        <x:v>1518</x:v>
      </x:c>
      <x:c r="C92" s="159" t="s">
        <x:v>1519</x:v>
      </x:c>
      <x:c r="D92" s="159" t="s">
        <x:v>1520</x:v>
      </x:c>
      <x:c r="E92" s="159" t="s">
        <x:v>1521</x:v>
      </x:c>
      <x:c r="F92" s="159" t="s">
        <x:v>1434</x:v>
      </x:c>
      <x:c r="G92" s="159" t="s">
        <x:v>1522</x:v>
      </x:c>
      <x:c r="H92" s="159" t="s">
        <x:v>1523</x:v>
      </x:c>
    </x:row>
    <x:row r="93" ht="28.5">
      <x:c r="A93" s="159" t="s">
        <x:v>202</x:v>
      </x:c>
      <x:c r="B93" s="159" t="s">
        <x:v>205</x:v>
      </x:c>
      <x:c r="C93" s="159" t="s">
        <x:v>1524</x:v>
      </x:c>
      <x:c r="D93" s="159" t="s">
        <x:v>1525</x:v>
      </x:c>
      <x:c r="E93" s="159" t="s">
        <x:v>1526</x:v>
      </x:c>
      <x:c r="F93" s="159" t="s">
        <x:v>1434</x:v>
      </x:c>
      <x:c r="G93" s="159" t="s">
        <x:v>1527</x:v>
      </x:c>
      <x:c r="H93" s="159" t="s">
        <x:v>1528</x:v>
      </x:c>
    </x:row>
    <x:row r="94" ht="28.5">
      <x:c r="A94" s="159" t="s">
        <x:v>202</x:v>
      </x:c>
      <x:c r="B94" s="159" t="s">
        <x:v>1529</x:v>
      </x:c>
      <x:c r="C94" s="159" t="s">
        <x:v>1530</x:v>
      </x:c>
      <x:c r="D94" s="159" t="s">
        <x:v>1531</x:v>
      </x:c>
      <x:c r="E94" s="159" t="s">
        <x:v>1532</x:v>
      </x:c>
      <x:c r="F94" s="159" t="s">
        <x:v>212</x:v>
      </x:c>
      <x:c r="G94" s="159" t="s">
        <x:v>1533</x:v>
      </x:c>
      <x:c r="H94" s="159" t="s">
        <x:v>1534</x:v>
      </x:c>
    </x:row>
    <x:row r="95">
      <x:c r="A95" s="159" t="s">
        <x:v>1535</x:v>
      </x:c>
      <x:c r="B95" s="159" t="s">
        <x:v>1536</x:v>
      </x:c>
      <x:c r="C95" s="159" t="s">
        <x:v>1537</x:v>
      </x:c>
      <x:c r="D95" s="159" t="s">
        <x:v>1538</x:v>
      </x:c>
      <x:c r="E95" s="159" t="s">
        <x:v>1539</x:v>
      </x:c>
      <x:c r="F95" s="159" t="s">
        <x:v>212</x:v>
      </x:c>
      <x:c r="G95" s="159" t="s">
        <x:v>1540</x:v>
      </x:c>
      <x:c r="H95" s="159" t="s">
        <x:v>1541</x:v>
      </x:c>
    </x:row>
    <x:row r="96">
      <x:c r="A96" s="159" t="s">
        <x:v>191</x:v>
      </x:c>
      <x:c r="B96" s="159" t="s">
        <x:v>1542</x:v>
      </x:c>
      <x:c r="C96" s="159" t="s">
        <x:v>1543</x:v>
      </x:c>
      <x:c r="D96" s="159" t="s">
        <x:v>1544</x:v>
      </x:c>
      <x:c r="E96" s="159" t="s">
        <x:v>1545</x:v>
      </x:c>
      <x:c r="F96" s="159" t="s">
        <x:v>1546</x:v>
      </x:c>
      <x:c r="G96" s="159" t="s">
        <x:v>1547</x:v>
      </x:c>
      <x:c r="H96" s="159" t="s">
        <x:v>1548</x:v>
      </x:c>
    </x:row>
    <x:row r="97">
      <x:c r="A97" s="159" t="s">
        <x:v>317</x:v>
      </x:c>
      <x:c r="B97" s="159" t="s">
        <x:v>1549</x:v>
      </x:c>
      <x:c r="C97" s="159" t="s">
        <x:v>1550</x:v>
      </x:c>
      <x:c r="D97" s="159" t="s">
        <x:v>1551</x:v>
      </x:c>
      <x:c r="E97" s="159" t="s">
        <x:v>1552</x:v>
      </x:c>
      <x:c r="F97" s="159" t="s">
        <x:v>1479</x:v>
      </x:c>
      <x:c r="G97" s="159" t="s">
        <x:v>1553</x:v>
      </x:c>
      <x:c r="H97" s="159" t="s">
        <x:v>1554</x:v>
      </x:c>
    </x:row>
    <x:row r="98" ht="28.5">
      <x:c r="A98" s="159" t="s">
        <x:v>1555</x:v>
      </x:c>
      <x:c r="B98" s="159" t="s">
        <x:v>1556</x:v>
      </x:c>
      <x:c r="C98" s="159" t="s">
        <x:v>1557</x:v>
      </x:c>
      <x:c r="D98" s="159" t="s">
        <x:v>1558</x:v>
      </x:c>
      <x:c r="E98" s="159" t="s">
        <x:v>1559</x:v>
      </x:c>
      <x:c r="F98" s="159" t="s">
        <x:v>1434</x:v>
      </x:c>
      <x:c r="G98" s="159" t="s">
        <x:v>1560</x:v>
      </x:c>
      <x:c r="H98" s="159" t="s">
        <x:v>1561</x:v>
      </x:c>
    </x:row>
    <x:row r="99">
      <x:c r="A99" s="159" t="str">
        <x:v>Piață</x:v>
      </x:c>
      <x:c r="B99" s="159" t="str">
        <x:v>Cote și line move</x:v>
      </x:c>
      <x:c r="C99" s="159" t="str">
        <x:v>Informative; utile pentru monitorizare ex-post</x:v>
      </x:c>
      <x:c r="D99" s="159" t="str">
        <x:v>—</x:v>
      </x:c>
      <x:c r="E99" s="159" t="str">
        <x:v>—</x:v>
      </x:c>
      <x:c r="F99" s="159" t="str">
        <x:v>0% în motor</x:v>
      </x:c>
      <x:c r="G99" s="159" t="str">
        <x:v>cotă/timestamp opționale</x:v>
      </x:c>
      <x:c r="H99" s="159" t="str">
        <x:v>Fără efect în Confidence, haircut, Risk, verdict sau ranking</x:v>
      </x:c>
    </x:row>
    <x:row r="100" ht="28.5">
      <x:c r="A100" s="159" t="s">
        <x:v>1562</x:v>
      </x:c>
      <x:c r="B100" s="159" t="s">
        <x:v>1563</x:v>
      </x:c>
      <x:c r="C100" s="159" t="s">
        <x:v>1564</x:v>
      </x:c>
      <x:c r="D100" s="159" t="s">
        <x:v>1565</x:v>
      </x:c>
      <x:c r="E100" s="159" t="s">
        <x:v>1566</x:v>
      </x:c>
      <x:c r="F100" s="159" t="s">
        <x:v>1427</x:v>
      </x:c>
      <x:c r="G100" s="159" t="s">
        <x:v>1567</x:v>
      </x:c>
      <x:c r="H100" s="159" t="s">
        <x:v>1568</x:v>
      </x:c>
    </x:row>
    <x:row r="101" ht="28.5">
      <x:c r="A101" s="159" t="s">
        <x:v>385</x:v>
      </x:c>
      <x:c r="B101" s="159" t="s">
        <x:v>1569</x:v>
      </x:c>
      <x:c r="C101" s="159" t="s">
        <x:v>1570</x:v>
      </x:c>
      <x:c r="D101" s="159" t="s">
        <x:v>1571</x:v>
      </x:c>
      <x:c r="E101" s="159" t="s">
        <x:v>1572</x:v>
      </x:c>
      <x:c r="F101" s="159" t="s">
        <x:v>1573</x:v>
      </x:c>
      <x:c r="G101" s="159" t="s">
        <x:v>1574</x:v>
      </x:c>
      <x:c r="H101" s="159" t="s">
        <x:v>1575</x:v>
      </x:c>
    </x:row>
    <x:row r="102" ht="28.5">
      <x:c r="A102" s="159" t="s">
        <x:v>1576</x:v>
      </x:c>
      <x:c r="B102" s="159" t="s">
        <x:v>1577</x:v>
      </x:c>
      <x:c r="C102" s="159" t="s">
        <x:v>1578</x:v>
      </x:c>
      <x:c r="D102" s="159" t="s">
        <x:v>1579</x:v>
      </x:c>
      <x:c r="E102" s="159" t="s">
        <x:v>1580</x:v>
      </x:c>
      <x:c r="F102" s="159" t="s">
        <x:v>1581</x:v>
      </x:c>
      <x:c r="G102" s="159" t="s">
        <x:v>1582</x:v>
      </x:c>
      <x:c r="H102" s="159" t="s">
        <x:v>1583</x:v>
      </x:c>
    </x:row>
    <x:row r="105" ht="15">
      <x:c r="A105" s="189" t="s">
        <x:v>1584</x:v>
      </x:c>
      <x:c r="B105" s="189"/>
      <x:c r="C105" s="189"/>
      <x:c r="D105" s="189"/>
      <x:c r="E105" s="189"/>
      <x:c r="F105" s="189"/>
      <x:c r="G105" s="189"/>
      <x:c r="H105" s="189"/>
    </x:row>
    <x:row r="106" ht="28.5">
      <x:c r="A106" s="159" t="s">
        <x:v>1585</x:v>
      </x:c>
      <x:c r="B106" s="159"/>
      <x:c r="C106" s="159"/>
      <x:c r="D106" s="159"/>
      <x:c r="E106" s="159"/>
    </x:row>
    <x:row r="107" ht="71.25">
      <x:c r="A107" s="159" t="str">
        <x:v>Pentru o analiză concretă, documentează sursele meciului, arbitrului, echipelor și loturilor. Cotele sunt opționale.</x:v>
      </x:c>
      <x:c r="B107" s="159"/>
      <x:c r="C107" s="159"/>
      <x:c r="D107" s="159"/>
      <x:c r="E107" s="159"/>
    </x:row>
    <x:row r="108">
      <x:c r="A108" s="159"/>
      <x:c r="B108" s="159"/>
      <x:c r="C108" s="159"/>
      <x:c r="D108" s="159"/>
      <x:c r="E108" s="159"/>
    </x:row>
    <x:row r="109">
      <x:c r="A109" s="159" t="s">
        <x:v>938</x:v>
      </x:c>
      <x:c r="B109" s="159" t="s">
        <x:v>1586</x:v>
      </x:c>
      <x:c r="C109" s="159" t="s">
        <x:v>1587</x:v>
      </x:c>
      <x:c r="D109" s="159" t="s">
        <x:v>1377</x:v>
      </x:c>
      <x:c r="E109" s="159" t="s">
        <x:v>1012</x:v>
      </x:c>
    </x:row>
    <x:row r="110" ht="28.5">
      <x:c r="A110" s="159" t="s">
        <x:v>1588</x:v>
      </x:c>
      <x:c r="B110" s="159" t="s">
        <x:v>1589</x:v>
      </x:c>
      <x:c r="C110" s="159" t="s">
        <x:v>1590</x:v>
      </x:c>
      <x:c r="D110" s="159" t="s">
        <x:v>1591</x:v>
      </x:c>
      <x:c r="E110" s="159" t="s">
        <x:v>1592</x:v>
      </x:c>
    </x:row>
    <x:row r="111" ht="28.5">
      <x:c r="A111" s="159" t="s">
        <x:v>1593</x:v>
      </x:c>
      <x:c r="B111" s="159" t="s">
        <x:v>1594</x:v>
      </x:c>
      <x:c r="C111" s="159" t="str">
        <x:v>Exemplu de mapare/normalizare a variabilei; fără gate economic</x:v>
      </x:c>
      <x:c r="D111" s="159" t="s">
        <x:v>1382</x:v>
      </x:c>
      <x:c r="E111" s="159" t="s">
        <x:v>1595</x:v>
      </x:c>
    </x:row>
    <x:row r="112" ht="28.5">
      <x:c r="A112" s="159" t="s">
        <x:v>1596</x:v>
      </x:c>
      <x:c r="B112" s="159" t="s">
        <x:v>1597</x:v>
      </x:c>
      <x:c r="C112" s="159" t="s">
        <x:v>1598</x:v>
      </x:c>
      <x:c r="D112" s="159" t="s">
        <x:v>1599</x:v>
      </x:c>
      <x:c r="E112" s="159" t="s">
        <x:v>1595</x:v>
      </x:c>
    </x:row>
    <x:row r="113" ht="28.5">
      <x:c r="A113" s="159" t="s">
        <x:v>1600</x:v>
      </x:c>
      <x:c r="B113" s="159" t="s">
        <x:v>1601</x:v>
      </x:c>
      <x:c r="C113" s="159" t="s">
        <x:v>1602</x:v>
      </x:c>
      <x:c r="D113" s="159" t="s">
        <x:v>1385</x:v>
      </x:c>
      <x:c r="E113" s="159" t="s">
        <x:v>1595</x:v>
      </x:c>
    </x:row>
    <x:row r="114" ht="28.5">
      <x:c r="A114" s="159" t="s">
        <x:v>1603</x:v>
      </x:c>
      <x:c r="B114" s="159" t="s">
        <x:v>1604</x:v>
      </x:c>
      <x:c r="C114" s="159" t="s">
        <x:v>1605</x:v>
      </x:c>
      <x:c r="D114" s="159" t="s">
        <x:v>1606</x:v>
      </x:c>
      <x:c r="E114" s="159" t="s">
        <x:v>1607</x:v>
      </x:c>
    </x:row>
    <x:row r="115" ht="28.5">
      <x:c r="A115" s="159" t="s">
        <x:v>1608</x:v>
      </x:c>
      <x:c r="B115" s="159" t="s">
        <x:v>1609</x:v>
      </x:c>
      <x:c r="C115" s="159" t="s">
        <x:v>1610</x:v>
      </x:c>
      <x:c r="D115" s="159" t="s">
        <x:v>1611</x:v>
      </x:c>
      <x:c r="E115" s="159" t="s">
        <x:v>1607</x:v>
      </x:c>
    </x:row>
    <x:row r="116" ht="28.5">
      <x:c r="A116" s="159" t="s">
        <x:v>1612</x:v>
      </x:c>
      <x:c r="B116" s="159" t="s">
        <x:v>1613</x:v>
      </x:c>
      <x:c r="C116" s="159" t="s">
        <x:v>1614</x:v>
      </x:c>
      <x:c r="D116" s="159" t="s">
        <x:v>1615</x:v>
      </x:c>
      <x:c r="E116" s="159" t="s">
        <x:v>1607</x:v>
      </x:c>
    </x:row>
    <x:row r="117" ht="28.5">
      <x:c r="A117" s="159" t="s">
        <x:v>1616</x:v>
      </x:c>
      <x:c r="B117" s="159" t="s">
        <x:v>1617</x:v>
      </x:c>
      <x:c r="C117" s="159" t="s">
        <x:v>1618</x:v>
      </x:c>
      <x:c r="D117" s="159" t="s">
        <x:v>1619</x:v>
      </x:c>
      <x:c r="E117" s="159" t="s">
        <x:v>1620</x:v>
      </x:c>
    </x:row>
    <x:row r="118" ht="71.25">
      <x:c r="A118" s="159" t="s">
        <x:v>1621</x:v>
      </x:c>
      <x:c r="B118" s="159" t="s">
        <x:v>1622</x:v>
      </x:c>
      <x:c r="C118" s="159" t="s">
        <x:v>1623</x:v>
      </x:c>
      <x:c r="D118" s="159" t="s">
        <x:v>1624</x:v>
      </x:c>
      <x:c r="E118" s="159" t="s">
        <x:v>1625</x:v>
      </x:c>
    </x:row>
    <x:row r="119" ht="28.5">
      <x:c r="A119" s="159" t="s">
        <x:v>1626</x:v>
      </x:c>
      <x:c r="B119" s="159" t="s">
        <x:v>1627</x:v>
      </x:c>
      <x:c r="C119" s="159" t="s">
        <x:v>1628</x:v>
      </x:c>
      <x:c r="D119" s="159" t="s">
        <x:v>1629</x:v>
      </x:c>
      <x:c r="E119" s="159" t="s">
        <x:v>1630</x:v>
      </x:c>
    </x:row>
    <x:row r="120" ht="28.5">
      <x:c r="A120" s="159" t="s">
        <x:v>1631</x:v>
      </x:c>
      <x:c r="B120" s="159" t="s">
        <x:v>1632</x:v>
      </x:c>
      <x:c r="C120" s="159" t="s">
        <x:v>1633</x:v>
      </x:c>
      <x:c r="D120" s="159" t="s">
        <x:v>1634</x:v>
      </x:c>
      <x:c r="E120" s="159" t="s">
        <x:v>1630</x:v>
      </x:c>
    </x:row>
    <x:row r="121" ht="42.75">
      <x:c r="A121" s="159" t="s">
        <x:v>1635</x:v>
      </x:c>
      <x:c r="B121" s="159" t="s">
        <x:v>1636</x:v>
      </x:c>
      <x:c r="C121" s="159" t="s">
        <x:v>1637</x:v>
      </x:c>
      <x:c r="D121" s="159" t="s">
        <x:v>1638</x:v>
      </x:c>
      <x:c r="E121" s="159" t="s">
        <x:v>1607</x:v>
      </x:c>
    </x:row>
    <x:row r="122" ht="57">
      <x:c r="A122" s="159" t="s">
        <x:v>1639</x:v>
      </x:c>
      <x:c r="B122" s="159" t="s">
        <x:v>1640</x:v>
      </x:c>
      <x:c r="C122" s="159" t="s">
        <x:v>1641</x:v>
      </x:c>
      <x:c r="D122" s="159"/>
      <x:c r="E122" s="159" t="s">
        <x:v>1642</x:v>
      </x:c>
    </x:row>
    <x:row r="125" ht="15">
      <x:c r="A125" s="189" t="s">
        <x:v>1643</x:v>
      </x:c>
      <x:c r="B125" s="189"/>
      <x:c r="C125" s="189"/>
      <x:c r="D125" s="189"/>
      <x:c r="E125" s="189"/>
      <x:c r="F125" s="189"/>
      <x:c r="G125" s="189"/>
      <x:c r="H125" s="189"/>
    </x:row>
    <x:row r="126" ht="28.5">
      <x:c r="A126" s="159" t="s">
        <x:v>1644</x:v>
      </x:c>
      <x:c r="B126" s="159"/>
      <x:c r="C126" s="159"/>
      <x:c r="D126" s="159"/>
      <x:c r="E126" s="159"/>
      <x:c r="F126" s="159"/>
    </x:row>
    <x:row r="127">
      <x:c r="A127" s="159"/>
      <x:c r="B127" s="159"/>
      <x:c r="C127" s="159"/>
      <x:c r="D127" s="159"/>
      <x:c r="E127" s="159"/>
      <x:c r="F127" s="159"/>
    </x:row>
    <x:row r="128">
      <x:c r="A128" s="159" t="s">
        <x:v>1645</x:v>
      </x:c>
      <x:c r="B128" s="159" t="s">
        <x:v>1388</x:v>
      </x:c>
      <x:c r="C128" s="159" t="s">
        <x:v>1646</x:v>
      </x:c>
      <x:c r="D128" s="159" t="s">
        <x:v>2</x:v>
      </x:c>
      <x:c r="E128" s="159" t="s">
        <x:v>1647</x:v>
      </x:c>
      <x:c r="F128" s="159" t="s">
        <x:v>1319</x:v>
      </x:c>
    </x:row>
    <x:row r="129">
      <x:c r="A129" s="159" t="s">
        <x:v>1648</x:v>
      </x:c>
      <x:c r="B129" s="159" t="s">
        <x:v>1649</x:v>
      </x:c>
      <x:c r="C129" s="159" t="s">
        <x:v>1650</x:v>
      </x:c>
      <x:c r="D129" s="159" t="s">
        <x:v>1651</x:v>
      </x:c>
      <x:c r="E129" s="159" t="s">
        <x:v>1652</x:v>
      </x:c>
      <x:c r="F129" s="159" t="s">
        <x:v>1653</x:v>
      </x:c>
    </x:row>
    <x:row r="130" ht="28.5">
      <x:c r="A130" s="159" t="s">
        <x:v>141</x:v>
      </x:c>
      <x:c r="B130" s="159" t="s">
        <x:v>1654</x:v>
      </x:c>
      <x:c r="C130" s="159" t="s">
        <x:v>1655</x:v>
      </x:c>
      <x:c r="D130" s="159" t="s">
        <x:v>1656</x:v>
      </x:c>
      <x:c r="E130" s="159" t="s">
        <x:v>1652</x:v>
      </x:c>
      <x:c r="F130" s="159" t="s">
        <x:v>1657</x:v>
      </x:c>
    </x:row>
    <x:row r="131">
      <x:c r="A131" s="159" t="s">
        <x:v>1658</x:v>
      </x:c>
      <x:c r="B131" s="159" t="s">
        <x:v>1659</x:v>
      </x:c>
      <x:c r="C131" s="159" t="s">
        <x:v>1660</x:v>
      </x:c>
      <x:c r="D131" s="159" t="s">
        <x:v>1661</x:v>
      </x:c>
      <x:c r="E131" s="159" t="s">
        <x:v>1662</x:v>
      </x:c>
      <x:c r="F131" s="159" t="s">
        <x:v>1663</x:v>
      </x:c>
    </x:row>
    <x:row r="132">
      <x:c r="A132" s="159" t="s">
        <x:v>319</x:v>
      </x:c>
      <x:c r="B132" s="159" t="s">
        <x:v>1664</x:v>
      </x:c>
      <x:c r="C132" s="159" t="s">
        <x:v>1665</x:v>
      </x:c>
      <x:c r="D132" s="159" t="s">
        <x:v>1666</x:v>
      </x:c>
      <x:c r="E132" s="159" t="s">
        <x:v>1667</x:v>
      </x:c>
      <x:c r="F132" s="159" t="s">
        <x:v>1668</x:v>
      </x:c>
    </x:row>
    <x:row r="133">
      <x:c r="A133" s="159" t="s">
        <x:v>1218</x:v>
      </x:c>
      <x:c r="B133" s="159" t="s">
        <x:v>1669</x:v>
      </x:c>
      <x:c r="C133" s="159" t="s">
        <x:v>298</x:v>
      </x:c>
      <x:c r="D133" s="159" t="s">
        <x:v>1670</x:v>
      </x:c>
      <x:c r="E133" s="159" t="s">
        <x:v>1662</x:v>
      </x:c>
      <x:c r="F133" s="159" t="s">
        <x:v>1671</x:v>
      </x:c>
    </x:row>
    <x:row r="134">
      <x:c r="A134" s="159" t="s">
        <x:v>1282</x:v>
      </x:c>
      <x:c r="B134" s="159" t="s">
        <x:v>1672</x:v>
      </x:c>
      <x:c r="C134" s="159" t="s">
        <x:v>1673</x:v>
      </x:c>
      <x:c r="D134" s="159" t="s">
        <x:v>1674</x:v>
      </x:c>
      <x:c r="E134" s="159" t="s">
        <x:v>1675</x:v>
      </x:c>
      <x:c r="F134" s="159" t="s">
        <x:v>1676</x:v>
      </x:c>
    </x:row>
    <x:row r="135">
      <x:c r="A135" s="159" t="s">
        <x:v>1298</x:v>
      </x:c>
      <x:c r="B135" s="159" t="s">
        <x:v>1677</x:v>
      </x:c>
      <x:c r="C135" s="159" t="s">
        <x:v>1678</x:v>
      </x:c>
      <x:c r="D135" s="159" t="s">
        <x:v>1679</x:v>
      </x:c>
      <x:c r="E135" s="159" t="s">
        <x:v>1675</x:v>
      </x:c>
      <x:c r="F135" s="159" t="s">
        <x:v>1680</x:v>
      </x:c>
    </x:row>
    <x:row r="136" ht="28.5">
      <x:c r="A136" s="159" t="s">
        <x:v>1681</x:v>
      </x:c>
      <x:c r="B136" s="159" t="s">
        <x:v>1682</x:v>
      </x:c>
      <x:c r="C136" s="159" t="s">
        <x:v>1683</x:v>
      </x:c>
      <x:c r="D136" s="159" t="s">
        <x:v>1684</x:v>
      </x:c>
      <x:c r="E136" s="159" t="s">
        <x:v>1685</x:v>
      </x:c>
      <x:c r="F136" s="159" t="s">
        <x:v>1686</x:v>
      </x:c>
    </x:row>
    <x:row r="137">
      <x:c r="A137" s="159" t="s">
        <x:v>569</x:v>
      </x:c>
      <x:c r="B137" s="159" t="s">
        <x:v>1687</x:v>
      </x:c>
      <x:c r="C137" s="159" t="s">
        <x:v>1688</x:v>
      </x:c>
      <x:c r="D137" s="159" t="s">
        <x:v>1689</x:v>
      </x:c>
      <x:c r="E137" s="159" t="s">
        <x:v>1690</x:v>
      </x:c>
      <x:c r="F137" s="159" t="s">
        <x:v>1691</x:v>
      </x:c>
    </x:row>
    <x:row r="138">
      <x:c r="A138" s="159" t="s">
        <x:v>26</x:v>
      </x:c>
      <x:c r="B138" s="159" t="s">
        <x:v>1692</x:v>
      </x:c>
      <x:c r="C138" s="159" t="s">
        <x:v>27</x:v>
      </x:c>
      <x:c r="D138" s="159" t="s">
        <x:v>627</x:v>
      </x:c>
      <x:c r="E138" s="159" t="s">
        <x:v>1693</x:v>
      </x:c>
      <x:c r="F138" s="159" t="s">
        <x:v>1694</x:v>
      </x:c>
    </x:row>
    <x:row r="139">
      <x:c r="A139" s="159" t="s">
        <x:v>363</x:v>
      </x:c>
      <x:c r="B139" s="159" t="s">
        <x:v>1695</x:v>
      </x:c>
      <x:c r="C139" s="159" t="s">
        <x:v>1696</x:v>
      </x:c>
      <x:c r="D139" s="159" t="s">
        <x:v>1697</x:v>
      </x:c>
      <x:c r="E139" s="159" t="s">
        <x:v>1698</x:v>
      </x:c>
      <x:c r="F139" s="159" t="s">
        <x:v>1699</x:v>
      </x:c>
    </x:row>
    <x:row r="140" ht="28.5">
      <x:c r="A140" s="159" t="s">
        <x:v>568</x:v>
      </x:c>
      <x:c r="B140" s="159" t="s">
        <x:v>1700</x:v>
      </x:c>
      <x:c r="C140" s="159" t="s">
        <x:v>1701</x:v>
      </x:c>
      <x:c r="D140" s="159" t="s">
        <x:v>1702</x:v>
      </x:c>
      <x:c r="E140" s="159" t="s">
        <x:v>1690</x:v>
      </x:c>
      <x:c r="F140" s="159" t="s">
        <x:v>1703</x:v>
      </x:c>
    </x:row>
    <x:row r="141" ht="28.5">
      <x:c r="A141" s="159" t="s">
        <x:v>1704</x:v>
      </x:c>
      <x:c r="B141" s="159" t="s">
        <x:v>1705</x:v>
      </x:c>
      <x:c r="C141" s="159" t="s">
        <x:v>1706</x:v>
      </x:c>
      <x:c r="D141" s="159" t="s">
        <x:v>1707</x:v>
      </x:c>
      <x:c r="E141" s="159" t="s">
        <x:v>1690</x:v>
      </x:c>
      <x:c r="F141" s="159" t="s">
        <x:v>1708</x:v>
      </x:c>
    </x:row>
    <x:row r="142">
      <x:c r="A142" s="159" t="s">
        <x:v>571</x:v>
      </x:c>
      <x:c r="B142" s="159" t="s">
        <x:v>1709</x:v>
      </x:c>
      <x:c r="C142" s="159" t="s">
        <x:v>1710</x:v>
      </x:c>
      <x:c r="D142" s="159" t="s">
        <x:v>1711</x:v>
      </x:c>
      <x:c r="E142" s="159" t="s">
        <x:v>1690</x:v>
      </x:c>
      <x:c r="F142" s="159" t="s">
        <x:v>1712</x:v>
      </x:c>
    </x:row>
    <x:row r="143">
      <x:c r="A143" s="159" t="s">
        <x:v>1713</x:v>
      </x:c>
      <x:c r="B143" s="159" t="s">
        <x:v>1714</x:v>
      </x:c>
      <x:c r="C143" s="159" t="s">
        <x:v>1715</x:v>
      </x:c>
      <x:c r="D143" s="159" t="s">
        <x:v>1716</x:v>
      </x:c>
      <x:c r="E143" s="159" t="s">
        <x:v>1690</x:v>
      </x:c>
      <x:c r="F143" s="159" t="s">
        <x:v>1717</x:v>
      </x:c>
    </x:row>
    <x:row r="144">
      <x:c r="A144" s="159" t="s">
        <x:v>573</x:v>
      </x:c>
      <x:c r="B144" s="159" t="s">
        <x:v>1718</x:v>
      </x:c>
      <x:c r="C144" s="159" t="s">
        <x:v>1719</x:v>
      </x:c>
      <x:c r="D144" s="159" t="s">
        <x:v>1720</x:v>
      </x:c>
      <x:c r="E144" s="159" t="s">
        <x:v>1690</x:v>
      </x:c>
      <x:c r="F144" s="159" t="s">
        <x:v>1721</x:v>
      </x:c>
    </x:row>
    <x:row r="145">
      <x:c r="A145" s="159" t="str">
        <x:v>Calculabilitate V4</x:v>
      </x:c>
      <x:c r="B145" s="159" t="str">
        <x:v>Control minim</x:v>
      </x:c>
      <x:c r="C145" s="159" t="str">
        <x:v>Baza statistică și definiția variabilei</x:v>
      </x:c>
      <x:c r="D145" s="159" t="str">
        <x:v>CALCULABIL / NECALCULABIL</x:v>
      </x:c>
      <x:c r="E145" s="159" t="str">
        <x:v>Nu este gate cumulativ</x:v>
      </x:c>
      <x:c r="F145" s="159" t="str">
        <x:v>Auditurile rămân informative</x:v>
      </x:c>
    </x:row>
    <x:row r="146">
      <x:c r="A146" s="159" t="s">
        <x:v>1203</x:v>
      </x:c>
      <x:c r="B146" s="159" t="s">
        <x:v>1722</x:v>
      </x:c>
      <x:c r="C146" s="159" t="s">
        <x:v>1723</x:v>
      </x:c>
      <x:c r="D146" s="159" t="s">
        <x:v>1724</x:v>
      </x:c>
      <x:c r="E146" s="159" t="s">
        <x:v>1725</x:v>
      </x:c>
      <x:c r="F146" s="159" t="s">
        <x:v>1726</x:v>
      </x:c>
    </x:row>
    <x:row r="147">
      <x:c r="A147" s="159" t="s">
        <x:v>675</x:v>
      </x:c>
      <x:c r="B147" s="159" t="s">
        <x:v>1727</x:v>
      </x:c>
      <x:c r="C147" s="159" t="s">
        <x:v>1728</x:v>
      </x:c>
      <x:c r="D147" s="159" t="s">
        <x:v>1729</x:v>
      </x:c>
      <x:c r="E147" s="159" t="s">
        <x:v>1730</x:v>
      </x:c>
      <x:c r="F147" s="159" t="s">
        <x:v>1731</x:v>
      </x:c>
    </x:row>
    <x:row r="148">
      <x:c r="A148" s="159" t="s">
        <x:v>790</x:v>
      </x:c>
      <x:c r="B148" s="159" t="s">
        <x:v>1732</x:v>
      </x:c>
      <x:c r="C148" s="159" t="s">
        <x:v>1733</x:v>
      </x:c>
      <x:c r="D148" s="159" t="s">
        <x:v>1734</x:v>
      </x:c>
      <x:c r="E148" s="159" t="s">
        <x:v>1730</x:v>
      </x:c>
      <x:c r="F148" s="159" t="s">
        <x:v>1735</x:v>
      </x:c>
    </x:row>
    <x:row r="149">
      <x:c r="A149" s="159"/>
      <x:c r="B149" s="159"/>
      <x:c r="C149" s="159"/>
      <x:c r="D149" s="159"/>
      <x:c r="E149" s="159"/>
      <x:c r="F149" s="159"/>
    </x:row>
    <x:row r="150">
      <x:c r="A150" s="159"/>
      <x:c r="B150" s="159"/>
      <x:c r="C150" s="159"/>
      <x:c r="D150" s="159"/>
      <x:c r="E150" s="159"/>
      <x:c r="F150" s="159"/>
    </x:row>
    <x:row r="151">
      <x:c r="A151" s="159" t="s">
        <x:v>1736</x:v>
      </x:c>
      <x:c r="B151" s="159"/>
      <x:c r="C151" s="159"/>
      <x:c r="D151" s="159"/>
      <x:c r="E151" s="159"/>
      <x:c r="F151" s="159"/>
    </x:row>
    <x:row r="152">
      <x:c r="A152" s="159" t="s">
        <x:v>1737</x:v>
      </x:c>
      <x:c r="B152" s="159" t="s">
        <x:v>1738</x:v>
      </x:c>
      <x:c r="C152" s="159"/>
      <x:c r="D152" s="159"/>
      <x:c r="E152" s="159"/>
      <x:c r="F152" s="159"/>
    </x:row>
    <x:row r="153">
      <x:c r="A153" s="159" t="s">
        <x:v>1739</x:v>
      </x:c>
      <x:c r="B153" s="159" t="s">
        <x:v>1740</x:v>
      </x:c>
      <x:c r="C153" s="159"/>
      <x:c r="D153" s="159"/>
      <x:c r="E153" s="159"/>
      <x:c r="F153" s="159"/>
    </x:row>
    <x:row r="154">
      <x:c r="A154" s="159" t="s">
        <x:v>1371</x:v>
      </x:c>
      <x:c r="B154" s="159" t="s">
        <x:v>1741</x:v>
      </x:c>
      <x:c r="C154" s="159"/>
      <x:c r="D154" s="159"/>
      <x:c r="E154" s="159"/>
      <x:c r="F154" s="159"/>
    </x:row>
    <x:row r="155">
      <x:c r="A155" s="159" t="s">
        <x:v>1742</x:v>
      </x:c>
      <x:c r="B155" s="159" t="s">
        <x:v>1743</x:v>
      </x:c>
      <x:c r="C155" s="159"/>
      <x:c r="D155" s="159"/>
      <x:c r="E155" s="159"/>
      <x:c r="F155" s="159"/>
    </x:row>
    <x:row r="156" ht="28.5">
      <x:c r="A156" s="159" t="s">
        <x:v>649</x:v>
      </x:c>
      <x:c r="B156" s="159" t="s">
        <x:v>1744</x:v>
      </x:c>
      <x:c r="C156" s="159" t="s">
        <x:v>1745</x:v>
      </x:c>
      <x:c r="D156" s="159" t="s">
        <x:v>1746</x:v>
      </x:c>
      <x:c r="E156" s="159" t="s">
        <x:v>1667</x:v>
      </x:c>
      <x:c r="F156" s="159" t="s">
        <x:v>1747</x:v>
      </x:c>
    </x:row>
    <x:row r="157" ht="28.5">
      <x:c r="A157" s="159" t="s">
        <x:v>1748</x:v>
      </x:c>
      <x:c r="B157" s="159" t="s">
        <x:v>1749</x:v>
      </x:c>
      <x:c r="C157" s="159" t="s">
        <x:v>1750</x:v>
      </x:c>
      <x:c r="D157" s="159" t="s">
        <x:v>1751</x:v>
      </x:c>
      <x:c r="E157" s="159" t="s">
        <x:v>1698</x:v>
      </x:c>
      <x:c r="F157" s="159" t="s">
        <x:v>1752</x:v>
      </x:c>
    </x:row>
    <x:row r="158" ht="28.5">
      <x:c r="A158" s="159" t="s">
        <x:v>1753</x:v>
      </x:c>
      <x:c r="B158" s="159" t="s">
        <x:v>1754</x:v>
      </x:c>
      <x:c r="C158" s="159" t="s">
        <x:v>1755</x:v>
      </x:c>
      <x:c r="D158" s="159" t="s">
        <x:v>1756</x:v>
      </x:c>
      <x:c r="E158" s="159" t="s">
        <x:v>1698</x:v>
      </x:c>
      <x:c r="F158" s="159" t="s">
        <x:v>1752</x:v>
      </x:c>
    </x:row>
    <x:row r="159" ht="28.5">
      <x:c r="A159" s="159" t="s">
        <x:v>412</x:v>
      </x:c>
      <x:c r="B159" s="159" t="s">
        <x:v>1757</x:v>
      </x:c>
      <x:c r="C159" s="159" t="s">
        <x:v>1758</x:v>
      </x:c>
      <x:c r="D159" s="159" t="s">
        <x:v>1759</x:v>
      </x:c>
      <x:c r="E159" s="159" t="s">
        <x:v>1662</x:v>
      </x:c>
      <x:c r="F159" s="159" t="s">
        <x:v>1760</x:v>
      </x:c>
    </x:row>
    <x:row r="160" ht="28.5">
      <x:c r="A160" s="159" t="s">
        <x:v>1761</x:v>
      </x:c>
      <x:c r="B160" s="159" t="s">
        <x:v>1762</x:v>
      </x:c>
      <x:c r="C160" s="159" t="s">
        <x:v>1763</x:v>
      </x:c>
      <x:c r="D160" s="159" t="s">
        <x:v>1764</x:v>
      </x:c>
      <x:c r="E160" s="159" t="s">
        <x:v>1765</x:v>
      </x:c>
      <x:c r="F160" s="159" t="s">
        <x:v>1766</x:v>
      </x:c>
    </x:row>
    <x:row r="163" ht="15">
      <x:c r="A163" s="189" t="s">
        <x:v>1767</x:v>
      </x:c>
      <x:c r="B163" s="189"/>
      <x:c r="C163" s="189"/>
      <x:c r="D163" s="189"/>
      <x:c r="E163" s="189"/>
      <x:c r="F163" s="189"/>
      <x:c r="G163" s="189"/>
      <x:c r="H163" s="189"/>
    </x:row>
    <x:row r="164" ht="57">
      <x:c r="A164" s="159" t="str">
        <x:v>METODOLOGIE ACTIVĂ V4 – SCOR COMPOZIT</x:v>
      </x:c>
      <x:c r="B164" s="159"/>
      <x:c r="C164" s="159"/>
      <x:c r="D164" s="159"/>
      <x:c r="E164" s="159"/>
      <x:c r="F164" s="159"/>
    </x:row>
    <x:row r="165" ht="85.5">
      <x:c r="A165" s="159" t="str">
        <x:v>V4 derogă explicit de la floor 3 și sourcing completion obligatoriu din Cadrul v5 / Matricea v4. Documentele de referință nu au fost modificate.</x:v>
      </x:c>
      <x:c r="B165" s="159"/>
      <x:c r="C165" s="159"/>
      <x:c r="D165" s="159"/>
      <x:c r="E165" s="159"/>
      <x:c r="F165" s="159"/>
    </x:row>
    <x:row r="166">
      <x:c r="A166" s="159"/>
      <x:c r="B166" s="159"/>
      <x:c r="C166" s="159"/>
      <x:c r="D166" s="159"/>
      <x:c r="E166" s="159"/>
      <x:c r="F166" s="159"/>
    </x:row>
    <x:row r="167">
      <x:c r="A167" s="159" t="s">
        <x:v>599</x:v>
      </x:c>
      <x:c r="B167" s="159" t="s">
        <x:v>1768</x:v>
      </x:c>
      <x:c r="C167" s="159" t="s">
        <x:v>1769</x:v>
      </x:c>
      <x:c r="D167" s="159" t="s">
        <x:v>1033</x:v>
      </x:c>
      <x:c r="E167" s="159" t="s">
        <x:v>1099</x:v>
      </x:c>
      <x:c r="F167" s="159" t="s">
        <x:v>1034</x:v>
      </x:c>
    </x:row>
    <x:row r="168" ht="57">
      <x:c r="A168" s="159" t="str">
        <x:v>LEGACY v2 – informativ</x:v>
      </x:c>
      <x:c r="B168" s="159" t="s">
        <x:v>1770</x:v>
      </x:c>
      <x:c r="C168" s="159" t="s">
        <x:v>1771</x:v>
      </x:c>
      <x:c r="D168" s="159" t="s">
        <x:v>1772</x:v>
      </x:c>
      <x:c r="E168" s="159" t="s">
        <x:v>1773</x:v>
      </x:c>
      <x:c r="F168" s="159" t="s">
        <x:v>1774</x:v>
      </x:c>
    </x:row>
    <x:row r="169" ht="28.5">
      <x:c r="A169" s="159" t="str">
        <x:v>LEGACY v2 – informativ</x:v>
      </x:c>
      <x:c r="B169" s="159" t="s">
        <x:v>1775</x:v>
      </x:c>
      <x:c r="C169" s="159" t="s">
        <x:v>1748</x:v>
      </x:c>
      <x:c r="D169" s="159" t="s">
        <x:v>1776</x:v>
      </x:c>
      <x:c r="E169" s="159" t="s">
        <x:v>1777</x:v>
      </x:c>
      <x:c r="F169" s="159" t="s">
        <x:v>1778</x:v>
      </x:c>
    </x:row>
    <x:row r="170" ht="28.5">
      <x:c r="A170" s="159" t="str">
        <x:v>LEGACY v2 – informativ</x:v>
      </x:c>
      <x:c r="B170" s="159" t="s">
        <x:v>1779</x:v>
      </x:c>
      <x:c r="C170" s="159" t="s">
        <x:v>1753</x:v>
      </x:c>
      <x:c r="D170" s="159" t="s">
        <x:v>1780</x:v>
      </x:c>
      <x:c r="E170" s="159" t="s">
        <x:v>1781</x:v>
      </x:c>
      <x:c r="F170" s="159" t="s">
        <x:v>1782</x:v>
      </x:c>
    </x:row>
    <x:row r="171" ht="28.5">
      <x:c r="A171" s="159" t="s">
        <x:v>629</x:v>
      </x:c>
      <x:c r="B171" s="159" t="s">
        <x:v>1783</x:v>
      </x:c>
      <x:c r="C171" s="159" t="s">
        <x:v>1784</x:v>
      </x:c>
      <x:c r="D171" s="159" t="s">
        <x:v>1785</x:v>
      </x:c>
      <x:c r="E171" s="159" t="s">
        <x:v>1786</x:v>
      </x:c>
      <x:c r="F171" s="159" t="s">
        <x:v>1787</x:v>
      </x:c>
    </x:row>
    <x:row r="172" ht="42.75">
      <x:c r="A172" s="159" t="s">
        <x:v>629</x:v>
      </x:c>
      <x:c r="B172" s="159" t="s">
        <x:v>1788</x:v>
      </x:c>
      <x:c r="C172" s="159" t="s">
        <x:v>1789</x:v>
      </x:c>
      <x:c r="D172" s="159" t="s">
        <x:v>1790</x:v>
      </x:c>
      <x:c r="E172" s="159" t="s">
        <x:v>1791</x:v>
      </x:c>
      <x:c r="F172" s="159" t="s">
        <x:v>1792</x:v>
      </x:c>
    </x:row>
    <x:row r="173" ht="28.5">
      <x:c r="A173" s="159" t="s">
        <x:v>1105</x:v>
      </x:c>
      <x:c r="B173" s="159" t="s">
        <x:v>1793</x:v>
      </x:c>
      <x:c r="C173" s="159" t="s">
        <x:v>1794</x:v>
      </x:c>
      <x:c r="D173" s="159" t="s">
        <x:v>1795</x:v>
      </x:c>
      <x:c r="E173" s="159" t="s">
        <x:v>1796</x:v>
      </x:c>
      <x:c r="F173" s="159" t="s">
        <x:v>1797</x:v>
      </x:c>
    </x:row>
    <x:row r="174">
      <x:c r="A174" s="159"/>
      <x:c r="B174" s="159"/>
      <x:c r="C174" s="159"/>
      <x:c r="D174" s="159"/>
      <x:c r="E174" s="159"/>
      <x:c r="F174" s="159"/>
    </x:row>
    <x:row r="175">
      <x:c r="A175" s="159" t="s">
        <x:v>1798</x:v>
      </x:c>
      <x:c r="B175" s="159"/>
      <x:c r="C175" s="159"/>
      <x:c r="D175" s="159"/>
      <x:c r="E175" s="159"/>
      <x:c r="F175" s="159"/>
    </x:row>
    <x:row r="176" ht="42.75">
      <x:c r="A176" s="159" t="s">
        <x:v>1799</x:v>
      </x:c>
      <x:c r="B176" s="159" t="str">
        <x:v>Calculabilitate</x:v>
      </x:c>
      <x:c r="C176" s="159" t="str">
        <x:v>Definiție/normalizare coerentă, bază ligă și minimum o medie nativă + N per echipă. Nu cere toate inputurile.</x:v>
      </x:c>
      <x:c r="D176" s="159"/>
      <x:c r="E176" s="159"/>
      <x:c r="F176" s="159"/>
    </x:row>
    <x:row r="177" ht="42.75">
      <x:c r="A177" s="159" t="s">
        <x:v>1800</x:v>
      </x:c>
      <x:c r="B177" s="159" t="str">
        <x:v>Eșantion mic</x:v>
      </x:c>
      <x:c r="C177" s="159" t="str">
        <x:v>N reduce ponderile și Confidence. Nu impune un nivel minim și nu cere OOS.</x:v>
      </x:c>
      <x:c r="D177" s="159"/>
      <x:c r="E177" s="159"/>
      <x:c r="F177" s="159"/>
    </x:row>
    <x:row r="178" ht="28.5">
      <x:c r="A178" s="159" t="s">
        <x:v>1801</x:v>
      </x:c>
      <x:c r="B178" s="159" t="str">
        <x:v>Under 4,5 V4</x:v>
      </x:c>
      <x:c r="C178" s="159" t="str">
        <x:v>Verdictul vine exclusiv din scorul liniei. Pragurile legacy sunt informative.</x:v>
      </x:c>
      <x:c r="D178" s="159"/>
      <x:c r="E178" s="159"/>
      <x:c r="F178" s="159"/>
    </x:row>
    <x:row r="179" ht="28.5">
      <x:c r="A179" s="159" t="s">
        <x:v>1802</x:v>
      </x:c>
      <x:c r="B179" s="159" t="str">
        <x:v>Under 5,5 V4</x:v>
      </x:c>
      <x:c r="C179" s="159" t="str">
        <x:v>Verdictul vine exclusiv din scorul liniei. Pragurile legacy sunt informative.</x:v>
      </x:c>
      <x:c r="D179" s="159"/>
      <x:c r="E179" s="159"/>
      <x:c r="F179" s="159"/>
    </x:row>
    <x:row r="180" ht="28.5">
      <x:c r="A180" s="159" t="s">
        <x:v>1803</x:v>
      </x:c>
      <x:c r="B180" s="159" t="s">
        <x:v>412</x:v>
      </x:c>
      <x:c r="C180" s="159" t="s">
        <x:v>1804</x:v>
      </x:c>
      <x:c r="D180" s="159"/>
      <x:c r="E180" s="159"/>
      <x:c r="F180" s="159"/>
    </x:row>
    <x:row r="181" ht="42.75">
      <x:c r="A181" s="159" t="s">
        <x:v>1805</x:v>
      </x:c>
      <x:c r="B181" s="159" t="str">
        <x:v>Clasificare V4</x:v>
      </x:c>
      <x:c r="C181" s="159" t="str">
        <x:v>Scorul integrează probabilitate ajustată, context, red/dispersie și incertitudine. Nu există condiții cumulative separate.</x:v>
      </x:c>
      <x:c r="D181" s="159"/>
      <x:c r="E181" s="159"/>
      <x:c r="F181" s="159"/>
    </x:row>
    <x:row r="182">
      <x:c r="A182" s="159"/>
      <x:c r="B182" s="159"/>
      <x:c r="C182" s="159"/>
      <x:c r="D182" s="159"/>
      <x:c r="E182" s="159"/>
      <x:c r="F182" s="159"/>
    </x:row>
    <x:row r="183" ht="28.5">
      <x:c r="A183" s="159" t="s">
        <x:v>1806</x:v>
      </x:c>
      <x:c r="B183" s="159"/>
      <x:c r="C183" s="159"/>
      <x:c r="D183" s="159"/>
      <x:c r="E183" s="159"/>
      <x:c r="F183" s="159"/>
    </x:row>
    <x:row r="184" ht="42.75">
      <x:c r="A184" s="159" t="s">
        <x:v>1807</x:v>
      </x:c>
      <x:c r="B184" s="159" t="s">
        <x:v>1808</x:v>
      </x:c>
      <x:c r="C184" s="159"/>
      <x:c r="D184" s="159"/>
      <x:c r="E184" s="159"/>
      <x:c r="F184" s="159"/>
    </x:row>
    <x:row r="185" ht="57">
      <x:c r="A185" s="159" t="s">
        <x:v>1807</x:v>
      </x:c>
      <x:c r="B185" s="159" t="s">
        <x:v>1809</x:v>
      </x:c>
      <x:c r="C185" s="159"/>
      <x:c r="D185" s="159"/>
      <x:c r="E185" s="159"/>
      <x:c r="F185" s="159"/>
    </x:row>
    <x:row r="186" ht="42.75">
      <x:c r="A186" s="159" t="s">
        <x:v>1810</x:v>
      </x:c>
      <x:c r="B186" s="159" t="s">
        <x:v>1811</x:v>
      </x:c>
      <x:c r="C186" s="159"/>
      <x:c r="D186" s="159"/>
      <x:c r="E186" s="159"/>
      <x:c r="F186" s="159"/>
    </x:row>
    <x:row r="187" ht="57">
      <x:c r="A187" s="159" t="s">
        <x:v>3</x:v>
      </x:c>
      <x:c r="B187" s="159" t="s">
        <x:v>1812</x:v>
      </x:c>
      <x:c r="C187" s="159"/>
      <x:c r="D187" s="159"/>
      <x:c r="E187" s="159"/>
      <x:c r="F187" s="159"/>
    </x:row>
    <x:row r="190" ht="15">
      <x:c r="A190" s="189" t="s">
        <x:v>1813</x:v>
      </x:c>
      <x:c r="B190" s="189"/>
      <x:c r="C190" s="189"/>
      <x:c r="D190" s="189"/>
      <x:c r="E190" s="189"/>
      <x:c r="F190" s="189"/>
      <x:c r="G190" s="189"/>
      <x:c r="H190" s="189"/>
    </x:row>
    <x:row r="191" ht="28.5">
      <x:c r="A191" s="159" t="str">
        <x:v>DATA READINESS V4 – DISTINCTĂ DE CLASIFICAREA ESTIMATĂ</x:v>
      </x:c>
      <x:c r="B191" s="159"/>
      <x:c r="C191" s="159"/>
      <x:c r="D191" s="159"/>
      <x:c r="E191" s="159"/>
      <x:c r="F191" s="159"/>
    </x:row>
    <x:row r="192">
      <x:c r="A192" s="159"/>
      <x:c r="B192" s="159"/>
      <x:c r="C192" s="159"/>
      <x:c r="D192" s="159"/>
      <x:c r="E192" s="159"/>
      <x:c r="F192" s="159"/>
    </x:row>
    <x:row r="193">
      <x:c r="A193" s="159" t="s">
        <x:v>3</x:v>
      </x:c>
      <x:c r="B193" s="159" t="s">
        <x:v>1388</x:v>
      </x:c>
      <x:c r="C193" s="159" t="s">
        <x:v>1814</x:v>
      </x:c>
      <x:c r="D193" s="159" t="s">
        <x:v>1815</x:v>
      </x:c>
      <x:c r="E193" s="159" t="s">
        <x:v>1816</x:v>
      </x:c>
      <x:c r="F193" s="159" t="s">
        <x:v>259</x:v>
      </x:c>
    </x:row>
    <x:row r="194">
      <x:c r="A194" s="159" t="s">
        <x:v>1817</x:v>
      </x:c>
      <x:c r="B194" s="159" t="s">
        <x:v>1818</x:v>
      </x:c>
      <x:c r="C194" s="159" t="s">
        <x:v>1819</x:v>
      </x:c>
      <x:c r="D194" s="159" t="s">
        <x:v>92</x:v>
      </x:c>
      <x:c r="E194" s="159" t="s">
        <x:v>1820</x:v>
      </x:c>
      <x:c r="F194" s="159" t="s">
        <x:v>1821</x:v>
      </x:c>
    </x:row>
    <x:row r="195" ht="28.5">
      <x:c r="A195" s="159" t="s">
        <x:v>1822</x:v>
      </x:c>
      <x:c r="B195" s="159" t="s">
        <x:v>1823</x:v>
      </x:c>
      <x:c r="C195" s="159" t="s">
        <x:v>1824</x:v>
      </x:c>
      <x:c r="D195" s="159" t="s">
        <x:v>92</x:v>
      </x:c>
      <x:c r="E195" s="159" t="s">
        <x:v>1825</x:v>
      </x:c>
      <x:c r="F195" s="159" t="s">
        <x:v>1826</x:v>
      </x:c>
    </x:row>
    <x:row r="196" ht="28.5">
      <x:c r="A196" s="159" t="s">
        <x:v>1827</x:v>
      </x:c>
      <x:c r="B196" s="159" t="s">
        <x:v>1828</x:v>
      </x:c>
      <x:c r="C196" s="159" t="s">
        <x:v>1829</x:v>
      </x:c>
      <x:c r="D196" s="159" t="s">
        <x:v>1830</x:v>
      </x:c>
      <x:c r="E196" s="159" t="s">
        <x:v>1831</x:v>
      </x:c>
      <x:c r="F196" s="159" t="s">
        <x:v>1832</x:v>
      </x:c>
    </x:row>
    <x:row r="197" ht="28.5">
      <x:c r="A197" s="159" t="s">
        <x:v>1833</x:v>
      </x:c>
      <x:c r="B197" s="159" t="s">
        <x:v>1834</x:v>
      </x:c>
      <x:c r="C197" s="159" t="s">
        <x:v>1835</x:v>
      </x:c>
      <x:c r="D197" s="159" t="s">
        <x:v>1836</x:v>
      </x:c>
      <x:c r="E197" s="159" t="s">
        <x:v>1837</x:v>
      </x:c>
      <x:c r="F197" s="159" t="s">
        <x:v>1838</x:v>
      </x:c>
    </x:row>
    <x:row r="198">
      <x:c r="A198" s="159" t="s">
        <x:v>1839</x:v>
      </x:c>
      <x:c r="B198" s="159" t="s">
        <x:v>1840</x:v>
      </x:c>
      <x:c r="C198" s="159" t="s">
        <x:v>1841</x:v>
      </x:c>
      <x:c r="D198" s="159" t="s">
        <x:v>92</x:v>
      </x:c>
      <x:c r="E198" s="159" t="s">
        <x:v>1842</x:v>
      </x:c>
      <x:c r="F198" s="159" t="s">
        <x:v>1843</x:v>
      </x:c>
    </x:row>
    <x:row r="199" ht="28.5">
      <x:c r="A199" s="159" t="s">
        <x:v>1844</x:v>
      </x:c>
      <x:c r="B199" s="159" t="s">
        <x:v>1845</x:v>
      </x:c>
      <x:c r="C199" s="159" t="s">
        <x:v>1846</x:v>
      </x:c>
      <x:c r="D199" s="159" t="s">
        <x:v>1847</x:v>
      </x:c>
      <x:c r="E199" s="159" t="s">
        <x:v>1848</x:v>
      </x:c>
      <x:c r="F199" s="159" t="s">
        <x:v>1849</x:v>
      </x:c>
    </x:row>
    <x:row r="200">
      <x:c r="A200" s="159" t="s">
        <x:v>1850</x:v>
      </x:c>
      <x:c r="B200" s="159" t="s">
        <x:v>1851</x:v>
      </x:c>
      <x:c r="C200" s="159" t="str">
        <x:v>Conflictul de definiție/normalizare trebuie rezolvat. Auditul separat nu validează valorile folosite.</x:v>
      </x:c>
      <x:c r="D200" s="159" t="s">
        <x:v>1852</x:v>
      </x:c>
      <x:c r="E200" s="159" t="s">
        <x:v>1853</x:v>
      </x:c>
      <x:c r="F200" s="159" t="s">
        <x:v>1854</x:v>
      </x:c>
    </x:row>
    <x:row r="201" ht="28.5">
      <x:c r="A201" s="159" t="s">
        <x:v>1855</x:v>
      </x:c>
      <x:c r="B201" s="159" t="s">
        <x:v>1856</x:v>
      </x:c>
      <x:c r="C201" s="159" t="s">
        <x:v>1857</x:v>
      </x:c>
      <x:c r="D201" s="159" t="s">
        <x:v>92</x:v>
      </x:c>
      <x:c r="E201" s="159" t="s">
        <x:v>1858</x:v>
      </x:c>
      <x:c r="F201" s="159" t="s">
        <x:v>1859</x:v>
      </x:c>
    </x:row>
    <x:row r="202" ht="28.5">
      <x:c r="A202" s="159" t="s">
        <x:v>1860</x:v>
      </x:c>
      <x:c r="B202" s="159" t="s">
        <x:v>1861</x:v>
      </x:c>
      <x:c r="C202" s="159" t="s">
        <x:v>1862</x:v>
      </x:c>
      <x:c r="D202" s="159" t="s">
        <x:v>1863</x:v>
      </x:c>
      <x:c r="E202" s="159" t="s">
        <x:v>1864</x:v>
      </x:c>
      <x:c r="F202" s="159" t="s">
        <x:v>1865</x:v>
      </x:c>
    </x:row>
    <x:row r="203">
      <x:c r="A203" s="159"/>
      <x:c r="B203" s="159"/>
      <x:c r="C203" s="159"/>
      <x:c r="D203" s="159"/>
      <x:c r="E203" s="159"/>
      <x:c r="F203" s="159"/>
    </x:row>
    <x:row r="204">
      <x:c r="A204" s="159"/>
      <x:c r="B204" s="159"/>
      <x:c r="C204" s="159"/>
      <x:c r="D204" s="159"/>
      <x:c r="E204" s="159"/>
      <x:c r="F204" s="159"/>
    </x:row>
    <x:row r="205">
      <x:c r="A205" s="159" t="s">
        <x:v>1866</x:v>
      </x:c>
      <x:c r="B205" s="159" t="s">
        <x:v>598</x:v>
      </x:c>
      <x:c r="C205" s="159" t="s">
        <x:v>1867</x:v>
      </x:c>
      <x:c r="D205" s="159" t="s">
        <x:v>1868</x:v>
      </x:c>
      <x:c r="E205" s="159" t="s">
        <x:v>1869</x:v>
      </x:c>
      <x:c r="F205" s="159" t="s">
        <x:v>466</x:v>
      </x:c>
    </x:row>
    <x:row r="206" ht="28.5">
      <x:c r="A206" s="159" t="s">
        <x:v>1870</x:v>
      </x:c>
      <x:c r="B206" s="159" t="s">
        <x:v>1871</x:v>
      </x:c>
      <x:c r="C206" s="159" t="s">
        <x:v>1822</x:v>
      </x:c>
      <x:c r="D206" s="159" t="s">
        <x:v>1872</x:v>
      </x:c>
      <x:c r="E206" s="159" t="s">
        <x:v>1873</x:v>
      </x:c>
      <x:c r="F206" s="159" t="s">
        <x:v>1874</x:v>
      </x:c>
    </x:row>
    <x:row r="207">
      <x:c r="A207" s="159" t="s">
        <x:v>1875</x:v>
      </x:c>
      <x:c r="B207" s="159" t="s">
        <x:v>1876</x:v>
      </x:c>
      <x:c r="C207" s="159" t="s">
        <x:v>1822</x:v>
      </x:c>
      <x:c r="D207" s="159" t="s">
        <x:v>1877</x:v>
      </x:c>
      <x:c r="E207" s="159" t="s">
        <x:v>1878</x:v>
      </x:c>
      <x:c r="F207" s="159" t="s">
        <x:v>1874</x:v>
      </x:c>
    </x:row>
    <x:row r="208">
      <x:c r="A208" s="159" t="s">
        <x:v>1879</x:v>
      </x:c>
      <x:c r="B208" s="159" t="s">
        <x:v>1880</x:v>
      </x:c>
      <x:c r="C208" s="159" t="s">
        <x:v>1822</x:v>
      </x:c>
      <x:c r="D208" s="159" t="s">
        <x:v>1881</x:v>
      </x:c>
      <x:c r="E208" s="159" t="s">
        <x:v>1882</x:v>
      </x:c>
      <x:c r="F208" s="159" t="s">
        <x:v>1874</x:v>
      </x:c>
    </x:row>
    <x:row r="209">
      <x:c r="A209" s="159" t="s">
        <x:v>1883</x:v>
      </x:c>
      <x:c r="B209" s="159" t="s">
        <x:v>1884</x:v>
      </x:c>
      <x:c r="C209" s="159" t="s">
        <x:v>1822</x:v>
      </x:c>
      <x:c r="D209" s="159" t="s">
        <x:v>1885</x:v>
      </x:c>
      <x:c r="E209" s="159" t="s">
        <x:v>1886</x:v>
      </x:c>
      <x:c r="F209" s="159" t="s">
        <x:v>1874</x:v>
      </x:c>
    </x:row>
    <x:row r="210">
      <x:c r="A210" s="159"/>
      <x:c r="B210" s="159"/>
      <x:c r="C210" s="159"/>
      <x:c r="D210" s="159"/>
      <x:c r="E210" s="159"/>
      <x:c r="F210" s="159"/>
    </x:row>
    <x:row r="211">
      <x:c r="A211" s="159"/>
      <x:c r="B211" s="159"/>
      <x:c r="C211" s="159"/>
      <x:c r="D211" s="159"/>
      <x:c r="E211" s="159"/>
      <x:c r="F211" s="159"/>
    </x:row>
    <x:row r="212">
      <x:c r="A212" s="159" t="s">
        <x:v>1887</x:v>
      </x:c>
      <x:c r="B212" s="159" t="s">
        <x:v>1388</x:v>
      </x:c>
      <x:c r="C212" s="159"/>
      <x:c r="D212" s="159"/>
      <x:c r="E212" s="159"/>
      <x:c r="F212" s="159"/>
    </x:row>
    <x:row r="213">
      <x:c r="A213" s="159" t="s">
        <x:v>628</x:v>
      </x:c>
      <x:c r="B213" s="159" t="s">
        <x:v>1888</x:v>
      </x:c>
      <x:c r="C213" s="159"/>
      <x:c r="D213" s="159"/>
      <x:c r="E213" s="159"/>
      <x:c r="F213" s="159"/>
    </x:row>
    <x:row r="214">
      <x:c r="A214" s="159" t="s">
        <x:v>1876</x:v>
      </x:c>
      <x:c r="B214" s="159" t="s">
        <x:v>1889</x:v>
      </x:c>
      <x:c r="C214" s="159"/>
      <x:c r="D214" s="159"/>
      <x:c r="E214" s="159"/>
      <x:c r="F214" s="159"/>
    </x:row>
    <x:row r="215">
      <x:c r="A215" s="159" t="s">
        <x:v>1884</x:v>
      </x:c>
      <x:c r="B215" s="159" t="s">
        <x:v>1890</x:v>
      </x:c>
      <x:c r="C215" s="159"/>
      <x:c r="D215" s="159"/>
      <x:c r="E215" s="159"/>
      <x:c r="F215" s="159"/>
    </x:row>
    <x:row r="216">
      <x:c r="A216" s="159" t="s">
        <x:v>621</x:v>
      </x:c>
      <x:c r="B216" s="159" t="s">
        <x:v>1891</x:v>
      </x:c>
      <x:c r="C216" s="159"/>
      <x:c r="D216" s="159"/>
      <x:c r="E216" s="159"/>
      <x:c r="F216" s="159"/>
    </x:row>
    <x:row r="217">
      <x:c r="A217" s="159" t="s">
        <x:v>1892</x:v>
      </x:c>
      <x:c r="B217" s="159" t="s">
        <x:v>1893</x:v>
      </x:c>
      <x:c r="C217" s="159"/>
      <x:c r="D217" s="159"/>
      <x:c r="E217" s="159"/>
      <x:c r="F217" s="159"/>
    </x:row>
    <x:row r="218" ht="28.5">
      <x:c r="A218" s="159" t="s">
        <x:v>1894</x:v>
      </x:c>
      <x:c r="B218" s="159" t="s">
        <x:v>1895</x:v>
      </x:c>
      <x:c r="C218" s="159"/>
      <x:c r="D218" s="159"/>
      <x:c r="E218" s="159"/>
      <x:c r="F218" s="159"/>
    </x:row>
    <x:row r="220">
      <x:c r="A220" s="308" t="str">
        <x:v>V4 – ESTIMARE PE DATE DISPONIBILE ȘI AUDIT SEPARAT</x:v>
      </x:c>
      <x:c r="B220" s="308"/>
      <x:c r="C220" s="308"/>
      <x:c r="D220" s="308"/>
      <x:c r="E220" s="308"/>
      <x:c r="F220" s="308"/>
      <x:c r="G220" s="308"/>
      <x:c r="H220" s="308"/>
    </x:row>
    <x:row r="221">
      <x:c r="A221" s="273" t="str">
        <x:v>Element</x:v>
      </x:c>
      <x:c r="B221" s="273" t="str">
        <x:v>Rol</x:v>
      </x:c>
      <x:c r="C221" s="273" t="str">
        <x:v>Status permis</x:v>
      </x:c>
      <x:c r="D221" s="273" t="str">
        <x:v>Cerință</x:v>
      </x:c>
      <x:c r="E221" s="273"/>
      <x:c r="F221" s="273"/>
      <x:c r="G221" s="273"/>
      <x:c r="H221" s="273"/>
    </x:row>
    <x:row r="222">
      <x:c r="A222" s="319" t="str">
        <x:v>Cards_Input_Audit</x:v>
      </x:c>
      <x:c r="B222" s="320" t="str">
        <x:v>audit per input</x:v>
      </x:c>
      <x:c r="C222" s="320" t="str">
        <x:v>status explicit</x:v>
      </x:c>
      <x:c r="D222" s="320" t="str">
        <x:v>valoare, N, sursă, URL, cutoff, metodă și trasabilitate</x:v>
      </x:c>
      <x:c r="E222" s="320"/>
      <x:c r="F222" s="320"/>
      <x:c r="G222" s="320"/>
      <x:c r="H222" s="321"/>
    </x:row>
    <x:row r="223">
      <x:c r="A223" s="322" t="str">
        <x:v>Sourcing_Queue</x:v>
      </x:c>
      <x:c r="B223" s="323" t="str">
        <x:v>coadă operațională</x:v>
      </x:c>
      <x:c r="C223" s="323" t="str">
        <x:v>OPEN / REFRESH / METHOD CLOSURE / CLOSED</x:v>
      </x:c>
      <x:c r="D223" s="323" t="str">
        <x:v>Coada raportează verificările rămase; nu blochează estimarea V4</x:v>
      </x:c>
      <x:c r="E223" s="323"/>
      <x:c r="F223" s="323"/>
      <x:c r="G223" s="323"/>
      <x:c r="H223" s="324"/>
    </x:row>
    <x:row r="224">
      <x:c r="A224" s="322" t="str">
        <x:v>Completion_Check</x:v>
      </x:c>
      <x:c r="B224" s="323" t="str">
        <x:v>release operațional</x:v>
      </x:c>
      <x:c r="C224" s="323" t="str">
        <x:v>READY / METHOD CLOSURE REQUIRED / NOT RELEASED</x:v>
      </x:c>
      <x:c r="D224" s="323" t="str">
        <x:v>NOT RELEASED rămâne diagnosticul față de v5/v4. Nu este statusul calculului estimativ V4.</x:v>
      </x:c>
      <x:c r="E224" s="323"/>
      <x:c r="F224" s="323"/>
      <x:c r="G224" s="323"/>
      <x:c r="H224" s="324"/>
    </x:row>
    <x:row r="225">
      <x:c r="A225" s="325" t="str">
        <x:v>Separare metodologică</x:v>
      </x:c>
      <x:c r="B225" s="326" t="str">
        <x:v>controlul nu este G0</x:v>
      </x:c>
      <x:c r="C225" s="326" t="str">
        <x:v>DEROGARE V4 DOCUMENTATĂ</x:v>
      </x:c>
      <x:c r="D225" s="326" t="str">
        <x:v>Motorul și clasificarea citesc inputurile; auditul observă separat și nu decide verdictul V4.</x:v>
      </x:c>
      <x:c r="E225" s="326"/>
      <x:c r="F225" s="326"/>
      <x:c r="G225" s="326"/>
      <x:c r="H225" s="327"/>
    </x:row>
    <x:row r="227">
      <x:c r="A227" t="str">
        <x:v>FUNCȚIONARE V4 ȘI LIMITE</x:v>
      </x:c>
      <x:c r="B227"/>
      <x:c r="C227"/>
      <x:c r="D227"/>
      <x:c r="E227"/>
      <x:c r="F227"/>
      <x:c r="G227"/>
      <x:c r="H227"/>
    </x:row>
    <x:row r="229" ht="34" customHeight="1">
      <x:c r="A229" s="359" t="str">
        <x:v>Regulă</x:v>
      </x:c>
      <x:c r="B229" s="359" t="str">
        <x:v>Implementare</x:v>
      </x:c>
      <x:c r="C229" s="359"/>
      <x:c r="D229" s="359"/>
      <x:c r="E229" s="359"/>
      <x:c r="F229" s="359"/>
      <x:c r="G229" s="359"/>
      <x:c r="H229" s="359"/>
    </x:row>
    <x:row r="230" ht="34" customHeight="1">
      <x:c r="A230" s="363" t="str">
        <x:v>1. Date</x:v>
      </x:c>
      <x:c r="B230" s="363" t="str">
        <x:v>Folosește statisticile existente. Nu declară verificări sau rezultate OOS care nu există.</x:v>
      </x:c>
      <x:c r="C230" s="363"/>
      <x:c r="D230" s="363"/>
      <x:c r="E230" s="363"/>
      <x:c r="F230" s="363"/>
      <x:c r="G230" s="363"/>
      <x:c r="H230" s="363"/>
    </x:row>
    <x:row r="231" ht="34" customHeight="1">
      <x:c r="A231" s="363" t="str">
        <x:v>2. Lipsuri</x:v>
      </x:c>
      <x:c r="B231" s="363" t="str">
        <x:v>Seriile cards/fouls fără medie sau N primesc pondere zero, iar ponderile rămase se renormalizează.</x:v>
      </x:c>
      <x:c r="C231" s="363"/>
      <x:c r="D231" s="363"/>
      <x:c r="E231" s="363"/>
      <x:c r="F231" s="363"/>
      <x:c r="G231" s="363"/>
      <x:c r="H231" s="363"/>
    </x:row>
    <x:row r="232" ht="34" customHeight="1">
      <x:c r="A232" s="363" t="str">
        <x:v>3. Ipoteze</x:v>
      </x:c>
      <x:c r="B232" s="363" t="str">
        <x:v>Arbitru fără profil: efect neutru. Context lipsă: centru 5 sau efect 0. Dispersie lipsă: D=1 (Poisson). Red/dispersion necunoscut: risc L de minimum 50%.</x:v>
      </x:c>
      <x:c r="C232" s="363"/>
      <x:c r="D232" s="363"/>
      <x:c r="E232" s="363"/>
      <x:c r="F232" s="363"/>
      <x:c r="G232" s="363"/>
      <x:c r="H232" s="363"/>
    </x:row>
    <x:row r="233" ht="34" customHeight="1">
      <x:c r="A233" s="363" t="str">
        <x:v>4. Minim calculabil</x:v>
      </x:c>
      <x:c r="B233" s="363" t="str">
        <x:v>Bază ligă și share gazde valid; o medie cards primite și N&gt;0 per echipă; definiție și istoric normalizate. Fără acestea: NECALCULABIL, nu zero inventat.</x:v>
      </x:c>
      <x:c r="C233" s="363"/>
      <x:c r="D233" s="363"/>
      <x:c r="E233" s="363"/>
      <x:c r="F233" s="363"/>
      <x:c r="G233" s="363"/>
      <x:c r="H233" s="363"/>
    </x:row>
    <x:row r="234" ht="34" customHeight="1">
      <x:c r="A234" s="363" t="str">
        <x:v>5. Scor</x:v>
      </x:c>
      <x:c r="B234" s="363" t="str">
        <x:v>50% × (1−P ajustată) ×100 + 20% × context ×100 +15% × red/dispersie ×100 +15% ×(100−Confidence). Ponderi păstrate din V3; acum failure include haircut.</x:v>
      </x:c>
      <x:c r="C234" s="363"/>
      <x:c r="D234" s="363"/>
      <x:c r="E234" s="363"/>
      <x:c r="F234" s="363"/>
      <x:c r="G234" s="363"/>
      <x:c r="H234" s="363"/>
    </x:row>
    <x:row r="235" ht="34" customHeight="1">
      <x:c r="A235" s="363" t="str">
        <x:v>6. Praguri</x:v>
      </x:c>
      <x:c r="B235" s="363" t="str">
        <x:v>≤20 DEFENSIV; &gt;20–40 PRUDENT; &gt;40–60 MODERAT; &gt;60–80 RIDICAT; &gt;80–100 NO BET. Se compară scorul exact, înainte de rotunjirea afișării.</x:v>
      </x:c>
      <x:c r="C235" s="363"/>
      <x:c r="D235" s="363"/>
      <x:c r="E235" s="363"/>
      <x:c r="F235" s="363"/>
      <x:c r="G235" s="363"/>
      <x:c r="H235" s="363"/>
    </x:row>
    <x:row r="236" ht="34" customHeight="1">
      <x:c r="A236" s="363" t="str">
        <x:v>7. Fără condiții cumulative</x:v>
      </x:c>
      <x:c r="B236" s="363" t="str">
        <x:v>Nu se cer separat P≥90%, Confidence≥90, audit complet, OOS PASS sau eroare OOS sub 5 pp. Valorile sugerate anterior nu au fost praguri validate.</x:v>
      </x:c>
      <x:c r="C236" s="363"/>
      <x:c r="D236" s="363"/>
      <x:c r="E236" s="363"/>
      <x:c r="F236" s="363"/>
      <x:c r="G236" s="363"/>
      <x:c r="H236" s="363"/>
    </x:row>
    <x:row r="237" ht="34" customHeight="1">
      <x:c r="A237" s="363" t="str">
        <x:v>8. Sensul DEFENSIV</x:v>
      </x:c>
      <x:c r="B237" s="363" t="str">
        <x:v>Etichetă internă de scor relativ scăzut, nu garanție de câștig, nu probabilitate de pierdere ≤20% și nu dovadă de profitabilitate. Citește și P afișată.</x:v>
      </x:c>
      <x:c r="C237" s="363"/>
      <x:c r="D237" s="363"/>
      <x:c r="E237" s="363"/>
      <x:c r="F237" s="363"/>
      <x:c r="G237" s="363"/>
      <x:c r="H237" s="363"/>
    </x:row>
    <x:row r="238" ht="34" customHeight="1">
      <x:c r="A238" s="363" t="str">
        <x:v>9. OOS și cote</x:v>
      </x:c>
      <x:c r="B238" s="363" t="str">
        <x:v>OOS este opțional pentru monitorizare. Statutul PENDING se păstrează. Cotele / EV / market move nu intră în scor sau clasament.</x:v>
      </x:c>
      <x:c r="C238" s="363"/>
      <x:c r="D238" s="363"/>
      <x:c r="E238" s="363"/>
      <x:c r="F238" s="363"/>
      <x:c r="G238" s="363"/>
      <x:c r="H238" s="363"/>
    </x:row>
    <x:row r="239" ht="34" customHeight="1">
      <x:c r="A239" s="363" t="str">
        <x:v>10. Ranking</x:v>
      </x:c>
      <x:c r="B239" s="363" t="str">
        <x:v>Se ordonează scorul crescător, numai nivelurile 1–3. La scor egal, ordinea fixă a liniilor. Top 5 nu este un bilet cu selecții independente.</x:v>
      </x:c>
      <x:c r="C239" s="363"/>
      <x:c r="D239" s="363"/>
      <x:c r="E239" s="363"/>
      <x:c r="F239" s="363"/>
      <x:c r="G239" s="363"/>
      <x:c r="H239" s="363"/>
    </x:row>
    <x:row r="240" ht="34" customHeight="1">
      <x:c r="A240" s="363" t="str">
        <x:v>11. Conformitate</x:v>
      </x:c>
      <x:c r="B240" s="363" t="str">
        <x:v>Derogare cerută: floor 3 și sourcing completion obligatoriu din Cadrul v5 / Matricea v4 sunt dezactivate pentru estimarea V4. Nu se declară conformitate integrală.</x:v>
      </x:c>
      <x:c r="C240" s="363"/>
      <x:c r="D240" s="363"/>
      <x:c r="E240" s="363"/>
      <x:c r="F240" s="363"/>
      <x:c r="G240" s="363"/>
      <x:c r="H240" s="363"/>
    </x:row>
    <x:row r="241" ht="34" customHeight="1">
      <x:c r="A241" s="363" t="str">
        <x:v>12. Builder</x:v>
      </x:c>
      <x:c r="B241" s="363" t="str">
        <x:v>Clasificarea standalone V4 nu relaxează criteriile separate ale Builder-ului.</x:v>
      </x:c>
      <x:c r="C241" s="363"/>
      <x:c r="D241" s="363"/>
      <x:c r="E241" s="363"/>
      <x:c r="F241" s="363"/>
      <x:c r="G241" s="363"/>
      <x:c r="H241" s="363"/>
    </x:row>
    <x:row r="242" ht="34" customHeight="1">
      <x:c r="A242" s="363" t="str">
        <x:v>13. Exemplu</x:v>
      </x:c>
      <x:c r="B242" s="363" t="str">
        <x:v>Fișierul conține ECHIPA GAZDĂ/OASPETE (EXEMPLU). Rezultatele sunt demonstrații de funcționare, nu recomandări reale.</x:v>
      </x:c>
      <x:c r="C242" s="363"/>
      <x:c r="D242" s="363"/>
      <x:c r="E242" s="363"/>
      <x:c r="F242" s="363"/>
      <x:c r="G242" s="363"/>
      <x:c r="H242" s="363"/>
    </x:row>
  </x:sheetData>
  <x:mergeCells>
    <x:mergeCell ref="A1:H1"/>
    <x:mergeCell ref="A2:H2"/>
    <x:mergeCell ref="B229:H229"/>
    <x:mergeCell ref="B230:H230"/>
    <x:mergeCell ref="B231:H231"/>
    <x:mergeCell ref="B232:H232"/>
    <x:mergeCell ref="B233:H233"/>
    <x:mergeCell ref="B234:H234"/>
    <x:mergeCell ref="B235:H235"/>
    <x:mergeCell ref="B236:H236"/>
    <x:mergeCell ref="B237:H237"/>
    <x:mergeCell ref="B238:H238"/>
    <x:mergeCell ref="B239:H239"/>
    <x:mergeCell ref="B240:H240"/>
    <x:mergeCell ref="B241:H241"/>
    <x:mergeCell ref="B242:H24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9" hidden="0" customWidth="1"/>
    <x:col min="2" max="2" width="10" hidden="0" customWidth="1"/>
    <x:col min="3" max="3" width="34" hidden="0" customWidth="1"/>
    <x:col min="4" max="4" width="13" hidden="0" customWidth="1"/>
    <x:col min="5" max="5" width="18" hidden="0" customWidth="1"/>
    <x:col min="6" max="6" width="12" hidden="0" customWidth="1"/>
    <x:col min="7" max="7" width="12" hidden="0" customWidth="1"/>
    <x:col min="8" max="8" width="8" hidden="0" customWidth="1"/>
    <x:col min="9" max="9" width="22" hidden="0" customWidth="1"/>
    <x:col min="10" max="10" width="32" hidden="0" customWidth="1"/>
    <x:col min="11" max="11" width="22" hidden="0" customWidth="1"/>
    <x:col min="12" max="12" width="32" hidden="0" customWidth="1"/>
    <x:col min="13" max="13" width="28" hidden="0" customWidth="1"/>
    <x:col min="14" max="14" width="34" hidden="0" customWidth="1"/>
    <x:col min="15" max="15" width="22" hidden="0" customWidth="1"/>
    <x:col min="16" max="16" width="31" hidden="0" customWidth="1"/>
    <x:col min="17" max="17" width="34" hidden="0" customWidth="1"/>
    <x:col min="18" max="18" width="30" hidden="0" customWidth="1"/>
  </x:cols>
  <x:sheetData>
    <x:row r="1" ht="24" customHeight="1">
      <x:c r="A1" s="269" t="str">
        <x:v>CARDS INPUT AUDIT V4 – SURSE NEMODIFICATE</x:v>
      </x:c>
      <x:c r="B1" s="269"/>
      <x:c r="C1" s="269"/>
      <x:c r="D1" s="269"/>
      <x:c r="E1" s="269"/>
      <x:c r="F1" s="269"/>
      <x:c r="G1" s="269"/>
      <x:c r="H1" s="269"/>
      <x:c r="I1" s="269"/>
      <x:c r="J1" s="269"/>
      <x:c r="K1" s="269"/>
      <x:c r="L1" s="269"/>
      <x:c r="M1" s="269"/>
      <x:c r="N1" s="269"/>
      <x:c r="O1" s="269"/>
      <x:c r="P1" s="269"/>
      <x:c r="Q1" s="269"/>
      <x:c r="R1" s="269"/>
    </x:row>
    <x:row r="2" ht="30" customHeight="1">
      <x:c r="A2" s="382" t="str">
        <x:v>Stări de verificare păstrate. Nu sunt transformate automat în VERIFIED de modelul V4.</x:v>
      </x:c>
      <x:c r="B2" s="382"/>
      <x:c r="C2" s="382"/>
      <x:c r="D2" s="382"/>
      <x:c r="E2" s="382"/>
      <x:c r="F2" s="382"/>
      <x:c r="G2" s="382"/>
      <x:c r="H2" s="382"/>
      <x:c r="I2" s="382"/>
      <x:c r="J2" s="382"/>
      <x:c r="K2" s="382"/>
      <x:c r="L2" s="382"/>
      <x:c r="M2" s="382"/>
      <x:c r="N2" s="382"/>
      <x:c r="O2" s="382"/>
      <x:c r="P2" s="382"/>
      <x:c r="Q2" s="382"/>
      <x:c r="R2" s="382"/>
    </x:row>
    <x:row r="3">
      <x:c r="A3" s="253" t="str">
        <x:v>Match ID</x:v>
      </x:c>
      <x:c r="B3" s="254" t="str"/>
      <x:c r="C3" s="253" t="str">
        <x:v>Data Cutoff</x:v>
      </x:c>
      <x:c r="D3" s="254" t="str"/>
      <x:c r="E3" s="252"/>
      <x:c r="F3" s="252"/>
      <x:c r="G3" s="252"/>
      <x:c r="H3" s="252"/>
      <x:c r="I3" s="252"/>
      <x:c r="J3" s="252"/>
      <x:c r="K3" s="252"/>
      <x:c r="L3" s="252"/>
      <x:c r="M3" s="252"/>
      <x:c r="N3" s="252"/>
      <x:c r="O3" s="252"/>
      <x:c r="P3" s="252"/>
      <x:c r="Q3" s="252"/>
      <x:c r="R3" s="252"/>
    </x:row>
    <x:row r="4">
      <x:c r="A4" s="252"/>
      <x:c r="B4" s="252"/>
      <x:c r="C4" s="252"/>
      <x:c r="D4" s="252"/>
      <x:c r="E4" s="252"/>
      <x:c r="F4" s="252"/>
      <x:c r="G4" s="252"/>
      <x:c r="H4" s="252"/>
      <x:c r="I4" s="252"/>
      <x:c r="J4" s="252"/>
      <x:c r="K4" s="252"/>
      <x:c r="L4" s="252"/>
      <x:c r="M4" s="252"/>
      <x:c r="N4" s="252"/>
      <x:c r="O4" s="252"/>
      <x:c r="P4" s="252"/>
      <x:c r="Q4" s="252"/>
      <x:c r="R4" s="252"/>
    </x:row>
    <x:row r="5" ht="32" customHeight="1">
      <x:c r="A5" s="255" t="str">
        <x:v>ID</x:v>
      </x:c>
      <x:c r="B5" s="255" t="str">
        <x:v>Clasă</x:v>
      </x:c>
      <x:c r="C5" s="255" t="str">
        <x:v>Input critic</x:v>
      </x:c>
      <x:c r="D5" s="255" t="str">
        <x:v>Echipă</x:v>
      </x:c>
      <x:c r="E5" s="255" t="str">
        <x:v>Split / perioadă</x:v>
      </x:c>
      <x:c r="F5" s="255" t="str">
        <x:v>Valoare</x:v>
      </x:c>
      <x:c r="G5" s="255" t="str">
        <x:v>Unitate</x:v>
      </x:c>
      <x:c r="H5" s="255" t="str">
        <x:v>N</x:v>
      </x:c>
      <x:c r="I5" s="255" t="str">
        <x:v>Sursa 1</x:v>
      </x:c>
      <x:c r="J5" s="255" t="str">
        <x:v>URL 1</x:v>
      </x:c>
      <x:c r="K5" s="255" t="str">
        <x:v>Sursa 2</x:v>
      </x:c>
      <x:c r="L5" s="255" t="str">
        <x:v>URL 2</x:v>
      </x:c>
      <x:c r="M5" s="255" t="str">
        <x:v>Metodă extracție</x:v>
      </x:c>
      <x:c r="N5" s="255" t="str">
        <x:v>Formula / lista meciuri</x:v>
      </x:c>
      <x:c r="O5" s="255" t="str">
        <x:v>Cutoff</x:v>
      </x:c>
      <x:c r="P5" s="255" t="str">
        <x:v>Data Status</x:v>
      </x:c>
      <x:c r="Q5" s="255" t="str">
        <x:v>Următoarea acțiune</x:v>
      </x:c>
      <x:c r="R5" s="255" t="str">
        <x:v>Note</x:v>
      </x:c>
    </x:row>
    <x:row r="6">
      <x:c r="A6" s="256" t="str">
        <x:v>K01</x:v>
      </x:c>
      <x:c r="B6" s="257" t="str">
        <x:v>G0</x:v>
      </x:c>
      <x:c r="C6" s="257" t="str">
        <x:v>Fixture confirmat</x:v>
      </x:c>
      <x:c r="D6" s="257" t="str">
        <x:v>Meci</x:v>
      </x:c>
      <x:c r="E6" s="257" t="str">
        <x:v>Pre-match</x:v>
      </x:c>
      <x:c r="F6" s="258"/>
      <x:c r="G6" s="257" t="str">
        <x:v>DA/NU</x:v>
      </x:c>
      <x:c r="H6" s="258"/>
      <x:c r="I6" s="258"/>
      <x:c r="J6" s="258"/>
      <x:c r="K6" s="258"/>
      <x:c r="L6" s="258"/>
      <x:c r="M6" s="258" t="str">
        <x:v>Direct aggregate; fallback native match-by-match</x:v>
      </x:c>
      <x:c r="N6" s="258"/>
      <x:c r="O6" s="258"/>
      <x:c r="P6" s="258" t="str">
        <x:v>AVAILABLE – NOT CHECKED</x:v>
      </x:c>
      <x:c r="Q6" s="257" t="str">
        <x:v>Caută sursa directă; apoi reconstruiește din date native</x:v>
      </x:c>
      <x:c r="R6" s="259"/>
    </x:row>
    <x:row r="7">
      <x:c r="A7" s="260" t="str">
        <x:v>K02</x:v>
      </x:c>
      <x:c r="B7" s="261" t="str">
        <x:v>G0</x:v>
      </x:c>
      <x:c r="C7" s="261" t="str">
        <x:v>Definiția variabilei/pieței verificată</x:v>
      </x:c>
      <x:c r="D7" s="261" t="str">
        <x:v>Competiție</x:v>
      </x:c>
      <x:c r="E7" s="261" t="str">
        <x:v>YC / 2Y-R / R</x:v>
      </x:c>
      <x:c r="F7" s="262"/>
      <x:c r="G7" s="261" t="str">
        <x:v>DA/NU</x:v>
      </x:c>
      <x:c r="H7" s="262"/>
      <x:c r="I7" s="262"/>
      <x:c r="J7" s="262"/>
      <x:c r="K7" s="262"/>
      <x:c r="L7" s="262"/>
      <x:c r="M7" s="262" t="str">
        <x:v>Verificare definiție și mapare; fără EV/preț</x:v>
      </x:c>
      <x:c r="N7" s="262" t="str">
        <x:v>Regula de numărare Y/2Y-R/R</x:v>
      </x:c>
      <x:c r="O7" s="262"/>
      <x:c r="P7" s="262" t="str">
        <x:v>AVAILABLE – NOT CHECKED</x:v>
      </x:c>
      <x:c r="Q7" s="261" t="str">
        <x:v>Verifică definiția variabilei și normalizează istoricul</x:v>
      </x:c>
      <x:c r="R7" s="263" t="str">
        <x:v>Nu este gate economic de settlement</x:v>
      </x:c>
    </x:row>
    <x:row r="8">
      <x:c r="A8" s="260" t="str">
        <x:v>K03</x:v>
      </x:c>
      <x:c r="B8" s="261" t="str">
        <x:v>G0</x:v>
      </x:c>
      <x:c r="C8" s="261" t="str">
        <x:v>Definiția sursei brute verificată</x:v>
      </x:c>
      <x:c r="D8" s="261" t="str">
        <x:v>Competiție</x:v>
      </x:c>
      <x:c r="E8" s="261" t="str">
        <x:v>YC / 2Y-R / R</x:v>
      </x:c>
      <x:c r="F8" s="262"/>
      <x:c r="G8" s="261" t="str">
        <x:v>DA/NU</x:v>
      </x:c>
      <x:c r="H8" s="262"/>
      <x:c r="I8" s="262"/>
      <x:c r="J8" s="262"/>
      <x:c r="K8" s="262"/>
      <x:c r="L8" s="262"/>
      <x:c r="M8" s="262" t="str">
        <x:v>Direct aggregate; fallback native match-by-match</x:v>
      </x:c>
      <x:c r="N8" s="262"/>
      <x:c r="O8" s="262"/>
      <x:c r="P8" s="262" t="str">
        <x:v>AVAILABLE – NOT CHECKED</x:v>
      </x:c>
      <x:c r="Q8" s="261" t="str">
        <x:v>Caută sursa directă; apoi reconstruiește din date native</x:v>
      </x:c>
      <x:c r="R8" s="263"/>
    </x:row>
    <x:row r="9">
      <x:c r="A9" s="260" t="str">
        <x:v>K04</x:v>
      </x:c>
      <x:c r="B9" s="261" t="str">
        <x:v>G0</x:v>
      </x:c>
      <x:c r="C9" s="261" t="str">
        <x:v>Istoric normalizat la reguli</x:v>
      </x:c>
      <x:c r="D9" s="261" t="str">
        <x:v>Competiție</x:v>
      </x:c>
      <x:c r="E9" s="261" t="str">
        <x:v>Curent + prior</x:v>
      </x:c>
      <x:c r="F9" s="262"/>
      <x:c r="G9" s="261" t="str">
        <x:v>DA/NU</x:v>
      </x:c>
      <x:c r="H9" s="262"/>
      <x:c r="I9" s="262"/>
      <x:c r="J9" s="262"/>
      <x:c r="K9" s="262"/>
      <x:c r="L9" s="262"/>
      <x:c r="M9" s="262" t="str">
        <x:v>Direct aggregate; fallback native match-by-match</x:v>
      </x:c>
      <x:c r="N9" s="262"/>
      <x:c r="O9" s="262"/>
      <x:c r="P9" s="262" t="str">
        <x:v>AVAILABLE – NOT CHECKED</x:v>
      </x:c>
      <x:c r="Q9" s="261" t="str">
        <x:v>Caută sursa directă; apoi reconstruiește din date native</x:v>
      </x:c>
      <x:c r="R9" s="263"/>
    </x:row>
    <x:row r="10">
      <x:c r="A10" s="260" t="str">
        <x:v>K05</x:v>
      </x:c>
      <x:c r="B10" s="261" t="str">
        <x:v>G0/G1</x:v>
      </x:c>
      <x:c r="C10" s="261" t="str">
        <x:v>Cartonașe primite / meci</x:v>
      </x:c>
      <x:c r="D10" s="261" t="str">
        <x:v>Gazde</x:v>
      </x:c>
      <x:c r="E10" s="261" t="str">
        <x:v>Sezon</x:v>
      </x:c>
      <x:c r="F10" s="262"/>
      <x:c r="G10" s="261" t="str">
        <x:v>cards/meci</x:v>
      </x:c>
      <x:c r="H10" s="262"/>
      <x:c r="I10" s="262"/>
      <x:c r="J10" s="262"/>
      <x:c r="K10" s="262"/>
      <x:c r="L10" s="262"/>
      <x:c r="M10" s="262" t="str">
        <x:v>Direct aggregate; fallback native match-by-match</x:v>
      </x:c>
      <x:c r="N10" s="262"/>
      <x:c r="O10" s="262"/>
      <x:c r="P10" s="262" t="str">
        <x:v>AVAILABLE – NOT CHECKED</x:v>
      </x:c>
      <x:c r="Q10" s="261" t="str">
        <x:v>Caută sursa directă; apoi reconstruiește din date native</x:v>
      </x:c>
      <x:c r="R10" s="263"/>
    </x:row>
    <x:row r="11">
      <x:c r="A11" s="260" t="str">
        <x:v>K06</x:v>
      </x:c>
      <x:c r="B11" s="261" t="str">
        <x:v>G0/G1</x:v>
      </x:c>
      <x:c r="C11" s="261" t="str">
        <x:v>Cartonașe primite / meci</x:v>
      </x:c>
      <x:c r="D11" s="261" t="str">
        <x:v>Gazde</x:v>
      </x:c>
      <x:c r="E11" s="261" t="str">
        <x:v>Home</x:v>
      </x:c>
      <x:c r="F11" s="262"/>
      <x:c r="G11" s="261" t="str">
        <x:v>cards/meci</x:v>
      </x:c>
      <x:c r="H11" s="262"/>
      <x:c r="I11" s="262"/>
      <x:c r="J11" s="262"/>
      <x:c r="K11" s="262"/>
      <x:c r="L11" s="262"/>
      <x:c r="M11" s="262" t="str">
        <x:v>Direct aggregate; fallback native match-by-match</x:v>
      </x:c>
      <x:c r="N11" s="262"/>
      <x:c r="O11" s="262"/>
      <x:c r="P11" s="262" t="str">
        <x:v>AVAILABLE – NOT CHECKED</x:v>
      </x:c>
      <x:c r="Q11" s="261" t="str">
        <x:v>Caută sursa directă; apoi reconstruiește din date native</x:v>
      </x:c>
      <x:c r="R11" s="263"/>
    </x:row>
    <x:row r="12">
      <x:c r="A12" s="260" t="str">
        <x:v>K07</x:v>
      </x:c>
      <x:c r="B12" s="261" t="str">
        <x:v>G0/G1</x:v>
      </x:c>
      <x:c r="C12" s="261" t="str">
        <x:v>Cartonașe primite / meci</x:v>
      </x:c>
      <x:c r="D12" s="261" t="str">
        <x:v>Gazde</x:v>
      </x:c>
      <x:c r="E12" s="261" t="str">
        <x:v>L5/L10</x:v>
      </x:c>
      <x:c r="F12" s="262"/>
      <x:c r="G12" s="261" t="str">
        <x:v>cards/meci</x:v>
      </x:c>
      <x:c r="H12" s="262"/>
      <x:c r="I12" s="262"/>
      <x:c r="J12" s="262"/>
      <x:c r="K12" s="262"/>
      <x:c r="L12" s="262"/>
      <x:c r="M12" s="262" t="str">
        <x:v>Direct aggregate; fallback native match-by-match</x:v>
      </x:c>
      <x:c r="N12" s="262"/>
      <x:c r="O12" s="262"/>
      <x:c r="P12" s="262" t="str">
        <x:v>AVAILABLE – NOT CHECKED</x:v>
      </x:c>
      <x:c r="Q12" s="261" t="str">
        <x:v>Caută sursa directă; apoi reconstruiește din date native</x:v>
      </x:c>
      <x:c r="R12" s="263"/>
    </x:row>
    <x:row r="13">
      <x:c r="A13" s="260" t="str">
        <x:v>K08</x:v>
      </x:c>
      <x:c r="B13" s="261" t="str">
        <x:v>G0/G1</x:v>
      </x:c>
      <x:c r="C13" s="261" t="str">
        <x:v>Cartonașe provocate / meci</x:v>
      </x:c>
      <x:c r="D13" s="261" t="str">
        <x:v>Gazde</x:v>
      </x:c>
      <x:c r="E13" s="261" t="str">
        <x:v>Sezon</x:v>
      </x:c>
      <x:c r="F13" s="262"/>
      <x:c r="G13" s="261" t="str">
        <x:v>cards/meci</x:v>
      </x:c>
      <x:c r="H13" s="262"/>
      <x:c r="I13" s="262"/>
      <x:c r="J13" s="262"/>
      <x:c r="K13" s="262"/>
      <x:c r="L13" s="262"/>
      <x:c r="M13" s="262" t="str">
        <x:v>Direct aggregate; fallback native match-by-match</x:v>
      </x:c>
      <x:c r="N13" s="262"/>
      <x:c r="O13" s="262"/>
      <x:c r="P13" s="262" t="str">
        <x:v>AVAILABLE – NOT CHECKED</x:v>
      </x:c>
      <x:c r="Q13" s="261" t="str">
        <x:v>Caută sursa directă; apoi reconstruiește din date native</x:v>
      </x:c>
      <x:c r="R13" s="263"/>
    </x:row>
    <x:row r="14">
      <x:c r="A14" s="260" t="str">
        <x:v>K09</x:v>
      </x:c>
      <x:c r="B14" s="261" t="str">
        <x:v>G0/G1</x:v>
      </x:c>
      <x:c r="C14" s="261" t="str">
        <x:v>Cartonașe provocate / meci</x:v>
      </x:c>
      <x:c r="D14" s="261" t="str">
        <x:v>Gazde</x:v>
      </x:c>
      <x:c r="E14" s="261" t="str">
        <x:v>Home</x:v>
      </x:c>
      <x:c r="F14" s="262"/>
      <x:c r="G14" s="261" t="str">
        <x:v>cards/meci</x:v>
      </x:c>
      <x:c r="H14" s="262"/>
      <x:c r="I14" s="262"/>
      <x:c r="J14" s="262"/>
      <x:c r="K14" s="262"/>
      <x:c r="L14" s="262"/>
      <x:c r="M14" s="262" t="str">
        <x:v>Direct aggregate; fallback native match-by-match</x:v>
      </x:c>
      <x:c r="N14" s="262"/>
      <x:c r="O14" s="262"/>
      <x:c r="P14" s="262" t="str">
        <x:v>AVAILABLE – NOT CHECKED</x:v>
      </x:c>
      <x:c r="Q14" s="261" t="str">
        <x:v>Caută sursa directă; apoi reconstruiește din date native</x:v>
      </x:c>
      <x:c r="R14" s="263"/>
    </x:row>
    <x:row r="15">
      <x:c r="A15" s="260" t="str">
        <x:v>K10</x:v>
      </x:c>
      <x:c r="B15" s="261" t="str">
        <x:v>G0/G1</x:v>
      </x:c>
      <x:c r="C15" s="261" t="str">
        <x:v>Cartonașe provocate / meci</x:v>
      </x:c>
      <x:c r="D15" s="261" t="str">
        <x:v>Gazde</x:v>
      </x:c>
      <x:c r="E15" s="261" t="str">
        <x:v>L5/L10</x:v>
      </x:c>
      <x:c r="F15" s="262"/>
      <x:c r="G15" s="261" t="str">
        <x:v>cards/meci</x:v>
      </x:c>
      <x:c r="H15" s="262"/>
      <x:c r="I15" s="262"/>
      <x:c r="J15" s="262"/>
      <x:c r="K15" s="262"/>
      <x:c r="L15" s="262"/>
      <x:c r="M15" s="262" t="str">
        <x:v>Direct aggregate; fallback native match-by-match</x:v>
      </x:c>
      <x:c r="N15" s="262"/>
      <x:c r="O15" s="262"/>
      <x:c r="P15" s="262" t="str">
        <x:v>AVAILABLE – NOT CHECKED</x:v>
      </x:c>
      <x:c r="Q15" s="261" t="str">
        <x:v>Caută sursa directă; apoi reconstruiește din date native</x:v>
      </x:c>
      <x:c r="R15" s="263"/>
    </x:row>
    <x:row r="16">
      <x:c r="A16" s="260" t="str">
        <x:v>K11</x:v>
      </x:c>
      <x:c r="B16" s="261" t="str">
        <x:v>G0/G1</x:v>
      </x:c>
      <x:c r="C16" s="261" t="str">
        <x:v>Cartonașe primite / meci</x:v>
      </x:c>
      <x:c r="D16" s="261" t="str">
        <x:v>Oaspeți</x:v>
      </x:c>
      <x:c r="E16" s="261" t="str">
        <x:v>Sezon</x:v>
      </x:c>
      <x:c r="F16" s="262"/>
      <x:c r="G16" s="261" t="str">
        <x:v>cards/meci</x:v>
      </x:c>
      <x:c r="H16" s="262"/>
      <x:c r="I16" s="262"/>
      <x:c r="J16" s="262"/>
      <x:c r="K16" s="262"/>
      <x:c r="L16" s="262"/>
      <x:c r="M16" s="262" t="str">
        <x:v>Direct aggregate; fallback native match-by-match</x:v>
      </x:c>
      <x:c r="N16" s="262"/>
      <x:c r="O16" s="262"/>
      <x:c r="P16" s="262" t="str">
        <x:v>AVAILABLE – NOT CHECKED</x:v>
      </x:c>
      <x:c r="Q16" s="261" t="str">
        <x:v>Caută sursa directă; apoi reconstruiește din date native</x:v>
      </x:c>
      <x:c r="R16" s="263"/>
    </x:row>
    <x:row r="17">
      <x:c r="A17" s="260" t="str">
        <x:v>K12</x:v>
      </x:c>
      <x:c r="B17" s="261" t="str">
        <x:v>G0/G1</x:v>
      </x:c>
      <x:c r="C17" s="261" t="str">
        <x:v>Cartonașe primite / meci</x:v>
      </x:c>
      <x:c r="D17" s="261" t="str">
        <x:v>Oaspeți</x:v>
      </x:c>
      <x:c r="E17" s="261" t="str">
        <x:v>Away</x:v>
      </x:c>
      <x:c r="F17" s="262"/>
      <x:c r="G17" s="261" t="str">
        <x:v>cards/meci</x:v>
      </x:c>
      <x:c r="H17" s="262"/>
      <x:c r="I17" s="262"/>
      <x:c r="J17" s="262"/>
      <x:c r="K17" s="262"/>
      <x:c r="L17" s="262"/>
      <x:c r="M17" s="262" t="str">
        <x:v>Direct aggregate; fallback native match-by-match</x:v>
      </x:c>
      <x:c r="N17" s="262"/>
      <x:c r="O17" s="262"/>
      <x:c r="P17" s="262" t="str">
        <x:v>AVAILABLE – NOT CHECKED</x:v>
      </x:c>
      <x:c r="Q17" s="261" t="str">
        <x:v>Caută sursa directă; apoi reconstruiește din date native</x:v>
      </x:c>
      <x:c r="R17" s="263"/>
    </x:row>
    <x:row r="18">
      <x:c r="A18" s="260" t="str">
        <x:v>K13</x:v>
      </x:c>
      <x:c r="B18" s="261" t="str">
        <x:v>G0/G1</x:v>
      </x:c>
      <x:c r="C18" s="261" t="str">
        <x:v>Cartonașe primite / meci</x:v>
      </x:c>
      <x:c r="D18" s="261" t="str">
        <x:v>Oaspeți</x:v>
      </x:c>
      <x:c r="E18" s="261" t="str">
        <x:v>L5/L10</x:v>
      </x:c>
      <x:c r="F18" s="262"/>
      <x:c r="G18" s="261" t="str">
        <x:v>cards/meci</x:v>
      </x:c>
      <x:c r="H18" s="262"/>
      <x:c r="I18" s="262"/>
      <x:c r="J18" s="262"/>
      <x:c r="K18" s="262"/>
      <x:c r="L18" s="262"/>
      <x:c r="M18" s="262" t="str">
        <x:v>Direct aggregate; fallback native match-by-match</x:v>
      </x:c>
      <x:c r="N18" s="262"/>
      <x:c r="O18" s="262"/>
      <x:c r="P18" s="262" t="str">
        <x:v>AVAILABLE – NOT CHECKED</x:v>
      </x:c>
      <x:c r="Q18" s="261" t="str">
        <x:v>Caută sursa directă; apoi reconstruiește din date native</x:v>
      </x:c>
      <x:c r="R18" s="263"/>
    </x:row>
    <x:row r="19">
      <x:c r="A19" s="260" t="str">
        <x:v>K14</x:v>
      </x:c>
      <x:c r="B19" s="261" t="str">
        <x:v>G0/G1</x:v>
      </x:c>
      <x:c r="C19" s="261" t="str">
        <x:v>Cartonașe provocate / meci</x:v>
      </x:c>
      <x:c r="D19" s="261" t="str">
        <x:v>Oaspeți</x:v>
      </x:c>
      <x:c r="E19" s="261" t="str">
        <x:v>Sezon</x:v>
      </x:c>
      <x:c r="F19" s="262"/>
      <x:c r="G19" s="261" t="str">
        <x:v>cards/meci</x:v>
      </x:c>
      <x:c r="H19" s="262"/>
      <x:c r="I19" s="262"/>
      <x:c r="J19" s="262"/>
      <x:c r="K19" s="262"/>
      <x:c r="L19" s="262"/>
      <x:c r="M19" s="262" t="str">
        <x:v>Direct aggregate; fallback native match-by-match</x:v>
      </x:c>
      <x:c r="N19" s="262"/>
      <x:c r="O19" s="262"/>
      <x:c r="P19" s="262" t="str">
        <x:v>AVAILABLE – NOT CHECKED</x:v>
      </x:c>
      <x:c r="Q19" s="261" t="str">
        <x:v>Caută sursa directă; apoi reconstruiește din date native</x:v>
      </x:c>
      <x:c r="R19" s="263"/>
    </x:row>
    <x:row r="20">
      <x:c r="A20" s="260" t="str">
        <x:v>K15</x:v>
      </x:c>
      <x:c r="B20" s="261" t="str">
        <x:v>G0/G1</x:v>
      </x:c>
      <x:c r="C20" s="261" t="str">
        <x:v>Cartonașe provocate / meci</x:v>
      </x:c>
      <x:c r="D20" s="261" t="str">
        <x:v>Oaspeți</x:v>
      </x:c>
      <x:c r="E20" s="261" t="str">
        <x:v>Away</x:v>
      </x:c>
      <x:c r="F20" s="262"/>
      <x:c r="G20" s="261" t="str">
        <x:v>cards/meci</x:v>
      </x:c>
      <x:c r="H20" s="262"/>
      <x:c r="I20" s="262"/>
      <x:c r="J20" s="262"/>
      <x:c r="K20" s="262"/>
      <x:c r="L20" s="262"/>
      <x:c r="M20" s="262" t="str">
        <x:v>Direct aggregate; fallback native match-by-match</x:v>
      </x:c>
      <x:c r="N20" s="262"/>
      <x:c r="O20" s="262"/>
      <x:c r="P20" s="262" t="str">
        <x:v>AVAILABLE – NOT CHECKED</x:v>
      </x:c>
      <x:c r="Q20" s="261" t="str">
        <x:v>Caută sursa directă; apoi reconstruiește din date native</x:v>
      </x:c>
      <x:c r="R20" s="263"/>
    </x:row>
    <x:row r="21">
      <x:c r="A21" s="260" t="str">
        <x:v>K16</x:v>
      </x:c>
      <x:c r="B21" s="261" t="str">
        <x:v>G0/G1</x:v>
      </x:c>
      <x:c r="C21" s="261" t="str">
        <x:v>Cartonașe provocate / meci</x:v>
      </x:c>
      <x:c r="D21" s="261" t="str">
        <x:v>Oaspeți</x:v>
      </x:c>
      <x:c r="E21" s="261" t="str">
        <x:v>L5/L10</x:v>
      </x:c>
      <x:c r="F21" s="262"/>
      <x:c r="G21" s="261" t="str">
        <x:v>cards/meci</x:v>
      </x:c>
      <x:c r="H21" s="262"/>
      <x:c r="I21" s="262"/>
      <x:c r="J21" s="262"/>
      <x:c r="K21" s="262"/>
      <x:c r="L21" s="262"/>
      <x:c r="M21" s="262" t="str">
        <x:v>Direct aggregate; fallback native match-by-match</x:v>
      </x:c>
      <x:c r="N21" s="262"/>
      <x:c r="O21" s="262"/>
      <x:c r="P21" s="262" t="str">
        <x:v>AVAILABLE – NOT CHECKED</x:v>
      </x:c>
      <x:c r="Q21" s="261" t="str">
        <x:v>Caută sursa directă; apoi reconstruiește din date native</x:v>
      </x:c>
      <x:c r="R21" s="263"/>
    </x:row>
    <x:row r="22">
      <x:c r="A22" s="260" t="str">
        <x:v>K17</x:v>
      </x:c>
      <x:c r="B22" s="261" t="str">
        <x:v>G0/G2</x:v>
      </x:c>
      <x:c r="C22" s="261" t="str">
        <x:v>Arbitru desemnat</x:v>
      </x:c>
      <x:c r="D22" s="261" t="str">
        <x:v>Arbitru</x:v>
      </x:c>
      <x:c r="E22" s="261" t="str">
        <x:v>Nume + confirmare</x:v>
      </x:c>
      <x:c r="F22" s="262"/>
      <x:c r="G22" s="261" t="str">
        <x:v>text</x:v>
      </x:c>
      <x:c r="H22" s="262"/>
      <x:c r="I22" s="262"/>
      <x:c r="J22" s="262"/>
      <x:c r="K22" s="262"/>
      <x:c r="L22" s="262"/>
      <x:c r="M22" s="262" t="str">
        <x:v>Direct aggregate; fallback native match-by-match</x:v>
      </x:c>
      <x:c r="N22" s="262"/>
      <x:c r="O22" s="262"/>
      <x:c r="P22" s="262" t="str">
        <x:v>PENDING OFFICIAL</x:v>
      </x:c>
      <x:c r="Q22" s="261" t="str">
        <x:v>Verifică delegarea inițial, T-24/T-12 și T-90/T-60</x:v>
      </x:c>
      <x:c r="R22" s="263"/>
    </x:row>
    <x:row r="23">
      <x:c r="A23" s="260" t="str">
        <x:v>K18</x:v>
      </x:c>
      <x:c r="B23" s="261" t="str">
        <x:v>G0/G2</x:v>
      </x:c>
      <x:c r="C23" s="261" t="str">
        <x:v>Cartonașe echivalente / meci</x:v>
      </x:c>
      <x:c r="D23" s="261" t="str">
        <x:v>Arbitru</x:v>
      </x:c>
      <x:c r="E23" s="261" t="str">
        <x:v>Sezon / competiție</x:v>
      </x:c>
      <x:c r="F23" s="262"/>
      <x:c r="G23" s="261" t="str">
        <x:v>cards/meci</x:v>
      </x:c>
      <x:c r="H23" s="262"/>
      <x:c r="I23" s="262"/>
      <x:c r="J23" s="262"/>
      <x:c r="K23" s="262"/>
      <x:c r="L23" s="262"/>
      <x:c r="M23" s="262" t="str">
        <x:v>Direct aggregate; fallback native match-by-match</x:v>
      </x:c>
      <x:c r="N23" s="262"/>
      <x:c r="O23" s="262"/>
      <x:c r="P23" s="262" t="str">
        <x:v>AVAILABLE – NOT CHECKED</x:v>
      </x:c>
      <x:c r="Q23" s="261" t="str">
        <x:v>Caută sursa directă; apoi reconstruiește din date native</x:v>
      </x:c>
      <x:c r="R23" s="263"/>
    </x:row>
    <x:row r="24">
      <x:c r="A24" s="260" t="str">
        <x:v>K19</x:v>
      </x:c>
      <x:c r="B24" s="261" t="str">
        <x:v>G0/G2</x:v>
      </x:c>
      <x:c r="C24" s="261" t="str">
        <x:v>Faulturi sancționate / meci</x:v>
      </x:c>
      <x:c r="D24" s="261" t="str">
        <x:v>Arbitru</x:v>
      </x:c>
      <x:c r="E24" s="261" t="str">
        <x:v>Sezon / competiție</x:v>
      </x:c>
      <x:c r="F24" s="262"/>
      <x:c r="G24" s="261" t="str">
        <x:v>faulturi/meci</x:v>
      </x:c>
      <x:c r="H24" s="262"/>
      <x:c r="I24" s="262"/>
      <x:c r="J24" s="262"/>
      <x:c r="K24" s="262"/>
      <x:c r="L24" s="262"/>
      <x:c r="M24" s="262" t="str">
        <x:v>Direct aggregate; fallback native match-by-match</x:v>
      </x:c>
      <x:c r="N24" s="262"/>
      <x:c r="O24" s="262"/>
      <x:c r="P24" s="262" t="str">
        <x:v>AVAILABLE – NOT CHECKED</x:v>
      </x:c>
      <x:c r="Q24" s="261" t="str">
        <x:v>Caută sursa directă; apoi reconstruiește din date native</x:v>
      </x:c>
      <x:c r="R24" s="263"/>
    </x:row>
    <x:row r="25">
      <x:c r="A25" s="260" t="str">
        <x:v>K20</x:v>
      </x:c>
      <x:c r="B25" s="261" t="str">
        <x:v>G0/G2</x:v>
      </x:c>
      <x:c r="C25" s="261" t="str">
        <x:v>Roșii directe / meci</x:v>
      </x:c>
      <x:c r="D25" s="261" t="str">
        <x:v>Arbitru</x:v>
      </x:c>
      <x:c r="E25" s="261" t="str">
        <x:v>Sezon / competiție</x:v>
      </x:c>
      <x:c r="F25" s="262"/>
      <x:c r="G25" s="261" t="str">
        <x:v>R/meci</x:v>
      </x:c>
      <x:c r="H25" s="262"/>
      <x:c r="I25" s="262"/>
      <x:c r="J25" s="262"/>
      <x:c r="K25" s="262"/>
      <x:c r="L25" s="262"/>
      <x:c r="M25" s="262" t="str">
        <x:v>Direct aggregate; fallback native match-by-match</x:v>
      </x:c>
      <x:c r="N25" s="262"/>
      <x:c r="O25" s="262"/>
      <x:c r="P25" s="262" t="str">
        <x:v>AVAILABLE – NOT CHECKED</x:v>
      </x:c>
      <x:c r="Q25" s="261" t="str">
        <x:v>Caută sursa directă; apoi reconstruiește din date native</x:v>
      </x:c>
      <x:c r="R25" s="263"/>
    </x:row>
    <x:row r="26">
      <x:c r="A26" s="260" t="str">
        <x:v>K21</x:v>
      </x:c>
      <x:c r="B26" s="261" t="str">
        <x:v>G0/G2</x:v>
      </x:c>
      <x:c r="C26" s="261" t="str">
        <x:v>Meciuri arbitrate în eșantion</x:v>
      </x:c>
      <x:c r="D26" s="261" t="str">
        <x:v>Arbitru</x:v>
      </x:c>
      <x:c r="E26" s="261" t="str">
        <x:v>Sezon / competiție</x:v>
      </x:c>
      <x:c r="F26" s="262"/>
      <x:c r="G26" s="261" t="str">
        <x:v>N</x:v>
      </x:c>
      <x:c r="H26" s="262"/>
      <x:c r="I26" s="262"/>
      <x:c r="J26" s="262"/>
      <x:c r="K26" s="262"/>
      <x:c r="L26" s="262"/>
      <x:c r="M26" s="262" t="str">
        <x:v>Direct aggregate; fallback native match-by-match</x:v>
      </x:c>
      <x:c r="N26" s="262"/>
      <x:c r="O26" s="262"/>
      <x:c r="P26" s="262" t="str">
        <x:v>AVAILABLE – NOT CHECKED</x:v>
      </x:c>
      <x:c r="Q26" s="261" t="str">
        <x:v>Caută sursa directă; apoi reconstruiește din date native</x:v>
      </x:c>
      <x:c r="R26" s="263"/>
    </x:row>
    <x:row r="27">
      <x:c r="A27" s="260" t="str">
        <x:v>K22</x:v>
      </x:c>
      <x:c r="B27" s="261" t="str">
        <x:v>G2</x:v>
      </x:c>
      <x:c r="C27" s="261" t="str">
        <x:v>Media total cartonașe</x:v>
      </x:c>
      <x:c r="D27" s="261" t="str">
        <x:v>Ambele</x:v>
      </x:c>
      <x:c r="E27" s="261" t="str">
        <x:v>Istoric combinat</x:v>
      </x:c>
      <x:c r="F27" s="262"/>
      <x:c r="G27" s="261" t="str">
        <x:v>cards/meci</x:v>
      </x:c>
      <x:c r="H27" s="262"/>
      <x:c r="I27" s="262"/>
      <x:c r="J27" s="262"/>
      <x:c r="K27" s="262"/>
      <x:c r="L27" s="262"/>
      <x:c r="M27" s="262" t="str">
        <x:v>Direct aggregate; fallback native match-by-match</x:v>
      </x:c>
      <x:c r="N27" s="262"/>
      <x:c r="O27" s="262"/>
      <x:c r="P27" s="262" t="str">
        <x:v>AVAILABLE – NOT CHECKED</x:v>
      </x:c>
      <x:c r="Q27" s="261" t="str">
        <x:v>Caută sursa directă; apoi reconstruiește din date native</x:v>
      </x:c>
      <x:c r="R27" s="263"/>
    </x:row>
    <x:row r="28">
      <x:c r="A28" s="260" t="str">
        <x:v>K23</x:v>
      </x:c>
      <x:c r="B28" s="261" t="str">
        <x:v>G2</x:v>
      </x:c>
      <x:c r="C28" s="261" t="str">
        <x:v>Varianța total cartonașe</x:v>
      </x:c>
      <x:c r="D28" s="261" t="str">
        <x:v>Ambele</x:v>
      </x:c>
      <x:c r="E28" s="261" t="str">
        <x:v>Același eșantion</x:v>
      </x:c>
      <x:c r="F28" s="262"/>
      <x:c r="G28" s="261" t="str">
        <x:v>varianță</x:v>
      </x:c>
      <x:c r="H28" s="262"/>
      <x:c r="I28" s="262"/>
      <x:c r="J28" s="262"/>
      <x:c r="K28" s="262"/>
      <x:c r="L28" s="262"/>
      <x:c r="M28" s="262" t="str">
        <x:v>Direct aggregate; fallback native match-by-match</x:v>
      </x:c>
      <x:c r="N28" s="262"/>
      <x:c r="O28" s="262"/>
      <x:c r="P28" s="262" t="str">
        <x:v>AVAILABLE – NOT CHECKED</x:v>
      </x:c>
      <x:c r="Q28" s="261" t="str">
        <x:v>Caută sursa directă; apoi reconstruiește din date native</x:v>
      </x:c>
      <x:c r="R28" s="263"/>
    </x:row>
    <x:row r="29">
      <x:c r="A29" s="264" t="str">
        <x:v>K24</x:v>
      </x:c>
      <x:c r="B29" s="265" t="str">
        <x:v>G2</x:v>
      </x:c>
      <x:c r="C29" s="265" t="str">
        <x:v>Număr meciuri dispersie</x:v>
      </x:c>
      <x:c r="D29" s="265" t="str">
        <x:v>Ambele</x:v>
      </x:c>
      <x:c r="E29" s="265" t="str">
        <x:v>Istoric combinat</x:v>
      </x:c>
      <x:c r="F29" s="266"/>
      <x:c r="G29" s="265" t="str">
        <x:v>N</x:v>
      </x:c>
      <x:c r="H29" s="266"/>
      <x:c r="I29" s="266"/>
      <x:c r="J29" s="266"/>
      <x:c r="K29" s="266"/>
      <x:c r="L29" s="266"/>
      <x:c r="M29" s="266" t="str">
        <x:v>Direct aggregate; fallback native match-by-match</x:v>
      </x:c>
      <x:c r="N29" s="266"/>
      <x:c r="O29" s="266"/>
      <x:c r="P29" s="266" t="str">
        <x:v>AVAILABLE – NOT CHECKED</x:v>
      </x:c>
      <x:c r="Q29" s="265" t="str">
        <x:v>Caută sursa directă; apoi reconstruiește din date native</x:v>
      </x:c>
      <x:c r="R29" s="267"/>
    </x:row>
  </x:sheetData>
  <x:mergeCells>
    <x:mergeCell ref="A2:R2"/>
  </x:mergeCells>
  <x:conditionalFormatting sqref="P6:P29">
    <x:cfRule type="containsText" dxfId="18" priority="1" operator="containsText" text="AVAILABLE – NOT CHECKED"/>
    <x:cfRule type="containsText" dxfId="19" priority="2" operator="containsText" text="VERIFIED"/>
    <x:cfRule type="containsText" dxfId="20" priority="3" operator="containsText" text="PENDING OFFICIAL"/>
  </x:conditionalFormatting>
  <x:dataValidations count="1">
    <x:dataValidation type="list" sqref="P6:P29">
      <x:formula1>"AVAILABLE – NOT CHECKED,VERIFIED,VERIFIED – DERIVED FROM NATIVE DATA,PRIOR / SHRINKAGE,PENDING OFFICIAL,NOT AVAILABLE,SOURCE CONFLICT"</x:formula1>
    </x:dataValidation>
  </x:dataValidation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14" hidden="0" customWidth="1"/>
    <x:col min="4" max="4" width="18" hidden="0" customWidth="1"/>
    <x:col min="5" max="5" width="31" hidden="0" customWidth="1"/>
    <x:col min="6" max="6" width="19" hidden="0" customWidth="1"/>
    <x:col min="7" max="7" width="38" hidden="0" customWidth="1"/>
    <x:col min="8" max="8" width="42" hidden="0" customWidth="1"/>
  </x:cols>
  <x:sheetData>
    <x:row r="1" ht="24" customHeight="1">
      <x:c r="A1" s="269" t="str">
        <x:v>SOURCING QUEUE V4 – AUDIT SEPARAT</x:v>
      </x:c>
      <x:c r="B1" s="269"/>
      <x:c r="C1" s="269"/>
      <x:c r="D1" s="269"/>
      <x:c r="E1" s="269"/>
      <x:c r="F1" s="269"/>
      <x:c r="G1" s="269"/>
      <x:c r="H1" s="269"/>
    </x:row>
    <x:row r="2" ht="30" customHeight="1">
      <x:c r="A2" s="382" t="str">
        <x:v>Coada rămâne deschisă unde lipsesc verificările. Nu blochează estimarea V4.</x:v>
      </x:c>
      <x:c r="B2" s="382"/>
      <x:c r="C2" s="382"/>
      <x:c r="D2" s="382"/>
      <x:c r="E2" s="382"/>
      <x:c r="F2" s="382"/>
      <x:c r="G2" s="382"/>
      <x:c r="H2" s="382"/>
    </x:row>
    <x:row r="3">
      <x:c r="A3" s="252"/>
      <x:c r="B3" s="252"/>
      <x:c r="C3" s="252"/>
      <x:c r="D3" s="252"/>
      <x:c r="E3" s="252"/>
      <x:c r="F3" s="252"/>
      <x:c r="G3" s="252"/>
      <x:c r="H3" s="252"/>
    </x:row>
    <x:row r="4" ht="30" customHeight="1">
      <x:c r="A4" s="275" t="str">
        <x:v>ID</x:v>
      </x:c>
      <x:c r="B4" s="275" t="str">
        <x:v>Input critic</x:v>
      </x:c>
      <x:c r="C4" s="275" t="str">
        <x:v>Echipă</x:v>
      </x:c>
      <x:c r="D4" s="275" t="str">
        <x:v>Split</x:v>
      </x:c>
      <x:c r="E4" s="275" t="str">
        <x:v>Data Status</x:v>
      </x:c>
      <x:c r="F4" s="275" t="str">
        <x:v>Queue State</x:v>
      </x:c>
      <x:c r="G4" s="275" t="str">
        <x:v>Următoarea acțiune</x:v>
      </x:c>
      <x:c r="H4" s="275" t="str">
        <x:v>URL principal</x:v>
      </x:c>
    </x:row>
    <x:row r="5">
      <x:c r="A5" s="256" t="str">
        <x:f>'Cards_Input_Audit'!A6</x:f>
        <x:v>K01</x:v>
      </x:c>
      <x:c r="B5" s="257" t="str">
        <x:f>'Cards_Input_Audit'!C6</x:f>
        <x:v>Fixture confirmat</x:v>
      </x:c>
      <x:c r="C5" s="257" t="str">
        <x:f>'Cards_Input_Audit'!D6</x:f>
        <x:v>Meci</x:v>
      </x:c>
      <x:c r="D5" s="257" t="str">
        <x:f>'Cards_Input_Audit'!E6</x:f>
        <x:v>Pre-match</x:v>
      </x:c>
      <x:c r="E5" s="257" t="str">
        <x:f>'Cards_Input_Audit'!P6</x:f>
        <x:v>AVAILABLE – NOT CHECKED</x:v>
      </x:c>
      <x:c r="F5" s="257" t="str">
        <x:f>IF(OR(E5="",E5="AVAILABLE – NOT CHECKED"),"OPEN",IF(E5="PENDING OFFICIAL","REFRESH",IF(OR(E5="NOT AVAILABLE",E5="SOURCE CONFLICT"),"METHOD CLOSURE","CLOSED")))</x:f>
        <x:v>OPEN</x:v>
      </x:c>
      <x:c r="G5" s="257" t="str">
        <x:f>'Cards_Input_Audit'!Q6</x:f>
        <x:v>Caută sursa directă; apoi reconstruiește din date native</x:v>
      </x:c>
      <x:c r="H5" s="259" t="n">
        <x:f>'Cards_Input_Audit'!J6</x:f>
        <x:v>0</x:v>
      </x:c>
    </x:row>
    <x:row r="6">
      <x:c r="A6" s="260" t="str">
        <x:f>'Cards_Input_Audit'!A7</x:f>
        <x:v>K02</x:v>
      </x:c>
      <x:c r="B6" s="261" t="str">
        <x:f>'Cards_Input_Audit'!C7</x:f>
        <x:v>Definiția variabilei/pieței verificată</x:v>
      </x:c>
      <x:c r="C6" s="261" t="str">
        <x:f>'Cards_Input_Audit'!D7</x:f>
        <x:v>Competiție</x:v>
      </x:c>
      <x:c r="D6" s="261" t="str">
        <x:f>'Cards_Input_Audit'!E7</x:f>
        <x:v>YC / 2Y-R / R</x:v>
      </x:c>
      <x:c r="E6" s="261" t="str">
        <x:f>'Cards_Input_Audit'!P7</x:f>
        <x:v>AVAILABLE – NOT CHECKED</x:v>
      </x:c>
      <x:c r="F6" s="261" t="str">
        <x:f>IF(OR(E6="",E6="AVAILABLE – NOT CHECKED"),"OPEN",IF(E6="PENDING OFFICIAL","REFRESH",IF(OR(E6="NOT AVAILABLE",E6="SOURCE CONFLICT"),"METHOD CLOSURE","CLOSED")))</x:f>
        <x:v>OPEN</x:v>
      </x:c>
      <x:c r="G6" s="261" t="str">
        <x:f>'Cards_Input_Audit'!Q7</x:f>
        <x:v>Verifică definiția variabilei și normalizează istoricul</x:v>
      </x:c>
      <x:c r="H6" s="263" t="n">
        <x:f>'Cards_Input_Audit'!J7</x:f>
        <x:v>0</x:v>
      </x:c>
    </x:row>
    <x:row r="7">
      <x:c r="A7" s="260" t="str">
        <x:f>'Cards_Input_Audit'!A8</x:f>
        <x:v>K03</x:v>
      </x:c>
      <x:c r="B7" s="261" t="str">
        <x:f>'Cards_Input_Audit'!C8</x:f>
        <x:v>Definiția sursei brute verificată</x:v>
      </x:c>
      <x:c r="C7" s="261" t="str">
        <x:f>'Cards_Input_Audit'!D8</x:f>
        <x:v>Competiție</x:v>
      </x:c>
      <x:c r="D7" s="261" t="str">
        <x:f>'Cards_Input_Audit'!E8</x:f>
        <x:v>YC / 2Y-R / R</x:v>
      </x:c>
      <x:c r="E7" s="261" t="str">
        <x:f>'Cards_Input_Audit'!P8</x:f>
        <x:v>AVAILABLE – NOT CHECKED</x:v>
      </x:c>
      <x:c r="F7" s="261" t="str">
        <x:f>IF(OR(E7="",E7="AVAILABLE – NOT CHECKED"),"OPEN",IF(E7="PENDING OFFICIAL","REFRESH",IF(OR(E7="NOT AVAILABLE",E7="SOURCE CONFLICT"),"METHOD CLOSURE","CLOSED")))</x:f>
        <x:v>OPEN</x:v>
      </x:c>
      <x:c r="G7" s="261" t="str">
        <x:f>'Cards_Input_Audit'!Q8</x:f>
        <x:v>Caută sursa directă; apoi reconstruiește din date native</x:v>
      </x:c>
      <x:c r="H7" s="263" t="n">
        <x:f>'Cards_Input_Audit'!J8</x:f>
        <x:v>0</x:v>
      </x:c>
    </x:row>
    <x:row r="8">
      <x:c r="A8" s="260" t="str">
        <x:f>'Cards_Input_Audit'!A9</x:f>
        <x:v>K04</x:v>
      </x:c>
      <x:c r="B8" s="261" t="str">
        <x:f>'Cards_Input_Audit'!C9</x:f>
        <x:v>Istoric normalizat la reguli</x:v>
      </x:c>
      <x:c r="C8" s="261" t="str">
        <x:f>'Cards_Input_Audit'!D9</x:f>
        <x:v>Competiție</x:v>
      </x:c>
      <x:c r="D8" s="261" t="str">
        <x:f>'Cards_Input_Audit'!E9</x:f>
        <x:v>Curent + prior</x:v>
      </x:c>
      <x:c r="E8" s="261" t="str">
        <x:f>'Cards_Input_Audit'!P9</x:f>
        <x:v>AVAILABLE – NOT CHECKED</x:v>
      </x:c>
      <x:c r="F8" s="261" t="str">
        <x:f>IF(OR(E8="",E8="AVAILABLE – NOT CHECKED"),"OPEN",IF(E8="PENDING OFFICIAL","REFRESH",IF(OR(E8="NOT AVAILABLE",E8="SOURCE CONFLICT"),"METHOD CLOSURE","CLOSED")))</x:f>
        <x:v>OPEN</x:v>
      </x:c>
      <x:c r="G8" s="261" t="str">
        <x:f>'Cards_Input_Audit'!Q9</x:f>
        <x:v>Caută sursa directă; apoi reconstruiește din date native</x:v>
      </x:c>
      <x:c r="H8" s="263" t="n">
        <x:f>'Cards_Input_Audit'!J9</x:f>
        <x:v>0</x:v>
      </x:c>
    </x:row>
    <x:row r="9">
      <x:c r="A9" s="260" t="str">
        <x:f>'Cards_Input_Audit'!A10</x:f>
        <x:v>K05</x:v>
      </x:c>
      <x:c r="B9" s="261" t="str">
        <x:f>'Cards_Input_Audit'!C10</x:f>
        <x:v>Cartonașe primite / meci</x:v>
      </x:c>
      <x:c r="C9" s="261" t="str">
        <x:f>'Cards_Input_Audit'!D10</x:f>
        <x:v>Gazde</x:v>
      </x:c>
      <x:c r="D9" s="261" t="str">
        <x:f>'Cards_Input_Audit'!E10</x:f>
        <x:v>Sezon</x:v>
      </x:c>
      <x:c r="E9" s="261" t="str">
        <x:f>'Cards_Input_Audit'!P10</x:f>
        <x:v>AVAILABLE – NOT CHECKED</x:v>
      </x:c>
      <x:c r="F9" s="261" t="str">
        <x:f>IF(OR(E9="",E9="AVAILABLE – NOT CHECKED"),"OPEN",IF(E9="PENDING OFFICIAL","REFRESH",IF(OR(E9="NOT AVAILABLE",E9="SOURCE CONFLICT"),"METHOD CLOSURE","CLOSED")))</x:f>
        <x:v>OPEN</x:v>
      </x:c>
      <x:c r="G9" s="261" t="str">
        <x:f>'Cards_Input_Audit'!Q10</x:f>
        <x:v>Caută sursa directă; apoi reconstruiește din date native</x:v>
      </x:c>
      <x:c r="H9" s="263" t="n">
        <x:f>'Cards_Input_Audit'!J10</x:f>
        <x:v>0</x:v>
      </x:c>
    </x:row>
    <x:row r="10">
      <x:c r="A10" s="260" t="str">
        <x:f>'Cards_Input_Audit'!A11</x:f>
        <x:v>K06</x:v>
      </x:c>
      <x:c r="B10" s="261" t="str">
        <x:f>'Cards_Input_Audit'!C11</x:f>
        <x:v>Cartonașe primite / meci</x:v>
      </x:c>
      <x:c r="C10" s="261" t="str">
        <x:f>'Cards_Input_Audit'!D11</x:f>
        <x:v>Gazde</x:v>
      </x:c>
      <x:c r="D10" s="261" t="str">
        <x:f>'Cards_Input_Audit'!E11</x:f>
        <x:v>Home</x:v>
      </x:c>
      <x:c r="E10" s="261" t="str">
        <x:f>'Cards_Input_Audit'!P11</x:f>
        <x:v>AVAILABLE – NOT CHECKED</x:v>
      </x:c>
      <x:c r="F10" s="261" t="str">
        <x:f>IF(OR(E10="",E10="AVAILABLE – NOT CHECKED"),"OPEN",IF(E10="PENDING OFFICIAL","REFRESH",IF(OR(E10="NOT AVAILABLE",E10="SOURCE CONFLICT"),"METHOD CLOSURE","CLOSED")))</x:f>
        <x:v>OPEN</x:v>
      </x:c>
      <x:c r="G10" s="261" t="str">
        <x:f>'Cards_Input_Audit'!Q11</x:f>
        <x:v>Caută sursa directă; apoi reconstruiește din date native</x:v>
      </x:c>
      <x:c r="H10" s="263" t="n">
        <x:f>'Cards_Input_Audit'!J11</x:f>
        <x:v>0</x:v>
      </x:c>
    </x:row>
    <x:row r="11">
      <x:c r="A11" s="260" t="str">
        <x:f>'Cards_Input_Audit'!A12</x:f>
        <x:v>K07</x:v>
      </x:c>
      <x:c r="B11" s="261" t="str">
        <x:f>'Cards_Input_Audit'!C12</x:f>
        <x:v>Cartonașe primite / meci</x:v>
      </x:c>
      <x:c r="C11" s="261" t="str">
        <x:f>'Cards_Input_Audit'!D12</x:f>
        <x:v>Gazde</x:v>
      </x:c>
      <x:c r="D11" s="261" t="str">
        <x:f>'Cards_Input_Audit'!E12</x:f>
        <x:v>L5/L10</x:v>
      </x:c>
      <x:c r="E11" s="261" t="str">
        <x:f>'Cards_Input_Audit'!P12</x:f>
        <x:v>AVAILABLE – NOT CHECKED</x:v>
      </x:c>
      <x:c r="F11" s="261" t="str">
        <x:f>IF(OR(E11="",E11="AVAILABLE – NOT CHECKED"),"OPEN",IF(E11="PENDING OFFICIAL","REFRESH",IF(OR(E11="NOT AVAILABLE",E11="SOURCE CONFLICT"),"METHOD CLOSURE","CLOSED")))</x:f>
        <x:v>OPEN</x:v>
      </x:c>
      <x:c r="G11" s="261" t="str">
        <x:f>'Cards_Input_Audit'!Q12</x:f>
        <x:v>Caută sursa directă; apoi reconstruiește din date native</x:v>
      </x:c>
      <x:c r="H11" s="263" t="n">
        <x:f>'Cards_Input_Audit'!J12</x:f>
        <x:v>0</x:v>
      </x:c>
    </x:row>
    <x:row r="12">
      <x:c r="A12" s="260" t="str">
        <x:f>'Cards_Input_Audit'!A13</x:f>
        <x:v>K08</x:v>
      </x:c>
      <x:c r="B12" s="261" t="str">
        <x:f>'Cards_Input_Audit'!C13</x:f>
        <x:v>Cartonașe provocate / meci</x:v>
      </x:c>
      <x:c r="C12" s="261" t="str">
        <x:f>'Cards_Input_Audit'!D13</x:f>
        <x:v>Gazde</x:v>
      </x:c>
      <x:c r="D12" s="261" t="str">
        <x:f>'Cards_Input_Audit'!E13</x:f>
        <x:v>Sezon</x:v>
      </x:c>
      <x:c r="E12" s="261" t="str">
        <x:f>'Cards_Input_Audit'!P13</x:f>
        <x:v>AVAILABLE – NOT CHECKED</x:v>
      </x:c>
      <x:c r="F12" s="261" t="str">
        <x:f>IF(OR(E12="",E12="AVAILABLE – NOT CHECKED"),"OPEN",IF(E12="PENDING OFFICIAL","REFRESH",IF(OR(E12="NOT AVAILABLE",E12="SOURCE CONFLICT"),"METHOD CLOSURE","CLOSED")))</x:f>
        <x:v>OPEN</x:v>
      </x:c>
      <x:c r="G12" s="261" t="str">
        <x:f>'Cards_Input_Audit'!Q13</x:f>
        <x:v>Caută sursa directă; apoi reconstruiește din date native</x:v>
      </x:c>
      <x:c r="H12" s="263" t="n">
        <x:f>'Cards_Input_Audit'!J13</x:f>
        <x:v>0</x:v>
      </x:c>
    </x:row>
    <x:row r="13">
      <x:c r="A13" s="260" t="str">
        <x:f>'Cards_Input_Audit'!A14</x:f>
        <x:v>K09</x:v>
      </x:c>
      <x:c r="B13" s="261" t="str">
        <x:f>'Cards_Input_Audit'!C14</x:f>
        <x:v>Cartonașe provocate / meci</x:v>
      </x:c>
      <x:c r="C13" s="261" t="str">
        <x:f>'Cards_Input_Audit'!D14</x:f>
        <x:v>Gazde</x:v>
      </x:c>
      <x:c r="D13" s="261" t="str">
        <x:f>'Cards_Input_Audit'!E14</x:f>
        <x:v>Home</x:v>
      </x:c>
      <x:c r="E13" s="261" t="str">
        <x:f>'Cards_Input_Audit'!P14</x:f>
        <x:v>AVAILABLE – NOT CHECKED</x:v>
      </x:c>
      <x:c r="F13" s="261" t="str">
        <x:f>IF(OR(E13="",E13="AVAILABLE – NOT CHECKED"),"OPEN",IF(E13="PENDING OFFICIAL","REFRESH",IF(OR(E13="NOT AVAILABLE",E13="SOURCE CONFLICT"),"METHOD CLOSURE","CLOSED")))</x:f>
        <x:v>OPEN</x:v>
      </x:c>
      <x:c r="G13" s="261" t="str">
        <x:f>'Cards_Input_Audit'!Q14</x:f>
        <x:v>Caută sursa directă; apoi reconstruiește din date native</x:v>
      </x:c>
      <x:c r="H13" s="263" t="n">
        <x:f>'Cards_Input_Audit'!J14</x:f>
        <x:v>0</x:v>
      </x:c>
    </x:row>
    <x:row r="14">
      <x:c r="A14" s="260" t="str">
        <x:f>'Cards_Input_Audit'!A15</x:f>
        <x:v>K10</x:v>
      </x:c>
      <x:c r="B14" s="261" t="str">
        <x:f>'Cards_Input_Audit'!C15</x:f>
        <x:v>Cartonașe provocate / meci</x:v>
      </x:c>
      <x:c r="C14" s="261" t="str">
        <x:f>'Cards_Input_Audit'!D15</x:f>
        <x:v>Gazde</x:v>
      </x:c>
      <x:c r="D14" s="261" t="str">
        <x:f>'Cards_Input_Audit'!E15</x:f>
        <x:v>L5/L10</x:v>
      </x:c>
      <x:c r="E14" s="261" t="str">
        <x:f>'Cards_Input_Audit'!P15</x:f>
        <x:v>AVAILABLE – NOT CHECKED</x:v>
      </x:c>
      <x:c r="F14" s="261" t="str">
        <x:f>IF(OR(E14="",E14="AVAILABLE – NOT CHECKED"),"OPEN",IF(E14="PENDING OFFICIAL","REFRESH",IF(OR(E14="NOT AVAILABLE",E14="SOURCE CONFLICT"),"METHOD CLOSURE","CLOSED")))</x:f>
        <x:v>OPEN</x:v>
      </x:c>
      <x:c r="G14" s="261" t="str">
        <x:f>'Cards_Input_Audit'!Q15</x:f>
        <x:v>Caută sursa directă; apoi reconstruiește din date native</x:v>
      </x:c>
      <x:c r="H14" s="263" t="n">
        <x:f>'Cards_Input_Audit'!J15</x:f>
        <x:v>0</x:v>
      </x:c>
    </x:row>
    <x:row r="15">
      <x:c r="A15" s="260" t="str">
        <x:f>'Cards_Input_Audit'!A16</x:f>
        <x:v>K11</x:v>
      </x:c>
      <x:c r="B15" s="261" t="str">
        <x:f>'Cards_Input_Audit'!C16</x:f>
        <x:v>Cartonașe primite / meci</x:v>
      </x:c>
      <x:c r="C15" s="261" t="str">
        <x:f>'Cards_Input_Audit'!D16</x:f>
        <x:v>Oaspeți</x:v>
      </x:c>
      <x:c r="D15" s="261" t="str">
        <x:f>'Cards_Input_Audit'!E16</x:f>
        <x:v>Sezon</x:v>
      </x:c>
      <x:c r="E15" s="261" t="str">
        <x:f>'Cards_Input_Audit'!P16</x:f>
        <x:v>AVAILABLE – NOT CHECKED</x:v>
      </x:c>
      <x:c r="F15" s="261" t="str">
        <x:f>IF(OR(E15="",E15="AVAILABLE – NOT CHECKED"),"OPEN",IF(E15="PENDING OFFICIAL","REFRESH",IF(OR(E15="NOT AVAILABLE",E15="SOURCE CONFLICT"),"METHOD CLOSURE","CLOSED")))</x:f>
        <x:v>OPEN</x:v>
      </x:c>
      <x:c r="G15" s="261" t="str">
        <x:f>'Cards_Input_Audit'!Q16</x:f>
        <x:v>Caută sursa directă; apoi reconstruiește din date native</x:v>
      </x:c>
      <x:c r="H15" s="263" t="n">
        <x:f>'Cards_Input_Audit'!J16</x:f>
        <x:v>0</x:v>
      </x:c>
    </x:row>
    <x:row r="16">
      <x:c r="A16" s="260" t="str">
        <x:f>'Cards_Input_Audit'!A17</x:f>
        <x:v>K12</x:v>
      </x:c>
      <x:c r="B16" s="261" t="str">
        <x:f>'Cards_Input_Audit'!C17</x:f>
        <x:v>Cartonașe primite / meci</x:v>
      </x:c>
      <x:c r="C16" s="261" t="str">
        <x:f>'Cards_Input_Audit'!D17</x:f>
        <x:v>Oaspeți</x:v>
      </x:c>
      <x:c r="D16" s="261" t="str">
        <x:f>'Cards_Input_Audit'!E17</x:f>
        <x:v>Away</x:v>
      </x:c>
      <x:c r="E16" s="261" t="str">
        <x:f>'Cards_Input_Audit'!P17</x:f>
        <x:v>AVAILABLE – NOT CHECKED</x:v>
      </x:c>
      <x:c r="F16" s="261" t="str">
        <x:f>IF(OR(E16="",E16="AVAILABLE – NOT CHECKED"),"OPEN",IF(E16="PENDING OFFICIAL","REFRESH",IF(OR(E16="NOT AVAILABLE",E16="SOURCE CONFLICT"),"METHOD CLOSURE","CLOSED")))</x:f>
        <x:v>OPEN</x:v>
      </x:c>
      <x:c r="G16" s="261" t="str">
        <x:f>'Cards_Input_Audit'!Q17</x:f>
        <x:v>Caută sursa directă; apoi reconstruiește din date native</x:v>
      </x:c>
      <x:c r="H16" s="263" t="n">
        <x:f>'Cards_Input_Audit'!J17</x:f>
        <x:v>0</x:v>
      </x:c>
    </x:row>
    <x:row r="17">
      <x:c r="A17" s="260" t="str">
        <x:f>'Cards_Input_Audit'!A18</x:f>
        <x:v>K13</x:v>
      </x:c>
      <x:c r="B17" s="261" t="str">
        <x:f>'Cards_Input_Audit'!C18</x:f>
        <x:v>Cartonașe primite / meci</x:v>
      </x:c>
      <x:c r="C17" s="261" t="str">
        <x:f>'Cards_Input_Audit'!D18</x:f>
        <x:v>Oaspeți</x:v>
      </x:c>
      <x:c r="D17" s="261" t="str">
        <x:f>'Cards_Input_Audit'!E18</x:f>
        <x:v>L5/L10</x:v>
      </x:c>
      <x:c r="E17" s="261" t="str">
        <x:f>'Cards_Input_Audit'!P18</x:f>
        <x:v>AVAILABLE – NOT CHECKED</x:v>
      </x:c>
      <x:c r="F17" s="261" t="str">
        <x:f>IF(OR(E17="",E17="AVAILABLE – NOT CHECKED"),"OPEN",IF(E17="PENDING OFFICIAL","REFRESH",IF(OR(E17="NOT AVAILABLE",E17="SOURCE CONFLICT"),"METHOD CLOSURE","CLOSED")))</x:f>
        <x:v>OPEN</x:v>
      </x:c>
      <x:c r="G17" s="261" t="str">
        <x:f>'Cards_Input_Audit'!Q18</x:f>
        <x:v>Caută sursa directă; apoi reconstruiește din date native</x:v>
      </x:c>
      <x:c r="H17" s="263" t="n">
        <x:f>'Cards_Input_Audit'!J18</x:f>
        <x:v>0</x:v>
      </x:c>
    </x:row>
    <x:row r="18">
      <x:c r="A18" s="260" t="str">
        <x:f>'Cards_Input_Audit'!A19</x:f>
        <x:v>K14</x:v>
      </x:c>
      <x:c r="B18" s="261" t="str">
        <x:f>'Cards_Input_Audit'!C19</x:f>
        <x:v>Cartonașe provocate / meci</x:v>
      </x:c>
      <x:c r="C18" s="261" t="str">
        <x:f>'Cards_Input_Audit'!D19</x:f>
        <x:v>Oaspeți</x:v>
      </x:c>
      <x:c r="D18" s="261" t="str">
        <x:f>'Cards_Input_Audit'!E19</x:f>
        <x:v>Sezon</x:v>
      </x:c>
      <x:c r="E18" s="261" t="str">
        <x:f>'Cards_Input_Audit'!P19</x:f>
        <x:v>AVAILABLE – NOT CHECKED</x:v>
      </x:c>
      <x:c r="F18" s="261" t="str">
        <x:f>IF(OR(E18="",E18="AVAILABLE – NOT CHECKED"),"OPEN",IF(E18="PENDING OFFICIAL","REFRESH",IF(OR(E18="NOT AVAILABLE",E18="SOURCE CONFLICT"),"METHOD CLOSURE","CLOSED")))</x:f>
        <x:v>OPEN</x:v>
      </x:c>
      <x:c r="G18" s="261" t="str">
        <x:f>'Cards_Input_Audit'!Q19</x:f>
        <x:v>Caută sursa directă; apoi reconstruiește din date native</x:v>
      </x:c>
      <x:c r="H18" s="263" t="n">
        <x:f>'Cards_Input_Audit'!J19</x:f>
        <x:v>0</x:v>
      </x:c>
    </x:row>
    <x:row r="19">
      <x:c r="A19" s="260" t="str">
        <x:f>'Cards_Input_Audit'!A20</x:f>
        <x:v>K15</x:v>
      </x:c>
      <x:c r="B19" s="261" t="str">
        <x:f>'Cards_Input_Audit'!C20</x:f>
        <x:v>Cartonașe provocate / meci</x:v>
      </x:c>
      <x:c r="C19" s="261" t="str">
        <x:f>'Cards_Input_Audit'!D20</x:f>
        <x:v>Oaspeți</x:v>
      </x:c>
      <x:c r="D19" s="261" t="str">
        <x:f>'Cards_Input_Audit'!E20</x:f>
        <x:v>Away</x:v>
      </x:c>
      <x:c r="E19" s="261" t="str">
        <x:f>'Cards_Input_Audit'!P20</x:f>
        <x:v>AVAILABLE – NOT CHECKED</x:v>
      </x:c>
      <x:c r="F19" s="261" t="str">
        <x:f>IF(OR(E19="",E19="AVAILABLE – NOT CHECKED"),"OPEN",IF(E19="PENDING OFFICIAL","REFRESH",IF(OR(E19="NOT AVAILABLE",E19="SOURCE CONFLICT"),"METHOD CLOSURE","CLOSED")))</x:f>
        <x:v>OPEN</x:v>
      </x:c>
      <x:c r="G19" s="261" t="str">
        <x:f>'Cards_Input_Audit'!Q20</x:f>
        <x:v>Caută sursa directă; apoi reconstruiește din date native</x:v>
      </x:c>
      <x:c r="H19" s="263" t="n">
        <x:f>'Cards_Input_Audit'!J20</x:f>
        <x:v>0</x:v>
      </x:c>
    </x:row>
    <x:row r="20">
      <x:c r="A20" s="260" t="str">
        <x:f>'Cards_Input_Audit'!A21</x:f>
        <x:v>K16</x:v>
      </x:c>
      <x:c r="B20" s="261" t="str">
        <x:f>'Cards_Input_Audit'!C21</x:f>
        <x:v>Cartonașe provocate / meci</x:v>
      </x:c>
      <x:c r="C20" s="261" t="str">
        <x:f>'Cards_Input_Audit'!D21</x:f>
        <x:v>Oaspeți</x:v>
      </x:c>
      <x:c r="D20" s="261" t="str">
        <x:f>'Cards_Input_Audit'!E21</x:f>
        <x:v>L5/L10</x:v>
      </x:c>
      <x:c r="E20" s="261" t="str">
        <x:f>'Cards_Input_Audit'!P21</x:f>
        <x:v>AVAILABLE – NOT CHECKED</x:v>
      </x:c>
      <x:c r="F20" s="261" t="str">
        <x:f>IF(OR(E20="",E20="AVAILABLE – NOT CHECKED"),"OPEN",IF(E20="PENDING OFFICIAL","REFRESH",IF(OR(E20="NOT AVAILABLE",E20="SOURCE CONFLICT"),"METHOD CLOSURE","CLOSED")))</x:f>
        <x:v>OPEN</x:v>
      </x:c>
      <x:c r="G20" s="261" t="str">
        <x:f>'Cards_Input_Audit'!Q21</x:f>
        <x:v>Caută sursa directă; apoi reconstruiește din date native</x:v>
      </x:c>
      <x:c r="H20" s="263" t="n">
        <x:f>'Cards_Input_Audit'!J21</x:f>
        <x:v>0</x:v>
      </x:c>
    </x:row>
    <x:row r="21">
      <x:c r="A21" s="260" t="str">
        <x:f>'Cards_Input_Audit'!A22</x:f>
        <x:v>K17</x:v>
      </x:c>
      <x:c r="B21" s="261" t="str">
        <x:f>'Cards_Input_Audit'!C22</x:f>
        <x:v>Arbitru desemnat</x:v>
      </x:c>
      <x:c r="C21" s="261" t="str">
        <x:f>'Cards_Input_Audit'!D22</x:f>
        <x:v>Arbitru</x:v>
      </x:c>
      <x:c r="D21" s="261" t="str">
        <x:f>'Cards_Input_Audit'!E22</x:f>
        <x:v>Nume + confirmare</x:v>
      </x:c>
      <x:c r="E21" s="261" t="str">
        <x:f>'Cards_Input_Audit'!P22</x:f>
        <x:v>PENDING OFFICIAL</x:v>
      </x:c>
      <x:c r="F21" s="261" t="str">
        <x:f>IF(OR(E21="",E21="AVAILABLE – NOT CHECKED"),"OPEN",IF(E21="PENDING OFFICIAL","REFRESH",IF(OR(E21="NOT AVAILABLE",E21="SOURCE CONFLICT"),"METHOD CLOSURE","CLOSED")))</x:f>
        <x:v>REFRESH</x:v>
      </x:c>
      <x:c r="G21" s="261" t="str">
        <x:f>'Cards_Input_Audit'!Q22</x:f>
        <x:v>Verifică delegarea inițial, T-24/T-12 și T-90/T-60</x:v>
      </x:c>
      <x:c r="H21" s="263" t="n">
        <x:f>'Cards_Input_Audit'!J22</x:f>
        <x:v>0</x:v>
      </x:c>
    </x:row>
    <x:row r="22">
      <x:c r="A22" s="260" t="str">
        <x:f>'Cards_Input_Audit'!A23</x:f>
        <x:v>K18</x:v>
      </x:c>
      <x:c r="B22" s="261" t="str">
        <x:f>'Cards_Input_Audit'!C23</x:f>
        <x:v>Cartonașe echivalente / meci</x:v>
      </x:c>
      <x:c r="C22" s="261" t="str">
        <x:f>'Cards_Input_Audit'!D23</x:f>
        <x:v>Arbitru</x:v>
      </x:c>
      <x:c r="D22" s="261" t="str">
        <x:f>'Cards_Input_Audit'!E23</x:f>
        <x:v>Sezon / competiție</x:v>
      </x:c>
      <x:c r="E22" s="261" t="str">
        <x:f>'Cards_Input_Audit'!P23</x:f>
        <x:v>AVAILABLE – NOT CHECKED</x:v>
      </x:c>
      <x:c r="F22" s="261" t="str">
        <x:f>IF(OR(E22="",E22="AVAILABLE – NOT CHECKED"),"OPEN",IF(E22="PENDING OFFICIAL","REFRESH",IF(OR(E22="NOT AVAILABLE",E22="SOURCE CONFLICT"),"METHOD CLOSURE","CLOSED")))</x:f>
        <x:v>OPEN</x:v>
      </x:c>
      <x:c r="G22" s="261" t="str">
        <x:f>'Cards_Input_Audit'!Q23</x:f>
        <x:v>Caută sursa directă; apoi reconstruiește din date native</x:v>
      </x:c>
      <x:c r="H22" s="263" t="n">
        <x:f>'Cards_Input_Audit'!J23</x:f>
        <x:v>0</x:v>
      </x:c>
    </x:row>
    <x:row r="23">
      <x:c r="A23" s="260" t="str">
        <x:f>'Cards_Input_Audit'!A24</x:f>
        <x:v>K19</x:v>
      </x:c>
      <x:c r="B23" s="261" t="str">
        <x:f>'Cards_Input_Audit'!C24</x:f>
        <x:v>Faulturi sancționate / meci</x:v>
      </x:c>
      <x:c r="C23" s="261" t="str">
        <x:f>'Cards_Input_Audit'!D24</x:f>
        <x:v>Arbitru</x:v>
      </x:c>
      <x:c r="D23" s="261" t="str">
        <x:f>'Cards_Input_Audit'!E24</x:f>
        <x:v>Sezon / competiție</x:v>
      </x:c>
      <x:c r="E23" s="261" t="str">
        <x:f>'Cards_Input_Audit'!P24</x:f>
        <x:v>AVAILABLE – NOT CHECKED</x:v>
      </x:c>
      <x:c r="F23" s="261" t="str">
        <x:f>IF(OR(E23="",E23="AVAILABLE – NOT CHECKED"),"OPEN",IF(E23="PENDING OFFICIAL","REFRESH",IF(OR(E23="NOT AVAILABLE",E23="SOURCE CONFLICT"),"METHOD CLOSURE","CLOSED")))</x:f>
        <x:v>OPEN</x:v>
      </x:c>
      <x:c r="G23" s="261" t="str">
        <x:f>'Cards_Input_Audit'!Q24</x:f>
        <x:v>Caută sursa directă; apoi reconstruiește din date native</x:v>
      </x:c>
      <x:c r="H23" s="263" t="n">
        <x:f>'Cards_Input_Audit'!J24</x:f>
        <x:v>0</x:v>
      </x:c>
    </x:row>
    <x:row r="24">
      <x:c r="A24" s="260" t="str">
        <x:f>'Cards_Input_Audit'!A25</x:f>
        <x:v>K20</x:v>
      </x:c>
      <x:c r="B24" s="261" t="str">
        <x:f>'Cards_Input_Audit'!C25</x:f>
        <x:v>Roșii directe / meci</x:v>
      </x:c>
      <x:c r="C24" s="261" t="str">
        <x:f>'Cards_Input_Audit'!D25</x:f>
        <x:v>Arbitru</x:v>
      </x:c>
      <x:c r="D24" s="261" t="str">
        <x:f>'Cards_Input_Audit'!E25</x:f>
        <x:v>Sezon / competiție</x:v>
      </x:c>
      <x:c r="E24" s="261" t="str">
        <x:f>'Cards_Input_Audit'!P25</x:f>
        <x:v>AVAILABLE – NOT CHECKED</x:v>
      </x:c>
      <x:c r="F24" s="261" t="str">
        <x:f>IF(OR(E24="",E24="AVAILABLE – NOT CHECKED"),"OPEN",IF(E24="PENDING OFFICIAL","REFRESH",IF(OR(E24="NOT AVAILABLE",E24="SOURCE CONFLICT"),"METHOD CLOSURE","CLOSED")))</x:f>
        <x:v>OPEN</x:v>
      </x:c>
      <x:c r="G24" s="261" t="str">
        <x:f>'Cards_Input_Audit'!Q25</x:f>
        <x:v>Caută sursa directă; apoi reconstruiește din date native</x:v>
      </x:c>
      <x:c r="H24" s="263" t="n">
        <x:f>'Cards_Input_Audit'!J25</x:f>
        <x:v>0</x:v>
      </x:c>
    </x:row>
    <x:row r="25">
      <x:c r="A25" s="260" t="str">
        <x:f>'Cards_Input_Audit'!A26</x:f>
        <x:v>K21</x:v>
      </x:c>
      <x:c r="B25" s="261" t="str">
        <x:f>'Cards_Input_Audit'!C26</x:f>
        <x:v>Meciuri arbitrate în eșantion</x:v>
      </x:c>
      <x:c r="C25" s="261" t="str">
        <x:f>'Cards_Input_Audit'!D26</x:f>
        <x:v>Arbitru</x:v>
      </x:c>
      <x:c r="D25" s="261" t="str">
        <x:f>'Cards_Input_Audit'!E26</x:f>
        <x:v>Sezon / competiție</x:v>
      </x:c>
      <x:c r="E25" s="261" t="str">
        <x:f>'Cards_Input_Audit'!P26</x:f>
        <x:v>AVAILABLE – NOT CHECKED</x:v>
      </x:c>
      <x:c r="F25" s="261" t="str">
        <x:f>IF(OR(E25="",E25="AVAILABLE – NOT CHECKED"),"OPEN",IF(E25="PENDING OFFICIAL","REFRESH",IF(OR(E25="NOT AVAILABLE",E25="SOURCE CONFLICT"),"METHOD CLOSURE","CLOSED")))</x:f>
        <x:v>OPEN</x:v>
      </x:c>
      <x:c r="G25" s="261" t="str">
        <x:f>'Cards_Input_Audit'!Q26</x:f>
        <x:v>Caută sursa directă; apoi reconstruiește din date native</x:v>
      </x:c>
      <x:c r="H25" s="263" t="n">
        <x:f>'Cards_Input_Audit'!J26</x:f>
        <x:v>0</x:v>
      </x:c>
    </x:row>
    <x:row r="26">
      <x:c r="A26" s="260" t="str">
        <x:f>'Cards_Input_Audit'!A27</x:f>
        <x:v>K22</x:v>
      </x:c>
      <x:c r="B26" s="261" t="str">
        <x:f>'Cards_Input_Audit'!C27</x:f>
        <x:v>Media total cartonașe</x:v>
      </x:c>
      <x:c r="C26" s="261" t="str">
        <x:f>'Cards_Input_Audit'!D27</x:f>
        <x:v>Ambele</x:v>
      </x:c>
      <x:c r="D26" s="261" t="str">
        <x:f>'Cards_Input_Audit'!E27</x:f>
        <x:v>Istoric combinat</x:v>
      </x:c>
      <x:c r="E26" s="261" t="str">
        <x:f>'Cards_Input_Audit'!P27</x:f>
        <x:v>AVAILABLE – NOT CHECKED</x:v>
      </x:c>
      <x:c r="F26" s="261" t="str">
        <x:f>IF(OR(E26="",E26="AVAILABLE – NOT CHECKED"),"OPEN",IF(E26="PENDING OFFICIAL","REFRESH",IF(OR(E26="NOT AVAILABLE",E26="SOURCE CONFLICT"),"METHOD CLOSURE","CLOSED")))</x:f>
        <x:v>OPEN</x:v>
      </x:c>
      <x:c r="G26" s="261" t="str">
        <x:f>'Cards_Input_Audit'!Q27</x:f>
        <x:v>Caută sursa directă; apoi reconstruiește din date native</x:v>
      </x:c>
      <x:c r="H26" s="263" t="n">
        <x:f>'Cards_Input_Audit'!J27</x:f>
        <x:v>0</x:v>
      </x:c>
    </x:row>
    <x:row r="27">
      <x:c r="A27" s="260" t="str">
        <x:f>'Cards_Input_Audit'!A28</x:f>
        <x:v>K23</x:v>
      </x:c>
      <x:c r="B27" s="261" t="str">
        <x:f>'Cards_Input_Audit'!C28</x:f>
        <x:v>Varianța total cartonașe</x:v>
      </x:c>
      <x:c r="C27" s="261" t="str">
        <x:f>'Cards_Input_Audit'!D28</x:f>
        <x:v>Ambele</x:v>
      </x:c>
      <x:c r="D27" s="261" t="str">
        <x:f>'Cards_Input_Audit'!E28</x:f>
        <x:v>Același eșantion</x:v>
      </x:c>
      <x:c r="E27" s="261" t="str">
        <x:f>'Cards_Input_Audit'!P28</x:f>
        <x:v>AVAILABLE – NOT CHECKED</x:v>
      </x:c>
      <x:c r="F27" s="261" t="str">
        <x:f>IF(OR(E27="",E27="AVAILABLE – NOT CHECKED"),"OPEN",IF(E27="PENDING OFFICIAL","REFRESH",IF(OR(E27="NOT AVAILABLE",E27="SOURCE CONFLICT"),"METHOD CLOSURE","CLOSED")))</x:f>
        <x:v>OPEN</x:v>
      </x:c>
      <x:c r="G27" s="261" t="str">
        <x:f>'Cards_Input_Audit'!Q28</x:f>
        <x:v>Caută sursa directă; apoi reconstruiește din date native</x:v>
      </x:c>
      <x:c r="H27" s="263" t="n">
        <x:f>'Cards_Input_Audit'!J28</x:f>
        <x:v>0</x:v>
      </x:c>
    </x:row>
    <x:row r="28">
      <x:c r="A28" s="264" t="str">
        <x:f>'Cards_Input_Audit'!A29</x:f>
        <x:v>K24</x:v>
      </x:c>
      <x:c r="B28" s="265" t="str">
        <x:f>'Cards_Input_Audit'!C29</x:f>
        <x:v>Număr meciuri dispersie</x:v>
      </x:c>
      <x:c r="C28" s="265" t="str">
        <x:f>'Cards_Input_Audit'!D29</x:f>
        <x:v>Ambele</x:v>
      </x:c>
      <x:c r="D28" s="265" t="str">
        <x:f>'Cards_Input_Audit'!E29</x:f>
        <x:v>Istoric combinat</x:v>
      </x:c>
      <x:c r="E28" s="265" t="str">
        <x:f>'Cards_Input_Audit'!P29</x:f>
        <x:v>AVAILABLE – NOT CHECKED</x:v>
      </x:c>
      <x:c r="F28" s="265" t="str">
        <x:f>IF(OR(E28="",E28="AVAILABLE – NOT CHECKED"),"OPEN",IF(E28="PENDING OFFICIAL","REFRESH",IF(OR(E28="NOT AVAILABLE",E28="SOURCE CONFLICT"),"METHOD CLOSURE","CLOSED")))</x:f>
        <x:v>OPEN</x:v>
      </x:c>
      <x:c r="G28" s="265" t="str">
        <x:f>'Cards_Input_Audit'!Q29</x:f>
        <x:v>Caută sursa directă; apoi reconstruiește din date native</x:v>
      </x:c>
      <x:c r="H28" s="267" t="n">
        <x:f>'Cards_Input_Audit'!J29</x:f>
        <x:v>0</x:v>
      </x:c>
    </x:row>
  </x:sheetData>
  <x:mergeCells>
    <x:mergeCell ref="A2:H2"/>
  </x:mergeCells>
  <x:conditionalFormatting sqref="F5:F28">
    <x:cfRule type="containsText" dxfId="21" priority="1" operator="containsText" text="OPEN"/>
    <x:cfRule type="containsText" dxfId="22" priority="2" operator="containsText" text="REFRESH"/>
    <x:cfRule type="containsText" dxfId="23" priority="3" operator="containsText" text="CLOSED"/>
  </x:conditionalFormatting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cols>
    <x:col min="1" max="1" width="44" hidden="0" customWidth="1"/>
    <x:col min="2" max="2" width="42" hidden="0" customWidth="1"/>
    <x:col min="3" max="3" width="64" hidden="0" customWidth="1"/>
  </x:cols>
  <x:sheetData>
    <x:row r="1" ht="24" customHeight="1">
      <x:c r="A1" s="269" t="str">
        <x:v>SOURCING CHECK V4 – RAPORT SEPARAT</x:v>
      </x:c>
      <x:c r="B1" s="269"/>
      <x:c r="C1" s="269"/>
    </x:row>
    <x:row r="2" ht="34" customHeight="1">
      <x:c r="A2" s="272" t="str">
        <x:v>Dovezile de sourcing rămân raportate. În V4 acest raport nu blochează calculul sau etichetele de risc estimat.</x:v>
      </x:c>
      <x:c r="B2" s="272"/>
      <x:c r="C2" s="272"/>
    </x:row>
    <x:row r="3">
      <x:c r="A3" s="252"/>
      <x:c r="B3" s="252"/>
      <x:c r="C3" s="252"/>
    </x:row>
    <x:row r="4">
      <x:c r="A4" s="295" t="str">
        <x:v>Control</x:v>
      </x:c>
      <x:c r="B4" s="295" t="str">
        <x:v>Rezultat</x:v>
      </x:c>
      <x:c r="C4" s="295" t="str">
        <x:v>Regulă</x:v>
      </x:c>
    </x:row>
    <x:row r="5">
      <x:c r="A5" s="296" t="str">
        <x:v>Inputuri controlate</x:v>
      </x:c>
      <x:c r="B5" s="297" t="n">
        <x:f>ROWS('Cards_Input_Audit'!$P$6:$P$29)</x:f>
        <x:v>24</x:v>
      </x:c>
      <x:c r="C5" s="298" t="str">
        <x:v>Numărul de inputuri din audit</x:v>
      </x:c>
    </x:row>
    <x:row r="6">
      <x:c r="A6" s="299" t="str">
        <x:v>Statusuri terminale</x:v>
      </x:c>
      <x:c r="B6" s="300" t="n">
        <x:f>COUNTIF('Cards_Input_Audit'!$P$6:$P$29,"VERIFIED")+COUNTIF('Cards_Input_Audit'!$P$6:$P$29,"VERIFIED – DERIVED FROM NATIVE DATA")+COUNTIF('Cards_Input_Audit'!$P$6:$P$29,"PRIOR / SHRINKAGE")+COUNTIF('Cards_Input_Audit'!$P$6:$P$29,"PENDING OFFICIAL")+COUNTIF('Cards_Input_Audit'!$P$6:$P$29,"NOT AVAILABLE")+COUNTIF('Cards_Input_Audit'!$P$6:$P$29,"SOURCE CONFLICT")</x:f>
        <x:v>1</x:v>
      </x:c>
      <x:c r="C6" s="301" t="str">
        <x:v>VERIFIED / DERIVED / PRIOR / PENDING / NOT AVAILABLE / SOURCE CONFLICT</x:v>
      </x:c>
    </x:row>
    <x:row r="7">
      <x:c r="A7" s="299" t="str">
        <x:v>AVAILABLE – NOT CHECKED</x:v>
      </x:c>
      <x:c r="B7" s="300" t="n">
        <x:f>COUNTIF('Cards_Input_Audit'!$P$6:$P$29,"AVAILABLE – NOT CHECKED")</x:f>
        <x:v>23</x:v>
      </x:c>
      <x:c r="C7" s="301" t="str">
        <x:v>Trebuie să fie 0</x:v>
      </x:c>
    </x:row>
    <x:row r="8">
      <x:c r="A8" s="299" t="str">
        <x:v>Statusuri goale</x:v>
      </x:c>
      <x:c r="B8" s="300" t="n">
        <x:f>COUNTBLANK('Cards_Input_Audit'!$P$6:$P$29)</x:f>
        <x:v>0</x:v>
      </x:c>
      <x:c r="C8" s="301" t="str">
        <x:v>Trebuie să fie 0</x:v>
      </x:c>
    </x:row>
    <x:row r="9">
      <x:c r="A9" s="299" t="str">
        <x:v>Status terminal fără URL</x:v>
      </x:c>
      <x:c r="B9" s="300" t="n">
        <x:f>SUMPRODUCT(--('Cards_Input_Audit'!$P$6:$P$29&lt;&gt;"AVAILABLE – NOT CHECKED"),--('Cards_Input_Audit'!$P$6:$P$29&lt;&gt;""),--('Cards_Input_Audit'!$J$6:$J$29=""))</x:f>
        <x:v>1</x:v>
      </x:c>
      <x:c r="C9" s="301" t="str">
        <x:v>Trebuie să fie 0</x:v>
      </x:c>
    </x:row>
    <x:row r="10">
      <x:c r="A10" s="299" t="str">
        <x:v>Valoare lipsă pentru VERIFIED/DERIVED/PRIOR</x:v>
      </x:c>
      <x:c r="B10" s="300" t="n">
        <x:f>SUMPRODUCT(--('Cards_Input_Audit'!$P$6:$P$29="VERIFIED"),--('Cards_Input_Audit'!$F$6:$F$29=""))+SUMPRODUCT(--('Cards_Input_Audit'!$P$6:$P$29="VERIFIED – DERIVED FROM NATIVE DATA"),--('Cards_Input_Audit'!$F$6:$F$29=""))+SUMPRODUCT(--('Cards_Input_Audit'!$P$6:$P$29="PRIOR / SHRINKAGE"),--('Cards_Input_Audit'!$F$6:$F$29=""))</x:f>
        <x:v>0</x:v>
      </x:c>
      <x:c r="C10" s="301" t="str">
        <x:v>Trebuie să fie 0</x:v>
      </x:c>
    </x:row>
    <x:row r="11">
      <x:c r="A11" s="299" t="str">
        <x:v>N lipsă pentru DERIVED</x:v>
      </x:c>
      <x:c r="B11" s="300" t="n">
        <x:f>SUMPRODUCT(--('Cards_Input_Audit'!$P$6:$P$29="VERIFIED – DERIVED FROM NATIVE DATA"),--('Cards_Input_Audit'!$H$6:$H$29=""))</x:f>
        <x:v>0</x:v>
      </x:c>
      <x:c r="C11" s="301" t="str">
        <x:v>Trebuie să fie 0</x:v>
      </x:c>
    </x:row>
    <x:row r="12">
      <x:c r="A12" s="299" t="str">
        <x:v>Metodă lipsă pentru DERIVED</x:v>
      </x:c>
      <x:c r="B12" s="300" t="n">
        <x:f>SUMPRODUCT(--('Cards_Input_Audit'!$P$6:$P$29="VERIFIED – DERIVED FROM NATIVE DATA"),--('Cards_Input_Audit'!$M$6:$M$29=""))</x:f>
        <x:v>0</x:v>
      </x:c>
      <x:c r="C12" s="301" t="str">
        <x:v>Trebuie să fie 0</x:v>
      </x:c>
    </x:row>
    <x:row r="13">
      <x:c r="A13" s="299" t="str">
        <x:v>Trasabilitate/formulă lipsă pentru DERIVED</x:v>
      </x:c>
      <x:c r="B13" s="300" t="n">
        <x:f>SUMPRODUCT(--('Cards_Input_Audit'!$P$6:$P$29="VERIFIED – DERIVED FROM NATIVE DATA"),--('Cards_Input_Audit'!$N$6:$N$29=""))</x:f>
        <x:v>0</x:v>
      </x:c>
      <x:c r="C13" s="301" t="str">
        <x:v>Trebuie să fie 0</x:v>
      </x:c>
    </x:row>
    <x:row r="14">
      <x:c r="A14" s="299" t="str">
        <x:v>PENDING OFFICIAL</x:v>
      </x:c>
      <x:c r="B14" s="300" t="n">
        <x:f>COUNTIF('Cards_Input_Audit'!$P$6:$P$29,"PENDING OFFICIAL")</x:f>
        <x:v>1</x:v>
      </x:c>
      <x:c r="C14" s="301" t="str">
        <x:v>Status terminal temporar; necesită refresh</x:v>
      </x:c>
    </x:row>
    <x:row r="15">
      <x:c r="A15" s="299" t="str">
        <x:v>NOT AVAILABLE</x:v>
      </x:c>
      <x:c r="B15" s="300" t="n">
        <x:f>COUNTIF('Cards_Input_Audit'!$P$6:$P$29,"NOT AVAILABLE")</x:f>
        <x:v>0</x:v>
      </x:c>
      <x:c r="C15" s="301" t="str">
        <x:v>Aplică Matricea numai după tentative documentate</x:v>
      </x:c>
    </x:row>
    <x:row r="16">
      <x:c r="A16" s="299" t="str">
        <x:v>SOURCE CONFLICT</x:v>
      </x:c>
      <x:c r="B16" s="300" t="n">
        <x:f>COUNTIF('Cards_Input_Audit'!$P$6:$P$29,"SOURCE CONFLICT")</x:f>
        <x:v>0</x:v>
      </x:c>
      <x:c r="C16" s="301" t="str">
        <x:v>Reconciliere sau închidere metodologică</x:v>
      </x:c>
    </x:row>
    <x:row r="17">
      <x:c r="A17" s="299" t="str">
        <x:v>G0 critic NOT AVAILABLE / SOURCE CONFLICT</x:v>
      </x:c>
      <x:c r="B17" s="300" t="n">
        <x:f>COUNTIFS('Cards_Input_Audit'!$B$6:$B$29,"*G0*",'Cards_Input_Audit'!$P$6:$P$29,"NOT AVAILABLE")+COUNTIFS('Cards_Input_Audit'!$B$6:$B$29,"*G0*",'Cards_Input_Audit'!$P$6:$P$29,"SOURCE CONFLICT")</x:f>
        <x:v>0</x:v>
      </x:c>
      <x:c r="C17" s="301" t="str">
        <x:v>Nu forța verdict; aplică hard-gate-ul workbook-ului</x:v>
      </x:c>
    </x:row>
    <x:row r="18">
      <x:c r="A18" s="299" t="str">
        <x:v>SOURCING COMPLETION</x:v>
      </x:c>
      <x:c r="B18" s="306" t="str">
        <x:f>IF(B7+B8&gt;0,"SOURCING INCOMPLETE – RESUME REQUIRED",IF(SUM(B9:B13)&gt;0,"QA FAIL – AUDIT EVIDENCE INCOMPLETE",IF(B14+B15+B16&gt;0,"TERMINAL STATUS COMPLETE – APPLY WORKBOOK / MATRIX","READY FOR WORKBOOK INPUT")))</x:f>
        <x:v>SOURCING INCOMPLETE – RESUME REQUIRED</x:v>
      </x:c>
      <x:c r="C18" s="301" t="str">
        <x:v>AVAILABLE – NOT CHECKED și blank trebuie să fie 0</x:v>
      </x:c>
    </x:row>
    <x:row r="19">
      <x:c r="A19" s="299" t="str">
        <x:v>Release conform Cadrului v5</x:v>
      </x:c>
      <x:c r="B19" s="306" t="str">
        <x:f>IF(B18="READY FOR WORKBOOK INPUT","RELEASED",IF(B18="TERMINAL STATUS COMPLETE – APPLY WORKBOOK / MATRIX","METHOD CLOSURE REQUIRED","NOT RELEASED"))</x:f>
        <x:v>NOT RELEASED</x:v>
      </x:c>
      <x:c r="C19" s="301" t="str">
        <x:v>Diagnostic de conformitate v5/v4, nu release al estimării V4</x:v>
      </x:c>
    </x:row>
    <x:row r="20">
      <x:c r="A20" s="302" t="str">
        <x:v>Regulă activă V4</x:v>
      </x:c>
      <x:c r="B20" s="303" t="str">
        <x:v>DEROGARE DOCUMENTATĂ</x:v>
      </x:c>
      <x:c r="C20" s="304" t="str">
        <x:v>Floor 3 și sourcing completion nu mai sunt filtre pentru estimarea V4</x:v>
      </x:c>
    </x:row>
  </x:sheetData>
  <x:conditionalFormatting sqref="B18:B19">
    <x:cfRule type="containsText" dxfId="24" priority="1" operator="containsText" text="INCOMPLETE"/>
    <x:cfRule type="containsText" dxfId="25" priority="2" operator="containsText" text="READY"/>
  </x:conditionalFormatting>
  <x:pageMargins left="0.7" right="0.7" top="0.75" bottom="0.75" header="0.3" footer="0.3"/>
</x:worksheet>
</file>